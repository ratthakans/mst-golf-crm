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สรุป" sheetId="1" state="visible" r:id="rId1"/>
    <sheet name="สินค้า" sheetId="2" state="visible" r:id="rId2"/>
    <sheet name="แบรนด์" sheetId="3" state="visible" r:id="rId3"/>
  </sheets>
  <definedNames>
    <definedName name="_xlnm._FilterDatabase" localSheetId="1" hidden="1">'สินค้า'!$A$1:$S$5575</definedName>
    <definedName name="_xlnm._FilterDatabase" localSheetId="2" hidden="1">'แบรนด์'!$A$1:$H$81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-#,##0.00;&quot;-&quot;"/>
    <numFmt numFmtId="165" formatCode="#,##0;-#,##0;&quot;-&quot;"/>
    <numFmt numFmtId="166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8000"/>
      <sz val="10"/>
    </font>
    <font>
      <name val="Arial"/>
      <color rgb="000000FF"/>
      <sz val="10"/>
    </font>
    <font>
      <name val="Arial"/>
      <color rgb="001D4F91"/>
      <sz val="9"/>
      <u val="single"/>
    </font>
    <font>
      <name val="Arial"/>
      <b val="1"/>
      <sz val="10"/>
    </font>
    <font>
      <name val="Arial"/>
      <b val="1"/>
      <color rgb="000B3D29"/>
      <sz val="14"/>
    </font>
    <font>
      <name val="Arial"/>
      <color rgb="005D6E66"/>
      <sz val="9"/>
    </font>
    <font>
      <name val="Arial"/>
      <b val="1"/>
      <color rgb="009A2B1F"/>
      <sz val="10"/>
    </font>
  </fonts>
  <fills count="4">
    <fill>
      <patternFill/>
    </fill>
    <fill>
      <patternFill patternType="gray125"/>
    </fill>
    <fill>
      <patternFill patternType="solid">
        <fgColor rgb="000B3D29"/>
      </patternFill>
    </fill>
    <fill>
      <patternFill patternType="solid">
        <fgColor rgb="00FFF4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6" fillId="0" borderId="0" pivotButton="0" quotePrefix="0" xfId="0"/>
    <xf numFmtId="2" fontId="4" fillId="3" borderId="0" pivotButton="0" quotePrefix="0" xfId="0"/>
    <xf numFmtId="3" fontId="6" fillId="0" borderId="0" pivotButton="0" quotePrefix="0" xfId="0"/>
    <xf numFmtId="166" fontId="6" fillId="0" borderId="0" pivotButton="0" quotePrefix="0" xfId="0"/>
    <xf numFmtId="0" fontId="9" fillId="0" borderId="0" pivotButton="0" quotePrefix="0" xfId="0"/>
    <xf numFmtId="0" fontId="1" fillId="2" borderId="0" pivotButton="0" quotePrefix="0" xfId="0"/>
    <xf numFmtId="0" fontId="4" fillId="3" borderId="0" pivotButton="0" quotePrefix="0" xfId="0"/>
    <xf numFmtId="3" fontId="4" fillId="3" borderId="0" pivotButton="0" quotePrefix="0" xfId="0"/>
    <xf numFmtId="0" fontId="1" fillId="2" borderId="0" applyAlignment="1" pivotButton="0" quotePrefix="0" xfId="0">
      <alignment vertical="center" wrapText="1"/>
    </xf>
    <xf numFmtId="164" fontId="2" fillId="0" borderId="0" pivotButton="0" quotePrefix="0" xfId="0"/>
    <xf numFmtId="165" fontId="3" fillId="0" borderId="0" pivotButton="0" quotePrefix="0" xfId="0"/>
    <xf numFmtId="165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1">
    <dxf>
      <font>
        <b val="1"/>
        <color rgb="009A2B1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ORIONS</author>
  </authors>
  <commentList>
    <comment ref="J1" authorId="0" shapeId="0">
      <text>
        <t>ราคาต่ำสุดในบรรดาตัวเลือกของสินค้านี้ ดึงจาก mstgolf.co.th/products.json เมื่อ 27 ก.ย. 2026</t>
      </text>
    </comment>
    <comment ref="N1" authorId="0" shapeId="0">
      <text>
        <t>อ้างอิงเท่านั้น = ราคาร้านสิงคโปร์ × อัตราแลกเปลี่ยนในแท็บ สรุป ช่อง C6 (ปัดหลักสิบ) ไม่ใช่ราคาที่เสนอให้ขาย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mstgolf.co.th/products/gf1250100182" TargetMode="External" Id="rId1" /><Relationship Type="http://schemas.openxmlformats.org/officeDocument/2006/relationships/hyperlink" Target="https://mstgolf.co.th/products/gf1250100165" TargetMode="External" Id="rId2" /><Relationship Type="http://schemas.openxmlformats.org/officeDocument/2006/relationships/hyperlink" Target="https://mstgolf.co.th/products/gf1210101111" TargetMode="External" Id="rId3" /><Relationship Type="http://schemas.openxmlformats.org/officeDocument/2006/relationships/hyperlink" Target="https://mstgolf.co.th/products/gf1250100195" TargetMode="External" Id="rId4" /><Relationship Type="http://schemas.openxmlformats.org/officeDocument/2006/relationships/hyperlink" Target="https://mstgolf.co.th/products/gf1280101355" TargetMode="External" Id="rId5" /><Relationship Type="http://schemas.openxmlformats.org/officeDocument/2006/relationships/hyperlink" Target="https://mstgolf.co.th/products/gf1280101388" TargetMode="External" Id="rId6" /><Relationship Type="http://schemas.openxmlformats.org/officeDocument/2006/relationships/hyperlink" Target="https://mstgolf.co.th/products/gf1280101395" TargetMode="External" Id="rId7" /><Relationship Type="http://schemas.openxmlformats.org/officeDocument/2006/relationships/hyperlink" Target="https://mstgolf.co.th/products/gf1250100163" TargetMode="External" Id="rId8" /><Relationship Type="http://schemas.openxmlformats.org/officeDocument/2006/relationships/hyperlink" Target="https://mstgolf.co.th/products/gf1280101221" TargetMode="External" Id="rId9" /><Relationship Type="http://schemas.openxmlformats.org/officeDocument/2006/relationships/hyperlink" Target="https://mstgolf.co.th/products/gf1280101304" TargetMode="External" Id="rId10" /><Relationship Type="http://schemas.openxmlformats.org/officeDocument/2006/relationships/hyperlink" Target="https://mstgolf.co.th/products/gf1280101223" TargetMode="External" Id="rId11" /><Relationship Type="http://schemas.openxmlformats.org/officeDocument/2006/relationships/hyperlink" Target="https://mstgolf.co.th/products/gf1280101245" TargetMode="External" Id="rId12" /><Relationship Type="http://schemas.openxmlformats.org/officeDocument/2006/relationships/hyperlink" Target="https://mstgolf.co.th/products/gf1280101246" TargetMode="External" Id="rId13" /><Relationship Type="http://schemas.openxmlformats.org/officeDocument/2006/relationships/hyperlink" Target="https://mstgolf.co.th/products/gf1280101158" TargetMode="External" Id="rId14" /><Relationship Type="http://schemas.openxmlformats.org/officeDocument/2006/relationships/hyperlink" Target="https://mstgolf.co.th/products/gf1280101159" TargetMode="External" Id="rId15" /><Relationship Type="http://schemas.openxmlformats.org/officeDocument/2006/relationships/hyperlink" Target="https://mstgolf.co.th/products/gf1280101381" TargetMode="External" Id="rId16" /><Relationship Type="http://schemas.openxmlformats.org/officeDocument/2006/relationships/hyperlink" Target="https://mstgolf.co.th/products/gf1250100218" TargetMode="External" Id="rId17" /><Relationship Type="http://schemas.openxmlformats.org/officeDocument/2006/relationships/hyperlink" Target="https://mstgolf.co.th/products/gf1280101156" TargetMode="External" Id="rId18" /><Relationship Type="http://schemas.openxmlformats.org/officeDocument/2006/relationships/hyperlink" Target="https://mstgolf.co.th/products/gf1280101281" TargetMode="External" Id="rId19" /><Relationship Type="http://schemas.openxmlformats.org/officeDocument/2006/relationships/hyperlink" Target="https://mstgolf.co.th/products/gf1280101284" TargetMode="External" Id="rId20" /><Relationship Type="http://schemas.openxmlformats.org/officeDocument/2006/relationships/hyperlink" Target="https://mstgolf.co.th/products/gf1280101283" TargetMode="External" Id="rId21" /><Relationship Type="http://schemas.openxmlformats.org/officeDocument/2006/relationships/hyperlink" Target="https://mstgolf.co.th/products/gf1280101247" TargetMode="External" Id="rId22" /><Relationship Type="http://schemas.openxmlformats.org/officeDocument/2006/relationships/hyperlink" Target="https://mstgolf.co.th/products/gf1280101160" TargetMode="External" Id="rId23" /><Relationship Type="http://schemas.openxmlformats.org/officeDocument/2006/relationships/hyperlink" Target="https://mstgolf.co.th/products/gf1250100219" TargetMode="External" Id="rId24" /><Relationship Type="http://schemas.openxmlformats.org/officeDocument/2006/relationships/hyperlink" Target="https://mstgolf.co.th/products/gf1280101105" TargetMode="External" Id="rId25" /><Relationship Type="http://schemas.openxmlformats.org/officeDocument/2006/relationships/hyperlink" Target="https://mstgolf.co.th/products/gf1280101131" TargetMode="External" Id="rId26" /><Relationship Type="http://schemas.openxmlformats.org/officeDocument/2006/relationships/hyperlink" Target="https://mstgolf.co.th/products/gf1280100966" TargetMode="External" Id="rId27" /><Relationship Type="http://schemas.openxmlformats.org/officeDocument/2006/relationships/hyperlink" Target="https://mstgolf.co.th/products/gf1280101300" TargetMode="External" Id="rId28" /><Relationship Type="http://schemas.openxmlformats.org/officeDocument/2006/relationships/hyperlink" Target="https://mstgolf.co.th/products/gf1280101420" TargetMode="External" Id="rId29" /><Relationship Type="http://schemas.openxmlformats.org/officeDocument/2006/relationships/hyperlink" Target="https://mstgolf.co.th/products/gf1280101237" TargetMode="External" Id="rId30" /><Relationship Type="http://schemas.openxmlformats.org/officeDocument/2006/relationships/hyperlink" Target="https://mstgolf.co.th/products/gf1240101199" TargetMode="External" Id="rId31" /><Relationship Type="http://schemas.openxmlformats.org/officeDocument/2006/relationships/hyperlink" Target="https://mstgolf.co.th/products/gf1280101149" TargetMode="External" Id="rId32" /><Relationship Type="http://schemas.openxmlformats.org/officeDocument/2006/relationships/hyperlink" Target="https://mstgolf.co.th/products/gf1280101298" TargetMode="External" Id="rId33" /><Relationship Type="http://schemas.openxmlformats.org/officeDocument/2006/relationships/hyperlink" Target="https://mstgolf.co.th/products/gf1210101236" TargetMode="External" Id="rId34" /><Relationship Type="http://schemas.openxmlformats.org/officeDocument/2006/relationships/hyperlink" Target="https://mstgolf.co.th/products/gf1280101309" TargetMode="External" Id="rId35" /><Relationship Type="http://schemas.openxmlformats.org/officeDocument/2006/relationships/hyperlink" Target="https://mstgolf.co.th/products/gf1280101425" TargetMode="External" Id="rId36" /><Relationship Type="http://schemas.openxmlformats.org/officeDocument/2006/relationships/hyperlink" Target="https://mstgolf.co.th/products/gf1280101240" TargetMode="External" Id="rId37" /><Relationship Type="http://schemas.openxmlformats.org/officeDocument/2006/relationships/hyperlink" Target="https://mstgolf.co.th/products/gf1250100214" TargetMode="External" Id="rId38" /><Relationship Type="http://schemas.openxmlformats.org/officeDocument/2006/relationships/hyperlink" Target="https://mstgolf.co.th/products/gf1220100795" TargetMode="External" Id="rId39" /><Relationship Type="http://schemas.openxmlformats.org/officeDocument/2006/relationships/hyperlink" Target="https://mstgolf.co.th/products/gf1280100967" TargetMode="External" Id="rId40" /><Relationship Type="http://schemas.openxmlformats.org/officeDocument/2006/relationships/hyperlink" Target="https://mstgolf.co.th/products/gf1250100201" TargetMode="External" Id="rId41" /><Relationship Type="http://schemas.openxmlformats.org/officeDocument/2006/relationships/hyperlink" Target="https://mstgolf.co.th/products/gf1280101292" TargetMode="External" Id="rId42" /><Relationship Type="http://schemas.openxmlformats.org/officeDocument/2006/relationships/hyperlink" Target="https://mstgolf.co.th/products/gf1250100203" TargetMode="External" Id="rId43" /><Relationship Type="http://schemas.openxmlformats.org/officeDocument/2006/relationships/hyperlink" Target="https://mstgolf.co.th/products/gf1280101427" TargetMode="External" Id="rId44" /><Relationship Type="http://schemas.openxmlformats.org/officeDocument/2006/relationships/hyperlink" Target="https://mstgolf.co.th/products/gf1280101102" TargetMode="External" Id="rId45" /><Relationship Type="http://schemas.openxmlformats.org/officeDocument/2006/relationships/hyperlink" Target="https://mstgolf.co.th/products/gf1250100188" TargetMode="External" Id="rId46" /><Relationship Type="http://schemas.openxmlformats.org/officeDocument/2006/relationships/hyperlink" Target="https://mstgolf.co.th/products/gf1280100857" TargetMode="External" Id="rId47" /><Relationship Type="http://schemas.openxmlformats.org/officeDocument/2006/relationships/hyperlink" Target="https://mstgolf.co.th/products/gf1280101163" TargetMode="External" Id="rId48" /><Relationship Type="http://schemas.openxmlformats.org/officeDocument/2006/relationships/hyperlink" Target="https://mstgolf.co.th/products/gf1280101167" TargetMode="External" Id="rId49" /><Relationship Type="http://schemas.openxmlformats.org/officeDocument/2006/relationships/hyperlink" Target="https://mstgolf.co.th/products/gf1280101168" TargetMode="External" Id="rId50" /><Relationship Type="http://schemas.openxmlformats.org/officeDocument/2006/relationships/hyperlink" Target="https://mstgolf.co.th/products/gf1280101373" TargetMode="External" Id="rId51" /><Relationship Type="http://schemas.openxmlformats.org/officeDocument/2006/relationships/hyperlink" Target="https://mstgolf.co.th/products/gf1280101151" TargetMode="External" Id="rId52" /><Relationship Type="http://schemas.openxmlformats.org/officeDocument/2006/relationships/hyperlink" Target="https://mstgolf.co.th/products/gf1280101080" TargetMode="External" Id="rId53" /><Relationship Type="http://schemas.openxmlformats.org/officeDocument/2006/relationships/hyperlink" Target="https://mstgolf.co.th/products/gf1280101081" TargetMode="External" Id="rId54" /><Relationship Type="http://schemas.openxmlformats.org/officeDocument/2006/relationships/hyperlink" Target="https://mstgolf.co.th/products/gf1280101100" TargetMode="External" Id="rId55" /><Relationship Type="http://schemas.openxmlformats.org/officeDocument/2006/relationships/hyperlink" Target="https://mstgolf.co.th/products/gf1250100198" TargetMode="External" Id="rId56" /><Relationship Type="http://schemas.openxmlformats.org/officeDocument/2006/relationships/hyperlink" Target="https://mstgolf.co.th/products/gf1250100216" TargetMode="External" Id="rId57" /><Relationship Type="http://schemas.openxmlformats.org/officeDocument/2006/relationships/hyperlink" Target="https://mstgolf.co.th/products/gf3190100102" TargetMode="External" Id="rId58" /><Relationship Type="http://schemas.openxmlformats.org/officeDocument/2006/relationships/hyperlink" Target="https://mstgolf.co.th/products/gf3190200042" TargetMode="External" Id="rId59" /><Relationship Type="http://schemas.openxmlformats.org/officeDocument/2006/relationships/hyperlink" Target="https://mstgolf.co.th/products/gf1250100192" TargetMode="External" Id="rId60" /><Relationship Type="http://schemas.openxmlformats.org/officeDocument/2006/relationships/hyperlink" Target="https://mstgolf.co.th/products/gf1280100545" TargetMode="External" Id="rId61" /><Relationship Type="http://schemas.openxmlformats.org/officeDocument/2006/relationships/hyperlink" Target="https://mstgolf.co.th/products/gf1280100745" TargetMode="External" Id="rId62" /><Relationship Type="http://schemas.openxmlformats.org/officeDocument/2006/relationships/hyperlink" Target="https://mstgolf.co.th/products/gf1280100872" TargetMode="External" Id="rId63" /><Relationship Type="http://schemas.openxmlformats.org/officeDocument/2006/relationships/hyperlink" Target="https://mstgolf.co.th/products/gf1280100985" TargetMode="External" Id="rId64" /><Relationship Type="http://schemas.openxmlformats.org/officeDocument/2006/relationships/hyperlink" Target="https://mstgolf.co.th/products/gf1230100180" TargetMode="External" Id="rId65" /><Relationship Type="http://schemas.openxmlformats.org/officeDocument/2006/relationships/hyperlink" Target="https://mstgolf.co.th/products/gf1210101356" TargetMode="External" Id="rId66" /><Relationship Type="http://schemas.openxmlformats.org/officeDocument/2006/relationships/hyperlink" Target="https://mstgolf.co.th/products/gf1280100407" TargetMode="External" Id="rId67" /><Relationship Type="http://schemas.openxmlformats.org/officeDocument/2006/relationships/hyperlink" Target="https://mstgolf.co.th/products/gf1280101365" TargetMode="External" Id="rId68" /><Relationship Type="http://schemas.openxmlformats.org/officeDocument/2006/relationships/hyperlink" Target="https://mstgolf.co.th/products/gf1210101264" TargetMode="External" Id="rId69" /><Relationship Type="http://schemas.openxmlformats.org/officeDocument/2006/relationships/hyperlink" Target="https://mstgolf.co.th/products/gf1210101263" TargetMode="External" Id="rId70" /><Relationship Type="http://schemas.openxmlformats.org/officeDocument/2006/relationships/hyperlink" Target="https://mstgolf.co.th/products/gf1210101326" TargetMode="External" Id="rId71" /><Relationship Type="http://schemas.openxmlformats.org/officeDocument/2006/relationships/hyperlink" Target="https://mstgolf.co.th/products/gf1210101322" TargetMode="External" Id="rId72" /><Relationship Type="http://schemas.openxmlformats.org/officeDocument/2006/relationships/hyperlink" Target="https://mstgolf.co.th/products/gf1210101334" TargetMode="External" Id="rId73" /><Relationship Type="http://schemas.openxmlformats.org/officeDocument/2006/relationships/hyperlink" Target="https://mstgolf.co.th/products/gf1210101338" TargetMode="External" Id="rId74" /><Relationship Type="http://schemas.openxmlformats.org/officeDocument/2006/relationships/hyperlink" Target="https://mstgolf.co.th/products/gf1210101177" TargetMode="External" Id="rId75" /><Relationship Type="http://schemas.openxmlformats.org/officeDocument/2006/relationships/hyperlink" Target="https://mstgolf.co.th/products/gf1210101174" TargetMode="External" Id="rId76" /><Relationship Type="http://schemas.openxmlformats.org/officeDocument/2006/relationships/hyperlink" Target="https://mstgolf.co.th/products/gf1210101178" TargetMode="External" Id="rId77" /><Relationship Type="http://schemas.openxmlformats.org/officeDocument/2006/relationships/hyperlink" Target="https://mstgolf.co.th/products/gf1210101176" TargetMode="External" Id="rId78" /><Relationship Type="http://schemas.openxmlformats.org/officeDocument/2006/relationships/hyperlink" Target="https://mstgolf.co.th/products/gf1280100899" TargetMode="External" Id="rId79" /><Relationship Type="http://schemas.openxmlformats.org/officeDocument/2006/relationships/hyperlink" Target="https://mstgolf.co.th/products/gf1280100693" TargetMode="External" Id="rId80" /><Relationship Type="http://schemas.openxmlformats.org/officeDocument/2006/relationships/hyperlink" Target="https://mstgolf.co.th/products/gf1280100789" TargetMode="External" Id="rId81" /><Relationship Type="http://schemas.openxmlformats.org/officeDocument/2006/relationships/hyperlink" Target="https://mstgolf.co.th/products/gf1280100786" TargetMode="External" Id="rId82" /><Relationship Type="http://schemas.openxmlformats.org/officeDocument/2006/relationships/hyperlink" Target="https://mstgolf.co.th/products/gf3190200027" TargetMode="External" Id="rId83" /><Relationship Type="http://schemas.openxmlformats.org/officeDocument/2006/relationships/hyperlink" Target="https://mstgolf.co.th/products/gf1240101464" TargetMode="External" Id="rId84" /><Relationship Type="http://schemas.openxmlformats.org/officeDocument/2006/relationships/hyperlink" Target="https://mstgolf.co.th/products/gf1210100990" TargetMode="External" Id="rId85" /><Relationship Type="http://schemas.openxmlformats.org/officeDocument/2006/relationships/hyperlink" Target="https://mstgolf.co.th/products/gf1210101359" TargetMode="External" Id="rId86" /><Relationship Type="http://schemas.openxmlformats.org/officeDocument/2006/relationships/hyperlink" Target="https://mstgolf.co.th/products/gf1220100900" TargetMode="External" Id="rId87" /><Relationship Type="http://schemas.openxmlformats.org/officeDocument/2006/relationships/hyperlink" Target="https://mstgolf.co.th/products/gf1220100901" TargetMode="External" Id="rId88" /><Relationship Type="http://schemas.openxmlformats.org/officeDocument/2006/relationships/hyperlink" Target="https://mstgolf.co.th/products/gf1250100135" TargetMode="External" Id="rId89" /><Relationship Type="http://schemas.openxmlformats.org/officeDocument/2006/relationships/hyperlink" Target="https://mstgolf.co.th/products/gf1250100191" TargetMode="External" Id="rId90" /><Relationship Type="http://schemas.openxmlformats.org/officeDocument/2006/relationships/hyperlink" Target="https://mstgolf.co.th/products/gf1210100835" TargetMode="External" Id="rId91" /><Relationship Type="http://schemas.openxmlformats.org/officeDocument/2006/relationships/hyperlink" Target="https://mstgolf.co.th/products/gf1210100836" TargetMode="External" Id="rId92" /><Relationship Type="http://schemas.openxmlformats.org/officeDocument/2006/relationships/hyperlink" Target="https://mstgolf.co.th/products/gf1210100992" TargetMode="External" Id="rId93" /><Relationship Type="http://schemas.openxmlformats.org/officeDocument/2006/relationships/hyperlink" Target="https://mstgolf.co.th/products/gf1210101159" TargetMode="External" Id="rId94" /><Relationship Type="http://schemas.openxmlformats.org/officeDocument/2006/relationships/hyperlink" Target="https://mstgolf.co.th/products/gf1210101162" TargetMode="External" Id="rId95" /><Relationship Type="http://schemas.openxmlformats.org/officeDocument/2006/relationships/hyperlink" Target="https://mstgolf.co.th/products/gf1240101462" TargetMode="External" Id="rId96" /><Relationship Type="http://schemas.openxmlformats.org/officeDocument/2006/relationships/hyperlink" Target="https://mstgolf.co.th/products/gf1240101454" TargetMode="External" Id="rId97" /><Relationship Type="http://schemas.openxmlformats.org/officeDocument/2006/relationships/hyperlink" Target="https://mstgolf.co.th/products/gf1240101456" TargetMode="External" Id="rId98" /><Relationship Type="http://schemas.openxmlformats.org/officeDocument/2006/relationships/hyperlink" Target="https://mstgolf.co.th/products/gf1240101457" TargetMode="External" Id="rId99" /><Relationship Type="http://schemas.openxmlformats.org/officeDocument/2006/relationships/hyperlink" Target="https://mstgolf.co.th/products/gf1240101459" TargetMode="External" Id="rId100" /><Relationship Type="http://schemas.openxmlformats.org/officeDocument/2006/relationships/hyperlink" Target="https://mstgolf.co.th/products/gf1240101455" TargetMode="External" Id="rId101" /><Relationship Type="http://schemas.openxmlformats.org/officeDocument/2006/relationships/hyperlink" Target="https://mstgolf.co.th/products/gf1240101460" TargetMode="External" Id="rId102" /><Relationship Type="http://schemas.openxmlformats.org/officeDocument/2006/relationships/hyperlink" Target="https://mstgolf.co.th/products/gf1240101463" TargetMode="External" Id="rId103" /><Relationship Type="http://schemas.openxmlformats.org/officeDocument/2006/relationships/hyperlink" Target="https://mstgolf.co.th/products/gf1210101106" TargetMode="External" Id="rId104" /><Relationship Type="http://schemas.openxmlformats.org/officeDocument/2006/relationships/hyperlink" Target="https://mstgolf.co.th/products/gf1210101297" TargetMode="External" Id="rId105" /><Relationship Type="http://schemas.openxmlformats.org/officeDocument/2006/relationships/hyperlink" Target="https://mstgolf.co.th/products/gf1210100816" TargetMode="External" Id="rId106" /><Relationship Type="http://schemas.openxmlformats.org/officeDocument/2006/relationships/hyperlink" Target="https://mstgolf.co.th/products/gf1210100904" TargetMode="External" Id="rId107" /><Relationship Type="http://schemas.openxmlformats.org/officeDocument/2006/relationships/hyperlink" Target="https://mstgolf.co.th/products/gf1210100813" TargetMode="External" Id="rId108" /><Relationship Type="http://schemas.openxmlformats.org/officeDocument/2006/relationships/hyperlink" Target="https://mstgolf.co.th/products/gf1210100815" TargetMode="External" Id="rId109" /><Relationship Type="http://schemas.openxmlformats.org/officeDocument/2006/relationships/hyperlink" Target="https://mstgolf.co.th/products/gf1240101437" TargetMode="External" Id="rId110" /><Relationship Type="http://schemas.openxmlformats.org/officeDocument/2006/relationships/hyperlink" Target="https://mstgolf.co.th/products/gf1240101205" TargetMode="External" Id="rId111" /><Relationship Type="http://schemas.openxmlformats.org/officeDocument/2006/relationships/hyperlink" Target="https://mstgolf.co.th/products/gf1240101208" TargetMode="External" Id="rId112" /><Relationship Type="http://schemas.openxmlformats.org/officeDocument/2006/relationships/hyperlink" Target="https://mstgolf.co.th/products/gf1240101207" TargetMode="External" Id="rId113" /><Relationship Type="http://schemas.openxmlformats.org/officeDocument/2006/relationships/hyperlink" Target="https://mstgolf.co.th/products/gf1240101381" TargetMode="External" Id="rId114" /><Relationship Type="http://schemas.openxmlformats.org/officeDocument/2006/relationships/hyperlink" Target="https://mstgolf.co.th/products/gf1280101118" TargetMode="External" Id="rId115" /><Relationship Type="http://schemas.openxmlformats.org/officeDocument/2006/relationships/hyperlink" Target="https://mstgolf.co.th/products/gf3190100020" TargetMode="External" Id="rId116" /><Relationship Type="http://schemas.openxmlformats.org/officeDocument/2006/relationships/hyperlink" Target="https://mstgolf.co.th/products/gf1280101228" TargetMode="External" Id="rId117" /><Relationship Type="http://schemas.openxmlformats.org/officeDocument/2006/relationships/hyperlink" Target="https://mstgolf.co.th/products/gf1210100484" TargetMode="External" Id="rId118" /><Relationship Type="http://schemas.openxmlformats.org/officeDocument/2006/relationships/hyperlink" Target="https://mstgolf.co.th/products/gf1210100964" TargetMode="External" Id="rId119" /><Relationship Type="http://schemas.openxmlformats.org/officeDocument/2006/relationships/hyperlink" Target="https://mstgolf.co.th/products/gf1210100965" TargetMode="External" Id="rId120" /><Relationship Type="http://schemas.openxmlformats.org/officeDocument/2006/relationships/hyperlink" Target="https://mstgolf.co.th/products/gf1210100991" TargetMode="External" Id="rId121" /><Relationship Type="http://schemas.openxmlformats.org/officeDocument/2006/relationships/hyperlink" Target="https://mstgolf.co.th/products/gf1210101233" TargetMode="External" Id="rId122" /><Relationship Type="http://schemas.openxmlformats.org/officeDocument/2006/relationships/hyperlink" Target="https://mstgolf.co.th/products/gf1210101232" TargetMode="External" Id="rId123" /><Relationship Type="http://schemas.openxmlformats.org/officeDocument/2006/relationships/hyperlink" Target="https://mstgolf.co.th/products/gf1210101207" TargetMode="External" Id="rId124" /><Relationship Type="http://schemas.openxmlformats.org/officeDocument/2006/relationships/hyperlink" Target="https://mstgolf.co.th/products/gf1210101190" TargetMode="External" Id="rId125" /><Relationship Type="http://schemas.openxmlformats.org/officeDocument/2006/relationships/hyperlink" Target="https://mstgolf.co.th/products/gf1210101208" TargetMode="External" Id="rId126" /><Relationship Type="http://schemas.openxmlformats.org/officeDocument/2006/relationships/hyperlink" Target="https://mstgolf.co.th/products/gf1210101209" TargetMode="External" Id="rId127" /><Relationship Type="http://schemas.openxmlformats.org/officeDocument/2006/relationships/hyperlink" Target="https://mstgolf.co.th/products/gf1230100816" TargetMode="External" Id="rId128" /><Relationship Type="http://schemas.openxmlformats.org/officeDocument/2006/relationships/hyperlink" Target="https://mstgolf.co.th/products/gf1210101084" TargetMode="External" Id="rId129" /><Relationship Type="http://schemas.openxmlformats.org/officeDocument/2006/relationships/hyperlink" Target="https://mstgolf.co.th/products/gf1210101194" TargetMode="External" Id="rId130" /><Relationship Type="http://schemas.openxmlformats.org/officeDocument/2006/relationships/hyperlink" Target="https://mstgolf.co.th/products/gf1210101196" TargetMode="External" Id="rId131" /><Relationship Type="http://schemas.openxmlformats.org/officeDocument/2006/relationships/hyperlink" Target="https://mstgolf.co.th/products/gf1210101200" TargetMode="External" Id="rId132" /><Relationship Type="http://schemas.openxmlformats.org/officeDocument/2006/relationships/hyperlink" Target="https://mstgolf.co.th/products/gf1210101248" TargetMode="External" Id="rId133" /><Relationship Type="http://schemas.openxmlformats.org/officeDocument/2006/relationships/hyperlink" Target="https://mstgolf.co.th/products/gf1210101116" TargetMode="External" Id="rId134" /><Relationship Type="http://schemas.openxmlformats.org/officeDocument/2006/relationships/hyperlink" Target="https://mstgolf.co.th/products/gf1210101121" TargetMode="External" Id="rId135" /><Relationship Type="http://schemas.openxmlformats.org/officeDocument/2006/relationships/hyperlink" Target="https://mstgolf.co.th/products/gf1210100818" TargetMode="External" Id="rId136" /><Relationship Type="http://schemas.openxmlformats.org/officeDocument/2006/relationships/hyperlink" Target="https://mstgolf.co.th/products/gf1210100821" TargetMode="External" Id="rId137" /><Relationship Type="http://schemas.openxmlformats.org/officeDocument/2006/relationships/hyperlink" Target="https://mstgolf.co.th/products/gf1210100907" TargetMode="External" Id="rId138" /><Relationship Type="http://schemas.openxmlformats.org/officeDocument/2006/relationships/hyperlink" Target="https://mstgolf.co.th/products/gf1240101251" TargetMode="External" Id="rId139" /><Relationship Type="http://schemas.openxmlformats.org/officeDocument/2006/relationships/hyperlink" Target="https://mstgolf.co.th/products/gf3190100109" TargetMode="External" Id="rId140" /><Relationship Type="http://schemas.openxmlformats.org/officeDocument/2006/relationships/hyperlink" Target="https://mstgolf.co.th/products/gf3190100107" TargetMode="External" Id="rId141" /><Relationship Type="http://schemas.openxmlformats.org/officeDocument/2006/relationships/hyperlink" Target="https://mstgolf.co.th/products/gf3190100108" TargetMode="External" Id="rId142" /><Relationship Type="http://schemas.openxmlformats.org/officeDocument/2006/relationships/hyperlink" Target="https://mstgolf.co.th/products/gf3190200033" TargetMode="External" Id="rId143" /><Relationship Type="http://schemas.openxmlformats.org/officeDocument/2006/relationships/hyperlink" Target="https://mstgolf.co.th/products/gf1220100104" TargetMode="External" Id="rId144" /><Relationship Type="http://schemas.openxmlformats.org/officeDocument/2006/relationships/hyperlink" Target="https://mstgolf.co.th/products/gf1210100681" TargetMode="External" Id="rId145" /><Relationship Type="http://schemas.openxmlformats.org/officeDocument/2006/relationships/hyperlink" Target="https://mstgolf.co.th/products/gf1210100669" TargetMode="External" Id="rId146" /><Relationship Type="http://schemas.openxmlformats.org/officeDocument/2006/relationships/hyperlink" Target="https://mstgolf.co.th/products/gf1210100682" TargetMode="External" Id="rId147" /><Relationship Type="http://schemas.openxmlformats.org/officeDocument/2006/relationships/hyperlink" Target="https://mstgolf.co.th/products/gf1210100996" TargetMode="External" Id="rId148" /><Relationship Type="http://schemas.openxmlformats.org/officeDocument/2006/relationships/hyperlink" Target="https://mstgolf.co.th/products/gf1250100190" TargetMode="External" Id="rId149" /><Relationship Type="http://schemas.openxmlformats.org/officeDocument/2006/relationships/hyperlink" Target="https://mstgolf.co.th/products/gf1210100766" TargetMode="External" Id="rId150" /><Relationship Type="http://schemas.openxmlformats.org/officeDocument/2006/relationships/hyperlink" Target="https://mstgolf.co.th/products/gf1210100466" TargetMode="External" Id="rId151" /><Relationship Type="http://schemas.openxmlformats.org/officeDocument/2006/relationships/hyperlink" Target="https://mstgolf.co.th/products/gf1210100652" TargetMode="External" Id="rId152" /><Relationship Type="http://schemas.openxmlformats.org/officeDocument/2006/relationships/hyperlink" Target="https://mstgolf.co.th/products/gf1210100767" TargetMode="External" Id="rId153" /><Relationship Type="http://schemas.openxmlformats.org/officeDocument/2006/relationships/hyperlink" Target="https://mstgolf.co.th/products/gf1220100859" TargetMode="External" Id="rId154" /><Relationship Type="http://schemas.openxmlformats.org/officeDocument/2006/relationships/hyperlink" Target="https://mstgolf.co.th/products/gf1220100861" TargetMode="External" Id="rId155" /><Relationship Type="http://schemas.openxmlformats.org/officeDocument/2006/relationships/hyperlink" Target="https://mstgolf.co.th/products/gf1220100860" TargetMode="External" Id="rId156" /><Relationship Type="http://schemas.openxmlformats.org/officeDocument/2006/relationships/hyperlink" Target="https://mstgolf.co.th/products/gf3190200052" TargetMode="External" Id="rId157" /><Relationship Type="http://schemas.openxmlformats.org/officeDocument/2006/relationships/hyperlink" Target="https://mstgolf.co.th/products/gf1210100883" TargetMode="External" Id="rId158" /><Relationship Type="http://schemas.openxmlformats.org/officeDocument/2006/relationships/hyperlink" Target="https://mstgolf.co.th/products/gf1210100881" TargetMode="External" Id="rId159" /><Relationship Type="http://schemas.openxmlformats.org/officeDocument/2006/relationships/hyperlink" Target="https://mstgolf.co.th/products/gf1240101409" TargetMode="External" Id="rId160" /><Relationship Type="http://schemas.openxmlformats.org/officeDocument/2006/relationships/hyperlink" Target="https://mstgolf.co.th/products/gf1210101002" TargetMode="External" Id="rId161" /><Relationship Type="http://schemas.openxmlformats.org/officeDocument/2006/relationships/hyperlink" Target="https://mstgolf.co.th/products/gf1210101006" TargetMode="External" Id="rId162" /><Relationship Type="http://schemas.openxmlformats.org/officeDocument/2006/relationships/hyperlink" Target="https://mstgolf.co.th/products/gf1210101000" TargetMode="External" Id="rId163" /><Relationship Type="http://schemas.openxmlformats.org/officeDocument/2006/relationships/hyperlink" Target="https://mstgolf.co.th/products/gf1210101068" TargetMode="External" Id="rId164" /><Relationship Type="http://schemas.openxmlformats.org/officeDocument/2006/relationships/hyperlink" Target="https://mstgolf.co.th/products/gf1240101063" TargetMode="External" Id="rId165" /><Relationship Type="http://schemas.openxmlformats.org/officeDocument/2006/relationships/hyperlink" Target="https://mstgolf.co.th/products/gf1240101178" TargetMode="External" Id="rId166" /><Relationship Type="http://schemas.openxmlformats.org/officeDocument/2006/relationships/hyperlink" Target="https://mstgolf.co.th/products/gf1240101185" TargetMode="External" Id="rId167" /><Relationship Type="http://schemas.openxmlformats.org/officeDocument/2006/relationships/hyperlink" Target="https://mstgolf.co.th/products/gf1240101187" TargetMode="External" Id="rId168" /><Relationship Type="http://schemas.openxmlformats.org/officeDocument/2006/relationships/hyperlink" Target="https://mstgolf.co.th/products/gf1210100349" TargetMode="External" Id="rId169" /><Relationship Type="http://schemas.openxmlformats.org/officeDocument/2006/relationships/hyperlink" Target="https://mstgolf.co.th/products/gf1220100966" TargetMode="External" Id="rId170" /><Relationship Type="http://schemas.openxmlformats.org/officeDocument/2006/relationships/hyperlink" Target="https://mstgolf.co.th/products/gf1220100968" TargetMode="External" Id="rId171" /><Relationship Type="http://schemas.openxmlformats.org/officeDocument/2006/relationships/hyperlink" Target="https://mstgolf.co.th/products/gf1220100971" TargetMode="External" Id="rId172" /><Relationship Type="http://schemas.openxmlformats.org/officeDocument/2006/relationships/hyperlink" Target="https://mstgolf.co.th/products/gf1220100972" TargetMode="External" Id="rId173" /><Relationship Type="http://schemas.openxmlformats.org/officeDocument/2006/relationships/hyperlink" Target="https://mstgolf.co.th/products/gf3190200034" TargetMode="External" Id="rId174" /><Relationship Type="http://schemas.openxmlformats.org/officeDocument/2006/relationships/hyperlink" Target="https://mstgolf.co.th/products/gf1230100082" TargetMode="External" Id="rId175" /><Relationship Type="http://schemas.openxmlformats.org/officeDocument/2006/relationships/hyperlink" Target="https://mstgolf.co.th/products/gf1240101465" TargetMode="External" Id="rId176" /><Relationship Type="http://schemas.openxmlformats.org/officeDocument/2006/relationships/hyperlink" Target="https://mstgolf.co.th/products/gf3190200061" TargetMode="External" Id="rId177" /><Relationship Type="http://schemas.openxmlformats.org/officeDocument/2006/relationships/hyperlink" Target="https://mstgolf.co.th/products/gf1210100806" TargetMode="External" Id="rId178" /><Relationship Type="http://schemas.openxmlformats.org/officeDocument/2006/relationships/hyperlink" Target="https://mstgolf.co.th/products/gf1210100811" TargetMode="External" Id="rId179" /><Relationship Type="http://schemas.openxmlformats.org/officeDocument/2006/relationships/hyperlink" Target="https://mstgolf.co.th/products/gf1210100388" TargetMode="External" Id="rId180" /><Relationship Type="http://schemas.openxmlformats.org/officeDocument/2006/relationships/hyperlink" Target="https://mstgolf.co.th/products/gf1240101139" TargetMode="External" Id="rId181" /><Relationship Type="http://schemas.openxmlformats.org/officeDocument/2006/relationships/hyperlink" Target="https://mstgolf.co.th/products/gf1240101136" TargetMode="External" Id="rId182" /><Relationship Type="http://schemas.openxmlformats.org/officeDocument/2006/relationships/hyperlink" Target="https://mstgolf.co.th/products/gf1230100827" TargetMode="External" Id="rId183" /><Relationship Type="http://schemas.openxmlformats.org/officeDocument/2006/relationships/hyperlink" Target="https://mstgolf.co.th/products/gf1230100828" TargetMode="External" Id="rId184" /><Relationship Type="http://schemas.openxmlformats.org/officeDocument/2006/relationships/hyperlink" Target="https://mstgolf.co.th/products/gf1230100830" TargetMode="External" Id="rId185" /><Relationship Type="http://schemas.openxmlformats.org/officeDocument/2006/relationships/hyperlink" Target="https://mstgolf.co.th/products/gf3190100116" TargetMode="External" Id="rId186" /><Relationship Type="http://schemas.openxmlformats.org/officeDocument/2006/relationships/hyperlink" Target="https://mstgolf.co.th/products/gf1220100819" TargetMode="External" Id="rId187" /><Relationship Type="http://schemas.openxmlformats.org/officeDocument/2006/relationships/hyperlink" Target="https://mstgolf.co.th/products/gf1220100820" TargetMode="External" Id="rId188" /><Relationship Type="http://schemas.openxmlformats.org/officeDocument/2006/relationships/hyperlink" Target="https://mstgolf.co.th/products/gf1230100785" TargetMode="External" Id="rId189" /><Relationship Type="http://schemas.openxmlformats.org/officeDocument/2006/relationships/hyperlink" Target="https://mstgolf.co.th/products/gf1230100786" TargetMode="External" Id="rId190" /><Relationship Type="http://schemas.openxmlformats.org/officeDocument/2006/relationships/hyperlink" Target="https://mstgolf.co.th/products/gf1220100726" TargetMode="External" Id="rId191" /><Relationship Type="http://schemas.openxmlformats.org/officeDocument/2006/relationships/hyperlink" Target="https://mstgolf.co.th/products/gf3190100036" TargetMode="External" Id="rId192" /><Relationship Type="http://schemas.openxmlformats.org/officeDocument/2006/relationships/hyperlink" Target="https://mstgolf.co.th/products/gf3190100058" TargetMode="External" Id="rId193" /><Relationship Type="http://schemas.openxmlformats.org/officeDocument/2006/relationships/hyperlink" Target="https://mstgolf.co.th/products/gf3190100060" TargetMode="External" Id="rId194" /><Relationship Type="http://schemas.openxmlformats.org/officeDocument/2006/relationships/hyperlink" Target="https://mstgolf.co.th/products/gf1220100946" TargetMode="External" Id="rId195" /><Relationship Type="http://schemas.openxmlformats.org/officeDocument/2006/relationships/hyperlink" Target="https://mstgolf.co.th/products/gf3190100111" TargetMode="External" Id="rId196" /><Relationship Type="http://schemas.openxmlformats.org/officeDocument/2006/relationships/hyperlink" Target="https://mstgolf.co.th/products/gf3190200056" TargetMode="External" Id="rId197" /><Relationship Type="http://schemas.openxmlformats.org/officeDocument/2006/relationships/hyperlink" Target="https://mstgolf.co.th/products/gf1220100623" TargetMode="External" Id="rId198" /><Relationship Type="http://schemas.openxmlformats.org/officeDocument/2006/relationships/hyperlink" Target="https://mstgolf.co.th/products/gf1220100624" TargetMode="External" Id="rId199" /><Relationship Type="http://schemas.openxmlformats.org/officeDocument/2006/relationships/hyperlink" Target="https://mstgolf.co.th/products/gf1220100847" TargetMode="External" Id="rId200" /><Relationship Type="http://schemas.openxmlformats.org/officeDocument/2006/relationships/hyperlink" Target="https://mstgolf.co.th/products/gf1220100850" TargetMode="External" Id="rId201" /><Relationship Type="http://schemas.openxmlformats.org/officeDocument/2006/relationships/hyperlink" Target="https://mstgolf.co.th/products/gf1220100875" TargetMode="External" Id="rId202" /><Relationship Type="http://schemas.openxmlformats.org/officeDocument/2006/relationships/hyperlink" Target="https://mstgolf.co.th/products/gf1220100912" TargetMode="External" Id="rId203" /><Relationship Type="http://schemas.openxmlformats.org/officeDocument/2006/relationships/hyperlink" Target="https://mstgolf.co.th/products/gf1220100826" TargetMode="External" Id="rId204" /><Relationship Type="http://schemas.openxmlformats.org/officeDocument/2006/relationships/hyperlink" Target="https://mstgolf.co.th/products/gf1220100829" TargetMode="External" Id="rId205" /><Relationship Type="http://schemas.openxmlformats.org/officeDocument/2006/relationships/hyperlink" Target="https://mstgolf.co.th/products/gf1210100617" TargetMode="External" Id="rId206" /><Relationship Type="http://schemas.openxmlformats.org/officeDocument/2006/relationships/hyperlink" Target="https://mstgolf.co.th/products/gf1230100908" TargetMode="External" Id="rId207" /><Relationship Type="http://schemas.openxmlformats.org/officeDocument/2006/relationships/hyperlink" Target="https://mstgolf.co.th/products/gf1220100753" TargetMode="External" Id="rId208" /><Relationship Type="http://schemas.openxmlformats.org/officeDocument/2006/relationships/hyperlink" Target="https://mstgolf.co.th/products/gf1230100894" TargetMode="External" Id="rId209" /><Relationship Type="http://schemas.openxmlformats.org/officeDocument/2006/relationships/hyperlink" Target="https://mstgolf.co.th/products/gf1230100897" TargetMode="External" Id="rId210" /><Relationship Type="http://schemas.openxmlformats.org/officeDocument/2006/relationships/hyperlink" Target="https://mstgolf.co.th/products/gf1230100899" TargetMode="External" Id="rId211" /><Relationship Type="http://schemas.openxmlformats.org/officeDocument/2006/relationships/hyperlink" Target="https://mstgolf.co.th/products/gf1230100900" TargetMode="External" Id="rId212" /><Relationship Type="http://schemas.openxmlformats.org/officeDocument/2006/relationships/hyperlink" Target="https://mstgolf.co.th/products/gf1220100609" TargetMode="External" Id="rId213" /><Relationship Type="http://schemas.openxmlformats.org/officeDocument/2006/relationships/hyperlink" Target="https://mstgolf.co.th/products/gf1220100612" TargetMode="External" Id="rId214" /><Relationship Type="http://schemas.openxmlformats.org/officeDocument/2006/relationships/hyperlink" Target="https://mstgolf.co.th/products/gf1230100486" TargetMode="External" Id="rId215" /><Relationship Type="http://schemas.openxmlformats.org/officeDocument/2006/relationships/hyperlink" Target="https://mstgolf.co.th/products/gf1210100716" TargetMode="External" Id="rId216" /><Relationship Type="http://schemas.openxmlformats.org/officeDocument/2006/relationships/hyperlink" Target="https://mstgolf.co.th/products/gf3190200045" TargetMode="External" Id="rId217" /><Relationship Type="http://schemas.openxmlformats.org/officeDocument/2006/relationships/hyperlink" Target="https://mstgolf.co.th/products/gf3190200044" TargetMode="External" Id="rId218" /><Relationship Type="http://schemas.openxmlformats.org/officeDocument/2006/relationships/hyperlink" Target="https://mstgolf.co.th/products/gf3190100057" TargetMode="External" Id="rId219" /><Relationship Type="http://schemas.openxmlformats.org/officeDocument/2006/relationships/hyperlink" Target="https://mstgolf.co.th/products/gf1230100772" TargetMode="External" Id="rId220" /><Relationship Type="http://schemas.openxmlformats.org/officeDocument/2006/relationships/hyperlink" Target="https://mstgolf.co.th/products/gf1230100775" TargetMode="External" Id="rId221" /><Relationship Type="http://schemas.openxmlformats.org/officeDocument/2006/relationships/hyperlink" Target="https://mstgolf.co.th/products/gf1230100333" TargetMode="External" Id="rId222" /><Relationship Type="http://schemas.openxmlformats.org/officeDocument/2006/relationships/hyperlink" Target="https://mstgolf.co.th/products/gf1240101415" TargetMode="External" Id="rId223" /><Relationship Type="http://schemas.openxmlformats.org/officeDocument/2006/relationships/hyperlink" Target="https://mstgolf.co.th/products/gf1240101416" TargetMode="External" Id="rId224" /><Relationship Type="http://schemas.openxmlformats.org/officeDocument/2006/relationships/hyperlink" Target="https://mstgolf.co.th/products/gf1240101417" TargetMode="External" Id="rId225" /><Relationship Type="http://schemas.openxmlformats.org/officeDocument/2006/relationships/hyperlink" Target="https://mstgolf.co.th/products/gf1220100879" TargetMode="External" Id="rId226" /><Relationship Type="http://schemas.openxmlformats.org/officeDocument/2006/relationships/hyperlink" Target="https://mstgolf.co.th/products/gf1220100883" TargetMode="External" Id="rId227" /><Relationship Type="http://schemas.openxmlformats.org/officeDocument/2006/relationships/hyperlink" Target="https://mstgolf.co.th/products/gf1230100884" TargetMode="External" Id="rId228" /><Relationship Type="http://schemas.openxmlformats.org/officeDocument/2006/relationships/hyperlink" Target="https://mstgolf.co.th/products/gf1230100885" TargetMode="External" Id="rId229" /><Relationship Type="http://schemas.openxmlformats.org/officeDocument/2006/relationships/hyperlink" Target="https://mstgolf.co.th/products/gf1220100580" TargetMode="External" Id="rId230" /><Relationship Type="http://schemas.openxmlformats.org/officeDocument/2006/relationships/hyperlink" Target="https://mstgolf.co.th/products/gf1220100499" TargetMode="External" Id="rId231" /><Relationship Type="http://schemas.openxmlformats.org/officeDocument/2006/relationships/hyperlink" Target="https://mstgolf.co.th/products/gf1230100739" TargetMode="External" Id="rId232" /><Relationship Type="http://schemas.openxmlformats.org/officeDocument/2006/relationships/hyperlink" Target="https://mstgolf.co.th/products/gf1230100669" TargetMode="External" Id="rId233" /><Relationship Type="http://schemas.openxmlformats.org/officeDocument/2006/relationships/hyperlink" Target="https://mstgolf.co.th/products/gf1270100452" TargetMode="External" Id="rId234" /><Relationship Type="http://schemas.openxmlformats.org/officeDocument/2006/relationships/hyperlink" Target="https://mstgolf.co.th/products/gf1230100632" TargetMode="External" Id="rId235" /><Relationship Type="http://schemas.openxmlformats.org/officeDocument/2006/relationships/hyperlink" Target="https://mstgolf.co.th/products/gf1230100633" TargetMode="External" Id="rId236" /><Relationship Type="http://schemas.openxmlformats.org/officeDocument/2006/relationships/hyperlink" Target="https://mstgolf.co.th/products/gf1230100755" TargetMode="External" Id="rId237" /><Relationship Type="http://schemas.openxmlformats.org/officeDocument/2006/relationships/hyperlink" Target="https://mstgolf.co.th/products/gf1230100874" TargetMode="External" Id="rId238" /><Relationship Type="http://schemas.openxmlformats.org/officeDocument/2006/relationships/hyperlink" Target="https://mstgolf.co.th/products/gf1220100367" TargetMode="External" Id="rId239" /><Relationship Type="http://schemas.openxmlformats.org/officeDocument/2006/relationships/hyperlink" Target="https://mstgolf.co.th/products/gf1240101049" TargetMode="External" Id="rId240" /><Relationship Type="http://schemas.openxmlformats.org/officeDocument/2006/relationships/hyperlink" Target="https://mstgolf.co.th/products/gf1240101052" TargetMode="External" Id="rId241" /><Relationship Type="http://schemas.openxmlformats.org/officeDocument/2006/relationships/hyperlink" Target="https://mstgolf.co.th/products/gf1240101055" TargetMode="External" Id="rId242" /><Relationship Type="http://schemas.openxmlformats.org/officeDocument/2006/relationships/hyperlink" Target="https://mstgolf.co.th/products/gf1220100864" TargetMode="External" Id="rId243" /><Relationship Type="http://schemas.openxmlformats.org/officeDocument/2006/relationships/hyperlink" Target="https://mstgolf.co.th/products/gf1220100863" TargetMode="External" Id="rId244" /><Relationship Type="http://schemas.openxmlformats.org/officeDocument/2006/relationships/hyperlink" Target="https://mstgolf.co.th/products/gf1220100619" TargetMode="External" Id="rId245" /><Relationship Type="http://schemas.openxmlformats.org/officeDocument/2006/relationships/hyperlink" Target="https://mstgolf.co.th/products/gf1220100617" TargetMode="External" Id="rId246" /><Relationship Type="http://schemas.openxmlformats.org/officeDocument/2006/relationships/hyperlink" Target="https://mstgolf.co.th/products/gf1220100618" TargetMode="External" Id="rId247" /><Relationship Type="http://schemas.openxmlformats.org/officeDocument/2006/relationships/hyperlink" Target="https://mstgolf.co.th/products/gf1220100747" TargetMode="External" Id="rId248" /><Relationship Type="http://schemas.openxmlformats.org/officeDocument/2006/relationships/hyperlink" Target="https://mstgolf.co.th/products/gf1220100581" TargetMode="External" Id="rId249" /><Relationship Type="http://schemas.openxmlformats.org/officeDocument/2006/relationships/hyperlink" Target="https://mstgolf.co.th/products/gf1230100756" TargetMode="External" Id="rId250" /><Relationship Type="http://schemas.openxmlformats.org/officeDocument/2006/relationships/hyperlink" Target="https://mstgolf.co.th/products/gf1230100659" TargetMode="External" Id="rId251" /><Relationship Type="http://schemas.openxmlformats.org/officeDocument/2006/relationships/hyperlink" Target="https://mstgolf.co.th/products/gf3190200041" TargetMode="External" Id="rId252" /><Relationship Type="http://schemas.openxmlformats.org/officeDocument/2006/relationships/hyperlink" Target="https://mstgolf.co.th/products/gf1220100734" TargetMode="External" Id="rId253" /><Relationship Type="http://schemas.openxmlformats.org/officeDocument/2006/relationships/hyperlink" Target="https://mstgolf.co.th/products/gf1230100560" TargetMode="External" Id="rId254" /><Relationship Type="http://schemas.openxmlformats.org/officeDocument/2006/relationships/hyperlink" Target="https://mstgolf.co.th/products/gf1230100561" TargetMode="External" Id="rId255" /><Relationship Type="http://schemas.openxmlformats.org/officeDocument/2006/relationships/hyperlink" Target="https://mstgolf.co.th/products/gf1230100876" TargetMode="External" Id="rId256" /><Relationship Type="http://schemas.openxmlformats.org/officeDocument/2006/relationships/hyperlink" Target="https://mstgolf.co.th/products/gf1240101301" TargetMode="External" Id="rId257" /><Relationship Type="http://schemas.openxmlformats.org/officeDocument/2006/relationships/hyperlink" Target="https://mstgolf.co.th/products/gf1220100757" TargetMode="External" Id="rId258" /><Relationship Type="http://schemas.openxmlformats.org/officeDocument/2006/relationships/hyperlink" Target="https://mstgolf.co.th/products/gf1220100754" TargetMode="External" Id="rId259" /><Relationship Type="http://schemas.openxmlformats.org/officeDocument/2006/relationships/hyperlink" Target="https://mstgolf.co.th/products/gf1220100756" TargetMode="External" Id="rId260" /><Relationship Type="http://schemas.openxmlformats.org/officeDocument/2006/relationships/hyperlink" Target="https://mstgolf.co.th/products/gf1220100662" TargetMode="External" Id="rId261" /><Relationship Type="http://schemas.openxmlformats.org/officeDocument/2006/relationships/hyperlink" Target="https://mstgolf.co.th/products/gf1240100872" TargetMode="External" Id="rId262" /><Relationship Type="http://schemas.openxmlformats.org/officeDocument/2006/relationships/hyperlink" Target="https://mstgolf.co.th/products/gf1220100523" TargetMode="External" Id="rId263" /><Relationship Type="http://schemas.openxmlformats.org/officeDocument/2006/relationships/hyperlink" Target="https://mstgolf.co.th/products/gf1230100556" TargetMode="External" Id="rId264" /><Relationship Type="http://schemas.openxmlformats.org/officeDocument/2006/relationships/hyperlink" Target="https://mstgolf.co.th/products/gf1230100682" TargetMode="External" Id="rId265" /><Relationship Type="http://schemas.openxmlformats.org/officeDocument/2006/relationships/hyperlink" Target="https://mstgolf.co.th/products/gf1270100632" TargetMode="External" Id="rId266" /><Relationship Type="http://schemas.openxmlformats.org/officeDocument/2006/relationships/hyperlink" Target="https://mstgolf.co.th/products/gf1230100505" TargetMode="External" Id="rId267" /><Relationship Type="http://schemas.openxmlformats.org/officeDocument/2006/relationships/hyperlink" Target="https://mstgolf.co.th/products/gf1230100504" TargetMode="External" Id="rId268" /><Relationship Type="http://schemas.openxmlformats.org/officeDocument/2006/relationships/hyperlink" Target="https://mstgolf.co.th/products/gf1240101229" TargetMode="External" Id="rId269" /><Relationship Type="http://schemas.openxmlformats.org/officeDocument/2006/relationships/hyperlink" Target="https://mstgolf.co.th/products/gf1240101228" TargetMode="External" Id="rId270" /><Relationship Type="http://schemas.openxmlformats.org/officeDocument/2006/relationships/hyperlink" Target="https://mstgolf.co.th/products/gf3190200057" TargetMode="External" Id="rId271" /><Relationship Type="http://schemas.openxmlformats.org/officeDocument/2006/relationships/hyperlink" Target="https://mstgolf.co.th/products/gf1220100603" TargetMode="External" Id="rId272" /><Relationship Type="http://schemas.openxmlformats.org/officeDocument/2006/relationships/hyperlink" Target="https://mstgolf.co.th/products/gf1220100605" TargetMode="External" Id="rId273" /><Relationship Type="http://schemas.openxmlformats.org/officeDocument/2006/relationships/hyperlink" Target="https://mstgolf.co.th/products/gf1220100732" TargetMode="External" Id="rId274" /><Relationship Type="http://schemas.openxmlformats.org/officeDocument/2006/relationships/hyperlink" Target="https://mstgolf.co.th/products/gf1220100730" TargetMode="External" Id="rId275" /><Relationship Type="http://schemas.openxmlformats.org/officeDocument/2006/relationships/hyperlink" Target="https://mstgolf.co.th/products/gf1230100588" TargetMode="External" Id="rId276" /><Relationship Type="http://schemas.openxmlformats.org/officeDocument/2006/relationships/hyperlink" Target="https://mstgolf.co.th/products/gf1270100631" TargetMode="External" Id="rId277" /><Relationship Type="http://schemas.openxmlformats.org/officeDocument/2006/relationships/hyperlink" Target="https://mstgolf.co.th/products/gf1270100629" TargetMode="External" Id="rId278" /><Relationship Type="http://schemas.openxmlformats.org/officeDocument/2006/relationships/hyperlink" Target="https://mstgolf.co.th/products/gf1270100628" TargetMode="External" Id="rId279" /><Relationship Type="http://schemas.openxmlformats.org/officeDocument/2006/relationships/hyperlink" Target="https://mstgolf.co.th/products/gf1270100627" TargetMode="External" Id="rId280" /><Relationship Type="http://schemas.openxmlformats.org/officeDocument/2006/relationships/hyperlink" Target="https://mstgolf.co.th/products/gf1270100641" TargetMode="External" Id="rId281" /><Relationship Type="http://schemas.openxmlformats.org/officeDocument/2006/relationships/hyperlink" Target="https://mstgolf.co.th/products/gf1230100696" TargetMode="External" Id="rId282" /><Relationship Type="http://schemas.openxmlformats.org/officeDocument/2006/relationships/hyperlink" Target="https://mstgolf.co.th/products/gf1230100693" TargetMode="External" Id="rId283" /><Relationship Type="http://schemas.openxmlformats.org/officeDocument/2006/relationships/hyperlink" Target="https://mstgolf.co.th/products/gf1230100691" TargetMode="External" Id="rId284" /><Relationship Type="http://schemas.openxmlformats.org/officeDocument/2006/relationships/hyperlink" Target="https://mstgolf.co.th/products/gf1230100796" TargetMode="External" Id="rId285" /><Relationship Type="http://schemas.openxmlformats.org/officeDocument/2006/relationships/hyperlink" Target="https://mstgolf.co.th/products/gf1230100798" TargetMode="External" Id="rId286" /><Relationship Type="http://schemas.openxmlformats.org/officeDocument/2006/relationships/hyperlink" Target="https://mstgolf.co.th/products/gf1240100882" TargetMode="External" Id="rId287" /><Relationship Type="http://schemas.openxmlformats.org/officeDocument/2006/relationships/hyperlink" Target="https://mstgolf.co.th/products/gf1240100884" TargetMode="External" Id="rId288" /><Relationship Type="http://schemas.openxmlformats.org/officeDocument/2006/relationships/hyperlink" Target="https://mstgolf.co.th/products/gf1240100887" TargetMode="External" Id="rId289" /><Relationship Type="http://schemas.openxmlformats.org/officeDocument/2006/relationships/hyperlink" Target="https://mstgolf.co.th/products/gf1240100880" TargetMode="External" Id="rId290" /><Relationship Type="http://schemas.openxmlformats.org/officeDocument/2006/relationships/hyperlink" Target="https://mstgolf.co.th/products/gf1210100850" TargetMode="External" Id="rId291" /><Relationship Type="http://schemas.openxmlformats.org/officeDocument/2006/relationships/hyperlink" Target="https://mstgolf.co.th/products/gf1210100847" TargetMode="External" Id="rId292" /><Relationship Type="http://schemas.openxmlformats.org/officeDocument/2006/relationships/hyperlink" Target="https://mstgolf.co.th/products/gf1270100688" TargetMode="External" Id="rId293" /><Relationship Type="http://schemas.openxmlformats.org/officeDocument/2006/relationships/hyperlink" Target="https://mstgolf.co.th/products/gf1270100599" TargetMode="External" Id="rId294" /><Relationship Type="http://schemas.openxmlformats.org/officeDocument/2006/relationships/hyperlink" Target="https://mstgolf.co.th/products/gf1270100598" TargetMode="External" Id="rId295" /><Relationship Type="http://schemas.openxmlformats.org/officeDocument/2006/relationships/hyperlink" Target="https://mstgolf.co.th/products/gf1230100528" TargetMode="External" Id="rId296" /><Relationship Type="http://schemas.openxmlformats.org/officeDocument/2006/relationships/hyperlink" Target="https://mstgolf.co.th/products/gf1230100527" TargetMode="External" Id="rId297" /><Relationship Type="http://schemas.openxmlformats.org/officeDocument/2006/relationships/hyperlink" Target="https://mstgolf.co.th/products/gf1270100613" TargetMode="External" Id="rId298" /><Relationship Type="http://schemas.openxmlformats.org/officeDocument/2006/relationships/hyperlink" Target="https://mstgolf.co.th/products/gf1270100440" TargetMode="External" Id="rId299" /><Relationship Type="http://schemas.openxmlformats.org/officeDocument/2006/relationships/hyperlink" Target="https://mstgolf.co.th/products/gf1270100469" TargetMode="External" Id="rId300" /><Relationship Type="http://schemas.openxmlformats.org/officeDocument/2006/relationships/hyperlink" Target="https://mstgolf.co.th/products/gf1230100462" TargetMode="External" Id="rId301" /><Relationship Type="http://schemas.openxmlformats.org/officeDocument/2006/relationships/hyperlink" Target="https://mstgolf.co.th/products/gf1210100699" TargetMode="External" Id="rId302" /><Relationship Type="http://schemas.openxmlformats.org/officeDocument/2006/relationships/hyperlink" Target="https://mstgolf.co.th/products/gf1210100696" TargetMode="External" Id="rId303" /><Relationship Type="http://schemas.openxmlformats.org/officeDocument/2006/relationships/hyperlink" Target="https://mstgolf.co.th/products/gf1240100460" TargetMode="External" Id="rId304" /><Relationship Type="http://schemas.openxmlformats.org/officeDocument/2006/relationships/hyperlink" Target="https://mstgolf.co.th/products/gf1270100611" TargetMode="External" Id="rId305" /><Relationship Type="http://schemas.openxmlformats.org/officeDocument/2006/relationships/hyperlink" Target="https://mstgolf.co.th/products/gf1270100526" TargetMode="External" Id="rId306" /><Relationship Type="http://schemas.openxmlformats.org/officeDocument/2006/relationships/hyperlink" Target="https://mstgolf.co.th/products/gf1270100494" TargetMode="External" Id="rId307" /><Relationship Type="http://schemas.openxmlformats.org/officeDocument/2006/relationships/hyperlink" Target="https://mstgolf.co.th/products/gf1270100493" TargetMode="External" Id="rId308" /><Relationship Type="http://schemas.openxmlformats.org/officeDocument/2006/relationships/hyperlink" Target="https://mstgolf.co.th/products/gf1230100473" TargetMode="External" Id="rId309" /><Relationship Type="http://schemas.openxmlformats.org/officeDocument/2006/relationships/hyperlink" Target="https://mstgolf.co.th/products/gf1270100361" TargetMode="External" Id="rId310" /><Relationship Type="http://schemas.openxmlformats.org/officeDocument/2006/relationships/hyperlink" Target="https://mstgolf.co.th/products/gf1270100273" TargetMode="External" Id="rId311" /><Relationship Type="http://schemas.openxmlformats.org/officeDocument/2006/relationships/hyperlink" Target="https://mstgolf.co.th/products/gf1230100754" TargetMode="External" Id="rId312" /><Relationship Type="http://schemas.openxmlformats.org/officeDocument/2006/relationships/hyperlink" Target="https://mstgolf.co.th/products/gf1220100635" TargetMode="External" Id="rId313" /><Relationship Type="http://schemas.openxmlformats.org/officeDocument/2006/relationships/hyperlink" Target="https://mstgolf.co.th/products/gf1220100633" TargetMode="External" Id="rId314" /><Relationship Type="http://schemas.openxmlformats.org/officeDocument/2006/relationships/hyperlink" Target="https://mstgolf.co.th/products/gf1220100634" TargetMode="External" Id="rId315" /><Relationship Type="http://schemas.openxmlformats.org/officeDocument/2006/relationships/hyperlink" Target="https://mstgolf.co.th/products/gf1270100543" TargetMode="External" Id="rId316" /><Relationship Type="http://schemas.openxmlformats.org/officeDocument/2006/relationships/hyperlink" Target="https://mstgolf.co.th/products/gf1270100534" TargetMode="External" Id="rId317" /><Relationship Type="http://schemas.openxmlformats.org/officeDocument/2006/relationships/hyperlink" Target="https://mstgolf.co.th/products/gf1270100540" TargetMode="External" Id="rId318" /><Relationship Type="http://schemas.openxmlformats.org/officeDocument/2006/relationships/hyperlink" Target="https://mstgolf.co.th/products/gf1240100653" TargetMode="External" Id="rId319" /><Relationship Type="http://schemas.openxmlformats.org/officeDocument/2006/relationships/hyperlink" Target="https://mstgolf.co.th/products/gf1220100539" TargetMode="External" Id="rId320" /><Relationship Type="http://schemas.openxmlformats.org/officeDocument/2006/relationships/hyperlink" Target="https://mstgolf.co.th/products/gf1220100541" TargetMode="External" Id="rId321" /><Relationship Type="http://schemas.openxmlformats.org/officeDocument/2006/relationships/hyperlink" Target="https://mstgolf.co.th/products/gf1220100537" TargetMode="External" Id="rId322" /><Relationship Type="http://schemas.openxmlformats.org/officeDocument/2006/relationships/hyperlink" Target="https://mstgolf.co.th/products/gf1240101350" TargetMode="External" Id="rId323" /><Relationship Type="http://schemas.openxmlformats.org/officeDocument/2006/relationships/hyperlink" Target="https://mstgolf.co.th/products/gf1270100579" TargetMode="External" Id="rId324" /><Relationship Type="http://schemas.openxmlformats.org/officeDocument/2006/relationships/hyperlink" Target="https://mstgolf.co.th/products/gf1270100580" TargetMode="External" Id="rId325" /><Relationship Type="http://schemas.openxmlformats.org/officeDocument/2006/relationships/hyperlink" Target="https://mstgolf.co.th/products/gf1270100289" TargetMode="External" Id="rId326" /><Relationship Type="http://schemas.openxmlformats.org/officeDocument/2006/relationships/hyperlink" Target="https://mstgolf.co.th/products/gf1270100182" TargetMode="External" Id="rId327" /><Relationship Type="http://schemas.openxmlformats.org/officeDocument/2006/relationships/hyperlink" Target="https://mstgolf.co.th/products/gf1270100299" TargetMode="External" Id="rId328" /><Relationship Type="http://schemas.openxmlformats.org/officeDocument/2006/relationships/hyperlink" Target="https://mstgolf.co.th/products/gf1240101235" TargetMode="External" Id="rId329" /><Relationship Type="http://schemas.openxmlformats.org/officeDocument/2006/relationships/hyperlink" Target="https://mstgolf.co.th/products/gf1270100177" TargetMode="External" Id="rId330" /><Relationship Type="http://schemas.openxmlformats.org/officeDocument/2006/relationships/hyperlink" Target="https://mstgolf.co.th/products/gf1240100823" TargetMode="External" Id="rId331" /><Relationship Type="http://schemas.openxmlformats.org/officeDocument/2006/relationships/hyperlink" Target="https://mstgolf.co.th/products/gf1250100178" TargetMode="External" Id="rId332" /><Relationship Type="http://schemas.openxmlformats.org/officeDocument/2006/relationships/hyperlink" Target="https://mstgolf.co.th/products/gf3300100001" TargetMode="External" Id="rId333" /><Relationship Type="http://schemas.openxmlformats.org/officeDocument/2006/relationships/hyperlink" Target="https://mstgolf.co.th/products/gf3190200058" TargetMode="External" Id="rId334" /><Relationship Type="http://schemas.openxmlformats.org/officeDocument/2006/relationships/hyperlink" Target="https://mstgolf.co.th/products/gf1280101148" TargetMode="External" Id="rId335" /><Relationship Type="http://schemas.openxmlformats.org/officeDocument/2006/relationships/hyperlink" Target="https://mstgolf.co.th/products/gf1280101468" TargetMode="External" Id="rId336" /><Relationship Type="http://schemas.openxmlformats.org/officeDocument/2006/relationships/hyperlink" Target="https://mstgolf.co.th/products/gf1280101469" TargetMode="External" Id="rId337" /><Relationship Type="http://schemas.openxmlformats.org/officeDocument/2006/relationships/hyperlink" Target="https://mstgolf.co.th/products/gf1280101202" TargetMode="External" Id="rId338" /><Relationship Type="http://schemas.openxmlformats.org/officeDocument/2006/relationships/hyperlink" Target="https://mstgolf.co.th/products/gf1250100245" TargetMode="External" Id="rId339" /><Relationship Type="http://schemas.openxmlformats.org/officeDocument/2006/relationships/hyperlink" Target="https://mstgolf.co.th/products/gf1280100919" TargetMode="External" Id="rId340" /><Relationship Type="http://schemas.openxmlformats.org/officeDocument/2006/relationships/hyperlink" Target="https://mstgolf.co.th/products/gf1280101352" TargetMode="External" Id="rId341" /><Relationship Type="http://schemas.openxmlformats.org/officeDocument/2006/relationships/hyperlink" Target="https://mstgolf.co.th/products/gf1280100954" TargetMode="External" Id="rId342" /><Relationship Type="http://schemas.openxmlformats.org/officeDocument/2006/relationships/hyperlink" Target="https://mstgolf.co.th/products/gf1210101388" TargetMode="External" Id="rId343" /><Relationship Type="http://schemas.openxmlformats.org/officeDocument/2006/relationships/hyperlink" Target="https://mstgolf.co.th/products/gf1210101389" TargetMode="External" Id="rId344" /><Relationship Type="http://schemas.openxmlformats.org/officeDocument/2006/relationships/hyperlink" Target="https://mstgolf.co.th/products/gf1210100989" TargetMode="External" Id="rId345" /><Relationship Type="http://schemas.openxmlformats.org/officeDocument/2006/relationships/hyperlink" Target="https://mstgolf.co.th/products/gf1280101343" TargetMode="External" Id="rId346" /><Relationship Type="http://schemas.openxmlformats.org/officeDocument/2006/relationships/hyperlink" Target="https://mstgolf.co.th/products/gf1280101344" TargetMode="External" Id="rId347" /><Relationship Type="http://schemas.openxmlformats.org/officeDocument/2006/relationships/hyperlink" Target="https://mstgolf.co.th/products/gf1240101260" TargetMode="External" Id="rId348" /><Relationship Type="http://schemas.openxmlformats.org/officeDocument/2006/relationships/hyperlink" Target="https://mstgolf.co.th/products/gf1280101107" TargetMode="External" Id="rId349" /><Relationship Type="http://schemas.openxmlformats.org/officeDocument/2006/relationships/hyperlink" Target="https://mstgolf.co.th/products/gf1280101359" TargetMode="External" Id="rId350" /><Relationship Type="http://schemas.openxmlformats.org/officeDocument/2006/relationships/hyperlink" Target="https://mstgolf.co.th/products/gf1280101356" TargetMode="External" Id="rId351" /><Relationship Type="http://schemas.openxmlformats.org/officeDocument/2006/relationships/hyperlink" Target="https://mstgolf.co.th/products/gf1280101379" TargetMode="External" Id="rId352" /><Relationship Type="http://schemas.openxmlformats.org/officeDocument/2006/relationships/hyperlink" Target="https://mstgolf.co.th/products/gf1210101058" TargetMode="External" Id="rId353" /><Relationship Type="http://schemas.openxmlformats.org/officeDocument/2006/relationships/hyperlink" Target="https://mstgolf.co.th/products/gf1280101390" TargetMode="External" Id="rId354" /><Relationship Type="http://schemas.openxmlformats.org/officeDocument/2006/relationships/hyperlink" Target="https://mstgolf.co.th/products/gf1280101391" TargetMode="External" Id="rId355" /><Relationship Type="http://schemas.openxmlformats.org/officeDocument/2006/relationships/hyperlink" Target="https://mstgolf.co.th/products/gf1280101357" TargetMode="External" Id="rId356" /><Relationship Type="http://schemas.openxmlformats.org/officeDocument/2006/relationships/hyperlink" Target="https://mstgolf.co.th/products/gf1250100183" TargetMode="External" Id="rId357" /><Relationship Type="http://schemas.openxmlformats.org/officeDocument/2006/relationships/hyperlink" Target="https://mstgolf.co.th/products/gf1210100478" TargetMode="External" Id="rId358" /><Relationship Type="http://schemas.openxmlformats.org/officeDocument/2006/relationships/hyperlink" Target="https://mstgolf.co.th/products/gf1280101308" TargetMode="External" Id="rId359" /><Relationship Type="http://schemas.openxmlformats.org/officeDocument/2006/relationships/hyperlink" Target="https://mstgolf.co.th/products/gf1280101382" TargetMode="External" Id="rId360" /><Relationship Type="http://schemas.openxmlformats.org/officeDocument/2006/relationships/hyperlink" Target="https://mstgolf.co.th/products/gf1280101048" TargetMode="External" Id="rId361" /><Relationship Type="http://schemas.openxmlformats.org/officeDocument/2006/relationships/hyperlink" Target="https://mstgolf.co.th/products/gf1280100965" TargetMode="External" Id="rId362" /><Relationship Type="http://schemas.openxmlformats.org/officeDocument/2006/relationships/hyperlink" Target="https://mstgolf.co.th/products/gf1280100752" TargetMode="External" Id="rId363" /><Relationship Type="http://schemas.openxmlformats.org/officeDocument/2006/relationships/hyperlink" Target="https://mstgolf.co.th/products/gf1220101006" TargetMode="External" Id="rId364" /><Relationship Type="http://schemas.openxmlformats.org/officeDocument/2006/relationships/hyperlink" Target="https://mstgolf.co.th/products/gf1220101007" TargetMode="External" Id="rId365" /><Relationship Type="http://schemas.openxmlformats.org/officeDocument/2006/relationships/hyperlink" Target="https://mstgolf.co.th/products/gf1280101252" TargetMode="External" Id="rId366" /><Relationship Type="http://schemas.openxmlformats.org/officeDocument/2006/relationships/hyperlink" Target="https://mstgolf.co.th/products/gf1210100775" TargetMode="External" Id="rId367" /><Relationship Type="http://schemas.openxmlformats.org/officeDocument/2006/relationships/hyperlink" Target="https://mstgolf.co.th/products/gf1250100220" TargetMode="External" Id="rId368" /><Relationship Type="http://schemas.openxmlformats.org/officeDocument/2006/relationships/hyperlink" Target="https://mstgolf.co.th/products/gf1280101206" TargetMode="External" Id="rId369" /><Relationship Type="http://schemas.openxmlformats.org/officeDocument/2006/relationships/hyperlink" Target="https://mstgolf.co.th/products/gf1280101208" TargetMode="External" Id="rId370" /><Relationship Type="http://schemas.openxmlformats.org/officeDocument/2006/relationships/hyperlink" Target="https://mstgolf.co.th/products/gf1280101209" TargetMode="External" Id="rId371" /><Relationship Type="http://schemas.openxmlformats.org/officeDocument/2006/relationships/hyperlink" Target="https://mstgolf.co.th/products/gf1280101207" TargetMode="External" Id="rId372" /><Relationship Type="http://schemas.openxmlformats.org/officeDocument/2006/relationships/hyperlink" Target="https://mstgolf.co.th/products/gf1280101380" TargetMode="External" Id="rId373" /><Relationship Type="http://schemas.openxmlformats.org/officeDocument/2006/relationships/hyperlink" Target="https://mstgolf.co.th/products/gf1220100746" TargetMode="External" Id="rId374" /><Relationship Type="http://schemas.openxmlformats.org/officeDocument/2006/relationships/hyperlink" Target="https://mstgolf.co.th/products/gf1280101112" TargetMode="External" Id="rId375" /><Relationship Type="http://schemas.openxmlformats.org/officeDocument/2006/relationships/hyperlink" Target="https://mstgolf.co.th/products/gf1250100110" TargetMode="External" Id="rId376" /><Relationship Type="http://schemas.openxmlformats.org/officeDocument/2006/relationships/hyperlink" Target="https://mstgolf.co.th/products/gf1280101310" TargetMode="External" Id="rId377" /><Relationship Type="http://schemas.openxmlformats.org/officeDocument/2006/relationships/hyperlink" Target="https://mstgolf.co.th/products/gf1280101377" TargetMode="External" Id="rId378" /><Relationship Type="http://schemas.openxmlformats.org/officeDocument/2006/relationships/hyperlink" Target="https://mstgolf.co.th/products/gf1280101378" TargetMode="External" Id="rId379" /><Relationship Type="http://schemas.openxmlformats.org/officeDocument/2006/relationships/hyperlink" Target="https://mstgolf.co.th/products/gf1280100896" TargetMode="External" Id="rId380" /><Relationship Type="http://schemas.openxmlformats.org/officeDocument/2006/relationships/hyperlink" Target="https://mstgolf.co.th/products/gf1240101131" TargetMode="External" Id="rId381" /><Relationship Type="http://schemas.openxmlformats.org/officeDocument/2006/relationships/hyperlink" Target="https://mstgolf.co.th/products/gf1240101201" TargetMode="External" Id="rId382" /><Relationship Type="http://schemas.openxmlformats.org/officeDocument/2006/relationships/hyperlink" Target="https://mstgolf.co.th/products/gf1240101093" TargetMode="External" Id="rId383" /><Relationship Type="http://schemas.openxmlformats.org/officeDocument/2006/relationships/hyperlink" Target="https://mstgolf.co.th/products/gf1240101511" TargetMode="External" Id="rId384" /><Relationship Type="http://schemas.openxmlformats.org/officeDocument/2006/relationships/hyperlink" Target="https://mstgolf.co.th/products/gf1240101508" TargetMode="External" Id="rId385" /><Relationship Type="http://schemas.openxmlformats.org/officeDocument/2006/relationships/hyperlink" Target="https://mstgolf.co.th/products/gf1240101509" TargetMode="External" Id="rId386" /><Relationship Type="http://schemas.openxmlformats.org/officeDocument/2006/relationships/hyperlink" Target="https://mstgolf.co.th/products/gf1240101510" TargetMode="External" Id="rId387" /><Relationship Type="http://schemas.openxmlformats.org/officeDocument/2006/relationships/hyperlink" Target="https://mstgolf.co.th/products/gf1240101427" TargetMode="External" Id="rId388" /><Relationship Type="http://schemas.openxmlformats.org/officeDocument/2006/relationships/hyperlink" Target="https://mstgolf.co.th/products/gf1240101255" TargetMode="External" Id="rId389" /><Relationship Type="http://schemas.openxmlformats.org/officeDocument/2006/relationships/hyperlink" Target="https://mstgolf.co.th/products/gf1280101253" TargetMode="External" Id="rId390" /><Relationship Type="http://schemas.openxmlformats.org/officeDocument/2006/relationships/hyperlink" Target="https://mstgolf.co.th/products/gf1210101237" TargetMode="External" Id="rId391" /><Relationship Type="http://schemas.openxmlformats.org/officeDocument/2006/relationships/hyperlink" Target="https://mstgolf.co.th/products/gf1240101345" TargetMode="External" Id="rId392" /><Relationship Type="http://schemas.openxmlformats.org/officeDocument/2006/relationships/hyperlink" Target="https://mstgolf.co.th/products/gf1280101242" TargetMode="External" Id="rId393" /><Relationship Type="http://schemas.openxmlformats.org/officeDocument/2006/relationships/hyperlink" Target="https://mstgolf.co.th/products/gf1230100681" TargetMode="External" Id="rId394" /><Relationship Type="http://schemas.openxmlformats.org/officeDocument/2006/relationships/hyperlink" Target="https://mstgolf.co.th/products/gf1240101034" TargetMode="External" Id="rId395" /><Relationship Type="http://schemas.openxmlformats.org/officeDocument/2006/relationships/hyperlink" Target="https://mstgolf.co.th/products/gf1240101142" TargetMode="External" Id="rId396" /><Relationship Type="http://schemas.openxmlformats.org/officeDocument/2006/relationships/hyperlink" Target="https://mstgolf.co.th/products/gf1240101094" TargetMode="External" Id="rId397" /><Relationship Type="http://schemas.openxmlformats.org/officeDocument/2006/relationships/hyperlink" Target="https://mstgolf.co.th/products/gf1250100106" TargetMode="External" Id="rId398" /><Relationship Type="http://schemas.openxmlformats.org/officeDocument/2006/relationships/hyperlink" Target="https://mstgolf.co.th/products/gf1250100109" TargetMode="External" Id="rId399" /><Relationship Type="http://schemas.openxmlformats.org/officeDocument/2006/relationships/hyperlink" Target="https://mstgolf.co.th/products/gf1220100796" TargetMode="External" Id="rId400" /><Relationship Type="http://schemas.openxmlformats.org/officeDocument/2006/relationships/hyperlink" Target="https://mstgolf.co.th/products/gf1250100123" TargetMode="External" Id="rId401" /><Relationship Type="http://schemas.openxmlformats.org/officeDocument/2006/relationships/hyperlink" Target="https://mstgolf.co.th/products/gf1220100409" TargetMode="External" Id="rId402" /><Relationship Type="http://schemas.openxmlformats.org/officeDocument/2006/relationships/hyperlink" Target="https://mstgolf.co.th/products/gf1250100136" TargetMode="External" Id="rId403" /><Relationship Type="http://schemas.openxmlformats.org/officeDocument/2006/relationships/hyperlink" Target="https://mstgolf.co.th/products/gf1280101472" TargetMode="External" Id="rId404" /><Relationship Type="http://schemas.openxmlformats.org/officeDocument/2006/relationships/hyperlink" Target="https://mstgolf.co.th/products/gf1220100224" TargetMode="External" Id="rId405" /><Relationship Type="http://schemas.openxmlformats.org/officeDocument/2006/relationships/hyperlink" Target="https://mstgolf.co.th/products/gf1240101263" TargetMode="External" Id="rId406" /><Relationship Type="http://schemas.openxmlformats.org/officeDocument/2006/relationships/hyperlink" Target="https://mstgolf.co.th/products/gf1280100951" TargetMode="External" Id="rId407" /><Relationship Type="http://schemas.openxmlformats.org/officeDocument/2006/relationships/hyperlink" Target="https://mstgolf.co.th/products/gf1280100950" TargetMode="External" Id="rId408" /><Relationship Type="http://schemas.openxmlformats.org/officeDocument/2006/relationships/hyperlink" Target="https://mstgolf.co.th/products/gf1280100520" TargetMode="External" Id="rId409" /><Relationship Type="http://schemas.openxmlformats.org/officeDocument/2006/relationships/hyperlink" Target="https://mstgolf.co.th/products/gf1280101063" TargetMode="External" Id="rId410" /><Relationship Type="http://schemas.openxmlformats.org/officeDocument/2006/relationships/hyperlink" Target="https://mstgolf.co.th/products/gf1280101374" TargetMode="External" Id="rId411" /><Relationship Type="http://schemas.openxmlformats.org/officeDocument/2006/relationships/hyperlink" Target="https://mstgolf.co.th/products/gf1280101375" TargetMode="External" Id="rId412" /><Relationship Type="http://schemas.openxmlformats.org/officeDocument/2006/relationships/hyperlink" Target="https://mstgolf.co.th/products/gf1220100587" TargetMode="External" Id="rId413" /><Relationship Type="http://schemas.openxmlformats.org/officeDocument/2006/relationships/hyperlink" Target="https://mstgolf.co.th/products/gf1220100588" TargetMode="External" Id="rId414" /><Relationship Type="http://schemas.openxmlformats.org/officeDocument/2006/relationships/hyperlink" Target="https://mstgolf.co.th/products/gf1250100162" TargetMode="External" Id="rId415" /><Relationship Type="http://schemas.openxmlformats.org/officeDocument/2006/relationships/hyperlink" Target="https://mstgolf.co.th/products/gf1250100137" TargetMode="External" Id="rId416" /><Relationship Type="http://schemas.openxmlformats.org/officeDocument/2006/relationships/hyperlink" Target="https://mstgolf.co.th/products/gf1280101082" TargetMode="External" Id="rId417" /><Relationship Type="http://schemas.openxmlformats.org/officeDocument/2006/relationships/hyperlink" Target="https://mstgolf.co.th/products/gf1250100196" TargetMode="External" Id="rId418" /><Relationship Type="http://schemas.openxmlformats.org/officeDocument/2006/relationships/hyperlink" Target="https://mstgolf.co.th/products/gf1210100387" TargetMode="External" Id="rId419" /><Relationship Type="http://schemas.openxmlformats.org/officeDocument/2006/relationships/hyperlink" Target="https://mstgolf.co.th/products/gf1220100383" TargetMode="External" Id="rId420" /><Relationship Type="http://schemas.openxmlformats.org/officeDocument/2006/relationships/hyperlink" Target="https://mstgolf.co.th/products/gf1230100926" TargetMode="External" Id="rId421" /><Relationship Type="http://schemas.openxmlformats.org/officeDocument/2006/relationships/hyperlink" Target="https://mstgolf.co.th/products/gf1230100927" TargetMode="External" Id="rId422" /><Relationship Type="http://schemas.openxmlformats.org/officeDocument/2006/relationships/hyperlink" Target="https://mstgolf.co.th/products/gf1210100935" TargetMode="External" Id="rId423" /><Relationship Type="http://schemas.openxmlformats.org/officeDocument/2006/relationships/hyperlink" Target="https://mstgolf.co.th/products/gf1280101121" TargetMode="External" Id="rId424" /><Relationship Type="http://schemas.openxmlformats.org/officeDocument/2006/relationships/hyperlink" Target="https://mstgolf.co.th/products/gf1280101124" TargetMode="External" Id="rId425" /><Relationship Type="http://schemas.openxmlformats.org/officeDocument/2006/relationships/hyperlink" Target="https://mstgolf.co.th/products/gf1280101126" TargetMode="External" Id="rId426" /><Relationship Type="http://schemas.openxmlformats.org/officeDocument/2006/relationships/hyperlink" Target="https://mstgolf.co.th/products/gf1280101128" TargetMode="External" Id="rId427" /><Relationship Type="http://schemas.openxmlformats.org/officeDocument/2006/relationships/hyperlink" Target="https://mstgolf.co.th/products/gf3190100085" TargetMode="External" Id="rId428" /><Relationship Type="http://schemas.openxmlformats.org/officeDocument/2006/relationships/hyperlink" Target="https://mstgolf.co.th/products/gf1280101464" TargetMode="External" Id="rId429" /><Relationship Type="http://schemas.openxmlformats.org/officeDocument/2006/relationships/hyperlink" Target="https://mstgolf.co.th/products/gf1230100355" TargetMode="External" Id="rId430" /><Relationship Type="http://schemas.openxmlformats.org/officeDocument/2006/relationships/hyperlink" Target="https://mstgolf.co.th/products/gf1280100788" TargetMode="External" Id="rId431" /><Relationship Type="http://schemas.openxmlformats.org/officeDocument/2006/relationships/hyperlink" Target="https://mstgolf.co.th/products/gf1280100547" TargetMode="External" Id="rId432" /><Relationship Type="http://schemas.openxmlformats.org/officeDocument/2006/relationships/hyperlink" Target="https://mstgolf.co.th/products/gf1210100594" TargetMode="External" Id="rId433" /><Relationship Type="http://schemas.openxmlformats.org/officeDocument/2006/relationships/hyperlink" Target="https://mstgolf.co.th/products/gf1240101105" TargetMode="External" Id="rId434" /><Relationship Type="http://schemas.openxmlformats.org/officeDocument/2006/relationships/hyperlink" Target="https://mstgolf.co.th/products/gf1280101303" TargetMode="External" Id="rId435" /><Relationship Type="http://schemas.openxmlformats.org/officeDocument/2006/relationships/hyperlink" Target="https://mstgolf.co.th/products/gf1280101033" TargetMode="External" Id="rId436" /><Relationship Type="http://schemas.openxmlformats.org/officeDocument/2006/relationships/hyperlink" Target="https://mstgolf.co.th/products/gf1280100790" TargetMode="External" Id="rId437" /><Relationship Type="http://schemas.openxmlformats.org/officeDocument/2006/relationships/hyperlink" Target="https://mstgolf.co.th/products/gf1280100997" TargetMode="External" Id="rId438" /><Relationship Type="http://schemas.openxmlformats.org/officeDocument/2006/relationships/hyperlink" Target="https://mstgolf.co.th/products/gf1220100313" TargetMode="External" Id="rId439" /><Relationship Type="http://schemas.openxmlformats.org/officeDocument/2006/relationships/hyperlink" Target="https://mstgolf.co.th/products/gf1280100900" TargetMode="External" Id="rId440" /><Relationship Type="http://schemas.openxmlformats.org/officeDocument/2006/relationships/hyperlink" Target="https://mstgolf.co.th/products/gf3190200016" TargetMode="External" Id="rId441" /><Relationship Type="http://schemas.openxmlformats.org/officeDocument/2006/relationships/hyperlink" Target="https://mstgolf.co.th/products/gf1240101505" TargetMode="External" Id="rId442" /><Relationship Type="http://schemas.openxmlformats.org/officeDocument/2006/relationships/hyperlink" Target="https://mstgolf.co.th/products/gf1280101301" TargetMode="External" Id="rId443" /><Relationship Type="http://schemas.openxmlformats.org/officeDocument/2006/relationships/hyperlink" Target="https://mstgolf.co.th/products/gf1210101361" TargetMode="External" Id="rId444" /><Relationship Type="http://schemas.openxmlformats.org/officeDocument/2006/relationships/hyperlink" Target="https://mstgolf.co.th/products/gf1210101358" TargetMode="External" Id="rId445" /><Relationship Type="http://schemas.openxmlformats.org/officeDocument/2006/relationships/hyperlink" Target="https://mstgolf.co.th/products/gf3190200032" TargetMode="External" Id="rId446" /><Relationship Type="http://schemas.openxmlformats.org/officeDocument/2006/relationships/hyperlink" Target="https://mstgolf.co.th/products/gf1210101387" TargetMode="External" Id="rId447" /><Relationship Type="http://schemas.openxmlformats.org/officeDocument/2006/relationships/hyperlink" Target="https://mstgolf.co.th/products/gf1210101386" TargetMode="External" Id="rId448" /><Relationship Type="http://schemas.openxmlformats.org/officeDocument/2006/relationships/hyperlink" Target="https://mstgolf.co.th/products/gf1210100970" TargetMode="External" Id="rId449" /><Relationship Type="http://schemas.openxmlformats.org/officeDocument/2006/relationships/hyperlink" Target="https://mstgolf.co.th/products/gf1240101523" TargetMode="External" Id="rId450" /><Relationship Type="http://schemas.openxmlformats.org/officeDocument/2006/relationships/hyperlink" Target="https://mstgolf.co.th/products/gf1240101450" TargetMode="External" Id="rId451" /><Relationship Type="http://schemas.openxmlformats.org/officeDocument/2006/relationships/hyperlink" Target="https://mstgolf.co.th/products/gf1230100732" TargetMode="External" Id="rId452" /><Relationship Type="http://schemas.openxmlformats.org/officeDocument/2006/relationships/hyperlink" Target="https://mstgolf.co.th/products/gf1230100733" TargetMode="External" Id="rId453" /><Relationship Type="http://schemas.openxmlformats.org/officeDocument/2006/relationships/hyperlink" Target="https://mstgolf.co.th/products/gf1240101461" TargetMode="External" Id="rId454" /><Relationship Type="http://schemas.openxmlformats.org/officeDocument/2006/relationships/hyperlink" Target="https://mstgolf.co.th/products/gf1210101104" TargetMode="External" Id="rId455" /><Relationship Type="http://schemas.openxmlformats.org/officeDocument/2006/relationships/hyperlink" Target="https://mstgolf.co.th/products/gf1210101105" TargetMode="External" Id="rId456" /><Relationship Type="http://schemas.openxmlformats.org/officeDocument/2006/relationships/hyperlink" Target="https://mstgolf.co.th/products/gf1230100270" TargetMode="External" Id="rId457" /><Relationship Type="http://schemas.openxmlformats.org/officeDocument/2006/relationships/hyperlink" Target="https://mstgolf.co.th/products/gf1210101382" TargetMode="External" Id="rId458" /><Relationship Type="http://schemas.openxmlformats.org/officeDocument/2006/relationships/hyperlink" Target="https://mstgolf.co.th/products/gf1210100947" TargetMode="External" Id="rId459" /><Relationship Type="http://schemas.openxmlformats.org/officeDocument/2006/relationships/hyperlink" Target="https://mstgolf.co.th/products/gf1210100946" TargetMode="External" Id="rId460" /><Relationship Type="http://schemas.openxmlformats.org/officeDocument/2006/relationships/hyperlink" Target="https://mstgolf.co.th/products/gf1240101103" TargetMode="External" Id="rId461" /><Relationship Type="http://schemas.openxmlformats.org/officeDocument/2006/relationships/hyperlink" Target="https://mstgolf.co.th/products/gf1210100978" TargetMode="External" Id="rId462" /><Relationship Type="http://schemas.openxmlformats.org/officeDocument/2006/relationships/hyperlink" Target="https://mstgolf.co.th/products/gf1280101335" TargetMode="External" Id="rId463" /><Relationship Type="http://schemas.openxmlformats.org/officeDocument/2006/relationships/hyperlink" Target="https://mstgolf.co.th/products/gf1280101337" TargetMode="External" Id="rId464" /><Relationship Type="http://schemas.openxmlformats.org/officeDocument/2006/relationships/hyperlink" Target="https://mstgolf.co.th/products/gf1210101296" TargetMode="External" Id="rId465" /><Relationship Type="http://schemas.openxmlformats.org/officeDocument/2006/relationships/hyperlink" Target="https://mstgolf.co.th/products/gf1210100954" TargetMode="External" Id="rId466" /><Relationship Type="http://schemas.openxmlformats.org/officeDocument/2006/relationships/hyperlink" Target="https://mstgolf.co.th/products/gf1210100953" TargetMode="External" Id="rId467" /><Relationship Type="http://schemas.openxmlformats.org/officeDocument/2006/relationships/hyperlink" Target="https://mstgolf.co.th/products/gf1240101406" TargetMode="External" Id="rId468" /><Relationship Type="http://schemas.openxmlformats.org/officeDocument/2006/relationships/hyperlink" Target="https://mstgolf.co.th/products/gf1240101453" TargetMode="External" Id="rId469" /><Relationship Type="http://schemas.openxmlformats.org/officeDocument/2006/relationships/hyperlink" Target="https://mstgolf.co.th/products/gf1240101436" TargetMode="External" Id="rId470" /><Relationship Type="http://schemas.openxmlformats.org/officeDocument/2006/relationships/hyperlink" Target="https://mstgolf.co.th/products/gf1240101419" TargetMode="External" Id="rId471" /><Relationship Type="http://schemas.openxmlformats.org/officeDocument/2006/relationships/hyperlink" Target="https://mstgolf.co.th/products/gf1240101420" TargetMode="External" Id="rId472" /><Relationship Type="http://schemas.openxmlformats.org/officeDocument/2006/relationships/hyperlink" Target="https://mstgolf.co.th/products/gf1240101210" TargetMode="External" Id="rId473" /><Relationship Type="http://schemas.openxmlformats.org/officeDocument/2006/relationships/hyperlink" Target="https://mstgolf.co.th/products/gf1240101380" TargetMode="External" Id="rId474" /><Relationship Type="http://schemas.openxmlformats.org/officeDocument/2006/relationships/hyperlink" Target="https://mstgolf.co.th/products/gf1240101384" TargetMode="External" Id="rId475" /><Relationship Type="http://schemas.openxmlformats.org/officeDocument/2006/relationships/hyperlink" Target="https://mstgolf.co.th/products/gf1240101386" TargetMode="External" Id="rId476" /><Relationship Type="http://schemas.openxmlformats.org/officeDocument/2006/relationships/hyperlink" Target="https://mstgolf.co.th/products/gf1240101385" TargetMode="External" Id="rId477" /><Relationship Type="http://schemas.openxmlformats.org/officeDocument/2006/relationships/hyperlink" Target="https://mstgolf.co.th/products/gf1240101383" TargetMode="External" Id="rId478" /><Relationship Type="http://schemas.openxmlformats.org/officeDocument/2006/relationships/hyperlink" Target="https://mstgolf.co.th/products/gf1240101373" TargetMode="External" Id="rId479" /><Relationship Type="http://schemas.openxmlformats.org/officeDocument/2006/relationships/hyperlink" Target="https://mstgolf.co.th/products/gf1240101370" TargetMode="External" Id="rId480" /><Relationship Type="http://schemas.openxmlformats.org/officeDocument/2006/relationships/hyperlink" Target="https://mstgolf.co.th/products/gf1240101446" TargetMode="External" Id="rId481" /><Relationship Type="http://schemas.openxmlformats.org/officeDocument/2006/relationships/hyperlink" Target="https://mstgolf.co.th/products/gf1230100534" TargetMode="External" Id="rId482" /><Relationship Type="http://schemas.openxmlformats.org/officeDocument/2006/relationships/hyperlink" Target="https://mstgolf.co.th/products/gf1210101050" TargetMode="External" Id="rId483" /><Relationship Type="http://schemas.openxmlformats.org/officeDocument/2006/relationships/hyperlink" Target="https://mstgolf.co.th/products/gf3190200054" TargetMode="External" Id="rId484" /><Relationship Type="http://schemas.openxmlformats.org/officeDocument/2006/relationships/hyperlink" Target="https://mstgolf.co.th/products/gf1210100487" TargetMode="External" Id="rId485" /><Relationship Type="http://schemas.openxmlformats.org/officeDocument/2006/relationships/hyperlink" Target="https://mstgolf.co.th/products/gf1210100485" TargetMode="External" Id="rId486" /><Relationship Type="http://schemas.openxmlformats.org/officeDocument/2006/relationships/hyperlink" Target="https://mstgolf.co.th/products/gf1240101043" TargetMode="External" Id="rId487" /><Relationship Type="http://schemas.openxmlformats.org/officeDocument/2006/relationships/hyperlink" Target="https://mstgolf.co.th/products/gf1240101044" TargetMode="External" Id="rId488" /><Relationship Type="http://schemas.openxmlformats.org/officeDocument/2006/relationships/hyperlink" Target="https://mstgolf.co.th/products/gf1280100601" TargetMode="External" Id="rId489" /><Relationship Type="http://schemas.openxmlformats.org/officeDocument/2006/relationships/hyperlink" Target="https://mstgolf.co.th/products/gf1280100733" TargetMode="External" Id="rId490" /><Relationship Type="http://schemas.openxmlformats.org/officeDocument/2006/relationships/hyperlink" Target="https://mstgolf.co.th/products/gf1280100736" TargetMode="External" Id="rId491" /><Relationship Type="http://schemas.openxmlformats.org/officeDocument/2006/relationships/hyperlink" Target="https://mstgolf.co.th/products/gf1240101388" TargetMode="External" Id="rId492" /><Relationship Type="http://schemas.openxmlformats.org/officeDocument/2006/relationships/hyperlink" Target="https://mstgolf.co.th/products/gf1240101389" TargetMode="External" Id="rId493" /><Relationship Type="http://schemas.openxmlformats.org/officeDocument/2006/relationships/hyperlink" Target="https://mstgolf.co.th/products/gf1210101275" TargetMode="External" Id="rId494" /><Relationship Type="http://schemas.openxmlformats.org/officeDocument/2006/relationships/hyperlink" Target="https://mstgolf.co.th/products/gf1250100074" TargetMode="External" Id="rId495" /><Relationship Type="http://schemas.openxmlformats.org/officeDocument/2006/relationships/hyperlink" Target="https://mstgolf.co.th/products/gf1210101234" TargetMode="External" Id="rId496" /><Relationship Type="http://schemas.openxmlformats.org/officeDocument/2006/relationships/hyperlink" Target="https://mstgolf.co.th/products/gf1210101206" TargetMode="External" Id="rId497" /><Relationship Type="http://schemas.openxmlformats.org/officeDocument/2006/relationships/hyperlink" Target="https://mstgolf.co.th/products/gf1230100329" TargetMode="External" Id="rId498" /><Relationship Type="http://schemas.openxmlformats.org/officeDocument/2006/relationships/hyperlink" Target="https://mstgolf.co.th/products/gf1230100817" TargetMode="External" Id="rId499" /><Relationship Type="http://schemas.openxmlformats.org/officeDocument/2006/relationships/hyperlink" Target="https://mstgolf.co.th/products/gf1240101452" TargetMode="External" Id="rId500" /><Relationship Type="http://schemas.openxmlformats.org/officeDocument/2006/relationships/hyperlink" Target="https://mstgolf.co.th/products/gf1240101524" TargetMode="External" Id="rId501" /><Relationship Type="http://schemas.openxmlformats.org/officeDocument/2006/relationships/hyperlink" Target="https://mstgolf.co.th/products/gf1210101119" TargetMode="External" Id="rId502" /><Relationship Type="http://schemas.openxmlformats.org/officeDocument/2006/relationships/hyperlink" Target="https://mstgolf.co.th/products/gf1210101124" TargetMode="External" Id="rId503" /><Relationship Type="http://schemas.openxmlformats.org/officeDocument/2006/relationships/hyperlink" Target="https://mstgolf.co.th/products/gf1210100820" TargetMode="External" Id="rId504" /><Relationship Type="http://schemas.openxmlformats.org/officeDocument/2006/relationships/hyperlink" Target="https://mstgolf.co.th/products/gf1210100824" TargetMode="External" Id="rId505" /><Relationship Type="http://schemas.openxmlformats.org/officeDocument/2006/relationships/hyperlink" Target="https://mstgolf.co.th/products/gf1220100965" TargetMode="External" Id="rId506" /><Relationship Type="http://schemas.openxmlformats.org/officeDocument/2006/relationships/hyperlink" Target="https://mstgolf.co.th/products/gf1220100701" TargetMode="External" Id="rId507" /><Relationship Type="http://schemas.openxmlformats.org/officeDocument/2006/relationships/hyperlink" Target="https://mstgolf.co.th/products/gf1220100702" TargetMode="External" Id="rId508" /><Relationship Type="http://schemas.openxmlformats.org/officeDocument/2006/relationships/hyperlink" Target="https://mstgolf.co.th/products/gf1210100832" TargetMode="External" Id="rId509" /><Relationship Type="http://schemas.openxmlformats.org/officeDocument/2006/relationships/hyperlink" Target="https://mstgolf.co.th/products/gf1210100831" TargetMode="External" Id="rId510" /><Relationship Type="http://schemas.openxmlformats.org/officeDocument/2006/relationships/hyperlink" Target="https://mstgolf.co.th/products/gf1210100530" TargetMode="External" Id="rId511" /><Relationship Type="http://schemas.openxmlformats.org/officeDocument/2006/relationships/hyperlink" Target="https://mstgolf.co.th/products/gf3190200018" TargetMode="External" Id="rId512" /><Relationship Type="http://schemas.openxmlformats.org/officeDocument/2006/relationships/hyperlink" Target="https://mstgolf.co.th/products/gf1250100084" TargetMode="External" Id="rId513" /><Relationship Type="http://schemas.openxmlformats.org/officeDocument/2006/relationships/hyperlink" Target="https://mstgolf.co.th/products/gf1250100085" TargetMode="External" Id="rId514" /><Relationship Type="http://schemas.openxmlformats.org/officeDocument/2006/relationships/hyperlink" Target="https://mstgolf.co.th/products/gf1210101023" TargetMode="External" Id="rId515" /><Relationship Type="http://schemas.openxmlformats.org/officeDocument/2006/relationships/hyperlink" Target="https://mstgolf.co.th/products/gf1240101249" TargetMode="External" Id="rId516" /><Relationship Type="http://schemas.openxmlformats.org/officeDocument/2006/relationships/hyperlink" Target="https://mstgolf.co.th/products/gf1240101244" TargetMode="External" Id="rId517" /><Relationship Type="http://schemas.openxmlformats.org/officeDocument/2006/relationships/hyperlink" Target="https://mstgolf.co.th/products/gf1240101242" TargetMode="External" Id="rId518" /><Relationship Type="http://schemas.openxmlformats.org/officeDocument/2006/relationships/hyperlink" Target="https://mstgolf.co.th/products/gf1240101243" TargetMode="External" Id="rId519" /><Relationship Type="http://schemas.openxmlformats.org/officeDocument/2006/relationships/hyperlink" Target="https://mstgolf.co.th/products/gf1240101246" TargetMode="External" Id="rId520" /><Relationship Type="http://schemas.openxmlformats.org/officeDocument/2006/relationships/hyperlink" Target="https://mstgolf.co.th/products/gf1240101247" TargetMode="External" Id="rId521" /><Relationship Type="http://schemas.openxmlformats.org/officeDocument/2006/relationships/hyperlink" Target="https://mstgolf.co.th/products/gf1240101248" TargetMode="External" Id="rId522" /><Relationship Type="http://schemas.openxmlformats.org/officeDocument/2006/relationships/hyperlink" Target="https://mstgolf.co.th/products/gf3190200053" TargetMode="External" Id="rId523" /><Relationship Type="http://schemas.openxmlformats.org/officeDocument/2006/relationships/hyperlink" Target="https://mstgolf.co.th/products/gf1280101120" TargetMode="External" Id="rId524" /><Relationship Type="http://schemas.openxmlformats.org/officeDocument/2006/relationships/hyperlink" Target="https://mstgolf.co.th/products/gf1280101017" TargetMode="External" Id="rId525" /><Relationship Type="http://schemas.openxmlformats.org/officeDocument/2006/relationships/hyperlink" Target="https://mstgolf.co.th/products/gf1280101021" TargetMode="External" Id="rId526" /><Relationship Type="http://schemas.openxmlformats.org/officeDocument/2006/relationships/hyperlink" Target="https://mstgolf.co.th/products/gf1280101020" TargetMode="External" Id="rId527" /><Relationship Type="http://schemas.openxmlformats.org/officeDocument/2006/relationships/hyperlink" Target="https://mstgolf.co.th/products/gf1210100972" TargetMode="External" Id="rId528" /><Relationship Type="http://schemas.openxmlformats.org/officeDocument/2006/relationships/hyperlink" Target="https://mstgolf.co.th/products/gf1210101183" TargetMode="External" Id="rId529" /><Relationship Type="http://schemas.openxmlformats.org/officeDocument/2006/relationships/hyperlink" Target="https://mstgolf.co.th/products/gf1210101182" TargetMode="External" Id="rId530" /><Relationship Type="http://schemas.openxmlformats.org/officeDocument/2006/relationships/hyperlink" Target="https://mstgolf.co.th/products/gf1210101181" TargetMode="External" Id="rId531" /><Relationship Type="http://schemas.openxmlformats.org/officeDocument/2006/relationships/hyperlink" Target="https://mstgolf.co.th/products/gf1210101180" TargetMode="External" Id="rId532" /><Relationship Type="http://schemas.openxmlformats.org/officeDocument/2006/relationships/hyperlink" Target="https://mstgolf.co.th/products/gf1240101371" TargetMode="External" Id="rId533" /><Relationship Type="http://schemas.openxmlformats.org/officeDocument/2006/relationships/hyperlink" Target="https://mstgolf.co.th/products/gf1280100557" TargetMode="External" Id="rId534" /><Relationship Type="http://schemas.openxmlformats.org/officeDocument/2006/relationships/hyperlink" Target="https://mstgolf.co.th/products/gf1210101072" TargetMode="External" Id="rId535" /><Relationship Type="http://schemas.openxmlformats.org/officeDocument/2006/relationships/hyperlink" Target="https://mstgolf.co.th/products/gf1250100130" TargetMode="External" Id="rId536" /><Relationship Type="http://schemas.openxmlformats.org/officeDocument/2006/relationships/hyperlink" Target="https://mstgolf.co.th/products/gf1280100734" TargetMode="External" Id="rId537" /><Relationship Type="http://schemas.openxmlformats.org/officeDocument/2006/relationships/hyperlink" Target="https://mstgolf.co.th/products/gf1280100813" TargetMode="External" Id="rId538" /><Relationship Type="http://schemas.openxmlformats.org/officeDocument/2006/relationships/hyperlink" Target="https://mstgolf.co.th/products/gf1210100952" TargetMode="External" Id="rId539" /><Relationship Type="http://schemas.openxmlformats.org/officeDocument/2006/relationships/hyperlink" Target="https://mstgolf.co.th/products/gf1240101410" TargetMode="External" Id="rId540" /><Relationship Type="http://schemas.openxmlformats.org/officeDocument/2006/relationships/hyperlink" Target="https://mstgolf.co.th/products/gf1240101411" TargetMode="External" Id="rId541" /><Relationship Type="http://schemas.openxmlformats.org/officeDocument/2006/relationships/hyperlink" Target="https://mstgolf.co.th/products/gf1240101223" TargetMode="External" Id="rId542" /><Relationship Type="http://schemas.openxmlformats.org/officeDocument/2006/relationships/hyperlink" Target="https://mstgolf.co.th/products/gf1240101220" TargetMode="External" Id="rId543" /><Relationship Type="http://schemas.openxmlformats.org/officeDocument/2006/relationships/hyperlink" Target="https://mstgolf.co.th/products/gf1210101001" TargetMode="External" Id="rId544" /><Relationship Type="http://schemas.openxmlformats.org/officeDocument/2006/relationships/hyperlink" Target="https://mstgolf.co.th/products/gf1240101096" TargetMode="External" Id="rId545" /><Relationship Type="http://schemas.openxmlformats.org/officeDocument/2006/relationships/hyperlink" Target="https://mstgolf.co.th/products/gf1240101422" TargetMode="External" Id="rId546" /><Relationship Type="http://schemas.openxmlformats.org/officeDocument/2006/relationships/hyperlink" Target="https://mstgolf.co.th/products/gf1240101186" TargetMode="External" Id="rId547" /><Relationship Type="http://schemas.openxmlformats.org/officeDocument/2006/relationships/hyperlink" Target="https://mstgolf.co.th/products/gf1240101424" TargetMode="External" Id="rId548" /><Relationship Type="http://schemas.openxmlformats.org/officeDocument/2006/relationships/hyperlink" Target="https://mstgolf.co.th/products/gf1240101423" TargetMode="External" Id="rId549" /><Relationship Type="http://schemas.openxmlformats.org/officeDocument/2006/relationships/hyperlink" Target="https://mstgolf.co.th/products/gf1240101179" TargetMode="External" Id="rId550" /><Relationship Type="http://schemas.openxmlformats.org/officeDocument/2006/relationships/hyperlink" Target="https://mstgolf.co.th/products/gf1240101182" TargetMode="External" Id="rId551" /><Relationship Type="http://schemas.openxmlformats.org/officeDocument/2006/relationships/hyperlink" Target="https://mstgolf.co.th/products/gf1240101180" TargetMode="External" Id="rId552" /><Relationship Type="http://schemas.openxmlformats.org/officeDocument/2006/relationships/hyperlink" Target="https://mstgolf.co.th/products/gf1240101188" TargetMode="External" Id="rId553" /><Relationship Type="http://schemas.openxmlformats.org/officeDocument/2006/relationships/hyperlink" Target="https://mstgolf.co.th/products/gf1240101184" TargetMode="External" Id="rId554" /><Relationship Type="http://schemas.openxmlformats.org/officeDocument/2006/relationships/hyperlink" Target="https://mstgolf.co.th/products/gf1240101127" TargetMode="External" Id="rId555" /><Relationship Type="http://schemas.openxmlformats.org/officeDocument/2006/relationships/hyperlink" Target="https://mstgolf.co.th/products/gf1240101126" TargetMode="External" Id="rId556" /><Relationship Type="http://schemas.openxmlformats.org/officeDocument/2006/relationships/hyperlink" Target="https://mstgolf.co.th/products/gf1240101128" TargetMode="External" Id="rId557" /><Relationship Type="http://schemas.openxmlformats.org/officeDocument/2006/relationships/hyperlink" Target="https://mstgolf.co.th/products/gf1240101123" TargetMode="External" Id="rId558" /><Relationship Type="http://schemas.openxmlformats.org/officeDocument/2006/relationships/hyperlink" Target="https://mstgolf.co.th/products/gf1240101040" TargetMode="External" Id="rId559" /><Relationship Type="http://schemas.openxmlformats.org/officeDocument/2006/relationships/hyperlink" Target="https://mstgolf.co.th/products/gf1240101037" TargetMode="External" Id="rId560" /><Relationship Type="http://schemas.openxmlformats.org/officeDocument/2006/relationships/hyperlink" Target="https://mstgolf.co.th/products/gf1210101224" TargetMode="External" Id="rId561" /><Relationship Type="http://schemas.openxmlformats.org/officeDocument/2006/relationships/hyperlink" Target="https://mstgolf.co.th/products/gf1220100469" TargetMode="External" Id="rId562" /><Relationship Type="http://schemas.openxmlformats.org/officeDocument/2006/relationships/hyperlink" Target="https://mstgolf.co.th/products/gf1240101170" TargetMode="External" Id="rId563" /><Relationship Type="http://schemas.openxmlformats.org/officeDocument/2006/relationships/hyperlink" Target="https://mstgolf.co.th/products/gf1240101168" TargetMode="External" Id="rId564" /><Relationship Type="http://schemas.openxmlformats.org/officeDocument/2006/relationships/hyperlink" Target="https://mstgolf.co.th/products/gf1240101169" TargetMode="External" Id="rId565" /><Relationship Type="http://schemas.openxmlformats.org/officeDocument/2006/relationships/hyperlink" Target="https://mstgolf.co.th/products/gf1210100562" TargetMode="External" Id="rId566" /><Relationship Type="http://schemas.openxmlformats.org/officeDocument/2006/relationships/hyperlink" Target="https://mstgolf.co.th/products/gf1240101275" TargetMode="External" Id="rId567" /><Relationship Type="http://schemas.openxmlformats.org/officeDocument/2006/relationships/hyperlink" Target="https://mstgolf.co.th/products/gf1240101270" TargetMode="External" Id="rId568" /><Relationship Type="http://schemas.openxmlformats.org/officeDocument/2006/relationships/hyperlink" Target="https://mstgolf.co.th/products/gf1240101271" TargetMode="External" Id="rId569" /><Relationship Type="http://schemas.openxmlformats.org/officeDocument/2006/relationships/hyperlink" Target="https://mstgolf.co.th/products/gf1240101273" TargetMode="External" Id="rId570" /><Relationship Type="http://schemas.openxmlformats.org/officeDocument/2006/relationships/hyperlink" Target="https://mstgolf.co.th/products/gf1240101266" TargetMode="External" Id="rId571" /><Relationship Type="http://schemas.openxmlformats.org/officeDocument/2006/relationships/hyperlink" Target="https://mstgolf.co.th/products/gf1240101267" TargetMode="External" Id="rId572" /><Relationship Type="http://schemas.openxmlformats.org/officeDocument/2006/relationships/hyperlink" Target="https://mstgolf.co.th/products/gf1240101268" TargetMode="External" Id="rId573" /><Relationship Type="http://schemas.openxmlformats.org/officeDocument/2006/relationships/hyperlink" Target="https://mstgolf.co.th/products/gf1240101269" TargetMode="External" Id="rId574" /><Relationship Type="http://schemas.openxmlformats.org/officeDocument/2006/relationships/hyperlink" Target="https://mstgolf.co.th/products/gf1240101097" TargetMode="External" Id="rId575" /><Relationship Type="http://schemas.openxmlformats.org/officeDocument/2006/relationships/hyperlink" Target="https://mstgolf.co.th/products/gf1240101098" TargetMode="External" Id="rId576" /><Relationship Type="http://schemas.openxmlformats.org/officeDocument/2006/relationships/hyperlink" Target="https://mstgolf.co.th/products/gf1230100629" TargetMode="External" Id="rId577" /><Relationship Type="http://schemas.openxmlformats.org/officeDocument/2006/relationships/hyperlink" Target="https://mstgolf.co.th/products/gf1230100630" TargetMode="External" Id="rId578" /><Relationship Type="http://schemas.openxmlformats.org/officeDocument/2006/relationships/hyperlink" Target="https://mstgolf.co.th/products/gf1240100964" TargetMode="External" Id="rId579" /><Relationship Type="http://schemas.openxmlformats.org/officeDocument/2006/relationships/hyperlink" Target="https://mstgolf.co.th/products/gf1240101466" TargetMode="External" Id="rId580" /><Relationship Type="http://schemas.openxmlformats.org/officeDocument/2006/relationships/hyperlink" Target="https://mstgolf.co.th/products/gf1220100729" TargetMode="External" Id="rId581" /><Relationship Type="http://schemas.openxmlformats.org/officeDocument/2006/relationships/hyperlink" Target="https://mstgolf.co.th/products/gf1210100975" TargetMode="External" Id="rId582" /><Relationship Type="http://schemas.openxmlformats.org/officeDocument/2006/relationships/hyperlink" Target="https://mstgolf.co.th/products/gf1210100971" TargetMode="External" Id="rId583" /><Relationship Type="http://schemas.openxmlformats.org/officeDocument/2006/relationships/hyperlink" Target="https://mstgolf.co.th/products/gf1220100986" TargetMode="External" Id="rId584" /><Relationship Type="http://schemas.openxmlformats.org/officeDocument/2006/relationships/hyperlink" Target="https://mstgolf.co.th/products/gf1220100985" TargetMode="External" Id="rId585" /><Relationship Type="http://schemas.openxmlformats.org/officeDocument/2006/relationships/hyperlink" Target="https://mstgolf.co.th/products/gf1240101135" TargetMode="External" Id="rId586" /><Relationship Type="http://schemas.openxmlformats.org/officeDocument/2006/relationships/hyperlink" Target="https://mstgolf.co.th/products/gf1240101138" TargetMode="External" Id="rId587" /><Relationship Type="http://schemas.openxmlformats.org/officeDocument/2006/relationships/hyperlink" Target="https://mstgolf.co.th/products/gf1240101137" TargetMode="External" Id="rId588" /><Relationship Type="http://schemas.openxmlformats.org/officeDocument/2006/relationships/hyperlink" Target="https://mstgolf.co.th/products/gf1240101134" TargetMode="External" Id="rId589" /><Relationship Type="http://schemas.openxmlformats.org/officeDocument/2006/relationships/hyperlink" Target="https://mstgolf.co.th/products/gf3190200035" TargetMode="External" Id="rId590" /><Relationship Type="http://schemas.openxmlformats.org/officeDocument/2006/relationships/hyperlink" Target="https://mstgolf.co.th/products/gf1220101003" TargetMode="External" Id="rId591" /><Relationship Type="http://schemas.openxmlformats.org/officeDocument/2006/relationships/hyperlink" Target="https://mstgolf.co.th/products/gf1240100935" TargetMode="External" Id="rId592" /><Relationship Type="http://schemas.openxmlformats.org/officeDocument/2006/relationships/hyperlink" Target="https://mstgolf.co.th/products/gf1240101240" TargetMode="External" Id="rId593" /><Relationship Type="http://schemas.openxmlformats.org/officeDocument/2006/relationships/hyperlink" Target="https://mstgolf.co.th/products/gf1240101241" TargetMode="External" Id="rId594" /><Relationship Type="http://schemas.openxmlformats.org/officeDocument/2006/relationships/hyperlink" Target="https://mstgolf.co.th/products/gf1220101002" TargetMode="External" Id="rId595" /><Relationship Type="http://schemas.openxmlformats.org/officeDocument/2006/relationships/hyperlink" Target="https://mstgolf.co.th/products/gf1250100222" TargetMode="External" Id="rId596" /><Relationship Type="http://schemas.openxmlformats.org/officeDocument/2006/relationships/hyperlink" Target="https://mstgolf.co.th/products/gf1250100223" TargetMode="External" Id="rId597" /><Relationship Type="http://schemas.openxmlformats.org/officeDocument/2006/relationships/hyperlink" Target="https://mstgolf.co.th/products/gf1240101396" TargetMode="External" Id="rId598" /><Relationship Type="http://schemas.openxmlformats.org/officeDocument/2006/relationships/hyperlink" Target="https://mstgolf.co.th/products/gf3190200017" TargetMode="External" Id="rId599" /><Relationship Type="http://schemas.openxmlformats.org/officeDocument/2006/relationships/hyperlink" Target="https://mstgolf.co.th/products/gf1210100318" TargetMode="External" Id="rId600" /><Relationship Type="http://schemas.openxmlformats.org/officeDocument/2006/relationships/hyperlink" Target="https://mstgolf.co.th/products/gf1220100735" TargetMode="External" Id="rId601" /><Relationship Type="http://schemas.openxmlformats.org/officeDocument/2006/relationships/hyperlink" Target="https://mstgolf.co.th/products/gf1220100606" TargetMode="External" Id="rId602" /><Relationship Type="http://schemas.openxmlformats.org/officeDocument/2006/relationships/hyperlink" Target="https://mstgolf.co.th/products/gf1220100607" TargetMode="External" Id="rId603" /><Relationship Type="http://schemas.openxmlformats.org/officeDocument/2006/relationships/hyperlink" Target="https://mstgolf.co.th/products/gf1220100789" TargetMode="External" Id="rId604" /><Relationship Type="http://schemas.openxmlformats.org/officeDocument/2006/relationships/hyperlink" Target="https://mstgolf.co.th/products/gf1240101053" TargetMode="External" Id="rId605" /><Relationship Type="http://schemas.openxmlformats.org/officeDocument/2006/relationships/hyperlink" Target="https://mstgolf.co.th/products/gf1230100393" TargetMode="External" Id="rId606" /><Relationship Type="http://schemas.openxmlformats.org/officeDocument/2006/relationships/hyperlink" Target="https://mstgolf.co.th/products/gf1220100705" TargetMode="External" Id="rId607" /><Relationship Type="http://schemas.openxmlformats.org/officeDocument/2006/relationships/hyperlink" Target="https://mstgolf.co.th/products/gf1240101605" TargetMode="External" Id="rId608" /><Relationship Type="http://schemas.openxmlformats.org/officeDocument/2006/relationships/hyperlink" Target="https://mstgolf.co.th/products/gf1240101606" TargetMode="External" Id="rId609" /><Relationship Type="http://schemas.openxmlformats.org/officeDocument/2006/relationships/hyperlink" Target="https://mstgolf.co.th/products/gf1240101604" TargetMode="External" Id="rId610" /><Relationship Type="http://schemas.openxmlformats.org/officeDocument/2006/relationships/hyperlink" Target="https://mstgolf.co.th/products/gf1210100718" TargetMode="External" Id="rId611" /><Relationship Type="http://schemas.openxmlformats.org/officeDocument/2006/relationships/hyperlink" Target="https://mstgolf.co.th/products/gf1240101165" TargetMode="External" Id="rId612" /><Relationship Type="http://schemas.openxmlformats.org/officeDocument/2006/relationships/hyperlink" Target="https://mstgolf.co.th/products/gf1240101145" TargetMode="External" Id="rId613" /><Relationship Type="http://schemas.openxmlformats.org/officeDocument/2006/relationships/hyperlink" Target="https://mstgolf.co.th/products/gf3190200037" TargetMode="External" Id="rId614" /><Relationship Type="http://schemas.openxmlformats.org/officeDocument/2006/relationships/hyperlink" Target="https://mstgolf.co.th/products/gf3190200039" TargetMode="External" Id="rId615" /><Relationship Type="http://schemas.openxmlformats.org/officeDocument/2006/relationships/hyperlink" Target="https://mstgolf.co.th/products/gf3190200038" TargetMode="External" Id="rId616" /><Relationship Type="http://schemas.openxmlformats.org/officeDocument/2006/relationships/hyperlink" Target="https://mstgolf.co.th/products/gf1230100923" TargetMode="External" Id="rId617" /><Relationship Type="http://schemas.openxmlformats.org/officeDocument/2006/relationships/hyperlink" Target="https://mstgolf.co.th/products/cobra-air-x-offset-ultralight-23-gp-driver" TargetMode="External" Id="rId618" /><Relationship Type="http://schemas.openxmlformats.org/officeDocument/2006/relationships/hyperlink" Target="https://mstgolf.co.th/products/gf1210100977" TargetMode="External" Id="rId619" /><Relationship Type="http://schemas.openxmlformats.org/officeDocument/2006/relationships/hyperlink" Target="https://mstgolf.co.th/products/gf1210100809" TargetMode="External" Id="rId620" /><Relationship Type="http://schemas.openxmlformats.org/officeDocument/2006/relationships/hyperlink" Target="https://mstgolf.co.th/products/gf1240101172" TargetMode="External" Id="rId621" /><Relationship Type="http://schemas.openxmlformats.org/officeDocument/2006/relationships/hyperlink" Target="https://mstgolf.co.th/products/gf1240101171" TargetMode="External" Id="rId622" /><Relationship Type="http://schemas.openxmlformats.org/officeDocument/2006/relationships/hyperlink" Target="https://mstgolf.co.th/products/gf1240101174" TargetMode="External" Id="rId623" /><Relationship Type="http://schemas.openxmlformats.org/officeDocument/2006/relationships/hyperlink" Target="https://mstgolf.co.th/products/gf1230100663" TargetMode="External" Id="rId624" /><Relationship Type="http://schemas.openxmlformats.org/officeDocument/2006/relationships/hyperlink" Target="https://mstgolf.co.th/products/gf1240101412" TargetMode="External" Id="rId625" /><Relationship Type="http://schemas.openxmlformats.org/officeDocument/2006/relationships/hyperlink" Target="https://mstgolf.co.th/products/gf1240101414" TargetMode="External" Id="rId626" /><Relationship Type="http://schemas.openxmlformats.org/officeDocument/2006/relationships/hyperlink" Target="https://mstgolf.co.th/products/gf1240101413" TargetMode="External" Id="rId627" /><Relationship Type="http://schemas.openxmlformats.org/officeDocument/2006/relationships/hyperlink" Target="https://mstgolf.co.th/products/gf1220100877" TargetMode="External" Id="rId628" /><Relationship Type="http://schemas.openxmlformats.org/officeDocument/2006/relationships/hyperlink" Target="https://mstgolf.co.th/products/gf1220100882" TargetMode="External" Id="rId629" /><Relationship Type="http://schemas.openxmlformats.org/officeDocument/2006/relationships/hyperlink" Target="https://mstgolf.co.th/products/gf1240101149" TargetMode="External" Id="rId630" /><Relationship Type="http://schemas.openxmlformats.org/officeDocument/2006/relationships/hyperlink" Target="https://mstgolf.co.th/products/gf1230100738" TargetMode="External" Id="rId631" /><Relationship Type="http://schemas.openxmlformats.org/officeDocument/2006/relationships/hyperlink" Target="https://mstgolf.co.th/products/gf1220100286" TargetMode="External" Id="rId632" /><Relationship Type="http://schemas.openxmlformats.org/officeDocument/2006/relationships/hyperlink" Target="https://mstgolf.co.th/products/gf1240100841" TargetMode="External" Id="rId633" /><Relationship Type="http://schemas.openxmlformats.org/officeDocument/2006/relationships/hyperlink" Target="https://mstgolf.co.th/products/gf1270100453" TargetMode="External" Id="rId634" /><Relationship Type="http://schemas.openxmlformats.org/officeDocument/2006/relationships/hyperlink" Target="https://mstgolf.co.th/products/gf1240101057" TargetMode="External" Id="rId635" /><Relationship Type="http://schemas.openxmlformats.org/officeDocument/2006/relationships/hyperlink" Target="https://mstgolf.co.th/products/gf1240101056" TargetMode="External" Id="rId636" /><Relationship Type="http://schemas.openxmlformats.org/officeDocument/2006/relationships/hyperlink" Target="https://mstgolf.co.th/products/gf1240101608" TargetMode="External" Id="rId637" /><Relationship Type="http://schemas.openxmlformats.org/officeDocument/2006/relationships/hyperlink" Target="https://mstgolf.co.th/products/gf1240101615" TargetMode="External" Id="rId638" /><Relationship Type="http://schemas.openxmlformats.org/officeDocument/2006/relationships/hyperlink" Target="https://mstgolf.co.th/products/gf1240101609" TargetMode="External" Id="rId639" /><Relationship Type="http://schemas.openxmlformats.org/officeDocument/2006/relationships/hyperlink" Target="https://mstgolf.co.th/products/gf1240101610" TargetMode="External" Id="rId640" /><Relationship Type="http://schemas.openxmlformats.org/officeDocument/2006/relationships/hyperlink" Target="https://mstgolf.co.th/products/gf1240101612" TargetMode="External" Id="rId641" /><Relationship Type="http://schemas.openxmlformats.org/officeDocument/2006/relationships/hyperlink" Target="https://mstgolf.co.th/products/gf1240101614" TargetMode="External" Id="rId642" /><Relationship Type="http://schemas.openxmlformats.org/officeDocument/2006/relationships/hyperlink" Target="https://mstgolf.co.th/products/gf1240101607" TargetMode="External" Id="rId643" /><Relationship Type="http://schemas.openxmlformats.org/officeDocument/2006/relationships/hyperlink" Target="https://mstgolf.co.th/products/gf1240101613" TargetMode="External" Id="rId644" /><Relationship Type="http://schemas.openxmlformats.org/officeDocument/2006/relationships/hyperlink" Target="https://mstgolf.co.th/products/gf1240101611" TargetMode="External" Id="rId645" /><Relationship Type="http://schemas.openxmlformats.org/officeDocument/2006/relationships/hyperlink" Target="https://mstgolf.co.th/products/gf1220100865" TargetMode="External" Id="rId646" /><Relationship Type="http://schemas.openxmlformats.org/officeDocument/2006/relationships/hyperlink" Target="https://mstgolf.co.th/products/gf1220100620" TargetMode="External" Id="rId647" /><Relationship Type="http://schemas.openxmlformats.org/officeDocument/2006/relationships/hyperlink" Target="https://mstgolf.co.th/products/gf1240101012" TargetMode="External" Id="rId648" /><Relationship Type="http://schemas.openxmlformats.org/officeDocument/2006/relationships/hyperlink" Target="https://mstgolf.co.th/products/gf1240101013" TargetMode="External" Id="rId649" /><Relationship Type="http://schemas.openxmlformats.org/officeDocument/2006/relationships/hyperlink" Target="https://mstgolf.co.th/products/gf1270100347" TargetMode="External" Id="rId650" /><Relationship Type="http://schemas.openxmlformats.org/officeDocument/2006/relationships/hyperlink" Target="https://mstgolf.co.th/products/gf1270100639" TargetMode="External" Id="rId651" /><Relationship Type="http://schemas.openxmlformats.org/officeDocument/2006/relationships/hyperlink" Target="https://mstgolf.co.th/products/gf1270100637" TargetMode="External" Id="rId652" /><Relationship Type="http://schemas.openxmlformats.org/officeDocument/2006/relationships/hyperlink" Target="https://mstgolf.co.th/products/gf1270100243" TargetMode="External" Id="rId653" /><Relationship Type="http://schemas.openxmlformats.org/officeDocument/2006/relationships/hyperlink" Target="https://mstgolf.co.th/products/gf1220100896" TargetMode="External" Id="rId654" /><Relationship Type="http://schemas.openxmlformats.org/officeDocument/2006/relationships/hyperlink" Target="https://mstgolf.co.th/products/gf1220100897" TargetMode="External" Id="rId655" /><Relationship Type="http://schemas.openxmlformats.org/officeDocument/2006/relationships/hyperlink" Target="https://mstgolf.co.th/products/gf1220100413" TargetMode="External" Id="rId656" /><Relationship Type="http://schemas.openxmlformats.org/officeDocument/2006/relationships/hyperlink" Target="https://mstgolf.co.th/products/gf1230100555" TargetMode="External" Id="rId657" /><Relationship Type="http://schemas.openxmlformats.org/officeDocument/2006/relationships/hyperlink" Target="https://mstgolf.co.th/products/gf1230100553" TargetMode="External" Id="rId658" /><Relationship Type="http://schemas.openxmlformats.org/officeDocument/2006/relationships/hyperlink" Target="https://mstgolf.co.th/products/gf1230100554" TargetMode="External" Id="rId659" /><Relationship Type="http://schemas.openxmlformats.org/officeDocument/2006/relationships/hyperlink" Target="https://mstgolf.co.th/products/gf1270100659" TargetMode="External" Id="rId660" /><Relationship Type="http://schemas.openxmlformats.org/officeDocument/2006/relationships/hyperlink" Target="https://mstgolf.co.th/products/gf1270100658" TargetMode="External" Id="rId661" /><Relationship Type="http://schemas.openxmlformats.org/officeDocument/2006/relationships/hyperlink" Target="https://mstgolf.co.th/products/gf1240101359" TargetMode="External" Id="rId662" /><Relationship Type="http://schemas.openxmlformats.org/officeDocument/2006/relationships/hyperlink" Target="https://mstgolf.co.th/products/gf1240101227" TargetMode="External" Id="rId663" /><Relationship Type="http://schemas.openxmlformats.org/officeDocument/2006/relationships/hyperlink" Target="https://mstgolf.co.th/products/gf1240101360" TargetMode="External" Id="rId664" /><Relationship Type="http://schemas.openxmlformats.org/officeDocument/2006/relationships/hyperlink" Target="https://mstgolf.co.th/products/gf1240101230" TargetMode="External" Id="rId665" /><Relationship Type="http://schemas.openxmlformats.org/officeDocument/2006/relationships/hyperlink" Target="https://mstgolf.co.th/products/gf1240101226" TargetMode="External" Id="rId666" /><Relationship Type="http://schemas.openxmlformats.org/officeDocument/2006/relationships/hyperlink" Target="https://mstgolf.co.th/products/gf1220100731" TargetMode="External" Id="rId667" /><Relationship Type="http://schemas.openxmlformats.org/officeDocument/2006/relationships/hyperlink" Target="https://mstgolf.co.th/products/gf1230100787" TargetMode="External" Id="rId668" /><Relationship Type="http://schemas.openxmlformats.org/officeDocument/2006/relationships/hyperlink" Target="https://mstgolf.co.th/products/gf1230100788" TargetMode="External" Id="rId669" /><Relationship Type="http://schemas.openxmlformats.org/officeDocument/2006/relationships/hyperlink" Target="https://mstgolf.co.th/products/gf1220100450" TargetMode="External" Id="rId670" /><Relationship Type="http://schemas.openxmlformats.org/officeDocument/2006/relationships/hyperlink" Target="https://mstgolf.co.th/products/gf1270100630" TargetMode="External" Id="rId671" /><Relationship Type="http://schemas.openxmlformats.org/officeDocument/2006/relationships/hyperlink" Target="https://mstgolf.co.th/products/gf1230100695" TargetMode="External" Id="rId672" /><Relationship Type="http://schemas.openxmlformats.org/officeDocument/2006/relationships/hyperlink" Target="https://mstgolf.co.th/products/gf1230100801" TargetMode="External" Id="rId673" /><Relationship Type="http://schemas.openxmlformats.org/officeDocument/2006/relationships/hyperlink" Target="https://mstgolf.co.th/products/gf1230100802" TargetMode="External" Id="rId674" /><Relationship Type="http://schemas.openxmlformats.org/officeDocument/2006/relationships/hyperlink" Target="https://mstgolf.co.th/products/gf1240100886" TargetMode="External" Id="rId675" /><Relationship Type="http://schemas.openxmlformats.org/officeDocument/2006/relationships/hyperlink" Target="https://mstgolf.co.th/products/gf1210100854" TargetMode="External" Id="rId676" /><Relationship Type="http://schemas.openxmlformats.org/officeDocument/2006/relationships/hyperlink" Target="https://mstgolf.co.th/products/gf1240101146" TargetMode="External" Id="rId677" /><Relationship Type="http://schemas.openxmlformats.org/officeDocument/2006/relationships/hyperlink" Target="https://mstgolf.co.th/products/gf1230100813" TargetMode="External" Id="rId678" /><Relationship Type="http://schemas.openxmlformats.org/officeDocument/2006/relationships/hyperlink" Target="https://mstgolf.co.th/products/gf1270100529" TargetMode="External" Id="rId679" /><Relationship Type="http://schemas.openxmlformats.org/officeDocument/2006/relationships/hyperlink" Target="https://mstgolf.co.th/products/gf1250100081" TargetMode="External" Id="rId680" /><Relationship Type="http://schemas.openxmlformats.org/officeDocument/2006/relationships/hyperlink" Target="https://mstgolf.co.th/products/gf1270100528" TargetMode="External" Id="rId681" /><Relationship Type="http://schemas.openxmlformats.org/officeDocument/2006/relationships/hyperlink" Target="https://mstgolf.co.th/products/gf1240101434" TargetMode="External" Id="rId682" /><Relationship Type="http://schemas.openxmlformats.org/officeDocument/2006/relationships/hyperlink" Target="https://mstgolf.co.th/products/gf1240101430" TargetMode="External" Id="rId683" /><Relationship Type="http://schemas.openxmlformats.org/officeDocument/2006/relationships/hyperlink" Target="https://mstgolf.co.th/products/gf1240100509" TargetMode="External" Id="rId684" /><Relationship Type="http://schemas.openxmlformats.org/officeDocument/2006/relationships/hyperlink" Target="https://mstgolf.co.th/products/gf1240100652" TargetMode="External" Id="rId685" /><Relationship Type="http://schemas.openxmlformats.org/officeDocument/2006/relationships/hyperlink" Target="https://mstgolf.co.th/products/gf1240101031" TargetMode="External" Id="rId686" /><Relationship Type="http://schemas.openxmlformats.org/officeDocument/2006/relationships/hyperlink" Target="https://mstgolf.co.th/products/gf1230100657" TargetMode="External" Id="rId687" /><Relationship Type="http://schemas.openxmlformats.org/officeDocument/2006/relationships/hyperlink" Target="https://mstgolf.co.th/products/gf1250100224" TargetMode="External" Id="rId688" /><Relationship Type="http://schemas.openxmlformats.org/officeDocument/2006/relationships/hyperlink" Target="https://mstgolf.co.th/products/gf1270100496" TargetMode="External" Id="rId689" /><Relationship Type="http://schemas.openxmlformats.org/officeDocument/2006/relationships/hyperlink" Target="https://mstgolf.co.th/products/gf1270100492" TargetMode="External" Id="rId690" /><Relationship Type="http://schemas.openxmlformats.org/officeDocument/2006/relationships/hyperlink" Target="https://mstgolf.co.th/products/gf1270100497" TargetMode="External" Id="rId691" /><Relationship Type="http://schemas.openxmlformats.org/officeDocument/2006/relationships/hyperlink" Target="https://mstgolf.co.th/products/gf1240100186" TargetMode="External" Id="rId692" /><Relationship Type="http://schemas.openxmlformats.org/officeDocument/2006/relationships/hyperlink" Target="https://mstgolf.co.th/products/gf1240100654" TargetMode="External" Id="rId693" /><Relationship Type="http://schemas.openxmlformats.org/officeDocument/2006/relationships/hyperlink" Target="https://mstgolf.co.th/products/gf1240100187" TargetMode="External" Id="rId694" /><Relationship Type="http://schemas.openxmlformats.org/officeDocument/2006/relationships/hyperlink" Target="https://mstgolf.co.th/products/gf3190400007" TargetMode="External" Id="rId695" /><Relationship Type="http://schemas.openxmlformats.org/officeDocument/2006/relationships/hyperlink" Target="https://mstgolf.co.th/products/gf1250100083" TargetMode="External" Id="rId696" /><Relationship Type="http://schemas.openxmlformats.org/officeDocument/2006/relationships/hyperlink" Target="https://mstgolf.co.th/products/gf1270100477" TargetMode="External" Id="rId697" /><Relationship Type="http://schemas.openxmlformats.org/officeDocument/2006/relationships/hyperlink" Target="https://mstgolf.co.th/products/gf1270100476" TargetMode="External" Id="rId698" /><Relationship Type="http://schemas.openxmlformats.org/officeDocument/2006/relationships/hyperlink" Target="https://mstgolf.co.th/products/gf1230100615" TargetMode="External" Id="rId699" /><Relationship Type="http://schemas.openxmlformats.org/officeDocument/2006/relationships/hyperlink" Target="https://mstgolf.co.th/products/gf1250100225" TargetMode="External" Id="rId700" /><Relationship Type="http://schemas.openxmlformats.org/officeDocument/2006/relationships/hyperlink" Target="https://mstgolf.co.th/products/gf1270100549" TargetMode="External" Id="rId701" /><Relationship Type="http://schemas.openxmlformats.org/officeDocument/2006/relationships/hyperlink" Target="https://mstgolf.co.th/products/gf1270100547" TargetMode="External" Id="rId702" /><Relationship Type="http://schemas.openxmlformats.org/officeDocument/2006/relationships/hyperlink" Target="https://mstgolf.co.th/products/gf1270100548" TargetMode="External" Id="rId703" /><Relationship Type="http://schemas.openxmlformats.org/officeDocument/2006/relationships/hyperlink" Target="https://mstgolf.co.th/products/gf1270100550" TargetMode="External" Id="rId704" /><Relationship Type="http://schemas.openxmlformats.org/officeDocument/2006/relationships/hyperlink" Target="https://mstgolf.co.th/products/gf1270100551" TargetMode="External" Id="rId705" /><Relationship Type="http://schemas.openxmlformats.org/officeDocument/2006/relationships/hyperlink" Target="https://mstgolf.co.th/products/gf1270100542" TargetMode="External" Id="rId706" /><Relationship Type="http://schemas.openxmlformats.org/officeDocument/2006/relationships/hyperlink" Target="https://mstgolf.co.th/products/gf1270100544" TargetMode="External" Id="rId707" /><Relationship Type="http://schemas.openxmlformats.org/officeDocument/2006/relationships/hyperlink" Target="https://mstgolf.co.th/products/gf1270100545" TargetMode="External" Id="rId708" /><Relationship Type="http://schemas.openxmlformats.org/officeDocument/2006/relationships/hyperlink" Target="https://mstgolf.co.th/products/gf1270100546" TargetMode="External" Id="rId709" /><Relationship Type="http://schemas.openxmlformats.org/officeDocument/2006/relationships/hyperlink" Target="https://mstgolf.co.th/products/gf1270100536" TargetMode="External" Id="rId710" /><Relationship Type="http://schemas.openxmlformats.org/officeDocument/2006/relationships/hyperlink" Target="https://mstgolf.co.th/products/gf1270100538" TargetMode="External" Id="rId711" /><Relationship Type="http://schemas.openxmlformats.org/officeDocument/2006/relationships/hyperlink" Target="https://mstgolf.co.th/products/gf1270100535" TargetMode="External" Id="rId712" /><Relationship Type="http://schemas.openxmlformats.org/officeDocument/2006/relationships/hyperlink" Target="https://mstgolf.co.th/products/gf1270100539" TargetMode="External" Id="rId713" /><Relationship Type="http://schemas.openxmlformats.org/officeDocument/2006/relationships/hyperlink" Target="https://mstgolf.co.th/products/gf1270100511" TargetMode="External" Id="rId714" /><Relationship Type="http://schemas.openxmlformats.org/officeDocument/2006/relationships/hyperlink" Target="https://mstgolf.co.th/products/gf1270100328" TargetMode="External" Id="rId715" /><Relationship Type="http://schemas.openxmlformats.org/officeDocument/2006/relationships/hyperlink" Target="https://mstgolf.co.th/products/gf1240100616" TargetMode="External" Id="rId716" /><Relationship Type="http://schemas.openxmlformats.org/officeDocument/2006/relationships/hyperlink" Target="https://mstgolf.co.th/products/gf1240100419" TargetMode="External" Id="rId717" /><Relationship Type="http://schemas.openxmlformats.org/officeDocument/2006/relationships/hyperlink" Target="https://mstgolf.co.th/products/gf1250100226" TargetMode="External" Id="rId718" /><Relationship Type="http://schemas.openxmlformats.org/officeDocument/2006/relationships/hyperlink" Target="https://mstgolf.co.th/products/gf1270100225" TargetMode="External" Id="rId719" /><Relationship Type="http://schemas.openxmlformats.org/officeDocument/2006/relationships/hyperlink" Target="https://mstgolf.co.th/products/gf1270100181" TargetMode="External" Id="rId720" /><Relationship Type="http://schemas.openxmlformats.org/officeDocument/2006/relationships/hyperlink" Target="https://mstgolf.co.th/products/gf1240101236" TargetMode="External" Id="rId721" /><Relationship Type="http://schemas.openxmlformats.org/officeDocument/2006/relationships/hyperlink" Target="https://mstgolf.co.th/products/gf1240101237" TargetMode="External" Id="rId722" /><Relationship Type="http://schemas.openxmlformats.org/officeDocument/2006/relationships/hyperlink" Target="https://mstgolf.co.th/products/gf1270100257" TargetMode="External" Id="rId723" /><Relationship Type="http://schemas.openxmlformats.org/officeDocument/2006/relationships/hyperlink" Target="https://mstgolf.co.th/products/gf3190200060" TargetMode="External" Id="rId724" /><Relationship Type="http://schemas.openxmlformats.org/officeDocument/2006/relationships/hyperlink" Target="https://mstgolf.co.th/products/gf1240101557" TargetMode="External" Id="rId725" /><Relationship Type="http://schemas.openxmlformats.org/officeDocument/2006/relationships/hyperlink" Target="https://mstgolf.co.th/products/gf1240101559" TargetMode="External" Id="rId726" /><Relationship Type="http://schemas.openxmlformats.org/officeDocument/2006/relationships/hyperlink" Target="https://mstgolf.co.th/products/gf3010101428" TargetMode="External" Id="rId727" /><Relationship Type="http://schemas.openxmlformats.org/officeDocument/2006/relationships/hyperlink" Target="https://mstgolf.co.th/products/gf3000102654" TargetMode="External" Id="rId728" /><Relationship Type="http://schemas.openxmlformats.org/officeDocument/2006/relationships/hyperlink" Target="https://mstgolf.co.th/products/gf3000102754" TargetMode="External" Id="rId729" /><Relationship Type="http://schemas.openxmlformats.org/officeDocument/2006/relationships/hyperlink" Target="https://mstgolf.co.th/products/gf3010300451" TargetMode="External" Id="rId730" /><Relationship Type="http://schemas.openxmlformats.org/officeDocument/2006/relationships/hyperlink" Target="https://mstgolf.co.th/products/gf3000102725" TargetMode="External" Id="rId731" /><Relationship Type="http://schemas.openxmlformats.org/officeDocument/2006/relationships/hyperlink" Target="https://mstgolf.co.th/products/gf3000201086" TargetMode="External" Id="rId732" /><Relationship Type="http://schemas.openxmlformats.org/officeDocument/2006/relationships/hyperlink" Target="https://mstgolf.co.th/products/gf3000102975" TargetMode="External" Id="rId733" /><Relationship Type="http://schemas.openxmlformats.org/officeDocument/2006/relationships/hyperlink" Target="https://mstgolf.co.th/products/gf3000201290" TargetMode="External" Id="rId734" /><Relationship Type="http://schemas.openxmlformats.org/officeDocument/2006/relationships/hyperlink" Target="https://mstgolf.co.th/products/gf3000201496" TargetMode="External" Id="rId735" /><Relationship Type="http://schemas.openxmlformats.org/officeDocument/2006/relationships/hyperlink" Target="https://mstgolf.co.th/products/gf3000103180" TargetMode="External" Id="rId736" /><Relationship Type="http://schemas.openxmlformats.org/officeDocument/2006/relationships/hyperlink" Target="https://mstgolf.co.th/products/gf3000103179" TargetMode="External" Id="rId737" /><Relationship Type="http://schemas.openxmlformats.org/officeDocument/2006/relationships/hyperlink" Target="https://mstgolf.co.th/products/gf3000103178" TargetMode="External" Id="rId738" /><Relationship Type="http://schemas.openxmlformats.org/officeDocument/2006/relationships/hyperlink" Target="https://mstgolf.co.th/products/gf3000103177" TargetMode="External" Id="rId739" /><Relationship Type="http://schemas.openxmlformats.org/officeDocument/2006/relationships/hyperlink" Target="https://mstgolf.co.th/products/gf3000201240" TargetMode="External" Id="rId740" /><Relationship Type="http://schemas.openxmlformats.org/officeDocument/2006/relationships/hyperlink" Target="https://mstgolf.co.th/products/gf3000201241" TargetMode="External" Id="rId741" /><Relationship Type="http://schemas.openxmlformats.org/officeDocument/2006/relationships/hyperlink" Target="https://mstgolf.co.th/products/gf3000201244" TargetMode="External" Id="rId742" /><Relationship Type="http://schemas.openxmlformats.org/officeDocument/2006/relationships/hyperlink" Target="https://mstgolf.co.th/products/gf3000201245" TargetMode="External" Id="rId743" /><Relationship Type="http://schemas.openxmlformats.org/officeDocument/2006/relationships/hyperlink" Target="https://mstgolf.co.th/products/gf3000201091" TargetMode="External" Id="rId744" /><Relationship Type="http://schemas.openxmlformats.org/officeDocument/2006/relationships/hyperlink" Target="https://mstgolf.co.th/products/gf3000201446" TargetMode="External" Id="rId745" /><Relationship Type="http://schemas.openxmlformats.org/officeDocument/2006/relationships/hyperlink" Target="https://mstgolf.co.th/products/gf3000102255" TargetMode="External" Id="rId746" /><Relationship Type="http://schemas.openxmlformats.org/officeDocument/2006/relationships/hyperlink" Target="https://mstgolf.co.th/products/gf3000102748" TargetMode="External" Id="rId747" /><Relationship Type="http://schemas.openxmlformats.org/officeDocument/2006/relationships/hyperlink" Target="https://mstgolf.co.th/products/gf3000102668" TargetMode="External" Id="rId748" /><Relationship Type="http://schemas.openxmlformats.org/officeDocument/2006/relationships/hyperlink" Target="https://mstgolf.co.th/products/gf3000102613" TargetMode="External" Id="rId749" /><Relationship Type="http://schemas.openxmlformats.org/officeDocument/2006/relationships/hyperlink" Target="https://mstgolf.co.th/products/gf3000102616" TargetMode="External" Id="rId750" /><Relationship Type="http://schemas.openxmlformats.org/officeDocument/2006/relationships/hyperlink" Target="https://mstgolf.co.th/products/gf3000102669" TargetMode="External" Id="rId751" /><Relationship Type="http://schemas.openxmlformats.org/officeDocument/2006/relationships/hyperlink" Target="https://mstgolf.co.th/products/gf3000201520" TargetMode="External" Id="rId752" /><Relationship Type="http://schemas.openxmlformats.org/officeDocument/2006/relationships/hyperlink" Target="https://mstgolf.co.th/products/gf3000102267" TargetMode="External" Id="rId753" /><Relationship Type="http://schemas.openxmlformats.org/officeDocument/2006/relationships/hyperlink" Target="https://mstgolf.co.th/products/gf3000201087" TargetMode="External" Id="rId754" /><Relationship Type="http://schemas.openxmlformats.org/officeDocument/2006/relationships/hyperlink" Target="https://mstgolf.co.th/products/gf3000102050" TargetMode="External" Id="rId755" /><Relationship Type="http://schemas.openxmlformats.org/officeDocument/2006/relationships/hyperlink" Target="https://mstgolf.co.th/products/gf3000102051" TargetMode="External" Id="rId756" /><Relationship Type="http://schemas.openxmlformats.org/officeDocument/2006/relationships/hyperlink" Target="https://mstgolf.co.th/products/gf3000101768" TargetMode="External" Id="rId757" /><Relationship Type="http://schemas.openxmlformats.org/officeDocument/2006/relationships/hyperlink" Target="https://mstgolf.co.th/products/gf3000201239" TargetMode="External" Id="rId758" /><Relationship Type="http://schemas.openxmlformats.org/officeDocument/2006/relationships/hyperlink" Target="https://mstgolf.co.th/products/gf3000201286" TargetMode="External" Id="rId759" /><Relationship Type="http://schemas.openxmlformats.org/officeDocument/2006/relationships/hyperlink" Target="https://mstgolf.co.th/products/gf3000201288" TargetMode="External" Id="rId760" /><Relationship Type="http://schemas.openxmlformats.org/officeDocument/2006/relationships/hyperlink" Target="https://mstgolf.co.th/products/gf3000103059" TargetMode="External" Id="rId761" /><Relationship Type="http://schemas.openxmlformats.org/officeDocument/2006/relationships/hyperlink" Target="https://mstgolf.co.th/products/gf3000201005" TargetMode="External" Id="rId762" /><Relationship Type="http://schemas.openxmlformats.org/officeDocument/2006/relationships/hyperlink" Target="https://mstgolf.co.th/products/gf3010101353" TargetMode="External" Id="rId763" /><Relationship Type="http://schemas.openxmlformats.org/officeDocument/2006/relationships/hyperlink" Target="https://mstgolf.co.th/products/gf3000201088" TargetMode="External" Id="rId764" /><Relationship Type="http://schemas.openxmlformats.org/officeDocument/2006/relationships/hyperlink" Target="https://mstgolf.co.th/products/gf3010101308" TargetMode="External" Id="rId765" /><Relationship Type="http://schemas.openxmlformats.org/officeDocument/2006/relationships/hyperlink" Target="https://mstgolf.co.th/products/gf3000102561" TargetMode="External" Id="rId766" /><Relationship Type="http://schemas.openxmlformats.org/officeDocument/2006/relationships/hyperlink" Target="https://mstgolf.co.th/products/gf2500102733" TargetMode="External" Id="rId767" /><Relationship Type="http://schemas.openxmlformats.org/officeDocument/2006/relationships/hyperlink" Target="https://mstgolf.co.th/products/gf3000201138" TargetMode="External" Id="rId768" /><Relationship Type="http://schemas.openxmlformats.org/officeDocument/2006/relationships/hyperlink" Target="https://mstgolf.co.th/products/gf2500102734" TargetMode="External" Id="rId769" /><Relationship Type="http://schemas.openxmlformats.org/officeDocument/2006/relationships/hyperlink" Target="https://mstgolf.co.th/products/gf3000201129" TargetMode="External" Id="rId770" /><Relationship Type="http://schemas.openxmlformats.org/officeDocument/2006/relationships/hyperlink" Target="https://mstgolf.co.th/products/gf3000102704" TargetMode="External" Id="rId771" /><Relationship Type="http://schemas.openxmlformats.org/officeDocument/2006/relationships/hyperlink" Target="https://mstgolf.co.th/products/gf3000102706" TargetMode="External" Id="rId772" /><Relationship Type="http://schemas.openxmlformats.org/officeDocument/2006/relationships/hyperlink" Target="https://mstgolf.co.th/products/gf3010101274" TargetMode="External" Id="rId773" /><Relationship Type="http://schemas.openxmlformats.org/officeDocument/2006/relationships/hyperlink" Target="https://mstgolf.co.th/products/gf3000103001" TargetMode="External" Id="rId774" /><Relationship Type="http://schemas.openxmlformats.org/officeDocument/2006/relationships/hyperlink" Target="https://mstgolf.co.th/products/gf3000103002" TargetMode="External" Id="rId775" /><Relationship Type="http://schemas.openxmlformats.org/officeDocument/2006/relationships/hyperlink" Target="https://mstgolf.co.th/products/gf3000102268" TargetMode="External" Id="rId776" /><Relationship Type="http://schemas.openxmlformats.org/officeDocument/2006/relationships/hyperlink" Target="https://mstgolf.co.th/products/gf2500201105" TargetMode="External" Id="rId777" /><Relationship Type="http://schemas.openxmlformats.org/officeDocument/2006/relationships/hyperlink" Target="https://mstgolf.co.th/products/gf2500201106" TargetMode="External" Id="rId778" /><Relationship Type="http://schemas.openxmlformats.org/officeDocument/2006/relationships/hyperlink" Target="https://mstgolf.co.th/products/gf3010300415" TargetMode="External" Id="rId779" /><Relationship Type="http://schemas.openxmlformats.org/officeDocument/2006/relationships/hyperlink" Target="https://mstgolf.co.th/products/gf3000400170" TargetMode="External" Id="rId780" /><Relationship Type="http://schemas.openxmlformats.org/officeDocument/2006/relationships/hyperlink" Target="https://mstgolf.co.th/products/gf3000400171" TargetMode="External" Id="rId781" /><Relationship Type="http://schemas.openxmlformats.org/officeDocument/2006/relationships/hyperlink" Target="https://mstgolf.co.th/products/gf3000201146" TargetMode="External" Id="rId782" /><Relationship Type="http://schemas.openxmlformats.org/officeDocument/2006/relationships/hyperlink" Target="https://mstgolf.co.th/products/gf3000102533" TargetMode="External" Id="rId783" /><Relationship Type="http://schemas.openxmlformats.org/officeDocument/2006/relationships/hyperlink" Target="https://mstgolf.co.th/products/gf3000201164" TargetMode="External" Id="rId784" /><Relationship Type="http://schemas.openxmlformats.org/officeDocument/2006/relationships/hyperlink" Target="https://mstgolf.co.th/products/gf3000201162" TargetMode="External" Id="rId785" /><Relationship Type="http://schemas.openxmlformats.org/officeDocument/2006/relationships/hyperlink" Target="https://mstgolf.co.th/products/gf3000400124" TargetMode="External" Id="rId786" /><Relationship Type="http://schemas.openxmlformats.org/officeDocument/2006/relationships/hyperlink" Target="https://mstgolf.co.th/products/gf3000201566" TargetMode="External" Id="rId787" /><Relationship Type="http://schemas.openxmlformats.org/officeDocument/2006/relationships/hyperlink" Target="https://mstgolf.co.th/products/gf3000201567" TargetMode="External" Id="rId788" /><Relationship Type="http://schemas.openxmlformats.org/officeDocument/2006/relationships/hyperlink" Target="https://mstgolf.co.th/products/gf3000102950" TargetMode="External" Id="rId789" /><Relationship Type="http://schemas.openxmlformats.org/officeDocument/2006/relationships/hyperlink" Target="https://mstgolf.co.th/products/gf3000103175" TargetMode="External" Id="rId790" /><Relationship Type="http://schemas.openxmlformats.org/officeDocument/2006/relationships/hyperlink" Target="https://mstgolf.co.th/products/gf2500201367" TargetMode="External" Id="rId791" /><Relationship Type="http://schemas.openxmlformats.org/officeDocument/2006/relationships/hyperlink" Target="https://mstgolf.co.th/products/gf2500201320" TargetMode="External" Id="rId792" /><Relationship Type="http://schemas.openxmlformats.org/officeDocument/2006/relationships/hyperlink" Target="https://mstgolf.co.th/products/gf2500201319" TargetMode="External" Id="rId793" /><Relationship Type="http://schemas.openxmlformats.org/officeDocument/2006/relationships/hyperlink" Target="https://mstgolf.co.th/products/gf2500201322" TargetMode="External" Id="rId794" /><Relationship Type="http://schemas.openxmlformats.org/officeDocument/2006/relationships/hyperlink" Target="https://mstgolf.co.th/products/gf2500201333" TargetMode="External" Id="rId795" /><Relationship Type="http://schemas.openxmlformats.org/officeDocument/2006/relationships/hyperlink" Target="https://mstgolf.co.th/products/gf3000201258" TargetMode="External" Id="rId796" /><Relationship Type="http://schemas.openxmlformats.org/officeDocument/2006/relationships/hyperlink" Target="https://mstgolf.co.th/products/gf3000103076" TargetMode="External" Id="rId797" /><Relationship Type="http://schemas.openxmlformats.org/officeDocument/2006/relationships/hyperlink" Target="https://mstgolf.co.th/products/gf3000103077" TargetMode="External" Id="rId798" /><Relationship Type="http://schemas.openxmlformats.org/officeDocument/2006/relationships/hyperlink" Target="https://mstgolf.co.th/products/gf3000103142" TargetMode="External" Id="rId799" /><Relationship Type="http://schemas.openxmlformats.org/officeDocument/2006/relationships/hyperlink" Target="https://mstgolf.co.th/products/gf3000103143" TargetMode="External" Id="rId800" /><Relationship Type="http://schemas.openxmlformats.org/officeDocument/2006/relationships/hyperlink" Target="https://mstgolf.co.th/products/gf3000103168" TargetMode="External" Id="rId801" /><Relationship Type="http://schemas.openxmlformats.org/officeDocument/2006/relationships/hyperlink" Target="https://mstgolf.co.th/products/gf2500201341" TargetMode="External" Id="rId802" /><Relationship Type="http://schemas.openxmlformats.org/officeDocument/2006/relationships/hyperlink" Target="https://mstgolf.co.th/products/gf3000102968" TargetMode="External" Id="rId803" /><Relationship Type="http://schemas.openxmlformats.org/officeDocument/2006/relationships/hyperlink" Target="https://mstgolf.co.th/products/gf2500201304" TargetMode="External" Id="rId804" /><Relationship Type="http://schemas.openxmlformats.org/officeDocument/2006/relationships/hyperlink" Target="https://mstgolf.co.th/products/gf3000201550" TargetMode="External" Id="rId805" /><Relationship Type="http://schemas.openxmlformats.org/officeDocument/2006/relationships/hyperlink" Target="https://mstgolf.co.th/products/gf2500201180" TargetMode="External" Id="rId806" /><Relationship Type="http://schemas.openxmlformats.org/officeDocument/2006/relationships/hyperlink" Target="https://mstgolf.co.th/products/gf2500102741" TargetMode="External" Id="rId807" /><Relationship Type="http://schemas.openxmlformats.org/officeDocument/2006/relationships/hyperlink" Target="https://mstgolf.co.th/products/gf2500102800" TargetMode="External" Id="rId808" /><Relationship Type="http://schemas.openxmlformats.org/officeDocument/2006/relationships/hyperlink" Target="https://mstgolf.co.th/products/gf2500201526" TargetMode="External" Id="rId809" /><Relationship Type="http://schemas.openxmlformats.org/officeDocument/2006/relationships/hyperlink" Target="https://mstgolf.co.th/products/gf2500102764" TargetMode="External" Id="rId810" /><Relationship Type="http://schemas.openxmlformats.org/officeDocument/2006/relationships/hyperlink" Target="https://mstgolf.co.th/products/gf2500102766" TargetMode="External" Id="rId811" /><Relationship Type="http://schemas.openxmlformats.org/officeDocument/2006/relationships/hyperlink" Target="https://mstgolf.co.th/products/gf2500201521" TargetMode="External" Id="rId812" /><Relationship Type="http://schemas.openxmlformats.org/officeDocument/2006/relationships/hyperlink" Target="https://mstgolf.co.th/products/gf2500201513" TargetMode="External" Id="rId813" /><Relationship Type="http://schemas.openxmlformats.org/officeDocument/2006/relationships/hyperlink" Target="https://mstgolf.co.th/products/gf2500201518" TargetMode="External" Id="rId814" /><Relationship Type="http://schemas.openxmlformats.org/officeDocument/2006/relationships/hyperlink" Target="https://mstgolf.co.th/products/gf3000400181" TargetMode="External" Id="rId815" /><Relationship Type="http://schemas.openxmlformats.org/officeDocument/2006/relationships/hyperlink" Target="https://mstgolf.co.th/products/gf3000400203" TargetMode="External" Id="rId816" /><Relationship Type="http://schemas.openxmlformats.org/officeDocument/2006/relationships/hyperlink" Target="https://mstgolf.co.th/products/gf3000400202" TargetMode="External" Id="rId817" /><Relationship Type="http://schemas.openxmlformats.org/officeDocument/2006/relationships/hyperlink" Target="https://mstgolf.co.th/products/gf3000400180" TargetMode="External" Id="rId818" /><Relationship Type="http://schemas.openxmlformats.org/officeDocument/2006/relationships/hyperlink" Target="https://mstgolf.co.th/products/gf2500201382" TargetMode="External" Id="rId819" /><Relationship Type="http://schemas.openxmlformats.org/officeDocument/2006/relationships/hyperlink" Target="https://mstgolf.co.th/products/gf2500201383" TargetMode="External" Id="rId820" /><Relationship Type="http://schemas.openxmlformats.org/officeDocument/2006/relationships/hyperlink" Target="https://mstgolf.co.th/products/gf2500201391" TargetMode="External" Id="rId821" /><Relationship Type="http://schemas.openxmlformats.org/officeDocument/2006/relationships/hyperlink" Target="https://mstgolf.co.th/products/gf2500102673" TargetMode="External" Id="rId822" /><Relationship Type="http://schemas.openxmlformats.org/officeDocument/2006/relationships/hyperlink" Target="https://mstgolf.co.th/products/gf2500201098" TargetMode="External" Id="rId823" /><Relationship Type="http://schemas.openxmlformats.org/officeDocument/2006/relationships/hyperlink" Target="https://mstgolf.co.th/products/gf2500201089" TargetMode="External" Id="rId824" /><Relationship Type="http://schemas.openxmlformats.org/officeDocument/2006/relationships/hyperlink" Target="https://mstgolf.co.th/products/gf2500201316" TargetMode="External" Id="rId825" /><Relationship Type="http://schemas.openxmlformats.org/officeDocument/2006/relationships/hyperlink" Target="https://mstgolf.co.th/products/gf2500201315" TargetMode="External" Id="rId826" /><Relationship Type="http://schemas.openxmlformats.org/officeDocument/2006/relationships/hyperlink" Target="https://mstgolf.co.th/products/gf2500201318" TargetMode="External" Id="rId827" /><Relationship Type="http://schemas.openxmlformats.org/officeDocument/2006/relationships/hyperlink" Target="https://mstgolf.co.th/products/gf2500201332" TargetMode="External" Id="rId828" /><Relationship Type="http://schemas.openxmlformats.org/officeDocument/2006/relationships/hyperlink" Target="https://mstgolf.co.th/products/gf2500102743" TargetMode="External" Id="rId829" /><Relationship Type="http://schemas.openxmlformats.org/officeDocument/2006/relationships/hyperlink" Target="https://mstgolf.co.th/products/gf2500102744" TargetMode="External" Id="rId830" /><Relationship Type="http://schemas.openxmlformats.org/officeDocument/2006/relationships/hyperlink" Target="https://mstgolf.co.th/products/gf2500201086" TargetMode="External" Id="rId831" /><Relationship Type="http://schemas.openxmlformats.org/officeDocument/2006/relationships/hyperlink" Target="https://mstgolf.co.th/products/gf2500200902" TargetMode="External" Id="rId832" /><Relationship Type="http://schemas.openxmlformats.org/officeDocument/2006/relationships/hyperlink" Target="https://mstgolf.co.th/products/gf2500201070" TargetMode="External" Id="rId833" /><Relationship Type="http://schemas.openxmlformats.org/officeDocument/2006/relationships/hyperlink" Target="https://mstgolf.co.th/products/gf2500200901" TargetMode="External" Id="rId834" /><Relationship Type="http://schemas.openxmlformats.org/officeDocument/2006/relationships/hyperlink" Target="https://mstgolf.co.th/products/gf2500201327" TargetMode="External" Id="rId835" /><Relationship Type="http://schemas.openxmlformats.org/officeDocument/2006/relationships/hyperlink" Target="https://mstgolf.co.th/products/gf2500201328" TargetMode="External" Id="rId836" /><Relationship Type="http://schemas.openxmlformats.org/officeDocument/2006/relationships/hyperlink" Target="https://mstgolf.co.th/products/gf2500201326" TargetMode="External" Id="rId837" /><Relationship Type="http://schemas.openxmlformats.org/officeDocument/2006/relationships/hyperlink" Target="https://mstgolf.co.th/products/gf2500200896" TargetMode="External" Id="rId838" /><Relationship Type="http://schemas.openxmlformats.org/officeDocument/2006/relationships/hyperlink" Target="https://mstgolf.co.th/products/gf2500201047" TargetMode="External" Id="rId839" /><Relationship Type="http://schemas.openxmlformats.org/officeDocument/2006/relationships/hyperlink" Target="https://mstgolf.co.th/products/gf2500201050" TargetMode="External" Id="rId840" /><Relationship Type="http://schemas.openxmlformats.org/officeDocument/2006/relationships/hyperlink" Target="https://mstgolf.co.th/products/gf2500201334" TargetMode="External" Id="rId841" /><Relationship Type="http://schemas.openxmlformats.org/officeDocument/2006/relationships/hyperlink" Target="https://mstgolf.co.th/products/gf3000201257" TargetMode="External" Id="rId842" /><Relationship Type="http://schemas.openxmlformats.org/officeDocument/2006/relationships/hyperlink" Target="https://mstgolf.co.th/products/gf3000201208" TargetMode="External" Id="rId843" /><Relationship Type="http://schemas.openxmlformats.org/officeDocument/2006/relationships/hyperlink" Target="https://mstgolf.co.th/products/gf3000201141" TargetMode="External" Id="rId844" /><Relationship Type="http://schemas.openxmlformats.org/officeDocument/2006/relationships/hyperlink" Target="https://mstgolf.co.th/products/gf3000201143" TargetMode="External" Id="rId845" /><Relationship Type="http://schemas.openxmlformats.org/officeDocument/2006/relationships/hyperlink" Target="https://mstgolf.co.th/products/gf3000102229" TargetMode="External" Id="rId846" /><Relationship Type="http://schemas.openxmlformats.org/officeDocument/2006/relationships/hyperlink" Target="https://mstgolf.co.th/products/gf3000102993" TargetMode="External" Id="rId847" /><Relationship Type="http://schemas.openxmlformats.org/officeDocument/2006/relationships/hyperlink" Target="https://mstgolf.co.th/products/gf3000102569" TargetMode="External" Id="rId848" /><Relationship Type="http://schemas.openxmlformats.org/officeDocument/2006/relationships/hyperlink" Target="https://mstgolf.co.th/products/gf2500201178" TargetMode="External" Id="rId849" /><Relationship Type="http://schemas.openxmlformats.org/officeDocument/2006/relationships/hyperlink" Target="https://mstgolf.co.th/products/gf2500102661" TargetMode="External" Id="rId850" /><Relationship Type="http://schemas.openxmlformats.org/officeDocument/2006/relationships/hyperlink" Target="https://mstgolf.co.th/products/gf2500201399" TargetMode="External" Id="rId851" /><Relationship Type="http://schemas.openxmlformats.org/officeDocument/2006/relationships/hyperlink" Target="https://mstgolf.co.th/products/gf2500102777" TargetMode="External" Id="rId852" /><Relationship Type="http://schemas.openxmlformats.org/officeDocument/2006/relationships/hyperlink" Target="https://mstgolf.co.th/products/gf3000201235" TargetMode="External" Id="rId853" /><Relationship Type="http://schemas.openxmlformats.org/officeDocument/2006/relationships/hyperlink" Target="https://mstgolf.co.th/products/gf3000201322" TargetMode="External" Id="rId854" /><Relationship Type="http://schemas.openxmlformats.org/officeDocument/2006/relationships/hyperlink" Target="https://mstgolf.co.th/products/gf3000102563" TargetMode="External" Id="rId855" /><Relationship Type="http://schemas.openxmlformats.org/officeDocument/2006/relationships/hyperlink" Target="https://mstgolf.co.th/products/gf3040200083" TargetMode="External" Id="rId856" /><Relationship Type="http://schemas.openxmlformats.org/officeDocument/2006/relationships/hyperlink" Target="https://mstgolf.co.th/products/gf3040200082" TargetMode="External" Id="rId857" /><Relationship Type="http://schemas.openxmlformats.org/officeDocument/2006/relationships/hyperlink" Target="https://mstgolf.co.th/products/gf2500201090" TargetMode="External" Id="rId858" /><Relationship Type="http://schemas.openxmlformats.org/officeDocument/2006/relationships/hyperlink" Target="https://mstgolf.co.th/products/gf2500201516" TargetMode="External" Id="rId859" /><Relationship Type="http://schemas.openxmlformats.org/officeDocument/2006/relationships/hyperlink" Target="https://mstgolf.co.th/products/gf2500201520" TargetMode="External" Id="rId860" /><Relationship Type="http://schemas.openxmlformats.org/officeDocument/2006/relationships/hyperlink" Target="https://mstgolf.co.th/products/gf2500201380" TargetMode="External" Id="rId861" /><Relationship Type="http://schemas.openxmlformats.org/officeDocument/2006/relationships/hyperlink" Target="https://mstgolf.co.th/products/gf2500201381" TargetMode="External" Id="rId862" /><Relationship Type="http://schemas.openxmlformats.org/officeDocument/2006/relationships/hyperlink" Target="https://mstgolf.co.th/products/gf3000102727" TargetMode="External" Id="rId863" /><Relationship Type="http://schemas.openxmlformats.org/officeDocument/2006/relationships/hyperlink" Target="https://mstgolf.co.th/products/gf2500201388" TargetMode="External" Id="rId864" /><Relationship Type="http://schemas.openxmlformats.org/officeDocument/2006/relationships/hyperlink" Target="https://mstgolf.co.th/products/gf2500201452" TargetMode="External" Id="rId865" /><Relationship Type="http://schemas.openxmlformats.org/officeDocument/2006/relationships/hyperlink" Target="https://mstgolf.co.th/products/gf2500201455" TargetMode="External" Id="rId866" /><Relationship Type="http://schemas.openxmlformats.org/officeDocument/2006/relationships/hyperlink" Target="https://mstgolf.co.th/products/gf2500201392" TargetMode="External" Id="rId867" /><Relationship Type="http://schemas.openxmlformats.org/officeDocument/2006/relationships/hyperlink" Target="https://mstgolf.co.th/products/gf2500201400" TargetMode="External" Id="rId868" /><Relationship Type="http://schemas.openxmlformats.org/officeDocument/2006/relationships/hyperlink" Target="https://mstgolf.co.th/products/gf2500201402" TargetMode="External" Id="rId869" /><Relationship Type="http://schemas.openxmlformats.org/officeDocument/2006/relationships/hyperlink" Target="https://mstgolf.co.th/products/gf3000103069" TargetMode="External" Id="rId870" /><Relationship Type="http://schemas.openxmlformats.org/officeDocument/2006/relationships/hyperlink" Target="https://mstgolf.co.th/products/gf3000102847" TargetMode="External" Id="rId871" /><Relationship Type="http://schemas.openxmlformats.org/officeDocument/2006/relationships/hyperlink" Target="https://mstgolf.co.th/products/gf3000102848" TargetMode="External" Id="rId872" /><Relationship Type="http://schemas.openxmlformats.org/officeDocument/2006/relationships/hyperlink" Target="https://mstgolf.co.th/products/gf3000201263" TargetMode="External" Id="rId873" /><Relationship Type="http://schemas.openxmlformats.org/officeDocument/2006/relationships/hyperlink" Target="https://mstgolf.co.th/products/gf2500102747" TargetMode="External" Id="rId874" /><Relationship Type="http://schemas.openxmlformats.org/officeDocument/2006/relationships/hyperlink" Target="https://mstgolf.co.th/products/gf2500102746" TargetMode="External" Id="rId875" /><Relationship Type="http://schemas.openxmlformats.org/officeDocument/2006/relationships/hyperlink" Target="https://mstgolf.co.th/products/gf2500201075" TargetMode="External" Id="rId876" /><Relationship Type="http://schemas.openxmlformats.org/officeDocument/2006/relationships/hyperlink" Target="https://mstgolf.co.th/products/gf3000103072" TargetMode="External" Id="rId877" /><Relationship Type="http://schemas.openxmlformats.org/officeDocument/2006/relationships/hyperlink" Target="https://mstgolf.co.th/products/gf3000103074" TargetMode="External" Id="rId878" /><Relationship Type="http://schemas.openxmlformats.org/officeDocument/2006/relationships/hyperlink" Target="https://mstgolf.co.th/products/gf3000102724" TargetMode="External" Id="rId879" /><Relationship Type="http://schemas.openxmlformats.org/officeDocument/2006/relationships/hyperlink" Target="https://mstgolf.co.th/products/gf3000102642" TargetMode="External" Id="rId880" /><Relationship Type="http://schemas.openxmlformats.org/officeDocument/2006/relationships/hyperlink" Target="https://mstgolf.co.th/products/gf2500201557" TargetMode="External" Id="rId881" /><Relationship Type="http://schemas.openxmlformats.org/officeDocument/2006/relationships/hyperlink" Target="https://mstgolf.co.th/products/gf3000201150" TargetMode="External" Id="rId882" /><Relationship Type="http://schemas.openxmlformats.org/officeDocument/2006/relationships/hyperlink" Target="https://mstgolf.co.th/products/gf3000201499" TargetMode="External" Id="rId883" /><Relationship Type="http://schemas.openxmlformats.org/officeDocument/2006/relationships/hyperlink" Target="https://mstgolf.co.th/products/gf3000102849" TargetMode="External" Id="rId884" /><Relationship Type="http://schemas.openxmlformats.org/officeDocument/2006/relationships/hyperlink" Target="https://mstgolf.co.th/products/gf2500201293" TargetMode="External" Id="rId885" /><Relationship Type="http://schemas.openxmlformats.org/officeDocument/2006/relationships/hyperlink" Target="https://mstgolf.co.th/products/gf3000102951" TargetMode="External" Id="rId886" /><Relationship Type="http://schemas.openxmlformats.org/officeDocument/2006/relationships/hyperlink" Target="https://mstgolf.co.th/products/gf3000102879" TargetMode="External" Id="rId887" /><Relationship Type="http://schemas.openxmlformats.org/officeDocument/2006/relationships/hyperlink" Target="https://mstgolf.co.th/products/gf2500102688" TargetMode="External" Id="rId888" /><Relationship Type="http://schemas.openxmlformats.org/officeDocument/2006/relationships/hyperlink" Target="https://mstgolf.co.th/products/gf3000103128" TargetMode="External" Id="rId889" /><Relationship Type="http://schemas.openxmlformats.org/officeDocument/2006/relationships/hyperlink" Target="https://mstgolf.co.th/products/gf3000103127" TargetMode="External" Id="rId890" /><Relationship Type="http://schemas.openxmlformats.org/officeDocument/2006/relationships/hyperlink" Target="https://mstgolf.co.th/products/gf2500201339" TargetMode="External" Id="rId891" /><Relationship Type="http://schemas.openxmlformats.org/officeDocument/2006/relationships/hyperlink" Target="https://mstgolf.co.th/products/gf2500201377" TargetMode="External" Id="rId892" /><Relationship Type="http://schemas.openxmlformats.org/officeDocument/2006/relationships/hyperlink" Target="https://mstgolf.co.th/products/gf2500102745" TargetMode="External" Id="rId893" /><Relationship Type="http://schemas.openxmlformats.org/officeDocument/2006/relationships/hyperlink" Target="https://mstgolf.co.th/products/gf3010401112" TargetMode="External" Id="rId894" /><Relationship Type="http://schemas.openxmlformats.org/officeDocument/2006/relationships/hyperlink" Target="https://mstgolf.co.th/products/gf3000102323" TargetMode="External" Id="rId895" /><Relationship Type="http://schemas.openxmlformats.org/officeDocument/2006/relationships/hyperlink" Target="https://mstgolf.co.th/products/gf2500102638" TargetMode="External" Id="rId896" /><Relationship Type="http://schemas.openxmlformats.org/officeDocument/2006/relationships/hyperlink" Target="https://mstgolf.co.th/products/gf3000102875" TargetMode="External" Id="rId897" /><Relationship Type="http://schemas.openxmlformats.org/officeDocument/2006/relationships/hyperlink" Target="https://mstgolf.co.th/products/gf2500201551" TargetMode="External" Id="rId898" /><Relationship Type="http://schemas.openxmlformats.org/officeDocument/2006/relationships/hyperlink" Target="https://mstgolf.co.th/products/gf2500102632" TargetMode="External" Id="rId899" /><Relationship Type="http://schemas.openxmlformats.org/officeDocument/2006/relationships/hyperlink" Target="https://mstgolf.co.th/products/gf2500102631" TargetMode="External" Id="rId900" /><Relationship Type="http://schemas.openxmlformats.org/officeDocument/2006/relationships/hyperlink" Target="https://mstgolf.co.th/products/gf3000102713" TargetMode="External" Id="rId901" /><Relationship Type="http://schemas.openxmlformats.org/officeDocument/2006/relationships/hyperlink" Target="https://mstgolf.co.th/products/gf3000102711" TargetMode="External" Id="rId902" /><Relationship Type="http://schemas.openxmlformats.org/officeDocument/2006/relationships/hyperlink" Target="https://mstgolf.co.th/products/gf2500201349" TargetMode="External" Id="rId903" /><Relationship Type="http://schemas.openxmlformats.org/officeDocument/2006/relationships/hyperlink" Target="https://mstgolf.co.th/products/gf2500201348" TargetMode="External" Id="rId904" /><Relationship Type="http://schemas.openxmlformats.org/officeDocument/2006/relationships/hyperlink" Target="https://mstgolf.co.th/products/gf2500201351" TargetMode="External" Id="rId905" /><Relationship Type="http://schemas.openxmlformats.org/officeDocument/2006/relationships/hyperlink" Target="https://mstgolf.co.th/products/gf2500200906" TargetMode="External" Id="rId906" /><Relationship Type="http://schemas.openxmlformats.org/officeDocument/2006/relationships/hyperlink" Target="https://mstgolf.co.th/products/gf2500102807" TargetMode="External" Id="rId907" /><Relationship Type="http://schemas.openxmlformats.org/officeDocument/2006/relationships/hyperlink" Target="https://mstgolf.co.th/products/gf2500102615" TargetMode="External" Id="rId908" /><Relationship Type="http://schemas.openxmlformats.org/officeDocument/2006/relationships/hyperlink" Target="https://mstgolf.co.th/products/gf3040100067" TargetMode="External" Id="rId909" /><Relationship Type="http://schemas.openxmlformats.org/officeDocument/2006/relationships/hyperlink" Target="https://mstgolf.co.th/products/gf2500201101" TargetMode="External" Id="rId910" /><Relationship Type="http://schemas.openxmlformats.org/officeDocument/2006/relationships/hyperlink" Target="https://mstgolf.co.th/products/gf2500200530" TargetMode="External" Id="rId911" /><Relationship Type="http://schemas.openxmlformats.org/officeDocument/2006/relationships/hyperlink" Target="https://mstgolf.co.th/products/gf2500200851" TargetMode="External" Id="rId912" /><Relationship Type="http://schemas.openxmlformats.org/officeDocument/2006/relationships/hyperlink" Target="https://mstgolf.co.th/products/gf2500200893" TargetMode="External" Id="rId913" /><Relationship Type="http://schemas.openxmlformats.org/officeDocument/2006/relationships/hyperlink" Target="https://mstgolf.co.th/products/gf2500200895" TargetMode="External" Id="rId914" /><Relationship Type="http://schemas.openxmlformats.org/officeDocument/2006/relationships/hyperlink" Target="https://mstgolf.co.th/products/gf2500200894" TargetMode="External" Id="rId915" /><Relationship Type="http://schemas.openxmlformats.org/officeDocument/2006/relationships/hyperlink" Target="https://mstgolf.co.th/products/gf2500200910" TargetMode="External" Id="rId916" /><Relationship Type="http://schemas.openxmlformats.org/officeDocument/2006/relationships/hyperlink" Target="https://mstgolf.co.th/products/gf2500201102" TargetMode="External" Id="rId917" /><Relationship Type="http://schemas.openxmlformats.org/officeDocument/2006/relationships/hyperlink" Target="https://mstgolf.co.th/products/gf3000102585" TargetMode="External" Id="rId918" /><Relationship Type="http://schemas.openxmlformats.org/officeDocument/2006/relationships/hyperlink" Target="https://mstgolf.co.th/products/gf2500102699" TargetMode="External" Id="rId919" /><Relationship Type="http://schemas.openxmlformats.org/officeDocument/2006/relationships/hyperlink" Target="https://mstgolf.co.th/products/gf2500201414" TargetMode="External" Id="rId920" /><Relationship Type="http://schemas.openxmlformats.org/officeDocument/2006/relationships/hyperlink" Target="https://mstgolf.co.th/products/gf2500201265" TargetMode="External" Id="rId921" /><Relationship Type="http://schemas.openxmlformats.org/officeDocument/2006/relationships/hyperlink" Target="https://mstgolf.co.th/products/gf2500201268" TargetMode="External" Id="rId922" /><Relationship Type="http://schemas.openxmlformats.org/officeDocument/2006/relationships/hyperlink" Target="https://mstgolf.co.th/products/gf2500201073" TargetMode="External" Id="rId923" /><Relationship Type="http://schemas.openxmlformats.org/officeDocument/2006/relationships/hyperlink" Target="https://mstgolf.co.th/products/gf2500201324" TargetMode="External" Id="rId924" /><Relationship Type="http://schemas.openxmlformats.org/officeDocument/2006/relationships/hyperlink" Target="https://mstgolf.co.th/products/gf2500201154" TargetMode="External" Id="rId925" /><Relationship Type="http://schemas.openxmlformats.org/officeDocument/2006/relationships/hyperlink" Target="https://mstgolf.co.th/products/gf2500201157" TargetMode="External" Id="rId926" /><Relationship Type="http://schemas.openxmlformats.org/officeDocument/2006/relationships/hyperlink" Target="https://mstgolf.co.th/products/gf2500201161" TargetMode="External" Id="rId927" /><Relationship Type="http://schemas.openxmlformats.org/officeDocument/2006/relationships/hyperlink" Target="https://mstgolf.co.th/products/gf2500201051" TargetMode="External" Id="rId928" /><Relationship Type="http://schemas.openxmlformats.org/officeDocument/2006/relationships/hyperlink" Target="https://mstgolf.co.th/products/gf2500201049" TargetMode="External" Id="rId929" /><Relationship Type="http://schemas.openxmlformats.org/officeDocument/2006/relationships/hyperlink" Target="https://mstgolf.co.th/products/gf2500201074" TargetMode="External" Id="rId930" /><Relationship Type="http://schemas.openxmlformats.org/officeDocument/2006/relationships/hyperlink" Target="https://mstgolf.co.th/products/gf2500201269" TargetMode="External" Id="rId931" /><Relationship Type="http://schemas.openxmlformats.org/officeDocument/2006/relationships/hyperlink" Target="https://mstgolf.co.th/products/gf2500200909" TargetMode="External" Id="rId932" /><Relationship Type="http://schemas.openxmlformats.org/officeDocument/2006/relationships/hyperlink" Target="https://mstgolf.co.th/products/gf2500201378" TargetMode="External" Id="rId933" /><Relationship Type="http://schemas.openxmlformats.org/officeDocument/2006/relationships/hyperlink" Target="https://mstgolf.co.th/products/gf3000102545" TargetMode="External" Id="rId934" /><Relationship Type="http://schemas.openxmlformats.org/officeDocument/2006/relationships/hyperlink" Target="https://mstgolf.co.th/products/gf3000200978" TargetMode="External" Id="rId935" /><Relationship Type="http://schemas.openxmlformats.org/officeDocument/2006/relationships/hyperlink" Target="https://mstgolf.co.th/products/gf3000103009" TargetMode="External" Id="rId936" /><Relationship Type="http://schemas.openxmlformats.org/officeDocument/2006/relationships/hyperlink" Target="https://mstgolf.co.th/products/gf3000103010" TargetMode="External" Id="rId937" /><Relationship Type="http://schemas.openxmlformats.org/officeDocument/2006/relationships/hyperlink" Target="https://mstgolf.co.th/products/gf3000103011" TargetMode="External" Id="rId938" /><Relationship Type="http://schemas.openxmlformats.org/officeDocument/2006/relationships/hyperlink" Target="https://mstgolf.co.th/products/gf3000201493" TargetMode="External" Id="rId939" /><Relationship Type="http://schemas.openxmlformats.org/officeDocument/2006/relationships/hyperlink" Target="https://mstgolf.co.th/products/gf3000201494" TargetMode="External" Id="rId940" /><Relationship Type="http://schemas.openxmlformats.org/officeDocument/2006/relationships/hyperlink" Target="https://mstgolf.co.th/products/gf3000201495" TargetMode="External" Id="rId941" /><Relationship Type="http://schemas.openxmlformats.org/officeDocument/2006/relationships/hyperlink" Target="https://mstgolf.co.th/products/gf3000102850" TargetMode="External" Id="rId942" /><Relationship Type="http://schemas.openxmlformats.org/officeDocument/2006/relationships/hyperlink" Target="https://mstgolf.co.th/products/gf2500102748" TargetMode="External" Id="rId943" /><Relationship Type="http://schemas.openxmlformats.org/officeDocument/2006/relationships/hyperlink" Target="https://mstgolf.co.th/products/gf2500102784" TargetMode="External" Id="rId944" /><Relationship Type="http://schemas.openxmlformats.org/officeDocument/2006/relationships/hyperlink" Target="https://mstgolf.co.th/products/gf2500102785" TargetMode="External" Id="rId945" /><Relationship Type="http://schemas.openxmlformats.org/officeDocument/2006/relationships/hyperlink" Target="https://mstgolf.co.th/products/gf2500201193" TargetMode="External" Id="rId946" /><Relationship Type="http://schemas.openxmlformats.org/officeDocument/2006/relationships/hyperlink" Target="https://mstgolf.co.th/products/gf2500201183" TargetMode="External" Id="rId947" /><Relationship Type="http://schemas.openxmlformats.org/officeDocument/2006/relationships/hyperlink" Target="https://mstgolf.co.th/products/gf3030100108" TargetMode="External" Id="rId948" /><Relationship Type="http://schemas.openxmlformats.org/officeDocument/2006/relationships/hyperlink" Target="https://mstgolf.co.th/products/gf2500102646" TargetMode="External" Id="rId949" /><Relationship Type="http://schemas.openxmlformats.org/officeDocument/2006/relationships/hyperlink" Target="https://mstgolf.co.th/products/gf3030100105" TargetMode="External" Id="rId950" /><Relationship Type="http://schemas.openxmlformats.org/officeDocument/2006/relationships/hyperlink" Target="https://mstgolf.co.th/products/gf3030100106" TargetMode="External" Id="rId951" /><Relationship Type="http://schemas.openxmlformats.org/officeDocument/2006/relationships/hyperlink" Target="https://mstgolf.co.th/products/gf3030100107" TargetMode="External" Id="rId952" /><Relationship Type="http://schemas.openxmlformats.org/officeDocument/2006/relationships/hyperlink" Target="https://mstgolf.co.th/products/gf2500201350" TargetMode="External" Id="rId953" /><Relationship Type="http://schemas.openxmlformats.org/officeDocument/2006/relationships/hyperlink" Target="https://mstgolf.co.th/products/gf3000102841" TargetMode="External" Id="rId954" /><Relationship Type="http://schemas.openxmlformats.org/officeDocument/2006/relationships/hyperlink" Target="https://mstgolf.co.th/products/gf3000102835" TargetMode="External" Id="rId955" /><Relationship Type="http://schemas.openxmlformats.org/officeDocument/2006/relationships/hyperlink" Target="https://mstgolf.co.th/products/gf3000102836" TargetMode="External" Id="rId956" /><Relationship Type="http://schemas.openxmlformats.org/officeDocument/2006/relationships/hyperlink" Target="https://mstgolf.co.th/products/gf3000102529" TargetMode="External" Id="rId957" /><Relationship Type="http://schemas.openxmlformats.org/officeDocument/2006/relationships/hyperlink" Target="https://mstgolf.co.th/products/gf3010200598" TargetMode="External" Id="rId958" /><Relationship Type="http://schemas.openxmlformats.org/officeDocument/2006/relationships/hyperlink" Target="https://mstgolf.co.th/products/gf2500102692" TargetMode="External" Id="rId959" /><Relationship Type="http://schemas.openxmlformats.org/officeDocument/2006/relationships/hyperlink" Target="https://mstgolf.co.th/products/gf2500102693" TargetMode="External" Id="rId960" /><Relationship Type="http://schemas.openxmlformats.org/officeDocument/2006/relationships/hyperlink" Target="https://mstgolf.co.th/products/gf2500201133" TargetMode="External" Id="rId961" /><Relationship Type="http://schemas.openxmlformats.org/officeDocument/2006/relationships/hyperlink" Target="https://mstgolf.co.th/products/gf2500201406" TargetMode="External" Id="rId962" /><Relationship Type="http://schemas.openxmlformats.org/officeDocument/2006/relationships/hyperlink" Target="https://mstgolf.co.th/products/gf2500201411" TargetMode="External" Id="rId963" /><Relationship Type="http://schemas.openxmlformats.org/officeDocument/2006/relationships/hyperlink" Target="https://mstgolf.co.th/products/gf2500201410" TargetMode="External" Id="rId964" /><Relationship Type="http://schemas.openxmlformats.org/officeDocument/2006/relationships/hyperlink" Target="https://mstgolf.co.th/products/gf2500102698" TargetMode="External" Id="rId965" /><Relationship Type="http://schemas.openxmlformats.org/officeDocument/2006/relationships/hyperlink" Target="https://mstgolf.co.th/products/gf2500102776" TargetMode="External" Id="rId966" /><Relationship Type="http://schemas.openxmlformats.org/officeDocument/2006/relationships/hyperlink" Target="https://mstgolf.co.th/products/gf2500201379" TargetMode="External" Id="rId967" /><Relationship Type="http://schemas.openxmlformats.org/officeDocument/2006/relationships/hyperlink" Target="https://mstgolf.co.th/products/gf3000102550" TargetMode="External" Id="rId968" /><Relationship Type="http://schemas.openxmlformats.org/officeDocument/2006/relationships/hyperlink" Target="https://mstgolf.co.th/products/gf3000300385" TargetMode="External" Id="rId969" /><Relationship Type="http://schemas.openxmlformats.org/officeDocument/2006/relationships/hyperlink" Target="https://mstgolf.co.th/products/gf2500201197" TargetMode="External" Id="rId970" /><Relationship Type="http://schemas.openxmlformats.org/officeDocument/2006/relationships/hyperlink" Target="https://mstgolf.co.th/products/gf2500200991" TargetMode="External" Id="rId971" /><Relationship Type="http://schemas.openxmlformats.org/officeDocument/2006/relationships/hyperlink" Target="https://mstgolf.co.th/products/gf2500102740" TargetMode="External" Id="rId972" /><Relationship Type="http://schemas.openxmlformats.org/officeDocument/2006/relationships/hyperlink" Target="https://mstgolf.co.th/products/gf2500102739" TargetMode="External" Id="rId973" /><Relationship Type="http://schemas.openxmlformats.org/officeDocument/2006/relationships/hyperlink" Target="https://mstgolf.co.th/products/gf2500102639" TargetMode="External" Id="rId974" /><Relationship Type="http://schemas.openxmlformats.org/officeDocument/2006/relationships/hyperlink" Target="https://mstgolf.co.th/products/gf2500201260" TargetMode="External" Id="rId975" /><Relationship Type="http://schemas.openxmlformats.org/officeDocument/2006/relationships/hyperlink" Target="https://mstgolf.co.th/products/gf2500201181" TargetMode="External" Id="rId976" /><Relationship Type="http://schemas.openxmlformats.org/officeDocument/2006/relationships/hyperlink" Target="https://mstgolf.co.th/products/gf2500201256" TargetMode="External" Id="rId977" /><Relationship Type="http://schemas.openxmlformats.org/officeDocument/2006/relationships/hyperlink" Target="https://mstgolf.co.th/products/gf2500201384" TargetMode="External" Id="rId978" /><Relationship Type="http://schemas.openxmlformats.org/officeDocument/2006/relationships/hyperlink" Target="https://mstgolf.co.th/products/gf2500201387" TargetMode="External" Id="rId979" /><Relationship Type="http://schemas.openxmlformats.org/officeDocument/2006/relationships/hyperlink" Target="https://mstgolf.co.th/products/gf2500201385" TargetMode="External" Id="rId980" /><Relationship Type="http://schemas.openxmlformats.org/officeDocument/2006/relationships/hyperlink" Target="https://mstgolf.co.th/products/gf2500200977" TargetMode="External" Id="rId981" /><Relationship Type="http://schemas.openxmlformats.org/officeDocument/2006/relationships/hyperlink" Target="https://mstgolf.co.th/products/gf2500200978" TargetMode="External" Id="rId982" /><Relationship Type="http://schemas.openxmlformats.org/officeDocument/2006/relationships/hyperlink" Target="https://mstgolf.co.th/products/gf3000102527" TargetMode="External" Id="rId983" /><Relationship Type="http://schemas.openxmlformats.org/officeDocument/2006/relationships/hyperlink" Target="https://mstgolf.co.th/products/gf2500201274" TargetMode="External" Id="rId984" /><Relationship Type="http://schemas.openxmlformats.org/officeDocument/2006/relationships/hyperlink" Target="https://mstgolf.co.th/products/gf3010401024" TargetMode="External" Id="rId985" /><Relationship Type="http://schemas.openxmlformats.org/officeDocument/2006/relationships/hyperlink" Target="https://mstgolf.co.th/products/gf2500102695" TargetMode="External" Id="rId986" /><Relationship Type="http://schemas.openxmlformats.org/officeDocument/2006/relationships/hyperlink" Target="https://mstgolf.co.th/products/gf2500102694" TargetMode="External" Id="rId987" /><Relationship Type="http://schemas.openxmlformats.org/officeDocument/2006/relationships/hyperlink" Target="https://mstgolf.co.th/products/gf2500201015" TargetMode="External" Id="rId988" /><Relationship Type="http://schemas.openxmlformats.org/officeDocument/2006/relationships/hyperlink" Target="https://mstgolf.co.th/products/gf2500201263" TargetMode="External" Id="rId989" /><Relationship Type="http://schemas.openxmlformats.org/officeDocument/2006/relationships/hyperlink" Target="https://mstgolf.co.th/products/gf2500201014" TargetMode="External" Id="rId990" /><Relationship Type="http://schemas.openxmlformats.org/officeDocument/2006/relationships/hyperlink" Target="https://mstgolf.co.th/products/gf2500200477" TargetMode="External" Id="rId991" /><Relationship Type="http://schemas.openxmlformats.org/officeDocument/2006/relationships/hyperlink" Target="https://mstgolf.co.th/products/gf2500200913" TargetMode="External" Id="rId992" /><Relationship Type="http://schemas.openxmlformats.org/officeDocument/2006/relationships/hyperlink" Target="https://mstgolf.co.th/products/gf2500102611" TargetMode="External" Id="rId993" /><Relationship Type="http://schemas.openxmlformats.org/officeDocument/2006/relationships/hyperlink" Target="https://mstgolf.co.th/products/gf2500201145" TargetMode="External" Id="rId994" /><Relationship Type="http://schemas.openxmlformats.org/officeDocument/2006/relationships/hyperlink" Target="https://mstgolf.co.th/products/gf2500201413" TargetMode="External" Id="rId995" /><Relationship Type="http://schemas.openxmlformats.org/officeDocument/2006/relationships/hyperlink" Target="https://mstgolf.co.th/products/gf2500201412" TargetMode="External" Id="rId996" /><Relationship Type="http://schemas.openxmlformats.org/officeDocument/2006/relationships/hyperlink" Target="https://mstgolf.co.th/products/gf2500201422" TargetMode="External" Id="rId997" /><Relationship Type="http://schemas.openxmlformats.org/officeDocument/2006/relationships/hyperlink" Target="https://mstgolf.co.th/products/gf2500201176" TargetMode="External" Id="rId998" /><Relationship Type="http://schemas.openxmlformats.org/officeDocument/2006/relationships/hyperlink" Target="https://mstgolf.co.th/products/gf2500200735" TargetMode="External" Id="rId999" /><Relationship Type="http://schemas.openxmlformats.org/officeDocument/2006/relationships/hyperlink" Target="https://mstgolf.co.th/products/gf2500200857" TargetMode="External" Id="rId1000" /><Relationship Type="http://schemas.openxmlformats.org/officeDocument/2006/relationships/hyperlink" Target="https://mstgolf.co.th/products/gf2500201270" TargetMode="External" Id="rId1001" /><Relationship Type="http://schemas.openxmlformats.org/officeDocument/2006/relationships/hyperlink" Target="https://mstgolf.co.th/products/gf3010101434" TargetMode="External" Id="rId1002" /><Relationship Type="http://schemas.openxmlformats.org/officeDocument/2006/relationships/hyperlink" Target="https://mstgolf.co.th/products/gf3010101436" TargetMode="External" Id="rId1003" /><Relationship Type="http://schemas.openxmlformats.org/officeDocument/2006/relationships/hyperlink" Target="https://mstgolf.co.th/products/gf3010101435" TargetMode="External" Id="rId1004" /><Relationship Type="http://schemas.openxmlformats.org/officeDocument/2006/relationships/hyperlink" Target="https://mstgolf.co.th/products/gf3010400911" TargetMode="External" Id="rId1005" /><Relationship Type="http://schemas.openxmlformats.org/officeDocument/2006/relationships/hyperlink" Target="https://mstgolf.co.th/products/gf2500102691" TargetMode="External" Id="rId1006" /><Relationship Type="http://schemas.openxmlformats.org/officeDocument/2006/relationships/hyperlink" Target="https://mstgolf.co.th/products/gf2500201011" TargetMode="External" Id="rId1007" /><Relationship Type="http://schemas.openxmlformats.org/officeDocument/2006/relationships/hyperlink" Target="https://mstgolf.co.th/products/gf2500102527" TargetMode="External" Id="rId1008" /><Relationship Type="http://schemas.openxmlformats.org/officeDocument/2006/relationships/hyperlink" Target="https://mstgolf.co.th/products/gf2500102607" TargetMode="External" Id="rId1009" /><Relationship Type="http://schemas.openxmlformats.org/officeDocument/2006/relationships/hyperlink" Target="https://mstgolf.co.th/products/gf2500102707" TargetMode="External" Id="rId1010" /><Relationship Type="http://schemas.openxmlformats.org/officeDocument/2006/relationships/hyperlink" Target="https://mstgolf.co.th/products/gf2500102676" TargetMode="External" Id="rId1011" /><Relationship Type="http://schemas.openxmlformats.org/officeDocument/2006/relationships/hyperlink" Target="https://mstgolf.co.th/products/gf2500102679" TargetMode="External" Id="rId1012" /><Relationship Type="http://schemas.openxmlformats.org/officeDocument/2006/relationships/hyperlink" Target="https://mstgolf.co.th/products/gf2500102678" TargetMode="External" Id="rId1013" /><Relationship Type="http://schemas.openxmlformats.org/officeDocument/2006/relationships/hyperlink" Target="https://mstgolf.co.th/products/gf2500201055" TargetMode="External" Id="rId1014" /><Relationship Type="http://schemas.openxmlformats.org/officeDocument/2006/relationships/hyperlink" Target="https://mstgolf.co.th/products/gf2500201056" TargetMode="External" Id="rId1015" /><Relationship Type="http://schemas.openxmlformats.org/officeDocument/2006/relationships/hyperlink" Target="https://mstgolf.co.th/products/gf2500201058" TargetMode="External" Id="rId1016" /><Relationship Type="http://schemas.openxmlformats.org/officeDocument/2006/relationships/hyperlink" Target="https://mstgolf.co.th/products/gf2500201062" TargetMode="External" Id="rId1017" /><Relationship Type="http://schemas.openxmlformats.org/officeDocument/2006/relationships/hyperlink" Target="https://mstgolf.co.th/products/gf2500201063" TargetMode="External" Id="rId1018" /><Relationship Type="http://schemas.openxmlformats.org/officeDocument/2006/relationships/hyperlink" Target="https://mstgolf.co.th/products/gf2500201039" TargetMode="External" Id="rId1019" /><Relationship Type="http://schemas.openxmlformats.org/officeDocument/2006/relationships/hyperlink" Target="https://mstgolf.co.th/products/gf2500201038" TargetMode="External" Id="rId1020" /><Relationship Type="http://schemas.openxmlformats.org/officeDocument/2006/relationships/hyperlink" Target="https://mstgolf.co.th/products/gf2500201338" TargetMode="External" Id="rId1021" /><Relationship Type="http://schemas.openxmlformats.org/officeDocument/2006/relationships/hyperlink" Target="https://mstgolf.co.th/products/gf2500201344" TargetMode="External" Id="rId1022" /><Relationship Type="http://schemas.openxmlformats.org/officeDocument/2006/relationships/hyperlink" Target="https://mstgolf.co.th/products/gf2500201198" TargetMode="External" Id="rId1023" /><Relationship Type="http://schemas.openxmlformats.org/officeDocument/2006/relationships/hyperlink" Target="https://mstgolf.co.th/products/gf2500201165" TargetMode="External" Id="rId1024" /><Relationship Type="http://schemas.openxmlformats.org/officeDocument/2006/relationships/hyperlink" Target="https://mstgolf.co.th/products/gf2500102685" TargetMode="External" Id="rId1025" /><Relationship Type="http://schemas.openxmlformats.org/officeDocument/2006/relationships/hyperlink" Target="https://mstgolf.co.th/products/gf2500201220" TargetMode="External" Id="rId1026" /><Relationship Type="http://schemas.openxmlformats.org/officeDocument/2006/relationships/hyperlink" Target="https://mstgolf.co.th/products/gf2500201219" TargetMode="External" Id="rId1027" /><Relationship Type="http://schemas.openxmlformats.org/officeDocument/2006/relationships/hyperlink" Target="https://mstgolf.co.th/products/gf2500201301" TargetMode="External" Id="rId1028" /><Relationship Type="http://schemas.openxmlformats.org/officeDocument/2006/relationships/hyperlink" Target="https://mstgolf.co.th/products/gf2500201302" TargetMode="External" Id="rId1029" /><Relationship Type="http://schemas.openxmlformats.org/officeDocument/2006/relationships/hyperlink" Target="https://mstgolf.co.th/products/gf2500201556" TargetMode="External" Id="rId1030" /><Relationship Type="http://schemas.openxmlformats.org/officeDocument/2006/relationships/hyperlink" Target="https://mstgolf.co.th/products/gf2500201313" TargetMode="External" Id="rId1031" /><Relationship Type="http://schemas.openxmlformats.org/officeDocument/2006/relationships/hyperlink" Target="https://mstgolf.co.th/products/gf2500201312" TargetMode="External" Id="rId1032" /><Relationship Type="http://schemas.openxmlformats.org/officeDocument/2006/relationships/hyperlink" Target="https://mstgolf.co.th/products/gf2500201022" TargetMode="External" Id="rId1033" /><Relationship Type="http://schemas.openxmlformats.org/officeDocument/2006/relationships/hyperlink" Target="https://mstgolf.co.th/products/gf2500201190" TargetMode="External" Id="rId1034" /><Relationship Type="http://schemas.openxmlformats.org/officeDocument/2006/relationships/hyperlink" Target="https://mstgolf.co.th/products/gf2500201191" TargetMode="External" Id="rId1035" /><Relationship Type="http://schemas.openxmlformats.org/officeDocument/2006/relationships/hyperlink" Target="https://mstgolf.co.th/products/gf2500102556" TargetMode="External" Id="rId1036" /><Relationship Type="http://schemas.openxmlformats.org/officeDocument/2006/relationships/hyperlink" Target="https://mstgolf.co.th/products/gf2500201340" TargetMode="External" Id="rId1037" /><Relationship Type="http://schemas.openxmlformats.org/officeDocument/2006/relationships/hyperlink" Target="https://mstgolf.co.th/products/gf2500201343" TargetMode="External" Id="rId1038" /><Relationship Type="http://schemas.openxmlformats.org/officeDocument/2006/relationships/hyperlink" Target="https://mstgolf.co.th/products/gf3040100107" TargetMode="External" Id="rId1039" /><Relationship Type="http://schemas.openxmlformats.org/officeDocument/2006/relationships/hyperlink" Target="https://mstgolf.co.th/products/gf3040200015" TargetMode="External" Id="rId1040" /><Relationship Type="http://schemas.openxmlformats.org/officeDocument/2006/relationships/hyperlink" Target="https://mstgolf.co.th/products/gf2500102682" TargetMode="External" Id="rId1041" /><Relationship Type="http://schemas.openxmlformats.org/officeDocument/2006/relationships/hyperlink" Target="https://mstgolf.co.th/products/gf2500102562" TargetMode="External" Id="rId1042" /><Relationship Type="http://schemas.openxmlformats.org/officeDocument/2006/relationships/hyperlink" Target="https://mstgolf.co.th/products/gf2500201046" TargetMode="External" Id="rId1043" /><Relationship Type="http://schemas.openxmlformats.org/officeDocument/2006/relationships/hyperlink" Target="https://mstgolf.co.th/products/gf2500102521" TargetMode="External" Id="rId1044" /><Relationship Type="http://schemas.openxmlformats.org/officeDocument/2006/relationships/hyperlink" Target="https://mstgolf.co.th/products/gf2500201018" TargetMode="External" Id="rId1045" /><Relationship Type="http://schemas.openxmlformats.org/officeDocument/2006/relationships/hyperlink" Target="https://mstgolf.co.th/products/gf3010300439" TargetMode="External" Id="rId1046" /><Relationship Type="http://schemas.openxmlformats.org/officeDocument/2006/relationships/hyperlink" Target="https://mstgolf.co.th/products/gf2500201195" TargetMode="External" Id="rId1047" /><Relationship Type="http://schemas.openxmlformats.org/officeDocument/2006/relationships/hyperlink" Target="https://mstgolf.co.th/products/gf2500201020" TargetMode="External" Id="rId1048" /><Relationship Type="http://schemas.openxmlformats.org/officeDocument/2006/relationships/hyperlink" Target="https://mstgolf.co.th/products/gf2500201236" TargetMode="External" Id="rId1049" /><Relationship Type="http://schemas.openxmlformats.org/officeDocument/2006/relationships/hyperlink" Target="https://mstgolf.co.th/products/gf2500102599" TargetMode="External" Id="rId1050" /><Relationship Type="http://schemas.openxmlformats.org/officeDocument/2006/relationships/hyperlink" Target="https://mstgolf.co.th/products/gf2500102616" TargetMode="External" Id="rId1051" /><Relationship Type="http://schemas.openxmlformats.org/officeDocument/2006/relationships/hyperlink" Target="https://mstgolf.co.th/products/gf2500200976" TargetMode="External" Id="rId1052" /><Relationship Type="http://schemas.openxmlformats.org/officeDocument/2006/relationships/hyperlink" Target="https://mstgolf.co.th/products/gf2500201249" TargetMode="External" Id="rId1053" /><Relationship Type="http://schemas.openxmlformats.org/officeDocument/2006/relationships/hyperlink" Target="https://mstgolf.co.th/products/gf2500201203" TargetMode="External" Id="rId1054" /><Relationship Type="http://schemas.openxmlformats.org/officeDocument/2006/relationships/hyperlink" Target="https://mstgolf.co.th/products/gf2500201202" TargetMode="External" Id="rId1055" /><Relationship Type="http://schemas.openxmlformats.org/officeDocument/2006/relationships/hyperlink" Target="https://mstgolf.co.th/products/gf2500201012" TargetMode="External" Id="rId1056" /><Relationship Type="http://schemas.openxmlformats.org/officeDocument/2006/relationships/hyperlink" Target="https://mstgolf.co.th/products/gf2500102663" TargetMode="External" Id="rId1057" /><Relationship Type="http://schemas.openxmlformats.org/officeDocument/2006/relationships/hyperlink" Target="https://mstgolf.co.th/products/gf3010400705" TargetMode="External" Id="rId1058" /><Relationship Type="http://schemas.openxmlformats.org/officeDocument/2006/relationships/hyperlink" Target="https://mstgolf.co.th/products/gf2500200826" TargetMode="External" Id="rId1059" /><Relationship Type="http://schemas.openxmlformats.org/officeDocument/2006/relationships/hyperlink" Target="https://mstgolf.co.th/products/gf2500102686" TargetMode="External" Id="rId1060" /><Relationship Type="http://schemas.openxmlformats.org/officeDocument/2006/relationships/hyperlink" Target="https://mstgolf.co.th/products/gf2500201010" TargetMode="External" Id="rId1061" /><Relationship Type="http://schemas.openxmlformats.org/officeDocument/2006/relationships/hyperlink" Target="https://mstgolf.co.th/products/gf2500201223" TargetMode="External" Id="rId1062" /><Relationship Type="http://schemas.openxmlformats.org/officeDocument/2006/relationships/hyperlink" Target="https://mstgolf.co.th/products/gf2500201239" TargetMode="External" Id="rId1063" /><Relationship Type="http://schemas.openxmlformats.org/officeDocument/2006/relationships/hyperlink" Target="https://mstgolf.co.th/products/gf2500201240" TargetMode="External" Id="rId1064" /><Relationship Type="http://schemas.openxmlformats.org/officeDocument/2006/relationships/hyperlink" Target="https://mstgolf.co.th/products/gf2500201241" TargetMode="External" Id="rId1065" /><Relationship Type="http://schemas.openxmlformats.org/officeDocument/2006/relationships/hyperlink" Target="https://mstgolf.co.th/products/gf2500201140" TargetMode="External" Id="rId1066" /><Relationship Type="http://schemas.openxmlformats.org/officeDocument/2006/relationships/hyperlink" Target="https://mstgolf.co.th/products/gf2500102652" TargetMode="External" Id="rId1067" /><Relationship Type="http://schemas.openxmlformats.org/officeDocument/2006/relationships/hyperlink" Target="https://mstgolf.co.th/products/gf2500200988" TargetMode="External" Id="rId1068" /><Relationship Type="http://schemas.openxmlformats.org/officeDocument/2006/relationships/hyperlink" Target="https://mstgolf.co.th/products/gf2500201352" TargetMode="External" Id="rId1069" /><Relationship Type="http://schemas.openxmlformats.org/officeDocument/2006/relationships/hyperlink" Target="https://mstgolf.co.th/products/gf2500200936" TargetMode="External" Id="rId1070" /><Relationship Type="http://schemas.openxmlformats.org/officeDocument/2006/relationships/hyperlink" Target="https://mstgolf.co.th/products/gf2500200935" TargetMode="External" Id="rId1071" /><Relationship Type="http://schemas.openxmlformats.org/officeDocument/2006/relationships/hyperlink" Target="https://mstgolf.co.th/products/gf3010400842" TargetMode="External" Id="rId1072" /><Relationship Type="http://schemas.openxmlformats.org/officeDocument/2006/relationships/hyperlink" Target="https://mstgolf.co.th/products/gf2500201147" TargetMode="External" Id="rId1073" /><Relationship Type="http://schemas.openxmlformats.org/officeDocument/2006/relationships/hyperlink" Target="https://mstgolf.co.th/products/gf2500201295" TargetMode="External" Id="rId1074" /><Relationship Type="http://schemas.openxmlformats.org/officeDocument/2006/relationships/hyperlink" Target="https://mstgolf.co.th/products/gf2500201296" TargetMode="External" Id="rId1075" /><Relationship Type="http://schemas.openxmlformats.org/officeDocument/2006/relationships/hyperlink" Target="https://mstgolf.co.th/products/gf2500201297" TargetMode="External" Id="rId1076" /><Relationship Type="http://schemas.openxmlformats.org/officeDocument/2006/relationships/hyperlink" Target="https://mstgolf.co.th/products/gf2500200775" TargetMode="External" Id="rId1077" /><Relationship Type="http://schemas.openxmlformats.org/officeDocument/2006/relationships/hyperlink" Target="https://mstgolf.co.th/products/gf2500200975" TargetMode="External" Id="rId1078" /><Relationship Type="http://schemas.openxmlformats.org/officeDocument/2006/relationships/hyperlink" Target="https://mstgolf.co.th/products/gf2500201261" TargetMode="External" Id="rId1079" /><Relationship Type="http://schemas.openxmlformats.org/officeDocument/2006/relationships/hyperlink" Target="https://mstgolf.co.th/products/gf2540100115" TargetMode="External" Id="rId1080" /><Relationship Type="http://schemas.openxmlformats.org/officeDocument/2006/relationships/hyperlink" Target="https://mstgolf.co.th/products/gf2500201023" TargetMode="External" Id="rId1081" /><Relationship Type="http://schemas.openxmlformats.org/officeDocument/2006/relationships/hyperlink" Target="https://mstgolf.co.th/products/gf2500201184" TargetMode="External" Id="rId1082" /><Relationship Type="http://schemas.openxmlformats.org/officeDocument/2006/relationships/hyperlink" Target="https://mstgolf.co.th/products/gf2500201255" TargetMode="External" Id="rId1083" /><Relationship Type="http://schemas.openxmlformats.org/officeDocument/2006/relationships/hyperlink" Target="https://mstgolf.co.th/products/gf3040200017" TargetMode="External" Id="rId1084" /><Relationship Type="http://schemas.openxmlformats.org/officeDocument/2006/relationships/hyperlink" Target="https://mstgolf.co.th/products/gf3040200084" TargetMode="External" Id="rId1085" /><Relationship Type="http://schemas.openxmlformats.org/officeDocument/2006/relationships/hyperlink" Target="https://mstgolf.co.th/products/gf2500200956" TargetMode="External" Id="rId1086" /><Relationship Type="http://schemas.openxmlformats.org/officeDocument/2006/relationships/hyperlink" Target="https://mstgolf.co.th/products/gf2500200955" TargetMode="External" Id="rId1087" /><Relationship Type="http://schemas.openxmlformats.org/officeDocument/2006/relationships/hyperlink" Target="https://mstgolf.co.th/products/gf2500200752" TargetMode="External" Id="rId1088" /><Relationship Type="http://schemas.openxmlformats.org/officeDocument/2006/relationships/hyperlink" Target="https://mstgolf.co.th/products/gf2500200760" TargetMode="External" Id="rId1089" /><Relationship Type="http://schemas.openxmlformats.org/officeDocument/2006/relationships/hyperlink" Target="https://mstgolf.co.th/products/gf3010101009" TargetMode="External" Id="rId1090" /><Relationship Type="http://schemas.openxmlformats.org/officeDocument/2006/relationships/hyperlink" Target="https://mstgolf.co.th/products/gf3010401125" TargetMode="External" Id="rId1091" /><Relationship Type="http://schemas.openxmlformats.org/officeDocument/2006/relationships/hyperlink" Target="https://mstgolf.co.th/products/gf2500200915" TargetMode="External" Id="rId1092" /><Relationship Type="http://schemas.openxmlformats.org/officeDocument/2006/relationships/hyperlink" Target="https://mstgolf.co.th/products/gf2500200914" TargetMode="External" Id="rId1093" /><Relationship Type="http://schemas.openxmlformats.org/officeDocument/2006/relationships/hyperlink" Target="https://mstgolf.co.th/products/gf3010401058" TargetMode="External" Id="rId1094" /><Relationship Type="http://schemas.openxmlformats.org/officeDocument/2006/relationships/hyperlink" Target="https://mstgolf.co.th/products/gf2500200930" TargetMode="External" Id="rId1095" /><Relationship Type="http://schemas.openxmlformats.org/officeDocument/2006/relationships/hyperlink" Target="https://mstgolf.co.th/products/gf2500200931" TargetMode="External" Id="rId1096" /><Relationship Type="http://schemas.openxmlformats.org/officeDocument/2006/relationships/hyperlink" Target="https://mstgolf.co.th/products/gf3010101411" TargetMode="External" Id="rId1097" /><Relationship Type="http://schemas.openxmlformats.org/officeDocument/2006/relationships/hyperlink" Target="https://mstgolf.co.th/products/gf3010101410" TargetMode="External" Id="rId1098" /><Relationship Type="http://schemas.openxmlformats.org/officeDocument/2006/relationships/hyperlink" Target="https://mstgolf.co.th/products/gf2500200964" TargetMode="External" Id="rId1099" /><Relationship Type="http://schemas.openxmlformats.org/officeDocument/2006/relationships/hyperlink" Target="https://mstgolf.co.th/products/gf2500102643" TargetMode="External" Id="rId1100" /><Relationship Type="http://schemas.openxmlformats.org/officeDocument/2006/relationships/hyperlink" Target="https://mstgolf.co.th/products/gf3010300465" TargetMode="External" Id="rId1101" /><Relationship Type="http://schemas.openxmlformats.org/officeDocument/2006/relationships/hyperlink" Target="https://mstgolf.co.th/products/gf2500102696" TargetMode="External" Id="rId1102" /><Relationship Type="http://schemas.openxmlformats.org/officeDocument/2006/relationships/hyperlink" Target="https://mstgolf.co.th/products/gf2500102697" TargetMode="External" Id="rId1103" /><Relationship Type="http://schemas.openxmlformats.org/officeDocument/2006/relationships/hyperlink" Target="https://mstgolf.co.th/products/gf2500200917" TargetMode="External" Id="rId1104" /><Relationship Type="http://schemas.openxmlformats.org/officeDocument/2006/relationships/hyperlink" Target="https://mstgolf.co.th/products/gf2500102717" TargetMode="External" Id="rId1105" /><Relationship Type="http://schemas.openxmlformats.org/officeDocument/2006/relationships/hyperlink" Target="https://mstgolf.co.th/products/gf2500102718" TargetMode="External" Id="rId1106" /><Relationship Type="http://schemas.openxmlformats.org/officeDocument/2006/relationships/hyperlink" Target="https://mstgolf.co.th/products/gf3040200043" TargetMode="External" Id="rId1107" /><Relationship Type="http://schemas.openxmlformats.org/officeDocument/2006/relationships/hyperlink" Target="https://mstgolf.co.th/products/gf3010101005" TargetMode="External" Id="rId1108" /><Relationship Type="http://schemas.openxmlformats.org/officeDocument/2006/relationships/hyperlink" Target="https://mstgolf.co.th/products/gf3010300409" TargetMode="External" Id="rId1109" /><Relationship Type="http://schemas.openxmlformats.org/officeDocument/2006/relationships/hyperlink" Target="https://mstgolf.co.th/products/gf3010300408" TargetMode="External" Id="rId1110" /><Relationship Type="http://schemas.openxmlformats.org/officeDocument/2006/relationships/hyperlink" Target="https://mstgolf.co.th/products/gf2500200616" TargetMode="External" Id="rId1111" /><Relationship Type="http://schemas.openxmlformats.org/officeDocument/2006/relationships/hyperlink" Target="https://mstgolf.co.th/products/gf2500201151" TargetMode="External" Id="rId1112" /><Relationship Type="http://schemas.openxmlformats.org/officeDocument/2006/relationships/hyperlink" Target="https://mstgolf.co.th/products/gf2500201148" TargetMode="External" Id="rId1113" /><Relationship Type="http://schemas.openxmlformats.org/officeDocument/2006/relationships/hyperlink" Target="https://mstgolf.co.th/products/gf2500200996" TargetMode="External" Id="rId1114" /><Relationship Type="http://schemas.openxmlformats.org/officeDocument/2006/relationships/hyperlink" Target="https://mstgolf.co.th/products/gf2500200938" TargetMode="External" Id="rId1115" /><Relationship Type="http://schemas.openxmlformats.org/officeDocument/2006/relationships/hyperlink" Target="https://mstgolf.co.th/products/gf3040100025" TargetMode="External" Id="rId1116" /><Relationship Type="http://schemas.openxmlformats.org/officeDocument/2006/relationships/hyperlink" Target="https://mstgolf.co.th/products/gf3010100976" TargetMode="External" Id="rId1117" /><Relationship Type="http://schemas.openxmlformats.org/officeDocument/2006/relationships/hyperlink" Target="https://mstgolf.co.th/products/gf2500201016" TargetMode="External" Id="rId1118" /><Relationship Type="http://schemas.openxmlformats.org/officeDocument/2006/relationships/hyperlink" Target="https://mstgolf.co.th/products/gf2500200884" TargetMode="External" Id="rId1119" /><Relationship Type="http://schemas.openxmlformats.org/officeDocument/2006/relationships/hyperlink" Target="https://mstgolf.co.th/products/gf3000300377" TargetMode="External" Id="rId1120" /><Relationship Type="http://schemas.openxmlformats.org/officeDocument/2006/relationships/hyperlink" Target="https://mstgolf.co.th/products/gf2500200836" TargetMode="External" Id="rId1121" /><Relationship Type="http://schemas.openxmlformats.org/officeDocument/2006/relationships/hyperlink" Target="https://mstgolf.co.th/products/gf2500201300" TargetMode="External" Id="rId1122" /><Relationship Type="http://schemas.openxmlformats.org/officeDocument/2006/relationships/hyperlink" Target="https://mstgolf.co.th/products/gf2500201226" TargetMode="External" Id="rId1123" /><Relationship Type="http://schemas.openxmlformats.org/officeDocument/2006/relationships/hyperlink" Target="https://mstgolf.co.th/products/gf3200400284" TargetMode="External" Id="rId1124" /><Relationship Type="http://schemas.openxmlformats.org/officeDocument/2006/relationships/hyperlink" Target="https://mstgolf.co.th/products/gf3200400285" TargetMode="External" Id="rId1125" /><Relationship Type="http://schemas.openxmlformats.org/officeDocument/2006/relationships/hyperlink" Target="https://mstgolf.co.th/products/gf3200400299" TargetMode="External" Id="rId1126" /><Relationship Type="http://schemas.openxmlformats.org/officeDocument/2006/relationships/hyperlink" Target="https://mstgolf.co.th/products/gf3200400298" TargetMode="External" Id="rId1127" /><Relationship Type="http://schemas.openxmlformats.org/officeDocument/2006/relationships/hyperlink" Target="https://mstgolf.co.th/products/gf3200400310" TargetMode="External" Id="rId1128" /><Relationship Type="http://schemas.openxmlformats.org/officeDocument/2006/relationships/hyperlink" Target="https://mstgolf.co.th/products/gf3200400302" TargetMode="External" Id="rId1129" /><Relationship Type="http://schemas.openxmlformats.org/officeDocument/2006/relationships/hyperlink" Target="https://mstgolf.co.th/products/gf3200400301" TargetMode="External" Id="rId1130" /><Relationship Type="http://schemas.openxmlformats.org/officeDocument/2006/relationships/hyperlink" Target="https://mstgolf.co.th/products/gf3200400311" TargetMode="External" Id="rId1131" /><Relationship Type="http://schemas.openxmlformats.org/officeDocument/2006/relationships/hyperlink" Target="https://mstgolf.co.th/products/gf2500201235" TargetMode="External" Id="rId1132" /><Relationship Type="http://schemas.openxmlformats.org/officeDocument/2006/relationships/hyperlink" Target="https://mstgolf.co.th/products/gf2500201215" TargetMode="External" Id="rId1133" /><Relationship Type="http://schemas.openxmlformats.org/officeDocument/2006/relationships/hyperlink" Target="https://mstgolf.co.th/products/gf2500201216" TargetMode="External" Id="rId1134" /><Relationship Type="http://schemas.openxmlformats.org/officeDocument/2006/relationships/hyperlink" Target="https://mstgolf.co.th/products/gf2500201186" TargetMode="External" Id="rId1135" /><Relationship Type="http://schemas.openxmlformats.org/officeDocument/2006/relationships/hyperlink" Target="https://mstgolf.co.th/products/gf2500201189" TargetMode="External" Id="rId1136" /><Relationship Type="http://schemas.openxmlformats.org/officeDocument/2006/relationships/hyperlink" Target="https://mstgolf.co.th/products/gf2500201188" TargetMode="External" Id="rId1137" /><Relationship Type="http://schemas.openxmlformats.org/officeDocument/2006/relationships/hyperlink" Target="https://mstgolf.co.th/products/gf3010400965" TargetMode="External" Id="rId1138" /><Relationship Type="http://schemas.openxmlformats.org/officeDocument/2006/relationships/hyperlink" Target="https://mstgolf.co.th/products/gf3200400243" TargetMode="External" Id="rId1139" /><Relationship Type="http://schemas.openxmlformats.org/officeDocument/2006/relationships/hyperlink" Target="https://mstgolf.co.th/products/gf3200400244" TargetMode="External" Id="rId1140" /><Relationship Type="http://schemas.openxmlformats.org/officeDocument/2006/relationships/hyperlink" Target="https://mstgolf.co.th/products/gf3010101453" TargetMode="External" Id="rId1141" /><Relationship Type="http://schemas.openxmlformats.org/officeDocument/2006/relationships/hyperlink" Target="https://mstgolf.co.th/products/gf2500200560" TargetMode="External" Id="rId1142" /><Relationship Type="http://schemas.openxmlformats.org/officeDocument/2006/relationships/hyperlink" Target="https://mstgolf.co.th/products/gf3010401057" TargetMode="External" Id="rId1143" /><Relationship Type="http://schemas.openxmlformats.org/officeDocument/2006/relationships/hyperlink" Target="https://mstgolf.co.th/products/gf3010401055" TargetMode="External" Id="rId1144" /><Relationship Type="http://schemas.openxmlformats.org/officeDocument/2006/relationships/hyperlink" Target="https://mstgolf.co.th/products/gf3010401056" TargetMode="External" Id="rId1145" /><Relationship Type="http://schemas.openxmlformats.org/officeDocument/2006/relationships/hyperlink" Target="https://mstgolf.co.th/products/gf3010401189" TargetMode="External" Id="rId1146" /><Relationship Type="http://schemas.openxmlformats.org/officeDocument/2006/relationships/hyperlink" Target="https://mstgolf.co.th/products/gf3200400351" TargetMode="External" Id="rId1147" /><Relationship Type="http://schemas.openxmlformats.org/officeDocument/2006/relationships/hyperlink" Target="https://mstgolf.co.th/products/gf3010200674" TargetMode="External" Id="rId1148" /><Relationship Type="http://schemas.openxmlformats.org/officeDocument/2006/relationships/hyperlink" Target="https://mstgolf.co.th/products/gf3040100104" TargetMode="External" Id="rId1149" /><Relationship Type="http://schemas.openxmlformats.org/officeDocument/2006/relationships/hyperlink" Target="https://mstgolf.co.th/products/gf2500201019" TargetMode="External" Id="rId1150" /><Relationship Type="http://schemas.openxmlformats.org/officeDocument/2006/relationships/hyperlink" Target="https://mstgolf.co.th/products/gf3010101051" TargetMode="External" Id="rId1151" /><Relationship Type="http://schemas.openxmlformats.org/officeDocument/2006/relationships/hyperlink" Target="https://mstgolf.co.th/products/gf3010101327" TargetMode="External" Id="rId1152" /><Relationship Type="http://schemas.openxmlformats.org/officeDocument/2006/relationships/hyperlink" Target="https://mstgolf.co.th/products/gf2500201172" TargetMode="External" Id="rId1153" /><Relationship Type="http://schemas.openxmlformats.org/officeDocument/2006/relationships/hyperlink" Target="https://mstgolf.co.th/products/gf2500201230" TargetMode="External" Id="rId1154" /><Relationship Type="http://schemas.openxmlformats.org/officeDocument/2006/relationships/hyperlink" Target="https://mstgolf.co.th/products/gf2500201243" TargetMode="External" Id="rId1155" /><Relationship Type="http://schemas.openxmlformats.org/officeDocument/2006/relationships/hyperlink" Target="https://mstgolf.co.th/products/gf2500200942" TargetMode="External" Id="rId1156" /><Relationship Type="http://schemas.openxmlformats.org/officeDocument/2006/relationships/hyperlink" Target="https://mstgolf.co.th/products/gf3010300373" TargetMode="External" Id="rId1157" /><Relationship Type="http://schemas.openxmlformats.org/officeDocument/2006/relationships/hyperlink" Target="https://mstgolf.co.th/products/gf3200300069" TargetMode="External" Id="rId1158" /><Relationship Type="http://schemas.openxmlformats.org/officeDocument/2006/relationships/hyperlink" Target="https://mstgolf.co.th/products/gf3200300070" TargetMode="External" Id="rId1159" /><Relationship Type="http://schemas.openxmlformats.org/officeDocument/2006/relationships/hyperlink" Target="https://mstgolf.co.th/products/gf3040200062" TargetMode="External" Id="rId1160" /><Relationship Type="http://schemas.openxmlformats.org/officeDocument/2006/relationships/hyperlink" Target="https://mstgolf.co.th/products/gf3040200014" TargetMode="External" Id="rId1161" /><Relationship Type="http://schemas.openxmlformats.org/officeDocument/2006/relationships/hyperlink" Target="https://mstgolf.co.th/products/gf3200400213" TargetMode="External" Id="rId1162" /><Relationship Type="http://schemas.openxmlformats.org/officeDocument/2006/relationships/hyperlink" Target="https://mstgolf.co.th/products/gf3010300401" TargetMode="External" Id="rId1163" /><Relationship Type="http://schemas.openxmlformats.org/officeDocument/2006/relationships/hyperlink" Target="https://mstgolf.co.th/products/gf3010100986" TargetMode="External" Id="rId1164" /><Relationship Type="http://schemas.openxmlformats.org/officeDocument/2006/relationships/hyperlink" Target="https://mstgolf.co.th/products/gf3010401223" TargetMode="External" Id="rId1165" /><Relationship Type="http://schemas.openxmlformats.org/officeDocument/2006/relationships/hyperlink" Target="https://mstgolf.co.th/products/gf2500200953" TargetMode="External" Id="rId1166" /><Relationship Type="http://schemas.openxmlformats.org/officeDocument/2006/relationships/hyperlink" Target="https://mstgolf.co.th/products/gf3040200003" TargetMode="External" Id="rId1167" /><Relationship Type="http://schemas.openxmlformats.org/officeDocument/2006/relationships/hyperlink" Target="https://mstgolf.co.th/products/gf3010300366" TargetMode="External" Id="rId1168" /><Relationship Type="http://schemas.openxmlformats.org/officeDocument/2006/relationships/hyperlink" Target="https://mstgolf.co.th/products/gf3010101073" TargetMode="External" Id="rId1169" /><Relationship Type="http://schemas.openxmlformats.org/officeDocument/2006/relationships/hyperlink" Target="https://mstgolf.co.th/products/gf3010101196" TargetMode="External" Id="rId1170" /><Relationship Type="http://schemas.openxmlformats.org/officeDocument/2006/relationships/hyperlink" Target="https://mstgolf.co.th/products/gf3010300315" TargetMode="External" Id="rId1171" /><Relationship Type="http://schemas.openxmlformats.org/officeDocument/2006/relationships/hyperlink" Target="https://mstgolf.co.th/products/gf2500201196" TargetMode="External" Id="rId1172" /><Relationship Type="http://schemas.openxmlformats.org/officeDocument/2006/relationships/hyperlink" Target="https://mstgolf.co.th/products/gf3010200457" TargetMode="External" Id="rId1173" /><Relationship Type="http://schemas.openxmlformats.org/officeDocument/2006/relationships/hyperlink" Target="https://mstgolf.co.th/products/gf3040200011" TargetMode="External" Id="rId1174" /><Relationship Type="http://schemas.openxmlformats.org/officeDocument/2006/relationships/hyperlink" Target="https://mstgolf.co.th/products/gf3040100072" TargetMode="External" Id="rId1175" /><Relationship Type="http://schemas.openxmlformats.org/officeDocument/2006/relationships/hyperlink" Target="https://mstgolf.co.th/products/gf3010400814" TargetMode="External" Id="rId1176" /><Relationship Type="http://schemas.openxmlformats.org/officeDocument/2006/relationships/hyperlink" Target="https://mstgolf.co.th/products/gf3010401297" TargetMode="External" Id="rId1177" /><Relationship Type="http://schemas.openxmlformats.org/officeDocument/2006/relationships/hyperlink" Target="https://mstgolf.co.th/products/gf3010401243" TargetMode="External" Id="rId1178" /><Relationship Type="http://schemas.openxmlformats.org/officeDocument/2006/relationships/hyperlink" Target="https://mstgolf.co.th/products/gf2500102630" TargetMode="External" Id="rId1179" /><Relationship Type="http://schemas.openxmlformats.org/officeDocument/2006/relationships/hyperlink" Target="https://mstgolf.co.th/products/gf2540100133" TargetMode="External" Id="rId1180" /><Relationship Type="http://schemas.openxmlformats.org/officeDocument/2006/relationships/hyperlink" Target="https://mstgolf.co.th/products/gf2540100118" TargetMode="External" Id="rId1181" /><Relationship Type="http://schemas.openxmlformats.org/officeDocument/2006/relationships/hyperlink" Target="https://mstgolf.co.th/products/gf2540100119" TargetMode="External" Id="rId1182" /><Relationship Type="http://schemas.openxmlformats.org/officeDocument/2006/relationships/hyperlink" Target="https://mstgolf.co.th/products/gf2540100131" TargetMode="External" Id="rId1183" /><Relationship Type="http://schemas.openxmlformats.org/officeDocument/2006/relationships/hyperlink" Target="https://mstgolf.co.th/products/gf2540100130" TargetMode="External" Id="rId1184" /><Relationship Type="http://schemas.openxmlformats.org/officeDocument/2006/relationships/hyperlink" Target="https://mstgolf.co.th/products/gf2540100122" TargetMode="External" Id="rId1185" /><Relationship Type="http://schemas.openxmlformats.org/officeDocument/2006/relationships/hyperlink" Target="https://mstgolf.co.th/products/gf2540100123" TargetMode="External" Id="rId1186" /><Relationship Type="http://schemas.openxmlformats.org/officeDocument/2006/relationships/hyperlink" Target="https://mstgolf.co.th/products/gf2540100120" TargetMode="External" Id="rId1187" /><Relationship Type="http://schemas.openxmlformats.org/officeDocument/2006/relationships/hyperlink" Target="https://mstgolf.co.th/products/gf3010200635" TargetMode="External" Id="rId1188" /><Relationship Type="http://schemas.openxmlformats.org/officeDocument/2006/relationships/hyperlink" Target="https://mstgolf.co.th/products/gf3010200665" TargetMode="External" Id="rId1189" /><Relationship Type="http://schemas.openxmlformats.org/officeDocument/2006/relationships/hyperlink" Target="https://mstgolf.co.th/products/gf3010101202" TargetMode="External" Id="rId1190" /><Relationship Type="http://schemas.openxmlformats.org/officeDocument/2006/relationships/hyperlink" Target="https://mstgolf.co.th/products/gf2540100135" TargetMode="External" Id="rId1191" /><Relationship Type="http://schemas.openxmlformats.org/officeDocument/2006/relationships/hyperlink" Target="https://mstgolf.co.th/products/gf3010400798" TargetMode="External" Id="rId1192" /><Relationship Type="http://schemas.openxmlformats.org/officeDocument/2006/relationships/hyperlink" Target="https://mstgolf.co.th/products/gf3020200726" TargetMode="External" Id="rId1193" /><Relationship Type="http://schemas.openxmlformats.org/officeDocument/2006/relationships/hyperlink" Target="https://mstgolf.co.th/products/gf2500201231" TargetMode="External" Id="rId1194" /><Relationship Type="http://schemas.openxmlformats.org/officeDocument/2006/relationships/hyperlink" Target="https://mstgolf.co.th/products/gf3020100191" TargetMode="External" Id="rId1195" /><Relationship Type="http://schemas.openxmlformats.org/officeDocument/2006/relationships/hyperlink" Target="https://mstgolf.co.th/products/gf3020100227" TargetMode="External" Id="rId1196" /><Relationship Type="http://schemas.openxmlformats.org/officeDocument/2006/relationships/hyperlink" Target="https://mstgolf.co.th/products/gf3020100254" TargetMode="External" Id="rId1197" /><Relationship Type="http://schemas.openxmlformats.org/officeDocument/2006/relationships/hyperlink" Target="https://mstgolf.co.th/products/gf3020100255" TargetMode="External" Id="rId1198" /><Relationship Type="http://schemas.openxmlformats.org/officeDocument/2006/relationships/hyperlink" Target="https://mstgolf.co.th/products/gf3020100283" TargetMode="External" Id="rId1199" /><Relationship Type="http://schemas.openxmlformats.org/officeDocument/2006/relationships/hyperlink" Target="https://mstgolf.co.th/products/gf3020100278" TargetMode="External" Id="rId1200" /><Relationship Type="http://schemas.openxmlformats.org/officeDocument/2006/relationships/hyperlink" Target="https://mstgolf.co.th/products/gf3020100279" TargetMode="External" Id="rId1201" /><Relationship Type="http://schemas.openxmlformats.org/officeDocument/2006/relationships/hyperlink" Target="https://mstgolf.co.th/products/gf3020100281" TargetMode="External" Id="rId1202" /><Relationship Type="http://schemas.openxmlformats.org/officeDocument/2006/relationships/hyperlink" Target="https://mstgolf.co.th/products/gf3020100282" TargetMode="External" Id="rId1203" /><Relationship Type="http://schemas.openxmlformats.org/officeDocument/2006/relationships/hyperlink" Target="https://mstgolf.co.th/products/gf3030200202" TargetMode="External" Id="rId1204" /><Relationship Type="http://schemas.openxmlformats.org/officeDocument/2006/relationships/hyperlink" Target="https://mstgolf.co.th/products/gf3030200201" TargetMode="External" Id="rId1205" /><Relationship Type="http://schemas.openxmlformats.org/officeDocument/2006/relationships/hyperlink" Target="https://mstgolf.co.th/products/gf3200400211" TargetMode="External" Id="rId1206" /><Relationship Type="http://schemas.openxmlformats.org/officeDocument/2006/relationships/hyperlink" Target="https://mstgolf.co.th/products/gf3200400178" TargetMode="External" Id="rId1207" /><Relationship Type="http://schemas.openxmlformats.org/officeDocument/2006/relationships/hyperlink" Target="https://mstgolf.co.th/products/gf3200400212" TargetMode="External" Id="rId1208" /><Relationship Type="http://schemas.openxmlformats.org/officeDocument/2006/relationships/hyperlink" Target="https://mstgolf.co.th/products/gf3200100089" TargetMode="External" Id="rId1209" /><Relationship Type="http://schemas.openxmlformats.org/officeDocument/2006/relationships/hyperlink" Target="https://mstgolf.co.th/products/gf3500300403" TargetMode="External" Id="rId1210" /><Relationship Type="http://schemas.openxmlformats.org/officeDocument/2006/relationships/hyperlink" Target="https://mstgolf.co.th/products/gf3010200657" TargetMode="External" Id="rId1211" /><Relationship Type="http://schemas.openxmlformats.org/officeDocument/2006/relationships/hyperlink" Target="https://mstgolf.co.th/products/gf3010200656" TargetMode="External" Id="rId1212" /><Relationship Type="http://schemas.openxmlformats.org/officeDocument/2006/relationships/hyperlink" Target="https://mstgolf.co.th/products/gf3010200658" TargetMode="External" Id="rId1213" /><Relationship Type="http://schemas.openxmlformats.org/officeDocument/2006/relationships/hyperlink" Target="https://mstgolf.co.th/products/gf2500200805" TargetMode="External" Id="rId1214" /><Relationship Type="http://schemas.openxmlformats.org/officeDocument/2006/relationships/hyperlink" Target="https://mstgolf.co.th/products/gf3020100201" TargetMode="External" Id="rId1215" /><Relationship Type="http://schemas.openxmlformats.org/officeDocument/2006/relationships/hyperlink" Target="https://mstgolf.co.th/products/gf3020100270" TargetMode="External" Id="rId1216" /><Relationship Type="http://schemas.openxmlformats.org/officeDocument/2006/relationships/hyperlink" Target="https://mstgolf.co.th/products/gf3200300044" TargetMode="External" Id="rId1217" /><Relationship Type="http://schemas.openxmlformats.org/officeDocument/2006/relationships/hyperlink" Target="https://mstgolf.co.th/products/gf3020200650" TargetMode="External" Id="rId1218" /><Relationship Type="http://schemas.openxmlformats.org/officeDocument/2006/relationships/hyperlink" Target="https://mstgolf.co.th/products/gf3020100285" TargetMode="External" Id="rId1219" /><Relationship Type="http://schemas.openxmlformats.org/officeDocument/2006/relationships/hyperlink" Target="https://mstgolf.co.th/products/gf3020100230" TargetMode="External" Id="rId1220" /><Relationship Type="http://schemas.openxmlformats.org/officeDocument/2006/relationships/hyperlink" Target="https://mstgolf.co.th/products/gf3020100232" TargetMode="External" Id="rId1221" /><Relationship Type="http://schemas.openxmlformats.org/officeDocument/2006/relationships/hyperlink" Target="https://mstgolf.co.th/products/gf3020100231" TargetMode="External" Id="rId1222" /><Relationship Type="http://schemas.openxmlformats.org/officeDocument/2006/relationships/hyperlink" Target="https://mstgolf.co.th/products/gf3010200672" TargetMode="External" Id="rId1223" /><Relationship Type="http://schemas.openxmlformats.org/officeDocument/2006/relationships/hyperlink" Target="https://mstgolf.co.th/products/gf3010200673" TargetMode="External" Id="rId1224" /><Relationship Type="http://schemas.openxmlformats.org/officeDocument/2006/relationships/hyperlink" Target="https://mstgolf.co.th/products/gf3010400848" TargetMode="External" Id="rId1225" /><Relationship Type="http://schemas.openxmlformats.org/officeDocument/2006/relationships/hyperlink" Target="https://mstgolf.co.th/products/gf3010400849" TargetMode="External" Id="rId1226" /><Relationship Type="http://schemas.openxmlformats.org/officeDocument/2006/relationships/hyperlink" Target="https://mstgolf.co.th/products/gf3000300401" TargetMode="External" Id="rId1227" /><Relationship Type="http://schemas.openxmlformats.org/officeDocument/2006/relationships/hyperlink" Target="https://mstgolf.co.th/products/gf3010401244" TargetMode="External" Id="rId1228" /><Relationship Type="http://schemas.openxmlformats.org/officeDocument/2006/relationships/hyperlink" Target="https://mstgolf.co.th/products/gf3010401245" TargetMode="External" Id="rId1229" /><Relationship Type="http://schemas.openxmlformats.org/officeDocument/2006/relationships/hyperlink" Target="https://mstgolf.co.th/products/gf3020100207" TargetMode="External" Id="rId1230" /><Relationship Type="http://schemas.openxmlformats.org/officeDocument/2006/relationships/hyperlink" Target="https://mstgolf.co.th/products/gf3020100220" TargetMode="External" Id="rId1231" /><Relationship Type="http://schemas.openxmlformats.org/officeDocument/2006/relationships/hyperlink" Target="https://mstgolf.co.th/products/gf3020100188" TargetMode="External" Id="rId1232" /><Relationship Type="http://schemas.openxmlformats.org/officeDocument/2006/relationships/hyperlink" Target="https://mstgolf.co.th/products/gf3200200221" TargetMode="External" Id="rId1233" /><Relationship Type="http://schemas.openxmlformats.org/officeDocument/2006/relationships/hyperlink" Target="https://mstgolf.co.th/products/gf3200200223" TargetMode="External" Id="rId1234" /><Relationship Type="http://schemas.openxmlformats.org/officeDocument/2006/relationships/hyperlink" Target="https://mstgolf.co.th/products/gf3200200222" TargetMode="External" Id="rId1235" /><Relationship Type="http://schemas.openxmlformats.org/officeDocument/2006/relationships/hyperlink" Target="https://mstgolf.co.th/products/gf3020100253" TargetMode="External" Id="rId1236" /><Relationship Type="http://schemas.openxmlformats.org/officeDocument/2006/relationships/hyperlink" Target="https://mstgolf.co.th/products/gf3020100266" TargetMode="External" Id="rId1237" /><Relationship Type="http://schemas.openxmlformats.org/officeDocument/2006/relationships/hyperlink" Target="https://mstgolf.co.th/products/gf3020100252" TargetMode="External" Id="rId1238" /><Relationship Type="http://schemas.openxmlformats.org/officeDocument/2006/relationships/hyperlink" Target="https://mstgolf.co.th/products/gf3020100263" TargetMode="External" Id="rId1239" /><Relationship Type="http://schemas.openxmlformats.org/officeDocument/2006/relationships/hyperlink" Target="https://mstgolf.co.th/products/gf3010401004" TargetMode="External" Id="rId1240" /><Relationship Type="http://schemas.openxmlformats.org/officeDocument/2006/relationships/hyperlink" Target="https://mstgolf.co.th/products/gf3010401025" TargetMode="External" Id="rId1241" /><Relationship Type="http://schemas.openxmlformats.org/officeDocument/2006/relationships/hyperlink" Target="https://mstgolf.co.th/products/gf3020100171" TargetMode="External" Id="rId1242" /><Relationship Type="http://schemas.openxmlformats.org/officeDocument/2006/relationships/hyperlink" Target="https://mstgolf.co.th/products/gf3020100274" TargetMode="External" Id="rId1243" /><Relationship Type="http://schemas.openxmlformats.org/officeDocument/2006/relationships/hyperlink" Target="https://mstgolf.co.th/products/gf3200200229" TargetMode="External" Id="rId1244" /><Relationship Type="http://schemas.openxmlformats.org/officeDocument/2006/relationships/hyperlink" Target="https://mstgolf.co.th/products/gf3200200253" TargetMode="External" Id="rId1245" /><Relationship Type="http://schemas.openxmlformats.org/officeDocument/2006/relationships/hyperlink" Target="https://mstgolf.co.th/products/gf3020200706" TargetMode="External" Id="rId1246" /><Relationship Type="http://schemas.openxmlformats.org/officeDocument/2006/relationships/hyperlink" Target="https://mstgolf.co.th/products/gf3020200707" TargetMode="External" Id="rId1247" /><Relationship Type="http://schemas.openxmlformats.org/officeDocument/2006/relationships/hyperlink" Target="https://mstgolf.co.th/products/gf3010401015" TargetMode="External" Id="rId1248" /><Relationship Type="http://schemas.openxmlformats.org/officeDocument/2006/relationships/hyperlink" Target="https://mstgolf.co.th/products/gf3010401005" TargetMode="External" Id="rId1249" /><Relationship Type="http://schemas.openxmlformats.org/officeDocument/2006/relationships/hyperlink" Target="https://mstgolf.co.th/products/gf3010200642" TargetMode="External" Id="rId1250" /><Relationship Type="http://schemas.openxmlformats.org/officeDocument/2006/relationships/hyperlink" Target="https://mstgolf.co.th/products/gf3020200767" TargetMode="External" Id="rId1251" /><Relationship Type="http://schemas.openxmlformats.org/officeDocument/2006/relationships/hyperlink" Target="https://mstgolf.co.th/products/gf3020100160" TargetMode="External" Id="rId1252" /><Relationship Type="http://schemas.openxmlformats.org/officeDocument/2006/relationships/hyperlink" Target="https://mstgolf.co.th/products/gf3020100159" TargetMode="External" Id="rId1253" /><Relationship Type="http://schemas.openxmlformats.org/officeDocument/2006/relationships/hyperlink" Target="https://mstgolf.co.th/products/gf3020100162" TargetMode="External" Id="rId1254" /><Relationship Type="http://schemas.openxmlformats.org/officeDocument/2006/relationships/hyperlink" Target="https://mstgolf.co.th/products/gf3030200190" TargetMode="External" Id="rId1255" /><Relationship Type="http://schemas.openxmlformats.org/officeDocument/2006/relationships/hyperlink" Target="https://mstgolf.co.th/products/gf3040200093" TargetMode="External" Id="rId1256" /><Relationship Type="http://schemas.openxmlformats.org/officeDocument/2006/relationships/hyperlink" Target="https://mstgolf.co.th/products/gf3030200193" TargetMode="External" Id="rId1257" /><Relationship Type="http://schemas.openxmlformats.org/officeDocument/2006/relationships/hyperlink" Target="https://mstgolf.co.th/products/gf3020100221" TargetMode="External" Id="rId1258" /><Relationship Type="http://schemas.openxmlformats.org/officeDocument/2006/relationships/hyperlink" Target="https://mstgolf.co.th/products/gf2540100111" TargetMode="External" Id="rId1259" /><Relationship Type="http://schemas.openxmlformats.org/officeDocument/2006/relationships/hyperlink" Target="https://mstgolf.co.th/products/gf3010400921" TargetMode="External" Id="rId1260" /><Relationship Type="http://schemas.openxmlformats.org/officeDocument/2006/relationships/hyperlink" Target="https://mstgolf.co.th/products/gf3010200686" TargetMode="External" Id="rId1261" /><Relationship Type="http://schemas.openxmlformats.org/officeDocument/2006/relationships/hyperlink" Target="https://mstgolf.co.th/products/gf3010200687" TargetMode="External" Id="rId1262" /><Relationship Type="http://schemas.openxmlformats.org/officeDocument/2006/relationships/hyperlink" Target="https://mstgolf.co.th/products/gf3010200412" TargetMode="External" Id="rId1263" /><Relationship Type="http://schemas.openxmlformats.org/officeDocument/2006/relationships/hyperlink" Target="https://mstgolf.co.th/products/gf3200200179" TargetMode="External" Id="rId1264" /><Relationship Type="http://schemas.openxmlformats.org/officeDocument/2006/relationships/hyperlink" Target="https://mstgolf.co.th/products/gf3200200178" TargetMode="External" Id="rId1265" /><Relationship Type="http://schemas.openxmlformats.org/officeDocument/2006/relationships/hyperlink" Target="https://mstgolf.co.th/products/gf3010401208" TargetMode="External" Id="rId1266" /><Relationship Type="http://schemas.openxmlformats.org/officeDocument/2006/relationships/hyperlink" Target="https://mstgolf.co.th/products/gf3500300930" TargetMode="External" Id="rId1267" /><Relationship Type="http://schemas.openxmlformats.org/officeDocument/2006/relationships/hyperlink" Target="https://mstgolf.co.th/products/gf3010200526" TargetMode="External" Id="rId1268" /><Relationship Type="http://schemas.openxmlformats.org/officeDocument/2006/relationships/hyperlink" Target="https://mstgolf.co.th/products/gf3010401075" TargetMode="External" Id="rId1269" /><Relationship Type="http://schemas.openxmlformats.org/officeDocument/2006/relationships/hyperlink" Target="https://mstgolf.co.th/products/gf3010401020" TargetMode="External" Id="rId1270" /><Relationship Type="http://schemas.openxmlformats.org/officeDocument/2006/relationships/hyperlink" Target="https://mstgolf.co.th/products/gf3010401074" TargetMode="External" Id="rId1271" /><Relationship Type="http://schemas.openxmlformats.org/officeDocument/2006/relationships/hyperlink" Target="https://mstgolf.co.th/products/gf3040100126" TargetMode="External" Id="rId1272" /><Relationship Type="http://schemas.openxmlformats.org/officeDocument/2006/relationships/hyperlink" Target="https://mstgolf.co.th/products/gf3500300405" TargetMode="External" Id="rId1273" /><Relationship Type="http://schemas.openxmlformats.org/officeDocument/2006/relationships/hyperlink" Target="https://mstgolf.co.th/products/gf3020100251" TargetMode="External" Id="rId1274" /><Relationship Type="http://schemas.openxmlformats.org/officeDocument/2006/relationships/hyperlink" Target="https://mstgolf.co.th/products/gf3020100262" TargetMode="External" Id="rId1275" /><Relationship Type="http://schemas.openxmlformats.org/officeDocument/2006/relationships/hyperlink" Target="https://mstgolf.co.th/products/gf3020100153" TargetMode="External" Id="rId1276" /><Relationship Type="http://schemas.openxmlformats.org/officeDocument/2006/relationships/hyperlink" Target="https://mstgolf.co.th/products/gf3030200188" TargetMode="External" Id="rId1277" /><Relationship Type="http://schemas.openxmlformats.org/officeDocument/2006/relationships/hyperlink" Target="https://mstgolf.co.th/products/gf3020200691" TargetMode="External" Id="rId1278" /><Relationship Type="http://schemas.openxmlformats.org/officeDocument/2006/relationships/hyperlink" Target="https://mstgolf.co.th/products/gf3020200690" TargetMode="External" Id="rId1279" /><Relationship Type="http://schemas.openxmlformats.org/officeDocument/2006/relationships/hyperlink" Target="https://mstgolf.co.th/products/gf3200200235" TargetMode="External" Id="rId1280" /><Relationship Type="http://schemas.openxmlformats.org/officeDocument/2006/relationships/hyperlink" Target="https://mstgolf.co.th/products/gf3200200236" TargetMode="External" Id="rId1281" /><Relationship Type="http://schemas.openxmlformats.org/officeDocument/2006/relationships/hyperlink" Target="https://mstgolf.co.th/products/gf3020100170" TargetMode="External" Id="rId1282" /><Relationship Type="http://schemas.openxmlformats.org/officeDocument/2006/relationships/hyperlink" Target="https://mstgolf.co.th/products/gf3020100189" TargetMode="External" Id="rId1283" /><Relationship Type="http://schemas.openxmlformats.org/officeDocument/2006/relationships/hyperlink" Target="https://mstgolf.co.th/products/gf3200200248" TargetMode="External" Id="rId1284" /><Relationship Type="http://schemas.openxmlformats.org/officeDocument/2006/relationships/hyperlink" Target="https://mstgolf.co.th/products/gf3200200192" TargetMode="External" Id="rId1285" /><Relationship Type="http://schemas.openxmlformats.org/officeDocument/2006/relationships/hyperlink" Target="https://mstgolf.co.th/products/gf3200200191" TargetMode="External" Id="rId1286" /><Relationship Type="http://schemas.openxmlformats.org/officeDocument/2006/relationships/hyperlink" Target="https://mstgolf.co.th/products/gf3200200247" TargetMode="External" Id="rId1287" /><Relationship Type="http://schemas.openxmlformats.org/officeDocument/2006/relationships/hyperlink" Target="https://mstgolf.co.th/products/gf3020100275" TargetMode="External" Id="rId1288" /><Relationship Type="http://schemas.openxmlformats.org/officeDocument/2006/relationships/hyperlink" Target="https://mstgolf.co.th/products/gf3010200667" TargetMode="External" Id="rId1289" /><Relationship Type="http://schemas.openxmlformats.org/officeDocument/2006/relationships/hyperlink" Target="https://mstgolf.co.th/products/gf3010400549" TargetMode="External" Id="rId1290" /><Relationship Type="http://schemas.openxmlformats.org/officeDocument/2006/relationships/hyperlink" Target="https://mstgolf.co.th/products/gf3010400550" TargetMode="External" Id="rId1291" /><Relationship Type="http://schemas.openxmlformats.org/officeDocument/2006/relationships/hyperlink" Target="https://mstgolf.co.th/products/gf3010300381" TargetMode="External" Id="rId1292" /><Relationship Type="http://schemas.openxmlformats.org/officeDocument/2006/relationships/hyperlink" Target="https://mstgolf.co.th/products/gf3010200601" TargetMode="External" Id="rId1293" /><Relationship Type="http://schemas.openxmlformats.org/officeDocument/2006/relationships/hyperlink" Target="https://mstgolf.co.th/products/gf3010400909" TargetMode="External" Id="rId1294" /><Relationship Type="http://schemas.openxmlformats.org/officeDocument/2006/relationships/hyperlink" Target="https://mstgolf.co.th/products/gf3040100090" TargetMode="External" Id="rId1295" /><Relationship Type="http://schemas.openxmlformats.org/officeDocument/2006/relationships/hyperlink" Target="https://mstgolf.co.th/products/gf3200200220" TargetMode="External" Id="rId1296" /><Relationship Type="http://schemas.openxmlformats.org/officeDocument/2006/relationships/hyperlink" Target="https://mstgolf.co.th/products/gf3200200219" TargetMode="External" Id="rId1297" /><Relationship Type="http://schemas.openxmlformats.org/officeDocument/2006/relationships/hyperlink" Target="https://mstgolf.co.th/products/gf3020200686" TargetMode="External" Id="rId1298" /><Relationship Type="http://schemas.openxmlformats.org/officeDocument/2006/relationships/hyperlink" Target="https://mstgolf.co.th/products/gf3020200689" TargetMode="External" Id="rId1299" /><Relationship Type="http://schemas.openxmlformats.org/officeDocument/2006/relationships/hyperlink" Target="https://mstgolf.co.th/products/gf3020200688" TargetMode="External" Id="rId1300" /><Relationship Type="http://schemas.openxmlformats.org/officeDocument/2006/relationships/hyperlink" Target="https://mstgolf.co.th/products/gf3020200687" TargetMode="External" Id="rId1301" /><Relationship Type="http://schemas.openxmlformats.org/officeDocument/2006/relationships/hyperlink" Target="https://mstgolf.co.th/products/gf3020200676" TargetMode="External" Id="rId1302" /><Relationship Type="http://schemas.openxmlformats.org/officeDocument/2006/relationships/hyperlink" Target="https://mstgolf.co.th/products/gf3020200675" TargetMode="External" Id="rId1303" /><Relationship Type="http://schemas.openxmlformats.org/officeDocument/2006/relationships/hyperlink" Target="https://mstgolf.co.th/products/gf3020200674" TargetMode="External" Id="rId1304" /><Relationship Type="http://schemas.openxmlformats.org/officeDocument/2006/relationships/hyperlink" Target="https://mstgolf.co.th/products/gf3020200673" TargetMode="External" Id="rId1305" /><Relationship Type="http://schemas.openxmlformats.org/officeDocument/2006/relationships/hyperlink" Target="https://mstgolf.co.th/products/gf3020200599" TargetMode="External" Id="rId1306" /><Relationship Type="http://schemas.openxmlformats.org/officeDocument/2006/relationships/hyperlink" Target="https://mstgolf.co.th/products/gf3030200163" TargetMode="External" Id="rId1307" /><Relationship Type="http://schemas.openxmlformats.org/officeDocument/2006/relationships/hyperlink" Target="https://mstgolf.co.th/products/gf3020200744" TargetMode="External" Id="rId1308" /><Relationship Type="http://schemas.openxmlformats.org/officeDocument/2006/relationships/hyperlink" Target="https://mstgolf.co.th/products/gf3020100186" TargetMode="External" Id="rId1309" /><Relationship Type="http://schemas.openxmlformats.org/officeDocument/2006/relationships/hyperlink" Target="https://mstgolf.co.th/products/gf3010200596" TargetMode="External" Id="rId1310" /><Relationship Type="http://schemas.openxmlformats.org/officeDocument/2006/relationships/hyperlink" Target="https://mstgolf.co.th/products/gf3010200615" TargetMode="External" Id="rId1311" /><Relationship Type="http://schemas.openxmlformats.org/officeDocument/2006/relationships/hyperlink" Target="https://mstgolf.co.th/products/gf3020200649" TargetMode="External" Id="rId1312" /><Relationship Type="http://schemas.openxmlformats.org/officeDocument/2006/relationships/hyperlink" Target="https://mstgolf.co.th/products/gf3020200648" TargetMode="External" Id="rId1313" /><Relationship Type="http://schemas.openxmlformats.org/officeDocument/2006/relationships/hyperlink" Target="https://mstgolf.co.th/products/gf3020200454" TargetMode="External" Id="rId1314" /><Relationship Type="http://schemas.openxmlformats.org/officeDocument/2006/relationships/hyperlink" Target="https://mstgolf.co.th/products/gf3020200453" TargetMode="External" Id="rId1315" /><Relationship Type="http://schemas.openxmlformats.org/officeDocument/2006/relationships/hyperlink" Target="https://mstgolf.co.th/products/gf3020200677" TargetMode="External" Id="rId1316" /><Relationship Type="http://schemas.openxmlformats.org/officeDocument/2006/relationships/hyperlink" Target="https://mstgolf.co.th/products/gf3020200584" TargetMode="External" Id="rId1317" /><Relationship Type="http://schemas.openxmlformats.org/officeDocument/2006/relationships/hyperlink" Target="https://mstgolf.co.th/products/gf3020200573" TargetMode="External" Id="rId1318" /><Relationship Type="http://schemas.openxmlformats.org/officeDocument/2006/relationships/hyperlink" Target="https://mstgolf.co.th/products/gf3020200452" TargetMode="External" Id="rId1319" /><Relationship Type="http://schemas.openxmlformats.org/officeDocument/2006/relationships/hyperlink" Target="https://mstgolf.co.th/products/gf3010300291" TargetMode="External" Id="rId1320" /><Relationship Type="http://schemas.openxmlformats.org/officeDocument/2006/relationships/hyperlink" Target="https://mstgolf.co.th/products/gf3020200664" TargetMode="External" Id="rId1321" /><Relationship Type="http://schemas.openxmlformats.org/officeDocument/2006/relationships/hyperlink" Target="https://mstgolf.co.th/products/gf3030200036" TargetMode="External" Id="rId1322" /><Relationship Type="http://schemas.openxmlformats.org/officeDocument/2006/relationships/hyperlink" Target="https://mstgolf.co.th/products/gf3010200661" TargetMode="External" Id="rId1323" /><Relationship Type="http://schemas.openxmlformats.org/officeDocument/2006/relationships/hyperlink" Target="https://mstgolf.co.th/products/gf3010200663" TargetMode="External" Id="rId1324" /><Relationship Type="http://schemas.openxmlformats.org/officeDocument/2006/relationships/hyperlink" Target="https://mstgolf.co.th/products/gf3010200662" TargetMode="External" Id="rId1325" /><Relationship Type="http://schemas.openxmlformats.org/officeDocument/2006/relationships/hyperlink" Target="https://mstgolf.co.th/products/gf3010200620" TargetMode="External" Id="rId1326" /><Relationship Type="http://schemas.openxmlformats.org/officeDocument/2006/relationships/hyperlink" Target="https://mstgolf.co.th/products/gf3020200745" TargetMode="External" Id="rId1327" /><Relationship Type="http://schemas.openxmlformats.org/officeDocument/2006/relationships/hyperlink" Target="https://mstgolf.co.th/products/gf3020200433" TargetMode="External" Id="rId1328" /><Relationship Type="http://schemas.openxmlformats.org/officeDocument/2006/relationships/hyperlink" Target="https://mstgolf.co.th/products/gf3020200627" TargetMode="External" Id="rId1329" /><Relationship Type="http://schemas.openxmlformats.org/officeDocument/2006/relationships/hyperlink" Target="https://mstgolf.co.th/products/gf3020200586" TargetMode="External" Id="rId1330" /><Relationship Type="http://schemas.openxmlformats.org/officeDocument/2006/relationships/hyperlink" Target="https://mstgolf.co.th/products/gf3020200587" TargetMode="External" Id="rId1331" /><Relationship Type="http://schemas.openxmlformats.org/officeDocument/2006/relationships/hyperlink" Target="https://mstgolf.co.th/products/gf3020200639" TargetMode="External" Id="rId1332" /><Relationship Type="http://schemas.openxmlformats.org/officeDocument/2006/relationships/hyperlink" Target="https://mstgolf.co.th/products/gf3020200713" TargetMode="External" Id="rId1333" /><Relationship Type="http://schemas.openxmlformats.org/officeDocument/2006/relationships/hyperlink" Target="https://mstgolf.co.th/products/gf3020200712" TargetMode="External" Id="rId1334" /><Relationship Type="http://schemas.openxmlformats.org/officeDocument/2006/relationships/hyperlink" Target="https://mstgolf.co.th/products/gf3020200605" TargetMode="External" Id="rId1335" /><Relationship Type="http://schemas.openxmlformats.org/officeDocument/2006/relationships/hyperlink" Target="https://mstgolf.co.th/products/gf3020200604" TargetMode="External" Id="rId1336" /><Relationship Type="http://schemas.openxmlformats.org/officeDocument/2006/relationships/hyperlink" Target="https://mstgolf.co.th/products/gf3020200606" TargetMode="External" Id="rId1337" /><Relationship Type="http://schemas.openxmlformats.org/officeDocument/2006/relationships/hyperlink" Target="https://mstgolf.co.th/products/gf3020200593" TargetMode="External" Id="rId1338" /><Relationship Type="http://schemas.openxmlformats.org/officeDocument/2006/relationships/hyperlink" Target="https://mstgolf.co.th/products/gf3020100265" TargetMode="External" Id="rId1339" /><Relationship Type="http://schemas.openxmlformats.org/officeDocument/2006/relationships/hyperlink" Target="https://mstgolf.co.th/products/gf3020200679" TargetMode="External" Id="rId1340" /><Relationship Type="http://schemas.openxmlformats.org/officeDocument/2006/relationships/hyperlink" Target="https://mstgolf.co.th/products/gf3020200727" TargetMode="External" Id="rId1341" /><Relationship Type="http://schemas.openxmlformats.org/officeDocument/2006/relationships/hyperlink" Target="https://mstgolf.co.th/products/gf3020200425" TargetMode="External" Id="rId1342" /><Relationship Type="http://schemas.openxmlformats.org/officeDocument/2006/relationships/hyperlink" Target="https://mstgolf.co.th/products/gf3020200426" TargetMode="External" Id="rId1343" /><Relationship Type="http://schemas.openxmlformats.org/officeDocument/2006/relationships/hyperlink" Target="https://mstgolf.co.th/products/gf3020200435" TargetMode="External" Id="rId1344" /><Relationship Type="http://schemas.openxmlformats.org/officeDocument/2006/relationships/hyperlink" Target="https://mstgolf.co.th/products/gf3020200427" TargetMode="External" Id="rId1345" /><Relationship Type="http://schemas.openxmlformats.org/officeDocument/2006/relationships/hyperlink" Target="https://mstgolf.co.th/products/gf3020200458" TargetMode="External" Id="rId1346" /><Relationship Type="http://schemas.openxmlformats.org/officeDocument/2006/relationships/hyperlink" Target="https://mstgolf.co.th/products/gf3020200622" TargetMode="External" Id="rId1347" /><Relationship Type="http://schemas.openxmlformats.org/officeDocument/2006/relationships/hyperlink" Target="https://mstgolf.co.th/products/gf3020200429" TargetMode="External" Id="rId1348" /><Relationship Type="http://schemas.openxmlformats.org/officeDocument/2006/relationships/hyperlink" Target="https://mstgolf.co.th/products/gf3020200589" TargetMode="External" Id="rId1349" /><Relationship Type="http://schemas.openxmlformats.org/officeDocument/2006/relationships/hyperlink" Target="https://mstgolf.co.th/products/gf3040100096" TargetMode="External" Id="rId1350" /><Relationship Type="http://schemas.openxmlformats.org/officeDocument/2006/relationships/hyperlink" Target="https://mstgolf.co.th/products/gf3020200337" TargetMode="External" Id="rId1351" /><Relationship Type="http://schemas.openxmlformats.org/officeDocument/2006/relationships/hyperlink" Target="https://mstgolf.co.th/products/gf3020200616" TargetMode="External" Id="rId1352" /><Relationship Type="http://schemas.openxmlformats.org/officeDocument/2006/relationships/hyperlink" Target="https://mstgolf.co.th/products/gf3020200617" TargetMode="External" Id="rId1353" /><Relationship Type="http://schemas.openxmlformats.org/officeDocument/2006/relationships/hyperlink" Target="https://mstgolf.co.th/products/gf3040100018" TargetMode="External" Id="rId1354" /><Relationship Type="http://schemas.openxmlformats.org/officeDocument/2006/relationships/hyperlink" Target="https://mstgolf.co.th/products/gf3020200716" TargetMode="External" Id="rId1355" /><Relationship Type="http://schemas.openxmlformats.org/officeDocument/2006/relationships/hyperlink" Target="https://mstgolf.co.th/products/gf3000102678" TargetMode="External" Id="rId1356" /><Relationship Type="http://schemas.openxmlformats.org/officeDocument/2006/relationships/hyperlink" Target="https://mstgolf.co.th/products/gf3000102677" TargetMode="External" Id="rId1357" /><Relationship Type="http://schemas.openxmlformats.org/officeDocument/2006/relationships/hyperlink" Target="https://mstgolf.co.th/products/gf3000102676" TargetMode="External" Id="rId1358" /><Relationship Type="http://schemas.openxmlformats.org/officeDocument/2006/relationships/hyperlink" Target="https://mstgolf.co.th/products/gf3000102807" TargetMode="External" Id="rId1359" /><Relationship Type="http://schemas.openxmlformats.org/officeDocument/2006/relationships/hyperlink" Target="https://mstgolf.co.th/products/gf3000103020" TargetMode="External" Id="rId1360" /><Relationship Type="http://schemas.openxmlformats.org/officeDocument/2006/relationships/hyperlink" Target="https://mstgolf.co.th/products/gf3000103018" TargetMode="External" Id="rId1361" /><Relationship Type="http://schemas.openxmlformats.org/officeDocument/2006/relationships/hyperlink" Target="https://mstgolf.co.th/products/gf3000103022" TargetMode="External" Id="rId1362" /><Relationship Type="http://schemas.openxmlformats.org/officeDocument/2006/relationships/hyperlink" Target="https://mstgolf.co.th/products/gf3000201521" TargetMode="External" Id="rId1363" /><Relationship Type="http://schemas.openxmlformats.org/officeDocument/2006/relationships/hyperlink" Target="https://mstgolf.co.th/products/gf3000103019" TargetMode="External" Id="rId1364" /><Relationship Type="http://schemas.openxmlformats.org/officeDocument/2006/relationships/hyperlink" Target="https://mstgolf.co.th/products/gf3000103081" TargetMode="External" Id="rId1365" /><Relationship Type="http://schemas.openxmlformats.org/officeDocument/2006/relationships/hyperlink" Target="https://mstgolf.co.th/products/gf3000102864" TargetMode="External" Id="rId1366" /><Relationship Type="http://schemas.openxmlformats.org/officeDocument/2006/relationships/hyperlink" Target="https://mstgolf.co.th/products/gf3000103082" TargetMode="External" Id="rId1367" /><Relationship Type="http://schemas.openxmlformats.org/officeDocument/2006/relationships/hyperlink" Target="https://mstgolf.co.th/products/gf3000102976" TargetMode="External" Id="rId1368" /><Relationship Type="http://schemas.openxmlformats.org/officeDocument/2006/relationships/hyperlink" Target="https://mstgolf.co.th/products/gf3000102426" TargetMode="External" Id="rId1369" /><Relationship Type="http://schemas.openxmlformats.org/officeDocument/2006/relationships/hyperlink" Target="https://mstgolf.co.th/products/gf3000201382" TargetMode="External" Id="rId1370" /><Relationship Type="http://schemas.openxmlformats.org/officeDocument/2006/relationships/hyperlink" Target="https://mstgolf.co.th/products/gf3000201381" TargetMode="External" Id="rId1371" /><Relationship Type="http://schemas.openxmlformats.org/officeDocument/2006/relationships/hyperlink" Target="https://mstgolf.co.th/products/gf3000201383" TargetMode="External" Id="rId1372" /><Relationship Type="http://schemas.openxmlformats.org/officeDocument/2006/relationships/hyperlink" Target="https://mstgolf.co.th/products/gf3000103097" TargetMode="External" Id="rId1373" /><Relationship Type="http://schemas.openxmlformats.org/officeDocument/2006/relationships/hyperlink" Target="https://mstgolf.co.th/products/gf3000102770" TargetMode="External" Id="rId1374" /><Relationship Type="http://schemas.openxmlformats.org/officeDocument/2006/relationships/hyperlink" Target="https://mstgolf.co.th/products/gf3000102747" TargetMode="External" Id="rId1375" /><Relationship Type="http://schemas.openxmlformats.org/officeDocument/2006/relationships/hyperlink" Target="https://mstgolf.co.th/products/gf3000102768" TargetMode="External" Id="rId1376" /><Relationship Type="http://schemas.openxmlformats.org/officeDocument/2006/relationships/hyperlink" Target="https://mstgolf.co.th/products/gf3000102771" TargetMode="External" Id="rId1377" /><Relationship Type="http://schemas.openxmlformats.org/officeDocument/2006/relationships/hyperlink" Target="https://mstgolf.co.th/products/gf3030200187" TargetMode="External" Id="rId1378" /><Relationship Type="http://schemas.openxmlformats.org/officeDocument/2006/relationships/hyperlink" Target="https://mstgolf.co.th/products/gf3030200021" TargetMode="External" Id="rId1379" /><Relationship Type="http://schemas.openxmlformats.org/officeDocument/2006/relationships/hyperlink" Target="https://mstgolf.co.th/products/gf3000201090" TargetMode="External" Id="rId1380" /><Relationship Type="http://schemas.openxmlformats.org/officeDocument/2006/relationships/hyperlink" Target="https://mstgolf.co.th/products/gf3000201242" TargetMode="External" Id="rId1381" /><Relationship Type="http://schemas.openxmlformats.org/officeDocument/2006/relationships/hyperlink" Target="https://mstgolf.co.th/products/gf3000102730" TargetMode="External" Id="rId1382" /><Relationship Type="http://schemas.openxmlformats.org/officeDocument/2006/relationships/hyperlink" Target="https://mstgolf.co.th/products/gf3000103225" TargetMode="External" Id="rId1383" /><Relationship Type="http://schemas.openxmlformats.org/officeDocument/2006/relationships/hyperlink" Target="https://mstgolf.co.th/products/gf3000103277" TargetMode="External" Id="rId1384" /><Relationship Type="http://schemas.openxmlformats.org/officeDocument/2006/relationships/hyperlink" Target="https://mstgolf.co.th/products/gf3000201546" TargetMode="External" Id="rId1385" /><Relationship Type="http://schemas.openxmlformats.org/officeDocument/2006/relationships/hyperlink" Target="https://mstgolf.co.th/products/gf3000101938" TargetMode="External" Id="rId1386" /><Relationship Type="http://schemas.openxmlformats.org/officeDocument/2006/relationships/hyperlink" Target="https://mstgolf.co.th/products/gf3000102614" TargetMode="External" Id="rId1387" /><Relationship Type="http://schemas.openxmlformats.org/officeDocument/2006/relationships/hyperlink" Target="https://mstgolf.co.th/products/gf3000102615" TargetMode="External" Id="rId1388" /><Relationship Type="http://schemas.openxmlformats.org/officeDocument/2006/relationships/hyperlink" Target="https://mstgolf.co.th/products/gf3000101917" TargetMode="External" Id="rId1389" /><Relationship Type="http://schemas.openxmlformats.org/officeDocument/2006/relationships/hyperlink" Target="https://mstgolf.co.th/products/gf3010101419" TargetMode="External" Id="rId1390" /><Relationship Type="http://schemas.openxmlformats.org/officeDocument/2006/relationships/hyperlink" Target="https://mstgolf.co.th/products/gf3000201272" TargetMode="External" Id="rId1391" /><Relationship Type="http://schemas.openxmlformats.org/officeDocument/2006/relationships/hyperlink" Target="https://mstgolf.co.th/products/gf3000201273" TargetMode="External" Id="rId1392" /><Relationship Type="http://schemas.openxmlformats.org/officeDocument/2006/relationships/hyperlink" Target="https://mstgolf.co.th/products/gf3000201459" TargetMode="External" Id="rId1393" /><Relationship Type="http://schemas.openxmlformats.org/officeDocument/2006/relationships/hyperlink" Target="https://mstgolf.co.th/products/gf3000102803" TargetMode="External" Id="rId1394" /><Relationship Type="http://schemas.openxmlformats.org/officeDocument/2006/relationships/hyperlink" Target="https://mstgolf.co.th/products/gf3000102802" TargetMode="External" Id="rId1395" /><Relationship Type="http://schemas.openxmlformats.org/officeDocument/2006/relationships/hyperlink" Target="https://mstgolf.co.th/products/gf3000201287" TargetMode="External" Id="rId1396" /><Relationship Type="http://schemas.openxmlformats.org/officeDocument/2006/relationships/hyperlink" Target="https://mstgolf.co.th/products/gf3000201569" TargetMode="External" Id="rId1397" /><Relationship Type="http://schemas.openxmlformats.org/officeDocument/2006/relationships/hyperlink" Target="https://mstgolf.co.th/products/gf3000201300" TargetMode="External" Id="rId1398" /><Relationship Type="http://schemas.openxmlformats.org/officeDocument/2006/relationships/hyperlink" Target="https://mstgolf.co.th/products/gf3000102860" TargetMode="External" Id="rId1399" /><Relationship Type="http://schemas.openxmlformats.org/officeDocument/2006/relationships/hyperlink" Target="https://mstgolf.co.th/products/gf3010101178" TargetMode="External" Id="rId1400" /><Relationship Type="http://schemas.openxmlformats.org/officeDocument/2006/relationships/hyperlink" Target="https://mstgolf.co.th/products/gf3000103140" TargetMode="External" Id="rId1401" /><Relationship Type="http://schemas.openxmlformats.org/officeDocument/2006/relationships/hyperlink" Target="https://mstgolf.co.th/products/gf3000102610" TargetMode="External" Id="rId1402" /><Relationship Type="http://schemas.openxmlformats.org/officeDocument/2006/relationships/hyperlink" Target="https://mstgolf.co.th/products/gf3000102611" TargetMode="External" Id="rId1403" /><Relationship Type="http://schemas.openxmlformats.org/officeDocument/2006/relationships/hyperlink" Target="https://mstgolf.co.th/products/gf3000201510" TargetMode="External" Id="rId1404" /><Relationship Type="http://schemas.openxmlformats.org/officeDocument/2006/relationships/hyperlink" Target="https://mstgolf.co.th/products/gf3000201508" TargetMode="External" Id="rId1405" /><Relationship Type="http://schemas.openxmlformats.org/officeDocument/2006/relationships/hyperlink" Target="https://mstgolf.co.th/products/gf3000102705" TargetMode="External" Id="rId1406" /><Relationship Type="http://schemas.openxmlformats.org/officeDocument/2006/relationships/hyperlink" Target="https://mstgolf.co.th/products/gf3000103161" TargetMode="External" Id="rId1407" /><Relationship Type="http://schemas.openxmlformats.org/officeDocument/2006/relationships/hyperlink" Target="https://mstgolf.co.th/products/gf3000201553" TargetMode="External" Id="rId1408" /><Relationship Type="http://schemas.openxmlformats.org/officeDocument/2006/relationships/hyperlink" Target="https://mstgolf.co.th/products/gf3000102429" TargetMode="External" Id="rId1409" /><Relationship Type="http://schemas.openxmlformats.org/officeDocument/2006/relationships/hyperlink" Target="https://mstgolf.co.th/products/gf3000102431" TargetMode="External" Id="rId1410" /><Relationship Type="http://schemas.openxmlformats.org/officeDocument/2006/relationships/hyperlink" Target="https://mstgolf.co.th/products/gf3000103162" TargetMode="External" Id="rId1411" /><Relationship Type="http://schemas.openxmlformats.org/officeDocument/2006/relationships/hyperlink" Target="https://mstgolf.co.th/products/gf3000102596" TargetMode="External" Id="rId1412" /><Relationship Type="http://schemas.openxmlformats.org/officeDocument/2006/relationships/hyperlink" Target="https://mstgolf.co.th/products/gf3000102250" TargetMode="External" Id="rId1413" /><Relationship Type="http://schemas.openxmlformats.org/officeDocument/2006/relationships/hyperlink" Target="https://mstgolf.co.th/products/gf3000201165" TargetMode="External" Id="rId1414" /><Relationship Type="http://schemas.openxmlformats.org/officeDocument/2006/relationships/hyperlink" Target="https://mstgolf.co.th/products/gf3000201070" TargetMode="External" Id="rId1415" /><Relationship Type="http://schemas.openxmlformats.org/officeDocument/2006/relationships/hyperlink" Target="https://mstgolf.co.th/products/gf3000201444" TargetMode="External" Id="rId1416" /><Relationship Type="http://schemas.openxmlformats.org/officeDocument/2006/relationships/hyperlink" Target="https://mstgolf.co.th/products/gf3000201443" TargetMode="External" Id="rId1417" /><Relationship Type="http://schemas.openxmlformats.org/officeDocument/2006/relationships/hyperlink" Target="https://mstgolf.co.th/products/gf3000201445" TargetMode="External" Id="rId1418" /><Relationship Type="http://schemas.openxmlformats.org/officeDocument/2006/relationships/hyperlink" Target="https://mstgolf.co.th/products/gf2500102751" TargetMode="External" Id="rId1419" /><Relationship Type="http://schemas.openxmlformats.org/officeDocument/2006/relationships/hyperlink" Target="https://mstgolf.co.th/products/gf3000103169" TargetMode="External" Id="rId1420" /><Relationship Type="http://schemas.openxmlformats.org/officeDocument/2006/relationships/hyperlink" Target="https://mstgolf.co.th/products/gf3000103164" TargetMode="External" Id="rId1421" /><Relationship Type="http://schemas.openxmlformats.org/officeDocument/2006/relationships/hyperlink" Target="https://mstgolf.co.th/products/gf3000103046" TargetMode="External" Id="rId1422" /><Relationship Type="http://schemas.openxmlformats.org/officeDocument/2006/relationships/hyperlink" Target="https://mstgolf.co.th/products/gf3000103163" TargetMode="External" Id="rId1423" /><Relationship Type="http://schemas.openxmlformats.org/officeDocument/2006/relationships/hyperlink" Target="https://mstgolf.co.th/products/gf3000103045" TargetMode="External" Id="rId1424" /><Relationship Type="http://schemas.openxmlformats.org/officeDocument/2006/relationships/hyperlink" Target="https://mstgolf.co.th/products/gf2500201286" TargetMode="External" Id="rId1425" /><Relationship Type="http://schemas.openxmlformats.org/officeDocument/2006/relationships/hyperlink" Target="https://mstgolf.co.th/products/gf3010401145" TargetMode="External" Id="rId1426" /><Relationship Type="http://schemas.openxmlformats.org/officeDocument/2006/relationships/hyperlink" Target="https://mstgolf.co.th/products/gf3000103025" TargetMode="External" Id="rId1427" /><Relationship Type="http://schemas.openxmlformats.org/officeDocument/2006/relationships/hyperlink" Target="https://mstgolf.co.th/products/gf3000103024" TargetMode="External" Id="rId1428" /><Relationship Type="http://schemas.openxmlformats.org/officeDocument/2006/relationships/hyperlink" Target="https://mstgolf.co.th/products/gf3000201549" TargetMode="External" Id="rId1429" /><Relationship Type="http://schemas.openxmlformats.org/officeDocument/2006/relationships/hyperlink" Target="https://mstgolf.co.th/products/gf3000201551" TargetMode="External" Id="rId1430" /><Relationship Type="http://schemas.openxmlformats.org/officeDocument/2006/relationships/hyperlink" Target="https://mstgolf.co.th/products/gf2500102690" TargetMode="External" Id="rId1431" /><Relationship Type="http://schemas.openxmlformats.org/officeDocument/2006/relationships/hyperlink" Target="https://mstgolf.co.th/products/gf3000201020" TargetMode="External" Id="rId1432" /><Relationship Type="http://schemas.openxmlformats.org/officeDocument/2006/relationships/hyperlink" Target="https://mstgolf.co.th/products/gf2500102768" TargetMode="External" Id="rId1433" /><Relationship Type="http://schemas.openxmlformats.org/officeDocument/2006/relationships/hyperlink" Target="https://mstgolf.co.th/products/gf3000102385" TargetMode="External" Id="rId1434" /><Relationship Type="http://schemas.openxmlformats.org/officeDocument/2006/relationships/hyperlink" Target="https://mstgolf.co.th/products/gf3000102386" TargetMode="External" Id="rId1435" /><Relationship Type="http://schemas.openxmlformats.org/officeDocument/2006/relationships/hyperlink" Target="https://mstgolf.co.th/products/gf2500201329" TargetMode="External" Id="rId1436" /><Relationship Type="http://schemas.openxmlformats.org/officeDocument/2006/relationships/hyperlink" Target="https://mstgolf.co.th/products/gf3000201139" TargetMode="External" Id="rId1437" /><Relationship Type="http://schemas.openxmlformats.org/officeDocument/2006/relationships/hyperlink" Target="https://mstgolf.co.th/products/gf3000201140" TargetMode="External" Id="rId1438" /><Relationship Type="http://schemas.openxmlformats.org/officeDocument/2006/relationships/hyperlink" Target="https://mstgolf.co.th/products/gf3000201142" TargetMode="External" Id="rId1439" /><Relationship Type="http://schemas.openxmlformats.org/officeDocument/2006/relationships/hyperlink" Target="https://mstgolf.co.th/products/gf3000201144" TargetMode="External" Id="rId1440" /><Relationship Type="http://schemas.openxmlformats.org/officeDocument/2006/relationships/hyperlink" Target="https://mstgolf.co.th/products/gf3000201469" TargetMode="External" Id="rId1441" /><Relationship Type="http://schemas.openxmlformats.org/officeDocument/2006/relationships/hyperlink" Target="https://mstgolf.co.th/products/gf3000102991" TargetMode="External" Id="rId1442" /><Relationship Type="http://schemas.openxmlformats.org/officeDocument/2006/relationships/hyperlink" Target="https://mstgolf.co.th/products/gf3000102992" TargetMode="External" Id="rId1443" /><Relationship Type="http://schemas.openxmlformats.org/officeDocument/2006/relationships/hyperlink" Target="https://mstgolf.co.th/products/gf2500201292" TargetMode="External" Id="rId1444" /><Relationship Type="http://schemas.openxmlformats.org/officeDocument/2006/relationships/hyperlink" Target="https://mstgolf.co.th/products/gf3010101438" TargetMode="External" Id="rId1445" /><Relationship Type="http://schemas.openxmlformats.org/officeDocument/2006/relationships/hyperlink" Target="https://mstgolf.co.th/products/gf2500201347" TargetMode="External" Id="rId1446" /><Relationship Type="http://schemas.openxmlformats.org/officeDocument/2006/relationships/hyperlink" Target="https://mstgolf.co.th/products/gf2500201346" TargetMode="External" Id="rId1447" /><Relationship Type="http://schemas.openxmlformats.org/officeDocument/2006/relationships/hyperlink" Target="https://mstgolf.co.th/products/gf3010101080" TargetMode="External" Id="rId1448" /><Relationship Type="http://schemas.openxmlformats.org/officeDocument/2006/relationships/hyperlink" Target="https://mstgolf.co.th/products/gf3010101231" TargetMode="External" Id="rId1449" /><Relationship Type="http://schemas.openxmlformats.org/officeDocument/2006/relationships/hyperlink" Target="https://mstgolf.co.th/products/gf3000201196" TargetMode="External" Id="rId1450" /><Relationship Type="http://schemas.openxmlformats.org/officeDocument/2006/relationships/hyperlink" Target="https://mstgolf.co.th/products/gf3000102971" TargetMode="External" Id="rId1451" /><Relationship Type="http://schemas.openxmlformats.org/officeDocument/2006/relationships/hyperlink" Target="https://mstgolf.co.th/products/gf3000102562" TargetMode="External" Id="rId1452" /><Relationship Type="http://schemas.openxmlformats.org/officeDocument/2006/relationships/hyperlink" Target="https://mstgolf.co.th/products/gf2500102752" TargetMode="External" Id="rId1453" /><Relationship Type="http://schemas.openxmlformats.org/officeDocument/2006/relationships/hyperlink" Target="https://mstgolf.co.th/products/gf2500102786" TargetMode="External" Id="rId1454" /><Relationship Type="http://schemas.openxmlformats.org/officeDocument/2006/relationships/hyperlink" Target="https://mstgolf.co.th/products/gf2500201527" TargetMode="External" Id="rId1455" /><Relationship Type="http://schemas.openxmlformats.org/officeDocument/2006/relationships/hyperlink" Target="https://mstgolf.co.th/products/gf2500201502" TargetMode="External" Id="rId1456" /><Relationship Type="http://schemas.openxmlformats.org/officeDocument/2006/relationships/hyperlink" Target="https://mstgolf.co.th/products/gf3000201462" TargetMode="External" Id="rId1457" /><Relationship Type="http://schemas.openxmlformats.org/officeDocument/2006/relationships/hyperlink" Target="https://mstgolf.co.th/products/gf3000201464" TargetMode="External" Id="rId1458" /><Relationship Type="http://schemas.openxmlformats.org/officeDocument/2006/relationships/hyperlink" Target="https://mstgolf.co.th/products/gf3011000030" TargetMode="External" Id="rId1459" /><Relationship Type="http://schemas.openxmlformats.org/officeDocument/2006/relationships/hyperlink" Target="https://mstgolf.co.th/products/gf3010101355" TargetMode="External" Id="rId1460" /><Relationship Type="http://schemas.openxmlformats.org/officeDocument/2006/relationships/hyperlink" Target="https://mstgolf.co.th/products/gf2500201222" TargetMode="External" Id="rId1461" /><Relationship Type="http://schemas.openxmlformats.org/officeDocument/2006/relationships/hyperlink" Target="https://mstgolf.co.th/products/gf2500102788" TargetMode="External" Id="rId1462" /><Relationship Type="http://schemas.openxmlformats.org/officeDocument/2006/relationships/hyperlink" Target="https://mstgolf.co.th/products/gf2500102754" TargetMode="External" Id="rId1463" /><Relationship Type="http://schemas.openxmlformats.org/officeDocument/2006/relationships/hyperlink" Target="https://mstgolf.co.th/products/gf3000201282" TargetMode="External" Id="rId1464" /><Relationship Type="http://schemas.openxmlformats.org/officeDocument/2006/relationships/hyperlink" Target="https://mstgolf.co.th/products/gf3000201283" TargetMode="External" Id="rId1465" /><Relationship Type="http://schemas.openxmlformats.org/officeDocument/2006/relationships/hyperlink" Target="https://mstgolf.co.th/products/gf3000102537" TargetMode="External" Id="rId1466" /><Relationship Type="http://schemas.openxmlformats.org/officeDocument/2006/relationships/hyperlink" Target="https://mstgolf.co.th/products/gf3000102539" TargetMode="External" Id="rId1467" /><Relationship Type="http://schemas.openxmlformats.org/officeDocument/2006/relationships/hyperlink" Target="https://mstgolf.co.th/products/gf2500201288" TargetMode="External" Id="rId1468" /><Relationship Type="http://schemas.openxmlformats.org/officeDocument/2006/relationships/hyperlink" Target="https://mstgolf.co.th/products/gf2500201307" TargetMode="External" Id="rId1469" /><Relationship Type="http://schemas.openxmlformats.org/officeDocument/2006/relationships/hyperlink" Target="https://mstgolf.co.th/products/gf3010401173" TargetMode="External" Id="rId1470" /><Relationship Type="http://schemas.openxmlformats.org/officeDocument/2006/relationships/hyperlink" Target="https://mstgolf.co.th/products/gf3010401174" TargetMode="External" Id="rId1471" /><Relationship Type="http://schemas.openxmlformats.org/officeDocument/2006/relationships/hyperlink" Target="https://mstgolf.co.th/products/gf3000201341" TargetMode="External" Id="rId1472" /><Relationship Type="http://schemas.openxmlformats.org/officeDocument/2006/relationships/hyperlink" Target="https://mstgolf.co.th/products/gf3010101305" TargetMode="External" Id="rId1473" /><Relationship Type="http://schemas.openxmlformats.org/officeDocument/2006/relationships/hyperlink" Target="https://mstgolf.co.th/products/gf3000103070" TargetMode="External" Id="rId1474" /><Relationship Type="http://schemas.openxmlformats.org/officeDocument/2006/relationships/hyperlink" Target="https://mstgolf.co.th/products/gf3000103071" TargetMode="External" Id="rId1475" /><Relationship Type="http://schemas.openxmlformats.org/officeDocument/2006/relationships/hyperlink" Target="https://mstgolf.co.th/products/gf3000103068" TargetMode="External" Id="rId1476" /><Relationship Type="http://schemas.openxmlformats.org/officeDocument/2006/relationships/hyperlink" Target="https://mstgolf.co.th/products/gf3000200944" TargetMode="External" Id="rId1477" /><Relationship Type="http://schemas.openxmlformats.org/officeDocument/2006/relationships/hyperlink" Target="https://mstgolf.co.th/products/gf3000102708" TargetMode="External" Id="rId1478" /><Relationship Type="http://schemas.openxmlformats.org/officeDocument/2006/relationships/hyperlink" Target="https://mstgolf.co.th/products/gf3000102707" TargetMode="External" Id="rId1479" /><Relationship Type="http://schemas.openxmlformats.org/officeDocument/2006/relationships/hyperlink" Target="https://mstgolf.co.th/products/gf3000201346" TargetMode="External" Id="rId1480" /><Relationship Type="http://schemas.openxmlformats.org/officeDocument/2006/relationships/hyperlink" Target="https://mstgolf.co.th/products/gf3010101451" TargetMode="External" Id="rId1481" /><Relationship Type="http://schemas.openxmlformats.org/officeDocument/2006/relationships/hyperlink" Target="https://mstgolf.co.th/products/gf2500102783" TargetMode="External" Id="rId1482" /><Relationship Type="http://schemas.openxmlformats.org/officeDocument/2006/relationships/hyperlink" Target="https://mstgolf.co.th/products/gf3000102316" TargetMode="External" Id="rId1483" /><Relationship Type="http://schemas.openxmlformats.org/officeDocument/2006/relationships/hyperlink" Target="https://mstgolf.co.th/products/gf3000102314" TargetMode="External" Id="rId1484" /><Relationship Type="http://schemas.openxmlformats.org/officeDocument/2006/relationships/hyperlink" Target="https://mstgolf.co.th/products/gf3000103073" TargetMode="External" Id="rId1485" /><Relationship Type="http://schemas.openxmlformats.org/officeDocument/2006/relationships/hyperlink" Target="https://mstgolf.co.th/products/gf3000103075" TargetMode="External" Id="rId1486" /><Relationship Type="http://schemas.openxmlformats.org/officeDocument/2006/relationships/hyperlink" Target="https://mstgolf.co.th/products/gf3000102999" TargetMode="External" Id="rId1487" /><Relationship Type="http://schemas.openxmlformats.org/officeDocument/2006/relationships/hyperlink" Target="https://mstgolf.co.th/products/gf3000102274" TargetMode="External" Id="rId1488" /><Relationship Type="http://schemas.openxmlformats.org/officeDocument/2006/relationships/hyperlink" Target="https://mstgolf.co.th/products/gf3000102573" TargetMode="External" Id="rId1489" /><Relationship Type="http://schemas.openxmlformats.org/officeDocument/2006/relationships/hyperlink" Target="https://mstgolf.co.th/products/gf3000102819" TargetMode="External" Id="rId1490" /><Relationship Type="http://schemas.openxmlformats.org/officeDocument/2006/relationships/hyperlink" Target="https://mstgolf.co.th/products/gf3000201149" TargetMode="External" Id="rId1491" /><Relationship Type="http://schemas.openxmlformats.org/officeDocument/2006/relationships/hyperlink" Target="https://mstgolf.co.th/products/gf3000102715" TargetMode="External" Id="rId1492" /><Relationship Type="http://schemas.openxmlformats.org/officeDocument/2006/relationships/hyperlink" Target="https://mstgolf.co.th/products/gf3000102716" TargetMode="External" Id="rId1493" /><Relationship Type="http://schemas.openxmlformats.org/officeDocument/2006/relationships/hyperlink" Target="https://mstgolf.co.th/products/gf3000102714" TargetMode="External" Id="rId1494" /><Relationship Type="http://schemas.openxmlformats.org/officeDocument/2006/relationships/hyperlink" Target="https://mstgolf.co.th/products/gf3000103126" TargetMode="External" Id="rId1495" /><Relationship Type="http://schemas.openxmlformats.org/officeDocument/2006/relationships/hyperlink" Target="https://mstgolf.co.th/products/gf3000201052" TargetMode="External" Id="rId1496" /><Relationship Type="http://schemas.openxmlformats.org/officeDocument/2006/relationships/hyperlink" Target="https://mstgolf.co.th/products/gf3000201068" TargetMode="External" Id="rId1497" /><Relationship Type="http://schemas.openxmlformats.org/officeDocument/2006/relationships/hyperlink" Target="https://mstgolf.co.th/products/gf3000103159" TargetMode="External" Id="rId1498" /><Relationship Type="http://schemas.openxmlformats.org/officeDocument/2006/relationships/hyperlink" Target="https://mstgolf.co.th/products/gf3000102718" TargetMode="External" Id="rId1499" /><Relationship Type="http://schemas.openxmlformats.org/officeDocument/2006/relationships/hyperlink" Target="https://mstgolf.co.th/products/gf3000102719" TargetMode="External" Id="rId1500" /><Relationship Type="http://schemas.openxmlformats.org/officeDocument/2006/relationships/hyperlink" Target="https://mstgolf.co.th/products/gf3000102977" TargetMode="External" Id="rId1501" /><Relationship Type="http://schemas.openxmlformats.org/officeDocument/2006/relationships/hyperlink" Target="https://mstgolf.co.th/products/gf2500102662" TargetMode="External" Id="rId1502" /><Relationship Type="http://schemas.openxmlformats.org/officeDocument/2006/relationships/hyperlink" Target="https://mstgolf.co.th/products/gf3010101374" TargetMode="External" Id="rId1503" /><Relationship Type="http://schemas.openxmlformats.org/officeDocument/2006/relationships/hyperlink" Target="https://mstgolf.co.th/products/gf3000102322" TargetMode="External" Id="rId1504" /><Relationship Type="http://schemas.openxmlformats.org/officeDocument/2006/relationships/hyperlink" Target="https://mstgolf.co.th/products/gf3010101486" TargetMode="External" Id="rId1505" /><Relationship Type="http://schemas.openxmlformats.org/officeDocument/2006/relationships/hyperlink" Target="https://mstgolf.co.th/products/gf3010101409" TargetMode="External" Id="rId1506" /><Relationship Type="http://schemas.openxmlformats.org/officeDocument/2006/relationships/hyperlink" Target="https://mstgolf.co.th/products/gf2500102687" TargetMode="External" Id="rId1507" /><Relationship Type="http://schemas.openxmlformats.org/officeDocument/2006/relationships/hyperlink" Target="https://mstgolf.co.th/products/gf3000201236" TargetMode="External" Id="rId1508" /><Relationship Type="http://schemas.openxmlformats.org/officeDocument/2006/relationships/hyperlink" Target="https://mstgolf.co.th/products/gf3000201237" TargetMode="External" Id="rId1509" /><Relationship Type="http://schemas.openxmlformats.org/officeDocument/2006/relationships/hyperlink" Target="https://mstgolf.co.th/products/gf3000201234" TargetMode="External" Id="rId1510" /><Relationship Type="http://schemas.openxmlformats.org/officeDocument/2006/relationships/hyperlink" Target="https://mstgolf.co.th/products/gf3000201238" TargetMode="External" Id="rId1511" /><Relationship Type="http://schemas.openxmlformats.org/officeDocument/2006/relationships/hyperlink" Target="https://mstgolf.co.th/products/gf3000102712" TargetMode="External" Id="rId1512" /><Relationship Type="http://schemas.openxmlformats.org/officeDocument/2006/relationships/hyperlink" Target="https://mstgolf.co.th/products/gf3000102709" TargetMode="External" Id="rId1513" /><Relationship Type="http://schemas.openxmlformats.org/officeDocument/2006/relationships/hyperlink" Target="https://mstgolf.co.th/products/gf3000102710" TargetMode="External" Id="rId1514" /><Relationship Type="http://schemas.openxmlformats.org/officeDocument/2006/relationships/hyperlink" Target="https://mstgolf.co.th/products/gf2500201440" TargetMode="External" Id="rId1515" /><Relationship Type="http://schemas.openxmlformats.org/officeDocument/2006/relationships/hyperlink" Target="https://mstgolf.co.th/products/gf2500201443" TargetMode="External" Id="rId1516" /><Relationship Type="http://schemas.openxmlformats.org/officeDocument/2006/relationships/hyperlink" Target="https://mstgolf.co.th/products/gf3000201167" TargetMode="External" Id="rId1517" /><Relationship Type="http://schemas.openxmlformats.org/officeDocument/2006/relationships/hyperlink" Target="https://mstgolf.co.th/products/gf3000201009" TargetMode="External" Id="rId1518" /><Relationship Type="http://schemas.openxmlformats.org/officeDocument/2006/relationships/hyperlink" Target="https://mstgolf.co.th/products/gf3000201166" TargetMode="External" Id="rId1519" /><Relationship Type="http://schemas.openxmlformats.org/officeDocument/2006/relationships/hyperlink" Target="https://mstgolf.co.th/products/gf3000201168" TargetMode="External" Id="rId1520" /><Relationship Type="http://schemas.openxmlformats.org/officeDocument/2006/relationships/hyperlink" Target="https://mstgolf.co.th/products/gf3000201172" TargetMode="External" Id="rId1521" /><Relationship Type="http://schemas.openxmlformats.org/officeDocument/2006/relationships/hyperlink" Target="https://mstgolf.co.th/products/gf2500201087" TargetMode="External" Id="rId1522" /><Relationship Type="http://schemas.openxmlformats.org/officeDocument/2006/relationships/hyperlink" Target="https://mstgolf.co.th/products/gf2500200871" TargetMode="External" Id="rId1523" /><Relationship Type="http://schemas.openxmlformats.org/officeDocument/2006/relationships/hyperlink" Target="https://mstgolf.co.th/products/gf3000201367" TargetMode="External" Id="rId1524" /><Relationship Type="http://schemas.openxmlformats.org/officeDocument/2006/relationships/hyperlink" Target="https://mstgolf.co.th/products/gf2500102525" TargetMode="External" Id="rId1525" /><Relationship Type="http://schemas.openxmlformats.org/officeDocument/2006/relationships/hyperlink" Target="https://mstgolf.co.th/products/gf2500201163" TargetMode="External" Id="rId1526" /><Relationship Type="http://schemas.openxmlformats.org/officeDocument/2006/relationships/hyperlink" Target="https://mstgolf.co.th/products/gf3000200997" TargetMode="External" Id="rId1527" /><Relationship Type="http://schemas.openxmlformats.org/officeDocument/2006/relationships/hyperlink" Target="https://mstgolf.co.th/products/gf3000200999" TargetMode="External" Id="rId1528" /><Relationship Type="http://schemas.openxmlformats.org/officeDocument/2006/relationships/hyperlink" Target="https://mstgolf.co.th/products/gf3000102679" TargetMode="External" Id="rId1529" /><Relationship Type="http://schemas.openxmlformats.org/officeDocument/2006/relationships/hyperlink" Target="https://mstgolf.co.th/products/gf3000103012" TargetMode="External" Id="rId1530" /><Relationship Type="http://schemas.openxmlformats.org/officeDocument/2006/relationships/hyperlink" Target="https://mstgolf.co.th/products/gf3000103013" TargetMode="External" Id="rId1531" /><Relationship Type="http://schemas.openxmlformats.org/officeDocument/2006/relationships/hyperlink" Target="https://mstgolf.co.th/products/gf3010101081" TargetMode="External" Id="rId1532" /><Relationship Type="http://schemas.openxmlformats.org/officeDocument/2006/relationships/hyperlink" Target="https://mstgolf.co.th/products/gf3000102812" TargetMode="External" Id="rId1533" /><Relationship Type="http://schemas.openxmlformats.org/officeDocument/2006/relationships/hyperlink" Target="https://mstgolf.co.th/products/gf3000102853" TargetMode="External" Id="rId1534" /><Relationship Type="http://schemas.openxmlformats.org/officeDocument/2006/relationships/hyperlink" Target="https://mstgolf.co.th/products/gf3000102851" TargetMode="External" Id="rId1535" /><Relationship Type="http://schemas.openxmlformats.org/officeDocument/2006/relationships/hyperlink" Target="https://mstgolf.co.th/products/gf3000201449" TargetMode="External" Id="rId1536" /><Relationship Type="http://schemas.openxmlformats.org/officeDocument/2006/relationships/hyperlink" Target="https://mstgolf.co.th/products/gf3010401220" TargetMode="External" Id="rId1537" /><Relationship Type="http://schemas.openxmlformats.org/officeDocument/2006/relationships/hyperlink" Target="https://mstgolf.co.th/products/gf2500201453" TargetMode="External" Id="rId1538" /><Relationship Type="http://schemas.openxmlformats.org/officeDocument/2006/relationships/hyperlink" Target="https://mstgolf.co.th/products/gf3030100041" TargetMode="External" Id="rId1539" /><Relationship Type="http://schemas.openxmlformats.org/officeDocument/2006/relationships/hyperlink" Target="https://mstgolf.co.th/products/gf3030100104" TargetMode="External" Id="rId1540" /><Relationship Type="http://schemas.openxmlformats.org/officeDocument/2006/relationships/hyperlink" Target="https://mstgolf.co.th/products/gf2500102637" TargetMode="External" Id="rId1541" /><Relationship Type="http://schemas.openxmlformats.org/officeDocument/2006/relationships/hyperlink" Target="https://mstgolf.co.th/products/gf2500102719" TargetMode="External" Id="rId1542" /><Relationship Type="http://schemas.openxmlformats.org/officeDocument/2006/relationships/hyperlink" Target="https://mstgolf.co.th/products/gf3000102530" TargetMode="External" Id="rId1543" /><Relationship Type="http://schemas.openxmlformats.org/officeDocument/2006/relationships/hyperlink" Target="https://mstgolf.co.th/products/gf3000102531" TargetMode="External" Id="rId1544" /><Relationship Type="http://schemas.openxmlformats.org/officeDocument/2006/relationships/hyperlink" Target="https://mstgolf.co.th/products/gf3040100110" TargetMode="External" Id="rId1545" /><Relationship Type="http://schemas.openxmlformats.org/officeDocument/2006/relationships/hyperlink" Target="https://mstgolf.co.th/products/gf2500102772" TargetMode="External" Id="rId1546" /><Relationship Type="http://schemas.openxmlformats.org/officeDocument/2006/relationships/hyperlink" Target="https://mstgolf.co.th/products/gf2500201462" TargetMode="External" Id="rId1547" /><Relationship Type="http://schemas.openxmlformats.org/officeDocument/2006/relationships/hyperlink" Target="https://mstgolf.co.th/products/gf2500201463" TargetMode="External" Id="rId1548" /><Relationship Type="http://schemas.openxmlformats.org/officeDocument/2006/relationships/hyperlink" Target="https://mstgolf.co.th/products/gf2500102423" TargetMode="External" Id="rId1549" /><Relationship Type="http://schemas.openxmlformats.org/officeDocument/2006/relationships/hyperlink" Target="https://mstgolf.co.th/products/gf3000101770" TargetMode="External" Id="rId1550" /><Relationship Type="http://schemas.openxmlformats.org/officeDocument/2006/relationships/hyperlink" Target="https://mstgolf.co.th/products/gf3000101771" TargetMode="External" Id="rId1551" /><Relationship Type="http://schemas.openxmlformats.org/officeDocument/2006/relationships/hyperlink" Target="https://mstgolf.co.th/products/gf3000102744" TargetMode="External" Id="rId1552" /><Relationship Type="http://schemas.openxmlformats.org/officeDocument/2006/relationships/hyperlink" Target="https://mstgolf.co.th/products/gf3000102743" TargetMode="External" Id="rId1553" /><Relationship Type="http://schemas.openxmlformats.org/officeDocument/2006/relationships/hyperlink" Target="https://mstgolf.co.th/products/gf3000103026" TargetMode="External" Id="rId1554" /><Relationship Type="http://schemas.openxmlformats.org/officeDocument/2006/relationships/hyperlink" Target="https://mstgolf.co.th/products/gf2500201024" TargetMode="External" Id="rId1555" /><Relationship Type="http://schemas.openxmlformats.org/officeDocument/2006/relationships/hyperlink" Target="https://mstgolf.co.th/products/gf2500201135" TargetMode="External" Id="rId1556" /><Relationship Type="http://schemas.openxmlformats.org/officeDocument/2006/relationships/hyperlink" Target="https://mstgolf.co.th/products/gf2500102671" TargetMode="External" Id="rId1557" /><Relationship Type="http://schemas.openxmlformats.org/officeDocument/2006/relationships/hyperlink" Target="https://mstgolf.co.th/products/gf2500200874" TargetMode="External" Id="rId1558" /><Relationship Type="http://schemas.openxmlformats.org/officeDocument/2006/relationships/hyperlink" Target="https://mstgolf.co.th/products/gf3000102380" TargetMode="External" Id="rId1559" /><Relationship Type="http://schemas.openxmlformats.org/officeDocument/2006/relationships/hyperlink" Target="https://mstgolf.co.th/products/gf3000102547" TargetMode="External" Id="rId1560" /><Relationship Type="http://schemas.openxmlformats.org/officeDocument/2006/relationships/hyperlink" Target="https://mstgolf.co.th/products/gf3010401120" TargetMode="External" Id="rId1561" /><Relationship Type="http://schemas.openxmlformats.org/officeDocument/2006/relationships/hyperlink" Target="https://mstgolf.co.th/products/gf3010401121" TargetMode="External" Id="rId1562" /><Relationship Type="http://schemas.openxmlformats.org/officeDocument/2006/relationships/hyperlink" Target="https://mstgolf.co.th/products/gf3010101446" TargetMode="External" Id="rId1563" /><Relationship Type="http://schemas.openxmlformats.org/officeDocument/2006/relationships/hyperlink" Target="https://mstgolf.co.th/products/gf2500201309" TargetMode="External" Id="rId1564" /><Relationship Type="http://schemas.openxmlformats.org/officeDocument/2006/relationships/hyperlink" Target="https://mstgolf.co.th/products/gf2500201290" TargetMode="External" Id="rId1565" /><Relationship Type="http://schemas.openxmlformats.org/officeDocument/2006/relationships/hyperlink" Target="https://mstgolf.co.th/products/gf2500201454" TargetMode="External" Id="rId1566" /><Relationship Type="http://schemas.openxmlformats.org/officeDocument/2006/relationships/hyperlink" Target="https://mstgolf.co.th/products/gf2500201386" TargetMode="External" Id="rId1567" /><Relationship Type="http://schemas.openxmlformats.org/officeDocument/2006/relationships/hyperlink" Target="https://mstgolf.co.th/products/gf2500201456" TargetMode="External" Id="rId1568" /><Relationship Type="http://schemas.openxmlformats.org/officeDocument/2006/relationships/hyperlink" Target="https://mstgolf.co.th/products/gf2500102669" TargetMode="External" Id="rId1569" /><Relationship Type="http://schemas.openxmlformats.org/officeDocument/2006/relationships/hyperlink" Target="https://mstgolf.co.th/products/gf3000102153" TargetMode="External" Id="rId1570" /><Relationship Type="http://schemas.openxmlformats.org/officeDocument/2006/relationships/hyperlink" Target="https://mstgolf.co.th/products/gf2500200990" TargetMode="External" Id="rId1571" /><Relationship Type="http://schemas.openxmlformats.org/officeDocument/2006/relationships/hyperlink" Target="https://mstgolf.co.th/products/gf2500201262" TargetMode="External" Id="rId1572" /><Relationship Type="http://schemas.openxmlformats.org/officeDocument/2006/relationships/hyperlink" Target="https://mstgolf.co.th/products/gf3010400835" TargetMode="External" Id="rId1573" /><Relationship Type="http://schemas.openxmlformats.org/officeDocument/2006/relationships/hyperlink" Target="https://mstgolf.co.th/products/gf3000102437" TargetMode="External" Id="rId1574" /><Relationship Type="http://schemas.openxmlformats.org/officeDocument/2006/relationships/hyperlink" Target="https://mstgolf.co.th/products/gf2500201021" TargetMode="External" Id="rId1575" /><Relationship Type="http://schemas.openxmlformats.org/officeDocument/2006/relationships/hyperlink" Target="https://mstgolf.co.th/products/gf2500201477" TargetMode="External" Id="rId1576" /><Relationship Type="http://schemas.openxmlformats.org/officeDocument/2006/relationships/hyperlink" Target="https://mstgolf.co.th/products/gf2500201469" TargetMode="External" Id="rId1577" /><Relationship Type="http://schemas.openxmlformats.org/officeDocument/2006/relationships/hyperlink" Target="https://mstgolf.co.th/products/gf2500102672" TargetMode="External" Id="rId1578" /><Relationship Type="http://schemas.openxmlformats.org/officeDocument/2006/relationships/hyperlink" Target="https://mstgolf.co.th/products/gf2500102666" TargetMode="External" Id="rId1579" /><Relationship Type="http://schemas.openxmlformats.org/officeDocument/2006/relationships/hyperlink" Target="https://mstgolf.co.th/products/gf2500201257" TargetMode="External" Id="rId1580" /><Relationship Type="http://schemas.openxmlformats.org/officeDocument/2006/relationships/hyperlink" Target="https://mstgolf.co.th/products/gf2500200681" TargetMode="External" Id="rId1581" /><Relationship Type="http://schemas.openxmlformats.org/officeDocument/2006/relationships/hyperlink" Target="https://mstgolf.co.th/products/gf2500102516" TargetMode="External" Id="rId1582" /><Relationship Type="http://schemas.openxmlformats.org/officeDocument/2006/relationships/hyperlink" Target="https://mstgolf.co.th/products/gf2500102600" TargetMode="External" Id="rId1583" /><Relationship Type="http://schemas.openxmlformats.org/officeDocument/2006/relationships/hyperlink" Target="https://mstgolf.co.th/products/gf2500102586" TargetMode="External" Id="rId1584" /><Relationship Type="http://schemas.openxmlformats.org/officeDocument/2006/relationships/hyperlink" Target="https://mstgolf.co.th/products/gf2500102587" TargetMode="External" Id="rId1585" /><Relationship Type="http://schemas.openxmlformats.org/officeDocument/2006/relationships/hyperlink" Target="https://mstgolf.co.th/products/gf2500200807" TargetMode="External" Id="rId1586" /><Relationship Type="http://schemas.openxmlformats.org/officeDocument/2006/relationships/hyperlink" Target="https://mstgolf.co.th/products/gf2500201470" TargetMode="External" Id="rId1587" /><Relationship Type="http://schemas.openxmlformats.org/officeDocument/2006/relationships/hyperlink" Target="https://mstgolf.co.th/products/gf2500201471" TargetMode="External" Id="rId1588" /><Relationship Type="http://schemas.openxmlformats.org/officeDocument/2006/relationships/hyperlink" Target="https://mstgolf.co.th/products/gf2500201534" TargetMode="External" Id="rId1589" /><Relationship Type="http://schemas.openxmlformats.org/officeDocument/2006/relationships/hyperlink" Target="https://mstgolf.co.th/products/gf2500201533" TargetMode="External" Id="rId1590" /><Relationship Type="http://schemas.openxmlformats.org/officeDocument/2006/relationships/hyperlink" Target="https://mstgolf.co.th/products/gf2500201535" TargetMode="External" Id="rId1591" /><Relationship Type="http://schemas.openxmlformats.org/officeDocument/2006/relationships/hyperlink" Target="https://mstgolf.co.th/products/gf2500201536" TargetMode="External" Id="rId1592" /><Relationship Type="http://schemas.openxmlformats.org/officeDocument/2006/relationships/hyperlink" Target="https://mstgolf.co.th/products/gf3000201447" TargetMode="External" Id="rId1593" /><Relationship Type="http://schemas.openxmlformats.org/officeDocument/2006/relationships/hyperlink" Target="https://mstgolf.co.th/products/gf3000201448" TargetMode="External" Id="rId1594" /><Relationship Type="http://schemas.openxmlformats.org/officeDocument/2006/relationships/hyperlink" Target="https://mstgolf.co.th/products/gf2500102684" TargetMode="External" Id="rId1595" /><Relationship Type="http://schemas.openxmlformats.org/officeDocument/2006/relationships/hyperlink" Target="https://mstgolf.co.th/products/gf3010101351" TargetMode="External" Id="rId1596" /><Relationship Type="http://schemas.openxmlformats.org/officeDocument/2006/relationships/hyperlink" Target="https://mstgolf.co.th/products/gf3010101352" TargetMode="External" Id="rId1597" /><Relationship Type="http://schemas.openxmlformats.org/officeDocument/2006/relationships/hyperlink" Target="https://mstgolf.co.th/products/gf2500200946" TargetMode="External" Id="rId1598" /><Relationship Type="http://schemas.openxmlformats.org/officeDocument/2006/relationships/hyperlink" Target="https://mstgolf.co.th/products/gf2500102675" TargetMode="External" Id="rId1599" /><Relationship Type="http://schemas.openxmlformats.org/officeDocument/2006/relationships/hyperlink" Target="https://mstgolf.co.th/products/gf2500201204" TargetMode="External" Id="rId1600" /><Relationship Type="http://schemas.openxmlformats.org/officeDocument/2006/relationships/hyperlink" Target="https://mstgolf.co.th/products/gf2500201060" TargetMode="External" Id="rId1601" /><Relationship Type="http://schemas.openxmlformats.org/officeDocument/2006/relationships/hyperlink" Target="https://mstgolf.co.th/products/gf3000102840" TargetMode="External" Id="rId1602" /><Relationship Type="http://schemas.openxmlformats.org/officeDocument/2006/relationships/hyperlink" Target="https://mstgolf.co.th/products/gf3010101065" TargetMode="External" Id="rId1603" /><Relationship Type="http://schemas.openxmlformats.org/officeDocument/2006/relationships/hyperlink" Target="https://mstgolf.co.th/products/gf2500201041" TargetMode="External" Id="rId1604" /><Relationship Type="http://schemas.openxmlformats.org/officeDocument/2006/relationships/hyperlink" Target="https://mstgolf.co.th/products/gf2500201337" TargetMode="External" Id="rId1605" /><Relationship Type="http://schemas.openxmlformats.org/officeDocument/2006/relationships/hyperlink" Target="https://mstgolf.co.th/products/gf3010401109" TargetMode="External" Id="rId1606" /><Relationship Type="http://schemas.openxmlformats.org/officeDocument/2006/relationships/hyperlink" Target="https://mstgolf.co.th/products/gf3010401110" TargetMode="External" Id="rId1607" /><Relationship Type="http://schemas.openxmlformats.org/officeDocument/2006/relationships/hyperlink" Target="https://mstgolf.co.th/products/gf3010401111" TargetMode="External" Id="rId1608" /><Relationship Type="http://schemas.openxmlformats.org/officeDocument/2006/relationships/hyperlink" Target="https://mstgolf.co.th/products/gf2500200195" TargetMode="External" Id="rId1609" /><Relationship Type="http://schemas.openxmlformats.org/officeDocument/2006/relationships/hyperlink" Target="https://mstgolf.co.th/products/gf3040100100" TargetMode="External" Id="rId1610" /><Relationship Type="http://schemas.openxmlformats.org/officeDocument/2006/relationships/hyperlink" Target="https://mstgolf.co.th/products/gf2500201192" TargetMode="External" Id="rId1611" /><Relationship Type="http://schemas.openxmlformats.org/officeDocument/2006/relationships/hyperlink" Target="https://mstgolf.co.th/products/gf2500102555" TargetMode="External" Id="rId1612" /><Relationship Type="http://schemas.openxmlformats.org/officeDocument/2006/relationships/hyperlink" Target="https://mstgolf.co.th/products/gf3000102553" TargetMode="External" Id="rId1613" /><Relationship Type="http://schemas.openxmlformats.org/officeDocument/2006/relationships/hyperlink" Target="https://mstgolf.co.th/products/gf3010401122" TargetMode="External" Id="rId1614" /><Relationship Type="http://schemas.openxmlformats.org/officeDocument/2006/relationships/hyperlink" Target="https://mstgolf.co.th/products/gf2500200772" TargetMode="External" Id="rId1615" /><Relationship Type="http://schemas.openxmlformats.org/officeDocument/2006/relationships/hyperlink" Target="https://mstgolf.co.th/products/gf2500102681" TargetMode="External" Id="rId1616" /><Relationship Type="http://schemas.openxmlformats.org/officeDocument/2006/relationships/hyperlink" Target="https://mstgolf.co.th/products/gf2500102561" TargetMode="External" Id="rId1617" /><Relationship Type="http://schemas.openxmlformats.org/officeDocument/2006/relationships/hyperlink" Target="https://mstgolf.co.th/products/gf2500102524" TargetMode="External" Id="rId1618" /><Relationship Type="http://schemas.openxmlformats.org/officeDocument/2006/relationships/hyperlink" Target="https://mstgolf.co.th/products/gf2500102523" TargetMode="External" Id="rId1619" /><Relationship Type="http://schemas.openxmlformats.org/officeDocument/2006/relationships/hyperlink" Target="https://mstgolf.co.th/products/gf2500102522" TargetMode="External" Id="rId1620" /><Relationship Type="http://schemas.openxmlformats.org/officeDocument/2006/relationships/hyperlink" Target="https://mstgolf.co.th/products/gf2500200861" TargetMode="External" Id="rId1621" /><Relationship Type="http://schemas.openxmlformats.org/officeDocument/2006/relationships/hyperlink" Target="https://mstgolf.co.th/products/gf2500201194" TargetMode="External" Id="rId1622" /><Relationship Type="http://schemas.openxmlformats.org/officeDocument/2006/relationships/hyperlink" Target="https://mstgolf.co.th/products/gf3010101182" TargetMode="External" Id="rId1623" /><Relationship Type="http://schemas.openxmlformats.org/officeDocument/2006/relationships/hyperlink" Target="https://mstgolf.co.th/products/gf2500200822" TargetMode="External" Id="rId1624" /><Relationship Type="http://schemas.openxmlformats.org/officeDocument/2006/relationships/hyperlink" Target="https://mstgolf.co.th/products/gf2500200823" TargetMode="External" Id="rId1625" /><Relationship Type="http://schemas.openxmlformats.org/officeDocument/2006/relationships/hyperlink" Target="https://mstgolf.co.th/products/gf2500102048" TargetMode="External" Id="rId1626" /><Relationship Type="http://schemas.openxmlformats.org/officeDocument/2006/relationships/hyperlink" Target="https://mstgolf.co.th/products/gf2500102049" TargetMode="External" Id="rId1627" /><Relationship Type="http://schemas.openxmlformats.org/officeDocument/2006/relationships/hyperlink" Target="https://mstgolf.co.th/products/gf2500102595" TargetMode="External" Id="rId1628" /><Relationship Type="http://schemas.openxmlformats.org/officeDocument/2006/relationships/hyperlink" Target="https://mstgolf.co.th/products/gf2500200773" TargetMode="External" Id="rId1629" /><Relationship Type="http://schemas.openxmlformats.org/officeDocument/2006/relationships/hyperlink" Target="https://mstgolf.co.th/products/gf2500201008" TargetMode="External" Id="rId1630" /><Relationship Type="http://schemas.openxmlformats.org/officeDocument/2006/relationships/hyperlink" Target="https://mstgolf.co.th/products/gf2500201250" TargetMode="External" Id="rId1631" /><Relationship Type="http://schemas.openxmlformats.org/officeDocument/2006/relationships/hyperlink" Target="https://mstgolf.co.th/products/gf3010400931" TargetMode="External" Id="rId1632" /><Relationship Type="http://schemas.openxmlformats.org/officeDocument/2006/relationships/hyperlink" Target="https://mstgolf.co.th/products/gf2500102610" TargetMode="External" Id="rId1633" /><Relationship Type="http://schemas.openxmlformats.org/officeDocument/2006/relationships/hyperlink" Target="https://mstgolf.co.th/products/gf2500201254" TargetMode="External" Id="rId1634" /><Relationship Type="http://schemas.openxmlformats.org/officeDocument/2006/relationships/hyperlink" Target="https://mstgolf.co.th/products/gf3040100114" TargetMode="External" Id="rId1635" /><Relationship Type="http://schemas.openxmlformats.org/officeDocument/2006/relationships/hyperlink" Target="https://mstgolf.co.th/products/gf2500201221" TargetMode="External" Id="rId1636" /><Relationship Type="http://schemas.openxmlformats.org/officeDocument/2006/relationships/hyperlink" Target="https://mstgolf.co.th/products/gf2500200992" TargetMode="External" Id="rId1637" /><Relationship Type="http://schemas.openxmlformats.org/officeDocument/2006/relationships/hyperlink" Target="https://mstgolf.co.th/products/gf2500102654" TargetMode="External" Id="rId1638" /><Relationship Type="http://schemas.openxmlformats.org/officeDocument/2006/relationships/hyperlink" Target="https://mstgolf.co.th/products/gf3000300388" TargetMode="External" Id="rId1639" /><Relationship Type="http://schemas.openxmlformats.org/officeDocument/2006/relationships/hyperlink" Target="https://mstgolf.co.th/products/gf3000300378" TargetMode="External" Id="rId1640" /><Relationship Type="http://schemas.openxmlformats.org/officeDocument/2006/relationships/hyperlink" Target="https://mstgolf.co.th/products/gf2500201000" TargetMode="External" Id="rId1641" /><Relationship Type="http://schemas.openxmlformats.org/officeDocument/2006/relationships/hyperlink" Target="https://mstgolf.co.th/products/gf3010401157" TargetMode="External" Id="rId1642" /><Relationship Type="http://schemas.openxmlformats.org/officeDocument/2006/relationships/hyperlink" Target="https://mstgolf.co.th/products/gf3010401156" TargetMode="External" Id="rId1643" /><Relationship Type="http://schemas.openxmlformats.org/officeDocument/2006/relationships/hyperlink" Target="https://mstgolf.co.th/products/gf3040100097" TargetMode="External" Id="rId1644" /><Relationship Type="http://schemas.openxmlformats.org/officeDocument/2006/relationships/hyperlink" Target="https://mstgolf.co.th/products/gf3010101255" TargetMode="External" Id="rId1645" /><Relationship Type="http://schemas.openxmlformats.org/officeDocument/2006/relationships/hyperlink" Target="https://mstgolf.co.th/products/gf3010100841" TargetMode="External" Id="rId1646" /><Relationship Type="http://schemas.openxmlformats.org/officeDocument/2006/relationships/hyperlink" Target="https://mstgolf.co.th/products/gf3010101183" TargetMode="External" Id="rId1647" /><Relationship Type="http://schemas.openxmlformats.org/officeDocument/2006/relationships/hyperlink" Target="https://mstgolf.co.th/products/gf3000300264" TargetMode="External" Id="rId1648" /><Relationship Type="http://schemas.openxmlformats.org/officeDocument/2006/relationships/hyperlink" Target="https://mstgolf.co.th/products/gf3000300330" TargetMode="External" Id="rId1649" /><Relationship Type="http://schemas.openxmlformats.org/officeDocument/2006/relationships/hyperlink" Target="https://mstgolf.co.th/products/gf2500201201" TargetMode="External" Id="rId1650" /><Relationship Type="http://schemas.openxmlformats.org/officeDocument/2006/relationships/hyperlink" Target="https://mstgolf.co.th/products/gf2500102612" TargetMode="External" Id="rId1651" /><Relationship Type="http://schemas.openxmlformats.org/officeDocument/2006/relationships/hyperlink" Target="https://mstgolf.co.th/products/gf2500102613" TargetMode="External" Id="rId1652" /><Relationship Type="http://schemas.openxmlformats.org/officeDocument/2006/relationships/hyperlink" Target="https://mstgolf.co.th/products/gf3010401059" TargetMode="External" Id="rId1653" /><Relationship Type="http://schemas.openxmlformats.org/officeDocument/2006/relationships/hyperlink" Target="https://mstgolf.co.th/products/gf2500200958" TargetMode="External" Id="rId1654" /><Relationship Type="http://schemas.openxmlformats.org/officeDocument/2006/relationships/hyperlink" Target="https://mstgolf.co.th/products/gf3010401065" TargetMode="External" Id="rId1655" /><Relationship Type="http://schemas.openxmlformats.org/officeDocument/2006/relationships/hyperlink" Target="https://mstgolf.co.th/products/gf2500102598" TargetMode="External" Id="rId1656" /><Relationship Type="http://schemas.openxmlformats.org/officeDocument/2006/relationships/hyperlink" Target="https://mstgolf.co.th/products/gf3010101118" TargetMode="External" Id="rId1657" /><Relationship Type="http://schemas.openxmlformats.org/officeDocument/2006/relationships/hyperlink" Target="https://mstgolf.co.th/products/gf3010101244" TargetMode="External" Id="rId1658" /><Relationship Type="http://schemas.openxmlformats.org/officeDocument/2006/relationships/hyperlink" Target="https://mstgolf.co.th/products/gf2500200960" TargetMode="External" Id="rId1659" /><Relationship Type="http://schemas.openxmlformats.org/officeDocument/2006/relationships/hyperlink" Target="https://mstgolf.co.th/products/gf2500200779" TargetMode="External" Id="rId1660" /><Relationship Type="http://schemas.openxmlformats.org/officeDocument/2006/relationships/hyperlink" Target="https://mstgolf.co.th/products/gf2500200847" TargetMode="External" Id="rId1661" /><Relationship Type="http://schemas.openxmlformats.org/officeDocument/2006/relationships/hyperlink" Target="https://mstgolf.co.th/products/gf2500200848" TargetMode="External" Id="rId1662" /><Relationship Type="http://schemas.openxmlformats.org/officeDocument/2006/relationships/hyperlink" Target="https://mstgolf.co.th/products/gf3000400154" TargetMode="External" Id="rId1663" /><Relationship Type="http://schemas.openxmlformats.org/officeDocument/2006/relationships/hyperlink" Target="https://mstgolf.co.th/products/gf2500201185" TargetMode="External" Id="rId1664" /><Relationship Type="http://schemas.openxmlformats.org/officeDocument/2006/relationships/hyperlink" Target="https://mstgolf.co.th/products/gf3040100023" TargetMode="External" Id="rId1665" /><Relationship Type="http://schemas.openxmlformats.org/officeDocument/2006/relationships/hyperlink" Target="https://mstgolf.co.th/products/gf3040100022" TargetMode="External" Id="rId1666" /><Relationship Type="http://schemas.openxmlformats.org/officeDocument/2006/relationships/hyperlink" Target="https://mstgolf.co.th/products/gf3040100024" TargetMode="External" Id="rId1667" /><Relationship Type="http://schemas.openxmlformats.org/officeDocument/2006/relationships/hyperlink" Target="https://mstgolf.co.th/products/gf3010600096" TargetMode="External" Id="rId1668" /><Relationship Type="http://schemas.openxmlformats.org/officeDocument/2006/relationships/hyperlink" Target="https://mstgolf.co.th/products/gf3030100030" TargetMode="External" Id="rId1669" /><Relationship Type="http://schemas.openxmlformats.org/officeDocument/2006/relationships/hyperlink" Target="https://mstgolf.co.th/products/gf3000300404" TargetMode="External" Id="rId1670" /><Relationship Type="http://schemas.openxmlformats.org/officeDocument/2006/relationships/hyperlink" Target="https://mstgolf.co.th/products/gf3200400322" TargetMode="External" Id="rId1671" /><Relationship Type="http://schemas.openxmlformats.org/officeDocument/2006/relationships/hyperlink" Target="https://mstgolf.co.th/products/gf3200400339" TargetMode="External" Id="rId1672" /><Relationship Type="http://schemas.openxmlformats.org/officeDocument/2006/relationships/hyperlink" Target="https://mstgolf.co.th/products/gf3200400257" TargetMode="External" Id="rId1673" /><Relationship Type="http://schemas.openxmlformats.org/officeDocument/2006/relationships/hyperlink" Target="https://mstgolf.co.th/products/gf3200400259" TargetMode="External" Id="rId1674" /><Relationship Type="http://schemas.openxmlformats.org/officeDocument/2006/relationships/hyperlink" Target="https://mstgolf.co.th/products/gf3200400264" TargetMode="External" Id="rId1675" /><Relationship Type="http://schemas.openxmlformats.org/officeDocument/2006/relationships/hyperlink" Target="https://mstgolf.co.th/products/gf3200400263" TargetMode="External" Id="rId1676" /><Relationship Type="http://schemas.openxmlformats.org/officeDocument/2006/relationships/hyperlink" Target="https://mstgolf.co.th/products/gf3200400261" TargetMode="External" Id="rId1677" /><Relationship Type="http://schemas.openxmlformats.org/officeDocument/2006/relationships/hyperlink" Target="https://mstgolf.co.th/products/gf3200400305" TargetMode="External" Id="rId1678" /><Relationship Type="http://schemas.openxmlformats.org/officeDocument/2006/relationships/hyperlink" Target="https://mstgolf.co.th/products/gf3200400304" TargetMode="External" Id="rId1679" /><Relationship Type="http://schemas.openxmlformats.org/officeDocument/2006/relationships/hyperlink" Target="https://mstgolf.co.th/products/gf3200400306" TargetMode="External" Id="rId1680" /><Relationship Type="http://schemas.openxmlformats.org/officeDocument/2006/relationships/hyperlink" Target="https://mstgolf.co.th/products/gf3200400319" TargetMode="External" Id="rId1681" /><Relationship Type="http://schemas.openxmlformats.org/officeDocument/2006/relationships/hyperlink" Target="https://mstgolf.co.th/products/gf3200400315" TargetMode="External" Id="rId1682" /><Relationship Type="http://schemas.openxmlformats.org/officeDocument/2006/relationships/hyperlink" Target="https://mstgolf.co.th/products/gf3200400340" TargetMode="External" Id="rId1683" /><Relationship Type="http://schemas.openxmlformats.org/officeDocument/2006/relationships/hyperlink" Target="https://mstgolf.co.th/products/gf3200400348" TargetMode="External" Id="rId1684" /><Relationship Type="http://schemas.openxmlformats.org/officeDocument/2006/relationships/hyperlink" Target="https://mstgolf.co.th/products/gf3200400317" TargetMode="External" Id="rId1685" /><Relationship Type="http://schemas.openxmlformats.org/officeDocument/2006/relationships/hyperlink" Target="https://mstgolf.co.th/products/gf3200400316" TargetMode="External" Id="rId1686" /><Relationship Type="http://schemas.openxmlformats.org/officeDocument/2006/relationships/hyperlink" Target="https://mstgolf.co.th/products/gf3200400303" TargetMode="External" Id="rId1687" /><Relationship Type="http://schemas.openxmlformats.org/officeDocument/2006/relationships/hyperlink" Target="https://mstgolf.co.th/products/gf2500201299" TargetMode="External" Id="rId1688" /><Relationship Type="http://schemas.openxmlformats.org/officeDocument/2006/relationships/hyperlink" Target="https://mstgolf.co.th/products/gf2500201298" TargetMode="External" Id="rId1689" /><Relationship Type="http://schemas.openxmlformats.org/officeDocument/2006/relationships/hyperlink" Target="https://mstgolf.co.th/products/gf3000300123" TargetMode="External" Id="rId1690" /><Relationship Type="http://schemas.openxmlformats.org/officeDocument/2006/relationships/hyperlink" Target="https://mstgolf.co.th/products/gf3000300124" TargetMode="External" Id="rId1691" /><Relationship Type="http://schemas.openxmlformats.org/officeDocument/2006/relationships/hyperlink" Target="https://mstgolf.co.th/products/gf3200400326" TargetMode="External" Id="rId1692" /><Relationship Type="http://schemas.openxmlformats.org/officeDocument/2006/relationships/hyperlink" Target="https://mstgolf.co.th/products/gf3200400328" TargetMode="External" Id="rId1693" /><Relationship Type="http://schemas.openxmlformats.org/officeDocument/2006/relationships/hyperlink" Target="https://mstgolf.co.th/products/gf3200400240" TargetMode="External" Id="rId1694" /><Relationship Type="http://schemas.openxmlformats.org/officeDocument/2006/relationships/hyperlink" Target="https://mstgolf.co.th/products/gf3200400329" TargetMode="External" Id="rId1695" /><Relationship Type="http://schemas.openxmlformats.org/officeDocument/2006/relationships/hyperlink" Target="https://mstgolf.co.th/products/gf3200400354" TargetMode="External" Id="rId1696" /><Relationship Type="http://schemas.openxmlformats.org/officeDocument/2006/relationships/hyperlink" Target="https://mstgolf.co.th/products/gf2500200651" TargetMode="External" Id="rId1697" /><Relationship Type="http://schemas.openxmlformats.org/officeDocument/2006/relationships/hyperlink" Target="https://mstgolf.co.th/products/gf2500200652" TargetMode="External" Id="rId1698" /><Relationship Type="http://schemas.openxmlformats.org/officeDocument/2006/relationships/hyperlink" Target="https://mstgolf.co.th/products/gf3200400241" TargetMode="External" Id="rId1699" /><Relationship Type="http://schemas.openxmlformats.org/officeDocument/2006/relationships/hyperlink" Target="https://mstgolf.co.th/products/gf3200400242" TargetMode="External" Id="rId1700" /><Relationship Type="http://schemas.openxmlformats.org/officeDocument/2006/relationships/hyperlink" Target="https://mstgolf.co.th/products/gf3000300365" TargetMode="External" Id="rId1701" /><Relationship Type="http://schemas.openxmlformats.org/officeDocument/2006/relationships/hyperlink" Target="https://mstgolf.co.th/products/gf3010401105" TargetMode="External" Id="rId1702" /><Relationship Type="http://schemas.openxmlformats.org/officeDocument/2006/relationships/hyperlink" Target="https://mstgolf.co.th/products/gf3010300394" TargetMode="External" Id="rId1703" /><Relationship Type="http://schemas.openxmlformats.org/officeDocument/2006/relationships/hyperlink" Target="https://mstgolf.co.th/products/gf3010300398" TargetMode="External" Id="rId1704" /><Relationship Type="http://schemas.openxmlformats.org/officeDocument/2006/relationships/hyperlink" Target="https://mstgolf.co.th/products/gf3010300396" TargetMode="External" Id="rId1705" /><Relationship Type="http://schemas.openxmlformats.org/officeDocument/2006/relationships/hyperlink" Target="https://mstgolf.co.th/products/gf3010300397" TargetMode="External" Id="rId1706" /><Relationship Type="http://schemas.openxmlformats.org/officeDocument/2006/relationships/hyperlink" Target="https://mstgolf.co.th/products/gf3010101445" TargetMode="External" Id="rId1707" /><Relationship Type="http://schemas.openxmlformats.org/officeDocument/2006/relationships/hyperlink" Target="https://mstgolf.co.th/products/gf2500200919" TargetMode="External" Id="rId1708" /><Relationship Type="http://schemas.openxmlformats.org/officeDocument/2006/relationships/hyperlink" Target="https://mstgolf.co.th/products/gf3010101444" TargetMode="External" Id="rId1709" /><Relationship Type="http://schemas.openxmlformats.org/officeDocument/2006/relationships/hyperlink" Target="https://mstgolf.co.th/products/gf3200400217" TargetMode="External" Id="rId1710" /><Relationship Type="http://schemas.openxmlformats.org/officeDocument/2006/relationships/hyperlink" Target="https://mstgolf.co.th/products/gf3200400216" TargetMode="External" Id="rId1711" /><Relationship Type="http://schemas.openxmlformats.org/officeDocument/2006/relationships/hyperlink" Target="https://mstgolf.co.th/products/gf3200400252" TargetMode="External" Id="rId1712" /><Relationship Type="http://schemas.openxmlformats.org/officeDocument/2006/relationships/hyperlink" Target="https://mstgolf.co.th/products/gf3200400253" TargetMode="External" Id="rId1713" /><Relationship Type="http://schemas.openxmlformats.org/officeDocument/2006/relationships/hyperlink" Target="https://mstgolf.co.th/products/gf3000300367" TargetMode="External" Id="rId1714" /><Relationship Type="http://schemas.openxmlformats.org/officeDocument/2006/relationships/hyperlink" Target="https://mstgolf.co.th/products/gf3010101322" TargetMode="External" Id="rId1715" /><Relationship Type="http://schemas.openxmlformats.org/officeDocument/2006/relationships/hyperlink" Target="https://mstgolf.co.th/products/gf3040100117" TargetMode="External" Id="rId1716" /><Relationship Type="http://schemas.openxmlformats.org/officeDocument/2006/relationships/hyperlink" Target="https://mstgolf.co.th/products/gf3010401100" TargetMode="External" Id="rId1717" /><Relationship Type="http://schemas.openxmlformats.org/officeDocument/2006/relationships/hyperlink" Target="https://mstgolf.co.th/products/gf3010401099" TargetMode="External" Id="rId1718" /><Relationship Type="http://schemas.openxmlformats.org/officeDocument/2006/relationships/hyperlink" Target="https://mstgolf.co.th/products/gf3010401101" TargetMode="External" Id="rId1719" /><Relationship Type="http://schemas.openxmlformats.org/officeDocument/2006/relationships/hyperlink" Target="https://mstgolf.co.th/products/gf3010401107" TargetMode="External" Id="rId1720" /><Relationship Type="http://schemas.openxmlformats.org/officeDocument/2006/relationships/hyperlink" Target="https://mstgolf.co.th/products/gf3040200098" TargetMode="External" Id="rId1721" /><Relationship Type="http://schemas.openxmlformats.org/officeDocument/2006/relationships/hyperlink" Target="https://mstgolf.co.th/products/gf3010401108" TargetMode="External" Id="rId1722" /><Relationship Type="http://schemas.openxmlformats.org/officeDocument/2006/relationships/hyperlink" Target="https://mstgolf.co.th/products/gf3010600100" TargetMode="External" Id="rId1723" /><Relationship Type="http://schemas.openxmlformats.org/officeDocument/2006/relationships/hyperlink" Target="https://mstgolf.co.th/products/gf3040200078" TargetMode="External" Id="rId1724" /><Relationship Type="http://schemas.openxmlformats.org/officeDocument/2006/relationships/hyperlink" Target="https://mstgolf.co.th/products/gf3040200079" TargetMode="External" Id="rId1725" /><Relationship Type="http://schemas.openxmlformats.org/officeDocument/2006/relationships/hyperlink" Target="https://mstgolf.co.th/products/gf3040200077" TargetMode="External" Id="rId1726" /><Relationship Type="http://schemas.openxmlformats.org/officeDocument/2006/relationships/hyperlink" Target="https://mstgolf.co.th/products/gf3040200076" TargetMode="External" Id="rId1727" /><Relationship Type="http://schemas.openxmlformats.org/officeDocument/2006/relationships/hyperlink" Target="https://mstgolf.co.th/products/gf3010400716" TargetMode="External" Id="rId1728" /><Relationship Type="http://schemas.openxmlformats.org/officeDocument/2006/relationships/hyperlink" Target="https://mstgolf.co.th/products/gf3040200060" TargetMode="External" Id="rId1729" /><Relationship Type="http://schemas.openxmlformats.org/officeDocument/2006/relationships/hyperlink" Target="https://mstgolf.co.th/products/gf3040200063" TargetMode="External" Id="rId1730" /><Relationship Type="http://schemas.openxmlformats.org/officeDocument/2006/relationships/hyperlink" Target="https://mstgolf.co.th/products/gf3010401103" TargetMode="External" Id="rId1731" /><Relationship Type="http://schemas.openxmlformats.org/officeDocument/2006/relationships/hyperlink" Target="https://mstgolf.co.th/products/gf3010300402" TargetMode="External" Id="rId1732" /><Relationship Type="http://schemas.openxmlformats.org/officeDocument/2006/relationships/hyperlink" Target="https://mstgolf.co.th/products/gf3010300403" TargetMode="External" Id="rId1733" /><Relationship Type="http://schemas.openxmlformats.org/officeDocument/2006/relationships/hyperlink" Target="https://mstgolf.co.th/products/gf3010101329" TargetMode="External" Id="rId1734" /><Relationship Type="http://schemas.openxmlformats.org/officeDocument/2006/relationships/hyperlink" Target="https://mstgolf.co.th/products/gf3010101328" TargetMode="External" Id="rId1735" /><Relationship Type="http://schemas.openxmlformats.org/officeDocument/2006/relationships/hyperlink" Target="https://mstgolf.co.th/products/gf3020100271" TargetMode="External" Id="rId1736" /><Relationship Type="http://schemas.openxmlformats.org/officeDocument/2006/relationships/hyperlink" Target="https://mstgolf.co.th/products/gf3010300436" TargetMode="External" Id="rId1737" /><Relationship Type="http://schemas.openxmlformats.org/officeDocument/2006/relationships/hyperlink" Target="https://mstgolf.co.th/products/gf3010101321" TargetMode="External" Id="rId1738" /><Relationship Type="http://schemas.openxmlformats.org/officeDocument/2006/relationships/hyperlink" Target="https://mstgolf.co.th/products/gf3010101210" TargetMode="External" Id="rId1739" /><Relationship Type="http://schemas.openxmlformats.org/officeDocument/2006/relationships/hyperlink" Target="https://mstgolf.co.th/products/gf3040200070" TargetMode="External" Id="rId1740" /><Relationship Type="http://schemas.openxmlformats.org/officeDocument/2006/relationships/hyperlink" Target="https://mstgolf.co.th/products/gf3010401008" TargetMode="External" Id="rId1741" /><Relationship Type="http://schemas.openxmlformats.org/officeDocument/2006/relationships/hyperlink" Target="https://mstgolf.co.th/products/gf3010401134" TargetMode="External" Id="rId1742" /><Relationship Type="http://schemas.openxmlformats.org/officeDocument/2006/relationships/hyperlink" Target="https://mstgolf.co.th/products/gf3010401102" TargetMode="External" Id="rId1743" /><Relationship Type="http://schemas.openxmlformats.org/officeDocument/2006/relationships/hyperlink" Target="https://mstgolf.co.th/products/gf3200400159" TargetMode="External" Id="rId1744" /><Relationship Type="http://schemas.openxmlformats.org/officeDocument/2006/relationships/hyperlink" Target="https://mstgolf.co.th/products/gf3200400142" TargetMode="External" Id="rId1745" /><Relationship Type="http://schemas.openxmlformats.org/officeDocument/2006/relationships/hyperlink" Target="https://mstgolf.co.th/products/gf3200400210" TargetMode="External" Id="rId1746" /><Relationship Type="http://schemas.openxmlformats.org/officeDocument/2006/relationships/hyperlink" Target="https://mstgolf.co.th/products/gf3200400158" TargetMode="External" Id="rId1747" /><Relationship Type="http://schemas.openxmlformats.org/officeDocument/2006/relationships/hyperlink" Target="https://mstgolf.co.th/products/gf3200400141" TargetMode="External" Id="rId1748" /><Relationship Type="http://schemas.openxmlformats.org/officeDocument/2006/relationships/hyperlink" Target="https://mstgolf.co.th/products/gf3200400144" TargetMode="External" Id="rId1749" /><Relationship Type="http://schemas.openxmlformats.org/officeDocument/2006/relationships/hyperlink" Target="https://mstgolf.co.th/products/gf3200300067" TargetMode="External" Id="rId1750" /><Relationship Type="http://schemas.openxmlformats.org/officeDocument/2006/relationships/hyperlink" Target="https://mstgolf.co.th/products/gf3200300066" TargetMode="External" Id="rId1751" /><Relationship Type="http://schemas.openxmlformats.org/officeDocument/2006/relationships/hyperlink" Target="https://mstgolf.co.th/products/gf3010101320" TargetMode="External" Id="rId1752" /><Relationship Type="http://schemas.openxmlformats.org/officeDocument/2006/relationships/hyperlink" Target="https://mstgolf.co.th/products/gf3020200770" TargetMode="External" Id="rId1753" /><Relationship Type="http://schemas.openxmlformats.org/officeDocument/2006/relationships/hyperlink" Target="https://mstgolf.co.th/products/gf2500102738" TargetMode="External" Id="rId1754" /><Relationship Type="http://schemas.openxmlformats.org/officeDocument/2006/relationships/hyperlink" Target="https://mstgolf.co.th/products/gf3010101333" TargetMode="External" Id="rId1755" /><Relationship Type="http://schemas.openxmlformats.org/officeDocument/2006/relationships/hyperlink" Target="https://mstgolf.co.th/products/gf3000300389" TargetMode="External" Id="rId1756" /><Relationship Type="http://schemas.openxmlformats.org/officeDocument/2006/relationships/hyperlink" Target="https://mstgolf.co.th/products/gf3010400991" TargetMode="External" Id="rId1757" /><Relationship Type="http://schemas.openxmlformats.org/officeDocument/2006/relationships/hyperlink" Target="https://mstgolf.co.th/products/gf3010401033" TargetMode="External" Id="rId1758" /><Relationship Type="http://schemas.openxmlformats.org/officeDocument/2006/relationships/hyperlink" Target="https://mstgolf.co.th/products/gf3030200200" TargetMode="External" Id="rId1759" /><Relationship Type="http://schemas.openxmlformats.org/officeDocument/2006/relationships/hyperlink" Target="https://mstgolf.co.th/products/gf3040100108" TargetMode="External" Id="rId1760" /><Relationship Type="http://schemas.openxmlformats.org/officeDocument/2006/relationships/hyperlink" Target="https://mstgolf.co.th/products/gf3010401010" TargetMode="External" Id="rId1761" /><Relationship Type="http://schemas.openxmlformats.org/officeDocument/2006/relationships/hyperlink" Target="https://mstgolf.co.th/products/gf3010101188" TargetMode="External" Id="rId1762" /><Relationship Type="http://schemas.openxmlformats.org/officeDocument/2006/relationships/hyperlink" Target="https://mstgolf.co.th/products/gf3010101107" TargetMode="External" Id="rId1763" /><Relationship Type="http://schemas.openxmlformats.org/officeDocument/2006/relationships/hyperlink" Target="https://mstgolf.co.th/products/gf3040200097" TargetMode="External" Id="rId1764" /><Relationship Type="http://schemas.openxmlformats.org/officeDocument/2006/relationships/hyperlink" Target="https://mstgolf.co.th/products/gf3200100073" TargetMode="External" Id="rId1765" /><Relationship Type="http://schemas.openxmlformats.org/officeDocument/2006/relationships/hyperlink" Target="https://mstgolf.co.th/products/gf3200100072" TargetMode="External" Id="rId1766" /><Relationship Type="http://schemas.openxmlformats.org/officeDocument/2006/relationships/hyperlink" Target="https://mstgolf.co.th/products/gf3200100071" TargetMode="External" Id="rId1767" /><Relationship Type="http://schemas.openxmlformats.org/officeDocument/2006/relationships/hyperlink" Target="https://mstgolf.co.th/products/gf3200100069" TargetMode="External" Id="rId1768" /><Relationship Type="http://schemas.openxmlformats.org/officeDocument/2006/relationships/hyperlink" Target="https://mstgolf.co.th/products/gf3020100018" TargetMode="External" Id="rId1769" /><Relationship Type="http://schemas.openxmlformats.org/officeDocument/2006/relationships/hyperlink" Target="https://mstgolf.co.th/products/gf3020200763" TargetMode="External" Id="rId1770" /><Relationship Type="http://schemas.openxmlformats.org/officeDocument/2006/relationships/hyperlink" Target="https://mstgolf.co.th/products/gf3020200765" TargetMode="External" Id="rId1771" /><Relationship Type="http://schemas.openxmlformats.org/officeDocument/2006/relationships/hyperlink" Target="https://mstgolf.co.th/products/gf3020100290" TargetMode="External" Id="rId1772" /><Relationship Type="http://schemas.openxmlformats.org/officeDocument/2006/relationships/hyperlink" Target="https://mstgolf.co.th/products/gf3000400155" TargetMode="External" Id="rId1773" /><Relationship Type="http://schemas.openxmlformats.org/officeDocument/2006/relationships/hyperlink" Target="https://mstgolf.co.th/products/gf3010101254" TargetMode="External" Id="rId1774" /><Relationship Type="http://schemas.openxmlformats.org/officeDocument/2006/relationships/hyperlink" Target="https://mstgolf.co.th/products/gf3010400843" TargetMode="External" Id="rId1775" /><Relationship Type="http://schemas.openxmlformats.org/officeDocument/2006/relationships/hyperlink" Target="https://mstgolf.co.th/products/gf3010101390" TargetMode="External" Id="rId1776" /><Relationship Type="http://schemas.openxmlformats.org/officeDocument/2006/relationships/hyperlink" Target="https://mstgolf.co.th/products/gf3020200658" TargetMode="External" Id="rId1777" /><Relationship Type="http://schemas.openxmlformats.org/officeDocument/2006/relationships/hyperlink" Target="https://mstgolf.co.th/products/gf3020200660" TargetMode="External" Id="rId1778" /><Relationship Type="http://schemas.openxmlformats.org/officeDocument/2006/relationships/hyperlink" Target="https://mstgolf.co.th/products/gf3020200659" TargetMode="External" Id="rId1779" /><Relationship Type="http://schemas.openxmlformats.org/officeDocument/2006/relationships/hyperlink" Target="https://mstgolf.co.th/products/gf3020200455" TargetMode="External" Id="rId1780" /><Relationship Type="http://schemas.openxmlformats.org/officeDocument/2006/relationships/hyperlink" Target="https://mstgolf.co.th/products/gf3010401061" TargetMode="External" Id="rId1781" /><Relationship Type="http://schemas.openxmlformats.org/officeDocument/2006/relationships/hyperlink" Target="https://mstgolf.co.th/products/gf3010401060" TargetMode="External" Id="rId1782" /><Relationship Type="http://schemas.openxmlformats.org/officeDocument/2006/relationships/hyperlink" Target="https://mstgolf.co.th/products/gf3010101252" TargetMode="External" Id="rId1783" /><Relationship Type="http://schemas.openxmlformats.org/officeDocument/2006/relationships/hyperlink" Target="https://mstgolf.co.th/products/gf3010400810" TargetMode="External" Id="rId1784" /><Relationship Type="http://schemas.openxmlformats.org/officeDocument/2006/relationships/hyperlink" Target="https://mstgolf.co.th/products/gf3010401119" TargetMode="External" Id="rId1785" /><Relationship Type="http://schemas.openxmlformats.org/officeDocument/2006/relationships/hyperlink" Target="https://mstgolf.co.th/products/gf3010200524" TargetMode="External" Id="rId1786" /><Relationship Type="http://schemas.openxmlformats.org/officeDocument/2006/relationships/hyperlink" Target="https://mstgolf.co.th/products/gf3010400999" TargetMode="External" Id="rId1787" /><Relationship Type="http://schemas.openxmlformats.org/officeDocument/2006/relationships/hyperlink" Target="https://mstgolf.co.th/products/gf3010401003" TargetMode="External" Id="rId1788" /><Relationship Type="http://schemas.openxmlformats.org/officeDocument/2006/relationships/hyperlink" Target="https://mstgolf.co.th/products/gf3200300059" TargetMode="External" Id="rId1789" /><Relationship Type="http://schemas.openxmlformats.org/officeDocument/2006/relationships/hyperlink" Target="https://mstgolf.co.th/products/gf3200200230" TargetMode="External" Id="rId1790" /><Relationship Type="http://schemas.openxmlformats.org/officeDocument/2006/relationships/hyperlink" Target="https://mstgolf.co.th/products/gf3010401158" TargetMode="External" Id="rId1791" /><Relationship Type="http://schemas.openxmlformats.org/officeDocument/2006/relationships/hyperlink" Target="https://mstgolf.co.th/products/gf3010400765" TargetMode="External" Id="rId1792" /><Relationship Type="http://schemas.openxmlformats.org/officeDocument/2006/relationships/hyperlink" Target="https://mstgolf.co.th/products/gf3010101219" TargetMode="External" Id="rId1793" /><Relationship Type="http://schemas.openxmlformats.org/officeDocument/2006/relationships/hyperlink" Target="https://mstgolf.co.th/products/gf3020100163" TargetMode="External" Id="rId1794" /><Relationship Type="http://schemas.openxmlformats.org/officeDocument/2006/relationships/hyperlink" Target="https://mstgolf.co.th/products/gf3040100116" TargetMode="External" Id="rId1795" /><Relationship Type="http://schemas.openxmlformats.org/officeDocument/2006/relationships/hyperlink" Target="https://mstgolf.co.th/products/gf3010400806" TargetMode="External" Id="rId1796" /><Relationship Type="http://schemas.openxmlformats.org/officeDocument/2006/relationships/hyperlink" Target="https://mstgolf.co.th/products/gf3010200544" TargetMode="External" Id="rId1797" /><Relationship Type="http://schemas.openxmlformats.org/officeDocument/2006/relationships/hyperlink" Target="https://mstgolf.co.th/products/gf3010200664" TargetMode="External" Id="rId1798" /><Relationship Type="http://schemas.openxmlformats.org/officeDocument/2006/relationships/hyperlink" Target="https://mstgolf.co.th/products/gf3200200171" TargetMode="External" Id="rId1799" /><Relationship Type="http://schemas.openxmlformats.org/officeDocument/2006/relationships/hyperlink" Target="https://mstgolf.co.th/products/gf3020100147" TargetMode="External" Id="rId1800" /><Relationship Type="http://schemas.openxmlformats.org/officeDocument/2006/relationships/hyperlink" Target="https://mstgolf.co.th/products/gf3010300344" TargetMode="External" Id="rId1801" /><Relationship Type="http://schemas.openxmlformats.org/officeDocument/2006/relationships/hyperlink" Target="https://mstgolf.co.th/products/gf3020200719" TargetMode="External" Id="rId1802" /><Relationship Type="http://schemas.openxmlformats.org/officeDocument/2006/relationships/hyperlink" Target="https://mstgolf.co.th/products/gf3040100099" TargetMode="External" Id="rId1803" /><Relationship Type="http://schemas.openxmlformats.org/officeDocument/2006/relationships/hyperlink" Target="https://mstgolf.co.th/products/gf3500300404" TargetMode="External" Id="rId1804" /><Relationship Type="http://schemas.openxmlformats.org/officeDocument/2006/relationships/hyperlink" Target="https://mstgolf.co.th/products/gf3010200440" TargetMode="External" Id="rId1805" /><Relationship Type="http://schemas.openxmlformats.org/officeDocument/2006/relationships/hyperlink" Target="https://mstgolf.co.th/products/gf3010200613" TargetMode="External" Id="rId1806" /><Relationship Type="http://schemas.openxmlformats.org/officeDocument/2006/relationships/hyperlink" Target="https://mstgolf.co.th/products/gf3010200614" TargetMode="External" Id="rId1807" /><Relationship Type="http://schemas.openxmlformats.org/officeDocument/2006/relationships/hyperlink" Target="https://mstgolf.co.th/products/gf3200200190" TargetMode="External" Id="rId1808" /><Relationship Type="http://schemas.openxmlformats.org/officeDocument/2006/relationships/hyperlink" Target="https://mstgolf.co.th/products/gf3010200668" TargetMode="External" Id="rId1809" /><Relationship Type="http://schemas.openxmlformats.org/officeDocument/2006/relationships/hyperlink" Target="https://mstgolf.co.th/products/gf3010200420" TargetMode="External" Id="rId1810" /><Relationship Type="http://schemas.openxmlformats.org/officeDocument/2006/relationships/hyperlink" Target="https://mstgolf.co.th/products/gf3010200421" TargetMode="External" Id="rId1811" /><Relationship Type="http://schemas.openxmlformats.org/officeDocument/2006/relationships/hyperlink" Target="https://mstgolf.co.th/products/gf3020200669" TargetMode="External" Id="rId1812" /><Relationship Type="http://schemas.openxmlformats.org/officeDocument/2006/relationships/hyperlink" Target="https://mstgolf.co.th/products/gf3010400910" TargetMode="External" Id="rId1813" /><Relationship Type="http://schemas.openxmlformats.org/officeDocument/2006/relationships/hyperlink" Target="https://mstgolf.co.th/products/gf3500300394" TargetMode="External" Id="rId1814" /><Relationship Type="http://schemas.openxmlformats.org/officeDocument/2006/relationships/hyperlink" Target="https://mstgolf.co.th/products/gf3500300395" TargetMode="External" Id="rId1815" /><Relationship Type="http://schemas.openxmlformats.org/officeDocument/2006/relationships/hyperlink" Target="https://mstgolf.co.th/products/gf3040100087" TargetMode="External" Id="rId1816" /><Relationship Type="http://schemas.openxmlformats.org/officeDocument/2006/relationships/hyperlink" Target="https://mstgolf.co.th/products/gf3040100086" TargetMode="External" Id="rId1817" /><Relationship Type="http://schemas.openxmlformats.org/officeDocument/2006/relationships/hyperlink" Target="https://mstgolf.co.th/products/gf3040100089" TargetMode="External" Id="rId1818" /><Relationship Type="http://schemas.openxmlformats.org/officeDocument/2006/relationships/hyperlink" Target="https://mstgolf.co.th/products/gf3010400984" TargetMode="External" Id="rId1819" /><Relationship Type="http://schemas.openxmlformats.org/officeDocument/2006/relationships/hyperlink" Target="https://mstgolf.co.th/products/gf3010400985" TargetMode="External" Id="rId1820" /><Relationship Type="http://schemas.openxmlformats.org/officeDocument/2006/relationships/hyperlink" Target="https://mstgolf.co.th/products/gf3040100123" TargetMode="External" Id="rId1821" /><Relationship Type="http://schemas.openxmlformats.org/officeDocument/2006/relationships/hyperlink" Target="https://mstgolf.co.th/products/gf3040200090" TargetMode="External" Id="rId1822" /><Relationship Type="http://schemas.openxmlformats.org/officeDocument/2006/relationships/hyperlink" Target="https://mstgolf.co.th/products/gf3020200646" TargetMode="External" Id="rId1823" /><Relationship Type="http://schemas.openxmlformats.org/officeDocument/2006/relationships/hyperlink" Target="https://mstgolf.co.th/products/gf3020200645" TargetMode="External" Id="rId1824" /><Relationship Type="http://schemas.openxmlformats.org/officeDocument/2006/relationships/hyperlink" Target="https://mstgolf.co.th/products/gf3020200672" TargetMode="External" Id="rId1825" /><Relationship Type="http://schemas.openxmlformats.org/officeDocument/2006/relationships/hyperlink" Target="https://mstgolf.co.th/products/gf3020200610" TargetMode="External" Id="rId1826" /><Relationship Type="http://schemas.openxmlformats.org/officeDocument/2006/relationships/hyperlink" Target="https://mstgolf.co.th/products/gf3020200704" TargetMode="External" Id="rId1827" /><Relationship Type="http://schemas.openxmlformats.org/officeDocument/2006/relationships/hyperlink" Target="https://mstgolf.co.th/products/gf3020200665" TargetMode="External" Id="rId1828" /><Relationship Type="http://schemas.openxmlformats.org/officeDocument/2006/relationships/hyperlink" Target="https://mstgolf.co.th/products/gf3020100225" TargetMode="External" Id="rId1829" /><Relationship Type="http://schemas.openxmlformats.org/officeDocument/2006/relationships/hyperlink" Target="https://mstgolf.co.th/products/gf3020200421" TargetMode="External" Id="rId1830" /><Relationship Type="http://schemas.openxmlformats.org/officeDocument/2006/relationships/hyperlink" Target="https://mstgolf.co.th/products/gf3010200534" TargetMode="External" Id="rId1831" /><Relationship Type="http://schemas.openxmlformats.org/officeDocument/2006/relationships/hyperlink" Target="https://mstgolf.co.th/products/gf3020200678" TargetMode="External" Id="rId1832" /><Relationship Type="http://schemas.openxmlformats.org/officeDocument/2006/relationships/hyperlink" Target="https://mstgolf.co.th/products/gf3020200698" TargetMode="External" Id="rId1833" /><Relationship Type="http://schemas.openxmlformats.org/officeDocument/2006/relationships/hyperlink" Target="https://mstgolf.co.th/products/gf3020200717" TargetMode="External" Id="rId1834" /><Relationship Type="http://schemas.openxmlformats.org/officeDocument/2006/relationships/hyperlink" Target="https://mstgolf.co.th/products/gf3030200209" TargetMode="External" Id="rId1835" /><Relationship Type="http://schemas.openxmlformats.org/officeDocument/2006/relationships/hyperlink" Target="https://mstgolf.co.th/products/gf3030200134" TargetMode="External" Id="rId1836" /><Relationship Type="http://schemas.openxmlformats.org/officeDocument/2006/relationships/hyperlink" Target="https://mstgolf.co.th/products/gf3020200628" TargetMode="External" Id="rId1837" /><Relationship Type="http://schemas.openxmlformats.org/officeDocument/2006/relationships/hyperlink" Target="https://mstgolf.co.th/products/gf3020200715" TargetMode="External" Id="rId1838" /><Relationship Type="http://schemas.openxmlformats.org/officeDocument/2006/relationships/hyperlink" Target="https://mstgolf.co.th/products/gf3010101343" TargetMode="External" Id="rId1839" /><Relationship Type="http://schemas.openxmlformats.org/officeDocument/2006/relationships/hyperlink" Target="https://mstgolf.co.th/products/gf2040300153" TargetMode="External" Id="rId1840" /><Relationship Type="http://schemas.openxmlformats.org/officeDocument/2006/relationships/hyperlink" Target="https://mstgolf.co.th/products/gf2060100928" TargetMode="External" Id="rId1841" /><Relationship Type="http://schemas.openxmlformats.org/officeDocument/2006/relationships/hyperlink" Target="https://mstgolf.co.th/products/gf2040300180" TargetMode="External" Id="rId1842" /><Relationship Type="http://schemas.openxmlformats.org/officeDocument/2006/relationships/hyperlink" Target="https://mstgolf.co.th/products/gf2040300181" TargetMode="External" Id="rId1843" /><Relationship Type="http://schemas.openxmlformats.org/officeDocument/2006/relationships/hyperlink" Target="https://mstgolf.co.th/products/gf2060100874" TargetMode="External" Id="rId1844" /><Relationship Type="http://schemas.openxmlformats.org/officeDocument/2006/relationships/hyperlink" Target="https://mstgolf.co.th/products/gf2020300076" TargetMode="External" Id="rId1845" /><Relationship Type="http://schemas.openxmlformats.org/officeDocument/2006/relationships/hyperlink" Target="https://mstgolf.co.th/products/gf2060101001" TargetMode="External" Id="rId1846" /><Relationship Type="http://schemas.openxmlformats.org/officeDocument/2006/relationships/hyperlink" Target="https://mstgolf.co.th/products/gf2060101268" TargetMode="External" Id="rId1847" /><Relationship Type="http://schemas.openxmlformats.org/officeDocument/2006/relationships/hyperlink" Target="https://mstgolf.co.th/products/gf2020101944" TargetMode="External" Id="rId1848" /><Relationship Type="http://schemas.openxmlformats.org/officeDocument/2006/relationships/hyperlink" Target="https://mstgolf.co.th/products/gf2020202107" TargetMode="External" Id="rId1849" /><Relationship Type="http://schemas.openxmlformats.org/officeDocument/2006/relationships/hyperlink" Target="https://mstgolf.co.th/products/gf2040401364" TargetMode="External" Id="rId1850" /><Relationship Type="http://schemas.openxmlformats.org/officeDocument/2006/relationships/hyperlink" Target="https://mstgolf.co.th/products/gf2060101005" TargetMode="External" Id="rId1851" /><Relationship Type="http://schemas.openxmlformats.org/officeDocument/2006/relationships/hyperlink" Target="https://mstgolf.co.th/products/gf2060101006" TargetMode="External" Id="rId1852" /><Relationship Type="http://schemas.openxmlformats.org/officeDocument/2006/relationships/hyperlink" Target="https://mstgolf.co.th/products/gf2041200334" TargetMode="External" Id="rId1853" /><Relationship Type="http://schemas.openxmlformats.org/officeDocument/2006/relationships/hyperlink" Target="https://mstgolf.co.th/products/gf2020300074" TargetMode="External" Id="rId1854" /><Relationship Type="http://schemas.openxmlformats.org/officeDocument/2006/relationships/hyperlink" Target="https://mstgolf.co.th/products/gf2040119994" TargetMode="External" Id="rId1855" /><Relationship Type="http://schemas.openxmlformats.org/officeDocument/2006/relationships/hyperlink" Target="https://mstgolf.co.th/products/gf3130100403" TargetMode="External" Id="rId1856" /><Relationship Type="http://schemas.openxmlformats.org/officeDocument/2006/relationships/hyperlink" Target="https://mstgolf.co.th/products/gf2040401358" TargetMode="External" Id="rId1857" /><Relationship Type="http://schemas.openxmlformats.org/officeDocument/2006/relationships/hyperlink" Target="https://mstgolf.co.th/products/gf2040119726" TargetMode="External" Id="rId1858" /><Relationship Type="http://schemas.openxmlformats.org/officeDocument/2006/relationships/hyperlink" Target="https://mstgolf.co.th/products/gf2060101173" TargetMode="External" Id="rId1859" /><Relationship Type="http://schemas.openxmlformats.org/officeDocument/2006/relationships/hyperlink" Target="https://mstgolf.co.th/products/gf2040118031" TargetMode="External" Id="rId1860" /><Relationship Type="http://schemas.openxmlformats.org/officeDocument/2006/relationships/hyperlink" Target="https://mstgolf.co.th/products/gf2020300081" TargetMode="External" Id="rId1861" /><Relationship Type="http://schemas.openxmlformats.org/officeDocument/2006/relationships/hyperlink" Target="https://mstgolf.co.th/products/gf2040118235" TargetMode="External" Id="rId1862" /><Relationship Type="http://schemas.openxmlformats.org/officeDocument/2006/relationships/hyperlink" Target="https://mstgolf.co.th/products/gf2040118241" TargetMode="External" Id="rId1863" /><Relationship Type="http://schemas.openxmlformats.org/officeDocument/2006/relationships/hyperlink" Target="https://mstgolf.co.th/products/gf2040119983" TargetMode="External" Id="rId1864" /><Relationship Type="http://schemas.openxmlformats.org/officeDocument/2006/relationships/hyperlink" Target="https://mstgolf.co.th/products/gf2040300198" TargetMode="External" Id="rId1865" /><Relationship Type="http://schemas.openxmlformats.org/officeDocument/2006/relationships/hyperlink" Target="https://mstgolf.co.th/products/gf2020102718" TargetMode="External" Id="rId1866" /><Relationship Type="http://schemas.openxmlformats.org/officeDocument/2006/relationships/hyperlink" Target="https://mstgolf.co.th/products/gf2020102719" TargetMode="External" Id="rId1867" /><Relationship Type="http://schemas.openxmlformats.org/officeDocument/2006/relationships/hyperlink" Target="https://mstgolf.co.th/products/gf2020102717" TargetMode="External" Id="rId1868" /><Relationship Type="http://schemas.openxmlformats.org/officeDocument/2006/relationships/hyperlink" Target="https://mstgolf.co.th/products/gf2040118030" TargetMode="External" Id="rId1869" /><Relationship Type="http://schemas.openxmlformats.org/officeDocument/2006/relationships/hyperlink" Target="https://mstgolf.co.th/products/gf2040118033" TargetMode="External" Id="rId1870" /><Relationship Type="http://schemas.openxmlformats.org/officeDocument/2006/relationships/hyperlink" Target="https://mstgolf.co.th/products/gf2020102531" TargetMode="External" Id="rId1871" /><Relationship Type="http://schemas.openxmlformats.org/officeDocument/2006/relationships/hyperlink" Target="https://mstgolf.co.th/products/gf2060101274" TargetMode="External" Id="rId1872" /><Relationship Type="http://schemas.openxmlformats.org/officeDocument/2006/relationships/hyperlink" Target="https://mstgolf.co.th/products/gf2040120620" TargetMode="External" Id="rId1873" /><Relationship Type="http://schemas.openxmlformats.org/officeDocument/2006/relationships/hyperlink" Target="https://mstgolf.co.th/products/gf2000300357" TargetMode="External" Id="rId1874" /><Relationship Type="http://schemas.openxmlformats.org/officeDocument/2006/relationships/hyperlink" Target="https://mstgolf.co.th/products/gf2000300284" TargetMode="External" Id="rId1875" /><Relationship Type="http://schemas.openxmlformats.org/officeDocument/2006/relationships/hyperlink" Target="https://mstgolf.co.th/products/gf2060101004" TargetMode="External" Id="rId1876" /><Relationship Type="http://schemas.openxmlformats.org/officeDocument/2006/relationships/hyperlink" Target="https://mstgolf.co.th/products/gf3500500010" TargetMode="External" Id="rId1877" /><Relationship Type="http://schemas.openxmlformats.org/officeDocument/2006/relationships/hyperlink" Target="https://mstgolf.co.th/products/gf3500500011" TargetMode="External" Id="rId1878" /><Relationship Type="http://schemas.openxmlformats.org/officeDocument/2006/relationships/hyperlink" Target="https://mstgolf.co.th/products/gf2040401324" TargetMode="External" Id="rId1879" /><Relationship Type="http://schemas.openxmlformats.org/officeDocument/2006/relationships/hyperlink" Target="https://mstgolf.co.th/products/gf2040114415" TargetMode="External" Id="rId1880" /><Relationship Type="http://schemas.openxmlformats.org/officeDocument/2006/relationships/hyperlink" Target="https://mstgolf.co.th/products/gf2040114414" TargetMode="External" Id="rId1881" /><Relationship Type="http://schemas.openxmlformats.org/officeDocument/2006/relationships/hyperlink" Target="https://mstgolf.co.th/products/gf2040113755" TargetMode="External" Id="rId1882" /><Relationship Type="http://schemas.openxmlformats.org/officeDocument/2006/relationships/hyperlink" Target="https://mstgolf.co.th/products/gf2060100844" TargetMode="External" Id="rId1883" /><Relationship Type="http://schemas.openxmlformats.org/officeDocument/2006/relationships/hyperlink" Target="https://mstgolf.co.th/products/gf2060100918" TargetMode="External" Id="rId1884" /><Relationship Type="http://schemas.openxmlformats.org/officeDocument/2006/relationships/hyperlink" Target="https://mstgolf.co.th/products/gf2040118245" TargetMode="External" Id="rId1885" /><Relationship Type="http://schemas.openxmlformats.org/officeDocument/2006/relationships/hyperlink" Target="https://mstgolf.co.th/products/gf2040119743" TargetMode="External" Id="rId1886" /><Relationship Type="http://schemas.openxmlformats.org/officeDocument/2006/relationships/hyperlink" Target="https://mstgolf.co.th/products/gf2040119746" TargetMode="External" Id="rId1887" /><Relationship Type="http://schemas.openxmlformats.org/officeDocument/2006/relationships/hyperlink" Target="https://mstgolf.co.th/products/gf2060101054" TargetMode="External" Id="rId1888" /><Relationship Type="http://schemas.openxmlformats.org/officeDocument/2006/relationships/hyperlink" Target="https://mstgolf.co.th/products/gf2040120616" TargetMode="External" Id="rId1889" /><Relationship Type="http://schemas.openxmlformats.org/officeDocument/2006/relationships/hyperlink" Target="https://mstgolf.co.th/products/gf2020102534" TargetMode="External" Id="rId1890" /><Relationship Type="http://schemas.openxmlformats.org/officeDocument/2006/relationships/hyperlink" Target="https://mstgolf.co.th/products/gf2020102536" TargetMode="External" Id="rId1891" /><Relationship Type="http://schemas.openxmlformats.org/officeDocument/2006/relationships/hyperlink" Target="https://mstgolf.co.th/products/gf2020300080" TargetMode="External" Id="rId1892" /><Relationship Type="http://schemas.openxmlformats.org/officeDocument/2006/relationships/hyperlink" Target="https://mstgolf.co.th/products/gf2020202741" TargetMode="External" Id="rId1893" /><Relationship Type="http://schemas.openxmlformats.org/officeDocument/2006/relationships/hyperlink" Target="https://mstgolf.co.th/products/gf2020300079" TargetMode="External" Id="rId1894" /><Relationship Type="http://schemas.openxmlformats.org/officeDocument/2006/relationships/hyperlink" Target="https://mstgolf.co.th/products/gf2040118762" TargetMode="External" Id="rId1895" /><Relationship Type="http://schemas.openxmlformats.org/officeDocument/2006/relationships/hyperlink" Target="https://mstgolf.co.th/products/gf2040401499" TargetMode="External" Id="rId1896" /><Relationship Type="http://schemas.openxmlformats.org/officeDocument/2006/relationships/hyperlink" Target="https://mstgolf.co.th/products/gf2040401394" TargetMode="External" Id="rId1897" /><Relationship Type="http://schemas.openxmlformats.org/officeDocument/2006/relationships/hyperlink" Target="https://mstgolf.co.th/products/gf2020201804" TargetMode="External" Id="rId1898" /><Relationship Type="http://schemas.openxmlformats.org/officeDocument/2006/relationships/hyperlink" Target="https://mstgolf.co.th/products/gf2040115648" TargetMode="External" Id="rId1899" /><Relationship Type="http://schemas.openxmlformats.org/officeDocument/2006/relationships/hyperlink" Target="https://mstgolf.co.th/products/gf2040118018" TargetMode="External" Id="rId1900" /><Relationship Type="http://schemas.openxmlformats.org/officeDocument/2006/relationships/hyperlink" Target="https://mstgolf.co.th/products/gf2020202444" TargetMode="External" Id="rId1901" /><Relationship Type="http://schemas.openxmlformats.org/officeDocument/2006/relationships/hyperlink" Target="https://mstgolf.co.th/products/gf2040118035" TargetMode="External" Id="rId1902" /><Relationship Type="http://schemas.openxmlformats.org/officeDocument/2006/relationships/hyperlink" Target="https://mstgolf.co.th/products/gf2020300040" TargetMode="External" Id="rId1903" /><Relationship Type="http://schemas.openxmlformats.org/officeDocument/2006/relationships/hyperlink" Target="https://mstgolf.co.th/products/gf2040300140" TargetMode="External" Id="rId1904" /><Relationship Type="http://schemas.openxmlformats.org/officeDocument/2006/relationships/hyperlink" Target="https://mstgolf.co.th/products/gf2040401381" TargetMode="External" Id="rId1905" /><Relationship Type="http://schemas.openxmlformats.org/officeDocument/2006/relationships/hyperlink" Target="https://mstgolf.co.th/products/gf2020300077" TargetMode="External" Id="rId1906" /><Relationship Type="http://schemas.openxmlformats.org/officeDocument/2006/relationships/hyperlink" Target="https://mstgolf.co.th/products/gf2020300078" TargetMode="External" Id="rId1907" /><Relationship Type="http://schemas.openxmlformats.org/officeDocument/2006/relationships/hyperlink" Target="https://mstgolf.co.th/products/gf2020102461" TargetMode="External" Id="rId1908" /><Relationship Type="http://schemas.openxmlformats.org/officeDocument/2006/relationships/hyperlink" Target="https://mstgolf.co.th/products/gf2020102462" TargetMode="External" Id="rId1909" /><Relationship Type="http://schemas.openxmlformats.org/officeDocument/2006/relationships/hyperlink" Target="https://mstgolf.co.th/products/gf2040121638" TargetMode="External" Id="rId1910" /><Relationship Type="http://schemas.openxmlformats.org/officeDocument/2006/relationships/hyperlink" Target="https://mstgolf.co.th/products/gf2020102720" TargetMode="External" Id="rId1911" /><Relationship Type="http://schemas.openxmlformats.org/officeDocument/2006/relationships/hyperlink" Target="https://mstgolf.co.th/products/gf2040121655" TargetMode="External" Id="rId1912" /><Relationship Type="http://schemas.openxmlformats.org/officeDocument/2006/relationships/hyperlink" Target="https://mstgolf.co.th/products/gf2040114413" TargetMode="External" Id="rId1913" /><Relationship Type="http://schemas.openxmlformats.org/officeDocument/2006/relationships/hyperlink" Target="https://mstgolf.co.th/products/gf2020201650" TargetMode="External" Id="rId1914" /><Relationship Type="http://schemas.openxmlformats.org/officeDocument/2006/relationships/hyperlink" Target="https://mstgolf.co.th/products/gf2020201649" TargetMode="External" Id="rId1915" /><Relationship Type="http://schemas.openxmlformats.org/officeDocument/2006/relationships/hyperlink" Target="https://mstgolf.co.th/products/gf2040119975" TargetMode="External" Id="rId1916" /><Relationship Type="http://schemas.openxmlformats.org/officeDocument/2006/relationships/hyperlink" Target="https://mstgolf.co.th/products/gf2040200102" TargetMode="External" Id="rId1917" /><Relationship Type="http://schemas.openxmlformats.org/officeDocument/2006/relationships/hyperlink" Target="https://mstgolf.co.th/products/gf2040400898" TargetMode="External" Id="rId1918" /><Relationship Type="http://schemas.openxmlformats.org/officeDocument/2006/relationships/hyperlink" Target="https://mstgolf.co.th/products/gf2020102687" TargetMode="External" Id="rId1919" /><Relationship Type="http://schemas.openxmlformats.org/officeDocument/2006/relationships/hyperlink" Target="https://mstgolf.co.th/products/gf2040120612" TargetMode="External" Id="rId1920" /><Relationship Type="http://schemas.openxmlformats.org/officeDocument/2006/relationships/hyperlink" Target="https://mstgolf.co.th/products/gf2020102414" TargetMode="External" Id="rId1921" /><Relationship Type="http://schemas.openxmlformats.org/officeDocument/2006/relationships/hyperlink" Target="https://mstgolf.co.th/products/gf2020102413" TargetMode="External" Id="rId1922" /><Relationship Type="http://schemas.openxmlformats.org/officeDocument/2006/relationships/hyperlink" Target="https://mstgolf.co.th/products/gf2040119192" TargetMode="External" Id="rId1923" /><Relationship Type="http://schemas.openxmlformats.org/officeDocument/2006/relationships/hyperlink" Target="https://mstgolf.co.th/products/gf2020202717" TargetMode="External" Id="rId1924" /><Relationship Type="http://schemas.openxmlformats.org/officeDocument/2006/relationships/hyperlink" Target="https://mstgolf.co.th/products/gf2020202715" TargetMode="External" Id="rId1925" /><Relationship Type="http://schemas.openxmlformats.org/officeDocument/2006/relationships/hyperlink" Target="https://mstgolf.co.th/products/gf2060101289" TargetMode="External" Id="rId1926" /><Relationship Type="http://schemas.openxmlformats.org/officeDocument/2006/relationships/hyperlink" Target="https://mstgolf.co.th/products/gf2060101270" TargetMode="External" Id="rId1927" /><Relationship Type="http://schemas.openxmlformats.org/officeDocument/2006/relationships/hyperlink" Target="https://mstgolf.co.th/products/gf3500600002" TargetMode="External" Id="rId1928" /><Relationship Type="http://schemas.openxmlformats.org/officeDocument/2006/relationships/hyperlink" Target="https://mstgolf.co.th/products/gf2040121649" TargetMode="External" Id="rId1929" /><Relationship Type="http://schemas.openxmlformats.org/officeDocument/2006/relationships/hyperlink" Target="https://mstgolf.co.th/products/gf2040121643" TargetMode="External" Id="rId1930" /><Relationship Type="http://schemas.openxmlformats.org/officeDocument/2006/relationships/hyperlink" Target="https://mstgolf.co.th/products/gf2020202911" TargetMode="External" Id="rId1931" /><Relationship Type="http://schemas.openxmlformats.org/officeDocument/2006/relationships/hyperlink" Target="https://mstgolf.co.th/products/gf2020202912" TargetMode="External" Id="rId1932" /><Relationship Type="http://schemas.openxmlformats.org/officeDocument/2006/relationships/hyperlink" Target="https://mstgolf.co.th/products/gf2040121640" TargetMode="External" Id="rId1933" /><Relationship Type="http://schemas.openxmlformats.org/officeDocument/2006/relationships/hyperlink" Target="https://mstgolf.co.th/products/gf2060101272" TargetMode="External" Id="rId1934" /><Relationship Type="http://schemas.openxmlformats.org/officeDocument/2006/relationships/hyperlink" Target="https://mstgolf.co.th/products/gf2060101273" TargetMode="External" Id="rId1935" /><Relationship Type="http://schemas.openxmlformats.org/officeDocument/2006/relationships/hyperlink" Target="https://mstgolf.co.th/products/gf2020102624" TargetMode="External" Id="rId1936" /><Relationship Type="http://schemas.openxmlformats.org/officeDocument/2006/relationships/hyperlink" Target="https://mstgolf.co.th/products/gf2040117838" TargetMode="External" Id="rId1937" /><Relationship Type="http://schemas.openxmlformats.org/officeDocument/2006/relationships/hyperlink" Target="https://mstgolf.co.th/products/gf2040115646" TargetMode="External" Id="rId1938" /><Relationship Type="http://schemas.openxmlformats.org/officeDocument/2006/relationships/hyperlink" Target="https://mstgolf.co.th/products/gf2020102312" TargetMode="External" Id="rId1939" /><Relationship Type="http://schemas.openxmlformats.org/officeDocument/2006/relationships/hyperlink" Target="https://mstgolf.co.th/products/gf2040118010" TargetMode="External" Id="rId1940" /><Relationship Type="http://schemas.openxmlformats.org/officeDocument/2006/relationships/hyperlink" Target="https://mstgolf.co.th/products/gf2040118004" TargetMode="External" Id="rId1941" /><Relationship Type="http://schemas.openxmlformats.org/officeDocument/2006/relationships/hyperlink" Target="https://mstgolf.co.th/products/gf2040118024" TargetMode="External" Id="rId1942" /><Relationship Type="http://schemas.openxmlformats.org/officeDocument/2006/relationships/hyperlink" Target="https://mstgolf.co.th/products/gf2020102216" TargetMode="External" Id="rId1943" /><Relationship Type="http://schemas.openxmlformats.org/officeDocument/2006/relationships/hyperlink" Target="https://mstgolf.co.th/products/gf2020102454" TargetMode="External" Id="rId1944" /><Relationship Type="http://schemas.openxmlformats.org/officeDocument/2006/relationships/hyperlink" Target="https://mstgolf.co.th/products/gf2020102455" TargetMode="External" Id="rId1945" /><Relationship Type="http://schemas.openxmlformats.org/officeDocument/2006/relationships/hyperlink" Target="https://mstgolf.co.th/products/gf2040119742" TargetMode="External" Id="rId1946" /><Relationship Type="http://schemas.openxmlformats.org/officeDocument/2006/relationships/hyperlink" Target="https://mstgolf.co.th/products/gf2060101265" TargetMode="External" Id="rId1947" /><Relationship Type="http://schemas.openxmlformats.org/officeDocument/2006/relationships/hyperlink" Target="https://mstgolf.co.th/products/gf2020102329" TargetMode="External" Id="rId1948" /><Relationship Type="http://schemas.openxmlformats.org/officeDocument/2006/relationships/hyperlink" Target="https://mstgolf.co.th/products/gf2020102328" TargetMode="External" Id="rId1949" /><Relationship Type="http://schemas.openxmlformats.org/officeDocument/2006/relationships/hyperlink" Target="https://mstgolf.co.th/products/gf2020102330" TargetMode="External" Id="rId1950" /><Relationship Type="http://schemas.openxmlformats.org/officeDocument/2006/relationships/hyperlink" Target="https://mstgolf.co.th/products/gf2041200338" TargetMode="External" Id="rId1951" /><Relationship Type="http://schemas.openxmlformats.org/officeDocument/2006/relationships/hyperlink" Target="https://mstgolf.co.th/products/gf2060101297" TargetMode="External" Id="rId1952" /><Relationship Type="http://schemas.openxmlformats.org/officeDocument/2006/relationships/hyperlink" Target="https://mstgolf.co.th/products/gf2040119977" TargetMode="External" Id="rId1953" /><Relationship Type="http://schemas.openxmlformats.org/officeDocument/2006/relationships/hyperlink" Target="https://mstgolf.co.th/products/gf2060100996" TargetMode="External" Id="rId1954" /><Relationship Type="http://schemas.openxmlformats.org/officeDocument/2006/relationships/hyperlink" Target="https://mstgolf.co.th/products/gf2060100997" TargetMode="External" Id="rId1955" /><Relationship Type="http://schemas.openxmlformats.org/officeDocument/2006/relationships/hyperlink" Target="https://mstgolf.co.th/products/gf2040118262" TargetMode="External" Id="rId1956" /><Relationship Type="http://schemas.openxmlformats.org/officeDocument/2006/relationships/hyperlink" Target="https://mstgolf.co.th/products/gf2040118266" TargetMode="External" Id="rId1957" /><Relationship Type="http://schemas.openxmlformats.org/officeDocument/2006/relationships/hyperlink" Target="https://mstgolf.co.th/products/gf2060101218" TargetMode="External" Id="rId1958" /><Relationship Type="http://schemas.openxmlformats.org/officeDocument/2006/relationships/hyperlink" Target="https://mstgolf.co.th/products/gf2040401395" TargetMode="External" Id="rId1959" /><Relationship Type="http://schemas.openxmlformats.org/officeDocument/2006/relationships/hyperlink" Target="https://mstgolf.co.th/products/gf2020102652" TargetMode="External" Id="rId1960" /><Relationship Type="http://schemas.openxmlformats.org/officeDocument/2006/relationships/hyperlink" Target="https://mstgolf.co.th/products/gf2020102651" TargetMode="External" Id="rId1961" /><Relationship Type="http://schemas.openxmlformats.org/officeDocument/2006/relationships/hyperlink" Target="https://mstgolf.co.th/products/gf2000105458" TargetMode="External" Id="rId1962" /><Relationship Type="http://schemas.openxmlformats.org/officeDocument/2006/relationships/hyperlink" Target="https://mstgolf.co.th/products/gf2060100920" TargetMode="External" Id="rId1963" /><Relationship Type="http://schemas.openxmlformats.org/officeDocument/2006/relationships/hyperlink" Target="https://mstgolf.co.th/products/gf2060100957" TargetMode="External" Id="rId1964" /><Relationship Type="http://schemas.openxmlformats.org/officeDocument/2006/relationships/hyperlink" Target="https://mstgolf.co.th/products/gf2020202449" TargetMode="External" Id="rId1965" /><Relationship Type="http://schemas.openxmlformats.org/officeDocument/2006/relationships/hyperlink" Target="https://mstgolf.co.th/products/gf2040118037" TargetMode="External" Id="rId1966" /><Relationship Type="http://schemas.openxmlformats.org/officeDocument/2006/relationships/hyperlink" Target="https://mstgolf.co.th/products/gf2040118002" TargetMode="External" Id="rId1967" /><Relationship Type="http://schemas.openxmlformats.org/officeDocument/2006/relationships/hyperlink" Target="https://mstgolf.co.th/products/gf2040118003" TargetMode="External" Id="rId1968" /><Relationship Type="http://schemas.openxmlformats.org/officeDocument/2006/relationships/hyperlink" Target="https://mstgolf.co.th/products/gf2040401201" TargetMode="External" Id="rId1969" /><Relationship Type="http://schemas.openxmlformats.org/officeDocument/2006/relationships/hyperlink" Target="https://mstgolf.co.th/products/gf2040118009" TargetMode="External" Id="rId1970" /><Relationship Type="http://schemas.openxmlformats.org/officeDocument/2006/relationships/hyperlink" Target="https://mstgolf.co.th/products/gf2040118008" TargetMode="External" Id="rId1971" /><Relationship Type="http://schemas.openxmlformats.org/officeDocument/2006/relationships/hyperlink" Target="https://mstgolf.co.th/products/gf2040118025" TargetMode="External" Id="rId1972" /><Relationship Type="http://schemas.openxmlformats.org/officeDocument/2006/relationships/hyperlink" Target="https://mstgolf.co.th/products/gf2020102213" TargetMode="External" Id="rId1973" /><Relationship Type="http://schemas.openxmlformats.org/officeDocument/2006/relationships/hyperlink" Target="https://mstgolf.co.th/products/gf2040119698" TargetMode="External" Id="rId1974" /><Relationship Type="http://schemas.openxmlformats.org/officeDocument/2006/relationships/hyperlink" Target="https://mstgolf.co.th/products/gf2080100898" TargetMode="External" Id="rId1975" /><Relationship Type="http://schemas.openxmlformats.org/officeDocument/2006/relationships/hyperlink" Target="https://mstgolf.co.th/products/gf2040119765" TargetMode="External" Id="rId1976" /><Relationship Type="http://schemas.openxmlformats.org/officeDocument/2006/relationships/hyperlink" Target="https://mstgolf.co.th/products/gf2040119764" TargetMode="External" Id="rId1977" /><Relationship Type="http://schemas.openxmlformats.org/officeDocument/2006/relationships/hyperlink" Target="https://mstgolf.co.th/products/gf2040120787" TargetMode="External" Id="rId1978" /><Relationship Type="http://schemas.openxmlformats.org/officeDocument/2006/relationships/hyperlink" Target="https://mstgolf.co.th/products/gf2040119540" TargetMode="External" Id="rId1979" /><Relationship Type="http://schemas.openxmlformats.org/officeDocument/2006/relationships/hyperlink" Target="https://mstgolf.co.th/products/gf2040119541" TargetMode="External" Id="rId1980" /><Relationship Type="http://schemas.openxmlformats.org/officeDocument/2006/relationships/hyperlink" Target="https://mstgolf.co.th/products/gf2040119539" TargetMode="External" Id="rId1981" /><Relationship Type="http://schemas.openxmlformats.org/officeDocument/2006/relationships/hyperlink" Target="https://mstgolf.co.th/products/gf2060101267" TargetMode="External" Id="rId1982" /><Relationship Type="http://schemas.openxmlformats.org/officeDocument/2006/relationships/hyperlink" Target="https://mstgolf.co.th/products/gf2060101266" TargetMode="External" Id="rId1983" /><Relationship Type="http://schemas.openxmlformats.org/officeDocument/2006/relationships/hyperlink" Target="https://mstgolf.co.th/products/gf2040121152" TargetMode="External" Id="rId1984" /><Relationship Type="http://schemas.openxmlformats.org/officeDocument/2006/relationships/hyperlink" Target="https://mstgolf.co.th/products/gf2040121163" TargetMode="External" Id="rId1985" /><Relationship Type="http://schemas.openxmlformats.org/officeDocument/2006/relationships/hyperlink" Target="https://mstgolf.co.th/products/gf2020202459" TargetMode="External" Id="rId1986" /><Relationship Type="http://schemas.openxmlformats.org/officeDocument/2006/relationships/hyperlink" Target="https://mstgolf.co.th/products/gf2020102030" TargetMode="External" Id="rId1987" /><Relationship Type="http://schemas.openxmlformats.org/officeDocument/2006/relationships/hyperlink" Target="https://mstgolf.co.th/products/gf2040121652" TargetMode="External" Id="rId1988" /><Relationship Type="http://schemas.openxmlformats.org/officeDocument/2006/relationships/hyperlink" Target="https://mstgolf.co.th/products/gf2040121654" TargetMode="External" Id="rId1989" /><Relationship Type="http://schemas.openxmlformats.org/officeDocument/2006/relationships/hyperlink" Target="https://mstgolf.co.th/products/gf2040121651" TargetMode="External" Id="rId1990" /><Relationship Type="http://schemas.openxmlformats.org/officeDocument/2006/relationships/hyperlink" Target="https://mstgolf.co.th/products/gf2020300192" TargetMode="External" Id="rId1991" /><Relationship Type="http://schemas.openxmlformats.org/officeDocument/2006/relationships/hyperlink" Target="https://mstgolf.co.th/products/gf2020300193" TargetMode="External" Id="rId1992" /><Relationship Type="http://schemas.openxmlformats.org/officeDocument/2006/relationships/hyperlink" Target="https://mstgolf.co.th/products/gf2020202913" TargetMode="External" Id="rId1993" /><Relationship Type="http://schemas.openxmlformats.org/officeDocument/2006/relationships/hyperlink" Target="https://mstgolf.co.th/products/gf2040118863" TargetMode="External" Id="rId1994" /><Relationship Type="http://schemas.openxmlformats.org/officeDocument/2006/relationships/hyperlink" Target="https://mstgolf.co.th/products/gf2040118860" TargetMode="External" Id="rId1995" /><Relationship Type="http://schemas.openxmlformats.org/officeDocument/2006/relationships/hyperlink" Target="https://mstgolf.co.th/products/gf2040120578" TargetMode="External" Id="rId1996" /><Relationship Type="http://schemas.openxmlformats.org/officeDocument/2006/relationships/hyperlink" Target="https://mstgolf.co.th/products/gf2040120580" TargetMode="External" Id="rId1997" /><Relationship Type="http://schemas.openxmlformats.org/officeDocument/2006/relationships/hyperlink" Target="https://mstgolf.co.th/products/gf2040120579" TargetMode="External" Id="rId1998" /><Relationship Type="http://schemas.openxmlformats.org/officeDocument/2006/relationships/hyperlink" Target="https://mstgolf.co.th/products/gf2040120775" TargetMode="External" Id="rId1999" /><Relationship Type="http://schemas.openxmlformats.org/officeDocument/2006/relationships/hyperlink" Target="https://mstgolf.co.th/products/gf2020202883" TargetMode="External" Id="rId2000" /><Relationship Type="http://schemas.openxmlformats.org/officeDocument/2006/relationships/hyperlink" Target="https://mstgolf.co.th/products/gf2040401200" TargetMode="External" Id="rId2001" /><Relationship Type="http://schemas.openxmlformats.org/officeDocument/2006/relationships/hyperlink" Target="https://mstgolf.co.th/products/gf2040118007" TargetMode="External" Id="rId2002" /><Relationship Type="http://schemas.openxmlformats.org/officeDocument/2006/relationships/hyperlink" Target="https://mstgolf.co.th/products/gf2040120586" TargetMode="External" Id="rId2003" /><Relationship Type="http://schemas.openxmlformats.org/officeDocument/2006/relationships/hyperlink" Target="https://mstgolf.co.th/products/gf2020102450" TargetMode="External" Id="rId2004" /><Relationship Type="http://schemas.openxmlformats.org/officeDocument/2006/relationships/hyperlink" Target="https://mstgolf.co.th/products/gf2040120604" TargetMode="External" Id="rId2005" /><Relationship Type="http://schemas.openxmlformats.org/officeDocument/2006/relationships/hyperlink" Target="https://mstgolf.co.th/products/gf2040120609" TargetMode="External" Id="rId2006" /><Relationship Type="http://schemas.openxmlformats.org/officeDocument/2006/relationships/hyperlink" Target="https://mstgolf.co.th/products/gf2040120605" TargetMode="External" Id="rId2007" /><Relationship Type="http://schemas.openxmlformats.org/officeDocument/2006/relationships/hyperlink" Target="https://mstgolf.co.th/products/gf2020202436" TargetMode="External" Id="rId2008" /><Relationship Type="http://schemas.openxmlformats.org/officeDocument/2006/relationships/hyperlink" Target="https://mstgolf.co.th/products/gf2020202442" TargetMode="External" Id="rId2009" /><Relationship Type="http://schemas.openxmlformats.org/officeDocument/2006/relationships/hyperlink" Target="https://mstgolf.co.th/products/gf2020202441" TargetMode="External" Id="rId2010" /><Relationship Type="http://schemas.openxmlformats.org/officeDocument/2006/relationships/hyperlink" Target="https://mstgolf.co.th/products/gf2040401353" TargetMode="External" Id="rId2011" /><Relationship Type="http://schemas.openxmlformats.org/officeDocument/2006/relationships/hyperlink" Target="https://mstgolf.co.th/products/gf2040200130" TargetMode="External" Id="rId2012" /><Relationship Type="http://schemas.openxmlformats.org/officeDocument/2006/relationships/hyperlink" Target="https://mstgolf.co.th/products/gf2020202739" TargetMode="External" Id="rId2013" /><Relationship Type="http://schemas.openxmlformats.org/officeDocument/2006/relationships/hyperlink" Target="https://mstgolf.co.th/products/gf2020202736" TargetMode="External" Id="rId2014" /><Relationship Type="http://schemas.openxmlformats.org/officeDocument/2006/relationships/hyperlink" Target="https://mstgolf.co.th/products/gf2040300178" TargetMode="External" Id="rId2015" /><Relationship Type="http://schemas.openxmlformats.org/officeDocument/2006/relationships/hyperlink" Target="https://mstgolf.co.th/products/gf2040300176" TargetMode="External" Id="rId2016" /><Relationship Type="http://schemas.openxmlformats.org/officeDocument/2006/relationships/hyperlink" Target="https://mstgolf.co.th/products/gf2040300175" TargetMode="External" Id="rId2017" /><Relationship Type="http://schemas.openxmlformats.org/officeDocument/2006/relationships/hyperlink" Target="https://mstgolf.co.th/products/gf2040300188" TargetMode="External" Id="rId2018" /><Relationship Type="http://schemas.openxmlformats.org/officeDocument/2006/relationships/hyperlink" Target="https://mstgolf.co.th/products/gf2060101000" TargetMode="External" Id="rId2019" /><Relationship Type="http://schemas.openxmlformats.org/officeDocument/2006/relationships/hyperlink" Target="https://mstgolf.co.th/products/gf2020101254" TargetMode="External" Id="rId2020" /><Relationship Type="http://schemas.openxmlformats.org/officeDocument/2006/relationships/hyperlink" Target="https://mstgolf.co.th/products/gf2060101230" TargetMode="External" Id="rId2021" /><Relationship Type="http://schemas.openxmlformats.org/officeDocument/2006/relationships/hyperlink" Target="https://mstgolf.co.th/products/gf2020202568" TargetMode="External" Id="rId2022" /><Relationship Type="http://schemas.openxmlformats.org/officeDocument/2006/relationships/hyperlink" Target="https://mstgolf.co.th/products/gf2040118859" TargetMode="External" Id="rId2023" /><Relationship Type="http://schemas.openxmlformats.org/officeDocument/2006/relationships/hyperlink" Target="https://mstgolf.co.th/products/gf2040118858" TargetMode="External" Id="rId2024" /><Relationship Type="http://schemas.openxmlformats.org/officeDocument/2006/relationships/hyperlink" Target="https://mstgolf.co.th/products/gf2020102416" TargetMode="External" Id="rId2025" /><Relationship Type="http://schemas.openxmlformats.org/officeDocument/2006/relationships/hyperlink" Target="https://mstgolf.co.th/products/gf2020102415" TargetMode="External" Id="rId2026" /><Relationship Type="http://schemas.openxmlformats.org/officeDocument/2006/relationships/hyperlink" Target="https://mstgolf.co.th/products/gf2020102626" TargetMode="External" Id="rId2027" /><Relationship Type="http://schemas.openxmlformats.org/officeDocument/2006/relationships/hyperlink" Target="https://mstgolf.co.th/products/gf2040120783" TargetMode="External" Id="rId2028" /><Relationship Type="http://schemas.openxmlformats.org/officeDocument/2006/relationships/hyperlink" Target="https://mstgolf.co.th/products/gf2000300468" TargetMode="External" Id="rId2029" /><Relationship Type="http://schemas.openxmlformats.org/officeDocument/2006/relationships/hyperlink" Target="https://mstgolf.co.th/products/gf2000300481" TargetMode="External" Id="rId2030" /><Relationship Type="http://schemas.openxmlformats.org/officeDocument/2006/relationships/hyperlink" Target="https://mstgolf.co.th/products/gf2000300482" TargetMode="External" Id="rId2031" /><Relationship Type="http://schemas.openxmlformats.org/officeDocument/2006/relationships/hyperlink" Target="https://mstgolf.co.th/products/gf2020101775" TargetMode="External" Id="rId2032" /><Relationship Type="http://schemas.openxmlformats.org/officeDocument/2006/relationships/hyperlink" Target="https://mstgolf.co.th/products/gf2020101776" TargetMode="External" Id="rId2033" /><Relationship Type="http://schemas.openxmlformats.org/officeDocument/2006/relationships/hyperlink" Target="https://mstgolf.co.th/products/gf2020101613" TargetMode="External" Id="rId2034" /><Relationship Type="http://schemas.openxmlformats.org/officeDocument/2006/relationships/hyperlink" Target="https://mstgolf.co.th/products/gf2020202273" TargetMode="External" Id="rId2035" /><Relationship Type="http://schemas.openxmlformats.org/officeDocument/2006/relationships/hyperlink" Target="https://mstgolf.co.th/products/gf2040401132" TargetMode="External" Id="rId2036" /><Relationship Type="http://schemas.openxmlformats.org/officeDocument/2006/relationships/hyperlink" Target="https://mstgolf.co.th/products/gf2020202278" TargetMode="External" Id="rId2037" /><Relationship Type="http://schemas.openxmlformats.org/officeDocument/2006/relationships/hyperlink" Target="https://mstgolf.co.th/products/gf2020202693" TargetMode="External" Id="rId2038" /><Relationship Type="http://schemas.openxmlformats.org/officeDocument/2006/relationships/hyperlink" Target="https://mstgolf.co.th/products/gf2020202617" TargetMode="External" Id="rId2039" /><Relationship Type="http://schemas.openxmlformats.org/officeDocument/2006/relationships/hyperlink" Target="https://mstgolf.co.th/products/gf2060101183" TargetMode="External" Id="rId2040" /><Relationship Type="http://schemas.openxmlformats.org/officeDocument/2006/relationships/hyperlink" Target="https://mstgolf.co.th/products/gf2040120666" TargetMode="External" Id="rId2041" /><Relationship Type="http://schemas.openxmlformats.org/officeDocument/2006/relationships/hyperlink" Target="https://mstgolf.co.th/products/gf2040120608" TargetMode="External" Id="rId2042" /><Relationship Type="http://schemas.openxmlformats.org/officeDocument/2006/relationships/hyperlink" Target="https://mstgolf.co.th/products/gf2040119769" TargetMode="External" Id="rId2043" /><Relationship Type="http://schemas.openxmlformats.org/officeDocument/2006/relationships/hyperlink" Target="https://mstgolf.co.th/products/gf2040119776" TargetMode="External" Id="rId2044" /><Relationship Type="http://schemas.openxmlformats.org/officeDocument/2006/relationships/hyperlink" Target="https://mstgolf.co.th/products/gf2040119771" TargetMode="External" Id="rId2045" /><Relationship Type="http://schemas.openxmlformats.org/officeDocument/2006/relationships/hyperlink" Target="https://mstgolf.co.th/products/gf2040119767" TargetMode="External" Id="rId2046" /><Relationship Type="http://schemas.openxmlformats.org/officeDocument/2006/relationships/hyperlink" Target="https://mstgolf.co.th/products/gf2040119768" TargetMode="External" Id="rId2047" /><Relationship Type="http://schemas.openxmlformats.org/officeDocument/2006/relationships/hyperlink" Target="https://mstgolf.co.th/products/gf2040120664" TargetMode="External" Id="rId2048" /><Relationship Type="http://schemas.openxmlformats.org/officeDocument/2006/relationships/hyperlink" Target="https://mstgolf.co.th/products/gf2040120665" TargetMode="External" Id="rId2049" /><Relationship Type="http://schemas.openxmlformats.org/officeDocument/2006/relationships/hyperlink" Target="https://mstgolf.co.th/products/gf2040119752" TargetMode="External" Id="rId2050" /><Relationship Type="http://schemas.openxmlformats.org/officeDocument/2006/relationships/hyperlink" Target="https://mstgolf.co.th/products/gf2040119775" TargetMode="External" Id="rId2051" /><Relationship Type="http://schemas.openxmlformats.org/officeDocument/2006/relationships/hyperlink" Target="https://mstgolf.co.th/products/gf2040119750" TargetMode="External" Id="rId2052" /><Relationship Type="http://schemas.openxmlformats.org/officeDocument/2006/relationships/hyperlink" Target="https://mstgolf.co.th/products/gf2040120663" TargetMode="External" Id="rId2053" /><Relationship Type="http://schemas.openxmlformats.org/officeDocument/2006/relationships/hyperlink" Target="https://mstgolf.co.th/products/gf2040120667" TargetMode="External" Id="rId2054" /><Relationship Type="http://schemas.openxmlformats.org/officeDocument/2006/relationships/hyperlink" Target="https://mstgolf.co.th/products/gf2040119751" TargetMode="External" Id="rId2055" /><Relationship Type="http://schemas.openxmlformats.org/officeDocument/2006/relationships/hyperlink" Target="https://mstgolf.co.th/products/gf2040401382" TargetMode="External" Id="rId2056" /><Relationship Type="http://schemas.openxmlformats.org/officeDocument/2006/relationships/hyperlink" Target="https://mstgolf.co.th/products/gf2020102419" TargetMode="External" Id="rId2057" /><Relationship Type="http://schemas.openxmlformats.org/officeDocument/2006/relationships/hyperlink" Target="https://mstgolf.co.th/products/gf2020202571" TargetMode="External" Id="rId2058" /><Relationship Type="http://schemas.openxmlformats.org/officeDocument/2006/relationships/hyperlink" Target="https://mstgolf.co.th/products/gf2020202554" TargetMode="External" Id="rId2059" /><Relationship Type="http://schemas.openxmlformats.org/officeDocument/2006/relationships/hyperlink" Target="https://mstgolf.co.th/products/gf2040120618" TargetMode="External" Id="rId2060" /><Relationship Type="http://schemas.openxmlformats.org/officeDocument/2006/relationships/hyperlink" Target="https://mstgolf.co.th/products/gf2020100991" TargetMode="External" Id="rId2061" /><Relationship Type="http://schemas.openxmlformats.org/officeDocument/2006/relationships/hyperlink" Target="https://mstgolf.co.th/products/gf2020100992" TargetMode="External" Id="rId2062" /><Relationship Type="http://schemas.openxmlformats.org/officeDocument/2006/relationships/hyperlink" Target="https://mstgolf.co.th/products/gf2020102482" TargetMode="External" Id="rId2063" /><Relationship Type="http://schemas.openxmlformats.org/officeDocument/2006/relationships/hyperlink" Target="https://mstgolf.co.th/products/gf2020102483" TargetMode="External" Id="rId2064" /><Relationship Type="http://schemas.openxmlformats.org/officeDocument/2006/relationships/hyperlink" Target="https://mstgolf.co.th/products/gf2060101038" TargetMode="External" Id="rId2065" /><Relationship Type="http://schemas.openxmlformats.org/officeDocument/2006/relationships/hyperlink" Target="https://mstgolf.co.th/products/gf2040120588" TargetMode="External" Id="rId2066" /><Relationship Type="http://schemas.openxmlformats.org/officeDocument/2006/relationships/hyperlink" Target="https://mstgolf.co.th/products/gf2040120592" TargetMode="External" Id="rId2067" /><Relationship Type="http://schemas.openxmlformats.org/officeDocument/2006/relationships/hyperlink" Target="https://mstgolf.co.th/products/gf2040200206" TargetMode="External" Id="rId2068" /><Relationship Type="http://schemas.openxmlformats.org/officeDocument/2006/relationships/hyperlink" Target="https://mstgolf.co.th/products/gf2060101185" TargetMode="External" Id="rId2069" /><Relationship Type="http://schemas.openxmlformats.org/officeDocument/2006/relationships/hyperlink" Target="https://mstgolf.co.th/products/gf2020102458" TargetMode="External" Id="rId2070" /><Relationship Type="http://schemas.openxmlformats.org/officeDocument/2006/relationships/hyperlink" Target="https://mstgolf.co.th/products/gf2020101148" TargetMode="External" Id="rId2071" /><Relationship Type="http://schemas.openxmlformats.org/officeDocument/2006/relationships/hyperlink" Target="https://mstgolf.co.th/products/gf2040115657" TargetMode="External" Id="rId2072" /><Relationship Type="http://schemas.openxmlformats.org/officeDocument/2006/relationships/hyperlink" Target="https://mstgolf.co.th/products/gf2040120782" TargetMode="External" Id="rId2073" /><Relationship Type="http://schemas.openxmlformats.org/officeDocument/2006/relationships/hyperlink" Target="https://mstgolf.co.th/products/gf2040120774" TargetMode="External" Id="rId2074" /><Relationship Type="http://schemas.openxmlformats.org/officeDocument/2006/relationships/hyperlink" Target="https://mstgolf.co.th/products/gf2040120778" TargetMode="External" Id="rId2075" /><Relationship Type="http://schemas.openxmlformats.org/officeDocument/2006/relationships/hyperlink" Target="https://mstgolf.co.th/products/gf2020202443" TargetMode="External" Id="rId2076" /><Relationship Type="http://schemas.openxmlformats.org/officeDocument/2006/relationships/hyperlink" Target="https://mstgolf.co.th/products/gf2040118000" TargetMode="External" Id="rId2077" /><Relationship Type="http://schemas.openxmlformats.org/officeDocument/2006/relationships/hyperlink" Target="https://mstgolf.co.th/products/gf2040118016" TargetMode="External" Id="rId2078" /><Relationship Type="http://schemas.openxmlformats.org/officeDocument/2006/relationships/hyperlink" Target="https://mstgolf.co.th/products/gf2040118022" TargetMode="External" Id="rId2079" /><Relationship Type="http://schemas.openxmlformats.org/officeDocument/2006/relationships/hyperlink" Target="https://mstgolf.co.th/products/gf2040119072" TargetMode="External" Id="rId2080" /><Relationship Type="http://schemas.openxmlformats.org/officeDocument/2006/relationships/hyperlink" Target="https://mstgolf.co.th/products/gf2040119073" TargetMode="External" Id="rId2081" /><Relationship Type="http://schemas.openxmlformats.org/officeDocument/2006/relationships/hyperlink" Target="https://mstgolf.co.th/products/gf2020202460" TargetMode="External" Id="rId2082" /><Relationship Type="http://schemas.openxmlformats.org/officeDocument/2006/relationships/hyperlink" Target="https://mstgolf.co.th/products/gf2020102401" TargetMode="External" Id="rId2083" /><Relationship Type="http://schemas.openxmlformats.org/officeDocument/2006/relationships/hyperlink" Target="https://mstgolf.co.th/products/gf2020201655" TargetMode="External" Id="rId2084" /><Relationship Type="http://schemas.openxmlformats.org/officeDocument/2006/relationships/hyperlink" Target="https://mstgolf.co.th/products/gf2040116943" TargetMode="External" Id="rId2085" /><Relationship Type="http://schemas.openxmlformats.org/officeDocument/2006/relationships/hyperlink" Target="https://mstgolf.co.th/products/gf2020101986" TargetMode="External" Id="rId2086" /><Relationship Type="http://schemas.openxmlformats.org/officeDocument/2006/relationships/hyperlink" Target="https://mstgolf.co.th/products/gf2041200332" TargetMode="External" Id="rId2087" /><Relationship Type="http://schemas.openxmlformats.org/officeDocument/2006/relationships/hyperlink" Target="https://mstgolf.co.th/products/gf2041200317" TargetMode="External" Id="rId2088" /><Relationship Type="http://schemas.openxmlformats.org/officeDocument/2006/relationships/hyperlink" Target="https://mstgolf.co.th/products/gf2020202884" TargetMode="External" Id="rId2089" /><Relationship Type="http://schemas.openxmlformats.org/officeDocument/2006/relationships/hyperlink" Target="https://mstgolf.co.th/products/gf3130100367" TargetMode="External" Id="rId2090" /><Relationship Type="http://schemas.openxmlformats.org/officeDocument/2006/relationships/hyperlink" Target="https://mstgolf.co.th/products/gf3130100368" TargetMode="External" Id="rId2091" /><Relationship Type="http://schemas.openxmlformats.org/officeDocument/2006/relationships/hyperlink" Target="https://mstgolf.co.th/products/gf3130100481" TargetMode="External" Id="rId2092" /><Relationship Type="http://schemas.openxmlformats.org/officeDocument/2006/relationships/hyperlink" Target="https://mstgolf.co.th/products/gf3130100478" TargetMode="External" Id="rId2093" /><Relationship Type="http://schemas.openxmlformats.org/officeDocument/2006/relationships/hyperlink" Target="https://mstgolf.co.th/products/gf3130100479" TargetMode="External" Id="rId2094" /><Relationship Type="http://schemas.openxmlformats.org/officeDocument/2006/relationships/hyperlink" Target="https://mstgolf.co.th/products/gf3130100470" TargetMode="External" Id="rId2095" /><Relationship Type="http://schemas.openxmlformats.org/officeDocument/2006/relationships/hyperlink" Target="https://mstgolf.co.th/products/gf3130100361" TargetMode="External" Id="rId2096" /><Relationship Type="http://schemas.openxmlformats.org/officeDocument/2006/relationships/hyperlink" Target="https://mstgolf.co.th/products/gf3130100355" TargetMode="External" Id="rId2097" /><Relationship Type="http://schemas.openxmlformats.org/officeDocument/2006/relationships/hyperlink" Target="https://mstgolf.co.th/products/gf3130100354" TargetMode="External" Id="rId2098" /><Relationship Type="http://schemas.openxmlformats.org/officeDocument/2006/relationships/hyperlink" Target="https://mstgolf.co.th/products/gf3130100487" TargetMode="External" Id="rId2099" /><Relationship Type="http://schemas.openxmlformats.org/officeDocument/2006/relationships/hyperlink" Target="https://mstgolf.co.th/products/gf3130100474" TargetMode="External" Id="rId2100" /><Relationship Type="http://schemas.openxmlformats.org/officeDocument/2006/relationships/hyperlink" Target="https://mstgolf.co.th/products/gf3130100472" TargetMode="External" Id="rId2101" /><Relationship Type="http://schemas.openxmlformats.org/officeDocument/2006/relationships/hyperlink" Target="https://mstgolf.co.th/products/gf3130100473" TargetMode="External" Id="rId2102" /><Relationship Type="http://schemas.openxmlformats.org/officeDocument/2006/relationships/hyperlink" Target="https://mstgolf.co.th/products/gf3130100371" TargetMode="External" Id="rId2103" /><Relationship Type="http://schemas.openxmlformats.org/officeDocument/2006/relationships/hyperlink" Target="https://mstgolf.co.th/products/gf3130100357" TargetMode="External" Id="rId2104" /><Relationship Type="http://schemas.openxmlformats.org/officeDocument/2006/relationships/hyperlink" Target="https://mstgolf.co.th/products/gf3130100356" TargetMode="External" Id="rId2105" /><Relationship Type="http://schemas.openxmlformats.org/officeDocument/2006/relationships/hyperlink" Target="https://mstgolf.co.th/products/gf2040118014" TargetMode="External" Id="rId2106" /><Relationship Type="http://schemas.openxmlformats.org/officeDocument/2006/relationships/hyperlink" Target="https://mstgolf.co.th/products/gf2020102487" TargetMode="External" Id="rId2107" /><Relationship Type="http://schemas.openxmlformats.org/officeDocument/2006/relationships/hyperlink" Target="https://mstgolf.co.th/products/gf2040120611" TargetMode="External" Id="rId2108" /><Relationship Type="http://schemas.openxmlformats.org/officeDocument/2006/relationships/hyperlink" Target="https://mstgolf.co.th/products/gf2040121101" TargetMode="External" Id="rId2109" /><Relationship Type="http://schemas.openxmlformats.org/officeDocument/2006/relationships/hyperlink" Target="https://mstgolf.co.th/products/gf2040121099" TargetMode="External" Id="rId2110" /><Relationship Type="http://schemas.openxmlformats.org/officeDocument/2006/relationships/hyperlink" Target="https://mstgolf.co.th/products/gf2040121100" TargetMode="External" Id="rId2111" /><Relationship Type="http://schemas.openxmlformats.org/officeDocument/2006/relationships/hyperlink" Target="https://mstgolf.co.th/products/gf2020102619" TargetMode="External" Id="rId2112" /><Relationship Type="http://schemas.openxmlformats.org/officeDocument/2006/relationships/hyperlink" Target="https://mstgolf.co.th/products/gf2040120491" TargetMode="External" Id="rId2113" /><Relationship Type="http://schemas.openxmlformats.org/officeDocument/2006/relationships/hyperlink" Target="https://mstgolf.co.th/products/gf2040120487" TargetMode="External" Id="rId2114" /><Relationship Type="http://schemas.openxmlformats.org/officeDocument/2006/relationships/hyperlink" Target="https://mstgolf.co.th/products/gf2040120488" TargetMode="External" Id="rId2115" /><Relationship Type="http://schemas.openxmlformats.org/officeDocument/2006/relationships/hyperlink" Target="https://mstgolf.co.th/products/gf2040120492" TargetMode="External" Id="rId2116" /><Relationship Type="http://schemas.openxmlformats.org/officeDocument/2006/relationships/hyperlink" Target="https://mstgolf.co.th/products/gf2040121102" TargetMode="External" Id="rId2117" /><Relationship Type="http://schemas.openxmlformats.org/officeDocument/2006/relationships/hyperlink" Target="https://mstgolf.co.th/products/gf2040121103" TargetMode="External" Id="rId2118" /><Relationship Type="http://schemas.openxmlformats.org/officeDocument/2006/relationships/hyperlink" Target="https://mstgolf.co.th/products/gf2020102620" TargetMode="External" Id="rId2119" /><Relationship Type="http://schemas.openxmlformats.org/officeDocument/2006/relationships/hyperlink" Target="https://mstgolf.co.th/products/gf2020102658" TargetMode="External" Id="rId2120" /><Relationship Type="http://schemas.openxmlformats.org/officeDocument/2006/relationships/hyperlink" Target="https://mstgolf.co.th/products/gf2020102622" TargetMode="External" Id="rId2121" /><Relationship Type="http://schemas.openxmlformats.org/officeDocument/2006/relationships/hyperlink" Target="https://mstgolf.co.th/products/gf2020102067" TargetMode="External" Id="rId2122" /><Relationship Type="http://schemas.openxmlformats.org/officeDocument/2006/relationships/hyperlink" Target="https://mstgolf.co.th/products/gf2020102068" TargetMode="External" Id="rId2123" /><Relationship Type="http://schemas.openxmlformats.org/officeDocument/2006/relationships/hyperlink" Target="https://mstgolf.co.th/products/gf2020102063" TargetMode="External" Id="rId2124" /><Relationship Type="http://schemas.openxmlformats.org/officeDocument/2006/relationships/hyperlink" Target="https://mstgolf.co.th/products/gf2020102065" TargetMode="External" Id="rId2125" /><Relationship Type="http://schemas.openxmlformats.org/officeDocument/2006/relationships/hyperlink" Target="https://mstgolf.co.th/products/gf2020102214" TargetMode="External" Id="rId2126" /><Relationship Type="http://schemas.openxmlformats.org/officeDocument/2006/relationships/hyperlink" Target="https://mstgolf.co.th/products/gf2060101224" TargetMode="External" Id="rId2127" /><Relationship Type="http://schemas.openxmlformats.org/officeDocument/2006/relationships/hyperlink" Target="https://mstgolf.co.th/products/gf2060101225" TargetMode="External" Id="rId2128" /><Relationship Type="http://schemas.openxmlformats.org/officeDocument/2006/relationships/hyperlink" Target="https://mstgolf.co.th/products/gf2060101226" TargetMode="External" Id="rId2129" /><Relationship Type="http://schemas.openxmlformats.org/officeDocument/2006/relationships/hyperlink" Target="https://mstgolf.co.th/products/gf2060101227" TargetMode="External" Id="rId2130" /><Relationship Type="http://schemas.openxmlformats.org/officeDocument/2006/relationships/hyperlink" Target="https://mstgolf.co.th/products/gf2060101228" TargetMode="External" Id="rId2131" /><Relationship Type="http://schemas.openxmlformats.org/officeDocument/2006/relationships/hyperlink" Target="https://mstgolf.co.th/products/gf2020300150" TargetMode="External" Id="rId2132" /><Relationship Type="http://schemas.openxmlformats.org/officeDocument/2006/relationships/hyperlink" Target="https://mstgolf.co.th/products/gf2020300151" TargetMode="External" Id="rId2133" /><Relationship Type="http://schemas.openxmlformats.org/officeDocument/2006/relationships/hyperlink" Target="https://mstgolf.co.th/products/gf2020300152" TargetMode="External" Id="rId2134" /><Relationship Type="http://schemas.openxmlformats.org/officeDocument/2006/relationships/hyperlink" Target="https://mstgolf.co.th/products/gf2040119061" TargetMode="External" Id="rId2135" /><Relationship Type="http://schemas.openxmlformats.org/officeDocument/2006/relationships/hyperlink" Target="https://mstgolf.co.th/products/gf2040119071" TargetMode="External" Id="rId2136" /><Relationship Type="http://schemas.openxmlformats.org/officeDocument/2006/relationships/hyperlink" Target="https://mstgolf.co.th/products/gf2040119062" TargetMode="External" Id="rId2137" /><Relationship Type="http://schemas.openxmlformats.org/officeDocument/2006/relationships/hyperlink" Target="https://mstgolf.co.th/products/gf2040119063" TargetMode="External" Id="rId2138" /><Relationship Type="http://schemas.openxmlformats.org/officeDocument/2006/relationships/hyperlink" Target="https://mstgolf.co.th/products/gf2040115639" TargetMode="External" Id="rId2139" /><Relationship Type="http://schemas.openxmlformats.org/officeDocument/2006/relationships/hyperlink" Target="https://mstgolf.co.th/products/gf2020102304" TargetMode="External" Id="rId2140" /><Relationship Type="http://schemas.openxmlformats.org/officeDocument/2006/relationships/hyperlink" Target="https://mstgolf.co.th/products/gf2020202063" TargetMode="External" Id="rId2141" /><Relationship Type="http://schemas.openxmlformats.org/officeDocument/2006/relationships/hyperlink" Target="https://mstgolf.co.th/products/gf2040120776" TargetMode="External" Id="rId2142" /><Relationship Type="http://schemas.openxmlformats.org/officeDocument/2006/relationships/hyperlink" Target="https://mstgolf.co.th/products/gf2040120780" TargetMode="External" Id="rId2143" /><Relationship Type="http://schemas.openxmlformats.org/officeDocument/2006/relationships/hyperlink" Target="https://mstgolf.co.th/products/gf2020102081" TargetMode="External" Id="rId2144" /><Relationship Type="http://schemas.openxmlformats.org/officeDocument/2006/relationships/hyperlink" Target="https://mstgolf.co.th/products/gf2020102161" TargetMode="External" Id="rId2145" /><Relationship Type="http://schemas.openxmlformats.org/officeDocument/2006/relationships/hyperlink" Target="https://mstgolf.co.th/products/gf2040119915" TargetMode="External" Id="rId2146" /><Relationship Type="http://schemas.openxmlformats.org/officeDocument/2006/relationships/hyperlink" Target="https://mstgolf.co.th/products/gf2020101700" TargetMode="External" Id="rId2147" /><Relationship Type="http://schemas.openxmlformats.org/officeDocument/2006/relationships/hyperlink" Target="https://mstgolf.co.th/products/gf2020101790" TargetMode="External" Id="rId2148" /><Relationship Type="http://schemas.openxmlformats.org/officeDocument/2006/relationships/hyperlink" Target="https://mstgolf.co.th/products/gf2020102072" TargetMode="External" Id="rId2149" /><Relationship Type="http://schemas.openxmlformats.org/officeDocument/2006/relationships/hyperlink" Target="https://mstgolf.co.th/products/gf2020101701" TargetMode="External" Id="rId2150" /><Relationship Type="http://schemas.openxmlformats.org/officeDocument/2006/relationships/hyperlink" Target="https://mstgolf.co.th/products/gf2020102174" TargetMode="External" Id="rId2151" /><Relationship Type="http://schemas.openxmlformats.org/officeDocument/2006/relationships/hyperlink" Target="https://mstgolf.co.th/products/gf2040119213" TargetMode="External" Id="rId2152" /><Relationship Type="http://schemas.openxmlformats.org/officeDocument/2006/relationships/hyperlink" Target="https://mstgolf.co.th/products/gf2020202448" TargetMode="External" Id="rId2153" /><Relationship Type="http://schemas.openxmlformats.org/officeDocument/2006/relationships/hyperlink" Target="https://mstgolf.co.th/products/gf2040119075" TargetMode="External" Id="rId2154" /><Relationship Type="http://schemas.openxmlformats.org/officeDocument/2006/relationships/hyperlink" Target="https://mstgolf.co.th/products/gf2040119074" TargetMode="External" Id="rId2155" /><Relationship Type="http://schemas.openxmlformats.org/officeDocument/2006/relationships/hyperlink" Target="https://mstgolf.co.th/products/gf2020101895" TargetMode="External" Id="rId2156" /><Relationship Type="http://schemas.openxmlformats.org/officeDocument/2006/relationships/hyperlink" Target="https://mstgolf.co.th/products/gf2020102210" TargetMode="External" Id="rId2157" /><Relationship Type="http://schemas.openxmlformats.org/officeDocument/2006/relationships/hyperlink" Target="https://mstgolf.co.th/products/gf2040120587" TargetMode="External" Id="rId2158" /><Relationship Type="http://schemas.openxmlformats.org/officeDocument/2006/relationships/hyperlink" Target="https://mstgolf.co.th/products/gf2040401191" TargetMode="External" Id="rId2159" /><Relationship Type="http://schemas.openxmlformats.org/officeDocument/2006/relationships/hyperlink" Target="https://mstgolf.co.th/products/gf2080101226" TargetMode="External" Id="rId2160" /><Relationship Type="http://schemas.openxmlformats.org/officeDocument/2006/relationships/hyperlink" Target="https://mstgolf.co.th/products/gf2080101227" TargetMode="External" Id="rId2161" /><Relationship Type="http://schemas.openxmlformats.org/officeDocument/2006/relationships/hyperlink" Target="https://mstgolf.co.th/products/gf2080101228" TargetMode="External" Id="rId2162" /><Relationship Type="http://schemas.openxmlformats.org/officeDocument/2006/relationships/hyperlink" Target="https://mstgolf.co.th/products/gf2020201209" TargetMode="External" Id="rId2163" /><Relationship Type="http://schemas.openxmlformats.org/officeDocument/2006/relationships/hyperlink" Target="https://mstgolf.co.th/products/gf2020201659" TargetMode="External" Id="rId2164" /><Relationship Type="http://schemas.openxmlformats.org/officeDocument/2006/relationships/hyperlink" Target="https://mstgolf.co.th/products/gf2020201850" TargetMode="External" Id="rId2165" /><Relationship Type="http://schemas.openxmlformats.org/officeDocument/2006/relationships/hyperlink" Target="https://mstgolf.co.th/products/gf2020201661" TargetMode="External" Id="rId2166" /><Relationship Type="http://schemas.openxmlformats.org/officeDocument/2006/relationships/hyperlink" Target="https://mstgolf.co.th/products/gf2020201662" TargetMode="External" Id="rId2167" /><Relationship Type="http://schemas.openxmlformats.org/officeDocument/2006/relationships/hyperlink" Target="https://mstgolf.co.th/products/gf2020101908" TargetMode="External" Id="rId2168" /><Relationship Type="http://schemas.openxmlformats.org/officeDocument/2006/relationships/hyperlink" Target="https://mstgolf.co.th/products/gf2020102502" TargetMode="External" Id="rId2169" /><Relationship Type="http://schemas.openxmlformats.org/officeDocument/2006/relationships/hyperlink" Target="https://mstgolf.co.th/products/gf2040119749" TargetMode="External" Id="rId2170" /><Relationship Type="http://schemas.openxmlformats.org/officeDocument/2006/relationships/hyperlink" Target="https://mstgolf.co.th/products/gf3500201808" TargetMode="External" Id="rId2171" /><Relationship Type="http://schemas.openxmlformats.org/officeDocument/2006/relationships/hyperlink" Target="https://mstgolf.co.th/products/gf2040118836" TargetMode="External" Id="rId2172" /><Relationship Type="http://schemas.openxmlformats.org/officeDocument/2006/relationships/hyperlink" Target="https://mstgolf.co.th/products/gf2000300470" TargetMode="External" Id="rId2173" /><Relationship Type="http://schemas.openxmlformats.org/officeDocument/2006/relationships/hyperlink" Target="https://mstgolf.co.th/products/gf2000300469" TargetMode="External" Id="rId2174" /><Relationship Type="http://schemas.openxmlformats.org/officeDocument/2006/relationships/hyperlink" Target="https://mstgolf.co.th/products/gf2000300480" TargetMode="External" Id="rId2175" /><Relationship Type="http://schemas.openxmlformats.org/officeDocument/2006/relationships/hyperlink" Target="https://mstgolf.co.th/products/gf2000300477" TargetMode="External" Id="rId2176" /><Relationship Type="http://schemas.openxmlformats.org/officeDocument/2006/relationships/hyperlink" Target="https://mstgolf.co.th/products/gf2000300478" TargetMode="External" Id="rId2177" /><Relationship Type="http://schemas.openxmlformats.org/officeDocument/2006/relationships/hyperlink" Target="https://mstgolf.co.th/products/gf2000300476" TargetMode="External" Id="rId2178" /><Relationship Type="http://schemas.openxmlformats.org/officeDocument/2006/relationships/hyperlink" Target="https://mstgolf.co.th/products/gf2000300472" TargetMode="External" Id="rId2179" /><Relationship Type="http://schemas.openxmlformats.org/officeDocument/2006/relationships/hyperlink" Target="https://mstgolf.co.th/products/gf2000300473" TargetMode="External" Id="rId2180" /><Relationship Type="http://schemas.openxmlformats.org/officeDocument/2006/relationships/hyperlink" Target="https://mstgolf.co.th/products/gf2000300479" TargetMode="External" Id="rId2181" /><Relationship Type="http://schemas.openxmlformats.org/officeDocument/2006/relationships/hyperlink" Target="https://mstgolf.co.th/products/gf2040119744" TargetMode="External" Id="rId2182" /><Relationship Type="http://schemas.openxmlformats.org/officeDocument/2006/relationships/hyperlink" Target="https://mstgolf.co.th/products/gf2040119745" TargetMode="External" Id="rId2183" /><Relationship Type="http://schemas.openxmlformats.org/officeDocument/2006/relationships/hyperlink" Target="https://mstgolf.co.th/products/gf2040119985" TargetMode="External" Id="rId2184" /><Relationship Type="http://schemas.openxmlformats.org/officeDocument/2006/relationships/hyperlink" Target="https://mstgolf.co.th/products/gf2040121105" TargetMode="External" Id="rId2185" /><Relationship Type="http://schemas.openxmlformats.org/officeDocument/2006/relationships/hyperlink" Target="https://mstgolf.co.th/products/gf2040121104" TargetMode="External" Id="rId2186" /><Relationship Type="http://schemas.openxmlformats.org/officeDocument/2006/relationships/hyperlink" Target="https://mstgolf.co.th/products/gf2040120483" TargetMode="External" Id="rId2187" /><Relationship Type="http://schemas.openxmlformats.org/officeDocument/2006/relationships/hyperlink" Target="https://mstgolf.co.th/products/gf2040120486" TargetMode="External" Id="rId2188" /><Relationship Type="http://schemas.openxmlformats.org/officeDocument/2006/relationships/hyperlink" Target="https://mstgolf.co.th/products/gf2040120485" TargetMode="External" Id="rId2189" /><Relationship Type="http://schemas.openxmlformats.org/officeDocument/2006/relationships/hyperlink" Target="https://mstgolf.co.th/products/gf2040120482" TargetMode="External" Id="rId2190" /><Relationship Type="http://schemas.openxmlformats.org/officeDocument/2006/relationships/hyperlink" Target="https://mstgolf.co.th/products/gf2040120484" TargetMode="External" Id="rId2191" /><Relationship Type="http://schemas.openxmlformats.org/officeDocument/2006/relationships/hyperlink" Target="https://mstgolf.co.th/products/gf2080101526" TargetMode="External" Id="rId2192" /><Relationship Type="http://schemas.openxmlformats.org/officeDocument/2006/relationships/hyperlink" Target="https://mstgolf.co.th/products/gf2080101508" TargetMode="External" Id="rId2193" /><Relationship Type="http://schemas.openxmlformats.org/officeDocument/2006/relationships/hyperlink" Target="https://mstgolf.co.th/products/gf2020300131" TargetMode="External" Id="rId2194" /><Relationship Type="http://schemas.openxmlformats.org/officeDocument/2006/relationships/hyperlink" Target="https://mstgolf.co.th/products/gf2020300132" TargetMode="External" Id="rId2195" /><Relationship Type="http://schemas.openxmlformats.org/officeDocument/2006/relationships/hyperlink" Target="https://mstgolf.co.th/products/gf2020300130" TargetMode="External" Id="rId2196" /><Relationship Type="http://schemas.openxmlformats.org/officeDocument/2006/relationships/hyperlink" Target="https://mstgolf.co.th/products/gf2020300129" TargetMode="External" Id="rId2197" /><Relationship Type="http://schemas.openxmlformats.org/officeDocument/2006/relationships/hyperlink" Target="https://mstgolf.co.th/products/gf2040120495" TargetMode="External" Id="rId2198" /><Relationship Type="http://schemas.openxmlformats.org/officeDocument/2006/relationships/hyperlink" Target="https://mstgolf.co.th/products/gf2040120497" TargetMode="External" Id="rId2199" /><Relationship Type="http://schemas.openxmlformats.org/officeDocument/2006/relationships/hyperlink" Target="https://mstgolf.co.th/products/gf2040120496" TargetMode="External" Id="rId2200" /><Relationship Type="http://schemas.openxmlformats.org/officeDocument/2006/relationships/hyperlink" Target="https://mstgolf.co.th/products/gf2040120494" TargetMode="External" Id="rId2201" /><Relationship Type="http://schemas.openxmlformats.org/officeDocument/2006/relationships/hyperlink" Target="https://mstgolf.co.th/products/gf2020300174" TargetMode="External" Id="rId2202" /><Relationship Type="http://schemas.openxmlformats.org/officeDocument/2006/relationships/hyperlink" Target="https://mstgolf.co.th/products/gf2020102613" TargetMode="External" Id="rId2203" /><Relationship Type="http://schemas.openxmlformats.org/officeDocument/2006/relationships/hyperlink" Target="https://mstgolf.co.th/products/gf2020102615" TargetMode="External" Id="rId2204" /><Relationship Type="http://schemas.openxmlformats.org/officeDocument/2006/relationships/hyperlink" Target="https://mstgolf.co.th/products/gf2020102614" TargetMode="External" Id="rId2205" /><Relationship Type="http://schemas.openxmlformats.org/officeDocument/2006/relationships/hyperlink" Target="https://mstgolf.co.th/products/gf2020202280" TargetMode="External" Id="rId2206" /><Relationship Type="http://schemas.openxmlformats.org/officeDocument/2006/relationships/hyperlink" Target="https://mstgolf.co.th/products/gf2020202281" TargetMode="External" Id="rId2207" /><Relationship Type="http://schemas.openxmlformats.org/officeDocument/2006/relationships/hyperlink" Target="https://mstgolf.co.th/products/gf2020201997" TargetMode="External" Id="rId2208" /><Relationship Type="http://schemas.openxmlformats.org/officeDocument/2006/relationships/hyperlink" Target="https://mstgolf.co.th/products/gf2020202000" TargetMode="External" Id="rId2209" /><Relationship Type="http://schemas.openxmlformats.org/officeDocument/2006/relationships/hyperlink" Target="https://mstgolf.co.th/products/gf2060101172" TargetMode="External" Id="rId2210" /><Relationship Type="http://schemas.openxmlformats.org/officeDocument/2006/relationships/hyperlink" Target="https://mstgolf.co.th/products/gf2040120736" TargetMode="External" Id="rId2211" /><Relationship Type="http://schemas.openxmlformats.org/officeDocument/2006/relationships/hyperlink" Target="https://mstgolf.co.th/products/gf2040120737" TargetMode="External" Id="rId2212" /><Relationship Type="http://schemas.openxmlformats.org/officeDocument/2006/relationships/hyperlink" Target="https://mstgolf.co.th/products/gf2040120738" TargetMode="External" Id="rId2213" /><Relationship Type="http://schemas.openxmlformats.org/officeDocument/2006/relationships/hyperlink" Target="https://mstgolf.co.th/products/gf2040120739" TargetMode="External" Id="rId2214" /><Relationship Type="http://schemas.openxmlformats.org/officeDocument/2006/relationships/hyperlink" Target="https://mstgolf.co.th/products/gf2020102563" TargetMode="External" Id="rId2215" /><Relationship Type="http://schemas.openxmlformats.org/officeDocument/2006/relationships/hyperlink" Target="https://mstgolf.co.th/products/gf2020102424" TargetMode="External" Id="rId2216" /><Relationship Type="http://schemas.openxmlformats.org/officeDocument/2006/relationships/hyperlink" Target="https://mstgolf.co.th/products/gf2040119874" TargetMode="External" Id="rId2217" /><Relationship Type="http://schemas.openxmlformats.org/officeDocument/2006/relationships/hyperlink" Target="https://mstgolf.co.th/products/gf2020202555" TargetMode="External" Id="rId2218" /><Relationship Type="http://schemas.openxmlformats.org/officeDocument/2006/relationships/hyperlink" Target="https://mstgolf.co.th/products/gf2020202556" TargetMode="External" Id="rId2219" /><Relationship Type="http://schemas.openxmlformats.org/officeDocument/2006/relationships/hyperlink" Target="https://mstgolf.co.th/products/gf2020102310" TargetMode="External" Id="rId2220" /><Relationship Type="http://schemas.openxmlformats.org/officeDocument/2006/relationships/hyperlink" Target="https://mstgolf.co.th/products/gf2020102018" TargetMode="External" Id="rId2221" /><Relationship Type="http://schemas.openxmlformats.org/officeDocument/2006/relationships/hyperlink" Target="https://mstgolf.co.th/products/gf2020102016" TargetMode="External" Id="rId2222" /><Relationship Type="http://schemas.openxmlformats.org/officeDocument/2006/relationships/hyperlink" Target="https://mstgolf.co.th/products/gf2020102020" TargetMode="External" Id="rId2223" /><Relationship Type="http://schemas.openxmlformats.org/officeDocument/2006/relationships/hyperlink" Target="https://mstgolf.co.th/products/gf2020102021" TargetMode="External" Id="rId2224" /><Relationship Type="http://schemas.openxmlformats.org/officeDocument/2006/relationships/hyperlink" Target="https://mstgolf.co.th/products/gf2020102019" TargetMode="External" Id="rId2225" /><Relationship Type="http://schemas.openxmlformats.org/officeDocument/2006/relationships/hyperlink" Target="https://mstgolf.co.th/products/gf2020102022" TargetMode="External" Id="rId2226" /><Relationship Type="http://schemas.openxmlformats.org/officeDocument/2006/relationships/hyperlink" Target="https://mstgolf.co.th/products/gf2020102017" TargetMode="External" Id="rId2227" /><Relationship Type="http://schemas.openxmlformats.org/officeDocument/2006/relationships/hyperlink" Target="https://mstgolf.co.th/products/gf2020102015" TargetMode="External" Id="rId2228" /><Relationship Type="http://schemas.openxmlformats.org/officeDocument/2006/relationships/hyperlink" Target="https://mstgolf.co.th/products/gf2020102240" TargetMode="External" Id="rId2229" /><Relationship Type="http://schemas.openxmlformats.org/officeDocument/2006/relationships/hyperlink" Target="https://mstgolf.co.th/products/gf2020202513" TargetMode="External" Id="rId2230" /><Relationship Type="http://schemas.openxmlformats.org/officeDocument/2006/relationships/hyperlink" Target="https://mstgolf.co.th/products/gf2020101875" TargetMode="External" Id="rId2231" /><Relationship Type="http://schemas.openxmlformats.org/officeDocument/2006/relationships/hyperlink" Target="https://mstgolf.co.th/products/gf2040115488" TargetMode="External" Id="rId2232" /><Relationship Type="http://schemas.openxmlformats.org/officeDocument/2006/relationships/hyperlink" Target="https://mstgolf.co.th/products/gf2020102083" TargetMode="External" Id="rId2233" /><Relationship Type="http://schemas.openxmlformats.org/officeDocument/2006/relationships/hyperlink" Target="https://mstgolf.co.th/products/gf2020202066" TargetMode="External" Id="rId2234" /><Relationship Type="http://schemas.openxmlformats.org/officeDocument/2006/relationships/hyperlink" Target="https://mstgolf.co.th/products/gf2040401055" TargetMode="External" Id="rId2235" /><Relationship Type="http://schemas.openxmlformats.org/officeDocument/2006/relationships/hyperlink" Target="https://mstgolf.co.th/products/gf2040119920" TargetMode="External" Id="rId2236" /><Relationship Type="http://schemas.openxmlformats.org/officeDocument/2006/relationships/hyperlink" Target="https://mstgolf.co.th/products/gf2040119921" TargetMode="External" Id="rId2237" /><Relationship Type="http://schemas.openxmlformats.org/officeDocument/2006/relationships/hyperlink" Target="https://mstgolf.co.th/products/gf2040119922" TargetMode="External" Id="rId2238" /><Relationship Type="http://schemas.openxmlformats.org/officeDocument/2006/relationships/hyperlink" Target="https://mstgolf.co.th/products/gf2040120388" TargetMode="External" Id="rId2239" /><Relationship Type="http://schemas.openxmlformats.org/officeDocument/2006/relationships/hyperlink" Target="https://mstgolf.co.th/products/gf2040120387" TargetMode="External" Id="rId2240" /><Relationship Type="http://schemas.openxmlformats.org/officeDocument/2006/relationships/hyperlink" Target="https://mstgolf.co.th/products/gf2040119222" TargetMode="External" Id="rId2241" /><Relationship Type="http://schemas.openxmlformats.org/officeDocument/2006/relationships/hyperlink" Target="https://mstgolf.co.th/products/gf2020101791" TargetMode="External" Id="rId2242" /><Relationship Type="http://schemas.openxmlformats.org/officeDocument/2006/relationships/hyperlink" Target="https://mstgolf.co.th/products/gf2020202447" TargetMode="External" Id="rId2243" /><Relationship Type="http://schemas.openxmlformats.org/officeDocument/2006/relationships/hyperlink" Target="https://mstgolf.co.th/products/gf3500201664" TargetMode="External" Id="rId2244" /><Relationship Type="http://schemas.openxmlformats.org/officeDocument/2006/relationships/hyperlink" Target="https://mstgolf.co.th/products/gf2040120629" TargetMode="External" Id="rId2245" /><Relationship Type="http://schemas.openxmlformats.org/officeDocument/2006/relationships/hyperlink" Target="https://mstgolf.co.th/products/gf2040120635" TargetMode="External" Id="rId2246" /><Relationship Type="http://schemas.openxmlformats.org/officeDocument/2006/relationships/hyperlink" Target="https://mstgolf.co.th/products/gf2020202689" TargetMode="External" Id="rId2247" /><Relationship Type="http://schemas.openxmlformats.org/officeDocument/2006/relationships/hyperlink" Target="https://mstgolf.co.th/products/gf2020202269" TargetMode="External" Id="rId2248" /><Relationship Type="http://schemas.openxmlformats.org/officeDocument/2006/relationships/hyperlink" Target="https://mstgolf.co.th/products/gf2020202268" TargetMode="External" Id="rId2249" /><Relationship Type="http://schemas.openxmlformats.org/officeDocument/2006/relationships/hyperlink" Target="https://mstgolf.co.th/products/gf2040118246" TargetMode="External" Id="rId2250" /><Relationship Type="http://schemas.openxmlformats.org/officeDocument/2006/relationships/hyperlink" Target="https://mstgolf.co.th/products/gf2020201934" TargetMode="External" Id="rId2251" /><Relationship Type="http://schemas.openxmlformats.org/officeDocument/2006/relationships/hyperlink" Target="https://mstgolf.co.th/products/gf2020102217" TargetMode="External" Id="rId2252" /><Relationship Type="http://schemas.openxmlformats.org/officeDocument/2006/relationships/hyperlink" Target="https://mstgolf.co.th/products/gf2040119693" TargetMode="External" Id="rId2253" /><Relationship Type="http://schemas.openxmlformats.org/officeDocument/2006/relationships/hyperlink" Target="https://mstgolf.co.th/products/gf2020102500" TargetMode="External" Id="rId2254" /><Relationship Type="http://schemas.openxmlformats.org/officeDocument/2006/relationships/hyperlink" Target="https://mstgolf.co.th/products/gf2020202596" TargetMode="External" Id="rId2255" /><Relationship Type="http://schemas.openxmlformats.org/officeDocument/2006/relationships/hyperlink" Target="https://mstgolf.co.th/products/gf2020202597" TargetMode="External" Id="rId2256" /><Relationship Type="http://schemas.openxmlformats.org/officeDocument/2006/relationships/hyperlink" Target="https://mstgolf.co.th/products/gf2020202178" TargetMode="External" Id="rId2257" /><Relationship Type="http://schemas.openxmlformats.org/officeDocument/2006/relationships/hyperlink" Target="https://mstgolf.co.th/products/gf2040400836" TargetMode="External" Id="rId2258" /><Relationship Type="http://schemas.openxmlformats.org/officeDocument/2006/relationships/hyperlink" Target="https://mstgolf.co.th/products/gf2040119917" TargetMode="External" Id="rId2259" /><Relationship Type="http://schemas.openxmlformats.org/officeDocument/2006/relationships/hyperlink" Target="https://mstgolf.co.th/products/gf2040119918" TargetMode="External" Id="rId2260" /><Relationship Type="http://schemas.openxmlformats.org/officeDocument/2006/relationships/hyperlink" Target="https://mstgolf.co.th/products/gf2060101024" TargetMode="External" Id="rId2261" /><Relationship Type="http://schemas.openxmlformats.org/officeDocument/2006/relationships/hyperlink" Target="https://mstgolf.co.th/products/gf2040119980" TargetMode="External" Id="rId2262" /><Relationship Type="http://schemas.openxmlformats.org/officeDocument/2006/relationships/hyperlink" Target="https://mstgolf.co.th/products/test" TargetMode="External" Id="rId2263" /><Relationship Type="http://schemas.openxmlformats.org/officeDocument/2006/relationships/hyperlink" Target="https://mstgolf.co.th/products/gf2040120656" TargetMode="External" Id="rId2264" /><Relationship Type="http://schemas.openxmlformats.org/officeDocument/2006/relationships/hyperlink" Target="https://mstgolf.co.th/products/gf2040120657" TargetMode="External" Id="rId2265" /><Relationship Type="http://schemas.openxmlformats.org/officeDocument/2006/relationships/hyperlink" Target="https://mstgolf.co.th/products/gf2040120638" TargetMode="External" Id="rId2266" /><Relationship Type="http://schemas.openxmlformats.org/officeDocument/2006/relationships/hyperlink" Target="https://mstgolf.co.th/products/gf2040120658" TargetMode="External" Id="rId2267" /><Relationship Type="http://schemas.openxmlformats.org/officeDocument/2006/relationships/hyperlink" Target="https://mstgolf.co.th/products/gf2040119404" TargetMode="External" Id="rId2268" /><Relationship Type="http://schemas.openxmlformats.org/officeDocument/2006/relationships/hyperlink" Target="https://mstgolf.co.th/products/gf2020102498" TargetMode="External" Id="rId2269" /><Relationship Type="http://schemas.openxmlformats.org/officeDocument/2006/relationships/hyperlink" Target="https://mstgolf.co.th/products/gf2040119490" TargetMode="External" Id="rId2270" /><Relationship Type="http://schemas.openxmlformats.org/officeDocument/2006/relationships/hyperlink" Target="https://mstgolf.co.th/products/gf2040119402" TargetMode="External" Id="rId2271" /><Relationship Type="http://schemas.openxmlformats.org/officeDocument/2006/relationships/hyperlink" Target="https://mstgolf.co.th/products/gf2040119401" TargetMode="External" Id="rId2272" /><Relationship Type="http://schemas.openxmlformats.org/officeDocument/2006/relationships/hyperlink" Target="https://mstgolf.co.th/products/gf2040300177" TargetMode="External" Id="rId2273" /><Relationship Type="http://schemas.openxmlformats.org/officeDocument/2006/relationships/hyperlink" Target="https://mstgolf.co.th/products/gf2040121087" TargetMode="External" Id="rId2274" /><Relationship Type="http://schemas.openxmlformats.org/officeDocument/2006/relationships/hyperlink" Target="https://mstgolf.co.th/products/gf2040121084" TargetMode="External" Id="rId2275" /><Relationship Type="http://schemas.openxmlformats.org/officeDocument/2006/relationships/hyperlink" Target="https://mstgolf.co.th/products/gf2040401443" TargetMode="External" Id="rId2276" /><Relationship Type="http://schemas.openxmlformats.org/officeDocument/2006/relationships/hyperlink" Target="https://mstgolf.co.th/products/gf2040121135" TargetMode="External" Id="rId2277" /><Relationship Type="http://schemas.openxmlformats.org/officeDocument/2006/relationships/hyperlink" Target="https://mstgolf.co.th/products/gf2040121134" TargetMode="External" Id="rId2278" /><Relationship Type="http://schemas.openxmlformats.org/officeDocument/2006/relationships/hyperlink" Target="https://mstgolf.co.th/products/gf2040121132" TargetMode="External" Id="rId2279" /><Relationship Type="http://schemas.openxmlformats.org/officeDocument/2006/relationships/hyperlink" Target="https://mstgolf.co.th/products/gf2040121133" TargetMode="External" Id="rId2280" /><Relationship Type="http://schemas.openxmlformats.org/officeDocument/2006/relationships/hyperlink" Target="https://mstgolf.co.th/products/gf2040120540" TargetMode="External" Id="rId2281" /><Relationship Type="http://schemas.openxmlformats.org/officeDocument/2006/relationships/hyperlink" Target="https://mstgolf.co.th/products/gf2040120542" TargetMode="External" Id="rId2282" /><Relationship Type="http://schemas.openxmlformats.org/officeDocument/2006/relationships/hyperlink" Target="https://mstgolf.co.th/products/gf2040120543" TargetMode="External" Id="rId2283" /><Relationship Type="http://schemas.openxmlformats.org/officeDocument/2006/relationships/hyperlink" Target="https://mstgolf.co.th/products/gf2040120541" TargetMode="External" Id="rId2284" /><Relationship Type="http://schemas.openxmlformats.org/officeDocument/2006/relationships/hyperlink" Target="https://mstgolf.co.th/products/gf2020202854" TargetMode="External" Id="rId2285" /><Relationship Type="http://schemas.openxmlformats.org/officeDocument/2006/relationships/hyperlink" Target="https://mstgolf.co.th/products/gf2020202808" TargetMode="External" Id="rId2286" /><Relationship Type="http://schemas.openxmlformats.org/officeDocument/2006/relationships/hyperlink" Target="https://mstgolf.co.th/products/gf2020202806" TargetMode="External" Id="rId2287" /><Relationship Type="http://schemas.openxmlformats.org/officeDocument/2006/relationships/hyperlink" Target="https://mstgolf.co.th/products/gf2020202809" TargetMode="External" Id="rId2288" /><Relationship Type="http://schemas.openxmlformats.org/officeDocument/2006/relationships/hyperlink" Target="https://mstgolf.co.th/products/gf2020202807" TargetMode="External" Id="rId2289" /><Relationship Type="http://schemas.openxmlformats.org/officeDocument/2006/relationships/hyperlink" Target="https://mstgolf.co.th/products/gf2020202810" TargetMode="External" Id="rId2290" /><Relationship Type="http://schemas.openxmlformats.org/officeDocument/2006/relationships/hyperlink" Target="https://mstgolf.co.th/products/gf2040120499" TargetMode="External" Id="rId2291" /><Relationship Type="http://schemas.openxmlformats.org/officeDocument/2006/relationships/hyperlink" Target="https://mstgolf.co.th/products/gf2040120502" TargetMode="External" Id="rId2292" /><Relationship Type="http://schemas.openxmlformats.org/officeDocument/2006/relationships/hyperlink" Target="https://mstgolf.co.th/products/gf2040120500" TargetMode="External" Id="rId2293" /><Relationship Type="http://schemas.openxmlformats.org/officeDocument/2006/relationships/hyperlink" Target="https://mstgolf.co.th/products/gf2040120498" TargetMode="External" Id="rId2294" /><Relationship Type="http://schemas.openxmlformats.org/officeDocument/2006/relationships/hyperlink" Target="https://mstgolf.co.th/products/gf2040121093" TargetMode="External" Id="rId2295" /><Relationship Type="http://schemas.openxmlformats.org/officeDocument/2006/relationships/hyperlink" Target="https://mstgolf.co.th/products/gf2040120501" TargetMode="External" Id="rId2296" /><Relationship Type="http://schemas.openxmlformats.org/officeDocument/2006/relationships/hyperlink" Target="https://mstgolf.co.th/products/gf2020300135" TargetMode="External" Id="rId2297" /><Relationship Type="http://schemas.openxmlformats.org/officeDocument/2006/relationships/hyperlink" Target="https://mstgolf.co.th/products/gf2020300134" TargetMode="External" Id="rId2298" /><Relationship Type="http://schemas.openxmlformats.org/officeDocument/2006/relationships/hyperlink" Target="https://mstgolf.co.th/products/gf2040120528" TargetMode="External" Id="rId2299" /><Relationship Type="http://schemas.openxmlformats.org/officeDocument/2006/relationships/hyperlink" Target="https://mstgolf.co.th/products/gf2020101596" TargetMode="External" Id="rId2300" /><Relationship Type="http://schemas.openxmlformats.org/officeDocument/2006/relationships/hyperlink" Target="https://mstgolf.co.th/products/gf2020101597" TargetMode="External" Id="rId2301" /><Relationship Type="http://schemas.openxmlformats.org/officeDocument/2006/relationships/hyperlink" Target="https://mstgolf.co.th/products/gf2020102057" TargetMode="External" Id="rId2302" /><Relationship Type="http://schemas.openxmlformats.org/officeDocument/2006/relationships/hyperlink" Target="https://mstgolf.co.th/products/gf2020101598" TargetMode="External" Id="rId2303" /><Relationship Type="http://schemas.openxmlformats.org/officeDocument/2006/relationships/hyperlink" Target="https://mstgolf.co.th/products/gf2020102058" TargetMode="External" Id="rId2304" /><Relationship Type="http://schemas.openxmlformats.org/officeDocument/2006/relationships/hyperlink" Target="https://mstgolf.co.th/products/gf2060101043" TargetMode="External" Id="rId2305" /><Relationship Type="http://schemas.openxmlformats.org/officeDocument/2006/relationships/hyperlink" Target="https://mstgolf.co.th/products/gf2020202639" TargetMode="External" Id="rId2306" /><Relationship Type="http://schemas.openxmlformats.org/officeDocument/2006/relationships/hyperlink" Target="https://mstgolf.co.th/products/gf2020202641" TargetMode="External" Id="rId2307" /><Relationship Type="http://schemas.openxmlformats.org/officeDocument/2006/relationships/hyperlink" Target="https://mstgolf.co.th/products/gf2020202643" TargetMode="External" Id="rId2308" /><Relationship Type="http://schemas.openxmlformats.org/officeDocument/2006/relationships/hyperlink" Target="https://mstgolf.co.th/products/gf2020202644" TargetMode="External" Id="rId2309" /><Relationship Type="http://schemas.openxmlformats.org/officeDocument/2006/relationships/hyperlink" Target="https://mstgolf.co.th/products/gf2020202334" TargetMode="External" Id="rId2310" /><Relationship Type="http://schemas.openxmlformats.org/officeDocument/2006/relationships/hyperlink" Target="https://mstgolf.co.th/products/gf2020202337" TargetMode="External" Id="rId2311" /><Relationship Type="http://schemas.openxmlformats.org/officeDocument/2006/relationships/hyperlink" Target="https://mstgolf.co.th/products/gf2020202336" TargetMode="External" Id="rId2312" /><Relationship Type="http://schemas.openxmlformats.org/officeDocument/2006/relationships/hyperlink" Target="https://mstgolf.co.th/products/gf2020202335" TargetMode="External" Id="rId2313" /><Relationship Type="http://schemas.openxmlformats.org/officeDocument/2006/relationships/hyperlink" Target="https://mstgolf.co.th/products/gf2040119360" TargetMode="External" Id="rId2314" /><Relationship Type="http://schemas.openxmlformats.org/officeDocument/2006/relationships/hyperlink" Target="https://mstgolf.co.th/products/gf2040119361" TargetMode="External" Id="rId2315" /><Relationship Type="http://schemas.openxmlformats.org/officeDocument/2006/relationships/hyperlink" Target="https://mstgolf.co.th/products/gf2040401276" TargetMode="External" Id="rId2316" /><Relationship Type="http://schemas.openxmlformats.org/officeDocument/2006/relationships/hyperlink" Target="https://mstgolf.co.th/products/gf2040118662" TargetMode="External" Id="rId2317" /><Relationship Type="http://schemas.openxmlformats.org/officeDocument/2006/relationships/hyperlink" Target="https://mstgolf.co.th/products/gf2040118663" TargetMode="External" Id="rId2318" /><Relationship Type="http://schemas.openxmlformats.org/officeDocument/2006/relationships/hyperlink" Target="https://mstgolf.co.th/products/gf2040119094" TargetMode="External" Id="rId2319" /><Relationship Type="http://schemas.openxmlformats.org/officeDocument/2006/relationships/hyperlink" Target="https://mstgolf.co.th/products/gf2040120591" TargetMode="External" Id="rId2320" /><Relationship Type="http://schemas.openxmlformats.org/officeDocument/2006/relationships/hyperlink" Target="https://mstgolf.co.th/products/gf2020202591" TargetMode="External" Id="rId2321" /><Relationship Type="http://schemas.openxmlformats.org/officeDocument/2006/relationships/hyperlink" Target="https://mstgolf.co.th/products/gf2040118664" TargetMode="External" Id="rId2322" /><Relationship Type="http://schemas.openxmlformats.org/officeDocument/2006/relationships/hyperlink" Target="https://mstgolf.co.th/products/gf2040400896" TargetMode="External" Id="rId2323" /><Relationship Type="http://schemas.openxmlformats.org/officeDocument/2006/relationships/hyperlink" Target="https://mstgolf.co.th/products/gf2020102037" TargetMode="External" Id="rId2324" /><Relationship Type="http://schemas.openxmlformats.org/officeDocument/2006/relationships/hyperlink" Target="https://mstgolf.co.th/products/gf2020102038" TargetMode="External" Id="rId2325" /><Relationship Type="http://schemas.openxmlformats.org/officeDocument/2006/relationships/hyperlink" Target="https://mstgolf.co.th/products/gf2020102632" TargetMode="External" Id="rId2326" /><Relationship Type="http://schemas.openxmlformats.org/officeDocument/2006/relationships/hyperlink" Target="https://mstgolf.co.th/products/gf2020102633" TargetMode="External" Id="rId2327" /><Relationship Type="http://schemas.openxmlformats.org/officeDocument/2006/relationships/hyperlink" Target="https://mstgolf.co.th/products/gf2020102634" TargetMode="External" Id="rId2328" /><Relationship Type="http://schemas.openxmlformats.org/officeDocument/2006/relationships/hyperlink" Target="https://mstgolf.co.th/products/gf2020102635" TargetMode="External" Id="rId2329" /><Relationship Type="http://schemas.openxmlformats.org/officeDocument/2006/relationships/hyperlink" Target="https://mstgolf.co.th/products/gf2060101223" TargetMode="External" Id="rId2330" /><Relationship Type="http://schemas.openxmlformats.org/officeDocument/2006/relationships/hyperlink" Target="https://mstgolf.co.th/products/gf2060101222" TargetMode="External" Id="rId2331" /><Relationship Type="http://schemas.openxmlformats.org/officeDocument/2006/relationships/hyperlink" Target="https://mstgolf.co.th/products/gf2040401389" TargetMode="External" Id="rId2332" /><Relationship Type="http://schemas.openxmlformats.org/officeDocument/2006/relationships/hyperlink" Target="https://mstgolf.co.th/products/gf2040401460" TargetMode="External" Id="rId2333" /><Relationship Type="http://schemas.openxmlformats.org/officeDocument/2006/relationships/hyperlink" Target="https://mstgolf.co.th/products/gf2040401462" TargetMode="External" Id="rId2334" /><Relationship Type="http://schemas.openxmlformats.org/officeDocument/2006/relationships/hyperlink" Target="https://mstgolf.co.th/products/gf2060101242" TargetMode="External" Id="rId2335" /><Relationship Type="http://schemas.openxmlformats.org/officeDocument/2006/relationships/hyperlink" Target="https://mstgolf.co.th/products/gf2060101241" TargetMode="External" Id="rId2336" /><Relationship Type="http://schemas.openxmlformats.org/officeDocument/2006/relationships/hyperlink" Target="https://mstgolf.co.th/products/gf2040118893" TargetMode="External" Id="rId2337" /><Relationship Type="http://schemas.openxmlformats.org/officeDocument/2006/relationships/hyperlink" Target="https://mstgolf.co.th/products/gf2020202618" TargetMode="External" Id="rId2338" /><Relationship Type="http://schemas.openxmlformats.org/officeDocument/2006/relationships/hyperlink" Target="https://mstgolf.co.th/products/gf2040118854" TargetMode="External" Id="rId2339" /><Relationship Type="http://schemas.openxmlformats.org/officeDocument/2006/relationships/hyperlink" Target="https://mstgolf.co.th/products/gf2040118855" TargetMode="External" Id="rId2340" /><Relationship Type="http://schemas.openxmlformats.org/officeDocument/2006/relationships/hyperlink" Target="https://mstgolf.co.th/products/gf2060101131" TargetMode="External" Id="rId2341" /><Relationship Type="http://schemas.openxmlformats.org/officeDocument/2006/relationships/hyperlink" Target="https://mstgolf.co.th/products/gf2060101133" TargetMode="External" Id="rId2342" /><Relationship Type="http://schemas.openxmlformats.org/officeDocument/2006/relationships/hyperlink" Target="https://mstgolf.co.th/products/gf2040120581" TargetMode="External" Id="rId2343" /><Relationship Type="http://schemas.openxmlformats.org/officeDocument/2006/relationships/hyperlink" Target="https://mstgolf.co.th/products/gf2020102689" TargetMode="External" Id="rId2344" /><Relationship Type="http://schemas.openxmlformats.org/officeDocument/2006/relationships/hyperlink" Target="https://mstgolf.co.th/products/gf2020102137" TargetMode="External" Id="rId2345" /><Relationship Type="http://schemas.openxmlformats.org/officeDocument/2006/relationships/hyperlink" Target="https://mstgolf.co.th/products/gf2040119259" TargetMode="External" Id="rId2346" /><Relationship Type="http://schemas.openxmlformats.org/officeDocument/2006/relationships/hyperlink" Target="https://mstgolf.co.th/products/gf2040119278" TargetMode="External" Id="rId2347" /><Relationship Type="http://schemas.openxmlformats.org/officeDocument/2006/relationships/hyperlink" Target="https://mstgolf.co.th/products/gf2040119277" TargetMode="External" Id="rId2348" /><Relationship Type="http://schemas.openxmlformats.org/officeDocument/2006/relationships/hyperlink" Target="https://mstgolf.co.th/products/gf2040119271" TargetMode="External" Id="rId2349" /><Relationship Type="http://schemas.openxmlformats.org/officeDocument/2006/relationships/hyperlink" Target="https://mstgolf.co.th/products/gf2040119270" TargetMode="External" Id="rId2350" /><Relationship Type="http://schemas.openxmlformats.org/officeDocument/2006/relationships/hyperlink" Target="https://mstgolf.co.th/products/gf2040119260" TargetMode="External" Id="rId2351" /><Relationship Type="http://schemas.openxmlformats.org/officeDocument/2006/relationships/hyperlink" Target="https://mstgolf.co.th/products/gf2040120275" TargetMode="External" Id="rId2352" /><Relationship Type="http://schemas.openxmlformats.org/officeDocument/2006/relationships/hyperlink" Target="https://mstgolf.co.th/products/gf2040119266" TargetMode="External" Id="rId2353" /><Relationship Type="http://schemas.openxmlformats.org/officeDocument/2006/relationships/hyperlink" Target="https://mstgolf.co.th/products/gf2040116417" TargetMode="External" Id="rId2354" /><Relationship Type="http://schemas.openxmlformats.org/officeDocument/2006/relationships/hyperlink" Target="https://mstgolf.co.th/products/gf2040119909" TargetMode="External" Id="rId2355" /><Relationship Type="http://schemas.openxmlformats.org/officeDocument/2006/relationships/hyperlink" Target="https://mstgolf.co.th/products/gf2020102305" TargetMode="External" Id="rId2356" /><Relationship Type="http://schemas.openxmlformats.org/officeDocument/2006/relationships/hyperlink" Target="https://mstgolf.co.th/products/gf2040118366" TargetMode="External" Id="rId2357" /><Relationship Type="http://schemas.openxmlformats.org/officeDocument/2006/relationships/hyperlink" Target="https://mstgolf.co.th/products/gf2040116415" TargetMode="External" Id="rId2358" /><Relationship Type="http://schemas.openxmlformats.org/officeDocument/2006/relationships/hyperlink" Target="https://mstgolf.co.th/products/gf2040118367" TargetMode="External" Id="rId2359" /><Relationship Type="http://schemas.openxmlformats.org/officeDocument/2006/relationships/hyperlink" Target="https://mstgolf.co.th/products/gf2040116416" TargetMode="External" Id="rId2360" /><Relationship Type="http://schemas.openxmlformats.org/officeDocument/2006/relationships/hyperlink" Target="https://mstgolf.co.th/products/gf2040118378" TargetMode="External" Id="rId2361" /><Relationship Type="http://schemas.openxmlformats.org/officeDocument/2006/relationships/hyperlink" Target="https://mstgolf.co.th/products/gf2020102079" TargetMode="External" Id="rId2362" /><Relationship Type="http://schemas.openxmlformats.org/officeDocument/2006/relationships/hyperlink" Target="https://mstgolf.co.th/products/gf2020102084" TargetMode="External" Id="rId2363" /><Relationship Type="http://schemas.openxmlformats.org/officeDocument/2006/relationships/hyperlink" Target="https://mstgolf.co.th/products/gf2020202417" TargetMode="External" Id="rId2364" /><Relationship Type="http://schemas.openxmlformats.org/officeDocument/2006/relationships/hyperlink" Target="https://mstgolf.co.th/products/gf2020300063" TargetMode="External" Id="rId2365" /><Relationship Type="http://schemas.openxmlformats.org/officeDocument/2006/relationships/hyperlink" Target="https://mstgolf.co.th/products/gf2040300172" TargetMode="External" Id="rId2366" /><Relationship Type="http://schemas.openxmlformats.org/officeDocument/2006/relationships/hyperlink" Target="https://mstgolf.co.th/products/gf2020102229" TargetMode="External" Id="rId2367" /><Relationship Type="http://schemas.openxmlformats.org/officeDocument/2006/relationships/hyperlink" Target="https://mstgolf.co.th/products/gf2060101022" TargetMode="External" Id="rId2368" /><Relationship Type="http://schemas.openxmlformats.org/officeDocument/2006/relationships/hyperlink" Target="https://mstgolf.co.th/products/gf2040118026" TargetMode="External" Id="rId2369" /><Relationship Type="http://schemas.openxmlformats.org/officeDocument/2006/relationships/hyperlink" Target="https://mstgolf.co.th/products/gf2040120651" TargetMode="External" Id="rId2370" /><Relationship Type="http://schemas.openxmlformats.org/officeDocument/2006/relationships/hyperlink" Target="https://mstgolf.co.th/products/gf2020102286" TargetMode="External" Id="rId2371" /><Relationship Type="http://schemas.openxmlformats.org/officeDocument/2006/relationships/hyperlink" Target="https://mstgolf.co.th/products/gf2020102391" TargetMode="External" Id="rId2372" /><Relationship Type="http://schemas.openxmlformats.org/officeDocument/2006/relationships/hyperlink" Target="https://mstgolf.co.th/products/gf2020102393" TargetMode="External" Id="rId2373" /><Relationship Type="http://schemas.openxmlformats.org/officeDocument/2006/relationships/hyperlink" Target="https://mstgolf.co.th/products/gf2040119653" TargetMode="External" Id="rId2374" /><Relationship Type="http://schemas.openxmlformats.org/officeDocument/2006/relationships/hyperlink" Target="https://mstgolf.co.th/products/gf2040119651" TargetMode="External" Id="rId2375" /><Relationship Type="http://schemas.openxmlformats.org/officeDocument/2006/relationships/hyperlink" Target="https://mstgolf.co.th/products/gf2040119652" TargetMode="External" Id="rId2376" /><Relationship Type="http://schemas.openxmlformats.org/officeDocument/2006/relationships/hyperlink" Target="https://mstgolf.co.th/products/gf2040119686" TargetMode="External" Id="rId2377" /><Relationship Type="http://schemas.openxmlformats.org/officeDocument/2006/relationships/hyperlink" Target="https://mstgolf.co.th/products/gf2020201670" TargetMode="External" Id="rId2378" /><Relationship Type="http://schemas.openxmlformats.org/officeDocument/2006/relationships/hyperlink" Target="https://mstgolf.co.th/products/gf2040118058" TargetMode="External" Id="rId2379" /><Relationship Type="http://schemas.openxmlformats.org/officeDocument/2006/relationships/hyperlink" Target="https://mstgolf.co.th/products/gf2040118061" TargetMode="External" Id="rId2380" /><Relationship Type="http://schemas.openxmlformats.org/officeDocument/2006/relationships/hyperlink" Target="https://mstgolf.co.th/products/gf2020201856" TargetMode="External" Id="rId2381" /><Relationship Type="http://schemas.openxmlformats.org/officeDocument/2006/relationships/hyperlink" Target="https://mstgolf.co.th/products/gf2040401129" TargetMode="External" Id="rId2382" /><Relationship Type="http://schemas.openxmlformats.org/officeDocument/2006/relationships/hyperlink" Target="https://mstgolf.co.th/products/gf2020101767" TargetMode="External" Id="rId2383" /><Relationship Type="http://schemas.openxmlformats.org/officeDocument/2006/relationships/hyperlink" Target="https://mstgolf.co.th/products/gf2020101898" TargetMode="External" Id="rId2384" /><Relationship Type="http://schemas.openxmlformats.org/officeDocument/2006/relationships/hyperlink" Target="https://mstgolf.co.th/products/gf2020101253" TargetMode="External" Id="rId2385" /><Relationship Type="http://schemas.openxmlformats.org/officeDocument/2006/relationships/hyperlink" Target="https://mstgolf.co.th/products/gf2000300456" TargetMode="External" Id="rId2386" /><Relationship Type="http://schemas.openxmlformats.org/officeDocument/2006/relationships/hyperlink" Target="https://mstgolf.co.th/products/gf2020202822" TargetMode="External" Id="rId2387" /><Relationship Type="http://schemas.openxmlformats.org/officeDocument/2006/relationships/hyperlink" Target="https://mstgolf.co.th/products/gf2040119558" TargetMode="External" Id="rId2388" /><Relationship Type="http://schemas.openxmlformats.org/officeDocument/2006/relationships/hyperlink" Target="https://mstgolf.co.th/products/gf2040113879" TargetMode="External" Id="rId2389" /><Relationship Type="http://schemas.openxmlformats.org/officeDocument/2006/relationships/hyperlink" Target="https://mstgolf.co.th/products/gf2040400780" TargetMode="External" Id="rId2390" /><Relationship Type="http://schemas.openxmlformats.org/officeDocument/2006/relationships/hyperlink" Target="https://mstgolf.co.th/products/gf2040113878" TargetMode="External" Id="rId2391" /><Relationship Type="http://schemas.openxmlformats.org/officeDocument/2006/relationships/hyperlink" Target="https://mstgolf.co.th/products/gf2040113868" TargetMode="External" Id="rId2392" /><Relationship Type="http://schemas.openxmlformats.org/officeDocument/2006/relationships/hyperlink" Target="https://mstgolf.co.th/products/gf3500200931" TargetMode="External" Id="rId2393" /><Relationship Type="http://schemas.openxmlformats.org/officeDocument/2006/relationships/hyperlink" Target="https://mstgolf.co.th/products/gf3150100354" TargetMode="External" Id="rId2394" /><Relationship Type="http://schemas.openxmlformats.org/officeDocument/2006/relationships/hyperlink" Target="https://mstgolf.co.th/products/gf3150100345" TargetMode="External" Id="rId2395" /><Relationship Type="http://schemas.openxmlformats.org/officeDocument/2006/relationships/hyperlink" Target="https://mstgolf.co.th/products/gf2000300391" TargetMode="External" Id="rId2396" /><Relationship Type="http://schemas.openxmlformats.org/officeDocument/2006/relationships/hyperlink" Target="https://mstgolf.co.th/products/gf2040119451" TargetMode="External" Id="rId2397" /><Relationship Type="http://schemas.openxmlformats.org/officeDocument/2006/relationships/hyperlink" Target="https://mstgolf.co.th/products/gf2040120469" TargetMode="External" Id="rId2398" /><Relationship Type="http://schemas.openxmlformats.org/officeDocument/2006/relationships/hyperlink" Target="https://mstgolf.co.th/products/gf2040121129" TargetMode="External" Id="rId2399" /><Relationship Type="http://schemas.openxmlformats.org/officeDocument/2006/relationships/hyperlink" Target="https://mstgolf.co.th/products/gf2040121130" TargetMode="External" Id="rId2400" /><Relationship Type="http://schemas.openxmlformats.org/officeDocument/2006/relationships/hyperlink" Target="https://mstgolf.co.th/products/gf2040121128" TargetMode="External" Id="rId2401" /><Relationship Type="http://schemas.openxmlformats.org/officeDocument/2006/relationships/hyperlink" Target="https://mstgolf.co.th/products/gf2040120544" TargetMode="External" Id="rId2402" /><Relationship Type="http://schemas.openxmlformats.org/officeDocument/2006/relationships/hyperlink" Target="https://mstgolf.co.th/products/gf2040120546" TargetMode="External" Id="rId2403" /><Relationship Type="http://schemas.openxmlformats.org/officeDocument/2006/relationships/hyperlink" Target="https://mstgolf.co.th/products/gf2040120547" TargetMode="External" Id="rId2404" /><Relationship Type="http://schemas.openxmlformats.org/officeDocument/2006/relationships/hyperlink" Target="https://mstgolf.co.th/products/gf2040120545" TargetMode="External" Id="rId2405" /><Relationship Type="http://schemas.openxmlformats.org/officeDocument/2006/relationships/hyperlink" Target="https://mstgolf.co.th/products/gf2020102263" TargetMode="External" Id="rId2406" /><Relationship Type="http://schemas.openxmlformats.org/officeDocument/2006/relationships/hyperlink" Target="https://mstgolf.co.th/products/gf2020102383" TargetMode="External" Id="rId2407" /><Relationship Type="http://schemas.openxmlformats.org/officeDocument/2006/relationships/hyperlink" Target="https://mstgolf.co.th/products/gf2020102254" TargetMode="External" Id="rId2408" /><Relationship Type="http://schemas.openxmlformats.org/officeDocument/2006/relationships/hyperlink" Target="https://mstgolf.co.th/products/gf2020102255" TargetMode="External" Id="rId2409" /><Relationship Type="http://schemas.openxmlformats.org/officeDocument/2006/relationships/hyperlink" Target="https://mstgolf.co.th/products/gf2020202652" TargetMode="External" Id="rId2410" /><Relationship Type="http://schemas.openxmlformats.org/officeDocument/2006/relationships/hyperlink" Target="https://mstgolf.co.th/products/gf2040121079" TargetMode="External" Id="rId2411" /><Relationship Type="http://schemas.openxmlformats.org/officeDocument/2006/relationships/hyperlink" Target="https://mstgolf.co.th/products/gf2040121077" TargetMode="External" Id="rId2412" /><Relationship Type="http://schemas.openxmlformats.org/officeDocument/2006/relationships/hyperlink" Target="https://mstgolf.co.th/products/gf2040119351" TargetMode="External" Id="rId2413" /><Relationship Type="http://schemas.openxmlformats.org/officeDocument/2006/relationships/hyperlink" Target="https://mstgolf.co.th/products/gf2040119352" TargetMode="External" Id="rId2414" /><Relationship Type="http://schemas.openxmlformats.org/officeDocument/2006/relationships/hyperlink" Target="https://mstgolf.co.th/products/gf2040119353" TargetMode="External" Id="rId2415" /><Relationship Type="http://schemas.openxmlformats.org/officeDocument/2006/relationships/hyperlink" Target="https://mstgolf.co.th/products/gf2040119354" TargetMode="External" Id="rId2416" /><Relationship Type="http://schemas.openxmlformats.org/officeDocument/2006/relationships/hyperlink" Target="https://mstgolf.co.th/products/gf2040119355" TargetMode="External" Id="rId2417" /><Relationship Type="http://schemas.openxmlformats.org/officeDocument/2006/relationships/hyperlink" Target="https://mstgolf.co.th/products/gf2040119358" TargetMode="External" Id="rId2418" /><Relationship Type="http://schemas.openxmlformats.org/officeDocument/2006/relationships/hyperlink" Target="https://mstgolf.co.th/products/gf2040119359" TargetMode="External" Id="rId2419" /><Relationship Type="http://schemas.openxmlformats.org/officeDocument/2006/relationships/hyperlink" Target="https://mstgolf.co.th/products/gf2020600039" TargetMode="External" Id="rId2420" /><Relationship Type="http://schemas.openxmlformats.org/officeDocument/2006/relationships/hyperlink" Target="https://mstgolf.co.th/products/gf2020600040" TargetMode="External" Id="rId2421" /><Relationship Type="http://schemas.openxmlformats.org/officeDocument/2006/relationships/hyperlink" Target="https://mstgolf.co.th/products/gf2040401123" TargetMode="External" Id="rId2422" /><Relationship Type="http://schemas.openxmlformats.org/officeDocument/2006/relationships/hyperlink" Target="https://mstgolf.co.th/products/gf2040401122" TargetMode="External" Id="rId2423" /><Relationship Type="http://schemas.openxmlformats.org/officeDocument/2006/relationships/hyperlink" Target="https://mstgolf.co.th/products/gf2040401340" TargetMode="External" Id="rId2424" /><Relationship Type="http://schemas.openxmlformats.org/officeDocument/2006/relationships/hyperlink" Target="https://mstgolf.co.th/products/gf2040401342" TargetMode="External" Id="rId2425" /><Relationship Type="http://schemas.openxmlformats.org/officeDocument/2006/relationships/hyperlink" Target="https://mstgolf.co.th/products/gf2020202538" TargetMode="External" Id="rId2426" /><Relationship Type="http://schemas.openxmlformats.org/officeDocument/2006/relationships/hyperlink" Target="https://mstgolf.co.th/products/gf2040400903" TargetMode="External" Id="rId2427" /><Relationship Type="http://schemas.openxmlformats.org/officeDocument/2006/relationships/hyperlink" Target="https://mstgolf.co.th/products/gf2040114160" TargetMode="External" Id="rId2428" /><Relationship Type="http://schemas.openxmlformats.org/officeDocument/2006/relationships/hyperlink" Target="https://mstgolf.co.th/products/gf2080101229" TargetMode="External" Id="rId2429" /><Relationship Type="http://schemas.openxmlformats.org/officeDocument/2006/relationships/hyperlink" Target="https://mstgolf.co.th/products/gf2060100793" TargetMode="External" Id="rId2430" /><Relationship Type="http://schemas.openxmlformats.org/officeDocument/2006/relationships/hyperlink" Target="https://mstgolf.co.th/products/gf2040114159" TargetMode="External" Id="rId2431" /><Relationship Type="http://schemas.openxmlformats.org/officeDocument/2006/relationships/hyperlink" Target="https://mstgolf.co.th/products/gf2040114169" TargetMode="External" Id="rId2432" /><Relationship Type="http://schemas.openxmlformats.org/officeDocument/2006/relationships/hyperlink" Target="https://mstgolf.co.th/products/gf2060100999" TargetMode="External" Id="rId2433" /><Relationship Type="http://schemas.openxmlformats.org/officeDocument/2006/relationships/hyperlink" Target="https://mstgolf.co.th/products/gf2040117876" TargetMode="External" Id="rId2434" /><Relationship Type="http://schemas.openxmlformats.org/officeDocument/2006/relationships/hyperlink" Target="https://mstgolf.co.th/products/gf2020202272" TargetMode="External" Id="rId2435" /><Relationship Type="http://schemas.openxmlformats.org/officeDocument/2006/relationships/hyperlink" Target="https://mstgolf.co.th/products/gf2040114165" TargetMode="External" Id="rId2436" /><Relationship Type="http://schemas.openxmlformats.org/officeDocument/2006/relationships/hyperlink" Target="https://mstgolf.co.th/products/gf2040114166" TargetMode="External" Id="rId2437" /><Relationship Type="http://schemas.openxmlformats.org/officeDocument/2006/relationships/hyperlink" Target="https://mstgolf.co.th/products/gf2020202277" TargetMode="External" Id="rId2438" /><Relationship Type="http://schemas.openxmlformats.org/officeDocument/2006/relationships/hyperlink" Target="https://mstgolf.co.th/products/gf2020101614" TargetMode="External" Id="rId2439" /><Relationship Type="http://schemas.openxmlformats.org/officeDocument/2006/relationships/hyperlink" Target="https://mstgolf.co.th/products/gf2020300145" TargetMode="External" Id="rId2440" /><Relationship Type="http://schemas.openxmlformats.org/officeDocument/2006/relationships/hyperlink" Target="https://mstgolf.co.th/products/gf2020300146" TargetMode="External" Id="rId2441" /><Relationship Type="http://schemas.openxmlformats.org/officeDocument/2006/relationships/hyperlink" Target="https://mstgolf.co.th/products/gf2020300147" TargetMode="External" Id="rId2442" /><Relationship Type="http://schemas.openxmlformats.org/officeDocument/2006/relationships/hyperlink" Target="https://mstgolf.co.th/products/gf2020300148" TargetMode="External" Id="rId2443" /><Relationship Type="http://schemas.openxmlformats.org/officeDocument/2006/relationships/hyperlink" Target="https://mstgolf.co.th/products/gf2020300149" TargetMode="External" Id="rId2444" /><Relationship Type="http://schemas.openxmlformats.org/officeDocument/2006/relationships/hyperlink" Target="https://mstgolf.co.th/products/gf2040120762" TargetMode="External" Id="rId2445" /><Relationship Type="http://schemas.openxmlformats.org/officeDocument/2006/relationships/hyperlink" Target="https://mstgolf.co.th/products/gf2040120760" TargetMode="External" Id="rId2446" /><Relationship Type="http://schemas.openxmlformats.org/officeDocument/2006/relationships/hyperlink" Target="https://mstgolf.co.th/products/gf2040120767" TargetMode="External" Id="rId2447" /><Relationship Type="http://schemas.openxmlformats.org/officeDocument/2006/relationships/hyperlink" Target="https://mstgolf.co.th/products/gf2040120768" TargetMode="External" Id="rId2448" /><Relationship Type="http://schemas.openxmlformats.org/officeDocument/2006/relationships/hyperlink" Target="https://mstgolf.co.th/products/gf2040120769" TargetMode="External" Id="rId2449" /><Relationship Type="http://schemas.openxmlformats.org/officeDocument/2006/relationships/hyperlink" Target="https://mstgolf.co.th/products/gf2040120758" TargetMode="External" Id="rId2450" /><Relationship Type="http://schemas.openxmlformats.org/officeDocument/2006/relationships/hyperlink" Target="https://mstgolf.co.th/products/gf2040120750" TargetMode="External" Id="rId2451" /><Relationship Type="http://schemas.openxmlformats.org/officeDocument/2006/relationships/hyperlink" Target="https://mstgolf.co.th/products/gf2040120756" TargetMode="External" Id="rId2452" /><Relationship Type="http://schemas.openxmlformats.org/officeDocument/2006/relationships/hyperlink" Target="https://mstgolf.co.th/products/gf2040120751" TargetMode="External" Id="rId2453" /><Relationship Type="http://schemas.openxmlformats.org/officeDocument/2006/relationships/hyperlink" Target="https://mstgolf.co.th/products/gf2040120752" TargetMode="External" Id="rId2454" /><Relationship Type="http://schemas.openxmlformats.org/officeDocument/2006/relationships/hyperlink" Target="https://mstgolf.co.th/products/gf2040120753" TargetMode="External" Id="rId2455" /><Relationship Type="http://schemas.openxmlformats.org/officeDocument/2006/relationships/hyperlink" Target="https://mstgolf.co.th/products/gf2020202832" TargetMode="External" Id="rId2456" /><Relationship Type="http://schemas.openxmlformats.org/officeDocument/2006/relationships/hyperlink" Target="https://mstgolf.co.th/products/gf2020202833" TargetMode="External" Id="rId2457" /><Relationship Type="http://schemas.openxmlformats.org/officeDocument/2006/relationships/hyperlink" Target="https://mstgolf.co.th/products/gf2020202834" TargetMode="External" Id="rId2458" /><Relationship Type="http://schemas.openxmlformats.org/officeDocument/2006/relationships/hyperlink" Target="https://mstgolf.co.th/products/gf2040119216" TargetMode="External" Id="rId2459" /><Relationship Type="http://schemas.openxmlformats.org/officeDocument/2006/relationships/hyperlink" Target="https://mstgolf.co.th/products/gf2020102289" TargetMode="External" Id="rId2460" /><Relationship Type="http://schemas.openxmlformats.org/officeDocument/2006/relationships/hyperlink" Target="https://mstgolf.co.th/products/gf2040119253" TargetMode="External" Id="rId2461" /><Relationship Type="http://schemas.openxmlformats.org/officeDocument/2006/relationships/hyperlink" Target="https://mstgolf.co.th/products/gf2040120278" TargetMode="External" Id="rId2462" /><Relationship Type="http://schemas.openxmlformats.org/officeDocument/2006/relationships/hyperlink" Target="https://mstgolf.co.th/products/gf2020101812" TargetMode="External" Id="rId2463" /><Relationship Type="http://schemas.openxmlformats.org/officeDocument/2006/relationships/hyperlink" Target="https://mstgolf.co.th/products/gf2020102014" TargetMode="External" Id="rId2464" /><Relationship Type="http://schemas.openxmlformats.org/officeDocument/2006/relationships/hyperlink" Target="https://mstgolf.co.th/products/gf2020101917" TargetMode="External" Id="rId2465" /><Relationship Type="http://schemas.openxmlformats.org/officeDocument/2006/relationships/hyperlink" Target="https://mstgolf.co.th/products/gf2060100979" TargetMode="External" Id="rId2466" /><Relationship Type="http://schemas.openxmlformats.org/officeDocument/2006/relationships/hyperlink" Target="https://mstgolf.co.th/products/gf2070400192" TargetMode="External" Id="rId2467" /><Relationship Type="http://schemas.openxmlformats.org/officeDocument/2006/relationships/hyperlink" Target="https://mstgolf.co.th/products/gf2070400193" TargetMode="External" Id="rId2468" /><Relationship Type="http://schemas.openxmlformats.org/officeDocument/2006/relationships/hyperlink" Target="https://mstgolf.co.th/products/gf2070400191" TargetMode="External" Id="rId2469" /><Relationship Type="http://schemas.openxmlformats.org/officeDocument/2006/relationships/hyperlink" Target="https://mstgolf.co.th/products/gf2070600027" TargetMode="External" Id="rId2470" /><Relationship Type="http://schemas.openxmlformats.org/officeDocument/2006/relationships/hyperlink" Target="https://mstgolf.co.th/products/gf2070600028" TargetMode="External" Id="rId2471" /><Relationship Type="http://schemas.openxmlformats.org/officeDocument/2006/relationships/hyperlink" Target="https://mstgolf.co.th/products/gf2070400196" TargetMode="External" Id="rId2472" /><Relationship Type="http://schemas.openxmlformats.org/officeDocument/2006/relationships/hyperlink" Target="https://mstgolf.co.th/products/gf2070400194" TargetMode="External" Id="rId2473" /><Relationship Type="http://schemas.openxmlformats.org/officeDocument/2006/relationships/hyperlink" Target="https://mstgolf.co.th/products/gf2070400195" TargetMode="External" Id="rId2474" /><Relationship Type="http://schemas.openxmlformats.org/officeDocument/2006/relationships/hyperlink" Target="https://mstgolf.co.th/products/gf2040115454" TargetMode="External" Id="rId2475" /><Relationship Type="http://schemas.openxmlformats.org/officeDocument/2006/relationships/hyperlink" Target="https://mstgolf.co.th/products/gf2040115438" TargetMode="External" Id="rId2476" /><Relationship Type="http://schemas.openxmlformats.org/officeDocument/2006/relationships/hyperlink" Target="https://mstgolf.co.th/products/gf2040115468" TargetMode="External" Id="rId2477" /><Relationship Type="http://schemas.openxmlformats.org/officeDocument/2006/relationships/hyperlink" Target="https://mstgolf.co.th/products/gf2040119525" TargetMode="External" Id="rId2478" /><Relationship Type="http://schemas.openxmlformats.org/officeDocument/2006/relationships/hyperlink" Target="https://mstgolf.co.th/products/gf2040119523" TargetMode="External" Id="rId2479" /><Relationship Type="http://schemas.openxmlformats.org/officeDocument/2006/relationships/hyperlink" Target="https://mstgolf.co.th/products/gf2040115463" TargetMode="External" Id="rId2480" /><Relationship Type="http://schemas.openxmlformats.org/officeDocument/2006/relationships/hyperlink" Target="https://mstgolf.co.th/products/gf2020202051" TargetMode="External" Id="rId2481" /><Relationship Type="http://schemas.openxmlformats.org/officeDocument/2006/relationships/hyperlink" Target="https://mstgolf.co.th/products/gf2020202052" TargetMode="External" Id="rId2482" /><Relationship Type="http://schemas.openxmlformats.org/officeDocument/2006/relationships/hyperlink" Target="https://mstgolf.co.th/products/gf2020202050" TargetMode="External" Id="rId2483" /><Relationship Type="http://schemas.openxmlformats.org/officeDocument/2006/relationships/hyperlink" Target="https://mstgolf.co.th/products/gf2040115469" TargetMode="External" Id="rId2484" /><Relationship Type="http://schemas.openxmlformats.org/officeDocument/2006/relationships/hyperlink" Target="https://mstgolf.co.th/products/gf2040118027" TargetMode="External" Id="rId2485" /><Relationship Type="http://schemas.openxmlformats.org/officeDocument/2006/relationships/hyperlink" Target="https://mstgolf.co.th/products/gf2040118040" TargetMode="External" Id="rId2486" /><Relationship Type="http://schemas.openxmlformats.org/officeDocument/2006/relationships/hyperlink" Target="https://mstgolf.co.th/products/gf2020202688" TargetMode="External" Id="rId2487" /><Relationship Type="http://schemas.openxmlformats.org/officeDocument/2006/relationships/hyperlink" Target="https://mstgolf.co.th/products/gf2040119741" TargetMode="External" Id="rId2488" /><Relationship Type="http://schemas.openxmlformats.org/officeDocument/2006/relationships/hyperlink" Target="https://mstgolf.co.th/products/gf2020202655" TargetMode="External" Id="rId2489" /><Relationship Type="http://schemas.openxmlformats.org/officeDocument/2006/relationships/hyperlink" Target="https://mstgolf.co.th/products/gf2020102386" TargetMode="External" Id="rId2490" /><Relationship Type="http://schemas.openxmlformats.org/officeDocument/2006/relationships/hyperlink" Target="https://mstgolf.co.th/products/gf2020102262" TargetMode="External" Id="rId2491" /><Relationship Type="http://schemas.openxmlformats.org/officeDocument/2006/relationships/hyperlink" Target="https://mstgolf.co.th/products/gf2020202338" TargetMode="External" Id="rId2492" /><Relationship Type="http://schemas.openxmlformats.org/officeDocument/2006/relationships/hyperlink" Target="https://mstgolf.co.th/products/gf2020202339" TargetMode="External" Id="rId2493" /><Relationship Type="http://schemas.openxmlformats.org/officeDocument/2006/relationships/hyperlink" Target="https://mstgolf.co.th/products/gf2020201437" TargetMode="External" Id="rId2494" /><Relationship Type="http://schemas.openxmlformats.org/officeDocument/2006/relationships/hyperlink" Target="https://mstgolf.co.th/products/gf2020201438" TargetMode="External" Id="rId2495" /><Relationship Type="http://schemas.openxmlformats.org/officeDocument/2006/relationships/hyperlink" Target="https://mstgolf.co.th/products/gf2020202023" TargetMode="External" Id="rId2496" /><Relationship Type="http://schemas.openxmlformats.org/officeDocument/2006/relationships/hyperlink" Target="https://mstgolf.co.th/products/gf2020201439" TargetMode="External" Id="rId2497" /><Relationship Type="http://schemas.openxmlformats.org/officeDocument/2006/relationships/hyperlink" Target="https://mstgolf.co.th/products/gf2020202021" TargetMode="External" Id="rId2498" /><Relationship Type="http://schemas.openxmlformats.org/officeDocument/2006/relationships/hyperlink" Target="https://mstgolf.co.th/products/gf2060101116" TargetMode="External" Id="rId2499" /><Relationship Type="http://schemas.openxmlformats.org/officeDocument/2006/relationships/hyperlink" Target="https://mstgolf.co.th/products/gf2020102246" TargetMode="External" Id="rId2500" /><Relationship Type="http://schemas.openxmlformats.org/officeDocument/2006/relationships/hyperlink" Target="https://mstgolf.co.th/products/gf2020202340" TargetMode="External" Id="rId2501" /><Relationship Type="http://schemas.openxmlformats.org/officeDocument/2006/relationships/hyperlink" Target="https://mstgolf.co.th/products/gf2020202186" TargetMode="External" Id="rId2502" /><Relationship Type="http://schemas.openxmlformats.org/officeDocument/2006/relationships/hyperlink" Target="https://mstgolf.co.th/products/gf2020201918" TargetMode="External" Id="rId2503" /><Relationship Type="http://schemas.openxmlformats.org/officeDocument/2006/relationships/hyperlink" Target="https://mstgolf.co.th/products/gf2040115036" TargetMode="External" Id="rId2504" /><Relationship Type="http://schemas.openxmlformats.org/officeDocument/2006/relationships/hyperlink" Target="https://mstgolf.co.th/products/gf2040114192" TargetMode="External" Id="rId2505" /><Relationship Type="http://schemas.openxmlformats.org/officeDocument/2006/relationships/hyperlink" Target="https://mstgolf.co.th/products/gf2040114170" TargetMode="External" Id="rId2506" /><Relationship Type="http://schemas.openxmlformats.org/officeDocument/2006/relationships/hyperlink" Target="https://mstgolf.co.th/products/gf2040113221" TargetMode="External" Id="rId2507" /><Relationship Type="http://schemas.openxmlformats.org/officeDocument/2006/relationships/hyperlink" Target="https://mstgolf.co.th/products/gf2040113220" TargetMode="External" Id="rId2508" /><Relationship Type="http://schemas.openxmlformats.org/officeDocument/2006/relationships/hyperlink" Target="https://mstgolf.co.th/products/gf2040120590" TargetMode="External" Id="rId2509" /><Relationship Type="http://schemas.openxmlformats.org/officeDocument/2006/relationships/hyperlink" Target="https://mstgolf.co.th/products/gf2040114180" TargetMode="External" Id="rId2510" /><Relationship Type="http://schemas.openxmlformats.org/officeDocument/2006/relationships/hyperlink" Target="https://mstgolf.co.th/products/gf2040114179" TargetMode="External" Id="rId2511" /><Relationship Type="http://schemas.openxmlformats.org/officeDocument/2006/relationships/hyperlink" Target="https://mstgolf.co.th/products/gf2040114190" TargetMode="External" Id="rId2512" /><Relationship Type="http://schemas.openxmlformats.org/officeDocument/2006/relationships/hyperlink" Target="https://mstgolf.co.th/products/gf2040114187" TargetMode="External" Id="rId2513" /><Relationship Type="http://schemas.openxmlformats.org/officeDocument/2006/relationships/hyperlink" Target="https://mstgolf.co.th/products/gf2040114168" TargetMode="External" Id="rId2514" /><Relationship Type="http://schemas.openxmlformats.org/officeDocument/2006/relationships/hyperlink" Target="https://mstgolf.co.th/products/gf2040114191" TargetMode="External" Id="rId2515" /><Relationship Type="http://schemas.openxmlformats.org/officeDocument/2006/relationships/hyperlink" Target="https://mstgolf.co.th/products/gf2040114161" TargetMode="External" Id="rId2516" /><Relationship Type="http://schemas.openxmlformats.org/officeDocument/2006/relationships/hyperlink" Target="https://mstgolf.co.th/products/gf2040114162" TargetMode="External" Id="rId2517" /><Relationship Type="http://schemas.openxmlformats.org/officeDocument/2006/relationships/hyperlink" Target="https://mstgolf.co.th/products/gf2040114965" TargetMode="External" Id="rId2518" /><Relationship Type="http://schemas.openxmlformats.org/officeDocument/2006/relationships/hyperlink" Target="https://mstgolf.co.th/products/gf2040114182" TargetMode="External" Id="rId2519" /><Relationship Type="http://schemas.openxmlformats.org/officeDocument/2006/relationships/hyperlink" Target="https://mstgolf.co.th/products/gf2040114183" TargetMode="External" Id="rId2520" /><Relationship Type="http://schemas.openxmlformats.org/officeDocument/2006/relationships/hyperlink" Target="https://mstgolf.co.th/products/gf2040114184" TargetMode="External" Id="rId2521" /><Relationship Type="http://schemas.openxmlformats.org/officeDocument/2006/relationships/hyperlink" Target="https://mstgolf.co.th/products/gf2040114185" TargetMode="External" Id="rId2522" /><Relationship Type="http://schemas.openxmlformats.org/officeDocument/2006/relationships/hyperlink" Target="https://mstgolf.co.th/products/gf2020202004" TargetMode="External" Id="rId2523" /><Relationship Type="http://schemas.openxmlformats.org/officeDocument/2006/relationships/hyperlink" Target="https://mstgolf.co.th/products/gf2040114188" TargetMode="External" Id="rId2524" /><Relationship Type="http://schemas.openxmlformats.org/officeDocument/2006/relationships/hyperlink" Target="https://mstgolf.co.th/products/gf2040114189" TargetMode="External" Id="rId2525" /><Relationship Type="http://schemas.openxmlformats.org/officeDocument/2006/relationships/hyperlink" Target="https://mstgolf.co.th/products/gf2040119692" TargetMode="External" Id="rId2526" /><Relationship Type="http://schemas.openxmlformats.org/officeDocument/2006/relationships/hyperlink" Target="https://mstgolf.co.th/products/gf2040119739" TargetMode="External" Id="rId2527" /><Relationship Type="http://schemas.openxmlformats.org/officeDocument/2006/relationships/hyperlink" Target="https://mstgolf.co.th/products/gf2040119740" TargetMode="External" Id="rId2528" /><Relationship Type="http://schemas.openxmlformats.org/officeDocument/2006/relationships/hyperlink" Target="https://mstgolf.co.th/products/gf2020202820" TargetMode="External" Id="rId2529" /><Relationship Type="http://schemas.openxmlformats.org/officeDocument/2006/relationships/hyperlink" Target="https://mstgolf.co.th/products/gf2040119733" TargetMode="External" Id="rId2530" /><Relationship Type="http://schemas.openxmlformats.org/officeDocument/2006/relationships/hyperlink" Target="https://mstgolf.co.th/products/gf2040120576" TargetMode="External" Id="rId2531" /><Relationship Type="http://schemas.openxmlformats.org/officeDocument/2006/relationships/hyperlink" Target="https://mstgolf.co.th/products/gf2040119736" TargetMode="External" Id="rId2532" /><Relationship Type="http://schemas.openxmlformats.org/officeDocument/2006/relationships/hyperlink" Target="https://mstgolf.co.th/products/gf2020102200" TargetMode="External" Id="rId2533" /><Relationship Type="http://schemas.openxmlformats.org/officeDocument/2006/relationships/hyperlink" Target="https://mstgolf.co.th/products/gf2020202514" TargetMode="External" Id="rId2534" /><Relationship Type="http://schemas.openxmlformats.org/officeDocument/2006/relationships/hyperlink" Target="https://mstgolf.co.th/products/gf3130100377" TargetMode="External" Id="rId2535" /><Relationship Type="http://schemas.openxmlformats.org/officeDocument/2006/relationships/hyperlink" Target="https://mstgolf.co.th/products/gf3130100373" TargetMode="External" Id="rId2536" /><Relationship Type="http://schemas.openxmlformats.org/officeDocument/2006/relationships/hyperlink" Target="https://mstgolf.co.th/products/gf3130100387" TargetMode="External" Id="rId2537" /><Relationship Type="http://schemas.openxmlformats.org/officeDocument/2006/relationships/hyperlink" Target="https://mstgolf.co.th/products/gf3130100375" TargetMode="External" Id="rId2538" /><Relationship Type="http://schemas.openxmlformats.org/officeDocument/2006/relationships/hyperlink" Target="https://mstgolf.co.th/products/gf3130100388" TargetMode="External" Id="rId2539" /><Relationship Type="http://schemas.openxmlformats.org/officeDocument/2006/relationships/hyperlink" Target="https://mstgolf.co.th/products/gf3130100378" TargetMode="External" Id="rId2540" /><Relationship Type="http://schemas.openxmlformats.org/officeDocument/2006/relationships/hyperlink" Target="https://mstgolf.co.th/products/gf3130100381" TargetMode="External" Id="rId2541" /><Relationship Type="http://schemas.openxmlformats.org/officeDocument/2006/relationships/hyperlink" Target="https://mstgolf.co.th/products/gf3130100382" TargetMode="External" Id="rId2542" /><Relationship Type="http://schemas.openxmlformats.org/officeDocument/2006/relationships/hyperlink" Target="https://mstgolf.co.th/products/gf2040117889" TargetMode="External" Id="rId2543" /><Relationship Type="http://schemas.openxmlformats.org/officeDocument/2006/relationships/hyperlink" Target="https://mstgolf.co.th/products/gf2040118381" TargetMode="External" Id="rId2544" /><Relationship Type="http://schemas.openxmlformats.org/officeDocument/2006/relationships/hyperlink" Target="https://mstgolf.co.th/products/gf2040117910" TargetMode="External" Id="rId2545" /><Relationship Type="http://schemas.openxmlformats.org/officeDocument/2006/relationships/hyperlink" Target="https://mstgolf.co.th/products/gf2020202308" TargetMode="External" Id="rId2546" /><Relationship Type="http://schemas.openxmlformats.org/officeDocument/2006/relationships/hyperlink" Target="https://mstgolf.co.th/products/gf2020102178" TargetMode="External" Id="rId2547" /><Relationship Type="http://schemas.openxmlformats.org/officeDocument/2006/relationships/hyperlink" Target="https://mstgolf.co.th/products/gf2020101823" TargetMode="External" Id="rId2548" /><Relationship Type="http://schemas.openxmlformats.org/officeDocument/2006/relationships/hyperlink" Target="https://mstgolf.co.th/products/gf2040118304" TargetMode="External" Id="rId2549" /><Relationship Type="http://schemas.openxmlformats.org/officeDocument/2006/relationships/hyperlink" Target="https://mstgolf.co.th/products/gf2060101023" TargetMode="External" Id="rId2550" /><Relationship Type="http://schemas.openxmlformats.org/officeDocument/2006/relationships/hyperlink" Target="https://mstgolf.co.th/products/gf3150100355" TargetMode="External" Id="rId2551" /><Relationship Type="http://schemas.openxmlformats.org/officeDocument/2006/relationships/hyperlink" Target="https://mstgolf.co.th/products/gf2040119448" TargetMode="External" Id="rId2552" /><Relationship Type="http://schemas.openxmlformats.org/officeDocument/2006/relationships/hyperlink" Target="https://mstgolf.co.th/products/gf2020102379" TargetMode="External" Id="rId2553" /><Relationship Type="http://schemas.openxmlformats.org/officeDocument/2006/relationships/hyperlink" Target="https://mstgolf.co.th/products/gf2020102269" TargetMode="External" Id="rId2554" /><Relationship Type="http://schemas.openxmlformats.org/officeDocument/2006/relationships/hyperlink" Target="https://mstgolf.co.th/products/gf2040119446" TargetMode="External" Id="rId2555" /><Relationship Type="http://schemas.openxmlformats.org/officeDocument/2006/relationships/hyperlink" Target="https://mstgolf.co.th/products/gf2040120473" TargetMode="External" Id="rId2556" /><Relationship Type="http://schemas.openxmlformats.org/officeDocument/2006/relationships/hyperlink" Target="https://mstgolf.co.th/products/gf2040120474" TargetMode="External" Id="rId2557" /><Relationship Type="http://schemas.openxmlformats.org/officeDocument/2006/relationships/hyperlink" Target="https://mstgolf.co.th/products/gf2040120475" TargetMode="External" Id="rId2558" /><Relationship Type="http://schemas.openxmlformats.org/officeDocument/2006/relationships/hyperlink" Target="https://mstgolf.co.th/products/gf2040120537" TargetMode="External" Id="rId2559" /><Relationship Type="http://schemas.openxmlformats.org/officeDocument/2006/relationships/hyperlink" Target="https://mstgolf.co.th/products/gf2060100975" TargetMode="External" Id="rId2560" /><Relationship Type="http://schemas.openxmlformats.org/officeDocument/2006/relationships/hyperlink" Target="https://mstgolf.co.th/products/gf2020202143" TargetMode="External" Id="rId2561" /><Relationship Type="http://schemas.openxmlformats.org/officeDocument/2006/relationships/hyperlink" Target="https://mstgolf.co.th/products/gf2020202141" TargetMode="External" Id="rId2562" /><Relationship Type="http://schemas.openxmlformats.org/officeDocument/2006/relationships/hyperlink" Target="https://mstgolf.co.th/products/gf2020202142" TargetMode="External" Id="rId2563" /><Relationship Type="http://schemas.openxmlformats.org/officeDocument/2006/relationships/hyperlink" Target="https://mstgolf.co.th/products/gf2020202667" TargetMode="External" Id="rId2564" /><Relationship Type="http://schemas.openxmlformats.org/officeDocument/2006/relationships/hyperlink" Target="https://mstgolf.co.th/products/gf2020202851" TargetMode="External" Id="rId2565" /><Relationship Type="http://schemas.openxmlformats.org/officeDocument/2006/relationships/hyperlink" Target="https://mstgolf.co.th/products/gf2040120517" TargetMode="External" Id="rId2566" /><Relationship Type="http://schemas.openxmlformats.org/officeDocument/2006/relationships/hyperlink" Target="https://mstgolf.co.th/products/gf2040120518" TargetMode="External" Id="rId2567" /><Relationship Type="http://schemas.openxmlformats.org/officeDocument/2006/relationships/hyperlink" Target="https://mstgolf.co.th/products/gf2040120203" TargetMode="External" Id="rId2568" /><Relationship Type="http://schemas.openxmlformats.org/officeDocument/2006/relationships/hyperlink" Target="https://mstgolf.co.th/products/gf2040120202" TargetMode="External" Id="rId2569" /><Relationship Type="http://schemas.openxmlformats.org/officeDocument/2006/relationships/hyperlink" Target="https://mstgolf.co.th/products/gf2020300138" TargetMode="External" Id="rId2570" /><Relationship Type="http://schemas.openxmlformats.org/officeDocument/2006/relationships/hyperlink" Target="https://mstgolf.co.th/products/gf2020300137" TargetMode="External" Id="rId2571" /><Relationship Type="http://schemas.openxmlformats.org/officeDocument/2006/relationships/hyperlink" Target="https://mstgolf.co.th/products/gf2020300136" TargetMode="External" Id="rId2572" /><Relationship Type="http://schemas.openxmlformats.org/officeDocument/2006/relationships/hyperlink" Target="https://mstgolf.co.th/products/gf2020300140" TargetMode="External" Id="rId2573" /><Relationship Type="http://schemas.openxmlformats.org/officeDocument/2006/relationships/hyperlink" Target="https://mstgolf.co.th/products/gf2040120508" TargetMode="External" Id="rId2574" /><Relationship Type="http://schemas.openxmlformats.org/officeDocument/2006/relationships/hyperlink" Target="https://mstgolf.co.th/products/gf2040120507" TargetMode="External" Id="rId2575" /><Relationship Type="http://schemas.openxmlformats.org/officeDocument/2006/relationships/hyperlink" Target="https://mstgolf.co.th/products/gf2040120510" TargetMode="External" Id="rId2576" /><Relationship Type="http://schemas.openxmlformats.org/officeDocument/2006/relationships/hyperlink" Target="https://mstgolf.co.th/products/gf2040120509" TargetMode="External" Id="rId2577" /><Relationship Type="http://schemas.openxmlformats.org/officeDocument/2006/relationships/hyperlink" Target="https://mstgolf.co.th/products/gf2040120511" TargetMode="External" Id="rId2578" /><Relationship Type="http://schemas.openxmlformats.org/officeDocument/2006/relationships/hyperlink" Target="https://mstgolf.co.th/products/gf2040120512" TargetMode="External" Id="rId2579" /><Relationship Type="http://schemas.openxmlformats.org/officeDocument/2006/relationships/hyperlink" Target="https://mstgolf.co.th/products/gf2040120515" TargetMode="External" Id="rId2580" /><Relationship Type="http://schemas.openxmlformats.org/officeDocument/2006/relationships/hyperlink" Target="https://mstgolf.co.th/products/gf2040120513" TargetMode="External" Id="rId2581" /><Relationship Type="http://schemas.openxmlformats.org/officeDocument/2006/relationships/hyperlink" Target="https://mstgolf.co.th/products/gf2040120516" TargetMode="External" Id="rId2582" /><Relationship Type="http://schemas.openxmlformats.org/officeDocument/2006/relationships/hyperlink" Target="https://mstgolf.co.th/products/gf2040120514" TargetMode="External" Id="rId2583" /><Relationship Type="http://schemas.openxmlformats.org/officeDocument/2006/relationships/hyperlink" Target="https://mstgolf.co.th/products/gf2020102621" TargetMode="External" Id="rId2584" /><Relationship Type="http://schemas.openxmlformats.org/officeDocument/2006/relationships/hyperlink" Target="https://mstgolf.co.th/products/gf2040120521" TargetMode="External" Id="rId2585" /><Relationship Type="http://schemas.openxmlformats.org/officeDocument/2006/relationships/hyperlink" Target="https://mstgolf.co.th/products/gf2040120523" TargetMode="External" Id="rId2586" /><Relationship Type="http://schemas.openxmlformats.org/officeDocument/2006/relationships/hyperlink" Target="https://mstgolf.co.th/products/gf2040120522" TargetMode="External" Id="rId2587" /><Relationship Type="http://schemas.openxmlformats.org/officeDocument/2006/relationships/hyperlink" Target="https://mstgolf.co.th/products/gf2040120524" TargetMode="External" Id="rId2588" /><Relationship Type="http://schemas.openxmlformats.org/officeDocument/2006/relationships/hyperlink" Target="https://mstgolf.co.th/products/gf2040401444" TargetMode="External" Id="rId2589" /><Relationship Type="http://schemas.openxmlformats.org/officeDocument/2006/relationships/hyperlink" Target="https://mstgolf.co.th/products/gf2040121074" TargetMode="External" Id="rId2590" /><Relationship Type="http://schemas.openxmlformats.org/officeDocument/2006/relationships/hyperlink" Target="https://mstgolf.co.th/products/gf2040121073" TargetMode="External" Id="rId2591" /><Relationship Type="http://schemas.openxmlformats.org/officeDocument/2006/relationships/hyperlink" Target="https://mstgolf.co.th/products/gf2040119349" TargetMode="External" Id="rId2592" /><Relationship Type="http://schemas.openxmlformats.org/officeDocument/2006/relationships/hyperlink" Target="https://mstgolf.co.th/products/gf2040119350" TargetMode="External" Id="rId2593" /><Relationship Type="http://schemas.openxmlformats.org/officeDocument/2006/relationships/hyperlink" Target="https://mstgolf.co.th/products/gf2040119368" TargetMode="External" Id="rId2594" /><Relationship Type="http://schemas.openxmlformats.org/officeDocument/2006/relationships/hyperlink" Target="https://mstgolf.co.th/products/gf2040118640" TargetMode="External" Id="rId2595" /><Relationship Type="http://schemas.openxmlformats.org/officeDocument/2006/relationships/hyperlink" Target="https://mstgolf.co.th/products/gf2040117547" TargetMode="External" Id="rId2596" /><Relationship Type="http://schemas.openxmlformats.org/officeDocument/2006/relationships/hyperlink" Target="https://mstgolf.co.th/products/gf2040117549" TargetMode="External" Id="rId2597" /><Relationship Type="http://schemas.openxmlformats.org/officeDocument/2006/relationships/hyperlink" Target="https://mstgolf.co.th/products/gf2040119345" TargetMode="External" Id="rId2598" /><Relationship Type="http://schemas.openxmlformats.org/officeDocument/2006/relationships/hyperlink" Target="https://mstgolf.co.th/products/gf2040119346" TargetMode="External" Id="rId2599" /><Relationship Type="http://schemas.openxmlformats.org/officeDocument/2006/relationships/hyperlink" Target="https://mstgolf.co.th/products/gf2040119347" TargetMode="External" Id="rId2600" /><Relationship Type="http://schemas.openxmlformats.org/officeDocument/2006/relationships/hyperlink" Target="https://mstgolf.co.th/products/gf2040119348" TargetMode="External" Id="rId2601" /><Relationship Type="http://schemas.openxmlformats.org/officeDocument/2006/relationships/hyperlink" Target="https://mstgolf.co.th/products/gf2020102144" TargetMode="External" Id="rId2602" /><Relationship Type="http://schemas.openxmlformats.org/officeDocument/2006/relationships/hyperlink" Target="https://mstgolf.co.th/products/gf2040118990" TargetMode="External" Id="rId2603" /><Relationship Type="http://schemas.openxmlformats.org/officeDocument/2006/relationships/hyperlink" Target="https://mstgolf.co.th/products/gf3500201477" TargetMode="External" Id="rId2604" /><Relationship Type="http://schemas.openxmlformats.org/officeDocument/2006/relationships/hyperlink" Target="https://mstgolf.co.th/products/gf3500201390" TargetMode="External" Id="rId2605" /><Relationship Type="http://schemas.openxmlformats.org/officeDocument/2006/relationships/hyperlink" Target="https://mstgolf.co.th/products/gf3500201391" TargetMode="External" Id="rId2606" /><Relationship Type="http://schemas.openxmlformats.org/officeDocument/2006/relationships/hyperlink" Target="https://mstgolf.co.th/products/gf3500201478" TargetMode="External" Id="rId2607" /><Relationship Type="http://schemas.openxmlformats.org/officeDocument/2006/relationships/hyperlink" Target="https://mstgolf.co.th/products/gf2040400897" TargetMode="External" Id="rId2608" /><Relationship Type="http://schemas.openxmlformats.org/officeDocument/2006/relationships/hyperlink" Target="https://mstgolf.co.th/products/gf3500201393" TargetMode="External" Id="rId2609" /><Relationship Type="http://schemas.openxmlformats.org/officeDocument/2006/relationships/hyperlink" Target="https://mstgolf.co.th/products/gf2040400805" TargetMode="External" Id="rId2610" /><Relationship Type="http://schemas.openxmlformats.org/officeDocument/2006/relationships/hyperlink" Target="https://mstgolf.co.th/products/gf2060101236" TargetMode="External" Id="rId2611" /><Relationship Type="http://schemas.openxmlformats.org/officeDocument/2006/relationships/hyperlink" Target="https://mstgolf.co.th/products/gf2060101235" TargetMode="External" Id="rId2612" /><Relationship Type="http://schemas.openxmlformats.org/officeDocument/2006/relationships/hyperlink" Target="https://mstgolf.co.th/products/gf2040120706" TargetMode="External" Id="rId2613" /><Relationship Type="http://schemas.openxmlformats.org/officeDocument/2006/relationships/hyperlink" Target="https://mstgolf.co.th/products/gf2040120708" TargetMode="External" Id="rId2614" /><Relationship Type="http://schemas.openxmlformats.org/officeDocument/2006/relationships/hyperlink" Target="https://mstgolf.co.th/products/gf2060101232" TargetMode="External" Id="rId2615" /><Relationship Type="http://schemas.openxmlformats.org/officeDocument/2006/relationships/hyperlink" Target="https://mstgolf.co.th/products/gf2060101233" TargetMode="External" Id="rId2616" /><Relationship Type="http://schemas.openxmlformats.org/officeDocument/2006/relationships/hyperlink" Target="https://mstgolf.co.th/products/gf2040120705" TargetMode="External" Id="rId2617" /><Relationship Type="http://schemas.openxmlformats.org/officeDocument/2006/relationships/hyperlink" Target="https://mstgolf.co.th/products/gf2020300096" TargetMode="External" Id="rId2618" /><Relationship Type="http://schemas.openxmlformats.org/officeDocument/2006/relationships/hyperlink" Target="https://mstgolf.co.th/products/gf2020300094" TargetMode="External" Id="rId2619" /><Relationship Type="http://schemas.openxmlformats.org/officeDocument/2006/relationships/hyperlink" Target="https://mstgolf.co.th/products/gf2020300088" TargetMode="External" Id="rId2620" /><Relationship Type="http://schemas.openxmlformats.org/officeDocument/2006/relationships/hyperlink" Target="https://mstgolf.co.th/products/gf2020300090" TargetMode="External" Id="rId2621" /><Relationship Type="http://schemas.openxmlformats.org/officeDocument/2006/relationships/hyperlink" Target="https://mstgolf.co.th/products/gf2020300089" TargetMode="External" Id="rId2622" /><Relationship Type="http://schemas.openxmlformats.org/officeDocument/2006/relationships/hyperlink" Target="https://mstgolf.co.th/products/gf2020300154" TargetMode="External" Id="rId2623" /><Relationship Type="http://schemas.openxmlformats.org/officeDocument/2006/relationships/hyperlink" Target="https://mstgolf.co.th/products/gf2020300155" TargetMode="External" Id="rId2624" /><Relationship Type="http://schemas.openxmlformats.org/officeDocument/2006/relationships/hyperlink" Target="https://mstgolf.co.th/products/gf2040120726" TargetMode="External" Id="rId2625" /><Relationship Type="http://schemas.openxmlformats.org/officeDocument/2006/relationships/hyperlink" Target="https://mstgolf.co.th/products/gf2040120728" TargetMode="External" Id="rId2626" /><Relationship Type="http://schemas.openxmlformats.org/officeDocument/2006/relationships/hyperlink" Target="https://mstgolf.co.th/products/gf2040120730" TargetMode="External" Id="rId2627" /><Relationship Type="http://schemas.openxmlformats.org/officeDocument/2006/relationships/hyperlink" Target="https://mstgolf.co.th/products/gf2040120731" TargetMode="External" Id="rId2628" /><Relationship Type="http://schemas.openxmlformats.org/officeDocument/2006/relationships/hyperlink" Target="https://mstgolf.co.th/products/gf2040120732" TargetMode="External" Id="rId2629" /><Relationship Type="http://schemas.openxmlformats.org/officeDocument/2006/relationships/hyperlink" Target="https://mstgolf.co.th/products/gf2060101237" TargetMode="External" Id="rId2630" /><Relationship Type="http://schemas.openxmlformats.org/officeDocument/2006/relationships/hyperlink" Target="https://mstgolf.co.th/products/gf2060101240" TargetMode="External" Id="rId2631" /><Relationship Type="http://schemas.openxmlformats.org/officeDocument/2006/relationships/hyperlink" Target="https://mstgolf.co.th/products/gf2060101239" TargetMode="External" Id="rId2632" /><Relationship Type="http://schemas.openxmlformats.org/officeDocument/2006/relationships/hyperlink" Target="https://mstgolf.co.th/products/gf2020102636" TargetMode="External" Id="rId2633" /><Relationship Type="http://schemas.openxmlformats.org/officeDocument/2006/relationships/hyperlink" Target="https://mstgolf.co.th/products/gf2000300455" TargetMode="External" Id="rId2634" /><Relationship Type="http://schemas.openxmlformats.org/officeDocument/2006/relationships/hyperlink" Target="https://mstgolf.co.th/products/gf2040401328" TargetMode="External" Id="rId2635" /><Relationship Type="http://schemas.openxmlformats.org/officeDocument/2006/relationships/hyperlink" Target="https://mstgolf.co.th/products/gf2040401329" TargetMode="External" Id="rId2636" /><Relationship Type="http://schemas.openxmlformats.org/officeDocument/2006/relationships/hyperlink" Target="https://mstgolf.co.th/products/gf2020202428" TargetMode="External" Id="rId2637" /><Relationship Type="http://schemas.openxmlformats.org/officeDocument/2006/relationships/hyperlink" Target="https://mstgolf.co.th/products/gf2020202314" TargetMode="External" Id="rId2638" /><Relationship Type="http://schemas.openxmlformats.org/officeDocument/2006/relationships/hyperlink" Target="https://mstgolf.co.th/products/gf2020202316" TargetMode="External" Id="rId2639" /><Relationship Type="http://schemas.openxmlformats.org/officeDocument/2006/relationships/hyperlink" Target="https://mstgolf.co.th/products/gf2020202313" TargetMode="External" Id="rId2640" /><Relationship Type="http://schemas.openxmlformats.org/officeDocument/2006/relationships/hyperlink" Target="https://mstgolf.co.th/products/gf2020202315" TargetMode="External" Id="rId2641" /><Relationship Type="http://schemas.openxmlformats.org/officeDocument/2006/relationships/hyperlink" Target="https://mstgolf.co.th/products/gf2020202512" TargetMode="External" Id="rId2642" /><Relationship Type="http://schemas.openxmlformats.org/officeDocument/2006/relationships/hyperlink" Target="https://mstgolf.co.th/products/gf2020202237" TargetMode="External" Id="rId2643" /><Relationship Type="http://schemas.openxmlformats.org/officeDocument/2006/relationships/hyperlink" Target="https://mstgolf.co.th/products/gf2020201980" TargetMode="External" Id="rId2644" /><Relationship Type="http://schemas.openxmlformats.org/officeDocument/2006/relationships/hyperlink" Target="https://mstgolf.co.th/products/gf2020202238" TargetMode="External" Id="rId2645" /><Relationship Type="http://schemas.openxmlformats.org/officeDocument/2006/relationships/hyperlink" Target="https://mstgolf.co.th/products/gf2020201977" TargetMode="External" Id="rId2646" /><Relationship Type="http://schemas.openxmlformats.org/officeDocument/2006/relationships/hyperlink" Target="https://mstgolf.co.th/products/gf2020201978" TargetMode="External" Id="rId2647" /><Relationship Type="http://schemas.openxmlformats.org/officeDocument/2006/relationships/hyperlink" Target="https://mstgolf.co.th/products/gf2020201981" TargetMode="External" Id="rId2648" /><Relationship Type="http://schemas.openxmlformats.org/officeDocument/2006/relationships/hyperlink" Target="https://mstgolf.co.th/products/gf2020201983" TargetMode="External" Id="rId2649" /><Relationship Type="http://schemas.openxmlformats.org/officeDocument/2006/relationships/hyperlink" Target="https://mstgolf.co.th/products/gf2020201979" TargetMode="External" Id="rId2650" /><Relationship Type="http://schemas.openxmlformats.org/officeDocument/2006/relationships/hyperlink" Target="https://mstgolf.co.th/products/gf2080101413" TargetMode="External" Id="rId2651" /><Relationship Type="http://schemas.openxmlformats.org/officeDocument/2006/relationships/hyperlink" Target="https://mstgolf.co.th/products/gf2060101029" TargetMode="External" Id="rId2652" /><Relationship Type="http://schemas.openxmlformats.org/officeDocument/2006/relationships/hyperlink" Target="https://mstgolf.co.th/products/gf2060100976" TargetMode="External" Id="rId2653" /><Relationship Type="http://schemas.openxmlformats.org/officeDocument/2006/relationships/hyperlink" Target="https://mstgolf.co.th/products/gf2040119256" TargetMode="External" Id="rId2654" /><Relationship Type="http://schemas.openxmlformats.org/officeDocument/2006/relationships/hyperlink" Target="https://mstgolf.co.th/products/gf2020102300" TargetMode="External" Id="rId2655" /><Relationship Type="http://schemas.openxmlformats.org/officeDocument/2006/relationships/hyperlink" Target="https://mstgolf.co.th/products/gf2020102301" TargetMode="External" Id="rId2656" /><Relationship Type="http://schemas.openxmlformats.org/officeDocument/2006/relationships/hyperlink" Target="https://mstgolf.co.th/products/gf2040116605" TargetMode="External" Id="rId2657" /><Relationship Type="http://schemas.openxmlformats.org/officeDocument/2006/relationships/hyperlink" Target="https://mstgolf.co.th/products/gf2040115441" TargetMode="External" Id="rId2658" /><Relationship Type="http://schemas.openxmlformats.org/officeDocument/2006/relationships/hyperlink" Target="https://mstgolf.co.th/products/gf2040115458" TargetMode="External" Id="rId2659" /><Relationship Type="http://schemas.openxmlformats.org/officeDocument/2006/relationships/hyperlink" Target="https://mstgolf.co.th/products/gf2040115456" TargetMode="External" Id="rId2660" /><Relationship Type="http://schemas.openxmlformats.org/officeDocument/2006/relationships/hyperlink" Target="https://mstgolf.co.th/products/gf2040115457" TargetMode="External" Id="rId2661" /><Relationship Type="http://schemas.openxmlformats.org/officeDocument/2006/relationships/hyperlink" Target="https://mstgolf.co.th/products/gf2040401054" TargetMode="External" Id="rId2662" /><Relationship Type="http://schemas.openxmlformats.org/officeDocument/2006/relationships/hyperlink" Target="https://mstgolf.co.th/products/gf2040115474" TargetMode="External" Id="rId2663" /><Relationship Type="http://schemas.openxmlformats.org/officeDocument/2006/relationships/hyperlink" Target="https://mstgolf.co.th/products/gf2040115494" TargetMode="External" Id="rId2664" /><Relationship Type="http://schemas.openxmlformats.org/officeDocument/2006/relationships/hyperlink" Target="https://mstgolf.co.th/products/gf2040401056" TargetMode="External" Id="rId2665" /><Relationship Type="http://schemas.openxmlformats.org/officeDocument/2006/relationships/hyperlink" Target="https://mstgolf.co.th/products/gf2040115446" TargetMode="External" Id="rId2666" /><Relationship Type="http://schemas.openxmlformats.org/officeDocument/2006/relationships/hyperlink" Target="https://mstgolf.co.th/products/gf2040120411" TargetMode="External" Id="rId2667" /><Relationship Type="http://schemas.openxmlformats.org/officeDocument/2006/relationships/hyperlink" Target="https://mstgolf.co.th/products/gf2020202489" TargetMode="External" Id="rId2668" /><Relationship Type="http://schemas.openxmlformats.org/officeDocument/2006/relationships/hyperlink" Target="https://mstgolf.co.th/products/gf2020202299" TargetMode="External" Id="rId2669" /><Relationship Type="http://schemas.openxmlformats.org/officeDocument/2006/relationships/hyperlink" Target="https://mstgolf.co.th/products/gf2040120408" TargetMode="External" Id="rId2670" /><Relationship Type="http://schemas.openxmlformats.org/officeDocument/2006/relationships/hyperlink" Target="https://mstgolf.co.th/products/gf2040120410" TargetMode="External" Id="rId2671" /><Relationship Type="http://schemas.openxmlformats.org/officeDocument/2006/relationships/hyperlink" Target="https://mstgolf.co.th/products/gf2040120409" TargetMode="External" Id="rId2672" /><Relationship Type="http://schemas.openxmlformats.org/officeDocument/2006/relationships/hyperlink" Target="https://mstgolf.co.th/products/gf2020202300" TargetMode="External" Id="rId2673" /><Relationship Type="http://schemas.openxmlformats.org/officeDocument/2006/relationships/hyperlink" Target="https://mstgolf.co.th/products/gf2020202297" TargetMode="External" Id="rId2674" /><Relationship Type="http://schemas.openxmlformats.org/officeDocument/2006/relationships/hyperlink" Target="https://mstgolf.co.th/products/gf2020202298" TargetMode="External" Id="rId2675" /><Relationship Type="http://schemas.openxmlformats.org/officeDocument/2006/relationships/hyperlink" Target="https://mstgolf.co.th/products/gf2040118339" TargetMode="External" Id="rId2676" /><Relationship Type="http://schemas.openxmlformats.org/officeDocument/2006/relationships/hyperlink" Target="https://mstgolf.co.th/products/gf2040200146" TargetMode="External" Id="rId2677" /><Relationship Type="http://schemas.openxmlformats.org/officeDocument/2006/relationships/hyperlink" Target="https://mstgolf.co.th/products/gf2040200200" TargetMode="External" Id="rId2678" /><Relationship Type="http://schemas.openxmlformats.org/officeDocument/2006/relationships/hyperlink" Target="https://mstgolf.co.th/products/gf2020101881" TargetMode="External" Id="rId2679" /><Relationship Type="http://schemas.openxmlformats.org/officeDocument/2006/relationships/hyperlink" Target="https://mstgolf.co.th/products/gf2020102064" TargetMode="External" Id="rId2680" /><Relationship Type="http://schemas.openxmlformats.org/officeDocument/2006/relationships/hyperlink" Target="https://mstgolf.co.th/products/gf2020202027" TargetMode="External" Id="rId2681" /><Relationship Type="http://schemas.openxmlformats.org/officeDocument/2006/relationships/hyperlink" Target="https://mstgolf.co.th/products/gf2020202028" TargetMode="External" Id="rId2682" /><Relationship Type="http://schemas.openxmlformats.org/officeDocument/2006/relationships/hyperlink" Target="https://mstgolf.co.th/products/gf2020202034" TargetMode="External" Id="rId2683" /><Relationship Type="http://schemas.openxmlformats.org/officeDocument/2006/relationships/hyperlink" Target="https://mstgolf.co.th/products/gf2020202029" TargetMode="External" Id="rId2684" /><Relationship Type="http://schemas.openxmlformats.org/officeDocument/2006/relationships/hyperlink" Target="https://mstgolf.co.th/products/gf2040119647" TargetMode="External" Id="rId2685" /><Relationship Type="http://schemas.openxmlformats.org/officeDocument/2006/relationships/hyperlink" Target="https://mstgolf.co.th/products/gf2040119646" TargetMode="External" Id="rId2686" /><Relationship Type="http://schemas.openxmlformats.org/officeDocument/2006/relationships/hyperlink" Target="https://mstgolf.co.th/products/gf2040119688" TargetMode="External" Id="rId2687" /><Relationship Type="http://schemas.openxmlformats.org/officeDocument/2006/relationships/hyperlink" Target="https://mstgolf.co.th/products/gf2040119683" TargetMode="External" Id="rId2688" /><Relationship Type="http://schemas.openxmlformats.org/officeDocument/2006/relationships/hyperlink" Target="https://mstgolf.co.th/products/gf2020202394" TargetMode="External" Id="rId2689" /><Relationship Type="http://schemas.openxmlformats.org/officeDocument/2006/relationships/hyperlink" Target="https://mstgolf.co.th/products/gf2020202011" TargetMode="External" Id="rId2690" /><Relationship Type="http://schemas.openxmlformats.org/officeDocument/2006/relationships/hyperlink" Target="https://mstgolf.co.th/products/gf2020101973" TargetMode="External" Id="rId2691" /><Relationship Type="http://schemas.openxmlformats.org/officeDocument/2006/relationships/hyperlink" Target="https://mstgolf.co.th/products/gf2020101974" TargetMode="External" Id="rId2692" /><Relationship Type="http://schemas.openxmlformats.org/officeDocument/2006/relationships/hyperlink" Target="https://mstgolf.co.th/products/gf2020202301" TargetMode="External" Id="rId2693" /><Relationship Type="http://schemas.openxmlformats.org/officeDocument/2006/relationships/hyperlink" Target="https://mstgolf.co.th/products/gf2020201696" TargetMode="External" Id="rId2694" /><Relationship Type="http://schemas.openxmlformats.org/officeDocument/2006/relationships/hyperlink" Target="https://mstgolf.co.th/products/gf2020201920" TargetMode="External" Id="rId2695" /><Relationship Type="http://schemas.openxmlformats.org/officeDocument/2006/relationships/hyperlink" Target="https://mstgolf.co.th/products/gf2040200096" TargetMode="External" Id="rId2696" /><Relationship Type="http://schemas.openxmlformats.org/officeDocument/2006/relationships/hyperlink" Target="https://mstgolf.co.th/products/gf2040200095" TargetMode="External" Id="rId2697" /><Relationship Type="http://schemas.openxmlformats.org/officeDocument/2006/relationships/hyperlink" Target="https://mstgolf.co.th/products/gf2020102232" TargetMode="External" Id="rId2698" /><Relationship Type="http://schemas.openxmlformats.org/officeDocument/2006/relationships/hyperlink" Target="https://mstgolf.co.th/products/gf2040119755" TargetMode="External" Id="rId2699" /><Relationship Type="http://schemas.openxmlformats.org/officeDocument/2006/relationships/hyperlink" Target="https://mstgolf.co.th/products/gf2020202341" TargetMode="External" Id="rId2700" /><Relationship Type="http://schemas.openxmlformats.org/officeDocument/2006/relationships/hyperlink" Target="https://mstgolf.co.th/products/gf2020201960" TargetMode="External" Id="rId2701" /><Relationship Type="http://schemas.openxmlformats.org/officeDocument/2006/relationships/hyperlink" Target="https://mstgolf.co.th/products/gf2040114217" TargetMode="External" Id="rId2702" /><Relationship Type="http://schemas.openxmlformats.org/officeDocument/2006/relationships/hyperlink" Target="https://mstgolf.co.th/products/gf2040114367" TargetMode="External" Id="rId2703" /><Relationship Type="http://schemas.openxmlformats.org/officeDocument/2006/relationships/hyperlink" Target="https://mstgolf.co.th/products/gf2040115443" TargetMode="External" Id="rId2704" /><Relationship Type="http://schemas.openxmlformats.org/officeDocument/2006/relationships/hyperlink" Target="https://mstgolf.co.th/products/gf2040115444" TargetMode="External" Id="rId2705" /><Relationship Type="http://schemas.openxmlformats.org/officeDocument/2006/relationships/hyperlink" Target="https://mstgolf.co.th/products/gf2040114369" TargetMode="External" Id="rId2706" /><Relationship Type="http://schemas.openxmlformats.org/officeDocument/2006/relationships/hyperlink" Target="https://mstgolf.co.th/products/gf2040114370" TargetMode="External" Id="rId2707" /><Relationship Type="http://schemas.openxmlformats.org/officeDocument/2006/relationships/hyperlink" Target="https://mstgolf.co.th/products/gf2020202054" TargetMode="External" Id="rId2708" /><Relationship Type="http://schemas.openxmlformats.org/officeDocument/2006/relationships/hyperlink" Target="https://mstgolf.co.th/products/gf2020202070" TargetMode="External" Id="rId2709" /><Relationship Type="http://schemas.openxmlformats.org/officeDocument/2006/relationships/hyperlink" Target="https://mstgolf.co.th/products/gf2040113871" TargetMode="External" Id="rId2710" /><Relationship Type="http://schemas.openxmlformats.org/officeDocument/2006/relationships/hyperlink" Target="https://mstgolf.co.th/products/gf2040113872" TargetMode="External" Id="rId2711" /><Relationship Type="http://schemas.openxmlformats.org/officeDocument/2006/relationships/hyperlink" Target="https://mstgolf.co.th/products/gf2040115475" TargetMode="External" Id="rId2712" /><Relationship Type="http://schemas.openxmlformats.org/officeDocument/2006/relationships/hyperlink" Target="https://mstgolf.co.th/products/gf2020202048" TargetMode="External" Id="rId2713" /><Relationship Type="http://schemas.openxmlformats.org/officeDocument/2006/relationships/hyperlink" Target="https://mstgolf.co.th/products/gf2020202049" TargetMode="External" Id="rId2714" /><Relationship Type="http://schemas.openxmlformats.org/officeDocument/2006/relationships/hyperlink" Target="https://mstgolf.co.th/products/gf2020101835" TargetMode="External" Id="rId2715" /><Relationship Type="http://schemas.openxmlformats.org/officeDocument/2006/relationships/hyperlink" Target="https://mstgolf.co.th/products/gf2020101793" TargetMode="External" Id="rId2716" /><Relationship Type="http://schemas.openxmlformats.org/officeDocument/2006/relationships/hyperlink" Target="https://mstgolf.co.th/products/gf2020102090" TargetMode="External" Id="rId2717" /><Relationship Type="http://schemas.openxmlformats.org/officeDocument/2006/relationships/hyperlink" Target="https://mstgolf.co.th/products/gf2060100917" TargetMode="External" Id="rId2718" /><Relationship Type="http://schemas.openxmlformats.org/officeDocument/2006/relationships/hyperlink" Target="https://mstgolf.co.th/products/gf2000106296" TargetMode="External" Id="rId2719" /><Relationship Type="http://schemas.openxmlformats.org/officeDocument/2006/relationships/hyperlink" Target="https://mstgolf.co.th/products/gf2000106295" TargetMode="External" Id="rId2720" /><Relationship Type="http://schemas.openxmlformats.org/officeDocument/2006/relationships/hyperlink" Target="https://mstgolf.co.th/products/gf2000106294" TargetMode="External" Id="rId2721" /><Relationship Type="http://schemas.openxmlformats.org/officeDocument/2006/relationships/hyperlink" Target="https://mstgolf.co.th/products/gf2000106297" TargetMode="External" Id="rId2722" /><Relationship Type="http://schemas.openxmlformats.org/officeDocument/2006/relationships/hyperlink" Target="https://mstgolf.co.th/products/gf2000201049" TargetMode="External" Id="rId2723" /><Relationship Type="http://schemas.openxmlformats.org/officeDocument/2006/relationships/hyperlink" Target="https://mstgolf.co.th/products/gf2000201050" TargetMode="External" Id="rId2724" /><Relationship Type="http://schemas.openxmlformats.org/officeDocument/2006/relationships/hyperlink" Target="https://mstgolf.co.th/products/gf2020201998" TargetMode="External" Id="rId2725" /><Relationship Type="http://schemas.openxmlformats.org/officeDocument/2006/relationships/hyperlink" Target="https://mstgolf.co.th/products/gf2020202001" TargetMode="External" Id="rId2726" /><Relationship Type="http://schemas.openxmlformats.org/officeDocument/2006/relationships/hyperlink" Target="https://mstgolf.co.th/products/gf2040120593" TargetMode="External" Id="rId2727" /><Relationship Type="http://schemas.openxmlformats.org/officeDocument/2006/relationships/hyperlink" Target="https://mstgolf.co.th/products/gf2020102616" TargetMode="External" Id="rId2728" /><Relationship Type="http://schemas.openxmlformats.org/officeDocument/2006/relationships/hyperlink" Target="https://mstgolf.co.th/products/gf2040120471" TargetMode="External" Id="rId2729" /><Relationship Type="http://schemas.openxmlformats.org/officeDocument/2006/relationships/hyperlink" Target="https://mstgolf.co.th/products/gf2040120470" TargetMode="External" Id="rId2730" /><Relationship Type="http://schemas.openxmlformats.org/officeDocument/2006/relationships/hyperlink" Target="https://mstgolf.co.th/products/gf2020202818" TargetMode="External" Id="rId2731" /><Relationship Type="http://schemas.openxmlformats.org/officeDocument/2006/relationships/hyperlink" Target="https://mstgolf.co.th/products/gf2020202673" TargetMode="External" Id="rId2732" /><Relationship Type="http://schemas.openxmlformats.org/officeDocument/2006/relationships/hyperlink" Target="https://mstgolf.co.th/products/gf2020202817" TargetMode="External" Id="rId2733" /><Relationship Type="http://schemas.openxmlformats.org/officeDocument/2006/relationships/hyperlink" Target="https://mstgolf.co.th/products/gf2020202656" TargetMode="External" Id="rId2734" /><Relationship Type="http://schemas.openxmlformats.org/officeDocument/2006/relationships/hyperlink" Target="https://mstgolf.co.th/products/gf2020202657" TargetMode="External" Id="rId2735" /><Relationship Type="http://schemas.openxmlformats.org/officeDocument/2006/relationships/hyperlink" Target="https://mstgolf.co.th/products/gf2040401446" TargetMode="External" Id="rId2736" /><Relationship Type="http://schemas.openxmlformats.org/officeDocument/2006/relationships/hyperlink" Target="https://mstgolf.co.th/products/gf2040120557" TargetMode="External" Id="rId2737" /><Relationship Type="http://schemas.openxmlformats.org/officeDocument/2006/relationships/hyperlink" Target="https://mstgolf.co.th/products/gf2040120556" TargetMode="External" Id="rId2738" /><Relationship Type="http://schemas.openxmlformats.org/officeDocument/2006/relationships/hyperlink" Target="https://mstgolf.co.th/products/gf2060101044" TargetMode="External" Id="rId2739" /><Relationship Type="http://schemas.openxmlformats.org/officeDocument/2006/relationships/hyperlink" Target="https://mstgolf.co.th/products/gf2020102248" TargetMode="External" Id="rId2740" /><Relationship Type="http://schemas.openxmlformats.org/officeDocument/2006/relationships/hyperlink" Target="https://mstgolf.co.th/products/gf2020202188" TargetMode="External" Id="rId2741" /><Relationship Type="http://schemas.openxmlformats.org/officeDocument/2006/relationships/hyperlink" Target="https://mstgolf.co.th/products/gf2040114155" TargetMode="External" Id="rId2742" /><Relationship Type="http://schemas.openxmlformats.org/officeDocument/2006/relationships/hyperlink" Target="https://mstgolf.co.th/products/gf2040114156" TargetMode="External" Id="rId2743" /><Relationship Type="http://schemas.openxmlformats.org/officeDocument/2006/relationships/hyperlink" Target="https://mstgolf.co.th/products/gf2040118174" TargetMode="External" Id="rId2744" /><Relationship Type="http://schemas.openxmlformats.org/officeDocument/2006/relationships/hyperlink" Target="https://mstgolf.co.th/products/gf2040113231" TargetMode="External" Id="rId2745" /><Relationship Type="http://schemas.openxmlformats.org/officeDocument/2006/relationships/hyperlink" Target="https://mstgolf.co.th/products/gf2040113302" TargetMode="External" Id="rId2746" /><Relationship Type="http://schemas.openxmlformats.org/officeDocument/2006/relationships/hyperlink" Target="https://mstgolf.co.th/products/gf2040118177" TargetMode="External" Id="rId2747" /><Relationship Type="http://schemas.openxmlformats.org/officeDocument/2006/relationships/hyperlink" Target="https://mstgolf.co.th/products/gf2040401454" TargetMode="External" Id="rId2748" /><Relationship Type="http://schemas.openxmlformats.org/officeDocument/2006/relationships/hyperlink" Target="https://mstgolf.co.th/products/gf2040401455" TargetMode="External" Id="rId2749" /><Relationship Type="http://schemas.openxmlformats.org/officeDocument/2006/relationships/hyperlink" Target="https://mstgolf.co.th/products/gf2040401456" TargetMode="External" Id="rId2750" /><Relationship Type="http://schemas.openxmlformats.org/officeDocument/2006/relationships/hyperlink" Target="https://mstgolf.co.th/products/gf2040401457" TargetMode="External" Id="rId2751" /><Relationship Type="http://schemas.openxmlformats.org/officeDocument/2006/relationships/hyperlink" Target="https://mstgolf.co.th/products/gf2020202826" TargetMode="External" Id="rId2752" /><Relationship Type="http://schemas.openxmlformats.org/officeDocument/2006/relationships/hyperlink" Target="https://mstgolf.co.th/products/gf2020202827" TargetMode="External" Id="rId2753" /><Relationship Type="http://schemas.openxmlformats.org/officeDocument/2006/relationships/hyperlink" Target="https://mstgolf.co.th/products/gf2020202828" TargetMode="External" Id="rId2754" /><Relationship Type="http://schemas.openxmlformats.org/officeDocument/2006/relationships/hyperlink" Target="https://mstgolf.co.th/products/gf2020202829" TargetMode="External" Id="rId2755" /><Relationship Type="http://schemas.openxmlformats.org/officeDocument/2006/relationships/hyperlink" Target="https://mstgolf.co.th/products/gf2040120692" TargetMode="External" Id="rId2756" /><Relationship Type="http://schemas.openxmlformats.org/officeDocument/2006/relationships/hyperlink" Target="https://mstgolf.co.th/products/gf2040120694" TargetMode="External" Id="rId2757" /><Relationship Type="http://schemas.openxmlformats.org/officeDocument/2006/relationships/hyperlink" Target="https://mstgolf.co.th/products/gf2040120695" TargetMode="External" Id="rId2758" /><Relationship Type="http://schemas.openxmlformats.org/officeDocument/2006/relationships/hyperlink" Target="https://mstgolf.co.th/products/gf2040120696" TargetMode="External" Id="rId2759" /><Relationship Type="http://schemas.openxmlformats.org/officeDocument/2006/relationships/hyperlink" Target="https://mstgolf.co.th/products/gf2040119869" TargetMode="External" Id="rId2760" /><Relationship Type="http://schemas.openxmlformats.org/officeDocument/2006/relationships/hyperlink" Target="https://mstgolf.co.th/products/gf2040118864" TargetMode="External" Id="rId2761" /><Relationship Type="http://schemas.openxmlformats.org/officeDocument/2006/relationships/hyperlink" Target="https://mstgolf.co.th/products/gf2040118865" TargetMode="External" Id="rId2762" /><Relationship Type="http://schemas.openxmlformats.org/officeDocument/2006/relationships/hyperlink" Target="https://mstgolf.co.th/products/gf2020102233" TargetMode="External" Id="rId2763" /><Relationship Type="http://schemas.openxmlformats.org/officeDocument/2006/relationships/hyperlink" Target="https://mstgolf.co.th/products/gf2020102433" TargetMode="External" Id="rId2764" /><Relationship Type="http://schemas.openxmlformats.org/officeDocument/2006/relationships/hyperlink" Target="https://mstgolf.co.th/products/gf2020102481" TargetMode="External" Id="rId2765" /><Relationship Type="http://schemas.openxmlformats.org/officeDocument/2006/relationships/hyperlink" Target="https://mstgolf.co.th/products/gf2020102480" TargetMode="External" Id="rId2766" /><Relationship Type="http://schemas.openxmlformats.org/officeDocument/2006/relationships/hyperlink" Target="https://mstgolf.co.th/products/gf2040400883" TargetMode="External" Id="rId2767" /><Relationship Type="http://schemas.openxmlformats.org/officeDocument/2006/relationships/hyperlink" Target="https://mstgolf.co.th/products/gf2040400809" TargetMode="External" Id="rId2768" /><Relationship Type="http://schemas.openxmlformats.org/officeDocument/2006/relationships/hyperlink" Target="https://mstgolf.co.th/products/gf2040118169" TargetMode="External" Id="rId2769" /><Relationship Type="http://schemas.openxmlformats.org/officeDocument/2006/relationships/hyperlink" Target="https://mstgolf.co.th/products/gf2040118170" TargetMode="External" Id="rId2770" /><Relationship Type="http://schemas.openxmlformats.org/officeDocument/2006/relationships/hyperlink" Target="https://mstgolf.co.th/products/gf2020101842" TargetMode="External" Id="rId2771" /><Relationship Type="http://schemas.openxmlformats.org/officeDocument/2006/relationships/hyperlink" Target="https://mstgolf.co.th/products/gf2020101692" TargetMode="External" Id="rId2772" /><Relationship Type="http://schemas.openxmlformats.org/officeDocument/2006/relationships/hyperlink" Target="https://mstgolf.co.th/products/gf2020101693" TargetMode="External" Id="rId2773" /><Relationship Type="http://schemas.openxmlformats.org/officeDocument/2006/relationships/hyperlink" Target="https://mstgolf.co.th/products/gf2070400107" TargetMode="External" Id="rId2774" /><Relationship Type="http://schemas.openxmlformats.org/officeDocument/2006/relationships/hyperlink" Target="https://mstgolf.co.th/products/gf2070400108" TargetMode="External" Id="rId2775" /><Relationship Type="http://schemas.openxmlformats.org/officeDocument/2006/relationships/hyperlink" Target="https://mstgolf.co.th/products/gf2020202327" TargetMode="External" Id="rId2776" /><Relationship Type="http://schemas.openxmlformats.org/officeDocument/2006/relationships/hyperlink" Target="https://mstgolf.co.th/products/gf2040118449" TargetMode="External" Id="rId2777" /><Relationship Type="http://schemas.openxmlformats.org/officeDocument/2006/relationships/hyperlink" Target="https://mstgolf.co.th/products/gf2040118450" TargetMode="External" Id="rId2778" /><Relationship Type="http://schemas.openxmlformats.org/officeDocument/2006/relationships/hyperlink" Target="https://mstgolf.co.th/products/gf2040117461" TargetMode="External" Id="rId2779" /><Relationship Type="http://schemas.openxmlformats.org/officeDocument/2006/relationships/hyperlink" Target="https://mstgolf.co.th/products/gf2040117447" TargetMode="External" Id="rId2780" /><Relationship Type="http://schemas.openxmlformats.org/officeDocument/2006/relationships/hyperlink" Target="https://mstgolf.co.th/products/gf2040118436" TargetMode="External" Id="rId2781" /><Relationship Type="http://schemas.openxmlformats.org/officeDocument/2006/relationships/hyperlink" Target="https://mstgolf.co.th/products/gf2040119296" TargetMode="External" Id="rId2782" /><Relationship Type="http://schemas.openxmlformats.org/officeDocument/2006/relationships/hyperlink" Target="https://mstgolf.co.th/products/gf2040300141" TargetMode="External" Id="rId2783" /><Relationship Type="http://schemas.openxmlformats.org/officeDocument/2006/relationships/hyperlink" Target="https://mstgolf.co.th/products/gf2040300142" TargetMode="External" Id="rId2784" /><Relationship Type="http://schemas.openxmlformats.org/officeDocument/2006/relationships/hyperlink" Target="https://mstgolf.co.th/products/gf2040300143" TargetMode="External" Id="rId2785" /><Relationship Type="http://schemas.openxmlformats.org/officeDocument/2006/relationships/hyperlink" Target="https://mstgolf.co.th/products/gf2040120403" TargetMode="External" Id="rId2786" /><Relationship Type="http://schemas.openxmlformats.org/officeDocument/2006/relationships/hyperlink" Target="https://mstgolf.co.th/products/gf2040117227" TargetMode="External" Id="rId2787" /><Relationship Type="http://schemas.openxmlformats.org/officeDocument/2006/relationships/hyperlink" Target="https://mstgolf.co.th/products/gf2040120405" TargetMode="External" Id="rId2788" /><Relationship Type="http://schemas.openxmlformats.org/officeDocument/2006/relationships/hyperlink" Target="https://mstgolf.co.th/products/gf2040120458" TargetMode="External" Id="rId2789" /><Relationship Type="http://schemas.openxmlformats.org/officeDocument/2006/relationships/hyperlink" Target="https://mstgolf.co.th/products/gf2040120352" TargetMode="External" Id="rId2790" /><Relationship Type="http://schemas.openxmlformats.org/officeDocument/2006/relationships/hyperlink" Target="https://mstgolf.co.th/products/gf2040120356" TargetMode="External" Id="rId2791" /><Relationship Type="http://schemas.openxmlformats.org/officeDocument/2006/relationships/hyperlink" Target="https://mstgolf.co.th/products/gf2040119202" TargetMode="External" Id="rId2792" /><Relationship Type="http://schemas.openxmlformats.org/officeDocument/2006/relationships/hyperlink" Target="https://mstgolf.co.th/products/gf2020101829" TargetMode="External" Id="rId2793" /><Relationship Type="http://schemas.openxmlformats.org/officeDocument/2006/relationships/hyperlink" Target="https://mstgolf.co.th/products/gf2020101622" TargetMode="External" Id="rId2794" /><Relationship Type="http://schemas.openxmlformats.org/officeDocument/2006/relationships/hyperlink" Target="https://mstgolf.co.th/products/gf2040118328" TargetMode="External" Id="rId2795" /><Relationship Type="http://schemas.openxmlformats.org/officeDocument/2006/relationships/hyperlink" Target="https://mstgolf.co.th/products/gf2040119981" TargetMode="External" Id="rId2796" /><Relationship Type="http://schemas.openxmlformats.org/officeDocument/2006/relationships/hyperlink" Target="https://mstgolf.co.th/products/gf2040119978" TargetMode="External" Id="rId2797" /><Relationship Type="http://schemas.openxmlformats.org/officeDocument/2006/relationships/hyperlink" Target="https://mstgolf.co.th/products/gf2000300429" TargetMode="External" Id="rId2798" /><Relationship Type="http://schemas.openxmlformats.org/officeDocument/2006/relationships/hyperlink" Target="https://mstgolf.co.th/products/gf2000300430" TargetMode="External" Id="rId2799" /><Relationship Type="http://schemas.openxmlformats.org/officeDocument/2006/relationships/hyperlink" Target="https://mstgolf.co.th/products/gf2000300428" TargetMode="External" Id="rId2800" /><Relationship Type="http://schemas.openxmlformats.org/officeDocument/2006/relationships/hyperlink" Target="https://mstgolf.co.th/products/gf2000106102" TargetMode="External" Id="rId2801" /><Relationship Type="http://schemas.openxmlformats.org/officeDocument/2006/relationships/hyperlink" Target="https://mstgolf.co.th/products/gf2000106101" TargetMode="External" Id="rId2802" /><Relationship Type="http://schemas.openxmlformats.org/officeDocument/2006/relationships/hyperlink" Target="https://mstgolf.co.th/products/gf2000106467" TargetMode="External" Id="rId2803" /><Relationship Type="http://schemas.openxmlformats.org/officeDocument/2006/relationships/hyperlink" Target="https://mstgolf.co.th/products/gf2000106466" TargetMode="External" Id="rId2804" /><Relationship Type="http://schemas.openxmlformats.org/officeDocument/2006/relationships/hyperlink" Target="https://mstgolf.co.th/products/gf2000106468" TargetMode="External" Id="rId2805" /><Relationship Type="http://schemas.openxmlformats.org/officeDocument/2006/relationships/hyperlink" Target="https://mstgolf.co.th/products/gf2000106469" TargetMode="External" Id="rId2806" /><Relationship Type="http://schemas.openxmlformats.org/officeDocument/2006/relationships/hyperlink" Target="https://mstgolf.co.th/products/gf2040113206" TargetMode="External" Id="rId2807" /><Relationship Type="http://schemas.openxmlformats.org/officeDocument/2006/relationships/hyperlink" Target="https://mstgolf.co.th/products/gf2040117366" TargetMode="External" Id="rId2808" /><Relationship Type="http://schemas.openxmlformats.org/officeDocument/2006/relationships/hyperlink" Target="https://mstgolf.co.th/products/gf2020300133" TargetMode="External" Id="rId2809" /><Relationship Type="http://schemas.openxmlformats.org/officeDocument/2006/relationships/hyperlink" Target="https://mstgolf.co.th/products/gf2020202647" TargetMode="External" Id="rId2810" /><Relationship Type="http://schemas.openxmlformats.org/officeDocument/2006/relationships/hyperlink" Target="https://mstgolf.co.th/products/gf2020202670" TargetMode="External" Id="rId2811" /><Relationship Type="http://schemas.openxmlformats.org/officeDocument/2006/relationships/hyperlink" Target="https://mstgolf.co.th/products/gf2020202659" TargetMode="External" Id="rId2812" /><Relationship Type="http://schemas.openxmlformats.org/officeDocument/2006/relationships/hyperlink" Target="https://mstgolf.co.th/products/gf2020102618" TargetMode="External" Id="rId2813" /><Relationship Type="http://schemas.openxmlformats.org/officeDocument/2006/relationships/hyperlink" Target="https://mstgolf.co.th/products/gf2040300174" TargetMode="External" Id="rId2814" /><Relationship Type="http://schemas.openxmlformats.org/officeDocument/2006/relationships/hyperlink" Target="https://mstgolf.co.th/products/gf2040119400" TargetMode="External" Id="rId2815" /><Relationship Type="http://schemas.openxmlformats.org/officeDocument/2006/relationships/hyperlink" Target="https://mstgolf.co.th/products/gf2040119399" TargetMode="External" Id="rId2816" /><Relationship Type="http://schemas.openxmlformats.org/officeDocument/2006/relationships/hyperlink" Target="https://mstgolf.co.th/products/gf2040401434" TargetMode="External" Id="rId2817" /><Relationship Type="http://schemas.openxmlformats.org/officeDocument/2006/relationships/hyperlink" Target="https://mstgolf.co.th/products/gf2040401432" TargetMode="External" Id="rId2818" /><Relationship Type="http://schemas.openxmlformats.org/officeDocument/2006/relationships/hyperlink" Target="https://mstgolf.co.th/products/gf2020202678" TargetMode="External" Id="rId2819" /><Relationship Type="http://schemas.openxmlformats.org/officeDocument/2006/relationships/hyperlink" Target="https://mstgolf.co.th/products/gf2020202671" TargetMode="External" Id="rId2820" /><Relationship Type="http://schemas.openxmlformats.org/officeDocument/2006/relationships/hyperlink" Target="https://mstgolf.co.th/products/gf2020202668" TargetMode="External" Id="rId2821" /><Relationship Type="http://schemas.openxmlformats.org/officeDocument/2006/relationships/hyperlink" Target="https://mstgolf.co.th/products/gf2020202676" TargetMode="External" Id="rId2822" /><Relationship Type="http://schemas.openxmlformats.org/officeDocument/2006/relationships/hyperlink" Target="https://mstgolf.co.th/products/gf2040119398" TargetMode="External" Id="rId2823" /><Relationship Type="http://schemas.openxmlformats.org/officeDocument/2006/relationships/hyperlink" Target="https://mstgolf.co.th/products/gf2040120525" TargetMode="External" Id="rId2824" /><Relationship Type="http://schemas.openxmlformats.org/officeDocument/2006/relationships/hyperlink" Target="https://mstgolf.co.th/products/gf2040120526" TargetMode="External" Id="rId2825" /><Relationship Type="http://schemas.openxmlformats.org/officeDocument/2006/relationships/hyperlink" Target="https://mstgolf.co.th/products/gf2020200904" TargetMode="External" Id="rId2826" /><Relationship Type="http://schemas.openxmlformats.org/officeDocument/2006/relationships/hyperlink" Target="https://mstgolf.co.th/products/gf2040119953" TargetMode="External" Id="rId2827" /><Relationship Type="http://schemas.openxmlformats.org/officeDocument/2006/relationships/hyperlink" Target="https://mstgolf.co.th/products/gf2000300420" TargetMode="External" Id="rId2828" /><Relationship Type="http://schemas.openxmlformats.org/officeDocument/2006/relationships/hyperlink" Target="https://mstgolf.co.th/products/gf2040117807" TargetMode="External" Id="rId2829" /><Relationship Type="http://schemas.openxmlformats.org/officeDocument/2006/relationships/hyperlink" Target="https://mstgolf.co.th/products/gf2020102140" TargetMode="External" Id="rId2830" /><Relationship Type="http://schemas.openxmlformats.org/officeDocument/2006/relationships/hyperlink" Target="https://mstgolf.co.th/products/gf2020102139" TargetMode="External" Id="rId2831" /><Relationship Type="http://schemas.openxmlformats.org/officeDocument/2006/relationships/hyperlink" Target="https://mstgolf.co.th/products/gf2020102138" TargetMode="External" Id="rId2832" /><Relationship Type="http://schemas.openxmlformats.org/officeDocument/2006/relationships/hyperlink" Target="https://mstgolf.co.th/products/gf2040115921" TargetMode="External" Id="rId2833" /><Relationship Type="http://schemas.openxmlformats.org/officeDocument/2006/relationships/hyperlink" Target="https://mstgolf.co.th/products/gf2020202176" TargetMode="External" Id="rId2834" /><Relationship Type="http://schemas.openxmlformats.org/officeDocument/2006/relationships/hyperlink" Target="https://mstgolf.co.th/products/gf2020202175" TargetMode="External" Id="rId2835" /><Relationship Type="http://schemas.openxmlformats.org/officeDocument/2006/relationships/hyperlink" Target="https://mstgolf.co.th/products/gf2040117458" TargetMode="External" Id="rId2836" /><Relationship Type="http://schemas.openxmlformats.org/officeDocument/2006/relationships/hyperlink" Target="https://mstgolf.co.th/products/gf2040117462" TargetMode="External" Id="rId2837" /><Relationship Type="http://schemas.openxmlformats.org/officeDocument/2006/relationships/hyperlink" Target="https://mstgolf.co.th/products/gf2020202072" TargetMode="External" Id="rId2838" /><Relationship Type="http://schemas.openxmlformats.org/officeDocument/2006/relationships/hyperlink" Target="https://mstgolf.co.th/products/gf2020202065" TargetMode="External" Id="rId2839" /><Relationship Type="http://schemas.openxmlformats.org/officeDocument/2006/relationships/hyperlink" Target="https://mstgolf.co.th/products/gf2040116421" TargetMode="External" Id="rId2840" /><Relationship Type="http://schemas.openxmlformats.org/officeDocument/2006/relationships/hyperlink" Target="https://mstgolf.co.th/products/gf2040117908" TargetMode="External" Id="rId2841" /><Relationship Type="http://schemas.openxmlformats.org/officeDocument/2006/relationships/hyperlink" Target="https://mstgolf.co.th/products/gf2020202418" TargetMode="External" Id="rId2842" /><Relationship Type="http://schemas.openxmlformats.org/officeDocument/2006/relationships/hyperlink" Target="https://mstgolf.co.th/products/gf2040117917" TargetMode="External" Id="rId2843" /><Relationship Type="http://schemas.openxmlformats.org/officeDocument/2006/relationships/hyperlink" Target="https://mstgolf.co.th/products/gf2020102369" TargetMode="External" Id="rId2844" /><Relationship Type="http://schemas.openxmlformats.org/officeDocument/2006/relationships/hyperlink" Target="https://mstgolf.co.th/products/gf2020102420" TargetMode="External" Id="rId2845" /><Relationship Type="http://schemas.openxmlformats.org/officeDocument/2006/relationships/hyperlink" Target="https://mstgolf.co.th/products/gf2020102085" TargetMode="External" Id="rId2846" /><Relationship Type="http://schemas.openxmlformats.org/officeDocument/2006/relationships/hyperlink" Target="https://mstgolf.co.th/products/gf2020102086" TargetMode="External" Id="rId2847" /><Relationship Type="http://schemas.openxmlformats.org/officeDocument/2006/relationships/hyperlink" Target="https://mstgolf.co.th/products/gf2020102089" TargetMode="External" Id="rId2848" /><Relationship Type="http://schemas.openxmlformats.org/officeDocument/2006/relationships/hyperlink" Target="https://mstgolf.co.th/products/gf2040117335" TargetMode="External" Id="rId2849" /><Relationship Type="http://schemas.openxmlformats.org/officeDocument/2006/relationships/hyperlink" Target="https://mstgolf.co.th/products/gf2020202044" TargetMode="External" Id="rId2850" /><Relationship Type="http://schemas.openxmlformats.org/officeDocument/2006/relationships/hyperlink" Target="https://mstgolf.co.th/products/gf2040116500" TargetMode="External" Id="rId2851" /><Relationship Type="http://schemas.openxmlformats.org/officeDocument/2006/relationships/hyperlink" Target="https://mstgolf.co.th/products/gf2040116501" TargetMode="External" Id="rId2852" /><Relationship Type="http://schemas.openxmlformats.org/officeDocument/2006/relationships/hyperlink" Target="https://mstgolf.co.th/products/gf2040115497" TargetMode="External" Id="rId2853" /><Relationship Type="http://schemas.openxmlformats.org/officeDocument/2006/relationships/hyperlink" Target="https://mstgolf.co.th/products/gf2040115496" TargetMode="External" Id="rId2854" /><Relationship Type="http://schemas.openxmlformats.org/officeDocument/2006/relationships/hyperlink" Target="https://mstgolf.co.th/products/gf2040118305" TargetMode="External" Id="rId2855" /><Relationship Type="http://schemas.openxmlformats.org/officeDocument/2006/relationships/hyperlink" Target="https://mstgolf.co.th/products/gf2040116503" TargetMode="External" Id="rId2856" /><Relationship Type="http://schemas.openxmlformats.org/officeDocument/2006/relationships/hyperlink" Target="https://mstgolf.co.th/products/gf2020102499" TargetMode="External" Id="rId2857" /><Relationship Type="http://schemas.openxmlformats.org/officeDocument/2006/relationships/hyperlink" Target="https://mstgolf.co.th/products/gf2040119459" TargetMode="External" Id="rId2858" /><Relationship Type="http://schemas.openxmlformats.org/officeDocument/2006/relationships/hyperlink" Target="https://mstgolf.co.th/products/gf2040117497" TargetMode="External" Id="rId2859" /><Relationship Type="http://schemas.openxmlformats.org/officeDocument/2006/relationships/hyperlink" Target="https://mstgolf.co.th/products/gf2040117498" TargetMode="External" Id="rId2860" /><Relationship Type="http://schemas.openxmlformats.org/officeDocument/2006/relationships/hyperlink" Target="https://mstgolf.co.th/products/gf2020202187" TargetMode="External" Id="rId2861" /><Relationship Type="http://schemas.openxmlformats.org/officeDocument/2006/relationships/hyperlink" Target="https://mstgolf.co.th/products/gf2020200905" TargetMode="External" Id="rId2862" /><Relationship Type="http://schemas.openxmlformats.org/officeDocument/2006/relationships/hyperlink" Target="https://mstgolf.co.th/products/gf2020102545" TargetMode="External" Id="rId2863" /><Relationship Type="http://schemas.openxmlformats.org/officeDocument/2006/relationships/hyperlink" Target="https://mstgolf.co.th/products/gf2020102574" TargetMode="External" Id="rId2864" /><Relationship Type="http://schemas.openxmlformats.org/officeDocument/2006/relationships/hyperlink" Target="https://mstgolf.co.th/products/gf2020102567" TargetMode="External" Id="rId2865" /><Relationship Type="http://schemas.openxmlformats.org/officeDocument/2006/relationships/hyperlink" Target="https://mstgolf.co.th/products/gf2020102568" TargetMode="External" Id="rId2866" /><Relationship Type="http://schemas.openxmlformats.org/officeDocument/2006/relationships/hyperlink" Target="https://mstgolf.co.th/products/gf2020102542" TargetMode="External" Id="rId2867" /><Relationship Type="http://schemas.openxmlformats.org/officeDocument/2006/relationships/hyperlink" Target="https://mstgolf.co.th/products/gf2020202763" TargetMode="External" Id="rId2868" /><Relationship Type="http://schemas.openxmlformats.org/officeDocument/2006/relationships/hyperlink" Target="https://mstgolf.co.th/products/gf2020202764" TargetMode="External" Id="rId2869" /><Relationship Type="http://schemas.openxmlformats.org/officeDocument/2006/relationships/hyperlink" Target="https://mstgolf.co.th/products/gf2040120284" TargetMode="External" Id="rId2870" /><Relationship Type="http://schemas.openxmlformats.org/officeDocument/2006/relationships/hyperlink" Target="https://mstgolf.co.th/products/gf2040116710" TargetMode="External" Id="rId2871" /><Relationship Type="http://schemas.openxmlformats.org/officeDocument/2006/relationships/hyperlink" Target="https://mstgolf.co.th/products/gf2040116712" TargetMode="External" Id="rId2872" /><Relationship Type="http://schemas.openxmlformats.org/officeDocument/2006/relationships/hyperlink" Target="https://mstgolf.co.th/products/gf2040117336" TargetMode="External" Id="rId2873" /><Relationship Type="http://schemas.openxmlformats.org/officeDocument/2006/relationships/hyperlink" Target="https://mstgolf.co.th/products/gf2020202295" TargetMode="External" Id="rId2874" /><Relationship Type="http://schemas.openxmlformats.org/officeDocument/2006/relationships/hyperlink" Target="https://mstgolf.co.th/products/gf2040117327" TargetMode="External" Id="rId2875" /><Relationship Type="http://schemas.openxmlformats.org/officeDocument/2006/relationships/hyperlink" Target="https://mstgolf.co.th/products/gf2040117331" TargetMode="External" Id="rId2876" /><Relationship Type="http://schemas.openxmlformats.org/officeDocument/2006/relationships/hyperlink" Target="https://mstgolf.co.th/products/gf2040117328" TargetMode="External" Id="rId2877" /><Relationship Type="http://schemas.openxmlformats.org/officeDocument/2006/relationships/hyperlink" Target="https://mstgolf.co.th/products/gf2040117329" TargetMode="External" Id="rId2878" /><Relationship Type="http://schemas.openxmlformats.org/officeDocument/2006/relationships/hyperlink" Target="https://mstgolf.co.th/products/gf2040116479" TargetMode="External" Id="rId2879" /><Relationship Type="http://schemas.openxmlformats.org/officeDocument/2006/relationships/hyperlink" Target="https://mstgolf.co.th/products/gf2040117326" TargetMode="External" Id="rId2880" /><Relationship Type="http://schemas.openxmlformats.org/officeDocument/2006/relationships/hyperlink" Target="https://mstgolf.co.th/products/gf2040116484" TargetMode="External" Id="rId2881" /><Relationship Type="http://schemas.openxmlformats.org/officeDocument/2006/relationships/hyperlink" Target="https://mstgolf.co.th/products/gf2040115467" TargetMode="External" Id="rId2882" /><Relationship Type="http://schemas.openxmlformats.org/officeDocument/2006/relationships/hyperlink" Target="https://mstgolf.co.th/products/gf2040117332" TargetMode="External" Id="rId2883" /><Relationship Type="http://schemas.openxmlformats.org/officeDocument/2006/relationships/hyperlink" Target="https://mstgolf.co.th/products/gf2040117338" TargetMode="External" Id="rId2884" /><Relationship Type="http://schemas.openxmlformats.org/officeDocument/2006/relationships/hyperlink" Target="https://mstgolf.co.th/products/gf2040117339" TargetMode="External" Id="rId2885" /><Relationship Type="http://schemas.openxmlformats.org/officeDocument/2006/relationships/hyperlink" Target="https://mstgolf.co.th/products/gf3500300940" TargetMode="External" Id="rId2886" /><Relationship Type="http://schemas.openxmlformats.org/officeDocument/2006/relationships/hyperlink" Target="https://mstgolf.co.th/products/gf3500300942" TargetMode="External" Id="rId2887" /><Relationship Type="http://schemas.openxmlformats.org/officeDocument/2006/relationships/hyperlink" Target="https://mstgolf.co.th/products/gf3500300941" TargetMode="External" Id="rId2888" /><Relationship Type="http://schemas.openxmlformats.org/officeDocument/2006/relationships/hyperlink" Target="https://mstgolf.co.th/products/gf2020102497" TargetMode="External" Id="rId2889" /><Relationship Type="http://schemas.openxmlformats.org/officeDocument/2006/relationships/hyperlink" Target="https://mstgolf.co.th/products/gf2040119469" TargetMode="External" Id="rId2890" /><Relationship Type="http://schemas.openxmlformats.org/officeDocument/2006/relationships/hyperlink" Target="https://mstgolf.co.th/products/gf2040119468" TargetMode="External" Id="rId2891" /><Relationship Type="http://schemas.openxmlformats.org/officeDocument/2006/relationships/hyperlink" Target="https://mstgolf.co.th/products/gf2040120533" TargetMode="External" Id="rId2892" /><Relationship Type="http://schemas.openxmlformats.org/officeDocument/2006/relationships/hyperlink" Target="https://mstgolf.co.th/products/gf2040120472" TargetMode="External" Id="rId2893" /><Relationship Type="http://schemas.openxmlformats.org/officeDocument/2006/relationships/hyperlink" Target="https://mstgolf.co.th/products/gf2100200708" TargetMode="External" Id="rId2894" /><Relationship Type="http://schemas.openxmlformats.org/officeDocument/2006/relationships/hyperlink" Target="https://mstgolf.co.th/products/gf2040120554" TargetMode="External" Id="rId2895" /><Relationship Type="http://schemas.openxmlformats.org/officeDocument/2006/relationships/hyperlink" Target="https://mstgolf.co.th/products/gf2040120553" TargetMode="External" Id="rId2896" /><Relationship Type="http://schemas.openxmlformats.org/officeDocument/2006/relationships/hyperlink" Target="https://mstgolf.co.th/products/gf2040120558" TargetMode="External" Id="rId2897" /><Relationship Type="http://schemas.openxmlformats.org/officeDocument/2006/relationships/hyperlink" Target="https://mstgolf.co.th/products/gf2040120560" TargetMode="External" Id="rId2898" /><Relationship Type="http://schemas.openxmlformats.org/officeDocument/2006/relationships/hyperlink" Target="https://mstgolf.co.th/products/gf2040120559" TargetMode="External" Id="rId2899" /><Relationship Type="http://schemas.openxmlformats.org/officeDocument/2006/relationships/hyperlink" Target="https://mstgolf.co.th/products/gf2040119343" TargetMode="External" Id="rId2900" /><Relationship Type="http://schemas.openxmlformats.org/officeDocument/2006/relationships/hyperlink" Target="https://mstgolf.co.th/products/gf2020201795" TargetMode="External" Id="rId2901" /><Relationship Type="http://schemas.openxmlformats.org/officeDocument/2006/relationships/hyperlink" Target="https://mstgolf.co.th/products/gf2020201079" TargetMode="External" Id="rId2902" /><Relationship Type="http://schemas.openxmlformats.org/officeDocument/2006/relationships/hyperlink" Target="https://mstgolf.co.th/products/gf2020101969" TargetMode="External" Id="rId2903" /><Relationship Type="http://schemas.openxmlformats.org/officeDocument/2006/relationships/hyperlink" Target="https://mstgolf.co.th/products/gf2020600044" TargetMode="External" Id="rId2904" /><Relationship Type="http://schemas.openxmlformats.org/officeDocument/2006/relationships/hyperlink" Target="https://mstgolf.co.th/products/gf2020101221" TargetMode="External" Id="rId2905" /><Relationship Type="http://schemas.openxmlformats.org/officeDocument/2006/relationships/hyperlink" Target="https://mstgolf.co.th/products/gf2040115181" TargetMode="External" Id="rId2906" /><Relationship Type="http://schemas.openxmlformats.org/officeDocument/2006/relationships/hyperlink" Target="https://mstgolf.co.th/products/gf2040118666" TargetMode="External" Id="rId2907" /><Relationship Type="http://schemas.openxmlformats.org/officeDocument/2006/relationships/hyperlink" Target="https://mstgolf.co.th/products/gf2040118060" TargetMode="External" Id="rId2908" /><Relationship Type="http://schemas.openxmlformats.org/officeDocument/2006/relationships/hyperlink" Target="https://mstgolf.co.th/products/gf2040116958" TargetMode="External" Id="rId2909" /><Relationship Type="http://schemas.openxmlformats.org/officeDocument/2006/relationships/hyperlink" Target="https://mstgolf.co.th/products/gf2040116953" TargetMode="External" Id="rId2910" /><Relationship Type="http://schemas.openxmlformats.org/officeDocument/2006/relationships/hyperlink" Target="https://mstgolf.co.th/products/gf2040118065" TargetMode="External" Id="rId2911" /><Relationship Type="http://schemas.openxmlformats.org/officeDocument/2006/relationships/hyperlink" Target="https://mstgolf.co.th/products/gf2040116971" TargetMode="External" Id="rId2912" /><Relationship Type="http://schemas.openxmlformats.org/officeDocument/2006/relationships/hyperlink" Target="https://mstgolf.co.th/products/gf2040118661" TargetMode="External" Id="rId2913" /><Relationship Type="http://schemas.openxmlformats.org/officeDocument/2006/relationships/hyperlink" Target="https://mstgolf.co.th/products/gf2040116970" TargetMode="External" Id="rId2914" /><Relationship Type="http://schemas.openxmlformats.org/officeDocument/2006/relationships/hyperlink" Target="https://mstgolf.co.th/products/gf2040115184" TargetMode="External" Id="rId2915" /><Relationship Type="http://schemas.openxmlformats.org/officeDocument/2006/relationships/hyperlink" Target="https://mstgolf.co.th/products/gf2040116979" TargetMode="External" Id="rId2916" /><Relationship Type="http://schemas.openxmlformats.org/officeDocument/2006/relationships/hyperlink" Target="https://mstgolf.co.th/products/gf2040116961" TargetMode="External" Id="rId2917" /><Relationship Type="http://schemas.openxmlformats.org/officeDocument/2006/relationships/hyperlink" Target="https://mstgolf.co.th/products/gf2040116962" TargetMode="External" Id="rId2918" /><Relationship Type="http://schemas.openxmlformats.org/officeDocument/2006/relationships/hyperlink" Target="https://mstgolf.co.th/products/gf2040114240" TargetMode="External" Id="rId2919" /><Relationship Type="http://schemas.openxmlformats.org/officeDocument/2006/relationships/hyperlink" Target="https://mstgolf.co.th/products/gf2040116972" TargetMode="External" Id="rId2920" /><Relationship Type="http://schemas.openxmlformats.org/officeDocument/2006/relationships/hyperlink" Target="https://mstgolf.co.th/products/gf2040118066" TargetMode="External" Id="rId2921" /><Relationship Type="http://schemas.openxmlformats.org/officeDocument/2006/relationships/hyperlink" Target="https://mstgolf.co.th/products/gf2040116976" TargetMode="External" Id="rId2922" /><Relationship Type="http://schemas.openxmlformats.org/officeDocument/2006/relationships/hyperlink" Target="https://mstgolf.co.th/products/gf2040115172" TargetMode="External" Id="rId2923" /><Relationship Type="http://schemas.openxmlformats.org/officeDocument/2006/relationships/hyperlink" Target="https://mstgolf.co.th/products/gf2040118062" TargetMode="External" Id="rId2924" /><Relationship Type="http://schemas.openxmlformats.org/officeDocument/2006/relationships/hyperlink" Target="https://mstgolf.co.th/products/gf2040114176" TargetMode="External" Id="rId2925" /><Relationship Type="http://schemas.openxmlformats.org/officeDocument/2006/relationships/hyperlink" Target="https://mstgolf.co.th/products/gf2040118064" TargetMode="External" Id="rId2926" /><Relationship Type="http://schemas.openxmlformats.org/officeDocument/2006/relationships/hyperlink" Target="https://mstgolf.co.th/products/gf2040115163" TargetMode="External" Id="rId2927" /><Relationship Type="http://schemas.openxmlformats.org/officeDocument/2006/relationships/hyperlink" Target="https://mstgolf.co.th/products/gf2040401387" TargetMode="External" Id="rId2928" /><Relationship Type="http://schemas.openxmlformats.org/officeDocument/2006/relationships/hyperlink" Target="https://mstgolf.co.th/products/gf2080101517" TargetMode="External" Id="rId2929" /><Relationship Type="http://schemas.openxmlformats.org/officeDocument/2006/relationships/hyperlink" Target="https://mstgolf.co.th/products/gf2080101518" TargetMode="External" Id="rId2930" /><Relationship Type="http://schemas.openxmlformats.org/officeDocument/2006/relationships/hyperlink" Target="https://mstgolf.co.th/products/gf2080101519" TargetMode="External" Id="rId2931" /><Relationship Type="http://schemas.openxmlformats.org/officeDocument/2006/relationships/hyperlink" Target="https://mstgolf.co.th/products/gf2080101520" TargetMode="External" Id="rId2932" /><Relationship Type="http://schemas.openxmlformats.org/officeDocument/2006/relationships/hyperlink" Target="https://mstgolf.co.th/products/gf2080101521" TargetMode="External" Id="rId2933" /><Relationship Type="http://schemas.openxmlformats.org/officeDocument/2006/relationships/hyperlink" Target="https://mstgolf.co.th/products/gf2040401404" TargetMode="External" Id="rId2934" /><Relationship Type="http://schemas.openxmlformats.org/officeDocument/2006/relationships/hyperlink" Target="https://mstgolf.co.th/products/gf2040200164" TargetMode="External" Id="rId2935" /><Relationship Type="http://schemas.openxmlformats.org/officeDocument/2006/relationships/hyperlink" Target="https://mstgolf.co.th/products/gf2040200140" TargetMode="External" Id="rId2936" /><Relationship Type="http://schemas.openxmlformats.org/officeDocument/2006/relationships/hyperlink" Target="https://mstgolf.co.th/products/gf3500300865" TargetMode="External" Id="rId2937" /><Relationship Type="http://schemas.openxmlformats.org/officeDocument/2006/relationships/hyperlink" Target="https://mstgolf.co.th/products/gf2000106239" TargetMode="External" Id="rId2938" /><Relationship Type="http://schemas.openxmlformats.org/officeDocument/2006/relationships/hyperlink" Target="https://mstgolf.co.th/products/gf2000106240" TargetMode="External" Id="rId2939" /><Relationship Type="http://schemas.openxmlformats.org/officeDocument/2006/relationships/hyperlink" Target="https://mstgolf.co.th/products/gf2040120856" TargetMode="External" Id="rId2940" /><Relationship Type="http://schemas.openxmlformats.org/officeDocument/2006/relationships/hyperlink" Target="https://mstgolf.co.th/products/gf2040114975" TargetMode="External" Id="rId2941" /><Relationship Type="http://schemas.openxmlformats.org/officeDocument/2006/relationships/hyperlink" Target="https://mstgolf.co.th/products/gf2040114976" TargetMode="External" Id="rId2942" /><Relationship Type="http://schemas.openxmlformats.org/officeDocument/2006/relationships/hyperlink" Target="https://mstgolf.co.th/products/gf2020201471" TargetMode="External" Id="rId2943" /><Relationship Type="http://schemas.openxmlformats.org/officeDocument/2006/relationships/hyperlink" Target="https://mstgolf.co.th/products/gf2040120582" TargetMode="External" Id="rId2944" /><Relationship Type="http://schemas.openxmlformats.org/officeDocument/2006/relationships/hyperlink" Target="https://mstgolf.co.th/products/gf2020202407" TargetMode="External" Id="rId2945" /><Relationship Type="http://schemas.openxmlformats.org/officeDocument/2006/relationships/hyperlink" Target="https://mstgolf.co.th/products/gf2020202406" TargetMode="External" Id="rId2946" /><Relationship Type="http://schemas.openxmlformats.org/officeDocument/2006/relationships/hyperlink" Target="https://mstgolf.co.th/products/gf2040114308" TargetMode="External" Id="rId2947" /><Relationship Type="http://schemas.openxmlformats.org/officeDocument/2006/relationships/hyperlink" Target="https://mstgolf.co.th/products/gf2040114305" TargetMode="External" Id="rId2948" /><Relationship Type="http://schemas.openxmlformats.org/officeDocument/2006/relationships/hyperlink" Target="https://mstgolf.co.th/products/gf2040113451" TargetMode="External" Id="rId2949" /><Relationship Type="http://schemas.openxmlformats.org/officeDocument/2006/relationships/hyperlink" Target="https://mstgolf.co.th/products/gf2040119289" TargetMode="External" Id="rId2950" /><Relationship Type="http://schemas.openxmlformats.org/officeDocument/2006/relationships/hyperlink" Target="https://mstgolf.co.th/products/gf2040118455" TargetMode="External" Id="rId2951" /><Relationship Type="http://schemas.openxmlformats.org/officeDocument/2006/relationships/hyperlink" Target="https://mstgolf.co.th/products/gf2040119265" TargetMode="External" Id="rId2952" /><Relationship Type="http://schemas.openxmlformats.org/officeDocument/2006/relationships/hyperlink" Target="https://mstgolf.co.th/products/gf2040119262" TargetMode="External" Id="rId2953" /><Relationship Type="http://schemas.openxmlformats.org/officeDocument/2006/relationships/hyperlink" Target="https://mstgolf.co.th/products/gf2040119264" TargetMode="External" Id="rId2954" /><Relationship Type="http://schemas.openxmlformats.org/officeDocument/2006/relationships/hyperlink" Target="https://mstgolf.co.th/products/gf2040119263" TargetMode="External" Id="rId2955" /><Relationship Type="http://schemas.openxmlformats.org/officeDocument/2006/relationships/hyperlink" Target="https://mstgolf.co.th/products/gf2070400130" TargetMode="External" Id="rId2956" /><Relationship Type="http://schemas.openxmlformats.org/officeDocument/2006/relationships/hyperlink" Target="https://mstgolf.co.th/products/gf2040117401" TargetMode="External" Id="rId2957" /><Relationship Type="http://schemas.openxmlformats.org/officeDocument/2006/relationships/hyperlink" Target="https://mstgolf.co.th/products/gf2040118439" TargetMode="External" Id="rId2958" /><Relationship Type="http://schemas.openxmlformats.org/officeDocument/2006/relationships/hyperlink" Target="https://mstgolf.co.th/products/gf2040117400" TargetMode="External" Id="rId2959" /><Relationship Type="http://schemas.openxmlformats.org/officeDocument/2006/relationships/hyperlink" Target="https://mstgolf.co.th/products/gf2040117399" TargetMode="External" Id="rId2960" /><Relationship Type="http://schemas.openxmlformats.org/officeDocument/2006/relationships/hyperlink" Target="https://mstgolf.co.th/products/gf2040119268" TargetMode="External" Id="rId2961" /><Relationship Type="http://schemas.openxmlformats.org/officeDocument/2006/relationships/hyperlink" Target="https://mstgolf.co.th/products/gf2040119269" TargetMode="External" Id="rId2962" /><Relationship Type="http://schemas.openxmlformats.org/officeDocument/2006/relationships/hyperlink" Target="https://mstgolf.co.th/products/gf2000300313" TargetMode="External" Id="rId2963" /><Relationship Type="http://schemas.openxmlformats.org/officeDocument/2006/relationships/hyperlink" Target="https://mstgolf.co.th/products/gf2020101696" TargetMode="External" Id="rId2964" /><Relationship Type="http://schemas.openxmlformats.org/officeDocument/2006/relationships/hyperlink" Target="https://mstgolf.co.th/products/gf2020101621" TargetMode="External" Id="rId2965" /><Relationship Type="http://schemas.openxmlformats.org/officeDocument/2006/relationships/hyperlink" Target="https://mstgolf.co.th/products/gf2040401155" TargetMode="External" Id="rId2966" /><Relationship Type="http://schemas.openxmlformats.org/officeDocument/2006/relationships/hyperlink" Target="https://mstgolf.co.th/products/gf2040401156" TargetMode="External" Id="rId2967" /><Relationship Type="http://schemas.openxmlformats.org/officeDocument/2006/relationships/hyperlink" Target="https://mstgolf.co.th/products/gf2040117217" TargetMode="External" Id="rId2968" /><Relationship Type="http://schemas.openxmlformats.org/officeDocument/2006/relationships/hyperlink" Target="https://mstgolf.co.th/products/gf2040117218" TargetMode="External" Id="rId2969" /><Relationship Type="http://schemas.openxmlformats.org/officeDocument/2006/relationships/hyperlink" Target="https://mstgolf.co.th/products/gf2040117219" TargetMode="External" Id="rId2970" /><Relationship Type="http://schemas.openxmlformats.org/officeDocument/2006/relationships/hyperlink" Target="https://mstgolf.co.th/products/gf2040120390" TargetMode="External" Id="rId2971" /><Relationship Type="http://schemas.openxmlformats.org/officeDocument/2006/relationships/hyperlink" Target="https://mstgolf.co.th/products/gf2000106100" TargetMode="External" Id="rId2972" /><Relationship Type="http://schemas.openxmlformats.org/officeDocument/2006/relationships/hyperlink" Target="https://mstgolf.co.th/products/gf2000106465" TargetMode="External" Id="rId2973" /><Relationship Type="http://schemas.openxmlformats.org/officeDocument/2006/relationships/hyperlink" Target="https://mstgolf.co.th/products/gf2000106111" TargetMode="External" Id="rId2974" /><Relationship Type="http://schemas.openxmlformats.org/officeDocument/2006/relationships/hyperlink" Target="https://mstgolf.co.th/products/gf2000106104" TargetMode="External" Id="rId2975" /><Relationship Type="http://schemas.openxmlformats.org/officeDocument/2006/relationships/hyperlink" Target="https://mstgolf.co.th/products/gf2000106103" TargetMode="External" Id="rId2976" /><Relationship Type="http://schemas.openxmlformats.org/officeDocument/2006/relationships/hyperlink" Target="https://mstgolf.co.th/products/gf2000106464" TargetMode="External" Id="rId2977" /><Relationship Type="http://schemas.openxmlformats.org/officeDocument/2006/relationships/hyperlink" Target="https://mstgolf.co.th/products/gf2000106106" TargetMode="External" Id="rId2978" /><Relationship Type="http://schemas.openxmlformats.org/officeDocument/2006/relationships/hyperlink" Target="https://mstgolf.co.th/products/gf2000300437" TargetMode="External" Id="rId2979" /><Relationship Type="http://schemas.openxmlformats.org/officeDocument/2006/relationships/hyperlink" Target="https://mstgolf.co.th/products/gf2000106124" TargetMode="External" Id="rId2980" /><Relationship Type="http://schemas.openxmlformats.org/officeDocument/2006/relationships/hyperlink" Target="https://mstgolf.co.th/products/gf2020201770" TargetMode="External" Id="rId2981" /><Relationship Type="http://schemas.openxmlformats.org/officeDocument/2006/relationships/hyperlink" Target="https://mstgolf.co.th/products/gf2020201936" TargetMode="External" Id="rId2982" /><Relationship Type="http://schemas.openxmlformats.org/officeDocument/2006/relationships/hyperlink" Target="https://mstgolf.co.th/products/gf2040115129" TargetMode="External" Id="rId2983" /><Relationship Type="http://schemas.openxmlformats.org/officeDocument/2006/relationships/hyperlink" Target="https://mstgolf.co.th/products/gf2040400927" TargetMode="External" Id="rId2984" /><Relationship Type="http://schemas.openxmlformats.org/officeDocument/2006/relationships/hyperlink" Target="https://mstgolf.co.th/products/gf2040116706" TargetMode="External" Id="rId2985" /><Relationship Type="http://schemas.openxmlformats.org/officeDocument/2006/relationships/hyperlink" Target="https://mstgolf.co.th/products/gf2020101834" TargetMode="External" Id="rId2986" /><Relationship Type="http://schemas.openxmlformats.org/officeDocument/2006/relationships/hyperlink" Target="https://mstgolf.co.th/products/gf2020202207" TargetMode="External" Id="rId2987" /><Relationship Type="http://schemas.openxmlformats.org/officeDocument/2006/relationships/hyperlink" Target="https://mstgolf.co.th/products/gf2040113396" TargetMode="External" Id="rId2988" /><Relationship Type="http://schemas.openxmlformats.org/officeDocument/2006/relationships/hyperlink" Target="https://mstgolf.co.th/products/gf2040401062" TargetMode="External" Id="rId2989" /><Relationship Type="http://schemas.openxmlformats.org/officeDocument/2006/relationships/hyperlink" Target="https://mstgolf.co.th/products/gf2060100824" TargetMode="External" Id="rId2990" /><Relationship Type="http://schemas.openxmlformats.org/officeDocument/2006/relationships/hyperlink" Target="https://mstgolf.co.th/products/gf2040200105" TargetMode="External" Id="rId2991" /><Relationship Type="http://schemas.openxmlformats.org/officeDocument/2006/relationships/hyperlink" Target="https://mstgolf.co.th/products/gf2040200106" TargetMode="External" Id="rId2992" /><Relationship Type="http://schemas.openxmlformats.org/officeDocument/2006/relationships/hyperlink" Target="https://mstgolf.co.th/products/gf2040401347" TargetMode="External" Id="rId2993" /><Relationship Type="http://schemas.openxmlformats.org/officeDocument/2006/relationships/hyperlink" Target="https://mstgolf.co.th/products/gf2040401346" TargetMode="External" Id="rId2994" /><Relationship Type="http://schemas.openxmlformats.org/officeDocument/2006/relationships/hyperlink" Target="https://mstgolf.co.th/products/gf2060100969" TargetMode="External" Id="rId2995" /><Relationship Type="http://schemas.openxmlformats.org/officeDocument/2006/relationships/hyperlink" Target="https://mstgolf.co.th/products/gf2020202661" TargetMode="External" Id="rId2996" /><Relationship Type="http://schemas.openxmlformats.org/officeDocument/2006/relationships/hyperlink" Target="https://mstgolf.co.th/products/gf2020202660" TargetMode="External" Id="rId2997" /><Relationship Type="http://schemas.openxmlformats.org/officeDocument/2006/relationships/hyperlink" Target="https://mstgolf.co.th/products/gf2020202804" TargetMode="External" Id="rId2998" /><Relationship Type="http://schemas.openxmlformats.org/officeDocument/2006/relationships/hyperlink" Target="https://mstgolf.co.th/products/gf2020202805" TargetMode="External" Id="rId2999" /><Relationship Type="http://schemas.openxmlformats.org/officeDocument/2006/relationships/hyperlink" Target="https://mstgolf.co.th/products/gf2040401441" TargetMode="External" Id="rId3000" /><Relationship Type="http://schemas.openxmlformats.org/officeDocument/2006/relationships/hyperlink" Target="https://mstgolf.co.th/products/gf2040401440" TargetMode="External" Id="rId3001" /><Relationship Type="http://schemas.openxmlformats.org/officeDocument/2006/relationships/hyperlink" Target="https://mstgolf.co.th/products/gf2020102617" TargetMode="External" Id="rId3002" /><Relationship Type="http://schemas.openxmlformats.org/officeDocument/2006/relationships/hyperlink" Target="https://mstgolf.co.th/products/gf2020202669" TargetMode="External" Id="rId3003" /><Relationship Type="http://schemas.openxmlformats.org/officeDocument/2006/relationships/hyperlink" Target="https://mstgolf.co.th/products/gf2020201080" TargetMode="External" Id="rId3004" /><Relationship Type="http://schemas.openxmlformats.org/officeDocument/2006/relationships/hyperlink" Target="https://mstgolf.co.th/products/gf2020202194" TargetMode="External" Id="rId3005" /><Relationship Type="http://schemas.openxmlformats.org/officeDocument/2006/relationships/hyperlink" Target="https://mstgolf.co.th/products/gf2020202193" TargetMode="External" Id="rId3006" /><Relationship Type="http://schemas.openxmlformats.org/officeDocument/2006/relationships/hyperlink" Target="https://mstgolf.co.th/products/gf2020202192" TargetMode="External" Id="rId3007" /><Relationship Type="http://schemas.openxmlformats.org/officeDocument/2006/relationships/hyperlink" Target="https://mstgolf.co.th/products/gf2040401338" TargetMode="External" Id="rId3008" /><Relationship Type="http://schemas.openxmlformats.org/officeDocument/2006/relationships/hyperlink" Target="https://mstgolf.co.th/products/gf2060101039" TargetMode="External" Id="rId3009" /><Relationship Type="http://schemas.openxmlformats.org/officeDocument/2006/relationships/hyperlink" Target="https://mstgolf.co.th/products/gf3500201272" TargetMode="External" Id="rId3010" /><Relationship Type="http://schemas.openxmlformats.org/officeDocument/2006/relationships/hyperlink" Target="https://mstgolf.co.th/products/gf2040120763" TargetMode="External" Id="rId3011" /><Relationship Type="http://schemas.openxmlformats.org/officeDocument/2006/relationships/hyperlink" Target="https://mstgolf.co.th/products/gf2040120764" TargetMode="External" Id="rId3012" /><Relationship Type="http://schemas.openxmlformats.org/officeDocument/2006/relationships/hyperlink" Target="https://mstgolf.co.th/products/gf2040120765" TargetMode="External" Id="rId3013" /><Relationship Type="http://schemas.openxmlformats.org/officeDocument/2006/relationships/hyperlink" Target="https://mstgolf.co.th/products/gf2040120766" TargetMode="External" Id="rId3014" /><Relationship Type="http://schemas.openxmlformats.org/officeDocument/2006/relationships/hyperlink" Target="https://mstgolf.co.th/products/gf2020300068" TargetMode="External" Id="rId3015" /><Relationship Type="http://schemas.openxmlformats.org/officeDocument/2006/relationships/hyperlink" Target="https://mstgolf.co.th/products/gf2020102451" TargetMode="External" Id="rId3016" /><Relationship Type="http://schemas.openxmlformats.org/officeDocument/2006/relationships/hyperlink" Target="https://mstgolf.co.th/products/gf2040115923" TargetMode="External" Id="rId3017" /><Relationship Type="http://schemas.openxmlformats.org/officeDocument/2006/relationships/hyperlink" Target="https://mstgolf.co.th/products/gf2040119255" TargetMode="External" Id="rId3018" /><Relationship Type="http://schemas.openxmlformats.org/officeDocument/2006/relationships/hyperlink" Target="https://mstgolf.co.th/products/gf2020202474" TargetMode="External" Id="rId3019" /><Relationship Type="http://schemas.openxmlformats.org/officeDocument/2006/relationships/hyperlink" Target="https://mstgolf.co.th/products/gf2020202322" TargetMode="External" Id="rId3020" /><Relationship Type="http://schemas.openxmlformats.org/officeDocument/2006/relationships/hyperlink" Target="https://mstgolf.co.th/products/gf2020202321" TargetMode="External" Id="rId3021" /><Relationship Type="http://schemas.openxmlformats.org/officeDocument/2006/relationships/hyperlink" Target="https://mstgolf.co.th/products/gf2040120283" TargetMode="External" Id="rId3022" /><Relationship Type="http://schemas.openxmlformats.org/officeDocument/2006/relationships/hyperlink" Target="https://mstgolf.co.th/products/gf2040120281" TargetMode="External" Id="rId3023" /><Relationship Type="http://schemas.openxmlformats.org/officeDocument/2006/relationships/hyperlink" Target="https://mstgolf.co.th/products/gf2040119280" TargetMode="External" Id="rId3024" /><Relationship Type="http://schemas.openxmlformats.org/officeDocument/2006/relationships/hyperlink" Target="https://mstgolf.co.th/products/gf2040119281" TargetMode="External" Id="rId3025" /><Relationship Type="http://schemas.openxmlformats.org/officeDocument/2006/relationships/hyperlink" Target="https://mstgolf.co.th/products/gf2070400113" TargetMode="External" Id="rId3026" /><Relationship Type="http://schemas.openxmlformats.org/officeDocument/2006/relationships/hyperlink" Target="https://mstgolf.co.th/products/gf2070400114" TargetMode="External" Id="rId3027" /><Relationship Type="http://schemas.openxmlformats.org/officeDocument/2006/relationships/hyperlink" Target="https://mstgolf.co.th/products/gf2070400199" TargetMode="External" Id="rId3028" /><Relationship Type="http://schemas.openxmlformats.org/officeDocument/2006/relationships/hyperlink" Target="https://mstgolf.co.th/products/gf2040400954" TargetMode="External" Id="rId3029" /><Relationship Type="http://schemas.openxmlformats.org/officeDocument/2006/relationships/hyperlink" Target="https://mstgolf.co.th/products/gf2040115459" TargetMode="External" Id="rId3030" /><Relationship Type="http://schemas.openxmlformats.org/officeDocument/2006/relationships/hyperlink" Target="https://mstgolf.co.th/products/gf2000300300" TargetMode="External" Id="rId3031" /><Relationship Type="http://schemas.openxmlformats.org/officeDocument/2006/relationships/hyperlink" Target="https://mstgolf.co.th/products/gf2000300299" TargetMode="External" Id="rId3032" /><Relationship Type="http://schemas.openxmlformats.org/officeDocument/2006/relationships/hyperlink" Target="https://mstgolf.co.th/products/gf2040112539" TargetMode="External" Id="rId3033" /><Relationship Type="http://schemas.openxmlformats.org/officeDocument/2006/relationships/hyperlink" Target="https://mstgolf.co.th/products/gf2040114581" TargetMode="External" Id="rId3034" /><Relationship Type="http://schemas.openxmlformats.org/officeDocument/2006/relationships/hyperlink" Target="https://mstgolf.co.th/products/gf2020202306" TargetMode="External" Id="rId3035" /><Relationship Type="http://schemas.openxmlformats.org/officeDocument/2006/relationships/hyperlink" Target="https://mstgolf.co.th/products/gf2040118342" TargetMode="External" Id="rId3036" /><Relationship Type="http://schemas.openxmlformats.org/officeDocument/2006/relationships/hyperlink" Target="https://mstgolf.co.th/products/gf2040400877" TargetMode="External" Id="rId3037" /><Relationship Type="http://schemas.openxmlformats.org/officeDocument/2006/relationships/hyperlink" Target="https://mstgolf.co.th/products/gf2040400870" TargetMode="External" Id="rId3038" /><Relationship Type="http://schemas.openxmlformats.org/officeDocument/2006/relationships/hyperlink" Target="https://mstgolf.co.th/products/gf2040400871" TargetMode="External" Id="rId3039" /><Relationship Type="http://schemas.openxmlformats.org/officeDocument/2006/relationships/hyperlink" Target="https://mstgolf.co.th/products/gf2040118341" TargetMode="External" Id="rId3040" /><Relationship Type="http://schemas.openxmlformats.org/officeDocument/2006/relationships/hyperlink" Target="https://mstgolf.co.th/products/gf2040119224" TargetMode="External" Id="rId3041" /><Relationship Type="http://schemas.openxmlformats.org/officeDocument/2006/relationships/hyperlink" Target="https://mstgolf.co.th/products/gf2040118674" TargetMode="External" Id="rId3042" /><Relationship Type="http://schemas.openxmlformats.org/officeDocument/2006/relationships/hyperlink" Target="https://mstgolf.co.th/products/gf2040118672" TargetMode="External" Id="rId3043" /><Relationship Type="http://schemas.openxmlformats.org/officeDocument/2006/relationships/hyperlink" Target="https://mstgolf.co.th/products/gf2000105948" TargetMode="External" Id="rId3044" /><Relationship Type="http://schemas.openxmlformats.org/officeDocument/2006/relationships/hyperlink" Target="https://mstgolf.co.th/products/gf2000105949" TargetMode="External" Id="rId3045" /><Relationship Type="http://schemas.openxmlformats.org/officeDocument/2006/relationships/hyperlink" Target="https://mstgolf.co.th/products/gf2040116692" TargetMode="External" Id="rId3046" /><Relationship Type="http://schemas.openxmlformats.org/officeDocument/2006/relationships/hyperlink" Target="https://mstgolf.co.th/products/gf2040116688" TargetMode="External" Id="rId3047" /><Relationship Type="http://schemas.openxmlformats.org/officeDocument/2006/relationships/hyperlink" Target="https://mstgolf.co.th/products/gf2040116699" TargetMode="External" Id="rId3048" /><Relationship Type="http://schemas.openxmlformats.org/officeDocument/2006/relationships/hyperlink" Target="https://mstgolf.co.th/products/gf2040117711" TargetMode="External" Id="rId3049" /><Relationship Type="http://schemas.openxmlformats.org/officeDocument/2006/relationships/hyperlink" Target="https://mstgolf.co.th/products/gf2040116702" TargetMode="External" Id="rId3050" /><Relationship Type="http://schemas.openxmlformats.org/officeDocument/2006/relationships/hyperlink" Target="https://mstgolf.co.th/products/gf2000300305" TargetMode="External" Id="rId3051" /><Relationship Type="http://schemas.openxmlformats.org/officeDocument/2006/relationships/hyperlink" Target="https://mstgolf.co.th/products/gf2000300304" TargetMode="External" Id="rId3052" /><Relationship Type="http://schemas.openxmlformats.org/officeDocument/2006/relationships/hyperlink" Target="https://mstgolf.co.th/products/gf2040116596" TargetMode="External" Id="rId3053" /><Relationship Type="http://schemas.openxmlformats.org/officeDocument/2006/relationships/hyperlink" Target="https://mstgolf.co.th/products/gf2040114359" TargetMode="External" Id="rId3054" /><Relationship Type="http://schemas.openxmlformats.org/officeDocument/2006/relationships/hyperlink" Target="https://mstgolf.co.th/products/gf2080101476" TargetMode="External" Id="rId3055" /><Relationship Type="http://schemas.openxmlformats.org/officeDocument/2006/relationships/hyperlink" Target="https://mstgolf.co.th/products/gf2040119411" TargetMode="External" Id="rId3056" /><Relationship Type="http://schemas.openxmlformats.org/officeDocument/2006/relationships/hyperlink" Target="https://mstgolf.co.th/products/gf2040119410" TargetMode="External" Id="rId3057" /><Relationship Type="http://schemas.openxmlformats.org/officeDocument/2006/relationships/hyperlink" Target="https://mstgolf.co.th/products/gf2040119464" TargetMode="External" Id="rId3058" /><Relationship Type="http://schemas.openxmlformats.org/officeDocument/2006/relationships/hyperlink" Target="https://mstgolf.co.th/products/gf2040120479" TargetMode="External" Id="rId3059" /><Relationship Type="http://schemas.openxmlformats.org/officeDocument/2006/relationships/hyperlink" Target="https://mstgolf.co.th/products/gf2040120476" TargetMode="External" Id="rId3060" /><Relationship Type="http://schemas.openxmlformats.org/officeDocument/2006/relationships/hyperlink" Target="https://mstgolf.co.th/products/gf2040120478" TargetMode="External" Id="rId3061" /><Relationship Type="http://schemas.openxmlformats.org/officeDocument/2006/relationships/hyperlink" Target="https://mstgolf.co.th/products/gf2040120480" TargetMode="External" Id="rId3062" /><Relationship Type="http://schemas.openxmlformats.org/officeDocument/2006/relationships/hyperlink" Target="https://mstgolf.co.th/products/gf2040120481" TargetMode="External" Id="rId3063" /><Relationship Type="http://schemas.openxmlformats.org/officeDocument/2006/relationships/hyperlink" Target="https://mstgolf.co.th/products/gf2040120477" TargetMode="External" Id="rId3064" /><Relationship Type="http://schemas.openxmlformats.org/officeDocument/2006/relationships/hyperlink" Target="https://mstgolf.co.th/products/gf2040120504" TargetMode="External" Id="rId3065" /><Relationship Type="http://schemas.openxmlformats.org/officeDocument/2006/relationships/hyperlink" Target="https://mstgolf.co.th/products/gf2040120506" TargetMode="External" Id="rId3066" /><Relationship Type="http://schemas.openxmlformats.org/officeDocument/2006/relationships/hyperlink" Target="https://mstgolf.co.th/products/gf2040120505" TargetMode="External" Id="rId3067" /><Relationship Type="http://schemas.openxmlformats.org/officeDocument/2006/relationships/hyperlink" Target="https://mstgolf.co.th/products/gf2020202675" TargetMode="External" Id="rId3068" /><Relationship Type="http://schemas.openxmlformats.org/officeDocument/2006/relationships/hyperlink" Target="https://mstgolf.co.th/products/gf2040119498" TargetMode="External" Id="rId3069" /><Relationship Type="http://schemas.openxmlformats.org/officeDocument/2006/relationships/hyperlink" Target="https://mstgolf.co.th/products/gf2040300147" TargetMode="External" Id="rId3070" /><Relationship Type="http://schemas.openxmlformats.org/officeDocument/2006/relationships/hyperlink" Target="https://mstgolf.co.th/products/gf2040119496" TargetMode="External" Id="rId3071" /><Relationship Type="http://schemas.openxmlformats.org/officeDocument/2006/relationships/hyperlink" Target="https://mstgolf.co.th/products/gf2040119412" TargetMode="External" Id="rId3072" /><Relationship Type="http://schemas.openxmlformats.org/officeDocument/2006/relationships/hyperlink" Target="https://mstgolf.co.th/products/gf2040119499" TargetMode="External" Id="rId3073" /><Relationship Type="http://schemas.openxmlformats.org/officeDocument/2006/relationships/hyperlink" Target="https://mstgolf.co.th/products/gf2040401344" TargetMode="External" Id="rId3074" /><Relationship Type="http://schemas.openxmlformats.org/officeDocument/2006/relationships/hyperlink" Target="https://mstgolf.co.th/products/gf2040401343" TargetMode="External" Id="rId3075" /><Relationship Type="http://schemas.openxmlformats.org/officeDocument/2006/relationships/hyperlink" Target="https://mstgolf.co.th/products/gf2020202664" TargetMode="External" Id="rId3076" /><Relationship Type="http://schemas.openxmlformats.org/officeDocument/2006/relationships/hyperlink" Target="https://mstgolf.co.th/products/gf2060101031" TargetMode="External" Id="rId3077" /><Relationship Type="http://schemas.openxmlformats.org/officeDocument/2006/relationships/hyperlink" Target="https://mstgolf.co.th/products/gf2020202519" TargetMode="External" Id="rId3078" /><Relationship Type="http://schemas.openxmlformats.org/officeDocument/2006/relationships/hyperlink" Target="https://mstgolf.co.th/products/gf2020300141" TargetMode="External" Id="rId3079" /><Relationship Type="http://schemas.openxmlformats.org/officeDocument/2006/relationships/hyperlink" Target="https://mstgolf.co.th/products/gf2020300142" TargetMode="External" Id="rId3080" /><Relationship Type="http://schemas.openxmlformats.org/officeDocument/2006/relationships/hyperlink" Target="https://mstgolf.co.th/products/gf2020202526" TargetMode="External" Id="rId3081" /><Relationship Type="http://schemas.openxmlformats.org/officeDocument/2006/relationships/hyperlink" Target="https://mstgolf.co.th/products/gf2020202213" TargetMode="External" Id="rId3082" /><Relationship Type="http://schemas.openxmlformats.org/officeDocument/2006/relationships/hyperlink" Target="https://mstgolf.co.th/products/gf2040120568" TargetMode="External" Id="rId3083" /><Relationship Type="http://schemas.openxmlformats.org/officeDocument/2006/relationships/hyperlink" Target="https://mstgolf.co.th/products/gf2040120569" TargetMode="External" Id="rId3084" /><Relationship Type="http://schemas.openxmlformats.org/officeDocument/2006/relationships/hyperlink" Target="https://mstgolf.co.th/products/gf2020600046" TargetMode="External" Id="rId3085" /><Relationship Type="http://schemas.openxmlformats.org/officeDocument/2006/relationships/hyperlink" Target="https://mstgolf.co.th/products/gf2040117528" TargetMode="External" Id="rId3086" /><Relationship Type="http://schemas.openxmlformats.org/officeDocument/2006/relationships/hyperlink" Target="https://mstgolf.co.th/products/gf2040118641" TargetMode="External" Id="rId3087" /><Relationship Type="http://schemas.openxmlformats.org/officeDocument/2006/relationships/hyperlink" Target="https://mstgolf.co.th/products/gf2040300145" TargetMode="External" Id="rId3088" /><Relationship Type="http://schemas.openxmlformats.org/officeDocument/2006/relationships/hyperlink" Target="https://mstgolf.co.th/products/gf2040118642" TargetMode="External" Id="rId3089" /><Relationship Type="http://schemas.openxmlformats.org/officeDocument/2006/relationships/hyperlink" Target="https://mstgolf.co.th/products/gf2020201947" TargetMode="External" Id="rId3090" /><Relationship Type="http://schemas.openxmlformats.org/officeDocument/2006/relationships/hyperlink" Target="https://mstgolf.co.th/products/gf2020201949" TargetMode="External" Id="rId3091" /><Relationship Type="http://schemas.openxmlformats.org/officeDocument/2006/relationships/hyperlink" Target="https://mstgolf.co.th/products/gf2020201948" TargetMode="External" Id="rId3092" /><Relationship Type="http://schemas.openxmlformats.org/officeDocument/2006/relationships/hyperlink" Target="https://mstgolf.co.th/products/gf2040119614" TargetMode="External" Id="rId3093" /><Relationship Type="http://schemas.openxmlformats.org/officeDocument/2006/relationships/hyperlink" Target="https://mstgolf.co.th/products/gf2040115900" TargetMode="External" Id="rId3094" /><Relationship Type="http://schemas.openxmlformats.org/officeDocument/2006/relationships/hyperlink" Target="https://mstgolf.co.th/products/gf2040115904" TargetMode="External" Id="rId3095" /><Relationship Type="http://schemas.openxmlformats.org/officeDocument/2006/relationships/hyperlink" Target="https://mstgolf.co.th/products/gf2020600047" TargetMode="External" Id="rId3096" /><Relationship Type="http://schemas.openxmlformats.org/officeDocument/2006/relationships/hyperlink" Target="https://mstgolf.co.th/products/gf2040119678" TargetMode="External" Id="rId3097" /><Relationship Type="http://schemas.openxmlformats.org/officeDocument/2006/relationships/hyperlink" Target="https://mstgolf.co.th/products/gf2020202189" TargetMode="External" Id="rId3098" /><Relationship Type="http://schemas.openxmlformats.org/officeDocument/2006/relationships/hyperlink" Target="https://mstgolf.co.th/products/gf3500201644" TargetMode="External" Id="rId3099" /><Relationship Type="http://schemas.openxmlformats.org/officeDocument/2006/relationships/hyperlink" Target="https://mstgolf.co.th/products/gf3500201645" TargetMode="External" Id="rId3100" /><Relationship Type="http://schemas.openxmlformats.org/officeDocument/2006/relationships/hyperlink" Target="https://mstgolf.co.th/products/gf3500201646" TargetMode="External" Id="rId3101" /><Relationship Type="http://schemas.openxmlformats.org/officeDocument/2006/relationships/hyperlink" Target="https://mstgolf.co.th/products/gf3500201642" TargetMode="External" Id="rId3102" /><Relationship Type="http://schemas.openxmlformats.org/officeDocument/2006/relationships/hyperlink" Target="https://mstgolf.co.th/products/gf3500201811" TargetMode="External" Id="rId3103" /><Relationship Type="http://schemas.openxmlformats.org/officeDocument/2006/relationships/hyperlink" Target="https://mstgolf.co.th/products/gf3500201643" TargetMode="External" Id="rId3104" /><Relationship Type="http://schemas.openxmlformats.org/officeDocument/2006/relationships/hyperlink" Target="https://mstgolf.co.th/products/gf3500201810" TargetMode="External" Id="rId3105" /><Relationship Type="http://schemas.openxmlformats.org/officeDocument/2006/relationships/hyperlink" Target="https://mstgolf.co.th/products/gf2000105463" TargetMode="External" Id="rId3106" /><Relationship Type="http://schemas.openxmlformats.org/officeDocument/2006/relationships/hyperlink" Target="https://mstgolf.co.th/products/gf2000105052" TargetMode="External" Id="rId3107" /><Relationship Type="http://schemas.openxmlformats.org/officeDocument/2006/relationships/hyperlink" Target="https://mstgolf.co.th/products/gf2000105053" TargetMode="External" Id="rId3108" /><Relationship Type="http://schemas.openxmlformats.org/officeDocument/2006/relationships/hyperlink" Target="https://mstgolf.co.th/products/gf2000300341" TargetMode="External" Id="rId3109" /><Relationship Type="http://schemas.openxmlformats.org/officeDocument/2006/relationships/hyperlink" Target="https://mstgolf.co.th/products/gf2000105546" TargetMode="External" Id="rId3110" /><Relationship Type="http://schemas.openxmlformats.org/officeDocument/2006/relationships/hyperlink" Target="https://mstgolf.co.th/products/gf2000105453" TargetMode="External" Id="rId3111" /><Relationship Type="http://schemas.openxmlformats.org/officeDocument/2006/relationships/hyperlink" Target="https://mstgolf.co.th/products/gf2000105461" TargetMode="External" Id="rId3112" /><Relationship Type="http://schemas.openxmlformats.org/officeDocument/2006/relationships/hyperlink" Target="https://mstgolf.co.th/products/gf2000106184" TargetMode="External" Id="rId3113" /><Relationship Type="http://schemas.openxmlformats.org/officeDocument/2006/relationships/hyperlink" Target="https://mstgolf.co.th/products/gf2000106183" TargetMode="External" Id="rId3114" /><Relationship Type="http://schemas.openxmlformats.org/officeDocument/2006/relationships/hyperlink" Target="https://mstgolf.co.th/products/gf2000105460" TargetMode="External" Id="rId3115" /><Relationship Type="http://schemas.openxmlformats.org/officeDocument/2006/relationships/hyperlink" Target="https://mstgolf.co.th/products/gf2000105438" TargetMode="External" Id="rId3116" /><Relationship Type="http://schemas.openxmlformats.org/officeDocument/2006/relationships/hyperlink" Target="https://mstgolf.co.th/products/gf2000105465" TargetMode="External" Id="rId3117" /><Relationship Type="http://schemas.openxmlformats.org/officeDocument/2006/relationships/hyperlink" Target="https://mstgolf.co.th/products/gf2000300283" TargetMode="External" Id="rId3118" /><Relationship Type="http://schemas.openxmlformats.org/officeDocument/2006/relationships/hyperlink" Target="https://mstgolf.co.th/products/gf2000105055" TargetMode="External" Id="rId3119" /><Relationship Type="http://schemas.openxmlformats.org/officeDocument/2006/relationships/hyperlink" Target="https://mstgolf.co.th/products/gf2000105499" TargetMode="External" Id="rId3120" /><Relationship Type="http://schemas.openxmlformats.org/officeDocument/2006/relationships/hyperlink" Target="https://mstgolf.co.th/products/gf2000105442" TargetMode="External" Id="rId3121" /><Relationship Type="http://schemas.openxmlformats.org/officeDocument/2006/relationships/hyperlink" Target="https://mstgolf.co.th/products/gf2000105056" TargetMode="External" Id="rId3122" /><Relationship Type="http://schemas.openxmlformats.org/officeDocument/2006/relationships/hyperlink" Target="https://mstgolf.co.th/products/gf2000105457" TargetMode="External" Id="rId3123" /><Relationship Type="http://schemas.openxmlformats.org/officeDocument/2006/relationships/hyperlink" Target="https://mstgolf.co.th/products/gf2000105057" TargetMode="External" Id="rId3124" /><Relationship Type="http://schemas.openxmlformats.org/officeDocument/2006/relationships/hyperlink" Target="https://mstgolf.co.th/products/gf2000105447" TargetMode="External" Id="rId3125" /><Relationship Type="http://schemas.openxmlformats.org/officeDocument/2006/relationships/hyperlink" Target="https://mstgolf.co.th/products/gf2000105496" TargetMode="External" Id="rId3126" /><Relationship Type="http://schemas.openxmlformats.org/officeDocument/2006/relationships/hyperlink" Target="https://mstgolf.co.th/products/gf2000105494" TargetMode="External" Id="rId3127" /><Relationship Type="http://schemas.openxmlformats.org/officeDocument/2006/relationships/hyperlink" Target="https://mstgolf.co.th/products/gf2000105443" TargetMode="External" Id="rId3128" /><Relationship Type="http://schemas.openxmlformats.org/officeDocument/2006/relationships/hyperlink" Target="https://mstgolf.co.th/products/gf2000300342" TargetMode="External" Id="rId3129" /><Relationship Type="http://schemas.openxmlformats.org/officeDocument/2006/relationships/hyperlink" Target="https://mstgolf.co.th/products/gf2000105058" TargetMode="External" Id="rId3130" /><Relationship Type="http://schemas.openxmlformats.org/officeDocument/2006/relationships/hyperlink" Target="https://mstgolf.co.th/products/gf2000300343" TargetMode="External" Id="rId3131" /><Relationship Type="http://schemas.openxmlformats.org/officeDocument/2006/relationships/hyperlink" Target="https://mstgolf.co.th/products/gf2000105497" TargetMode="External" Id="rId3132" /><Relationship Type="http://schemas.openxmlformats.org/officeDocument/2006/relationships/hyperlink" Target="https://mstgolf.co.th/products/gf2000105054" TargetMode="External" Id="rId3133" /><Relationship Type="http://schemas.openxmlformats.org/officeDocument/2006/relationships/hyperlink" Target="https://mstgolf.co.th/products/gf2000105456" TargetMode="External" Id="rId3134" /><Relationship Type="http://schemas.openxmlformats.org/officeDocument/2006/relationships/hyperlink" Target="https://mstgolf.co.th/products/gf2020300087" TargetMode="External" Id="rId3135" /><Relationship Type="http://schemas.openxmlformats.org/officeDocument/2006/relationships/hyperlink" Target="https://mstgolf.co.th/products/gf2040120714" TargetMode="External" Id="rId3136" /><Relationship Type="http://schemas.openxmlformats.org/officeDocument/2006/relationships/hyperlink" Target="https://mstgolf.co.th/products/gf2040120715" TargetMode="External" Id="rId3137" /><Relationship Type="http://schemas.openxmlformats.org/officeDocument/2006/relationships/hyperlink" Target="https://mstgolf.co.th/products/gf2040120716" TargetMode="External" Id="rId3138" /><Relationship Type="http://schemas.openxmlformats.org/officeDocument/2006/relationships/hyperlink" Target="https://mstgolf.co.th/products/gf2020102546" TargetMode="External" Id="rId3139" /><Relationship Type="http://schemas.openxmlformats.org/officeDocument/2006/relationships/hyperlink" Target="https://mstgolf.co.th/products/gf2020102565" TargetMode="External" Id="rId3140" /><Relationship Type="http://schemas.openxmlformats.org/officeDocument/2006/relationships/hyperlink" Target="https://mstgolf.co.th/products/gf2040120721" TargetMode="External" Id="rId3141" /><Relationship Type="http://schemas.openxmlformats.org/officeDocument/2006/relationships/hyperlink" Target="https://mstgolf.co.th/products/gf2040120722" TargetMode="External" Id="rId3142" /><Relationship Type="http://schemas.openxmlformats.org/officeDocument/2006/relationships/hyperlink" Target="https://mstgolf.co.th/products/gf2040120723" TargetMode="External" Id="rId3143" /><Relationship Type="http://schemas.openxmlformats.org/officeDocument/2006/relationships/hyperlink" Target="https://mstgolf.co.th/products/gf2040120724" TargetMode="External" Id="rId3144" /><Relationship Type="http://schemas.openxmlformats.org/officeDocument/2006/relationships/hyperlink" Target="https://mstgolf.co.th/products/gf2040120725" TargetMode="External" Id="rId3145" /><Relationship Type="http://schemas.openxmlformats.org/officeDocument/2006/relationships/hyperlink" Target="https://mstgolf.co.th/products/gf2020300092" TargetMode="External" Id="rId3146" /><Relationship Type="http://schemas.openxmlformats.org/officeDocument/2006/relationships/hyperlink" Target="https://mstgolf.co.th/products/gf2020300093" TargetMode="External" Id="rId3147" /><Relationship Type="http://schemas.openxmlformats.org/officeDocument/2006/relationships/hyperlink" Target="https://mstgolf.co.th/products/gf2020300091" TargetMode="External" Id="rId3148" /><Relationship Type="http://schemas.openxmlformats.org/officeDocument/2006/relationships/hyperlink" Target="https://mstgolf.co.th/products/gf2040120717" TargetMode="External" Id="rId3149" /><Relationship Type="http://schemas.openxmlformats.org/officeDocument/2006/relationships/hyperlink" Target="https://mstgolf.co.th/products/gf2040120718" TargetMode="External" Id="rId3150" /><Relationship Type="http://schemas.openxmlformats.org/officeDocument/2006/relationships/hyperlink" Target="https://mstgolf.co.th/products/gf2040120719" TargetMode="External" Id="rId3151" /><Relationship Type="http://schemas.openxmlformats.org/officeDocument/2006/relationships/hyperlink" Target="https://mstgolf.co.th/products/gf2040120700" TargetMode="External" Id="rId3152" /><Relationship Type="http://schemas.openxmlformats.org/officeDocument/2006/relationships/hyperlink" Target="https://mstgolf.co.th/products/gf2040120702" TargetMode="External" Id="rId3153" /><Relationship Type="http://schemas.openxmlformats.org/officeDocument/2006/relationships/hyperlink" Target="https://mstgolf.co.th/products/gf2040120703" TargetMode="External" Id="rId3154" /><Relationship Type="http://schemas.openxmlformats.org/officeDocument/2006/relationships/hyperlink" Target="https://mstgolf.co.th/products/gf2020202760" TargetMode="External" Id="rId3155" /><Relationship Type="http://schemas.openxmlformats.org/officeDocument/2006/relationships/hyperlink" Target="https://mstgolf.co.th/products/gf2020202761" TargetMode="External" Id="rId3156" /><Relationship Type="http://schemas.openxmlformats.org/officeDocument/2006/relationships/hyperlink" Target="https://mstgolf.co.th/products/gf2020202759" TargetMode="External" Id="rId3157" /><Relationship Type="http://schemas.openxmlformats.org/officeDocument/2006/relationships/hyperlink" Target="https://mstgolf.co.th/products/gf2020202729" TargetMode="External" Id="rId3158" /><Relationship Type="http://schemas.openxmlformats.org/officeDocument/2006/relationships/hyperlink" Target="https://mstgolf.co.th/products/gf2040200075" TargetMode="External" Id="rId3159" /><Relationship Type="http://schemas.openxmlformats.org/officeDocument/2006/relationships/hyperlink" Target="https://mstgolf.co.th/products/gf2040200110" TargetMode="External" Id="rId3160" /><Relationship Type="http://schemas.openxmlformats.org/officeDocument/2006/relationships/hyperlink" Target="https://mstgolf.co.th/products/gf2040200076" TargetMode="External" Id="rId3161" /><Relationship Type="http://schemas.openxmlformats.org/officeDocument/2006/relationships/hyperlink" Target="https://mstgolf.co.th/products/gf2040119881" TargetMode="External" Id="rId3162" /><Relationship Type="http://schemas.openxmlformats.org/officeDocument/2006/relationships/hyperlink" Target="https://mstgolf.co.th/products/gf2040118873" TargetMode="External" Id="rId3163" /><Relationship Type="http://schemas.openxmlformats.org/officeDocument/2006/relationships/hyperlink" Target="https://mstgolf.co.th/products/gf2040118874" TargetMode="External" Id="rId3164" /><Relationship Type="http://schemas.openxmlformats.org/officeDocument/2006/relationships/hyperlink" Target="https://mstgolf.co.th/products/gf2040119309" TargetMode="External" Id="rId3165" /><Relationship Type="http://schemas.openxmlformats.org/officeDocument/2006/relationships/hyperlink" Target="https://mstgolf.co.th/products/gf2040118913" TargetMode="External" Id="rId3166" /><Relationship Type="http://schemas.openxmlformats.org/officeDocument/2006/relationships/hyperlink" Target="https://mstgolf.co.th/products/gf2020101971" TargetMode="External" Id="rId3167" /><Relationship Type="http://schemas.openxmlformats.org/officeDocument/2006/relationships/hyperlink" Target="https://mstgolf.co.th/products/gf2020202427" TargetMode="External" Id="rId3168" /><Relationship Type="http://schemas.openxmlformats.org/officeDocument/2006/relationships/hyperlink" Target="https://mstgolf.co.th/products/gf2040117944" TargetMode="External" Id="rId3169" /><Relationship Type="http://schemas.openxmlformats.org/officeDocument/2006/relationships/hyperlink" Target="https://mstgolf.co.th/products/gf2040115954" TargetMode="External" Id="rId3170" /><Relationship Type="http://schemas.openxmlformats.org/officeDocument/2006/relationships/hyperlink" Target="https://mstgolf.co.th/products/gf2040119055" TargetMode="External" Id="rId3171" /><Relationship Type="http://schemas.openxmlformats.org/officeDocument/2006/relationships/hyperlink" Target="https://mstgolf.co.th/products/gf2020201730" TargetMode="External" Id="rId3172" /><Relationship Type="http://schemas.openxmlformats.org/officeDocument/2006/relationships/hyperlink" Target="https://mstgolf.co.th/products/gf2020201731" TargetMode="External" Id="rId3173" /><Relationship Type="http://schemas.openxmlformats.org/officeDocument/2006/relationships/hyperlink" Target="https://mstgolf.co.th/products/gf2020202008" TargetMode="External" Id="rId3174" /><Relationship Type="http://schemas.openxmlformats.org/officeDocument/2006/relationships/hyperlink" Target="https://mstgolf.co.th/products/gf2020101809" TargetMode="External" Id="rId3175" /><Relationship Type="http://schemas.openxmlformats.org/officeDocument/2006/relationships/hyperlink" Target="https://mstgolf.co.th/products/gf2020101694" TargetMode="External" Id="rId3176" /><Relationship Type="http://schemas.openxmlformats.org/officeDocument/2006/relationships/hyperlink" Target="https://mstgolf.co.th/products/gf2020101916" TargetMode="External" Id="rId3177" /><Relationship Type="http://schemas.openxmlformats.org/officeDocument/2006/relationships/hyperlink" Target="https://mstgolf.co.th/products/gf2040114711" TargetMode="External" Id="rId3178" /><Relationship Type="http://schemas.openxmlformats.org/officeDocument/2006/relationships/hyperlink" Target="https://mstgolf.co.th/products/gf2040116777" TargetMode="External" Id="rId3179" /><Relationship Type="http://schemas.openxmlformats.org/officeDocument/2006/relationships/hyperlink" Target="https://mstgolf.co.th/products/gf2040115155" TargetMode="External" Id="rId3180" /><Relationship Type="http://schemas.openxmlformats.org/officeDocument/2006/relationships/hyperlink" Target="https://mstgolf.co.th/products/gf2040115153" TargetMode="External" Id="rId3181" /><Relationship Type="http://schemas.openxmlformats.org/officeDocument/2006/relationships/hyperlink" Target="https://mstgolf.co.th/products/gf2040115157" TargetMode="External" Id="rId3182" /><Relationship Type="http://schemas.openxmlformats.org/officeDocument/2006/relationships/hyperlink" Target="https://mstgolf.co.th/products/gf2040115154" TargetMode="External" Id="rId3183" /><Relationship Type="http://schemas.openxmlformats.org/officeDocument/2006/relationships/hyperlink" Target="https://mstgolf.co.th/products/gf2040116647" TargetMode="External" Id="rId3184" /><Relationship Type="http://schemas.openxmlformats.org/officeDocument/2006/relationships/hyperlink" Target="https://mstgolf.co.th/products/gf2020102194" TargetMode="External" Id="rId3185" /><Relationship Type="http://schemas.openxmlformats.org/officeDocument/2006/relationships/hyperlink" Target="https://mstgolf.co.th/products/gf2020202332" TargetMode="External" Id="rId3186" /><Relationship Type="http://schemas.openxmlformats.org/officeDocument/2006/relationships/hyperlink" Target="https://mstgolf.co.th/products/gf2020202244" TargetMode="External" Id="rId3187" /><Relationship Type="http://schemas.openxmlformats.org/officeDocument/2006/relationships/hyperlink" Target="https://mstgolf.co.th/products/gf2040119246" TargetMode="External" Id="rId3188" /><Relationship Type="http://schemas.openxmlformats.org/officeDocument/2006/relationships/hyperlink" Target="https://mstgolf.co.th/products/gf2040119248" TargetMode="External" Id="rId3189" /><Relationship Type="http://schemas.openxmlformats.org/officeDocument/2006/relationships/hyperlink" Target="https://mstgolf.co.th/products/gf2040119244" TargetMode="External" Id="rId3190" /><Relationship Type="http://schemas.openxmlformats.org/officeDocument/2006/relationships/hyperlink" Target="https://mstgolf.co.th/products/gf2020102029" TargetMode="External" Id="rId3191" /><Relationship Type="http://schemas.openxmlformats.org/officeDocument/2006/relationships/hyperlink" Target="https://mstgolf.co.th/products/gf2040117427" TargetMode="External" Id="rId3192" /><Relationship Type="http://schemas.openxmlformats.org/officeDocument/2006/relationships/hyperlink" Target="https://mstgolf.co.th/products/gf2040118457" TargetMode="External" Id="rId3193" /><Relationship Type="http://schemas.openxmlformats.org/officeDocument/2006/relationships/hyperlink" Target="https://mstgolf.co.th/products/gf2000106216" TargetMode="External" Id="rId3194" /><Relationship Type="http://schemas.openxmlformats.org/officeDocument/2006/relationships/hyperlink" Target="https://mstgolf.co.th/products/gf2020202726" TargetMode="External" Id="rId3195" /><Relationship Type="http://schemas.openxmlformats.org/officeDocument/2006/relationships/hyperlink" Target="https://mstgolf.co.th/products/gf3150100258" TargetMode="External" Id="rId3196" /><Relationship Type="http://schemas.openxmlformats.org/officeDocument/2006/relationships/hyperlink" Target="https://mstgolf.co.th/products/gf2040118383" TargetMode="External" Id="rId3197" /><Relationship Type="http://schemas.openxmlformats.org/officeDocument/2006/relationships/hyperlink" Target="https://mstgolf.co.th/products/gf3500201381" TargetMode="External" Id="rId3198" /><Relationship Type="http://schemas.openxmlformats.org/officeDocument/2006/relationships/hyperlink" Target="https://mstgolf.co.th/products/gf2020202057" TargetMode="External" Id="rId3199" /><Relationship Type="http://schemas.openxmlformats.org/officeDocument/2006/relationships/hyperlink" Target="https://mstgolf.co.th/products/gf2020202056" TargetMode="External" Id="rId3200" /><Relationship Type="http://schemas.openxmlformats.org/officeDocument/2006/relationships/hyperlink" Target="https://mstgolf.co.th/products/gf2080101401" TargetMode="External" Id="rId3201" /><Relationship Type="http://schemas.openxmlformats.org/officeDocument/2006/relationships/hyperlink" Target="https://mstgolf.co.th/products/gf2080101402" TargetMode="External" Id="rId3202" /><Relationship Type="http://schemas.openxmlformats.org/officeDocument/2006/relationships/hyperlink" Target="https://mstgolf.co.th/products/gf2080101403" TargetMode="External" Id="rId3203" /><Relationship Type="http://schemas.openxmlformats.org/officeDocument/2006/relationships/hyperlink" Target="https://mstgolf.co.th/products/gf2040117355" TargetMode="External" Id="rId3204" /><Relationship Type="http://schemas.openxmlformats.org/officeDocument/2006/relationships/hyperlink" Target="https://mstgolf.co.th/products/gf2020202293" TargetMode="External" Id="rId3205" /><Relationship Type="http://schemas.openxmlformats.org/officeDocument/2006/relationships/hyperlink" Target="https://mstgolf.co.th/products/gf2020202215" TargetMode="External" Id="rId3206" /><Relationship Type="http://schemas.openxmlformats.org/officeDocument/2006/relationships/hyperlink" Target="https://mstgolf.co.th/products/gf2020202307" TargetMode="External" Id="rId3207" /><Relationship Type="http://schemas.openxmlformats.org/officeDocument/2006/relationships/hyperlink" Target="https://mstgolf.co.th/products/gf2040401154" TargetMode="External" Id="rId3208" /><Relationship Type="http://schemas.openxmlformats.org/officeDocument/2006/relationships/hyperlink" Target="https://mstgolf.co.th/products/gf2040400956" TargetMode="External" Id="rId3209" /><Relationship Type="http://schemas.openxmlformats.org/officeDocument/2006/relationships/hyperlink" Target="https://mstgolf.co.th/products/gf3150100190" TargetMode="External" Id="rId3210" /><Relationship Type="http://schemas.openxmlformats.org/officeDocument/2006/relationships/hyperlink" Target="https://mstgolf.co.th/products/gf2000106471" TargetMode="External" Id="rId3211" /><Relationship Type="http://schemas.openxmlformats.org/officeDocument/2006/relationships/hyperlink" Target="https://mstgolf.co.th/products/gf2000106470" TargetMode="External" Id="rId3212" /><Relationship Type="http://schemas.openxmlformats.org/officeDocument/2006/relationships/hyperlink" Target="https://mstgolf.co.th/products/gf2000106110" TargetMode="External" Id="rId3213" /><Relationship Type="http://schemas.openxmlformats.org/officeDocument/2006/relationships/hyperlink" Target="https://mstgolf.co.th/products/gf2000106107" TargetMode="External" Id="rId3214" /><Relationship Type="http://schemas.openxmlformats.org/officeDocument/2006/relationships/hyperlink" Target="https://mstgolf.co.th/products/gf2000106109" TargetMode="External" Id="rId3215" /><Relationship Type="http://schemas.openxmlformats.org/officeDocument/2006/relationships/hyperlink" Target="https://mstgolf.co.th/products/gf2000105952" TargetMode="External" Id="rId3216" /><Relationship Type="http://schemas.openxmlformats.org/officeDocument/2006/relationships/hyperlink" Target="https://mstgolf.co.th/products/gf2000105951" TargetMode="External" Id="rId3217" /><Relationship Type="http://schemas.openxmlformats.org/officeDocument/2006/relationships/hyperlink" Target="https://mstgolf.co.th/products/gf2020102644" TargetMode="External" Id="rId3218" /><Relationship Type="http://schemas.openxmlformats.org/officeDocument/2006/relationships/hyperlink" Target="https://mstgolf.co.th/products/gf2020102643" TargetMode="External" Id="rId3219" /><Relationship Type="http://schemas.openxmlformats.org/officeDocument/2006/relationships/hyperlink" Target="https://mstgolf.co.th/products/gf2020102645" TargetMode="External" Id="rId3220" /><Relationship Type="http://schemas.openxmlformats.org/officeDocument/2006/relationships/hyperlink" Target="https://mstgolf.co.th/products/gf2040114698" TargetMode="External" Id="rId3221" /><Relationship Type="http://schemas.openxmlformats.org/officeDocument/2006/relationships/hyperlink" Target="https://mstgolf.co.th/products/gf2040117359" TargetMode="External" Id="rId3222" /><Relationship Type="http://schemas.openxmlformats.org/officeDocument/2006/relationships/hyperlink" Target="https://mstgolf.co.th/products/gf2020201861" TargetMode="External" Id="rId3223" /><Relationship Type="http://schemas.openxmlformats.org/officeDocument/2006/relationships/hyperlink" Target="https://mstgolf.co.th/products/gf2040113287" TargetMode="External" Id="rId3224" /><Relationship Type="http://schemas.openxmlformats.org/officeDocument/2006/relationships/hyperlink" Target="https://mstgolf.co.th/products/gf2040114198" TargetMode="External" Id="rId3225" /><Relationship Type="http://schemas.openxmlformats.org/officeDocument/2006/relationships/hyperlink" Target="https://mstgolf.co.th/products/gf3500201370" TargetMode="External" Id="rId3226" /><Relationship Type="http://schemas.openxmlformats.org/officeDocument/2006/relationships/hyperlink" Target="https://mstgolf.co.th/products/gf3500201519" TargetMode="External" Id="rId3227" /><Relationship Type="http://schemas.openxmlformats.org/officeDocument/2006/relationships/hyperlink" Target="https://mstgolf.co.th/products/gf3500201518" TargetMode="External" Id="rId3228" /><Relationship Type="http://schemas.openxmlformats.org/officeDocument/2006/relationships/hyperlink" Target="https://mstgolf.co.th/products/gf3500201520" TargetMode="External" Id="rId3229" /><Relationship Type="http://schemas.openxmlformats.org/officeDocument/2006/relationships/hyperlink" Target="https://mstgolf.co.th/products/gf2020102190" TargetMode="External" Id="rId3230" /><Relationship Type="http://schemas.openxmlformats.org/officeDocument/2006/relationships/hyperlink" Target="https://mstgolf.co.th/products/gf2040119445" TargetMode="External" Id="rId3231" /><Relationship Type="http://schemas.openxmlformats.org/officeDocument/2006/relationships/hyperlink" Target="https://mstgolf.co.th/products/gf2040119443" TargetMode="External" Id="rId3232" /><Relationship Type="http://schemas.openxmlformats.org/officeDocument/2006/relationships/hyperlink" Target="https://mstgolf.co.th/products/gf2040119429" TargetMode="External" Id="rId3233" /><Relationship Type="http://schemas.openxmlformats.org/officeDocument/2006/relationships/hyperlink" Target="https://mstgolf.co.th/products/gf2040119433" TargetMode="External" Id="rId3234" /><Relationship Type="http://schemas.openxmlformats.org/officeDocument/2006/relationships/hyperlink" Target="https://mstgolf.co.th/products/gf2040119430" TargetMode="External" Id="rId3235" /><Relationship Type="http://schemas.openxmlformats.org/officeDocument/2006/relationships/hyperlink" Target="https://mstgolf.co.th/products/gf2040119432" TargetMode="External" Id="rId3236" /><Relationship Type="http://schemas.openxmlformats.org/officeDocument/2006/relationships/hyperlink" Target="https://mstgolf.co.th/products/gf2040119428" TargetMode="External" Id="rId3237" /><Relationship Type="http://schemas.openxmlformats.org/officeDocument/2006/relationships/hyperlink" Target="https://mstgolf.co.th/products/gf2040119440" TargetMode="External" Id="rId3238" /><Relationship Type="http://schemas.openxmlformats.org/officeDocument/2006/relationships/hyperlink" Target="https://mstgolf.co.th/products/gf2020102189" TargetMode="External" Id="rId3239" /><Relationship Type="http://schemas.openxmlformats.org/officeDocument/2006/relationships/hyperlink" Target="https://mstgolf.co.th/products/gf2020202038" TargetMode="External" Id="rId3240" /><Relationship Type="http://schemas.openxmlformats.org/officeDocument/2006/relationships/hyperlink" Target="https://mstgolf.co.th/products/gf2040117501" TargetMode="External" Id="rId3241" /><Relationship Type="http://schemas.openxmlformats.org/officeDocument/2006/relationships/hyperlink" Target="https://mstgolf.co.th/products/gf2040117502" TargetMode="External" Id="rId3242" /><Relationship Type="http://schemas.openxmlformats.org/officeDocument/2006/relationships/hyperlink" Target="https://mstgolf.co.th/products/gf2020201798" TargetMode="External" Id="rId3243" /><Relationship Type="http://schemas.openxmlformats.org/officeDocument/2006/relationships/hyperlink" Target="https://mstgolf.co.th/products/gf2020101063" TargetMode="External" Id="rId3244" /><Relationship Type="http://schemas.openxmlformats.org/officeDocument/2006/relationships/hyperlink" Target="https://mstgolf.co.th/products/gf2020101984" TargetMode="External" Id="rId3245" /><Relationship Type="http://schemas.openxmlformats.org/officeDocument/2006/relationships/hyperlink" Target="https://mstgolf.co.th/products/gf2020101798" TargetMode="External" Id="rId3246" /><Relationship Type="http://schemas.openxmlformats.org/officeDocument/2006/relationships/hyperlink" Target="https://mstgolf.co.th/products/gf2020101985" TargetMode="External" Id="rId3247" /><Relationship Type="http://schemas.openxmlformats.org/officeDocument/2006/relationships/hyperlink" Target="https://mstgolf.co.th/products/gf2060101015" TargetMode="External" Id="rId3248" /><Relationship Type="http://schemas.openxmlformats.org/officeDocument/2006/relationships/hyperlink" Target="https://mstgolf.co.th/products/gf2040120942" TargetMode="External" Id="rId3249" /><Relationship Type="http://schemas.openxmlformats.org/officeDocument/2006/relationships/hyperlink" Target="https://mstgolf.co.th/products/gf2040120941" TargetMode="External" Id="rId3250" /><Relationship Type="http://schemas.openxmlformats.org/officeDocument/2006/relationships/hyperlink" Target="https://mstgolf.co.th/products/gf2040120940" TargetMode="External" Id="rId3251" /><Relationship Type="http://schemas.openxmlformats.org/officeDocument/2006/relationships/hyperlink" Target="https://mstgolf.co.th/products/gf2040120939" TargetMode="External" Id="rId3252" /><Relationship Type="http://schemas.openxmlformats.org/officeDocument/2006/relationships/hyperlink" Target="https://mstgolf.co.th/products/gf2040120945" TargetMode="External" Id="rId3253" /><Relationship Type="http://schemas.openxmlformats.org/officeDocument/2006/relationships/hyperlink" Target="https://mstgolf.co.th/products/gf2040115913" TargetMode="External" Id="rId3254" /><Relationship Type="http://schemas.openxmlformats.org/officeDocument/2006/relationships/hyperlink" Target="https://mstgolf.co.th/products/gf2040114195" TargetMode="External" Id="rId3255" /><Relationship Type="http://schemas.openxmlformats.org/officeDocument/2006/relationships/hyperlink" Target="https://mstgolf.co.th/products/gf2020102577" TargetMode="External" Id="rId3256" /><Relationship Type="http://schemas.openxmlformats.org/officeDocument/2006/relationships/hyperlink" Target="https://mstgolf.co.th/products/gf2040115248" TargetMode="External" Id="rId3257" /><Relationship Type="http://schemas.openxmlformats.org/officeDocument/2006/relationships/hyperlink" Target="https://mstgolf.co.th/products/gf2100200547" TargetMode="External" Id="rId3258" /><Relationship Type="http://schemas.openxmlformats.org/officeDocument/2006/relationships/hyperlink" Target="https://mstgolf.co.th/products/gf2020202172" TargetMode="External" Id="rId3259" /><Relationship Type="http://schemas.openxmlformats.org/officeDocument/2006/relationships/hyperlink" Target="https://mstgolf.co.th/products/gf2020102024" TargetMode="External" Id="rId3260" /><Relationship Type="http://schemas.openxmlformats.org/officeDocument/2006/relationships/hyperlink" Target="https://mstgolf.co.th/products/gf2020102025" TargetMode="External" Id="rId3261" /><Relationship Type="http://schemas.openxmlformats.org/officeDocument/2006/relationships/hyperlink" Target="https://mstgolf.co.th/products/gf2040117459" TargetMode="External" Id="rId3262" /><Relationship Type="http://schemas.openxmlformats.org/officeDocument/2006/relationships/hyperlink" Target="https://mstgolf.co.th/products/gf2040117460" TargetMode="External" Id="rId3263" /><Relationship Type="http://schemas.openxmlformats.org/officeDocument/2006/relationships/hyperlink" Target="https://mstgolf.co.th/products/gf2040115908" TargetMode="External" Id="rId3264" /><Relationship Type="http://schemas.openxmlformats.org/officeDocument/2006/relationships/hyperlink" Target="https://mstgolf.co.th/products/gf2040115895" TargetMode="External" Id="rId3265" /><Relationship Type="http://schemas.openxmlformats.org/officeDocument/2006/relationships/hyperlink" Target="https://mstgolf.co.th/products/gf2070400189" TargetMode="External" Id="rId3266" /><Relationship Type="http://schemas.openxmlformats.org/officeDocument/2006/relationships/hyperlink" Target="https://mstgolf.co.th/products/gf2070400190" TargetMode="External" Id="rId3267" /><Relationship Type="http://schemas.openxmlformats.org/officeDocument/2006/relationships/hyperlink" Target="https://mstgolf.co.th/products/gf2070400188" TargetMode="External" Id="rId3268" /><Relationship Type="http://schemas.openxmlformats.org/officeDocument/2006/relationships/hyperlink" Target="https://mstgolf.co.th/products/gf2020201775" TargetMode="External" Id="rId3269" /><Relationship Type="http://schemas.openxmlformats.org/officeDocument/2006/relationships/hyperlink" Target="https://mstgolf.co.th/products/gf2020201774" TargetMode="External" Id="rId3270" /><Relationship Type="http://schemas.openxmlformats.org/officeDocument/2006/relationships/hyperlink" Target="https://mstgolf.co.th/products/gf2020101794" TargetMode="External" Id="rId3271" /><Relationship Type="http://schemas.openxmlformats.org/officeDocument/2006/relationships/hyperlink" Target="https://mstgolf.co.th/products/gf2040115877" TargetMode="External" Id="rId3272" /><Relationship Type="http://schemas.openxmlformats.org/officeDocument/2006/relationships/hyperlink" Target="https://mstgolf.co.th/products/gf2040117226" TargetMode="External" Id="rId3273" /><Relationship Type="http://schemas.openxmlformats.org/officeDocument/2006/relationships/hyperlink" Target="https://mstgolf.co.th/products/gf2040117228" TargetMode="External" Id="rId3274" /><Relationship Type="http://schemas.openxmlformats.org/officeDocument/2006/relationships/hyperlink" Target="https://mstgolf.co.th/products/gf2040118384" TargetMode="External" Id="rId3275" /><Relationship Type="http://schemas.openxmlformats.org/officeDocument/2006/relationships/hyperlink" Target="https://mstgolf.co.th/products/gf2040118385" TargetMode="External" Id="rId3276" /><Relationship Type="http://schemas.openxmlformats.org/officeDocument/2006/relationships/hyperlink" Target="https://mstgolf.co.th/products/gf2040119203" TargetMode="External" Id="rId3277" /><Relationship Type="http://schemas.openxmlformats.org/officeDocument/2006/relationships/hyperlink" Target="https://mstgolf.co.th/products/gf2020102133" TargetMode="External" Id="rId3278" /><Relationship Type="http://schemas.openxmlformats.org/officeDocument/2006/relationships/hyperlink" Target="https://mstgolf.co.th/products/gf2060100890" TargetMode="External" Id="rId3279" /><Relationship Type="http://schemas.openxmlformats.org/officeDocument/2006/relationships/hyperlink" Target="https://mstgolf.co.th/products/gf2040118329" TargetMode="External" Id="rId3280" /><Relationship Type="http://schemas.openxmlformats.org/officeDocument/2006/relationships/hyperlink" Target="https://mstgolf.co.th/products/gf3500400396" TargetMode="External" Id="rId3281" /><Relationship Type="http://schemas.openxmlformats.org/officeDocument/2006/relationships/hyperlink" Target="https://mstgolf.co.th/products/gf2020201919" TargetMode="External" Id="rId3282" /><Relationship Type="http://schemas.openxmlformats.org/officeDocument/2006/relationships/hyperlink" Target="https://mstgolf.co.th/products/gf3150100324" TargetMode="External" Id="rId3283" /><Relationship Type="http://schemas.openxmlformats.org/officeDocument/2006/relationships/hyperlink" Target="https://mstgolf.co.th/products/gf2020202046" TargetMode="External" Id="rId3284" /><Relationship Type="http://schemas.openxmlformats.org/officeDocument/2006/relationships/hyperlink" Target="https://mstgolf.co.th/products/gf2020202045" TargetMode="External" Id="rId3285" /><Relationship Type="http://schemas.openxmlformats.org/officeDocument/2006/relationships/hyperlink" Target="https://mstgolf.co.th/products/gf2040120938" TargetMode="External" Id="rId3286" /><Relationship Type="http://schemas.openxmlformats.org/officeDocument/2006/relationships/hyperlink" Target="https://mstgolf.co.th/products/gf2040120937" TargetMode="External" Id="rId3287" /><Relationship Type="http://schemas.openxmlformats.org/officeDocument/2006/relationships/hyperlink" Target="https://mstgolf.co.th/products/gf2040120935" TargetMode="External" Id="rId3288" /><Relationship Type="http://schemas.openxmlformats.org/officeDocument/2006/relationships/hyperlink" Target="https://mstgolf.co.th/products/gf2040120936" TargetMode="External" Id="rId3289" /><Relationship Type="http://schemas.openxmlformats.org/officeDocument/2006/relationships/hyperlink" Target="https://mstgolf.co.th/products/gf2040120934" TargetMode="External" Id="rId3290" /><Relationship Type="http://schemas.openxmlformats.org/officeDocument/2006/relationships/hyperlink" Target="https://mstgolf.co.th/products/gf2040120946" TargetMode="External" Id="rId3291" /><Relationship Type="http://schemas.openxmlformats.org/officeDocument/2006/relationships/hyperlink" Target="https://mstgolf.co.th/products/gf2040120944" TargetMode="External" Id="rId3292" /><Relationship Type="http://schemas.openxmlformats.org/officeDocument/2006/relationships/hyperlink" Target="https://mstgolf.co.th/products/gf2040120943" TargetMode="External" Id="rId3293" /><Relationship Type="http://schemas.openxmlformats.org/officeDocument/2006/relationships/hyperlink" Target="https://mstgolf.co.th/products/gf2020202650" TargetMode="External" Id="rId3294" /><Relationship Type="http://schemas.openxmlformats.org/officeDocument/2006/relationships/hyperlink" Target="https://mstgolf.co.th/products/gf2020202663" TargetMode="External" Id="rId3295" /><Relationship Type="http://schemas.openxmlformats.org/officeDocument/2006/relationships/hyperlink" Target="https://mstgolf.co.th/products/gf2040119395" TargetMode="External" Id="rId3296" /><Relationship Type="http://schemas.openxmlformats.org/officeDocument/2006/relationships/hyperlink" Target="https://mstgolf.co.th/products/gf2040119489" TargetMode="External" Id="rId3297" /><Relationship Type="http://schemas.openxmlformats.org/officeDocument/2006/relationships/hyperlink" Target="https://mstgolf.co.th/products/gf2040119388" TargetMode="External" Id="rId3298" /><Relationship Type="http://schemas.openxmlformats.org/officeDocument/2006/relationships/hyperlink" Target="https://mstgolf.co.th/products/gf2040119493" TargetMode="External" Id="rId3299" /><Relationship Type="http://schemas.openxmlformats.org/officeDocument/2006/relationships/hyperlink" Target="https://mstgolf.co.th/products/gf2040400865" TargetMode="External" Id="rId3300" /><Relationship Type="http://schemas.openxmlformats.org/officeDocument/2006/relationships/hyperlink" Target="https://mstgolf.co.th/products/gf2020202649" TargetMode="External" Id="rId3301" /><Relationship Type="http://schemas.openxmlformats.org/officeDocument/2006/relationships/hyperlink" Target="https://mstgolf.co.th/products/gf2080101312" TargetMode="External" Id="rId3302" /><Relationship Type="http://schemas.openxmlformats.org/officeDocument/2006/relationships/hyperlink" Target="https://mstgolf.co.th/products/gf2020202383" TargetMode="External" Id="rId3303" /><Relationship Type="http://schemas.openxmlformats.org/officeDocument/2006/relationships/hyperlink" Target="https://mstgolf.co.th/products/gf2040120536" TargetMode="External" Id="rId3304" /><Relationship Type="http://schemas.openxmlformats.org/officeDocument/2006/relationships/hyperlink" Target="https://mstgolf.co.th/products/gf2040120535" TargetMode="External" Id="rId3305" /><Relationship Type="http://schemas.openxmlformats.org/officeDocument/2006/relationships/hyperlink" Target="https://mstgolf.co.th/products/gf2040120534" TargetMode="External" Id="rId3306" /><Relationship Type="http://schemas.openxmlformats.org/officeDocument/2006/relationships/hyperlink" Target="https://mstgolf.co.th/products/gf2020202674" TargetMode="External" Id="rId3307" /><Relationship Type="http://schemas.openxmlformats.org/officeDocument/2006/relationships/hyperlink" Target="https://mstgolf.co.th/products/gf2040119396" TargetMode="External" Id="rId3308" /><Relationship Type="http://schemas.openxmlformats.org/officeDocument/2006/relationships/hyperlink" Target="https://mstgolf.co.th/products/gf2040119397" TargetMode="External" Id="rId3309" /><Relationship Type="http://schemas.openxmlformats.org/officeDocument/2006/relationships/hyperlink" Target="https://mstgolf.co.th/products/gf2000300518" TargetMode="External" Id="rId3310" /><Relationship Type="http://schemas.openxmlformats.org/officeDocument/2006/relationships/hyperlink" Target="https://mstgolf.co.th/products/gf2000300519" TargetMode="External" Id="rId3311" /><Relationship Type="http://schemas.openxmlformats.org/officeDocument/2006/relationships/hyperlink" Target="https://mstgolf.co.th/products/gf2020102114" TargetMode="External" Id="rId3312" /><Relationship Type="http://schemas.openxmlformats.org/officeDocument/2006/relationships/hyperlink" Target="https://mstgolf.co.th/products/gf2020102492" TargetMode="External" Id="rId3313" /><Relationship Type="http://schemas.openxmlformats.org/officeDocument/2006/relationships/hyperlink" Target="https://mstgolf.co.th/products/gf2020102491" TargetMode="External" Id="rId3314" /><Relationship Type="http://schemas.openxmlformats.org/officeDocument/2006/relationships/hyperlink" Target="https://mstgolf.co.th/products/gf2040401442" TargetMode="External" Id="rId3315" /><Relationship Type="http://schemas.openxmlformats.org/officeDocument/2006/relationships/hyperlink" Target="https://mstgolf.co.th/products/gf2040119460" TargetMode="External" Id="rId3316" /><Relationship Type="http://schemas.openxmlformats.org/officeDocument/2006/relationships/hyperlink" Target="https://mstgolf.co.th/products/gf2040119458" TargetMode="External" Id="rId3317" /><Relationship Type="http://schemas.openxmlformats.org/officeDocument/2006/relationships/hyperlink" Target="https://mstgolf.co.th/products/gf2040300148" TargetMode="External" Id="rId3318" /><Relationship Type="http://schemas.openxmlformats.org/officeDocument/2006/relationships/hyperlink" Target="https://mstgolf.co.th/products/gf2040120555" TargetMode="External" Id="rId3319" /><Relationship Type="http://schemas.openxmlformats.org/officeDocument/2006/relationships/hyperlink" Target="https://mstgolf.co.th/products/gf2060100960" TargetMode="External" Id="rId3320" /><Relationship Type="http://schemas.openxmlformats.org/officeDocument/2006/relationships/hyperlink" Target="https://mstgolf.co.th/products/gf2040117552" TargetMode="External" Id="rId3321" /><Relationship Type="http://schemas.openxmlformats.org/officeDocument/2006/relationships/hyperlink" Target="https://mstgolf.co.th/products/gf2040117553" TargetMode="External" Id="rId3322" /><Relationship Type="http://schemas.openxmlformats.org/officeDocument/2006/relationships/hyperlink" Target="https://mstgolf.co.th/products/gf2040115357" TargetMode="External" Id="rId3323" /><Relationship Type="http://schemas.openxmlformats.org/officeDocument/2006/relationships/hyperlink" Target="https://mstgolf.co.th/products/gf2020202020" TargetMode="External" Id="rId3324" /><Relationship Type="http://schemas.openxmlformats.org/officeDocument/2006/relationships/hyperlink" Target="https://mstgolf.co.th/products/gf2040116603" TargetMode="External" Id="rId3325" /><Relationship Type="http://schemas.openxmlformats.org/officeDocument/2006/relationships/hyperlink" Target="https://mstgolf.co.th/products/gf2040116604" TargetMode="External" Id="rId3326" /><Relationship Type="http://schemas.openxmlformats.org/officeDocument/2006/relationships/hyperlink" Target="https://mstgolf.co.th/products/gf2040200090" TargetMode="External" Id="rId3327" /><Relationship Type="http://schemas.openxmlformats.org/officeDocument/2006/relationships/hyperlink" Target="https://mstgolf.co.th/products/gf2040118643" TargetMode="External" Id="rId3328" /><Relationship Type="http://schemas.openxmlformats.org/officeDocument/2006/relationships/hyperlink" Target="https://mstgolf.co.th/products/gf2040200091" TargetMode="External" Id="rId3329" /><Relationship Type="http://schemas.openxmlformats.org/officeDocument/2006/relationships/hyperlink" Target="https://mstgolf.co.th/products/gf2040200092" TargetMode="External" Id="rId3330" /><Relationship Type="http://schemas.openxmlformats.org/officeDocument/2006/relationships/hyperlink" Target="https://mstgolf.co.th/products/gf2040400393" TargetMode="External" Id="rId3331" /><Relationship Type="http://schemas.openxmlformats.org/officeDocument/2006/relationships/hyperlink" Target="https://mstgolf.co.th/products/gf2040400348" TargetMode="External" Id="rId3332" /><Relationship Type="http://schemas.openxmlformats.org/officeDocument/2006/relationships/hyperlink" Target="https://mstgolf.co.th/products/gf2040400347" TargetMode="External" Id="rId3333" /><Relationship Type="http://schemas.openxmlformats.org/officeDocument/2006/relationships/hyperlink" Target="https://mstgolf.co.th/products/gf2040400349" TargetMode="External" Id="rId3334" /><Relationship Type="http://schemas.openxmlformats.org/officeDocument/2006/relationships/hyperlink" Target="https://mstgolf.co.th/products/gf2040116918" TargetMode="External" Id="rId3335" /><Relationship Type="http://schemas.openxmlformats.org/officeDocument/2006/relationships/hyperlink" Target="https://mstgolf.co.th/products/gf2000105714" TargetMode="External" Id="rId3336" /><Relationship Type="http://schemas.openxmlformats.org/officeDocument/2006/relationships/hyperlink" Target="https://mstgolf.co.th/products/gf2000105051" TargetMode="External" Id="rId3337" /><Relationship Type="http://schemas.openxmlformats.org/officeDocument/2006/relationships/hyperlink" Target="https://mstgolf.co.th/products/gf2000105695" TargetMode="External" Id="rId3338" /><Relationship Type="http://schemas.openxmlformats.org/officeDocument/2006/relationships/hyperlink" Target="https://mstgolf.co.th/products/gf2000105693" TargetMode="External" Id="rId3339" /><Relationship Type="http://schemas.openxmlformats.org/officeDocument/2006/relationships/hyperlink" Target="https://mstgolf.co.th/products/gf2000105688" TargetMode="External" Id="rId3340" /><Relationship Type="http://schemas.openxmlformats.org/officeDocument/2006/relationships/hyperlink" Target="https://mstgolf.co.th/products/gf2000105686" TargetMode="External" Id="rId3341" /><Relationship Type="http://schemas.openxmlformats.org/officeDocument/2006/relationships/hyperlink" Target="https://mstgolf.co.th/products/gf2000105685" TargetMode="External" Id="rId3342" /><Relationship Type="http://schemas.openxmlformats.org/officeDocument/2006/relationships/hyperlink" Target="https://mstgolf.co.th/products/gf2000105683" TargetMode="External" Id="rId3343" /><Relationship Type="http://schemas.openxmlformats.org/officeDocument/2006/relationships/hyperlink" Target="https://mstgolf.co.th/products/gf2000105708" TargetMode="External" Id="rId3344" /><Relationship Type="http://schemas.openxmlformats.org/officeDocument/2006/relationships/hyperlink" Target="https://mstgolf.co.th/products/gf3500201801" TargetMode="External" Id="rId3345" /><Relationship Type="http://schemas.openxmlformats.org/officeDocument/2006/relationships/hyperlink" Target="https://mstgolf.co.th/products/gf3500201742" TargetMode="External" Id="rId3346" /><Relationship Type="http://schemas.openxmlformats.org/officeDocument/2006/relationships/hyperlink" Target="https://mstgolf.co.th/products/gf3500201744" TargetMode="External" Id="rId3347" /><Relationship Type="http://schemas.openxmlformats.org/officeDocument/2006/relationships/hyperlink" Target="https://mstgolf.co.th/products/gf3500201745" TargetMode="External" Id="rId3348" /><Relationship Type="http://schemas.openxmlformats.org/officeDocument/2006/relationships/hyperlink" Target="https://mstgolf.co.th/products/gf3500201802" TargetMode="External" Id="rId3349" /><Relationship Type="http://schemas.openxmlformats.org/officeDocument/2006/relationships/hyperlink" Target="https://mstgolf.co.th/products/gf2040120159" TargetMode="External" Id="rId3350" /><Relationship Type="http://schemas.openxmlformats.org/officeDocument/2006/relationships/hyperlink" Target="https://mstgolf.co.th/products/gf2040120198" TargetMode="External" Id="rId3351" /><Relationship Type="http://schemas.openxmlformats.org/officeDocument/2006/relationships/hyperlink" Target="https://mstgolf.co.th/products/gf2040119937" TargetMode="External" Id="rId3352" /><Relationship Type="http://schemas.openxmlformats.org/officeDocument/2006/relationships/hyperlink" Target="https://mstgolf.co.th/products/gf2040119938" TargetMode="External" Id="rId3353" /><Relationship Type="http://schemas.openxmlformats.org/officeDocument/2006/relationships/hyperlink" Target="https://mstgolf.co.th/products/gf2090700102" TargetMode="External" Id="rId3354" /><Relationship Type="http://schemas.openxmlformats.org/officeDocument/2006/relationships/hyperlink" Target="https://mstgolf.co.th/products/gf2090700103" TargetMode="External" Id="rId3355" /><Relationship Type="http://schemas.openxmlformats.org/officeDocument/2006/relationships/hyperlink" Target="https://mstgolf.co.th/products/gf2040120743" TargetMode="External" Id="rId3356" /><Relationship Type="http://schemas.openxmlformats.org/officeDocument/2006/relationships/hyperlink" Target="https://mstgolf.co.th/products/gf2040120744" TargetMode="External" Id="rId3357" /><Relationship Type="http://schemas.openxmlformats.org/officeDocument/2006/relationships/hyperlink" Target="https://mstgolf.co.th/products/gf2020102558" TargetMode="External" Id="rId3358" /><Relationship Type="http://schemas.openxmlformats.org/officeDocument/2006/relationships/hyperlink" Target="https://mstgolf.co.th/products/gf2020102557" TargetMode="External" Id="rId3359" /><Relationship Type="http://schemas.openxmlformats.org/officeDocument/2006/relationships/hyperlink" Target="https://mstgolf.co.th/products/gf2080101522" TargetMode="External" Id="rId3360" /><Relationship Type="http://schemas.openxmlformats.org/officeDocument/2006/relationships/hyperlink" Target="https://mstgolf.co.th/products/gf2080101523" TargetMode="External" Id="rId3361" /><Relationship Type="http://schemas.openxmlformats.org/officeDocument/2006/relationships/hyperlink" Target="https://mstgolf.co.th/products/gf2080101524" TargetMode="External" Id="rId3362" /><Relationship Type="http://schemas.openxmlformats.org/officeDocument/2006/relationships/hyperlink" Target="https://mstgolf.co.th/products/gf2040120162" TargetMode="External" Id="rId3363" /><Relationship Type="http://schemas.openxmlformats.org/officeDocument/2006/relationships/hyperlink" Target="https://mstgolf.co.th/products/gf2040120164" TargetMode="External" Id="rId3364" /><Relationship Type="http://schemas.openxmlformats.org/officeDocument/2006/relationships/hyperlink" Target="https://mstgolf.co.th/products/gf2040200136" TargetMode="External" Id="rId3365" /><Relationship Type="http://schemas.openxmlformats.org/officeDocument/2006/relationships/hyperlink" Target="https://mstgolf.co.th/products/gf2040120169" TargetMode="External" Id="rId3366" /><Relationship Type="http://schemas.openxmlformats.org/officeDocument/2006/relationships/hyperlink" Target="https://mstgolf.co.th/products/gf2040119934" TargetMode="External" Id="rId3367" /><Relationship Type="http://schemas.openxmlformats.org/officeDocument/2006/relationships/hyperlink" Target="https://mstgolf.co.th/products/gf2040120172" TargetMode="External" Id="rId3368" /><Relationship Type="http://schemas.openxmlformats.org/officeDocument/2006/relationships/hyperlink" Target="https://mstgolf.co.th/products/gf2040120173" TargetMode="External" Id="rId3369" /><Relationship Type="http://schemas.openxmlformats.org/officeDocument/2006/relationships/hyperlink" Target="https://mstgolf.co.th/products/gf2040120181" TargetMode="External" Id="rId3370" /><Relationship Type="http://schemas.openxmlformats.org/officeDocument/2006/relationships/hyperlink" Target="https://mstgolf.co.th/products/gf2040120180" TargetMode="External" Id="rId3371" /><Relationship Type="http://schemas.openxmlformats.org/officeDocument/2006/relationships/hyperlink" Target="https://mstgolf.co.th/products/gf2040119950" TargetMode="External" Id="rId3372" /><Relationship Type="http://schemas.openxmlformats.org/officeDocument/2006/relationships/hyperlink" Target="https://mstgolf.co.th/products/gf2040120165" TargetMode="External" Id="rId3373" /><Relationship Type="http://schemas.openxmlformats.org/officeDocument/2006/relationships/hyperlink" Target="https://mstgolf.co.th/products/gf2040200142" TargetMode="External" Id="rId3374" /><Relationship Type="http://schemas.openxmlformats.org/officeDocument/2006/relationships/hyperlink" Target="https://mstgolf.co.th/products/gf2040200162" TargetMode="External" Id="rId3375" /><Relationship Type="http://schemas.openxmlformats.org/officeDocument/2006/relationships/hyperlink" Target="https://mstgolf.co.th/products/gf2040200161" TargetMode="External" Id="rId3376" /><Relationship Type="http://schemas.openxmlformats.org/officeDocument/2006/relationships/hyperlink" Target="https://mstgolf.co.th/products/gf2000300520" TargetMode="External" Id="rId3377" /><Relationship Type="http://schemas.openxmlformats.org/officeDocument/2006/relationships/hyperlink" Target="https://mstgolf.co.th/products/gf2000300522" TargetMode="External" Id="rId3378" /><Relationship Type="http://schemas.openxmlformats.org/officeDocument/2006/relationships/hyperlink" Target="https://mstgolf.co.th/products/gf2000300526" TargetMode="External" Id="rId3379" /><Relationship Type="http://schemas.openxmlformats.org/officeDocument/2006/relationships/hyperlink" Target="https://mstgolf.co.th/products/gf2000300527" TargetMode="External" Id="rId3380" /><Relationship Type="http://schemas.openxmlformats.org/officeDocument/2006/relationships/hyperlink" Target="https://mstgolf.co.th/products/gf2000300523" TargetMode="External" Id="rId3381" /><Relationship Type="http://schemas.openxmlformats.org/officeDocument/2006/relationships/hyperlink" Target="https://mstgolf.co.th/products/gf2000300524" TargetMode="External" Id="rId3382" /><Relationship Type="http://schemas.openxmlformats.org/officeDocument/2006/relationships/hyperlink" Target="https://mstgolf.co.th/products/gf2000300525" TargetMode="External" Id="rId3383" /><Relationship Type="http://schemas.openxmlformats.org/officeDocument/2006/relationships/hyperlink" Target="https://mstgolf.co.th/products/gf2080101514" TargetMode="External" Id="rId3384" /><Relationship Type="http://schemas.openxmlformats.org/officeDocument/2006/relationships/hyperlink" Target="https://mstgolf.co.th/products/gf2080101515" TargetMode="External" Id="rId3385" /><Relationship Type="http://schemas.openxmlformats.org/officeDocument/2006/relationships/hyperlink" Target="https://mstgolf.co.th/products/gf2080101516" TargetMode="External" Id="rId3386" /><Relationship Type="http://schemas.openxmlformats.org/officeDocument/2006/relationships/hyperlink" Target="https://mstgolf.co.th/products/gf2040120188" TargetMode="External" Id="rId3387" /><Relationship Type="http://schemas.openxmlformats.org/officeDocument/2006/relationships/hyperlink" Target="https://mstgolf.co.th/products/gf2040119957" TargetMode="External" Id="rId3388" /><Relationship Type="http://schemas.openxmlformats.org/officeDocument/2006/relationships/hyperlink" Target="https://mstgolf.co.th/products/gf2040120187" TargetMode="External" Id="rId3389" /><Relationship Type="http://schemas.openxmlformats.org/officeDocument/2006/relationships/hyperlink" Target="https://mstgolf.co.th/products/gf2040120745" TargetMode="External" Id="rId3390" /><Relationship Type="http://schemas.openxmlformats.org/officeDocument/2006/relationships/hyperlink" Target="https://mstgolf.co.th/products/gf2040200134" TargetMode="External" Id="rId3391" /><Relationship Type="http://schemas.openxmlformats.org/officeDocument/2006/relationships/hyperlink" Target="https://mstgolf.co.th/products/gf2040120746" TargetMode="External" Id="rId3392" /><Relationship Type="http://schemas.openxmlformats.org/officeDocument/2006/relationships/hyperlink" Target="https://mstgolf.co.th/products/gf2040200163" TargetMode="External" Id="rId3393" /><Relationship Type="http://schemas.openxmlformats.org/officeDocument/2006/relationships/hyperlink" Target="https://mstgolf.co.th/products/gf2040200061" TargetMode="External" Id="rId3394" /><Relationship Type="http://schemas.openxmlformats.org/officeDocument/2006/relationships/hyperlink" Target="https://mstgolf.co.th/products/gf2040200071" TargetMode="External" Id="rId3395" /><Relationship Type="http://schemas.openxmlformats.org/officeDocument/2006/relationships/hyperlink" Target="https://mstgolf.co.th/products/gf2040200068" TargetMode="External" Id="rId3396" /><Relationship Type="http://schemas.openxmlformats.org/officeDocument/2006/relationships/hyperlink" Target="https://mstgolf.co.th/products/gf2040200084" TargetMode="External" Id="rId3397" /><Relationship Type="http://schemas.openxmlformats.org/officeDocument/2006/relationships/hyperlink" Target="https://mstgolf.co.th/products/gf2040200081" TargetMode="External" Id="rId3398" /><Relationship Type="http://schemas.openxmlformats.org/officeDocument/2006/relationships/hyperlink" Target="https://mstgolf.co.th/products/gf2040200080" TargetMode="External" Id="rId3399" /><Relationship Type="http://schemas.openxmlformats.org/officeDocument/2006/relationships/hyperlink" Target="https://mstgolf.co.th/products/gf2040117073" TargetMode="External" Id="rId3400" /><Relationship Type="http://schemas.openxmlformats.org/officeDocument/2006/relationships/hyperlink" Target="https://mstgolf.co.th/products/gf2020201780" TargetMode="External" Id="rId3401" /><Relationship Type="http://schemas.openxmlformats.org/officeDocument/2006/relationships/hyperlink" Target="https://mstgolf.co.th/products/gf2040200094" TargetMode="External" Id="rId3402" /><Relationship Type="http://schemas.openxmlformats.org/officeDocument/2006/relationships/hyperlink" Target="https://mstgolf.co.th/products/gf2020101970" TargetMode="External" Id="rId3403" /><Relationship Type="http://schemas.openxmlformats.org/officeDocument/2006/relationships/hyperlink" Target="https://mstgolf.co.th/products/gf2040117940" TargetMode="External" Id="rId3404" /><Relationship Type="http://schemas.openxmlformats.org/officeDocument/2006/relationships/hyperlink" Target="https://mstgolf.co.th/products/gf2040117797" TargetMode="External" Id="rId3405" /><Relationship Type="http://schemas.openxmlformats.org/officeDocument/2006/relationships/hyperlink" Target="https://mstgolf.co.th/products/gf2040117367" TargetMode="External" Id="rId3406" /><Relationship Type="http://schemas.openxmlformats.org/officeDocument/2006/relationships/hyperlink" Target="https://mstgolf.co.th/products/gf2000106208" TargetMode="External" Id="rId3407" /><Relationship Type="http://schemas.openxmlformats.org/officeDocument/2006/relationships/hyperlink" Target="https://mstgolf.co.th/products/gf2000106210" TargetMode="External" Id="rId3408" /><Relationship Type="http://schemas.openxmlformats.org/officeDocument/2006/relationships/hyperlink" Target="https://mstgolf.co.th/products/gf2000106207" TargetMode="External" Id="rId3409" /><Relationship Type="http://schemas.openxmlformats.org/officeDocument/2006/relationships/hyperlink" Target="https://mstgolf.co.th/products/gf2040118469" TargetMode="External" Id="rId3410" /><Relationship Type="http://schemas.openxmlformats.org/officeDocument/2006/relationships/hyperlink" Target="https://mstgolf.co.th/products/gf2040110559" TargetMode="External" Id="rId3411" /><Relationship Type="http://schemas.openxmlformats.org/officeDocument/2006/relationships/hyperlink" Target="https://mstgolf.co.th/products/gf2000106225" TargetMode="External" Id="rId3412" /><Relationship Type="http://schemas.openxmlformats.org/officeDocument/2006/relationships/hyperlink" Target="https://mstgolf.co.th/products/gf2000106223" TargetMode="External" Id="rId3413" /><Relationship Type="http://schemas.openxmlformats.org/officeDocument/2006/relationships/hyperlink" Target="https://mstgolf.co.th/products/gf2000106224" TargetMode="External" Id="rId3414" /><Relationship Type="http://schemas.openxmlformats.org/officeDocument/2006/relationships/hyperlink" Target="https://mstgolf.co.th/products/gf2020202317" TargetMode="External" Id="rId3415" /><Relationship Type="http://schemas.openxmlformats.org/officeDocument/2006/relationships/hyperlink" Target="https://mstgolf.co.th/products/gf2000106217" TargetMode="External" Id="rId3416" /><Relationship Type="http://schemas.openxmlformats.org/officeDocument/2006/relationships/hyperlink" Target="https://mstgolf.co.th/products/gf2000300347" TargetMode="External" Id="rId3417" /><Relationship Type="http://schemas.openxmlformats.org/officeDocument/2006/relationships/hyperlink" Target="https://mstgolf.co.th/products/gf2000106227" TargetMode="External" Id="rId3418" /><Relationship Type="http://schemas.openxmlformats.org/officeDocument/2006/relationships/hyperlink" Target="https://mstgolf.co.th/products/gf2110200037" TargetMode="External" Id="rId3419" /><Relationship Type="http://schemas.openxmlformats.org/officeDocument/2006/relationships/hyperlink" Target="https://mstgolf.co.th/products/gf2110200038" TargetMode="External" Id="rId3420" /><Relationship Type="http://schemas.openxmlformats.org/officeDocument/2006/relationships/hyperlink" Target="https://mstgolf.co.th/products/gf2110200036" TargetMode="External" Id="rId3421" /><Relationship Type="http://schemas.openxmlformats.org/officeDocument/2006/relationships/hyperlink" Target="https://mstgolf.co.th/products/gf2110200034" TargetMode="External" Id="rId3422" /><Relationship Type="http://schemas.openxmlformats.org/officeDocument/2006/relationships/hyperlink" Target="https://mstgolf.co.th/products/gf3150100326" TargetMode="External" Id="rId3423" /><Relationship Type="http://schemas.openxmlformats.org/officeDocument/2006/relationships/hyperlink" Target="https://mstgolf.co.th/products/gf2000106126" TargetMode="External" Id="rId3424" /><Relationship Type="http://schemas.openxmlformats.org/officeDocument/2006/relationships/hyperlink" Target="https://mstgolf.co.th/products/gf2040118375" TargetMode="External" Id="rId3425" /><Relationship Type="http://schemas.openxmlformats.org/officeDocument/2006/relationships/hyperlink" Target="https://mstgolf.co.th/products/gf2000300264" TargetMode="External" Id="rId3426" /><Relationship Type="http://schemas.openxmlformats.org/officeDocument/2006/relationships/hyperlink" Target="https://mstgolf.co.th/products/gf2000300458" TargetMode="External" Id="rId3427" /><Relationship Type="http://schemas.openxmlformats.org/officeDocument/2006/relationships/hyperlink" Target="https://mstgolf.co.th/products/gf2000300462" TargetMode="External" Id="rId3428" /><Relationship Type="http://schemas.openxmlformats.org/officeDocument/2006/relationships/hyperlink" Target="https://mstgolf.co.th/products/gf2020201699" TargetMode="External" Id="rId3429" /><Relationship Type="http://schemas.openxmlformats.org/officeDocument/2006/relationships/hyperlink" Target="https://mstgolf.co.th/products/gf2020201698" TargetMode="External" Id="rId3430" /><Relationship Type="http://schemas.openxmlformats.org/officeDocument/2006/relationships/hyperlink" Target="https://mstgolf.co.th/products/gf2020201694" TargetMode="External" Id="rId3431" /><Relationship Type="http://schemas.openxmlformats.org/officeDocument/2006/relationships/hyperlink" Target="https://mstgolf.co.th/products/gf2020201581" TargetMode="External" Id="rId3432" /><Relationship Type="http://schemas.openxmlformats.org/officeDocument/2006/relationships/hyperlink" Target="https://mstgolf.co.th/products/gf2020201773" TargetMode="External" Id="rId3433" /><Relationship Type="http://schemas.openxmlformats.org/officeDocument/2006/relationships/hyperlink" Target="https://mstgolf.co.th/products/gf2040401153" TargetMode="External" Id="rId3434" /><Relationship Type="http://schemas.openxmlformats.org/officeDocument/2006/relationships/hyperlink" Target="https://mstgolf.co.th/products/gf2040117340" TargetMode="External" Id="rId3435" /><Relationship Type="http://schemas.openxmlformats.org/officeDocument/2006/relationships/hyperlink" Target="https://mstgolf.co.th/products/gf2040117345" TargetMode="External" Id="rId3436" /><Relationship Type="http://schemas.openxmlformats.org/officeDocument/2006/relationships/hyperlink" Target="https://mstgolf.co.th/products/gf2040117343" TargetMode="External" Id="rId3437" /><Relationship Type="http://schemas.openxmlformats.org/officeDocument/2006/relationships/hyperlink" Target="https://mstgolf.co.th/products/gf2040116498" TargetMode="External" Id="rId3438" /><Relationship Type="http://schemas.openxmlformats.org/officeDocument/2006/relationships/hyperlink" Target="https://mstgolf.co.th/products/gf2040117334" TargetMode="External" Id="rId3439" /><Relationship Type="http://schemas.openxmlformats.org/officeDocument/2006/relationships/hyperlink" Target="https://mstgolf.co.th/products/gf2040117221" TargetMode="External" Id="rId3440" /><Relationship Type="http://schemas.openxmlformats.org/officeDocument/2006/relationships/hyperlink" Target="https://mstgolf.co.th/products/gf2040116158" TargetMode="External" Id="rId3441" /><Relationship Type="http://schemas.openxmlformats.org/officeDocument/2006/relationships/hyperlink" Target="https://mstgolf.co.th/products/gf2040115428" TargetMode="External" Id="rId3442" /><Relationship Type="http://schemas.openxmlformats.org/officeDocument/2006/relationships/hyperlink" Target="https://mstgolf.co.th/products/gf2110100173" TargetMode="External" Id="rId3443" /><Relationship Type="http://schemas.openxmlformats.org/officeDocument/2006/relationships/hyperlink" Target="https://mstgolf.co.th/products/gf2040117809" TargetMode="External" Id="rId3444" /><Relationship Type="http://schemas.openxmlformats.org/officeDocument/2006/relationships/hyperlink" Target="https://mstgolf.co.th/products/gf3500201383" TargetMode="External" Id="rId3445" /><Relationship Type="http://schemas.openxmlformats.org/officeDocument/2006/relationships/hyperlink" Target="https://mstgolf.co.th/products/gf3500201384" TargetMode="External" Id="rId3446" /><Relationship Type="http://schemas.openxmlformats.org/officeDocument/2006/relationships/hyperlink" Target="https://mstgolf.co.th/products/gf3500201385" TargetMode="External" Id="rId3447" /><Relationship Type="http://schemas.openxmlformats.org/officeDocument/2006/relationships/hyperlink" Target="https://mstgolf.co.th/products/gf3500201386" TargetMode="External" Id="rId3448" /><Relationship Type="http://schemas.openxmlformats.org/officeDocument/2006/relationships/hyperlink" Target="https://mstgolf.co.th/products/gf3500201375" TargetMode="External" Id="rId3449" /><Relationship Type="http://schemas.openxmlformats.org/officeDocument/2006/relationships/hyperlink" Target="https://mstgolf.co.th/products/gf3500201377" TargetMode="External" Id="rId3450" /><Relationship Type="http://schemas.openxmlformats.org/officeDocument/2006/relationships/hyperlink" Target="https://mstgolf.co.th/products/gf3500201371" TargetMode="External" Id="rId3451" /><Relationship Type="http://schemas.openxmlformats.org/officeDocument/2006/relationships/hyperlink" Target="https://mstgolf.co.th/products/gf3500201372" TargetMode="External" Id="rId3452" /><Relationship Type="http://schemas.openxmlformats.org/officeDocument/2006/relationships/hyperlink" Target="https://mstgolf.co.th/products/gf3500201350" TargetMode="External" Id="rId3453" /><Relationship Type="http://schemas.openxmlformats.org/officeDocument/2006/relationships/hyperlink" Target="https://mstgolf.co.th/products/gf3500201379" TargetMode="External" Id="rId3454" /><Relationship Type="http://schemas.openxmlformats.org/officeDocument/2006/relationships/hyperlink" Target="https://mstgolf.co.th/products/gf3500201380" TargetMode="External" Id="rId3455" /><Relationship Type="http://schemas.openxmlformats.org/officeDocument/2006/relationships/hyperlink" Target="https://mstgolf.co.th/products/gf2040117350" TargetMode="External" Id="rId3456" /><Relationship Type="http://schemas.openxmlformats.org/officeDocument/2006/relationships/hyperlink" Target="https://mstgolf.co.th/products/gf2020102168" TargetMode="External" Id="rId3457" /><Relationship Type="http://schemas.openxmlformats.org/officeDocument/2006/relationships/hyperlink" Target="https://mstgolf.co.th/products/gf2020102183" TargetMode="External" Id="rId3458" /><Relationship Type="http://schemas.openxmlformats.org/officeDocument/2006/relationships/hyperlink" Target="https://mstgolf.co.th/products/gf2040120551" TargetMode="External" Id="rId3459" /><Relationship Type="http://schemas.openxmlformats.org/officeDocument/2006/relationships/hyperlink" Target="https://mstgolf.co.th/products/gf2040115774" TargetMode="External" Id="rId3460" /><Relationship Type="http://schemas.openxmlformats.org/officeDocument/2006/relationships/hyperlink" Target="https://mstgolf.co.th/products/gf2020102261" TargetMode="External" Id="rId3461" /><Relationship Type="http://schemas.openxmlformats.org/officeDocument/2006/relationships/hyperlink" Target="https://mstgolf.co.th/products/gf2020102172" TargetMode="External" Id="rId3462" /><Relationship Type="http://schemas.openxmlformats.org/officeDocument/2006/relationships/hyperlink" Target="https://mstgolf.co.th/products/gf2020102274" TargetMode="External" Id="rId3463" /><Relationship Type="http://schemas.openxmlformats.org/officeDocument/2006/relationships/hyperlink" Target="https://mstgolf.co.th/products/gf2040119465" TargetMode="External" Id="rId3464" /><Relationship Type="http://schemas.openxmlformats.org/officeDocument/2006/relationships/hyperlink" Target="https://mstgolf.co.th/products/gf2020202654" TargetMode="External" Id="rId3465" /><Relationship Type="http://schemas.openxmlformats.org/officeDocument/2006/relationships/hyperlink" Target="https://mstgolf.co.th/products/gf2040119466" TargetMode="External" Id="rId3466" /><Relationship Type="http://schemas.openxmlformats.org/officeDocument/2006/relationships/hyperlink" Target="https://mstgolf.co.th/products/gf2040120520" TargetMode="External" Id="rId3467" /><Relationship Type="http://schemas.openxmlformats.org/officeDocument/2006/relationships/hyperlink" Target="https://mstgolf.co.th/products/gf2020202653" TargetMode="External" Id="rId3468" /><Relationship Type="http://schemas.openxmlformats.org/officeDocument/2006/relationships/hyperlink" Target="https://mstgolf.co.th/products/gf2020102125" TargetMode="External" Id="rId3469" /><Relationship Type="http://schemas.openxmlformats.org/officeDocument/2006/relationships/hyperlink" Target="https://mstgolf.co.th/products/gf2020102124" TargetMode="External" Id="rId3470" /><Relationship Type="http://schemas.openxmlformats.org/officeDocument/2006/relationships/hyperlink" Target="https://mstgolf.co.th/products/gf2000300290" TargetMode="External" Id="rId3471" /><Relationship Type="http://schemas.openxmlformats.org/officeDocument/2006/relationships/hyperlink" Target="https://mstgolf.co.th/products/gf2020102169" TargetMode="External" Id="rId3472" /><Relationship Type="http://schemas.openxmlformats.org/officeDocument/2006/relationships/hyperlink" Target="https://mstgolf.co.th/products/gf2040115413" TargetMode="External" Id="rId3473" /><Relationship Type="http://schemas.openxmlformats.org/officeDocument/2006/relationships/hyperlink" Target="https://mstgolf.co.th/products/gf2040117590" TargetMode="External" Id="rId3474" /><Relationship Type="http://schemas.openxmlformats.org/officeDocument/2006/relationships/hyperlink" Target="https://mstgolf.co.th/products/gf2040115417" TargetMode="External" Id="rId3475" /><Relationship Type="http://schemas.openxmlformats.org/officeDocument/2006/relationships/hyperlink" Target="https://mstgolf.co.th/products/gf2040115418" TargetMode="External" Id="rId3476" /><Relationship Type="http://schemas.openxmlformats.org/officeDocument/2006/relationships/hyperlink" Target="https://mstgolf.co.th/products/gf2040117525" TargetMode="External" Id="rId3477" /><Relationship Type="http://schemas.openxmlformats.org/officeDocument/2006/relationships/hyperlink" Target="https://mstgolf.co.th/products/gf2040119380" TargetMode="External" Id="rId3478" /><Relationship Type="http://schemas.openxmlformats.org/officeDocument/2006/relationships/hyperlink" Target="https://mstgolf.co.th/products/gf2040119381" TargetMode="External" Id="rId3479" /><Relationship Type="http://schemas.openxmlformats.org/officeDocument/2006/relationships/hyperlink" Target="https://mstgolf.co.th/products/gf2040115394" TargetMode="External" Id="rId3480" /><Relationship Type="http://schemas.openxmlformats.org/officeDocument/2006/relationships/hyperlink" Target="https://mstgolf.co.th/products/gf2040115395" TargetMode="External" Id="rId3481" /><Relationship Type="http://schemas.openxmlformats.org/officeDocument/2006/relationships/hyperlink" Target="https://mstgolf.co.th/products/gf2040401337" TargetMode="External" Id="rId3482" /><Relationship Type="http://schemas.openxmlformats.org/officeDocument/2006/relationships/hyperlink" Target="https://mstgolf.co.th/products/gf2020201952" TargetMode="External" Id="rId3483" /><Relationship Type="http://schemas.openxmlformats.org/officeDocument/2006/relationships/hyperlink" Target="https://mstgolf.co.th/products/gf2040118844" TargetMode="External" Id="rId3484" /><Relationship Type="http://schemas.openxmlformats.org/officeDocument/2006/relationships/hyperlink" Target="https://mstgolf.co.th/products/gf2020202843" TargetMode="External" Id="rId3485" /><Relationship Type="http://schemas.openxmlformats.org/officeDocument/2006/relationships/hyperlink" Target="https://mstgolf.co.th/products/gf2020202842" TargetMode="External" Id="rId3486" /><Relationship Type="http://schemas.openxmlformats.org/officeDocument/2006/relationships/hyperlink" Target="https://mstgolf.co.th/products/gf2020300160" TargetMode="External" Id="rId3487" /><Relationship Type="http://schemas.openxmlformats.org/officeDocument/2006/relationships/hyperlink" Target="https://mstgolf.co.th/products/gf2020300159" TargetMode="External" Id="rId3488" /><Relationship Type="http://schemas.openxmlformats.org/officeDocument/2006/relationships/hyperlink" Target="https://mstgolf.co.th/products/gf2020300161" TargetMode="External" Id="rId3489" /><Relationship Type="http://schemas.openxmlformats.org/officeDocument/2006/relationships/hyperlink" Target="https://mstgolf.co.th/products/gf2020300162" TargetMode="External" Id="rId3490" /><Relationship Type="http://schemas.openxmlformats.org/officeDocument/2006/relationships/hyperlink" Target="https://mstgolf.co.th/products/gf2040114140" TargetMode="External" Id="rId3491" /><Relationship Type="http://schemas.openxmlformats.org/officeDocument/2006/relationships/hyperlink" Target="https://mstgolf.co.th/products/gf2040114141" TargetMode="External" Id="rId3492" /><Relationship Type="http://schemas.openxmlformats.org/officeDocument/2006/relationships/hyperlink" Target="https://mstgolf.co.th/products/gf2040120184" TargetMode="External" Id="rId3493" /><Relationship Type="http://schemas.openxmlformats.org/officeDocument/2006/relationships/hyperlink" Target="https://mstgolf.co.th/products/gf2040120183" TargetMode="External" Id="rId3494" /><Relationship Type="http://schemas.openxmlformats.org/officeDocument/2006/relationships/hyperlink" Target="https://mstgolf.co.th/products/gf2040120189" TargetMode="External" Id="rId3495" /><Relationship Type="http://schemas.openxmlformats.org/officeDocument/2006/relationships/hyperlink" Target="https://mstgolf.co.th/products/gf2040120182" TargetMode="External" Id="rId3496" /><Relationship Type="http://schemas.openxmlformats.org/officeDocument/2006/relationships/hyperlink" Target="https://mstgolf.co.th/products/gf2040120186" TargetMode="External" Id="rId3497" /><Relationship Type="http://schemas.openxmlformats.org/officeDocument/2006/relationships/hyperlink" Target="https://mstgolf.co.th/products/gf2040120185" TargetMode="External" Id="rId3498" /><Relationship Type="http://schemas.openxmlformats.org/officeDocument/2006/relationships/hyperlink" Target="https://mstgolf.co.th/products/gf2040120197" TargetMode="External" Id="rId3499" /><Relationship Type="http://schemas.openxmlformats.org/officeDocument/2006/relationships/hyperlink" Target="https://mstgolf.co.th/products/gf2040119968" TargetMode="External" Id="rId3500" /><Relationship Type="http://schemas.openxmlformats.org/officeDocument/2006/relationships/hyperlink" Target="https://mstgolf.co.th/products/gf2040120195" TargetMode="External" Id="rId3501" /><Relationship Type="http://schemas.openxmlformats.org/officeDocument/2006/relationships/hyperlink" Target="https://mstgolf.co.th/products/gf2040118870" TargetMode="External" Id="rId3502" /><Relationship Type="http://schemas.openxmlformats.org/officeDocument/2006/relationships/hyperlink" Target="https://mstgolf.co.th/products/gf2040118871" TargetMode="External" Id="rId3503" /><Relationship Type="http://schemas.openxmlformats.org/officeDocument/2006/relationships/hyperlink" Target="https://mstgolf.co.th/products/gf2020201969" TargetMode="External" Id="rId3504" /><Relationship Type="http://schemas.openxmlformats.org/officeDocument/2006/relationships/hyperlink" Target="https://mstgolf.co.th/products/gf2040118912" TargetMode="External" Id="rId3505" /><Relationship Type="http://schemas.openxmlformats.org/officeDocument/2006/relationships/hyperlink" Target="https://mstgolf.co.th/products/gf2020201666" TargetMode="External" Id="rId3506" /><Relationship Type="http://schemas.openxmlformats.org/officeDocument/2006/relationships/hyperlink" Target="https://mstgolf.co.th/products/gf2040119053" TargetMode="External" Id="rId3507" /><Relationship Type="http://schemas.openxmlformats.org/officeDocument/2006/relationships/hyperlink" Target="https://mstgolf.co.th/products/gf2040116646" TargetMode="External" Id="rId3508" /><Relationship Type="http://schemas.openxmlformats.org/officeDocument/2006/relationships/hyperlink" Target="https://mstgolf.co.th/products/gf2040115113" TargetMode="External" Id="rId3509" /><Relationship Type="http://schemas.openxmlformats.org/officeDocument/2006/relationships/hyperlink" Target="https://mstgolf.co.th/products/gf2040117432" TargetMode="External" Id="rId3510" /><Relationship Type="http://schemas.openxmlformats.org/officeDocument/2006/relationships/hyperlink" Target="https://mstgolf.co.th/products/gf2040117443" TargetMode="External" Id="rId3511" /><Relationship Type="http://schemas.openxmlformats.org/officeDocument/2006/relationships/hyperlink" Target="https://mstgolf.co.th/products/gf2040116670" TargetMode="External" Id="rId3512" /><Relationship Type="http://schemas.openxmlformats.org/officeDocument/2006/relationships/hyperlink" Target="https://mstgolf.co.th/products/gf2040116668" TargetMode="External" Id="rId3513" /><Relationship Type="http://schemas.openxmlformats.org/officeDocument/2006/relationships/hyperlink" Target="https://mstgolf.co.th/products/gf2040120280" TargetMode="External" Id="rId3514" /><Relationship Type="http://schemas.openxmlformats.org/officeDocument/2006/relationships/hyperlink" Target="https://mstgolf.co.th/products/gf2110100220" TargetMode="External" Id="rId3515" /><Relationship Type="http://schemas.openxmlformats.org/officeDocument/2006/relationships/hyperlink" Target="https://mstgolf.co.th/products/gf2110100219" TargetMode="External" Id="rId3516" /><Relationship Type="http://schemas.openxmlformats.org/officeDocument/2006/relationships/hyperlink" Target="https://mstgolf.co.th/products/gf2110100217" TargetMode="External" Id="rId3517" /><Relationship Type="http://schemas.openxmlformats.org/officeDocument/2006/relationships/hyperlink" Target="https://mstgolf.co.th/products/gf2000105302" TargetMode="External" Id="rId3518" /><Relationship Type="http://schemas.openxmlformats.org/officeDocument/2006/relationships/hyperlink" Target="https://mstgolf.co.th/products/gf2040115528" TargetMode="External" Id="rId3519" /><Relationship Type="http://schemas.openxmlformats.org/officeDocument/2006/relationships/hyperlink" Target="https://mstgolf.co.th/products/gf2000105317" TargetMode="External" Id="rId3520" /><Relationship Type="http://schemas.openxmlformats.org/officeDocument/2006/relationships/hyperlink" Target="https://mstgolf.co.th/products/gf2000105167" TargetMode="External" Id="rId3521" /><Relationship Type="http://schemas.openxmlformats.org/officeDocument/2006/relationships/hyperlink" Target="https://mstgolf.co.th/products/gf2000105292" TargetMode="External" Id="rId3522" /><Relationship Type="http://schemas.openxmlformats.org/officeDocument/2006/relationships/hyperlink" Target="https://mstgolf.co.th/products/gf2000105311" TargetMode="External" Id="rId3523" /><Relationship Type="http://schemas.openxmlformats.org/officeDocument/2006/relationships/hyperlink" Target="https://mstgolf.co.th/products/gf2000105307" TargetMode="External" Id="rId3524" /><Relationship Type="http://schemas.openxmlformats.org/officeDocument/2006/relationships/hyperlink" Target="https://mstgolf.co.th/products/gf2000300408" TargetMode="External" Id="rId3525" /><Relationship Type="http://schemas.openxmlformats.org/officeDocument/2006/relationships/hyperlink" Target="https://mstgolf.co.th/products/gf2000105294" TargetMode="External" Id="rId3526" /><Relationship Type="http://schemas.openxmlformats.org/officeDocument/2006/relationships/hyperlink" Target="https://mstgolf.co.th/products/gf2000105293" TargetMode="External" Id="rId3527" /><Relationship Type="http://schemas.openxmlformats.org/officeDocument/2006/relationships/hyperlink" Target="https://mstgolf.co.th/products/gf2000105296" TargetMode="External" Id="rId3528" /><Relationship Type="http://schemas.openxmlformats.org/officeDocument/2006/relationships/hyperlink" Target="https://mstgolf.co.th/products/gf2000105310" TargetMode="External" Id="rId3529" /><Relationship Type="http://schemas.openxmlformats.org/officeDocument/2006/relationships/hyperlink" Target="https://mstgolf.co.th/products/gf2000105309" TargetMode="External" Id="rId3530" /><Relationship Type="http://schemas.openxmlformats.org/officeDocument/2006/relationships/hyperlink" Target="https://mstgolf.co.th/products/gf2000105308" TargetMode="External" Id="rId3531" /><Relationship Type="http://schemas.openxmlformats.org/officeDocument/2006/relationships/hyperlink" Target="https://mstgolf.co.th/products/gf2000105306" TargetMode="External" Id="rId3532" /><Relationship Type="http://schemas.openxmlformats.org/officeDocument/2006/relationships/hyperlink" Target="https://mstgolf.co.th/products/gf2000105330" TargetMode="External" Id="rId3533" /><Relationship Type="http://schemas.openxmlformats.org/officeDocument/2006/relationships/hyperlink" Target="https://mstgolf.co.th/products/gf2000105329" TargetMode="External" Id="rId3534" /><Relationship Type="http://schemas.openxmlformats.org/officeDocument/2006/relationships/hyperlink" Target="https://mstgolf.co.th/products/gf2000105313" TargetMode="External" Id="rId3535" /><Relationship Type="http://schemas.openxmlformats.org/officeDocument/2006/relationships/hyperlink" Target="https://mstgolf.co.th/products/gf2000105312" TargetMode="External" Id="rId3536" /><Relationship Type="http://schemas.openxmlformats.org/officeDocument/2006/relationships/hyperlink" Target="https://mstgolf.co.th/products/gf2000106052" TargetMode="External" Id="rId3537" /><Relationship Type="http://schemas.openxmlformats.org/officeDocument/2006/relationships/hyperlink" Target="https://mstgolf.co.th/products/gf2040116468" TargetMode="External" Id="rId3538" /><Relationship Type="http://schemas.openxmlformats.org/officeDocument/2006/relationships/hyperlink" Target="https://mstgolf.co.th/products/gf2040117236" TargetMode="External" Id="rId3539" /><Relationship Type="http://schemas.openxmlformats.org/officeDocument/2006/relationships/hyperlink" Target="https://mstgolf.co.th/products/gf2040110764" TargetMode="External" Id="rId3540" /><Relationship Type="http://schemas.openxmlformats.org/officeDocument/2006/relationships/hyperlink" Target="https://mstgolf.co.th/products/gf2040116752" TargetMode="External" Id="rId3541" /><Relationship Type="http://schemas.openxmlformats.org/officeDocument/2006/relationships/hyperlink" Target="https://mstgolf.co.th/products/gf2020201942" TargetMode="External" Id="rId3542" /><Relationship Type="http://schemas.openxmlformats.org/officeDocument/2006/relationships/hyperlink" Target="https://mstgolf.co.th/products/gf2020201954" TargetMode="External" Id="rId3543" /><Relationship Type="http://schemas.openxmlformats.org/officeDocument/2006/relationships/hyperlink" Target="https://mstgolf.co.th/products/gf3500201469" TargetMode="External" Id="rId3544" /><Relationship Type="http://schemas.openxmlformats.org/officeDocument/2006/relationships/hyperlink" Target="https://mstgolf.co.th/products/gf3500201470" TargetMode="External" Id="rId3545" /><Relationship Type="http://schemas.openxmlformats.org/officeDocument/2006/relationships/hyperlink" Target="https://mstgolf.co.th/products/gf3500201472" TargetMode="External" Id="rId3546" /><Relationship Type="http://schemas.openxmlformats.org/officeDocument/2006/relationships/hyperlink" Target="https://mstgolf.co.th/products/gf2000106277" TargetMode="External" Id="rId3547" /><Relationship Type="http://schemas.openxmlformats.org/officeDocument/2006/relationships/hyperlink" Target="https://mstgolf.co.th/products/gf2000106273" TargetMode="External" Id="rId3548" /><Relationship Type="http://schemas.openxmlformats.org/officeDocument/2006/relationships/hyperlink" Target="https://mstgolf.co.th/products/gf2000106275" TargetMode="External" Id="rId3549" /><Relationship Type="http://schemas.openxmlformats.org/officeDocument/2006/relationships/hyperlink" Target="https://mstgolf.co.th/products/gf2000106276" TargetMode="External" Id="rId3550" /><Relationship Type="http://schemas.openxmlformats.org/officeDocument/2006/relationships/hyperlink" Target="https://mstgolf.co.th/products/gf2040113375" TargetMode="External" Id="rId3551" /><Relationship Type="http://schemas.openxmlformats.org/officeDocument/2006/relationships/hyperlink" Target="https://mstgolf.co.th/products/gf2020102171" TargetMode="External" Id="rId3552" /><Relationship Type="http://schemas.openxmlformats.org/officeDocument/2006/relationships/hyperlink" Target="https://mstgolf.co.th/products/gf2020201580" TargetMode="External" Id="rId3553" /><Relationship Type="http://schemas.openxmlformats.org/officeDocument/2006/relationships/hyperlink" Target="https://mstgolf.co.th/products/gf2020201707" TargetMode="External" Id="rId3554" /><Relationship Type="http://schemas.openxmlformats.org/officeDocument/2006/relationships/hyperlink" Target="https://mstgolf.co.th/products/gf2020201927" TargetMode="External" Id="rId3555" /><Relationship Type="http://schemas.openxmlformats.org/officeDocument/2006/relationships/hyperlink" Target="https://mstgolf.co.th/products/gf2040115506" TargetMode="External" Id="rId3556" /><Relationship Type="http://schemas.openxmlformats.org/officeDocument/2006/relationships/hyperlink" Target="https://mstgolf.co.th/products/gf2040115449" TargetMode="External" Id="rId3557" /><Relationship Type="http://schemas.openxmlformats.org/officeDocument/2006/relationships/hyperlink" Target="https://mstgolf.co.th/products/gf2040109130" TargetMode="External" Id="rId3558" /><Relationship Type="http://schemas.openxmlformats.org/officeDocument/2006/relationships/hyperlink" Target="https://mstgolf.co.th/products/gf2040115500" TargetMode="External" Id="rId3559" /><Relationship Type="http://schemas.openxmlformats.org/officeDocument/2006/relationships/hyperlink" Target="https://mstgolf.co.th/products/gf2040115878" TargetMode="External" Id="rId3560" /><Relationship Type="http://schemas.openxmlformats.org/officeDocument/2006/relationships/hyperlink" Target="https://mstgolf.co.th/products/gf2040115507" TargetMode="External" Id="rId3561" /><Relationship Type="http://schemas.openxmlformats.org/officeDocument/2006/relationships/hyperlink" Target="https://mstgolf.co.th/products/gf2040116489" TargetMode="External" Id="rId3562" /><Relationship Type="http://schemas.openxmlformats.org/officeDocument/2006/relationships/hyperlink" Target="https://mstgolf.co.th/products/gf2040117231" TargetMode="External" Id="rId3563" /><Relationship Type="http://schemas.openxmlformats.org/officeDocument/2006/relationships/hyperlink" Target="https://mstgolf.co.th/products/gf2040117232" TargetMode="External" Id="rId3564" /><Relationship Type="http://schemas.openxmlformats.org/officeDocument/2006/relationships/hyperlink" Target="https://mstgolf.co.th/products/gf2040116494" TargetMode="External" Id="rId3565" /><Relationship Type="http://schemas.openxmlformats.org/officeDocument/2006/relationships/hyperlink" Target="https://mstgolf.co.th/products/gf2040117352" TargetMode="External" Id="rId3566" /><Relationship Type="http://schemas.openxmlformats.org/officeDocument/2006/relationships/hyperlink" Target="https://mstgolf.co.th/products/gf2040117351" TargetMode="External" Id="rId3567" /><Relationship Type="http://schemas.openxmlformats.org/officeDocument/2006/relationships/hyperlink" Target="https://mstgolf.co.th/products/gf2040115460" TargetMode="External" Id="rId3568" /><Relationship Type="http://schemas.openxmlformats.org/officeDocument/2006/relationships/hyperlink" Target="https://mstgolf.co.th/products/gf2040117238" TargetMode="External" Id="rId3569" /><Relationship Type="http://schemas.openxmlformats.org/officeDocument/2006/relationships/hyperlink" Target="https://mstgolf.co.th/products/gf2040115447" TargetMode="External" Id="rId3570" /><Relationship Type="http://schemas.openxmlformats.org/officeDocument/2006/relationships/hyperlink" Target="https://mstgolf.co.th/products/gf2040116464" TargetMode="External" Id="rId3571" /><Relationship Type="http://schemas.openxmlformats.org/officeDocument/2006/relationships/hyperlink" Target="https://mstgolf.co.th/products/gf2040115451" TargetMode="External" Id="rId3572" /><Relationship Type="http://schemas.openxmlformats.org/officeDocument/2006/relationships/hyperlink" Target="https://mstgolf.co.th/products/gf2040117239" TargetMode="External" Id="rId3573" /><Relationship Type="http://schemas.openxmlformats.org/officeDocument/2006/relationships/hyperlink" Target="https://mstgolf.co.th/products/gf2040116463" TargetMode="External" Id="rId3574" /><Relationship Type="http://schemas.openxmlformats.org/officeDocument/2006/relationships/hyperlink" Target="https://mstgolf.co.th/products/gf2040113379" TargetMode="External" Id="rId3575" /><Relationship Type="http://schemas.openxmlformats.org/officeDocument/2006/relationships/hyperlink" Target="https://mstgolf.co.th/products/gf2040114587" TargetMode="External" Id="rId3576" /><Relationship Type="http://schemas.openxmlformats.org/officeDocument/2006/relationships/hyperlink" Target="https://mstgolf.co.th/products/gf2040113980" TargetMode="External" Id="rId3577" /><Relationship Type="http://schemas.openxmlformats.org/officeDocument/2006/relationships/hyperlink" Target="https://mstgolf.co.th/products/gf3500201812" TargetMode="External" Id="rId3578" /><Relationship Type="http://schemas.openxmlformats.org/officeDocument/2006/relationships/hyperlink" Target="https://mstgolf.co.th/products/gf3500201814" TargetMode="External" Id="rId3579" /><Relationship Type="http://schemas.openxmlformats.org/officeDocument/2006/relationships/hyperlink" Target="https://mstgolf.co.th/products/gf3500201816" TargetMode="External" Id="rId3580" /><Relationship Type="http://schemas.openxmlformats.org/officeDocument/2006/relationships/hyperlink" Target="https://mstgolf.co.th/products/gf3500201813" TargetMode="External" Id="rId3581" /><Relationship Type="http://schemas.openxmlformats.org/officeDocument/2006/relationships/hyperlink" Target="https://mstgolf.co.th/products/gf3500201815" TargetMode="External" Id="rId3582" /><Relationship Type="http://schemas.openxmlformats.org/officeDocument/2006/relationships/hyperlink" Target="https://mstgolf.co.th/products/gf3500201817" TargetMode="External" Id="rId3583" /><Relationship Type="http://schemas.openxmlformats.org/officeDocument/2006/relationships/hyperlink" Target="https://mstgolf.co.th/products/gf2000105316" TargetMode="External" Id="rId3584" /><Relationship Type="http://schemas.openxmlformats.org/officeDocument/2006/relationships/hyperlink" Target="https://mstgolf.co.th/products/gf2000105315" TargetMode="External" Id="rId3585" /><Relationship Type="http://schemas.openxmlformats.org/officeDocument/2006/relationships/hyperlink" Target="https://mstgolf.co.th/products/gf2000105295" TargetMode="External" Id="rId3586" /><Relationship Type="http://schemas.openxmlformats.org/officeDocument/2006/relationships/hyperlink" Target="https://mstgolf.co.th/products/gf2000105314" TargetMode="External" Id="rId3587" /><Relationship Type="http://schemas.openxmlformats.org/officeDocument/2006/relationships/hyperlink" Target="https://mstgolf.co.th/products/gf2000300373" TargetMode="External" Id="rId3588" /><Relationship Type="http://schemas.openxmlformats.org/officeDocument/2006/relationships/hyperlink" Target="https://mstgolf.co.th/products/gf2040119471" TargetMode="External" Id="rId3589" /><Relationship Type="http://schemas.openxmlformats.org/officeDocument/2006/relationships/hyperlink" Target="https://mstgolf.co.th/products/gf2040119472" TargetMode="External" Id="rId3590" /><Relationship Type="http://schemas.openxmlformats.org/officeDocument/2006/relationships/hyperlink" Target="https://mstgolf.co.th/products/gf2040200192" TargetMode="External" Id="rId3591" /><Relationship Type="http://schemas.openxmlformats.org/officeDocument/2006/relationships/hyperlink" Target="https://mstgolf.co.th/products/gf2040200176" TargetMode="External" Id="rId3592" /><Relationship Type="http://schemas.openxmlformats.org/officeDocument/2006/relationships/hyperlink" Target="https://mstgolf.co.th/products/gf2040200175" TargetMode="External" Id="rId3593" /><Relationship Type="http://schemas.openxmlformats.org/officeDocument/2006/relationships/hyperlink" Target="https://mstgolf.co.th/products/gf2000106608" TargetMode="External" Id="rId3594" /><Relationship Type="http://schemas.openxmlformats.org/officeDocument/2006/relationships/hyperlink" Target="https://mstgolf.co.th/products/gf2000106574" TargetMode="External" Id="rId3595" /><Relationship Type="http://schemas.openxmlformats.org/officeDocument/2006/relationships/hyperlink" Target="https://mstgolf.co.th/products/gf2000106575" TargetMode="External" Id="rId3596" /><Relationship Type="http://schemas.openxmlformats.org/officeDocument/2006/relationships/hyperlink" Target="https://mstgolf.co.th/products/gf2000106576" TargetMode="External" Id="rId3597" /><Relationship Type="http://schemas.openxmlformats.org/officeDocument/2006/relationships/hyperlink" Target="https://mstgolf.co.th/products/gf2000201140" TargetMode="External" Id="rId3598" /><Relationship Type="http://schemas.openxmlformats.org/officeDocument/2006/relationships/hyperlink" Target="https://mstgolf.co.th/products/gf2000106748" TargetMode="External" Id="rId3599" /><Relationship Type="http://schemas.openxmlformats.org/officeDocument/2006/relationships/hyperlink" Target="https://mstgolf.co.th/products/gf2000106757" TargetMode="External" Id="rId3600" /><Relationship Type="http://schemas.openxmlformats.org/officeDocument/2006/relationships/hyperlink" Target="https://mstgolf.co.th/products/gf2000106756" TargetMode="External" Id="rId3601" /><Relationship Type="http://schemas.openxmlformats.org/officeDocument/2006/relationships/hyperlink" Target="https://mstgolf.co.th/products/gf2040119420" TargetMode="External" Id="rId3602" /><Relationship Type="http://schemas.openxmlformats.org/officeDocument/2006/relationships/hyperlink" Target="https://mstgolf.co.th/products/gf2040119415" TargetMode="External" Id="rId3603" /><Relationship Type="http://schemas.openxmlformats.org/officeDocument/2006/relationships/hyperlink" Target="https://mstgolf.co.th/products/gf2040119487" TargetMode="External" Id="rId3604" /><Relationship Type="http://schemas.openxmlformats.org/officeDocument/2006/relationships/hyperlink" Target="https://mstgolf.co.th/products/gf2040119418" TargetMode="External" Id="rId3605" /><Relationship Type="http://schemas.openxmlformats.org/officeDocument/2006/relationships/hyperlink" Target="https://mstgolf.co.th/products/gf2040115666" TargetMode="External" Id="rId3606" /><Relationship Type="http://schemas.openxmlformats.org/officeDocument/2006/relationships/hyperlink" Target="https://mstgolf.co.th/products/gf2040115664" TargetMode="External" Id="rId3607" /><Relationship Type="http://schemas.openxmlformats.org/officeDocument/2006/relationships/hyperlink" Target="https://mstgolf.co.th/products/gf2020102272" TargetMode="External" Id="rId3608" /><Relationship Type="http://schemas.openxmlformats.org/officeDocument/2006/relationships/hyperlink" Target="https://mstgolf.co.th/products/gf2020102271" TargetMode="External" Id="rId3609" /><Relationship Type="http://schemas.openxmlformats.org/officeDocument/2006/relationships/hyperlink" Target="https://mstgolf.co.th/products/gf2060100961" TargetMode="External" Id="rId3610" /><Relationship Type="http://schemas.openxmlformats.org/officeDocument/2006/relationships/hyperlink" Target="https://mstgolf.co.th/products/gf2020202377" TargetMode="External" Id="rId3611" /><Relationship Type="http://schemas.openxmlformats.org/officeDocument/2006/relationships/hyperlink" Target="https://mstgolf.co.th/products/gf2020202376" TargetMode="External" Id="rId3612" /><Relationship Type="http://schemas.openxmlformats.org/officeDocument/2006/relationships/hyperlink" Target="https://mstgolf.co.th/products/gf2020202212" TargetMode="External" Id="rId3613" /><Relationship Type="http://schemas.openxmlformats.org/officeDocument/2006/relationships/hyperlink" Target="https://mstgolf.co.th/products/gf2020202203" TargetMode="External" Id="rId3614" /><Relationship Type="http://schemas.openxmlformats.org/officeDocument/2006/relationships/hyperlink" Target="https://mstgolf.co.th/products/gf2020202363" TargetMode="External" Id="rId3615" /><Relationship Type="http://schemas.openxmlformats.org/officeDocument/2006/relationships/hyperlink" Target="https://mstgolf.co.th/products/gf2020202362" TargetMode="External" Id="rId3616" /><Relationship Type="http://schemas.openxmlformats.org/officeDocument/2006/relationships/hyperlink" Target="https://mstgolf.co.th/products/gf2040119387" TargetMode="External" Id="rId3617" /><Relationship Type="http://schemas.openxmlformats.org/officeDocument/2006/relationships/hyperlink" Target="https://mstgolf.co.th/products/gf2040119385" TargetMode="External" Id="rId3618" /><Relationship Type="http://schemas.openxmlformats.org/officeDocument/2006/relationships/hyperlink" Target="https://mstgolf.co.th/products/gf2040119386" TargetMode="External" Id="rId3619" /><Relationship Type="http://schemas.openxmlformats.org/officeDocument/2006/relationships/hyperlink" Target="https://mstgolf.co.th/products/gf2020202384" TargetMode="External" Id="rId3620" /><Relationship Type="http://schemas.openxmlformats.org/officeDocument/2006/relationships/hyperlink" Target="https://mstgolf.co.th/products/gf2040400976" TargetMode="External" Id="rId3621" /><Relationship Type="http://schemas.openxmlformats.org/officeDocument/2006/relationships/hyperlink" Target="https://mstgolf.co.th/products/gf2040401166" TargetMode="External" Id="rId3622" /><Relationship Type="http://schemas.openxmlformats.org/officeDocument/2006/relationships/hyperlink" Target="https://mstgolf.co.th/products/gf2040401067" TargetMode="External" Id="rId3623" /><Relationship Type="http://schemas.openxmlformats.org/officeDocument/2006/relationships/hyperlink" Target="https://mstgolf.co.th/products/gf2040401066" TargetMode="External" Id="rId3624" /><Relationship Type="http://schemas.openxmlformats.org/officeDocument/2006/relationships/hyperlink" Target="https://mstgolf.co.th/products/gf2060100970" TargetMode="External" Id="rId3625" /><Relationship Type="http://schemas.openxmlformats.org/officeDocument/2006/relationships/hyperlink" Target="https://mstgolf.co.th/products/gf2020102249" TargetMode="External" Id="rId3626" /><Relationship Type="http://schemas.openxmlformats.org/officeDocument/2006/relationships/hyperlink" Target="https://mstgolf.co.th/products/gf2020202358" TargetMode="External" Id="rId3627" /><Relationship Type="http://schemas.openxmlformats.org/officeDocument/2006/relationships/hyperlink" Target="https://mstgolf.co.th/products/gf2060100972" TargetMode="External" Id="rId3628" /><Relationship Type="http://schemas.openxmlformats.org/officeDocument/2006/relationships/hyperlink" Target="https://mstgolf.co.th/products/gf2020202366" TargetMode="External" Id="rId3629" /><Relationship Type="http://schemas.openxmlformats.org/officeDocument/2006/relationships/hyperlink" Target="https://mstgolf.co.th/products/gf2040117597" TargetMode="External" Id="rId3630" /><Relationship Type="http://schemas.openxmlformats.org/officeDocument/2006/relationships/hyperlink" Target="https://mstgolf.co.th/products/gf2040117610" TargetMode="External" Id="rId3631" /><Relationship Type="http://schemas.openxmlformats.org/officeDocument/2006/relationships/hyperlink" Target="https://mstgolf.co.th/products/gf2040117611" TargetMode="External" Id="rId3632" /><Relationship Type="http://schemas.openxmlformats.org/officeDocument/2006/relationships/hyperlink" Target="https://mstgolf.co.th/products/gf2040115667" TargetMode="External" Id="rId3633" /><Relationship Type="http://schemas.openxmlformats.org/officeDocument/2006/relationships/hyperlink" Target="https://mstgolf.co.th/products/gf2020102252" TargetMode="External" Id="rId3634" /><Relationship Type="http://schemas.openxmlformats.org/officeDocument/2006/relationships/hyperlink" Target="https://mstgolf.co.th/products/gf2020102123" TargetMode="External" Id="rId3635" /><Relationship Type="http://schemas.openxmlformats.org/officeDocument/2006/relationships/hyperlink" Target="https://mstgolf.co.th/products/gf2020102253" TargetMode="External" Id="rId3636" /><Relationship Type="http://schemas.openxmlformats.org/officeDocument/2006/relationships/hyperlink" Target="https://mstgolf.co.th/products/gf2020202388" TargetMode="External" Id="rId3637" /><Relationship Type="http://schemas.openxmlformats.org/officeDocument/2006/relationships/hyperlink" Target="https://mstgolf.co.th/products/gf2020202387" TargetMode="External" Id="rId3638" /><Relationship Type="http://schemas.openxmlformats.org/officeDocument/2006/relationships/hyperlink" Target="https://mstgolf.co.th/products/gf2040401061" TargetMode="External" Id="rId3639" /><Relationship Type="http://schemas.openxmlformats.org/officeDocument/2006/relationships/hyperlink" Target="https://mstgolf.co.th/products/gf2040115668" TargetMode="External" Id="rId3640" /><Relationship Type="http://schemas.openxmlformats.org/officeDocument/2006/relationships/hyperlink" Target="https://mstgolf.co.th/products/gf2020102121" TargetMode="External" Id="rId3641" /><Relationship Type="http://schemas.openxmlformats.org/officeDocument/2006/relationships/hyperlink" Target="https://mstgolf.co.th/products/gf2020102377" TargetMode="External" Id="rId3642" /><Relationship Type="http://schemas.openxmlformats.org/officeDocument/2006/relationships/hyperlink" Target="https://mstgolf.co.th/products/gf2070400101" TargetMode="External" Id="rId3643" /><Relationship Type="http://schemas.openxmlformats.org/officeDocument/2006/relationships/hyperlink" Target="https://mstgolf.co.th/products/gf2040300173" TargetMode="External" Id="rId3644" /><Relationship Type="http://schemas.openxmlformats.org/officeDocument/2006/relationships/hyperlink" Target="https://mstgolf.co.th/products/gf2040115761" TargetMode="External" Id="rId3645" /><Relationship Type="http://schemas.openxmlformats.org/officeDocument/2006/relationships/hyperlink" Target="https://mstgolf.co.th/products/gf2040115760" TargetMode="External" Id="rId3646" /><Relationship Type="http://schemas.openxmlformats.org/officeDocument/2006/relationships/hyperlink" Target="https://mstgolf.co.th/products/gf2020202360" TargetMode="External" Id="rId3647" /><Relationship Type="http://schemas.openxmlformats.org/officeDocument/2006/relationships/hyperlink" Target="https://mstgolf.co.th/products/gf2020202361" TargetMode="External" Id="rId3648" /><Relationship Type="http://schemas.openxmlformats.org/officeDocument/2006/relationships/hyperlink" Target="https://mstgolf.co.th/products/gf2020202389" TargetMode="External" Id="rId3649" /><Relationship Type="http://schemas.openxmlformats.org/officeDocument/2006/relationships/hyperlink" Target="https://mstgolf.co.th/products/gf2040120562" TargetMode="External" Id="rId3650" /><Relationship Type="http://schemas.openxmlformats.org/officeDocument/2006/relationships/hyperlink" Target="https://mstgolf.co.th/products/gf2040116591" TargetMode="External" Id="rId3651" /><Relationship Type="http://schemas.openxmlformats.org/officeDocument/2006/relationships/hyperlink" Target="https://mstgolf.co.th/products/gf2040118589" TargetMode="External" Id="rId3652" /><Relationship Type="http://schemas.openxmlformats.org/officeDocument/2006/relationships/hyperlink" Target="https://mstgolf.co.th/products/gf2040118415" TargetMode="External" Id="rId3653" /><Relationship Type="http://schemas.openxmlformats.org/officeDocument/2006/relationships/hyperlink" Target="https://mstgolf.co.th/products/gf2020102260" TargetMode="External" Id="rId3654" /><Relationship Type="http://schemas.openxmlformats.org/officeDocument/2006/relationships/hyperlink" Target="https://mstgolf.co.th/products/gf2020102378" TargetMode="External" Id="rId3655" /><Relationship Type="http://schemas.openxmlformats.org/officeDocument/2006/relationships/hyperlink" Target="https://mstgolf.co.th/products/gf2040117601" TargetMode="External" Id="rId3656" /><Relationship Type="http://schemas.openxmlformats.org/officeDocument/2006/relationships/hyperlink" Target="https://mstgolf.co.th/products/gf2040118437" TargetMode="External" Id="rId3657" /><Relationship Type="http://schemas.openxmlformats.org/officeDocument/2006/relationships/hyperlink" Target="https://mstgolf.co.th/products/gf2040118566" TargetMode="External" Id="rId3658" /><Relationship Type="http://schemas.openxmlformats.org/officeDocument/2006/relationships/hyperlink" Target="https://mstgolf.co.th/products/gf2020102388" TargetMode="External" Id="rId3659" /><Relationship Type="http://schemas.openxmlformats.org/officeDocument/2006/relationships/hyperlink" Target="https://mstgolf.co.th/products/gf2040120566" TargetMode="External" Id="rId3660" /><Relationship Type="http://schemas.openxmlformats.org/officeDocument/2006/relationships/hyperlink" Target="https://mstgolf.co.th/products/gf2040120563" TargetMode="External" Id="rId3661" /><Relationship Type="http://schemas.openxmlformats.org/officeDocument/2006/relationships/hyperlink" Target="https://mstgolf.co.th/products/gf2040120564" TargetMode="External" Id="rId3662" /><Relationship Type="http://schemas.openxmlformats.org/officeDocument/2006/relationships/hyperlink" Target="https://mstgolf.co.th/products/gf2040119467" TargetMode="External" Id="rId3663" /><Relationship Type="http://schemas.openxmlformats.org/officeDocument/2006/relationships/hyperlink" Target="https://mstgolf.co.th/products/gf2000300442" TargetMode="External" Id="rId3664" /><Relationship Type="http://schemas.openxmlformats.org/officeDocument/2006/relationships/hyperlink" Target="https://mstgolf.co.th/products/gf2000300441" TargetMode="External" Id="rId3665" /><Relationship Type="http://schemas.openxmlformats.org/officeDocument/2006/relationships/hyperlink" Target="https://mstgolf.co.th/products/gf2020202236" TargetMode="External" Id="rId3666" /><Relationship Type="http://schemas.openxmlformats.org/officeDocument/2006/relationships/hyperlink" Target="https://mstgolf.co.th/products/gf3500200811" TargetMode="External" Id="rId3667" /><Relationship Type="http://schemas.openxmlformats.org/officeDocument/2006/relationships/hyperlink" Target="https://mstgolf.co.th/products/gf2040115388" TargetMode="External" Id="rId3668" /><Relationship Type="http://schemas.openxmlformats.org/officeDocument/2006/relationships/hyperlink" Target="https://mstgolf.co.th/products/gf2040401162" TargetMode="External" Id="rId3669" /><Relationship Type="http://schemas.openxmlformats.org/officeDocument/2006/relationships/hyperlink" Target="https://mstgolf.co.th/products/gf2040401161" TargetMode="External" Id="rId3670" /><Relationship Type="http://schemas.openxmlformats.org/officeDocument/2006/relationships/hyperlink" Target="https://mstgolf.co.th/products/gf2040115360" TargetMode="External" Id="rId3671" /><Relationship Type="http://schemas.openxmlformats.org/officeDocument/2006/relationships/hyperlink" Target="https://mstgolf.co.th/products/gf2070400096" TargetMode="External" Id="rId3672" /><Relationship Type="http://schemas.openxmlformats.org/officeDocument/2006/relationships/hyperlink" Target="https://mstgolf.co.th/products/gf2070400095" TargetMode="External" Id="rId3673" /><Relationship Type="http://schemas.openxmlformats.org/officeDocument/2006/relationships/hyperlink" Target="https://mstgolf.co.th/products/gf2040117505" TargetMode="External" Id="rId3674" /><Relationship Type="http://schemas.openxmlformats.org/officeDocument/2006/relationships/hyperlink" Target="https://mstgolf.co.th/products/gf2040115371" TargetMode="External" Id="rId3675" /><Relationship Type="http://schemas.openxmlformats.org/officeDocument/2006/relationships/hyperlink" Target="https://mstgolf.co.th/products/gf2040109925" TargetMode="External" Id="rId3676" /><Relationship Type="http://schemas.openxmlformats.org/officeDocument/2006/relationships/hyperlink" Target="https://mstgolf.co.th/products/gf2040117508" TargetMode="External" Id="rId3677" /><Relationship Type="http://schemas.openxmlformats.org/officeDocument/2006/relationships/hyperlink" Target="https://mstgolf.co.th/products/gf2040116362" TargetMode="External" Id="rId3678" /><Relationship Type="http://schemas.openxmlformats.org/officeDocument/2006/relationships/hyperlink" Target="https://mstgolf.co.th/products/gf2040118345" TargetMode="External" Id="rId3679" /><Relationship Type="http://schemas.openxmlformats.org/officeDocument/2006/relationships/hyperlink" Target="https://mstgolf.co.th/products/gf2040117321" TargetMode="External" Id="rId3680" /><Relationship Type="http://schemas.openxmlformats.org/officeDocument/2006/relationships/hyperlink" Target="https://mstgolf.co.th/products/gf2040116386" TargetMode="External" Id="rId3681" /><Relationship Type="http://schemas.openxmlformats.org/officeDocument/2006/relationships/hyperlink" Target="https://mstgolf.co.th/products/gf2040115082" TargetMode="External" Id="rId3682" /><Relationship Type="http://schemas.openxmlformats.org/officeDocument/2006/relationships/hyperlink" Target="https://mstgolf.co.th/products/gf2020201946" TargetMode="External" Id="rId3683" /><Relationship Type="http://schemas.openxmlformats.org/officeDocument/2006/relationships/hyperlink" Target="https://mstgolf.co.th/products/gf2020200790" TargetMode="External" Id="rId3684" /><Relationship Type="http://schemas.openxmlformats.org/officeDocument/2006/relationships/hyperlink" Target="https://mstgolf.co.th/products/gf2020200993" TargetMode="External" Id="rId3685" /><Relationship Type="http://schemas.openxmlformats.org/officeDocument/2006/relationships/hyperlink" Target="https://mstgolf.co.th/products/gf2040112841" TargetMode="External" Id="rId3686" /><Relationship Type="http://schemas.openxmlformats.org/officeDocument/2006/relationships/hyperlink" Target="https://mstgolf.co.th/products/gf2000200862" TargetMode="External" Id="rId3687" /><Relationship Type="http://schemas.openxmlformats.org/officeDocument/2006/relationships/hyperlink" Target="https://mstgolf.co.th/products/gf2000300355" TargetMode="External" Id="rId3688" /><Relationship Type="http://schemas.openxmlformats.org/officeDocument/2006/relationships/hyperlink" Target="https://mstgolf.co.th/products/gf2000105459" TargetMode="External" Id="rId3689" /><Relationship Type="http://schemas.openxmlformats.org/officeDocument/2006/relationships/hyperlink" Target="https://mstgolf.co.th/products/gf2000300282" TargetMode="External" Id="rId3690" /><Relationship Type="http://schemas.openxmlformats.org/officeDocument/2006/relationships/hyperlink" Target="https://mstgolf.co.th/products/gf2000200845" TargetMode="External" Id="rId3691" /><Relationship Type="http://schemas.openxmlformats.org/officeDocument/2006/relationships/hyperlink" Target="https://mstgolf.co.th/products/gf2000200844" TargetMode="External" Id="rId3692" /><Relationship Type="http://schemas.openxmlformats.org/officeDocument/2006/relationships/hyperlink" Target="https://mstgolf.co.th/products/gf2000200861" TargetMode="External" Id="rId3693" /><Relationship Type="http://schemas.openxmlformats.org/officeDocument/2006/relationships/hyperlink" Target="https://mstgolf.co.th/products/gf2000105042" TargetMode="External" Id="rId3694" /><Relationship Type="http://schemas.openxmlformats.org/officeDocument/2006/relationships/hyperlink" Target="https://mstgolf.co.th/products/gf2000105044" TargetMode="External" Id="rId3695" /><Relationship Type="http://schemas.openxmlformats.org/officeDocument/2006/relationships/hyperlink" Target="https://mstgolf.co.th/products/gf2000105043" TargetMode="External" Id="rId3696" /><Relationship Type="http://schemas.openxmlformats.org/officeDocument/2006/relationships/hyperlink" Target="https://mstgolf.co.th/products/gf2000105040" TargetMode="External" Id="rId3697" /><Relationship Type="http://schemas.openxmlformats.org/officeDocument/2006/relationships/hyperlink" Target="https://mstgolf.co.th/products/gf2000105507" TargetMode="External" Id="rId3698" /><Relationship Type="http://schemas.openxmlformats.org/officeDocument/2006/relationships/hyperlink" Target="https://mstgolf.co.th/products/gf2000105455" TargetMode="External" Id="rId3699" /><Relationship Type="http://schemas.openxmlformats.org/officeDocument/2006/relationships/hyperlink" Target="https://mstgolf.co.th/products/gf2000105454" TargetMode="External" Id="rId3700" /><Relationship Type="http://schemas.openxmlformats.org/officeDocument/2006/relationships/hyperlink" Target="https://mstgolf.co.th/products/gf2000105439" TargetMode="External" Id="rId3701" /><Relationship Type="http://schemas.openxmlformats.org/officeDocument/2006/relationships/hyperlink" Target="https://mstgolf.co.th/products/gf2000105045" TargetMode="External" Id="rId3702" /><Relationship Type="http://schemas.openxmlformats.org/officeDocument/2006/relationships/hyperlink" Target="https://mstgolf.co.th/products/gf2000200843" TargetMode="External" Id="rId3703" /><Relationship Type="http://schemas.openxmlformats.org/officeDocument/2006/relationships/hyperlink" Target="https://mstgolf.co.th/products/gf2000105050" TargetMode="External" Id="rId3704" /><Relationship Type="http://schemas.openxmlformats.org/officeDocument/2006/relationships/hyperlink" Target="https://mstgolf.co.th/products/gf2000105049" TargetMode="External" Id="rId3705" /><Relationship Type="http://schemas.openxmlformats.org/officeDocument/2006/relationships/hyperlink" Target="https://mstgolf.co.th/products/gf2000300266" TargetMode="External" Id="rId3706" /><Relationship Type="http://schemas.openxmlformats.org/officeDocument/2006/relationships/hyperlink" Target="https://mstgolf.co.th/products/gf2000300267" TargetMode="External" Id="rId3707" /><Relationship Type="http://schemas.openxmlformats.org/officeDocument/2006/relationships/hyperlink" Target="https://mstgolf.co.th/products/gf2000106626" TargetMode="External" Id="rId3708" /><Relationship Type="http://schemas.openxmlformats.org/officeDocument/2006/relationships/hyperlink" Target="https://mstgolf.co.th/products/gf2000106627" TargetMode="External" Id="rId3709" /><Relationship Type="http://schemas.openxmlformats.org/officeDocument/2006/relationships/hyperlink" Target="https://mstgolf.co.th/products/gf2000106659" TargetMode="External" Id="rId3710" /><Relationship Type="http://schemas.openxmlformats.org/officeDocument/2006/relationships/hyperlink" Target="https://mstgolf.co.th/products/gf2000106628" TargetMode="External" Id="rId3711" /><Relationship Type="http://schemas.openxmlformats.org/officeDocument/2006/relationships/hyperlink" Target="https://mstgolf.co.th/products/gf2040113046" TargetMode="External" Id="rId3712" /><Relationship Type="http://schemas.openxmlformats.org/officeDocument/2006/relationships/hyperlink" Target="https://mstgolf.co.th/products/gf2070400100" TargetMode="External" Id="rId3713" /><Relationship Type="http://schemas.openxmlformats.org/officeDocument/2006/relationships/hyperlink" Target="https://mstgolf.co.th/products/gf2000105932" TargetMode="External" Id="rId3714" /><Relationship Type="http://schemas.openxmlformats.org/officeDocument/2006/relationships/hyperlink" Target="https://mstgolf.co.th/products/gf2000105155" TargetMode="External" Id="rId3715" /><Relationship Type="http://schemas.openxmlformats.org/officeDocument/2006/relationships/hyperlink" Target="https://mstgolf.co.th/products/gf2000105207" TargetMode="External" Id="rId3716" /><Relationship Type="http://schemas.openxmlformats.org/officeDocument/2006/relationships/hyperlink" Target="https://mstgolf.co.th/products/gf2000105206" TargetMode="External" Id="rId3717" /><Relationship Type="http://schemas.openxmlformats.org/officeDocument/2006/relationships/hyperlink" Target="https://mstgolf.co.th/products/gf2020201986" TargetMode="External" Id="rId3718" /><Relationship Type="http://schemas.openxmlformats.org/officeDocument/2006/relationships/hyperlink" Target="https://mstgolf.co.th/products/gf2040113880" TargetMode="External" Id="rId3719" /><Relationship Type="http://schemas.openxmlformats.org/officeDocument/2006/relationships/hyperlink" Target="https://mstgolf.co.th/products/gf2040116643" TargetMode="External" Id="rId3720" /><Relationship Type="http://schemas.openxmlformats.org/officeDocument/2006/relationships/hyperlink" Target="https://mstgolf.co.th/products/gf2020201987" TargetMode="External" Id="rId3721" /><Relationship Type="http://schemas.openxmlformats.org/officeDocument/2006/relationships/hyperlink" Target="https://mstgolf.co.th/products/gf2020201984" TargetMode="External" Id="rId3722" /><Relationship Type="http://schemas.openxmlformats.org/officeDocument/2006/relationships/hyperlink" Target="https://mstgolf.co.th/products/gf2020201982" TargetMode="External" Id="rId3723" /><Relationship Type="http://schemas.openxmlformats.org/officeDocument/2006/relationships/hyperlink" Target="https://mstgolf.co.th/products/gf2040116667" TargetMode="External" Id="rId3724" /><Relationship Type="http://schemas.openxmlformats.org/officeDocument/2006/relationships/hyperlink" Target="https://mstgolf.co.th/products/gf2020101265" TargetMode="External" Id="rId3725" /><Relationship Type="http://schemas.openxmlformats.org/officeDocument/2006/relationships/hyperlink" Target="https://mstgolf.co.th/products/gf2000105567" TargetMode="External" Id="rId3726" /><Relationship Type="http://schemas.openxmlformats.org/officeDocument/2006/relationships/hyperlink" Target="https://mstgolf.co.th/products/gf2040115108" TargetMode="External" Id="rId3727" /><Relationship Type="http://schemas.openxmlformats.org/officeDocument/2006/relationships/hyperlink" Target="https://mstgolf.co.th/products/gf2040116661" TargetMode="External" Id="rId3728" /><Relationship Type="http://schemas.openxmlformats.org/officeDocument/2006/relationships/hyperlink" Target="https://mstgolf.co.th/products/gf2040116660" TargetMode="External" Id="rId3729" /><Relationship Type="http://schemas.openxmlformats.org/officeDocument/2006/relationships/hyperlink" Target="https://mstgolf.co.th/products/gf2040120267" TargetMode="External" Id="rId3730" /><Relationship Type="http://schemas.openxmlformats.org/officeDocument/2006/relationships/hyperlink" Target="https://mstgolf.co.th/products/gf2040116653" TargetMode="External" Id="rId3731" /><Relationship Type="http://schemas.openxmlformats.org/officeDocument/2006/relationships/hyperlink" Target="https://mstgolf.co.th/products/gf2000105769" TargetMode="External" Id="rId3732" /><Relationship Type="http://schemas.openxmlformats.org/officeDocument/2006/relationships/hyperlink" Target="https://mstgolf.co.th/products/gf2000105771" TargetMode="External" Id="rId3733" /><Relationship Type="http://schemas.openxmlformats.org/officeDocument/2006/relationships/hyperlink" Target="https://mstgolf.co.th/products/gf2000105768" TargetMode="External" Id="rId3734" /><Relationship Type="http://schemas.openxmlformats.org/officeDocument/2006/relationships/hyperlink" Target="https://mstgolf.co.th/products/gf2020202022" TargetMode="External" Id="rId3735" /><Relationship Type="http://schemas.openxmlformats.org/officeDocument/2006/relationships/hyperlink" Target="https://mstgolf.co.th/products/gf2000300339" TargetMode="External" Id="rId3736" /><Relationship Type="http://schemas.openxmlformats.org/officeDocument/2006/relationships/hyperlink" Target="https://mstgolf.co.th/products/gf2020202243" TargetMode="External" Id="rId3737" /><Relationship Type="http://schemas.openxmlformats.org/officeDocument/2006/relationships/hyperlink" Target="https://mstgolf.co.th/products/gf2000105098" TargetMode="External" Id="rId3738" /><Relationship Type="http://schemas.openxmlformats.org/officeDocument/2006/relationships/hyperlink" Target="https://mstgolf.co.th/products/gf2020201873" TargetMode="External" Id="rId3739" /><Relationship Type="http://schemas.openxmlformats.org/officeDocument/2006/relationships/hyperlink" Target="https://mstgolf.co.th/products/gf2040119251" TargetMode="External" Id="rId3740" /><Relationship Type="http://schemas.openxmlformats.org/officeDocument/2006/relationships/hyperlink" Target="https://mstgolf.co.th/products/gf2000105113" TargetMode="External" Id="rId3741" /><Relationship Type="http://schemas.openxmlformats.org/officeDocument/2006/relationships/hyperlink" Target="https://mstgolf.co.th/products/gf2000105112" TargetMode="External" Id="rId3742" /><Relationship Type="http://schemas.openxmlformats.org/officeDocument/2006/relationships/hyperlink" Target="https://mstgolf.co.th/products/gf2000105114" TargetMode="External" Id="rId3743" /><Relationship Type="http://schemas.openxmlformats.org/officeDocument/2006/relationships/hyperlink" Target="https://mstgolf.co.th/products/gf2000106229" TargetMode="External" Id="rId3744" /><Relationship Type="http://schemas.openxmlformats.org/officeDocument/2006/relationships/hyperlink" Target="https://mstgolf.co.th/products/gf2000106230" TargetMode="External" Id="rId3745" /><Relationship Type="http://schemas.openxmlformats.org/officeDocument/2006/relationships/hyperlink" Target="https://mstgolf.co.th/products/gf2000200974" TargetMode="External" Id="rId3746" /><Relationship Type="http://schemas.openxmlformats.org/officeDocument/2006/relationships/hyperlink" Target="https://mstgolf.co.th/products/gf2000105111" TargetMode="External" Id="rId3747" /><Relationship Type="http://schemas.openxmlformats.org/officeDocument/2006/relationships/hyperlink" Target="https://mstgolf.co.th/products/gf2000105110" TargetMode="External" Id="rId3748" /><Relationship Type="http://schemas.openxmlformats.org/officeDocument/2006/relationships/hyperlink" Target="https://mstgolf.co.th/products/gf2000105117" TargetMode="External" Id="rId3749" /><Relationship Type="http://schemas.openxmlformats.org/officeDocument/2006/relationships/hyperlink" Target="https://mstgolf.co.th/products/gf2040116640" TargetMode="External" Id="rId3750" /><Relationship Type="http://schemas.openxmlformats.org/officeDocument/2006/relationships/hyperlink" Target="https://mstgolf.co.th/products/gf2020202241" TargetMode="External" Id="rId3751" /><Relationship Type="http://schemas.openxmlformats.org/officeDocument/2006/relationships/hyperlink" Target="https://mstgolf.co.th/products/gf2040117410" TargetMode="External" Id="rId3752" /><Relationship Type="http://schemas.openxmlformats.org/officeDocument/2006/relationships/hyperlink" Target="https://mstgolf.co.th/products/gf2000105226" TargetMode="External" Id="rId3753" /><Relationship Type="http://schemas.openxmlformats.org/officeDocument/2006/relationships/hyperlink" Target="https://mstgolf.co.th/products/gf2000300200" TargetMode="External" Id="rId3754" /><Relationship Type="http://schemas.openxmlformats.org/officeDocument/2006/relationships/hyperlink" Target="https://mstgolf.co.th/products/gf3500201228" TargetMode="External" Id="rId3755" /><Relationship Type="http://schemas.openxmlformats.org/officeDocument/2006/relationships/hyperlink" Target="https://mstgolf.co.th/products/gf2000105286" TargetMode="External" Id="rId3756" /><Relationship Type="http://schemas.openxmlformats.org/officeDocument/2006/relationships/hyperlink" Target="https://mstgolf.co.th/products/gf2000105285" TargetMode="External" Id="rId3757" /><Relationship Type="http://schemas.openxmlformats.org/officeDocument/2006/relationships/hyperlink" Target="https://mstgolf.co.th/products/gf3500201568" TargetMode="External" Id="rId3758" /><Relationship Type="http://schemas.openxmlformats.org/officeDocument/2006/relationships/hyperlink" Target="https://mstgolf.co.th/products/gf3500201571" TargetMode="External" Id="rId3759" /><Relationship Type="http://schemas.openxmlformats.org/officeDocument/2006/relationships/hyperlink" Target="https://mstgolf.co.th/products/gf2000300298" TargetMode="External" Id="rId3760" /><Relationship Type="http://schemas.openxmlformats.org/officeDocument/2006/relationships/hyperlink" Target="https://mstgolf.co.th/products/gf2000300296" TargetMode="External" Id="rId3761" /><Relationship Type="http://schemas.openxmlformats.org/officeDocument/2006/relationships/hyperlink" Target="https://mstgolf.co.th/products/gf2000106318" TargetMode="External" Id="rId3762" /><Relationship Type="http://schemas.openxmlformats.org/officeDocument/2006/relationships/hyperlink" Target="https://mstgolf.co.th/products/gf2000106315" TargetMode="External" Id="rId3763" /><Relationship Type="http://schemas.openxmlformats.org/officeDocument/2006/relationships/hyperlink" Target="https://mstgolf.co.th/products/gf2000106319" TargetMode="External" Id="rId3764" /><Relationship Type="http://schemas.openxmlformats.org/officeDocument/2006/relationships/hyperlink" Target="https://mstgolf.co.th/products/gf2000106317" TargetMode="External" Id="rId3765" /><Relationship Type="http://schemas.openxmlformats.org/officeDocument/2006/relationships/hyperlink" Target="https://mstgolf.co.th/products/gf2000105301" TargetMode="External" Id="rId3766" /><Relationship Type="http://schemas.openxmlformats.org/officeDocument/2006/relationships/hyperlink" Target="https://mstgolf.co.th/products/gf2000105299" TargetMode="External" Id="rId3767" /><Relationship Type="http://schemas.openxmlformats.org/officeDocument/2006/relationships/hyperlink" Target="https://mstgolf.co.th/products/gf3500300778" TargetMode="External" Id="rId3768" /><Relationship Type="http://schemas.openxmlformats.org/officeDocument/2006/relationships/hyperlink" Target="https://mstgolf.co.th/products/gf2000105291" TargetMode="External" Id="rId3769" /><Relationship Type="http://schemas.openxmlformats.org/officeDocument/2006/relationships/hyperlink" Target="https://mstgolf.co.th/products/gf2000106323" TargetMode="External" Id="rId3770" /><Relationship Type="http://schemas.openxmlformats.org/officeDocument/2006/relationships/hyperlink" Target="https://mstgolf.co.th/products/gf2000106322" TargetMode="External" Id="rId3771" /><Relationship Type="http://schemas.openxmlformats.org/officeDocument/2006/relationships/hyperlink" Target="https://mstgolf.co.th/products/gf2040120412" TargetMode="External" Id="rId3772" /><Relationship Type="http://schemas.openxmlformats.org/officeDocument/2006/relationships/hyperlink" Target="https://mstgolf.co.th/products/gf2040118387" TargetMode="External" Id="rId3773" /><Relationship Type="http://schemas.openxmlformats.org/officeDocument/2006/relationships/hyperlink" Target="https://mstgolf.co.th/products/gf2000106266" TargetMode="External" Id="rId3774" /><Relationship Type="http://schemas.openxmlformats.org/officeDocument/2006/relationships/hyperlink" Target="https://mstgolf.co.th/products/gf2000105060" TargetMode="External" Id="rId3775" /><Relationship Type="http://schemas.openxmlformats.org/officeDocument/2006/relationships/hyperlink" Target="https://mstgolf.co.th/products/gf2000105604" TargetMode="External" Id="rId3776" /><Relationship Type="http://schemas.openxmlformats.org/officeDocument/2006/relationships/hyperlink" Target="https://mstgolf.co.th/products/gf2000105059" TargetMode="External" Id="rId3777" /><Relationship Type="http://schemas.openxmlformats.org/officeDocument/2006/relationships/hyperlink" Target="https://mstgolf.co.th/products/gf2040120396" TargetMode="External" Id="rId3778" /><Relationship Type="http://schemas.openxmlformats.org/officeDocument/2006/relationships/hyperlink" Target="https://mstgolf.co.th/products/gf2040117223" TargetMode="External" Id="rId3779" /><Relationship Type="http://schemas.openxmlformats.org/officeDocument/2006/relationships/hyperlink" Target="https://mstgolf.co.th/products/gf2000300371" TargetMode="External" Id="rId3780" /><Relationship Type="http://schemas.openxmlformats.org/officeDocument/2006/relationships/hyperlink" Target="https://mstgolf.co.th/products/gf2000300370" TargetMode="External" Id="rId3781" /><Relationship Type="http://schemas.openxmlformats.org/officeDocument/2006/relationships/hyperlink" Target="https://mstgolf.co.th/products/gf2040113373" TargetMode="External" Id="rId3782" /><Relationship Type="http://schemas.openxmlformats.org/officeDocument/2006/relationships/hyperlink" Target="https://mstgolf.co.th/products/gf2040112563" TargetMode="External" Id="rId3783" /><Relationship Type="http://schemas.openxmlformats.org/officeDocument/2006/relationships/hyperlink" Target="https://mstgolf.co.th/products/gf2000106281" TargetMode="External" Id="rId3784" /><Relationship Type="http://schemas.openxmlformats.org/officeDocument/2006/relationships/hyperlink" Target="https://mstgolf.co.th/products/gf2000106282" TargetMode="External" Id="rId3785" /><Relationship Type="http://schemas.openxmlformats.org/officeDocument/2006/relationships/hyperlink" Target="https://mstgolf.co.th/products/gf2000106283" TargetMode="External" Id="rId3786" /><Relationship Type="http://schemas.openxmlformats.org/officeDocument/2006/relationships/hyperlink" Target="https://mstgolf.co.th/products/gf2000106284" TargetMode="External" Id="rId3787" /><Relationship Type="http://schemas.openxmlformats.org/officeDocument/2006/relationships/hyperlink" Target="https://mstgolf.co.th/products/gf2000201044" TargetMode="External" Id="rId3788" /><Relationship Type="http://schemas.openxmlformats.org/officeDocument/2006/relationships/hyperlink" Target="https://mstgolf.co.th/products/gf2000201045" TargetMode="External" Id="rId3789" /><Relationship Type="http://schemas.openxmlformats.org/officeDocument/2006/relationships/hyperlink" Target="https://mstgolf.co.th/products/gf2000201046" TargetMode="External" Id="rId3790" /><Relationship Type="http://schemas.openxmlformats.org/officeDocument/2006/relationships/hyperlink" Target="https://mstgolf.co.th/products/gf2000106287" TargetMode="External" Id="rId3791" /><Relationship Type="http://schemas.openxmlformats.org/officeDocument/2006/relationships/hyperlink" Target="https://mstgolf.co.th/products/gf2040119434" TargetMode="External" Id="rId3792" /><Relationship Type="http://schemas.openxmlformats.org/officeDocument/2006/relationships/hyperlink" Target="https://mstgolf.co.th/products/gf2040119437" TargetMode="External" Id="rId3793" /><Relationship Type="http://schemas.openxmlformats.org/officeDocument/2006/relationships/hyperlink" Target="https://mstgolf.co.th/products/gf2040119452" TargetMode="External" Id="rId3794" /><Relationship Type="http://schemas.openxmlformats.org/officeDocument/2006/relationships/hyperlink" Target="https://mstgolf.co.th/products/gf2040119442" TargetMode="External" Id="rId3795" /><Relationship Type="http://schemas.openxmlformats.org/officeDocument/2006/relationships/hyperlink" Target="https://mstgolf.co.th/products/gf2040119427" TargetMode="External" Id="rId3796" /><Relationship Type="http://schemas.openxmlformats.org/officeDocument/2006/relationships/hyperlink" Target="https://mstgolf.co.th/products/gf2040119426" TargetMode="External" Id="rId3797" /><Relationship Type="http://schemas.openxmlformats.org/officeDocument/2006/relationships/hyperlink" Target="https://mstgolf.co.th/products/gf2040119438" TargetMode="External" Id="rId3798" /><Relationship Type="http://schemas.openxmlformats.org/officeDocument/2006/relationships/hyperlink" Target="https://mstgolf.co.th/products/gf2040115015" TargetMode="External" Id="rId3799" /><Relationship Type="http://schemas.openxmlformats.org/officeDocument/2006/relationships/hyperlink" Target="https://mstgolf.co.th/products/gf2000201041" TargetMode="External" Id="rId3800" /><Relationship Type="http://schemas.openxmlformats.org/officeDocument/2006/relationships/hyperlink" Target="https://mstgolf.co.th/products/gf2040115491" TargetMode="External" Id="rId3801" /><Relationship Type="http://schemas.openxmlformats.org/officeDocument/2006/relationships/hyperlink" Target="https://mstgolf.co.th/products/gf2040117222" TargetMode="External" Id="rId3802" /><Relationship Type="http://schemas.openxmlformats.org/officeDocument/2006/relationships/hyperlink" Target="https://mstgolf.co.th/products/gf2040112084" TargetMode="External" Id="rId3803" /><Relationship Type="http://schemas.openxmlformats.org/officeDocument/2006/relationships/hyperlink" Target="https://mstgolf.co.th/products/gf2040113357" TargetMode="External" Id="rId3804" /><Relationship Type="http://schemas.openxmlformats.org/officeDocument/2006/relationships/hyperlink" Target="https://mstgolf.co.th/products/gf2040115429" TargetMode="External" Id="rId3805" /><Relationship Type="http://schemas.openxmlformats.org/officeDocument/2006/relationships/hyperlink" Target="https://mstgolf.co.th/products/gf2040113978" TargetMode="External" Id="rId3806" /><Relationship Type="http://schemas.openxmlformats.org/officeDocument/2006/relationships/hyperlink" Target="https://mstgolf.co.th/products/gf2000106583" TargetMode="External" Id="rId3807" /><Relationship Type="http://schemas.openxmlformats.org/officeDocument/2006/relationships/hyperlink" Target="https://mstgolf.co.th/products/gf2040118424" TargetMode="External" Id="rId3808" /><Relationship Type="http://schemas.openxmlformats.org/officeDocument/2006/relationships/hyperlink" Target="https://mstgolf.co.th/products/gf2040114325" TargetMode="External" Id="rId3809" /><Relationship Type="http://schemas.openxmlformats.org/officeDocument/2006/relationships/hyperlink" Target="https://mstgolf.co.th/products/gf2040115735" TargetMode="External" Id="rId3810" /><Relationship Type="http://schemas.openxmlformats.org/officeDocument/2006/relationships/hyperlink" Target="https://mstgolf.co.th/products/gf2040115734" TargetMode="External" Id="rId3811" /><Relationship Type="http://schemas.openxmlformats.org/officeDocument/2006/relationships/hyperlink" Target="https://mstgolf.co.th/products/gf2000106581" TargetMode="External" Id="rId3812" /><Relationship Type="http://schemas.openxmlformats.org/officeDocument/2006/relationships/hyperlink" Target="https://mstgolf.co.th/products/gf2000106580" TargetMode="External" Id="rId3813" /><Relationship Type="http://schemas.openxmlformats.org/officeDocument/2006/relationships/hyperlink" Target="https://mstgolf.co.th/products/gf2000106582" TargetMode="External" Id="rId3814" /><Relationship Type="http://schemas.openxmlformats.org/officeDocument/2006/relationships/hyperlink" Target="https://mstgolf.co.th/products/gf2000106745" TargetMode="External" Id="rId3815" /><Relationship Type="http://schemas.openxmlformats.org/officeDocument/2006/relationships/hyperlink" Target="https://mstgolf.co.th/products/gf2020102389" TargetMode="External" Id="rId3816" /><Relationship Type="http://schemas.openxmlformats.org/officeDocument/2006/relationships/hyperlink" Target="https://mstgolf.co.th/products/gf2040117614" TargetMode="External" Id="rId3817" /><Relationship Type="http://schemas.openxmlformats.org/officeDocument/2006/relationships/hyperlink" Target="https://mstgolf.co.th/products/gf2040117628" TargetMode="External" Id="rId3818" /><Relationship Type="http://schemas.openxmlformats.org/officeDocument/2006/relationships/hyperlink" Target="https://mstgolf.co.th/products/gf2020202369" TargetMode="External" Id="rId3819" /><Relationship Type="http://schemas.openxmlformats.org/officeDocument/2006/relationships/hyperlink" Target="https://mstgolf.co.th/products/gf2040117647" TargetMode="External" Id="rId3820" /><Relationship Type="http://schemas.openxmlformats.org/officeDocument/2006/relationships/hyperlink" Target="https://mstgolf.co.th/products/gf2040117646" TargetMode="External" Id="rId3821" /><Relationship Type="http://schemas.openxmlformats.org/officeDocument/2006/relationships/hyperlink" Target="https://mstgolf.co.th/products/gf2040401169" TargetMode="External" Id="rId3822" /><Relationship Type="http://schemas.openxmlformats.org/officeDocument/2006/relationships/hyperlink" Target="https://mstgolf.co.th/products/gf2040401170" TargetMode="External" Id="rId3823" /><Relationship Type="http://schemas.openxmlformats.org/officeDocument/2006/relationships/hyperlink" Target="https://mstgolf.co.th/products/gf2040117642" TargetMode="External" Id="rId3824" /><Relationship Type="http://schemas.openxmlformats.org/officeDocument/2006/relationships/hyperlink" Target="https://mstgolf.co.th/products/gf2040117641" TargetMode="External" Id="rId3825" /><Relationship Type="http://schemas.openxmlformats.org/officeDocument/2006/relationships/hyperlink" Target="https://mstgolf.co.th/products/gf2040115840" TargetMode="External" Id="rId3826" /><Relationship Type="http://schemas.openxmlformats.org/officeDocument/2006/relationships/hyperlink" Target="https://mstgolf.co.th/products/gf2040118571" TargetMode="External" Id="rId3827" /><Relationship Type="http://schemas.openxmlformats.org/officeDocument/2006/relationships/hyperlink" Target="https://mstgolf.co.th/products/gf2040118422" TargetMode="External" Id="rId3828" /><Relationship Type="http://schemas.openxmlformats.org/officeDocument/2006/relationships/hyperlink" Target="https://mstgolf.co.th/products/gf2000106164" TargetMode="External" Id="rId3829" /><Relationship Type="http://schemas.openxmlformats.org/officeDocument/2006/relationships/hyperlink" Target="https://mstgolf.co.th/products/gf2000106163" TargetMode="External" Id="rId3830" /><Relationship Type="http://schemas.openxmlformats.org/officeDocument/2006/relationships/hyperlink" Target="https://mstgolf.co.th/products/gf2000106162" TargetMode="External" Id="rId3831" /><Relationship Type="http://schemas.openxmlformats.org/officeDocument/2006/relationships/hyperlink" Target="https://mstgolf.co.th/products/gf2040116570" TargetMode="External" Id="rId3832" /><Relationship Type="http://schemas.openxmlformats.org/officeDocument/2006/relationships/hyperlink" Target="https://mstgolf.co.th/products/gf2040116432" TargetMode="External" Id="rId3833" /><Relationship Type="http://schemas.openxmlformats.org/officeDocument/2006/relationships/hyperlink" Target="https://mstgolf.co.th/products/gf2020202224" TargetMode="External" Id="rId3834" /><Relationship Type="http://schemas.openxmlformats.org/officeDocument/2006/relationships/hyperlink" Target="https://mstgolf.co.th/products/gf2020202225" TargetMode="External" Id="rId3835" /><Relationship Type="http://schemas.openxmlformats.org/officeDocument/2006/relationships/hyperlink" Target="https://mstgolf.co.th/products/gf2040116512" TargetMode="External" Id="rId3836" /><Relationship Type="http://schemas.openxmlformats.org/officeDocument/2006/relationships/hyperlink" Target="https://mstgolf.co.th/products/gf2000106578" TargetMode="External" Id="rId3837" /><Relationship Type="http://schemas.openxmlformats.org/officeDocument/2006/relationships/hyperlink" Target="https://mstgolf.co.th/products/gf2000106157" TargetMode="External" Id="rId3838" /><Relationship Type="http://schemas.openxmlformats.org/officeDocument/2006/relationships/hyperlink" Target="https://mstgolf.co.th/products/gf2000106577" TargetMode="External" Id="rId3839" /><Relationship Type="http://schemas.openxmlformats.org/officeDocument/2006/relationships/hyperlink" Target="https://mstgolf.co.th/products/gf2000106579" TargetMode="External" Id="rId3840" /><Relationship Type="http://schemas.openxmlformats.org/officeDocument/2006/relationships/hyperlink" Target="https://mstgolf.co.th/products/gf2020202151" TargetMode="External" Id="rId3841" /><Relationship Type="http://schemas.openxmlformats.org/officeDocument/2006/relationships/hyperlink" Target="https://mstgolf.co.th/products/gf2000106178" TargetMode="External" Id="rId3842" /><Relationship Type="http://schemas.openxmlformats.org/officeDocument/2006/relationships/hyperlink" Target="https://mstgolf.co.th/products/gf2000201028" TargetMode="External" Id="rId3843" /><Relationship Type="http://schemas.openxmlformats.org/officeDocument/2006/relationships/hyperlink" Target="https://mstgolf.co.th/products/gf2000106161" TargetMode="External" Id="rId3844" /><Relationship Type="http://schemas.openxmlformats.org/officeDocument/2006/relationships/hyperlink" Target="https://mstgolf.co.th/products/gf2000106166" TargetMode="External" Id="rId3845" /><Relationship Type="http://schemas.openxmlformats.org/officeDocument/2006/relationships/hyperlink" Target="https://mstgolf.co.th/products/gf2000106152" TargetMode="External" Id="rId3846" /><Relationship Type="http://schemas.openxmlformats.org/officeDocument/2006/relationships/hyperlink" Target="https://mstgolf.co.th/products/gf2000106586" TargetMode="External" Id="rId3847" /><Relationship Type="http://schemas.openxmlformats.org/officeDocument/2006/relationships/hyperlink" Target="https://mstgolf.co.th/products/gf2000106160" TargetMode="External" Id="rId3848" /><Relationship Type="http://schemas.openxmlformats.org/officeDocument/2006/relationships/hyperlink" Target="https://mstgolf.co.th/products/gf3500300800" TargetMode="External" Id="rId3849" /><Relationship Type="http://schemas.openxmlformats.org/officeDocument/2006/relationships/hyperlink" Target="https://mstgolf.co.th/products/gf2040401100" TargetMode="External" Id="rId3850" /><Relationship Type="http://schemas.openxmlformats.org/officeDocument/2006/relationships/hyperlink" Target="https://mstgolf.co.th/products/gf2080101389" TargetMode="External" Id="rId3851" /><Relationship Type="http://schemas.openxmlformats.org/officeDocument/2006/relationships/hyperlink" Target="https://mstgolf.co.th/products/gf2040115383" TargetMode="External" Id="rId3852" /><Relationship Type="http://schemas.openxmlformats.org/officeDocument/2006/relationships/hyperlink" Target="https://mstgolf.co.th/products/gf2040116899" TargetMode="External" Id="rId3853" /><Relationship Type="http://schemas.openxmlformats.org/officeDocument/2006/relationships/hyperlink" Target="https://mstgolf.co.th/products/gf2080100787" TargetMode="External" Id="rId3854" /><Relationship Type="http://schemas.openxmlformats.org/officeDocument/2006/relationships/hyperlink" Target="https://mstgolf.co.th/products/gf2040110263" TargetMode="External" Id="rId3855" /><Relationship Type="http://schemas.openxmlformats.org/officeDocument/2006/relationships/hyperlink" Target="https://mstgolf.co.th/products/gf2040109571" TargetMode="External" Id="rId3856" /><Relationship Type="http://schemas.openxmlformats.org/officeDocument/2006/relationships/hyperlink" Target="https://mstgolf.co.th/products/gf2040114248" TargetMode="External" Id="rId3857" /><Relationship Type="http://schemas.openxmlformats.org/officeDocument/2006/relationships/hyperlink" Target="https://mstgolf.co.th/products/gf3500200785" TargetMode="External" Id="rId3858" /><Relationship Type="http://schemas.openxmlformats.org/officeDocument/2006/relationships/hyperlink" Target="https://mstgolf.co.th/products/gf3500201574" TargetMode="External" Id="rId3859" /><Relationship Type="http://schemas.openxmlformats.org/officeDocument/2006/relationships/hyperlink" Target="https://mstgolf.co.th/products/gf3500201764" TargetMode="External" Id="rId3860" /><Relationship Type="http://schemas.openxmlformats.org/officeDocument/2006/relationships/hyperlink" Target="https://mstgolf.co.th/products/gf3500201763" TargetMode="External" Id="rId3861" /><Relationship Type="http://schemas.openxmlformats.org/officeDocument/2006/relationships/hyperlink" Target="https://mstgolf.co.th/products/gf3500201760" TargetMode="External" Id="rId3862" /><Relationship Type="http://schemas.openxmlformats.org/officeDocument/2006/relationships/hyperlink" Target="https://mstgolf.co.th/products/gf3500201762" TargetMode="External" Id="rId3863" /><Relationship Type="http://schemas.openxmlformats.org/officeDocument/2006/relationships/hyperlink" Target="https://mstgolf.co.th/products/gf3500200787" TargetMode="External" Id="rId3864" /><Relationship Type="http://schemas.openxmlformats.org/officeDocument/2006/relationships/hyperlink" Target="https://mstgolf.co.th/products/gf3500201576" TargetMode="External" Id="rId3865" /><Relationship Type="http://schemas.openxmlformats.org/officeDocument/2006/relationships/hyperlink" Target="https://mstgolf.co.th/products/gf3500200789" TargetMode="External" Id="rId3866" /><Relationship Type="http://schemas.openxmlformats.org/officeDocument/2006/relationships/hyperlink" Target="https://mstgolf.co.th/products/gf3500200790" TargetMode="External" Id="rId3867" /><Relationship Type="http://schemas.openxmlformats.org/officeDocument/2006/relationships/hyperlink" Target="https://mstgolf.co.th/products/gf3500201575" TargetMode="External" Id="rId3868" /><Relationship Type="http://schemas.openxmlformats.org/officeDocument/2006/relationships/hyperlink" Target="https://mstgolf.co.th/products/gf3500200795" TargetMode="External" Id="rId3869" /><Relationship Type="http://schemas.openxmlformats.org/officeDocument/2006/relationships/hyperlink" Target="https://mstgolf.co.th/products/gf3500201579" TargetMode="External" Id="rId3870" /><Relationship Type="http://schemas.openxmlformats.org/officeDocument/2006/relationships/hyperlink" Target="https://mstgolf.co.th/products/gf3500200800" TargetMode="External" Id="rId3871" /><Relationship Type="http://schemas.openxmlformats.org/officeDocument/2006/relationships/hyperlink" Target="https://mstgolf.co.th/products/gf2040200189" TargetMode="External" Id="rId3872" /><Relationship Type="http://schemas.openxmlformats.org/officeDocument/2006/relationships/hyperlink" Target="https://mstgolf.co.th/products/gf2040200191" TargetMode="External" Id="rId3873" /><Relationship Type="http://schemas.openxmlformats.org/officeDocument/2006/relationships/hyperlink" Target="https://mstgolf.co.th/products/gf2040200187" TargetMode="External" Id="rId3874" /><Relationship Type="http://schemas.openxmlformats.org/officeDocument/2006/relationships/hyperlink" Target="https://mstgolf.co.th/products/gf2040200188" TargetMode="External" Id="rId3875" /><Relationship Type="http://schemas.openxmlformats.org/officeDocument/2006/relationships/hyperlink" Target="https://mstgolf.co.th/products/gf2040200190" TargetMode="External" Id="rId3876" /><Relationship Type="http://schemas.openxmlformats.org/officeDocument/2006/relationships/hyperlink" Target="https://mstgolf.co.th/products/gf3500201627" TargetMode="External" Id="rId3877" /><Relationship Type="http://schemas.openxmlformats.org/officeDocument/2006/relationships/hyperlink" Target="https://mstgolf.co.th/products/gf3500201632" TargetMode="External" Id="rId3878" /><Relationship Type="http://schemas.openxmlformats.org/officeDocument/2006/relationships/hyperlink" Target="https://mstgolf.co.th/products/gf3500201630" TargetMode="External" Id="rId3879" /><Relationship Type="http://schemas.openxmlformats.org/officeDocument/2006/relationships/hyperlink" Target="https://mstgolf.co.th/products/gf3500201635" TargetMode="External" Id="rId3880" /><Relationship Type="http://schemas.openxmlformats.org/officeDocument/2006/relationships/hyperlink" Target="https://mstgolf.co.th/products/gf3500201628" TargetMode="External" Id="rId3881" /><Relationship Type="http://schemas.openxmlformats.org/officeDocument/2006/relationships/hyperlink" Target="https://mstgolf.co.th/products/gf3500201633" TargetMode="External" Id="rId3882" /><Relationship Type="http://schemas.openxmlformats.org/officeDocument/2006/relationships/hyperlink" Target="https://mstgolf.co.th/products/gf3500201638" TargetMode="External" Id="rId3883" /><Relationship Type="http://schemas.openxmlformats.org/officeDocument/2006/relationships/hyperlink" Target="https://mstgolf.co.th/products/gf3500201629" TargetMode="External" Id="rId3884" /><Relationship Type="http://schemas.openxmlformats.org/officeDocument/2006/relationships/hyperlink" Target="https://mstgolf.co.th/products/gf3500201634" TargetMode="External" Id="rId3885" /><Relationship Type="http://schemas.openxmlformats.org/officeDocument/2006/relationships/hyperlink" Target="https://mstgolf.co.th/products/gf3500201639" TargetMode="External" Id="rId3886" /><Relationship Type="http://schemas.openxmlformats.org/officeDocument/2006/relationships/hyperlink" Target="https://mstgolf.co.th/products/gf2040116982" TargetMode="External" Id="rId3887" /><Relationship Type="http://schemas.openxmlformats.org/officeDocument/2006/relationships/hyperlink" Target="https://mstgolf.co.th/products/gf2040116983" TargetMode="External" Id="rId3888" /><Relationship Type="http://schemas.openxmlformats.org/officeDocument/2006/relationships/hyperlink" Target="https://mstgolf.co.th/products/gf2040116984" TargetMode="External" Id="rId3889" /><Relationship Type="http://schemas.openxmlformats.org/officeDocument/2006/relationships/hyperlink" Target="https://mstgolf.co.th/products/gf2040120192" TargetMode="External" Id="rId3890" /><Relationship Type="http://schemas.openxmlformats.org/officeDocument/2006/relationships/hyperlink" Target="https://mstgolf.co.th/products/gf2040120191" TargetMode="External" Id="rId3891" /><Relationship Type="http://schemas.openxmlformats.org/officeDocument/2006/relationships/hyperlink" Target="https://mstgolf.co.th/products/gf2040120156" TargetMode="External" Id="rId3892" /><Relationship Type="http://schemas.openxmlformats.org/officeDocument/2006/relationships/hyperlink" Target="https://mstgolf.co.th/products/gf2040119940" TargetMode="External" Id="rId3893" /><Relationship Type="http://schemas.openxmlformats.org/officeDocument/2006/relationships/hyperlink" Target="https://mstgolf.co.th/products/gf2040120174" TargetMode="External" Id="rId3894" /><Relationship Type="http://schemas.openxmlformats.org/officeDocument/2006/relationships/hyperlink" Target="https://mstgolf.co.th/products/gf2000106630" TargetMode="External" Id="rId3895" /><Relationship Type="http://schemas.openxmlformats.org/officeDocument/2006/relationships/hyperlink" Target="https://mstgolf.co.th/products/gf2000106631" TargetMode="External" Id="rId3896" /><Relationship Type="http://schemas.openxmlformats.org/officeDocument/2006/relationships/hyperlink" Target="https://mstgolf.co.th/products/gf2000106632" TargetMode="External" Id="rId3897" /><Relationship Type="http://schemas.openxmlformats.org/officeDocument/2006/relationships/hyperlink" Target="https://mstgolf.co.th/products/gf2040119962" TargetMode="External" Id="rId3898" /><Relationship Type="http://schemas.openxmlformats.org/officeDocument/2006/relationships/hyperlink" Target="https://mstgolf.co.th/products/gf2040120178" TargetMode="External" Id="rId3899" /><Relationship Type="http://schemas.openxmlformats.org/officeDocument/2006/relationships/hyperlink" Target="https://mstgolf.co.th/products/gf2000106633" TargetMode="External" Id="rId3900" /><Relationship Type="http://schemas.openxmlformats.org/officeDocument/2006/relationships/hyperlink" Target="https://mstgolf.co.th/products/gf2000106634" TargetMode="External" Id="rId3901" /><Relationship Type="http://schemas.openxmlformats.org/officeDocument/2006/relationships/hyperlink" Target="https://mstgolf.co.th/products/gf2040119955" TargetMode="External" Id="rId3902" /><Relationship Type="http://schemas.openxmlformats.org/officeDocument/2006/relationships/hyperlink" Target="https://mstgolf.co.th/products/gf2040120170" TargetMode="External" Id="rId3903" /><Relationship Type="http://schemas.openxmlformats.org/officeDocument/2006/relationships/hyperlink" Target="https://mstgolf.co.th/products/gf2000106636" TargetMode="External" Id="rId3904" /><Relationship Type="http://schemas.openxmlformats.org/officeDocument/2006/relationships/hyperlink" Target="https://mstgolf.co.th/products/gf2000106637" TargetMode="External" Id="rId3905" /><Relationship Type="http://schemas.openxmlformats.org/officeDocument/2006/relationships/hyperlink" Target="https://mstgolf.co.th/products/gf2040120199" TargetMode="External" Id="rId3906" /><Relationship Type="http://schemas.openxmlformats.org/officeDocument/2006/relationships/hyperlink" Target="https://mstgolf.co.th/products/gf2040120200" TargetMode="External" Id="rId3907" /><Relationship Type="http://schemas.openxmlformats.org/officeDocument/2006/relationships/hyperlink" Target="https://mstgolf.co.th/products/gf2070400168" TargetMode="External" Id="rId3908" /><Relationship Type="http://schemas.openxmlformats.org/officeDocument/2006/relationships/hyperlink" Target="https://mstgolf.co.th/products/gf2040120194" TargetMode="External" Id="rId3909" /><Relationship Type="http://schemas.openxmlformats.org/officeDocument/2006/relationships/hyperlink" Target="https://mstgolf.co.th/products/gf2040120193" TargetMode="External" Id="rId3910" /><Relationship Type="http://schemas.openxmlformats.org/officeDocument/2006/relationships/hyperlink" Target="https://mstgolf.co.th/products/gf2040401024" TargetMode="External" Id="rId3911" /><Relationship Type="http://schemas.openxmlformats.org/officeDocument/2006/relationships/hyperlink" Target="https://mstgolf.co.th/products/gf2040401025" TargetMode="External" Id="rId3912" /><Relationship Type="http://schemas.openxmlformats.org/officeDocument/2006/relationships/hyperlink" Target="https://mstgolf.co.th/products/gf2040401157" TargetMode="External" Id="rId3913" /><Relationship Type="http://schemas.openxmlformats.org/officeDocument/2006/relationships/hyperlink" Target="https://mstgolf.co.th/products/gf3500200939" TargetMode="External" Id="rId3914" /><Relationship Type="http://schemas.openxmlformats.org/officeDocument/2006/relationships/hyperlink" Target="https://mstgolf.co.th/products/gf2040400818" TargetMode="External" Id="rId3915" /><Relationship Type="http://schemas.openxmlformats.org/officeDocument/2006/relationships/hyperlink" Target="https://mstgolf.co.th/products/gf2040115062" TargetMode="External" Id="rId3916" /><Relationship Type="http://schemas.openxmlformats.org/officeDocument/2006/relationships/hyperlink" Target="https://mstgolf.co.th/products/gf2040116630" TargetMode="External" Id="rId3917" /><Relationship Type="http://schemas.openxmlformats.org/officeDocument/2006/relationships/hyperlink" Target="https://mstgolf.co.th/products/gf2070400032" TargetMode="External" Id="rId3918" /><Relationship Type="http://schemas.openxmlformats.org/officeDocument/2006/relationships/hyperlink" Target="https://mstgolf.co.th/products/gf2020202239" TargetMode="External" Id="rId3919" /><Relationship Type="http://schemas.openxmlformats.org/officeDocument/2006/relationships/hyperlink" Target="https://mstgolf.co.th/products/gf2110100192" TargetMode="External" Id="rId3920" /><Relationship Type="http://schemas.openxmlformats.org/officeDocument/2006/relationships/hyperlink" Target="https://mstgolf.co.th/products/gf2110100194" TargetMode="External" Id="rId3921" /><Relationship Type="http://schemas.openxmlformats.org/officeDocument/2006/relationships/hyperlink" Target="https://mstgolf.co.th/products/gf2110100193" TargetMode="External" Id="rId3922" /><Relationship Type="http://schemas.openxmlformats.org/officeDocument/2006/relationships/hyperlink" Target="https://mstgolf.co.th/products/gf2110100190" TargetMode="External" Id="rId3923" /><Relationship Type="http://schemas.openxmlformats.org/officeDocument/2006/relationships/hyperlink" Target="https://mstgolf.co.th/products/gf2110100195" TargetMode="External" Id="rId3924" /><Relationship Type="http://schemas.openxmlformats.org/officeDocument/2006/relationships/hyperlink" Target="https://mstgolf.co.th/products/gf2110100191" TargetMode="External" Id="rId3925" /><Relationship Type="http://schemas.openxmlformats.org/officeDocument/2006/relationships/hyperlink" Target="https://mstgolf.co.th/products/gf3500201658" TargetMode="External" Id="rId3926" /><Relationship Type="http://schemas.openxmlformats.org/officeDocument/2006/relationships/hyperlink" Target="https://mstgolf.co.th/products/gf3500201657" TargetMode="External" Id="rId3927" /><Relationship Type="http://schemas.openxmlformats.org/officeDocument/2006/relationships/hyperlink" Target="https://mstgolf.co.th/products/gf3500300658" TargetMode="External" Id="rId3928" /><Relationship Type="http://schemas.openxmlformats.org/officeDocument/2006/relationships/hyperlink" Target="https://mstgolf.co.th/products/gf3500300657" TargetMode="External" Id="rId3929" /><Relationship Type="http://schemas.openxmlformats.org/officeDocument/2006/relationships/hyperlink" Target="https://mstgolf.co.th/products/gf2040117815" TargetMode="External" Id="rId3930" /><Relationship Type="http://schemas.openxmlformats.org/officeDocument/2006/relationships/hyperlink" Target="https://mstgolf.co.th/products/gf2000105369" TargetMode="External" Id="rId3931" /><Relationship Type="http://schemas.openxmlformats.org/officeDocument/2006/relationships/hyperlink" Target="https://mstgolf.co.th/products/gf2000106261" TargetMode="External" Id="rId3932" /><Relationship Type="http://schemas.openxmlformats.org/officeDocument/2006/relationships/hyperlink" Target="https://mstgolf.co.th/products/gf2000106262" TargetMode="External" Id="rId3933" /><Relationship Type="http://schemas.openxmlformats.org/officeDocument/2006/relationships/hyperlink" Target="https://mstgolf.co.th/products/gf2000106264" TargetMode="External" Id="rId3934" /><Relationship Type="http://schemas.openxmlformats.org/officeDocument/2006/relationships/hyperlink" Target="https://mstgolf.co.th/products/gf2000106263" TargetMode="External" Id="rId3935" /><Relationship Type="http://schemas.openxmlformats.org/officeDocument/2006/relationships/hyperlink" Target="https://mstgolf.co.th/products/gf2000201042" TargetMode="External" Id="rId3936" /><Relationship Type="http://schemas.openxmlformats.org/officeDocument/2006/relationships/hyperlink" Target="https://mstgolf.co.th/products/gf2000105800" TargetMode="External" Id="rId3937" /><Relationship Type="http://schemas.openxmlformats.org/officeDocument/2006/relationships/hyperlink" Target="https://mstgolf.co.th/products/gf2000105802" TargetMode="External" Id="rId3938" /><Relationship Type="http://schemas.openxmlformats.org/officeDocument/2006/relationships/hyperlink" Target="https://mstgolf.co.th/products/gf2000104626" TargetMode="External" Id="rId3939" /><Relationship Type="http://schemas.openxmlformats.org/officeDocument/2006/relationships/hyperlink" Target="https://mstgolf.co.th/products/gf2000105064" TargetMode="External" Id="rId3940" /><Relationship Type="http://schemas.openxmlformats.org/officeDocument/2006/relationships/hyperlink" Target="https://mstgolf.co.th/products/gf2000105798" TargetMode="External" Id="rId3941" /><Relationship Type="http://schemas.openxmlformats.org/officeDocument/2006/relationships/hyperlink" Target="https://mstgolf.co.th/products/gf2020201582" TargetMode="External" Id="rId3942" /><Relationship Type="http://schemas.openxmlformats.org/officeDocument/2006/relationships/hyperlink" Target="https://mstgolf.co.th/products/gf2040115869" TargetMode="External" Id="rId3943" /><Relationship Type="http://schemas.openxmlformats.org/officeDocument/2006/relationships/hyperlink" Target="https://mstgolf.co.th/products/gf2040120395" TargetMode="External" Id="rId3944" /><Relationship Type="http://schemas.openxmlformats.org/officeDocument/2006/relationships/hyperlink" Target="https://mstgolf.co.th/products/gf2040116469" TargetMode="External" Id="rId3945" /><Relationship Type="http://schemas.openxmlformats.org/officeDocument/2006/relationships/hyperlink" Target="https://mstgolf.co.th/products/gf2040115870" TargetMode="External" Id="rId3946" /><Relationship Type="http://schemas.openxmlformats.org/officeDocument/2006/relationships/hyperlink" Target="https://mstgolf.co.th/products/gf2040113367" TargetMode="External" Id="rId3947" /><Relationship Type="http://schemas.openxmlformats.org/officeDocument/2006/relationships/hyperlink" Target="https://mstgolf.co.th/products/gf2040112559" TargetMode="External" Id="rId3948" /><Relationship Type="http://schemas.openxmlformats.org/officeDocument/2006/relationships/hyperlink" Target="https://mstgolf.co.th/products/gf2020202200" TargetMode="External" Id="rId3949" /><Relationship Type="http://schemas.openxmlformats.org/officeDocument/2006/relationships/hyperlink" Target="https://mstgolf.co.th/products/gf2020202208" TargetMode="External" Id="rId3950" /><Relationship Type="http://schemas.openxmlformats.org/officeDocument/2006/relationships/hyperlink" Target="https://mstgolf.co.th/products/gf2040115716" TargetMode="External" Id="rId3951" /><Relationship Type="http://schemas.openxmlformats.org/officeDocument/2006/relationships/hyperlink" Target="https://mstgolf.co.th/products/gf2020202210" TargetMode="External" Id="rId3952" /><Relationship Type="http://schemas.openxmlformats.org/officeDocument/2006/relationships/hyperlink" Target="https://mstgolf.co.th/products/gf2020202138" TargetMode="External" Id="rId3953" /><Relationship Type="http://schemas.openxmlformats.org/officeDocument/2006/relationships/hyperlink" Target="https://mstgolf.co.th/products/gf2020202201" TargetMode="External" Id="rId3954" /><Relationship Type="http://schemas.openxmlformats.org/officeDocument/2006/relationships/hyperlink" Target="https://mstgolf.co.th/products/gf2020202136" TargetMode="External" Id="rId3955" /><Relationship Type="http://schemas.openxmlformats.org/officeDocument/2006/relationships/hyperlink" Target="https://mstgolf.co.th/products/gf2020202345" TargetMode="External" Id="rId3956" /><Relationship Type="http://schemas.openxmlformats.org/officeDocument/2006/relationships/hyperlink" Target="https://mstgolf.co.th/products/gf2020202202" TargetMode="External" Id="rId3957" /><Relationship Type="http://schemas.openxmlformats.org/officeDocument/2006/relationships/hyperlink" Target="https://mstgolf.co.th/products/gf2020202347" TargetMode="External" Id="rId3958" /><Relationship Type="http://schemas.openxmlformats.org/officeDocument/2006/relationships/hyperlink" Target="https://mstgolf.co.th/products/gf2020102170" TargetMode="External" Id="rId3959" /><Relationship Type="http://schemas.openxmlformats.org/officeDocument/2006/relationships/hyperlink" Target="https://mstgolf.co.th/products/gf2020102132" TargetMode="External" Id="rId3960" /><Relationship Type="http://schemas.openxmlformats.org/officeDocument/2006/relationships/hyperlink" Target="https://mstgolf.co.th/products/gf2020102268" TargetMode="External" Id="rId3961" /><Relationship Type="http://schemas.openxmlformats.org/officeDocument/2006/relationships/hyperlink" Target="https://mstgolf.co.th/products/gf2020202516" TargetMode="External" Id="rId3962" /><Relationship Type="http://schemas.openxmlformats.org/officeDocument/2006/relationships/hyperlink" Target="https://mstgolf.co.th/products/gf2040401252" TargetMode="External" Id="rId3963" /><Relationship Type="http://schemas.openxmlformats.org/officeDocument/2006/relationships/hyperlink" Target="https://mstgolf.co.th/products/gf2020202234" TargetMode="External" Id="rId3964" /><Relationship Type="http://schemas.openxmlformats.org/officeDocument/2006/relationships/hyperlink" Target="https://mstgolf.co.th/products/gf2020202139" TargetMode="External" Id="rId3965" /><Relationship Type="http://schemas.openxmlformats.org/officeDocument/2006/relationships/hyperlink" Target="https://mstgolf.co.th/products/gf2020202209" TargetMode="External" Id="rId3966" /><Relationship Type="http://schemas.openxmlformats.org/officeDocument/2006/relationships/hyperlink" Target="https://mstgolf.co.th/products/gf2020202205" TargetMode="External" Id="rId3967" /><Relationship Type="http://schemas.openxmlformats.org/officeDocument/2006/relationships/hyperlink" Target="https://mstgolf.co.th/products/gf2020202524" TargetMode="External" Id="rId3968" /><Relationship Type="http://schemas.openxmlformats.org/officeDocument/2006/relationships/hyperlink" Target="https://mstgolf.co.th/products/gf2020102173" TargetMode="External" Id="rId3969" /><Relationship Type="http://schemas.openxmlformats.org/officeDocument/2006/relationships/hyperlink" Target="https://mstgolf.co.th/products/gf2020202522" TargetMode="External" Id="rId3970" /><Relationship Type="http://schemas.openxmlformats.org/officeDocument/2006/relationships/hyperlink" Target="https://mstgolf.co.th/products/gf2020202511" TargetMode="External" Id="rId3971" /><Relationship Type="http://schemas.openxmlformats.org/officeDocument/2006/relationships/hyperlink" Target="https://mstgolf.co.th/products/gf2020202353" TargetMode="External" Id="rId3972" /><Relationship Type="http://schemas.openxmlformats.org/officeDocument/2006/relationships/hyperlink" Target="https://mstgolf.co.th/products/gf2020202523" TargetMode="External" Id="rId3973" /><Relationship Type="http://schemas.openxmlformats.org/officeDocument/2006/relationships/hyperlink" Target="https://mstgolf.co.th/products/gf2020102130" TargetMode="External" Id="rId3974" /><Relationship Type="http://schemas.openxmlformats.org/officeDocument/2006/relationships/hyperlink" Target="https://mstgolf.co.th/products/gf2020202355" TargetMode="External" Id="rId3975" /><Relationship Type="http://schemas.openxmlformats.org/officeDocument/2006/relationships/hyperlink" Target="https://mstgolf.co.th/products/gf3500201776" TargetMode="External" Id="rId3976" /><Relationship Type="http://schemas.openxmlformats.org/officeDocument/2006/relationships/hyperlink" Target="https://mstgolf.co.th/products/gf3500201778" TargetMode="External" Id="rId3977" /><Relationship Type="http://schemas.openxmlformats.org/officeDocument/2006/relationships/hyperlink" Target="https://mstgolf.co.th/products/gf3500201773" TargetMode="External" Id="rId3978" /><Relationship Type="http://schemas.openxmlformats.org/officeDocument/2006/relationships/hyperlink" Target="https://mstgolf.co.th/products/gf3500201775" TargetMode="External" Id="rId3979" /><Relationship Type="http://schemas.openxmlformats.org/officeDocument/2006/relationships/hyperlink" Target="https://mstgolf.co.th/products/gf3500201771" TargetMode="External" Id="rId3980" /><Relationship Type="http://schemas.openxmlformats.org/officeDocument/2006/relationships/hyperlink" Target="https://mstgolf.co.th/products/gf2040115196" TargetMode="External" Id="rId3981" /><Relationship Type="http://schemas.openxmlformats.org/officeDocument/2006/relationships/hyperlink" Target="https://mstgolf.co.th/products/gf2040114780" TargetMode="External" Id="rId3982" /><Relationship Type="http://schemas.openxmlformats.org/officeDocument/2006/relationships/hyperlink" Target="https://mstgolf.co.th/products/gf2040114779" TargetMode="External" Id="rId3983" /><Relationship Type="http://schemas.openxmlformats.org/officeDocument/2006/relationships/hyperlink" Target="https://mstgolf.co.th/products/gf2040401075" TargetMode="External" Id="rId3984" /><Relationship Type="http://schemas.openxmlformats.org/officeDocument/2006/relationships/hyperlink" Target="https://mstgolf.co.th/products/gf2000106245" TargetMode="External" Id="rId3985" /><Relationship Type="http://schemas.openxmlformats.org/officeDocument/2006/relationships/hyperlink" Target="https://mstgolf.co.th/products/gf2000106248" TargetMode="External" Id="rId3986" /><Relationship Type="http://schemas.openxmlformats.org/officeDocument/2006/relationships/hyperlink" Target="https://mstgolf.co.th/products/gf2000105811" TargetMode="External" Id="rId3987" /><Relationship Type="http://schemas.openxmlformats.org/officeDocument/2006/relationships/hyperlink" Target="https://mstgolf.co.th/products/gf2000105810" TargetMode="External" Id="rId3988" /><Relationship Type="http://schemas.openxmlformats.org/officeDocument/2006/relationships/hyperlink" Target="https://mstgolf.co.th/products/gf2000105809" TargetMode="External" Id="rId3989" /><Relationship Type="http://schemas.openxmlformats.org/officeDocument/2006/relationships/hyperlink" Target="https://mstgolf.co.th/products/gf2000200891" TargetMode="External" Id="rId3990" /><Relationship Type="http://schemas.openxmlformats.org/officeDocument/2006/relationships/hyperlink" Target="https://mstgolf.co.th/products/gf2000200889" TargetMode="External" Id="rId3991" /><Relationship Type="http://schemas.openxmlformats.org/officeDocument/2006/relationships/hyperlink" Target="https://mstgolf.co.th/products/gf2000105337" TargetMode="External" Id="rId3992" /><Relationship Type="http://schemas.openxmlformats.org/officeDocument/2006/relationships/hyperlink" Target="https://mstgolf.co.th/products/gf2000200969" TargetMode="External" Id="rId3993" /><Relationship Type="http://schemas.openxmlformats.org/officeDocument/2006/relationships/hyperlink" Target="https://mstgolf.co.th/products/gf2000200968" TargetMode="External" Id="rId3994" /><Relationship Type="http://schemas.openxmlformats.org/officeDocument/2006/relationships/hyperlink" Target="https://mstgolf.co.th/products/gf2000106755" TargetMode="External" Id="rId3995" /><Relationship Type="http://schemas.openxmlformats.org/officeDocument/2006/relationships/hyperlink" Target="https://mstgolf.co.th/products/gf3500300723" TargetMode="External" Id="rId3996" /><Relationship Type="http://schemas.openxmlformats.org/officeDocument/2006/relationships/hyperlink" Target="https://mstgolf.co.th/products/gf3500300722" TargetMode="External" Id="rId3997" /><Relationship Type="http://schemas.openxmlformats.org/officeDocument/2006/relationships/hyperlink" Target="https://mstgolf.co.th/products/gf3500200805" TargetMode="External" Id="rId3998" /><Relationship Type="http://schemas.openxmlformats.org/officeDocument/2006/relationships/hyperlink" Target="https://mstgolf.co.th/products/gf2020202155" TargetMode="External" Id="rId3999" /><Relationship Type="http://schemas.openxmlformats.org/officeDocument/2006/relationships/hyperlink" Target="https://mstgolf.co.th/products/gf2020202370" TargetMode="External" Id="rId4000" /><Relationship Type="http://schemas.openxmlformats.org/officeDocument/2006/relationships/hyperlink" Target="https://mstgolf.co.th/products/gf2020202235" TargetMode="External" Id="rId4001" /><Relationship Type="http://schemas.openxmlformats.org/officeDocument/2006/relationships/hyperlink" Target="https://mstgolf.co.th/products/gf2020202218" TargetMode="External" Id="rId4002" /><Relationship Type="http://schemas.openxmlformats.org/officeDocument/2006/relationships/hyperlink" Target="https://mstgolf.co.th/products/gf2040116444" TargetMode="External" Id="rId4003" /><Relationship Type="http://schemas.openxmlformats.org/officeDocument/2006/relationships/hyperlink" Target="https://mstgolf.co.th/products/gf2020202386" TargetMode="External" Id="rId4004" /><Relationship Type="http://schemas.openxmlformats.org/officeDocument/2006/relationships/hyperlink" Target="https://mstgolf.co.th/products/gf2020202385" TargetMode="External" Id="rId4005" /><Relationship Type="http://schemas.openxmlformats.org/officeDocument/2006/relationships/hyperlink" Target="https://mstgolf.co.th/products/gf2020202373" TargetMode="External" Id="rId4006" /><Relationship Type="http://schemas.openxmlformats.org/officeDocument/2006/relationships/hyperlink" Target="https://mstgolf.co.th/products/gf2020202372" TargetMode="External" Id="rId4007" /><Relationship Type="http://schemas.openxmlformats.org/officeDocument/2006/relationships/hyperlink" Target="https://mstgolf.co.th/products/gf2040115743" TargetMode="External" Id="rId4008" /><Relationship Type="http://schemas.openxmlformats.org/officeDocument/2006/relationships/hyperlink" Target="https://mstgolf.co.th/products/gf2020202162" TargetMode="External" Id="rId4009" /><Relationship Type="http://schemas.openxmlformats.org/officeDocument/2006/relationships/hyperlink" Target="https://mstgolf.co.th/products/gf2040115826" TargetMode="External" Id="rId4010" /><Relationship Type="http://schemas.openxmlformats.org/officeDocument/2006/relationships/hyperlink" Target="https://mstgolf.co.th/products/gf2020202364" TargetMode="External" Id="rId4011" /><Relationship Type="http://schemas.openxmlformats.org/officeDocument/2006/relationships/hyperlink" Target="https://mstgolf.co.th/products/gf2040116523" TargetMode="External" Id="rId4012" /><Relationship Type="http://schemas.openxmlformats.org/officeDocument/2006/relationships/hyperlink" Target="https://mstgolf.co.th/products/gf2040116430" TargetMode="External" Id="rId4013" /><Relationship Type="http://schemas.openxmlformats.org/officeDocument/2006/relationships/hyperlink" Target="https://mstgolf.co.th/products/gf2040118570" TargetMode="External" Id="rId4014" /><Relationship Type="http://schemas.openxmlformats.org/officeDocument/2006/relationships/hyperlink" Target="https://mstgolf.co.th/products/gf2040118414" TargetMode="External" Id="rId4015" /><Relationship Type="http://schemas.openxmlformats.org/officeDocument/2006/relationships/hyperlink" Target="https://mstgolf.co.th/products/gf2020202365" TargetMode="External" Id="rId4016" /><Relationship Type="http://schemas.openxmlformats.org/officeDocument/2006/relationships/hyperlink" Target="https://mstgolf.co.th/products/gf2040401260" TargetMode="External" Id="rId4017" /><Relationship Type="http://schemas.openxmlformats.org/officeDocument/2006/relationships/hyperlink" Target="https://mstgolf.co.th/products/gf2040116427" TargetMode="External" Id="rId4018" /><Relationship Type="http://schemas.openxmlformats.org/officeDocument/2006/relationships/hyperlink" Target="https://mstgolf.co.th/products/gf2040401428" TargetMode="External" Id="rId4019" /><Relationship Type="http://schemas.openxmlformats.org/officeDocument/2006/relationships/hyperlink" Target="https://mstgolf.co.th/products/gf2020300128" TargetMode="External" Id="rId4020" /><Relationship Type="http://schemas.openxmlformats.org/officeDocument/2006/relationships/hyperlink" Target="https://mstgolf.co.th/products/gf2040116590" TargetMode="External" Id="rId4021" /><Relationship Type="http://schemas.openxmlformats.org/officeDocument/2006/relationships/hyperlink" Target="https://mstgolf.co.th/products/gf2020202165" TargetMode="External" Id="rId4022" /><Relationship Type="http://schemas.openxmlformats.org/officeDocument/2006/relationships/hyperlink" Target="https://mstgolf.co.th/products/gf2040115832" TargetMode="External" Id="rId4023" /><Relationship Type="http://schemas.openxmlformats.org/officeDocument/2006/relationships/hyperlink" Target="https://mstgolf.co.th/products/gf2020202375" TargetMode="External" Id="rId4024" /><Relationship Type="http://schemas.openxmlformats.org/officeDocument/2006/relationships/hyperlink" Target="https://mstgolf.co.th/products/gf2040118563" TargetMode="External" Id="rId4025" /><Relationship Type="http://schemas.openxmlformats.org/officeDocument/2006/relationships/hyperlink" Target="https://mstgolf.co.th/products/gf2020102257" TargetMode="External" Id="rId4026" /><Relationship Type="http://schemas.openxmlformats.org/officeDocument/2006/relationships/hyperlink" Target="https://mstgolf.co.th/products/gf2040117607" TargetMode="External" Id="rId4027" /><Relationship Type="http://schemas.openxmlformats.org/officeDocument/2006/relationships/hyperlink" Target="https://mstgolf.co.th/products/gf2040117604" TargetMode="External" Id="rId4028" /><Relationship Type="http://schemas.openxmlformats.org/officeDocument/2006/relationships/hyperlink" Target="https://mstgolf.co.th/products/gf2020102380" TargetMode="External" Id="rId4029" /><Relationship Type="http://schemas.openxmlformats.org/officeDocument/2006/relationships/hyperlink" Target="https://mstgolf.co.th/products/gf2020101804" TargetMode="External" Id="rId4030" /><Relationship Type="http://schemas.openxmlformats.org/officeDocument/2006/relationships/hyperlink" Target="https://mstgolf.co.th/products/gf2020101801" TargetMode="External" Id="rId4031" /><Relationship Type="http://schemas.openxmlformats.org/officeDocument/2006/relationships/hyperlink" Target="https://mstgolf.co.th/products/gf2040118581" TargetMode="External" Id="rId4032" /><Relationship Type="http://schemas.openxmlformats.org/officeDocument/2006/relationships/hyperlink" Target="https://mstgolf.co.th/products/gf2040118576" TargetMode="External" Id="rId4033" /><Relationship Type="http://schemas.openxmlformats.org/officeDocument/2006/relationships/hyperlink" Target="https://mstgolf.co.th/products/gf2040117603" TargetMode="External" Id="rId4034" /><Relationship Type="http://schemas.openxmlformats.org/officeDocument/2006/relationships/hyperlink" Target="https://mstgolf.co.th/products/gf2020202392" TargetMode="External" Id="rId4035" /><Relationship Type="http://schemas.openxmlformats.org/officeDocument/2006/relationships/hyperlink" Target="https://mstgolf.co.th/products/gf2020202570" TargetMode="External" Id="rId4036" /><Relationship Type="http://schemas.openxmlformats.org/officeDocument/2006/relationships/hyperlink" Target="https://mstgolf.co.th/products/gf2020202391" TargetMode="External" Id="rId4037" /><Relationship Type="http://schemas.openxmlformats.org/officeDocument/2006/relationships/hyperlink" Target="https://mstgolf.co.th/products/gf2040118565" TargetMode="External" Id="rId4038" /><Relationship Type="http://schemas.openxmlformats.org/officeDocument/2006/relationships/hyperlink" Target="https://mstgolf.co.th/products/gf2040118564" TargetMode="External" Id="rId4039" /><Relationship Type="http://schemas.openxmlformats.org/officeDocument/2006/relationships/hyperlink" Target="https://mstgolf.co.th/products/gf2020202381" TargetMode="External" Id="rId4040" /><Relationship Type="http://schemas.openxmlformats.org/officeDocument/2006/relationships/hyperlink" Target="https://mstgolf.co.th/products/gf2020202382" TargetMode="External" Id="rId4041" /><Relationship Type="http://schemas.openxmlformats.org/officeDocument/2006/relationships/hyperlink" Target="https://mstgolf.co.th/products/gf2020202504" TargetMode="External" Id="rId4042" /><Relationship Type="http://schemas.openxmlformats.org/officeDocument/2006/relationships/hyperlink" Target="https://mstgolf.co.th/products/gf2020202525" TargetMode="External" Id="rId4043" /><Relationship Type="http://schemas.openxmlformats.org/officeDocument/2006/relationships/hyperlink" Target="https://mstgolf.co.th/products/gf2040401259" TargetMode="External" Id="rId4044" /><Relationship Type="http://schemas.openxmlformats.org/officeDocument/2006/relationships/hyperlink" Target="https://mstgolf.co.th/products/gf2020202508" TargetMode="External" Id="rId4045" /><Relationship Type="http://schemas.openxmlformats.org/officeDocument/2006/relationships/hyperlink" Target="https://mstgolf.co.th/products/gf2020202509" TargetMode="External" Id="rId4046" /><Relationship Type="http://schemas.openxmlformats.org/officeDocument/2006/relationships/hyperlink" Target="https://mstgolf.co.th/products/gf2020202379" TargetMode="External" Id="rId4047" /><Relationship Type="http://schemas.openxmlformats.org/officeDocument/2006/relationships/hyperlink" Target="https://mstgolf.co.th/products/gf2040401069" TargetMode="External" Id="rId4048" /><Relationship Type="http://schemas.openxmlformats.org/officeDocument/2006/relationships/hyperlink" Target="https://mstgolf.co.th/products/gf2020202211" TargetMode="External" Id="rId4049" /><Relationship Type="http://schemas.openxmlformats.org/officeDocument/2006/relationships/hyperlink" Target="https://mstgolf.co.th/products/gf2040117668" TargetMode="External" Id="rId4050" /><Relationship Type="http://schemas.openxmlformats.org/officeDocument/2006/relationships/hyperlink" Target="https://mstgolf.co.th/products/gf2040117532" TargetMode="External" Id="rId4051" /><Relationship Type="http://schemas.openxmlformats.org/officeDocument/2006/relationships/hyperlink" Target="https://mstgolf.co.th/products/gf2040117533" TargetMode="External" Id="rId4052" /><Relationship Type="http://schemas.openxmlformats.org/officeDocument/2006/relationships/hyperlink" Target="https://mstgolf.co.th/products/gf2000106180" TargetMode="External" Id="rId4053" /><Relationship Type="http://schemas.openxmlformats.org/officeDocument/2006/relationships/hyperlink" Target="https://mstgolf.co.th/products/gf2000106181" TargetMode="External" Id="rId4054" /><Relationship Type="http://schemas.openxmlformats.org/officeDocument/2006/relationships/hyperlink" Target="https://mstgolf.co.th/products/gf2040117535" TargetMode="External" Id="rId4055" /><Relationship Type="http://schemas.openxmlformats.org/officeDocument/2006/relationships/hyperlink" Target="https://mstgolf.co.th/products/gf2000200962" TargetMode="External" Id="rId4056" /><Relationship Type="http://schemas.openxmlformats.org/officeDocument/2006/relationships/hyperlink" Target="https://mstgolf.co.th/products/gf2040115407" TargetMode="External" Id="rId4057" /><Relationship Type="http://schemas.openxmlformats.org/officeDocument/2006/relationships/hyperlink" Target="https://mstgolf.co.th/products/gf2040118658" TargetMode="External" Id="rId4058" /><Relationship Type="http://schemas.openxmlformats.org/officeDocument/2006/relationships/hyperlink" Target="https://mstgolf.co.th/products/gf2060100945" TargetMode="External" Id="rId4059" /><Relationship Type="http://schemas.openxmlformats.org/officeDocument/2006/relationships/hyperlink" Target="https://mstgolf.co.th/products/gf2041200144" TargetMode="External" Id="rId4060" /><Relationship Type="http://schemas.openxmlformats.org/officeDocument/2006/relationships/hyperlink" Target="https://mstgolf.co.th/products/gf2041200146" TargetMode="External" Id="rId4061" /><Relationship Type="http://schemas.openxmlformats.org/officeDocument/2006/relationships/hyperlink" Target="https://mstgolf.co.th/products/gf2041200302" TargetMode="External" Id="rId4062" /><Relationship Type="http://schemas.openxmlformats.org/officeDocument/2006/relationships/hyperlink" Target="https://mstgolf.co.th/products/gf2041200301" TargetMode="External" Id="rId4063" /><Relationship Type="http://schemas.openxmlformats.org/officeDocument/2006/relationships/hyperlink" Target="https://mstgolf.co.th/products/gf2040118224" TargetMode="External" Id="rId4064" /><Relationship Type="http://schemas.openxmlformats.org/officeDocument/2006/relationships/hyperlink" Target="https://mstgolf.co.th/products/gf2040118223" TargetMode="External" Id="rId4065" /><Relationship Type="http://schemas.openxmlformats.org/officeDocument/2006/relationships/hyperlink" Target="https://mstgolf.co.th/products/gf2040118222" TargetMode="External" Id="rId4066" /><Relationship Type="http://schemas.openxmlformats.org/officeDocument/2006/relationships/hyperlink" Target="https://mstgolf.co.th/products/gf2040118843" TargetMode="External" Id="rId4067" /><Relationship Type="http://schemas.openxmlformats.org/officeDocument/2006/relationships/hyperlink" Target="https://mstgolf.co.th/products/gf2041200151" TargetMode="External" Id="rId4068" /><Relationship Type="http://schemas.openxmlformats.org/officeDocument/2006/relationships/hyperlink" Target="https://mstgolf.co.th/products/gf2041200149" TargetMode="External" Id="rId4069" /><Relationship Type="http://schemas.openxmlformats.org/officeDocument/2006/relationships/hyperlink" Target="https://mstgolf.co.th/products/gf2041200222" TargetMode="External" Id="rId4070" /><Relationship Type="http://schemas.openxmlformats.org/officeDocument/2006/relationships/hyperlink" Target="https://mstgolf.co.th/products/gf2040117319" TargetMode="External" Id="rId4071" /><Relationship Type="http://schemas.openxmlformats.org/officeDocument/2006/relationships/hyperlink" Target="https://mstgolf.co.th/products/gf2040115635" TargetMode="External" Id="rId4072" /><Relationship Type="http://schemas.openxmlformats.org/officeDocument/2006/relationships/hyperlink" Target="https://mstgolf.co.th/products/gf3500400393" TargetMode="External" Id="rId4073" /><Relationship Type="http://schemas.openxmlformats.org/officeDocument/2006/relationships/hyperlink" Target="https://mstgolf.co.th/products/gf3500400395" TargetMode="External" Id="rId4074" /><Relationship Type="http://schemas.openxmlformats.org/officeDocument/2006/relationships/hyperlink" Target="https://mstgolf.co.th/products/gf3500400392" TargetMode="External" Id="rId4075" /><Relationship Type="http://schemas.openxmlformats.org/officeDocument/2006/relationships/hyperlink" Target="https://mstgolf.co.th/products/gf3500400391" TargetMode="External" Id="rId4076" /><Relationship Type="http://schemas.openxmlformats.org/officeDocument/2006/relationships/hyperlink" Target="https://mstgolf.co.th/products/gf3500400390" TargetMode="External" Id="rId4077" /><Relationship Type="http://schemas.openxmlformats.org/officeDocument/2006/relationships/hyperlink" Target="https://mstgolf.co.th/products/gf3500400394" TargetMode="External" Id="rId4078" /><Relationship Type="http://schemas.openxmlformats.org/officeDocument/2006/relationships/hyperlink" Target="https://mstgolf.co.th/products/gf3500300965" TargetMode="External" Id="rId4079" /><Relationship Type="http://schemas.openxmlformats.org/officeDocument/2006/relationships/hyperlink" Target="https://mstgolf.co.th/products/gf2000105698" TargetMode="External" Id="rId4080" /><Relationship Type="http://schemas.openxmlformats.org/officeDocument/2006/relationships/hyperlink" Target="https://mstgolf.co.th/products/gf2000105699" TargetMode="External" Id="rId4081" /><Relationship Type="http://schemas.openxmlformats.org/officeDocument/2006/relationships/hyperlink" Target="https://mstgolf.co.th/products/gf2000105037" TargetMode="External" Id="rId4082" /><Relationship Type="http://schemas.openxmlformats.org/officeDocument/2006/relationships/hyperlink" Target="https://mstgolf.co.th/products/gf2080101248" TargetMode="External" Id="rId4083" /><Relationship Type="http://schemas.openxmlformats.org/officeDocument/2006/relationships/hyperlink" Target="https://mstgolf.co.th/products/gf2080101249" TargetMode="External" Id="rId4084" /><Relationship Type="http://schemas.openxmlformats.org/officeDocument/2006/relationships/hyperlink" Target="https://mstgolf.co.th/products/gf2000106088" TargetMode="External" Id="rId4085" /><Relationship Type="http://schemas.openxmlformats.org/officeDocument/2006/relationships/hyperlink" Target="https://mstgolf.co.th/products/gf2000106090" TargetMode="External" Id="rId4086" /><Relationship Type="http://schemas.openxmlformats.org/officeDocument/2006/relationships/hyperlink" Target="https://mstgolf.co.th/products/gf2000106089" TargetMode="External" Id="rId4087" /><Relationship Type="http://schemas.openxmlformats.org/officeDocument/2006/relationships/hyperlink" Target="https://mstgolf.co.th/products/gf2000106086" TargetMode="External" Id="rId4088" /><Relationship Type="http://schemas.openxmlformats.org/officeDocument/2006/relationships/hyperlink" Target="https://mstgolf.co.th/products/gf2110100102" TargetMode="External" Id="rId4089" /><Relationship Type="http://schemas.openxmlformats.org/officeDocument/2006/relationships/hyperlink" Target="https://mstgolf.co.th/products/gf2040118677" TargetMode="External" Id="rId4090" /><Relationship Type="http://schemas.openxmlformats.org/officeDocument/2006/relationships/hyperlink" Target="https://mstgolf.co.th/products/gf2070400142" TargetMode="External" Id="rId4091" /><Relationship Type="http://schemas.openxmlformats.org/officeDocument/2006/relationships/hyperlink" Target="https://mstgolf.co.th/products/gf2040113256" TargetMode="External" Id="rId4092" /><Relationship Type="http://schemas.openxmlformats.org/officeDocument/2006/relationships/hyperlink" Target="https://mstgolf.co.th/products/gf2040114614" TargetMode="External" Id="rId4093" /><Relationship Type="http://schemas.openxmlformats.org/officeDocument/2006/relationships/hyperlink" Target="https://mstgolf.co.th/products/gf2000106435" TargetMode="External" Id="rId4094" /><Relationship Type="http://schemas.openxmlformats.org/officeDocument/2006/relationships/hyperlink" Target="https://mstgolf.co.th/products/gf2000105404" TargetMode="External" Id="rId4095" /><Relationship Type="http://schemas.openxmlformats.org/officeDocument/2006/relationships/hyperlink" Target="https://mstgolf.co.th/products/gf2000105477" TargetMode="External" Id="rId4096" /><Relationship Type="http://schemas.openxmlformats.org/officeDocument/2006/relationships/hyperlink" Target="https://mstgolf.co.th/products/gf2000104968" TargetMode="External" Id="rId4097" /><Relationship Type="http://schemas.openxmlformats.org/officeDocument/2006/relationships/hyperlink" Target="https://mstgolf.co.th/products/gf2000104966" TargetMode="External" Id="rId4098" /><Relationship Type="http://schemas.openxmlformats.org/officeDocument/2006/relationships/hyperlink" Target="https://mstgolf.co.th/products/gf2000200849" TargetMode="External" Id="rId4099" /><Relationship Type="http://schemas.openxmlformats.org/officeDocument/2006/relationships/hyperlink" Target="https://mstgolf.co.th/products/gf2000200848" TargetMode="External" Id="rId4100" /><Relationship Type="http://schemas.openxmlformats.org/officeDocument/2006/relationships/hyperlink" Target="https://mstgolf.co.th/products/gf2000300153" TargetMode="External" Id="rId4101" /><Relationship Type="http://schemas.openxmlformats.org/officeDocument/2006/relationships/hyperlink" Target="https://mstgolf.co.th/products/gf2000200864" TargetMode="External" Id="rId4102" /><Relationship Type="http://schemas.openxmlformats.org/officeDocument/2006/relationships/hyperlink" Target="https://mstgolf.co.th/products/gf2000105093" TargetMode="External" Id="rId4103" /><Relationship Type="http://schemas.openxmlformats.org/officeDocument/2006/relationships/hyperlink" Target="https://mstgolf.co.th/products/gf2080101181" TargetMode="External" Id="rId4104" /><Relationship Type="http://schemas.openxmlformats.org/officeDocument/2006/relationships/hyperlink" Target="https://mstgolf.co.th/products/gf2080101146" TargetMode="External" Id="rId4105" /><Relationship Type="http://schemas.openxmlformats.org/officeDocument/2006/relationships/hyperlink" Target="https://mstgolf.co.th/products/gf2080101145" TargetMode="External" Id="rId4106" /><Relationship Type="http://schemas.openxmlformats.org/officeDocument/2006/relationships/hyperlink" Target="https://mstgolf.co.th/products/gf2080101142" TargetMode="External" Id="rId4107" /><Relationship Type="http://schemas.openxmlformats.org/officeDocument/2006/relationships/hyperlink" Target="https://mstgolf.co.th/products/gf2080101290" TargetMode="External" Id="rId4108" /><Relationship Type="http://schemas.openxmlformats.org/officeDocument/2006/relationships/hyperlink" Target="https://mstgolf.co.th/products/gf2000105761" TargetMode="External" Id="rId4109" /><Relationship Type="http://schemas.openxmlformats.org/officeDocument/2006/relationships/hyperlink" Target="https://mstgolf.co.th/products/gf2000105095" TargetMode="External" Id="rId4110" /><Relationship Type="http://schemas.openxmlformats.org/officeDocument/2006/relationships/hyperlink" Target="https://mstgolf.co.th/products/gf3500201389" TargetMode="External" Id="rId4111" /><Relationship Type="http://schemas.openxmlformats.org/officeDocument/2006/relationships/hyperlink" Target="https://mstgolf.co.th/products/gf3500201353" TargetMode="External" Id="rId4112" /><Relationship Type="http://schemas.openxmlformats.org/officeDocument/2006/relationships/hyperlink" Target="https://mstgolf.co.th/products/gf3500300341" TargetMode="External" Id="rId4113" /><Relationship Type="http://schemas.openxmlformats.org/officeDocument/2006/relationships/hyperlink" Target="https://mstgolf.co.th/products/gf2000105976" TargetMode="External" Id="rId4114" /><Relationship Type="http://schemas.openxmlformats.org/officeDocument/2006/relationships/hyperlink" Target="https://mstgolf.co.th/products/gf2000200981" TargetMode="External" Id="rId4115" /><Relationship Type="http://schemas.openxmlformats.org/officeDocument/2006/relationships/hyperlink" Target="https://mstgolf.co.th/products/gf2000106254" TargetMode="External" Id="rId4116" /><Relationship Type="http://schemas.openxmlformats.org/officeDocument/2006/relationships/hyperlink" Target="https://mstgolf.co.th/products/gf2000200929" TargetMode="External" Id="rId4117" /><Relationship Type="http://schemas.openxmlformats.org/officeDocument/2006/relationships/hyperlink" Target="https://mstgolf.co.th/products/gf2000200928" TargetMode="External" Id="rId4118" /><Relationship Type="http://schemas.openxmlformats.org/officeDocument/2006/relationships/hyperlink" Target="https://mstgolf.co.th/products/gf2000201043" TargetMode="External" Id="rId4119" /><Relationship Type="http://schemas.openxmlformats.org/officeDocument/2006/relationships/hyperlink" Target="https://mstgolf.co.th/products/gf2100200461" TargetMode="External" Id="rId4120" /><Relationship Type="http://schemas.openxmlformats.org/officeDocument/2006/relationships/hyperlink" Target="https://mstgolf.co.th/products/gf2000200978" TargetMode="External" Id="rId4121" /><Relationship Type="http://schemas.openxmlformats.org/officeDocument/2006/relationships/hyperlink" Target="https://mstgolf.co.th/products/gf2000104844" TargetMode="External" Id="rId4122" /><Relationship Type="http://schemas.openxmlformats.org/officeDocument/2006/relationships/hyperlink" Target="https://mstgolf.co.th/products/gf2040113274" TargetMode="External" Id="rId4123" /><Relationship Type="http://schemas.openxmlformats.org/officeDocument/2006/relationships/hyperlink" Target="https://mstgolf.co.th/products/gf3500300963" TargetMode="External" Id="rId4124" /><Relationship Type="http://schemas.openxmlformats.org/officeDocument/2006/relationships/hyperlink" Target="https://mstgolf.co.th/products/gf2000105068" TargetMode="External" Id="rId4125" /><Relationship Type="http://schemas.openxmlformats.org/officeDocument/2006/relationships/hyperlink" Target="https://mstgolf.co.th/products/gf2080101293" TargetMode="External" Id="rId4126" /><Relationship Type="http://schemas.openxmlformats.org/officeDocument/2006/relationships/hyperlink" Target="https://mstgolf.co.th/products/gf2040115779" TargetMode="External" Id="rId4127" /><Relationship Type="http://schemas.openxmlformats.org/officeDocument/2006/relationships/hyperlink" Target="https://mstgolf.co.th/products/gf2040115778" TargetMode="External" Id="rId4128" /><Relationship Type="http://schemas.openxmlformats.org/officeDocument/2006/relationships/hyperlink" Target="https://mstgolf.co.th/products/gf2000106598" TargetMode="External" Id="rId4129" /><Relationship Type="http://schemas.openxmlformats.org/officeDocument/2006/relationships/hyperlink" Target="https://mstgolf.co.th/products/gf2040117663" TargetMode="External" Id="rId4130" /><Relationship Type="http://schemas.openxmlformats.org/officeDocument/2006/relationships/hyperlink" Target="https://mstgolf.co.th/products/gf2040200173" TargetMode="External" Id="rId4131" /><Relationship Type="http://schemas.openxmlformats.org/officeDocument/2006/relationships/hyperlink" Target="https://mstgolf.co.th/products/gf2040200174" TargetMode="External" Id="rId4132" /><Relationship Type="http://schemas.openxmlformats.org/officeDocument/2006/relationships/hyperlink" Target="https://mstgolf.co.th/products/gf2080101424" TargetMode="External" Id="rId4133" /><Relationship Type="http://schemas.openxmlformats.org/officeDocument/2006/relationships/hyperlink" Target="https://mstgolf.co.th/products/gf2080101423" TargetMode="External" Id="rId4134" /><Relationship Type="http://schemas.openxmlformats.org/officeDocument/2006/relationships/hyperlink" Target="https://mstgolf.co.th/products/gf2040120463" TargetMode="External" Id="rId4135" /><Relationship Type="http://schemas.openxmlformats.org/officeDocument/2006/relationships/hyperlink" Target="https://mstgolf.co.th/products/gf2040117659" TargetMode="External" Id="rId4136" /><Relationship Type="http://schemas.openxmlformats.org/officeDocument/2006/relationships/hyperlink" Target="https://mstgolf.co.th/products/gf2040120466" TargetMode="External" Id="rId4137" /><Relationship Type="http://schemas.openxmlformats.org/officeDocument/2006/relationships/hyperlink" Target="https://mstgolf.co.th/products/gf2040120462" TargetMode="External" Id="rId4138" /><Relationship Type="http://schemas.openxmlformats.org/officeDocument/2006/relationships/hyperlink" Target="https://mstgolf.co.th/products/gf2040120461" TargetMode="External" Id="rId4139" /><Relationship Type="http://schemas.openxmlformats.org/officeDocument/2006/relationships/hyperlink" Target="https://mstgolf.co.th/products/gf2020202148" TargetMode="External" Id="rId4140" /><Relationship Type="http://schemas.openxmlformats.org/officeDocument/2006/relationships/hyperlink" Target="https://mstgolf.co.th/products/gf2040119488" TargetMode="External" Id="rId4141" /><Relationship Type="http://schemas.openxmlformats.org/officeDocument/2006/relationships/hyperlink" Target="https://mstgolf.co.th/products/gf2020202149" TargetMode="External" Id="rId4142" /><Relationship Type="http://schemas.openxmlformats.org/officeDocument/2006/relationships/hyperlink" Target="https://mstgolf.co.th/products/gf2000106747" TargetMode="External" Id="rId4143" /><Relationship Type="http://schemas.openxmlformats.org/officeDocument/2006/relationships/hyperlink" Target="https://mstgolf.co.th/products/gf2000106746" TargetMode="External" Id="rId4144" /><Relationship Type="http://schemas.openxmlformats.org/officeDocument/2006/relationships/hyperlink" Target="https://mstgolf.co.th/products/gf2040118441" TargetMode="External" Id="rId4145" /><Relationship Type="http://schemas.openxmlformats.org/officeDocument/2006/relationships/hyperlink" Target="https://mstgolf.co.th/products/gf2040118585" TargetMode="External" Id="rId4146" /><Relationship Type="http://schemas.openxmlformats.org/officeDocument/2006/relationships/hyperlink" Target="https://mstgolf.co.th/products/gf2040119390" TargetMode="External" Id="rId4147" /><Relationship Type="http://schemas.openxmlformats.org/officeDocument/2006/relationships/hyperlink" Target="https://mstgolf.co.th/products/gf2040119392" TargetMode="External" Id="rId4148" /><Relationship Type="http://schemas.openxmlformats.org/officeDocument/2006/relationships/hyperlink" Target="https://mstgolf.co.th/products/gf3150100337" TargetMode="External" Id="rId4149" /><Relationship Type="http://schemas.openxmlformats.org/officeDocument/2006/relationships/hyperlink" Target="https://mstgolf.co.th/products/gf2040116407" TargetMode="External" Id="rId4150" /><Relationship Type="http://schemas.openxmlformats.org/officeDocument/2006/relationships/hyperlink" Target="https://mstgolf.co.th/products/gf2040116408" TargetMode="External" Id="rId4151" /><Relationship Type="http://schemas.openxmlformats.org/officeDocument/2006/relationships/hyperlink" Target="https://mstgolf.co.th/products/gf2040116403" TargetMode="External" Id="rId4152" /><Relationship Type="http://schemas.openxmlformats.org/officeDocument/2006/relationships/hyperlink" Target="https://mstgolf.co.th/products/gf2040117320" TargetMode="External" Id="rId4153" /><Relationship Type="http://schemas.openxmlformats.org/officeDocument/2006/relationships/hyperlink" Target="https://mstgolf.co.th/products/gf2000300546" TargetMode="External" Id="rId4154" /><Relationship Type="http://schemas.openxmlformats.org/officeDocument/2006/relationships/hyperlink" Target="https://mstgolf.co.th/products/gf2000105036" TargetMode="External" Id="rId4155" /><Relationship Type="http://schemas.openxmlformats.org/officeDocument/2006/relationships/hyperlink" Target="https://mstgolf.co.th/products/gf2000104598" TargetMode="External" Id="rId4156" /><Relationship Type="http://schemas.openxmlformats.org/officeDocument/2006/relationships/hyperlink" Target="https://mstgolf.co.th/products/gf2000104934" TargetMode="External" Id="rId4157" /><Relationship Type="http://schemas.openxmlformats.org/officeDocument/2006/relationships/hyperlink" Target="https://mstgolf.co.th/products/gf2000104947" TargetMode="External" Id="rId4158" /><Relationship Type="http://schemas.openxmlformats.org/officeDocument/2006/relationships/hyperlink" Target="https://mstgolf.co.th/products/gf2000104948" TargetMode="External" Id="rId4159" /><Relationship Type="http://schemas.openxmlformats.org/officeDocument/2006/relationships/hyperlink" Target="https://mstgolf.co.th/products/gf2000104942" TargetMode="External" Id="rId4160" /><Relationship Type="http://schemas.openxmlformats.org/officeDocument/2006/relationships/hyperlink" Target="https://mstgolf.co.th/products/gf2000104936" TargetMode="External" Id="rId4161" /><Relationship Type="http://schemas.openxmlformats.org/officeDocument/2006/relationships/hyperlink" Target="https://mstgolf.co.th/products/gf2000104937" TargetMode="External" Id="rId4162" /><Relationship Type="http://schemas.openxmlformats.org/officeDocument/2006/relationships/hyperlink" Target="https://mstgolf.co.th/products/gf2000104946" TargetMode="External" Id="rId4163" /><Relationship Type="http://schemas.openxmlformats.org/officeDocument/2006/relationships/hyperlink" Target="https://mstgolf.co.th/products/gf2000104949" TargetMode="External" Id="rId4164" /><Relationship Type="http://schemas.openxmlformats.org/officeDocument/2006/relationships/hyperlink" Target="https://mstgolf.co.th/products/gf2000104941" TargetMode="External" Id="rId4165" /><Relationship Type="http://schemas.openxmlformats.org/officeDocument/2006/relationships/hyperlink" Target="https://mstgolf.co.th/products/gf2000104940" TargetMode="External" Id="rId4166" /><Relationship Type="http://schemas.openxmlformats.org/officeDocument/2006/relationships/hyperlink" Target="https://mstgolf.co.th/products/gf2000104950" TargetMode="External" Id="rId4167" /><Relationship Type="http://schemas.openxmlformats.org/officeDocument/2006/relationships/hyperlink" Target="https://mstgolf.co.th/products/gf2000106639" TargetMode="External" Id="rId4168" /><Relationship Type="http://schemas.openxmlformats.org/officeDocument/2006/relationships/hyperlink" Target="https://mstgolf.co.th/products/gf2000201110" TargetMode="External" Id="rId4169" /><Relationship Type="http://schemas.openxmlformats.org/officeDocument/2006/relationships/hyperlink" Target="https://mstgolf.co.th/products/gf2000201111" TargetMode="External" Id="rId4170" /><Relationship Type="http://schemas.openxmlformats.org/officeDocument/2006/relationships/hyperlink" Target="https://mstgolf.co.th/products/gf2000201112" TargetMode="External" Id="rId4171" /><Relationship Type="http://schemas.openxmlformats.org/officeDocument/2006/relationships/hyperlink" Target="https://mstgolf.co.th/products/gf2000201117" TargetMode="External" Id="rId4172" /><Relationship Type="http://schemas.openxmlformats.org/officeDocument/2006/relationships/hyperlink" Target="https://mstgolf.co.th/products/gf2000201118" TargetMode="External" Id="rId4173" /><Relationship Type="http://schemas.openxmlformats.org/officeDocument/2006/relationships/hyperlink" Target="https://mstgolf.co.th/products/gf2000201119" TargetMode="External" Id="rId4174" /><Relationship Type="http://schemas.openxmlformats.org/officeDocument/2006/relationships/hyperlink" Target="https://mstgolf.co.th/products/gf2000201120" TargetMode="External" Id="rId4175" /><Relationship Type="http://schemas.openxmlformats.org/officeDocument/2006/relationships/hyperlink" Target="https://mstgolf.co.th/products/gf2040118316" TargetMode="External" Id="rId4176" /><Relationship Type="http://schemas.openxmlformats.org/officeDocument/2006/relationships/hyperlink" Target="https://mstgolf.co.th/products/gf2000106638" TargetMode="External" Id="rId4177" /><Relationship Type="http://schemas.openxmlformats.org/officeDocument/2006/relationships/hyperlink" Target="https://mstgolf.co.th/products/gf2000201113" TargetMode="External" Id="rId4178" /><Relationship Type="http://schemas.openxmlformats.org/officeDocument/2006/relationships/hyperlink" Target="https://mstgolf.co.th/products/gf2000201114" TargetMode="External" Id="rId4179" /><Relationship Type="http://schemas.openxmlformats.org/officeDocument/2006/relationships/hyperlink" Target="https://mstgolf.co.th/products/gf2000201115" TargetMode="External" Id="rId4180" /><Relationship Type="http://schemas.openxmlformats.org/officeDocument/2006/relationships/hyperlink" Target="https://mstgolf.co.th/products/gf2000201116" TargetMode="External" Id="rId4181" /><Relationship Type="http://schemas.openxmlformats.org/officeDocument/2006/relationships/hyperlink" Target="https://mstgolf.co.th/products/gf2020201778" TargetMode="External" Id="rId4182" /><Relationship Type="http://schemas.openxmlformats.org/officeDocument/2006/relationships/hyperlink" Target="https://mstgolf.co.th/products/gf2020201779" TargetMode="External" Id="rId4183" /><Relationship Type="http://schemas.openxmlformats.org/officeDocument/2006/relationships/hyperlink" Target="https://mstgolf.co.th/products/gf2020202009" TargetMode="External" Id="rId4184" /><Relationship Type="http://schemas.openxmlformats.org/officeDocument/2006/relationships/hyperlink" Target="https://mstgolf.co.th/products/gf2020201732" TargetMode="External" Id="rId4185" /><Relationship Type="http://schemas.openxmlformats.org/officeDocument/2006/relationships/hyperlink" Target="https://mstgolf.co.th/products/gf2040115156" TargetMode="External" Id="rId4186" /><Relationship Type="http://schemas.openxmlformats.org/officeDocument/2006/relationships/hyperlink" Target="https://mstgolf.co.th/products/gf2040116649" TargetMode="External" Id="rId4187" /><Relationship Type="http://schemas.openxmlformats.org/officeDocument/2006/relationships/hyperlink" Target="https://mstgolf.co.th/products/gf2040115042" TargetMode="External" Id="rId4188" /><Relationship Type="http://schemas.openxmlformats.org/officeDocument/2006/relationships/hyperlink" Target="https://mstgolf.co.th/products/gf2040116627" TargetMode="External" Id="rId4189" /><Relationship Type="http://schemas.openxmlformats.org/officeDocument/2006/relationships/hyperlink" Target="https://mstgolf.co.th/products/gf2040114821" TargetMode="External" Id="rId4190" /><Relationship Type="http://schemas.openxmlformats.org/officeDocument/2006/relationships/hyperlink" Target="https://mstgolf.co.th/products/gf2040116631" TargetMode="External" Id="rId4191" /><Relationship Type="http://schemas.openxmlformats.org/officeDocument/2006/relationships/hyperlink" Target="https://mstgolf.co.th/products/gf2040115116" TargetMode="External" Id="rId4192" /><Relationship Type="http://schemas.openxmlformats.org/officeDocument/2006/relationships/hyperlink" Target="https://mstgolf.co.th/products/gf2040116671" TargetMode="External" Id="rId4193" /><Relationship Type="http://schemas.openxmlformats.org/officeDocument/2006/relationships/hyperlink" Target="https://mstgolf.co.th/products/gf2040116666" TargetMode="External" Id="rId4194" /><Relationship Type="http://schemas.openxmlformats.org/officeDocument/2006/relationships/hyperlink" Target="https://mstgolf.co.th/products/gf2000105159" TargetMode="External" Id="rId4195" /><Relationship Type="http://schemas.openxmlformats.org/officeDocument/2006/relationships/hyperlink" Target="https://mstgolf.co.th/products/gf2000106255" TargetMode="External" Id="rId4196" /><Relationship Type="http://schemas.openxmlformats.org/officeDocument/2006/relationships/hyperlink" Target="https://mstgolf.co.th/products/gf2000105184" TargetMode="External" Id="rId4197" /><Relationship Type="http://schemas.openxmlformats.org/officeDocument/2006/relationships/hyperlink" Target="https://mstgolf.co.th/products/gf2000105186" TargetMode="External" Id="rId4198" /><Relationship Type="http://schemas.openxmlformats.org/officeDocument/2006/relationships/hyperlink" Target="https://mstgolf.co.th/products/gf2040200086" TargetMode="External" Id="rId4199" /><Relationship Type="http://schemas.openxmlformats.org/officeDocument/2006/relationships/hyperlink" Target="https://mstgolf.co.th/products/gf2000104638" TargetMode="External" Id="rId4200" /><Relationship Type="http://schemas.openxmlformats.org/officeDocument/2006/relationships/hyperlink" Target="https://mstgolf.co.th/products/gf2080101404" TargetMode="External" Id="rId4201" /><Relationship Type="http://schemas.openxmlformats.org/officeDocument/2006/relationships/hyperlink" Target="https://mstgolf.co.th/products/gf2080101405" TargetMode="External" Id="rId4202" /><Relationship Type="http://schemas.openxmlformats.org/officeDocument/2006/relationships/hyperlink" Target="https://mstgolf.co.th/products/gf2080101406" TargetMode="External" Id="rId4203" /><Relationship Type="http://schemas.openxmlformats.org/officeDocument/2006/relationships/hyperlink" Target="https://mstgolf.co.th/products/gf2110100091" TargetMode="External" Id="rId4204" /><Relationship Type="http://schemas.openxmlformats.org/officeDocument/2006/relationships/hyperlink" Target="https://mstgolf.co.th/products/gf3500300282" TargetMode="External" Id="rId4205" /><Relationship Type="http://schemas.openxmlformats.org/officeDocument/2006/relationships/hyperlink" Target="https://mstgolf.co.th/products/gf2040115839" TargetMode="External" Id="rId4206" /><Relationship Type="http://schemas.openxmlformats.org/officeDocument/2006/relationships/hyperlink" Target="https://mstgolf.co.th/products/gf2040117632" TargetMode="External" Id="rId4207" /><Relationship Type="http://schemas.openxmlformats.org/officeDocument/2006/relationships/hyperlink" Target="https://mstgolf.co.th/products/gf2070400166" TargetMode="External" Id="rId4208" /><Relationship Type="http://schemas.openxmlformats.org/officeDocument/2006/relationships/hyperlink" Target="https://mstgolf.co.th/products/gf2000106168" TargetMode="External" Id="rId4209" /><Relationship Type="http://schemas.openxmlformats.org/officeDocument/2006/relationships/hyperlink" Target="https://mstgolf.co.th/products/gf2040118433" TargetMode="External" Id="rId4210" /><Relationship Type="http://schemas.openxmlformats.org/officeDocument/2006/relationships/hyperlink" Target="https://mstgolf.co.th/products/gf2041200101" TargetMode="External" Id="rId4211" /><Relationship Type="http://schemas.openxmlformats.org/officeDocument/2006/relationships/hyperlink" Target="https://mstgolf.co.th/products/gf3500300961" TargetMode="External" Id="rId4212" /><Relationship Type="http://schemas.openxmlformats.org/officeDocument/2006/relationships/hyperlink" Target="https://mstgolf.co.th/products/gf3500300962" TargetMode="External" Id="rId4213" /><Relationship Type="http://schemas.openxmlformats.org/officeDocument/2006/relationships/hyperlink" Target="https://mstgolf.co.th/products/gf3130100427" TargetMode="External" Id="rId4214" /><Relationship Type="http://schemas.openxmlformats.org/officeDocument/2006/relationships/hyperlink" Target="https://mstgolf.co.th/products/gf2000201038" TargetMode="External" Id="rId4215" /><Relationship Type="http://schemas.openxmlformats.org/officeDocument/2006/relationships/hyperlink" Target="https://mstgolf.co.th/products/gf2000201037" TargetMode="External" Id="rId4216" /><Relationship Type="http://schemas.openxmlformats.org/officeDocument/2006/relationships/hyperlink" Target="https://mstgolf.co.th/products/gf2000106744" TargetMode="External" Id="rId4217" /><Relationship Type="http://schemas.openxmlformats.org/officeDocument/2006/relationships/hyperlink" Target="https://mstgolf.co.th/products/gf2080101419" TargetMode="External" Id="rId4218" /><Relationship Type="http://schemas.openxmlformats.org/officeDocument/2006/relationships/hyperlink" Target="https://mstgolf.co.th/products/gf2080101422" TargetMode="External" Id="rId4219" /><Relationship Type="http://schemas.openxmlformats.org/officeDocument/2006/relationships/hyperlink" Target="https://mstgolf.co.th/products/gf2080101525" TargetMode="External" Id="rId4220" /><Relationship Type="http://schemas.openxmlformats.org/officeDocument/2006/relationships/hyperlink" Target="https://mstgolf.co.th/products/gf2000106845" TargetMode="External" Id="rId4221" /><Relationship Type="http://schemas.openxmlformats.org/officeDocument/2006/relationships/hyperlink" Target="https://mstgolf.co.th/products/gf2000106846" TargetMode="External" Id="rId4222" /><Relationship Type="http://schemas.openxmlformats.org/officeDocument/2006/relationships/hyperlink" Target="https://mstgolf.co.th/products/gf3150100320" TargetMode="External" Id="rId4223" /><Relationship Type="http://schemas.openxmlformats.org/officeDocument/2006/relationships/hyperlink" Target="https://mstgolf.co.th/products/gf2040115776" TargetMode="External" Id="rId4224" /><Relationship Type="http://schemas.openxmlformats.org/officeDocument/2006/relationships/hyperlink" Target="https://mstgolf.co.th/products/gf2040115775" TargetMode="External" Id="rId4225" /><Relationship Type="http://schemas.openxmlformats.org/officeDocument/2006/relationships/hyperlink" Target="https://mstgolf.co.th/products/gf2040114360" TargetMode="External" Id="rId4226" /><Relationship Type="http://schemas.openxmlformats.org/officeDocument/2006/relationships/hyperlink" Target="https://mstgolf.co.th/products/gf2040116458" TargetMode="External" Id="rId4227" /><Relationship Type="http://schemas.openxmlformats.org/officeDocument/2006/relationships/hyperlink" Target="https://mstgolf.co.th/products/gf2020600045" TargetMode="External" Id="rId4228" /><Relationship Type="http://schemas.openxmlformats.org/officeDocument/2006/relationships/hyperlink" Target="https://mstgolf.co.th/products/gf2020202129" TargetMode="External" Id="rId4229" /><Relationship Type="http://schemas.openxmlformats.org/officeDocument/2006/relationships/hyperlink" Target="https://mstgolf.co.th/products/gf2040117673" TargetMode="External" Id="rId4230" /><Relationship Type="http://schemas.openxmlformats.org/officeDocument/2006/relationships/hyperlink" Target="https://mstgolf.co.th/products/gf2040117674" TargetMode="External" Id="rId4231" /><Relationship Type="http://schemas.openxmlformats.org/officeDocument/2006/relationships/hyperlink" Target="https://mstgolf.co.th/products/gf2040116459" TargetMode="External" Id="rId4232" /><Relationship Type="http://schemas.openxmlformats.org/officeDocument/2006/relationships/hyperlink" Target="https://mstgolf.co.th/products/gf2040118574" TargetMode="External" Id="rId4233" /><Relationship Type="http://schemas.openxmlformats.org/officeDocument/2006/relationships/hyperlink" Target="https://mstgolf.co.th/products/gf2040114387" TargetMode="External" Id="rId4234" /><Relationship Type="http://schemas.openxmlformats.org/officeDocument/2006/relationships/hyperlink" Target="https://mstgolf.co.th/products/gf2040116581" TargetMode="External" Id="rId4235" /><Relationship Type="http://schemas.openxmlformats.org/officeDocument/2006/relationships/hyperlink" Target="https://mstgolf.co.th/products/gf2070400117" TargetMode="External" Id="rId4236" /><Relationship Type="http://schemas.openxmlformats.org/officeDocument/2006/relationships/hyperlink" Target="https://mstgolf.co.th/products/gf2070400118" TargetMode="External" Id="rId4237" /><Relationship Type="http://schemas.openxmlformats.org/officeDocument/2006/relationships/hyperlink" Target="https://mstgolf.co.th/products/gf2000106594" TargetMode="External" Id="rId4238" /><Relationship Type="http://schemas.openxmlformats.org/officeDocument/2006/relationships/hyperlink" Target="https://mstgolf.co.th/products/gf2000300348" TargetMode="External" Id="rId4239" /><Relationship Type="http://schemas.openxmlformats.org/officeDocument/2006/relationships/hyperlink" Target="https://mstgolf.co.th/products/gf2040116434" TargetMode="External" Id="rId4240" /><Relationship Type="http://schemas.openxmlformats.org/officeDocument/2006/relationships/hyperlink" Target="https://mstgolf.co.th/products/gf2040117639" TargetMode="External" Id="rId4241" /><Relationship Type="http://schemas.openxmlformats.org/officeDocument/2006/relationships/hyperlink" Target="https://mstgolf.co.th/products/gf2040118569" TargetMode="External" Id="rId4242" /><Relationship Type="http://schemas.openxmlformats.org/officeDocument/2006/relationships/hyperlink" Target="https://mstgolf.co.th/products/gf2000106595" TargetMode="External" Id="rId4243" /><Relationship Type="http://schemas.openxmlformats.org/officeDocument/2006/relationships/hyperlink" Target="https://mstgolf.co.th/products/gf2000106596" TargetMode="External" Id="rId4244" /><Relationship Type="http://schemas.openxmlformats.org/officeDocument/2006/relationships/hyperlink" Target="https://mstgolf.co.th/products/gf2000106593" TargetMode="External" Id="rId4245" /><Relationship Type="http://schemas.openxmlformats.org/officeDocument/2006/relationships/hyperlink" Target="https://mstgolf.co.th/products/gf2000201101" TargetMode="External" Id="rId4246" /><Relationship Type="http://schemas.openxmlformats.org/officeDocument/2006/relationships/hyperlink" Target="https://mstgolf.co.th/products/gf2000201102" TargetMode="External" Id="rId4247" /><Relationship Type="http://schemas.openxmlformats.org/officeDocument/2006/relationships/hyperlink" Target="https://mstgolf.co.th/products/gf2000201103" TargetMode="External" Id="rId4248" /><Relationship Type="http://schemas.openxmlformats.org/officeDocument/2006/relationships/hyperlink" Target="https://mstgolf.co.th/products/gf2000201100" TargetMode="External" Id="rId4249" /><Relationship Type="http://schemas.openxmlformats.org/officeDocument/2006/relationships/hyperlink" Target="https://mstgolf.co.th/products/gf3500400271" TargetMode="External" Id="rId4250" /><Relationship Type="http://schemas.openxmlformats.org/officeDocument/2006/relationships/hyperlink" Target="https://mstgolf.co.th/products/gf2000105680" TargetMode="External" Id="rId4251" /><Relationship Type="http://schemas.openxmlformats.org/officeDocument/2006/relationships/hyperlink" Target="https://mstgolf.co.th/products/gf2000105681" TargetMode="External" Id="rId4252" /><Relationship Type="http://schemas.openxmlformats.org/officeDocument/2006/relationships/hyperlink" Target="https://mstgolf.co.th/products/gf3150100336" TargetMode="External" Id="rId4253" /><Relationship Type="http://schemas.openxmlformats.org/officeDocument/2006/relationships/hyperlink" Target="https://mstgolf.co.th/products/gf2040113054" TargetMode="External" Id="rId4254" /><Relationship Type="http://schemas.openxmlformats.org/officeDocument/2006/relationships/hyperlink" Target="https://mstgolf.co.th/products/gf2000200761" TargetMode="External" Id="rId4255" /><Relationship Type="http://schemas.openxmlformats.org/officeDocument/2006/relationships/hyperlink" Target="https://mstgolf.co.th/products/gf2000200759" TargetMode="External" Id="rId4256" /><Relationship Type="http://schemas.openxmlformats.org/officeDocument/2006/relationships/hyperlink" Target="https://mstgolf.co.th/products/gf2040112838" TargetMode="External" Id="rId4257" /><Relationship Type="http://schemas.openxmlformats.org/officeDocument/2006/relationships/hyperlink" Target="https://mstgolf.co.th/products/gf2040114396" TargetMode="External" Id="rId4258" /><Relationship Type="http://schemas.openxmlformats.org/officeDocument/2006/relationships/hyperlink" Target="https://mstgolf.co.th/products/gf3500400402" TargetMode="External" Id="rId4259" /><Relationship Type="http://schemas.openxmlformats.org/officeDocument/2006/relationships/hyperlink" Target="https://mstgolf.co.th/products/gf3500400401" TargetMode="External" Id="rId4260" /><Relationship Type="http://schemas.openxmlformats.org/officeDocument/2006/relationships/hyperlink" Target="https://mstgolf.co.th/products/gf3500300399" TargetMode="External" Id="rId4261" /><Relationship Type="http://schemas.openxmlformats.org/officeDocument/2006/relationships/hyperlink" Target="https://mstgolf.co.th/products/gf2000106482" TargetMode="External" Id="rId4262" /><Relationship Type="http://schemas.openxmlformats.org/officeDocument/2006/relationships/hyperlink" Target="https://mstgolf.co.th/products/gf2110100186" TargetMode="External" Id="rId4263" /><Relationship Type="http://schemas.openxmlformats.org/officeDocument/2006/relationships/hyperlink" Target="https://mstgolf.co.th/products/gf2110100187" TargetMode="External" Id="rId4264" /><Relationship Type="http://schemas.openxmlformats.org/officeDocument/2006/relationships/hyperlink" Target="https://mstgolf.co.th/products/gf2100200669" TargetMode="External" Id="rId4265" /><Relationship Type="http://schemas.openxmlformats.org/officeDocument/2006/relationships/hyperlink" Target="https://mstgolf.co.th/products/gf2100200668" TargetMode="External" Id="rId4266" /><Relationship Type="http://schemas.openxmlformats.org/officeDocument/2006/relationships/hyperlink" Target="https://mstgolf.co.th/products/gf2080101495" TargetMode="External" Id="rId4267" /><Relationship Type="http://schemas.openxmlformats.org/officeDocument/2006/relationships/hyperlink" Target="https://mstgolf.co.th/products/gf2080101477" TargetMode="External" Id="rId4268" /><Relationship Type="http://schemas.openxmlformats.org/officeDocument/2006/relationships/hyperlink" Target="https://mstgolf.co.th/products/gf3500300950" TargetMode="External" Id="rId4269" /><Relationship Type="http://schemas.openxmlformats.org/officeDocument/2006/relationships/hyperlink" Target="https://mstgolf.co.th/products/gf3500300951" TargetMode="External" Id="rId4270" /><Relationship Type="http://schemas.openxmlformats.org/officeDocument/2006/relationships/hyperlink" Target="https://mstgolf.co.th/products/gf2040400907" TargetMode="External" Id="rId4271" /><Relationship Type="http://schemas.openxmlformats.org/officeDocument/2006/relationships/hyperlink" Target="https://mstgolf.co.th/products/gf2000300211" TargetMode="External" Id="rId4272" /><Relationship Type="http://schemas.openxmlformats.org/officeDocument/2006/relationships/hyperlink" Target="https://mstgolf.co.th/products/gf2000200972" TargetMode="External" Id="rId4273" /><Relationship Type="http://schemas.openxmlformats.org/officeDocument/2006/relationships/hyperlink" Target="https://mstgolf.co.th/products/gf2000200973" TargetMode="External" Id="rId4274" /><Relationship Type="http://schemas.openxmlformats.org/officeDocument/2006/relationships/hyperlink" Target="https://mstgolf.co.th/products/gf2110200028" TargetMode="External" Id="rId4275" /><Relationship Type="http://schemas.openxmlformats.org/officeDocument/2006/relationships/hyperlink" Target="https://mstgolf.co.th/products/gf2000104736" TargetMode="External" Id="rId4276" /><Relationship Type="http://schemas.openxmlformats.org/officeDocument/2006/relationships/hyperlink" Target="https://mstgolf.co.th/products/gf2000104712" TargetMode="External" Id="rId4277" /><Relationship Type="http://schemas.openxmlformats.org/officeDocument/2006/relationships/hyperlink" Target="https://mstgolf.co.th/products/gf2000104731" TargetMode="External" Id="rId4278" /><Relationship Type="http://schemas.openxmlformats.org/officeDocument/2006/relationships/hyperlink" Target="https://mstgolf.co.th/products/gf2000105606" TargetMode="External" Id="rId4279" /><Relationship Type="http://schemas.openxmlformats.org/officeDocument/2006/relationships/hyperlink" Target="https://mstgolf.co.th/products/gf2040200085" TargetMode="External" Id="rId4280" /><Relationship Type="http://schemas.openxmlformats.org/officeDocument/2006/relationships/hyperlink" Target="https://mstgolf.co.th/products/gf2000104166" TargetMode="External" Id="rId4281" /><Relationship Type="http://schemas.openxmlformats.org/officeDocument/2006/relationships/hyperlink" Target="https://mstgolf.co.th/products/gf2000105062" TargetMode="External" Id="rId4282" /><Relationship Type="http://schemas.openxmlformats.org/officeDocument/2006/relationships/hyperlink" Target="https://mstgolf.co.th/products/gf2040116163" TargetMode="External" Id="rId4283" /><Relationship Type="http://schemas.openxmlformats.org/officeDocument/2006/relationships/hyperlink" Target="https://mstgolf.co.th/products/gf2040116162" TargetMode="External" Id="rId4284" /><Relationship Type="http://schemas.openxmlformats.org/officeDocument/2006/relationships/hyperlink" Target="https://mstgolf.co.th/products/gf2000105067" TargetMode="External" Id="rId4285" /><Relationship Type="http://schemas.openxmlformats.org/officeDocument/2006/relationships/hyperlink" Target="https://mstgolf.co.th/products/gf3500300080" TargetMode="External" Id="rId4286" /><Relationship Type="http://schemas.openxmlformats.org/officeDocument/2006/relationships/hyperlink" Target="https://mstgolf.co.th/products/gf2090200277" TargetMode="External" Id="rId4287" /><Relationship Type="http://schemas.openxmlformats.org/officeDocument/2006/relationships/hyperlink" Target="https://mstgolf.co.th/products/gf2090100668" TargetMode="External" Id="rId4288" /><Relationship Type="http://schemas.openxmlformats.org/officeDocument/2006/relationships/hyperlink" Target="https://mstgolf.co.th/products/gf2110200020" TargetMode="External" Id="rId4289" /><Relationship Type="http://schemas.openxmlformats.org/officeDocument/2006/relationships/hyperlink" Target="https://mstgolf.co.th/products/gf2110200030" TargetMode="External" Id="rId4290" /><Relationship Type="http://schemas.openxmlformats.org/officeDocument/2006/relationships/hyperlink" Target="https://mstgolf.co.th/products/gf2110200019" TargetMode="External" Id="rId4291" /><Relationship Type="http://schemas.openxmlformats.org/officeDocument/2006/relationships/hyperlink" Target="https://mstgolf.co.th/products/gf2020202220" TargetMode="External" Id="rId4292" /><Relationship Type="http://schemas.openxmlformats.org/officeDocument/2006/relationships/hyperlink" Target="https://mstgolf.co.th/products/gf2020202521" TargetMode="External" Id="rId4293" /><Relationship Type="http://schemas.openxmlformats.org/officeDocument/2006/relationships/hyperlink" Target="https://mstgolf.co.th/products/gf2090700098" TargetMode="External" Id="rId4294" /><Relationship Type="http://schemas.openxmlformats.org/officeDocument/2006/relationships/hyperlink" Target="https://mstgolf.co.th/products/gf2090700112" TargetMode="External" Id="rId4295" /><Relationship Type="http://schemas.openxmlformats.org/officeDocument/2006/relationships/hyperlink" Target="https://mstgolf.co.th/products/gf2090200361" TargetMode="External" Id="rId4296" /><Relationship Type="http://schemas.openxmlformats.org/officeDocument/2006/relationships/hyperlink" Target="https://mstgolf.co.th/products/gf2090200362" TargetMode="External" Id="rId4297" /><Relationship Type="http://schemas.openxmlformats.org/officeDocument/2006/relationships/hyperlink" Target="https://mstgolf.co.th/products/gf2020202128" TargetMode="External" Id="rId4298" /><Relationship Type="http://schemas.openxmlformats.org/officeDocument/2006/relationships/hyperlink" Target="https://mstgolf.co.th/products/gf2040116462" TargetMode="External" Id="rId4299" /><Relationship Type="http://schemas.openxmlformats.org/officeDocument/2006/relationships/hyperlink" Target="https://mstgolf.co.th/products/gf2000201027" TargetMode="External" Id="rId4300" /><Relationship Type="http://schemas.openxmlformats.org/officeDocument/2006/relationships/hyperlink" Target="https://mstgolf.co.th/products/gf2000201026" TargetMode="External" Id="rId4301" /><Relationship Type="http://schemas.openxmlformats.org/officeDocument/2006/relationships/hyperlink" Target="https://mstgolf.co.th/products/gf2000200996" TargetMode="External" Id="rId4302" /><Relationship Type="http://schemas.openxmlformats.org/officeDocument/2006/relationships/hyperlink" Target="https://mstgolf.co.th/products/gf2000300399" TargetMode="External" Id="rId4303" /><Relationship Type="http://schemas.openxmlformats.org/officeDocument/2006/relationships/hyperlink" Target="https://mstgolf.co.th/products/gf2000300397" TargetMode="External" Id="rId4304" /><Relationship Type="http://schemas.openxmlformats.org/officeDocument/2006/relationships/hyperlink" Target="https://mstgolf.co.th/products/gf2070400134" TargetMode="External" Id="rId4305" /><Relationship Type="http://schemas.openxmlformats.org/officeDocument/2006/relationships/hyperlink" Target="https://mstgolf.co.th/products/gf2110100151" TargetMode="External" Id="rId4306" /><Relationship Type="http://schemas.openxmlformats.org/officeDocument/2006/relationships/hyperlink" Target="https://mstgolf.co.th/products/gf2110100141" TargetMode="External" Id="rId4307" /><Relationship Type="http://schemas.openxmlformats.org/officeDocument/2006/relationships/hyperlink" Target="https://mstgolf.co.th/products/gf2090200205" TargetMode="External" Id="rId4308" /><Relationship Type="http://schemas.openxmlformats.org/officeDocument/2006/relationships/hyperlink" Target="https://mstgolf.co.th/products/gf2090200206" TargetMode="External" Id="rId4309" /><Relationship Type="http://schemas.openxmlformats.org/officeDocument/2006/relationships/hyperlink" Target="https://mstgolf.co.th/products/gf2090200238" TargetMode="External" Id="rId4310" /><Relationship Type="http://schemas.openxmlformats.org/officeDocument/2006/relationships/hyperlink" Target="https://mstgolf.co.th/products/gf3500300480" TargetMode="External" Id="rId4311" /><Relationship Type="http://schemas.openxmlformats.org/officeDocument/2006/relationships/hyperlink" Target="https://mstgolf.co.th/products/gf2000104861" TargetMode="External" Id="rId4312" /><Relationship Type="http://schemas.openxmlformats.org/officeDocument/2006/relationships/hyperlink" Target="https://mstgolf.co.th/products/gf2000300532" TargetMode="External" Id="rId4313" /><Relationship Type="http://schemas.openxmlformats.org/officeDocument/2006/relationships/hyperlink" Target="https://mstgolf.co.th/products/gf2000106709" TargetMode="External" Id="rId4314" /><Relationship Type="http://schemas.openxmlformats.org/officeDocument/2006/relationships/hyperlink" Target="https://mstgolf.co.th/products/gf2000106708" TargetMode="External" Id="rId4315" /><Relationship Type="http://schemas.openxmlformats.org/officeDocument/2006/relationships/hyperlink" Target="https://mstgolf.co.th/products/gf2000300533" TargetMode="External" Id="rId4316" /><Relationship Type="http://schemas.openxmlformats.org/officeDocument/2006/relationships/hyperlink" Target="https://mstgolf.co.th/products/gf2000106707" TargetMode="External" Id="rId4317" /><Relationship Type="http://schemas.openxmlformats.org/officeDocument/2006/relationships/hyperlink" Target="https://mstgolf.co.th/products/gf3500300964" TargetMode="External" Id="rId4318" /><Relationship Type="http://schemas.openxmlformats.org/officeDocument/2006/relationships/hyperlink" Target="https://mstgolf.co.th/products/gf3500200383" TargetMode="External" Id="rId4319" /><Relationship Type="http://schemas.openxmlformats.org/officeDocument/2006/relationships/hyperlink" Target="https://mstgolf.co.th/products/gf3500200384" TargetMode="External" Id="rId4320" /><Relationship Type="http://schemas.openxmlformats.org/officeDocument/2006/relationships/hyperlink" Target="https://mstgolf.co.th/products/gf3500200385" TargetMode="External" Id="rId4321" /><Relationship Type="http://schemas.openxmlformats.org/officeDocument/2006/relationships/hyperlink" Target="https://mstgolf.co.th/products/gf2090300177" TargetMode="External" Id="rId4322" /><Relationship Type="http://schemas.openxmlformats.org/officeDocument/2006/relationships/hyperlink" Target="https://mstgolf.co.th/products/gf2090300147" TargetMode="External" Id="rId4323" /><Relationship Type="http://schemas.openxmlformats.org/officeDocument/2006/relationships/hyperlink" Target="https://mstgolf.co.th/products/gf2090300141" TargetMode="External" Id="rId4324" /><Relationship Type="http://schemas.openxmlformats.org/officeDocument/2006/relationships/hyperlink" Target="https://mstgolf.co.th/products/gf3500300997" TargetMode="External" Id="rId4325" /><Relationship Type="http://schemas.openxmlformats.org/officeDocument/2006/relationships/hyperlink" Target="https://mstgolf.co.th/products/gf2090700104" TargetMode="External" Id="rId4326" /><Relationship Type="http://schemas.openxmlformats.org/officeDocument/2006/relationships/hyperlink" Target="https://mstgolf.co.th/products/gf2090700105" TargetMode="External" Id="rId4327" /><Relationship Type="http://schemas.openxmlformats.org/officeDocument/2006/relationships/hyperlink" Target="https://mstgolf.co.th/products/gf3500400384" TargetMode="External" Id="rId4328" /><Relationship Type="http://schemas.openxmlformats.org/officeDocument/2006/relationships/hyperlink" Target="https://mstgolf.co.th/products/gf2080101415" TargetMode="External" Id="rId4329" /><Relationship Type="http://schemas.openxmlformats.org/officeDocument/2006/relationships/hyperlink" Target="https://mstgolf.co.th/products/gf3500200464" TargetMode="External" Id="rId4330" /><Relationship Type="http://schemas.openxmlformats.org/officeDocument/2006/relationships/hyperlink" Target="https://mstgolf.co.th/products/gf3500200466" TargetMode="External" Id="rId4331" /><Relationship Type="http://schemas.openxmlformats.org/officeDocument/2006/relationships/hyperlink" Target="https://mstgolf.co.th/products/gf3500200679" TargetMode="External" Id="rId4332" /><Relationship Type="http://schemas.openxmlformats.org/officeDocument/2006/relationships/hyperlink" Target="https://mstgolf.co.th/products/gf3500200465" TargetMode="External" Id="rId4333" /><Relationship Type="http://schemas.openxmlformats.org/officeDocument/2006/relationships/hyperlink" Target="https://mstgolf.co.th/products/gf2090200204" TargetMode="External" Id="rId4334" /><Relationship Type="http://schemas.openxmlformats.org/officeDocument/2006/relationships/hyperlink" Target="https://mstgolf.co.th/products/gf2000104917" TargetMode="External" Id="rId4335" /><Relationship Type="http://schemas.openxmlformats.org/officeDocument/2006/relationships/hyperlink" Target="https://mstgolf.co.th/products/gf2000104918" TargetMode="External" Id="rId4336" /><Relationship Type="http://schemas.openxmlformats.org/officeDocument/2006/relationships/hyperlink" Target="https://mstgolf.co.th/products/gf2000106544" TargetMode="External" Id="rId4337" /><Relationship Type="http://schemas.openxmlformats.org/officeDocument/2006/relationships/hyperlink" Target="https://mstgolf.co.th/products/gf2000106543" TargetMode="External" Id="rId4338" /><Relationship Type="http://schemas.openxmlformats.org/officeDocument/2006/relationships/hyperlink" Target="https://mstgolf.co.th/products/gf2000106624" TargetMode="External" Id="rId4339" /><Relationship Type="http://schemas.openxmlformats.org/officeDocument/2006/relationships/hyperlink" Target="https://mstgolf.co.th/products/gf2000102351" TargetMode="External" Id="rId4340" /><Relationship Type="http://schemas.openxmlformats.org/officeDocument/2006/relationships/hyperlink" Target="https://mstgolf.co.th/products/gf3500300353" TargetMode="External" Id="rId4341" /><Relationship Type="http://schemas.openxmlformats.org/officeDocument/2006/relationships/hyperlink" Target="https://mstgolf.co.th/products/gf2000104573" TargetMode="External" Id="rId4342" /><Relationship Type="http://schemas.openxmlformats.org/officeDocument/2006/relationships/hyperlink" Target="https://mstgolf.co.th/products/gf2000104574" TargetMode="External" Id="rId4343" /><Relationship Type="http://schemas.openxmlformats.org/officeDocument/2006/relationships/hyperlink" Target="https://mstgolf.co.th/products/gf2090100635" TargetMode="External" Id="rId4344" /><Relationship Type="http://schemas.openxmlformats.org/officeDocument/2006/relationships/hyperlink" Target="https://mstgolf.co.th/products/gf3500300049" TargetMode="External" Id="rId4345" /><Relationship Type="http://schemas.openxmlformats.org/officeDocument/2006/relationships/hyperlink" Target="https://mstgolf.co.th/products/gf3500300050" TargetMode="External" Id="rId4346" /><Relationship Type="http://schemas.openxmlformats.org/officeDocument/2006/relationships/hyperlink" Target="https://mstgolf.co.th/products/gf3500300048" TargetMode="External" Id="rId4347" /><Relationship Type="http://schemas.openxmlformats.org/officeDocument/2006/relationships/hyperlink" Target="https://mstgolf.co.th/products/gf2000105900" TargetMode="External" Id="rId4348" /><Relationship Type="http://schemas.openxmlformats.org/officeDocument/2006/relationships/hyperlink" Target="https://mstgolf.co.th/products/gf3080100075" TargetMode="External" Id="rId4349" /><Relationship Type="http://schemas.openxmlformats.org/officeDocument/2006/relationships/hyperlink" Target="https://mstgolf.co.th/products/gf2000104734" TargetMode="External" Id="rId4350" /><Relationship Type="http://schemas.openxmlformats.org/officeDocument/2006/relationships/hyperlink" Target="https://mstgolf.co.th/products/gf2000200762" TargetMode="External" Id="rId4351" /><Relationship Type="http://schemas.openxmlformats.org/officeDocument/2006/relationships/hyperlink" Target="https://mstgolf.co.th/products/gf2090300159" TargetMode="External" Id="rId4352" /><Relationship Type="http://schemas.openxmlformats.org/officeDocument/2006/relationships/hyperlink" Target="https://mstgolf.co.th/products/gf2090100607" TargetMode="External" Id="rId4353" /><Relationship Type="http://schemas.openxmlformats.org/officeDocument/2006/relationships/hyperlink" Target="https://mstgolf.co.th/products/gf2090100608" TargetMode="External" Id="rId4354" /><Relationship Type="http://schemas.openxmlformats.org/officeDocument/2006/relationships/hyperlink" Target="https://mstgolf.co.th/products/gf2090100651" TargetMode="External" Id="rId4355" /><Relationship Type="http://schemas.openxmlformats.org/officeDocument/2006/relationships/hyperlink" Target="https://mstgolf.co.th/products/gf2090100653" TargetMode="External" Id="rId4356" /><Relationship Type="http://schemas.openxmlformats.org/officeDocument/2006/relationships/hyperlink" Target="https://mstgolf.co.th/products/gf2090100636" TargetMode="External" Id="rId4357" /><Relationship Type="http://schemas.openxmlformats.org/officeDocument/2006/relationships/hyperlink" Target="https://mstgolf.co.th/products/gf2000300366" TargetMode="External" Id="rId4358" /><Relationship Type="http://schemas.openxmlformats.org/officeDocument/2006/relationships/hyperlink" Target="https://mstgolf.co.th/products/gf2000106171" TargetMode="External" Id="rId4359" /><Relationship Type="http://schemas.openxmlformats.org/officeDocument/2006/relationships/hyperlink" Target="https://mstgolf.co.th/products/gf2000106172" TargetMode="External" Id="rId4360" /><Relationship Type="http://schemas.openxmlformats.org/officeDocument/2006/relationships/hyperlink" Target="https://mstgolf.co.th/products/gf2000106170" TargetMode="External" Id="rId4361" /><Relationship Type="http://schemas.openxmlformats.org/officeDocument/2006/relationships/hyperlink" Target="https://mstgolf.co.th/products/gf2000106155" TargetMode="External" Id="rId4362" /><Relationship Type="http://schemas.openxmlformats.org/officeDocument/2006/relationships/hyperlink" Target="https://mstgolf.co.th/products/gf2000106156" TargetMode="External" Id="rId4363" /><Relationship Type="http://schemas.openxmlformats.org/officeDocument/2006/relationships/hyperlink" Target="https://mstgolf.co.th/products/gf2000106165" TargetMode="External" Id="rId4364" /><Relationship Type="http://schemas.openxmlformats.org/officeDocument/2006/relationships/hyperlink" Target="https://mstgolf.co.th/products/gf2000300364" TargetMode="External" Id="rId4365" /><Relationship Type="http://schemas.openxmlformats.org/officeDocument/2006/relationships/hyperlink" Target="https://mstgolf.co.th/products/gf2040114622" TargetMode="External" Id="rId4366" /><Relationship Type="http://schemas.openxmlformats.org/officeDocument/2006/relationships/hyperlink" Target="https://mstgolf.co.th/products/gf2040114624" TargetMode="External" Id="rId4367" /><Relationship Type="http://schemas.openxmlformats.org/officeDocument/2006/relationships/hyperlink" Target="https://mstgolf.co.th/products/gf3500300988" TargetMode="External" Id="rId4368" /><Relationship Type="http://schemas.openxmlformats.org/officeDocument/2006/relationships/hyperlink" Target="https://mstgolf.co.th/products/gf2000105142" TargetMode="External" Id="rId4369" /><Relationship Type="http://schemas.openxmlformats.org/officeDocument/2006/relationships/hyperlink" Target="https://mstgolf.co.th/products/gf2000105144" TargetMode="External" Id="rId4370" /><Relationship Type="http://schemas.openxmlformats.org/officeDocument/2006/relationships/hyperlink" Target="https://mstgolf.co.th/products/gf2100200572" TargetMode="External" Id="rId4371" /><Relationship Type="http://schemas.openxmlformats.org/officeDocument/2006/relationships/hyperlink" Target="https://mstgolf.co.th/products/gf2080101506" TargetMode="External" Id="rId4372" /><Relationship Type="http://schemas.openxmlformats.org/officeDocument/2006/relationships/hyperlink" Target="https://mstgolf.co.th/products/gf2080101507" TargetMode="External" Id="rId4373" /><Relationship Type="http://schemas.openxmlformats.org/officeDocument/2006/relationships/hyperlink" Target="https://mstgolf.co.th/products/gf2000201024" TargetMode="External" Id="rId4374" /><Relationship Type="http://schemas.openxmlformats.org/officeDocument/2006/relationships/hyperlink" Target="https://mstgolf.co.th/products/gf2000201025" TargetMode="External" Id="rId4375" /><Relationship Type="http://schemas.openxmlformats.org/officeDocument/2006/relationships/hyperlink" Target="https://mstgolf.co.th/products/gf2000105902" TargetMode="External" Id="rId4376" /><Relationship Type="http://schemas.openxmlformats.org/officeDocument/2006/relationships/hyperlink" Target="https://mstgolf.co.th/products/gf2000105901" TargetMode="External" Id="rId4377" /><Relationship Type="http://schemas.openxmlformats.org/officeDocument/2006/relationships/hyperlink" Target="https://mstgolf.co.th/products/gf2090300234" TargetMode="External" Id="rId4378" /><Relationship Type="http://schemas.openxmlformats.org/officeDocument/2006/relationships/hyperlink" Target="https://mstgolf.co.th/products/gf2090300176" TargetMode="External" Id="rId4379" /><Relationship Type="http://schemas.openxmlformats.org/officeDocument/2006/relationships/hyperlink" Target="https://mstgolf.co.th/products/gf2090100674" TargetMode="External" Id="rId4380" /><Relationship Type="http://schemas.openxmlformats.org/officeDocument/2006/relationships/hyperlink" Target="https://mstgolf.co.th/products/gf2090700111" TargetMode="External" Id="rId4381" /><Relationship Type="http://schemas.openxmlformats.org/officeDocument/2006/relationships/hyperlink" Target="https://mstgolf.co.th/products/gf2090700050" TargetMode="External" Id="rId4382" /><Relationship Type="http://schemas.openxmlformats.org/officeDocument/2006/relationships/hyperlink" Target="https://mstgolf.co.th/products/gf2090700053" TargetMode="External" Id="rId4383" /><Relationship Type="http://schemas.openxmlformats.org/officeDocument/2006/relationships/hyperlink" Target="https://mstgolf.co.th/products/gf2090200166" TargetMode="External" Id="rId4384" /><Relationship Type="http://schemas.openxmlformats.org/officeDocument/2006/relationships/hyperlink" Target="https://mstgolf.co.th/products/gf2090300145" TargetMode="External" Id="rId4385" /><Relationship Type="http://schemas.openxmlformats.org/officeDocument/2006/relationships/hyperlink" Target="https://mstgolf.co.th/products/gf2090100614" TargetMode="External" Id="rId4386" /><Relationship Type="http://schemas.openxmlformats.org/officeDocument/2006/relationships/hyperlink" Target="https://mstgolf.co.th/products/gf2040118594" TargetMode="External" Id="rId4387" /><Relationship Type="http://schemas.openxmlformats.org/officeDocument/2006/relationships/hyperlink" Target="https://mstgolf.co.th/products/gf2040118593" TargetMode="External" Id="rId4388" /><Relationship Type="http://schemas.openxmlformats.org/officeDocument/2006/relationships/hyperlink" Target="https://mstgolf.co.th/products/gf2040116592" TargetMode="External" Id="rId4389" /><Relationship Type="http://schemas.openxmlformats.org/officeDocument/2006/relationships/hyperlink" Target="https://mstgolf.co.th/products/gf2040116439" TargetMode="External" Id="rId4390" /><Relationship Type="http://schemas.openxmlformats.org/officeDocument/2006/relationships/hyperlink" Target="https://mstgolf.co.th/products/gf2040116521" TargetMode="External" Id="rId4391" /><Relationship Type="http://schemas.openxmlformats.org/officeDocument/2006/relationships/hyperlink" Target="https://mstgolf.co.th/products/gf2040118445" TargetMode="External" Id="rId4392" /><Relationship Type="http://schemas.openxmlformats.org/officeDocument/2006/relationships/hyperlink" Target="https://mstgolf.co.th/products/gf2040118556" TargetMode="External" Id="rId4393" /><Relationship Type="http://schemas.openxmlformats.org/officeDocument/2006/relationships/hyperlink" Target="https://mstgolf.co.th/products/gf2000106563" TargetMode="External" Id="rId4394" /><Relationship Type="http://schemas.openxmlformats.org/officeDocument/2006/relationships/hyperlink" Target="https://mstgolf.co.th/products/gf2110100140" TargetMode="External" Id="rId4395" /><Relationship Type="http://schemas.openxmlformats.org/officeDocument/2006/relationships/hyperlink" Target="https://mstgolf.co.th/products/gf2110100139" TargetMode="External" Id="rId4396" /><Relationship Type="http://schemas.openxmlformats.org/officeDocument/2006/relationships/hyperlink" Target="https://mstgolf.co.th/products/gf2040117652" TargetMode="External" Id="rId4397" /><Relationship Type="http://schemas.openxmlformats.org/officeDocument/2006/relationships/hyperlink" Target="https://mstgolf.co.th/products/gf2000106173" TargetMode="External" Id="rId4398" /><Relationship Type="http://schemas.openxmlformats.org/officeDocument/2006/relationships/hyperlink" Target="https://mstgolf.co.th/products/gf3500300398" TargetMode="External" Id="rId4399" /><Relationship Type="http://schemas.openxmlformats.org/officeDocument/2006/relationships/hyperlink" Target="https://mstgolf.co.th/products/gf2090100618" TargetMode="External" Id="rId4400" /><Relationship Type="http://schemas.openxmlformats.org/officeDocument/2006/relationships/hyperlink" Target="https://mstgolf.co.th/products/gf2090100633" TargetMode="External" Id="rId4401" /><Relationship Type="http://schemas.openxmlformats.org/officeDocument/2006/relationships/hyperlink" Target="https://mstgolf.co.th/products/gf2090200227" TargetMode="External" Id="rId4402" /><Relationship Type="http://schemas.openxmlformats.org/officeDocument/2006/relationships/hyperlink" Target="https://mstgolf.co.th/products/gf2000200838" TargetMode="External" Id="rId4403" /><Relationship Type="http://schemas.openxmlformats.org/officeDocument/2006/relationships/hyperlink" Target="https://mstgolf.co.th/products/gf2000200842" TargetMode="External" Id="rId4404" /><Relationship Type="http://schemas.openxmlformats.org/officeDocument/2006/relationships/hyperlink" Target="https://mstgolf.co.th/products/gf2000104925" TargetMode="External" Id="rId4405" /><Relationship Type="http://schemas.openxmlformats.org/officeDocument/2006/relationships/hyperlink" Target="https://mstgolf.co.th/products/gf2000106524" TargetMode="External" Id="rId4406" /><Relationship Type="http://schemas.openxmlformats.org/officeDocument/2006/relationships/hyperlink" Target="https://mstgolf.co.th/products/gf2090200197" TargetMode="External" Id="rId4407" /><Relationship Type="http://schemas.openxmlformats.org/officeDocument/2006/relationships/hyperlink" Target="https://mstgolf.co.th/products/gf2090100535" TargetMode="External" Id="rId4408" /><Relationship Type="http://schemas.openxmlformats.org/officeDocument/2006/relationships/hyperlink" Target="https://mstgolf.co.th/products/gf2090100536" TargetMode="External" Id="rId4409" /><Relationship Type="http://schemas.openxmlformats.org/officeDocument/2006/relationships/hyperlink" Target="https://mstgolf.co.th/products/gf2090200180" TargetMode="External" Id="rId4410" /><Relationship Type="http://schemas.openxmlformats.org/officeDocument/2006/relationships/hyperlink" Target="https://mstgolf.co.th/products/gf2090300146" TargetMode="External" Id="rId4411" /><Relationship Type="http://schemas.openxmlformats.org/officeDocument/2006/relationships/hyperlink" Target="https://mstgolf.co.th/products/gf2090300213" TargetMode="External" Id="rId4412" /><Relationship Type="http://schemas.openxmlformats.org/officeDocument/2006/relationships/hyperlink" Target="https://mstgolf.co.th/products/gf2090300212" TargetMode="External" Id="rId4413" /><Relationship Type="http://schemas.openxmlformats.org/officeDocument/2006/relationships/hyperlink" Target="https://mstgolf.co.th/products/gf3500300342" TargetMode="External" Id="rId4414" /><Relationship Type="http://schemas.openxmlformats.org/officeDocument/2006/relationships/hyperlink" Target="https://mstgolf.co.th/products/gf3500400260" TargetMode="External" Id="rId4415" /><Relationship Type="http://schemas.openxmlformats.org/officeDocument/2006/relationships/hyperlink" Target="https://mstgolf.co.th/products/gf3500400261" TargetMode="External" Id="rId4416" /><Relationship Type="http://schemas.openxmlformats.org/officeDocument/2006/relationships/hyperlink" Target="https://mstgolf.co.th/products/gf3500300393" TargetMode="External" Id="rId4417" /><Relationship Type="http://schemas.openxmlformats.org/officeDocument/2006/relationships/hyperlink" Target="https://mstgolf.co.th/products/gf2000200879" TargetMode="External" Id="rId4418" /><Relationship Type="http://schemas.openxmlformats.org/officeDocument/2006/relationships/hyperlink" Target="https://mstgolf.co.th/products/gf2090300226" TargetMode="External" Id="rId4419" /><Relationship Type="http://schemas.openxmlformats.org/officeDocument/2006/relationships/hyperlink" Target="https://mstgolf.co.th/products/gf2090300232" TargetMode="External" Id="rId4420" /><Relationship Type="http://schemas.openxmlformats.org/officeDocument/2006/relationships/hyperlink" Target="https://mstgolf.co.th/products/gf2090700107" TargetMode="External" Id="rId4421" /><Relationship Type="http://schemas.openxmlformats.org/officeDocument/2006/relationships/hyperlink" Target="https://mstgolf.co.th/products/gf2090700108" TargetMode="External" Id="rId4422" /><Relationship Type="http://schemas.openxmlformats.org/officeDocument/2006/relationships/hyperlink" Target="https://mstgolf.co.th/products/gf2000106012" TargetMode="External" Id="rId4423" /><Relationship Type="http://schemas.openxmlformats.org/officeDocument/2006/relationships/hyperlink" Target="https://mstgolf.co.th/products/gf2000105899" TargetMode="External" Id="rId4424" /><Relationship Type="http://schemas.openxmlformats.org/officeDocument/2006/relationships/hyperlink" Target="https://mstgolf.co.th/products/gf2000200877" TargetMode="External" Id="rId4425" /><Relationship Type="http://schemas.openxmlformats.org/officeDocument/2006/relationships/hyperlink" Target="https://mstgolf.co.th/products/gf2000105906" TargetMode="External" Id="rId4426" /><Relationship Type="http://schemas.openxmlformats.org/officeDocument/2006/relationships/hyperlink" Target="https://mstgolf.co.th/products/gf2110100024" TargetMode="External" Id="rId4427" /><Relationship Type="http://schemas.openxmlformats.org/officeDocument/2006/relationships/hyperlink" Target="https://mstgolf.co.th/products/gf3500100194" TargetMode="External" Id="rId4428" /><Relationship Type="http://schemas.openxmlformats.org/officeDocument/2006/relationships/hyperlink" Target="https://mstgolf.co.th/products/gf3500100196" TargetMode="External" Id="rId4429" /><Relationship Type="http://schemas.openxmlformats.org/officeDocument/2006/relationships/hyperlink" Target="https://mstgolf.co.th/products/gf3080100064" TargetMode="External" Id="rId4430" /><Relationship Type="http://schemas.openxmlformats.org/officeDocument/2006/relationships/hyperlink" Target="https://mstgolf.co.th/products/gf3500300475" TargetMode="External" Id="rId4431" /><Relationship Type="http://schemas.openxmlformats.org/officeDocument/2006/relationships/hyperlink" Target="https://mstgolf.co.th/products/gf3500400379" TargetMode="External" Id="rId4432" /><Relationship Type="http://schemas.openxmlformats.org/officeDocument/2006/relationships/hyperlink" Target="https://mstgolf.co.th/products/gf2090700091" TargetMode="External" Id="rId4433" /><Relationship Type="http://schemas.openxmlformats.org/officeDocument/2006/relationships/hyperlink" Target="https://mstgolf.co.th/products/gf2090700092" TargetMode="External" Id="rId4434" /><Relationship Type="http://schemas.openxmlformats.org/officeDocument/2006/relationships/hyperlink" Target="https://mstgolf.co.th/products/gf2000201078" TargetMode="External" Id="rId4435" /><Relationship Type="http://schemas.openxmlformats.org/officeDocument/2006/relationships/hyperlink" Target="https://mstgolf.co.th/products/gf2000201079" TargetMode="External" Id="rId4436" /><Relationship Type="http://schemas.openxmlformats.org/officeDocument/2006/relationships/hyperlink" Target="https://mstgolf.co.th/products/gf2090200300" TargetMode="External" Id="rId4437" /><Relationship Type="http://schemas.openxmlformats.org/officeDocument/2006/relationships/hyperlink" Target="https://mstgolf.co.th/products/gf2070600013" TargetMode="External" Id="rId4438" /><Relationship Type="http://schemas.openxmlformats.org/officeDocument/2006/relationships/hyperlink" Target="https://mstgolf.co.th/products/gf3500300132" TargetMode="External" Id="rId4439" /><Relationship Type="http://schemas.openxmlformats.org/officeDocument/2006/relationships/hyperlink" Target="https://mstgolf.co.th/products/gf3500300036" TargetMode="External" Id="rId4440" /><Relationship Type="http://schemas.openxmlformats.org/officeDocument/2006/relationships/hyperlink" Target="https://mstgolf.co.th/products/gf2000105883" TargetMode="External" Id="rId4441" /><Relationship Type="http://schemas.openxmlformats.org/officeDocument/2006/relationships/hyperlink" Target="https://mstgolf.co.th/products/gf2090200259" TargetMode="External" Id="rId4442" /><Relationship Type="http://schemas.openxmlformats.org/officeDocument/2006/relationships/hyperlink" Target="https://mstgolf.co.th/products/gf2090100590" TargetMode="External" Id="rId4443" /><Relationship Type="http://schemas.openxmlformats.org/officeDocument/2006/relationships/hyperlink" Target="https://mstgolf.co.th/products/gf2090100589" TargetMode="External" Id="rId4444" /><Relationship Type="http://schemas.openxmlformats.org/officeDocument/2006/relationships/hyperlink" Target="https://mstgolf.co.th/products/gf2090200191" TargetMode="External" Id="rId4445" /><Relationship Type="http://schemas.openxmlformats.org/officeDocument/2006/relationships/hyperlink" Target="https://mstgolf.co.th/products/gf2090200189" TargetMode="External" Id="rId4446" /><Relationship Type="http://schemas.openxmlformats.org/officeDocument/2006/relationships/hyperlink" Target="https://mstgolf.co.th/products/gf3080100074" TargetMode="External" Id="rId4447" /><Relationship Type="http://schemas.openxmlformats.org/officeDocument/2006/relationships/hyperlink" Target="https://mstgolf.co.th/products/gf3080100069" TargetMode="External" Id="rId4448" /><Relationship Type="http://schemas.openxmlformats.org/officeDocument/2006/relationships/hyperlink" Target="https://mstgolf.co.th/products/gf2000106456" TargetMode="External" Id="rId4449" /><Relationship Type="http://schemas.openxmlformats.org/officeDocument/2006/relationships/hyperlink" Target="https://mstgolf.co.th/products/gf2090200209" TargetMode="External" Id="rId4450" /><Relationship Type="http://schemas.openxmlformats.org/officeDocument/2006/relationships/hyperlink" Target="https://mstgolf.co.th/products/gf2090100613" TargetMode="External" Id="rId4451" /><Relationship Type="http://schemas.openxmlformats.org/officeDocument/2006/relationships/hyperlink" Target="https://mstgolf.co.th/products/gf3500100188" TargetMode="External" Id="rId4452" /><Relationship Type="http://schemas.openxmlformats.org/officeDocument/2006/relationships/hyperlink" Target="https://mstgolf.co.th/products/gf2090200280" TargetMode="External" Id="rId4453" /><Relationship Type="http://schemas.openxmlformats.org/officeDocument/2006/relationships/hyperlink" Target="https://mstgolf.co.th/products/gf2090300214" TargetMode="External" Id="rId4454" /><Relationship Type="http://schemas.openxmlformats.org/officeDocument/2006/relationships/hyperlink" Target="https://mstgolf.co.th/products/gf2090100669" TargetMode="External" Id="rId4455" /><Relationship Type="http://schemas.openxmlformats.org/officeDocument/2006/relationships/hyperlink" Target="https://mstgolf.co.th/products/gf3500100385" TargetMode="External" Id="rId4456" /><Relationship Type="http://schemas.openxmlformats.org/officeDocument/2006/relationships/hyperlink" Target="https://mstgolf.co.th/products/gf3500100386" TargetMode="External" Id="rId4457" /><Relationship Type="http://schemas.openxmlformats.org/officeDocument/2006/relationships/hyperlink" Target="https://mstgolf.co.th/products/gf3500300919" TargetMode="External" Id="rId4458" /><Relationship Type="http://schemas.openxmlformats.org/officeDocument/2006/relationships/hyperlink" Target="https://mstgolf.co.th/products/gf3080100065" TargetMode="External" Id="rId4459" /><Relationship Type="http://schemas.openxmlformats.org/officeDocument/2006/relationships/hyperlink" Target="https://mstgolf.co.th/products/gf3080100063" TargetMode="External" Id="rId4460" /><Relationship Type="http://schemas.openxmlformats.org/officeDocument/2006/relationships/hyperlink" Target="https://mstgolf.co.th/products/gf3500300032" TargetMode="External" Id="rId4461" /><Relationship Type="http://schemas.openxmlformats.org/officeDocument/2006/relationships/hyperlink" Target="https://mstgolf.co.th/products/gf3500100461" TargetMode="External" Id="rId4462" /><Relationship Type="http://schemas.openxmlformats.org/officeDocument/2006/relationships/hyperlink" Target="https://mstgolf.co.th/products/gf3500100459" TargetMode="External" Id="rId4463" /><Relationship Type="http://schemas.openxmlformats.org/officeDocument/2006/relationships/hyperlink" Target="https://mstgolf.co.th/products/gf3500100462" TargetMode="External" Id="rId4464" /><Relationship Type="http://schemas.openxmlformats.org/officeDocument/2006/relationships/hyperlink" Target="https://mstgolf.co.th/products/gf3500100460" TargetMode="External" Id="rId4465" /><Relationship Type="http://schemas.openxmlformats.org/officeDocument/2006/relationships/hyperlink" Target="https://mstgolf.co.th/products/gf3500100457" TargetMode="External" Id="rId4466" /><Relationship Type="http://schemas.openxmlformats.org/officeDocument/2006/relationships/hyperlink" Target="https://mstgolf.co.th/products/gf2090200257" TargetMode="External" Id="rId4467" /><Relationship Type="http://schemas.openxmlformats.org/officeDocument/2006/relationships/hyperlink" Target="https://mstgolf.co.th/products/gf3500100123" TargetMode="External" Id="rId4468" /><Relationship Type="http://schemas.openxmlformats.org/officeDocument/2006/relationships/hyperlink" Target="https://mstgolf.co.th/products/gf3500100088" TargetMode="External" Id="rId4469" /><Relationship Type="http://schemas.openxmlformats.org/officeDocument/2006/relationships/hyperlink" Target="https://mstgolf.co.th/products/gf3500100087" TargetMode="External" Id="rId4470" /><Relationship Type="http://schemas.openxmlformats.org/officeDocument/2006/relationships/hyperlink" Target="https://mstgolf.co.th/products/gf3500100392" TargetMode="External" Id="rId4471" /><Relationship Type="http://schemas.openxmlformats.org/officeDocument/2006/relationships/hyperlink" Target="https://mstgolf.co.th/products/gf3500100456" TargetMode="External" Id="rId4472" /><Relationship Type="http://schemas.openxmlformats.org/officeDocument/2006/relationships/hyperlink" Target="https://mstgolf.co.th/products/gf3500100384" TargetMode="External" Id="rId4473" /><Relationship Type="http://schemas.openxmlformats.org/officeDocument/2006/relationships/hyperlink" Target="https://mstgolf.co.th/products/gf3500100383" TargetMode="External" Id="rId4474" /><Relationship Type="http://schemas.openxmlformats.org/officeDocument/2006/relationships/hyperlink" Target="https://mstgolf.co.th/products/gf3500100452" TargetMode="External" Id="rId4475" /><Relationship Type="http://schemas.openxmlformats.org/officeDocument/2006/relationships/hyperlink" Target="https://mstgolf.co.th/products/gf3500100119" TargetMode="External" Id="rId4476" /><Relationship Type="http://schemas.openxmlformats.org/officeDocument/2006/relationships/hyperlink" Target="https://mstgolf.co.th/products/gf3500100116" TargetMode="External" Id="rId4477" /><Relationship Type="http://schemas.openxmlformats.org/officeDocument/2006/relationships/hyperlink" Target="https://mstgolf.co.th/products/gf2100100035" TargetMode="External" Id="rId4478" /><Relationship Type="http://schemas.openxmlformats.org/officeDocument/2006/relationships/hyperlink" Target="https://mstgolf.co.th/products/gf2100100037" TargetMode="External" Id="rId4479" /><Relationship Type="http://schemas.openxmlformats.org/officeDocument/2006/relationships/hyperlink" Target="https://mstgolf.co.th/products/gf2100100038" TargetMode="External" Id="rId4480" /><Relationship Type="http://schemas.openxmlformats.org/officeDocument/2006/relationships/hyperlink" Target="https://mstgolf.co.th/products/gf3500300004" TargetMode="External" Id="rId4481" /><Relationship Type="http://schemas.openxmlformats.org/officeDocument/2006/relationships/hyperlink" Target="https://mstgolf.co.th/products/gf3500300052" TargetMode="External" Id="rId4482" /><Relationship Type="http://schemas.openxmlformats.org/officeDocument/2006/relationships/hyperlink" Target="https://mstgolf.co.th/products/gf3500100317" TargetMode="External" Id="rId4483" /><Relationship Type="http://schemas.openxmlformats.org/officeDocument/2006/relationships/hyperlink" Target="https://mstgolf.co.th/products/gf3500100318" TargetMode="External" Id="rId4484" /><Relationship Type="http://schemas.openxmlformats.org/officeDocument/2006/relationships/hyperlink" Target="https://mstgolf.co.th/products/gf3500100319" TargetMode="External" Id="rId4485" /><Relationship Type="http://schemas.openxmlformats.org/officeDocument/2006/relationships/hyperlink" Target="https://mstgolf.co.th/products/gf3500100084" TargetMode="External" Id="rId4486" /><Relationship Type="http://schemas.openxmlformats.org/officeDocument/2006/relationships/hyperlink" Target="https://mstgolf.co.th/products/gf3500300043" TargetMode="External" Id="rId4487" /><Relationship Type="http://schemas.openxmlformats.org/officeDocument/2006/relationships/hyperlink" Target="https://mstgolf.co.th/products/gf2090300229" TargetMode="External" Id="rId4488" /><Relationship Type="http://schemas.openxmlformats.org/officeDocument/2006/relationships/hyperlink" Target="https://mstgolf.co.th/products/gf3500300438" TargetMode="External" Id="rId4489" /><Relationship Type="http://schemas.openxmlformats.org/officeDocument/2006/relationships/hyperlink" Target="https://mstgolf.co.th/products/gf3500300037" TargetMode="External" Id="rId4490" /><Relationship Type="http://schemas.openxmlformats.org/officeDocument/2006/relationships/hyperlink" Target="https://mstgolf.co.th/products/gf3500300038" TargetMode="External" Id="rId4491" /><Relationship Type="http://schemas.openxmlformats.org/officeDocument/2006/relationships/hyperlink" Target="https://mstgolf.co.th/products/gf3500100436" TargetMode="External" Id="rId4492" /><Relationship Type="http://schemas.openxmlformats.org/officeDocument/2006/relationships/hyperlink" Target="https://mstgolf.co.th/products/gf3500100437" TargetMode="External" Id="rId4493" /><Relationship Type="http://schemas.openxmlformats.org/officeDocument/2006/relationships/hyperlink" Target="https://mstgolf.co.th/products/gf3500300051" TargetMode="External" Id="rId4494" /><Relationship Type="http://schemas.openxmlformats.org/officeDocument/2006/relationships/hyperlink" Target="https://mstgolf.co.th/products/gf3500100438" TargetMode="External" Id="rId4495" /><Relationship Type="http://schemas.openxmlformats.org/officeDocument/2006/relationships/hyperlink" Target="https://mstgolf.co.th/products/gf3500300064" TargetMode="External" Id="rId4496" /><Relationship Type="http://schemas.openxmlformats.org/officeDocument/2006/relationships/hyperlink" Target="https://mstgolf.co.th/products/gf3500300340" TargetMode="External" Id="rId4497" /><Relationship Type="http://schemas.openxmlformats.org/officeDocument/2006/relationships/hyperlink" Target="https://mstgolf.co.th/products/gf3500300042" TargetMode="External" Id="rId4498" /><Relationship Type="http://schemas.openxmlformats.org/officeDocument/2006/relationships/hyperlink" Target="https://mstgolf.co.th/products/gf3500300920" TargetMode="External" Id="rId4499" /><Relationship Type="http://schemas.openxmlformats.org/officeDocument/2006/relationships/hyperlink" Target="https://mstgolf.co.th/products/gf3500300081" TargetMode="External" Id="rId4500" /><Relationship Type="http://schemas.openxmlformats.org/officeDocument/2006/relationships/hyperlink" Target="https://mstgolf.co.th/products/gf3500100315" TargetMode="External" Id="rId4501" /><Relationship Type="http://schemas.openxmlformats.org/officeDocument/2006/relationships/hyperlink" Target="https://mstgolf.co.th/products/gf3500100450" TargetMode="External" Id="rId4502" /><Relationship Type="http://schemas.openxmlformats.org/officeDocument/2006/relationships/hyperlink" Target="https://mstgolf.co.th/products/gf3500300039" TargetMode="External" Id="rId4503" /><Relationship Type="http://schemas.openxmlformats.org/officeDocument/2006/relationships/hyperlink" Target="https://mstgolf.co.th/products/gf3500100114" TargetMode="External" Id="rId4504" /><Relationship Type="http://schemas.openxmlformats.org/officeDocument/2006/relationships/hyperlink" Target="https://mstgolf.co.th/products/gf3500100441" TargetMode="External" Id="rId4505" /><Relationship Type="http://schemas.openxmlformats.org/officeDocument/2006/relationships/hyperlink" Target="https://mstgolf.co.th/products/gf3500100443" TargetMode="External" Id="rId4506" /><Relationship Type="http://schemas.openxmlformats.org/officeDocument/2006/relationships/hyperlink" Target="https://mstgolf.co.th/products/gf3500100446" TargetMode="External" Id="rId4507" /><Relationship Type="http://schemas.openxmlformats.org/officeDocument/2006/relationships/hyperlink" Target="https://mstgolf.co.th/products/gf3500100375" TargetMode="External" Id="rId4508" /><Relationship Type="http://schemas.openxmlformats.org/officeDocument/2006/relationships/hyperlink" Target="https://mstgolf.co.th/products/gf3500100373" TargetMode="External" Id="rId4509" /><Relationship Type="http://schemas.openxmlformats.org/officeDocument/2006/relationships/hyperlink" Target="https://mstgolf.co.th/products/gf3500100120" TargetMode="External" Id="rId4510" /><Relationship Type="http://schemas.openxmlformats.org/officeDocument/2006/relationships/hyperlink" Target="https://mstgolf.co.th/products/gf3500100108" TargetMode="External" Id="rId4511" /><Relationship Type="http://schemas.openxmlformats.org/officeDocument/2006/relationships/hyperlink" Target="https://mstgolf.co.th/products/gf3500300044" TargetMode="External" Id="rId4512" /><Relationship Type="http://schemas.openxmlformats.org/officeDocument/2006/relationships/hyperlink" Target="https://mstgolf.co.th/products/gf3500100092" TargetMode="External" Id="rId4513" /><Relationship Type="http://schemas.openxmlformats.org/officeDocument/2006/relationships/hyperlink" Target="https://mstgolf.co.th/products/gf3500100117" TargetMode="External" Id="rId4514" /><Relationship Type="http://schemas.openxmlformats.org/officeDocument/2006/relationships/hyperlink" Target="https://mstgolf.co.th/products/gf3500100102" TargetMode="External" Id="rId4515" /><Relationship Type="http://schemas.openxmlformats.org/officeDocument/2006/relationships/hyperlink" Target="https://mstgolf.co.th/products/gf3500100104" TargetMode="External" Id="rId4516" /><Relationship Type="http://schemas.openxmlformats.org/officeDocument/2006/relationships/hyperlink" Target="https://mstgolf.co.th/products/gf3500100106" TargetMode="External" Id="rId4517" /><Relationship Type="http://schemas.openxmlformats.org/officeDocument/2006/relationships/hyperlink" Target="https://mstgolf.co.th/products/gf3500100105" TargetMode="External" Id="rId4518" /><Relationship Type="http://schemas.openxmlformats.org/officeDocument/2006/relationships/hyperlink" Target="https://mstgolf.co.th/products/gf3500100107" TargetMode="External" Id="rId4519" /><Relationship Type="http://schemas.openxmlformats.org/officeDocument/2006/relationships/hyperlink" Target="https://mstgolf.co.th/products/gf3500300384" TargetMode="External" Id="rId4520" /><Relationship Type="http://schemas.openxmlformats.org/officeDocument/2006/relationships/hyperlink" Target="https://mstgolf.co.th/products/gf3500300386" TargetMode="External" Id="rId4521" /><Relationship Type="http://schemas.openxmlformats.org/officeDocument/2006/relationships/hyperlink" Target="https://mstgolf.co.th/products/gf3500100097" TargetMode="External" Id="rId4522" /><Relationship Type="http://schemas.openxmlformats.org/officeDocument/2006/relationships/hyperlink" Target="https://mstgolf.co.th/products/gf3500100432" TargetMode="External" Id="rId4523" /><Relationship Type="http://schemas.openxmlformats.org/officeDocument/2006/relationships/hyperlink" Target="https://mstgolf.co.th/products/gf3500300390" TargetMode="External" Id="rId4524" /><Relationship Type="http://schemas.openxmlformats.org/officeDocument/2006/relationships/hyperlink" Target="https://mstgolf.co.th/products/gf3500100094" TargetMode="External" Id="rId4525" /><Relationship Type="http://schemas.openxmlformats.org/officeDocument/2006/relationships/hyperlink" Target="https://mstgolf.co.th/products/gf3500100095" TargetMode="External" Id="rId4526" /><Relationship Type="http://schemas.openxmlformats.org/officeDocument/2006/relationships/hyperlink" Target="https://mstgolf.co.th/products/gf3500300443" TargetMode="External" Id="rId4527" /><Relationship Type="http://schemas.openxmlformats.org/officeDocument/2006/relationships/hyperlink" Target="https://mstgolf.co.th/products/gf3500300474" TargetMode="External" Id="rId4528" /><Relationship Type="http://schemas.openxmlformats.org/officeDocument/2006/relationships/hyperlink" Target="https://mstgolf.co.th/products/gf3500300473" TargetMode="External" Id="rId4529" /><Relationship Type="http://schemas.openxmlformats.org/officeDocument/2006/relationships/hyperlink" Target="https://mstgolf.co.th/products/gf3500300354" TargetMode="External" Id="rId4530" /><Relationship Type="http://schemas.openxmlformats.org/officeDocument/2006/relationships/hyperlink" Target="https://mstgolf.co.th/products/gf3500100136" TargetMode="External" Id="rId4531" /><Relationship Type="http://schemas.openxmlformats.org/officeDocument/2006/relationships/hyperlink" Target="https://mstgolf.co.th/products/gf3300200001" TargetMode="External" Id="rId4532" /><Relationship Type="http://schemas.openxmlformats.org/officeDocument/2006/relationships/hyperlink" Target="https://mstgolf.co.th/products/gf3130100306" TargetMode="External" Id="rId4533" /><Relationship Type="http://schemas.openxmlformats.org/officeDocument/2006/relationships/hyperlink" Target="https://mstgolf.co.th/products/gf2040300179" TargetMode="External" Id="rId4534" /><Relationship Type="http://schemas.openxmlformats.org/officeDocument/2006/relationships/hyperlink" Target="https://mstgolf.co.th/products/gf3130100401" TargetMode="External" Id="rId4535" /><Relationship Type="http://schemas.openxmlformats.org/officeDocument/2006/relationships/hyperlink" Target="https://mstgolf.co.th/products/gf2060101093" TargetMode="External" Id="rId4536" /><Relationship Type="http://schemas.openxmlformats.org/officeDocument/2006/relationships/hyperlink" Target="https://mstgolf.co.th/products/gf2060101202" TargetMode="External" Id="rId4537" /><Relationship Type="http://schemas.openxmlformats.org/officeDocument/2006/relationships/hyperlink" Target="https://mstgolf.co.th/products/gf3130100305" TargetMode="External" Id="rId4538" /><Relationship Type="http://schemas.openxmlformats.org/officeDocument/2006/relationships/hyperlink" Target="https://mstgolf.co.th/products/gf2080101487" TargetMode="External" Id="rId4539" /><Relationship Type="http://schemas.openxmlformats.org/officeDocument/2006/relationships/hyperlink" Target="https://mstgolf.co.th/products/gf3500600005" TargetMode="External" Id="rId4540" /><Relationship Type="http://schemas.openxmlformats.org/officeDocument/2006/relationships/hyperlink" Target="https://mstgolf.co.th/products/gf3500600004" TargetMode="External" Id="rId4541" /><Relationship Type="http://schemas.openxmlformats.org/officeDocument/2006/relationships/hyperlink" Target="https://mstgolf.co.th/products/gf2020102512" TargetMode="External" Id="rId4542" /><Relationship Type="http://schemas.openxmlformats.org/officeDocument/2006/relationships/hyperlink" Target="https://mstgolf.co.th/products/gf3130100657" TargetMode="External" Id="rId4543" /><Relationship Type="http://schemas.openxmlformats.org/officeDocument/2006/relationships/hyperlink" Target="https://mstgolf.co.th/products/gf2060101127" TargetMode="External" Id="rId4544" /><Relationship Type="http://schemas.openxmlformats.org/officeDocument/2006/relationships/hyperlink" Target="https://mstgolf.co.th/products/gf3130100662" TargetMode="External" Id="rId4545" /><Relationship Type="http://schemas.openxmlformats.org/officeDocument/2006/relationships/hyperlink" Target="https://mstgolf.co.th/products/gf3130100248" TargetMode="External" Id="rId4546" /><Relationship Type="http://schemas.openxmlformats.org/officeDocument/2006/relationships/hyperlink" Target="https://mstgolf.co.th/products/gf3130100307" TargetMode="External" Id="rId4547" /><Relationship Type="http://schemas.openxmlformats.org/officeDocument/2006/relationships/hyperlink" Target="https://mstgolf.co.th/products/gf2040401359" TargetMode="External" Id="rId4548" /><Relationship Type="http://schemas.openxmlformats.org/officeDocument/2006/relationships/hyperlink" Target="https://mstgolf.co.th/products/gf2060101095" TargetMode="External" Id="rId4549" /><Relationship Type="http://schemas.openxmlformats.org/officeDocument/2006/relationships/hyperlink" Target="https://mstgolf.co.th/products/gf2040119732" TargetMode="External" Id="rId4550" /><Relationship Type="http://schemas.openxmlformats.org/officeDocument/2006/relationships/hyperlink" Target="https://mstgolf.co.th/products/gf2040400847" TargetMode="External" Id="rId4551" /><Relationship Type="http://schemas.openxmlformats.org/officeDocument/2006/relationships/hyperlink" Target="https://mstgolf.co.th/products/gf3130100658" TargetMode="External" Id="rId4552" /><Relationship Type="http://schemas.openxmlformats.org/officeDocument/2006/relationships/hyperlink" Target="https://mstgolf.co.th/products/gf2060101275" TargetMode="External" Id="rId4553" /><Relationship Type="http://schemas.openxmlformats.org/officeDocument/2006/relationships/hyperlink" Target="https://mstgolf.co.th/products/gf3130100404" TargetMode="External" Id="rId4554" /><Relationship Type="http://schemas.openxmlformats.org/officeDocument/2006/relationships/hyperlink" Target="https://mstgolf.co.th/products/gf2020102527" TargetMode="External" Id="rId4555" /><Relationship Type="http://schemas.openxmlformats.org/officeDocument/2006/relationships/hyperlink" Target="https://mstgolf.co.th/products/gf2040119995" TargetMode="External" Id="rId4556" /><Relationship Type="http://schemas.openxmlformats.org/officeDocument/2006/relationships/hyperlink" Target="https://mstgolf.co.th/products/gf2020102361" TargetMode="External" Id="rId4557" /><Relationship Type="http://schemas.openxmlformats.org/officeDocument/2006/relationships/hyperlink" Target="https://mstgolf.co.th/products/gf3130100495" TargetMode="External" Id="rId4558" /><Relationship Type="http://schemas.openxmlformats.org/officeDocument/2006/relationships/hyperlink" Target="https://mstgolf.co.th/products/gf3130100499" TargetMode="External" Id="rId4559" /><Relationship Type="http://schemas.openxmlformats.org/officeDocument/2006/relationships/hyperlink" Target="https://mstgolf.co.th/products/gf2040118034" TargetMode="External" Id="rId4560" /><Relationship Type="http://schemas.openxmlformats.org/officeDocument/2006/relationships/hyperlink" Target="https://mstgolf.co.th/products/gf2060101066" TargetMode="External" Id="rId4561" /><Relationship Type="http://schemas.openxmlformats.org/officeDocument/2006/relationships/hyperlink" Target="https://mstgolf.co.th/products/gf2040119730" TargetMode="External" Id="rId4562" /><Relationship Type="http://schemas.openxmlformats.org/officeDocument/2006/relationships/hyperlink" Target="https://mstgolf.co.th/products/gf3130100246" TargetMode="External" Id="rId4563" /><Relationship Type="http://schemas.openxmlformats.org/officeDocument/2006/relationships/hyperlink" Target="https://mstgolf.co.th/products/gf2040120622" TargetMode="External" Id="rId4564" /><Relationship Type="http://schemas.openxmlformats.org/officeDocument/2006/relationships/hyperlink" Target="https://mstgolf.co.th/products/gf2020102360" TargetMode="External" Id="rId4565" /><Relationship Type="http://schemas.openxmlformats.org/officeDocument/2006/relationships/hyperlink" Target="https://mstgolf.co.th/products/gf2020102358" TargetMode="External" Id="rId4566" /><Relationship Type="http://schemas.openxmlformats.org/officeDocument/2006/relationships/hyperlink" Target="https://mstgolf.co.th/products/gf2040200101" TargetMode="External" Id="rId4567" /><Relationship Type="http://schemas.openxmlformats.org/officeDocument/2006/relationships/hyperlink" Target="https://mstgolf.co.th/products/gf2020102359" TargetMode="External" Id="rId4568" /><Relationship Type="http://schemas.openxmlformats.org/officeDocument/2006/relationships/hyperlink" Target="https://mstgolf.co.th/products/gf2020300060" TargetMode="External" Id="rId4569" /><Relationship Type="http://schemas.openxmlformats.org/officeDocument/2006/relationships/hyperlink" Target="https://mstgolf.co.th/products/gf2060101212" TargetMode="External" Id="rId4570" /><Relationship Type="http://schemas.openxmlformats.org/officeDocument/2006/relationships/hyperlink" Target="https://mstgolf.co.th/products/gf2060101285" TargetMode="External" Id="rId4571" /><Relationship Type="http://schemas.openxmlformats.org/officeDocument/2006/relationships/hyperlink" Target="https://mstgolf.co.th/products/gf2020202439" TargetMode="External" Id="rId4572" /><Relationship Type="http://schemas.openxmlformats.org/officeDocument/2006/relationships/hyperlink" Target="https://mstgolf.co.th/products/gf3130100663" TargetMode="External" Id="rId4573" /><Relationship Type="http://schemas.openxmlformats.org/officeDocument/2006/relationships/hyperlink" Target="https://mstgolf.co.th/products/gf3130100664" TargetMode="External" Id="rId4574" /><Relationship Type="http://schemas.openxmlformats.org/officeDocument/2006/relationships/hyperlink" Target="https://mstgolf.co.th/products/gf2040400972" TargetMode="External" Id="rId4575" /><Relationship Type="http://schemas.openxmlformats.org/officeDocument/2006/relationships/hyperlink" Target="https://mstgolf.co.th/products/gf2020101853" TargetMode="External" Id="rId4576" /><Relationship Type="http://schemas.openxmlformats.org/officeDocument/2006/relationships/hyperlink" Target="https://mstgolf.co.th/products/gf2040118019" TargetMode="External" Id="rId4577" /><Relationship Type="http://schemas.openxmlformats.org/officeDocument/2006/relationships/hyperlink" Target="https://mstgolf.co.th/products/gf2060101065" TargetMode="External" Id="rId4578" /><Relationship Type="http://schemas.openxmlformats.org/officeDocument/2006/relationships/hyperlink" Target="https://mstgolf.co.th/products/gf2060101063" TargetMode="External" Id="rId4579" /><Relationship Type="http://schemas.openxmlformats.org/officeDocument/2006/relationships/hyperlink" Target="https://mstgolf.co.th/products/gf2020202543" TargetMode="External" Id="rId4580" /><Relationship Type="http://schemas.openxmlformats.org/officeDocument/2006/relationships/hyperlink" Target="https://mstgolf.co.th/products/gf2020102526" TargetMode="External" Id="rId4581" /><Relationship Type="http://schemas.openxmlformats.org/officeDocument/2006/relationships/hyperlink" Target="https://mstgolf.co.th/products/gf2020202711" TargetMode="External" Id="rId4582" /><Relationship Type="http://schemas.openxmlformats.org/officeDocument/2006/relationships/hyperlink" Target="https://mstgolf.co.th/products/gf2020202477" TargetMode="External" Id="rId4583" /><Relationship Type="http://schemas.openxmlformats.org/officeDocument/2006/relationships/hyperlink" Target="https://mstgolf.co.th/products/gf2040114412" TargetMode="External" Id="rId4584" /><Relationship Type="http://schemas.openxmlformats.org/officeDocument/2006/relationships/hyperlink" Target="https://mstgolf.co.th/products/gf2040114417" TargetMode="External" Id="rId4585" /><Relationship Type="http://schemas.openxmlformats.org/officeDocument/2006/relationships/hyperlink" Target="https://mstgolf.co.th/products/gf2020102686" TargetMode="External" Id="rId4586" /><Relationship Type="http://schemas.openxmlformats.org/officeDocument/2006/relationships/hyperlink" Target="https://mstgolf.co.th/products/gf2040118885" TargetMode="External" Id="rId4587" /><Relationship Type="http://schemas.openxmlformats.org/officeDocument/2006/relationships/hyperlink" Target="https://mstgolf.co.th/products/gf2040118886" TargetMode="External" Id="rId4588" /><Relationship Type="http://schemas.openxmlformats.org/officeDocument/2006/relationships/hyperlink" Target="https://mstgolf.co.th/products/gf2060101299" TargetMode="External" Id="rId4589" /><Relationship Type="http://schemas.openxmlformats.org/officeDocument/2006/relationships/hyperlink" Target="https://mstgolf.co.th/products/gf2060101298" TargetMode="External" Id="rId4590" /><Relationship Type="http://schemas.openxmlformats.org/officeDocument/2006/relationships/hyperlink" Target="https://mstgolf.co.th/products/gf2020202747" TargetMode="External" Id="rId4591" /><Relationship Type="http://schemas.openxmlformats.org/officeDocument/2006/relationships/hyperlink" Target="https://mstgolf.co.th/products/gf2060101286" TargetMode="External" Id="rId4592" /><Relationship Type="http://schemas.openxmlformats.org/officeDocument/2006/relationships/hyperlink" Target="https://mstgolf.co.th/products/gf3500600001" TargetMode="External" Id="rId4593" /><Relationship Type="http://schemas.openxmlformats.org/officeDocument/2006/relationships/hyperlink" Target="https://mstgolf.co.th/products/gf2020202475" TargetMode="External" Id="rId4594" /><Relationship Type="http://schemas.openxmlformats.org/officeDocument/2006/relationships/hyperlink" Target="https://mstgolf.co.th/products/gf2020202476" TargetMode="External" Id="rId4595" /><Relationship Type="http://schemas.openxmlformats.org/officeDocument/2006/relationships/hyperlink" Target="https://mstgolf.co.th/products/gf2020102313" TargetMode="External" Id="rId4596" /><Relationship Type="http://schemas.openxmlformats.org/officeDocument/2006/relationships/hyperlink" Target="https://mstgolf.co.th/products/gf2020102314" TargetMode="External" Id="rId4597" /><Relationship Type="http://schemas.openxmlformats.org/officeDocument/2006/relationships/hyperlink" Target="https://mstgolf.co.th/products/gf2060101064" TargetMode="External" Id="rId4598" /><Relationship Type="http://schemas.openxmlformats.org/officeDocument/2006/relationships/hyperlink" Target="https://mstgolf.co.th/products/gf2040401207" TargetMode="External" Id="rId4599" /><Relationship Type="http://schemas.openxmlformats.org/officeDocument/2006/relationships/hyperlink" Target="https://mstgolf.co.th/products/gf2060101271" TargetMode="External" Id="rId4600" /><Relationship Type="http://schemas.openxmlformats.org/officeDocument/2006/relationships/hyperlink" Target="https://mstgolf.co.th/products/gf2060101145" TargetMode="External" Id="rId4601" /><Relationship Type="http://schemas.openxmlformats.org/officeDocument/2006/relationships/hyperlink" Target="https://mstgolf.co.th/products/gf2020300046" TargetMode="External" Id="rId4602" /><Relationship Type="http://schemas.openxmlformats.org/officeDocument/2006/relationships/hyperlink" Target="https://mstgolf.co.th/products/gf2040300144" TargetMode="External" Id="rId4603" /><Relationship Type="http://schemas.openxmlformats.org/officeDocument/2006/relationships/hyperlink" Target="https://mstgolf.co.th/products/gf2020202712" TargetMode="External" Id="rId4604" /><Relationship Type="http://schemas.openxmlformats.org/officeDocument/2006/relationships/hyperlink" Target="https://mstgolf.co.th/products/gf2020202713" TargetMode="External" Id="rId4605" /><Relationship Type="http://schemas.openxmlformats.org/officeDocument/2006/relationships/hyperlink" Target="https://mstgolf.co.th/products/gf2040401396" TargetMode="External" Id="rId4606" /><Relationship Type="http://schemas.openxmlformats.org/officeDocument/2006/relationships/hyperlink" Target="https://mstgolf.co.th/products/gf2060101069" TargetMode="External" Id="rId4607" /><Relationship Type="http://schemas.openxmlformats.org/officeDocument/2006/relationships/hyperlink" Target="https://mstgolf.co.th/products/gf2040121653" TargetMode="External" Id="rId4608" /><Relationship Type="http://schemas.openxmlformats.org/officeDocument/2006/relationships/hyperlink" Target="https://mstgolf.co.th/products/gf2040120771" TargetMode="External" Id="rId4609" /><Relationship Type="http://schemas.openxmlformats.org/officeDocument/2006/relationships/hyperlink" Target="https://mstgolf.co.th/products/gf2040118013" TargetMode="External" Id="rId4610" /><Relationship Type="http://schemas.openxmlformats.org/officeDocument/2006/relationships/hyperlink" Target="https://mstgolf.co.th/products/gf2040120610" TargetMode="External" Id="rId4611" /><Relationship Type="http://schemas.openxmlformats.org/officeDocument/2006/relationships/hyperlink" Target="https://mstgolf.co.th/products/gf2040120606" TargetMode="External" Id="rId4612" /><Relationship Type="http://schemas.openxmlformats.org/officeDocument/2006/relationships/hyperlink" Target="https://mstgolf.co.th/products/gf2040120607" TargetMode="External" Id="rId4613" /><Relationship Type="http://schemas.openxmlformats.org/officeDocument/2006/relationships/hyperlink" Target="https://mstgolf.co.th/products/gf2020102322" TargetMode="External" Id="rId4614" /><Relationship Type="http://schemas.openxmlformats.org/officeDocument/2006/relationships/hyperlink" Target="https://mstgolf.co.th/products/gf2020202740" TargetMode="External" Id="rId4615" /><Relationship Type="http://schemas.openxmlformats.org/officeDocument/2006/relationships/hyperlink" Target="https://mstgolf.co.th/products/gf2040120490" TargetMode="External" Id="rId4616" /><Relationship Type="http://schemas.openxmlformats.org/officeDocument/2006/relationships/hyperlink" Target="https://mstgolf.co.th/products/gf3500201667" TargetMode="External" Id="rId4617" /><Relationship Type="http://schemas.openxmlformats.org/officeDocument/2006/relationships/hyperlink" Target="https://mstgolf.co.th/products/gf3500201679" TargetMode="External" Id="rId4618" /><Relationship Type="http://schemas.openxmlformats.org/officeDocument/2006/relationships/hyperlink" Target="https://mstgolf.co.th/products/gf3500201681" TargetMode="External" Id="rId4619" /><Relationship Type="http://schemas.openxmlformats.org/officeDocument/2006/relationships/hyperlink" Target="https://mstgolf.co.th/products/gf3500201364" TargetMode="External" Id="rId4620" /><Relationship Type="http://schemas.openxmlformats.org/officeDocument/2006/relationships/hyperlink" Target="https://mstgolf.co.th/products/gf2040119993" TargetMode="External" Id="rId4621" /><Relationship Type="http://schemas.openxmlformats.org/officeDocument/2006/relationships/hyperlink" Target="https://mstgolf.co.th/products/gf2040120539" TargetMode="External" Id="rId4622" /><Relationship Type="http://schemas.openxmlformats.org/officeDocument/2006/relationships/hyperlink" Target="https://mstgolf.co.th/products/gf2020102145" TargetMode="External" Id="rId4623" /><Relationship Type="http://schemas.openxmlformats.org/officeDocument/2006/relationships/hyperlink" Target="https://mstgolf.co.th/products/gf3500201806" TargetMode="External" Id="rId4624" /><Relationship Type="http://schemas.openxmlformats.org/officeDocument/2006/relationships/hyperlink" Target="https://mstgolf.co.th/products/gf2040118001" TargetMode="External" Id="rId4625" /><Relationship Type="http://schemas.openxmlformats.org/officeDocument/2006/relationships/hyperlink" Target="https://mstgolf.co.th/products/gf2040118029" TargetMode="External" Id="rId4626" /><Relationship Type="http://schemas.openxmlformats.org/officeDocument/2006/relationships/hyperlink" Target="https://mstgolf.co.th/products/gf2040118011" TargetMode="External" Id="rId4627" /><Relationship Type="http://schemas.openxmlformats.org/officeDocument/2006/relationships/hyperlink" Target="https://mstgolf.co.th/products/gf2040118012" TargetMode="External" Id="rId4628" /><Relationship Type="http://schemas.openxmlformats.org/officeDocument/2006/relationships/hyperlink" Target="https://mstgolf.co.th/products/gf2080101480" TargetMode="External" Id="rId4629" /><Relationship Type="http://schemas.openxmlformats.org/officeDocument/2006/relationships/hyperlink" Target="https://mstgolf.co.th/products/gf3130100370" TargetMode="External" Id="rId4630" /><Relationship Type="http://schemas.openxmlformats.org/officeDocument/2006/relationships/hyperlink" Target="https://mstgolf.co.th/products/gf3130100363" TargetMode="External" Id="rId4631" /><Relationship Type="http://schemas.openxmlformats.org/officeDocument/2006/relationships/hyperlink" Target="https://mstgolf.co.th/products/gf3130100365" TargetMode="External" Id="rId4632" /><Relationship Type="http://schemas.openxmlformats.org/officeDocument/2006/relationships/hyperlink" Target="https://mstgolf.co.th/products/gf3130100471" TargetMode="External" Id="rId4633" /><Relationship Type="http://schemas.openxmlformats.org/officeDocument/2006/relationships/hyperlink" Target="https://mstgolf.co.th/products/gf2020102608" TargetMode="External" Id="rId4634" /><Relationship Type="http://schemas.openxmlformats.org/officeDocument/2006/relationships/hyperlink" Target="https://mstgolf.co.th/products/gf2020102364" TargetMode="External" Id="rId4635" /><Relationship Type="http://schemas.openxmlformats.org/officeDocument/2006/relationships/hyperlink" Target="https://mstgolf.co.th/products/gf2020102411" TargetMode="External" Id="rId4636" /><Relationship Type="http://schemas.openxmlformats.org/officeDocument/2006/relationships/hyperlink" Target="https://mstgolf.co.th/products/gf2020101745" TargetMode="External" Id="rId4637" /><Relationship Type="http://schemas.openxmlformats.org/officeDocument/2006/relationships/hyperlink" Target="https://mstgolf.co.th/products/gf2040118989" TargetMode="External" Id="rId4638" /><Relationship Type="http://schemas.openxmlformats.org/officeDocument/2006/relationships/hyperlink" Target="https://mstgolf.co.th/products/gf2080101395" TargetMode="External" Id="rId4639" /><Relationship Type="http://schemas.openxmlformats.org/officeDocument/2006/relationships/hyperlink" Target="https://mstgolf.co.th/products/gf3500201807" TargetMode="External" Id="rId4640" /><Relationship Type="http://schemas.openxmlformats.org/officeDocument/2006/relationships/hyperlink" Target="https://mstgolf.co.th/products/gf2040118835" TargetMode="External" Id="rId4641" /><Relationship Type="http://schemas.openxmlformats.org/officeDocument/2006/relationships/hyperlink" Target="https://mstgolf.co.th/products/gf2020202823" TargetMode="External" Id="rId4642" /><Relationship Type="http://schemas.openxmlformats.org/officeDocument/2006/relationships/hyperlink" Target="https://mstgolf.co.th/products/gf2040119987" TargetMode="External" Id="rId4643" /><Relationship Type="http://schemas.openxmlformats.org/officeDocument/2006/relationships/hyperlink" Target="https://mstgolf.co.th/products/gf2060101288" TargetMode="External" Id="rId4644" /><Relationship Type="http://schemas.openxmlformats.org/officeDocument/2006/relationships/hyperlink" Target="https://mstgolf.co.th/products/gf2040119873" TargetMode="External" Id="rId4645" /><Relationship Type="http://schemas.openxmlformats.org/officeDocument/2006/relationships/hyperlink" Target="https://mstgolf.co.th/products/gf2040119877" TargetMode="External" Id="rId4646" /><Relationship Type="http://schemas.openxmlformats.org/officeDocument/2006/relationships/hyperlink" Target="https://mstgolf.co.th/products/gf2040119882" TargetMode="External" Id="rId4647" /><Relationship Type="http://schemas.openxmlformats.org/officeDocument/2006/relationships/hyperlink" Target="https://mstgolf.co.th/products/gf2040119197" TargetMode="External" Id="rId4648" /><Relationship Type="http://schemas.openxmlformats.org/officeDocument/2006/relationships/hyperlink" Target="https://mstgolf.co.th/products/gf2040119198" TargetMode="External" Id="rId4649" /><Relationship Type="http://schemas.openxmlformats.org/officeDocument/2006/relationships/hyperlink" Target="https://mstgolf.co.th/products/gf2020102237" TargetMode="External" Id="rId4650" /><Relationship Type="http://schemas.openxmlformats.org/officeDocument/2006/relationships/hyperlink" Target="https://mstgolf.co.th/products/gf2020102235" TargetMode="External" Id="rId4651" /><Relationship Type="http://schemas.openxmlformats.org/officeDocument/2006/relationships/hyperlink" Target="https://mstgolf.co.th/products/gf2020102239" TargetMode="External" Id="rId4652" /><Relationship Type="http://schemas.openxmlformats.org/officeDocument/2006/relationships/hyperlink" Target="https://mstgolf.co.th/products/gf2020102238" TargetMode="External" Id="rId4653" /><Relationship Type="http://schemas.openxmlformats.org/officeDocument/2006/relationships/hyperlink" Target="https://mstgolf.co.th/products/gf2020202628" TargetMode="External" Id="rId4654" /><Relationship Type="http://schemas.openxmlformats.org/officeDocument/2006/relationships/hyperlink" Target="https://mstgolf.co.th/products/gf2020202622" TargetMode="External" Id="rId4655" /><Relationship Type="http://schemas.openxmlformats.org/officeDocument/2006/relationships/hyperlink" Target="https://mstgolf.co.th/products/gf3500201663" TargetMode="External" Id="rId4656" /><Relationship Type="http://schemas.openxmlformats.org/officeDocument/2006/relationships/hyperlink" Target="https://mstgolf.co.th/products/gf3500201359" TargetMode="External" Id="rId4657" /><Relationship Type="http://schemas.openxmlformats.org/officeDocument/2006/relationships/hyperlink" Target="https://mstgolf.co.th/products/gf3150100372" TargetMode="External" Id="rId4658" /><Relationship Type="http://schemas.openxmlformats.org/officeDocument/2006/relationships/hyperlink" Target="https://mstgolf.co.th/products/gf2020202723" TargetMode="External" Id="rId4659" /><Relationship Type="http://schemas.openxmlformats.org/officeDocument/2006/relationships/hyperlink" Target="https://mstgolf.co.th/products/gf2040119585" TargetMode="External" Id="rId4660" /><Relationship Type="http://schemas.openxmlformats.org/officeDocument/2006/relationships/hyperlink" Target="https://mstgolf.co.th/products/gf2040119587" TargetMode="External" Id="rId4661" /><Relationship Type="http://schemas.openxmlformats.org/officeDocument/2006/relationships/hyperlink" Target="https://mstgolf.co.th/products/gf2040401449" TargetMode="External" Id="rId4662" /><Relationship Type="http://schemas.openxmlformats.org/officeDocument/2006/relationships/hyperlink" Target="https://mstgolf.co.th/products/gf2040401448" TargetMode="External" Id="rId4663" /><Relationship Type="http://schemas.openxmlformats.org/officeDocument/2006/relationships/hyperlink" Target="https://mstgolf.co.th/products/gf2040119115" TargetMode="External" Id="rId4664" /><Relationship Type="http://schemas.openxmlformats.org/officeDocument/2006/relationships/hyperlink" Target="https://mstgolf.co.th/products/gf2040119117" TargetMode="External" Id="rId4665" /><Relationship Type="http://schemas.openxmlformats.org/officeDocument/2006/relationships/hyperlink" Target="https://mstgolf.co.th/products/gf2020300171" TargetMode="External" Id="rId4666" /><Relationship Type="http://schemas.openxmlformats.org/officeDocument/2006/relationships/hyperlink" Target="https://mstgolf.co.th/products/gf2020202853" TargetMode="External" Id="rId4667" /><Relationship Type="http://schemas.openxmlformats.org/officeDocument/2006/relationships/hyperlink" Target="https://mstgolf.co.th/products/gf2020102281" TargetMode="External" Id="rId4668" /><Relationship Type="http://schemas.openxmlformats.org/officeDocument/2006/relationships/hyperlink" Target="https://mstgolf.co.th/products/gf2020101217" TargetMode="External" Id="rId4669" /><Relationship Type="http://schemas.openxmlformats.org/officeDocument/2006/relationships/hyperlink" Target="https://mstgolf.co.th/products/gf2020101218" TargetMode="External" Id="rId4670" /><Relationship Type="http://schemas.openxmlformats.org/officeDocument/2006/relationships/hyperlink" Target="https://mstgolf.co.th/products/gf2040118892" TargetMode="External" Id="rId4671" /><Relationship Type="http://schemas.openxmlformats.org/officeDocument/2006/relationships/hyperlink" Target="https://mstgolf.co.th/products/gf2060101182" TargetMode="External" Id="rId4672" /><Relationship Type="http://schemas.openxmlformats.org/officeDocument/2006/relationships/hyperlink" Target="https://mstgolf.co.th/products/gf2060101184" TargetMode="External" Id="rId4673" /><Relationship Type="http://schemas.openxmlformats.org/officeDocument/2006/relationships/hyperlink" Target="https://mstgolf.co.th/products/gf3150100277" TargetMode="External" Id="rId4674" /><Relationship Type="http://schemas.openxmlformats.org/officeDocument/2006/relationships/hyperlink" Target="https://mstgolf.co.th/products/gf2020202180" TargetMode="External" Id="rId4675" /><Relationship Type="http://schemas.openxmlformats.org/officeDocument/2006/relationships/hyperlink" Target="https://mstgolf.co.th/products/gf2020202181" TargetMode="External" Id="rId4676" /><Relationship Type="http://schemas.openxmlformats.org/officeDocument/2006/relationships/hyperlink" Target="https://mstgolf.co.th/products/gf2020202182" TargetMode="External" Id="rId4677" /><Relationship Type="http://schemas.openxmlformats.org/officeDocument/2006/relationships/hyperlink" Target="https://mstgolf.co.th/products/gf2020300048" TargetMode="External" Id="rId4678" /><Relationship Type="http://schemas.openxmlformats.org/officeDocument/2006/relationships/hyperlink" Target="https://mstgolf.co.th/products/gf2040119273" TargetMode="External" Id="rId4679" /><Relationship Type="http://schemas.openxmlformats.org/officeDocument/2006/relationships/hyperlink" Target="https://mstgolf.co.th/products/gf2040119258" TargetMode="External" Id="rId4680" /><Relationship Type="http://schemas.openxmlformats.org/officeDocument/2006/relationships/hyperlink" Target="https://mstgolf.co.th/products/gf2040119261" TargetMode="External" Id="rId4681" /><Relationship Type="http://schemas.openxmlformats.org/officeDocument/2006/relationships/hyperlink" Target="https://mstgolf.co.th/products/gf2040119267" TargetMode="External" Id="rId4682" /><Relationship Type="http://schemas.openxmlformats.org/officeDocument/2006/relationships/hyperlink" Target="https://mstgolf.co.th/products/gf2040118368" TargetMode="External" Id="rId4683" /><Relationship Type="http://schemas.openxmlformats.org/officeDocument/2006/relationships/hyperlink" Target="https://mstgolf.co.th/products/gf2020102078" TargetMode="External" Id="rId4684" /><Relationship Type="http://schemas.openxmlformats.org/officeDocument/2006/relationships/hyperlink" Target="https://mstgolf.co.th/products/gf2020102088" TargetMode="External" Id="rId4685" /><Relationship Type="http://schemas.openxmlformats.org/officeDocument/2006/relationships/hyperlink" Target="https://mstgolf.co.th/products/gf2020202488" TargetMode="External" Id="rId4686" /><Relationship Type="http://schemas.openxmlformats.org/officeDocument/2006/relationships/hyperlink" Target="https://mstgolf.co.th/products/gf2020202619" TargetMode="External" Id="rId4687" /><Relationship Type="http://schemas.openxmlformats.org/officeDocument/2006/relationships/hyperlink" Target="https://mstgolf.co.th/products/gf2020102230" TargetMode="External" Id="rId4688" /><Relationship Type="http://schemas.openxmlformats.org/officeDocument/2006/relationships/hyperlink" Target="https://mstgolf.co.th/products/gf2040118830" TargetMode="External" Id="rId4689" /><Relationship Type="http://schemas.openxmlformats.org/officeDocument/2006/relationships/hyperlink" Target="https://mstgolf.co.th/products/gf2040401208" TargetMode="External" Id="rId4690" /><Relationship Type="http://schemas.openxmlformats.org/officeDocument/2006/relationships/hyperlink" Target="https://mstgolf.co.th/products/gf2040120652" TargetMode="External" Id="rId4691" /><Relationship Type="http://schemas.openxmlformats.org/officeDocument/2006/relationships/hyperlink" Target="https://mstgolf.co.th/products/gf2020101768" TargetMode="External" Id="rId4692" /><Relationship Type="http://schemas.openxmlformats.org/officeDocument/2006/relationships/hyperlink" Target="https://mstgolf.co.th/products/gf2040116947" TargetMode="External" Id="rId4693" /><Relationship Type="http://schemas.openxmlformats.org/officeDocument/2006/relationships/hyperlink" Target="https://mstgolf.co.th/products/gf2040116949" TargetMode="External" Id="rId4694" /><Relationship Type="http://schemas.openxmlformats.org/officeDocument/2006/relationships/hyperlink" Target="https://mstgolf.co.th/products/gf2040118987" TargetMode="External" Id="rId4695" /><Relationship Type="http://schemas.openxmlformats.org/officeDocument/2006/relationships/hyperlink" Target="https://mstgolf.co.th/products/gf2040118059" TargetMode="External" Id="rId4696" /><Relationship Type="http://schemas.openxmlformats.org/officeDocument/2006/relationships/hyperlink" Target="https://mstgolf.co.th/products/gf2040118984" TargetMode="External" Id="rId4697" /><Relationship Type="http://schemas.openxmlformats.org/officeDocument/2006/relationships/hyperlink" Target="https://mstgolf.co.th/products/gf2040118063" TargetMode="External" Id="rId4698" /><Relationship Type="http://schemas.openxmlformats.org/officeDocument/2006/relationships/hyperlink" Target="https://mstgolf.co.th/products/gf2020202821" TargetMode="External" Id="rId4699" /><Relationship Type="http://schemas.openxmlformats.org/officeDocument/2006/relationships/hyperlink" Target="https://mstgolf.co.th/products/gf3150100302" TargetMode="External" Id="rId4700" /><Relationship Type="http://schemas.openxmlformats.org/officeDocument/2006/relationships/hyperlink" Target="https://mstgolf.co.th/products/gf2020202814" TargetMode="External" Id="rId4701" /><Relationship Type="http://schemas.openxmlformats.org/officeDocument/2006/relationships/hyperlink" Target="https://mstgolf.co.th/products/gf2020202815" TargetMode="External" Id="rId4702" /><Relationship Type="http://schemas.openxmlformats.org/officeDocument/2006/relationships/hyperlink" Target="https://mstgolf.co.th/products/gf2020202816" TargetMode="External" Id="rId4703" /><Relationship Type="http://schemas.openxmlformats.org/officeDocument/2006/relationships/hyperlink" Target="https://mstgolf.co.th/products/gf2000106363" TargetMode="External" Id="rId4704" /><Relationship Type="http://schemas.openxmlformats.org/officeDocument/2006/relationships/hyperlink" Target="https://mstgolf.co.th/products/gf2020202274" TargetMode="External" Id="rId4705" /><Relationship Type="http://schemas.openxmlformats.org/officeDocument/2006/relationships/hyperlink" Target="https://mstgolf.co.th/products/gf2040117877" TargetMode="External" Id="rId4706" /><Relationship Type="http://schemas.openxmlformats.org/officeDocument/2006/relationships/hyperlink" Target="https://mstgolf.co.th/products/gf2020101763" TargetMode="External" Id="rId4707" /><Relationship Type="http://schemas.openxmlformats.org/officeDocument/2006/relationships/hyperlink" Target="https://mstgolf.co.th/products/gf2040119245" TargetMode="External" Id="rId4708" /><Relationship Type="http://schemas.openxmlformats.org/officeDocument/2006/relationships/hyperlink" Target="https://mstgolf.co.th/products/gf2040119217" TargetMode="External" Id="rId4709" /><Relationship Type="http://schemas.openxmlformats.org/officeDocument/2006/relationships/hyperlink" Target="https://mstgolf.co.th/products/gf2020102242" TargetMode="External" Id="rId4710" /><Relationship Type="http://schemas.openxmlformats.org/officeDocument/2006/relationships/hyperlink" Target="https://mstgolf.co.th/products/gf2040119274" TargetMode="External" Id="rId4711" /><Relationship Type="http://schemas.openxmlformats.org/officeDocument/2006/relationships/hyperlink" Target="https://mstgolf.co.th/products/gf2040119279" TargetMode="External" Id="rId4712" /><Relationship Type="http://schemas.openxmlformats.org/officeDocument/2006/relationships/hyperlink" Target="https://mstgolf.co.th/products/gf3500201739" TargetMode="External" Id="rId4713" /><Relationship Type="http://schemas.openxmlformats.org/officeDocument/2006/relationships/hyperlink" Target="https://mstgolf.co.th/products/gf3500201736" TargetMode="External" Id="rId4714" /><Relationship Type="http://schemas.openxmlformats.org/officeDocument/2006/relationships/hyperlink" Target="https://mstgolf.co.th/products/gf3500201738" TargetMode="External" Id="rId4715" /><Relationship Type="http://schemas.openxmlformats.org/officeDocument/2006/relationships/hyperlink" Target="https://mstgolf.co.th/products/gf3500201721" TargetMode="External" Id="rId4716" /><Relationship Type="http://schemas.openxmlformats.org/officeDocument/2006/relationships/hyperlink" Target="https://mstgolf.co.th/products/gf3500201718" TargetMode="External" Id="rId4717" /><Relationship Type="http://schemas.openxmlformats.org/officeDocument/2006/relationships/hyperlink" Target="https://mstgolf.co.th/products/gf3500201719" TargetMode="External" Id="rId4718" /><Relationship Type="http://schemas.openxmlformats.org/officeDocument/2006/relationships/hyperlink" Target="https://mstgolf.co.th/products/gf3500201720" TargetMode="External" Id="rId4719" /><Relationship Type="http://schemas.openxmlformats.org/officeDocument/2006/relationships/hyperlink" Target="https://mstgolf.co.th/products/gf3500201722" TargetMode="External" Id="rId4720" /><Relationship Type="http://schemas.openxmlformats.org/officeDocument/2006/relationships/hyperlink" Target="https://mstgolf.co.th/products/gf2040119524" TargetMode="External" Id="rId4721" /><Relationship Type="http://schemas.openxmlformats.org/officeDocument/2006/relationships/hyperlink" Target="https://mstgolf.co.th/products/gf3500201724" TargetMode="External" Id="rId4722" /><Relationship Type="http://schemas.openxmlformats.org/officeDocument/2006/relationships/hyperlink" Target="https://mstgolf.co.th/products/gf3500201725" TargetMode="External" Id="rId4723" /><Relationship Type="http://schemas.openxmlformats.org/officeDocument/2006/relationships/hyperlink" Target="https://mstgolf.co.th/products/gf3500201727" TargetMode="External" Id="rId4724" /><Relationship Type="http://schemas.openxmlformats.org/officeDocument/2006/relationships/hyperlink" Target="https://mstgolf.co.th/products/gf3500201723" TargetMode="External" Id="rId4725" /><Relationship Type="http://schemas.openxmlformats.org/officeDocument/2006/relationships/hyperlink" Target="https://mstgolf.co.th/products/gf3500201726" TargetMode="External" Id="rId4726" /><Relationship Type="http://schemas.openxmlformats.org/officeDocument/2006/relationships/hyperlink" Target="https://mstgolf.co.th/products/gf3500201728" TargetMode="External" Id="rId4727" /><Relationship Type="http://schemas.openxmlformats.org/officeDocument/2006/relationships/hyperlink" Target="https://mstgolf.co.th/products/gf3500201707" TargetMode="External" Id="rId4728" /><Relationship Type="http://schemas.openxmlformats.org/officeDocument/2006/relationships/hyperlink" Target="https://mstgolf.co.th/products/gf3500201710" TargetMode="External" Id="rId4729" /><Relationship Type="http://schemas.openxmlformats.org/officeDocument/2006/relationships/hyperlink" Target="https://mstgolf.co.th/products/gf3500201706" TargetMode="External" Id="rId4730" /><Relationship Type="http://schemas.openxmlformats.org/officeDocument/2006/relationships/hyperlink" Target="https://mstgolf.co.th/products/gf3500201709" TargetMode="External" Id="rId4731" /><Relationship Type="http://schemas.openxmlformats.org/officeDocument/2006/relationships/hyperlink" Target="https://mstgolf.co.th/products/gf3500201711" TargetMode="External" Id="rId4732" /><Relationship Type="http://schemas.openxmlformats.org/officeDocument/2006/relationships/hyperlink" Target="https://mstgolf.co.th/products/gf3500201699" TargetMode="External" Id="rId4733" /><Relationship Type="http://schemas.openxmlformats.org/officeDocument/2006/relationships/hyperlink" Target="https://mstgolf.co.th/products/gf3500201730" TargetMode="External" Id="rId4734" /><Relationship Type="http://schemas.openxmlformats.org/officeDocument/2006/relationships/hyperlink" Target="https://mstgolf.co.th/products/gf3500201732" TargetMode="External" Id="rId4735" /><Relationship Type="http://schemas.openxmlformats.org/officeDocument/2006/relationships/hyperlink" Target="https://mstgolf.co.th/products/gf3500201713" TargetMode="External" Id="rId4736" /><Relationship Type="http://schemas.openxmlformats.org/officeDocument/2006/relationships/hyperlink" Target="https://mstgolf.co.th/products/gf3500201714" TargetMode="External" Id="rId4737" /><Relationship Type="http://schemas.openxmlformats.org/officeDocument/2006/relationships/hyperlink" Target="https://mstgolf.co.th/products/gf3500201716" TargetMode="External" Id="rId4738" /><Relationship Type="http://schemas.openxmlformats.org/officeDocument/2006/relationships/hyperlink" Target="https://mstgolf.co.th/products/gf3500201712" TargetMode="External" Id="rId4739" /><Relationship Type="http://schemas.openxmlformats.org/officeDocument/2006/relationships/hyperlink" Target="https://mstgolf.co.th/products/gf3500201715" TargetMode="External" Id="rId4740" /><Relationship Type="http://schemas.openxmlformats.org/officeDocument/2006/relationships/hyperlink" Target="https://mstgolf.co.th/products/gf3500201717" TargetMode="External" Id="rId4741" /><Relationship Type="http://schemas.openxmlformats.org/officeDocument/2006/relationships/hyperlink" Target="https://mstgolf.co.th/products/gf2040119231" TargetMode="External" Id="rId4742" /><Relationship Type="http://schemas.openxmlformats.org/officeDocument/2006/relationships/hyperlink" Target="https://mstgolf.co.th/products/gf2040200143" TargetMode="External" Id="rId4743" /><Relationship Type="http://schemas.openxmlformats.org/officeDocument/2006/relationships/hyperlink" Target="https://mstgolf.co.th/products/gf3500200932" TargetMode="External" Id="rId4744" /><Relationship Type="http://schemas.openxmlformats.org/officeDocument/2006/relationships/hyperlink" Target="https://mstgolf.co.th/products/gf2040114196" TargetMode="External" Id="rId4745" /><Relationship Type="http://schemas.openxmlformats.org/officeDocument/2006/relationships/hyperlink" Target="https://mstgolf.co.th/products/gf2040120577" TargetMode="External" Id="rId4746" /><Relationship Type="http://schemas.openxmlformats.org/officeDocument/2006/relationships/hyperlink" Target="https://mstgolf.co.th/products/gf2040120575" TargetMode="External" Id="rId4747" /><Relationship Type="http://schemas.openxmlformats.org/officeDocument/2006/relationships/hyperlink" Target="https://mstgolf.co.th/products/gf3130100372" TargetMode="External" Id="rId4748" /><Relationship Type="http://schemas.openxmlformats.org/officeDocument/2006/relationships/hyperlink" Target="https://mstgolf.co.th/products/gf3130100374" TargetMode="External" Id="rId4749" /><Relationship Type="http://schemas.openxmlformats.org/officeDocument/2006/relationships/hyperlink" Target="https://mstgolf.co.th/products/gf3130100383" TargetMode="External" Id="rId4750" /><Relationship Type="http://schemas.openxmlformats.org/officeDocument/2006/relationships/hyperlink" Target="https://mstgolf.co.th/products/gf3130100385" TargetMode="External" Id="rId4751" /><Relationship Type="http://schemas.openxmlformats.org/officeDocument/2006/relationships/hyperlink" Target="https://mstgolf.co.th/products/gf3130100465" TargetMode="External" Id="rId4752" /><Relationship Type="http://schemas.openxmlformats.org/officeDocument/2006/relationships/hyperlink" Target="https://mstgolf.co.th/products/gf3130100468" TargetMode="External" Id="rId4753" /><Relationship Type="http://schemas.openxmlformats.org/officeDocument/2006/relationships/hyperlink" Target="https://mstgolf.co.th/products/gf3130100469" TargetMode="External" Id="rId4754" /><Relationship Type="http://schemas.openxmlformats.org/officeDocument/2006/relationships/hyperlink" Target="https://mstgolf.co.th/products/gf2020102227" TargetMode="External" Id="rId4755" /><Relationship Type="http://schemas.openxmlformats.org/officeDocument/2006/relationships/hyperlink" Target="https://mstgolf.co.th/products/gf2040118852" TargetMode="External" Id="rId4756" /><Relationship Type="http://schemas.openxmlformats.org/officeDocument/2006/relationships/hyperlink" Target="https://mstgolf.co.th/products/gf3150100221" TargetMode="External" Id="rId4757" /><Relationship Type="http://schemas.openxmlformats.org/officeDocument/2006/relationships/hyperlink" Target="https://mstgolf.co.th/products/gf3500200933" TargetMode="External" Id="rId4758" /><Relationship Type="http://schemas.openxmlformats.org/officeDocument/2006/relationships/hyperlink" Target="https://mstgolf.co.th/products/gf3150100250" TargetMode="External" Id="rId4759" /><Relationship Type="http://schemas.openxmlformats.org/officeDocument/2006/relationships/hyperlink" Target="https://mstgolf.co.th/products/gf2040121124" TargetMode="External" Id="rId4760" /><Relationship Type="http://schemas.openxmlformats.org/officeDocument/2006/relationships/hyperlink" Target="https://mstgolf.co.th/products/gf2040119492" TargetMode="External" Id="rId4761" /><Relationship Type="http://schemas.openxmlformats.org/officeDocument/2006/relationships/hyperlink" Target="https://mstgolf.co.th/products/gf2020202812" TargetMode="External" Id="rId4762" /><Relationship Type="http://schemas.openxmlformats.org/officeDocument/2006/relationships/hyperlink" Target="https://mstgolf.co.th/products/gf2020300139" TargetMode="External" Id="rId4763" /><Relationship Type="http://schemas.openxmlformats.org/officeDocument/2006/relationships/hyperlink" Target="https://mstgolf.co.th/products/gf3500201392" TargetMode="External" Id="rId4764" /><Relationship Type="http://schemas.openxmlformats.org/officeDocument/2006/relationships/hyperlink" Target="https://mstgolf.co.th/products/gf2000106890" TargetMode="External" Id="rId4765" /><Relationship Type="http://schemas.openxmlformats.org/officeDocument/2006/relationships/hyperlink" Target="https://mstgolf.co.th/products/gf2000106891" TargetMode="External" Id="rId4766" /><Relationship Type="http://schemas.openxmlformats.org/officeDocument/2006/relationships/hyperlink" Target="https://mstgolf.co.th/products/gf2040119868" TargetMode="External" Id="rId4767" /><Relationship Type="http://schemas.openxmlformats.org/officeDocument/2006/relationships/hyperlink" Target="https://mstgolf.co.th/products/gf2040200115" TargetMode="External" Id="rId4768" /><Relationship Type="http://schemas.openxmlformats.org/officeDocument/2006/relationships/hyperlink" Target="https://mstgolf.co.th/products/gf2040200116" TargetMode="External" Id="rId4769" /><Relationship Type="http://schemas.openxmlformats.org/officeDocument/2006/relationships/hyperlink" Target="https://mstgolf.co.th/products/gf2020202632" TargetMode="External" Id="rId4770" /><Relationship Type="http://schemas.openxmlformats.org/officeDocument/2006/relationships/hyperlink" Target="https://mstgolf.co.th/products/gf2020202620" TargetMode="External" Id="rId4771" /><Relationship Type="http://schemas.openxmlformats.org/officeDocument/2006/relationships/hyperlink" Target="https://mstgolf.co.th/products/gf2040118832" TargetMode="External" Id="rId4772" /><Relationship Type="http://schemas.openxmlformats.org/officeDocument/2006/relationships/hyperlink" Target="https://mstgolf.co.th/products/gf2040118050" TargetMode="External" Id="rId4773" /><Relationship Type="http://schemas.openxmlformats.org/officeDocument/2006/relationships/hyperlink" Target="https://mstgolf.co.th/products/gf2020202550" TargetMode="External" Id="rId4774" /><Relationship Type="http://schemas.openxmlformats.org/officeDocument/2006/relationships/hyperlink" Target="https://mstgolf.co.th/products/gf3500201560" TargetMode="External" Id="rId4775" /><Relationship Type="http://schemas.openxmlformats.org/officeDocument/2006/relationships/hyperlink" Target="https://mstgolf.co.th/products/gf2020202290" TargetMode="External" Id="rId4776" /><Relationship Type="http://schemas.openxmlformats.org/officeDocument/2006/relationships/hyperlink" Target="https://mstgolf.co.th/products/gf2040114177" TargetMode="External" Id="rId4777" /><Relationship Type="http://schemas.openxmlformats.org/officeDocument/2006/relationships/hyperlink" Target="https://mstgolf.co.th/products/gf2040401475" TargetMode="External" Id="rId4778" /><Relationship Type="http://schemas.openxmlformats.org/officeDocument/2006/relationships/hyperlink" Target="https://mstgolf.co.th/products/gf2040120860" TargetMode="External" Id="rId4779" /><Relationship Type="http://schemas.openxmlformats.org/officeDocument/2006/relationships/hyperlink" Target="https://mstgolf.co.th/products/gf2040120574" TargetMode="External" Id="rId4780" /><Relationship Type="http://schemas.openxmlformats.org/officeDocument/2006/relationships/hyperlink" Target="https://mstgolf.co.th/products/gf2020101843" TargetMode="External" Id="rId4781" /><Relationship Type="http://schemas.openxmlformats.org/officeDocument/2006/relationships/hyperlink" Target="https://mstgolf.co.th/products/gf2040119297" TargetMode="External" Id="rId4782" /><Relationship Type="http://schemas.openxmlformats.org/officeDocument/2006/relationships/hyperlink" Target="https://mstgolf.co.th/products/gf2020102245" TargetMode="External" Id="rId4783" /><Relationship Type="http://schemas.openxmlformats.org/officeDocument/2006/relationships/hyperlink" Target="https://mstgolf.co.th/products/gf2040119257" TargetMode="External" Id="rId4784" /><Relationship Type="http://schemas.openxmlformats.org/officeDocument/2006/relationships/hyperlink" Target="https://mstgolf.co.th/products/gf2040117449" TargetMode="External" Id="rId4785" /><Relationship Type="http://schemas.openxmlformats.org/officeDocument/2006/relationships/hyperlink" Target="https://mstgolf.co.th/products/gf2040117455" TargetMode="External" Id="rId4786" /><Relationship Type="http://schemas.openxmlformats.org/officeDocument/2006/relationships/hyperlink" Target="https://mstgolf.co.th/products/gf2040119299" TargetMode="External" Id="rId4787" /><Relationship Type="http://schemas.openxmlformats.org/officeDocument/2006/relationships/hyperlink" Target="https://mstgolf.co.th/products/gf2040121271" TargetMode="External" Id="rId4788" /><Relationship Type="http://schemas.openxmlformats.org/officeDocument/2006/relationships/hyperlink" Target="https://mstgolf.co.th/products/gf2040121273" TargetMode="External" Id="rId4789" /><Relationship Type="http://schemas.openxmlformats.org/officeDocument/2006/relationships/hyperlink" Target="https://mstgolf.co.th/products/gf3150100166" TargetMode="External" Id="rId4790" /><Relationship Type="http://schemas.openxmlformats.org/officeDocument/2006/relationships/hyperlink" Target="https://mstgolf.co.th/products/gf2060101101" TargetMode="External" Id="rId4791" /><Relationship Type="http://schemas.openxmlformats.org/officeDocument/2006/relationships/hyperlink" Target="https://mstgolf.co.th/products/gf2020102363" TargetMode="External" Id="rId4792" /><Relationship Type="http://schemas.openxmlformats.org/officeDocument/2006/relationships/hyperlink" Target="https://mstgolf.co.th/products/gf2040119199" TargetMode="External" Id="rId4793" /><Relationship Type="http://schemas.openxmlformats.org/officeDocument/2006/relationships/hyperlink" Target="https://mstgolf.co.th/products/gf2040117225" TargetMode="External" Id="rId4794" /><Relationship Type="http://schemas.openxmlformats.org/officeDocument/2006/relationships/hyperlink" Target="https://mstgolf.co.th/products/gf2040118330" TargetMode="External" Id="rId4795" /><Relationship Type="http://schemas.openxmlformats.org/officeDocument/2006/relationships/hyperlink" Target="https://mstgolf.co.th/products/gf2040119238" TargetMode="External" Id="rId4796" /><Relationship Type="http://schemas.openxmlformats.org/officeDocument/2006/relationships/hyperlink" Target="https://mstgolf.co.th/products/gf3500201665" TargetMode="External" Id="rId4797" /><Relationship Type="http://schemas.openxmlformats.org/officeDocument/2006/relationships/hyperlink" Target="https://mstgolf.co.th/products/gf3500201666" TargetMode="External" Id="rId4798" /><Relationship Type="http://schemas.openxmlformats.org/officeDocument/2006/relationships/hyperlink" Target="https://mstgolf.co.th/products/gf2000201018" TargetMode="External" Id="rId4799" /><Relationship Type="http://schemas.openxmlformats.org/officeDocument/2006/relationships/hyperlink" Target="https://mstgolf.co.th/products/gf2040120519" TargetMode="External" Id="rId4800" /><Relationship Type="http://schemas.openxmlformats.org/officeDocument/2006/relationships/hyperlink" Target="https://mstgolf.co.th/products/gf2000300421" TargetMode="External" Id="rId4801" /><Relationship Type="http://schemas.openxmlformats.org/officeDocument/2006/relationships/hyperlink" Target="https://mstgolf.co.th/products/gf2020102244" TargetMode="External" Id="rId4802" /><Relationship Type="http://schemas.openxmlformats.org/officeDocument/2006/relationships/hyperlink" Target="https://mstgolf.co.th/products/gf2040401192" TargetMode="External" Id="rId4803" /><Relationship Type="http://schemas.openxmlformats.org/officeDocument/2006/relationships/hyperlink" Target="https://mstgolf.co.th/products/gf2040200131" TargetMode="External" Id="rId4804" /><Relationship Type="http://schemas.openxmlformats.org/officeDocument/2006/relationships/hyperlink" Target="https://mstgolf.co.th/products/gf2000300406" TargetMode="External" Id="rId4805" /><Relationship Type="http://schemas.openxmlformats.org/officeDocument/2006/relationships/hyperlink" Target="https://mstgolf.co.th/products/gf2020102569" TargetMode="External" Id="rId4806" /><Relationship Type="http://schemas.openxmlformats.org/officeDocument/2006/relationships/hyperlink" Target="https://mstgolf.co.th/products/gf2040117398" TargetMode="External" Id="rId4807" /><Relationship Type="http://schemas.openxmlformats.org/officeDocument/2006/relationships/hyperlink" Target="https://mstgolf.co.th/products/gf2040118443" TargetMode="External" Id="rId4808" /><Relationship Type="http://schemas.openxmlformats.org/officeDocument/2006/relationships/hyperlink" Target="https://mstgolf.co.th/products/gf2040118444" TargetMode="External" Id="rId4809" /><Relationship Type="http://schemas.openxmlformats.org/officeDocument/2006/relationships/hyperlink" Target="https://mstgolf.co.th/products/gf2040121121" TargetMode="External" Id="rId4810" /><Relationship Type="http://schemas.openxmlformats.org/officeDocument/2006/relationships/hyperlink" Target="https://mstgolf.co.th/products/gf2040120337" TargetMode="External" Id="rId4811" /><Relationship Type="http://schemas.openxmlformats.org/officeDocument/2006/relationships/hyperlink" Target="https://mstgolf.co.th/products/gf3500300955" TargetMode="External" Id="rId4812" /><Relationship Type="http://schemas.openxmlformats.org/officeDocument/2006/relationships/hyperlink" Target="https://mstgolf.co.th/products/gf3500300952" TargetMode="External" Id="rId4813" /><Relationship Type="http://schemas.openxmlformats.org/officeDocument/2006/relationships/hyperlink" Target="https://mstgolf.co.th/products/gf2020102504" TargetMode="External" Id="rId4814" /><Relationship Type="http://schemas.openxmlformats.org/officeDocument/2006/relationships/hyperlink" Target="https://mstgolf.co.th/products/gf2020102505" TargetMode="External" Id="rId4815" /><Relationship Type="http://schemas.openxmlformats.org/officeDocument/2006/relationships/hyperlink" Target="https://mstgolf.co.th/products/gf3130100618" TargetMode="External" Id="rId4816" /><Relationship Type="http://schemas.openxmlformats.org/officeDocument/2006/relationships/hyperlink" Target="https://mstgolf.co.th/products/gf2040118057" TargetMode="External" Id="rId4817" /><Relationship Type="http://schemas.openxmlformats.org/officeDocument/2006/relationships/hyperlink" Target="https://mstgolf.co.th/products/gf2040116974" TargetMode="External" Id="rId4818" /><Relationship Type="http://schemas.openxmlformats.org/officeDocument/2006/relationships/hyperlink" Target="https://mstgolf.co.th/products/gf2040118983" TargetMode="External" Id="rId4819" /><Relationship Type="http://schemas.openxmlformats.org/officeDocument/2006/relationships/hyperlink" Target="https://mstgolf.co.th/products/gf2040116975" TargetMode="External" Id="rId4820" /><Relationship Type="http://schemas.openxmlformats.org/officeDocument/2006/relationships/hyperlink" Target="https://mstgolf.co.th/products/gf2040118986" TargetMode="External" Id="rId4821" /><Relationship Type="http://schemas.openxmlformats.org/officeDocument/2006/relationships/hyperlink" Target="https://mstgolf.co.th/products/gf2040116952" TargetMode="External" Id="rId4822" /><Relationship Type="http://schemas.openxmlformats.org/officeDocument/2006/relationships/hyperlink" Target="https://mstgolf.co.th/products/gf2040300159" TargetMode="External" Id="rId4823" /><Relationship Type="http://schemas.openxmlformats.org/officeDocument/2006/relationships/hyperlink" Target="https://mstgolf.co.th/products/gf2000200965" TargetMode="External" Id="rId4824" /><Relationship Type="http://schemas.openxmlformats.org/officeDocument/2006/relationships/hyperlink" Target="https://mstgolf.co.th/products/gf2000200964" TargetMode="External" Id="rId4825" /><Relationship Type="http://schemas.openxmlformats.org/officeDocument/2006/relationships/hyperlink" Target="https://mstgolf.co.th/products/gf2000106238" TargetMode="External" Id="rId4826" /><Relationship Type="http://schemas.openxmlformats.org/officeDocument/2006/relationships/hyperlink" Target="https://mstgolf.co.th/products/gf2000106241" TargetMode="External" Id="rId4827" /><Relationship Type="http://schemas.openxmlformats.org/officeDocument/2006/relationships/hyperlink" Target="https://mstgolf.co.th/products/gf2000106242" TargetMode="External" Id="rId4828" /><Relationship Type="http://schemas.openxmlformats.org/officeDocument/2006/relationships/hyperlink" Target="https://mstgolf.co.th/products/gf2040401325" TargetMode="External" Id="rId4829" /><Relationship Type="http://schemas.openxmlformats.org/officeDocument/2006/relationships/hyperlink" Target="https://mstgolf.co.th/products/gf2000106243" TargetMode="External" Id="rId4830" /><Relationship Type="http://schemas.openxmlformats.org/officeDocument/2006/relationships/hyperlink" Target="https://mstgolf.co.th/products/gf2000106244" TargetMode="External" Id="rId4831" /><Relationship Type="http://schemas.openxmlformats.org/officeDocument/2006/relationships/hyperlink" Target="https://mstgolf.co.th/products/gf2000106074" TargetMode="External" Id="rId4832" /><Relationship Type="http://schemas.openxmlformats.org/officeDocument/2006/relationships/hyperlink" Target="https://mstgolf.co.th/products/gf2000106075" TargetMode="External" Id="rId4833" /><Relationship Type="http://schemas.openxmlformats.org/officeDocument/2006/relationships/hyperlink" Target="https://mstgolf.co.th/products/gf2000106073" TargetMode="External" Id="rId4834" /><Relationship Type="http://schemas.openxmlformats.org/officeDocument/2006/relationships/hyperlink" Target="https://mstgolf.co.th/products/gf2020202819" TargetMode="External" Id="rId4835" /><Relationship Type="http://schemas.openxmlformats.org/officeDocument/2006/relationships/hyperlink" Target="https://mstgolf.co.th/products/gf2040119557" TargetMode="External" Id="rId4836" /><Relationship Type="http://schemas.openxmlformats.org/officeDocument/2006/relationships/hyperlink" Target="https://mstgolf.co.th/products/gf2020202329" TargetMode="External" Id="rId4837" /><Relationship Type="http://schemas.openxmlformats.org/officeDocument/2006/relationships/hyperlink" Target="https://mstgolf.co.th/products/gf2040119288" TargetMode="External" Id="rId4838" /><Relationship Type="http://schemas.openxmlformats.org/officeDocument/2006/relationships/hyperlink" Target="https://mstgolf.co.th/products/gf2040117893" TargetMode="External" Id="rId4839" /><Relationship Type="http://schemas.openxmlformats.org/officeDocument/2006/relationships/hyperlink" Target="https://mstgolf.co.th/products/gf2020102075" TargetMode="External" Id="rId4840" /><Relationship Type="http://schemas.openxmlformats.org/officeDocument/2006/relationships/hyperlink" Target="https://mstgolf.co.th/products/gf2020102225" TargetMode="External" Id="rId4841" /><Relationship Type="http://schemas.openxmlformats.org/officeDocument/2006/relationships/hyperlink" Target="https://mstgolf.co.th/products/gf2040117220" TargetMode="External" Id="rId4842" /><Relationship Type="http://schemas.openxmlformats.org/officeDocument/2006/relationships/hyperlink" Target="https://mstgolf.co.th/products/gf2040117224" TargetMode="External" Id="rId4843" /><Relationship Type="http://schemas.openxmlformats.org/officeDocument/2006/relationships/hyperlink" Target="https://mstgolf.co.th/products/gf2040119227" TargetMode="External" Id="rId4844" /><Relationship Type="http://schemas.openxmlformats.org/officeDocument/2006/relationships/hyperlink" Target="https://mstgolf.co.th/products/gf2040119228" TargetMode="External" Id="rId4845" /><Relationship Type="http://schemas.openxmlformats.org/officeDocument/2006/relationships/hyperlink" Target="https://mstgolf.co.th/products/gf2040118326" TargetMode="External" Id="rId4846" /><Relationship Type="http://schemas.openxmlformats.org/officeDocument/2006/relationships/hyperlink" Target="https://mstgolf.co.th/products/gf2040118323" TargetMode="External" Id="rId4847" /><Relationship Type="http://schemas.openxmlformats.org/officeDocument/2006/relationships/hyperlink" Target="https://mstgolf.co.th/products/gf2040118324" TargetMode="External" Id="rId4848" /><Relationship Type="http://schemas.openxmlformats.org/officeDocument/2006/relationships/hyperlink" Target="https://mstgolf.co.th/products/gf2000300387" TargetMode="External" Id="rId4849" /><Relationship Type="http://schemas.openxmlformats.org/officeDocument/2006/relationships/hyperlink" Target="https://mstgolf.co.th/products/gf2000300418" TargetMode="External" Id="rId4850" /><Relationship Type="http://schemas.openxmlformats.org/officeDocument/2006/relationships/hyperlink" Target="https://mstgolf.co.th/products/gf2000300419" TargetMode="External" Id="rId4851" /><Relationship Type="http://schemas.openxmlformats.org/officeDocument/2006/relationships/hyperlink" Target="https://mstgolf.co.th/products/gf2040117914" TargetMode="External" Id="rId4852" /><Relationship Type="http://schemas.openxmlformats.org/officeDocument/2006/relationships/hyperlink" Target="https://mstgolf.co.th/products/gf2040119608" TargetMode="External" Id="rId4853" /><Relationship Type="http://schemas.openxmlformats.org/officeDocument/2006/relationships/hyperlink" Target="https://mstgolf.co.th/products/gf2040115922" TargetMode="External" Id="rId4854" /><Relationship Type="http://schemas.openxmlformats.org/officeDocument/2006/relationships/hyperlink" Target="https://mstgolf.co.th/products/gf2040115918" TargetMode="External" Id="rId4855" /><Relationship Type="http://schemas.openxmlformats.org/officeDocument/2006/relationships/hyperlink" Target="https://mstgolf.co.th/products/gf2040115917" TargetMode="External" Id="rId4856" /><Relationship Type="http://schemas.openxmlformats.org/officeDocument/2006/relationships/hyperlink" Target="https://mstgolf.co.th/products/gf2040119276" TargetMode="External" Id="rId4857" /><Relationship Type="http://schemas.openxmlformats.org/officeDocument/2006/relationships/hyperlink" Target="https://mstgolf.co.th/products/gf2040118452" TargetMode="External" Id="rId4858" /><Relationship Type="http://schemas.openxmlformats.org/officeDocument/2006/relationships/hyperlink" Target="https://mstgolf.co.th/products/gf2040118463" TargetMode="External" Id="rId4859" /><Relationship Type="http://schemas.openxmlformats.org/officeDocument/2006/relationships/hyperlink" Target="https://mstgolf.co.th/products/gf2040400955" TargetMode="External" Id="rId4860" /><Relationship Type="http://schemas.openxmlformats.org/officeDocument/2006/relationships/hyperlink" Target="https://mstgolf.co.th/products/gf2100200723" TargetMode="External" Id="rId4861" /><Relationship Type="http://schemas.openxmlformats.org/officeDocument/2006/relationships/hyperlink" Target="https://mstgolf.co.th/products/gf2040118343" TargetMode="External" Id="rId4862" /><Relationship Type="http://schemas.openxmlformats.org/officeDocument/2006/relationships/hyperlink" Target="https://mstgolf.co.th/products/gf2040119232" TargetMode="External" Id="rId4863" /><Relationship Type="http://schemas.openxmlformats.org/officeDocument/2006/relationships/hyperlink" Target="https://mstgolf.co.th/products/gf2040119215" TargetMode="External" Id="rId4864" /><Relationship Type="http://schemas.openxmlformats.org/officeDocument/2006/relationships/hyperlink" Target="https://mstgolf.co.th/products/gf2040118344" TargetMode="External" Id="rId4865" /><Relationship Type="http://schemas.openxmlformats.org/officeDocument/2006/relationships/hyperlink" Target="https://mstgolf.co.th/products/gf2040118944" TargetMode="External" Id="rId4866" /><Relationship Type="http://schemas.openxmlformats.org/officeDocument/2006/relationships/hyperlink" Target="https://mstgolf.co.th/products/gf2040118673" TargetMode="External" Id="rId4867" /><Relationship Type="http://schemas.openxmlformats.org/officeDocument/2006/relationships/hyperlink" Target="https://mstgolf.co.th/products/gf2000105950" TargetMode="External" Id="rId4868" /><Relationship Type="http://schemas.openxmlformats.org/officeDocument/2006/relationships/hyperlink" Target="https://mstgolf.co.th/products/gf2040116704" TargetMode="External" Id="rId4869" /><Relationship Type="http://schemas.openxmlformats.org/officeDocument/2006/relationships/hyperlink" Target="https://mstgolf.co.th/products/gf2040116595" TargetMode="External" Id="rId4870" /><Relationship Type="http://schemas.openxmlformats.org/officeDocument/2006/relationships/hyperlink" Target="https://mstgolf.co.th/products/gf2040116597" TargetMode="External" Id="rId4871" /><Relationship Type="http://schemas.openxmlformats.org/officeDocument/2006/relationships/hyperlink" Target="https://mstgolf.co.th/products/gf2040113242" TargetMode="External" Id="rId4872" /><Relationship Type="http://schemas.openxmlformats.org/officeDocument/2006/relationships/hyperlink" Target="https://mstgolf.co.th/products/gf2040113243" TargetMode="External" Id="rId4873" /><Relationship Type="http://schemas.openxmlformats.org/officeDocument/2006/relationships/hyperlink" Target="https://mstgolf.co.th/products/gf2040113244" TargetMode="External" Id="rId4874" /><Relationship Type="http://schemas.openxmlformats.org/officeDocument/2006/relationships/hyperlink" Target="https://mstgolf.co.th/products/gf2040113676" TargetMode="External" Id="rId4875" /><Relationship Type="http://schemas.openxmlformats.org/officeDocument/2006/relationships/hyperlink" Target="https://mstgolf.co.th/products/gf2040113973" TargetMode="External" Id="rId4876" /><Relationship Type="http://schemas.openxmlformats.org/officeDocument/2006/relationships/hyperlink" Target="https://mstgolf.co.th/products/gf2040113974" TargetMode="External" Id="rId4877" /><Relationship Type="http://schemas.openxmlformats.org/officeDocument/2006/relationships/hyperlink" Target="https://mstgolf.co.th/products/gf2040118503" TargetMode="External" Id="rId4878" /><Relationship Type="http://schemas.openxmlformats.org/officeDocument/2006/relationships/hyperlink" Target="https://mstgolf.co.th/products/gf2000106379" TargetMode="External" Id="rId4879" /><Relationship Type="http://schemas.openxmlformats.org/officeDocument/2006/relationships/hyperlink" Target="https://mstgolf.co.th/products/gf2100200693" TargetMode="External" Id="rId4880" /><Relationship Type="http://schemas.openxmlformats.org/officeDocument/2006/relationships/hyperlink" Target="https://mstgolf.co.th/products/gf2040120549" TargetMode="External" Id="rId4881" /><Relationship Type="http://schemas.openxmlformats.org/officeDocument/2006/relationships/hyperlink" Target="https://mstgolf.co.th/products/gf2020202695" TargetMode="External" Id="rId4882" /><Relationship Type="http://schemas.openxmlformats.org/officeDocument/2006/relationships/hyperlink" Target="https://mstgolf.co.th/products/gf2020202694" TargetMode="External" Id="rId4883" /><Relationship Type="http://schemas.openxmlformats.org/officeDocument/2006/relationships/hyperlink" Target="https://mstgolf.co.th/products/gf2040119590" TargetMode="External" Id="rId4884" /><Relationship Type="http://schemas.openxmlformats.org/officeDocument/2006/relationships/hyperlink" Target="https://mstgolf.co.th/products/gf2040117727" TargetMode="External" Id="rId4885" /><Relationship Type="http://schemas.openxmlformats.org/officeDocument/2006/relationships/hyperlink" Target="https://mstgolf.co.th/products/gf2040119680" TargetMode="External" Id="rId4886" /><Relationship Type="http://schemas.openxmlformats.org/officeDocument/2006/relationships/hyperlink" Target="https://mstgolf.co.th/products/gf2000106772" TargetMode="External" Id="rId4887" /><Relationship Type="http://schemas.openxmlformats.org/officeDocument/2006/relationships/hyperlink" Target="https://mstgolf.co.th/products/gf2000106767" TargetMode="External" Id="rId4888" /><Relationship Type="http://schemas.openxmlformats.org/officeDocument/2006/relationships/hyperlink" Target="https://mstgolf.co.th/products/gf2020202731" TargetMode="External" Id="rId4889" /><Relationship Type="http://schemas.openxmlformats.org/officeDocument/2006/relationships/hyperlink" Target="https://mstgolf.co.th/products/gf2040200073" TargetMode="External" Id="rId4890" /><Relationship Type="http://schemas.openxmlformats.org/officeDocument/2006/relationships/hyperlink" Target="https://mstgolf.co.th/products/gf2040200111" TargetMode="External" Id="rId4891" /><Relationship Type="http://schemas.openxmlformats.org/officeDocument/2006/relationships/hyperlink" Target="https://mstgolf.co.th/products/gf2040200078" TargetMode="External" Id="rId4892" /><Relationship Type="http://schemas.openxmlformats.org/officeDocument/2006/relationships/hyperlink" Target="https://mstgolf.co.th/products/gf2040200113" TargetMode="External" Id="rId4893" /><Relationship Type="http://schemas.openxmlformats.org/officeDocument/2006/relationships/hyperlink" Target="https://mstgolf.co.th/products/gf2040200114" TargetMode="External" Id="rId4894" /><Relationship Type="http://schemas.openxmlformats.org/officeDocument/2006/relationships/hyperlink" Target="https://mstgolf.co.th/products/gf2040200077" TargetMode="External" Id="rId4895" /><Relationship Type="http://schemas.openxmlformats.org/officeDocument/2006/relationships/hyperlink" Target="https://mstgolf.co.th/products/gf2040119880" TargetMode="External" Id="rId4896" /><Relationship Type="http://schemas.openxmlformats.org/officeDocument/2006/relationships/hyperlink" Target="https://mstgolf.co.th/products/gf2000300262" TargetMode="External" Id="rId4897" /><Relationship Type="http://schemas.openxmlformats.org/officeDocument/2006/relationships/hyperlink" Target="https://mstgolf.co.th/products/gf2000105967" TargetMode="External" Id="rId4898" /><Relationship Type="http://schemas.openxmlformats.org/officeDocument/2006/relationships/hyperlink" Target="https://mstgolf.co.th/products/gf2040117205" TargetMode="External" Id="rId4899" /><Relationship Type="http://schemas.openxmlformats.org/officeDocument/2006/relationships/hyperlink" Target="https://mstgolf.co.th/products/gf2040117210" TargetMode="External" Id="rId4900" /><Relationship Type="http://schemas.openxmlformats.org/officeDocument/2006/relationships/hyperlink" Target="https://mstgolf.co.th/products/gf2040115724" TargetMode="External" Id="rId4901" /><Relationship Type="http://schemas.openxmlformats.org/officeDocument/2006/relationships/hyperlink" Target="https://mstgolf.co.th/products/gf2020202331" TargetMode="External" Id="rId4902" /><Relationship Type="http://schemas.openxmlformats.org/officeDocument/2006/relationships/hyperlink" Target="https://mstgolf.co.th/products/gf2040119298" TargetMode="External" Id="rId4903" /><Relationship Type="http://schemas.openxmlformats.org/officeDocument/2006/relationships/hyperlink" Target="https://mstgolf.co.th/products/gf2000105956" TargetMode="External" Id="rId4904" /><Relationship Type="http://schemas.openxmlformats.org/officeDocument/2006/relationships/hyperlink" Target="https://mstgolf.co.th/products/gf2000105955" TargetMode="External" Id="rId4905" /><Relationship Type="http://schemas.openxmlformats.org/officeDocument/2006/relationships/hyperlink" Target="https://mstgolf.co.th/products/gf2020202311" TargetMode="External" Id="rId4906" /><Relationship Type="http://schemas.openxmlformats.org/officeDocument/2006/relationships/hyperlink" Target="https://mstgolf.co.th/products/gf2000105965" TargetMode="External" Id="rId4907" /><Relationship Type="http://schemas.openxmlformats.org/officeDocument/2006/relationships/hyperlink" Target="https://mstgolf.co.th/products/gf2000105968" TargetMode="External" Id="rId4908" /><Relationship Type="http://schemas.openxmlformats.org/officeDocument/2006/relationships/hyperlink" Target="https://mstgolf.co.th/products/gf2000105960" TargetMode="External" Id="rId4909" /><Relationship Type="http://schemas.openxmlformats.org/officeDocument/2006/relationships/hyperlink" Target="https://mstgolf.co.th/products/gf2000105885" TargetMode="External" Id="rId4910" /><Relationship Type="http://schemas.openxmlformats.org/officeDocument/2006/relationships/hyperlink" Target="https://mstgolf.co.th/products/gf2000105777" TargetMode="External" Id="rId4911" /><Relationship Type="http://schemas.openxmlformats.org/officeDocument/2006/relationships/hyperlink" Target="https://mstgolf.co.th/products/gf2000300346" TargetMode="External" Id="rId4912" /><Relationship Type="http://schemas.openxmlformats.org/officeDocument/2006/relationships/hyperlink" Target="https://mstgolf.co.th/products/gf2000105776" TargetMode="External" Id="rId4913" /><Relationship Type="http://schemas.openxmlformats.org/officeDocument/2006/relationships/hyperlink" Target="https://mstgolf.co.th/products/gf2000105774" TargetMode="External" Id="rId4914" /><Relationship Type="http://schemas.openxmlformats.org/officeDocument/2006/relationships/hyperlink" Target="https://mstgolf.co.th/products/gf2000105775" TargetMode="External" Id="rId4915" /><Relationship Type="http://schemas.openxmlformats.org/officeDocument/2006/relationships/hyperlink" Target="https://mstgolf.co.th/products/gf2000106215" TargetMode="External" Id="rId4916" /><Relationship Type="http://schemas.openxmlformats.org/officeDocument/2006/relationships/hyperlink" Target="https://mstgolf.co.th/products/gf2000105962" TargetMode="External" Id="rId4917" /><Relationship Type="http://schemas.openxmlformats.org/officeDocument/2006/relationships/hyperlink" Target="https://mstgolf.co.th/products/gf2000105781" TargetMode="External" Id="rId4918" /><Relationship Type="http://schemas.openxmlformats.org/officeDocument/2006/relationships/hyperlink" Target="https://mstgolf.co.th/products/gf2000105782" TargetMode="External" Id="rId4919" /><Relationship Type="http://schemas.openxmlformats.org/officeDocument/2006/relationships/hyperlink" Target="https://mstgolf.co.th/products/gf2040119207" TargetMode="External" Id="rId4920" /><Relationship Type="http://schemas.openxmlformats.org/officeDocument/2006/relationships/hyperlink" Target="https://mstgolf.co.th/products/gf2040119208" TargetMode="External" Id="rId4921" /><Relationship Type="http://schemas.openxmlformats.org/officeDocument/2006/relationships/hyperlink" Target="https://mstgolf.co.th/products/gf2040119211" TargetMode="External" Id="rId4922" /><Relationship Type="http://schemas.openxmlformats.org/officeDocument/2006/relationships/hyperlink" Target="https://mstgolf.co.th/products/gf2040119209" TargetMode="External" Id="rId4923" /><Relationship Type="http://schemas.openxmlformats.org/officeDocument/2006/relationships/hyperlink" Target="https://mstgolf.co.th/products/gf2020202549" TargetMode="External" Id="rId4924" /><Relationship Type="http://schemas.openxmlformats.org/officeDocument/2006/relationships/hyperlink" Target="https://mstgolf.co.th/products/gf3500300907" TargetMode="External" Id="rId4925" /><Relationship Type="http://schemas.openxmlformats.org/officeDocument/2006/relationships/hyperlink" Target="https://mstgolf.co.th/products/gf2040114201" TargetMode="External" Id="rId4926" /><Relationship Type="http://schemas.openxmlformats.org/officeDocument/2006/relationships/hyperlink" Target="https://mstgolf.co.th/products/gf3500201369" TargetMode="External" Id="rId4927" /><Relationship Type="http://schemas.openxmlformats.org/officeDocument/2006/relationships/hyperlink" Target="https://mstgolf.co.th/products/gf2040119431" TargetMode="External" Id="rId4928" /><Relationship Type="http://schemas.openxmlformats.org/officeDocument/2006/relationships/hyperlink" Target="https://mstgolf.co.th/products/gf3040100080" TargetMode="External" Id="rId4929" /><Relationship Type="http://schemas.openxmlformats.org/officeDocument/2006/relationships/hyperlink" Target="https://mstgolf.co.th/products/gf2100200507" TargetMode="External" Id="rId4930" /><Relationship Type="http://schemas.openxmlformats.org/officeDocument/2006/relationships/hyperlink" Target="https://mstgolf.co.th/products/gf2020102026" TargetMode="External" Id="rId4931" /><Relationship Type="http://schemas.openxmlformats.org/officeDocument/2006/relationships/hyperlink" Target="https://mstgolf.co.th/products/gf2020102027" TargetMode="External" Id="rId4932" /><Relationship Type="http://schemas.openxmlformats.org/officeDocument/2006/relationships/hyperlink" Target="https://mstgolf.co.th/products/gf2040117420" TargetMode="External" Id="rId4933" /><Relationship Type="http://schemas.openxmlformats.org/officeDocument/2006/relationships/hyperlink" Target="https://mstgolf.co.th/products/gf3150100199" TargetMode="External" Id="rId4934" /><Relationship Type="http://schemas.openxmlformats.org/officeDocument/2006/relationships/hyperlink" Target="https://mstgolf.co.th/products/gf3500201580" TargetMode="External" Id="rId4935" /><Relationship Type="http://schemas.openxmlformats.org/officeDocument/2006/relationships/hyperlink" Target="https://mstgolf.co.th/products/gf3500201581" TargetMode="External" Id="rId4936" /><Relationship Type="http://schemas.openxmlformats.org/officeDocument/2006/relationships/hyperlink" Target="https://mstgolf.co.th/products/gf3500201583" TargetMode="External" Id="rId4937" /><Relationship Type="http://schemas.openxmlformats.org/officeDocument/2006/relationships/hyperlink" Target="https://mstgolf.co.th/products/gf3500201582" TargetMode="External" Id="rId4938" /><Relationship Type="http://schemas.openxmlformats.org/officeDocument/2006/relationships/hyperlink" Target="https://mstgolf.co.th/products/gf2020102224" TargetMode="External" Id="rId4939" /><Relationship Type="http://schemas.openxmlformats.org/officeDocument/2006/relationships/hyperlink" Target="https://mstgolf.co.th/products/gf2040119205" TargetMode="External" Id="rId4940" /><Relationship Type="http://schemas.openxmlformats.org/officeDocument/2006/relationships/hyperlink" Target="https://mstgolf.co.th/products/gf2040117658" TargetMode="External" Id="rId4941" /><Relationship Type="http://schemas.openxmlformats.org/officeDocument/2006/relationships/hyperlink" Target="https://mstgolf.co.th/products/gf2040118298" TargetMode="External" Id="rId4942" /><Relationship Type="http://schemas.openxmlformats.org/officeDocument/2006/relationships/hyperlink" Target="https://mstgolf.co.th/products/gf2040116772" TargetMode="External" Id="rId4943" /><Relationship Type="http://schemas.openxmlformats.org/officeDocument/2006/relationships/hyperlink" Target="https://mstgolf.co.th/products/gf3150100323" TargetMode="External" Id="rId4944" /><Relationship Type="http://schemas.openxmlformats.org/officeDocument/2006/relationships/hyperlink" Target="https://mstgolf.co.th/products/gf2080101313" TargetMode="External" Id="rId4945" /><Relationship Type="http://schemas.openxmlformats.org/officeDocument/2006/relationships/hyperlink" Target="https://mstgolf.co.th/products/gf2020202658" TargetMode="External" Id="rId4946" /><Relationship Type="http://schemas.openxmlformats.org/officeDocument/2006/relationships/hyperlink" Target="https://mstgolf.co.th/products/gf2000105829" TargetMode="External" Id="rId4947" /><Relationship Type="http://schemas.openxmlformats.org/officeDocument/2006/relationships/hyperlink" Target="https://mstgolf.co.th/products/gf2040115378" TargetMode="External" Id="rId4948" /><Relationship Type="http://schemas.openxmlformats.org/officeDocument/2006/relationships/hyperlink" Target="https://mstgolf.co.th/products/gf2040116925" TargetMode="External" Id="rId4949" /><Relationship Type="http://schemas.openxmlformats.org/officeDocument/2006/relationships/hyperlink" Target="https://mstgolf.co.th/products/gf2000105692" TargetMode="External" Id="rId4950" /><Relationship Type="http://schemas.openxmlformats.org/officeDocument/2006/relationships/hyperlink" Target="https://mstgolf.co.th/products/gf2000105690" TargetMode="External" Id="rId4951" /><Relationship Type="http://schemas.openxmlformats.org/officeDocument/2006/relationships/hyperlink" Target="https://mstgolf.co.th/products/gf3500201804" TargetMode="External" Id="rId4952" /><Relationship Type="http://schemas.openxmlformats.org/officeDocument/2006/relationships/hyperlink" Target="https://mstgolf.co.th/products/gf3500201803" TargetMode="External" Id="rId4953" /><Relationship Type="http://schemas.openxmlformats.org/officeDocument/2006/relationships/hyperlink" Target="https://mstgolf.co.th/products/gf3500300872" TargetMode="External" Id="rId4954" /><Relationship Type="http://schemas.openxmlformats.org/officeDocument/2006/relationships/hyperlink" Target="https://mstgolf.co.th/products/gf3500300873" TargetMode="External" Id="rId4955" /><Relationship Type="http://schemas.openxmlformats.org/officeDocument/2006/relationships/hyperlink" Target="https://mstgolf.co.th/products/gf3500300874" TargetMode="External" Id="rId4956" /><Relationship Type="http://schemas.openxmlformats.org/officeDocument/2006/relationships/hyperlink" Target="https://mstgolf.co.th/products/gf3500300875" TargetMode="External" Id="rId4957" /><Relationship Type="http://schemas.openxmlformats.org/officeDocument/2006/relationships/hyperlink" Target="https://mstgolf.co.th/products/gf2040120740" TargetMode="External" Id="rId4958" /><Relationship Type="http://schemas.openxmlformats.org/officeDocument/2006/relationships/hyperlink" Target="https://mstgolf.co.th/products/gf2040120741" TargetMode="External" Id="rId4959" /><Relationship Type="http://schemas.openxmlformats.org/officeDocument/2006/relationships/hyperlink" Target="https://mstgolf.co.th/products/gf2040120742" TargetMode="External" Id="rId4960" /><Relationship Type="http://schemas.openxmlformats.org/officeDocument/2006/relationships/hyperlink" Target="https://mstgolf.co.th/products/gf2040400806" TargetMode="External" Id="rId4961" /><Relationship Type="http://schemas.openxmlformats.org/officeDocument/2006/relationships/hyperlink" Target="https://mstgolf.co.th/products/gf2020101752" TargetMode="External" Id="rId4962" /><Relationship Type="http://schemas.openxmlformats.org/officeDocument/2006/relationships/hyperlink" Target="https://mstgolf.co.th/products/gf2040117939" TargetMode="External" Id="rId4963" /><Relationship Type="http://schemas.openxmlformats.org/officeDocument/2006/relationships/hyperlink" Target="https://mstgolf.co.th/products/gf2080101410" TargetMode="External" Id="rId4964" /><Relationship Type="http://schemas.openxmlformats.org/officeDocument/2006/relationships/hyperlink" Target="https://mstgolf.co.th/products/gf2080101411" TargetMode="External" Id="rId4965" /><Relationship Type="http://schemas.openxmlformats.org/officeDocument/2006/relationships/hyperlink" Target="https://mstgolf.co.th/products/gf2000106218" TargetMode="External" Id="rId4966" /><Relationship Type="http://schemas.openxmlformats.org/officeDocument/2006/relationships/hyperlink" Target="https://mstgolf.co.th/products/gf2040118470" TargetMode="External" Id="rId4967" /><Relationship Type="http://schemas.openxmlformats.org/officeDocument/2006/relationships/hyperlink" Target="https://mstgolf.co.th/products/gf2000105773" TargetMode="External" Id="rId4968" /><Relationship Type="http://schemas.openxmlformats.org/officeDocument/2006/relationships/hyperlink" Target="https://mstgolf.co.th/products/gf2000105772" TargetMode="External" Id="rId4969" /><Relationship Type="http://schemas.openxmlformats.org/officeDocument/2006/relationships/hyperlink" Target="https://mstgolf.co.th/products/gf2000106222" TargetMode="External" Id="rId4970" /><Relationship Type="http://schemas.openxmlformats.org/officeDocument/2006/relationships/hyperlink" Target="https://mstgolf.co.th/products/gf2000105964" TargetMode="External" Id="rId4971" /><Relationship Type="http://schemas.openxmlformats.org/officeDocument/2006/relationships/hyperlink" Target="https://mstgolf.co.th/products/gf2020202318" TargetMode="External" Id="rId4972" /><Relationship Type="http://schemas.openxmlformats.org/officeDocument/2006/relationships/hyperlink" Target="https://mstgolf.co.th/products/gf2020202319" TargetMode="External" Id="rId4973" /><Relationship Type="http://schemas.openxmlformats.org/officeDocument/2006/relationships/hyperlink" Target="https://mstgolf.co.th/products/gf2020202320" TargetMode="External" Id="rId4974" /><Relationship Type="http://schemas.openxmlformats.org/officeDocument/2006/relationships/hyperlink" Target="https://mstgolf.co.th/products/gf2040116664" TargetMode="External" Id="rId4975" /><Relationship Type="http://schemas.openxmlformats.org/officeDocument/2006/relationships/hyperlink" Target="https://mstgolf.co.th/products/gf2040116663" TargetMode="External" Id="rId4976" /><Relationship Type="http://schemas.openxmlformats.org/officeDocument/2006/relationships/hyperlink" Target="https://mstgolf.co.th/products/gf2040116662" TargetMode="External" Id="rId4977" /><Relationship Type="http://schemas.openxmlformats.org/officeDocument/2006/relationships/hyperlink" Target="https://mstgolf.co.th/products/gf2020202324" TargetMode="External" Id="rId4978" /><Relationship Type="http://schemas.openxmlformats.org/officeDocument/2006/relationships/hyperlink" Target="https://mstgolf.co.th/products/gf2110200035" TargetMode="External" Id="rId4979" /><Relationship Type="http://schemas.openxmlformats.org/officeDocument/2006/relationships/hyperlink" Target="https://mstgolf.co.th/products/gf3150100285" TargetMode="External" Id="rId4980" /><Relationship Type="http://schemas.openxmlformats.org/officeDocument/2006/relationships/hyperlink" Target="https://mstgolf.co.th/products/gf3150100327" TargetMode="External" Id="rId4981" /><Relationship Type="http://schemas.openxmlformats.org/officeDocument/2006/relationships/hyperlink" Target="https://mstgolf.co.th/products/gf2040121274" TargetMode="External" Id="rId4982" /><Relationship Type="http://schemas.openxmlformats.org/officeDocument/2006/relationships/hyperlink" Target="https://mstgolf.co.th/products/gf2100200462" TargetMode="External" Id="rId4983" /><Relationship Type="http://schemas.openxmlformats.org/officeDocument/2006/relationships/hyperlink" Target="https://mstgolf.co.th/products/gf2100200489" TargetMode="External" Id="rId4984" /><Relationship Type="http://schemas.openxmlformats.org/officeDocument/2006/relationships/hyperlink" Target="https://mstgolf.co.th/products/gf2040117333" TargetMode="External" Id="rId4985" /><Relationship Type="http://schemas.openxmlformats.org/officeDocument/2006/relationships/hyperlink" Target="https://mstgolf.co.th/products/gf2110100143" TargetMode="External" Id="rId4986" /><Relationship Type="http://schemas.openxmlformats.org/officeDocument/2006/relationships/hyperlink" Target="https://mstgolf.co.th/products/gf2110100144" TargetMode="External" Id="rId4987" /><Relationship Type="http://schemas.openxmlformats.org/officeDocument/2006/relationships/hyperlink" Target="https://mstgolf.co.th/products/gf2000105854" TargetMode="External" Id="rId4988" /><Relationship Type="http://schemas.openxmlformats.org/officeDocument/2006/relationships/hyperlink" Target="https://mstgolf.co.th/products/gf2110100174" TargetMode="External" Id="rId4989" /><Relationship Type="http://schemas.openxmlformats.org/officeDocument/2006/relationships/hyperlink" Target="https://mstgolf.co.th/products/gf2110200023" TargetMode="External" Id="rId4990" /><Relationship Type="http://schemas.openxmlformats.org/officeDocument/2006/relationships/hyperlink" Target="https://mstgolf.co.th/products/gf2110200024" TargetMode="External" Id="rId4991" /><Relationship Type="http://schemas.openxmlformats.org/officeDocument/2006/relationships/hyperlink" Target="https://mstgolf.co.th/products/gf3500300815" TargetMode="External" Id="rId4992" /><Relationship Type="http://schemas.openxmlformats.org/officeDocument/2006/relationships/hyperlink" Target="https://mstgolf.co.th/products/gf2040114224" TargetMode="External" Id="rId4993" /><Relationship Type="http://schemas.openxmlformats.org/officeDocument/2006/relationships/hyperlink" Target="https://mstgolf.co.th/products/gf2040116553" TargetMode="External" Id="rId4994" /><Relationship Type="http://schemas.openxmlformats.org/officeDocument/2006/relationships/hyperlink" Target="https://mstgolf.co.th/products/gf3500201373" TargetMode="External" Id="rId4995" /><Relationship Type="http://schemas.openxmlformats.org/officeDocument/2006/relationships/hyperlink" Target="https://mstgolf.co.th/products/gf3500201374" TargetMode="External" Id="rId4996" /><Relationship Type="http://schemas.openxmlformats.org/officeDocument/2006/relationships/hyperlink" Target="https://mstgolf.co.th/products/gf2040117613" TargetMode="External" Id="rId4997" /><Relationship Type="http://schemas.openxmlformats.org/officeDocument/2006/relationships/hyperlink" Target="https://mstgolf.co.th/products/gf2040117636" TargetMode="External" Id="rId4998" /><Relationship Type="http://schemas.openxmlformats.org/officeDocument/2006/relationships/hyperlink" Target="https://mstgolf.co.th/products/gf2000300362" TargetMode="External" Id="rId4999" /><Relationship Type="http://schemas.openxmlformats.org/officeDocument/2006/relationships/hyperlink" Target="https://mstgolf.co.th/products/gf2040117589" TargetMode="External" Id="rId5000" /><Relationship Type="http://schemas.openxmlformats.org/officeDocument/2006/relationships/hyperlink" Target="https://mstgolf.co.th/products/gf2040117521" TargetMode="External" Id="rId5001" /><Relationship Type="http://schemas.openxmlformats.org/officeDocument/2006/relationships/hyperlink" Target="https://mstgolf.co.th/products/gf2040118551" TargetMode="External" Id="rId5002" /><Relationship Type="http://schemas.openxmlformats.org/officeDocument/2006/relationships/hyperlink" Target="https://mstgolf.co.th/products/gf2040118221" TargetMode="External" Id="rId5003" /><Relationship Type="http://schemas.openxmlformats.org/officeDocument/2006/relationships/hyperlink" Target="https://mstgolf.co.th/products/gf2040118553" TargetMode="External" Id="rId5004" /><Relationship Type="http://schemas.openxmlformats.org/officeDocument/2006/relationships/hyperlink" Target="https://mstgolf.co.th/products/gf2040117720" TargetMode="External" Id="rId5005" /><Relationship Type="http://schemas.openxmlformats.org/officeDocument/2006/relationships/hyperlink" Target="https://mstgolf.co.th/products/gf3500201765" TargetMode="External" Id="rId5006" /><Relationship Type="http://schemas.openxmlformats.org/officeDocument/2006/relationships/hyperlink" Target="https://mstgolf.co.th/products/gf2100200692" TargetMode="External" Id="rId5007" /><Relationship Type="http://schemas.openxmlformats.org/officeDocument/2006/relationships/hyperlink" Target="https://mstgolf.co.th/products/gf2100200691" TargetMode="External" Id="rId5008" /><Relationship Type="http://schemas.openxmlformats.org/officeDocument/2006/relationships/hyperlink" Target="https://mstgolf.co.th/products/gf2020101838" TargetMode="External" Id="rId5009" /><Relationship Type="http://schemas.openxmlformats.org/officeDocument/2006/relationships/hyperlink" Target="https://mstgolf.co.th/products/gf2020202326" TargetMode="External" Id="rId5010" /><Relationship Type="http://schemas.openxmlformats.org/officeDocument/2006/relationships/hyperlink" Target="https://mstgolf.co.th/products/gf2000106125" TargetMode="External" Id="rId5011" /><Relationship Type="http://schemas.openxmlformats.org/officeDocument/2006/relationships/hyperlink" Target="https://mstgolf.co.th/products/gf2000105166" TargetMode="External" Id="rId5012" /><Relationship Type="http://schemas.openxmlformats.org/officeDocument/2006/relationships/hyperlink" Target="https://mstgolf.co.th/products/gf2000300461" TargetMode="External" Id="rId5013" /><Relationship Type="http://schemas.openxmlformats.org/officeDocument/2006/relationships/hyperlink" Target="https://mstgolf.co.th/products/gf2000300459" TargetMode="External" Id="rId5014" /><Relationship Type="http://schemas.openxmlformats.org/officeDocument/2006/relationships/hyperlink" Target="https://mstgolf.co.th/products/gf2000106051" TargetMode="External" Id="rId5015" /><Relationship Type="http://schemas.openxmlformats.org/officeDocument/2006/relationships/hyperlink" Target="https://mstgolf.co.th/products/gf2000106272" TargetMode="External" Id="rId5016" /><Relationship Type="http://schemas.openxmlformats.org/officeDocument/2006/relationships/hyperlink" Target="https://mstgolf.co.th/products/gf2000106279" TargetMode="External" Id="rId5017" /><Relationship Type="http://schemas.openxmlformats.org/officeDocument/2006/relationships/hyperlink" Target="https://mstgolf.co.th/products/gf2000106274" TargetMode="External" Id="rId5018" /><Relationship Type="http://schemas.openxmlformats.org/officeDocument/2006/relationships/hyperlink" Target="https://mstgolf.co.th/products/gf2040117230" TargetMode="External" Id="rId5019" /><Relationship Type="http://schemas.openxmlformats.org/officeDocument/2006/relationships/hyperlink" Target="https://mstgolf.co.th/products/gf2040113378" TargetMode="External" Id="rId5020" /><Relationship Type="http://schemas.openxmlformats.org/officeDocument/2006/relationships/hyperlink" Target="https://mstgolf.co.th/products/gf2040200088" TargetMode="External" Id="rId5021" /><Relationship Type="http://schemas.openxmlformats.org/officeDocument/2006/relationships/hyperlink" Target="https://mstgolf.co.th/products/gf2000105814" TargetMode="External" Id="rId5022" /><Relationship Type="http://schemas.openxmlformats.org/officeDocument/2006/relationships/hyperlink" Target="https://mstgolf.co.th/products/gf3500300704" TargetMode="External" Id="rId5023" /><Relationship Type="http://schemas.openxmlformats.org/officeDocument/2006/relationships/hyperlink" Target="https://mstgolf.co.th/products/gf2040119414" TargetMode="External" Id="rId5024" /><Relationship Type="http://schemas.openxmlformats.org/officeDocument/2006/relationships/hyperlink" Target="https://mstgolf.co.th/products/gf2040119416" TargetMode="External" Id="rId5025" /><Relationship Type="http://schemas.openxmlformats.org/officeDocument/2006/relationships/hyperlink" Target="https://mstgolf.co.th/products/gf2040119417" TargetMode="External" Id="rId5026" /><Relationship Type="http://schemas.openxmlformats.org/officeDocument/2006/relationships/hyperlink" Target="https://mstgolf.co.th/products/gf2040401072" TargetMode="External" Id="rId5027" /><Relationship Type="http://schemas.openxmlformats.org/officeDocument/2006/relationships/hyperlink" Target="https://mstgolf.co.th/products/gf2040117627" TargetMode="External" Id="rId5028" /><Relationship Type="http://schemas.openxmlformats.org/officeDocument/2006/relationships/hyperlink" Target="https://mstgolf.co.th/products/gf2020202357" TargetMode="External" Id="rId5029" /><Relationship Type="http://schemas.openxmlformats.org/officeDocument/2006/relationships/hyperlink" Target="https://mstgolf.co.th/products/gf2020202346" TargetMode="External" Id="rId5030" /><Relationship Type="http://schemas.openxmlformats.org/officeDocument/2006/relationships/hyperlink" Target="https://mstgolf.co.th/products/gf2060101035" TargetMode="External" Id="rId5031" /><Relationship Type="http://schemas.openxmlformats.org/officeDocument/2006/relationships/hyperlink" Target="https://mstgolf.co.th/products/gf2040116431" TargetMode="External" Id="rId5032" /><Relationship Type="http://schemas.openxmlformats.org/officeDocument/2006/relationships/hyperlink" Target="https://mstgolf.co.th/products/gf2040111741" TargetMode="External" Id="rId5033" /><Relationship Type="http://schemas.openxmlformats.org/officeDocument/2006/relationships/hyperlink" Target="https://mstgolf.co.th/products/gf2040111732" TargetMode="External" Id="rId5034" /><Relationship Type="http://schemas.openxmlformats.org/officeDocument/2006/relationships/hyperlink" Target="https://mstgolf.co.th/products/gf2040111735" TargetMode="External" Id="rId5035" /><Relationship Type="http://schemas.openxmlformats.org/officeDocument/2006/relationships/hyperlink" Target="https://mstgolf.co.th/products/gf2040115421" TargetMode="External" Id="rId5036" /><Relationship Type="http://schemas.openxmlformats.org/officeDocument/2006/relationships/hyperlink" Target="https://mstgolf.co.th/products/gf2040115367" TargetMode="External" Id="rId5037" /><Relationship Type="http://schemas.openxmlformats.org/officeDocument/2006/relationships/hyperlink" Target="https://mstgolf.co.th/products/gf2040115369" TargetMode="External" Id="rId5038" /><Relationship Type="http://schemas.openxmlformats.org/officeDocument/2006/relationships/hyperlink" Target="https://mstgolf.co.th/products/gf2000106006" TargetMode="External" Id="rId5039" /><Relationship Type="http://schemas.openxmlformats.org/officeDocument/2006/relationships/hyperlink" Target="https://mstgolf.co.th/products/gf2000106005" TargetMode="External" Id="rId5040" /><Relationship Type="http://schemas.openxmlformats.org/officeDocument/2006/relationships/hyperlink" Target="https://mstgolf.co.th/products/gf2000106004" TargetMode="External" Id="rId5041" /><Relationship Type="http://schemas.openxmlformats.org/officeDocument/2006/relationships/hyperlink" Target="https://mstgolf.co.th/products/gf2040116424" TargetMode="External" Id="rId5042" /><Relationship Type="http://schemas.openxmlformats.org/officeDocument/2006/relationships/hyperlink" Target="https://mstgolf.co.th/products/gf2040116389" TargetMode="External" Id="rId5043" /><Relationship Type="http://schemas.openxmlformats.org/officeDocument/2006/relationships/hyperlink" Target="https://mstgolf.co.th/products/gf2040116364" TargetMode="External" Id="rId5044" /><Relationship Type="http://schemas.openxmlformats.org/officeDocument/2006/relationships/hyperlink" Target="https://mstgolf.co.th/products/gf2040120914" TargetMode="External" Id="rId5045" /><Relationship Type="http://schemas.openxmlformats.org/officeDocument/2006/relationships/hyperlink" Target="https://mstgolf.co.th/products/gf2040117082" TargetMode="External" Id="rId5046" /><Relationship Type="http://schemas.openxmlformats.org/officeDocument/2006/relationships/hyperlink" Target="https://mstgolf.co.th/products/gf2040116675" TargetMode="External" Id="rId5047" /><Relationship Type="http://schemas.openxmlformats.org/officeDocument/2006/relationships/hyperlink" Target="https://mstgolf.co.th/products/gf2040112842" TargetMode="External" Id="rId5048" /><Relationship Type="http://schemas.openxmlformats.org/officeDocument/2006/relationships/hyperlink" Target="https://mstgolf.co.th/products/gf3130100398" TargetMode="External" Id="rId5049" /><Relationship Type="http://schemas.openxmlformats.org/officeDocument/2006/relationships/hyperlink" Target="https://mstgolf.co.th/products/gf3130100271" TargetMode="External" Id="rId5050" /><Relationship Type="http://schemas.openxmlformats.org/officeDocument/2006/relationships/hyperlink" Target="https://mstgolf.co.th/products/gf3130100272" TargetMode="External" Id="rId5051" /><Relationship Type="http://schemas.openxmlformats.org/officeDocument/2006/relationships/hyperlink" Target="https://mstgolf.co.th/products/gf3130100199" TargetMode="External" Id="rId5052" /><Relationship Type="http://schemas.openxmlformats.org/officeDocument/2006/relationships/hyperlink" Target="https://mstgolf.co.th/products/gf3130100396" TargetMode="External" Id="rId5053" /><Relationship Type="http://schemas.openxmlformats.org/officeDocument/2006/relationships/hyperlink" Target="https://mstgolf.co.th/products/gf3130100241" TargetMode="External" Id="rId5054" /><Relationship Type="http://schemas.openxmlformats.org/officeDocument/2006/relationships/hyperlink" Target="https://mstgolf.co.th/products/gf3130100399" TargetMode="External" Id="rId5055" /><Relationship Type="http://schemas.openxmlformats.org/officeDocument/2006/relationships/hyperlink" Target="https://mstgolf.co.th/products/gf3500201165" TargetMode="External" Id="rId5056" /><Relationship Type="http://schemas.openxmlformats.org/officeDocument/2006/relationships/hyperlink" Target="https://mstgolf.co.th/products/gf2100200671" TargetMode="External" Id="rId5057" /><Relationship Type="http://schemas.openxmlformats.org/officeDocument/2006/relationships/hyperlink" Target="https://mstgolf.co.th/products/gf2000105931" TargetMode="External" Id="rId5058" /><Relationship Type="http://schemas.openxmlformats.org/officeDocument/2006/relationships/hyperlink" Target="https://mstgolf.co.th/products/gf2000300400" TargetMode="External" Id="rId5059" /><Relationship Type="http://schemas.openxmlformats.org/officeDocument/2006/relationships/hyperlink" Target="https://mstgolf.co.th/products/gf2110100113" TargetMode="External" Id="rId5060" /><Relationship Type="http://schemas.openxmlformats.org/officeDocument/2006/relationships/hyperlink" Target="https://mstgolf.co.th/products/gf2040117379" TargetMode="External" Id="rId5061" /><Relationship Type="http://schemas.openxmlformats.org/officeDocument/2006/relationships/hyperlink" Target="https://mstgolf.co.th/products/gf3500201275" TargetMode="External" Id="rId5062" /><Relationship Type="http://schemas.openxmlformats.org/officeDocument/2006/relationships/hyperlink" Target="https://mstgolf.co.th/products/gf2020201735" TargetMode="External" Id="rId5063" /><Relationship Type="http://schemas.openxmlformats.org/officeDocument/2006/relationships/hyperlink" Target="https://mstgolf.co.th/products/gf2000105563" TargetMode="External" Id="rId5064" /><Relationship Type="http://schemas.openxmlformats.org/officeDocument/2006/relationships/hyperlink" Target="https://mstgolf.co.th/products/gf2000105565" TargetMode="External" Id="rId5065" /><Relationship Type="http://schemas.openxmlformats.org/officeDocument/2006/relationships/hyperlink" Target="https://mstgolf.co.th/products/gf2000105767" TargetMode="External" Id="rId5066" /><Relationship Type="http://schemas.openxmlformats.org/officeDocument/2006/relationships/hyperlink" Target="https://mstgolf.co.th/products/gf2040117437" TargetMode="External" Id="rId5067" /><Relationship Type="http://schemas.openxmlformats.org/officeDocument/2006/relationships/hyperlink" Target="https://mstgolf.co.th/products/gf2000105556" TargetMode="External" Id="rId5068" /><Relationship Type="http://schemas.openxmlformats.org/officeDocument/2006/relationships/hyperlink" Target="https://mstgolf.co.th/products/gf2000105785" TargetMode="External" Id="rId5069" /><Relationship Type="http://schemas.openxmlformats.org/officeDocument/2006/relationships/hyperlink" Target="https://mstgolf.co.th/products/gf2040116657" TargetMode="External" Id="rId5070" /><Relationship Type="http://schemas.openxmlformats.org/officeDocument/2006/relationships/hyperlink" Target="https://mstgolf.co.th/products/gf2000105401" TargetMode="External" Id="rId5071" /><Relationship Type="http://schemas.openxmlformats.org/officeDocument/2006/relationships/hyperlink" Target="https://mstgolf.co.th/products/gf2020201985" TargetMode="External" Id="rId5072" /><Relationship Type="http://schemas.openxmlformats.org/officeDocument/2006/relationships/hyperlink" Target="https://mstgolf.co.th/products/gf2040116673" TargetMode="External" Id="rId5073" /><Relationship Type="http://schemas.openxmlformats.org/officeDocument/2006/relationships/hyperlink" Target="https://mstgolf.co.th/products/gf2000105568" TargetMode="External" Id="rId5074" /><Relationship Type="http://schemas.openxmlformats.org/officeDocument/2006/relationships/hyperlink" Target="https://mstgolf.co.th/products/gf2040118427" TargetMode="External" Id="rId5075" /><Relationship Type="http://schemas.openxmlformats.org/officeDocument/2006/relationships/hyperlink" Target="https://mstgolf.co.th/products/gf2040117436" TargetMode="External" Id="rId5076" /><Relationship Type="http://schemas.openxmlformats.org/officeDocument/2006/relationships/hyperlink" Target="https://mstgolf.co.th/products/gf2000200943" TargetMode="External" Id="rId5077" /><Relationship Type="http://schemas.openxmlformats.org/officeDocument/2006/relationships/hyperlink" Target="https://mstgolf.co.th/products/gf2000105550" TargetMode="External" Id="rId5078" /><Relationship Type="http://schemas.openxmlformats.org/officeDocument/2006/relationships/hyperlink" Target="https://mstgolf.co.th/products/gf2000105770" TargetMode="External" Id="rId5079" /><Relationship Type="http://schemas.openxmlformats.org/officeDocument/2006/relationships/hyperlink" Target="https://mstgolf.co.th/products/gf2100200573" TargetMode="External" Id="rId5080" /><Relationship Type="http://schemas.openxmlformats.org/officeDocument/2006/relationships/hyperlink" Target="https://mstgolf.co.th/products/gf2000105119" TargetMode="External" Id="rId5081" /><Relationship Type="http://schemas.openxmlformats.org/officeDocument/2006/relationships/hyperlink" Target="https://mstgolf.co.th/products/gf2000105120" TargetMode="External" Id="rId5082" /><Relationship Type="http://schemas.openxmlformats.org/officeDocument/2006/relationships/hyperlink" Target="https://mstgolf.co.th/products/gf2000105121" TargetMode="External" Id="rId5083" /><Relationship Type="http://schemas.openxmlformats.org/officeDocument/2006/relationships/hyperlink" Target="https://mstgolf.co.th/products/gf2000106232" TargetMode="External" Id="rId5084" /><Relationship Type="http://schemas.openxmlformats.org/officeDocument/2006/relationships/hyperlink" Target="https://mstgolf.co.th/products/gf2000105091" TargetMode="External" Id="rId5085" /><Relationship Type="http://schemas.openxmlformats.org/officeDocument/2006/relationships/hyperlink" Target="https://mstgolf.co.th/products/gf2000105092" TargetMode="External" Id="rId5086" /><Relationship Type="http://schemas.openxmlformats.org/officeDocument/2006/relationships/hyperlink" Target="https://mstgolf.co.th/products/gf2000105090" TargetMode="External" Id="rId5087" /><Relationship Type="http://schemas.openxmlformats.org/officeDocument/2006/relationships/hyperlink" Target="https://mstgolf.co.th/products/gf2020201992" TargetMode="External" Id="rId5088" /><Relationship Type="http://schemas.openxmlformats.org/officeDocument/2006/relationships/hyperlink" Target="https://mstgolf.co.th/products/gf2000105106" TargetMode="External" Id="rId5089" /><Relationship Type="http://schemas.openxmlformats.org/officeDocument/2006/relationships/hyperlink" Target="https://mstgolf.co.th/products/gf2000105099" TargetMode="External" Id="rId5090" /><Relationship Type="http://schemas.openxmlformats.org/officeDocument/2006/relationships/hyperlink" Target="https://mstgolf.co.th/products/gf2040118428" TargetMode="External" Id="rId5091" /><Relationship Type="http://schemas.openxmlformats.org/officeDocument/2006/relationships/hyperlink" Target="https://mstgolf.co.th/products/gf2000106231" TargetMode="External" Id="rId5092" /><Relationship Type="http://schemas.openxmlformats.org/officeDocument/2006/relationships/hyperlink" Target="https://mstgolf.co.th/products/gf2000200975" TargetMode="External" Id="rId5093" /><Relationship Type="http://schemas.openxmlformats.org/officeDocument/2006/relationships/hyperlink" Target="https://mstgolf.co.th/products/gf2100200551" TargetMode="External" Id="rId5094" /><Relationship Type="http://schemas.openxmlformats.org/officeDocument/2006/relationships/hyperlink" Target="https://mstgolf.co.th/products/gf2000105116" TargetMode="External" Id="rId5095" /><Relationship Type="http://schemas.openxmlformats.org/officeDocument/2006/relationships/hyperlink" Target="https://mstgolf.co.th/products/gf2000105115" TargetMode="External" Id="rId5096" /><Relationship Type="http://schemas.openxmlformats.org/officeDocument/2006/relationships/hyperlink" Target="https://mstgolf.co.th/products/gf2000105118" TargetMode="External" Id="rId5097" /><Relationship Type="http://schemas.openxmlformats.org/officeDocument/2006/relationships/hyperlink" Target="https://mstgolf.co.th/products/gf2000105784" TargetMode="External" Id="rId5098" /><Relationship Type="http://schemas.openxmlformats.org/officeDocument/2006/relationships/hyperlink" Target="https://mstgolf.co.th/products/gf2040400926" TargetMode="External" Id="rId5099" /><Relationship Type="http://schemas.openxmlformats.org/officeDocument/2006/relationships/hyperlink" Target="https://mstgolf.co.th/products/gf2040400924" TargetMode="External" Id="rId5100" /><Relationship Type="http://schemas.openxmlformats.org/officeDocument/2006/relationships/hyperlink" Target="https://mstgolf.co.th/products/gf2000200945" TargetMode="External" Id="rId5101" /><Relationship Type="http://schemas.openxmlformats.org/officeDocument/2006/relationships/hyperlink" Target="https://mstgolf.co.th/products/gf2000105566" TargetMode="External" Id="rId5102" /><Relationship Type="http://schemas.openxmlformats.org/officeDocument/2006/relationships/hyperlink" Target="https://mstgolf.co.th/products/gf2000200944" TargetMode="External" Id="rId5103" /><Relationship Type="http://schemas.openxmlformats.org/officeDocument/2006/relationships/hyperlink" Target="https://mstgolf.co.th/products/gf2040117412" TargetMode="External" Id="rId5104" /><Relationship Type="http://schemas.openxmlformats.org/officeDocument/2006/relationships/hyperlink" Target="https://mstgolf.co.th/products/gf2000105250" TargetMode="External" Id="rId5105" /><Relationship Type="http://schemas.openxmlformats.org/officeDocument/2006/relationships/hyperlink" Target="https://mstgolf.co.th/products/gf3150100244" TargetMode="External" Id="rId5106" /><Relationship Type="http://schemas.openxmlformats.org/officeDocument/2006/relationships/hyperlink" Target="https://mstgolf.co.th/products/gf2000106763" TargetMode="External" Id="rId5107" /><Relationship Type="http://schemas.openxmlformats.org/officeDocument/2006/relationships/hyperlink" Target="https://mstgolf.co.th/products/gf3500201570" TargetMode="External" Id="rId5108" /><Relationship Type="http://schemas.openxmlformats.org/officeDocument/2006/relationships/hyperlink" Target="https://mstgolf.co.th/products/gf3500201565" TargetMode="External" Id="rId5109" /><Relationship Type="http://schemas.openxmlformats.org/officeDocument/2006/relationships/hyperlink" Target="https://mstgolf.co.th/products/gf3500201567" TargetMode="External" Id="rId5110" /><Relationship Type="http://schemas.openxmlformats.org/officeDocument/2006/relationships/hyperlink" Target="https://mstgolf.co.th/products/gf3500201563" TargetMode="External" Id="rId5111" /><Relationship Type="http://schemas.openxmlformats.org/officeDocument/2006/relationships/hyperlink" Target="https://mstgolf.co.th/products/gf3500201566" TargetMode="External" Id="rId5112" /><Relationship Type="http://schemas.openxmlformats.org/officeDocument/2006/relationships/hyperlink" Target="https://mstgolf.co.th/products/gf3500201569" TargetMode="External" Id="rId5113" /><Relationship Type="http://schemas.openxmlformats.org/officeDocument/2006/relationships/hyperlink" Target="https://mstgolf.co.th/products/gf2000106314" TargetMode="External" Id="rId5114" /><Relationship Type="http://schemas.openxmlformats.org/officeDocument/2006/relationships/hyperlink" Target="https://mstgolf.co.th/products/gf3500300779" TargetMode="External" Id="rId5115" /><Relationship Type="http://schemas.openxmlformats.org/officeDocument/2006/relationships/hyperlink" Target="https://mstgolf.co.th/products/gf2000106267" TargetMode="External" Id="rId5116" /><Relationship Type="http://schemas.openxmlformats.org/officeDocument/2006/relationships/hyperlink" Target="https://mstgolf.co.th/products/gf2000105793" TargetMode="External" Id="rId5117" /><Relationship Type="http://schemas.openxmlformats.org/officeDocument/2006/relationships/hyperlink" Target="https://mstgolf.co.th/products/gf2000105794" TargetMode="External" Id="rId5118" /><Relationship Type="http://schemas.openxmlformats.org/officeDocument/2006/relationships/hyperlink" Target="https://mstgolf.co.th/products/gf2000300409" TargetMode="External" Id="rId5119" /><Relationship Type="http://schemas.openxmlformats.org/officeDocument/2006/relationships/hyperlink" Target="https://mstgolf.co.th/products/gf2000106280" TargetMode="External" Id="rId5120" /><Relationship Type="http://schemas.openxmlformats.org/officeDocument/2006/relationships/hyperlink" Target="https://mstgolf.co.th/products/gf2000300174" TargetMode="External" Id="rId5121" /><Relationship Type="http://schemas.openxmlformats.org/officeDocument/2006/relationships/hyperlink" Target="https://mstgolf.co.th/products/gf2000106288" TargetMode="External" Id="rId5122" /><Relationship Type="http://schemas.openxmlformats.org/officeDocument/2006/relationships/hyperlink" Target="https://mstgolf.co.th/products/gf2040118580" TargetMode="External" Id="rId5123" /><Relationship Type="http://schemas.openxmlformats.org/officeDocument/2006/relationships/hyperlink" Target="https://mstgolf.co.th/products/gf2060101061" TargetMode="External" Id="rId5124" /><Relationship Type="http://schemas.openxmlformats.org/officeDocument/2006/relationships/hyperlink" Target="https://mstgolf.co.th/products/gf2060100946" TargetMode="External" Id="rId5125" /><Relationship Type="http://schemas.openxmlformats.org/officeDocument/2006/relationships/hyperlink" Target="https://mstgolf.co.th/products/gf2040116475" TargetMode="External" Id="rId5126" /><Relationship Type="http://schemas.openxmlformats.org/officeDocument/2006/relationships/hyperlink" Target="https://mstgolf.co.th/products/gf2040112557" TargetMode="External" Id="rId5127" /><Relationship Type="http://schemas.openxmlformats.org/officeDocument/2006/relationships/hyperlink" Target="https://mstgolf.co.th/products/gf2040116477" TargetMode="External" Id="rId5128" /><Relationship Type="http://schemas.openxmlformats.org/officeDocument/2006/relationships/hyperlink" Target="https://mstgolf.co.th/products/gf2040401091" TargetMode="External" Id="rId5129" /><Relationship Type="http://schemas.openxmlformats.org/officeDocument/2006/relationships/hyperlink" Target="https://mstgolf.co.th/products/gf2040116569" TargetMode="External" Id="rId5130" /><Relationship Type="http://schemas.openxmlformats.org/officeDocument/2006/relationships/hyperlink" Target="https://mstgolf.co.th/products/gf2000106177" TargetMode="External" Id="rId5131" /><Relationship Type="http://schemas.openxmlformats.org/officeDocument/2006/relationships/hyperlink" Target="https://mstgolf.co.th/products/gf2000106176" TargetMode="External" Id="rId5132" /><Relationship Type="http://schemas.openxmlformats.org/officeDocument/2006/relationships/hyperlink" Target="https://mstgolf.co.th/products/gf2000201029" TargetMode="External" Id="rId5133" /><Relationship Type="http://schemas.openxmlformats.org/officeDocument/2006/relationships/hyperlink" Target="https://mstgolf.co.th/products/gf2040115829" TargetMode="External" Id="rId5134" /><Relationship Type="http://schemas.openxmlformats.org/officeDocument/2006/relationships/hyperlink" Target="https://mstgolf.co.th/products/gf2040116146" TargetMode="External" Id="rId5135" /><Relationship Type="http://schemas.openxmlformats.org/officeDocument/2006/relationships/hyperlink" Target="https://mstgolf.co.th/products/gf2040117173" TargetMode="External" Id="rId5136" /><Relationship Type="http://schemas.openxmlformats.org/officeDocument/2006/relationships/hyperlink" Target="https://mstgolf.co.th/products/gf2000300318" TargetMode="External" Id="rId5137" /><Relationship Type="http://schemas.openxmlformats.org/officeDocument/2006/relationships/hyperlink" Target="https://mstgolf.co.th/products/gf2080101390" TargetMode="External" Id="rId5138" /><Relationship Type="http://schemas.openxmlformats.org/officeDocument/2006/relationships/hyperlink" Target="https://mstgolf.co.th/products/gf2040117510" TargetMode="External" Id="rId5139" /><Relationship Type="http://schemas.openxmlformats.org/officeDocument/2006/relationships/hyperlink" Target="https://mstgolf.co.th/products/gf2080100788" TargetMode="External" Id="rId5140" /><Relationship Type="http://schemas.openxmlformats.org/officeDocument/2006/relationships/hyperlink" Target="https://mstgolf.co.th/products/gf3500201758" TargetMode="External" Id="rId5141" /><Relationship Type="http://schemas.openxmlformats.org/officeDocument/2006/relationships/hyperlink" Target="https://mstgolf.co.th/products/gf3500201756" TargetMode="External" Id="rId5142" /><Relationship Type="http://schemas.openxmlformats.org/officeDocument/2006/relationships/hyperlink" Target="https://mstgolf.co.th/products/gf3500200801" TargetMode="External" Id="rId5143" /><Relationship Type="http://schemas.openxmlformats.org/officeDocument/2006/relationships/hyperlink" Target="https://mstgolf.co.th/products/gf3130100563" TargetMode="External" Id="rId5144" /><Relationship Type="http://schemas.openxmlformats.org/officeDocument/2006/relationships/hyperlink" Target="https://mstgolf.co.th/products/gf3130100562" TargetMode="External" Id="rId5145" /><Relationship Type="http://schemas.openxmlformats.org/officeDocument/2006/relationships/hyperlink" Target="https://mstgolf.co.th/products/gf3130100614" TargetMode="External" Id="rId5146" /><Relationship Type="http://schemas.openxmlformats.org/officeDocument/2006/relationships/hyperlink" Target="https://mstgolf.co.th/products/gf3500201637" TargetMode="External" Id="rId5147" /><Relationship Type="http://schemas.openxmlformats.org/officeDocument/2006/relationships/hyperlink" Target="https://mstgolf.co.th/products/gf3500201640" TargetMode="External" Id="rId5148" /><Relationship Type="http://schemas.openxmlformats.org/officeDocument/2006/relationships/hyperlink" Target="https://mstgolf.co.th/products/gf3150100343" TargetMode="External" Id="rId5149" /><Relationship Type="http://schemas.openxmlformats.org/officeDocument/2006/relationships/hyperlink" Target="https://mstgolf.co.th/products/gf3500201769" TargetMode="External" Id="rId5150" /><Relationship Type="http://schemas.openxmlformats.org/officeDocument/2006/relationships/hyperlink" Target="https://mstgolf.co.th/products/gf2040120205" TargetMode="External" Id="rId5151" /><Relationship Type="http://schemas.openxmlformats.org/officeDocument/2006/relationships/hyperlink" Target="https://mstgolf.co.th/products/gf2040120206" TargetMode="External" Id="rId5152" /><Relationship Type="http://schemas.openxmlformats.org/officeDocument/2006/relationships/hyperlink" Target="https://mstgolf.co.th/products/gf2040120204" TargetMode="External" Id="rId5153" /><Relationship Type="http://schemas.openxmlformats.org/officeDocument/2006/relationships/hyperlink" Target="https://mstgolf.co.th/products/gf2040119967" TargetMode="External" Id="rId5154" /><Relationship Type="http://schemas.openxmlformats.org/officeDocument/2006/relationships/hyperlink" Target="https://mstgolf.co.th/products/gf2100200543" TargetMode="External" Id="rId5155" /><Relationship Type="http://schemas.openxmlformats.org/officeDocument/2006/relationships/hyperlink" Target="https://mstgolf.co.th/products/gf2000106816" TargetMode="External" Id="rId5156" /><Relationship Type="http://schemas.openxmlformats.org/officeDocument/2006/relationships/hyperlink" Target="https://mstgolf.co.th/products/gf2110100083" TargetMode="External" Id="rId5157" /><Relationship Type="http://schemas.openxmlformats.org/officeDocument/2006/relationships/hyperlink" Target="https://mstgolf.co.th/products/gf2110100087" TargetMode="External" Id="rId5158" /><Relationship Type="http://schemas.openxmlformats.org/officeDocument/2006/relationships/hyperlink" Target="https://mstgolf.co.th/products/gf3500300769" TargetMode="External" Id="rId5159" /><Relationship Type="http://schemas.openxmlformats.org/officeDocument/2006/relationships/hyperlink" Target="https://mstgolf.co.th/products/gf3500300717" TargetMode="External" Id="rId5160" /><Relationship Type="http://schemas.openxmlformats.org/officeDocument/2006/relationships/hyperlink" Target="https://mstgolf.co.th/products/gf2040112175" TargetMode="External" Id="rId5161" /><Relationship Type="http://schemas.openxmlformats.org/officeDocument/2006/relationships/hyperlink" Target="https://mstgolf.co.th/products/gf2040116629" TargetMode="External" Id="rId5162" /><Relationship Type="http://schemas.openxmlformats.org/officeDocument/2006/relationships/hyperlink" Target="https://mstgolf.co.th/products/gf2040116628" TargetMode="External" Id="rId5163" /><Relationship Type="http://schemas.openxmlformats.org/officeDocument/2006/relationships/hyperlink" Target="https://mstgolf.co.th/products/gf2040116659" TargetMode="External" Id="rId5164" /><Relationship Type="http://schemas.openxmlformats.org/officeDocument/2006/relationships/hyperlink" Target="https://mstgolf.co.th/products/gf2110100096" TargetMode="External" Id="rId5165" /><Relationship Type="http://schemas.openxmlformats.org/officeDocument/2006/relationships/hyperlink" Target="https://mstgolf.co.th/products/gf2110100097" TargetMode="External" Id="rId5166" /><Relationship Type="http://schemas.openxmlformats.org/officeDocument/2006/relationships/hyperlink" Target="https://mstgolf.co.th/products/gf3500201654" TargetMode="External" Id="rId5167" /><Relationship Type="http://schemas.openxmlformats.org/officeDocument/2006/relationships/hyperlink" Target="https://mstgolf.co.th/products/gf3500201653" TargetMode="External" Id="rId5168" /><Relationship Type="http://schemas.openxmlformats.org/officeDocument/2006/relationships/hyperlink" Target="https://mstgolf.co.th/products/gf3500201655" TargetMode="External" Id="rId5169" /><Relationship Type="http://schemas.openxmlformats.org/officeDocument/2006/relationships/hyperlink" Target="https://mstgolf.co.th/products/gf2040118787" TargetMode="External" Id="rId5170" /><Relationship Type="http://schemas.openxmlformats.org/officeDocument/2006/relationships/hyperlink" Target="https://mstgolf.co.th/products/gf2040119971" TargetMode="External" Id="rId5171" /><Relationship Type="http://schemas.openxmlformats.org/officeDocument/2006/relationships/hyperlink" Target="https://mstgolf.co.th/products/gf2040119972" TargetMode="External" Id="rId5172" /><Relationship Type="http://schemas.openxmlformats.org/officeDocument/2006/relationships/hyperlink" Target="https://mstgolf.co.th/products/gf2040118786" TargetMode="External" Id="rId5173" /><Relationship Type="http://schemas.openxmlformats.org/officeDocument/2006/relationships/hyperlink" Target="https://mstgolf.co.th/products/gf2000105364" TargetMode="External" Id="rId5174" /><Relationship Type="http://schemas.openxmlformats.org/officeDocument/2006/relationships/hyperlink" Target="https://mstgolf.co.th/products/gf2000106268" TargetMode="External" Id="rId5175" /><Relationship Type="http://schemas.openxmlformats.org/officeDocument/2006/relationships/hyperlink" Target="https://mstgolf.co.th/products/gf2000105801" TargetMode="External" Id="rId5176" /><Relationship Type="http://schemas.openxmlformats.org/officeDocument/2006/relationships/hyperlink" Target="https://mstgolf.co.th/products/gf2000105991" TargetMode="External" Id="rId5177" /><Relationship Type="http://schemas.openxmlformats.org/officeDocument/2006/relationships/hyperlink" Target="https://mstgolf.co.th/products/gf2000106260" TargetMode="External" Id="rId5178" /><Relationship Type="http://schemas.openxmlformats.org/officeDocument/2006/relationships/hyperlink" Target="https://mstgolf.co.th/products/gf2000106256" TargetMode="External" Id="rId5179" /><Relationship Type="http://schemas.openxmlformats.org/officeDocument/2006/relationships/hyperlink" Target="https://mstgolf.co.th/products/gf2000105989" TargetMode="External" Id="rId5180" /><Relationship Type="http://schemas.openxmlformats.org/officeDocument/2006/relationships/hyperlink" Target="https://mstgolf.co.th/products/gf2000106257" TargetMode="External" Id="rId5181" /><Relationship Type="http://schemas.openxmlformats.org/officeDocument/2006/relationships/hyperlink" Target="https://mstgolf.co.th/products/gf2020202040" TargetMode="External" Id="rId5182" /><Relationship Type="http://schemas.openxmlformats.org/officeDocument/2006/relationships/hyperlink" Target="https://mstgolf.co.th/products/gf2000106265" TargetMode="External" Id="rId5183" /><Relationship Type="http://schemas.openxmlformats.org/officeDocument/2006/relationships/hyperlink" Target="https://mstgolf.co.th/products/gf2000105799" TargetMode="External" Id="rId5184" /><Relationship Type="http://schemas.openxmlformats.org/officeDocument/2006/relationships/hyperlink" Target="https://mstgolf.co.th/products/gf2000105987" TargetMode="External" Id="rId5185" /><Relationship Type="http://schemas.openxmlformats.org/officeDocument/2006/relationships/hyperlink" Target="https://mstgolf.co.th/products/gf2040118291" TargetMode="External" Id="rId5186" /><Relationship Type="http://schemas.openxmlformats.org/officeDocument/2006/relationships/hyperlink" Target="https://mstgolf.co.th/products/gf2000200819" TargetMode="External" Id="rId5187" /><Relationship Type="http://schemas.openxmlformats.org/officeDocument/2006/relationships/hyperlink" Target="https://mstgolf.co.th/products/gf2000200820" TargetMode="External" Id="rId5188" /><Relationship Type="http://schemas.openxmlformats.org/officeDocument/2006/relationships/hyperlink" Target="https://mstgolf.co.th/products/gf2040113805" TargetMode="External" Id="rId5189" /><Relationship Type="http://schemas.openxmlformats.org/officeDocument/2006/relationships/hyperlink" Target="https://mstgolf.co.th/products/gf2020202140" TargetMode="External" Id="rId5190" /><Relationship Type="http://schemas.openxmlformats.org/officeDocument/2006/relationships/hyperlink" Target="https://mstgolf.co.th/products/gf2020202344" TargetMode="External" Id="rId5191" /><Relationship Type="http://schemas.openxmlformats.org/officeDocument/2006/relationships/hyperlink" Target="https://mstgolf.co.th/products/gf3500201777" TargetMode="External" Id="rId5192" /><Relationship Type="http://schemas.openxmlformats.org/officeDocument/2006/relationships/hyperlink" Target="https://mstgolf.co.th/products/gf3500201770" TargetMode="External" Id="rId5193" /><Relationship Type="http://schemas.openxmlformats.org/officeDocument/2006/relationships/hyperlink" Target="https://mstgolf.co.th/products/gf3500201772" TargetMode="External" Id="rId5194" /><Relationship Type="http://schemas.openxmlformats.org/officeDocument/2006/relationships/hyperlink" Target="https://mstgolf.co.th/products/gf2000106246" TargetMode="External" Id="rId5195" /><Relationship Type="http://schemas.openxmlformats.org/officeDocument/2006/relationships/hyperlink" Target="https://mstgolf.co.th/products/gf2000201035" TargetMode="External" Id="rId5196" /><Relationship Type="http://schemas.openxmlformats.org/officeDocument/2006/relationships/hyperlink" Target="https://mstgolf.co.th/products/gf2000106625" TargetMode="External" Id="rId5197" /><Relationship Type="http://schemas.openxmlformats.org/officeDocument/2006/relationships/hyperlink" Target="https://mstgolf.co.th/products/gf2000106249" TargetMode="External" Id="rId5198" /><Relationship Type="http://schemas.openxmlformats.org/officeDocument/2006/relationships/hyperlink" Target="https://mstgolf.co.th/products/gf2000105812" TargetMode="External" Id="rId5199" /><Relationship Type="http://schemas.openxmlformats.org/officeDocument/2006/relationships/hyperlink" Target="https://mstgolf.co.th/products/gf2000105339" TargetMode="External" Id="rId5200" /><Relationship Type="http://schemas.openxmlformats.org/officeDocument/2006/relationships/hyperlink" Target="https://mstgolf.co.th/products/gf2000105334" TargetMode="External" Id="rId5201" /><Relationship Type="http://schemas.openxmlformats.org/officeDocument/2006/relationships/hyperlink" Target="https://mstgolf.co.th/products/gf2000105365" TargetMode="External" Id="rId5202" /><Relationship Type="http://schemas.openxmlformats.org/officeDocument/2006/relationships/hyperlink" Target="https://mstgolf.co.th/products/gf3500200804" TargetMode="External" Id="rId5203" /><Relationship Type="http://schemas.openxmlformats.org/officeDocument/2006/relationships/hyperlink" Target="https://mstgolf.co.th/products/gf3130100300" TargetMode="External" Id="rId5204" /><Relationship Type="http://schemas.openxmlformats.org/officeDocument/2006/relationships/hyperlink" Target="https://mstgolf.co.th/products/gf2020202371" TargetMode="External" Id="rId5205" /><Relationship Type="http://schemas.openxmlformats.org/officeDocument/2006/relationships/hyperlink" Target="https://mstgolf.co.th/products/gf2040116457" TargetMode="External" Id="rId5206" /><Relationship Type="http://schemas.openxmlformats.org/officeDocument/2006/relationships/hyperlink" Target="https://mstgolf.co.th/products/gf2040116524" TargetMode="External" Id="rId5207" /><Relationship Type="http://schemas.openxmlformats.org/officeDocument/2006/relationships/hyperlink" Target="https://mstgolf.co.th/products/gf2040116445" TargetMode="External" Id="rId5208" /><Relationship Type="http://schemas.openxmlformats.org/officeDocument/2006/relationships/hyperlink" Target="https://mstgolf.co.th/products/gf2040116573" TargetMode="External" Id="rId5209" /><Relationship Type="http://schemas.openxmlformats.org/officeDocument/2006/relationships/hyperlink" Target="https://mstgolf.co.th/products/gf2020202503" TargetMode="External" Id="rId5210" /><Relationship Type="http://schemas.openxmlformats.org/officeDocument/2006/relationships/hyperlink" Target="https://mstgolf.co.th/products/gf2040117629" TargetMode="External" Id="rId5211" /><Relationship Type="http://schemas.openxmlformats.org/officeDocument/2006/relationships/hyperlink" Target="https://mstgolf.co.th/products/gf2020300127" TargetMode="External" Id="rId5212" /><Relationship Type="http://schemas.openxmlformats.org/officeDocument/2006/relationships/hyperlink" Target="https://mstgolf.co.th/products/gf2040117606" TargetMode="External" Id="rId5213" /><Relationship Type="http://schemas.openxmlformats.org/officeDocument/2006/relationships/hyperlink" Target="https://mstgolf.co.th/products/gf2040117617" TargetMode="External" Id="rId5214" /><Relationship Type="http://schemas.openxmlformats.org/officeDocument/2006/relationships/hyperlink" Target="https://mstgolf.co.th/products/gf2040117608" TargetMode="External" Id="rId5215" /><Relationship Type="http://schemas.openxmlformats.org/officeDocument/2006/relationships/hyperlink" Target="https://mstgolf.co.th/products/gf2040117618" TargetMode="External" Id="rId5216" /><Relationship Type="http://schemas.openxmlformats.org/officeDocument/2006/relationships/hyperlink" Target="https://mstgolf.co.th/products/gf2040401057" TargetMode="External" Id="rId5217" /><Relationship Type="http://schemas.openxmlformats.org/officeDocument/2006/relationships/hyperlink" Target="https://mstgolf.co.th/products/gf2000200961" TargetMode="External" Id="rId5218" /><Relationship Type="http://schemas.openxmlformats.org/officeDocument/2006/relationships/hyperlink" Target="https://mstgolf.co.th/products/gf2040114255" TargetMode="External" Id="rId5219" /><Relationship Type="http://schemas.openxmlformats.org/officeDocument/2006/relationships/hyperlink" Target="https://mstgolf.co.th/products/gf2040112972" TargetMode="External" Id="rId5220" /><Relationship Type="http://schemas.openxmlformats.org/officeDocument/2006/relationships/hyperlink" Target="https://mstgolf.co.th/products/gf3500400397" TargetMode="External" Id="rId5221" /><Relationship Type="http://schemas.openxmlformats.org/officeDocument/2006/relationships/hyperlink" Target="https://mstgolf.co.th/products/gf3130100204" TargetMode="External" Id="rId5222" /><Relationship Type="http://schemas.openxmlformats.org/officeDocument/2006/relationships/hyperlink" Target="https://mstgolf.co.th/products/gf3130100143" TargetMode="External" Id="rId5223" /><Relationship Type="http://schemas.openxmlformats.org/officeDocument/2006/relationships/hyperlink" Target="https://mstgolf.co.th/products/gf2000104603" TargetMode="External" Id="rId5224" /><Relationship Type="http://schemas.openxmlformats.org/officeDocument/2006/relationships/hyperlink" Target="https://mstgolf.co.th/products/gf2000105696" TargetMode="External" Id="rId5225" /><Relationship Type="http://schemas.openxmlformats.org/officeDocument/2006/relationships/hyperlink" Target="https://mstgolf.co.th/products/gf2090300238" TargetMode="External" Id="rId5226" /><Relationship Type="http://schemas.openxmlformats.org/officeDocument/2006/relationships/hyperlink" Target="https://mstgolf.co.th/products/gf2090300237" TargetMode="External" Id="rId5227" /><Relationship Type="http://schemas.openxmlformats.org/officeDocument/2006/relationships/hyperlink" Target="https://mstgolf.co.th/products/gf3500201466" TargetMode="External" Id="rId5228" /><Relationship Type="http://schemas.openxmlformats.org/officeDocument/2006/relationships/hyperlink" Target="https://mstgolf.co.th/products/gf2000105520" TargetMode="External" Id="rId5229" /><Relationship Type="http://schemas.openxmlformats.org/officeDocument/2006/relationships/hyperlink" Target="https://mstgolf.co.th/products/gf3130100670" TargetMode="External" Id="rId5230" /><Relationship Type="http://schemas.openxmlformats.org/officeDocument/2006/relationships/hyperlink" Target="https://mstgolf.co.th/products/gf3130100668" TargetMode="External" Id="rId5231" /><Relationship Type="http://schemas.openxmlformats.org/officeDocument/2006/relationships/hyperlink" Target="https://mstgolf.co.th/products/gf3130100667" TargetMode="External" Id="rId5232" /><Relationship Type="http://schemas.openxmlformats.org/officeDocument/2006/relationships/hyperlink" Target="https://mstgolf.co.th/products/gf3130100677" TargetMode="External" Id="rId5233" /><Relationship Type="http://schemas.openxmlformats.org/officeDocument/2006/relationships/hyperlink" Target="https://mstgolf.co.th/products/gf3130100676" TargetMode="External" Id="rId5234" /><Relationship Type="http://schemas.openxmlformats.org/officeDocument/2006/relationships/hyperlink" Target="https://mstgolf.co.th/products/gf3130100679" TargetMode="External" Id="rId5235" /><Relationship Type="http://schemas.openxmlformats.org/officeDocument/2006/relationships/hyperlink" Target="https://mstgolf.co.th/products/gf3130100669" TargetMode="External" Id="rId5236" /><Relationship Type="http://schemas.openxmlformats.org/officeDocument/2006/relationships/hyperlink" Target="https://mstgolf.co.th/products/gf3130100674" TargetMode="External" Id="rId5237" /><Relationship Type="http://schemas.openxmlformats.org/officeDocument/2006/relationships/hyperlink" Target="https://mstgolf.co.th/products/gf3130100673" TargetMode="External" Id="rId5238" /><Relationship Type="http://schemas.openxmlformats.org/officeDocument/2006/relationships/hyperlink" Target="https://mstgolf.co.th/products/gf3130100672" TargetMode="External" Id="rId5239" /><Relationship Type="http://schemas.openxmlformats.org/officeDocument/2006/relationships/hyperlink" Target="https://mstgolf.co.th/products/gf2080101304" TargetMode="External" Id="rId5240" /><Relationship Type="http://schemas.openxmlformats.org/officeDocument/2006/relationships/hyperlink" Target="https://mstgolf.co.th/products/gf2000106091" TargetMode="External" Id="rId5241" /><Relationship Type="http://schemas.openxmlformats.org/officeDocument/2006/relationships/hyperlink" Target="https://mstgolf.co.th/products/gf2000106087" TargetMode="External" Id="rId5242" /><Relationship Type="http://schemas.openxmlformats.org/officeDocument/2006/relationships/hyperlink" Target="https://mstgolf.co.th/products/gf2040117371" TargetMode="External" Id="rId5243" /><Relationship Type="http://schemas.openxmlformats.org/officeDocument/2006/relationships/hyperlink" Target="https://mstgolf.co.th/products/gf2100100032" TargetMode="External" Id="rId5244" /><Relationship Type="http://schemas.openxmlformats.org/officeDocument/2006/relationships/hyperlink" Target="https://mstgolf.co.th/products/gf2000300545" TargetMode="External" Id="rId5245" /><Relationship Type="http://schemas.openxmlformats.org/officeDocument/2006/relationships/hyperlink" Target="https://mstgolf.co.th/products/gf2000106800" TargetMode="External" Id="rId5246" /><Relationship Type="http://schemas.openxmlformats.org/officeDocument/2006/relationships/hyperlink" Target="https://mstgolf.co.th/products/gf2040118948" TargetMode="External" Id="rId5247" /><Relationship Type="http://schemas.openxmlformats.org/officeDocument/2006/relationships/hyperlink" Target="https://mstgolf.co.th/products/gf2000104967" TargetMode="External" Id="rId5248" /><Relationship Type="http://schemas.openxmlformats.org/officeDocument/2006/relationships/hyperlink" Target="https://mstgolf.co.th/products/gf2000105886" TargetMode="External" Id="rId5249" /><Relationship Type="http://schemas.openxmlformats.org/officeDocument/2006/relationships/hyperlink" Target="https://mstgolf.co.th/products/gf2020201976" TargetMode="External" Id="rId5250" /><Relationship Type="http://schemas.openxmlformats.org/officeDocument/2006/relationships/hyperlink" Target="https://mstgolf.co.th/products/gf2000105275" TargetMode="External" Id="rId5251" /><Relationship Type="http://schemas.openxmlformats.org/officeDocument/2006/relationships/hyperlink" Target="https://mstgolf.co.th/products/gf2000105766" TargetMode="External" Id="rId5252" /><Relationship Type="http://schemas.openxmlformats.org/officeDocument/2006/relationships/hyperlink" Target="https://mstgolf.co.th/products/gf2000300251" TargetMode="External" Id="rId5253" /><Relationship Type="http://schemas.openxmlformats.org/officeDocument/2006/relationships/hyperlink" Target="https://mstgolf.co.th/products/gf2000200865" TargetMode="External" Id="rId5254" /><Relationship Type="http://schemas.openxmlformats.org/officeDocument/2006/relationships/hyperlink" Target="https://mstgolf.co.th/products/gf2000104653" TargetMode="External" Id="rId5255" /><Relationship Type="http://schemas.openxmlformats.org/officeDocument/2006/relationships/hyperlink" Target="https://mstgolf.co.th/products/gf2000105087" TargetMode="External" Id="rId5256" /><Relationship Type="http://schemas.openxmlformats.org/officeDocument/2006/relationships/hyperlink" Target="https://mstgolf.co.th/products/gf2000105094" TargetMode="External" Id="rId5257" /><Relationship Type="http://schemas.openxmlformats.org/officeDocument/2006/relationships/hyperlink" Target="https://mstgolf.co.th/products/gf2000105762" TargetMode="External" Id="rId5258" /><Relationship Type="http://schemas.openxmlformats.org/officeDocument/2006/relationships/hyperlink" Target="https://mstgolf.co.th/products/gf2080101260" TargetMode="External" Id="rId5259" /><Relationship Type="http://schemas.openxmlformats.org/officeDocument/2006/relationships/hyperlink" Target="https://mstgolf.co.th/products/gf2000105763" TargetMode="External" Id="rId5260" /><Relationship Type="http://schemas.openxmlformats.org/officeDocument/2006/relationships/hyperlink" Target="https://mstgolf.co.th/products/gf2000105764" TargetMode="External" Id="rId5261" /><Relationship Type="http://schemas.openxmlformats.org/officeDocument/2006/relationships/hyperlink" Target="https://mstgolf.co.th/products/gf2000201032" TargetMode="External" Id="rId5262" /><Relationship Type="http://schemas.openxmlformats.org/officeDocument/2006/relationships/hyperlink" Target="https://mstgolf.co.th/products/gf2080101143" TargetMode="External" Id="rId5263" /><Relationship Type="http://schemas.openxmlformats.org/officeDocument/2006/relationships/hyperlink" Target="https://mstgolf.co.th/products/gf2000105096" TargetMode="External" Id="rId5264" /><Relationship Type="http://schemas.openxmlformats.org/officeDocument/2006/relationships/hyperlink" Target="https://mstgolf.co.th/products/gf2000105975" TargetMode="External" Id="rId5265" /><Relationship Type="http://schemas.openxmlformats.org/officeDocument/2006/relationships/hyperlink" Target="https://mstgolf.co.th/products/gf2000105304" TargetMode="External" Id="rId5266" /><Relationship Type="http://schemas.openxmlformats.org/officeDocument/2006/relationships/hyperlink" Target="https://mstgolf.co.th/products/gf2000105974" TargetMode="External" Id="rId5267" /><Relationship Type="http://schemas.openxmlformats.org/officeDocument/2006/relationships/hyperlink" Target="https://mstgolf.co.th/products/gf2000105169" TargetMode="External" Id="rId5268" /><Relationship Type="http://schemas.openxmlformats.org/officeDocument/2006/relationships/hyperlink" Target="https://mstgolf.co.th/products/gf2000200980" TargetMode="External" Id="rId5269" /><Relationship Type="http://schemas.openxmlformats.org/officeDocument/2006/relationships/hyperlink" Target="https://mstgolf.co.th/products/gf2000200979" TargetMode="External" Id="rId5270" /><Relationship Type="http://schemas.openxmlformats.org/officeDocument/2006/relationships/hyperlink" Target="https://mstgolf.co.th/products/gf2000201040" TargetMode="External" Id="rId5271" /><Relationship Type="http://schemas.openxmlformats.org/officeDocument/2006/relationships/hyperlink" Target="https://mstgolf.co.th/products/gf2000106054" TargetMode="External" Id="rId5272" /><Relationship Type="http://schemas.openxmlformats.org/officeDocument/2006/relationships/hyperlink" Target="https://mstgolf.co.th/products/gf2000106053" TargetMode="External" Id="rId5273" /><Relationship Type="http://schemas.openxmlformats.org/officeDocument/2006/relationships/hyperlink" Target="https://mstgolf.co.th/products/gf2000106056" TargetMode="External" Id="rId5274" /><Relationship Type="http://schemas.openxmlformats.org/officeDocument/2006/relationships/hyperlink" Target="https://mstgolf.co.th/products/gf2000106055" TargetMode="External" Id="rId5275" /><Relationship Type="http://schemas.openxmlformats.org/officeDocument/2006/relationships/hyperlink" Target="https://mstgolf.co.th/products/gf2000200977" TargetMode="External" Id="rId5276" /><Relationship Type="http://schemas.openxmlformats.org/officeDocument/2006/relationships/hyperlink" Target="https://mstgolf.co.th/products/gf2000105335" TargetMode="External" Id="rId5277" /><Relationship Type="http://schemas.openxmlformats.org/officeDocument/2006/relationships/hyperlink" Target="https://mstgolf.co.th/products/gf2040118336" TargetMode="External" Id="rId5278" /><Relationship Type="http://schemas.openxmlformats.org/officeDocument/2006/relationships/hyperlink" Target="https://mstgolf.co.th/products/gf2110200011" TargetMode="External" Id="rId5279" /><Relationship Type="http://schemas.openxmlformats.org/officeDocument/2006/relationships/hyperlink" Target="https://mstgolf.co.th/products/gf2040117337" TargetMode="External" Id="rId5280" /><Relationship Type="http://schemas.openxmlformats.org/officeDocument/2006/relationships/hyperlink" Target="https://mstgolf.co.th/products/gf2040118337" TargetMode="External" Id="rId5281" /><Relationship Type="http://schemas.openxmlformats.org/officeDocument/2006/relationships/hyperlink" Target="https://mstgolf.co.th/products/gf2040118338" TargetMode="External" Id="rId5282" /><Relationship Type="http://schemas.openxmlformats.org/officeDocument/2006/relationships/hyperlink" Target="https://mstgolf.co.th/products/gf2040119189" TargetMode="External" Id="rId5283" /><Relationship Type="http://schemas.openxmlformats.org/officeDocument/2006/relationships/hyperlink" Target="https://mstgolf.co.th/products/gf3500300897" TargetMode="External" Id="rId5284" /><Relationship Type="http://schemas.openxmlformats.org/officeDocument/2006/relationships/hyperlink" Target="https://mstgolf.co.th/products/gf2000105612" TargetMode="External" Id="rId5285" /><Relationship Type="http://schemas.openxmlformats.org/officeDocument/2006/relationships/hyperlink" Target="https://mstgolf.co.th/products/gf2080101180" TargetMode="External" Id="rId5286" /><Relationship Type="http://schemas.openxmlformats.org/officeDocument/2006/relationships/hyperlink" Target="https://mstgolf.co.th/products/gf2040116433" TargetMode="External" Id="rId5287" /><Relationship Type="http://schemas.openxmlformats.org/officeDocument/2006/relationships/hyperlink" Target="https://mstgolf.co.th/products/gf2000300517" TargetMode="External" Id="rId5288" /><Relationship Type="http://schemas.openxmlformats.org/officeDocument/2006/relationships/hyperlink" Target="https://mstgolf.co.th/products/gf2000300516" TargetMode="External" Id="rId5289" /><Relationship Type="http://schemas.openxmlformats.org/officeDocument/2006/relationships/hyperlink" Target="https://mstgolf.co.th/products/gf2090700094" TargetMode="External" Id="rId5290" /><Relationship Type="http://schemas.openxmlformats.org/officeDocument/2006/relationships/hyperlink" Target="https://mstgolf.co.th/products/gf2040116384" TargetMode="External" Id="rId5291" /><Relationship Type="http://schemas.openxmlformats.org/officeDocument/2006/relationships/hyperlink" Target="https://mstgolf.co.th/products/gf2040112843" TargetMode="External" Id="rId5292" /><Relationship Type="http://schemas.openxmlformats.org/officeDocument/2006/relationships/hyperlink" Target="https://mstgolf.co.th/products/gf3500300423" TargetMode="External" Id="rId5293" /><Relationship Type="http://schemas.openxmlformats.org/officeDocument/2006/relationships/hyperlink" Target="https://mstgolf.co.th/products/gf2000105039" TargetMode="External" Id="rId5294" /><Relationship Type="http://schemas.openxmlformats.org/officeDocument/2006/relationships/hyperlink" Target="https://mstgolf.co.th/products/gf3500200818" TargetMode="External" Id="rId5295" /><Relationship Type="http://schemas.openxmlformats.org/officeDocument/2006/relationships/hyperlink" Target="https://mstgolf.co.th/products/gf3500200815" TargetMode="External" Id="rId5296" /><Relationship Type="http://schemas.openxmlformats.org/officeDocument/2006/relationships/hyperlink" Target="https://mstgolf.co.th/products/gf2000105603" TargetMode="External" Id="rId5297" /><Relationship Type="http://schemas.openxmlformats.org/officeDocument/2006/relationships/hyperlink" Target="https://mstgolf.co.th/products/gf2100200436" TargetMode="External" Id="rId5298" /><Relationship Type="http://schemas.openxmlformats.org/officeDocument/2006/relationships/hyperlink" Target="https://mstgolf.co.th/products/gf3500300467" TargetMode="External" Id="rId5299" /><Relationship Type="http://schemas.openxmlformats.org/officeDocument/2006/relationships/hyperlink" Target="https://mstgolf.co.th/products/gf3500300466" TargetMode="External" Id="rId5300" /><Relationship Type="http://schemas.openxmlformats.org/officeDocument/2006/relationships/hyperlink" Target="https://mstgolf.co.th/products/gf3500300677" TargetMode="External" Id="rId5301" /><Relationship Type="http://schemas.openxmlformats.org/officeDocument/2006/relationships/hyperlink" Target="https://mstgolf.co.th/products/gf2040118286" TargetMode="External" Id="rId5302" /><Relationship Type="http://schemas.openxmlformats.org/officeDocument/2006/relationships/hyperlink" Target="https://mstgolf.co.th/products/gf2100200410" TargetMode="External" Id="rId5303" /><Relationship Type="http://schemas.openxmlformats.org/officeDocument/2006/relationships/hyperlink" Target="https://mstgolf.co.th/products/gf2110100092" TargetMode="External" Id="rId5304" /><Relationship Type="http://schemas.openxmlformats.org/officeDocument/2006/relationships/hyperlink" Target="https://mstgolf.co.th/products/gf2110100125" TargetMode="External" Id="rId5305" /><Relationship Type="http://schemas.openxmlformats.org/officeDocument/2006/relationships/hyperlink" Target="https://mstgolf.co.th/products/gf2110100124" TargetMode="External" Id="rId5306" /><Relationship Type="http://schemas.openxmlformats.org/officeDocument/2006/relationships/hyperlink" Target="https://mstgolf.co.th/products/gf2100200537" TargetMode="External" Id="rId5307" /><Relationship Type="http://schemas.openxmlformats.org/officeDocument/2006/relationships/hyperlink" Target="https://mstgolf.co.th/products/gf2100200611" TargetMode="External" Id="rId5308" /><Relationship Type="http://schemas.openxmlformats.org/officeDocument/2006/relationships/hyperlink" Target="https://mstgolf.co.th/products/gf2000105065" TargetMode="External" Id="rId5309" /><Relationship Type="http://schemas.openxmlformats.org/officeDocument/2006/relationships/hyperlink" Target="https://mstgolf.co.th/products/gf2000105069" TargetMode="External" Id="rId5310" /><Relationship Type="http://schemas.openxmlformats.org/officeDocument/2006/relationships/hyperlink" Target="https://mstgolf.co.th/products/gf2000105609" TargetMode="External" Id="rId5311" /><Relationship Type="http://schemas.openxmlformats.org/officeDocument/2006/relationships/hyperlink" Target="https://mstgolf.co.th/products/gf2000105398" TargetMode="External" Id="rId5312" /><Relationship Type="http://schemas.openxmlformats.org/officeDocument/2006/relationships/hyperlink" Target="https://mstgolf.co.th/products/gf2040117650" TargetMode="External" Id="rId5313" /><Relationship Type="http://schemas.openxmlformats.org/officeDocument/2006/relationships/hyperlink" Target="https://mstgolf.co.th/products/gf2000200869" TargetMode="External" Id="rId5314" /><Relationship Type="http://schemas.openxmlformats.org/officeDocument/2006/relationships/hyperlink" Target="https://mstgolf.co.th/products/gf3500300993" TargetMode="External" Id="rId5315" /><Relationship Type="http://schemas.openxmlformats.org/officeDocument/2006/relationships/hyperlink" Target="https://mstgolf.co.th/products/gf3500200820" TargetMode="External" Id="rId5316" /><Relationship Type="http://schemas.openxmlformats.org/officeDocument/2006/relationships/hyperlink" Target="https://mstgolf.co.th/products/gf3500200822" TargetMode="External" Id="rId5317" /><Relationship Type="http://schemas.openxmlformats.org/officeDocument/2006/relationships/hyperlink" Target="https://mstgolf.co.th/products/gf3500200824" TargetMode="External" Id="rId5318" /><Relationship Type="http://schemas.openxmlformats.org/officeDocument/2006/relationships/hyperlink" Target="https://mstgolf.co.th/products/gf3500200821" TargetMode="External" Id="rId5319" /><Relationship Type="http://schemas.openxmlformats.org/officeDocument/2006/relationships/hyperlink" Target="https://mstgolf.co.th/products/gf3500300987" TargetMode="External" Id="rId5320" /><Relationship Type="http://schemas.openxmlformats.org/officeDocument/2006/relationships/hyperlink" Target="https://mstgolf.co.th/products/gf3500300895" TargetMode="External" Id="rId5321" /><Relationship Type="http://schemas.openxmlformats.org/officeDocument/2006/relationships/hyperlink" Target="https://mstgolf.co.th/products/gf3500300893" TargetMode="External" Id="rId5322" /><Relationship Type="http://schemas.openxmlformats.org/officeDocument/2006/relationships/hyperlink" Target="https://mstgolf.co.th/products/gf3500300958" TargetMode="External" Id="rId5323" /><Relationship Type="http://schemas.openxmlformats.org/officeDocument/2006/relationships/hyperlink" Target="https://mstgolf.co.th/products/gf3500300957" TargetMode="External" Id="rId5324" /><Relationship Type="http://schemas.openxmlformats.org/officeDocument/2006/relationships/hyperlink" Target="https://mstgolf.co.th/products/gf3500400387" TargetMode="External" Id="rId5325" /><Relationship Type="http://schemas.openxmlformats.org/officeDocument/2006/relationships/hyperlink" Target="https://mstgolf.co.th/products/gf3130100601" TargetMode="External" Id="rId5326" /><Relationship Type="http://schemas.openxmlformats.org/officeDocument/2006/relationships/hyperlink" Target="https://mstgolf.co.th/products/gf3130100599" TargetMode="External" Id="rId5327" /><Relationship Type="http://schemas.openxmlformats.org/officeDocument/2006/relationships/hyperlink" Target="https://mstgolf.co.th/products/gf3130100600" TargetMode="External" Id="rId5328" /><Relationship Type="http://schemas.openxmlformats.org/officeDocument/2006/relationships/hyperlink" Target="https://mstgolf.co.th/products/gf3130100586" TargetMode="External" Id="rId5329" /><Relationship Type="http://schemas.openxmlformats.org/officeDocument/2006/relationships/hyperlink" Target="https://mstgolf.co.th/products/gf3130100587" TargetMode="External" Id="rId5330" /><Relationship Type="http://schemas.openxmlformats.org/officeDocument/2006/relationships/hyperlink" Target="https://mstgolf.co.th/products/gf3130100588" TargetMode="External" Id="rId5331" /><Relationship Type="http://schemas.openxmlformats.org/officeDocument/2006/relationships/hyperlink" Target="https://mstgolf.co.th/products/gf3130100605" TargetMode="External" Id="rId5332" /><Relationship Type="http://schemas.openxmlformats.org/officeDocument/2006/relationships/hyperlink" Target="https://mstgolf.co.th/products/gf3130100610" TargetMode="External" Id="rId5333" /><Relationship Type="http://schemas.openxmlformats.org/officeDocument/2006/relationships/hyperlink" Target="https://mstgolf.co.th/products/gf3130100606" TargetMode="External" Id="rId5334" /><Relationship Type="http://schemas.openxmlformats.org/officeDocument/2006/relationships/hyperlink" Target="https://mstgolf.co.th/products/gf3130100463" TargetMode="External" Id="rId5335" /><Relationship Type="http://schemas.openxmlformats.org/officeDocument/2006/relationships/hyperlink" Target="https://mstgolf.co.th/products/gf3130100596" TargetMode="External" Id="rId5336" /><Relationship Type="http://schemas.openxmlformats.org/officeDocument/2006/relationships/hyperlink" Target="https://mstgolf.co.th/products/gf3130100591" TargetMode="External" Id="rId5337" /><Relationship Type="http://schemas.openxmlformats.org/officeDocument/2006/relationships/hyperlink" Target="https://mstgolf.co.th/products/gf3130100589" TargetMode="External" Id="rId5338" /><Relationship Type="http://schemas.openxmlformats.org/officeDocument/2006/relationships/hyperlink" Target="https://mstgolf.co.th/products/gf3130100592" TargetMode="External" Id="rId5339" /><Relationship Type="http://schemas.openxmlformats.org/officeDocument/2006/relationships/hyperlink" Target="https://mstgolf.co.th/products/gf3130100295" TargetMode="External" Id="rId5340" /><Relationship Type="http://schemas.openxmlformats.org/officeDocument/2006/relationships/hyperlink" Target="https://mstgolf.co.th/products/gf3130100286" TargetMode="External" Id="rId5341" /><Relationship Type="http://schemas.openxmlformats.org/officeDocument/2006/relationships/hyperlink" Target="https://mstgolf.co.th/products/gf3130100425" TargetMode="External" Id="rId5342" /><Relationship Type="http://schemas.openxmlformats.org/officeDocument/2006/relationships/hyperlink" Target="https://mstgolf.co.th/products/gf3130100423" TargetMode="External" Id="rId5343" /><Relationship Type="http://schemas.openxmlformats.org/officeDocument/2006/relationships/hyperlink" Target="https://mstgolf.co.th/products/gf3130100428" TargetMode="External" Id="rId5344" /><Relationship Type="http://schemas.openxmlformats.org/officeDocument/2006/relationships/hyperlink" Target="https://mstgolf.co.th/products/gf3130100434" TargetMode="External" Id="rId5345" /><Relationship Type="http://schemas.openxmlformats.org/officeDocument/2006/relationships/hyperlink" Target="https://mstgolf.co.th/products/gf3130100439" TargetMode="External" Id="rId5346" /><Relationship Type="http://schemas.openxmlformats.org/officeDocument/2006/relationships/hyperlink" Target="https://mstgolf.co.th/products/gf3130100444" TargetMode="External" Id="rId5347" /><Relationship Type="http://schemas.openxmlformats.org/officeDocument/2006/relationships/hyperlink" Target="https://mstgolf.co.th/products/gf3130100460" TargetMode="External" Id="rId5348" /><Relationship Type="http://schemas.openxmlformats.org/officeDocument/2006/relationships/hyperlink" Target="https://mstgolf.co.th/products/gf3130100458" TargetMode="External" Id="rId5349" /><Relationship Type="http://schemas.openxmlformats.org/officeDocument/2006/relationships/hyperlink" Target="https://mstgolf.co.th/products/gf3500300929" TargetMode="External" Id="rId5350" /><Relationship Type="http://schemas.openxmlformats.org/officeDocument/2006/relationships/hyperlink" Target="https://mstgolf.co.th/products/gf2000106253" TargetMode="External" Id="rId5351" /><Relationship Type="http://schemas.openxmlformats.org/officeDocument/2006/relationships/hyperlink" Target="https://mstgolf.co.th/products/gf2000201039" TargetMode="External" Id="rId5352" /><Relationship Type="http://schemas.openxmlformats.org/officeDocument/2006/relationships/hyperlink" Target="https://mstgolf.co.th/products/gf2000105620" TargetMode="External" Id="rId5353" /><Relationship Type="http://schemas.openxmlformats.org/officeDocument/2006/relationships/hyperlink" Target="https://mstgolf.co.th/products/gf2000105621" TargetMode="External" Id="rId5354" /><Relationship Type="http://schemas.openxmlformats.org/officeDocument/2006/relationships/hyperlink" Target="https://mstgolf.co.th/products/gf2080101443" TargetMode="External" Id="rId5355" /><Relationship Type="http://schemas.openxmlformats.org/officeDocument/2006/relationships/hyperlink" Target="https://mstgolf.co.th/products/gf2100200453" TargetMode="External" Id="rId5356" /><Relationship Type="http://schemas.openxmlformats.org/officeDocument/2006/relationships/hyperlink" Target="https://mstgolf.co.th/products/gf2040113977" TargetMode="External" Id="rId5357" /><Relationship Type="http://schemas.openxmlformats.org/officeDocument/2006/relationships/hyperlink" Target="https://mstgolf.co.th/products/gf2080101418" TargetMode="External" Id="rId5358" /><Relationship Type="http://schemas.openxmlformats.org/officeDocument/2006/relationships/hyperlink" Target="https://mstgolf.co.th/products/gf2040116437" TargetMode="External" Id="rId5359" /><Relationship Type="http://schemas.openxmlformats.org/officeDocument/2006/relationships/hyperlink" Target="https://mstgolf.co.th/products/gf2040118587" TargetMode="External" Id="rId5360" /><Relationship Type="http://schemas.openxmlformats.org/officeDocument/2006/relationships/hyperlink" Target="https://mstgolf.co.th/products/gf3500300994" TargetMode="External" Id="rId5361" /><Relationship Type="http://schemas.openxmlformats.org/officeDocument/2006/relationships/hyperlink" Target="https://mstgolf.co.th/products/gf3500200830" TargetMode="External" Id="rId5362" /><Relationship Type="http://schemas.openxmlformats.org/officeDocument/2006/relationships/hyperlink" Target="https://mstgolf.co.th/products/gf3500200827" TargetMode="External" Id="rId5363" /><Relationship Type="http://schemas.openxmlformats.org/officeDocument/2006/relationships/hyperlink" Target="https://mstgolf.co.th/products/gf3080100071" TargetMode="External" Id="rId5364" /><Relationship Type="http://schemas.openxmlformats.org/officeDocument/2006/relationships/hyperlink" Target="https://mstgolf.co.th/products/gf3500300945" TargetMode="External" Id="rId5365" /><Relationship Type="http://schemas.openxmlformats.org/officeDocument/2006/relationships/hyperlink" Target="https://mstgolf.co.th/products/gf3500300944" TargetMode="External" Id="rId5366" /><Relationship Type="http://schemas.openxmlformats.org/officeDocument/2006/relationships/hyperlink" Target="https://mstgolf.co.th/products/gf3500300649" TargetMode="External" Id="rId5367" /><Relationship Type="http://schemas.openxmlformats.org/officeDocument/2006/relationships/hyperlink" Target="https://mstgolf.co.th/products/gf2000103066" TargetMode="External" Id="rId5368" /><Relationship Type="http://schemas.openxmlformats.org/officeDocument/2006/relationships/hyperlink" Target="https://mstgolf.co.th/products/gf2000103073" TargetMode="External" Id="rId5369" /><Relationship Type="http://schemas.openxmlformats.org/officeDocument/2006/relationships/hyperlink" Target="https://mstgolf.co.th/products/gf3500400197" TargetMode="External" Id="rId5370" /><Relationship Type="http://schemas.openxmlformats.org/officeDocument/2006/relationships/hyperlink" Target="https://mstgolf.co.th/products/gf3500400198" TargetMode="External" Id="rId5371" /><Relationship Type="http://schemas.openxmlformats.org/officeDocument/2006/relationships/hyperlink" Target="https://mstgolf.co.th/products/gf3500400201" TargetMode="External" Id="rId5372" /><Relationship Type="http://schemas.openxmlformats.org/officeDocument/2006/relationships/hyperlink" Target="https://mstgolf.co.th/products/gf2000105476" TargetMode="External" Id="rId5373" /><Relationship Type="http://schemas.openxmlformats.org/officeDocument/2006/relationships/hyperlink" Target="https://mstgolf.co.th/products/gf2000104650" TargetMode="External" Id="rId5374" /><Relationship Type="http://schemas.openxmlformats.org/officeDocument/2006/relationships/hyperlink" Target="https://mstgolf.co.th/products/gf2110100221" TargetMode="External" Id="rId5375" /><Relationship Type="http://schemas.openxmlformats.org/officeDocument/2006/relationships/hyperlink" Target="https://mstgolf.co.th/products/gf2110100227" TargetMode="External" Id="rId5376" /><Relationship Type="http://schemas.openxmlformats.org/officeDocument/2006/relationships/hyperlink" Target="https://mstgolf.co.th/products/gf2110100231" TargetMode="External" Id="rId5377" /><Relationship Type="http://schemas.openxmlformats.org/officeDocument/2006/relationships/hyperlink" Target="https://mstgolf.co.th/products/gf2110100232" TargetMode="External" Id="rId5378" /><Relationship Type="http://schemas.openxmlformats.org/officeDocument/2006/relationships/hyperlink" Target="https://mstgolf.co.th/products/gf2110100236" TargetMode="External" Id="rId5379" /><Relationship Type="http://schemas.openxmlformats.org/officeDocument/2006/relationships/hyperlink" Target="https://mstgolf.co.th/products/gf2110100235" TargetMode="External" Id="rId5380" /><Relationship Type="http://schemas.openxmlformats.org/officeDocument/2006/relationships/hyperlink" Target="https://mstgolf.co.th/products/gf2110100234" TargetMode="External" Id="rId5381" /><Relationship Type="http://schemas.openxmlformats.org/officeDocument/2006/relationships/hyperlink" Target="https://mstgolf.co.th/products/gf2110100230" TargetMode="External" Id="rId5382" /><Relationship Type="http://schemas.openxmlformats.org/officeDocument/2006/relationships/hyperlink" Target="https://mstgolf.co.th/products/gf2110100233" TargetMode="External" Id="rId5383" /><Relationship Type="http://schemas.openxmlformats.org/officeDocument/2006/relationships/hyperlink" Target="https://mstgolf.co.th/products/gf2110200026" TargetMode="External" Id="rId5384" /><Relationship Type="http://schemas.openxmlformats.org/officeDocument/2006/relationships/hyperlink" Target="https://mstgolf.co.th/products/gf2110200027" TargetMode="External" Id="rId5385" /><Relationship Type="http://schemas.openxmlformats.org/officeDocument/2006/relationships/hyperlink" Target="https://mstgolf.co.th/products/gf3500400226" TargetMode="External" Id="rId5386" /><Relationship Type="http://schemas.openxmlformats.org/officeDocument/2006/relationships/hyperlink" Target="https://mstgolf.co.th/products/gf2000200886" TargetMode="External" Id="rId5387" /><Relationship Type="http://schemas.openxmlformats.org/officeDocument/2006/relationships/hyperlink" Target="https://mstgolf.co.th/products/gf2000105983" TargetMode="External" Id="rId5388" /><Relationship Type="http://schemas.openxmlformats.org/officeDocument/2006/relationships/hyperlink" Target="https://mstgolf.co.th/products/gf2000105986" TargetMode="External" Id="rId5389" /><Relationship Type="http://schemas.openxmlformats.org/officeDocument/2006/relationships/hyperlink" Target="https://mstgolf.co.th/products/gf3500300656" TargetMode="External" Id="rId5390" /><Relationship Type="http://schemas.openxmlformats.org/officeDocument/2006/relationships/hyperlink" Target="https://mstgolf.co.th/products/gf3500400286" TargetMode="External" Id="rId5391" /><Relationship Type="http://schemas.openxmlformats.org/officeDocument/2006/relationships/hyperlink" Target="https://mstgolf.co.th/products/gf2000105368" TargetMode="External" Id="rId5392" /><Relationship Type="http://schemas.openxmlformats.org/officeDocument/2006/relationships/hyperlink" Target="https://mstgolf.co.th/products/gf2080101397" TargetMode="External" Id="rId5393" /><Relationship Type="http://schemas.openxmlformats.org/officeDocument/2006/relationships/hyperlink" Target="https://mstgolf.co.th/products/gf2000105618" TargetMode="External" Id="rId5394" /><Relationship Type="http://schemas.openxmlformats.org/officeDocument/2006/relationships/hyperlink" Target="https://mstgolf.co.th/products/gf2000104817" TargetMode="External" Id="rId5395" /><Relationship Type="http://schemas.openxmlformats.org/officeDocument/2006/relationships/hyperlink" Target="https://mstgolf.co.th/products/gf2000105797" TargetMode="External" Id="rId5396" /><Relationship Type="http://schemas.openxmlformats.org/officeDocument/2006/relationships/hyperlink" Target="https://mstgolf.co.th/products/gf2000105393" TargetMode="External" Id="rId5397" /><Relationship Type="http://schemas.openxmlformats.org/officeDocument/2006/relationships/hyperlink" Target="https://mstgolf.co.th/products/gf2000104168" TargetMode="External" Id="rId5398" /><Relationship Type="http://schemas.openxmlformats.org/officeDocument/2006/relationships/hyperlink" Target="https://mstgolf.co.th/products/gf2000200690" TargetMode="External" Id="rId5399" /><Relationship Type="http://schemas.openxmlformats.org/officeDocument/2006/relationships/hyperlink" Target="https://mstgolf.co.th/products/gf2000200910" TargetMode="External" Id="rId5400" /><Relationship Type="http://schemas.openxmlformats.org/officeDocument/2006/relationships/hyperlink" Target="https://mstgolf.co.th/products/gf2040114560" TargetMode="External" Id="rId5401" /><Relationship Type="http://schemas.openxmlformats.org/officeDocument/2006/relationships/hyperlink" Target="https://mstgolf.co.th/products/gf2040117341" TargetMode="External" Id="rId5402" /><Relationship Type="http://schemas.openxmlformats.org/officeDocument/2006/relationships/hyperlink" Target="https://mstgolf.co.th/products/gf2090300186" TargetMode="External" Id="rId5403" /><Relationship Type="http://schemas.openxmlformats.org/officeDocument/2006/relationships/hyperlink" Target="https://mstgolf.co.th/products/gf3500300853" TargetMode="External" Id="rId5404" /><Relationship Type="http://schemas.openxmlformats.org/officeDocument/2006/relationships/hyperlink" Target="https://mstgolf.co.th/products/gf2040112090" TargetMode="External" Id="rId5405" /><Relationship Type="http://schemas.openxmlformats.org/officeDocument/2006/relationships/hyperlink" Target="https://mstgolf.co.th/products/gf2080101295" TargetMode="External" Id="rId5406" /><Relationship Type="http://schemas.openxmlformats.org/officeDocument/2006/relationships/hyperlink" Target="https://mstgolf.co.th/products/gf3500400385" TargetMode="External" Id="rId5407" /><Relationship Type="http://schemas.openxmlformats.org/officeDocument/2006/relationships/hyperlink" Target="https://mstgolf.co.th/products/gf3500400386" TargetMode="External" Id="rId5408" /><Relationship Type="http://schemas.openxmlformats.org/officeDocument/2006/relationships/hyperlink" Target="https://mstgolf.co.th/products/gf3500400389" TargetMode="External" Id="rId5409" /><Relationship Type="http://schemas.openxmlformats.org/officeDocument/2006/relationships/hyperlink" Target="https://mstgolf.co.th/products/gf3500400388" TargetMode="External" Id="rId5410" /><Relationship Type="http://schemas.openxmlformats.org/officeDocument/2006/relationships/hyperlink" Target="https://mstgolf.co.th/products/gf3500300802" TargetMode="External" Id="rId5411" /><Relationship Type="http://schemas.openxmlformats.org/officeDocument/2006/relationships/hyperlink" Target="https://mstgolf.co.th/products/gf2000105912" TargetMode="External" Id="rId5412" /><Relationship Type="http://schemas.openxmlformats.org/officeDocument/2006/relationships/hyperlink" Target="https://mstgolf.co.th/products/gf2020202505" TargetMode="External" Id="rId5413" /><Relationship Type="http://schemas.openxmlformats.org/officeDocument/2006/relationships/hyperlink" Target="https://mstgolf.co.th/products/gf2090700099" TargetMode="External" Id="rId5414" /><Relationship Type="http://schemas.openxmlformats.org/officeDocument/2006/relationships/hyperlink" Target="https://mstgolf.co.th/products/gf2020201715" TargetMode="External" Id="rId5415" /><Relationship Type="http://schemas.openxmlformats.org/officeDocument/2006/relationships/hyperlink" Target="https://mstgolf.co.th/products/gf2000300398" TargetMode="External" Id="rId5416" /><Relationship Type="http://schemas.openxmlformats.org/officeDocument/2006/relationships/hyperlink" Target="https://mstgolf.co.th/products/gf2000200997" TargetMode="External" Id="rId5417" /><Relationship Type="http://schemas.openxmlformats.org/officeDocument/2006/relationships/hyperlink" Target="https://mstgolf.co.th/products/gf2090200237" TargetMode="External" Id="rId5418" /><Relationship Type="http://schemas.openxmlformats.org/officeDocument/2006/relationships/hyperlink" Target="https://mstgolf.co.th/products/gf3500300995" TargetMode="External" Id="rId5419" /><Relationship Type="http://schemas.openxmlformats.org/officeDocument/2006/relationships/hyperlink" Target="https://mstgolf.co.th/products/gf3500400398" TargetMode="External" Id="rId5420" /><Relationship Type="http://schemas.openxmlformats.org/officeDocument/2006/relationships/hyperlink" Target="https://mstgolf.co.th/products/gf3500400399" TargetMode="External" Id="rId5421" /><Relationship Type="http://schemas.openxmlformats.org/officeDocument/2006/relationships/hyperlink" Target="https://mstgolf.co.th/products/gf2090700096" TargetMode="External" Id="rId5422" /><Relationship Type="http://schemas.openxmlformats.org/officeDocument/2006/relationships/hyperlink" Target="https://mstgolf.co.th/products/gf2090700097" TargetMode="External" Id="rId5423" /><Relationship Type="http://schemas.openxmlformats.org/officeDocument/2006/relationships/hyperlink" Target="https://mstgolf.co.th/products/gf2090700095" TargetMode="External" Id="rId5424" /><Relationship Type="http://schemas.openxmlformats.org/officeDocument/2006/relationships/hyperlink" Target="https://mstgolf.co.th/products/gf2000106610" TargetMode="External" Id="rId5425" /><Relationship Type="http://schemas.openxmlformats.org/officeDocument/2006/relationships/hyperlink" Target="https://mstgolf.co.th/products/gf2000106611" TargetMode="External" Id="rId5426" /><Relationship Type="http://schemas.openxmlformats.org/officeDocument/2006/relationships/hyperlink" Target="https://mstgolf.co.th/products/gf2000104897" TargetMode="External" Id="rId5427" /><Relationship Type="http://schemas.openxmlformats.org/officeDocument/2006/relationships/hyperlink" Target="https://mstgolf.co.th/products/gf2000104368" TargetMode="External" Id="rId5428" /><Relationship Type="http://schemas.openxmlformats.org/officeDocument/2006/relationships/hyperlink" Target="https://mstgolf.co.th/products/gf2000104711" TargetMode="External" Id="rId5429" /><Relationship Type="http://schemas.openxmlformats.org/officeDocument/2006/relationships/hyperlink" Target="https://mstgolf.co.th/products/gf2090100634" TargetMode="External" Id="rId5430" /><Relationship Type="http://schemas.openxmlformats.org/officeDocument/2006/relationships/hyperlink" Target="https://mstgolf.co.th/products/gf2090100652" TargetMode="External" Id="rId5431" /><Relationship Type="http://schemas.openxmlformats.org/officeDocument/2006/relationships/hyperlink" Target="https://mstgolf.co.th/products/gf2090300191" TargetMode="External" Id="rId5432" /><Relationship Type="http://schemas.openxmlformats.org/officeDocument/2006/relationships/hyperlink" Target="https://mstgolf.co.th/products/gf2090300173" TargetMode="External" Id="rId5433" /><Relationship Type="http://schemas.openxmlformats.org/officeDocument/2006/relationships/hyperlink" Target="https://mstgolf.co.th/products/gf2100200641" TargetMode="External" Id="rId5434" /><Relationship Type="http://schemas.openxmlformats.org/officeDocument/2006/relationships/hyperlink" Target="https://mstgolf.co.th/products/gf2100200571" TargetMode="External" Id="rId5435" /><Relationship Type="http://schemas.openxmlformats.org/officeDocument/2006/relationships/hyperlink" Target="https://mstgolf.co.th/products/gf2090300205" TargetMode="External" Id="rId5436" /><Relationship Type="http://schemas.openxmlformats.org/officeDocument/2006/relationships/hyperlink" Target="https://mstgolf.co.th/products/gf2090300206" TargetMode="External" Id="rId5437" /><Relationship Type="http://schemas.openxmlformats.org/officeDocument/2006/relationships/hyperlink" Target="https://mstgolf.co.th/products/gf2090300207" TargetMode="External" Id="rId5438" /><Relationship Type="http://schemas.openxmlformats.org/officeDocument/2006/relationships/hyperlink" Target="https://mstgolf.co.th/products/gf3500400279" TargetMode="External" Id="rId5439" /><Relationship Type="http://schemas.openxmlformats.org/officeDocument/2006/relationships/hyperlink" Target="https://mstgolf.co.th/products/gf3500400280" TargetMode="External" Id="rId5440" /><Relationship Type="http://schemas.openxmlformats.org/officeDocument/2006/relationships/hyperlink" Target="https://mstgolf.co.th/products/gf3500400281" TargetMode="External" Id="rId5441" /><Relationship Type="http://schemas.openxmlformats.org/officeDocument/2006/relationships/hyperlink" Target="https://mstgolf.co.th/products/gf2000105915" TargetMode="External" Id="rId5442" /><Relationship Type="http://schemas.openxmlformats.org/officeDocument/2006/relationships/hyperlink" Target="https://mstgolf.co.th/products/gf2000105914" TargetMode="External" Id="rId5443" /><Relationship Type="http://schemas.openxmlformats.org/officeDocument/2006/relationships/hyperlink" Target="https://mstgolf.co.th/products/gf2090100593" TargetMode="External" Id="rId5444" /><Relationship Type="http://schemas.openxmlformats.org/officeDocument/2006/relationships/hyperlink" Target="https://mstgolf.co.th/products/gf2090100320" TargetMode="External" Id="rId5445" /><Relationship Type="http://schemas.openxmlformats.org/officeDocument/2006/relationships/hyperlink" Target="https://mstgolf.co.th/products/gf2090100321" TargetMode="External" Id="rId5446" /><Relationship Type="http://schemas.openxmlformats.org/officeDocument/2006/relationships/hyperlink" Target="https://mstgolf.co.th/products/gf2090100551" TargetMode="External" Id="rId5447" /><Relationship Type="http://schemas.openxmlformats.org/officeDocument/2006/relationships/hyperlink" Target="https://mstgolf.co.th/products/gf2000105897" TargetMode="External" Id="rId5448" /><Relationship Type="http://schemas.openxmlformats.org/officeDocument/2006/relationships/hyperlink" Target="https://mstgolf.co.th/products/gf2000300367" TargetMode="External" Id="rId5449" /><Relationship Type="http://schemas.openxmlformats.org/officeDocument/2006/relationships/hyperlink" Target="https://mstgolf.co.th/products/gf2000300368" TargetMode="External" Id="rId5450" /><Relationship Type="http://schemas.openxmlformats.org/officeDocument/2006/relationships/hyperlink" Target="https://mstgolf.co.th/products/gf2000200998" TargetMode="External" Id="rId5451" /><Relationship Type="http://schemas.openxmlformats.org/officeDocument/2006/relationships/hyperlink" Target="https://mstgolf.co.th/products/gf2000200999" TargetMode="External" Id="rId5452" /><Relationship Type="http://schemas.openxmlformats.org/officeDocument/2006/relationships/hyperlink" Target="https://mstgolf.co.th/products/gf2000106153" TargetMode="External" Id="rId5453" /><Relationship Type="http://schemas.openxmlformats.org/officeDocument/2006/relationships/hyperlink" Target="https://mstgolf.co.th/products/gf2000105893" TargetMode="External" Id="rId5454" /><Relationship Type="http://schemas.openxmlformats.org/officeDocument/2006/relationships/hyperlink" Target="https://mstgolf.co.th/products/gf3500300351" TargetMode="External" Id="rId5455" /><Relationship Type="http://schemas.openxmlformats.org/officeDocument/2006/relationships/hyperlink" Target="https://mstgolf.co.th/products/gf2090200236" TargetMode="External" Id="rId5456" /><Relationship Type="http://schemas.openxmlformats.org/officeDocument/2006/relationships/hyperlink" Target="https://mstgolf.co.th/products/gf3500400224" TargetMode="External" Id="rId5457" /><Relationship Type="http://schemas.openxmlformats.org/officeDocument/2006/relationships/hyperlink" Target="https://mstgolf.co.th/products/gf2000200958" TargetMode="External" Id="rId5458" /><Relationship Type="http://schemas.openxmlformats.org/officeDocument/2006/relationships/hyperlink" Target="https://mstgolf.co.th/products/gf2000200959" TargetMode="External" Id="rId5459" /><Relationship Type="http://schemas.openxmlformats.org/officeDocument/2006/relationships/hyperlink" Target="https://mstgolf.co.th/products/gf2090700093" TargetMode="External" Id="rId5460" /><Relationship Type="http://schemas.openxmlformats.org/officeDocument/2006/relationships/hyperlink" Target="https://mstgolf.co.th/products/gf2090200165" TargetMode="External" Id="rId5461" /><Relationship Type="http://schemas.openxmlformats.org/officeDocument/2006/relationships/hyperlink" Target="https://mstgolf.co.th/products/gf2090200210" TargetMode="External" Id="rId5462" /><Relationship Type="http://schemas.openxmlformats.org/officeDocument/2006/relationships/hyperlink" Target="https://mstgolf.co.th/products/gf2000106175" TargetMode="External" Id="rId5463" /><Relationship Type="http://schemas.openxmlformats.org/officeDocument/2006/relationships/hyperlink" Target="https://mstgolf.co.th/products/gf2100200694" TargetMode="External" Id="rId5464" /><Relationship Type="http://schemas.openxmlformats.org/officeDocument/2006/relationships/hyperlink" Target="https://mstgolf.co.th/products/gf3080100066" TargetMode="External" Id="rId5465" /><Relationship Type="http://schemas.openxmlformats.org/officeDocument/2006/relationships/hyperlink" Target="https://mstgolf.co.th/products/gf2090200167" TargetMode="External" Id="rId5466" /><Relationship Type="http://schemas.openxmlformats.org/officeDocument/2006/relationships/hyperlink" Target="https://mstgolf.co.th/products/gf2090100665" TargetMode="External" Id="rId5467" /><Relationship Type="http://schemas.openxmlformats.org/officeDocument/2006/relationships/hyperlink" Target="https://mstgolf.co.th/products/gf2090100663" TargetMode="External" Id="rId5468" /><Relationship Type="http://schemas.openxmlformats.org/officeDocument/2006/relationships/hyperlink" Target="https://mstgolf.co.th/products/gf2090100662" TargetMode="External" Id="rId5469" /><Relationship Type="http://schemas.openxmlformats.org/officeDocument/2006/relationships/hyperlink" Target="https://mstgolf.co.th/products/gf2090100631" TargetMode="External" Id="rId5470" /><Relationship Type="http://schemas.openxmlformats.org/officeDocument/2006/relationships/hyperlink" Target="https://mstgolf.co.th/products/gf2000106505" TargetMode="External" Id="rId5471" /><Relationship Type="http://schemas.openxmlformats.org/officeDocument/2006/relationships/hyperlink" Target="https://mstgolf.co.th/products/gf2000104665" TargetMode="External" Id="rId5472" /><Relationship Type="http://schemas.openxmlformats.org/officeDocument/2006/relationships/hyperlink" Target="https://mstgolf.co.th/products/gf3500300651" TargetMode="External" Id="rId5473" /><Relationship Type="http://schemas.openxmlformats.org/officeDocument/2006/relationships/hyperlink" Target="https://mstgolf.co.th/products/gf3130100094" TargetMode="External" Id="rId5474" /><Relationship Type="http://schemas.openxmlformats.org/officeDocument/2006/relationships/hyperlink" Target="https://mstgolf.co.th/products/gf2090100625" TargetMode="External" Id="rId5475" /><Relationship Type="http://schemas.openxmlformats.org/officeDocument/2006/relationships/hyperlink" Target="https://mstgolf.co.th/products/gf3500300609" TargetMode="External" Id="rId5476" /><Relationship Type="http://schemas.openxmlformats.org/officeDocument/2006/relationships/hyperlink" Target="https://mstgolf.co.th/products/gf3500300607" TargetMode="External" Id="rId5477" /><Relationship Type="http://schemas.openxmlformats.org/officeDocument/2006/relationships/hyperlink" Target="https://mstgolf.co.th/products/gf3500300608" TargetMode="External" Id="rId5478" /><Relationship Type="http://schemas.openxmlformats.org/officeDocument/2006/relationships/hyperlink" Target="https://mstgolf.co.th/products/gf2090100581" TargetMode="External" Id="rId5479" /><Relationship Type="http://schemas.openxmlformats.org/officeDocument/2006/relationships/hyperlink" Target="https://mstgolf.co.th/products/gf2090100579" TargetMode="External" Id="rId5480" /><Relationship Type="http://schemas.openxmlformats.org/officeDocument/2006/relationships/hyperlink" Target="https://mstgolf.co.th/products/gf2090100621" TargetMode="External" Id="rId5481" /><Relationship Type="http://schemas.openxmlformats.org/officeDocument/2006/relationships/hyperlink" Target="https://mstgolf.co.th/products/gf2090100622" TargetMode="External" Id="rId5482" /><Relationship Type="http://schemas.openxmlformats.org/officeDocument/2006/relationships/hyperlink" Target="https://mstgolf.co.th/products/gf3040100120" TargetMode="External" Id="rId5483" /><Relationship Type="http://schemas.openxmlformats.org/officeDocument/2006/relationships/hyperlink" Target="https://mstgolf.co.th/products/gf3500300034" TargetMode="External" Id="rId5484" /><Relationship Type="http://schemas.openxmlformats.org/officeDocument/2006/relationships/hyperlink" Target="https://mstgolf.co.th/products/gf3500400312" TargetMode="External" Id="rId5485" /><Relationship Type="http://schemas.openxmlformats.org/officeDocument/2006/relationships/hyperlink" Target="https://mstgolf.co.th/products/gf2000104547" TargetMode="External" Id="rId5486" /><Relationship Type="http://schemas.openxmlformats.org/officeDocument/2006/relationships/hyperlink" Target="https://mstgolf.co.th/products/gf2000105750" TargetMode="External" Id="rId5487" /><Relationship Type="http://schemas.openxmlformats.org/officeDocument/2006/relationships/hyperlink" Target="https://mstgolf.co.th/products/gf2110200009" TargetMode="External" Id="rId5488" /><Relationship Type="http://schemas.openxmlformats.org/officeDocument/2006/relationships/hyperlink" Target="https://mstgolf.co.th/products/gf3500400262" TargetMode="External" Id="rId5489" /><Relationship Type="http://schemas.openxmlformats.org/officeDocument/2006/relationships/hyperlink" Target="https://mstgolf.co.th/products/gf2080101474" TargetMode="External" Id="rId5490" /><Relationship Type="http://schemas.openxmlformats.org/officeDocument/2006/relationships/hyperlink" Target="https://mstgolf.co.th/products/gf2080101473" TargetMode="External" Id="rId5491" /><Relationship Type="http://schemas.openxmlformats.org/officeDocument/2006/relationships/hyperlink" Target="https://mstgolf.co.th/products/gf2000105757" TargetMode="External" Id="rId5492" /><Relationship Type="http://schemas.openxmlformats.org/officeDocument/2006/relationships/hyperlink" Target="https://mstgolf.co.th/products/gf2110100023" TargetMode="External" Id="rId5493" /><Relationship Type="http://schemas.openxmlformats.org/officeDocument/2006/relationships/hyperlink" Target="https://mstgolf.co.th/products/gf2110100027" TargetMode="External" Id="rId5494" /><Relationship Type="http://schemas.openxmlformats.org/officeDocument/2006/relationships/hyperlink" Target="https://mstgolf.co.th/products/gf2110100025" TargetMode="External" Id="rId5495" /><Relationship Type="http://schemas.openxmlformats.org/officeDocument/2006/relationships/hyperlink" Target="https://mstgolf.co.th/products/gf2110100026" TargetMode="External" Id="rId5496" /><Relationship Type="http://schemas.openxmlformats.org/officeDocument/2006/relationships/hyperlink" Target="https://mstgolf.co.th/products/gf2110100022" TargetMode="External" Id="rId5497" /><Relationship Type="http://schemas.openxmlformats.org/officeDocument/2006/relationships/hyperlink" Target="https://mstgolf.co.th/products/gf3170200009" TargetMode="External" Id="rId5498" /><Relationship Type="http://schemas.openxmlformats.org/officeDocument/2006/relationships/hyperlink" Target="https://mstgolf.co.th/products/gf2090200301" TargetMode="External" Id="rId5499" /><Relationship Type="http://schemas.openxmlformats.org/officeDocument/2006/relationships/hyperlink" Target="https://mstgolf.co.th/products/gf2090300164" TargetMode="External" Id="rId5500" /><Relationship Type="http://schemas.openxmlformats.org/officeDocument/2006/relationships/hyperlink" Target="https://mstgolf.co.th/products/gf2090300165" TargetMode="External" Id="rId5501" /><Relationship Type="http://schemas.openxmlformats.org/officeDocument/2006/relationships/hyperlink" Target="https://mstgolf.co.th/products/gf2090200202" TargetMode="External" Id="rId5502" /><Relationship Type="http://schemas.openxmlformats.org/officeDocument/2006/relationships/hyperlink" Target="https://mstgolf.co.th/products/gf3500300410" TargetMode="External" Id="rId5503" /><Relationship Type="http://schemas.openxmlformats.org/officeDocument/2006/relationships/hyperlink" Target="https://mstgolf.co.th/products/gf3500300035" TargetMode="External" Id="rId5504" /><Relationship Type="http://schemas.openxmlformats.org/officeDocument/2006/relationships/hyperlink" Target="https://mstgolf.co.th/products/gf2090200186" TargetMode="External" Id="rId5505" /><Relationship Type="http://schemas.openxmlformats.org/officeDocument/2006/relationships/hyperlink" Target="https://mstgolf.co.th/products/gf2090200187" TargetMode="External" Id="rId5506" /><Relationship Type="http://schemas.openxmlformats.org/officeDocument/2006/relationships/hyperlink" Target="https://mstgolf.co.th/products/gf2090200190" TargetMode="External" Id="rId5507" /><Relationship Type="http://schemas.openxmlformats.org/officeDocument/2006/relationships/hyperlink" Target="https://mstgolf.co.th/products/gf2090200188" TargetMode="External" Id="rId5508" /><Relationship Type="http://schemas.openxmlformats.org/officeDocument/2006/relationships/hyperlink" Target="https://mstgolf.co.th/products/gf2090700058" TargetMode="External" Id="rId5509" /><Relationship Type="http://schemas.openxmlformats.org/officeDocument/2006/relationships/hyperlink" Target="https://mstgolf.co.th/products/gf3500400289" TargetMode="External" Id="rId5510" /><Relationship Type="http://schemas.openxmlformats.org/officeDocument/2006/relationships/hyperlink" Target="https://mstgolf.co.th/products/gf2000201061" TargetMode="External" Id="rId5511" /><Relationship Type="http://schemas.openxmlformats.org/officeDocument/2006/relationships/hyperlink" Target="https://mstgolf.co.th/products/gf2000201059" TargetMode="External" Id="rId5512" /><Relationship Type="http://schemas.openxmlformats.org/officeDocument/2006/relationships/hyperlink" Target="https://mstgolf.co.th/products/gf2000201060" TargetMode="External" Id="rId5513" /><Relationship Type="http://schemas.openxmlformats.org/officeDocument/2006/relationships/hyperlink" Target="https://mstgolf.co.th/products/gf2000106444" TargetMode="External" Id="rId5514" /><Relationship Type="http://schemas.openxmlformats.org/officeDocument/2006/relationships/hyperlink" Target="https://mstgolf.co.th/products/gf2000106445" TargetMode="External" Id="rId5515" /><Relationship Type="http://schemas.openxmlformats.org/officeDocument/2006/relationships/hyperlink" Target="https://mstgolf.co.th/products/gf2000200897" TargetMode="External" Id="rId5516" /><Relationship Type="http://schemas.openxmlformats.org/officeDocument/2006/relationships/hyperlink" Target="https://mstgolf.co.th/products/gf2000104622" TargetMode="External" Id="rId5517" /><Relationship Type="http://schemas.openxmlformats.org/officeDocument/2006/relationships/hyperlink" Target="https://mstgolf.co.th/products/gf2100100019" TargetMode="External" Id="rId5518" /><Relationship Type="http://schemas.openxmlformats.org/officeDocument/2006/relationships/hyperlink" Target="https://mstgolf.co.th/products/gf2100100020" TargetMode="External" Id="rId5519" /><Relationship Type="http://schemas.openxmlformats.org/officeDocument/2006/relationships/hyperlink" Target="https://mstgolf.co.th/products/gf2100100025" TargetMode="External" Id="rId5520" /><Relationship Type="http://schemas.openxmlformats.org/officeDocument/2006/relationships/hyperlink" Target="https://mstgolf.co.th/products/gf2100100021" TargetMode="External" Id="rId5521" /><Relationship Type="http://schemas.openxmlformats.org/officeDocument/2006/relationships/hyperlink" Target="https://mstgolf.co.th/products/gf3500100006" TargetMode="External" Id="rId5522" /><Relationship Type="http://schemas.openxmlformats.org/officeDocument/2006/relationships/hyperlink" Target="https://mstgolf.co.th/products/gf3500300362" TargetMode="External" Id="rId5523" /><Relationship Type="http://schemas.openxmlformats.org/officeDocument/2006/relationships/hyperlink" Target="https://mstgolf.co.th/products/gf3500100007" TargetMode="External" Id="rId5524" /><Relationship Type="http://schemas.openxmlformats.org/officeDocument/2006/relationships/hyperlink" Target="https://mstgolf.co.th/products/gf3500400222" TargetMode="External" Id="rId5525" /><Relationship Type="http://schemas.openxmlformats.org/officeDocument/2006/relationships/hyperlink" Target="https://mstgolf.co.th/products/gf3500400223" TargetMode="External" Id="rId5526" /><Relationship Type="http://schemas.openxmlformats.org/officeDocument/2006/relationships/hyperlink" Target="https://mstgolf.co.th/products/gf3500100458" TargetMode="External" Id="rId5527" /><Relationship Type="http://schemas.openxmlformats.org/officeDocument/2006/relationships/hyperlink" Target="https://mstgolf.co.th/products/gf2090200261" TargetMode="External" Id="rId5528" /><Relationship Type="http://schemas.openxmlformats.org/officeDocument/2006/relationships/hyperlink" Target="https://mstgolf.co.th/products/gf3500100397" TargetMode="External" Id="rId5529" /><Relationship Type="http://schemas.openxmlformats.org/officeDocument/2006/relationships/hyperlink" Target="https://mstgolf.co.th/products/gf3500100396" TargetMode="External" Id="rId5530" /><Relationship Type="http://schemas.openxmlformats.org/officeDocument/2006/relationships/hyperlink" Target="https://mstgolf.co.th/products/gf3500100186" TargetMode="External" Id="rId5531" /><Relationship Type="http://schemas.openxmlformats.org/officeDocument/2006/relationships/hyperlink" Target="https://mstgolf.co.th/products/gf3500100394" TargetMode="External" Id="rId5532" /><Relationship Type="http://schemas.openxmlformats.org/officeDocument/2006/relationships/hyperlink" Target="https://mstgolf.co.th/products/gf3190300008" TargetMode="External" Id="rId5533" /><Relationship Type="http://schemas.openxmlformats.org/officeDocument/2006/relationships/hyperlink" Target="https://mstgolf.co.th/products/gf3080100068" TargetMode="External" Id="rId5534" /><Relationship Type="http://schemas.openxmlformats.org/officeDocument/2006/relationships/hyperlink" Target="https://mstgolf.co.th/products/gf3500300444" TargetMode="External" Id="rId5535" /><Relationship Type="http://schemas.openxmlformats.org/officeDocument/2006/relationships/hyperlink" Target="https://mstgolf.co.th/products/gf3500300445" TargetMode="External" Id="rId5536" /><Relationship Type="http://schemas.openxmlformats.org/officeDocument/2006/relationships/hyperlink" Target="https://mstgolf.co.th/products/gf2090200298" TargetMode="External" Id="rId5537" /><Relationship Type="http://schemas.openxmlformats.org/officeDocument/2006/relationships/hyperlink" Target="https://mstgolf.co.th/products/gf3500100320" TargetMode="External" Id="rId5538" /><Relationship Type="http://schemas.openxmlformats.org/officeDocument/2006/relationships/hyperlink" Target="https://mstgolf.co.th/products/gf3170200008" TargetMode="External" Id="rId5539" /><Relationship Type="http://schemas.openxmlformats.org/officeDocument/2006/relationships/hyperlink" Target="https://mstgolf.co.th/products/gf3500300931" TargetMode="External" Id="rId5540" /><Relationship Type="http://schemas.openxmlformats.org/officeDocument/2006/relationships/hyperlink" Target="https://mstgolf.co.th/products/gf2090300228" TargetMode="External" Id="rId5541" /><Relationship Type="http://schemas.openxmlformats.org/officeDocument/2006/relationships/hyperlink" Target="https://mstgolf.co.th/products/gf3500100442" TargetMode="External" Id="rId5542" /><Relationship Type="http://schemas.openxmlformats.org/officeDocument/2006/relationships/hyperlink" Target="https://mstgolf.co.th/products/gf3500100316" TargetMode="External" Id="rId5543" /><Relationship Type="http://schemas.openxmlformats.org/officeDocument/2006/relationships/hyperlink" Target="https://mstgolf.co.th/products/gf3500300636" TargetMode="External" Id="rId5544" /><Relationship Type="http://schemas.openxmlformats.org/officeDocument/2006/relationships/hyperlink" Target="https://mstgolf.co.th/products/gf3500300932" TargetMode="External" Id="rId5545" /><Relationship Type="http://schemas.openxmlformats.org/officeDocument/2006/relationships/hyperlink" Target="https://mstgolf.co.th/products/gf3500100447" TargetMode="External" Id="rId5546" /><Relationship Type="http://schemas.openxmlformats.org/officeDocument/2006/relationships/hyperlink" Target="https://mstgolf.co.th/products/gf3500100374" TargetMode="External" Id="rId5547" /><Relationship Type="http://schemas.openxmlformats.org/officeDocument/2006/relationships/hyperlink" Target="https://mstgolf.co.th/products/gf3500300392" TargetMode="External" Id="rId5548" /><Relationship Type="http://schemas.openxmlformats.org/officeDocument/2006/relationships/hyperlink" Target="https://mstgolf.co.th/products/gf3500300385" TargetMode="External" Id="rId5549" /><Relationship Type="http://schemas.openxmlformats.org/officeDocument/2006/relationships/hyperlink" Target="https://mstgolf.co.th/products/gf3500300388" TargetMode="External" Id="rId5550" /><Relationship Type="http://schemas.openxmlformats.org/officeDocument/2006/relationships/hyperlink" Target="https://mstgolf.co.th/products/gf3500100096" TargetMode="External" Id="rId5551" /><Relationship Type="http://schemas.openxmlformats.org/officeDocument/2006/relationships/hyperlink" Target="https://mstgolf.co.th/products/gf3500300389" TargetMode="External" Id="rId5552" /><Relationship Type="http://schemas.openxmlformats.org/officeDocument/2006/relationships/hyperlink" Target="https://mstgolf.co.th/products/gf3500300387" TargetMode="External" Id="rId5553" /><Relationship Type="http://schemas.openxmlformats.org/officeDocument/2006/relationships/hyperlink" Target="https://mstgolf.co.th/products/gf3500100376" TargetMode="External" Id="rId5554" /><Relationship Type="http://schemas.openxmlformats.org/officeDocument/2006/relationships/hyperlink" Target="https://mstgolf.co.th/products/gf3500100377" TargetMode="External" Id="rId5555" /><Relationship Type="http://schemas.openxmlformats.org/officeDocument/2006/relationships/hyperlink" Target="https://mstgolf.co.th/products/gf3500100378" TargetMode="External" Id="rId5556" /><Relationship Type="http://schemas.openxmlformats.org/officeDocument/2006/relationships/hyperlink" Target="https://mstgolf.co.th/products/gf3500100379" TargetMode="External" Id="rId5557" /><Relationship Type="http://schemas.openxmlformats.org/officeDocument/2006/relationships/hyperlink" Target="https://mstgolf.co.th/products/gf3500300999" TargetMode="External" Id="rId5558" /><Relationship Type="http://schemas.openxmlformats.org/officeDocument/2006/relationships/hyperlink" Target="https://mstgolf.co.th/products/gf3500300998" TargetMode="External" Id="rId5559" /><Relationship Type="http://schemas.openxmlformats.org/officeDocument/2006/relationships/hyperlink" Target="https://mstgolf.co.th/products/gf3500100445" TargetMode="External" Id="rId5560" /><Relationship Type="http://schemas.openxmlformats.org/officeDocument/2006/relationships/hyperlink" Target="https://mstgolf.co.th/products/gf3500100439" TargetMode="External" Id="rId5561" /><Relationship Type="http://schemas.openxmlformats.org/officeDocument/2006/relationships/hyperlink" Target="https://mstgolf.co.th/products/gf3500100440" TargetMode="External" Id="rId5562" /><Relationship Type="http://schemas.openxmlformats.org/officeDocument/2006/relationships/hyperlink" Target="https://mstgolf.co.th/products/gf3500100448" TargetMode="External" Id="rId5563" /><Relationship Type="http://schemas.openxmlformats.org/officeDocument/2006/relationships/hyperlink" Target="https://mstgolf.co.th/products/gf3500100082" TargetMode="External" Id="rId5564" /><Relationship Type="http://schemas.openxmlformats.org/officeDocument/2006/relationships/hyperlink" Target="https://mstgolf.co.th/products/gf3500300669" TargetMode="External" Id="rId5565" /><Relationship Type="http://schemas.openxmlformats.org/officeDocument/2006/relationships/hyperlink" Target="https://mstgolf.co.th/products/gf3500300381" TargetMode="External" Id="rId5566" /><Relationship Type="http://schemas.openxmlformats.org/officeDocument/2006/relationships/hyperlink" Target="https://mstgolf.co.th/products/gf3500300383" TargetMode="External" Id="rId5567" /><Relationship Type="http://schemas.openxmlformats.org/officeDocument/2006/relationships/hyperlink" Target="https://mstgolf.co.th/products/gf3500300382" TargetMode="External" Id="rId5568" /><Relationship Type="http://schemas.openxmlformats.org/officeDocument/2006/relationships/hyperlink" Target="https://mstgolf.co.th/products/gf3500300380" TargetMode="External" Id="rId5569" /><Relationship Type="http://schemas.openxmlformats.org/officeDocument/2006/relationships/hyperlink" Target="https://mstgolf.co.th/products/gf3500300244" TargetMode="External" Id="rId5570" /><Relationship Type="http://schemas.openxmlformats.org/officeDocument/2006/relationships/hyperlink" Target="https://mstgolf.co.th/products/gf2040120345" TargetMode="External" Id="rId5571" /><Relationship Type="http://schemas.openxmlformats.org/officeDocument/2006/relationships/hyperlink" Target="https://mstgolf.co.th/products/gf2040120348" TargetMode="External" Id="rId5572" /><Relationship Type="http://schemas.openxmlformats.org/officeDocument/2006/relationships/hyperlink" Target="https://mstgolf.co.th/products/gf2040120347" TargetMode="External" Id="rId5573" /><Relationship Type="http://schemas.openxmlformats.org/officeDocument/2006/relationships/hyperlink" Target="https://mstgolf.co.th/products/gf2040120346" TargetMode="External" Id="rId5574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8" customWidth="1" min="3" max="3"/>
    <col width="62" customWidth="1" min="4" max="4"/>
  </cols>
  <sheetData>
    <row r="1">
      <c r="A1" s="1" t="n"/>
      <c r="B1" s="1" t="n"/>
      <c r="C1" s="1" t="n"/>
      <c r="D1" s="1" t="n"/>
    </row>
    <row r="2">
      <c r="A2" s="1" t="n"/>
      <c r="B2" s="2" t="inlineStr">
        <is>
          <t>ใบตรวจราคา mstgolf.co.th</t>
        </is>
      </c>
      <c r="C2" s="1" t="n"/>
      <c r="D2" s="1" t="n"/>
    </row>
    <row r="3">
      <c r="A3" s="1" t="n"/>
      <c r="B3" s="3" t="inlineStr">
        <is>
          <t>ข้อมูลสินค้าดึงจากหน้าเว็บสาธารณะ mstgolf.co.th และ mstgolf.com.sg (products.json) เมื่อ 27 ก.ย. 2026 · จัดทำโดย ORIONS</t>
        </is>
      </c>
      <c r="C3" s="1" t="n"/>
      <c r="D3" s="1" t="n"/>
    </row>
    <row r="4">
      <c r="A4" s="1" t="n"/>
      <c r="B4" s="1" t="n"/>
      <c r="C4" s="1" t="n"/>
      <c r="D4" s="1" t="n"/>
    </row>
    <row r="5">
      <c r="A5" s="1" t="n"/>
      <c r="B5" s="4" t="inlineStr">
        <is>
          <t>ค่าที่ใช้คำนวณ</t>
        </is>
      </c>
      <c r="C5" s="1" t="n"/>
      <c r="D5" s="1" t="n"/>
    </row>
    <row r="6">
      <c r="A6" s="1" t="n"/>
      <c r="B6" s="1" t="inlineStr">
        <is>
          <t>อัตราแลกเปลี่ยนอ้างอิง (บาท ต่อ 1 SGD)</t>
        </is>
      </c>
      <c r="C6" s="5" t="n">
        <v>25</v>
      </c>
      <c r="D6" s="3" t="inlineStr">
        <is>
          <t>ตัวเลขตัวอย่าง — แก้เป็นอัตราวันที่ตรวจ ใช้แค่คอลัมน์ N ในแท็บ สินค้า</t>
        </is>
      </c>
    </row>
    <row r="7">
      <c r="A7" s="1" t="n"/>
      <c r="B7" s="1" t="n"/>
      <c r="C7" s="1" t="n"/>
      <c r="D7" s="1" t="n"/>
    </row>
    <row r="8">
      <c r="A8" s="1" t="n"/>
      <c r="B8" s="4" t="inlineStr">
        <is>
          <t>สิ่งที่พบ</t>
        </is>
      </c>
      <c r="C8" s="1" t="n"/>
      <c r="D8" s="1" t="n"/>
    </row>
    <row r="9">
      <c r="A9" s="1" t="n"/>
      <c r="B9" s="1" t="inlineStr">
        <is>
          <t>สินค้าบน mstgolf.co.th</t>
        </is>
      </c>
      <c r="C9" s="6">
        <f>COUNTA('สินค้า'!$C$2:$C$5575)</f>
        <v/>
      </c>
      <c r="D9" s="3" t="inlineStr">
        <is>
          <t>นับเป็นรายการสินค้า (ตัวเลือกไซส์/สีรวมอยู่ในรายการเดียว)</t>
        </is>
      </c>
    </row>
    <row r="10">
      <c r="A10" s="1" t="n"/>
      <c r="B10" s="1" t="inlineStr">
        <is>
          <t>สินค้าที่มีสต็อกบนเว็บ</t>
        </is>
      </c>
      <c r="C10" s="6">
        <f>COUNTIF('สินค้า'!$I$2:$I$5575,"มี")</f>
        <v/>
      </c>
      <c r="D10" s="3" t="inlineStr"/>
    </row>
    <row r="11">
      <c r="A11" s="1" t="n"/>
      <c r="B11" s="1" t="inlineStr">
        <is>
          <t>สินค้าที่พบในร้านสิงคโปร์ (SKU เดียวกัน)</t>
        </is>
      </c>
      <c r="C11" s="6">
        <f>COUNTIF('สินค้า'!$M$2:$M$5575,"&lt;&gt;ไม่พบใน SG")</f>
        <v/>
      </c>
      <c r="D11" s="3" t="inlineStr"/>
    </row>
    <row r="12">
      <c r="A12" s="1" t="n"/>
      <c r="B12" s="1" t="inlineStr">
        <is>
          <t>ในจำนวนนั้น ราคาตรงกับร้านสิงคโปร์ทุกตัวเลข</t>
        </is>
      </c>
      <c r="C12" s="6">
        <f>COUNTIF('สินค้า'!$M$2:$M$5575,"ตรงกัน")</f>
        <v/>
      </c>
      <c r="D12" s="3" t="inlineStr">
        <is>
          <t>ตัวเลขเดียวกับราคา SGD แต่แสดงเป็นบาท</t>
        </is>
      </c>
    </row>
    <row r="13">
      <c r="A13" s="1" t="n"/>
      <c r="B13" s="1" t="inlineStr">
        <is>
          <t>สัดส่วนที่ราคาตรงกับร้านสิงคโปร์</t>
        </is>
      </c>
      <c r="C13" s="7">
        <f>IFERROR(C12/C11,0)</f>
        <v/>
      </c>
      <c r="D13" s="3" t="inlineStr"/>
    </row>
    <row r="14">
      <c r="A14" s="1" t="n"/>
      <c r="B14" s="1" t="inlineStr">
        <is>
          <t>ราคากลางของสินค้าทั้งหมดบนเว็บ (฿)</t>
        </is>
      </c>
      <c r="C14" s="6">
        <f>MEDIAN('สินค้า'!$J$2:$J$5575)</f>
        <v/>
      </c>
      <c r="D14" s="3" t="inlineStr">
        <is>
          <t>ร้านกอล์ฟในไทยไม่มีราคากลางระดับนี้</t>
        </is>
      </c>
    </row>
    <row r="15">
      <c r="A15" s="1" t="n"/>
      <c r="B15" s="1" t="inlineStr">
        <is>
          <t>ราคากลางของไม้กอล์ฟ (฿)</t>
        </is>
      </c>
      <c r="C15" s="6">
        <f>MEDIAN('สินค้า'!$T$2:$T$5575)</f>
        <v/>
      </c>
      <c r="D15" s="3" t="inlineStr">
        <is>
          <t>เช่น ไดรเวอร์ PING G425 แสดง ฿699</t>
        </is>
      </c>
    </row>
    <row r="16">
      <c r="A16" s="1" t="n"/>
      <c r="B16" s="1" t="inlineStr">
        <is>
          <t>สินค้าที่ราคาเป็น 0</t>
        </is>
      </c>
      <c r="C16" s="6">
        <f>COUNTIF('สินค้า'!$J$2:$J$5575,0)</f>
        <v/>
      </c>
      <c r="D16" s="3" t="inlineStr"/>
    </row>
    <row r="17">
      <c r="A17" s="1" t="n"/>
      <c r="B17" s="1" t="n"/>
      <c r="C17" s="1" t="n"/>
      <c r="D17" s="1" t="n"/>
    </row>
    <row r="18">
      <c r="A18" s="1" t="n"/>
      <c r="B18" s="8" t="inlineStr">
        <is>
          <t>สรุป: ราคาบน mstgolf.co.th เป็นราคาร้านสิงคโปร์ (SGD) ที่ใส่สัญลักษณ์บาท ต้องใส่ราคาบาทจริงก่อนเปิดขาย</t>
        </is>
      </c>
      <c r="C18" s="1" t="n"/>
      <c r="D18" s="1" t="n"/>
    </row>
    <row r="19">
      <c r="A19" s="1" t="n"/>
      <c r="B19" s="1" t="n"/>
      <c r="C19" s="1" t="n"/>
      <c r="D19" s="1" t="n"/>
    </row>
    <row r="20">
      <c r="A20" s="1" t="n"/>
      <c r="B20" s="4" t="inlineStr">
        <is>
          <t>วิธีใช้</t>
        </is>
      </c>
      <c r="C20" s="1" t="n"/>
      <c r="D20" s="1" t="n"/>
    </row>
    <row r="21">
      <c r="A21" s="1" t="n"/>
      <c r="B21" s="1" t="inlineStr">
        <is>
          <t>1. แท็บ แบรนด์ — ระบุว่าแบรนด์ไหนขายออนไลน์ในไทยได้ และใครเป็นผู้แทน (ช่องสีเหลือง)</t>
        </is>
      </c>
      <c r="C21" s="1" t="n"/>
      <c r="D21" s="1" t="n"/>
    </row>
    <row r="22">
      <c r="A22" s="1" t="n"/>
      <c r="B22" s="1" t="inlineStr">
        <is>
          <t>2. แท็บ สินค้า — เรียงตามลำดับตรวจ: 1 = ไม้กอล์ฟและอุปกรณ์วัดระยะ · 2 = รองเท้า ถุง ลูก ถุงมือ รถเข็น · 3 = เสื้อผ้าและอุปกรณ์เสริม</t>
        </is>
      </c>
      <c r="C22" s="1" t="n"/>
      <c r="D22" s="1" t="n"/>
    </row>
    <row r="23">
      <c r="A23" s="1" t="n"/>
      <c r="B23" s="1" t="inlineStr">
        <is>
          <t>3. กรอกเฉพาะช่องสีเหลือง: ราคาขายไทย · ราคาเต็มก่อนลด (ถ้ามีโปร) · ขายในไทย? · หมายเหตุ</t>
        </is>
      </c>
      <c r="C23" s="1" t="n"/>
      <c r="D23" s="1" t="n"/>
    </row>
    <row r="24">
      <c r="A24" s="1" t="n"/>
      <c r="B24" s="1" t="inlineStr">
        <is>
          <t>4. สินค้าที่ยังไม่มีราคาไทย ให้ใส่ ไม่ขาย — ORIONS จะซ่อนจากเว็บจนกว่าจะมีราคา</t>
        </is>
      </c>
      <c r="C24" s="1" t="n"/>
      <c r="D24" s="1" t="n"/>
    </row>
    <row r="25">
      <c r="A25" s="1" t="n"/>
      <c r="B25" s="1" t="inlineStr">
        <is>
          <t>5. ถ้าช่อง ราคาในตัวเลือก ขึ้นว่า ต่างกัน แปลว่าไซส์/สเปกมีราคาไม่เท่ากัน ให้เขียนราคาแต่ละแบบในหมายเหตุ</t>
        </is>
      </c>
      <c r="C25" s="1" t="n"/>
      <c r="D25" s="1" t="n"/>
    </row>
    <row r="26">
      <c r="A26" s="1" t="n"/>
      <c r="B26" s="1" t="inlineStr">
        <is>
          <t>ช่องสีเหลือง ตัวอักษรสีน้ำเงิน = ช่องที่ MST กรอก · ตัวอักษรสีเขียว = คำนวณจากแท็บอื่น · ที่เหลือเป็นข้อมูลจากเว็บ ไม่ต้องแก้</t>
        </is>
      </c>
      <c r="C26" s="1" t="n"/>
      <c r="D26" s="1" t="n"/>
    </row>
    <row r="27">
      <c r="A27" s="1" t="n"/>
      <c r="B27" s="1" t="n"/>
      <c r="C27" s="1" t="n"/>
      <c r="D27" s="1" t="n"/>
    </row>
    <row r="28">
      <c r="A28" s="1" t="n"/>
      <c r="B28" s="4" t="inlineStr">
        <is>
          <t>ตัวอย่างการกรอก (ไม่ใช่ข้อมูลจริง)</t>
        </is>
      </c>
      <c r="C28" s="1" t="n"/>
      <c r="D28" s="1" t="n"/>
    </row>
    <row r="29">
      <c r="A29" s="1" t="n"/>
      <c r="B29" s="9" t="inlineStr">
        <is>
          <t>ชื่อสินค้า</t>
        </is>
      </c>
      <c r="C29" s="9" t="inlineStr">
        <is>
          <t>ราคาขายไทย (฿)</t>
        </is>
      </c>
      <c r="D29" s="9" t="inlineStr">
        <is>
          <t>ราคาเต็มก่อนลด (฿) · ขายในไทย? · หมายเหตุ</t>
        </is>
      </c>
    </row>
    <row r="30">
      <c r="A30" s="1" t="n"/>
      <c r="B30" s="10" t="inlineStr">
        <is>
          <t>PING G425 Max Men's Driver</t>
        </is>
      </c>
      <c r="C30" s="11" t="n">
        <v>15900</v>
      </c>
      <c r="D30" s="10" t="inlineStr">
        <is>
          <t>18,900 · ขาย · ก้าน Regular และ Stiff ราคาเดียวกัน</t>
        </is>
      </c>
    </row>
  </sheetData>
  <mergeCells count="6">
    <mergeCell ref="B23:D23"/>
    <mergeCell ref="B22:D22"/>
    <mergeCell ref="B26:D26"/>
    <mergeCell ref="B21:D21"/>
    <mergeCell ref="B25:D25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57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0" customWidth="1" min="2" max="2"/>
    <col width="26" customWidth="1" min="3" max="3"/>
    <col width="44" customWidth="1" min="4" max="4"/>
    <col width="18" customWidth="1" min="5" max="5"/>
    <col width="18" customWidth="1" min="6" max="6"/>
    <col width="20" customWidth="1" min="7" max="7"/>
    <col width="9" customWidth="1" min="8" max="8"/>
    <col width="11" customWidth="1" min="9" max="9"/>
    <col width="14" customWidth="1" min="10" max="10"/>
    <col width="12" customWidth="1" min="11" max="11"/>
    <col width="13" customWidth="1" min="12" max="12"/>
    <col width="12" customWidth="1" min="13" max="13"/>
    <col width="16" customWidth="1" min="14" max="14"/>
    <col width="14" customWidth="1" min="15" max="15"/>
    <col width="14" customWidth="1" min="16" max="16"/>
    <col width="11" customWidth="1" min="17" max="17"/>
    <col width="28" customWidth="1" min="18" max="18"/>
    <col width="40" customWidth="1" min="19" max="19"/>
    <col hidden="1" width="13" customWidth="1" min="20" max="20"/>
  </cols>
  <sheetData>
    <row r="1" ht="42" customHeight="1">
      <c r="A1" s="12" t="inlineStr">
        <is>
          <t>ลำดับตรวจ</t>
        </is>
      </c>
      <c r="B1" s="12" t="inlineStr">
        <is>
          <t>หมวด</t>
        </is>
      </c>
      <c r="C1" s="12" t="inlineStr">
        <is>
          <t>Handle</t>
        </is>
      </c>
      <c r="D1" s="12" t="inlineStr">
        <is>
          <t>ชื่อสินค้า</t>
        </is>
      </c>
      <c r="E1" s="12" t="inlineStr">
        <is>
          <t>แบรนด์</t>
        </is>
      </c>
      <c r="F1" s="12" t="inlineStr">
        <is>
          <t>ประเภท (ร้านกลุ่ม)</t>
        </is>
      </c>
      <c r="G1" s="12" t="inlineStr">
        <is>
          <t>SKU</t>
        </is>
      </c>
      <c r="H1" s="12" t="inlineStr">
        <is>
          <t>ตัวเลือก</t>
        </is>
      </c>
      <c r="I1" s="12" t="inlineStr">
        <is>
          <t>สต็อกบนเว็บ</t>
        </is>
      </c>
      <c r="J1" s="12" t="inlineStr">
        <is>
          <t>ราคาที่แสดงตอนนี้ (฿)</t>
        </is>
      </c>
      <c r="K1" s="12" t="inlineStr">
        <is>
          <t>ราคาในตัวเลือก</t>
        </is>
      </c>
      <c r="L1" s="12" t="inlineStr">
        <is>
          <t>ราคาร้าน SG (SGD)</t>
        </is>
      </c>
      <c r="M1" s="12" t="inlineStr">
        <is>
          <t>เทียบราคา SG</t>
        </is>
      </c>
      <c r="N1" s="12" t="inlineStr">
        <is>
          <t>ประมาณ ฿ จากราคา SG (อ้างอิง)</t>
        </is>
      </c>
      <c r="O1" s="12" t="inlineStr">
        <is>
          <t>ราคาขายไทย (฿)</t>
        </is>
      </c>
      <c r="P1" s="12" t="inlineStr">
        <is>
          <t>ราคาเต็มก่อนลด (฿)</t>
        </is>
      </c>
      <c r="Q1" s="12" t="inlineStr">
        <is>
          <t>ขายในไทย?</t>
        </is>
      </c>
      <c r="R1" s="12" t="inlineStr">
        <is>
          <t>หมายเหตุ</t>
        </is>
      </c>
      <c r="S1" s="12" t="inlineStr">
        <is>
          <t>ลิงก์</t>
        </is>
      </c>
      <c r="T1" s="9" t="inlineStr">
        <is>
          <t>ช่วยคำนวณ</t>
        </is>
      </c>
    </row>
    <row r="2">
      <c r="A2" s="1" t="n">
        <v>1</v>
      </c>
      <c r="B2" s="1" t="inlineStr">
        <is>
          <t>ไม้กอล์ฟ</t>
        </is>
      </c>
      <c r="C2" s="1" t="inlineStr">
        <is>
          <t>gf1250100182</t>
        </is>
      </c>
      <c r="D2" s="1" t="inlineStr">
        <is>
          <t>MAJESTY HER MAJESTY (2023) Women's Package Set</t>
        </is>
      </c>
      <c r="E2" s="1" t="inlineStr">
        <is>
          <t>MAJESTY</t>
        </is>
      </c>
      <c r="F2" s="1" t="inlineStr">
        <is>
          <t>PACKAGE SET</t>
        </is>
      </c>
      <c r="G2" s="1" t="inlineStr">
        <is>
          <t>GF1250100182</t>
        </is>
      </c>
      <c r="H2" s="1" t="n">
        <v>1</v>
      </c>
      <c r="I2" s="1" t="inlineStr">
        <is>
          <t>มี</t>
        </is>
      </c>
      <c r="J2" s="13" t="n">
        <v>17700</v>
      </c>
      <c r="K2" s="1" t="inlineStr"/>
      <c r="L2" s="13" t="n">
        <v>17700</v>
      </c>
      <c r="M2" s="1">
        <f>IF(L2="","ไม่พบใน SG",IF(ABS(J2-L2)&lt;0.005,"ตรงกัน","ไม่ตรง"))</f>
        <v/>
      </c>
      <c r="N2" s="14">
        <f>IF(L2="","",ROUND(L2*'สรุป'!$C$6,-1))</f>
        <v/>
      </c>
      <c r="O2" s="15" t="n"/>
      <c r="P2" s="15" t="n"/>
      <c r="Q2" s="10" t="n"/>
      <c r="R2" s="10" t="n"/>
      <c r="S2" s="16" t="inlineStr">
        <is>
          <t>https://mstgolf.co.th/products/gf1250100182</t>
        </is>
      </c>
      <c r="T2" s="1">
        <f>IF(B2="ไม้กอล์ฟ",J2,"")</f>
        <v/>
      </c>
    </row>
    <row r="3">
      <c r="A3" s="1" t="n">
        <v>1</v>
      </c>
      <c r="B3" s="1" t="inlineStr">
        <is>
          <t>ไม้กอล์ฟ</t>
        </is>
      </c>
      <c r="C3" s="1" t="inlineStr">
        <is>
          <t>gf1250100165</t>
        </is>
      </c>
      <c r="D3" s="1" t="inlineStr">
        <is>
          <t>TAYLORMADE Stealth Gloire Graphite (2023) Men's Package Set</t>
        </is>
      </c>
      <c r="E3" s="1" t="inlineStr">
        <is>
          <t>TAYLORMADE</t>
        </is>
      </c>
      <c r="F3" s="1" t="inlineStr">
        <is>
          <t>PACKAGE SET</t>
        </is>
      </c>
      <c r="G3" s="1" t="inlineStr">
        <is>
          <t>GF1250100165R</t>
        </is>
      </c>
      <c r="H3" s="1" t="n">
        <v>1</v>
      </c>
      <c r="I3" s="1" t="inlineStr">
        <is>
          <t>มี</t>
        </is>
      </c>
      <c r="J3" s="13" t="n">
        <v>5900</v>
      </c>
      <c r="K3" s="1" t="inlineStr"/>
      <c r="L3" s="13" t="n"/>
      <c r="M3" s="1">
        <f>IF(L3="","ไม่พบใน SG",IF(ABS(J3-L3)&lt;0.005,"ตรงกัน","ไม่ตรง"))</f>
        <v/>
      </c>
      <c r="N3" s="14">
        <f>IF(L3="","",ROUND(L3*'สรุป'!$C$6,-1))</f>
        <v/>
      </c>
      <c r="O3" s="15" t="n"/>
      <c r="P3" s="15" t="n"/>
      <c r="Q3" s="10" t="n"/>
      <c r="R3" s="10" t="n"/>
      <c r="S3" s="16" t="inlineStr">
        <is>
          <t>https://mstgolf.co.th/products/gf1250100165</t>
        </is>
      </c>
      <c r="T3" s="1">
        <f>IF(B3="ไม้กอล์ฟ",J3,"")</f>
        <v/>
      </c>
    </row>
    <row r="4">
      <c r="A4" s="1" t="n">
        <v>1</v>
      </c>
      <c r="B4" s="1" t="inlineStr">
        <is>
          <t>ไม้กอล์ฟ</t>
        </is>
      </c>
      <c r="C4" s="1" t="inlineStr">
        <is>
          <t>gf1210101111</t>
        </is>
      </c>
      <c r="D4" s="1" t="inlineStr">
        <is>
          <t>MAJESTY Prestigio 13 Merlion LE (2024) Men's Driver</t>
        </is>
      </c>
      <c r="E4" s="1" t="inlineStr">
        <is>
          <t>MAJESTY</t>
        </is>
      </c>
      <c r="F4" s="1" t="inlineStr">
        <is>
          <t>DRIVER</t>
        </is>
      </c>
      <c r="G4" s="1" t="inlineStr">
        <is>
          <t>GF1210101111105R</t>
        </is>
      </c>
      <c r="H4" s="1" t="n">
        <v>2</v>
      </c>
      <c r="I4" s="1" t="inlineStr">
        <is>
          <t>มี</t>
        </is>
      </c>
      <c r="J4" s="13" t="n">
        <v>2590</v>
      </c>
      <c r="K4" s="1" t="inlineStr"/>
      <c r="L4" s="13" t="n"/>
      <c r="M4" s="1">
        <f>IF(L4="","ไม่พบใน SG",IF(ABS(J4-L4)&lt;0.005,"ตรงกัน","ไม่ตรง"))</f>
        <v/>
      </c>
      <c r="N4" s="14">
        <f>IF(L4="","",ROUND(L4*'สรุป'!$C$6,-1))</f>
        <v/>
      </c>
      <c r="O4" s="15" t="n"/>
      <c r="P4" s="15" t="n"/>
      <c r="Q4" s="10" t="n"/>
      <c r="R4" s="10" t="n"/>
      <c r="S4" s="16" t="inlineStr">
        <is>
          <t>https://mstgolf.co.th/products/gf1210101111</t>
        </is>
      </c>
      <c r="T4" s="1">
        <f>IF(B4="ไม้กอล์ฟ",J4,"")</f>
        <v/>
      </c>
    </row>
    <row r="5">
      <c r="A5" s="1" t="n">
        <v>1</v>
      </c>
      <c r="B5" s="1" t="inlineStr">
        <is>
          <t>ไม้กอล์ฟ</t>
        </is>
      </c>
      <c r="C5" s="1" t="inlineStr">
        <is>
          <t>gf1250100195</t>
        </is>
      </c>
      <c r="D5" s="1" t="inlineStr">
        <is>
          <t>TAYLORMADE Kalea Gold (2024) Women's Package Set</t>
        </is>
      </c>
      <c r="E5" s="1" t="inlineStr">
        <is>
          <t>TAYLORMADE</t>
        </is>
      </c>
      <c r="F5" s="1" t="inlineStr">
        <is>
          <t>PACKAGE SET</t>
        </is>
      </c>
      <c r="G5" s="1" t="inlineStr">
        <is>
          <t>GF1250100195</t>
        </is>
      </c>
      <c r="H5" s="1" t="n">
        <v>1</v>
      </c>
      <c r="I5" s="1" t="inlineStr">
        <is>
          <t>มี</t>
        </is>
      </c>
      <c r="J5" s="13" t="n">
        <v>2590</v>
      </c>
      <c r="K5" s="1" t="inlineStr"/>
      <c r="L5" s="13" t="n">
        <v>2590</v>
      </c>
      <c r="M5" s="1">
        <f>IF(L5="","ไม่พบใน SG",IF(ABS(J5-L5)&lt;0.005,"ตรงกัน","ไม่ตรง"))</f>
        <v/>
      </c>
      <c r="N5" s="14">
        <f>IF(L5="","",ROUND(L5*'สรุป'!$C$6,-1))</f>
        <v/>
      </c>
      <c r="O5" s="15" t="n"/>
      <c r="P5" s="15" t="n"/>
      <c r="Q5" s="10" t="n"/>
      <c r="R5" s="10" t="n"/>
      <c r="S5" s="16" t="inlineStr">
        <is>
          <t>https://mstgolf.co.th/products/gf1250100195</t>
        </is>
      </c>
      <c r="T5" s="1">
        <f>IF(B5="ไม้กอล์ฟ",J5,"")</f>
        <v/>
      </c>
    </row>
    <row r="6">
      <c r="A6" s="1" t="n">
        <v>1</v>
      </c>
      <c r="B6" s="1" t="inlineStr">
        <is>
          <t>ไม้กอล์ฟ</t>
        </is>
      </c>
      <c r="C6" s="1" t="inlineStr">
        <is>
          <t>gf1280101355</t>
        </is>
      </c>
      <c r="D6" s="1" t="inlineStr">
        <is>
          <t>TAYLORMADE P790 Satin Charcoal (2025) Men's Irons</t>
        </is>
      </c>
      <c r="E6" s="1" t="inlineStr">
        <is>
          <t>TAYLORMADE</t>
        </is>
      </c>
      <c r="F6" s="1" t="inlineStr">
        <is>
          <t>SET OF IRONS</t>
        </is>
      </c>
      <c r="G6" s="1" t="inlineStr">
        <is>
          <t>GF1280101355S</t>
        </is>
      </c>
      <c r="H6" s="1" t="n">
        <v>1</v>
      </c>
      <c r="I6" s="1" t="inlineStr">
        <is>
          <t>มี</t>
        </is>
      </c>
      <c r="J6" s="13" t="n">
        <v>2150</v>
      </c>
      <c r="K6" s="1" t="inlineStr"/>
      <c r="L6" s="13" t="n">
        <v>2150</v>
      </c>
      <c r="M6" s="1">
        <f>IF(L6="","ไม่พบใน SG",IF(ABS(J6-L6)&lt;0.005,"ตรงกัน","ไม่ตรง"))</f>
        <v/>
      </c>
      <c r="N6" s="14">
        <f>IF(L6="","",ROUND(L6*'สรุป'!$C$6,-1))</f>
        <v/>
      </c>
      <c r="O6" s="15" t="n"/>
      <c r="P6" s="15" t="n"/>
      <c r="Q6" s="10" t="n"/>
      <c r="R6" s="10" t="n"/>
      <c r="S6" s="16" t="inlineStr">
        <is>
          <t>https://mstgolf.co.th/products/gf1280101355</t>
        </is>
      </c>
      <c r="T6" s="1">
        <f>IF(B6="ไม้กอล์ฟ",J6,"")</f>
        <v/>
      </c>
    </row>
    <row r="7">
      <c r="A7" s="1" t="n">
        <v>1</v>
      </c>
      <c r="B7" s="1" t="inlineStr">
        <is>
          <t>ไม้กอล์ฟ</t>
        </is>
      </c>
      <c r="C7" s="1" t="inlineStr">
        <is>
          <t>gf1280101388</t>
        </is>
      </c>
      <c r="D7" s="1" t="inlineStr">
        <is>
          <t>TITLEIST T100 (2025) Men's Irons</t>
        </is>
      </c>
      <c r="E7" s="1" t="inlineStr">
        <is>
          <t>TITLEIST</t>
        </is>
      </c>
      <c r="F7" s="1" t="inlineStr">
        <is>
          <t>SET OF IRONS</t>
        </is>
      </c>
      <c r="G7" s="1" t="inlineStr">
        <is>
          <t>GF1280101389S</t>
        </is>
      </c>
      <c r="H7" s="1" t="n">
        <v>2</v>
      </c>
      <c r="I7" s="1" t="inlineStr">
        <is>
          <t>มี</t>
        </is>
      </c>
      <c r="J7" s="13" t="n">
        <v>2059</v>
      </c>
      <c r="K7" s="1" t="inlineStr"/>
      <c r="L7" s="13" t="n">
        <v>2059</v>
      </c>
      <c r="M7" s="1">
        <f>IF(L7="","ไม่พบใน SG",IF(ABS(J7-L7)&lt;0.005,"ตรงกัน","ไม่ตรง"))</f>
        <v/>
      </c>
      <c r="N7" s="14">
        <f>IF(L7="","",ROUND(L7*'สรุป'!$C$6,-1))</f>
        <v/>
      </c>
      <c r="O7" s="15" t="n"/>
      <c r="P7" s="15" t="n"/>
      <c r="Q7" s="10" t="n"/>
      <c r="R7" s="10" t="n"/>
      <c r="S7" s="16" t="inlineStr">
        <is>
          <t>https://mstgolf.co.th/products/gf1280101388</t>
        </is>
      </c>
      <c r="T7" s="1">
        <f>IF(B7="ไม้กอล์ฟ",J7,"")</f>
        <v/>
      </c>
    </row>
    <row r="8">
      <c r="A8" s="1" t="n">
        <v>1</v>
      </c>
      <c r="B8" s="1" t="inlineStr">
        <is>
          <t>ไม้กอล์ฟ</t>
        </is>
      </c>
      <c r="C8" s="1" t="inlineStr">
        <is>
          <t>gf1280101395</t>
        </is>
      </c>
      <c r="D8" s="1" t="inlineStr">
        <is>
          <t>TITLEIST T350 (2025) Men's Irons</t>
        </is>
      </c>
      <c r="E8" s="1" t="inlineStr">
        <is>
          <t>TITLEIST</t>
        </is>
      </c>
      <c r="F8" s="1" t="inlineStr">
        <is>
          <t>SET OF IRONS</t>
        </is>
      </c>
      <c r="G8" s="1" t="inlineStr">
        <is>
          <t>GF1280101395R</t>
        </is>
      </c>
      <c r="H8" s="1" t="n">
        <v>4</v>
      </c>
      <c r="I8" s="1" t="inlineStr">
        <is>
          <t>มี</t>
        </is>
      </c>
      <c r="J8" s="13" t="n">
        <v>2059</v>
      </c>
      <c r="K8" s="1" t="inlineStr">
        <is>
          <t>ต่างกัน</t>
        </is>
      </c>
      <c r="L8" s="13" t="n">
        <v>2059</v>
      </c>
      <c r="M8" s="1">
        <f>IF(L8="","ไม่พบใน SG",IF(ABS(J8-L8)&lt;0.005,"ตรงกัน","ไม่ตรง"))</f>
        <v/>
      </c>
      <c r="N8" s="14">
        <f>IF(L8="","",ROUND(L8*'สรุป'!$C$6,-1))</f>
        <v/>
      </c>
      <c r="O8" s="15" t="n"/>
      <c r="P8" s="15" t="n"/>
      <c r="Q8" s="10" t="n"/>
      <c r="R8" s="10" t="n"/>
      <c r="S8" s="16" t="inlineStr">
        <is>
          <t>https://mstgolf.co.th/products/gf1280101395</t>
        </is>
      </c>
      <c r="T8" s="1">
        <f>IF(B8="ไม้กอล์ฟ",J8,"")</f>
        <v/>
      </c>
    </row>
    <row r="9">
      <c r="A9" s="1" t="n">
        <v>1</v>
      </c>
      <c r="B9" s="1" t="inlineStr">
        <is>
          <t>ไม้กอล์ฟ</t>
        </is>
      </c>
      <c r="C9" s="1" t="inlineStr">
        <is>
          <t>gf1250100163</t>
        </is>
      </c>
      <c r="D9" s="1" t="inlineStr">
        <is>
          <t>TAYLORMADE Kalea Navy/Light Grey (2022) Women's Package Set</t>
        </is>
      </c>
      <c r="E9" s="1" t="inlineStr">
        <is>
          <t>TAYLORMADE</t>
        </is>
      </c>
      <c r="F9" s="1" t="inlineStr">
        <is>
          <t>PACKAGE SET</t>
        </is>
      </c>
      <c r="G9" s="1" t="inlineStr">
        <is>
          <t>GF1250100163</t>
        </is>
      </c>
      <c r="H9" s="1" t="n">
        <v>1</v>
      </c>
      <c r="I9" s="1" t="inlineStr">
        <is>
          <t>มี</t>
        </is>
      </c>
      <c r="J9" s="13" t="n">
        <v>2050</v>
      </c>
      <c r="K9" s="1" t="inlineStr"/>
      <c r="L9" s="13" t="n">
        <v>2050</v>
      </c>
      <c r="M9" s="1">
        <f>IF(L9="","ไม่พบใน SG",IF(ABS(J9-L9)&lt;0.005,"ตรงกัน","ไม่ตรง"))</f>
        <v/>
      </c>
      <c r="N9" s="14">
        <f>IF(L9="","",ROUND(L9*'สรุป'!$C$6,-1))</f>
        <v/>
      </c>
      <c r="O9" s="15" t="n"/>
      <c r="P9" s="15" t="n"/>
      <c r="Q9" s="10" t="n"/>
      <c r="R9" s="10" t="n"/>
      <c r="S9" s="16" t="inlineStr">
        <is>
          <t>https://mstgolf.co.th/products/gf1250100163</t>
        </is>
      </c>
      <c r="T9" s="1">
        <f>IF(B9="ไม้กอล์ฟ",J9,"")</f>
        <v/>
      </c>
    </row>
    <row r="10">
      <c r="A10" s="1" t="n">
        <v>1</v>
      </c>
      <c r="B10" s="1" t="inlineStr">
        <is>
          <t>ไม้กอล์ฟ</t>
        </is>
      </c>
      <c r="C10" s="1" t="inlineStr">
        <is>
          <t>gf1280101221</t>
        </is>
      </c>
      <c r="D10" s="1" t="inlineStr">
        <is>
          <t>TAYLORMADE P770 (2024) Men's Irons</t>
        </is>
      </c>
      <c r="E10" s="1" t="inlineStr">
        <is>
          <t>TAYLORMADE</t>
        </is>
      </c>
      <c r="F10" s="1" t="inlineStr">
        <is>
          <t>SET OF IRONS</t>
        </is>
      </c>
      <c r="G10" s="1" t="inlineStr">
        <is>
          <t>GF1280101222S</t>
        </is>
      </c>
      <c r="H10" s="1" t="n">
        <v>3</v>
      </c>
      <c r="I10" s="1" t="inlineStr">
        <is>
          <t>มี</t>
        </is>
      </c>
      <c r="J10" s="13" t="n">
        <v>2050</v>
      </c>
      <c r="K10" s="1" t="inlineStr"/>
      <c r="L10" s="13" t="n">
        <v>2050</v>
      </c>
      <c r="M10" s="1">
        <f>IF(L10="","ไม่พบใน SG",IF(ABS(J10-L10)&lt;0.005,"ตรงกัน","ไม่ตรง"))</f>
        <v/>
      </c>
      <c r="N10" s="14">
        <f>IF(L10="","",ROUND(L10*'สรุป'!$C$6,-1))</f>
        <v/>
      </c>
      <c r="O10" s="15" t="n"/>
      <c r="P10" s="15" t="n"/>
      <c r="Q10" s="10" t="n"/>
      <c r="R10" s="10" t="n"/>
      <c r="S10" s="16" t="inlineStr">
        <is>
          <t>https://mstgolf.co.th/products/gf1280101221</t>
        </is>
      </c>
      <c r="T10" s="1">
        <f>IF(B10="ไม้กอล์ฟ",J10,"")</f>
        <v/>
      </c>
    </row>
    <row r="11">
      <c r="A11" s="1" t="n">
        <v>1</v>
      </c>
      <c r="B11" s="1" t="inlineStr">
        <is>
          <t>ไม้กอล์ฟ</t>
        </is>
      </c>
      <c r="C11" s="1" t="inlineStr">
        <is>
          <t>gf1280101304</t>
        </is>
      </c>
      <c r="D11" s="1" t="inlineStr">
        <is>
          <t>TAYLORMADE P790 (2025) Men's Irons</t>
        </is>
      </c>
      <c r="E11" s="1" t="inlineStr">
        <is>
          <t>TAYLORMADE</t>
        </is>
      </c>
      <c r="F11" s="1" t="inlineStr">
        <is>
          <t>SET OF IRONS</t>
        </is>
      </c>
      <c r="G11" s="1" t="inlineStr">
        <is>
          <t>GF1280101307S</t>
        </is>
      </c>
      <c r="H11" s="1" t="n">
        <v>5</v>
      </c>
      <c r="I11" s="1" t="inlineStr">
        <is>
          <t>มี</t>
        </is>
      </c>
      <c r="J11" s="13" t="n">
        <v>2050</v>
      </c>
      <c r="K11" s="1" t="inlineStr">
        <is>
          <t>ต่างกัน</t>
        </is>
      </c>
      <c r="L11" s="13" t="n">
        <v>2050</v>
      </c>
      <c r="M11" s="1">
        <f>IF(L11="","ไม่พบใน SG",IF(ABS(J11-L11)&lt;0.005,"ตรงกัน","ไม่ตรง"))</f>
        <v/>
      </c>
      <c r="N11" s="14">
        <f>IF(L11="","",ROUND(L11*'สรุป'!$C$6,-1))</f>
        <v/>
      </c>
      <c r="O11" s="15" t="n"/>
      <c r="P11" s="15" t="n"/>
      <c r="Q11" s="10" t="n"/>
      <c r="R11" s="10" t="n"/>
      <c r="S11" s="16" t="inlineStr">
        <is>
          <t>https://mstgolf.co.th/products/gf1280101304</t>
        </is>
      </c>
      <c r="T11" s="1">
        <f>IF(B11="ไม้กอล์ฟ",J11,"")</f>
        <v/>
      </c>
    </row>
    <row r="12">
      <c r="A12" s="1" t="n">
        <v>1</v>
      </c>
      <c r="B12" s="1" t="inlineStr">
        <is>
          <t>ไม้กอล์ฟ</t>
        </is>
      </c>
      <c r="C12" s="1" t="inlineStr">
        <is>
          <t>gf1280101223</t>
        </is>
      </c>
      <c r="D12" s="1" t="inlineStr">
        <is>
          <t>TAYLORMADE P7CB (2024) Men's Irons</t>
        </is>
      </c>
      <c r="E12" s="1" t="inlineStr">
        <is>
          <t>TAYLORMADE</t>
        </is>
      </c>
      <c r="F12" s="1" t="inlineStr">
        <is>
          <t>SET OF IRONS</t>
        </is>
      </c>
      <c r="G12" s="1" t="inlineStr">
        <is>
          <t>GF1280101223S</t>
        </is>
      </c>
      <c r="H12" s="1" t="n">
        <v>1</v>
      </c>
      <c r="I12" s="1" t="inlineStr">
        <is>
          <t>มี</t>
        </is>
      </c>
      <c r="J12" s="13" t="n">
        <v>2050</v>
      </c>
      <c r="K12" s="1" t="inlineStr"/>
      <c r="L12" s="13" t="n">
        <v>2050</v>
      </c>
      <c r="M12" s="1">
        <f>IF(L12="","ไม่พบใน SG",IF(ABS(J12-L12)&lt;0.005,"ตรงกัน","ไม่ตรง"))</f>
        <v/>
      </c>
      <c r="N12" s="14">
        <f>IF(L12="","",ROUND(L12*'สรุป'!$C$6,-1))</f>
        <v/>
      </c>
      <c r="O12" s="15" t="n"/>
      <c r="P12" s="15" t="n"/>
      <c r="Q12" s="10" t="n"/>
      <c r="R12" s="10" t="n"/>
      <c r="S12" s="16" t="inlineStr">
        <is>
          <t>https://mstgolf.co.th/products/gf1280101223</t>
        </is>
      </c>
      <c r="T12" s="1">
        <f>IF(B12="ไม้กอล์ฟ",J12,"")</f>
        <v/>
      </c>
    </row>
    <row r="13">
      <c r="A13" s="1" t="n">
        <v>1</v>
      </c>
      <c r="B13" s="1" t="inlineStr">
        <is>
          <t>ไม้กอล์ฟ</t>
        </is>
      </c>
      <c r="C13" s="1" t="inlineStr">
        <is>
          <t>gf1280101245</t>
        </is>
      </c>
      <c r="D13" s="1" t="inlineStr">
        <is>
          <t>YAMAHA Inpres DriveStar Type/D (2025) Men's Irons</t>
        </is>
      </c>
      <c r="E13" s="1" t="inlineStr">
        <is>
          <t>YAMAHA</t>
        </is>
      </c>
      <c r="F13" s="1" t="inlineStr">
        <is>
          <t>SET OF IRONS</t>
        </is>
      </c>
      <c r="G13" s="1" t="inlineStr">
        <is>
          <t>GF1280101245R</t>
        </is>
      </c>
      <c r="H13" s="1" t="n">
        <v>2</v>
      </c>
      <c r="I13" s="1" t="inlineStr">
        <is>
          <t>มี</t>
        </is>
      </c>
      <c r="J13" s="13" t="n">
        <v>2050</v>
      </c>
      <c r="K13" s="1" t="inlineStr"/>
      <c r="L13" s="13" t="n">
        <v>990</v>
      </c>
      <c r="M13" s="1">
        <f>IF(L13="","ไม่พบใน SG",IF(ABS(J13-L13)&lt;0.005,"ตรงกัน","ไม่ตรง"))</f>
        <v/>
      </c>
      <c r="N13" s="14">
        <f>IF(L13="","",ROUND(L13*'สรุป'!$C$6,-1))</f>
        <v/>
      </c>
      <c r="O13" s="15" t="n"/>
      <c r="P13" s="15" t="n"/>
      <c r="Q13" s="10" t="n"/>
      <c r="R13" s="10" t="n"/>
      <c r="S13" s="16" t="inlineStr">
        <is>
          <t>https://mstgolf.co.th/products/gf1280101245</t>
        </is>
      </c>
      <c r="T13" s="1">
        <f>IF(B13="ไม้กอล์ฟ",J13,"")</f>
        <v/>
      </c>
    </row>
    <row r="14">
      <c r="A14" s="1" t="n">
        <v>1</v>
      </c>
      <c r="B14" s="1" t="inlineStr">
        <is>
          <t>ไม้กอล์ฟ</t>
        </is>
      </c>
      <c r="C14" s="1" t="inlineStr">
        <is>
          <t>gf1280101246</t>
        </is>
      </c>
      <c r="D14" s="1" t="inlineStr">
        <is>
          <t>YAMAHA Inpres DriveStar Type/S (2025) Men's Irons</t>
        </is>
      </c>
      <c r="E14" s="1" t="inlineStr">
        <is>
          <t>YAMAHA</t>
        </is>
      </c>
      <c r="F14" s="1" t="inlineStr">
        <is>
          <t>SET OF IRONS</t>
        </is>
      </c>
      <c r="G14" s="1" t="inlineStr">
        <is>
          <t>GF1280101246S</t>
        </is>
      </c>
      <c r="H14" s="1" t="n">
        <v>1</v>
      </c>
      <c r="I14" s="1" t="inlineStr">
        <is>
          <t>มี</t>
        </is>
      </c>
      <c r="J14" s="13" t="n">
        <v>2050</v>
      </c>
      <c r="K14" s="1" t="inlineStr"/>
      <c r="L14" s="13" t="n">
        <v>990</v>
      </c>
      <c r="M14" s="1">
        <f>IF(L14="","ไม่พบใน SG",IF(ABS(J14-L14)&lt;0.005,"ตรงกัน","ไม่ตรง"))</f>
        <v/>
      </c>
      <c r="N14" s="14">
        <f>IF(L14="","",ROUND(L14*'สรุป'!$C$6,-1))</f>
        <v/>
      </c>
      <c r="O14" s="15" t="n"/>
      <c r="P14" s="15" t="n"/>
      <c r="Q14" s="10" t="n"/>
      <c r="R14" s="10" t="n"/>
      <c r="S14" s="16" t="inlineStr">
        <is>
          <t>https://mstgolf.co.th/products/gf1280101246</t>
        </is>
      </c>
      <c r="T14" s="1">
        <f>IF(B14="ไม้กอล์ฟ",J14,"")</f>
        <v/>
      </c>
    </row>
    <row r="15">
      <c r="A15" s="1" t="n">
        <v>1</v>
      </c>
      <c r="B15" s="1" t="inlineStr">
        <is>
          <t>ไม้กอล์ฟ</t>
        </is>
      </c>
      <c r="C15" s="1" t="inlineStr">
        <is>
          <t>gf1280101158</t>
        </is>
      </c>
      <c r="D15" s="1" t="inlineStr">
        <is>
          <t>PING Blueprint S (2024) Men's Irons</t>
        </is>
      </c>
      <c r="E15" s="1" t="inlineStr">
        <is>
          <t>PING</t>
        </is>
      </c>
      <c r="F15" s="1" t="inlineStr">
        <is>
          <t>SET OF IRONS</t>
        </is>
      </c>
      <c r="G15" s="1" t="inlineStr">
        <is>
          <t>GF1280101158S</t>
        </is>
      </c>
      <c r="H15" s="1" t="n">
        <v>1</v>
      </c>
      <c r="I15" s="1" t="inlineStr">
        <is>
          <t>มี</t>
        </is>
      </c>
      <c r="J15" s="13" t="n">
        <v>1930</v>
      </c>
      <c r="K15" s="1" t="inlineStr"/>
      <c r="L15" s="13" t="n">
        <v>1930</v>
      </c>
      <c r="M15" s="1">
        <f>IF(L15="","ไม่พบใน SG",IF(ABS(J15-L15)&lt;0.005,"ตรงกัน","ไม่ตรง"))</f>
        <v/>
      </c>
      <c r="N15" s="14">
        <f>IF(L15="","",ROUND(L15*'สรุป'!$C$6,-1))</f>
        <v/>
      </c>
      <c r="O15" s="15" t="n"/>
      <c r="P15" s="15" t="n"/>
      <c r="Q15" s="10" t="n"/>
      <c r="R15" s="10" t="n"/>
      <c r="S15" s="16" t="inlineStr">
        <is>
          <t>https://mstgolf.co.th/products/gf1280101158</t>
        </is>
      </c>
      <c r="T15" s="1">
        <f>IF(B15="ไม้กอล์ฟ",J15,"")</f>
        <v/>
      </c>
    </row>
    <row r="16">
      <c r="A16" s="1" t="n">
        <v>1</v>
      </c>
      <c r="B16" s="1" t="inlineStr">
        <is>
          <t>ไม้กอล์ฟ</t>
        </is>
      </c>
      <c r="C16" s="1" t="inlineStr">
        <is>
          <t>gf1280101159</t>
        </is>
      </c>
      <c r="D16" s="1" t="inlineStr">
        <is>
          <t>PING Blueprint T (2024) Men's Irons</t>
        </is>
      </c>
      <c r="E16" s="1" t="inlineStr">
        <is>
          <t>PING</t>
        </is>
      </c>
      <c r="F16" s="1" t="inlineStr">
        <is>
          <t>SET OF IRONS</t>
        </is>
      </c>
      <c r="G16" s="1" t="inlineStr">
        <is>
          <t>GF1280101159S</t>
        </is>
      </c>
      <c r="H16" s="1" t="n">
        <v>1</v>
      </c>
      <c r="I16" s="1" t="inlineStr">
        <is>
          <t>มี</t>
        </is>
      </c>
      <c r="J16" s="13" t="n">
        <v>1930</v>
      </c>
      <c r="K16" s="1" t="inlineStr"/>
      <c r="L16" s="13" t="n">
        <v>1930</v>
      </c>
      <c r="M16" s="1">
        <f>IF(L16="","ไม่พบใน SG",IF(ABS(J16-L16)&lt;0.005,"ตรงกัน","ไม่ตรง"))</f>
        <v/>
      </c>
      <c r="N16" s="14">
        <f>IF(L16="","",ROUND(L16*'สรุป'!$C$6,-1))</f>
        <v/>
      </c>
      <c r="O16" s="15" t="n"/>
      <c r="P16" s="15" t="n"/>
      <c r="Q16" s="10" t="n"/>
      <c r="R16" s="10" t="n"/>
      <c r="S16" s="16" t="inlineStr">
        <is>
          <t>https://mstgolf.co.th/products/gf1280101159</t>
        </is>
      </c>
      <c r="T16" s="1">
        <f>IF(B16="ไม้กอล์ฟ",J16,"")</f>
        <v/>
      </c>
    </row>
    <row r="17">
      <c r="A17" s="1" t="n">
        <v>1</v>
      </c>
      <c r="B17" s="1" t="inlineStr">
        <is>
          <t>ไม้กอล์ฟ</t>
        </is>
      </c>
      <c r="C17" s="1" t="inlineStr">
        <is>
          <t>gf1280101381</t>
        </is>
      </c>
      <c r="D17" s="1" t="inlineStr">
        <is>
          <t>MIZUNO Pro M-15 (2026) Men's Irons</t>
        </is>
      </c>
      <c r="E17" s="1" t="inlineStr">
        <is>
          <t>MIZUNO</t>
        </is>
      </c>
      <c r="F17" s="1" t="inlineStr">
        <is>
          <t>SET OF IRONS</t>
        </is>
      </c>
      <c r="G17" s="1" t="inlineStr">
        <is>
          <t>GF1280101381S</t>
        </is>
      </c>
      <c r="H17" s="1" t="n">
        <v>2</v>
      </c>
      <c r="I17" s="1" t="inlineStr">
        <is>
          <t>มี</t>
        </is>
      </c>
      <c r="J17" s="13" t="n">
        <v>1870</v>
      </c>
      <c r="K17" s="1" t="inlineStr"/>
      <c r="L17" s="13" t="n">
        <v>1870</v>
      </c>
      <c r="M17" s="1">
        <f>IF(L17="","ไม่พบใน SG",IF(ABS(J17-L17)&lt;0.005,"ตรงกัน","ไม่ตรง"))</f>
        <v/>
      </c>
      <c r="N17" s="14">
        <f>IF(L17="","",ROUND(L17*'สรุป'!$C$6,-1))</f>
        <v/>
      </c>
      <c r="O17" s="15" t="n"/>
      <c r="P17" s="15" t="n"/>
      <c r="Q17" s="10" t="n"/>
      <c r="R17" s="10" t="n"/>
      <c r="S17" s="16" t="inlineStr">
        <is>
          <t>https://mstgolf.co.th/products/gf1280101381</t>
        </is>
      </c>
      <c r="T17" s="1">
        <f>IF(B17="ไม้กอล์ฟ",J17,"")</f>
        <v/>
      </c>
    </row>
    <row r="18">
      <c r="A18" s="1" t="n">
        <v>1</v>
      </c>
      <c r="B18" s="1" t="inlineStr">
        <is>
          <t>ไม้กอล์ฟ</t>
        </is>
      </c>
      <c r="C18" s="1" t="inlineStr">
        <is>
          <t>gf1250100218</t>
        </is>
      </c>
      <c r="D18" s="1" t="inlineStr">
        <is>
          <t>TAYLORMADE RBZ (2025) Graphite Men's Package Set</t>
        </is>
      </c>
      <c r="E18" s="1" t="inlineStr">
        <is>
          <t>TAYLORMADE</t>
        </is>
      </c>
      <c r="F18" s="1" t="inlineStr">
        <is>
          <t>PACKAGE SET</t>
        </is>
      </c>
      <c r="G18" s="1" t="inlineStr">
        <is>
          <t>GF1250100218R</t>
        </is>
      </c>
      <c r="H18" s="1" t="n">
        <v>1</v>
      </c>
      <c r="I18" s="1" t="inlineStr">
        <is>
          <t>มี</t>
        </is>
      </c>
      <c r="J18" s="13" t="n">
        <v>1850</v>
      </c>
      <c r="K18" s="1" t="inlineStr"/>
      <c r="L18" s="13" t="n">
        <v>1850</v>
      </c>
      <c r="M18" s="1">
        <f>IF(L18="","ไม่พบใน SG",IF(ABS(J18-L18)&lt;0.005,"ตรงกัน","ไม่ตรง"))</f>
        <v/>
      </c>
      <c r="N18" s="14">
        <f>IF(L18="","",ROUND(L18*'สรุป'!$C$6,-1))</f>
        <v/>
      </c>
      <c r="O18" s="15" t="n"/>
      <c r="P18" s="15" t="n"/>
      <c r="Q18" s="10" t="n"/>
      <c r="R18" s="10" t="n"/>
      <c r="S18" s="16" t="inlineStr">
        <is>
          <t>https://mstgolf.co.th/products/gf1250100218</t>
        </is>
      </c>
      <c r="T18" s="1">
        <f>IF(B18="ไม้กอล์ฟ",J18,"")</f>
        <v/>
      </c>
    </row>
    <row r="19">
      <c r="A19" s="1" t="n">
        <v>1</v>
      </c>
      <c r="B19" s="1" t="inlineStr">
        <is>
          <t>ไม้กอล์ฟ</t>
        </is>
      </c>
      <c r="C19" s="1" t="inlineStr">
        <is>
          <t>gf1280101156</t>
        </is>
      </c>
      <c r="D19" s="1" t="inlineStr">
        <is>
          <t>PING I530 (2024) Men's Irons</t>
        </is>
      </c>
      <c r="E19" s="1" t="inlineStr">
        <is>
          <t>PING</t>
        </is>
      </c>
      <c r="F19" s="1" t="inlineStr">
        <is>
          <t>SET OF IRONS</t>
        </is>
      </c>
      <c r="G19" s="1" t="inlineStr">
        <is>
          <t>GF1280101157S</t>
        </is>
      </c>
      <c r="H19" s="1" t="n">
        <v>3</v>
      </c>
      <c r="I19" s="1" t="inlineStr">
        <is>
          <t>มี</t>
        </is>
      </c>
      <c r="J19" s="13" t="n">
        <v>1790</v>
      </c>
      <c r="K19" s="1" t="inlineStr">
        <is>
          <t>ต่างกัน</t>
        </is>
      </c>
      <c r="L19" s="13" t="n">
        <v>1450</v>
      </c>
      <c r="M19" s="1">
        <f>IF(L19="","ไม่พบใน SG",IF(ABS(J19-L19)&lt;0.005,"ตรงกัน","ไม่ตรง"))</f>
        <v/>
      </c>
      <c r="N19" s="14">
        <f>IF(L19="","",ROUND(L19*'สรุป'!$C$6,-1))</f>
        <v/>
      </c>
      <c r="O19" s="15" t="n"/>
      <c r="P19" s="15" t="n"/>
      <c r="Q19" s="10" t="n"/>
      <c r="R19" s="10" t="n"/>
      <c r="S19" s="16" t="inlineStr">
        <is>
          <t>https://mstgolf.co.th/products/gf1280101156</t>
        </is>
      </c>
      <c r="T19" s="1">
        <f>IF(B19="ไม้กอล์ฟ",J19,"")</f>
        <v/>
      </c>
    </row>
    <row r="20">
      <c r="A20" s="1" t="n">
        <v>1</v>
      </c>
      <c r="B20" s="1" t="inlineStr">
        <is>
          <t>ไม้กอล์ฟ</t>
        </is>
      </c>
      <c r="C20" s="1" t="inlineStr">
        <is>
          <t>gf1280101281</t>
        </is>
      </c>
      <c r="D20" s="1" t="inlineStr">
        <is>
          <t>ONOFF LP425I (2025) Women's Irons</t>
        </is>
      </c>
      <c r="E20" s="1" t="inlineStr">
        <is>
          <t>ONOFF</t>
        </is>
      </c>
      <c r="F20" s="1" t="inlineStr">
        <is>
          <t>SET OF IRONS</t>
        </is>
      </c>
      <c r="G20" s="1" t="inlineStr">
        <is>
          <t>GF1280101282L</t>
        </is>
      </c>
      <c r="H20" s="1" t="n">
        <v>4</v>
      </c>
      <c r="I20" s="1" t="inlineStr">
        <is>
          <t>มี</t>
        </is>
      </c>
      <c r="J20" s="13" t="n">
        <v>1750</v>
      </c>
      <c r="K20" s="1" t="inlineStr"/>
      <c r="L20" s="13" t="n">
        <v>1750</v>
      </c>
      <c r="M20" s="1">
        <f>IF(L20="","ไม่พบใน SG",IF(ABS(J20-L20)&lt;0.005,"ตรงกัน","ไม่ตรง"))</f>
        <v/>
      </c>
      <c r="N20" s="14">
        <f>IF(L20="","",ROUND(L20*'สรุป'!$C$6,-1))</f>
        <v/>
      </c>
      <c r="O20" s="15" t="n"/>
      <c r="P20" s="15" t="n"/>
      <c r="Q20" s="10" t="n"/>
      <c r="R20" s="10" t="n"/>
      <c r="S20" s="16" t="inlineStr">
        <is>
          <t>https://mstgolf.co.th/products/gf1280101281</t>
        </is>
      </c>
      <c r="T20" s="1">
        <f>IF(B20="ไม้กอล์ฟ",J20,"")</f>
        <v/>
      </c>
    </row>
    <row r="21">
      <c r="A21" s="1" t="n">
        <v>1</v>
      </c>
      <c r="B21" s="1" t="inlineStr">
        <is>
          <t>ไม้กอล์ฟ</t>
        </is>
      </c>
      <c r="C21" s="1" t="inlineStr">
        <is>
          <t>gf1280101284</t>
        </is>
      </c>
      <c r="D21" s="1" t="inlineStr">
        <is>
          <t>ONOFF LP425I Green (2025) Women's Irons</t>
        </is>
      </c>
      <c r="E21" s="1" t="inlineStr">
        <is>
          <t>ONOFF</t>
        </is>
      </c>
      <c r="F21" s="1" t="inlineStr">
        <is>
          <t>SET OF IRONS</t>
        </is>
      </c>
      <c r="G21" s="1" t="inlineStr">
        <is>
          <t>GF1280101284L</t>
        </is>
      </c>
      <c r="H21" s="1" t="n">
        <v>1</v>
      </c>
      <c r="I21" s="1" t="inlineStr">
        <is>
          <t>มี</t>
        </is>
      </c>
      <c r="J21" s="13" t="n">
        <v>1750</v>
      </c>
      <c r="K21" s="1" t="inlineStr"/>
      <c r="L21" s="13" t="n">
        <v>1750</v>
      </c>
      <c r="M21" s="1">
        <f>IF(L21="","ไม่พบใน SG",IF(ABS(J21-L21)&lt;0.005,"ตรงกัน","ไม่ตรง"))</f>
        <v/>
      </c>
      <c r="N21" s="14">
        <f>IF(L21="","",ROUND(L21*'สรุป'!$C$6,-1))</f>
        <v/>
      </c>
      <c r="O21" s="15" t="n"/>
      <c r="P21" s="15" t="n"/>
      <c r="Q21" s="10" t="n"/>
      <c r="R21" s="10" t="n"/>
      <c r="S21" s="16" t="inlineStr">
        <is>
          <t>https://mstgolf.co.th/products/gf1280101284</t>
        </is>
      </c>
      <c r="T21" s="1">
        <f>IF(B21="ไม้กอล์ฟ",J21,"")</f>
        <v/>
      </c>
    </row>
    <row r="22">
      <c r="A22" s="1" t="n">
        <v>1</v>
      </c>
      <c r="B22" s="1" t="inlineStr">
        <is>
          <t>ไม้กอล์ฟ</t>
        </is>
      </c>
      <c r="C22" s="1" t="inlineStr">
        <is>
          <t>gf1280101283</t>
        </is>
      </c>
      <c r="D22" s="1" t="inlineStr">
        <is>
          <t>ONOFF LP425I Pink (2025) Women's Irons</t>
        </is>
      </c>
      <c r="E22" s="1" t="inlineStr">
        <is>
          <t>ONOFF</t>
        </is>
      </c>
      <c r="F22" s="1" t="inlineStr">
        <is>
          <t>SET OF IRONS</t>
        </is>
      </c>
      <c r="G22" s="1" t="inlineStr">
        <is>
          <t>GF1280101283L</t>
        </is>
      </c>
      <c r="H22" s="1" t="n">
        <v>1</v>
      </c>
      <c r="I22" s="1" t="inlineStr">
        <is>
          <t>มี</t>
        </is>
      </c>
      <c r="J22" s="13" t="n">
        <v>1750</v>
      </c>
      <c r="K22" s="1" t="inlineStr"/>
      <c r="L22" s="13" t="n">
        <v>1750</v>
      </c>
      <c r="M22" s="1">
        <f>IF(L22="","ไม่พบใน SG",IF(ABS(J22-L22)&lt;0.005,"ตรงกัน","ไม่ตรง"))</f>
        <v/>
      </c>
      <c r="N22" s="14">
        <f>IF(L22="","",ROUND(L22*'สรุป'!$C$6,-1))</f>
        <v/>
      </c>
      <c r="O22" s="15" t="n"/>
      <c r="P22" s="15" t="n"/>
      <c r="Q22" s="10" t="n"/>
      <c r="R22" s="10" t="n"/>
      <c r="S22" s="16" t="inlineStr">
        <is>
          <t>https://mstgolf.co.th/products/gf1280101283</t>
        </is>
      </c>
      <c r="T22" s="1">
        <f>IF(B22="ไม้กอล์ฟ",J22,"")</f>
        <v/>
      </c>
    </row>
    <row r="23">
      <c r="A23" s="1" t="n">
        <v>1</v>
      </c>
      <c r="B23" s="1" t="inlineStr">
        <is>
          <t>ไม้กอล์ฟ</t>
        </is>
      </c>
      <c r="C23" s="1" t="inlineStr">
        <is>
          <t>gf1280101247</t>
        </is>
      </c>
      <c r="D23" s="1" t="inlineStr">
        <is>
          <t>YAMAHA Inpres DriveStar (2025) Women's Irons</t>
        </is>
      </c>
      <c r="E23" s="1" t="inlineStr">
        <is>
          <t>YAMAHA</t>
        </is>
      </c>
      <c r="F23" s="1" t="inlineStr">
        <is>
          <t>SET OF IRONS</t>
        </is>
      </c>
      <c r="G23" s="1" t="inlineStr">
        <is>
          <t>GF1280101247L</t>
        </is>
      </c>
      <c r="H23" s="1" t="n">
        <v>1</v>
      </c>
      <c r="I23" s="1" t="inlineStr">
        <is>
          <t>มี</t>
        </is>
      </c>
      <c r="J23" s="13" t="n">
        <v>1750</v>
      </c>
      <c r="K23" s="1" t="inlineStr"/>
      <c r="L23" s="13" t="n">
        <v>850</v>
      </c>
      <c r="M23" s="1">
        <f>IF(L23="","ไม่พบใน SG",IF(ABS(J23-L23)&lt;0.005,"ตรงกัน","ไม่ตรง"))</f>
        <v/>
      </c>
      <c r="N23" s="14">
        <f>IF(L23="","",ROUND(L23*'สรุป'!$C$6,-1))</f>
        <v/>
      </c>
      <c r="O23" s="15" t="n"/>
      <c r="P23" s="15" t="n"/>
      <c r="Q23" s="10" t="n"/>
      <c r="R23" s="10" t="n"/>
      <c r="S23" s="16" t="inlineStr">
        <is>
          <t>https://mstgolf.co.th/products/gf1280101247</t>
        </is>
      </c>
      <c r="T23" s="1">
        <f>IF(B23="ไม้กอล์ฟ",J23,"")</f>
        <v/>
      </c>
    </row>
    <row r="24">
      <c r="A24" s="1" t="n">
        <v>1</v>
      </c>
      <c r="B24" s="1" t="inlineStr">
        <is>
          <t>ไม้กอล์ฟ</t>
        </is>
      </c>
      <c r="C24" s="1" t="inlineStr">
        <is>
          <t>gf1280101160</t>
        </is>
      </c>
      <c r="D24" s="1" t="inlineStr">
        <is>
          <t>PING G730 (2024) Men's Irons</t>
        </is>
      </c>
      <c r="E24" s="1" t="inlineStr">
        <is>
          <t>PING</t>
        </is>
      </c>
      <c r="F24" s="1" t="inlineStr">
        <is>
          <t>SET OF IRONS</t>
        </is>
      </c>
      <c r="G24" s="1" t="inlineStr">
        <is>
          <t>GF1280101161R</t>
        </is>
      </c>
      <c r="H24" s="1" t="n">
        <v>2</v>
      </c>
      <c r="I24" s="1" t="inlineStr">
        <is>
          <t>มี</t>
        </is>
      </c>
      <c r="J24" s="13" t="n">
        <v>1690</v>
      </c>
      <c r="K24" s="1" t="inlineStr">
        <is>
          <t>ต่างกัน</t>
        </is>
      </c>
      <c r="L24" s="13" t="n">
        <v>1690</v>
      </c>
      <c r="M24" s="1">
        <f>IF(L24="","ไม่พบใน SG",IF(ABS(J24-L24)&lt;0.005,"ตรงกัน","ไม่ตรง"))</f>
        <v/>
      </c>
      <c r="N24" s="14">
        <f>IF(L24="","",ROUND(L24*'สรุป'!$C$6,-1))</f>
        <v/>
      </c>
      <c r="O24" s="15" t="n"/>
      <c r="P24" s="15" t="n"/>
      <c r="Q24" s="10" t="n"/>
      <c r="R24" s="10" t="n"/>
      <c r="S24" s="16" t="inlineStr">
        <is>
          <t>https://mstgolf.co.th/products/gf1280101160</t>
        </is>
      </c>
      <c r="T24" s="1">
        <f>IF(B24="ไม้กอล์ฟ",J24,"")</f>
        <v/>
      </c>
    </row>
    <row r="25">
      <c r="A25" s="1" t="n">
        <v>1</v>
      </c>
      <c r="B25" s="1" t="inlineStr">
        <is>
          <t>ไม้กอล์ฟ</t>
        </is>
      </c>
      <c r="C25" s="1" t="inlineStr">
        <is>
          <t>gf1250100219</t>
        </is>
      </c>
      <c r="D25" s="1" t="inlineStr">
        <is>
          <t>TAYLORMADE RBZ (2025) Steel Men's Package Set</t>
        </is>
      </c>
      <c r="E25" s="1" t="inlineStr">
        <is>
          <t>TAYLORMADE</t>
        </is>
      </c>
      <c r="F25" s="1" t="inlineStr">
        <is>
          <t>PACKAGE SET</t>
        </is>
      </c>
      <c r="G25" s="1" t="inlineStr">
        <is>
          <t>GF1250100219R</t>
        </is>
      </c>
      <c r="H25" s="1" t="n">
        <v>1</v>
      </c>
      <c r="I25" s="1" t="inlineStr">
        <is>
          <t>มี</t>
        </is>
      </c>
      <c r="J25" s="13" t="n">
        <v>1690</v>
      </c>
      <c r="K25" s="1" t="inlineStr"/>
      <c r="L25" s="13" t="n">
        <v>1690</v>
      </c>
      <c r="M25" s="1">
        <f>IF(L25="","ไม่พบใน SG",IF(ABS(J25-L25)&lt;0.005,"ตรงกัน","ไม่ตรง"))</f>
        <v/>
      </c>
      <c r="N25" s="14">
        <f>IF(L25="","",ROUND(L25*'สรุป'!$C$6,-1))</f>
        <v/>
      </c>
      <c r="O25" s="15" t="n"/>
      <c r="P25" s="15" t="n"/>
      <c r="Q25" s="10" t="n"/>
      <c r="R25" s="10" t="n"/>
      <c r="S25" s="16" t="inlineStr">
        <is>
          <t>https://mstgolf.co.th/products/gf1250100219</t>
        </is>
      </c>
      <c r="T25" s="1">
        <f>IF(B25="ไม้กอล์ฟ",J25,"")</f>
        <v/>
      </c>
    </row>
    <row r="26">
      <c r="A26" s="1" t="n">
        <v>1</v>
      </c>
      <c r="B26" s="1" t="inlineStr">
        <is>
          <t>ไม้กอล์ฟ</t>
        </is>
      </c>
      <c r="C26" s="1" t="inlineStr">
        <is>
          <t>gf1280101105</t>
        </is>
      </c>
      <c r="D26" s="1" t="inlineStr">
        <is>
          <t>YAMAHA RMX VD/X (2024) Men's Irons (8 Clubs)</t>
        </is>
      </c>
      <c r="E26" s="1" t="inlineStr">
        <is>
          <t>YAMAHA</t>
        </is>
      </c>
      <c r="F26" s="1" t="inlineStr">
        <is>
          <t>SET OF IRONS</t>
        </is>
      </c>
      <c r="G26" s="1" t="inlineStr">
        <is>
          <t>GF1280101106SR</t>
        </is>
      </c>
      <c r="H26" s="1" t="n">
        <v>4</v>
      </c>
      <c r="I26" s="1" t="inlineStr">
        <is>
          <t>มี</t>
        </is>
      </c>
      <c r="J26" s="13" t="n">
        <v>1650</v>
      </c>
      <c r="K26" s="1" t="inlineStr">
        <is>
          <t>ต่างกัน</t>
        </is>
      </c>
      <c r="L26" s="13" t="n">
        <v>825</v>
      </c>
      <c r="M26" s="1">
        <f>IF(L26="","ไม่พบใน SG",IF(ABS(J26-L26)&lt;0.005,"ตรงกัน","ไม่ตรง"))</f>
        <v/>
      </c>
      <c r="N26" s="14">
        <f>IF(L26="","",ROUND(L26*'สรุป'!$C$6,-1))</f>
        <v/>
      </c>
      <c r="O26" s="15" t="n"/>
      <c r="P26" s="15" t="n"/>
      <c r="Q26" s="10" t="n"/>
      <c r="R26" s="10" t="n"/>
      <c r="S26" s="16" t="inlineStr">
        <is>
          <t>https://mstgolf.co.th/products/gf1280101105</t>
        </is>
      </c>
      <c r="T26" s="1">
        <f>IF(B26="ไม้กอล์ฟ",J26,"")</f>
        <v/>
      </c>
    </row>
    <row r="27">
      <c r="A27" s="1" t="n">
        <v>1</v>
      </c>
      <c r="B27" s="1" t="inlineStr">
        <is>
          <t>ไม้กอล์ฟ</t>
        </is>
      </c>
      <c r="C27" s="1" t="inlineStr">
        <is>
          <t>gf1280101131</t>
        </is>
      </c>
      <c r="D27" s="1" t="inlineStr">
        <is>
          <t>CALLAWAY Apex Pro (2024) Men's Irons</t>
        </is>
      </c>
      <c r="E27" s="1" t="inlineStr">
        <is>
          <t>CALLAWAY</t>
        </is>
      </c>
      <c r="F27" s="1" t="inlineStr">
        <is>
          <t>SET OF IRONS</t>
        </is>
      </c>
      <c r="G27" s="1" t="inlineStr">
        <is>
          <t>GF1280101131S</t>
        </is>
      </c>
      <c r="H27" s="1" t="n">
        <v>1</v>
      </c>
      <c r="I27" s="1" t="inlineStr">
        <is>
          <t>มี</t>
        </is>
      </c>
      <c r="J27" s="13" t="n">
        <v>1647</v>
      </c>
      <c r="K27" s="1" t="inlineStr"/>
      <c r="L27" s="13" t="n">
        <v>1647</v>
      </c>
      <c r="M27" s="1">
        <f>IF(L27="","ไม่พบใน SG",IF(ABS(J27-L27)&lt;0.005,"ตรงกัน","ไม่ตรง"))</f>
        <v/>
      </c>
      <c r="N27" s="14">
        <f>IF(L27="","",ROUND(L27*'สรุป'!$C$6,-1))</f>
        <v/>
      </c>
      <c r="O27" s="15" t="n"/>
      <c r="P27" s="15" t="n"/>
      <c r="Q27" s="10" t="n"/>
      <c r="R27" s="10" t="n"/>
      <c r="S27" s="16" t="inlineStr">
        <is>
          <t>https://mstgolf.co.th/products/gf1280101131</t>
        </is>
      </c>
      <c r="T27" s="1">
        <f>IF(B27="ไม้กอล์ฟ",J27,"")</f>
        <v/>
      </c>
    </row>
    <row r="28">
      <c r="A28" s="1" t="n">
        <v>1</v>
      </c>
      <c r="B28" s="1" t="inlineStr">
        <is>
          <t>ไม้กอล์ฟ</t>
        </is>
      </c>
      <c r="C28" s="1" t="inlineStr">
        <is>
          <t>gf1280100966</t>
        </is>
      </c>
      <c r="D28" s="1" t="inlineStr">
        <is>
          <t>MARUMAN SG M230 (2023) Women's Irons</t>
        </is>
      </c>
      <c r="E28" s="1" t="inlineStr">
        <is>
          <t>MARUMAN</t>
        </is>
      </c>
      <c r="F28" s="1" t="inlineStr">
        <is>
          <t>SET OF IRONS</t>
        </is>
      </c>
      <c r="G28" s="1" t="inlineStr">
        <is>
          <t>GF1280100966L</t>
        </is>
      </c>
      <c r="H28" s="1" t="n">
        <v>1</v>
      </c>
      <c r="I28" s="1" t="inlineStr">
        <is>
          <t>มี</t>
        </is>
      </c>
      <c r="J28" s="13" t="n">
        <v>1590</v>
      </c>
      <c r="K28" s="1" t="inlineStr"/>
      <c r="L28" s="13" t="n">
        <v>1590</v>
      </c>
      <c r="M28" s="1">
        <f>IF(L28="","ไม่พบใน SG",IF(ABS(J28-L28)&lt;0.005,"ตรงกัน","ไม่ตรง"))</f>
        <v/>
      </c>
      <c r="N28" s="14">
        <f>IF(L28="","",ROUND(L28*'สรุป'!$C$6,-1))</f>
        <v/>
      </c>
      <c r="O28" s="15" t="n"/>
      <c r="P28" s="15" t="n"/>
      <c r="Q28" s="10" t="n"/>
      <c r="R28" s="10" t="n"/>
      <c r="S28" s="16" t="inlineStr">
        <is>
          <t>https://mstgolf.co.th/products/gf1280100966</t>
        </is>
      </c>
      <c r="T28" s="1">
        <f>IF(B28="ไม้กอล์ฟ",J28,"")</f>
        <v/>
      </c>
    </row>
    <row r="29">
      <c r="A29" s="1" t="n">
        <v>1</v>
      </c>
      <c r="B29" s="1" t="inlineStr">
        <is>
          <t>ไม้กอล์ฟ</t>
        </is>
      </c>
      <c r="C29" s="1" t="inlineStr">
        <is>
          <t>gf1280101300</t>
        </is>
      </c>
      <c r="D29" s="1" t="inlineStr">
        <is>
          <t>PING G440 HL (2025) Men's Irons</t>
        </is>
      </c>
      <c r="E29" s="1" t="inlineStr">
        <is>
          <t>PING</t>
        </is>
      </c>
      <c r="F29" s="1" t="inlineStr">
        <is>
          <t>SET OF IRONS</t>
        </is>
      </c>
      <c r="G29" s="1" t="inlineStr">
        <is>
          <t>GF1280101300</t>
        </is>
      </c>
      <c r="H29" s="1" t="n">
        <v>1</v>
      </c>
      <c r="I29" s="1" t="inlineStr">
        <is>
          <t>มี</t>
        </is>
      </c>
      <c r="J29" s="13" t="n">
        <v>1590</v>
      </c>
      <c r="K29" s="1" t="inlineStr"/>
      <c r="L29" s="13" t="n"/>
      <c r="M29" s="1">
        <f>IF(L29="","ไม่พบใน SG",IF(ABS(J29-L29)&lt;0.005,"ตรงกัน","ไม่ตรง"))</f>
        <v/>
      </c>
      <c r="N29" s="14">
        <f>IF(L29="","",ROUND(L29*'สรุป'!$C$6,-1))</f>
        <v/>
      </c>
      <c r="O29" s="15" t="n"/>
      <c r="P29" s="15" t="n"/>
      <c r="Q29" s="10" t="n"/>
      <c r="R29" s="10" t="n"/>
      <c r="S29" s="16" t="inlineStr">
        <is>
          <t>https://mstgolf.co.th/products/gf1280101300</t>
        </is>
      </c>
      <c r="T29" s="1">
        <f>IF(B29="ไม้กอล์ฟ",J29,"")</f>
        <v/>
      </c>
    </row>
    <row r="30">
      <c r="A30" s="1" t="n">
        <v>1</v>
      </c>
      <c r="B30" s="1" t="inlineStr">
        <is>
          <t>ไม้กอล์ฟ</t>
        </is>
      </c>
      <c r="C30" s="1" t="inlineStr">
        <is>
          <t>gf1280101420</t>
        </is>
      </c>
      <c r="D30" s="1" t="inlineStr">
        <is>
          <t>TAYLORMADE Qi Max (2026) Men's Irons</t>
        </is>
      </c>
      <c r="E30" s="1" t="inlineStr">
        <is>
          <t>TAYLORMADE</t>
        </is>
      </c>
      <c r="F30" s="1" t="inlineStr">
        <is>
          <t>SET OF IRONS</t>
        </is>
      </c>
      <c r="G30" s="1" t="inlineStr">
        <is>
          <t>GF1280101423R</t>
        </is>
      </c>
      <c r="H30" s="1" t="n">
        <v>6</v>
      </c>
      <c r="I30" s="1" t="inlineStr">
        <is>
          <t>มี</t>
        </is>
      </c>
      <c r="J30" s="13" t="n">
        <v>1590</v>
      </c>
      <c r="K30" s="1" t="inlineStr">
        <is>
          <t>ต่างกัน</t>
        </is>
      </c>
      <c r="L30" s="13" t="n">
        <v>1590</v>
      </c>
      <c r="M30" s="1">
        <f>IF(L30="","ไม่พบใน SG",IF(ABS(J30-L30)&lt;0.005,"ตรงกัน","ไม่ตรง"))</f>
        <v/>
      </c>
      <c r="N30" s="14">
        <f>IF(L30="","",ROUND(L30*'สรุป'!$C$6,-1))</f>
        <v/>
      </c>
      <c r="O30" s="15" t="n"/>
      <c r="P30" s="15" t="n"/>
      <c r="Q30" s="10" t="n"/>
      <c r="R30" s="10" t="n"/>
      <c r="S30" s="16" t="inlineStr">
        <is>
          <t>https://mstgolf.co.th/products/gf1280101420</t>
        </is>
      </c>
      <c r="T30" s="1">
        <f>IF(B30="ไม้กอล์ฟ",J30,"")</f>
        <v/>
      </c>
    </row>
    <row r="31">
      <c r="A31" s="1" t="n">
        <v>1</v>
      </c>
      <c r="B31" s="1" t="inlineStr">
        <is>
          <t>ไม้กอล์ฟ</t>
        </is>
      </c>
      <c r="C31" s="1" t="inlineStr">
        <is>
          <t>gf1280101237</t>
        </is>
      </c>
      <c r="D31" s="1" t="inlineStr">
        <is>
          <t>MIZUNO JPX-925 Forged (2024) Men's Irons</t>
        </is>
      </c>
      <c r="E31" s="1" t="inlineStr">
        <is>
          <t>MIZUNO</t>
        </is>
      </c>
      <c r="F31" s="1" t="inlineStr">
        <is>
          <t>SET OF IRONS</t>
        </is>
      </c>
      <c r="G31" s="1" t="inlineStr">
        <is>
          <t>GF1280101238R</t>
        </is>
      </c>
      <c r="H31" s="1" t="n">
        <v>4</v>
      </c>
      <c r="I31" s="1" t="inlineStr">
        <is>
          <t>มี</t>
        </is>
      </c>
      <c r="J31" s="13" t="n">
        <v>1550</v>
      </c>
      <c r="K31" s="1" t="inlineStr"/>
      <c r="L31" s="13" t="n">
        <v>1130</v>
      </c>
      <c r="M31" s="1">
        <f>IF(L31="","ไม่พบใน SG",IF(ABS(J31-L31)&lt;0.005,"ตรงกัน","ไม่ตรง"))</f>
        <v/>
      </c>
      <c r="N31" s="14">
        <f>IF(L31="","",ROUND(L31*'สรุป'!$C$6,-1))</f>
        <v/>
      </c>
      <c r="O31" s="15" t="n"/>
      <c r="P31" s="15" t="n"/>
      <c r="Q31" s="10" t="n"/>
      <c r="R31" s="10" t="n"/>
      <c r="S31" s="16" t="inlineStr">
        <is>
          <t>https://mstgolf.co.th/products/gf1280101237</t>
        </is>
      </c>
      <c r="T31" s="1">
        <f>IF(B31="ไม้กอล์ฟ",J31,"")</f>
        <v/>
      </c>
    </row>
    <row r="32">
      <c r="A32" s="1" t="n">
        <v>1</v>
      </c>
      <c r="B32" s="1" t="inlineStr">
        <is>
          <t>ไม้กอล์ฟ</t>
        </is>
      </c>
      <c r="C32" s="1" t="inlineStr">
        <is>
          <t>gf1240101199</t>
        </is>
      </c>
      <c r="D32" s="1" t="inlineStr">
        <is>
          <t>TITLEIST SC Concept x 7.2 Limited Edition Men's Putter (2023)</t>
        </is>
      </c>
      <c r="E32" s="1" t="inlineStr">
        <is>
          <t>TITLEIST</t>
        </is>
      </c>
      <c r="F32" s="1" t="inlineStr">
        <is>
          <t>PUTTER</t>
        </is>
      </c>
      <c r="G32" s="1" t="inlineStr">
        <is>
          <t>GF124010120034</t>
        </is>
      </c>
      <c r="H32" s="1" t="n">
        <v>1</v>
      </c>
      <c r="I32" s="1" t="inlineStr">
        <is>
          <t>มี</t>
        </is>
      </c>
      <c r="J32" s="13" t="n">
        <v>1500</v>
      </c>
      <c r="K32" s="1" t="inlineStr"/>
      <c r="L32" s="13" t="n">
        <v>1500</v>
      </c>
      <c r="M32" s="1">
        <f>IF(L32="","ไม่พบใน SG",IF(ABS(J32-L32)&lt;0.005,"ตรงกัน","ไม่ตรง"))</f>
        <v/>
      </c>
      <c r="N32" s="14">
        <f>IF(L32="","",ROUND(L32*'สรุป'!$C$6,-1))</f>
        <v/>
      </c>
      <c r="O32" s="15" t="n"/>
      <c r="P32" s="15" t="n"/>
      <c r="Q32" s="10" t="n"/>
      <c r="R32" s="10" t="n"/>
      <c r="S32" s="16" t="inlineStr">
        <is>
          <t>https://mstgolf.co.th/products/gf1240101199</t>
        </is>
      </c>
      <c r="T32" s="1">
        <f>IF(B32="ไม้กอล์ฟ",J32,"")</f>
        <v/>
      </c>
    </row>
    <row r="33">
      <c r="A33" s="1" t="n">
        <v>1</v>
      </c>
      <c r="B33" s="1" t="inlineStr">
        <is>
          <t>ไม้กอล์ฟ</t>
        </is>
      </c>
      <c r="C33" s="1" t="inlineStr">
        <is>
          <t>gf1280101149</t>
        </is>
      </c>
      <c r="D33" s="1" t="inlineStr">
        <is>
          <t>ONOFF KURO Forged (2024) Men's Irons</t>
        </is>
      </c>
      <c r="E33" s="1" t="inlineStr">
        <is>
          <t>ONOFF</t>
        </is>
      </c>
      <c r="F33" s="1" t="inlineStr">
        <is>
          <t>SET OF IRONS</t>
        </is>
      </c>
      <c r="G33" s="1" t="inlineStr">
        <is>
          <t>GF1280101149S</t>
        </is>
      </c>
      <c r="H33" s="1" t="n">
        <v>3</v>
      </c>
      <c r="I33" s="1" t="inlineStr">
        <is>
          <t>มี</t>
        </is>
      </c>
      <c r="J33" s="13" t="n">
        <v>1450</v>
      </c>
      <c r="K33" s="1" t="inlineStr">
        <is>
          <t>ต่างกัน</t>
        </is>
      </c>
      <c r="L33" s="13" t="n">
        <v>1190</v>
      </c>
      <c r="M33" s="1">
        <f>IF(L33="","ไม่พบใน SG",IF(ABS(J33-L33)&lt;0.005,"ตรงกัน","ไม่ตรง"))</f>
        <v/>
      </c>
      <c r="N33" s="14">
        <f>IF(L33="","",ROUND(L33*'สรุป'!$C$6,-1))</f>
        <v/>
      </c>
      <c r="O33" s="15" t="n"/>
      <c r="P33" s="15" t="n"/>
      <c r="Q33" s="10" t="n"/>
      <c r="R33" s="10" t="n"/>
      <c r="S33" s="16" t="inlineStr">
        <is>
          <t>https://mstgolf.co.th/products/gf1280101149</t>
        </is>
      </c>
      <c r="T33" s="1">
        <f>IF(B33="ไม้กอล์ฟ",J33,"")</f>
        <v/>
      </c>
    </row>
    <row r="34">
      <c r="A34" s="1" t="n">
        <v>1</v>
      </c>
      <c r="B34" s="1" t="inlineStr">
        <is>
          <t>ไม้กอล์ฟ</t>
        </is>
      </c>
      <c r="C34" s="1" t="inlineStr">
        <is>
          <t>gf1280101298</t>
        </is>
      </c>
      <c r="D34" s="1" t="inlineStr">
        <is>
          <t>PING G440 (2025) Men's Irons</t>
        </is>
      </c>
      <c r="E34" s="1" t="inlineStr">
        <is>
          <t>PING</t>
        </is>
      </c>
      <c r="F34" s="1" t="inlineStr">
        <is>
          <t>SET OF IRONS</t>
        </is>
      </c>
      <c r="G34" s="1" t="inlineStr">
        <is>
          <t>GF1280101298R</t>
        </is>
      </c>
      <c r="H34" s="1" t="n">
        <v>2</v>
      </c>
      <c r="I34" s="1" t="inlineStr">
        <is>
          <t>มี</t>
        </is>
      </c>
      <c r="J34" s="13" t="n">
        <v>1450</v>
      </c>
      <c r="K34" s="1" t="inlineStr">
        <is>
          <t>ต่างกัน</t>
        </is>
      </c>
      <c r="L34" s="13" t="n">
        <v>1450</v>
      </c>
      <c r="M34" s="1">
        <f>IF(L34="","ไม่พบใน SG",IF(ABS(J34-L34)&lt;0.005,"ตรงกัน","ไม่ตรง"))</f>
        <v/>
      </c>
      <c r="N34" s="14">
        <f>IF(L34="","",ROUND(L34*'สรุป'!$C$6,-1))</f>
        <v/>
      </c>
      <c r="O34" s="15" t="n"/>
      <c r="P34" s="15" t="n"/>
      <c r="Q34" s="10" t="n"/>
      <c r="R34" s="10" t="n"/>
      <c r="S34" s="16" t="inlineStr">
        <is>
          <t>https://mstgolf.co.th/products/gf1280101298</t>
        </is>
      </c>
      <c r="T34" s="1">
        <f>IF(B34="ไม้กอล์ฟ",J34,"")</f>
        <v/>
      </c>
    </row>
    <row r="35">
      <c r="A35" s="1" t="n">
        <v>1</v>
      </c>
      <c r="B35" s="1" t="inlineStr">
        <is>
          <t>ไม้กอล์ฟ</t>
        </is>
      </c>
      <c r="C35" s="1" t="inlineStr">
        <is>
          <t>gf1210101236</t>
        </is>
      </c>
      <c r="D35" s="1" t="inlineStr">
        <is>
          <t>MAJESTY Royale (2025) Men's Driver</t>
        </is>
      </c>
      <c r="E35" s="1" t="inlineStr">
        <is>
          <t>MAJESTY</t>
        </is>
      </c>
      <c r="F35" s="1" t="inlineStr">
        <is>
          <t>DRIVER</t>
        </is>
      </c>
      <c r="G35" s="1" t="inlineStr">
        <is>
          <t>GF1210101236105R</t>
        </is>
      </c>
      <c r="H35" s="1" t="n">
        <v>2</v>
      </c>
      <c r="I35" s="1" t="inlineStr">
        <is>
          <t>มี</t>
        </is>
      </c>
      <c r="J35" s="13" t="n">
        <v>1390</v>
      </c>
      <c r="K35" s="1" t="inlineStr"/>
      <c r="L35" s="13" t="n">
        <v>1390</v>
      </c>
      <c r="M35" s="1">
        <f>IF(L35="","ไม่พบใน SG",IF(ABS(J35-L35)&lt;0.005,"ตรงกัน","ไม่ตรง"))</f>
        <v/>
      </c>
      <c r="N35" s="14">
        <f>IF(L35="","",ROUND(L35*'สรุป'!$C$6,-1))</f>
        <v/>
      </c>
      <c r="O35" s="15" t="n"/>
      <c r="P35" s="15" t="n"/>
      <c r="Q35" s="10" t="n"/>
      <c r="R35" s="10" t="n"/>
      <c r="S35" s="16" t="inlineStr">
        <is>
          <t>https://mstgolf.co.th/products/gf1210101236</t>
        </is>
      </c>
      <c r="T35" s="1">
        <f>IF(B35="ไม้กอล์ฟ",J35,"")</f>
        <v/>
      </c>
    </row>
    <row r="36">
      <c r="A36" s="1" t="n">
        <v>1</v>
      </c>
      <c r="B36" s="1" t="inlineStr">
        <is>
          <t>ไม้กอล์ฟ</t>
        </is>
      </c>
      <c r="C36" s="1" t="inlineStr">
        <is>
          <t>gf1280101309</t>
        </is>
      </c>
      <c r="D36" s="1" t="inlineStr">
        <is>
          <t>TAYLORMADE Qi Max Lite (2025) Men's Irons</t>
        </is>
      </c>
      <c r="E36" s="1" t="inlineStr">
        <is>
          <t>TAYLORMADE</t>
        </is>
      </c>
      <c r="F36" s="1" t="inlineStr">
        <is>
          <t>SET OF IRONS</t>
        </is>
      </c>
      <c r="G36" s="1" t="inlineStr">
        <is>
          <t>GF1280101311R</t>
        </is>
      </c>
      <c r="H36" s="1" t="n">
        <v>2</v>
      </c>
      <c r="I36" s="1" t="inlineStr">
        <is>
          <t>มี</t>
        </is>
      </c>
      <c r="J36" s="13" t="n">
        <v>1390</v>
      </c>
      <c r="K36" s="1" t="inlineStr">
        <is>
          <t>ต่างกัน</t>
        </is>
      </c>
      <c r="L36" s="13" t="n">
        <v>1090</v>
      </c>
      <c r="M36" s="1">
        <f>IF(L36="","ไม่พบใน SG",IF(ABS(J36-L36)&lt;0.005,"ตรงกัน","ไม่ตรง"))</f>
        <v/>
      </c>
      <c r="N36" s="14">
        <f>IF(L36="","",ROUND(L36*'สรุป'!$C$6,-1))</f>
        <v/>
      </c>
      <c r="O36" s="15" t="n"/>
      <c r="P36" s="15" t="n"/>
      <c r="Q36" s="10" t="n"/>
      <c r="R36" s="10" t="n"/>
      <c r="S36" s="16" t="inlineStr">
        <is>
          <t>https://mstgolf.co.th/products/gf1280101309</t>
        </is>
      </c>
      <c r="T36" s="1">
        <f>IF(B36="ไม้กอล์ฟ",J36,"")</f>
        <v/>
      </c>
    </row>
    <row r="37">
      <c r="A37" s="1" t="n">
        <v>1</v>
      </c>
      <c r="B37" s="1" t="inlineStr">
        <is>
          <t>ไม้กอล์ฟ</t>
        </is>
      </c>
      <c r="C37" s="1" t="inlineStr">
        <is>
          <t>gf1280101425</t>
        </is>
      </c>
      <c r="D37" s="1" t="inlineStr">
        <is>
          <t>TAYLORMADE Qi Max Lite (2026) Men's Irons</t>
        </is>
      </c>
      <c r="E37" s="1" t="inlineStr">
        <is>
          <t>TAYLORMADE</t>
        </is>
      </c>
      <c r="F37" s="1" t="inlineStr">
        <is>
          <t>SET OF IRONS</t>
        </is>
      </c>
      <c r="G37" s="1" t="inlineStr">
        <is>
          <t>GF1280101426S</t>
        </is>
      </c>
      <c r="H37" s="1" t="n">
        <v>3</v>
      </c>
      <c r="I37" s="1" t="inlineStr">
        <is>
          <t>มี</t>
        </is>
      </c>
      <c r="J37" s="13" t="n">
        <v>1350</v>
      </c>
      <c r="K37" s="1" t="inlineStr">
        <is>
          <t>ต่างกัน</t>
        </is>
      </c>
      <c r="L37" s="13" t="n">
        <v>1350</v>
      </c>
      <c r="M37" s="1">
        <f>IF(L37="","ไม่พบใน SG",IF(ABS(J37-L37)&lt;0.005,"ตรงกัน","ไม่ตรง"))</f>
        <v/>
      </c>
      <c r="N37" s="14">
        <f>IF(L37="","",ROUND(L37*'สรุป'!$C$6,-1))</f>
        <v/>
      </c>
      <c r="O37" s="15" t="n"/>
      <c r="P37" s="15" t="n"/>
      <c r="Q37" s="10" t="n"/>
      <c r="R37" s="10" t="n"/>
      <c r="S37" s="16" t="inlineStr">
        <is>
          <t>https://mstgolf.co.th/products/gf1280101425</t>
        </is>
      </c>
      <c r="T37" s="1">
        <f>IF(B37="ไม้กอล์ฟ",J37,"")</f>
        <v/>
      </c>
    </row>
    <row r="38">
      <c r="A38" s="1" t="n">
        <v>1</v>
      </c>
      <c r="B38" s="1" t="inlineStr">
        <is>
          <t>ไม้กอล์ฟ</t>
        </is>
      </c>
      <c r="C38" s="1" t="inlineStr">
        <is>
          <t>gf1280101240</t>
        </is>
      </c>
      <c r="D38" s="1" t="inlineStr">
        <is>
          <t>MIZUNO JPX-925 Hot Metal (2024) Men's Irons</t>
        </is>
      </c>
      <c r="E38" s="1" t="inlineStr">
        <is>
          <t>MIZUNO</t>
        </is>
      </c>
      <c r="F38" s="1" t="inlineStr">
        <is>
          <t>SET OF IRONS</t>
        </is>
      </c>
      <c r="G38" s="1" t="inlineStr">
        <is>
          <t>GF1280101241R</t>
        </is>
      </c>
      <c r="H38" s="1" t="n">
        <v>3</v>
      </c>
      <c r="I38" s="1" t="inlineStr">
        <is>
          <t>มี</t>
        </is>
      </c>
      <c r="J38" s="13" t="n">
        <v>1330</v>
      </c>
      <c r="K38" s="1" t="inlineStr"/>
      <c r="L38" s="13" t="n">
        <v>990</v>
      </c>
      <c r="M38" s="1">
        <f>IF(L38="","ไม่พบใน SG",IF(ABS(J38-L38)&lt;0.005,"ตรงกัน","ไม่ตรง"))</f>
        <v/>
      </c>
      <c r="N38" s="14">
        <f>IF(L38="","",ROUND(L38*'สรุป'!$C$6,-1))</f>
        <v/>
      </c>
      <c r="O38" s="15" t="n"/>
      <c r="P38" s="15" t="n"/>
      <c r="Q38" s="10" t="n"/>
      <c r="R38" s="10" t="n"/>
      <c r="S38" s="16" t="inlineStr">
        <is>
          <t>https://mstgolf.co.th/products/gf1280101240</t>
        </is>
      </c>
      <c r="T38" s="1">
        <f>IF(B38="ไม้กอล์ฟ",J38,"")</f>
        <v/>
      </c>
    </row>
    <row r="39">
      <c r="A39" s="1" t="n">
        <v>1</v>
      </c>
      <c r="B39" s="1" t="inlineStr">
        <is>
          <t>ไม้กอล์ฟ</t>
        </is>
      </c>
      <c r="C39" s="1" t="inlineStr">
        <is>
          <t>gf1250100214</t>
        </is>
      </c>
      <c r="D39" s="1" t="inlineStr">
        <is>
          <t>COBRA Fly XL (2021) Women's Package Set</t>
        </is>
      </c>
      <c r="E39" s="1" t="inlineStr">
        <is>
          <t>COBRA</t>
        </is>
      </c>
      <c r="F39" s="1" t="inlineStr">
        <is>
          <t>PACKAGE SET</t>
        </is>
      </c>
      <c r="G39" s="1" t="inlineStr">
        <is>
          <t>GF1250100214</t>
        </is>
      </c>
      <c r="H39" s="1" t="n">
        <v>1</v>
      </c>
      <c r="I39" s="1" t="inlineStr">
        <is>
          <t>มี</t>
        </is>
      </c>
      <c r="J39" s="13" t="n">
        <v>1290</v>
      </c>
      <c r="K39" s="1" t="inlineStr"/>
      <c r="L39" s="13" t="n"/>
      <c r="M39" s="1">
        <f>IF(L39="","ไม่พบใน SG",IF(ABS(J39-L39)&lt;0.005,"ตรงกัน","ไม่ตรง"))</f>
        <v/>
      </c>
      <c r="N39" s="14">
        <f>IF(L39="","",ROUND(L39*'สรุป'!$C$6,-1))</f>
        <v/>
      </c>
      <c r="O39" s="15" t="n"/>
      <c r="P39" s="15" t="n"/>
      <c r="Q39" s="10" t="n"/>
      <c r="R39" s="10" t="n"/>
      <c r="S39" s="16" t="inlineStr">
        <is>
          <t>https://mstgolf.co.th/products/gf1250100214</t>
        </is>
      </c>
      <c r="T39" s="1">
        <f>IF(B39="ไม้กอล์ฟ",J39,"")</f>
        <v/>
      </c>
    </row>
    <row r="40">
      <c r="A40" s="1" t="n">
        <v>1</v>
      </c>
      <c r="B40" s="1" t="inlineStr">
        <is>
          <t>ไม้กอล์ฟ</t>
        </is>
      </c>
      <c r="C40" s="1" t="inlineStr">
        <is>
          <t>gf1220100795</t>
        </is>
      </c>
      <c r="D40" s="1" t="inlineStr">
        <is>
          <t>MAJESTY Prestigio 13 (2024) Men's Fairway</t>
        </is>
      </c>
      <c r="E40" s="1" t="inlineStr">
        <is>
          <t>MAJESTY</t>
        </is>
      </c>
      <c r="F40" s="1" t="inlineStr">
        <is>
          <t>FAIRWAY WOOD</t>
        </is>
      </c>
      <c r="G40" s="1" t="inlineStr">
        <is>
          <t>GF1220100795#3R</t>
        </is>
      </c>
      <c r="H40" s="1" t="n">
        <v>6</v>
      </c>
      <c r="I40" s="1" t="inlineStr">
        <is>
          <t>มี</t>
        </is>
      </c>
      <c r="J40" s="13" t="n">
        <v>1290</v>
      </c>
      <c r="K40" s="1" t="inlineStr"/>
      <c r="L40" s="13" t="n">
        <v>1290</v>
      </c>
      <c r="M40" s="1">
        <f>IF(L40="","ไม่พบใน SG",IF(ABS(J40-L40)&lt;0.005,"ตรงกัน","ไม่ตรง"))</f>
        <v/>
      </c>
      <c r="N40" s="14">
        <f>IF(L40="","",ROUND(L40*'สรุป'!$C$6,-1))</f>
        <v/>
      </c>
      <c r="O40" s="15" t="n"/>
      <c r="P40" s="15" t="n"/>
      <c r="Q40" s="10" t="n"/>
      <c r="R40" s="10" t="n"/>
      <c r="S40" s="16" t="inlineStr">
        <is>
          <t>https://mstgolf.co.th/products/gf1220100795</t>
        </is>
      </c>
      <c r="T40" s="1">
        <f>IF(B40="ไม้กอล์ฟ",J40,"")</f>
        <v/>
      </c>
    </row>
    <row r="41">
      <c r="A41" s="1" t="n">
        <v>1</v>
      </c>
      <c r="B41" s="1" t="inlineStr">
        <is>
          <t>ไม้กอล์ฟ</t>
        </is>
      </c>
      <c r="C41" s="1" t="inlineStr">
        <is>
          <t>gf1280100967</t>
        </is>
      </c>
      <c r="D41" s="1" t="inlineStr">
        <is>
          <t>MARUMAN SG M230 (2023) Men's Irons (6 Clubs)</t>
        </is>
      </c>
      <c r="E41" s="1" t="inlineStr">
        <is>
          <t>MARUMAN</t>
        </is>
      </c>
      <c r="F41" s="1" t="inlineStr">
        <is>
          <t>SET OF IRONS</t>
        </is>
      </c>
      <c r="G41" s="1" t="inlineStr">
        <is>
          <t>GF1280100968S</t>
        </is>
      </c>
      <c r="H41" s="1" t="n">
        <v>5</v>
      </c>
      <c r="I41" s="1" t="inlineStr">
        <is>
          <t>มี</t>
        </is>
      </c>
      <c r="J41" s="13" t="n">
        <v>1290</v>
      </c>
      <c r="K41" s="1" t="inlineStr">
        <is>
          <t>ต่างกัน</t>
        </is>
      </c>
      <c r="L41" s="13" t="n">
        <v>1290</v>
      </c>
      <c r="M41" s="1">
        <f>IF(L41="","ไม่พบใน SG",IF(ABS(J41-L41)&lt;0.005,"ตรงกัน","ไม่ตรง"))</f>
        <v/>
      </c>
      <c r="N41" s="14">
        <f>IF(L41="","",ROUND(L41*'สรุป'!$C$6,-1))</f>
        <v/>
      </c>
      <c r="O41" s="15" t="n"/>
      <c r="P41" s="15" t="n"/>
      <c r="Q41" s="10" t="n"/>
      <c r="R41" s="10" t="n"/>
      <c r="S41" s="16" t="inlineStr">
        <is>
          <t>https://mstgolf.co.th/products/gf1280100967</t>
        </is>
      </c>
      <c r="T41" s="1">
        <f>IF(B41="ไม้กอล์ฟ",J41,"")</f>
        <v/>
      </c>
    </row>
    <row r="42">
      <c r="A42" s="1" t="n">
        <v>1</v>
      </c>
      <c r="B42" s="1" t="inlineStr">
        <is>
          <t>ไม้กอล์ฟ</t>
        </is>
      </c>
      <c r="C42" s="1" t="inlineStr">
        <is>
          <t>gf1250100201</t>
        </is>
      </c>
      <c r="D42" s="1" t="inlineStr">
        <is>
          <t>MIZUNO RV-9 (2025) Men's Package Set</t>
        </is>
      </c>
      <c r="E42" s="1" t="inlineStr">
        <is>
          <t>MIZUNO</t>
        </is>
      </c>
      <c r="F42" s="1" t="inlineStr">
        <is>
          <t>PACKAGE SET</t>
        </is>
      </c>
      <c r="G42" s="1" t="inlineStr">
        <is>
          <t>GF1250100201R</t>
        </is>
      </c>
      <c r="H42" s="1" t="n">
        <v>1</v>
      </c>
      <c r="I42" s="1" t="inlineStr">
        <is>
          <t>มี</t>
        </is>
      </c>
      <c r="J42" s="13" t="n">
        <v>1290</v>
      </c>
      <c r="K42" s="1" t="inlineStr"/>
      <c r="L42" s="13" t="n">
        <v>1290</v>
      </c>
      <c r="M42" s="1">
        <f>IF(L42="","ไม่พบใน SG",IF(ABS(J42-L42)&lt;0.005,"ตรงกัน","ไม่ตรง"))</f>
        <v/>
      </c>
      <c r="N42" s="14">
        <f>IF(L42="","",ROUND(L42*'สรุป'!$C$6,-1))</f>
        <v/>
      </c>
      <c r="O42" s="15" t="n"/>
      <c r="P42" s="15" t="n"/>
      <c r="Q42" s="10" t="n"/>
      <c r="R42" s="10" t="n"/>
      <c r="S42" s="16" t="inlineStr">
        <is>
          <t>https://mstgolf.co.th/products/gf1250100201</t>
        </is>
      </c>
      <c r="T42" s="1">
        <f>IF(B42="ไม้กอล์ฟ",J42,"")</f>
        <v/>
      </c>
    </row>
    <row r="43">
      <c r="A43" s="1" t="n">
        <v>1</v>
      </c>
      <c r="B43" s="1" t="inlineStr">
        <is>
          <t>ไม้กอล์ฟ</t>
        </is>
      </c>
      <c r="C43" s="1" t="inlineStr">
        <is>
          <t>gf1280101292</t>
        </is>
      </c>
      <c r="D43" s="1" t="inlineStr">
        <is>
          <t>TAYLORMADE Qi Gunmetal Edition (2025) Men's Irons</t>
        </is>
      </c>
      <c r="E43" s="1" t="inlineStr">
        <is>
          <t>TAYLORMADE</t>
        </is>
      </c>
      <c r="F43" s="1" t="inlineStr">
        <is>
          <t>SET OF IRONS</t>
        </is>
      </c>
      <c r="G43" s="1" t="inlineStr">
        <is>
          <t>GF1280101349R</t>
        </is>
      </c>
      <c r="H43" s="1" t="n">
        <v>2</v>
      </c>
      <c r="I43" s="1" t="inlineStr">
        <is>
          <t>มี</t>
        </is>
      </c>
      <c r="J43" s="13" t="n">
        <v>1270</v>
      </c>
      <c r="K43" s="1" t="inlineStr">
        <is>
          <t>ต่างกัน</t>
        </is>
      </c>
      <c r="L43" s="13" t="n">
        <v>1090</v>
      </c>
      <c r="M43" s="1">
        <f>IF(L43="","ไม่พบใน SG",IF(ABS(J43-L43)&lt;0.005,"ตรงกัน","ไม่ตรง"))</f>
        <v/>
      </c>
      <c r="N43" s="14">
        <f>IF(L43="","",ROUND(L43*'สรุป'!$C$6,-1))</f>
        <v/>
      </c>
      <c r="O43" s="15" t="n"/>
      <c r="P43" s="15" t="n"/>
      <c r="Q43" s="10" t="n"/>
      <c r="R43" s="10" t="n"/>
      <c r="S43" s="16" t="inlineStr">
        <is>
          <t>https://mstgolf.co.th/products/gf1280101292</t>
        </is>
      </c>
      <c r="T43" s="1">
        <f>IF(B43="ไม้กอล์ฟ",J43,"")</f>
        <v/>
      </c>
    </row>
    <row r="44">
      <c r="A44" s="1" t="n">
        <v>1</v>
      </c>
      <c r="B44" s="1" t="inlineStr">
        <is>
          <t>ไม้กอล์ฟ</t>
        </is>
      </c>
      <c r="C44" s="1" t="inlineStr">
        <is>
          <t>gf1250100203</t>
        </is>
      </c>
      <c r="D44" s="1" t="inlineStr">
        <is>
          <t>MIZUNO EFIL-9 (2025) Women's Package Set</t>
        </is>
      </c>
      <c r="E44" s="1" t="inlineStr">
        <is>
          <t>MIZUNO</t>
        </is>
      </c>
      <c r="F44" s="1" t="inlineStr">
        <is>
          <t>PACKAGE SET</t>
        </is>
      </c>
      <c r="G44" s="1" t="inlineStr">
        <is>
          <t>GF1250100203L</t>
        </is>
      </c>
      <c r="H44" s="1" t="n">
        <v>1</v>
      </c>
      <c r="I44" s="1" t="inlineStr">
        <is>
          <t>มี</t>
        </is>
      </c>
      <c r="J44" s="13" t="n">
        <v>1250</v>
      </c>
      <c r="K44" s="1" t="inlineStr"/>
      <c r="L44" s="13" t="n">
        <v>1250</v>
      </c>
      <c r="M44" s="1">
        <f>IF(L44="","ไม่พบใน SG",IF(ABS(J44-L44)&lt;0.005,"ตรงกัน","ไม่ตรง"))</f>
        <v/>
      </c>
      <c r="N44" s="14">
        <f>IF(L44="","",ROUND(L44*'สรุป'!$C$6,-1))</f>
        <v/>
      </c>
      <c r="O44" s="15" t="n"/>
      <c r="P44" s="15" t="n"/>
      <c r="Q44" s="10" t="n"/>
      <c r="R44" s="10" t="n"/>
      <c r="S44" s="16" t="inlineStr">
        <is>
          <t>https://mstgolf.co.th/products/gf1250100203</t>
        </is>
      </c>
      <c r="T44" s="1">
        <f>IF(B44="ไม้กอล์ฟ",J44,"")</f>
        <v/>
      </c>
    </row>
    <row r="45">
      <c r="A45" s="1" t="n">
        <v>1</v>
      </c>
      <c r="B45" s="1" t="inlineStr">
        <is>
          <t>ไม้กอล์ฟ</t>
        </is>
      </c>
      <c r="C45" s="1" t="inlineStr">
        <is>
          <t>gf1280101427</t>
        </is>
      </c>
      <c r="D45" s="1" t="inlineStr">
        <is>
          <t>TAYLORMADE Qi Max Lite (2026) Women's Irons</t>
        </is>
      </c>
      <c r="E45" s="1" t="inlineStr">
        <is>
          <t>TAYLORMADE</t>
        </is>
      </c>
      <c r="F45" s="1" t="inlineStr">
        <is>
          <t>SET OF IRONS</t>
        </is>
      </c>
      <c r="G45" s="1" t="inlineStr">
        <is>
          <t>GF1280101427L</t>
        </is>
      </c>
      <c r="H45" s="1" t="n">
        <v>1</v>
      </c>
      <c r="I45" s="1" t="inlineStr">
        <is>
          <t>มี</t>
        </is>
      </c>
      <c r="J45" s="13" t="n">
        <v>1250</v>
      </c>
      <c r="K45" s="1" t="inlineStr"/>
      <c r="L45" s="13" t="n">
        <v>1250</v>
      </c>
      <c r="M45" s="1">
        <f>IF(L45="","ไม่พบใน SG",IF(ABS(J45-L45)&lt;0.005,"ตรงกัน","ไม่ตรง"))</f>
        <v/>
      </c>
      <c r="N45" s="14">
        <f>IF(L45="","",ROUND(L45*'สรุป'!$C$6,-1))</f>
        <v/>
      </c>
      <c r="O45" s="15" t="n"/>
      <c r="P45" s="15" t="n"/>
      <c r="Q45" s="10" t="n"/>
      <c r="R45" s="10" t="n"/>
      <c r="S45" s="16" t="inlineStr">
        <is>
          <t>https://mstgolf.co.th/products/gf1280101427</t>
        </is>
      </c>
      <c r="T45" s="1">
        <f>IF(B45="ไม้กอล์ฟ",J45,"")</f>
        <v/>
      </c>
    </row>
    <row r="46">
      <c r="A46" s="1" t="n">
        <v>1</v>
      </c>
      <c r="B46" s="1" t="inlineStr">
        <is>
          <t>ไม้กอล์ฟ</t>
        </is>
      </c>
      <c r="C46" s="1" t="inlineStr">
        <is>
          <t>gf1280101102</t>
        </is>
      </c>
      <c r="D46" s="1" t="inlineStr">
        <is>
          <t>YAMAHA RMX VD X (2024) Men's Irons (6 Clubs)</t>
        </is>
      </c>
      <c r="E46" s="1" t="inlineStr">
        <is>
          <t>YAMAHA</t>
        </is>
      </c>
      <c r="F46" s="1" t="inlineStr">
        <is>
          <t>SET OF IRONS</t>
        </is>
      </c>
      <c r="G46" s="1" t="inlineStr">
        <is>
          <t>GF1280101103R</t>
        </is>
      </c>
      <c r="H46" s="1" t="n">
        <v>4</v>
      </c>
      <c r="I46" s="1" t="inlineStr">
        <is>
          <t>มี</t>
        </is>
      </c>
      <c r="J46" s="13" t="n">
        <v>1240</v>
      </c>
      <c r="K46" s="1" t="inlineStr"/>
      <c r="L46" s="13" t="n">
        <v>625</v>
      </c>
      <c r="M46" s="1">
        <f>IF(L46="","ไม่พบใน SG",IF(ABS(J46-L46)&lt;0.005,"ตรงกัน","ไม่ตรง"))</f>
        <v/>
      </c>
      <c r="N46" s="14">
        <f>IF(L46="","",ROUND(L46*'สรุป'!$C$6,-1))</f>
        <v/>
      </c>
      <c r="O46" s="15" t="n"/>
      <c r="P46" s="15" t="n"/>
      <c r="Q46" s="10" t="n"/>
      <c r="R46" s="10" t="n"/>
      <c r="S46" s="16" t="inlineStr">
        <is>
          <t>https://mstgolf.co.th/products/gf1280101102</t>
        </is>
      </c>
      <c r="T46" s="1">
        <f>IF(B46="ไม้กอล์ฟ",J46,"")</f>
        <v/>
      </c>
    </row>
    <row r="47">
      <c r="A47" s="1" t="n">
        <v>1</v>
      </c>
      <c r="B47" s="1" t="inlineStr">
        <is>
          <t>ไม้กอล์ฟ</t>
        </is>
      </c>
      <c r="C47" s="1" t="inlineStr">
        <is>
          <t>gf1250100188</t>
        </is>
      </c>
      <c r="D47" s="1" t="inlineStr">
        <is>
          <t>MARUMAN 2W (2021) Women's Package Set</t>
        </is>
      </c>
      <c r="E47" s="1" t="inlineStr">
        <is>
          <t>MARUMAN</t>
        </is>
      </c>
      <c r="F47" s="1" t="inlineStr">
        <is>
          <t>PACKAGE SET</t>
        </is>
      </c>
      <c r="G47" s="1" t="inlineStr">
        <is>
          <t>GF1250100188</t>
        </is>
      </c>
      <c r="H47" s="1" t="n">
        <v>1</v>
      </c>
      <c r="I47" s="1" t="inlineStr">
        <is>
          <t>มี</t>
        </is>
      </c>
      <c r="J47" s="13" t="n">
        <v>1190</v>
      </c>
      <c r="K47" s="1" t="inlineStr"/>
      <c r="L47" s="13" t="n">
        <v>799</v>
      </c>
      <c r="M47" s="1">
        <f>IF(L47="","ไม่พบใน SG",IF(ABS(J47-L47)&lt;0.005,"ตรงกัน","ไม่ตรง"))</f>
        <v/>
      </c>
      <c r="N47" s="14">
        <f>IF(L47="","",ROUND(L47*'สรุป'!$C$6,-1))</f>
        <v/>
      </c>
      <c r="O47" s="15" t="n"/>
      <c r="P47" s="15" t="n"/>
      <c r="Q47" s="10" t="n"/>
      <c r="R47" s="10" t="n"/>
      <c r="S47" s="16" t="inlineStr">
        <is>
          <t>https://mstgolf.co.th/products/gf1250100188</t>
        </is>
      </c>
      <c r="T47" s="1">
        <f>IF(B47="ไม้กอล์ฟ",J47,"")</f>
        <v/>
      </c>
    </row>
    <row r="48">
      <c r="A48" s="1" t="n">
        <v>1</v>
      </c>
      <c r="B48" s="1" t="inlineStr">
        <is>
          <t>ไม้กอล์ฟ</t>
        </is>
      </c>
      <c r="C48" s="1" t="inlineStr">
        <is>
          <t>gf1280100857</t>
        </is>
      </c>
      <c r="D48" s="1" t="inlineStr">
        <is>
          <t>TAYLORMADE P770 (2023) Men's Irons</t>
        </is>
      </c>
      <c r="E48" s="1" t="inlineStr">
        <is>
          <t>TAYLORMADE</t>
        </is>
      </c>
      <c r="F48" s="1" t="inlineStr">
        <is>
          <t>SET OF IRONS</t>
        </is>
      </c>
      <c r="G48" s="1" t="inlineStr">
        <is>
          <t>GF1280100859S</t>
        </is>
      </c>
      <c r="H48" s="1" t="n">
        <v>4</v>
      </c>
      <c r="I48" s="1" t="inlineStr">
        <is>
          <t>มี</t>
        </is>
      </c>
      <c r="J48" s="13" t="n">
        <v>1190</v>
      </c>
      <c r="K48" s="1" t="inlineStr"/>
      <c r="L48" s="13" t="n">
        <v>990</v>
      </c>
      <c r="M48" s="1">
        <f>IF(L48="","ไม่พบใน SG",IF(ABS(J48-L48)&lt;0.005,"ตรงกัน","ไม่ตรง"))</f>
        <v/>
      </c>
      <c r="N48" s="14">
        <f>IF(L48="","",ROUND(L48*'สรุป'!$C$6,-1))</f>
        <v/>
      </c>
      <c r="O48" s="15" t="n"/>
      <c r="P48" s="15" t="n"/>
      <c r="Q48" s="10" t="n"/>
      <c r="R48" s="10" t="n"/>
      <c r="S48" s="16" t="inlineStr">
        <is>
          <t>https://mstgolf.co.th/products/gf1280100857</t>
        </is>
      </c>
      <c r="T48" s="1">
        <f>IF(B48="ไม้กอล์ฟ",J48,"")</f>
        <v/>
      </c>
    </row>
    <row r="49">
      <c r="A49" s="1" t="n">
        <v>1</v>
      </c>
      <c r="B49" s="1" t="inlineStr">
        <is>
          <t>ไม้กอล์ฟ</t>
        </is>
      </c>
      <c r="C49" s="1" t="inlineStr">
        <is>
          <t>gf1280101163</t>
        </is>
      </c>
      <c r="D49" s="1" t="inlineStr">
        <is>
          <t>TAYLORMADE Qi (2024) Men's Irons</t>
        </is>
      </c>
      <c r="E49" s="1" t="inlineStr">
        <is>
          <t>TAYLORMADE</t>
        </is>
      </c>
      <c r="F49" s="1" t="inlineStr">
        <is>
          <t>SET OF IRONS</t>
        </is>
      </c>
      <c r="G49" s="1" t="inlineStr">
        <is>
          <t>GF1280101165R</t>
        </is>
      </c>
      <c r="H49" s="1" t="n">
        <v>5</v>
      </c>
      <c r="I49" s="1" t="inlineStr">
        <is>
          <t>มี</t>
        </is>
      </c>
      <c r="J49" s="13" t="n">
        <v>1190</v>
      </c>
      <c r="K49" s="1" t="inlineStr">
        <is>
          <t>ต่างกัน</t>
        </is>
      </c>
      <c r="L49" s="13" t="n">
        <v>990</v>
      </c>
      <c r="M49" s="1">
        <f>IF(L49="","ไม่พบใน SG",IF(ABS(J49-L49)&lt;0.005,"ตรงกัน","ไม่ตรง"))</f>
        <v/>
      </c>
      <c r="N49" s="14">
        <f>IF(L49="","",ROUND(L49*'สรุป'!$C$6,-1))</f>
        <v/>
      </c>
      <c r="O49" s="15" t="n"/>
      <c r="P49" s="15" t="n"/>
      <c r="Q49" s="10" t="n"/>
      <c r="R49" s="10" t="n"/>
      <c r="S49" s="16" t="inlineStr">
        <is>
          <t>https://mstgolf.co.th/products/gf1280101163</t>
        </is>
      </c>
      <c r="T49" s="1">
        <f>IF(B49="ไม้กอล์ฟ",J49,"")</f>
        <v/>
      </c>
    </row>
    <row r="50">
      <c r="A50" s="1" t="n">
        <v>1</v>
      </c>
      <c r="B50" s="1" t="inlineStr">
        <is>
          <t>ไม้กอล์ฟ</t>
        </is>
      </c>
      <c r="C50" s="1" t="inlineStr">
        <is>
          <t>gf1280101167</t>
        </is>
      </c>
      <c r="D50" s="1" t="inlineStr">
        <is>
          <t>TAYLORMADE Qi (2024) Women's Irons</t>
        </is>
      </c>
      <c r="E50" s="1" t="inlineStr">
        <is>
          <t>TAYLORMADE</t>
        </is>
      </c>
      <c r="F50" s="1" t="inlineStr">
        <is>
          <t>SET OF IRONS</t>
        </is>
      </c>
      <c r="G50" s="1" t="inlineStr">
        <is>
          <t>GF1280101167L</t>
        </is>
      </c>
      <c r="H50" s="1" t="n">
        <v>1</v>
      </c>
      <c r="I50" s="1" t="inlineStr">
        <is>
          <t>มี</t>
        </is>
      </c>
      <c r="J50" s="13" t="n">
        <v>1190</v>
      </c>
      <c r="K50" s="1" t="inlineStr"/>
      <c r="L50" s="13" t="n">
        <v>990</v>
      </c>
      <c r="M50" s="1">
        <f>IF(L50="","ไม่พบใน SG",IF(ABS(J50-L50)&lt;0.005,"ตรงกัน","ไม่ตรง"))</f>
        <v/>
      </c>
      <c r="N50" s="14">
        <f>IF(L50="","",ROUND(L50*'สรุป'!$C$6,-1))</f>
        <v/>
      </c>
      <c r="O50" s="15" t="n"/>
      <c r="P50" s="15" t="n"/>
      <c r="Q50" s="10" t="n"/>
      <c r="R50" s="10" t="n"/>
      <c r="S50" s="16" t="inlineStr">
        <is>
          <t>https://mstgolf.co.th/products/gf1280101167</t>
        </is>
      </c>
      <c r="T50" s="1">
        <f>IF(B50="ไม้กอล์ฟ",J50,"")</f>
        <v/>
      </c>
    </row>
    <row r="51">
      <c r="A51" s="1" t="n">
        <v>1</v>
      </c>
      <c r="B51" s="1" t="inlineStr">
        <is>
          <t>ไม้กอล์ฟ</t>
        </is>
      </c>
      <c r="C51" s="1" t="inlineStr">
        <is>
          <t>gf1280101168</t>
        </is>
      </c>
      <c r="D51" s="1" t="inlineStr">
        <is>
          <t>TAYLORMADE Qi HL (2024) Men's Irons</t>
        </is>
      </c>
      <c r="E51" s="1" t="inlineStr">
        <is>
          <t>TAYLORMADE</t>
        </is>
      </c>
      <c r="F51" s="1" t="inlineStr">
        <is>
          <t>SET OF IRONS</t>
        </is>
      </c>
      <c r="G51" s="1" t="inlineStr">
        <is>
          <t>GF1280101169R</t>
        </is>
      </c>
      <c r="H51" s="1" t="n">
        <v>2</v>
      </c>
      <c r="I51" s="1" t="inlineStr">
        <is>
          <t>มี</t>
        </is>
      </c>
      <c r="J51" s="13" t="n">
        <v>1190</v>
      </c>
      <c r="K51" s="1" t="inlineStr">
        <is>
          <t>ต่างกัน</t>
        </is>
      </c>
      <c r="L51" s="13" t="n">
        <v>990</v>
      </c>
      <c r="M51" s="1">
        <f>IF(L51="","ไม่พบใน SG",IF(ABS(J51-L51)&lt;0.005,"ตรงกัน","ไม่ตรง"))</f>
        <v/>
      </c>
      <c r="N51" s="14">
        <f>IF(L51="","",ROUND(L51*'สรุป'!$C$6,-1))</f>
        <v/>
      </c>
      <c r="O51" s="15" t="n"/>
      <c r="P51" s="15" t="n"/>
      <c r="Q51" s="10" t="n"/>
      <c r="R51" s="10" t="n"/>
      <c r="S51" s="16" t="inlineStr">
        <is>
          <t>https://mstgolf.co.th/products/gf1280101168</t>
        </is>
      </c>
      <c r="T51" s="1">
        <f>IF(B51="ไม้กอล์ฟ",J51,"")</f>
        <v/>
      </c>
    </row>
    <row r="52">
      <c r="A52" s="1" t="n">
        <v>1</v>
      </c>
      <c r="B52" s="1" t="inlineStr">
        <is>
          <t>ไม้กอล์ฟ</t>
        </is>
      </c>
      <c r="C52" s="1" t="inlineStr">
        <is>
          <t>gf1280101373</t>
        </is>
      </c>
      <c r="D52" s="1" t="inlineStr">
        <is>
          <t>YAMAHA RMX DD-1 Tour Model (2026) Men's Irons</t>
        </is>
      </c>
      <c r="E52" s="1" t="inlineStr">
        <is>
          <t>YAMAHA</t>
        </is>
      </c>
      <c r="F52" s="1" t="inlineStr">
        <is>
          <t>SET OF IRONS</t>
        </is>
      </c>
      <c r="G52" s="1" t="inlineStr">
        <is>
          <t>GF1280101373S</t>
        </is>
      </c>
      <c r="H52" s="1" t="n">
        <v>1</v>
      </c>
      <c r="I52" s="1" t="inlineStr">
        <is>
          <t>มี</t>
        </is>
      </c>
      <c r="J52" s="13" t="n">
        <v>1190</v>
      </c>
      <c r="K52" s="1" t="inlineStr"/>
      <c r="L52" s="13" t="n">
        <v>790</v>
      </c>
      <c r="M52" s="1">
        <f>IF(L52="","ไม่พบใน SG",IF(ABS(J52-L52)&lt;0.005,"ตรงกัน","ไม่ตรง"))</f>
        <v/>
      </c>
      <c r="N52" s="14">
        <f>IF(L52="","",ROUND(L52*'สรุป'!$C$6,-1))</f>
        <v/>
      </c>
      <c r="O52" s="15" t="n"/>
      <c r="P52" s="15" t="n"/>
      <c r="Q52" s="10" t="n"/>
      <c r="R52" s="10" t="n"/>
      <c r="S52" s="16" t="inlineStr">
        <is>
          <t>https://mstgolf.co.th/products/gf1280101373</t>
        </is>
      </c>
      <c r="T52" s="1">
        <f>IF(B52="ไม้กอล์ฟ",J52,"")</f>
        <v/>
      </c>
    </row>
    <row r="53">
      <c r="A53" s="1" t="n">
        <v>1</v>
      </c>
      <c r="B53" s="1" t="inlineStr">
        <is>
          <t>ไม้กอล์ฟ</t>
        </is>
      </c>
      <c r="C53" s="1" t="inlineStr">
        <is>
          <t>gf1280101151</t>
        </is>
      </c>
      <c r="D53" s="1" t="inlineStr">
        <is>
          <t>ONOFF Aka Tungsten (2024) Men's Irons</t>
        </is>
      </c>
      <c r="E53" s="1" t="inlineStr">
        <is>
          <t>ONOFF</t>
        </is>
      </c>
      <c r="F53" s="1" t="inlineStr">
        <is>
          <t>SET OF IRONS</t>
        </is>
      </c>
      <c r="G53" s="1" t="inlineStr">
        <is>
          <t>GF1280101224R</t>
        </is>
      </c>
      <c r="H53" s="1" t="n">
        <v>4</v>
      </c>
      <c r="I53" s="1" t="inlineStr">
        <is>
          <t>มี</t>
        </is>
      </c>
      <c r="J53" s="13" t="n">
        <v>1170</v>
      </c>
      <c r="K53" s="1" t="inlineStr">
        <is>
          <t>ต่างกัน</t>
        </is>
      </c>
      <c r="L53" s="13" t="n">
        <v>1170</v>
      </c>
      <c r="M53" s="1">
        <f>IF(L53="","ไม่พบใน SG",IF(ABS(J53-L53)&lt;0.005,"ตรงกัน","ไม่ตรง"))</f>
        <v/>
      </c>
      <c r="N53" s="14">
        <f>IF(L53="","",ROUND(L53*'สรุป'!$C$6,-1))</f>
        <v/>
      </c>
      <c r="O53" s="15" t="n"/>
      <c r="P53" s="15" t="n"/>
      <c r="Q53" s="10" t="n"/>
      <c r="R53" s="10" t="n"/>
      <c r="S53" s="16" t="inlineStr">
        <is>
          <t>https://mstgolf.co.th/products/gf1280101151</t>
        </is>
      </c>
      <c r="T53" s="1">
        <f>IF(B53="ไม้กอล์ฟ",J53,"")</f>
        <v/>
      </c>
    </row>
    <row r="54">
      <c r="A54" s="1" t="n">
        <v>1</v>
      </c>
      <c r="B54" s="1" t="inlineStr">
        <is>
          <t>ไม้กอล์ฟ</t>
        </is>
      </c>
      <c r="C54" s="1" t="inlineStr">
        <is>
          <t>gf1280101080</t>
        </is>
      </c>
      <c r="D54" s="1" t="inlineStr">
        <is>
          <t>MIZUNO MP 241 (2024) Men's Irons</t>
        </is>
      </c>
      <c r="E54" s="1" t="inlineStr">
        <is>
          <t>MIZUNO</t>
        </is>
      </c>
      <c r="F54" s="1" t="inlineStr">
        <is>
          <t>SET OF IRONS</t>
        </is>
      </c>
      <c r="G54" s="1" t="inlineStr">
        <is>
          <t>GF1280101080S</t>
        </is>
      </c>
      <c r="H54" s="1" t="n">
        <v>1</v>
      </c>
      <c r="I54" s="1" t="inlineStr">
        <is>
          <t>มี</t>
        </is>
      </c>
      <c r="J54" s="13" t="n">
        <v>1160</v>
      </c>
      <c r="K54" s="1" t="inlineStr"/>
      <c r="L54" s="13" t="n">
        <v>959</v>
      </c>
      <c r="M54" s="1">
        <f>IF(L54="","ไม่พบใน SG",IF(ABS(J54-L54)&lt;0.005,"ตรงกัน","ไม่ตรง"))</f>
        <v/>
      </c>
      <c r="N54" s="14">
        <f>IF(L54="","",ROUND(L54*'สรุป'!$C$6,-1))</f>
        <v/>
      </c>
      <c r="O54" s="15" t="n"/>
      <c r="P54" s="15" t="n"/>
      <c r="Q54" s="10" t="n"/>
      <c r="R54" s="10" t="n"/>
      <c r="S54" s="16" t="inlineStr">
        <is>
          <t>https://mstgolf.co.th/products/gf1280101080</t>
        </is>
      </c>
      <c r="T54" s="1">
        <f>IF(B54="ไม้กอล์ฟ",J54,"")</f>
        <v/>
      </c>
    </row>
    <row r="55">
      <c r="A55" s="1" t="n">
        <v>1</v>
      </c>
      <c r="B55" s="1" t="inlineStr">
        <is>
          <t>ไม้กอล์ฟ</t>
        </is>
      </c>
      <c r="C55" s="1" t="inlineStr">
        <is>
          <t>gf1280101081</t>
        </is>
      </c>
      <c r="D55" s="1" t="inlineStr">
        <is>
          <t>MIZUNO MP 243 (2024) Men's Irons</t>
        </is>
      </c>
      <c r="E55" s="1" t="inlineStr">
        <is>
          <t>MIZUNO</t>
        </is>
      </c>
      <c r="F55" s="1" t="inlineStr">
        <is>
          <t>SET OF IRONS</t>
        </is>
      </c>
      <c r="G55" s="1" t="inlineStr">
        <is>
          <t>GF1280101081S</t>
        </is>
      </c>
      <c r="H55" s="1" t="n">
        <v>2</v>
      </c>
      <c r="I55" s="1" t="inlineStr">
        <is>
          <t>มี</t>
        </is>
      </c>
      <c r="J55" s="13" t="n">
        <v>1160</v>
      </c>
      <c r="K55" s="1" t="inlineStr"/>
      <c r="L55" s="13" t="n">
        <v>959</v>
      </c>
      <c r="M55" s="1">
        <f>IF(L55="","ไม่พบใน SG",IF(ABS(J55-L55)&lt;0.005,"ตรงกัน","ไม่ตรง"))</f>
        <v/>
      </c>
      <c r="N55" s="14">
        <f>IF(L55="","",ROUND(L55*'สรุป'!$C$6,-1))</f>
        <v/>
      </c>
      <c r="O55" s="15" t="n"/>
      <c r="P55" s="15" t="n"/>
      <c r="Q55" s="10" t="n"/>
      <c r="R55" s="10" t="n"/>
      <c r="S55" s="16" t="inlineStr">
        <is>
          <t>https://mstgolf.co.th/products/gf1280101081</t>
        </is>
      </c>
      <c r="T55" s="1">
        <f>IF(B55="ไม้กอล์ฟ",J55,"")</f>
        <v/>
      </c>
    </row>
    <row r="56">
      <c r="A56" s="1" t="n">
        <v>1</v>
      </c>
      <c r="B56" s="1" t="inlineStr">
        <is>
          <t>ไม้กอล์ฟ</t>
        </is>
      </c>
      <c r="C56" s="1" t="inlineStr">
        <is>
          <t>gf1280101100</t>
        </is>
      </c>
      <c r="D56" s="1" t="inlineStr">
        <is>
          <t>YAMAHA RMX VD R (2024) Men's Irons</t>
        </is>
      </c>
      <c r="E56" s="1" t="inlineStr">
        <is>
          <t>YAMAHA</t>
        </is>
      </c>
      <c r="F56" s="1" t="inlineStr">
        <is>
          <t>SET OF IRONS</t>
        </is>
      </c>
      <c r="G56" s="1" t="inlineStr">
        <is>
          <t>GF1280101100S</t>
        </is>
      </c>
      <c r="H56" s="1" t="n">
        <v>1</v>
      </c>
      <c r="I56" s="1" t="inlineStr">
        <is>
          <t>มี</t>
        </is>
      </c>
      <c r="J56" s="13" t="n">
        <v>1160</v>
      </c>
      <c r="K56" s="1" t="inlineStr"/>
      <c r="L56" s="13" t="n">
        <v>625</v>
      </c>
      <c r="M56" s="1">
        <f>IF(L56="","ไม่พบใน SG",IF(ABS(J56-L56)&lt;0.005,"ตรงกัน","ไม่ตรง"))</f>
        <v/>
      </c>
      <c r="N56" s="14">
        <f>IF(L56="","",ROUND(L56*'สรุป'!$C$6,-1))</f>
        <v/>
      </c>
      <c r="O56" s="15" t="n"/>
      <c r="P56" s="15" t="n"/>
      <c r="Q56" s="10" t="n"/>
      <c r="R56" s="10" t="n"/>
      <c r="S56" s="16" t="inlineStr">
        <is>
          <t>https://mstgolf.co.th/products/gf1280101100</t>
        </is>
      </c>
      <c r="T56" s="1">
        <f>IF(B56="ไม้กอล์ฟ",J56,"")</f>
        <v/>
      </c>
    </row>
    <row r="57">
      <c r="A57" s="1" t="n">
        <v>1</v>
      </c>
      <c r="B57" s="1" t="inlineStr">
        <is>
          <t>ไม้กอล์ฟ</t>
        </is>
      </c>
      <c r="C57" s="1" t="inlineStr">
        <is>
          <t>gf1250100198</t>
        </is>
      </c>
      <c r="D57" s="1" t="inlineStr">
        <is>
          <t>COBRA FLY XL Black Pink (2025) Women's Package Set</t>
        </is>
      </c>
      <c r="E57" s="1" t="inlineStr">
        <is>
          <t>COBRA</t>
        </is>
      </c>
      <c r="F57" s="1" t="inlineStr">
        <is>
          <t>PACKAGE SET</t>
        </is>
      </c>
      <c r="G57" s="1" t="inlineStr">
        <is>
          <t>GF1250100198</t>
        </is>
      </c>
      <c r="H57" s="1" t="n">
        <v>1</v>
      </c>
      <c r="I57" s="1" t="inlineStr">
        <is>
          <t>มี</t>
        </is>
      </c>
      <c r="J57" s="13" t="n">
        <v>1150</v>
      </c>
      <c r="K57" s="1" t="inlineStr"/>
      <c r="L57" s="13" t="n">
        <v>1150</v>
      </c>
      <c r="M57" s="1">
        <f>IF(L57="","ไม่พบใน SG",IF(ABS(J57-L57)&lt;0.005,"ตรงกัน","ไม่ตรง"))</f>
        <v/>
      </c>
      <c r="N57" s="14">
        <f>IF(L57="","",ROUND(L57*'สรุป'!$C$6,-1))</f>
        <v/>
      </c>
      <c r="O57" s="15" t="n"/>
      <c r="P57" s="15" t="n"/>
      <c r="Q57" s="10" t="n"/>
      <c r="R57" s="10" t="n"/>
      <c r="S57" s="16" t="inlineStr">
        <is>
          <t>https://mstgolf.co.th/products/gf1250100198</t>
        </is>
      </c>
      <c r="T57" s="1">
        <f>IF(B57="ไม้กอล์ฟ",J57,"")</f>
        <v/>
      </c>
    </row>
    <row r="58">
      <c r="A58" s="1" t="n">
        <v>1</v>
      </c>
      <c r="B58" s="1" t="inlineStr">
        <is>
          <t>ไม้กอล์ฟ</t>
        </is>
      </c>
      <c r="C58" s="1" t="inlineStr">
        <is>
          <t>gf1250100216</t>
        </is>
      </c>
      <c r="D58" s="1" t="inlineStr">
        <is>
          <t>MARUMAN Zeta Max (2025) Men's Package Set</t>
        </is>
      </c>
      <c r="E58" s="1" t="inlineStr">
        <is>
          <t>MARUMAN</t>
        </is>
      </c>
      <c r="F58" s="1" t="inlineStr">
        <is>
          <t>PACKAGE SET</t>
        </is>
      </c>
      <c r="G58" s="1" t="inlineStr">
        <is>
          <t>GF1250100216R</t>
        </is>
      </c>
      <c r="H58" s="1" t="n">
        <v>1</v>
      </c>
      <c r="I58" s="1" t="inlineStr">
        <is>
          <t>มี</t>
        </is>
      </c>
      <c r="J58" s="13" t="n">
        <v>1150</v>
      </c>
      <c r="K58" s="1" t="inlineStr"/>
      <c r="L58" s="13" t="n">
        <v>799</v>
      </c>
      <c r="M58" s="1">
        <f>IF(L58="","ไม่พบใน SG",IF(ABS(J58-L58)&lt;0.005,"ตรงกัน","ไม่ตรง"))</f>
        <v/>
      </c>
      <c r="N58" s="14">
        <f>IF(L58="","",ROUND(L58*'สรุป'!$C$6,-1))</f>
        <v/>
      </c>
      <c r="O58" s="15" t="n"/>
      <c r="P58" s="15" t="n"/>
      <c r="Q58" s="10" t="n"/>
      <c r="R58" s="10" t="n"/>
      <c r="S58" s="16" t="inlineStr">
        <is>
          <t>https://mstgolf.co.th/products/gf1250100216</t>
        </is>
      </c>
      <c r="T58" s="1">
        <f>IF(B58="ไม้กอล์ฟ",J58,"")</f>
        <v/>
      </c>
    </row>
    <row r="59">
      <c r="A59" s="1" t="n">
        <v>1</v>
      </c>
      <c r="B59" s="1" t="inlineStr">
        <is>
          <t>อุปกรณ์วัดระยะ/เทคโนโลยี</t>
        </is>
      </c>
      <c r="C59" s="1" t="inlineStr">
        <is>
          <t>gf3190100102</t>
        </is>
      </c>
      <c r="D59" s="1" t="inlineStr">
        <is>
          <t>GARMIN Approach S70 x TaylorMade Smartwatch - 47mm (Black/Blue)</t>
        </is>
      </c>
      <c r="E59" s="1" t="inlineStr">
        <is>
          <t>GARMIN</t>
        </is>
      </c>
      <c r="F59" s="1" t="inlineStr">
        <is>
          <t>WATCH</t>
        </is>
      </c>
      <c r="G59" s="1" t="inlineStr">
        <is>
          <t>GF3190100102</t>
        </is>
      </c>
      <c r="H59" s="1" t="n">
        <v>1</v>
      </c>
      <c r="I59" s="1" t="inlineStr">
        <is>
          <t>มี</t>
        </is>
      </c>
      <c r="J59" s="13" t="n">
        <v>1069</v>
      </c>
      <c r="K59" s="1" t="inlineStr"/>
      <c r="L59" s="13" t="n">
        <v>1069</v>
      </c>
      <c r="M59" s="1">
        <f>IF(L59="","ไม่พบใน SG",IF(ABS(J59-L59)&lt;0.005,"ตรงกัน","ไม่ตรง"))</f>
        <v/>
      </c>
      <c r="N59" s="14">
        <f>IF(L59="","",ROUND(L59*'สรุป'!$C$6,-1))</f>
        <v/>
      </c>
      <c r="O59" s="15" t="n"/>
      <c r="P59" s="15" t="n"/>
      <c r="Q59" s="10" t="n"/>
      <c r="R59" s="10" t="n"/>
      <c r="S59" s="16" t="inlineStr">
        <is>
          <t>https://mstgolf.co.th/products/gf3190100102</t>
        </is>
      </c>
      <c r="T59" s="1">
        <f>IF(B59="ไม้กอล์ฟ",J59,"")</f>
        <v/>
      </c>
    </row>
    <row r="60">
      <c r="A60" s="1" t="n">
        <v>1</v>
      </c>
      <c r="B60" s="1" t="inlineStr">
        <is>
          <t>อุปกรณ์วัดระยะ/เทคโนโลยี</t>
        </is>
      </c>
      <c r="C60" s="1" t="inlineStr">
        <is>
          <t>gf3190200042</t>
        </is>
      </c>
      <c r="D60" s="1" t="inlineStr">
        <is>
          <t>RAPSODO MLM 2 Pro Mobile Launch Monitor</t>
        </is>
      </c>
      <c r="E60" s="1" t="inlineStr">
        <is>
          <t>RAPSODO</t>
        </is>
      </c>
      <c r="F60" s="1" t="inlineStr">
        <is>
          <t>HANDHELD</t>
        </is>
      </c>
      <c r="G60" s="1" t="inlineStr">
        <is>
          <t>GF3190200042</t>
        </is>
      </c>
      <c r="H60" s="1" t="n">
        <v>1</v>
      </c>
      <c r="I60" s="1" t="inlineStr">
        <is>
          <t>มี</t>
        </is>
      </c>
      <c r="J60" s="13" t="n">
        <v>1050</v>
      </c>
      <c r="K60" s="1" t="inlineStr"/>
      <c r="L60" s="13" t="n">
        <v>1050</v>
      </c>
      <c r="M60" s="1">
        <f>IF(L60="","ไม่พบใน SG",IF(ABS(J60-L60)&lt;0.005,"ตรงกัน","ไม่ตรง"))</f>
        <v/>
      </c>
      <c r="N60" s="14">
        <f>IF(L60="","",ROUND(L60*'สรุป'!$C$6,-1))</f>
        <v/>
      </c>
      <c r="O60" s="15" t="n"/>
      <c r="P60" s="15" t="n"/>
      <c r="Q60" s="10" t="n"/>
      <c r="R60" s="10" t="n"/>
      <c r="S60" s="16" t="inlineStr">
        <is>
          <t>https://mstgolf.co.th/products/gf3190200042</t>
        </is>
      </c>
      <c r="T60" s="1">
        <f>IF(B60="ไม้กอล์ฟ",J60,"")</f>
        <v/>
      </c>
    </row>
    <row r="61">
      <c r="A61" s="1" t="n">
        <v>1</v>
      </c>
      <c r="B61" s="1" t="inlineStr">
        <is>
          <t>ไม้กอล์ฟ</t>
        </is>
      </c>
      <c r="C61" s="1" t="inlineStr">
        <is>
          <t>gf1250100192</t>
        </is>
      </c>
      <c r="D61" s="1" t="inlineStr">
        <is>
          <t>TAYLORMADE Team TaylorMade (2024) Junior Package Set (Ages 10-12)</t>
        </is>
      </c>
      <c r="E61" s="1" t="inlineStr">
        <is>
          <t>TAYLORMADE</t>
        </is>
      </c>
      <c r="F61" s="1" t="inlineStr">
        <is>
          <t>PACKAGE SET</t>
        </is>
      </c>
      <c r="G61" s="1" t="inlineStr">
        <is>
          <t>GF1250100192</t>
        </is>
      </c>
      <c r="H61" s="1" t="n">
        <v>1</v>
      </c>
      <c r="I61" s="1" t="inlineStr">
        <is>
          <t>มี</t>
        </is>
      </c>
      <c r="J61" s="13" t="n">
        <v>1050</v>
      </c>
      <c r="K61" s="1" t="inlineStr"/>
      <c r="L61" s="13" t="n">
        <v>1050</v>
      </c>
      <c r="M61" s="1">
        <f>IF(L61="","ไม่พบใน SG",IF(ABS(J61-L61)&lt;0.005,"ตรงกัน","ไม่ตรง"))</f>
        <v/>
      </c>
      <c r="N61" s="14">
        <f>IF(L61="","",ROUND(L61*'สรุป'!$C$6,-1))</f>
        <v/>
      </c>
      <c r="O61" s="15" t="n"/>
      <c r="P61" s="15" t="n"/>
      <c r="Q61" s="10" t="n"/>
      <c r="R61" s="10" t="n"/>
      <c r="S61" s="16" t="inlineStr">
        <is>
          <t>https://mstgolf.co.th/products/gf1250100192</t>
        </is>
      </c>
      <c r="T61" s="1">
        <f>IF(B61="ไม้กอล์ฟ",J61,"")</f>
        <v/>
      </c>
    </row>
    <row r="62">
      <c r="A62" s="1" t="n">
        <v>1</v>
      </c>
      <c r="B62" s="1" t="inlineStr">
        <is>
          <t>ไม้กอล์ฟ</t>
        </is>
      </c>
      <c r="C62" s="1" t="inlineStr">
        <is>
          <t>gf1280100545</t>
        </is>
      </c>
      <c r="D62" s="1" t="inlineStr">
        <is>
          <t>TAYLORMADE P770 2020 Men's Irons</t>
        </is>
      </c>
      <c r="E62" s="1" t="inlineStr">
        <is>
          <t>TAYLORMADE</t>
        </is>
      </c>
      <c r="F62" s="1" t="inlineStr">
        <is>
          <t>SET OF IRONS</t>
        </is>
      </c>
      <c r="G62" s="1" t="inlineStr">
        <is>
          <t>GF1280100545R</t>
        </is>
      </c>
      <c r="H62" s="1" t="n">
        <v>2</v>
      </c>
      <c r="I62" s="1" t="inlineStr">
        <is>
          <t>มี</t>
        </is>
      </c>
      <c r="J62" s="13" t="n">
        <v>990</v>
      </c>
      <c r="K62" s="1" t="inlineStr"/>
      <c r="L62" s="13" t="n">
        <v>899</v>
      </c>
      <c r="M62" s="1">
        <f>IF(L62="","ไม่พบใน SG",IF(ABS(J62-L62)&lt;0.005,"ตรงกัน","ไม่ตรง"))</f>
        <v/>
      </c>
      <c r="N62" s="14">
        <f>IF(L62="","",ROUND(L62*'สรุป'!$C$6,-1))</f>
        <v/>
      </c>
      <c r="O62" s="15" t="n"/>
      <c r="P62" s="15" t="n"/>
      <c r="Q62" s="10" t="n"/>
      <c r="R62" s="10" t="n"/>
      <c r="S62" s="16" t="inlineStr">
        <is>
          <t>https://mstgolf.co.th/products/gf1280100545</t>
        </is>
      </c>
      <c r="T62" s="1">
        <f>IF(B62="ไม้กอล์ฟ",J62,"")</f>
        <v/>
      </c>
    </row>
    <row r="63">
      <c r="A63" s="1" t="n">
        <v>1</v>
      </c>
      <c r="B63" s="1" t="inlineStr">
        <is>
          <t>ไม้กอล์ฟ</t>
        </is>
      </c>
      <c r="C63" s="1" t="inlineStr">
        <is>
          <t>gf1280100745</t>
        </is>
      </c>
      <c r="D63" s="1" t="inlineStr">
        <is>
          <t>TAYLORMADE P7MC (2020) Men's Irons</t>
        </is>
      </c>
      <c r="E63" s="1" t="inlineStr">
        <is>
          <t>TAYLORMADE</t>
        </is>
      </c>
      <c r="F63" s="1" t="inlineStr">
        <is>
          <t>SET OF IRONS</t>
        </is>
      </c>
      <c r="G63" s="1" t="inlineStr">
        <is>
          <t>GF1280100745R</t>
        </is>
      </c>
      <c r="H63" s="1" t="n">
        <v>2</v>
      </c>
      <c r="I63" s="1" t="inlineStr">
        <is>
          <t>มี</t>
        </is>
      </c>
      <c r="J63" s="13" t="n">
        <v>990</v>
      </c>
      <c r="K63" s="1" t="inlineStr"/>
      <c r="L63" s="13" t="n"/>
      <c r="M63" s="1">
        <f>IF(L63="","ไม่พบใน SG",IF(ABS(J63-L63)&lt;0.005,"ตรงกัน","ไม่ตรง"))</f>
        <v/>
      </c>
      <c r="N63" s="14">
        <f>IF(L63="","",ROUND(L63*'สรุป'!$C$6,-1))</f>
        <v/>
      </c>
      <c r="O63" s="15" t="n"/>
      <c r="P63" s="15" t="n"/>
      <c r="Q63" s="10" t="n"/>
      <c r="R63" s="10" t="n"/>
      <c r="S63" s="16" t="inlineStr">
        <is>
          <t>https://mstgolf.co.th/products/gf1280100745</t>
        </is>
      </c>
      <c r="T63" s="1">
        <f>IF(B63="ไม้กอล์ฟ",J63,"")</f>
        <v/>
      </c>
    </row>
    <row r="64">
      <c r="A64" s="1" t="n">
        <v>1</v>
      </c>
      <c r="B64" s="1" t="inlineStr">
        <is>
          <t>ไม้กอล์ฟ</t>
        </is>
      </c>
      <c r="C64" s="1" t="inlineStr">
        <is>
          <t>gf1280100872</t>
        </is>
      </c>
      <c r="D64" s="1" t="inlineStr">
        <is>
          <t>TAYLORMADE P7MC (2023) Men's Irons</t>
        </is>
      </c>
      <c r="E64" s="1" t="inlineStr">
        <is>
          <t>TAYLORMADE</t>
        </is>
      </c>
      <c r="F64" s="1" t="inlineStr">
        <is>
          <t>SET OF IRONS</t>
        </is>
      </c>
      <c r="G64" s="1" t="inlineStr">
        <is>
          <t>GF1280100872S</t>
        </is>
      </c>
      <c r="H64" s="1" t="n">
        <v>2</v>
      </c>
      <c r="I64" s="1" t="inlineStr">
        <is>
          <t>มี</t>
        </is>
      </c>
      <c r="J64" s="13" t="n">
        <v>990</v>
      </c>
      <c r="K64" s="1" t="inlineStr"/>
      <c r="L64" s="13" t="n">
        <v>990</v>
      </c>
      <c r="M64" s="1">
        <f>IF(L64="","ไม่พบใน SG",IF(ABS(J64-L64)&lt;0.005,"ตรงกัน","ไม่ตรง"))</f>
        <v/>
      </c>
      <c r="N64" s="14">
        <f>IF(L64="","",ROUND(L64*'สรุป'!$C$6,-1))</f>
        <v/>
      </c>
      <c r="O64" s="15" t="n"/>
      <c r="P64" s="15" t="n"/>
      <c r="Q64" s="10" t="n"/>
      <c r="R64" s="10" t="n"/>
      <c r="S64" s="16" t="inlineStr">
        <is>
          <t>https://mstgolf.co.th/products/gf1280100872</t>
        </is>
      </c>
      <c r="T64" s="1">
        <f>IF(B64="ไม้กอล์ฟ",J64,"")</f>
        <v/>
      </c>
    </row>
    <row r="65">
      <c r="A65" s="1" t="n">
        <v>1</v>
      </c>
      <c r="B65" s="1" t="inlineStr">
        <is>
          <t>ไม้กอล์ฟ</t>
        </is>
      </c>
      <c r="C65" s="1" t="inlineStr">
        <is>
          <t>gf1280100985</t>
        </is>
      </c>
      <c r="D65" s="1" t="inlineStr">
        <is>
          <t>TAYLORMADE Stealth Black Limited Edition Men's Irons</t>
        </is>
      </c>
      <c r="E65" s="1" t="inlineStr">
        <is>
          <t>TAYLORMADE</t>
        </is>
      </c>
      <c r="F65" s="1" t="inlineStr">
        <is>
          <t>SET OF IRONS</t>
        </is>
      </c>
      <c r="G65" s="1" t="inlineStr">
        <is>
          <t>GF1280100985S</t>
        </is>
      </c>
      <c r="H65" s="1" t="n">
        <v>1</v>
      </c>
      <c r="I65" s="1" t="inlineStr">
        <is>
          <t>มี</t>
        </is>
      </c>
      <c r="J65" s="13" t="n">
        <v>990</v>
      </c>
      <c r="K65" s="1" t="inlineStr"/>
      <c r="L65" s="13" t="n"/>
      <c r="M65" s="1">
        <f>IF(L65="","ไม่พบใน SG",IF(ABS(J65-L65)&lt;0.005,"ตรงกัน","ไม่ตรง"))</f>
        <v/>
      </c>
      <c r="N65" s="14">
        <f>IF(L65="","",ROUND(L65*'สรุป'!$C$6,-1))</f>
        <v/>
      </c>
      <c r="O65" s="15" t="n"/>
      <c r="P65" s="15" t="n"/>
      <c r="Q65" s="10" t="n"/>
      <c r="R65" s="10" t="n"/>
      <c r="S65" s="16" t="inlineStr">
        <is>
          <t>https://mstgolf.co.th/products/gf1280100985</t>
        </is>
      </c>
      <c r="T65" s="1">
        <f>IF(B65="ไม้กอล์ฟ",J65,"")</f>
        <v/>
      </c>
    </row>
    <row r="66">
      <c r="A66" s="1" t="n">
        <v>1</v>
      </c>
      <c r="B66" s="1" t="inlineStr">
        <is>
          <t>ไม้กอล์ฟ</t>
        </is>
      </c>
      <c r="C66" s="1" t="inlineStr">
        <is>
          <t>gf1230100180</t>
        </is>
      </c>
      <c r="D66" s="1" t="inlineStr">
        <is>
          <t>GIII Signature (2019) Men's Hybrid</t>
        </is>
      </c>
      <c r="E66" s="1" t="inlineStr">
        <is>
          <t>GIII</t>
        </is>
      </c>
      <c r="F66" s="1" t="inlineStr">
        <is>
          <t>UTILITY/HYBRID</t>
        </is>
      </c>
      <c r="G66" s="1" t="inlineStr">
        <is>
          <t>GF1230100180#3R</t>
        </is>
      </c>
      <c r="H66" s="1" t="n">
        <v>5</v>
      </c>
      <c r="I66" s="1" t="inlineStr">
        <is>
          <t>มี</t>
        </is>
      </c>
      <c r="J66" s="13" t="n">
        <v>975</v>
      </c>
      <c r="K66" s="1" t="inlineStr"/>
      <c r="L66" s="13" t="n">
        <v>975</v>
      </c>
      <c r="M66" s="1">
        <f>IF(L66="","ไม่พบใน SG",IF(ABS(J66-L66)&lt;0.005,"ตรงกัน","ไม่ตรง"))</f>
        <v/>
      </c>
      <c r="N66" s="14">
        <f>IF(L66="","",ROUND(L66*'สรุป'!$C$6,-1))</f>
        <v/>
      </c>
      <c r="O66" s="15" t="n"/>
      <c r="P66" s="15" t="n"/>
      <c r="Q66" s="10" t="n"/>
      <c r="R66" s="10" t="n"/>
      <c r="S66" s="16" t="inlineStr">
        <is>
          <t>https://mstgolf.co.th/products/gf1230100180</t>
        </is>
      </c>
      <c r="T66" s="1">
        <f>IF(B66="ไม้กอล์ฟ",J66,"")</f>
        <v/>
      </c>
    </row>
    <row r="67">
      <c r="A67" s="1" t="n">
        <v>1</v>
      </c>
      <c r="B67" s="1" t="inlineStr">
        <is>
          <t>ไม้กอล์ฟ</t>
        </is>
      </c>
      <c r="C67" s="1" t="inlineStr">
        <is>
          <t>gf1210101356</t>
        </is>
      </c>
      <c r="D67" s="1" t="inlineStr">
        <is>
          <t>PING G440 K (2026) Men's Driver</t>
        </is>
      </c>
      <c r="E67" s="1" t="inlineStr">
        <is>
          <t>PING</t>
        </is>
      </c>
      <c r="F67" s="1" t="inlineStr">
        <is>
          <t>DRIVER</t>
        </is>
      </c>
      <c r="G67" s="1" t="inlineStr">
        <is>
          <t>GF12101013569SR</t>
        </is>
      </c>
      <c r="H67" s="1" t="n">
        <v>5</v>
      </c>
      <c r="I67" s="1" t="inlineStr">
        <is>
          <t>มี</t>
        </is>
      </c>
      <c r="J67" s="13" t="n">
        <v>970</v>
      </c>
      <c r="K67" s="1" t="inlineStr"/>
      <c r="L67" s="13" t="n">
        <v>895</v>
      </c>
      <c r="M67" s="1">
        <f>IF(L67="","ไม่พบใน SG",IF(ABS(J67-L67)&lt;0.005,"ตรงกัน","ไม่ตรง"))</f>
        <v/>
      </c>
      <c r="N67" s="14">
        <f>IF(L67="","",ROUND(L67*'สรุป'!$C$6,-1))</f>
        <v/>
      </c>
      <c r="O67" s="15" t="n"/>
      <c r="P67" s="15" t="n"/>
      <c r="Q67" s="10" t="n"/>
      <c r="R67" s="10" t="n"/>
      <c r="S67" s="16" t="inlineStr">
        <is>
          <t>https://mstgolf.co.th/products/gf1210101356</t>
        </is>
      </c>
      <c r="T67" s="1">
        <f>IF(B67="ไม้กอล์ฟ",J67,"")</f>
        <v/>
      </c>
    </row>
    <row r="68">
      <c r="A68" s="1" t="n">
        <v>1</v>
      </c>
      <c r="B68" s="1" t="inlineStr">
        <is>
          <t>ไม้กอล์ฟ</t>
        </is>
      </c>
      <c r="C68" s="1" t="inlineStr">
        <is>
          <t>gf1280100407</t>
        </is>
      </c>
      <c r="D68" s="1" t="inlineStr">
        <is>
          <t>TITLEIST T-100 Men's Irons</t>
        </is>
      </c>
      <c r="E68" s="1" t="inlineStr">
        <is>
          <t>TITLEIST</t>
        </is>
      </c>
      <c r="F68" s="1" t="inlineStr">
        <is>
          <t>SET OF IRONS</t>
        </is>
      </c>
      <c r="G68" s="1" t="inlineStr">
        <is>
          <t>GF1280100407S</t>
        </is>
      </c>
      <c r="H68" s="1" t="n">
        <v>2</v>
      </c>
      <c r="I68" s="1" t="inlineStr">
        <is>
          <t>มี</t>
        </is>
      </c>
      <c r="J68" s="13" t="n">
        <v>950</v>
      </c>
      <c r="K68" s="1" t="inlineStr"/>
      <c r="L68" s="13" t="n">
        <v>950</v>
      </c>
      <c r="M68" s="1">
        <f>IF(L68="","ไม่พบใน SG",IF(ABS(J68-L68)&lt;0.005,"ตรงกัน","ไม่ตรง"))</f>
        <v/>
      </c>
      <c r="N68" s="14">
        <f>IF(L68="","",ROUND(L68*'สรุป'!$C$6,-1))</f>
        <v/>
      </c>
      <c r="O68" s="15" t="n"/>
      <c r="P68" s="15" t="n"/>
      <c r="Q68" s="10" t="n"/>
      <c r="R68" s="10" t="n"/>
      <c r="S68" s="16" t="inlineStr">
        <is>
          <t>https://mstgolf.co.th/products/gf1280100407</t>
        </is>
      </c>
      <c r="T68" s="1">
        <f>IF(B68="ไม้กอล์ฟ",J68,"")</f>
        <v/>
      </c>
    </row>
    <row r="69">
      <c r="A69" s="1" t="n">
        <v>1</v>
      </c>
      <c r="B69" s="1" t="inlineStr">
        <is>
          <t>ไม้กอล์ฟ</t>
        </is>
      </c>
      <c r="C69" s="1" t="inlineStr">
        <is>
          <t>gf1280101365</t>
        </is>
      </c>
      <c r="D69" s="1" t="inlineStr">
        <is>
          <t>YAMAHA RMX Forged (2024) Men's Irons</t>
        </is>
      </c>
      <c r="E69" s="1" t="inlineStr">
        <is>
          <t>YAMAHA</t>
        </is>
      </c>
      <c r="F69" s="1" t="inlineStr">
        <is>
          <t>SET OF IRONS</t>
        </is>
      </c>
      <c r="G69" s="1" t="inlineStr">
        <is>
          <t>GF1280101365R</t>
        </is>
      </c>
      <c r="H69" s="1" t="n">
        <v>1</v>
      </c>
      <c r="I69" s="1" t="inlineStr">
        <is>
          <t>มี</t>
        </is>
      </c>
      <c r="J69" s="13" t="n">
        <v>950</v>
      </c>
      <c r="K69" s="1" t="inlineStr"/>
      <c r="L69" s="13" t="n">
        <v>599</v>
      </c>
      <c r="M69" s="1">
        <f>IF(L69="","ไม่พบใน SG",IF(ABS(J69-L69)&lt;0.005,"ตรงกัน","ไม่ตรง"))</f>
        <v/>
      </c>
      <c r="N69" s="14">
        <f>IF(L69="","",ROUND(L69*'สรุป'!$C$6,-1))</f>
        <v/>
      </c>
      <c r="O69" s="15" t="n"/>
      <c r="P69" s="15" t="n"/>
      <c r="Q69" s="10" t="n"/>
      <c r="R69" s="10" t="n"/>
      <c r="S69" s="16" t="inlineStr">
        <is>
          <t>https://mstgolf.co.th/products/gf1280101365</t>
        </is>
      </c>
      <c r="T69" s="1">
        <f>IF(B69="ไม้กอล์ฟ",J69,"")</f>
        <v/>
      </c>
    </row>
    <row r="70">
      <c r="A70" s="1" t="n">
        <v>1</v>
      </c>
      <c r="B70" s="1" t="inlineStr">
        <is>
          <t>ไม้กอล์ฟ</t>
        </is>
      </c>
      <c r="C70" s="1" t="inlineStr">
        <is>
          <t>gf1210101264</t>
        </is>
      </c>
      <c r="D70" s="1" t="inlineStr">
        <is>
          <t>TAYLORMADE QI35 Ryder Europe (2025) Men's Driver</t>
        </is>
      </c>
      <c r="E70" s="1" t="inlineStr">
        <is>
          <t>TAYLORMADE</t>
        </is>
      </c>
      <c r="F70" s="1" t="inlineStr">
        <is>
          <t>DRIVER</t>
        </is>
      </c>
      <c r="G70" s="1" t="inlineStr">
        <is>
          <t>GF12101012649S</t>
        </is>
      </c>
      <c r="H70" s="1" t="n">
        <v>3</v>
      </c>
      <c r="I70" s="1" t="inlineStr">
        <is>
          <t>มี</t>
        </is>
      </c>
      <c r="J70" s="13" t="n">
        <v>929</v>
      </c>
      <c r="K70" s="1" t="inlineStr"/>
      <c r="L70" s="13" t="n">
        <v>679</v>
      </c>
      <c r="M70" s="1">
        <f>IF(L70="","ไม่พบใน SG",IF(ABS(J70-L70)&lt;0.005,"ตรงกัน","ไม่ตรง"))</f>
        <v/>
      </c>
      <c r="N70" s="14">
        <f>IF(L70="","",ROUND(L70*'สรุป'!$C$6,-1))</f>
        <v/>
      </c>
      <c r="O70" s="15" t="n"/>
      <c r="P70" s="15" t="n"/>
      <c r="Q70" s="10" t="n"/>
      <c r="R70" s="10" t="n"/>
      <c r="S70" s="16" t="inlineStr">
        <is>
          <t>https://mstgolf.co.th/products/gf1210101264</t>
        </is>
      </c>
      <c r="T70" s="1">
        <f>IF(B70="ไม้กอล์ฟ",J70,"")</f>
        <v/>
      </c>
    </row>
    <row r="71">
      <c r="A71" s="1" t="n">
        <v>1</v>
      </c>
      <c r="B71" s="1" t="inlineStr">
        <is>
          <t>ไม้กอล์ฟ</t>
        </is>
      </c>
      <c r="C71" s="1" t="inlineStr">
        <is>
          <t>gf1210101263</t>
        </is>
      </c>
      <c r="D71" s="1" t="inlineStr">
        <is>
          <t>TAYLORMADE QI35 Ryder US (2025) Men's Driver</t>
        </is>
      </c>
      <c r="E71" s="1" t="inlineStr">
        <is>
          <t>TAYLORMADE</t>
        </is>
      </c>
      <c r="F71" s="1" t="inlineStr">
        <is>
          <t>DRIVER</t>
        </is>
      </c>
      <c r="G71" s="1" t="inlineStr">
        <is>
          <t>GF12101012639S</t>
        </is>
      </c>
      <c r="H71" s="1" t="n">
        <v>3</v>
      </c>
      <c r="I71" s="1" t="inlineStr">
        <is>
          <t>มี</t>
        </is>
      </c>
      <c r="J71" s="13" t="n">
        <v>929</v>
      </c>
      <c r="K71" s="1" t="inlineStr"/>
      <c r="L71" s="13" t="n">
        <v>679</v>
      </c>
      <c r="M71" s="1">
        <f>IF(L71="","ไม่พบใน SG",IF(ABS(J71-L71)&lt;0.005,"ตรงกัน","ไม่ตรง"))</f>
        <v/>
      </c>
      <c r="N71" s="14">
        <f>IF(L71="","",ROUND(L71*'สรุป'!$C$6,-1))</f>
        <v/>
      </c>
      <c r="O71" s="15" t="n"/>
      <c r="P71" s="15" t="n"/>
      <c r="Q71" s="10" t="n"/>
      <c r="R71" s="10" t="n"/>
      <c r="S71" s="16" t="inlineStr">
        <is>
          <t>https://mstgolf.co.th/products/gf1210101263</t>
        </is>
      </c>
      <c r="T71" s="1">
        <f>IF(B71="ไม้กอล์ฟ",J71,"")</f>
        <v/>
      </c>
    </row>
    <row r="72">
      <c r="A72" s="1" t="n">
        <v>1</v>
      </c>
      <c r="B72" s="1" t="inlineStr">
        <is>
          <t>ไม้กอล์ฟ</t>
        </is>
      </c>
      <c r="C72" s="1" t="inlineStr">
        <is>
          <t>gf1210101326</t>
        </is>
      </c>
      <c r="D72" s="1" t="inlineStr">
        <is>
          <t>TAYLORMADE Qi4D (2026) Men's Driver</t>
        </is>
      </c>
      <c r="E72" s="1" t="inlineStr">
        <is>
          <t>TAYLORMADE</t>
        </is>
      </c>
      <c r="F72" s="1" t="inlineStr">
        <is>
          <t>DRIVER</t>
        </is>
      </c>
      <c r="G72" s="1" t="inlineStr">
        <is>
          <t>GF12101013299SR</t>
        </is>
      </c>
      <c r="H72" s="1" t="n">
        <v>11</v>
      </c>
      <c r="I72" s="1" t="inlineStr">
        <is>
          <t>มี</t>
        </is>
      </c>
      <c r="J72" s="13" t="n">
        <v>929</v>
      </c>
      <c r="K72" s="1" t="inlineStr"/>
      <c r="L72" s="13" t="n">
        <v>799</v>
      </c>
      <c r="M72" s="1">
        <f>IF(L72="","ไม่พบใน SG",IF(ABS(J72-L72)&lt;0.005,"ตรงกัน","ไม่ตรง"))</f>
        <v/>
      </c>
      <c r="N72" s="14">
        <f>IF(L72="","",ROUND(L72*'สรุป'!$C$6,-1))</f>
        <v/>
      </c>
      <c r="O72" s="15" t="n"/>
      <c r="P72" s="15" t="n"/>
      <c r="Q72" s="10" t="n"/>
      <c r="R72" s="10" t="n"/>
      <c r="S72" s="16" t="inlineStr">
        <is>
          <t>https://mstgolf.co.th/products/gf1210101326</t>
        </is>
      </c>
      <c r="T72" s="1">
        <f>IF(B72="ไม้กอล์ฟ",J72,"")</f>
        <v/>
      </c>
    </row>
    <row r="73">
      <c r="A73" s="1" t="n">
        <v>1</v>
      </c>
      <c r="B73" s="1" t="inlineStr">
        <is>
          <t>ไม้กอล์ฟ</t>
        </is>
      </c>
      <c r="C73" s="1" t="inlineStr">
        <is>
          <t>gf1210101322</t>
        </is>
      </c>
      <c r="D73" s="1" t="inlineStr">
        <is>
          <t>TAYLORMADE Qi4D LS (2026) Men's Driver</t>
        </is>
      </c>
      <c r="E73" s="1" t="inlineStr">
        <is>
          <t>TAYLORMADE</t>
        </is>
      </c>
      <c r="F73" s="1" t="inlineStr">
        <is>
          <t>DRIVER</t>
        </is>
      </c>
      <c r="G73" s="1" t="inlineStr">
        <is>
          <t>GF12101013229S</t>
        </is>
      </c>
      <c r="H73" s="1" t="n">
        <v>2</v>
      </c>
      <c r="I73" s="1" t="inlineStr">
        <is>
          <t>มี</t>
        </is>
      </c>
      <c r="J73" s="13" t="n">
        <v>929</v>
      </c>
      <c r="K73" s="1" t="inlineStr"/>
      <c r="L73" s="13" t="n">
        <v>799</v>
      </c>
      <c r="M73" s="1">
        <f>IF(L73="","ไม่พบใน SG",IF(ABS(J73-L73)&lt;0.005,"ตรงกัน","ไม่ตรง"))</f>
        <v/>
      </c>
      <c r="N73" s="14">
        <f>IF(L73="","",ROUND(L73*'สรุป'!$C$6,-1))</f>
        <v/>
      </c>
      <c r="O73" s="15" t="n"/>
      <c r="P73" s="15" t="n"/>
      <c r="Q73" s="10" t="n"/>
      <c r="R73" s="10" t="n"/>
      <c r="S73" s="16" t="inlineStr">
        <is>
          <t>https://mstgolf.co.th/products/gf1210101322</t>
        </is>
      </c>
      <c r="T73" s="1">
        <f>IF(B73="ไม้กอล์ฟ",J73,"")</f>
        <v/>
      </c>
    </row>
    <row r="74">
      <c r="A74" s="1" t="n">
        <v>1</v>
      </c>
      <c r="B74" s="1" t="inlineStr">
        <is>
          <t>ไม้กอล์ฟ</t>
        </is>
      </c>
      <c r="C74" s="1" t="inlineStr">
        <is>
          <t>gf1210101334</t>
        </is>
      </c>
      <c r="D74" s="1" t="inlineStr">
        <is>
          <t>TAYLORMADE Qi4D Max (2026) Men's Driver</t>
        </is>
      </c>
      <c r="E74" s="1" t="inlineStr">
        <is>
          <t>TAYLORMADE</t>
        </is>
      </c>
      <c r="F74" s="1" t="inlineStr">
        <is>
          <t>DRIVER</t>
        </is>
      </c>
      <c r="G74" s="1" t="inlineStr">
        <is>
          <t>GF12101013369S</t>
        </is>
      </c>
      <c r="H74" s="1" t="n">
        <v>12</v>
      </c>
      <c r="I74" s="1" t="inlineStr">
        <is>
          <t>มี</t>
        </is>
      </c>
      <c r="J74" s="13" t="n">
        <v>929</v>
      </c>
      <c r="K74" s="1" t="inlineStr"/>
      <c r="L74" s="13" t="n">
        <v>799</v>
      </c>
      <c r="M74" s="1">
        <f>IF(L74="","ไม่พบใน SG",IF(ABS(J74-L74)&lt;0.005,"ตรงกัน","ไม่ตรง"))</f>
        <v/>
      </c>
      <c r="N74" s="14">
        <f>IF(L74="","",ROUND(L74*'สรุป'!$C$6,-1))</f>
        <v/>
      </c>
      <c r="O74" s="15" t="n"/>
      <c r="P74" s="15" t="n"/>
      <c r="Q74" s="10" t="n"/>
      <c r="R74" s="10" t="n"/>
      <c r="S74" s="16" t="inlineStr">
        <is>
          <t>https://mstgolf.co.th/products/gf1210101334</t>
        </is>
      </c>
      <c r="T74" s="1">
        <f>IF(B74="ไม้กอล์ฟ",J74,"")</f>
        <v/>
      </c>
    </row>
    <row r="75">
      <c r="A75" s="1" t="n">
        <v>1</v>
      </c>
      <c r="B75" s="1" t="inlineStr">
        <is>
          <t>ไม้กอล์ฟ</t>
        </is>
      </c>
      <c r="C75" s="1" t="inlineStr">
        <is>
          <t>gf1210101338</t>
        </is>
      </c>
      <c r="D75" s="1" t="inlineStr">
        <is>
          <t>TAYLORMADE Qi4D Max Lite (2026) Men's Driver</t>
        </is>
      </c>
      <c r="E75" s="1" t="inlineStr">
        <is>
          <t>TAYLORMADE</t>
        </is>
      </c>
      <c r="F75" s="1" t="inlineStr">
        <is>
          <t>DRIVER</t>
        </is>
      </c>
      <c r="G75" s="1" t="inlineStr">
        <is>
          <t>GF1210101338105R</t>
        </is>
      </c>
      <c r="H75" s="1" t="n">
        <v>2</v>
      </c>
      <c r="I75" s="1" t="inlineStr">
        <is>
          <t>มี</t>
        </is>
      </c>
      <c r="J75" s="13" t="n">
        <v>929</v>
      </c>
      <c r="K75" s="1" t="inlineStr"/>
      <c r="L75" s="13" t="n">
        <v>799</v>
      </c>
      <c r="M75" s="1">
        <f>IF(L75="","ไม่พบใน SG",IF(ABS(J75-L75)&lt;0.005,"ตรงกัน","ไม่ตรง"))</f>
        <v/>
      </c>
      <c r="N75" s="14">
        <f>IF(L75="","",ROUND(L75*'สรุป'!$C$6,-1))</f>
        <v/>
      </c>
      <c r="O75" s="15" t="n"/>
      <c r="P75" s="15" t="n"/>
      <c r="Q75" s="10" t="n"/>
      <c r="R75" s="10" t="n"/>
      <c r="S75" s="16" t="inlineStr">
        <is>
          <t>https://mstgolf.co.th/products/gf1210101338</t>
        </is>
      </c>
      <c r="T75" s="1">
        <f>IF(B75="ไม้กอล์ฟ",J75,"")</f>
        <v/>
      </c>
    </row>
    <row r="76">
      <c r="A76" s="1" t="n">
        <v>1</v>
      </c>
      <c r="B76" s="1" t="inlineStr">
        <is>
          <t>ไม้กอล์ฟ</t>
        </is>
      </c>
      <c r="C76" s="1" t="inlineStr">
        <is>
          <t>gf1210101177</t>
        </is>
      </c>
      <c r="D76" s="1" t="inlineStr">
        <is>
          <t>PING G440 LST (2025) Men's Driver</t>
        </is>
      </c>
      <c r="E76" s="1" t="inlineStr">
        <is>
          <t>PING</t>
        </is>
      </c>
      <c r="F76" s="1" t="inlineStr">
        <is>
          <t>DRIVER</t>
        </is>
      </c>
      <c r="G76" s="1" t="inlineStr">
        <is>
          <t>GF12101011779S</t>
        </is>
      </c>
      <c r="H76" s="1" t="n">
        <v>4</v>
      </c>
      <c r="I76" s="1" t="inlineStr">
        <is>
          <t>มี</t>
        </is>
      </c>
      <c r="J76" s="13" t="n">
        <v>907</v>
      </c>
      <c r="K76" s="1" t="inlineStr"/>
      <c r="L76" s="13" t="n">
        <v>895</v>
      </c>
      <c r="M76" s="1">
        <f>IF(L76="","ไม่พบใน SG",IF(ABS(J76-L76)&lt;0.005,"ตรงกัน","ไม่ตรง"))</f>
        <v/>
      </c>
      <c r="N76" s="14">
        <f>IF(L76="","",ROUND(L76*'สรุป'!$C$6,-1))</f>
        <v/>
      </c>
      <c r="O76" s="15" t="n"/>
      <c r="P76" s="15" t="n"/>
      <c r="Q76" s="10" t="n"/>
      <c r="R76" s="10" t="n"/>
      <c r="S76" s="16" t="inlineStr">
        <is>
          <t>https://mstgolf.co.th/products/gf1210101177</t>
        </is>
      </c>
      <c r="T76" s="1">
        <f>IF(B76="ไม้กอล์ฟ",J76,"")</f>
        <v/>
      </c>
    </row>
    <row r="77">
      <c r="A77" s="1" t="n">
        <v>1</v>
      </c>
      <c r="B77" s="1" t="inlineStr">
        <is>
          <t>ไม้กอล์ฟ</t>
        </is>
      </c>
      <c r="C77" s="1" t="inlineStr">
        <is>
          <t>gf1210101174</t>
        </is>
      </c>
      <c r="D77" s="1" t="inlineStr">
        <is>
          <t>PING G440 Max (2025) Men's Driver</t>
        </is>
      </c>
      <c r="E77" s="1" t="inlineStr">
        <is>
          <t>PING</t>
        </is>
      </c>
      <c r="F77" s="1" t="inlineStr">
        <is>
          <t>DRIVER</t>
        </is>
      </c>
      <c r="G77" s="1" t="inlineStr">
        <is>
          <t>GF12101011759S</t>
        </is>
      </c>
      <c r="H77" s="1" t="n">
        <v>7</v>
      </c>
      <c r="I77" s="1" t="inlineStr">
        <is>
          <t>มี</t>
        </is>
      </c>
      <c r="J77" s="13" t="n">
        <v>907</v>
      </c>
      <c r="K77" s="1" t="inlineStr"/>
      <c r="L77" s="13" t="n">
        <v>895</v>
      </c>
      <c r="M77" s="1">
        <f>IF(L77="","ไม่พบใน SG",IF(ABS(J77-L77)&lt;0.005,"ตรงกัน","ไม่ตรง"))</f>
        <v/>
      </c>
      <c r="N77" s="14">
        <f>IF(L77="","",ROUND(L77*'สรุป'!$C$6,-1))</f>
        <v/>
      </c>
      <c r="O77" s="15" t="n"/>
      <c r="P77" s="15" t="n"/>
      <c r="Q77" s="10" t="n"/>
      <c r="R77" s="10" t="n"/>
      <c r="S77" s="16" t="inlineStr">
        <is>
          <t>https://mstgolf.co.th/products/gf1210101174</t>
        </is>
      </c>
      <c r="T77" s="1">
        <f>IF(B77="ไม้กอล์ฟ",J77,"")</f>
        <v/>
      </c>
    </row>
    <row r="78">
      <c r="A78" s="1" t="n">
        <v>1</v>
      </c>
      <c r="B78" s="1" t="inlineStr">
        <is>
          <t>ไม้กอล์ฟ</t>
        </is>
      </c>
      <c r="C78" s="1" t="inlineStr">
        <is>
          <t>gf1210101178</t>
        </is>
      </c>
      <c r="D78" s="1" t="inlineStr">
        <is>
          <t>PING G440 Max HL (2025) Men's Driver</t>
        </is>
      </c>
      <c r="E78" s="1" t="inlineStr">
        <is>
          <t>PING</t>
        </is>
      </c>
      <c r="F78" s="1" t="inlineStr">
        <is>
          <t>DRIVER</t>
        </is>
      </c>
      <c r="G78" s="1" t="inlineStr">
        <is>
          <t>GF1210101178105</t>
        </is>
      </c>
      <c r="H78" s="1" t="n">
        <v>2</v>
      </c>
      <c r="I78" s="1" t="inlineStr">
        <is>
          <t>มี</t>
        </is>
      </c>
      <c r="J78" s="13" t="n">
        <v>907</v>
      </c>
      <c r="K78" s="1" t="inlineStr">
        <is>
          <t>ต่างกัน</t>
        </is>
      </c>
      <c r="L78" s="13" t="n">
        <v>895</v>
      </c>
      <c r="M78" s="1">
        <f>IF(L78="","ไม่พบใน SG",IF(ABS(J78-L78)&lt;0.005,"ตรงกัน","ไม่ตรง"))</f>
        <v/>
      </c>
      <c r="N78" s="14">
        <f>IF(L78="","",ROUND(L78*'สรุป'!$C$6,-1))</f>
        <v/>
      </c>
      <c r="O78" s="15" t="n"/>
      <c r="P78" s="15" t="n"/>
      <c r="Q78" s="10" t="n"/>
      <c r="R78" s="10" t="n"/>
      <c r="S78" s="16" t="inlineStr">
        <is>
          <t>https://mstgolf.co.th/products/gf1210101178</t>
        </is>
      </c>
      <c r="T78" s="1">
        <f>IF(B78="ไม้กอล์ฟ",J78,"")</f>
        <v/>
      </c>
    </row>
    <row r="79">
      <c r="A79" s="1" t="n">
        <v>1</v>
      </c>
      <c r="B79" s="1" t="inlineStr">
        <is>
          <t>ไม้กอล์ฟ</t>
        </is>
      </c>
      <c r="C79" s="1" t="inlineStr">
        <is>
          <t>gf1210101176</t>
        </is>
      </c>
      <c r="D79" s="1" t="inlineStr">
        <is>
          <t>PING G440 SFT (2025) Men's Driver</t>
        </is>
      </c>
      <c r="E79" s="1" t="inlineStr">
        <is>
          <t>PING</t>
        </is>
      </c>
      <c r="F79" s="1" t="inlineStr">
        <is>
          <t>DRIVER</t>
        </is>
      </c>
      <c r="G79" s="1" t="inlineStr">
        <is>
          <t>GF1210101176105R</t>
        </is>
      </c>
      <c r="H79" s="1" t="n">
        <v>2</v>
      </c>
      <c r="I79" s="1" t="inlineStr">
        <is>
          <t>มี</t>
        </is>
      </c>
      <c r="J79" s="13" t="n">
        <v>907</v>
      </c>
      <c r="K79" s="1" t="inlineStr"/>
      <c r="L79" s="13" t="n">
        <v>895</v>
      </c>
      <c r="M79" s="1">
        <f>IF(L79="","ไม่พบใน SG",IF(ABS(J79-L79)&lt;0.005,"ตรงกัน","ไม่ตรง"))</f>
        <v/>
      </c>
      <c r="N79" s="14">
        <f>IF(L79="","",ROUND(L79*'สรุป'!$C$6,-1))</f>
        <v/>
      </c>
      <c r="O79" s="15" t="n"/>
      <c r="P79" s="15" t="n"/>
      <c r="Q79" s="10" t="n"/>
      <c r="R79" s="10" t="n"/>
      <c r="S79" s="16" t="inlineStr">
        <is>
          <t>https://mstgolf.co.th/products/gf1210101176</t>
        </is>
      </c>
      <c r="T79" s="1">
        <f>IF(B79="ไม้กอล์ฟ",J79,"")</f>
        <v/>
      </c>
    </row>
    <row r="80">
      <c r="A80" s="1" t="n">
        <v>1</v>
      </c>
      <c r="B80" s="1" t="inlineStr">
        <is>
          <t>ไม้กอล์ฟ</t>
        </is>
      </c>
      <c r="C80" s="1" t="inlineStr">
        <is>
          <t>gf1280100899</t>
        </is>
      </c>
      <c r="D80" s="1" t="inlineStr">
        <is>
          <t>MIZUNO JPX-923 Tour (2023) Men's Irons</t>
        </is>
      </c>
      <c r="E80" s="1" t="inlineStr">
        <is>
          <t>MIZUNO</t>
        </is>
      </c>
      <c r="F80" s="1" t="inlineStr">
        <is>
          <t>SET OF IRONS</t>
        </is>
      </c>
      <c r="G80" s="1" t="inlineStr">
        <is>
          <t>GF1280100899S</t>
        </is>
      </c>
      <c r="H80" s="1" t="n">
        <v>1</v>
      </c>
      <c r="I80" s="1" t="inlineStr">
        <is>
          <t>มี</t>
        </is>
      </c>
      <c r="J80" s="13" t="n">
        <v>899</v>
      </c>
      <c r="K80" s="1" t="inlineStr"/>
      <c r="L80" s="13" t="n">
        <v>789</v>
      </c>
      <c r="M80" s="1">
        <f>IF(L80="","ไม่พบใน SG",IF(ABS(J80-L80)&lt;0.005,"ตรงกัน","ไม่ตรง"))</f>
        <v/>
      </c>
      <c r="N80" s="14">
        <f>IF(L80="","",ROUND(L80*'สรุป'!$C$6,-1))</f>
        <v/>
      </c>
      <c r="O80" s="15" t="n"/>
      <c r="P80" s="15" t="n"/>
      <c r="Q80" s="10" t="n"/>
      <c r="R80" s="10" t="n"/>
      <c r="S80" s="16" t="inlineStr">
        <is>
          <t>https://mstgolf.co.th/products/gf1280100899</t>
        </is>
      </c>
      <c r="T80" s="1">
        <f>IF(B80="ไม้กอล์ฟ",J80,"")</f>
        <v/>
      </c>
    </row>
    <row r="81">
      <c r="A81" s="1" t="n">
        <v>1</v>
      </c>
      <c r="B81" s="1" t="inlineStr">
        <is>
          <t>ไม้กอล์ฟ</t>
        </is>
      </c>
      <c r="C81" s="1" t="inlineStr">
        <is>
          <t>gf1280100693</t>
        </is>
      </c>
      <c r="D81" s="1" t="inlineStr">
        <is>
          <t>MIZUNO Pro 221 Men's Irons</t>
        </is>
      </c>
      <c r="E81" s="1" t="inlineStr">
        <is>
          <t>MIZUNO</t>
        </is>
      </c>
      <c r="F81" s="1" t="inlineStr">
        <is>
          <t>SET OF IRONS</t>
        </is>
      </c>
      <c r="G81" s="1" t="inlineStr">
        <is>
          <t>GF1280100693S</t>
        </is>
      </c>
      <c r="H81" s="1" t="n">
        <v>1</v>
      </c>
      <c r="I81" s="1" t="inlineStr">
        <is>
          <t>มี</t>
        </is>
      </c>
      <c r="J81" s="13" t="n">
        <v>899</v>
      </c>
      <c r="K81" s="1" t="inlineStr"/>
      <c r="L81" s="13" t="n">
        <v>899</v>
      </c>
      <c r="M81" s="1">
        <f>IF(L81="","ไม่พบใน SG",IF(ABS(J81-L81)&lt;0.005,"ตรงกัน","ไม่ตรง"))</f>
        <v/>
      </c>
      <c r="N81" s="14">
        <f>IF(L81="","",ROUND(L81*'สรุป'!$C$6,-1))</f>
        <v/>
      </c>
      <c r="O81" s="15" t="n"/>
      <c r="P81" s="15" t="n"/>
      <c r="Q81" s="10" t="n"/>
      <c r="R81" s="10" t="n"/>
      <c r="S81" s="16" t="inlineStr">
        <is>
          <t>https://mstgolf.co.th/products/gf1280100693</t>
        </is>
      </c>
      <c r="T81" s="1">
        <f>IF(B81="ไม้กอล์ฟ",J81,"")</f>
        <v/>
      </c>
    </row>
    <row r="82">
      <c r="A82" s="1" t="n">
        <v>1</v>
      </c>
      <c r="B82" s="1" t="inlineStr">
        <is>
          <t>ไม้กอล์ฟ</t>
        </is>
      </c>
      <c r="C82" s="1" t="inlineStr">
        <is>
          <t>gf1280100789</t>
        </is>
      </c>
      <c r="D82" s="1" t="inlineStr">
        <is>
          <t>ONOFF AKA Tungsten (2022) Men's Irons</t>
        </is>
      </c>
      <c r="E82" s="1" t="inlineStr">
        <is>
          <t>ONOFF</t>
        </is>
      </c>
      <c r="F82" s="1" t="inlineStr">
        <is>
          <t>SET OF IRONS</t>
        </is>
      </c>
      <c r="G82" s="1" t="inlineStr">
        <is>
          <t>GF1280100828SR</t>
        </is>
      </c>
      <c r="H82" s="1" t="n">
        <v>3</v>
      </c>
      <c r="I82" s="1" t="inlineStr">
        <is>
          <t>มี</t>
        </is>
      </c>
      <c r="J82" s="13" t="n">
        <v>899</v>
      </c>
      <c r="K82" s="1" t="inlineStr"/>
      <c r="L82" s="13" t="n">
        <v>789</v>
      </c>
      <c r="M82" s="1">
        <f>IF(L82="","ไม่พบใน SG",IF(ABS(J82-L82)&lt;0.005,"ตรงกัน","ไม่ตรง"))</f>
        <v/>
      </c>
      <c r="N82" s="14">
        <f>IF(L82="","",ROUND(L82*'สรุป'!$C$6,-1))</f>
        <v/>
      </c>
      <c r="O82" s="15" t="n"/>
      <c r="P82" s="15" t="n"/>
      <c r="Q82" s="10" t="n"/>
      <c r="R82" s="10" t="n"/>
      <c r="S82" s="16" t="inlineStr">
        <is>
          <t>https://mstgolf.co.th/products/gf1280100789</t>
        </is>
      </c>
      <c r="T82" s="1">
        <f>IF(B82="ไม้กอล์ฟ",J82,"")</f>
        <v/>
      </c>
    </row>
    <row r="83">
      <c r="A83" s="1" t="n">
        <v>1</v>
      </c>
      <c r="B83" s="1" t="inlineStr">
        <is>
          <t>ไม้กอล์ฟ</t>
        </is>
      </c>
      <c r="C83" s="1" t="inlineStr">
        <is>
          <t>gf1280100786</t>
        </is>
      </c>
      <c r="D83" s="1" t="inlineStr">
        <is>
          <t>ONOFF Kuro Forged (2021) Men's Irons</t>
        </is>
      </c>
      <c r="E83" s="1" t="inlineStr">
        <is>
          <t>ONOFF</t>
        </is>
      </c>
      <c r="F83" s="1" t="inlineStr">
        <is>
          <t>SET OF IRONS</t>
        </is>
      </c>
      <c r="G83" s="1" t="inlineStr">
        <is>
          <t>GF1280100787S</t>
        </is>
      </c>
      <c r="H83" s="1" t="n">
        <v>2</v>
      </c>
      <c r="I83" s="1" t="inlineStr">
        <is>
          <t>มี</t>
        </is>
      </c>
      <c r="J83" s="13" t="n">
        <v>899</v>
      </c>
      <c r="K83" s="1" t="inlineStr"/>
      <c r="L83" s="13" t="n">
        <v>739</v>
      </c>
      <c r="M83" s="1">
        <f>IF(L83="","ไม่พบใน SG",IF(ABS(J83-L83)&lt;0.005,"ตรงกัน","ไม่ตรง"))</f>
        <v/>
      </c>
      <c r="N83" s="14">
        <f>IF(L83="","",ROUND(L83*'สรุป'!$C$6,-1))</f>
        <v/>
      </c>
      <c r="O83" s="15" t="n"/>
      <c r="P83" s="15" t="n"/>
      <c r="Q83" s="10" t="n"/>
      <c r="R83" s="10" t="n"/>
      <c r="S83" s="16" t="inlineStr">
        <is>
          <t>https://mstgolf.co.th/products/gf1280100786</t>
        </is>
      </c>
      <c r="T83" s="1">
        <f>IF(B83="ไม้กอล์ฟ",J83,"")</f>
        <v/>
      </c>
    </row>
    <row r="84">
      <c r="A84" s="1" t="n">
        <v>1</v>
      </c>
      <c r="B84" s="1" t="inlineStr">
        <is>
          <t>อุปกรณ์วัดระยะ/เทคโนโลยี</t>
        </is>
      </c>
      <c r="C84" s="1" t="inlineStr">
        <is>
          <t>gf3190200027</t>
        </is>
      </c>
      <c r="D84" s="1" t="inlineStr">
        <is>
          <t>VOICE CADDIE Swing Caddie Portable Launch Monitor</t>
        </is>
      </c>
      <c r="E84" s="1" t="inlineStr">
        <is>
          <t>VOICE CADDIE</t>
        </is>
      </c>
      <c r="F84" s="1" t="inlineStr">
        <is>
          <t>HANDHELD</t>
        </is>
      </c>
      <c r="G84" s="1" t="inlineStr">
        <is>
          <t>GF3190200027</t>
        </is>
      </c>
      <c r="H84" s="1" t="n">
        <v>1</v>
      </c>
      <c r="I84" s="1" t="inlineStr">
        <is>
          <t>มี</t>
        </is>
      </c>
      <c r="J84" s="13" t="n">
        <v>890</v>
      </c>
      <c r="K84" s="1" t="inlineStr"/>
      <c r="L84" s="13" t="n">
        <v>890</v>
      </c>
      <c r="M84" s="1">
        <f>IF(L84="","ไม่พบใน SG",IF(ABS(J84-L84)&lt;0.005,"ตรงกัน","ไม่ตรง"))</f>
        <v/>
      </c>
      <c r="N84" s="14">
        <f>IF(L84="","",ROUND(L84*'สรุป'!$C$6,-1))</f>
        <v/>
      </c>
      <c r="O84" s="15" t="n"/>
      <c r="P84" s="15" t="n"/>
      <c r="Q84" s="10" t="n"/>
      <c r="R84" s="10" t="n"/>
      <c r="S84" s="16" t="inlineStr">
        <is>
          <t>https://mstgolf.co.th/products/gf3190200027</t>
        </is>
      </c>
      <c r="T84" s="1">
        <f>IF(B84="ไม้กอล์ฟ",J84,"")</f>
        <v/>
      </c>
    </row>
    <row r="85">
      <c r="A85" s="1" t="n">
        <v>1</v>
      </c>
      <c r="B85" s="1" t="inlineStr">
        <is>
          <t>ไม้กอล์ฟ</t>
        </is>
      </c>
      <c r="C85" s="1" t="inlineStr">
        <is>
          <t>gf1240101464</t>
        </is>
      </c>
      <c r="D85" s="1" t="inlineStr">
        <is>
          <t>TITLEIST Studio Style Fastback Long Design (2025) Men's Putter</t>
        </is>
      </c>
      <c r="E85" s="1" t="inlineStr">
        <is>
          <t>TITLEIST</t>
        </is>
      </c>
      <c r="F85" s="1" t="inlineStr">
        <is>
          <t>PUTTER</t>
        </is>
      </c>
      <c r="G85" s="1" t="inlineStr">
        <is>
          <t>GF124010146438</t>
        </is>
      </c>
      <c r="H85" s="1" t="n">
        <v>1</v>
      </c>
      <c r="I85" s="1" t="inlineStr">
        <is>
          <t>มี</t>
        </is>
      </c>
      <c r="J85" s="13" t="n">
        <v>879</v>
      </c>
      <c r="K85" s="1" t="inlineStr"/>
      <c r="L85" s="13" t="n">
        <v>879</v>
      </c>
      <c r="M85" s="1">
        <f>IF(L85="","ไม่พบใน SG",IF(ABS(J85-L85)&lt;0.005,"ตรงกัน","ไม่ตรง"))</f>
        <v/>
      </c>
      <c r="N85" s="14">
        <f>IF(L85="","",ROUND(L85*'สรุป'!$C$6,-1))</f>
        <v/>
      </c>
      <c r="O85" s="15" t="n"/>
      <c r="P85" s="15" t="n"/>
      <c r="Q85" s="10" t="n"/>
      <c r="R85" s="10" t="n"/>
      <c r="S85" s="16" t="inlineStr">
        <is>
          <t>https://mstgolf.co.th/products/gf1240101464</t>
        </is>
      </c>
      <c r="T85" s="1">
        <f>IF(B85="ไม้กอล์ฟ",J85,"")</f>
        <v/>
      </c>
    </row>
    <row r="86">
      <c r="A86" s="1" t="n">
        <v>1</v>
      </c>
      <c r="B86" s="1" t="inlineStr">
        <is>
          <t>ไม้กอล์ฟ</t>
        </is>
      </c>
      <c r="C86" s="1" t="inlineStr">
        <is>
          <t>gf1210100990</t>
        </is>
      </c>
      <c r="D86" s="1" t="inlineStr">
        <is>
          <t>ONOFF KURO (2024) Men's Driver</t>
        </is>
      </c>
      <c r="E86" s="1" t="inlineStr">
        <is>
          <t>ONOFF</t>
        </is>
      </c>
      <c r="F86" s="1" t="inlineStr">
        <is>
          <t>DRIVER</t>
        </is>
      </c>
      <c r="G86" s="1" t="inlineStr">
        <is>
          <t>GF12101009909.5S</t>
        </is>
      </c>
      <c r="H86" s="1" t="n">
        <v>2</v>
      </c>
      <c r="I86" s="1" t="inlineStr">
        <is>
          <t>มี</t>
        </is>
      </c>
      <c r="J86" s="13" t="n">
        <v>849</v>
      </c>
      <c r="K86" s="1" t="inlineStr"/>
      <c r="L86" s="13" t="n">
        <v>689</v>
      </c>
      <c r="M86" s="1">
        <f>IF(L86="","ไม่พบใน SG",IF(ABS(J86-L86)&lt;0.005,"ตรงกัน","ไม่ตรง"))</f>
        <v/>
      </c>
      <c r="N86" s="14">
        <f>IF(L86="","",ROUND(L86*'สรุป'!$C$6,-1))</f>
        <v/>
      </c>
      <c r="O86" s="15" t="n"/>
      <c r="P86" s="15" t="n"/>
      <c r="Q86" s="10" t="n"/>
      <c r="R86" s="10" t="n"/>
      <c r="S86" s="16" t="inlineStr">
        <is>
          <t>https://mstgolf.co.th/products/gf1210100990</t>
        </is>
      </c>
      <c r="T86" s="1">
        <f>IF(B86="ไม้กอล์ฟ",J86,"")</f>
        <v/>
      </c>
    </row>
    <row r="87">
      <c r="A87" s="1" t="n">
        <v>1</v>
      </c>
      <c r="B87" s="1" t="inlineStr">
        <is>
          <t>ไม้กอล์ฟ</t>
        </is>
      </c>
      <c r="C87" s="1" t="inlineStr">
        <is>
          <t>gf1210101359</t>
        </is>
      </c>
      <c r="D87" s="1" t="inlineStr">
        <is>
          <t>COBRA OPTM MAX-K Black (2026) Men's Driver</t>
        </is>
      </c>
      <c r="E87" s="1" t="inlineStr">
        <is>
          <t>COBRA</t>
        </is>
      </c>
      <c r="F87" s="1" t="inlineStr">
        <is>
          <t>DRIVER</t>
        </is>
      </c>
      <c r="G87" s="1" t="inlineStr">
        <is>
          <t>GF12101013599S</t>
        </is>
      </c>
      <c r="H87" s="1" t="n">
        <v>4</v>
      </c>
      <c r="I87" s="1" t="inlineStr">
        <is>
          <t>มี</t>
        </is>
      </c>
      <c r="J87" s="13" t="n">
        <v>825</v>
      </c>
      <c r="K87" s="1" t="inlineStr"/>
      <c r="L87" s="13" t="n">
        <v>825</v>
      </c>
      <c r="M87" s="1">
        <f>IF(L87="","ไม่พบใน SG",IF(ABS(J87-L87)&lt;0.005,"ตรงกัน","ไม่ตรง"))</f>
        <v/>
      </c>
      <c r="N87" s="14">
        <f>IF(L87="","",ROUND(L87*'สรุป'!$C$6,-1))</f>
        <v/>
      </c>
      <c r="O87" s="15" t="n"/>
      <c r="P87" s="15" t="n"/>
      <c r="Q87" s="10" t="n"/>
      <c r="R87" s="10" t="n"/>
      <c r="S87" s="16" t="inlineStr">
        <is>
          <t>https://mstgolf.co.th/products/gf1210101359</t>
        </is>
      </c>
      <c r="T87" s="1">
        <f>IF(B87="ไม้กอล์ฟ",J87,"")</f>
        <v/>
      </c>
    </row>
    <row r="88">
      <c r="A88" s="1" t="n">
        <v>1</v>
      </c>
      <c r="B88" s="1" t="inlineStr">
        <is>
          <t>ไม้กอล์ฟ</t>
        </is>
      </c>
      <c r="C88" s="1" t="inlineStr">
        <is>
          <t>gf1220100900</t>
        </is>
      </c>
      <c r="D88" s="1" t="inlineStr">
        <is>
          <t>MAJESTY Royale (2025) Men's Fairway</t>
        </is>
      </c>
      <c r="E88" s="1" t="inlineStr">
        <is>
          <t>MAJESTY</t>
        </is>
      </c>
      <c r="F88" s="1" t="inlineStr">
        <is>
          <t>FAIRWAY WOOD</t>
        </is>
      </c>
      <c r="G88" s="1" t="inlineStr">
        <is>
          <t>GF1220100900#3R</t>
        </is>
      </c>
      <c r="H88" s="1" t="n">
        <v>5</v>
      </c>
      <c r="I88" s="1" t="inlineStr">
        <is>
          <t>มี</t>
        </is>
      </c>
      <c r="J88" s="13" t="n">
        <v>799</v>
      </c>
      <c r="K88" s="1" t="inlineStr"/>
      <c r="L88" s="13" t="n">
        <v>799</v>
      </c>
      <c r="M88" s="1">
        <f>IF(L88="","ไม่พบใน SG",IF(ABS(J88-L88)&lt;0.005,"ตรงกัน","ไม่ตรง"))</f>
        <v/>
      </c>
      <c r="N88" s="14">
        <f>IF(L88="","",ROUND(L88*'สรุป'!$C$6,-1))</f>
        <v/>
      </c>
      <c r="O88" s="15" t="n"/>
      <c r="P88" s="15" t="n"/>
      <c r="Q88" s="10" t="n"/>
      <c r="R88" s="10" t="n"/>
      <c r="S88" s="16" t="inlineStr">
        <is>
          <t>https://mstgolf.co.th/products/gf1220100900</t>
        </is>
      </c>
      <c r="T88" s="1">
        <f>IF(B88="ไม้กอล์ฟ",J88,"")</f>
        <v/>
      </c>
    </row>
    <row r="89">
      <c r="A89" s="1" t="n">
        <v>1</v>
      </c>
      <c r="B89" s="1" t="inlineStr">
        <is>
          <t>ไม้กอล์ฟ</t>
        </is>
      </c>
      <c r="C89" s="1" t="inlineStr">
        <is>
          <t>gf1220100901</t>
        </is>
      </c>
      <c r="D89" s="1" t="inlineStr">
        <is>
          <t>MAJESTY Royale (2025) Women's Fairway</t>
        </is>
      </c>
      <c r="E89" s="1" t="inlineStr">
        <is>
          <t>MAJESTY</t>
        </is>
      </c>
      <c r="F89" s="1" t="inlineStr">
        <is>
          <t>FAIRWAY WOOD</t>
        </is>
      </c>
      <c r="G89" s="1" t="inlineStr">
        <is>
          <t>GF1220100901#3L</t>
        </is>
      </c>
      <c r="H89" s="1" t="n">
        <v>2</v>
      </c>
      <c r="I89" s="1" t="inlineStr">
        <is>
          <t>มี</t>
        </is>
      </c>
      <c r="J89" s="13" t="n">
        <v>799</v>
      </c>
      <c r="K89" s="1" t="inlineStr"/>
      <c r="L89" s="13" t="n">
        <v>799</v>
      </c>
      <c r="M89" s="1">
        <f>IF(L89="","ไม่พบใน SG",IF(ABS(J89-L89)&lt;0.005,"ตรงกัน","ไม่ตรง"))</f>
        <v/>
      </c>
      <c r="N89" s="14">
        <f>IF(L89="","",ROUND(L89*'สรุป'!$C$6,-1))</f>
        <v/>
      </c>
      <c r="O89" s="15" t="n"/>
      <c r="P89" s="15" t="n"/>
      <c r="Q89" s="10" t="n"/>
      <c r="R89" s="10" t="n"/>
      <c r="S89" s="16" t="inlineStr">
        <is>
          <t>https://mstgolf.co.th/products/gf1220100901</t>
        </is>
      </c>
      <c r="T89" s="1">
        <f>IF(B89="ไม้กอล์ฟ",J89,"")</f>
        <v/>
      </c>
    </row>
    <row r="90">
      <c r="A90" s="1" t="n">
        <v>1</v>
      </c>
      <c r="B90" s="1" t="inlineStr">
        <is>
          <t>ไม้กอล์ฟ</t>
        </is>
      </c>
      <c r="C90" s="1" t="inlineStr">
        <is>
          <t>gf1250100135</t>
        </is>
      </c>
      <c r="D90" s="1" t="inlineStr">
        <is>
          <t>TAYLORMADE Rory K50 Junior Package Set (Age 9-12)</t>
        </is>
      </c>
      <c r="E90" s="1" t="inlineStr">
        <is>
          <t>TAYLORMADE</t>
        </is>
      </c>
      <c r="F90" s="1" t="inlineStr">
        <is>
          <t>PACKAGE SET</t>
        </is>
      </c>
      <c r="G90" s="1" t="inlineStr">
        <is>
          <t>GF1250100135</t>
        </is>
      </c>
      <c r="H90" s="1" t="n">
        <v>1</v>
      </c>
      <c r="I90" s="1" t="inlineStr">
        <is>
          <t>มี</t>
        </is>
      </c>
      <c r="J90" s="13" t="n">
        <v>799</v>
      </c>
      <c r="K90" s="1" t="inlineStr"/>
      <c r="L90" s="13" t="n">
        <v>799</v>
      </c>
      <c r="M90" s="1">
        <f>IF(L90="","ไม่พบใน SG",IF(ABS(J90-L90)&lt;0.005,"ตรงกัน","ไม่ตรง"))</f>
        <v/>
      </c>
      <c r="N90" s="14">
        <f>IF(L90="","",ROUND(L90*'สรุป'!$C$6,-1))</f>
        <v/>
      </c>
      <c r="O90" s="15" t="n"/>
      <c r="P90" s="15" t="n"/>
      <c r="Q90" s="10" t="n"/>
      <c r="R90" s="10" t="n"/>
      <c r="S90" s="16" t="inlineStr">
        <is>
          <t>https://mstgolf.co.th/products/gf1250100135</t>
        </is>
      </c>
      <c r="T90" s="1">
        <f>IF(B90="ไม้กอล์ฟ",J90,"")</f>
        <v/>
      </c>
    </row>
    <row r="91">
      <c r="A91" s="1" t="n">
        <v>1</v>
      </c>
      <c r="B91" s="1" t="inlineStr">
        <is>
          <t>ไม้กอล์ฟ</t>
        </is>
      </c>
      <c r="C91" s="1" t="inlineStr">
        <is>
          <t>gf1250100191</t>
        </is>
      </c>
      <c r="D91" s="1" t="inlineStr">
        <is>
          <t>TAYLORMADE Team TaylorMade (2024) Junior Package Set (Ages 7-9)</t>
        </is>
      </c>
      <c r="E91" s="1" t="inlineStr">
        <is>
          <t>TAYLORMADE</t>
        </is>
      </c>
      <c r="F91" s="1" t="inlineStr">
        <is>
          <t>PACKAGE SET</t>
        </is>
      </c>
      <c r="G91" s="1" t="inlineStr">
        <is>
          <t>GF1250100191</t>
        </is>
      </c>
      <c r="H91" s="1" t="n">
        <v>1</v>
      </c>
      <c r="I91" s="1" t="inlineStr">
        <is>
          <t>มี</t>
        </is>
      </c>
      <c r="J91" s="13" t="n">
        <v>799</v>
      </c>
      <c r="K91" s="1" t="inlineStr"/>
      <c r="L91" s="13" t="n">
        <v>799</v>
      </c>
      <c r="M91" s="1">
        <f>IF(L91="","ไม่พบใน SG",IF(ABS(J91-L91)&lt;0.005,"ตรงกัน","ไม่ตรง"))</f>
        <v/>
      </c>
      <c r="N91" s="14">
        <f>IF(L91="","",ROUND(L91*'สรุป'!$C$6,-1))</f>
        <v/>
      </c>
      <c r="O91" s="15" t="n"/>
      <c r="P91" s="15" t="n"/>
      <c r="Q91" s="10" t="n"/>
      <c r="R91" s="10" t="n"/>
      <c r="S91" s="16" t="inlineStr">
        <is>
          <t>https://mstgolf.co.th/products/gf1250100191</t>
        </is>
      </c>
      <c r="T91" s="1">
        <f>IF(B91="ไม้กอล์ฟ",J91,"")</f>
        <v/>
      </c>
    </row>
    <row r="92">
      <c r="A92" s="1" t="n">
        <v>1</v>
      </c>
      <c r="B92" s="1" t="inlineStr">
        <is>
          <t>ไม้กอล์ฟ</t>
        </is>
      </c>
      <c r="C92" s="1" t="inlineStr">
        <is>
          <t>gf1210100835</t>
        </is>
      </c>
      <c r="D92" s="1" t="inlineStr">
        <is>
          <t>MARUMAN SG M230 (2023) Men's Driver</t>
        </is>
      </c>
      <c r="E92" s="1" t="inlineStr">
        <is>
          <t>MARUMAN</t>
        </is>
      </c>
      <c r="F92" s="1" t="inlineStr">
        <is>
          <t>DRIVER</t>
        </is>
      </c>
      <c r="G92" s="1" t="inlineStr">
        <is>
          <t>GF12101008359.5S</t>
        </is>
      </c>
      <c r="H92" s="1" t="n">
        <v>6</v>
      </c>
      <c r="I92" s="1" t="inlineStr">
        <is>
          <t>มี</t>
        </is>
      </c>
      <c r="J92" s="13" t="n">
        <v>790</v>
      </c>
      <c r="K92" s="1" t="inlineStr"/>
      <c r="L92" s="13" t="n">
        <v>790</v>
      </c>
      <c r="M92" s="1">
        <f>IF(L92="","ไม่พบใน SG",IF(ABS(J92-L92)&lt;0.005,"ตรงกัน","ไม่ตรง"))</f>
        <v/>
      </c>
      <c r="N92" s="14">
        <f>IF(L92="","",ROUND(L92*'สรุป'!$C$6,-1))</f>
        <v/>
      </c>
      <c r="O92" s="15" t="n"/>
      <c r="P92" s="15" t="n"/>
      <c r="Q92" s="10" t="n"/>
      <c r="R92" s="10" t="n"/>
      <c r="S92" s="16" t="inlineStr">
        <is>
          <t>https://mstgolf.co.th/products/gf1210100835</t>
        </is>
      </c>
      <c r="T92" s="1">
        <f>IF(B92="ไม้กอล์ฟ",J92,"")</f>
        <v/>
      </c>
    </row>
    <row r="93">
      <c r="A93" s="1" t="n">
        <v>1</v>
      </c>
      <c r="B93" s="1" t="inlineStr">
        <is>
          <t>ไม้กอล์ฟ</t>
        </is>
      </c>
      <c r="C93" s="1" t="inlineStr">
        <is>
          <t>gf1210100836</t>
        </is>
      </c>
      <c r="D93" s="1" t="inlineStr">
        <is>
          <t>MARUMAN SG M230 (2023) Women's Driver</t>
        </is>
      </c>
      <c r="E93" s="1" t="inlineStr">
        <is>
          <t>MARUMAN</t>
        </is>
      </c>
      <c r="F93" s="1" t="inlineStr">
        <is>
          <t>DRIVER</t>
        </is>
      </c>
      <c r="G93" s="1" t="inlineStr">
        <is>
          <t>GF1210100836115L</t>
        </is>
      </c>
      <c r="H93" s="1" t="n">
        <v>1</v>
      </c>
      <c r="I93" s="1" t="inlineStr">
        <is>
          <t>มี</t>
        </is>
      </c>
      <c r="J93" s="13" t="n">
        <v>790</v>
      </c>
      <c r="K93" s="1" t="inlineStr"/>
      <c r="L93" s="13" t="n">
        <v>790</v>
      </c>
      <c r="M93" s="1">
        <f>IF(L93="","ไม่พบใน SG",IF(ABS(J93-L93)&lt;0.005,"ตรงกัน","ไม่ตรง"))</f>
        <v/>
      </c>
      <c r="N93" s="14">
        <f>IF(L93="","",ROUND(L93*'สรุป'!$C$6,-1))</f>
        <v/>
      </c>
      <c r="O93" s="15" t="n"/>
      <c r="P93" s="15" t="n"/>
      <c r="Q93" s="10" t="n"/>
      <c r="R93" s="10" t="n"/>
      <c r="S93" s="16" t="inlineStr">
        <is>
          <t>https://mstgolf.co.th/products/gf1210100836</t>
        </is>
      </c>
      <c r="T93" s="1">
        <f>IF(B93="ไม้กอล์ฟ",J93,"")</f>
        <v/>
      </c>
    </row>
    <row r="94">
      <c r="A94" s="1" t="n">
        <v>1</v>
      </c>
      <c r="B94" s="1" t="inlineStr">
        <is>
          <t>ไม้กอล์ฟ</t>
        </is>
      </c>
      <c r="C94" s="1" t="inlineStr">
        <is>
          <t>gf1210100992</t>
        </is>
      </c>
      <c r="D94" s="1" t="inlineStr">
        <is>
          <t>PING G430 Max 10K (2024) Men's Driver</t>
        </is>
      </c>
      <c r="E94" s="1" t="inlineStr">
        <is>
          <t>PING</t>
        </is>
      </c>
      <c r="F94" s="1" t="inlineStr">
        <is>
          <t>DRIVER</t>
        </is>
      </c>
      <c r="G94" s="1" t="inlineStr">
        <is>
          <t>GF12101009929SR</t>
        </is>
      </c>
      <c r="H94" s="1" t="n">
        <v>7</v>
      </c>
      <c r="I94" s="1" t="inlineStr">
        <is>
          <t>มี</t>
        </is>
      </c>
      <c r="J94" s="13" t="n">
        <v>790</v>
      </c>
      <c r="K94" s="1" t="inlineStr"/>
      <c r="L94" s="13" t="n">
        <v>790</v>
      </c>
      <c r="M94" s="1">
        <f>IF(L94="","ไม่พบใน SG",IF(ABS(J94-L94)&lt;0.005,"ตรงกัน","ไม่ตรง"))</f>
        <v/>
      </c>
      <c r="N94" s="14">
        <f>IF(L94="","",ROUND(L94*'สรุป'!$C$6,-1))</f>
        <v/>
      </c>
      <c r="O94" s="15" t="n"/>
      <c r="P94" s="15" t="n"/>
      <c r="Q94" s="10" t="n"/>
      <c r="R94" s="10" t="n"/>
      <c r="S94" s="16" t="inlineStr">
        <is>
          <t>https://mstgolf.co.th/products/gf1210100992</t>
        </is>
      </c>
      <c r="T94" s="1">
        <f>IF(B94="ไม้กอล์ฟ",J94,"")</f>
        <v/>
      </c>
    </row>
    <row r="95">
      <c r="A95" s="1" t="n">
        <v>1</v>
      </c>
      <c r="B95" s="1" t="inlineStr">
        <is>
          <t>ไม้กอล์ฟ</t>
        </is>
      </c>
      <c r="C95" s="1" t="inlineStr">
        <is>
          <t>gf1210101159</t>
        </is>
      </c>
      <c r="D95" s="1" t="inlineStr">
        <is>
          <t>ONOFF LP425D (2025) Women's Driver</t>
        </is>
      </c>
      <c r="E95" s="1" t="inlineStr">
        <is>
          <t>ONOFF</t>
        </is>
      </c>
      <c r="F95" s="1" t="inlineStr">
        <is>
          <t>DRIVER</t>
        </is>
      </c>
      <c r="G95" s="1" t="inlineStr">
        <is>
          <t>GF1210101160115L</t>
        </is>
      </c>
      <c r="H95" s="1" t="n">
        <v>7</v>
      </c>
      <c r="I95" s="1" t="inlineStr">
        <is>
          <t>มี</t>
        </is>
      </c>
      <c r="J95" s="13" t="n">
        <v>789</v>
      </c>
      <c r="K95" s="1" t="inlineStr"/>
      <c r="L95" s="13" t="n">
        <v>789</v>
      </c>
      <c r="M95" s="1">
        <f>IF(L95="","ไม่พบใน SG",IF(ABS(J95-L95)&lt;0.005,"ตรงกัน","ไม่ตรง"))</f>
        <v/>
      </c>
      <c r="N95" s="14">
        <f>IF(L95="","",ROUND(L95*'สรุป'!$C$6,-1))</f>
        <v/>
      </c>
      <c r="O95" s="15" t="n"/>
      <c r="P95" s="15" t="n"/>
      <c r="Q95" s="10" t="n"/>
      <c r="R95" s="10" t="n"/>
      <c r="S95" s="16" t="inlineStr">
        <is>
          <t>https://mstgolf.co.th/products/gf1210101159</t>
        </is>
      </c>
      <c r="T95" s="1">
        <f>IF(B95="ไม้กอล์ฟ",J95,"")</f>
        <v/>
      </c>
    </row>
    <row r="96">
      <c r="A96" s="1" t="n">
        <v>1</v>
      </c>
      <c r="B96" s="1" t="inlineStr">
        <is>
          <t>ไม้กอล์ฟ</t>
        </is>
      </c>
      <c r="C96" s="1" t="inlineStr">
        <is>
          <t>gf1210101162</t>
        </is>
      </c>
      <c r="D96" s="1" t="inlineStr">
        <is>
          <t>ONOFF LP425D Green (2025) Women's Driver</t>
        </is>
      </c>
      <c r="E96" s="1" t="inlineStr">
        <is>
          <t>ONOFF</t>
        </is>
      </c>
      <c r="F96" s="1" t="inlineStr">
        <is>
          <t>DRIVER</t>
        </is>
      </c>
      <c r="G96" s="1" t="inlineStr">
        <is>
          <t>GF121010116213A</t>
        </is>
      </c>
      <c r="H96" s="1" t="n">
        <v>3</v>
      </c>
      <c r="I96" s="1" t="inlineStr">
        <is>
          <t>มี</t>
        </is>
      </c>
      <c r="J96" s="13" t="n">
        <v>789</v>
      </c>
      <c r="K96" s="1" t="inlineStr"/>
      <c r="L96" s="13" t="n">
        <v>789</v>
      </c>
      <c r="M96" s="1">
        <f>IF(L96="","ไม่พบใน SG",IF(ABS(J96-L96)&lt;0.005,"ตรงกัน","ไม่ตรง"))</f>
        <v/>
      </c>
      <c r="N96" s="14">
        <f>IF(L96="","",ROUND(L96*'สรุป'!$C$6,-1))</f>
        <v/>
      </c>
      <c r="O96" s="15" t="n"/>
      <c r="P96" s="15" t="n"/>
      <c r="Q96" s="10" t="n"/>
      <c r="R96" s="10" t="n"/>
      <c r="S96" s="16" t="inlineStr">
        <is>
          <t>https://mstgolf.co.th/products/gf1210101162</t>
        </is>
      </c>
      <c r="T96" s="1">
        <f>IF(B96="ไม้กอล์ฟ",J96,"")</f>
        <v/>
      </c>
    </row>
    <row r="97">
      <c r="A97" s="1" t="n">
        <v>1</v>
      </c>
      <c r="B97" s="1" t="inlineStr">
        <is>
          <t>ไม้กอล์ฟ</t>
        </is>
      </c>
      <c r="C97" s="1" t="inlineStr">
        <is>
          <t>gf1240101462</t>
        </is>
      </c>
      <c r="D97" s="1" t="inlineStr">
        <is>
          <t>TITLEIST Studio Style Catalina (2025) Men's Putter</t>
        </is>
      </c>
      <c r="E97" s="1" t="inlineStr">
        <is>
          <t>TITLEIST</t>
        </is>
      </c>
      <c r="F97" s="1" t="inlineStr">
        <is>
          <t>PUTTER</t>
        </is>
      </c>
      <c r="G97" s="1" t="inlineStr">
        <is>
          <t>GF124010146234</t>
        </is>
      </c>
      <c r="H97" s="1" t="n">
        <v>1</v>
      </c>
      <c r="I97" s="1" t="inlineStr">
        <is>
          <t>มี</t>
        </is>
      </c>
      <c r="J97" s="13" t="n">
        <v>789</v>
      </c>
      <c r="K97" s="1" t="inlineStr"/>
      <c r="L97" s="13" t="n">
        <v>789</v>
      </c>
      <c r="M97" s="1">
        <f>IF(L97="","ไม่พบใน SG",IF(ABS(J97-L97)&lt;0.005,"ตรงกัน","ไม่ตรง"))</f>
        <v/>
      </c>
      <c r="N97" s="14">
        <f>IF(L97="","",ROUND(L97*'สรุป'!$C$6,-1))</f>
        <v/>
      </c>
      <c r="O97" s="15" t="n"/>
      <c r="P97" s="15" t="n"/>
      <c r="Q97" s="10" t="n"/>
      <c r="R97" s="10" t="n"/>
      <c r="S97" s="16" t="inlineStr">
        <is>
          <t>https://mstgolf.co.th/products/gf1240101462</t>
        </is>
      </c>
      <c r="T97" s="1">
        <f>IF(B97="ไม้กอล์ฟ",J97,"")</f>
        <v/>
      </c>
    </row>
    <row r="98">
      <c r="A98" s="1" t="n">
        <v>1</v>
      </c>
      <c r="B98" s="1" t="inlineStr">
        <is>
          <t>ไม้กอล์ฟ</t>
        </is>
      </c>
      <c r="C98" s="1" t="inlineStr">
        <is>
          <t>gf1240101454</t>
        </is>
      </c>
      <c r="D98" s="1" t="inlineStr">
        <is>
          <t>TITLEIST Studio Style Newport (2025) Men's Putter</t>
        </is>
      </c>
      <c r="E98" s="1" t="inlineStr">
        <is>
          <t>TITLEIST</t>
        </is>
      </c>
      <c r="F98" s="1" t="inlineStr">
        <is>
          <t>PUTTER</t>
        </is>
      </c>
      <c r="G98" s="1" t="inlineStr">
        <is>
          <t>GF124010145434</t>
        </is>
      </c>
      <c r="H98" s="1" t="n">
        <v>1</v>
      </c>
      <c r="I98" s="1" t="inlineStr">
        <is>
          <t>มี</t>
        </is>
      </c>
      <c r="J98" s="13" t="n">
        <v>789</v>
      </c>
      <c r="K98" s="1" t="inlineStr"/>
      <c r="L98" s="13" t="n">
        <v>789</v>
      </c>
      <c r="M98" s="1">
        <f>IF(L98="","ไม่พบใน SG",IF(ABS(J98-L98)&lt;0.005,"ตรงกัน","ไม่ตรง"))</f>
        <v/>
      </c>
      <c r="N98" s="14">
        <f>IF(L98="","",ROUND(L98*'สรุป'!$C$6,-1))</f>
        <v/>
      </c>
      <c r="O98" s="15" t="n"/>
      <c r="P98" s="15" t="n"/>
      <c r="Q98" s="10" t="n"/>
      <c r="R98" s="10" t="n"/>
      <c r="S98" s="16" t="inlineStr">
        <is>
          <t>https://mstgolf.co.th/products/gf1240101454</t>
        </is>
      </c>
      <c r="T98" s="1">
        <f>IF(B98="ไม้กอล์ฟ",J98,"")</f>
        <v/>
      </c>
    </row>
    <row r="99">
      <c r="A99" s="1" t="n">
        <v>1</v>
      </c>
      <c r="B99" s="1" t="inlineStr">
        <is>
          <t>ไม้กอล์ฟ</t>
        </is>
      </c>
      <c r="C99" s="1" t="inlineStr">
        <is>
          <t>gf1240101456</t>
        </is>
      </c>
      <c r="D99" s="1" t="inlineStr">
        <is>
          <t>TITLEIST Studio Style Newport 2 (2025) Men's Putter</t>
        </is>
      </c>
      <c r="E99" s="1" t="inlineStr">
        <is>
          <t>TITLEIST</t>
        </is>
      </c>
      <c r="F99" s="1" t="inlineStr">
        <is>
          <t>PUTTER</t>
        </is>
      </c>
      <c r="G99" s="1" t="inlineStr">
        <is>
          <t>GF124010145834</t>
        </is>
      </c>
      <c r="H99" s="1" t="n">
        <v>2</v>
      </c>
      <c r="I99" s="1" t="inlineStr">
        <is>
          <t>มี</t>
        </is>
      </c>
      <c r="J99" s="13" t="n">
        <v>789</v>
      </c>
      <c r="K99" s="1" t="inlineStr"/>
      <c r="L99" s="13" t="n">
        <v>789</v>
      </c>
      <c r="M99" s="1">
        <f>IF(L99="","ไม่พบใน SG",IF(ABS(J99-L99)&lt;0.005,"ตรงกัน","ไม่ตรง"))</f>
        <v/>
      </c>
      <c r="N99" s="14">
        <f>IF(L99="","",ROUND(L99*'สรุป'!$C$6,-1))</f>
        <v/>
      </c>
      <c r="O99" s="15" t="n"/>
      <c r="P99" s="15" t="n"/>
      <c r="Q99" s="10" t="n"/>
      <c r="R99" s="10" t="n"/>
      <c r="S99" s="16" t="inlineStr">
        <is>
          <t>https://mstgolf.co.th/products/gf1240101456</t>
        </is>
      </c>
      <c r="T99" s="1">
        <f>IF(B99="ไม้กอล์ฟ",J99,"")</f>
        <v/>
      </c>
    </row>
    <row r="100">
      <c r="A100" s="1" t="n">
        <v>1</v>
      </c>
      <c r="B100" s="1" t="inlineStr">
        <is>
          <t>ไม้กอล์ฟ</t>
        </is>
      </c>
      <c r="C100" s="1" t="inlineStr">
        <is>
          <t>gf1240101457</t>
        </is>
      </c>
      <c r="D100" s="1" t="inlineStr">
        <is>
          <t>TITLEIST Studio Style Newport 2 Plus (2025) Men's Putter</t>
        </is>
      </c>
      <c r="E100" s="1" t="inlineStr">
        <is>
          <t>TITLEIST</t>
        </is>
      </c>
      <c r="F100" s="1" t="inlineStr">
        <is>
          <t>PUTTER</t>
        </is>
      </c>
      <c r="G100" s="1" t="inlineStr">
        <is>
          <t>GF124010145734</t>
        </is>
      </c>
      <c r="H100" s="1" t="n">
        <v>1</v>
      </c>
      <c r="I100" s="1" t="inlineStr">
        <is>
          <t>มี</t>
        </is>
      </c>
      <c r="J100" s="13" t="n">
        <v>789</v>
      </c>
      <c r="K100" s="1" t="inlineStr"/>
      <c r="L100" s="13" t="n">
        <v>789</v>
      </c>
      <c r="M100" s="1">
        <f>IF(L100="","ไม่พบใน SG",IF(ABS(J100-L100)&lt;0.005,"ตรงกัน","ไม่ตรง"))</f>
        <v/>
      </c>
      <c r="N100" s="14">
        <f>IF(L100="","",ROUND(L100*'สรุป'!$C$6,-1))</f>
        <v/>
      </c>
      <c r="O100" s="15" t="n"/>
      <c r="P100" s="15" t="n"/>
      <c r="Q100" s="10" t="n"/>
      <c r="R100" s="10" t="n"/>
      <c r="S100" s="16" t="inlineStr">
        <is>
          <t>https://mstgolf.co.th/products/gf1240101457</t>
        </is>
      </c>
      <c r="T100" s="1">
        <f>IF(B100="ไม้กอล์ฟ",J100,"")</f>
        <v/>
      </c>
    </row>
    <row r="101">
      <c r="A101" s="1" t="n">
        <v>1</v>
      </c>
      <c r="B101" s="1" t="inlineStr">
        <is>
          <t>ไม้กอล์ฟ</t>
        </is>
      </c>
      <c r="C101" s="1" t="inlineStr">
        <is>
          <t>gf1240101459</t>
        </is>
      </c>
      <c r="D101" s="1" t="inlineStr">
        <is>
          <t>TITLEIST Studio Style Newport 2.5 Plus (2025) Men's Putter</t>
        </is>
      </c>
      <c r="E101" s="1" t="inlineStr">
        <is>
          <t>TITLEIST</t>
        </is>
      </c>
      <c r="F101" s="1" t="inlineStr">
        <is>
          <t>PUTTER</t>
        </is>
      </c>
      <c r="G101" s="1" t="inlineStr">
        <is>
          <t>GF124010145934</t>
        </is>
      </c>
      <c r="H101" s="1" t="n">
        <v>1</v>
      </c>
      <c r="I101" s="1" t="inlineStr">
        <is>
          <t>มี</t>
        </is>
      </c>
      <c r="J101" s="13" t="n">
        <v>789</v>
      </c>
      <c r="K101" s="1" t="inlineStr"/>
      <c r="L101" s="13" t="n">
        <v>789</v>
      </c>
      <c r="M101" s="1">
        <f>IF(L101="","ไม่พบใน SG",IF(ABS(J101-L101)&lt;0.005,"ตรงกัน","ไม่ตรง"))</f>
        <v/>
      </c>
      <c r="N101" s="14">
        <f>IF(L101="","",ROUND(L101*'สรุป'!$C$6,-1))</f>
        <v/>
      </c>
      <c r="O101" s="15" t="n"/>
      <c r="P101" s="15" t="n"/>
      <c r="Q101" s="10" t="n"/>
      <c r="R101" s="10" t="n"/>
      <c r="S101" s="16" t="inlineStr">
        <is>
          <t>https://mstgolf.co.th/products/gf1240101459</t>
        </is>
      </c>
      <c r="T101" s="1">
        <f>IF(B101="ไม้กอล์ฟ",J101,"")</f>
        <v/>
      </c>
    </row>
    <row r="102">
      <c r="A102" s="1" t="n">
        <v>1</v>
      </c>
      <c r="B102" s="1" t="inlineStr">
        <is>
          <t>ไม้กอล์ฟ</t>
        </is>
      </c>
      <c r="C102" s="1" t="inlineStr">
        <is>
          <t>gf1240101455</t>
        </is>
      </c>
      <c r="D102" s="1" t="inlineStr">
        <is>
          <t>TITLEIST Studio Style Newport Plus (2025) Men's Putter</t>
        </is>
      </c>
      <c r="E102" s="1" t="inlineStr">
        <is>
          <t>TITLEIST</t>
        </is>
      </c>
      <c r="F102" s="1" t="inlineStr">
        <is>
          <t>PUTTER</t>
        </is>
      </c>
      <c r="G102" s="1" t="inlineStr">
        <is>
          <t>GF124010145534</t>
        </is>
      </c>
      <c r="H102" s="1" t="n">
        <v>1</v>
      </c>
      <c r="I102" s="1" t="inlineStr">
        <is>
          <t>มี</t>
        </is>
      </c>
      <c r="J102" s="13" t="n">
        <v>789</v>
      </c>
      <c r="K102" s="1" t="inlineStr"/>
      <c r="L102" s="13" t="n">
        <v>789</v>
      </c>
      <c r="M102" s="1">
        <f>IF(L102="","ไม่พบใน SG",IF(ABS(J102-L102)&lt;0.005,"ตรงกัน","ไม่ตรง"))</f>
        <v/>
      </c>
      <c r="N102" s="14">
        <f>IF(L102="","",ROUND(L102*'สรุป'!$C$6,-1))</f>
        <v/>
      </c>
      <c r="O102" s="15" t="n"/>
      <c r="P102" s="15" t="n"/>
      <c r="Q102" s="10" t="n"/>
      <c r="R102" s="10" t="n"/>
      <c r="S102" s="16" t="inlineStr">
        <is>
          <t>https://mstgolf.co.th/products/gf1240101455</t>
        </is>
      </c>
      <c r="T102" s="1">
        <f>IF(B102="ไม้กอล์ฟ",J102,"")</f>
        <v/>
      </c>
    </row>
    <row r="103">
      <c r="A103" s="1" t="n">
        <v>1</v>
      </c>
      <c r="B103" s="1" t="inlineStr">
        <is>
          <t>ไม้กอล์ฟ</t>
        </is>
      </c>
      <c r="C103" s="1" t="inlineStr">
        <is>
          <t>gf1240101460</t>
        </is>
      </c>
      <c r="D103" s="1" t="inlineStr">
        <is>
          <t>TITLEIST Studio Style Newport Squareback 2 (2025) Men's Putter</t>
        </is>
      </c>
      <c r="E103" s="1" t="inlineStr">
        <is>
          <t>TITLEIST</t>
        </is>
      </c>
      <c r="F103" s="1" t="inlineStr">
        <is>
          <t>PUTTER</t>
        </is>
      </c>
      <c r="G103" s="1" t="inlineStr">
        <is>
          <t>GF124010146034</t>
        </is>
      </c>
      <c r="H103" s="1" t="n">
        <v>1</v>
      </c>
      <c r="I103" s="1" t="inlineStr">
        <is>
          <t>มี</t>
        </is>
      </c>
      <c r="J103" s="13" t="n">
        <v>789</v>
      </c>
      <c r="K103" s="1" t="inlineStr"/>
      <c r="L103" s="13" t="n">
        <v>789</v>
      </c>
      <c r="M103" s="1">
        <f>IF(L103="","ไม่พบใน SG",IF(ABS(J103-L103)&lt;0.005,"ตรงกัน","ไม่ตรง"))</f>
        <v/>
      </c>
      <c r="N103" s="14">
        <f>IF(L103="","",ROUND(L103*'สรุป'!$C$6,-1))</f>
        <v/>
      </c>
      <c r="O103" s="15" t="n"/>
      <c r="P103" s="15" t="n"/>
      <c r="Q103" s="10" t="n"/>
      <c r="R103" s="10" t="n"/>
      <c r="S103" s="16" t="inlineStr">
        <is>
          <t>https://mstgolf.co.th/products/gf1240101460</t>
        </is>
      </c>
      <c r="T103" s="1">
        <f>IF(B103="ไม้กอล์ฟ",J103,"")</f>
        <v/>
      </c>
    </row>
    <row r="104">
      <c r="A104" s="1" t="n">
        <v>1</v>
      </c>
      <c r="B104" s="1" t="inlineStr">
        <is>
          <t>ไม้กอล์ฟ</t>
        </is>
      </c>
      <c r="C104" s="1" t="inlineStr">
        <is>
          <t>gf1240101463</t>
        </is>
      </c>
      <c r="D104" s="1" t="inlineStr">
        <is>
          <t>TITLEIST Studio Style Squareback 2 Long Design (2025) Men's Putter</t>
        </is>
      </c>
      <c r="E104" s="1" t="inlineStr">
        <is>
          <t>TITLEIST</t>
        </is>
      </c>
      <c r="F104" s="1" t="inlineStr">
        <is>
          <t>PUTTER</t>
        </is>
      </c>
      <c r="G104" s="1" t="inlineStr">
        <is>
          <t>GF124010146338</t>
        </is>
      </c>
      <c r="H104" s="1" t="n">
        <v>1</v>
      </c>
      <c r="I104" s="1" t="inlineStr">
        <is>
          <t>มี</t>
        </is>
      </c>
      <c r="J104" s="13" t="n">
        <v>789</v>
      </c>
      <c r="K104" s="1" t="inlineStr"/>
      <c r="L104" s="13" t="n">
        <v>789</v>
      </c>
      <c r="M104" s="1">
        <f>IF(L104="","ไม่พบใน SG",IF(ABS(J104-L104)&lt;0.005,"ตรงกัน","ไม่ตรง"))</f>
        <v/>
      </c>
      <c r="N104" s="14">
        <f>IF(L104="","",ROUND(L104*'สรุป'!$C$6,-1))</f>
        <v/>
      </c>
      <c r="O104" s="15" t="n"/>
      <c r="P104" s="15" t="n"/>
      <c r="Q104" s="10" t="n"/>
      <c r="R104" s="10" t="n"/>
      <c r="S104" s="16" t="inlineStr">
        <is>
          <t>https://mstgolf.co.th/products/gf1240101463</t>
        </is>
      </c>
      <c r="T104" s="1">
        <f>IF(B104="ไม้กอล์ฟ",J104,"")</f>
        <v/>
      </c>
    </row>
    <row r="105">
      <c r="A105" s="1" t="n">
        <v>1</v>
      </c>
      <c r="B105" s="1" t="inlineStr">
        <is>
          <t>ไม้กอล์ฟ</t>
        </is>
      </c>
      <c r="C105" s="1" t="inlineStr">
        <is>
          <t>gf1210101106</t>
        </is>
      </c>
      <c r="D105" s="1" t="inlineStr">
        <is>
          <t>YAMAHA Inpres DriveStar (2025) Women's Driver</t>
        </is>
      </c>
      <c r="E105" s="1" t="inlineStr">
        <is>
          <t>YAMAHA</t>
        </is>
      </c>
      <c r="F105" s="1" t="inlineStr">
        <is>
          <t>DRIVER</t>
        </is>
      </c>
      <c r="G105" s="1" t="inlineStr">
        <is>
          <t>GF1210101106115L</t>
        </is>
      </c>
      <c r="H105" s="1" t="n">
        <v>2</v>
      </c>
      <c r="I105" s="1" t="inlineStr">
        <is>
          <t>มี</t>
        </is>
      </c>
      <c r="J105" s="13" t="n">
        <v>789</v>
      </c>
      <c r="K105" s="1" t="inlineStr"/>
      <c r="L105" s="13" t="n">
        <v>529</v>
      </c>
      <c r="M105" s="1">
        <f>IF(L105="","ไม่พบใน SG",IF(ABS(J105-L105)&lt;0.005,"ตรงกัน","ไม่ตรง"))</f>
        <v/>
      </c>
      <c r="N105" s="14">
        <f>IF(L105="","",ROUND(L105*'สรุป'!$C$6,-1))</f>
        <v/>
      </c>
      <c r="O105" s="15" t="n"/>
      <c r="P105" s="15" t="n"/>
      <c r="Q105" s="10" t="n"/>
      <c r="R105" s="10" t="n"/>
      <c r="S105" s="16" t="inlineStr">
        <is>
          <t>https://mstgolf.co.th/products/gf1210101106</t>
        </is>
      </c>
      <c r="T105" s="1">
        <f>IF(B105="ไม้กอล์ฟ",J105,"")</f>
        <v/>
      </c>
    </row>
    <row r="106">
      <c r="A106" s="1" t="n">
        <v>1</v>
      </c>
      <c r="B106" s="1" t="inlineStr">
        <is>
          <t>ไม้กอล์ฟ</t>
        </is>
      </c>
      <c r="C106" s="1" t="inlineStr">
        <is>
          <t>gf1210101297</t>
        </is>
      </c>
      <c r="D106" s="1" t="inlineStr">
        <is>
          <t>YAMAHA RMX DD-2 (2026) Men's Driver</t>
        </is>
      </c>
      <c r="E106" s="1" t="inlineStr">
        <is>
          <t>YAMAHA</t>
        </is>
      </c>
      <c r="F106" s="1" t="inlineStr">
        <is>
          <t>DRIVER</t>
        </is>
      </c>
      <c r="G106" s="1" t="inlineStr">
        <is>
          <t>GF1210101297105R</t>
        </is>
      </c>
      <c r="H106" s="1" t="n">
        <v>3</v>
      </c>
      <c r="I106" s="1" t="inlineStr">
        <is>
          <t>มี</t>
        </is>
      </c>
      <c r="J106" s="13" t="n">
        <v>749</v>
      </c>
      <c r="K106" s="1" t="inlineStr"/>
      <c r="L106" s="13" t="n">
        <v>419</v>
      </c>
      <c r="M106" s="1">
        <f>IF(L106="","ไม่พบใน SG",IF(ABS(J106-L106)&lt;0.005,"ตรงกัน","ไม่ตรง"))</f>
        <v/>
      </c>
      <c r="N106" s="14">
        <f>IF(L106="","",ROUND(L106*'สรุป'!$C$6,-1))</f>
        <v/>
      </c>
      <c r="O106" s="15" t="n"/>
      <c r="P106" s="15" t="n"/>
      <c r="Q106" s="10" t="n"/>
      <c r="R106" s="10" t="n"/>
      <c r="S106" s="16" t="inlineStr">
        <is>
          <t>https://mstgolf.co.th/products/gf1210101297</t>
        </is>
      </c>
      <c r="T106" s="1">
        <f>IF(B106="ไม้กอล์ฟ",J106,"")</f>
        <v/>
      </c>
    </row>
    <row r="107">
      <c r="A107" s="1" t="n">
        <v>1</v>
      </c>
      <c r="B107" s="1" t="inlineStr">
        <is>
          <t>ไม้กอล์ฟ</t>
        </is>
      </c>
      <c r="C107" s="1" t="inlineStr">
        <is>
          <t>gf1210100816</t>
        </is>
      </c>
      <c r="D107" s="1" t="inlineStr">
        <is>
          <t>PING G430 LST (2023) Men's Driver</t>
        </is>
      </c>
      <c r="E107" s="1" t="inlineStr">
        <is>
          <t>PING</t>
        </is>
      </c>
      <c r="F107" s="1" t="inlineStr">
        <is>
          <t>DRIVER</t>
        </is>
      </c>
      <c r="G107" s="1" t="inlineStr">
        <is>
          <t>GF12101008169S</t>
        </is>
      </c>
      <c r="H107" s="1" t="n">
        <v>4</v>
      </c>
      <c r="I107" s="1" t="inlineStr">
        <is>
          <t>มี</t>
        </is>
      </c>
      <c r="J107" s="13" t="n">
        <v>739</v>
      </c>
      <c r="K107" s="1" t="inlineStr"/>
      <c r="L107" s="13" t="n">
        <v>599</v>
      </c>
      <c r="M107" s="1">
        <f>IF(L107="","ไม่พบใน SG",IF(ABS(J107-L107)&lt;0.005,"ตรงกัน","ไม่ตรง"))</f>
        <v/>
      </c>
      <c r="N107" s="14">
        <f>IF(L107="","",ROUND(L107*'สรุป'!$C$6,-1))</f>
        <v/>
      </c>
      <c r="O107" s="15" t="n"/>
      <c r="P107" s="15" t="n"/>
      <c r="Q107" s="10" t="n"/>
      <c r="R107" s="10" t="n"/>
      <c r="S107" s="16" t="inlineStr">
        <is>
          <t>https://mstgolf.co.th/products/gf1210100816</t>
        </is>
      </c>
      <c r="T107" s="1">
        <f>IF(B107="ไม้กอล์ฟ",J107,"")</f>
        <v/>
      </c>
    </row>
    <row r="108">
      <c r="A108" s="1" t="n">
        <v>1</v>
      </c>
      <c r="B108" s="1" t="inlineStr">
        <is>
          <t>ไม้กอล์ฟ</t>
        </is>
      </c>
      <c r="C108" s="1" t="inlineStr">
        <is>
          <t>gf1210100904</t>
        </is>
      </c>
      <c r="D108" s="1" t="inlineStr">
        <is>
          <t>PING G430 MAX HL (2023) Men's Driver</t>
        </is>
      </c>
      <c r="E108" s="1" t="inlineStr">
        <is>
          <t>PING</t>
        </is>
      </c>
      <c r="F108" s="1" t="inlineStr">
        <is>
          <t>DRIVER</t>
        </is>
      </c>
      <c r="G108" s="1" t="inlineStr">
        <is>
          <t>GF1210100904105</t>
        </is>
      </c>
      <c r="H108" s="1" t="n">
        <v>2</v>
      </c>
      <c r="I108" s="1" t="inlineStr">
        <is>
          <t>มี</t>
        </is>
      </c>
      <c r="J108" s="13" t="n">
        <v>715</v>
      </c>
      <c r="K108" s="1" t="inlineStr"/>
      <c r="L108" s="13" t="n">
        <v>715</v>
      </c>
      <c r="M108" s="1">
        <f>IF(L108="","ไม่พบใน SG",IF(ABS(J108-L108)&lt;0.005,"ตรงกัน","ไม่ตรง"))</f>
        <v/>
      </c>
      <c r="N108" s="14">
        <f>IF(L108="","",ROUND(L108*'สรุป'!$C$6,-1))</f>
        <v/>
      </c>
      <c r="O108" s="15" t="n"/>
      <c r="P108" s="15" t="n"/>
      <c r="Q108" s="10" t="n"/>
      <c r="R108" s="10" t="n"/>
      <c r="S108" s="16" t="inlineStr">
        <is>
          <t>https://mstgolf.co.th/products/gf1210100904</t>
        </is>
      </c>
      <c r="T108" s="1">
        <f>IF(B108="ไม้กอล์ฟ",J108,"")</f>
        <v/>
      </c>
    </row>
    <row r="109">
      <c r="A109" s="1" t="n">
        <v>1</v>
      </c>
      <c r="B109" s="1" t="inlineStr">
        <is>
          <t>ไม้กอล์ฟ</t>
        </is>
      </c>
      <c r="C109" s="1" t="inlineStr">
        <is>
          <t>gf1210100813</t>
        </is>
      </c>
      <c r="D109" s="1" t="inlineStr">
        <is>
          <t>PING G430 Max (2023) Men's Driver</t>
        </is>
      </c>
      <c r="E109" s="1" t="inlineStr">
        <is>
          <t>PING</t>
        </is>
      </c>
      <c r="F109" s="1" t="inlineStr">
        <is>
          <t>DRIVER</t>
        </is>
      </c>
      <c r="G109" s="1" t="inlineStr">
        <is>
          <t>GF12101008149S</t>
        </is>
      </c>
      <c r="H109" s="1" t="n">
        <v>9</v>
      </c>
      <c r="I109" s="1" t="inlineStr">
        <is>
          <t>มี</t>
        </is>
      </c>
      <c r="J109" s="13" t="n">
        <v>715</v>
      </c>
      <c r="K109" s="1" t="inlineStr"/>
      <c r="L109" s="13" t="n">
        <v>599</v>
      </c>
      <c r="M109" s="1">
        <f>IF(L109="","ไม่พบใน SG",IF(ABS(J109-L109)&lt;0.005,"ตรงกัน","ไม่ตรง"))</f>
        <v/>
      </c>
      <c r="N109" s="14">
        <f>IF(L109="","",ROUND(L109*'สรุป'!$C$6,-1))</f>
        <v/>
      </c>
      <c r="O109" s="15" t="n"/>
      <c r="P109" s="15" t="n"/>
      <c r="Q109" s="10" t="n"/>
      <c r="R109" s="10" t="n"/>
      <c r="S109" s="16" t="inlineStr">
        <is>
          <t>https://mstgolf.co.th/products/gf1210100813</t>
        </is>
      </c>
      <c r="T109" s="1">
        <f>IF(B109="ไม้กอล์ฟ",J109,"")</f>
        <v/>
      </c>
    </row>
    <row r="110">
      <c r="A110" s="1" t="n">
        <v>1</v>
      </c>
      <c r="B110" s="1" t="inlineStr">
        <is>
          <t>ไม้กอล์ฟ</t>
        </is>
      </c>
      <c r="C110" s="1" t="inlineStr">
        <is>
          <t>gf1210100815</t>
        </is>
      </c>
      <c r="D110" s="1" t="inlineStr">
        <is>
          <t>PING G430 SFT (2023) Men's Driver</t>
        </is>
      </c>
      <c r="E110" s="1" t="inlineStr">
        <is>
          <t>PING</t>
        </is>
      </c>
      <c r="F110" s="1" t="inlineStr">
        <is>
          <t>DRIVER</t>
        </is>
      </c>
      <c r="G110" s="1" t="inlineStr">
        <is>
          <t>GF1210100815105R</t>
        </is>
      </c>
      <c r="H110" s="1" t="n">
        <v>2</v>
      </c>
      <c r="I110" s="1" t="inlineStr">
        <is>
          <t>มี</t>
        </is>
      </c>
      <c r="J110" s="13" t="n">
        <v>715</v>
      </c>
      <c r="K110" s="1" t="inlineStr"/>
      <c r="L110" s="13" t="n">
        <v>599</v>
      </c>
      <c r="M110" s="1">
        <f>IF(L110="","ไม่พบใน SG",IF(ABS(J110-L110)&lt;0.005,"ตรงกัน","ไม่ตรง"))</f>
        <v/>
      </c>
      <c r="N110" s="14">
        <f>IF(L110="","",ROUND(L110*'สรุป'!$C$6,-1))</f>
        <v/>
      </c>
      <c r="O110" s="15" t="n"/>
      <c r="P110" s="15" t="n"/>
      <c r="Q110" s="10" t="n"/>
      <c r="R110" s="10" t="n"/>
      <c r="S110" s="16" t="inlineStr">
        <is>
          <t>https://mstgolf.co.th/products/gf1210100815</t>
        </is>
      </c>
      <c r="T110" s="1">
        <f>IF(B110="ไม้กอล์ฟ",J110,"")</f>
        <v/>
      </c>
    </row>
    <row r="111">
      <c r="A111" s="1" t="n">
        <v>1</v>
      </c>
      <c r="B111" s="1" t="inlineStr">
        <is>
          <t>ไม้กอล์ฟ</t>
        </is>
      </c>
      <c r="C111" s="1" t="inlineStr">
        <is>
          <t>gf1240101437</t>
        </is>
      </c>
      <c r="D111" s="1" t="inlineStr">
        <is>
          <t>TITLEIST Phantom 7.2 (2025) Men's Putter</t>
        </is>
      </c>
      <c r="E111" s="1" t="inlineStr">
        <is>
          <t>TITLEIST</t>
        </is>
      </c>
      <c r="F111" s="1" t="inlineStr">
        <is>
          <t>PUTTER</t>
        </is>
      </c>
      <c r="G111" s="1" t="inlineStr">
        <is>
          <t>GF124010143734</t>
        </is>
      </c>
      <c r="H111" s="1" t="n">
        <v>1</v>
      </c>
      <c r="I111" s="1" t="inlineStr">
        <is>
          <t>มี</t>
        </is>
      </c>
      <c r="J111" s="13" t="n">
        <v>706</v>
      </c>
      <c r="K111" s="1" t="inlineStr"/>
      <c r="L111" s="13" t="n">
        <v>706</v>
      </c>
      <c r="M111" s="1">
        <f>IF(L111="","ไม่พบใน SG",IF(ABS(J111-L111)&lt;0.005,"ตรงกัน","ไม่ตรง"))</f>
        <v/>
      </c>
      <c r="N111" s="14">
        <f>IF(L111="","",ROUND(L111*'สรุป'!$C$6,-1))</f>
        <v/>
      </c>
      <c r="O111" s="15" t="n"/>
      <c r="P111" s="15" t="n"/>
      <c r="Q111" s="10" t="n"/>
      <c r="R111" s="10" t="n"/>
      <c r="S111" s="16" t="inlineStr">
        <is>
          <t>https://mstgolf.co.th/products/gf1240101437</t>
        </is>
      </c>
      <c r="T111" s="1">
        <f>IF(B111="ไม้กอล์ฟ",J111,"")</f>
        <v/>
      </c>
    </row>
    <row r="112">
      <c r="A112" s="1" t="n">
        <v>1</v>
      </c>
      <c r="B112" s="1" t="inlineStr">
        <is>
          <t>ไม้กอล์ฟ</t>
        </is>
      </c>
      <c r="C112" s="1" t="inlineStr">
        <is>
          <t>gf1240101205</t>
        </is>
      </c>
      <c r="D112" s="1" t="inlineStr">
        <is>
          <t>BETTINARDI BB1 Wide Standard Grip (2024) Men's Putter</t>
        </is>
      </c>
      <c r="E112" s="1" t="inlineStr">
        <is>
          <t>BETTINARDI</t>
        </is>
      </c>
      <c r="F112" s="1" t="inlineStr">
        <is>
          <t>PUTTER</t>
        </is>
      </c>
      <c r="G112" s="1" t="inlineStr">
        <is>
          <t>GF124010120634</t>
        </is>
      </c>
      <c r="H112" s="1" t="n">
        <v>2</v>
      </c>
      <c r="I112" s="1" t="inlineStr">
        <is>
          <t>มี</t>
        </is>
      </c>
      <c r="J112" s="13" t="n">
        <v>699</v>
      </c>
      <c r="K112" s="1" t="inlineStr"/>
      <c r="L112" s="13" t="n">
        <v>489</v>
      </c>
      <c r="M112" s="1">
        <f>IF(L112="","ไม่พบใน SG",IF(ABS(J112-L112)&lt;0.005,"ตรงกัน","ไม่ตรง"))</f>
        <v/>
      </c>
      <c r="N112" s="14">
        <f>IF(L112="","",ROUND(L112*'สรุป'!$C$6,-1))</f>
        <v/>
      </c>
      <c r="O112" s="15" t="n"/>
      <c r="P112" s="15" t="n"/>
      <c r="Q112" s="10" t="n"/>
      <c r="R112" s="10" t="n"/>
      <c r="S112" s="16" t="inlineStr">
        <is>
          <t>https://mstgolf.co.th/products/gf1240101205</t>
        </is>
      </c>
      <c r="T112" s="1">
        <f>IF(B112="ไม้กอล์ฟ",J112,"")</f>
        <v/>
      </c>
    </row>
    <row r="113">
      <c r="A113" s="1" t="n">
        <v>1</v>
      </c>
      <c r="B113" s="1" t="inlineStr">
        <is>
          <t>ไม้กอล์ฟ</t>
        </is>
      </c>
      <c r="C113" s="1" t="inlineStr">
        <is>
          <t>gf1240101208</t>
        </is>
      </c>
      <c r="D113" s="1" t="inlineStr">
        <is>
          <t>BETTINARDI BB48 Standard Grip (2024) Men's Putter</t>
        </is>
      </c>
      <c r="E113" s="1" t="inlineStr">
        <is>
          <t>BETTINARDI</t>
        </is>
      </c>
      <c r="F113" s="1" t="inlineStr">
        <is>
          <t>PUTTER</t>
        </is>
      </c>
      <c r="G113" s="1" t="inlineStr">
        <is>
          <t>GF124010120834</t>
        </is>
      </c>
      <c r="H113" s="1" t="n">
        <v>1</v>
      </c>
      <c r="I113" s="1" t="inlineStr">
        <is>
          <t>มี</t>
        </is>
      </c>
      <c r="J113" s="13" t="n">
        <v>699</v>
      </c>
      <c r="K113" s="1" t="inlineStr"/>
      <c r="L113" s="13" t="n">
        <v>489</v>
      </c>
      <c r="M113" s="1">
        <f>IF(L113="","ไม่พบใน SG",IF(ABS(J113-L113)&lt;0.005,"ตรงกัน","ไม่ตรง"))</f>
        <v/>
      </c>
      <c r="N113" s="14">
        <f>IF(L113="","",ROUND(L113*'สรุป'!$C$6,-1))</f>
        <v/>
      </c>
      <c r="O113" s="15" t="n"/>
      <c r="P113" s="15" t="n"/>
      <c r="Q113" s="10" t="n"/>
      <c r="R113" s="10" t="n"/>
      <c r="S113" s="16" t="inlineStr">
        <is>
          <t>https://mstgolf.co.th/products/gf1240101208</t>
        </is>
      </c>
      <c r="T113" s="1">
        <f>IF(B113="ไม้กอล์ฟ",J113,"")</f>
        <v/>
      </c>
    </row>
    <row r="114">
      <c r="A114" s="1" t="n">
        <v>1</v>
      </c>
      <c r="B114" s="1" t="inlineStr">
        <is>
          <t>ไม้กอล์ฟ</t>
        </is>
      </c>
      <c r="C114" s="1" t="inlineStr">
        <is>
          <t>gf1240101207</t>
        </is>
      </c>
      <c r="D114" s="1" t="inlineStr">
        <is>
          <t>BETTINARDI BB8 Flow Standard Grip (2024) Men's Putter</t>
        </is>
      </c>
      <c r="E114" s="1" t="inlineStr">
        <is>
          <t>BETTINARDI</t>
        </is>
      </c>
      <c r="F114" s="1" t="inlineStr">
        <is>
          <t>PUTTER</t>
        </is>
      </c>
      <c r="G114" s="1" t="inlineStr">
        <is>
          <t>GF124010120734</t>
        </is>
      </c>
      <c r="H114" s="1" t="n">
        <v>1</v>
      </c>
      <c r="I114" s="1" t="inlineStr">
        <is>
          <t>มี</t>
        </is>
      </c>
      <c r="J114" s="13" t="n">
        <v>699</v>
      </c>
      <c r="K114" s="1" t="inlineStr"/>
      <c r="L114" s="13" t="n">
        <v>489</v>
      </c>
      <c r="M114" s="1">
        <f>IF(L114="","ไม่พบใน SG",IF(ABS(J114-L114)&lt;0.005,"ตรงกัน","ไม่ตรง"))</f>
        <v/>
      </c>
      <c r="N114" s="14">
        <f>IF(L114="","",ROUND(L114*'สรุป'!$C$6,-1))</f>
        <v/>
      </c>
      <c r="O114" s="15" t="n"/>
      <c r="P114" s="15" t="n"/>
      <c r="Q114" s="10" t="n"/>
      <c r="R114" s="10" t="n"/>
      <c r="S114" s="16" t="inlineStr">
        <is>
          <t>https://mstgolf.co.th/products/gf1240101207</t>
        </is>
      </c>
      <c r="T114" s="1">
        <f>IF(B114="ไม้กอล์ฟ",J114,"")</f>
        <v/>
      </c>
    </row>
    <row r="115">
      <c r="A115" s="1" t="n">
        <v>1</v>
      </c>
      <c r="B115" s="1" t="inlineStr">
        <is>
          <t>ไม้กอล์ฟ</t>
        </is>
      </c>
      <c r="C115" s="1" t="inlineStr">
        <is>
          <t>gf1240101381</t>
        </is>
      </c>
      <c r="D115" s="1" t="inlineStr">
        <is>
          <t>BETTINARDI Queen B 6 Spud Standard Grip (2025) Men's Putter</t>
        </is>
      </c>
      <c r="E115" s="1" t="inlineStr">
        <is>
          <t>BETTINARDI</t>
        </is>
      </c>
      <c r="F115" s="1" t="inlineStr">
        <is>
          <t>PUTTER</t>
        </is>
      </c>
      <c r="G115" s="1" t="inlineStr">
        <is>
          <t>GF124010138234</t>
        </is>
      </c>
      <c r="H115" s="1" t="n">
        <v>2</v>
      </c>
      <c r="I115" s="1" t="inlineStr">
        <is>
          <t>มี</t>
        </is>
      </c>
      <c r="J115" s="13" t="n">
        <v>699</v>
      </c>
      <c r="K115" s="1" t="inlineStr"/>
      <c r="L115" s="13" t="n">
        <v>699</v>
      </c>
      <c r="M115" s="1">
        <f>IF(L115="","ไม่พบใน SG",IF(ABS(J115-L115)&lt;0.005,"ตรงกัน","ไม่ตรง"))</f>
        <v/>
      </c>
      <c r="N115" s="14">
        <f>IF(L115="","",ROUND(L115*'สรุป'!$C$6,-1))</f>
        <v/>
      </c>
      <c r="O115" s="15" t="n"/>
      <c r="P115" s="15" t="n"/>
      <c r="Q115" s="10" t="n"/>
      <c r="R115" s="10" t="n"/>
      <c r="S115" s="16" t="inlineStr">
        <is>
          <t>https://mstgolf.co.th/products/gf1240101381</t>
        </is>
      </c>
      <c r="T115" s="1">
        <f>IF(B115="ไม้กอล์ฟ",J115,"")</f>
        <v/>
      </c>
    </row>
    <row r="116">
      <c r="A116" s="1" t="n">
        <v>1</v>
      </c>
      <c r="B116" s="1" t="inlineStr">
        <is>
          <t>ไม้กอล์ฟ</t>
        </is>
      </c>
      <c r="C116" s="1" t="inlineStr">
        <is>
          <t>gf1280101118</t>
        </is>
      </c>
      <c r="D116" s="1" t="inlineStr">
        <is>
          <t>COBRA DARKSPEED (2024) Women's Irons</t>
        </is>
      </c>
      <c r="E116" s="1" t="inlineStr">
        <is>
          <t>COBRA</t>
        </is>
      </c>
      <c r="F116" s="1" t="inlineStr">
        <is>
          <t>SET OF IRONS</t>
        </is>
      </c>
      <c r="G116" s="1" t="inlineStr">
        <is>
          <t>GF1280101118L</t>
        </is>
      </c>
      <c r="H116" s="1" t="n">
        <v>1</v>
      </c>
      <c r="I116" s="1" t="inlineStr">
        <is>
          <t>มี</t>
        </is>
      </c>
      <c r="J116" s="13" t="n">
        <v>699</v>
      </c>
      <c r="K116" s="1" t="inlineStr"/>
      <c r="L116" s="13" t="n">
        <v>599</v>
      </c>
      <c r="M116" s="1">
        <f>IF(L116="","ไม่พบใน SG",IF(ABS(J116-L116)&lt;0.005,"ตรงกัน","ไม่ตรง"))</f>
        <v/>
      </c>
      <c r="N116" s="14">
        <f>IF(L116="","",ROUND(L116*'สรุป'!$C$6,-1))</f>
        <v/>
      </c>
      <c r="O116" s="15" t="n"/>
      <c r="P116" s="15" t="n"/>
      <c r="Q116" s="10" t="n"/>
      <c r="R116" s="10" t="n"/>
      <c r="S116" s="16" t="inlineStr">
        <is>
          <t>https://mstgolf.co.th/products/gf1280101118</t>
        </is>
      </c>
      <c r="T116" s="1">
        <f>IF(B116="ไม้กอล์ฟ",J116,"")</f>
        <v/>
      </c>
    </row>
    <row r="117">
      <c r="A117" s="1" t="n">
        <v>1</v>
      </c>
      <c r="B117" s="1" t="inlineStr">
        <is>
          <t>อุปกรณ์วัดระยะ/เทคโนโลยี</t>
        </is>
      </c>
      <c r="C117" s="1" t="inlineStr">
        <is>
          <t>gf3190100020</t>
        </is>
      </c>
      <c r="D117" s="1" t="inlineStr">
        <is>
          <t>GARMIN Approach S60 Premium Leather Golf Watch (Black)</t>
        </is>
      </c>
      <c r="E117" s="1" t="inlineStr">
        <is>
          <t>GARMIN</t>
        </is>
      </c>
      <c r="F117" s="1" t="inlineStr">
        <is>
          <t>WATCH</t>
        </is>
      </c>
      <c r="G117" s="1" t="inlineStr">
        <is>
          <t>GF3190100020</t>
        </is>
      </c>
      <c r="H117" s="1" t="n">
        <v>1</v>
      </c>
      <c r="I117" s="1" t="inlineStr">
        <is>
          <t>มี</t>
        </is>
      </c>
      <c r="J117" s="13" t="n">
        <v>699</v>
      </c>
      <c r="K117" s="1" t="inlineStr"/>
      <c r="L117" s="13" t="n">
        <v>699</v>
      </c>
      <c r="M117" s="1">
        <f>IF(L117="","ไม่พบใน SG",IF(ABS(J117-L117)&lt;0.005,"ตรงกัน","ไม่ตรง"))</f>
        <v/>
      </c>
      <c r="N117" s="14">
        <f>IF(L117="","",ROUND(L117*'สรุป'!$C$6,-1))</f>
        <v/>
      </c>
      <c r="O117" s="15" t="n"/>
      <c r="P117" s="15" t="n"/>
      <c r="Q117" s="10" t="n"/>
      <c r="R117" s="10" t="n"/>
      <c r="S117" s="16" t="inlineStr">
        <is>
          <t>https://mstgolf.co.th/products/gf3190100020</t>
        </is>
      </c>
      <c r="T117" s="1">
        <f>IF(B117="ไม้กอล์ฟ",J117,"")</f>
        <v/>
      </c>
    </row>
    <row r="118">
      <c r="A118" s="1" t="n">
        <v>1</v>
      </c>
      <c r="B118" s="1" t="inlineStr">
        <is>
          <t>ไม้กอล์ฟ</t>
        </is>
      </c>
      <c r="C118" s="1" t="inlineStr">
        <is>
          <t>gf1280101228</t>
        </is>
      </c>
      <c r="D118" s="1" t="inlineStr">
        <is>
          <t>ONOFF KURO Forged (2022) Men's Irons (5 Clubs)</t>
        </is>
      </c>
      <c r="E118" s="1" t="inlineStr">
        <is>
          <t>ONOFF</t>
        </is>
      </c>
      <c r="F118" s="1" t="inlineStr">
        <is>
          <t>SET OF IRONS</t>
        </is>
      </c>
      <c r="G118" s="1" t="inlineStr">
        <is>
          <t>GF1280101228S</t>
        </is>
      </c>
      <c r="H118" s="1" t="n">
        <v>2</v>
      </c>
      <c r="I118" s="1" t="inlineStr">
        <is>
          <t>มี</t>
        </is>
      </c>
      <c r="J118" s="13" t="n">
        <v>699</v>
      </c>
      <c r="K118" s="1" t="inlineStr"/>
      <c r="L118" s="13" t="n">
        <v>599</v>
      </c>
      <c r="M118" s="1">
        <f>IF(L118="","ไม่พบใน SG",IF(ABS(J118-L118)&lt;0.005,"ตรงกัน","ไม่ตรง"))</f>
        <v/>
      </c>
      <c r="N118" s="14">
        <f>IF(L118="","",ROUND(L118*'สรุป'!$C$6,-1))</f>
        <v/>
      </c>
      <c r="O118" s="15" t="n"/>
      <c r="P118" s="15" t="n"/>
      <c r="Q118" s="10" t="n"/>
      <c r="R118" s="10" t="n"/>
      <c r="S118" s="16" t="inlineStr">
        <is>
          <t>https://mstgolf.co.th/products/gf1280101228</t>
        </is>
      </c>
      <c r="T118" s="1">
        <f>IF(B118="ไม้กอล์ฟ",J118,"")</f>
        <v/>
      </c>
    </row>
    <row r="119">
      <c r="A119" s="1" t="n">
        <v>1</v>
      </c>
      <c r="B119" s="1" t="inlineStr">
        <is>
          <t>ไม้กอล์ฟ</t>
        </is>
      </c>
      <c r="C119" s="1" t="inlineStr">
        <is>
          <t>gf1210100484</t>
        </is>
      </c>
      <c r="D119" s="1" t="inlineStr">
        <is>
          <t>PING G425 Max Men's Driver</t>
        </is>
      </c>
      <c r="E119" s="1" t="inlineStr">
        <is>
          <t>PING</t>
        </is>
      </c>
      <c r="F119" s="1" t="inlineStr">
        <is>
          <t>DRIVER</t>
        </is>
      </c>
      <c r="G119" s="1" t="inlineStr">
        <is>
          <t>GF12101004849SR</t>
        </is>
      </c>
      <c r="H119" s="1" t="n">
        <v>7</v>
      </c>
      <c r="I119" s="1" t="inlineStr">
        <is>
          <t>มี</t>
        </is>
      </c>
      <c r="J119" s="13" t="n">
        <v>699</v>
      </c>
      <c r="K119" s="1" t="inlineStr"/>
      <c r="L119" s="13" t="n">
        <v>469</v>
      </c>
      <c r="M119" s="1">
        <f>IF(L119="","ไม่พบใน SG",IF(ABS(J119-L119)&lt;0.005,"ตรงกัน","ไม่ตรง"))</f>
        <v/>
      </c>
      <c r="N119" s="14">
        <f>IF(L119="","",ROUND(L119*'สรุป'!$C$6,-1))</f>
        <v/>
      </c>
      <c r="O119" s="15" t="n"/>
      <c r="P119" s="15" t="n"/>
      <c r="Q119" s="10" t="n"/>
      <c r="R119" s="10" t="n"/>
      <c r="S119" s="16" t="inlineStr">
        <is>
          <t>https://mstgolf.co.th/products/gf1210100484</t>
        </is>
      </c>
      <c r="T119" s="1">
        <f>IF(B119="ไม้กอล์ฟ",J119,"")</f>
        <v/>
      </c>
    </row>
    <row r="120">
      <c r="A120" s="1" t="n">
        <v>1</v>
      </c>
      <c r="B120" s="1" t="inlineStr">
        <is>
          <t>ไม้กอล์ฟ</t>
        </is>
      </c>
      <c r="C120" s="1" t="inlineStr">
        <is>
          <t>gf1210100964</t>
        </is>
      </c>
      <c r="D120" s="1" t="inlineStr">
        <is>
          <t>YAMAHA RMX VD M (2024) Men's Driver</t>
        </is>
      </c>
      <c r="E120" s="1" t="inlineStr">
        <is>
          <t>YAMAHA</t>
        </is>
      </c>
      <c r="F120" s="1" t="inlineStr">
        <is>
          <t>DRIVER</t>
        </is>
      </c>
      <c r="G120" s="1" t="inlineStr">
        <is>
          <t>GF12101009649.5R</t>
        </is>
      </c>
      <c r="H120" s="1" t="n">
        <v>6</v>
      </c>
      <c r="I120" s="1" t="inlineStr">
        <is>
          <t>มี</t>
        </is>
      </c>
      <c r="J120" s="13" t="n">
        <v>689</v>
      </c>
      <c r="K120" s="1" t="inlineStr"/>
      <c r="L120" s="13" t="n">
        <v>329</v>
      </c>
      <c r="M120" s="1">
        <f>IF(L120="","ไม่พบใน SG",IF(ABS(J120-L120)&lt;0.005,"ตรงกัน","ไม่ตรง"))</f>
        <v/>
      </c>
      <c r="N120" s="14">
        <f>IF(L120="","",ROUND(L120*'สรุป'!$C$6,-1))</f>
        <v/>
      </c>
      <c r="O120" s="15" t="n"/>
      <c r="P120" s="15" t="n"/>
      <c r="Q120" s="10" t="n"/>
      <c r="R120" s="10" t="n"/>
      <c r="S120" s="16" t="inlineStr">
        <is>
          <t>https://mstgolf.co.th/products/gf1210100964</t>
        </is>
      </c>
      <c r="T120" s="1">
        <f>IF(B120="ไม้กอล์ฟ",J120,"")</f>
        <v/>
      </c>
    </row>
    <row r="121">
      <c r="A121" s="1" t="n">
        <v>1</v>
      </c>
      <c r="B121" s="1" t="inlineStr">
        <is>
          <t>ไม้กอล์ฟ</t>
        </is>
      </c>
      <c r="C121" s="1" t="inlineStr">
        <is>
          <t>gf1210100965</t>
        </is>
      </c>
      <c r="D121" s="1" t="inlineStr">
        <is>
          <t>YAMAHA RMX VD X (2024) Men's Driver</t>
        </is>
      </c>
      <c r="E121" s="1" t="inlineStr">
        <is>
          <t>YAMAHA</t>
        </is>
      </c>
      <c r="F121" s="1" t="inlineStr">
        <is>
          <t>DRIVER</t>
        </is>
      </c>
      <c r="G121" s="1" t="inlineStr">
        <is>
          <t>GF12101009659.5SR</t>
        </is>
      </c>
      <c r="H121" s="1" t="n">
        <v>6</v>
      </c>
      <c r="I121" s="1" t="inlineStr">
        <is>
          <t>มี</t>
        </is>
      </c>
      <c r="J121" s="13" t="n">
        <v>689</v>
      </c>
      <c r="K121" s="1" t="inlineStr"/>
      <c r="L121" s="13" t="n">
        <v>329</v>
      </c>
      <c r="M121" s="1">
        <f>IF(L121="","ไม่พบใน SG",IF(ABS(J121-L121)&lt;0.005,"ตรงกัน","ไม่ตรง"))</f>
        <v/>
      </c>
      <c r="N121" s="14">
        <f>IF(L121="","",ROUND(L121*'สรุป'!$C$6,-1))</f>
        <v/>
      </c>
      <c r="O121" s="15" t="n"/>
      <c r="P121" s="15" t="n"/>
      <c r="Q121" s="10" t="n"/>
      <c r="R121" s="10" t="n"/>
      <c r="S121" s="16" t="inlineStr">
        <is>
          <t>https://mstgolf.co.th/products/gf1210100965</t>
        </is>
      </c>
      <c r="T121" s="1">
        <f>IF(B121="ไม้กอล์ฟ",J121,"")</f>
        <v/>
      </c>
    </row>
    <row r="122">
      <c r="A122" s="1" t="n">
        <v>1</v>
      </c>
      <c r="B122" s="1" t="inlineStr">
        <is>
          <t>ไม้กอล์ฟ</t>
        </is>
      </c>
      <c r="C122" s="1" t="inlineStr">
        <is>
          <t>gf1210100991</t>
        </is>
      </c>
      <c r="D122" s="1" t="inlineStr">
        <is>
          <t>ONOFF AKA (2024) Men's Driver</t>
        </is>
      </c>
      <c r="E122" s="1" t="inlineStr">
        <is>
          <t>ONOFF</t>
        </is>
      </c>
      <c r="F122" s="1" t="inlineStr">
        <is>
          <t>DRIVER</t>
        </is>
      </c>
      <c r="G122" s="1" t="inlineStr">
        <is>
          <t>GF1210100991105S</t>
        </is>
      </c>
      <c r="H122" s="1" t="n">
        <v>4</v>
      </c>
      <c r="I122" s="1" t="inlineStr">
        <is>
          <t>มี</t>
        </is>
      </c>
      <c r="J122" s="13" t="n">
        <v>680</v>
      </c>
      <c r="K122" s="1" t="inlineStr"/>
      <c r="L122" s="13" t="n">
        <v>680</v>
      </c>
      <c r="M122" s="1">
        <f>IF(L122="","ไม่พบใน SG",IF(ABS(J122-L122)&lt;0.005,"ตรงกัน","ไม่ตรง"))</f>
        <v/>
      </c>
      <c r="N122" s="14">
        <f>IF(L122="","",ROUND(L122*'สรุป'!$C$6,-1))</f>
        <v/>
      </c>
      <c r="O122" s="15" t="n"/>
      <c r="P122" s="15" t="n"/>
      <c r="Q122" s="10" t="n"/>
      <c r="R122" s="10" t="n"/>
      <c r="S122" s="16" t="inlineStr">
        <is>
          <t>https://mstgolf.co.th/products/gf1210100991</t>
        </is>
      </c>
      <c r="T122" s="1">
        <f>IF(B122="ไม้กอล์ฟ",J122,"")</f>
        <v/>
      </c>
    </row>
    <row r="123">
      <c r="A123" s="1" t="n">
        <v>1</v>
      </c>
      <c r="B123" s="1" t="inlineStr">
        <is>
          <t>ไม้กอล์ฟ</t>
        </is>
      </c>
      <c r="C123" s="1" t="inlineStr">
        <is>
          <t>gf1210101233</t>
        </is>
      </c>
      <c r="D123" s="1" t="inlineStr">
        <is>
          <t>TAYLORMADE QI35 Max Designer Series Gold (2025) Men's Driver</t>
        </is>
      </c>
      <c r="E123" s="1" t="inlineStr">
        <is>
          <t>TAYLORMADE</t>
        </is>
      </c>
      <c r="F123" s="1" t="inlineStr">
        <is>
          <t>DRIVER</t>
        </is>
      </c>
      <c r="G123" s="1" t="inlineStr">
        <is>
          <t>GF12101012339S</t>
        </is>
      </c>
      <c r="H123" s="1" t="n">
        <v>4</v>
      </c>
      <c r="I123" s="1" t="inlineStr">
        <is>
          <t>มี</t>
        </is>
      </c>
      <c r="J123" s="13" t="n">
        <v>679</v>
      </c>
      <c r="K123" s="1" t="inlineStr"/>
      <c r="L123" s="13" t="n">
        <v>679</v>
      </c>
      <c r="M123" s="1">
        <f>IF(L123="","ไม่พบใน SG",IF(ABS(J123-L123)&lt;0.005,"ตรงกัน","ไม่ตรง"))</f>
        <v/>
      </c>
      <c r="N123" s="14">
        <f>IF(L123="","",ROUND(L123*'สรุป'!$C$6,-1))</f>
        <v/>
      </c>
      <c r="O123" s="15" t="n"/>
      <c r="P123" s="15" t="n"/>
      <c r="Q123" s="10" t="n"/>
      <c r="R123" s="10" t="n"/>
      <c r="S123" s="16" t="inlineStr">
        <is>
          <t>https://mstgolf.co.th/products/gf1210101233</t>
        </is>
      </c>
      <c r="T123" s="1">
        <f>IF(B123="ไม้กอล์ฟ",J123,"")</f>
        <v/>
      </c>
    </row>
    <row r="124">
      <c r="A124" s="1" t="n">
        <v>1</v>
      </c>
      <c r="B124" s="1" t="inlineStr">
        <is>
          <t>ไม้กอล์ฟ</t>
        </is>
      </c>
      <c r="C124" s="1" t="inlineStr">
        <is>
          <t>gf1210101232</t>
        </is>
      </c>
      <c r="D124" s="1" t="inlineStr">
        <is>
          <t>TAYLORMADE QI35 Max Designer Series Silver (2025) Men's Driver</t>
        </is>
      </c>
      <c r="E124" s="1" t="inlineStr">
        <is>
          <t>TAYLORMADE</t>
        </is>
      </c>
      <c r="F124" s="1" t="inlineStr">
        <is>
          <t>DRIVER</t>
        </is>
      </c>
      <c r="G124" s="1" t="inlineStr">
        <is>
          <t>GF12101012329S</t>
        </is>
      </c>
      <c r="H124" s="1" t="n">
        <v>4</v>
      </c>
      <c r="I124" s="1" t="inlineStr">
        <is>
          <t>มี</t>
        </is>
      </c>
      <c r="J124" s="13" t="n">
        <v>679</v>
      </c>
      <c r="K124" s="1" t="inlineStr"/>
      <c r="L124" s="13" t="n">
        <v>679</v>
      </c>
      <c r="M124" s="1">
        <f>IF(L124="","ไม่พบใน SG",IF(ABS(J124-L124)&lt;0.005,"ตรงกัน","ไม่ตรง"))</f>
        <v/>
      </c>
      <c r="N124" s="14">
        <f>IF(L124="","",ROUND(L124*'สรุป'!$C$6,-1))</f>
        <v/>
      </c>
      <c r="O124" s="15" t="n"/>
      <c r="P124" s="15" t="n"/>
      <c r="Q124" s="10" t="n"/>
      <c r="R124" s="10" t="n"/>
      <c r="S124" s="16" t="inlineStr">
        <is>
          <t>https://mstgolf.co.th/products/gf1210101232</t>
        </is>
      </c>
      <c r="T124" s="1">
        <f>IF(B124="ไม้กอล์ฟ",J124,"")</f>
        <v/>
      </c>
    </row>
    <row r="125">
      <c r="A125" s="1" t="n">
        <v>1</v>
      </c>
      <c r="B125" s="1" t="inlineStr">
        <is>
          <t>ไม้กอล์ฟ</t>
        </is>
      </c>
      <c r="C125" s="1" t="inlineStr">
        <is>
          <t>gf1210101207</t>
        </is>
      </c>
      <c r="D125" s="1" t="inlineStr">
        <is>
          <t>TAYLORMADE Qi35 Designer Series Black (2025) Men's Driver</t>
        </is>
      </c>
      <c r="E125" s="1" t="inlineStr">
        <is>
          <t>TAYLORMADE</t>
        </is>
      </c>
      <c r="F125" s="1" t="inlineStr">
        <is>
          <t>DRIVER</t>
        </is>
      </c>
      <c r="G125" s="1" t="inlineStr">
        <is>
          <t>GF12101012079S</t>
        </is>
      </c>
      <c r="H125" s="1" t="n">
        <v>3</v>
      </c>
      <c r="I125" s="1" t="inlineStr">
        <is>
          <t>มี</t>
        </is>
      </c>
      <c r="J125" s="13" t="n">
        <v>679</v>
      </c>
      <c r="K125" s="1" t="inlineStr"/>
      <c r="L125" s="13" t="n">
        <v>679</v>
      </c>
      <c r="M125" s="1">
        <f>IF(L125="","ไม่พบใน SG",IF(ABS(J125-L125)&lt;0.005,"ตรงกัน","ไม่ตรง"))</f>
        <v/>
      </c>
      <c r="N125" s="14">
        <f>IF(L125="","",ROUND(L125*'สรุป'!$C$6,-1))</f>
        <v/>
      </c>
      <c r="O125" s="15" t="n"/>
      <c r="P125" s="15" t="n"/>
      <c r="Q125" s="10" t="n"/>
      <c r="R125" s="10" t="n"/>
      <c r="S125" s="16" t="inlineStr">
        <is>
          <t>https://mstgolf.co.th/products/gf1210101207</t>
        </is>
      </c>
      <c r="T125" s="1">
        <f>IF(B125="ไม้กอล์ฟ",J125,"")</f>
        <v/>
      </c>
    </row>
    <row r="126">
      <c r="A126" s="1" t="n">
        <v>1</v>
      </c>
      <c r="B126" s="1" t="inlineStr">
        <is>
          <t>ไม้กอล์ฟ</t>
        </is>
      </c>
      <c r="C126" s="1" t="inlineStr">
        <is>
          <t>gf1210101190</t>
        </is>
      </c>
      <c r="D126" s="1" t="inlineStr">
        <is>
          <t>TAYLORMADE Qi35 LS (2025) Men's Driver</t>
        </is>
      </c>
      <c r="E126" s="1" t="inlineStr">
        <is>
          <t>TAYLORMADE</t>
        </is>
      </c>
      <c r="F126" s="1" t="inlineStr">
        <is>
          <t>DRIVER</t>
        </is>
      </c>
      <c r="G126" s="1" t="inlineStr">
        <is>
          <t>GF12101011939S</t>
        </is>
      </c>
      <c r="H126" s="1" t="n">
        <v>8</v>
      </c>
      <c r="I126" s="1" t="inlineStr">
        <is>
          <t>มี</t>
        </is>
      </c>
      <c r="J126" s="13" t="n">
        <v>679</v>
      </c>
      <c r="K126" s="1" t="inlineStr"/>
      <c r="L126" s="13" t="n">
        <v>679</v>
      </c>
      <c r="M126" s="1">
        <f>IF(L126="","ไม่พบใน SG",IF(ABS(J126-L126)&lt;0.005,"ตรงกัน","ไม่ตรง"))</f>
        <v/>
      </c>
      <c r="N126" s="14">
        <f>IF(L126="","",ROUND(L126*'สรุป'!$C$6,-1))</f>
        <v/>
      </c>
      <c r="O126" s="15" t="n"/>
      <c r="P126" s="15" t="n"/>
      <c r="Q126" s="10" t="n"/>
      <c r="R126" s="10" t="n"/>
      <c r="S126" s="16" t="inlineStr">
        <is>
          <t>https://mstgolf.co.th/products/gf1210101190</t>
        </is>
      </c>
      <c r="T126" s="1">
        <f>IF(B126="ไม้กอล์ฟ",J126,"")</f>
        <v/>
      </c>
    </row>
    <row r="127">
      <c r="A127" s="1" t="n">
        <v>1</v>
      </c>
      <c r="B127" s="1" t="inlineStr">
        <is>
          <t>ไม้กอล์ฟ</t>
        </is>
      </c>
      <c r="C127" s="1" t="inlineStr">
        <is>
          <t>gf1210101208</t>
        </is>
      </c>
      <c r="D127" s="1" t="inlineStr">
        <is>
          <t>TAYLORMADE Qi35 Max Designer Series Black (2025) Men's Driver</t>
        </is>
      </c>
      <c r="E127" s="1" t="inlineStr">
        <is>
          <t>TAYLORMADE</t>
        </is>
      </c>
      <c r="F127" s="1" t="inlineStr">
        <is>
          <t>DRIVER</t>
        </is>
      </c>
      <c r="G127" s="1" t="inlineStr">
        <is>
          <t>GF12101012089S</t>
        </is>
      </c>
      <c r="H127" s="1" t="n">
        <v>3</v>
      </c>
      <c r="I127" s="1" t="inlineStr">
        <is>
          <t>มี</t>
        </is>
      </c>
      <c r="J127" s="13" t="n">
        <v>679</v>
      </c>
      <c r="K127" s="1" t="inlineStr"/>
      <c r="L127" s="13" t="n">
        <v>679</v>
      </c>
      <c r="M127" s="1">
        <f>IF(L127="","ไม่พบใน SG",IF(ABS(J127-L127)&lt;0.005,"ตรงกัน","ไม่ตรง"))</f>
        <v/>
      </c>
      <c r="N127" s="14">
        <f>IF(L127="","",ROUND(L127*'สรุป'!$C$6,-1))</f>
        <v/>
      </c>
      <c r="O127" s="15" t="n"/>
      <c r="P127" s="15" t="n"/>
      <c r="Q127" s="10" t="n"/>
      <c r="R127" s="10" t="n"/>
      <c r="S127" s="16" t="inlineStr">
        <is>
          <t>https://mstgolf.co.th/products/gf1210101208</t>
        </is>
      </c>
      <c r="T127" s="1">
        <f>IF(B127="ไม้กอล์ฟ",J127,"")</f>
        <v/>
      </c>
    </row>
    <row r="128">
      <c r="A128" s="1" t="n">
        <v>1</v>
      </c>
      <c r="B128" s="1" t="inlineStr">
        <is>
          <t>ไม้กอล์ฟ</t>
        </is>
      </c>
      <c r="C128" s="1" t="inlineStr">
        <is>
          <t>gf1210101209</t>
        </is>
      </c>
      <c r="D128" s="1" t="inlineStr">
        <is>
          <t>TAYLORMADE R7 Quad Mini (2025) Men's Driver</t>
        </is>
      </c>
      <c r="E128" s="1" t="inlineStr">
        <is>
          <t>TAYLORMADE</t>
        </is>
      </c>
      <c r="F128" s="1" t="inlineStr">
        <is>
          <t>DRIVER</t>
        </is>
      </c>
      <c r="G128" s="1" t="inlineStr">
        <is>
          <t>GF1210101209115S</t>
        </is>
      </c>
      <c r="H128" s="1" t="n">
        <v>4</v>
      </c>
      <c r="I128" s="1" t="inlineStr">
        <is>
          <t>มี</t>
        </is>
      </c>
      <c r="J128" s="13" t="n">
        <v>659</v>
      </c>
      <c r="K128" s="1" t="inlineStr"/>
      <c r="L128" s="13" t="n">
        <v>659</v>
      </c>
      <c r="M128" s="1">
        <f>IF(L128="","ไม่พบใน SG",IF(ABS(J128-L128)&lt;0.005,"ตรงกัน","ไม่ตรง"))</f>
        <v/>
      </c>
      <c r="N128" s="14">
        <f>IF(L128="","",ROUND(L128*'สรุป'!$C$6,-1))</f>
        <v/>
      </c>
      <c r="O128" s="15" t="n"/>
      <c r="P128" s="15" t="n"/>
      <c r="Q128" s="10" t="n"/>
      <c r="R128" s="10" t="n"/>
      <c r="S128" s="16" t="inlineStr">
        <is>
          <t>https://mstgolf.co.th/products/gf1210101209</t>
        </is>
      </c>
      <c r="T128" s="1">
        <f>IF(B128="ไม้กอล์ฟ",J128,"")</f>
        <v/>
      </c>
    </row>
    <row r="129">
      <c r="A129" s="1" t="n">
        <v>1</v>
      </c>
      <c r="B129" s="1" t="inlineStr">
        <is>
          <t>ไม้กอล์ฟ</t>
        </is>
      </c>
      <c r="C129" s="1" t="inlineStr">
        <is>
          <t>gf1230100816</t>
        </is>
      </c>
      <c r="D129" s="1" t="inlineStr">
        <is>
          <t>MAJESTY Royale (2025) Men's Hybrid</t>
        </is>
      </c>
      <c r="E129" s="1" t="inlineStr">
        <is>
          <t>MAJESTY</t>
        </is>
      </c>
      <c r="F129" s="1" t="inlineStr">
        <is>
          <t>UTILITY/HYBRID</t>
        </is>
      </c>
      <c r="G129" s="1" t="inlineStr">
        <is>
          <t>GF1230100816#3R</t>
        </is>
      </c>
      <c r="H129" s="1" t="n">
        <v>3</v>
      </c>
      <c r="I129" s="1" t="inlineStr">
        <is>
          <t>มี</t>
        </is>
      </c>
      <c r="J129" s="13" t="n">
        <v>649</v>
      </c>
      <c r="K129" s="1" t="inlineStr"/>
      <c r="L129" s="13" t="n">
        <v>649</v>
      </c>
      <c r="M129" s="1">
        <f>IF(L129="","ไม่พบใน SG",IF(ABS(J129-L129)&lt;0.005,"ตรงกัน","ไม่ตรง"))</f>
        <v/>
      </c>
      <c r="N129" s="14">
        <f>IF(L129="","",ROUND(L129*'สรุป'!$C$6,-1))</f>
        <v/>
      </c>
      <c r="O129" s="15" t="n"/>
      <c r="P129" s="15" t="n"/>
      <c r="Q129" s="10" t="n"/>
      <c r="R129" s="10" t="n"/>
      <c r="S129" s="16" t="inlineStr">
        <is>
          <t>https://mstgolf.co.th/products/gf1230100816</t>
        </is>
      </c>
      <c r="T129" s="1">
        <f>IF(B129="ไม้กอล์ฟ",J129,"")</f>
        <v/>
      </c>
    </row>
    <row r="130">
      <c r="A130" s="1" t="n">
        <v>1</v>
      </c>
      <c r="B130" s="1" t="inlineStr">
        <is>
          <t>ไม้กอล์ฟ</t>
        </is>
      </c>
      <c r="C130" s="1" t="inlineStr">
        <is>
          <t>gf1210101084</t>
        </is>
      </c>
      <c r="D130" s="1" t="inlineStr">
        <is>
          <t>MIZUNO ST-Z 230 (2024) Men's Driver</t>
        </is>
      </c>
      <c r="E130" s="1" t="inlineStr">
        <is>
          <t>MIZUNO</t>
        </is>
      </c>
      <c r="F130" s="1" t="inlineStr">
        <is>
          <t>DRIVER</t>
        </is>
      </c>
      <c r="G130" s="1" t="inlineStr">
        <is>
          <t>GF12101010849.5XS</t>
        </is>
      </c>
      <c r="H130" s="1" t="n">
        <v>2</v>
      </c>
      <c r="I130" s="1" t="inlineStr">
        <is>
          <t>มี</t>
        </is>
      </c>
      <c r="J130" s="13" t="n">
        <v>649</v>
      </c>
      <c r="K130" s="1" t="inlineStr"/>
      <c r="L130" s="13" t="n">
        <v>369</v>
      </c>
      <c r="M130" s="1">
        <f>IF(L130="","ไม่พบใน SG",IF(ABS(J130-L130)&lt;0.005,"ตรงกัน","ไม่ตรง"))</f>
        <v/>
      </c>
      <c r="N130" s="14">
        <f>IF(L130="","",ROUND(L130*'สรุป'!$C$6,-1))</f>
        <v/>
      </c>
      <c r="O130" s="15" t="n"/>
      <c r="P130" s="15" t="n"/>
      <c r="Q130" s="10" t="n"/>
      <c r="R130" s="10" t="n"/>
      <c r="S130" s="16" t="inlineStr">
        <is>
          <t>https://mstgolf.co.th/products/gf1210101084</t>
        </is>
      </c>
      <c r="T130" s="1">
        <f>IF(B130="ไม้กอล์ฟ",J130,"")</f>
        <v/>
      </c>
    </row>
    <row r="131">
      <c r="A131" s="1" t="n">
        <v>1</v>
      </c>
      <c r="B131" s="1" t="inlineStr">
        <is>
          <t>ไม้กอล์ฟ</t>
        </is>
      </c>
      <c r="C131" s="1" t="inlineStr">
        <is>
          <t>gf1210101194</t>
        </is>
      </c>
      <c r="D131" s="1" t="inlineStr">
        <is>
          <t>TAYLORMADE Qi35 (2025) Men's Driver</t>
        </is>
      </c>
      <c r="E131" s="1" t="inlineStr">
        <is>
          <t>TAYLORMADE</t>
        </is>
      </c>
      <c r="F131" s="1" t="inlineStr">
        <is>
          <t>DRIVER</t>
        </is>
      </c>
      <c r="G131" s="1" t="inlineStr">
        <is>
          <t>GF12101011959S</t>
        </is>
      </c>
      <c r="H131" s="1" t="n">
        <v>8</v>
      </c>
      <c r="I131" s="1" t="inlineStr">
        <is>
          <t>มี</t>
        </is>
      </c>
      <c r="J131" s="13" t="n">
        <v>649</v>
      </c>
      <c r="K131" s="1" t="inlineStr"/>
      <c r="L131" s="13" t="n">
        <v>649</v>
      </c>
      <c r="M131" s="1">
        <f>IF(L131="","ไม่พบใน SG",IF(ABS(J131-L131)&lt;0.005,"ตรงกัน","ไม่ตรง"))</f>
        <v/>
      </c>
      <c r="N131" s="14">
        <f>IF(L131="","",ROUND(L131*'สรุป'!$C$6,-1))</f>
        <v/>
      </c>
      <c r="O131" s="15" t="n"/>
      <c r="P131" s="15" t="n"/>
      <c r="Q131" s="10" t="n"/>
      <c r="R131" s="10" t="n"/>
      <c r="S131" s="16" t="inlineStr">
        <is>
          <t>https://mstgolf.co.th/products/gf1210101194</t>
        </is>
      </c>
      <c r="T131" s="1">
        <f>IF(B131="ไม้กอล์ฟ",J131,"")</f>
        <v/>
      </c>
    </row>
    <row r="132">
      <c r="A132" s="1" t="n">
        <v>1</v>
      </c>
      <c r="B132" s="1" t="inlineStr">
        <is>
          <t>ไม้กอล์ฟ</t>
        </is>
      </c>
      <c r="C132" s="1" t="inlineStr">
        <is>
          <t>gf1210101196</t>
        </is>
      </c>
      <c r="D132" s="1" t="inlineStr">
        <is>
          <t>TAYLORMADE Qi35 Max (2025) Men's Driver</t>
        </is>
      </c>
      <c r="E132" s="1" t="inlineStr">
        <is>
          <t>TAYLORMADE</t>
        </is>
      </c>
      <c r="F132" s="1" t="inlineStr">
        <is>
          <t>DRIVER</t>
        </is>
      </c>
      <c r="G132" s="1" t="inlineStr">
        <is>
          <t>GF12101011979R</t>
        </is>
      </c>
      <c r="H132" s="1" t="n">
        <v>10</v>
      </c>
      <c r="I132" s="1" t="inlineStr">
        <is>
          <t>มี</t>
        </is>
      </c>
      <c r="J132" s="13" t="n">
        <v>649</v>
      </c>
      <c r="K132" s="1" t="inlineStr"/>
      <c r="L132" s="13" t="n">
        <v>649</v>
      </c>
      <c r="M132" s="1">
        <f>IF(L132="","ไม่พบใน SG",IF(ABS(J132-L132)&lt;0.005,"ตรงกัน","ไม่ตรง"))</f>
        <v/>
      </c>
      <c r="N132" s="14">
        <f>IF(L132="","",ROUND(L132*'สรุป'!$C$6,-1))</f>
        <v/>
      </c>
      <c r="O132" s="15" t="n"/>
      <c r="P132" s="15" t="n"/>
      <c r="Q132" s="10" t="n"/>
      <c r="R132" s="10" t="n"/>
      <c r="S132" s="16" t="inlineStr">
        <is>
          <t>https://mstgolf.co.th/products/gf1210101196</t>
        </is>
      </c>
      <c r="T132" s="1">
        <f>IF(B132="ไม้กอล์ฟ",J132,"")</f>
        <v/>
      </c>
    </row>
    <row r="133">
      <c r="A133" s="1" t="n">
        <v>1</v>
      </c>
      <c r="B133" s="1" t="inlineStr">
        <is>
          <t>ไม้กอล์ฟ</t>
        </is>
      </c>
      <c r="C133" s="1" t="inlineStr">
        <is>
          <t>gf1210101200</t>
        </is>
      </c>
      <c r="D133" s="1" t="inlineStr">
        <is>
          <t>TAYLORMADE Qi35 Max Lite (2025) Women's Driver</t>
        </is>
      </c>
      <c r="E133" s="1" t="inlineStr">
        <is>
          <t>TAYLORMADE</t>
        </is>
      </c>
      <c r="F133" s="1" t="inlineStr">
        <is>
          <t>DRIVER</t>
        </is>
      </c>
      <c r="G133" s="1" t="inlineStr">
        <is>
          <t>GF121010120012L</t>
        </is>
      </c>
      <c r="H133" s="1" t="n">
        <v>1</v>
      </c>
      <c r="I133" s="1" t="inlineStr">
        <is>
          <t>มี</t>
        </is>
      </c>
      <c r="J133" s="13" t="n">
        <v>649</v>
      </c>
      <c r="K133" s="1" t="inlineStr"/>
      <c r="L133" s="13" t="n">
        <v>649</v>
      </c>
      <c r="M133" s="1">
        <f>IF(L133="","ไม่พบใน SG",IF(ABS(J133-L133)&lt;0.005,"ตรงกัน","ไม่ตรง"))</f>
        <v/>
      </c>
      <c r="N133" s="14">
        <f>IF(L133="","",ROUND(L133*'สรุป'!$C$6,-1))</f>
        <v/>
      </c>
      <c r="O133" s="15" t="n"/>
      <c r="P133" s="15" t="n"/>
      <c r="Q133" s="10" t="n"/>
      <c r="R133" s="10" t="n"/>
      <c r="S133" s="16" t="inlineStr">
        <is>
          <t>https://mstgolf.co.th/products/gf1210101200</t>
        </is>
      </c>
      <c r="T133" s="1">
        <f>IF(B133="ไม้กอล์ฟ",J133,"")</f>
        <v/>
      </c>
    </row>
    <row r="134">
      <c r="A134" s="1" t="n">
        <v>1</v>
      </c>
      <c r="B134" s="1" t="inlineStr">
        <is>
          <t>ไม้กอล์ฟ</t>
        </is>
      </c>
      <c r="C134" s="1" t="inlineStr">
        <is>
          <t>gf1210101248</t>
        </is>
      </c>
      <c r="D134" s="1" t="inlineStr">
        <is>
          <t>TITLEIST GT1 (2025) Men's Driver</t>
        </is>
      </c>
      <c r="E134" s="1" t="inlineStr">
        <is>
          <t>TITLEIST</t>
        </is>
      </c>
      <c r="F134" s="1" t="inlineStr">
        <is>
          <t>DRIVER</t>
        </is>
      </c>
      <c r="G134" s="1" t="inlineStr">
        <is>
          <t>GF121010124810R</t>
        </is>
      </c>
      <c r="H134" s="1" t="n">
        <v>3</v>
      </c>
      <c r="I134" s="1" t="inlineStr">
        <is>
          <t>มี</t>
        </is>
      </c>
      <c r="J134" s="13" t="n">
        <v>649</v>
      </c>
      <c r="K134" s="1" t="inlineStr"/>
      <c r="L134" s="13" t="n">
        <v>649</v>
      </c>
      <c r="M134" s="1">
        <f>IF(L134="","ไม่พบใน SG",IF(ABS(J134-L134)&lt;0.005,"ตรงกัน","ไม่ตรง"))</f>
        <v/>
      </c>
      <c r="N134" s="14">
        <f>IF(L134="","",ROUND(L134*'สรุป'!$C$6,-1))</f>
        <v/>
      </c>
      <c r="O134" s="15" t="n"/>
      <c r="P134" s="15" t="n"/>
      <c r="Q134" s="10" t="n"/>
      <c r="R134" s="10" t="n"/>
      <c r="S134" s="16" t="inlineStr">
        <is>
          <t>https://mstgolf.co.th/products/gf1210101248</t>
        </is>
      </c>
      <c r="T134" s="1">
        <f>IF(B134="ไม้กอล์ฟ",J134,"")</f>
        <v/>
      </c>
    </row>
    <row r="135">
      <c r="A135" s="1" t="n">
        <v>1</v>
      </c>
      <c r="B135" s="1" t="inlineStr">
        <is>
          <t>ไม้กอล์ฟ</t>
        </is>
      </c>
      <c r="C135" s="1" t="inlineStr">
        <is>
          <t>gf1210101116</t>
        </is>
      </c>
      <c r="D135" s="1" t="inlineStr">
        <is>
          <t>TITLEIST GT2 (2024) Men's Driver</t>
        </is>
      </c>
      <c r="E135" s="1" t="inlineStr">
        <is>
          <t>TITLEIST</t>
        </is>
      </c>
      <c r="F135" s="1" t="inlineStr">
        <is>
          <t>DRIVER</t>
        </is>
      </c>
      <c r="G135" s="1" t="inlineStr">
        <is>
          <t>GF12101011209S</t>
        </is>
      </c>
      <c r="H135" s="1" t="n">
        <v>12</v>
      </c>
      <c r="I135" s="1" t="inlineStr">
        <is>
          <t>มี</t>
        </is>
      </c>
      <c r="J135" s="13" t="n">
        <v>649</v>
      </c>
      <c r="K135" s="1" t="inlineStr"/>
      <c r="L135" s="13" t="n">
        <v>649</v>
      </c>
      <c r="M135" s="1">
        <f>IF(L135="","ไม่พบใน SG",IF(ABS(J135-L135)&lt;0.005,"ตรงกัน","ไม่ตรง"))</f>
        <v/>
      </c>
      <c r="N135" s="14">
        <f>IF(L135="","",ROUND(L135*'สรุป'!$C$6,-1))</f>
        <v/>
      </c>
      <c r="O135" s="15" t="n"/>
      <c r="P135" s="15" t="n"/>
      <c r="Q135" s="10" t="n"/>
      <c r="R135" s="10" t="n"/>
      <c r="S135" s="16" t="inlineStr">
        <is>
          <t>https://mstgolf.co.th/products/gf1210101116</t>
        </is>
      </c>
      <c r="T135" s="1">
        <f>IF(B135="ไม้กอล์ฟ",J135,"")</f>
        <v/>
      </c>
    </row>
    <row r="136">
      <c r="A136" s="1" t="n">
        <v>1</v>
      </c>
      <c r="B136" s="1" t="inlineStr">
        <is>
          <t>ไม้กอล์ฟ</t>
        </is>
      </c>
      <c r="C136" s="1" t="inlineStr">
        <is>
          <t>gf1210101121</t>
        </is>
      </c>
      <c r="D136" s="1" t="inlineStr">
        <is>
          <t>TITLEIST GT3 (2024) Men's Driver</t>
        </is>
      </c>
      <c r="E136" s="1" t="inlineStr">
        <is>
          <t>TITLEIST</t>
        </is>
      </c>
      <c r="F136" s="1" t="inlineStr">
        <is>
          <t>DRIVER</t>
        </is>
      </c>
      <c r="G136" s="1" t="inlineStr">
        <is>
          <t>GF12101011228S</t>
        </is>
      </c>
      <c r="H136" s="1" t="n">
        <v>6</v>
      </c>
      <c r="I136" s="1" t="inlineStr">
        <is>
          <t>มี</t>
        </is>
      </c>
      <c r="J136" s="13" t="n">
        <v>649</v>
      </c>
      <c r="K136" s="1" t="inlineStr"/>
      <c r="L136" s="13" t="n">
        <v>649</v>
      </c>
      <c r="M136" s="1">
        <f>IF(L136="","ไม่พบใน SG",IF(ABS(J136-L136)&lt;0.005,"ตรงกัน","ไม่ตรง"))</f>
        <v/>
      </c>
      <c r="N136" s="14">
        <f>IF(L136="","",ROUND(L136*'สรุป'!$C$6,-1))</f>
        <v/>
      </c>
      <c r="O136" s="15" t="n"/>
      <c r="P136" s="15" t="n"/>
      <c r="Q136" s="10" t="n"/>
      <c r="R136" s="10" t="n"/>
      <c r="S136" s="16" t="inlineStr">
        <is>
          <t>https://mstgolf.co.th/products/gf1210101121</t>
        </is>
      </c>
      <c r="T136" s="1">
        <f>IF(B136="ไม้กอล์ฟ",J136,"")</f>
        <v/>
      </c>
    </row>
    <row r="137">
      <c r="A137" s="1" t="n">
        <v>1</v>
      </c>
      <c r="B137" s="1" t="inlineStr">
        <is>
          <t>ไม้กอล์ฟ</t>
        </is>
      </c>
      <c r="C137" s="1" t="inlineStr">
        <is>
          <t>gf1210100818</t>
        </is>
      </c>
      <c r="D137" s="1" t="inlineStr">
        <is>
          <t>TITLEIST TSR2 Men's Driver</t>
        </is>
      </c>
      <c r="E137" s="1" t="inlineStr">
        <is>
          <t>TITLEIST</t>
        </is>
      </c>
      <c r="F137" s="1" t="inlineStr">
        <is>
          <t>DRIVER</t>
        </is>
      </c>
      <c r="G137" s="1" t="inlineStr">
        <is>
          <t>GF12101008199SR</t>
        </is>
      </c>
      <c r="H137" s="1" t="n">
        <v>10</v>
      </c>
      <c r="I137" s="1" t="inlineStr">
        <is>
          <t>มี</t>
        </is>
      </c>
      <c r="J137" s="13" t="n">
        <v>649</v>
      </c>
      <c r="K137" s="1" t="inlineStr"/>
      <c r="L137" s="13" t="n">
        <v>499</v>
      </c>
      <c r="M137" s="1">
        <f>IF(L137="","ไม่พบใน SG",IF(ABS(J137-L137)&lt;0.005,"ตรงกัน","ไม่ตรง"))</f>
        <v/>
      </c>
      <c r="N137" s="14">
        <f>IF(L137="","",ROUND(L137*'สรุป'!$C$6,-1))</f>
        <v/>
      </c>
      <c r="O137" s="15" t="n"/>
      <c r="P137" s="15" t="n"/>
      <c r="Q137" s="10" t="n"/>
      <c r="R137" s="10" t="n"/>
      <c r="S137" s="16" t="inlineStr">
        <is>
          <t>https://mstgolf.co.th/products/gf1210100818</t>
        </is>
      </c>
      <c r="T137" s="1">
        <f>IF(B137="ไม้กอล์ฟ",J137,"")</f>
        <v/>
      </c>
    </row>
    <row r="138">
      <c r="A138" s="1" t="n">
        <v>1</v>
      </c>
      <c r="B138" s="1" t="inlineStr">
        <is>
          <t>ไม้กอล์ฟ</t>
        </is>
      </c>
      <c r="C138" s="1" t="inlineStr">
        <is>
          <t>gf1210100821</t>
        </is>
      </c>
      <c r="D138" s="1" t="inlineStr">
        <is>
          <t>TITLEIST TSR3 Men's Driver</t>
        </is>
      </c>
      <c r="E138" s="1" t="inlineStr">
        <is>
          <t>TITLEIST</t>
        </is>
      </c>
      <c r="F138" s="1" t="inlineStr">
        <is>
          <t>DRIVER</t>
        </is>
      </c>
      <c r="G138" s="1" t="inlineStr">
        <is>
          <t>GF12101008228S</t>
        </is>
      </c>
      <c r="H138" s="1" t="n">
        <v>6</v>
      </c>
      <c r="I138" s="1" t="inlineStr">
        <is>
          <t>มี</t>
        </is>
      </c>
      <c r="J138" s="13" t="n">
        <v>649</v>
      </c>
      <c r="K138" s="1" t="inlineStr"/>
      <c r="L138" s="13" t="n">
        <v>649</v>
      </c>
      <c r="M138" s="1">
        <f>IF(L138="","ไม่พบใน SG",IF(ABS(J138-L138)&lt;0.005,"ตรงกัน","ไม่ตรง"))</f>
        <v/>
      </c>
      <c r="N138" s="14">
        <f>IF(L138="","",ROUND(L138*'สรุป'!$C$6,-1))</f>
        <v/>
      </c>
      <c r="O138" s="15" t="n"/>
      <c r="P138" s="15" t="n"/>
      <c r="Q138" s="10" t="n"/>
      <c r="R138" s="10" t="n"/>
      <c r="S138" s="16" t="inlineStr">
        <is>
          <t>https://mstgolf.co.th/products/gf1210100821</t>
        </is>
      </c>
      <c r="T138" s="1">
        <f>IF(B138="ไม้กอล์ฟ",J138,"")</f>
        <v/>
      </c>
    </row>
    <row r="139">
      <c r="A139" s="1" t="n">
        <v>1</v>
      </c>
      <c r="B139" s="1" t="inlineStr">
        <is>
          <t>ไม้กอล์ฟ</t>
        </is>
      </c>
      <c r="C139" s="1" t="inlineStr">
        <is>
          <t>gf1210100907</t>
        </is>
      </c>
      <c r="D139" s="1" t="inlineStr">
        <is>
          <t>TAYLORMADE BRNR Mini (2023) Men's Driver</t>
        </is>
      </c>
      <c r="E139" s="1" t="inlineStr">
        <is>
          <t>TAYLORMADE</t>
        </is>
      </c>
      <c r="F139" s="1" t="inlineStr">
        <is>
          <t>DRIVER</t>
        </is>
      </c>
      <c r="G139" s="1" t="inlineStr">
        <is>
          <t>GF1210100907115SR</t>
        </is>
      </c>
      <c r="H139" s="1" t="n">
        <v>4</v>
      </c>
      <c r="I139" s="1" t="inlineStr">
        <is>
          <t>มี</t>
        </is>
      </c>
      <c r="J139" s="13" t="n">
        <v>615</v>
      </c>
      <c r="K139" s="1" t="inlineStr"/>
      <c r="L139" s="13" t="n">
        <v>615</v>
      </c>
      <c r="M139" s="1">
        <f>IF(L139="","ไม่พบใน SG",IF(ABS(J139-L139)&lt;0.005,"ตรงกัน","ไม่ตรง"))</f>
        <v/>
      </c>
      <c r="N139" s="14">
        <f>IF(L139="","",ROUND(L139*'สรุป'!$C$6,-1))</f>
        <v/>
      </c>
      <c r="O139" s="15" t="n"/>
      <c r="P139" s="15" t="n"/>
      <c r="Q139" s="10" t="n"/>
      <c r="R139" s="10" t="n"/>
      <c r="S139" s="16" t="inlineStr">
        <is>
          <t>https://mstgolf.co.th/products/gf1210100907</t>
        </is>
      </c>
      <c r="T139" s="1">
        <f>IF(B139="ไม้กอล์ฟ",J139,"")</f>
        <v/>
      </c>
    </row>
    <row r="140">
      <c r="A140" s="1" t="n">
        <v>1</v>
      </c>
      <c r="B140" s="1" t="inlineStr">
        <is>
          <t>ไม้กอล์ฟ</t>
        </is>
      </c>
      <c r="C140" s="1" t="inlineStr">
        <is>
          <t>gf1240101251</t>
        </is>
      </c>
      <c r="D140" s="1" t="inlineStr">
        <is>
          <t>BETTINARDI Inovai 10.0 Slant Standard Grip (2024) Men's Putter</t>
        </is>
      </c>
      <c r="E140" s="1" t="inlineStr">
        <is>
          <t>BETTINARDI</t>
        </is>
      </c>
      <c r="F140" s="1" t="inlineStr">
        <is>
          <t>PUTTER</t>
        </is>
      </c>
      <c r="G140" s="1" t="inlineStr">
        <is>
          <t>GF124010125134</t>
        </is>
      </c>
      <c r="H140" s="1" t="n">
        <v>1</v>
      </c>
      <c r="I140" s="1" t="inlineStr">
        <is>
          <t>มี</t>
        </is>
      </c>
      <c r="J140" s="13" t="n">
        <v>609</v>
      </c>
      <c r="K140" s="1" t="inlineStr"/>
      <c r="L140" s="13" t="n">
        <v>425</v>
      </c>
      <c r="M140" s="1">
        <f>IF(L140="","ไม่พบใน SG",IF(ABS(J140-L140)&lt;0.005,"ตรงกัน","ไม่ตรง"))</f>
        <v/>
      </c>
      <c r="N140" s="14">
        <f>IF(L140="","",ROUND(L140*'สรุป'!$C$6,-1))</f>
        <v/>
      </c>
      <c r="O140" s="15" t="n"/>
      <c r="P140" s="15" t="n"/>
      <c r="Q140" s="10" t="n"/>
      <c r="R140" s="10" t="n"/>
      <c r="S140" s="16" t="inlineStr">
        <is>
          <t>https://mstgolf.co.th/products/gf1240101251</t>
        </is>
      </c>
      <c r="T140" s="1">
        <f>IF(B140="ไม้กอล์ฟ",J140,"")</f>
        <v/>
      </c>
    </row>
    <row r="141">
      <c r="A141" s="1" t="n">
        <v>1</v>
      </c>
      <c r="B141" s="1" t="inlineStr">
        <is>
          <t>อุปกรณ์วัดระยะ/เทคโนโลยี</t>
        </is>
      </c>
      <c r="C141" s="1" t="inlineStr">
        <is>
          <t>gf3190100109</t>
        </is>
      </c>
      <c r="D141" s="1" t="inlineStr">
        <is>
          <t>GARMIN Approach S50 Smartwatch - 43mm (Beige)</t>
        </is>
      </c>
      <c r="E141" s="1" t="inlineStr">
        <is>
          <t>GARMIN</t>
        </is>
      </c>
      <c r="F141" s="1" t="inlineStr">
        <is>
          <t>WATCH</t>
        </is>
      </c>
      <c r="G141" s="1" t="inlineStr">
        <is>
          <t>GF3190100109</t>
        </is>
      </c>
      <c r="H141" s="1" t="n">
        <v>1</v>
      </c>
      <c r="I141" s="1" t="inlineStr">
        <is>
          <t>มี</t>
        </is>
      </c>
      <c r="J141" s="13" t="n">
        <v>609</v>
      </c>
      <c r="K141" s="1" t="inlineStr"/>
      <c r="L141" s="13" t="n">
        <v>609</v>
      </c>
      <c r="M141" s="1">
        <f>IF(L141="","ไม่พบใน SG",IF(ABS(J141-L141)&lt;0.005,"ตรงกัน","ไม่ตรง"))</f>
        <v/>
      </c>
      <c r="N141" s="14">
        <f>IF(L141="","",ROUND(L141*'สรุป'!$C$6,-1))</f>
        <v/>
      </c>
      <c r="O141" s="15" t="n"/>
      <c r="P141" s="15" t="n"/>
      <c r="Q141" s="10" t="n"/>
      <c r="R141" s="10" t="n"/>
      <c r="S141" s="16" t="inlineStr">
        <is>
          <t>https://mstgolf.co.th/products/gf3190100109</t>
        </is>
      </c>
      <c r="T141" s="1">
        <f>IF(B141="ไม้กอล์ฟ",J141,"")</f>
        <v/>
      </c>
    </row>
    <row r="142">
      <c r="A142" s="1" t="n">
        <v>1</v>
      </c>
      <c r="B142" s="1" t="inlineStr">
        <is>
          <t>อุปกรณ์วัดระยะ/เทคโนโลยี</t>
        </is>
      </c>
      <c r="C142" s="1" t="inlineStr">
        <is>
          <t>gf3190100107</t>
        </is>
      </c>
      <c r="D142" s="1" t="inlineStr">
        <is>
          <t>GARMIN Approach S50 Smartwatch - 43mm (Black)</t>
        </is>
      </c>
      <c r="E142" s="1" t="inlineStr">
        <is>
          <t>GARMIN</t>
        </is>
      </c>
      <c r="F142" s="1" t="inlineStr">
        <is>
          <t>WATCH</t>
        </is>
      </c>
      <c r="G142" s="1" t="inlineStr">
        <is>
          <t>GF3190100107</t>
        </is>
      </c>
      <c r="H142" s="1" t="n">
        <v>1</v>
      </c>
      <c r="I142" s="1" t="inlineStr">
        <is>
          <t>มี</t>
        </is>
      </c>
      <c r="J142" s="13" t="n">
        <v>609</v>
      </c>
      <c r="K142" s="1" t="inlineStr"/>
      <c r="L142" s="13" t="n">
        <v>609</v>
      </c>
      <c r="M142" s="1">
        <f>IF(L142="","ไม่พบใน SG",IF(ABS(J142-L142)&lt;0.005,"ตรงกัน","ไม่ตรง"))</f>
        <v/>
      </c>
      <c r="N142" s="14">
        <f>IF(L142="","",ROUND(L142*'สรุป'!$C$6,-1))</f>
        <v/>
      </c>
      <c r="O142" s="15" t="n"/>
      <c r="P142" s="15" t="n"/>
      <c r="Q142" s="10" t="n"/>
      <c r="R142" s="10" t="n"/>
      <c r="S142" s="16" t="inlineStr">
        <is>
          <t>https://mstgolf.co.th/products/gf3190100107</t>
        </is>
      </c>
      <c r="T142" s="1">
        <f>IF(B142="ไม้กอล์ฟ",J142,"")</f>
        <v/>
      </c>
    </row>
    <row r="143">
      <c r="A143" s="1" t="n">
        <v>1</v>
      </c>
      <c r="B143" s="1" t="inlineStr">
        <is>
          <t>อุปกรณ์วัดระยะ/เทคโนโลยี</t>
        </is>
      </c>
      <c r="C143" s="1" t="inlineStr">
        <is>
          <t>gf3190100108</t>
        </is>
      </c>
      <c r="D143" s="1" t="inlineStr">
        <is>
          <t>GARMIN Approach S50 Smartwatch - 43mm (Natural)</t>
        </is>
      </c>
      <c r="E143" s="1" t="inlineStr">
        <is>
          <t>GARMIN</t>
        </is>
      </c>
      <c r="F143" s="1" t="inlineStr">
        <is>
          <t>WATCH</t>
        </is>
      </c>
      <c r="G143" s="1" t="inlineStr">
        <is>
          <t>GF3190100108</t>
        </is>
      </c>
      <c r="H143" s="1" t="n">
        <v>1</v>
      </c>
      <c r="I143" s="1" t="inlineStr">
        <is>
          <t>มี</t>
        </is>
      </c>
      <c r="J143" s="13" t="n">
        <v>609</v>
      </c>
      <c r="K143" s="1" t="inlineStr"/>
      <c r="L143" s="13" t="n">
        <v>609</v>
      </c>
      <c r="M143" s="1">
        <f>IF(L143="","ไม่พบใน SG",IF(ABS(J143-L143)&lt;0.005,"ตรงกัน","ไม่ตรง"))</f>
        <v/>
      </c>
      <c r="N143" s="14">
        <f>IF(L143="","",ROUND(L143*'สรุป'!$C$6,-1))</f>
        <v/>
      </c>
      <c r="O143" s="15" t="n"/>
      <c r="P143" s="15" t="n"/>
      <c r="Q143" s="10" t="n"/>
      <c r="R143" s="10" t="n"/>
      <c r="S143" s="16" t="inlineStr">
        <is>
          <t>https://mstgolf.co.th/products/gf3190100108</t>
        </is>
      </c>
      <c r="T143" s="1">
        <f>IF(B143="ไม้กอล์ฟ",J143,"")</f>
        <v/>
      </c>
    </row>
    <row r="144">
      <c r="A144" s="1" t="n">
        <v>1</v>
      </c>
      <c r="B144" s="1" t="inlineStr">
        <is>
          <t>อุปกรณ์วัดระยะ/เทคโนโลยี</t>
        </is>
      </c>
      <c r="C144" s="1" t="inlineStr">
        <is>
          <t>gf3190200033</t>
        </is>
      </c>
      <c r="D144" s="1" t="inlineStr">
        <is>
          <t>NIKON Coolshot 50i Laser Rangefinder (Black)</t>
        </is>
      </c>
      <c r="E144" s="1" t="inlineStr">
        <is>
          <t>NIKON</t>
        </is>
      </c>
      <c r="F144" s="1" t="inlineStr">
        <is>
          <t>HANDHELD</t>
        </is>
      </c>
      <c r="G144" s="1" t="inlineStr">
        <is>
          <t>GF3190200033</t>
        </is>
      </c>
      <c r="H144" s="1" t="n">
        <v>1</v>
      </c>
      <c r="I144" s="1" t="inlineStr">
        <is>
          <t>มี</t>
        </is>
      </c>
      <c r="J144" s="13" t="n">
        <v>605</v>
      </c>
      <c r="K144" s="1" t="inlineStr"/>
      <c r="L144" s="13" t="n">
        <v>605</v>
      </c>
      <c r="M144" s="1">
        <f>IF(L144="","ไม่พบใน SG",IF(ABS(J144-L144)&lt;0.005,"ตรงกัน","ไม่ตรง"))</f>
        <v/>
      </c>
      <c r="N144" s="14">
        <f>IF(L144="","",ROUND(L144*'สรุป'!$C$6,-1))</f>
        <v/>
      </c>
      <c r="O144" s="15" t="n"/>
      <c r="P144" s="15" t="n"/>
      <c r="Q144" s="10" t="n"/>
      <c r="R144" s="10" t="n"/>
      <c r="S144" s="16" t="inlineStr">
        <is>
          <t>https://mstgolf.co.th/products/gf3190200033</t>
        </is>
      </c>
      <c r="T144" s="1">
        <f>IF(B144="ไม้กอล์ฟ",J144,"")</f>
        <v/>
      </c>
    </row>
    <row r="145">
      <c r="A145" s="1" t="n">
        <v>1</v>
      </c>
      <c r="B145" s="1" t="inlineStr">
        <is>
          <t>ไม้กอล์ฟ</t>
        </is>
      </c>
      <c r="C145" s="1" t="inlineStr">
        <is>
          <t>gf1220100104</t>
        </is>
      </c>
      <c r="D145" s="1" t="inlineStr">
        <is>
          <t>GIII V7 (2018) Men's Fairway</t>
        </is>
      </c>
      <c r="E145" s="1" t="inlineStr">
        <is>
          <t>GIII</t>
        </is>
      </c>
      <c r="F145" s="1" t="inlineStr">
        <is>
          <t>FAIRWAY WOOD</t>
        </is>
      </c>
      <c r="G145" s="1" t="inlineStr">
        <is>
          <t>GF1220100104#3R</t>
        </is>
      </c>
      <c r="H145" s="1" t="n">
        <v>4</v>
      </c>
      <c r="I145" s="1" t="inlineStr">
        <is>
          <t>มี</t>
        </is>
      </c>
      <c r="J145" s="13" t="n">
        <v>599</v>
      </c>
      <c r="K145" s="1" t="inlineStr"/>
      <c r="L145" s="13" t="n">
        <v>599</v>
      </c>
      <c r="M145" s="1">
        <f>IF(L145="","ไม่พบใน SG",IF(ABS(J145-L145)&lt;0.005,"ตรงกัน","ไม่ตรง"))</f>
        <v/>
      </c>
      <c r="N145" s="14">
        <f>IF(L145="","",ROUND(L145*'สรุป'!$C$6,-1))</f>
        <v/>
      </c>
      <c r="O145" s="15" t="n"/>
      <c r="P145" s="15" t="n"/>
      <c r="Q145" s="10" t="n"/>
      <c r="R145" s="10" t="n"/>
      <c r="S145" s="16" t="inlineStr">
        <is>
          <t>https://mstgolf.co.th/products/gf1220100104</t>
        </is>
      </c>
      <c r="T145" s="1">
        <f>IF(B145="ไม้กอล์ฟ",J145,"")</f>
        <v/>
      </c>
    </row>
    <row r="146">
      <c r="A146" s="1" t="n">
        <v>1</v>
      </c>
      <c r="B146" s="1" t="inlineStr">
        <is>
          <t>ไม้กอล์ฟ</t>
        </is>
      </c>
      <c r="C146" s="1" t="inlineStr">
        <is>
          <t>gf1210100681</t>
        </is>
      </c>
      <c r="D146" s="1" t="inlineStr">
        <is>
          <t>ONOFF AKA (2022) Men's Driver</t>
        </is>
      </c>
      <c r="E146" s="1" t="inlineStr">
        <is>
          <t>ONOFF</t>
        </is>
      </c>
      <c r="F146" s="1" t="inlineStr">
        <is>
          <t>DRIVER</t>
        </is>
      </c>
      <c r="G146" s="1" t="inlineStr">
        <is>
          <t>GF1210100681105SR</t>
        </is>
      </c>
      <c r="H146" s="1" t="n">
        <v>4</v>
      </c>
      <c r="I146" s="1" t="inlineStr">
        <is>
          <t>มี</t>
        </is>
      </c>
      <c r="J146" s="13" t="n">
        <v>599</v>
      </c>
      <c r="K146" s="1" t="inlineStr"/>
      <c r="L146" s="13" t="n">
        <v>479</v>
      </c>
      <c r="M146" s="1">
        <f>IF(L146="","ไม่พบใน SG",IF(ABS(J146-L146)&lt;0.005,"ตรงกัน","ไม่ตรง"))</f>
        <v/>
      </c>
      <c r="N146" s="14">
        <f>IF(L146="","",ROUND(L146*'สรุป'!$C$6,-1))</f>
        <v/>
      </c>
      <c r="O146" s="15" t="n"/>
      <c r="P146" s="15" t="n"/>
      <c r="Q146" s="10" t="n"/>
      <c r="R146" s="10" t="n"/>
      <c r="S146" s="16" t="inlineStr">
        <is>
          <t>https://mstgolf.co.th/products/gf1210100681</t>
        </is>
      </c>
      <c r="T146" s="1">
        <f>IF(B146="ไม้กอล์ฟ",J146,"")</f>
        <v/>
      </c>
    </row>
    <row r="147">
      <c r="A147" s="1" t="n">
        <v>1</v>
      </c>
      <c r="B147" s="1" t="inlineStr">
        <is>
          <t>ไม้กอล์ฟ</t>
        </is>
      </c>
      <c r="C147" s="1" t="inlineStr">
        <is>
          <t>gf1210100669</t>
        </is>
      </c>
      <c r="D147" s="1" t="inlineStr">
        <is>
          <t>ONOFF Kuro (2022) Men's Driver</t>
        </is>
      </c>
      <c r="E147" s="1" t="inlineStr">
        <is>
          <t>ONOFF</t>
        </is>
      </c>
      <c r="F147" s="1" t="inlineStr">
        <is>
          <t>DRIVER</t>
        </is>
      </c>
      <c r="G147" s="1" t="inlineStr">
        <is>
          <t>GF12101006699.5S</t>
        </is>
      </c>
      <c r="H147" s="1" t="n">
        <v>2</v>
      </c>
      <c r="I147" s="1" t="inlineStr">
        <is>
          <t>มี</t>
        </is>
      </c>
      <c r="J147" s="13" t="n">
        <v>599</v>
      </c>
      <c r="K147" s="1" t="inlineStr"/>
      <c r="L147" s="13" t="n">
        <v>469</v>
      </c>
      <c r="M147" s="1">
        <f>IF(L147="","ไม่พบใน SG",IF(ABS(J147-L147)&lt;0.005,"ตรงกัน","ไม่ตรง"))</f>
        <v/>
      </c>
      <c r="N147" s="14">
        <f>IF(L147="","",ROUND(L147*'สรุป'!$C$6,-1))</f>
        <v/>
      </c>
      <c r="O147" s="15" t="n"/>
      <c r="P147" s="15" t="n"/>
      <c r="Q147" s="10" t="n"/>
      <c r="R147" s="10" t="n"/>
      <c r="S147" s="16" t="inlineStr">
        <is>
          <t>https://mstgolf.co.th/products/gf1210100669</t>
        </is>
      </c>
      <c r="T147" s="1">
        <f>IF(B147="ไม้กอล์ฟ",J147,"")</f>
        <v/>
      </c>
    </row>
    <row r="148">
      <c r="A148" s="1" t="n">
        <v>1</v>
      </c>
      <c r="B148" s="1" t="inlineStr">
        <is>
          <t>ไม้กอล์ฟ</t>
        </is>
      </c>
      <c r="C148" s="1" t="inlineStr">
        <is>
          <t>gf1210100682</t>
        </is>
      </c>
      <c r="D148" s="1" t="inlineStr">
        <is>
          <t>ONOFF Plus (2022) Men's Driver</t>
        </is>
      </c>
      <c r="E148" s="1" t="inlineStr">
        <is>
          <t>ONOFF</t>
        </is>
      </c>
      <c r="F148" s="1" t="inlineStr">
        <is>
          <t>DRIVER</t>
        </is>
      </c>
      <c r="G148" s="1" t="inlineStr">
        <is>
          <t>GF12101006829.5SR</t>
        </is>
      </c>
      <c r="H148" s="1" t="n">
        <v>6</v>
      </c>
      <c r="I148" s="1" t="inlineStr">
        <is>
          <t>มี</t>
        </is>
      </c>
      <c r="J148" s="13" t="n">
        <v>599</v>
      </c>
      <c r="K148" s="1" t="inlineStr"/>
      <c r="L148" s="13" t="n">
        <v>479</v>
      </c>
      <c r="M148" s="1">
        <f>IF(L148="","ไม่พบใน SG",IF(ABS(J148-L148)&lt;0.005,"ตรงกัน","ไม่ตรง"))</f>
        <v/>
      </c>
      <c r="N148" s="14">
        <f>IF(L148="","",ROUND(L148*'สรุป'!$C$6,-1))</f>
        <v/>
      </c>
      <c r="O148" s="15" t="n"/>
      <c r="P148" s="15" t="n"/>
      <c r="Q148" s="10" t="n"/>
      <c r="R148" s="10" t="n"/>
      <c r="S148" s="16" t="inlineStr">
        <is>
          <t>https://mstgolf.co.th/products/gf1210100682</t>
        </is>
      </c>
      <c r="T148" s="1">
        <f>IF(B148="ไม้กอล์ฟ",J148,"")</f>
        <v/>
      </c>
    </row>
    <row r="149">
      <c r="A149" s="1" t="n">
        <v>1</v>
      </c>
      <c r="B149" s="1" t="inlineStr">
        <is>
          <t>ไม้กอล์ฟ</t>
        </is>
      </c>
      <c r="C149" s="1" t="inlineStr">
        <is>
          <t>gf1210100996</t>
        </is>
      </c>
      <c r="D149" s="1" t="inlineStr">
        <is>
          <t>TAYLORMADE Qi10 LS (2024) Men's Driver</t>
        </is>
      </c>
      <c r="E149" s="1" t="inlineStr">
        <is>
          <t>TAYLORMADE</t>
        </is>
      </c>
      <c r="F149" s="1" t="inlineStr">
        <is>
          <t>DRIVER</t>
        </is>
      </c>
      <c r="G149" s="1" t="inlineStr">
        <is>
          <t>GF12101009969SR</t>
        </is>
      </c>
      <c r="H149" s="1" t="n">
        <v>10</v>
      </c>
      <c r="I149" s="1" t="inlineStr">
        <is>
          <t>มี</t>
        </is>
      </c>
      <c r="J149" s="13" t="n">
        <v>599</v>
      </c>
      <c r="K149" s="1" t="inlineStr"/>
      <c r="L149" s="13" t="n">
        <v>599</v>
      </c>
      <c r="M149" s="1">
        <f>IF(L149="","ไม่พบใน SG",IF(ABS(J149-L149)&lt;0.005,"ตรงกัน","ไม่ตรง"))</f>
        <v/>
      </c>
      <c r="N149" s="14">
        <f>IF(L149="","",ROUND(L149*'สรุป'!$C$6,-1))</f>
        <v/>
      </c>
      <c r="O149" s="15" t="n"/>
      <c r="P149" s="15" t="n"/>
      <c r="Q149" s="10" t="n"/>
      <c r="R149" s="10" t="n"/>
      <c r="S149" s="16" t="inlineStr">
        <is>
          <t>https://mstgolf.co.th/products/gf1210100996</t>
        </is>
      </c>
      <c r="T149" s="1">
        <f>IF(B149="ไม้กอล์ฟ",J149,"")</f>
        <v/>
      </c>
    </row>
    <row r="150">
      <c r="A150" s="1" t="n">
        <v>1</v>
      </c>
      <c r="B150" s="1" t="inlineStr">
        <is>
          <t>ไม้กอล์ฟ</t>
        </is>
      </c>
      <c r="C150" s="1" t="inlineStr">
        <is>
          <t>gf1250100190</t>
        </is>
      </c>
      <c r="D150" s="1" t="inlineStr">
        <is>
          <t>TAYLORMADE Team TaylorMade (2024) Junior Package Set (Ages 4-6)</t>
        </is>
      </c>
      <c r="E150" s="1" t="inlineStr">
        <is>
          <t>TAYLORMADE</t>
        </is>
      </c>
      <c r="F150" s="1" t="inlineStr">
        <is>
          <t>PACKAGE SET</t>
        </is>
      </c>
      <c r="G150" s="1" t="inlineStr">
        <is>
          <t>GF1250100190</t>
        </is>
      </c>
      <c r="H150" s="1" t="n">
        <v>1</v>
      </c>
      <c r="I150" s="1" t="inlineStr">
        <is>
          <t>มี</t>
        </is>
      </c>
      <c r="J150" s="13" t="n">
        <v>599</v>
      </c>
      <c r="K150" s="1" t="inlineStr"/>
      <c r="L150" s="13" t="n">
        <v>599</v>
      </c>
      <c r="M150" s="1">
        <f>IF(L150="","ไม่พบใน SG",IF(ABS(J150-L150)&lt;0.005,"ตรงกัน","ไม่ตรง"))</f>
        <v/>
      </c>
      <c r="N150" s="14">
        <f>IF(L150="","",ROUND(L150*'สรุป'!$C$6,-1))</f>
        <v/>
      </c>
      <c r="O150" s="15" t="n"/>
      <c r="P150" s="15" t="n"/>
      <c r="Q150" s="10" t="n"/>
      <c r="R150" s="10" t="n"/>
      <c r="S150" s="16" t="inlineStr">
        <is>
          <t>https://mstgolf.co.th/products/gf1250100190</t>
        </is>
      </c>
      <c r="T150" s="1">
        <f>IF(B150="ไม้กอล์ฟ",J150,"")</f>
        <v/>
      </c>
    </row>
    <row r="151">
      <c r="A151" s="1" t="n">
        <v>1</v>
      </c>
      <c r="B151" s="1" t="inlineStr">
        <is>
          <t>ไม้กอล์ฟ</t>
        </is>
      </c>
      <c r="C151" s="1" t="inlineStr">
        <is>
          <t>gf1210100766</t>
        </is>
      </c>
      <c r="D151" s="1" t="inlineStr">
        <is>
          <t>YAMAHA Inpres DriveStar (2023) Men's Driver</t>
        </is>
      </c>
      <c r="E151" s="1" t="inlineStr">
        <is>
          <t>YAMAHA</t>
        </is>
      </c>
      <c r="F151" s="1" t="inlineStr">
        <is>
          <t>DRIVER</t>
        </is>
      </c>
      <c r="G151" s="1" t="inlineStr">
        <is>
          <t>GF12101007669.5S</t>
        </is>
      </c>
      <c r="H151" s="1" t="n">
        <v>4</v>
      </c>
      <c r="I151" s="1" t="inlineStr">
        <is>
          <t>มี</t>
        </is>
      </c>
      <c r="J151" s="13" t="n">
        <v>599</v>
      </c>
      <c r="K151" s="1" t="inlineStr"/>
      <c r="L151" s="13" t="n">
        <v>419</v>
      </c>
      <c r="M151" s="1">
        <f>IF(L151="","ไม่พบใน SG",IF(ABS(J151-L151)&lt;0.005,"ตรงกัน","ไม่ตรง"))</f>
        <v/>
      </c>
      <c r="N151" s="14">
        <f>IF(L151="","",ROUND(L151*'สรุป'!$C$6,-1))</f>
        <v/>
      </c>
      <c r="O151" s="15" t="n"/>
      <c r="P151" s="15" t="n"/>
      <c r="Q151" s="10" t="n"/>
      <c r="R151" s="10" t="n"/>
      <c r="S151" s="16" t="inlineStr">
        <is>
          <t>https://mstgolf.co.th/products/gf1210100766</t>
        </is>
      </c>
      <c r="T151" s="1">
        <f>IF(B151="ไม้กอล์ฟ",J151,"")</f>
        <v/>
      </c>
    </row>
    <row r="152">
      <c r="A152" s="1" t="n">
        <v>1</v>
      </c>
      <c r="B152" s="1" t="inlineStr">
        <is>
          <t>ไม้กอล์ฟ</t>
        </is>
      </c>
      <c r="C152" s="1" t="inlineStr">
        <is>
          <t>gf1210100466</t>
        </is>
      </c>
      <c r="D152" s="1" t="inlineStr">
        <is>
          <t>YAMAHA Inpres UD+2 2021 Men's Driver</t>
        </is>
      </c>
      <c r="E152" s="1" t="inlineStr">
        <is>
          <t>YAMAHA</t>
        </is>
      </c>
      <c r="F152" s="1" t="inlineStr">
        <is>
          <t>DRIVER</t>
        </is>
      </c>
      <c r="G152" s="1" t="inlineStr">
        <is>
          <t>GF12101004669.5SR</t>
        </is>
      </c>
      <c r="H152" s="1" t="n">
        <v>6</v>
      </c>
      <c r="I152" s="1" t="inlineStr">
        <is>
          <t>มี</t>
        </is>
      </c>
      <c r="J152" s="13" t="n">
        <v>599</v>
      </c>
      <c r="K152" s="1" t="inlineStr"/>
      <c r="L152" s="13" t="n">
        <v>599</v>
      </c>
      <c r="M152" s="1">
        <f>IF(L152="","ไม่พบใน SG",IF(ABS(J152-L152)&lt;0.005,"ตรงกัน","ไม่ตรง"))</f>
        <v/>
      </c>
      <c r="N152" s="14">
        <f>IF(L152="","",ROUND(L152*'สรุป'!$C$6,-1))</f>
        <v/>
      </c>
      <c r="O152" s="15" t="n"/>
      <c r="P152" s="15" t="n"/>
      <c r="Q152" s="10" t="n"/>
      <c r="R152" s="10" t="n"/>
      <c r="S152" s="16" t="inlineStr">
        <is>
          <t>https://mstgolf.co.th/products/gf1210100466</t>
        </is>
      </c>
      <c r="T152" s="1">
        <f>IF(B152="ไม้กอล์ฟ",J152,"")</f>
        <v/>
      </c>
    </row>
    <row r="153">
      <c r="A153" s="1" t="n">
        <v>1</v>
      </c>
      <c r="B153" s="1" t="inlineStr">
        <is>
          <t>ไม้กอล์ฟ</t>
        </is>
      </c>
      <c r="C153" s="1" t="inlineStr">
        <is>
          <t>gf1210100652</t>
        </is>
      </c>
      <c r="D153" s="1" t="inlineStr">
        <is>
          <t>YAMAHA RMX VD59 (2022) Men's Driver</t>
        </is>
      </c>
      <c r="E153" s="1" t="inlineStr">
        <is>
          <t>YAMAHA</t>
        </is>
      </c>
      <c r="F153" s="1" t="inlineStr">
        <is>
          <t>DRIVER</t>
        </is>
      </c>
      <c r="G153" s="1" t="inlineStr">
        <is>
          <t>GF12101006529.5S</t>
        </is>
      </c>
      <c r="H153" s="1" t="n">
        <v>5</v>
      </c>
      <c r="I153" s="1" t="inlineStr">
        <is>
          <t>มี</t>
        </is>
      </c>
      <c r="J153" s="13" t="n">
        <v>599</v>
      </c>
      <c r="K153" s="1" t="inlineStr"/>
      <c r="L153" s="13" t="n">
        <v>299</v>
      </c>
      <c r="M153" s="1">
        <f>IF(L153="","ไม่พบใน SG",IF(ABS(J153-L153)&lt;0.005,"ตรงกัน","ไม่ตรง"))</f>
        <v/>
      </c>
      <c r="N153" s="14">
        <f>IF(L153="","",ROUND(L153*'สรุป'!$C$6,-1))</f>
        <v/>
      </c>
      <c r="O153" s="15" t="n"/>
      <c r="P153" s="15" t="n"/>
      <c r="Q153" s="10" t="n"/>
      <c r="R153" s="10" t="n"/>
      <c r="S153" s="16" t="inlineStr">
        <is>
          <t>https://mstgolf.co.th/products/gf1210100652</t>
        </is>
      </c>
      <c r="T153" s="1">
        <f>IF(B153="ไม้กอล์ฟ",J153,"")</f>
        <v/>
      </c>
    </row>
    <row r="154">
      <c r="A154" s="1" t="n">
        <v>1</v>
      </c>
      <c r="B154" s="1" t="inlineStr">
        <is>
          <t>ไม้กอล์ฟ</t>
        </is>
      </c>
      <c r="C154" s="1" t="inlineStr">
        <is>
          <t>gf1210100767</t>
        </is>
      </c>
      <c r="D154" s="1" t="inlineStr">
        <is>
          <t>YAMAHA Inpres DriveStar (2023) Women's Driver</t>
        </is>
      </c>
      <c r="E154" s="1" t="inlineStr">
        <is>
          <t>YAMAHA</t>
        </is>
      </c>
      <c r="F154" s="1" t="inlineStr">
        <is>
          <t>DRIVER</t>
        </is>
      </c>
      <c r="G154" s="1" t="inlineStr">
        <is>
          <t>GF121010076713L</t>
        </is>
      </c>
      <c r="H154" s="1" t="n">
        <v>1</v>
      </c>
      <c r="I154" s="1" t="inlineStr">
        <is>
          <t>มี</t>
        </is>
      </c>
      <c r="J154" s="13" t="n">
        <v>579</v>
      </c>
      <c r="K154" s="1" t="inlineStr"/>
      <c r="L154" s="13" t="n">
        <v>579</v>
      </c>
      <c r="M154" s="1">
        <f>IF(L154="","ไม่พบใน SG",IF(ABS(J154-L154)&lt;0.005,"ตรงกัน","ไม่ตรง"))</f>
        <v/>
      </c>
      <c r="N154" s="14">
        <f>IF(L154="","",ROUND(L154*'สรุป'!$C$6,-1))</f>
        <v/>
      </c>
      <c r="O154" s="15" t="n"/>
      <c r="P154" s="15" t="n"/>
      <c r="Q154" s="10" t="n"/>
      <c r="R154" s="10" t="n"/>
      <c r="S154" s="16" t="inlineStr">
        <is>
          <t>https://mstgolf.co.th/products/gf1210100767</t>
        </is>
      </c>
      <c r="T154" s="1">
        <f>IF(B154="ไม้กอล์ฟ",J154,"")</f>
        <v/>
      </c>
    </row>
    <row r="155">
      <c r="A155" s="1" t="n">
        <v>1</v>
      </c>
      <c r="B155" s="1" t="inlineStr">
        <is>
          <t>ไม้กอล์ฟ</t>
        </is>
      </c>
      <c r="C155" s="1" t="inlineStr">
        <is>
          <t>gf1220100859</t>
        </is>
      </c>
      <c r="D155" s="1" t="inlineStr">
        <is>
          <t>PING G440 Max (2025) Men's Fairway</t>
        </is>
      </c>
      <c r="E155" s="1" t="inlineStr">
        <is>
          <t>PING</t>
        </is>
      </c>
      <c r="F155" s="1" t="inlineStr">
        <is>
          <t>FAIRWAY WOOD</t>
        </is>
      </c>
      <c r="G155" s="1" t="inlineStr">
        <is>
          <t>GF1220100859#3SR</t>
        </is>
      </c>
      <c r="H155" s="1" t="n">
        <v>9</v>
      </c>
      <c r="I155" s="1" t="inlineStr">
        <is>
          <t>มี</t>
        </is>
      </c>
      <c r="J155" s="13" t="n">
        <v>569</v>
      </c>
      <c r="K155" s="1" t="inlineStr"/>
      <c r="L155" s="13" t="n">
        <v>569</v>
      </c>
      <c r="M155" s="1">
        <f>IF(L155="","ไม่พบใน SG",IF(ABS(J155-L155)&lt;0.005,"ตรงกัน","ไม่ตรง"))</f>
        <v/>
      </c>
      <c r="N155" s="14">
        <f>IF(L155="","",ROUND(L155*'สรุป'!$C$6,-1))</f>
        <v/>
      </c>
      <c r="O155" s="15" t="n"/>
      <c r="P155" s="15" t="n"/>
      <c r="Q155" s="10" t="n"/>
      <c r="R155" s="10" t="n"/>
      <c r="S155" s="16" t="inlineStr">
        <is>
          <t>https://mstgolf.co.th/products/gf1220100859</t>
        </is>
      </c>
      <c r="T155" s="1">
        <f>IF(B155="ไม้กอล์ฟ",J155,"")</f>
        <v/>
      </c>
    </row>
    <row r="156">
      <c r="A156" s="1" t="n">
        <v>1</v>
      </c>
      <c r="B156" s="1" t="inlineStr">
        <is>
          <t>ไม้กอล์ฟ</t>
        </is>
      </c>
      <c r="C156" s="1" t="inlineStr">
        <is>
          <t>gf1220100861</t>
        </is>
      </c>
      <c r="D156" s="1" t="inlineStr">
        <is>
          <t>PING G440 Max HL (2025) Men's Fairway</t>
        </is>
      </c>
      <c r="E156" s="1" t="inlineStr">
        <is>
          <t>PING</t>
        </is>
      </c>
      <c r="F156" s="1" t="inlineStr">
        <is>
          <t>FAIRWAY WOOD</t>
        </is>
      </c>
      <c r="G156" s="1" t="inlineStr">
        <is>
          <t>GF1220100861#3</t>
        </is>
      </c>
      <c r="H156" s="1" t="n">
        <v>2</v>
      </c>
      <c r="I156" s="1" t="inlineStr">
        <is>
          <t>มี</t>
        </is>
      </c>
      <c r="J156" s="13" t="n">
        <v>569</v>
      </c>
      <c r="K156" s="1" t="inlineStr"/>
      <c r="L156" s="13" t="n">
        <v>569</v>
      </c>
      <c r="M156" s="1">
        <f>IF(L156="","ไม่พบใน SG",IF(ABS(J156-L156)&lt;0.005,"ตรงกัน","ไม่ตรง"))</f>
        <v/>
      </c>
      <c r="N156" s="14">
        <f>IF(L156="","",ROUND(L156*'สรุป'!$C$6,-1))</f>
        <v/>
      </c>
      <c r="O156" s="15" t="n"/>
      <c r="P156" s="15" t="n"/>
      <c r="Q156" s="10" t="n"/>
      <c r="R156" s="10" t="n"/>
      <c r="S156" s="16" t="inlineStr">
        <is>
          <t>https://mstgolf.co.th/products/gf1220100861</t>
        </is>
      </c>
      <c r="T156" s="1">
        <f>IF(B156="ไม้กอล์ฟ",J156,"")</f>
        <v/>
      </c>
    </row>
    <row r="157">
      <c r="A157" s="1" t="n">
        <v>1</v>
      </c>
      <c r="B157" s="1" t="inlineStr">
        <is>
          <t>ไม้กอล์ฟ</t>
        </is>
      </c>
      <c r="C157" s="1" t="inlineStr">
        <is>
          <t>gf1220100860</t>
        </is>
      </c>
      <c r="D157" s="1" t="inlineStr">
        <is>
          <t>PING G440 SFT (2025) Men's Fairway</t>
        </is>
      </c>
      <c r="E157" s="1" t="inlineStr">
        <is>
          <t>PING</t>
        </is>
      </c>
      <c r="F157" s="1" t="inlineStr">
        <is>
          <t>FAIRWAY WOOD</t>
        </is>
      </c>
      <c r="G157" s="1" t="inlineStr">
        <is>
          <t>GF1220100860#3R</t>
        </is>
      </c>
      <c r="H157" s="1" t="n">
        <v>2</v>
      </c>
      <c r="I157" s="1" t="inlineStr">
        <is>
          <t>มี</t>
        </is>
      </c>
      <c r="J157" s="13" t="n">
        <v>569</v>
      </c>
      <c r="K157" s="1" t="inlineStr"/>
      <c r="L157" s="13" t="n">
        <v>569</v>
      </c>
      <c r="M157" s="1">
        <f>IF(L157="","ไม่พบใน SG",IF(ABS(J157-L157)&lt;0.005,"ตรงกัน","ไม่ตรง"))</f>
        <v/>
      </c>
      <c r="N157" s="14">
        <f>IF(L157="","",ROUND(L157*'สรุป'!$C$6,-1))</f>
        <v/>
      </c>
      <c r="O157" s="15" t="n"/>
      <c r="P157" s="15" t="n"/>
      <c r="Q157" s="10" t="n"/>
      <c r="R157" s="10" t="n"/>
      <c r="S157" s="16" t="inlineStr">
        <is>
          <t>https://mstgolf.co.th/products/gf1220100860</t>
        </is>
      </c>
      <c r="T157" s="1">
        <f>IF(B157="ไม้กอล์ฟ",J157,"")</f>
        <v/>
      </c>
    </row>
    <row r="158">
      <c r="A158" s="1" t="n">
        <v>1</v>
      </c>
      <c r="B158" s="1" t="inlineStr">
        <is>
          <t>อุปกรณ์วัดระยะ/เทคโนโลยี</t>
        </is>
      </c>
      <c r="C158" s="1" t="inlineStr">
        <is>
          <t>gf3190200052</t>
        </is>
      </c>
      <c r="D158" s="1" t="inlineStr">
        <is>
          <t>BLUE TEES GOLF Series 4 Ultra Laser Rangefinder</t>
        </is>
      </c>
      <c r="E158" s="1" t="inlineStr">
        <is>
          <t>BLUE TEES GOLF</t>
        </is>
      </c>
      <c r="F158" s="1" t="inlineStr">
        <is>
          <t>HANDHELD</t>
        </is>
      </c>
      <c r="G158" s="1" t="inlineStr">
        <is>
          <t>GF3190200052</t>
        </is>
      </c>
      <c r="H158" s="1" t="n">
        <v>1</v>
      </c>
      <c r="I158" s="1" t="inlineStr">
        <is>
          <t>มี</t>
        </is>
      </c>
      <c r="J158" s="13" t="n">
        <v>559</v>
      </c>
      <c r="K158" s="1" t="inlineStr"/>
      <c r="L158" s="13" t="n">
        <v>559</v>
      </c>
      <c r="M158" s="1">
        <f>IF(L158="","ไม่พบใน SG",IF(ABS(J158-L158)&lt;0.005,"ตรงกัน","ไม่ตรง"))</f>
        <v/>
      </c>
      <c r="N158" s="14">
        <f>IF(L158="","",ROUND(L158*'สรุป'!$C$6,-1))</f>
        <v/>
      </c>
      <c r="O158" s="15" t="n"/>
      <c r="P158" s="15" t="n"/>
      <c r="Q158" s="10" t="n"/>
      <c r="R158" s="10" t="n"/>
      <c r="S158" s="16" t="inlineStr">
        <is>
          <t>https://mstgolf.co.th/products/gf3190200052</t>
        </is>
      </c>
      <c r="T158" s="1">
        <f>IF(B158="ไม้กอล์ฟ",J158,"")</f>
        <v/>
      </c>
    </row>
    <row r="159">
      <c r="A159" s="1" t="n">
        <v>1</v>
      </c>
      <c r="B159" s="1" t="inlineStr">
        <is>
          <t>ไม้กอล์ฟ</t>
        </is>
      </c>
      <c r="C159" s="1" t="inlineStr">
        <is>
          <t>gf1210100883</t>
        </is>
      </c>
      <c r="D159" s="1" t="inlineStr">
        <is>
          <t>MIZUNO ST-Z 230 (2023) Men's Driver</t>
        </is>
      </c>
      <c r="E159" s="1" t="inlineStr">
        <is>
          <t>MIZUNO</t>
        </is>
      </c>
      <c r="F159" s="1" t="inlineStr">
        <is>
          <t>DRIVER</t>
        </is>
      </c>
      <c r="G159" s="1" t="inlineStr">
        <is>
          <t>GF1210100883105R</t>
        </is>
      </c>
      <c r="H159" s="1" t="n">
        <v>3</v>
      </c>
      <c r="I159" s="1" t="inlineStr">
        <is>
          <t>มี</t>
        </is>
      </c>
      <c r="J159" s="13" t="n">
        <v>559</v>
      </c>
      <c r="K159" s="1" t="inlineStr"/>
      <c r="L159" s="13" t="n">
        <v>369</v>
      </c>
      <c r="M159" s="1">
        <f>IF(L159="","ไม่พบใน SG",IF(ABS(J159-L159)&lt;0.005,"ตรงกัน","ไม่ตรง"))</f>
        <v/>
      </c>
      <c r="N159" s="14">
        <f>IF(L159="","",ROUND(L159*'สรุป'!$C$6,-1))</f>
        <v/>
      </c>
      <c r="O159" s="15" t="n"/>
      <c r="P159" s="15" t="n"/>
      <c r="Q159" s="10" t="n"/>
      <c r="R159" s="10" t="n"/>
      <c r="S159" s="16" t="inlineStr">
        <is>
          <t>https://mstgolf.co.th/products/gf1210100883</t>
        </is>
      </c>
      <c r="T159" s="1">
        <f>IF(B159="ไม้กอล์ฟ",J159,"")</f>
        <v/>
      </c>
    </row>
    <row r="160">
      <c r="A160" s="1" t="n">
        <v>1</v>
      </c>
      <c r="B160" s="1" t="inlineStr">
        <is>
          <t>ไม้กอล์ฟ</t>
        </is>
      </c>
      <c r="C160" s="1" t="inlineStr">
        <is>
          <t>gf1210100881</t>
        </is>
      </c>
      <c r="D160" s="1" t="inlineStr">
        <is>
          <t>MIZUNO ST-Z 230 (2023) Men's Driver</t>
        </is>
      </c>
      <c r="E160" s="1" t="inlineStr">
        <is>
          <t>MIZUNO</t>
        </is>
      </c>
      <c r="F160" s="1" t="inlineStr">
        <is>
          <t>DRIVER</t>
        </is>
      </c>
      <c r="G160" s="1" t="inlineStr">
        <is>
          <t>GF12101008829.5S</t>
        </is>
      </c>
      <c r="H160" s="1" t="n">
        <v>3</v>
      </c>
      <c r="I160" s="1" t="inlineStr">
        <is>
          <t>มี</t>
        </is>
      </c>
      <c r="J160" s="13" t="n">
        <v>559</v>
      </c>
      <c r="K160" s="1" t="inlineStr"/>
      <c r="L160" s="13" t="n">
        <v>369</v>
      </c>
      <c r="M160" s="1">
        <f>IF(L160="","ไม่พบใน SG",IF(ABS(J160-L160)&lt;0.005,"ตรงกัน","ไม่ตรง"))</f>
        <v/>
      </c>
      <c r="N160" s="14">
        <f>IF(L160="","",ROUND(L160*'สรุป'!$C$6,-1))</f>
        <v/>
      </c>
      <c r="O160" s="15" t="n"/>
      <c r="P160" s="15" t="n"/>
      <c r="Q160" s="10" t="n"/>
      <c r="R160" s="10" t="n"/>
      <c r="S160" s="16" t="inlineStr">
        <is>
          <t>https://mstgolf.co.th/products/gf1210100881</t>
        </is>
      </c>
      <c r="T160" s="1">
        <f>IF(B160="ไม้กอล์ฟ",J160,"")</f>
        <v/>
      </c>
    </row>
    <row r="161">
      <c r="A161" s="1" t="n">
        <v>1</v>
      </c>
      <c r="B161" s="1" t="inlineStr">
        <is>
          <t>ไม้กอล์ฟ</t>
        </is>
      </c>
      <c r="C161" s="1" t="inlineStr">
        <is>
          <t>gf1240101409</t>
        </is>
      </c>
      <c r="D161" s="1" t="inlineStr">
        <is>
          <t>PING PLD Milled Anser 30 Satin (2025) Men's Putter</t>
        </is>
      </c>
      <c r="E161" s="1" t="inlineStr">
        <is>
          <t>PING</t>
        </is>
      </c>
      <c r="F161" s="1" t="inlineStr">
        <is>
          <t>PUTTER</t>
        </is>
      </c>
      <c r="G161" s="1" t="inlineStr">
        <is>
          <t>GF124010140934</t>
        </is>
      </c>
      <c r="H161" s="1" t="n">
        <v>1</v>
      </c>
      <c r="I161" s="1" t="inlineStr">
        <is>
          <t>มี</t>
        </is>
      </c>
      <c r="J161" s="13" t="n">
        <v>559</v>
      </c>
      <c r="K161" s="1" t="inlineStr"/>
      <c r="L161" s="13" t="n">
        <v>559</v>
      </c>
      <c r="M161" s="1">
        <f>IF(L161="","ไม่พบใน SG",IF(ABS(J161-L161)&lt;0.005,"ตรงกัน","ไม่ตรง"))</f>
        <v/>
      </c>
      <c r="N161" s="14">
        <f>IF(L161="","",ROUND(L161*'สรุป'!$C$6,-1))</f>
        <v/>
      </c>
      <c r="O161" s="15" t="n"/>
      <c r="P161" s="15" t="n"/>
      <c r="Q161" s="10" t="n"/>
      <c r="R161" s="10" t="n"/>
      <c r="S161" s="16" t="inlineStr">
        <is>
          <t>https://mstgolf.co.th/products/gf1240101409</t>
        </is>
      </c>
      <c r="T161" s="1">
        <f>IF(B161="ไม้กอล์ฟ",J161,"")</f>
        <v/>
      </c>
    </row>
    <row r="162">
      <c r="A162" s="1" t="n">
        <v>1</v>
      </c>
      <c r="B162" s="1" t="inlineStr">
        <is>
          <t>ไม้กอล์ฟ</t>
        </is>
      </c>
      <c r="C162" s="1" t="inlineStr">
        <is>
          <t>gf1210101002</t>
        </is>
      </c>
      <c r="D162" s="1" t="inlineStr">
        <is>
          <t>TAYLORMADE Qi10 (2024) Men's Driver</t>
        </is>
      </c>
      <c r="E162" s="1" t="inlineStr">
        <is>
          <t>TAYLORMADE</t>
        </is>
      </c>
      <c r="F162" s="1" t="inlineStr">
        <is>
          <t>DRIVER</t>
        </is>
      </c>
      <c r="G162" s="1" t="inlineStr">
        <is>
          <t>GF12101010049S</t>
        </is>
      </c>
      <c r="H162" s="1" t="n">
        <v>12</v>
      </c>
      <c r="I162" s="1" t="inlineStr">
        <is>
          <t>มี</t>
        </is>
      </c>
      <c r="J162" s="13" t="n">
        <v>550</v>
      </c>
      <c r="K162" s="1" t="inlineStr"/>
      <c r="L162" s="13" t="n">
        <v>550</v>
      </c>
      <c r="M162" s="1">
        <f>IF(L162="","ไม่พบใน SG",IF(ABS(J162-L162)&lt;0.005,"ตรงกัน","ไม่ตรง"))</f>
        <v/>
      </c>
      <c r="N162" s="14">
        <f>IF(L162="","",ROUND(L162*'สรุป'!$C$6,-1))</f>
        <v/>
      </c>
      <c r="O162" s="15" t="n"/>
      <c r="P162" s="15" t="n"/>
      <c r="Q162" s="10" t="n"/>
      <c r="R162" s="10" t="n"/>
      <c r="S162" s="16" t="inlineStr">
        <is>
          <t>https://mstgolf.co.th/products/gf1210101002</t>
        </is>
      </c>
      <c r="T162" s="1">
        <f>IF(B162="ไม้กอล์ฟ",J162,"")</f>
        <v/>
      </c>
    </row>
    <row r="163">
      <c r="A163" s="1" t="n">
        <v>1</v>
      </c>
      <c r="B163" s="1" t="inlineStr">
        <is>
          <t>ไม้กอล์ฟ</t>
        </is>
      </c>
      <c r="C163" s="1" t="inlineStr">
        <is>
          <t>gf1210101006</t>
        </is>
      </c>
      <c r="D163" s="1" t="inlineStr">
        <is>
          <t>TAYLORMADE Qi10 Designer Series (Black/Red) Men's Driver</t>
        </is>
      </c>
      <c r="E163" s="1" t="inlineStr">
        <is>
          <t>TAYLORMADE</t>
        </is>
      </c>
      <c r="F163" s="1" t="inlineStr">
        <is>
          <t>DRIVER</t>
        </is>
      </c>
      <c r="G163" s="1" t="inlineStr">
        <is>
          <t>GF12101010069S</t>
        </is>
      </c>
      <c r="H163" s="1" t="n">
        <v>3</v>
      </c>
      <c r="I163" s="1" t="inlineStr">
        <is>
          <t>มี</t>
        </is>
      </c>
      <c r="J163" s="13" t="n">
        <v>550</v>
      </c>
      <c r="K163" s="1" t="inlineStr"/>
      <c r="L163" s="13" t="n">
        <v>550</v>
      </c>
      <c r="M163" s="1">
        <f>IF(L163="","ไม่พบใน SG",IF(ABS(J163-L163)&lt;0.005,"ตรงกัน","ไม่ตรง"))</f>
        <v/>
      </c>
      <c r="N163" s="14">
        <f>IF(L163="","",ROUND(L163*'สรุป'!$C$6,-1))</f>
        <v/>
      </c>
      <c r="O163" s="15" t="n"/>
      <c r="P163" s="15" t="n"/>
      <c r="Q163" s="10" t="n"/>
      <c r="R163" s="10" t="n"/>
      <c r="S163" s="16" t="inlineStr">
        <is>
          <t>https://mstgolf.co.th/products/gf1210101006</t>
        </is>
      </c>
      <c r="T163" s="1">
        <f>IF(B163="ไม้กอล์ฟ",J163,"")</f>
        <v/>
      </c>
    </row>
    <row r="164">
      <c r="A164" s="1" t="n">
        <v>1</v>
      </c>
      <c r="B164" s="1" t="inlineStr">
        <is>
          <t>ไม้กอล์ฟ</t>
        </is>
      </c>
      <c r="C164" s="1" t="inlineStr">
        <is>
          <t>gf1210101000</t>
        </is>
      </c>
      <c r="D164" s="1" t="inlineStr">
        <is>
          <t>TAYLORMADE Qi10 Max (2024) Men's Driver</t>
        </is>
      </c>
      <c r="E164" s="1" t="inlineStr">
        <is>
          <t>TAYLORMADE</t>
        </is>
      </c>
      <c r="F164" s="1" t="inlineStr">
        <is>
          <t>DRIVER</t>
        </is>
      </c>
      <c r="G164" s="1" t="inlineStr">
        <is>
          <t>GF12101010009R</t>
        </is>
      </c>
      <c r="H164" s="1" t="n">
        <v>10</v>
      </c>
      <c r="I164" s="1" t="inlineStr">
        <is>
          <t>มี</t>
        </is>
      </c>
      <c r="J164" s="13" t="n">
        <v>550</v>
      </c>
      <c r="K164" s="1" t="inlineStr"/>
      <c r="L164" s="13" t="n">
        <v>550</v>
      </c>
      <c r="M164" s="1">
        <f>IF(L164="","ไม่พบใน SG",IF(ABS(J164-L164)&lt;0.005,"ตรงกัน","ไม่ตรง"))</f>
        <v/>
      </c>
      <c r="N164" s="14">
        <f>IF(L164="","",ROUND(L164*'สรุป'!$C$6,-1))</f>
        <v/>
      </c>
      <c r="O164" s="15" t="n"/>
      <c r="P164" s="15" t="n"/>
      <c r="Q164" s="10" t="n"/>
      <c r="R164" s="10" t="n"/>
      <c r="S164" s="16" t="inlineStr">
        <is>
          <t>https://mstgolf.co.th/products/gf1210101000</t>
        </is>
      </c>
      <c r="T164" s="1">
        <f>IF(B164="ไม้กอล์ฟ",J164,"")</f>
        <v/>
      </c>
    </row>
    <row r="165">
      <c r="A165" s="1" t="n">
        <v>1</v>
      </c>
      <c r="B165" s="1" t="inlineStr">
        <is>
          <t>ไม้กอล์ฟ</t>
        </is>
      </c>
      <c r="C165" s="1" t="inlineStr">
        <is>
          <t>gf1210101068</t>
        </is>
      </c>
      <c r="D165" s="1" t="inlineStr">
        <is>
          <t>COBRA DARKSPEED X Season Opener (2024) Men's Driver</t>
        </is>
      </c>
      <c r="E165" s="1" t="inlineStr">
        <is>
          <t>COBRA</t>
        </is>
      </c>
      <c r="F165" s="1" t="inlineStr">
        <is>
          <t>DRIVER</t>
        </is>
      </c>
      <c r="G165" s="1" t="inlineStr">
        <is>
          <t>GF12101010689S</t>
        </is>
      </c>
      <c r="H165" s="1" t="n">
        <v>2</v>
      </c>
      <c r="I165" s="1" t="inlineStr">
        <is>
          <t>มี</t>
        </is>
      </c>
      <c r="J165" s="13" t="n">
        <v>549</v>
      </c>
      <c r="K165" s="1" t="inlineStr"/>
      <c r="L165" s="13" t="n">
        <v>549</v>
      </c>
      <c r="M165" s="1">
        <f>IF(L165="","ไม่พบใน SG",IF(ABS(J165-L165)&lt;0.005,"ตรงกัน","ไม่ตรง"))</f>
        <v/>
      </c>
      <c r="N165" s="14">
        <f>IF(L165="","",ROUND(L165*'สรุป'!$C$6,-1))</f>
        <v/>
      </c>
      <c r="O165" s="15" t="n"/>
      <c r="P165" s="15" t="n"/>
      <c r="Q165" s="10" t="n"/>
      <c r="R165" s="10" t="n"/>
      <c r="S165" s="16" t="inlineStr">
        <is>
          <t>https://mstgolf.co.th/products/gf1210101068</t>
        </is>
      </c>
      <c r="T165" s="1">
        <f>IF(B165="ไม้กอล์ฟ",J165,"")</f>
        <v/>
      </c>
    </row>
    <row r="166">
      <c r="A166" s="1" t="n">
        <v>1</v>
      </c>
      <c r="B166" s="1" t="inlineStr">
        <is>
          <t>ไม้กอล์ฟ</t>
        </is>
      </c>
      <c r="C166" s="1" t="inlineStr">
        <is>
          <t>gf1240101063</t>
        </is>
      </c>
      <c r="D166" s="1" t="inlineStr">
        <is>
          <t>TAYLORMADE Spider GT #3 Short Slant (2023) Men's Putter</t>
        </is>
      </c>
      <c r="E166" s="1" t="inlineStr">
        <is>
          <t>TAYLORMADE</t>
        </is>
      </c>
      <c r="F166" s="1" t="inlineStr">
        <is>
          <t>PUTTER</t>
        </is>
      </c>
      <c r="G166" s="1" t="inlineStr">
        <is>
          <t>GF124010106334</t>
        </is>
      </c>
      <c r="H166" s="1" t="n">
        <v>1</v>
      </c>
      <c r="I166" s="1" t="inlineStr">
        <is>
          <t>มี</t>
        </is>
      </c>
      <c r="J166" s="13" t="n">
        <v>549</v>
      </c>
      <c r="K166" s="1" t="inlineStr"/>
      <c r="L166" s="13" t="n">
        <v>369</v>
      </c>
      <c r="M166" s="1">
        <f>IF(L166="","ไม่พบใน SG",IF(ABS(J166-L166)&lt;0.005,"ตรงกัน","ไม่ตรง"))</f>
        <v/>
      </c>
      <c r="N166" s="14">
        <f>IF(L166="","",ROUND(L166*'สรุป'!$C$6,-1))</f>
        <v/>
      </c>
      <c r="O166" s="15" t="n"/>
      <c r="P166" s="15" t="n"/>
      <c r="Q166" s="10" t="n"/>
      <c r="R166" s="10" t="n"/>
      <c r="S166" s="16" t="inlineStr">
        <is>
          <t>https://mstgolf.co.th/products/gf1240101063</t>
        </is>
      </c>
      <c r="T166" s="1">
        <f>IF(B166="ไม้กอล์ฟ",J166,"")</f>
        <v/>
      </c>
    </row>
    <row r="167">
      <c r="A167" s="1" t="n">
        <v>1</v>
      </c>
      <c r="B167" s="1" t="inlineStr">
        <is>
          <t>ไม้กอล์ฟ</t>
        </is>
      </c>
      <c r="C167" s="1" t="inlineStr">
        <is>
          <t>gf1240101178</t>
        </is>
      </c>
      <c r="D167" s="1" t="inlineStr">
        <is>
          <t>TAYLORMADE Spider Tour Silver Short Slant (2024) Men's Putter</t>
        </is>
      </c>
      <c r="E167" s="1" t="inlineStr">
        <is>
          <t>TAYLORMADE</t>
        </is>
      </c>
      <c r="F167" s="1" t="inlineStr">
        <is>
          <t>PUTTER</t>
        </is>
      </c>
      <c r="G167" s="1" t="inlineStr">
        <is>
          <t>GF124010117834</t>
        </is>
      </c>
      <c r="H167" s="1" t="n">
        <v>1</v>
      </c>
      <c r="I167" s="1" t="inlineStr">
        <is>
          <t>มี</t>
        </is>
      </c>
      <c r="J167" s="13" t="n">
        <v>549</v>
      </c>
      <c r="K167" s="1" t="inlineStr"/>
      <c r="L167" s="13" t="n">
        <v>439</v>
      </c>
      <c r="M167" s="1">
        <f>IF(L167="","ไม่พบใน SG",IF(ABS(J167-L167)&lt;0.005,"ตรงกัน","ไม่ตรง"))</f>
        <v/>
      </c>
      <c r="N167" s="14">
        <f>IF(L167="","",ROUND(L167*'สรุป'!$C$6,-1))</f>
        <v/>
      </c>
      <c r="O167" s="15" t="n"/>
      <c r="P167" s="15" t="n"/>
      <c r="Q167" s="10" t="n"/>
      <c r="R167" s="10" t="n"/>
      <c r="S167" s="16" t="inlineStr">
        <is>
          <t>https://mstgolf.co.th/products/gf1240101178</t>
        </is>
      </c>
      <c r="T167" s="1">
        <f>IF(B167="ไม้กอล์ฟ",J167,"")</f>
        <v/>
      </c>
    </row>
    <row r="168">
      <c r="A168" s="1" t="n">
        <v>1</v>
      </c>
      <c r="B168" s="1" t="inlineStr">
        <is>
          <t>ไม้กอล์ฟ</t>
        </is>
      </c>
      <c r="C168" s="1" t="inlineStr">
        <is>
          <t>gf1240101185</t>
        </is>
      </c>
      <c r="D168" s="1" t="inlineStr">
        <is>
          <t>TAYLORMADE Spider Tour V Silver #3 Short Slant (2024) Men's Putter</t>
        </is>
      </c>
      <c r="E168" s="1" t="inlineStr">
        <is>
          <t>TAYLORMADE</t>
        </is>
      </c>
      <c r="F168" s="1" t="inlineStr">
        <is>
          <t>PUTTER</t>
        </is>
      </c>
      <c r="G168" s="1" t="inlineStr">
        <is>
          <t>GF124010118534</t>
        </is>
      </c>
      <c r="H168" s="1" t="n">
        <v>1</v>
      </c>
      <c r="I168" s="1" t="inlineStr">
        <is>
          <t>มี</t>
        </is>
      </c>
      <c r="J168" s="13" t="n">
        <v>549</v>
      </c>
      <c r="K168" s="1" t="inlineStr"/>
      <c r="L168" s="13" t="n">
        <v>439</v>
      </c>
      <c r="M168" s="1">
        <f>IF(L168="","ไม่พบใน SG",IF(ABS(J168-L168)&lt;0.005,"ตรงกัน","ไม่ตรง"))</f>
        <v/>
      </c>
      <c r="N168" s="14">
        <f>IF(L168="","",ROUND(L168*'สรุป'!$C$6,-1))</f>
        <v/>
      </c>
      <c r="O168" s="15" t="n"/>
      <c r="P168" s="15" t="n"/>
      <c r="Q168" s="10" t="n"/>
      <c r="R168" s="10" t="n"/>
      <c r="S168" s="16" t="inlineStr">
        <is>
          <t>https://mstgolf.co.th/products/gf1240101185</t>
        </is>
      </c>
      <c r="T168" s="1">
        <f>IF(B168="ไม้กอล์ฟ",J168,"")</f>
        <v/>
      </c>
    </row>
    <row r="169">
      <c r="A169" s="1" t="n">
        <v>1</v>
      </c>
      <c r="B169" s="1" t="inlineStr">
        <is>
          <t>ไม้กอล์ฟ</t>
        </is>
      </c>
      <c r="C169" s="1" t="inlineStr">
        <is>
          <t>gf1240101187</t>
        </is>
      </c>
      <c r="D169" s="1" t="inlineStr">
        <is>
          <t>TAYLORMADE Spider Tour Z Silver #3 Short Slant (2024) Men's Putter</t>
        </is>
      </c>
      <c r="E169" s="1" t="inlineStr">
        <is>
          <t>TAYLORMADE</t>
        </is>
      </c>
      <c r="F169" s="1" t="inlineStr">
        <is>
          <t>PUTTER</t>
        </is>
      </c>
      <c r="G169" s="1" t="inlineStr">
        <is>
          <t>GF124010118734</t>
        </is>
      </c>
      <c r="H169" s="1" t="n">
        <v>1</v>
      </c>
      <c r="I169" s="1" t="inlineStr">
        <is>
          <t>มี</t>
        </is>
      </c>
      <c r="J169" s="13" t="n">
        <v>549</v>
      </c>
      <c r="K169" s="1" t="inlineStr"/>
      <c r="L169" s="13" t="n">
        <v>439</v>
      </c>
      <c r="M169" s="1">
        <f>IF(L169="","ไม่พบใน SG",IF(ABS(J169-L169)&lt;0.005,"ตรงกัน","ไม่ตรง"))</f>
        <v/>
      </c>
      <c r="N169" s="14">
        <f>IF(L169="","",ROUND(L169*'สรุป'!$C$6,-1))</f>
        <v/>
      </c>
      <c r="O169" s="15" t="n"/>
      <c r="P169" s="15" t="n"/>
      <c r="Q169" s="10" t="n"/>
      <c r="R169" s="10" t="n"/>
      <c r="S169" s="16" t="inlineStr">
        <is>
          <t>https://mstgolf.co.th/products/gf1240101187</t>
        </is>
      </c>
      <c r="T169" s="1">
        <f>IF(B169="ไม้กอล์ฟ",J169,"")</f>
        <v/>
      </c>
    </row>
    <row r="170">
      <c r="A170" s="1" t="n">
        <v>1</v>
      </c>
      <c r="B170" s="1" t="inlineStr">
        <is>
          <t>ไม้กอล์ฟ</t>
        </is>
      </c>
      <c r="C170" s="1" t="inlineStr">
        <is>
          <t>gf1210100349</t>
        </is>
      </c>
      <c r="D170" s="1" t="inlineStr">
        <is>
          <t>YAMAHA RMX 220 Men's Driver</t>
        </is>
      </c>
      <c r="E170" s="1" t="inlineStr">
        <is>
          <t>YAMAHA</t>
        </is>
      </c>
      <c r="F170" s="1" t="inlineStr">
        <is>
          <t>DRIVER</t>
        </is>
      </c>
      <c r="G170" s="1" t="inlineStr">
        <is>
          <t>GF12101003499.5SR</t>
        </is>
      </c>
      <c r="H170" s="1" t="n">
        <v>5</v>
      </c>
      <c r="I170" s="1" t="inlineStr">
        <is>
          <t>มี</t>
        </is>
      </c>
      <c r="J170" s="13" t="n">
        <v>549</v>
      </c>
      <c r="K170" s="1" t="inlineStr"/>
      <c r="L170" s="13" t="n">
        <v>549</v>
      </c>
      <c r="M170" s="1">
        <f>IF(L170="","ไม่พบใน SG",IF(ABS(J170-L170)&lt;0.005,"ตรงกัน","ไม่ตรง"))</f>
        <v/>
      </c>
      <c r="N170" s="14">
        <f>IF(L170="","",ROUND(L170*'สรุป'!$C$6,-1))</f>
        <v/>
      </c>
      <c r="O170" s="15" t="n"/>
      <c r="P170" s="15" t="n"/>
      <c r="Q170" s="10" t="n"/>
      <c r="R170" s="10" t="n"/>
      <c r="S170" s="16" t="inlineStr">
        <is>
          <t>https://mstgolf.co.th/products/gf1210100349</t>
        </is>
      </c>
      <c r="T170" s="1">
        <f>IF(B170="ไม้กอล์ฟ",J170,"")</f>
        <v/>
      </c>
    </row>
    <row r="171">
      <c r="A171" s="1" t="n">
        <v>1</v>
      </c>
      <c r="B171" s="1" t="inlineStr">
        <is>
          <t>ไม้กอล์ฟ</t>
        </is>
      </c>
      <c r="C171" s="1" t="inlineStr">
        <is>
          <t>gf1220100966</t>
        </is>
      </c>
      <c r="D171" s="1" t="inlineStr">
        <is>
          <t>TAYLORMADE Qi4D (2026) Men's Fairway</t>
        </is>
      </c>
      <c r="E171" s="1" t="inlineStr">
        <is>
          <t>TAYLORMADE</t>
        </is>
      </c>
      <c r="F171" s="1" t="inlineStr">
        <is>
          <t>FAIRWAY WOOD</t>
        </is>
      </c>
      <c r="G171" s="1" t="inlineStr">
        <is>
          <t>GF1220100967#3S</t>
        </is>
      </c>
      <c r="H171" s="1" t="n">
        <v>9</v>
      </c>
      <c r="I171" s="1" t="inlineStr">
        <is>
          <t>มี</t>
        </is>
      </c>
      <c r="J171" s="13" t="n">
        <v>539</v>
      </c>
      <c r="K171" s="1" t="inlineStr"/>
      <c r="L171" s="13" t="n">
        <v>499</v>
      </c>
      <c r="M171" s="1">
        <f>IF(L171="","ไม่พบใน SG",IF(ABS(J171-L171)&lt;0.005,"ตรงกัน","ไม่ตรง"))</f>
        <v/>
      </c>
      <c r="N171" s="14">
        <f>IF(L171="","",ROUND(L171*'สรุป'!$C$6,-1))</f>
        <v/>
      </c>
      <c r="O171" s="15" t="n"/>
      <c r="P171" s="15" t="n"/>
      <c r="Q171" s="10" t="n"/>
      <c r="R171" s="10" t="n"/>
      <c r="S171" s="16" t="inlineStr">
        <is>
          <t>https://mstgolf.co.th/products/gf1220100966</t>
        </is>
      </c>
      <c r="T171" s="1">
        <f>IF(B171="ไม้กอล์ฟ",J171,"")</f>
        <v/>
      </c>
    </row>
    <row r="172">
      <c r="A172" s="1" t="n">
        <v>1</v>
      </c>
      <c r="B172" s="1" t="inlineStr">
        <is>
          <t>ไม้กอล์ฟ</t>
        </is>
      </c>
      <c r="C172" s="1" t="inlineStr">
        <is>
          <t>gf1220100968</t>
        </is>
      </c>
      <c r="D172" s="1" t="inlineStr">
        <is>
          <t>TAYLORMADE Qi4D Max (2026) Men's Fairway</t>
        </is>
      </c>
      <c r="E172" s="1" t="inlineStr">
        <is>
          <t>TAYLORMADE</t>
        </is>
      </c>
      <c r="F172" s="1" t="inlineStr">
        <is>
          <t>FAIRWAY WOOD</t>
        </is>
      </c>
      <c r="G172" s="1" t="inlineStr">
        <is>
          <t>GF1220100970#3R</t>
        </is>
      </c>
      <c r="H172" s="1" t="n">
        <v>12</v>
      </c>
      <c r="I172" s="1" t="inlineStr">
        <is>
          <t>มี</t>
        </is>
      </c>
      <c r="J172" s="13" t="n">
        <v>539</v>
      </c>
      <c r="K172" s="1" t="inlineStr"/>
      <c r="L172" s="13" t="n">
        <v>499</v>
      </c>
      <c r="M172" s="1">
        <f>IF(L172="","ไม่พบใน SG",IF(ABS(J172-L172)&lt;0.005,"ตรงกัน","ไม่ตรง"))</f>
        <v/>
      </c>
      <c r="N172" s="14">
        <f>IF(L172="","",ROUND(L172*'สรุป'!$C$6,-1))</f>
        <v/>
      </c>
      <c r="O172" s="15" t="n"/>
      <c r="P172" s="15" t="n"/>
      <c r="Q172" s="10" t="n"/>
      <c r="R172" s="10" t="n"/>
      <c r="S172" s="16" t="inlineStr">
        <is>
          <t>https://mstgolf.co.th/products/gf1220100968</t>
        </is>
      </c>
      <c r="T172" s="1">
        <f>IF(B172="ไม้กอล์ฟ",J172,"")</f>
        <v/>
      </c>
    </row>
    <row r="173">
      <c r="A173" s="1" t="n">
        <v>1</v>
      </c>
      <c r="B173" s="1" t="inlineStr">
        <is>
          <t>ไม้กอล์ฟ</t>
        </is>
      </c>
      <c r="C173" s="1" t="inlineStr">
        <is>
          <t>gf1220100971</t>
        </is>
      </c>
      <c r="D173" s="1" t="inlineStr">
        <is>
          <t>TAYLORMADE Qi4D Max Lite (2026) Men's Fairway</t>
        </is>
      </c>
      <c r="E173" s="1" t="inlineStr">
        <is>
          <t>TAYLORMADE</t>
        </is>
      </c>
      <c r="F173" s="1" t="inlineStr">
        <is>
          <t>FAIRWAY WOOD</t>
        </is>
      </c>
      <c r="G173" s="1" t="inlineStr">
        <is>
          <t>GF1220100971#3R</t>
        </is>
      </c>
      <c r="H173" s="1" t="n">
        <v>2</v>
      </c>
      <c r="I173" s="1" t="inlineStr">
        <is>
          <t>มี</t>
        </is>
      </c>
      <c r="J173" s="13" t="n">
        <v>539</v>
      </c>
      <c r="K173" s="1" t="inlineStr"/>
      <c r="L173" s="13" t="n"/>
      <c r="M173" s="1">
        <f>IF(L173="","ไม่พบใน SG",IF(ABS(J173-L173)&lt;0.005,"ตรงกัน","ไม่ตรง"))</f>
        <v/>
      </c>
      <c r="N173" s="14">
        <f>IF(L173="","",ROUND(L173*'สรุป'!$C$6,-1))</f>
        <v/>
      </c>
      <c r="O173" s="15" t="n"/>
      <c r="P173" s="15" t="n"/>
      <c r="Q173" s="10" t="n"/>
      <c r="R173" s="10" t="n"/>
      <c r="S173" s="16" t="inlineStr">
        <is>
          <t>https://mstgolf.co.th/products/gf1220100971</t>
        </is>
      </c>
      <c r="T173" s="1">
        <f>IF(B173="ไม้กอล์ฟ",J173,"")</f>
        <v/>
      </c>
    </row>
    <row r="174">
      <c r="A174" s="1" t="n">
        <v>1</v>
      </c>
      <c r="B174" s="1" t="inlineStr">
        <is>
          <t>ไม้กอล์ฟ</t>
        </is>
      </c>
      <c r="C174" s="1" t="inlineStr">
        <is>
          <t>gf1220100972</t>
        </is>
      </c>
      <c r="D174" s="1" t="inlineStr">
        <is>
          <t>TAYLORMADE Qi4D Max Lite (2026) Women's Fairway</t>
        </is>
      </c>
      <c r="E174" s="1" t="inlineStr">
        <is>
          <t>TAYLORMADE</t>
        </is>
      </c>
      <c r="F174" s="1" t="inlineStr">
        <is>
          <t>FAIRWAY WOOD</t>
        </is>
      </c>
      <c r="G174" s="1" t="inlineStr">
        <is>
          <t>GF1220100972#3L</t>
        </is>
      </c>
      <c r="H174" s="1" t="n">
        <v>2</v>
      </c>
      <c r="I174" s="1" t="inlineStr">
        <is>
          <t>มี</t>
        </is>
      </c>
      <c r="J174" s="13" t="n">
        <v>539</v>
      </c>
      <c r="K174" s="1" t="inlineStr"/>
      <c r="L174" s="13" t="n">
        <v>499</v>
      </c>
      <c r="M174" s="1">
        <f>IF(L174="","ไม่พบใน SG",IF(ABS(J174-L174)&lt;0.005,"ตรงกัน","ไม่ตรง"))</f>
        <v/>
      </c>
      <c r="N174" s="14">
        <f>IF(L174="","",ROUND(L174*'สรุป'!$C$6,-1))</f>
        <v/>
      </c>
      <c r="O174" s="15" t="n"/>
      <c r="P174" s="15" t="n"/>
      <c r="Q174" s="10" t="n"/>
      <c r="R174" s="10" t="n"/>
      <c r="S174" s="16" t="inlineStr">
        <is>
          <t>https://mstgolf.co.th/products/gf1220100972</t>
        </is>
      </c>
      <c r="T174" s="1">
        <f>IF(B174="ไม้กอล์ฟ",J174,"")</f>
        <v/>
      </c>
    </row>
    <row r="175">
      <c r="A175" s="1" t="n">
        <v>1</v>
      </c>
      <c r="B175" s="1" t="inlineStr">
        <is>
          <t>อุปกรณ์วัดระยะ/เทคโนโลยี</t>
        </is>
      </c>
      <c r="C175" s="1" t="inlineStr">
        <is>
          <t>gf3190200034</t>
        </is>
      </c>
      <c r="D175" s="1" t="inlineStr">
        <is>
          <t>GOLF BUDDY GB Laser 2S Laser Rangefinder (Black/Red/White)</t>
        </is>
      </c>
      <c r="E175" s="1" t="inlineStr">
        <is>
          <t>GOLF BUDDY</t>
        </is>
      </c>
      <c r="F175" s="1" t="inlineStr">
        <is>
          <t>HANDHELD</t>
        </is>
      </c>
      <c r="G175" s="1" t="inlineStr">
        <is>
          <t>GF3190200034</t>
        </is>
      </c>
      <c r="H175" s="1" t="n">
        <v>1</v>
      </c>
      <c r="I175" s="1" t="inlineStr">
        <is>
          <t>มี</t>
        </is>
      </c>
      <c r="J175" s="13" t="n">
        <v>529</v>
      </c>
      <c r="K175" s="1" t="inlineStr"/>
      <c r="L175" s="13" t="n">
        <v>299</v>
      </c>
      <c r="M175" s="1">
        <f>IF(L175="","ไม่พบใน SG",IF(ABS(J175-L175)&lt;0.005,"ตรงกัน","ไม่ตรง"))</f>
        <v/>
      </c>
      <c r="N175" s="14">
        <f>IF(L175="","",ROUND(L175*'สรุป'!$C$6,-1))</f>
        <v/>
      </c>
      <c r="O175" s="15" t="n"/>
      <c r="P175" s="15" t="n"/>
      <c r="Q175" s="10" t="n"/>
      <c r="R175" s="10" t="n"/>
      <c r="S175" s="16" t="inlineStr">
        <is>
          <t>https://mstgolf.co.th/products/gf3190200034</t>
        </is>
      </c>
      <c r="T175" s="1">
        <f>IF(B175="ไม้กอล์ฟ",J175,"")</f>
        <v/>
      </c>
    </row>
    <row r="176">
      <c r="A176" s="1" t="n">
        <v>1</v>
      </c>
      <c r="B176" s="1" t="inlineStr">
        <is>
          <t>ไม้กอล์ฟ</t>
        </is>
      </c>
      <c r="C176" s="1" t="inlineStr">
        <is>
          <t>gf1230100082</t>
        </is>
      </c>
      <c r="D176" s="1" t="inlineStr">
        <is>
          <t>GIII V7 2018 Men's Utility</t>
        </is>
      </c>
      <c r="E176" s="1" t="inlineStr">
        <is>
          <t>GIII</t>
        </is>
      </c>
      <c r="F176" s="1" t="inlineStr">
        <is>
          <t>UTILITY/HYBRID</t>
        </is>
      </c>
      <c r="G176" s="1" t="inlineStr">
        <is>
          <t>GF1230100082#3R</t>
        </is>
      </c>
      <c r="H176" s="1" t="n">
        <v>6</v>
      </c>
      <c r="I176" s="1" t="inlineStr">
        <is>
          <t>มี</t>
        </is>
      </c>
      <c r="J176" s="13" t="n">
        <v>520</v>
      </c>
      <c r="K176" s="1" t="inlineStr"/>
      <c r="L176" s="13" t="n">
        <v>520</v>
      </c>
      <c r="M176" s="1">
        <f>IF(L176="","ไม่พบใน SG",IF(ABS(J176-L176)&lt;0.005,"ตรงกัน","ไม่ตรง"))</f>
        <v/>
      </c>
      <c r="N176" s="14">
        <f>IF(L176="","",ROUND(L176*'สรุป'!$C$6,-1))</f>
        <v/>
      </c>
      <c r="O176" s="15" t="n"/>
      <c r="P176" s="15" t="n"/>
      <c r="Q176" s="10" t="n"/>
      <c r="R176" s="10" t="n"/>
      <c r="S176" s="16" t="inlineStr">
        <is>
          <t>https://mstgolf.co.th/products/gf1230100082</t>
        </is>
      </c>
      <c r="T176" s="1">
        <f>IF(B176="ไม้กอล์ฟ",J176,"")</f>
        <v/>
      </c>
    </row>
    <row r="177">
      <c r="A177" s="1" t="n">
        <v>1</v>
      </c>
      <c r="B177" s="1" t="inlineStr">
        <is>
          <t>ไม้กอล์ฟ</t>
        </is>
      </c>
      <c r="C177" s="1" t="inlineStr">
        <is>
          <t>gf1240101465</t>
        </is>
      </c>
      <c r="D177" s="1" t="inlineStr">
        <is>
          <t>ODYSSEY Ai-ONE Square 2 Square Max 1 ZT Limited Edition (2025) Men's Putter</t>
        </is>
      </c>
      <c r="E177" s="1" t="inlineStr">
        <is>
          <t>ODYSSEY</t>
        </is>
      </c>
      <c r="F177" s="1" t="inlineStr">
        <is>
          <t>PUTTER</t>
        </is>
      </c>
      <c r="G177" s="1" t="inlineStr">
        <is>
          <t>GF124010146534</t>
        </is>
      </c>
      <c r="H177" s="1" t="n">
        <v>1</v>
      </c>
      <c r="I177" s="1" t="inlineStr">
        <is>
          <t>มี</t>
        </is>
      </c>
      <c r="J177" s="13" t="n">
        <v>514</v>
      </c>
      <c r="K177" s="1" t="inlineStr"/>
      <c r="L177" s="13" t="n">
        <v>514</v>
      </c>
      <c r="M177" s="1">
        <f>IF(L177="","ไม่พบใน SG",IF(ABS(J177-L177)&lt;0.005,"ตรงกัน","ไม่ตรง"))</f>
        <v/>
      </c>
      <c r="N177" s="14">
        <f>IF(L177="","",ROUND(L177*'สรุป'!$C$6,-1))</f>
        <v/>
      </c>
      <c r="O177" s="15" t="n"/>
      <c r="P177" s="15" t="n"/>
      <c r="Q177" s="10" t="n"/>
      <c r="R177" s="10" t="n"/>
      <c r="S177" s="16" t="inlineStr">
        <is>
          <t>https://mstgolf.co.th/products/gf1240101465</t>
        </is>
      </c>
      <c r="T177" s="1">
        <f>IF(B177="ไม้กอล์ฟ",J177,"")</f>
        <v/>
      </c>
    </row>
    <row r="178">
      <c r="A178" s="1" t="n">
        <v>1</v>
      </c>
      <c r="B178" s="1" t="inlineStr">
        <is>
          <t>อุปกรณ์วัดระยะ/เทคโนโลยี</t>
        </is>
      </c>
      <c r="C178" s="1" t="inlineStr">
        <is>
          <t>gf3190200061</t>
        </is>
      </c>
      <c r="D178" s="1" t="inlineStr">
        <is>
          <t>CADDYTALK Windy Laser Rangefinder</t>
        </is>
      </c>
      <c r="E178" s="1" t="inlineStr">
        <is>
          <t>CADDYTALK</t>
        </is>
      </c>
      <c r="F178" s="1" t="inlineStr">
        <is>
          <t>HANDHELD</t>
        </is>
      </c>
      <c r="G178" s="1" t="inlineStr">
        <is>
          <t>GF3190200061</t>
        </is>
      </c>
      <c r="H178" s="1" t="n">
        <v>1</v>
      </c>
      <c r="I178" s="1" t="inlineStr">
        <is>
          <t>มี</t>
        </is>
      </c>
      <c r="J178" s="13" t="n">
        <v>509</v>
      </c>
      <c r="K178" s="1" t="inlineStr"/>
      <c r="L178" s="13" t="n">
        <v>509</v>
      </c>
      <c r="M178" s="1">
        <f>IF(L178="","ไม่พบใน SG",IF(ABS(J178-L178)&lt;0.005,"ตรงกัน","ไม่ตรง"))</f>
        <v/>
      </c>
      <c r="N178" s="14">
        <f>IF(L178="","",ROUND(L178*'สรุป'!$C$6,-1))</f>
        <v/>
      </c>
      <c r="O178" s="15" t="n"/>
      <c r="P178" s="15" t="n"/>
      <c r="Q178" s="10" t="n"/>
      <c r="R178" s="10" t="n"/>
      <c r="S178" s="16" t="inlineStr">
        <is>
          <t>https://mstgolf.co.th/products/gf3190200061</t>
        </is>
      </c>
      <c r="T178" s="1">
        <f>IF(B178="ไม้กอล์ฟ",J178,"")</f>
        <v/>
      </c>
    </row>
    <row r="179">
      <c r="A179" s="1" t="n">
        <v>1</v>
      </c>
      <c r="B179" s="1" t="inlineStr">
        <is>
          <t>ไม้กอล์ฟ</t>
        </is>
      </c>
      <c r="C179" s="1" t="inlineStr">
        <is>
          <t>gf1210100806</t>
        </is>
      </c>
      <c r="D179" s="1" t="inlineStr">
        <is>
          <t>COBRA AeroJet Black (2023) Men's Driver</t>
        </is>
      </c>
      <c r="E179" s="1" t="inlineStr">
        <is>
          <t>COBRA</t>
        </is>
      </c>
      <c r="F179" s="1" t="inlineStr">
        <is>
          <t>DRIVER</t>
        </is>
      </c>
      <c r="G179" s="1" t="inlineStr">
        <is>
          <t>GF12101008069S</t>
        </is>
      </c>
      <c r="H179" s="1" t="n">
        <v>4</v>
      </c>
      <c r="I179" s="1" t="inlineStr">
        <is>
          <t>มี</t>
        </is>
      </c>
      <c r="J179" s="13" t="n">
        <v>499</v>
      </c>
      <c r="K179" s="1" t="inlineStr"/>
      <c r="L179" s="13" t="n">
        <v>399</v>
      </c>
      <c r="M179" s="1">
        <f>IF(L179="","ไม่พบใน SG",IF(ABS(J179-L179)&lt;0.005,"ตรงกัน","ไม่ตรง"))</f>
        <v/>
      </c>
      <c r="N179" s="14">
        <f>IF(L179="","",ROUND(L179*'สรุป'!$C$6,-1))</f>
        <v/>
      </c>
      <c r="O179" s="15" t="n"/>
      <c r="P179" s="15" t="n"/>
      <c r="Q179" s="10" t="n"/>
      <c r="R179" s="10" t="n"/>
      <c r="S179" s="16" t="inlineStr">
        <is>
          <t>https://mstgolf.co.th/products/gf1210100806</t>
        </is>
      </c>
      <c r="T179" s="1">
        <f>IF(B179="ไม้กอล์ฟ",J179,"")</f>
        <v/>
      </c>
    </row>
    <row r="180">
      <c r="A180" s="1" t="n">
        <v>1</v>
      </c>
      <c r="B180" s="1" t="inlineStr">
        <is>
          <t>ไม้กอล์ฟ</t>
        </is>
      </c>
      <c r="C180" s="1" t="inlineStr">
        <is>
          <t>gf1210100811</t>
        </is>
      </c>
      <c r="D180" s="1" t="inlineStr">
        <is>
          <t>COBRA AeroJet LS Black Men's Driver</t>
        </is>
      </c>
      <c r="E180" s="1" t="inlineStr">
        <is>
          <t>COBRA</t>
        </is>
      </c>
      <c r="F180" s="1" t="inlineStr">
        <is>
          <t>DRIVER</t>
        </is>
      </c>
      <c r="G180" s="1" t="inlineStr">
        <is>
          <t>GF12101008119X</t>
        </is>
      </c>
      <c r="H180" s="1" t="n">
        <v>3</v>
      </c>
      <c r="I180" s="1" t="inlineStr">
        <is>
          <t>มี</t>
        </is>
      </c>
      <c r="J180" s="13" t="n">
        <v>499</v>
      </c>
      <c r="K180" s="1" t="inlineStr"/>
      <c r="L180" s="13" t="n">
        <v>399</v>
      </c>
      <c r="M180" s="1">
        <f>IF(L180="","ไม่พบใน SG",IF(ABS(J180-L180)&lt;0.005,"ตรงกัน","ไม่ตรง"))</f>
        <v/>
      </c>
      <c r="N180" s="14">
        <f>IF(L180="","",ROUND(L180*'สรุป'!$C$6,-1))</f>
        <v/>
      </c>
      <c r="O180" s="15" t="n"/>
      <c r="P180" s="15" t="n"/>
      <c r="Q180" s="10" t="n"/>
      <c r="R180" s="10" t="n"/>
      <c r="S180" s="16" t="inlineStr">
        <is>
          <t>https://mstgolf.co.th/products/gf1210100811</t>
        </is>
      </c>
      <c r="T180" s="1">
        <f>IF(B180="ไม้กอล์ฟ",J180,"")</f>
        <v/>
      </c>
    </row>
    <row r="181">
      <c r="A181" s="1" t="n">
        <v>1</v>
      </c>
      <c r="B181" s="1" t="inlineStr">
        <is>
          <t>ไม้กอล์ฟ</t>
        </is>
      </c>
      <c r="C181" s="1" t="inlineStr">
        <is>
          <t>gf1210100388</t>
        </is>
      </c>
      <c r="D181" s="1" t="inlineStr">
        <is>
          <t>ONOFF AKA 2020 Men's Driver</t>
        </is>
      </c>
      <c r="E181" s="1" t="inlineStr">
        <is>
          <t>ONOFF</t>
        </is>
      </c>
      <c r="F181" s="1" t="inlineStr">
        <is>
          <t>DRIVER</t>
        </is>
      </c>
      <c r="G181" s="1" t="inlineStr">
        <is>
          <t>GF1210100388105R</t>
        </is>
      </c>
      <c r="H181" s="1" t="n">
        <v>4</v>
      </c>
      <c r="I181" s="1" t="inlineStr">
        <is>
          <t>มี</t>
        </is>
      </c>
      <c r="J181" s="13" t="n">
        <v>499</v>
      </c>
      <c r="K181" s="1" t="inlineStr"/>
      <c r="L181" s="13" t="n">
        <v>499</v>
      </c>
      <c r="M181" s="1">
        <f>IF(L181="","ไม่พบใน SG",IF(ABS(J181-L181)&lt;0.005,"ตรงกัน","ไม่ตรง"))</f>
        <v/>
      </c>
      <c r="N181" s="14">
        <f>IF(L181="","",ROUND(L181*'สรุป'!$C$6,-1))</f>
        <v/>
      </c>
      <c r="O181" s="15" t="n"/>
      <c r="P181" s="15" t="n"/>
      <c r="Q181" s="10" t="n"/>
      <c r="R181" s="10" t="n"/>
      <c r="S181" s="16" t="inlineStr">
        <is>
          <t>https://mstgolf.co.th/products/gf1210100388</t>
        </is>
      </c>
      <c r="T181" s="1">
        <f>IF(B181="ไม้กอล์ฟ",J181,"")</f>
        <v/>
      </c>
    </row>
    <row r="182">
      <c r="A182" s="1" t="n">
        <v>1</v>
      </c>
      <c r="B182" s="1" t="inlineStr">
        <is>
          <t>ไม้กอล์ฟ</t>
        </is>
      </c>
      <c r="C182" s="1" t="inlineStr">
        <is>
          <t>gf1240101139</t>
        </is>
      </c>
      <c r="D182" s="1" t="inlineStr">
        <is>
          <t>TAYLORMADE TP Reserve TR-B13 (2023) Men's Putter</t>
        </is>
      </c>
      <c r="E182" s="1" t="inlineStr">
        <is>
          <t>TAYLORMADE</t>
        </is>
      </c>
      <c r="F182" s="1" t="inlineStr">
        <is>
          <t>PUTTER</t>
        </is>
      </c>
      <c r="G182" s="1" t="inlineStr">
        <is>
          <t>GF124010113934</t>
        </is>
      </c>
      <c r="H182" s="1" t="n">
        <v>1</v>
      </c>
      <c r="I182" s="1" t="inlineStr">
        <is>
          <t>มี</t>
        </is>
      </c>
      <c r="J182" s="13" t="n">
        <v>499</v>
      </c>
      <c r="K182" s="1" t="inlineStr"/>
      <c r="L182" s="13" t="n">
        <v>399</v>
      </c>
      <c r="M182" s="1">
        <f>IF(L182="","ไม่พบใน SG",IF(ABS(J182-L182)&lt;0.005,"ตรงกัน","ไม่ตรง"))</f>
        <v/>
      </c>
      <c r="N182" s="14">
        <f>IF(L182="","",ROUND(L182*'สรุป'!$C$6,-1))</f>
        <v/>
      </c>
      <c r="O182" s="15" t="n"/>
      <c r="P182" s="15" t="n"/>
      <c r="Q182" s="10" t="n"/>
      <c r="R182" s="10" t="n"/>
      <c r="S182" s="16" t="inlineStr">
        <is>
          <t>https://mstgolf.co.th/products/gf1240101139</t>
        </is>
      </c>
      <c r="T182" s="1">
        <f>IF(B182="ไม้กอล์ฟ",J182,"")</f>
        <v/>
      </c>
    </row>
    <row r="183">
      <c r="A183" s="1" t="n">
        <v>1</v>
      </c>
      <c r="B183" s="1" t="inlineStr">
        <is>
          <t>ไม้กอล์ฟ</t>
        </is>
      </c>
      <c r="C183" s="1" t="inlineStr">
        <is>
          <t>gf1240101136</t>
        </is>
      </c>
      <c r="D183" s="1" t="inlineStr">
        <is>
          <t>TAYLORMADE TP Reserve TR-B31 (2023) Men's Putter</t>
        </is>
      </c>
      <c r="E183" s="1" t="inlineStr">
        <is>
          <t>TAYLORMADE</t>
        </is>
      </c>
      <c r="F183" s="1" t="inlineStr">
        <is>
          <t>PUTTER</t>
        </is>
      </c>
      <c r="G183" s="1" t="inlineStr">
        <is>
          <t>GF124010113634</t>
        </is>
      </c>
      <c r="H183" s="1" t="n">
        <v>1</v>
      </c>
      <c r="I183" s="1" t="inlineStr">
        <is>
          <t>มี</t>
        </is>
      </c>
      <c r="J183" s="13" t="n">
        <v>499</v>
      </c>
      <c r="K183" s="1" t="inlineStr"/>
      <c r="L183" s="13" t="n">
        <v>399</v>
      </c>
      <c r="M183" s="1">
        <f>IF(L183="","ไม่พบใน SG",IF(ABS(J183-L183)&lt;0.005,"ตรงกัน","ไม่ตรง"))</f>
        <v/>
      </c>
      <c r="N183" s="14">
        <f>IF(L183="","",ROUND(L183*'สรุป'!$C$6,-1))</f>
        <v/>
      </c>
      <c r="O183" s="15" t="n"/>
      <c r="P183" s="15" t="n"/>
      <c r="Q183" s="10" t="n"/>
      <c r="R183" s="10" t="n"/>
      <c r="S183" s="16" t="inlineStr">
        <is>
          <t>https://mstgolf.co.th/products/gf1240101136</t>
        </is>
      </c>
      <c r="T183" s="1">
        <f>IF(B183="ไม้กอล์ฟ",J183,"")</f>
        <v/>
      </c>
    </row>
    <row r="184">
      <c r="A184" s="1" t="n">
        <v>1</v>
      </c>
      <c r="B184" s="1" t="inlineStr">
        <is>
          <t>ไม้กอล์ฟ</t>
        </is>
      </c>
      <c r="C184" s="1" t="inlineStr">
        <is>
          <t>gf1230100827</t>
        </is>
      </c>
      <c r="D184" s="1" t="inlineStr">
        <is>
          <t>TITLEIST GT1 (2025) Men's Hybrid</t>
        </is>
      </c>
      <c r="E184" s="1" t="inlineStr">
        <is>
          <t>TITLEIST</t>
        </is>
      </c>
      <c r="F184" s="1" t="inlineStr">
        <is>
          <t>UTILITY/HYBRID</t>
        </is>
      </c>
      <c r="G184" s="1" t="inlineStr">
        <is>
          <t>GF123010082723R2</t>
        </is>
      </c>
      <c r="H184" s="1" t="n">
        <v>4</v>
      </c>
      <c r="I184" s="1" t="inlineStr">
        <is>
          <t>มี</t>
        </is>
      </c>
      <c r="J184" s="13" t="n">
        <v>499</v>
      </c>
      <c r="K184" s="1" t="inlineStr"/>
      <c r="L184" s="13" t="n">
        <v>499</v>
      </c>
      <c r="M184" s="1">
        <f>IF(L184="","ไม่พบใน SG",IF(ABS(J184-L184)&lt;0.005,"ตรงกัน","ไม่ตรง"))</f>
        <v/>
      </c>
      <c r="N184" s="14">
        <f>IF(L184="","",ROUND(L184*'สรุป'!$C$6,-1))</f>
        <v/>
      </c>
      <c r="O184" s="15" t="n"/>
      <c r="P184" s="15" t="n"/>
      <c r="Q184" s="10" t="n"/>
      <c r="R184" s="10" t="n"/>
      <c r="S184" s="16" t="inlineStr">
        <is>
          <t>https://mstgolf.co.th/products/gf1230100827</t>
        </is>
      </c>
      <c r="T184" s="1">
        <f>IF(B184="ไม้กอล์ฟ",J184,"")</f>
        <v/>
      </c>
    </row>
    <row r="185">
      <c r="A185" s="1" t="n">
        <v>1</v>
      </c>
      <c r="B185" s="1" t="inlineStr">
        <is>
          <t>ไม้กอล์ฟ</t>
        </is>
      </c>
      <c r="C185" s="1" t="inlineStr">
        <is>
          <t>gf1230100828</t>
        </is>
      </c>
      <c r="D185" s="1" t="inlineStr">
        <is>
          <t>TITLEIST GT2 (2025) Men's Hybrid</t>
        </is>
      </c>
      <c r="E185" s="1" t="inlineStr">
        <is>
          <t>TITLEIST</t>
        </is>
      </c>
      <c r="F185" s="1" t="inlineStr">
        <is>
          <t>UTILITY/HYBRID</t>
        </is>
      </c>
      <c r="G185" s="1" t="inlineStr">
        <is>
          <t>GF123010082818S</t>
        </is>
      </c>
      <c r="H185" s="1" t="n">
        <v>9</v>
      </c>
      <c r="I185" s="1" t="inlineStr">
        <is>
          <t>มี</t>
        </is>
      </c>
      <c r="J185" s="13" t="n">
        <v>499</v>
      </c>
      <c r="K185" s="1" t="inlineStr"/>
      <c r="L185" s="13" t="n">
        <v>499</v>
      </c>
      <c r="M185" s="1">
        <f>IF(L185="","ไม่พบใน SG",IF(ABS(J185-L185)&lt;0.005,"ตรงกัน","ไม่ตรง"))</f>
        <v/>
      </c>
      <c r="N185" s="14">
        <f>IF(L185="","",ROUND(L185*'สรุป'!$C$6,-1))</f>
        <v/>
      </c>
      <c r="O185" s="15" t="n"/>
      <c r="P185" s="15" t="n"/>
      <c r="Q185" s="10" t="n"/>
      <c r="R185" s="10" t="n"/>
      <c r="S185" s="16" t="inlineStr">
        <is>
          <t>https://mstgolf.co.th/products/gf1230100828</t>
        </is>
      </c>
      <c r="T185" s="1">
        <f>IF(B185="ไม้กอล์ฟ",J185,"")</f>
        <v/>
      </c>
    </row>
    <row r="186">
      <c r="A186" s="1" t="n">
        <v>1</v>
      </c>
      <c r="B186" s="1" t="inlineStr">
        <is>
          <t>ไม้กอล์ฟ</t>
        </is>
      </c>
      <c r="C186" s="1" t="inlineStr">
        <is>
          <t>gf1230100830</t>
        </is>
      </c>
      <c r="D186" s="1" t="inlineStr">
        <is>
          <t>TITLEIST GT3 (2025) Men's Hybrid</t>
        </is>
      </c>
      <c r="E186" s="1" t="inlineStr">
        <is>
          <t>TITLEIST</t>
        </is>
      </c>
      <c r="F186" s="1" t="inlineStr">
        <is>
          <t>UTILITY/HYBRID</t>
        </is>
      </c>
      <c r="G186" s="1" t="inlineStr">
        <is>
          <t>GF123010083119S</t>
        </is>
      </c>
      <c r="H186" s="1" t="n">
        <v>5</v>
      </c>
      <c r="I186" s="1" t="inlineStr">
        <is>
          <t>มี</t>
        </is>
      </c>
      <c r="J186" s="13" t="n">
        <v>499</v>
      </c>
      <c r="K186" s="1" t="inlineStr"/>
      <c r="L186" s="13" t="n">
        <v>499</v>
      </c>
      <c r="M186" s="1">
        <f>IF(L186="","ไม่พบใน SG",IF(ABS(J186-L186)&lt;0.005,"ตรงกัน","ไม่ตรง"))</f>
        <v/>
      </c>
      <c r="N186" s="14">
        <f>IF(L186="","",ROUND(L186*'สรุป'!$C$6,-1))</f>
        <v/>
      </c>
      <c r="O186" s="15" t="n"/>
      <c r="P186" s="15" t="n"/>
      <c r="Q186" s="10" t="n"/>
      <c r="R186" s="10" t="n"/>
      <c r="S186" s="16" t="inlineStr">
        <is>
          <t>https://mstgolf.co.th/products/gf1230100830</t>
        </is>
      </c>
      <c r="T186" s="1">
        <f>IF(B186="ไม้กอล์ฟ",J186,"")</f>
        <v/>
      </c>
    </row>
    <row r="187">
      <c r="A187" s="1" t="n">
        <v>1</v>
      </c>
      <c r="B187" s="1" t="inlineStr">
        <is>
          <t>อุปกรณ์วัดระยะ/เทคโนโลยี</t>
        </is>
      </c>
      <c r="C187" s="1" t="inlineStr">
        <is>
          <t>gf3190100116</t>
        </is>
      </c>
      <c r="D187" s="1" t="inlineStr">
        <is>
          <t>HUAWEI x Honma Watch GT6 Pro - 46mm</t>
        </is>
      </c>
      <c r="E187" s="1" t="inlineStr">
        <is>
          <t>HUAWEI</t>
        </is>
      </c>
      <c r="F187" s="1" t="inlineStr">
        <is>
          <t>WATCH</t>
        </is>
      </c>
      <c r="G187" s="1" t="inlineStr">
        <is>
          <t>GF3190100116</t>
        </is>
      </c>
      <c r="H187" s="1" t="n">
        <v>1</v>
      </c>
      <c r="I187" s="1" t="inlineStr">
        <is>
          <t>มี</t>
        </is>
      </c>
      <c r="J187" s="13" t="n">
        <v>498</v>
      </c>
      <c r="K187" s="1" t="inlineStr"/>
      <c r="L187" s="13" t="n">
        <v>498</v>
      </c>
      <c r="M187" s="1">
        <f>IF(L187="","ไม่พบใน SG",IF(ABS(J187-L187)&lt;0.005,"ตรงกัน","ไม่ตรง"))</f>
        <v/>
      </c>
      <c r="N187" s="14">
        <f>IF(L187="","",ROUND(L187*'สรุป'!$C$6,-1))</f>
        <v/>
      </c>
      <c r="O187" s="15" t="n"/>
      <c r="P187" s="15" t="n"/>
      <c r="Q187" s="10" t="n"/>
      <c r="R187" s="10" t="n"/>
      <c r="S187" s="16" t="inlineStr">
        <is>
          <t>https://mstgolf.co.th/products/gf3190100116</t>
        </is>
      </c>
      <c r="T187" s="1">
        <f>IF(B187="ไม้กอล์ฟ",J187,"")</f>
        <v/>
      </c>
    </row>
    <row r="188">
      <c r="A188" s="1" t="n">
        <v>1</v>
      </c>
      <c r="B188" s="1" t="inlineStr">
        <is>
          <t>ไม้กอล์ฟ</t>
        </is>
      </c>
      <c r="C188" s="1" t="inlineStr">
        <is>
          <t>gf1220100819</t>
        </is>
      </c>
      <c r="D188" s="1" t="inlineStr">
        <is>
          <t>YAMAHA Inpres DriveStar (2023) Men's Fairway</t>
        </is>
      </c>
      <c r="E188" s="1" t="inlineStr">
        <is>
          <t>YAMAHA</t>
        </is>
      </c>
      <c r="F188" s="1" t="inlineStr">
        <is>
          <t>FAIRWAY WOOD</t>
        </is>
      </c>
      <c r="G188" s="1" t="inlineStr">
        <is>
          <t>GF1220100819#3R</t>
        </is>
      </c>
      <c r="H188" s="1" t="n">
        <v>7</v>
      </c>
      <c r="I188" s="1" t="inlineStr">
        <is>
          <t>มี</t>
        </is>
      </c>
      <c r="J188" s="13" t="n">
        <v>489</v>
      </c>
      <c r="K188" s="1" t="inlineStr"/>
      <c r="L188" s="13" t="n">
        <v>329</v>
      </c>
      <c r="M188" s="1">
        <f>IF(L188="","ไม่พบใน SG",IF(ABS(J188-L188)&lt;0.005,"ตรงกัน","ไม่ตรง"))</f>
        <v/>
      </c>
      <c r="N188" s="14">
        <f>IF(L188="","",ROUND(L188*'สรุป'!$C$6,-1))</f>
        <v/>
      </c>
      <c r="O188" s="15" t="n"/>
      <c r="P188" s="15" t="n"/>
      <c r="Q188" s="10" t="n"/>
      <c r="R188" s="10" t="n"/>
      <c r="S188" s="16" t="inlineStr">
        <is>
          <t>https://mstgolf.co.th/products/gf1220100819</t>
        </is>
      </c>
      <c r="T188" s="1">
        <f>IF(B188="ไม้กอล์ฟ",J188,"")</f>
        <v/>
      </c>
    </row>
    <row r="189">
      <c r="A189" s="1" t="n">
        <v>1</v>
      </c>
      <c r="B189" s="1" t="inlineStr">
        <is>
          <t>ไม้กอล์ฟ</t>
        </is>
      </c>
      <c r="C189" s="1" t="inlineStr">
        <is>
          <t>gf1220100820</t>
        </is>
      </c>
      <c r="D189" s="1" t="inlineStr">
        <is>
          <t>YAMAHA Inpres DriveStar (2025) Women's Fairway</t>
        </is>
      </c>
      <c r="E189" s="1" t="inlineStr">
        <is>
          <t>YAMAHA</t>
        </is>
      </c>
      <c r="F189" s="1" t="inlineStr">
        <is>
          <t>FAIRWAY WOOD</t>
        </is>
      </c>
      <c r="G189" s="1" t="inlineStr">
        <is>
          <t>GF1220100820#3L</t>
        </is>
      </c>
      <c r="H189" s="1" t="n">
        <v>3</v>
      </c>
      <c r="I189" s="1" t="inlineStr">
        <is>
          <t>มี</t>
        </is>
      </c>
      <c r="J189" s="13" t="n">
        <v>489</v>
      </c>
      <c r="K189" s="1" t="inlineStr"/>
      <c r="L189" s="13" t="n">
        <v>329</v>
      </c>
      <c r="M189" s="1">
        <f>IF(L189="","ไม่พบใน SG",IF(ABS(J189-L189)&lt;0.005,"ตรงกัน","ไม่ตรง"))</f>
        <v/>
      </c>
      <c r="N189" s="14">
        <f>IF(L189="","",ROUND(L189*'สรุป'!$C$6,-1))</f>
        <v/>
      </c>
      <c r="O189" s="15" t="n"/>
      <c r="P189" s="15" t="n"/>
      <c r="Q189" s="10" t="n"/>
      <c r="R189" s="10" t="n"/>
      <c r="S189" s="16" t="inlineStr">
        <is>
          <t>https://mstgolf.co.th/products/gf1220100820</t>
        </is>
      </c>
      <c r="T189" s="1">
        <f>IF(B189="ไม้กอล์ฟ",J189,"")</f>
        <v/>
      </c>
    </row>
    <row r="190">
      <c r="A190" s="1" t="n">
        <v>1</v>
      </c>
      <c r="B190" s="1" t="inlineStr">
        <is>
          <t>ไม้กอล์ฟ</t>
        </is>
      </c>
      <c r="C190" s="1" t="inlineStr">
        <is>
          <t>gf1230100785</t>
        </is>
      </c>
      <c r="D190" s="1" t="inlineStr">
        <is>
          <t>PING G440 (2025) Men's Hybrid</t>
        </is>
      </c>
      <c r="E190" s="1" t="inlineStr">
        <is>
          <t>PING</t>
        </is>
      </c>
      <c r="F190" s="1" t="inlineStr">
        <is>
          <t>UTILITY/HYBRID</t>
        </is>
      </c>
      <c r="G190" s="1" t="inlineStr">
        <is>
          <t>GF123010078517SR</t>
        </is>
      </c>
      <c r="H190" s="1" t="n">
        <v>11</v>
      </c>
      <c r="I190" s="1" t="inlineStr">
        <is>
          <t>มี</t>
        </is>
      </c>
      <c r="J190" s="13" t="n">
        <v>479</v>
      </c>
      <c r="K190" s="1" t="inlineStr"/>
      <c r="L190" s="13" t="n">
        <v>479</v>
      </c>
      <c r="M190" s="1">
        <f>IF(L190="","ไม่พบใน SG",IF(ABS(J190-L190)&lt;0.005,"ตรงกัน","ไม่ตรง"))</f>
        <v/>
      </c>
      <c r="N190" s="14">
        <f>IF(L190="","",ROUND(L190*'สรุป'!$C$6,-1))</f>
        <v/>
      </c>
      <c r="O190" s="15" t="n"/>
      <c r="P190" s="15" t="n"/>
      <c r="Q190" s="10" t="n"/>
      <c r="R190" s="10" t="n"/>
      <c r="S190" s="16" t="inlineStr">
        <is>
          <t>https://mstgolf.co.th/products/gf1230100785</t>
        </is>
      </c>
      <c r="T190" s="1">
        <f>IF(B190="ไม้กอล์ฟ",J190,"")</f>
        <v/>
      </c>
    </row>
    <row r="191">
      <c r="A191" s="1" t="n">
        <v>1</v>
      </c>
      <c r="B191" s="1" t="inlineStr">
        <is>
          <t>ไม้กอล์ฟ</t>
        </is>
      </c>
      <c r="C191" s="1" t="inlineStr">
        <is>
          <t>gf1230100786</t>
        </is>
      </c>
      <c r="D191" s="1" t="inlineStr">
        <is>
          <t>PING G440 HL (2025) Men's Hybrid</t>
        </is>
      </c>
      <c r="E191" s="1" t="inlineStr">
        <is>
          <t>PING</t>
        </is>
      </c>
      <c r="F191" s="1" t="inlineStr">
        <is>
          <t>UTILITY/HYBRID</t>
        </is>
      </c>
      <c r="G191" s="1" t="inlineStr">
        <is>
          <t>GF123010078620</t>
        </is>
      </c>
      <c r="H191" s="1" t="n">
        <v>2</v>
      </c>
      <c r="I191" s="1" t="inlineStr">
        <is>
          <t>มี</t>
        </is>
      </c>
      <c r="J191" s="13" t="n">
        <v>479</v>
      </c>
      <c r="K191" s="1" t="inlineStr"/>
      <c r="L191" s="13" t="n">
        <v>479</v>
      </c>
      <c r="M191" s="1">
        <f>IF(L191="","ไม่พบใน SG",IF(ABS(J191-L191)&lt;0.005,"ตรงกัน","ไม่ตรง"))</f>
        <v/>
      </c>
      <c r="N191" s="14">
        <f>IF(L191="","",ROUND(L191*'สรุป'!$C$6,-1))</f>
        <v/>
      </c>
      <c r="O191" s="15" t="n"/>
      <c r="P191" s="15" t="n"/>
      <c r="Q191" s="10" t="n"/>
      <c r="R191" s="10" t="n"/>
      <c r="S191" s="16" t="inlineStr">
        <is>
          <t>https://mstgolf.co.th/products/gf1230100786</t>
        </is>
      </c>
      <c r="T191" s="1">
        <f>IF(B191="ไม้กอล์ฟ",J191,"")</f>
        <v/>
      </c>
    </row>
    <row r="192">
      <c r="A192" s="1" t="n">
        <v>1</v>
      </c>
      <c r="B192" s="1" t="inlineStr">
        <is>
          <t>ไม้กอล์ฟ</t>
        </is>
      </c>
      <c r="C192" s="1" t="inlineStr">
        <is>
          <t>gf1220100726</t>
        </is>
      </c>
      <c r="D192" s="1" t="inlineStr">
        <is>
          <t>YAMAHA RMX VD (2024) Men's Fairway</t>
        </is>
      </c>
      <c r="E192" s="1" t="inlineStr">
        <is>
          <t>YAMAHA</t>
        </is>
      </c>
      <c r="F192" s="1" t="inlineStr">
        <is>
          <t>FAIRWAY WOOD</t>
        </is>
      </c>
      <c r="G192" s="1" t="inlineStr">
        <is>
          <t>GF1220100726#3SR</t>
        </is>
      </c>
      <c r="H192" s="1" t="n">
        <v>7</v>
      </c>
      <c r="I192" s="1" t="inlineStr">
        <is>
          <t>มี</t>
        </is>
      </c>
      <c r="J192" s="13" t="n">
        <v>475</v>
      </c>
      <c r="K192" s="1" t="inlineStr"/>
      <c r="L192" s="13" t="n">
        <v>199</v>
      </c>
      <c r="M192" s="1">
        <f>IF(L192="","ไม่พบใน SG",IF(ABS(J192-L192)&lt;0.005,"ตรงกัน","ไม่ตรง"))</f>
        <v/>
      </c>
      <c r="N192" s="14">
        <f>IF(L192="","",ROUND(L192*'สรุป'!$C$6,-1))</f>
        <v/>
      </c>
      <c r="O192" s="15" t="n"/>
      <c r="P192" s="15" t="n"/>
      <c r="Q192" s="10" t="n"/>
      <c r="R192" s="10" t="n"/>
      <c r="S192" s="16" t="inlineStr">
        <is>
          <t>https://mstgolf.co.th/products/gf1220100726</t>
        </is>
      </c>
      <c r="T192" s="1">
        <f>IF(B192="ไม้กอล์ฟ",J192,"")</f>
        <v/>
      </c>
    </row>
    <row r="193">
      <c r="A193" s="1" t="n">
        <v>1</v>
      </c>
      <c r="B193" s="1" t="inlineStr">
        <is>
          <t>อุปกรณ์วัดระยะ/เทคโนโลยี</t>
        </is>
      </c>
      <c r="C193" s="1" t="inlineStr">
        <is>
          <t>gf3190100036</t>
        </is>
      </c>
      <c r="D193" s="1" t="inlineStr">
        <is>
          <t>GARMIN Approach S40 Golf Watch (Black)</t>
        </is>
      </c>
      <c r="E193" s="1" t="inlineStr">
        <is>
          <t>GARMIN</t>
        </is>
      </c>
      <c r="F193" s="1" t="inlineStr">
        <is>
          <t>WATCH</t>
        </is>
      </c>
      <c r="G193" s="1" t="inlineStr">
        <is>
          <t>GF3190100036</t>
        </is>
      </c>
      <c r="H193" s="1" t="n">
        <v>1</v>
      </c>
      <c r="I193" s="1" t="inlineStr">
        <is>
          <t>มี</t>
        </is>
      </c>
      <c r="J193" s="13" t="n">
        <v>469</v>
      </c>
      <c r="K193" s="1" t="inlineStr"/>
      <c r="L193" s="13" t="n">
        <v>469</v>
      </c>
      <c r="M193" s="1">
        <f>IF(L193="","ไม่พบใน SG",IF(ABS(J193-L193)&lt;0.005,"ตรงกัน","ไม่ตรง"))</f>
        <v/>
      </c>
      <c r="N193" s="14">
        <f>IF(L193="","",ROUND(L193*'สรุป'!$C$6,-1))</f>
        <v/>
      </c>
      <c r="O193" s="15" t="n"/>
      <c r="P193" s="15" t="n"/>
      <c r="Q193" s="10" t="n"/>
      <c r="R193" s="10" t="n"/>
      <c r="S193" s="16" t="inlineStr">
        <is>
          <t>https://mstgolf.co.th/products/gf3190100036</t>
        </is>
      </c>
      <c r="T193" s="1">
        <f>IF(B193="ไม้กอล์ฟ",J193,"")</f>
        <v/>
      </c>
    </row>
    <row r="194">
      <c r="A194" s="1" t="n">
        <v>1</v>
      </c>
      <c r="B194" s="1" t="inlineStr">
        <is>
          <t>อุปกรณ์วัดระยะ/เทคโนโลยี</t>
        </is>
      </c>
      <c r="C194" s="1" t="inlineStr">
        <is>
          <t>gf3190100058</t>
        </is>
      </c>
      <c r="D194" s="1" t="inlineStr">
        <is>
          <t>GARMIN Approach S42 Golf Watch (Carbon Grey/Gunmetal/Black)</t>
        </is>
      </c>
      <c r="E194" s="1" t="inlineStr">
        <is>
          <t>GARMIN</t>
        </is>
      </c>
      <c r="F194" s="1" t="inlineStr">
        <is>
          <t>WATCH</t>
        </is>
      </c>
      <c r="G194" s="1" t="inlineStr">
        <is>
          <t>GF3190100058</t>
        </is>
      </c>
      <c r="H194" s="1" t="n">
        <v>1</v>
      </c>
      <c r="I194" s="1" t="inlineStr">
        <is>
          <t>มี</t>
        </is>
      </c>
      <c r="J194" s="13" t="n">
        <v>469</v>
      </c>
      <c r="K194" s="1" t="inlineStr"/>
      <c r="L194" s="13" t="n">
        <v>469</v>
      </c>
      <c r="M194" s="1">
        <f>IF(L194="","ไม่พบใน SG",IF(ABS(J194-L194)&lt;0.005,"ตรงกัน","ไม่ตรง"))</f>
        <v/>
      </c>
      <c r="N194" s="14">
        <f>IF(L194="","",ROUND(L194*'สรุป'!$C$6,-1))</f>
        <v/>
      </c>
      <c r="O194" s="15" t="n"/>
      <c r="P194" s="15" t="n"/>
      <c r="Q194" s="10" t="n"/>
      <c r="R194" s="10" t="n"/>
      <c r="S194" s="16" t="inlineStr">
        <is>
          <t>https://mstgolf.co.th/products/gf3190100058</t>
        </is>
      </c>
      <c r="T194" s="1">
        <f>IF(B194="ไม้กอล์ฟ",J194,"")</f>
        <v/>
      </c>
    </row>
    <row r="195">
      <c r="A195" s="1" t="n">
        <v>1</v>
      </c>
      <c r="B195" s="1" t="inlineStr">
        <is>
          <t>อุปกรณ์วัดระยะ/เทคโนโลยี</t>
        </is>
      </c>
      <c r="C195" s="1" t="inlineStr">
        <is>
          <t>gf3190100060</t>
        </is>
      </c>
      <c r="D195" s="1" t="inlineStr">
        <is>
          <t>GARMIN Approach S42 Golf Watch (Rose Gold/Light Sand)</t>
        </is>
      </c>
      <c r="E195" s="1" t="inlineStr">
        <is>
          <t>GARMIN</t>
        </is>
      </c>
      <c r="F195" s="1" t="inlineStr">
        <is>
          <t>WATCH</t>
        </is>
      </c>
      <c r="G195" s="1" t="inlineStr">
        <is>
          <t>GF3190100060</t>
        </is>
      </c>
      <c r="H195" s="1" t="n">
        <v>1</v>
      </c>
      <c r="I195" s="1" t="inlineStr">
        <is>
          <t>มี</t>
        </is>
      </c>
      <c r="J195" s="13" t="n">
        <v>469</v>
      </c>
      <c r="K195" s="1" t="inlineStr"/>
      <c r="L195" s="13" t="n">
        <v>469</v>
      </c>
      <c r="M195" s="1">
        <f>IF(L195="","ไม่พบใน SG",IF(ABS(J195-L195)&lt;0.005,"ตรงกัน","ไม่ตรง"))</f>
        <v/>
      </c>
      <c r="N195" s="14">
        <f>IF(L195="","",ROUND(L195*'สรุป'!$C$6,-1))</f>
        <v/>
      </c>
      <c r="O195" s="15" t="n"/>
      <c r="P195" s="15" t="n"/>
      <c r="Q195" s="10" t="n"/>
      <c r="R195" s="10" t="n"/>
      <c r="S195" s="16" t="inlineStr">
        <is>
          <t>https://mstgolf.co.th/products/gf3190100060</t>
        </is>
      </c>
      <c r="T195" s="1">
        <f>IF(B195="ไม้กอล์ฟ",J195,"")</f>
        <v/>
      </c>
    </row>
    <row r="196">
      <c r="A196" s="1" t="n">
        <v>1</v>
      </c>
      <c r="B196" s="1" t="inlineStr">
        <is>
          <t>ไม้กอล์ฟ</t>
        </is>
      </c>
      <c r="C196" s="1" t="inlineStr">
        <is>
          <t>gf1220100946</t>
        </is>
      </c>
      <c r="D196" s="1" t="inlineStr">
        <is>
          <t>YAMAHA RMX DD (2026) Men's Fairway</t>
        </is>
      </c>
      <c r="E196" s="1" t="inlineStr">
        <is>
          <t>YAMAHA</t>
        </is>
      </c>
      <c r="F196" s="1" t="inlineStr">
        <is>
          <t>FAIRWAY WOOD</t>
        </is>
      </c>
      <c r="G196" s="1" t="inlineStr">
        <is>
          <t>GF1220100946#3R</t>
        </is>
      </c>
      <c r="H196" s="1" t="n">
        <v>4</v>
      </c>
      <c r="I196" s="1" t="inlineStr">
        <is>
          <t>มี</t>
        </is>
      </c>
      <c r="J196" s="13" t="n">
        <v>469</v>
      </c>
      <c r="K196" s="1" t="inlineStr"/>
      <c r="L196" s="13" t="n">
        <v>249</v>
      </c>
      <c r="M196" s="1">
        <f>IF(L196="","ไม่พบใน SG",IF(ABS(J196-L196)&lt;0.005,"ตรงกัน","ไม่ตรง"))</f>
        <v/>
      </c>
      <c r="N196" s="14">
        <f>IF(L196="","",ROUND(L196*'สรุป'!$C$6,-1))</f>
        <v/>
      </c>
      <c r="O196" s="15" t="n"/>
      <c r="P196" s="15" t="n"/>
      <c r="Q196" s="10" t="n"/>
      <c r="R196" s="10" t="n"/>
      <c r="S196" s="16" t="inlineStr">
        <is>
          <t>https://mstgolf.co.th/products/gf1220100946</t>
        </is>
      </c>
      <c r="T196" s="1">
        <f>IF(B196="ไม้กอล์ฟ",J196,"")</f>
        <v/>
      </c>
    </row>
    <row r="197">
      <c r="A197" s="1" t="n">
        <v>1</v>
      </c>
      <c r="B197" s="1" t="inlineStr">
        <is>
          <t>อุปกรณ์วัดระยะ/เทคโนโลยี</t>
        </is>
      </c>
      <c r="C197" s="1" t="inlineStr">
        <is>
          <t>gf3190100111</t>
        </is>
      </c>
      <c r="D197" s="1" t="inlineStr">
        <is>
          <t>BLUE TEES GOLF Playmaker+ GPS Golf Watch (Black)</t>
        </is>
      </c>
      <c r="E197" s="1" t="inlineStr">
        <is>
          <t>BLUE TEES GOLF</t>
        </is>
      </c>
      <c r="F197" s="1" t="inlineStr">
        <is>
          <t>WATCH</t>
        </is>
      </c>
      <c r="G197" s="1" t="inlineStr">
        <is>
          <t>GF3190100111</t>
        </is>
      </c>
      <c r="H197" s="1" t="n">
        <v>1</v>
      </c>
      <c r="I197" s="1" t="inlineStr">
        <is>
          <t>มี</t>
        </is>
      </c>
      <c r="J197" s="13" t="n">
        <v>450</v>
      </c>
      <c r="K197" s="1" t="inlineStr"/>
      <c r="L197" s="13" t="n">
        <v>299</v>
      </c>
      <c r="M197" s="1">
        <f>IF(L197="","ไม่พบใน SG",IF(ABS(J197-L197)&lt;0.005,"ตรงกัน","ไม่ตรง"))</f>
        <v/>
      </c>
      <c r="N197" s="14">
        <f>IF(L197="","",ROUND(L197*'สรุป'!$C$6,-1))</f>
        <v/>
      </c>
      <c r="O197" s="15" t="n"/>
      <c r="P197" s="15" t="n"/>
      <c r="Q197" s="10" t="n"/>
      <c r="R197" s="10" t="n"/>
      <c r="S197" s="16" t="inlineStr">
        <is>
          <t>https://mstgolf.co.th/products/gf3190100111</t>
        </is>
      </c>
      <c r="T197" s="1">
        <f>IF(B197="ไม้กอล์ฟ",J197,"")</f>
        <v/>
      </c>
    </row>
    <row r="198">
      <c r="A198" s="1" t="n">
        <v>1</v>
      </c>
      <c r="B198" s="1" t="inlineStr">
        <is>
          <t>อุปกรณ์วัดระยะ/เทคโนโลยี</t>
        </is>
      </c>
      <c r="C198" s="1" t="inlineStr">
        <is>
          <t>gf3190200056</t>
        </is>
      </c>
      <c r="D198" s="1" t="inlineStr">
        <is>
          <t>CADDYTALK Cube Laser Rangefinder</t>
        </is>
      </c>
      <c r="E198" s="1" t="inlineStr">
        <is>
          <t>CADDYTALK</t>
        </is>
      </c>
      <c r="F198" s="1" t="inlineStr">
        <is>
          <t>HANDHELD</t>
        </is>
      </c>
      <c r="G198" s="1" t="inlineStr">
        <is>
          <t>GF3190200056</t>
        </is>
      </c>
      <c r="H198" s="1" t="n">
        <v>1</v>
      </c>
      <c r="I198" s="1" t="inlineStr">
        <is>
          <t>มี</t>
        </is>
      </c>
      <c r="J198" s="13" t="n">
        <v>449</v>
      </c>
      <c r="K198" s="1" t="inlineStr"/>
      <c r="L198" s="13" t="n">
        <v>449</v>
      </c>
      <c r="M198" s="1">
        <f>IF(L198="","ไม่พบใน SG",IF(ABS(J198-L198)&lt;0.005,"ตรงกัน","ไม่ตรง"))</f>
        <v/>
      </c>
      <c r="N198" s="14">
        <f>IF(L198="","",ROUND(L198*'สรุป'!$C$6,-1))</f>
        <v/>
      </c>
      <c r="O198" s="15" t="n"/>
      <c r="P198" s="15" t="n"/>
      <c r="Q198" s="10" t="n"/>
      <c r="R198" s="10" t="n"/>
      <c r="S198" s="16" t="inlineStr">
        <is>
          <t>https://mstgolf.co.th/products/gf3190200056</t>
        </is>
      </c>
      <c r="T198" s="1">
        <f>IF(B198="ไม้กอล์ฟ",J198,"")</f>
        <v/>
      </c>
    </row>
    <row r="199">
      <c r="A199" s="1" t="n">
        <v>1</v>
      </c>
      <c r="B199" s="1" t="inlineStr">
        <is>
          <t>ไม้กอล์ฟ</t>
        </is>
      </c>
      <c r="C199" s="1" t="inlineStr">
        <is>
          <t>gf1220100623</t>
        </is>
      </c>
      <c r="D199" s="1" t="inlineStr">
        <is>
          <t>MARUMAN SG M230 (2023) Men's Fairway</t>
        </is>
      </c>
      <c r="E199" s="1" t="inlineStr">
        <is>
          <t>MARUMAN</t>
        </is>
      </c>
      <c r="F199" s="1" t="inlineStr">
        <is>
          <t>FAIRWAY WOOD</t>
        </is>
      </c>
      <c r="G199" s="1" t="inlineStr">
        <is>
          <t>GF1220100623#3SR</t>
        </is>
      </c>
      <c r="H199" s="1" t="n">
        <v>8</v>
      </c>
      <c r="I199" s="1" t="inlineStr">
        <is>
          <t>มี</t>
        </is>
      </c>
      <c r="J199" s="13" t="n">
        <v>449</v>
      </c>
      <c r="K199" s="1" t="inlineStr"/>
      <c r="L199" s="13" t="n">
        <v>449</v>
      </c>
      <c r="M199" s="1">
        <f>IF(L199="","ไม่พบใน SG",IF(ABS(J199-L199)&lt;0.005,"ตรงกัน","ไม่ตรง"))</f>
        <v/>
      </c>
      <c r="N199" s="14">
        <f>IF(L199="","",ROUND(L199*'สรุป'!$C$6,-1))</f>
        <v/>
      </c>
      <c r="O199" s="15" t="n"/>
      <c r="P199" s="15" t="n"/>
      <c r="Q199" s="10" t="n"/>
      <c r="R199" s="10" t="n"/>
      <c r="S199" s="16" t="inlineStr">
        <is>
          <t>https://mstgolf.co.th/products/gf1220100623</t>
        </is>
      </c>
      <c r="T199" s="1">
        <f>IF(B199="ไม้กอล์ฟ",J199,"")</f>
        <v/>
      </c>
    </row>
    <row r="200">
      <c r="A200" s="1" t="n">
        <v>1</v>
      </c>
      <c r="B200" s="1" t="inlineStr">
        <is>
          <t>ไม้กอล์ฟ</t>
        </is>
      </c>
      <c r="C200" s="1" t="inlineStr">
        <is>
          <t>gf1220100624</t>
        </is>
      </c>
      <c r="D200" s="1" t="inlineStr">
        <is>
          <t>MARUMAN SG M230 (2023) Women's Fairway</t>
        </is>
      </c>
      <c r="E200" s="1" t="inlineStr">
        <is>
          <t>MARUMAN</t>
        </is>
      </c>
      <c r="F200" s="1" t="inlineStr">
        <is>
          <t>FAIRWAY WOOD</t>
        </is>
      </c>
      <c r="G200" s="1" t="inlineStr">
        <is>
          <t>GF1220100624#3L</t>
        </is>
      </c>
      <c r="H200" s="1" t="n">
        <v>2</v>
      </c>
      <c r="I200" s="1" t="inlineStr">
        <is>
          <t>มี</t>
        </is>
      </c>
      <c r="J200" s="13" t="n">
        <v>449</v>
      </c>
      <c r="K200" s="1" t="inlineStr"/>
      <c r="L200" s="13" t="n">
        <v>449</v>
      </c>
      <c r="M200" s="1">
        <f>IF(L200="","ไม่พบใน SG",IF(ABS(J200-L200)&lt;0.005,"ตรงกัน","ไม่ตรง"))</f>
        <v/>
      </c>
      <c r="N200" s="14">
        <f>IF(L200="","",ROUND(L200*'สรุป'!$C$6,-1))</f>
        <v/>
      </c>
      <c r="O200" s="15" t="n"/>
      <c r="P200" s="15" t="n"/>
      <c r="Q200" s="10" t="n"/>
      <c r="R200" s="10" t="n"/>
      <c r="S200" s="16" t="inlineStr">
        <is>
          <t>https://mstgolf.co.th/products/gf1220100624</t>
        </is>
      </c>
      <c r="T200" s="1">
        <f>IF(B200="ไม้กอล์ฟ",J200,"")</f>
        <v/>
      </c>
    </row>
    <row r="201">
      <c r="A201" s="1" t="n">
        <v>1</v>
      </c>
      <c r="B201" s="1" t="inlineStr">
        <is>
          <t>ไม้กอล์ฟ</t>
        </is>
      </c>
      <c r="C201" s="1" t="inlineStr">
        <is>
          <t>gf1220100847</t>
        </is>
      </c>
      <c r="D201" s="1" t="inlineStr">
        <is>
          <t>ONOFF ARMS LP425F (2025) Women's Fairway</t>
        </is>
      </c>
      <c r="E201" s="1" t="inlineStr">
        <is>
          <t>ONOFF</t>
        </is>
      </c>
      <c r="F201" s="1" t="inlineStr">
        <is>
          <t>FAIRWAY WOOD</t>
        </is>
      </c>
      <c r="G201" s="1" t="inlineStr">
        <is>
          <t>GF12201008487A</t>
        </is>
      </c>
      <c r="H201" s="1" t="n">
        <v>13</v>
      </c>
      <c r="I201" s="1" t="inlineStr">
        <is>
          <t>มี</t>
        </is>
      </c>
      <c r="J201" s="13" t="n">
        <v>449</v>
      </c>
      <c r="K201" s="1" t="inlineStr"/>
      <c r="L201" s="13" t="n">
        <v>449</v>
      </c>
      <c r="M201" s="1">
        <f>IF(L201="","ไม่พบใน SG",IF(ABS(J201-L201)&lt;0.005,"ตรงกัน","ไม่ตรง"))</f>
        <v/>
      </c>
      <c r="N201" s="14">
        <f>IF(L201="","",ROUND(L201*'สรุป'!$C$6,-1))</f>
        <v/>
      </c>
      <c r="O201" s="15" t="n"/>
      <c r="P201" s="15" t="n"/>
      <c r="Q201" s="10" t="n"/>
      <c r="R201" s="10" t="n"/>
      <c r="S201" s="16" t="inlineStr">
        <is>
          <t>https://mstgolf.co.th/products/gf1220100847</t>
        </is>
      </c>
      <c r="T201" s="1">
        <f>IF(B201="ไม้กอล์ฟ",J201,"")</f>
        <v/>
      </c>
    </row>
    <row r="202">
      <c r="A202" s="1" t="n">
        <v>1</v>
      </c>
      <c r="B202" s="1" t="inlineStr">
        <is>
          <t>ไม้กอล์ฟ</t>
        </is>
      </c>
      <c r="C202" s="1" t="inlineStr">
        <is>
          <t>gf1220100850</t>
        </is>
      </c>
      <c r="D202" s="1" t="inlineStr">
        <is>
          <t>ONOFF ARMS LP425F Green (2025) Women's Fairway</t>
        </is>
      </c>
      <c r="E202" s="1" t="inlineStr">
        <is>
          <t>ONOFF</t>
        </is>
      </c>
      <c r="F202" s="1" t="inlineStr">
        <is>
          <t>FAIRWAY WOOD</t>
        </is>
      </c>
      <c r="G202" s="1" t="inlineStr">
        <is>
          <t>GF1220100850#3L</t>
        </is>
      </c>
      <c r="H202" s="1" t="n">
        <v>3</v>
      </c>
      <c r="I202" s="1" t="inlineStr">
        <is>
          <t>มี</t>
        </is>
      </c>
      <c r="J202" s="13" t="n">
        <v>449</v>
      </c>
      <c r="K202" s="1" t="inlineStr"/>
      <c r="L202" s="13" t="n">
        <v>449</v>
      </c>
      <c r="M202" s="1">
        <f>IF(L202="","ไม่พบใน SG",IF(ABS(J202-L202)&lt;0.005,"ตรงกัน","ไม่ตรง"))</f>
        <v/>
      </c>
      <c r="N202" s="14">
        <f>IF(L202="","",ROUND(L202*'สรุป'!$C$6,-1))</f>
        <v/>
      </c>
      <c r="O202" s="15" t="n"/>
      <c r="P202" s="15" t="n"/>
      <c r="Q202" s="10" t="n"/>
      <c r="R202" s="10" t="n"/>
      <c r="S202" s="16" t="inlineStr">
        <is>
          <t>https://mstgolf.co.th/products/gf1220100850</t>
        </is>
      </c>
      <c r="T202" s="1">
        <f>IF(B202="ไม้กอล์ฟ",J202,"")</f>
        <v/>
      </c>
    </row>
    <row r="203">
      <c r="A203" s="1" t="n">
        <v>1</v>
      </c>
      <c r="B203" s="1" t="inlineStr">
        <is>
          <t>ไม้กอล์ฟ</t>
        </is>
      </c>
      <c r="C203" s="1" t="inlineStr">
        <is>
          <t>gf1220100875</t>
        </is>
      </c>
      <c r="D203" s="1" t="inlineStr">
        <is>
          <t>TAYLORMADE Qi35 Tour (2025) Men's Fairway</t>
        </is>
      </c>
      <c r="E203" s="1" t="inlineStr">
        <is>
          <t>TAYLORMADE</t>
        </is>
      </c>
      <c r="F203" s="1" t="inlineStr">
        <is>
          <t>FAIRWAY WOOD</t>
        </is>
      </c>
      <c r="G203" s="1" t="inlineStr">
        <is>
          <t>GF1220100876#3S</t>
        </is>
      </c>
      <c r="H203" s="1" t="n">
        <v>6</v>
      </c>
      <c r="I203" s="1" t="inlineStr">
        <is>
          <t>มี</t>
        </is>
      </c>
      <c r="J203" s="13" t="n">
        <v>449</v>
      </c>
      <c r="K203" s="1" t="inlineStr"/>
      <c r="L203" s="13" t="n">
        <v>449</v>
      </c>
      <c r="M203" s="1">
        <f>IF(L203="","ไม่พบใน SG",IF(ABS(J203-L203)&lt;0.005,"ตรงกัน","ไม่ตรง"))</f>
        <v/>
      </c>
      <c r="N203" s="14">
        <f>IF(L203="","",ROUND(L203*'สรุป'!$C$6,-1))</f>
        <v/>
      </c>
      <c r="O203" s="15" t="n"/>
      <c r="P203" s="15" t="n"/>
      <c r="Q203" s="10" t="n"/>
      <c r="R203" s="10" t="n"/>
      <c r="S203" s="16" t="inlineStr">
        <is>
          <t>https://mstgolf.co.th/products/gf1220100875</t>
        </is>
      </c>
      <c r="T203" s="1">
        <f>IF(B203="ไม้กอล์ฟ",J203,"")</f>
        <v/>
      </c>
    </row>
    <row r="204">
      <c r="A204" s="1" t="n">
        <v>1</v>
      </c>
      <c r="B204" s="1" t="inlineStr">
        <is>
          <t>ไม้กอล์ฟ</t>
        </is>
      </c>
      <c r="C204" s="1" t="inlineStr">
        <is>
          <t>gf1220100912</t>
        </is>
      </c>
      <c r="D204" s="1" t="inlineStr">
        <is>
          <t>TITLEIST GT1 (2025) Men's Fairway</t>
        </is>
      </c>
      <c r="E204" s="1" t="inlineStr">
        <is>
          <t>TITLEIST</t>
        </is>
      </c>
      <c r="F204" s="1" t="inlineStr">
        <is>
          <t>FAIRWAY WOOD</t>
        </is>
      </c>
      <c r="G204" s="1" t="inlineStr">
        <is>
          <t>GF122010091218R2</t>
        </is>
      </c>
      <c r="H204" s="1" t="n">
        <v>4</v>
      </c>
      <c r="I204" s="1" t="inlineStr">
        <is>
          <t>มี</t>
        </is>
      </c>
      <c r="J204" s="13" t="n">
        <v>449</v>
      </c>
      <c r="K204" s="1" t="inlineStr"/>
      <c r="L204" s="13" t="n">
        <v>449</v>
      </c>
      <c r="M204" s="1">
        <f>IF(L204="","ไม่พบใน SG",IF(ABS(J204-L204)&lt;0.005,"ตรงกัน","ไม่ตรง"))</f>
        <v/>
      </c>
      <c r="N204" s="14">
        <f>IF(L204="","",ROUND(L204*'สรุป'!$C$6,-1))</f>
        <v/>
      </c>
      <c r="O204" s="15" t="n"/>
      <c r="P204" s="15" t="n"/>
      <c r="Q204" s="10" t="n"/>
      <c r="R204" s="10" t="n"/>
      <c r="S204" s="16" t="inlineStr">
        <is>
          <t>https://mstgolf.co.th/products/gf1220100912</t>
        </is>
      </c>
      <c r="T204" s="1">
        <f>IF(B204="ไม้กอล์ฟ",J204,"")</f>
        <v/>
      </c>
    </row>
    <row r="205">
      <c r="A205" s="1" t="n">
        <v>1</v>
      </c>
      <c r="B205" s="1" t="inlineStr">
        <is>
          <t>ไม้กอล์ฟ</t>
        </is>
      </c>
      <c r="C205" s="1" t="inlineStr">
        <is>
          <t>gf1220100826</t>
        </is>
      </c>
      <c r="D205" s="1" t="inlineStr">
        <is>
          <t>TITLEIST GT2 (2024) Men's Fairway</t>
        </is>
      </c>
      <c r="E205" s="1" t="inlineStr">
        <is>
          <t>TITLEIST</t>
        </is>
      </c>
      <c r="F205" s="1" t="inlineStr">
        <is>
          <t>FAIRWAY WOOD</t>
        </is>
      </c>
      <c r="G205" s="1" t="inlineStr">
        <is>
          <t>GF122010082815S</t>
        </is>
      </c>
      <c r="H205" s="1" t="n">
        <v>13</v>
      </c>
      <c r="I205" s="1" t="inlineStr">
        <is>
          <t>มี</t>
        </is>
      </c>
      <c r="J205" s="13" t="n">
        <v>449</v>
      </c>
      <c r="K205" s="1" t="inlineStr"/>
      <c r="L205" s="13" t="n">
        <v>449</v>
      </c>
      <c r="M205" s="1">
        <f>IF(L205="","ไม่พบใน SG",IF(ABS(J205-L205)&lt;0.005,"ตรงกัน","ไม่ตรง"))</f>
        <v/>
      </c>
      <c r="N205" s="14">
        <f>IF(L205="","",ROUND(L205*'สรุป'!$C$6,-1))</f>
        <v/>
      </c>
      <c r="O205" s="15" t="n"/>
      <c r="P205" s="15" t="n"/>
      <c r="Q205" s="10" t="n"/>
      <c r="R205" s="10" t="n"/>
      <c r="S205" s="16" t="inlineStr">
        <is>
          <t>https://mstgolf.co.th/products/gf1220100826</t>
        </is>
      </c>
      <c r="T205" s="1">
        <f>IF(B205="ไม้กอล์ฟ",J205,"")</f>
        <v/>
      </c>
    </row>
    <row r="206">
      <c r="A206" s="1" t="n">
        <v>1</v>
      </c>
      <c r="B206" s="1" t="inlineStr">
        <is>
          <t>ไม้กอล์ฟ</t>
        </is>
      </c>
      <c r="C206" s="1" t="inlineStr">
        <is>
          <t>gf1220100829</t>
        </is>
      </c>
      <c r="D206" s="1" t="inlineStr">
        <is>
          <t>TITLEIST GT3 (2024) Men's Fairway</t>
        </is>
      </c>
      <c r="E206" s="1" t="inlineStr">
        <is>
          <t>TITLEIST</t>
        </is>
      </c>
      <c r="F206" s="1" t="inlineStr">
        <is>
          <t>FAIRWAY WOOD</t>
        </is>
      </c>
      <c r="G206" s="1" t="inlineStr">
        <is>
          <t>GF122010083015S</t>
        </is>
      </c>
      <c r="H206" s="1" t="n">
        <v>4</v>
      </c>
      <c r="I206" s="1" t="inlineStr">
        <is>
          <t>มี</t>
        </is>
      </c>
      <c r="J206" s="13" t="n">
        <v>449</v>
      </c>
      <c r="K206" s="1" t="inlineStr"/>
      <c r="L206" s="13" t="n">
        <v>449</v>
      </c>
      <c r="M206" s="1">
        <f>IF(L206="","ไม่พบใน SG",IF(ABS(J206-L206)&lt;0.005,"ตรงกัน","ไม่ตรง"))</f>
        <v/>
      </c>
      <c r="N206" s="14">
        <f>IF(L206="","",ROUND(L206*'สรุป'!$C$6,-1))</f>
        <v/>
      </c>
      <c r="O206" s="15" t="n"/>
      <c r="P206" s="15" t="n"/>
      <c r="Q206" s="10" t="n"/>
      <c r="R206" s="10" t="n"/>
      <c r="S206" s="16" t="inlineStr">
        <is>
          <t>https://mstgolf.co.th/products/gf1220100829</t>
        </is>
      </c>
      <c r="T206" s="1">
        <f>IF(B206="ไม้กอล์ฟ",J206,"")</f>
        <v/>
      </c>
    </row>
    <row r="207">
      <c r="A207" s="1" t="n">
        <v>1</v>
      </c>
      <c r="B207" s="1" t="inlineStr">
        <is>
          <t>ไม้กอล์ฟ</t>
        </is>
      </c>
      <c r="C207" s="1" t="inlineStr">
        <is>
          <t>gf1210100617</t>
        </is>
      </c>
      <c r="D207" s="1" t="inlineStr">
        <is>
          <t>MIZUNO ST-G 220 (2021) Men's Driver</t>
        </is>
      </c>
      <c r="E207" s="1" t="inlineStr">
        <is>
          <t>MIZUNO</t>
        </is>
      </c>
      <c r="F207" s="1" t="inlineStr">
        <is>
          <t>DRIVER</t>
        </is>
      </c>
      <c r="G207" s="1" t="inlineStr">
        <is>
          <t>GF12101006179S</t>
        </is>
      </c>
      <c r="H207" s="1" t="n">
        <v>2</v>
      </c>
      <c r="I207" s="1" t="inlineStr">
        <is>
          <t>มี</t>
        </is>
      </c>
      <c r="J207" s="13" t="n">
        <v>439</v>
      </c>
      <c r="K207" s="1" t="inlineStr"/>
      <c r="L207" s="13" t="n">
        <v>269</v>
      </c>
      <c r="M207" s="1">
        <f>IF(L207="","ไม่พบใน SG",IF(ABS(J207-L207)&lt;0.005,"ตรงกัน","ไม่ตรง"))</f>
        <v/>
      </c>
      <c r="N207" s="14">
        <f>IF(L207="","",ROUND(L207*'สรุป'!$C$6,-1))</f>
        <v/>
      </c>
      <c r="O207" s="15" t="n"/>
      <c r="P207" s="15" t="n"/>
      <c r="Q207" s="10" t="n"/>
      <c r="R207" s="10" t="n"/>
      <c r="S207" s="16" t="inlineStr">
        <is>
          <t>https://mstgolf.co.th/products/gf1210100617</t>
        </is>
      </c>
      <c r="T207" s="1">
        <f>IF(B207="ไม้กอล์ฟ",J207,"")</f>
        <v/>
      </c>
    </row>
    <row r="208">
      <c r="A208" s="1" t="n">
        <v>1</v>
      </c>
      <c r="B208" s="1" t="inlineStr">
        <is>
          <t>ไม้กอล์ฟ</t>
        </is>
      </c>
      <c r="C208" s="1" t="inlineStr">
        <is>
          <t>gf1230100908</t>
        </is>
      </c>
      <c r="D208" s="1" t="inlineStr">
        <is>
          <t>COBRA OPTM Black (2026) Men's Hybrid</t>
        </is>
      </c>
      <c r="E208" s="1" t="inlineStr">
        <is>
          <t>COBRA</t>
        </is>
      </c>
      <c r="F208" s="1" t="inlineStr">
        <is>
          <t>UTILITY/HYBRID</t>
        </is>
      </c>
      <c r="G208" s="1" t="inlineStr">
        <is>
          <t>GF1230100908#3S</t>
        </is>
      </c>
      <c r="H208" s="1" t="n">
        <v>4</v>
      </c>
      <c r="I208" s="1" t="inlineStr">
        <is>
          <t>มี</t>
        </is>
      </c>
      <c r="J208" s="13" t="n">
        <v>429</v>
      </c>
      <c r="K208" s="1" t="inlineStr"/>
      <c r="L208" s="13" t="n">
        <v>429</v>
      </c>
      <c r="M208" s="1">
        <f>IF(L208="","ไม่พบใน SG",IF(ABS(J208-L208)&lt;0.005,"ตรงกัน","ไม่ตรง"))</f>
        <v/>
      </c>
      <c r="N208" s="14">
        <f>IF(L208="","",ROUND(L208*'สรุป'!$C$6,-1))</f>
        <v/>
      </c>
      <c r="O208" s="15" t="n"/>
      <c r="P208" s="15" t="n"/>
      <c r="Q208" s="10" t="n"/>
      <c r="R208" s="10" t="n"/>
      <c r="S208" s="16" t="inlineStr">
        <is>
          <t>https://mstgolf.co.th/products/gf1230100908</t>
        </is>
      </c>
      <c r="T208" s="1">
        <f>IF(B208="ไม้กอล์ฟ",J208,"")</f>
        <v/>
      </c>
    </row>
    <row r="209">
      <c r="A209" s="1" t="n">
        <v>1</v>
      </c>
      <c r="B209" s="1" t="inlineStr">
        <is>
          <t>ไม้กอล์ฟ</t>
        </is>
      </c>
      <c r="C209" s="1" t="inlineStr">
        <is>
          <t>gf1220100753</t>
        </is>
      </c>
      <c r="D209" s="1" t="inlineStr">
        <is>
          <t>TAYLORMADE Qi10 Tour (2024) Men's Fairway</t>
        </is>
      </c>
      <c r="E209" s="1" t="inlineStr">
        <is>
          <t>TAYLORMADE</t>
        </is>
      </c>
      <c r="F209" s="1" t="inlineStr">
        <is>
          <t>FAIRWAY WOOD</t>
        </is>
      </c>
      <c r="G209" s="1" t="inlineStr">
        <is>
          <t>GF1220100753#3S</t>
        </is>
      </c>
      <c r="H209" s="1" t="n">
        <v>8</v>
      </c>
      <c r="I209" s="1" t="inlineStr">
        <is>
          <t>มี</t>
        </is>
      </c>
      <c r="J209" s="13" t="n">
        <v>429</v>
      </c>
      <c r="K209" s="1" t="inlineStr"/>
      <c r="L209" s="13" t="n">
        <v>429</v>
      </c>
      <c r="M209" s="1">
        <f>IF(L209="","ไม่พบใน SG",IF(ABS(J209-L209)&lt;0.005,"ตรงกัน","ไม่ตรง"))</f>
        <v/>
      </c>
      <c r="N209" s="14">
        <f>IF(L209="","",ROUND(L209*'สรุป'!$C$6,-1))</f>
        <v/>
      </c>
      <c r="O209" s="15" t="n"/>
      <c r="P209" s="15" t="n"/>
      <c r="Q209" s="10" t="n"/>
      <c r="R209" s="10" t="n"/>
      <c r="S209" s="16" t="inlineStr">
        <is>
          <t>https://mstgolf.co.th/products/gf1220100753</t>
        </is>
      </c>
      <c r="T209" s="1">
        <f>IF(B209="ไม้กอล์ฟ",J209,"")</f>
        <v/>
      </c>
    </row>
    <row r="210">
      <c r="A210" s="1" t="n">
        <v>1</v>
      </c>
      <c r="B210" s="1" t="inlineStr">
        <is>
          <t>ไม้กอล์ฟ</t>
        </is>
      </c>
      <c r="C210" s="1" t="inlineStr">
        <is>
          <t>gf1230100894</t>
        </is>
      </c>
      <c r="D210" s="1" t="inlineStr">
        <is>
          <t>TAYLORMADE Qi4D (2026) Men's Rescue</t>
        </is>
      </c>
      <c r="E210" s="1" t="inlineStr">
        <is>
          <t>TAYLORMADE</t>
        </is>
      </c>
      <c r="F210" s="1" t="inlineStr">
        <is>
          <t>UTILITY/HYBRID</t>
        </is>
      </c>
      <c r="G210" s="1" t="inlineStr">
        <is>
          <t>GF1230100894#2S</t>
        </is>
      </c>
      <c r="H210" s="1" t="n">
        <v>10</v>
      </c>
      <c r="I210" s="1" t="inlineStr">
        <is>
          <t>มี</t>
        </is>
      </c>
      <c r="J210" s="13" t="n">
        <v>429</v>
      </c>
      <c r="K210" s="1" t="inlineStr"/>
      <c r="L210" s="13" t="n">
        <v>399</v>
      </c>
      <c r="M210" s="1">
        <f>IF(L210="","ไม่พบใน SG",IF(ABS(J210-L210)&lt;0.005,"ตรงกัน","ไม่ตรง"))</f>
        <v/>
      </c>
      <c r="N210" s="14">
        <f>IF(L210="","",ROUND(L210*'สรุป'!$C$6,-1))</f>
        <v/>
      </c>
      <c r="O210" s="15" t="n"/>
      <c r="P210" s="15" t="n"/>
      <c r="Q210" s="10" t="n"/>
      <c r="R210" s="10" t="n"/>
      <c r="S210" s="16" t="inlineStr">
        <is>
          <t>https://mstgolf.co.th/products/gf1230100894</t>
        </is>
      </c>
      <c r="T210" s="1">
        <f>IF(B210="ไม้กอล์ฟ",J210,"")</f>
        <v/>
      </c>
    </row>
    <row r="211">
      <c r="A211" s="1" t="n">
        <v>1</v>
      </c>
      <c r="B211" s="1" t="inlineStr">
        <is>
          <t>ไม้กอล์ฟ</t>
        </is>
      </c>
      <c r="C211" s="1" t="inlineStr">
        <is>
          <t>gf1230100897</t>
        </is>
      </c>
      <c r="D211" s="1" t="inlineStr">
        <is>
          <t>TAYLORMADE Qi4D Max (2026) Men's Hybrid</t>
        </is>
      </c>
      <c r="E211" s="1" t="inlineStr">
        <is>
          <t>TAYLORMADE</t>
        </is>
      </c>
      <c r="F211" s="1" t="inlineStr">
        <is>
          <t>UTILITY/HYBRID</t>
        </is>
      </c>
      <c r="G211" s="1" t="inlineStr">
        <is>
          <t>GF1230100897#3R</t>
        </is>
      </c>
      <c r="H211" s="1" t="n">
        <v>9</v>
      </c>
      <c r="I211" s="1" t="inlineStr">
        <is>
          <t>มี</t>
        </is>
      </c>
      <c r="J211" s="13" t="n">
        <v>429</v>
      </c>
      <c r="K211" s="1" t="inlineStr"/>
      <c r="L211" s="13" t="n">
        <v>399</v>
      </c>
      <c r="M211" s="1">
        <f>IF(L211="","ไม่พบใน SG",IF(ABS(J211-L211)&lt;0.005,"ตรงกัน","ไม่ตรง"))</f>
        <v/>
      </c>
      <c r="N211" s="14">
        <f>IF(L211="","",ROUND(L211*'สรุป'!$C$6,-1))</f>
        <v/>
      </c>
      <c r="O211" s="15" t="n"/>
      <c r="P211" s="15" t="n"/>
      <c r="Q211" s="10" t="n"/>
      <c r="R211" s="10" t="n"/>
      <c r="S211" s="16" t="inlineStr">
        <is>
          <t>https://mstgolf.co.th/products/gf1230100897</t>
        </is>
      </c>
      <c r="T211" s="1">
        <f>IF(B211="ไม้กอล์ฟ",J211,"")</f>
        <v/>
      </c>
    </row>
    <row r="212">
      <c r="A212" s="1" t="n">
        <v>1</v>
      </c>
      <c r="B212" s="1" t="inlineStr">
        <is>
          <t>ไม้กอล์ฟ</t>
        </is>
      </c>
      <c r="C212" s="1" t="inlineStr">
        <is>
          <t>gf1230100899</t>
        </is>
      </c>
      <c r="D212" s="1" t="inlineStr">
        <is>
          <t>TAYLORMADE Qi4D Max Lite (2026) Men's Rescue</t>
        </is>
      </c>
      <c r="E212" s="1" t="inlineStr">
        <is>
          <t>TAYLORMADE</t>
        </is>
      </c>
      <c r="F212" s="1" t="inlineStr">
        <is>
          <t>UTILITY/HYBRID</t>
        </is>
      </c>
      <c r="G212" s="1" t="inlineStr">
        <is>
          <t>GF1230100899#4R</t>
        </is>
      </c>
      <c r="H212" s="1" t="n">
        <v>2</v>
      </c>
      <c r="I212" s="1" t="inlineStr">
        <is>
          <t>มี</t>
        </is>
      </c>
      <c r="J212" s="13" t="n">
        <v>429</v>
      </c>
      <c r="K212" s="1" t="inlineStr"/>
      <c r="L212" s="13" t="n">
        <v>399</v>
      </c>
      <c r="M212" s="1">
        <f>IF(L212="","ไม่พบใน SG",IF(ABS(J212-L212)&lt;0.005,"ตรงกัน","ไม่ตรง"))</f>
        <v/>
      </c>
      <c r="N212" s="14">
        <f>IF(L212="","",ROUND(L212*'สรุป'!$C$6,-1))</f>
        <v/>
      </c>
      <c r="O212" s="15" t="n"/>
      <c r="P212" s="15" t="n"/>
      <c r="Q212" s="10" t="n"/>
      <c r="R212" s="10" t="n"/>
      <c r="S212" s="16" t="inlineStr">
        <is>
          <t>https://mstgolf.co.th/products/gf1230100899</t>
        </is>
      </c>
      <c r="T212" s="1">
        <f>IF(B212="ไม้กอล์ฟ",J212,"")</f>
        <v/>
      </c>
    </row>
    <row r="213">
      <c r="A213" s="1" t="n">
        <v>1</v>
      </c>
      <c r="B213" s="1" t="inlineStr">
        <is>
          <t>ไม้กอล์ฟ</t>
        </is>
      </c>
      <c r="C213" s="1" t="inlineStr">
        <is>
          <t>gf1230100900</t>
        </is>
      </c>
      <c r="D213" s="1" t="inlineStr">
        <is>
          <t>TAYLORMADE Qi4D Max Lite (2026) Women's Rescue</t>
        </is>
      </c>
      <c r="E213" s="1" t="inlineStr">
        <is>
          <t>TAYLORMADE</t>
        </is>
      </c>
      <c r="F213" s="1" t="inlineStr">
        <is>
          <t>UTILITY/HYBRID</t>
        </is>
      </c>
      <c r="G213" s="1" t="inlineStr">
        <is>
          <t>GF1230100900#4L</t>
        </is>
      </c>
      <c r="H213" s="1" t="n">
        <v>2</v>
      </c>
      <c r="I213" s="1" t="inlineStr">
        <is>
          <t>มี</t>
        </is>
      </c>
      <c r="J213" s="13" t="n">
        <v>429</v>
      </c>
      <c r="K213" s="1" t="inlineStr"/>
      <c r="L213" s="13" t="n">
        <v>399</v>
      </c>
      <c r="M213" s="1">
        <f>IF(L213="","ไม่พบใน SG",IF(ABS(J213-L213)&lt;0.005,"ตรงกัน","ไม่ตรง"))</f>
        <v/>
      </c>
      <c r="N213" s="14">
        <f>IF(L213="","",ROUND(L213*'สรุป'!$C$6,-1))</f>
        <v/>
      </c>
      <c r="O213" s="15" t="n"/>
      <c r="P213" s="15" t="n"/>
      <c r="Q213" s="10" t="n"/>
      <c r="R213" s="10" t="n"/>
      <c r="S213" s="16" t="inlineStr">
        <is>
          <t>https://mstgolf.co.th/products/gf1230100900</t>
        </is>
      </c>
      <c r="T213" s="1">
        <f>IF(B213="ไม้กอล์ฟ",J213,"")</f>
        <v/>
      </c>
    </row>
    <row r="214">
      <c r="A214" s="1" t="n">
        <v>1</v>
      </c>
      <c r="B214" s="1" t="inlineStr">
        <is>
          <t>ไม้กอล์ฟ</t>
        </is>
      </c>
      <c r="C214" s="1" t="inlineStr">
        <is>
          <t>gf1220100609</t>
        </is>
      </c>
      <c r="D214" s="1" t="inlineStr">
        <is>
          <t>TITLEIST TSR2 (2023) Men's Fairway</t>
        </is>
      </c>
      <c r="E214" s="1" t="inlineStr">
        <is>
          <t>TITLEIST</t>
        </is>
      </c>
      <c r="F214" s="1" t="inlineStr">
        <is>
          <t>FAIRWAY WOOD</t>
        </is>
      </c>
      <c r="G214" s="1" t="inlineStr">
        <is>
          <t>GF122010061015S</t>
        </is>
      </c>
      <c r="H214" s="1" t="n">
        <v>13</v>
      </c>
      <c r="I214" s="1" t="inlineStr">
        <is>
          <t>มี</t>
        </is>
      </c>
      <c r="J214" s="13" t="n">
        <v>429</v>
      </c>
      <c r="K214" s="1" t="inlineStr"/>
      <c r="L214" s="13" t="n">
        <v>429</v>
      </c>
      <c r="M214" s="1">
        <f>IF(L214="","ไม่พบใน SG",IF(ABS(J214-L214)&lt;0.005,"ตรงกัน","ไม่ตรง"))</f>
        <v/>
      </c>
      <c r="N214" s="14">
        <f>IF(L214="","",ROUND(L214*'สรุป'!$C$6,-1))</f>
        <v/>
      </c>
      <c r="O214" s="15" t="n"/>
      <c r="P214" s="15" t="n"/>
      <c r="Q214" s="10" t="n"/>
      <c r="R214" s="10" t="n"/>
      <c r="S214" s="16" t="inlineStr">
        <is>
          <t>https://mstgolf.co.th/products/gf1220100609</t>
        </is>
      </c>
      <c r="T214" s="1">
        <f>IF(B214="ไม้กอล์ฟ",J214,"")</f>
        <v/>
      </c>
    </row>
    <row r="215">
      <c r="A215" s="1" t="n">
        <v>1</v>
      </c>
      <c r="B215" s="1" t="inlineStr">
        <is>
          <t>ไม้กอล์ฟ</t>
        </is>
      </c>
      <c r="C215" s="1" t="inlineStr">
        <is>
          <t>gf1220100612</t>
        </is>
      </c>
      <c r="D215" s="1" t="inlineStr">
        <is>
          <t>TITLEIST TSR3 Men's Fairway</t>
        </is>
      </c>
      <c r="E215" s="1" t="inlineStr">
        <is>
          <t>TITLEIST</t>
        </is>
      </c>
      <c r="F215" s="1" t="inlineStr">
        <is>
          <t>FAIRWAY WOOD</t>
        </is>
      </c>
      <c r="G215" s="1" t="inlineStr">
        <is>
          <t>GF122010061215S</t>
        </is>
      </c>
      <c r="H215" s="1" t="n">
        <v>5</v>
      </c>
      <c r="I215" s="1" t="inlineStr">
        <is>
          <t>มี</t>
        </is>
      </c>
      <c r="J215" s="13" t="n">
        <v>429</v>
      </c>
      <c r="K215" s="1" t="inlineStr"/>
      <c r="L215" s="13" t="n">
        <v>299</v>
      </c>
      <c r="M215" s="1">
        <f>IF(L215="","ไม่พบใน SG",IF(ABS(J215-L215)&lt;0.005,"ตรงกัน","ไม่ตรง"))</f>
        <v/>
      </c>
      <c r="N215" s="14">
        <f>IF(L215="","",ROUND(L215*'สรุป'!$C$6,-1))</f>
        <v/>
      </c>
      <c r="O215" s="15" t="n"/>
      <c r="P215" s="15" t="n"/>
      <c r="Q215" s="10" t="n"/>
      <c r="R215" s="10" t="n"/>
      <c r="S215" s="16" t="inlineStr">
        <is>
          <t>https://mstgolf.co.th/products/gf1220100612</t>
        </is>
      </c>
      <c r="T215" s="1">
        <f>IF(B215="ไม้กอล์ฟ",J215,"")</f>
        <v/>
      </c>
    </row>
    <row r="216">
      <c r="A216" s="1" t="n">
        <v>1</v>
      </c>
      <c r="B216" s="1" t="inlineStr">
        <is>
          <t>ไม้กอล์ฟ</t>
        </is>
      </c>
      <c r="C216" s="1" t="inlineStr">
        <is>
          <t>gf1230100486</t>
        </is>
      </c>
      <c r="D216" s="1" t="inlineStr">
        <is>
          <t>MIZUNO ST-X 220 (2022) Men's Hybrid</t>
        </is>
      </c>
      <c r="E216" s="1" t="inlineStr">
        <is>
          <t>MIZUNO</t>
        </is>
      </c>
      <c r="F216" s="1" t="inlineStr">
        <is>
          <t>UTILITY/HYBRID</t>
        </is>
      </c>
      <c r="G216" s="1" t="inlineStr">
        <is>
          <t>GF1230100486#4R</t>
        </is>
      </c>
      <c r="H216" s="1" t="n">
        <v>3</v>
      </c>
      <c r="I216" s="1" t="inlineStr">
        <is>
          <t>มี</t>
        </is>
      </c>
      <c r="J216" s="13" t="n">
        <v>419</v>
      </c>
      <c r="K216" s="1" t="inlineStr"/>
      <c r="L216" s="13" t="n">
        <v>249</v>
      </c>
      <c r="M216" s="1">
        <f>IF(L216="","ไม่พบใน SG",IF(ABS(J216-L216)&lt;0.005,"ตรงกัน","ไม่ตรง"))</f>
        <v/>
      </c>
      <c r="N216" s="14">
        <f>IF(L216="","",ROUND(L216*'สรุป'!$C$6,-1))</f>
        <v/>
      </c>
      <c r="O216" s="15" t="n"/>
      <c r="P216" s="15" t="n"/>
      <c r="Q216" s="10" t="n"/>
      <c r="R216" s="10" t="n"/>
      <c r="S216" s="16" t="inlineStr">
        <is>
          <t>https://mstgolf.co.th/products/gf1230100486</t>
        </is>
      </c>
      <c r="T216" s="1">
        <f>IF(B216="ไม้กอล์ฟ",J216,"")</f>
        <v/>
      </c>
    </row>
    <row r="217">
      <c r="A217" s="1" t="n">
        <v>1</v>
      </c>
      <c r="B217" s="1" t="inlineStr">
        <is>
          <t>ไม้กอล์ฟ</t>
        </is>
      </c>
      <c r="C217" s="1" t="inlineStr">
        <is>
          <t>gf1210100716</t>
        </is>
      </c>
      <c r="D217" s="1" t="inlineStr">
        <is>
          <t>MIZUNO ST-Z 220 Men's Driver</t>
        </is>
      </c>
      <c r="E217" s="1" t="inlineStr">
        <is>
          <t>MIZUNO</t>
        </is>
      </c>
      <c r="F217" s="1" t="inlineStr">
        <is>
          <t>DRIVER</t>
        </is>
      </c>
      <c r="G217" s="1" t="inlineStr">
        <is>
          <t>GF12101007179.5S</t>
        </is>
      </c>
      <c r="H217" s="1" t="n">
        <v>3</v>
      </c>
      <c r="I217" s="1" t="inlineStr">
        <is>
          <t>มี</t>
        </is>
      </c>
      <c r="J217" s="13" t="n">
        <v>419</v>
      </c>
      <c r="K217" s="1" t="inlineStr"/>
      <c r="L217" s="13" t="n">
        <v>249</v>
      </c>
      <c r="M217" s="1">
        <f>IF(L217="","ไม่พบใน SG",IF(ABS(J217-L217)&lt;0.005,"ตรงกัน","ไม่ตรง"))</f>
        <v/>
      </c>
      <c r="N217" s="14">
        <f>IF(L217="","",ROUND(L217*'สรุป'!$C$6,-1))</f>
        <v/>
      </c>
      <c r="O217" s="15" t="n"/>
      <c r="P217" s="15" t="n"/>
      <c r="Q217" s="10" t="n"/>
      <c r="R217" s="10" t="n"/>
      <c r="S217" s="16" t="inlineStr">
        <is>
          <t>https://mstgolf.co.th/products/gf1210100716</t>
        </is>
      </c>
      <c r="T217" s="1">
        <f>IF(B217="ไม้กอล์ฟ",J217,"")</f>
        <v/>
      </c>
    </row>
    <row r="218">
      <c r="A218" s="1" t="n">
        <v>1</v>
      </c>
      <c r="B218" s="1" t="inlineStr">
        <is>
          <t>อุปกรณ์วัดระยะ/เทคโนโลยี</t>
        </is>
      </c>
      <c r="C218" s="1" t="inlineStr">
        <is>
          <t>gf3190200045</t>
        </is>
      </c>
      <c r="D218" s="1" t="inlineStr">
        <is>
          <t>BLUE TEES GOLF Series 3 MAX + Recharge Laser Rangefinder (Black)</t>
        </is>
      </c>
      <c r="E218" s="1" t="inlineStr">
        <is>
          <t>BLUE TEES GOLF</t>
        </is>
      </c>
      <c r="F218" s="1" t="inlineStr">
        <is>
          <t>HANDHELD</t>
        </is>
      </c>
      <c r="G218" s="1" t="inlineStr">
        <is>
          <t>GF3190200045</t>
        </is>
      </c>
      <c r="H218" s="1" t="n">
        <v>1</v>
      </c>
      <c r="I218" s="1" t="inlineStr">
        <is>
          <t>มี</t>
        </is>
      </c>
      <c r="J218" s="13" t="n">
        <v>409</v>
      </c>
      <c r="K218" s="1" t="inlineStr"/>
      <c r="L218" s="13" t="n">
        <v>409</v>
      </c>
      <c r="M218" s="1">
        <f>IF(L218="","ไม่พบใน SG",IF(ABS(J218-L218)&lt;0.005,"ตรงกัน","ไม่ตรง"))</f>
        <v/>
      </c>
      <c r="N218" s="14">
        <f>IF(L218="","",ROUND(L218*'สรุป'!$C$6,-1))</f>
        <v/>
      </c>
      <c r="O218" s="15" t="n"/>
      <c r="P218" s="15" t="n"/>
      <c r="Q218" s="10" t="n"/>
      <c r="R218" s="10" t="n"/>
      <c r="S218" s="16" t="inlineStr">
        <is>
          <t>https://mstgolf.co.th/products/gf3190200045</t>
        </is>
      </c>
      <c r="T218" s="1">
        <f>IF(B218="ไม้กอล์ฟ",J218,"")</f>
        <v/>
      </c>
    </row>
    <row r="219">
      <c r="A219" s="1" t="n">
        <v>1</v>
      </c>
      <c r="B219" s="1" t="inlineStr">
        <is>
          <t>อุปกรณ์วัดระยะ/เทคโนโลยี</t>
        </is>
      </c>
      <c r="C219" s="1" t="inlineStr">
        <is>
          <t>gf3190200044</t>
        </is>
      </c>
      <c r="D219" s="1" t="inlineStr">
        <is>
          <t>BLUE TEES GOLF Series 3 MAX + Recharge Laser Rangefinder (Navy)</t>
        </is>
      </c>
      <c r="E219" s="1" t="inlineStr">
        <is>
          <t>BLUE TEES GOLF</t>
        </is>
      </c>
      <c r="F219" s="1" t="inlineStr">
        <is>
          <t>HANDHELD</t>
        </is>
      </c>
      <c r="G219" s="1" t="inlineStr">
        <is>
          <t>GF3190200044</t>
        </is>
      </c>
      <c r="H219" s="1" t="n">
        <v>1</v>
      </c>
      <c r="I219" s="1" t="inlineStr">
        <is>
          <t>มี</t>
        </is>
      </c>
      <c r="J219" s="13" t="n">
        <v>409</v>
      </c>
      <c r="K219" s="1" t="inlineStr"/>
      <c r="L219" s="13" t="n">
        <v>409</v>
      </c>
      <c r="M219" s="1">
        <f>IF(L219="","ไม่พบใน SG",IF(ABS(J219-L219)&lt;0.005,"ตรงกัน","ไม่ตรง"))</f>
        <v/>
      </c>
      <c r="N219" s="14">
        <f>IF(L219="","",ROUND(L219*'สรุป'!$C$6,-1))</f>
        <v/>
      </c>
      <c r="O219" s="15" t="n"/>
      <c r="P219" s="15" t="n"/>
      <c r="Q219" s="10" t="n"/>
      <c r="R219" s="10" t="n"/>
      <c r="S219" s="16" t="inlineStr">
        <is>
          <t>https://mstgolf.co.th/products/gf3190200044</t>
        </is>
      </c>
      <c r="T219" s="1">
        <f>IF(B219="ไม้กอล์ฟ",J219,"")</f>
        <v/>
      </c>
    </row>
    <row r="220">
      <c r="A220" s="1" t="n">
        <v>1</v>
      </c>
      <c r="B220" s="1" t="inlineStr">
        <is>
          <t>อุปกรณ์วัดระยะ/เทคโนโลยี</t>
        </is>
      </c>
      <c r="C220" s="1" t="inlineStr">
        <is>
          <t>gf3190100057</t>
        </is>
      </c>
      <c r="D220" s="1" t="inlineStr">
        <is>
          <t>GOLF BUDDY Aim W11 GPS Golf Watch (Black)</t>
        </is>
      </c>
      <c r="E220" s="1" t="inlineStr">
        <is>
          <t>GOLF BUDDY</t>
        </is>
      </c>
      <c r="F220" s="1" t="inlineStr">
        <is>
          <t>WATCH</t>
        </is>
      </c>
      <c r="G220" s="1" t="inlineStr">
        <is>
          <t>GF3190100057</t>
        </is>
      </c>
      <c r="H220" s="1" t="n">
        <v>1</v>
      </c>
      <c r="I220" s="1" t="inlineStr">
        <is>
          <t>มี</t>
        </is>
      </c>
      <c r="J220" s="13" t="n">
        <v>399</v>
      </c>
      <c r="K220" s="1" t="inlineStr"/>
      <c r="L220" s="13" t="n">
        <v>229</v>
      </c>
      <c r="M220" s="1">
        <f>IF(L220="","ไม่พบใน SG",IF(ABS(J220-L220)&lt;0.005,"ตรงกัน","ไม่ตรง"))</f>
        <v/>
      </c>
      <c r="N220" s="14">
        <f>IF(L220="","",ROUND(L220*'สรุป'!$C$6,-1))</f>
        <v/>
      </c>
      <c r="O220" s="15" t="n"/>
      <c r="P220" s="15" t="n"/>
      <c r="Q220" s="10" t="n"/>
      <c r="R220" s="10" t="n"/>
      <c r="S220" s="16" t="inlineStr">
        <is>
          <t>https://mstgolf.co.th/products/gf3190100057</t>
        </is>
      </c>
      <c r="T220" s="1">
        <f>IF(B220="ไม้กอล์ฟ",J220,"")</f>
        <v/>
      </c>
    </row>
    <row r="221">
      <c r="A221" s="1" t="n">
        <v>1</v>
      </c>
      <c r="B221" s="1" t="inlineStr">
        <is>
          <t>ไม้กอล์ฟ</t>
        </is>
      </c>
      <c r="C221" s="1" t="inlineStr">
        <is>
          <t>gf1230100772</t>
        </is>
      </c>
      <c r="D221" s="1" t="inlineStr">
        <is>
          <t>ONOFF WINGS LP425U (2025) Women's Utility</t>
        </is>
      </c>
      <c r="E221" s="1" t="inlineStr">
        <is>
          <t>ONOFF</t>
        </is>
      </c>
      <c r="F221" s="1" t="inlineStr">
        <is>
          <t>UTILITY/HYBRID</t>
        </is>
      </c>
      <c r="G221" s="1" t="inlineStr">
        <is>
          <t>GF123010077327A</t>
        </is>
      </c>
      <c r="H221" s="1" t="n">
        <v>14</v>
      </c>
      <c r="I221" s="1" t="inlineStr">
        <is>
          <t>มี</t>
        </is>
      </c>
      <c r="J221" s="13" t="n">
        <v>399</v>
      </c>
      <c r="K221" s="1" t="inlineStr"/>
      <c r="L221" s="13" t="n">
        <v>399</v>
      </c>
      <c r="M221" s="1">
        <f>IF(L221="","ไม่พบใน SG",IF(ABS(J221-L221)&lt;0.005,"ตรงกัน","ไม่ตรง"))</f>
        <v/>
      </c>
      <c r="N221" s="14">
        <f>IF(L221="","",ROUND(L221*'สรุป'!$C$6,-1))</f>
        <v/>
      </c>
      <c r="O221" s="15" t="n"/>
      <c r="P221" s="15" t="n"/>
      <c r="Q221" s="10" t="n"/>
      <c r="R221" s="10" t="n"/>
      <c r="S221" s="16" t="inlineStr">
        <is>
          <t>https://mstgolf.co.th/products/gf1230100772</t>
        </is>
      </c>
      <c r="T221" s="1">
        <f>IF(B221="ไม้กอล์ฟ",J221,"")</f>
        <v/>
      </c>
    </row>
    <row r="222">
      <c r="A222" s="1" t="n">
        <v>1</v>
      </c>
      <c r="B222" s="1" t="inlineStr">
        <is>
          <t>ไม้กอล์ฟ</t>
        </is>
      </c>
      <c r="C222" s="1" t="inlineStr">
        <is>
          <t>gf1230100775</t>
        </is>
      </c>
      <c r="D222" s="1" t="inlineStr">
        <is>
          <t>ONOFF WINGS LP425U Green (2025) Women's Utility</t>
        </is>
      </c>
      <c r="E222" s="1" t="inlineStr">
        <is>
          <t>ONOFF</t>
        </is>
      </c>
      <c r="F222" s="1" t="inlineStr">
        <is>
          <t>UTILITY/HYBRID</t>
        </is>
      </c>
      <c r="G222" s="1" t="inlineStr">
        <is>
          <t>GF123010077521L</t>
        </is>
      </c>
      <c r="H222" s="1" t="n">
        <v>2</v>
      </c>
      <c r="I222" s="1" t="inlineStr">
        <is>
          <t>มี</t>
        </is>
      </c>
      <c r="J222" s="13" t="n">
        <v>399</v>
      </c>
      <c r="K222" s="1" t="inlineStr"/>
      <c r="L222" s="13" t="n">
        <v>399</v>
      </c>
      <c r="M222" s="1">
        <f>IF(L222="","ไม่พบใน SG",IF(ABS(J222-L222)&lt;0.005,"ตรงกัน","ไม่ตรง"))</f>
        <v/>
      </c>
      <c r="N222" s="14">
        <f>IF(L222="","",ROUND(L222*'สรุป'!$C$6,-1))</f>
        <v/>
      </c>
      <c r="O222" s="15" t="n"/>
      <c r="P222" s="15" t="n"/>
      <c r="Q222" s="10" t="n"/>
      <c r="R222" s="10" t="n"/>
      <c r="S222" s="16" t="inlineStr">
        <is>
          <t>https://mstgolf.co.th/products/gf1230100775</t>
        </is>
      </c>
      <c r="T222" s="1">
        <f>IF(B222="ไม้กอล์ฟ",J222,"")</f>
        <v/>
      </c>
    </row>
    <row r="223">
      <c r="A223" s="1" t="n">
        <v>1</v>
      </c>
      <c r="B223" s="1" t="inlineStr">
        <is>
          <t>ไม้กอล์ฟ</t>
        </is>
      </c>
      <c r="C223" s="1" t="inlineStr">
        <is>
          <t>gf1230100333</t>
        </is>
      </c>
      <c r="D223" s="1" t="inlineStr">
        <is>
          <t>PING G425 Men's Hybrid</t>
        </is>
      </c>
      <c r="E223" s="1" t="inlineStr">
        <is>
          <t>PING</t>
        </is>
      </c>
      <c r="F223" s="1" t="inlineStr">
        <is>
          <t>UTILITY/HYBRID</t>
        </is>
      </c>
      <c r="G223" s="1" t="inlineStr">
        <is>
          <t>GF123010033317SR</t>
        </is>
      </c>
      <c r="H223" s="1" t="n">
        <v>12</v>
      </c>
      <c r="I223" s="1" t="inlineStr">
        <is>
          <t>มี</t>
        </is>
      </c>
      <c r="J223" s="13" t="n">
        <v>399</v>
      </c>
      <c r="K223" s="1" t="inlineStr"/>
      <c r="L223" s="13" t="n">
        <v>259</v>
      </c>
      <c r="M223" s="1">
        <f>IF(L223="","ไม่พบใน SG",IF(ABS(J223-L223)&lt;0.005,"ตรงกัน","ไม่ตรง"))</f>
        <v/>
      </c>
      <c r="N223" s="14">
        <f>IF(L223="","",ROUND(L223*'สรุป'!$C$6,-1))</f>
        <v/>
      </c>
      <c r="O223" s="15" t="n"/>
      <c r="P223" s="15" t="n"/>
      <c r="Q223" s="10" t="n"/>
      <c r="R223" s="10" t="n"/>
      <c r="S223" s="16" t="inlineStr">
        <is>
          <t>https://mstgolf.co.th/products/gf1230100333</t>
        </is>
      </c>
      <c r="T223" s="1">
        <f>IF(B223="ไม้กอล์ฟ",J223,"")</f>
        <v/>
      </c>
    </row>
    <row r="224">
      <c r="A224" s="1" t="n">
        <v>1</v>
      </c>
      <c r="B224" s="1" t="inlineStr">
        <is>
          <t>ไม้กอล์ฟ</t>
        </is>
      </c>
      <c r="C224" s="1" t="inlineStr">
        <is>
          <t>gf1240101415</t>
        </is>
      </c>
      <c r="D224" s="1" t="inlineStr">
        <is>
          <t>PING Scottsdale DS72 (2025) Men's Putter</t>
        </is>
      </c>
      <c r="E224" s="1" t="inlineStr">
        <is>
          <t>PING</t>
        </is>
      </c>
      <c r="F224" s="1" t="inlineStr">
        <is>
          <t>PUTTER</t>
        </is>
      </c>
      <c r="G224" s="1" t="inlineStr">
        <is>
          <t>GF124010141534</t>
        </is>
      </c>
      <c r="H224" s="1" t="n">
        <v>1</v>
      </c>
      <c r="I224" s="1" t="inlineStr">
        <is>
          <t>มี</t>
        </is>
      </c>
      <c r="J224" s="13" t="n">
        <v>399</v>
      </c>
      <c r="K224" s="1" t="inlineStr"/>
      <c r="L224" s="13" t="n">
        <v>399</v>
      </c>
      <c r="M224" s="1">
        <f>IF(L224="","ไม่พบใน SG",IF(ABS(J224-L224)&lt;0.005,"ตรงกัน","ไม่ตรง"))</f>
        <v/>
      </c>
      <c r="N224" s="14">
        <f>IF(L224="","",ROUND(L224*'สรุป'!$C$6,-1))</f>
        <v/>
      </c>
      <c r="O224" s="15" t="n"/>
      <c r="P224" s="15" t="n"/>
      <c r="Q224" s="10" t="n"/>
      <c r="R224" s="10" t="n"/>
      <c r="S224" s="16" t="inlineStr">
        <is>
          <t>https://mstgolf.co.th/products/gf1240101415</t>
        </is>
      </c>
      <c r="T224" s="1">
        <f>IF(B224="ไม้กอล์ฟ",J224,"")</f>
        <v/>
      </c>
    </row>
    <row r="225">
      <c r="A225" s="1" t="n">
        <v>1</v>
      </c>
      <c r="B225" s="1" t="inlineStr">
        <is>
          <t>ไม้กอล์ฟ</t>
        </is>
      </c>
      <c r="C225" s="1" t="inlineStr">
        <is>
          <t>gf1240101416</t>
        </is>
      </c>
      <c r="D225" s="1" t="inlineStr">
        <is>
          <t>PING Scottsdale Prime Tyne 4 (2025) Men's Putter</t>
        </is>
      </c>
      <c r="E225" s="1" t="inlineStr">
        <is>
          <t>PING</t>
        </is>
      </c>
      <c r="F225" s="1" t="inlineStr">
        <is>
          <t>PUTTER</t>
        </is>
      </c>
      <c r="G225" s="1" t="inlineStr">
        <is>
          <t>GF124010141634</t>
        </is>
      </c>
      <c r="H225" s="1" t="n">
        <v>1</v>
      </c>
      <c r="I225" s="1" t="inlineStr">
        <is>
          <t>มี</t>
        </is>
      </c>
      <c r="J225" s="13" t="n">
        <v>399</v>
      </c>
      <c r="K225" s="1" t="inlineStr"/>
      <c r="L225" s="13" t="n">
        <v>399</v>
      </c>
      <c r="M225" s="1">
        <f>IF(L225="","ไม่พบใน SG",IF(ABS(J225-L225)&lt;0.005,"ตรงกัน","ไม่ตรง"))</f>
        <v/>
      </c>
      <c r="N225" s="14">
        <f>IF(L225="","",ROUND(L225*'สรุป'!$C$6,-1))</f>
        <v/>
      </c>
      <c r="O225" s="15" t="n"/>
      <c r="P225" s="15" t="n"/>
      <c r="Q225" s="10" t="n"/>
      <c r="R225" s="10" t="n"/>
      <c r="S225" s="16" t="inlineStr">
        <is>
          <t>https://mstgolf.co.th/products/gf1240101416</t>
        </is>
      </c>
      <c r="T225" s="1">
        <f>IF(B225="ไม้กอล์ฟ",J225,"")</f>
        <v/>
      </c>
    </row>
    <row r="226">
      <c r="A226" s="1" t="n">
        <v>1</v>
      </c>
      <c r="B226" s="1" t="inlineStr">
        <is>
          <t>ไม้กอล์ฟ</t>
        </is>
      </c>
      <c r="C226" s="1" t="inlineStr">
        <is>
          <t>gf1240101417</t>
        </is>
      </c>
      <c r="D226" s="1" t="inlineStr">
        <is>
          <t>PING Scottsdale Prime Tyne C (2025) Men's Putter</t>
        </is>
      </c>
      <c r="E226" s="1" t="inlineStr">
        <is>
          <t>PING</t>
        </is>
      </c>
      <c r="F226" s="1" t="inlineStr">
        <is>
          <t>PUTTER</t>
        </is>
      </c>
      <c r="G226" s="1" t="inlineStr">
        <is>
          <t>GF124010141734</t>
        </is>
      </c>
      <c r="H226" s="1" t="n">
        <v>1</v>
      </c>
      <c r="I226" s="1" t="inlineStr">
        <is>
          <t>มี</t>
        </is>
      </c>
      <c r="J226" s="13" t="n">
        <v>399</v>
      </c>
      <c r="K226" s="1" t="inlineStr"/>
      <c r="L226" s="13" t="n">
        <v>399</v>
      </c>
      <c r="M226" s="1">
        <f>IF(L226="","ไม่พบใน SG",IF(ABS(J226-L226)&lt;0.005,"ตรงกัน","ไม่ตรง"))</f>
        <v/>
      </c>
      <c r="N226" s="14">
        <f>IF(L226="","",ROUND(L226*'สรุป'!$C$6,-1))</f>
        <v/>
      </c>
      <c r="O226" s="15" t="n"/>
      <c r="P226" s="15" t="n"/>
      <c r="Q226" s="10" t="n"/>
      <c r="R226" s="10" t="n"/>
      <c r="S226" s="16" t="inlineStr">
        <is>
          <t>https://mstgolf.co.th/products/gf1240101417</t>
        </is>
      </c>
      <c r="T226" s="1">
        <f>IF(B226="ไม้กอล์ฟ",J226,"")</f>
        <v/>
      </c>
    </row>
    <row r="227">
      <c r="A227" s="1" t="n">
        <v>1</v>
      </c>
      <c r="B227" s="1" t="inlineStr">
        <is>
          <t>ไม้กอล์ฟ</t>
        </is>
      </c>
      <c r="C227" s="1" t="inlineStr">
        <is>
          <t>gf1220100879</t>
        </is>
      </c>
      <c r="D227" s="1" t="inlineStr">
        <is>
          <t>TAYLORMADE Qi35 Max (2025) Men's Fairway</t>
        </is>
      </c>
      <c r="E227" s="1" t="inlineStr">
        <is>
          <t>TAYLORMADE</t>
        </is>
      </c>
      <c r="F227" s="1" t="inlineStr">
        <is>
          <t>FAIRWAY WOOD</t>
        </is>
      </c>
      <c r="G227" s="1" t="inlineStr">
        <is>
          <t>GF1220100881#3R</t>
        </is>
      </c>
      <c r="H227" s="1" t="n">
        <v>13</v>
      </c>
      <c r="I227" s="1" t="inlineStr">
        <is>
          <t>มี</t>
        </is>
      </c>
      <c r="J227" s="13" t="n">
        <v>399</v>
      </c>
      <c r="K227" s="1" t="inlineStr"/>
      <c r="L227" s="13" t="n">
        <v>399</v>
      </c>
      <c r="M227" s="1">
        <f>IF(L227="","ไม่พบใน SG",IF(ABS(J227-L227)&lt;0.005,"ตรงกัน","ไม่ตรง"))</f>
        <v/>
      </c>
      <c r="N227" s="14">
        <f>IF(L227="","",ROUND(L227*'สรุป'!$C$6,-1))</f>
        <v/>
      </c>
      <c r="O227" s="15" t="n"/>
      <c r="P227" s="15" t="n"/>
      <c r="Q227" s="10" t="n"/>
      <c r="R227" s="10" t="n"/>
      <c r="S227" s="16" t="inlineStr">
        <is>
          <t>https://mstgolf.co.th/products/gf1220100879</t>
        </is>
      </c>
      <c r="T227" s="1">
        <f>IF(B227="ไม้กอล์ฟ",J227,"")</f>
        <v/>
      </c>
    </row>
    <row r="228">
      <c r="A228" s="1" t="n">
        <v>1</v>
      </c>
      <c r="B228" s="1" t="inlineStr">
        <is>
          <t>ไม้กอล์ฟ</t>
        </is>
      </c>
      <c r="C228" s="1" t="inlineStr">
        <is>
          <t>gf1220100883</t>
        </is>
      </c>
      <c r="D228" s="1" t="inlineStr">
        <is>
          <t>TAYLORMADE Qi35 Max Lite (2025) Women's Fairway</t>
        </is>
      </c>
      <c r="E228" s="1" t="inlineStr">
        <is>
          <t>TAYLORMADE</t>
        </is>
      </c>
      <c r="F228" s="1" t="inlineStr">
        <is>
          <t>FAIRWAY WOOD</t>
        </is>
      </c>
      <c r="G228" s="1" t="inlineStr">
        <is>
          <t>GF1220100883#3L</t>
        </is>
      </c>
      <c r="H228" s="1" t="n">
        <v>2</v>
      </c>
      <c r="I228" s="1" t="inlineStr">
        <is>
          <t>มี</t>
        </is>
      </c>
      <c r="J228" s="13" t="n">
        <v>399</v>
      </c>
      <c r="K228" s="1" t="inlineStr"/>
      <c r="L228" s="13" t="n">
        <v>399</v>
      </c>
      <c r="M228" s="1">
        <f>IF(L228="","ไม่พบใน SG",IF(ABS(J228-L228)&lt;0.005,"ตรงกัน","ไม่ตรง"))</f>
        <v/>
      </c>
      <c r="N228" s="14">
        <f>IF(L228="","",ROUND(L228*'สรุป'!$C$6,-1))</f>
        <v/>
      </c>
      <c r="O228" s="15" t="n"/>
      <c r="P228" s="15" t="n"/>
      <c r="Q228" s="10" t="n"/>
      <c r="R228" s="10" t="n"/>
      <c r="S228" s="16" t="inlineStr">
        <is>
          <t>https://mstgolf.co.th/products/gf1220100883</t>
        </is>
      </c>
      <c r="T228" s="1">
        <f>IF(B228="ไม้กอล์ฟ",J228,"")</f>
        <v/>
      </c>
    </row>
    <row r="229">
      <c r="A229" s="1" t="n">
        <v>1</v>
      </c>
      <c r="B229" s="1" t="inlineStr">
        <is>
          <t>ไม้กอล์ฟ</t>
        </is>
      </c>
      <c r="C229" s="1" t="inlineStr">
        <is>
          <t>gf1230100884</t>
        </is>
      </c>
      <c r="D229" s="1" t="inlineStr">
        <is>
          <t>TITLEIST T250U (2025) Men's Utility Iron</t>
        </is>
      </c>
      <c r="E229" s="1" t="inlineStr">
        <is>
          <t>TITLEIST</t>
        </is>
      </c>
      <c r="F229" s="1" t="inlineStr">
        <is>
          <t>UTILITY/HYBRID</t>
        </is>
      </c>
      <c r="G229" s="1" t="inlineStr">
        <is>
          <t>GF1230100884#2</t>
        </is>
      </c>
      <c r="H229" s="1" t="n">
        <v>2</v>
      </c>
      <c r="I229" s="1" t="inlineStr">
        <is>
          <t>มี</t>
        </is>
      </c>
      <c r="J229" s="13" t="n">
        <v>399</v>
      </c>
      <c r="K229" s="1" t="inlineStr"/>
      <c r="L229" s="13" t="n">
        <v>399</v>
      </c>
      <c r="M229" s="1">
        <f>IF(L229="","ไม่พบใน SG",IF(ABS(J229-L229)&lt;0.005,"ตรงกัน","ไม่ตรง"))</f>
        <v/>
      </c>
      <c r="N229" s="14">
        <f>IF(L229="","",ROUND(L229*'สรุป'!$C$6,-1))</f>
        <v/>
      </c>
      <c r="O229" s="15" t="n"/>
      <c r="P229" s="15" t="n"/>
      <c r="Q229" s="10" t="n"/>
      <c r="R229" s="10" t="n"/>
      <c r="S229" s="16" t="inlineStr">
        <is>
          <t>https://mstgolf.co.th/products/gf1230100884</t>
        </is>
      </c>
      <c r="T229" s="1">
        <f>IF(B229="ไม้กอล์ฟ",J229,"")</f>
        <v/>
      </c>
    </row>
    <row r="230">
      <c r="A230" s="1" t="n">
        <v>1</v>
      </c>
      <c r="B230" s="1" t="inlineStr">
        <is>
          <t>ไม้กอล์ฟ</t>
        </is>
      </c>
      <c r="C230" s="1" t="inlineStr">
        <is>
          <t>gf1230100885</t>
        </is>
      </c>
      <c r="D230" s="1" t="inlineStr">
        <is>
          <t>TITLEIST U-505 (2025) Men's Utility Iron</t>
        </is>
      </c>
      <c r="E230" s="1" t="inlineStr">
        <is>
          <t>TITLEIST</t>
        </is>
      </c>
      <c r="F230" s="1" t="inlineStr">
        <is>
          <t>UTILITY/HYBRID</t>
        </is>
      </c>
      <c r="G230" s="1" t="inlineStr">
        <is>
          <t>GF1230100885#2S</t>
        </is>
      </c>
      <c r="H230" s="1" t="n">
        <v>2</v>
      </c>
      <c r="I230" s="1" t="inlineStr">
        <is>
          <t>มี</t>
        </is>
      </c>
      <c r="J230" s="13" t="n">
        <v>399</v>
      </c>
      <c r="K230" s="1" t="inlineStr"/>
      <c r="L230" s="13" t="n">
        <v>399</v>
      </c>
      <c r="M230" s="1">
        <f>IF(L230="","ไม่พบใน SG",IF(ABS(J230-L230)&lt;0.005,"ตรงกัน","ไม่ตรง"))</f>
        <v/>
      </c>
      <c r="N230" s="14">
        <f>IF(L230="","",ROUND(L230*'สรุป'!$C$6,-1))</f>
        <v/>
      </c>
      <c r="O230" s="15" t="n"/>
      <c r="P230" s="15" t="n"/>
      <c r="Q230" s="10" t="n"/>
      <c r="R230" s="10" t="n"/>
      <c r="S230" s="16" t="inlineStr">
        <is>
          <t>https://mstgolf.co.th/products/gf1230100885</t>
        </is>
      </c>
      <c r="T230" s="1">
        <f>IF(B230="ไม้กอล์ฟ",J230,"")</f>
        <v/>
      </c>
    </row>
    <row r="231">
      <c r="A231" s="1" t="n">
        <v>1</v>
      </c>
      <c r="B231" s="1" t="inlineStr">
        <is>
          <t>ไม้กอล์ฟ</t>
        </is>
      </c>
      <c r="C231" s="1" t="inlineStr">
        <is>
          <t>gf1220100580</t>
        </is>
      </c>
      <c r="D231" s="1" t="inlineStr">
        <is>
          <t>YAMAHA Inpres DriveStar (2023) Men's Fairway</t>
        </is>
      </c>
      <c r="E231" s="1" t="inlineStr">
        <is>
          <t>YAMAHA</t>
        </is>
      </c>
      <c r="F231" s="1" t="inlineStr">
        <is>
          <t>FAIRWAY WOOD</t>
        </is>
      </c>
      <c r="G231" s="1" t="inlineStr">
        <is>
          <t>GF1220100580#3SR</t>
        </is>
      </c>
      <c r="H231" s="1" t="n">
        <v>9</v>
      </c>
      <c r="I231" s="1" t="inlineStr">
        <is>
          <t>มี</t>
        </is>
      </c>
      <c r="J231" s="13" t="n">
        <v>399</v>
      </c>
      <c r="K231" s="1" t="inlineStr"/>
      <c r="L231" s="13" t="n">
        <v>259</v>
      </c>
      <c r="M231" s="1">
        <f>IF(L231="","ไม่พบใน SG",IF(ABS(J231-L231)&lt;0.005,"ตรงกัน","ไม่ตรง"))</f>
        <v/>
      </c>
      <c r="N231" s="14">
        <f>IF(L231="","",ROUND(L231*'สรุป'!$C$6,-1))</f>
        <v/>
      </c>
      <c r="O231" s="15" t="n"/>
      <c r="P231" s="15" t="n"/>
      <c r="Q231" s="10" t="n"/>
      <c r="R231" s="10" t="n"/>
      <c r="S231" s="16" t="inlineStr">
        <is>
          <t>https://mstgolf.co.th/products/gf1220100580</t>
        </is>
      </c>
      <c r="T231" s="1">
        <f>IF(B231="ไม้กอล์ฟ",J231,"")</f>
        <v/>
      </c>
    </row>
    <row r="232">
      <c r="A232" s="1" t="n">
        <v>1</v>
      </c>
      <c r="B232" s="1" t="inlineStr">
        <is>
          <t>ไม้กอล์ฟ</t>
        </is>
      </c>
      <c r="C232" s="1" t="inlineStr">
        <is>
          <t>gf1220100499</t>
        </is>
      </c>
      <c r="D232" s="1" t="inlineStr">
        <is>
          <t>YAMAHA RMX VD (2022) Men's Fairway</t>
        </is>
      </c>
      <c r="E232" s="1" t="inlineStr">
        <is>
          <t>YAMAHA</t>
        </is>
      </c>
      <c r="F232" s="1" t="inlineStr">
        <is>
          <t>FAIRWAY WOOD</t>
        </is>
      </c>
      <c r="G232" s="1" t="inlineStr">
        <is>
          <t>GF1220100499#3SR</t>
        </is>
      </c>
      <c r="H232" s="1" t="n">
        <v>6</v>
      </c>
      <c r="I232" s="1" t="inlineStr">
        <is>
          <t>มี</t>
        </is>
      </c>
      <c r="J232" s="13" t="n">
        <v>399</v>
      </c>
      <c r="K232" s="1" t="inlineStr"/>
      <c r="L232" s="13" t="n">
        <v>199</v>
      </c>
      <c r="M232" s="1">
        <f>IF(L232="","ไม่พบใน SG",IF(ABS(J232-L232)&lt;0.005,"ตรงกัน","ไม่ตรง"))</f>
        <v/>
      </c>
      <c r="N232" s="14">
        <f>IF(L232="","",ROUND(L232*'สรุป'!$C$6,-1))</f>
        <v/>
      </c>
      <c r="O232" s="15" t="n"/>
      <c r="P232" s="15" t="n"/>
      <c r="Q232" s="10" t="n"/>
      <c r="R232" s="10" t="n"/>
      <c r="S232" s="16" t="inlineStr">
        <is>
          <t>https://mstgolf.co.th/products/gf1220100499</t>
        </is>
      </c>
      <c r="T232" s="1">
        <f>IF(B232="ไม้กอล์ฟ",J232,"")</f>
        <v/>
      </c>
    </row>
    <row r="233">
      <c r="A233" s="1" t="n">
        <v>1</v>
      </c>
      <c r="B233" s="1" t="inlineStr">
        <is>
          <t>ไม้กอล์ฟ</t>
        </is>
      </c>
      <c r="C233" s="1" t="inlineStr">
        <is>
          <t>gf1230100739</t>
        </is>
      </c>
      <c r="D233" s="1" t="inlineStr">
        <is>
          <t>TAYLORMADE P.DHY (2024) Men's Utility Iron</t>
        </is>
      </c>
      <c r="E233" s="1" t="inlineStr">
        <is>
          <t>TAYLORMADE</t>
        </is>
      </c>
      <c r="F233" s="1" t="inlineStr">
        <is>
          <t>UTILITY/HYBRID</t>
        </is>
      </c>
      <c r="G233" s="1" t="inlineStr">
        <is>
          <t>GF1230100739#3S</t>
        </is>
      </c>
      <c r="H233" s="1" t="n">
        <v>4</v>
      </c>
      <c r="I233" s="1" t="inlineStr">
        <is>
          <t>มี</t>
        </is>
      </c>
      <c r="J233" s="13" t="n">
        <v>389</v>
      </c>
      <c r="K233" s="1" t="inlineStr"/>
      <c r="L233" s="13" t="n">
        <v>389</v>
      </c>
      <c r="M233" s="1">
        <f>IF(L233="","ไม่พบใน SG",IF(ABS(J233-L233)&lt;0.005,"ตรงกัน","ไม่ตรง"))</f>
        <v/>
      </c>
      <c r="N233" s="14">
        <f>IF(L233="","",ROUND(L233*'สรุป'!$C$6,-1))</f>
        <v/>
      </c>
      <c r="O233" s="15" t="n"/>
      <c r="P233" s="15" t="n"/>
      <c r="Q233" s="10" t="n"/>
      <c r="R233" s="10" t="n"/>
      <c r="S233" s="16" t="inlineStr">
        <is>
          <t>https://mstgolf.co.th/products/gf1230100739</t>
        </is>
      </c>
      <c r="T233" s="1">
        <f>IF(B233="ไม้กอล์ฟ",J233,"")</f>
        <v/>
      </c>
    </row>
    <row r="234">
      <c r="A234" s="1" t="n">
        <v>1</v>
      </c>
      <c r="B234" s="1" t="inlineStr">
        <is>
          <t>ไม้กอล์ฟ</t>
        </is>
      </c>
      <c r="C234" s="1" t="inlineStr">
        <is>
          <t>gf1230100669</t>
        </is>
      </c>
      <c r="D234" s="1" t="inlineStr">
        <is>
          <t>TITLEIST U-505 (2023) Men's Utility Iron</t>
        </is>
      </c>
      <c r="E234" s="1" t="inlineStr">
        <is>
          <t>TITLEIST</t>
        </is>
      </c>
      <c r="F234" s="1" t="inlineStr">
        <is>
          <t>UTILITY/HYBRID</t>
        </is>
      </c>
      <c r="G234" s="1" t="inlineStr">
        <is>
          <t>GF123010066916</t>
        </is>
      </c>
      <c r="H234" s="1" t="n">
        <v>4</v>
      </c>
      <c r="I234" s="1" t="inlineStr">
        <is>
          <t>มี</t>
        </is>
      </c>
      <c r="J234" s="13" t="n">
        <v>383</v>
      </c>
      <c r="K234" s="1" t="inlineStr"/>
      <c r="L234" s="13" t="n">
        <v>383</v>
      </c>
      <c r="M234" s="1">
        <f>IF(L234="","ไม่พบใน SG",IF(ABS(J234-L234)&lt;0.005,"ตรงกัน","ไม่ตรง"))</f>
        <v/>
      </c>
      <c r="N234" s="14">
        <f>IF(L234="","",ROUND(L234*'สรุป'!$C$6,-1))</f>
        <v/>
      </c>
      <c r="O234" s="15" t="n"/>
      <c r="P234" s="15" t="n"/>
      <c r="Q234" s="10" t="n"/>
      <c r="R234" s="10" t="n"/>
      <c r="S234" s="16" t="inlineStr">
        <is>
          <t>https://mstgolf.co.th/products/gf1230100669</t>
        </is>
      </c>
      <c r="T234" s="1">
        <f>IF(B234="ไม้กอล์ฟ",J234,"")</f>
        <v/>
      </c>
    </row>
    <row r="235">
      <c r="A235" s="1" t="n">
        <v>1</v>
      </c>
      <c r="B235" s="1" t="inlineStr">
        <is>
          <t>ไม้กอล์ฟ</t>
        </is>
      </c>
      <c r="C235" s="1" t="inlineStr">
        <is>
          <t>gf1270100452</t>
        </is>
      </c>
      <c r="D235" s="1" t="inlineStr">
        <is>
          <t>BETTINARDI HLX 5.0 C Grind Chrome (2023) Men's Wedge</t>
        </is>
      </c>
      <c r="E235" s="1" t="inlineStr">
        <is>
          <t>BETTINARDI</t>
        </is>
      </c>
      <c r="F235" s="1" t="inlineStr">
        <is>
          <t>WEDGES</t>
        </is>
      </c>
      <c r="G235" s="1" t="inlineStr">
        <is>
          <t>GF127010045250</t>
        </is>
      </c>
      <c r="H235" s="1" t="n">
        <v>4</v>
      </c>
      <c r="I235" s="1" t="inlineStr">
        <is>
          <t>มี</t>
        </is>
      </c>
      <c r="J235" s="13" t="n">
        <v>379</v>
      </c>
      <c r="K235" s="1" t="inlineStr"/>
      <c r="L235" s="13" t="n">
        <v>265</v>
      </c>
      <c r="M235" s="1">
        <f>IF(L235="","ไม่พบใน SG",IF(ABS(J235-L235)&lt;0.005,"ตรงกัน","ไม่ตรง"))</f>
        <v/>
      </c>
      <c r="N235" s="14">
        <f>IF(L235="","",ROUND(L235*'สรุป'!$C$6,-1))</f>
        <v/>
      </c>
      <c r="O235" s="15" t="n"/>
      <c r="P235" s="15" t="n"/>
      <c r="Q235" s="10" t="n"/>
      <c r="R235" s="10" t="n"/>
      <c r="S235" s="16" t="inlineStr">
        <is>
          <t>https://mstgolf.co.th/products/gf1270100452</t>
        </is>
      </c>
      <c r="T235" s="1">
        <f>IF(B235="ไม้กอล์ฟ",J235,"")</f>
        <v/>
      </c>
    </row>
    <row r="236">
      <c r="A236" s="1" t="n">
        <v>1</v>
      </c>
      <c r="B236" s="1" t="inlineStr">
        <is>
          <t>ไม้กอล์ฟ</t>
        </is>
      </c>
      <c r="C236" s="1" t="inlineStr">
        <is>
          <t>gf1230100632</t>
        </is>
      </c>
      <c r="D236" s="1" t="inlineStr">
        <is>
          <t>TITLEIST TSR1 (2023) Men's Hybrid</t>
        </is>
      </c>
      <c r="E236" s="1" t="inlineStr">
        <is>
          <t>TITLEIST</t>
        </is>
      </c>
      <c r="F236" s="1" t="inlineStr">
        <is>
          <t>UTILITY/HYBRID</t>
        </is>
      </c>
      <c r="G236" s="1" t="inlineStr">
        <is>
          <t>GF123010063220R</t>
        </is>
      </c>
      <c r="H236" s="1" t="n">
        <v>4</v>
      </c>
      <c r="I236" s="1" t="inlineStr">
        <is>
          <t>มี</t>
        </is>
      </c>
      <c r="J236" s="13" t="n">
        <v>379</v>
      </c>
      <c r="K236" s="1" t="inlineStr"/>
      <c r="L236" s="13" t="n">
        <v>279</v>
      </c>
      <c r="M236" s="1">
        <f>IF(L236="","ไม่พบใน SG",IF(ABS(J236-L236)&lt;0.005,"ตรงกัน","ไม่ตรง"))</f>
        <v/>
      </c>
      <c r="N236" s="14">
        <f>IF(L236="","",ROUND(L236*'สรุป'!$C$6,-1))</f>
        <v/>
      </c>
      <c r="O236" s="15" t="n"/>
      <c r="P236" s="15" t="n"/>
      <c r="Q236" s="10" t="n"/>
      <c r="R236" s="10" t="n"/>
      <c r="S236" s="16" t="inlineStr">
        <is>
          <t>https://mstgolf.co.th/products/gf1230100632</t>
        </is>
      </c>
      <c r="T236" s="1">
        <f>IF(B236="ไม้กอล์ฟ",J236,"")</f>
        <v/>
      </c>
    </row>
    <row r="237">
      <c r="A237" s="1" t="n">
        <v>1</v>
      </c>
      <c r="B237" s="1" t="inlineStr">
        <is>
          <t>ไม้กอล์ฟ</t>
        </is>
      </c>
      <c r="C237" s="1" t="inlineStr">
        <is>
          <t>gf1230100633</t>
        </is>
      </c>
      <c r="D237" s="1" t="inlineStr">
        <is>
          <t>TITLEIST TSR2 (2023) Men's Hybrid</t>
        </is>
      </c>
      <c r="E237" s="1" t="inlineStr">
        <is>
          <t>TITLEIST</t>
        </is>
      </c>
      <c r="F237" s="1" t="inlineStr">
        <is>
          <t>UTILITY/HYBRID</t>
        </is>
      </c>
      <c r="G237" s="1" t="inlineStr">
        <is>
          <t>GF123010063318S</t>
        </is>
      </c>
      <c r="H237" s="1" t="n">
        <v>6</v>
      </c>
      <c r="I237" s="1" t="inlineStr">
        <is>
          <t>มี</t>
        </is>
      </c>
      <c r="J237" s="13" t="n">
        <v>379</v>
      </c>
      <c r="K237" s="1" t="inlineStr"/>
      <c r="L237" s="13" t="n">
        <v>279</v>
      </c>
      <c r="M237" s="1">
        <f>IF(L237="","ไม่พบใน SG",IF(ABS(J237-L237)&lt;0.005,"ตรงกัน","ไม่ตรง"))</f>
        <v/>
      </c>
      <c r="N237" s="14">
        <f>IF(L237="","",ROUND(L237*'สรุป'!$C$6,-1))</f>
        <v/>
      </c>
      <c r="O237" s="15" t="n"/>
      <c r="P237" s="15" t="n"/>
      <c r="Q237" s="10" t="n"/>
      <c r="R237" s="10" t="n"/>
      <c r="S237" s="16" t="inlineStr">
        <is>
          <t>https://mstgolf.co.th/products/gf1230100633</t>
        </is>
      </c>
      <c r="T237" s="1">
        <f>IF(B237="ไม้กอล์ฟ",J237,"")</f>
        <v/>
      </c>
    </row>
    <row r="238">
      <c r="A238" s="1" t="n">
        <v>1</v>
      </c>
      <c r="B238" s="1" t="inlineStr">
        <is>
          <t>ไม้กอล์ฟ</t>
        </is>
      </c>
      <c r="C238" s="1" t="inlineStr">
        <is>
          <t>gf1230100755</t>
        </is>
      </c>
      <c r="D238" s="1" t="inlineStr">
        <is>
          <t>YAMAHA Inpres DriveStar (2025) Men's Utility</t>
        </is>
      </c>
      <c r="E238" s="1" t="inlineStr">
        <is>
          <t>YAMAHA</t>
        </is>
      </c>
      <c r="F238" s="1" t="inlineStr">
        <is>
          <t>UTILITY/HYBRID</t>
        </is>
      </c>
      <c r="G238" s="1" t="inlineStr">
        <is>
          <t>GF1230100755#4SR</t>
        </is>
      </c>
      <c r="H238" s="1" t="n">
        <v>8</v>
      </c>
      <c r="I238" s="1" t="inlineStr">
        <is>
          <t>มี</t>
        </is>
      </c>
      <c r="J238" s="13" t="n">
        <v>379</v>
      </c>
      <c r="K238" s="1" t="inlineStr"/>
      <c r="L238" s="13" t="n">
        <v>249</v>
      </c>
      <c r="M238" s="1">
        <f>IF(L238="","ไม่พบใน SG",IF(ABS(J238-L238)&lt;0.005,"ตรงกัน","ไม่ตรง"))</f>
        <v/>
      </c>
      <c r="N238" s="14">
        <f>IF(L238="","",ROUND(L238*'สรุป'!$C$6,-1))</f>
        <v/>
      </c>
      <c r="O238" s="15" t="n"/>
      <c r="P238" s="15" t="n"/>
      <c r="Q238" s="10" t="n"/>
      <c r="R238" s="10" t="n"/>
      <c r="S238" s="16" t="inlineStr">
        <is>
          <t>https://mstgolf.co.th/products/gf1230100755</t>
        </is>
      </c>
      <c r="T238" s="1">
        <f>IF(B238="ไม้กอล์ฟ",J238,"")</f>
        <v/>
      </c>
    </row>
    <row r="239">
      <c r="A239" s="1" t="n">
        <v>1</v>
      </c>
      <c r="B239" s="1" t="inlineStr">
        <is>
          <t>ไม้กอล์ฟ</t>
        </is>
      </c>
      <c r="C239" s="1" t="inlineStr">
        <is>
          <t>gf1230100874</t>
        </is>
      </c>
      <c r="D239" s="1" t="inlineStr">
        <is>
          <t>YAMAHA RMX DD (2026) Men's Utility</t>
        </is>
      </c>
      <c r="E239" s="1" t="inlineStr">
        <is>
          <t>YAMAHA</t>
        </is>
      </c>
      <c r="F239" s="1" t="inlineStr">
        <is>
          <t>UTILITY/HYBRID</t>
        </is>
      </c>
      <c r="G239" s="1" t="inlineStr">
        <is>
          <t>GF1230100874#3R</t>
        </is>
      </c>
      <c r="H239" s="1" t="n">
        <v>6</v>
      </c>
      <c r="I239" s="1" t="inlineStr">
        <is>
          <t>มี</t>
        </is>
      </c>
      <c r="J239" s="13" t="n">
        <v>379</v>
      </c>
      <c r="K239" s="1" t="inlineStr"/>
      <c r="L239" s="13" t="n">
        <v>199</v>
      </c>
      <c r="M239" s="1">
        <f>IF(L239="","ไม่พบใน SG",IF(ABS(J239-L239)&lt;0.005,"ตรงกัน","ไม่ตรง"))</f>
        <v/>
      </c>
      <c r="N239" s="14">
        <f>IF(L239="","",ROUND(L239*'สรุป'!$C$6,-1))</f>
        <v/>
      </c>
      <c r="O239" s="15" t="n"/>
      <c r="P239" s="15" t="n"/>
      <c r="Q239" s="10" t="n"/>
      <c r="R239" s="10" t="n"/>
      <c r="S239" s="16" t="inlineStr">
        <is>
          <t>https://mstgolf.co.th/products/gf1230100874</t>
        </is>
      </c>
      <c r="T239" s="1">
        <f>IF(B239="ไม้กอล์ฟ",J239,"")</f>
        <v/>
      </c>
    </row>
    <row r="240">
      <c r="A240" s="1" t="n">
        <v>1</v>
      </c>
      <c r="B240" s="1" t="inlineStr">
        <is>
          <t>ไม้กอล์ฟ</t>
        </is>
      </c>
      <c r="C240" s="1" t="inlineStr">
        <is>
          <t>gf1220100367</t>
        </is>
      </c>
      <c r="D240" s="1" t="inlineStr">
        <is>
          <t>YAMAHA Inpres UD+2 (2021) Women's Fairway</t>
        </is>
      </c>
      <c r="E240" s="1" t="inlineStr">
        <is>
          <t>YAMAHA</t>
        </is>
      </c>
      <c r="F240" s="1" t="inlineStr">
        <is>
          <t>FAIRWAY WOOD</t>
        </is>
      </c>
      <c r="G240" s="1" t="inlineStr">
        <is>
          <t>GF1220100367#4L</t>
        </is>
      </c>
      <c r="H240" s="1" t="n">
        <v>3</v>
      </c>
      <c r="I240" s="1" t="inlineStr">
        <is>
          <t>มี</t>
        </is>
      </c>
      <c r="J240" s="13" t="n">
        <v>375</v>
      </c>
      <c r="K240" s="1" t="inlineStr"/>
      <c r="L240" s="13" t="n">
        <v>375</v>
      </c>
      <c r="M240" s="1">
        <f>IF(L240="","ไม่พบใน SG",IF(ABS(J240-L240)&lt;0.005,"ตรงกัน","ไม่ตรง"))</f>
        <v/>
      </c>
      <c r="N240" s="14">
        <f>IF(L240="","",ROUND(L240*'สรุป'!$C$6,-1))</f>
        <v/>
      </c>
      <c r="O240" s="15" t="n"/>
      <c r="P240" s="15" t="n"/>
      <c r="Q240" s="10" t="n"/>
      <c r="R240" s="10" t="n"/>
      <c r="S240" s="16" t="inlineStr">
        <is>
          <t>https://mstgolf.co.th/products/gf1220100367</t>
        </is>
      </c>
      <c r="T240" s="1">
        <f>IF(B240="ไม้กอล์ฟ",J240,"")</f>
        <v/>
      </c>
    </row>
    <row r="241">
      <c r="A241" s="1" t="n">
        <v>1</v>
      </c>
      <c r="B241" s="1" t="inlineStr">
        <is>
          <t>ไม้กอล์ฟ</t>
        </is>
      </c>
      <c r="C241" s="1" t="inlineStr">
        <is>
          <t>gf1240101049</t>
        </is>
      </c>
      <c r="D241" s="1" t="inlineStr">
        <is>
          <t>TAYLORMADE Spider GTX #3 Short Slant Black (2023) Men's Putter</t>
        </is>
      </c>
      <c r="E241" s="1" t="inlineStr">
        <is>
          <t>TAYLORMADE</t>
        </is>
      </c>
      <c r="F241" s="1" t="inlineStr">
        <is>
          <t>PUTTER</t>
        </is>
      </c>
      <c r="G241" s="1" t="inlineStr">
        <is>
          <t>GF124010105134</t>
        </is>
      </c>
      <c r="H241" s="1" t="n">
        <v>4</v>
      </c>
      <c r="I241" s="1" t="inlineStr">
        <is>
          <t>มี</t>
        </is>
      </c>
      <c r="J241" s="13" t="n">
        <v>369</v>
      </c>
      <c r="K241" s="1" t="inlineStr"/>
      <c r="L241" s="13" t="n"/>
      <c r="M241" s="1">
        <f>IF(L241="","ไม่พบใน SG",IF(ABS(J241-L241)&lt;0.005,"ตรงกัน","ไม่ตรง"))</f>
        <v/>
      </c>
      <c r="N241" s="14">
        <f>IF(L241="","",ROUND(L241*'สรุป'!$C$6,-1))</f>
        <v/>
      </c>
      <c r="O241" s="15" t="n"/>
      <c r="P241" s="15" t="n"/>
      <c r="Q241" s="10" t="n"/>
      <c r="R241" s="10" t="n"/>
      <c r="S241" s="16" t="inlineStr">
        <is>
          <t>https://mstgolf.co.th/products/gf1240101049</t>
        </is>
      </c>
      <c r="T241" s="1">
        <f>IF(B241="ไม้กอล์ฟ",J241,"")</f>
        <v/>
      </c>
    </row>
    <row r="242">
      <c r="A242" s="1" t="n">
        <v>1</v>
      </c>
      <c r="B242" s="1" t="inlineStr">
        <is>
          <t>ไม้กอล์ฟ</t>
        </is>
      </c>
      <c r="C242" s="1" t="inlineStr">
        <is>
          <t>gf1240101052</t>
        </is>
      </c>
      <c r="D242" s="1" t="inlineStr">
        <is>
          <t>TAYLORMADE Spider GTX #3 Short Slant Red (2023) Men's Putter</t>
        </is>
      </c>
      <c r="E242" s="1" t="inlineStr">
        <is>
          <t>TAYLORMADE</t>
        </is>
      </c>
      <c r="F242" s="1" t="inlineStr">
        <is>
          <t>PUTTER</t>
        </is>
      </c>
      <c r="G242" s="1" t="inlineStr">
        <is>
          <t>GF124010105234</t>
        </is>
      </c>
      <c r="H242" s="1" t="n">
        <v>3</v>
      </c>
      <c r="I242" s="1" t="inlineStr">
        <is>
          <t>มี</t>
        </is>
      </c>
      <c r="J242" s="13" t="n">
        <v>369</v>
      </c>
      <c r="K242" s="1" t="inlineStr"/>
      <c r="L242" s="13" t="n">
        <v>369</v>
      </c>
      <c r="M242" s="1">
        <f>IF(L242="","ไม่พบใน SG",IF(ABS(J242-L242)&lt;0.005,"ตรงกัน","ไม่ตรง"))</f>
        <v/>
      </c>
      <c r="N242" s="14">
        <f>IF(L242="","",ROUND(L242*'สรุป'!$C$6,-1))</f>
        <v/>
      </c>
      <c r="O242" s="15" t="n"/>
      <c r="P242" s="15" t="n"/>
      <c r="Q242" s="10" t="n"/>
      <c r="R242" s="10" t="n"/>
      <c r="S242" s="16" t="inlineStr">
        <is>
          <t>https://mstgolf.co.th/products/gf1240101052</t>
        </is>
      </c>
      <c r="T242" s="1">
        <f>IF(B242="ไม้กอล์ฟ",J242,"")</f>
        <v/>
      </c>
    </row>
    <row r="243">
      <c r="A243" s="1" t="n">
        <v>1</v>
      </c>
      <c r="B243" s="1" t="inlineStr">
        <is>
          <t>ไม้กอล์ฟ</t>
        </is>
      </c>
      <c r="C243" s="1" t="inlineStr">
        <is>
          <t>gf1240101055</t>
        </is>
      </c>
      <c r="D243" s="1" t="inlineStr">
        <is>
          <t>TAYLORMADE Spider GTX #3 Short Slant White (2023) Men's Putter</t>
        </is>
      </c>
      <c r="E243" s="1" t="inlineStr">
        <is>
          <t>TAYLORMADE</t>
        </is>
      </c>
      <c r="F243" s="1" t="inlineStr">
        <is>
          <t>PUTTER</t>
        </is>
      </c>
      <c r="G243" s="1" t="inlineStr">
        <is>
          <t>GF124010105533</t>
        </is>
      </c>
      <c r="H243" s="1" t="n">
        <v>3</v>
      </c>
      <c r="I243" s="1" t="inlineStr">
        <is>
          <t>มี</t>
        </is>
      </c>
      <c r="J243" s="13" t="n">
        <v>369</v>
      </c>
      <c r="K243" s="1" t="inlineStr"/>
      <c r="L243" s="13" t="n">
        <v>249</v>
      </c>
      <c r="M243" s="1">
        <f>IF(L243="","ไม่พบใน SG",IF(ABS(J243-L243)&lt;0.005,"ตรงกัน","ไม่ตรง"))</f>
        <v/>
      </c>
      <c r="N243" s="14">
        <f>IF(L243="","",ROUND(L243*'สรุป'!$C$6,-1))</f>
        <v/>
      </c>
      <c r="O243" s="15" t="n"/>
      <c r="P243" s="15" t="n"/>
      <c r="Q243" s="10" t="n"/>
      <c r="R243" s="10" t="n"/>
      <c r="S243" s="16" t="inlineStr">
        <is>
          <t>https://mstgolf.co.th/products/gf1240101055</t>
        </is>
      </c>
      <c r="T243" s="1">
        <f>IF(B243="ไม้กอล์ฟ",J243,"")</f>
        <v/>
      </c>
    </row>
    <row r="244">
      <c r="A244" s="1" t="n">
        <v>1</v>
      </c>
      <c r="B244" s="1" t="inlineStr">
        <is>
          <t>ไม้กอล์ฟ</t>
        </is>
      </c>
      <c r="C244" s="1" t="inlineStr">
        <is>
          <t>gf1220100864</t>
        </is>
      </c>
      <c r="D244" s="1" t="inlineStr">
        <is>
          <t>COBRA DS-ADAPT MAX (2025) Men's Fairway</t>
        </is>
      </c>
      <c r="E244" s="1" t="inlineStr">
        <is>
          <t>COBRA</t>
        </is>
      </c>
      <c r="F244" s="1" t="inlineStr">
        <is>
          <t>FAIRWAY WOOD</t>
        </is>
      </c>
      <c r="G244" s="1" t="inlineStr">
        <is>
          <t>GF1220100864#3S</t>
        </is>
      </c>
      <c r="H244" s="1" t="n">
        <v>4</v>
      </c>
      <c r="I244" s="1" t="inlineStr">
        <is>
          <t>มี</t>
        </is>
      </c>
      <c r="J244" s="13" t="n">
        <v>359</v>
      </c>
      <c r="K244" s="1" t="inlineStr"/>
      <c r="L244" s="13" t="n">
        <v>299</v>
      </c>
      <c r="M244" s="1">
        <f>IF(L244="","ไม่พบใน SG",IF(ABS(J244-L244)&lt;0.005,"ตรงกัน","ไม่ตรง"))</f>
        <v/>
      </c>
      <c r="N244" s="14">
        <f>IF(L244="","",ROUND(L244*'สรุป'!$C$6,-1))</f>
        <v/>
      </c>
      <c r="O244" s="15" t="n"/>
      <c r="P244" s="15" t="n"/>
      <c r="Q244" s="10" t="n"/>
      <c r="R244" s="10" t="n"/>
      <c r="S244" s="16" t="inlineStr">
        <is>
          <t>https://mstgolf.co.th/products/gf1220100864</t>
        </is>
      </c>
      <c r="T244" s="1">
        <f>IF(B244="ไม้กอล์ฟ",J244,"")</f>
        <v/>
      </c>
    </row>
    <row r="245">
      <c r="A245" s="1" t="n">
        <v>1</v>
      </c>
      <c r="B245" s="1" t="inlineStr">
        <is>
          <t>ไม้กอล์ฟ</t>
        </is>
      </c>
      <c r="C245" s="1" t="inlineStr">
        <is>
          <t>gf1220100863</t>
        </is>
      </c>
      <c r="D245" s="1" t="inlineStr">
        <is>
          <t>COBRA DS-ADAPT X (2025) Men's Fairway</t>
        </is>
      </c>
      <c r="E245" s="1" t="inlineStr">
        <is>
          <t>COBRA</t>
        </is>
      </c>
      <c r="F245" s="1" t="inlineStr">
        <is>
          <t>FAIRWAY WOOD</t>
        </is>
      </c>
      <c r="G245" s="1" t="inlineStr">
        <is>
          <t>GF1220100863#3S</t>
        </is>
      </c>
      <c r="H245" s="1" t="n">
        <v>4</v>
      </c>
      <c r="I245" s="1" t="inlineStr">
        <is>
          <t>มี</t>
        </is>
      </c>
      <c r="J245" s="13" t="n">
        <v>359</v>
      </c>
      <c r="K245" s="1" t="inlineStr"/>
      <c r="L245" s="13" t="n">
        <v>299</v>
      </c>
      <c r="M245" s="1">
        <f>IF(L245="","ไม่พบใน SG",IF(ABS(J245-L245)&lt;0.005,"ตรงกัน","ไม่ตรง"))</f>
        <v/>
      </c>
      <c r="N245" s="14">
        <f>IF(L245="","",ROUND(L245*'สรุป'!$C$6,-1))</f>
        <v/>
      </c>
      <c r="O245" s="15" t="n"/>
      <c r="P245" s="15" t="n"/>
      <c r="Q245" s="10" t="n"/>
      <c r="R245" s="10" t="n"/>
      <c r="S245" s="16" t="inlineStr">
        <is>
          <t>https://mstgolf.co.th/products/gf1220100863</t>
        </is>
      </c>
      <c r="T245" s="1">
        <f>IF(B245="ไม้กอล์ฟ",J245,"")</f>
        <v/>
      </c>
    </row>
    <row r="246">
      <c r="A246" s="1" t="n">
        <v>1</v>
      </c>
      <c r="B246" s="1" t="inlineStr">
        <is>
          <t>ไม้กอล์ฟ</t>
        </is>
      </c>
      <c r="C246" s="1" t="inlineStr">
        <is>
          <t>gf1220100619</t>
        </is>
      </c>
      <c r="D246" s="1" t="inlineStr">
        <is>
          <t>ONOFF ARMS LP423F Pink (2023) Women's Fairway</t>
        </is>
      </c>
      <c r="E246" s="1" t="inlineStr">
        <is>
          <t>ONOFF</t>
        </is>
      </c>
      <c r="F246" s="1" t="inlineStr">
        <is>
          <t>FAIRWAY WOOD</t>
        </is>
      </c>
      <c r="G246" s="1" t="inlineStr">
        <is>
          <t>GF1220100619#3L</t>
        </is>
      </c>
      <c r="H246" s="1" t="n">
        <v>2</v>
      </c>
      <c r="I246" s="1" t="inlineStr">
        <is>
          <t>มี</t>
        </is>
      </c>
      <c r="J246" s="13" t="n">
        <v>359</v>
      </c>
      <c r="K246" s="1" t="inlineStr"/>
      <c r="L246" s="13" t="n">
        <v>299</v>
      </c>
      <c r="M246" s="1">
        <f>IF(L246="","ไม่พบใน SG",IF(ABS(J246-L246)&lt;0.005,"ตรงกัน","ไม่ตรง"))</f>
        <v/>
      </c>
      <c r="N246" s="14">
        <f>IF(L246="","",ROUND(L246*'สรุป'!$C$6,-1))</f>
        <v/>
      </c>
      <c r="O246" s="15" t="n"/>
      <c r="P246" s="15" t="n"/>
      <c r="Q246" s="10" t="n"/>
      <c r="R246" s="10" t="n"/>
      <c r="S246" s="16" t="inlineStr">
        <is>
          <t>https://mstgolf.co.th/products/gf1220100619</t>
        </is>
      </c>
      <c r="T246" s="1">
        <f>IF(B246="ไม้กอล์ฟ",J246,"")</f>
        <v/>
      </c>
    </row>
    <row r="247">
      <c r="A247" s="1" t="n">
        <v>1</v>
      </c>
      <c r="B247" s="1" t="inlineStr">
        <is>
          <t>ไม้กอล์ฟ</t>
        </is>
      </c>
      <c r="C247" s="1" t="inlineStr">
        <is>
          <t>gf1220100617</t>
        </is>
      </c>
      <c r="D247" s="1" t="inlineStr">
        <is>
          <t>ONOFF ARMS LP423F Purple (2023) Women's Fairway</t>
        </is>
      </c>
      <c r="E247" s="1" t="inlineStr">
        <is>
          <t>ONOFF</t>
        </is>
      </c>
      <c r="F247" s="1" t="inlineStr">
        <is>
          <t>FAIRWAY WOOD</t>
        </is>
      </c>
      <c r="G247" s="1" t="inlineStr">
        <is>
          <t>GF1220100617#3L</t>
        </is>
      </c>
      <c r="H247" s="1" t="n">
        <v>3</v>
      </c>
      <c r="I247" s="1" t="inlineStr">
        <is>
          <t>มี</t>
        </is>
      </c>
      <c r="J247" s="13" t="n">
        <v>359</v>
      </c>
      <c r="K247" s="1" t="inlineStr"/>
      <c r="L247" s="13" t="n">
        <v>299</v>
      </c>
      <c r="M247" s="1">
        <f>IF(L247="","ไม่พบใน SG",IF(ABS(J247-L247)&lt;0.005,"ตรงกัน","ไม่ตรง"))</f>
        <v/>
      </c>
      <c r="N247" s="14">
        <f>IF(L247="","",ROUND(L247*'สรุป'!$C$6,-1))</f>
        <v/>
      </c>
      <c r="O247" s="15" t="n"/>
      <c r="P247" s="15" t="n"/>
      <c r="Q247" s="10" t="n"/>
      <c r="R247" s="10" t="n"/>
      <c r="S247" s="16" t="inlineStr">
        <is>
          <t>https://mstgolf.co.th/products/gf1220100617</t>
        </is>
      </c>
      <c r="T247" s="1">
        <f>IF(B247="ไม้กอล์ฟ",J247,"")</f>
        <v/>
      </c>
    </row>
    <row r="248">
      <c r="A248" s="1" t="n">
        <v>1</v>
      </c>
      <c r="B248" s="1" t="inlineStr">
        <is>
          <t>ไม้กอล์ฟ</t>
        </is>
      </c>
      <c r="C248" s="1" t="inlineStr">
        <is>
          <t>gf1220100618</t>
        </is>
      </c>
      <c r="D248" s="1" t="inlineStr">
        <is>
          <t>ONOFF ARMS LP423F White/Purple (2023) Women's Fairway</t>
        </is>
      </c>
      <c r="E248" s="1" t="inlineStr">
        <is>
          <t>ONOFF</t>
        </is>
      </c>
      <c r="F248" s="1" t="inlineStr">
        <is>
          <t>FAIRWAY WOOD</t>
        </is>
      </c>
      <c r="G248" s="1" t="inlineStr">
        <is>
          <t>GF1220100618#3L</t>
        </is>
      </c>
      <c r="H248" s="1" t="n">
        <v>2</v>
      </c>
      <c r="I248" s="1" t="inlineStr">
        <is>
          <t>มี</t>
        </is>
      </c>
      <c r="J248" s="13" t="n">
        <v>359</v>
      </c>
      <c r="K248" s="1" t="inlineStr"/>
      <c r="L248" s="13" t="n">
        <v>299</v>
      </c>
      <c r="M248" s="1">
        <f>IF(L248="","ไม่พบใน SG",IF(ABS(J248-L248)&lt;0.005,"ตรงกัน","ไม่ตรง"))</f>
        <v/>
      </c>
      <c r="N248" s="14">
        <f>IF(L248="","",ROUND(L248*'สรุป'!$C$6,-1))</f>
        <v/>
      </c>
      <c r="O248" s="15" t="n"/>
      <c r="P248" s="15" t="n"/>
      <c r="Q248" s="10" t="n"/>
      <c r="R248" s="10" t="n"/>
      <c r="S248" s="16" t="inlineStr">
        <is>
          <t>https://mstgolf.co.th/products/gf1220100618</t>
        </is>
      </c>
      <c r="T248" s="1">
        <f>IF(B248="ไม้กอล์ฟ",J248,"")</f>
        <v/>
      </c>
    </row>
    <row r="249">
      <c r="A249" s="1" t="n">
        <v>1</v>
      </c>
      <c r="B249" s="1" t="inlineStr">
        <is>
          <t>ไม้กอล์ฟ</t>
        </is>
      </c>
      <c r="C249" s="1" t="inlineStr">
        <is>
          <t>gf1220100747</t>
        </is>
      </c>
      <c r="D249" s="1" t="inlineStr">
        <is>
          <t>ONOFF Arms AKA (2024) Men's Fairway</t>
        </is>
      </c>
      <c r="E249" s="1" t="inlineStr">
        <is>
          <t>ONOFF</t>
        </is>
      </c>
      <c r="F249" s="1" t="inlineStr">
        <is>
          <t>FAIRWAY WOOD</t>
        </is>
      </c>
      <c r="G249" s="1" t="inlineStr">
        <is>
          <t>GF1220100747#3S</t>
        </is>
      </c>
      <c r="H249" s="1" t="n">
        <v>7</v>
      </c>
      <c r="I249" s="1" t="inlineStr">
        <is>
          <t>มี</t>
        </is>
      </c>
      <c r="J249" s="13" t="n">
        <v>359</v>
      </c>
      <c r="K249" s="1" t="inlineStr"/>
      <c r="L249" s="13" t="n">
        <v>359</v>
      </c>
      <c r="M249" s="1">
        <f>IF(L249="","ไม่พบใน SG",IF(ABS(J249-L249)&lt;0.005,"ตรงกัน","ไม่ตรง"))</f>
        <v/>
      </c>
      <c r="N249" s="14">
        <f>IF(L249="","",ROUND(L249*'สรุป'!$C$6,-1))</f>
        <v/>
      </c>
      <c r="O249" s="15" t="n"/>
      <c r="P249" s="15" t="n"/>
      <c r="Q249" s="10" t="n"/>
      <c r="R249" s="10" t="n"/>
      <c r="S249" s="16" t="inlineStr">
        <is>
          <t>https://mstgolf.co.th/products/gf1220100747</t>
        </is>
      </c>
      <c r="T249" s="1">
        <f>IF(B249="ไม้กอล์ฟ",J249,"")</f>
        <v/>
      </c>
    </row>
    <row r="250">
      <c r="A250" s="1" t="n">
        <v>1</v>
      </c>
      <c r="B250" s="1" t="inlineStr">
        <is>
          <t>ไม้กอล์ฟ</t>
        </is>
      </c>
      <c r="C250" s="1" t="inlineStr">
        <is>
          <t>gf1220100581</t>
        </is>
      </c>
      <c r="D250" s="1" t="inlineStr">
        <is>
          <t>YAMAHA Inpres DriveStar (2023) Women's Fairway</t>
        </is>
      </c>
      <c r="E250" s="1" t="inlineStr">
        <is>
          <t>YAMAHA</t>
        </is>
      </c>
      <c r="F250" s="1" t="inlineStr">
        <is>
          <t>FAIRWAY WOOD</t>
        </is>
      </c>
      <c r="G250" s="1" t="inlineStr">
        <is>
          <t>GF1220100581#4L</t>
        </is>
      </c>
      <c r="H250" s="1" t="n">
        <v>3</v>
      </c>
      <c r="I250" s="1" t="inlineStr">
        <is>
          <t>มี</t>
        </is>
      </c>
      <c r="J250" s="13" t="n">
        <v>359</v>
      </c>
      <c r="K250" s="1" t="inlineStr"/>
      <c r="L250" s="13" t="n">
        <v>259</v>
      </c>
      <c r="M250" s="1">
        <f>IF(L250="","ไม่พบใน SG",IF(ABS(J250-L250)&lt;0.005,"ตรงกัน","ไม่ตรง"))</f>
        <v/>
      </c>
      <c r="N250" s="14">
        <f>IF(L250="","",ROUND(L250*'สรุป'!$C$6,-1))</f>
        <v/>
      </c>
      <c r="O250" s="15" t="n"/>
      <c r="P250" s="15" t="n"/>
      <c r="Q250" s="10" t="n"/>
      <c r="R250" s="10" t="n"/>
      <c r="S250" s="16" t="inlineStr">
        <is>
          <t>https://mstgolf.co.th/products/gf1220100581</t>
        </is>
      </c>
      <c r="T250" s="1">
        <f>IF(B250="ไม้กอล์ฟ",J250,"")</f>
        <v/>
      </c>
    </row>
    <row r="251">
      <c r="A251" s="1" t="n">
        <v>1</v>
      </c>
      <c r="B251" s="1" t="inlineStr">
        <is>
          <t>ไม้กอล์ฟ</t>
        </is>
      </c>
      <c r="C251" s="1" t="inlineStr">
        <is>
          <t>gf1230100756</t>
        </is>
      </c>
      <c r="D251" s="1" t="inlineStr">
        <is>
          <t>YAMAHA Inpres DriveStar (2025) Women's Utility</t>
        </is>
      </c>
      <c r="E251" s="1" t="inlineStr">
        <is>
          <t>YAMAHA</t>
        </is>
      </c>
      <c r="F251" s="1" t="inlineStr">
        <is>
          <t>UTILITY/HYBRID</t>
        </is>
      </c>
      <c r="G251" s="1" t="inlineStr">
        <is>
          <t>GF1230100756#4L</t>
        </is>
      </c>
      <c r="H251" s="1" t="n">
        <v>4</v>
      </c>
      <c r="I251" s="1" t="inlineStr">
        <is>
          <t>มี</t>
        </is>
      </c>
      <c r="J251" s="13" t="n">
        <v>359</v>
      </c>
      <c r="K251" s="1" t="inlineStr"/>
      <c r="L251" s="13" t="n">
        <v>249</v>
      </c>
      <c r="M251" s="1">
        <f>IF(L251="","ไม่พบใน SG",IF(ABS(J251-L251)&lt;0.005,"ตรงกัน","ไม่ตรง"))</f>
        <v/>
      </c>
      <c r="N251" s="14">
        <f>IF(L251="","",ROUND(L251*'สรุป'!$C$6,-1))</f>
        <v/>
      </c>
      <c r="O251" s="15" t="n"/>
      <c r="P251" s="15" t="n"/>
      <c r="Q251" s="10" t="n"/>
      <c r="R251" s="10" t="n"/>
      <c r="S251" s="16" t="inlineStr">
        <is>
          <t>https://mstgolf.co.th/products/gf1230100756</t>
        </is>
      </c>
      <c r="T251" s="1">
        <f>IF(B251="ไม้กอล์ฟ",J251,"")</f>
        <v/>
      </c>
    </row>
    <row r="252">
      <c r="A252" s="1" t="n">
        <v>1</v>
      </c>
      <c r="B252" s="1" t="inlineStr">
        <is>
          <t>ไม้กอล์ฟ</t>
        </is>
      </c>
      <c r="C252" s="1" t="inlineStr">
        <is>
          <t>gf1230100659</t>
        </is>
      </c>
      <c r="D252" s="1" t="inlineStr">
        <is>
          <t>YAMAHA RMX VD (2024) Men's Utility Wood</t>
        </is>
      </c>
      <c r="E252" s="1" t="inlineStr">
        <is>
          <t>YAMAHA</t>
        </is>
      </c>
      <c r="F252" s="1" t="inlineStr">
        <is>
          <t>UTILITY/HYBRID</t>
        </is>
      </c>
      <c r="G252" s="1" t="inlineStr">
        <is>
          <t>GF1230100659#4S</t>
        </is>
      </c>
      <c r="H252" s="1" t="n">
        <v>7</v>
      </c>
      <c r="I252" s="1" t="inlineStr">
        <is>
          <t>มี</t>
        </is>
      </c>
      <c r="J252" s="13" t="n">
        <v>354</v>
      </c>
      <c r="K252" s="1" t="inlineStr"/>
      <c r="L252" s="13" t="n">
        <v>159</v>
      </c>
      <c r="M252" s="1">
        <f>IF(L252="","ไม่พบใน SG",IF(ABS(J252-L252)&lt;0.005,"ตรงกัน","ไม่ตรง"))</f>
        <v/>
      </c>
      <c r="N252" s="14">
        <f>IF(L252="","",ROUND(L252*'สรุป'!$C$6,-1))</f>
        <v/>
      </c>
      <c r="O252" s="15" t="n"/>
      <c r="P252" s="15" t="n"/>
      <c r="Q252" s="10" t="n"/>
      <c r="R252" s="10" t="n"/>
      <c r="S252" s="16" t="inlineStr">
        <is>
          <t>https://mstgolf.co.th/products/gf1230100659</t>
        </is>
      </c>
      <c r="T252" s="1">
        <f>IF(B252="ไม้กอล์ฟ",J252,"")</f>
        <v/>
      </c>
    </row>
    <row r="253">
      <c r="A253" s="1" t="n">
        <v>1</v>
      </c>
      <c r="B253" s="1" t="inlineStr">
        <is>
          <t>อุปกรณ์วัดระยะ/เทคโนโลยี</t>
        </is>
      </c>
      <c r="C253" s="1" t="inlineStr">
        <is>
          <t>gf3190200041</t>
        </is>
      </c>
      <c r="D253" s="1" t="inlineStr">
        <is>
          <t>BLUE TEES GOLF Ringer GPS Handheld (Black)</t>
        </is>
      </c>
      <c r="E253" s="1" t="inlineStr">
        <is>
          <t>BLUE TEES GOLF</t>
        </is>
      </c>
      <c r="F253" s="1" t="inlineStr">
        <is>
          <t>HANDHELD</t>
        </is>
      </c>
      <c r="G253" s="1" t="inlineStr">
        <is>
          <t>GF3190200041</t>
        </is>
      </c>
      <c r="H253" s="1" t="n">
        <v>1</v>
      </c>
      <c r="I253" s="1" t="inlineStr">
        <is>
          <t>มี</t>
        </is>
      </c>
      <c r="J253" s="13" t="n">
        <v>349</v>
      </c>
      <c r="K253" s="1" t="inlineStr"/>
      <c r="L253" s="13" t="n">
        <v>349</v>
      </c>
      <c r="M253" s="1">
        <f>IF(L253="","ไม่พบใน SG",IF(ABS(J253-L253)&lt;0.005,"ตรงกัน","ไม่ตรง"))</f>
        <v/>
      </c>
      <c r="N253" s="14">
        <f>IF(L253="","",ROUND(L253*'สรุป'!$C$6,-1))</f>
        <v/>
      </c>
      <c r="O253" s="15" t="n"/>
      <c r="P253" s="15" t="n"/>
      <c r="Q253" s="10" t="n"/>
      <c r="R253" s="10" t="n"/>
      <c r="S253" s="16" t="inlineStr">
        <is>
          <t>https://mstgolf.co.th/products/gf3190200041</t>
        </is>
      </c>
      <c r="T253" s="1">
        <f>IF(B253="ไม้กอล์ฟ",J253,"")</f>
        <v/>
      </c>
    </row>
    <row r="254">
      <c r="A254" s="1" t="n">
        <v>1</v>
      </c>
      <c r="B254" s="1" t="inlineStr">
        <is>
          <t>ไม้กอล์ฟ</t>
        </is>
      </c>
      <c r="C254" s="1" t="inlineStr">
        <is>
          <t>gf1220100734</t>
        </is>
      </c>
      <c r="D254" s="1" t="inlineStr">
        <is>
          <t>COBRA AIR-X Ultralight Women's Fairway</t>
        </is>
      </c>
      <c r="E254" s="1" t="inlineStr">
        <is>
          <t>COBRA</t>
        </is>
      </c>
      <c r="F254" s="1" t="inlineStr">
        <is>
          <t>FAIRWAY WOOD</t>
        </is>
      </c>
      <c r="G254" s="1" t="inlineStr">
        <is>
          <t>GF1220100734#3L</t>
        </is>
      </c>
      <c r="H254" s="1" t="n">
        <v>2</v>
      </c>
      <c r="I254" s="1" t="inlineStr">
        <is>
          <t>มี</t>
        </is>
      </c>
      <c r="J254" s="13" t="n">
        <v>349</v>
      </c>
      <c r="K254" s="1" t="inlineStr"/>
      <c r="L254" s="13" t="n">
        <v>349</v>
      </c>
      <c r="M254" s="1">
        <f>IF(L254="","ไม่พบใน SG",IF(ABS(J254-L254)&lt;0.005,"ตรงกัน","ไม่ตรง"))</f>
        <v/>
      </c>
      <c r="N254" s="14">
        <f>IF(L254="","",ROUND(L254*'สรุป'!$C$6,-1))</f>
        <v/>
      </c>
      <c r="O254" s="15" t="n"/>
      <c r="P254" s="15" t="n"/>
      <c r="Q254" s="10" t="n"/>
      <c r="R254" s="10" t="n"/>
      <c r="S254" s="16" t="inlineStr">
        <is>
          <t>https://mstgolf.co.th/products/gf1220100734</t>
        </is>
      </c>
      <c r="T254" s="1">
        <f>IF(B254="ไม้กอล์ฟ",J254,"")</f>
        <v/>
      </c>
    </row>
    <row r="255">
      <c r="A255" s="1" t="n">
        <v>1</v>
      </c>
      <c r="B255" s="1" t="inlineStr">
        <is>
          <t>ไม้กอล์ฟ</t>
        </is>
      </c>
      <c r="C255" s="1" t="inlineStr">
        <is>
          <t>gf1230100560</t>
        </is>
      </c>
      <c r="D255" s="1" t="inlineStr">
        <is>
          <t>MARUMAN SG M230 (2023) Men's Hybrid</t>
        </is>
      </c>
      <c r="E255" s="1" t="inlineStr">
        <is>
          <t>MARUMAN</t>
        </is>
      </c>
      <c r="F255" s="1" t="inlineStr">
        <is>
          <t>UTILITY/HYBRID</t>
        </is>
      </c>
      <c r="G255" s="1" t="inlineStr">
        <is>
          <t>GF1230100560#3SR</t>
        </is>
      </c>
      <c r="H255" s="1" t="n">
        <v>9</v>
      </c>
      <c r="I255" s="1" t="inlineStr">
        <is>
          <t>มี</t>
        </is>
      </c>
      <c r="J255" s="13" t="n">
        <v>349</v>
      </c>
      <c r="K255" s="1" t="inlineStr"/>
      <c r="L255" s="13" t="n">
        <v>349</v>
      </c>
      <c r="M255" s="1">
        <f>IF(L255="","ไม่พบใน SG",IF(ABS(J255-L255)&lt;0.005,"ตรงกัน","ไม่ตรง"))</f>
        <v/>
      </c>
      <c r="N255" s="14">
        <f>IF(L255="","",ROUND(L255*'สรุป'!$C$6,-1))</f>
        <v/>
      </c>
      <c r="O255" s="15" t="n"/>
      <c r="P255" s="15" t="n"/>
      <c r="Q255" s="10" t="n"/>
      <c r="R255" s="10" t="n"/>
      <c r="S255" s="16" t="inlineStr">
        <is>
          <t>https://mstgolf.co.th/products/gf1230100560</t>
        </is>
      </c>
      <c r="T255" s="1">
        <f>IF(B255="ไม้กอล์ฟ",J255,"")</f>
        <v/>
      </c>
    </row>
    <row r="256">
      <c r="A256" s="1" t="n">
        <v>1</v>
      </c>
      <c r="B256" s="1" t="inlineStr">
        <is>
          <t>ไม้กอล์ฟ</t>
        </is>
      </c>
      <c r="C256" s="1" t="inlineStr">
        <is>
          <t>gf1230100561</t>
        </is>
      </c>
      <c r="D256" s="1" t="inlineStr">
        <is>
          <t>MARUMAN SG M230 (2023) Women's Utility</t>
        </is>
      </c>
      <c r="E256" s="1" t="inlineStr">
        <is>
          <t>MARUMAN</t>
        </is>
      </c>
      <c r="F256" s="1" t="inlineStr">
        <is>
          <t>UTILITY/HYBRID</t>
        </is>
      </c>
      <c r="G256" s="1" t="inlineStr">
        <is>
          <t>GF1230100561#4L</t>
        </is>
      </c>
      <c r="H256" s="1" t="n">
        <v>2</v>
      </c>
      <c r="I256" s="1" t="inlineStr">
        <is>
          <t>มี</t>
        </is>
      </c>
      <c r="J256" s="13" t="n">
        <v>349</v>
      </c>
      <c r="K256" s="1" t="inlineStr"/>
      <c r="L256" s="13" t="n">
        <v>349</v>
      </c>
      <c r="M256" s="1">
        <f>IF(L256="","ไม่พบใน SG",IF(ABS(J256-L256)&lt;0.005,"ตรงกัน","ไม่ตรง"))</f>
        <v/>
      </c>
      <c r="N256" s="14">
        <f>IF(L256="","",ROUND(L256*'สรุป'!$C$6,-1))</f>
        <v/>
      </c>
      <c r="O256" s="15" t="n"/>
      <c r="P256" s="15" t="n"/>
      <c r="Q256" s="10" t="n"/>
      <c r="R256" s="10" t="n"/>
      <c r="S256" s="16" t="inlineStr">
        <is>
          <t>https://mstgolf.co.th/products/gf1230100561</t>
        </is>
      </c>
      <c r="T256" s="1">
        <f>IF(B256="ไม้กอล์ฟ",J256,"")</f>
        <v/>
      </c>
    </row>
    <row r="257">
      <c r="A257" s="1" t="n">
        <v>1</v>
      </c>
      <c r="B257" s="1" t="inlineStr">
        <is>
          <t>ไม้กอล์ฟ</t>
        </is>
      </c>
      <c r="C257" s="1" t="inlineStr">
        <is>
          <t>gf1230100876</t>
        </is>
      </c>
      <c r="D257" s="1" t="inlineStr">
        <is>
          <t>MIZUNO Pro Fli-Hi (2026) Men's Hybrid</t>
        </is>
      </c>
      <c r="E257" s="1" t="inlineStr">
        <is>
          <t>MIZUNO</t>
        </is>
      </c>
      <c r="F257" s="1" t="inlineStr">
        <is>
          <t>UTILITY/HYBRID</t>
        </is>
      </c>
      <c r="G257" s="1" t="inlineStr">
        <is>
          <t>GF1230100876#2S</t>
        </is>
      </c>
      <c r="H257" s="1" t="n">
        <v>3</v>
      </c>
      <c r="I257" s="1" t="inlineStr">
        <is>
          <t>มี</t>
        </is>
      </c>
      <c r="J257" s="13" t="n">
        <v>349</v>
      </c>
      <c r="K257" s="1" t="inlineStr"/>
      <c r="L257" s="13" t="n">
        <v>349</v>
      </c>
      <c r="M257" s="1">
        <f>IF(L257="","ไม่พบใน SG",IF(ABS(J257-L257)&lt;0.005,"ตรงกัน","ไม่ตรง"))</f>
        <v/>
      </c>
      <c r="N257" s="14">
        <f>IF(L257="","",ROUND(L257*'สรุป'!$C$6,-1))</f>
        <v/>
      </c>
      <c r="O257" s="15" t="n"/>
      <c r="P257" s="15" t="n"/>
      <c r="Q257" s="10" t="n"/>
      <c r="R257" s="10" t="n"/>
      <c r="S257" s="16" t="inlineStr">
        <is>
          <t>https://mstgolf.co.th/products/gf1230100876</t>
        </is>
      </c>
      <c r="T257" s="1">
        <f>IF(B257="ไม้กอล์ฟ",J257,"")</f>
        <v/>
      </c>
    </row>
    <row r="258">
      <c r="A258" s="1" t="n">
        <v>1</v>
      </c>
      <c r="B258" s="1" t="inlineStr">
        <is>
          <t>ไม้กอล์ฟ</t>
        </is>
      </c>
      <c r="C258" s="1" t="inlineStr">
        <is>
          <t>gf1240101301</t>
        </is>
      </c>
      <c r="D258" s="1" t="inlineStr">
        <is>
          <t>PING Fetch Chrome (2024) Men's Putter</t>
        </is>
      </c>
      <c r="E258" s="1" t="inlineStr">
        <is>
          <t>PING</t>
        </is>
      </c>
      <c r="F258" s="1" t="inlineStr">
        <is>
          <t>PUTTER</t>
        </is>
      </c>
      <c r="G258" s="1" t="inlineStr">
        <is>
          <t>GF124010130134</t>
        </is>
      </c>
      <c r="H258" s="1" t="n">
        <v>1</v>
      </c>
      <c r="I258" s="1" t="inlineStr">
        <is>
          <t>มี</t>
        </is>
      </c>
      <c r="J258" s="13" t="n">
        <v>349</v>
      </c>
      <c r="K258" s="1" t="inlineStr"/>
      <c r="L258" s="13" t="n">
        <v>349</v>
      </c>
      <c r="M258" s="1">
        <f>IF(L258="","ไม่พบใน SG",IF(ABS(J258-L258)&lt;0.005,"ตรงกัน","ไม่ตรง"))</f>
        <v/>
      </c>
      <c r="N258" s="14">
        <f>IF(L258="","",ROUND(L258*'สรุป'!$C$6,-1))</f>
        <v/>
      </c>
      <c r="O258" s="15" t="n"/>
      <c r="P258" s="15" t="n"/>
      <c r="Q258" s="10" t="n"/>
      <c r="R258" s="10" t="n"/>
      <c r="S258" s="16" t="inlineStr">
        <is>
          <t>https://mstgolf.co.th/products/gf1240101301</t>
        </is>
      </c>
      <c r="T258" s="1">
        <f>IF(B258="ไม้กอล์ฟ",J258,"")</f>
        <v/>
      </c>
    </row>
    <row r="259">
      <c r="A259" s="1" t="n">
        <v>1</v>
      </c>
      <c r="B259" s="1" t="inlineStr">
        <is>
          <t>ไม้กอล์ฟ</t>
        </is>
      </c>
      <c r="C259" s="1" t="inlineStr">
        <is>
          <t>gf1220100757</t>
        </is>
      </c>
      <c r="D259" s="1" t="inlineStr">
        <is>
          <t>TAYLORMADE Qi10 (2024) Men's Fairway</t>
        </is>
      </c>
      <c r="E259" s="1" t="inlineStr">
        <is>
          <t>TAYLORMADE</t>
        </is>
      </c>
      <c r="F259" s="1" t="inlineStr">
        <is>
          <t>FAIRWAY WOOD</t>
        </is>
      </c>
      <c r="G259" s="1" t="inlineStr">
        <is>
          <t>GF1220100758#3R</t>
        </is>
      </c>
      <c r="H259" s="1" t="n">
        <v>12</v>
      </c>
      <c r="I259" s="1" t="inlineStr">
        <is>
          <t>มี</t>
        </is>
      </c>
      <c r="J259" s="13" t="n">
        <v>349</v>
      </c>
      <c r="K259" s="1" t="inlineStr"/>
      <c r="L259" s="13" t="n">
        <v>349</v>
      </c>
      <c r="M259" s="1">
        <f>IF(L259="","ไม่พบใน SG",IF(ABS(J259-L259)&lt;0.005,"ตรงกัน","ไม่ตรง"))</f>
        <v/>
      </c>
      <c r="N259" s="14">
        <f>IF(L259="","",ROUND(L259*'สรุป'!$C$6,-1))</f>
        <v/>
      </c>
      <c r="O259" s="15" t="n"/>
      <c r="P259" s="15" t="n"/>
      <c r="Q259" s="10" t="n"/>
      <c r="R259" s="10" t="n"/>
      <c r="S259" s="16" t="inlineStr">
        <is>
          <t>https://mstgolf.co.th/products/gf1220100757</t>
        </is>
      </c>
      <c r="T259" s="1">
        <f>IF(B259="ไม้กอล์ฟ",J259,"")</f>
        <v/>
      </c>
    </row>
    <row r="260">
      <c r="A260" s="1" t="n">
        <v>1</v>
      </c>
      <c r="B260" s="1" t="inlineStr">
        <is>
          <t>ไม้กอล์ฟ</t>
        </is>
      </c>
      <c r="C260" s="1" t="inlineStr">
        <is>
          <t>gf1220100754</t>
        </is>
      </c>
      <c r="D260" s="1" t="inlineStr">
        <is>
          <t>TAYLORMADE Qi10 Max (2024) Men's Fairway</t>
        </is>
      </c>
      <c r="E260" s="1" t="inlineStr">
        <is>
          <t>TAYLORMADE</t>
        </is>
      </c>
      <c r="F260" s="1" t="inlineStr">
        <is>
          <t>FAIRWAY WOOD</t>
        </is>
      </c>
      <c r="G260" s="1" t="inlineStr">
        <is>
          <t>GF1220100755#3R</t>
        </is>
      </c>
      <c r="H260" s="1" t="n">
        <v>11</v>
      </c>
      <c r="I260" s="1" t="inlineStr">
        <is>
          <t>มี</t>
        </is>
      </c>
      <c r="J260" s="13" t="n">
        <v>349</v>
      </c>
      <c r="K260" s="1" t="inlineStr"/>
      <c r="L260" s="13" t="n">
        <v>349</v>
      </c>
      <c r="M260" s="1">
        <f>IF(L260="","ไม่พบใน SG",IF(ABS(J260-L260)&lt;0.005,"ตรงกัน","ไม่ตรง"))</f>
        <v/>
      </c>
      <c r="N260" s="14">
        <f>IF(L260="","",ROUND(L260*'สรุป'!$C$6,-1))</f>
        <v/>
      </c>
      <c r="O260" s="15" t="n"/>
      <c r="P260" s="15" t="n"/>
      <c r="Q260" s="10" t="n"/>
      <c r="R260" s="10" t="n"/>
      <c r="S260" s="16" t="inlineStr">
        <is>
          <t>https://mstgolf.co.th/products/gf1220100754</t>
        </is>
      </c>
      <c r="T260" s="1">
        <f>IF(B260="ไม้กอล์ฟ",J260,"")</f>
        <v/>
      </c>
    </row>
    <row r="261">
      <c r="A261" s="1" t="n">
        <v>1</v>
      </c>
      <c r="B261" s="1" t="inlineStr">
        <is>
          <t>ไม้กอล์ฟ</t>
        </is>
      </c>
      <c r="C261" s="1" t="inlineStr">
        <is>
          <t>gf1220100756</t>
        </is>
      </c>
      <c r="D261" s="1" t="inlineStr">
        <is>
          <t>TAYLORMADE Qi10 Max (2024) Women's Fairway</t>
        </is>
      </c>
      <c r="E261" s="1" t="inlineStr">
        <is>
          <t>TAYLORMADE</t>
        </is>
      </c>
      <c r="F261" s="1" t="inlineStr">
        <is>
          <t>FAIRWAY WOOD</t>
        </is>
      </c>
      <c r="G261" s="1" t="inlineStr">
        <is>
          <t>GF1220100756#3L</t>
        </is>
      </c>
      <c r="H261" s="1" t="n">
        <v>2</v>
      </c>
      <c r="I261" s="1" t="inlineStr">
        <is>
          <t>มี</t>
        </is>
      </c>
      <c r="J261" s="13" t="n">
        <v>349</v>
      </c>
      <c r="K261" s="1" t="inlineStr"/>
      <c r="L261" s="13" t="n">
        <v>349</v>
      </c>
      <c r="M261" s="1">
        <f>IF(L261="","ไม่พบใน SG",IF(ABS(J261-L261)&lt;0.005,"ตรงกัน","ไม่ตรง"))</f>
        <v/>
      </c>
      <c r="N261" s="14">
        <f>IF(L261="","",ROUND(L261*'สรุป'!$C$6,-1))</f>
        <v/>
      </c>
      <c r="O261" s="15" t="n"/>
      <c r="P261" s="15" t="n"/>
      <c r="Q261" s="10" t="n"/>
      <c r="R261" s="10" t="n"/>
      <c r="S261" s="16" t="inlineStr">
        <is>
          <t>https://mstgolf.co.th/products/gf1220100756</t>
        </is>
      </c>
      <c r="T261" s="1">
        <f>IF(B261="ไม้กอล์ฟ",J261,"")</f>
        <v/>
      </c>
    </row>
    <row r="262">
      <c r="A262" s="1" t="n">
        <v>1</v>
      </c>
      <c r="B262" s="1" t="inlineStr">
        <is>
          <t>ไม้กอล์ฟ</t>
        </is>
      </c>
      <c r="C262" s="1" t="inlineStr">
        <is>
          <t>gf1220100662</t>
        </is>
      </c>
      <c r="D262" s="1" t="inlineStr">
        <is>
          <t>MIZUNO ST-Z 230 (2023) Men's Fairway</t>
        </is>
      </c>
      <c r="E262" s="1" t="inlineStr">
        <is>
          <t>MIZUNO</t>
        </is>
      </c>
      <c r="F262" s="1" t="inlineStr">
        <is>
          <t>FAIRWAY WOOD</t>
        </is>
      </c>
      <c r="G262" s="1" t="inlineStr">
        <is>
          <t>GF1220100662#3S</t>
        </is>
      </c>
      <c r="H262" s="1" t="n">
        <v>4</v>
      </c>
      <c r="I262" s="1" t="inlineStr">
        <is>
          <t>มี</t>
        </is>
      </c>
      <c r="J262" s="13" t="n">
        <v>345</v>
      </c>
      <c r="K262" s="1" t="inlineStr"/>
      <c r="L262" s="13" t="n">
        <v>229</v>
      </c>
      <c r="M262" s="1">
        <f>IF(L262="","ไม่พบใน SG",IF(ABS(J262-L262)&lt;0.005,"ตรงกัน","ไม่ตรง"))</f>
        <v/>
      </c>
      <c r="N262" s="14">
        <f>IF(L262="","",ROUND(L262*'สรุป'!$C$6,-1))</f>
        <v/>
      </c>
      <c r="O262" s="15" t="n"/>
      <c r="P262" s="15" t="n"/>
      <c r="Q262" s="10" t="n"/>
      <c r="R262" s="10" t="n"/>
      <c r="S262" s="16" t="inlineStr">
        <is>
          <t>https://mstgolf.co.th/products/gf1220100662</t>
        </is>
      </c>
      <c r="T262" s="1">
        <f>IF(B262="ไม้กอล์ฟ",J262,"")</f>
        <v/>
      </c>
    </row>
    <row r="263">
      <c r="A263" s="1" t="n">
        <v>1</v>
      </c>
      <c r="B263" s="1" t="inlineStr">
        <is>
          <t>ไม้กอล์ฟ</t>
        </is>
      </c>
      <c r="C263" s="1" t="inlineStr">
        <is>
          <t>gf1240100872</t>
        </is>
      </c>
      <c r="D263" s="1" t="inlineStr">
        <is>
          <t>TAYLORMADE Spider GT Single Bend Silver/Black Men's Putter</t>
        </is>
      </c>
      <c r="E263" s="1" t="inlineStr">
        <is>
          <t>TAYLORMADE</t>
        </is>
      </c>
      <c r="F263" s="1" t="inlineStr">
        <is>
          <t>PUTTER</t>
        </is>
      </c>
      <c r="G263" s="1" t="inlineStr">
        <is>
          <t>GF124010087334</t>
        </is>
      </c>
      <c r="H263" s="1" t="n">
        <v>2</v>
      </c>
      <c r="I263" s="1" t="inlineStr">
        <is>
          <t>มี</t>
        </is>
      </c>
      <c r="J263" s="13" t="n">
        <v>329</v>
      </c>
      <c r="K263" s="1" t="inlineStr">
        <is>
          <t>ต่างกัน</t>
        </is>
      </c>
      <c r="L263" s="13" t="n">
        <v>249</v>
      </c>
      <c r="M263" s="1">
        <f>IF(L263="","ไม่พบใน SG",IF(ABS(J263-L263)&lt;0.005,"ตรงกัน","ไม่ตรง"))</f>
        <v/>
      </c>
      <c r="N263" s="14">
        <f>IF(L263="","",ROUND(L263*'สรุป'!$C$6,-1))</f>
        <v/>
      </c>
      <c r="O263" s="15" t="n"/>
      <c r="P263" s="15" t="n"/>
      <c r="Q263" s="10" t="n"/>
      <c r="R263" s="10" t="n"/>
      <c r="S263" s="16" t="inlineStr">
        <is>
          <t>https://mstgolf.co.th/products/gf1240100872</t>
        </is>
      </c>
      <c r="T263" s="1">
        <f>IF(B263="ไม้กอล์ฟ",J263,"")</f>
        <v/>
      </c>
    </row>
    <row r="264">
      <c r="A264" s="1" t="n">
        <v>1</v>
      </c>
      <c r="B264" s="1" t="inlineStr">
        <is>
          <t>ไม้กอล์ฟ</t>
        </is>
      </c>
      <c r="C264" s="1" t="inlineStr">
        <is>
          <t>gf1220100523</t>
        </is>
      </c>
      <c r="D264" s="1" t="inlineStr">
        <is>
          <t>ONOFF Arms AKA (2022) Men's Fairway</t>
        </is>
      </c>
      <c r="E264" s="1" t="inlineStr">
        <is>
          <t>ONOFF</t>
        </is>
      </c>
      <c r="F264" s="1" t="inlineStr">
        <is>
          <t>FAIRWAY WOOD</t>
        </is>
      </c>
      <c r="G264" s="1" t="inlineStr">
        <is>
          <t>GF1220100523#3S</t>
        </is>
      </c>
      <c r="H264" s="1" t="n">
        <v>7</v>
      </c>
      <c r="I264" s="1" t="inlineStr">
        <is>
          <t>มี</t>
        </is>
      </c>
      <c r="J264" s="13" t="n">
        <v>319</v>
      </c>
      <c r="K264" s="1" t="inlineStr"/>
      <c r="L264" s="13" t="n">
        <v>319</v>
      </c>
      <c r="M264" s="1">
        <f>IF(L264="","ไม่พบใน SG",IF(ABS(J264-L264)&lt;0.005,"ตรงกัน","ไม่ตรง"))</f>
        <v/>
      </c>
      <c r="N264" s="14">
        <f>IF(L264="","",ROUND(L264*'สรุป'!$C$6,-1))</f>
        <v/>
      </c>
      <c r="O264" s="15" t="n"/>
      <c r="P264" s="15" t="n"/>
      <c r="Q264" s="10" t="n"/>
      <c r="R264" s="10" t="n"/>
      <c r="S264" s="16" t="inlineStr">
        <is>
          <t>https://mstgolf.co.th/products/gf1220100523</t>
        </is>
      </c>
      <c r="T264" s="1">
        <f>IF(B264="ไม้กอล์ฟ",J264,"")</f>
        <v/>
      </c>
    </row>
    <row r="265">
      <c r="A265" s="1" t="n">
        <v>1</v>
      </c>
      <c r="B265" s="1" t="inlineStr">
        <is>
          <t>ไม้กอล์ฟ</t>
        </is>
      </c>
      <c r="C265" s="1" t="inlineStr">
        <is>
          <t>gf1230100556</t>
        </is>
      </c>
      <c r="D265" s="1" t="inlineStr">
        <is>
          <t>ONOFF WINGS LP423U Blue (2023) Women's Hybrid</t>
        </is>
      </c>
      <c r="E265" s="1" t="inlineStr">
        <is>
          <t>ONOFF</t>
        </is>
      </c>
      <c r="F265" s="1" t="inlineStr">
        <is>
          <t>UTILITY/HYBRID</t>
        </is>
      </c>
      <c r="G265" s="1" t="inlineStr">
        <is>
          <t>GF123010055621L</t>
        </is>
      </c>
      <c r="H265" s="1" t="n">
        <v>2</v>
      </c>
      <c r="I265" s="1" t="inlineStr">
        <is>
          <t>มี</t>
        </is>
      </c>
      <c r="J265" s="13" t="n">
        <v>319</v>
      </c>
      <c r="K265" s="1" t="inlineStr"/>
      <c r="L265" s="13" t="n">
        <v>249</v>
      </c>
      <c r="M265" s="1">
        <f>IF(L265="","ไม่พบใน SG",IF(ABS(J265-L265)&lt;0.005,"ตรงกัน","ไม่ตรง"))</f>
        <v/>
      </c>
      <c r="N265" s="14">
        <f>IF(L265="","",ROUND(L265*'สรุป'!$C$6,-1))</f>
        <v/>
      </c>
      <c r="O265" s="15" t="n"/>
      <c r="P265" s="15" t="n"/>
      <c r="Q265" s="10" t="n"/>
      <c r="R265" s="10" t="n"/>
      <c r="S265" s="16" t="inlineStr">
        <is>
          <t>https://mstgolf.co.th/products/gf1230100556</t>
        </is>
      </c>
      <c r="T265" s="1">
        <f>IF(B265="ไม้กอล์ฟ",J265,"")</f>
        <v/>
      </c>
    </row>
    <row r="266">
      <c r="A266" s="1" t="n">
        <v>1</v>
      </c>
      <c r="B266" s="1" t="inlineStr">
        <is>
          <t>ไม้กอล์ฟ</t>
        </is>
      </c>
      <c r="C266" s="1" t="inlineStr">
        <is>
          <t>gf1230100682</t>
        </is>
      </c>
      <c r="D266" s="1" t="inlineStr">
        <is>
          <t>ONOFF Wings AKA (2024) Men's Utility</t>
        </is>
      </c>
      <c r="E266" s="1" t="inlineStr">
        <is>
          <t>ONOFF</t>
        </is>
      </c>
      <c r="F266" s="1" t="inlineStr">
        <is>
          <t>UTILITY/HYBRID</t>
        </is>
      </c>
      <c r="G266" s="1" t="inlineStr">
        <is>
          <t>GF123010068218SR</t>
        </is>
      </c>
      <c r="H266" s="1" t="n">
        <v>9</v>
      </c>
      <c r="I266" s="1" t="inlineStr">
        <is>
          <t>มี</t>
        </is>
      </c>
      <c r="J266" s="13" t="n">
        <v>319</v>
      </c>
      <c r="K266" s="1" t="inlineStr"/>
      <c r="L266" s="13" t="n">
        <v>299</v>
      </c>
      <c r="M266" s="1">
        <f>IF(L266="","ไม่พบใน SG",IF(ABS(J266-L266)&lt;0.005,"ตรงกัน","ไม่ตรง"))</f>
        <v/>
      </c>
      <c r="N266" s="14">
        <f>IF(L266="","",ROUND(L266*'สรุป'!$C$6,-1))</f>
        <v/>
      </c>
      <c r="O266" s="15" t="n"/>
      <c r="P266" s="15" t="n"/>
      <c r="Q266" s="10" t="n"/>
      <c r="R266" s="10" t="n"/>
      <c r="S266" s="16" t="inlineStr">
        <is>
          <t>https://mstgolf.co.th/products/gf1230100682</t>
        </is>
      </c>
      <c r="T266" s="1">
        <f>IF(B266="ไม้กอล์ฟ",J266,"")</f>
        <v/>
      </c>
    </row>
    <row r="267">
      <c r="A267" s="1" t="n">
        <v>1</v>
      </c>
      <c r="B267" s="1" t="inlineStr">
        <is>
          <t>ไม้กอล์ฟ</t>
        </is>
      </c>
      <c r="C267" s="1" t="inlineStr">
        <is>
          <t>gf1270100632</t>
        </is>
      </c>
      <c r="D267" s="1" t="inlineStr">
        <is>
          <t>TAYLORMADE Milled Grind 5 Tiger Woods Grind (2025) Men's Wedge</t>
        </is>
      </c>
      <c r="E267" s="1" t="inlineStr">
        <is>
          <t>TAYLORMADE</t>
        </is>
      </c>
      <c r="F267" s="1" t="inlineStr">
        <is>
          <t>WEDGES</t>
        </is>
      </c>
      <c r="G267" s="1" t="inlineStr">
        <is>
          <t>GF127010063256</t>
        </is>
      </c>
      <c r="H267" s="1" t="n">
        <v>2</v>
      </c>
      <c r="I267" s="1" t="inlineStr">
        <is>
          <t>มี</t>
        </is>
      </c>
      <c r="J267" s="13" t="n">
        <v>319</v>
      </c>
      <c r="K267" s="1" t="inlineStr"/>
      <c r="L267" s="13" t="n">
        <v>319</v>
      </c>
      <c r="M267" s="1">
        <f>IF(L267="","ไม่พบใน SG",IF(ABS(J267-L267)&lt;0.005,"ตรงกัน","ไม่ตรง"))</f>
        <v/>
      </c>
      <c r="N267" s="14">
        <f>IF(L267="","",ROUND(L267*'สรุป'!$C$6,-1))</f>
        <v/>
      </c>
      <c r="O267" s="15" t="n"/>
      <c r="P267" s="15" t="n"/>
      <c r="Q267" s="10" t="n"/>
      <c r="R267" s="10" t="n"/>
      <c r="S267" s="16" t="inlineStr">
        <is>
          <t>https://mstgolf.co.th/products/gf1270100632</t>
        </is>
      </c>
      <c r="T267" s="1">
        <f>IF(B267="ไม้กอล์ฟ",J267,"")</f>
        <v/>
      </c>
    </row>
    <row r="268">
      <c r="A268" s="1" t="n">
        <v>1</v>
      </c>
      <c r="B268" s="1" t="inlineStr">
        <is>
          <t>ไม้กอล์ฟ</t>
        </is>
      </c>
      <c r="C268" s="1" t="inlineStr">
        <is>
          <t>gf1230100505</t>
        </is>
      </c>
      <c r="D268" s="1" t="inlineStr">
        <is>
          <t>TAYLORMADE Stealth DHY (2022) Men's Utility Iron</t>
        </is>
      </c>
      <c r="E268" s="1" t="inlineStr">
        <is>
          <t>TAYLORMADE</t>
        </is>
      </c>
      <c r="F268" s="1" t="inlineStr">
        <is>
          <t>UTILITY/HYBRID</t>
        </is>
      </c>
      <c r="G268" s="1" t="inlineStr">
        <is>
          <t>GF1230100505#2S</t>
        </is>
      </c>
      <c r="H268" s="1" t="n">
        <v>6</v>
      </c>
      <c r="I268" s="1" t="inlineStr">
        <is>
          <t>มี</t>
        </is>
      </c>
      <c r="J268" s="13" t="n">
        <v>319</v>
      </c>
      <c r="K268" s="1" t="inlineStr"/>
      <c r="L268" s="13" t="n"/>
      <c r="M268" s="1">
        <f>IF(L268="","ไม่พบใน SG",IF(ABS(J268-L268)&lt;0.005,"ตรงกัน","ไม่ตรง"))</f>
        <v/>
      </c>
      <c r="N268" s="14">
        <f>IF(L268="","",ROUND(L268*'สรุป'!$C$6,-1))</f>
        <v/>
      </c>
      <c r="O268" s="15" t="n"/>
      <c r="P268" s="15" t="n"/>
      <c r="Q268" s="10" t="n"/>
      <c r="R268" s="10" t="n"/>
      <c r="S268" s="16" t="inlineStr">
        <is>
          <t>https://mstgolf.co.th/products/gf1230100505</t>
        </is>
      </c>
      <c r="T268" s="1">
        <f>IF(B268="ไม้กอล์ฟ",J268,"")</f>
        <v/>
      </c>
    </row>
    <row r="269">
      <c r="A269" s="1" t="n">
        <v>1</v>
      </c>
      <c r="B269" s="1" t="inlineStr">
        <is>
          <t>ไม้กอล์ฟ</t>
        </is>
      </c>
      <c r="C269" s="1" t="inlineStr">
        <is>
          <t>gf1230100504</t>
        </is>
      </c>
      <c r="D269" s="1" t="inlineStr">
        <is>
          <t>TAYLORMADE Stealth UDI (2022) Men's Utility Iron</t>
        </is>
      </c>
      <c r="E269" s="1" t="inlineStr">
        <is>
          <t>TAYLORMADE</t>
        </is>
      </c>
      <c r="F269" s="1" t="inlineStr">
        <is>
          <t>UTILITY/HYBRID</t>
        </is>
      </c>
      <c r="G269" s="1" t="inlineStr">
        <is>
          <t>GF1230100504#2S</t>
        </is>
      </c>
      <c r="H269" s="1" t="n">
        <v>2</v>
      </c>
      <c r="I269" s="1" t="inlineStr">
        <is>
          <t>มี</t>
        </is>
      </c>
      <c r="J269" s="13" t="n">
        <v>319</v>
      </c>
      <c r="K269" s="1" t="inlineStr"/>
      <c r="L269" s="13" t="n"/>
      <c r="M269" s="1">
        <f>IF(L269="","ไม่พบใน SG",IF(ABS(J269-L269)&lt;0.005,"ตรงกัน","ไม่ตรง"))</f>
        <v/>
      </c>
      <c r="N269" s="14">
        <f>IF(L269="","",ROUND(L269*'สรุป'!$C$6,-1))</f>
        <v/>
      </c>
      <c r="O269" s="15" t="n"/>
      <c r="P269" s="15" t="n"/>
      <c r="Q269" s="10" t="n"/>
      <c r="R269" s="10" t="n"/>
      <c r="S269" s="16" t="inlineStr">
        <is>
          <t>https://mstgolf.co.th/products/gf1230100504</t>
        </is>
      </c>
      <c r="T269" s="1">
        <f>IF(B269="ไม้กอล์ฟ",J269,"")</f>
        <v/>
      </c>
    </row>
    <row r="270">
      <c r="A270" s="1" t="n">
        <v>1</v>
      </c>
      <c r="B270" s="1" t="inlineStr">
        <is>
          <t>ไม้กอล์ฟ</t>
        </is>
      </c>
      <c r="C270" s="1" t="inlineStr">
        <is>
          <t>gf1240101229</t>
        </is>
      </c>
      <c r="D270" s="1" t="inlineStr">
        <is>
          <t>TAYLORMADE TP Black Ardmore #6 (2024) Men's Putter</t>
        </is>
      </c>
      <c r="E270" s="1" t="inlineStr">
        <is>
          <t>TAYLORMADE</t>
        </is>
      </c>
      <c r="F270" s="1" t="inlineStr">
        <is>
          <t>PUTTER</t>
        </is>
      </c>
      <c r="G270" s="1" t="inlineStr">
        <is>
          <t>GF124010122934</t>
        </is>
      </c>
      <c r="H270" s="1" t="n">
        <v>1</v>
      </c>
      <c r="I270" s="1" t="inlineStr">
        <is>
          <t>มี</t>
        </is>
      </c>
      <c r="J270" s="13" t="n">
        <v>309</v>
      </c>
      <c r="K270" s="1" t="inlineStr"/>
      <c r="L270" s="13" t="n">
        <v>249</v>
      </c>
      <c r="M270" s="1">
        <f>IF(L270="","ไม่พบใน SG",IF(ABS(J270-L270)&lt;0.005,"ตรงกัน","ไม่ตรง"))</f>
        <v/>
      </c>
      <c r="N270" s="14">
        <f>IF(L270="","",ROUND(L270*'สรุป'!$C$6,-1))</f>
        <v/>
      </c>
      <c r="O270" s="15" t="n"/>
      <c r="P270" s="15" t="n"/>
      <c r="Q270" s="10" t="n"/>
      <c r="R270" s="10" t="n"/>
      <c r="S270" s="16" t="inlineStr">
        <is>
          <t>https://mstgolf.co.th/products/gf1240101229</t>
        </is>
      </c>
      <c r="T270" s="1">
        <f>IF(B270="ไม้กอล์ฟ",J270,"")</f>
        <v/>
      </c>
    </row>
    <row r="271">
      <c r="A271" s="1" t="n">
        <v>1</v>
      </c>
      <c r="B271" s="1" t="inlineStr">
        <is>
          <t>ไม้กอล์ฟ</t>
        </is>
      </c>
      <c r="C271" s="1" t="inlineStr">
        <is>
          <t>gf1240101228</t>
        </is>
      </c>
      <c r="D271" s="1" t="inlineStr">
        <is>
          <t>TAYLORMADE TP Black Ardmore SB (2024) Men's Putter</t>
        </is>
      </c>
      <c r="E271" s="1" t="inlineStr">
        <is>
          <t>TAYLORMADE</t>
        </is>
      </c>
      <c r="F271" s="1" t="inlineStr">
        <is>
          <t>PUTTER</t>
        </is>
      </c>
      <c r="G271" s="1" t="inlineStr">
        <is>
          <t>GF124010122834</t>
        </is>
      </c>
      <c r="H271" s="1" t="n">
        <v>1</v>
      </c>
      <c r="I271" s="1" t="inlineStr">
        <is>
          <t>มี</t>
        </is>
      </c>
      <c r="J271" s="13" t="n">
        <v>309</v>
      </c>
      <c r="K271" s="1" t="inlineStr"/>
      <c r="L271" s="13" t="n">
        <v>249</v>
      </c>
      <c r="M271" s="1">
        <f>IF(L271="","ไม่พบใน SG",IF(ABS(J271-L271)&lt;0.005,"ตรงกัน","ไม่ตรง"))</f>
        <v/>
      </c>
      <c r="N271" s="14">
        <f>IF(L271="","",ROUND(L271*'สรุป'!$C$6,-1))</f>
        <v/>
      </c>
      <c r="O271" s="15" t="n"/>
      <c r="P271" s="15" t="n"/>
      <c r="Q271" s="10" t="n"/>
      <c r="R271" s="10" t="n"/>
      <c r="S271" s="16" t="inlineStr">
        <is>
          <t>https://mstgolf.co.th/products/gf1240101228</t>
        </is>
      </c>
      <c r="T271" s="1">
        <f>IF(B271="ไม้กอล์ฟ",J271,"")</f>
        <v/>
      </c>
    </row>
    <row r="272">
      <c r="A272" s="1" t="n">
        <v>1</v>
      </c>
      <c r="B272" s="1" t="inlineStr">
        <is>
          <t>อุปกรณ์วัดระยะ/เทคโนโลยี</t>
        </is>
      </c>
      <c r="C272" s="1" t="inlineStr">
        <is>
          <t>gf3190200057</t>
        </is>
      </c>
      <c r="D272" s="1" t="inlineStr">
        <is>
          <t>CADDYTALK Minion Laser Rangefinder</t>
        </is>
      </c>
      <c r="E272" s="1" t="inlineStr">
        <is>
          <t>CADDYTALK</t>
        </is>
      </c>
      <c r="F272" s="1" t="inlineStr">
        <is>
          <t>HANDHELD</t>
        </is>
      </c>
      <c r="G272" s="1" t="inlineStr">
        <is>
          <t>GF3190200057</t>
        </is>
      </c>
      <c r="H272" s="1" t="n">
        <v>1</v>
      </c>
      <c r="I272" s="1" t="inlineStr">
        <is>
          <t>มี</t>
        </is>
      </c>
      <c r="J272" s="13" t="n">
        <v>299</v>
      </c>
      <c r="K272" s="1" t="inlineStr"/>
      <c r="L272" s="13" t="n">
        <v>299</v>
      </c>
      <c r="M272" s="1">
        <f>IF(L272="","ไม่พบใน SG",IF(ABS(J272-L272)&lt;0.005,"ตรงกัน","ไม่ตรง"))</f>
        <v/>
      </c>
      <c r="N272" s="14">
        <f>IF(L272="","",ROUND(L272*'สรุป'!$C$6,-1))</f>
        <v/>
      </c>
      <c r="O272" s="15" t="n"/>
      <c r="P272" s="15" t="n"/>
      <c r="Q272" s="10" t="n"/>
      <c r="R272" s="10" t="n"/>
      <c r="S272" s="16" t="inlineStr">
        <is>
          <t>https://mstgolf.co.th/products/gf3190200057</t>
        </is>
      </c>
      <c r="T272" s="1">
        <f>IF(B272="ไม้กอล์ฟ",J272,"")</f>
        <v/>
      </c>
    </row>
    <row r="273">
      <c r="A273" s="1" t="n">
        <v>1</v>
      </c>
      <c r="B273" s="1" t="inlineStr">
        <is>
          <t>ไม้กอล์ฟ</t>
        </is>
      </c>
      <c r="C273" s="1" t="inlineStr">
        <is>
          <t>gf1220100603</t>
        </is>
      </c>
      <c r="D273" s="1" t="inlineStr">
        <is>
          <t>COBRA AeroJet Black (2023) Men's Fairway</t>
        </is>
      </c>
      <c r="E273" s="1" t="inlineStr">
        <is>
          <t>COBRA</t>
        </is>
      </c>
      <c r="F273" s="1" t="inlineStr">
        <is>
          <t>FAIRWAY WOOD</t>
        </is>
      </c>
      <c r="G273" s="1" t="inlineStr">
        <is>
          <t>GF1220100603#3SR</t>
        </is>
      </c>
      <c r="H273" s="1" t="n">
        <v>6</v>
      </c>
      <c r="I273" s="1" t="inlineStr">
        <is>
          <t>มี</t>
        </is>
      </c>
      <c r="J273" s="13" t="n">
        <v>299</v>
      </c>
      <c r="K273" s="1" t="inlineStr"/>
      <c r="L273" s="13" t="n">
        <v>299</v>
      </c>
      <c r="M273" s="1">
        <f>IF(L273="","ไม่พบใน SG",IF(ABS(J273-L273)&lt;0.005,"ตรงกัน","ไม่ตรง"))</f>
        <v/>
      </c>
      <c r="N273" s="14">
        <f>IF(L273="","",ROUND(L273*'สรุป'!$C$6,-1))</f>
        <v/>
      </c>
      <c r="O273" s="15" t="n"/>
      <c r="P273" s="15" t="n"/>
      <c r="Q273" s="10" t="n"/>
      <c r="R273" s="10" t="n"/>
      <c r="S273" s="16" t="inlineStr">
        <is>
          <t>https://mstgolf.co.th/products/gf1220100603</t>
        </is>
      </c>
      <c r="T273" s="1">
        <f>IF(B273="ไม้กอล์ฟ",J273,"")</f>
        <v/>
      </c>
    </row>
    <row r="274">
      <c r="A274" s="1" t="n">
        <v>1</v>
      </c>
      <c r="B274" s="1" t="inlineStr">
        <is>
          <t>ไม้กอล์ฟ</t>
        </is>
      </c>
      <c r="C274" s="1" t="inlineStr">
        <is>
          <t>gf1220100605</t>
        </is>
      </c>
      <c r="D274" s="1" t="inlineStr">
        <is>
          <t>COBRA AeroJet MAX Black (2023) Women's Fairway</t>
        </is>
      </c>
      <c r="E274" s="1" t="inlineStr">
        <is>
          <t>COBRA</t>
        </is>
      </c>
      <c r="F274" s="1" t="inlineStr">
        <is>
          <t>FAIRWAY WOOD</t>
        </is>
      </c>
      <c r="G274" s="1" t="inlineStr">
        <is>
          <t>GF1220100605#3L</t>
        </is>
      </c>
      <c r="H274" s="1" t="n">
        <v>2</v>
      </c>
      <c r="I274" s="1" t="inlineStr">
        <is>
          <t>มี</t>
        </is>
      </c>
      <c r="J274" s="13" t="n">
        <v>299</v>
      </c>
      <c r="K274" s="1" t="inlineStr"/>
      <c r="L274" s="13" t="n">
        <v>239</v>
      </c>
      <c r="M274" s="1">
        <f>IF(L274="","ไม่พบใน SG",IF(ABS(J274-L274)&lt;0.005,"ตรงกัน","ไม่ตรง"))</f>
        <v/>
      </c>
      <c r="N274" s="14">
        <f>IF(L274="","",ROUND(L274*'สรุป'!$C$6,-1))</f>
        <v/>
      </c>
      <c r="O274" s="15" t="n"/>
      <c r="P274" s="15" t="n"/>
      <c r="Q274" s="10" t="n"/>
      <c r="R274" s="10" t="n"/>
      <c r="S274" s="16" t="inlineStr">
        <is>
          <t>https://mstgolf.co.th/products/gf1220100605</t>
        </is>
      </c>
      <c r="T274" s="1">
        <f>IF(B274="ไม้กอล์ฟ",J274,"")</f>
        <v/>
      </c>
    </row>
    <row r="275">
      <c r="A275" s="1" t="n">
        <v>1</v>
      </c>
      <c r="B275" s="1" t="inlineStr">
        <is>
          <t>ไม้กอล์ฟ</t>
        </is>
      </c>
      <c r="C275" s="1" t="inlineStr">
        <is>
          <t>gf1220100732</t>
        </is>
      </c>
      <c r="D275" s="1" t="inlineStr">
        <is>
          <t>COBRA DARKSPEED MAX (2024) Women's Fairway</t>
        </is>
      </c>
      <c r="E275" s="1" t="inlineStr">
        <is>
          <t>COBRA</t>
        </is>
      </c>
      <c r="F275" s="1" t="inlineStr">
        <is>
          <t>FAIRWAY WOOD</t>
        </is>
      </c>
      <c r="G275" s="1" t="inlineStr">
        <is>
          <t>GF1220100732#3L</t>
        </is>
      </c>
      <c r="H275" s="1" t="n">
        <v>1</v>
      </c>
      <c r="I275" s="1" t="inlineStr">
        <is>
          <t>มี</t>
        </is>
      </c>
      <c r="J275" s="13" t="n">
        <v>299</v>
      </c>
      <c r="K275" s="1" t="inlineStr"/>
      <c r="L275" s="13" t="n">
        <v>239</v>
      </c>
      <c r="M275" s="1">
        <f>IF(L275="","ไม่พบใน SG",IF(ABS(J275-L275)&lt;0.005,"ตรงกัน","ไม่ตรง"))</f>
        <v/>
      </c>
      <c r="N275" s="14">
        <f>IF(L275="","",ROUND(L275*'สรุป'!$C$6,-1))</f>
        <v/>
      </c>
      <c r="O275" s="15" t="n"/>
      <c r="P275" s="15" t="n"/>
      <c r="Q275" s="10" t="n"/>
      <c r="R275" s="10" t="n"/>
      <c r="S275" s="16" t="inlineStr">
        <is>
          <t>https://mstgolf.co.th/products/gf1220100732</t>
        </is>
      </c>
      <c r="T275" s="1">
        <f>IF(B275="ไม้กอล์ฟ",J275,"")</f>
        <v/>
      </c>
    </row>
    <row r="276">
      <c r="A276" s="1" t="n">
        <v>1</v>
      </c>
      <c r="B276" s="1" t="inlineStr">
        <is>
          <t>ไม้กอล์ฟ</t>
        </is>
      </c>
      <c r="C276" s="1" t="inlineStr">
        <is>
          <t>gf1220100730</t>
        </is>
      </c>
      <c r="D276" s="1" t="inlineStr">
        <is>
          <t>COBRA DARKSPEED X (2024) Men's Fairway</t>
        </is>
      </c>
      <c r="E276" s="1" t="inlineStr">
        <is>
          <t>COBRA</t>
        </is>
      </c>
      <c r="F276" s="1" t="inlineStr">
        <is>
          <t>FAIRWAY WOOD</t>
        </is>
      </c>
      <c r="G276" s="1" t="inlineStr">
        <is>
          <t>GF1220100730#3S</t>
        </is>
      </c>
      <c r="H276" s="1" t="n">
        <v>4</v>
      </c>
      <c r="I276" s="1" t="inlineStr">
        <is>
          <t>มี</t>
        </is>
      </c>
      <c r="J276" s="13" t="n">
        <v>299</v>
      </c>
      <c r="K276" s="1" t="inlineStr"/>
      <c r="L276" s="13" t="n">
        <v>239</v>
      </c>
      <c r="M276" s="1">
        <f>IF(L276="","ไม่พบใน SG",IF(ABS(J276-L276)&lt;0.005,"ตรงกัน","ไม่ตรง"))</f>
        <v/>
      </c>
      <c r="N276" s="14">
        <f>IF(L276="","",ROUND(L276*'สรุป'!$C$6,-1))</f>
        <v/>
      </c>
      <c r="O276" s="15" t="n"/>
      <c r="P276" s="15" t="n"/>
      <c r="Q276" s="10" t="n"/>
      <c r="R276" s="10" t="n"/>
      <c r="S276" s="16" t="inlineStr">
        <is>
          <t>https://mstgolf.co.th/products/gf1220100730</t>
        </is>
      </c>
      <c r="T276" s="1">
        <f>IF(B276="ไม้กอล์ฟ",J276,"")</f>
        <v/>
      </c>
    </row>
    <row r="277">
      <c r="A277" s="1" t="n">
        <v>1</v>
      </c>
      <c r="B277" s="1" t="inlineStr">
        <is>
          <t>ไม้กอล์ฟ</t>
        </is>
      </c>
      <c r="C277" s="1" t="inlineStr">
        <is>
          <t>gf1230100588</t>
        </is>
      </c>
      <c r="D277" s="1" t="inlineStr">
        <is>
          <t>MIZUNO ST-Z 230 (2023) Men's Hybrid</t>
        </is>
      </c>
      <c r="E277" s="1" t="inlineStr">
        <is>
          <t>MIZUNO</t>
        </is>
      </c>
      <c r="F277" s="1" t="inlineStr">
        <is>
          <t>UTILITY/HYBRID</t>
        </is>
      </c>
      <c r="G277" s="1" t="inlineStr">
        <is>
          <t>GF1230100588#4S</t>
        </is>
      </c>
      <c r="H277" s="1" t="n">
        <v>3</v>
      </c>
      <c r="I277" s="1" t="inlineStr">
        <is>
          <t>มี</t>
        </is>
      </c>
      <c r="J277" s="13" t="n">
        <v>299</v>
      </c>
      <c r="K277" s="1" t="inlineStr"/>
      <c r="L277" s="13" t="n">
        <v>299</v>
      </c>
      <c r="M277" s="1">
        <f>IF(L277="","ไม่พบใน SG",IF(ABS(J277-L277)&lt;0.005,"ตรงกัน","ไม่ตรง"))</f>
        <v/>
      </c>
      <c r="N277" s="14">
        <f>IF(L277="","",ROUND(L277*'สรุป'!$C$6,-1))</f>
        <v/>
      </c>
      <c r="O277" s="15" t="n"/>
      <c r="P277" s="15" t="n"/>
      <c r="Q277" s="10" t="n"/>
      <c r="R277" s="10" t="n"/>
      <c r="S277" s="16" t="inlineStr">
        <is>
          <t>https://mstgolf.co.th/products/gf1230100588</t>
        </is>
      </c>
      <c r="T277" s="1">
        <f>IF(B277="ไม้กอล์ฟ",J277,"")</f>
        <v/>
      </c>
    </row>
    <row r="278">
      <c r="A278" s="1" t="n">
        <v>1</v>
      </c>
      <c r="B278" s="1" t="inlineStr">
        <is>
          <t>ไม้กอล์ฟ</t>
        </is>
      </c>
      <c r="C278" s="1" t="inlineStr">
        <is>
          <t>gf1270100631</t>
        </is>
      </c>
      <c r="D278" s="1" t="inlineStr">
        <is>
          <t>TAYLORMADE Milled Grind 5 Black Standard Bounce (2025) Men's Wedge</t>
        </is>
      </c>
      <c r="E278" s="1" t="inlineStr">
        <is>
          <t>TAYLORMADE</t>
        </is>
      </c>
      <c r="F278" s="1" t="inlineStr">
        <is>
          <t>WEDGES</t>
        </is>
      </c>
      <c r="G278" s="1" t="inlineStr">
        <is>
          <t>GF127010063150</t>
        </is>
      </c>
      <c r="H278" s="1" t="n">
        <v>6</v>
      </c>
      <c r="I278" s="1" t="inlineStr">
        <is>
          <t>มี</t>
        </is>
      </c>
      <c r="J278" s="13" t="n">
        <v>299</v>
      </c>
      <c r="K278" s="1" t="inlineStr"/>
      <c r="L278" s="13" t="n">
        <v>299</v>
      </c>
      <c r="M278" s="1">
        <f>IF(L278="","ไม่พบใน SG",IF(ABS(J278-L278)&lt;0.005,"ตรงกัน","ไม่ตรง"))</f>
        <v/>
      </c>
      <c r="N278" s="14">
        <f>IF(L278="","",ROUND(L278*'สรุป'!$C$6,-1))</f>
        <v/>
      </c>
      <c r="O278" s="15" t="n"/>
      <c r="P278" s="15" t="n"/>
      <c r="Q278" s="10" t="n"/>
      <c r="R278" s="10" t="n"/>
      <c r="S278" s="16" t="inlineStr">
        <is>
          <t>https://mstgolf.co.th/products/gf1270100631</t>
        </is>
      </c>
      <c r="T278" s="1">
        <f>IF(B278="ไม้กอล์ฟ",J278,"")</f>
        <v/>
      </c>
    </row>
    <row r="279">
      <c r="A279" s="1" t="n">
        <v>1</v>
      </c>
      <c r="B279" s="1" t="inlineStr">
        <is>
          <t>ไม้กอล์ฟ</t>
        </is>
      </c>
      <c r="C279" s="1" t="inlineStr">
        <is>
          <t>gf1270100629</t>
        </is>
      </c>
      <c r="D279" s="1" t="inlineStr">
        <is>
          <t>TAYLORMADE Milled Grind 5 Chrome High Bounce (2025) Men's Wedge</t>
        </is>
      </c>
      <c r="E279" s="1" t="inlineStr">
        <is>
          <t>TAYLORMADE</t>
        </is>
      </c>
      <c r="F279" s="1" t="inlineStr">
        <is>
          <t>WEDGES</t>
        </is>
      </c>
      <c r="G279" s="1" t="inlineStr">
        <is>
          <t>GF127010062954</t>
        </is>
      </c>
      <c r="H279" s="1" t="n">
        <v>4</v>
      </c>
      <c r="I279" s="1" t="inlineStr">
        <is>
          <t>มี</t>
        </is>
      </c>
      <c r="J279" s="13" t="n">
        <v>299</v>
      </c>
      <c r="K279" s="1" t="inlineStr"/>
      <c r="L279" s="13" t="n">
        <v>299</v>
      </c>
      <c r="M279" s="1">
        <f>IF(L279="","ไม่พบใน SG",IF(ABS(J279-L279)&lt;0.005,"ตรงกัน","ไม่ตรง"))</f>
        <v/>
      </c>
      <c r="N279" s="14">
        <f>IF(L279="","",ROUND(L279*'สรุป'!$C$6,-1))</f>
        <v/>
      </c>
      <c r="O279" s="15" t="n"/>
      <c r="P279" s="15" t="n"/>
      <c r="Q279" s="10" t="n"/>
      <c r="R279" s="10" t="n"/>
      <c r="S279" s="16" t="inlineStr">
        <is>
          <t>https://mstgolf.co.th/products/gf1270100629</t>
        </is>
      </c>
      <c r="T279" s="1">
        <f>IF(B279="ไม้กอล์ฟ",J279,"")</f>
        <v/>
      </c>
    </row>
    <row r="280">
      <c r="A280" s="1" t="n">
        <v>1</v>
      </c>
      <c r="B280" s="1" t="inlineStr">
        <is>
          <t>ไม้กอล์ฟ</t>
        </is>
      </c>
      <c r="C280" s="1" t="inlineStr">
        <is>
          <t>gf1270100628</t>
        </is>
      </c>
      <c r="D280" s="1" t="inlineStr">
        <is>
          <t>TAYLORMADE Milled Grind 5 Chrome Low Bounce (2025) Men's Wedge</t>
        </is>
      </c>
      <c r="E280" s="1" t="inlineStr">
        <is>
          <t>TAYLORMADE</t>
        </is>
      </c>
      <c r="F280" s="1" t="inlineStr">
        <is>
          <t>WEDGES</t>
        </is>
      </c>
      <c r="G280" s="1" t="inlineStr">
        <is>
          <t>GF127010062856</t>
        </is>
      </c>
      <c r="H280" s="1" t="n">
        <v>3</v>
      </c>
      <c r="I280" s="1" t="inlineStr">
        <is>
          <t>มี</t>
        </is>
      </c>
      <c r="J280" s="13" t="n">
        <v>299</v>
      </c>
      <c r="K280" s="1" t="inlineStr"/>
      <c r="L280" s="13" t="n">
        <v>299</v>
      </c>
      <c r="M280" s="1">
        <f>IF(L280="","ไม่พบใน SG",IF(ABS(J280-L280)&lt;0.005,"ตรงกัน","ไม่ตรง"))</f>
        <v/>
      </c>
      <c r="N280" s="14">
        <f>IF(L280="","",ROUND(L280*'สรุป'!$C$6,-1))</f>
        <v/>
      </c>
      <c r="O280" s="15" t="n"/>
      <c r="P280" s="15" t="n"/>
      <c r="Q280" s="10" t="n"/>
      <c r="R280" s="10" t="n"/>
      <c r="S280" s="16" t="inlineStr">
        <is>
          <t>https://mstgolf.co.th/products/gf1270100628</t>
        </is>
      </c>
      <c r="T280" s="1">
        <f>IF(B280="ไม้กอล์ฟ",J280,"")</f>
        <v/>
      </c>
    </row>
    <row r="281">
      <c r="A281" s="1" t="n">
        <v>1</v>
      </c>
      <c r="B281" s="1" t="inlineStr">
        <is>
          <t>ไม้กอล์ฟ</t>
        </is>
      </c>
      <c r="C281" s="1" t="inlineStr">
        <is>
          <t>gf1270100627</t>
        </is>
      </c>
      <c r="D281" s="1" t="inlineStr">
        <is>
          <t>TAYLORMADE Milled Grind 5 Chrome Standard Bounce (2025) Men's Wedge</t>
        </is>
      </c>
      <c r="E281" s="1" t="inlineStr">
        <is>
          <t>TAYLORMADE</t>
        </is>
      </c>
      <c r="F281" s="1" t="inlineStr">
        <is>
          <t>WEDGES</t>
        </is>
      </c>
      <c r="G281" s="1" t="inlineStr">
        <is>
          <t>GF127010062750</t>
        </is>
      </c>
      <c r="H281" s="1" t="n">
        <v>6</v>
      </c>
      <c r="I281" s="1" t="inlineStr">
        <is>
          <t>มี</t>
        </is>
      </c>
      <c r="J281" s="13" t="n">
        <v>299</v>
      </c>
      <c r="K281" s="1" t="inlineStr"/>
      <c r="L281" s="13" t="n"/>
      <c r="M281" s="1">
        <f>IF(L281="","ไม่พบใน SG",IF(ABS(J281-L281)&lt;0.005,"ตรงกัน","ไม่ตรง"))</f>
        <v/>
      </c>
      <c r="N281" s="14">
        <f>IF(L281="","",ROUND(L281*'สรุป'!$C$6,-1))</f>
        <v/>
      </c>
      <c r="O281" s="15" t="n"/>
      <c r="P281" s="15" t="n"/>
      <c r="Q281" s="10" t="n"/>
      <c r="R281" s="10" t="n"/>
      <c r="S281" s="16" t="inlineStr">
        <is>
          <t>https://mstgolf.co.th/products/gf1270100627</t>
        </is>
      </c>
      <c r="T281" s="1">
        <f>IF(B281="ไม้กอล์ฟ",J281,"")</f>
        <v/>
      </c>
    </row>
    <row r="282">
      <c r="A282" s="1" t="n">
        <v>1</v>
      </c>
      <c r="B282" s="1" t="inlineStr">
        <is>
          <t>ไม้กอล์ฟ</t>
        </is>
      </c>
      <c r="C282" s="1" t="inlineStr">
        <is>
          <t>gf1270100641</t>
        </is>
      </c>
      <c r="D282" s="1" t="inlineStr">
        <is>
          <t>TAYLORMADE Milled Grind 5 Proto SB (2025) Men's Wedge</t>
        </is>
      </c>
      <c r="E282" s="1" t="inlineStr">
        <is>
          <t>TAYLORMADE</t>
        </is>
      </c>
      <c r="F282" s="1" t="inlineStr">
        <is>
          <t>WEDGES</t>
        </is>
      </c>
      <c r="G282" s="1" t="inlineStr">
        <is>
          <t>GF127010064156</t>
        </is>
      </c>
      <c r="H282" s="1" t="n">
        <v>2</v>
      </c>
      <c r="I282" s="1" t="inlineStr">
        <is>
          <t>มี</t>
        </is>
      </c>
      <c r="J282" s="13" t="n">
        <v>299</v>
      </c>
      <c r="K282" s="1" t="inlineStr"/>
      <c r="L282" s="13" t="n">
        <v>299</v>
      </c>
      <c r="M282" s="1">
        <f>IF(L282="","ไม่พบใน SG",IF(ABS(J282-L282)&lt;0.005,"ตรงกัน","ไม่ตรง"))</f>
        <v/>
      </c>
      <c r="N282" s="14">
        <f>IF(L282="","",ROUND(L282*'สรุป'!$C$6,-1))</f>
        <v/>
      </c>
      <c r="O282" s="15" t="n"/>
      <c r="P282" s="15" t="n"/>
      <c r="Q282" s="10" t="n"/>
      <c r="R282" s="10" t="n"/>
      <c r="S282" s="16" t="inlineStr">
        <is>
          <t>https://mstgolf.co.th/products/gf1270100641</t>
        </is>
      </c>
      <c r="T282" s="1">
        <f>IF(B282="ไม้กอล์ฟ",J282,"")</f>
        <v/>
      </c>
    </row>
    <row r="283">
      <c r="A283" s="1" t="n">
        <v>1</v>
      </c>
      <c r="B283" s="1" t="inlineStr">
        <is>
          <t>ไม้กอล์ฟ</t>
        </is>
      </c>
      <c r="C283" s="1" t="inlineStr">
        <is>
          <t>gf1230100696</t>
        </is>
      </c>
      <c r="D283" s="1" t="inlineStr">
        <is>
          <t>TAYLORMADE Qi10 (2024) Men's Rescue</t>
        </is>
      </c>
      <c r="E283" s="1" t="inlineStr">
        <is>
          <t>TAYLORMADE</t>
        </is>
      </c>
      <c r="F283" s="1" t="inlineStr">
        <is>
          <t>UTILITY/HYBRID</t>
        </is>
      </c>
      <c r="G283" s="1" t="inlineStr">
        <is>
          <t>GF1230100696#3S</t>
        </is>
      </c>
      <c r="H283" s="1" t="n">
        <v>17</v>
      </c>
      <c r="I283" s="1" t="inlineStr">
        <is>
          <t>มี</t>
        </is>
      </c>
      <c r="J283" s="13" t="n">
        <v>299</v>
      </c>
      <c r="K283" s="1" t="inlineStr"/>
      <c r="L283" s="13" t="n">
        <v>299</v>
      </c>
      <c r="M283" s="1">
        <f>IF(L283="","ไม่พบใน SG",IF(ABS(J283-L283)&lt;0.005,"ตรงกัน","ไม่ตรง"))</f>
        <v/>
      </c>
      <c r="N283" s="14">
        <f>IF(L283="","",ROUND(L283*'สรุป'!$C$6,-1))</f>
        <v/>
      </c>
      <c r="O283" s="15" t="n"/>
      <c r="P283" s="15" t="n"/>
      <c r="Q283" s="10" t="n"/>
      <c r="R283" s="10" t="n"/>
      <c r="S283" s="16" t="inlineStr">
        <is>
          <t>https://mstgolf.co.th/products/gf1230100696</t>
        </is>
      </c>
      <c r="T283" s="1">
        <f>IF(B283="ไม้กอล์ฟ",J283,"")</f>
        <v/>
      </c>
    </row>
    <row r="284">
      <c r="A284" s="1" t="n">
        <v>1</v>
      </c>
      <c r="B284" s="1" t="inlineStr">
        <is>
          <t>ไม้กอล์ฟ</t>
        </is>
      </c>
      <c r="C284" s="1" t="inlineStr">
        <is>
          <t>gf1230100693</t>
        </is>
      </c>
      <c r="D284" s="1" t="inlineStr">
        <is>
          <t>TAYLORMADE Qi10 Max (2024) Men's Rescue</t>
        </is>
      </c>
      <c r="E284" s="1" t="inlineStr">
        <is>
          <t>TAYLORMADE</t>
        </is>
      </c>
      <c r="F284" s="1" t="inlineStr">
        <is>
          <t>UTILITY/HYBRID</t>
        </is>
      </c>
      <c r="G284" s="1" t="inlineStr">
        <is>
          <t>GF1230100694#3S</t>
        </is>
      </c>
      <c r="H284" s="1" t="n">
        <v>9</v>
      </c>
      <c r="I284" s="1" t="inlineStr">
        <is>
          <t>มี</t>
        </is>
      </c>
      <c r="J284" s="13" t="n">
        <v>299</v>
      </c>
      <c r="K284" s="1" t="inlineStr"/>
      <c r="L284" s="13" t="n">
        <v>299</v>
      </c>
      <c r="M284" s="1">
        <f>IF(L284="","ไม่พบใน SG",IF(ABS(J284-L284)&lt;0.005,"ตรงกัน","ไม่ตรง"))</f>
        <v/>
      </c>
      <c r="N284" s="14">
        <f>IF(L284="","",ROUND(L284*'สรุป'!$C$6,-1))</f>
        <v/>
      </c>
      <c r="O284" s="15" t="n"/>
      <c r="P284" s="15" t="n"/>
      <c r="Q284" s="10" t="n"/>
      <c r="R284" s="10" t="n"/>
      <c r="S284" s="16" t="inlineStr">
        <is>
          <t>https://mstgolf.co.th/products/gf1230100693</t>
        </is>
      </c>
      <c r="T284" s="1">
        <f>IF(B284="ไม้กอล์ฟ",J284,"")</f>
        <v/>
      </c>
    </row>
    <row r="285">
      <c r="A285" s="1" t="n">
        <v>1</v>
      </c>
      <c r="B285" s="1" t="inlineStr">
        <is>
          <t>ไม้กอล์ฟ</t>
        </is>
      </c>
      <c r="C285" s="1" t="inlineStr">
        <is>
          <t>gf1230100691</t>
        </is>
      </c>
      <c r="D285" s="1" t="inlineStr">
        <is>
          <t>TAYLORMADE Qi10 Tour (2024) Men's Rescue</t>
        </is>
      </c>
      <c r="E285" s="1" t="inlineStr">
        <is>
          <t>TAYLORMADE</t>
        </is>
      </c>
      <c r="F285" s="1" t="inlineStr">
        <is>
          <t>UTILITY/HYBRID</t>
        </is>
      </c>
      <c r="G285" s="1" t="inlineStr">
        <is>
          <t>GF1230100691#2S</t>
        </is>
      </c>
      <c r="H285" s="1" t="n">
        <v>9</v>
      </c>
      <c r="I285" s="1" t="inlineStr">
        <is>
          <t>มี</t>
        </is>
      </c>
      <c r="J285" s="13" t="n">
        <v>299</v>
      </c>
      <c r="K285" s="1" t="inlineStr"/>
      <c r="L285" s="13" t="n">
        <v>299</v>
      </c>
      <c r="M285" s="1">
        <f>IF(L285="","ไม่พบใน SG",IF(ABS(J285-L285)&lt;0.005,"ตรงกัน","ไม่ตรง"))</f>
        <v/>
      </c>
      <c r="N285" s="14">
        <f>IF(L285="","",ROUND(L285*'สรุป'!$C$6,-1))</f>
        <v/>
      </c>
      <c r="O285" s="15" t="n"/>
      <c r="P285" s="15" t="n"/>
      <c r="Q285" s="10" t="n"/>
      <c r="R285" s="10" t="n"/>
      <c r="S285" s="16" t="inlineStr">
        <is>
          <t>https://mstgolf.co.th/products/gf1230100691</t>
        </is>
      </c>
      <c r="T285" s="1">
        <f>IF(B285="ไม้กอล์ฟ",J285,"")</f>
        <v/>
      </c>
    </row>
    <row r="286">
      <c r="A286" s="1" t="n">
        <v>1</v>
      </c>
      <c r="B286" s="1" t="inlineStr">
        <is>
          <t>ไม้กอล์ฟ</t>
        </is>
      </c>
      <c r="C286" s="1" t="inlineStr">
        <is>
          <t>gf1230100796</t>
        </is>
      </c>
      <c r="D286" s="1" t="inlineStr">
        <is>
          <t>TAYLORMADE Qi35 (2025) Men's Rescue</t>
        </is>
      </c>
      <c r="E286" s="1" t="inlineStr">
        <is>
          <t>TAYLORMADE</t>
        </is>
      </c>
      <c r="F286" s="1" t="inlineStr">
        <is>
          <t>UTILITY/HYBRID</t>
        </is>
      </c>
      <c r="G286" s="1" t="inlineStr">
        <is>
          <t>GF1230100797#2S</t>
        </is>
      </c>
      <c r="H286" s="1" t="n">
        <v>13</v>
      </c>
      <c r="I286" s="1" t="inlineStr">
        <is>
          <t>มี</t>
        </is>
      </c>
      <c r="J286" s="13" t="n">
        <v>299</v>
      </c>
      <c r="K286" s="1" t="inlineStr"/>
      <c r="L286" s="13" t="n">
        <v>299</v>
      </c>
      <c r="M286" s="1">
        <f>IF(L286="","ไม่พบใน SG",IF(ABS(J286-L286)&lt;0.005,"ตรงกัน","ไม่ตรง"))</f>
        <v/>
      </c>
      <c r="N286" s="14">
        <f>IF(L286="","",ROUND(L286*'สรุป'!$C$6,-1))</f>
        <v/>
      </c>
      <c r="O286" s="15" t="n"/>
      <c r="P286" s="15" t="n"/>
      <c r="Q286" s="10" t="n"/>
      <c r="R286" s="10" t="n"/>
      <c r="S286" s="16" t="inlineStr">
        <is>
          <t>https://mstgolf.co.th/products/gf1230100796</t>
        </is>
      </c>
      <c r="T286" s="1">
        <f>IF(B286="ไม้กอล์ฟ",J286,"")</f>
        <v/>
      </c>
    </row>
    <row r="287">
      <c r="A287" s="1" t="n">
        <v>1</v>
      </c>
      <c r="B287" s="1" t="inlineStr">
        <is>
          <t>ไม้กอล์ฟ</t>
        </is>
      </c>
      <c r="C287" s="1" t="inlineStr">
        <is>
          <t>gf1230100798</t>
        </is>
      </c>
      <c r="D287" s="1" t="inlineStr">
        <is>
          <t>TAYLORMADE Qi35 Max (2025) Men's Rescue</t>
        </is>
      </c>
      <c r="E287" s="1" t="inlineStr">
        <is>
          <t>TAYLORMADE</t>
        </is>
      </c>
      <c r="F287" s="1" t="inlineStr">
        <is>
          <t>UTILITY/HYBRID</t>
        </is>
      </c>
      <c r="G287" s="1" t="inlineStr">
        <is>
          <t>GF1230100800#3R</t>
        </is>
      </c>
      <c r="H287" s="1" t="n">
        <v>12</v>
      </c>
      <c r="I287" s="1" t="inlineStr">
        <is>
          <t>มี</t>
        </is>
      </c>
      <c r="J287" s="13" t="n">
        <v>299</v>
      </c>
      <c r="K287" s="1" t="inlineStr"/>
      <c r="L287" s="13" t="n">
        <v>299</v>
      </c>
      <c r="M287" s="1">
        <f>IF(L287="","ไม่พบใน SG",IF(ABS(J287-L287)&lt;0.005,"ตรงกัน","ไม่ตรง"))</f>
        <v/>
      </c>
      <c r="N287" s="14">
        <f>IF(L287="","",ROUND(L287*'สรุป'!$C$6,-1))</f>
        <v/>
      </c>
      <c r="O287" s="15" t="n"/>
      <c r="P287" s="15" t="n"/>
      <c r="Q287" s="10" t="n"/>
      <c r="R287" s="10" t="n"/>
      <c r="S287" s="16" t="inlineStr">
        <is>
          <t>https://mstgolf.co.th/products/gf1230100798</t>
        </is>
      </c>
      <c r="T287" s="1">
        <f>IF(B287="ไม้กอล์ฟ",J287,"")</f>
        <v/>
      </c>
    </row>
    <row r="288">
      <c r="A288" s="1" t="n">
        <v>1</v>
      </c>
      <c r="B288" s="1" t="inlineStr">
        <is>
          <t>ไม้กอล์ฟ</t>
        </is>
      </c>
      <c r="C288" s="1" t="inlineStr">
        <is>
          <t>gf1240100882</t>
        </is>
      </c>
      <c r="D288" s="1" t="inlineStr">
        <is>
          <t>TAYLORMADE Spider Notchback #3 Short Slant Silver Men's Putter</t>
        </is>
      </c>
      <c r="E288" s="1" t="inlineStr">
        <is>
          <t>TAYLORMADE</t>
        </is>
      </c>
      <c r="F288" s="1" t="inlineStr">
        <is>
          <t>PUTTER</t>
        </is>
      </c>
      <c r="G288" s="1" t="inlineStr">
        <is>
          <t>GF124010088234</t>
        </is>
      </c>
      <c r="H288" s="1" t="n">
        <v>1</v>
      </c>
      <c r="I288" s="1" t="inlineStr">
        <is>
          <t>มี</t>
        </is>
      </c>
      <c r="J288" s="13" t="n">
        <v>299</v>
      </c>
      <c r="K288" s="1" t="inlineStr"/>
      <c r="L288" s="13" t="n"/>
      <c r="M288" s="1">
        <f>IF(L288="","ไม่พบใน SG",IF(ABS(J288-L288)&lt;0.005,"ตรงกัน","ไม่ตรง"))</f>
        <v/>
      </c>
      <c r="N288" s="14">
        <f>IF(L288="","",ROUND(L288*'สรุป'!$C$6,-1))</f>
        <v/>
      </c>
      <c r="O288" s="15" t="n"/>
      <c r="P288" s="15" t="n"/>
      <c r="Q288" s="10" t="n"/>
      <c r="R288" s="10" t="n"/>
      <c r="S288" s="16" t="inlineStr">
        <is>
          <t>https://mstgolf.co.th/products/gf1240100882</t>
        </is>
      </c>
      <c r="T288" s="1">
        <f>IF(B288="ไม้กอล์ฟ",J288,"")</f>
        <v/>
      </c>
    </row>
    <row r="289">
      <c r="A289" s="1" t="n">
        <v>1</v>
      </c>
      <c r="B289" s="1" t="inlineStr">
        <is>
          <t>ไม้กอล์ฟ</t>
        </is>
      </c>
      <c r="C289" s="1" t="inlineStr">
        <is>
          <t>gf1240100884</t>
        </is>
      </c>
      <c r="D289" s="1" t="inlineStr">
        <is>
          <t>TAYLORMADE Spider Rollback #3 Short Slant Silver/Black Men's Putter</t>
        </is>
      </c>
      <c r="E289" s="1" t="inlineStr">
        <is>
          <t>TAYLORMADE</t>
        </is>
      </c>
      <c r="F289" s="1" t="inlineStr">
        <is>
          <t>PUTTER</t>
        </is>
      </c>
      <c r="G289" s="1" t="inlineStr">
        <is>
          <t>GF124010088434</t>
        </is>
      </c>
      <c r="H289" s="1" t="n">
        <v>1</v>
      </c>
      <c r="I289" s="1" t="inlineStr">
        <is>
          <t>มี</t>
        </is>
      </c>
      <c r="J289" s="13" t="n">
        <v>299</v>
      </c>
      <c r="K289" s="1" t="inlineStr"/>
      <c r="L289" s="13" t="n">
        <v>249</v>
      </c>
      <c r="M289" s="1">
        <f>IF(L289="","ไม่พบใน SG",IF(ABS(J289-L289)&lt;0.005,"ตรงกัน","ไม่ตรง"))</f>
        <v/>
      </c>
      <c r="N289" s="14">
        <f>IF(L289="","",ROUND(L289*'สรุป'!$C$6,-1))</f>
        <v/>
      </c>
      <c r="O289" s="15" t="n"/>
      <c r="P289" s="15" t="n"/>
      <c r="Q289" s="10" t="n"/>
      <c r="R289" s="10" t="n"/>
      <c r="S289" s="16" t="inlineStr">
        <is>
          <t>https://mstgolf.co.th/products/gf1240100884</t>
        </is>
      </c>
      <c r="T289" s="1">
        <f>IF(B289="ไม้กอล์ฟ",J289,"")</f>
        <v/>
      </c>
    </row>
    <row r="290">
      <c r="A290" s="1" t="n">
        <v>1</v>
      </c>
      <c r="B290" s="1" t="inlineStr">
        <is>
          <t>ไม้กอล์ฟ</t>
        </is>
      </c>
      <c r="C290" s="1" t="inlineStr">
        <is>
          <t>gf1240100887</t>
        </is>
      </c>
      <c r="D290" s="1" t="inlineStr">
        <is>
          <t>TAYLORMADE Spider Rollback #3 Single Bend Silver Men's Putter</t>
        </is>
      </c>
      <c r="E290" s="1" t="inlineStr">
        <is>
          <t>TAYLORMADE</t>
        </is>
      </c>
      <c r="F290" s="1" t="inlineStr">
        <is>
          <t>PUTTER</t>
        </is>
      </c>
      <c r="G290" s="1" t="inlineStr">
        <is>
          <t>GF124010088734</t>
        </is>
      </c>
      <c r="H290" s="1" t="n">
        <v>1</v>
      </c>
      <c r="I290" s="1" t="inlineStr">
        <is>
          <t>มี</t>
        </is>
      </c>
      <c r="J290" s="13" t="n">
        <v>299</v>
      </c>
      <c r="K290" s="1" t="inlineStr"/>
      <c r="L290" s="13" t="n">
        <v>249</v>
      </c>
      <c r="M290" s="1">
        <f>IF(L290="","ไม่พบใน SG",IF(ABS(J290-L290)&lt;0.005,"ตรงกัน","ไม่ตรง"))</f>
        <v/>
      </c>
      <c r="N290" s="14">
        <f>IF(L290="","",ROUND(L290*'สรุป'!$C$6,-1))</f>
        <v/>
      </c>
      <c r="O290" s="15" t="n"/>
      <c r="P290" s="15" t="n"/>
      <c r="Q290" s="10" t="n"/>
      <c r="R290" s="10" t="n"/>
      <c r="S290" s="16" t="inlineStr">
        <is>
          <t>https://mstgolf.co.th/products/gf1240100887</t>
        </is>
      </c>
      <c r="T290" s="1">
        <f>IF(B290="ไม้กอล์ฟ",J290,"")</f>
        <v/>
      </c>
    </row>
    <row r="291">
      <c r="A291" s="1" t="n">
        <v>1</v>
      </c>
      <c r="B291" s="1" t="inlineStr">
        <is>
          <t>ไม้กอล์ฟ</t>
        </is>
      </c>
      <c r="C291" s="1" t="inlineStr">
        <is>
          <t>gf1240100880</t>
        </is>
      </c>
      <c r="D291" s="1" t="inlineStr">
        <is>
          <t>TAYLORMADE Spider Splitback Single Bend Black Men's Putter</t>
        </is>
      </c>
      <c r="E291" s="1" t="inlineStr">
        <is>
          <t>TAYLORMADE</t>
        </is>
      </c>
      <c r="F291" s="1" t="inlineStr">
        <is>
          <t>PUTTER</t>
        </is>
      </c>
      <c r="G291" s="1" t="inlineStr">
        <is>
          <t>GF124010088134</t>
        </is>
      </c>
      <c r="H291" s="1" t="n">
        <v>1</v>
      </c>
      <c r="I291" s="1" t="inlineStr">
        <is>
          <t>มี</t>
        </is>
      </c>
      <c r="J291" s="13" t="n">
        <v>299</v>
      </c>
      <c r="K291" s="1" t="inlineStr"/>
      <c r="L291" s="13" t="n">
        <v>249</v>
      </c>
      <c r="M291" s="1">
        <f>IF(L291="","ไม่พบใน SG",IF(ABS(J291-L291)&lt;0.005,"ตรงกัน","ไม่ตรง"))</f>
        <v/>
      </c>
      <c r="N291" s="14">
        <f>IF(L291="","",ROUND(L291*'สรุป'!$C$6,-1))</f>
        <v/>
      </c>
      <c r="O291" s="15" t="n"/>
      <c r="P291" s="15" t="n"/>
      <c r="Q291" s="10" t="n"/>
      <c r="R291" s="10" t="n"/>
      <c r="S291" s="16" t="inlineStr">
        <is>
          <t>https://mstgolf.co.th/products/gf1240100880</t>
        </is>
      </c>
      <c r="T291" s="1">
        <f>IF(B291="ไม้กอล์ฟ",J291,"")</f>
        <v/>
      </c>
    </row>
    <row r="292">
      <c r="A292" s="1" t="n">
        <v>1</v>
      </c>
      <c r="B292" s="1" t="inlineStr">
        <is>
          <t>ไม้กอล์ฟ</t>
        </is>
      </c>
      <c r="C292" s="1" t="inlineStr">
        <is>
          <t>gf1210100850</t>
        </is>
      </c>
      <c r="D292" s="1" t="inlineStr">
        <is>
          <t>TAYLORMADE Stealth 2 (2023) Men's Driver</t>
        </is>
      </c>
      <c r="E292" s="1" t="inlineStr">
        <is>
          <t>TAYLORMADE</t>
        </is>
      </c>
      <c r="F292" s="1" t="inlineStr">
        <is>
          <t>DRIVER</t>
        </is>
      </c>
      <c r="G292" s="1" t="inlineStr">
        <is>
          <t>GF12101008799S</t>
        </is>
      </c>
      <c r="H292" s="1" t="n">
        <v>12</v>
      </c>
      <c r="I292" s="1" t="inlineStr">
        <is>
          <t>มี</t>
        </is>
      </c>
      <c r="J292" s="13" t="n">
        <v>299</v>
      </c>
      <c r="K292" s="1" t="inlineStr"/>
      <c r="L292" s="13" t="n">
        <v>299</v>
      </c>
      <c r="M292" s="1">
        <f>IF(L292="","ไม่พบใน SG",IF(ABS(J292-L292)&lt;0.005,"ตรงกัน","ไม่ตรง"))</f>
        <v/>
      </c>
      <c r="N292" s="14">
        <f>IF(L292="","",ROUND(L292*'สรุป'!$C$6,-1))</f>
        <v/>
      </c>
      <c r="O292" s="15" t="n"/>
      <c r="P292" s="15" t="n"/>
      <c r="Q292" s="10" t="n"/>
      <c r="R292" s="10" t="n"/>
      <c r="S292" s="16" t="inlineStr">
        <is>
          <t>https://mstgolf.co.th/products/gf1210100850</t>
        </is>
      </c>
      <c r="T292" s="1">
        <f>IF(B292="ไม้กอล์ฟ",J292,"")</f>
        <v/>
      </c>
    </row>
    <row r="293">
      <c r="A293" s="1" t="n">
        <v>1</v>
      </c>
      <c r="B293" s="1" t="inlineStr">
        <is>
          <t>ไม้กอล์ฟ</t>
        </is>
      </c>
      <c r="C293" s="1" t="inlineStr">
        <is>
          <t>gf1210100847</t>
        </is>
      </c>
      <c r="D293" s="1" t="inlineStr">
        <is>
          <t>TAYLORMADE Stealth 2 Plus Men's Driver</t>
        </is>
      </c>
      <c r="E293" s="1" t="inlineStr">
        <is>
          <t>TAYLORMADE</t>
        </is>
      </c>
      <c r="F293" s="1" t="inlineStr">
        <is>
          <t>DRIVER</t>
        </is>
      </c>
      <c r="G293" s="1" t="inlineStr">
        <is>
          <t>GF12101008719S</t>
        </is>
      </c>
      <c r="H293" s="1" t="n">
        <v>19</v>
      </c>
      <c r="I293" s="1" t="inlineStr">
        <is>
          <t>มี</t>
        </is>
      </c>
      <c r="J293" s="13" t="n">
        <v>299</v>
      </c>
      <c r="K293" s="1" t="inlineStr"/>
      <c r="L293" s="13" t="n">
        <v>299</v>
      </c>
      <c r="M293" s="1">
        <f>IF(L293="","ไม่พบใน SG",IF(ABS(J293-L293)&lt;0.005,"ตรงกัน","ไม่ตรง"))</f>
        <v/>
      </c>
      <c r="N293" s="14">
        <f>IF(L293="","",ROUND(L293*'สรุป'!$C$6,-1))</f>
        <v/>
      </c>
      <c r="O293" s="15" t="n"/>
      <c r="P293" s="15" t="n"/>
      <c r="Q293" s="10" t="n"/>
      <c r="R293" s="10" t="n"/>
      <c r="S293" s="16" t="inlineStr">
        <is>
          <t>https://mstgolf.co.th/products/gf1210100847</t>
        </is>
      </c>
      <c r="T293" s="1">
        <f>IF(B293="ไม้กอล์ฟ",J293,"")</f>
        <v/>
      </c>
    </row>
    <row r="294">
      <c r="A294" s="1" t="n">
        <v>1</v>
      </c>
      <c r="B294" s="1" t="inlineStr">
        <is>
          <t>ไม้กอล์ฟ</t>
        </is>
      </c>
      <c r="C294" s="1" t="inlineStr">
        <is>
          <t>gf1270100688</t>
        </is>
      </c>
      <c r="D294" s="1" t="inlineStr">
        <is>
          <t>PING S259 S Grind (2026) Men's Wedge</t>
        </is>
      </c>
      <c r="E294" s="1" t="inlineStr">
        <is>
          <t>PING</t>
        </is>
      </c>
      <c r="F294" s="1" t="inlineStr">
        <is>
          <t>WEDGES</t>
        </is>
      </c>
      <c r="G294" s="1" t="inlineStr">
        <is>
          <t>GF127010068850</t>
        </is>
      </c>
      <c r="H294" s="1" t="n">
        <v>6</v>
      </c>
      <c r="I294" s="1" t="inlineStr">
        <is>
          <t>มี</t>
        </is>
      </c>
      <c r="J294" s="13" t="n">
        <v>289</v>
      </c>
      <c r="K294" s="1" t="inlineStr"/>
      <c r="L294" s="13" t="n">
        <v>289</v>
      </c>
      <c r="M294" s="1">
        <f>IF(L294="","ไม่พบใน SG",IF(ABS(J294-L294)&lt;0.005,"ตรงกัน","ไม่ตรง"))</f>
        <v/>
      </c>
      <c r="N294" s="14">
        <f>IF(L294="","",ROUND(L294*'สรุป'!$C$6,-1))</f>
        <v/>
      </c>
      <c r="O294" s="15" t="n"/>
      <c r="P294" s="15" t="n"/>
      <c r="Q294" s="10" t="n"/>
      <c r="R294" s="10" t="n"/>
      <c r="S294" s="16" t="inlineStr">
        <is>
          <t>https://mstgolf.co.th/products/gf1270100688</t>
        </is>
      </c>
      <c r="T294" s="1">
        <f>IF(B294="ไม้กอล์ฟ",J294,"")</f>
        <v/>
      </c>
    </row>
    <row r="295">
      <c r="A295" s="1" t="n">
        <v>1</v>
      </c>
      <c r="B295" s="1" t="inlineStr">
        <is>
          <t>ไม้กอล์ฟ</t>
        </is>
      </c>
      <c r="C295" s="1" t="inlineStr">
        <is>
          <t>gf1270100599</t>
        </is>
      </c>
      <c r="D295" s="1" t="inlineStr">
        <is>
          <t>TAYLORMADE Milled Grind Hi-Toe 4 (2025) ATS Men's Wedge</t>
        </is>
      </c>
      <c r="E295" s="1" t="inlineStr">
        <is>
          <t>TAYLORMADE</t>
        </is>
      </c>
      <c r="F295" s="1" t="inlineStr">
        <is>
          <t>WEDGES</t>
        </is>
      </c>
      <c r="G295" s="1" t="inlineStr">
        <is>
          <t>GF127010059950</t>
        </is>
      </c>
      <c r="H295" s="1" t="n">
        <v>6</v>
      </c>
      <c r="I295" s="1" t="inlineStr">
        <is>
          <t>มี</t>
        </is>
      </c>
      <c r="J295" s="13" t="n">
        <v>289</v>
      </c>
      <c r="K295" s="1" t="inlineStr"/>
      <c r="L295" s="13" t="n">
        <v>229</v>
      </c>
      <c r="M295" s="1">
        <f>IF(L295="","ไม่พบใน SG",IF(ABS(J295-L295)&lt;0.005,"ตรงกัน","ไม่ตรง"))</f>
        <v/>
      </c>
      <c r="N295" s="14">
        <f>IF(L295="","",ROUND(L295*'สรุป'!$C$6,-1))</f>
        <v/>
      </c>
      <c r="O295" s="15" t="n"/>
      <c r="P295" s="15" t="n"/>
      <c r="Q295" s="10" t="n"/>
      <c r="R295" s="10" t="n"/>
      <c r="S295" s="16" t="inlineStr">
        <is>
          <t>https://mstgolf.co.th/products/gf1270100599</t>
        </is>
      </c>
      <c r="T295" s="1">
        <f>IF(B295="ไม้กอล์ฟ",J295,"")</f>
        <v/>
      </c>
    </row>
    <row r="296">
      <c r="A296" s="1" t="n">
        <v>1</v>
      </c>
      <c r="B296" s="1" t="inlineStr">
        <is>
          <t>ไม้กอล์ฟ</t>
        </is>
      </c>
      <c r="C296" s="1" t="inlineStr">
        <is>
          <t>gf1270100598</t>
        </is>
      </c>
      <c r="D296" s="1" t="inlineStr">
        <is>
          <t>TAYLORMADE Milled Grind Hi-Toe 4 (2025) ATW Men's Wedge</t>
        </is>
      </c>
      <c r="E296" s="1" t="inlineStr">
        <is>
          <t>TAYLORMADE</t>
        </is>
      </c>
      <c r="F296" s="1" t="inlineStr">
        <is>
          <t>WEDGES</t>
        </is>
      </c>
      <c r="G296" s="1" t="inlineStr">
        <is>
          <t>GF127010059856</t>
        </is>
      </c>
      <c r="H296" s="1" t="n">
        <v>3</v>
      </c>
      <c r="I296" s="1" t="inlineStr">
        <is>
          <t>มี</t>
        </is>
      </c>
      <c r="J296" s="13" t="n">
        <v>289</v>
      </c>
      <c r="K296" s="1" t="inlineStr"/>
      <c r="L296" s="13" t="n">
        <v>229</v>
      </c>
      <c r="M296" s="1">
        <f>IF(L296="","ไม่พบใน SG",IF(ABS(J296-L296)&lt;0.005,"ตรงกัน","ไม่ตรง"))</f>
        <v/>
      </c>
      <c r="N296" s="14">
        <f>IF(L296="","",ROUND(L296*'สรุป'!$C$6,-1))</f>
        <v/>
      </c>
      <c r="O296" s="15" t="n"/>
      <c r="P296" s="15" t="n"/>
      <c r="Q296" s="10" t="n"/>
      <c r="R296" s="10" t="n"/>
      <c r="S296" s="16" t="inlineStr">
        <is>
          <t>https://mstgolf.co.th/products/gf1270100598</t>
        </is>
      </c>
      <c r="T296" s="1">
        <f>IF(B296="ไม้กอล์ฟ",J296,"")</f>
        <v/>
      </c>
    </row>
    <row r="297">
      <c r="A297" s="1" t="n">
        <v>1</v>
      </c>
      <c r="B297" s="1" t="inlineStr">
        <is>
          <t>ไม้กอล์ฟ</t>
        </is>
      </c>
      <c r="C297" s="1" t="inlineStr">
        <is>
          <t>gf1230100528</t>
        </is>
      </c>
      <c r="D297" s="1" t="inlineStr">
        <is>
          <t>YAMAHA Inpres DriveStar (2023) Women's Utility</t>
        </is>
      </c>
      <c r="E297" s="1" t="inlineStr">
        <is>
          <t>YAMAHA</t>
        </is>
      </c>
      <c r="F297" s="1" t="inlineStr">
        <is>
          <t>UTILITY/HYBRID</t>
        </is>
      </c>
      <c r="G297" s="1" t="inlineStr">
        <is>
          <t>GF1230100528#4L</t>
        </is>
      </c>
      <c r="H297" s="1" t="n">
        <v>4</v>
      </c>
      <c r="I297" s="1" t="inlineStr">
        <is>
          <t>มี</t>
        </is>
      </c>
      <c r="J297" s="13" t="n">
        <v>289</v>
      </c>
      <c r="K297" s="1" t="inlineStr"/>
      <c r="L297" s="13" t="n">
        <v>199</v>
      </c>
      <c r="M297" s="1">
        <f>IF(L297="","ไม่พบใน SG",IF(ABS(J297-L297)&lt;0.005,"ตรงกัน","ไม่ตรง"))</f>
        <v/>
      </c>
      <c r="N297" s="14">
        <f>IF(L297="","",ROUND(L297*'สรุป'!$C$6,-1))</f>
        <v/>
      </c>
      <c r="O297" s="15" t="n"/>
      <c r="P297" s="15" t="n"/>
      <c r="Q297" s="10" t="n"/>
      <c r="R297" s="10" t="n"/>
      <c r="S297" s="16" t="inlineStr">
        <is>
          <t>https://mstgolf.co.th/products/gf1230100528</t>
        </is>
      </c>
      <c r="T297" s="1">
        <f>IF(B297="ไม้กอล์ฟ",J297,"")</f>
        <v/>
      </c>
    </row>
    <row r="298">
      <c r="A298" s="1" t="n">
        <v>1</v>
      </c>
      <c r="B298" s="1" t="inlineStr">
        <is>
          <t>ไม้กอล์ฟ</t>
        </is>
      </c>
      <c r="C298" s="1" t="inlineStr">
        <is>
          <t>gf1230100527</t>
        </is>
      </c>
      <c r="D298" s="1" t="inlineStr">
        <is>
          <t>YAMAHA Inpres DriveStar Men's Utility</t>
        </is>
      </c>
      <c r="E298" s="1" t="inlineStr">
        <is>
          <t>YAMAHA</t>
        </is>
      </c>
      <c r="F298" s="1" t="inlineStr">
        <is>
          <t>UTILITY/HYBRID</t>
        </is>
      </c>
      <c r="G298" s="1" t="inlineStr">
        <is>
          <t>GF1230100527#4SR</t>
        </is>
      </c>
      <c r="H298" s="1" t="n">
        <v>10</v>
      </c>
      <c r="I298" s="1" t="inlineStr">
        <is>
          <t>มี</t>
        </is>
      </c>
      <c r="J298" s="13" t="n">
        <v>289</v>
      </c>
      <c r="K298" s="1" t="inlineStr"/>
      <c r="L298" s="13" t="n">
        <v>199</v>
      </c>
      <c r="M298" s="1">
        <f>IF(L298="","ไม่พบใน SG",IF(ABS(J298-L298)&lt;0.005,"ตรงกัน","ไม่ตรง"))</f>
        <v/>
      </c>
      <c r="N298" s="14">
        <f>IF(L298="","",ROUND(L298*'สรุป'!$C$6,-1))</f>
        <v/>
      </c>
      <c r="O298" s="15" t="n"/>
      <c r="P298" s="15" t="n"/>
      <c r="Q298" s="10" t="n"/>
      <c r="R298" s="10" t="n"/>
      <c r="S298" s="16" t="inlineStr">
        <is>
          <t>https://mstgolf.co.th/products/gf1230100527</t>
        </is>
      </c>
      <c r="T298" s="1">
        <f>IF(B298="ไม้กอล์ฟ",J298,"")</f>
        <v/>
      </c>
    </row>
    <row r="299">
      <c r="A299" s="1" t="n">
        <v>1</v>
      </c>
      <c r="B299" s="1" t="inlineStr">
        <is>
          <t>ไม้กอล์ฟ</t>
        </is>
      </c>
      <c r="C299" s="1" t="inlineStr">
        <is>
          <t>gf1270100613</t>
        </is>
      </c>
      <c r="D299" s="1" t="inlineStr">
        <is>
          <t>PING BunkR (2025) Men's Wedge</t>
        </is>
      </c>
      <c r="E299" s="1" t="inlineStr">
        <is>
          <t>PING</t>
        </is>
      </c>
      <c r="F299" s="1" t="inlineStr">
        <is>
          <t>WEDGES</t>
        </is>
      </c>
      <c r="G299" s="1" t="inlineStr">
        <is>
          <t>GF1270100613</t>
        </is>
      </c>
      <c r="H299" s="1" t="n">
        <v>1</v>
      </c>
      <c r="I299" s="1" t="inlineStr">
        <is>
          <t>มี</t>
        </is>
      </c>
      <c r="J299" s="13" t="n">
        <v>279</v>
      </c>
      <c r="K299" s="1" t="inlineStr"/>
      <c r="L299" s="13" t="n">
        <v>279</v>
      </c>
      <c r="M299" s="1">
        <f>IF(L299="","ไม่พบใน SG",IF(ABS(J299-L299)&lt;0.005,"ตรงกัน","ไม่ตรง"))</f>
        <v/>
      </c>
      <c r="N299" s="14">
        <f>IF(L299="","",ROUND(L299*'สรุป'!$C$6,-1))</f>
        <v/>
      </c>
      <c r="O299" s="15" t="n"/>
      <c r="P299" s="15" t="n"/>
      <c r="Q299" s="10" t="n"/>
      <c r="R299" s="10" t="n"/>
      <c r="S299" s="16" t="inlineStr">
        <is>
          <t>https://mstgolf.co.th/products/gf1270100613</t>
        </is>
      </c>
      <c r="T299" s="1">
        <f>IF(B299="ไม้กอล์ฟ",J299,"")</f>
        <v/>
      </c>
    </row>
    <row r="300">
      <c r="A300" s="1" t="n">
        <v>1</v>
      </c>
      <c r="B300" s="1" t="inlineStr">
        <is>
          <t>ไม้กอล์ฟ</t>
        </is>
      </c>
      <c r="C300" s="1" t="inlineStr">
        <is>
          <t>gf1270100440</t>
        </is>
      </c>
      <c r="D300" s="1" t="inlineStr">
        <is>
          <t>PING ChipR Z (2022) Men's Wedge</t>
        </is>
      </c>
      <c r="E300" s="1" t="inlineStr">
        <is>
          <t>PING</t>
        </is>
      </c>
      <c r="F300" s="1" t="inlineStr">
        <is>
          <t>WEDGES</t>
        </is>
      </c>
      <c r="G300" s="1" t="inlineStr">
        <is>
          <t>GF1270100440</t>
        </is>
      </c>
      <c r="H300" s="1" t="n">
        <v>1</v>
      </c>
      <c r="I300" s="1" t="inlineStr">
        <is>
          <t>มี</t>
        </is>
      </c>
      <c r="J300" s="13" t="n">
        <v>279</v>
      </c>
      <c r="K300" s="1" t="inlineStr"/>
      <c r="L300" s="13" t="n">
        <v>279</v>
      </c>
      <c r="M300" s="1">
        <f>IF(L300="","ไม่พบใน SG",IF(ABS(J300-L300)&lt;0.005,"ตรงกัน","ไม่ตรง"))</f>
        <v/>
      </c>
      <c r="N300" s="14">
        <f>IF(L300="","",ROUND(L300*'สรุป'!$C$6,-1))</f>
        <v/>
      </c>
      <c r="O300" s="15" t="n"/>
      <c r="P300" s="15" t="n"/>
      <c r="Q300" s="10" t="n"/>
      <c r="R300" s="10" t="n"/>
      <c r="S300" s="16" t="inlineStr">
        <is>
          <t>https://mstgolf.co.th/products/gf1270100440</t>
        </is>
      </c>
      <c r="T300" s="1">
        <f>IF(B300="ไม้กอล์ฟ",J300,"")</f>
        <v/>
      </c>
    </row>
    <row r="301">
      <c r="A301" s="1" t="n">
        <v>1</v>
      </c>
      <c r="B301" s="1" t="inlineStr">
        <is>
          <t>ไม้กอล์ฟ</t>
        </is>
      </c>
      <c r="C301" s="1" t="inlineStr">
        <is>
          <t>gf1270100469</t>
        </is>
      </c>
      <c r="D301" s="1" t="inlineStr">
        <is>
          <t>ONOFF Frog's Running Labospec (2023) Men's Wedge</t>
        </is>
      </c>
      <c r="E301" s="1" t="inlineStr">
        <is>
          <t>ONOFF</t>
        </is>
      </c>
      <c r="F301" s="1" t="inlineStr">
        <is>
          <t>WEDGES</t>
        </is>
      </c>
      <c r="G301" s="1" t="inlineStr">
        <is>
          <t>GF1270100469</t>
        </is>
      </c>
      <c r="H301" s="1" t="n">
        <v>1</v>
      </c>
      <c r="I301" s="1" t="inlineStr">
        <is>
          <t>มี</t>
        </is>
      </c>
      <c r="J301" s="13" t="n">
        <v>269</v>
      </c>
      <c r="K301" s="1" t="inlineStr"/>
      <c r="L301" s="13" t="n">
        <v>269</v>
      </c>
      <c r="M301" s="1">
        <f>IF(L301="","ไม่พบใน SG",IF(ABS(J301-L301)&lt;0.005,"ตรงกัน","ไม่ตรง"))</f>
        <v/>
      </c>
      <c r="N301" s="14">
        <f>IF(L301="","",ROUND(L301*'สรุป'!$C$6,-1))</f>
        <v/>
      </c>
      <c r="O301" s="15" t="n"/>
      <c r="P301" s="15" t="n"/>
      <c r="Q301" s="10" t="n"/>
      <c r="R301" s="10" t="n"/>
      <c r="S301" s="16" t="inlineStr">
        <is>
          <t>https://mstgolf.co.th/products/gf1270100469</t>
        </is>
      </c>
      <c r="T301" s="1">
        <f>IF(B301="ไม้กอล์ฟ",J301,"")</f>
        <v/>
      </c>
    </row>
    <row r="302">
      <c r="A302" s="1" t="n">
        <v>1</v>
      </c>
      <c r="B302" s="1" t="inlineStr">
        <is>
          <t>ไม้กอล์ฟ</t>
        </is>
      </c>
      <c r="C302" s="1" t="inlineStr">
        <is>
          <t>gf1230100462</t>
        </is>
      </c>
      <c r="D302" s="1" t="inlineStr">
        <is>
          <t>ONOFF Wings AKA 2022 Men's Hybrid</t>
        </is>
      </c>
      <c r="E302" s="1" t="inlineStr">
        <is>
          <t>ONOFF</t>
        </is>
      </c>
      <c r="F302" s="1" t="inlineStr">
        <is>
          <t>UTILITY/HYBRID</t>
        </is>
      </c>
      <c r="G302" s="1" t="inlineStr">
        <is>
          <t>GF123010046218R</t>
        </is>
      </c>
      <c r="H302" s="1" t="n">
        <v>11</v>
      </c>
      <c r="I302" s="1" t="inlineStr">
        <is>
          <t>มี</t>
        </is>
      </c>
      <c r="J302" s="13" t="n">
        <v>249</v>
      </c>
      <c r="K302" s="1" t="inlineStr"/>
      <c r="L302" s="13" t="n">
        <v>249</v>
      </c>
      <c r="M302" s="1">
        <f>IF(L302="","ไม่พบใน SG",IF(ABS(J302-L302)&lt;0.005,"ตรงกัน","ไม่ตรง"))</f>
        <v/>
      </c>
      <c r="N302" s="14">
        <f>IF(L302="","",ROUND(L302*'สรุป'!$C$6,-1))</f>
        <v/>
      </c>
      <c r="O302" s="15" t="n"/>
      <c r="P302" s="15" t="n"/>
      <c r="Q302" s="10" t="n"/>
      <c r="R302" s="10" t="n"/>
      <c r="S302" s="16" t="inlineStr">
        <is>
          <t>https://mstgolf.co.th/products/gf1230100462</t>
        </is>
      </c>
      <c r="T302" s="1">
        <f>IF(B302="ไม้กอล์ฟ",J302,"")</f>
        <v/>
      </c>
    </row>
    <row r="303">
      <c r="A303" s="1" t="n">
        <v>1</v>
      </c>
      <c r="B303" s="1" t="inlineStr">
        <is>
          <t>ไม้กอล์ฟ</t>
        </is>
      </c>
      <c r="C303" s="1" t="inlineStr">
        <is>
          <t>gf1210100699</t>
        </is>
      </c>
      <c r="D303" s="1" t="inlineStr">
        <is>
          <t>TAYLORMADE Stealth (2022) Men's Driver</t>
        </is>
      </c>
      <c r="E303" s="1" t="inlineStr">
        <is>
          <t>TAYLORMADE</t>
        </is>
      </c>
      <c r="F303" s="1" t="inlineStr">
        <is>
          <t>DRIVER</t>
        </is>
      </c>
      <c r="G303" s="1" t="inlineStr">
        <is>
          <t>GF12101007029R</t>
        </is>
      </c>
      <c r="H303" s="1" t="n">
        <v>10</v>
      </c>
      <c r="I303" s="1" t="inlineStr">
        <is>
          <t>มี</t>
        </is>
      </c>
      <c r="J303" s="13" t="n">
        <v>249</v>
      </c>
      <c r="K303" s="1" t="inlineStr"/>
      <c r="L303" s="13" t="n">
        <v>249</v>
      </c>
      <c r="M303" s="1">
        <f>IF(L303="","ไม่พบใน SG",IF(ABS(J303-L303)&lt;0.005,"ตรงกัน","ไม่ตรง"))</f>
        <v/>
      </c>
      <c r="N303" s="14">
        <f>IF(L303="","",ROUND(L303*'สรุป'!$C$6,-1))</f>
        <v/>
      </c>
      <c r="O303" s="15" t="n"/>
      <c r="P303" s="15" t="n"/>
      <c r="Q303" s="10" t="n"/>
      <c r="R303" s="10" t="n"/>
      <c r="S303" s="16" t="inlineStr">
        <is>
          <t>https://mstgolf.co.th/products/gf1210100699</t>
        </is>
      </c>
      <c r="T303" s="1">
        <f>IF(B303="ไม้กอล์ฟ",J303,"")</f>
        <v/>
      </c>
    </row>
    <row r="304">
      <c r="A304" s="1" t="n">
        <v>1</v>
      </c>
      <c r="B304" s="1" t="inlineStr">
        <is>
          <t>ไม้กอล์ฟ</t>
        </is>
      </c>
      <c r="C304" s="1" t="inlineStr">
        <is>
          <t>gf1210100696</t>
        </is>
      </c>
      <c r="D304" s="1" t="inlineStr">
        <is>
          <t>TAYLORMADE Stealth Plus + Men's Driver</t>
        </is>
      </c>
      <c r="E304" s="1" t="inlineStr">
        <is>
          <t>TAYLORMADE</t>
        </is>
      </c>
      <c r="F304" s="1" t="inlineStr">
        <is>
          <t>DRIVER</t>
        </is>
      </c>
      <c r="G304" s="1" t="inlineStr">
        <is>
          <t>GF12101006979S</t>
        </is>
      </c>
      <c r="H304" s="1" t="n">
        <v>14</v>
      </c>
      <c r="I304" s="1" t="inlineStr">
        <is>
          <t>มี</t>
        </is>
      </c>
      <c r="J304" s="13" t="n">
        <v>249</v>
      </c>
      <c r="K304" s="1" t="inlineStr">
        <is>
          <t>ต่างกัน</t>
        </is>
      </c>
      <c r="L304" s="13" t="n">
        <v>249</v>
      </c>
      <c r="M304" s="1">
        <f>IF(L304="","ไม่พบใน SG",IF(ABS(J304-L304)&lt;0.005,"ตรงกัน","ไม่ตรง"))</f>
        <v/>
      </c>
      <c r="N304" s="14">
        <f>IF(L304="","",ROUND(L304*'สรุป'!$C$6,-1))</f>
        <v/>
      </c>
      <c r="O304" s="15" t="n"/>
      <c r="P304" s="15" t="n"/>
      <c r="Q304" s="10" t="n"/>
      <c r="R304" s="10" t="n"/>
      <c r="S304" s="16" t="inlineStr">
        <is>
          <t>https://mstgolf.co.th/products/gf1210100696</t>
        </is>
      </c>
      <c r="T304" s="1">
        <f>IF(B304="ไม้กอล์ฟ",J304,"")</f>
        <v/>
      </c>
    </row>
    <row r="305">
      <c r="A305" s="1" t="n">
        <v>1</v>
      </c>
      <c r="B305" s="1" t="inlineStr">
        <is>
          <t>ไม้กอล์ฟ</t>
        </is>
      </c>
      <c r="C305" s="1" t="inlineStr">
        <is>
          <t>gf1240100460</t>
        </is>
      </c>
      <c r="D305" s="1" t="inlineStr">
        <is>
          <t>TAYLORMADE TP Patina Ardmore 3 LH Men's Putter</t>
        </is>
      </c>
      <c r="E305" s="1" t="inlineStr">
        <is>
          <t>TAYLORMADE</t>
        </is>
      </c>
      <c r="F305" s="1" t="inlineStr">
        <is>
          <t>PUTTER</t>
        </is>
      </c>
      <c r="G305" s="1" t="inlineStr">
        <is>
          <t>GF124010046134</t>
        </is>
      </c>
      <c r="H305" s="1" t="n">
        <v>1</v>
      </c>
      <c r="I305" s="1" t="inlineStr">
        <is>
          <t>มี</t>
        </is>
      </c>
      <c r="J305" s="13" t="n">
        <v>249</v>
      </c>
      <c r="K305" s="1" t="inlineStr"/>
      <c r="L305" s="13" t="n">
        <v>249</v>
      </c>
      <c r="M305" s="1">
        <f>IF(L305="","ไม่พบใน SG",IF(ABS(J305-L305)&lt;0.005,"ตรงกัน","ไม่ตรง"))</f>
        <v/>
      </c>
      <c r="N305" s="14">
        <f>IF(L305="","",ROUND(L305*'สรุป'!$C$6,-1))</f>
        <v/>
      </c>
      <c r="O305" s="15" t="n"/>
      <c r="P305" s="15" t="n"/>
      <c r="Q305" s="10" t="n"/>
      <c r="R305" s="10" t="n"/>
      <c r="S305" s="16" t="inlineStr">
        <is>
          <t>https://mstgolf.co.th/products/gf1240100460</t>
        </is>
      </c>
      <c r="T305" s="1">
        <f>IF(B305="ไม้กอล์ฟ",J305,"")</f>
        <v/>
      </c>
    </row>
    <row r="306">
      <c r="A306" s="1" t="n">
        <v>1</v>
      </c>
      <c r="B306" s="1" t="inlineStr">
        <is>
          <t>ไม้กอล์ฟ</t>
        </is>
      </c>
      <c r="C306" s="1" t="inlineStr">
        <is>
          <t>gf1270100611</t>
        </is>
      </c>
      <c r="D306" s="1" t="inlineStr">
        <is>
          <t>MIZUNO Pro T-1 Satin (2025) Men's Wedge</t>
        </is>
      </c>
      <c r="E306" s="1" t="inlineStr">
        <is>
          <t>MIZUNO</t>
        </is>
      </c>
      <c r="F306" s="1" t="inlineStr">
        <is>
          <t>WEDGES</t>
        </is>
      </c>
      <c r="G306" s="1" t="inlineStr">
        <is>
          <t>GF127010061148</t>
        </is>
      </c>
      <c r="H306" s="1" t="n">
        <v>7</v>
      </c>
      <c r="I306" s="1" t="inlineStr">
        <is>
          <t>มี</t>
        </is>
      </c>
      <c r="J306" s="13" t="n">
        <v>248</v>
      </c>
      <c r="K306" s="1" t="inlineStr"/>
      <c r="L306" s="13" t="n">
        <v>219</v>
      </c>
      <c r="M306" s="1">
        <f>IF(L306="","ไม่พบใน SG",IF(ABS(J306-L306)&lt;0.005,"ตรงกัน","ไม่ตรง"))</f>
        <v/>
      </c>
      <c r="N306" s="14">
        <f>IF(L306="","",ROUND(L306*'สรุป'!$C$6,-1))</f>
        <v/>
      </c>
      <c r="O306" s="15" t="n"/>
      <c r="P306" s="15" t="n"/>
      <c r="Q306" s="10" t="n"/>
      <c r="R306" s="10" t="n"/>
      <c r="S306" s="16" t="inlineStr">
        <is>
          <t>https://mstgolf.co.th/products/gf1270100611</t>
        </is>
      </c>
      <c r="T306" s="1">
        <f>IF(B306="ไม้กอล์ฟ",J306,"")</f>
        <v/>
      </c>
    </row>
    <row r="307">
      <c r="A307" s="1" t="n">
        <v>1</v>
      </c>
      <c r="B307" s="1" t="inlineStr">
        <is>
          <t>ไม้กอล์ฟ</t>
        </is>
      </c>
      <c r="C307" s="1" t="inlineStr">
        <is>
          <t>gf1270100526</t>
        </is>
      </c>
      <c r="D307" s="1" t="inlineStr">
        <is>
          <t>ONOFF Forged (2024) Men's Wedge</t>
        </is>
      </c>
      <c r="E307" s="1" t="inlineStr">
        <is>
          <t>ONOFF</t>
        </is>
      </c>
      <c r="F307" s="1" t="inlineStr">
        <is>
          <t>WEDGES</t>
        </is>
      </c>
      <c r="G307" s="1" t="inlineStr">
        <is>
          <t>GF127010052648</t>
        </is>
      </c>
      <c r="H307" s="1" t="n">
        <v>6</v>
      </c>
      <c r="I307" s="1" t="inlineStr">
        <is>
          <t>มี</t>
        </is>
      </c>
      <c r="J307" s="13" t="n">
        <v>245</v>
      </c>
      <c r="K307" s="1" t="inlineStr"/>
      <c r="L307" s="13" t="n">
        <v>245</v>
      </c>
      <c r="M307" s="1">
        <f>IF(L307="","ไม่พบใน SG",IF(ABS(J307-L307)&lt;0.005,"ตรงกัน","ไม่ตรง"))</f>
        <v/>
      </c>
      <c r="N307" s="14">
        <f>IF(L307="","",ROUND(L307*'สรุป'!$C$6,-1))</f>
        <v/>
      </c>
      <c r="O307" s="15" t="n"/>
      <c r="P307" s="15" t="n"/>
      <c r="Q307" s="10" t="n"/>
      <c r="R307" s="10" t="n"/>
      <c r="S307" s="16" t="inlineStr">
        <is>
          <t>https://mstgolf.co.th/products/gf1270100526</t>
        </is>
      </c>
      <c r="T307" s="1">
        <f>IF(B307="ไม้กอล์ฟ",J307,"")</f>
        <v/>
      </c>
    </row>
    <row r="308">
      <c r="A308" s="1" t="n">
        <v>1</v>
      </c>
      <c r="B308" s="1" t="inlineStr">
        <is>
          <t>ไม้กอล์ฟ</t>
        </is>
      </c>
      <c r="C308" s="1" t="inlineStr">
        <is>
          <t>gf1270100494</t>
        </is>
      </c>
      <c r="D308" s="1" t="inlineStr">
        <is>
          <t>TAYLORMADE Milled Grind 4 Chrome High Bounce (2023) Men's Wedge</t>
        </is>
      </c>
      <c r="E308" s="1" t="inlineStr">
        <is>
          <t>TAYLORMADE</t>
        </is>
      </c>
      <c r="F308" s="1" t="inlineStr">
        <is>
          <t>WEDGES</t>
        </is>
      </c>
      <c r="G308" s="1" t="inlineStr">
        <is>
          <t>GF127010049454</t>
        </is>
      </c>
      <c r="H308" s="1" t="n">
        <v>4</v>
      </c>
      <c r="I308" s="1" t="inlineStr">
        <is>
          <t>มี</t>
        </is>
      </c>
      <c r="J308" s="13" t="n">
        <v>229</v>
      </c>
      <c r="K308" s="1" t="inlineStr"/>
      <c r="L308" s="13" t="n">
        <v>199</v>
      </c>
      <c r="M308" s="1">
        <f>IF(L308="","ไม่พบใน SG",IF(ABS(J308-L308)&lt;0.005,"ตรงกัน","ไม่ตรง"))</f>
        <v/>
      </c>
      <c r="N308" s="14">
        <f>IF(L308="","",ROUND(L308*'สรุป'!$C$6,-1))</f>
        <v/>
      </c>
      <c r="O308" s="15" t="n"/>
      <c r="P308" s="15" t="n"/>
      <c r="Q308" s="10" t="n"/>
      <c r="R308" s="10" t="n"/>
      <c r="S308" s="16" t="inlineStr">
        <is>
          <t>https://mstgolf.co.th/products/gf1270100494</t>
        </is>
      </c>
      <c r="T308" s="1">
        <f>IF(B308="ไม้กอล์ฟ",J308,"")</f>
        <v/>
      </c>
    </row>
    <row r="309">
      <c r="A309" s="1" t="n">
        <v>1</v>
      </c>
      <c r="B309" s="1" t="inlineStr">
        <is>
          <t>ไม้กอล์ฟ</t>
        </is>
      </c>
      <c r="C309" s="1" t="inlineStr">
        <is>
          <t>gf1270100493</t>
        </is>
      </c>
      <c r="D309" s="1" t="inlineStr">
        <is>
          <t>TAYLORMADE Milled Grind 4 Chrome Low Bounce (2023) Men's Wedge</t>
        </is>
      </c>
      <c r="E309" s="1" t="inlineStr">
        <is>
          <t>TAYLORMADE</t>
        </is>
      </c>
      <c r="F309" s="1" t="inlineStr">
        <is>
          <t>WEDGES</t>
        </is>
      </c>
      <c r="G309" s="1" t="inlineStr">
        <is>
          <t>GF127010049356</t>
        </is>
      </c>
      <c r="H309" s="1" t="n">
        <v>3</v>
      </c>
      <c r="I309" s="1" t="inlineStr">
        <is>
          <t>มี</t>
        </is>
      </c>
      <c r="J309" s="13" t="n">
        <v>229</v>
      </c>
      <c r="K309" s="1" t="inlineStr"/>
      <c r="L309" s="13" t="n">
        <v>199</v>
      </c>
      <c r="M309" s="1">
        <f>IF(L309="","ไม่พบใน SG",IF(ABS(J309-L309)&lt;0.005,"ตรงกัน","ไม่ตรง"))</f>
        <v/>
      </c>
      <c r="N309" s="14">
        <f>IF(L309="","",ROUND(L309*'สรุป'!$C$6,-1))</f>
        <v/>
      </c>
      <c r="O309" s="15" t="n"/>
      <c r="P309" s="15" t="n"/>
      <c r="Q309" s="10" t="n"/>
      <c r="R309" s="10" t="n"/>
      <c r="S309" s="16" t="inlineStr">
        <is>
          <t>https://mstgolf.co.th/products/gf1270100493</t>
        </is>
      </c>
      <c r="T309" s="1">
        <f>IF(B309="ไม้กอล์ฟ",J309,"")</f>
        <v/>
      </c>
    </row>
    <row r="310">
      <c r="A310" s="1" t="n">
        <v>1</v>
      </c>
      <c r="B310" s="1" t="inlineStr">
        <is>
          <t>ไม้กอล์ฟ</t>
        </is>
      </c>
      <c r="C310" s="1" t="inlineStr">
        <is>
          <t>gf1230100473</t>
        </is>
      </c>
      <c r="D310" s="1" t="inlineStr">
        <is>
          <t>TAYLORMADE Stealth Plus + Men's Rescue</t>
        </is>
      </c>
      <c r="E310" s="1" t="inlineStr">
        <is>
          <t>TAYLORMADE</t>
        </is>
      </c>
      <c r="F310" s="1" t="inlineStr">
        <is>
          <t>UTILITY/HYBRID</t>
        </is>
      </c>
      <c r="G310" s="1" t="inlineStr">
        <is>
          <t>GF1230100473#2S</t>
        </is>
      </c>
      <c r="H310" s="1" t="n">
        <v>5</v>
      </c>
      <c r="I310" s="1" t="inlineStr">
        <is>
          <t>มี</t>
        </is>
      </c>
      <c r="J310" s="13" t="n">
        <v>219</v>
      </c>
      <c r="K310" s="1" t="inlineStr"/>
      <c r="L310" s="13" t="n"/>
      <c r="M310" s="1">
        <f>IF(L310="","ไม่พบใน SG",IF(ABS(J310-L310)&lt;0.005,"ตรงกัน","ไม่ตรง"))</f>
        <v/>
      </c>
      <c r="N310" s="14">
        <f>IF(L310="","",ROUND(L310*'สรุป'!$C$6,-1))</f>
        <v/>
      </c>
      <c r="O310" s="15" t="n"/>
      <c r="P310" s="15" t="n"/>
      <c r="Q310" s="10" t="n"/>
      <c r="R310" s="10" t="n"/>
      <c r="S310" s="16" t="inlineStr">
        <is>
          <t>https://mstgolf.co.th/products/gf1230100473</t>
        </is>
      </c>
      <c r="T310" s="1">
        <f>IF(B310="ไม้กอล์ฟ",J310,"")</f>
        <v/>
      </c>
    </row>
    <row r="311">
      <c r="A311" s="1" t="n">
        <v>1</v>
      </c>
      <c r="B311" s="1" t="inlineStr">
        <is>
          <t>ไม้กอล์ฟ</t>
        </is>
      </c>
      <c r="C311" s="1" t="inlineStr">
        <is>
          <t>gf1270100361</t>
        </is>
      </c>
      <c r="D311" s="1" t="inlineStr">
        <is>
          <t>ONOFF AKA Frog's Leap II (2021) Men's Wedge</t>
        </is>
      </c>
      <c r="E311" s="1" t="inlineStr">
        <is>
          <t>ONOFF</t>
        </is>
      </c>
      <c r="F311" s="1" t="inlineStr">
        <is>
          <t>WEDGES</t>
        </is>
      </c>
      <c r="G311" s="1" t="inlineStr">
        <is>
          <t>GF127010036151</t>
        </is>
      </c>
      <c r="H311" s="1" t="n">
        <v>3</v>
      </c>
      <c r="I311" s="1" t="inlineStr">
        <is>
          <t>มี</t>
        </is>
      </c>
      <c r="J311" s="13" t="n">
        <v>209</v>
      </c>
      <c r="K311" s="1" t="inlineStr"/>
      <c r="L311" s="13" t="n">
        <v>209</v>
      </c>
      <c r="M311" s="1">
        <f>IF(L311="","ไม่พบใน SG",IF(ABS(J311-L311)&lt;0.005,"ตรงกัน","ไม่ตรง"))</f>
        <v/>
      </c>
      <c r="N311" s="14">
        <f>IF(L311="","",ROUND(L311*'สรุป'!$C$6,-1))</f>
        <v/>
      </c>
      <c r="O311" s="15" t="n"/>
      <c r="P311" s="15" t="n"/>
      <c r="Q311" s="10" t="n"/>
      <c r="R311" s="10" t="n"/>
      <c r="S311" s="16" t="inlineStr">
        <is>
          <t>https://mstgolf.co.th/products/gf1270100361</t>
        </is>
      </c>
      <c r="T311" s="1">
        <f>IF(B311="ไม้กอล์ฟ",J311,"")</f>
        <v/>
      </c>
    </row>
    <row r="312">
      <c r="A312" s="1" t="n">
        <v>1</v>
      </c>
      <c r="B312" s="1" t="inlineStr">
        <is>
          <t>ไม้กอล์ฟ</t>
        </is>
      </c>
      <c r="C312" s="1" t="inlineStr">
        <is>
          <t>gf1270100273</t>
        </is>
      </c>
      <c r="D312" s="1" t="inlineStr">
        <is>
          <t>ONOFF Labo Frog's Leap II (2021) Men's Wedge</t>
        </is>
      </c>
      <c r="E312" s="1" t="inlineStr">
        <is>
          <t>ONOFF</t>
        </is>
      </c>
      <c r="F312" s="1" t="inlineStr">
        <is>
          <t>WEDGES</t>
        </is>
      </c>
      <c r="G312" s="1" t="inlineStr">
        <is>
          <t>GF127010027450</t>
        </is>
      </c>
      <c r="H312" s="1" t="n">
        <v>9</v>
      </c>
      <c r="I312" s="1" t="inlineStr">
        <is>
          <t>มี</t>
        </is>
      </c>
      <c r="J312" s="13" t="n">
        <v>209</v>
      </c>
      <c r="K312" s="1" t="inlineStr">
        <is>
          <t>ต่างกัน</t>
        </is>
      </c>
      <c r="L312" s="13" t="n">
        <v>209</v>
      </c>
      <c r="M312" s="1">
        <f>IF(L312="","ไม่พบใน SG",IF(ABS(J312-L312)&lt;0.005,"ตรงกัน","ไม่ตรง"))</f>
        <v/>
      </c>
      <c r="N312" s="14">
        <f>IF(L312="","",ROUND(L312*'สรุป'!$C$6,-1))</f>
        <v/>
      </c>
      <c r="O312" s="15" t="n"/>
      <c r="P312" s="15" t="n"/>
      <c r="Q312" s="10" t="n"/>
      <c r="R312" s="10" t="n"/>
      <c r="S312" s="16" t="inlineStr">
        <is>
          <t>https://mstgolf.co.th/products/gf1270100273</t>
        </is>
      </c>
      <c r="T312" s="1">
        <f>IF(B312="ไม้กอล์ฟ",J312,"")</f>
        <v/>
      </c>
    </row>
    <row r="313">
      <c r="A313" s="1" t="n">
        <v>1</v>
      </c>
      <c r="B313" s="1" t="inlineStr">
        <is>
          <t>ไม้กอล์ฟ</t>
        </is>
      </c>
      <c r="C313" s="1" t="inlineStr">
        <is>
          <t>gf1230100754</t>
        </is>
      </c>
      <c r="D313" s="1" t="inlineStr">
        <is>
          <t>MIZUNO JPX FLI HI (2025) Men's Hybrid</t>
        </is>
      </c>
      <c r="E313" s="1" t="inlineStr">
        <is>
          <t>MIZUNO</t>
        </is>
      </c>
      <c r="F313" s="1" t="inlineStr">
        <is>
          <t>UTILITY/HYBRID</t>
        </is>
      </c>
      <c r="G313" s="1" t="inlineStr">
        <is>
          <t>GF1230100754#4R</t>
        </is>
      </c>
      <c r="H313" s="1" t="n">
        <v>2</v>
      </c>
      <c r="I313" s="1" t="inlineStr">
        <is>
          <t>มี</t>
        </is>
      </c>
      <c r="J313" s="13" t="n">
        <v>199</v>
      </c>
      <c r="K313" s="1" t="inlineStr"/>
      <c r="L313" s="13" t="n">
        <v>189</v>
      </c>
      <c r="M313" s="1">
        <f>IF(L313="","ไม่พบใน SG",IF(ABS(J313-L313)&lt;0.005,"ตรงกัน","ไม่ตรง"))</f>
        <v/>
      </c>
      <c r="N313" s="14">
        <f>IF(L313="","",ROUND(L313*'สรุป'!$C$6,-1))</f>
        <v/>
      </c>
      <c r="O313" s="15" t="n"/>
      <c r="P313" s="15" t="n"/>
      <c r="Q313" s="10" t="n"/>
      <c r="R313" s="10" t="n"/>
      <c r="S313" s="16" t="inlineStr">
        <is>
          <t>https://mstgolf.co.th/products/gf1230100754</t>
        </is>
      </c>
      <c r="T313" s="1">
        <f>IF(B313="ไม้กอล์ฟ",J313,"")</f>
        <v/>
      </c>
    </row>
    <row r="314">
      <c r="A314" s="1" t="n">
        <v>1</v>
      </c>
      <c r="B314" s="1" t="inlineStr">
        <is>
          <t>ไม้กอล์ฟ</t>
        </is>
      </c>
      <c r="C314" s="1" t="inlineStr">
        <is>
          <t>gf1220100635</t>
        </is>
      </c>
      <c r="D314" s="1" t="inlineStr">
        <is>
          <t>TAYLORMADE Stealth 2 (2023) Men's Fairway</t>
        </is>
      </c>
      <c r="E314" s="1" t="inlineStr">
        <is>
          <t>TAYLORMADE</t>
        </is>
      </c>
      <c r="F314" s="1" t="inlineStr">
        <is>
          <t>FAIRWAY WOOD</t>
        </is>
      </c>
      <c r="G314" s="1" t="inlineStr">
        <is>
          <t>GF1220100635#3SR</t>
        </is>
      </c>
      <c r="H314" s="1" t="n">
        <v>8</v>
      </c>
      <c r="I314" s="1" t="inlineStr">
        <is>
          <t>มี</t>
        </is>
      </c>
      <c r="J314" s="13" t="n">
        <v>199</v>
      </c>
      <c r="K314" s="1" t="inlineStr"/>
      <c r="L314" s="13" t="n"/>
      <c r="M314" s="1">
        <f>IF(L314="","ไม่พบใน SG",IF(ABS(J314-L314)&lt;0.005,"ตรงกัน","ไม่ตรง"))</f>
        <v/>
      </c>
      <c r="N314" s="14">
        <f>IF(L314="","",ROUND(L314*'สรุป'!$C$6,-1))</f>
        <v/>
      </c>
      <c r="O314" s="15" t="n"/>
      <c r="P314" s="15" t="n"/>
      <c r="Q314" s="10" t="n"/>
      <c r="R314" s="10" t="n"/>
      <c r="S314" s="16" t="inlineStr">
        <is>
          <t>https://mstgolf.co.th/products/gf1220100635</t>
        </is>
      </c>
      <c r="T314" s="1">
        <f>IF(B314="ไม้กอล์ฟ",J314,"")</f>
        <v/>
      </c>
    </row>
    <row r="315">
      <c r="A315" s="1" t="n">
        <v>1</v>
      </c>
      <c r="B315" s="1" t="inlineStr">
        <is>
          <t>ไม้กอล์ฟ</t>
        </is>
      </c>
      <c r="C315" s="1" t="inlineStr">
        <is>
          <t>gf1220100633</t>
        </is>
      </c>
      <c r="D315" s="1" t="inlineStr">
        <is>
          <t>TAYLORMADE Stealth 2 Plus (2023) Men's Fairway</t>
        </is>
      </c>
      <c r="E315" s="1" t="inlineStr">
        <is>
          <t>TAYLORMADE</t>
        </is>
      </c>
      <c r="F315" s="1" t="inlineStr">
        <is>
          <t>FAIRWAY WOOD</t>
        </is>
      </c>
      <c r="G315" s="1" t="inlineStr">
        <is>
          <t>GF1220100634#3S</t>
        </is>
      </c>
      <c r="H315" s="1" t="n">
        <v>10</v>
      </c>
      <c r="I315" s="1" t="inlineStr">
        <is>
          <t>มี</t>
        </is>
      </c>
      <c r="J315" s="13" t="n">
        <v>199</v>
      </c>
      <c r="K315" s="1" t="inlineStr"/>
      <c r="L315" s="13" t="n"/>
      <c r="M315" s="1">
        <f>IF(L315="","ไม่พบใน SG",IF(ABS(J315-L315)&lt;0.005,"ตรงกัน","ไม่ตรง"))</f>
        <v/>
      </c>
      <c r="N315" s="14">
        <f>IF(L315="","",ROUND(L315*'สรุป'!$C$6,-1))</f>
        <v/>
      </c>
      <c r="O315" s="15" t="n"/>
      <c r="P315" s="15" t="n"/>
      <c r="Q315" s="10" t="n"/>
      <c r="R315" s="10" t="n"/>
      <c r="S315" s="16" t="inlineStr">
        <is>
          <t>https://mstgolf.co.th/products/gf1220100633</t>
        </is>
      </c>
      <c r="T315" s="1">
        <f>IF(B315="ไม้กอล์ฟ",J315,"")</f>
        <v/>
      </c>
    </row>
    <row r="316">
      <c r="A316" s="1" t="n">
        <v>1</v>
      </c>
      <c r="B316" s="1" t="inlineStr">
        <is>
          <t>ไม้กอล์ฟ</t>
        </is>
      </c>
      <c r="C316" s="1" t="inlineStr">
        <is>
          <t>gf1220100634</t>
        </is>
      </c>
      <c r="D316" s="1" t="inlineStr">
        <is>
          <t>TAYLORMADE Stealth 2 Plus Men's Fairway</t>
        </is>
      </c>
      <c r="E316" s="1" t="inlineStr">
        <is>
          <t>TAYLORMADE</t>
        </is>
      </c>
      <c r="F316" s="1" t="inlineStr">
        <is>
          <t>FAIRWAY WOOD</t>
        </is>
      </c>
      <c r="G316" s="1" t="inlineStr">
        <is>
          <t>GF1220100656#3S</t>
        </is>
      </c>
      <c r="H316" s="1" t="n">
        <v>4</v>
      </c>
      <c r="I316" s="1" t="inlineStr">
        <is>
          <t>มี</t>
        </is>
      </c>
      <c r="J316" s="13" t="n">
        <v>199</v>
      </c>
      <c r="K316" s="1" t="inlineStr"/>
      <c r="L316" s="13" t="n"/>
      <c r="M316" s="1">
        <f>IF(L316="","ไม่พบใน SG",IF(ABS(J316-L316)&lt;0.005,"ตรงกัน","ไม่ตรง"))</f>
        <v/>
      </c>
      <c r="N316" s="14">
        <f>IF(L316="","",ROUND(L316*'สรุป'!$C$6,-1))</f>
        <v/>
      </c>
      <c r="O316" s="15" t="n"/>
      <c r="P316" s="15" t="n"/>
      <c r="Q316" s="10" t="n"/>
      <c r="R316" s="10" t="n"/>
      <c r="S316" s="16" t="inlineStr">
        <is>
          <t>https://mstgolf.co.th/products/gf1220100634</t>
        </is>
      </c>
      <c r="T316" s="1">
        <f>IF(B316="ไม้กอล์ฟ",J316,"")</f>
        <v/>
      </c>
    </row>
    <row r="317">
      <c r="A317" s="1" t="n">
        <v>1</v>
      </c>
      <c r="B317" s="1" t="inlineStr">
        <is>
          <t>ไม้กอล์ฟ</t>
        </is>
      </c>
      <c r="C317" s="1" t="inlineStr">
        <is>
          <t>gf1270100543</t>
        </is>
      </c>
      <c r="D317" s="1" t="inlineStr">
        <is>
          <t>TITLEIST Vokey SM10 Nickel F Grind (2024) Men's Wedge</t>
        </is>
      </c>
      <c r="E317" s="1" t="inlineStr">
        <is>
          <t>TITLEIST</t>
        </is>
      </c>
      <c r="F317" s="1" t="inlineStr">
        <is>
          <t>WEDGES</t>
        </is>
      </c>
      <c r="G317" s="1" t="inlineStr">
        <is>
          <t>GF127010054346</t>
        </is>
      </c>
      <c r="H317" s="1" t="n">
        <v>6</v>
      </c>
      <c r="I317" s="1" t="inlineStr">
        <is>
          <t>มี</t>
        </is>
      </c>
      <c r="J317" s="13" t="n">
        <v>199</v>
      </c>
      <c r="K317" s="1" t="inlineStr"/>
      <c r="L317" s="13" t="n">
        <v>199</v>
      </c>
      <c r="M317" s="1">
        <f>IF(L317="","ไม่พบใน SG",IF(ABS(J317-L317)&lt;0.005,"ตรงกัน","ไม่ตรง"))</f>
        <v/>
      </c>
      <c r="N317" s="14">
        <f>IF(L317="","",ROUND(L317*'สรุป'!$C$6,-1))</f>
        <v/>
      </c>
      <c r="O317" s="15" t="n"/>
      <c r="P317" s="15" t="n"/>
      <c r="Q317" s="10" t="n"/>
      <c r="R317" s="10" t="n"/>
      <c r="S317" s="16" t="inlineStr">
        <is>
          <t>https://mstgolf.co.th/products/gf1270100543</t>
        </is>
      </c>
      <c r="T317" s="1">
        <f>IF(B317="ไม้กอล์ฟ",J317,"")</f>
        <v/>
      </c>
    </row>
    <row r="318">
      <c r="A318" s="1" t="n">
        <v>1</v>
      </c>
      <c r="B318" s="1" t="inlineStr">
        <is>
          <t>ไม้กอล์ฟ</t>
        </is>
      </c>
      <c r="C318" s="1" t="inlineStr">
        <is>
          <t>gf1270100534</t>
        </is>
      </c>
      <c r="D318" s="1" t="inlineStr">
        <is>
          <t>TITLEIST Vokey SM10 Tour Chrome F Grind (2024) Men's Wedge</t>
        </is>
      </c>
      <c r="E318" s="1" t="inlineStr">
        <is>
          <t>TITLEIST</t>
        </is>
      </c>
      <c r="F318" s="1" t="inlineStr">
        <is>
          <t>WEDGES</t>
        </is>
      </c>
      <c r="G318" s="1" t="inlineStr">
        <is>
          <t>GF127010053746</t>
        </is>
      </c>
      <c r="H318" s="1" t="n">
        <v>6</v>
      </c>
      <c r="I318" s="1" t="inlineStr">
        <is>
          <t>มี</t>
        </is>
      </c>
      <c r="J318" s="13" t="n">
        <v>199</v>
      </c>
      <c r="K318" s="1" t="inlineStr"/>
      <c r="L318" s="13" t="n">
        <v>199</v>
      </c>
      <c r="M318" s="1">
        <f>IF(L318="","ไม่พบใน SG",IF(ABS(J318-L318)&lt;0.005,"ตรงกัน","ไม่ตรง"))</f>
        <v/>
      </c>
      <c r="N318" s="14">
        <f>IF(L318="","",ROUND(L318*'สรุป'!$C$6,-1))</f>
        <v/>
      </c>
      <c r="O318" s="15" t="n"/>
      <c r="P318" s="15" t="n"/>
      <c r="Q318" s="10" t="n"/>
      <c r="R318" s="10" t="n"/>
      <c r="S318" s="16" t="inlineStr">
        <is>
          <t>https://mstgolf.co.th/products/gf1270100534</t>
        </is>
      </c>
      <c r="T318" s="1">
        <f>IF(B318="ไม้กอล์ฟ",J318,"")</f>
        <v/>
      </c>
    </row>
    <row r="319">
      <c r="A319" s="1" t="n">
        <v>1</v>
      </c>
      <c r="B319" s="1" t="inlineStr">
        <is>
          <t>ไม้กอล์ฟ</t>
        </is>
      </c>
      <c r="C319" s="1" t="inlineStr">
        <is>
          <t>gf1270100540</t>
        </is>
      </c>
      <c r="D319" s="1" t="inlineStr">
        <is>
          <t>TITLEIST Vokey SM10 Tour Chrome S Grind (2024) Men's Wedge</t>
        </is>
      </c>
      <c r="E319" s="1" t="inlineStr">
        <is>
          <t>TITLEIST</t>
        </is>
      </c>
      <c r="F319" s="1" t="inlineStr">
        <is>
          <t>WEDGES</t>
        </is>
      </c>
      <c r="G319" s="1" t="inlineStr">
        <is>
          <t>GF127010054054</t>
        </is>
      </c>
      <c r="H319" s="1" t="n">
        <v>4</v>
      </c>
      <c r="I319" s="1" t="inlineStr">
        <is>
          <t>มี</t>
        </is>
      </c>
      <c r="J319" s="13" t="n">
        <v>199</v>
      </c>
      <c r="K319" s="1" t="inlineStr"/>
      <c r="L319" s="13" t="n">
        <v>199</v>
      </c>
      <c r="M319" s="1">
        <f>IF(L319="","ไม่พบใน SG",IF(ABS(J319-L319)&lt;0.005,"ตรงกัน","ไม่ตรง"))</f>
        <v/>
      </c>
      <c r="N319" s="14">
        <f>IF(L319="","",ROUND(L319*'สรุป'!$C$6,-1))</f>
        <v/>
      </c>
      <c r="O319" s="15" t="n"/>
      <c r="P319" s="15" t="n"/>
      <c r="Q319" s="10" t="n"/>
      <c r="R319" s="10" t="n"/>
      <c r="S319" s="16" t="inlineStr">
        <is>
          <t>https://mstgolf.co.th/products/gf1270100540</t>
        </is>
      </c>
      <c r="T319" s="1">
        <f>IF(B319="ไม้กอล์ฟ",J319,"")</f>
        <v/>
      </c>
    </row>
    <row r="320">
      <c r="A320" s="1" t="n">
        <v>1</v>
      </c>
      <c r="B320" s="1" t="inlineStr">
        <is>
          <t>ไม้กอล์ฟ</t>
        </is>
      </c>
      <c r="C320" s="1" t="inlineStr">
        <is>
          <t>gf1240100653</t>
        </is>
      </c>
      <c r="D320" s="1" t="inlineStr">
        <is>
          <t>TAYLORMADE Redline Cora (2018) Men's Putter</t>
        </is>
      </c>
      <c r="E320" s="1" t="inlineStr">
        <is>
          <t>TAYLORMADE</t>
        </is>
      </c>
      <c r="F320" s="1" t="inlineStr">
        <is>
          <t>PUTTER</t>
        </is>
      </c>
      <c r="G320" s="1" t="inlineStr">
        <is>
          <t>GF124010065334</t>
        </is>
      </c>
      <c r="H320" s="1" t="n">
        <v>1</v>
      </c>
      <c r="I320" s="1" t="inlineStr">
        <is>
          <t>มี</t>
        </is>
      </c>
      <c r="J320" s="13" t="n">
        <v>179</v>
      </c>
      <c r="K320" s="1" t="inlineStr"/>
      <c r="L320" s="13" t="n">
        <v>179</v>
      </c>
      <c r="M320" s="1">
        <f>IF(L320="","ไม่พบใน SG",IF(ABS(J320-L320)&lt;0.005,"ตรงกัน","ไม่ตรง"))</f>
        <v/>
      </c>
      <c r="N320" s="14">
        <f>IF(L320="","",ROUND(L320*'สรุป'!$C$6,-1))</f>
        <v/>
      </c>
      <c r="O320" s="15" t="n"/>
      <c r="P320" s="15" t="n"/>
      <c r="Q320" s="10" t="n"/>
      <c r="R320" s="10" t="n"/>
      <c r="S320" s="16" t="inlineStr">
        <is>
          <t>https://mstgolf.co.th/products/gf1240100653</t>
        </is>
      </c>
      <c r="T320" s="1">
        <f>IF(B320="ไม้กอล์ฟ",J320,"")</f>
        <v/>
      </c>
    </row>
    <row r="321">
      <c r="A321" s="1" t="n">
        <v>1</v>
      </c>
      <c r="B321" s="1" t="inlineStr">
        <is>
          <t>ไม้กอล์ฟ</t>
        </is>
      </c>
      <c r="C321" s="1" t="inlineStr">
        <is>
          <t>gf1220100539</t>
        </is>
      </c>
      <c r="D321" s="1" t="inlineStr">
        <is>
          <t>TAYLORMADE Stealth (2022) Men's Fairway</t>
        </is>
      </c>
      <c r="E321" s="1" t="inlineStr">
        <is>
          <t>TAYLORMADE</t>
        </is>
      </c>
      <c r="F321" s="1" t="inlineStr">
        <is>
          <t>FAIRWAY WOOD</t>
        </is>
      </c>
      <c r="G321" s="1" t="inlineStr">
        <is>
          <t>GF1220100540#3SR</t>
        </is>
      </c>
      <c r="H321" s="1" t="n">
        <v>4</v>
      </c>
      <c r="I321" s="1" t="inlineStr">
        <is>
          <t>มี</t>
        </is>
      </c>
      <c r="J321" s="13" t="n">
        <v>169</v>
      </c>
      <c r="K321" s="1" t="inlineStr"/>
      <c r="L321" s="13" t="n"/>
      <c r="M321" s="1">
        <f>IF(L321="","ไม่พบใน SG",IF(ABS(J321-L321)&lt;0.005,"ตรงกัน","ไม่ตรง"))</f>
        <v/>
      </c>
      <c r="N321" s="14">
        <f>IF(L321="","",ROUND(L321*'สรุป'!$C$6,-1))</f>
        <v/>
      </c>
      <c r="O321" s="15" t="n"/>
      <c r="P321" s="15" t="n"/>
      <c r="Q321" s="10" t="n"/>
      <c r="R321" s="10" t="n"/>
      <c r="S321" s="16" t="inlineStr">
        <is>
          <t>https://mstgolf.co.th/products/gf1220100539</t>
        </is>
      </c>
      <c r="T321" s="1">
        <f>IF(B321="ไม้กอล์ฟ",J321,"")</f>
        <v/>
      </c>
    </row>
    <row r="322">
      <c r="A322" s="1" t="n">
        <v>1</v>
      </c>
      <c r="B322" s="1" t="inlineStr">
        <is>
          <t>ไม้กอล์ฟ</t>
        </is>
      </c>
      <c r="C322" s="1" t="inlineStr">
        <is>
          <t>gf1220100541</t>
        </is>
      </c>
      <c r="D322" s="1" t="inlineStr">
        <is>
          <t>TAYLORMADE Stealth (2022) Women's Fairway</t>
        </is>
      </c>
      <c r="E322" s="1" t="inlineStr">
        <is>
          <t>TAYLORMADE</t>
        </is>
      </c>
      <c r="F322" s="1" t="inlineStr">
        <is>
          <t>FAIRWAY WOOD</t>
        </is>
      </c>
      <c r="G322" s="1" t="inlineStr">
        <is>
          <t>GF1220100541#3L</t>
        </is>
      </c>
      <c r="H322" s="1" t="n">
        <v>2</v>
      </c>
      <c r="I322" s="1" t="inlineStr">
        <is>
          <t>มี</t>
        </is>
      </c>
      <c r="J322" s="13" t="n">
        <v>169</v>
      </c>
      <c r="K322" s="1" t="inlineStr"/>
      <c r="L322" s="13" t="n"/>
      <c r="M322" s="1">
        <f>IF(L322="","ไม่พบใน SG",IF(ABS(J322-L322)&lt;0.005,"ตรงกัน","ไม่ตรง"))</f>
        <v/>
      </c>
      <c r="N322" s="14">
        <f>IF(L322="","",ROUND(L322*'สรุป'!$C$6,-1))</f>
        <v/>
      </c>
      <c r="O322" s="15" t="n"/>
      <c r="P322" s="15" t="n"/>
      <c r="Q322" s="10" t="n"/>
      <c r="R322" s="10" t="n"/>
      <c r="S322" s="16" t="inlineStr">
        <is>
          <t>https://mstgolf.co.th/products/gf1220100541</t>
        </is>
      </c>
      <c r="T322" s="1">
        <f>IF(B322="ไม้กอล์ฟ",J322,"")</f>
        <v/>
      </c>
    </row>
    <row r="323">
      <c r="A323" s="1" t="n">
        <v>1</v>
      </c>
      <c r="B323" s="1" t="inlineStr">
        <is>
          <t>ไม้กอล์ฟ</t>
        </is>
      </c>
      <c r="C323" s="1" t="inlineStr">
        <is>
          <t>gf1220100537</t>
        </is>
      </c>
      <c r="D323" s="1" t="inlineStr">
        <is>
          <t>TAYLORMADE Stealth Plus+ (2022) Men's Fairway</t>
        </is>
      </c>
      <c r="E323" s="1" t="inlineStr">
        <is>
          <t>TAYLORMADE</t>
        </is>
      </c>
      <c r="F323" s="1" t="inlineStr">
        <is>
          <t>FAIRWAY WOOD</t>
        </is>
      </c>
      <c r="G323" s="1" t="inlineStr">
        <is>
          <t>GF1220100538#3R</t>
        </is>
      </c>
      <c r="H323" s="1" t="n">
        <v>10</v>
      </c>
      <c r="I323" s="1" t="inlineStr">
        <is>
          <t>มี</t>
        </is>
      </c>
      <c r="J323" s="13" t="n">
        <v>169</v>
      </c>
      <c r="K323" s="1" t="inlineStr"/>
      <c r="L323" s="13" t="n">
        <v>169</v>
      </c>
      <c r="M323" s="1">
        <f>IF(L323="","ไม่พบใน SG",IF(ABS(J323-L323)&lt;0.005,"ตรงกัน","ไม่ตรง"))</f>
        <v/>
      </c>
      <c r="N323" s="14">
        <f>IF(L323="","",ROUND(L323*'สรุป'!$C$6,-1))</f>
        <v/>
      </c>
      <c r="O323" s="15" t="n"/>
      <c r="P323" s="15" t="n"/>
      <c r="Q323" s="10" t="n"/>
      <c r="R323" s="10" t="n"/>
      <c r="S323" s="16" t="inlineStr">
        <is>
          <t>https://mstgolf.co.th/products/gf1220100537</t>
        </is>
      </c>
      <c r="T323" s="1">
        <f>IF(B323="ไม้กอล์ฟ",J323,"")</f>
        <v/>
      </c>
    </row>
    <row r="324">
      <c r="A324" s="1" t="n">
        <v>1</v>
      </c>
      <c r="B324" s="1" t="inlineStr">
        <is>
          <t>ไม้กอล์ฟ</t>
        </is>
      </c>
      <c r="C324" s="1" t="inlineStr">
        <is>
          <t>gf1240101350</t>
        </is>
      </c>
      <c r="D324" s="1" t="inlineStr">
        <is>
          <t>WILSON Infinite West Loop (2024) Men's Putter</t>
        </is>
      </c>
      <c r="E324" s="1" t="inlineStr">
        <is>
          <t>WILSON</t>
        </is>
      </c>
      <c r="F324" s="1" t="inlineStr">
        <is>
          <t>PUTTER</t>
        </is>
      </c>
      <c r="G324" s="1" t="inlineStr">
        <is>
          <t>GF124010135034</t>
        </is>
      </c>
      <c r="H324" s="1" t="n">
        <v>1</v>
      </c>
      <c r="I324" s="1" t="inlineStr">
        <is>
          <t>มี</t>
        </is>
      </c>
      <c r="J324" s="13" t="n">
        <v>159</v>
      </c>
      <c r="K324" s="1" t="inlineStr"/>
      <c r="L324" s="13" t="n"/>
      <c r="M324" s="1">
        <f>IF(L324="","ไม่พบใน SG",IF(ABS(J324-L324)&lt;0.005,"ตรงกัน","ไม่ตรง"))</f>
        <v/>
      </c>
      <c r="N324" s="14">
        <f>IF(L324="","",ROUND(L324*'สรุป'!$C$6,-1))</f>
        <v/>
      </c>
      <c r="O324" s="15" t="n"/>
      <c r="P324" s="15" t="n"/>
      <c r="Q324" s="10" t="n"/>
      <c r="R324" s="10" t="n"/>
      <c r="S324" s="16" t="inlineStr">
        <is>
          <t>https://mstgolf.co.th/products/gf1240101350</t>
        </is>
      </c>
      <c r="T324" s="1">
        <f>IF(B324="ไม้กอล์ฟ",J324,"")</f>
        <v/>
      </c>
    </row>
    <row r="325">
      <c r="A325" s="1" t="n">
        <v>1</v>
      </c>
      <c r="B325" s="1" t="inlineStr">
        <is>
          <t>ไม้กอล์ฟ</t>
        </is>
      </c>
      <c r="C325" s="1" t="inlineStr">
        <is>
          <t>gf1270100579</t>
        </is>
      </c>
      <c r="D325" s="1" t="inlineStr">
        <is>
          <t>WILSON Staff Model ZM (2024) Men's Wedge</t>
        </is>
      </c>
      <c r="E325" s="1" t="inlineStr">
        <is>
          <t>WILSON</t>
        </is>
      </c>
      <c r="F325" s="1" t="inlineStr">
        <is>
          <t>WEDGES</t>
        </is>
      </c>
      <c r="G325" s="1" t="inlineStr">
        <is>
          <t>GF127010057950</t>
        </is>
      </c>
      <c r="H325" s="1" t="n">
        <v>6</v>
      </c>
      <c r="I325" s="1" t="inlineStr">
        <is>
          <t>มี</t>
        </is>
      </c>
      <c r="J325" s="13" t="n">
        <v>159</v>
      </c>
      <c r="K325" s="1" t="inlineStr"/>
      <c r="L325" s="13" t="n">
        <v>159</v>
      </c>
      <c r="M325" s="1">
        <f>IF(L325="","ไม่พบใน SG",IF(ABS(J325-L325)&lt;0.005,"ตรงกัน","ไม่ตรง"))</f>
        <v/>
      </c>
      <c r="N325" s="14">
        <f>IF(L325="","",ROUND(L325*'สรุป'!$C$6,-1))</f>
        <v/>
      </c>
      <c r="O325" s="15" t="n"/>
      <c r="P325" s="15" t="n"/>
      <c r="Q325" s="10" t="n"/>
      <c r="R325" s="10" t="n"/>
      <c r="S325" s="16" t="inlineStr">
        <is>
          <t>https://mstgolf.co.th/products/gf1270100579</t>
        </is>
      </c>
      <c r="T325" s="1">
        <f>IF(B325="ไม้กอล์ฟ",J325,"")</f>
        <v/>
      </c>
    </row>
    <row r="326">
      <c r="A326" s="1" t="n">
        <v>1</v>
      </c>
      <c r="B326" s="1" t="inlineStr">
        <is>
          <t>ไม้กอล์ฟ</t>
        </is>
      </c>
      <c r="C326" s="1" t="inlineStr">
        <is>
          <t>gf1270100580</t>
        </is>
      </c>
      <c r="D326" s="1" t="inlineStr">
        <is>
          <t>WILSON Staff Model ZM HT (2024) Men's Wedge</t>
        </is>
      </c>
      <c r="E326" s="1" t="inlineStr">
        <is>
          <t>WILSON</t>
        </is>
      </c>
      <c r="F326" s="1" t="inlineStr">
        <is>
          <t>WEDGES</t>
        </is>
      </c>
      <c r="G326" s="1" t="inlineStr">
        <is>
          <t>GF127010058056</t>
        </is>
      </c>
      <c r="H326" s="1" t="n">
        <v>2</v>
      </c>
      <c r="I326" s="1" t="inlineStr">
        <is>
          <t>มี</t>
        </is>
      </c>
      <c r="J326" s="13" t="n">
        <v>159</v>
      </c>
      <c r="K326" s="1" t="inlineStr"/>
      <c r="L326" s="13" t="n">
        <v>159</v>
      </c>
      <c r="M326" s="1">
        <f>IF(L326="","ไม่พบใน SG",IF(ABS(J326-L326)&lt;0.005,"ตรงกัน","ไม่ตรง"))</f>
        <v/>
      </c>
      <c r="N326" s="14">
        <f>IF(L326="","",ROUND(L326*'สรุป'!$C$6,-1))</f>
        <v/>
      </c>
      <c r="O326" s="15" t="n"/>
      <c r="P326" s="15" t="n"/>
      <c r="Q326" s="10" t="n"/>
      <c r="R326" s="10" t="n"/>
      <c r="S326" s="16" t="inlineStr">
        <is>
          <t>https://mstgolf.co.th/products/gf1270100580</t>
        </is>
      </c>
      <c r="T326" s="1">
        <f>IF(B326="ไม้กอล์ฟ",J326,"")</f>
        <v/>
      </c>
    </row>
    <row r="327">
      <c r="A327" s="1" t="n">
        <v>1</v>
      </c>
      <c r="B327" s="1" t="inlineStr">
        <is>
          <t>ไม้กอล์ฟ</t>
        </is>
      </c>
      <c r="C327" s="1" t="inlineStr">
        <is>
          <t>gf1270100289</t>
        </is>
      </c>
      <c r="D327" s="1" t="inlineStr">
        <is>
          <t>TAYLORMADE Milled Grind 3 Chrome Standard Bounce Men's Wedge</t>
        </is>
      </c>
      <c r="E327" s="1" t="inlineStr">
        <is>
          <t>TAYLORMADE</t>
        </is>
      </c>
      <c r="F327" s="1" t="inlineStr">
        <is>
          <t>WEDGES</t>
        </is>
      </c>
      <c r="G327" s="1" t="inlineStr">
        <is>
          <t>GF127010028946</t>
        </is>
      </c>
      <c r="H327" s="1" t="n">
        <v>10</v>
      </c>
      <c r="I327" s="1" t="inlineStr">
        <is>
          <t>มี</t>
        </is>
      </c>
      <c r="J327" s="13" t="n">
        <v>129</v>
      </c>
      <c r="K327" s="1" t="inlineStr"/>
      <c r="L327" s="13" t="n">
        <v>129</v>
      </c>
      <c r="M327" s="1">
        <f>IF(L327="","ไม่พบใน SG",IF(ABS(J327-L327)&lt;0.005,"ตรงกัน","ไม่ตรง"))</f>
        <v/>
      </c>
      <c r="N327" s="14">
        <f>IF(L327="","",ROUND(L327*'สรุป'!$C$6,-1))</f>
        <v/>
      </c>
      <c r="O327" s="15" t="n"/>
      <c r="P327" s="15" t="n"/>
      <c r="Q327" s="10" t="n"/>
      <c r="R327" s="10" t="n"/>
      <c r="S327" s="16" t="inlineStr">
        <is>
          <t>https://mstgolf.co.th/products/gf1270100289</t>
        </is>
      </c>
      <c r="T327" s="1">
        <f>IF(B327="ไม้กอล์ฟ",J327,"")</f>
        <v/>
      </c>
    </row>
    <row r="328">
      <c r="A328" s="1" t="n">
        <v>1</v>
      </c>
      <c r="B328" s="1" t="inlineStr">
        <is>
          <t>ไม้กอล์ฟ</t>
        </is>
      </c>
      <c r="C328" s="1" t="inlineStr">
        <is>
          <t>gf1270100182</t>
        </is>
      </c>
      <c r="D328" s="1" t="inlineStr">
        <is>
          <t>WILSON Staff Model-HT (2020) Men's Wedge</t>
        </is>
      </c>
      <c r="E328" s="1" t="inlineStr">
        <is>
          <t>WILSON</t>
        </is>
      </c>
      <c r="F328" s="1" t="inlineStr">
        <is>
          <t>WEDGES</t>
        </is>
      </c>
      <c r="G328" s="1" t="inlineStr">
        <is>
          <t>GF127010018256</t>
        </is>
      </c>
      <c r="H328" s="1" t="n">
        <v>2</v>
      </c>
      <c r="I328" s="1" t="inlineStr">
        <is>
          <t>มี</t>
        </is>
      </c>
      <c r="J328" s="13" t="n">
        <v>109</v>
      </c>
      <c r="K328" s="1" t="inlineStr"/>
      <c r="L328" s="13" t="n">
        <v>99</v>
      </c>
      <c r="M328" s="1">
        <f>IF(L328="","ไม่พบใน SG",IF(ABS(J328-L328)&lt;0.005,"ตรงกัน","ไม่ตรง"))</f>
        <v/>
      </c>
      <c r="N328" s="14">
        <f>IF(L328="","",ROUND(L328*'สรุป'!$C$6,-1))</f>
        <v/>
      </c>
      <c r="O328" s="15" t="n"/>
      <c r="P328" s="15" t="n"/>
      <c r="Q328" s="10" t="n"/>
      <c r="R328" s="10" t="n"/>
      <c r="S328" s="16" t="inlineStr">
        <is>
          <t>https://mstgolf.co.th/products/gf1270100182</t>
        </is>
      </c>
      <c r="T328" s="1">
        <f>IF(B328="ไม้กอล์ฟ",J328,"")</f>
        <v/>
      </c>
    </row>
    <row r="329">
      <c r="A329" s="1" t="n">
        <v>1</v>
      </c>
      <c r="B329" s="1" t="inlineStr">
        <is>
          <t>ไม้กอล์ฟ</t>
        </is>
      </c>
      <c r="C329" s="1" t="inlineStr">
        <is>
          <t>gf1270100299</t>
        </is>
      </c>
      <c r="D329" s="1" t="inlineStr">
        <is>
          <t>MD GOLF NV Drew Chrome (2022) Men's Wedge</t>
        </is>
      </c>
      <c r="E329" s="1" t="inlineStr">
        <is>
          <t>MD GOLF</t>
        </is>
      </c>
      <c r="F329" s="1" t="inlineStr">
        <is>
          <t>WEDGES</t>
        </is>
      </c>
      <c r="G329" s="1" t="inlineStr">
        <is>
          <t>GF127010029952</t>
        </is>
      </c>
      <c r="H329" s="1" t="n">
        <v>3</v>
      </c>
      <c r="I329" s="1" t="inlineStr">
        <is>
          <t>มี</t>
        </is>
      </c>
      <c r="J329" s="13" t="n">
        <v>99</v>
      </c>
      <c r="K329" s="1" t="inlineStr"/>
      <c r="L329" s="13" t="n">
        <v>99</v>
      </c>
      <c r="M329" s="1">
        <f>IF(L329="","ไม่พบใน SG",IF(ABS(J329-L329)&lt;0.005,"ตรงกัน","ไม่ตรง"))</f>
        <v/>
      </c>
      <c r="N329" s="14">
        <f>IF(L329="","",ROUND(L329*'สรุป'!$C$6,-1))</f>
        <v/>
      </c>
      <c r="O329" s="15" t="n"/>
      <c r="P329" s="15" t="n"/>
      <c r="Q329" s="10" t="n"/>
      <c r="R329" s="10" t="n"/>
      <c r="S329" s="16" t="inlineStr">
        <is>
          <t>https://mstgolf.co.th/products/gf1270100299</t>
        </is>
      </c>
      <c r="T329" s="1">
        <f>IF(B329="ไม้กอล์ฟ",J329,"")</f>
        <v/>
      </c>
    </row>
    <row r="330">
      <c r="A330" s="1" t="n">
        <v>1</v>
      </c>
      <c r="B330" s="1" t="inlineStr">
        <is>
          <t>ไม้กอล์ฟ</t>
        </is>
      </c>
      <c r="C330" s="1" t="inlineStr">
        <is>
          <t>gf1240101235</t>
        </is>
      </c>
      <c r="D330" s="1" t="inlineStr">
        <is>
          <t>MD GOLF Superstrong STR50 #4 (2024) Men's Putter</t>
        </is>
      </c>
      <c r="E330" s="1" t="inlineStr">
        <is>
          <t>MD GOLF</t>
        </is>
      </c>
      <c r="F330" s="1" t="inlineStr">
        <is>
          <t>PUTTER</t>
        </is>
      </c>
      <c r="G330" s="1" t="inlineStr">
        <is>
          <t>GF124010123534</t>
        </is>
      </c>
      <c r="H330" s="1" t="n">
        <v>1</v>
      </c>
      <c r="I330" s="1" t="inlineStr">
        <is>
          <t>มี</t>
        </is>
      </c>
      <c r="J330" s="13" t="n">
        <v>83</v>
      </c>
      <c r="K330" s="1" t="inlineStr"/>
      <c r="L330" s="13" t="n">
        <v>83</v>
      </c>
      <c r="M330" s="1">
        <f>IF(L330="","ไม่พบใน SG",IF(ABS(J330-L330)&lt;0.005,"ตรงกัน","ไม่ตรง"))</f>
        <v/>
      </c>
      <c r="N330" s="14">
        <f>IF(L330="","",ROUND(L330*'สรุป'!$C$6,-1))</f>
        <v/>
      </c>
      <c r="O330" s="15" t="n"/>
      <c r="P330" s="15" t="n"/>
      <c r="Q330" s="10" t="n"/>
      <c r="R330" s="10" t="n"/>
      <c r="S330" s="16" t="inlineStr">
        <is>
          <t>https://mstgolf.co.th/products/gf1240101235</t>
        </is>
      </c>
      <c r="T330" s="1">
        <f>IF(B330="ไม้กอล์ฟ",J330,"")</f>
        <v/>
      </c>
    </row>
    <row r="331">
      <c r="A331" s="1" t="n">
        <v>1</v>
      </c>
      <c r="B331" s="1" t="inlineStr">
        <is>
          <t>ไม้กอล์ฟ</t>
        </is>
      </c>
      <c r="C331" s="1" t="inlineStr">
        <is>
          <t>gf1270100177</t>
        </is>
      </c>
      <c r="D331" s="1" t="inlineStr">
        <is>
          <t>WILSON Harmonized (2020) Men's Chipper</t>
        </is>
      </c>
      <c r="E331" s="1" t="inlineStr">
        <is>
          <t>WILSON</t>
        </is>
      </c>
      <c r="F331" s="1" t="inlineStr">
        <is>
          <t>WEDGES</t>
        </is>
      </c>
      <c r="G331" s="1" t="inlineStr">
        <is>
          <t>GF1270100177</t>
        </is>
      </c>
      <c r="H331" s="1" t="n">
        <v>1</v>
      </c>
      <c r="I331" s="1" t="inlineStr">
        <is>
          <t>มี</t>
        </is>
      </c>
      <c r="J331" s="13" t="n">
        <v>79</v>
      </c>
      <c r="K331" s="1" t="inlineStr"/>
      <c r="L331" s="13" t="n">
        <v>79</v>
      </c>
      <c r="M331" s="1">
        <f>IF(L331="","ไม่พบใน SG",IF(ABS(J331-L331)&lt;0.005,"ตรงกัน","ไม่ตรง"))</f>
        <v/>
      </c>
      <c r="N331" s="14">
        <f>IF(L331="","",ROUND(L331*'สรุป'!$C$6,-1))</f>
        <v/>
      </c>
      <c r="O331" s="15" t="n"/>
      <c r="P331" s="15" t="n"/>
      <c r="Q331" s="10" t="n"/>
      <c r="R331" s="10" t="n"/>
      <c r="S331" s="16" t="inlineStr">
        <is>
          <t>https://mstgolf.co.th/products/gf1270100177</t>
        </is>
      </c>
      <c r="T331" s="1">
        <f>IF(B331="ไม้กอล์ฟ",J331,"")</f>
        <v/>
      </c>
    </row>
    <row r="332">
      <c r="A332" s="1" t="n">
        <v>1</v>
      </c>
      <c r="B332" s="1" t="inlineStr">
        <is>
          <t>ไม้กอล์ฟ</t>
        </is>
      </c>
      <c r="C332" s="1" t="inlineStr">
        <is>
          <t>gf1240100823</t>
        </is>
      </c>
      <c r="D332" s="1" t="inlineStr">
        <is>
          <t>MD GOLF Superstrong STR40 #3 Men's Putter</t>
        </is>
      </c>
      <c r="E332" s="1" t="inlineStr">
        <is>
          <t>MD GOLF</t>
        </is>
      </c>
      <c r="F332" s="1" t="inlineStr">
        <is>
          <t>PUTTER</t>
        </is>
      </c>
      <c r="G332" s="1" t="inlineStr">
        <is>
          <t>GF124010082334</t>
        </is>
      </c>
      <c r="H332" s="1" t="n">
        <v>1</v>
      </c>
      <c r="I332" s="1" t="inlineStr">
        <is>
          <t>มี</t>
        </is>
      </c>
      <c r="J332" s="13" t="n">
        <v>65</v>
      </c>
      <c r="K332" s="1" t="inlineStr"/>
      <c r="L332" s="13" t="n">
        <v>45</v>
      </c>
      <c r="M332" s="1">
        <f>IF(L332="","ไม่พบใน SG",IF(ABS(J332-L332)&lt;0.005,"ตรงกัน","ไม่ตรง"))</f>
        <v/>
      </c>
      <c r="N332" s="14">
        <f>IF(L332="","",ROUND(L332*'สรุป'!$C$6,-1))</f>
        <v/>
      </c>
      <c r="O332" s="15" t="n"/>
      <c r="P332" s="15" t="n"/>
      <c r="Q332" s="10" t="n"/>
      <c r="R332" s="10" t="n"/>
      <c r="S332" s="16" t="inlineStr">
        <is>
          <t>https://mstgolf.co.th/products/gf1240100823</t>
        </is>
      </c>
      <c r="T332" s="1">
        <f>IF(B332="ไม้กอล์ฟ",J332,"")</f>
        <v/>
      </c>
    </row>
    <row r="333">
      <c r="A333" s="1" t="n">
        <v>1</v>
      </c>
      <c r="B333" s="1" t="inlineStr">
        <is>
          <t>ไม้กอล์ฟ</t>
        </is>
      </c>
      <c r="C333" s="1" t="inlineStr">
        <is>
          <t>gf1250100178</t>
        </is>
      </c>
      <c r="D333" s="1" t="inlineStr">
        <is>
          <t>MAJESTY Sublime (2023) Men's Package Set</t>
        </is>
      </c>
      <c r="E333" s="1" t="inlineStr">
        <is>
          <t>MAJESTY</t>
        </is>
      </c>
      <c r="F333" s="1" t="inlineStr">
        <is>
          <t>PACKAGE SET</t>
        </is>
      </c>
      <c r="G333" s="1" t="inlineStr">
        <is>
          <t>GF1250100178R</t>
        </is>
      </c>
      <c r="H333" s="1" t="n">
        <v>1</v>
      </c>
      <c r="I333" s="1" t="inlineStr">
        <is>
          <t>หมด</t>
        </is>
      </c>
      <c r="J333" s="13" t="n">
        <v>23900</v>
      </c>
      <c r="K333" s="1" t="inlineStr"/>
      <c r="L333" s="13" t="n"/>
      <c r="M333" s="1">
        <f>IF(L333="","ไม่พบใน SG",IF(ABS(J333-L333)&lt;0.005,"ตรงกัน","ไม่ตรง"))</f>
        <v/>
      </c>
      <c r="N333" s="14">
        <f>IF(L333="","",ROUND(L333*'สรุป'!$C$6,-1))</f>
        <v/>
      </c>
      <c r="O333" s="15" t="n"/>
      <c r="P333" s="15" t="n"/>
      <c r="Q333" s="10" t="n"/>
      <c r="R333" s="10" t="n"/>
      <c r="S333" s="16" t="inlineStr">
        <is>
          <t>https://mstgolf.co.th/products/gf1250100178</t>
        </is>
      </c>
      <c r="T333" s="1">
        <f>IF(B333="ไม้กอล์ฟ",J333,"")</f>
        <v/>
      </c>
    </row>
    <row r="334">
      <c r="A334" s="1" t="n">
        <v>1</v>
      </c>
      <c r="B334" s="1" t="inlineStr">
        <is>
          <t>อุปกรณ์วัดระยะ/เทคโนโลยี</t>
        </is>
      </c>
      <c r="C334" s="1" t="inlineStr">
        <is>
          <t>gf3300100001</t>
        </is>
      </c>
      <c r="D334" s="1" t="inlineStr">
        <is>
          <t>FORESIGHT SPORTS GC3 Launch Monitor with FSK Software</t>
        </is>
      </c>
      <c r="E334" s="1" t="inlineStr">
        <is>
          <t>FORESIGHT SPORTS</t>
        </is>
      </c>
      <c r="F334" s="1" t="inlineStr">
        <is>
          <t>LAUNCH MONITOR</t>
        </is>
      </c>
      <c r="G334" s="1" t="inlineStr">
        <is>
          <t>GF3300100001</t>
        </is>
      </c>
      <c r="H334" s="1" t="n">
        <v>1</v>
      </c>
      <c r="I334" s="1" t="inlineStr">
        <is>
          <t>หมด</t>
        </is>
      </c>
      <c r="J334" s="13" t="n">
        <v>14000</v>
      </c>
      <c r="K334" s="1" t="inlineStr"/>
      <c r="L334" s="13" t="n">
        <v>14000</v>
      </c>
      <c r="M334" s="1">
        <f>IF(L334="","ไม่พบใน SG",IF(ABS(J334-L334)&lt;0.005,"ตรงกัน","ไม่ตรง"))</f>
        <v/>
      </c>
      <c r="N334" s="14">
        <f>IF(L334="","",ROUND(L334*'สรุป'!$C$6,-1))</f>
        <v/>
      </c>
      <c r="O334" s="15" t="n"/>
      <c r="P334" s="15" t="n"/>
      <c r="Q334" s="10" t="n"/>
      <c r="R334" s="10" t="n"/>
      <c r="S334" s="16" t="inlineStr">
        <is>
          <t>https://mstgolf.co.th/products/gf3300100001</t>
        </is>
      </c>
      <c r="T334" s="1">
        <f>IF(B334="ไม้กอล์ฟ",J334,"")</f>
        <v/>
      </c>
    </row>
    <row r="335">
      <c r="A335" s="1" t="n">
        <v>1</v>
      </c>
      <c r="B335" s="1" t="inlineStr">
        <is>
          <t>อุปกรณ์วัดระยะ/เทคโนโลยี</t>
        </is>
      </c>
      <c r="C335" s="1" t="inlineStr">
        <is>
          <t>gf3190200058</t>
        </is>
      </c>
      <c r="D335" s="1" t="inlineStr">
        <is>
          <t>GARMIN Approach R50 Golf Simulator &amp; Launch Monitor</t>
        </is>
      </c>
      <c r="E335" s="1" t="inlineStr">
        <is>
          <t>GARMIN</t>
        </is>
      </c>
      <c r="F335" s="1" t="inlineStr">
        <is>
          <t>HANDHELD</t>
        </is>
      </c>
      <c r="G335" s="1" t="inlineStr">
        <is>
          <t>GF3190200058</t>
        </is>
      </c>
      <c r="H335" s="1" t="n">
        <v>1</v>
      </c>
      <c r="I335" s="1" t="inlineStr">
        <is>
          <t>หมด</t>
        </is>
      </c>
      <c r="J335" s="13" t="n">
        <v>7399</v>
      </c>
      <c r="K335" s="1" t="inlineStr"/>
      <c r="L335" s="13" t="n">
        <v>7399</v>
      </c>
      <c r="M335" s="1">
        <f>IF(L335="","ไม่พบใน SG",IF(ABS(J335-L335)&lt;0.005,"ตรงกัน","ไม่ตรง"))</f>
        <v/>
      </c>
      <c r="N335" s="14">
        <f>IF(L335="","",ROUND(L335*'สรุป'!$C$6,-1))</f>
        <v/>
      </c>
      <c r="O335" s="15" t="n"/>
      <c r="P335" s="15" t="n"/>
      <c r="Q335" s="10" t="n"/>
      <c r="R335" s="10" t="n"/>
      <c r="S335" s="16" t="inlineStr">
        <is>
          <t>https://mstgolf.co.th/products/gf3190200058</t>
        </is>
      </c>
      <c r="T335" s="1">
        <f>IF(B335="ไม้กอล์ฟ",J335,"")</f>
        <v/>
      </c>
    </row>
    <row r="336">
      <c r="A336" s="1" t="n">
        <v>1</v>
      </c>
      <c r="B336" s="1" t="inlineStr">
        <is>
          <t>ไม้กอล์ฟ</t>
        </is>
      </c>
      <c r="C336" s="1" t="inlineStr">
        <is>
          <t>gf1280101148</t>
        </is>
      </c>
      <c r="D336" s="1" t="inlineStr">
        <is>
          <t>GIII Signature 6 Men's Irons</t>
        </is>
      </c>
      <c r="E336" s="1" t="inlineStr">
        <is>
          <t>GIII</t>
        </is>
      </c>
      <c r="F336" s="1" t="inlineStr">
        <is>
          <t>SET OF IRONS</t>
        </is>
      </c>
      <c r="G336" s="1" t="inlineStr">
        <is>
          <t>GF1280101148R</t>
        </is>
      </c>
      <c r="H336" s="1" t="n">
        <v>2</v>
      </c>
      <c r="I336" s="1" t="inlineStr">
        <is>
          <t>หมด</t>
        </is>
      </c>
      <c r="J336" s="13" t="n">
        <v>5800</v>
      </c>
      <c r="K336" s="1" t="inlineStr"/>
      <c r="L336" s="13" t="n"/>
      <c r="M336" s="1">
        <f>IF(L336="","ไม่พบใน SG",IF(ABS(J336-L336)&lt;0.005,"ตรงกัน","ไม่ตรง"))</f>
        <v/>
      </c>
      <c r="N336" s="14">
        <f>IF(L336="","",ROUND(L336*'สรุป'!$C$6,-1))</f>
        <v/>
      </c>
      <c r="O336" s="15" t="n"/>
      <c r="P336" s="15" t="n"/>
      <c r="Q336" s="10" t="n"/>
      <c r="R336" s="10" t="n"/>
      <c r="S336" s="16" t="inlineStr">
        <is>
          <t>https://mstgolf.co.th/products/gf1280101148</t>
        </is>
      </c>
      <c r="T336" s="1">
        <f>IF(B336="ไม้กอล์ฟ",J336,"")</f>
        <v/>
      </c>
    </row>
    <row r="337">
      <c r="A337" s="1" t="n">
        <v>1</v>
      </c>
      <c r="B337" s="1" t="inlineStr">
        <is>
          <t>ไม้กอล์ฟ</t>
        </is>
      </c>
      <c r="C337" s="1" t="inlineStr">
        <is>
          <t>gf1280101468</t>
        </is>
      </c>
      <c r="D337" s="1" t="inlineStr">
        <is>
          <t>MAJESTY Prestigio 14 (2026) Men's Irons</t>
        </is>
      </c>
      <c r="E337" s="1" t="inlineStr">
        <is>
          <t>MAJESTY</t>
        </is>
      </c>
      <c r="F337" s="1" t="inlineStr">
        <is>
          <t>SET OF IRONS</t>
        </is>
      </c>
      <c r="G337" s="1" t="inlineStr">
        <is>
          <t>GF1280101468SR</t>
        </is>
      </c>
      <c r="H337" s="1" t="n">
        <v>2</v>
      </c>
      <c r="I337" s="1" t="inlineStr">
        <is>
          <t>หมด</t>
        </is>
      </c>
      <c r="J337" s="13" t="n">
        <v>5500</v>
      </c>
      <c r="K337" s="1" t="inlineStr"/>
      <c r="L337" s="13" t="n">
        <v>5500</v>
      </c>
      <c r="M337" s="1">
        <f>IF(L337="","ไม่พบใน SG",IF(ABS(J337-L337)&lt;0.005,"ตรงกัน","ไม่ตรง"))</f>
        <v/>
      </c>
      <c r="N337" s="14">
        <f>IF(L337="","",ROUND(L337*'สรุป'!$C$6,-1))</f>
        <v/>
      </c>
      <c r="O337" s="15" t="n"/>
      <c r="P337" s="15" t="n"/>
      <c r="Q337" s="10" t="n"/>
      <c r="R337" s="10" t="n"/>
      <c r="S337" s="16" t="inlineStr">
        <is>
          <t>https://mstgolf.co.th/products/gf1280101468</t>
        </is>
      </c>
      <c r="T337" s="1">
        <f>IF(B337="ไม้กอล์ฟ",J337,"")</f>
        <v/>
      </c>
    </row>
    <row r="338">
      <c r="A338" s="1" t="n">
        <v>1</v>
      </c>
      <c r="B338" s="1" t="inlineStr">
        <is>
          <t>ไม้กอล์ฟ</t>
        </is>
      </c>
      <c r="C338" s="1" t="inlineStr">
        <is>
          <t>gf1280101469</t>
        </is>
      </c>
      <c r="D338" s="1" t="inlineStr">
        <is>
          <t>MAJESTY Prestigio 14 (2026) Women's Irons</t>
        </is>
      </c>
      <c r="E338" s="1" t="inlineStr">
        <is>
          <t>MAJESTY</t>
        </is>
      </c>
      <c r="F338" s="1" t="inlineStr">
        <is>
          <t>SET OF IRONS</t>
        </is>
      </c>
      <c r="G338" s="1" t="inlineStr">
        <is>
          <t>GF1280101469L</t>
        </is>
      </c>
      <c r="H338" s="1" t="n">
        <v>1</v>
      </c>
      <c r="I338" s="1" t="inlineStr">
        <is>
          <t>หมด</t>
        </is>
      </c>
      <c r="J338" s="13" t="n">
        <v>4750</v>
      </c>
      <c r="K338" s="1" t="inlineStr"/>
      <c r="L338" s="13" t="n">
        <v>4750</v>
      </c>
      <c r="M338" s="1">
        <f>IF(L338="","ไม่พบใน SG",IF(ABS(J338-L338)&lt;0.005,"ตรงกัน","ไม่ตรง"))</f>
        <v/>
      </c>
      <c r="N338" s="14">
        <f>IF(L338="","",ROUND(L338*'สรุป'!$C$6,-1))</f>
        <v/>
      </c>
      <c r="O338" s="15" t="n"/>
      <c r="P338" s="15" t="n"/>
      <c r="Q338" s="10" t="n"/>
      <c r="R338" s="10" t="n"/>
      <c r="S338" s="16" t="inlineStr">
        <is>
          <t>https://mstgolf.co.th/products/gf1280101469</t>
        </is>
      </c>
      <c r="T338" s="1">
        <f>IF(B338="ไม้กอล์ฟ",J338,"")</f>
        <v/>
      </c>
    </row>
    <row r="339">
      <c r="A339" s="1" t="n">
        <v>1</v>
      </c>
      <c r="B339" s="1" t="inlineStr">
        <is>
          <t>ไม้กอล์ฟ</t>
        </is>
      </c>
      <c r="C339" s="1" t="inlineStr">
        <is>
          <t>gf1280101202</t>
        </is>
      </c>
      <c r="D339" s="1" t="inlineStr">
        <is>
          <t>MAJESTY Prestigio 13 (2024) Men's Irons</t>
        </is>
      </c>
      <c r="E339" s="1" t="inlineStr">
        <is>
          <t>MAJESTY</t>
        </is>
      </c>
      <c r="F339" s="1" t="inlineStr">
        <is>
          <t>SET OF IRONS</t>
        </is>
      </c>
      <c r="G339" s="1" t="inlineStr">
        <is>
          <t>GF1280101202SR</t>
        </is>
      </c>
      <c r="H339" s="1" t="n">
        <v>2</v>
      </c>
      <c r="I339" s="1" t="inlineStr">
        <is>
          <t>หมด</t>
        </is>
      </c>
      <c r="J339" s="13" t="n">
        <v>4390</v>
      </c>
      <c r="K339" s="1" t="inlineStr"/>
      <c r="L339" s="13" t="n">
        <v>4390</v>
      </c>
      <c r="M339" s="1">
        <f>IF(L339="","ไม่พบใน SG",IF(ABS(J339-L339)&lt;0.005,"ตรงกัน","ไม่ตรง"))</f>
        <v/>
      </c>
      <c r="N339" s="14">
        <f>IF(L339="","",ROUND(L339*'สรุป'!$C$6,-1))</f>
        <v/>
      </c>
      <c r="O339" s="15" t="n"/>
      <c r="P339" s="15" t="n"/>
      <c r="Q339" s="10" t="n"/>
      <c r="R339" s="10" t="n"/>
      <c r="S339" s="16" t="inlineStr">
        <is>
          <t>https://mstgolf.co.th/products/gf1280101202</t>
        </is>
      </c>
      <c r="T339" s="1">
        <f>IF(B339="ไม้กอล์ฟ",J339,"")</f>
        <v/>
      </c>
    </row>
    <row r="340">
      <c r="A340" s="1" t="n">
        <v>1</v>
      </c>
      <c r="B340" s="1" t="inlineStr">
        <is>
          <t>ไม้กอล์ฟ</t>
        </is>
      </c>
      <c r="C340" s="1" t="inlineStr">
        <is>
          <t>gf1250100245</t>
        </is>
      </c>
      <c r="D340" s="1" t="inlineStr">
        <is>
          <t>ONOFF LP425 Sky Blue (2025) Women's Package Set</t>
        </is>
      </c>
      <c r="E340" s="1" t="inlineStr">
        <is>
          <t>ONOFF</t>
        </is>
      </c>
      <c r="F340" s="1" t="inlineStr">
        <is>
          <t>PACKAGE SET</t>
        </is>
      </c>
      <c r="G340" s="1" t="inlineStr">
        <is>
          <t>GF1250100245L</t>
        </is>
      </c>
      <c r="H340" s="1" t="n">
        <v>1</v>
      </c>
      <c r="I340" s="1" t="inlineStr">
        <is>
          <t>หมด</t>
        </is>
      </c>
      <c r="J340" s="13" t="n">
        <v>4190</v>
      </c>
      <c r="K340" s="1" t="inlineStr"/>
      <c r="L340" s="13" t="n"/>
      <c r="M340" s="1">
        <f>IF(L340="","ไม่พบใน SG",IF(ABS(J340-L340)&lt;0.005,"ตรงกัน","ไม่ตรง"))</f>
        <v/>
      </c>
      <c r="N340" s="14">
        <f>IF(L340="","",ROUND(L340*'สรุป'!$C$6,-1))</f>
        <v/>
      </c>
      <c r="O340" s="15" t="n"/>
      <c r="P340" s="15" t="n"/>
      <c r="Q340" s="10" t="n"/>
      <c r="R340" s="10" t="n"/>
      <c r="S340" s="16" t="inlineStr">
        <is>
          <t>https://mstgolf.co.th/products/gf1250100245</t>
        </is>
      </c>
      <c r="T340" s="1">
        <f>IF(B340="ไม้กอล์ฟ",J340,"")</f>
        <v/>
      </c>
    </row>
    <row r="341">
      <c r="A341" s="1" t="n">
        <v>1</v>
      </c>
      <c r="B341" s="1" t="inlineStr">
        <is>
          <t>ไม้กอล์ฟ</t>
        </is>
      </c>
      <c r="C341" s="1" t="inlineStr">
        <is>
          <t>gf1280100919</t>
        </is>
      </c>
      <c r="D341" s="1" t="inlineStr">
        <is>
          <t>MAJESTY Prestigio 12 (2022) Men's Irons</t>
        </is>
      </c>
      <c r="E341" s="1" t="inlineStr">
        <is>
          <t>MAJESTY</t>
        </is>
      </c>
      <c r="F341" s="1" t="inlineStr">
        <is>
          <t>SET OF IRONS</t>
        </is>
      </c>
      <c r="G341" s="1" t="inlineStr">
        <is>
          <t>GF1280100919SR</t>
        </is>
      </c>
      <c r="H341" s="1" t="n">
        <v>2</v>
      </c>
      <c r="I341" s="1" t="inlineStr">
        <is>
          <t>หมด</t>
        </is>
      </c>
      <c r="J341" s="13" t="n">
        <v>3990</v>
      </c>
      <c r="K341" s="1" t="inlineStr"/>
      <c r="L341" s="13" t="n">
        <v>3990</v>
      </c>
      <c r="M341" s="1">
        <f>IF(L341="","ไม่พบใน SG",IF(ABS(J341-L341)&lt;0.005,"ตรงกัน","ไม่ตรง"))</f>
        <v/>
      </c>
      <c r="N341" s="14">
        <f>IF(L341="","",ROUND(L341*'สรุป'!$C$6,-1))</f>
        <v/>
      </c>
      <c r="O341" s="15" t="n"/>
      <c r="P341" s="15" t="n"/>
      <c r="Q341" s="10" t="n"/>
      <c r="R341" s="10" t="n"/>
      <c r="S341" s="16" t="inlineStr">
        <is>
          <t>https://mstgolf.co.th/products/gf1280100919</t>
        </is>
      </c>
      <c r="T341" s="1">
        <f>IF(B341="ไม้กอล์ฟ",J341,"")</f>
        <v/>
      </c>
    </row>
    <row r="342">
      <c r="A342" s="1" t="n">
        <v>1</v>
      </c>
      <c r="B342" s="1" t="inlineStr">
        <is>
          <t>ไม้กอล์ฟ</t>
        </is>
      </c>
      <c r="C342" s="1" t="inlineStr">
        <is>
          <t>gf1280101352</t>
        </is>
      </c>
      <c r="D342" s="1" t="inlineStr">
        <is>
          <t>TITLEIST T350 Black Limited Edition (2025) Men's Irons</t>
        </is>
      </c>
      <c r="E342" s="1" t="inlineStr">
        <is>
          <t>TITLEIST</t>
        </is>
      </c>
      <c r="F342" s="1" t="inlineStr">
        <is>
          <t>SET OF IRONS</t>
        </is>
      </c>
      <c r="G342" s="1" t="inlineStr">
        <is>
          <t>GF1280101352R</t>
        </is>
      </c>
      <c r="H342" s="1" t="n">
        <v>1</v>
      </c>
      <c r="I342" s="1" t="inlineStr">
        <is>
          <t>หมด</t>
        </is>
      </c>
      <c r="J342" s="13" t="n">
        <v>2699</v>
      </c>
      <c r="K342" s="1" t="inlineStr"/>
      <c r="L342" s="13" t="n"/>
      <c r="M342" s="1">
        <f>IF(L342="","ไม่พบใน SG",IF(ABS(J342-L342)&lt;0.005,"ตรงกัน","ไม่ตรง"))</f>
        <v/>
      </c>
      <c r="N342" s="14">
        <f>IF(L342="","",ROUND(L342*'สรุป'!$C$6,-1))</f>
        <v/>
      </c>
      <c r="O342" s="15" t="n"/>
      <c r="P342" s="15" t="n"/>
      <c r="Q342" s="10" t="n"/>
      <c r="R342" s="10" t="n"/>
      <c r="S342" s="16" t="inlineStr">
        <is>
          <t>https://mstgolf.co.th/products/gf1280101352</t>
        </is>
      </c>
      <c r="T342" s="1">
        <f>IF(B342="ไม้กอล์ฟ",J342,"")</f>
        <v/>
      </c>
    </row>
    <row r="343">
      <c r="A343" s="1" t="n">
        <v>1</v>
      </c>
      <c r="B343" s="1" t="inlineStr">
        <is>
          <t>ไม้กอล์ฟ</t>
        </is>
      </c>
      <c r="C343" s="1" t="inlineStr">
        <is>
          <t>gf1280100954</t>
        </is>
      </c>
      <c r="D343" s="1" t="inlineStr">
        <is>
          <t>ONOFF Labospec FF-247 (2023) Men's Irons</t>
        </is>
      </c>
      <c r="E343" s="1" t="inlineStr">
        <is>
          <t>ONOFF</t>
        </is>
      </c>
      <c r="F343" s="1" t="inlineStr">
        <is>
          <t>SET OF IRONS</t>
        </is>
      </c>
      <c r="G343" s="1" t="inlineStr">
        <is>
          <t>GF1280100954R</t>
        </is>
      </c>
      <c r="H343" s="1" t="n">
        <v>1</v>
      </c>
      <c r="I343" s="1" t="inlineStr">
        <is>
          <t>หมด</t>
        </is>
      </c>
      <c r="J343" s="13" t="n">
        <v>2650</v>
      </c>
      <c r="K343" s="1" t="inlineStr"/>
      <c r="L343" s="13" t="n">
        <v>2650</v>
      </c>
      <c r="M343" s="1">
        <f>IF(L343="","ไม่พบใน SG",IF(ABS(J343-L343)&lt;0.005,"ตรงกัน","ไม่ตรง"))</f>
        <v/>
      </c>
      <c r="N343" s="14">
        <f>IF(L343="","",ROUND(L343*'สรุป'!$C$6,-1))</f>
        <v/>
      </c>
      <c r="O343" s="15" t="n"/>
      <c r="P343" s="15" t="n"/>
      <c r="Q343" s="10" t="n"/>
      <c r="R343" s="10" t="n"/>
      <c r="S343" s="16" t="inlineStr">
        <is>
          <t>https://mstgolf.co.th/products/gf1280100954</t>
        </is>
      </c>
      <c r="T343" s="1">
        <f>IF(B343="ไม้กอล์ฟ",J343,"")</f>
        <v/>
      </c>
    </row>
    <row r="344">
      <c r="A344" s="1" t="n">
        <v>1</v>
      </c>
      <c r="B344" s="1" t="inlineStr">
        <is>
          <t>ไม้กอล์ฟ</t>
        </is>
      </c>
      <c r="C344" s="1" t="inlineStr">
        <is>
          <t>gf1210101388</t>
        </is>
      </c>
      <c r="D344" s="1" t="inlineStr">
        <is>
          <t>MAJESTY Prestigio 14 (2026) Men's Driver</t>
        </is>
      </c>
      <c r="E344" s="1" t="inlineStr">
        <is>
          <t>MAJESTY</t>
        </is>
      </c>
      <c r="F344" s="1" t="inlineStr">
        <is>
          <t>DRIVER</t>
        </is>
      </c>
      <c r="G344" s="1" t="inlineStr">
        <is>
          <t>GF1210101388105SR</t>
        </is>
      </c>
      <c r="H344" s="1" t="n">
        <v>2</v>
      </c>
      <c r="I344" s="1" t="inlineStr">
        <is>
          <t>หมด</t>
        </is>
      </c>
      <c r="J344" s="13" t="n">
        <v>2590</v>
      </c>
      <c r="K344" s="1" t="inlineStr"/>
      <c r="L344" s="13" t="n">
        <v>2590</v>
      </c>
      <c r="M344" s="1">
        <f>IF(L344="","ไม่พบใน SG",IF(ABS(J344-L344)&lt;0.005,"ตรงกัน","ไม่ตรง"))</f>
        <v/>
      </c>
      <c r="N344" s="14">
        <f>IF(L344="","",ROUND(L344*'สรุป'!$C$6,-1))</f>
        <v/>
      </c>
      <c r="O344" s="15" t="n"/>
      <c r="P344" s="15" t="n"/>
      <c r="Q344" s="10" t="n"/>
      <c r="R344" s="10" t="n"/>
      <c r="S344" s="16" t="inlineStr">
        <is>
          <t>https://mstgolf.co.th/products/gf1210101388</t>
        </is>
      </c>
      <c r="T344" s="1">
        <f>IF(B344="ไม้กอล์ฟ",J344,"")</f>
        <v/>
      </c>
    </row>
    <row r="345">
      <c r="A345" s="1" t="n">
        <v>1</v>
      </c>
      <c r="B345" s="1" t="inlineStr">
        <is>
          <t>ไม้กอล์ฟ</t>
        </is>
      </c>
      <c r="C345" s="1" t="inlineStr">
        <is>
          <t>gf1210101389</t>
        </is>
      </c>
      <c r="D345" s="1" t="inlineStr">
        <is>
          <t>MAJESTY Prestigio 14 (2026) Women's Driver</t>
        </is>
      </c>
      <c r="E345" s="1" t="inlineStr">
        <is>
          <t>MAJESTY</t>
        </is>
      </c>
      <c r="F345" s="1" t="inlineStr">
        <is>
          <t>DRIVER</t>
        </is>
      </c>
      <c r="G345" s="1" t="inlineStr">
        <is>
          <t>GF1210101389115L</t>
        </is>
      </c>
      <c r="H345" s="1" t="n">
        <v>1</v>
      </c>
      <c r="I345" s="1" t="inlineStr">
        <is>
          <t>หมด</t>
        </is>
      </c>
      <c r="J345" s="13" t="n">
        <v>2590</v>
      </c>
      <c r="K345" s="1" t="inlineStr"/>
      <c r="L345" s="13" t="n">
        <v>2590</v>
      </c>
      <c r="M345" s="1">
        <f>IF(L345="","ไม่พบใน SG",IF(ABS(J345-L345)&lt;0.005,"ตรงกัน","ไม่ตรง"))</f>
        <v/>
      </c>
      <c r="N345" s="14">
        <f>IF(L345="","",ROUND(L345*'สรุป'!$C$6,-1))</f>
        <v/>
      </c>
      <c r="O345" s="15" t="n"/>
      <c r="P345" s="15" t="n"/>
      <c r="Q345" s="10" t="n"/>
      <c r="R345" s="10" t="n"/>
      <c r="S345" s="16" t="inlineStr">
        <is>
          <t>https://mstgolf.co.th/products/gf1210101389</t>
        </is>
      </c>
      <c r="T345" s="1">
        <f>IF(B345="ไม้กอล์ฟ",J345,"")</f>
        <v/>
      </c>
    </row>
    <row r="346">
      <c r="A346" s="1" t="n">
        <v>1</v>
      </c>
      <c r="B346" s="1" t="inlineStr">
        <is>
          <t>ไม้กอล์ฟ</t>
        </is>
      </c>
      <c r="C346" s="1" t="inlineStr">
        <is>
          <t>gf1210100989</t>
        </is>
      </c>
      <c r="D346" s="1" t="inlineStr">
        <is>
          <t>GIII Signature 6 (2024) Men's Driver</t>
        </is>
      </c>
      <c r="E346" s="1" t="inlineStr">
        <is>
          <t>GIII</t>
        </is>
      </c>
      <c r="F346" s="1" t="inlineStr">
        <is>
          <t>DRIVER</t>
        </is>
      </c>
      <c r="G346" s="1" t="inlineStr">
        <is>
          <t>GF1210100989105S</t>
        </is>
      </c>
      <c r="H346" s="1" t="n">
        <v>3</v>
      </c>
      <c r="I346" s="1" t="inlineStr">
        <is>
          <t>หมด</t>
        </is>
      </c>
      <c r="J346" s="13" t="n">
        <v>2550</v>
      </c>
      <c r="K346" s="1" t="inlineStr"/>
      <c r="L346" s="13" t="n">
        <v>2550</v>
      </c>
      <c r="M346" s="1">
        <f>IF(L346="","ไม่พบใน SG",IF(ABS(J346-L346)&lt;0.005,"ตรงกัน","ไม่ตรง"))</f>
        <v/>
      </c>
      <c r="N346" s="14">
        <f>IF(L346="","",ROUND(L346*'สรุป'!$C$6,-1))</f>
        <v/>
      </c>
      <c r="O346" s="15" t="n"/>
      <c r="P346" s="15" t="n"/>
      <c r="Q346" s="10" t="n"/>
      <c r="R346" s="10" t="n"/>
      <c r="S346" s="16" t="inlineStr">
        <is>
          <t>https://mstgolf.co.th/products/gf1210100989</t>
        </is>
      </c>
      <c r="T346" s="1">
        <f>IF(B346="ไม้กอล์ฟ",J346,"")</f>
        <v/>
      </c>
    </row>
    <row r="347">
      <c r="A347" s="1" t="n">
        <v>1</v>
      </c>
      <c r="B347" s="1" t="inlineStr">
        <is>
          <t>ไม้กอล์ฟ</t>
        </is>
      </c>
      <c r="C347" s="1" t="inlineStr">
        <is>
          <t>gf1280101343</t>
        </is>
      </c>
      <c r="D347" s="1" t="inlineStr">
        <is>
          <t>MAJESTY Royale (2025) Men's Irons</t>
        </is>
      </c>
      <c r="E347" s="1" t="inlineStr">
        <is>
          <t>MAJESTY</t>
        </is>
      </c>
      <c r="F347" s="1" t="inlineStr">
        <is>
          <t>SET OF IRONS</t>
        </is>
      </c>
      <c r="G347" s="1" t="inlineStr">
        <is>
          <t>GF1280101343SR</t>
        </is>
      </c>
      <c r="H347" s="1" t="n">
        <v>2</v>
      </c>
      <c r="I347" s="1" t="inlineStr">
        <is>
          <t>หมด</t>
        </is>
      </c>
      <c r="J347" s="13" t="n">
        <v>2550</v>
      </c>
      <c r="K347" s="1" t="inlineStr"/>
      <c r="L347" s="13" t="n">
        <v>2550</v>
      </c>
      <c r="M347" s="1">
        <f>IF(L347="","ไม่พบใน SG",IF(ABS(J347-L347)&lt;0.005,"ตรงกัน","ไม่ตรง"))</f>
        <v/>
      </c>
      <c r="N347" s="14">
        <f>IF(L347="","",ROUND(L347*'สรุป'!$C$6,-1))</f>
        <v/>
      </c>
      <c r="O347" s="15" t="n"/>
      <c r="P347" s="15" t="n"/>
      <c r="Q347" s="10" t="n"/>
      <c r="R347" s="10" t="n"/>
      <c r="S347" s="16" t="inlineStr">
        <is>
          <t>https://mstgolf.co.th/products/gf1280101343</t>
        </is>
      </c>
      <c r="T347" s="1">
        <f>IF(B347="ไม้กอล์ฟ",J347,"")</f>
        <v/>
      </c>
    </row>
    <row r="348">
      <c r="A348" s="1" t="n">
        <v>1</v>
      </c>
      <c r="B348" s="1" t="inlineStr">
        <is>
          <t>ไม้กอล์ฟ</t>
        </is>
      </c>
      <c r="C348" s="1" t="inlineStr">
        <is>
          <t>gf1280101344</t>
        </is>
      </c>
      <c r="D348" s="1" t="inlineStr">
        <is>
          <t>MAJESTY Royale (2025) Women's Irons</t>
        </is>
      </c>
      <c r="E348" s="1" t="inlineStr">
        <is>
          <t>MAJESTY</t>
        </is>
      </c>
      <c r="F348" s="1" t="inlineStr">
        <is>
          <t>SET OF IRONS</t>
        </is>
      </c>
      <c r="G348" s="1" t="inlineStr">
        <is>
          <t>GF1280101344L</t>
        </is>
      </c>
      <c r="H348" s="1" t="n">
        <v>1</v>
      </c>
      <c r="I348" s="1" t="inlineStr">
        <is>
          <t>หมด</t>
        </is>
      </c>
      <c r="J348" s="13" t="n">
        <v>2550</v>
      </c>
      <c r="K348" s="1" t="inlineStr"/>
      <c r="L348" s="13" t="n">
        <v>2550</v>
      </c>
      <c r="M348" s="1">
        <f>IF(L348="","ไม่พบใน SG",IF(ABS(J348-L348)&lt;0.005,"ตรงกัน","ไม่ตรง"))</f>
        <v/>
      </c>
      <c r="N348" s="14">
        <f>IF(L348="","",ROUND(L348*'สรุป'!$C$6,-1))</f>
        <v/>
      </c>
      <c r="O348" s="15" t="n"/>
      <c r="P348" s="15" t="n"/>
      <c r="Q348" s="10" t="n"/>
      <c r="R348" s="10" t="n"/>
      <c r="S348" s="16" t="inlineStr">
        <is>
          <t>https://mstgolf.co.th/products/gf1280101344</t>
        </is>
      </c>
      <c r="T348" s="1">
        <f>IF(B348="ไม้กอล์ฟ",J348,"")</f>
        <v/>
      </c>
    </row>
    <row r="349">
      <c r="A349" s="1" t="n">
        <v>1</v>
      </c>
      <c r="B349" s="1" t="inlineStr">
        <is>
          <t>ไม้กอล์ฟ</t>
        </is>
      </c>
      <c r="C349" s="1" t="inlineStr">
        <is>
          <t>gf1240101260</t>
        </is>
      </c>
      <c r="D349" s="1" t="inlineStr">
        <is>
          <t>MAJESTY Moritius (2024) Men's Mallet Putter</t>
        </is>
      </c>
      <c r="E349" s="1" t="inlineStr">
        <is>
          <t>MAJESTY</t>
        </is>
      </c>
      <c r="F349" s="1" t="inlineStr">
        <is>
          <t>PUTTER</t>
        </is>
      </c>
      <c r="G349" s="1" t="inlineStr">
        <is>
          <t>GF124010126034</t>
        </is>
      </c>
      <c r="H349" s="1" t="n">
        <v>1</v>
      </c>
      <c r="I349" s="1" t="inlineStr">
        <is>
          <t>หมด</t>
        </is>
      </c>
      <c r="J349" s="13" t="n">
        <v>2490</v>
      </c>
      <c r="K349" s="1" t="inlineStr"/>
      <c r="L349" s="13" t="n">
        <v>2490</v>
      </c>
      <c r="M349" s="1">
        <f>IF(L349="","ไม่พบใน SG",IF(ABS(J349-L349)&lt;0.005,"ตรงกัน","ไม่ตรง"))</f>
        <v/>
      </c>
      <c r="N349" s="14">
        <f>IF(L349="","",ROUND(L349*'สรุป'!$C$6,-1))</f>
        <v/>
      </c>
      <c r="O349" s="15" t="n"/>
      <c r="P349" s="15" t="n"/>
      <c r="Q349" s="10" t="n"/>
      <c r="R349" s="10" t="n"/>
      <c r="S349" s="16" t="inlineStr">
        <is>
          <t>https://mstgolf.co.th/products/gf1240101260</t>
        </is>
      </c>
      <c r="T349" s="1">
        <f>IF(B349="ไม้กอล์ฟ",J349,"")</f>
        <v/>
      </c>
    </row>
    <row r="350">
      <c r="A350" s="1" t="n">
        <v>1</v>
      </c>
      <c r="B350" s="1" t="inlineStr">
        <is>
          <t>ไม้กอล์ฟ</t>
        </is>
      </c>
      <c r="C350" s="1" t="inlineStr">
        <is>
          <t>gf1280101107</t>
        </is>
      </c>
      <c r="D350" s="1" t="inlineStr">
        <is>
          <t>TAYLORMADE P770 Black Limited Edition (2024) Men's Irons</t>
        </is>
      </c>
      <c r="E350" s="1" t="inlineStr">
        <is>
          <t>TAYLORMADE</t>
        </is>
      </c>
      <c r="F350" s="1" t="inlineStr">
        <is>
          <t>SET OF IRONS</t>
        </is>
      </c>
      <c r="G350" s="1" t="inlineStr">
        <is>
          <t>GF1280101107R</t>
        </is>
      </c>
      <c r="H350" s="1" t="n">
        <v>2</v>
      </c>
      <c r="I350" s="1" t="inlineStr">
        <is>
          <t>หมด</t>
        </is>
      </c>
      <c r="J350" s="13" t="n">
        <v>2290</v>
      </c>
      <c r="K350" s="1" t="inlineStr"/>
      <c r="L350" s="13" t="n"/>
      <c r="M350" s="1">
        <f>IF(L350="","ไม่พบใน SG",IF(ABS(J350-L350)&lt;0.005,"ตรงกัน","ไม่ตรง"))</f>
        <v/>
      </c>
      <c r="N350" s="14">
        <f>IF(L350="","",ROUND(L350*'สรุป'!$C$6,-1))</f>
        <v/>
      </c>
      <c r="O350" s="15" t="n"/>
      <c r="P350" s="15" t="n"/>
      <c r="Q350" s="10" t="n"/>
      <c r="R350" s="10" t="n"/>
      <c r="S350" s="16" t="inlineStr">
        <is>
          <t>https://mstgolf.co.th/products/gf1280101107</t>
        </is>
      </c>
      <c r="T350" s="1">
        <f>IF(B350="ไม้กอล์ฟ",J350,"")</f>
        <v/>
      </c>
    </row>
    <row r="351">
      <c r="A351" s="1" t="n">
        <v>1</v>
      </c>
      <c r="B351" s="1" t="inlineStr">
        <is>
          <t>ไม้กอล์ฟ</t>
        </is>
      </c>
      <c r="C351" s="1" t="inlineStr">
        <is>
          <t>gf1280101359</t>
        </is>
      </c>
      <c r="D351" s="1" t="inlineStr">
        <is>
          <t>TAYLORMADE P770 Satin Charcoal (2025) Men's Irons</t>
        </is>
      </c>
      <c r="E351" s="1" t="inlineStr">
        <is>
          <t>TAYLORMADE</t>
        </is>
      </c>
      <c r="F351" s="1" t="inlineStr">
        <is>
          <t>SET OF IRONS</t>
        </is>
      </c>
      <c r="G351" s="1" t="inlineStr">
        <is>
          <t>GF1280101359S</t>
        </is>
      </c>
      <c r="H351" s="1" t="n">
        <v>1</v>
      </c>
      <c r="I351" s="1" t="inlineStr">
        <is>
          <t>หมด</t>
        </is>
      </c>
      <c r="J351" s="13" t="n">
        <v>2150</v>
      </c>
      <c r="K351" s="1" t="inlineStr"/>
      <c r="L351" s="13" t="n"/>
      <c r="M351" s="1">
        <f>IF(L351="","ไม่พบใน SG",IF(ABS(J351-L351)&lt;0.005,"ตรงกัน","ไม่ตรง"))</f>
        <v/>
      </c>
      <c r="N351" s="14">
        <f>IF(L351="","",ROUND(L351*'สรุป'!$C$6,-1))</f>
        <v/>
      </c>
      <c r="O351" s="15" t="n"/>
      <c r="P351" s="15" t="n"/>
      <c r="Q351" s="10" t="n"/>
      <c r="R351" s="10" t="n"/>
      <c r="S351" s="16" t="inlineStr">
        <is>
          <t>https://mstgolf.co.th/products/gf1280101359</t>
        </is>
      </c>
      <c r="T351" s="1">
        <f>IF(B351="ไม้กอล์ฟ",J351,"")</f>
        <v/>
      </c>
    </row>
    <row r="352">
      <c r="A352" s="1" t="n">
        <v>1</v>
      </c>
      <c r="B352" s="1" t="inlineStr">
        <is>
          <t>ไม้กอล์ฟ</t>
        </is>
      </c>
      <c r="C352" s="1" t="inlineStr">
        <is>
          <t>gf1280101356</t>
        </is>
      </c>
      <c r="D352" s="1" t="inlineStr">
        <is>
          <t>TAYLORMADE P7CB Satin Charcoal (2025) Men's Irons</t>
        </is>
      </c>
      <c r="E352" s="1" t="inlineStr">
        <is>
          <t>TAYLORMADE</t>
        </is>
      </c>
      <c r="F352" s="1" t="inlineStr">
        <is>
          <t>SET OF IRONS</t>
        </is>
      </c>
      <c r="G352" s="1" t="inlineStr">
        <is>
          <t>GF1280101356S</t>
        </is>
      </c>
      <c r="H352" s="1" t="n">
        <v>1</v>
      </c>
      <c r="I352" s="1" t="inlineStr">
        <is>
          <t>หมด</t>
        </is>
      </c>
      <c r="J352" s="13" t="n">
        <v>2150</v>
      </c>
      <c r="K352" s="1" t="inlineStr"/>
      <c r="L352" s="13" t="n">
        <v>2150</v>
      </c>
      <c r="M352" s="1">
        <f>IF(L352="","ไม่พบใน SG",IF(ABS(J352-L352)&lt;0.005,"ตรงกัน","ไม่ตรง"))</f>
        <v/>
      </c>
      <c r="N352" s="14">
        <f>IF(L352="","",ROUND(L352*'สรุป'!$C$6,-1))</f>
        <v/>
      </c>
      <c r="O352" s="15" t="n"/>
      <c r="P352" s="15" t="n"/>
      <c r="Q352" s="10" t="n"/>
      <c r="R352" s="10" t="n"/>
      <c r="S352" s="16" t="inlineStr">
        <is>
          <t>https://mstgolf.co.th/products/gf1280101356</t>
        </is>
      </c>
      <c r="T352" s="1">
        <f>IF(B352="ไม้กอล์ฟ",J352,"")</f>
        <v/>
      </c>
    </row>
    <row r="353">
      <c r="A353" s="1" t="n">
        <v>1</v>
      </c>
      <c r="B353" s="1" t="inlineStr">
        <is>
          <t>ไม้กอล์ฟ</t>
        </is>
      </c>
      <c r="C353" s="1" t="inlineStr">
        <is>
          <t>gf1280101379</t>
        </is>
      </c>
      <c r="D353" s="1" t="inlineStr">
        <is>
          <t>MIZUNO Pro S-1 (2026) Men's Irons</t>
        </is>
      </c>
      <c r="E353" s="1" t="inlineStr">
        <is>
          <t>MIZUNO</t>
        </is>
      </c>
      <c r="F353" s="1" t="inlineStr">
        <is>
          <t>SET OF IRONS</t>
        </is>
      </c>
      <c r="G353" s="1" t="inlineStr">
        <is>
          <t>GF1280101379S</t>
        </is>
      </c>
      <c r="H353" s="1" t="n">
        <v>1</v>
      </c>
      <c r="I353" s="1" t="inlineStr">
        <is>
          <t>หมด</t>
        </is>
      </c>
      <c r="J353" s="13" t="n">
        <v>2100</v>
      </c>
      <c r="K353" s="1" t="inlineStr"/>
      <c r="L353" s="13" t="n">
        <v>2100</v>
      </c>
      <c r="M353" s="1">
        <f>IF(L353="","ไม่พบใน SG",IF(ABS(J353-L353)&lt;0.005,"ตรงกัน","ไม่ตรง"))</f>
        <v/>
      </c>
      <c r="N353" s="14">
        <f>IF(L353="","",ROUND(L353*'สรุป'!$C$6,-1))</f>
        <v/>
      </c>
      <c r="O353" s="15" t="n"/>
      <c r="P353" s="15" t="n"/>
      <c r="Q353" s="10" t="n"/>
      <c r="R353" s="10" t="n"/>
      <c r="S353" s="16" t="inlineStr">
        <is>
          <t>https://mstgolf.co.th/products/gf1280101379</t>
        </is>
      </c>
      <c r="T353" s="1">
        <f>IF(B353="ไม้กอล์ฟ",J353,"")</f>
        <v/>
      </c>
    </row>
    <row r="354">
      <c r="A354" s="1" t="n">
        <v>1</v>
      </c>
      <c r="B354" s="1" t="inlineStr">
        <is>
          <t>ไม้กอล์ฟ</t>
        </is>
      </c>
      <c r="C354" s="1" t="inlineStr">
        <is>
          <t>gf1210101058</t>
        </is>
      </c>
      <c r="D354" s="1" t="inlineStr">
        <is>
          <t>MAJESTY Prestigio 13 (2024) Men's Driver</t>
        </is>
      </c>
      <c r="E354" s="1" t="inlineStr">
        <is>
          <t>MAJESTY</t>
        </is>
      </c>
      <c r="F354" s="1" t="inlineStr">
        <is>
          <t>DRIVER</t>
        </is>
      </c>
      <c r="G354" s="1" t="inlineStr">
        <is>
          <t>GF1210101058105SR</t>
        </is>
      </c>
      <c r="H354" s="1" t="n">
        <v>2</v>
      </c>
      <c r="I354" s="1" t="inlineStr">
        <is>
          <t>หมด</t>
        </is>
      </c>
      <c r="J354" s="13" t="n">
        <v>2090</v>
      </c>
      <c r="K354" s="1" t="inlineStr"/>
      <c r="L354" s="13" t="n">
        <v>2090</v>
      </c>
      <c r="M354" s="1">
        <f>IF(L354="","ไม่พบใน SG",IF(ABS(J354-L354)&lt;0.005,"ตรงกัน","ไม่ตรง"))</f>
        <v/>
      </c>
      <c r="N354" s="14">
        <f>IF(L354="","",ROUND(L354*'สรุป'!$C$6,-1))</f>
        <v/>
      </c>
      <c r="O354" s="15" t="n"/>
      <c r="P354" s="15" t="n"/>
      <c r="Q354" s="10" t="n"/>
      <c r="R354" s="10" t="n"/>
      <c r="S354" s="16" t="inlineStr">
        <is>
          <t>https://mstgolf.co.th/products/gf1210101058</t>
        </is>
      </c>
      <c r="T354" s="1">
        <f>IF(B354="ไม้กอล์ฟ",J354,"")</f>
        <v/>
      </c>
    </row>
    <row r="355">
      <c r="A355" s="1" t="n">
        <v>1</v>
      </c>
      <c r="B355" s="1" t="inlineStr">
        <is>
          <t>ไม้กอล์ฟ</t>
        </is>
      </c>
      <c r="C355" s="1" t="inlineStr">
        <is>
          <t>gf1280101390</t>
        </is>
      </c>
      <c r="D355" s="1" t="inlineStr">
        <is>
          <t>TITLEIST T150 (2025) Men's Irons</t>
        </is>
      </c>
      <c r="E355" s="1" t="inlineStr">
        <is>
          <t>TITLEIST</t>
        </is>
      </c>
      <c r="F355" s="1" t="inlineStr">
        <is>
          <t>SET OF IRONS</t>
        </is>
      </c>
      <c r="G355" s="1" t="inlineStr">
        <is>
          <t>GF1280101390R</t>
        </is>
      </c>
      <c r="H355" s="1" t="n">
        <v>1</v>
      </c>
      <c r="I355" s="1" t="inlineStr">
        <is>
          <t>หมด</t>
        </is>
      </c>
      <c r="J355" s="13" t="n">
        <v>2059</v>
      </c>
      <c r="K355" s="1" t="inlineStr"/>
      <c r="L355" s="13" t="n">
        <v>2059</v>
      </c>
      <c r="M355" s="1">
        <f>IF(L355="","ไม่พบใน SG",IF(ABS(J355-L355)&lt;0.005,"ตรงกัน","ไม่ตรง"))</f>
        <v/>
      </c>
      <c r="N355" s="14">
        <f>IF(L355="","",ROUND(L355*'สรุป'!$C$6,-1))</f>
        <v/>
      </c>
      <c r="O355" s="15" t="n"/>
      <c r="P355" s="15" t="n"/>
      <c r="Q355" s="10" t="n"/>
      <c r="R355" s="10" t="n"/>
      <c r="S355" s="16" t="inlineStr">
        <is>
          <t>https://mstgolf.co.th/products/gf1280101390</t>
        </is>
      </c>
      <c r="T355" s="1">
        <f>IF(B355="ไม้กอล์ฟ",J355,"")</f>
        <v/>
      </c>
    </row>
    <row r="356">
      <c r="A356" s="1" t="n">
        <v>1</v>
      </c>
      <c r="B356" s="1" t="inlineStr">
        <is>
          <t>ไม้กอล์ฟ</t>
        </is>
      </c>
      <c r="C356" s="1" t="inlineStr">
        <is>
          <t>gf1280101391</t>
        </is>
      </c>
      <c r="D356" s="1" t="inlineStr">
        <is>
          <t>TITLEIST T250 (2025) Men's Irons</t>
        </is>
      </c>
      <c r="E356" s="1" t="inlineStr">
        <is>
          <t>TITLEIST</t>
        </is>
      </c>
      <c r="F356" s="1" t="inlineStr">
        <is>
          <t>SET OF IRONS</t>
        </is>
      </c>
      <c r="G356" s="1" t="inlineStr">
        <is>
          <t>GF1280101391R</t>
        </is>
      </c>
      <c r="H356" s="1" t="n">
        <v>4</v>
      </c>
      <c r="I356" s="1" t="inlineStr">
        <is>
          <t>หมด</t>
        </is>
      </c>
      <c r="J356" s="13" t="n">
        <v>2059</v>
      </c>
      <c r="K356" s="1" t="inlineStr"/>
      <c r="L356" s="13" t="n">
        <v>2059</v>
      </c>
      <c r="M356" s="1">
        <f>IF(L356="","ไม่พบใน SG",IF(ABS(J356-L356)&lt;0.005,"ตรงกัน","ไม่ตรง"))</f>
        <v/>
      </c>
      <c r="N356" s="14">
        <f>IF(L356="","",ROUND(L356*'สรุป'!$C$6,-1))</f>
        <v/>
      </c>
      <c r="O356" s="15" t="n"/>
      <c r="P356" s="15" t="n"/>
      <c r="Q356" s="10" t="n"/>
      <c r="R356" s="10" t="n"/>
      <c r="S356" s="16" t="inlineStr">
        <is>
          <t>https://mstgolf.co.th/products/gf1280101391</t>
        </is>
      </c>
      <c r="T356" s="1">
        <f>IF(B356="ไม้กอล์ฟ",J356,"")</f>
        <v/>
      </c>
    </row>
    <row r="357">
      <c r="A357" s="1" t="n">
        <v>1</v>
      </c>
      <c r="B357" s="1" t="inlineStr">
        <is>
          <t>ไม้กอล์ฟ</t>
        </is>
      </c>
      <c r="C357" s="1" t="inlineStr">
        <is>
          <t>gf1280101357</t>
        </is>
      </c>
      <c r="D357" s="1" t="inlineStr">
        <is>
          <t>TAYLORMADE P8CB (2025) Men's Irons</t>
        </is>
      </c>
      <c r="E357" s="1" t="inlineStr">
        <is>
          <t>TAYLORMADE</t>
        </is>
      </c>
      <c r="F357" s="1" t="inlineStr">
        <is>
          <t>SET OF IRONS</t>
        </is>
      </c>
      <c r="G357" s="1" t="inlineStr">
        <is>
          <t>GF1280101357R</t>
        </is>
      </c>
      <c r="H357" s="1" t="n">
        <v>2</v>
      </c>
      <c r="I357" s="1" t="inlineStr">
        <is>
          <t>หมด</t>
        </is>
      </c>
      <c r="J357" s="13" t="n">
        <v>2050</v>
      </c>
      <c r="K357" s="1" t="inlineStr"/>
      <c r="L357" s="13" t="n">
        <v>2050</v>
      </c>
      <c r="M357" s="1">
        <f>IF(L357="","ไม่พบใน SG",IF(ABS(J357-L357)&lt;0.005,"ตรงกัน","ไม่ตรง"))</f>
        <v/>
      </c>
      <c r="N357" s="14">
        <f>IF(L357="","",ROUND(L357*'สรุป'!$C$6,-1))</f>
        <v/>
      </c>
      <c r="O357" s="15" t="n"/>
      <c r="P357" s="15" t="n"/>
      <c r="Q357" s="10" t="n"/>
      <c r="R357" s="10" t="n"/>
      <c r="S357" s="16" t="inlineStr">
        <is>
          <t>https://mstgolf.co.th/products/gf1280101357</t>
        </is>
      </c>
      <c r="T357" s="1">
        <f>IF(B357="ไม้กอล์ฟ",J357,"")</f>
        <v/>
      </c>
    </row>
    <row r="358">
      <c r="A358" s="1" t="n">
        <v>1</v>
      </c>
      <c r="B358" s="1" t="inlineStr">
        <is>
          <t>ไม้กอล์ฟ</t>
        </is>
      </c>
      <c r="C358" s="1" t="inlineStr">
        <is>
          <t>gf1250100183</t>
        </is>
      </c>
      <c r="D358" s="1" t="inlineStr">
        <is>
          <t>MARUMAN 2W (2023) Women's Package Set</t>
        </is>
      </c>
      <c r="E358" s="1" t="inlineStr">
        <is>
          <t>MARUMAN</t>
        </is>
      </c>
      <c r="F358" s="1" t="inlineStr">
        <is>
          <t>PACKAGE SET</t>
        </is>
      </c>
      <c r="G358" s="1" t="inlineStr">
        <is>
          <t>GF1250100183</t>
        </is>
      </c>
      <c r="H358" s="1" t="n">
        <v>1</v>
      </c>
      <c r="I358" s="1" t="inlineStr">
        <is>
          <t>หมด</t>
        </is>
      </c>
      <c r="J358" s="13" t="n">
        <v>1990</v>
      </c>
      <c r="K358" s="1" t="inlineStr"/>
      <c r="L358" s="13" t="n">
        <v>1990</v>
      </c>
      <c r="M358" s="1">
        <f>IF(L358="","ไม่พบใน SG",IF(ABS(J358-L358)&lt;0.005,"ตรงกัน","ไม่ตรง"))</f>
        <v/>
      </c>
      <c r="N358" s="14">
        <f>IF(L358="","",ROUND(L358*'สรุป'!$C$6,-1))</f>
        <v/>
      </c>
      <c r="O358" s="15" t="n"/>
      <c r="P358" s="15" t="n"/>
      <c r="Q358" s="10" t="n"/>
      <c r="R358" s="10" t="n"/>
      <c r="S358" s="16" t="inlineStr">
        <is>
          <t>https://mstgolf.co.th/products/gf1250100183</t>
        </is>
      </c>
      <c r="T358" s="1">
        <f>IF(B358="ไม้กอล์ฟ",J358,"")</f>
        <v/>
      </c>
    </row>
    <row r="359">
      <c r="A359" s="1" t="n">
        <v>1</v>
      </c>
      <c r="B359" s="1" t="inlineStr">
        <is>
          <t>ไม้กอล์ฟ</t>
        </is>
      </c>
      <c r="C359" s="1" t="inlineStr">
        <is>
          <t>gf1210100478</t>
        </is>
      </c>
      <c r="D359" s="1" t="inlineStr">
        <is>
          <t>MAJESTY Prestigio 11 Men's Driver</t>
        </is>
      </c>
      <c r="E359" s="1" t="inlineStr">
        <is>
          <t>MAJESTY</t>
        </is>
      </c>
      <c r="F359" s="1" t="inlineStr">
        <is>
          <t>DRIVER</t>
        </is>
      </c>
      <c r="G359" s="1" t="inlineStr">
        <is>
          <t>GF12101004789.5SR</t>
        </is>
      </c>
      <c r="H359" s="1" t="n">
        <v>3</v>
      </c>
      <c r="I359" s="1" t="inlineStr">
        <is>
          <t>หมด</t>
        </is>
      </c>
      <c r="J359" s="13" t="n">
        <v>1980</v>
      </c>
      <c r="K359" s="1" t="inlineStr"/>
      <c r="L359" s="13" t="n">
        <v>1980</v>
      </c>
      <c r="M359" s="1">
        <f>IF(L359="","ไม่พบใน SG",IF(ABS(J359-L359)&lt;0.005,"ตรงกัน","ไม่ตรง"))</f>
        <v/>
      </c>
      <c r="N359" s="14">
        <f>IF(L359="","",ROUND(L359*'สรุป'!$C$6,-1))</f>
        <v/>
      </c>
      <c r="O359" s="15" t="n"/>
      <c r="P359" s="15" t="n"/>
      <c r="Q359" s="10" t="n"/>
      <c r="R359" s="10" t="n"/>
      <c r="S359" s="16" t="inlineStr">
        <is>
          <t>https://mstgolf.co.th/products/gf1210100478</t>
        </is>
      </c>
      <c r="T359" s="1">
        <f>IF(B359="ไม้กอล์ฟ",J359,"")</f>
        <v/>
      </c>
    </row>
    <row r="360">
      <c r="A360" s="1" t="n">
        <v>1</v>
      </c>
      <c r="B360" s="1" t="inlineStr">
        <is>
          <t>ไม้กอล์ฟ</t>
        </is>
      </c>
      <c r="C360" s="1" t="inlineStr">
        <is>
          <t>gf1280101308</t>
        </is>
      </c>
      <c r="D360" s="1" t="inlineStr">
        <is>
          <t>TAYLORMADE P790 (2025) Women's Irons</t>
        </is>
      </c>
      <c r="E360" s="1" t="inlineStr">
        <is>
          <t>TAYLORMADE</t>
        </is>
      </c>
      <c r="F360" s="1" t="inlineStr">
        <is>
          <t>SET OF IRONS</t>
        </is>
      </c>
      <c r="G360" s="1" t="inlineStr">
        <is>
          <t>GF1280101308L</t>
        </is>
      </c>
      <c r="H360" s="1" t="n">
        <v>1</v>
      </c>
      <c r="I360" s="1" t="inlineStr">
        <is>
          <t>หมด</t>
        </is>
      </c>
      <c r="J360" s="13" t="n">
        <v>1890</v>
      </c>
      <c r="K360" s="1" t="inlineStr"/>
      <c r="L360" s="13" t="n">
        <v>1890</v>
      </c>
      <c r="M360" s="1">
        <f>IF(L360="","ไม่พบใน SG",IF(ABS(J360-L360)&lt;0.005,"ตรงกัน","ไม่ตรง"))</f>
        <v/>
      </c>
      <c r="N360" s="14">
        <f>IF(L360="","",ROUND(L360*'สรุป'!$C$6,-1))</f>
        <v/>
      </c>
      <c r="O360" s="15" t="n"/>
      <c r="P360" s="15" t="n"/>
      <c r="Q360" s="10" t="n"/>
      <c r="R360" s="10" t="n"/>
      <c r="S360" s="16" t="inlineStr">
        <is>
          <t>https://mstgolf.co.th/products/gf1280101308</t>
        </is>
      </c>
      <c r="T360" s="1">
        <f>IF(B360="ไม้กอล์ฟ",J360,"")</f>
        <v/>
      </c>
    </row>
    <row r="361">
      <c r="A361" s="1" t="n">
        <v>1</v>
      </c>
      <c r="B361" s="1" t="inlineStr">
        <is>
          <t>ไม้กอล์ฟ</t>
        </is>
      </c>
      <c r="C361" s="1" t="inlineStr">
        <is>
          <t>gf1280101382</t>
        </is>
      </c>
      <c r="D361" s="1" t="inlineStr">
        <is>
          <t>PING i240 (2025) Men's Irons</t>
        </is>
      </c>
      <c r="E361" s="1" t="inlineStr">
        <is>
          <t>PING</t>
        </is>
      </c>
      <c r="F361" s="1" t="inlineStr">
        <is>
          <t>SET OF IRONS</t>
        </is>
      </c>
      <c r="G361" s="1" t="inlineStr">
        <is>
          <t>GF1280101382S</t>
        </is>
      </c>
      <c r="H361" s="1" t="n">
        <v>1</v>
      </c>
      <c r="I361" s="1" t="inlineStr">
        <is>
          <t>หมด</t>
        </is>
      </c>
      <c r="J361" s="13" t="n">
        <v>1810</v>
      </c>
      <c r="K361" s="1" t="inlineStr"/>
      <c r="L361" s="13" t="n"/>
      <c r="M361" s="1">
        <f>IF(L361="","ไม่พบใน SG",IF(ABS(J361-L361)&lt;0.005,"ตรงกัน","ไม่ตรง"))</f>
        <v/>
      </c>
      <c r="N361" s="14">
        <f>IF(L361="","",ROUND(L361*'สรุป'!$C$6,-1))</f>
        <v/>
      </c>
      <c r="O361" s="15" t="n"/>
      <c r="P361" s="15" t="n"/>
      <c r="Q361" s="10" t="n"/>
      <c r="R361" s="10" t="n"/>
      <c r="S361" s="16" t="inlineStr">
        <is>
          <t>https://mstgolf.co.th/products/gf1280101382</t>
        </is>
      </c>
      <c r="T361" s="1">
        <f>IF(B361="ไม้กอล์ฟ",J361,"")</f>
        <v/>
      </c>
    </row>
    <row r="362">
      <c r="A362" s="1" t="n">
        <v>1</v>
      </c>
      <c r="B362" s="1" t="inlineStr">
        <is>
          <t>ไม้กอล์ฟ</t>
        </is>
      </c>
      <c r="C362" s="1" t="inlineStr">
        <is>
          <t>gf1280101048</t>
        </is>
      </c>
      <c r="D362" s="1" t="inlineStr">
        <is>
          <t>MAJESTY Royale (2023) Women's Irons</t>
        </is>
      </c>
      <c r="E362" s="1" t="inlineStr">
        <is>
          <t>MAJESTY</t>
        </is>
      </c>
      <c r="F362" s="1" t="inlineStr">
        <is>
          <t>SET OF IRONS</t>
        </is>
      </c>
      <c r="G362" s="1" t="inlineStr">
        <is>
          <t>GF1280101048L</t>
        </is>
      </c>
      <c r="H362" s="1" t="n">
        <v>1</v>
      </c>
      <c r="I362" s="1" t="inlineStr">
        <is>
          <t>หมด</t>
        </is>
      </c>
      <c r="J362" s="13" t="n">
        <v>1790</v>
      </c>
      <c r="K362" s="1" t="inlineStr"/>
      <c r="L362" s="13" t="n"/>
      <c r="M362" s="1">
        <f>IF(L362="","ไม่พบใน SG",IF(ABS(J362-L362)&lt;0.005,"ตรงกัน","ไม่ตรง"))</f>
        <v/>
      </c>
      <c r="N362" s="14">
        <f>IF(L362="","",ROUND(L362*'สรุป'!$C$6,-1))</f>
        <v/>
      </c>
      <c r="O362" s="15" t="n"/>
      <c r="P362" s="15" t="n"/>
      <c r="Q362" s="10" t="n"/>
      <c r="R362" s="10" t="n"/>
      <c r="S362" s="16" t="inlineStr">
        <is>
          <t>https://mstgolf.co.th/products/gf1280101048</t>
        </is>
      </c>
      <c r="T362" s="1">
        <f>IF(B362="ไม้กอล์ฟ",J362,"")</f>
        <v/>
      </c>
    </row>
    <row r="363">
      <c r="A363" s="1" t="n">
        <v>1</v>
      </c>
      <c r="B363" s="1" t="inlineStr">
        <is>
          <t>ไม้กอล์ฟ</t>
        </is>
      </c>
      <c r="C363" s="1" t="inlineStr">
        <is>
          <t>gf1280100965</t>
        </is>
      </c>
      <c r="D363" s="1" t="inlineStr">
        <is>
          <t>MARUMAN SG M230 (2023) Men's Irons (8 Clubs)</t>
        </is>
      </c>
      <c r="E363" s="1" t="inlineStr">
        <is>
          <t>MARUMAN</t>
        </is>
      </c>
      <c r="F363" s="1" t="inlineStr">
        <is>
          <t>SET OF IRONS</t>
        </is>
      </c>
      <c r="G363" s="1" t="inlineStr">
        <is>
          <t>GF1280100965R</t>
        </is>
      </c>
      <c r="H363" s="1" t="n">
        <v>1</v>
      </c>
      <c r="I363" s="1" t="inlineStr">
        <is>
          <t>หมด</t>
        </is>
      </c>
      <c r="J363" s="13" t="n">
        <v>1790</v>
      </c>
      <c r="K363" s="1" t="inlineStr"/>
      <c r="L363" s="13" t="n">
        <v>1790</v>
      </c>
      <c r="M363" s="1">
        <f>IF(L363="","ไม่พบใน SG",IF(ABS(J363-L363)&lt;0.005,"ตรงกัน","ไม่ตรง"))</f>
        <v/>
      </c>
      <c r="N363" s="14">
        <f>IF(L363="","",ROUND(L363*'สรุป'!$C$6,-1))</f>
        <v/>
      </c>
      <c r="O363" s="15" t="n"/>
      <c r="P363" s="15" t="n"/>
      <c r="Q363" s="10" t="n"/>
      <c r="R363" s="10" t="n"/>
      <c r="S363" s="16" t="inlineStr">
        <is>
          <t>https://mstgolf.co.th/products/gf1280100965</t>
        </is>
      </c>
      <c r="T363" s="1">
        <f>IF(B363="ไม้กอล์ฟ",J363,"")</f>
        <v/>
      </c>
    </row>
    <row r="364">
      <c r="A364" s="1" t="n">
        <v>1</v>
      </c>
      <c r="B364" s="1" t="inlineStr">
        <is>
          <t>ไม้กอล์ฟ</t>
        </is>
      </c>
      <c r="C364" s="1" t="inlineStr">
        <is>
          <t>gf1280100752</t>
        </is>
      </c>
      <c r="D364" s="1" t="inlineStr">
        <is>
          <t>PING i59 (2022) Men's Irons</t>
        </is>
      </c>
      <c r="E364" s="1" t="inlineStr">
        <is>
          <t>PING</t>
        </is>
      </c>
      <c r="F364" s="1" t="inlineStr">
        <is>
          <t>SET OF IRONS</t>
        </is>
      </c>
      <c r="G364" s="1" t="inlineStr">
        <is>
          <t>GF1280100752S</t>
        </is>
      </c>
      <c r="H364" s="1" t="n">
        <v>1</v>
      </c>
      <c r="I364" s="1" t="inlineStr">
        <is>
          <t>หมด</t>
        </is>
      </c>
      <c r="J364" s="13" t="n">
        <v>1790</v>
      </c>
      <c r="K364" s="1" t="inlineStr"/>
      <c r="L364" s="13" t="n">
        <v>1790</v>
      </c>
      <c r="M364" s="1">
        <f>IF(L364="","ไม่พบใน SG",IF(ABS(J364-L364)&lt;0.005,"ตรงกัน","ไม่ตรง"))</f>
        <v/>
      </c>
      <c r="N364" s="14">
        <f>IF(L364="","",ROUND(L364*'สรุป'!$C$6,-1))</f>
        <v/>
      </c>
      <c r="O364" s="15" t="n"/>
      <c r="P364" s="15" t="n"/>
      <c r="Q364" s="10" t="n"/>
      <c r="R364" s="10" t="n"/>
      <c r="S364" s="16" t="inlineStr">
        <is>
          <t>https://mstgolf.co.th/products/gf1280100752</t>
        </is>
      </c>
      <c r="T364" s="1">
        <f>IF(B364="ไม้กอล์ฟ",J364,"")</f>
        <v/>
      </c>
    </row>
    <row r="365">
      <c r="A365" s="1" t="n">
        <v>1</v>
      </c>
      <c r="B365" s="1" t="inlineStr">
        <is>
          <t>ไม้กอล์ฟ</t>
        </is>
      </c>
      <c r="C365" s="1" t="inlineStr">
        <is>
          <t>gf1220101006</t>
        </is>
      </c>
      <c r="D365" s="1" t="inlineStr">
        <is>
          <t>MAJESTY Prestigio 14 (2026) Men's Fairway</t>
        </is>
      </c>
      <c r="E365" s="1" t="inlineStr">
        <is>
          <t>MAJESTY</t>
        </is>
      </c>
      <c r="F365" s="1" t="inlineStr">
        <is>
          <t>FAIRWAY WOOD</t>
        </is>
      </c>
      <c r="G365" s="1" t="inlineStr">
        <is>
          <t>GF1220101006#3R</t>
        </is>
      </c>
      <c r="H365" s="1" t="n">
        <v>4</v>
      </c>
      <c r="I365" s="1" t="inlineStr">
        <is>
          <t>หมด</t>
        </is>
      </c>
      <c r="J365" s="13" t="n">
        <v>1750</v>
      </c>
      <c r="K365" s="1" t="inlineStr"/>
      <c r="L365" s="13" t="n">
        <v>1750</v>
      </c>
      <c r="M365" s="1">
        <f>IF(L365="","ไม่พบใน SG",IF(ABS(J365-L365)&lt;0.005,"ตรงกัน","ไม่ตรง"))</f>
        <v/>
      </c>
      <c r="N365" s="14">
        <f>IF(L365="","",ROUND(L365*'สรุป'!$C$6,-1))</f>
        <v/>
      </c>
      <c r="O365" s="15" t="n"/>
      <c r="P365" s="15" t="n"/>
      <c r="Q365" s="10" t="n"/>
      <c r="R365" s="10" t="n"/>
      <c r="S365" s="16" t="inlineStr">
        <is>
          <t>https://mstgolf.co.th/products/gf1220101006</t>
        </is>
      </c>
      <c r="T365" s="1">
        <f>IF(B365="ไม้กอล์ฟ",J365,"")</f>
        <v/>
      </c>
    </row>
    <row r="366">
      <c r="A366" s="1" t="n">
        <v>1</v>
      </c>
      <c r="B366" s="1" t="inlineStr">
        <is>
          <t>ไม้กอล์ฟ</t>
        </is>
      </c>
      <c r="C366" s="1" t="inlineStr">
        <is>
          <t>gf1220101007</t>
        </is>
      </c>
      <c r="D366" s="1" t="inlineStr">
        <is>
          <t>MAJESTY Prestigio 14 (2026) Women's Fairway</t>
        </is>
      </c>
      <c r="E366" s="1" t="inlineStr">
        <is>
          <t>MAJESTY</t>
        </is>
      </c>
      <c r="F366" s="1" t="inlineStr">
        <is>
          <t>FAIRWAY WOOD</t>
        </is>
      </c>
      <c r="G366" s="1" t="inlineStr">
        <is>
          <t>GF1220101007#3L</t>
        </is>
      </c>
      <c r="H366" s="1" t="n">
        <v>2</v>
      </c>
      <c r="I366" s="1" t="inlineStr">
        <is>
          <t>หมด</t>
        </is>
      </c>
      <c r="J366" s="13" t="n">
        <v>1750</v>
      </c>
      <c r="K366" s="1" t="inlineStr"/>
      <c r="L366" s="13" t="n">
        <v>1750</v>
      </c>
      <c r="M366" s="1">
        <f>IF(L366="","ไม่พบใน SG",IF(ABS(J366-L366)&lt;0.005,"ตรงกัน","ไม่ตรง"))</f>
        <v/>
      </c>
      <c r="N366" s="14">
        <f>IF(L366="","",ROUND(L366*'สรุป'!$C$6,-1))</f>
        <v/>
      </c>
      <c r="O366" s="15" t="n"/>
      <c r="P366" s="15" t="n"/>
      <c r="Q366" s="10" t="n"/>
      <c r="R366" s="10" t="n"/>
      <c r="S366" s="16" t="inlineStr">
        <is>
          <t>https://mstgolf.co.th/products/gf1220101007</t>
        </is>
      </c>
      <c r="T366" s="1">
        <f>IF(B366="ไม้กอล์ฟ",J366,"")</f>
        <v/>
      </c>
    </row>
    <row r="367">
      <c r="A367" s="1" t="n">
        <v>1</v>
      </c>
      <c r="B367" s="1" t="inlineStr">
        <is>
          <t>ไม้กอล์ฟ</t>
        </is>
      </c>
      <c r="C367" s="1" t="inlineStr">
        <is>
          <t>gf1280101252</t>
        </is>
      </c>
      <c r="D367" s="1" t="inlineStr">
        <is>
          <t>MIZUNO JPX-925 Forged (2024) Men's Irons</t>
        </is>
      </c>
      <c r="E367" s="1" t="inlineStr">
        <is>
          <t>MIZUNO</t>
        </is>
      </c>
      <c r="F367" s="1" t="inlineStr">
        <is>
          <t>SET OF IRONS</t>
        </is>
      </c>
      <c r="G367" s="1" t="inlineStr">
        <is>
          <t>GF1280101252R</t>
        </is>
      </c>
      <c r="H367" s="1" t="n">
        <v>1</v>
      </c>
      <c r="I367" s="1" t="inlineStr">
        <is>
          <t>หมด</t>
        </is>
      </c>
      <c r="J367" s="13" t="n">
        <v>1750</v>
      </c>
      <c r="K367" s="1" t="inlineStr"/>
      <c r="L367" s="13" t="n"/>
      <c r="M367" s="1">
        <f>IF(L367="","ไม่พบใน SG",IF(ABS(J367-L367)&lt;0.005,"ตรงกัน","ไม่ตรง"))</f>
        <v/>
      </c>
      <c r="N367" s="14">
        <f>IF(L367="","",ROUND(L367*'สรุป'!$C$6,-1))</f>
        <v/>
      </c>
      <c r="O367" s="15" t="n"/>
      <c r="P367" s="15" t="n"/>
      <c r="Q367" s="10" t="n"/>
      <c r="R367" s="10" t="n"/>
      <c r="S367" s="16" t="inlineStr">
        <is>
          <t>https://mstgolf.co.th/products/gf1280101252</t>
        </is>
      </c>
      <c r="T367" s="1">
        <f>IF(B367="ไม้กอล์ฟ",J367,"")</f>
        <v/>
      </c>
    </row>
    <row r="368">
      <c r="A368" s="1" t="n">
        <v>1</v>
      </c>
      <c r="B368" s="1" t="inlineStr">
        <is>
          <t>ไม้กอล์ฟ</t>
        </is>
      </c>
      <c r="C368" s="1" t="inlineStr">
        <is>
          <t>gf1210100775</t>
        </is>
      </c>
      <c r="D368" s="1" t="inlineStr">
        <is>
          <t>MAJESTY Prestigio 12 (2022) Men's Driver</t>
        </is>
      </c>
      <c r="E368" s="1" t="inlineStr">
        <is>
          <t>MAJESTY</t>
        </is>
      </c>
      <c r="F368" s="1" t="inlineStr">
        <is>
          <t>DRIVER</t>
        </is>
      </c>
      <c r="G368" s="1" t="inlineStr">
        <is>
          <t>GF12101007759.5SR</t>
        </is>
      </c>
      <c r="H368" s="1" t="n">
        <v>6</v>
      </c>
      <c r="I368" s="1" t="inlineStr">
        <is>
          <t>หมด</t>
        </is>
      </c>
      <c r="J368" s="13" t="n">
        <v>1730</v>
      </c>
      <c r="K368" s="1" t="inlineStr"/>
      <c r="L368" s="13" t="n">
        <v>1730</v>
      </c>
      <c r="M368" s="1">
        <f>IF(L368="","ไม่พบใน SG",IF(ABS(J368-L368)&lt;0.005,"ตรงกัน","ไม่ตรง"))</f>
        <v/>
      </c>
      <c r="N368" s="14">
        <f>IF(L368="","",ROUND(L368*'สรุป'!$C$6,-1))</f>
        <v/>
      </c>
      <c r="O368" s="15" t="n"/>
      <c r="P368" s="15" t="n"/>
      <c r="Q368" s="10" t="n"/>
      <c r="R368" s="10" t="n"/>
      <c r="S368" s="16" t="inlineStr">
        <is>
          <t>https://mstgolf.co.th/products/gf1210100775</t>
        </is>
      </c>
      <c r="T368" s="1">
        <f>IF(B368="ไม้กอล์ฟ",J368,"")</f>
        <v/>
      </c>
    </row>
    <row r="369">
      <c r="A369" s="1" t="n">
        <v>1</v>
      </c>
      <c r="B369" s="1" t="inlineStr">
        <is>
          <t>ไม้กอล์ฟ</t>
        </is>
      </c>
      <c r="C369" s="1" t="inlineStr">
        <is>
          <t>gf1250100220</t>
        </is>
      </c>
      <c r="D369" s="1" t="inlineStr">
        <is>
          <t>TAYLORMADE RBZ (2025) Graphite Women's Package Set</t>
        </is>
      </c>
      <c r="E369" s="1" t="inlineStr">
        <is>
          <t>TAYLORMADE</t>
        </is>
      </c>
      <c r="F369" s="1" t="inlineStr">
        <is>
          <t>PACKAGE SET</t>
        </is>
      </c>
      <c r="G369" s="1" t="inlineStr">
        <is>
          <t>GF1250100220L</t>
        </is>
      </c>
      <c r="H369" s="1" t="n">
        <v>1</v>
      </c>
      <c r="I369" s="1" t="inlineStr">
        <is>
          <t>หมด</t>
        </is>
      </c>
      <c r="J369" s="13" t="n">
        <v>1690</v>
      </c>
      <c r="K369" s="1" t="inlineStr"/>
      <c r="L369" s="13" t="n">
        <v>1690</v>
      </c>
      <c r="M369" s="1">
        <f>IF(L369="","ไม่พบใน SG",IF(ABS(J369-L369)&lt;0.005,"ตรงกัน","ไม่ตรง"))</f>
        <v/>
      </c>
      <c r="N369" s="14">
        <f>IF(L369="","",ROUND(L369*'สรุป'!$C$6,-1))</f>
        <v/>
      </c>
      <c r="O369" s="15" t="n"/>
      <c r="P369" s="15" t="n"/>
      <c r="Q369" s="10" t="n"/>
      <c r="R369" s="10" t="n"/>
      <c r="S369" s="16" t="inlineStr">
        <is>
          <t>https://mstgolf.co.th/products/gf1250100220</t>
        </is>
      </c>
      <c r="T369" s="1">
        <f>IF(B369="ไม้กอล์ฟ",J369,"")</f>
        <v/>
      </c>
    </row>
    <row r="370">
      <c r="A370" s="1" t="n">
        <v>1</v>
      </c>
      <c r="B370" s="1" t="inlineStr">
        <is>
          <t>ไม้กอล์ฟ</t>
        </is>
      </c>
      <c r="C370" s="1" t="inlineStr">
        <is>
          <t>gf1280101206</t>
        </is>
      </c>
      <c r="D370" s="1" t="inlineStr">
        <is>
          <t>COBRA KING CB/MB Black (2024) Men's Irons</t>
        </is>
      </c>
      <c r="E370" s="1" t="inlineStr">
        <is>
          <t>COBRA</t>
        </is>
      </c>
      <c r="F370" s="1" t="inlineStr">
        <is>
          <t>SET OF IRONS</t>
        </is>
      </c>
      <c r="G370" s="1" t="inlineStr">
        <is>
          <t>GF1280101206R</t>
        </is>
      </c>
      <c r="H370" s="1" t="n">
        <v>2</v>
      </c>
      <c r="I370" s="1" t="inlineStr">
        <is>
          <t>หมด</t>
        </is>
      </c>
      <c r="J370" s="13" t="n">
        <v>1670</v>
      </c>
      <c r="K370" s="1" t="inlineStr"/>
      <c r="L370" s="13" t="n">
        <v>1670</v>
      </c>
      <c r="M370" s="1">
        <f>IF(L370="","ไม่พบใน SG",IF(ABS(J370-L370)&lt;0.005,"ตรงกัน","ไม่ตรง"))</f>
        <v/>
      </c>
      <c r="N370" s="14">
        <f>IF(L370="","",ROUND(L370*'สรุป'!$C$6,-1))</f>
        <v/>
      </c>
      <c r="O370" s="15" t="n"/>
      <c r="P370" s="15" t="n"/>
      <c r="Q370" s="10" t="n"/>
      <c r="R370" s="10" t="n"/>
      <c r="S370" s="16" t="inlineStr">
        <is>
          <t>https://mstgolf.co.th/products/gf1280101206</t>
        </is>
      </c>
      <c r="T370" s="1">
        <f>IF(B370="ไม้กอล์ฟ",J370,"")</f>
        <v/>
      </c>
    </row>
    <row r="371">
      <c r="A371" s="1" t="n">
        <v>1</v>
      </c>
      <c r="B371" s="1" t="inlineStr">
        <is>
          <t>ไม้กอล์ฟ</t>
        </is>
      </c>
      <c r="C371" s="1" t="inlineStr">
        <is>
          <t>gf1280101208</t>
        </is>
      </c>
      <c r="D371" s="1" t="inlineStr">
        <is>
          <t>COBRA KING TEC (2025) Men's Irons</t>
        </is>
      </c>
      <c r="E371" s="1" t="inlineStr">
        <is>
          <t>COBRA</t>
        </is>
      </c>
      <c r="F371" s="1" t="inlineStr">
        <is>
          <t>SET OF IRONS</t>
        </is>
      </c>
      <c r="G371" s="1" t="inlineStr">
        <is>
          <t>GF1280101208S</t>
        </is>
      </c>
      <c r="H371" s="1" t="n">
        <v>2</v>
      </c>
      <c r="I371" s="1" t="inlineStr">
        <is>
          <t>หมด</t>
        </is>
      </c>
      <c r="J371" s="13" t="n">
        <v>1670</v>
      </c>
      <c r="K371" s="1" t="inlineStr"/>
      <c r="L371" s="13" t="n">
        <v>1670</v>
      </c>
      <c r="M371" s="1">
        <f>IF(L371="","ไม่พบใน SG",IF(ABS(J371-L371)&lt;0.005,"ตรงกัน","ไม่ตรง"))</f>
        <v/>
      </c>
      <c r="N371" s="14">
        <f>IF(L371="","",ROUND(L371*'สรุป'!$C$6,-1))</f>
        <v/>
      </c>
      <c r="O371" s="15" t="n"/>
      <c r="P371" s="15" t="n"/>
      <c r="Q371" s="10" t="n"/>
      <c r="R371" s="10" t="n"/>
      <c r="S371" s="16" t="inlineStr">
        <is>
          <t>https://mstgolf.co.th/products/gf1280101208</t>
        </is>
      </c>
      <c r="T371" s="1">
        <f>IF(B371="ไม้กอล์ฟ",J371,"")</f>
        <v/>
      </c>
    </row>
    <row r="372">
      <c r="A372" s="1" t="n">
        <v>1</v>
      </c>
      <c r="B372" s="1" t="inlineStr">
        <is>
          <t>ไม้กอล์ฟ</t>
        </is>
      </c>
      <c r="C372" s="1" t="inlineStr">
        <is>
          <t>gf1280101209</t>
        </is>
      </c>
      <c r="D372" s="1" t="inlineStr">
        <is>
          <t>COBRA KING TEC X (2025) Men's Irons</t>
        </is>
      </c>
      <c r="E372" s="1" t="inlineStr">
        <is>
          <t>COBRA</t>
        </is>
      </c>
      <c r="F372" s="1" t="inlineStr">
        <is>
          <t>SET OF IRONS</t>
        </is>
      </c>
      <c r="G372" s="1" t="inlineStr">
        <is>
          <t>GF1280101210R</t>
        </is>
      </c>
      <c r="H372" s="1" t="n">
        <v>2</v>
      </c>
      <c r="I372" s="1" t="inlineStr">
        <is>
          <t>หมด</t>
        </is>
      </c>
      <c r="J372" s="13" t="n">
        <v>1670</v>
      </c>
      <c r="K372" s="1" t="inlineStr">
        <is>
          <t>ต่างกัน</t>
        </is>
      </c>
      <c r="L372" s="13" t="n">
        <v>1670</v>
      </c>
      <c r="M372" s="1">
        <f>IF(L372="","ไม่พบใน SG",IF(ABS(J372-L372)&lt;0.005,"ตรงกัน","ไม่ตรง"))</f>
        <v/>
      </c>
      <c r="N372" s="14">
        <f>IF(L372="","",ROUND(L372*'สรุป'!$C$6,-1))</f>
        <v/>
      </c>
      <c r="O372" s="15" t="n"/>
      <c r="P372" s="15" t="n"/>
      <c r="Q372" s="10" t="n"/>
      <c r="R372" s="10" t="n"/>
      <c r="S372" s="16" t="inlineStr">
        <is>
          <t>https://mstgolf.co.th/products/gf1280101209</t>
        </is>
      </c>
      <c r="T372" s="1">
        <f>IF(B372="ไม้กอล์ฟ",J372,"")</f>
        <v/>
      </c>
    </row>
    <row r="373">
      <c r="A373" s="1" t="n">
        <v>1</v>
      </c>
      <c r="B373" s="1" t="inlineStr">
        <is>
          <t>ไม้กอล์ฟ</t>
        </is>
      </c>
      <c r="C373" s="1" t="inlineStr">
        <is>
          <t>gf1280101207</t>
        </is>
      </c>
      <c r="D373" s="1" t="inlineStr">
        <is>
          <t>COBRA KING Tour Black (2024) Men's Irons</t>
        </is>
      </c>
      <c r="E373" s="1" t="inlineStr">
        <is>
          <t>COBRA</t>
        </is>
      </c>
      <c r="F373" s="1" t="inlineStr">
        <is>
          <t>SET OF IRONS</t>
        </is>
      </c>
      <c r="G373" s="1" t="inlineStr">
        <is>
          <t>GF1280101207R</t>
        </is>
      </c>
      <c r="H373" s="1" t="n">
        <v>2</v>
      </c>
      <c r="I373" s="1" t="inlineStr">
        <is>
          <t>หมด</t>
        </is>
      </c>
      <c r="J373" s="13" t="n">
        <v>1670</v>
      </c>
      <c r="K373" s="1" t="inlineStr"/>
      <c r="L373" s="13" t="n">
        <v>1670</v>
      </c>
      <c r="M373" s="1">
        <f>IF(L373="","ไม่พบใน SG",IF(ABS(J373-L373)&lt;0.005,"ตรงกัน","ไม่ตรง"))</f>
        <v/>
      </c>
      <c r="N373" s="14">
        <f>IF(L373="","",ROUND(L373*'สรุป'!$C$6,-1))</f>
        <v/>
      </c>
      <c r="O373" s="15" t="n"/>
      <c r="P373" s="15" t="n"/>
      <c r="Q373" s="10" t="n"/>
      <c r="R373" s="10" t="n"/>
      <c r="S373" s="16" t="inlineStr">
        <is>
          <t>https://mstgolf.co.th/products/gf1280101207</t>
        </is>
      </c>
      <c r="T373" s="1">
        <f>IF(B373="ไม้กอล์ฟ",J373,"")</f>
        <v/>
      </c>
    </row>
    <row r="374">
      <c r="A374" s="1" t="n">
        <v>1</v>
      </c>
      <c r="B374" s="1" t="inlineStr">
        <is>
          <t>ไม้กอล์ฟ</t>
        </is>
      </c>
      <c r="C374" s="1" t="inlineStr">
        <is>
          <t>gf1280101380</t>
        </is>
      </c>
      <c r="D374" s="1" t="inlineStr">
        <is>
          <t>MIZUNO Pro M-13 (2026) Men's Irons</t>
        </is>
      </c>
      <c r="E374" s="1" t="inlineStr">
        <is>
          <t>MIZUNO</t>
        </is>
      </c>
      <c r="F374" s="1" t="inlineStr">
        <is>
          <t>SET OF IRONS</t>
        </is>
      </c>
      <c r="G374" s="1" t="inlineStr">
        <is>
          <t>GF1280101380R</t>
        </is>
      </c>
      <c r="H374" s="1" t="n">
        <v>2</v>
      </c>
      <c r="I374" s="1" t="inlineStr">
        <is>
          <t>หมด</t>
        </is>
      </c>
      <c r="J374" s="13" t="n">
        <v>1600</v>
      </c>
      <c r="K374" s="1" t="inlineStr"/>
      <c r="L374" s="13" t="n">
        <v>1600</v>
      </c>
      <c r="M374" s="1">
        <f>IF(L374="","ไม่พบใน SG",IF(ABS(J374-L374)&lt;0.005,"ตรงกัน","ไม่ตรง"))</f>
        <v/>
      </c>
      <c r="N374" s="14">
        <f>IF(L374="","",ROUND(L374*'สรุป'!$C$6,-1))</f>
        <v/>
      </c>
      <c r="O374" s="15" t="n"/>
      <c r="P374" s="15" t="n"/>
      <c r="Q374" s="10" t="n"/>
      <c r="R374" s="10" t="n"/>
      <c r="S374" s="16" t="inlineStr">
        <is>
          <t>https://mstgolf.co.th/products/gf1280101380</t>
        </is>
      </c>
      <c r="T374" s="1">
        <f>IF(B374="ไม้กอล์ฟ",J374,"")</f>
        <v/>
      </c>
    </row>
    <row r="375">
      <c r="A375" s="1" t="n">
        <v>1</v>
      </c>
      <c r="B375" s="1" t="inlineStr">
        <is>
          <t>ไม้กอล์ฟ</t>
        </is>
      </c>
      <c r="C375" s="1" t="inlineStr">
        <is>
          <t>gf1220100746</t>
        </is>
      </c>
      <c r="D375" s="1" t="inlineStr">
        <is>
          <t>GIII Signature 6 (2024) Men's Fairway</t>
        </is>
      </c>
      <c r="E375" s="1" t="inlineStr">
        <is>
          <t>GIII</t>
        </is>
      </c>
      <c r="F375" s="1" t="inlineStr">
        <is>
          <t>FAIRWAY WOOD</t>
        </is>
      </c>
      <c r="G375" s="1" t="inlineStr">
        <is>
          <t>GF1220100746#3SR</t>
        </is>
      </c>
      <c r="H375" s="1" t="n">
        <v>4</v>
      </c>
      <c r="I375" s="1" t="inlineStr">
        <is>
          <t>หมด</t>
        </is>
      </c>
      <c r="J375" s="13" t="n">
        <v>1590</v>
      </c>
      <c r="K375" s="1" t="inlineStr"/>
      <c r="L375" s="13" t="n">
        <v>1590</v>
      </c>
      <c r="M375" s="1">
        <f>IF(L375="","ไม่พบใน SG",IF(ABS(J375-L375)&lt;0.005,"ตรงกัน","ไม่ตรง"))</f>
        <v/>
      </c>
      <c r="N375" s="14">
        <f>IF(L375="","",ROUND(L375*'สรุป'!$C$6,-1))</f>
        <v/>
      </c>
      <c r="O375" s="15" t="n"/>
      <c r="P375" s="15" t="n"/>
      <c r="Q375" s="10" t="n"/>
      <c r="R375" s="10" t="n"/>
      <c r="S375" s="16" t="inlineStr">
        <is>
          <t>https://mstgolf.co.th/products/gf1220100746</t>
        </is>
      </c>
      <c r="T375" s="1">
        <f>IF(B375="ไม้กอล์ฟ",J375,"")</f>
        <v/>
      </c>
    </row>
    <row r="376">
      <c r="A376" s="1" t="n">
        <v>1</v>
      </c>
      <c r="B376" s="1" t="inlineStr">
        <is>
          <t>ไม้กอล์ฟ</t>
        </is>
      </c>
      <c r="C376" s="1" t="inlineStr">
        <is>
          <t>gf1280101112</t>
        </is>
      </c>
      <c r="D376" s="1" t="inlineStr">
        <is>
          <t>PING G LE 3 (2023) Women's Irons</t>
        </is>
      </c>
      <c r="E376" s="1" t="inlineStr">
        <is>
          <t>PING</t>
        </is>
      </c>
      <c r="F376" s="1" t="inlineStr">
        <is>
          <t>SET OF IRONS</t>
        </is>
      </c>
      <c r="G376" s="1" t="inlineStr">
        <is>
          <t>GF1280101112L</t>
        </is>
      </c>
      <c r="H376" s="1" t="n">
        <v>1</v>
      </c>
      <c r="I376" s="1" t="inlineStr">
        <is>
          <t>หมด</t>
        </is>
      </c>
      <c r="J376" s="13" t="n">
        <v>1590</v>
      </c>
      <c r="K376" s="1" t="inlineStr"/>
      <c r="L376" s="13" t="n"/>
      <c r="M376" s="1">
        <f>IF(L376="","ไม่พบใน SG",IF(ABS(J376-L376)&lt;0.005,"ตรงกัน","ไม่ตรง"))</f>
        <v/>
      </c>
      <c r="N376" s="14">
        <f>IF(L376="","",ROUND(L376*'สรุป'!$C$6,-1))</f>
        <v/>
      </c>
      <c r="O376" s="15" t="n"/>
      <c r="P376" s="15" t="n"/>
      <c r="Q376" s="10" t="n"/>
      <c r="R376" s="10" t="n"/>
      <c r="S376" s="16" t="inlineStr">
        <is>
          <t>https://mstgolf.co.th/products/gf1280101112</t>
        </is>
      </c>
      <c r="T376" s="1">
        <f>IF(B376="ไม้กอล์ฟ",J376,"")</f>
        <v/>
      </c>
    </row>
    <row r="377">
      <c r="A377" s="1" t="n">
        <v>1</v>
      </c>
      <c r="B377" s="1" t="inlineStr">
        <is>
          <t>ไม้กอล์ฟ</t>
        </is>
      </c>
      <c r="C377" s="1" t="inlineStr">
        <is>
          <t>gf1250100110</t>
        </is>
      </c>
      <c r="D377" s="1" t="inlineStr">
        <is>
          <t>TAYLORMADE Kalea Women's Package Set (Charcoal/Blue)</t>
        </is>
      </c>
      <c r="E377" s="1" t="inlineStr">
        <is>
          <t>TAYLORMADE</t>
        </is>
      </c>
      <c r="F377" s="1" t="inlineStr">
        <is>
          <t>PACKAGE SET</t>
        </is>
      </c>
      <c r="G377" s="1" t="inlineStr">
        <is>
          <t>GF1250100110</t>
        </is>
      </c>
      <c r="H377" s="1" t="n">
        <v>1</v>
      </c>
      <c r="I377" s="1" t="inlineStr">
        <is>
          <t>หมด</t>
        </is>
      </c>
      <c r="J377" s="13" t="n">
        <v>1590</v>
      </c>
      <c r="K377" s="1" t="inlineStr"/>
      <c r="L377" s="13" t="n"/>
      <c r="M377" s="1">
        <f>IF(L377="","ไม่พบใน SG",IF(ABS(J377-L377)&lt;0.005,"ตรงกัน","ไม่ตรง"))</f>
        <v/>
      </c>
      <c r="N377" s="14">
        <f>IF(L377="","",ROUND(L377*'สรุป'!$C$6,-1))</f>
        <v/>
      </c>
      <c r="O377" s="15" t="n"/>
      <c r="P377" s="15" t="n"/>
      <c r="Q377" s="10" t="n"/>
      <c r="R377" s="10" t="n"/>
      <c r="S377" s="16" t="inlineStr">
        <is>
          <t>https://mstgolf.co.th/products/gf1250100110</t>
        </is>
      </c>
      <c r="T377" s="1">
        <f>IF(B377="ไม้กอล์ฟ",J377,"")</f>
        <v/>
      </c>
    </row>
    <row r="378">
      <c r="A378" s="1" t="n">
        <v>1</v>
      </c>
      <c r="B378" s="1" t="inlineStr">
        <is>
          <t>ไม้กอล์ฟ</t>
        </is>
      </c>
      <c r="C378" s="1" t="inlineStr">
        <is>
          <t>gf1280101310</t>
        </is>
      </c>
      <c r="D378" s="1" t="inlineStr">
        <is>
          <t>TAYLORMADE Qi Max Lite (2025) Women's Irons</t>
        </is>
      </c>
      <c r="E378" s="1" t="inlineStr">
        <is>
          <t>TAYLORMADE</t>
        </is>
      </c>
      <c r="F378" s="1" t="inlineStr">
        <is>
          <t>SET OF IRONS</t>
        </is>
      </c>
      <c r="G378" s="1" t="inlineStr">
        <is>
          <t>GF1280101310L</t>
        </is>
      </c>
      <c r="H378" s="1" t="n">
        <v>1</v>
      </c>
      <c r="I378" s="1" t="inlineStr">
        <is>
          <t>หมด</t>
        </is>
      </c>
      <c r="J378" s="13" t="n">
        <v>1590</v>
      </c>
      <c r="K378" s="1" t="inlineStr"/>
      <c r="L378" s="13" t="n">
        <v>1590</v>
      </c>
      <c r="M378" s="1">
        <f>IF(L378="","ไม่พบใน SG",IF(ABS(J378-L378)&lt;0.005,"ตรงกัน","ไม่ตรง"))</f>
        <v/>
      </c>
      <c r="N378" s="14">
        <f>IF(L378="","",ROUND(L378*'สรุป'!$C$6,-1))</f>
        <v/>
      </c>
      <c r="O378" s="15" t="n"/>
      <c r="P378" s="15" t="n"/>
      <c r="Q378" s="10" t="n"/>
      <c r="R378" s="10" t="n"/>
      <c r="S378" s="16" t="inlineStr">
        <is>
          <t>https://mstgolf.co.th/products/gf1280101310</t>
        </is>
      </c>
      <c r="T378" s="1">
        <f>IF(B378="ไม้กอล์ฟ",J378,"")</f>
        <v/>
      </c>
    </row>
    <row r="379">
      <c r="A379" s="1" t="n">
        <v>1</v>
      </c>
      <c r="B379" s="1" t="inlineStr">
        <is>
          <t>ไม้กอล์ฟ</t>
        </is>
      </c>
      <c r="C379" s="1" t="inlineStr">
        <is>
          <t>gf1280101377</t>
        </is>
      </c>
      <c r="D379" s="1" t="inlineStr">
        <is>
          <t>MIZUNO JPX-925 Hot Metal Black (2026) Men's Irons (5-9P)</t>
        </is>
      </c>
      <c r="E379" s="1" t="inlineStr">
        <is>
          <t>MIZUNO</t>
        </is>
      </c>
      <c r="F379" s="1" t="inlineStr">
        <is>
          <t>SET OF IRONS</t>
        </is>
      </c>
      <c r="G379" s="1" t="inlineStr">
        <is>
          <t>GF1280101377S</t>
        </is>
      </c>
      <c r="H379" s="1" t="n">
        <v>1</v>
      </c>
      <c r="I379" s="1" t="inlineStr">
        <is>
          <t>หมด</t>
        </is>
      </c>
      <c r="J379" s="13" t="n">
        <v>1580</v>
      </c>
      <c r="K379" s="1" t="inlineStr"/>
      <c r="L379" s="13" t="n"/>
      <c r="M379" s="1">
        <f>IF(L379="","ไม่พบใน SG",IF(ABS(J379-L379)&lt;0.005,"ตรงกัน","ไม่ตรง"))</f>
        <v/>
      </c>
      <c r="N379" s="14">
        <f>IF(L379="","",ROUND(L379*'สรุป'!$C$6,-1))</f>
        <v/>
      </c>
      <c r="O379" s="15" t="n"/>
      <c r="P379" s="15" t="n"/>
      <c r="Q379" s="10" t="n"/>
      <c r="R379" s="10" t="n"/>
      <c r="S379" s="16" t="inlineStr">
        <is>
          <t>https://mstgolf.co.th/products/gf1280101377</t>
        </is>
      </c>
      <c r="T379" s="1">
        <f>IF(B379="ไม้กอล์ฟ",J379,"")</f>
        <v/>
      </c>
    </row>
    <row r="380">
      <c r="A380" s="1" t="n">
        <v>1</v>
      </c>
      <c r="B380" s="1" t="inlineStr">
        <is>
          <t>ไม้กอล์ฟ</t>
        </is>
      </c>
      <c r="C380" s="1" t="inlineStr">
        <is>
          <t>gf1280101378</t>
        </is>
      </c>
      <c r="D380" s="1" t="inlineStr">
        <is>
          <t>MIZUNO JPX-925 Hot Metal Black (2026) Men's Irons (6-9PG)</t>
        </is>
      </c>
      <c r="E380" s="1" t="inlineStr">
        <is>
          <t>MIZUNO</t>
        </is>
      </c>
      <c r="F380" s="1" t="inlineStr">
        <is>
          <t>SET OF IRONS</t>
        </is>
      </c>
      <c r="G380" s="1" t="inlineStr">
        <is>
          <t>GF1280101378R</t>
        </is>
      </c>
      <c r="H380" s="1" t="n">
        <v>1</v>
      </c>
      <c r="I380" s="1" t="inlineStr">
        <is>
          <t>หมด</t>
        </is>
      </c>
      <c r="J380" s="13" t="n">
        <v>1580</v>
      </c>
      <c r="K380" s="1" t="inlineStr"/>
      <c r="L380" s="13" t="n"/>
      <c r="M380" s="1">
        <f>IF(L380="","ไม่พบใน SG",IF(ABS(J380-L380)&lt;0.005,"ตรงกัน","ไม่ตรง"))</f>
        <v/>
      </c>
      <c r="N380" s="14">
        <f>IF(L380="","",ROUND(L380*'สรุป'!$C$6,-1))</f>
        <v/>
      </c>
      <c r="O380" s="15" t="n"/>
      <c r="P380" s="15" t="n"/>
      <c r="Q380" s="10" t="n"/>
      <c r="R380" s="10" t="n"/>
      <c r="S380" s="16" t="inlineStr">
        <is>
          <t>https://mstgolf.co.th/products/gf1280101378</t>
        </is>
      </c>
      <c r="T380" s="1">
        <f>IF(B380="ไม้กอล์ฟ",J380,"")</f>
        <v/>
      </c>
    </row>
    <row r="381">
      <c r="A381" s="1" t="n">
        <v>1</v>
      </c>
      <c r="B381" s="1" t="inlineStr">
        <is>
          <t>ไม้กอล์ฟ</t>
        </is>
      </c>
      <c r="C381" s="1" t="inlineStr">
        <is>
          <t>gf1280100896</t>
        </is>
      </c>
      <c r="D381" s="1" t="inlineStr">
        <is>
          <t>YAMAHA Inpres DriveStar Men's Irons</t>
        </is>
      </c>
      <c r="E381" s="1" t="inlineStr">
        <is>
          <t>YAMAHA</t>
        </is>
      </c>
      <c r="F381" s="1" t="inlineStr">
        <is>
          <t>SET OF IRONS</t>
        </is>
      </c>
      <c r="G381" s="1" t="inlineStr">
        <is>
          <t>GF1280100897R</t>
        </is>
      </c>
      <c r="H381" s="1" t="n">
        <v>2</v>
      </c>
      <c r="I381" s="1" t="inlineStr">
        <is>
          <t>หมด</t>
        </is>
      </c>
      <c r="J381" s="13" t="n">
        <v>1570</v>
      </c>
      <c r="K381" s="1" t="inlineStr"/>
      <c r="L381" s="13" t="n">
        <v>1090</v>
      </c>
      <c r="M381" s="1">
        <f>IF(L381="","ไม่พบใน SG",IF(ABS(J381-L381)&lt;0.005,"ตรงกัน","ไม่ตรง"))</f>
        <v/>
      </c>
      <c r="N381" s="14">
        <f>IF(L381="","",ROUND(L381*'สรุป'!$C$6,-1))</f>
        <v/>
      </c>
      <c r="O381" s="15" t="n"/>
      <c r="P381" s="15" t="n"/>
      <c r="Q381" s="10" t="n"/>
      <c r="R381" s="10" t="n"/>
      <c r="S381" s="16" t="inlineStr">
        <is>
          <t>https://mstgolf.co.th/products/gf1280100896</t>
        </is>
      </c>
      <c r="T381" s="1">
        <f>IF(B381="ไม้กอล์ฟ",J381,"")</f>
        <v/>
      </c>
    </row>
    <row r="382">
      <c r="A382" s="1" t="n">
        <v>1</v>
      </c>
      <c r="B382" s="1" t="inlineStr">
        <is>
          <t>ไม้กอล์ฟ</t>
        </is>
      </c>
      <c r="C382" s="1" t="inlineStr">
        <is>
          <t>gf1240101131</t>
        </is>
      </c>
      <c r="D382" s="1" t="inlineStr">
        <is>
          <t>BETTINARDI BB41 Flow 25th Anniversary Limited Run (2023) Men's Putter</t>
        </is>
      </c>
      <c r="E382" s="1" t="inlineStr">
        <is>
          <t>BETTINARDI</t>
        </is>
      </c>
      <c r="F382" s="1" t="inlineStr">
        <is>
          <t>PUTTER</t>
        </is>
      </c>
      <c r="G382" s="1" t="inlineStr">
        <is>
          <t>GF124010113134</t>
        </is>
      </c>
      <c r="H382" s="1" t="n">
        <v>1</v>
      </c>
      <c r="I382" s="1" t="inlineStr">
        <is>
          <t>หมด</t>
        </is>
      </c>
      <c r="J382" s="13" t="n">
        <v>1550</v>
      </c>
      <c r="K382" s="1" t="inlineStr"/>
      <c r="L382" s="13" t="n"/>
      <c r="M382" s="1">
        <f>IF(L382="","ไม่พบใน SG",IF(ABS(J382-L382)&lt;0.005,"ตรงกัน","ไม่ตรง"))</f>
        <v/>
      </c>
      <c r="N382" s="14">
        <f>IF(L382="","",ROUND(L382*'สรุป'!$C$6,-1))</f>
        <v/>
      </c>
      <c r="O382" s="15" t="n"/>
      <c r="P382" s="15" t="n"/>
      <c r="Q382" s="10" t="n"/>
      <c r="R382" s="10" t="n"/>
      <c r="S382" s="16" t="inlineStr">
        <is>
          <t>https://mstgolf.co.th/products/gf1240101131</t>
        </is>
      </c>
      <c r="T382" s="1">
        <f>IF(B382="ไม้กอล์ฟ",J382,"")</f>
        <v/>
      </c>
    </row>
    <row r="383">
      <c r="A383" s="1" t="n">
        <v>1</v>
      </c>
      <c r="B383" s="1" t="inlineStr">
        <is>
          <t>ไม้กอล์ฟ</t>
        </is>
      </c>
      <c r="C383" s="1" t="inlineStr">
        <is>
          <t>gf1240101201</t>
        </is>
      </c>
      <c r="D383" s="1" t="inlineStr">
        <is>
          <t>BETTINARDI BB28 Slotback 25th Anniversary Limited Run (2023) Men's Putter</t>
        </is>
      </c>
      <c r="E383" s="1" t="inlineStr">
        <is>
          <t>BETTINARDI</t>
        </is>
      </c>
      <c r="F383" s="1" t="inlineStr">
        <is>
          <t>PUTTER</t>
        </is>
      </c>
      <c r="G383" s="1" t="inlineStr">
        <is>
          <t>GF124010120134</t>
        </is>
      </c>
      <c r="H383" s="1" t="n">
        <v>1</v>
      </c>
      <c r="I383" s="1" t="inlineStr">
        <is>
          <t>หมด</t>
        </is>
      </c>
      <c r="J383" s="13" t="n">
        <v>1530</v>
      </c>
      <c r="K383" s="1" t="inlineStr"/>
      <c r="L383" s="13" t="n">
        <v>1530</v>
      </c>
      <c r="M383" s="1">
        <f>IF(L383="","ไม่พบใน SG",IF(ABS(J383-L383)&lt;0.005,"ตรงกัน","ไม่ตรง"))</f>
        <v/>
      </c>
      <c r="N383" s="14">
        <f>IF(L383="","",ROUND(L383*'สรุป'!$C$6,-1))</f>
        <v/>
      </c>
      <c r="O383" s="15" t="n"/>
      <c r="P383" s="15" t="n"/>
      <c r="Q383" s="10" t="n"/>
      <c r="R383" s="10" t="n"/>
      <c r="S383" s="16" t="inlineStr">
        <is>
          <t>https://mstgolf.co.th/products/gf1240101201</t>
        </is>
      </c>
      <c r="T383" s="1">
        <f>IF(B383="ไม้กอล์ฟ",J383,"")</f>
        <v/>
      </c>
    </row>
    <row r="384">
      <c r="A384" s="1" t="n">
        <v>1</v>
      </c>
      <c r="B384" s="1" t="inlineStr">
        <is>
          <t>ไม้กอล์ฟ</t>
        </is>
      </c>
      <c r="C384" s="1" t="inlineStr">
        <is>
          <t>gf1240101093</t>
        </is>
      </c>
      <c r="D384" s="1" t="inlineStr">
        <is>
          <t>GIII Signature 4-Star (2023) Men's Putter</t>
        </is>
      </c>
      <c r="E384" s="1" t="inlineStr">
        <is>
          <t>GIII</t>
        </is>
      </c>
      <c r="F384" s="1" t="inlineStr">
        <is>
          <t>PUTTER</t>
        </is>
      </c>
      <c r="G384" s="1" t="inlineStr">
        <is>
          <t>GF124010109334</t>
        </is>
      </c>
      <c r="H384" s="1" t="n">
        <v>1</v>
      </c>
      <c r="I384" s="1" t="inlineStr">
        <is>
          <t>หมด</t>
        </is>
      </c>
      <c r="J384" s="13" t="n">
        <v>1500</v>
      </c>
      <c r="K384" s="1" t="inlineStr"/>
      <c r="L384" s="13" t="n">
        <v>1500</v>
      </c>
      <c r="M384" s="1">
        <f>IF(L384="","ไม่พบใน SG",IF(ABS(J384-L384)&lt;0.005,"ตรงกัน","ไม่ตรง"))</f>
        <v/>
      </c>
      <c r="N384" s="14">
        <f>IF(L384="","",ROUND(L384*'สรุป'!$C$6,-1))</f>
        <v/>
      </c>
      <c r="O384" s="15" t="n"/>
      <c r="P384" s="15" t="n"/>
      <c r="Q384" s="10" t="n"/>
      <c r="R384" s="10" t="n"/>
      <c r="S384" s="16" t="inlineStr">
        <is>
          <t>https://mstgolf.co.th/products/gf1240101093</t>
        </is>
      </c>
      <c r="T384" s="1">
        <f>IF(B384="ไม้กอล์ฟ",J384,"")</f>
        <v/>
      </c>
    </row>
    <row r="385">
      <c r="A385" s="1" t="n">
        <v>1</v>
      </c>
      <c r="B385" s="1" t="inlineStr">
        <is>
          <t>ไม้กอล์ฟ</t>
        </is>
      </c>
      <c r="C385" s="1" t="inlineStr">
        <is>
          <t>gf1240101511</t>
        </is>
      </c>
      <c r="D385" s="1" t="inlineStr">
        <is>
          <t>TITLEIST Phantom Black 11 Limited Edition (2025) Men's Putter</t>
        </is>
      </c>
      <c r="E385" s="1" t="inlineStr">
        <is>
          <t>TITLEIST</t>
        </is>
      </c>
      <c r="F385" s="1" t="inlineStr">
        <is>
          <t>PUTTER</t>
        </is>
      </c>
      <c r="G385" s="1" t="inlineStr">
        <is>
          <t>GF124010151134</t>
        </is>
      </c>
      <c r="H385" s="1" t="n">
        <v>2</v>
      </c>
      <c r="I385" s="1" t="inlineStr">
        <is>
          <t>หมด</t>
        </is>
      </c>
      <c r="J385" s="13" t="n">
        <v>1500</v>
      </c>
      <c r="K385" s="1" t="inlineStr"/>
      <c r="L385" s="13" t="n"/>
      <c r="M385" s="1">
        <f>IF(L385="","ไม่พบใน SG",IF(ABS(J385-L385)&lt;0.005,"ตรงกัน","ไม่ตรง"))</f>
        <v/>
      </c>
      <c r="N385" s="14">
        <f>IF(L385="","",ROUND(L385*'สรุป'!$C$6,-1))</f>
        <v/>
      </c>
      <c r="O385" s="15" t="n"/>
      <c r="P385" s="15" t="n"/>
      <c r="Q385" s="10" t="n"/>
      <c r="R385" s="10" t="n"/>
      <c r="S385" s="16" t="inlineStr">
        <is>
          <t>https://mstgolf.co.th/products/gf1240101511</t>
        </is>
      </c>
      <c r="T385" s="1">
        <f>IF(B385="ไม้กอล์ฟ",J385,"")</f>
        <v/>
      </c>
    </row>
    <row r="386">
      <c r="A386" s="1" t="n">
        <v>1</v>
      </c>
      <c r="B386" s="1" t="inlineStr">
        <is>
          <t>ไม้กอล์ฟ</t>
        </is>
      </c>
      <c r="C386" s="1" t="inlineStr">
        <is>
          <t>gf1240101508</t>
        </is>
      </c>
      <c r="D386" s="1" t="inlineStr">
        <is>
          <t>TITLEIST Phantom Black 5.5 Limited Edition (2025) Men's Putter</t>
        </is>
      </c>
      <c r="E386" s="1" t="inlineStr">
        <is>
          <t>TITLEIST</t>
        </is>
      </c>
      <c r="F386" s="1" t="inlineStr">
        <is>
          <t>PUTTER</t>
        </is>
      </c>
      <c r="G386" s="1" t="inlineStr">
        <is>
          <t>GF124010150835</t>
        </is>
      </c>
      <c r="H386" s="1" t="n">
        <v>2</v>
      </c>
      <c r="I386" s="1" t="inlineStr">
        <is>
          <t>หมด</t>
        </is>
      </c>
      <c r="J386" s="13" t="n">
        <v>1500</v>
      </c>
      <c r="K386" s="1" t="inlineStr"/>
      <c r="L386" s="13" t="n"/>
      <c r="M386" s="1">
        <f>IF(L386="","ไม่พบใน SG",IF(ABS(J386-L386)&lt;0.005,"ตรงกัน","ไม่ตรง"))</f>
        <v/>
      </c>
      <c r="N386" s="14">
        <f>IF(L386="","",ROUND(L386*'สรุป'!$C$6,-1))</f>
        <v/>
      </c>
      <c r="O386" s="15" t="n"/>
      <c r="P386" s="15" t="n"/>
      <c r="Q386" s="10" t="n"/>
      <c r="R386" s="10" t="n"/>
      <c r="S386" s="16" t="inlineStr">
        <is>
          <t>https://mstgolf.co.th/products/gf1240101508</t>
        </is>
      </c>
      <c r="T386" s="1">
        <f>IF(B386="ไม้กอล์ฟ",J386,"")</f>
        <v/>
      </c>
    </row>
    <row r="387">
      <c r="A387" s="1" t="n">
        <v>1</v>
      </c>
      <c r="B387" s="1" t="inlineStr">
        <is>
          <t>ไม้กอล์ฟ</t>
        </is>
      </c>
      <c r="C387" s="1" t="inlineStr">
        <is>
          <t>gf1240101509</t>
        </is>
      </c>
      <c r="D387" s="1" t="inlineStr">
        <is>
          <t>TITLEIST Phantom Black 7 Double Bend Limited Edition (2025) Men's Putter</t>
        </is>
      </c>
      <c r="E387" s="1" t="inlineStr">
        <is>
          <t>TITLEIST</t>
        </is>
      </c>
      <c r="F387" s="1" t="inlineStr">
        <is>
          <t>PUTTER</t>
        </is>
      </c>
      <c r="G387" s="1" t="inlineStr">
        <is>
          <t>GF124010150935</t>
        </is>
      </c>
      <c r="H387" s="1" t="n">
        <v>2</v>
      </c>
      <c r="I387" s="1" t="inlineStr">
        <is>
          <t>หมด</t>
        </is>
      </c>
      <c r="J387" s="13" t="n">
        <v>1500</v>
      </c>
      <c r="K387" s="1" t="inlineStr"/>
      <c r="L387" s="13" t="n"/>
      <c r="M387" s="1">
        <f>IF(L387="","ไม่พบใน SG",IF(ABS(J387-L387)&lt;0.005,"ตรงกัน","ไม่ตรง"))</f>
        <v/>
      </c>
      <c r="N387" s="14">
        <f>IF(L387="","",ROUND(L387*'สรุป'!$C$6,-1))</f>
        <v/>
      </c>
      <c r="O387" s="15" t="n"/>
      <c r="P387" s="15" t="n"/>
      <c r="Q387" s="10" t="n"/>
      <c r="R387" s="10" t="n"/>
      <c r="S387" s="16" t="inlineStr">
        <is>
          <t>https://mstgolf.co.th/products/gf1240101509</t>
        </is>
      </c>
      <c r="T387" s="1">
        <f>IF(B387="ไม้กอล์ฟ",J387,"")</f>
        <v/>
      </c>
    </row>
    <row r="388">
      <c r="A388" s="1" t="n">
        <v>1</v>
      </c>
      <c r="B388" s="1" t="inlineStr">
        <is>
          <t>ไม้กอล์ฟ</t>
        </is>
      </c>
      <c r="C388" s="1" t="inlineStr">
        <is>
          <t>gf1240101510</t>
        </is>
      </c>
      <c r="D388" s="1" t="inlineStr">
        <is>
          <t>TITLEIST Phantom Black 9.2R Limited Edition (2025) Men's Putter</t>
        </is>
      </c>
      <c r="E388" s="1" t="inlineStr">
        <is>
          <t>TITLEIST</t>
        </is>
      </c>
      <c r="F388" s="1" t="inlineStr">
        <is>
          <t>PUTTER</t>
        </is>
      </c>
      <c r="G388" s="1" t="inlineStr">
        <is>
          <t>GF124010151035</t>
        </is>
      </c>
      <c r="H388" s="1" t="n">
        <v>2</v>
      </c>
      <c r="I388" s="1" t="inlineStr">
        <is>
          <t>หมด</t>
        </is>
      </c>
      <c r="J388" s="13" t="n">
        <v>1500</v>
      </c>
      <c r="K388" s="1" t="inlineStr"/>
      <c r="L388" s="13" t="n"/>
      <c r="M388" s="1">
        <f>IF(L388="","ไม่พบใน SG",IF(ABS(J388-L388)&lt;0.005,"ตรงกัน","ไม่ตรง"))</f>
        <v/>
      </c>
      <c r="N388" s="14">
        <f>IF(L388="","",ROUND(L388*'สรุป'!$C$6,-1))</f>
        <v/>
      </c>
      <c r="O388" s="15" t="n"/>
      <c r="P388" s="15" t="n"/>
      <c r="Q388" s="10" t="n"/>
      <c r="R388" s="10" t="n"/>
      <c r="S388" s="16" t="inlineStr">
        <is>
          <t>https://mstgolf.co.th/products/gf1240101510</t>
        </is>
      </c>
      <c r="T388" s="1">
        <f>IF(B388="ไม้กอล์ฟ",J388,"")</f>
        <v/>
      </c>
    </row>
    <row r="389">
      <c r="A389" s="1" t="n">
        <v>1</v>
      </c>
      <c r="B389" s="1" t="inlineStr">
        <is>
          <t>ไม้กอล์ฟ</t>
        </is>
      </c>
      <c r="C389" s="1" t="inlineStr">
        <is>
          <t>gf1240101427</t>
        </is>
      </c>
      <c r="D389" s="1" t="inlineStr">
        <is>
          <t>BETTINARDI BB1 TIKI Limited Edition (2025) Men's Putter</t>
        </is>
      </c>
      <c r="E389" s="1" t="inlineStr">
        <is>
          <t>BETTINARDI</t>
        </is>
      </c>
      <c r="F389" s="1" t="inlineStr">
        <is>
          <t>PUTTER</t>
        </is>
      </c>
      <c r="G389" s="1" t="inlineStr">
        <is>
          <t>GF124010142734</t>
        </is>
      </c>
      <c r="H389" s="1" t="n">
        <v>1</v>
      </c>
      <c r="I389" s="1" t="inlineStr">
        <is>
          <t>หมด</t>
        </is>
      </c>
      <c r="J389" s="13" t="n">
        <v>1490</v>
      </c>
      <c r="K389" s="1" t="inlineStr"/>
      <c r="L389" s="13" t="n"/>
      <c r="M389" s="1">
        <f>IF(L389="","ไม่พบใน SG",IF(ABS(J389-L389)&lt;0.005,"ตรงกัน","ไม่ตรง"))</f>
        <v/>
      </c>
      <c r="N389" s="14">
        <f>IF(L389="","",ROUND(L389*'สรุป'!$C$6,-1))</f>
        <v/>
      </c>
      <c r="O389" s="15" t="n"/>
      <c r="P389" s="15" t="n"/>
      <c r="Q389" s="10" t="n"/>
      <c r="R389" s="10" t="n"/>
      <c r="S389" s="16" t="inlineStr">
        <is>
          <t>https://mstgolf.co.th/products/gf1240101427</t>
        </is>
      </c>
      <c r="T389" s="1">
        <f>IF(B389="ไม้กอล์ฟ",J389,"")</f>
        <v/>
      </c>
    </row>
    <row r="390">
      <c r="A390" s="1" t="n">
        <v>1</v>
      </c>
      <c r="B390" s="1" t="inlineStr">
        <is>
          <t>ไม้กอล์ฟ</t>
        </is>
      </c>
      <c r="C390" s="1" t="inlineStr">
        <is>
          <t>gf1240101255</t>
        </is>
      </c>
      <c r="D390" s="1" t="inlineStr">
        <is>
          <t>BETTINARDI QB6 Tiki Limited Run (2024) Men's Putter</t>
        </is>
      </c>
      <c r="E390" s="1" t="inlineStr">
        <is>
          <t>BETTINARDI</t>
        </is>
      </c>
      <c r="F390" s="1" t="inlineStr">
        <is>
          <t>PUTTER</t>
        </is>
      </c>
      <c r="G390" s="1" t="inlineStr">
        <is>
          <t>GF124010125534</t>
        </is>
      </c>
      <c r="H390" s="1" t="n">
        <v>1</v>
      </c>
      <c r="I390" s="1" t="inlineStr">
        <is>
          <t>หมด</t>
        </is>
      </c>
      <c r="J390" s="13" t="n">
        <v>1490</v>
      </c>
      <c r="K390" s="1" t="inlineStr"/>
      <c r="L390" s="13" t="n">
        <v>1490</v>
      </c>
      <c r="M390" s="1">
        <f>IF(L390="","ไม่พบใน SG",IF(ABS(J390-L390)&lt;0.005,"ตรงกัน","ไม่ตรง"))</f>
        <v/>
      </c>
      <c r="N390" s="14">
        <f>IF(L390="","",ROUND(L390*'สรุป'!$C$6,-1))</f>
        <v/>
      </c>
      <c r="O390" s="15" t="n"/>
      <c r="P390" s="15" t="n"/>
      <c r="Q390" s="10" t="n"/>
      <c r="R390" s="10" t="n"/>
      <c r="S390" s="16" t="inlineStr">
        <is>
          <t>https://mstgolf.co.th/products/gf1240101255</t>
        </is>
      </c>
      <c r="T390" s="1">
        <f>IF(B390="ไม้กอล์ฟ",J390,"")</f>
        <v/>
      </c>
    </row>
    <row r="391">
      <c r="A391" s="1" t="n">
        <v>1</v>
      </c>
      <c r="B391" s="1" t="inlineStr">
        <is>
          <t>ไม้กอล์ฟ</t>
        </is>
      </c>
      <c r="C391" s="1" t="inlineStr">
        <is>
          <t>gf1280101253</t>
        </is>
      </c>
      <c r="D391" s="1" t="inlineStr">
        <is>
          <t>MIZUNO JPX-925 Hot Metal Pro (2024) Men's Irons</t>
        </is>
      </c>
      <c r="E391" s="1" t="inlineStr">
        <is>
          <t>MIZUNO</t>
        </is>
      </c>
      <c r="F391" s="1" t="inlineStr">
        <is>
          <t>SET OF IRONS</t>
        </is>
      </c>
      <c r="G391" s="1" t="inlineStr">
        <is>
          <t>GF1280101253R</t>
        </is>
      </c>
      <c r="H391" s="1" t="n">
        <v>1</v>
      </c>
      <c r="I391" s="1" t="inlineStr">
        <is>
          <t>หมด</t>
        </is>
      </c>
      <c r="J391" s="13" t="n">
        <v>1420</v>
      </c>
      <c r="K391" s="1" t="inlineStr"/>
      <c r="L391" s="13" t="n"/>
      <c r="M391" s="1">
        <f>IF(L391="","ไม่พบใน SG",IF(ABS(J391-L391)&lt;0.005,"ตรงกัน","ไม่ตรง"))</f>
        <v/>
      </c>
      <c r="N391" s="14">
        <f>IF(L391="","",ROUND(L391*'สรุป'!$C$6,-1))</f>
        <v/>
      </c>
      <c r="O391" s="15" t="n"/>
      <c r="P391" s="15" t="n"/>
      <c r="Q391" s="10" t="n"/>
      <c r="R391" s="10" t="n"/>
      <c r="S391" s="16" t="inlineStr">
        <is>
          <t>https://mstgolf.co.th/products/gf1280101253</t>
        </is>
      </c>
      <c r="T391" s="1">
        <f>IF(B391="ไม้กอล์ฟ",J391,"")</f>
        <v/>
      </c>
    </row>
    <row r="392">
      <c r="A392" s="1" t="n">
        <v>1</v>
      </c>
      <c r="B392" s="1" t="inlineStr">
        <is>
          <t>ไม้กอล์ฟ</t>
        </is>
      </c>
      <c r="C392" s="1" t="inlineStr">
        <is>
          <t>gf1210101237</t>
        </is>
      </c>
      <c r="D392" s="1" t="inlineStr">
        <is>
          <t>MAJESTY Royale (2025) Women's Driver</t>
        </is>
      </c>
      <c r="E392" s="1" t="inlineStr">
        <is>
          <t>MAJESTY</t>
        </is>
      </c>
      <c r="F392" s="1" t="inlineStr">
        <is>
          <t>DRIVER</t>
        </is>
      </c>
      <c r="G392" s="1" t="inlineStr">
        <is>
          <t>GF1210101237115L</t>
        </is>
      </c>
      <c r="H392" s="1" t="n">
        <v>1</v>
      </c>
      <c r="I392" s="1" t="inlineStr">
        <is>
          <t>หมด</t>
        </is>
      </c>
      <c r="J392" s="13" t="n">
        <v>1390</v>
      </c>
      <c r="K392" s="1" t="inlineStr"/>
      <c r="L392" s="13" t="n">
        <v>1390</v>
      </c>
      <c r="M392" s="1">
        <f>IF(L392="","ไม่พบใน SG",IF(ABS(J392-L392)&lt;0.005,"ตรงกัน","ไม่ตรง"))</f>
        <v/>
      </c>
      <c r="N392" s="14">
        <f>IF(L392="","",ROUND(L392*'สรุป'!$C$6,-1))</f>
        <v/>
      </c>
      <c r="O392" s="15" t="n"/>
      <c r="P392" s="15" t="n"/>
      <c r="Q392" s="10" t="n"/>
      <c r="R392" s="10" t="n"/>
      <c r="S392" s="16" t="inlineStr">
        <is>
          <t>https://mstgolf.co.th/products/gf1210101237</t>
        </is>
      </c>
      <c r="T392" s="1">
        <f>IF(B392="ไม้กอล์ฟ",J392,"")</f>
        <v/>
      </c>
    </row>
    <row r="393">
      <c r="A393" s="1" t="n">
        <v>1</v>
      </c>
      <c r="B393" s="1" t="inlineStr">
        <is>
          <t>ไม้กอล์ฟ</t>
        </is>
      </c>
      <c r="C393" s="1" t="inlineStr">
        <is>
          <t>gf1240101345</t>
        </is>
      </c>
      <c r="D393" s="1" t="inlineStr">
        <is>
          <t>BETTINARDI Decade Queen B Prototype Limited Run (2024) Men's Putter</t>
        </is>
      </c>
      <c r="E393" s="1" t="inlineStr">
        <is>
          <t>BETTINARDI</t>
        </is>
      </c>
      <c r="F393" s="1" t="inlineStr">
        <is>
          <t>PUTTER</t>
        </is>
      </c>
      <c r="G393" s="1" t="inlineStr">
        <is>
          <t>GF124010134534</t>
        </is>
      </c>
      <c r="H393" s="1" t="n">
        <v>1</v>
      </c>
      <c r="I393" s="1" t="inlineStr">
        <is>
          <t>หมด</t>
        </is>
      </c>
      <c r="J393" s="13" t="n">
        <v>1350</v>
      </c>
      <c r="K393" s="1" t="inlineStr"/>
      <c r="L393" s="13" t="n">
        <v>1350</v>
      </c>
      <c r="M393" s="1">
        <f>IF(L393="","ไม่พบใน SG",IF(ABS(J393-L393)&lt;0.005,"ตรงกัน","ไม่ตรง"))</f>
        <v/>
      </c>
      <c r="N393" s="14">
        <f>IF(L393="","",ROUND(L393*'สรุป'!$C$6,-1))</f>
        <v/>
      </c>
      <c r="O393" s="15" t="n"/>
      <c r="P393" s="15" t="n"/>
      <c r="Q393" s="10" t="n"/>
      <c r="R393" s="10" t="n"/>
      <c r="S393" s="16" t="inlineStr">
        <is>
          <t>https://mstgolf.co.th/products/gf1240101345</t>
        </is>
      </c>
      <c r="T393" s="1">
        <f>IF(B393="ไม้กอล์ฟ",J393,"")</f>
        <v/>
      </c>
    </row>
    <row r="394">
      <c r="A394" s="1" t="n">
        <v>1</v>
      </c>
      <c r="B394" s="1" t="inlineStr">
        <is>
          <t>ไม้กอล์ฟ</t>
        </is>
      </c>
      <c r="C394" s="1" t="inlineStr">
        <is>
          <t>gf1280101242</t>
        </is>
      </c>
      <c r="D394" s="1" t="inlineStr">
        <is>
          <t>MIZUNO JPX-925 Hot Metal Pro (2024) Men's Irons</t>
        </is>
      </c>
      <c r="E394" s="1" t="inlineStr">
        <is>
          <t>MIZUNO</t>
        </is>
      </c>
      <c r="F394" s="1" t="inlineStr">
        <is>
          <t>SET OF IRONS</t>
        </is>
      </c>
      <c r="G394" s="1" t="inlineStr">
        <is>
          <t>GF1280101242S</t>
        </is>
      </c>
      <c r="H394" s="1" t="n">
        <v>1</v>
      </c>
      <c r="I394" s="1" t="inlineStr">
        <is>
          <t>หมด</t>
        </is>
      </c>
      <c r="J394" s="13" t="n">
        <v>1330</v>
      </c>
      <c r="K394" s="1" t="inlineStr"/>
      <c r="L394" s="13" t="n">
        <v>990</v>
      </c>
      <c r="M394" s="1">
        <f>IF(L394="","ไม่พบใน SG",IF(ABS(J394-L394)&lt;0.005,"ตรงกัน","ไม่ตรง"))</f>
        <v/>
      </c>
      <c r="N394" s="14">
        <f>IF(L394="","",ROUND(L394*'สรุป'!$C$6,-1))</f>
        <v/>
      </c>
      <c r="O394" s="15" t="n"/>
      <c r="P394" s="15" t="n"/>
      <c r="Q394" s="10" t="n"/>
      <c r="R394" s="10" t="n"/>
      <c r="S394" s="16" t="inlineStr">
        <is>
          <t>https://mstgolf.co.th/products/gf1280101242</t>
        </is>
      </c>
      <c r="T394" s="1">
        <f>IF(B394="ไม้กอล์ฟ",J394,"")</f>
        <v/>
      </c>
    </row>
    <row r="395">
      <c r="A395" s="1" t="n">
        <v>1</v>
      </c>
      <c r="B395" s="1" t="inlineStr">
        <is>
          <t>ไม้กอล์ฟ</t>
        </is>
      </c>
      <c r="C395" s="1" t="inlineStr">
        <is>
          <t>gf1230100681</t>
        </is>
      </c>
      <c r="D395" s="1" t="inlineStr">
        <is>
          <t>GIII Signature 6 (2024) Men's Utility</t>
        </is>
      </c>
      <c r="E395" s="1" t="inlineStr">
        <is>
          <t>GIII</t>
        </is>
      </c>
      <c r="F395" s="1" t="inlineStr">
        <is>
          <t>UTILITY/HYBRID</t>
        </is>
      </c>
      <c r="G395" s="1" t="inlineStr">
        <is>
          <t>GF1230100681#3SR</t>
        </is>
      </c>
      <c r="H395" s="1" t="n">
        <v>6</v>
      </c>
      <c r="I395" s="1" t="inlineStr">
        <is>
          <t>หมด</t>
        </is>
      </c>
      <c r="J395" s="13" t="n">
        <v>1300</v>
      </c>
      <c r="K395" s="1" t="inlineStr"/>
      <c r="L395" s="13" t="n">
        <v>1300</v>
      </c>
      <c r="M395" s="1">
        <f>IF(L395="","ไม่พบใน SG",IF(ABS(J395-L395)&lt;0.005,"ตรงกัน","ไม่ตรง"))</f>
        <v/>
      </c>
      <c r="N395" s="14">
        <f>IF(L395="","",ROUND(L395*'สรุป'!$C$6,-1))</f>
        <v/>
      </c>
      <c r="O395" s="15" t="n"/>
      <c r="P395" s="15" t="n"/>
      <c r="Q395" s="10" t="n"/>
      <c r="R395" s="10" t="n"/>
      <c r="S395" s="16" t="inlineStr">
        <is>
          <t>https://mstgolf.co.th/products/gf1230100681</t>
        </is>
      </c>
      <c r="T395" s="1">
        <f>IF(B395="ไม้กอล์ฟ",J395,"")</f>
        <v/>
      </c>
    </row>
    <row r="396">
      <c r="A396" s="1" t="n">
        <v>1</v>
      </c>
      <c r="B396" s="1" t="inlineStr">
        <is>
          <t>ไม้กอล์ฟ</t>
        </is>
      </c>
      <c r="C396" s="1" t="inlineStr">
        <is>
          <t>gf1240101034</t>
        </is>
      </c>
      <c r="D396" s="1" t="inlineStr">
        <is>
          <t>TITLEIST x Scotty Cameron Monoblock 6.5 (2022) Men's Putter</t>
        </is>
      </c>
      <c r="E396" s="1" t="inlineStr">
        <is>
          <t>TITLEIST</t>
        </is>
      </c>
      <c r="F396" s="1" t="inlineStr">
        <is>
          <t>PUTTER</t>
        </is>
      </c>
      <c r="G396" s="1" t="inlineStr">
        <is>
          <t>GF124010103433</t>
        </is>
      </c>
      <c r="H396" s="1" t="n">
        <v>2</v>
      </c>
      <c r="I396" s="1" t="inlineStr">
        <is>
          <t>หมด</t>
        </is>
      </c>
      <c r="J396" s="13" t="n">
        <v>1300</v>
      </c>
      <c r="K396" s="1" t="inlineStr"/>
      <c r="L396" s="13" t="n">
        <v>1300</v>
      </c>
      <c r="M396" s="1">
        <f>IF(L396="","ไม่พบใน SG",IF(ABS(J396-L396)&lt;0.005,"ตรงกัน","ไม่ตรง"))</f>
        <v/>
      </c>
      <c r="N396" s="14">
        <f>IF(L396="","",ROUND(L396*'สรุป'!$C$6,-1))</f>
        <v/>
      </c>
      <c r="O396" s="15" t="n"/>
      <c r="P396" s="15" t="n"/>
      <c r="Q396" s="10" t="n"/>
      <c r="R396" s="10" t="n"/>
      <c r="S396" s="16" t="inlineStr">
        <is>
          <t>https://mstgolf.co.th/products/gf1240101034</t>
        </is>
      </c>
      <c r="T396" s="1">
        <f>IF(B396="ไม้กอล์ฟ",J396,"")</f>
        <v/>
      </c>
    </row>
    <row r="397">
      <c r="A397" s="1" t="n">
        <v>1</v>
      </c>
      <c r="B397" s="1" t="inlineStr">
        <is>
          <t>ไม้กอล์ฟ</t>
        </is>
      </c>
      <c r="C397" s="1" t="inlineStr">
        <is>
          <t>gf1240101142</t>
        </is>
      </c>
      <c r="D397" s="1" t="inlineStr">
        <is>
          <t>BETTINARDI Queen B 25th Anniversary Queen B 6 (2023) Men's Putter</t>
        </is>
      </c>
      <c r="E397" s="1" t="inlineStr">
        <is>
          <t>BETTINARDI</t>
        </is>
      </c>
      <c r="F397" s="1" t="inlineStr">
        <is>
          <t>PUTTER</t>
        </is>
      </c>
      <c r="G397" s="1" t="inlineStr">
        <is>
          <t>GF124010114234</t>
        </is>
      </c>
      <c r="H397" s="1" t="n">
        <v>1</v>
      </c>
      <c r="I397" s="1" t="inlineStr">
        <is>
          <t>หมด</t>
        </is>
      </c>
      <c r="J397" s="13" t="n">
        <v>1290</v>
      </c>
      <c r="K397" s="1" t="inlineStr"/>
      <c r="L397" s="13" t="n"/>
      <c r="M397" s="1">
        <f>IF(L397="","ไม่พบใน SG",IF(ABS(J397-L397)&lt;0.005,"ตรงกัน","ไม่ตรง"))</f>
        <v/>
      </c>
      <c r="N397" s="14">
        <f>IF(L397="","",ROUND(L397*'สรุป'!$C$6,-1))</f>
        <v/>
      </c>
      <c r="O397" s="15" t="n"/>
      <c r="P397" s="15" t="n"/>
      <c r="Q397" s="10" t="n"/>
      <c r="R397" s="10" t="n"/>
      <c r="S397" s="16" t="inlineStr">
        <is>
          <t>https://mstgolf.co.th/products/gf1240101142</t>
        </is>
      </c>
      <c r="T397" s="1">
        <f>IF(B397="ไม้กอล์ฟ",J397,"")</f>
        <v/>
      </c>
    </row>
    <row r="398">
      <c r="A398" s="1" t="n">
        <v>1</v>
      </c>
      <c r="B398" s="1" t="inlineStr">
        <is>
          <t>ไม้กอล์ฟ</t>
        </is>
      </c>
      <c r="C398" s="1" t="inlineStr">
        <is>
          <t>gf1240101094</t>
        </is>
      </c>
      <c r="D398" s="1" t="inlineStr">
        <is>
          <t>BETTINARDI SS16 25TH ANNIVERSARY LIMITED RUN (23) PUTTER</t>
        </is>
      </c>
      <c r="E398" s="1" t="inlineStr">
        <is>
          <t>BETTINARDI</t>
        </is>
      </c>
      <c r="F398" s="1" t="inlineStr">
        <is>
          <t>PUTTER</t>
        </is>
      </c>
      <c r="G398" s="1" t="inlineStr">
        <is>
          <t>GF124010109434</t>
        </is>
      </c>
      <c r="H398" s="1" t="n">
        <v>1</v>
      </c>
      <c r="I398" s="1" t="inlineStr">
        <is>
          <t>หมด</t>
        </is>
      </c>
      <c r="J398" s="13" t="n">
        <v>1290</v>
      </c>
      <c r="K398" s="1" t="inlineStr"/>
      <c r="L398" s="13" t="n"/>
      <c r="M398" s="1">
        <f>IF(L398="","ไม่พบใน SG",IF(ABS(J398-L398)&lt;0.005,"ตรงกัน","ไม่ตรง"))</f>
        <v/>
      </c>
      <c r="N398" s="14">
        <f>IF(L398="","",ROUND(L398*'สรุป'!$C$6,-1))</f>
        <v/>
      </c>
      <c r="O398" s="15" t="n"/>
      <c r="P398" s="15" t="n"/>
      <c r="Q398" s="10" t="n"/>
      <c r="R398" s="10" t="n"/>
      <c r="S398" s="16" t="inlineStr">
        <is>
          <t>https://mstgolf.co.th/products/gf1240101094</t>
        </is>
      </c>
      <c r="T398" s="1">
        <f>IF(B398="ไม้กอล์ฟ",J398,"")</f>
        <v/>
      </c>
    </row>
    <row r="399">
      <c r="A399" s="1" t="n">
        <v>1</v>
      </c>
      <c r="B399" s="1" t="inlineStr">
        <is>
          <t>ไม้กอล์ฟ</t>
        </is>
      </c>
      <c r="C399" s="1" t="inlineStr">
        <is>
          <t>gf1250100106</t>
        </is>
      </c>
      <c r="D399" s="1" t="inlineStr">
        <is>
          <t>COBRA Fly XL Blue Men's Package Set</t>
        </is>
      </c>
      <c r="E399" s="1" t="inlineStr">
        <is>
          <t>COBRA</t>
        </is>
      </c>
      <c r="F399" s="1" t="inlineStr">
        <is>
          <t>PACKAGE SET</t>
        </is>
      </c>
      <c r="G399" s="1" t="inlineStr">
        <is>
          <t>GF1250100107</t>
        </is>
      </c>
      <c r="H399" s="1" t="n">
        <v>1</v>
      </c>
      <c r="I399" s="1" t="inlineStr">
        <is>
          <t>หมด</t>
        </is>
      </c>
      <c r="J399" s="13" t="n">
        <v>1290</v>
      </c>
      <c r="K399" s="1" t="inlineStr"/>
      <c r="L399" s="13" t="n"/>
      <c r="M399" s="1">
        <f>IF(L399="","ไม่พบใน SG",IF(ABS(J399-L399)&lt;0.005,"ตรงกัน","ไม่ตรง"))</f>
        <v/>
      </c>
      <c r="N399" s="14">
        <f>IF(L399="","",ROUND(L399*'สรุป'!$C$6,-1))</f>
        <v/>
      </c>
      <c r="O399" s="15" t="n"/>
      <c r="P399" s="15" t="n"/>
      <c r="Q399" s="10" t="n"/>
      <c r="R399" s="10" t="n"/>
      <c r="S399" s="16" t="inlineStr">
        <is>
          <t>https://mstgolf.co.th/products/gf1250100106</t>
        </is>
      </c>
      <c r="T399" s="1">
        <f>IF(B399="ไม้กอล์ฟ",J399,"")</f>
        <v/>
      </c>
    </row>
    <row r="400">
      <c r="A400" s="1" t="n">
        <v>1</v>
      </c>
      <c r="B400" s="1" t="inlineStr">
        <is>
          <t>ไม้กอล์ฟ</t>
        </is>
      </c>
      <c r="C400" s="1" t="inlineStr">
        <is>
          <t>gf1250100109</t>
        </is>
      </c>
      <c r="D400" s="1" t="inlineStr">
        <is>
          <t>COBRA Fly XL Pink LH Women's Pacakge Set</t>
        </is>
      </c>
      <c r="E400" s="1" t="inlineStr">
        <is>
          <t>COBRA</t>
        </is>
      </c>
      <c r="F400" s="1" t="inlineStr">
        <is>
          <t>PACKAGE SET</t>
        </is>
      </c>
      <c r="G400" s="1" t="inlineStr">
        <is>
          <t>GF1250100109</t>
        </is>
      </c>
      <c r="H400" s="1" t="n">
        <v>1</v>
      </c>
      <c r="I400" s="1" t="inlineStr">
        <is>
          <t>หมด</t>
        </is>
      </c>
      <c r="J400" s="13" t="n">
        <v>1290</v>
      </c>
      <c r="K400" s="1" t="inlineStr"/>
      <c r="L400" s="13" t="n"/>
      <c r="M400" s="1">
        <f>IF(L400="","ไม่พบใน SG",IF(ABS(J400-L400)&lt;0.005,"ตรงกัน","ไม่ตรง"))</f>
        <v/>
      </c>
      <c r="N400" s="14">
        <f>IF(L400="","",ROUND(L400*'สรุป'!$C$6,-1))</f>
        <v/>
      </c>
      <c r="O400" s="15" t="n"/>
      <c r="P400" s="15" t="n"/>
      <c r="Q400" s="10" t="n"/>
      <c r="R400" s="10" t="n"/>
      <c r="S400" s="16" t="inlineStr">
        <is>
          <t>https://mstgolf.co.th/products/gf1250100109</t>
        </is>
      </c>
      <c r="T400" s="1">
        <f>IF(B400="ไม้กอล์ฟ",J400,"")</f>
        <v/>
      </c>
    </row>
    <row r="401">
      <c r="A401" s="1" t="n">
        <v>1</v>
      </c>
      <c r="B401" s="1" t="inlineStr">
        <is>
          <t>ไม้กอล์ฟ</t>
        </is>
      </c>
      <c r="C401" s="1" t="inlineStr">
        <is>
          <t>gf1220100796</t>
        </is>
      </c>
      <c r="D401" s="1" t="inlineStr">
        <is>
          <t>MAJESTY Prestigio 13 (2024) Women's Fairway</t>
        </is>
      </c>
      <c r="E401" s="1" t="inlineStr">
        <is>
          <t>MAJESTY</t>
        </is>
      </c>
      <c r="F401" s="1" t="inlineStr">
        <is>
          <t>FAIRWAY WOOD</t>
        </is>
      </c>
      <c r="G401" s="1" t="inlineStr">
        <is>
          <t>GF1220100796#3L</t>
        </is>
      </c>
      <c r="H401" s="1" t="n">
        <v>3</v>
      </c>
      <c r="I401" s="1" t="inlineStr">
        <is>
          <t>หมด</t>
        </is>
      </c>
      <c r="J401" s="13" t="n">
        <v>1290</v>
      </c>
      <c r="K401" s="1" t="inlineStr"/>
      <c r="L401" s="13" t="n">
        <v>1290</v>
      </c>
      <c r="M401" s="1">
        <f>IF(L401="","ไม่พบใน SG",IF(ABS(J401-L401)&lt;0.005,"ตรงกัน","ไม่ตรง"))</f>
        <v/>
      </c>
      <c r="N401" s="14">
        <f>IF(L401="","",ROUND(L401*'สรุป'!$C$6,-1))</f>
        <v/>
      </c>
      <c r="O401" s="15" t="n"/>
      <c r="P401" s="15" t="n"/>
      <c r="Q401" s="10" t="n"/>
      <c r="R401" s="10" t="n"/>
      <c r="S401" s="16" t="inlineStr">
        <is>
          <t>https://mstgolf.co.th/products/gf1220100796</t>
        </is>
      </c>
      <c r="T401" s="1">
        <f>IF(B401="ไม้กอล์ฟ",J401,"")</f>
        <v/>
      </c>
    </row>
    <row r="402">
      <c r="A402" s="1" t="n">
        <v>1</v>
      </c>
      <c r="B402" s="1" t="inlineStr">
        <is>
          <t>ไม้กอล์ฟ</t>
        </is>
      </c>
      <c r="C402" s="1" t="inlineStr">
        <is>
          <t>gf1250100123</t>
        </is>
      </c>
      <c r="D402" s="1" t="inlineStr">
        <is>
          <t>TAYLORMADE RBZ SpeedLite (2021) Women's Package Set</t>
        </is>
      </c>
      <c r="E402" s="1" t="inlineStr">
        <is>
          <t>TAYLORMADE</t>
        </is>
      </c>
      <c r="F402" s="1" t="inlineStr">
        <is>
          <t>PACKAGE SET</t>
        </is>
      </c>
      <c r="G402" s="1" t="inlineStr">
        <is>
          <t>GF1250100123</t>
        </is>
      </c>
      <c r="H402" s="1" t="n">
        <v>1</v>
      </c>
      <c r="I402" s="1" t="inlineStr">
        <is>
          <t>หมด</t>
        </is>
      </c>
      <c r="J402" s="13" t="n">
        <v>1250</v>
      </c>
      <c r="K402" s="1" t="inlineStr"/>
      <c r="L402" s="13" t="n"/>
      <c r="M402" s="1">
        <f>IF(L402="","ไม่พบใน SG",IF(ABS(J402-L402)&lt;0.005,"ตรงกัน","ไม่ตรง"))</f>
        <v/>
      </c>
      <c r="N402" s="14">
        <f>IF(L402="","",ROUND(L402*'สรุป'!$C$6,-1))</f>
        <v/>
      </c>
      <c r="O402" s="15" t="n"/>
      <c r="P402" s="15" t="n"/>
      <c r="Q402" s="10" t="n"/>
      <c r="R402" s="10" t="n"/>
      <c r="S402" s="16" t="inlineStr">
        <is>
          <t>https://mstgolf.co.th/products/gf1250100123</t>
        </is>
      </c>
      <c r="T402" s="1">
        <f>IF(B402="ไม้กอล์ฟ",J402,"")</f>
        <v/>
      </c>
    </row>
    <row r="403">
      <c r="A403" s="1" t="n">
        <v>1</v>
      </c>
      <c r="B403" s="1" t="inlineStr">
        <is>
          <t>ไม้กอล์ฟ</t>
        </is>
      </c>
      <c r="C403" s="1" t="inlineStr">
        <is>
          <t>gf1220100409</t>
        </is>
      </c>
      <c r="D403" s="1" t="inlineStr">
        <is>
          <t>GIII Signature 5 (2021) Men's Fairway</t>
        </is>
      </c>
      <c r="E403" s="1" t="inlineStr">
        <is>
          <t>GIII</t>
        </is>
      </c>
      <c r="F403" s="1" t="inlineStr">
        <is>
          <t>FAIRWAY WOOD</t>
        </is>
      </c>
      <c r="G403" s="1" t="inlineStr">
        <is>
          <t>GF1220100409#3R</t>
        </is>
      </c>
      <c r="H403" s="1" t="n">
        <v>4</v>
      </c>
      <c r="I403" s="1" t="inlineStr">
        <is>
          <t>หมด</t>
        </is>
      </c>
      <c r="J403" s="13" t="n">
        <v>1230</v>
      </c>
      <c r="K403" s="1" t="inlineStr"/>
      <c r="L403" s="13" t="n"/>
      <c r="M403" s="1">
        <f>IF(L403="","ไม่พบใน SG",IF(ABS(J403-L403)&lt;0.005,"ตรงกัน","ไม่ตรง"))</f>
        <v/>
      </c>
      <c r="N403" s="14">
        <f>IF(L403="","",ROUND(L403*'สรุป'!$C$6,-1))</f>
        <v/>
      </c>
      <c r="O403" s="15" t="n"/>
      <c r="P403" s="15" t="n"/>
      <c r="Q403" s="10" t="n"/>
      <c r="R403" s="10" t="n"/>
      <c r="S403" s="16" t="inlineStr">
        <is>
          <t>https://mstgolf.co.th/products/gf1220100409</t>
        </is>
      </c>
      <c r="T403" s="1">
        <f>IF(B403="ไม้กอล์ฟ",J403,"")</f>
        <v/>
      </c>
    </row>
    <row r="404">
      <c r="A404" s="1" t="n">
        <v>1</v>
      </c>
      <c r="B404" s="1" t="inlineStr">
        <is>
          <t>ไม้กอล์ฟ</t>
        </is>
      </c>
      <c r="C404" s="1" t="inlineStr">
        <is>
          <t>gf1250100136</t>
        </is>
      </c>
      <c r="D404" s="1" t="inlineStr">
        <is>
          <t>MIZUNO RV-8 (2021) Men's Package Set</t>
        </is>
      </c>
      <c r="E404" s="1" t="inlineStr">
        <is>
          <t>MIZUNO</t>
        </is>
      </c>
      <c r="F404" s="1" t="inlineStr">
        <is>
          <t>PACKAGE SET</t>
        </is>
      </c>
      <c r="G404" s="1" t="inlineStr">
        <is>
          <t>GF1250100136S</t>
        </is>
      </c>
      <c r="H404" s="1" t="n">
        <v>2</v>
      </c>
      <c r="I404" s="1" t="inlineStr">
        <is>
          <t>หมด</t>
        </is>
      </c>
      <c r="J404" s="13" t="n">
        <v>1230</v>
      </c>
      <c r="K404" s="1" t="inlineStr"/>
      <c r="L404" s="13" t="n">
        <v>1230</v>
      </c>
      <c r="M404" s="1">
        <f>IF(L404="","ไม่พบใน SG",IF(ABS(J404-L404)&lt;0.005,"ตรงกัน","ไม่ตรง"))</f>
        <v/>
      </c>
      <c r="N404" s="14">
        <f>IF(L404="","",ROUND(L404*'สรุป'!$C$6,-1))</f>
        <v/>
      </c>
      <c r="O404" s="15" t="n"/>
      <c r="P404" s="15" t="n"/>
      <c r="Q404" s="10" t="n"/>
      <c r="R404" s="10" t="n"/>
      <c r="S404" s="16" t="inlineStr">
        <is>
          <t>https://mstgolf.co.th/products/gf1250100136</t>
        </is>
      </c>
      <c r="T404" s="1">
        <f>IF(B404="ไม้กอล์ฟ",J404,"")</f>
        <v/>
      </c>
    </row>
    <row r="405">
      <c r="A405" s="1" t="n">
        <v>1</v>
      </c>
      <c r="B405" s="1" t="inlineStr">
        <is>
          <t>ไม้กอล์ฟ</t>
        </is>
      </c>
      <c r="C405" s="1" t="inlineStr">
        <is>
          <t>gf1280101472</t>
        </is>
      </c>
      <c r="D405" s="1" t="inlineStr">
        <is>
          <t>COBRA King (2026) Men's Irons</t>
        </is>
      </c>
      <c r="E405" s="1" t="inlineStr">
        <is>
          <t>COBRA</t>
        </is>
      </c>
      <c r="F405" s="1" t="inlineStr">
        <is>
          <t>SET OF IRONS</t>
        </is>
      </c>
      <c r="G405" s="1" t="inlineStr">
        <is>
          <t>GF1280101472R</t>
        </is>
      </c>
      <c r="H405" s="1" t="n">
        <v>1</v>
      </c>
      <c r="I405" s="1" t="inlineStr">
        <is>
          <t>หมด</t>
        </is>
      </c>
      <c r="J405" s="13" t="n">
        <v>1200</v>
      </c>
      <c r="K405" s="1" t="inlineStr"/>
      <c r="L405" s="13" t="n">
        <v>1200</v>
      </c>
      <c r="M405" s="1">
        <f>IF(L405="","ไม่พบใน SG",IF(ABS(J405-L405)&lt;0.005,"ตรงกัน","ไม่ตรง"))</f>
        <v/>
      </c>
      <c r="N405" s="14">
        <f>IF(L405="","",ROUND(L405*'สรุป'!$C$6,-1))</f>
        <v/>
      </c>
      <c r="O405" s="15" t="n"/>
      <c r="P405" s="15" t="n"/>
      <c r="Q405" s="10" t="n"/>
      <c r="R405" s="10" t="n"/>
      <c r="S405" s="16" t="inlineStr">
        <is>
          <t>https://mstgolf.co.th/products/gf1280101472</t>
        </is>
      </c>
      <c r="T405" s="1">
        <f>IF(B405="ไม้กอล์ฟ",J405,"")</f>
        <v/>
      </c>
    </row>
    <row r="406">
      <c r="A406" s="1" t="n">
        <v>1</v>
      </c>
      <c r="B406" s="1" t="inlineStr">
        <is>
          <t>ไม้กอล์ฟ</t>
        </is>
      </c>
      <c r="C406" s="1" t="inlineStr">
        <is>
          <t>gf1220100224</t>
        </is>
      </c>
      <c r="D406" s="1" t="inlineStr">
        <is>
          <t>GIII Signature 2019 Men's Fairway</t>
        </is>
      </c>
      <c r="E406" s="1" t="inlineStr">
        <is>
          <t>GIII</t>
        </is>
      </c>
      <c r="F406" s="1" t="inlineStr">
        <is>
          <t>FAIRWAY WOOD</t>
        </is>
      </c>
      <c r="G406" s="1" t="inlineStr">
        <is>
          <t>GF1220100224#3SR</t>
        </is>
      </c>
      <c r="H406" s="1" t="n">
        <v>4</v>
      </c>
      <c r="I406" s="1" t="inlineStr">
        <is>
          <t>หมด</t>
        </is>
      </c>
      <c r="J406" s="13" t="n">
        <v>1190</v>
      </c>
      <c r="K406" s="1" t="inlineStr"/>
      <c r="L406" s="13" t="n">
        <v>1190</v>
      </c>
      <c r="M406" s="1">
        <f>IF(L406="","ไม่พบใน SG",IF(ABS(J406-L406)&lt;0.005,"ตรงกัน","ไม่ตรง"))</f>
        <v/>
      </c>
      <c r="N406" s="14">
        <f>IF(L406="","",ROUND(L406*'สรุป'!$C$6,-1))</f>
        <v/>
      </c>
      <c r="O406" s="15" t="n"/>
      <c r="P406" s="15" t="n"/>
      <c r="Q406" s="10" t="n"/>
      <c r="R406" s="10" t="n"/>
      <c r="S406" s="16" t="inlineStr">
        <is>
          <t>https://mstgolf.co.th/products/gf1220100224</t>
        </is>
      </c>
      <c r="T406" s="1">
        <f>IF(B406="ไม้กอล์ฟ",J406,"")</f>
        <v/>
      </c>
    </row>
    <row r="407">
      <c r="A407" s="1" t="n">
        <v>1</v>
      </c>
      <c r="B407" s="1" t="inlineStr">
        <is>
          <t>ไม้กอล์ฟ</t>
        </is>
      </c>
      <c r="C407" s="1" t="inlineStr">
        <is>
          <t>gf1240101263</t>
        </is>
      </c>
      <c r="D407" s="1" t="inlineStr">
        <is>
          <t>MAJESTY Santorini (2024) Men's Putter</t>
        </is>
      </c>
      <c r="E407" s="1" t="inlineStr">
        <is>
          <t>MAJESTY</t>
        </is>
      </c>
      <c r="F407" s="1" t="inlineStr">
        <is>
          <t>PUTTER</t>
        </is>
      </c>
      <c r="G407" s="1" t="inlineStr">
        <is>
          <t>GF124010126334</t>
        </is>
      </c>
      <c r="H407" s="1" t="n">
        <v>1</v>
      </c>
      <c r="I407" s="1" t="inlineStr">
        <is>
          <t>หมด</t>
        </is>
      </c>
      <c r="J407" s="13" t="n">
        <v>1190</v>
      </c>
      <c r="K407" s="1" t="inlineStr"/>
      <c r="L407" s="13" t="n">
        <v>1190</v>
      </c>
      <c r="M407" s="1">
        <f>IF(L407="","ไม่พบใน SG",IF(ABS(J407-L407)&lt;0.005,"ตรงกัน","ไม่ตรง"))</f>
        <v/>
      </c>
      <c r="N407" s="14">
        <f>IF(L407="","",ROUND(L407*'สรุป'!$C$6,-1))</f>
        <v/>
      </c>
      <c r="O407" s="15" t="n"/>
      <c r="P407" s="15" t="n"/>
      <c r="Q407" s="10" t="n"/>
      <c r="R407" s="10" t="n"/>
      <c r="S407" s="16" t="inlineStr">
        <is>
          <t>https://mstgolf.co.th/products/gf1240101263</t>
        </is>
      </c>
      <c r="T407" s="1">
        <f>IF(B407="ไม้กอล์ฟ",J407,"")</f>
        <v/>
      </c>
    </row>
    <row r="408">
      <c r="A408" s="1" t="n">
        <v>1</v>
      </c>
      <c r="B408" s="1" t="inlineStr">
        <is>
          <t>ไม้กอล์ฟ</t>
        </is>
      </c>
      <c r="C408" s="1" t="inlineStr">
        <is>
          <t>gf1280100951</t>
        </is>
      </c>
      <c r="D408" s="1" t="inlineStr">
        <is>
          <t>ONOFF LP423I Blue (2023) Women's Irons</t>
        </is>
      </c>
      <c r="E408" s="1" t="inlineStr">
        <is>
          <t>ONOFF</t>
        </is>
      </c>
      <c r="F408" s="1" t="inlineStr">
        <is>
          <t>SET OF IRONS</t>
        </is>
      </c>
      <c r="G408" s="1" t="inlineStr">
        <is>
          <t>GF1280100951L</t>
        </is>
      </c>
      <c r="H408" s="1" t="n">
        <v>1</v>
      </c>
      <c r="I408" s="1" t="inlineStr">
        <is>
          <t>หมด</t>
        </is>
      </c>
      <c r="J408" s="13" t="n">
        <v>1190</v>
      </c>
      <c r="K408" s="1" t="inlineStr"/>
      <c r="L408" s="13" t="n">
        <v>1190</v>
      </c>
      <c r="M408" s="1">
        <f>IF(L408="","ไม่พบใน SG",IF(ABS(J408-L408)&lt;0.005,"ตรงกัน","ไม่ตรง"))</f>
        <v/>
      </c>
      <c r="N408" s="14">
        <f>IF(L408="","",ROUND(L408*'สรุป'!$C$6,-1))</f>
        <v/>
      </c>
      <c r="O408" s="15" t="n"/>
      <c r="P408" s="15" t="n"/>
      <c r="Q408" s="10" t="n"/>
      <c r="R408" s="10" t="n"/>
      <c r="S408" s="16" t="inlineStr">
        <is>
          <t>https://mstgolf.co.th/products/gf1280100951</t>
        </is>
      </c>
      <c r="T408" s="1">
        <f>IF(B408="ไม้กอล์ฟ",J408,"")</f>
        <v/>
      </c>
    </row>
    <row r="409">
      <c r="A409" s="1" t="n">
        <v>1</v>
      </c>
      <c r="B409" s="1" t="inlineStr">
        <is>
          <t>ไม้กอล์ฟ</t>
        </is>
      </c>
      <c r="C409" s="1" t="inlineStr">
        <is>
          <t>gf1280100950</t>
        </is>
      </c>
      <c r="D409" s="1" t="inlineStr">
        <is>
          <t>ONOFF LP423I Pink (2023) Women's Irons</t>
        </is>
      </c>
      <c r="E409" s="1" t="inlineStr">
        <is>
          <t>ONOFF</t>
        </is>
      </c>
      <c r="F409" s="1" t="inlineStr">
        <is>
          <t>SET OF IRONS</t>
        </is>
      </c>
      <c r="G409" s="1" t="inlineStr">
        <is>
          <t>GF1280100950L</t>
        </is>
      </c>
      <c r="H409" s="1" t="n">
        <v>1</v>
      </c>
      <c r="I409" s="1" t="inlineStr">
        <is>
          <t>หมด</t>
        </is>
      </c>
      <c r="J409" s="13" t="n">
        <v>1190</v>
      </c>
      <c r="K409" s="1" t="inlineStr"/>
      <c r="L409" s="13" t="n">
        <v>1190</v>
      </c>
      <c r="M409" s="1">
        <f>IF(L409="","ไม่พบใน SG",IF(ABS(J409-L409)&lt;0.005,"ตรงกัน","ไม่ตรง"))</f>
        <v/>
      </c>
      <c r="N409" s="14">
        <f>IF(L409="","",ROUND(L409*'สรุป'!$C$6,-1))</f>
        <v/>
      </c>
      <c r="O409" s="15" t="n"/>
      <c r="P409" s="15" t="n"/>
      <c r="Q409" s="10" t="n"/>
      <c r="R409" s="10" t="n"/>
      <c r="S409" s="16" t="inlineStr">
        <is>
          <t>https://mstgolf.co.th/products/gf1280100950</t>
        </is>
      </c>
      <c r="T409" s="1">
        <f>IF(B409="ไม้กอล์ฟ",J409,"")</f>
        <v/>
      </c>
    </row>
    <row r="410">
      <c r="A410" s="1" t="n">
        <v>1</v>
      </c>
      <c r="B410" s="1" t="inlineStr">
        <is>
          <t>ไม้กอล์ฟ</t>
        </is>
      </c>
      <c r="C410" s="1" t="inlineStr">
        <is>
          <t>gf1280100520</t>
        </is>
      </c>
      <c r="D410" s="1" t="inlineStr">
        <is>
          <t>PING G710 (2020) Men's Irons</t>
        </is>
      </c>
      <c r="E410" s="1" t="inlineStr">
        <is>
          <t>PING</t>
        </is>
      </c>
      <c r="F410" s="1" t="inlineStr">
        <is>
          <t>SET OF IRONS</t>
        </is>
      </c>
      <c r="G410" s="1" t="inlineStr">
        <is>
          <t>GF1280100520R</t>
        </is>
      </c>
      <c r="H410" s="1" t="n">
        <v>2</v>
      </c>
      <c r="I410" s="1" t="inlineStr">
        <is>
          <t>หมด</t>
        </is>
      </c>
      <c r="J410" s="13" t="n">
        <v>1190</v>
      </c>
      <c r="K410" s="1" t="inlineStr"/>
      <c r="L410" s="13" t="n"/>
      <c r="M410" s="1">
        <f>IF(L410="","ไม่พบใน SG",IF(ABS(J410-L410)&lt;0.005,"ตรงกัน","ไม่ตรง"))</f>
        <v/>
      </c>
      <c r="N410" s="14">
        <f>IF(L410="","",ROUND(L410*'สรุป'!$C$6,-1))</f>
        <v/>
      </c>
      <c r="O410" s="15" t="n"/>
      <c r="P410" s="15" t="n"/>
      <c r="Q410" s="10" t="n"/>
      <c r="R410" s="10" t="n"/>
      <c r="S410" s="16" t="inlineStr">
        <is>
          <t>https://mstgolf.co.th/products/gf1280100520</t>
        </is>
      </c>
      <c r="T410" s="1">
        <f>IF(B410="ไม้กอล์ฟ",J410,"")</f>
        <v/>
      </c>
    </row>
    <row r="411">
      <c r="A411" s="1" t="n">
        <v>1</v>
      </c>
      <c r="B411" s="1" t="inlineStr">
        <is>
          <t>ไม้กอล์ฟ</t>
        </is>
      </c>
      <c r="C411" s="1" t="inlineStr">
        <is>
          <t>gf1280101063</t>
        </is>
      </c>
      <c r="D411" s="1" t="inlineStr">
        <is>
          <t>TAYLORMADE P790 (2023) Men's Irons</t>
        </is>
      </c>
      <c r="E411" s="1" t="inlineStr">
        <is>
          <t>TAYLORMADE</t>
        </is>
      </c>
      <c r="F411" s="1" t="inlineStr">
        <is>
          <t>SET OF IRONS</t>
        </is>
      </c>
      <c r="G411" s="1" t="inlineStr">
        <is>
          <t>GF1280101064S</t>
        </is>
      </c>
      <c r="H411" s="1" t="n">
        <v>4</v>
      </c>
      <c r="I411" s="1" t="inlineStr">
        <is>
          <t>หมด</t>
        </is>
      </c>
      <c r="J411" s="13" t="n">
        <v>1190</v>
      </c>
      <c r="K411" s="1" t="inlineStr"/>
      <c r="L411" s="13" t="n"/>
      <c r="M411" s="1">
        <f>IF(L411="","ไม่พบใน SG",IF(ABS(J411-L411)&lt;0.005,"ตรงกัน","ไม่ตรง"))</f>
        <v/>
      </c>
      <c r="N411" s="14">
        <f>IF(L411="","",ROUND(L411*'สรุป'!$C$6,-1))</f>
        <v/>
      </c>
      <c r="O411" s="15" t="n"/>
      <c r="P411" s="15" t="n"/>
      <c r="Q411" s="10" t="n"/>
      <c r="R411" s="10" t="n"/>
      <c r="S411" s="16" t="inlineStr">
        <is>
          <t>https://mstgolf.co.th/products/gf1280101063</t>
        </is>
      </c>
      <c r="T411" s="1">
        <f>IF(B411="ไม้กอล์ฟ",J411,"")</f>
        <v/>
      </c>
    </row>
    <row r="412">
      <c r="A412" s="1" t="n">
        <v>1</v>
      </c>
      <c r="B412" s="1" t="inlineStr">
        <is>
          <t>ไม้กอล์ฟ</t>
        </is>
      </c>
      <c r="C412" s="1" t="inlineStr">
        <is>
          <t>gf1280101374</t>
        </is>
      </c>
      <c r="D412" s="1" t="inlineStr">
        <is>
          <t>YAMAHA RMX DD-1 (2026) Men's Irons</t>
        </is>
      </c>
      <c r="E412" s="1" t="inlineStr">
        <is>
          <t>YAMAHA</t>
        </is>
      </c>
      <c r="F412" s="1" t="inlineStr">
        <is>
          <t>SET OF IRONS</t>
        </is>
      </c>
      <c r="G412" s="1" t="inlineStr">
        <is>
          <t>GF1280101374S</t>
        </is>
      </c>
      <c r="H412" s="1" t="n">
        <v>1</v>
      </c>
      <c r="I412" s="1" t="inlineStr">
        <is>
          <t>หมด</t>
        </is>
      </c>
      <c r="J412" s="13" t="n">
        <v>1190</v>
      </c>
      <c r="K412" s="1" t="inlineStr"/>
      <c r="L412" s="13" t="n">
        <v>790</v>
      </c>
      <c r="M412" s="1">
        <f>IF(L412="","ไม่พบใน SG",IF(ABS(J412-L412)&lt;0.005,"ตรงกัน","ไม่ตรง"))</f>
        <v/>
      </c>
      <c r="N412" s="14">
        <f>IF(L412="","",ROUND(L412*'สรุป'!$C$6,-1))</f>
        <v/>
      </c>
      <c r="O412" s="15" t="n"/>
      <c r="P412" s="15" t="n"/>
      <c r="Q412" s="10" t="n"/>
      <c r="R412" s="10" t="n"/>
      <c r="S412" s="16" t="inlineStr">
        <is>
          <t>https://mstgolf.co.th/products/gf1280101374</t>
        </is>
      </c>
      <c r="T412" s="1">
        <f>IF(B412="ไม้กอล์ฟ",J412,"")</f>
        <v/>
      </c>
    </row>
    <row r="413">
      <c r="A413" s="1" t="n">
        <v>1</v>
      </c>
      <c r="B413" s="1" t="inlineStr">
        <is>
          <t>ไม้กอล์ฟ</t>
        </is>
      </c>
      <c r="C413" s="1" t="inlineStr">
        <is>
          <t>gf1280101375</t>
        </is>
      </c>
      <c r="D413" s="1" t="inlineStr">
        <is>
          <t>YAMAHA RMX DD-2 (2026) Men's Irons</t>
        </is>
      </c>
      <c r="E413" s="1" t="inlineStr">
        <is>
          <t>YAMAHA</t>
        </is>
      </c>
      <c r="F413" s="1" t="inlineStr">
        <is>
          <t>SET OF IRONS</t>
        </is>
      </c>
      <c r="G413" s="1" t="inlineStr">
        <is>
          <t>GF1280101375R</t>
        </is>
      </c>
      <c r="H413" s="1" t="n">
        <v>3</v>
      </c>
      <c r="I413" s="1" t="inlineStr">
        <is>
          <t>หมด</t>
        </is>
      </c>
      <c r="J413" s="13" t="n">
        <v>1190</v>
      </c>
      <c r="K413" s="1" t="inlineStr">
        <is>
          <t>ต่างกัน</t>
        </is>
      </c>
      <c r="L413" s="13" t="n">
        <v>790</v>
      </c>
      <c r="M413" s="1">
        <f>IF(L413="","ไม่พบใน SG",IF(ABS(J413-L413)&lt;0.005,"ตรงกัน","ไม่ตรง"))</f>
        <v/>
      </c>
      <c r="N413" s="14">
        <f>IF(L413="","",ROUND(L413*'สรุป'!$C$6,-1))</f>
        <v/>
      </c>
      <c r="O413" s="15" t="n"/>
      <c r="P413" s="15" t="n"/>
      <c r="Q413" s="10" t="n"/>
      <c r="R413" s="10" t="n"/>
      <c r="S413" s="16" t="inlineStr">
        <is>
          <t>https://mstgolf.co.th/products/gf1280101375</t>
        </is>
      </c>
      <c r="T413" s="1">
        <f>IF(B413="ไม้กอล์ฟ",J413,"")</f>
        <v/>
      </c>
    </row>
    <row r="414">
      <c r="A414" s="1" t="n">
        <v>1</v>
      </c>
      <c r="B414" s="1" t="inlineStr">
        <is>
          <t>ไม้กอล์ฟ</t>
        </is>
      </c>
      <c r="C414" s="1" t="inlineStr">
        <is>
          <t>gf1220100587</t>
        </is>
      </c>
      <c r="D414" s="1" t="inlineStr">
        <is>
          <t>MAJESTY Prestigio 12 (2022) Men's Fairway</t>
        </is>
      </c>
      <c r="E414" s="1" t="inlineStr">
        <is>
          <t>MAJESTY</t>
        </is>
      </c>
      <c r="F414" s="1" t="inlineStr">
        <is>
          <t>FAIRWAY WOOD</t>
        </is>
      </c>
      <c r="G414" s="1" t="inlineStr">
        <is>
          <t>GF1220100587#3SR</t>
        </is>
      </c>
      <c r="H414" s="1" t="n">
        <v>8</v>
      </c>
      <c r="I414" s="1" t="inlineStr">
        <is>
          <t>หมด</t>
        </is>
      </c>
      <c r="J414" s="13" t="n">
        <v>1180</v>
      </c>
      <c r="K414" s="1" t="inlineStr"/>
      <c r="L414" s="13" t="n"/>
      <c r="M414" s="1">
        <f>IF(L414="","ไม่พบใน SG",IF(ABS(J414-L414)&lt;0.005,"ตรงกัน","ไม่ตรง"))</f>
        <v/>
      </c>
      <c r="N414" s="14">
        <f>IF(L414="","",ROUND(L414*'สรุป'!$C$6,-1))</f>
        <v/>
      </c>
      <c r="O414" s="15" t="n"/>
      <c r="P414" s="15" t="n"/>
      <c r="Q414" s="10" t="n"/>
      <c r="R414" s="10" t="n"/>
      <c r="S414" s="16" t="inlineStr">
        <is>
          <t>https://mstgolf.co.th/products/gf1220100587</t>
        </is>
      </c>
      <c r="T414" s="1">
        <f>IF(B414="ไม้กอล์ฟ",J414,"")</f>
        <v/>
      </c>
    </row>
    <row r="415">
      <c r="A415" s="1" t="n">
        <v>1</v>
      </c>
      <c r="B415" s="1" t="inlineStr">
        <is>
          <t>ไม้กอล์ฟ</t>
        </is>
      </c>
      <c r="C415" s="1" t="inlineStr">
        <is>
          <t>gf1220100588</t>
        </is>
      </c>
      <c r="D415" s="1" t="inlineStr">
        <is>
          <t>MAJESTY Prestigo 12 Women's Fairway</t>
        </is>
      </c>
      <c r="E415" s="1" t="inlineStr">
        <is>
          <t>MAJESTY</t>
        </is>
      </c>
      <c r="F415" s="1" t="inlineStr">
        <is>
          <t>FAIRWAY WOOD</t>
        </is>
      </c>
      <c r="G415" s="1" t="inlineStr">
        <is>
          <t>GF1220100588#3A</t>
        </is>
      </c>
      <c r="H415" s="1" t="n">
        <v>4</v>
      </c>
      <c r="I415" s="1" t="inlineStr">
        <is>
          <t>หมด</t>
        </is>
      </c>
      <c r="J415" s="13" t="n">
        <v>1180</v>
      </c>
      <c r="K415" s="1" t="inlineStr"/>
      <c r="L415" s="13" t="n"/>
      <c r="M415" s="1">
        <f>IF(L415="","ไม่พบใน SG",IF(ABS(J415-L415)&lt;0.005,"ตรงกัน","ไม่ตรง"))</f>
        <v/>
      </c>
      <c r="N415" s="14">
        <f>IF(L415="","",ROUND(L415*'สรุป'!$C$6,-1))</f>
        <v/>
      </c>
      <c r="O415" s="15" t="n"/>
      <c r="P415" s="15" t="n"/>
      <c r="Q415" s="10" t="n"/>
      <c r="R415" s="10" t="n"/>
      <c r="S415" s="16" t="inlineStr">
        <is>
          <t>https://mstgolf.co.th/products/gf1220100588</t>
        </is>
      </c>
      <c r="T415" s="1">
        <f>IF(B415="ไม้กอล์ฟ",J415,"")</f>
        <v/>
      </c>
    </row>
    <row r="416">
      <c r="A416" s="1" t="n">
        <v>1</v>
      </c>
      <c r="B416" s="1" t="inlineStr">
        <is>
          <t>ไม้กอล์ฟ</t>
        </is>
      </c>
      <c r="C416" s="1" t="inlineStr">
        <is>
          <t>gf1250100162</t>
        </is>
      </c>
      <c r="D416" s="1" t="inlineStr">
        <is>
          <t>MIZUNO EFIL-8 Women's Package Set (Graphite Putter)</t>
        </is>
      </c>
      <c r="E416" s="1" t="inlineStr">
        <is>
          <t>MIZUNO</t>
        </is>
      </c>
      <c r="F416" s="1" t="inlineStr">
        <is>
          <t>PACKAGE SET</t>
        </is>
      </c>
      <c r="G416" s="1" t="inlineStr">
        <is>
          <t>GF1250100162</t>
        </is>
      </c>
      <c r="H416" s="1" t="n">
        <v>1</v>
      </c>
      <c r="I416" s="1" t="inlineStr">
        <is>
          <t>หมด</t>
        </is>
      </c>
      <c r="J416" s="13" t="n">
        <v>1170</v>
      </c>
      <c r="K416" s="1" t="inlineStr"/>
      <c r="L416" s="13" t="n">
        <v>1170</v>
      </c>
      <c r="M416" s="1">
        <f>IF(L416="","ไม่พบใน SG",IF(ABS(J416-L416)&lt;0.005,"ตรงกัน","ไม่ตรง"))</f>
        <v/>
      </c>
      <c r="N416" s="14">
        <f>IF(L416="","",ROUND(L416*'สรุป'!$C$6,-1))</f>
        <v/>
      </c>
      <c r="O416" s="15" t="n"/>
      <c r="P416" s="15" t="n"/>
      <c r="Q416" s="10" t="n"/>
      <c r="R416" s="10" t="n"/>
      <c r="S416" s="16" t="inlineStr">
        <is>
          <t>https://mstgolf.co.th/products/gf1250100162</t>
        </is>
      </c>
      <c r="T416" s="1">
        <f>IF(B416="ไม้กอล์ฟ",J416,"")</f>
        <v/>
      </c>
    </row>
    <row r="417">
      <c r="A417" s="1" t="n">
        <v>1</v>
      </c>
      <c r="B417" s="1" t="inlineStr">
        <is>
          <t>ไม้กอล์ฟ</t>
        </is>
      </c>
      <c r="C417" s="1" t="inlineStr">
        <is>
          <t>gf1250100137</t>
        </is>
      </c>
      <c r="D417" s="1" t="inlineStr">
        <is>
          <t>MIZUNO EFIL-8 Women's Package Set (Steel Putter)</t>
        </is>
      </c>
      <c r="E417" s="1" t="inlineStr">
        <is>
          <t>MIZUNO</t>
        </is>
      </c>
      <c r="F417" s="1" t="inlineStr">
        <is>
          <t>PACKAGE SET</t>
        </is>
      </c>
      <c r="G417" s="1" t="inlineStr">
        <is>
          <t>GF1250100137</t>
        </is>
      </c>
      <c r="H417" s="1" t="n">
        <v>1</v>
      </c>
      <c r="I417" s="1" t="inlineStr">
        <is>
          <t>หมด</t>
        </is>
      </c>
      <c r="J417" s="13" t="n">
        <v>1170</v>
      </c>
      <c r="K417" s="1" t="inlineStr"/>
      <c r="L417" s="13" t="n"/>
      <c r="M417" s="1">
        <f>IF(L417="","ไม่พบใน SG",IF(ABS(J417-L417)&lt;0.005,"ตรงกัน","ไม่ตรง"))</f>
        <v/>
      </c>
      <c r="N417" s="14">
        <f>IF(L417="","",ROUND(L417*'สรุป'!$C$6,-1))</f>
        <v/>
      </c>
      <c r="O417" s="15" t="n"/>
      <c r="P417" s="15" t="n"/>
      <c r="Q417" s="10" t="n"/>
      <c r="R417" s="10" t="n"/>
      <c r="S417" s="16" t="inlineStr">
        <is>
          <t>https://mstgolf.co.th/products/gf1250100137</t>
        </is>
      </c>
      <c r="T417" s="1">
        <f>IF(B417="ไม้กอล์ฟ",J417,"")</f>
        <v/>
      </c>
    </row>
    <row r="418">
      <c r="A418" s="1" t="n">
        <v>1</v>
      </c>
      <c r="B418" s="1" t="inlineStr">
        <is>
          <t>ไม้กอล์ฟ</t>
        </is>
      </c>
      <c r="C418" s="1" t="inlineStr">
        <is>
          <t>gf1280101082</t>
        </is>
      </c>
      <c r="D418" s="1" t="inlineStr">
        <is>
          <t>MIZUNO MP 245 (2024) Men's Irons</t>
        </is>
      </c>
      <c r="E418" s="1" t="inlineStr">
        <is>
          <t>MIZUNO</t>
        </is>
      </c>
      <c r="F418" s="1" t="inlineStr">
        <is>
          <t>SET OF IRONS</t>
        </is>
      </c>
      <c r="G418" s="1" t="inlineStr">
        <is>
          <t>GF1280101082S</t>
        </is>
      </c>
      <c r="H418" s="1" t="n">
        <v>2</v>
      </c>
      <c r="I418" s="1" t="inlineStr">
        <is>
          <t>หมด</t>
        </is>
      </c>
      <c r="J418" s="13" t="n">
        <v>1160</v>
      </c>
      <c r="K418" s="1" t="inlineStr"/>
      <c r="L418" s="13" t="n">
        <v>1160</v>
      </c>
      <c r="M418" s="1">
        <f>IF(L418="","ไม่พบใน SG",IF(ABS(J418-L418)&lt;0.005,"ตรงกัน","ไม่ตรง"))</f>
        <v/>
      </c>
      <c r="N418" s="14">
        <f>IF(L418="","",ROUND(L418*'สรุป'!$C$6,-1))</f>
        <v/>
      </c>
      <c r="O418" s="15" t="n"/>
      <c r="P418" s="15" t="n"/>
      <c r="Q418" s="10" t="n"/>
      <c r="R418" s="10" t="n"/>
      <c r="S418" s="16" t="inlineStr">
        <is>
          <t>https://mstgolf.co.th/products/gf1280101082</t>
        </is>
      </c>
      <c r="T418" s="1">
        <f>IF(B418="ไม้กอล์ฟ",J418,"")</f>
        <v/>
      </c>
    </row>
    <row r="419">
      <c r="A419" s="1" t="n">
        <v>1</v>
      </c>
      <c r="B419" s="1" t="inlineStr">
        <is>
          <t>ไม้กอล์ฟ</t>
        </is>
      </c>
      <c r="C419" s="1" t="inlineStr">
        <is>
          <t>gf1250100196</t>
        </is>
      </c>
      <c r="D419" s="1" t="inlineStr">
        <is>
          <t>COBRA Fly XL Black Gold (2025) Men's Package Set</t>
        </is>
      </c>
      <c r="E419" s="1" t="inlineStr">
        <is>
          <t>COBRA</t>
        </is>
      </c>
      <c r="F419" s="1" t="inlineStr">
        <is>
          <t>PACKAGE SET</t>
        </is>
      </c>
      <c r="G419" s="1" t="inlineStr">
        <is>
          <t>GF1250100197R</t>
        </is>
      </c>
      <c r="H419" s="1" t="n">
        <v>2</v>
      </c>
      <c r="I419" s="1" t="inlineStr">
        <is>
          <t>หมด</t>
        </is>
      </c>
      <c r="J419" s="13" t="n">
        <v>1150</v>
      </c>
      <c r="K419" s="1" t="inlineStr"/>
      <c r="L419" s="13" t="n">
        <v>1150</v>
      </c>
      <c r="M419" s="1">
        <f>IF(L419="","ไม่พบใน SG",IF(ABS(J419-L419)&lt;0.005,"ตรงกัน","ไม่ตรง"))</f>
        <v/>
      </c>
      <c r="N419" s="14">
        <f>IF(L419="","",ROUND(L419*'สรุป'!$C$6,-1))</f>
        <v/>
      </c>
      <c r="O419" s="15" t="n"/>
      <c r="P419" s="15" t="n"/>
      <c r="Q419" s="10" t="n"/>
      <c r="R419" s="10" t="n"/>
      <c r="S419" s="16" t="inlineStr">
        <is>
          <t>https://mstgolf.co.th/products/gf1250100196</t>
        </is>
      </c>
      <c r="T419" s="1">
        <f>IF(B419="ไม้กอล์ฟ",J419,"")</f>
        <v/>
      </c>
    </row>
    <row r="420">
      <c r="A420" s="1" t="n">
        <v>1</v>
      </c>
      <c r="B420" s="1" t="inlineStr">
        <is>
          <t>ไม้กอล์ฟ</t>
        </is>
      </c>
      <c r="C420" s="1" t="inlineStr">
        <is>
          <t>gf1210100387</t>
        </is>
      </c>
      <c r="D420" s="1" t="inlineStr">
        <is>
          <t>GIII V8 (2020) Men's Driver</t>
        </is>
      </c>
      <c r="E420" s="1" t="inlineStr">
        <is>
          <t>GIII</t>
        </is>
      </c>
      <c r="F420" s="1" t="inlineStr">
        <is>
          <t>DRIVER</t>
        </is>
      </c>
      <c r="G420" s="1" t="inlineStr">
        <is>
          <t>GF1210100387105R</t>
        </is>
      </c>
      <c r="H420" s="1" t="n">
        <v>2</v>
      </c>
      <c r="I420" s="1" t="inlineStr">
        <is>
          <t>หมด</t>
        </is>
      </c>
      <c r="J420" s="13" t="n">
        <v>1140</v>
      </c>
      <c r="K420" s="1" t="inlineStr"/>
      <c r="L420" s="13" t="n"/>
      <c r="M420" s="1">
        <f>IF(L420="","ไม่พบใน SG",IF(ABS(J420-L420)&lt;0.005,"ตรงกัน","ไม่ตรง"))</f>
        <v/>
      </c>
      <c r="N420" s="14">
        <f>IF(L420="","",ROUND(L420*'สรุป'!$C$6,-1))</f>
        <v/>
      </c>
      <c r="O420" s="15" t="n"/>
      <c r="P420" s="15" t="n"/>
      <c r="Q420" s="10" t="n"/>
      <c r="R420" s="10" t="n"/>
      <c r="S420" s="16" t="inlineStr">
        <is>
          <t>https://mstgolf.co.th/products/gf1210100387</t>
        </is>
      </c>
      <c r="T420" s="1">
        <f>IF(B420="ไม้กอล์ฟ",J420,"")</f>
        <v/>
      </c>
    </row>
    <row r="421">
      <c r="A421" s="1" t="n">
        <v>1</v>
      </c>
      <c r="B421" s="1" t="inlineStr">
        <is>
          <t>ไม้กอล์ฟ</t>
        </is>
      </c>
      <c r="C421" s="1" t="inlineStr">
        <is>
          <t>gf1220100383</t>
        </is>
      </c>
      <c r="D421" s="1" t="inlineStr">
        <is>
          <t>MAJESTY Prestigio 11 (2020) Men's Fairway</t>
        </is>
      </c>
      <c r="E421" s="1" t="inlineStr">
        <is>
          <t>MAJESTY</t>
        </is>
      </c>
      <c r="F421" s="1" t="inlineStr">
        <is>
          <t>FAIRWAY WOOD</t>
        </is>
      </c>
      <c r="G421" s="1" t="inlineStr">
        <is>
          <t>GF1220100383#3SR</t>
        </is>
      </c>
      <c r="H421" s="1" t="n">
        <v>8</v>
      </c>
      <c r="I421" s="1" t="inlineStr">
        <is>
          <t>หมด</t>
        </is>
      </c>
      <c r="J421" s="13" t="n">
        <v>1100</v>
      </c>
      <c r="K421" s="1" t="inlineStr"/>
      <c r="L421" s="13" t="n">
        <v>1100</v>
      </c>
      <c r="M421" s="1">
        <f>IF(L421="","ไม่พบใน SG",IF(ABS(J421-L421)&lt;0.005,"ตรงกัน","ไม่ตรง"))</f>
        <v/>
      </c>
      <c r="N421" s="14">
        <f>IF(L421="","",ROUND(L421*'สรุป'!$C$6,-1))</f>
        <v/>
      </c>
      <c r="O421" s="15" t="n"/>
      <c r="P421" s="15" t="n"/>
      <c r="Q421" s="10" t="n"/>
      <c r="R421" s="10" t="n"/>
      <c r="S421" s="16" t="inlineStr">
        <is>
          <t>https://mstgolf.co.th/products/gf1220100383</t>
        </is>
      </c>
      <c r="T421" s="1">
        <f>IF(B421="ไม้กอล์ฟ",J421,"")</f>
        <v/>
      </c>
    </row>
    <row r="422">
      <c r="A422" s="1" t="n">
        <v>1</v>
      </c>
      <c r="B422" s="1" t="inlineStr">
        <is>
          <t>ไม้กอล์ฟ</t>
        </is>
      </c>
      <c r="C422" s="1" t="inlineStr">
        <is>
          <t>gf1230100926</t>
        </is>
      </c>
      <c r="D422" s="1" t="inlineStr">
        <is>
          <t>MAJESTY Prestigio 14 (2026) Men's Hybrid</t>
        </is>
      </c>
      <c r="E422" s="1" t="inlineStr">
        <is>
          <t>MAJESTY</t>
        </is>
      </c>
      <c r="F422" s="1" t="inlineStr">
        <is>
          <t>UTILITY/HYBRID</t>
        </is>
      </c>
      <c r="G422" s="1" t="inlineStr">
        <is>
          <t>GF1230100926#3SR</t>
        </is>
      </c>
      <c r="H422" s="1" t="n">
        <v>6</v>
      </c>
      <c r="I422" s="1" t="inlineStr">
        <is>
          <t>หมด</t>
        </is>
      </c>
      <c r="J422" s="13" t="n">
        <v>1090</v>
      </c>
      <c r="K422" s="1" t="inlineStr"/>
      <c r="L422" s="13" t="n">
        <v>1090</v>
      </c>
      <c r="M422" s="1">
        <f>IF(L422="","ไม่พบใน SG",IF(ABS(J422-L422)&lt;0.005,"ตรงกัน","ไม่ตรง"))</f>
        <v/>
      </c>
      <c r="N422" s="14">
        <f>IF(L422="","",ROUND(L422*'สรุป'!$C$6,-1))</f>
        <v/>
      </c>
      <c r="O422" s="15" t="n"/>
      <c r="P422" s="15" t="n"/>
      <c r="Q422" s="10" t="n"/>
      <c r="R422" s="10" t="n"/>
      <c r="S422" s="16" t="inlineStr">
        <is>
          <t>https://mstgolf.co.th/products/gf1230100926</t>
        </is>
      </c>
      <c r="T422" s="1">
        <f>IF(B422="ไม้กอล์ฟ",J422,"")</f>
        <v/>
      </c>
    </row>
    <row r="423">
      <c r="A423" s="1" t="n">
        <v>1</v>
      </c>
      <c r="B423" s="1" t="inlineStr">
        <is>
          <t>ไม้กอล์ฟ</t>
        </is>
      </c>
      <c r="C423" s="1" t="inlineStr">
        <is>
          <t>gf1230100927</t>
        </is>
      </c>
      <c r="D423" s="1" t="inlineStr">
        <is>
          <t>MAJESTY Prestigio 14 (2026) Women's Hybrid</t>
        </is>
      </c>
      <c r="E423" s="1" t="inlineStr">
        <is>
          <t>MAJESTY</t>
        </is>
      </c>
      <c r="F423" s="1" t="inlineStr">
        <is>
          <t>UTILITY/HYBRID</t>
        </is>
      </c>
      <c r="G423" s="1" t="inlineStr">
        <is>
          <t>GF1230100927#4L</t>
        </is>
      </c>
      <c r="H423" s="1" t="n">
        <v>1</v>
      </c>
      <c r="I423" s="1" t="inlineStr">
        <is>
          <t>หมด</t>
        </is>
      </c>
      <c r="J423" s="13" t="n">
        <v>1090</v>
      </c>
      <c r="K423" s="1" t="inlineStr"/>
      <c r="L423" s="13" t="n">
        <v>1090</v>
      </c>
      <c r="M423" s="1">
        <f>IF(L423="","ไม่พบใน SG",IF(ABS(J423-L423)&lt;0.005,"ตรงกัน","ไม่ตรง"))</f>
        <v/>
      </c>
      <c r="N423" s="14">
        <f>IF(L423="","",ROUND(L423*'สรุป'!$C$6,-1))</f>
        <v/>
      </c>
      <c r="O423" s="15" t="n"/>
      <c r="P423" s="15" t="n"/>
      <c r="Q423" s="10" t="n"/>
      <c r="R423" s="10" t="n"/>
      <c r="S423" s="16" t="inlineStr">
        <is>
          <t>https://mstgolf.co.th/products/gf1230100927</t>
        </is>
      </c>
      <c r="T423" s="1">
        <f>IF(B423="ไม้กอล์ฟ",J423,"")</f>
        <v/>
      </c>
    </row>
    <row r="424">
      <c r="A424" s="1" t="n">
        <v>1</v>
      </c>
      <c r="B424" s="1" t="inlineStr">
        <is>
          <t>ไม้กอล์ฟ</t>
        </is>
      </c>
      <c r="C424" s="1" t="inlineStr">
        <is>
          <t>gf1210100935</t>
        </is>
      </c>
      <c r="D424" s="1" t="inlineStr">
        <is>
          <t>MAJESTY Royale (2023) Men's Driver</t>
        </is>
      </c>
      <c r="E424" s="1" t="inlineStr">
        <is>
          <t>MAJESTY</t>
        </is>
      </c>
      <c r="F424" s="1" t="inlineStr">
        <is>
          <t>DRIVER</t>
        </is>
      </c>
      <c r="G424" s="1" t="inlineStr">
        <is>
          <t>GF1210100935105SR</t>
        </is>
      </c>
      <c r="H424" s="1" t="n">
        <v>2</v>
      </c>
      <c r="I424" s="1" t="inlineStr">
        <is>
          <t>หมด</t>
        </is>
      </c>
      <c r="J424" s="13" t="n">
        <v>1090</v>
      </c>
      <c r="K424" s="1" t="inlineStr"/>
      <c r="L424" s="13" t="n">
        <v>1090</v>
      </c>
      <c r="M424" s="1">
        <f>IF(L424="","ไม่พบใน SG",IF(ABS(J424-L424)&lt;0.005,"ตรงกัน","ไม่ตรง"))</f>
        <v/>
      </c>
      <c r="N424" s="14">
        <f>IF(L424="","",ROUND(L424*'สรุป'!$C$6,-1))</f>
        <v/>
      </c>
      <c r="O424" s="15" t="n"/>
      <c r="P424" s="15" t="n"/>
      <c r="Q424" s="10" t="n"/>
      <c r="R424" s="10" t="n"/>
      <c r="S424" s="16" t="inlineStr">
        <is>
          <t>https://mstgolf.co.th/products/gf1210100935</t>
        </is>
      </c>
      <c r="T424" s="1">
        <f>IF(B424="ไม้กอล์ฟ",J424,"")</f>
        <v/>
      </c>
    </row>
    <row r="425">
      <c r="A425" s="1" t="n">
        <v>1</v>
      </c>
      <c r="B425" s="1" t="inlineStr">
        <is>
          <t>ไม้กอล์ฟ</t>
        </is>
      </c>
      <c r="C425" s="1" t="inlineStr">
        <is>
          <t>gf1280101121</t>
        </is>
      </c>
      <c r="D425" s="1" t="inlineStr">
        <is>
          <t>TITLEIST T100 (2023) Men's Irons</t>
        </is>
      </c>
      <c r="E425" s="1" t="inlineStr">
        <is>
          <t>TITLEIST</t>
        </is>
      </c>
      <c r="F425" s="1" t="inlineStr">
        <is>
          <t>SET OF IRONS</t>
        </is>
      </c>
      <c r="G425" s="1" t="inlineStr">
        <is>
          <t>GF1280101121R</t>
        </is>
      </c>
      <c r="H425" s="1" t="n">
        <v>5</v>
      </c>
      <c r="I425" s="1" t="inlineStr">
        <is>
          <t>หมด</t>
        </is>
      </c>
      <c r="J425" s="13" t="n">
        <v>1090</v>
      </c>
      <c r="K425" s="1" t="inlineStr"/>
      <c r="L425" s="13" t="n"/>
      <c r="M425" s="1">
        <f>IF(L425="","ไม่พบใน SG",IF(ABS(J425-L425)&lt;0.005,"ตรงกัน","ไม่ตรง"))</f>
        <v/>
      </c>
      <c r="N425" s="14">
        <f>IF(L425="","",ROUND(L425*'สรุป'!$C$6,-1))</f>
        <v/>
      </c>
      <c r="O425" s="15" t="n"/>
      <c r="P425" s="15" t="n"/>
      <c r="Q425" s="10" t="n"/>
      <c r="R425" s="10" t="n"/>
      <c r="S425" s="16" t="inlineStr">
        <is>
          <t>https://mstgolf.co.th/products/gf1280101121</t>
        </is>
      </c>
      <c r="T425" s="1">
        <f>IF(B425="ไม้กอล์ฟ",J425,"")</f>
        <v/>
      </c>
    </row>
    <row r="426">
      <c r="A426" s="1" t="n">
        <v>1</v>
      </c>
      <c r="B426" s="1" t="inlineStr">
        <is>
          <t>ไม้กอล์ฟ</t>
        </is>
      </c>
      <c r="C426" s="1" t="inlineStr">
        <is>
          <t>gf1280101124</t>
        </is>
      </c>
      <c r="D426" s="1" t="inlineStr">
        <is>
          <t>TITLEIST T150 (2023) Men's Irons</t>
        </is>
      </c>
      <c r="E426" s="1" t="inlineStr">
        <is>
          <t>TITLEIST</t>
        </is>
      </c>
      <c r="F426" s="1" t="inlineStr">
        <is>
          <t>SET OF IRONS</t>
        </is>
      </c>
      <c r="G426" s="1" t="inlineStr">
        <is>
          <t>GF1280101124S</t>
        </is>
      </c>
      <c r="H426" s="1" t="n">
        <v>2</v>
      </c>
      <c r="I426" s="1" t="inlineStr">
        <is>
          <t>หมด</t>
        </is>
      </c>
      <c r="J426" s="13" t="n">
        <v>1090</v>
      </c>
      <c r="K426" s="1" t="inlineStr"/>
      <c r="L426" s="13" t="n"/>
      <c r="M426" s="1">
        <f>IF(L426="","ไม่พบใน SG",IF(ABS(J426-L426)&lt;0.005,"ตรงกัน","ไม่ตรง"))</f>
        <v/>
      </c>
      <c r="N426" s="14">
        <f>IF(L426="","",ROUND(L426*'สรุป'!$C$6,-1))</f>
        <v/>
      </c>
      <c r="O426" s="15" t="n"/>
      <c r="P426" s="15" t="n"/>
      <c r="Q426" s="10" t="n"/>
      <c r="R426" s="10" t="n"/>
      <c r="S426" s="16" t="inlineStr">
        <is>
          <t>https://mstgolf.co.th/products/gf1280101124</t>
        </is>
      </c>
      <c r="T426" s="1">
        <f>IF(B426="ไม้กอล์ฟ",J426,"")</f>
        <v/>
      </c>
    </row>
    <row r="427">
      <c r="A427" s="1" t="n">
        <v>1</v>
      </c>
      <c r="B427" s="1" t="inlineStr">
        <is>
          <t>ไม้กอล์ฟ</t>
        </is>
      </c>
      <c r="C427" s="1" t="inlineStr">
        <is>
          <t>gf1280101126</t>
        </is>
      </c>
      <c r="D427" s="1" t="inlineStr">
        <is>
          <t>TITLEIST T200 (2023) Men's Irons</t>
        </is>
      </c>
      <c r="E427" s="1" t="inlineStr">
        <is>
          <t>TITLEIST</t>
        </is>
      </c>
      <c r="F427" s="1" t="inlineStr">
        <is>
          <t>SET OF IRONS</t>
        </is>
      </c>
      <c r="G427" s="1" t="inlineStr">
        <is>
          <t>GF1280101127S</t>
        </is>
      </c>
      <c r="H427" s="1" t="n">
        <v>3</v>
      </c>
      <c r="I427" s="1" t="inlineStr">
        <is>
          <t>หมด</t>
        </is>
      </c>
      <c r="J427" s="13" t="n">
        <v>1090</v>
      </c>
      <c r="K427" s="1" t="inlineStr"/>
      <c r="L427" s="13" t="n"/>
      <c r="M427" s="1">
        <f>IF(L427="","ไม่พบใน SG",IF(ABS(J427-L427)&lt;0.005,"ตรงกัน","ไม่ตรง"))</f>
        <v/>
      </c>
      <c r="N427" s="14">
        <f>IF(L427="","",ROUND(L427*'สรุป'!$C$6,-1))</f>
        <v/>
      </c>
      <c r="O427" s="15" t="n"/>
      <c r="P427" s="15" t="n"/>
      <c r="Q427" s="10" t="n"/>
      <c r="R427" s="10" t="n"/>
      <c r="S427" s="16" t="inlineStr">
        <is>
          <t>https://mstgolf.co.th/products/gf1280101126</t>
        </is>
      </c>
      <c r="T427" s="1">
        <f>IF(B427="ไม้กอล์ฟ",J427,"")</f>
        <v/>
      </c>
    </row>
    <row r="428">
      <c r="A428" s="1" t="n">
        <v>1</v>
      </c>
      <c r="B428" s="1" t="inlineStr">
        <is>
          <t>ไม้กอล์ฟ</t>
        </is>
      </c>
      <c r="C428" s="1" t="inlineStr">
        <is>
          <t>gf1280101128</t>
        </is>
      </c>
      <c r="D428" s="1" t="inlineStr">
        <is>
          <t>TITLEIST T350 (2023) Men's Irons</t>
        </is>
      </c>
      <c r="E428" s="1" t="inlineStr">
        <is>
          <t>TITLEIST</t>
        </is>
      </c>
      <c r="F428" s="1" t="inlineStr">
        <is>
          <t>SET OF IRONS</t>
        </is>
      </c>
      <c r="G428" s="1" t="inlineStr">
        <is>
          <t>GF1280101129R</t>
        </is>
      </c>
      <c r="H428" s="1" t="n">
        <v>2</v>
      </c>
      <c r="I428" s="1" t="inlineStr">
        <is>
          <t>หมด</t>
        </is>
      </c>
      <c r="J428" s="13" t="n">
        <v>1090</v>
      </c>
      <c r="K428" s="1" t="inlineStr"/>
      <c r="L428" s="13" t="n"/>
      <c r="M428" s="1">
        <f>IF(L428="","ไม่พบใน SG",IF(ABS(J428-L428)&lt;0.005,"ตรงกัน","ไม่ตรง"))</f>
        <v/>
      </c>
      <c r="N428" s="14">
        <f>IF(L428="","",ROUND(L428*'สรุป'!$C$6,-1))</f>
        <v/>
      </c>
      <c r="O428" s="15" t="n"/>
      <c r="P428" s="15" t="n"/>
      <c r="Q428" s="10" t="n"/>
      <c r="R428" s="10" t="n"/>
      <c r="S428" s="16" t="inlineStr">
        <is>
          <t>https://mstgolf.co.th/products/gf1280101128</t>
        </is>
      </c>
      <c r="T428" s="1">
        <f>IF(B428="ไม้กอล์ฟ",J428,"")</f>
        <v/>
      </c>
    </row>
    <row r="429">
      <c r="A429" s="1" t="n">
        <v>1</v>
      </c>
      <c r="B429" s="1" t="inlineStr">
        <is>
          <t>อุปกรณ์วัดระยะ/เทคโนโลยี</t>
        </is>
      </c>
      <c r="C429" s="1" t="inlineStr">
        <is>
          <t>gf3190100085</t>
        </is>
      </c>
      <c r="D429" s="1" t="inlineStr">
        <is>
          <t>GARMIN Approach S70 Golf Watch (47mm) (Black)</t>
        </is>
      </c>
      <c r="E429" s="1" t="inlineStr">
        <is>
          <t>GARMIN</t>
        </is>
      </c>
      <c r="F429" s="1" t="inlineStr">
        <is>
          <t>WATCH</t>
        </is>
      </c>
      <c r="G429" s="1" t="inlineStr">
        <is>
          <t>GF3190100085</t>
        </is>
      </c>
      <c r="H429" s="1" t="n">
        <v>1</v>
      </c>
      <c r="I429" s="1" t="inlineStr">
        <is>
          <t>หมด</t>
        </is>
      </c>
      <c r="J429" s="13" t="n">
        <v>1069</v>
      </c>
      <c r="K429" s="1" t="inlineStr"/>
      <c r="L429" s="13" t="n">
        <v>1069</v>
      </c>
      <c r="M429" s="1">
        <f>IF(L429="","ไม่พบใน SG",IF(ABS(J429-L429)&lt;0.005,"ตรงกัน","ไม่ตรง"))</f>
        <v/>
      </c>
      <c r="N429" s="14">
        <f>IF(L429="","",ROUND(L429*'สรุป'!$C$6,-1))</f>
        <v/>
      </c>
      <c r="O429" s="15" t="n"/>
      <c r="P429" s="15" t="n"/>
      <c r="Q429" s="10" t="n"/>
      <c r="R429" s="10" t="n"/>
      <c r="S429" s="16" t="inlineStr">
        <is>
          <t>https://mstgolf.co.th/products/gf3190100085</t>
        </is>
      </c>
      <c r="T429" s="1">
        <f>IF(B429="ไม้กอล์ฟ",J429,"")</f>
        <v/>
      </c>
    </row>
    <row r="430">
      <c r="A430" s="1" t="n">
        <v>1</v>
      </c>
      <c r="B430" s="1" t="inlineStr">
        <is>
          <t>ไม้กอล์ฟ</t>
        </is>
      </c>
      <c r="C430" s="1" t="inlineStr">
        <is>
          <t>gf1280101464</t>
        </is>
      </c>
      <c r="D430" s="1" t="inlineStr">
        <is>
          <t>CALLAWAY Quantum Max (2026) Men's Irons</t>
        </is>
      </c>
      <c r="E430" s="1" t="inlineStr">
        <is>
          <t>CALLAWAY</t>
        </is>
      </c>
      <c r="F430" s="1" t="inlineStr">
        <is>
          <t>SET OF IRONS</t>
        </is>
      </c>
      <c r="G430" s="1" t="inlineStr">
        <is>
          <t>GF1280101464R</t>
        </is>
      </c>
      <c r="H430" s="1" t="n">
        <v>2</v>
      </c>
      <c r="I430" s="1" t="inlineStr">
        <is>
          <t>หมด</t>
        </is>
      </c>
      <c r="J430" s="13" t="n">
        <v>1056</v>
      </c>
      <c r="K430" s="1" t="inlineStr"/>
      <c r="L430" s="13" t="n">
        <v>1056</v>
      </c>
      <c r="M430" s="1">
        <f>IF(L430="","ไม่พบใน SG",IF(ABS(J430-L430)&lt;0.005,"ตรงกัน","ไม่ตรง"))</f>
        <v/>
      </c>
      <c r="N430" s="14">
        <f>IF(L430="","",ROUND(L430*'สรุป'!$C$6,-1))</f>
        <v/>
      </c>
      <c r="O430" s="15" t="n"/>
      <c r="P430" s="15" t="n"/>
      <c r="Q430" s="10" t="n"/>
      <c r="R430" s="10" t="n"/>
      <c r="S430" s="16" t="inlineStr">
        <is>
          <t>https://mstgolf.co.th/products/gf1280101464</t>
        </is>
      </c>
      <c r="T430" s="1">
        <f>IF(B430="ไม้กอล์ฟ",J430,"")</f>
        <v/>
      </c>
    </row>
    <row r="431">
      <c r="A431" s="1" t="n">
        <v>1</v>
      </c>
      <c r="B431" s="1" t="inlineStr">
        <is>
          <t>ไม้กอล์ฟ</t>
        </is>
      </c>
      <c r="C431" s="1" t="inlineStr">
        <is>
          <t>gf1230100355</t>
        </is>
      </c>
      <c r="D431" s="1" t="inlineStr">
        <is>
          <t>GIII Signature 5 (2021) Men's Utility</t>
        </is>
      </c>
      <c r="E431" s="1" t="inlineStr">
        <is>
          <t>GIII</t>
        </is>
      </c>
      <c r="F431" s="1" t="inlineStr">
        <is>
          <t>UTILITY/HYBRID</t>
        </is>
      </c>
      <c r="G431" s="1" t="inlineStr">
        <is>
          <t>GF1230100355#3R</t>
        </is>
      </c>
      <c r="H431" s="1" t="n">
        <v>6</v>
      </c>
      <c r="I431" s="1" t="inlineStr">
        <is>
          <t>หมด</t>
        </is>
      </c>
      <c r="J431" s="13" t="n">
        <v>990</v>
      </c>
      <c r="K431" s="1" t="inlineStr"/>
      <c r="L431" s="13" t="n"/>
      <c r="M431" s="1">
        <f>IF(L431="","ไม่พบใน SG",IF(ABS(J431-L431)&lt;0.005,"ตรงกัน","ไม่ตรง"))</f>
        <v/>
      </c>
      <c r="N431" s="14">
        <f>IF(L431="","",ROUND(L431*'สรุป'!$C$6,-1))</f>
        <v/>
      </c>
      <c r="O431" s="15" t="n"/>
      <c r="P431" s="15" t="n"/>
      <c r="Q431" s="10" t="n"/>
      <c r="R431" s="10" t="n"/>
      <c r="S431" s="16" t="inlineStr">
        <is>
          <t>https://mstgolf.co.th/products/gf1230100355</t>
        </is>
      </c>
      <c r="T431" s="1">
        <f>IF(B431="ไม้กอล์ฟ",J431,"")</f>
        <v/>
      </c>
    </row>
    <row r="432">
      <c r="A432" s="1" t="n">
        <v>1</v>
      </c>
      <c r="B432" s="1" t="inlineStr">
        <is>
          <t>ไม้กอล์ฟ</t>
        </is>
      </c>
      <c r="C432" s="1" t="inlineStr">
        <is>
          <t>gf1280100788</t>
        </is>
      </c>
      <c r="D432" s="1" t="inlineStr">
        <is>
          <t>ONOFF AKA Tungsten (2022) Men's Irons</t>
        </is>
      </c>
      <c r="E432" s="1" t="inlineStr">
        <is>
          <t>ONOFF</t>
        </is>
      </c>
      <c r="F432" s="1" t="inlineStr">
        <is>
          <t>SET OF IRONS</t>
        </is>
      </c>
      <c r="G432" s="1" t="inlineStr">
        <is>
          <t>GF1280100788R</t>
        </is>
      </c>
      <c r="H432" s="1" t="n">
        <v>3</v>
      </c>
      <c r="I432" s="1" t="inlineStr">
        <is>
          <t>หมด</t>
        </is>
      </c>
      <c r="J432" s="13" t="n">
        <v>990</v>
      </c>
      <c r="K432" s="1" t="inlineStr"/>
      <c r="L432" s="13" t="n">
        <v>990</v>
      </c>
      <c r="M432" s="1">
        <f>IF(L432="","ไม่พบใน SG",IF(ABS(J432-L432)&lt;0.005,"ตรงกัน","ไม่ตรง"))</f>
        <v/>
      </c>
      <c r="N432" s="14">
        <f>IF(L432="","",ROUND(L432*'สรุป'!$C$6,-1))</f>
        <v/>
      </c>
      <c r="O432" s="15" t="n"/>
      <c r="P432" s="15" t="n"/>
      <c r="Q432" s="10" t="n"/>
      <c r="R432" s="10" t="n"/>
      <c r="S432" s="16" t="inlineStr">
        <is>
          <t>https://mstgolf.co.th/products/gf1280100788</t>
        </is>
      </c>
      <c r="T432" s="1">
        <f>IF(B432="ไม้กอล์ฟ",J432,"")</f>
        <v/>
      </c>
    </row>
    <row r="433">
      <c r="A433" s="1" t="n">
        <v>1</v>
      </c>
      <c r="B433" s="1" t="inlineStr">
        <is>
          <t>ไม้กอล์ฟ</t>
        </is>
      </c>
      <c r="C433" s="1" t="inlineStr">
        <is>
          <t>gf1280100547</t>
        </is>
      </c>
      <c r="D433" s="1" t="inlineStr">
        <is>
          <t>TAYLORMADE P7MC Men's Irons</t>
        </is>
      </c>
      <c r="E433" s="1" t="inlineStr">
        <is>
          <t>TAYLORMADE</t>
        </is>
      </c>
      <c r="F433" s="1" t="inlineStr">
        <is>
          <t>SET OF IRONS</t>
        </is>
      </c>
      <c r="G433" s="1" t="inlineStr">
        <is>
          <t>GF1280100547S</t>
        </is>
      </c>
      <c r="H433" s="1" t="n">
        <v>2</v>
      </c>
      <c r="I433" s="1" t="inlineStr">
        <is>
          <t>หมด</t>
        </is>
      </c>
      <c r="J433" s="13" t="n">
        <v>990</v>
      </c>
      <c r="K433" s="1" t="inlineStr"/>
      <c r="L433" s="13" t="n"/>
      <c r="M433" s="1">
        <f>IF(L433="","ไม่พบใน SG",IF(ABS(J433-L433)&lt;0.005,"ตรงกัน","ไม่ตรง"))</f>
        <v/>
      </c>
      <c r="N433" s="14">
        <f>IF(L433="","",ROUND(L433*'สรุป'!$C$6,-1))</f>
        <v/>
      </c>
      <c r="O433" s="15" t="n"/>
      <c r="P433" s="15" t="n"/>
      <c r="Q433" s="10" t="n"/>
      <c r="R433" s="10" t="n"/>
      <c r="S433" s="16" t="inlineStr">
        <is>
          <t>https://mstgolf.co.th/products/gf1280100547</t>
        </is>
      </c>
      <c r="T433" s="1">
        <f>IF(B433="ไม้กอล์ฟ",J433,"")</f>
        <v/>
      </c>
    </row>
    <row r="434">
      <c r="A434" s="1" t="n">
        <v>1</v>
      </c>
      <c r="B434" s="1" t="inlineStr">
        <is>
          <t>ไม้กอล์ฟ</t>
        </is>
      </c>
      <c r="C434" s="1" t="inlineStr">
        <is>
          <t>gf1210100594</t>
        </is>
      </c>
      <c r="D434" s="1" t="inlineStr">
        <is>
          <t>MAJESTY Royale (2021) Men's Driver</t>
        </is>
      </c>
      <c r="E434" s="1" t="inlineStr">
        <is>
          <t>MAJESTY</t>
        </is>
      </c>
      <c r="F434" s="1" t="inlineStr">
        <is>
          <t>DRIVER</t>
        </is>
      </c>
      <c r="G434" s="1" t="inlineStr">
        <is>
          <t>GF12101005949.5SR</t>
        </is>
      </c>
      <c r="H434" s="1" t="n">
        <v>3</v>
      </c>
      <c r="I434" s="1" t="inlineStr">
        <is>
          <t>หมด</t>
        </is>
      </c>
      <c r="J434" s="13" t="n">
        <v>975</v>
      </c>
      <c r="K434" s="1" t="inlineStr"/>
      <c r="L434" s="13" t="n">
        <v>975</v>
      </c>
      <c r="M434" s="1">
        <f>IF(L434="","ไม่พบใน SG",IF(ABS(J434-L434)&lt;0.005,"ตรงกัน","ไม่ตรง"))</f>
        <v/>
      </c>
      <c r="N434" s="14">
        <f>IF(L434="","",ROUND(L434*'สรุป'!$C$6,-1))</f>
        <v/>
      </c>
      <c r="O434" s="15" t="n"/>
      <c r="P434" s="15" t="n"/>
      <c r="Q434" s="10" t="n"/>
      <c r="R434" s="10" t="n"/>
      <c r="S434" s="16" t="inlineStr">
        <is>
          <t>https://mstgolf.co.th/products/gf1210100594</t>
        </is>
      </c>
      <c r="T434" s="1">
        <f>IF(B434="ไม้กอล์ฟ",J434,"")</f>
        <v/>
      </c>
    </row>
    <row r="435">
      <c r="A435" s="1" t="n">
        <v>1</v>
      </c>
      <c r="B435" s="1" t="inlineStr">
        <is>
          <t>ไม้กอล์ฟ</t>
        </is>
      </c>
      <c r="C435" s="1" t="inlineStr">
        <is>
          <t>gf1240101105</t>
        </is>
      </c>
      <c r="D435" s="1" t="inlineStr">
        <is>
          <t>LA GOLF Bel-Air X Plumbers Neck Pistol (2023) Men's Putter</t>
        </is>
      </c>
      <c r="E435" s="1" t="inlineStr">
        <is>
          <t>LA GOLF</t>
        </is>
      </c>
      <c r="F435" s="1" t="inlineStr">
        <is>
          <t>PUTTER</t>
        </is>
      </c>
      <c r="G435" s="1" t="inlineStr">
        <is>
          <t>GF124010110534</t>
        </is>
      </c>
      <c r="H435" s="1" t="n">
        <v>1</v>
      </c>
      <c r="I435" s="1" t="inlineStr">
        <is>
          <t>หมด</t>
        </is>
      </c>
      <c r="J435" s="13" t="n">
        <v>930</v>
      </c>
      <c r="K435" s="1" t="inlineStr"/>
      <c r="L435" s="13" t="n">
        <v>930</v>
      </c>
      <c r="M435" s="1">
        <f>IF(L435="","ไม่พบใน SG",IF(ABS(J435-L435)&lt;0.005,"ตรงกัน","ไม่ตรง"))</f>
        <v/>
      </c>
      <c r="N435" s="14">
        <f>IF(L435="","",ROUND(L435*'สรุป'!$C$6,-1))</f>
        <v/>
      </c>
      <c r="O435" s="15" t="n"/>
      <c r="P435" s="15" t="n"/>
      <c r="Q435" s="10" t="n"/>
      <c r="R435" s="10" t="n"/>
      <c r="S435" s="16" t="inlineStr">
        <is>
          <t>https://mstgolf.co.th/products/gf1240101105</t>
        </is>
      </c>
      <c r="T435" s="1">
        <f>IF(B435="ไม้กอล์ฟ",J435,"")</f>
        <v/>
      </c>
    </row>
    <row r="436">
      <c r="A436" s="1" t="n">
        <v>1</v>
      </c>
      <c r="B436" s="1" t="inlineStr">
        <is>
          <t>ไม้กอล์ฟ</t>
        </is>
      </c>
      <c r="C436" s="1" t="inlineStr">
        <is>
          <t>gf1280101303</t>
        </is>
      </c>
      <c r="D436" s="1" t="inlineStr">
        <is>
          <t>COBRA DS-ADAPT MAX (2025) Women's Irons</t>
        </is>
      </c>
      <c r="E436" s="1" t="inlineStr">
        <is>
          <t>COBRA</t>
        </is>
      </c>
      <c r="F436" s="1" t="inlineStr">
        <is>
          <t>SET OF IRONS</t>
        </is>
      </c>
      <c r="G436" s="1" t="inlineStr">
        <is>
          <t>GF1280101303L</t>
        </is>
      </c>
      <c r="H436" s="1" t="n">
        <v>1</v>
      </c>
      <c r="I436" s="1" t="inlineStr">
        <is>
          <t>หมด</t>
        </is>
      </c>
      <c r="J436" s="13" t="n">
        <v>899</v>
      </c>
      <c r="K436" s="1" t="inlineStr"/>
      <c r="L436" s="13" t="n"/>
      <c r="M436" s="1">
        <f>IF(L436="","ไม่พบใน SG",IF(ABS(J436-L436)&lt;0.005,"ตรงกัน","ไม่ตรง"))</f>
        <v/>
      </c>
      <c r="N436" s="14">
        <f>IF(L436="","",ROUND(L436*'สรุป'!$C$6,-1))</f>
        <v/>
      </c>
      <c r="O436" s="15" t="n"/>
      <c r="P436" s="15" t="n"/>
      <c r="Q436" s="10" t="n"/>
      <c r="R436" s="10" t="n"/>
      <c r="S436" s="16" t="inlineStr">
        <is>
          <t>https://mstgolf.co.th/products/gf1280101303</t>
        </is>
      </c>
      <c r="T436" s="1">
        <f>IF(B436="ไม้กอล์ฟ",J436,"")</f>
        <v/>
      </c>
    </row>
    <row r="437">
      <c r="A437" s="1" t="n">
        <v>1</v>
      </c>
      <c r="B437" s="1" t="inlineStr">
        <is>
          <t>ไม้กอล์ฟ</t>
        </is>
      </c>
      <c r="C437" s="1" t="inlineStr">
        <is>
          <t>gf1280101033</t>
        </is>
      </c>
      <c r="D437" s="1" t="inlineStr">
        <is>
          <t>COBRA KING CB/MB (2023) Men's Irons</t>
        </is>
      </c>
      <c r="E437" s="1" t="inlineStr">
        <is>
          <t>COBRA</t>
        </is>
      </c>
      <c r="F437" s="1" t="inlineStr">
        <is>
          <t>SET OF IRONS</t>
        </is>
      </c>
      <c r="G437" s="1" t="inlineStr">
        <is>
          <t>GF1280101033R</t>
        </is>
      </c>
      <c r="H437" s="1" t="n">
        <v>2</v>
      </c>
      <c r="I437" s="1" t="inlineStr">
        <is>
          <t>หมด</t>
        </is>
      </c>
      <c r="J437" s="13" t="n">
        <v>899</v>
      </c>
      <c r="K437" s="1" t="inlineStr"/>
      <c r="L437" s="13" t="n">
        <v>899</v>
      </c>
      <c r="M437" s="1">
        <f>IF(L437="","ไม่พบใน SG",IF(ABS(J437-L437)&lt;0.005,"ตรงกัน","ไม่ตรง"))</f>
        <v/>
      </c>
      <c r="N437" s="14">
        <f>IF(L437="","",ROUND(L437*'สรุป'!$C$6,-1))</f>
        <v/>
      </c>
      <c r="O437" s="15" t="n"/>
      <c r="P437" s="15" t="n"/>
      <c r="Q437" s="10" t="n"/>
      <c r="R437" s="10" t="n"/>
      <c r="S437" s="16" t="inlineStr">
        <is>
          <t>https://mstgolf.co.th/products/gf1280101033</t>
        </is>
      </c>
      <c r="T437" s="1">
        <f>IF(B437="ไม้กอล์ฟ",J437,"")</f>
        <v/>
      </c>
    </row>
    <row r="438">
      <c r="A438" s="1" t="n">
        <v>1</v>
      </c>
      <c r="B438" s="1" t="inlineStr">
        <is>
          <t>ไม้กอล์ฟ</t>
        </is>
      </c>
      <c r="C438" s="1" t="inlineStr">
        <is>
          <t>gf1280100790</t>
        </is>
      </c>
      <c r="D438" s="1" t="inlineStr">
        <is>
          <t>COBRA KING Forged Tec 4 (2022) Men's Irons</t>
        </is>
      </c>
      <c r="E438" s="1" t="inlineStr">
        <is>
          <t>COBRA</t>
        </is>
      </c>
      <c r="F438" s="1" t="inlineStr">
        <is>
          <t>SET OF IRONS</t>
        </is>
      </c>
      <c r="G438" s="1" t="inlineStr">
        <is>
          <t>GF1280100790R</t>
        </is>
      </c>
      <c r="H438" s="1" t="n">
        <v>3</v>
      </c>
      <c r="I438" s="1" t="inlineStr">
        <is>
          <t>หมด</t>
        </is>
      </c>
      <c r="J438" s="13" t="n">
        <v>899</v>
      </c>
      <c r="K438" s="1" t="inlineStr"/>
      <c r="L438" s="13" t="n"/>
      <c r="M438" s="1">
        <f>IF(L438="","ไม่พบใน SG",IF(ABS(J438-L438)&lt;0.005,"ตรงกัน","ไม่ตรง"))</f>
        <v/>
      </c>
      <c r="N438" s="14">
        <f>IF(L438="","",ROUND(L438*'สรุป'!$C$6,-1))</f>
        <v/>
      </c>
      <c r="O438" s="15" t="n"/>
      <c r="P438" s="15" t="n"/>
      <c r="Q438" s="10" t="n"/>
      <c r="R438" s="10" t="n"/>
      <c r="S438" s="16" t="inlineStr">
        <is>
          <t>https://mstgolf.co.th/products/gf1280100790</t>
        </is>
      </c>
      <c r="T438" s="1">
        <f>IF(B438="ไม้กอล์ฟ",J438,"")</f>
        <v/>
      </c>
    </row>
    <row r="439">
      <c r="A439" s="1" t="n">
        <v>1</v>
      </c>
      <c r="B439" s="1" t="inlineStr">
        <is>
          <t>ไม้กอล์ฟ</t>
        </is>
      </c>
      <c r="C439" s="1" t="inlineStr">
        <is>
          <t>gf1280100997</t>
        </is>
      </c>
      <c r="D439" s="1" t="inlineStr">
        <is>
          <t>COBRA T-Rail (2023) Women's Irons</t>
        </is>
      </c>
      <c r="E439" s="1" t="inlineStr">
        <is>
          <t>COBRA</t>
        </is>
      </c>
      <c r="F439" s="1" t="inlineStr">
        <is>
          <t>SET OF IRONS</t>
        </is>
      </c>
      <c r="G439" s="1" t="inlineStr">
        <is>
          <t>GF1280100997L</t>
        </is>
      </c>
      <c r="H439" s="1" t="n">
        <v>1</v>
      </c>
      <c r="I439" s="1" t="inlineStr">
        <is>
          <t>หมด</t>
        </is>
      </c>
      <c r="J439" s="13" t="n">
        <v>899</v>
      </c>
      <c r="K439" s="1" t="inlineStr"/>
      <c r="L439" s="13" t="n"/>
      <c r="M439" s="1">
        <f>IF(L439="","ไม่พบใน SG",IF(ABS(J439-L439)&lt;0.005,"ตรงกัน","ไม่ตรง"))</f>
        <v/>
      </c>
      <c r="N439" s="14">
        <f>IF(L439="","",ROUND(L439*'สรุป'!$C$6,-1))</f>
        <v/>
      </c>
      <c r="O439" s="15" t="n"/>
      <c r="P439" s="15" t="n"/>
      <c r="Q439" s="10" t="n"/>
      <c r="R439" s="10" t="n"/>
      <c r="S439" s="16" t="inlineStr">
        <is>
          <t>https://mstgolf.co.th/products/gf1280100997</t>
        </is>
      </c>
      <c r="T439" s="1">
        <f>IF(B439="ไม้กอล์ฟ",J439,"")</f>
        <v/>
      </c>
    </row>
    <row r="440">
      <c r="A440" s="1" t="n">
        <v>1</v>
      </c>
      <c r="B440" s="1" t="inlineStr">
        <is>
          <t>ไม้กอล์ฟ</t>
        </is>
      </c>
      <c r="C440" s="1" t="inlineStr">
        <is>
          <t>gf1220100313</t>
        </is>
      </c>
      <c r="D440" s="1" t="inlineStr">
        <is>
          <t>GIII V8 (2020) Men's Fairway</t>
        </is>
      </c>
      <c r="E440" s="1" t="inlineStr">
        <is>
          <t>GIII</t>
        </is>
      </c>
      <c r="F440" s="1" t="inlineStr">
        <is>
          <t>FAIRWAY WOOD</t>
        </is>
      </c>
      <c r="G440" s="1" t="inlineStr">
        <is>
          <t>GF1220100313#3SR</t>
        </is>
      </c>
      <c r="H440" s="1" t="n">
        <v>4</v>
      </c>
      <c r="I440" s="1" t="inlineStr">
        <is>
          <t>หมด</t>
        </is>
      </c>
      <c r="J440" s="13" t="n">
        <v>899</v>
      </c>
      <c r="K440" s="1" t="inlineStr"/>
      <c r="L440" s="13" t="n"/>
      <c r="M440" s="1">
        <f>IF(L440="","ไม่พบใน SG",IF(ABS(J440-L440)&lt;0.005,"ตรงกัน","ไม่ตรง"))</f>
        <v/>
      </c>
      <c r="N440" s="14">
        <f>IF(L440="","",ROUND(L440*'สรุป'!$C$6,-1))</f>
        <v/>
      </c>
      <c r="O440" s="15" t="n"/>
      <c r="P440" s="15" t="n"/>
      <c r="Q440" s="10" t="n"/>
      <c r="R440" s="10" t="n"/>
      <c r="S440" s="16" t="inlineStr">
        <is>
          <t>https://mstgolf.co.th/products/gf1220100313</t>
        </is>
      </c>
      <c r="T440" s="1">
        <f>IF(B440="ไม้กอล์ฟ",J440,"")</f>
        <v/>
      </c>
    </row>
    <row r="441">
      <c r="A441" s="1" t="n">
        <v>1</v>
      </c>
      <c r="B441" s="1" t="inlineStr">
        <is>
          <t>ไม้กอล์ฟ</t>
        </is>
      </c>
      <c r="C441" s="1" t="inlineStr">
        <is>
          <t>gf1280100900</t>
        </is>
      </c>
      <c r="D441" s="1" t="inlineStr">
        <is>
          <t>MIZUNO JPX-923 Forged (2023) Men's Irons</t>
        </is>
      </c>
      <c r="E441" s="1" t="inlineStr">
        <is>
          <t>MIZUNO</t>
        </is>
      </c>
      <c r="F441" s="1" t="inlineStr">
        <is>
          <t>SET OF IRONS</t>
        </is>
      </c>
      <c r="G441" s="1" t="inlineStr">
        <is>
          <t>GF1280100900R</t>
        </is>
      </c>
      <c r="H441" s="1" t="n">
        <v>2</v>
      </c>
      <c r="I441" s="1" t="inlineStr">
        <is>
          <t>หมด</t>
        </is>
      </c>
      <c r="J441" s="13" t="n">
        <v>899</v>
      </c>
      <c r="K441" s="1" t="inlineStr"/>
      <c r="L441" s="13" t="n"/>
      <c r="M441" s="1">
        <f>IF(L441="","ไม่พบใน SG",IF(ABS(J441-L441)&lt;0.005,"ตรงกัน","ไม่ตรง"))</f>
        <v/>
      </c>
      <c r="N441" s="14">
        <f>IF(L441="","",ROUND(L441*'สรุป'!$C$6,-1))</f>
        <v/>
      </c>
      <c r="O441" s="15" t="n"/>
      <c r="P441" s="15" t="n"/>
      <c r="Q441" s="10" t="n"/>
      <c r="R441" s="10" t="n"/>
      <c r="S441" s="16" t="inlineStr">
        <is>
          <t>https://mstgolf.co.th/products/gf1280100900</t>
        </is>
      </c>
      <c r="T441" s="1">
        <f>IF(B441="ไม้กอล์ฟ",J441,"")</f>
        <v/>
      </c>
    </row>
    <row r="442">
      <c r="A442" s="1" t="n">
        <v>1</v>
      </c>
      <c r="B442" s="1" t="inlineStr">
        <is>
          <t>อุปกรณ์วัดระยะ/เทคโนโลยี</t>
        </is>
      </c>
      <c r="C442" s="1" t="inlineStr">
        <is>
          <t>gf3190200016</t>
        </is>
      </c>
      <c r="D442" s="1" t="inlineStr">
        <is>
          <t>VOICE CADDIE SL1 GPS Laser Rangefinder - Silver &amp; Leather</t>
        </is>
      </c>
      <c r="E442" s="1" t="inlineStr">
        <is>
          <t>VOICE CADDIE</t>
        </is>
      </c>
      <c r="F442" s="1" t="inlineStr">
        <is>
          <t>HANDHELD</t>
        </is>
      </c>
      <c r="G442" s="1" t="inlineStr">
        <is>
          <t>GF3190200016</t>
        </is>
      </c>
      <c r="H442" s="1" t="n">
        <v>1</v>
      </c>
      <c r="I442" s="1" t="inlineStr">
        <is>
          <t>หมด</t>
        </is>
      </c>
      <c r="J442" s="13" t="n">
        <v>850</v>
      </c>
      <c r="K442" s="1" t="inlineStr"/>
      <c r="L442" s="13" t="n">
        <v>850</v>
      </c>
      <c r="M442" s="1">
        <f>IF(L442="","ไม่พบใน SG",IF(ABS(J442-L442)&lt;0.005,"ตรงกัน","ไม่ตรง"))</f>
        <v/>
      </c>
      <c r="N442" s="14">
        <f>IF(L442="","",ROUND(L442*'สรุป'!$C$6,-1))</f>
        <v/>
      </c>
      <c r="O442" s="15" t="n"/>
      <c r="P442" s="15" t="n"/>
      <c r="Q442" s="10" t="n"/>
      <c r="R442" s="10" t="n"/>
      <c r="S442" s="16" t="inlineStr">
        <is>
          <t>https://mstgolf.co.th/products/gf3190200016</t>
        </is>
      </c>
      <c r="T442" s="1">
        <f>IF(B442="ไม้กอล์ฟ",J442,"")</f>
        <v/>
      </c>
    </row>
    <row r="443">
      <c r="A443" s="1" t="n">
        <v>1</v>
      </c>
      <c r="B443" s="1" t="inlineStr">
        <is>
          <t>ไม้กอล์ฟ</t>
        </is>
      </c>
      <c r="C443" s="1" t="inlineStr">
        <is>
          <t>gf1240101505</t>
        </is>
      </c>
      <c r="D443" s="1" t="inlineStr">
        <is>
          <t>BETTINARDI Antidote SB2 Grey Black Limited Run (2025) Men's Putter</t>
        </is>
      </c>
      <c r="E443" s="1" t="inlineStr">
        <is>
          <t>BETTINARDI</t>
        </is>
      </c>
      <c r="F443" s="1" t="inlineStr">
        <is>
          <t>PUTTER</t>
        </is>
      </c>
      <c r="G443" s="1" t="inlineStr">
        <is>
          <t>GF124010150534</t>
        </is>
      </c>
      <c r="H443" s="1" t="n">
        <v>1</v>
      </c>
      <c r="I443" s="1" t="inlineStr">
        <is>
          <t>หมด</t>
        </is>
      </c>
      <c r="J443" s="13" t="n">
        <v>849</v>
      </c>
      <c r="K443" s="1" t="inlineStr"/>
      <c r="L443" s="13" t="n"/>
      <c r="M443" s="1">
        <f>IF(L443="","ไม่พบใน SG",IF(ABS(J443-L443)&lt;0.005,"ตรงกัน","ไม่ตรง"))</f>
        <v/>
      </c>
      <c r="N443" s="14">
        <f>IF(L443="","",ROUND(L443*'สรุป'!$C$6,-1))</f>
        <v/>
      </c>
      <c r="O443" s="15" t="n"/>
      <c r="P443" s="15" t="n"/>
      <c r="Q443" s="10" t="n"/>
      <c r="R443" s="10" t="n"/>
      <c r="S443" s="16" t="inlineStr">
        <is>
          <t>https://mstgolf.co.th/products/gf1240101505</t>
        </is>
      </c>
      <c r="T443" s="1">
        <f>IF(B443="ไม้กอล์ฟ",J443,"")</f>
        <v/>
      </c>
    </row>
    <row r="444">
      <c r="A444" s="1" t="n">
        <v>1</v>
      </c>
      <c r="B444" s="1" t="inlineStr">
        <is>
          <t>ไม้กอล์ฟ</t>
        </is>
      </c>
      <c r="C444" s="1" t="inlineStr">
        <is>
          <t>gf1280101301</t>
        </is>
      </c>
      <c r="D444" s="1" t="inlineStr">
        <is>
          <t>COBRA DS-ADAPT (2025) Men's Irons</t>
        </is>
      </c>
      <c r="E444" s="1" t="inlineStr">
        <is>
          <t>COBRA</t>
        </is>
      </c>
      <c r="F444" s="1" t="inlineStr">
        <is>
          <t>SET OF IRONS</t>
        </is>
      </c>
      <c r="G444" s="1" t="inlineStr">
        <is>
          <t>GF1280101302R</t>
        </is>
      </c>
      <c r="H444" s="1" t="n">
        <v>2</v>
      </c>
      <c r="I444" s="1" t="inlineStr">
        <is>
          <t>หมด</t>
        </is>
      </c>
      <c r="J444" s="13" t="n">
        <v>839</v>
      </c>
      <c r="K444" s="1" t="inlineStr">
        <is>
          <t>ต่างกัน</t>
        </is>
      </c>
      <c r="L444" s="13" t="n"/>
      <c r="M444" s="1">
        <f>IF(L444="","ไม่พบใน SG",IF(ABS(J444-L444)&lt;0.005,"ตรงกัน","ไม่ตรง"))</f>
        <v/>
      </c>
      <c r="N444" s="14">
        <f>IF(L444="","",ROUND(L444*'สรุป'!$C$6,-1))</f>
        <v/>
      </c>
      <c r="O444" s="15" t="n"/>
      <c r="P444" s="15" t="n"/>
      <c r="Q444" s="10" t="n"/>
      <c r="R444" s="10" t="n"/>
      <c r="S444" s="16" t="inlineStr">
        <is>
          <t>https://mstgolf.co.th/products/gf1280101301</t>
        </is>
      </c>
      <c r="T444" s="1">
        <f>IF(B444="ไม้กอล์ฟ",J444,"")</f>
        <v/>
      </c>
    </row>
    <row r="445">
      <c r="A445" s="1" t="n">
        <v>1</v>
      </c>
      <c r="B445" s="1" t="inlineStr">
        <is>
          <t>ไม้กอล์ฟ</t>
        </is>
      </c>
      <c r="C445" s="1" t="inlineStr">
        <is>
          <t>gf1210101361</t>
        </is>
      </c>
      <c r="D445" s="1" t="inlineStr">
        <is>
          <t>COBRA OPTM MAX-D Black (2026) Men's Driver</t>
        </is>
      </c>
      <c r="E445" s="1" t="inlineStr">
        <is>
          <t>COBRA</t>
        </is>
      </c>
      <c r="F445" s="1" t="inlineStr">
        <is>
          <t>DRIVER</t>
        </is>
      </c>
      <c r="G445" s="1" t="inlineStr">
        <is>
          <t>GF1210101361105R</t>
        </is>
      </c>
      <c r="H445" s="1" t="n">
        <v>1</v>
      </c>
      <c r="I445" s="1" t="inlineStr">
        <is>
          <t>หมด</t>
        </is>
      </c>
      <c r="J445" s="13" t="n">
        <v>825</v>
      </c>
      <c r="K445" s="1" t="inlineStr"/>
      <c r="L445" s="13" t="n">
        <v>825</v>
      </c>
      <c r="M445" s="1">
        <f>IF(L445="","ไม่พบใน SG",IF(ABS(J445-L445)&lt;0.005,"ตรงกัน","ไม่ตรง"))</f>
        <v/>
      </c>
      <c r="N445" s="14">
        <f>IF(L445="","",ROUND(L445*'สรุป'!$C$6,-1))</f>
        <v/>
      </c>
      <c r="O445" s="15" t="n"/>
      <c r="P445" s="15" t="n"/>
      <c r="Q445" s="10" t="n"/>
      <c r="R445" s="10" t="n"/>
      <c r="S445" s="16" t="inlineStr">
        <is>
          <t>https://mstgolf.co.th/products/gf1210101361</t>
        </is>
      </c>
      <c r="T445" s="1">
        <f>IF(B445="ไม้กอล์ฟ",J445,"")</f>
        <v/>
      </c>
    </row>
    <row r="446">
      <c r="A446" s="1" t="n">
        <v>1</v>
      </c>
      <c r="B446" s="1" t="inlineStr">
        <is>
          <t>ไม้กอล์ฟ</t>
        </is>
      </c>
      <c r="C446" s="1" t="inlineStr">
        <is>
          <t>gf1210101358</t>
        </is>
      </c>
      <c r="D446" s="1" t="inlineStr">
        <is>
          <t>COBRA OPTM X Black (2026) Men's Driver</t>
        </is>
      </c>
      <c r="E446" s="1" t="inlineStr">
        <is>
          <t>COBRA</t>
        </is>
      </c>
      <c r="F446" s="1" t="inlineStr">
        <is>
          <t>DRIVER</t>
        </is>
      </c>
      <c r="G446" s="1" t="inlineStr">
        <is>
          <t>GF12101013589S</t>
        </is>
      </c>
      <c r="H446" s="1" t="n">
        <v>4</v>
      </c>
      <c r="I446" s="1" t="inlineStr">
        <is>
          <t>หมด</t>
        </is>
      </c>
      <c r="J446" s="13" t="n">
        <v>825</v>
      </c>
      <c r="K446" s="1" t="inlineStr"/>
      <c r="L446" s="13" t="n">
        <v>825</v>
      </c>
      <c r="M446" s="1">
        <f>IF(L446="","ไม่พบใน SG",IF(ABS(J446-L446)&lt;0.005,"ตรงกัน","ไม่ตรง"))</f>
        <v/>
      </c>
      <c r="N446" s="14">
        <f>IF(L446="","",ROUND(L446*'สรุป'!$C$6,-1))</f>
        <v/>
      </c>
      <c r="O446" s="15" t="n"/>
      <c r="P446" s="15" t="n"/>
      <c r="Q446" s="10" t="n"/>
      <c r="R446" s="10" t="n"/>
      <c r="S446" s="16" t="inlineStr">
        <is>
          <t>https://mstgolf.co.th/products/gf1210101358</t>
        </is>
      </c>
      <c r="T446" s="1">
        <f>IF(B446="ไม้กอล์ฟ",J446,"")</f>
        <v/>
      </c>
    </row>
    <row r="447">
      <c r="A447" s="1" t="n">
        <v>1</v>
      </c>
      <c r="B447" s="1" t="inlineStr">
        <is>
          <t>อุปกรณ์วัดระยะ/เทคโนโลยี</t>
        </is>
      </c>
      <c r="C447" s="1" t="inlineStr">
        <is>
          <t>gf3190200032</t>
        </is>
      </c>
      <c r="D447" s="1" t="inlineStr">
        <is>
          <t>NIKON Coolshot Pro II Stabilized Laser Rangefinder (White)</t>
        </is>
      </c>
      <c r="E447" s="1" t="inlineStr">
        <is>
          <t>NIKON</t>
        </is>
      </c>
      <c r="F447" s="1" t="inlineStr">
        <is>
          <t>HANDHELD</t>
        </is>
      </c>
      <c r="G447" s="1" t="inlineStr">
        <is>
          <t>GF3190200032</t>
        </is>
      </c>
      <c r="H447" s="1" t="n">
        <v>1</v>
      </c>
      <c r="I447" s="1" t="inlineStr">
        <is>
          <t>หมด</t>
        </is>
      </c>
      <c r="J447" s="13" t="n">
        <v>820</v>
      </c>
      <c r="K447" s="1" t="inlineStr"/>
      <c r="L447" s="13" t="n">
        <v>820</v>
      </c>
      <c r="M447" s="1">
        <f>IF(L447="","ไม่พบใน SG",IF(ABS(J447-L447)&lt;0.005,"ตรงกัน","ไม่ตรง"))</f>
        <v/>
      </c>
      <c r="N447" s="14">
        <f>IF(L447="","",ROUND(L447*'สรุป'!$C$6,-1))</f>
        <v/>
      </c>
      <c r="O447" s="15" t="n"/>
      <c r="P447" s="15" t="n"/>
      <c r="Q447" s="10" t="n"/>
      <c r="R447" s="10" t="n"/>
      <c r="S447" s="16" t="inlineStr">
        <is>
          <t>https://mstgolf.co.th/products/gf3190200032</t>
        </is>
      </c>
      <c r="T447" s="1">
        <f>IF(B447="ไม้กอล์ฟ",J447,"")</f>
        <v/>
      </c>
    </row>
    <row r="448">
      <c r="A448" s="1" t="n">
        <v>1</v>
      </c>
      <c r="B448" s="1" t="inlineStr">
        <is>
          <t>ไม้กอล์ฟ</t>
        </is>
      </c>
      <c r="C448" s="1" t="inlineStr">
        <is>
          <t>gf1210101387</t>
        </is>
      </c>
      <c r="D448" s="1" t="inlineStr">
        <is>
          <t>CALLAWAY Quantum TD (2026) Men's Driver</t>
        </is>
      </c>
      <c r="E448" s="1" t="inlineStr">
        <is>
          <t>CALLAWAY</t>
        </is>
      </c>
      <c r="F448" s="1" t="inlineStr">
        <is>
          <t>DRIVER</t>
        </is>
      </c>
      <c r="G448" s="1" t="inlineStr">
        <is>
          <t>GF12101013879S</t>
        </is>
      </c>
      <c r="H448" s="1" t="n">
        <v>1</v>
      </c>
      <c r="I448" s="1" t="inlineStr">
        <is>
          <t>หมด</t>
        </is>
      </c>
      <c r="J448" s="13" t="n">
        <v>816</v>
      </c>
      <c r="K448" s="1" t="inlineStr"/>
      <c r="L448" s="13" t="n">
        <v>816</v>
      </c>
      <c r="M448" s="1">
        <f>IF(L448="","ไม่พบใน SG",IF(ABS(J448-L448)&lt;0.005,"ตรงกัน","ไม่ตรง"))</f>
        <v/>
      </c>
      <c r="N448" s="14">
        <f>IF(L448="","",ROUND(L448*'สรุป'!$C$6,-1))</f>
        <v/>
      </c>
      <c r="O448" s="15" t="n"/>
      <c r="P448" s="15" t="n"/>
      <c r="Q448" s="10" t="n"/>
      <c r="R448" s="10" t="n"/>
      <c r="S448" s="16" t="inlineStr">
        <is>
          <t>https://mstgolf.co.th/products/gf1210101387</t>
        </is>
      </c>
      <c r="T448" s="1">
        <f>IF(B448="ไม้กอล์ฟ",J448,"")</f>
        <v/>
      </c>
    </row>
    <row r="449">
      <c r="A449" s="1" t="n">
        <v>1</v>
      </c>
      <c r="B449" s="1" t="inlineStr">
        <is>
          <t>ไม้กอล์ฟ</t>
        </is>
      </c>
      <c r="C449" s="1" t="inlineStr">
        <is>
          <t>gf1210101386</t>
        </is>
      </c>
      <c r="D449" s="1" t="inlineStr">
        <is>
          <t>CALLAWAY Quantum TD Max (2026) Men's Driver</t>
        </is>
      </c>
      <c r="E449" s="1" t="inlineStr">
        <is>
          <t>CALLAWAY</t>
        </is>
      </c>
      <c r="F449" s="1" t="inlineStr">
        <is>
          <t>DRIVER</t>
        </is>
      </c>
      <c r="G449" s="1" t="inlineStr">
        <is>
          <t>GF12101013869S</t>
        </is>
      </c>
      <c r="H449" s="1" t="n">
        <v>2</v>
      </c>
      <c r="I449" s="1" t="inlineStr">
        <is>
          <t>หมด</t>
        </is>
      </c>
      <c r="J449" s="13" t="n">
        <v>816</v>
      </c>
      <c r="K449" s="1" t="inlineStr"/>
      <c r="L449" s="13" t="n">
        <v>816</v>
      </c>
      <c r="M449" s="1">
        <f>IF(L449="","ไม่พบใน SG",IF(ABS(J449-L449)&lt;0.005,"ตรงกัน","ไม่ตรง"))</f>
        <v/>
      </c>
      <c r="N449" s="14">
        <f>IF(L449="","",ROUND(L449*'สรุป'!$C$6,-1))</f>
        <v/>
      </c>
      <c r="O449" s="15" t="n"/>
      <c r="P449" s="15" t="n"/>
      <c r="Q449" s="10" t="n"/>
      <c r="R449" s="10" t="n"/>
      <c r="S449" s="16" t="inlineStr">
        <is>
          <t>https://mstgolf.co.th/products/gf1210101386</t>
        </is>
      </c>
      <c r="T449" s="1">
        <f>IF(B449="ไม้กอล์ฟ",J449,"")</f>
        <v/>
      </c>
    </row>
    <row r="450">
      <c r="A450" s="1" t="n">
        <v>1</v>
      </c>
      <c r="B450" s="1" t="inlineStr">
        <is>
          <t>ไม้กอล์ฟ</t>
        </is>
      </c>
      <c r="C450" s="1" t="inlineStr">
        <is>
          <t>gf1210100970</t>
        </is>
      </c>
      <c r="D450" s="1" t="inlineStr">
        <is>
          <t>PING G LE 3 (2023) Women's Driver</t>
        </is>
      </c>
      <c r="E450" s="1" t="inlineStr">
        <is>
          <t>PING</t>
        </is>
      </c>
      <c r="F450" s="1" t="inlineStr">
        <is>
          <t>DRIVER</t>
        </is>
      </c>
      <c r="G450" s="1" t="inlineStr">
        <is>
          <t>GF1210100970115L</t>
        </is>
      </c>
      <c r="H450" s="1" t="n">
        <v>1</v>
      </c>
      <c r="I450" s="1" t="inlineStr">
        <is>
          <t>หมด</t>
        </is>
      </c>
      <c r="J450" s="13" t="n">
        <v>809</v>
      </c>
      <c r="K450" s="1" t="inlineStr"/>
      <c r="L450" s="13" t="n">
        <v>809</v>
      </c>
      <c r="M450" s="1">
        <f>IF(L450="","ไม่พบใน SG",IF(ABS(J450-L450)&lt;0.005,"ตรงกัน","ไม่ตรง"))</f>
        <v/>
      </c>
      <c r="N450" s="14">
        <f>IF(L450="","",ROUND(L450*'สรุป'!$C$6,-1))</f>
        <v/>
      </c>
      <c r="O450" s="15" t="n"/>
      <c r="P450" s="15" t="n"/>
      <c r="Q450" s="10" t="n"/>
      <c r="R450" s="10" t="n"/>
      <c r="S450" s="16" t="inlineStr">
        <is>
          <t>https://mstgolf.co.th/products/gf1210100970</t>
        </is>
      </c>
      <c r="T450" s="1">
        <f>IF(B450="ไม้กอล์ฟ",J450,"")</f>
        <v/>
      </c>
    </row>
    <row r="451">
      <c r="A451" s="1" t="n">
        <v>1</v>
      </c>
      <c r="B451" s="1" t="inlineStr">
        <is>
          <t>ไม้กอล์ฟ</t>
        </is>
      </c>
      <c r="C451" s="1" t="inlineStr">
        <is>
          <t>gf1240101523</t>
        </is>
      </c>
      <c r="D451" s="1" t="inlineStr">
        <is>
          <t>L.A.B. GOLF OZ.1i Stock HS Matte Black Press Pistol 2 Degree (2025) Men's Putter</t>
        </is>
      </c>
      <c r="E451" s="1" t="inlineStr">
        <is>
          <t>L.A.B. GOLF</t>
        </is>
      </c>
      <c r="F451" s="1" t="inlineStr">
        <is>
          <t>PUTTER</t>
        </is>
      </c>
      <c r="G451" s="1" t="inlineStr">
        <is>
          <t>GF124010152334</t>
        </is>
      </c>
      <c r="H451" s="1" t="n">
        <v>1</v>
      </c>
      <c r="I451" s="1" t="inlineStr">
        <is>
          <t>หมด</t>
        </is>
      </c>
      <c r="J451" s="13" t="n">
        <v>799</v>
      </c>
      <c r="K451" s="1" t="inlineStr"/>
      <c r="L451" s="13" t="n"/>
      <c r="M451" s="1">
        <f>IF(L451="","ไม่พบใน SG",IF(ABS(J451-L451)&lt;0.005,"ตรงกัน","ไม่ตรง"))</f>
        <v/>
      </c>
      <c r="N451" s="14">
        <f>IF(L451="","",ROUND(L451*'สรุป'!$C$6,-1))</f>
        <v/>
      </c>
      <c r="O451" s="15" t="n"/>
      <c r="P451" s="15" t="n"/>
      <c r="Q451" s="10" t="n"/>
      <c r="R451" s="10" t="n"/>
      <c r="S451" s="16" t="inlineStr">
        <is>
          <t>https://mstgolf.co.th/products/gf1240101523</t>
        </is>
      </c>
      <c r="T451" s="1">
        <f>IF(B451="ไม้กอล์ฟ",J451,"")</f>
        <v/>
      </c>
    </row>
    <row r="452">
      <c r="A452" s="1" t="n">
        <v>1</v>
      </c>
      <c r="B452" s="1" t="inlineStr">
        <is>
          <t>ไม้กอล์ฟ</t>
        </is>
      </c>
      <c r="C452" s="1" t="inlineStr">
        <is>
          <t>gf1240101450</t>
        </is>
      </c>
      <c r="D452" s="1" t="inlineStr">
        <is>
          <t>L.A.B. GOLF OZ.1i Stock Matte Black Press Pistol 2 Degree (2025) Men's Putter</t>
        </is>
      </c>
      <c r="E452" s="1" t="inlineStr">
        <is>
          <t>L.A.B. GOLF</t>
        </is>
      </c>
      <c r="F452" s="1" t="inlineStr">
        <is>
          <t>PUTTER</t>
        </is>
      </c>
      <c r="G452" s="1" t="inlineStr">
        <is>
          <t>GF124010145034</t>
        </is>
      </c>
      <c r="H452" s="1" t="n">
        <v>1</v>
      </c>
      <c r="I452" s="1" t="inlineStr">
        <is>
          <t>หมด</t>
        </is>
      </c>
      <c r="J452" s="13" t="n">
        <v>799</v>
      </c>
      <c r="K452" s="1" t="inlineStr"/>
      <c r="L452" s="13" t="n"/>
      <c r="M452" s="1">
        <f>IF(L452="","ไม่พบใน SG",IF(ABS(J452-L452)&lt;0.005,"ตรงกัน","ไม่ตรง"))</f>
        <v/>
      </c>
      <c r="N452" s="14">
        <f>IF(L452="","",ROUND(L452*'สรุป'!$C$6,-1))</f>
        <v/>
      </c>
      <c r="O452" s="15" t="n"/>
      <c r="P452" s="15" t="n"/>
      <c r="Q452" s="10" t="n"/>
      <c r="R452" s="10" t="n"/>
      <c r="S452" s="16" t="inlineStr">
        <is>
          <t>https://mstgolf.co.th/products/gf1240101450</t>
        </is>
      </c>
      <c r="T452" s="1">
        <f>IF(B452="ไม้กอล์ฟ",J452,"")</f>
        <v/>
      </c>
    </row>
    <row r="453">
      <c r="A453" s="1" t="n">
        <v>1</v>
      </c>
      <c r="B453" s="1" t="inlineStr">
        <is>
          <t>ไม้กอล์ฟ</t>
        </is>
      </c>
      <c r="C453" s="1" t="inlineStr">
        <is>
          <t>gf1230100732</t>
        </is>
      </c>
      <c r="D453" s="1" t="inlineStr">
        <is>
          <t>MAJESTY Prestigio 13 (2024) Men's Hybrid</t>
        </is>
      </c>
      <c r="E453" s="1" t="inlineStr">
        <is>
          <t>MAJESTY</t>
        </is>
      </c>
      <c r="F453" s="1" t="inlineStr">
        <is>
          <t>UTILITY/HYBRID</t>
        </is>
      </c>
      <c r="G453" s="1" t="inlineStr">
        <is>
          <t>GF1230100732#7R2</t>
        </is>
      </c>
      <c r="H453" s="1" t="n">
        <v>14</v>
      </c>
      <c r="I453" s="1" t="inlineStr">
        <is>
          <t>หมด</t>
        </is>
      </c>
      <c r="J453" s="13" t="n">
        <v>789</v>
      </c>
      <c r="K453" s="1" t="inlineStr"/>
      <c r="L453" s="13" t="n">
        <v>789</v>
      </c>
      <c r="M453" s="1">
        <f>IF(L453="","ไม่พบใน SG",IF(ABS(J453-L453)&lt;0.005,"ตรงกัน","ไม่ตรง"))</f>
        <v/>
      </c>
      <c r="N453" s="14">
        <f>IF(L453="","",ROUND(L453*'สรุป'!$C$6,-1))</f>
        <v/>
      </c>
      <c r="O453" s="15" t="n"/>
      <c r="P453" s="15" t="n"/>
      <c r="Q453" s="10" t="n"/>
      <c r="R453" s="10" t="n"/>
      <c r="S453" s="16" t="inlineStr">
        <is>
          <t>https://mstgolf.co.th/products/gf1230100732</t>
        </is>
      </c>
      <c r="T453" s="1">
        <f>IF(B453="ไม้กอล์ฟ",J453,"")</f>
        <v/>
      </c>
    </row>
    <row r="454">
      <c r="A454" s="1" t="n">
        <v>1</v>
      </c>
      <c r="B454" s="1" t="inlineStr">
        <is>
          <t>ไม้กอล์ฟ</t>
        </is>
      </c>
      <c r="C454" s="1" t="inlineStr">
        <is>
          <t>gf1230100733</t>
        </is>
      </c>
      <c r="D454" s="1" t="inlineStr">
        <is>
          <t>MAJESTY Prestigio 13 (2024) Women's Hybrid</t>
        </is>
      </c>
      <c r="E454" s="1" t="inlineStr">
        <is>
          <t>MAJESTY</t>
        </is>
      </c>
      <c r="F454" s="1" t="inlineStr">
        <is>
          <t>UTILITY/HYBRID</t>
        </is>
      </c>
      <c r="G454" s="1" t="inlineStr">
        <is>
          <t>GF1230100733#4L</t>
        </is>
      </c>
      <c r="H454" s="1" t="n">
        <v>2</v>
      </c>
      <c r="I454" s="1" t="inlineStr">
        <is>
          <t>หมด</t>
        </is>
      </c>
      <c r="J454" s="13" t="n">
        <v>789</v>
      </c>
      <c r="K454" s="1" t="inlineStr"/>
      <c r="L454" s="13" t="n"/>
      <c r="M454" s="1">
        <f>IF(L454="","ไม่พบใน SG",IF(ABS(J454-L454)&lt;0.005,"ตรงกัน","ไม่ตรง"))</f>
        <v/>
      </c>
      <c r="N454" s="14">
        <f>IF(L454="","",ROUND(L454*'สรุป'!$C$6,-1))</f>
        <v/>
      </c>
      <c r="O454" s="15" t="n"/>
      <c r="P454" s="15" t="n"/>
      <c r="Q454" s="10" t="n"/>
      <c r="R454" s="10" t="n"/>
      <c r="S454" s="16" t="inlineStr">
        <is>
          <t>https://mstgolf.co.th/products/gf1230100733</t>
        </is>
      </c>
      <c r="T454" s="1">
        <f>IF(B454="ไม้กอล์ฟ",J454,"")</f>
        <v/>
      </c>
    </row>
    <row r="455">
      <c r="A455" s="1" t="n">
        <v>1</v>
      </c>
      <c r="B455" s="1" t="inlineStr">
        <is>
          <t>ไม้กอล์ฟ</t>
        </is>
      </c>
      <c r="C455" s="1" t="inlineStr">
        <is>
          <t>gf1240101461</t>
        </is>
      </c>
      <c r="D455" s="1" t="inlineStr">
        <is>
          <t>TITLEIST Studio Style Fastback 1.5 (2025) Men's Putter</t>
        </is>
      </c>
      <c r="E455" s="1" t="inlineStr">
        <is>
          <t>TITLEIST</t>
        </is>
      </c>
      <c r="F455" s="1" t="inlineStr">
        <is>
          <t>PUTTER</t>
        </is>
      </c>
      <c r="G455" s="1" t="inlineStr">
        <is>
          <t>GF124010146134</t>
        </is>
      </c>
      <c r="H455" s="1" t="n">
        <v>1</v>
      </c>
      <c r="I455" s="1" t="inlineStr">
        <is>
          <t>หมด</t>
        </is>
      </c>
      <c r="J455" s="13" t="n">
        <v>789</v>
      </c>
      <c r="K455" s="1" t="inlineStr"/>
      <c r="L455" s="13" t="n">
        <v>789</v>
      </c>
      <c r="M455" s="1">
        <f>IF(L455="","ไม่พบใน SG",IF(ABS(J455-L455)&lt;0.005,"ตรงกัน","ไม่ตรง"))</f>
        <v/>
      </c>
      <c r="N455" s="14">
        <f>IF(L455="","",ROUND(L455*'สรุป'!$C$6,-1))</f>
        <v/>
      </c>
      <c r="O455" s="15" t="n"/>
      <c r="P455" s="15" t="n"/>
      <c r="Q455" s="10" t="n"/>
      <c r="R455" s="10" t="n"/>
      <c r="S455" s="16" t="inlineStr">
        <is>
          <t>https://mstgolf.co.th/products/gf1240101461</t>
        </is>
      </c>
      <c r="T455" s="1">
        <f>IF(B455="ไม้กอล์ฟ",J455,"")</f>
        <v/>
      </c>
    </row>
    <row r="456">
      <c r="A456" s="1" t="n">
        <v>1</v>
      </c>
      <c r="B456" s="1" t="inlineStr">
        <is>
          <t>ไม้กอล์ฟ</t>
        </is>
      </c>
      <c r="C456" s="1" t="inlineStr">
        <is>
          <t>gf1210101104</t>
        </is>
      </c>
      <c r="D456" s="1" t="inlineStr">
        <is>
          <t>YAMAHA Inpres DriveStar Type/D (2025) Men's Driver</t>
        </is>
      </c>
      <c r="E456" s="1" t="inlineStr">
        <is>
          <t>YAMAHA</t>
        </is>
      </c>
      <c r="F456" s="1" t="inlineStr">
        <is>
          <t>DRIVER</t>
        </is>
      </c>
      <c r="G456" s="1" t="inlineStr">
        <is>
          <t>GF1210101104105SR</t>
        </is>
      </c>
      <c r="H456" s="1" t="n">
        <v>3</v>
      </c>
      <c r="I456" s="1" t="inlineStr">
        <is>
          <t>หมด</t>
        </is>
      </c>
      <c r="J456" s="13" t="n">
        <v>789</v>
      </c>
      <c r="K456" s="1" t="inlineStr"/>
      <c r="L456" s="13" t="n">
        <v>529</v>
      </c>
      <c r="M456" s="1">
        <f>IF(L456="","ไม่พบใน SG",IF(ABS(J456-L456)&lt;0.005,"ตรงกัน","ไม่ตรง"))</f>
        <v/>
      </c>
      <c r="N456" s="14">
        <f>IF(L456="","",ROUND(L456*'สรุป'!$C$6,-1))</f>
        <v/>
      </c>
      <c r="O456" s="15" t="n"/>
      <c r="P456" s="15" t="n"/>
      <c r="Q456" s="10" t="n"/>
      <c r="R456" s="10" t="n"/>
      <c r="S456" s="16" t="inlineStr">
        <is>
          <t>https://mstgolf.co.th/products/gf1210101104</t>
        </is>
      </c>
      <c r="T456" s="1">
        <f>IF(B456="ไม้กอล์ฟ",J456,"")</f>
        <v/>
      </c>
    </row>
    <row r="457">
      <c r="A457" s="1" t="n">
        <v>1</v>
      </c>
      <c r="B457" s="1" t="inlineStr">
        <is>
          <t>ไม้กอล์ฟ</t>
        </is>
      </c>
      <c r="C457" s="1" t="inlineStr">
        <is>
          <t>gf1210101105</t>
        </is>
      </c>
      <c r="D457" s="1" t="inlineStr">
        <is>
          <t>YAMAHA Inpres DriveStar Type/S (2025) Men's Driver</t>
        </is>
      </c>
      <c r="E457" s="1" t="inlineStr">
        <is>
          <t>YAMAHA</t>
        </is>
      </c>
      <c r="F457" s="1" t="inlineStr">
        <is>
          <t>DRIVER</t>
        </is>
      </c>
      <c r="G457" s="1" t="inlineStr">
        <is>
          <t>GF12101011059.5S</t>
        </is>
      </c>
      <c r="H457" s="1" t="n">
        <v>1</v>
      </c>
      <c r="I457" s="1" t="inlineStr">
        <is>
          <t>หมด</t>
        </is>
      </c>
      <c r="J457" s="13" t="n">
        <v>789</v>
      </c>
      <c r="K457" s="1" t="inlineStr"/>
      <c r="L457" s="13" t="n">
        <v>529</v>
      </c>
      <c r="M457" s="1">
        <f>IF(L457="","ไม่พบใน SG",IF(ABS(J457-L457)&lt;0.005,"ตรงกัน","ไม่ตรง"))</f>
        <v/>
      </c>
      <c r="N457" s="14">
        <f>IF(L457="","",ROUND(L457*'สรุป'!$C$6,-1))</f>
        <v/>
      </c>
      <c r="O457" s="15" t="n"/>
      <c r="P457" s="15" t="n"/>
      <c r="Q457" s="10" t="n"/>
      <c r="R457" s="10" t="n"/>
      <c r="S457" s="16" t="inlineStr">
        <is>
          <t>https://mstgolf.co.th/products/gf1210101105</t>
        </is>
      </c>
      <c r="T457" s="1">
        <f>IF(B457="ไม้กอล์ฟ",J457,"")</f>
        <v/>
      </c>
    </row>
    <row r="458">
      <c r="A458" s="1" t="n">
        <v>1</v>
      </c>
      <c r="B458" s="1" t="inlineStr">
        <is>
          <t>ไม้กอล์ฟ</t>
        </is>
      </c>
      <c r="C458" s="1" t="inlineStr">
        <is>
          <t>gf1230100270</t>
        </is>
      </c>
      <c r="D458" s="1" t="inlineStr">
        <is>
          <t>GIII V8 (2020) Men's Utility</t>
        </is>
      </c>
      <c r="E458" s="1" t="inlineStr">
        <is>
          <t>GIII</t>
        </is>
      </c>
      <c r="F458" s="1" t="inlineStr">
        <is>
          <t>UTILITY/HYBRID</t>
        </is>
      </c>
      <c r="G458" s="1" t="inlineStr">
        <is>
          <t>GF1230100270#3SR</t>
        </is>
      </c>
      <c r="H458" s="1" t="n">
        <v>4</v>
      </c>
      <c r="I458" s="1" t="inlineStr">
        <is>
          <t>หมด</t>
        </is>
      </c>
      <c r="J458" s="13" t="n">
        <v>779</v>
      </c>
      <c r="K458" s="1" t="inlineStr"/>
      <c r="L458" s="13" t="n"/>
      <c r="M458" s="1">
        <f>IF(L458="","ไม่พบใน SG",IF(ABS(J458-L458)&lt;0.005,"ตรงกัน","ไม่ตรง"))</f>
        <v/>
      </c>
      <c r="N458" s="14">
        <f>IF(L458="","",ROUND(L458*'สรุป'!$C$6,-1))</f>
        <v/>
      </c>
      <c r="O458" s="15" t="n"/>
      <c r="P458" s="15" t="n"/>
      <c r="Q458" s="10" t="n"/>
      <c r="R458" s="10" t="n"/>
      <c r="S458" s="16" t="inlineStr">
        <is>
          <t>https://mstgolf.co.th/products/gf1230100270</t>
        </is>
      </c>
      <c r="T458" s="1">
        <f>IF(B458="ไม้กอล์ฟ",J458,"")</f>
        <v/>
      </c>
    </row>
    <row r="459">
      <c r="A459" s="1" t="n">
        <v>1</v>
      </c>
      <c r="B459" s="1" t="inlineStr">
        <is>
          <t>ไม้กอล์ฟ</t>
        </is>
      </c>
      <c r="C459" s="1" t="inlineStr">
        <is>
          <t>gf1210101382</t>
        </is>
      </c>
      <c r="D459" s="1" t="inlineStr">
        <is>
          <t>CALLAWAY Quantum Max (2026) Men's Driver</t>
        </is>
      </c>
      <c r="E459" s="1" t="inlineStr">
        <is>
          <t>CALLAWAY</t>
        </is>
      </c>
      <c r="F459" s="1" t="inlineStr">
        <is>
          <t>DRIVER</t>
        </is>
      </c>
      <c r="G459" s="1" t="inlineStr">
        <is>
          <t>GF12101013829S</t>
        </is>
      </c>
      <c r="H459" s="1" t="n">
        <v>4</v>
      </c>
      <c r="I459" s="1" t="inlineStr">
        <is>
          <t>หมด</t>
        </is>
      </c>
      <c r="J459" s="13" t="n">
        <v>776</v>
      </c>
      <c r="K459" s="1" t="inlineStr"/>
      <c r="L459" s="13" t="n">
        <v>776</v>
      </c>
      <c r="M459" s="1">
        <f>IF(L459="","ไม่พบใน SG",IF(ABS(J459-L459)&lt;0.005,"ตรงกัน","ไม่ตรง"))</f>
        <v/>
      </c>
      <c r="N459" s="14">
        <f>IF(L459="","",ROUND(L459*'สรุป'!$C$6,-1))</f>
        <v/>
      </c>
      <c r="O459" s="15" t="n"/>
      <c r="P459" s="15" t="n"/>
      <c r="Q459" s="10" t="n"/>
      <c r="R459" s="10" t="n"/>
      <c r="S459" s="16" t="inlineStr">
        <is>
          <t>https://mstgolf.co.th/products/gf1210101382</t>
        </is>
      </c>
      <c r="T459" s="1">
        <f>IF(B459="ไม้กอล์ฟ",J459,"")</f>
        <v/>
      </c>
    </row>
    <row r="460">
      <c r="A460" s="1" t="n">
        <v>1</v>
      </c>
      <c r="B460" s="1" t="inlineStr">
        <is>
          <t>ไม้กอล์ฟ</t>
        </is>
      </c>
      <c r="C460" s="1" t="inlineStr">
        <is>
          <t>gf1210100947</t>
        </is>
      </c>
      <c r="D460" s="1" t="inlineStr">
        <is>
          <t>COBRA Aerojet 50th Anniversary LE (2023) Men's Driver</t>
        </is>
      </c>
      <c r="E460" s="1" t="inlineStr">
        <is>
          <t>COBRA</t>
        </is>
      </c>
      <c r="F460" s="1" t="inlineStr">
        <is>
          <t>DRIVER</t>
        </is>
      </c>
      <c r="G460" s="1" t="inlineStr">
        <is>
          <t>GF12101009479S</t>
        </is>
      </c>
      <c r="H460" s="1" t="n">
        <v>3</v>
      </c>
      <c r="I460" s="1" t="inlineStr">
        <is>
          <t>หมด</t>
        </is>
      </c>
      <c r="J460" s="13" t="n">
        <v>769</v>
      </c>
      <c r="K460" s="1" t="inlineStr"/>
      <c r="L460" s="13" t="n">
        <v>769</v>
      </c>
      <c r="M460" s="1">
        <f>IF(L460="","ไม่พบใน SG",IF(ABS(J460-L460)&lt;0.005,"ตรงกัน","ไม่ตรง"))</f>
        <v/>
      </c>
      <c r="N460" s="14">
        <f>IF(L460="","",ROUND(L460*'สรุป'!$C$6,-1))</f>
        <v/>
      </c>
      <c r="O460" s="15" t="n"/>
      <c r="P460" s="15" t="n"/>
      <c r="Q460" s="10" t="n"/>
      <c r="R460" s="10" t="n"/>
      <c r="S460" s="16" t="inlineStr">
        <is>
          <t>https://mstgolf.co.th/products/gf1210100947</t>
        </is>
      </c>
      <c r="T460" s="1">
        <f>IF(B460="ไม้กอล์ฟ",J460,"")</f>
        <v/>
      </c>
    </row>
    <row r="461">
      <c r="A461" s="1" t="n">
        <v>1</v>
      </c>
      <c r="B461" s="1" t="inlineStr">
        <is>
          <t>ไม้กอล์ฟ</t>
        </is>
      </c>
      <c r="C461" s="1" t="inlineStr">
        <is>
          <t>gf1210100946</t>
        </is>
      </c>
      <c r="D461" s="1" t="inlineStr">
        <is>
          <t>COBRA Aerojet Palm Tree Crew (2023) Men's Driver</t>
        </is>
      </c>
      <c r="E461" s="1" t="inlineStr">
        <is>
          <t>COBRA</t>
        </is>
      </c>
      <c r="F461" s="1" t="inlineStr">
        <is>
          <t>DRIVER</t>
        </is>
      </c>
      <c r="G461" s="1" t="inlineStr">
        <is>
          <t>GF12101009469S</t>
        </is>
      </c>
      <c r="H461" s="1" t="n">
        <v>3</v>
      </c>
      <c r="I461" s="1" t="inlineStr">
        <is>
          <t>หมด</t>
        </is>
      </c>
      <c r="J461" s="13" t="n">
        <v>769</v>
      </c>
      <c r="K461" s="1" t="inlineStr"/>
      <c r="L461" s="13" t="n">
        <v>769</v>
      </c>
      <c r="M461" s="1">
        <f>IF(L461="","ไม่พบใน SG",IF(ABS(J461-L461)&lt;0.005,"ตรงกัน","ไม่ตรง"))</f>
        <v/>
      </c>
      <c r="N461" s="14">
        <f>IF(L461="","",ROUND(L461*'สรุป'!$C$6,-1))</f>
        <v/>
      </c>
      <c r="O461" s="15" t="n"/>
      <c r="P461" s="15" t="n"/>
      <c r="Q461" s="10" t="n"/>
      <c r="R461" s="10" t="n"/>
      <c r="S461" s="16" t="inlineStr">
        <is>
          <t>https://mstgolf.co.th/products/gf1210100946</t>
        </is>
      </c>
      <c r="T461" s="1">
        <f>IF(B461="ไม้กอล์ฟ",J461,"")</f>
        <v/>
      </c>
    </row>
    <row r="462">
      <c r="A462" s="1" t="n">
        <v>1</v>
      </c>
      <c r="B462" s="1" t="inlineStr">
        <is>
          <t>ไม้กอล์ฟ</t>
        </is>
      </c>
      <c r="C462" s="1" t="inlineStr">
        <is>
          <t>gf1240101103</t>
        </is>
      </c>
      <c r="D462" s="1" t="inlineStr">
        <is>
          <t>LA GOLF Bel-Air Plumbers Neck Pistol (2023) Men's Putter</t>
        </is>
      </c>
      <c r="E462" s="1" t="inlineStr">
        <is>
          <t>LA GOLF</t>
        </is>
      </c>
      <c r="F462" s="1" t="inlineStr">
        <is>
          <t>PUTTER</t>
        </is>
      </c>
      <c r="G462" s="1" t="inlineStr">
        <is>
          <t>GF124010110334</t>
        </is>
      </c>
      <c r="H462" s="1" t="n">
        <v>1</v>
      </c>
      <c r="I462" s="1" t="inlineStr">
        <is>
          <t>หมด</t>
        </is>
      </c>
      <c r="J462" s="13" t="n">
        <v>769</v>
      </c>
      <c r="K462" s="1" t="inlineStr"/>
      <c r="L462" s="13" t="n">
        <v>769</v>
      </c>
      <c r="M462" s="1">
        <f>IF(L462="","ไม่พบใน SG",IF(ABS(J462-L462)&lt;0.005,"ตรงกัน","ไม่ตรง"))</f>
        <v/>
      </c>
      <c r="N462" s="14">
        <f>IF(L462="","",ROUND(L462*'สรุป'!$C$6,-1))</f>
        <v/>
      </c>
      <c r="O462" s="15" t="n"/>
      <c r="P462" s="15" t="n"/>
      <c r="Q462" s="10" t="n"/>
      <c r="R462" s="10" t="n"/>
      <c r="S462" s="16" t="inlineStr">
        <is>
          <t>https://mstgolf.co.th/products/gf1240101103</t>
        </is>
      </c>
      <c r="T462" s="1">
        <f>IF(B462="ไม้กอล์ฟ",J462,"")</f>
        <v/>
      </c>
    </row>
    <row r="463">
      <c r="A463" s="1" t="n">
        <v>1</v>
      </c>
      <c r="B463" s="1" t="inlineStr">
        <is>
          <t>ไม้กอล์ฟ</t>
        </is>
      </c>
      <c r="C463" s="1" t="inlineStr">
        <is>
          <t>gf1210100978</t>
        </is>
      </c>
      <c r="D463" s="1" t="inlineStr">
        <is>
          <t>MIZUNO ST-G (2023) Men's Driver</t>
        </is>
      </c>
      <c r="E463" s="1" t="inlineStr">
        <is>
          <t>MIZUNO</t>
        </is>
      </c>
      <c r="F463" s="1" t="inlineStr">
        <is>
          <t>DRIVER</t>
        </is>
      </c>
      <c r="G463" s="1" t="inlineStr">
        <is>
          <t>GF12101009789.5S</t>
        </is>
      </c>
      <c r="H463" s="1" t="n">
        <v>1</v>
      </c>
      <c r="I463" s="1" t="inlineStr">
        <is>
          <t>หมด</t>
        </is>
      </c>
      <c r="J463" s="13" t="n">
        <v>750</v>
      </c>
      <c r="K463" s="1" t="inlineStr"/>
      <c r="L463" s="13" t="n">
        <v>599</v>
      </c>
      <c r="M463" s="1">
        <f>IF(L463="","ไม่พบใน SG",IF(ABS(J463-L463)&lt;0.005,"ตรงกัน","ไม่ตรง"))</f>
        <v/>
      </c>
      <c r="N463" s="14">
        <f>IF(L463="","",ROUND(L463*'สรุป'!$C$6,-1))</f>
        <v/>
      </c>
      <c r="O463" s="15" t="n"/>
      <c r="P463" s="15" t="n"/>
      <c r="Q463" s="10" t="n"/>
      <c r="R463" s="10" t="n"/>
      <c r="S463" s="16" t="inlineStr">
        <is>
          <t>https://mstgolf.co.th/products/gf1210100978</t>
        </is>
      </c>
      <c r="T463" s="1">
        <f>IF(B463="ไม้กอล์ฟ",J463,"")</f>
        <v/>
      </c>
    </row>
    <row r="464">
      <c r="A464" s="1" t="n">
        <v>1</v>
      </c>
      <c r="B464" s="1" t="inlineStr">
        <is>
          <t>ไม้กอล์ฟ</t>
        </is>
      </c>
      <c r="C464" s="1" t="inlineStr">
        <is>
          <t>gf1280101335</t>
        </is>
      </c>
      <c r="D464" s="1" t="inlineStr">
        <is>
          <t>CALLAWAY Elyte (2025) Men's Irons</t>
        </is>
      </c>
      <c r="E464" s="1" t="inlineStr">
        <is>
          <t>CALLAWAY</t>
        </is>
      </c>
      <c r="F464" s="1" t="inlineStr">
        <is>
          <t>SET OF IRONS</t>
        </is>
      </c>
      <c r="G464" s="1" t="inlineStr">
        <is>
          <t>GF1280101336R</t>
        </is>
      </c>
      <c r="H464" s="1" t="n">
        <v>3</v>
      </c>
      <c r="I464" s="1" t="inlineStr">
        <is>
          <t>หมด</t>
        </is>
      </c>
      <c r="J464" s="13" t="n">
        <v>749</v>
      </c>
      <c r="K464" s="1" t="inlineStr"/>
      <c r="L464" s="13" t="n"/>
      <c r="M464" s="1">
        <f>IF(L464="","ไม่พบใน SG",IF(ABS(J464-L464)&lt;0.005,"ตรงกัน","ไม่ตรง"))</f>
        <v/>
      </c>
      <c r="N464" s="14">
        <f>IF(L464="","",ROUND(L464*'สรุป'!$C$6,-1))</f>
        <v/>
      </c>
      <c r="O464" s="15" t="n"/>
      <c r="P464" s="15" t="n"/>
      <c r="Q464" s="10" t="n"/>
      <c r="R464" s="10" t="n"/>
      <c r="S464" s="16" t="inlineStr">
        <is>
          <t>https://mstgolf.co.th/products/gf1280101335</t>
        </is>
      </c>
      <c r="T464" s="1">
        <f>IF(B464="ไม้กอล์ฟ",J464,"")</f>
        <v/>
      </c>
    </row>
    <row r="465">
      <c r="A465" s="1" t="n">
        <v>1</v>
      </c>
      <c r="B465" s="1" t="inlineStr">
        <is>
          <t>ไม้กอล์ฟ</t>
        </is>
      </c>
      <c r="C465" s="1" t="inlineStr">
        <is>
          <t>gf1280101337</t>
        </is>
      </c>
      <c r="D465" s="1" t="inlineStr">
        <is>
          <t>CALLAWAY Elyte X (2025) Men's Irons</t>
        </is>
      </c>
      <c r="E465" s="1" t="inlineStr">
        <is>
          <t>CALLAWAY</t>
        </is>
      </c>
      <c r="F465" s="1" t="inlineStr">
        <is>
          <t>SET OF IRONS</t>
        </is>
      </c>
      <c r="G465" s="1" t="inlineStr">
        <is>
          <t>GF1280101337R</t>
        </is>
      </c>
      <c r="H465" s="1" t="n">
        <v>1</v>
      </c>
      <c r="I465" s="1" t="inlineStr">
        <is>
          <t>หมด</t>
        </is>
      </c>
      <c r="J465" s="13" t="n">
        <v>749</v>
      </c>
      <c r="K465" s="1" t="inlineStr"/>
      <c r="L465" s="13" t="n"/>
      <c r="M465" s="1">
        <f>IF(L465="","ไม่พบใน SG",IF(ABS(J465-L465)&lt;0.005,"ตรงกัน","ไม่ตรง"))</f>
        <v/>
      </c>
      <c r="N465" s="14">
        <f>IF(L465="","",ROUND(L465*'สรุป'!$C$6,-1))</f>
        <v/>
      </c>
      <c r="O465" s="15" t="n"/>
      <c r="P465" s="15" t="n"/>
      <c r="Q465" s="10" t="n"/>
      <c r="R465" s="10" t="n"/>
      <c r="S465" s="16" t="inlineStr">
        <is>
          <t>https://mstgolf.co.th/products/gf1280101337</t>
        </is>
      </c>
      <c r="T465" s="1">
        <f>IF(B465="ไม้กอล์ฟ",J465,"")</f>
        <v/>
      </c>
    </row>
    <row r="466">
      <c r="A466" s="1" t="n">
        <v>1</v>
      </c>
      <c r="B466" s="1" t="inlineStr">
        <is>
          <t>ไม้กอล์ฟ</t>
        </is>
      </c>
      <c r="C466" s="1" t="inlineStr">
        <is>
          <t>gf1210101296</t>
        </is>
      </c>
      <c r="D466" s="1" t="inlineStr">
        <is>
          <t>YAMAHA RMX DD-1 (2026) Men's Driver</t>
        </is>
      </c>
      <c r="E466" s="1" t="inlineStr">
        <is>
          <t>YAMAHA</t>
        </is>
      </c>
      <c r="F466" s="1" t="inlineStr">
        <is>
          <t>DRIVER</t>
        </is>
      </c>
      <c r="G466" s="1" t="inlineStr">
        <is>
          <t>GF12101012969S</t>
        </is>
      </c>
      <c r="H466" s="1" t="n">
        <v>1</v>
      </c>
      <c r="I466" s="1" t="inlineStr">
        <is>
          <t>หมด</t>
        </is>
      </c>
      <c r="J466" s="13" t="n">
        <v>749</v>
      </c>
      <c r="K466" s="1" t="inlineStr"/>
      <c r="L466" s="13" t="n">
        <v>419</v>
      </c>
      <c r="M466" s="1">
        <f>IF(L466="","ไม่พบใน SG",IF(ABS(J466-L466)&lt;0.005,"ตรงกัน","ไม่ตรง"))</f>
        <v/>
      </c>
      <c r="N466" s="14">
        <f>IF(L466="","",ROUND(L466*'สรุป'!$C$6,-1))</f>
        <v/>
      </c>
      <c r="O466" s="15" t="n"/>
      <c r="P466" s="15" t="n"/>
      <c r="Q466" s="10" t="n"/>
      <c r="R466" s="10" t="n"/>
      <c r="S466" s="16" t="inlineStr">
        <is>
          <t>https://mstgolf.co.th/products/gf1210101296</t>
        </is>
      </c>
      <c r="T466" s="1">
        <f>IF(B466="ไม้กอล์ฟ",J466,"")</f>
        <v/>
      </c>
    </row>
    <row r="467">
      <c r="A467" s="1" t="n">
        <v>1</v>
      </c>
      <c r="B467" s="1" t="inlineStr">
        <is>
          <t>ไม้กอล์ฟ</t>
        </is>
      </c>
      <c r="C467" s="1" t="inlineStr">
        <is>
          <t>gf1210100954</t>
        </is>
      </c>
      <c r="D467" s="1" t="inlineStr">
        <is>
          <t>TAYLORMADE Stealth 2 Ryder Europe Men's Driver</t>
        </is>
      </c>
      <c r="E467" s="1" t="inlineStr">
        <is>
          <t>TAYLORMADE</t>
        </is>
      </c>
      <c r="F467" s="1" t="inlineStr">
        <is>
          <t>DRIVER</t>
        </is>
      </c>
      <c r="G467" s="1" t="inlineStr">
        <is>
          <t>GF12101009549S</t>
        </is>
      </c>
      <c r="H467" s="1" t="n">
        <v>3</v>
      </c>
      <c r="I467" s="1" t="inlineStr">
        <is>
          <t>หมด</t>
        </is>
      </c>
      <c r="J467" s="13" t="n">
        <v>745</v>
      </c>
      <c r="K467" s="1" t="inlineStr"/>
      <c r="L467" s="13" t="n"/>
      <c r="M467" s="1">
        <f>IF(L467="","ไม่พบใน SG",IF(ABS(J467-L467)&lt;0.005,"ตรงกัน","ไม่ตรง"))</f>
        <v/>
      </c>
      <c r="N467" s="14">
        <f>IF(L467="","",ROUND(L467*'สรุป'!$C$6,-1))</f>
        <v/>
      </c>
      <c r="O467" s="15" t="n"/>
      <c r="P467" s="15" t="n"/>
      <c r="Q467" s="10" t="n"/>
      <c r="R467" s="10" t="n"/>
      <c r="S467" s="16" t="inlineStr">
        <is>
          <t>https://mstgolf.co.th/products/gf1210100954</t>
        </is>
      </c>
      <c r="T467" s="1">
        <f>IF(B467="ไม้กอล์ฟ",J467,"")</f>
        <v/>
      </c>
    </row>
    <row r="468">
      <c r="A468" s="1" t="n">
        <v>1</v>
      </c>
      <c r="B468" s="1" t="inlineStr">
        <is>
          <t>ไม้กอล์ฟ</t>
        </is>
      </c>
      <c r="C468" s="1" t="inlineStr">
        <is>
          <t>gf1210100953</t>
        </is>
      </c>
      <c r="D468" s="1" t="inlineStr">
        <is>
          <t>TAYLORMADE Stealth 2 Ryder US (2023) Men's Driver</t>
        </is>
      </c>
      <c r="E468" s="1" t="inlineStr">
        <is>
          <t>TAYLORMADE</t>
        </is>
      </c>
      <c r="F468" s="1" t="inlineStr">
        <is>
          <t>DRIVER</t>
        </is>
      </c>
      <c r="G468" s="1" t="inlineStr">
        <is>
          <t>GF12101009539S</t>
        </is>
      </c>
      <c r="H468" s="1" t="n">
        <v>3</v>
      </c>
      <c r="I468" s="1" t="inlineStr">
        <is>
          <t>หมด</t>
        </is>
      </c>
      <c r="J468" s="13" t="n">
        <v>745</v>
      </c>
      <c r="K468" s="1" t="inlineStr"/>
      <c r="L468" s="13" t="n">
        <v>745</v>
      </c>
      <c r="M468" s="1">
        <f>IF(L468="","ไม่พบใน SG",IF(ABS(J468-L468)&lt;0.005,"ตรงกัน","ไม่ตรง"))</f>
        <v/>
      </c>
      <c r="N468" s="14">
        <f>IF(L468="","",ROUND(L468*'สรุป'!$C$6,-1))</f>
        <v/>
      </c>
      <c r="O468" s="15" t="n"/>
      <c r="P468" s="15" t="n"/>
      <c r="Q468" s="10" t="n"/>
      <c r="R468" s="10" t="n"/>
      <c r="S468" s="16" t="inlineStr">
        <is>
          <t>https://mstgolf.co.th/products/gf1210100953</t>
        </is>
      </c>
      <c r="T468" s="1">
        <f>IF(B468="ไม้กอล์ฟ",J468,"")</f>
        <v/>
      </c>
    </row>
    <row r="469">
      <c r="A469" s="1" t="n">
        <v>1</v>
      </c>
      <c r="B469" s="1" t="inlineStr">
        <is>
          <t>ไม้กอล์ฟ</t>
        </is>
      </c>
      <c r="C469" s="1" t="inlineStr">
        <is>
          <t>gf1240101406</t>
        </is>
      </c>
      <c r="D469" s="1" t="inlineStr">
        <is>
          <t>L.A.B. GOLF MEZZ.1 MAX Stock Matte Black Press 1.5 Degree (2023) Men's Putter</t>
        </is>
      </c>
      <c r="E469" s="1" t="inlineStr">
        <is>
          <t>L.A.B. GOLF</t>
        </is>
      </c>
      <c r="F469" s="1" t="inlineStr">
        <is>
          <t>PUTTER</t>
        </is>
      </c>
      <c r="G469" s="1" t="inlineStr">
        <is>
          <t>GF124010140634</t>
        </is>
      </c>
      <c r="H469" s="1" t="n">
        <v>1</v>
      </c>
      <c r="I469" s="1" t="inlineStr">
        <is>
          <t>หมด</t>
        </is>
      </c>
      <c r="J469" s="13" t="n">
        <v>729</v>
      </c>
      <c r="K469" s="1" t="inlineStr"/>
      <c r="L469" s="13" t="n"/>
      <c r="M469" s="1">
        <f>IF(L469="","ไม่พบใน SG",IF(ABS(J469-L469)&lt;0.005,"ตรงกัน","ไม่ตรง"))</f>
        <v/>
      </c>
      <c r="N469" s="14">
        <f>IF(L469="","",ROUND(L469*'สรุป'!$C$6,-1))</f>
        <v/>
      </c>
      <c r="O469" s="15" t="n"/>
      <c r="P469" s="15" t="n"/>
      <c r="Q469" s="10" t="n"/>
      <c r="R469" s="10" t="n"/>
      <c r="S469" s="16" t="inlineStr">
        <is>
          <t>https://mstgolf.co.th/products/gf1240101406</t>
        </is>
      </c>
      <c r="T469" s="1">
        <f>IF(B469="ไม้กอล์ฟ",J469,"")</f>
        <v/>
      </c>
    </row>
    <row r="470">
      <c r="A470" s="1" t="n">
        <v>1</v>
      </c>
      <c r="B470" s="1" t="inlineStr">
        <is>
          <t>ไม้กอล์ฟ</t>
        </is>
      </c>
      <c r="C470" s="1" t="inlineStr">
        <is>
          <t>gf1240101453</t>
        </is>
      </c>
      <c r="D470" s="1" t="inlineStr">
        <is>
          <t>TAYLORMADE Spider 5K-ZT Counterbalance (2025) Men's Putter</t>
        </is>
      </c>
      <c r="E470" s="1" t="inlineStr">
        <is>
          <t>TAYLORMADE</t>
        </is>
      </c>
      <c r="F470" s="1" t="inlineStr">
        <is>
          <t>PUTTER</t>
        </is>
      </c>
      <c r="G470" s="1" t="inlineStr">
        <is>
          <t>GF124010145338</t>
        </is>
      </c>
      <c r="H470" s="1" t="n">
        <v>2</v>
      </c>
      <c r="I470" s="1" t="inlineStr">
        <is>
          <t>หมด</t>
        </is>
      </c>
      <c r="J470" s="13" t="n">
        <v>719</v>
      </c>
      <c r="K470" s="1" t="inlineStr"/>
      <c r="L470" s="13" t="n">
        <v>719</v>
      </c>
      <c r="M470" s="1">
        <f>IF(L470="","ไม่พบใน SG",IF(ABS(J470-L470)&lt;0.005,"ตรงกัน","ไม่ตรง"))</f>
        <v/>
      </c>
      <c r="N470" s="14">
        <f>IF(L470="","",ROUND(L470*'สรุป'!$C$6,-1))</f>
        <v/>
      </c>
      <c r="O470" s="15" t="n"/>
      <c r="P470" s="15" t="n"/>
      <c r="Q470" s="10" t="n"/>
      <c r="R470" s="10" t="n"/>
      <c r="S470" s="16" t="inlineStr">
        <is>
          <t>https://mstgolf.co.th/products/gf1240101453</t>
        </is>
      </c>
      <c r="T470" s="1">
        <f>IF(B470="ไม้กอล์ฟ",J470,"")</f>
        <v/>
      </c>
    </row>
    <row r="471">
      <c r="A471" s="1" t="n">
        <v>1</v>
      </c>
      <c r="B471" s="1" t="inlineStr">
        <is>
          <t>ไม้กอล์ฟ</t>
        </is>
      </c>
      <c r="C471" s="1" t="inlineStr">
        <is>
          <t>gf1240101436</t>
        </is>
      </c>
      <c r="D471" s="1" t="inlineStr">
        <is>
          <t>TITLEIST Phantom 5.2 (2025) Men's Putter</t>
        </is>
      </c>
      <c r="E471" s="1" t="inlineStr">
        <is>
          <t>TITLEIST</t>
        </is>
      </c>
      <c r="F471" s="1" t="inlineStr">
        <is>
          <t>PUTTER</t>
        </is>
      </c>
      <c r="G471" s="1" t="inlineStr">
        <is>
          <t>GF124010143634</t>
        </is>
      </c>
      <c r="H471" s="1" t="n">
        <v>1</v>
      </c>
      <c r="I471" s="1" t="inlineStr">
        <is>
          <t>หมด</t>
        </is>
      </c>
      <c r="J471" s="13" t="n">
        <v>706</v>
      </c>
      <c r="K471" s="1" t="inlineStr"/>
      <c r="L471" s="13" t="n">
        <v>706</v>
      </c>
      <c r="M471" s="1">
        <f>IF(L471="","ไม่พบใน SG",IF(ABS(J471-L471)&lt;0.005,"ตรงกัน","ไม่ตรง"))</f>
        <v/>
      </c>
      <c r="N471" s="14">
        <f>IF(L471="","",ROUND(L471*'สรุป'!$C$6,-1))</f>
        <v/>
      </c>
      <c r="O471" s="15" t="n"/>
      <c r="P471" s="15" t="n"/>
      <c r="Q471" s="10" t="n"/>
      <c r="R471" s="10" t="n"/>
      <c r="S471" s="16" t="inlineStr">
        <is>
          <t>https://mstgolf.co.th/products/gf1240101436</t>
        </is>
      </c>
      <c r="T471" s="1">
        <f>IF(B471="ไม้กอล์ฟ",J471,"")</f>
        <v/>
      </c>
    </row>
    <row r="472">
      <c r="A472" s="1" t="n">
        <v>1</v>
      </c>
      <c r="B472" s="1" t="inlineStr">
        <is>
          <t>ไม้กอล์ฟ</t>
        </is>
      </c>
      <c r="C472" s="1" t="inlineStr">
        <is>
          <t>gf1240101419</t>
        </is>
      </c>
      <c r="D472" s="1" t="inlineStr">
        <is>
          <t>BETTINARDI Antidote SB1 Standard Grip (2025) Men's Putter</t>
        </is>
      </c>
      <c r="E472" s="1" t="inlineStr">
        <is>
          <t>BETTINARDI</t>
        </is>
      </c>
      <c r="F472" s="1" t="inlineStr">
        <is>
          <t>PUTTER</t>
        </is>
      </c>
      <c r="G472" s="1" t="inlineStr">
        <is>
          <t>GF124010141934</t>
        </is>
      </c>
      <c r="H472" s="1" t="n">
        <v>1</v>
      </c>
      <c r="I472" s="1" t="inlineStr">
        <is>
          <t>หมด</t>
        </is>
      </c>
      <c r="J472" s="13" t="n">
        <v>699</v>
      </c>
      <c r="K472" s="1" t="inlineStr"/>
      <c r="L472" s="13" t="n">
        <v>699</v>
      </c>
      <c r="M472" s="1">
        <f>IF(L472="","ไม่พบใน SG",IF(ABS(J472-L472)&lt;0.005,"ตรงกัน","ไม่ตรง"))</f>
        <v/>
      </c>
      <c r="N472" s="14">
        <f>IF(L472="","",ROUND(L472*'สรุป'!$C$6,-1))</f>
        <v/>
      </c>
      <c r="O472" s="15" t="n"/>
      <c r="P472" s="15" t="n"/>
      <c r="Q472" s="10" t="n"/>
      <c r="R472" s="10" t="n"/>
      <c r="S472" s="16" t="inlineStr">
        <is>
          <t>https://mstgolf.co.th/products/gf1240101419</t>
        </is>
      </c>
      <c r="T472" s="1">
        <f>IF(B472="ไม้กอล์ฟ",J472,"")</f>
        <v/>
      </c>
    </row>
    <row r="473">
      <c r="A473" s="1" t="n">
        <v>1</v>
      </c>
      <c r="B473" s="1" t="inlineStr">
        <is>
          <t>ไม้กอล์ฟ</t>
        </is>
      </c>
      <c r="C473" s="1" t="inlineStr">
        <is>
          <t>gf1240101420</t>
        </is>
      </c>
      <c r="D473" s="1" t="inlineStr">
        <is>
          <t>BETTINARDI Antidote SB2 (2025) Men's Putter</t>
        </is>
      </c>
      <c r="E473" s="1" t="inlineStr">
        <is>
          <t>BETTINARDI</t>
        </is>
      </c>
      <c r="F473" s="1" t="inlineStr">
        <is>
          <t>PUTTER</t>
        </is>
      </c>
      <c r="G473" s="1" t="inlineStr">
        <is>
          <t>GF124010142034</t>
        </is>
      </c>
      <c r="H473" s="1" t="n">
        <v>1</v>
      </c>
      <c r="I473" s="1" t="inlineStr">
        <is>
          <t>หมด</t>
        </is>
      </c>
      <c r="J473" s="13" t="n">
        <v>699</v>
      </c>
      <c r="K473" s="1" t="inlineStr"/>
      <c r="L473" s="13" t="n">
        <v>699</v>
      </c>
      <c r="M473" s="1">
        <f>IF(L473="","ไม่พบใน SG",IF(ABS(J473-L473)&lt;0.005,"ตรงกัน","ไม่ตรง"))</f>
        <v/>
      </c>
      <c r="N473" s="14">
        <f>IF(L473="","",ROUND(L473*'สรุป'!$C$6,-1))</f>
        <v/>
      </c>
      <c r="O473" s="15" t="n"/>
      <c r="P473" s="15" t="n"/>
      <c r="Q473" s="10" t="n"/>
      <c r="R473" s="10" t="n"/>
      <c r="S473" s="16" t="inlineStr">
        <is>
          <t>https://mstgolf.co.th/products/gf1240101420</t>
        </is>
      </c>
      <c r="T473" s="1">
        <f>IF(B473="ไม้กอล์ฟ",J473,"")</f>
        <v/>
      </c>
    </row>
    <row r="474">
      <c r="A474" s="1" t="n">
        <v>1</v>
      </c>
      <c r="B474" s="1" t="inlineStr">
        <is>
          <t>ไม้กอล์ฟ</t>
        </is>
      </c>
      <c r="C474" s="1" t="inlineStr">
        <is>
          <t>gf1240101210</t>
        </is>
      </c>
      <c r="D474" s="1" t="inlineStr">
        <is>
          <t>BETTINARDI BB28 Centre Standard Grip (2024) Men's Putter</t>
        </is>
      </c>
      <c r="E474" s="1" t="inlineStr">
        <is>
          <t>BETTINARDI</t>
        </is>
      </c>
      <c r="F474" s="1" t="inlineStr">
        <is>
          <t>PUTTER</t>
        </is>
      </c>
      <c r="G474" s="1" t="inlineStr">
        <is>
          <t>GF124010121034</t>
        </is>
      </c>
      <c r="H474" s="1" t="n">
        <v>1</v>
      </c>
      <c r="I474" s="1" t="inlineStr">
        <is>
          <t>หมด</t>
        </is>
      </c>
      <c r="J474" s="13" t="n">
        <v>699</v>
      </c>
      <c r="K474" s="1" t="inlineStr"/>
      <c r="L474" s="13" t="n">
        <v>489</v>
      </c>
      <c r="M474" s="1">
        <f>IF(L474="","ไม่พบใน SG",IF(ABS(J474-L474)&lt;0.005,"ตรงกัน","ไม่ตรง"))</f>
        <v/>
      </c>
      <c r="N474" s="14">
        <f>IF(L474="","",ROUND(L474*'สรุป'!$C$6,-1))</f>
        <v/>
      </c>
      <c r="O474" s="15" t="n"/>
      <c r="P474" s="15" t="n"/>
      <c r="Q474" s="10" t="n"/>
      <c r="R474" s="10" t="n"/>
      <c r="S474" s="16" t="inlineStr">
        <is>
          <t>https://mstgolf.co.th/products/gf1240101210</t>
        </is>
      </c>
      <c r="T474" s="1">
        <f>IF(B474="ไม้กอล์ฟ",J474,"")</f>
        <v/>
      </c>
    </row>
    <row r="475">
      <c r="A475" s="1" t="n">
        <v>1</v>
      </c>
      <c r="B475" s="1" t="inlineStr">
        <is>
          <t>ไม้กอล์ฟ</t>
        </is>
      </c>
      <c r="C475" s="1" t="inlineStr">
        <is>
          <t>gf1240101380</t>
        </is>
      </c>
      <c r="D475" s="1" t="inlineStr">
        <is>
          <t>BETTINARDI Queen B 16 Plumber's Standard Grip (2025) Men's Putter</t>
        </is>
      </c>
      <c r="E475" s="1" t="inlineStr">
        <is>
          <t>BETTINARDI</t>
        </is>
      </c>
      <c r="F475" s="1" t="inlineStr">
        <is>
          <t>PUTTER</t>
        </is>
      </c>
      <c r="G475" s="1" t="inlineStr">
        <is>
          <t>GF124010138034</t>
        </is>
      </c>
      <c r="H475" s="1" t="n">
        <v>1</v>
      </c>
      <c r="I475" s="1" t="inlineStr">
        <is>
          <t>หมด</t>
        </is>
      </c>
      <c r="J475" s="13" t="n">
        <v>699</v>
      </c>
      <c r="K475" s="1" t="inlineStr"/>
      <c r="L475" s="13" t="n">
        <v>699</v>
      </c>
      <c r="M475" s="1">
        <f>IF(L475="","ไม่พบใน SG",IF(ABS(J475-L475)&lt;0.005,"ตรงกัน","ไม่ตรง"))</f>
        <v/>
      </c>
      <c r="N475" s="14">
        <f>IF(L475="","",ROUND(L475*'สรุป'!$C$6,-1))</f>
        <v/>
      </c>
      <c r="O475" s="15" t="n"/>
      <c r="P475" s="15" t="n"/>
      <c r="Q475" s="10" t="n"/>
      <c r="R475" s="10" t="n"/>
      <c r="S475" s="16" t="inlineStr">
        <is>
          <t>https://mstgolf.co.th/products/gf1240101380</t>
        </is>
      </c>
      <c r="T475" s="1">
        <f>IF(B475="ไม้กอล์ฟ",J475,"")</f>
        <v/>
      </c>
    </row>
    <row r="476">
      <c r="A476" s="1" t="n">
        <v>1</v>
      </c>
      <c r="B476" s="1" t="inlineStr">
        <is>
          <t>ไม้กอล์ฟ</t>
        </is>
      </c>
      <c r="C476" s="1" t="inlineStr">
        <is>
          <t>gf1240101384</t>
        </is>
      </c>
      <c r="D476" s="1" t="inlineStr">
        <is>
          <t>BETTINARDI Queen B 7 Crescent Standard Grip (2025) Men's Putter</t>
        </is>
      </c>
      <c r="E476" s="1" t="inlineStr">
        <is>
          <t>BETTINARDI</t>
        </is>
      </c>
      <c r="F476" s="1" t="inlineStr">
        <is>
          <t>PUTTER</t>
        </is>
      </c>
      <c r="G476" s="1" t="inlineStr">
        <is>
          <t>GF124010138434</t>
        </is>
      </c>
      <c r="H476" s="1" t="n">
        <v>1</v>
      </c>
      <c r="I476" s="1" t="inlineStr">
        <is>
          <t>หมด</t>
        </is>
      </c>
      <c r="J476" s="13" t="n">
        <v>699</v>
      </c>
      <c r="K476" s="1" t="inlineStr"/>
      <c r="L476" s="13" t="n">
        <v>699</v>
      </c>
      <c r="M476" s="1">
        <f>IF(L476="","ไม่พบใน SG",IF(ABS(J476-L476)&lt;0.005,"ตรงกัน","ไม่ตรง"))</f>
        <v/>
      </c>
      <c r="N476" s="14">
        <f>IF(L476="","",ROUND(L476*'สรุป'!$C$6,-1))</f>
        <v/>
      </c>
      <c r="O476" s="15" t="n"/>
      <c r="P476" s="15" t="n"/>
      <c r="Q476" s="10" t="n"/>
      <c r="R476" s="10" t="n"/>
      <c r="S476" s="16" t="inlineStr">
        <is>
          <t>https://mstgolf.co.th/products/gf1240101384</t>
        </is>
      </c>
      <c r="T476" s="1">
        <f>IF(B476="ไม้กอล์ฟ",J476,"")</f>
        <v/>
      </c>
    </row>
    <row r="477">
      <c r="A477" s="1" t="n">
        <v>1</v>
      </c>
      <c r="B477" s="1" t="inlineStr">
        <is>
          <t>ไม้กอล์ฟ</t>
        </is>
      </c>
      <c r="C477" s="1" t="inlineStr">
        <is>
          <t>gf1240101386</t>
        </is>
      </c>
      <c r="D477" s="1" t="inlineStr">
        <is>
          <t>BETTINARDI Queen B 8 Center Standard Grip (2025) Men's Putter</t>
        </is>
      </c>
      <c r="E477" s="1" t="inlineStr">
        <is>
          <t>BETTINARDI</t>
        </is>
      </c>
      <c r="F477" s="1" t="inlineStr">
        <is>
          <t>PUTTER</t>
        </is>
      </c>
      <c r="G477" s="1" t="inlineStr">
        <is>
          <t>GF124010138634</t>
        </is>
      </c>
      <c r="H477" s="1" t="n">
        <v>1</v>
      </c>
      <c r="I477" s="1" t="inlineStr">
        <is>
          <t>หมด</t>
        </is>
      </c>
      <c r="J477" s="13" t="n">
        <v>699</v>
      </c>
      <c r="K477" s="1" t="inlineStr"/>
      <c r="L477" s="13" t="n">
        <v>699</v>
      </c>
      <c r="M477" s="1">
        <f>IF(L477="","ไม่พบใน SG",IF(ABS(J477-L477)&lt;0.005,"ตรงกัน","ไม่ตรง"))</f>
        <v/>
      </c>
      <c r="N477" s="14">
        <f>IF(L477="","",ROUND(L477*'สรุป'!$C$6,-1))</f>
        <v/>
      </c>
      <c r="O477" s="15" t="n"/>
      <c r="P477" s="15" t="n"/>
      <c r="Q477" s="10" t="n"/>
      <c r="R477" s="10" t="n"/>
      <c r="S477" s="16" t="inlineStr">
        <is>
          <t>https://mstgolf.co.th/products/gf1240101386</t>
        </is>
      </c>
      <c r="T477" s="1">
        <f>IF(B477="ไม้กอล์ฟ",J477,"")</f>
        <v/>
      </c>
    </row>
    <row r="478">
      <c r="A478" s="1" t="n">
        <v>1</v>
      </c>
      <c r="B478" s="1" t="inlineStr">
        <is>
          <t>ไม้กอล์ฟ</t>
        </is>
      </c>
      <c r="C478" s="1" t="inlineStr">
        <is>
          <t>gf1240101385</t>
        </is>
      </c>
      <c r="D478" s="1" t="inlineStr">
        <is>
          <t>BETTINARDI Queen B 8 Mini Plumber's Standard Grip (2025) Putter</t>
        </is>
      </c>
      <c r="E478" s="1" t="inlineStr">
        <is>
          <t>BETTINARDI</t>
        </is>
      </c>
      <c r="F478" s="1" t="inlineStr">
        <is>
          <t>PUTTER</t>
        </is>
      </c>
      <c r="G478" s="1" t="inlineStr">
        <is>
          <t>GF124010138534</t>
        </is>
      </c>
      <c r="H478" s="1" t="n">
        <v>1</v>
      </c>
      <c r="I478" s="1" t="inlineStr">
        <is>
          <t>หมด</t>
        </is>
      </c>
      <c r="J478" s="13" t="n">
        <v>699</v>
      </c>
      <c r="K478" s="1" t="inlineStr"/>
      <c r="L478" s="13" t="n">
        <v>699</v>
      </c>
      <c r="M478" s="1">
        <f>IF(L478="","ไม่พบใน SG",IF(ABS(J478-L478)&lt;0.005,"ตรงกัน","ไม่ตรง"))</f>
        <v/>
      </c>
      <c r="N478" s="14">
        <f>IF(L478="","",ROUND(L478*'สรุป'!$C$6,-1))</f>
        <v/>
      </c>
      <c r="O478" s="15" t="n"/>
      <c r="P478" s="15" t="n"/>
      <c r="Q478" s="10" t="n"/>
      <c r="R478" s="10" t="n"/>
      <c r="S478" s="16" t="inlineStr">
        <is>
          <t>https://mstgolf.co.th/products/gf1240101385</t>
        </is>
      </c>
      <c r="T478" s="1">
        <f>IF(B478="ไม้กอล์ฟ",J478,"")</f>
        <v/>
      </c>
    </row>
    <row r="479">
      <c r="A479" s="1" t="n">
        <v>1</v>
      </c>
      <c r="B479" s="1" t="inlineStr">
        <is>
          <t>ไม้กอล์ฟ</t>
        </is>
      </c>
      <c r="C479" s="1" t="inlineStr">
        <is>
          <t>gf1240101383</t>
        </is>
      </c>
      <c r="D479" s="1" t="inlineStr">
        <is>
          <t>BETTINARDI Queen B Slotback Slant (2025) Men's Putter</t>
        </is>
      </c>
      <c r="E479" s="1" t="inlineStr">
        <is>
          <t>BETTINARDI</t>
        </is>
      </c>
      <c r="F479" s="1" t="inlineStr">
        <is>
          <t>PUTTER</t>
        </is>
      </c>
      <c r="G479" s="1" t="inlineStr">
        <is>
          <t>GF124010138334</t>
        </is>
      </c>
      <c r="H479" s="1" t="n">
        <v>1</v>
      </c>
      <c r="I479" s="1" t="inlineStr">
        <is>
          <t>หมด</t>
        </is>
      </c>
      <c r="J479" s="13" t="n">
        <v>699</v>
      </c>
      <c r="K479" s="1" t="inlineStr"/>
      <c r="L479" s="13" t="n">
        <v>699</v>
      </c>
      <c r="M479" s="1">
        <f>IF(L479="","ไม่พบใน SG",IF(ABS(J479-L479)&lt;0.005,"ตรงกัน","ไม่ตรง"))</f>
        <v/>
      </c>
      <c r="N479" s="14">
        <f>IF(L479="","",ROUND(L479*'สรุป'!$C$6,-1))</f>
        <v/>
      </c>
      <c r="O479" s="15" t="n"/>
      <c r="P479" s="15" t="n"/>
      <c r="Q479" s="10" t="n"/>
      <c r="R479" s="10" t="n"/>
      <c r="S479" s="16" t="inlineStr">
        <is>
          <t>https://mstgolf.co.th/products/gf1240101383</t>
        </is>
      </c>
      <c r="T479" s="1">
        <f>IF(B479="ไม้กอล์ฟ",J479,"")</f>
        <v/>
      </c>
    </row>
    <row r="480">
      <c r="A480" s="1" t="n">
        <v>1</v>
      </c>
      <c r="B480" s="1" t="inlineStr">
        <is>
          <t>ไม้กอล์ฟ</t>
        </is>
      </c>
      <c r="C480" s="1" t="inlineStr">
        <is>
          <t>gf1240101373</t>
        </is>
      </c>
      <c r="D480" s="1" t="inlineStr">
        <is>
          <t>L.A.B. GOLF DF3 Stock Matte Black Press Pistol 2 Degree (2024) Putter</t>
        </is>
      </c>
      <c r="E480" s="1" t="inlineStr">
        <is>
          <t>L.A.B. GOLF</t>
        </is>
      </c>
      <c r="F480" s="1" t="inlineStr">
        <is>
          <t>PUTTER</t>
        </is>
      </c>
      <c r="G480" s="1" t="inlineStr">
        <is>
          <t>GF124010137334</t>
        </is>
      </c>
      <c r="H480" s="1" t="n">
        <v>1</v>
      </c>
      <c r="I480" s="1" t="inlineStr">
        <is>
          <t>หมด</t>
        </is>
      </c>
      <c r="J480" s="13" t="n">
        <v>699</v>
      </c>
      <c r="K480" s="1" t="inlineStr"/>
      <c r="L480" s="13" t="n"/>
      <c r="M480" s="1">
        <f>IF(L480="","ไม่พบใน SG",IF(ABS(J480-L480)&lt;0.005,"ตรงกัน","ไม่ตรง"))</f>
        <v/>
      </c>
      <c r="N480" s="14">
        <f>IF(L480="","",ROUND(L480*'สรุป'!$C$6,-1))</f>
        <v/>
      </c>
      <c r="O480" s="15" t="n"/>
      <c r="P480" s="15" t="n"/>
      <c r="Q480" s="10" t="n"/>
      <c r="R480" s="10" t="n"/>
      <c r="S480" s="16" t="inlineStr">
        <is>
          <t>https://mstgolf.co.th/products/gf1240101373</t>
        </is>
      </c>
      <c r="T480" s="1">
        <f>IF(B480="ไม้กอล์ฟ",J480,"")</f>
        <v/>
      </c>
    </row>
    <row r="481">
      <c r="A481" s="1" t="n">
        <v>1</v>
      </c>
      <c r="B481" s="1" t="inlineStr">
        <is>
          <t>ไม้กอล์ฟ</t>
        </is>
      </c>
      <c r="C481" s="1" t="inlineStr">
        <is>
          <t>gf1240101370</t>
        </is>
      </c>
      <c r="D481" s="1" t="inlineStr">
        <is>
          <t>L.A.B. GOLF MEZZ.1 Stock Matte Black Press 1.5 Degree (2023) Men’s Putter</t>
        </is>
      </c>
      <c r="E481" s="1" t="inlineStr">
        <is>
          <t>L.A.B. GOLF</t>
        </is>
      </c>
      <c r="F481" s="1" t="inlineStr">
        <is>
          <t>PUTTER</t>
        </is>
      </c>
      <c r="G481" s="1" t="inlineStr">
        <is>
          <t>GF124010137034</t>
        </is>
      </c>
      <c r="H481" s="1" t="n">
        <v>1</v>
      </c>
      <c r="I481" s="1" t="inlineStr">
        <is>
          <t>หมด</t>
        </is>
      </c>
      <c r="J481" s="13" t="n">
        <v>699</v>
      </c>
      <c r="K481" s="1" t="inlineStr"/>
      <c r="L481" s="13" t="n"/>
      <c r="M481" s="1">
        <f>IF(L481="","ไม่พบใน SG",IF(ABS(J481-L481)&lt;0.005,"ตรงกัน","ไม่ตรง"))</f>
        <v/>
      </c>
      <c r="N481" s="14">
        <f>IF(L481="","",ROUND(L481*'สรุป'!$C$6,-1))</f>
        <v/>
      </c>
      <c r="O481" s="15" t="n"/>
      <c r="P481" s="15" t="n"/>
      <c r="Q481" s="10" t="n"/>
      <c r="R481" s="10" t="n"/>
      <c r="S481" s="16" t="inlineStr">
        <is>
          <t>https://mstgolf.co.th/products/gf1240101370</t>
        </is>
      </c>
      <c r="T481" s="1">
        <f>IF(B481="ไม้กอล์ฟ",J481,"")</f>
        <v/>
      </c>
    </row>
    <row r="482">
      <c r="A482" s="1" t="n">
        <v>1</v>
      </c>
      <c r="B482" s="1" t="inlineStr">
        <is>
          <t>ไม้กอล์ฟ</t>
        </is>
      </c>
      <c r="C482" s="1" t="inlineStr">
        <is>
          <t>gf1240101446</t>
        </is>
      </c>
      <c r="D482" s="1" t="inlineStr">
        <is>
          <t>L.A.B. GOLF OZ.1 Stock Matte Black Press Pistol 2 Degree (2025) Men's Putter</t>
        </is>
      </c>
      <c r="E482" s="1" t="inlineStr">
        <is>
          <t>L.A.B. GOLF</t>
        </is>
      </c>
      <c r="F482" s="1" t="inlineStr">
        <is>
          <t>PUTTER</t>
        </is>
      </c>
      <c r="G482" s="1" t="inlineStr">
        <is>
          <t>GF124010144634</t>
        </is>
      </c>
      <c r="H482" s="1" t="n">
        <v>1</v>
      </c>
      <c r="I482" s="1" t="inlineStr">
        <is>
          <t>หมด</t>
        </is>
      </c>
      <c r="J482" s="13" t="n">
        <v>699</v>
      </c>
      <c r="K482" s="1" t="inlineStr"/>
      <c r="L482" s="13" t="n">
        <v>599</v>
      </c>
      <c r="M482" s="1">
        <f>IF(L482="","ไม่พบใน SG",IF(ABS(J482-L482)&lt;0.005,"ตรงกัน","ไม่ตรง"))</f>
        <v/>
      </c>
      <c r="N482" s="14">
        <f>IF(L482="","",ROUND(L482*'สรุป'!$C$6,-1))</f>
        <v/>
      </c>
      <c r="O482" s="15" t="n"/>
      <c r="P482" s="15" t="n"/>
      <c r="Q482" s="10" t="n"/>
      <c r="R482" s="10" t="n"/>
      <c r="S482" s="16" t="inlineStr">
        <is>
          <t>https://mstgolf.co.th/products/gf1240101446</t>
        </is>
      </c>
      <c r="T482" s="1">
        <f>IF(B482="ไม้กอล์ฟ",J482,"")</f>
        <v/>
      </c>
    </row>
    <row r="483">
      <c r="A483" s="1" t="n">
        <v>1</v>
      </c>
      <c r="B483" s="1" t="inlineStr">
        <is>
          <t>ไม้กอล์ฟ</t>
        </is>
      </c>
      <c r="C483" s="1" t="inlineStr">
        <is>
          <t>gf1230100534</t>
        </is>
      </c>
      <c r="D483" s="1" t="inlineStr">
        <is>
          <t>MAJESTY Prestigio 12 (2022) Men's Hybrid</t>
        </is>
      </c>
      <c r="E483" s="1" t="inlineStr">
        <is>
          <t>MAJESTY</t>
        </is>
      </c>
      <c r="F483" s="1" t="inlineStr">
        <is>
          <t>UTILITY/HYBRID</t>
        </is>
      </c>
      <c r="G483" s="1" t="inlineStr">
        <is>
          <t>GF1230100534#3R</t>
        </is>
      </c>
      <c r="H483" s="1" t="n">
        <v>9</v>
      </c>
      <c r="I483" s="1" t="inlineStr">
        <is>
          <t>หมด</t>
        </is>
      </c>
      <c r="J483" s="13" t="n">
        <v>699</v>
      </c>
      <c r="K483" s="1" t="inlineStr"/>
      <c r="L483" s="13" t="n">
        <v>699</v>
      </c>
      <c r="M483" s="1">
        <f>IF(L483="","ไม่พบใน SG",IF(ABS(J483-L483)&lt;0.005,"ตรงกัน","ไม่ตรง"))</f>
        <v/>
      </c>
      <c r="N483" s="14">
        <f>IF(L483="","",ROUND(L483*'สรุป'!$C$6,-1))</f>
        <v/>
      </c>
      <c r="O483" s="15" t="n"/>
      <c r="P483" s="15" t="n"/>
      <c r="Q483" s="10" t="n"/>
      <c r="R483" s="10" t="n"/>
      <c r="S483" s="16" t="inlineStr">
        <is>
          <t>https://mstgolf.co.th/products/gf1230100534</t>
        </is>
      </c>
      <c r="T483" s="1">
        <f>IF(B483="ไม้กอล์ฟ",J483,"")</f>
        <v/>
      </c>
    </row>
    <row r="484">
      <c r="A484" s="1" t="n">
        <v>1</v>
      </c>
      <c r="B484" s="1" t="inlineStr">
        <is>
          <t>ไม้กอล์ฟ</t>
        </is>
      </c>
      <c r="C484" s="1" t="inlineStr">
        <is>
          <t>gf1210101050</t>
        </is>
      </c>
      <c r="D484" s="1" t="inlineStr">
        <is>
          <t>MIZUNO ST-MAX 230 (2024) Men's Driver</t>
        </is>
      </c>
      <c r="E484" s="1" t="inlineStr">
        <is>
          <t>MIZUNO</t>
        </is>
      </c>
      <c r="F484" s="1" t="inlineStr">
        <is>
          <t>DRIVER</t>
        </is>
      </c>
      <c r="G484" s="1" t="inlineStr">
        <is>
          <t>GF1210101050105S</t>
        </is>
      </c>
      <c r="H484" s="1" t="n">
        <v>2</v>
      </c>
      <c r="I484" s="1" t="inlineStr">
        <is>
          <t>หมด</t>
        </is>
      </c>
      <c r="J484" s="13" t="n">
        <v>699</v>
      </c>
      <c r="K484" s="1" t="inlineStr"/>
      <c r="L484" s="13" t="n">
        <v>469</v>
      </c>
      <c r="M484" s="1">
        <f>IF(L484="","ไม่พบใน SG",IF(ABS(J484-L484)&lt;0.005,"ตรงกัน","ไม่ตรง"))</f>
        <v/>
      </c>
      <c r="N484" s="14">
        <f>IF(L484="","",ROUND(L484*'สรุป'!$C$6,-1))</f>
        <v/>
      </c>
      <c r="O484" s="15" t="n"/>
      <c r="P484" s="15" t="n"/>
      <c r="Q484" s="10" t="n"/>
      <c r="R484" s="10" t="n"/>
      <c r="S484" s="16" t="inlineStr">
        <is>
          <t>https://mstgolf.co.th/products/gf1210101050</t>
        </is>
      </c>
      <c r="T484" s="1">
        <f>IF(B484="ไม้กอล์ฟ",J484,"")</f>
        <v/>
      </c>
    </row>
    <row r="485">
      <c r="A485" s="1" t="n">
        <v>1</v>
      </c>
      <c r="B485" s="1" t="inlineStr">
        <is>
          <t>อุปกรณ์วัดระยะ/เทคโนโลยี</t>
        </is>
      </c>
      <c r="C485" s="1" t="inlineStr">
        <is>
          <t>gf3190200054</t>
        </is>
      </c>
      <c r="D485" s="1" t="inlineStr">
        <is>
          <t>NIKON Coolshot Lite Stabilized Laser Rangefinder</t>
        </is>
      </c>
      <c r="E485" s="1" t="inlineStr">
        <is>
          <t>NIKON</t>
        </is>
      </c>
      <c r="F485" s="1" t="inlineStr">
        <is>
          <t>HANDHELD</t>
        </is>
      </c>
      <c r="G485" s="1" t="inlineStr">
        <is>
          <t>GF3190200054</t>
        </is>
      </c>
      <c r="H485" s="1" t="n">
        <v>1</v>
      </c>
      <c r="I485" s="1" t="inlineStr">
        <is>
          <t>หมด</t>
        </is>
      </c>
      <c r="J485" s="13" t="n">
        <v>699</v>
      </c>
      <c r="K485" s="1" t="inlineStr"/>
      <c r="L485" s="13" t="n">
        <v>699</v>
      </c>
      <c r="M485" s="1">
        <f>IF(L485="","ไม่พบใน SG",IF(ABS(J485-L485)&lt;0.005,"ตรงกัน","ไม่ตรง"))</f>
        <v/>
      </c>
      <c r="N485" s="14">
        <f>IF(L485="","",ROUND(L485*'สรุป'!$C$6,-1))</f>
        <v/>
      </c>
      <c r="O485" s="15" t="n"/>
      <c r="P485" s="15" t="n"/>
      <c r="Q485" s="10" t="n"/>
      <c r="R485" s="10" t="n"/>
      <c r="S485" s="16" t="inlineStr">
        <is>
          <t>https://mstgolf.co.th/products/gf3190200054</t>
        </is>
      </c>
      <c r="T485" s="1">
        <f>IF(B485="ไม้กอล์ฟ",J485,"")</f>
        <v/>
      </c>
    </row>
    <row r="486">
      <c r="A486" s="1" t="n">
        <v>1</v>
      </c>
      <c r="B486" s="1" t="inlineStr">
        <is>
          <t>ไม้กอล์ฟ</t>
        </is>
      </c>
      <c r="C486" s="1" t="inlineStr">
        <is>
          <t>gf1210100487</t>
        </is>
      </c>
      <c r="D486" s="1" t="inlineStr">
        <is>
          <t>PING G425 LST Men's Driver</t>
        </is>
      </c>
      <c r="E486" s="1" t="inlineStr">
        <is>
          <t>PING</t>
        </is>
      </c>
      <c r="F486" s="1" t="inlineStr">
        <is>
          <t>DRIVER</t>
        </is>
      </c>
      <c r="G486" s="1" t="inlineStr">
        <is>
          <t>GF12101004879S</t>
        </is>
      </c>
      <c r="H486" s="1" t="n">
        <v>4</v>
      </c>
      <c r="I486" s="1" t="inlineStr">
        <is>
          <t>หมด</t>
        </is>
      </c>
      <c r="J486" s="13" t="n">
        <v>699</v>
      </c>
      <c r="K486" s="1" t="inlineStr"/>
      <c r="L486" s="13" t="n"/>
      <c r="M486" s="1">
        <f>IF(L486="","ไม่พบใน SG",IF(ABS(J486-L486)&lt;0.005,"ตรงกัน","ไม่ตรง"))</f>
        <v/>
      </c>
      <c r="N486" s="14">
        <f>IF(L486="","",ROUND(L486*'สรุป'!$C$6,-1))</f>
        <v/>
      </c>
      <c r="O486" s="15" t="n"/>
      <c r="P486" s="15" t="n"/>
      <c r="Q486" s="10" t="n"/>
      <c r="R486" s="10" t="n"/>
      <c r="S486" s="16" t="inlineStr">
        <is>
          <t>https://mstgolf.co.th/products/gf1210100487</t>
        </is>
      </c>
      <c r="T486" s="1">
        <f>IF(B486="ไม้กอล์ฟ",J486,"")</f>
        <v/>
      </c>
    </row>
    <row r="487">
      <c r="A487" s="1" t="n">
        <v>1</v>
      </c>
      <c r="B487" s="1" t="inlineStr">
        <is>
          <t>ไม้กอล์ฟ</t>
        </is>
      </c>
      <c r="C487" s="1" t="inlineStr">
        <is>
          <t>gf1210100485</t>
        </is>
      </c>
      <c r="D487" s="1" t="inlineStr">
        <is>
          <t>PING G425 SFT Men's Driver</t>
        </is>
      </c>
      <c r="E487" s="1" t="inlineStr">
        <is>
          <t>PING</t>
        </is>
      </c>
      <c r="F487" s="1" t="inlineStr">
        <is>
          <t>DRIVER</t>
        </is>
      </c>
      <c r="G487" s="1" t="inlineStr">
        <is>
          <t>GF1210100485105S</t>
        </is>
      </c>
      <c r="H487" s="1" t="n">
        <v>3</v>
      </c>
      <c r="I487" s="1" t="inlineStr">
        <is>
          <t>หมด</t>
        </is>
      </c>
      <c r="J487" s="13" t="n">
        <v>699</v>
      </c>
      <c r="K487" s="1" t="inlineStr"/>
      <c r="L487" s="13" t="n"/>
      <c r="M487" s="1">
        <f>IF(L487="","ไม่พบใน SG",IF(ABS(J487-L487)&lt;0.005,"ตรงกัน","ไม่ตรง"))</f>
        <v/>
      </c>
      <c r="N487" s="14">
        <f>IF(L487="","",ROUND(L487*'สรุป'!$C$6,-1))</f>
        <v/>
      </c>
      <c r="O487" s="15" t="n"/>
      <c r="P487" s="15" t="n"/>
      <c r="Q487" s="10" t="n"/>
      <c r="R487" s="10" t="n"/>
      <c r="S487" s="16" t="inlineStr">
        <is>
          <t>https://mstgolf.co.th/products/gf1210100485</t>
        </is>
      </c>
      <c r="T487" s="1">
        <f>IF(B487="ไม้กอล์ฟ",J487,"")</f>
        <v/>
      </c>
    </row>
    <row r="488">
      <c r="A488" s="1" t="n">
        <v>1</v>
      </c>
      <c r="B488" s="1" t="inlineStr">
        <is>
          <t>ไม้กอล์ฟ</t>
        </is>
      </c>
      <c r="C488" s="1" t="inlineStr">
        <is>
          <t>gf1240101043</t>
        </is>
      </c>
      <c r="D488" s="1" t="inlineStr">
        <is>
          <t>TAYLORMADE Spider GT MAX #3 Short Slant Men's Putter</t>
        </is>
      </c>
      <c r="E488" s="1" t="inlineStr">
        <is>
          <t>TAYLORMADE</t>
        </is>
      </c>
      <c r="F488" s="1" t="inlineStr">
        <is>
          <t>PUTTER</t>
        </is>
      </c>
      <c r="G488" s="1" t="inlineStr">
        <is>
          <t>GF124010104334</t>
        </is>
      </c>
      <c r="H488" s="1" t="n">
        <v>1</v>
      </c>
      <c r="I488" s="1" t="inlineStr">
        <is>
          <t>หมด</t>
        </is>
      </c>
      <c r="J488" s="13" t="n">
        <v>699</v>
      </c>
      <c r="K488" s="1" t="inlineStr"/>
      <c r="L488" s="13" t="n">
        <v>699</v>
      </c>
      <c r="M488" s="1">
        <f>IF(L488="","ไม่พบใน SG",IF(ABS(J488-L488)&lt;0.005,"ตรงกัน","ไม่ตรง"))</f>
        <v/>
      </c>
      <c r="N488" s="14">
        <f>IF(L488="","",ROUND(L488*'สรุป'!$C$6,-1))</f>
        <v/>
      </c>
      <c r="O488" s="15" t="n"/>
      <c r="P488" s="15" t="n"/>
      <c r="Q488" s="10" t="n"/>
      <c r="R488" s="10" t="n"/>
      <c r="S488" s="16" t="inlineStr">
        <is>
          <t>https://mstgolf.co.th/products/gf1240101043</t>
        </is>
      </c>
      <c r="T488" s="1">
        <f>IF(B488="ไม้กอล์ฟ",J488,"")</f>
        <v/>
      </c>
    </row>
    <row r="489">
      <c r="A489" s="1" t="n">
        <v>1</v>
      </c>
      <c r="B489" s="1" t="inlineStr">
        <is>
          <t>ไม้กอล์ฟ</t>
        </is>
      </c>
      <c r="C489" s="1" t="inlineStr">
        <is>
          <t>gf1240101044</t>
        </is>
      </c>
      <c r="D489" s="1" t="inlineStr">
        <is>
          <t>TAYLORMADE Spider GT MAX Single Bend Men's Putter</t>
        </is>
      </c>
      <c r="E489" s="1" t="inlineStr">
        <is>
          <t>TAYLORMADE</t>
        </is>
      </c>
      <c r="F489" s="1" t="inlineStr">
        <is>
          <t>PUTTER</t>
        </is>
      </c>
      <c r="G489" s="1" t="inlineStr">
        <is>
          <t>GF124010104434</t>
        </is>
      </c>
      <c r="H489" s="1" t="n">
        <v>1</v>
      </c>
      <c r="I489" s="1" t="inlineStr">
        <is>
          <t>หมด</t>
        </is>
      </c>
      <c r="J489" s="13" t="n">
        <v>699</v>
      </c>
      <c r="K489" s="1" t="inlineStr"/>
      <c r="L489" s="13" t="n">
        <v>449</v>
      </c>
      <c r="M489" s="1">
        <f>IF(L489="","ไม่พบใน SG",IF(ABS(J489-L489)&lt;0.005,"ตรงกัน","ไม่ตรง"))</f>
        <v/>
      </c>
      <c r="N489" s="14">
        <f>IF(L489="","",ROUND(L489*'สรุป'!$C$6,-1))</f>
        <v/>
      </c>
      <c r="O489" s="15" t="n"/>
      <c r="P489" s="15" t="n"/>
      <c r="Q489" s="10" t="n"/>
      <c r="R489" s="10" t="n"/>
      <c r="S489" s="16" t="inlineStr">
        <is>
          <t>https://mstgolf.co.th/products/gf1240101044</t>
        </is>
      </c>
      <c r="T489" s="1">
        <f>IF(B489="ไม้กอล์ฟ",J489,"")</f>
        <v/>
      </c>
    </row>
    <row r="490">
      <c r="A490" s="1" t="n">
        <v>1</v>
      </c>
      <c r="B490" s="1" t="inlineStr">
        <is>
          <t>ไม้กอล์ฟ</t>
        </is>
      </c>
      <c r="C490" s="1" t="inlineStr">
        <is>
          <t>gf1280100601</t>
        </is>
      </c>
      <c r="D490" s="1" t="inlineStr">
        <is>
          <t>WILSON Model CB (2021) Men's Irons</t>
        </is>
      </c>
      <c r="E490" s="1" t="inlineStr">
        <is>
          <t>WILSON</t>
        </is>
      </c>
      <c r="F490" s="1" t="inlineStr">
        <is>
          <t>SET OF IRONS</t>
        </is>
      </c>
      <c r="G490" s="1" t="inlineStr">
        <is>
          <t>GF1280100601S</t>
        </is>
      </c>
      <c r="H490" s="1" t="n">
        <v>1</v>
      </c>
      <c r="I490" s="1" t="inlineStr">
        <is>
          <t>หมด</t>
        </is>
      </c>
      <c r="J490" s="13" t="n">
        <v>699</v>
      </c>
      <c r="K490" s="1" t="inlineStr"/>
      <c r="L490" s="13" t="n">
        <v>699</v>
      </c>
      <c r="M490" s="1">
        <f>IF(L490="","ไม่พบใน SG",IF(ABS(J490-L490)&lt;0.005,"ตรงกัน","ไม่ตรง"))</f>
        <v/>
      </c>
      <c r="N490" s="14">
        <f>IF(L490="","",ROUND(L490*'สรุป'!$C$6,-1))</f>
        <v/>
      </c>
      <c r="O490" s="15" t="n"/>
      <c r="P490" s="15" t="n"/>
      <c r="Q490" s="10" t="n"/>
      <c r="R490" s="10" t="n"/>
      <c r="S490" s="16" t="inlineStr">
        <is>
          <t>https://mstgolf.co.th/products/gf1280100601</t>
        </is>
      </c>
      <c r="T490" s="1">
        <f>IF(B490="ไม้กอล์ฟ",J490,"")</f>
        <v/>
      </c>
    </row>
    <row r="491">
      <c r="A491" s="1" t="n">
        <v>1</v>
      </c>
      <c r="B491" s="1" t="inlineStr">
        <is>
          <t>ไม้กอล์ฟ</t>
        </is>
      </c>
      <c r="C491" s="1" t="inlineStr">
        <is>
          <t>gf1280100733</t>
        </is>
      </c>
      <c r="D491" s="1" t="inlineStr">
        <is>
          <t>YAMAHA RMX VD Tour (2022) Men's Irons (7 Club Set)</t>
        </is>
      </c>
      <c r="E491" s="1" t="inlineStr">
        <is>
          <t>YAMAHA</t>
        </is>
      </c>
      <c r="F491" s="1" t="inlineStr">
        <is>
          <t>SET OF IRONS</t>
        </is>
      </c>
      <c r="G491" s="1" t="inlineStr">
        <is>
          <t>GF1280100733S</t>
        </is>
      </c>
      <c r="H491" s="1" t="n">
        <v>1</v>
      </c>
      <c r="I491" s="1" t="inlineStr">
        <is>
          <t>หมด</t>
        </is>
      </c>
      <c r="J491" s="13" t="n">
        <v>699</v>
      </c>
      <c r="K491" s="1" t="inlineStr"/>
      <c r="L491" s="13" t="n"/>
      <c r="M491" s="1">
        <f>IF(L491="","ไม่พบใน SG",IF(ABS(J491-L491)&lt;0.005,"ตรงกัน","ไม่ตรง"))</f>
        <v/>
      </c>
      <c r="N491" s="14">
        <f>IF(L491="","",ROUND(L491*'สรุป'!$C$6,-1))</f>
        <v/>
      </c>
      <c r="O491" s="15" t="n"/>
      <c r="P491" s="15" t="n"/>
      <c r="Q491" s="10" t="n"/>
      <c r="R491" s="10" t="n"/>
      <c r="S491" s="16" t="inlineStr">
        <is>
          <t>https://mstgolf.co.th/products/gf1280100733</t>
        </is>
      </c>
      <c r="T491" s="1">
        <f>IF(B491="ไม้กอล์ฟ",J491,"")</f>
        <v/>
      </c>
    </row>
    <row r="492">
      <c r="A492" s="1" t="n">
        <v>1</v>
      </c>
      <c r="B492" s="1" t="inlineStr">
        <is>
          <t>ไม้กอล์ฟ</t>
        </is>
      </c>
      <c r="C492" s="1" t="inlineStr">
        <is>
          <t>gf1280100736</t>
        </is>
      </c>
      <c r="D492" s="1" t="inlineStr">
        <is>
          <t>YAMAHA RMX VD40 Men's Irons (8 Club Set)</t>
        </is>
      </c>
      <c r="E492" s="1" t="inlineStr">
        <is>
          <t>YAMAHA</t>
        </is>
      </c>
      <c r="F492" s="1" t="inlineStr">
        <is>
          <t>SET OF IRONS</t>
        </is>
      </c>
      <c r="G492" s="1" t="inlineStr">
        <is>
          <t>GF1280100736SR</t>
        </is>
      </c>
      <c r="H492" s="1" t="n">
        <v>2</v>
      </c>
      <c r="I492" s="1" t="inlineStr">
        <is>
          <t>หมด</t>
        </is>
      </c>
      <c r="J492" s="13" t="n">
        <v>699</v>
      </c>
      <c r="K492" s="1" t="inlineStr"/>
      <c r="L492" s="13" t="n"/>
      <c r="M492" s="1">
        <f>IF(L492="","ไม่พบใน SG",IF(ABS(J492-L492)&lt;0.005,"ตรงกัน","ไม่ตรง"))</f>
        <v/>
      </c>
      <c r="N492" s="14">
        <f>IF(L492="","",ROUND(L492*'สรุป'!$C$6,-1))</f>
        <v/>
      </c>
      <c r="O492" s="15" t="n"/>
      <c r="P492" s="15" t="n"/>
      <c r="Q492" s="10" t="n"/>
      <c r="R492" s="10" t="n"/>
      <c r="S492" s="16" t="inlineStr">
        <is>
          <t>https://mstgolf.co.th/products/gf1280100736</t>
        </is>
      </c>
      <c r="T492" s="1">
        <f>IF(B492="ไม้กอล์ฟ",J492,"")</f>
        <v/>
      </c>
    </row>
    <row r="493">
      <c r="A493" s="1" t="n">
        <v>1</v>
      </c>
      <c r="B493" s="1" t="inlineStr">
        <is>
          <t>ไม้กอล์ฟ</t>
        </is>
      </c>
      <c r="C493" s="1" t="inlineStr">
        <is>
          <t>gf1240101388</t>
        </is>
      </c>
      <c r="D493" s="1" t="inlineStr">
        <is>
          <t>EVNROLL Zero Z.1 Blue (2025) Men's Putter</t>
        </is>
      </c>
      <c r="E493" s="1" t="inlineStr">
        <is>
          <t>EVNROLL</t>
        </is>
      </c>
      <c r="F493" s="1" t="inlineStr">
        <is>
          <t>PUTTER</t>
        </is>
      </c>
      <c r="G493" s="1" t="inlineStr">
        <is>
          <t>GF124010138834</t>
        </is>
      </c>
      <c r="H493" s="1" t="n">
        <v>1</v>
      </c>
      <c r="I493" s="1" t="inlineStr">
        <is>
          <t>หมด</t>
        </is>
      </c>
      <c r="J493" s="13" t="n">
        <v>689</v>
      </c>
      <c r="K493" s="1" t="inlineStr"/>
      <c r="L493" s="13" t="n">
        <v>689</v>
      </c>
      <c r="M493" s="1">
        <f>IF(L493="","ไม่พบใน SG",IF(ABS(J493-L493)&lt;0.005,"ตรงกัน","ไม่ตรง"))</f>
        <v/>
      </c>
      <c r="N493" s="14">
        <f>IF(L493="","",ROUND(L493*'สรุป'!$C$6,-1))</f>
        <v/>
      </c>
      <c r="O493" s="15" t="n"/>
      <c r="P493" s="15" t="n"/>
      <c r="Q493" s="10" t="n"/>
      <c r="R493" s="10" t="n"/>
      <c r="S493" s="16" t="inlineStr">
        <is>
          <t>https://mstgolf.co.th/products/gf1240101388</t>
        </is>
      </c>
      <c r="T493" s="1">
        <f>IF(B493="ไม้กอล์ฟ",J493,"")</f>
        <v/>
      </c>
    </row>
    <row r="494">
      <c r="A494" s="1" t="n">
        <v>1</v>
      </c>
      <c r="B494" s="1" t="inlineStr">
        <is>
          <t>ไม้กอล์ฟ</t>
        </is>
      </c>
      <c r="C494" s="1" t="inlineStr">
        <is>
          <t>gf1240101389</t>
        </is>
      </c>
      <c r="D494" s="1" t="inlineStr">
        <is>
          <t>EVNROLL Zero Z.1 Red (2025) Men's Putter</t>
        </is>
      </c>
      <c r="E494" s="1" t="inlineStr">
        <is>
          <t>EVNROLL</t>
        </is>
      </c>
      <c r="F494" s="1" t="inlineStr">
        <is>
          <t>PUTTER</t>
        </is>
      </c>
      <c r="G494" s="1" t="inlineStr">
        <is>
          <t>GF124010138934</t>
        </is>
      </c>
      <c r="H494" s="1" t="n">
        <v>1</v>
      </c>
      <c r="I494" s="1" t="inlineStr">
        <is>
          <t>หมด</t>
        </is>
      </c>
      <c r="J494" s="13" t="n">
        <v>689</v>
      </c>
      <c r="K494" s="1" t="inlineStr"/>
      <c r="L494" s="13" t="n">
        <v>689</v>
      </c>
      <c r="M494" s="1">
        <f>IF(L494="","ไม่พบใน SG",IF(ABS(J494-L494)&lt;0.005,"ตรงกัน","ไม่ตรง"))</f>
        <v/>
      </c>
      <c r="N494" s="14">
        <f>IF(L494="","",ROUND(L494*'สรุป'!$C$6,-1))</f>
        <v/>
      </c>
      <c r="O494" s="15" t="n"/>
      <c r="P494" s="15" t="n"/>
      <c r="Q494" s="10" t="n"/>
      <c r="R494" s="10" t="n"/>
      <c r="S494" s="16" t="inlineStr">
        <is>
          <t>https://mstgolf.co.th/products/gf1240101389</t>
        </is>
      </c>
      <c r="T494" s="1">
        <f>IF(B494="ไม้กอล์ฟ",J494,"")</f>
        <v/>
      </c>
    </row>
    <row r="495">
      <c r="A495" s="1" t="n">
        <v>1</v>
      </c>
      <c r="B495" s="1" t="inlineStr">
        <is>
          <t>ไม้กอล์ฟ</t>
        </is>
      </c>
      <c r="C495" s="1" t="inlineStr">
        <is>
          <t>gf1210101275</t>
        </is>
      </c>
      <c r="D495" s="1" t="inlineStr">
        <is>
          <t>TITLEIST GT280 Mini (2025) Men's Driver</t>
        </is>
      </c>
      <c r="E495" s="1" t="inlineStr">
        <is>
          <t>TITLEIST</t>
        </is>
      </c>
      <c r="F495" s="1" t="inlineStr">
        <is>
          <t>DRIVER</t>
        </is>
      </c>
      <c r="G495" s="1" t="inlineStr">
        <is>
          <t>GF121010127513R</t>
        </is>
      </c>
      <c r="H495" s="1" t="n">
        <v>2</v>
      </c>
      <c r="I495" s="1" t="inlineStr">
        <is>
          <t>หมด</t>
        </is>
      </c>
      <c r="J495" s="13" t="n">
        <v>689</v>
      </c>
      <c r="K495" s="1" t="inlineStr"/>
      <c r="L495" s="13" t="n">
        <v>689</v>
      </c>
      <c r="M495" s="1">
        <f>IF(L495="","ไม่พบใน SG",IF(ABS(J495-L495)&lt;0.005,"ตรงกัน","ไม่ตรง"))</f>
        <v/>
      </c>
      <c r="N495" s="14">
        <f>IF(L495="","",ROUND(L495*'สรุป'!$C$6,-1))</f>
        <v/>
      </c>
      <c r="O495" s="15" t="n"/>
      <c r="P495" s="15" t="n"/>
      <c r="Q495" s="10" t="n"/>
      <c r="R495" s="10" t="n"/>
      <c r="S495" s="16" t="inlineStr">
        <is>
          <t>https://mstgolf.co.th/products/gf1210101275</t>
        </is>
      </c>
      <c r="T495" s="1">
        <f>IF(B495="ไม้กอล์ฟ",J495,"")</f>
        <v/>
      </c>
    </row>
    <row r="496">
      <c r="A496" s="1" t="n">
        <v>1</v>
      </c>
      <c r="B496" s="1" t="inlineStr">
        <is>
          <t>ไม้กอล์ฟ</t>
        </is>
      </c>
      <c r="C496" s="1" t="inlineStr">
        <is>
          <t>gf1250100074</t>
        </is>
      </c>
      <c r="D496" s="1" t="inlineStr">
        <is>
          <t>WILSON Prostaff SGI (2019) Men's Package Set</t>
        </is>
      </c>
      <c r="E496" s="1" t="inlineStr">
        <is>
          <t>WILSON</t>
        </is>
      </c>
      <c r="F496" s="1" t="inlineStr">
        <is>
          <t>PACKAGE SET</t>
        </is>
      </c>
      <c r="G496" s="1" t="inlineStr">
        <is>
          <t>GF1250100074</t>
        </is>
      </c>
      <c r="H496" s="1" t="n">
        <v>1</v>
      </c>
      <c r="I496" s="1" t="inlineStr">
        <is>
          <t>หมด</t>
        </is>
      </c>
      <c r="J496" s="13" t="n">
        <v>689</v>
      </c>
      <c r="K496" s="1" t="inlineStr"/>
      <c r="L496" s="13" t="n">
        <v>689</v>
      </c>
      <c r="M496" s="1">
        <f>IF(L496="","ไม่พบใน SG",IF(ABS(J496-L496)&lt;0.005,"ตรงกัน","ไม่ตรง"))</f>
        <v/>
      </c>
      <c r="N496" s="14">
        <f>IF(L496="","",ROUND(L496*'สรุป'!$C$6,-1))</f>
        <v/>
      </c>
      <c r="O496" s="15" t="n"/>
      <c r="P496" s="15" t="n"/>
      <c r="Q496" s="10" t="n"/>
      <c r="R496" s="10" t="n"/>
      <c r="S496" s="16" t="inlineStr">
        <is>
          <t>https://mstgolf.co.th/products/gf1250100074</t>
        </is>
      </c>
      <c r="T496" s="1">
        <f>IF(B496="ไม้กอล์ฟ",J496,"")</f>
        <v/>
      </c>
    </row>
    <row r="497">
      <c r="A497" s="1" t="n">
        <v>1</v>
      </c>
      <c r="B497" s="1" t="inlineStr">
        <is>
          <t>ไม้กอล์ฟ</t>
        </is>
      </c>
      <c r="C497" s="1" t="inlineStr">
        <is>
          <t>gf1210101234</t>
        </is>
      </c>
      <c r="D497" s="1" t="inlineStr">
        <is>
          <t>TAYLORMADE QI35 Designer Series Gold (2025) Men's Driver</t>
        </is>
      </c>
      <c r="E497" s="1" t="inlineStr">
        <is>
          <t>TAYLORMADE</t>
        </is>
      </c>
      <c r="F497" s="1" t="inlineStr">
        <is>
          <t>DRIVER</t>
        </is>
      </c>
      <c r="G497" s="1" t="inlineStr">
        <is>
          <t>GF12101012349S</t>
        </is>
      </c>
      <c r="H497" s="1" t="n">
        <v>4</v>
      </c>
      <c r="I497" s="1" t="inlineStr">
        <is>
          <t>หมด</t>
        </is>
      </c>
      <c r="J497" s="13" t="n">
        <v>679</v>
      </c>
      <c r="K497" s="1" t="inlineStr"/>
      <c r="L497" s="13" t="n">
        <v>679</v>
      </c>
      <c r="M497" s="1">
        <f>IF(L497="","ไม่พบใน SG",IF(ABS(J497-L497)&lt;0.005,"ตรงกัน","ไม่ตรง"))</f>
        <v/>
      </c>
      <c r="N497" s="14">
        <f>IF(L497="","",ROUND(L497*'สรุป'!$C$6,-1))</f>
        <v/>
      </c>
      <c r="O497" s="15" t="n"/>
      <c r="P497" s="15" t="n"/>
      <c r="Q497" s="10" t="n"/>
      <c r="R497" s="10" t="n"/>
      <c r="S497" s="16" t="inlineStr">
        <is>
          <t>https://mstgolf.co.th/products/gf1210101234</t>
        </is>
      </c>
      <c r="T497" s="1">
        <f>IF(B497="ไม้กอล์ฟ",J497,"")</f>
        <v/>
      </c>
    </row>
    <row r="498">
      <c r="A498" s="1" t="n">
        <v>1</v>
      </c>
      <c r="B498" s="1" t="inlineStr">
        <is>
          <t>ไม้กอล์ฟ</t>
        </is>
      </c>
      <c r="C498" s="1" t="inlineStr">
        <is>
          <t>gf1210101206</t>
        </is>
      </c>
      <c r="D498" s="1" t="inlineStr">
        <is>
          <t>TAYLORMADE Qi35 LS Designer Series Black (2025) Men's Driver</t>
        </is>
      </c>
      <c r="E498" s="1" t="inlineStr">
        <is>
          <t>TAYLORMADE</t>
        </is>
      </c>
      <c r="F498" s="1" t="inlineStr">
        <is>
          <t>DRIVER</t>
        </is>
      </c>
      <c r="G498" s="1" t="inlineStr">
        <is>
          <t>GF12101012069S</t>
        </is>
      </c>
      <c r="H498" s="1" t="n">
        <v>1</v>
      </c>
      <c r="I498" s="1" t="inlineStr">
        <is>
          <t>หมด</t>
        </is>
      </c>
      <c r="J498" s="13" t="n">
        <v>679</v>
      </c>
      <c r="K498" s="1" t="inlineStr"/>
      <c r="L498" s="13" t="n">
        <v>679</v>
      </c>
      <c r="M498" s="1">
        <f>IF(L498="","ไม่พบใน SG",IF(ABS(J498-L498)&lt;0.005,"ตรงกัน","ไม่ตรง"))</f>
        <v/>
      </c>
      <c r="N498" s="14">
        <f>IF(L498="","",ROUND(L498*'สรุป'!$C$6,-1))</f>
        <v/>
      </c>
      <c r="O498" s="15" t="n"/>
      <c r="P498" s="15" t="n"/>
      <c r="Q498" s="10" t="n"/>
      <c r="R498" s="10" t="n"/>
      <c r="S498" s="16" t="inlineStr">
        <is>
          <t>https://mstgolf.co.th/products/gf1210101206</t>
        </is>
      </c>
      <c r="T498" s="1">
        <f>IF(B498="ไม้กอล์ฟ",J498,"")</f>
        <v/>
      </c>
    </row>
    <row r="499">
      <c r="A499" s="1" t="n">
        <v>1</v>
      </c>
      <c r="B499" s="1" t="inlineStr">
        <is>
          <t>ไม้กอล์ฟ</t>
        </is>
      </c>
      <c r="C499" s="1" t="inlineStr">
        <is>
          <t>gf1230100329</t>
        </is>
      </c>
      <c r="D499" s="1" t="inlineStr">
        <is>
          <t>MAJESTY Prestigio 11 (2021) Men's Hybrid</t>
        </is>
      </c>
      <c r="E499" s="1" t="inlineStr">
        <is>
          <t>MAJESTY</t>
        </is>
      </c>
      <c r="F499" s="1" t="inlineStr">
        <is>
          <t>UTILITY/HYBRID</t>
        </is>
      </c>
      <c r="G499" s="1" t="inlineStr">
        <is>
          <t>GF1230100329#3R</t>
        </is>
      </c>
      <c r="H499" s="1" t="n">
        <v>9</v>
      </c>
      <c r="I499" s="1" t="inlineStr">
        <is>
          <t>หมด</t>
        </is>
      </c>
      <c r="J499" s="13" t="n">
        <v>665</v>
      </c>
      <c r="K499" s="1" t="inlineStr"/>
      <c r="L499" s="13" t="n">
        <v>665</v>
      </c>
      <c r="M499" s="1">
        <f>IF(L499="","ไม่พบใน SG",IF(ABS(J499-L499)&lt;0.005,"ตรงกัน","ไม่ตรง"))</f>
        <v/>
      </c>
      <c r="N499" s="14">
        <f>IF(L499="","",ROUND(L499*'สรุป'!$C$6,-1))</f>
        <v/>
      </c>
      <c r="O499" s="15" t="n"/>
      <c r="P499" s="15" t="n"/>
      <c r="Q499" s="10" t="n"/>
      <c r="R499" s="10" t="n"/>
      <c r="S499" s="16" t="inlineStr">
        <is>
          <t>https://mstgolf.co.th/products/gf1230100329</t>
        </is>
      </c>
      <c r="T499" s="1">
        <f>IF(B499="ไม้กอล์ฟ",J499,"")</f>
        <v/>
      </c>
    </row>
    <row r="500">
      <c r="A500" s="1" t="n">
        <v>1</v>
      </c>
      <c r="B500" s="1" t="inlineStr">
        <is>
          <t>ไม้กอล์ฟ</t>
        </is>
      </c>
      <c r="C500" s="1" t="inlineStr">
        <is>
          <t>gf1230100817</t>
        </is>
      </c>
      <c r="D500" s="1" t="inlineStr">
        <is>
          <t>MAJESTY Royale (2025) Women's Hybrid</t>
        </is>
      </c>
      <c r="E500" s="1" t="inlineStr">
        <is>
          <t>MAJESTY</t>
        </is>
      </c>
      <c r="F500" s="1" t="inlineStr">
        <is>
          <t>UTILITY/HYBRID</t>
        </is>
      </c>
      <c r="G500" s="1" t="inlineStr">
        <is>
          <t>GF1230100817#4L</t>
        </is>
      </c>
      <c r="H500" s="1" t="n">
        <v>2</v>
      </c>
      <c r="I500" s="1" t="inlineStr">
        <is>
          <t>หมด</t>
        </is>
      </c>
      <c r="J500" s="13" t="n">
        <v>649</v>
      </c>
      <c r="K500" s="1" t="inlineStr"/>
      <c r="L500" s="13" t="n">
        <v>649</v>
      </c>
      <c r="M500" s="1">
        <f>IF(L500="","ไม่พบใน SG",IF(ABS(J500-L500)&lt;0.005,"ตรงกัน","ไม่ตรง"))</f>
        <v/>
      </c>
      <c r="N500" s="14">
        <f>IF(L500="","",ROUND(L500*'สรุป'!$C$6,-1))</f>
        <v/>
      </c>
      <c r="O500" s="15" t="n"/>
      <c r="P500" s="15" t="n"/>
      <c r="Q500" s="10" t="n"/>
      <c r="R500" s="10" t="n"/>
      <c r="S500" s="16" t="inlineStr">
        <is>
          <t>https://mstgolf.co.th/products/gf1230100817</t>
        </is>
      </c>
      <c r="T500" s="1">
        <f>IF(B500="ไม้กอล์ฟ",J500,"")</f>
        <v/>
      </c>
    </row>
    <row r="501">
      <c r="A501" s="1" t="n">
        <v>1</v>
      </c>
      <c r="B501" s="1" t="inlineStr">
        <is>
          <t>ไม้กอล์ฟ</t>
        </is>
      </c>
      <c r="C501" s="1" t="inlineStr">
        <is>
          <t>gf1240101452</t>
        </is>
      </c>
      <c r="D501" s="1" t="inlineStr">
        <is>
          <t>TAYLORMADE Spider 5K-ZT (2025) Men's Putter</t>
        </is>
      </c>
      <c r="E501" s="1" t="inlineStr">
        <is>
          <t>TAYLORMADE</t>
        </is>
      </c>
      <c r="F501" s="1" t="inlineStr">
        <is>
          <t>PUTTER</t>
        </is>
      </c>
      <c r="G501" s="1" t="inlineStr">
        <is>
          <t>GF124010145233</t>
        </is>
      </c>
      <c r="H501" s="1" t="n">
        <v>3</v>
      </c>
      <c r="I501" s="1" t="inlineStr">
        <is>
          <t>หมด</t>
        </is>
      </c>
      <c r="J501" s="13" t="n">
        <v>649</v>
      </c>
      <c r="K501" s="1" t="inlineStr"/>
      <c r="L501" s="13" t="n">
        <v>649</v>
      </c>
      <c r="M501" s="1">
        <f>IF(L501="","ไม่พบใน SG",IF(ABS(J501-L501)&lt;0.005,"ตรงกัน","ไม่ตรง"))</f>
        <v/>
      </c>
      <c r="N501" s="14">
        <f>IF(L501="","",ROUND(L501*'สรุป'!$C$6,-1))</f>
        <v/>
      </c>
      <c r="O501" s="15" t="n"/>
      <c r="P501" s="15" t="n"/>
      <c r="Q501" s="10" t="n"/>
      <c r="R501" s="10" t="n"/>
      <c r="S501" s="16" t="inlineStr">
        <is>
          <t>https://mstgolf.co.th/products/gf1240101452</t>
        </is>
      </c>
      <c r="T501" s="1">
        <f>IF(B501="ไม้กอล์ฟ",J501,"")</f>
        <v/>
      </c>
    </row>
    <row r="502">
      <c r="A502" s="1" t="n">
        <v>1</v>
      </c>
      <c r="B502" s="1" t="inlineStr">
        <is>
          <t>ไม้กอล์ฟ</t>
        </is>
      </c>
      <c r="C502" s="1" t="inlineStr">
        <is>
          <t>gf1240101524</t>
        </is>
      </c>
      <c r="D502" s="1" t="inlineStr">
        <is>
          <t>TAYLORMADE Spider 5K-ZT (2025) Men's Putter</t>
        </is>
      </c>
      <c r="E502" s="1" t="inlineStr">
        <is>
          <t>TAYLORMADE</t>
        </is>
      </c>
      <c r="F502" s="1" t="inlineStr">
        <is>
          <t>PUTTER</t>
        </is>
      </c>
      <c r="G502" s="1" t="inlineStr">
        <is>
          <t>GF124010152434</t>
        </is>
      </c>
      <c r="H502" s="1" t="n">
        <v>3</v>
      </c>
      <c r="I502" s="1" t="inlineStr">
        <is>
          <t>หมด</t>
        </is>
      </c>
      <c r="J502" s="13" t="n">
        <v>649</v>
      </c>
      <c r="K502" s="1" t="inlineStr"/>
      <c r="L502" s="13" t="n">
        <v>649</v>
      </c>
      <c r="M502" s="1">
        <f>IF(L502="","ไม่พบใน SG",IF(ABS(J502-L502)&lt;0.005,"ตรงกัน","ไม่ตรง"))</f>
        <v/>
      </c>
      <c r="N502" s="14">
        <f>IF(L502="","",ROUND(L502*'สรุป'!$C$6,-1))</f>
        <v/>
      </c>
      <c r="O502" s="15" t="n"/>
      <c r="P502" s="15" t="n"/>
      <c r="Q502" s="10" t="n"/>
      <c r="R502" s="10" t="n"/>
      <c r="S502" s="16" t="inlineStr">
        <is>
          <t>https://mstgolf.co.th/products/gf1240101524</t>
        </is>
      </c>
      <c r="T502" s="1">
        <f>IF(B502="ไม้กอล์ฟ",J502,"")</f>
        <v/>
      </c>
    </row>
    <row r="503">
      <c r="A503" s="1" t="n">
        <v>1</v>
      </c>
      <c r="B503" s="1" t="inlineStr">
        <is>
          <t>ไม้กอล์ฟ</t>
        </is>
      </c>
      <c r="C503" s="1" t="inlineStr">
        <is>
          <t>gf1210101119</t>
        </is>
      </c>
      <c r="D503" s="1" t="inlineStr">
        <is>
          <t>TITLEIST GT2 (2024) Women's Driver</t>
        </is>
      </c>
      <c r="E503" s="1" t="inlineStr">
        <is>
          <t>TITLEIST</t>
        </is>
      </c>
      <c r="F503" s="1" t="inlineStr">
        <is>
          <t>DRIVER</t>
        </is>
      </c>
      <c r="G503" s="1" t="inlineStr">
        <is>
          <t>GF121010111911L</t>
        </is>
      </c>
      <c r="H503" s="1" t="n">
        <v>1</v>
      </c>
      <c r="I503" s="1" t="inlineStr">
        <is>
          <t>หมด</t>
        </is>
      </c>
      <c r="J503" s="13" t="n">
        <v>649</v>
      </c>
      <c r="K503" s="1" t="inlineStr"/>
      <c r="L503" s="13" t="n">
        <v>649</v>
      </c>
      <c r="M503" s="1">
        <f>IF(L503="","ไม่พบใน SG",IF(ABS(J503-L503)&lt;0.005,"ตรงกัน","ไม่ตรง"))</f>
        <v/>
      </c>
      <c r="N503" s="14">
        <f>IF(L503="","",ROUND(L503*'สรุป'!$C$6,-1))</f>
        <v/>
      </c>
      <c r="O503" s="15" t="n"/>
      <c r="P503" s="15" t="n"/>
      <c r="Q503" s="10" t="n"/>
      <c r="R503" s="10" t="n"/>
      <c r="S503" s="16" t="inlineStr">
        <is>
          <t>https://mstgolf.co.th/products/gf1210101119</t>
        </is>
      </c>
      <c r="T503" s="1">
        <f>IF(B503="ไม้กอล์ฟ",J503,"")</f>
        <v/>
      </c>
    </row>
    <row r="504">
      <c r="A504" s="1" t="n">
        <v>1</v>
      </c>
      <c r="B504" s="1" t="inlineStr">
        <is>
          <t>ไม้กอล์ฟ</t>
        </is>
      </c>
      <c r="C504" s="1" t="inlineStr">
        <is>
          <t>gf1210101124</t>
        </is>
      </c>
      <c r="D504" s="1" t="inlineStr">
        <is>
          <t>TITLEIST GT4 (2024) Men's Driver</t>
        </is>
      </c>
      <c r="E504" s="1" t="inlineStr">
        <is>
          <t>TITLEIST</t>
        </is>
      </c>
      <c r="F504" s="1" t="inlineStr">
        <is>
          <t>DRIVER</t>
        </is>
      </c>
      <c r="G504" s="1" t="inlineStr">
        <is>
          <t>GF12101011249S</t>
        </is>
      </c>
      <c r="H504" s="1" t="n">
        <v>1</v>
      </c>
      <c r="I504" s="1" t="inlineStr">
        <is>
          <t>หมด</t>
        </is>
      </c>
      <c r="J504" s="13" t="n">
        <v>649</v>
      </c>
      <c r="K504" s="1" t="inlineStr"/>
      <c r="L504" s="13" t="n">
        <v>649</v>
      </c>
      <c r="M504" s="1">
        <f>IF(L504="","ไม่พบใน SG",IF(ABS(J504-L504)&lt;0.005,"ตรงกัน","ไม่ตรง"))</f>
        <v/>
      </c>
      <c r="N504" s="14">
        <f>IF(L504="","",ROUND(L504*'สรุป'!$C$6,-1))</f>
        <v/>
      </c>
      <c r="O504" s="15" t="n"/>
      <c r="P504" s="15" t="n"/>
      <c r="Q504" s="10" t="n"/>
      <c r="R504" s="10" t="n"/>
      <c r="S504" s="16" t="inlineStr">
        <is>
          <t>https://mstgolf.co.th/products/gf1210101124</t>
        </is>
      </c>
      <c r="T504" s="1">
        <f>IF(B504="ไม้กอล์ฟ",J504,"")</f>
        <v/>
      </c>
    </row>
    <row r="505">
      <c r="A505" s="1" t="n">
        <v>1</v>
      </c>
      <c r="B505" s="1" t="inlineStr">
        <is>
          <t>ไม้กอล์ฟ</t>
        </is>
      </c>
      <c r="C505" s="1" t="inlineStr">
        <is>
          <t>gf1210100820</t>
        </is>
      </c>
      <c r="D505" s="1" t="inlineStr">
        <is>
          <t>TITLEIST TSR2 Women's Driver</t>
        </is>
      </c>
      <c r="E505" s="1" t="inlineStr">
        <is>
          <t>TITLEIST</t>
        </is>
      </c>
      <c r="F505" s="1" t="inlineStr">
        <is>
          <t>DRIVER</t>
        </is>
      </c>
      <c r="G505" s="1" t="inlineStr">
        <is>
          <t>GF121010082011L</t>
        </is>
      </c>
      <c r="H505" s="1" t="n">
        <v>1</v>
      </c>
      <c r="I505" s="1" t="inlineStr">
        <is>
          <t>หมด</t>
        </is>
      </c>
      <c r="J505" s="13" t="n">
        <v>649</v>
      </c>
      <c r="K505" s="1" t="inlineStr"/>
      <c r="L505" s="13" t="n"/>
      <c r="M505" s="1">
        <f>IF(L505="","ไม่พบใน SG",IF(ABS(J505-L505)&lt;0.005,"ตรงกัน","ไม่ตรง"))</f>
        <v/>
      </c>
      <c r="N505" s="14">
        <f>IF(L505="","",ROUND(L505*'สรุป'!$C$6,-1))</f>
        <v/>
      </c>
      <c r="O505" s="15" t="n"/>
      <c r="P505" s="15" t="n"/>
      <c r="Q505" s="10" t="n"/>
      <c r="R505" s="10" t="n"/>
      <c r="S505" s="16" t="inlineStr">
        <is>
          <t>https://mstgolf.co.th/products/gf1210100820</t>
        </is>
      </c>
      <c r="T505" s="1">
        <f>IF(B505="ไม้กอล์ฟ",J505,"")</f>
        <v/>
      </c>
    </row>
    <row r="506">
      <c r="A506" s="1" t="n">
        <v>1</v>
      </c>
      <c r="B506" s="1" t="inlineStr">
        <is>
          <t>ไม้กอล์ฟ</t>
        </is>
      </c>
      <c r="C506" s="1" t="inlineStr">
        <is>
          <t>gf1210100824</t>
        </is>
      </c>
      <c r="D506" s="1" t="inlineStr">
        <is>
          <t>TITLEIST TSR4 Men's Driver</t>
        </is>
      </c>
      <c r="E506" s="1" t="inlineStr">
        <is>
          <t>TITLEIST</t>
        </is>
      </c>
      <c r="F506" s="1" t="inlineStr">
        <is>
          <t>DRIVER</t>
        </is>
      </c>
      <c r="G506" s="1" t="inlineStr">
        <is>
          <t>GF12101008249S</t>
        </is>
      </c>
      <c r="H506" s="1" t="n">
        <v>2</v>
      </c>
      <c r="I506" s="1" t="inlineStr">
        <is>
          <t>หมด</t>
        </is>
      </c>
      <c r="J506" s="13" t="n">
        <v>649</v>
      </c>
      <c r="K506" s="1" t="inlineStr"/>
      <c r="L506" s="13" t="n"/>
      <c r="M506" s="1">
        <f>IF(L506="","ไม่พบใน SG",IF(ABS(J506-L506)&lt;0.005,"ตรงกัน","ไม่ตรง"))</f>
        <v/>
      </c>
      <c r="N506" s="14">
        <f>IF(L506="","",ROUND(L506*'สรุป'!$C$6,-1))</f>
        <v/>
      </c>
      <c r="O506" s="15" t="n"/>
      <c r="P506" s="15" t="n"/>
      <c r="Q506" s="10" t="n"/>
      <c r="R506" s="10" t="n"/>
      <c r="S506" s="16" t="inlineStr">
        <is>
          <t>https://mstgolf.co.th/products/gf1210100824</t>
        </is>
      </c>
      <c r="T506" s="1">
        <f>IF(B506="ไม้กอล์ฟ",J506,"")</f>
        <v/>
      </c>
    </row>
    <row r="507">
      <c r="A507" s="1" t="n">
        <v>1</v>
      </c>
      <c r="B507" s="1" t="inlineStr">
        <is>
          <t>ไม้กอล์ฟ</t>
        </is>
      </c>
      <c r="C507" s="1" t="inlineStr">
        <is>
          <t>gf1220100965</t>
        </is>
      </c>
      <c r="D507" s="1" t="inlineStr">
        <is>
          <t>TAYLORMADE Qi4D Tour (2026) Men's Fairway</t>
        </is>
      </c>
      <c r="E507" s="1" t="inlineStr">
        <is>
          <t>TAYLORMADE</t>
        </is>
      </c>
      <c r="F507" s="1" t="inlineStr">
        <is>
          <t>FAIRWAY WOOD</t>
        </is>
      </c>
      <c r="G507" s="1" t="inlineStr">
        <is>
          <t>GF1220100965#3S</t>
        </is>
      </c>
      <c r="H507" s="1" t="n">
        <v>2</v>
      </c>
      <c r="I507" s="1" t="inlineStr">
        <is>
          <t>หมด</t>
        </is>
      </c>
      <c r="J507" s="13" t="n">
        <v>639</v>
      </c>
      <c r="K507" s="1" t="inlineStr"/>
      <c r="L507" s="13" t="n">
        <v>599</v>
      </c>
      <c r="M507" s="1">
        <f>IF(L507="","ไม่พบใน SG",IF(ABS(J507-L507)&lt;0.005,"ตรงกัน","ไม่ตรง"))</f>
        <v/>
      </c>
      <c r="N507" s="14">
        <f>IF(L507="","",ROUND(L507*'สรุป'!$C$6,-1))</f>
        <v/>
      </c>
      <c r="O507" s="15" t="n"/>
      <c r="P507" s="15" t="n"/>
      <c r="Q507" s="10" t="n"/>
      <c r="R507" s="10" t="n"/>
      <c r="S507" s="16" t="inlineStr">
        <is>
          <t>https://mstgolf.co.th/products/gf1220100965</t>
        </is>
      </c>
      <c r="T507" s="1">
        <f>IF(B507="ไม้กอล์ฟ",J507,"")</f>
        <v/>
      </c>
    </row>
    <row r="508">
      <c r="A508" s="1" t="n">
        <v>1</v>
      </c>
      <c r="B508" s="1" t="inlineStr">
        <is>
          <t>ไม้กอล์ฟ</t>
        </is>
      </c>
      <c r="C508" s="1" t="inlineStr">
        <is>
          <t>gf1220100701</t>
        </is>
      </c>
      <c r="D508" s="1" t="inlineStr">
        <is>
          <t>MAJESTY Royale (2023) Men's Fairway</t>
        </is>
      </c>
      <c r="E508" s="1" t="inlineStr">
        <is>
          <t>MAJESTY</t>
        </is>
      </c>
      <c r="F508" s="1" t="inlineStr">
        <is>
          <t>FAIRWAY WOOD</t>
        </is>
      </c>
      <c r="G508" s="1" t="inlineStr">
        <is>
          <t>GF1220100701#3SR</t>
        </is>
      </c>
      <c r="H508" s="1" t="n">
        <v>4</v>
      </c>
      <c r="I508" s="1" t="inlineStr">
        <is>
          <t>หมด</t>
        </is>
      </c>
      <c r="J508" s="13" t="n">
        <v>629</v>
      </c>
      <c r="K508" s="1" t="inlineStr"/>
      <c r="L508" s="13" t="n">
        <v>629</v>
      </c>
      <c r="M508" s="1">
        <f>IF(L508="","ไม่พบใน SG",IF(ABS(J508-L508)&lt;0.005,"ตรงกัน","ไม่ตรง"))</f>
        <v/>
      </c>
      <c r="N508" s="14">
        <f>IF(L508="","",ROUND(L508*'สรุป'!$C$6,-1))</f>
        <v/>
      </c>
      <c r="O508" s="15" t="n"/>
      <c r="P508" s="15" t="n"/>
      <c r="Q508" s="10" t="n"/>
      <c r="R508" s="10" t="n"/>
      <c r="S508" s="16" t="inlineStr">
        <is>
          <t>https://mstgolf.co.th/products/gf1220100701</t>
        </is>
      </c>
      <c r="T508" s="1">
        <f>IF(B508="ไม้กอล์ฟ",J508,"")</f>
        <v/>
      </c>
    </row>
    <row r="509">
      <c r="A509" s="1" t="n">
        <v>1</v>
      </c>
      <c r="B509" s="1" t="inlineStr">
        <is>
          <t>ไม้กอล์ฟ</t>
        </is>
      </c>
      <c r="C509" s="1" t="inlineStr">
        <is>
          <t>gf1220100702</t>
        </is>
      </c>
      <c r="D509" s="1" t="inlineStr">
        <is>
          <t>MAJESTY Royale (2023) Women's Fairway</t>
        </is>
      </c>
      <c r="E509" s="1" t="inlineStr">
        <is>
          <t>MAJESTY</t>
        </is>
      </c>
      <c r="F509" s="1" t="inlineStr">
        <is>
          <t>FAIRWAY WOOD</t>
        </is>
      </c>
      <c r="G509" s="1" t="inlineStr">
        <is>
          <t>GF1220100702#3L</t>
        </is>
      </c>
      <c r="H509" s="1" t="n">
        <v>3</v>
      </c>
      <c r="I509" s="1" t="inlineStr">
        <is>
          <t>หมด</t>
        </is>
      </c>
      <c r="J509" s="13" t="n">
        <v>629</v>
      </c>
      <c r="K509" s="1" t="inlineStr"/>
      <c r="L509" s="13" t="n"/>
      <c r="M509" s="1">
        <f>IF(L509="","ไม่พบใน SG",IF(ABS(J509-L509)&lt;0.005,"ตรงกัน","ไม่ตรง"))</f>
        <v/>
      </c>
      <c r="N509" s="14">
        <f>IF(L509="","",ROUND(L509*'สรุป'!$C$6,-1))</f>
        <v/>
      </c>
      <c r="O509" s="15" t="n"/>
      <c r="P509" s="15" t="n"/>
      <c r="Q509" s="10" t="n"/>
      <c r="R509" s="10" t="n"/>
      <c r="S509" s="16" t="inlineStr">
        <is>
          <t>https://mstgolf.co.th/products/gf1220100702</t>
        </is>
      </c>
      <c r="T509" s="1">
        <f>IF(B509="ไม้กอล์ฟ",J509,"")</f>
        <v/>
      </c>
    </row>
    <row r="510">
      <c r="A510" s="1" t="n">
        <v>1</v>
      </c>
      <c r="B510" s="1" t="inlineStr">
        <is>
          <t>ไม้กอล์ฟ</t>
        </is>
      </c>
      <c r="C510" s="1" t="inlineStr">
        <is>
          <t>gf1210100832</t>
        </is>
      </c>
      <c r="D510" s="1" t="inlineStr">
        <is>
          <t>ONOFF LP423D Blue (2023) Women's Driver</t>
        </is>
      </c>
      <c r="E510" s="1" t="inlineStr">
        <is>
          <t>ONOFF</t>
        </is>
      </c>
      <c r="F510" s="1" t="inlineStr">
        <is>
          <t>DRIVER</t>
        </is>
      </c>
      <c r="G510" s="1" t="inlineStr">
        <is>
          <t>GF1210100832115L</t>
        </is>
      </c>
      <c r="H510" s="1" t="n">
        <v>1</v>
      </c>
      <c r="I510" s="1" t="inlineStr">
        <is>
          <t>หมด</t>
        </is>
      </c>
      <c r="J510" s="13" t="n">
        <v>629</v>
      </c>
      <c r="K510" s="1" t="inlineStr"/>
      <c r="L510" s="13" t="n"/>
      <c r="M510" s="1">
        <f>IF(L510="","ไม่พบใน SG",IF(ABS(J510-L510)&lt;0.005,"ตรงกัน","ไม่ตรง"))</f>
        <v/>
      </c>
      <c r="N510" s="14">
        <f>IF(L510="","",ROUND(L510*'สรุป'!$C$6,-1))</f>
        <v/>
      </c>
      <c r="O510" s="15" t="n"/>
      <c r="P510" s="15" t="n"/>
      <c r="Q510" s="10" t="n"/>
      <c r="R510" s="10" t="n"/>
      <c r="S510" s="16" t="inlineStr">
        <is>
          <t>https://mstgolf.co.th/products/gf1210100832</t>
        </is>
      </c>
      <c r="T510" s="1">
        <f>IF(B510="ไม้กอล์ฟ",J510,"")</f>
        <v/>
      </c>
    </row>
    <row r="511">
      <c r="A511" s="1" t="n">
        <v>1</v>
      </c>
      <c r="B511" s="1" t="inlineStr">
        <is>
          <t>ไม้กอล์ฟ</t>
        </is>
      </c>
      <c r="C511" s="1" t="inlineStr">
        <is>
          <t>gf1210100831</t>
        </is>
      </c>
      <c r="D511" s="1" t="inlineStr">
        <is>
          <t>ONOFF LP423D Pink Women's Driver</t>
        </is>
      </c>
      <c r="E511" s="1" t="inlineStr">
        <is>
          <t>ONOFF</t>
        </is>
      </c>
      <c r="F511" s="1" t="inlineStr">
        <is>
          <t>DRIVER</t>
        </is>
      </c>
      <c r="G511" s="1" t="inlineStr">
        <is>
          <t>GF1210100831115L</t>
        </is>
      </c>
      <c r="H511" s="1" t="n">
        <v>1</v>
      </c>
      <c r="I511" s="1" t="inlineStr">
        <is>
          <t>หมด</t>
        </is>
      </c>
      <c r="J511" s="13" t="n">
        <v>629</v>
      </c>
      <c r="K511" s="1" t="inlineStr"/>
      <c r="L511" s="13" t="n"/>
      <c r="M511" s="1">
        <f>IF(L511="","ไม่พบใน SG",IF(ABS(J511-L511)&lt;0.005,"ตรงกัน","ไม่ตรง"))</f>
        <v/>
      </c>
      <c r="N511" s="14">
        <f>IF(L511="","",ROUND(L511*'สรุป'!$C$6,-1))</f>
        <v/>
      </c>
      <c r="O511" s="15" t="n"/>
      <c r="P511" s="15" t="n"/>
      <c r="Q511" s="10" t="n"/>
      <c r="R511" s="10" t="n"/>
      <c r="S511" s="16" t="inlineStr">
        <is>
          <t>https://mstgolf.co.th/products/gf1210100831</t>
        </is>
      </c>
      <c r="T511" s="1">
        <f>IF(B511="ไม้กอล์ฟ",J511,"")</f>
        <v/>
      </c>
    </row>
    <row r="512">
      <c r="A512" s="1" t="n">
        <v>1</v>
      </c>
      <c r="B512" s="1" t="inlineStr">
        <is>
          <t>ไม้กอล์ฟ</t>
        </is>
      </c>
      <c r="C512" s="1" t="inlineStr">
        <is>
          <t>gf1210100530</t>
        </is>
      </c>
      <c r="D512" s="1" t="inlineStr">
        <is>
          <t>TITLEIST TSi2 Men's Driver</t>
        </is>
      </c>
      <c r="E512" s="1" t="inlineStr">
        <is>
          <t>TITLEIST</t>
        </is>
      </c>
      <c r="F512" s="1" t="inlineStr">
        <is>
          <t>DRIVER</t>
        </is>
      </c>
      <c r="G512" s="1" t="inlineStr">
        <is>
          <t>GF12101006009S</t>
        </is>
      </c>
      <c r="H512" s="1" t="n">
        <v>12</v>
      </c>
      <c r="I512" s="1" t="inlineStr">
        <is>
          <t>หมด</t>
        </is>
      </c>
      <c r="J512" s="13" t="n">
        <v>625</v>
      </c>
      <c r="K512" s="1" t="inlineStr">
        <is>
          <t>ต่างกัน</t>
        </is>
      </c>
      <c r="L512" s="13" t="n"/>
      <c r="M512" s="1">
        <f>IF(L512="","ไม่พบใน SG",IF(ABS(J512-L512)&lt;0.005,"ตรงกัน","ไม่ตรง"))</f>
        <v/>
      </c>
      <c r="N512" s="14">
        <f>IF(L512="","",ROUND(L512*'สรุป'!$C$6,-1))</f>
        <v/>
      </c>
      <c r="O512" s="15" t="n"/>
      <c r="P512" s="15" t="n"/>
      <c r="Q512" s="10" t="n"/>
      <c r="R512" s="10" t="n"/>
      <c r="S512" s="16" t="inlineStr">
        <is>
          <t>https://mstgolf.co.th/products/gf1210100530</t>
        </is>
      </c>
      <c r="T512" s="1">
        <f>IF(B512="ไม้กอล์ฟ",J512,"")</f>
        <v/>
      </c>
    </row>
    <row r="513">
      <c r="A513" s="1" t="n">
        <v>1</v>
      </c>
      <c r="B513" s="1" t="inlineStr">
        <is>
          <t>อุปกรณ์วัดระยะ/เทคโนโลยี</t>
        </is>
      </c>
      <c r="C513" s="1" t="inlineStr">
        <is>
          <t>gf3190200018</t>
        </is>
      </c>
      <c r="D513" s="1" t="inlineStr">
        <is>
          <t>VOICE CADDIE SC300 SWING CADDIE PORTABLE LAUNCH MONITOR</t>
        </is>
      </c>
      <c r="E513" s="1" t="inlineStr">
        <is>
          <t>VOICE CADDIE</t>
        </is>
      </c>
      <c r="F513" s="1" t="inlineStr">
        <is>
          <t>HANDHELD</t>
        </is>
      </c>
      <c r="G513" s="1" t="inlineStr">
        <is>
          <t>GF3190200018</t>
        </is>
      </c>
      <c r="H513" s="1" t="n">
        <v>1</v>
      </c>
      <c r="I513" s="1" t="inlineStr">
        <is>
          <t>หมด</t>
        </is>
      </c>
      <c r="J513" s="13" t="n">
        <v>625</v>
      </c>
      <c r="K513" s="1" t="inlineStr"/>
      <c r="L513" s="13" t="n">
        <v>625</v>
      </c>
      <c r="M513" s="1">
        <f>IF(L513="","ไม่พบใน SG",IF(ABS(J513-L513)&lt;0.005,"ตรงกัน","ไม่ตรง"))</f>
        <v/>
      </c>
      <c r="N513" s="14">
        <f>IF(L513="","",ROUND(L513*'สรุป'!$C$6,-1))</f>
        <v/>
      </c>
      <c r="O513" s="15" t="n"/>
      <c r="P513" s="15" t="n"/>
      <c r="Q513" s="10" t="n"/>
      <c r="R513" s="10" t="n"/>
      <c r="S513" s="16" t="inlineStr">
        <is>
          <t>https://mstgolf.co.th/products/gf3190200018</t>
        </is>
      </c>
      <c r="T513" s="1">
        <f>IF(B513="ไม้กอล์ฟ",J513,"")</f>
        <v/>
      </c>
    </row>
    <row r="514">
      <c r="A514" s="1" t="n">
        <v>1</v>
      </c>
      <c r="B514" s="1" t="inlineStr">
        <is>
          <t>ไม้กอล์ฟ</t>
        </is>
      </c>
      <c r="C514" s="1" t="inlineStr">
        <is>
          <t>gf1250100084</t>
        </is>
      </c>
      <c r="D514" s="1" t="inlineStr">
        <is>
          <t>WILSON Profile SGI (2019) Men's Steel Package Set</t>
        </is>
      </c>
      <c r="E514" s="1" t="inlineStr">
        <is>
          <t>WILSON</t>
        </is>
      </c>
      <c r="F514" s="1" t="inlineStr">
        <is>
          <t>PACKAGE SET</t>
        </is>
      </c>
      <c r="G514" s="1" t="inlineStr">
        <is>
          <t>GF1250100084</t>
        </is>
      </c>
      <c r="H514" s="1" t="n">
        <v>1</v>
      </c>
      <c r="I514" s="1" t="inlineStr">
        <is>
          <t>หมด</t>
        </is>
      </c>
      <c r="J514" s="13" t="n">
        <v>619</v>
      </c>
      <c r="K514" s="1" t="inlineStr"/>
      <c r="L514" s="13" t="n">
        <v>619</v>
      </c>
      <c r="M514" s="1">
        <f>IF(L514="","ไม่พบใน SG",IF(ABS(J514-L514)&lt;0.005,"ตรงกัน","ไม่ตรง"))</f>
        <v/>
      </c>
      <c r="N514" s="14">
        <f>IF(L514="","",ROUND(L514*'สรุป'!$C$6,-1))</f>
        <v/>
      </c>
      <c r="O514" s="15" t="n"/>
      <c r="P514" s="15" t="n"/>
      <c r="Q514" s="10" t="n"/>
      <c r="R514" s="10" t="n"/>
      <c r="S514" s="16" t="inlineStr">
        <is>
          <t>https://mstgolf.co.th/products/gf1250100084</t>
        </is>
      </c>
      <c r="T514" s="1">
        <f>IF(B514="ไม้กอล์ฟ",J514,"")</f>
        <v/>
      </c>
    </row>
    <row r="515">
      <c r="A515" s="1" t="n">
        <v>1</v>
      </c>
      <c r="B515" s="1" t="inlineStr">
        <is>
          <t>ไม้กอล์ฟ</t>
        </is>
      </c>
      <c r="C515" s="1" t="inlineStr">
        <is>
          <t>gf1250100085</t>
        </is>
      </c>
      <c r="D515" s="1" t="inlineStr">
        <is>
          <t>WILSON Profile SGI (2019) Women's Package Set</t>
        </is>
      </c>
      <c r="E515" s="1" t="inlineStr">
        <is>
          <t>WILSON</t>
        </is>
      </c>
      <c r="F515" s="1" t="inlineStr">
        <is>
          <t>PACKAGE SET</t>
        </is>
      </c>
      <c r="G515" s="1" t="inlineStr">
        <is>
          <t>GF1250100085</t>
        </is>
      </c>
      <c r="H515" s="1" t="n">
        <v>1</v>
      </c>
      <c r="I515" s="1" t="inlineStr">
        <is>
          <t>หมด</t>
        </is>
      </c>
      <c r="J515" s="13" t="n">
        <v>619</v>
      </c>
      <c r="K515" s="1" t="inlineStr"/>
      <c r="L515" s="13" t="n">
        <v>619</v>
      </c>
      <c r="M515" s="1">
        <f>IF(L515="","ไม่พบใน SG",IF(ABS(J515-L515)&lt;0.005,"ตรงกัน","ไม่ตรง"))</f>
        <v/>
      </c>
      <c r="N515" s="14">
        <f>IF(L515="","",ROUND(L515*'สรุป'!$C$6,-1))</f>
        <v/>
      </c>
      <c r="O515" s="15" t="n"/>
      <c r="P515" s="15" t="n"/>
      <c r="Q515" s="10" t="n"/>
      <c r="R515" s="10" t="n"/>
      <c r="S515" s="16" t="inlineStr">
        <is>
          <t>https://mstgolf.co.th/products/gf1250100085</t>
        </is>
      </c>
      <c r="T515" s="1">
        <f>IF(B515="ไม้กอล์ฟ",J515,"")</f>
        <v/>
      </c>
    </row>
    <row r="516">
      <c r="A516" s="1" t="n">
        <v>1</v>
      </c>
      <c r="B516" s="1" t="inlineStr">
        <is>
          <t>ไม้กอล์ฟ</t>
        </is>
      </c>
      <c r="C516" s="1" t="inlineStr">
        <is>
          <t>gf1210101023</t>
        </is>
      </c>
      <c r="D516" s="1" t="inlineStr">
        <is>
          <t>TAYLORMADE BRNR Mini Copper (2024) Men's Driver</t>
        </is>
      </c>
      <c r="E516" s="1" t="inlineStr">
        <is>
          <t>TAYLORMADE</t>
        </is>
      </c>
      <c r="F516" s="1" t="inlineStr">
        <is>
          <t>DRIVER</t>
        </is>
      </c>
      <c r="G516" s="1" t="inlineStr">
        <is>
          <t>GF1210101023115SR</t>
        </is>
      </c>
      <c r="H516" s="1" t="n">
        <v>4</v>
      </c>
      <c r="I516" s="1" t="inlineStr">
        <is>
          <t>หมด</t>
        </is>
      </c>
      <c r="J516" s="13" t="n">
        <v>615</v>
      </c>
      <c r="K516" s="1" t="inlineStr"/>
      <c r="L516" s="13" t="n"/>
      <c r="M516" s="1">
        <f>IF(L516="","ไม่พบใน SG",IF(ABS(J516-L516)&lt;0.005,"ตรงกัน","ไม่ตรง"))</f>
        <v/>
      </c>
      <c r="N516" s="14">
        <f>IF(L516="","",ROUND(L516*'สรุป'!$C$6,-1))</f>
        <v/>
      </c>
      <c r="O516" s="15" t="n"/>
      <c r="P516" s="15" t="n"/>
      <c r="Q516" s="10" t="n"/>
      <c r="R516" s="10" t="n"/>
      <c r="S516" s="16" t="inlineStr">
        <is>
          <t>https://mstgolf.co.th/products/gf1210101023</t>
        </is>
      </c>
      <c r="T516" s="1">
        <f>IF(B516="ไม้กอล์ฟ",J516,"")</f>
        <v/>
      </c>
    </row>
    <row r="517">
      <c r="A517" s="1" t="n">
        <v>1</v>
      </c>
      <c r="B517" s="1" t="inlineStr">
        <is>
          <t>ไม้กอล์ฟ</t>
        </is>
      </c>
      <c r="C517" s="1" t="inlineStr">
        <is>
          <t>gf1240101249</t>
        </is>
      </c>
      <c r="D517" s="1" t="inlineStr">
        <is>
          <t>BETTINARDI Inovai 10.0 Plumbers Standard Grip (2024) Men's Putter</t>
        </is>
      </c>
      <c r="E517" s="1" t="inlineStr">
        <is>
          <t>BETTINARDI</t>
        </is>
      </c>
      <c r="F517" s="1" t="inlineStr">
        <is>
          <t>PUTTER</t>
        </is>
      </c>
      <c r="G517" s="1" t="inlineStr">
        <is>
          <t>GF124010125034</t>
        </is>
      </c>
      <c r="H517" s="1" t="n">
        <v>2</v>
      </c>
      <c r="I517" s="1" t="inlineStr">
        <is>
          <t>หมด</t>
        </is>
      </c>
      <c r="J517" s="13" t="n">
        <v>609</v>
      </c>
      <c r="K517" s="1" t="inlineStr"/>
      <c r="L517" s="13" t="n">
        <v>425</v>
      </c>
      <c r="M517" s="1">
        <f>IF(L517="","ไม่พบใน SG",IF(ABS(J517-L517)&lt;0.005,"ตรงกัน","ไม่ตรง"))</f>
        <v/>
      </c>
      <c r="N517" s="14">
        <f>IF(L517="","",ROUND(L517*'สรุป'!$C$6,-1))</f>
        <v/>
      </c>
      <c r="O517" s="15" t="n"/>
      <c r="P517" s="15" t="n"/>
      <c r="Q517" s="10" t="n"/>
      <c r="R517" s="10" t="n"/>
      <c r="S517" s="16" t="inlineStr">
        <is>
          <t>https://mstgolf.co.th/products/gf1240101249</t>
        </is>
      </c>
      <c r="T517" s="1">
        <f>IF(B517="ไม้กอล์ฟ",J517,"")</f>
        <v/>
      </c>
    </row>
    <row r="518">
      <c r="A518" s="1" t="n">
        <v>1</v>
      </c>
      <c r="B518" s="1" t="inlineStr">
        <is>
          <t>ไม้กอล์ฟ</t>
        </is>
      </c>
      <c r="C518" s="1" t="inlineStr">
        <is>
          <t>gf1240101244</t>
        </is>
      </c>
      <c r="D518" s="1" t="inlineStr">
        <is>
          <t>BETTINARDI Inovai 6.0 Center Standard Grip (2024) Men's Putter</t>
        </is>
      </c>
      <c r="E518" s="1" t="inlineStr">
        <is>
          <t>BETTINARDI</t>
        </is>
      </c>
      <c r="F518" s="1" t="inlineStr">
        <is>
          <t>PUTTER</t>
        </is>
      </c>
      <c r="G518" s="1" t="inlineStr">
        <is>
          <t>GF124010124434</t>
        </is>
      </c>
      <c r="H518" s="1" t="n">
        <v>1</v>
      </c>
      <c r="I518" s="1" t="inlineStr">
        <is>
          <t>หมด</t>
        </is>
      </c>
      <c r="J518" s="13" t="n">
        <v>609</v>
      </c>
      <c r="K518" s="1" t="inlineStr"/>
      <c r="L518" s="13" t="n">
        <v>425</v>
      </c>
      <c r="M518" s="1">
        <f>IF(L518="","ไม่พบใน SG",IF(ABS(J518-L518)&lt;0.005,"ตรงกัน","ไม่ตรง"))</f>
        <v/>
      </c>
      <c r="N518" s="14">
        <f>IF(L518="","",ROUND(L518*'สรุป'!$C$6,-1))</f>
        <v/>
      </c>
      <c r="O518" s="15" t="n"/>
      <c r="P518" s="15" t="n"/>
      <c r="Q518" s="10" t="n"/>
      <c r="R518" s="10" t="n"/>
      <c r="S518" s="16" t="inlineStr">
        <is>
          <t>https://mstgolf.co.th/products/gf1240101244</t>
        </is>
      </c>
      <c r="T518" s="1">
        <f>IF(B518="ไม้กอล์ฟ",J518,"")</f>
        <v/>
      </c>
    </row>
    <row r="519">
      <c r="A519" s="1" t="n">
        <v>1</v>
      </c>
      <c r="B519" s="1" t="inlineStr">
        <is>
          <t>ไม้กอล์ฟ</t>
        </is>
      </c>
      <c r="C519" s="1" t="inlineStr">
        <is>
          <t>gf1240101242</t>
        </is>
      </c>
      <c r="D519" s="1" t="inlineStr">
        <is>
          <t>BETTINARDI Inovai 6.0 Slant Standard Grip (2024) Men's Putter</t>
        </is>
      </c>
      <c r="E519" s="1" t="inlineStr">
        <is>
          <t>BETTINARDI</t>
        </is>
      </c>
      <c r="F519" s="1" t="inlineStr">
        <is>
          <t>PUTTER</t>
        </is>
      </c>
      <c r="G519" s="1" t="inlineStr">
        <is>
          <t>GF124010124234</t>
        </is>
      </c>
      <c r="H519" s="1" t="n">
        <v>1</v>
      </c>
      <c r="I519" s="1" t="inlineStr">
        <is>
          <t>หมด</t>
        </is>
      </c>
      <c r="J519" s="13" t="n">
        <v>609</v>
      </c>
      <c r="K519" s="1" t="inlineStr"/>
      <c r="L519" s="13" t="n">
        <v>425</v>
      </c>
      <c r="M519" s="1">
        <f>IF(L519="","ไม่พบใน SG",IF(ABS(J519-L519)&lt;0.005,"ตรงกัน","ไม่ตรง"))</f>
        <v/>
      </c>
      <c r="N519" s="14">
        <f>IF(L519="","",ROUND(L519*'สรุป'!$C$6,-1))</f>
        <v/>
      </c>
      <c r="O519" s="15" t="n"/>
      <c r="P519" s="15" t="n"/>
      <c r="Q519" s="10" t="n"/>
      <c r="R519" s="10" t="n"/>
      <c r="S519" s="16" t="inlineStr">
        <is>
          <t>https://mstgolf.co.th/products/gf1240101242</t>
        </is>
      </c>
      <c r="T519" s="1">
        <f>IF(B519="ไม้กอล์ฟ",J519,"")</f>
        <v/>
      </c>
    </row>
    <row r="520">
      <c r="A520" s="1" t="n">
        <v>1</v>
      </c>
      <c r="B520" s="1" t="inlineStr">
        <is>
          <t>ไม้กอล์ฟ</t>
        </is>
      </c>
      <c r="C520" s="1" t="inlineStr">
        <is>
          <t>gf1240101243</t>
        </is>
      </c>
      <c r="D520" s="1" t="inlineStr">
        <is>
          <t>BETTINARDI Inovai 6.0 Spud Standard Grip (2024) Men's Putter</t>
        </is>
      </c>
      <c r="E520" s="1" t="inlineStr">
        <is>
          <t>BETTINARDI</t>
        </is>
      </c>
      <c r="F520" s="1" t="inlineStr">
        <is>
          <t>PUTTER</t>
        </is>
      </c>
      <c r="G520" s="1" t="inlineStr">
        <is>
          <t>GF124010124334</t>
        </is>
      </c>
      <c r="H520" s="1" t="n">
        <v>1</v>
      </c>
      <c r="I520" s="1" t="inlineStr">
        <is>
          <t>หมด</t>
        </is>
      </c>
      <c r="J520" s="13" t="n">
        <v>609</v>
      </c>
      <c r="K520" s="1" t="inlineStr"/>
      <c r="L520" s="13" t="n">
        <v>425</v>
      </c>
      <c r="M520" s="1">
        <f>IF(L520="","ไม่พบใน SG",IF(ABS(J520-L520)&lt;0.005,"ตรงกัน","ไม่ตรง"))</f>
        <v/>
      </c>
      <c r="N520" s="14">
        <f>IF(L520="","",ROUND(L520*'สรุป'!$C$6,-1))</f>
        <v/>
      </c>
      <c r="O520" s="15" t="n"/>
      <c r="P520" s="15" t="n"/>
      <c r="Q520" s="10" t="n"/>
      <c r="R520" s="10" t="n"/>
      <c r="S520" s="16" t="inlineStr">
        <is>
          <t>https://mstgolf.co.th/products/gf1240101243</t>
        </is>
      </c>
      <c r="T520" s="1">
        <f>IF(B520="ไม้กอล์ฟ",J520,"")</f>
        <v/>
      </c>
    </row>
    <row r="521">
      <c r="A521" s="1" t="n">
        <v>1</v>
      </c>
      <c r="B521" s="1" t="inlineStr">
        <is>
          <t>ไม้กอล์ฟ</t>
        </is>
      </c>
      <c r="C521" s="1" t="inlineStr">
        <is>
          <t>gf1240101246</t>
        </is>
      </c>
      <c r="D521" s="1" t="inlineStr">
        <is>
          <t>BETTINARDI Inovai 6.5 Slant Standard Grip (2024) Men's Putter</t>
        </is>
      </c>
      <c r="E521" s="1" t="inlineStr">
        <is>
          <t>BETTINARDI</t>
        </is>
      </c>
      <c r="F521" s="1" t="inlineStr">
        <is>
          <t>PUTTER</t>
        </is>
      </c>
      <c r="G521" s="1" t="inlineStr">
        <is>
          <t>GF124010124634</t>
        </is>
      </c>
      <c r="H521" s="1" t="n">
        <v>1</v>
      </c>
      <c r="I521" s="1" t="inlineStr">
        <is>
          <t>หมด</t>
        </is>
      </c>
      <c r="J521" s="13" t="n">
        <v>609</v>
      </c>
      <c r="K521" s="1" t="inlineStr"/>
      <c r="L521" s="13" t="n">
        <v>425</v>
      </c>
      <c r="M521" s="1">
        <f>IF(L521="","ไม่พบใน SG",IF(ABS(J521-L521)&lt;0.005,"ตรงกัน","ไม่ตรง"))</f>
        <v/>
      </c>
      <c r="N521" s="14">
        <f>IF(L521="","",ROUND(L521*'สรุป'!$C$6,-1))</f>
        <v/>
      </c>
      <c r="O521" s="15" t="n"/>
      <c r="P521" s="15" t="n"/>
      <c r="Q521" s="10" t="n"/>
      <c r="R521" s="10" t="n"/>
      <c r="S521" s="16" t="inlineStr">
        <is>
          <t>https://mstgolf.co.th/products/gf1240101246</t>
        </is>
      </c>
      <c r="T521" s="1">
        <f>IF(B521="ไม้กอล์ฟ",J521,"")</f>
        <v/>
      </c>
    </row>
    <row r="522">
      <c r="A522" s="1" t="n">
        <v>1</v>
      </c>
      <c r="B522" s="1" t="inlineStr">
        <is>
          <t>ไม้กอล์ฟ</t>
        </is>
      </c>
      <c r="C522" s="1" t="inlineStr">
        <is>
          <t>gf1240101247</t>
        </is>
      </c>
      <c r="D522" s="1" t="inlineStr">
        <is>
          <t>BETTINARDI Inovai 6.5 Spud Standard Grip (2024) Men's Putter</t>
        </is>
      </c>
      <c r="E522" s="1" t="inlineStr">
        <is>
          <t>BETTINARDI</t>
        </is>
      </c>
      <c r="F522" s="1" t="inlineStr">
        <is>
          <t>PUTTER</t>
        </is>
      </c>
      <c r="G522" s="1" t="inlineStr">
        <is>
          <t>GF124010124734</t>
        </is>
      </c>
      <c r="H522" s="1" t="n">
        <v>1</v>
      </c>
      <c r="I522" s="1" t="inlineStr">
        <is>
          <t>หมด</t>
        </is>
      </c>
      <c r="J522" s="13" t="n">
        <v>609</v>
      </c>
      <c r="K522" s="1" t="inlineStr"/>
      <c r="L522" s="13" t="n">
        <v>425</v>
      </c>
      <c r="M522" s="1">
        <f>IF(L522="","ไม่พบใน SG",IF(ABS(J522-L522)&lt;0.005,"ตรงกัน","ไม่ตรง"))</f>
        <v/>
      </c>
      <c r="N522" s="14">
        <f>IF(L522="","",ROUND(L522*'สรุป'!$C$6,-1))</f>
        <v/>
      </c>
      <c r="O522" s="15" t="n"/>
      <c r="P522" s="15" t="n"/>
      <c r="Q522" s="10" t="n"/>
      <c r="R522" s="10" t="n"/>
      <c r="S522" s="16" t="inlineStr">
        <is>
          <t>https://mstgolf.co.th/products/gf1240101247</t>
        </is>
      </c>
      <c r="T522" s="1">
        <f>IF(B522="ไม้กอล์ฟ",J522,"")</f>
        <v/>
      </c>
    </row>
    <row r="523">
      <c r="A523" s="1" t="n">
        <v>1</v>
      </c>
      <c r="B523" s="1" t="inlineStr">
        <is>
          <t>ไม้กอล์ฟ</t>
        </is>
      </c>
      <c r="C523" s="1" t="inlineStr">
        <is>
          <t>gf1240101248</t>
        </is>
      </c>
      <c r="D523" s="1" t="inlineStr">
        <is>
          <t>BETTINARDI Inovai 9.0 Spud Standard (2024) Men's Putter</t>
        </is>
      </c>
      <c r="E523" s="1" t="inlineStr">
        <is>
          <t>BETTINARDI</t>
        </is>
      </c>
      <c r="F523" s="1" t="inlineStr">
        <is>
          <t>PUTTER</t>
        </is>
      </c>
      <c r="G523" s="1" t="inlineStr">
        <is>
          <t>GF124010124834</t>
        </is>
      </c>
      <c r="H523" s="1" t="n">
        <v>1</v>
      </c>
      <c r="I523" s="1" t="inlineStr">
        <is>
          <t>หมด</t>
        </is>
      </c>
      <c r="J523" s="13" t="n">
        <v>609</v>
      </c>
      <c r="K523" s="1" t="inlineStr"/>
      <c r="L523" s="13" t="n">
        <v>425</v>
      </c>
      <c r="M523" s="1">
        <f>IF(L523="","ไม่พบใน SG",IF(ABS(J523-L523)&lt;0.005,"ตรงกัน","ไม่ตรง"))</f>
        <v/>
      </c>
      <c r="N523" s="14">
        <f>IF(L523="","",ROUND(L523*'สรุป'!$C$6,-1))</f>
        <v/>
      </c>
      <c r="O523" s="15" t="n"/>
      <c r="P523" s="15" t="n"/>
      <c r="Q523" s="10" t="n"/>
      <c r="R523" s="10" t="n"/>
      <c r="S523" s="16" t="inlineStr">
        <is>
          <t>https://mstgolf.co.th/products/gf1240101248</t>
        </is>
      </c>
      <c r="T523" s="1">
        <f>IF(B523="ไม้กอล์ฟ",J523,"")</f>
        <v/>
      </c>
    </row>
    <row r="524">
      <c r="A524" s="1" t="n">
        <v>1</v>
      </c>
      <c r="B524" s="1" t="inlineStr">
        <is>
          <t>อุปกรณ์วัดระยะ/เทคโนโลยี</t>
        </is>
      </c>
      <c r="C524" s="1" t="inlineStr">
        <is>
          <t>gf3190200053</t>
        </is>
      </c>
      <c r="D524" s="1" t="inlineStr">
        <is>
          <t>GARMIN Approach Z30 Laser Rangefinder</t>
        </is>
      </c>
      <c r="E524" s="1" t="inlineStr">
        <is>
          <t>GARMIN</t>
        </is>
      </c>
      <c r="F524" s="1" t="inlineStr">
        <is>
          <t>HANDHELD</t>
        </is>
      </c>
      <c r="G524" s="1" t="inlineStr">
        <is>
          <t>GF3190200053</t>
        </is>
      </c>
      <c r="H524" s="1" t="n">
        <v>1</v>
      </c>
      <c r="I524" s="1" t="inlineStr">
        <is>
          <t>หมด</t>
        </is>
      </c>
      <c r="J524" s="13" t="n">
        <v>609</v>
      </c>
      <c r="K524" s="1" t="inlineStr"/>
      <c r="L524" s="13" t="n">
        <v>609</v>
      </c>
      <c r="M524" s="1">
        <f>IF(L524="","ไม่พบใน SG",IF(ABS(J524-L524)&lt;0.005,"ตรงกัน","ไม่ตรง"))</f>
        <v/>
      </c>
      <c r="N524" s="14">
        <f>IF(L524="","",ROUND(L524*'สรุป'!$C$6,-1))</f>
        <v/>
      </c>
      <c r="O524" s="15" t="n"/>
      <c r="P524" s="15" t="n"/>
      <c r="Q524" s="10" t="n"/>
      <c r="R524" s="10" t="n"/>
      <c r="S524" s="16" t="inlineStr">
        <is>
          <t>https://mstgolf.co.th/products/gf3190200053</t>
        </is>
      </c>
      <c r="T524" s="1">
        <f>IF(B524="ไม้กอล์ฟ",J524,"")</f>
        <v/>
      </c>
    </row>
    <row r="525">
      <c r="A525" s="1" t="n">
        <v>1</v>
      </c>
      <c r="B525" s="1" t="inlineStr">
        <is>
          <t>ไม้กอล์ฟ</t>
        </is>
      </c>
      <c r="C525" s="1" t="inlineStr">
        <is>
          <t>gf1280101120</t>
        </is>
      </c>
      <c r="D525" s="1" t="inlineStr">
        <is>
          <t>COBRA AIR-X Ultralight (2023) Women's Irons</t>
        </is>
      </c>
      <c r="E525" s="1" t="inlineStr">
        <is>
          <t>COBRA</t>
        </is>
      </c>
      <c r="F525" s="1" t="inlineStr">
        <is>
          <t>SET OF IRONS</t>
        </is>
      </c>
      <c r="G525" s="1" t="inlineStr">
        <is>
          <t>GF1280101120L</t>
        </is>
      </c>
      <c r="H525" s="1" t="n">
        <v>2</v>
      </c>
      <c r="I525" s="1" t="inlineStr">
        <is>
          <t>หมด</t>
        </is>
      </c>
      <c r="J525" s="13" t="n">
        <v>599</v>
      </c>
      <c r="K525" s="1" t="inlineStr"/>
      <c r="L525" s="13" t="n"/>
      <c r="M525" s="1">
        <f>IF(L525="","ไม่พบใน SG",IF(ABS(J525-L525)&lt;0.005,"ตรงกัน","ไม่ตรง"))</f>
        <v/>
      </c>
      <c r="N525" s="14">
        <f>IF(L525="","",ROUND(L525*'สรุป'!$C$6,-1))</f>
        <v/>
      </c>
      <c r="O525" s="15" t="n"/>
      <c r="P525" s="15" t="n"/>
      <c r="Q525" s="10" t="n"/>
      <c r="R525" s="10" t="n"/>
      <c r="S525" s="16" t="inlineStr">
        <is>
          <t>https://mstgolf.co.th/products/gf1280101120</t>
        </is>
      </c>
      <c r="T525" s="1">
        <f>IF(B525="ไม้กอล์ฟ",J525,"")</f>
        <v/>
      </c>
    </row>
    <row r="526">
      <c r="A526" s="1" t="n">
        <v>1</v>
      </c>
      <c r="B526" s="1" t="inlineStr">
        <is>
          <t>ไม้กอล์ฟ</t>
        </is>
      </c>
      <c r="C526" s="1" t="inlineStr">
        <is>
          <t>gf1280101017</t>
        </is>
      </c>
      <c r="D526" s="1" t="inlineStr">
        <is>
          <t>COBRA AeroJet (2023) Men's Irons</t>
        </is>
      </c>
      <c r="E526" s="1" t="inlineStr">
        <is>
          <t>COBRA</t>
        </is>
      </c>
      <c r="F526" s="1" t="inlineStr">
        <is>
          <t>SET OF IRONS</t>
        </is>
      </c>
      <c r="G526" s="1" t="inlineStr">
        <is>
          <t>GF1280101017R</t>
        </is>
      </c>
      <c r="H526" s="1" t="n">
        <v>2</v>
      </c>
      <c r="I526" s="1" t="inlineStr">
        <is>
          <t>หมด</t>
        </is>
      </c>
      <c r="J526" s="13" t="n">
        <v>599</v>
      </c>
      <c r="K526" s="1" t="inlineStr"/>
      <c r="L526" s="13" t="n"/>
      <c r="M526" s="1">
        <f>IF(L526="","ไม่พบใน SG",IF(ABS(J526-L526)&lt;0.005,"ตรงกัน","ไม่ตรง"))</f>
        <v/>
      </c>
      <c r="N526" s="14">
        <f>IF(L526="","",ROUND(L526*'สรุป'!$C$6,-1))</f>
        <v/>
      </c>
      <c r="O526" s="15" t="n"/>
      <c r="P526" s="15" t="n"/>
      <c r="Q526" s="10" t="n"/>
      <c r="R526" s="10" t="n"/>
      <c r="S526" s="16" t="inlineStr">
        <is>
          <t>https://mstgolf.co.th/products/gf1280101017</t>
        </is>
      </c>
      <c r="T526" s="1">
        <f>IF(B526="ไม้กอล์ฟ",J526,"")</f>
        <v/>
      </c>
    </row>
    <row r="527">
      <c r="A527" s="1" t="n">
        <v>1</v>
      </c>
      <c r="B527" s="1" t="inlineStr">
        <is>
          <t>ไม้กอล์ฟ</t>
        </is>
      </c>
      <c r="C527" s="1" t="inlineStr">
        <is>
          <t>gf1280101021</t>
        </is>
      </c>
      <c r="D527" s="1" t="inlineStr">
        <is>
          <t>COBRA AeroJet (2023) Women's Irons</t>
        </is>
      </c>
      <c r="E527" s="1" t="inlineStr">
        <is>
          <t>COBRA</t>
        </is>
      </c>
      <c r="F527" s="1" t="inlineStr">
        <is>
          <t>SET OF IRONS</t>
        </is>
      </c>
      <c r="G527" s="1" t="inlineStr">
        <is>
          <t>GF1280101021L</t>
        </is>
      </c>
      <c r="H527" s="1" t="n">
        <v>1</v>
      </c>
      <c r="I527" s="1" t="inlineStr">
        <is>
          <t>หมด</t>
        </is>
      </c>
      <c r="J527" s="13" t="n">
        <v>599</v>
      </c>
      <c r="K527" s="1" t="inlineStr"/>
      <c r="L527" s="13" t="n"/>
      <c r="M527" s="1">
        <f>IF(L527="","ไม่พบใน SG",IF(ABS(J527-L527)&lt;0.005,"ตรงกัน","ไม่ตรง"))</f>
        <v/>
      </c>
      <c r="N527" s="14">
        <f>IF(L527="","",ROUND(L527*'สรุป'!$C$6,-1))</f>
        <v/>
      </c>
      <c r="O527" s="15" t="n"/>
      <c r="P527" s="15" t="n"/>
      <c r="Q527" s="10" t="n"/>
      <c r="R527" s="10" t="n"/>
      <c r="S527" s="16" t="inlineStr">
        <is>
          <t>https://mstgolf.co.th/products/gf1280101021</t>
        </is>
      </c>
      <c r="T527" s="1">
        <f>IF(B527="ไม้กอล์ฟ",J527,"")</f>
        <v/>
      </c>
    </row>
    <row r="528">
      <c r="A528" s="1" t="n">
        <v>1</v>
      </c>
      <c r="B528" s="1" t="inlineStr">
        <is>
          <t>ไม้กอล์ฟ</t>
        </is>
      </c>
      <c r="C528" s="1" t="inlineStr">
        <is>
          <t>gf1280101020</t>
        </is>
      </c>
      <c r="D528" s="1" t="inlineStr">
        <is>
          <t>COBRA AeroJet ONE Length (2023) Men's Irons</t>
        </is>
      </c>
      <c r="E528" s="1" t="inlineStr">
        <is>
          <t>COBRA</t>
        </is>
      </c>
      <c r="F528" s="1" t="inlineStr">
        <is>
          <t>SET OF IRONS</t>
        </is>
      </c>
      <c r="G528" s="1" t="inlineStr">
        <is>
          <t>GF1280101020R</t>
        </is>
      </c>
      <c r="H528" s="1" t="n">
        <v>2</v>
      </c>
      <c r="I528" s="1" t="inlineStr">
        <is>
          <t>หมด</t>
        </is>
      </c>
      <c r="J528" s="13" t="n">
        <v>599</v>
      </c>
      <c r="K528" s="1" t="inlineStr"/>
      <c r="L528" s="13" t="n"/>
      <c r="M528" s="1">
        <f>IF(L528="","ไม่พบใน SG",IF(ABS(J528-L528)&lt;0.005,"ตรงกัน","ไม่ตรง"))</f>
        <v/>
      </c>
      <c r="N528" s="14">
        <f>IF(L528="","",ROUND(L528*'สรุป'!$C$6,-1))</f>
        <v/>
      </c>
      <c r="O528" s="15" t="n"/>
      <c r="P528" s="15" t="n"/>
      <c r="Q528" s="10" t="n"/>
      <c r="R528" s="10" t="n"/>
      <c r="S528" s="16" t="inlineStr">
        <is>
          <t>https://mstgolf.co.th/products/gf1280101020</t>
        </is>
      </c>
      <c r="T528" s="1">
        <f>IF(B528="ไม้กอล์ฟ",J528,"")</f>
        <v/>
      </c>
    </row>
    <row r="529">
      <c r="A529" s="1" t="n">
        <v>1</v>
      </c>
      <c r="B529" s="1" t="inlineStr">
        <is>
          <t>ไม้กอล์ฟ</t>
        </is>
      </c>
      <c r="C529" s="1" t="inlineStr">
        <is>
          <t>gf1210100972</t>
        </is>
      </c>
      <c r="D529" s="1" t="inlineStr">
        <is>
          <t>COBRA DARKSPEED MAX (2024) Men's Driver</t>
        </is>
      </c>
      <c r="E529" s="1" t="inlineStr">
        <is>
          <t>COBRA</t>
        </is>
      </c>
      <c r="F529" s="1" t="inlineStr">
        <is>
          <t>DRIVER</t>
        </is>
      </c>
      <c r="G529" s="1" t="inlineStr">
        <is>
          <t>GF1210100972105SR</t>
        </is>
      </c>
      <c r="H529" s="1" t="n">
        <v>2</v>
      </c>
      <c r="I529" s="1" t="inlineStr">
        <is>
          <t>หมด</t>
        </is>
      </c>
      <c r="J529" s="13" t="n">
        <v>599</v>
      </c>
      <c r="K529" s="1" t="inlineStr"/>
      <c r="L529" s="13" t="n"/>
      <c r="M529" s="1">
        <f>IF(L529="","ไม่พบใน SG",IF(ABS(J529-L529)&lt;0.005,"ตรงกัน","ไม่ตรง"))</f>
        <v/>
      </c>
      <c r="N529" s="14">
        <f>IF(L529="","",ROUND(L529*'สรุป'!$C$6,-1))</f>
        <v/>
      </c>
      <c r="O529" s="15" t="n"/>
      <c r="P529" s="15" t="n"/>
      <c r="Q529" s="10" t="n"/>
      <c r="R529" s="10" t="n"/>
      <c r="S529" s="16" t="inlineStr">
        <is>
          <t>https://mstgolf.co.th/products/gf1210100972</t>
        </is>
      </c>
      <c r="T529" s="1">
        <f>IF(B529="ไม้กอล์ฟ",J529,"")</f>
        <v/>
      </c>
    </row>
    <row r="530">
      <c r="A530" s="1" t="n">
        <v>1</v>
      </c>
      <c r="B530" s="1" t="inlineStr">
        <is>
          <t>ไม้กอล์ฟ</t>
        </is>
      </c>
      <c r="C530" s="1" t="inlineStr">
        <is>
          <t>gf1210101183</t>
        </is>
      </c>
      <c r="D530" s="1" t="inlineStr">
        <is>
          <t>COBRA DS-ADAPT MAX-D (2025) Men's Driver</t>
        </is>
      </c>
      <c r="E530" s="1" t="inlineStr">
        <is>
          <t>COBRA</t>
        </is>
      </c>
      <c r="F530" s="1" t="inlineStr">
        <is>
          <t>DRIVER</t>
        </is>
      </c>
      <c r="G530" s="1" t="inlineStr">
        <is>
          <t>GF1210101183105SR</t>
        </is>
      </c>
      <c r="H530" s="1" t="n">
        <v>2</v>
      </c>
      <c r="I530" s="1" t="inlineStr">
        <is>
          <t>หมด</t>
        </is>
      </c>
      <c r="J530" s="13" t="n">
        <v>599</v>
      </c>
      <c r="K530" s="1" t="inlineStr"/>
      <c r="L530" s="13" t="n"/>
      <c r="M530" s="1">
        <f>IF(L530="","ไม่พบใน SG",IF(ABS(J530-L530)&lt;0.005,"ตรงกัน","ไม่ตรง"))</f>
        <v/>
      </c>
      <c r="N530" s="14">
        <f>IF(L530="","",ROUND(L530*'สรุป'!$C$6,-1))</f>
        <v/>
      </c>
      <c r="O530" s="15" t="n"/>
      <c r="P530" s="15" t="n"/>
      <c r="Q530" s="10" t="n"/>
      <c r="R530" s="10" t="n"/>
      <c r="S530" s="16" t="inlineStr">
        <is>
          <t>https://mstgolf.co.th/products/gf1210101183</t>
        </is>
      </c>
      <c r="T530" s="1">
        <f>IF(B530="ไม้กอล์ฟ",J530,"")</f>
        <v/>
      </c>
    </row>
    <row r="531">
      <c r="A531" s="1" t="n">
        <v>1</v>
      </c>
      <c r="B531" s="1" t="inlineStr">
        <is>
          <t>ไม้กอล์ฟ</t>
        </is>
      </c>
      <c r="C531" s="1" t="inlineStr">
        <is>
          <t>gf1210101182</t>
        </is>
      </c>
      <c r="D531" s="1" t="inlineStr">
        <is>
          <t>COBRA DS-ADAPT MAX-D (2025) Women's Driver</t>
        </is>
      </c>
      <c r="E531" s="1" t="inlineStr">
        <is>
          <t>COBRA</t>
        </is>
      </c>
      <c r="F531" s="1" t="inlineStr">
        <is>
          <t>DRIVER</t>
        </is>
      </c>
      <c r="G531" s="1" t="inlineStr">
        <is>
          <t>GF121010118212L</t>
        </is>
      </c>
      <c r="H531" s="1" t="n">
        <v>1</v>
      </c>
      <c r="I531" s="1" t="inlineStr">
        <is>
          <t>หมด</t>
        </is>
      </c>
      <c r="J531" s="13" t="n">
        <v>599</v>
      </c>
      <c r="K531" s="1" t="inlineStr"/>
      <c r="L531" s="13" t="n"/>
      <c r="M531" s="1">
        <f>IF(L531="","ไม่พบใน SG",IF(ABS(J531-L531)&lt;0.005,"ตรงกัน","ไม่ตรง"))</f>
        <v/>
      </c>
      <c r="N531" s="14">
        <f>IF(L531="","",ROUND(L531*'สรุป'!$C$6,-1))</f>
        <v/>
      </c>
      <c r="O531" s="15" t="n"/>
      <c r="P531" s="15" t="n"/>
      <c r="Q531" s="10" t="n"/>
      <c r="R531" s="10" t="n"/>
      <c r="S531" s="16" t="inlineStr">
        <is>
          <t>https://mstgolf.co.th/products/gf1210101182</t>
        </is>
      </c>
      <c r="T531" s="1">
        <f>IF(B531="ไม้กอล์ฟ",J531,"")</f>
        <v/>
      </c>
    </row>
    <row r="532">
      <c r="A532" s="1" t="n">
        <v>1</v>
      </c>
      <c r="B532" s="1" t="inlineStr">
        <is>
          <t>ไม้กอล์ฟ</t>
        </is>
      </c>
      <c r="C532" s="1" t="inlineStr">
        <is>
          <t>gf1210101181</t>
        </is>
      </c>
      <c r="D532" s="1" t="inlineStr">
        <is>
          <t>COBRA DS-ADAPT MAX-K (2025) Men's Driver</t>
        </is>
      </c>
      <c r="E532" s="1" t="inlineStr">
        <is>
          <t>COBRA</t>
        </is>
      </c>
      <c r="F532" s="1" t="inlineStr">
        <is>
          <t>DRIVER</t>
        </is>
      </c>
      <c r="G532" s="1" t="inlineStr">
        <is>
          <t>GF12101011819S</t>
        </is>
      </c>
      <c r="H532" s="1" t="n">
        <v>5</v>
      </c>
      <c r="I532" s="1" t="inlineStr">
        <is>
          <t>หมด</t>
        </is>
      </c>
      <c r="J532" s="13" t="n">
        <v>599</v>
      </c>
      <c r="K532" s="1" t="inlineStr"/>
      <c r="L532" s="13" t="n">
        <v>499</v>
      </c>
      <c r="M532" s="1">
        <f>IF(L532="","ไม่พบใน SG",IF(ABS(J532-L532)&lt;0.005,"ตรงกัน","ไม่ตรง"))</f>
        <v/>
      </c>
      <c r="N532" s="14">
        <f>IF(L532="","",ROUND(L532*'สรุป'!$C$6,-1))</f>
        <v/>
      </c>
      <c r="O532" s="15" t="n"/>
      <c r="P532" s="15" t="n"/>
      <c r="Q532" s="10" t="n"/>
      <c r="R532" s="10" t="n"/>
      <c r="S532" s="16" t="inlineStr">
        <is>
          <t>https://mstgolf.co.th/products/gf1210101181</t>
        </is>
      </c>
      <c r="T532" s="1">
        <f>IF(B532="ไม้กอล์ฟ",J532,"")</f>
        <v/>
      </c>
    </row>
    <row r="533">
      <c r="A533" s="1" t="n">
        <v>1</v>
      </c>
      <c r="B533" s="1" t="inlineStr">
        <is>
          <t>ไม้กอล์ฟ</t>
        </is>
      </c>
      <c r="C533" s="1" t="inlineStr">
        <is>
          <t>gf1210101180</t>
        </is>
      </c>
      <c r="D533" s="1" t="inlineStr">
        <is>
          <t>COBRA DS-ADAPT X (2025) Men's Driver</t>
        </is>
      </c>
      <c r="E533" s="1" t="inlineStr">
        <is>
          <t>COBRA</t>
        </is>
      </c>
      <c r="F533" s="1" t="inlineStr">
        <is>
          <t>DRIVER</t>
        </is>
      </c>
      <c r="G533" s="1" t="inlineStr">
        <is>
          <t>GF12101011809S</t>
        </is>
      </c>
      <c r="H533" s="1" t="n">
        <v>4</v>
      </c>
      <c r="I533" s="1" t="inlineStr">
        <is>
          <t>หมด</t>
        </is>
      </c>
      <c r="J533" s="13" t="n">
        <v>599</v>
      </c>
      <c r="K533" s="1" t="inlineStr"/>
      <c r="L533" s="13" t="n">
        <v>599</v>
      </c>
      <c r="M533" s="1">
        <f>IF(L533="","ไม่พบใน SG",IF(ABS(J533-L533)&lt;0.005,"ตรงกัน","ไม่ตรง"))</f>
        <v/>
      </c>
      <c r="N533" s="14">
        <f>IF(L533="","",ROUND(L533*'สรุป'!$C$6,-1))</f>
        <v/>
      </c>
      <c r="O533" s="15" t="n"/>
      <c r="P533" s="15" t="n"/>
      <c r="Q533" s="10" t="n"/>
      <c r="R533" s="10" t="n"/>
      <c r="S533" s="16" t="inlineStr">
        <is>
          <t>https://mstgolf.co.th/products/gf1210101180</t>
        </is>
      </c>
      <c r="T533" s="1">
        <f>IF(B533="ไม้กอล์ฟ",J533,"")</f>
        <v/>
      </c>
    </row>
    <row r="534">
      <c r="A534" s="1" t="n">
        <v>1</v>
      </c>
      <c r="B534" s="1" t="inlineStr">
        <is>
          <t>ไม้กอล์ฟ</t>
        </is>
      </c>
      <c r="C534" s="1" t="inlineStr">
        <is>
          <t>gf1240101371</t>
        </is>
      </c>
      <c r="D534" s="1" t="inlineStr">
        <is>
          <t>L.A.B. GOLF DF 2.1 Stock Matte Black Press II 3 Degree (2023) Men's Putter</t>
        </is>
      </c>
      <c r="E534" s="1" t="inlineStr">
        <is>
          <t>L.A.B. GOLF</t>
        </is>
      </c>
      <c r="F534" s="1" t="inlineStr">
        <is>
          <t>PUTTER</t>
        </is>
      </c>
      <c r="G534" s="1" t="inlineStr">
        <is>
          <t>GF124010137134</t>
        </is>
      </c>
      <c r="H534" s="1" t="n">
        <v>1</v>
      </c>
      <c r="I534" s="1" t="inlineStr">
        <is>
          <t>หมด</t>
        </is>
      </c>
      <c r="J534" s="13" t="n">
        <v>599</v>
      </c>
      <c r="K534" s="1" t="inlineStr"/>
      <c r="L534" s="13" t="n"/>
      <c r="M534" s="1">
        <f>IF(L534="","ไม่พบใน SG",IF(ABS(J534-L534)&lt;0.005,"ตรงกัน","ไม่ตรง"))</f>
        <v/>
      </c>
      <c r="N534" s="14">
        <f>IF(L534="","",ROUND(L534*'สรุป'!$C$6,-1))</f>
        <v/>
      </c>
      <c r="O534" s="15" t="n"/>
      <c r="P534" s="15" t="n"/>
      <c r="Q534" s="10" t="n"/>
      <c r="R534" s="10" t="n"/>
      <c r="S534" s="16" t="inlineStr">
        <is>
          <t>https://mstgolf.co.th/products/gf1240101371</t>
        </is>
      </c>
      <c r="T534" s="1">
        <f>IF(B534="ไม้กอล์ฟ",J534,"")</f>
        <v/>
      </c>
    </row>
    <row r="535">
      <c r="A535" s="1" t="n">
        <v>1</v>
      </c>
      <c r="B535" s="1" t="inlineStr">
        <is>
          <t>ไม้กอล์ฟ</t>
        </is>
      </c>
      <c r="C535" s="1" t="inlineStr">
        <is>
          <t>gf1280100557</t>
        </is>
      </c>
      <c r="D535" s="1" t="inlineStr">
        <is>
          <t>MIZUNO JPX-921 Tour Men's Irons (4-9P)</t>
        </is>
      </c>
      <c r="E535" s="1" t="inlineStr">
        <is>
          <t>MIZUNO</t>
        </is>
      </c>
      <c r="F535" s="1" t="inlineStr">
        <is>
          <t>SET OF IRONS</t>
        </is>
      </c>
      <c r="G535" s="1" t="inlineStr">
        <is>
          <t>GF1280100557S</t>
        </is>
      </c>
      <c r="H535" s="1" t="n">
        <v>2</v>
      </c>
      <c r="I535" s="1" t="inlineStr">
        <is>
          <t>หมด</t>
        </is>
      </c>
      <c r="J535" s="13" t="n">
        <v>599</v>
      </c>
      <c r="K535" s="1" t="inlineStr"/>
      <c r="L535" s="13" t="n">
        <v>599</v>
      </c>
      <c r="M535" s="1">
        <f>IF(L535="","ไม่พบใน SG",IF(ABS(J535-L535)&lt;0.005,"ตรงกัน","ไม่ตรง"))</f>
        <v/>
      </c>
      <c r="N535" s="14">
        <f>IF(L535="","",ROUND(L535*'สรุป'!$C$6,-1))</f>
        <v/>
      </c>
      <c r="O535" s="15" t="n"/>
      <c r="P535" s="15" t="n"/>
      <c r="Q535" s="10" t="n"/>
      <c r="R535" s="10" t="n"/>
      <c r="S535" s="16" t="inlineStr">
        <is>
          <t>https://mstgolf.co.th/products/gf1280100557</t>
        </is>
      </c>
      <c r="T535" s="1">
        <f>IF(B535="ไม้กอล์ฟ",J535,"")</f>
        <v/>
      </c>
    </row>
    <row r="536">
      <c r="A536" s="1" t="n">
        <v>1</v>
      </c>
      <c r="B536" s="1" t="inlineStr">
        <is>
          <t>ไม้กอล์ฟ</t>
        </is>
      </c>
      <c r="C536" s="1" t="inlineStr">
        <is>
          <t>gf1210101072</t>
        </is>
      </c>
      <c r="D536" s="1" t="inlineStr">
        <is>
          <t>TAYLORMADE Qi10 LS Designer Series Men's Driver</t>
        </is>
      </c>
      <c r="E536" s="1" t="inlineStr">
        <is>
          <t>TAYLORMADE</t>
        </is>
      </c>
      <c r="F536" s="1" t="inlineStr">
        <is>
          <t>DRIVER</t>
        </is>
      </c>
      <c r="G536" s="1" t="inlineStr">
        <is>
          <t>GF12101010729S</t>
        </is>
      </c>
      <c r="H536" s="1" t="n">
        <v>2</v>
      </c>
      <c r="I536" s="1" t="inlineStr">
        <is>
          <t>หมด</t>
        </is>
      </c>
      <c r="J536" s="13" t="n">
        <v>599</v>
      </c>
      <c r="K536" s="1" t="inlineStr"/>
      <c r="L536" s="13" t="n"/>
      <c r="M536" s="1">
        <f>IF(L536="","ไม่พบใน SG",IF(ABS(J536-L536)&lt;0.005,"ตรงกัน","ไม่ตรง"))</f>
        <v/>
      </c>
      <c r="N536" s="14">
        <f>IF(L536="","",ROUND(L536*'สรุป'!$C$6,-1))</f>
        <v/>
      </c>
      <c r="O536" s="15" t="n"/>
      <c r="P536" s="15" t="n"/>
      <c r="Q536" s="10" t="n"/>
      <c r="R536" s="10" t="n"/>
      <c r="S536" s="16" t="inlineStr">
        <is>
          <t>https://mstgolf.co.th/products/gf1210101072</t>
        </is>
      </c>
      <c r="T536" s="1">
        <f>IF(B536="ไม้กอล์ฟ",J536,"")</f>
        <v/>
      </c>
    </row>
    <row r="537">
      <c r="A537" s="1" t="n">
        <v>1</v>
      </c>
      <c r="B537" s="1" t="inlineStr">
        <is>
          <t>ไม้กอล์ฟ</t>
        </is>
      </c>
      <c r="C537" s="1" t="inlineStr">
        <is>
          <t>gf1250100130</t>
        </is>
      </c>
      <c r="D537" s="1" t="inlineStr">
        <is>
          <t>WILSON Deep Red Tour Men's Package Set</t>
        </is>
      </c>
      <c r="E537" s="1" t="inlineStr">
        <is>
          <t>WILSON</t>
        </is>
      </c>
      <c r="F537" s="1" t="inlineStr">
        <is>
          <t>PACKAGE SET</t>
        </is>
      </c>
      <c r="G537" s="1" t="inlineStr">
        <is>
          <t>GF1250100130</t>
        </is>
      </c>
      <c r="H537" s="1" t="n">
        <v>1</v>
      </c>
      <c r="I537" s="1" t="inlineStr">
        <is>
          <t>หมด</t>
        </is>
      </c>
      <c r="J537" s="13" t="n">
        <v>599</v>
      </c>
      <c r="K537" s="1" t="inlineStr"/>
      <c r="L537" s="13" t="n"/>
      <c r="M537" s="1">
        <f>IF(L537="","ไม่พบใน SG",IF(ABS(J537-L537)&lt;0.005,"ตรงกัน","ไม่ตรง"))</f>
        <v/>
      </c>
      <c r="N537" s="14">
        <f>IF(L537="","",ROUND(L537*'สรุป'!$C$6,-1))</f>
        <v/>
      </c>
      <c r="O537" s="15" t="n"/>
      <c r="P537" s="15" t="n"/>
      <c r="Q537" s="10" t="n"/>
      <c r="R537" s="10" t="n"/>
      <c r="S537" s="16" t="inlineStr">
        <is>
          <t>https://mstgolf.co.th/products/gf1250100130</t>
        </is>
      </c>
      <c r="T537" s="1">
        <f>IF(B537="ไม้กอล์ฟ",J537,"")</f>
        <v/>
      </c>
    </row>
    <row r="538">
      <c r="A538" s="1" t="n">
        <v>1</v>
      </c>
      <c r="B538" s="1" t="inlineStr">
        <is>
          <t>ไม้กอล์ฟ</t>
        </is>
      </c>
      <c r="C538" s="1" t="inlineStr">
        <is>
          <t>gf1280100734</t>
        </is>
      </c>
      <c r="D538" s="1" t="inlineStr">
        <is>
          <t>YAMAHA RMX VD (2022) Men's Irons (7 Club Set)</t>
        </is>
      </c>
      <c r="E538" s="1" t="inlineStr">
        <is>
          <t>YAMAHA</t>
        </is>
      </c>
      <c r="F538" s="1" t="inlineStr">
        <is>
          <t>SET OF IRONS</t>
        </is>
      </c>
      <c r="G538" s="1" t="inlineStr">
        <is>
          <t>GF1280100734R</t>
        </is>
      </c>
      <c r="H538" s="1" t="n">
        <v>2</v>
      </c>
      <c r="I538" s="1" t="inlineStr">
        <is>
          <t>หมด</t>
        </is>
      </c>
      <c r="J538" s="13" t="n">
        <v>599</v>
      </c>
      <c r="K538" s="1" t="inlineStr">
        <is>
          <t>ต่างกัน</t>
        </is>
      </c>
      <c r="L538" s="13" t="n"/>
      <c r="M538" s="1">
        <f>IF(L538="","ไม่พบใน SG",IF(ABS(J538-L538)&lt;0.005,"ตรงกัน","ไม่ตรง"))</f>
        <v/>
      </c>
      <c r="N538" s="14">
        <f>IF(L538="","",ROUND(L538*'สรุป'!$C$6,-1))</f>
        <v/>
      </c>
      <c r="O538" s="15" t="n"/>
      <c r="P538" s="15" t="n"/>
      <c r="Q538" s="10" t="n"/>
      <c r="R538" s="10" t="n"/>
      <c r="S538" s="16" t="inlineStr">
        <is>
          <t>https://mstgolf.co.th/products/gf1280100734</t>
        </is>
      </c>
      <c r="T538" s="1">
        <f>IF(B538="ไม้กอล์ฟ",J538,"")</f>
        <v/>
      </c>
    </row>
    <row r="539">
      <c r="A539" s="1" t="n">
        <v>1</v>
      </c>
      <c r="B539" s="1" t="inlineStr">
        <is>
          <t>ไม้กอล์ฟ</t>
        </is>
      </c>
      <c r="C539" s="1" t="inlineStr">
        <is>
          <t>gf1280100813</t>
        </is>
      </c>
      <c r="D539" s="1" t="inlineStr">
        <is>
          <t>TAYLORMADE Stealth Men's Irons</t>
        </is>
      </c>
      <c r="E539" s="1" t="inlineStr">
        <is>
          <t>TAYLORMADE</t>
        </is>
      </c>
      <c r="F539" s="1" t="inlineStr">
        <is>
          <t>SET OF IRONS</t>
        </is>
      </c>
      <c r="G539" s="1" t="inlineStr">
        <is>
          <t>GF1280100813R</t>
        </is>
      </c>
      <c r="H539" s="1" t="n">
        <v>2</v>
      </c>
      <c r="I539" s="1" t="inlineStr">
        <is>
          <t>หมด</t>
        </is>
      </c>
      <c r="J539" s="13" t="n">
        <v>590</v>
      </c>
      <c r="K539" s="1" t="inlineStr"/>
      <c r="L539" s="13" t="n"/>
      <c r="M539" s="1">
        <f>IF(L539="","ไม่พบใน SG",IF(ABS(J539-L539)&lt;0.005,"ตรงกัน","ไม่ตรง"))</f>
        <v/>
      </c>
      <c r="N539" s="14">
        <f>IF(L539="","",ROUND(L539*'สรุป'!$C$6,-1))</f>
        <v/>
      </c>
      <c r="O539" s="15" t="n"/>
      <c r="P539" s="15" t="n"/>
      <c r="Q539" s="10" t="n"/>
      <c r="R539" s="10" t="n"/>
      <c r="S539" s="16" t="inlineStr">
        <is>
          <t>https://mstgolf.co.th/products/gf1280100813</t>
        </is>
      </c>
      <c r="T539" s="1">
        <f>IF(B539="ไม้กอล์ฟ",J539,"")</f>
        <v/>
      </c>
    </row>
    <row r="540">
      <c r="A540" s="1" t="n">
        <v>1</v>
      </c>
      <c r="B540" s="1" t="inlineStr">
        <is>
          <t>ไม้กอล์ฟ</t>
        </is>
      </c>
      <c r="C540" s="1" t="inlineStr">
        <is>
          <t>gf1210100952</t>
        </is>
      </c>
      <c r="D540" s="1" t="inlineStr">
        <is>
          <t>MIZUNO ST-X 230 Platinum (2023) Men's Driver</t>
        </is>
      </c>
      <c r="E540" s="1" t="inlineStr">
        <is>
          <t>MIZUNO</t>
        </is>
      </c>
      <c r="F540" s="1" t="inlineStr">
        <is>
          <t>DRIVER</t>
        </is>
      </c>
      <c r="G540" s="1" t="inlineStr">
        <is>
          <t>GF1210100952105R</t>
        </is>
      </c>
      <c r="H540" s="1" t="n">
        <v>1</v>
      </c>
      <c r="I540" s="1" t="inlineStr">
        <is>
          <t>หมด</t>
        </is>
      </c>
      <c r="J540" s="13" t="n">
        <v>559</v>
      </c>
      <c r="K540" s="1" t="inlineStr"/>
      <c r="L540" s="13" t="n"/>
      <c r="M540" s="1">
        <f>IF(L540="","ไม่พบใน SG",IF(ABS(J540-L540)&lt;0.005,"ตรงกัน","ไม่ตรง"))</f>
        <v/>
      </c>
      <c r="N540" s="14">
        <f>IF(L540="","",ROUND(L540*'สรุป'!$C$6,-1))</f>
        <v/>
      </c>
      <c r="O540" s="15" t="n"/>
      <c r="P540" s="15" t="n"/>
      <c r="Q540" s="10" t="n"/>
      <c r="R540" s="10" t="n"/>
      <c r="S540" s="16" t="inlineStr">
        <is>
          <t>https://mstgolf.co.th/products/gf1210100952</t>
        </is>
      </c>
      <c r="T540" s="1">
        <f>IF(B540="ไม้กอล์ฟ",J540,"")</f>
        <v/>
      </c>
    </row>
    <row r="541">
      <c r="A541" s="1" t="n">
        <v>1</v>
      </c>
      <c r="B541" s="1" t="inlineStr">
        <is>
          <t>ไม้กอล์ฟ</t>
        </is>
      </c>
      <c r="C541" s="1" t="inlineStr">
        <is>
          <t>gf1240101410</t>
        </is>
      </c>
      <c r="D541" s="1" t="inlineStr">
        <is>
          <t>PING PLD Milled Anser 4D Satin (2025) Men's Putter</t>
        </is>
      </c>
      <c r="E541" s="1" t="inlineStr">
        <is>
          <t>PING</t>
        </is>
      </c>
      <c r="F541" s="1" t="inlineStr">
        <is>
          <t>PUTTER</t>
        </is>
      </c>
      <c r="G541" s="1" t="inlineStr">
        <is>
          <t>GF124010141034</t>
        </is>
      </c>
      <c r="H541" s="1" t="n">
        <v>1</v>
      </c>
      <c r="I541" s="1" t="inlineStr">
        <is>
          <t>หมด</t>
        </is>
      </c>
      <c r="J541" s="13" t="n">
        <v>559</v>
      </c>
      <c r="K541" s="1" t="inlineStr"/>
      <c r="L541" s="13" t="n">
        <v>559</v>
      </c>
      <c r="M541" s="1">
        <f>IF(L541="","ไม่พบใน SG",IF(ABS(J541-L541)&lt;0.005,"ตรงกัน","ไม่ตรง"))</f>
        <v/>
      </c>
      <c r="N541" s="14">
        <f>IF(L541="","",ROUND(L541*'สรุป'!$C$6,-1))</f>
        <v/>
      </c>
      <c r="O541" s="15" t="n"/>
      <c r="P541" s="15" t="n"/>
      <c r="Q541" s="10" t="n"/>
      <c r="R541" s="10" t="n"/>
      <c r="S541" s="16" t="inlineStr">
        <is>
          <t>https://mstgolf.co.th/products/gf1240101410</t>
        </is>
      </c>
      <c r="T541" s="1">
        <f>IF(B541="ไม้กอล์ฟ",J541,"")</f>
        <v/>
      </c>
    </row>
    <row r="542">
      <c r="A542" s="1" t="n">
        <v>1</v>
      </c>
      <c r="B542" s="1" t="inlineStr">
        <is>
          <t>ไม้กอล์ฟ</t>
        </is>
      </c>
      <c r="C542" s="1" t="inlineStr">
        <is>
          <t>gf1240101411</t>
        </is>
      </c>
      <c r="D542" s="1" t="inlineStr">
        <is>
          <t>PING PLD Milled Kushin Satin (2025) Men's Putter</t>
        </is>
      </c>
      <c r="E542" s="1" t="inlineStr">
        <is>
          <t>PING</t>
        </is>
      </c>
      <c r="F542" s="1" t="inlineStr">
        <is>
          <t>PUTTER</t>
        </is>
      </c>
      <c r="G542" s="1" t="inlineStr">
        <is>
          <t>GF124010141134</t>
        </is>
      </c>
      <c r="H542" s="1" t="n">
        <v>1</v>
      </c>
      <c r="I542" s="1" t="inlineStr">
        <is>
          <t>หมด</t>
        </is>
      </c>
      <c r="J542" s="13" t="n">
        <v>559</v>
      </c>
      <c r="K542" s="1" t="inlineStr"/>
      <c r="L542" s="13" t="n">
        <v>559</v>
      </c>
      <c r="M542" s="1">
        <f>IF(L542="","ไม่พบใน SG",IF(ABS(J542-L542)&lt;0.005,"ตรงกัน","ไม่ตรง"))</f>
        <v/>
      </c>
      <c r="N542" s="14">
        <f>IF(L542="","",ROUND(L542*'สรุป'!$C$6,-1))</f>
        <v/>
      </c>
      <c r="O542" s="15" t="n"/>
      <c r="P542" s="15" t="n"/>
      <c r="Q542" s="10" t="n"/>
      <c r="R542" s="10" t="n"/>
      <c r="S542" s="16" t="inlineStr">
        <is>
          <t>https://mstgolf.co.th/products/gf1240101411</t>
        </is>
      </c>
      <c r="T542" s="1">
        <f>IF(B542="ไม้กอล์ฟ",J542,"")</f>
        <v/>
      </c>
    </row>
    <row r="543">
      <c r="A543" s="1" t="n">
        <v>1</v>
      </c>
      <c r="B543" s="1" t="inlineStr">
        <is>
          <t>ไม้กอล์ฟ</t>
        </is>
      </c>
      <c r="C543" s="1" t="inlineStr">
        <is>
          <t>gf1240101223</t>
        </is>
      </c>
      <c r="D543" s="1" t="inlineStr">
        <is>
          <t>PING PLD Milled Prime Ally Blue 4 (2024) Men's Putter</t>
        </is>
      </c>
      <c r="E543" s="1" t="inlineStr">
        <is>
          <t>PING</t>
        </is>
      </c>
      <c r="F543" s="1" t="inlineStr">
        <is>
          <t>PUTTER</t>
        </is>
      </c>
      <c r="G543" s="1" t="inlineStr">
        <is>
          <t>GF124010122334</t>
        </is>
      </c>
      <c r="H543" s="1" t="n">
        <v>1</v>
      </c>
      <c r="I543" s="1" t="inlineStr">
        <is>
          <t>หมด</t>
        </is>
      </c>
      <c r="J543" s="13" t="n">
        <v>559</v>
      </c>
      <c r="K543" s="1" t="inlineStr"/>
      <c r="L543" s="13" t="n">
        <v>559</v>
      </c>
      <c r="M543" s="1">
        <f>IF(L543="","ไม่พบใน SG",IF(ABS(J543-L543)&lt;0.005,"ตรงกัน","ไม่ตรง"))</f>
        <v/>
      </c>
      <c r="N543" s="14">
        <f>IF(L543="","",ROUND(L543*'สรุป'!$C$6,-1))</f>
        <v/>
      </c>
      <c r="O543" s="15" t="n"/>
      <c r="P543" s="15" t="n"/>
      <c r="Q543" s="10" t="n"/>
      <c r="R543" s="10" t="n"/>
      <c r="S543" s="16" t="inlineStr">
        <is>
          <t>https://mstgolf.co.th/products/gf1240101223</t>
        </is>
      </c>
      <c r="T543" s="1">
        <f>IF(B543="ไม้กอล์ฟ",J543,"")</f>
        <v/>
      </c>
    </row>
    <row r="544">
      <c r="A544" s="1" t="n">
        <v>1</v>
      </c>
      <c r="B544" s="1" t="inlineStr">
        <is>
          <t>ไม้กอล์ฟ</t>
        </is>
      </c>
      <c r="C544" s="1" t="inlineStr">
        <is>
          <t>gf1240101220</t>
        </is>
      </c>
      <c r="D544" s="1" t="inlineStr">
        <is>
          <t>PING PLD Milled Prime Anser 2D (2024) Men's Putter</t>
        </is>
      </c>
      <c r="E544" s="1" t="inlineStr">
        <is>
          <t>PING</t>
        </is>
      </c>
      <c r="F544" s="1" t="inlineStr">
        <is>
          <t>PUTTER</t>
        </is>
      </c>
      <c r="G544" s="1" t="inlineStr">
        <is>
          <t>GF124010122034</t>
        </is>
      </c>
      <c r="H544" s="1" t="n">
        <v>1</v>
      </c>
      <c r="I544" s="1" t="inlineStr">
        <is>
          <t>หมด</t>
        </is>
      </c>
      <c r="J544" s="13" t="n">
        <v>559</v>
      </c>
      <c r="K544" s="1" t="inlineStr"/>
      <c r="L544" s="13" t="n">
        <v>559</v>
      </c>
      <c r="M544" s="1">
        <f>IF(L544="","ไม่พบใน SG",IF(ABS(J544-L544)&lt;0.005,"ตรงกัน","ไม่ตรง"))</f>
        <v/>
      </c>
      <c r="N544" s="14">
        <f>IF(L544="","",ROUND(L544*'สรุป'!$C$6,-1))</f>
        <v/>
      </c>
      <c r="O544" s="15" t="n"/>
      <c r="P544" s="15" t="n"/>
      <c r="Q544" s="10" t="n"/>
      <c r="R544" s="10" t="n"/>
      <c r="S544" s="16" t="inlineStr">
        <is>
          <t>https://mstgolf.co.th/products/gf1240101220</t>
        </is>
      </c>
      <c r="T544" s="1">
        <f>IF(B544="ไม้กอล์ฟ",J544,"")</f>
        <v/>
      </c>
    </row>
    <row r="545">
      <c r="A545" s="1" t="n">
        <v>1</v>
      </c>
      <c r="B545" s="1" t="inlineStr">
        <is>
          <t>ไม้กอล์ฟ</t>
        </is>
      </c>
      <c r="C545" s="1" t="inlineStr">
        <is>
          <t>gf1210101001</t>
        </is>
      </c>
      <c r="D545" s="1" t="inlineStr">
        <is>
          <t>TAYLORMADE Qi10 Max Women's Driver</t>
        </is>
      </c>
      <c r="E545" s="1" t="inlineStr">
        <is>
          <t>TAYLORMADE</t>
        </is>
      </c>
      <c r="F545" s="1" t="inlineStr">
        <is>
          <t>DRIVER</t>
        </is>
      </c>
      <c r="G545" s="1" t="inlineStr">
        <is>
          <t>GF121010100112L</t>
        </is>
      </c>
      <c r="H545" s="1" t="n">
        <v>1</v>
      </c>
      <c r="I545" s="1" t="inlineStr">
        <is>
          <t>หมด</t>
        </is>
      </c>
      <c r="J545" s="13" t="n">
        <v>550</v>
      </c>
      <c r="K545" s="1" t="inlineStr"/>
      <c r="L545" s="13" t="n">
        <v>550</v>
      </c>
      <c r="M545" s="1">
        <f>IF(L545="","ไม่พบใน SG",IF(ABS(J545-L545)&lt;0.005,"ตรงกัน","ไม่ตรง"))</f>
        <v/>
      </c>
      <c r="N545" s="14">
        <f>IF(L545="","",ROUND(L545*'สรุป'!$C$6,-1))</f>
        <v/>
      </c>
      <c r="O545" s="15" t="n"/>
      <c r="P545" s="15" t="n"/>
      <c r="Q545" s="10" t="n"/>
      <c r="R545" s="10" t="n"/>
      <c r="S545" s="16" t="inlineStr">
        <is>
          <t>https://mstgolf.co.th/products/gf1210101001</t>
        </is>
      </c>
      <c r="T545" s="1">
        <f>IF(B545="ไม้กอล์ฟ",J545,"")</f>
        <v/>
      </c>
    </row>
    <row r="546">
      <c r="A546" s="1" t="n">
        <v>1</v>
      </c>
      <c r="B546" s="1" t="inlineStr">
        <is>
          <t>ไม้กอล์ฟ</t>
        </is>
      </c>
      <c r="C546" s="1" t="inlineStr">
        <is>
          <t>gf1240101096</t>
        </is>
      </c>
      <c r="D546" s="1" t="inlineStr">
        <is>
          <t>EVNROLL EV5.1 Black Short Slant Tour Tac Men's Putter</t>
        </is>
      </c>
      <c r="E546" s="1" t="inlineStr">
        <is>
          <t>EVNROLL</t>
        </is>
      </c>
      <c r="F546" s="1" t="inlineStr">
        <is>
          <t>PUTTER</t>
        </is>
      </c>
      <c r="G546" s="1" t="inlineStr">
        <is>
          <t>GF124010109634</t>
        </is>
      </c>
      <c r="H546" s="1" t="n">
        <v>1</v>
      </c>
      <c r="I546" s="1" t="inlineStr">
        <is>
          <t>หมด</t>
        </is>
      </c>
      <c r="J546" s="13" t="n">
        <v>549</v>
      </c>
      <c r="K546" s="1" t="inlineStr"/>
      <c r="L546" s="13" t="n"/>
      <c r="M546" s="1">
        <f>IF(L546="","ไม่พบใน SG",IF(ABS(J546-L546)&lt;0.005,"ตรงกัน","ไม่ตรง"))</f>
        <v/>
      </c>
      <c r="N546" s="14">
        <f>IF(L546="","",ROUND(L546*'สรุป'!$C$6,-1))</f>
        <v/>
      </c>
      <c r="O546" s="15" t="n"/>
      <c r="P546" s="15" t="n"/>
      <c r="Q546" s="10" t="n"/>
      <c r="R546" s="10" t="n"/>
      <c r="S546" s="16" t="inlineStr">
        <is>
          <t>https://mstgolf.co.th/products/gf1240101096</t>
        </is>
      </c>
      <c r="T546" s="1">
        <f>IF(B546="ไม้กอล์ฟ",J546,"")</f>
        <v/>
      </c>
    </row>
    <row r="547">
      <c r="A547" s="1" t="n">
        <v>1</v>
      </c>
      <c r="B547" s="1" t="inlineStr">
        <is>
          <t>ไม้กอล์ฟ</t>
        </is>
      </c>
      <c r="C547" s="1" t="inlineStr">
        <is>
          <t>gf1240101422</t>
        </is>
      </c>
      <c r="D547" s="1" t="inlineStr">
        <is>
          <t>TAYLORMADE Spider Tour Black #3 Short Slant (2025) Men's Putter</t>
        </is>
      </c>
      <c r="E547" s="1" t="inlineStr">
        <is>
          <t>TAYLORMADE</t>
        </is>
      </c>
      <c r="F547" s="1" t="inlineStr">
        <is>
          <t>PUTTER</t>
        </is>
      </c>
      <c r="G547" s="1" t="inlineStr">
        <is>
          <t>GF124010142234</t>
        </is>
      </c>
      <c r="H547" s="1" t="n">
        <v>1</v>
      </c>
      <c r="I547" s="1" t="inlineStr">
        <is>
          <t>หมด</t>
        </is>
      </c>
      <c r="J547" s="13" t="n">
        <v>549</v>
      </c>
      <c r="K547" s="1" t="inlineStr"/>
      <c r="L547" s="13" t="n">
        <v>439</v>
      </c>
      <c r="M547" s="1">
        <f>IF(L547="","ไม่พบใน SG",IF(ABS(J547-L547)&lt;0.005,"ตรงกัน","ไม่ตรง"))</f>
        <v/>
      </c>
      <c r="N547" s="14">
        <f>IF(L547="","",ROUND(L547*'สรุป'!$C$6,-1))</f>
        <v/>
      </c>
      <c r="O547" s="15" t="n"/>
      <c r="P547" s="15" t="n"/>
      <c r="Q547" s="10" t="n"/>
      <c r="R547" s="10" t="n"/>
      <c r="S547" s="16" t="inlineStr">
        <is>
          <t>https://mstgolf.co.th/products/gf1240101422</t>
        </is>
      </c>
      <c r="T547" s="1">
        <f>IF(B547="ไม้กอล์ฟ",J547,"")</f>
        <v/>
      </c>
    </row>
    <row r="548">
      <c r="A548" s="1" t="n">
        <v>1</v>
      </c>
      <c r="B548" s="1" t="inlineStr">
        <is>
          <t>ไม้กอล์ฟ</t>
        </is>
      </c>
      <c r="C548" s="1" t="inlineStr">
        <is>
          <t>gf1240101186</t>
        </is>
      </c>
      <c r="D548" s="1" t="inlineStr">
        <is>
          <t>TAYLORMADE Spider Tour V Silver Double Bend (2024) Men's Putter</t>
        </is>
      </c>
      <c r="E548" s="1" t="inlineStr">
        <is>
          <t>TAYLORMADE</t>
        </is>
      </c>
      <c r="F548" s="1" t="inlineStr">
        <is>
          <t>PUTTER</t>
        </is>
      </c>
      <c r="G548" s="1" t="inlineStr">
        <is>
          <t>GF124010118634</t>
        </is>
      </c>
      <c r="H548" s="1" t="n">
        <v>1</v>
      </c>
      <c r="I548" s="1" t="inlineStr">
        <is>
          <t>หมด</t>
        </is>
      </c>
      <c r="J548" s="13" t="n">
        <v>549</v>
      </c>
      <c r="K548" s="1" t="inlineStr"/>
      <c r="L548" s="13" t="n">
        <v>549</v>
      </c>
      <c r="M548" s="1">
        <f>IF(L548="","ไม่พบใน SG",IF(ABS(J548-L548)&lt;0.005,"ตรงกัน","ไม่ตรง"))</f>
        <v/>
      </c>
      <c r="N548" s="14">
        <f>IF(L548="","",ROUND(L548*'สรุป'!$C$6,-1))</f>
        <v/>
      </c>
      <c r="O548" s="15" t="n"/>
      <c r="P548" s="15" t="n"/>
      <c r="Q548" s="10" t="n"/>
      <c r="R548" s="10" t="n"/>
      <c r="S548" s="16" t="inlineStr">
        <is>
          <t>https://mstgolf.co.th/products/gf1240101186</t>
        </is>
      </c>
      <c r="T548" s="1">
        <f>IF(B548="ไม้กอล์ฟ",J548,"")</f>
        <v/>
      </c>
    </row>
    <row r="549">
      <c r="A549" s="1" t="n">
        <v>1</v>
      </c>
      <c r="B549" s="1" t="inlineStr">
        <is>
          <t>ไม้กอล์ฟ</t>
        </is>
      </c>
      <c r="C549" s="1" t="inlineStr">
        <is>
          <t>gf1240101424</t>
        </is>
      </c>
      <c r="D549" s="1" t="inlineStr">
        <is>
          <t>TAYLORMADE Spider Tour X Black #1 L-Neck (2025) Men's Putter</t>
        </is>
      </c>
      <c r="E549" s="1" t="inlineStr">
        <is>
          <t>TAYLORMADE</t>
        </is>
      </c>
      <c r="F549" s="1" t="inlineStr">
        <is>
          <t>PUTTER</t>
        </is>
      </c>
      <c r="G549" s="1" t="inlineStr">
        <is>
          <t>GF124010142434</t>
        </is>
      </c>
      <c r="H549" s="1" t="n">
        <v>1</v>
      </c>
      <c r="I549" s="1" t="inlineStr">
        <is>
          <t>หมด</t>
        </is>
      </c>
      <c r="J549" s="13" t="n">
        <v>549</v>
      </c>
      <c r="K549" s="1" t="inlineStr"/>
      <c r="L549" s="13" t="n">
        <v>439</v>
      </c>
      <c r="M549" s="1">
        <f>IF(L549="","ไม่พบใน SG",IF(ABS(J549-L549)&lt;0.005,"ตรงกัน","ไม่ตรง"))</f>
        <v/>
      </c>
      <c r="N549" s="14">
        <f>IF(L549="","",ROUND(L549*'สรุป'!$C$6,-1))</f>
        <v/>
      </c>
      <c r="O549" s="15" t="n"/>
      <c r="P549" s="15" t="n"/>
      <c r="Q549" s="10" t="n"/>
      <c r="R549" s="10" t="n"/>
      <c r="S549" s="16" t="inlineStr">
        <is>
          <t>https://mstgolf.co.th/products/gf1240101424</t>
        </is>
      </c>
      <c r="T549" s="1">
        <f>IF(B549="ไม้กอล์ฟ",J549,"")</f>
        <v/>
      </c>
    </row>
    <row r="550">
      <c r="A550" s="1" t="n">
        <v>1</v>
      </c>
      <c r="B550" s="1" t="inlineStr">
        <is>
          <t>ไม้กอล์ฟ</t>
        </is>
      </c>
      <c r="C550" s="1" t="inlineStr">
        <is>
          <t>gf1240101423</t>
        </is>
      </c>
      <c r="D550" s="1" t="inlineStr">
        <is>
          <t>TAYLORMADE Spider Tour X Black #3 Short Slant (2025) Men's Putter</t>
        </is>
      </c>
      <c r="E550" s="1" t="inlineStr">
        <is>
          <t>TAYLORMADE</t>
        </is>
      </c>
      <c r="F550" s="1" t="inlineStr">
        <is>
          <t>PUTTER</t>
        </is>
      </c>
      <c r="G550" s="1" t="inlineStr">
        <is>
          <t>GF124010142334</t>
        </is>
      </c>
      <c r="H550" s="1" t="n">
        <v>1</v>
      </c>
      <c r="I550" s="1" t="inlineStr">
        <is>
          <t>หมด</t>
        </is>
      </c>
      <c r="J550" s="13" t="n">
        <v>549</v>
      </c>
      <c r="K550" s="1" t="inlineStr"/>
      <c r="L550" s="13" t="n">
        <v>439</v>
      </c>
      <c r="M550" s="1">
        <f>IF(L550="","ไม่พบใน SG",IF(ABS(J550-L550)&lt;0.005,"ตรงกัน","ไม่ตรง"))</f>
        <v/>
      </c>
      <c r="N550" s="14">
        <f>IF(L550="","",ROUND(L550*'สรุป'!$C$6,-1))</f>
        <v/>
      </c>
      <c r="O550" s="15" t="n"/>
      <c r="P550" s="15" t="n"/>
      <c r="Q550" s="10" t="n"/>
      <c r="R550" s="10" t="n"/>
      <c r="S550" s="16" t="inlineStr">
        <is>
          <t>https://mstgolf.co.th/products/gf1240101423</t>
        </is>
      </c>
      <c r="T550" s="1">
        <f>IF(B550="ไม้กอล์ฟ",J550,"")</f>
        <v/>
      </c>
    </row>
    <row r="551">
      <c r="A551" s="1" t="n">
        <v>1</v>
      </c>
      <c r="B551" s="1" t="inlineStr">
        <is>
          <t>ไม้กอล์ฟ</t>
        </is>
      </c>
      <c r="C551" s="1" t="inlineStr">
        <is>
          <t>gf1240101179</t>
        </is>
      </c>
      <c r="D551" s="1" t="inlineStr">
        <is>
          <t>TAYLORMADE Spider Tour X Double Bend (2024) Men's Putter</t>
        </is>
      </c>
      <c r="E551" s="1" t="inlineStr">
        <is>
          <t>TAYLORMADE</t>
        </is>
      </c>
      <c r="F551" s="1" t="inlineStr">
        <is>
          <t>PUTTER</t>
        </is>
      </c>
      <c r="G551" s="1" t="inlineStr">
        <is>
          <t>GF124010117934</t>
        </is>
      </c>
      <c r="H551" s="1" t="n">
        <v>1</v>
      </c>
      <c r="I551" s="1" t="inlineStr">
        <is>
          <t>หมด</t>
        </is>
      </c>
      <c r="J551" s="13" t="n">
        <v>549</v>
      </c>
      <c r="K551" s="1" t="inlineStr"/>
      <c r="L551" s="13" t="n"/>
      <c r="M551" s="1">
        <f>IF(L551="","ไม่พบใน SG",IF(ABS(J551-L551)&lt;0.005,"ตรงกัน","ไม่ตรง"))</f>
        <v/>
      </c>
      <c r="N551" s="14">
        <f>IF(L551="","",ROUND(L551*'สรุป'!$C$6,-1))</f>
        <v/>
      </c>
      <c r="O551" s="15" t="n"/>
      <c r="P551" s="15" t="n"/>
      <c r="Q551" s="10" t="n"/>
      <c r="R551" s="10" t="n"/>
      <c r="S551" s="16" t="inlineStr">
        <is>
          <t>https://mstgolf.co.th/products/gf1240101179</t>
        </is>
      </c>
      <c r="T551" s="1">
        <f>IF(B551="ไม้กอล์ฟ",J551,"")</f>
        <v/>
      </c>
    </row>
    <row r="552">
      <c r="A552" s="1" t="n">
        <v>1</v>
      </c>
      <c r="B552" s="1" t="inlineStr">
        <is>
          <t>ไม้กอล์ฟ</t>
        </is>
      </c>
      <c r="C552" s="1" t="inlineStr">
        <is>
          <t>gf1240101182</t>
        </is>
      </c>
      <c r="D552" s="1" t="inlineStr">
        <is>
          <t>TAYLORMADE Spider Tour X Silver Double Bend (2024) Men's Putter</t>
        </is>
      </c>
      <c r="E552" s="1" t="inlineStr">
        <is>
          <t>TAYLORMADE</t>
        </is>
      </c>
      <c r="F552" s="1" t="inlineStr">
        <is>
          <t>PUTTER</t>
        </is>
      </c>
      <c r="G552" s="1" t="inlineStr">
        <is>
          <t>GF124010118234</t>
        </is>
      </c>
      <c r="H552" s="1" t="n">
        <v>1</v>
      </c>
      <c r="I552" s="1" t="inlineStr">
        <is>
          <t>หมด</t>
        </is>
      </c>
      <c r="J552" s="13" t="n">
        <v>549</v>
      </c>
      <c r="K552" s="1" t="inlineStr"/>
      <c r="L552" s="13" t="n">
        <v>549</v>
      </c>
      <c r="M552" s="1">
        <f>IF(L552="","ไม่พบใน SG",IF(ABS(J552-L552)&lt;0.005,"ตรงกัน","ไม่ตรง"))</f>
        <v/>
      </c>
      <c r="N552" s="14">
        <f>IF(L552="","",ROUND(L552*'สรุป'!$C$6,-1))</f>
        <v/>
      </c>
      <c r="O552" s="15" t="n"/>
      <c r="P552" s="15" t="n"/>
      <c r="Q552" s="10" t="n"/>
      <c r="R552" s="10" t="n"/>
      <c r="S552" s="16" t="inlineStr">
        <is>
          <t>https://mstgolf.co.th/products/gf1240101182</t>
        </is>
      </c>
      <c r="T552" s="1">
        <f>IF(B552="ไม้กอล์ฟ",J552,"")</f>
        <v/>
      </c>
    </row>
    <row r="553">
      <c r="A553" s="1" t="n">
        <v>1</v>
      </c>
      <c r="B553" s="1" t="inlineStr">
        <is>
          <t>ไม้กอล์ฟ</t>
        </is>
      </c>
      <c r="C553" s="1" t="inlineStr">
        <is>
          <t>gf1240101180</t>
        </is>
      </c>
      <c r="D553" s="1" t="inlineStr">
        <is>
          <t>TAYLORMADE Spider Tour X Silver Short Slant (2024) Men's Putter</t>
        </is>
      </c>
      <c r="E553" s="1" t="inlineStr">
        <is>
          <t>TAYLORMADE</t>
        </is>
      </c>
      <c r="F553" s="1" t="inlineStr">
        <is>
          <t>PUTTER</t>
        </is>
      </c>
      <c r="G553" s="1" t="inlineStr">
        <is>
          <t>GF124010118034</t>
        </is>
      </c>
      <c r="H553" s="1" t="n">
        <v>1</v>
      </c>
      <c r="I553" s="1" t="inlineStr">
        <is>
          <t>หมด</t>
        </is>
      </c>
      <c r="J553" s="13" t="n">
        <v>549</v>
      </c>
      <c r="K553" s="1" t="inlineStr"/>
      <c r="L553" s="13" t="n">
        <v>439</v>
      </c>
      <c r="M553" s="1">
        <f>IF(L553="","ไม่พบใน SG",IF(ABS(J553-L553)&lt;0.005,"ตรงกัน","ไม่ตรง"))</f>
        <v/>
      </c>
      <c r="N553" s="14">
        <f>IF(L553="","",ROUND(L553*'สรุป'!$C$6,-1))</f>
        <v/>
      </c>
      <c r="O553" s="15" t="n"/>
      <c r="P553" s="15" t="n"/>
      <c r="Q553" s="10" t="n"/>
      <c r="R553" s="10" t="n"/>
      <c r="S553" s="16" t="inlineStr">
        <is>
          <t>https://mstgolf.co.th/products/gf1240101180</t>
        </is>
      </c>
      <c r="T553" s="1">
        <f>IF(B553="ไม้กอล์ฟ",J553,"")</f>
        <v/>
      </c>
    </row>
    <row r="554">
      <c r="A554" s="1" t="n">
        <v>1</v>
      </c>
      <c r="B554" s="1" t="inlineStr">
        <is>
          <t>ไม้กอล์ฟ</t>
        </is>
      </c>
      <c r="C554" s="1" t="inlineStr">
        <is>
          <t>gf1240101188</t>
        </is>
      </c>
      <c r="D554" s="1" t="inlineStr">
        <is>
          <t>TAYLORMADE Spider Tour Z Silver Double Bend (2024) Men's Putter</t>
        </is>
      </c>
      <c r="E554" s="1" t="inlineStr">
        <is>
          <t>TAYLORMADE</t>
        </is>
      </c>
      <c r="F554" s="1" t="inlineStr">
        <is>
          <t>PUTTER</t>
        </is>
      </c>
      <c r="G554" s="1" t="inlineStr">
        <is>
          <t>GF124010118834</t>
        </is>
      </c>
      <c r="H554" s="1" t="n">
        <v>1</v>
      </c>
      <c r="I554" s="1" t="inlineStr">
        <is>
          <t>หมด</t>
        </is>
      </c>
      <c r="J554" s="13" t="n">
        <v>549</v>
      </c>
      <c r="K554" s="1" t="inlineStr"/>
      <c r="L554" s="13" t="n"/>
      <c r="M554" s="1">
        <f>IF(L554="","ไม่พบใน SG",IF(ABS(J554-L554)&lt;0.005,"ตรงกัน","ไม่ตรง"))</f>
        <v/>
      </c>
      <c r="N554" s="14">
        <f>IF(L554="","",ROUND(L554*'สรุป'!$C$6,-1))</f>
        <v/>
      </c>
      <c r="O554" s="15" t="n"/>
      <c r="P554" s="15" t="n"/>
      <c r="Q554" s="10" t="n"/>
      <c r="R554" s="10" t="n"/>
      <c r="S554" s="16" t="inlineStr">
        <is>
          <t>https://mstgolf.co.th/products/gf1240101188</t>
        </is>
      </c>
      <c r="T554" s="1">
        <f>IF(B554="ไม้กอล์ฟ",J554,"")</f>
        <v/>
      </c>
    </row>
    <row r="555">
      <c r="A555" s="1" t="n">
        <v>1</v>
      </c>
      <c r="B555" s="1" t="inlineStr">
        <is>
          <t>ไม้กอล์ฟ</t>
        </is>
      </c>
      <c r="C555" s="1" t="inlineStr">
        <is>
          <t>gf1240101184</t>
        </is>
      </c>
      <c r="D555" s="1" t="inlineStr">
        <is>
          <t>TAYLORMADE Spider Tour x Double Bend Ice Mint (2024) Women's Putter</t>
        </is>
      </c>
      <c r="E555" s="1" t="inlineStr">
        <is>
          <t>TAYLORMADE</t>
        </is>
      </c>
      <c r="F555" s="1" t="inlineStr">
        <is>
          <t>PUTTER</t>
        </is>
      </c>
      <c r="G555" s="1" t="inlineStr">
        <is>
          <t>GF124010118433</t>
        </is>
      </c>
      <c r="H555" s="1" t="n">
        <v>2</v>
      </c>
      <c r="I555" s="1" t="inlineStr">
        <is>
          <t>หมด</t>
        </is>
      </c>
      <c r="J555" s="13" t="n">
        <v>549</v>
      </c>
      <c r="K555" s="1" t="inlineStr"/>
      <c r="L555" s="13" t="n">
        <v>439</v>
      </c>
      <c r="M555" s="1">
        <f>IF(L555="","ไม่พบใน SG",IF(ABS(J555-L555)&lt;0.005,"ตรงกัน","ไม่ตรง"))</f>
        <v/>
      </c>
      <c r="N555" s="14">
        <f>IF(L555="","",ROUND(L555*'สรุป'!$C$6,-1))</f>
        <v/>
      </c>
      <c r="O555" s="15" t="n"/>
      <c r="P555" s="15" t="n"/>
      <c r="Q555" s="10" t="n"/>
      <c r="R555" s="10" t="n"/>
      <c r="S555" s="16" t="inlineStr">
        <is>
          <t>https://mstgolf.co.th/products/gf1240101184</t>
        </is>
      </c>
      <c r="T555" s="1">
        <f>IF(B555="ไม้กอล์ฟ",J555,"")</f>
        <v/>
      </c>
    </row>
    <row r="556">
      <c r="A556" s="1" t="n">
        <v>1</v>
      </c>
      <c r="B556" s="1" t="inlineStr">
        <is>
          <t>ไม้กอล์ฟ</t>
        </is>
      </c>
      <c r="C556" s="1" t="inlineStr">
        <is>
          <t>gf1240101127</t>
        </is>
      </c>
      <c r="D556" s="1" t="inlineStr">
        <is>
          <t>TITLEIST Super Select Del Mar (2023) Men's Putter</t>
        </is>
      </c>
      <c r="E556" s="1" t="inlineStr">
        <is>
          <t>TITLEIST</t>
        </is>
      </c>
      <c r="F556" s="1" t="inlineStr">
        <is>
          <t>PUTTER</t>
        </is>
      </c>
      <c r="G556" s="1" t="inlineStr">
        <is>
          <t>GF124010112734</t>
        </is>
      </c>
      <c r="H556" s="1" t="n">
        <v>1</v>
      </c>
      <c r="I556" s="1" t="inlineStr">
        <is>
          <t>หมด</t>
        </is>
      </c>
      <c r="J556" s="13" t="n">
        <v>549</v>
      </c>
      <c r="K556" s="1" t="inlineStr"/>
      <c r="L556" s="13" t="n"/>
      <c r="M556" s="1">
        <f>IF(L556="","ไม่พบใน SG",IF(ABS(J556-L556)&lt;0.005,"ตรงกัน","ไม่ตรง"))</f>
        <v/>
      </c>
      <c r="N556" s="14">
        <f>IF(L556="","",ROUND(L556*'สรุป'!$C$6,-1))</f>
        <v/>
      </c>
      <c r="O556" s="15" t="n"/>
      <c r="P556" s="15" t="n"/>
      <c r="Q556" s="10" t="n"/>
      <c r="R556" s="10" t="n"/>
      <c r="S556" s="16" t="inlineStr">
        <is>
          <t>https://mstgolf.co.th/products/gf1240101127</t>
        </is>
      </c>
      <c r="T556" s="1">
        <f>IF(B556="ไม้กอล์ฟ",J556,"")</f>
        <v/>
      </c>
    </row>
    <row r="557">
      <c r="A557" s="1" t="n">
        <v>1</v>
      </c>
      <c r="B557" s="1" t="inlineStr">
        <is>
          <t>ไม้กอล์ฟ</t>
        </is>
      </c>
      <c r="C557" s="1" t="inlineStr">
        <is>
          <t>gf1240101126</t>
        </is>
      </c>
      <c r="D557" s="1" t="inlineStr">
        <is>
          <t>TITLEIST Super Select Fastback 1.5 (2023) Men's Putter</t>
        </is>
      </c>
      <c r="E557" s="1" t="inlineStr">
        <is>
          <t>TITLEIST</t>
        </is>
      </c>
      <c r="F557" s="1" t="inlineStr">
        <is>
          <t>PUTTER</t>
        </is>
      </c>
      <c r="G557" s="1" t="inlineStr">
        <is>
          <t>GF124010112634</t>
        </is>
      </c>
      <c r="H557" s="1" t="n">
        <v>1</v>
      </c>
      <c r="I557" s="1" t="inlineStr">
        <is>
          <t>หมด</t>
        </is>
      </c>
      <c r="J557" s="13" t="n">
        <v>549</v>
      </c>
      <c r="K557" s="1" t="inlineStr"/>
      <c r="L557" s="13" t="n"/>
      <c r="M557" s="1">
        <f>IF(L557="","ไม่พบใน SG",IF(ABS(J557-L557)&lt;0.005,"ตรงกัน","ไม่ตรง"))</f>
        <v/>
      </c>
      <c r="N557" s="14">
        <f>IF(L557="","",ROUND(L557*'สรุป'!$C$6,-1))</f>
        <v/>
      </c>
      <c r="O557" s="15" t="n"/>
      <c r="P557" s="15" t="n"/>
      <c r="Q557" s="10" t="n"/>
      <c r="R557" s="10" t="n"/>
      <c r="S557" s="16" t="inlineStr">
        <is>
          <t>https://mstgolf.co.th/products/gf1240101126</t>
        </is>
      </c>
      <c r="T557" s="1">
        <f>IF(B557="ไม้กอล์ฟ",J557,"")</f>
        <v/>
      </c>
    </row>
    <row r="558">
      <c r="A558" s="1" t="n">
        <v>1</v>
      </c>
      <c r="B558" s="1" t="inlineStr">
        <is>
          <t>ไม้กอล์ฟ</t>
        </is>
      </c>
      <c r="C558" s="1" t="inlineStr">
        <is>
          <t>gf1240101128</t>
        </is>
      </c>
      <c r="D558" s="1" t="inlineStr">
        <is>
          <t>TITLEIST Super Select Golo 6 2023 Men's Putter</t>
        </is>
      </c>
      <c r="E558" s="1" t="inlineStr">
        <is>
          <t>TITLEIST</t>
        </is>
      </c>
      <c r="F558" s="1" t="inlineStr">
        <is>
          <t>PUTTER</t>
        </is>
      </c>
      <c r="G558" s="1" t="inlineStr">
        <is>
          <t>GF124010112832</t>
        </is>
      </c>
      <c r="H558" s="1" t="n">
        <v>2</v>
      </c>
      <c r="I558" s="1" t="inlineStr">
        <is>
          <t>หมด</t>
        </is>
      </c>
      <c r="J558" s="13" t="n">
        <v>549</v>
      </c>
      <c r="K558" s="1" t="inlineStr"/>
      <c r="L558" s="13" t="n"/>
      <c r="M558" s="1">
        <f>IF(L558="","ไม่พบใน SG",IF(ABS(J558-L558)&lt;0.005,"ตรงกัน","ไม่ตรง"))</f>
        <v/>
      </c>
      <c r="N558" s="14">
        <f>IF(L558="","",ROUND(L558*'สรุป'!$C$6,-1))</f>
        <v/>
      </c>
      <c r="O558" s="15" t="n"/>
      <c r="P558" s="15" t="n"/>
      <c r="Q558" s="10" t="n"/>
      <c r="R558" s="10" t="n"/>
      <c r="S558" s="16" t="inlineStr">
        <is>
          <t>https://mstgolf.co.th/products/gf1240101128</t>
        </is>
      </c>
      <c r="T558" s="1">
        <f>IF(B558="ไม้กอล์ฟ",J558,"")</f>
        <v/>
      </c>
    </row>
    <row r="559">
      <c r="A559" s="1" t="n">
        <v>1</v>
      </c>
      <c r="B559" s="1" t="inlineStr">
        <is>
          <t>ไม้กอล์ฟ</t>
        </is>
      </c>
      <c r="C559" s="1" t="inlineStr">
        <is>
          <t>gf1240101123</t>
        </is>
      </c>
      <c r="D559" s="1" t="inlineStr">
        <is>
          <t>TITLEIST Super Select Newport 2 2023 Plus Men's Putter</t>
        </is>
      </c>
      <c r="E559" s="1" t="inlineStr">
        <is>
          <t>TITLEIST</t>
        </is>
      </c>
      <c r="F559" s="1" t="inlineStr">
        <is>
          <t>PUTTER</t>
        </is>
      </c>
      <c r="G559" s="1" t="inlineStr">
        <is>
          <t>GF124010112334</t>
        </is>
      </c>
      <c r="H559" s="1" t="n">
        <v>1</v>
      </c>
      <c r="I559" s="1" t="inlineStr">
        <is>
          <t>หมด</t>
        </is>
      </c>
      <c r="J559" s="13" t="n">
        <v>549</v>
      </c>
      <c r="K559" s="1" t="inlineStr"/>
      <c r="L559" s="13" t="n"/>
      <c r="M559" s="1">
        <f>IF(L559="","ไม่พบใน SG",IF(ABS(J559-L559)&lt;0.005,"ตรงกัน","ไม่ตรง"))</f>
        <v/>
      </c>
      <c r="N559" s="14">
        <f>IF(L559="","",ROUND(L559*'สรุป'!$C$6,-1))</f>
        <v/>
      </c>
      <c r="O559" s="15" t="n"/>
      <c r="P559" s="15" t="n"/>
      <c r="Q559" s="10" t="n"/>
      <c r="R559" s="10" t="n"/>
      <c r="S559" s="16" t="inlineStr">
        <is>
          <t>https://mstgolf.co.th/products/gf1240101123</t>
        </is>
      </c>
      <c r="T559" s="1">
        <f>IF(B559="ไม้กอล์ฟ",J559,"")</f>
        <v/>
      </c>
    </row>
    <row r="560">
      <c r="A560" s="1" t="n">
        <v>1</v>
      </c>
      <c r="B560" s="1" t="inlineStr">
        <is>
          <t>ไม้กอล์ฟ</t>
        </is>
      </c>
      <c r="C560" s="1" t="inlineStr">
        <is>
          <t>gf1240101040</t>
        </is>
      </c>
      <c r="D560" s="1" t="inlineStr">
        <is>
          <t>BETTINARDI Queen B 2023 #11 Men's Putter (Lt. Grey Sink Fit STD Grip)</t>
        </is>
      </c>
      <c r="E560" s="1" t="inlineStr">
        <is>
          <t>BETTINARDI</t>
        </is>
      </c>
      <c r="F560" s="1" t="inlineStr">
        <is>
          <t>PUTTER</t>
        </is>
      </c>
      <c r="G560" s="1" t="inlineStr">
        <is>
          <t>GF124010104034</t>
        </is>
      </c>
      <c r="H560" s="1" t="n">
        <v>1</v>
      </c>
      <c r="I560" s="1" t="inlineStr">
        <is>
          <t>หมด</t>
        </is>
      </c>
      <c r="J560" s="13" t="n">
        <v>539</v>
      </c>
      <c r="K560" s="1" t="inlineStr"/>
      <c r="L560" s="13" t="n"/>
      <c r="M560" s="1">
        <f>IF(L560="","ไม่พบใน SG",IF(ABS(J560-L560)&lt;0.005,"ตรงกัน","ไม่ตรง"))</f>
        <v/>
      </c>
      <c r="N560" s="14">
        <f>IF(L560="","",ROUND(L560*'สรุป'!$C$6,-1))</f>
        <v/>
      </c>
      <c r="O560" s="15" t="n"/>
      <c r="P560" s="15" t="n"/>
      <c r="Q560" s="10" t="n"/>
      <c r="R560" s="10" t="n"/>
      <c r="S560" s="16" t="inlineStr">
        <is>
          <t>https://mstgolf.co.th/products/gf1240101040</t>
        </is>
      </c>
      <c r="T560" s="1">
        <f>IF(B560="ไม้กอล์ฟ",J560,"")</f>
        <v/>
      </c>
    </row>
    <row r="561">
      <c r="A561" s="1" t="n">
        <v>1</v>
      </c>
      <c r="B561" s="1" t="inlineStr">
        <is>
          <t>ไม้กอล์ฟ</t>
        </is>
      </c>
      <c r="C561" s="1" t="inlineStr">
        <is>
          <t>gf1240101037</t>
        </is>
      </c>
      <c r="D561" s="1" t="inlineStr">
        <is>
          <t>BETTINARDI Queen B 2023 #15 Men's Putter (Lt. Grey Sink Fit STD Grip)</t>
        </is>
      </c>
      <c r="E561" s="1" t="inlineStr">
        <is>
          <t>BETTINARDI</t>
        </is>
      </c>
      <c r="F561" s="1" t="inlineStr">
        <is>
          <t>PUTTER</t>
        </is>
      </c>
      <c r="G561" s="1" t="inlineStr">
        <is>
          <t>GF124010103734</t>
        </is>
      </c>
      <c r="H561" s="1" t="n">
        <v>1</v>
      </c>
      <c r="I561" s="1" t="inlineStr">
        <is>
          <t>หมด</t>
        </is>
      </c>
      <c r="J561" s="13" t="n">
        <v>539</v>
      </c>
      <c r="K561" s="1" t="inlineStr"/>
      <c r="L561" s="13" t="n"/>
      <c r="M561" s="1">
        <f>IF(L561="","ไม่พบใน SG",IF(ABS(J561-L561)&lt;0.005,"ตรงกัน","ไม่ตรง"))</f>
        <v/>
      </c>
      <c r="N561" s="14">
        <f>IF(L561="","",ROUND(L561*'สรุป'!$C$6,-1))</f>
        <v/>
      </c>
      <c r="O561" s="15" t="n"/>
      <c r="P561" s="15" t="n"/>
      <c r="Q561" s="10" t="n"/>
      <c r="R561" s="10" t="n"/>
      <c r="S561" s="16" t="inlineStr">
        <is>
          <t>https://mstgolf.co.th/products/gf1240101037</t>
        </is>
      </c>
      <c r="T561" s="1">
        <f>IF(B561="ไม้กอล์ฟ",J561,"")</f>
        <v/>
      </c>
    </row>
    <row r="562">
      <c r="A562" s="1" t="n">
        <v>1</v>
      </c>
      <c r="B562" s="1" t="inlineStr">
        <is>
          <t>ไม้กอล์ฟ</t>
        </is>
      </c>
      <c r="C562" s="1" t="inlineStr">
        <is>
          <t>gf1210101224</t>
        </is>
      </c>
      <c r="D562" s="1" t="inlineStr">
        <is>
          <t>CALLAWAY Elyte (2025) Men's Driver</t>
        </is>
      </c>
      <c r="E562" s="1" t="inlineStr">
        <is>
          <t>CALLAWAY</t>
        </is>
      </c>
      <c r="F562" s="1" t="inlineStr">
        <is>
          <t>DRIVER</t>
        </is>
      </c>
      <c r="G562" s="1" t="inlineStr">
        <is>
          <t>GF12101012249S</t>
        </is>
      </c>
      <c r="H562" s="1" t="n">
        <v>4</v>
      </c>
      <c r="I562" s="1" t="inlineStr">
        <is>
          <t>หมด</t>
        </is>
      </c>
      <c r="J562" s="13" t="n">
        <v>539</v>
      </c>
      <c r="K562" s="1" t="inlineStr"/>
      <c r="L562" s="13" t="n"/>
      <c r="M562" s="1">
        <f>IF(L562="","ไม่พบใน SG",IF(ABS(J562-L562)&lt;0.005,"ตรงกัน","ไม่ตรง"))</f>
        <v/>
      </c>
      <c r="N562" s="14">
        <f>IF(L562="","",ROUND(L562*'สรุป'!$C$6,-1))</f>
        <v/>
      </c>
      <c r="O562" s="15" t="n"/>
      <c r="P562" s="15" t="n"/>
      <c r="Q562" s="10" t="n"/>
      <c r="R562" s="10" t="n"/>
      <c r="S562" s="16" t="inlineStr">
        <is>
          <t>https://mstgolf.co.th/products/gf1210101224</t>
        </is>
      </c>
      <c r="T562" s="1">
        <f>IF(B562="ไม้กอล์ฟ",J562,"")</f>
        <v/>
      </c>
    </row>
    <row r="563">
      <c r="A563" s="1" t="n">
        <v>1</v>
      </c>
      <c r="B563" s="1" t="inlineStr">
        <is>
          <t>ไม้กอล์ฟ</t>
        </is>
      </c>
      <c r="C563" s="1" t="inlineStr">
        <is>
          <t>gf1220100469</t>
        </is>
      </c>
      <c r="D563" s="1" t="inlineStr">
        <is>
          <t>MAJESTY Royale (2021) Men's Fairway</t>
        </is>
      </c>
      <c r="E563" s="1" t="inlineStr">
        <is>
          <t>MAJESTY</t>
        </is>
      </c>
      <c r="F563" s="1" t="inlineStr">
        <is>
          <t>FAIRWAY WOOD</t>
        </is>
      </c>
      <c r="G563" s="1" t="inlineStr">
        <is>
          <t>GF1220100469#3SR</t>
        </is>
      </c>
      <c r="H563" s="1" t="n">
        <v>5</v>
      </c>
      <c r="I563" s="1" t="inlineStr">
        <is>
          <t>หมด</t>
        </is>
      </c>
      <c r="J563" s="13" t="n">
        <v>539</v>
      </c>
      <c r="K563" s="1" t="inlineStr"/>
      <c r="L563" s="13" t="n">
        <v>539</v>
      </c>
      <c r="M563" s="1">
        <f>IF(L563="","ไม่พบใน SG",IF(ABS(J563-L563)&lt;0.005,"ตรงกัน","ไม่ตรง"))</f>
        <v/>
      </c>
      <c r="N563" s="14">
        <f>IF(L563="","",ROUND(L563*'สรุป'!$C$6,-1))</f>
        <v/>
      </c>
      <c r="O563" s="15" t="n"/>
      <c r="P563" s="15" t="n"/>
      <c r="Q563" s="10" t="n"/>
      <c r="R563" s="10" t="n"/>
      <c r="S563" s="16" t="inlineStr">
        <is>
          <t>https://mstgolf.co.th/products/gf1220100469</t>
        </is>
      </c>
      <c r="T563" s="1">
        <f>IF(B563="ไม้กอล์ฟ",J563,"")</f>
        <v/>
      </c>
    </row>
    <row r="564">
      <c r="A564" s="1" t="n">
        <v>1</v>
      </c>
      <c r="B564" s="1" t="inlineStr">
        <is>
          <t>ไม้กอล์ฟ</t>
        </is>
      </c>
      <c r="C564" s="1" t="inlineStr">
        <is>
          <t>gf1240101170</t>
        </is>
      </c>
      <c r="D564" s="1" t="inlineStr">
        <is>
          <t>COBRA Agera 3D Printed (2024) Men's Putter</t>
        </is>
      </c>
      <c r="E564" s="1" t="inlineStr">
        <is>
          <t>COBRA</t>
        </is>
      </c>
      <c r="F564" s="1" t="inlineStr">
        <is>
          <t>PUTTER</t>
        </is>
      </c>
      <c r="G564" s="1" t="inlineStr">
        <is>
          <t>GF124010117034</t>
        </is>
      </c>
      <c r="H564" s="1" t="n">
        <v>1</v>
      </c>
      <c r="I564" s="1" t="inlineStr">
        <is>
          <t>หมด</t>
        </is>
      </c>
      <c r="J564" s="13" t="n">
        <v>535</v>
      </c>
      <c r="K564" s="1" t="inlineStr"/>
      <c r="L564" s="13" t="n">
        <v>535</v>
      </c>
      <c r="M564" s="1">
        <f>IF(L564="","ไม่พบใน SG",IF(ABS(J564-L564)&lt;0.005,"ตรงกัน","ไม่ตรง"))</f>
        <v/>
      </c>
      <c r="N564" s="14">
        <f>IF(L564="","",ROUND(L564*'สรุป'!$C$6,-1))</f>
        <v/>
      </c>
      <c r="O564" s="15" t="n"/>
      <c r="P564" s="15" t="n"/>
      <c r="Q564" s="10" t="n"/>
      <c r="R564" s="10" t="n"/>
      <c r="S564" s="16" t="inlineStr">
        <is>
          <t>https://mstgolf.co.th/products/gf1240101170</t>
        </is>
      </c>
      <c r="T564" s="1">
        <f>IF(B564="ไม้กอล์ฟ",J564,"")</f>
        <v/>
      </c>
    </row>
    <row r="565">
      <c r="A565" s="1" t="n">
        <v>1</v>
      </c>
      <c r="B565" s="1" t="inlineStr">
        <is>
          <t>ไม้กอล์ฟ</t>
        </is>
      </c>
      <c r="C565" s="1" t="inlineStr">
        <is>
          <t>gf1240101168</t>
        </is>
      </c>
      <c r="D565" s="1" t="inlineStr">
        <is>
          <t>COBRA Grandsport-35 3D Printed (2024) Men's Putter</t>
        </is>
      </c>
      <c r="E565" s="1" t="inlineStr">
        <is>
          <t>COBRA</t>
        </is>
      </c>
      <c r="F565" s="1" t="inlineStr">
        <is>
          <t>PUTTER</t>
        </is>
      </c>
      <c r="G565" s="1" t="inlineStr">
        <is>
          <t>GF124010116834</t>
        </is>
      </c>
      <c r="H565" s="1" t="n">
        <v>1</v>
      </c>
      <c r="I565" s="1" t="inlineStr">
        <is>
          <t>หมด</t>
        </is>
      </c>
      <c r="J565" s="13" t="n">
        <v>535</v>
      </c>
      <c r="K565" s="1" t="inlineStr"/>
      <c r="L565" s="13" t="n">
        <v>535</v>
      </c>
      <c r="M565" s="1">
        <f>IF(L565="","ไม่พบใน SG",IF(ABS(J565-L565)&lt;0.005,"ตรงกัน","ไม่ตรง"))</f>
        <v/>
      </c>
      <c r="N565" s="14">
        <f>IF(L565="","",ROUND(L565*'สรุป'!$C$6,-1))</f>
        <v/>
      </c>
      <c r="O565" s="15" t="n"/>
      <c r="P565" s="15" t="n"/>
      <c r="Q565" s="10" t="n"/>
      <c r="R565" s="10" t="n"/>
      <c r="S565" s="16" t="inlineStr">
        <is>
          <t>https://mstgolf.co.th/products/gf1240101168</t>
        </is>
      </c>
      <c r="T565" s="1">
        <f>IF(B565="ไม้กอล์ฟ",J565,"")</f>
        <v/>
      </c>
    </row>
    <row r="566">
      <c r="A566" s="1" t="n">
        <v>1</v>
      </c>
      <c r="B566" s="1" t="inlineStr">
        <is>
          <t>ไม้กอล์ฟ</t>
        </is>
      </c>
      <c r="C566" s="1" t="inlineStr">
        <is>
          <t>gf1240101169</t>
        </is>
      </c>
      <c r="D566" s="1" t="inlineStr">
        <is>
          <t>COBRA Supernova 3D Printed (2024) Men's Putter</t>
        </is>
      </c>
      <c r="E566" s="1" t="inlineStr">
        <is>
          <t>COBRA</t>
        </is>
      </c>
      <c r="F566" s="1" t="inlineStr">
        <is>
          <t>PUTTER</t>
        </is>
      </c>
      <c r="G566" s="1" t="inlineStr">
        <is>
          <t>GF124010116934</t>
        </is>
      </c>
      <c r="H566" s="1" t="n">
        <v>1</v>
      </c>
      <c r="I566" s="1" t="inlineStr">
        <is>
          <t>หมด</t>
        </is>
      </c>
      <c r="J566" s="13" t="n">
        <v>535</v>
      </c>
      <c r="K566" s="1" t="inlineStr"/>
      <c r="L566" s="13" t="n">
        <v>535</v>
      </c>
      <c r="M566" s="1">
        <f>IF(L566="","ไม่พบใน SG",IF(ABS(J566-L566)&lt;0.005,"ตรงกัน","ไม่ตรง"))</f>
        <v/>
      </c>
      <c r="N566" s="14">
        <f>IF(L566="","",ROUND(L566*'สรุป'!$C$6,-1))</f>
        <v/>
      </c>
      <c r="O566" s="15" t="n"/>
      <c r="P566" s="15" t="n"/>
      <c r="Q566" s="10" t="n"/>
      <c r="R566" s="10" t="n"/>
      <c r="S566" s="16" t="inlineStr">
        <is>
          <t>https://mstgolf.co.th/products/gf1240101169</t>
        </is>
      </c>
      <c r="T566" s="1">
        <f>IF(B566="ไม้กอล์ฟ",J566,"")</f>
        <v/>
      </c>
    </row>
    <row r="567">
      <c r="A567" s="1" t="n">
        <v>1</v>
      </c>
      <c r="B567" s="1" t="inlineStr">
        <is>
          <t>ไม้กอล์ฟ</t>
        </is>
      </c>
      <c r="C567" s="1" t="inlineStr">
        <is>
          <t>gf1210100562</t>
        </is>
      </c>
      <c r="D567" s="1" t="inlineStr">
        <is>
          <t>MARUMAN SG Men's Driver</t>
        </is>
      </c>
      <c r="E567" s="1" t="inlineStr">
        <is>
          <t>MARUMAN</t>
        </is>
      </c>
      <c r="F567" s="1" t="inlineStr">
        <is>
          <t>DRIVER</t>
        </is>
      </c>
      <c r="G567" s="1" t="inlineStr">
        <is>
          <t>GF12101005629.5S</t>
        </is>
      </c>
      <c r="H567" s="1" t="n">
        <v>5</v>
      </c>
      <c r="I567" s="1" t="inlineStr">
        <is>
          <t>หมด</t>
        </is>
      </c>
      <c r="J567" s="13" t="n">
        <v>535</v>
      </c>
      <c r="K567" s="1" t="inlineStr"/>
      <c r="L567" s="13" t="n">
        <v>535</v>
      </c>
      <c r="M567" s="1">
        <f>IF(L567="","ไม่พบใน SG",IF(ABS(J567-L567)&lt;0.005,"ตรงกัน","ไม่ตรง"))</f>
        <v/>
      </c>
      <c r="N567" s="14">
        <f>IF(L567="","",ROUND(L567*'สรุป'!$C$6,-1))</f>
        <v/>
      </c>
      <c r="O567" s="15" t="n"/>
      <c r="P567" s="15" t="n"/>
      <c r="Q567" s="10" t="n"/>
      <c r="R567" s="10" t="n"/>
      <c r="S567" s="16" t="inlineStr">
        <is>
          <t>https://mstgolf.co.th/products/gf1210100562</t>
        </is>
      </c>
      <c r="T567" s="1">
        <f>IF(B567="ไม้กอล์ฟ",J567,"")</f>
        <v/>
      </c>
    </row>
    <row r="568">
      <c r="A568" s="1" t="n">
        <v>1</v>
      </c>
      <c r="B568" s="1" t="inlineStr">
        <is>
          <t>ไม้กอล์ฟ</t>
        </is>
      </c>
      <c r="C568" s="1" t="inlineStr">
        <is>
          <t>gf1240101275</t>
        </is>
      </c>
      <c r="D568" s="1" t="inlineStr">
        <is>
          <t>TITLEIST Phantom 11.5 (2024) Men's Putter</t>
        </is>
      </c>
      <c r="E568" s="1" t="inlineStr">
        <is>
          <t>TITLEIST</t>
        </is>
      </c>
      <c r="F568" s="1" t="inlineStr">
        <is>
          <t>PUTTER</t>
        </is>
      </c>
      <c r="G568" s="1" t="inlineStr">
        <is>
          <t>GF124010127534</t>
        </is>
      </c>
      <c r="H568" s="1" t="n">
        <v>1</v>
      </c>
      <c r="I568" s="1" t="inlineStr">
        <is>
          <t>หมด</t>
        </is>
      </c>
      <c r="J568" s="13" t="n">
        <v>529</v>
      </c>
      <c r="K568" s="1" t="inlineStr"/>
      <c r="L568" s="13" t="n"/>
      <c r="M568" s="1">
        <f>IF(L568="","ไม่พบใน SG",IF(ABS(J568-L568)&lt;0.005,"ตรงกัน","ไม่ตรง"))</f>
        <v/>
      </c>
      <c r="N568" s="14">
        <f>IF(L568="","",ROUND(L568*'สรุป'!$C$6,-1))</f>
        <v/>
      </c>
      <c r="O568" s="15" t="n"/>
      <c r="P568" s="15" t="n"/>
      <c r="Q568" s="10" t="n"/>
      <c r="R568" s="10" t="n"/>
      <c r="S568" s="16" t="inlineStr">
        <is>
          <t>https://mstgolf.co.th/products/gf1240101275</t>
        </is>
      </c>
      <c r="T568" s="1">
        <f>IF(B568="ไม้กอล์ฟ",J568,"")</f>
        <v/>
      </c>
    </row>
    <row r="569">
      <c r="A569" s="1" t="n">
        <v>1</v>
      </c>
      <c r="B569" s="1" t="inlineStr">
        <is>
          <t>ไม้กอล์ฟ</t>
        </is>
      </c>
      <c r="C569" s="1" t="inlineStr">
        <is>
          <t>gf1240101270</t>
        </is>
      </c>
      <c r="D569" s="1" t="inlineStr">
        <is>
          <t>TITLEIST Phantom 5 (2024) Men's Putter</t>
        </is>
      </c>
      <c r="E569" s="1" t="inlineStr">
        <is>
          <t>TITLEIST</t>
        </is>
      </c>
      <c r="F569" s="1" t="inlineStr">
        <is>
          <t>PUTTER</t>
        </is>
      </c>
      <c r="G569" s="1" t="inlineStr">
        <is>
          <t>GF124010127034</t>
        </is>
      </c>
      <c r="H569" s="1" t="n">
        <v>2</v>
      </c>
      <c r="I569" s="1" t="inlineStr">
        <is>
          <t>หมด</t>
        </is>
      </c>
      <c r="J569" s="13" t="n">
        <v>529</v>
      </c>
      <c r="K569" s="1" t="inlineStr"/>
      <c r="L569" s="13" t="n"/>
      <c r="M569" s="1">
        <f>IF(L569="","ไม่พบใน SG",IF(ABS(J569-L569)&lt;0.005,"ตรงกัน","ไม่ตรง"))</f>
        <v/>
      </c>
      <c r="N569" s="14">
        <f>IF(L569="","",ROUND(L569*'สรุป'!$C$6,-1))</f>
        <v/>
      </c>
      <c r="O569" s="15" t="n"/>
      <c r="P569" s="15" t="n"/>
      <c r="Q569" s="10" t="n"/>
      <c r="R569" s="10" t="n"/>
      <c r="S569" s="16" t="inlineStr">
        <is>
          <t>https://mstgolf.co.th/products/gf1240101270</t>
        </is>
      </c>
      <c r="T569" s="1">
        <f>IF(B569="ไม้กอล์ฟ",J569,"")</f>
        <v/>
      </c>
    </row>
    <row r="570">
      <c r="A570" s="1" t="n">
        <v>1</v>
      </c>
      <c r="B570" s="1" t="inlineStr">
        <is>
          <t>ไม้กอล์ฟ</t>
        </is>
      </c>
      <c r="C570" s="1" t="inlineStr">
        <is>
          <t>gf1240101271</t>
        </is>
      </c>
      <c r="D570" s="1" t="inlineStr">
        <is>
          <t>TITLEIST Phantom 5.5 (2024) Men's Putter</t>
        </is>
      </c>
      <c r="E570" s="1" t="inlineStr">
        <is>
          <t>TITLEIST</t>
        </is>
      </c>
      <c r="F570" s="1" t="inlineStr">
        <is>
          <t>PUTTER</t>
        </is>
      </c>
      <c r="G570" s="1" t="inlineStr">
        <is>
          <t>GF124010127134</t>
        </is>
      </c>
      <c r="H570" s="1" t="n">
        <v>1</v>
      </c>
      <c r="I570" s="1" t="inlineStr">
        <is>
          <t>หมด</t>
        </is>
      </c>
      <c r="J570" s="13" t="n">
        <v>529</v>
      </c>
      <c r="K570" s="1" t="inlineStr"/>
      <c r="L570" s="13" t="n"/>
      <c r="M570" s="1">
        <f>IF(L570="","ไม่พบใน SG",IF(ABS(J570-L570)&lt;0.005,"ตรงกัน","ไม่ตรง"))</f>
        <v/>
      </c>
      <c r="N570" s="14">
        <f>IF(L570="","",ROUND(L570*'สรุป'!$C$6,-1))</f>
        <v/>
      </c>
      <c r="O570" s="15" t="n"/>
      <c r="P570" s="15" t="n"/>
      <c r="Q570" s="10" t="n"/>
      <c r="R570" s="10" t="n"/>
      <c r="S570" s="16" t="inlineStr">
        <is>
          <t>https://mstgolf.co.th/products/gf1240101271</t>
        </is>
      </c>
      <c r="T570" s="1">
        <f>IF(B570="ไม้กอล์ฟ",J570,"")</f>
        <v/>
      </c>
    </row>
    <row r="571">
      <c r="A571" s="1" t="n">
        <v>1</v>
      </c>
      <c r="B571" s="1" t="inlineStr">
        <is>
          <t>ไม้กอล์ฟ</t>
        </is>
      </c>
      <c r="C571" s="1" t="inlineStr">
        <is>
          <t>gf1240101273</t>
        </is>
      </c>
      <c r="D571" s="1" t="inlineStr">
        <is>
          <t>TITLEIST Phantom 5S (2024) Men's Putter</t>
        </is>
      </c>
      <c r="E571" s="1" t="inlineStr">
        <is>
          <t>TITLEIST</t>
        </is>
      </c>
      <c r="F571" s="1" t="inlineStr">
        <is>
          <t>PUTTER</t>
        </is>
      </c>
      <c r="G571" s="1" t="inlineStr">
        <is>
          <t>GF124010127334</t>
        </is>
      </c>
      <c r="H571" s="1" t="n">
        <v>2</v>
      </c>
      <c r="I571" s="1" t="inlineStr">
        <is>
          <t>หมด</t>
        </is>
      </c>
      <c r="J571" s="13" t="n">
        <v>529</v>
      </c>
      <c r="K571" s="1" t="inlineStr"/>
      <c r="L571" s="13" t="n"/>
      <c r="M571" s="1">
        <f>IF(L571="","ไม่พบใน SG",IF(ABS(J571-L571)&lt;0.005,"ตรงกัน","ไม่ตรง"))</f>
        <v/>
      </c>
      <c r="N571" s="14">
        <f>IF(L571="","",ROUND(L571*'สรุป'!$C$6,-1))</f>
        <v/>
      </c>
      <c r="O571" s="15" t="n"/>
      <c r="P571" s="15" t="n"/>
      <c r="Q571" s="10" t="n"/>
      <c r="R571" s="10" t="n"/>
      <c r="S571" s="16" t="inlineStr">
        <is>
          <t>https://mstgolf.co.th/products/gf1240101273</t>
        </is>
      </c>
      <c r="T571" s="1">
        <f>IF(B571="ไม้กอล์ฟ",J571,"")</f>
        <v/>
      </c>
    </row>
    <row r="572">
      <c r="A572" s="1" t="n">
        <v>1</v>
      </c>
      <c r="B572" s="1" t="inlineStr">
        <is>
          <t>ไม้กอล์ฟ</t>
        </is>
      </c>
      <c r="C572" s="1" t="inlineStr">
        <is>
          <t>gf1240101266</t>
        </is>
      </c>
      <c r="D572" s="1" t="inlineStr">
        <is>
          <t>TITLEIST Phantom 7 (2024) Men's Putter</t>
        </is>
      </c>
      <c r="E572" s="1" t="inlineStr">
        <is>
          <t>TITLEIST</t>
        </is>
      </c>
      <c r="F572" s="1" t="inlineStr">
        <is>
          <t>PUTTER</t>
        </is>
      </c>
      <c r="G572" s="1" t="inlineStr">
        <is>
          <t>GF124010126635</t>
        </is>
      </c>
      <c r="H572" s="1" t="n">
        <v>3</v>
      </c>
      <c r="I572" s="1" t="inlineStr">
        <is>
          <t>หมด</t>
        </is>
      </c>
      <c r="J572" s="13" t="n">
        <v>529</v>
      </c>
      <c r="K572" s="1" t="inlineStr"/>
      <c r="L572" s="13" t="n"/>
      <c r="M572" s="1">
        <f>IF(L572="","ไม่พบใน SG",IF(ABS(J572-L572)&lt;0.005,"ตรงกัน","ไม่ตรง"))</f>
        <v/>
      </c>
      <c r="N572" s="14">
        <f>IF(L572="","",ROUND(L572*'สรุป'!$C$6,-1))</f>
        <v/>
      </c>
      <c r="O572" s="15" t="n"/>
      <c r="P572" s="15" t="n"/>
      <c r="Q572" s="10" t="n"/>
      <c r="R572" s="10" t="n"/>
      <c r="S572" s="16" t="inlineStr">
        <is>
          <t>https://mstgolf.co.th/products/gf1240101266</t>
        </is>
      </c>
      <c r="T572" s="1">
        <f>IF(B572="ไม้กอล์ฟ",J572,"")</f>
        <v/>
      </c>
    </row>
    <row r="573">
      <c r="A573" s="1" t="n">
        <v>1</v>
      </c>
      <c r="B573" s="1" t="inlineStr">
        <is>
          <t>ไม้กอล์ฟ</t>
        </is>
      </c>
      <c r="C573" s="1" t="inlineStr">
        <is>
          <t>gf1240101267</t>
        </is>
      </c>
      <c r="D573" s="1" t="inlineStr">
        <is>
          <t>TITLEIST Phantom 7.5 (2024) Men's Putter</t>
        </is>
      </c>
      <c r="E573" s="1" t="inlineStr">
        <is>
          <t>TITLEIST</t>
        </is>
      </c>
      <c r="F573" s="1" t="inlineStr">
        <is>
          <t>PUTTER</t>
        </is>
      </c>
      <c r="G573" s="1" t="inlineStr">
        <is>
          <t>GF124010126734</t>
        </is>
      </c>
      <c r="H573" s="1" t="n">
        <v>1</v>
      </c>
      <c r="I573" s="1" t="inlineStr">
        <is>
          <t>หมด</t>
        </is>
      </c>
      <c r="J573" s="13" t="n">
        <v>529</v>
      </c>
      <c r="K573" s="1" t="inlineStr"/>
      <c r="L573" s="13" t="n"/>
      <c r="M573" s="1">
        <f>IF(L573="","ไม่พบใน SG",IF(ABS(J573-L573)&lt;0.005,"ตรงกัน","ไม่ตรง"))</f>
        <v/>
      </c>
      <c r="N573" s="14">
        <f>IF(L573="","",ROUND(L573*'สรุป'!$C$6,-1))</f>
        <v/>
      </c>
      <c r="O573" s="15" t="n"/>
      <c r="P573" s="15" t="n"/>
      <c r="Q573" s="10" t="n"/>
      <c r="R573" s="10" t="n"/>
      <c r="S573" s="16" t="inlineStr">
        <is>
          <t>https://mstgolf.co.th/products/gf1240101267</t>
        </is>
      </c>
      <c r="T573" s="1">
        <f>IF(B573="ไม้กอล์ฟ",J573,"")</f>
        <v/>
      </c>
    </row>
    <row r="574">
      <c r="A574" s="1" t="n">
        <v>1</v>
      </c>
      <c r="B574" s="1" t="inlineStr">
        <is>
          <t>ไม้กอล์ฟ</t>
        </is>
      </c>
      <c r="C574" s="1" t="inlineStr">
        <is>
          <t>gf1240101268</t>
        </is>
      </c>
      <c r="D574" s="1" t="inlineStr">
        <is>
          <t>TITLEIST Phantom 9 (2024) Men's Putter</t>
        </is>
      </c>
      <c r="E574" s="1" t="inlineStr">
        <is>
          <t>TITLEIST</t>
        </is>
      </c>
      <c r="F574" s="1" t="inlineStr">
        <is>
          <t>PUTTER</t>
        </is>
      </c>
      <c r="G574" s="1" t="inlineStr">
        <is>
          <t>GF124010126834</t>
        </is>
      </c>
      <c r="H574" s="1" t="n">
        <v>1</v>
      </c>
      <c r="I574" s="1" t="inlineStr">
        <is>
          <t>หมด</t>
        </is>
      </c>
      <c r="J574" s="13" t="n">
        <v>529</v>
      </c>
      <c r="K574" s="1" t="inlineStr"/>
      <c r="L574" s="13" t="n"/>
      <c r="M574" s="1">
        <f>IF(L574="","ไม่พบใน SG",IF(ABS(J574-L574)&lt;0.005,"ตรงกัน","ไม่ตรง"))</f>
        <v/>
      </c>
      <c r="N574" s="14">
        <f>IF(L574="","",ROUND(L574*'สรุป'!$C$6,-1))</f>
        <v/>
      </c>
      <c r="O574" s="15" t="n"/>
      <c r="P574" s="15" t="n"/>
      <c r="Q574" s="10" t="n"/>
      <c r="R574" s="10" t="n"/>
      <c r="S574" s="16" t="inlineStr">
        <is>
          <t>https://mstgolf.co.th/products/gf1240101268</t>
        </is>
      </c>
      <c r="T574" s="1">
        <f>IF(B574="ไม้กอล์ฟ",J574,"")</f>
        <v/>
      </c>
    </row>
    <row r="575">
      <c r="A575" s="1" t="n">
        <v>1</v>
      </c>
      <c r="B575" s="1" t="inlineStr">
        <is>
          <t>ไม้กอล์ฟ</t>
        </is>
      </c>
      <c r="C575" s="1" t="inlineStr">
        <is>
          <t>gf1240101269</t>
        </is>
      </c>
      <c r="D575" s="1" t="inlineStr">
        <is>
          <t>TITLEIST Phantom 9.5 (2024) Men's Putter</t>
        </is>
      </c>
      <c r="E575" s="1" t="inlineStr">
        <is>
          <t>TITLEIST</t>
        </is>
      </c>
      <c r="F575" s="1" t="inlineStr">
        <is>
          <t>PUTTER</t>
        </is>
      </c>
      <c r="G575" s="1" t="inlineStr">
        <is>
          <t>GF124010126934</t>
        </is>
      </c>
      <c r="H575" s="1" t="n">
        <v>1</v>
      </c>
      <c r="I575" s="1" t="inlineStr">
        <is>
          <t>หมด</t>
        </is>
      </c>
      <c r="J575" s="13" t="n">
        <v>529</v>
      </c>
      <c r="K575" s="1" t="inlineStr"/>
      <c r="L575" s="13" t="n"/>
      <c r="M575" s="1">
        <f>IF(L575="","ไม่พบใน SG",IF(ABS(J575-L575)&lt;0.005,"ตรงกัน","ไม่ตรง"))</f>
        <v/>
      </c>
      <c r="N575" s="14">
        <f>IF(L575="","",ROUND(L575*'สรุป'!$C$6,-1))</f>
        <v/>
      </c>
      <c r="O575" s="15" t="n"/>
      <c r="P575" s="15" t="n"/>
      <c r="Q575" s="10" t="n"/>
      <c r="R575" s="10" t="n"/>
      <c r="S575" s="16" t="inlineStr">
        <is>
          <t>https://mstgolf.co.th/products/gf1240101269</t>
        </is>
      </c>
      <c r="T575" s="1">
        <f>IF(B575="ไม้กอล์ฟ",J575,"")</f>
        <v/>
      </c>
    </row>
    <row r="576">
      <c r="A576" s="1" t="n">
        <v>1</v>
      </c>
      <c r="B576" s="1" t="inlineStr">
        <is>
          <t>ไม้กอล์ฟ</t>
        </is>
      </c>
      <c r="C576" s="1" t="inlineStr">
        <is>
          <t>gf1240101097</t>
        </is>
      </c>
      <c r="D576" s="1" t="inlineStr">
        <is>
          <t>EVNROLL EV5.2 Black Short Slant Tour Tac Men's Putter</t>
        </is>
      </c>
      <c r="E576" s="1" t="inlineStr">
        <is>
          <t>EVNROLL</t>
        </is>
      </c>
      <c r="F576" s="1" t="inlineStr">
        <is>
          <t>PUTTER</t>
        </is>
      </c>
      <c r="G576" s="1" t="inlineStr">
        <is>
          <t>GF124010109734</t>
        </is>
      </c>
      <c r="H576" s="1" t="n">
        <v>1</v>
      </c>
      <c r="I576" s="1" t="inlineStr">
        <is>
          <t>หมด</t>
        </is>
      </c>
      <c r="J576" s="13" t="n">
        <v>519</v>
      </c>
      <c r="K576" s="1" t="inlineStr"/>
      <c r="L576" s="13" t="n"/>
      <c r="M576" s="1">
        <f>IF(L576="","ไม่พบใน SG",IF(ABS(J576-L576)&lt;0.005,"ตรงกัน","ไม่ตรง"))</f>
        <v/>
      </c>
      <c r="N576" s="14">
        <f>IF(L576="","",ROUND(L576*'สรุป'!$C$6,-1))</f>
        <v/>
      </c>
      <c r="O576" s="15" t="n"/>
      <c r="P576" s="15" t="n"/>
      <c r="Q576" s="10" t="n"/>
      <c r="R576" s="10" t="n"/>
      <c r="S576" s="16" t="inlineStr">
        <is>
          <t>https://mstgolf.co.th/products/gf1240101097</t>
        </is>
      </c>
      <c r="T576" s="1">
        <f>IF(B576="ไม้กอล์ฟ",J576,"")</f>
        <v/>
      </c>
    </row>
    <row r="577">
      <c r="A577" s="1" t="n">
        <v>1</v>
      </c>
      <c r="B577" s="1" t="inlineStr">
        <is>
          <t>ไม้กอล์ฟ</t>
        </is>
      </c>
      <c r="C577" s="1" t="inlineStr">
        <is>
          <t>gf1240101098</t>
        </is>
      </c>
      <c r="D577" s="1" t="inlineStr">
        <is>
          <t>EVNROLL EV5.3 Black Short Slant Tour Tac Men's Putter</t>
        </is>
      </c>
      <c r="E577" s="1" t="inlineStr">
        <is>
          <t>EVNROLL</t>
        </is>
      </c>
      <c r="F577" s="1" t="inlineStr">
        <is>
          <t>PUTTER</t>
        </is>
      </c>
      <c r="G577" s="1" t="inlineStr">
        <is>
          <t>GF124010109834</t>
        </is>
      </c>
      <c r="H577" s="1" t="n">
        <v>1</v>
      </c>
      <c r="I577" s="1" t="inlineStr">
        <is>
          <t>หมด</t>
        </is>
      </c>
      <c r="J577" s="13" t="n">
        <v>519</v>
      </c>
      <c r="K577" s="1" t="inlineStr"/>
      <c r="L577" s="13" t="n"/>
      <c r="M577" s="1">
        <f>IF(L577="","ไม่พบใน SG",IF(ABS(J577-L577)&lt;0.005,"ตรงกัน","ไม่ตรง"))</f>
        <v/>
      </c>
      <c r="N577" s="14">
        <f>IF(L577="","",ROUND(L577*'สรุป'!$C$6,-1))</f>
        <v/>
      </c>
      <c r="O577" s="15" t="n"/>
      <c r="P577" s="15" t="n"/>
      <c r="Q577" s="10" t="n"/>
      <c r="R577" s="10" t="n"/>
      <c r="S577" s="16" t="inlineStr">
        <is>
          <t>https://mstgolf.co.th/products/gf1240101098</t>
        </is>
      </c>
      <c r="T577" s="1">
        <f>IF(B577="ไม้กอล์ฟ",J577,"")</f>
        <v/>
      </c>
    </row>
    <row r="578">
      <c r="A578" s="1" t="n">
        <v>1</v>
      </c>
      <c r="B578" s="1" t="inlineStr">
        <is>
          <t>ไม้กอล์ฟ</t>
        </is>
      </c>
      <c r="C578" s="1" t="inlineStr">
        <is>
          <t>gf1230100629</t>
        </is>
      </c>
      <c r="D578" s="1" t="inlineStr">
        <is>
          <t>MAJESTY Royale (2023) Men's Hybrid</t>
        </is>
      </c>
      <c r="E578" s="1" t="inlineStr">
        <is>
          <t>MAJESTY</t>
        </is>
      </c>
      <c r="F578" s="1" t="inlineStr">
        <is>
          <t>UTILITY/HYBRID</t>
        </is>
      </c>
      <c r="G578" s="1" t="inlineStr">
        <is>
          <t>GF1230100629#3SR</t>
        </is>
      </c>
      <c r="H578" s="1" t="n">
        <v>7</v>
      </c>
      <c r="I578" s="1" t="inlineStr">
        <is>
          <t>หมด</t>
        </is>
      </c>
      <c r="J578" s="13" t="n">
        <v>519</v>
      </c>
      <c r="K578" s="1" t="inlineStr"/>
      <c r="L578" s="13" t="n">
        <v>519</v>
      </c>
      <c r="M578" s="1">
        <f>IF(L578="","ไม่พบใน SG",IF(ABS(J578-L578)&lt;0.005,"ตรงกัน","ไม่ตรง"))</f>
        <v/>
      </c>
      <c r="N578" s="14">
        <f>IF(L578="","",ROUND(L578*'สรุป'!$C$6,-1))</f>
        <v/>
      </c>
      <c r="O578" s="15" t="n"/>
      <c r="P578" s="15" t="n"/>
      <c r="Q578" s="10" t="n"/>
      <c r="R578" s="10" t="n"/>
      <c r="S578" s="16" t="inlineStr">
        <is>
          <t>https://mstgolf.co.th/products/gf1230100629</t>
        </is>
      </c>
      <c r="T578" s="1">
        <f>IF(B578="ไม้กอล์ฟ",J578,"")</f>
        <v/>
      </c>
    </row>
    <row r="579">
      <c r="A579" s="1" t="n">
        <v>1</v>
      </c>
      <c r="B579" s="1" t="inlineStr">
        <is>
          <t>ไม้กอล์ฟ</t>
        </is>
      </c>
      <c r="C579" s="1" t="inlineStr">
        <is>
          <t>gf1230100630</t>
        </is>
      </c>
      <c r="D579" s="1" t="inlineStr">
        <is>
          <t>MAJESTY Royale (2023) Women's Hybrid</t>
        </is>
      </c>
      <c r="E579" s="1" t="inlineStr">
        <is>
          <t>MAJESTY</t>
        </is>
      </c>
      <c r="F579" s="1" t="inlineStr">
        <is>
          <t>UTILITY/HYBRID</t>
        </is>
      </c>
      <c r="G579" s="1" t="inlineStr">
        <is>
          <t>GF1230100630#4L</t>
        </is>
      </c>
      <c r="H579" s="1" t="n">
        <v>2</v>
      </c>
      <c r="I579" s="1" t="inlineStr">
        <is>
          <t>หมด</t>
        </is>
      </c>
      <c r="J579" s="13" t="n">
        <v>519</v>
      </c>
      <c r="K579" s="1" t="inlineStr"/>
      <c r="L579" s="13" t="n"/>
      <c r="M579" s="1">
        <f>IF(L579="","ไม่พบใน SG",IF(ABS(J579-L579)&lt;0.005,"ตรงกัน","ไม่ตรง"))</f>
        <v/>
      </c>
      <c r="N579" s="14">
        <f>IF(L579="","",ROUND(L579*'สรุป'!$C$6,-1))</f>
        <v/>
      </c>
      <c r="O579" s="15" t="n"/>
      <c r="P579" s="15" t="n"/>
      <c r="Q579" s="10" t="n"/>
      <c r="R579" s="10" t="n"/>
      <c r="S579" s="16" t="inlineStr">
        <is>
          <t>https://mstgolf.co.th/products/gf1230100630</t>
        </is>
      </c>
      <c r="T579" s="1">
        <f>IF(B579="ไม้กอล์ฟ",J579,"")</f>
        <v/>
      </c>
    </row>
    <row r="580">
      <c r="A580" s="1" t="n">
        <v>1</v>
      </c>
      <c r="B580" s="1" t="inlineStr">
        <is>
          <t>ไม้กอล์ฟ</t>
        </is>
      </c>
      <c r="C580" s="1" t="inlineStr">
        <is>
          <t>gf1240100964</t>
        </is>
      </c>
      <c r="D580" s="1" t="inlineStr">
        <is>
          <t>PING PLD Milled DS72 Satin Raw (2022) Men's Putter</t>
        </is>
      </c>
      <c r="E580" s="1" t="inlineStr">
        <is>
          <t>PING</t>
        </is>
      </c>
      <c r="F580" s="1" t="inlineStr">
        <is>
          <t>PUTTER</t>
        </is>
      </c>
      <c r="G580" s="1" t="inlineStr">
        <is>
          <t>GF124010096434</t>
        </is>
      </c>
      <c r="H580" s="1" t="n">
        <v>1</v>
      </c>
      <c r="I580" s="1" t="inlineStr">
        <is>
          <t>หมด</t>
        </is>
      </c>
      <c r="J580" s="13" t="n">
        <v>519</v>
      </c>
      <c r="K580" s="1" t="inlineStr"/>
      <c r="L580" s="13" t="n"/>
      <c r="M580" s="1">
        <f>IF(L580="","ไม่พบใน SG",IF(ABS(J580-L580)&lt;0.005,"ตรงกัน","ไม่ตรง"))</f>
        <v/>
      </c>
      <c r="N580" s="14">
        <f>IF(L580="","",ROUND(L580*'สรุป'!$C$6,-1))</f>
        <v/>
      </c>
      <c r="O580" s="15" t="n"/>
      <c r="P580" s="15" t="n"/>
      <c r="Q580" s="10" t="n"/>
      <c r="R580" s="10" t="n"/>
      <c r="S580" s="16" t="inlineStr">
        <is>
          <t>https://mstgolf.co.th/products/gf1240100964</t>
        </is>
      </c>
      <c r="T580" s="1">
        <f>IF(B580="ไม้กอล์ฟ",J580,"")</f>
        <v/>
      </c>
    </row>
    <row r="581">
      <c r="A581" s="1" t="n">
        <v>1</v>
      </c>
      <c r="B581" s="1" t="inlineStr">
        <is>
          <t>ไม้กอล์ฟ</t>
        </is>
      </c>
      <c r="C581" s="1" t="inlineStr">
        <is>
          <t>gf1240101466</t>
        </is>
      </c>
      <c r="D581" s="1" t="inlineStr">
        <is>
          <t>ODYSSEY Ai-ONE Square 2 Square Max Stripe ZT Limited Edition (2025) Men's Putter</t>
        </is>
      </c>
      <c r="E581" s="1" t="inlineStr">
        <is>
          <t>ODYSSEY</t>
        </is>
      </c>
      <c r="F581" s="1" t="inlineStr">
        <is>
          <t>PUTTER</t>
        </is>
      </c>
      <c r="G581" s="1" t="inlineStr">
        <is>
          <t>GF124010146634</t>
        </is>
      </c>
      <c r="H581" s="1" t="n">
        <v>1</v>
      </c>
      <c r="I581" s="1" t="inlineStr">
        <is>
          <t>หมด</t>
        </is>
      </c>
      <c r="J581" s="13" t="n">
        <v>514</v>
      </c>
      <c r="K581" s="1" t="inlineStr"/>
      <c r="L581" s="13" t="n">
        <v>514</v>
      </c>
      <c r="M581" s="1">
        <f>IF(L581="","ไม่พบใน SG",IF(ABS(J581-L581)&lt;0.005,"ตรงกัน","ไม่ตรง"))</f>
        <v/>
      </c>
      <c r="N581" s="14">
        <f>IF(L581="","",ROUND(L581*'สรุป'!$C$6,-1))</f>
        <v/>
      </c>
      <c r="O581" s="15" t="n"/>
      <c r="P581" s="15" t="n"/>
      <c r="Q581" s="10" t="n"/>
      <c r="R581" s="10" t="n"/>
      <c r="S581" s="16" t="inlineStr">
        <is>
          <t>https://mstgolf.co.th/products/gf1240101466</t>
        </is>
      </c>
      <c r="T581" s="1">
        <f>IF(B581="ไม้กอล์ฟ",J581,"")</f>
        <v/>
      </c>
    </row>
    <row r="582">
      <c r="A582" s="1" t="n">
        <v>1</v>
      </c>
      <c r="B582" s="1" t="inlineStr">
        <is>
          <t>ไม้กอล์ฟ</t>
        </is>
      </c>
      <c r="C582" s="1" t="inlineStr">
        <is>
          <t>gf1220100729</t>
        </is>
      </c>
      <c r="D582" s="1" t="inlineStr">
        <is>
          <t>PING G-LE3 ULT250 (2023) Women's Fairway</t>
        </is>
      </c>
      <c r="E582" s="1" t="inlineStr">
        <is>
          <t>PING</t>
        </is>
      </c>
      <c r="F582" s="1" t="inlineStr">
        <is>
          <t>FAIRWAY WOOD</t>
        </is>
      </c>
      <c r="G582" s="1" t="inlineStr">
        <is>
          <t>GF1220100729#3L</t>
        </is>
      </c>
      <c r="H582" s="1" t="n">
        <v>2</v>
      </c>
      <c r="I582" s="1" t="inlineStr">
        <is>
          <t>หมด</t>
        </is>
      </c>
      <c r="J582" s="13" t="n">
        <v>509</v>
      </c>
      <c r="K582" s="1" t="inlineStr"/>
      <c r="L582" s="13" t="n">
        <v>509</v>
      </c>
      <c r="M582" s="1">
        <f>IF(L582="","ไม่พบใน SG",IF(ABS(J582-L582)&lt;0.005,"ตรงกัน","ไม่ตรง"))</f>
        <v/>
      </c>
      <c r="N582" s="14">
        <f>IF(L582="","",ROUND(L582*'สรุป'!$C$6,-1))</f>
        <v/>
      </c>
      <c r="O582" s="15" t="n"/>
      <c r="P582" s="15" t="n"/>
      <c r="Q582" s="10" t="n"/>
      <c r="R582" s="10" t="n"/>
      <c r="S582" s="16" t="inlineStr">
        <is>
          <t>https://mstgolf.co.th/products/gf1220100729</t>
        </is>
      </c>
      <c r="T582" s="1">
        <f>IF(B582="ไม้กอล์ฟ",J582,"")</f>
        <v/>
      </c>
    </row>
    <row r="583">
      <c r="A583" s="1" t="n">
        <v>1</v>
      </c>
      <c r="B583" s="1" t="inlineStr">
        <is>
          <t>ไม้กอล์ฟ</t>
        </is>
      </c>
      <c r="C583" s="1" t="inlineStr">
        <is>
          <t>gf1210100975</t>
        </is>
      </c>
      <c r="D583" s="1" t="inlineStr">
        <is>
          <t>COBRA DARKSPEED MAX (2024) Women's Driver</t>
        </is>
      </c>
      <c r="E583" s="1" t="inlineStr">
        <is>
          <t>COBRA</t>
        </is>
      </c>
      <c r="F583" s="1" t="inlineStr">
        <is>
          <t>DRIVER</t>
        </is>
      </c>
      <c r="G583" s="1" t="inlineStr">
        <is>
          <t>GF121010097512L</t>
        </is>
      </c>
      <c r="H583" s="1" t="n">
        <v>1</v>
      </c>
      <c r="I583" s="1" t="inlineStr">
        <is>
          <t>หมด</t>
        </is>
      </c>
      <c r="J583" s="13" t="n">
        <v>499</v>
      </c>
      <c r="K583" s="1" t="inlineStr"/>
      <c r="L583" s="13" t="n"/>
      <c r="M583" s="1">
        <f>IF(L583="","ไม่พบใน SG",IF(ABS(J583-L583)&lt;0.005,"ตรงกัน","ไม่ตรง"))</f>
        <v/>
      </c>
      <c r="N583" s="14">
        <f>IF(L583="","",ROUND(L583*'สรุป'!$C$6,-1))</f>
        <v/>
      </c>
      <c r="O583" s="15" t="n"/>
      <c r="P583" s="15" t="n"/>
      <c r="Q583" s="10" t="n"/>
      <c r="R583" s="10" t="n"/>
      <c r="S583" s="16" t="inlineStr">
        <is>
          <t>https://mstgolf.co.th/products/gf1210100975</t>
        </is>
      </c>
      <c r="T583" s="1">
        <f>IF(B583="ไม้กอล์ฟ",J583,"")</f>
        <v/>
      </c>
    </row>
    <row r="584">
      <c r="A584" s="1" t="n">
        <v>1</v>
      </c>
      <c r="B584" s="1" t="inlineStr">
        <is>
          <t>ไม้กอล์ฟ</t>
        </is>
      </c>
      <c r="C584" s="1" t="inlineStr">
        <is>
          <t>gf1210100971</t>
        </is>
      </c>
      <c r="D584" s="1" t="inlineStr">
        <is>
          <t>COBRA DARKSPEED X (2024) Men's Driver</t>
        </is>
      </c>
      <c r="E584" s="1" t="inlineStr">
        <is>
          <t>COBRA</t>
        </is>
      </c>
      <c r="F584" s="1" t="inlineStr">
        <is>
          <t>DRIVER</t>
        </is>
      </c>
      <c r="G584" s="1" t="inlineStr">
        <is>
          <t>GF12101009719S</t>
        </is>
      </c>
      <c r="H584" s="1" t="n">
        <v>4</v>
      </c>
      <c r="I584" s="1" t="inlineStr">
        <is>
          <t>หมด</t>
        </is>
      </c>
      <c r="J584" s="13" t="n">
        <v>499</v>
      </c>
      <c r="K584" s="1" t="inlineStr"/>
      <c r="L584" s="13" t="n"/>
      <c r="M584" s="1">
        <f>IF(L584="","ไม่พบใน SG",IF(ABS(J584-L584)&lt;0.005,"ตรงกัน","ไม่ตรง"))</f>
        <v/>
      </c>
      <c r="N584" s="14">
        <f>IF(L584="","",ROUND(L584*'สรุป'!$C$6,-1))</f>
        <v/>
      </c>
      <c r="O584" s="15" t="n"/>
      <c r="P584" s="15" t="n"/>
      <c r="Q584" s="10" t="n"/>
      <c r="R584" s="10" t="n"/>
      <c r="S584" s="16" t="inlineStr">
        <is>
          <t>https://mstgolf.co.th/products/gf1210100971</t>
        </is>
      </c>
      <c r="T584" s="1">
        <f>IF(B584="ไม้กอล์ฟ",J584,"")</f>
        <v/>
      </c>
    </row>
    <row r="585">
      <c r="A585" s="1" t="n">
        <v>1</v>
      </c>
      <c r="B585" s="1" t="inlineStr">
        <is>
          <t>ไม้กอล์ฟ</t>
        </is>
      </c>
      <c r="C585" s="1" t="inlineStr">
        <is>
          <t>gf1220100986</t>
        </is>
      </c>
      <c r="D585" s="1" t="inlineStr">
        <is>
          <t>COBRA OPTM MAX Black (2026) Men's Fairway</t>
        </is>
      </c>
      <c r="E585" s="1" t="inlineStr">
        <is>
          <t>COBRA</t>
        </is>
      </c>
      <c r="F585" s="1" t="inlineStr">
        <is>
          <t>FAIRWAY WOOD</t>
        </is>
      </c>
      <c r="G585" s="1" t="inlineStr">
        <is>
          <t>GF1220100986#3R</t>
        </is>
      </c>
      <c r="H585" s="1" t="n">
        <v>4</v>
      </c>
      <c r="I585" s="1" t="inlineStr">
        <is>
          <t>หมด</t>
        </is>
      </c>
      <c r="J585" s="13" t="n">
        <v>499</v>
      </c>
      <c r="K585" s="1" t="inlineStr"/>
      <c r="L585" s="13" t="n"/>
      <c r="M585" s="1">
        <f>IF(L585="","ไม่พบใน SG",IF(ABS(J585-L585)&lt;0.005,"ตรงกัน","ไม่ตรง"))</f>
        <v/>
      </c>
      <c r="N585" s="14">
        <f>IF(L585="","",ROUND(L585*'สรุป'!$C$6,-1))</f>
        <v/>
      </c>
      <c r="O585" s="15" t="n"/>
      <c r="P585" s="15" t="n"/>
      <c r="Q585" s="10" t="n"/>
      <c r="R585" s="10" t="n"/>
      <c r="S585" s="16" t="inlineStr">
        <is>
          <t>https://mstgolf.co.th/products/gf1220100986</t>
        </is>
      </c>
      <c r="T585" s="1">
        <f>IF(B585="ไม้กอล์ฟ",J585,"")</f>
        <v/>
      </c>
    </row>
    <row r="586">
      <c r="A586" s="1" t="n">
        <v>1</v>
      </c>
      <c r="B586" s="1" t="inlineStr">
        <is>
          <t>ไม้กอล์ฟ</t>
        </is>
      </c>
      <c r="C586" s="1" t="inlineStr">
        <is>
          <t>gf1220100985</t>
        </is>
      </c>
      <c r="D586" s="1" t="inlineStr">
        <is>
          <t>COBRA OPTM X Black (2026) Men's Fairway</t>
        </is>
      </c>
      <c r="E586" s="1" t="inlineStr">
        <is>
          <t>COBRA</t>
        </is>
      </c>
      <c r="F586" s="1" t="inlineStr">
        <is>
          <t>FAIRWAY WOOD</t>
        </is>
      </c>
      <c r="G586" s="1" t="inlineStr">
        <is>
          <t>GF1220100985#3S</t>
        </is>
      </c>
      <c r="H586" s="1" t="n">
        <v>2</v>
      </c>
      <c r="I586" s="1" t="inlineStr">
        <is>
          <t>หมด</t>
        </is>
      </c>
      <c r="J586" s="13" t="n">
        <v>499</v>
      </c>
      <c r="K586" s="1" t="inlineStr"/>
      <c r="L586" s="13" t="n">
        <v>499</v>
      </c>
      <c r="M586" s="1">
        <f>IF(L586="","ไม่พบใน SG",IF(ABS(J586-L586)&lt;0.005,"ตรงกัน","ไม่ตรง"))</f>
        <v/>
      </c>
      <c r="N586" s="14">
        <f>IF(L586="","",ROUND(L586*'สรุป'!$C$6,-1))</f>
        <v/>
      </c>
      <c r="O586" s="15" t="n"/>
      <c r="P586" s="15" t="n"/>
      <c r="Q586" s="10" t="n"/>
      <c r="R586" s="10" t="n"/>
      <c r="S586" s="16" t="inlineStr">
        <is>
          <t>https://mstgolf.co.th/products/gf1220100985</t>
        </is>
      </c>
      <c r="T586" s="1">
        <f>IF(B586="ไม้กอล์ฟ",J586,"")</f>
        <v/>
      </c>
    </row>
    <row r="587">
      <c r="A587" s="1" t="n">
        <v>1</v>
      </c>
      <c r="B587" s="1" t="inlineStr">
        <is>
          <t>ไม้กอล์ฟ</t>
        </is>
      </c>
      <c r="C587" s="1" t="inlineStr">
        <is>
          <t>gf1240101135</t>
        </is>
      </c>
      <c r="D587" s="1" t="inlineStr">
        <is>
          <t>TAYLORMADE TP Reserve M47 (2023) Men's Putter</t>
        </is>
      </c>
      <c r="E587" s="1" t="inlineStr">
        <is>
          <t>TAYLORMADE</t>
        </is>
      </c>
      <c r="F587" s="1" t="inlineStr">
        <is>
          <t>PUTTER</t>
        </is>
      </c>
      <c r="G587" s="1" t="inlineStr">
        <is>
          <t>GF124010113534</t>
        </is>
      </c>
      <c r="H587" s="1" t="n">
        <v>1</v>
      </c>
      <c r="I587" s="1" t="inlineStr">
        <is>
          <t>หมด</t>
        </is>
      </c>
      <c r="J587" s="13" t="n">
        <v>499</v>
      </c>
      <c r="K587" s="1" t="inlineStr"/>
      <c r="L587" s="13" t="n"/>
      <c r="M587" s="1">
        <f>IF(L587="","ไม่พบใน SG",IF(ABS(J587-L587)&lt;0.005,"ตรงกัน","ไม่ตรง"))</f>
        <v/>
      </c>
      <c r="N587" s="14">
        <f>IF(L587="","",ROUND(L587*'สรุป'!$C$6,-1))</f>
        <v/>
      </c>
      <c r="O587" s="15" t="n"/>
      <c r="P587" s="15" t="n"/>
      <c r="Q587" s="10" t="n"/>
      <c r="R587" s="10" t="n"/>
      <c r="S587" s="16" t="inlineStr">
        <is>
          <t>https://mstgolf.co.th/products/gf1240101135</t>
        </is>
      </c>
      <c r="T587" s="1">
        <f>IF(B587="ไม้กอล์ฟ",J587,"")</f>
        <v/>
      </c>
    </row>
    <row r="588">
      <c r="A588" s="1" t="n">
        <v>1</v>
      </c>
      <c r="B588" s="1" t="inlineStr">
        <is>
          <t>ไม้กอล์ฟ</t>
        </is>
      </c>
      <c r="C588" s="1" t="inlineStr">
        <is>
          <t>gf1240101138</t>
        </is>
      </c>
      <c r="D588" s="1" t="inlineStr">
        <is>
          <t>TAYLORMADE TP Reserve TR-29 (2023) Men's Putter</t>
        </is>
      </c>
      <c r="E588" s="1" t="inlineStr">
        <is>
          <t>TAYLORMADE</t>
        </is>
      </c>
      <c r="F588" s="1" t="inlineStr">
        <is>
          <t>PUTTER</t>
        </is>
      </c>
      <c r="G588" s="1" t="inlineStr">
        <is>
          <t>GF124010113834</t>
        </is>
      </c>
      <c r="H588" s="1" t="n">
        <v>2</v>
      </c>
      <c r="I588" s="1" t="inlineStr">
        <is>
          <t>หมด</t>
        </is>
      </c>
      <c r="J588" s="13" t="n">
        <v>499</v>
      </c>
      <c r="K588" s="1" t="inlineStr"/>
      <c r="L588" s="13" t="n"/>
      <c r="M588" s="1">
        <f>IF(L588="","ไม่พบใน SG",IF(ABS(J588-L588)&lt;0.005,"ตรงกัน","ไม่ตรง"))</f>
        <v/>
      </c>
      <c r="N588" s="14">
        <f>IF(L588="","",ROUND(L588*'สรุป'!$C$6,-1))</f>
        <v/>
      </c>
      <c r="O588" s="15" t="n"/>
      <c r="P588" s="15" t="n"/>
      <c r="Q588" s="10" t="n"/>
      <c r="R588" s="10" t="n"/>
      <c r="S588" s="16" t="inlineStr">
        <is>
          <t>https://mstgolf.co.th/products/gf1240101138</t>
        </is>
      </c>
      <c r="T588" s="1">
        <f>IF(B588="ไม้กอล์ฟ",J588,"")</f>
        <v/>
      </c>
    </row>
    <row r="589">
      <c r="A589" s="1" t="n">
        <v>1</v>
      </c>
      <c r="B589" s="1" t="inlineStr">
        <is>
          <t>ไม้กอล์ฟ</t>
        </is>
      </c>
      <c r="C589" s="1" t="inlineStr">
        <is>
          <t>gf1240101137</t>
        </is>
      </c>
      <c r="D589" s="1" t="inlineStr">
        <is>
          <t>TAYLORMADE TP Reserve TR-B11 (2023) Men's Putter</t>
        </is>
      </c>
      <c r="E589" s="1" t="inlineStr">
        <is>
          <t>TAYLORMADE</t>
        </is>
      </c>
      <c r="F589" s="1" t="inlineStr">
        <is>
          <t>PUTTER</t>
        </is>
      </c>
      <c r="G589" s="1" t="inlineStr">
        <is>
          <t>GF124010113734</t>
        </is>
      </c>
      <c r="H589" s="1" t="n">
        <v>1</v>
      </c>
      <c r="I589" s="1" t="inlineStr">
        <is>
          <t>หมด</t>
        </is>
      </c>
      <c r="J589" s="13" t="n">
        <v>499</v>
      </c>
      <c r="K589" s="1" t="inlineStr"/>
      <c r="L589" s="13" t="n"/>
      <c r="M589" s="1">
        <f>IF(L589="","ไม่พบใน SG",IF(ABS(J589-L589)&lt;0.005,"ตรงกัน","ไม่ตรง"))</f>
        <v/>
      </c>
      <c r="N589" s="14">
        <f>IF(L589="","",ROUND(L589*'สรุป'!$C$6,-1))</f>
        <v/>
      </c>
      <c r="O589" s="15" t="n"/>
      <c r="P589" s="15" t="n"/>
      <c r="Q589" s="10" t="n"/>
      <c r="R589" s="10" t="n"/>
      <c r="S589" s="16" t="inlineStr">
        <is>
          <t>https://mstgolf.co.th/products/gf1240101137</t>
        </is>
      </c>
      <c r="T589" s="1">
        <f>IF(B589="ไม้กอล์ฟ",J589,"")</f>
        <v/>
      </c>
    </row>
    <row r="590">
      <c r="A590" s="1" t="n">
        <v>1</v>
      </c>
      <c r="B590" s="1" t="inlineStr">
        <is>
          <t>ไม้กอล์ฟ</t>
        </is>
      </c>
      <c r="C590" s="1" t="inlineStr">
        <is>
          <t>gf1240101134</t>
        </is>
      </c>
      <c r="D590" s="1" t="inlineStr">
        <is>
          <t>TAYLORMADE TP Reserve TR-M27 (2023) Men's Putter</t>
        </is>
      </c>
      <c r="E590" s="1" t="inlineStr">
        <is>
          <t>TAYLORMADE</t>
        </is>
      </c>
      <c r="F590" s="1" t="inlineStr">
        <is>
          <t>PUTTER</t>
        </is>
      </c>
      <c r="G590" s="1" t="inlineStr">
        <is>
          <t>GF124010113434</t>
        </is>
      </c>
      <c r="H590" s="1" t="n">
        <v>1</v>
      </c>
      <c r="I590" s="1" t="inlineStr">
        <is>
          <t>หมด</t>
        </is>
      </c>
      <c r="J590" s="13" t="n">
        <v>499</v>
      </c>
      <c r="K590" s="1" t="inlineStr"/>
      <c r="L590" s="13" t="n">
        <v>399</v>
      </c>
      <c r="M590" s="1">
        <f>IF(L590="","ไม่พบใน SG",IF(ABS(J590-L590)&lt;0.005,"ตรงกัน","ไม่ตรง"))</f>
        <v/>
      </c>
      <c r="N590" s="14">
        <f>IF(L590="","",ROUND(L590*'สรุป'!$C$6,-1))</f>
        <v/>
      </c>
      <c r="O590" s="15" t="n"/>
      <c r="P590" s="15" t="n"/>
      <c r="Q590" s="10" t="n"/>
      <c r="R590" s="10" t="n"/>
      <c r="S590" s="16" t="inlineStr">
        <is>
          <t>https://mstgolf.co.th/products/gf1240101134</t>
        </is>
      </c>
      <c r="T590" s="1">
        <f>IF(B590="ไม้กอล์ฟ",J590,"")</f>
        <v/>
      </c>
    </row>
    <row r="591">
      <c r="A591" s="1" t="n">
        <v>1</v>
      </c>
      <c r="B591" s="1" t="inlineStr">
        <is>
          <t>อุปกรณ์วัดระยะ/เทคโนโลยี</t>
        </is>
      </c>
      <c r="C591" s="1" t="inlineStr">
        <is>
          <t>gf3190200035</t>
        </is>
      </c>
      <c r="D591" s="1" t="inlineStr">
        <is>
          <t>VOICE CADDIE L6 Laser Rangefinder (Black)</t>
        </is>
      </c>
      <c r="E591" s="1" t="inlineStr">
        <is>
          <t>VOICE CADDIE</t>
        </is>
      </c>
      <c r="F591" s="1" t="inlineStr">
        <is>
          <t>HANDHELD</t>
        </is>
      </c>
      <c r="G591" s="1" t="inlineStr">
        <is>
          <t>GF3190200035</t>
        </is>
      </c>
      <c r="H591" s="1" t="n">
        <v>1</v>
      </c>
      <c r="I591" s="1" t="inlineStr">
        <is>
          <t>หมด</t>
        </is>
      </c>
      <c r="J591" s="13" t="n">
        <v>490</v>
      </c>
      <c r="K591" s="1" t="inlineStr"/>
      <c r="L591" s="13" t="n">
        <v>490</v>
      </c>
      <c r="M591" s="1">
        <f>IF(L591="","ไม่พบใน SG",IF(ABS(J591-L591)&lt;0.005,"ตรงกัน","ไม่ตรง"))</f>
        <v/>
      </c>
      <c r="N591" s="14">
        <f>IF(L591="","",ROUND(L591*'สรุป'!$C$6,-1))</f>
        <v/>
      </c>
      <c r="O591" s="15" t="n"/>
      <c r="P591" s="15" t="n"/>
      <c r="Q591" s="10" t="n"/>
      <c r="R591" s="10" t="n"/>
      <c r="S591" s="16" t="inlineStr">
        <is>
          <t>https://mstgolf.co.th/products/gf3190200035</t>
        </is>
      </c>
      <c r="T591" s="1">
        <f>IF(B591="ไม้กอล์ฟ",J591,"")</f>
        <v/>
      </c>
    </row>
    <row r="592">
      <c r="A592" s="1" t="n">
        <v>1</v>
      </c>
      <c r="B592" s="1" t="inlineStr">
        <is>
          <t>ไม้กอล์ฟ</t>
        </is>
      </c>
      <c r="C592" s="1" t="inlineStr">
        <is>
          <t>gf1220101003</t>
        </is>
      </c>
      <c r="D592" s="1" t="inlineStr">
        <is>
          <t>CALLAWAY Quantum TD (2026) Men's Fairway</t>
        </is>
      </c>
      <c r="E592" s="1" t="inlineStr">
        <is>
          <t>CALLAWAY</t>
        </is>
      </c>
      <c r="F592" s="1" t="inlineStr">
        <is>
          <t>FAIRWAY WOOD</t>
        </is>
      </c>
      <c r="G592" s="1" t="inlineStr">
        <is>
          <t>GF1220101003#3S</t>
        </is>
      </c>
      <c r="H592" s="1" t="n">
        <v>2</v>
      </c>
      <c r="I592" s="1" t="inlineStr">
        <is>
          <t>หมด</t>
        </is>
      </c>
      <c r="J592" s="13" t="n">
        <v>488</v>
      </c>
      <c r="K592" s="1" t="inlineStr"/>
      <c r="L592" s="13" t="n">
        <v>488</v>
      </c>
      <c r="M592" s="1">
        <f>IF(L592="","ไม่พบใน SG",IF(ABS(J592-L592)&lt;0.005,"ตรงกัน","ไม่ตรง"))</f>
        <v/>
      </c>
      <c r="N592" s="14">
        <f>IF(L592="","",ROUND(L592*'สรุป'!$C$6,-1))</f>
        <v/>
      </c>
      <c r="O592" s="15" t="n"/>
      <c r="P592" s="15" t="n"/>
      <c r="Q592" s="10" t="n"/>
      <c r="R592" s="10" t="n"/>
      <c r="S592" s="16" t="inlineStr">
        <is>
          <t>https://mstgolf.co.th/products/gf1220101003</t>
        </is>
      </c>
      <c r="T592" s="1">
        <f>IF(B592="ไม้กอล์ฟ",J592,"")</f>
        <v/>
      </c>
    </row>
    <row r="593">
      <c r="A593" s="1" t="n">
        <v>1</v>
      </c>
      <c r="B593" s="1" t="inlineStr">
        <is>
          <t>ไม้กอล์ฟ</t>
        </is>
      </c>
      <c r="C593" s="1" t="inlineStr">
        <is>
          <t>gf1240100935</t>
        </is>
      </c>
      <c r="D593" s="1" t="inlineStr">
        <is>
          <t>COBRA KING 3D Black Supernova Single Bend Men's Putter</t>
        </is>
      </c>
      <c r="E593" s="1" t="inlineStr">
        <is>
          <t>COBRA</t>
        </is>
      </c>
      <c r="F593" s="1" t="inlineStr">
        <is>
          <t>PUTTER</t>
        </is>
      </c>
      <c r="G593" s="1" t="inlineStr">
        <is>
          <t>GF124010093534</t>
        </is>
      </c>
      <c r="H593" s="1" t="n">
        <v>1</v>
      </c>
      <c r="I593" s="1" t="inlineStr">
        <is>
          <t>หมด</t>
        </is>
      </c>
      <c r="J593" s="13" t="n">
        <v>479</v>
      </c>
      <c r="K593" s="1" t="inlineStr"/>
      <c r="L593" s="13" t="n"/>
      <c r="M593" s="1">
        <f>IF(L593="","ไม่พบใน SG",IF(ABS(J593-L593)&lt;0.005,"ตรงกัน","ไม่ตรง"))</f>
        <v/>
      </c>
      <c r="N593" s="14">
        <f>IF(L593="","",ROUND(L593*'สรุป'!$C$6,-1))</f>
        <v/>
      </c>
      <c r="O593" s="15" t="n"/>
      <c r="P593" s="15" t="n"/>
      <c r="Q593" s="10" t="n"/>
      <c r="R593" s="10" t="n"/>
      <c r="S593" s="16" t="inlineStr">
        <is>
          <t>https://mstgolf.co.th/products/gf1240100935</t>
        </is>
      </c>
      <c r="T593" s="1">
        <f>IF(B593="ไม้กอล์ฟ",J593,"")</f>
        <v/>
      </c>
    </row>
    <row r="594">
      <c r="A594" s="1" t="n">
        <v>1</v>
      </c>
      <c r="B594" s="1" t="inlineStr">
        <is>
          <t>ไม้กอล์ฟ</t>
        </is>
      </c>
      <c r="C594" s="1" t="inlineStr">
        <is>
          <t>gf1240101240</t>
        </is>
      </c>
      <c r="D594" s="1" t="inlineStr">
        <is>
          <t>EVNROLL EV5.2 Duo Short Slant Tour Tac (2023) Men's Putter</t>
        </is>
      </c>
      <c r="E594" s="1" t="inlineStr">
        <is>
          <t>EVNROLL</t>
        </is>
      </c>
      <c r="F594" s="1" t="inlineStr">
        <is>
          <t>PUTTER</t>
        </is>
      </c>
      <c r="G594" s="1" t="inlineStr">
        <is>
          <t>GF124010124034</t>
        </is>
      </c>
      <c r="H594" s="1" t="n">
        <v>1</v>
      </c>
      <c r="I594" s="1" t="inlineStr">
        <is>
          <t>หมด</t>
        </is>
      </c>
      <c r="J594" s="13" t="n">
        <v>479</v>
      </c>
      <c r="K594" s="1" t="inlineStr"/>
      <c r="L594" s="13" t="n"/>
      <c r="M594" s="1">
        <f>IF(L594="","ไม่พบใน SG",IF(ABS(J594-L594)&lt;0.005,"ตรงกัน","ไม่ตรง"))</f>
        <v/>
      </c>
      <c r="N594" s="14">
        <f>IF(L594="","",ROUND(L594*'สรุป'!$C$6,-1))</f>
        <v/>
      </c>
      <c r="O594" s="15" t="n"/>
      <c r="P594" s="15" t="n"/>
      <c r="Q594" s="10" t="n"/>
      <c r="R594" s="10" t="n"/>
      <c r="S594" s="16" t="inlineStr">
        <is>
          <t>https://mstgolf.co.th/products/gf1240101240</t>
        </is>
      </c>
      <c r="T594" s="1">
        <f>IF(B594="ไม้กอล์ฟ",J594,"")</f>
        <v/>
      </c>
    </row>
    <row r="595">
      <c r="A595" s="1" t="n">
        <v>1</v>
      </c>
      <c r="B595" s="1" t="inlineStr">
        <is>
          <t>ไม้กอล์ฟ</t>
        </is>
      </c>
      <c r="C595" s="1" t="inlineStr">
        <is>
          <t>gf1240101241</t>
        </is>
      </c>
      <c r="D595" s="1" t="inlineStr">
        <is>
          <t>EVNROLL EV5.3 Duo Short Slant Tour Tac (2023) Men's Putter</t>
        </is>
      </c>
      <c r="E595" s="1" t="inlineStr">
        <is>
          <t>EVNROLL</t>
        </is>
      </c>
      <c r="F595" s="1" t="inlineStr">
        <is>
          <t>PUTTER</t>
        </is>
      </c>
      <c r="G595" s="1" t="inlineStr">
        <is>
          <t>GF124010124134</t>
        </is>
      </c>
      <c r="H595" s="1" t="n">
        <v>1</v>
      </c>
      <c r="I595" s="1" t="inlineStr">
        <is>
          <t>หมด</t>
        </is>
      </c>
      <c r="J595" s="13" t="n">
        <v>479</v>
      </c>
      <c r="K595" s="1" t="inlineStr"/>
      <c r="L595" s="13" t="n"/>
      <c r="M595" s="1">
        <f>IF(L595="","ไม่พบใน SG",IF(ABS(J595-L595)&lt;0.005,"ตรงกัน","ไม่ตรง"))</f>
        <v/>
      </c>
      <c r="N595" s="14">
        <f>IF(L595="","",ROUND(L595*'สรุป'!$C$6,-1))</f>
        <v/>
      </c>
      <c r="O595" s="15" t="n"/>
      <c r="P595" s="15" t="n"/>
      <c r="Q595" s="10" t="n"/>
      <c r="R595" s="10" t="n"/>
      <c r="S595" s="16" t="inlineStr">
        <is>
          <t>https://mstgolf.co.th/products/gf1240101241</t>
        </is>
      </c>
      <c r="T595" s="1">
        <f>IF(B595="ไม้กอล์ฟ",J595,"")</f>
        <v/>
      </c>
    </row>
    <row r="596">
      <c r="A596" s="1" t="n">
        <v>1</v>
      </c>
      <c r="B596" s="1" t="inlineStr">
        <is>
          <t>ไม้กอล์ฟ</t>
        </is>
      </c>
      <c r="C596" s="1" t="inlineStr">
        <is>
          <t>gf1220101002</t>
        </is>
      </c>
      <c r="D596" s="1" t="inlineStr">
        <is>
          <t>CALLAWAY Quantum Max (2026) Men's Fairway</t>
        </is>
      </c>
      <c r="E596" s="1" t="inlineStr">
        <is>
          <t>CALLAWAY</t>
        </is>
      </c>
      <c r="F596" s="1" t="inlineStr">
        <is>
          <t>FAIRWAY WOOD</t>
        </is>
      </c>
      <c r="G596" s="1" t="inlineStr">
        <is>
          <t>GF1220101002#3SR</t>
        </is>
      </c>
      <c r="H596" s="1" t="n">
        <v>7</v>
      </c>
      <c r="I596" s="1" t="inlineStr">
        <is>
          <t>หมด</t>
        </is>
      </c>
      <c r="J596" s="13" t="n">
        <v>476</v>
      </c>
      <c r="K596" s="1" t="inlineStr"/>
      <c r="L596" s="13" t="n">
        <v>476</v>
      </c>
      <c r="M596" s="1">
        <f>IF(L596="","ไม่พบใน SG",IF(ABS(J596-L596)&lt;0.005,"ตรงกัน","ไม่ตรง"))</f>
        <v/>
      </c>
      <c r="N596" s="14">
        <f>IF(L596="","",ROUND(L596*'สรุป'!$C$6,-1))</f>
        <v/>
      </c>
      <c r="O596" s="15" t="n"/>
      <c r="P596" s="15" t="n"/>
      <c r="Q596" s="10" t="n"/>
      <c r="R596" s="10" t="n"/>
      <c r="S596" s="16" t="inlineStr">
        <is>
          <t>https://mstgolf.co.th/products/gf1220101002</t>
        </is>
      </c>
      <c r="T596" s="1">
        <f>IF(B596="ไม้กอล์ฟ",J596,"")</f>
        <v/>
      </c>
    </row>
    <row r="597">
      <c r="A597" s="1" t="n">
        <v>1</v>
      </c>
      <c r="B597" s="1" t="inlineStr">
        <is>
          <t>ไม้กอล์ฟ</t>
        </is>
      </c>
      <c r="C597" s="1" t="inlineStr">
        <is>
          <t>gf1250100222</t>
        </is>
      </c>
      <c r="D597" s="1" t="inlineStr">
        <is>
          <t>RAM SDX All Graphite (2025) Men's Package Set</t>
        </is>
      </c>
      <c r="E597" s="1" t="inlineStr">
        <is>
          <t>RAM</t>
        </is>
      </c>
      <c r="F597" s="1" t="inlineStr">
        <is>
          <t>PACKAGE SET</t>
        </is>
      </c>
      <c r="G597" s="1" t="inlineStr">
        <is>
          <t>GF1250100222</t>
        </is>
      </c>
      <c r="H597" s="1" t="n">
        <v>1</v>
      </c>
      <c r="I597" s="1" t="inlineStr">
        <is>
          <t>หมด</t>
        </is>
      </c>
      <c r="J597" s="13" t="n">
        <v>469</v>
      </c>
      <c r="K597" s="1" t="inlineStr"/>
      <c r="L597" s="13" t="n">
        <v>469</v>
      </c>
      <c r="M597" s="1">
        <f>IF(L597="","ไม่พบใน SG",IF(ABS(J597-L597)&lt;0.005,"ตรงกัน","ไม่ตรง"))</f>
        <v/>
      </c>
      <c r="N597" s="14">
        <f>IF(L597="","",ROUND(L597*'สรุป'!$C$6,-1))</f>
        <v/>
      </c>
      <c r="O597" s="15" t="n"/>
      <c r="P597" s="15" t="n"/>
      <c r="Q597" s="10" t="n"/>
      <c r="R597" s="10" t="n"/>
      <c r="S597" s="16" t="inlineStr">
        <is>
          <t>https://mstgolf.co.th/products/gf1250100222</t>
        </is>
      </c>
      <c r="T597" s="1">
        <f>IF(B597="ไม้กอล์ฟ",J597,"")</f>
        <v/>
      </c>
    </row>
    <row r="598">
      <c r="A598" s="1" t="n">
        <v>1</v>
      </c>
      <c r="B598" s="1" t="inlineStr">
        <is>
          <t>ไม้กอล์ฟ</t>
        </is>
      </c>
      <c r="C598" s="1" t="inlineStr">
        <is>
          <t>gf1250100223</t>
        </is>
      </c>
      <c r="D598" s="1" t="inlineStr">
        <is>
          <t>RAM SDX Asian (2025) Women's Package Set</t>
        </is>
      </c>
      <c r="E598" s="1" t="inlineStr">
        <is>
          <t>RAM</t>
        </is>
      </c>
      <c r="F598" s="1" t="inlineStr">
        <is>
          <t>PACKAGE SET</t>
        </is>
      </c>
      <c r="G598" s="1" t="inlineStr">
        <is>
          <t>GF1250100223</t>
        </is>
      </c>
      <c r="H598" s="1" t="n">
        <v>1</v>
      </c>
      <c r="I598" s="1" t="inlineStr">
        <is>
          <t>หมด</t>
        </is>
      </c>
      <c r="J598" s="13" t="n">
        <v>469</v>
      </c>
      <c r="K598" s="1" t="inlineStr"/>
      <c r="L598" s="13" t="n">
        <v>469</v>
      </c>
      <c r="M598" s="1">
        <f>IF(L598="","ไม่พบใน SG",IF(ABS(J598-L598)&lt;0.005,"ตรงกัน","ไม่ตรง"))</f>
        <v/>
      </c>
      <c r="N598" s="14">
        <f>IF(L598="","",ROUND(L598*'สรุป'!$C$6,-1))</f>
        <v/>
      </c>
      <c r="O598" s="15" t="n"/>
      <c r="P598" s="15" t="n"/>
      <c r="Q598" s="10" t="n"/>
      <c r="R598" s="10" t="n"/>
      <c r="S598" s="16" t="inlineStr">
        <is>
          <t>https://mstgolf.co.th/products/gf1250100223</t>
        </is>
      </c>
      <c r="T598" s="1">
        <f>IF(B598="ไม้กอล์ฟ",J598,"")</f>
        <v/>
      </c>
    </row>
    <row r="599">
      <c r="A599" s="1" t="n">
        <v>1</v>
      </c>
      <c r="B599" s="1" t="inlineStr">
        <is>
          <t>ไม้กอล์ฟ</t>
        </is>
      </c>
      <c r="C599" s="1" t="inlineStr">
        <is>
          <t>gf1240101396</t>
        </is>
      </c>
      <c r="D599" s="1" t="inlineStr">
        <is>
          <t>ODYSSEY Ai-ONE Square 2 Square Double Wide ZT Stroke Lab (2025) Men's Putter</t>
        </is>
      </c>
      <c r="E599" s="1" t="inlineStr">
        <is>
          <t>ODYSSEY</t>
        </is>
      </c>
      <c r="F599" s="1" t="inlineStr">
        <is>
          <t>PUTTER</t>
        </is>
      </c>
      <c r="G599" s="1" t="inlineStr">
        <is>
          <t>GF124010139634</t>
        </is>
      </c>
      <c r="H599" s="1" t="n">
        <v>1</v>
      </c>
      <c r="I599" s="1" t="inlineStr">
        <is>
          <t>หมด</t>
        </is>
      </c>
      <c r="J599" s="13" t="n">
        <v>468</v>
      </c>
      <c r="K599" s="1" t="inlineStr"/>
      <c r="L599" s="13" t="n">
        <v>468</v>
      </c>
      <c r="M599" s="1">
        <f>IF(L599="","ไม่พบใน SG",IF(ABS(J599-L599)&lt;0.005,"ตรงกัน","ไม่ตรง"))</f>
        <v/>
      </c>
      <c r="N599" s="14">
        <f>IF(L599="","",ROUND(L599*'สรุป'!$C$6,-1))</f>
        <v/>
      </c>
      <c r="O599" s="15" t="n"/>
      <c r="P599" s="15" t="n"/>
      <c r="Q599" s="10" t="n"/>
      <c r="R599" s="10" t="n"/>
      <c r="S599" s="16" t="inlineStr">
        <is>
          <t>https://mstgolf.co.th/products/gf1240101396</t>
        </is>
      </c>
      <c r="T599" s="1">
        <f>IF(B599="ไม้กอล์ฟ",J599,"")</f>
        <v/>
      </c>
    </row>
    <row r="600">
      <c r="A600" s="1" t="n">
        <v>1</v>
      </c>
      <c r="B600" s="1" t="inlineStr">
        <is>
          <t>อุปกรณ์วัดระยะ/เทคโนโลยี</t>
        </is>
      </c>
      <c r="C600" s="1" t="inlineStr">
        <is>
          <t>gf3190200017</t>
        </is>
      </c>
      <c r="D600" s="1" t="inlineStr">
        <is>
          <t>VOICE CADDIE L4 Laser Rangefinder (Black)</t>
        </is>
      </c>
      <c r="E600" s="1" t="inlineStr">
        <is>
          <t>VOICE CADDIE</t>
        </is>
      </c>
      <c r="F600" s="1" t="inlineStr">
        <is>
          <t>HANDHELD</t>
        </is>
      </c>
      <c r="G600" s="1" t="inlineStr">
        <is>
          <t>GF3190200017</t>
        </is>
      </c>
      <c r="H600" s="1" t="n">
        <v>1</v>
      </c>
      <c r="I600" s="1" t="inlineStr">
        <is>
          <t>หมด</t>
        </is>
      </c>
      <c r="J600" s="13" t="n">
        <v>460</v>
      </c>
      <c r="K600" s="1" t="inlineStr"/>
      <c r="L600" s="13" t="n">
        <v>460</v>
      </c>
      <c r="M600" s="1">
        <f>IF(L600="","ไม่พบใน SG",IF(ABS(J600-L600)&lt;0.005,"ตรงกัน","ไม่ตรง"))</f>
        <v/>
      </c>
      <c r="N600" s="14">
        <f>IF(L600="","",ROUND(L600*'สรุป'!$C$6,-1))</f>
        <v/>
      </c>
      <c r="O600" s="15" t="n"/>
      <c r="P600" s="15" t="n"/>
      <c r="Q600" s="10" t="n"/>
      <c r="R600" s="10" t="n"/>
      <c r="S600" s="16" t="inlineStr">
        <is>
          <t>https://mstgolf.co.th/products/gf3190200017</t>
        </is>
      </c>
      <c r="T600" s="1">
        <f>IF(B600="ไม้กอล์ฟ",J600,"")</f>
        <v/>
      </c>
    </row>
    <row r="601">
      <c r="A601" s="1" t="n">
        <v>1</v>
      </c>
      <c r="B601" s="1" t="inlineStr">
        <is>
          <t>ไม้กอล์ฟ</t>
        </is>
      </c>
      <c r="C601" s="1" t="inlineStr">
        <is>
          <t>gf1210100318</t>
        </is>
      </c>
      <c r="D601" s="1" t="inlineStr">
        <is>
          <t>MARUMAN Shuttle Gold 2020 Men's Driver</t>
        </is>
      </c>
      <c r="E601" s="1" t="inlineStr">
        <is>
          <t>MARUMAN</t>
        </is>
      </c>
      <c r="F601" s="1" t="inlineStr">
        <is>
          <t>DRIVER</t>
        </is>
      </c>
      <c r="G601" s="1" t="inlineStr">
        <is>
          <t>GF12101003189.5R</t>
        </is>
      </c>
      <c r="H601" s="1" t="n">
        <v>5</v>
      </c>
      <c r="I601" s="1" t="inlineStr">
        <is>
          <t>หมด</t>
        </is>
      </c>
      <c r="J601" s="13" t="n">
        <v>459</v>
      </c>
      <c r="K601" s="1" t="inlineStr"/>
      <c r="L601" s="13" t="n">
        <v>459</v>
      </c>
      <c r="M601" s="1">
        <f>IF(L601="","ไม่พบใน SG",IF(ABS(J601-L601)&lt;0.005,"ตรงกัน","ไม่ตรง"))</f>
        <v/>
      </c>
      <c r="N601" s="14">
        <f>IF(L601="","",ROUND(L601*'สรุป'!$C$6,-1))</f>
        <v/>
      </c>
      <c r="O601" s="15" t="n"/>
      <c r="P601" s="15" t="n"/>
      <c r="Q601" s="10" t="n"/>
      <c r="R601" s="10" t="n"/>
      <c r="S601" s="16" t="inlineStr">
        <is>
          <t>https://mstgolf.co.th/products/gf1210100318</t>
        </is>
      </c>
      <c r="T601" s="1">
        <f>IF(B601="ไม้กอล์ฟ",J601,"")</f>
        <v/>
      </c>
    </row>
    <row r="602">
      <c r="A602" s="1" t="n">
        <v>1</v>
      </c>
      <c r="B602" s="1" t="inlineStr">
        <is>
          <t>ไม้กอล์ฟ</t>
        </is>
      </c>
      <c r="C602" s="1" t="inlineStr">
        <is>
          <t>gf1220100735</t>
        </is>
      </c>
      <c r="D602" s="1" t="inlineStr">
        <is>
          <t>MIZUNO ST-G Diamana (2023) Men's Fairway</t>
        </is>
      </c>
      <c r="E602" s="1" t="inlineStr">
        <is>
          <t>MIZUNO</t>
        </is>
      </c>
      <c r="F602" s="1" t="inlineStr">
        <is>
          <t>FAIRWAY WOOD</t>
        </is>
      </c>
      <c r="G602" s="1" t="inlineStr">
        <is>
          <t>GF1220100735#3S</t>
        </is>
      </c>
      <c r="H602" s="1" t="n">
        <v>1</v>
      </c>
      <c r="I602" s="1" t="inlineStr">
        <is>
          <t>หมด</t>
        </is>
      </c>
      <c r="J602" s="13" t="n">
        <v>459</v>
      </c>
      <c r="K602" s="1" t="inlineStr"/>
      <c r="L602" s="13" t="n">
        <v>369</v>
      </c>
      <c r="M602" s="1">
        <f>IF(L602="","ไม่พบใน SG",IF(ABS(J602-L602)&lt;0.005,"ตรงกัน","ไม่ตรง"))</f>
        <v/>
      </c>
      <c r="N602" s="14">
        <f>IF(L602="","",ROUND(L602*'สรุป'!$C$6,-1))</f>
        <v/>
      </c>
      <c r="O602" s="15" t="n"/>
      <c r="P602" s="15" t="n"/>
      <c r="Q602" s="10" t="n"/>
      <c r="R602" s="10" t="n"/>
      <c r="S602" s="16" t="inlineStr">
        <is>
          <t>https://mstgolf.co.th/products/gf1220100735</t>
        </is>
      </c>
      <c r="T602" s="1">
        <f>IF(B602="ไม้กอล์ฟ",J602,"")</f>
        <v/>
      </c>
    </row>
    <row r="603">
      <c r="A603" s="1" t="n">
        <v>1</v>
      </c>
      <c r="B603" s="1" t="inlineStr">
        <is>
          <t>ไม้กอล์ฟ</t>
        </is>
      </c>
      <c r="C603" s="1" t="inlineStr">
        <is>
          <t>gf1220100606</t>
        </is>
      </c>
      <c r="D603" s="1" t="inlineStr">
        <is>
          <t>PING G430 Max Men's Fairway</t>
        </is>
      </c>
      <c r="E603" s="1" t="inlineStr">
        <is>
          <t>PING</t>
        </is>
      </c>
      <c r="F603" s="1" t="inlineStr">
        <is>
          <t>FAIRWAY WOOD</t>
        </is>
      </c>
      <c r="G603" s="1" t="inlineStr">
        <is>
          <t>GF1220100606#3S</t>
        </is>
      </c>
      <c r="H603" s="1" t="n">
        <v>9</v>
      </c>
      <c r="I603" s="1" t="inlineStr">
        <is>
          <t>หมด</t>
        </is>
      </c>
      <c r="J603" s="13" t="n">
        <v>455</v>
      </c>
      <c r="K603" s="1" t="inlineStr"/>
      <c r="L603" s="13" t="n"/>
      <c r="M603" s="1">
        <f>IF(L603="","ไม่พบใน SG",IF(ABS(J603-L603)&lt;0.005,"ตรงกัน","ไม่ตรง"))</f>
        <v/>
      </c>
      <c r="N603" s="14">
        <f>IF(L603="","",ROUND(L603*'สรุป'!$C$6,-1))</f>
        <v/>
      </c>
      <c r="O603" s="15" t="n"/>
      <c r="P603" s="15" t="n"/>
      <c r="Q603" s="10" t="n"/>
      <c r="R603" s="10" t="n"/>
      <c r="S603" s="16" t="inlineStr">
        <is>
          <t>https://mstgolf.co.th/products/gf1220100606</t>
        </is>
      </c>
      <c r="T603" s="1">
        <f>IF(B603="ไม้กอล์ฟ",J603,"")</f>
        <v/>
      </c>
    </row>
    <row r="604">
      <c r="A604" s="1" t="n">
        <v>1</v>
      </c>
      <c r="B604" s="1" t="inlineStr">
        <is>
          <t>ไม้กอล์ฟ</t>
        </is>
      </c>
      <c r="C604" s="1" t="inlineStr">
        <is>
          <t>gf1220100607</t>
        </is>
      </c>
      <c r="D604" s="1" t="inlineStr">
        <is>
          <t>PING G430 SFT Men's Fairway</t>
        </is>
      </c>
      <c r="E604" s="1" t="inlineStr">
        <is>
          <t>PING</t>
        </is>
      </c>
      <c r="F604" s="1" t="inlineStr">
        <is>
          <t>FAIRWAY WOOD</t>
        </is>
      </c>
      <c r="G604" s="1" t="inlineStr">
        <is>
          <t>GF1220100607#3R</t>
        </is>
      </c>
      <c r="H604" s="1" t="n">
        <v>2</v>
      </c>
      <c r="I604" s="1" t="inlineStr">
        <is>
          <t>หมด</t>
        </is>
      </c>
      <c r="J604" s="13" t="n">
        <v>455</v>
      </c>
      <c r="K604" s="1" t="inlineStr"/>
      <c r="L604" s="13" t="n"/>
      <c r="M604" s="1">
        <f>IF(L604="","ไม่พบใน SG",IF(ABS(J604-L604)&lt;0.005,"ตรงกัน","ไม่ตรง"))</f>
        <v/>
      </c>
      <c r="N604" s="14">
        <f>IF(L604="","",ROUND(L604*'สรุป'!$C$6,-1))</f>
        <v/>
      </c>
      <c r="O604" s="15" t="n"/>
      <c r="P604" s="15" t="n"/>
      <c r="Q604" s="10" t="n"/>
      <c r="R604" s="10" t="n"/>
      <c r="S604" s="16" t="inlineStr">
        <is>
          <t>https://mstgolf.co.th/products/gf1220100607</t>
        </is>
      </c>
      <c r="T604" s="1">
        <f>IF(B604="ไม้กอล์ฟ",J604,"")</f>
        <v/>
      </c>
    </row>
    <row r="605">
      <c r="A605" s="1" t="n">
        <v>1</v>
      </c>
      <c r="B605" s="1" t="inlineStr">
        <is>
          <t>ไม้กอล์ฟ</t>
        </is>
      </c>
      <c r="C605" s="1" t="inlineStr">
        <is>
          <t>gf1220100789</t>
        </is>
      </c>
      <c r="D605" s="1" t="inlineStr">
        <is>
          <t>MIZUNO ST-MAX 230 (2024) Men's Fairway</t>
        </is>
      </c>
      <c r="E605" s="1" t="inlineStr">
        <is>
          <t>MIZUNO</t>
        </is>
      </c>
      <c r="F605" s="1" t="inlineStr">
        <is>
          <t>FAIRWAY WOOD</t>
        </is>
      </c>
      <c r="G605" s="1" t="inlineStr">
        <is>
          <t>GF1220100789#3R</t>
        </is>
      </c>
      <c r="H605" s="1" t="n">
        <v>2</v>
      </c>
      <c r="I605" s="1" t="inlineStr">
        <is>
          <t>หมด</t>
        </is>
      </c>
      <c r="J605" s="13" t="n">
        <v>449</v>
      </c>
      <c r="K605" s="1" t="inlineStr"/>
      <c r="L605" s="13" t="n">
        <v>299</v>
      </c>
      <c r="M605" s="1">
        <f>IF(L605="","ไม่พบใน SG",IF(ABS(J605-L605)&lt;0.005,"ตรงกัน","ไม่ตรง"))</f>
        <v/>
      </c>
      <c r="N605" s="14">
        <f>IF(L605="","",ROUND(L605*'สรุป'!$C$6,-1))</f>
        <v/>
      </c>
      <c r="O605" s="15" t="n"/>
      <c r="P605" s="15" t="n"/>
      <c r="Q605" s="10" t="n"/>
      <c r="R605" s="10" t="n"/>
      <c r="S605" s="16" t="inlineStr">
        <is>
          <t>https://mstgolf.co.th/products/gf1220100789</t>
        </is>
      </c>
      <c r="T605" s="1">
        <f>IF(B605="ไม้กอล์ฟ",J605,"")</f>
        <v/>
      </c>
    </row>
    <row r="606">
      <c r="A606" s="1" t="n">
        <v>1</v>
      </c>
      <c r="B606" s="1" t="inlineStr">
        <is>
          <t>ไม้กอล์ฟ</t>
        </is>
      </c>
      <c r="C606" s="1" t="inlineStr">
        <is>
          <t>gf1240101053</t>
        </is>
      </c>
      <c r="D606" s="1" t="inlineStr">
        <is>
          <t>TAYLORMADE Spider GTX Single Bend Red (2023) Men's Putter</t>
        </is>
      </c>
      <c r="E606" s="1" t="inlineStr">
        <is>
          <t>TAYLORMADE</t>
        </is>
      </c>
      <c r="F606" s="1" t="inlineStr">
        <is>
          <t>PUTTER</t>
        </is>
      </c>
      <c r="G606" s="1" t="inlineStr">
        <is>
          <t>GF124010105334</t>
        </is>
      </c>
      <c r="H606" s="1" t="n">
        <v>3</v>
      </c>
      <c r="I606" s="1" t="inlineStr">
        <is>
          <t>หมด</t>
        </is>
      </c>
      <c r="J606" s="13" t="n">
        <v>439</v>
      </c>
      <c r="K606" s="1" t="inlineStr"/>
      <c r="L606" s="13" t="n"/>
      <c r="M606" s="1">
        <f>IF(L606="","ไม่พบใน SG",IF(ABS(J606-L606)&lt;0.005,"ตรงกัน","ไม่ตรง"))</f>
        <v/>
      </c>
      <c r="N606" s="14">
        <f>IF(L606="","",ROUND(L606*'สรุป'!$C$6,-1))</f>
        <v/>
      </c>
      <c r="O606" s="15" t="n"/>
      <c r="P606" s="15" t="n"/>
      <c r="Q606" s="10" t="n"/>
      <c r="R606" s="10" t="n"/>
      <c r="S606" s="16" t="inlineStr">
        <is>
          <t>https://mstgolf.co.th/products/gf1240101053</t>
        </is>
      </c>
      <c r="T606" s="1">
        <f>IF(B606="ไม้กอล์ฟ",J606,"")</f>
        <v/>
      </c>
    </row>
    <row r="607">
      <c r="A607" s="1" t="n">
        <v>1</v>
      </c>
      <c r="B607" s="1" t="inlineStr">
        <is>
          <t>ไม้กอล์ฟ</t>
        </is>
      </c>
      <c r="C607" s="1" t="inlineStr">
        <is>
          <t>gf1230100393</t>
        </is>
      </c>
      <c r="D607" s="1" t="inlineStr">
        <is>
          <t>MAJESTY Royale 2021 Men's Utility</t>
        </is>
      </c>
      <c r="E607" s="1" t="inlineStr">
        <is>
          <t>MAJESTY</t>
        </is>
      </c>
      <c r="F607" s="1" t="inlineStr">
        <is>
          <t>UTILITY/HYBRID</t>
        </is>
      </c>
      <c r="G607" s="1" t="inlineStr">
        <is>
          <t>GF1230100393#3SR</t>
        </is>
      </c>
      <c r="H607" s="1" t="n">
        <v>6</v>
      </c>
      <c r="I607" s="1" t="inlineStr">
        <is>
          <t>หมด</t>
        </is>
      </c>
      <c r="J607" s="13" t="n">
        <v>429</v>
      </c>
      <c r="K607" s="1" t="inlineStr"/>
      <c r="L607" s="13" t="n">
        <v>429</v>
      </c>
      <c r="M607" s="1">
        <f>IF(L607="","ไม่พบใน SG",IF(ABS(J607-L607)&lt;0.005,"ตรงกัน","ไม่ตรง"))</f>
        <v/>
      </c>
      <c r="N607" s="14">
        <f>IF(L607="","",ROUND(L607*'สรุป'!$C$6,-1))</f>
        <v/>
      </c>
      <c r="O607" s="15" t="n"/>
      <c r="P607" s="15" t="n"/>
      <c r="Q607" s="10" t="n"/>
      <c r="R607" s="10" t="n"/>
      <c r="S607" s="16" t="inlineStr">
        <is>
          <t>https://mstgolf.co.th/products/gf1230100393</t>
        </is>
      </c>
      <c r="T607" s="1">
        <f>IF(B607="ไม้กอล์ฟ",J607,"")</f>
        <v/>
      </c>
    </row>
    <row r="608">
      <c r="A608" s="1" t="n">
        <v>1</v>
      </c>
      <c r="B608" s="1" t="inlineStr">
        <is>
          <t>ไม้กอล์ฟ</t>
        </is>
      </c>
      <c r="C608" s="1" t="inlineStr">
        <is>
          <t>gf1220100705</t>
        </is>
      </c>
      <c r="D608" s="1" t="inlineStr">
        <is>
          <t>TITLEIST TSR1 Men's Fairway</t>
        </is>
      </c>
      <c r="E608" s="1" t="inlineStr">
        <is>
          <t>TITLEIST</t>
        </is>
      </c>
      <c r="F608" s="1" t="inlineStr">
        <is>
          <t>FAIRWAY WOOD</t>
        </is>
      </c>
      <c r="G608" s="1" t="inlineStr">
        <is>
          <t>GF122010070515R2</t>
        </is>
      </c>
      <c r="H608" s="1" t="n">
        <v>3</v>
      </c>
      <c r="I608" s="1" t="inlineStr">
        <is>
          <t>หมด</t>
        </is>
      </c>
      <c r="J608" s="13" t="n">
        <v>429</v>
      </c>
      <c r="K608" s="1" t="inlineStr"/>
      <c r="L608" s="13" t="n"/>
      <c r="M608" s="1">
        <f>IF(L608="","ไม่พบใน SG",IF(ABS(J608-L608)&lt;0.005,"ตรงกัน","ไม่ตรง"))</f>
        <v/>
      </c>
      <c r="N608" s="14">
        <f>IF(L608="","",ROUND(L608*'สรุป'!$C$6,-1))</f>
        <v/>
      </c>
      <c r="O608" s="15" t="n"/>
      <c r="P608" s="15" t="n"/>
      <c r="Q608" s="10" t="n"/>
      <c r="R608" s="10" t="n"/>
      <c r="S608" s="16" t="inlineStr">
        <is>
          <t>https://mstgolf.co.th/products/gf1220100705</t>
        </is>
      </c>
      <c r="T608" s="1">
        <f>IF(B608="ไม้กอล์ฟ",J608,"")</f>
        <v/>
      </c>
    </row>
    <row r="609">
      <c r="A609" s="1" t="n">
        <v>1</v>
      </c>
      <c r="B609" s="1" t="inlineStr">
        <is>
          <t>ไม้กอล์ฟ</t>
        </is>
      </c>
      <c r="C609" s="1" t="inlineStr">
        <is>
          <t>gf1240101605</t>
        </is>
      </c>
      <c r="D609" s="1" t="inlineStr">
        <is>
          <t>ODYSSEY Ai-Dual Square 2 Square Jailbird OS (2026) Putter</t>
        </is>
      </c>
      <c r="E609" s="1" t="inlineStr">
        <is>
          <t>ODYSSEY</t>
        </is>
      </c>
      <c r="F609" s="1" t="inlineStr">
        <is>
          <t>PUTTER</t>
        </is>
      </c>
      <c r="G609" s="1" t="inlineStr">
        <is>
          <t>GF124010160534</t>
        </is>
      </c>
      <c r="H609" s="1" t="n">
        <v>1</v>
      </c>
      <c r="I609" s="1" t="inlineStr">
        <is>
          <t>หมด</t>
        </is>
      </c>
      <c r="J609" s="13" t="n">
        <v>428</v>
      </c>
      <c r="K609" s="1" t="inlineStr"/>
      <c r="L609" s="13" t="n">
        <v>428</v>
      </c>
      <c r="M609" s="1">
        <f>IF(L609="","ไม่พบใน SG",IF(ABS(J609-L609)&lt;0.005,"ตรงกัน","ไม่ตรง"))</f>
        <v/>
      </c>
      <c r="N609" s="14">
        <f>IF(L609="","",ROUND(L609*'สรุป'!$C$6,-1))</f>
        <v/>
      </c>
      <c r="O609" s="15" t="n"/>
      <c r="P609" s="15" t="n"/>
      <c r="Q609" s="10" t="n"/>
      <c r="R609" s="10" t="n"/>
      <c r="S609" s="16" t="inlineStr">
        <is>
          <t>https://mstgolf.co.th/products/gf1240101605</t>
        </is>
      </c>
      <c r="T609" s="1">
        <f>IF(B609="ไม้กอล์ฟ",J609,"")</f>
        <v/>
      </c>
    </row>
    <row r="610">
      <c r="A610" s="1" t="n">
        <v>1</v>
      </c>
      <c r="B610" s="1" t="inlineStr">
        <is>
          <t>ไม้กอล์ฟ</t>
        </is>
      </c>
      <c r="C610" s="1" t="inlineStr">
        <is>
          <t>gf1240101606</t>
        </is>
      </c>
      <c r="D610" s="1" t="inlineStr">
        <is>
          <t>ODYSSEY Ai-Dual Square 2 Square Max 1/2-Ball (2026) Putter</t>
        </is>
      </c>
      <c r="E610" s="1" t="inlineStr">
        <is>
          <t>ODYSSEY</t>
        </is>
      </c>
      <c r="F610" s="1" t="inlineStr">
        <is>
          <t>PUTTER</t>
        </is>
      </c>
      <c r="G610" s="1" t="inlineStr">
        <is>
          <t>GF124010160634</t>
        </is>
      </c>
      <c r="H610" s="1" t="n">
        <v>1</v>
      </c>
      <c r="I610" s="1" t="inlineStr">
        <is>
          <t>หมด</t>
        </is>
      </c>
      <c r="J610" s="13" t="n">
        <v>428</v>
      </c>
      <c r="K610" s="1" t="inlineStr"/>
      <c r="L610" s="13" t="n">
        <v>428</v>
      </c>
      <c r="M610" s="1">
        <f>IF(L610="","ไม่พบใน SG",IF(ABS(J610-L610)&lt;0.005,"ตรงกัน","ไม่ตรง"))</f>
        <v/>
      </c>
      <c r="N610" s="14">
        <f>IF(L610="","",ROUND(L610*'สรุป'!$C$6,-1))</f>
        <v/>
      </c>
      <c r="O610" s="15" t="n"/>
      <c r="P610" s="15" t="n"/>
      <c r="Q610" s="10" t="n"/>
      <c r="R610" s="10" t="n"/>
      <c r="S610" s="16" t="inlineStr">
        <is>
          <t>https://mstgolf.co.th/products/gf1240101606</t>
        </is>
      </c>
      <c r="T610" s="1">
        <f>IF(B610="ไม้กอล์ฟ",J610,"")</f>
        <v/>
      </c>
    </row>
    <row r="611">
      <c r="A611" s="1" t="n">
        <v>1</v>
      </c>
      <c r="B611" s="1" t="inlineStr">
        <is>
          <t>ไม้กอล์ฟ</t>
        </is>
      </c>
      <c r="C611" s="1" t="inlineStr">
        <is>
          <t>gf1240101604</t>
        </is>
      </c>
      <c r="D611" s="1" t="inlineStr">
        <is>
          <t>ODYSSEY Ai-Dual Square 2 Square Seven OS (2026) Men's Putter</t>
        </is>
      </c>
      <c r="E611" s="1" t="inlineStr">
        <is>
          <t>ODYSSEY</t>
        </is>
      </c>
      <c r="F611" s="1" t="inlineStr">
        <is>
          <t>PUTTER</t>
        </is>
      </c>
      <c r="G611" s="1" t="inlineStr">
        <is>
          <t>GF124010160434</t>
        </is>
      </c>
      <c r="H611" s="1" t="n">
        <v>1</v>
      </c>
      <c r="I611" s="1" t="inlineStr">
        <is>
          <t>หมด</t>
        </is>
      </c>
      <c r="J611" s="13" t="n">
        <v>428</v>
      </c>
      <c r="K611" s="1" t="inlineStr"/>
      <c r="L611" s="13" t="n">
        <v>428</v>
      </c>
      <c r="M611" s="1">
        <f>IF(L611="","ไม่พบใน SG",IF(ABS(J611-L611)&lt;0.005,"ตรงกัน","ไม่ตรง"))</f>
        <v/>
      </c>
      <c r="N611" s="14">
        <f>IF(L611="","",ROUND(L611*'สรุป'!$C$6,-1))</f>
        <v/>
      </c>
      <c r="O611" s="15" t="n"/>
      <c r="P611" s="15" t="n"/>
      <c r="Q611" s="10" t="n"/>
      <c r="R611" s="10" t="n"/>
      <c r="S611" s="16" t="inlineStr">
        <is>
          <t>https://mstgolf.co.th/products/gf1240101604</t>
        </is>
      </c>
      <c r="T611" s="1">
        <f>IF(B611="ไม้กอล์ฟ",J611,"")</f>
        <v/>
      </c>
    </row>
    <row r="612">
      <c r="A612" s="1" t="n">
        <v>1</v>
      </c>
      <c r="B612" s="1" t="inlineStr">
        <is>
          <t>ไม้กอล์ฟ</t>
        </is>
      </c>
      <c r="C612" s="1" t="inlineStr">
        <is>
          <t>gf1210100718</t>
        </is>
      </c>
      <c r="D612" s="1" t="inlineStr">
        <is>
          <t>MIZUNO ST-X 220 Men's Driver</t>
        </is>
      </c>
      <c r="E612" s="1" t="inlineStr">
        <is>
          <t>MIZUNO</t>
        </is>
      </c>
      <c r="F612" s="1" t="inlineStr">
        <is>
          <t>DRIVER</t>
        </is>
      </c>
      <c r="G612" s="1" t="inlineStr">
        <is>
          <t>GF1210100718105R</t>
        </is>
      </c>
      <c r="H612" s="1" t="n">
        <v>3</v>
      </c>
      <c r="I612" s="1" t="inlineStr">
        <is>
          <t>หมด</t>
        </is>
      </c>
      <c r="J612" s="13" t="n">
        <v>419</v>
      </c>
      <c r="K612" s="1" t="inlineStr"/>
      <c r="L612" s="13" t="n"/>
      <c r="M612" s="1">
        <f>IF(L612="","ไม่พบใน SG",IF(ABS(J612-L612)&lt;0.005,"ตรงกัน","ไม่ตรง"))</f>
        <v/>
      </c>
      <c r="N612" s="14">
        <f>IF(L612="","",ROUND(L612*'สรุป'!$C$6,-1))</f>
        <v/>
      </c>
      <c r="O612" s="15" t="n"/>
      <c r="P612" s="15" t="n"/>
      <c r="Q612" s="10" t="n"/>
      <c r="R612" s="10" t="n"/>
      <c r="S612" s="16" t="inlineStr">
        <is>
          <t>https://mstgolf.co.th/products/gf1210100718</t>
        </is>
      </c>
      <c r="T612" s="1">
        <f>IF(B612="ไม้กอล์ฟ",J612,"")</f>
        <v/>
      </c>
    </row>
    <row r="613">
      <c r="A613" s="1" t="n">
        <v>1</v>
      </c>
      <c r="B613" s="1" t="inlineStr">
        <is>
          <t>ไม้กอล์ฟ</t>
        </is>
      </c>
      <c r="C613" s="1" t="inlineStr">
        <is>
          <t>gf1240101165</t>
        </is>
      </c>
      <c r="D613" s="1" t="inlineStr">
        <is>
          <t>ODYSSEY White Hot Black Wide Twelve Double (2023) Men's Putter</t>
        </is>
      </c>
      <c r="E613" s="1" t="inlineStr">
        <is>
          <t>ODYSSEY</t>
        </is>
      </c>
      <c r="F613" s="1" t="inlineStr">
        <is>
          <t>PUTTER</t>
        </is>
      </c>
      <c r="G613" s="1" t="inlineStr">
        <is>
          <t>GF124010116734</t>
        </is>
      </c>
      <c r="H613" s="1" t="n">
        <v>1</v>
      </c>
      <c r="I613" s="1" t="inlineStr">
        <is>
          <t>หมด</t>
        </is>
      </c>
      <c r="J613" s="13" t="n">
        <v>419</v>
      </c>
      <c r="K613" s="1" t="inlineStr"/>
      <c r="L613" s="13" t="n">
        <v>419</v>
      </c>
      <c r="M613" s="1">
        <f>IF(L613="","ไม่พบใน SG",IF(ABS(J613-L613)&lt;0.005,"ตรงกัน","ไม่ตรง"))</f>
        <v/>
      </c>
      <c r="N613" s="14">
        <f>IF(L613="","",ROUND(L613*'สรุป'!$C$6,-1))</f>
        <v/>
      </c>
      <c r="O613" s="15" t="n"/>
      <c r="P613" s="15" t="n"/>
      <c r="Q613" s="10" t="n"/>
      <c r="R613" s="10" t="n"/>
      <c r="S613" s="16" t="inlineStr">
        <is>
          <t>https://mstgolf.co.th/products/gf1240101165</t>
        </is>
      </c>
      <c r="T613" s="1">
        <f>IF(B613="ไม้กอล์ฟ",J613,"")</f>
        <v/>
      </c>
    </row>
    <row r="614">
      <c r="A614" s="1" t="n">
        <v>1</v>
      </c>
      <c r="B614" s="1" t="inlineStr">
        <is>
          <t>ไม้กอล์ฟ</t>
        </is>
      </c>
      <c r="C614" s="1" t="inlineStr">
        <is>
          <t>gf1240101145</t>
        </is>
      </c>
      <c r="D614" s="1" t="inlineStr">
        <is>
          <t>TAYLORMADE TP Black Truss Bandon (2023) Men's Putter</t>
        </is>
      </c>
      <c r="E614" s="1" t="inlineStr">
        <is>
          <t>TAYLORMADE</t>
        </is>
      </c>
      <c r="F614" s="1" t="inlineStr">
        <is>
          <t>PUTTER</t>
        </is>
      </c>
      <c r="G614" s="1" t="inlineStr">
        <is>
          <t>GF124010114534</t>
        </is>
      </c>
      <c r="H614" s="1" t="n">
        <v>1</v>
      </c>
      <c r="I614" s="1" t="inlineStr">
        <is>
          <t>หมด</t>
        </is>
      </c>
      <c r="J614" s="13" t="n">
        <v>415</v>
      </c>
      <c r="K614" s="1" t="inlineStr"/>
      <c r="L614" s="13" t="n"/>
      <c r="M614" s="1">
        <f>IF(L614="","ไม่พบใน SG",IF(ABS(J614-L614)&lt;0.005,"ตรงกัน","ไม่ตรง"))</f>
        <v/>
      </c>
      <c r="N614" s="14">
        <f>IF(L614="","",ROUND(L614*'สรุป'!$C$6,-1))</f>
        <v/>
      </c>
      <c r="O614" s="15" t="n"/>
      <c r="P614" s="15" t="n"/>
      <c r="Q614" s="10" t="n"/>
      <c r="R614" s="10" t="n"/>
      <c r="S614" s="16" t="inlineStr">
        <is>
          <t>https://mstgolf.co.th/products/gf1240101145</t>
        </is>
      </c>
      <c r="T614" s="1">
        <f>IF(B614="ไม้กอล์ฟ",J614,"")</f>
        <v/>
      </c>
    </row>
    <row r="615">
      <c r="A615" s="1" t="n">
        <v>1</v>
      </c>
      <c r="B615" s="1" t="inlineStr">
        <is>
          <t>อุปกรณ์วัดระยะ/เทคโนโลยี</t>
        </is>
      </c>
      <c r="C615" s="1" t="inlineStr">
        <is>
          <t>gf3190200037</t>
        </is>
      </c>
      <c r="D615" s="1" t="inlineStr">
        <is>
          <t>BLUE TEES GOLF Series 3 Max Rangerfinder (2023) (Black/Grey)</t>
        </is>
      </c>
      <c r="E615" s="1" t="inlineStr">
        <is>
          <t>BLUE TEES GOLF</t>
        </is>
      </c>
      <c r="F615" s="1" t="inlineStr">
        <is>
          <t>HANDHELD</t>
        </is>
      </c>
      <c r="G615" s="1" t="inlineStr">
        <is>
          <t>GF3190200037</t>
        </is>
      </c>
      <c r="H615" s="1" t="n">
        <v>1</v>
      </c>
      <c r="I615" s="1" t="inlineStr">
        <is>
          <t>หมด</t>
        </is>
      </c>
      <c r="J615" s="13" t="n">
        <v>409</v>
      </c>
      <c r="K615" s="1" t="inlineStr"/>
      <c r="L615" s="13" t="n">
        <v>409</v>
      </c>
      <c r="M615" s="1">
        <f>IF(L615="","ไม่พบใน SG",IF(ABS(J615-L615)&lt;0.005,"ตรงกัน","ไม่ตรง"))</f>
        <v/>
      </c>
      <c r="N615" s="14">
        <f>IF(L615="","",ROUND(L615*'สรุป'!$C$6,-1))</f>
        <v/>
      </c>
      <c r="O615" s="15" t="n"/>
      <c r="P615" s="15" t="n"/>
      <c r="Q615" s="10" t="n"/>
      <c r="R615" s="10" t="n"/>
      <c r="S615" s="16" t="inlineStr">
        <is>
          <t>https://mstgolf.co.th/products/gf3190200037</t>
        </is>
      </c>
      <c r="T615" s="1">
        <f>IF(B615="ไม้กอล์ฟ",J615,"")</f>
        <v/>
      </c>
    </row>
    <row r="616">
      <c r="A616" s="1" t="n">
        <v>1</v>
      </c>
      <c r="B616" s="1" t="inlineStr">
        <is>
          <t>อุปกรณ์วัดระยะ/เทคโนโลยี</t>
        </is>
      </c>
      <c r="C616" s="1" t="inlineStr">
        <is>
          <t>gf3190200039</t>
        </is>
      </c>
      <c r="D616" s="1" t="inlineStr">
        <is>
          <t>BLUE TEES GOLF Series 3 Max Rangerfinder (2023) (Rose Pink/White)</t>
        </is>
      </c>
      <c r="E616" s="1" t="inlineStr">
        <is>
          <t>BLUE TEES GOLF</t>
        </is>
      </c>
      <c r="F616" s="1" t="inlineStr">
        <is>
          <t>HANDHELD</t>
        </is>
      </c>
      <c r="G616" s="1" t="inlineStr">
        <is>
          <t>GF3190200039</t>
        </is>
      </c>
      <c r="H616" s="1" t="n">
        <v>1</v>
      </c>
      <c r="I616" s="1" t="inlineStr">
        <is>
          <t>หมด</t>
        </is>
      </c>
      <c r="J616" s="13" t="n">
        <v>409</v>
      </c>
      <c r="K616" s="1" t="inlineStr"/>
      <c r="L616" s="13" t="n">
        <v>409</v>
      </c>
      <c r="M616" s="1">
        <f>IF(L616="","ไม่พบใน SG",IF(ABS(J616-L616)&lt;0.005,"ตรงกัน","ไม่ตรง"))</f>
        <v/>
      </c>
      <c r="N616" s="14">
        <f>IF(L616="","",ROUND(L616*'สรุป'!$C$6,-1))</f>
        <v/>
      </c>
      <c r="O616" s="15" t="n"/>
      <c r="P616" s="15" t="n"/>
      <c r="Q616" s="10" t="n"/>
      <c r="R616" s="10" t="n"/>
      <c r="S616" s="16" t="inlineStr">
        <is>
          <t>https://mstgolf.co.th/products/gf3190200039</t>
        </is>
      </c>
      <c r="T616" s="1">
        <f>IF(B616="ไม้กอล์ฟ",J616,"")</f>
        <v/>
      </c>
    </row>
    <row r="617">
      <c r="A617" s="1" t="n">
        <v>1</v>
      </c>
      <c r="B617" s="1" t="inlineStr">
        <is>
          <t>อุปกรณ์วัดระยะ/เทคโนโลยี</t>
        </is>
      </c>
      <c r="C617" s="1" t="inlineStr">
        <is>
          <t>gf3190200038</t>
        </is>
      </c>
      <c r="D617" s="1" t="inlineStr">
        <is>
          <t>BLUE TEES GOLF Series 3 Max Rangerfinder (2023) (White)</t>
        </is>
      </c>
      <c r="E617" s="1" t="inlineStr">
        <is>
          <t>BLUE TEES GOLF</t>
        </is>
      </c>
      <c r="F617" s="1" t="inlineStr">
        <is>
          <t>HANDHELD</t>
        </is>
      </c>
      <c r="G617" s="1" t="inlineStr">
        <is>
          <t>GF3190200038</t>
        </is>
      </c>
      <c r="H617" s="1" t="n">
        <v>1</v>
      </c>
      <c r="I617" s="1" t="inlineStr">
        <is>
          <t>หมด</t>
        </is>
      </c>
      <c r="J617" s="13" t="n">
        <v>409</v>
      </c>
      <c r="K617" s="1" t="inlineStr"/>
      <c r="L617" s="13" t="n">
        <v>409</v>
      </c>
      <c r="M617" s="1">
        <f>IF(L617="","ไม่พบใน SG",IF(ABS(J617-L617)&lt;0.005,"ตรงกัน","ไม่ตรง"))</f>
        <v/>
      </c>
      <c r="N617" s="14">
        <f>IF(L617="","",ROUND(L617*'สรุป'!$C$6,-1))</f>
        <v/>
      </c>
      <c r="O617" s="15" t="n"/>
      <c r="P617" s="15" t="n"/>
      <c r="Q617" s="10" t="n"/>
      <c r="R617" s="10" t="n"/>
      <c r="S617" s="16" t="inlineStr">
        <is>
          <t>https://mstgolf.co.th/products/gf3190200038</t>
        </is>
      </c>
      <c r="T617" s="1">
        <f>IF(B617="ไม้กอล์ฟ",J617,"")</f>
        <v/>
      </c>
    </row>
    <row r="618">
      <c r="A618" s="1" t="n">
        <v>1</v>
      </c>
      <c r="B618" s="1" t="inlineStr">
        <is>
          <t>ไม้กอล์ฟ</t>
        </is>
      </c>
      <c r="C618" s="1" t="inlineStr">
        <is>
          <t>gf1230100923</t>
        </is>
      </c>
      <c r="D618" s="1" t="inlineStr">
        <is>
          <t>CALLAWAY Quantum Max (2026) Men's Hybrid</t>
        </is>
      </c>
      <c r="E618" s="1" t="inlineStr">
        <is>
          <t>CALLAWAY</t>
        </is>
      </c>
      <c r="F618" s="1" t="inlineStr">
        <is>
          <t>UTILITY/HYBRID</t>
        </is>
      </c>
      <c r="G618" s="1" t="inlineStr">
        <is>
          <t>GF1230100923#3S</t>
        </is>
      </c>
      <c r="H618" s="1" t="n">
        <v>5</v>
      </c>
      <c r="I618" s="1" t="inlineStr">
        <is>
          <t>หมด</t>
        </is>
      </c>
      <c r="J618" s="13" t="n">
        <v>404</v>
      </c>
      <c r="K618" s="1" t="inlineStr"/>
      <c r="L618" s="13" t="n">
        <v>404</v>
      </c>
      <c r="M618" s="1">
        <f>IF(L618="","ไม่พบใน SG",IF(ABS(J618-L618)&lt;0.005,"ตรงกัน","ไม่ตรง"))</f>
        <v/>
      </c>
      <c r="N618" s="14">
        <f>IF(L618="","",ROUND(L618*'สรุป'!$C$6,-1))</f>
        <v/>
      </c>
      <c r="O618" s="15" t="n"/>
      <c r="P618" s="15" t="n"/>
      <c r="Q618" s="10" t="n"/>
      <c r="R618" s="10" t="n"/>
      <c r="S618" s="16" t="inlineStr">
        <is>
          <t>https://mstgolf.co.th/products/gf1230100923</t>
        </is>
      </c>
      <c r="T618" s="1">
        <f>IF(B618="ไม้กอล์ฟ",J618,"")</f>
        <v/>
      </c>
    </row>
    <row r="619">
      <c r="A619" s="1" t="n">
        <v>1</v>
      </c>
      <c r="B619" s="1" t="inlineStr">
        <is>
          <t>ไม้กอล์ฟ</t>
        </is>
      </c>
      <c r="C619" s="1" t="inlineStr">
        <is>
          <t>cobra-air-x-offset-ultralight-23-gp-driver</t>
        </is>
      </c>
      <c r="D619" s="1" t="inlineStr">
        <is>
          <t>COBRA AIR-X OFFSET ULTRALIGHT (23) GP DRIVER</t>
        </is>
      </c>
      <c r="E619" s="1" t="inlineStr">
        <is>
          <t>COBRA</t>
        </is>
      </c>
      <c r="F619" s="1" t="inlineStr">
        <is>
          <t>DRIVER</t>
        </is>
      </c>
      <c r="G619" s="1" t="inlineStr">
        <is>
          <t>GF1210100976105R</t>
        </is>
      </c>
      <c r="H619" s="1" t="n">
        <v>1</v>
      </c>
      <c r="I619" s="1" t="inlineStr">
        <is>
          <t>หมด</t>
        </is>
      </c>
      <c r="J619" s="13" t="n">
        <v>399</v>
      </c>
      <c r="K619" s="1" t="inlineStr"/>
      <c r="L619" s="13" t="n"/>
      <c r="M619" s="1">
        <f>IF(L619="","ไม่พบใน SG",IF(ABS(J619-L619)&lt;0.005,"ตรงกัน","ไม่ตรง"))</f>
        <v/>
      </c>
      <c r="N619" s="14">
        <f>IF(L619="","",ROUND(L619*'สรุป'!$C$6,-1))</f>
        <v/>
      </c>
      <c r="O619" s="15" t="n"/>
      <c r="P619" s="15" t="n"/>
      <c r="Q619" s="10" t="n"/>
      <c r="R619" s="10" t="n"/>
      <c r="S619" s="16" t="inlineStr">
        <is>
          <t>https://mstgolf.co.th/products/cobra-air-x-offset-ultralight-23-gp-driver</t>
        </is>
      </c>
      <c r="T619" s="1">
        <f>IF(B619="ไม้กอล์ฟ",J619,"")</f>
        <v/>
      </c>
    </row>
    <row r="620">
      <c r="A620" s="1" t="n">
        <v>1</v>
      </c>
      <c r="B620" s="1" t="inlineStr">
        <is>
          <t>ไม้กอล์ฟ</t>
        </is>
      </c>
      <c r="C620" s="1" t="inlineStr">
        <is>
          <t>gf1210100977</t>
        </is>
      </c>
      <c r="D620" s="1" t="inlineStr">
        <is>
          <t>COBRA AIR-X Offset (2023) Women's Driver</t>
        </is>
      </c>
      <c r="E620" s="1" t="inlineStr">
        <is>
          <t>COBRA</t>
        </is>
      </c>
      <c r="F620" s="1" t="inlineStr">
        <is>
          <t>DRIVER</t>
        </is>
      </c>
      <c r="G620" s="1" t="inlineStr">
        <is>
          <t>GF1210100977115L</t>
        </is>
      </c>
      <c r="H620" s="1" t="n">
        <v>1</v>
      </c>
      <c r="I620" s="1" t="inlineStr">
        <is>
          <t>หมด</t>
        </is>
      </c>
      <c r="J620" s="13" t="n">
        <v>399</v>
      </c>
      <c r="K620" s="1" t="inlineStr"/>
      <c r="L620" s="13" t="n"/>
      <c r="M620" s="1">
        <f>IF(L620="","ไม่พบใน SG",IF(ABS(J620-L620)&lt;0.005,"ตรงกัน","ไม่ตรง"))</f>
        <v/>
      </c>
      <c r="N620" s="14">
        <f>IF(L620="","",ROUND(L620*'สรุป'!$C$6,-1))</f>
        <v/>
      </c>
      <c r="O620" s="15" t="n"/>
      <c r="P620" s="15" t="n"/>
      <c r="Q620" s="10" t="n"/>
      <c r="R620" s="10" t="n"/>
      <c r="S620" s="16" t="inlineStr">
        <is>
          <t>https://mstgolf.co.th/products/gf1210100977</t>
        </is>
      </c>
      <c r="T620" s="1">
        <f>IF(B620="ไม้กอล์ฟ",J620,"")</f>
        <v/>
      </c>
    </row>
    <row r="621">
      <c r="A621" s="1" t="n">
        <v>1</v>
      </c>
      <c r="B621" s="1" t="inlineStr">
        <is>
          <t>ไม้กอล์ฟ</t>
        </is>
      </c>
      <c r="C621" s="1" t="inlineStr">
        <is>
          <t>gf1210100809</t>
        </is>
      </c>
      <c r="D621" s="1" t="inlineStr">
        <is>
          <t>COBRA AeroJet MAX Black (2023) Men's Driver</t>
        </is>
      </c>
      <c r="E621" s="1" t="inlineStr">
        <is>
          <t>COBRA</t>
        </is>
      </c>
      <c r="F621" s="1" t="inlineStr">
        <is>
          <t>DRIVER</t>
        </is>
      </c>
      <c r="G621" s="1" t="inlineStr">
        <is>
          <t>GF12101009459S</t>
        </is>
      </c>
      <c r="H621" s="1" t="n">
        <v>4</v>
      </c>
      <c r="I621" s="1" t="inlineStr">
        <is>
          <t>หมด</t>
        </is>
      </c>
      <c r="J621" s="13" t="n">
        <v>399</v>
      </c>
      <c r="K621" s="1" t="inlineStr"/>
      <c r="L621" s="13" t="n">
        <v>399</v>
      </c>
      <c r="M621" s="1">
        <f>IF(L621="","ไม่พบใน SG",IF(ABS(J621-L621)&lt;0.005,"ตรงกัน","ไม่ตรง"))</f>
        <v/>
      </c>
      <c r="N621" s="14">
        <f>IF(L621="","",ROUND(L621*'สรุป'!$C$6,-1))</f>
        <v/>
      </c>
      <c r="O621" s="15" t="n"/>
      <c r="P621" s="15" t="n"/>
      <c r="Q621" s="10" t="n"/>
      <c r="R621" s="10" t="n"/>
      <c r="S621" s="16" t="inlineStr">
        <is>
          <t>https://mstgolf.co.th/products/gf1210100809</t>
        </is>
      </c>
      <c r="T621" s="1">
        <f>IF(B621="ไม้กอล์ฟ",J621,"")</f>
        <v/>
      </c>
    </row>
    <row r="622">
      <c r="A622" s="1" t="n">
        <v>1</v>
      </c>
      <c r="B622" s="1" t="inlineStr">
        <is>
          <t>ไม้กอล์ฟ</t>
        </is>
      </c>
      <c r="C622" s="1" t="inlineStr">
        <is>
          <t>gf1240101172</t>
        </is>
      </c>
      <c r="D622" s="1" t="inlineStr">
        <is>
          <t>COBRA KING Vintage Nova (2023) Men's Putter</t>
        </is>
      </c>
      <c r="E622" s="1" t="inlineStr">
        <is>
          <t>COBRA</t>
        </is>
      </c>
      <c r="F622" s="1" t="inlineStr">
        <is>
          <t>PUTTER</t>
        </is>
      </c>
      <c r="G622" s="1" t="inlineStr">
        <is>
          <t>GF124010117234</t>
        </is>
      </c>
      <c r="H622" s="1" t="n">
        <v>1</v>
      </c>
      <c r="I622" s="1" t="inlineStr">
        <is>
          <t>หมด</t>
        </is>
      </c>
      <c r="J622" s="13" t="n">
        <v>399</v>
      </c>
      <c r="K622" s="1" t="inlineStr"/>
      <c r="L622" s="13" t="n">
        <v>399</v>
      </c>
      <c r="M622" s="1">
        <f>IF(L622="","ไม่พบใน SG",IF(ABS(J622-L622)&lt;0.005,"ตรงกัน","ไม่ตรง"))</f>
        <v/>
      </c>
      <c r="N622" s="14">
        <f>IF(L622="","",ROUND(L622*'สรุป'!$C$6,-1))</f>
        <v/>
      </c>
      <c r="O622" s="15" t="n"/>
      <c r="P622" s="15" t="n"/>
      <c r="Q622" s="10" t="n"/>
      <c r="R622" s="10" t="n"/>
      <c r="S622" s="16" t="inlineStr">
        <is>
          <t>https://mstgolf.co.th/products/gf1240101172</t>
        </is>
      </c>
      <c r="T622" s="1">
        <f>IF(B622="ไม้กอล์ฟ",J622,"")</f>
        <v/>
      </c>
    </row>
    <row r="623">
      <c r="A623" s="1" t="n">
        <v>1</v>
      </c>
      <c r="B623" s="1" t="inlineStr">
        <is>
          <t>ไม้กอล์ฟ</t>
        </is>
      </c>
      <c r="C623" s="1" t="inlineStr">
        <is>
          <t>gf1240101171</t>
        </is>
      </c>
      <c r="D623" s="1" t="inlineStr">
        <is>
          <t>COBRA KING Vintage Widesport (2023) Men's Putter</t>
        </is>
      </c>
      <c r="E623" s="1" t="inlineStr">
        <is>
          <t>COBRA</t>
        </is>
      </c>
      <c r="F623" s="1" t="inlineStr">
        <is>
          <t>PUTTER</t>
        </is>
      </c>
      <c r="G623" s="1" t="inlineStr">
        <is>
          <t>GF124010117134</t>
        </is>
      </c>
      <c r="H623" s="1" t="n">
        <v>1</v>
      </c>
      <c r="I623" s="1" t="inlineStr">
        <is>
          <t>หมด</t>
        </is>
      </c>
      <c r="J623" s="13" t="n">
        <v>399</v>
      </c>
      <c r="K623" s="1" t="inlineStr"/>
      <c r="L623" s="13" t="n">
        <v>399</v>
      </c>
      <c r="M623" s="1">
        <f>IF(L623="","ไม่พบใน SG",IF(ABS(J623-L623)&lt;0.005,"ตรงกัน","ไม่ตรง"))</f>
        <v/>
      </c>
      <c r="N623" s="14">
        <f>IF(L623="","",ROUND(L623*'สรุป'!$C$6,-1))</f>
        <v/>
      </c>
      <c r="O623" s="15" t="n"/>
      <c r="P623" s="15" t="n"/>
      <c r="Q623" s="10" t="n"/>
      <c r="R623" s="10" t="n"/>
      <c r="S623" s="16" t="inlineStr">
        <is>
          <t>https://mstgolf.co.th/products/gf1240101171</t>
        </is>
      </c>
      <c r="T623" s="1">
        <f>IF(B623="ไม้กอล์ฟ",J623,"")</f>
        <v/>
      </c>
    </row>
    <row r="624">
      <c r="A624" s="1" t="n">
        <v>1</v>
      </c>
      <c r="B624" s="1" t="inlineStr">
        <is>
          <t>ไม้กอล์ฟ</t>
        </is>
      </c>
      <c r="C624" s="1" t="inlineStr">
        <is>
          <t>gf1240101174</t>
        </is>
      </c>
      <c r="D624" s="1" t="inlineStr">
        <is>
          <t>COBRA Stingray Vintage SB (2024) Men's Putter</t>
        </is>
      </c>
      <c r="E624" s="1" t="inlineStr">
        <is>
          <t>COBRA</t>
        </is>
      </c>
      <c r="F624" s="1" t="inlineStr">
        <is>
          <t>PUTTER</t>
        </is>
      </c>
      <c r="G624" s="1" t="inlineStr">
        <is>
          <t>GF124010117434</t>
        </is>
      </c>
      <c r="H624" s="1" t="n">
        <v>1</v>
      </c>
      <c r="I624" s="1" t="inlineStr">
        <is>
          <t>หมด</t>
        </is>
      </c>
      <c r="J624" s="13" t="n">
        <v>399</v>
      </c>
      <c r="K624" s="1" t="inlineStr"/>
      <c r="L624" s="13" t="n"/>
      <c r="M624" s="1">
        <f>IF(L624="","ไม่พบใน SG",IF(ABS(J624-L624)&lt;0.005,"ตรงกัน","ไม่ตรง"))</f>
        <v/>
      </c>
      <c r="N624" s="14">
        <f>IF(L624="","",ROUND(L624*'สรุป'!$C$6,-1))</f>
        <v/>
      </c>
      <c r="O624" s="15" t="n"/>
      <c r="P624" s="15" t="n"/>
      <c r="Q624" s="10" t="n"/>
      <c r="R624" s="10" t="n"/>
      <c r="S624" s="16" t="inlineStr">
        <is>
          <t>https://mstgolf.co.th/products/gf1240101174</t>
        </is>
      </c>
      <c r="T624" s="1">
        <f>IF(B624="ไม้กอล์ฟ",J624,"")</f>
        <v/>
      </c>
    </row>
    <row r="625">
      <c r="A625" s="1" t="n">
        <v>1</v>
      </c>
      <c r="B625" s="1" t="inlineStr">
        <is>
          <t>ไม้กอล์ฟ</t>
        </is>
      </c>
      <c r="C625" s="1" t="inlineStr">
        <is>
          <t>gf1230100663</t>
        </is>
      </c>
      <c r="D625" s="1" t="inlineStr">
        <is>
          <t>PING G-LE3 ULT250 (2023) Women's Utility</t>
        </is>
      </c>
      <c r="E625" s="1" t="inlineStr">
        <is>
          <t>PING</t>
        </is>
      </c>
      <c r="F625" s="1" t="inlineStr">
        <is>
          <t>UTILITY/HYBRID</t>
        </is>
      </c>
      <c r="G625" s="1" t="inlineStr">
        <is>
          <t>GF1230100663#4L</t>
        </is>
      </c>
      <c r="H625" s="1" t="n">
        <v>4</v>
      </c>
      <c r="I625" s="1" t="inlineStr">
        <is>
          <t>หมด</t>
        </is>
      </c>
      <c r="J625" s="13" t="n">
        <v>399</v>
      </c>
      <c r="K625" s="1" t="inlineStr"/>
      <c r="L625" s="13" t="n">
        <v>399</v>
      </c>
      <c r="M625" s="1">
        <f>IF(L625="","ไม่พบใน SG",IF(ABS(J625-L625)&lt;0.005,"ตรงกัน","ไม่ตรง"))</f>
        <v/>
      </c>
      <c r="N625" s="14">
        <f>IF(L625="","",ROUND(L625*'สรุป'!$C$6,-1))</f>
        <v/>
      </c>
      <c r="O625" s="15" t="n"/>
      <c r="P625" s="15" t="n"/>
      <c r="Q625" s="10" t="n"/>
      <c r="R625" s="10" t="n"/>
      <c r="S625" s="16" t="inlineStr">
        <is>
          <t>https://mstgolf.co.th/products/gf1230100663</t>
        </is>
      </c>
      <c r="T625" s="1">
        <f>IF(B625="ไม้กอล์ฟ",J625,"")</f>
        <v/>
      </c>
    </row>
    <row r="626">
      <c r="A626" s="1" t="n">
        <v>1</v>
      </c>
      <c r="B626" s="1" t="inlineStr">
        <is>
          <t>ไม้กอล์ฟ</t>
        </is>
      </c>
      <c r="C626" s="1" t="inlineStr">
        <is>
          <t>gf1240101412</t>
        </is>
      </c>
      <c r="D626" s="1" t="inlineStr">
        <is>
          <t>PING Scottsdale Anser (2025) Men's Putter</t>
        </is>
      </c>
      <c r="E626" s="1" t="inlineStr">
        <is>
          <t>PING</t>
        </is>
      </c>
      <c r="F626" s="1" t="inlineStr">
        <is>
          <t>PUTTER</t>
        </is>
      </c>
      <c r="G626" s="1" t="inlineStr">
        <is>
          <t>GF124010141234</t>
        </is>
      </c>
      <c r="H626" s="1" t="n">
        <v>1</v>
      </c>
      <c r="I626" s="1" t="inlineStr">
        <is>
          <t>หมด</t>
        </is>
      </c>
      <c r="J626" s="13" t="n">
        <v>399</v>
      </c>
      <c r="K626" s="1" t="inlineStr"/>
      <c r="L626" s="13" t="n">
        <v>399</v>
      </c>
      <c r="M626" s="1">
        <f>IF(L626="","ไม่พบใน SG",IF(ABS(J626-L626)&lt;0.005,"ตรงกัน","ไม่ตรง"))</f>
        <v/>
      </c>
      <c r="N626" s="14">
        <f>IF(L626="","",ROUND(L626*'สรุป'!$C$6,-1))</f>
        <v/>
      </c>
      <c r="O626" s="15" t="n"/>
      <c r="P626" s="15" t="n"/>
      <c r="Q626" s="10" t="n"/>
      <c r="R626" s="10" t="n"/>
      <c r="S626" s="16" t="inlineStr">
        <is>
          <t>https://mstgolf.co.th/products/gf1240101412</t>
        </is>
      </c>
      <c r="T626" s="1">
        <f>IF(B626="ไม้กอล์ฟ",J626,"")</f>
        <v/>
      </c>
    </row>
    <row r="627">
      <c r="A627" s="1" t="n">
        <v>1</v>
      </c>
      <c r="B627" s="1" t="inlineStr">
        <is>
          <t>ไม้กอล์ฟ</t>
        </is>
      </c>
      <c r="C627" s="1" t="inlineStr">
        <is>
          <t>gf1240101414</t>
        </is>
      </c>
      <c r="D627" s="1" t="inlineStr">
        <is>
          <t>PING Scottsdale Craz-E (2025) Men's Putter</t>
        </is>
      </c>
      <c r="E627" s="1" t="inlineStr">
        <is>
          <t>PING</t>
        </is>
      </c>
      <c r="F627" s="1" t="inlineStr">
        <is>
          <t>PUTTER</t>
        </is>
      </c>
      <c r="G627" s="1" t="inlineStr">
        <is>
          <t>GF124010141434</t>
        </is>
      </c>
      <c r="H627" s="1" t="n">
        <v>1</v>
      </c>
      <c r="I627" s="1" t="inlineStr">
        <is>
          <t>หมด</t>
        </is>
      </c>
      <c r="J627" s="13" t="n">
        <v>399</v>
      </c>
      <c r="K627" s="1" t="inlineStr"/>
      <c r="L627" s="13" t="n">
        <v>399</v>
      </c>
      <c r="M627" s="1">
        <f>IF(L627="","ไม่พบใน SG",IF(ABS(J627-L627)&lt;0.005,"ตรงกัน","ไม่ตรง"))</f>
        <v/>
      </c>
      <c r="N627" s="14">
        <f>IF(L627="","",ROUND(L627*'สรุป'!$C$6,-1))</f>
        <v/>
      </c>
      <c r="O627" s="15" t="n"/>
      <c r="P627" s="15" t="n"/>
      <c r="Q627" s="10" t="n"/>
      <c r="R627" s="10" t="n"/>
      <c r="S627" s="16" t="inlineStr">
        <is>
          <t>https://mstgolf.co.th/products/gf1240101414</t>
        </is>
      </c>
      <c r="T627" s="1">
        <f>IF(B627="ไม้กอล์ฟ",J627,"")</f>
        <v/>
      </c>
    </row>
    <row r="628">
      <c r="A628" s="1" t="n">
        <v>1</v>
      </c>
      <c r="B628" s="1" t="inlineStr">
        <is>
          <t>ไม้กอล์ฟ</t>
        </is>
      </c>
      <c r="C628" s="1" t="inlineStr">
        <is>
          <t>gf1240101413</t>
        </is>
      </c>
      <c r="D628" s="1" t="inlineStr">
        <is>
          <t>PING Scottsdate Anser 2D (2025) Men's Putter</t>
        </is>
      </c>
      <c r="E628" s="1" t="inlineStr">
        <is>
          <t>PING</t>
        </is>
      </c>
      <c r="F628" s="1" t="inlineStr">
        <is>
          <t>PUTTER</t>
        </is>
      </c>
      <c r="G628" s="1" t="inlineStr">
        <is>
          <t>GF124010141334</t>
        </is>
      </c>
      <c r="H628" s="1" t="n">
        <v>1</v>
      </c>
      <c r="I628" s="1" t="inlineStr">
        <is>
          <t>หมด</t>
        </is>
      </c>
      <c r="J628" s="13" t="n">
        <v>399</v>
      </c>
      <c r="K628" s="1" t="inlineStr"/>
      <c r="L628" s="13" t="n">
        <v>399</v>
      </c>
      <c r="M628" s="1">
        <f>IF(L628="","ไม่พบใน SG",IF(ABS(J628-L628)&lt;0.005,"ตรงกัน","ไม่ตรง"))</f>
        <v/>
      </c>
      <c r="N628" s="14">
        <f>IF(L628="","",ROUND(L628*'สรุป'!$C$6,-1))</f>
        <v/>
      </c>
      <c r="O628" s="15" t="n"/>
      <c r="P628" s="15" t="n"/>
      <c r="Q628" s="10" t="n"/>
      <c r="R628" s="10" t="n"/>
      <c r="S628" s="16" t="inlineStr">
        <is>
          <t>https://mstgolf.co.th/products/gf1240101413</t>
        </is>
      </c>
      <c r="T628" s="1">
        <f>IF(B628="ไม้กอล์ฟ",J628,"")</f>
        <v/>
      </c>
    </row>
    <row r="629">
      <c r="A629" s="1" t="n">
        <v>1</v>
      </c>
      <c r="B629" s="1" t="inlineStr">
        <is>
          <t>ไม้กอล์ฟ</t>
        </is>
      </c>
      <c r="C629" s="1" t="inlineStr">
        <is>
          <t>gf1220100877</t>
        </is>
      </c>
      <c r="D629" s="1" t="inlineStr">
        <is>
          <t>TAYLORMADE Qi35 (2025) Men's Fairway</t>
        </is>
      </c>
      <c r="E629" s="1" t="inlineStr">
        <is>
          <t>TAYLORMADE</t>
        </is>
      </c>
      <c r="F629" s="1" t="inlineStr">
        <is>
          <t>FAIRWAY WOOD</t>
        </is>
      </c>
      <c r="G629" s="1" t="inlineStr">
        <is>
          <t>GF1220100878#3R</t>
        </is>
      </c>
      <c r="H629" s="1" t="n">
        <v>10</v>
      </c>
      <c r="I629" s="1" t="inlineStr">
        <is>
          <t>หมด</t>
        </is>
      </c>
      <c r="J629" s="13" t="n">
        <v>399</v>
      </c>
      <c r="K629" s="1" t="inlineStr"/>
      <c r="L629" s="13" t="n">
        <v>399</v>
      </c>
      <c r="M629" s="1">
        <f>IF(L629="","ไม่พบใน SG",IF(ABS(J629-L629)&lt;0.005,"ตรงกัน","ไม่ตรง"))</f>
        <v/>
      </c>
      <c r="N629" s="14">
        <f>IF(L629="","",ROUND(L629*'สรุป'!$C$6,-1))</f>
        <v/>
      </c>
      <c r="O629" s="15" t="n"/>
      <c r="P629" s="15" t="n"/>
      <c r="Q629" s="10" t="n"/>
      <c r="R629" s="10" t="n"/>
      <c r="S629" s="16" t="inlineStr">
        <is>
          <t>https://mstgolf.co.th/products/gf1220100877</t>
        </is>
      </c>
      <c r="T629" s="1">
        <f>IF(B629="ไม้กอล์ฟ",J629,"")</f>
        <v/>
      </c>
    </row>
    <row r="630">
      <c r="A630" s="1" t="n">
        <v>1</v>
      </c>
      <c r="B630" s="1" t="inlineStr">
        <is>
          <t>ไม้กอล์ฟ</t>
        </is>
      </c>
      <c r="C630" s="1" t="inlineStr">
        <is>
          <t>gf1220100882</t>
        </is>
      </c>
      <c r="D630" s="1" t="inlineStr">
        <is>
          <t>TAYLORMADE Qi35 Max Lite (2025) Men's Fairway</t>
        </is>
      </c>
      <c r="E630" s="1" t="inlineStr">
        <is>
          <t>TAYLORMADE</t>
        </is>
      </c>
      <c r="F630" s="1" t="inlineStr">
        <is>
          <t>FAIRWAY WOOD</t>
        </is>
      </c>
      <c r="G630" s="1" t="inlineStr">
        <is>
          <t>GF1220100882#3R</t>
        </is>
      </c>
      <c r="H630" s="1" t="n">
        <v>2</v>
      </c>
      <c r="I630" s="1" t="inlineStr">
        <is>
          <t>หมด</t>
        </is>
      </c>
      <c r="J630" s="13" t="n">
        <v>399</v>
      </c>
      <c r="K630" s="1" t="inlineStr"/>
      <c r="L630" s="13" t="n">
        <v>399</v>
      </c>
      <c r="M630" s="1">
        <f>IF(L630="","ไม่พบใน SG",IF(ABS(J630-L630)&lt;0.005,"ตรงกัน","ไม่ตรง"))</f>
        <v/>
      </c>
      <c r="N630" s="14">
        <f>IF(L630="","",ROUND(L630*'สรุป'!$C$6,-1))</f>
        <v/>
      </c>
      <c r="O630" s="15" t="n"/>
      <c r="P630" s="15" t="n"/>
      <c r="Q630" s="10" t="n"/>
      <c r="R630" s="10" t="n"/>
      <c r="S630" s="16" t="inlineStr">
        <is>
          <t>https://mstgolf.co.th/products/gf1220100882</t>
        </is>
      </c>
      <c r="T630" s="1">
        <f>IF(B630="ไม้กอล์ฟ",J630,"")</f>
        <v/>
      </c>
    </row>
    <row r="631">
      <c r="A631" s="1" t="n">
        <v>1</v>
      </c>
      <c r="B631" s="1" t="inlineStr">
        <is>
          <t>ไม้กอล์ฟ</t>
        </is>
      </c>
      <c r="C631" s="1" t="inlineStr">
        <is>
          <t>gf1240101149</t>
        </is>
      </c>
      <c r="D631" s="1" t="inlineStr">
        <is>
          <t>MIZUNO M.Craft OMOI #5 Black (2024) Men's Putter</t>
        </is>
      </c>
      <c r="E631" s="1" t="inlineStr">
        <is>
          <t>MIZUNO</t>
        </is>
      </c>
      <c r="F631" s="1" t="inlineStr">
        <is>
          <t>PUTTER</t>
        </is>
      </c>
      <c r="G631" s="1" t="inlineStr">
        <is>
          <t>GF124010114934</t>
        </is>
      </c>
      <c r="H631" s="1" t="n">
        <v>1</v>
      </c>
      <c r="I631" s="1" t="inlineStr">
        <is>
          <t>หมด</t>
        </is>
      </c>
      <c r="J631" s="13" t="n">
        <v>395</v>
      </c>
      <c r="K631" s="1" t="inlineStr"/>
      <c r="L631" s="13" t="n"/>
      <c r="M631" s="1">
        <f>IF(L631="","ไม่พบใน SG",IF(ABS(J631-L631)&lt;0.005,"ตรงกัน","ไม่ตรง"))</f>
        <v/>
      </c>
      <c r="N631" s="14">
        <f>IF(L631="","",ROUND(L631*'สรุป'!$C$6,-1))</f>
        <v/>
      </c>
      <c r="O631" s="15" t="n"/>
      <c r="P631" s="15" t="n"/>
      <c r="Q631" s="10" t="n"/>
      <c r="R631" s="10" t="n"/>
      <c r="S631" s="16" t="inlineStr">
        <is>
          <t>https://mstgolf.co.th/products/gf1240101149</t>
        </is>
      </c>
      <c r="T631" s="1">
        <f>IF(B631="ไม้กอล์ฟ",J631,"")</f>
        <v/>
      </c>
    </row>
    <row r="632">
      <c r="A632" s="1" t="n">
        <v>1</v>
      </c>
      <c r="B632" s="1" t="inlineStr">
        <is>
          <t>ไม้กอล์ฟ</t>
        </is>
      </c>
      <c r="C632" s="1" t="inlineStr">
        <is>
          <t>gf1230100738</t>
        </is>
      </c>
      <c r="D632" s="1" t="inlineStr">
        <is>
          <t>TAYLORMADE P.UDI (2024) Men's Utility Iron</t>
        </is>
      </c>
      <c r="E632" s="1" t="inlineStr">
        <is>
          <t>TAYLORMADE</t>
        </is>
      </c>
      <c r="F632" s="1" t="inlineStr">
        <is>
          <t>UTILITY/HYBRID</t>
        </is>
      </c>
      <c r="G632" s="1" t="inlineStr">
        <is>
          <t>GF1230100738#2S</t>
        </is>
      </c>
      <c r="H632" s="1" t="n">
        <v>3</v>
      </c>
      <c r="I632" s="1" t="inlineStr">
        <is>
          <t>หมด</t>
        </is>
      </c>
      <c r="J632" s="13" t="n">
        <v>389</v>
      </c>
      <c r="K632" s="1" t="inlineStr"/>
      <c r="L632" s="13" t="n">
        <v>389</v>
      </c>
      <c r="M632" s="1">
        <f>IF(L632="","ไม่พบใน SG",IF(ABS(J632-L632)&lt;0.005,"ตรงกัน","ไม่ตรง"))</f>
        <v/>
      </c>
      <c r="N632" s="14">
        <f>IF(L632="","",ROUND(L632*'สรุป'!$C$6,-1))</f>
        <v/>
      </c>
      <c r="O632" s="15" t="n"/>
      <c r="P632" s="15" t="n"/>
      <c r="Q632" s="10" t="n"/>
      <c r="R632" s="10" t="n"/>
      <c r="S632" s="16" t="inlineStr">
        <is>
          <t>https://mstgolf.co.th/products/gf1230100738</t>
        </is>
      </c>
      <c r="T632" s="1">
        <f>IF(B632="ไม้กอล์ฟ",J632,"")</f>
        <v/>
      </c>
    </row>
    <row r="633">
      <c r="A633" s="1" t="n">
        <v>1</v>
      </c>
      <c r="B633" s="1" t="inlineStr">
        <is>
          <t>ไม้กอล์ฟ</t>
        </is>
      </c>
      <c r="C633" s="1" t="inlineStr">
        <is>
          <t>gf1220100286</t>
        </is>
      </c>
      <c r="D633" s="1" t="inlineStr">
        <is>
          <t>PING G-Le2 (2019) Women's Fairway</t>
        </is>
      </c>
      <c r="E633" s="1" t="inlineStr">
        <is>
          <t>PING</t>
        </is>
      </c>
      <c r="F633" s="1" t="inlineStr">
        <is>
          <t>FAIRWAY WOOD</t>
        </is>
      </c>
      <c r="G633" s="1" t="inlineStr">
        <is>
          <t>GF1220100286#3L</t>
        </is>
      </c>
      <c r="H633" s="1" t="n">
        <v>2</v>
      </c>
      <c r="I633" s="1" t="inlineStr">
        <is>
          <t>หมด</t>
        </is>
      </c>
      <c r="J633" s="13" t="n">
        <v>385</v>
      </c>
      <c r="K633" s="1" t="inlineStr"/>
      <c r="L633" s="13" t="n"/>
      <c r="M633" s="1">
        <f>IF(L633="","ไม่พบใน SG",IF(ABS(J633-L633)&lt;0.005,"ตรงกัน","ไม่ตรง"))</f>
        <v/>
      </c>
      <c r="N633" s="14">
        <f>IF(L633="","",ROUND(L633*'สรุป'!$C$6,-1))</f>
        <v/>
      </c>
      <c r="O633" s="15" t="n"/>
      <c r="P633" s="15" t="n"/>
      <c r="Q633" s="10" t="n"/>
      <c r="R633" s="10" t="n"/>
      <c r="S633" s="16" t="inlineStr">
        <is>
          <t>https://mstgolf.co.th/products/gf1220100286</t>
        </is>
      </c>
      <c r="T633" s="1">
        <f>IF(B633="ไม้กอล์ฟ",J633,"")</f>
        <v/>
      </c>
    </row>
    <row r="634">
      <c r="A634" s="1" t="n">
        <v>1</v>
      </c>
      <c r="B634" s="1" t="inlineStr">
        <is>
          <t>ไม้กอล์ฟ</t>
        </is>
      </c>
      <c r="C634" s="1" t="inlineStr">
        <is>
          <t>gf1240100841</t>
        </is>
      </c>
      <c r="D634" s="1" t="inlineStr">
        <is>
          <t>BETTINARDI BB1 Flow 2022 Men's Putter (Lamkin Sink Fit Standard Grey)</t>
        </is>
      </c>
      <c r="E634" s="1" t="inlineStr">
        <is>
          <t>BETTINARDI</t>
        </is>
      </c>
      <c r="F634" s="1" t="inlineStr">
        <is>
          <t>PUTTER</t>
        </is>
      </c>
      <c r="G634" s="1" t="inlineStr">
        <is>
          <t>GF124010084134</t>
        </is>
      </c>
      <c r="H634" s="1" t="n">
        <v>1</v>
      </c>
      <c r="I634" s="1" t="inlineStr">
        <is>
          <t>หมด</t>
        </is>
      </c>
      <c r="J634" s="13" t="n">
        <v>379</v>
      </c>
      <c r="K634" s="1" t="inlineStr"/>
      <c r="L634" s="13" t="n"/>
      <c r="M634" s="1">
        <f>IF(L634="","ไม่พบใน SG",IF(ABS(J634-L634)&lt;0.005,"ตรงกัน","ไม่ตรง"))</f>
        <v/>
      </c>
      <c r="N634" s="14">
        <f>IF(L634="","",ROUND(L634*'สรุป'!$C$6,-1))</f>
        <v/>
      </c>
      <c r="O634" s="15" t="n"/>
      <c r="P634" s="15" t="n"/>
      <c r="Q634" s="10" t="n"/>
      <c r="R634" s="10" t="n"/>
      <c r="S634" s="16" t="inlineStr">
        <is>
          <t>https://mstgolf.co.th/products/gf1240100841</t>
        </is>
      </c>
      <c r="T634" s="1">
        <f>IF(B634="ไม้กอล์ฟ",J634,"")</f>
        <v/>
      </c>
    </row>
    <row r="635">
      <c r="A635" s="1" t="n">
        <v>1</v>
      </c>
      <c r="B635" s="1" t="inlineStr">
        <is>
          <t>ไม้กอล์ฟ</t>
        </is>
      </c>
      <c r="C635" s="1" t="inlineStr">
        <is>
          <t>gf1270100453</t>
        </is>
      </c>
      <c r="D635" s="1" t="inlineStr">
        <is>
          <t>BETTINARDI HLX 5.0 RJ Grind Chrome (2023) Men's Wedge</t>
        </is>
      </c>
      <c r="E635" s="1" t="inlineStr">
        <is>
          <t>BETTINARDI</t>
        </is>
      </c>
      <c r="F635" s="1" t="inlineStr">
        <is>
          <t>WEDGES</t>
        </is>
      </c>
      <c r="G635" s="1" t="inlineStr">
        <is>
          <t>GF127010045358</t>
        </is>
      </c>
      <c r="H635" s="1" t="n">
        <v>2</v>
      </c>
      <c r="I635" s="1" t="inlineStr">
        <is>
          <t>หมด</t>
        </is>
      </c>
      <c r="J635" s="13" t="n">
        <v>379</v>
      </c>
      <c r="K635" s="1" t="inlineStr"/>
      <c r="L635" s="13" t="n"/>
      <c r="M635" s="1">
        <f>IF(L635="","ไม่พบใน SG",IF(ABS(J635-L635)&lt;0.005,"ตรงกัน","ไม่ตรง"))</f>
        <v/>
      </c>
      <c r="N635" s="14">
        <f>IF(L635="","",ROUND(L635*'สรุป'!$C$6,-1))</f>
        <v/>
      </c>
      <c r="O635" s="15" t="n"/>
      <c r="P635" s="15" t="n"/>
      <c r="Q635" s="10" t="n"/>
      <c r="R635" s="10" t="n"/>
      <c r="S635" s="16" t="inlineStr">
        <is>
          <t>https://mstgolf.co.th/products/gf1270100453</t>
        </is>
      </c>
      <c r="T635" s="1">
        <f>IF(B635="ไม้กอล์ฟ",J635,"")</f>
        <v/>
      </c>
    </row>
    <row r="636">
      <c r="A636" s="1" t="n">
        <v>1</v>
      </c>
      <c r="B636" s="1" t="inlineStr">
        <is>
          <t>ไม้กอล์ฟ</t>
        </is>
      </c>
      <c r="C636" s="1" t="inlineStr">
        <is>
          <t>gf1240101057</t>
        </is>
      </c>
      <c r="D636" s="1" t="inlineStr">
        <is>
          <t>TAYLORMADE Spider GTX Single Bend Ice Blue (2023) Women's Putter</t>
        </is>
      </c>
      <c r="E636" s="1" t="inlineStr">
        <is>
          <t>TAYLORMADE</t>
        </is>
      </c>
      <c r="F636" s="1" t="inlineStr">
        <is>
          <t>PUTTER</t>
        </is>
      </c>
      <c r="G636" s="1" t="inlineStr">
        <is>
          <t>GF124010105733</t>
        </is>
      </c>
      <c r="H636" s="1" t="n">
        <v>3</v>
      </c>
      <c r="I636" s="1" t="inlineStr">
        <is>
          <t>หมด</t>
        </is>
      </c>
      <c r="J636" s="13" t="n">
        <v>369</v>
      </c>
      <c r="K636" s="1" t="inlineStr"/>
      <c r="L636" s="13" t="n"/>
      <c r="M636" s="1">
        <f>IF(L636="","ไม่พบใน SG",IF(ABS(J636-L636)&lt;0.005,"ตรงกัน","ไม่ตรง"))</f>
        <v/>
      </c>
      <c r="N636" s="14">
        <f>IF(L636="","",ROUND(L636*'สรุป'!$C$6,-1))</f>
        <v/>
      </c>
      <c r="O636" s="15" t="n"/>
      <c r="P636" s="15" t="n"/>
      <c r="Q636" s="10" t="n"/>
      <c r="R636" s="10" t="n"/>
      <c r="S636" s="16" t="inlineStr">
        <is>
          <t>https://mstgolf.co.th/products/gf1240101057</t>
        </is>
      </c>
      <c r="T636" s="1">
        <f>IF(B636="ไม้กอล์ฟ",J636,"")</f>
        <v/>
      </c>
    </row>
    <row r="637">
      <c r="A637" s="1" t="n">
        <v>1</v>
      </c>
      <c r="B637" s="1" t="inlineStr">
        <is>
          <t>ไม้กอล์ฟ</t>
        </is>
      </c>
      <c r="C637" s="1" t="inlineStr">
        <is>
          <t>gf1240101056</t>
        </is>
      </c>
      <c r="D637" s="1" t="inlineStr">
        <is>
          <t>TAYLORMADE Spider GTX Single Bend White (2023) Women's Putter</t>
        </is>
      </c>
      <c r="E637" s="1" t="inlineStr">
        <is>
          <t>TAYLORMADE</t>
        </is>
      </c>
      <c r="F637" s="1" t="inlineStr">
        <is>
          <t>PUTTER</t>
        </is>
      </c>
      <c r="G637" s="1" t="inlineStr">
        <is>
          <t>GF124010105635</t>
        </is>
      </c>
      <c r="H637" s="1" t="n">
        <v>3</v>
      </c>
      <c r="I637" s="1" t="inlineStr">
        <is>
          <t>หมด</t>
        </is>
      </c>
      <c r="J637" s="13" t="n">
        <v>369</v>
      </c>
      <c r="K637" s="1" t="inlineStr"/>
      <c r="L637" s="13" t="n"/>
      <c r="M637" s="1">
        <f>IF(L637="","ไม่พบใน SG",IF(ABS(J637-L637)&lt;0.005,"ตรงกัน","ไม่ตรง"))</f>
        <v/>
      </c>
      <c r="N637" s="14">
        <f>IF(L637="","",ROUND(L637*'สรุป'!$C$6,-1))</f>
        <v/>
      </c>
      <c r="O637" s="15" t="n"/>
      <c r="P637" s="15" t="n"/>
      <c r="Q637" s="10" t="n"/>
      <c r="R637" s="10" t="n"/>
      <c r="S637" s="16" t="inlineStr">
        <is>
          <t>https://mstgolf.co.th/products/gf1240101056</t>
        </is>
      </c>
      <c r="T637" s="1">
        <f>IF(B637="ไม้กอล์ฟ",J637,"")</f>
        <v/>
      </c>
    </row>
    <row r="638">
      <c r="A638" s="1" t="n">
        <v>1</v>
      </c>
      <c r="B638" s="1" t="inlineStr">
        <is>
          <t>ไม้กอล์ฟ</t>
        </is>
      </c>
      <c r="C638" s="1" t="inlineStr">
        <is>
          <t>gf1240101608</t>
        </is>
      </c>
      <c r="D638" s="1" t="inlineStr">
        <is>
          <t>ODYSSEY Ai-Dual #1 CH (2026) Men's Putter</t>
        </is>
      </c>
      <c r="E638" s="1" t="inlineStr">
        <is>
          <t>ODYSSEY</t>
        </is>
      </c>
      <c r="F638" s="1" t="inlineStr">
        <is>
          <t>PUTTER</t>
        </is>
      </c>
      <c r="G638" s="1" t="inlineStr">
        <is>
          <t>GF124010160834</t>
        </is>
      </c>
      <c r="H638" s="1" t="n">
        <v>1</v>
      </c>
      <c r="I638" s="1" t="inlineStr">
        <is>
          <t>หมด</t>
        </is>
      </c>
      <c r="J638" s="13" t="n">
        <v>368</v>
      </c>
      <c r="K638" s="1" t="inlineStr"/>
      <c r="L638" s="13" t="n">
        <v>368</v>
      </c>
      <c r="M638" s="1">
        <f>IF(L638="","ไม่พบใน SG",IF(ABS(J638-L638)&lt;0.005,"ตรงกัน","ไม่ตรง"))</f>
        <v/>
      </c>
      <c r="N638" s="14">
        <f>IF(L638="","",ROUND(L638*'สรุป'!$C$6,-1))</f>
        <v/>
      </c>
      <c r="O638" s="15" t="n"/>
      <c r="P638" s="15" t="n"/>
      <c r="Q638" s="10" t="n"/>
      <c r="R638" s="10" t="n"/>
      <c r="S638" s="16" t="inlineStr">
        <is>
          <t>https://mstgolf.co.th/products/gf1240101608</t>
        </is>
      </c>
      <c r="T638" s="1">
        <f>IF(B638="ไม้กอล์ฟ",J638,"")</f>
        <v/>
      </c>
    </row>
    <row r="639">
      <c r="A639" s="1" t="n">
        <v>1</v>
      </c>
      <c r="B639" s="1" t="inlineStr">
        <is>
          <t>ไม้กอล์ฟ</t>
        </is>
      </c>
      <c r="C639" s="1" t="inlineStr">
        <is>
          <t>gf1240101615</t>
        </is>
      </c>
      <c r="D639" s="1" t="inlineStr">
        <is>
          <t>ODYSSEY Ai-Dual #7 1/2-Ball S (2026) Putter</t>
        </is>
      </c>
      <c r="E639" s="1" t="inlineStr">
        <is>
          <t>ODYSSEY</t>
        </is>
      </c>
      <c r="F639" s="1" t="inlineStr">
        <is>
          <t>PUTTER</t>
        </is>
      </c>
      <c r="G639" s="1" t="inlineStr">
        <is>
          <t>GF124010161534</t>
        </is>
      </c>
      <c r="H639" s="1" t="n">
        <v>1</v>
      </c>
      <c r="I639" s="1" t="inlineStr">
        <is>
          <t>หมด</t>
        </is>
      </c>
      <c r="J639" s="13" t="n">
        <v>368</v>
      </c>
      <c r="K639" s="1" t="inlineStr"/>
      <c r="L639" s="13" t="n">
        <v>368</v>
      </c>
      <c r="M639" s="1">
        <f>IF(L639="","ไม่พบใน SG",IF(ABS(J639-L639)&lt;0.005,"ตรงกัน","ไม่ตรง"))</f>
        <v/>
      </c>
      <c r="N639" s="14">
        <f>IF(L639="","",ROUND(L639*'สรุป'!$C$6,-1))</f>
        <v/>
      </c>
      <c r="O639" s="15" t="n"/>
      <c r="P639" s="15" t="n"/>
      <c r="Q639" s="10" t="n"/>
      <c r="R639" s="10" t="n"/>
      <c r="S639" s="16" t="inlineStr">
        <is>
          <t>https://mstgolf.co.th/products/gf1240101615</t>
        </is>
      </c>
      <c r="T639" s="1">
        <f>IF(B639="ไม้กอล์ฟ",J639,"")</f>
        <v/>
      </c>
    </row>
    <row r="640">
      <c r="A640" s="1" t="n">
        <v>1</v>
      </c>
      <c r="B640" s="1" t="inlineStr">
        <is>
          <t>ไม้กอล์ฟ</t>
        </is>
      </c>
      <c r="C640" s="1" t="inlineStr">
        <is>
          <t>gf1240101609</t>
        </is>
      </c>
      <c r="D640" s="1" t="inlineStr">
        <is>
          <t>ODYSSEY Ai-Dual #7 Double Bend (2026) Men's Putter</t>
        </is>
      </c>
      <c r="E640" s="1" t="inlineStr">
        <is>
          <t>ODYSSEY</t>
        </is>
      </c>
      <c r="F640" s="1" t="inlineStr">
        <is>
          <t>PUTTER</t>
        </is>
      </c>
      <c r="G640" s="1" t="inlineStr">
        <is>
          <t>GF124010160934</t>
        </is>
      </c>
      <c r="H640" s="1" t="n">
        <v>1</v>
      </c>
      <c r="I640" s="1" t="inlineStr">
        <is>
          <t>หมด</t>
        </is>
      </c>
      <c r="J640" s="13" t="n">
        <v>368</v>
      </c>
      <c r="K640" s="1" t="inlineStr"/>
      <c r="L640" s="13" t="n">
        <v>368</v>
      </c>
      <c r="M640" s="1">
        <f>IF(L640="","ไม่พบใน SG",IF(ABS(J640-L640)&lt;0.005,"ตรงกัน","ไม่ตรง"))</f>
        <v/>
      </c>
      <c r="N640" s="14">
        <f>IF(L640="","",ROUND(L640*'สรุป'!$C$6,-1))</f>
        <v/>
      </c>
      <c r="O640" s="15" t="n"/>
      <c r="P640" s="15" t="n"/>
      <c r="Q640" s="10" t="n"/>
      <c r="R640" s="10" t="n"/>
      <c r="S640" s="16" t="inlineStr">
        <is>
          <t>https://mstgolf.co.th/products/gf1240101609</t>
        </is>
      </c>
      <c r="T640" s="1">
        <f>IF(B640="ไม้กอล์ฟ",J640,"")</f>
        <v/>
      </c>
    </row>
    <row r="641">
      <c r="A641" s="1" t="n">
        <v>1</v>
      </c>
      <c r="B641" s="1" t="inlineStr">
        <is>
          <t>ไม้กอล์ฟ</t>
        </is>
      </c>
      <c r="C641" s="1" t="inlineStr">
        <is>
          <t>gf1240101610</t>
        </is>
      </c>
      <c r="D641" s="1" t="inlineStr">
        <is>
          <t>ODYSSEY Ai-Dual #7S (2026) Men's Putter</t>
        </is>
      </c>
      <c r="E641" s="1" t="inlineStr">
        <is>
          <t>ODYSSEY</t>
        </is>
      </c>
      <c r="F641" s="1" t="inlineStr">
        <is>
          <t>PUTTER</t>
        </is>
      </c>
      <c r="G641" s="1" t="inlineStr">
        <is>
          <t>GF124010161034</t>
        </is>
      </c>
      <c r="H641" s="1" t="n">
        <v>1</v>
      </c>
      <c r="I641" s="1" t="inlineStr">
        <is>
          <t>หมด</t>
        </is>
      </c>
      <c r="J641" s="13" t="n">
        <v>368</v>
      </c>
      <c r="K641" s="1" t="inlineStr"/>
      <c r="L641" s="13" t="n">
        <v>368</v>
      </c>
      <c r="M641" s="1">
        <f>IF(L641="","ไม่พบใน SG",IF(ABS(J641-L641)&lt;0.005,"ตรงกัน","ไม่ตรง"))</f>
        <v/>
      </c>
      <c r="N641" s="14">
        <f>IF(L641="","",ROUND(L641*'สรุป'!$C$6,-1))</f>
        <v/>
      </c>
      <c r="O641" s="15" t="n"/>
      <c r="P641" s="15" t="n"/>
      <c r="Q641" s="10" t="n"/>
      <c r="R641" s="10" t="n"/>
      <c r="S641" s="16" t="inlineStr">
        <is>
          <t>https://mstgolf.co.th/products/gf1240101610</t>
        </is>
      </c>
      <c r="T641" s="1">
        <f>IF(B641="ไม้กอล์ฟ",J641,"")</f>
        <v/>
      </c>
    </row>
    <row r="642">
      <c r="A642" s="1" t="n">
        <v>1</v>
      </c>
      <c r="B642" s="1" t="inlineStr">
        <is>
          <t>ไม้กอล์ฟ</t>
        </is>
      </c>
      <c r="C642" s="1" t="inlineStr">
        <is>
          <t>gf1240101612</t>
        </is>
      </c>
      <c r="D642" s="1" t="inlineStr">
        <is>
          <t>ODYSSEY Ai-Dual 2-Ball Double Bend (2026) Men's Putter</t>
        </is>
      </c>
      <c r="E642" s="1" t="inlineStr">
        <is>
          <t>ODYSSEY</t>
        </is>
      </c>
      <c r="F642" s="1" t="inlineStr">
        <is>
          <t>PUTTER</t>
        </is>
      </c>
      <c r="G642" s="1" t="inlineStr">
        <is>
          <t>GF124010161234</t>
        </is>
      </c>
      <c r="H642" s="1" t="n">
        <v>1</v>
      </c>
      <c r="I642" s="1" t="inlineStr">
        <is>
          <t>หมด</t>
        </is>
      </c>
      <c r="J642" s="13" t="n">
        <v>368</v>
      </c>
      <c r="K642" s="1" t="inlineStr"/>
      <c r="L642" s="13" t="n">
        <v>368</v>
      </c>
      <c r="M642" s="1">
        <f>IF(L642="","ไม่พบใน SG",IF(ABS(J642-L642)&lt;0.005,"ตรงกัน","ไม่ตรง"))</f>
        <v/>
      </c>
      <c r="N642" s="14">
        <f>IF(L642="","",ROUND(L642*'สรุป'!$C$6,-1))</f>
        <v/>
      </c>
      <c r="O642" s="15" t="n"/>
      <c r="P642" s="15" t="n"/>
      <c r="Q642" s="10" t="n"/>
      <c r="R642" s="10" t="n"/>
      <c r="S642" s="16" t="inlineStr">
        <is>
          <t>https://mstgolf.co.th/products/gf1240101612</t>
        </is>
      </c>
      <c r="T642" s="1">
        <f>IF(B642="ไม้กอล์ฟ",J642,"")</f>
        <v/>
      </c>
    </row>
    <row r="643">
      <c r="A643" s="1" t="n">
        <v>1</v>
      </c>
      <c r="B643" s="1" t="inlineStr">
        <is>
          <t>ไม้กอล์ฟ</t>
        </is>
      </c>
      <c r="C643" s="1" t="inlineStr">
        <is>
          <t>gf1240101614</t>
        </is>
      </c>
      <c r="D643" s="1" t="inlineStr">
        <is>
          <t>ODYSSEY Ai-Dual Double Wide 1/2-Ball Double Bend  (2026) Men's Putter</t>
        </is>
      </c>
      <c r="E643" s="1" t="inlineStr">
        <is>
          <t>ODYSSEY</t>
        </is>
      </c>
      <c r="F643" s="1" t="inlineStr">
        <is>
          <t>PUTTER</t>
        </is>
      </c>
      <c r="G643" s="1" t="inlineStr">
        <is>
          <t>GF124010161434</t>
        </is>
      </c>
      <c r="H643" s="1" t="n">
        <v>1</v>
      </c>
      <c r="I643" s="1" t="inlineStr">
        <is>
          <t>หมด</t>
        </is>
      </c>
      <c r="J643" s="13" t="n">
        <v>368</v>
      </c>
      <c r="K643" s="1" t="inlineStr"/>
      <c r="L643" s="13" t="n">
        <v>368</v>
      </c>
      <c r="M643" s="1">
        <f>IF(L643="","ไม่พบใน SG",IF(ABS(J643-L643)&lt;0.005,"ตรงกัน","ไม่ตรง"))</f>
        <v/>
      </c>
      <c r="N643" s="14">
        <f>IF(L643="","",ROUND(L643*'สรุป'!$C$6,-1))</f>
        <v/>
      </c>
      <c r="O643" s="15" t="n"/>
      <c r="P643" s="15" t="n"/>
      <c r="Q643" s="10" t="n"/>
      <c r="R643" s="10" t="n"/>
      <c r="S643" s="16" t="inlineStr">
        <is>
          <t>https://mstgolf.co.th/products/gf1240101614</t>
        </is>
      </c>
      <c r="T643" s="1">
        <f>IF(B643="ไม้กอล์ฟ",J643,"")</f>
        <v/>
      </c>
    </row>
    <row r="644">
      <c r="A644" s="1" t="n">
        <v>1</v>
      </c>
      <c r="B644" s="1" t="inlineStr">
        <is>
          <t>ไม้กอล์ฟ</t>
        </is>
      </c>
      <c r="C644" s="1" t="inlineStr">
        <is>
          <t>gf1240101607</t>
        </is>
      </c>
      <c r="D644" s="1" t="inlineStr">
        <is>
          <t>ODYSSEY Ai-Dual Double Wide Double Bend (2026) Putter</t>
        </is>
      </c>
      <c r="E644" s="1" t="inlineStr">
        <is>
          <t>ODYSSEY</t>
        </is>
      </c>
      <c r="F644" s="1" t="inlineStr">
        <is>
          <t>PUTTER</t>
        </is>
      </c>
      <c r="G644" s="1" t="inlineStr">
        <is>
          <t>GF124010160734</t>
        </is>
      </c>
      <c r="H644" s="1" t="n">
        <v>1</v>
      </c>
      <c r="I644" s="1" t="inlineStr">
        <is>
          <t>หมด</t>
        </is>
      </c>
      <c r="J644" s="13" t="n">
        <v>368</v>
      </c>
      <c r="K644" s="1" t="inlineStr"/>
      <c r="L644" s="13" t="n">
        <v>368</v>
      </c>
      <c r="M644" s="1">
        <f>IF(L644="","ไม่พบใน SG",IF(ABS(J644-L644)&lt;0.005,"ตรงกัน","ไม่ตรง"))</f>
        <v/>
      </c>
      <c r="N644" s="14">
        <f>IF(L644="","",ROUND(L644*'สรุป'!$C$6,-1))</f>
        <v/>
      </c>
      <c r="O644" s="15" t="n"/>
      <c r="P644" s="15" t="n"/>
      <c r="Q644" s="10" t="n"/>
      <c r="R644" s="10" t="n"/>
      <c r="S644" s="16" t="inlineStr">
        <is>
          <t>https://mstgolf.co.th/products/gf1240101607</t>
        </is>
      </c>
      <c r="T644" s="1">
        <f>IF(B644="ไม้กอล์ฟ",J644,"")</f>
        <v/>
      </c>
    </row>
    <row r="645">
      <c r="A645" s="1" t="n">
        <v>1</v>
      </c>
      <c r="B645" s="1" t="inlineStr">
        <is>
          <t>ไม้กอล์ฟ</t>
        </is>
      </c>
      <c r="C645" s="1" t="inlineStr">
        <is>
          <t>gf1240101613</t>
        </is>
      </c>
      <c r="D645" s="1" t="inlineStr">
        <is>
          <t>ODYSSEY Ai-Dual Jailbird Mini 1/2-Ball Double Bend  (2026) Men's Putter</t>
        </is>
      </c>
      <c r="E645" s="1" t="inlineStr">
        <is>
          <t>ODYSSEY</t>
        </is>
      </c>
      <c r="F645" s="1" t="inlineStr">
        <is>
          <t>PUTTER</t>
        </is>
      </c>
      <c r="G645" s="1" t="inlineStr">
        <is>
          <t>GF124010161334</t>
        </is>
      </c>
      <c r="H645" s="1" t="n">
        <v>1</v>
      </c>
      <c r="I645" s="1" t="inlineStr">
        <is>
          <t>หมด</t>
        </is>
      </c>
      <c r="J645" s="13" t="n">
        <v>368</v>
      </c>
      <c r="K645" s="1" t="inlineStr"/>
      <c r="L645" s="13" t="n"/>
      <c r="M645" s="1">
        <f>IF(L645="","ไม่พบใน SG",IF(ABS(J645-L645)&lt;0.005,"ตรงกัน","ไม่ตรง"))</f>
        <v/>
      </c>
      <c r="N645" s="14">
        <f>IF(L645="","",ROUND(L645*'สรุป'!$C$6,-1))</f>
        <v/>
      </c>
      <c r="O645" s="15" t="n"/>
      <c r="P645" s="15" t="n"/>
      <c r="Q645" s="10" t="n"/>
      <c r="R645" s="10" t="n"/>
      <c r="S645" s="16" t="inlineStr">
        <is>
          <t>https://mstgolf.co.th/products/gf1240101613</t>
        </is>
      </c>
      <c r="T645" s="1">
        <f>IF(B645="ไม้กอล์ฟ",J645,"")</f>
        <v/>
      </c>
    </row>
    <row r="646">
      <c r="A646" s="1" t="n">
        <v>1</v>
      </c>
      <c r="B646" s="1" t="inlineStr">
        <is>
          <t>ไม้กอล์ฟ</t>
        </is>
      </c>
      <c r="C646" s="1" t="inlineStr">
        <is>
          <t>gf1240101611</t>
        </is>
      </c>
      <c r="D646" s="1" t="inlineStr">
        <is>
          <t>ODYSSEY Ai-Dual Jailbird Mini Double Bend (2026) Men's Putter</t>
        </is>
      </c>
      <c r="E646" s="1" t="inlineStr">
        <is>
          <t>ODYSSEY</t>
        </is>
      </c>
      <c r="F646" s="1" t="inlineStr">
        <is>
          <t>PUTTER</t>
        </is>
      </c>
      <c r="G646" s="1" t="inlineStr">
        <is>
          <t>GF124010161134</t>
        </is>
      </c>
      <c r="H646" s="1" t="n">
        <v>1</v>
      </c>
      <c r="I646" s="1" t="inlineStr">
        <is>
          <t>หมด</t>
        </is>
      </c>
      <c r="J646" s="13" t="n">
        <v>368</v>
      </c>
      <c r="K646" s="1" t="inlineStr"/>
      <c r="L646" s="13" t="n">
        <v>368</v>
      </c>
      <c r="M646" s="1">
        <f>IF(L646="","ไม่พบใน SG",IF(ABS(J646-L646)&lt;0.005,"ตรงกัน","ไม่ตรง"))</f>
        <v/>
      </c>
      <c r="N646" s="14">
        <f>IF(L646="","",ROUND(L646*'สรุป'!$C$6,-1))</f>
        <v/>
      </c>
      <c r="O646" s="15" t="n"/>
      <c r="P646" s="15" t="n"/>
      <c r="Q646" s="10" t="n"/>
      <c r="R646" s="10" t="n"/>
      <c r="S646" s="16" t="inlineStr">
        <is>
          <t>https://mstgolf.co.th/products/gf1240101611</t>
        </is>
      </c>
      <c r="T646" s="1">
        <f>IF(B646="ไม้กอล์ฟ",J646,"")</f>
        <v/>
      </c>
    </row>
    <row r="647">
      <c r="A647" s="1" t="n">
        <v>1</v>
      </c>
      <c r="B647" s="1" t="inlineStr">
        <is>
          <t>ไม้กอล์ฟ</t>
        </is>
      </c>
      <c r="C647" s="1" t="inlineStr">
        <is>
          <t>gf1220100865</t>
        </is>
      </c>
      <c r="D647" s="1" t="inlineStr">
        <is>
          <t>COBRA DS-ADAPT MAX (2025) Women's Fairway</t>
        </is>
      </c>
      <c r="E647" s="1" t="inlineStr">
        <is>
          <t>COBRA</t>
        </is>
      </c>
      <c r="F647" s="1" t="inlineStr">
        <is>
          <t>FAIRWAY WOOD</t>
        </is>
      </c>
      <c r="G647" s="1" t="inlineStr">
        <is>
          <t>GF1220100865#3L</t>
        </is>
      </c>
      <c r="H647" s="1" t="n">
        <v>2</v>
      </c>
      <c r="I647" s="1" t="inlineStr">
        <is>
          <t>หมด</t>
        </is>
      </c>
      <c r="J647" s="13" t="n">
        <v>359</v>
      </c>
      <c r="K647" s="1" t="inlineStr"/>
      <c r="L647" s="13" t="n"/>
      <c r="M647" s="1">
        <f>IF(L647="","ไม่พบใน SG",IF(ABS(J647-L647)&lt;0.005,"ตรงกัน","ไม่ตรง"))</f>
        <v/>
      </c>
      <c r="N647" s="14">
        <f>IF(L647="","",ROUND(L647*'สรุป'!$C$6,-1))</f>
        <v/>
      </c>
      <c r="O647" s="15" t="n"/>
      <c r="P647" s="15" t="n"/>
      <c r="Q647" s="10" t="n"/>
      <c r="R647" s="10" t="n"/>
      <c r="S647" s="16" t="inlineStr">
        <is>
          <t>https://mstgolf.co.th/products/gf1220100865</t>
        </is>
      </c>
      <c r="T647" s="1">
        <f>IF(B647="ไม้กอล์ฟ",J647,"")</f>
        <v/>
      </c>
    </row>
    <row r="648">
      <c r="A648" s="1" t="n">
        <v>1</v>
      </c>
      <c r="B648" s="1" t="inlineStr">
        <is>
          <t>ไม้กอล์ฟ</t>
        </is>
      </c>
      <c r="C648" s="1" t="inlineStr">
        <is>
          <t>gf1220100620</t>
        </is>
      </c>
      <c r="D648" s="1" t="inlineStr">
        <is>
          <t>ONOFF ARMS LP423F Blue (2023) Women's Fairway</t>
        </is>
      </c>
      <c r="E648" s="1" t="inlineStr">
        <is>
          <t>ONOFF</t>
        </is>
      </c>
      <c r="F648" s="1" t="inlineStr">
        <is>
          <t>FAIRWAY WOOD</t>
        </is>
      </c>
      <c r="G648" s="1" t="inlineStr">
        <is>
          <t>GF1220100620#3L</t>
        </is>
      </c>
      <c r="H648" s="1" t="n">
        <v>2</v>
      </c>
      <c r="I648" s="1" t="inlineStr">
        <is>
          <t>หมด</t>
        </is>
      </c>
      <c r="J648" s="13" t="n">
        <v>359</v>
      </c>
      <c r="K648" s="1" t="inlineStr"/>
      <c r="L648" s="13" t="n">
        <v>299</v>
      </c>
      <c r="M648" s="1">
        <f>IF(L648="","ไม่พบใน SG",IF(ABS(J648-L648)&lt;0.005,"ตรงกัน","ไม่ตรง"))</f>
        <v/>
      </c>
      <c r="N648" s="14">
        <f>IF(L648="","",ROUND(L648*'สรุป'!$C$6,-1))</f>
        <v/>
      </c>
      <c r="O648" s="15" t="n"/>
      <c r="P648" s="15" t="n"/>
      <c r="Q648" s="10" t="n"/>
      <c r="R648" s="10" t="n"/>
      <c r="S648" s="16" t="inlineStr">
        <is>
          <t>https://mstgolf.co.th/products/gf1220100620</t>
        </is>
      </c>
      <c r="T648" s="1">
        <f>IF(B648="ไม้กอล์ฟ",J648,"")</f>
        <v/>
      </c>
    </row>
    <row r="649">
      <c r="A649" s="1" t="n">
        <v>1</v>
      </c>
      <c r="B649" s="1" t="inlineStr">
        <is>
          <t>ไม้กอล์ฟ</t>
        </is>
      </c>
      <c r="C649" s="1" t="inlineStr">
        <is>
          <t>gf1240101012</t>
        </is>
      </c>
      <c r="D649" s="1" t="inlineStr">
        <is>
          <t>PING Prime Tyne 4 (2022) Men's Putter</t>
        </is>
      </c>
      <c r="E649" s="1" t="inlineStr">
        <is>
          <t>PING</t>
        </is>
      </c>
      <c r="F649" s="1" t="inlineStr">
        <is>
          <t>PUTTER</t>
        </is>
      </c>
      <c r="G649" s="1" t="inlineStr">
        <is>
          <t>GF124010101234</t>
        </is>
      </c>
      <c r="H649" s="1" t="n">
        <v>1</v>
      </c>
      <c r="I649" s="1" t="inlineStr">
        <is>
          <t>หมด</t>
        </is>
      </c>
      <c r="J649" s="13" t="n">
        <v>349</v>
      </c>
      <c r="K649" s="1" t="inlineStr"/>
      <c r="L649" s="13" t="n"/>
      <c r="M649" s="1">
        <f>IF(L649="","ไม่พบใน SG",IF(ABS(J649-L649)&lt;0.005,"ตรงกัน","ไม่ตรง"))</f>
        <v/>
      </c>
      <c r="N649" s="14">
        <f>IF(L649="","",ROUND(L649*'สรุป'!$C$6,-1))</f>
        <v/>
      </c>
      <c r="O649" s="15" t="n"/>
      <c r="P649" s="15" t="n"/>
      <c r="Q649" s="10" t="n"/>
      <c r="R649" s="10" t="n"/>
      <c r="S649" s="16" t="inlineStr">
        <is>
          <t>https://mstgolf.co.th/products/gf1240101012</t>
        </is>
      </c>
      <c r="T649" s="1">
        <f>IF(B649="ไม้กอล์ฟ",J649,"")</f>
        <v/>
      </c>
    </row>
    <row r="650">
      <c r="A650" s="1" t="n">
        <v>1</v>
      </c>
      <c r="B650" s="1" t="inlineStr">
        <is>
          <t>ไม้กอล์ฟ</t>
        </is>
      </c>
      <c r="C650" s="1" t="inlineStr">
        <is>
          <t>gf1240101013</t>
        </is>
      </c>
      <c r="D650" s="1" t="inlineStr">
        <is>
          <t>PING Tomcat 14 (2022) Men's Putter</t>
        </is>
      </c>
      <c r="E650" s="1" t="inlineStr">
        <is>
          <t>PING</t>
        </is>
      </c>
      <c r="F650" s="1" t="inlineStr">
        <is>
          <t>PUTTER</t>
        </is>
      </c>
      <c r="G650" s="1" t="inlineStr">
        <is>
          <t>GF124010101334</t>
        </is>
      </c>
      <c r="H650" s="1" t="n">
        <v>1</v>
      </c>
      <c r="I650" s="1" t="inlineStr">
        <is>
          <t>หมด</t>
        </is>
      </c>
      <c r="J650" s="13" t="n">
        <v>349</v>
      </c>
      <c r="K650" s="1" t="inlineStr"/>
      <c r="L650" s="13" t="n"/>
      <c r="M650" s="1">
        <f>IF(L650="","ไม่พบใน SG",IF(ABS(J650-L650)&lt;0.005,"ตรงกัน","ไม่ตรง"))</f>
        <v/>
      </c>
      <c r="N650" s="14">
        <f>IF(L650="","",ROUND(L650*'สรุป'!$C$6,-1))</f>
        <v/>
      </c>
      <c r="O650" s="15" t="n"/>
      <c r="P650" s="15" t="n"/>
      <c r="Q650" s="10" t="n"/>
      <c r="R650" s="10" t="n"/>
      <c r="S650" s="16" t="inlineStr">
        <is>
          <t>https://mstgolf.co.th/products/gf1240101013</t>
        </is>
      </c>
      <c r="T650" s="1">
        <f>IF(B650="ไม้กอล์ฟ",J650,"")</f>
        <v/>
      </c>
    </row>
    <row r="651">
      <c r="A651" s="1" t="n">
        <v>1</v>
      </c>
      <c r="B651" s="1" t="inlineStr">
        <is>
          <t>ไม้กอล์ฟ</t>
        </is>
      </c>
      <c r="C651" s="1" t="inlineStr">
        <is>
          <t>gf1270100347</t>
        </is>
      </c>
      <c r="D651" s="1" t="inlineStr">
        <is>
          <t>MAJESTY W-Moment Black (2021) Men's Wedge</t>
        </is>
      </c>
      <c r="E651" s="1" t="inlineStr">
        <is>
          <t>MAJESTY</t>
        </is>
      </c>
      <c r="F651" s="1" t="inlineStr">
        <is>
          <t>WEDGES</t>
        </is>
      </c>
      <c r="G651" s="1" t="inlineStr">
        <is>
          <t>GF127010034748</t>
        </is>
      </c>
      <c r="H651" s="1" t="n">
        <v>5</v>
      </c>
      <c r="I651" s="1" t="inlineStr">
        <is>
          <t>หมด</t>
        </is>
      </c>
      <c r="J651" s="13" t="n">
        <v>339</v>
      </c>
      <c r="K651" s="1" t="inlineStr"/>
      <c r="L651" s="13" t="n">
        <v>339</v>
      </c>
      <c r="M651" s="1">
        <f>IF(L651="","ไม่พบใน SG",IF(ABS(J651-L651)&lt;0.005,"ตรงกัน","ไม่ตรง"))</f>
        <v/>
      </c>
      <c r="N651" s="14">
        <f>IF(L651="","",ROUND(L651*'สรุป'!$C$6,-1))</f>
        <v/>
      </c>
      <c r="O651" s="15" t="n"/>
      <c r="P651" s="15" t="n"/>
      <c r="Q651" s="10" t="n"/>
      <c r="R651" s="10" t="n"/>
      <c r="S651" s="16" t="inlineStr">
        <is>
          <t>https://mstgolf.co.th/products/gf1270100347</t>
        </is>
      </c>
      <c r="T651" s="1">
        <f>IF(B651="ไม้กอล์ฟ",J651,"")</f>
        <v/>
      </c>
    </row>
    <row r="652">
      <c r="A652" s="1" t="n">
        <v>1</v>
      </c>
      <c r="B652" s="1" t="inlineStr">
        <is>
          <t>ไม้กอล์ฟ</t>
        </is>
      </c>
      <c r="C652" s="1" t="inlineStr">
        <is>
          <t>gf1270100639</t>
        </is>
      </c>
      <c r="D652" s="1" t="inlineStr">
        <is>
          <t>TITLEIST SM10 Vokey D Grind Limited Edition (2025) Men's Wedge</t>
        </is>
      </c>
      <c r="E652" s="1" t="inlineStr">
        <is>
          <t>TITLEIST</t>
        </is>
      </c>
      <c r="F652" s="1" t="inlineStr">
        <is>
          <t>WEDGES</t>
        </is>
      </c>
      <c r="G652" s="1" t="inlineStr">
        <is>
          <t>GF127010063954</t>
        </is>
      </c>
      <c r="H652" s="1" t="n">
        <v>3</v>
      </c>
      <c r="I652" s="1" t="inlineStr">
        <is>
          <t>หมด</t>
        </is>
      </c>
      <c r="J652" s="13" t="n">
        <v>339</v>
      </c>
      <c r="K652" s="1" t="inlineStr"/>
      <c r="L652" s="13" t="n"/>
      <c r="M652" s="1">
        <f>IF(L652="","ไม่พบใน SG",IF(ABS(J652-L652)&lt;0.005,"ตรงกัน","ไม่ตรง"))</f>
        <v/>
      </c>
      <c r="N652" s="14">
        <f>IF(L652="","",ROUND(L652*'สรุป'!$C$6,-1))</f>
        <v/>
      </c>
      <c r="O652" s="15" t="n"/>
      <c r="P652" s="15" t="n"/>
      <c r="Q652" s="10" t="n"/>
      <c r="R652" s="10" t="n"/>
      <c r="S652" s="16" t="inlineStr">
        <is>
          <t>https://mstgolf.co.th/products/gf1270100639</t>
        </is>
      </c>
      <c r="T652" s="1">
        <f>IF(B652="ไม้กอล์ฟ",J652,"")</f>
        <v/>
      </c>
    </row>
    <row r="653">
      <c r="A653" s="1" t="n">
        <v>1</v>
      </c>
      <c r="B653" s="1" t="inlineStr">
        <is>
          <t>ไม้กอล์ฟ</t>
        </is>
      </c>
      <c r="C653" s="1" t="inlineStr">
        <is>
          <t>gf1270100637</t>
        </is>
      </c>
      <c r="D653" s="1" t="inlineStr">
        <is>
          <t>TITLEIST SM10 Vokey F Grind Limited Edition (2025) Men's Wedge</t>
        </is>
      </c>
      <c r="E653" s="1" t="inlineStr">
        <is>
          <t>TITLEIST</t>
        </is>
      </c>
      <c r="F653" s="1" t="inlineStr">
        <is>
          <t>WEDGES</t>
        </is>
      </c>
      <c r="G653" s="1" t="inlineStr">
        <is>
          <t>GF127010063750</t>
        </is>
      </c>
      <c r="H653" s="1" t="n">
        <v>2</v>
      </c>
      <c r="I653" s="1" t="inlineStr">
        <is>
          <t>หมด</t>
        </is>
      </c>
      <c r="J653" s="13" t="n">
        <v>339</v>
      </c>
      <c r="K653" s="1" t="inlineStr"/>
      <c r="L653" s="13" t="n"/>
      <c r="M653" s="1">
        <f>IF(L653="","ไม่พบใน SG",IF(ABS(J653-L653)&lt;0.005,"ตรงกัน","ไม่ตรง"))</f>
        <v/>
      </c>
      <c r="N653" s="14">
        <f>IF(L653="","",ROUND(L653*'สรุป'!$C$6,-1))</f>
        <v/>
      </c>
      <c r="O653" s="15" t="n"/>
      <c r="P653" s="15" t="n"/>
      <c r="Q653" s="10" t="n"/>
      <c r="R653" s="10" t="n"/>
      <c r="S653" s="16" t="inlineStr">
        <is>
          <t>https://mstgolf.co.th/products/gf1270100637</t>
        </is>
      </c>
      <c r="T653" s="1">
        <f>IF(B653="ไม้กอล์ฟ",J653,"")</f>
        <v/>
      </c>
    </row>
    <row r="654">
      <c r="A654" s="1" t="n">
        <v>1</v>
      </c>
      <c r="B654" s="1" t="inlineStr">
        <is>
          <t>ไม้กอล์ฟ</t>
        </is>
      </c>
      <c r="C654" s="1" t="inlineStr">
        <is>
          <t>gf1270100243</t>
        </is>
      </c>
      <c r="D654" s="1" t="inlineStr">
        <is>
          <t>BETTINARDI HLX 3.0 Chrome C Grind Men's Wedge</t>
        </is>
      </c>
      <c r="E654" s="1" t="inlineStr">
        <is>
          <t>BETTINARDI</t>
        </is>
      </c>
      <c r="F654" s="1" t="inlineStr">
        <is>
          <t>WEDGES</t>
        </is>
      </c>
      <c r="G654" s="1" t="inlineStr">
        <is>
          <t>GF127010024350</t>
        </is>
      </c>
      <c r="H654" s="1" t="n">
        <v>4</v>
      </c>
      <c r="I654" s="1" t="inlineStr">
        <is>
          <t>หมด</t>
        </is>
      </c>
      <c r="J654" s="13" t="n">
        <v>329</v>
      </c>
      <c r="K654" s="1" t="inlineStr"/>
      <c r="L654" s="13" t="n"/>
      <c r="M654" s="1">
        <f>IF(L654="","ไม่พบใน SG",IF(ABS(J654-L654)&lt;0.005,"ตรงกัน","ไม่ตรง"))</f>
        <v/>
      </c>
      <c r="N654" s="14">
        <f>IF(L654="","",ROUND(L654*'สรุป'!$C$6,-1))</f>
        <v/>
      </c>
      <c r="O654" s="15" t="n"/>
      <c r="P654" s="15" t="n"/>
      <c r="Q654" s="10" t="n"/>
      <c r="R654" s="10" t="n"/>
      <c r="S654" s="16" t="inlineStr">
        <is>
          <t>https://mstgolf.co.th/products/gf1270100243</t>
        </is>
      </c>
      <c r="T654" s="1">
        <f>IF(B654="ไม้กอล์ฟ",J654,"")</f>
        <v/>
      </c>
    </row>
    <row r="655">
      <c r="A655" s="1" t="n">
        <v>1</v>
      </c>
      <c r="B655" s="1" t="inlineStr">
        <is>
          <t>ไม้กอล์ฟ</t>
        </is>
      </c>
      <c r="C655" s="1" t="inlineStr">
        <is>
          <t>gf1220100896</t>
        </is>
      </c>
      <c r="D655" s="1" t="inlineStr">
        <is>
          <t>CALLAWAY Elyte (2025) Men's Fairway</t>
        </is>
      </c>
      <c r="E655" s="1" t="inlineStr">
        <is>
          <t>CALLAWAY</t>
        </is>
      </c>
      <c r="F655" s="1" t="inlineStr">
        <is>
          <t>FAIRWAY WOOD</t>
        </is>
      </c>
      <c r="G655" s="1" t="inlineStr">
        <is>
          <t>GF1220100896#3R</t>
        </is>
      </c>
      <c r="H655" s="1" t="n">
        <v>7</v>
      </c>
      <c r="I655" s="1" t="inlineStr">
        <is>
          <t>หมด</t>
        </is>
      </c>
      <c r="J655" s="13" t="n">
        <v>329</v>
      </c>
      <c r="K655" s="1" t="inlineStr"/>
      <c r="L655" s="13" t="n"/>
      <c r="M655" s="1">
        <f>IF(L655="","ไม่พบใน SG",IF(ABS(J655-L655)&lt;0.005,"ตรงกัน","ไม่ตรง"))</f>
        <v/>
      </c>
      <c r="N655" s="14">
        <f>IF(L655="","",ROUND(L655*'สรุป'!$C$6,-1))</f>
        <v/>
      </c>
      <c r="O655" s="15" t="n"/>
      <c r="P655" s="15" t="n"/>
      <c r="Q655" s="10" t="n"/>
      <c r="R655" s="10" t="n"/>
      <c r="S655" s="16" t="inlineStr">
        <is>
          <t>https://mstgolf.co.th/products/gf1220100896</t>
        </is>
      </c>
      <c r="T655" s="1">
        <f>IF(B655="ไม้กอล์ฟ",J655,"")</f>
        <v/>
      </c>
    </row>
    <row r="656">
      <c r="A656" s="1" t="n">
        <v>1</v>
      </c>
      <c r="B656" s="1" t="inlineStr">
        <is>
          <t>ไม้กอล์ฟ</t>
        </is>
      </c>
      <c r="C656" s="1" t="inlineStr">
        <is>
          <t>gf1220100897</t>
        </is>
      </c>
      <c r="D656" s="1" t="inlineStr">
        <is>
          <t>CALLAWAY Elyte Triple Diamond (2025) Men's Fairway</t>
        </is>
      </c>
      <c r="E656" s="1" t="inlineStr">
        <is>
          <t>CALLAWAY</t>
        </is>
      </c>
      <c r="F656" s="1" t="inlineStr">
        <is>
          <t>FAIRWAY WOOD</t>
        </is>
      </c>
      <c r="G656" s="1" t="inlineStr">
        <is>
          <t>GF1220100897#3S</t>
        </is>
      </c>
      <c r="H656" s="1" t="n">
        <v>2</v>
      </c>
      <c r="I656" s="1" t="inlineStr">
        <is>
          <t>หมด</t>
        </is>
      </c>
      <c r="J656" s="13" t="n">
        <v>329</v>
      </c>
      <c r="K656" s="1" t="inlineStr"/>
      <c r="L656" s="13" t="n"/>
      <c r="M656" s="1">
        <f>IF(L656="","ไม่พบใน SG",IF(ABS(J656-L656)&lt;0.005,"ตรงกัน","ไม่ตรง"))</f>
        <v/>
      </c>
      <c r="N656" s="14">
        <f>IF(L656="","",ROUND(L656*'สรุป'!$C$6,-1))</f>
        <v/>
      </c>
      <c r="O656" s="15" t="n"/>
      <c r="P656" s="15" t="n"/>
      <c r="Q656" s="10" t="n"/>
      <c r="R656" s="10" t="n"/>
      <c r="S656" s="16" t="inlineStr">
        <is>
          <t>https://mstgolf.co.th/products/gf1220100897</t>
        </is>
      </c>
      <c r="T656" s="1">
        <f>IF(B656="ไม้กอล์ฟ",J656,"")</f>
        <v/>
      </c>
    </row>
    <row r="657">
      <c r="A657" s="1" t="n">
        <v>1</v>
      </c>
      <c r="B657" s="1" t="inlineStr">
        <is>
          <t>ไม้กอล์ฟ</t>
        </is>
      </c>
      <c r="C657" s="1" t="inlineStr">
        <is>
          <t>gf1220100413</t>
        </is>
      </c>
      <c r="D657" s="1" t="inlineStr">
        <is>
          <t>ONOFF ARMS (2021) Coral Pink Women's Fairway</t>
        </is>
      </c>
      <c r="E657" s="1" t="inlineStr">
        <is>
          <t>ONOFF</t>
        </is>
      </c>
      <c r="F657" s="1" t="inlineStr">
        <is>
          <t>FAIRWAY WOOD</t>
        </is>
      </c>
      <c r="G657" s="1" t="inlineStr">
        <is>
          <t>GF1220100413#3L</t>
        </is>
      </c>
      <c r="H657" s="1" t="n">
        <v>2</v>
      </c>
      <c r="I657" s="1" t="inlineStr">
        <is>
          <t>หมด</t>
        </is>
      </c>
      <c r="J657" s="13" t="n">
        <v>329</v>
      </c>
      <c r="K657" s="1" t="inlineStr"/>
      <c r="L657" s="13" t="n">
        <v>329</v>
      </c>
      <c r="M657" s="1">
        <f>IF(L657="","ไม่พบใน SG",IF(ABS(J657-L657)&lt;0.005,"ตรงกัน","ไม่ตรง"))</f>
        <v/>
      </c>
      <c r="N657" s="14">
        <f>IF(L657="","",ROUND(L657*'สรุป'!$C$6,-1))</f>
        <v/>
      </c>
      <c r="O657" s="15" t="n"/>
      <c r="P657" s="15" t="n"/>
      <c r="Q657" s="10" t="n"/>
      <c r="R657" s="10" t="n"/>
      <c r="S657" s="16" t="inlineStr">
        <is>
          <t>https://mstgolf.co.th/products/gf1220100413</t>
        </is>
      </c>
      <c r="T657" s="1">
        <f>IF(B657="ไม้กอล์ฟ",J657,"")</f>
        <v/>
      </c>
    </row>
    <row r="658">
      <c r="A658" s="1" t="n">
        <v>1</v>
      </c>
      <c r="B658" s="1" t="inlineStr">
        <is>
          <t>ไม้กอล์ฟ</t>
        </is>
      </c>
      <c r="C658" s="1" t="inlineStr">
        <is>
          <t>gf1230100555</t>
        </is>
      </c>
      <c r="D658" s="1" t="inlineStr">
        <is>
          <t>ONOFF WINGS LP423U Pink (2023) Women's Hybrid</t>
        </is>
      </c>
      <c r="E658" s="1" t="inlineStr">
        <is>
          <t>ONOFF</t>
        </is>
      </c>
      <c r="F658" s="1" t="inlineStr">
        <is>
          <t>UTILITY/HYBRID</t>
        </is>
      </c>
      <c r="G658" s="1" t="inlineStr">
        <is>
          <t>GF123010055521L</t>
        </is>
      </c>
      <c r="H658" s="1" t="n">
        <v>2</v>
      </c>
      <c r="I658" s="1" t="inlineStr">
        <is>
          <t>หมด</t>
        </is>
      </c>
      <c r="J658" s="13" t="n">
        <v>319</v>
      </c>
      <c r="K658" s="1" t="inlineStr"/>
      <c r="L658" s="13" t="n"/>
      <c r="M658" s="1">
        <f>IF(L658="","ไม่พบใน SG",IF(ABS(J658-L658)&lt;0.005,"ตรงกัน","ไม่ตรง"))</f>
        <v/>
      </c>
      <c r="N658" s="14">
        <f>IF(L658="","",ROUND(L658*'สรุป'!$C$6,-1))</f>
        <v/>
      </c>
      <c r="O658" s="15" t="n"/>
      <c r="P658" s="15" t="n"/>
      <c r="Q658" s="10" t="n"/>
      <c r="R658" s="10" t="n"/>
      <c r="S658" s="16" t="inlineStr">
        <is>
          <t>https://mstgolf.co.th/products/gf1230100555</t>
        </is>
      </c>
      <c r="T658" s="1">
        <f>IF(B658="ไม้กอล์ฟ",J658,"")</f>
        <v/>
      </c>
    </row>
    <row r="659">
      <c r="A659" s="1" t="n">
        <v>1</v>
      </c>
      <c r="B659" s="1" t="inlineStr">
        <is>
          <t>ไม้กอล์ฟ</t>
        </is>
      </c>
      <c r="C659" s="1" t="inlineStr">
        <is>
          <t>gf1230100553</t>
        </is>
      </c>
      <c r="D659" s="1" t="inlineStr">
        <is>
          <t>ONOFF WINGS LP423U Purple (2023) Women's Hybrid</t>
        </is>
      </c>
      <c r="E659" s="1" t="inlineStr">
        <is>
          <t>ONOFF</t>
        </is>
      </c>
      <c r="F659" s="1" t="inlineStr">
        <is>
          <t>UTILITY/HYBRID</t>
        </is>
      </c>
      <c r="G659" s="1" t="inlineStr">
        <is>
          <t>GF123010055321L</t>
        </is>
      </c>
      <c r="H659" s="1" t="n">
        <v>3</v>
      </c>
      <c r="I659" s="1" t="inlineStr">
        <is>
          <t>หมด</t>
        </is>
      </c>
      <c r="J659" s="13" t="n">
        <v>319</v>
      </c>
      <c r="K659" s="1" t="inlineStr"/>
      <c r="L659" s="13" t="n">
        <v>249</v>
      </c>
      <c r="M659" s="1">
        <f>IF(L659="","ไม่พบใน SG",IF(ABS(J659-L659)&lt;0.005,"ตรงกัน","ไม่ตรง"))</f>
        <v/>
      </c>
      <c r="N659" s="14">
        <f>IF(L659="","",ROUND(L659*'สรุป'!$C$6,-1))</f>
        <v/>
      </c>
      <c r="O659" s="15" t="n"/>
      <c r="P659" s="15" t="n"/>
      <c r="Q659" s="10" t="n"/>
      <c r="R659" s="10" t="n"/>
      <c r="S659" s="16" t="inlineStr">
        <is>
          <t>https://mstgolf.co.th/products/gf1230100553</t>
        </is>
      </c>
      <c r="T659" s="1">
        <f>IF(B659="ไม้กอล์ฟ",J659,"")</f>
        <v/>
      </c>
    </row>
    <row r="660">
      <c r="A660" s="1" t="n">
        <v>1</v>
      </c>
      <c r="B660" s="1" t="inlineStr">
        <is>
          <t>ไม้กอล์ฟ</t>
        </is>
      </c>
      <c r="C660" s="1" t="inlineStr">
        <is>
          <t>gf1230100554</t>
        </is>
      </c>
      <c r="D660" s="1" t="inlineStr">
        <is>
          <t>ONOFF WINGS LP423U White/Purple (2023) Women's Hybrid</t>
        </is>
      </c>
      <c r="E660" s="1" t="inlineStr">
        <is>
          <t>ONOFF</t>
        </is>
      </c>
      <c r="F660" s="1" t="inlineStr">
        <is>
          <t>UTILITY/HYBRID</t>
        </is>
      </c>
      <c r="G660" s="1" t="inlineStr">
        <is>
          <t>GF123010055421L</t>
        </is>
      </c>
      <c r="H660" s="1" t="n">
        <v>2</v>
      </c>
      <c r="I660" s="1" t="inlineStr">
        <is>
          <t>หมด</t>
        </is>
      </c>
      <c r="J660" s="13" t="n">
        <v>319</v>
      </c>
      <c r="K660" s="1" t="inlineStr"/>
      <c r="L660" s="13" t="n"/>
      <c r="M660" s="1">
        <f>IF(L660="","ไม่พบใน SG",IF(ABS(J660-L660)&lt;0.005,"ตรงกัน","ไม่ตรง"))</f>
        <v/>
      </c>
      <c r="N660" s="14">
        <f>IF(L660="","",ROUND(L660*'สรุป'!$C$6,-1))</f>
        <v/>
      </c>
      <c r="O660" s="15" t="n"/>
      <c r="P660" s="15" t="n"/>
      <c r="Q660" s="10" t="n"/>
      <c r="R660" s="10" t="n"/>
      <c r="S660" s="16" t="inlineStr">
        <is>
          <t>https://mstgolf.co.th/products/gf1230100554</t>
        </is>
      </c>
      <c r="T660" s="1">
        <f>IF(B660="ไม้กอล์ฟ",J660,"")</f>
        <v/>
      </c>
    </row>
    <row r="661">
      <c r="A661" s="1" t="n">
        <v>1</v>
      </c>
      <c r="B661" s="1" t="inlineStr">
        <is>
          <t>ไม้กอล์ฟ</t>
        </is>
      </c>
      <c r="C661" s="1" t="inlineStr">
        <is>
          <t>gf1270100659</t>
        </is>
      </c>
      <c r="D661" s="1" t="inlineStr">
        <is>
          <t>TITLEIST SM10 Black Vapor D Grind Limited Edition (2025) Men's Wedge</t>
        </is>
      </c>
      <c r="E661" s="1" t="inlineStr">
        <is>
          <t>TITLEIST</t>
        </is>
      </c>
      <c r="F661" s="1" t="inlineStr">
        <is>
          <t>WEDGES</t>
        </is>
      </c>
      <c r="G661" s="1" t="inlineStr">
        <is>
          <t>GF127010065954</t>
        </is>
      </c>
      <c r="H661" s="1" t="n">
        <v>3</v>
      </c>
      <c r="I661" s="1" t="inlineStr">
        <is>
          <t>หมด</t>
        </is>
      </c>
      <c r="J661" s="13" t="n">
        <v>319</v>
      </c>
      <c r="K661" s="1" t="inlineStr"/>
      <c r="L661" s="13" t="n"/>
      <c r="M661" s="1">
        <f>IF(L661="","ไม่พบใน SG",IF(ABS(J661-L661)&lt;0.005,"ตรงกัน","ไม่ตรง"))</f>
        <v/>
      </c>
      <c r="N661" s="14">
        <f>IF(L661="","",ROUND(L661*'สรุป'!$C$6,-1))</f>
        <v/>
      </c>
      <c r="O661" s="15" t="n"/>
      <c r="P661" s="15" t="n"/>
      <c r="Q661" s="10" t="n"/>
      <c r="R661" s="10" t="n"/>
      <c r="S661" s="16" t="inlineStr">
        <is>
          <t>https://mstgolf.co.th/products/gf1270100659</t>
        </is>
      </c>
      <c r="T661" s="1">
        <f>IF(B661="ไม้กอล์ฟ",J661,"")</f>
        <v/>
      </c>
    </row>
    <row r="662">
      <c r="A662" s="1" t="n">
        <v>1</v>
      </c>
      <c r="B662" s="1" t="inlineStr">
        <is>
          <t>ไม้กอล์ฟ</t>
        </is>
      </c>
      <c r="C662" s="1" t="inlineStr">
        <is>
          <t>gf1270100658</t>
        </is>
      </c>
      <c r="D662" s="1" t="inlineStr">
        <is>
          <t>TITLEIST SM10 Black Vapor S Grind Limited Edition (2025) Men's Wedge</t>
        </is>
      </c>
      <c r="E662" s="1" t="inlineStr">
        <is>
          <t>TITLEIST</t>
        </is>
      </c>
      <c r="F662" s="1" t="inlineStr">
        <is>
          <t>WEDGES</t>
        </is>
      </c>
      <c r="G662" s="1" t="inlineStr">
        <is>
          <t>GF127010065854</t>
        </is>
      </c>
      <c r="H662" s="1" t="n">
        <v>4</v>
      </c>
      <c r="I662" s="1" t="inlineStr">
        <is>
          <t>หมด</t>
        </is>
      </c>
      <c r="J662" s="13" t="n">
        <v>319</v>
      </c>
      <c r="K662" s="1" t="inlineStr"/>
      <c r="L662" s="13" t="n"/>
      <c r="M662" s="1">
        <f>IF(L662="","ไม่พบใน SG",IF(ABS(J662-L662)&lt;0.005,"ตรงกัน","ไม่ตรง"))</f>
        <v/>
      </c>
      <c r="N662" s="14">
        <f>IF(L662="","",ROUND(L662*'สรุป'!$C$6,-1))</f>
        <v/>
      </c>
      <c r="O662" s="15" t="n"/>
      <c r="P662" s="15" t="n"/>
      <c r="Q662" s="10" t="n"/>
      <c r="R662" s="10" t="n"/>
      <c r="S662" s="16" t="inlineStr">
        <is>
          <t>https://mstgolf.co.th/products/gf1270100658</t>
        </is>
      </c>
      <c r="T662" s="1">
        <f>IF(B662="ไม้กอล์ฟ",J662,"")</f>
        <v/>
      </c>
    </row>
    <row r="663">
      <c r="A663" s="1" t="n">
        <v>1</v>
      </c>
      <c r="B663" s="1" t="inlineStr">
        <is>
          <t>ไม้กอล์ฟ</t>
        </is>
      </c>
      <c r="C663" s="1" t="inlineStr">
        <is>
          <t>gf1240101359</t>
        </is>
      </c>
      <c r="D663" s="1" t="inlineStr">
        <is>
          <t>TAYLORMADE Black Del Monte SB (2024) Men's Putter</t>
        </is>
      </c>
      <c r="E663" s="1" t="inlineStr">
        <is>
          <t>TAYLORMADE</t>
        </is>
      </c>
      <c r="F663" s="1" t="inlineStr">
        <is>
          <t>PUTTER</t>
        </is>
      </c>
      <c r="G663" s="1" t="inlineStr">
        <is>
          <t>GF124010135934</t>
        </is>
      </c>
      <c r="H663" s="1" t="n">
        <v>1</v>
      </c>
      <c r="I663" s="1" t="inlineStr">
        <is>
          <t>หมด</t>
        </is>
      </c>
      <c r="J663" s="13" t="n">
        <v>309</v>
      </c>
      <c r="K663" s="1" t="inlineStr"/>
      <c r="L663" s="13" t="n">
        <v>249</v>
      </c>
      <c r="M663" s="1">
        <f>IF(L663="","ไม่พบใน SG",IF(ABS(J663-L663)&lt;0.005,"ตรงกัน","ไม่ตรง"))</f>
        <v/>
      </c>
      <c r="N663" s="14">
        <f>IF(L663="","",ROUND(L663*'สรุป'!$C$6,-1))</f>
        <v/>
      </c>
      <c r="O663" s="15" t="n"/>
      <c r="P663" s="15" t="n"/>
      <c r="Q663" s="10" t="n"/>
      <c r="R663" s="10" t="n"/>
      <c r="S663" s="16" t="inlineStr">
        <is>
          <t>https://mstgolf.co.th/products/gf1240101359</t>
        </is>
      </c>
      <c r="T663" s="1">
        <f>IF(B663="ไม้กอล์ฟ",J663,"")</f>
        <v/>
      </c>
    </row>
    <row r="664">
      <c r="A664" s="1" t="n">
        <v>1</v>
      </c>
      <c r="B664" s="1" t="inlineStr">
        <is>
          <t>ไม้กอล์ฟ</t>
        </is>
      </c>
      <c r="C664" s="1" t="inlineStr">
        <is>
          <t>gf1240101227</t>
        </is>
      </c>
      <c r="D664" s="1" t="inlineStr">
        <is>
          <t>TAYLORMADE TP Black Del Monte #1 (2024) Men's Putter</t>
        </is>
      </c>
      <c r="E664" s="1" t="inlineStr">
        <is>
          <t>TAYLORMADE</t>
        </is>
      </c>
      <c r="F664" s="1" t="inlineStr">
        <is>
          <t>PUTTER</t>
        </is>
      </c>
      <c r="G664" s="1" t="inlineStr">
        <is>
          <t>GF124010122734</t>
        </is>
      </c>
      <c r="H664" s="1" t="n">
        <v>1</v>
      </c>
      <c r="I664" s="1" t="inlineStr">
        <is>
          <t>หมด</t>
        </is>
      </c>
      <c r="J664" s="13" t="n">
        <v>309</v>
      </c>
      <c r="K664" s="1" t="inlineStr"/>
      <c r="L664" s="13" t="n">
        <v>249</v>
      </c>
      <c r="M664" s="1">
        <f>IF(L664="","ไม่พบใน SG",IF(ABS(J664-L664)&lt;0.005,"ตรงกัน","ไม่ตรง"))</f>
        <v/>
      </c>
      <c r="N664" s="14">
        <f>IF(L664="","",ROUND(L664*'สรุป'!$C$6,-1))</f>
        <v/>
      </c>
      <c r="O664" s="15" t="n"/>
      <c r="P664" s="15" t="n"/>
      <c r="Q664" s="10" t="n"/>
      <c r="R664" s="10" t="n"/>
      <c r="S664" s="16" t="inlineStr">
        <is>
          <t>https://mstgolf.co.th/products/gf1240101227</t>
        </is>
      </c>
      <c r="T664" s="1">
        <f>IF(B664="ไม้กอล์ฟ",J664,"")</f>
        <v/>
      </c>
    </row>
    <row r="665">
      <c r="A665" s="1" t="n">
        <v>1</v>
      </c>
      <c r="B665" s="1" t="inlineStr">
        <is>
          <t>ไม้กอล์ฟ</t>
        </is>
      </c>
      <c r="C665" s="1" t="inlineStr">
        <is>
          <t>gf1240101360</t>
        </is>
      </c>
      <c r="D665" s="1" t="inlineStr">
        <is>
          <t>TAYLORMADE TP Black Palisades #3 (2024) Men's Putter</t>
        </is>
      </c>
      <c r="E665" s="1" t="inlineStr">
        <is>
          <t>TAYLORMADE</t>
        </is>
      </c>
      <c r="F665" s="1" t="inlineStr">
        <is>
          <t>PUTTER</t>
        </is>
      </c>
      <c r="G665" s="1" t="inlineStr">
        <is>
          <t>GF124010136034</t>
        </is>
      </c>
      <c r="H665" s="1" t="n">
        <v>1</v>
      </c>
      <c r="I665" s="1" t="inlineStr">
        <is>
          <t>หมด</t>
        </is>
      </c>
      <c r="J665" s="13" t="n">
        <v>309</v>
      </c>
      <c r="K665" s="1" t="inlineStr"/>
      <c r="L665" s="13" t="n">
        <v>249</v>
      </c>
      <c r="M665" s="1">
        <f>IF(L665="","ไม่พบใน SG",IF(ABS(J665-L665)&lt;0.005,"ตรงกัน","ไม่ตรง"))</f>
        <v/>
      </c>
      <c r="N665" s="14">
        <f>IF(L665="","",ROUND(L665*'สรุป'!$C$6,-1))</f>
        <v/>
      </c>
      <c r="O665" s="15" t="n"/>
      <c r="P665" s="15" t="n"/>
      <c r="Q665" s="10" t="n"/>
      <c r="R665" s="10" t="n"/>
      <c r="S665" s="16" t="inlineStr">
        <is>
          <t>https://mstgolf.co.th/products/gf1240101360</t>
        </is>
      </c>
      <c r="T665" s="1">
        <f>IF(B665="ไม้กอล์ฟ",J665,"")</f>
        <v/>
      </c>
    </row>
    <row r="666">
      <c r="A666" s="1" t="n">
        <v>1</v>
      </c>
      <c r="B666" s="1" t="inlineStr">
        <is>
          <t>ไม้กอล์ฟ</t>
        </is>
      </c>
      <c r="C666" s="1" t="inlineStr">
        <is>
          <t>gf1240101230</t>
        </is>
      </c>
      <c r="D666" s="1" t="inlineStr">
        <is>
          <t>TAYLORMADE TP Black Palisades SB (2024) Men's Putter</t>
        </is>
      </c>
      <c r="E666" s="1" t="inlineStr">
        <is>
          <t>TAYLORMADE</t>
        </is>
      </c>
      <c r="F666" s="1" t="inlineStr">
        <is>
          <t>PUTTER</t>
        </is>
      </c>
      <c r="G666" s="1" t="inlineStr">
        <is>
          <t>GF124010123034</t>
        </is>
      </c>
      <c r="H666" s="1" t="n">
        <v>1</v>
      </c>
      <c r="I666" s="1" t="inlineStr">
        <is>
          <t>หมด</t>
        </is>
      </c>
      <c r="J666" s="13" t="n">
        <v>309</v>
      </c>
      <c r="K666" s="1" t="inlineStr"/>
      <c r="L666" s="13" t="n">
        <v>249</v>
      </c>
      <c r="M666" s="1">
        <f>IF(L666="","ไม่พบใน SG",IF(ABS(J666-L666)&lt;0.005,"ตรงกัน","ไม่ตรง"))</f>
        <v/>
      </c>
      <c r="N666" s="14">
        <f>IF(L666="","",ROUND(L666*'สรุป'!$C$6,-1))</f>
        <v/>
      </c>
      <c r="O666" s="15" t="n"/>
      <c r="P666" s="15" t="n"/>
      <c r="Q666" s="10" t="n"/>
      <c r="R666" s="10" t="n"/>
      <c r="S666" s="16" t="inlineStr">
        <is>
          <t>https://mstgolf.co.th/products/gf1240101230</t>
        </is>
      </c>
      <c r="T666" s="1">
        <f>IF(B666="ไม้กอล์ฟ",J666,"")</f>
        <v/>
      </c>
    </row>
    <row r="667">
      <c r="A667" s="1" t="n">
        <v>1</v>
      </c>
      <c r="B667" s="1" t="inlineStr">
        <is>
          <t>ไม้กอล์ฟ</t>
        </is>
      </c>
      <c r="C667" s="1" t="inlineStr">
        <is>
          <t>gf1240101226</t>
        </is>
      </c>
      <c r="D667" s="1" t="inlineStr">
        <is>
          <t>TAYLORMADE TP Black Soto #1 (2024) Men's Putter</t>
        </is>
      </c>
      <c r="E667" s="1" t="inlineStr">
        <is>
          <t>TAYLORMADE</t>
        </is>
      </c>
      <c r="F667" s="1" t="inlineStr">
        <is>
          <t>PUTTER</t>
        </is>
      </c>
      <c r="G667" s="1" t="inlineStr">
        <is>
          <t>GF124010122634</t>
        </is>
      </c>
      <c r="H667" s="1" t="n">
        <v>1</v>
      </c>
      <c r="I667" s="1" t="inlineStr">
        <is>
          <t>หมด</t>
        </is>
      </c>
      <c r="J667" s="13" t="n">
        <v>309</v>
      </c>
      <c r="K667" s="1" t="inlineStr"/>
      <c r="L667" s="13" t="n">
        <v>249</v>
      </c>
      <c r="M667" s="1">
        <f>IF(L667="","ไม่พบใน SG",IF(ABS(J667-L667)&lt;0.005,"ตรงกัน","ไม่ตรง"))</f>
        <v/>
      </c>
      <c r="N667" s="14">
        <f>IF(L667="","",ROUND(L667*'สรุป'!$C$6,-1))</f>
        <v/>
      </c>
      <c r="O667" s="15" t="n"/>
      <c r="P667" s="15" t="n"/>
      <c r="Q667" s="10" t="n"/>
      <c r="R667" s="10" t="n"/>
      <c r="S667" s="16" t="inlineStr">
        <is>
          <t>https://mstgolf.co.th/products/gf1240101226</t>
        </is>
      </c>
      <c r="T667" s="1">
        <f>IF(B667="ไม้กอล์ฟ",J667,"")</f>
        <v/>
      </c>
    </row>
    <row r="668">
      <c r="A668" s="1" t="n">
        <v>1</v>
      </c>
      <c r="B668" s="1" t="inlineStr">
        <is>
          <t>ไม้กอล์ฟ</t>
        </is>
      </c>
      <c r="C668" s="1" t="inlineStr">
        <is>
          <t>gf1220100731</t>
        </is>
      </c>
      <c r="D668" s="1" t="inlineStr">
        <is>
          <t>COBRA DARKSPEED MAX (2024) Men's Fairway</t>
        </is>
      </c>
      <c r="E668" s="1" t="inlineStr">
        <is>
          <t>COBRA</t>
        </is>
      </c>
      <c r="F668" s="1" t="inlineStr">
        <is>
          <t>FAIRWAY WOOD</t>
        </is>
      </c>
      <c r="G668" s="1" t="inlineStr">
        <is>
          <t>GF1220100731#3R</t>
        </is>
      </c>
      <c r="H668" s="1" t="n">
        <v>2</v>
      </c>
      <c r="I668" s="1" t="inlineStr">
        <is>
          <t>หมด</t>
        </is>
      </c>
      <c r="J668" s="13" t="n">
        <v>299</v>
      </c>
      <c r="K668" s="1" t="inlineStr"/>
      <c r="L668" s="13" t="n">
        <v>299</v>
      </c>
      <c r="M668" s="1">
        <f>IF(L668="","ไม่พบใน SG",IF(ABS(J668-L668)&lt;0.005,"ตรงกัน","ไม่ตรง"))</f>
        <v/>
      </c>
      <c r="N668" s="14">
        <f>IF(L668="","",ROUND(L668*'สรุป'!$C$6,-1))</f>
        <v/>
      </c>
      <c r="O668" s="15" t="n"/>
      <c r="P668" s="15" t="n"/>
      <c r="Q668" s="10" t="n"/>
      <c r="R668" s="10" t="n"/>
      <c r="S668" s="16" t="inlineStr">
        <is>
          <t>https://mstgolf.co.th/products/gf1220100731</t>
        </is>
      </c>
      <c r="T668" s="1">
        <f>IF(B668="ไม้กอล์ฟ",J668,"")</f>
        <v/>
      </c>
    </row>
    <row r="669">
      <c r="A669" s="1" t="n">
        <v>1</v>
      </c>
      <c r="B669" s="1" t="inlineStr">
        <is>
          <t>ไม้กอล์ฟ</t>
        </is>
      </c>
      <c r="C669" s="1" t="inlineStr">
        <is>
          <t>gf1230100787</t>
        </is>
      </c>
      <c r="D669" s="1" t="inlineStr">
        <is>
          <t>COBRA DS-ADAPT (2025) Men's Hybrid</t>
        </is>
      </c>
      <c r="E669" s="1" t="inlineStr">
        <is>
          <t>COBRA</t>
        </is>
      </c>
      <c r="F669" s="1" t="inlineStr">
        <is>
          <t>UTILITY/HYBRID</t>
        </is>
      </c>
      <c r="G669" s="1" t="inlineStr">
        <is>
          <t>GF1230100787#3S</t>
        </is>
      </c>
      <c r="H669" s="1" t="n">
        <v>5</v>
      </c>
      <c r="I669" s="1" t="inlineStr">
        <is>
          <t>หมด</t>
        </is>
      </c>
      <c r="J669" s="13" t="n">
        <v>299</v>
      </c>
      <c r="K669" s="1" t="inlineStr"/>
      <c r="L669" s="13" t="n"/>
      <c r="M669" s="1">
        <f>IF(L669="","ไม่พบใน SG",IF(ABS(J669-L669)&lt;0.005,"ตรงกัน","ไม่ตรง"))</f>
        <v/>
      </c>
      <c r="N669" s="14">
        <f>IF(L669="","",ROUND(L669*'สรุป'!$C$6,-1))</f>
        <v/>
      </c>
      <c r="O669" s="15" t="n"/>
      <c r="P669" s="15" t="n"/>
      <c r="Q669" s="10" t="n"/>
      <c r="R669" s="10" t="n"/>
      <c r="S669" s="16" t="inlineStr">
        <is>
          <t>https://mstgolf.co.th/products/gf1230100787</t>
        </is>
      </c>
      <c r="T669" s="1">
        <f>IF(B669="ไม้กอล์ฟ",J669,"")</f>
        <v/>
      </c>
    </row>
    <row r="670">
      <c r="A670" s="1" t="n">
        <v>1</v>
      </c>
      <c r="B670" s="1" t="inlineStr">
        <is>
          <t>ไม้กอล์ฟ</t>
        </is>
      </c>
      <c r="C670" s="1" t="inlineStr">
        <is>
          <t>gf1230100788</t>
        </is>
      </c>
      <c r="D670" s="1" t="inlineStr">
        <is>
          <t>COBRA DS-ADAPT (2025) Women's Hybrid</t>
        </is>
      </c>
      <c r="E670" s="1" t="inlineStr">
        <is>
          <t>COBRA</t>
        </is>
      </c>
      <c r="F670" s="1" t="inlineStr">
        <is>
          <t>UTILITY/HYBRID</t>
        </is>
      </c>
      <c r="G670" s="1" t="inlineStr">
        <is>
          <t>GF1230100788#3L</t>
        </is>
      </c>
      <c r="H670" s="1" t="n">
        <v>3</v>
      </c>
      <c r="I670" s="1" t="inlineStr">
        <is>
          <t>หมด</t>
        </is>
      </c>
      <c r="J670" s="13" t="n">
        <v>299</v>
      </c>
      <c r="K670" s="1" t="inlineStr"/>
      <c r="L670" s="13" t="n"/>
      <c r="M670" s="1">
        <f>IF(L670="","ไม่พบใน SG",IF(ABS(J670-L670)&lt;0.005,"ตรงกัน","ไม่ตรง"))</f>
        <v/>
      </c>
      <c r="N670" s="14">
        <f>IF(L670="","",ROUND(L670*'สรุป'!$C$6,-1))</f>
        <v/>
      </c>
      <c r="O670" s="15" t="n"/>
      <c r="P670" s="15" t="n"/>
      <c r="Q670" s="10" t="n"/>
      <c r="R670" s="10" t="n"/>
      <c r="S670" s="16" t="inlineStr">
        <is>
          <t>https://mstgolf.co.th/products/gf1230100788</t>
        </is>
      </c>
      <c r="T670" s="1">
        <f>IF(B670="ไม้กอล์ฟ",J670,"")</f>
        <v/>
      </c>
    </row>
    <row r="671">
      <c r="A671" s="1" t="n">
        <v>1</v>
      </c>
      <c r="B671" s="1" t="inlineStr">
        <is>
          <t>ไม้กอล์ฟ</t>
        </is>
      </c>
      <c r="C671" s="1" t="inlineStr">
        <is>
          <t>gf1220100450</t>
        </is>
      </c>
      <c r="D671" s="1" t="inlineStr">
        <is>
          <t>MARUMAN SG M220 (2021) Men's Fairway</t>
        </is>
      </c>
      <c r="E671" s="1" t="inlineStr">
        <is>
          <t>MARUMAN</t>
        </is>
      </c>
      <c r="F671" s="1" t="inlineStr">
        <is>
          <t>FAIRWAY WOOD</t>
        </is>
      </c>
      <c r="G671" s="1" t="inlineStr">
        <is>
          <t>GF1220100450#3R</t>
        </is>
      </c>
      <c r="H671" s="1" t="n">
        <v>7</v>
      </c>
      <c r="I671" s="1" t="inlineStr">
        <is>
          <t>หมด</t>
        </is>
      </c>
      <c r="J671" s="13" t="n">
        <v>299</v>
      </c>
      <c r="K671" s="1" t="inlineStr"/>
      <c r="L671" s="13" t="n">
        <v>299</v>
      </c>
      <c r="M671" s="1">
        <f>IF(L671="","ไม่พบใน SG",IF(ABS(J671-L671)&lt;0.005,"ตรงกัน","ไม่ตรง"))</f>
        <v/>
      </c>
      <c r="N671" s="14">
        <f>IF(L671="","",ROUND(L671*'สรุป'!$C$6,-1))</f>
        <v/>
      </c>
      <c r="O671" s="15" t="n"/>
      <c r="P671" s="15" t="n"/>
      <c r="Q671" s="10" t="n"/>
      <c r="R671" s="10" t="n"/>
      <c r="S671" s="16" t="inlineStr">
        <is>
          <t>https://mstgolf.co.th/products/gf1220100450</t>
        </is>
      </c>
      <c r="T671" s="1">
        <f>IF(B671="ไม้กอล์ฟ",J671,"")</f>
        <v/>
      </c>
    </row>
    <row r="672">
      <c r="A672" s="1" t="n">
        <v>1</v>
      </c>
      <c r="B672" s="1" t="inlineStr">
        <is>
          <t>ไม้กอล์ฟ</t>
        </is>
      </c>
      <c r="C672" s="1" t="inlineStr">
        <is>
          <t>gf1270100630</t>
        </is>
      </c>
      <c r="D672" s="1" t="inlineStr">
        <is>
          <t>TAYLORMADE Milled Grind 5 Chrome Standard Bounce (2025) Men's Wedge</t>
        </is>
      </c>
      <c r="E672" s="1" t="inlineStr">
        <is>
          <t>TAYLORMADE</t>
        </is>
      </c>
      <c r="F672" s="1" t="inlineStr">
        <is>
          <t>WEDGES</t>
        </is>
      </c>
      <c r="G672" s="1" t="inlineStr">
        <is>
          <t>GF127010063052</t>
        </is>
      </c>
      <c r="H672" s="1" t="n">
        <v>3</v>
      </c>
      <c r="I672" s="1" t="inlineStr">
        <is>
          <t>หมด</t>
        </is>
      </c>
      <c r="J672" s="13" t="n">
        <v>299</v>
      </c>
      <c r="K672" s="1" t="inlineStr"/>
      <c r="L672" s="13" t="n">
        <v>299</v>
      </c>
      <c r="M672" s="1">
        <f>IF(L672="","ไม่พบใน SG",IF(ABS(J672-L672)&lt;0.005,"ตรงกัน","ไม่ตรง"))</f>
        <v/>
      </c>
      <c r="N672" s="14">
        <f>IF(L672="","",ROUND(L672*'สรุป'!$C$6,-1))</f>
        <v/>
      </c>
      <c r="O672" s="15" t="n"/>
      <c r="P672" s="15" t="n"/>
      <c r="Q672" s="10" t="n"/>
      <c r="R672" s="10" t="n"/>
      <c r="S672" s="16" t="inlineStr">
        <is>
          <t>https://mstgolf.co.th/products/gf1270100630</t>
        </is>
      </c>
      <c r="T672" s="1">
        <f>IF(B672="ไม้กอล์ฟ",J672,"")</f>
        <v/>
      </c>
    </row>
    <row r="673">
      <c r="A673" s="1" t="n">
        <v>1</v>
      </c>
      <c r="B673" s="1" t="inlineStr">
        <is>
          <t>ไม้กอล์ฟ</t>
        </is>
      </c>
      <c r="C673" s="1" t="inlineStr">
        <is>
          <t>gf1230100695</t>
        </is>
      </c>
      <c r="D673" s="1" t="inlineStr">
        <is>
          <t>TAYLORMADE Qi10 Max (2024) Women's Rescue</t>
        </is>
      </c>
      <c r="E673" s="1" t="inlineStr">
        <is>
          <t>TAYLORMADE</t>
        </is>
      </c>
      <c r="F673" s="1" t="inlineStr">
        <is>
          <t>UTILITY/HYBRID</t>
        </is>
      </c>
      <c r="G673" s="1" t="inlineStr">
        <is>
          <t>GF1230100695#4L</t>
        </is>
      </c>
      <c r="H673" s="1" t="n">
        <v>3</v>
      </c>
      <c r="I673" s="1" t="inlineStr">
        <is>
          <t>หมด</t>
        </is>
      </c>
      <c r="J673" s="13" t="n">
        <v>299</v>
      </c>
      <c r="K673" s="1" t="inlineStr"/>
      <c r="L673" s="13" t="n">
        <v>299</v>
      </c>
      <c r="M673" s="1">
        <f>IF(L673="","ไม่พบใน SG",IF(ABS(J673-L673)&lt;0.005,"ตรงกัน","ไม่ตรง"))</f>
        <v/>
      </c>
      <c r="N673" s="14">
        <f>IF(L673="","",ROUND(L673*'สรุป'!$C$6,-1))</f>
        <v/>
      </c>
      <c r="O673" s="15" t="n"/>
      <c r="P673" s="15" t="n"/>
      <c r="Q673" s="10" t="n"/>
      <c r="R673" s="10" t="n"/>
      <c r="S673" s="16" t="inlineStr">
        <is>
          <t>https://mstgolf.co.th/products/gf1230100695</t>
        </is>
      </c>
      <c r="T673" s="1">
        <f>IF(B673="ไม้กอล์ฟ",J673,"")</f>
        <v/>
      </c>
    </row>
    <row r="674">
      <c r="A674" s="1" t="n">
        <v>1</v>
      </c>
      <c r="B674" s="1" t="inlineStr">
        <is>
          <t>ไม้กอล์ฟ</t>
        </is>
      </c>
      <c r="C674" s="1" t="inlineStr">
        <is>
          <t>gf1230100801</t>
        </is>
      </c>
      <c r="D674" s="1" t="inlineStr">
        <is>
          <t>TAYLORMADE Qi35 Max Lite (2025) Men's Rescue</t>
        </is>
      </c>
      <c r="E674" s="1" t="inlineStr">
        <is>
          <t>TAYLORMADE</t>
        </is>
      </c>
      <c r="F674" s="1" t="inlineStr">
        <is>
          <t>UTILITY/HYBRID</t>
        </is>
      </c>
      <c r="G674" s="1" t="inlineStr">
        <is>
          <t>GF1230100801#4R</t>
        </is>
      </c>
      <c r="H674" s="1" t="n">
        <v>2</v>
      </c>
      <c r="I674" s="1" t="inlineStr">
        <is>
          <t>หมด</t>
        </is>
      </c>
      <c r="J674" s="13" t="n">
        <v>299</v>
      </c>
      <c r="K674" s="1" t="inlineStr"/>
      <c r="L674" s="13" t="n"/>
      <c r="M674" s="1">
        <f>IF(L674="","ไม่พบใน SG",IF(ABS(J674-L674)&lt;0.005,"ตรงกัน","ไม่ตรง"))</f>
        <v/>
      </c>
      <c r="N674" s="14">
        <f>IF(L674="","",ROUND(L674*'สรุป'!$C$6,-1))</f>
        <v/>
      </c>
      <c r="O674" s="15" t="n"/>
      <c r="P674" s="15" t="n"/>
      <c r="Q674" s="10" t="n"/>
      <c r="R674" s="10" t="n"/>
      <c r="S674" s="16" t="inlineStr">
        <is>
          <t>https://mstgolf.co.th/products/gf1230100801</t>
        </is>
      </c>
      <c r="T674" s="1">
        <f>IF(B674="ไม้กอล์ฟ",J674,"")</f>
        <v/>
      </c>
    </row>
    <row r="675">
      <c r="A675" s="1" t="n">
        <v>1</v>
      </c>
      <c r="B675" s="1" t="inlineStr">
        <is>
          <t>ไม้กอล์ฟ</t>
        </is>
      </c>
      <c r="C675" s="1" t="inlineStr">
        <is>
          <t>gf1230100802</t>
        </is>
      </c>
      <c r="D675" s="1" t="inlineStr">
        <is>
          <t>TAYLORMADE Qi35 Max Lite (2025) Women's Rescue</t>
        </is>
      </c>
      <c r="E675" s="1" t="inlineStr">
        <is>
          <t>TAYLORMADE</t>
        </is>
      </c>
      <c r="F675" s="1" t="inlineStr">
        <is>
          <t>UTILITY/HYBRID</t>
        </is>
      </c>
      <c r="G675" s="1" t="inlineStr">
        <is>
          <t>GF1230100802#4L</t>
        </is>
      </c>
      <c r="H675" s="1" t="n">
        <v>2</v>
      </c>
      <c r="I675" s="1" t="inlineStr">
        <is>
          <t>หมด</t>
        </is>
      </c>
      <c r="J675" s="13" t="n">
        <v>299</v>
      </c>
      <c r="K675" s="1" t="inlineStr"/>
      <c r="L675" s="13" t="n">
        <v>299</v>
      </c>
      <c r="M675" s="1">
        <f>IF(L675="","ไม่พบใน SG",IF(ABS(J675-L675)&lt;0.005,"ตรงกัน","ไม่ตรง"))</f>
        <v/>
      </c>
      <c r="N675" s="14">
        <f>IF(L675="","",ROUND(L675*'สรุป'!$C$6,-1))</f>
        <v/>
      </c>
      <c r="O675" s="15" t="n"/>
      <c r="P675" s="15" t="n"/>
      <c r="Q675" s="10" t="n"/>
      <c r="R675" s="10" t="n"/>
      <c r="S675" s="16" t="inlineStr">
        <is>
          <t>https://mstgolf.co.th/products/gf1230100802</t>
        </is>
      </c>
      <c r="T675" s="1">
        <f>IF(B675="ไม้กอล์ฟ",J675,"")</f>
        <v/>
      </c>
    </row>
    <row r="676">
      <c r="A676" s="1" t="n">
        <v>1</v>
      </c>
      <c r="B676" s="1" t="inlineStr">
        <is>
          <t>ไม้กอล์ฟ</t>
        </is>
      </c>
      <c r="C676" s="1" t="inlineStr">
        <is>
          <t>gf1240100886</t>
        </is>
      </c>
      <c r="D676" s="1" t="inlineStr">
        <is>
          <t>TAYLORMADE Spider Rollback #3 Short Slant Silver Men's Putter</t>
        </is>
      </c>
      <c r="E676" s="1" t="inlineStr">
        <is>
          <t>TAYLORMADE</t>
        </is>
      </c>
      <c r="F676" s="1" t="inlineStr">
        <is>
          <t>PUTTER</t>
        </is>
      </c>
      <c r="G676" s="1" t="inlineStr">
        <is>
          <t>GF124010088634</t>
        </is>
      </c>
      <c r="H676" s="1" t="n">
        <v>1</v>
      </c>
      <c r="I676" s="1" t="inlineStr">
        <is>
          <t>หมด</t>
        </is>
      </c>
      <c r="J676" s="13" t="n">
        <v>299</v>
      </c>
      <c r="K676" s="1" t="inlineStr"/>
      <c r="L676" s="13" t="n">
        <v>249</v>
      </c>
      <c r="M676" s="1">
        <f>IF(L676="","ไม่พบใน SG",IF(ABS(J676-L676)&lt;0.005,"ตรงกัน","ไม่ตรง"))</f>
        <v/>
      </c>
      <c r="N676" s="14">
        <f>IF(L676="","",ROUND(L676*'สรุป'!$C$6,-1))</f>
        <v/>
      </c>
      <c r="O676" s="15" t="n"/>
      <c r="P676" s="15" t="n"/>
      <c r="Q676" s="10" t="n"/>
      <c r="R676" s="10" t="n"/>
      <c r="S676" s="16" t="inlineStr">
        <is>
          <t>https://mstgolf.co.th/products/gf1240100886</t>
        </is>
      </c>
      <c r="T676" s="1">
        <f>IF(B676="ไม้กอล์ฟ",J676,"")</f>
        <v/>
      </c>
    </row>
    <row r="677">
      <c r="A677" s="1" t="n">
        <v>1</v>
      </c>
      <c r="B677" s="1" t="inlineStr">
        <is>
          <t>ไม้กอล์ฟ</t>
        </is>
      </c>
      <c r="C677" s="1" t="inlineStr">
        <is>
          <t>gf1210100854</t>
        </is>
      </c>
      <c r="D677" s="1" t="inlineStr">
        <is>
          <t>TAYLORMADE Stealth 2 HD Men's Driver</t>
        </is>
      </c>
      <c r="E677" s="1" t="inlineStr">
        <is>
          <t>TAYLORMADE</t>
        </is>
      </c>
      <c r="F677" s="1" t="inlineStr">
        <is>
          <t>DRIVER</t>
        </is>
      </c>
      <c r="G677" s="1" t="inlineStr">
        <is>
          <t>GF12101008549S</t>
        </is>
      </c>
      <c r="H677" s="1" t="n">
        <v>5</v>
      </c>
      <c r="I677" s="1" t="inlineStr">
        <is>
          <t>หมด</t>
        </is>
      </c>
      <c r="J677" s="13" t="n">
        <v>299</v>
      </c>
      <c r="K677" s="1" t="inlineStr"/>
      <c r="L677" s="13" t="n"/>
      <c r="M677" s="1">
        <f>IF(L677="","ไม่พบใน SG",IF(ABS(J677-L677)&lt;0.005,"ตรงกัน","ไม่ตรง"))</f>
        <v/>
      </c>
      <c r="N677" s="14">
        <f>IF(L677="","",ROUND(L677*'สรุป'!$C$6,-1))</f>
        <v/>
      </c>
      <c r="O677" s="15" t="n"/>
      <c r="P677" s="15" t="n"/>
      <c r="Q677" s="10" t="n"/>
      <c r="R677" s="10" t="n"/>
      <c r="S677" s="16" t="inlineStr">
        <is>
          <t>https://mstgolf.co.th/products/gf1210100854</t>
        </is>
      </c>
      <c r="T677" s="1">
        <f>IF(B677="ไม้กอล์ฟ",J677,"")</f>
        <v/>
      </c>
    </row>
    <row r="678">
      <c r="A678" s="1" t="n">
        <v>1</v>
      </c>
      <c r="B678" s="1" t="inlineStr">
        <is>
          <t>ไม้กอล์ฟ</t>
        </is>
      </c>
      <c r="C678" s="1" t="inlineStr">
        <is>
          <t>gf1240101146</t>
        </is>
      </c>
      <c r="D678" s="1" t="inlineStr">
        <is>
          <t>YAMAHA YP-101 (2023) Men's Putter</t>
        </is>
      </c>
      <c r="E678" s="1" t="inlineStr">
        <is>
          <t>YAMAHA</t>
        </is>
      </c>
      <c r="F678" s="1" t="inlineStr">
        <is>
          <t>PUTTER</t>
        </is>
      </c>
      <c r="G678" s="1" t="inlineStr">
        <is>
          <t>GF124010114633</t>
        </is>
      </c>
      <c r="H678" s="1" t="n">
        <v>2</v>
      </c>
      <c r="I678" s="1" t="inlineStr">
        <is>
          <t>หมด</t>
        </is>
      </c>
      <c r="J678" s="13" t="n">
        <v>299</v>
      </c>
      <c r="K678" s="1" t="inlineStr"/>
      <c r="L678" s="13" t="n">
        <v>299</v>
      </c>
      <c r="M678" s="1">
        <f>IF(L678="","ไม่พบใน SG",IF(ABS(J678-L678)&lt;0.005,"ตรงกัน","ไม่ตรง"))</f>
        <v/>
      </c>
      <c r="N678" s="14">
        <f>IF(L678="","",ROUND(L678*'สรุป'!$C$6,-1))</f>
        <v/>
      </c>
      <c r="O678" s="15" t="n"/>
      <c r="P678" s="15" t="n"/>
      <c r="Q678" s="10" t="n"/>
      <c r="R678" s="10" t="n"/>
      <c r="S678" s="16" t="inlineStr">
        <is>
          <t>https://mstgolf.co.th/products/gf1240101146</t>
        </is>
      </c>
      <c r="T678" s="1">
        <f>IF(B678="ไม้กอล์ฟ",J678,"")</f>
        <v/>
      </c>
    </row>
    <row r="679">
      <c r="A679" s="1" t="n">
        <v>1</v>
      </c>
      <c r="B679" s="1" t="inlineStr">
        <is>
          <t>ไม้กอล์ฟ</t>
        </is>
      </c>
      <c r="C679" s="1" t="inlineStr">
        <is>
          <t>gf1230100813</t>
        </is>
      </c>
      <c r="D679" s="1" t="inlineStr">
        <is>
          <t>CALLAWAY Elyte (2025) Men's Hybrid</t>
        </is>
      </c>
      <c r="E679" s="1" t="inlineStr">
        <is>
          <t>CALLAWAY</t>
        </is>
      </c>
      <c r="F679" s="1" t="inlineStr">
        <is>
          <t>UTILITY/HYBRID</t>
        </is>
      </c>
      <c r="G679" s="1" t="inlineStr">
        <is>
          <t>GF1230100813#4R</t>
        </is>
      </c>
      <c r="H679" s="1" t="n">
        <v>4</v>
      </c>
      <c r="I679" s="1" t="inlineStr">
        <is>
          <t>หมด</t>
        </is>
      </c>
      <c r="J679" s="13" t="n">
        <v>285</v>
      </c>
      <c r="K679" s="1" t="inlineStr"/>
      <c r="L679" s="13" t="n"/>
      <c r="M679" s="1">
        <f>IF(L679="","ไม่พบใน SG",IF(ABS(J679-L679)&lt;0.005,"ตรงกัน","ไม่ตรง"))</f>
        <v/>
      </c>
      <c r="N679" s="14">
        <f>IF(L679="","",ROUND(L679*'สรุป'!$C$6,-1))</f>
        <v/>
      </c>
      <c r="O679" s="15" t="n"/>
      <c r="P679" s="15" t="n"/>
      <c r="Q679" s="10" t="n"/>
      <c r="R679" s="10" t="n"/>
      <c r="S679" s="16" t="inlineStr">
        <is>
          <t>https://mstgolf.co.th/products/gf1230100813</t>
        </is>
      </c>
      <c r="T679" s="1">
        <f>IF(B679="ไม้กอล์ฟ",J679,"")</f>
        <v/>
      </c>
    </row>
    <row r="680">
      <c r="A680" s="1" t="n">
        <v>1</v>
      </c>
      <c r="B680" s="1" t="inlineStr">
        <is>
          <t>ไม้กอล์ฟ</t>
        </is>
      </c>
      <c r="C680" s="1" t="inlineStr">
        <is>
          <t>gf1270100529</t>
        </is>
      </c>
      <c r="D680" s="1" t="inlineStr">
        <is>
          <t>PING ChipR Le (2024) Women's Wedge</t>
        </is>
      </c>
      <c r="E680" s="1" t="inlineStr">
        <is>
          <t>PING</t>
        </is>
      </c>
      <c r="F680" s="1" t="inlineStr">
        <is>
          <t>WEDGES</t>
        </is>
      </c>
      <c r="G680" s="1" t="inlineStr">
        <is>
          <t>GF1270100529</t>
        </is>
      </c>
      <c r="H680" s="1" t="n">
        <v>1</v>
      </c>
      <c r="I680" s="1" t="inlineStr">
        <is>
          <t>หมด</t>
        </is>
      </c>
      <c r="J680" s="13" t="n">
        <v>279</v>
      </c>
      <c r="K680" s="1" t="inlineStr"/>
      <c r="L680" s="13" t="n">
        <v>279</v>
      </c>
      <c r="M680" s="1">
        <f>IF(L680="","ไม่พบใน SG",IF(ABS(J680-L680)&lt;0.005,"ตรงกัน","ไม่ตรง"))</f>
        <v/>
      </c>
      <c r="N680" s="14">
        <f>IF(L680="","",ROUND(L680*'สรุป'!$C$6,-1))</f>
        <v/>
      </c>
      <c r="O680" s="15" t="n"/>
      <c r="P680" s="15" t="n"/>
      <c r="Q680" s="10" t="n"/>
      <c r="R680" s="10" t="n"/>
      <c r="S680" s="16" t="inlineStr">
        <is>
          <t>https://mstgolf.co.th/products/gf1270100529</t>
        </is>
      </c>
      <c r="T680" s="1">
        <f>IF(B680="ไม้กอล์ฟ",J680,"")</f>
        <v/>
      </c>
    </row>
    <row r="681">
      <c r="A681" s="1" t="n">
        <v>1</v>
      </c>
      <c r="B681" s="1" t="inlineStr">
        <is>
          <t>ไม้กอล์ฟ</t>
        </is>
      </c>
      <c r="C681" s="1" t="inlineStr">
        <is>
          <t>gf1250100081</t>
        </is>
      </c>
      <c r="D681" s="1" t="inlineStr">
        <is>
          <t>WILSON Prostaff Junior Package Set (Large)</t>
        </is>
      </c>
      <c r="E681" s="1" t="inlineStr">
        <is>
          <t>WILSON</t>
        </is>
      </c>
      <c r="F681" s="1" t="inlineStr">
        <is>
          <t>PACKAGE SET</t>
        </is>
      </c>
      <c r="G681" s="1" t="inlineStr">
        <is>
          <t>GF1250100081</t>
        </is>
      </c>
      <c r="H681" s="1" t="n">
        <v>1</v>
      </c>
      <c r="I681" s="1" t="inlineStr">
        <is>
          <t>หมด</t>
        </is>
      </c>
      <c r="J681" s="13" t="n">
        <v>279</v>
      </c>
      <c r="K681" s="1" t="inlineStr"/>
      <c r="L681" s="13" t="n">
        <v>279</v>
      </c>
      <c r="M681" s="1">
        <f>IF(L681="","ไม่พบใน SG",IF(ABS(J681-L681)&lt;0.005,"ตรงกัน","ไม่ตรง"))</f>
        <v/>
      </c>
      <c r="N681" s="14">
        <f>IF(L681="","",ROUND(L681*'สรุป'!$C$6,-1))</f>
        <v/>
      </c>
      <c r="O681" s="15" t="n"/>
      <c r="P681" s="15" t="n"/>
      <c r="Q681" s="10" t="n"/>
      <c r="R681" s="10" t="n"/>
      <c r="S681" s="16" t="inlineStr">
        <is>
          <t>https://mstgolf.co.th/products/gf1250100081</t>
        </is>
      </c>
      <c r="T681" s="1">
        <f>IF(B681="ไม้กอล์ฟ",J681,"")</f>
        <v/>
      </c>
    </row>
    <row r="682">
      <c r="A682" s="1" t="n">
        <v>1</v>
      </c>
      <c r="B682" s="1" t="inlineStr">
        <is>
          <t>ไม้กอล์ฟ</t>
        </is>
      </c>
      <c r="C682" s="1" t="inlineStr">
        <is>
          <t>gf1270100528</t>
        </is>
      </c>
      <c r="D682" s="1" t="inlineStr">
        <is>
          <t>PING S159 Chrome S Grind (2024) Men's Wedge</t>
        </is>
      </c>
      <c r="E682" s="1" t="inlineStr">
        <is>
          <t>PING</t>
        </is>
      </c>
      <c r="F682" s="1" t="inlineStr">
        <is>
          <t>WEDGES</t>
        </is>
      </c>
      <c r="G682" s="1" t="inlineStr">
        <is>
          <t>GF127010052846</t>
        </is>
      </c>
      <c r="H682" s="1" t="n">
        <v>7</v>
      </c>
      <c r="I682" s="1" t="inlineStr">
        <is>
          <t>หมด</t>
        </is>
      </c>
      <c r="J682" s="13" t="n">
        <v>259</v>
      </c>
      <c r="K682" s="1" t="inlineStr"/>
      <c r="L682" s="13" t="n">
        <v>159</v>
      </c>
      <c r="M682" s="1">
        <f>IF(L682="","ไม่พบใน SG",IF(ABS(J682-L682)&lt;0.005,"ตรงกัน","ไม่ตรง"))</f>
        <v/>
      </c>
      <c r="N682" s="14">
        <f>IF(L682="","",ROUND(L682*'สรุป'!$C$6,-1))</f>
        <v/>
      </c>
      <c r="O682" s="15" t="n"/>
      <c r="P682" s="15" t="n"/>
      <c r="Q682" s="10" t="n"/>
      <c r="R682" s="10" t="n"/>
      <c r="S682" s="16" t="inlineStr">
        <is>
          <t>https://mstgolf.co.th/products/gf1270100528</t>
        </is>
      </c>
      <c r="T682" s="1">
        <f>IF(B682="ไม้กอล์ฟ",J682,"")</f>
        <v/>
      </c>
    </row>
    <row r="683">
      <c r="A683" s="1" t="n">
        <v>1</v>
      </c>
      <c r="B683" s="1" t="inlineStr">
        <is>
          <t>ไม้กอล์ฟ</t>
        </is>
      </c>
      <c r="C683" s="1" t="inlineStr">
        <is>
          <t>gf1240101434</t>
        </is>
      </c>
      <c r="D683" s="1" t="inlineStr">
        <is>
          <t>ODYSSEY DFX #10 S (2025) Men's Putter</t>
        </is>
      </c>
      <c r="E683" s="1" t="inlineStr">
        <is>
          <t>ODYSSEY</t>
        </is>
      </c>
      <c r="F683" s="1" t="inlineStr">
        <is>
          <t>PUTTER</t>
        </is>
      </c>
      <c r="G683" s="1" t="inlineStr">
        <is>
          <t>GF124010143434</t>
        </is>
      </c>
      <c r="H683" s="1" t="n">
        <v>1</v>
      </c>
      <c r="I683" s="1" t="inlineStr">
        <is>
          <t>หมด</t>
        </is>
      </c>
      <c r="J683" s="13" t="n">
        <v>252</v>
      </c>
      <c r="K683" s="1" t="inlineStr"/>
      <c r="L683" s="13" t="n">
        <v>252</v>
      </c>
      <c r="M683" s="1">
        <f>IF(L683="","ไม่พบใน SG",IF(ABS(J683-L683)&lt;0.005,"ตรงกัน","ไม่ตรง"))</f>
        <v/>
      </c>
      <c r="N683" s="14">
        <f>IF(L683="","",ROUND(L683*'สรุป'!$C$6,-1))</f>
        <v/>
      </c>
      <c r="O683" s="15" t="n"/>
      <c r="P683" s="15" t="n"/>
      <c r="Q683" s="10" t="n"/>
      <c r="R683" s="10" t="n"/>
      <c r="S683" s="16" t="inlineStr">
        <is>
          <t>https://mstgolf.co.th/products/gf1240101434</t>
        </is>
      </c>
      <c r="T683" s="1">
        <f>IF(B683="ไม้กอล์ฟ",J683,"")</f>
        <v/>
      </c>
    </row>
    <row r="684">
      <c r="A684" s="1" t="n">
        <v>1</v>
      </c>
      <c r="B684" s="1" t="inlineStr">
        <is>
          <t>ไม้กอล์ฟ</t>
        </is>
      </c>
      <c r="C684" s="1" t="inlineStr">
        <is>
          <t>gf1240101430</t>
        </is>
      </c>
      <c r="D684" s="1" t="inlineStr">
        <is>
          <t>ODYSSEY DFX #1W CH (2025) Men's Putter</t>
        </is>
      </c>
      <c r="E684" s="1" t="inlineStr">
        <is>
          <t>ODYSSEY</t>
        </is>
      </c>
      <c r="F684" s="1" t="inlineStr">
        <is>
          <t>PUTTER</t>
        </is>
      </c>
      <c r="G684" s="1" t="inlineStr">
        <is>
          <t>GF124010143034</t>
        </is>
      </c>
      <c r="H684" s="1" t="n">
        <v>1</v>
      </c>
      <c r="I684" s="1" t="inlineStr">
        <is>
          <t>หมด</t>
        </is>
      </c>
      <c r="J684" s="13" t="n">
        <v>252</v>
      </c>
      <c r="K684" s="1" t="inlineStr"/>
      <c r="L684" s="13" t="n"/>
      <c r="M684" s="1">
        <f>IF(L684="","ไม่พบใน SG",IF(ABS(J684-L684)&lt;0.005,"ตรงกัน","ไม่ตรง"))</f>
        <v/>
      </c>
      <c r="N684" s="14">
        <f>IF(L684="","",ROUND(L684*'สรุป'!$C$6,-1))</f>
        <v/>
      </c>
      <c r="O684" s="15" t="n"/>
      <c r="P684" s="15" t="n"/>
      <c r="Q684" s="10" t="n"/>
      <c r="R684" s="10" t="n"/>
      <c r="S684" s="16" t="inlineStr">
        <is>
          <t>https://mstgolf.co.th/products/gf1240101430</t>
        </is>
      </c>
      <c r="T684" s="1">
        <f>IF(B684="ไม้กอล์ฟ",J684,"")</f>
        <v/>
      </c>
    </row>
    <row r="685">
      <c r="A685" s="1" t="n">
        <v>1</v>
      </c>
      <c r="B685" s="1" t="inlineStr">
        <is>
          <t>ไม้กอล์ฟ</t>
        </is>
      </c>
      <c r="C685" s="1" t="inlineStr">
        <is>
          <t>gf1240100509</t>
        </is>
      </c>
      <c r="D685" s="1" t="inlineStr">
        <is>
          <t>ONOFF AKA OM-5 Blue (2020) Men's Putter</t>
        </is>
      </c>
      <c r="E685" s="1" t="inlineStr">
        <is>
          <t>ONOFF</t>
        </is>
      </c>
      <c r="F685" s="1" t="inlineStr">
        <is>
          <t>PUTTER</t>
        </is>
      </c>
      <c r="G685" s="1" t="inlineStr">
        <is>
          <t>GF124010050935</t>
        </is>
      </c>
      <c r="H685" s="1" t="n">
        <v>4</v>
      </c>
      <c r="I685" s="1" t="inlineStr">
        <is>
          <t>หมด</t>
        </is>
      </c>
      <c r="J685" s="13" t="n">
        <v>249</v>
      </c>
      <c r="K685" s="1" t="inlineStr"/>
      <c r="L685" s="13" t="n">
        <v>249</v>
      </c>
      <c r="M685" s="1">
        <f>IF(L685="","ไม่พบใน SG",IF(ABS(J685-L685)&lt;0.005,"ตรงกัน","ไม่ตรง"))</f>
        <v/>
      </c>
      <c r="N685" s="14">
        <f>IF(L685="","",ROUND(L685*'สรุป'!$C$6,-1))</f>
        <v/>
      </c>
      <c r="O685" s="15" t="n"/>
      <c r="P685" s="15" t="n"/>
      <c r="Q685" s="10" t="n"/>
      <c r="R685" s="10" t="n"/>
      <c r="S685" s="16" t="inlineStr">
        <is>
          <t>https://mstgolf.co.th/products/gf1240100509</t>
        </is>
      </c>
      <c r="T685" s="1">
        <f>IF(B685="ไม้กอล์ฟ",J685,"")</f>
        <v/>
      </c>
    </row>
    <row r="686">
      <c r="A686" s="1" t="n">
        <v>1</v>
      </c>
      <c r="B686" s="1" t="inlineStr">
        <is>
          <t>ไม้กอล์ฟ</t>
        </is>
      </c>
      <c r="C686" s="1" t="inlineStr">
        <is>
          <t>gf1240100652</t>
        </is>
      </c>
      <c r="D686" s="1" t="inlineStr">
        <is>
          <t>ONOFF AKA OM-5 Red (2020) Men's Putter</t>
        </is>
      </c>
      <c r="E686" s="1" t="inlineStr">
        <is>
          <t>ONOFF</t>
        </is>
      </c>
      <c r="F686" s="1" t="inlineStr">
        <is>
          <t>PUTTER</t>
        </is>
      </c>
      <c r="G686" s="1" t="inlineStr">
        <is>
          <t>GF124010065235</t>
        </is>
      </c>
      <c r="H686" s="1" t="n">
        <v>3</v>
      </c>
      <c r="I686" s="1" t="inlineStr">
        <is>
          <t>หมด</t>
        </is>
      </c>
      <c r="J686" s="13" t="n">
        <v>249</v>
      </c>
      <c r="K686" s="1" t="inlineStr"/>
      <c r="L686" s="13" t="n">
        <v>249</v>
      </c>
      <c r="M686" s="1">
        <f>IF(L686="","ไม่พบใน SG",IF(ABS(J686-L686)&lt;0.005,"ตรงกัน","ไม่ตรง"))</f>
        <v/>
      </c>
      <c r="N686" s="14">
        <f>IF(L686="","",ROUND(L686*'สรุป'!$C$6,-1))</f>
        <v/>
      </c>
      <c r="O686" s="15" t="n"/>
      <c r="P686" s="15" t="n"/>
      <c r="Q686" s="10" t="n"/>
      <c r="R686" s="10" t="n"/>
      <c r="S686" s="16" t="inlineStr">
        <is>
          <t>https://mstgolf.co.th/products/gf1240100652</t>
        </is>
      </c>
      <c r="T686" s="1">
        <f>IF(B686="ไม้กอล์ฟ",J686,"")</f>
        <v/>
      </c>
    </row>
    <row r="687">
      <c r="A687" s="1" t="n">
        <v>1</v>
      </c>
      <c r="B687" s="1" t="inlineStr">
        <is>
          <t>ไม้กอล์ฟ</t>
        </is>
      </c>
      <c r="C687" s="1" t="inlineStr">
        <is>
          <t>gf1240101031</t>
        </is>
      </c>
      <c r="D687" s="1" t="inlineStr">
        <is>
          <t>ONOFF OM-6 Purple (2023) Women's Putter</t>
        </is>
      </c>
      <c r="E687" s="1" t="inlineStr">
        <is>
          <t>ONOFF</t>
        </is>
      </c>
      <c r="F687" s="1" t="inlineStr">
        <is>
          <t>PUTTER</t>
        </is>
      </c>
      <c r="G687" s="1" t="inlineStr">
        <is>
          <t>GF124010103133</t>
        </is>
      </c>
      <c r="H687" s="1" t="n">
        <v>2</v>
      </c>
      <c r="I687" s="1" t="inlineStr">
        <is>
          <t>หมด</t>
        </is>
      </c>
      <c r="J687" s="13" t="n">
        <v>249</v>
      </c>
      <c r="K687" s="1" t="inlineStr"/>
      <c r="L687" s="13" t="n">
        <v>249</v>
      </c>
      <c r="M687" s="1">
        <f>IF(L687="","ไม่พบใน SG",IF(ABS(J687-L687)&lt;0.005,"ตรงกัน","ไม่ตรง"))</f>
        <v/>
      </c>
      <c r="N687" s="14">
        <f>IF(L687="","",ROUND(L687*'สรุป'!$C$6,-1))</f>
        <v/>
      </c>
      <c r="O687" s="15" t="n"/>
      <c r="P687" s="15" t="n"/>
      <c r="Q687" s="10" t="n"/>
      <c r="R687" s="10" t="n"/>
      <c r="S687" s="16" t="inlineStr">
        <is>
          <t>https://mstgolf.co.th/products/gf1240101031</t>
        </is>
      </c>
      <c r="T687" s="1">
        <f>IF(B687="ไม้กอล์ฟ",J687,"")</f>
        <v/>
      </c>
    </row>
    <row r="688">
      <c r="A688" s="1" t="n">
        <v>1</v>
      </c>
      <c r="B688" s="1" t="inlineStr">
        <is>
          <t>ไม้กอล์ฟ</t>
        </is>
      </c>
      <c r="C688" s="1" t="inlineStr">
        <is>
          <t>gf1230100657</t>
        </is>
      </c>
      <c r="D688" s="1" t="inlineStr">
        <is>
          <t>MIZUNO Pro Fli-Hi (2024) Men's Hybrid</t>
        </is>
      </c>
      <c r="E688" s="1" t="inlineStr">
        <is>
          <t>MIZUNO</t>
        </is>
      </c>
      <c r="F688" s="1" t="inlineStr">
        <is>
          <t>UTILITY/HYBRID</t>
        </is>
      </c>
      <c r="G688" s="1" t="inlineStr">
        <is>
          <t>GF1230100657#2S</t>
        </is>
      </c>
      <c r="H688" s="1" t="n">
        <v>3</v>
      </c>
      <c r="I688" s="1" t="inlineStr">
        <is>
          <t>หมด</t>
        </is>
      </c>
      <c r="J688" s="13" t="n">
        <v>239</v>
      </c>
      <c r="K688" s="1" t="inlineStr"/>
      <c r="L688" s="13" t="n"/>
      <c r="M688" s="1">
        <f>IF(L688="","ไม่พบใน SG",IF(ABS(J688-L688)&lt;0.005,"ตรงกัน","ไม่ตรง"))</f>
        <v/>
      </c>
      <c r="N688" s="14">
        <f>IF(L688="","",ROUND(L688*'สรุป'!$C$6,-1))</f>
        <v/>
      </c>
      <c r="O688" s="15" t="n"/>
      <c r="P688" s="15" t="n"/>
      <c r="Q688" s="10" t="n"/>
      <c r="R688" s="10" t="n"/>
      <c r="S688" s="16" t="inlineStr">
        <is>
          <t>https://mstgolf.co.th/products/gf1230100657</t>
        </is>
      </c>
      <c r="T688" s="1">
        <f>IF(B688="ไม้กอล์ฟ",J688,"")</f>
        <v/>
      </c>
    </row>
    <row r="689">
      <c r="A689" s="1" t="n">
        <v>1</v>
      </c>
      <c r="B689" s="1" t="inlineStr">
        <is>
          <t>ไม้กอล์ฟ</t>
        </is>
      </c>
      <c r="C689" s="1" t="inlineStr">
        <is>
          <t>gf1250100224</t>
        </is>
      </c>
      <c r="D689" s="1" t="inlineStr">
        <is>
          <t>RAM SDX (2025) Junior Package Set (Ages 9-12)</t>
        </is>
      </c>
      <c r="E689" s="1" t="inlineStr">
        <is>
          <t>RAM</t>
        </is>
      </c>
      <c r="F689" s="1" t="inlineStr">
        <is>
          <t>PACKAGE SET</t>
        </is>
      </c>
      <c r="G689" s="1" t="inlineStr">
        <is>
          <t>GF1250100224</t>
        </is>
      </c>
      <c r="H689" s="1" t="n">
        <v>1</v>
      </c>
      <c r="I689" s="1" t="inlineStr">
        <is>
          <t>หมด</t>
        </is>
      </c>
      <c r="J689" s="13" t="n">
        <v>239</v>
      </c>
      <c r="K689" s="1" t="inlineStr"/>
      <c r="L689" s="13" t="n">
        <v>239</v>
      </c>
      <c r="M689" s="1">
        <f>IF(L689="","ไม่พบใน SG",IF(ABS(J689-L689)&lt;0.005,"ตรงกัน","ไม่ตรง"))</f>
        <v/>
      </c>
      <c r="N689" s="14">
        <f>IF(L689="","",ROUND(L689*'สรุป'!$C$6,-1))</f>
        <v/>
      </c>
      <c r="O689" s="15" t="n"/>
      <c r="P689" s="15" t="n"/>
      <c r="Q689" s="10" t="n"/>
      <c r="R689" s="10" t="n"/>
      <c r="S689" s="16" t="inlineStr">
        <is>
          <t>https://mstgolf.co.th/products/gf1250100224</t>
        </is>
      </c>
      <c r="T689" s="1">
        <f>IF(B689="ไม้กอล์ฟ",J689,"")</f>
        <v/>
      </c>
    </row>
    <row r="690">
      <c r="A690" s="1" t="n">
        <v>1</v>
      </c>
      <c r="B690" s="1" t="inlineStr">
        <is>
          <t>ไม้กอล์ฟ</t>
        </is>
      </c>
      <c r="C690" s="1" t="inlineStr">
        <is>
          <t>gf1270100496</t>
        </is>
      </c>
      <c r="D690" s="1" t="inlineStr">
        <is>
          <t>TAYLORMADE Milled Grind 4 Black Standard Bounce (2023) Men's Wedge</t>
        </is>
      </c>
      <c r="E690" s="1" t="inlineStr">
        <is>
          <t>TAYLORMADE</t>
        </is>
      </c>
      <c r="F690" s="1" t="inlineStr">
        <is>
          <t>WEDGES</t>
        </is>
      </c>
      <c r="G690" s="1" t="inlineStr">
        <is>
          <t>GF127010049650</t>
        </is>
      </c>
      <c r="H690" s="1" t="n">
        <v>6</v>
      </c>
      <c r="I690" s="1" t="inlineStr">
        <is>
          <t>หมด</t>
        </is>
      </c>
      <c r="J690" s="13" t="n">
        <v>229</v>
      </c>
      <c r="K690" s="1" t="inlineStr"/>
      <c r="L690" s="13" t="n">
        <v>199</v>
      </c>
      <c r="M690" s="1">
        <f>IF(L690="","ไม่พบใน SG",IF(ABS(J690-L690)&lt;0.005,"ตรงกัน","ไม่ตรง"))</f>
        <v/>
      </c>
      <c r="N690" s="14">
        <f>IF(L690="","",ROUND(L690*'สรุป'!$C$6,-1))</f>
        <v/>
      </c>
      <c r="O690" s="15" t="n"/>
      <c r="P690" s="15" t="n"/>
      <c r="Q690" s="10" t="n"/>
      <c r="R690" s="10" t="n"/>
      <c r="S690" s="16" t="inlineStr">
        <is>
          <t>https://mstgolf.co.th/products/gf1270100496</t>
        </is>
      </c>
      <c r="T690" s="1">
        <f>IF(B690="ไม้กอล์ฟ",J690,"")</f>
        <v/>
      </c>
    </row>
    <row r="691">
      <c r="A691" s="1" t="n">
        <v>1</v>
      </c>
      <c r="B691" s="1" t="inlineStr">
        <is>
          <t>ไม้กอล์ฟ</t>
        </is>
      </c>
      <c r="C691" s="1" t="inlineStr">
        <is>
          <t>gf1270100492</t>
        </is>
      </c>
      <c r="D691" s="1" t="inlineStr">
        <is>
          <t>TAYLORMADE Milled Grind 4 Chrome Std Bounce (2023) Men's Wedge</t>
        </is>
      </c>
      <c r="E691" s="1" t="inlineStr">
        <is>
          <t>TAYLORMADE</t>
        </is>
      </c>
      <c r="F691" s="1" t="inlineStr">
        <is>
          <t>WEDGES</t>
        </is>
      </c>
      <c r="G691" s="1" t="inlineStr">
        <is>
          <t>GF127010049246</t>
        </is>
      </c>
      <c r="H691" s="1" t="n">
        <v>11</v>
      </c>
      <c r="I691" s="1" t="inlineStr">
        <is>
          <t>หมด</t>
        </is>
      </c>
      <c r="J691" s="13" t="n">
        <v>229</v>
      </c>
      <c r="K691" s="1" t="inlineStr"/>
      <c r="L691" s="13" t="n">
        <v>199</v>
      </c>
      <c r="M691" s="1">
        <f>IF(L691="","ไม่พบใน SG",IF(ABS(J691-L691)&lt;0.005,"ตรงกัน","ไม่ตรง"))</f>
        <v/>
      </c>
      <c r="N691" s="14">
        <f>IF(L691="","",ROUND(L691*'สรุป'!$C$6,-1))</f>
        <v/>
      </c>
      <c r="O691" s="15" t="n"/>
      <c r="P691" s="15" t="n"/>
      <c r="Q691" s="10" t="n"/>
      <c r="R691" s="10" t="n"/>
      <c r="S691" s="16" t="inlineStr">
        <is>
          <t>https://mstgolf.co.th/products/gf1270100492</t>
        </is>
      </c>
      <c r="T691" s="1">
        <f>IF(B691="ไม้กอล์ฟ",J691,"")</f>
        <v/>
      </c>
    </row>
    <row r="692">
      <c r="A692" s="1" t="n">
        <v>1</v>
      </c>
      <c r="B692" s="1" t="inlineStr">
        <is>
          <t>ไม้กอล์ฟ</t>
        </is>
      </c>
      <c r="C692" s="1" t="inlineStr">
        <is>
          <t>gf1270100497</t>
        </is>
      </c>
      <c r="D692" s="1" t="inlineStr">
        <is>
          <t>TAYLORMADE Milled Grind 4 TW Charcoal (2023) Men's Wedge</t>
        </is>
      </c>
      <c r="E692" s="1" t="inlineStr">
        <is>
          <t>TAYLORMADE</t>
        </is>
      </c>
      <c r="F692" s="1" t="inlineStr">
        <is>
          <t>WEDGES</t>
        </is>
      </c>
      <c r="G692" s="1" t="inlineStr">
        <is>
          <t>GF127010049756</t>
        </is>
      </c>
      <c r="H692" s="1" t="n">
        <v>2</v>
      </c>
      <c r="I692" s="1" t="inlineStr">
        <is>
          <t>หมด</t>
        </is>
      </c>
      <c r="J692" s="13" t="n">
        <v>229</v>
      </c>
      <c r="K692" s="1" t="inlineStr"/>
      <c r="L692" s="13" t="n">
        <v>199</v>
      </c>
      <c r="M692" s="1">
        <f>IF(L692="","ไม่พบใน SG",IF(ABS(J692-L692)&lt;0.005,"ตรงกัน","ไม่ตรง"))</f>
        <v/>
      </c>
      <c r="N692" s="14">
        <f>IF(L692="","",ROUND(L692*'สรุป'!$C$6,-1))</f>
        <v/>
      </c>
      <c r="O692" s="15" t="n"/>
      <c r="P692" s="15" t="n"/>
      <c r="Q692" s="10" t="n"/>
      <c r="R692" s="10" t="n"/>
      <c r="S692" s="16" t="inlineStr">
        <is>
          <t>https://mstgolf.co.th/products/gf1270100497</t>
        </is>
      </c>
      <c r="T692" s="1">
        <f>IF(B692="ไม้กอล์ฟ",J692,"")</f>
        <v/>
      </c>
    </row>
    <row r="693">
      <c r="A693" s="1" t="n">
        <v>1</v>
      </c>
      <c r="B693" s="1" t="inlineStr">
        <is>
          <t>ไม้กอล์ฟ</t>
        </is>
      </c>
      <c r="C693" s="1" t="inlineStr">
        <is>
          <t>gf1240100186</t>
        </is>
      </c>
      <c r="D693" s="1" t="inlineStr">
        <is>
          <t>TAYLORMADE Redline Daytona (2018) Men's Putter</t>
        </is>
      </c>
      <c r="E693" s="1" t="inlineStr">
        <is>
          <t>TAYLORMADE</t>
        </is>
      </c>
      <c r="F693" s="1" t="inlineStr">
        <is>
          <t>PUTTER</t>
        </is>
      </c>
      <c r="G693" s="1" t="inlineStr">
        <is>
          <t>GF124010018633</t>
        </is>
      </c>
      <c r="H693" s="1" t="n">
        <v>2</v>
      </c>
      <c r="I693" s="1" t="inlineStr">
        <is>
          <t>หมด</t>
        </is>
      </c>
      <c r="J693" s="13" t="n">
        <v>229</v>
      </c>
      <c r="K693" s="1" t="inlineStr"/>
      <c r="L693" s="13" t="n">
        <v>229</v>
      </c>
      <c r="M693" s="1">
        <f>IF(L693="","ไม่พบใน SG",IF(ABS(J693-L693)&lt;0.005,"ตรงกัน","ไม่ตรง"))</f>
        <v/>
      </c>
      <c r="N693" s="14">
        <f>IF(L693="","",ROUND(L693*'สรุป'!$C$6,-1))</f>
        <v/>
      </c>
      <c r="O693" s="15" t="n"/>
      <c r="P693" s="15" t="n"/>
      <c r="Q693" s="10" t="n"/>
      <c r="R693" s="10" t="n"/>
      <c r="S693" s="16" t="inlineStr">
        <is>
          <t>https://mstgolf.co.th/products/gf1240100186</t>
        </is>
      </c>
      <c r="T693" s="1">
        <f>IF(B693="ไม้กอล์ฟ",J693,"")</f>
        <v/>
      </c>
    </row>
    <row r="694">
      <c r="A694" s="1" t="n">
        <v>1</v>
      </c>
      <c r="B694" s="1" t="inlineStr">
        <is>
          <t>ไม้กอล์ฟ</t>
        </is>
      </c>
      <c r="C694" s="1" t="inlineStr">
        <is>
          <t>gf1240100654</t>
        </is>
      </c>
      <c r="D694" s="1" t="inlineStr">
        <is>
          <t>TAYLORMADE Redline Monte Carlo (2018) Men's Putter</t>
        </is>
      </c>
      <c r="E694" s="1" t="inlineStr">
        <is>
          <t>TAYLORMADE</t>
        </is>
      </c>
      <c r="F694" s="1" t="inlineStr">
        <is>
          <t>PUTTER</t>
        </is>
      </c>
      <c r="G694" s="1" t="inlineStr">
        <is>
          <t>GF124010065434</t>
        </is>
      </c>
      <c r="H694" s="1" t="n">
        <v>1</v>
      </c>
      <c r="I694" s="1" t="inlineStr">
        <is>
          <t>หมด</t>
        </is>
      </c>
      <c r="J694" s="13" t="n">
        <v>229</v>
      </c>
      <c r="K694" s="1" t="inlineStr"/>
      <c r="L694" s="13" t="n">
        <v>229</v>
      </c>
      <c r="M694" s="1">
        <f>IF(L694="","ไม่พบใน SG",IF(ABS(J694-L694)&lt;0.005,"ตรงกัน","ไม่ตรง"))</f>
        <v/>
      </c>
      <c r="N694" s="14">
        <f>IF(L694="","",ROUND(L694*'สรุป'!$C$6,-1))</f>
        <v/>
      </c>
      <c r="O694" s="15" t="n"/>
      <c r="P694" s="15" t="n"/>
      <c r="Q694" s="10" t="n"/>
      <c r="R694" s="10" t="n"/>
      <c r="S694" s="16" t="inlineStr">
        <is>
          <t>https://mstgolf.co.th/products/gf1240100654</t>
        </is>
      </c>
      <c r="T694" s="1">
        <f>IF(B694="ไม้กอล์ฟ",J694,"")</f>
        <v/>
      </c>
    </row>
    <row r="695">
      <c r="A695" s="1" t="n">
        <v>1</v>
      </c>
      <c r="B695" s="1" t="inlineStr">
        <is>
          <t>ไม้กอล์ฟ</t>
        </is>
      </c>
      <c r="C695" s="1" t="inlineStr">
        <is>
          <t>gf1240100187</t>
        </is>
      </c>
      <c r="D695" s="1" t="inlineStr">
        <is>
          <t>TAYLORMADE Redline Monza (2018) Men's Putter</t>
        </is>
      </c>
      <c r="E695" s="1" t="inlineStr">
        <is>
          <t>TAYLORMADE</t>
        </is>
      </c>
      <c r="F695" s="1" t="inlineStr">
        <is>
          <t>PUTTER</t>
        </is>
      </c>
      <c r="G695" s="1" t="inlineStr">
        <is>
          <t>GF124010018734</t>
        </is>
      </c>
      <c r="H695" s="1" t="n">
        <v>1</v>
      </c>
      <c r="I695" s="1" t="inlineStr">
        <is>
          <t>หมด</t>
        </is>
      </c>
      <c r="J695" s="13" t="n">
        <v>229</v>
      </c>
      <c r="K695" s="1" t="inlineStr"/>
      <c r="L695" s="13" t="n">
        <v>229</v>
      </c>
      <c r="M695" s="1">
        <f>IF(L695="","ไม่พบใน SG",IF(ABS(J695-L695)&lt;0.005,"ตรงกัน","ไม่ตรง"))</f>
        <v/>
      </c>
      <c r="N695" s="14">
        <f>IF(L695="","",ROUND(L695*'สรุป'!$C$6,-1))</f>
        <v/>
      </c>
      <c r="O695" s="15" t="n"/>
      <c r="P695" s="15" t="n"/>
      <c r="Q695" s="10" t="n"/>
      <c r="R695" s="10" t="n"/>
      <c r="S695" s="16" t="inlineStr">
        <is>
          <t>https://mstgolf.co.th/products/gf1240100187</t>
        </is>
      </c>
      <c r="T695" s="1">
        <f>IF(B695="ไม้กอล์ฟ",J695,"")</f>
        <v/>
      </c>
    </row>
    <row r="696">
      <c r="A696" s="1" t="n">
        <v>1</v>
      </c>
      <c r="B696" s="1" t="inlineStr">
        <is>
          <t>อุปกรณ์วัดระยะ/เทคโนโลยี</t>
        </is>
      </c>
      <c r="C696" s="1" t="inlineStr">
        <is>
          <t>gf3190400007</t>
        </is>
      </c>
      <c r="D696" s="1" t="inlineStr">
        <is>
          <t>VOICE CADDIE VC4 Voice Golf GPS (Silver)</t>
        </is>
      </c>
      <c r="E696" s="1" t="inlineStr">
        <is>
          <t>VOICE CADDIE</t>
        </is>
      </c>
      <c r="F696" s="1" t="inlineStr">
        <is>
          <t>VOICE</t>
        </is>
      </c>
      <c r="G696" s="1" t="inlineStr">
        <is>
          <t>GF3190400007</t>
        </is>
      </c>
      <c r="H696" s="1" t="n">
        <v>1</v>
      </c>
      <c r="I696" s="1" t="inlineStr">
        <is>
          <t>หมด</t>
        </is>
      </c>
      <c r="J696" s="13" t="n">
        <v>219</v>
      </c>
      <c r="K696" s="1" t="inlineStr"/>
      <c r="L696" s="13" t="n">
        <v>219</v>
      </c>
      <c r="M696" s="1">
        <f>IF(L696="","ไม่พบใน SG",IF(ABS(J696-L696)&lt;0.005,"ตรงกัน","ไม่ตรง"))</f>
        <v/>
      </c>
      <c r="N696" s="14">
        <f>IF(L696="","",ROUND(L696*'สรุป'!$C$6,-1))</f>
        <v/>
      </c>
      <c r="O696" s="15" t="n"/>
      <c r="P696" s="15" t="n"/>
      <c r="Q696" s="10" t="n"/>
      <c r="R696" s="10" t="n"/>
      <c r="S696" s="16" t="inlineStr">
        <is>
          <t>https://mstgolf.co.th/products/gf3190400007</t>
        </is>
      </c>
      <c r="T696" s="1">
        <f>IF(B696="ไม้กอล์ฟ",J696,"")</f>
        <v/>
      </c>
    </row>
    <row r="697">
      <c r="A697" s="1" t="n">
        <v>1</v>
      </c>
      <c r="B697" s="1" t="inlineStr">
        <is>
          <t>ไม้กอล์ฟ</t>
        </is>
      </c>
      <c r="C697" s="1" t="inlineStr">
        <is>
          <t>gf1250100083</t>
        </is>
      </c>
      <c r="D697" s="1" t="inlineStr">
        <is>
          <t>WILSON Prostaff Junior Package Set (Small)</t>
        </is>
      </c>
      <c r="E697" s="1" t="inlineStr">
        <is>
          <t>WILSON</t>
        </is>
      </c>
      <c r="F697" s="1" t="inlineStr">
        <is>
          <t>PACKAGE SET</t>
        </is>
      </c>
      <c r="G697" s="1" t="inlineStr">
        <is>
          <t>GF1250100083</t>
        </is>
      </c>
      <c r="H697" s="1" t="n">
        <v>1</v>
      </c>
      <c r="I697" s="1" t="inlineStr">
        <is>
          <t>หมด</t>
        </is>
      </c>
      <c r="J697" s="13" t="n">
        <v>219</v>
      </c>
      <c r="K697" s="1" t="inlineStr"/>
      <c r="L697" s="13" t="n"/>
      <c r="M697" s="1">
        <f>IF(L697="","ไม่พบใน SG",IF(ABS(J697-L697)&lt;0.005,"ตรงกัน","ไม่ตรง"))</f>
        <v/>
      </c>
      <c r="N697" s="14">
        <f>IF(L697="","",ROUND(L697*'สรุป'!$C$6,-1))</f>
        <v/>
      </c>
      <c r="O697" s="15" t="n"/>
      <c r="P697" s="15" t="n"/>
      <c r="Q697" s="10" t="n"/>
      <c r="R697" s="10" t="n"/>
      <c r="S697" s="16" t="inlineStr">
        <is>
          <t>https://mstgolf.co.th/products/gf1250100083</t>
        </is>
      </c>
      <c r="T697" s="1">
        <f>IF(B697="ไม้กอล์ฟ",J697,"")</f>
        <v/>
      </c>
    </row>
    <row r="698">
      <c r="A698" s="1" t="n">
        <v>1</v>
      </c>
      <c r="B698" s="1" t="inlineStr">
        <is>
          <t>ไม้กอล์ฟ</t>
        </is>
      </c>
      <c r="C698" s="1" t="inlineStr">
        <is>
          <t>gf1270100477</t>
        </is>
      </c>
      <c r="D698" s="1" t="inlineStr">
        <is>
          <t>COBRA KING SNAKEBITE Satin Full Face Versatile (2023) Men's Wedge</t>
        </is>
      </c>
      <c r="E698" s="1" t="inlineStr">
        <is>
          <t>COBRA</t>
        </is>
      </c>
      <c r="F698" s="1" t="inlineStr">
        <is>
          <t>WEDGES</t>
        </is>
      </c>
      <c r="G698" s="1" t="inlineStr">
        <is>
          <t>GF127010047756</t>
        </is>
      </c>
      <c r="H698" s="1" t="n">
        <v>3</v>
      </c>
      <c r="I698" s="1" t="inlineStr">
        <is>
          <t>หมด</t>
        </is>
      </c>
      <c r="J698" s="13" t="n">
        <v>209</v>
      </c>
      <c r="K698" s="1" t="inlineStr"/>
      <c r="L698" s="13" t="n">
        <v>209</v>
      </c>
      <c r="M698" s="1">
        <f>IF(L698="","ไม่พบใน SG",IF(ABS(J698-L698)&lt;0.005,"ตรงกัน","ไม่ตรง"))</f>
        <v/>
      </c>
      <c r="N698" s="14">
        <f>IF(L698="","",ROUND(L698*'สรุป'!$C$6,-1))</f>
        <v/>
      </c>
      <c r="O698" s="15" t="n"/>
      <c r="P698" s="15" t="n"/>
      <c r="Q698" s="10" t="n"/>
      <c r="R698" s="10" t="n"/>
      <c r="S698" s="16" t="inlineStr">
        <is>
          <t>https://mstgolf.co.th/products/gf1270100477</t>
        </is>
      </c>
      <c r="T698" s="1">
        <f>IF(B698="ไม้กอล์ฟ",J698,"")</f>
        <v/>
      </c>
    </row>
    <row r="699">
      <c r="A699" s="1" t="n">
        <v>1</v>
      </c>
      <c r="B699" s="1" t="inlineStr">
        <is>
          <t>ไม้กอล์ฟ</t>
        </is>
      </c>
      <c r="C699" s="1" t="inlineStr">
        <is>
          <t>gf1270100476</t>
        </is>
      </c>
      <c r="D699" s="1" t="inlineStr">
        <is>
          <t>COBRA KING SNAKEBITE Satin Versatile (2023) Men's Wedge</t>
        </is>
      </c>
      <c r="E699" s="1" t="inlineStr">
        <is>
          <t>COBRA</t>
        </is>
      </c>
      <c r="F699" s="1" t="inlineStr">
        <is>
          <t>WEDGES</t>
        </is>
      </c>
      <c r="G699" s="1" t="inlineStr">
        <is>
          <t>GF127010047650</t>
        </is>
      </c>
      <c r="H699" s="1" t="n">
        <v>3</v>
      </c>
      <c r="I699" s="1" t="inlineStr">
        <is>
          <t>หมด</t>
        </is>
      </c>
      <c r="J699" s="13" t="n">
        <v>209</v>
      </c>
      <c r="K699" s="1" t="inlineStr"/>
      <c r="L699" s="13" t="n">
        <v>209</v>
      </c>
      <c r="M699" s="1">
        <f>IF(L699="","ไม่พบใน SG",IF(ABS(J699-L699)&lt;0.005,"ตรงกัน","ไม่ตรง"))</f>
        <v/>
      </c>
      <c r="N699" s="14">
        <f>IF(L699="","",ROUND(L699*'สรุป'!$C$6,-1))</f>
        <v/>
      </c>
      <c r="O699" s="15" t="n"/>
      <c r="P699" s="15" t="n"/>
      <c r="Q699" s="10" t="n"/>
      <c r="R699" s="10" t="n"/>
      <c r="S699" s="16" t="inlineStr">
        <is>
          <t>https://mstgolf.co.th/products/gf1270100476</t>
        </is>
      </c>
      <c r="T699" s="1">
        <f>IF(B699="ไม้กอล์ฟ",J699,"")</f>
        <v/>
      </c>
    </row>
    <row r="700">
      <c r="A700" s="1" t="n">
        <v>1</v>
      </c>
      <c r="B700" s="1" t="inlineStr">
        <is>
          <t>ไม้กอล์ฟ</t>
        </is>
      </c>
      <c r="C700" s="1" t="inlineStr">
        <is>
          <t>gf1230100615</t>
        </is>
      </c>
      <c r="D700" s="1" t="inlineStr">
        <is>
          <t>COBRA KING TEC Black Men's Utility Iron</t>
        </is>
      </c>
      <c r="E700" s="1" t="inlineStr">
        <is>
          <t>COBRA</t>
        </is>
      </c>
      <c r="F700" s="1" t="inlineStr">
        <is>
          <t>UTILITY/HYBRID</t>
        </is>
      </c>
      <c r="G700" s="1" t="inlineStr">
        <is>
          <t>GF1230100615#4S</t>
        </is>
      </c>
      <c r="H700" s="1" t="n">
        <v>7</v>
      </c>
      <c r="I700" s="1" t="inlineStr">
        <is>
          <t>หมด</t>
        </is>
      </c>
      <c r="J700" s="13" t="n">
        <v>199</v>
      </c>
      <c r="K700" s="1" t="inlineStr"/>
      <c r="L700" s="13" t="n"/>
      <c r="M700" s="1">
        <f>IF(L700="","ไม่พบใน SG",IF(ABS(J700-L700)&lt;0.005,"ตรงกัน","ไม่ตรง"))</f>
        <v/>
      </c>
      <c r="N700" s="14">
        <f>IF(L700="","",ROUND(L700*'สรุป'!$C$6,-1))</f>
        <v/>
      </c>
      <c r="O700" s="15" t="n"/>
      <c r="P700" s="15" t="n"/>
      <c r="Q700" s="10" t="n"/>
      <c r="R700" s="10" t="n"/>
      <c r="S700" s="16" t="inlineStr">
        <is>
          <t>https://mstgolf.co.th/products/gf1230100615</t>
        </is>
      </c>
      <c r="T700" s="1">
        <f>IF(B700="ไม้กอล์ฟ",J700,"")</f>
        <v/>
      </c>
    </row>
    <row r="701">
      <c r="A701" s="1" t="n">
        <v>1</v>
      </c>
      <c r="B701" s="1" t="inlineStr">
        <is>
          <t>ไม้กอล์ฟ</t>
        </is>
      </c>
      <c r="C701" s="1" t="inlineStr">
        <is>
          <t>gf1250100225</t>
        </is>
      </c>
      <c r="D701" s="1" t="inlineStr">
        <is>
          <t>RAM SDX (2025) Junior Package Set (Ages 6-8)</t>
        </is>
      </c>
      <c r="E701" s="1" t="inlineStr">
        <is>
          <t>RAM</t>
        </is>
      </c>
      <c r="F701" s="1" t="inlineStr">
        <is>
          <t>PACKAGE SET</t>
        </is>
      </c>
      <c r="G701" s="1" t="inlineStr">
        <is>
          <t>GF1250100225</t>
        </is>
      </c>
      <c r="H701" s="1" t="n">
        <v>1</v>
      </c>
      <c r="I701" s="1" t="inlineStr">
        <is>
          <t>หมด</t>
        </is>
      </c>
      <c r="J701" s="13" t="n">
        <v>199</v>
      </c>
      <c r="K701" s="1" t="inlineStr"/>
      <c r="L701" s="13" t="n">
        <v>199</v>
      </c>
      <c r="M701" s="1">
        <f>IF(L701="","ไม่พบใน SG",IF(ABS(J701-L701)&lt;0.005,"ตรงกัน","ไม่ตรง"))</f>
        <v/>
      </c>
      <c r="N701" s="14">
        <f>IF(L701="","",ROUND(L701*'สรุป'!$C$6,-1))</f>
        <v/>
      </c>
      <c r="O701" s="15" t="n"/>
      <c r="P701" s="15" t="n"/>
      <c r="Q701" s="10" t="n"/>
      <c r="R701" s="10" t="n"/>
      <c r="S701" s="16" t="inlineStr">
        <is>
          <t>https://mstgolf.co.th/products/gf1250100225</t>
        </is>
      </c>
      <c r="T701" s="1">
        <f>IF(B701="ไม้กอล์ฟ",J701,"")</f>
        <v/>
      </c>
    </row>
    <row r="702">
      <c r="A702" s="1" t="n">
        <v>1</v>
      </c>
      <c r="B702" s="1" t="inlineStr">
        <is>
          <t>ไม้กอล์ฟ</t>
        </is>
      </c>
      <c r="C702" s="1" t="inlineStr">
        <is>
          <t>gf1270100549</t>
        </is>
      </c>
      <c r="D702" s="1" t="inlineStr">
        <is>
          <t>TITLEIST SM10 Jet Black K Grind (2024) Men's Wedge</t>
        </is>
      </c>
      <c r="E702" s="1" t="inlineStr">
        <is>
          <t>TITLEIST</t>
        </is>
      </c>
      <c r="F702" s="1" t="inlineStr">
        <is>
          <t>WEDGES</t>
        </is>
      </c>
      <c r="G702" s="1" t="inlineStr">
        <is>
          <t>GF127010054958</t>
        </is>
      </c>
      <c r="H702" s="1" t="n">
        <v>2</v>
      </c>
      <c r="I702" s="1" t="inlineStr">
        <is>
          <t>หมด</t>
        </is>
      </c>
      <c r="J702" s="13" t="n">
        <v>199</v>
      </c>
      <c r="K702" s="1" t="inlineStr"/>
      <c r="L702" s="13" t="n"/>
      <c r="M702" s="1">
        <f>IF(L702="","ไม่พบใน SG",IF(ABS(J702-L702)&lt;0.005,"ตรงกัน","ไม่ตรง"))</f>
        <v/>
      </c>
      <c r="N702" s="14">
        <f>IF(L702="","",ROUND(L702*'สรุป'!$C$6,-1))</f>
        <v/>
      </c>
      <c r="O702" s="15" t="n"/>
      <c r="P702" s="15" t="n"/>
      <c r="Q702" s="10" t="n"/>
      <c r="R702" s="10" t="n"/>
      <c r="S702" s="16" t="inlineStr">
        <is>
          <t>https://mstgolf.co.th/products/gf1270100549</t>
        </is>
      </c>
      <c r="T702" s="1">
        <f>IF(B702="ไม้กอล์ฟ",J702,"")</f>
        <v/>
      </c>
    </row>
    <row r="703">
      <c r="A703" s="1" t="n">
        <v>1</v>
      </c>
      <c r="B703" s="1" t="inlineStr">
        <is>
          <t>ไม้กอล์ฟ</t>
        </is>
      </c>
      <c r="C703" s="1" t="inlineStr">
        <is>
          <t>gf1270100547</t>
        </is>
      </c>
      <c r="D703" s="1" t="inlineStr">
        <is>
          <t>TITLEIST Vokey SM10 Jet Black D Grind (2024) Men's Wedge</t>
        </is>
      </c>
      <c r="E703" s="1" t="inlineStr">
        <is>
          <t>TITLEIST</t>
        </is>
      </c>
      <c r="F703" s="1" t="inlineStr">
        <is>
          <t>WEDGES</t>
        </is>
      </c>
      <c r="G703" s="1" t="inlineStr">
        <is>
          <t>GF127010054754</t>
        </is>
      </c>
      <c r="H703" s="1" t="n">
        <v>4</v>
      </c>
      <c r="I703" s="1" t="inlineStr">
        <is>
          <t>หมด</t>
        </is>
      </c>
      <c r="J703" s="13" t="n">
        <v>199</v>
      </c>
      <c r="K703" s="1" t="inlineStr"/>
      <c r="L703" s="13" t="n"/>
      <c r="M703" s="1">
        <f>IF(L703="","ไม่พบใน SG",IF(ABS(J703-L703)&lt;0.005,"ตรงกัน","ไม่ตรง"))</f>
        <v/>
      </c>
      <c r="N703" s="14">
        <f>IF(L703="","",ROUND(L703*'สรุป'!$C$6,-1))</f>
        <v/>
      </c>
      <c r="O703" s="15" t="n"/>
      <c r="P703" s="15" t="n"/>
      <c r="Q703" s="10" t="n"/>
      <c r="R703" s="10" t="n"/>
      <c r="S703" s="16" t="inlineStr">
        <is>
          <t>https://mstgolf.co.th/products/gf1270100547</t>
        </is>
      </c>
      <c r="T703" s="1">
        <f>IF(B703="ไม้กอล์ฟ",J703,"")</f>
        <v/>
      </c>
    </row>
    <row r="704">
      <c r="A704" s="1" t="n">
        <v>1</v>
      </c>
      <c r="B704" s="1" t="inlineStr">
        <is>
          <t>ไม้กอล์ฟ</t>
        </is>
      </c>
      <c r="C704" s="1" t="inlineStr">
        <is>
          <t>gf1270100548</t>
        </is>
      </c>
      <c r="D704" s="1" t="inlineStr">
        <is>
          <t>TITLEIST Vokey SM10 Jet Black F Grind (2024) Men's Wedge</t>
        </is>
      </c>
      <c r="E704" s="1" t="inlineStr">
        <is>
          <t>TITLEIST</t>
        </is>
      </c>
      <c r="F704" s="1" t="inlineStr">
        <is>
          <t>WEDGES</t>
        </is>
      </c>
      <c r="G704" s="1" t="inlineStr">
        <is>
          <t>GF127010054846</t>
        </is>
      </c>
      <c r="H704" s="1" t="n">
        <v>6</v>
      </c>
      <c r="I704" s="1" t="inlineStr">
        <is>
          <t>หมด</t>
        </is>
      </c>
      <c r="J704" s="13" t="n">
        <v>199</v>
      </c>
      <c r="K704" s="1" t="inlineStr"/>
      <c r="L704" s="13" t="n">
        <v>199</v>
      </c>
      <c r="M704" s="1">
        <f>IF(L704="","ไม่พบใน SG",IF(ABS(J704-L704)&lt;0.005,"ตรงกัน","ไม่ตรง"))</f>
        <v/>
      </c>
      <c r="N704" s="14">
        <f>IF(L704="","",ROUND(L704*'สรุป'!$C$6,-1))</f>
        <v/>
      </c>
      <c r="O704" s="15" t="n"/>
      <c r="P704" s="15" t="n"/>
      <c r="Q704" s="10" t="n"/>
      <c r="R704" s="10" t="n"/>
      <c r="S704" s="16" t="inlineStr">
        <is>
          <t>https://mstgolf.co.th/products/gf1270100548</t>
        </is>
      </c>
      <c r="T704" s="1">
        <f>IF(B704="ไม้กอล์ฟ",J704,"")</f>
        <v/>
      </c>
    </row>
    <row r="705">
      <c r="A705" s="1" t="n">
        <v>1</v>
      </c>
      <c r="B705" s="1" t="inlineStr">
        <is>
          <t>ไม้กอล์ฟ</t>
        </is>
      </c>
      <c r="C705" s="1" t="inlineStr">
        <is>
          <t>gf1270100550</t>
        </is>
      </c>
      <c r="D705" s="1" t="inlineStr">
        <is>
          <t>TITLEIST Vokey SM10 Jet Black M Grind (2024) Men's Wedge</t>
        </is>
      </c>
      <c r="E705" s="1" t="inlineStr">
        <is>
          <t>TITLEIST</t>
        </is>
      </c>
      <c r="F705" s="1" t="inlineStr">
        <is>
          <t>WEDGES</t>
        </is>
      </c>
      <c r="G705" s="1" t="inlineStr">
        <is>
          <t>GF127010055054</t>
        </is>
      </c>
      <c r="H705" s="1" t="n">
        <v>5</v>
      </c>
      <c r="I705" s="1" t="inlineStr">
        <is>
          <t>หมด</t>
        </is>
      </c>
      <c r="J705" s="13" t="n">
        <v>199</v>
      </c>
      <c r="K705" s="1" t="inlineStr"/>
      <c r="L705" s="13" t="n"/>
      <c r="M705" s="1">
        <f>IF(L705="","ไม่พบใน SG",IF(ABS(J705-L705)&lt;0.005,"ตรงกัน","ไม่ตรง"))</f>
        <v/>
      </c>
      <c r="N705" s="14">
        <f>IF(L705="","",ROUND(L705*'สรุป'!$C$6,-1))</f>
        <v/>
      </c>
      <c r="O705" s="15" t="n"/>
      <c r="P705" s="15" t="n"/>
      <c r="Q705" s="10" t="n"/>
      <c r="R705" s="10" t="n"/>
      <c r="S705" s="16" t="inlineStr">
        <is>
          <t>https://mstgolf.co.th/products/gf1270100550</t>
        </is>
      </c>
      <c r="T705" s="1">
        <f>IF(B705="ไม้กอล์ฟ",J705,"")</f>
        <v/>
      </c>
    </row>
    <row r="706">
      <c r="A706" s="1" t="n">
        <v>1</v>
      </c>
      <c r="B706" s="1" t="inlineStr">
        <is>
          <t>ไม้กอล์ฟ</t>
        </is>
      </c>
      <c r="C706" s="1" t="inlineStr">
        <is>
          <t>gf1270100551</t>
        </is>
      </c>
      <c r="D706" s="1" t="inlineStr">
        <is>
          <t>TITLEIST Vokey SM10 Jet Black S Grind (2024) Men's Wedge</t>
        </is>
      </c>
      <c r="E706" s="1" t="inlineStr">
        <is>
          <t>TITLEIST</t>
        </is>
      </c>
      <c r="F706" s="1" t="inlineStr">
        <is>
          <t>WEDGES</t>
        </is>
      </c>
      <c r="G706" s="1" t="inlineStr">
        <is>
          <t>GF127010055154</t>
        </is>
      </c>
      <c r="H706" s="1" t="n">
        <v>4</v>
      </c>
      <c r="I706" s="1" t="inlineStr">
        <is>
          <t>หมด</t>
        </is>
      </c>
      <c r="J706" s="13" t="n">
        <v>199</v>
      </c>
      <c r="K706" s="1" t="inlineStr"/>
      <c r="L706" s="13" t="n"/>
      <c r="M706" s="1">
        <f>IF(L706="","ไม่พบใน SG",IF(ABS(J706-L706)&lt;0.005,"ตรงกัน","ไม่ตรง"))</f>
        <v/>
      </c>
      <c r="N706" s="14">
        <f>IF(L706="","",ROUND(L706*'สรุป'!$C$6,-1))</f>
        <v/>
      </c>
      <c r="O706" s="15" t="n"/>
      <c r="P706" s="15" t="n"/>
      <c r="Q706" s="10" t="n"/>
      <c r="R706" s="10" t="n"/>
      <c r="S706" s="16" t="inlineStr">
        <is>
          <t>https://mstgolf.co.th/products/gf1270100551</t>
        </is>
      </c>
      <c r="T706" s="1">
        <f>IF(B706="ไม้กอล์ฟ",J706,"")</f>
        <v/>
      </c>
    </row>
    <row r="707">
      <c r="A707" s="1" t="n">
        <v>1</v>
      </c>
      <c r="B707" s="1" t="inlineStr">
        <is>
          <t>ไม้กอล์ฟ</t>
        </is>
      </c>
      <c r="C707" s="1" t="inlineStr">
        <is>
          <t>gf1270100542</t>
        </is>
      </c>
      <c r="D707" s="1" t="inlineStr">
        <is>
          <t>TITLEIST Vokey SM10 Nickel D Grind (2024) Men's Wedge</t>
        </is>
      </c>
      <c r="E707" s="1" t="inlineStr">
        <is>
          <t>TITLEIST</t>
        </is>
      </c>
      <c r="F707" s="1" t="inlineStr">
        <is>
          <t>WEDGES</t>
        </is>
      </c>
      <c r="G707" s="1" t="inlineStr">
        <is>
          <t>GF127010054254</t>
        </is>
      </c>
      <c r="H707" s="1" t="n">
        <v>4</v>
      </c>
      <c r="I707" s="1" t="inlineStr">
        <is>
          <t>หมด</t>
        </is>
      </c>
      <c r="J707" s="13" t="n">
        <v>199</v>
      </c>
      <c r="K707" s="1" t="inlineStr"/>
      <c r="L707" s="13" t="n"/>
      <c r="M707" s="1">
        <f>IF(L707="","ไม่พบใน SG",IF(ABS(J707-L707)&lt;0.005,"ตรงกัน","ไม่ตรง"))</f>
        <v/>
      </c>
      <c r="N707" s="14">
        <f>IF(L707="","",ROUND(L707*'สรุป'!$C$6,-1))</f>
        <v/>
      </c>
      <c r="O707" s="15" t="n"/>
      <c r="P707" s="15" t="n"/>
      <c r="Q707" s="10" t="n"/>
      <c r="R707" s="10" t="n"/>
      <c r="S707" s="16" t="inlineStr">
        <is>
          <t>https://mstgolf.co.th/products/gf1270100542</t>
        </is>
      </c>
      <c r="T707" s="1">
        <f>IF(B707="ไม้กอล์ฟ",J707,"")</f>
        <v/>
      </c>
    </row>
    <row r="708">
      <c r="A708" s="1" t="n">
        <v>1</v>
      </c>
      <c r="B708" s="1" t="inlineStr">
        <is>
          <t>ไม้กอล์ฟ</t>
        </is>
      </c>
      <c r="C708" s="1" t="inlineStr">
        <is>
          <t>gf1270100544</t>
        </is>
      </c>
      <c r="D708" s="1" t="inlineStr">
        <is>
          <t>TITLEIST Vokey SM10 Nickel K Grind (2024) Men's Wedge</t>
        </is>
      </c>
      <c r="E708" s="1" t="inlineStr">
        <is>
          <t>TITLEIST</t>
        </is>
      </c>
      <c r="F708" s="1" t="inlineStr">
        <is>
          <t>WEDGES</t>
        </is>
      </c>
      <c r="G708" s="1" t="inlineStr">
        <is>
          <t>GF127010054458</t>
        </is>
      </c>
      <c r="H708" s="1" t="n">
        <v>2</v>
      </c>
      <c r="I708" s="1" t="inlineStr">
        <is>
          <t>หมด</t>
        </is>
      </c>
      <c r="J708" s="13" t="n">
        <v>199</v>
      </c>
      <c r="K708" s="1" t="inlineStr"/>
      <c r="L708" s="13" t="n"/>
      <c r="M708" s="1">
        <f>IF(L708="","ไม่พบใน SG",IF(ABS(J708-L708)&lt;0.005,"ตรงกัน","ไม่ตรง"))</f>
        <v/>
      </c>
      <c r="N708" s="14">
        <f>IF(L708="","",ROUND(L708*'สรุป'!$C$6,-1))</f>
        <v/>
      </c>
      <c r="O708" s="15" t="n"/>
      <c r="P708" s="15" t="n"/>
      <c r="Q708" s="10" t="n"/>
      <c r="R708" s="10" t="n"/>
      <c r="S708" s="16" t="inlineStr">
        <is>
          <t>https://mstgolf.co.th/products/gf1270100544</t>
        </is>
      </c>
      <c r="T708" s="1">
        <f>IF(B708="ไม้กอล์ฟ",J708,"")</f>
        <v/>
      </c>
    </row>
    <row r="709">
      <c r="A709" s="1" t="n">
        <v>1</v>
      </c>
      <c r="B709" s="1" t="inlineStr">
        <is>
          <t>ไม้กอล์ฟ</t>
        </is>
      </c>
      <c r="C709" s="1" t="inlineStr">
        <is>
          <t>gf1270100545</t>
        </is>
      </c>
      <c r="D709" s="1" t="inlineStr">
        <is>
          <t>TITLEIST Vokey SM10 Nickel M Grind (2024) Men's Wedge</t>
        </is>
      </c>
      <c r="E709" s="1" t="inlineStr">
        <is>
          <t>TITLEIST</t>
        </is>
      </c>
      <c r="F709" s="1" t="inlineStr">
        <is>
          <t>WEDGES</t>
        </is>
      </c>
      <c r="G709" s="1" t="inlineStr">
        <is>
          <t>GF127010054554</t>
        </is>
      </c>
      <c r="H709" s="1" t="n">
        <v>5</v>
      </c>
      <c r="I709" s="1" t="inlineStr">
        <is>
          <t>หมด</t>
        </is>
      </c>
      <c r="J709" s="13" t="n">
        <v>199</v>
      </c>
      <c r="K709" s="1" t="inlineStr"/>
      <c r="L709" s="13" t="n"/>
      <c r="M709" s="1">
        <f>IF(L709="","ไม่พบใน SG",IF(ABS(J709-L709)&lt;0.005,"ตรงกัน","ไม่ตรง"))</f>
        <v/>
      </c>
      <c r="N709" s="14">
        <f>IF(L709="","",ROUND(L709*'สรุป'!$C$6,-1))</f>
        <v/>
      </c>
      <c r="O709" s="15" t="n"/>
      <c r="P709" s="15" t="n"/>
      <c r="Q709" s="10" t="n"/>
      <c r="R709" s="10" t="n"/>
      <c r="S709" s="16" t="inlineStr">
        <is>
          <t>https://mstgolf.co.th/products/gf1270100545</t>
        </is>
      </c>
      <c r="T709" s="1">
        <f>IF(B709="ไม้กอล์ฟ",J709,"")</f>
        <v/>
      </c>
    </row>
    <row r="710">
      <c r="A710" s="1" t="n">
        <v>1</v>
      </c>
      <c r="B710" s="1" t="inlineStr">
        <is>
          <t>ไม้กอล์ฟ</t>
        </is>
      </c>
      <c r="C710" s="1" t="inlineStr">
        <is>
          <t>gf1270100546</t>
        </is>
      </c>
      <c r="D710" s="1" t="inlineStr">
        <is>
          <t>TITLEIST Vokey SM10 Nickel S Grind (2024) Men's Wedge</t>
        </is>
      </c>
      <c r="E710" s="1" t="inlineStr">
        <is>
          <t>TITLEIST</t>
        </is>
      </c>
      <c r="F710" s="1" t="inlineStr">
        <is>
          <t>WEDGES</t>
        </is>
      </c>
      <c r="G710" s="1" t="inlineStr">
        <is>
          <t>GF127010054654</t>
        </is>
      </c>
      <c r="H710" s="1" t="n">
        <v>4</v>
      </c>
      <c r="I710" s="1" t="inlineStr">
        <is>
          <t>หมด</t>
        </is>
      </c>
      <c r="J710" s="13" t="n">
        <v>199</v>
      </c>
      <c r="K710" s="1" t="inlineStr"/>
      <c r="L710" s="13" t="n"/>
      <c r="M710" s="1">
        <f>IF(L710="","ไม่พบใน SG",IF(ABS(J710-L710)&lt;0.005,"ตรงกัน","ไม่ตรง"))</f>
        <v/>
      </c>
      <c r="N710" s="14">
        <f>IF(L710="","",ROUND(L710*'สรุป'!$C$6,-1))</f>
        <v/>
      </c>
      <c r="O710" s="15" t="n"/>
      <c r="P710" s="15" t="n"/>
      <c r="Q710" s="10" t="n"/>
      <c r="R710" s="10" t="n"/>
      <c r="S710" s="16" t="inlineStr">
        <is>
          <t>https://mstgolf.co.th/products/gf1270100546</t>
        </is>
      </c>
      <c r="T710" s="1">
        <f>IF(B710="ไม้กอล์ฟ",J710,"")</f>
        <v/>
      </c>
    </row>
    <row r="711">
      <c r="A711" s="1" t="n">
        <v>1</v>
      </c>
      <c r="B711" s="1" t="inlineStr">
        <is>
          <t>ไม้กอล์ฟ</t>
        </is>
      </c>
      <c r="C711" s="1" t="inlineStr">
        <is>
          <t>gf1270100536</t>
        </is>
      </c>
      <c r="D711" s="1" t="inlineStr">
        <is>
          <t>TITLEIST Vokey SM10 Tour Chrome D Grind (2024) Men's Wedge</t>
        </is>
      </c>
      <c r="E711" s="1" t="inlineStr">
        <is>
          <t>TITLEIST</t>
        </is>
      </c>
      <c r="F711" s="1" t="inlineStr">
        <is>
          <t>WEDGES</t>
        </is>
      </c>
      <c r="G711" s="1" t="inlineStr">
        <is>
          <t>GF127010053654</t>
        </is>
      </c>
      <c r="H711" s="1" t="n">
        <v>4</v>
      </c>
      <c r="I711" s="1" t="inlineStr">
        <is>
          <t>หมด</t>
        </is>
      </c>
      <c r="J711" s="13" t="n">
        <v>199</v>
      </c>
      <c r="K711" s="1" t="inlineStr"/>
      <c r="L711" s="13" t="n">
        <v>199</v>
      </c>
      <c r="M711" s="1">
        <f>IF(L711="","ไม่พบใน SG",IF(ABS(J711-L711)&lt;0.005,"ตรงกัน","ไม่ตรง"))</f>
        <v/>
      </c>
      <c r="N711" s="14">
        <f>IF(L711="","",ROUND(L711*'สรุป'!$C$6,-1))</f>
        <v/>
      </c>
      <c r="O711" s="15" t="n"/>
      <c r="P711" s="15" t="n"/>
      <c r="Q711" s="10" t="n"/>
      <c r="R711" s="10" t="n"/>
      <c r="S711" s="16" t="inlineStr">
        <is>
          <t>https://mstgolf.co.th/products/gf1270100536</t>
        </is>
      </c>
      <c r="T711" s="1">
        <f>IF(B711="ไม้กอล์ฟ",J711,"")</f>
        <v/>
      </c>
    </row>
    <row r="712">
      <c r="A712" s="1" t="n">
        <v>1</v>
      </c>
      <c r="B712" s="1" t="inlineStr">
        <is>
          <t>ไม้กอล์ฟ</t>
        </is>
      </c>
      <c r="C712" s="1" t="inlineStr">
        <is>
          <t>gf1270100538</t>
        </is>
      </c>
      <c r="D712" s="1" t="inlineStr">
        <is>
          <t>TITLEIST Vokey SM10 Tour Chrome K Grind (2024) Men's Wedge</t>
        </is>
      </c>
      <c r="E712" s="1" t="inlineStr">
        <is>
          <t>TITLEIST</t>
        </is>
      </c>
      <c r="F712" s="1" t="inlineStr">
        <is>
          <t>WEDGES</t>
        </is>
      </c>
      <c r="G712" s="1" t="inlineStr">
        <is>
          <t>GF127010053858</t>
        </is>
      </c>
      <c r="H712" s="1" t="n">
        <v>2</v>
      </c>
      <c r="I712" s="1" t="inlineStr">
        <is>
          <t>หมด</t>
        </is>
      </c>
      <c r="J712" s="13" t="n">
        <v>199</v>
      </c>
      <c r="K712" s="1" t="inlineStr"/>
      <c r="L712" s="13" t="n">
        <v>199</v>
      </c>
      <c r="M712" s="1">
        <f>IF(L712="","ไม่พบใน SG",IF(ABS(J712-L712)&lt;0.005,"ตรงกัน","ไม่ตรง"))</f>
        <v/>
      </c>
      <c r="N712" s="14">
        <f>IF(L712="","",ROUND(L712*'สรุป'!$C$6,-1))</f>
        <v/>
      </c>
      <c r="O712" s="15" t="n"/>
      <c r="P712" s="15" t="n"/>
      <c r="Q712" s="10" t="n"/>
      <c r="R712" s="10" t="n"/>
      <c r="S712" s="16" t="inlineStr">
        <is>
          <t>https://mstgolf.co.th/products/gf1270100538</t>
        </is>
      </c>
      <c r="T712" s="1">
        <f>IF(B712="ไม้กอล์ฟ",J712,"")</f>
        <v/>
      </c>
    </row>
    <row r="713">
      <c r="A713" s="1" t="n">
        <v>1</v>
      </c>
      <c r="B713" s="1" t="inlineStr">
        <is>
          <t>ไม้กอล์ฟ</t>
        </is>
      </c>
      <c r="C713" s="1" t="inlineStr">
        <is>
          <t>gf1270100535</t>
        </is>
      </c>
      <c r="D713" s="1" t="inlineStr">
        <is>
          <t>TITLEIST Vokey SM10 Tour Chrome M Grind (2024) Men's Wedge</t>
        </is>
      </c>
      <c r="E713" s="1" t="inlineStr">
        <is>
          <t>TITLEIST</t>
        </is>
      </c>
      <c r="F713" s="1" t="inlineStr">
        <is>
          <t>WEDGES</t>
        </is>
      </c>
      <c r="G713" s="1" t="inlineStr">
        <is>
          <t>GF127010053556</t>
        </is>
      </c>
      <c r="H713" s="1" t="n">
        <v>2</v>
      </c>
      <c r="I713" s="1" t="inlineStr">
        <is>
          <t>หมด</t>
        </is>
      </c>
      <c r="J713" s="13" t="n">
        <v>199</v>
      </c>
      <c r="K713" s="1" t="inlineStr"/>
      <c r="L713" s="13" t="n"/>
      <c r="M713" s="1">
        <f>IF(L713="","ไม่พบใน SG",IF(ABS(J713-L713)&lt;0.005,"ตรงกัน","ไม่ตรง"))</f>
        <v/>
      </c>
      <c r="N713" s="14">
        <f>IF(L713="","",ROUND(L713*'สรุป'!$C$6,-1))</f>
        <v/>
      </c>
      <c r="O713" s="15" t="n"/>
      <c r="P713" s="15" t="n"/>
      <c r="Q713" s="10" t="n"/>
      <c r="R713" s="10" t="n"/>
      <c r="S713" s="16" t="inlineStr">
        <is>
          <t>https://mstgolf.co.th/products/gf1270100535</t>
        </is>
      </c>
      <c r="T713" s="1">
        <f>IF(B713="ไม้กอล์ฟ",J713,"")</f>
        <v/>
      </c>
    </row>
    <row r="714">
      <c r="A714" s="1" t="n">
        <v>1</v>
      </c>
      <c r="B714" s="1" t="inlineStr">
        <is>
          <t>ไม้กอล์ฟ</t>
        </is>
      </c>
      <c r="C714" s="1" t="inlineStr">
        <is>
          <t>gf1270100539</t>
        </is>
      </c>
      <c r="D714" s="1" t="inlineStr">
        <is>
          <t>TITLEIST Vokey SM10 Tour Chrome M Grind (2024) Men's Wedge</t>
        </is>
      </c>
      <c r="E714" s="1" t="inlineStr">
        <is>
          <t>TITLEIST</t>
        </is>
      </c>
      <c r="F714" s="1" t="inlineStr">
        <is>
          <t>WEDGES</t>
        </is>
      </c>
      <c r="G714" s="1" t="inlineStr">
        <is>
          <t>GF127010053954</t>
        </is>
      </c>
      <c r="H714" s="1" t="n">
        <v>5</v>
      </c>
      <c r="I714" s="1" t="inlineStr">
        <is>
          <t>หมด</t>
        </is>
      </c>
      <c r="J714" s="13" t="n">
        <v>199</v>
      </c>
      <c r="K714" s="1" t="inlineStr"/>
      <c r="L714" s="13" t="n">
        <v>199</v>
      </c>
      <c r="M714" s="1">
        <f>IF(L714="","ไม่พบใน SG",IF(ABS(J714-L714)&lt;0.005,"ตรงกัน","ไม่ตรง"))</f>
        <v/>
      </c>
      <c r="N714" s="14">
        <f>IF(L714="","",ROUND(L714*'สรุป'!$C$6,-1))</f>
        <v/>
      </c>
      <c r="O714" s="15" t="n"/>
      <c r="P714" s="15" t="n"/>
      <c r="Q714" s="10" t="n"/>
      <c r="R714" s="10" t="n"/>
      <c r="S714" s="16" t="inlineStr">
        <is>
          <t>https://mstgolf.co.th/products/gf1270100539</t>
        </is>
      </c>
      <c r="T714" s="1">
        <f>IF(B714="ไม้กอล์ฟ",J714,"")</f>
        <v/>
      </c>
    </row>
    <row r="715">
      <c r="A715" s="1" t="n">
        <v>1</v>
      </c>
      <c r="B715" s="1" t="inlineStr">
        <is>
          <t>ไม้กอล์ฟ</t>
        </is>
      </c>
      <c r="C715" s="1" t="inlineStr">
        <is>
          <t>gf1270100511</t>
        </is>
      </c>
      <c r="D715" s="1" t="inlineStr">
        <is>
          <t>MIZUNO Soft White Satin T24 (2024) Men's Wedge</t>
        </is>
      </c>
      <c r="E715" s="1" t="inlineStr">
        <is>
          <t>MIZUNO</t>
        </is>
      </c>
      <c r="F715" s="1" t="inlineStr">
        <is>
          <t>WEDGES</t>
        </is>
      </c>
      <c r="G715" s="1" t="inlineStr">
        <is>
          <t>GF127010051148</t>
        </is>
      </c>
      <c r="H715" s="1" t="n">
        <v>7</v>
      </c>
      <c r="I715" s="1" t="inlineStr">
        <is>
          <t>หมด</t>
        </is>
      </c>
      <c r="J715" s="13" t="n">
        <v>175</v>
      </c>
      <c r="K715" s="1" t="inlineStr"/>
      <c r="L715" s="13" t="n">
        <v>175</v>
      </c>
      <c r="M715" s="1">
        <f>IF(L715="","ไม่พบใน SG",IF(ABS(J715-L715)&lt;0.005,"ตรงกัน","ไม่ตรง"))</f>
        <v/>
      </c>
      <c r="N715" s="14">
        <f>IF(L715="","",ROUND(L715*'สรุป'!$C$6,-1))</f>
        <v/>
      </c>
      <c r="O715" s="15" t="n"/>
      <c r="P715" s="15" t="n"/>
      <c r="Q715" s="10" t="n"/>
      <c r="R715" s="10" t="n"/>
      <c r="S715" s="16" t="inlineStr">
        <is>
          <t>https://mstgolf.co.th/products/gf1270100511</t>
        </is>
      </c>
      <c r="T715" s="1">
        <f>IF(B715="ไม้กอล์ฟ",J715,"")</f>
        <v/>
      </c>
    </row>
    <row r="716">
      <c r="A716" s="1" t="n">
        <v>1</v>
      </c>
      <c r="B716" s="1" t="inlineStr">
        <is>
          <t>ไม้กอล์ฟ</t>
        </is>
      </c>
      <c r="C716" s="1" t="inlineStr">
        <is>
          <t>gf1270100328</t>
        </is>
      </c>
      <c r="D716" s="1" t="inlineStr">
        <is>
          <t>YAMAHA RMX VD Men's Wedge</t>
        </is>
      </c>
      <c r="E716" s="1" t="inlineStr">
        <is>
          <t>YAMAHA</t>
        </is>
      </c>
      <c r="F716" s="1" t="inlineStr">
        <is>
          <t>WEDGES</t>
        </is>
      </c>
      <c r="G716" s="1" t="inlineStr">
        <is>
          <t>GF127010032851</t>
        </is>
      </c>
      <c r="H716" s="1" t="n">
        <v>2</v>
      </c>
      <c r="I716" s="1" t="inlineStr">
        <is>
          <t>หมด</t>
        </is>
      </c>
      <c r="J716" s="13" t="n">
        <v>169</v>
      </c>
      <c r="K716" s="1" t="inlineStr"/>
      <c r="L716" s="13" t="n"/>
      <c r="M716" s="1">
        <f>IF(L716="","ไม่พบใน SG",IF(ABS(J716-L716)&lt;0.005,"ตรงกัน","ไม่ตรง"))</f>
        <v/>
      </c>
      <c r="N716" s="14">
        <f>IF(L716="","",ROUND(L716*'สรุป'!$C$6,-1))</f>
        <v/>
      </c>
      <c r="O716" s="15" t="n"/>
      <c r="P716" s="15" t="n"/>
      <c r="Q716" s="10" t="n"/>
      <c r="R716" s="10" t="n"/>
      <c r="S716" s="16" t="inlineStr">
        <is>
          <t>https://mstgolf.co.th/products/gf1270100328</t>
        </is>
      </c>
      <c r="T716" s="1">
        <f>IF(B716="ไม้กอล์ฟ",J716,"")</f>
        <v/>
      </c>
    </row>
    <row r="717">
      <c r="A717" s="1" t="n">
        <v>1</v>
      </c>
      <c r="B717" s="1" t="inlineStr">
        <is>
          <t>ไม้กอล์ฟ</t>
        </is>
      </c>
      <c r="C717" s="1" t="inlineStr">
        <is>
          <t>gf1240100616</t>
        </is>
      </c>
      <c r="D717" s="1" t="inlineStr">
        <is>
          <t>WILSON Infinite Buckingham (2021) Men's Putter</t>
        </is>
      </c>
      <c r="E717" s="1" t="inlineStr">
        <is>
          <t>WILSON</t>
        </is>
      </c>
      <c r="F717" s="1" t="inlineStr">
        <is>
          <t>PUTTER</t>
        </is>
      </c>
      <c r="G717" s="1" t="inlineStr">
        <is>
          <t>GF124010061634</t>
        </is>
      </c>
      <c r="H717" s="1" t="n">
        <v>1</v>
      </c>
      <c r="I717" s="1" t="inlineStr">
        <is>
          <t>หมด</t>
        </is>
      </c>
      <c r="J717" s="13" t="n">
        <v>159</v>
      </c>
      <c r="K717" s="1" t="inlineStr"/>
      <c r="L717" s="13" t="n">
        <v>159</v>
      </c>
      <c r="M717" s="1">
        <f>IF(L717="","ไม่พบใน SG",IF(ABS(J717-L717)&lt;0.005,"ตรงกัน","ไม่ตรง"))</f>
        <v/>
      </c>
      <c r="N717" s="14">
        <f>IF(L717="","",ROUND(L717*'สรุป'!$C$6,-1))</f>
        <v/>
      </c>
      <c r="O717" s="15" t="n"/>
      <c r="P717" s="15" t="n"/>
      <c r="Q717" s="10" t="n"/>
      <c r="R717" s="10" t="n"/>
      <c r="S717" s="16" t="inlineStr">
        <is>
          <t>https://mstgolf.co.th/products/gf1240100616</t>
        </is>
      </c>
      <c r="T717" s="1">
        <f>IF(B717="ไม้กอล์ฟ",J717,"")</f>
        <v/>
      </c>
    </row>
    <row r="718">
      <c r="A718" s="1" t="n">
        <v>1</v>
      </c>
      <c r="B718" s="1" t="inlineStr">
        <is>
          <t>ไม้กอล์ฟ</t>
        </is>
      </c>
      <c r="C718" s="1" t="inlineStr">
        <is>
          <t>gf1240100419</t>
        </is>
      </c>
      <c r="D718" s="1" t="inlineStr">
        <is>
          <t>WILSON Infinite Bucktown (2019) Men's Putter</t>
        </is>
      </c>
      <c r="E718" s="1" t="inlineStr">
        <is>
          <t>WILSON</t>
        </is>
      </c>
      <c r="F718" s="1" t="inlineStr">
        <is>
          <t>PUTTER</t>
        </is>
      </c>
      <c r="G718" s="1" t="inlineStr">
        <is>
          <t>GF124010041934</t>
        </is>
      </c>
      <c r="H718" s="1" t="n">
        <v>1</v>
      </c>
      <c r="I718" s="1" t="inlineStr">
        <is>
          <t>หมด</t>
        </is>
      </c>
      <c r="J718" s="13" t="n">
        <v>159</v>
      </c>
      <c r="K718" s="1" t="inlineStr"/>
      <c r="L718" s="13" t="n">
        <v>159</v>
      </c>
      <c r="M718" s="1">
        <f>IF(L718="","ไม่พบใน SG",IF(ABS(J718-L718)&lt;0.005,"ตรงกัน","ไม่ตรง"))</f>
        <v/>
      </c>
      <c r="N718" s="14">
        <f>IF(L718="","",ROUND(L718*'สรุป'!$C$6,-1))</f>
        <v/>
      </c>
      <c r="O718" s="15" t="n"/>
      <c r="P718" s="15" t="n"/>
      <c r="Q718" s="10" t="n"/>
      <c r="R718" s="10" t="n"/>
      <c r="S718" s="16" t="inlineStr">
        <is>
          <t>https://mstgolf.co.th/products/gf1240100419</t>
        </is>
      </c>
      <c r="T718" s="1">
        <f>IF(B718="ไม้กอล์ฟ",J718,"")</f>
        <v/>
      </c>
    </row>
    <row r="719">
      <c r="A719" s="1" t="n">
        <v>1</v>
      </c>
      <c r="B719" s="1" t="inlineStr">
        <is>
          <t>ไม้กอล์ฟ</t>
        </is>
      </c>
      <c r="C719" s="1" t="inlineStr">
        <is>
          <t>gf1250100226</t>
        </is>
      </c>
      <c r="D719" s="1" t="inlineStr">
        <is>
          <t>RAM SDX (2025) Junior Package Set (Ages 3-5)</t>
        </is>
      </c>
      <c r="E719" s="1" t="inlineStr">
        <is>
          <t>RAM</t>
        </is>
      </c>
      <c r="F719" s="1" t="inlineStr">
        <is>
          <t>PACKAGE SET</t>
        </is>
      </c>
      <c r="G719" s="1" t="inlineStr">
        <is>
          <t>GF1250100226</t>
        </is>
      </c>
      <c r="H719" s="1" t="n">
        <v>1</v>
      </c>
      <c r="I719" s="1" t="inlineStr">
        <is>
          <t>หมด</t>
        </is>
      </c>
      <c r="J719" s="13" t="n">
        <v>149</v>
      </c>
      <c r="K719" s="1" t="inlineStr"/>
      <c r="L719" s="13" t="n">
        <v>149</v>
      </c>
      <c r="M719" s="1">
        <f>IF(L719="","ไม่พบใน SG",IF(ABS(J719-L719)&lt;0.005,"ตรงกัน","ไม่ตรง"))</f>
        <v/>
      </c>
      <c r="N719" s="14">
        <f>IF(L719="","",ROUND(L719*'สรุป'!$C$6,-1))</f>
        <v/>
      </c>
      <c r="O719" s="15" t="n"/>
      <c r="P719" s="15" t="n"/>
      <c r="Q719" s="10" t="n"/>
      <c r="R719" s="10" t="n"/>
      <c r="S719" s="16" t="inlineStr">
        <is>
          <t>https://mstgolf.co.th/products/gf1250100226</t>
        </is>
      </c>
      <c r="T719" s="1">
        <f>IF(B719="ไม้กอล์ฟ",J719,"")</f>
        <v/>
      </c>
    </row>
    <row r="720">
      <c r="A720" s="1" t="n">
        <v>1</v>
      </c>
      <c r="B720" s="1" t="inlineStr">
        <is>
          <t>ไม้กอล์ฟ</t>
        </is>
      </c>
      <c r="C720" s="1" t="inlineStr">
        <is>
          <t>gf1270100225</t>
        </is>
      </c>
      <c r="D720" s="1" t="inlineStr">
        <is>
          <t>TAYLORMADE Milled Grind Hi-Toe 2 Raw Big Foot Men's Wedge</t>
        </is>
      </c>
      <c r="E720" s="1" t="inlineStr">
        <is>
          <t>TAYLORMADE</t>
        </is>
      </c>
      <c r="F720" s="1" t="inlineStr">
        <is>
          <t>WEDGES</t>
        </is>
      </c>
      <c r="G720" s="1" t="inlineStr">
        <is>
          <t>GF127010022556</t>
        </is>
      </c>
      <c r="H720" s="1" t="n">
        <v>3</v>
      </c>
      <c r="I720" s="1" t="inlineStr">
        <is>
          <t>หมด</t>
        </is>
      </c>
      <c r="J720" s="13" t="n">
        <v>129</v>
      </c>
      <c r="K720" s="1" t="inlineStr"/>
      <c r="L720" s="13" t="n">
        <v>129</v>
      </c>
      <c r="M720" s="1">
        <f>IF(L720="","ไม่พบใน SG",IF(ABS(J720-L720)&lt;0.005,"ตรงกัน","ไม่ตรง"))</f>
        <v/>
      </c>
      <c r="N720" s="14">
        <f>IF(L720="","",ROUND(L720*'สรุป'!$C$6,-1))</f>
        <v/>
      </c>
      <c r="O720" s="15" t="n"/>
      <c r="P720" s="15" t="n"/>
      <c r="Q720" s="10" t="n"/>
      <c r="R720" s="10" t="n"/>
      <c r="S720" s="16" t="inlineStr">
        <is>
          <t>https://mstgolf.co.th/products/gf1270100225</t>
        </is>
      </c>
      <c r="T720" s="1">
        <f>IF(B720="ไม้กอล์ฟ",J720,"")</f>
        <v/>
      </c>
    </row>
    <row r="721">
      <c r="A721" s="1" t="n">
        <v>1</v>
      </c>
      <c r="B721" s="1" t="inlineStr">
        <is>
          <t>ไม้กอล์ฟ</t>
        </is>
      </c>
      <c r="C721" s="1" t="inlineStr">
        <is>
          <t>gf1270100181</t>
        </is>
      </c>
      <c r="D721" s="1" t="inlineStr">
        <is>
          <t>WILSON Model (2020) Men's Wedge</t>
        </is>
      </c>
      <c r="E721" s="1" t="inlineStr">
        <is>
          <t>WILSON</t>
        </is>
      </c>
      <c r="F721" s="1" t="inlineStr">
        <is>
          <t>WEDGES</t>
        </is>
      </c>
      <c r="G721" s="1" t="inlineStr">
        <is>
          <t>GF127010018150</t>
        </is>
      </c>
      <c r="H721" s="1" t="n">
        <v>6</v>
      </c>
      <c r="I721" s="1" t="inlineStr">
        <is>
          <t>หมด</t>
        </is>
      </c>
      <c r="J721" s="13" t="n">
        <v>109</v>
      </c>
      <c r="K721" s="1" t="inlineStr"/>
      <c r="L721" s="13" t="n">
        <v>99</v>
      </c>
      <c r="M721" s="1">
        <f>IF(L721="","ไม่พบใน SG",IF(ABS(J721-L721)&lt;0.005,"ตรงกัน","ไม่ตรง"))</f>
        <v/>
      </c>
      <c r="N721" s="14">
        <f>IF(L721="","",ROUND(L721*'สรุป'!$C$6,-1))</f>
        <v/>
      </c>
      <c r="O721" s="15" t="n"/>
      <c r="P721" s="15" t="n"/>
      <c r="Q721" s="10" t="n"/>
      <c r="R721" s="10" t="n"/>
      <c r="S721" s="16" t="inlineStr">
        <is>
          <t>https://mstgolf.co.th/products/gf1270100181</t>
        </is>
      </c>
      <c r="T721" s="1">
        <f>IF(B721="ไม้กอล์ฟ",J721,"")</f>
        <v/>
      </c>
    </row>
    <row r="722">
      <c r="A722" s="1" t="n">
        <v>1</v>
      </c>
      <c r="B722" s="1" t="inlineStr">
        <is>
          <t>ไม้กอล์ฟ</t>
        </is>
      </c>
      <c r="C722" s="1" t="inlineStr">
        <is>
          <t>gf1240101236</t>
        </is>
      </c>
      <c r="D722" s="1" t="inlineStr">
        <is>
          <t>MD GOLF Superstrong STR50 #1 (2024) Men's Putter</t>
        </is>
      </c>
      <c r="E722" s="1" t="inlineStr">
        <is>
          <t>MD GOLF</t>
        </is>
      </c>
      <c r="F722" s="1" t="inlineStr">
        <is>
          <t>PUTTER</t>
        </is>
      </c>
      <c r="G722" s="1" t="inlineStr">
        <is>
          <t>GF124010123634</t>
        </is>
      </c>
      <c r="H722" s="1" t="n">
        <v>1</v>
      </c>
      <c r="I722" s="1" t="inlineStr">
        <is>
          <t>หมด</t>
        </is>
      </c>
      <c r="J722" s="13" t="n">
        <v>83</v>
      </c>
      <c r="K722" s="1" t="inlineStr"/>
      <c r="L722" s="13" t="n">
        <v>83</v>
      </c>
      <c r="M722" s="1">
        <f>IF(L722="","ไม่พบใน SG",IF(ABS(J722-L722)&lt;0.005,"ตรงกัน","ไม่ตรง"))</f>
        <v/>
      </c>
      <c r="N722" s="14">
        <f>IF(L722="","",ROUND(L722*'สรุป'!$C$6,-1))</f>
        <v/>
      </c>
      <c r="O722" s="15" t="n"/>
      <c r="P722" s="15" t="n"/>
      <c r="Q722" s="10" t="n"/>
      <c r="R722" s="10" t="n"/>
      <c r="S722" s="16" t="inlineStr">
        <is>
          <t>https://mstgolf.co.th/products/gf1240101236</t>
        </is>
      </c>
      <c r="T722" s="1">
        <f>IF(B722="ไม้กอล์ฟ",J722,"")</f>
        <v/>
      </c>
    </row>
    <row r="723">
      <c r="A723" s="1" t="n">
        <v>1</v>
      </c>
      <c r="B723" s="1" t="inlineStr">
        <is>
          <t>ไม้กอล์ฟ</t>
        </is>
      </c>
      <c r="C723" s="1" t="inlineStr">
        <is>
          <t>gf1240101237</t>
        </is>
      </c>
      <c r="D723" s="1" t="inlineStr">
        <is>
          <t>MD GOLF Superstrong STR50 #5 (2024) Men's Putter</t>
        </is>
      </c>
      <c r="E723" s="1" t="inlineStr">
        <is>
          <t>MD GOLF</t>
        </is>
      </c>
      <c r="F723" s="1" t="inlineStr">
        <is>
          <t>PUTTER</t>
        </is>
      </c>
      <c r="G723" s="1" t="inlineStr">
        <is>
          <t>GF124010123734</t>
        </is>
      </c>
      <c r="H723" s="1" t="n">
        <v>1</v>
      </c>
      <c r="I723" s="1" t="inlineStr">
        <is>
          <t>หมด</t>
        </is>
      </c>
      <c r="J723" s="13" t="n">
        <v>83</v>
      </c>
      <c r="K723" s="1" t="inlineStr"/>
      <c r="L723" s="13" t="n">
        <v>83</v>
      </c>
      <c r="M723" s="1">
        <f>IF(L723="","ไม่พบใน SG",IF(ABS(J723-L723)&lt;0.005,"ตรงกัน","ไม่ตรง"))</f>
        <v/>
      </c>
      <c r="N723" s="14">
        <f>IF(L723="","",ROUND(L723*'สรุป'!$C$6,-1))</f>
        <v/>
      </c>
      <c r="O723" s="15" t="n"/>
      <c r="P723" s="15" t="n"/>
      <c r="Q723" s="10" t="n"/>
      <c r="R723" s="10" t="n"/>
      <c r="S723" s="16" t="inlineStr">
        <is>
          <t>https://mstgolf.co.th/products/gf1240101237</t>
        </is>
      </c>
      <c r="T723" s="1">
        <f>IF(B723="ไม้กอล์ฟ",J723,"")</f>
        <v/>
      </c>
    </row>
    <row r="724">
      <c r="A724" s="1" t="n">
        <v>1</v>
      </c>
      <c r="B724" s="1" t="inlineStr">
        <is>
          <t>ไม้กอล์ฟ</t>
        </is>
      </c>
      <c r="C724" s="1" t="inlineStr">
        <is>
          <t>gf1270100257</t>
        </is>
      </c>
      <c r="D724" s="1" t="inlineStr">
        <is>
          <t>MD GOLF Superstrong STR30 Gun Metal (2021) Men's Wedge</t>
        </is>
      </c>
      <c r="E724" s="1" t="inlineStr">
        <is>
          <t>MD GOLF</t>
        </is>
      </c>
      <c r="F724" s="1" t="inlineStr">
        <is>
          <t>WEDGES</t>
        </is>
      </c>
      <c r="G724" s="1" t="inlineStr">
        <is>
          <t>GF127010025752</t>
        </is>
      </c>
      <c r="H724" s="1" t="n">
        <v>3</v>
      </c>
      <c r="I724" s="1" t="inlineStr">
        <is>
          <t>หมด</t>
        </is>
      </c>
      <c r="J724" s="13" t="n">
        <v>79</v>
      </c>
      <c r="K724" s="1" t="inlineStr"/>
      <c r="L724" s="13" t="n">
        <v>79</v>
      </c>
      <c r="M724" s="1">
        <f>IF(L724="","ไม่พบใน SG",IF(ABS(J724-L724)&lt;0.005,"ตรงกัน","ไม่ตรง"))</f>
        <v/>
      </c>
      <c r="N724" s="14">
        <f>IF(L724="","",ROUND(L724*'สรุป'!$C$6,-1))</f>
        <v/>
      </c>
      <c r="O724" s="15" t="n"/>
      <c r="P724" s="15" t="n"/>
      <c r="Q724" s="10" t="n"/>
      <c r="R724" s="10" t="n"/>
      <c r="S724" s="16" t="inlineStr">
        <is>
          <t>https://mstgolf.co.th/products/gf1270100257</t>
        </is>
      </c>
      <c r="T724" s="1">
        <f>IF(B724="ไม้กอล์ฟ",J724,"")</f>
        <v/>
      </c>
    </row>
    <row r="725">
      <c r="A725" s="1" t="n">
        <v>1</v>
      </c>
      <c r="B725" s="1" t="inlineStr">
        <is>
          <t>อุปกรณ์วัดระยะ/เทคโนโลยี</t>
        </is>
      </c>
      <c r="C725" s="1" t="inlineStr">
        <is>
          <t>gf3190200060</t>
        </is>
      </c>
      <c r="D725" s="1" t="inlineStr">
        <is>
          <t>GARMIN Approach CT1 Tag (Grey)</t>
        </is>
      </c>
      <c r="E725" s="1" t="inlineStr">
        <is>
          <t>GARMIN</t>
        </is>
      </c>
      <c r="F725" s="1" t="inlineStr">
        <is>
          <t>SHOT TRACKER</t>
        </is>
      </c>
      <c r="G725" s="1" t="inlineStr">
        <is>
          <t>GF3190200060</t>
        </is>
      </c>
      <c r="H725" s="1" t="n">
        <v>1</v>
      </c>
      <c r="I725" s="1" t="inlineStr">
        <is>
          <t>หมด</t>
        </is>
      </c>
      <c r="J725" s="13" t="n">
        <v>0</v>
      </c>
      <c r="K725" s="1" t="inlineStr"/>
      <c r="L725" s="13" t="n">
        <v>149</v>
      </c>
      <c r="M725" s="1">
        <f>IF(L725="","ไม่พบใน SG",IF(ABS(J725-L725)&lt;0.005,"ตรงกัน","ไม่ตรง"))</f>
        <v/>
      </c>
      <c r="N725" s="14">
        <f>IF(L725="","",ROUND(L725*'สรุป'!$C$6,-1))</f>
        <v/>
      </c>
      <c r="O725" s="15" t="n"/>
      <c r="P725" s="15" t="n"/>
      <c r="Q725" s="10" t="n"/>
      <c r="R725" s="10" t="n"/>
      <c r="S725" s="16" t="inlineStr">
        <is>
          <t>https://mstgolf.co.th/products/gf3190200060</t>
        </is>
      </c>
      <c r="T725" s="1">
        <f>IF(B725="ไม้กอล์ฟ",J725,"")</f>
        <v/>
      </c>
    </row>
    <row r="726">
      <c r="A726" s="1" t="n">
        <v>1</v>
      </c>
      <c r="B726" s="1" t="inlineStr">
        <is>
          <t>ไม้กอล์ฟ</t>
        </is>
      </c>
      <c r="C726" s="1" t="inlineStr">
        <is>
          <t>gf1240101557</t>
        </is>
      </c>
      <c r="D726" s="1" t="inlineStr">
        <is>
          <t>TITLEIST Phantom 11R OC (2026) Men's Putter</t>
        </is>
      </c>
      <c r="E726" s="1" t="inlineStr">
        <is>
          <t>TITLEIST</t>
        </is>
      </c>
      <c r="F726" s="1" t="inlineStr">
        <is>
          <t>PUTTER</t>
        </is>
      </c>
      <c r="G726" s="1" t="inlineStr">
        <is>
          <t>GF124010155835</t>
        </is>
      </c>
      <c r="H726" s="1" t="n">
        <v>5</v>
      </c>
      <c r="I726" s="1" t="inlineStr">
        <is>
          <t>หมด</t>
        </is>
      </c>
      <c r="J726" s="13" t="n">
        <v>0</v>
      </c>
      <c r="K726" s="1" t="inlineStr"/>
      <c r="L726" s="13" t="n">
        <v>879</v>
      </c>
      <c r="M726" s="1">
        <f>IF(L726="","ไม่พบใน SG",IF(ABS(J726-L726)&lt;0.005,"ตรงกัน","ไม่ตรง"))</f>
        <v/>
      </c>
      <c r="N726" s="14">
        <f>IF(L726="","",ROUND(L726*'สรุป'!$C$6,-1))</f>
        <v/>
      </c>
      <c r="O726" s="15" t="n"/>
      <c r="P726" s="15" t="n"/>
      <c r="Q726" s="10" t="n"/>
      <c r="R726" s="10" t="n"/>
      <c r="S726" s="16" t="inlineStr">
        <is>
          <t>https://mstgolf.co.th/products/gf1240101557</t>
        </is>
      </c>
      <c r="T726" s="1">
        <f>IF(B726="ไม้กอล์ฟ",J726,"")</f>
        <v/>
      </c>
    </row>
    <row r="727">
      <c r="A727" s="1" t="n">
        <v>1</v>
      </c>
      <c r="B727" s="1" t="inlineStr">
        <is>
          <t>ไม้กอล์ฟ</t>
        </is>
      </c>
      <c r="C727" s="1" t="inlineStr">
        <is>
          <t>gf1240101559</t>
        </is>
      </c>
      <c r="D727" s="1" t="inlineStr">
        <is>
          <t>TITLEIST Studio Style Fastback (2026) Men's Putter</t>
        </is>
      </c>
      <c r="E727" s="1" t="inlineStr">
        <is>
          <t>TITLEIST</t>
        </is>
      </c>
      <c r="F727" s="1" t="inlineStr">
        <is>
          <t>PUTTER</t>
        </is>
      </c>
      <c r="G727" s="1" t="inlineStr">
        <is>
          <t>GF124010155934</t>
        </is>
      </c>
      <c r="H727" s="1" t="n">
        <v>3</v>
      </c>
      <c r="I727" s="1" t="inlineStr">
        <is>
          <t>หมด</t>
        </is>
      </c>
      <c r="J727" s="13" t="n">
        <v>0</v>
      </c>
      <c r="K727" s="1" t="inlineStr"/>
      <c r="L727" s="13" t="n">
        <v>879</v>
      </c>
      <c r="M727" s="1">
        <f>IF(L727="","ไม่พบใน SG",IF(ABS(J727-L727)&lt;0.005,"ตรงกัน","ไม่ตรง"))</f>
        <v/>
      </c>
      <c r="N727" s="14">
        <f>IF(L727="","",ROUND(L727*'สรุป'!$C$6,-1))</f>
        <v/>
      </c>
      <c r="O727" s="15" t="n"/>
      <c r="P727" s="15" t="n"/>
      <c r="Q727" s="10" t="n"/>
      <c r="R727" s="10" t="n"/>
      <c r="S727" s="16" t="inlineStr">
        <is>
          <t>https://mstgolf.co.th/products/gf1240101559</t>
        </is>
      </c>
      <c r="T727" s="1">
        <f>IF(B727="ไม้กอล์ฟ",J727,"")</f>
        <v/>
      </c>
    </row>
    <row r="728">
      <c r="A728" s="1" t="n">
        <v>2</v>
      </c>
      <c r="B728" s="1" t="inlineStr">
        <is>
          <t>ถุงกอล์ฟ</t>
        </is>
      </c>
      <c r="C728" s="1" t="inlineStr">
        <is>
          <t>gf3010101428</t>
        </is>
      </c>
      <c r="D728" s="1" t="inlineStr">
        <is>
          <t>GFORE Embossed Skull &amp; Tees Leather Weekender (Nimbus)</t>
        </is>
      </c>
      <c r="E728" s="1" t="inlineStr">
        <is>
          <t>GFORE</t>
        </is>
      </c>
      <c r="F728" s="1" t="inlineStr">
        <is>
          <t>BOSTON/DUFFLE BAG</t>
        </is>
      </c>
      <c r="G728" s="1" t="inlineStr">
        <is>
          <t>GF3010101428</t>
        </is>
      </c>
      <c r="H728" s="1" t="n">
        <v>1</v>
      </c>
      <c r="I728" s="1" t="inlineStr">
        <is>
          <t>มี</t>
        </is>
      </c>
      <c r="J728" s="13" t="n">
        <v>1150</v>
      </c>
      <c r="K728" s="1" t="inlineStr"/>
      <c r="L728" s="13" t="n">
        <v>1150</v>
      </c>
      <c r="M728" s="1">
        <f>IF(L728="","ไม่พบใน SG",IF(ABS(J728-L728)&lt;0.005,"ตรงกัน","ไม่ตรง"))</f>
        <v/>
      </c>
      <c r="N728" s="14">
        <f>IF(L728="","",ROUND(L728*'สรุป'!$C$6,-1))</f>
        <v/>
      </c>
      <c r="O728" s="15" t="n"/>
      <c r="P728" s="15" t="n"/>
      <c r="Q728" s="10" t="n"/>
      <c r="R728" s="10" t="n"/>
      <c r="S728" s="16" t="inlineStr">
        <is>
          <t>https://mstgolf.co.th/products/gf3010101428</t>
        </is>
      </c>
      <c r="T728" s="1">
        <f>IF(B728="ไม้กอล์ฟ",J728,"")</f>
        <v/>
      </c>
    </row>
    <row r="729">
      <c r="A729" s="1" t="n">
        <v>2</v>
      </c>
      <c r="B729" s="1" t="inlineStr">
        <is>
          <t>ถุงกอล์ฟ</t>
        </is>
      </c>
      <c r="C729" s="1" t="inlineStr">
        <is>
          <t>gf3000102654</t>
        </is>
      </c>
      <c r="D729" s="1" t="inlineStr">
        <is>
          <t>MAJESTY GWP 8.5" CQ31 Caddie Bag (Black)</t>
        </is>
      </c>
      <c r="E729" s="1" t="inlineStr">
        <is>
          <t>MAJESTY</t>
        </is>
      </c>
      <c r="F729" s="1" t="inlineStr">
        <is>
          <t>CADDIE/CART BAG</t>
        </is>
      </c>
      <c r="G729" s="1" t="inlineStr">
        <is>
          <t>GF3000102654</t>
        </is>
      </c>
      <c r="H729" s="1" t="n">
        <v>1</v>
      </c>
      <c r="I729" s="1" t="inlineStr">
        <is>
          <t>มี</t>
        </is>
      </c>
      <c r="J729" s="13" t="n">
        <v>1090</v>
      </c>
      <c r="K729" s="1" t="inlineStr"/>
      <c r="L729" s="13" t="n"/>
      <c r="M729" s="1">
        <f>IF(L729="","ไม่พบใน SG",IF(ABS(J729-L729)&lt;0.005,"ตรงกัน","ไม่ตรง"))</f>
        <v/>
      </c>
      <c r="N729" s="14">
        <f>IF(L729="","",ROUND(L729*'สรุป'!$C$6,-1))</f>
        <v/>
      </c>
      <c r="O729" s="15" t="n"/>
      <c r="P729" s="15" t="n"/>
      <c r="Q729" s="10" t="n"/>
      <c r="R729" s="10" t="n"/>
      <c r="S729" s="16" t="inlineStr">
        <is>
          <t>https://mstgolf.co.th/products/gf3000102654</t>
        </is>
      </c>
      <c r="T729" s="1">
        <f>IF(B729="ไม้กอล์ฟ",J729,"")</f>
        <v/>
      </c>
    </row>
    <row r="730">
      <c r="A730" s="1" t="n">
        <v>2</v>
      </c>
      <c r="B730" s="1" t="inlineStr">
        <is>
          <t>ถุงกอล์ฟ</t>
        </is>
      </c>
      <c r="C730" s="1" t="inlineStr">
        <is>
          <t>gf3000102754</t>
        </is>
      </c>
      <c r="D730" s="1" t="inlineStr">
        <is>
          <t>GFORE Icon Camo 8.5" Tour Bag (Twilight)</t>
        </is>
      </c>
      <c r="E730" s="1" t="inlineStr">
        <is>
          <t>GFORE</t>
        </is>
      </c>
      <c r="F730" s="1" t="inlineStr">
        <is>
          <t>CADDIE/CART BAG</t>
        </is>
      </c>
      <c r="G730" s="1" t="inlineStr">
        <is>
          <t>GF3000102754</t>
        </is>
      </c>
      <c r="H730" s="1" t="n">
        <v>1</v>
      </c>
      <c r="I730" s="1" t="inlineStr">
        <is>
          <t>มี</t>
        </is>
      </c>
      <c r="J730" s="13" t="n">
        <v>1050</v>
      </c>
      <c r="K730" s="1" t="inlineStr"/>
      <c r="L730" s="13" t="n">
        <v>1050</v>
      </c>
      <c r="M730" s="1">
        <f>IF(L730="","ไม่พบใน SG",IF(ABS(J730-L730)&lt;0.005,"ตรงกัน","ไม่ตรง"))</f>
        <v/>
      </c>
      <c r="N730" s="14">
        <f>IF(L730="","",ROUND(L730*'สรุป'!$C$6,-1))</f>
        <v/>
      </c>
      <c r="O730" s="15" t="n"/>
      <c r="P730" s="15" t="n"/>
      <c r="Q730" s="10" t="n"/>
      <c r="R730" s="10" t="n"/>
      <c r="S730" s="16" t="inlineStr">
        <is>
          <t>https://mstgolf.co.th/products/gf3000102754</t>
        </is>
      </c>
      <c r="T730" s="1">
        <f>IF(B730="ไม้กอล์ฟ",J730,"")</f>
        <v/>
      </c>
    </row>
    <row r="731">
      <c r="A731" s="1" t="n">
        <v>2</v>
      </c>
      <c r="B731" s="1" t="inlineStr">
        <is>
          <t>ถุงกอล์ฟ</t>
        </is>
      </c>
      <c r="C731" s="1" t="inlineStr">
        <is>
          <t>gf3010300451</t>
        </is>
      </c>
      <c r="D731" s="1" t="inlineStr">
        <is>
          <t>GFORE Embossed Skull &amp; Tees Leather Backpack (Nimbus)</t>
        </is>
      </c>
      <c r="E731" s="1" t="inlineStr">
        <is>
          <t>GFORE</t>
        </is>
      </c>
      <c r="F731" s="1" t="inlineStr">
        <is>
          <t>BACKPACK/RUCKSACK</t>
        </is>
      </c>
      <c r="G731" s="1" t="inlineStr">
        <is>
          <t>GF3010300451</t>
        </is>
      </c>
      <c r="H731" s="1" t="n">
        <v>1</v>
      </c>
      <c r="I731" s="1" t="inlineStr">
        <is>
          <t>มี</t>
        </is>
      </c>
      <c r="J731" s="13" t="n">
        <v>950</v>
      </c>
      <c r="K731" s="1" t="inlineStr"/>
      <c r="L731" s="13" t="n">
        <v>950</v>
      </c>
      <c r="M731" s="1">
        <f>IF(L731="","ไม่พบใน SG",IF(ABS(J731-L731)&lt;0.005,"ตรงกัน","ไม่ตรง"))</f>
        <v/>
      </c>
      <c r="N731" s="14">
        <f>IF(L731="","",ROUND(L731*'สรุป'!$C$6,-1))</f>
        <v/>
      </c>
      <c r="O731" s="15" t="n"/>
      <c r="P731" s="15" t="n"/>
      <c r="Q731" s="10" t="n"/>
      <c r="R731" s="10" t="n"/>
      <c r="S731" s="16" t="inlineStr">
        <is>
          <t>https://mstgolf.co.th/products/gf3010300451</t>
        </is>
      </c>
      <c r="T731" s="1">
        <f>IF(B731="ไม้กอล์ฟ",J731,"")</f>
        <v/>
      </c>
    </row>
    <row r="732">
      <c r="A732" s="1" t="n">
        <v>2</v>
      </c>
      <c r="B732" s="1" t="inlineStr">
        <is>
          <t>ถุงกอล์ฟ</t>
        </is>
      </c>
      <c r="C732" s="1" t="inlineStr">
        <is>
          <t>gf3000102725</t>
        </is>
      </c>
      <c r="D732" s="1" t="inlineStr">
        <is>
          <t>GFORE Saffiano Boro Tour Caddie Bag (Onyx)</t>
        </is>
      </c>
      <c r="E732" s="1" t="inlineStr">
        <is>
          <t>GFORE</t>
        </is>
      </c>
      <c r="F732" s="1" t="inlineStr">
        <is>
          <t>CADDIE/CART BAG</t>
        </is>
      </c>
      <c r="G732" s="1" t="inlineStr">
        <is>
          <t>GF3000102725</t>
        </is>
      </c>
      <c r="H732" s="1" t="n">
        <v>1</v>
      </c>
      <c r="I732" s="1" t="inlineStr">
        <is>
          <t>มี</t>
        </is>
      </c>
      <c r="J732" s="13" t="n">
        <v>735</v>
      </c>
      <c r="K732" s="1" t="inlineStr"/>
      <c r="L732" s="13" t="n">
        <v>735</v>
      </c>
      <c r="M732" s="1">
        <f>IF(L732="","ไม่พบใน SG",IF(ABS(J732-L732)&lt;0.005,"ตรงกัน","ไม่ตรง"))</f>
        <v/>
      </c>
      <c r="N732" s="14">
        <f>IF(L732="","",ROUND(L732*'สรุป'!$C$6,-1))</f>
        <v/>
      </c>
      <c r="O732" s="15" t="n"/>
      <c r="P732" s="15" t="n"/>
      <c r="Q732" s="10" t="n"/>
      <c r="R732" s="10" t="n"/>
      <c r="S732" s="16" t="inlineStr">
        <is>
          <t>https://mstgolf.co.th/products/gf3000102725</t>
        </is>
      </c>
      <c r="T732" s="1">
        <f>IF(B732="ไม้กอล์ฟ",J732,"")</f>
        <v/>
      </c>
    </row>
    <row r="733">
      <c r="A733" s="1" t="n">
        <v>2</v>
      </c>
      <c r="B733" s="1" t="inlineStr">
        <is>
          <t>ถุงกอล์ฟ</t>
        </is>
      </c>
      <c r="C733" s="1" t="inlineStr">
        <is>
          <t>gf3000201086</t>
        </is>
      </c>
      <c r="D733" s="1" t="inlineStr">
        <is>
          <t>GFORE Bandana Killer Luxe Stand Bag (Onyx)</t>
        </is>
      </c>
      <c r="E733" s="1" t="inlineStr">
        <is>
          <t>GFORE</t>
        </is>
      </c>
      <c r="F733" s="1" t="inlineStr">
        <is>
          <t>STAND BAG</t>
        </is>
      </c>
      <c r="G733" s="1" t="inlineStr">
        <is>
          <t>GF3000201086</t>
        </is>
      </c>
      <c r="H733" s="1" t="n">
        <v>1</v>
      </c>
      <c r="I733" s="1" t="inlineStr">
        <is>
          <t>มี</t>
        </is>
      </c>
      <c r="J733" s="13" t="n">
        <v>699</v>
      </c>
      <c r="K733" s="1" t="inlineStr"/>
      <c r="L733" s="13" t="n">
        <v>329</v>
      </c>
      <c r="M733" s="1">
        <f>IF(L733="","ไม่พบใน SG",IF(ABS(J733-L733)&lt;0.005,"ตรงกัน","ไม่ตรง"))</f>
        <v/>
      </c>
      <c r="N733" s="14">
        <f>IF(L733="","",ROUND(L733*'สรุป'!$C$6,-1))</f>
        <v/>
      </c>
      <c r="O733" s="15" t="n"/>
      <c r="P733" s="15" t="n"/>
      <c r="Q733" s="10" t="n"/>
      <c r="R733" s="10" t="n"/>
      <c r="S733" s="16" t="inlineStr">
        <is>
          <t>https://mstgolf.co.th/products/gf3000201086</t>
        </is>
      </c>
      <c r="T733" s="1">
        <f>IF(B733="ไม้กอล์ฟ",J733,"")</f>
        <v/>
      </c>
    </row>
    <row r="734">
      <c r="A734" s="1" t="n">
        <v>2</v>
      </c>
      <c r="B734" s="1" t="inlineStr">
        <is>
          <t>ถุงกอล์ฟ</t>
        </is>
      </c>
      <c r="C734" s="1" t="inlineStr">
        <is>
          <t>gf3000102975</t>
        </is>
      </c>
      <c r="D734" s="1" t="inlineStr">
        <is>
          <t>WAAC 9" 2-Wheel Women's Caddie Bag (Multi)</t>
        </is>
      </c>
      <c r="E734" s="1" t="inlineStr">
        <is>
          <t>WAAC</t>
        </is>
      </c>
      <c r="F734" s="1" t="inlineStr">
        <is>
          <t>CADDIE/CART BAG</t>
        </is>
      </c>
      <c r="G734" s="1" t="inlineStr">
        <is>
          <t>GF3000102975</t>
        </is>
      </c>
      <c r="H734" s="1" t="n">
        <v>1</v>
      </c>
      <c r="I734" s="1" t="inlineStr">
        <is>
          <t>มี</t>
        </is>
      </c>
      <c r="J734" s="13" t="n">
        <v>689</v>
      </c>
      <c r="K734" s="1" t="inlineStr"/>
      <c r="L734" s="13" t="n">
        <v>689</v>
      </c>
      <c r="M734" s="1">
        <f>IF(L734="","ไม่พบใน SG",IF(ABS(J734-L734)&lt;0.005,"ตรงกัน","ไม่ตรง"))</f>
        <v/>
      </c>
      <c r="N734" s="14">
        <f>IF(L734="","",ROUND(L734*'สรุป'!$C$6,-1))</f>
        <v/>
      </c>
      <c r="O734" s="15" t="n"/>
      <c r="P734" s="15" t="n"/>
      <c r="Q734" s="10" t="n"/>
      <c r="R734" s="10" t="n"/>
      <c r="S734" s="16" t="inlineStr">
        <is>
          <t>https://mstgolf.co.th/products/gf3000102975</t>
        </is>
      </c>
      <c r="T734" s="1">
        <f>IF(B734="ไม้กอล์ฟ",J734,"")</f>
        <v/>
      </c>
    </row>
    <row r="735">
      <c r="A735" s="1" t="n">
        <v>2</v>
      </c>
      <c r="B735" s="1" t="inlineStr">
        <is>
          <t>ถุงกอล์ฟ</t>
        </is>
      </c>
      <c r="C735" s="1" t="inlineStr">
        <is>
          <t>gf3000201290</t>
        </is>
      </c>
      <c r="D735" s="1" t="inlineStr">
        <is>
          <t>GFORE Daytona Plus Stand Bag (Stone)</t>
        </is>
      </c>
      <c r="E735" s="1" t="inlineStr">
        <is>
          <t>GFORE</t>
        </is>
      </c>
      <c r="F735" s="1" t="inlineStr">
        <is>
          <t>STAND BAG</t>
        </is>
      </c>
      <c r="G735" s="1" t="inlineStr">
        <is>
          <t>GF3000201290</t>
        </is>
      </c>
      <c r="H735" s="1" t="n">
        <v>1</v>
      </c>
      <c r="I735" s="1" t="inlineStr">
        <is>
          <t>มี</t>
        </is>
      </c>
      <c r="J735" s="13" t="n">
        <v>659</v>
      </c>
      <c r="K735" s="1" t="inlineStr"/>
      <c r="L735" s="13" t="n">
        <v>659</v>
      </c>
      <c r="M735" s="1">
        <f>IF(L735="","ไม่พบใน SG",IF(ABS(J735-L735)&lt;0.005,"ตรงกัน","ไม่ตรง"))</f>
        <v/>
      </c>
      <c r="N735" s="14">
        <f>IF(L735="","",ROUND(L735*'สรุป'!$C$6,-1))</f>
        <v/>
      </c>
      <c r="O735" s="15" t="n"/>
      <c r="P735" s="15" t="n"/>
      <c r="Q735" s="10" t="n"/>
      <c r="R735" s="10" t="n"/>
      <c r="S735" s="16" t="inlineStr">
        <is>
          <t>https://mstgolf.co.th/products/gf3000201290</t>
        </is>
      </c>
      <c r="T735" s="1">
        <f>IF(B735="ไม้กอล์ฟ",J735,"")</f>
        <v/>
      </c>
    </row>
    <row r="736">
      <c r="A736" s="1" t="n">
        <v>2</v>
      </c>
      <c r="B736" s="1" t="inlineStr">
        <is>
          <t>ถุงกอล์ฟ</t>
        </is>
      </c>
      <c r="C736" s="1" t="inlineStr">
        <is>
          <t>gf3000201496</t>
        </is>
      </c>
      <c r="D736" s="1" t="inlineStr">
        <is>
          <t>GFORE Limited Edition Daytona Stand Bag (Multi)</t>
        </is>
      </c>
      <c r="E736" s="1" t="inlineStr">
        <is>
          <t>GFORE</t>
        </is>
      </c>
      <c r="F736" s="1" t="inlineStr">
        <is>
          <t>STAND BAG</t>
        </is>
      </c>
      <c r="G736" s="1" t="inlineStr">
        <is>
          <t>GF3000201496</t>
        </is>
      </c>
      <c r="H736" s="1" t="n">
        <v>1</v>
      </c>
      <c r="I736" s="1" t="inlineStr">
        <is>
          <t>มี</t>
        </is>
      </c>
      <c r="J736" s="13" t="n">
        <v>659</v>
      </c>
      <c r="K736" s="1" t="inlineStr"/>
      <c r="L736" s="13" t="n">
        <v>659</v>
      </c>
      <c r="M736" s="1">
        <f>IF(L736="","ไม่พบใน SG",IF(ABS(J736-L736)&lt;0.005,"ตรงกัน","ไม่ตรง"))</f>
        <v/>
      </c>
      <c r="N736" s="14">
        <f>IF(L736="","",ROUND(L736*'สรุป'!$C$6,-1))</f>
        <v/>
      </c>
      <c r="O736" s="15" t="n"/>
      <c r="P736" s="15" t="n"/>
      <c r="Q736" s="10" t="n"/>
      <c r="R736" s="10" t="n"/>
      <c r="S736" s="16" t="inlineStr">
        <is>
          <t>https://mstgolf.co.th/products/gf3000201496</t>
        </is>
      </c>
      <c r="T736" s="1">
        <f>IF(B736="ไม้กอล์ฟ",J736,"")</f>
        <v/>
      </c>
    </row>
    <row r="737">
      <c r="A737" s="1" t="n">
        <v>2</v>
      </c>
      <c r="B737" s="1" t="inlineStr">
        <is>
          <t>ถุงกอล์ฟ</t>
        </is>
      </c>
      <c r="C737" s="1" t="inlineStr">
        <is>
          <t>gf3000103180</t>
        </is>
      </c>
      <c r="D737" s="1" t="inlineStr">
        <is>
          <t>YAMAHA 9.5" Caddie Bag (Black/Copper)</t>
        </is>
      </c>
      <c r="E737" s="1" t="inlineStr">
        <is>
          <t>YAMAHA</t>
        </is>
      </c>
      <c r="F737" s="1" t="inlineStr">
        <is>
          <t>CADDIE/CART BAG</t>
        </is>
      </c>
      <c r="G737" s="1" t="inlineStr">
        <is>
          <t>GF3000103180</t>
        </is>
      </c>
      <c r="H737" s="1" t="n">
        <v>1</v>
      </c>
      <c r="I737" s="1" t="inlineStr">
        <is>
          <t>มี</t>
        </is>
      </c>
      <c r="J737" s="13" t="n">
        <v>659</v>
      </c>
      <c r="K737" s="1" t="inlineStr"/>
      <c r="L737" s="13" t="n">
        <v>529</v>
      </c>
      <c r="M737" s="1">
        <f>IF(L737="","ไม่พบใน SG",IF(ABS(J737-L737)&lt;0.005,"ตรงกัน","ไม่ตรง"))</f>
        <v/>
      </c>
      <c r="N737" s="14">
        <f>IF(L737="","",ROUND(L737*'สรุป'!$C$6,-1))</f>
        <v/>
      </c>
      <c r="O737" s="15" t="n"/>
      <c r="P737" s="15" t="n"/>
      <c r="Q737" s="10" t="n"/>
      <c r="R737" s="10" t="n"/>
      <c r="S737" s="16" t="inlineStr">
        <is>
          <t>https://mstgolf.co.th/products/gf3000103180</t>
        </is>
      </c>
      <c r="T737" s="1">
        <f>IF(B737="ไม้กอล์ฟ",J737,"")</f>
        <v/>
      </c>
    </row>
    <row r="738">
      <c r="A738" s="1" t="n">
        <v>2</v>
      </c>
      <c r="B738" s="1" t="inlineStr">
        <is>
          <t>ถุงกอล์ฟ</t>
        </is>
      </c>
      <c r="C738" s="1" t="inlineStr">
        <is>
          <t>gf3000103179</t>
        </is>
      </c>
      <c r="D738" s="1" t="inlineStr">
        <is>
          <t>YAMAHA 9.5" Caddie Bag (Black/Red)</t>
        </is>
      </c>
      <c r="E738" s="1" t="inlineStr">
        <is>
          <t>YAMAHA</t>
        </is>
      </c>
      <c r="F738" s="1" t="inlineStr">
        <is>
          <t>CADDIE/CART BAG</t>
        </is>
      </c>
      <c r="G738" s="1" t="inlineStr">
        <is>
          <t>GF3000103179</t>
        </is>
      </c>
      <c r="H738" s="1" t="n">
        <v>1</v>
      </c>
      <c r="I738" s="1" t="inlineStr">
        <is>
          <t>มี</t>
        </is>
      </c>
      <c r="J738" s="13" t="n">
        <v>659</v>
      </c>
      <c r="K738" s="1" t="inlineStr"/>
      <c r="L738" s="13" t="n">
        <v>529</v>
      </c>
      <c r="M738" s="1">
        <f>IF(L738="","ไม่พบใน SG",IF(ABS(J738-L738)&lt;0.005,"ตรงกัน","ไม่ตรง"))</f>
        <v/>
      </c>
      <c r="N738" s="14">
        <f>IF(L738="","",ROUND(L738*'สรุป'!$C$6,-1))</f>
        <v/>
      </c>
      <c r="O738" s="15" t="n"/>
      <c r="P738" s="15" t="n"/>
      <c r="Q738" s="10" t="n"/>
      <c r="R738" s="10" t="n"/>
      <c r="S738" s="16" t="inlineStr">
        <is>
          <t>https://mstgolf.co.th/products/gf3000103179</t>
        </is>
      </c>
      <c r="T738" s="1">
        <f>IF(B738="ไม้กอล์ฟ",J738,"")</f>
        <v/>
      </c>
    </row>
    <row r="739">
      <c r="A739" s="1" t="n">
        <v>2</v>
      </c>
      <c r="B739" s="1" t="inlineStr">
        <is>
          <t>ถุงกอล์ฟ</t>
        </is>
      </c>
      <c r="C739" s="1" t="inlineStr">
        <is>
          <t>gf3000103178</t>
        </is>
      </c>
      <c r="D739" s="1" t="inlineStr">
        <is>
          <t>YAMAHA 9.5" Caddie Bag (White/Black)</t>
        </is>
      </c>
      <c r="E739" s="1" t="inlineStr">
        <is>
          <t>YAMAHA</t>
        </is>
      </c>
      <c r="F739" s="1" t="inlineStr">
        <is>
          <t>CADDIE/CART BAG</t>
        </is>
      </c>
      <c r="G739" s="1" t="inlineStr">
        <is>
          <t>GF3000103178</t>
        </is>
      </c>
      <c r="H739" s="1" t="n">
        <v>1</v>
      </c>
      <c r="I739" s="1" t="inlineStr">
        <is>
          <t>มี</t>
        </is>
      </c>
      <c r="J739" s="13" t="n">
        <v>659</v>
      </c>
      <c r="K739" s="1" t="inlineStr"/>
      <c r="L739" s="13" t="n">
        <v>529</v>
      </c>
      <c r="M739" s="1">
        <f>IF(L739="","ไม่พบใน SG",IF(ABS(J739-L739)&lt;0.005,"ตรงกัน","ไม่ตรง"))</f>
        <v/>
      </c>
      <c r="N739" s="14">
        <f>IF(L739="","",ROUND(L739*'สรุป'!$C$6,-1))</f>
        <v/>
      </c>
      <c r="O739" s="15" t="n"/>
      <c r="P739" s="15" t="n"/>
      <c r="Q739" s="10" t="n"/>
      <c r="R739" s="10" t="n"/>
      <c r="S739" s="16" t="inlineStr">
        <is>
          <t>https://mstgolf.co.th/products/gf3000103178</t>
        </is>
      </c>
      <c r="T739" s="1">
        <f>IF(B739="ไม้กอล์ฟ",J739,"")</f>
        <v/>
      </c>
    </row>
    <row r="740">
      <c r="A740" s="1" t="n">
        <v>2</v>
      </c>
      <c r="B740" s="1" t="inlineStr">
        <is>
          <t>ถุงกอล์ฟ</t>
        </is>
      </c>
      <c r="C740" s="1" t="inlineStr">
        <is>
          <t>gf3000103177</t>
        </is>
      </c>
      <c r="D740" s="1" t="inlineStr">
        <is>
          <t>YAMAHA 9.5" Caddie Bag (White/Navy/Red)</t>
        </is>
      </c>
      <c r="E740" s="1" t="inlineStr">
        <is>
          <t>YAMAHA</t>
        </is>
      </c>
      <c r="F740" s="1" t="inlineStr">
        <is>
          <t>CADDIE/CART BAG</t>
        </is>
      </c>
      <c r="G740" s="1" t="inlineStr">
        <is>
          <t>GF3000103177</t>
        </is>
      </c>
      <c r="H740" s="1" t="n">
        <v>1</v>
      </c>
      <c r="I740" s="1" t="inlineStr">
        <is>
          <t>มี</t>
        </is>
      </c>
      <c r="J740" s="13" t="n">
        <v>659</v>
      </c>
      <c r="K740" s="1" t="inlineStr"/>
      <c r="L740" s="13" t="n">
        <v>529</v>
      </c>
      <c r="M740" s="1">
        <f>IF(L740="","ไม่พบใน SG",IF(ABS(J740-L740)&lt;0.005,"ตรงกัน","ไม่ตรง"))</f>
        <v/>
      </c>
      <c r="N740" s="14">
        <f>IF(L740="","",ROUND(L740*'สรุป'!$C$6,-1))</f>
        <v/>
      </c>
      <c r="O740" s="15" t="n"/>
      <c r="P740" s="15" t="n"/>
      <c r="Q740" s="10" t="n"/>
      <c r="R740" s="10" t="n"/>
      <c r="S740" s="16" t="inlineStr">
        <is>
          <t>https://mstgolf.co.th/products/gf3000103177</t>
        </is>
      </c>
      <c r="T740" s="1">
        <f>IF(B740="ไม้กอล์ฟ",J740,"")</f>
        <v/>
      </c>
    </row>
    <row r="741">
      <c r="A741" s="1" t="n">
        <v>2</v>
      </c>
      <c r="B741" s="1" t="inlineStr">
        <is>
          <t>ถุงกอล์ฟ</t>
        </is>
      </c>
      <c r="C741" s="1" t="inlineStr">
        <is>
          <t>gf3000201240</t>
        </is>
      </c>
      <c r="D741" s="1" t="inlineStr">
        <is>
          <t>GFORE Daytona Plus Stand Bag (Onyx)</t>
        </is>
      </c>
      <c r="E741" s="1" t="inlineStr">
        <is>
          <t>GFORE</t>
        </is>
      </c>
      <c r="F741" s="1" t="inlineStr">
        <is>
          <t>STAND BAG</t>
        </is>
      </c>
      <c r="G741" s="1" t="inlineStr">
        <is>
          <t>GF3000201240</t>
        </is>
      </c>
      <c r="H741" s="1" t="n">
        <v>1</v>
      </c>
      <c r="I741" s="1" t="inlineStr">
        <is>
          <t>มี</t>
        </is>
      </c>
      <c r="J741" s="13" t="n">
        <v>629</v>
      </c>
      <c r="K741" s="1" t="inlineStr"/>
      <c r="L741" s="13" t="n">
        <v>629</v>
      </c>
      <c r="M741" s="1">
        <f>IF(L741="","ไม่พบใน SG",IF(ABS(J741-L741)&lt;0.005,"ตรงกัน","ไม่ตรง"))</f>
        <v/>
      </c>
      <c r="N741" s="14">
        <f>IF(L741="","",ROUND(L741*'สรุป'!$C$6,-1))</f>
        <v/>
      </c>
      <c r="O741" s="15" t="n"/>
      <c r="P741" s="15" t="n"/>
      <c r="Q741" s="10" t="n"/>
      <c r="R741" s="10" t="n"/>
      <c r="S741" s="16" t="inlineStr">
        <is>
          <t>https://mstgolf.co.th/products/gf3000201240</t>
        </is>
      </c>
      <c r="T741" s="1">
        <f>IF(B741="ไม้กอล์ฟ",J741,"")</f>
        <v/>
      </c>
    </row>
    <row r="742">
      <c r="A742" s="1" t="n">
        <v>2</v>
      </c>
      <c r="B742" s="1" t="inlineStr">
        <is>
          <t>ถุงกอล์ฟ</t>
        </is>
      </c>
      <c r="C742" s="1" t="inlineStr">
        <is>
          <t>gf3000201241</t>
        </is>
      </c>
      <c r="D742" s="1" t="inlineStr">
        <is>
          <t>GFORE Daytona Plus Stand Bag (Twilight)</t>
        </is>
      </c>
      <c r="E742" s="1" t="inlineStr">
        <is>
          <t>GFORE</t>
        </is>
      </c>
      <c r="F742" s="1" t="inlineStr">
        <is>
          <t>STAND BAG</t>
        </is>
      </c>
      <c r="G742" s="1" t="inlineStr">
        <is>
          <t>GF3000201241</t>
        </is>
      </c>
      <c r="H742" s="1" t="n">
        <v>1</v>
      </c>
      <c r="I742" s="1" t="inlineStr">
        <is>
          <t>มี</t>
        </is>
      </c>
      <c r="J742" s="13" t="n">
        <v>629</v>
      </c>
      <c r="K742" s="1" t="inlineStr"/>
      <c r="L742" s="13" t="n">
        <v>629</v>
      </c>
      <c r="M742" s="1">
        <f>IF(L742="","ไม่พบใน SG",IF(ABS(J742-L742)&lt;0.005,"ตรงกัน","ไม่ตรง"))</f>
        <v/>
      </c>
      <c r="N742" s="14">
        <f>IF(L742="","",ROUND(L742*'สรุป'!$C$6,-1))</f>
        <v/>
      </c>
      <c r="O742" s="15" t="n"/>
      <c r="P742" s="15" t="n"/>
      <c r="Q742" s="10" t="n"/>
      <c r="R742" s="10" t="n"/>
      <c r="S742" s="16" t="inlineStr">
        <is>
          <t>https://mstgolf.co.th/products/gf3000201241</t>
        </is>
      </c>
      <c r="T742" s="1">
        <f>IF(B742="ไม้กอล์ฟ",J742,"")</f>
        <v/>
      </c>
    </row>
    <row r="743">
      <c r="A743" s="1" t="n">
        <v>2</v>
      </c>
      <c r="B743" s="1" t="inlineStr">
        <is>
          <t>ถุงกอล์ฟ</t>
        </is>
      </c>
      <c r="C743" s="1" t="inlineStr">
        <is>
          <t>gf3000201244</t>
        </is>
      </c>
      <c r="D743" s="1" t="inlineStr">
        <is>
          <t>GFORE Lightweight 4-Way Stand Bag (Monsoon)</t>
        </is>
      </c>
      <c r="E743" s="1" t="inlineStr">
        <is>
          <t>GFORE</t>
        </is>
      </c>
      <c r="F743" s="1" t="inlineStr">
        <is>
          <t>STAND BAG</t>
        </is>
      </c>
      <c r="G743" s="1" t="inlineStr">
        <is>
          <t>GF3000201244</t>
        </is>
      </c>
      <c r="H743" s="1" t="n">
        <v>1</v>
      </c>
      <c r="I743" s="1" t="inlineStr">
        <is>
          <t>มี</t>
        </is>
      </c>
      <c r="J743" s="13" t="n">
        <v>629</v>
      </c>
      <c r="K743" s="1" t="inlineStr"/>
      <c r="L743" s="13" t="n">
        <v>629</v>
      </c>
      <c r="M743" s="1">
        <f>IF(L743="","ไม่พบใน SG",IF(ABS(J743-L743)&lt;0.005,"ตรงกัน","ไม่ตรง"))</f>
        <v/>
      </c>
      <c r="N743" s="14">
        <f>IF(L743="","",ROUND(L743*'สรุป'!$C$6,-1))</f>
        <v/>
      </c>
      <c r="O743" s="15" t="n"/>
      <c r="P743" s="15" t="n"/>
      <c r="Q743" s="10" t="n"/>
      <c r="R743" s="10" t="n"/>
      <c r="S743" s="16" t="inlineStr">
        <is>
          <t>https://mstgolf.co.th/products/gf3000201244</t>
        </is>
      </c>
      <c r="T743" s="1">
        <f>IF(B743="ไม้กอล์ฟ",J743,"")</f>
        <v/>
      </c>
    </row>
    <row r="744">
      <c r="A744" s="1" t="n">
        <v>2</v>
      </c>
      <c r="B744" s="1" t="inlineStr">
        <is>
          <t>ถุงกอล์ฟ</t>
        </is>
      </c>
      <c r="C744" s="1" t="inlineStr">
        <is>
          <t>gf3000201245</t>
        </is>
      </c>
      <c r="D744" s="1" t="inlineStr">
        <is>
          <t>GFORE Lightweight 4-Way Stand Bag (Nimbus)</t>
        </is>
      </c>
      <c r="E744" s="1" t="inlineStr">
        <is>
          <t>GFORE</t>
        </is>
      </c>
      <c r="F744" s="1" t="inlineStr">
        <is>
          <t>STAND BAG</t>
        </is>
      </c>
      <c r="G744" s="1" t="inlineStr">
        <is>
          <t>GF3000201245</t>
        </is>
      </c>
      <c r="H744" s="1" t="n">
        <v>1</v>
      </c>
      <c r="I744" s="1" t="inlineStr">
        <is>
          <t>มี</t>
        </is>
      </c>
      <c r="J744" s="13" t="n">
        <v>629</v>
      </c>
      <c r="K744" s="1" t="inlineStr"/>
      <c r="L744" s="13" t="n">
        <v>629</v>
      </c>
      <c r="M744" s="1">
        <f>IF(L744="","ไม่พบใน SG",IF(ABS(J744-L744)&lt;0.005,"ตรงกัน","ไม่ตรง"))</f>
        <v/>
      </c>
      <c r="N744" s="14">
        <f>IF(L744="","",ROUND(L744*'สรุป'!$C$6,-1))</f>
        <v/>
      </c>
      <c r="O744" s="15" t="n"/>
      <c r="P744" s="15" t="n"/>
      <c r="Q744" s="10" t="n"/>
      <c r="R744" s="10" t="n"/>
      <c r="S744" s="16" t="inlineStr">
        <is>
          <t>https://mstgolf.co.th/products/gf3000201245</t>
        </is>
      </c>
      <c r="T744" s="1">
        <f>IF(B744="ไม้กอล์ฟ",J744,"")</f>
        <v/>
      </c>
    </row>
    <row r="745">
      <c r="A745" s="1" t="n">
        <v>2</v>
      </c>
      <c r="B745" s="1" t="inlineStr">
        <is>
          <t>ถุงกอล์ฟ</t>
        </is>
      </c>
      <c r="C745" s="1" t="inlineStr">
        <is>
          <t>gf3000201091</t>
        </is>
      </c>
      <c r="D745" s="1" t="inlineStr">
        <is>
          <t>GFORE Lightweight 4-Way Stand Bag (Twilight)</t>
        </is>
      </c>
      <c r="E745" s="1" t="inlineStr">
        <is>
          <t>GFORE</t>
        </is>
      </c>
      <c r="F745" s="1" t="inlineStr">
        <is>
          <t>STAND BAG</t>
        </is>
      </c>
      <c r="G745" s="1" t="inlineStr">
        <is>
          <t>GF3000201091</t>
        </is>
      </c>
      <c r="H745" s="1" t="n">
        <v>1</v>
      </c>
      <c r="I745" s="1" t="inlineStr">
        <is>
          <t>มี</t>
        </is>
      </c>
      <c r="J745" s="13" t="n">
        <v>629</v>
      </c>
      <c r="K745" s="1" t="inlineStr"/>
      <c r="L745" s="13" t="n">
        <v>629</v>
      </c>
      <c r="M745" s="1">
        <f>IF(L745="","ไม่พบใน SG",IF(ABS(J745-L745)&lt;0.005,"ตรงกัน","ไม่ตรง"))</f>
        <v/>
      </c>
      <c r="N745" s="14">
        <f>IF(L745="","",ROUND(L745*'สรุป'!$C$6,-1))</f>
        <v/>
      </c>
      <c r="O745" s="15" t="n"/>
      <c r="P745" s="15" t="n"/>
      <c r="Q745" s="10" t="n"/>
      <c r="R745" s="10" t="n"/>
      <c r="S745" s="16" t="inlineStr">
        <is>
          <t>https://mstgolf.co.th/products/gf3000201091</t>
        </is>
      </c>
      <c r="T745" s="1">
        <f>IF(B745="ไม้กอล์ฟ",J745,"")</f>
        <v/>
      </c>
    </row>
    <row r="746">
      <c r="A746" s="1" t="n">
        <v>2</v>
      </c>
      <c r="B746" s="1" t="inlineStr">
        <is>
          <t>ถุงกอล์ฟ</t>
        </is>
      </c>
      <c r="C746" s="1" t="inlineStr">
        <is>
          <t>gf3000201446</t>
        </is>
      </c>
      <c r="D746" s="1" t="inlineStr">
        <is>
          <t>MALBON GOLF Trophy Performance Stand Bag (Green)</t>
        </is>
      </c>
      <c r="E746" s="1" t="inlineStr">
        <is>
          <t>MALBON GOLF</t>
        </is>
      </c>
      <c r="F746" s="1" t="inlineStr">
        <is>
          <t>STAND BAG</t>
        </is>
      </c>
      <c r="G746" s="1" t="inlineStr">
        <is>
          <t>GF3000201446</t>
        </is>
      </c>
      <c r="H746" s="1" t="n">
        <v>1</v>
      </c>
      <c r="I746" s="1" t="inlineStr">
        <is>
          <t>มี</t>
        </is>
      </c>
      <c r="J746" s="13" t="n">
        <v>599</v>
      </c>
      <c r="K746" s="1" t="inlineStr"/>
      <c r="L746" s="13" t="n">
        <v>599</v>
      </c>
      <c r="M746" s="1">
        <f>IF(L746="","ไม่พบใน SG",IF(ABS(J746-L746)&lt;0.005,"ตรงกัน","ไม่ตรง"))</f>
        <v/>
      </c>
      <c r="N746" s="14">
        <f>IF(L746="","",ROUND(L746*'สรุป'!$C$6,-1))</f>
        <v/>
      </c>
      <c r="O746" s="15" t="n"/>
      <c r="P746" s="15" t="n"/>
      <c r="Q746" s="10" t="n"/>
      <c r="R746" s="10" t="n"/>
      <c r="S746" s="16" t="inlineStr">
        <is>
          <t>https://mstgolf.co.th/products/gf3000201446</t>
        </is>
      </c>
      <c r="T746" s="1">
        <f>IF(B746="ไม้กอล์ฟ",J746,"")</f>
        <v/>
      </c>
    </row>
    <row r="747">
      <c r="A747" s="1" t="n">
        <v>2</v>
      </c>
      <c r="B747" s="1" t="inlineStr">
        <is>
          <t>ถุงกอล์ฟ</t>
        </is>
      </c>
      <c r="C747" s="1" t="inlineStr">
        <is>
          <t>gf3000102255</t>
        </is>
      </c>
      <c r="D747" s="1" t="inlineStr">
        <is>
          <t>TAYLORMADE PGA Championship 2022 Staff Bag (Blue)</t>
        </is>
      </c>
      <c r="E747" s="1" t="inlineStr">
        <is>
          <t>TAYLORMADE</t>
        </is>
      </c>
      <c r="F747" s="1" t="inlineStr">
        <is>
          <t>CADDIE/CART BAG</t>
        </is>
      </c>
      <c r="G747" s="1" t="inlineStr">
        <is>
          <t>GF3000102255</t>
        </is>
      </c>
      <c r="H747" s="1" t="n">
        <v>1</v>
      </c>
      <c r="I747" s="1" t="inlineStr">
        <is>
          <t>มี</t>
        </is>
      </c>
      <c r="J747" s="13" t="n">
        <v>559</v>
      </c>
      <c r="K747" s="1" t="inlineStr"/>
      <c r="L747" s="13" t="n">
        <v>559</v>
      </c>
      <c r="M747" s="1">
        <f>IF(L747="","ไม่พบใน SG",IF(ABS(J747-L747)&lt;0.005,"ตรงกัน","ไม่ตรง"))</f>
        <v/>
      </c>
      <c r="N747" s="14">
        <f>IF(L747="","",ROUND(L747*'สรุป'!$C$6,-1))</f>
        <v/>
      </c>
      <c r="O747" s="15" t="n"/>
      <c r="P747" s="15" t="n"/>
      <c r="Q747" s="10" t="n"/>
      <c r="R747" s="10" t="n"/>
      <c r="S747" s="16" t="inlineStr">
        <is>
          <t>https://mstgolf.co.th/products/gf3000102255</t>
        </is>
      </c>
      <c r="T747" s="1">
        <f>IF(B747="ไม้กอล์ฟ",J747,"")</f>
        <v/>
      </c>
    </row>
    <row r="748">
      <c r="A748" s="1" t="n">
        <v>2</v>
      </c>
      <c r="B748" s="1" t="inlineStr">
        <is>
          <t>ถุงกอล์ฟ</t>
        </is>
      </c>
      <c r="C748" s="1" t="inlineStr">
        <is>
          <t>gf3000102748</t>
        </is>
      </c>
      <c r="D748" s="1" t="inlineStr">
        <is>
          <t>TAYLORMADE Players (2024) Staff Bag (Blue)</t>
        </is>
      </c>
      <c r="E748" s="1" t="inlineStr">
        <is>
          <t>TAYLORMADE</t>
        </is>
      </c>
      <c r="F748" s="1" t="inlineStr">
        <is>
          <t>CADDIE/CART BAG</t>
        </is>
      </c>
      <c r="G748" s="1" t="inlineStr">
        <is>
          <t>GF3000102748</t>
        </is>
      </c>
      <c r="H748" s="1" t="n">
        <v>1</v>
      </c>
      <c r="I748" s="1" t="inlineStr">
        <is>
          <t>มี</t>
        </is>
      </c>
      <c r="J748" s="13" t="n">
        <v>549</v>
      </c>
      <c r="K748" s="1" t="inlineStr"/>
      <c r="L748" s="13" t="n">
        <v>549</v>
      </c>
      <c r="M748" s="1">
        <f>IF(L748="","ไม่พบใน SG",IF(ABS(J748-L748)&lt;0.005,"ตรงกัน","ไม่ตรง"))</f>
        <v/>
      </c>
      <c r="N748" s="14">
        <f>IF(L748="","",ROUND(L748*'สรุป'!$C$6,-1))</f>
        <v/>
      </c>
      <c r="O748" s="15" t="n"/>
      <c r="P748" s="15" t="n"/>
      <c r="Q748" s="10" t="n"/>
      <c r="R748" s="10" t="n"/>
      <c r="S748" s="16" t="inlineStr">
        <is>
          <t>https://mstgolf.co.th/products/gf3000102748</t>
        </is>
      </c>
      <c r="T748" s="1">
        <f>IF(B748="ไม้กอล์ฟ",J748,"")</f>
        <v/>
      </c>
    </row>
    <row r="749">
      <c r="A749" s="1" t="n">
        <v>2</v>
      </c>
      <c r="B749" s="1" t="inlineStr">
        <is>
          <t>ถุงกอล์ฟ</t>
        </is>
      </c>
      <c r="C749" s="1" t="inlineStr">
        <is>
          <t>gf3000102668</t>
        </is>
      </c>
      <c r="D749" s="1" t="inlineStr">
        <is>
          <t>TAYLORMADE Open Championship Women's 2023 Staff Bag (White/Red)</t>
        </is>
      </c>
      <c r="E749" s="1" t="inlineStr">
        <is>
          <t>TAYLORMADE</t>
        </is>
      </c>
      <c r="F749" s="1" t="inlineStr">
        <is>
          <t>CADDIE/CART BAG</t>
        </is>
      </c>
      <c r="G749" s="1" t="inlineStr">
        <is>
          <t>GF3000102668</t>
        </is>
      </c>
      <c r="H749" s="1" t="n">
        <v>1</v>
      </c>
      <c r="I749" s="1" t="inlineStr">
        <is>
          <t>มี</t>
        </is>
      </c>
      <c r="J749" s="13" t="n">
        <v>545</v>
      </c>
      <c r="K749" s="1" t="inlineStr"/>
      <c r="L749" s="13" t="n">
        <v>545</v>
      </c>
      <c r="M749" s="1">
        <f>IF(L749="","ไม่พบใน SG",IF(ABS(J749-L749)&lt;0.005,"ตรงกัน","ไม่ตรง"))</f>
        <v/>
      </c>
      <c r="N749" s="14">
        <f>IF(L749="","",ROUND(L749*'สรุป'!$C$6,-1))</f>
        <v/>
      </c>
      <c r="O749" s="15" t="n"/>
      <c r="P749" s="15" t="n"/>
      <c r="Q749" s="10" t="n"/>
      <c r="R749" s="10" t="n"/>
      <c r="S749" s="16" t="inlineStr">
        <is>
          <t>https://mstgolf.co.th/products/gf3000102668</t>
        </is>
      </c>
      <c r="T749" s="1">
        <f>IF(B749="ไม้กอล์ฟ",J749,"")</f>
        <v/>
      </c>
    </row>
    <row r="750">
      <c r="A750" s="1" t="n">
        <v>2</v>
      </c>
      <c r="B750" s="1" t="inlineStr">
        <is>
          <t>ถุงกอล์ฟ</t>
        </is>
      </c>
      <c r="C750" s="1" t="inlineStr">
        <is>
          <t>gf3000102613</t>
        </is>
      </c>
      <c r="D750" s="1" t="inlineStr">
        <is>
          <t>TAYLORMADE PGA Championship Staff Bag</t>
        </is>
      </c>
      <c r="E750" s="1" t="inlineStr">
        <is>
          <t>TAYLORMADE</t>
        </is>
      </c>
      <c r="F750" s="1" t="inlineStr">
        <is>
          <t>CADDIE/CART BAG</t>
        </is>
      </c>
      <c r="G750" s="1" t="inlineStr">
        <is>
          <t>GF3000102613</t>
        </is>
      </c>
      <c r="H750" s="1" t="n">
        <v>1</v>
      </c>
      <c r="I750" s="1" t="inlineStr">
        <is>
          <t>มี</t>
        </is>
      </c>
      <c r="J750" s="13" t="n">
        <v>545</v>
      </c>
      <c r="K750" s="1" t="inlineStr"/>
      <c r="L750" s="13" t="n">
        <v>545</v>
      </c>
      <c r="M750" s="1">
        <f>IF(L750="","ไม่พบใน SG",IF(ABS(J750-L750)&lt;0.005,"ตรงกัน","ไม่ตรง"))</f>
        <v/>
      </c>
      <c r="N750" s="14">
        <f>IF(L750="","",ROUND(L750*'สรุป'!$C$6,-1))</f>
        <v/>
      </c>
      <c r="O750" s="15" t="n"/>
      <c r="P750" s="15" t="n"/>
      <c r="Q750" s="10" t="n"/>
      <c r="R750" s="10" t="n"/>
      <c r="S750" s="16" t="inlineStr">
        <is>
          <t>https://mstgolf.co.th/products/gf3000102613</t>
        </is>
      </c>
      <c r="T750" s="1">
        <f>IF(B750="ไม้กอล์ฟ",J750,"")</f>
        <v/>
      </c>
    </row>
    <row r="751">
      <c r="A751" s="1" t="n">
        <v>2</v>
      </c>
      <c r="B751" s="1" t="inlineStr">
        <is>
          <t>ถุงกอล์ฟ</t>
        </is>
      </c>
      <c r="C751" s="1" t="inlineStr">
        <is>
          <t>gf3000102616</t>
        </is>
      </c>
      <c r="D751" s="1" t="inlineStr">
        <is>
          <t>TAYLORMADE The Open 2023 Staff Bag (Blue/Yellow)</t>
        </is>
      </c>
      <c r="E751" s="1" t="inlineStr">
        <is>
          <t>TAYLORMADE</t>
        </is>
      </c>
      <c r="F751" s="1" t="inlineStr">
        <is>
          <t>CADDIE/CART BAG</t>
        </is>
      </c>
      <c r="G751" s="1" t="inlineStr">
        <is>
          <t>GF3000102616</t>
        </is>
      </c>
      <c r="H751" s="1" t="n">
        <v>1</v>
      </c>
      <c r="I751" s="1" t="inlineStr">
        <is>
          <t>มี</t>
        </is>
      </c>
      <c r="J751" s="13" t="n">
        <v>545</v>
      </c>
      <c r="K751" s="1" t="inlineStr"/>
      <c r="L751" s="13" t="n">
        <v>545</v>
      </c>
      <c r="M751" s="1">
        <f>IF(L751="","ไม่พบใน SG",IF(ABS(J751-L751)&lt;0.005,"ตรงกัน","ไม่ตรง"))</f>
        <v/>
      </c>
      <c r="N751" s="14">
        <f>IF(L751="","",ROUND(L751*'สรุป'!$C$6,-1))</f>
        <v/>
      </c>
      <c r="O751" s="15" t="n"/>
      <c r="P751" s="15" t="n"/>
      <c r="Q751" s="10" t="n"/>
      <c r="R751" s="10" t="n"/>
      <c r="S751" s="16" t="inlineStr">
        <is>
          <t>https://mstgolf.co.th/products/gf3000102616</t>
        </is>
      </c>
      <c r="T751" s="1">
        <f>IF(B751="ไม้กอล์ฟ",J751,"")</f>
        <v/>
      </c>
    </row>
    <row r="752">
      <c r="A752" s="1" t="n">
        <v>2</v>
      </c>
      <c r="B752" s="1" t="inlineStr">
        <is>
          <t>ถุงกอล์ฟ</t>
        </is>
      </c>
      <c r="C752" s="1" t="inlineStr">
        <is>
          <t>gf3000102669</t>
        </is>
      </c>
      <c r="D752" s="1" t="inlineStr">
        <is>
          <t>TAYLORMADE US Open Women's Staff Bag</t>
        </is>
      </c>
      <c r="E752" s="1" t="inlineStr">
        <is>
          <t>TAYLORMADE</t>
        </is>
      </c>
      <c r="F752" s="1" t="inlineStr">
        <is>
          <t>CADDIE/CART BAG</t>
        </is>
      </c>
      <c r="G752" s="1" t="inlineStr">
        <is>
          <t>GF3000102669</t>
        </is>
      </c>
      <c r="H752" s="1" t="n">
        <v>1</v>
      </c>
      <c r="I752" s="1" t="inlineStr">
        <is>
          <t>มี</t>
        </is>
      </c>
      <c r="J752" s="13" t="n">
        <v>545</v>
      </c>
      <c r="K752" s="1" t="inlineStr"/>
      <c r="L752" s="13" t="n">
        <v>545</v>
      </c>
      <c r="M752" s="1">
        <f>IF(L752="","ไม่พบใน SG",IF(ABS(J752-L752)&lt;0.005,"ตรงกัน","ไม่ตรง"))</f>
        <v/>
      </c>
      <c r="N752" s="14">
        <f>IF(L752="","",ROUND(L752*'สรุป'!$C$6,-1))</f>
        <v/>
      </c>
      <c r="O752" s="15" t="n"/>
      <c r="P752" s="15" t="n"/>
      <c r="Q752" s="10" t="n"/>
      <c r="R752" s="10" t="n"/>
      <c r="S752" s="16" t="inlineStr">
        <is>
          <t>https://mstgolf.co.th/products/gf3000102669</t>
        </is>
      </c>
      <c r="T752" s="1">
        <f>IF(B752="ไม้กอล์ฟ",J752,"")</f>
        <v/>
      </c>
    </row>
    <row r="753">
      <c r="A753" s="1" t="n">
        <v>2</v>
      </c>
      <c r="B753" s="1" t="inlineStr">
        <is>
          <t>ถุงกอล์ฟ</t>
        </is>
      </c>
      <c r="C753" s="1" t="inlineStr">
        <is>
          <t>gf3000201520</t>
        </is>
      </c>
      <c r="D753" s="1" t="inlineStr">
        <is>
          <t>TAYLORMADE Qi35 Tour Stand Bag (Multi)</t>
        </is>
      </c>
      <c r="E753" s="1" t="inlineStr">
        <is>
          <t>TAYLORMADE</t>
        </is>
      </c>
      <c r="F753" s="1" t="inlineStr">
        <is>
          <t>STAND BAG</t>
        </is>
      </c>
      <c r="G753" s="1" t="inlineStr">
        <is>
          <t>GF3000201520</t>
        </is>
      </c>
      <c r="H753" s="1" t="n">
        <v>1</v>
      </c>
      <c r="I753" s="1" t="inlineStr">
        <is>
          <t>มี</t>
        </is>
      </c>
      <c r="J753" s="13" t="n">
        <v>539</v>
      </c>
      <c r="K753" s="1" t="inlineStr"/>
      <c r="L753" s="13" t="n">
        <v>539</v>
      </c>
      <c r="M753" s="1">
        <f>IF(L753="","ไม่พบใน SG",IF(ABS(J753-L753)&lt;0.005,"ตรงกัน","ไม่ตรง"))</f>
        <v/>
      </c>
      <c r="N753" s="14">
        <f>IF(L753="","",ROUND(L753*'สรุป'!$C$6,-1))</f>
        <v/>
      </c>
      <c r="O753" s="15" t="n"/>
      <c r="P753" s="15" t="n"/>
      <c r="Q753" s="10" t="n"/>
      <c r="R753" s="10" t="n"/>
      <c r="S753" s="16" t="inlineStr">
        <is>
          <t>https://mstgolf.co.th/products/gf3000201520</t>
        </is>
      </c>
      <c r="T753" s="1">
        <f>IF(B753="ไม้กอล์ฟ",J753,"")</f>
        <v/>
      </c>
    </row>
    <row r="754">
      <c r="A754" s="1" t="n">
        <v>2</v>
      </c>
      <c r="B754" s="1" t="inlineStr">
        <is>
          <t>ถุงกอล์ฟ</t>
        </is>
      </c>
      <c r="C754" s="1" t="inlineStr">
        <is>
          <t>gf3000102267</t>
        </is>
      </c>
      <c r="D754" s="1" t="inlineStr">
        <is>
          <t>TITLEIST Jet Black Tour Bag (Black/White)</t>
        </is>
      </c>
      <c r="E754" s="1" t="inlineStr">
        <is>
          <t>TITLEIST</t>
        </is>
      </c>
      <c r="F754" s="1" t="inlineStr">
        <is>
          <t>CADDIE/CART BAG</t>
        </is>
      </c>
      <c r="G754" s="1" t="inlineStr">
        <is>
          <t>GF3000102267</t>
        </is>
      </c>
      <c r="H754" s="1" t="n">
        <v>1</v>
      </c>
      <c r="I754" s="1" t="inlineStr">
        <is>
          <t>มี</t>
        </is>
      </c>
      <c r="J754" s="13" t="n">
        <v>515</v>
      </c>
      <c r="K754" s="1" t="inlineStr"/>
      <c r="L754" s="13" t="n">
        <v>515</v>
      </c>
      <c r="M754" s="1">
        <f>IF(L754="","ไม่พบใน SG",IF(ABS(J754-L754)&lt;0.005,"ตรงกัน","ไม่ตรง"))</f>
        <v/>
      </c>
      <c r="N754" s="14">
        <f>IF(L754="","",ROUND(L754*'สรุป'!$C$6,-1))</f>
        <v/>
      </c>
      <c r="O754" s="15" t="n"/>
      <c r="P754" s="15" t="n"/>
      <c r="Q754" s="10" t="n"/>
      <c r="R754" s="10" t="n"/>
      <c r="S754" s="16" t="inlineStr">
        <is>
          <t>https://mstgolf.co.th/products/gf3000102267</t>
        </is>
      </c>
      <c r="T754" s="1">
        <f>IF(B754="ไม้กอล์ฟ",J754,"")</f>
        <v/>
      </c>
    </row>
    <row r="755">
      <c r="A755" s="1" t="n">
        <v>2</v>
      </c>
      <c r="B755" s="1" t="inlineStr">
        <is>
          <t>ถุงกอล์ฟ</t>
        </is>
      </c>
      <c r="C755" s="1" t="inlineStr">
        <is>
          <t>gf3000201087</t>
        </is>
      </c>
      <c r="D755" s="1" t="inlineStr">
        <is>
          <t>GFORE Transporter III 14-Way Stand Bag (Twilight)</t>
        </is>
      </c>
      <c r="E755" s="1" t="inlineStr">
        <is>
          <t>GFORE</t>
        </is>
      </c>
      <c r="F755" s="1" t="inlineStr">
        <is>
          <t>STAND BAG</t>
        </is>
      </c>
      <c r="G755" s="1" t="inlineStr">
        <is>
          <t>GF3000201087</t>
        </is>
      </c>
      <c r="H755" s="1" t="n">
        <v>1</v>
      </c>
      <c r="I755" s="1" t="inlineStr">
        <is>
          <t>มี</t>
        </is>
      </c>
      <c r="J755" s="13" t="n">
        <v>499</v>
      </c>
      <c r="K755" s="1" t="inlineStr"/>
      <c r="L755" s="13" t="n">
        <v>499</v>
      </c>
      <c r="M755" s="1">
        <f>IF(L755="","ไม่พบใน SG",IF(ABS(J755-L755)&lt;0.005,"ตรงกัน","ไม่ตรง"))</f>
        <v/>
      </c>
      <c r="N755" s="14">
        <f>IF(L755="","",ROUND(L755*'สรุป'!$C$6,-1))</f>
        <v/>
      </c>
      <c r="O755" s="15" t="n"/>
      <c r="P755" s="15" t="n"/>
      <c r="Q755" s="10" t="n"/>
      <c r="R755" s="10" t="n"/>
      <c r="S755" s="16" t="inlineStr">
        <is>
          <t>https://mstgolf.co.th/products/gf3000201087</t>
        </is>
      </c>
      <c r="T755" s="1">
        <f>IF(B755="ไม้กอล์ฟ",J755,"")</f>
        <v/>
      </c>
    </row>
    <row r="756">
      <c r="A756" s="1" t="n">
        <v>2</v>
      </c>
      <c r="B756" s="1" t="inlineStr">
        <is>
          <t>ถุงกอล์ฟ</t>
        </is>
      </c>
      <c r="C756" s="1" t="inlineStr">
        <is>
          <t>gf3000102050</t>
        </is>
      </c>
      <c r="D756" s="1" t="inlineStr">
        <is>
          <t>PXG Tour Bag (Black)</t>
        </is>
      </c>
      <c r="E756" s="1" t="inlineStr">
        <is>
          <t>PXG</t>
        </is>
      </c>
      <c r="F756" s="1" t="inlineStr">
        <is>
          <t>CADDIE/CART BAG</t>
        </is>
      </c>
      <c r="G756" s="1" t="inlineStr">
        <is>
          <t>GF3000102050</t>
        </is>
      </c>
      <c r="H756" s="1" t="n">
        <v>1</v>
      </c>
      <c r="I756" s="1" t="inlineStr">
        <is>
          <t>มี</t>
        </is>
      </c>
      <c r="J756" s="13" t="n">
        <v>499</v>
      </c>
      <c r="K756" s="1" t="inlineStr"/>
      <c r="L756" s="13" t="n">
        <v>499</v>
      </c>
      <c r="M756" s="1">
        <f>IF(L756="","ไม่พบใน SG",IF(ABS(J756-L756)&lt;0.005,"ตรงกัน","ไม่ตรง"))</f>
        <v/>
      </c>
      <c r="N756" s="14">
        <f>IF(L756="","",ROUND(L756*'สรุป'!$C$6,-1))</f>
        <v/>
      </c>
      <c r="O756" s="15" t="n"/>
      <c r="P756" s="15" t="n"/>
      <c r="Q756" s="10" t="n"/>
      <c r="R756" s="10" t="n"/>
      <c r="S756" s="16" t="inlineStr">
        <is>
          <t>https://mstgolf.co.th/products/gf3000102050</t>
        </is>
      </c>
      <c r="T756" s="1">
        <f>IF(B756="ไม้กอล์ฟ",J756,"")</f>
        <v/>
      </c>
    </row>
    <row r="757">
      <c r="A757" s="1" t="n">
        <v>2</v>
      </c>
      <c r="B757" s="1" t="inlineStr">
        <is>
          <t>ถุงกอล์ฟ</t>
        </is>
      </c>
      <c r="C757" s="1" t="inlineStr">
        <is>
          <t>gf3000102051</t>
        </is>
      </c>
      <c r="D757" s="1" t="inlineStr">
        <is>
          <t>PXG Tour Bag (Black/White)</t>
        </is>
      </c>
      <c r="E757" s="1" t="inlineStr">
        <is>
          <t>PXG</t>
        </is>
      </c>
      <c r="F757" s="1" t="inlineStr">
        <is>
          <t>CADDIE/CART BAG</t>
        </is>
      </c>
      <c r="G757" s="1" t="inlineStr">
        <is>
          <t>GF3000102051</t>
        </is>
      </c>
      <c r="H757" s="1" t="n">
        <v>1</v>
      </c>
      <c r="I757" s="1" t="inlineStr">
        <is>
          <t>มี</t>
        </is>
      </c>
      <c r="J757" s="13" t="n">
        <v>499</v>
      </c>
      <c r="K757" s="1" t="inlineStr"/>
      <c r="L757" s="13" t="n"/>
      <c r="M757" s="1">
        <f>IF(L757="","ไม่พบใน SG",IF(ABS(J757-L757)&lt;0.005,"ตรงกัน","ไม่ตรง"))</f>
        <v/>
      </c>
      <c r="N757" s="14">
        <f>IF(L757="","",ROUND(L757*'สรุป'!$C$6,-1))</f>
        <v/>
      </c>
      <c r="O757" s="15" t="n"/>
      <c r="P757" s="15" t="n"/>
      <c r="Q757" s="10" t="n"/>
      <c r="R757" s="10" t="n"/>
      <c r="S757" s="16" t="inlineStr">
        <is>
          <t>https://mstgolf.co.th/products/gf3000102051</t>
        </is>
      </c>
      <c r="T757" s="1">
        <f>IF(B757="ไม้กอล์ฟ",J757,"")</f>
        <v/>
      </c>
    </row>
    <row r="758">
      <c r="A758" s="1" t="n">
        <v>2</v>
      </c>
      <c r="B758" s="1" t="inlineStr">
        <is>
          <t>ถุงกอล์ฟ</t>
        </is>
      </c>
      <c r="C758" s="1" t="inlineStr">
        <is>
          <t>gf3000101768</t>
        </is>
      </c>
      <c r="D758" s="1" t="inlineStr">
        <is>
          <t>MARUMAN 9.5" Caddie Bag (White/Red)</t>
        </is>
      </c>
      <c r="E758" s="1" t="inlineStr">
        <is>
          <t>MARUMAN</t>
        </is>
      </c>
      <c r="F758" s="1" t="inlineStr">
        <is>
          <t>CADDIE/CART BAG</t>
        </is>
      </c>
      <c r="G758" s="1" t="inlineStr">
        <is>
          <t>GF3000101768</t>
        </is>
      </c>
      <c r="H758" s="1" t="n">
        <v>1</v>
      </c>
      <c r="I758" s="1" t="inlineStr">
        <is>
          <t>มี</t>
        </is>
      </c>
      <c r="J758" s="13" t="n">
        <v>495</v>
      </c>
      <c r="K758" s="1" t="inlineStr"/>
      <c r="L758" s="13" t="n">
        <v>495</v>
      </c>
      <c r="M758" s="1">
        <f>IF(L758="","ไม่พบใน SG",IF(ABS(J758-L758)&lt;0.005,"ตรงกัน","ไม่ตรง"))</f>
        <v/>
      </c>
      <c r="N758" s="14">
        <f>IF(L758="","",ROUND(L758*'สรุป'!$C$6,-1))</f>
        <v/>
      </c>
      <c r="O758" s="15" t="n"/>
      <c r="P758" s="15" t="n"/>
      <c r="Q758" s="10" t="n"/>
      <c r="R758" s="10" t="n"/>
      <c r="S758" s="16" t="inlineStr">
        <is>
          <t>https://mstgolf.co.th/products/gf3000101768</t>
        </is>
      </c>
      <c r="T758" s="1">
        <f>IF(B758="ไม้กอล์ฟ",J758,"")</f>
        <v/>
      </c>
    </row>
    <row r="759">
      <c r="A759" s="1" t="n">
        <v>2</v>
      </c>
      <c r="B759" s="1" t="inlineStr">
        <is>
          <t>ถุงกอล์ฟ</t>
        </is>
      </c>
      <c r="C759" s="1" t="inlineStr">
        <is>
          <t>gf3000201239</t>
        </is>
      </c>
      <c r="D759" s="1" t="inlineStr">
        <is>
          <t>GFORE Transporter II Tour Stand Bag (Onyx)</t>
        </is>
      </c>
      <c r="E759" s="1" t="inlineStr">
        <is>
          <t>GFORE</t>
        </is>
      </c>
      <c r="F759" s="1" t="inlineStr">
        <is>
          <t>STAND BAG</t>
        </is>
      </c>
      <c r="G759" s="1" t="inlineStr">
        <is>
          <t>GF3000201239</t>
        </is>
      </c>
      <c r="H759" s="1" t="n">
        <v>1</v>
      </c>
      <c r="I759" s="1" t="inlineStr">
        <is>
          <t>มี</t>
        </is>
      </c>
      <c r="J759" s="13" t="n">
        <v>489</v>
      </c>
      <c r="K759" s="1" t="inlineStr"/>
      <c r="L759" s="13" t="n">
        <v>489</v>
      </c>
      <c r="M759" s="1">
        <f>IF(L759="","ไม่พบใน SG",IF(ABS(J759-L759)&lt;0.005,"ตรงกัน","ไม่ตรง"))</f>
        <v/>
      </c>
      <c r="N759" s="14">
        <f>IF(L759="","",ROUND(L759*'สรุป'!$C$6,-1))</f>
        <v/>
      </c>
      <c r="O759" s="15" t="n"/>
      <c r="P759" s="15" t="n"/>
      <c r="Q759" s="10" t="n"/>
      <c r="R759" s="10" t="n"/>
      <c r="S759" s="16" t="inlineStr">
        <is>
          <t>https://mstgolf.co.th/products/gf3000201239</t>
        </is>
      </c>
      <c r="T759" s="1">
        <f>IF(B759="ไม้กอล์ฟ",J759,"")</f>
        <v/>
      </c>
    </row>
    <row r="760">
      <c r="A760" s="1" t="n">
        <v>2</v>
      </c>
      <c r="B760" s="1" t="inlineStr">
        <is>
          <t>ถุงกอล์ฟ</t>
        </is>
      </c>
      <c r="C760" s="1" t="inlineStr">
        <is>
          <t>gf3000201286</t>
        </is>
      </c>
      <c r="D760" s="1" t="inlineStr">
        <is>
          <t>GFORE Daytona Plus Carry Stand Bag (Isle)</t>
        </is>
      </c>
      <c r="E760" s="1" t="inlineStr">
        <is>
          <t>GFORE</t>
        </is>
      </c>
      <c r="F760" s="1" t="inlineStr">
        <is>
          <t>STAND BAG</t>
        </is>
      </c>
      <c r="G760" s="1" t="inlineStr">
        <is>
          <t>GF3000201286</t>
        </is>
      </c>
      <c r="H760" s="1" t="n">
        <v>1</v>
      </c>
      <c r="I760" s="1" t="inlineStr">
        <is>
          <t>มี</t>
        </is>
      </c>
      <c r="J760" s="13" t="n">
        <v>459</v>
      </c>
      <c r="K760" s="1" t="inlineStr"/>
      <c r="L760" s="13" t="n">
        <v>459</v>
      </c>
      <c r="M760" s="1">
        <f>IF(L760="","ไม่พบใน SG",IF(ABS(J760-L760)&lt;0.005,"ตรงกัน","ไม่ตรง"))</f>
        <v/>
      </c>
      <c r="N760" s="14">
        <f>IF(L760="","",ROUND(L760*'สรุป'!$C$6,-1))</f>
        <v/>
      </c>
      <c r="O760" s="15" t="n"/>
      <c r="P760" s="15" t="n"/>
      <c r="Q760" s="10" t="n"/>
      <c r="R760" s="10" t="n"/>
      <c r="S760" s="16" t="inlineStr">
        <is>
          <t>https://mstgolf.co.th/products/gf3000201286</t>
        </is>
      </c>
      <c r="T760" s="1">
        <f>IF(B760="ไม้กอล์ฟ",J760,"")</f>
        <v/>
      </c>
    </row>
    <row r="761">
      <c r="A761" s="1" t="n">
        <v>2</v>
      </c>
      <c r="B761" s="1" t="inlineStr">
        <is>
          <t>ถุงกอล์ฟ</t>
        </is>
      </c>
      <c r="C761" s="1" t="inlineStr">
        <is>
          <t>gf3000201288</t>
        </is>
      </c>
      <c r="D761" s="1" t="inlineStr">
        <is>
          <t>GFORE Daytona Plus Carry Stand Bag (Snow)</t>
        </is>
      </c>
      <c r="E761" s="1" t="inlineStr">
        <is>
          <t>GFORE</t>
        </is>
      </c>
      <c r="F761" s="1" t="inlineStr">
        <is>
          <t>STAND BAG</t>
        </is>
      </c>
      <c r="G761" s="1" t="inlineStr">
        <is>
          <t>GF3000201288</t>
        </is>
      </c>
      <c r="H761" s="1" t="n">
        <v>1</v>
      </c>
      <c r="I761" s="1" t="inlineStr">
        <is>
          <t>มี</t>
        </is>
      </c>
      <c r="J761" s="13" t="n">
        <v>459</v>
      </c>
      <c r="K761" s="1" t="inlineStr"/>
      <c r="L761" s="13" t="n">
        <v>459</v>
      </c>
      <c r="M761" s="1">
        <f>IF(L761="","ไม่พบใน SG",IF(ABS(J761-L761)&lt;0.005,"ตรงกัน","ไม่ตรง"))</f>
        <v/>
      </c>
      <c r="N761" s="14">
        <f>IF(L761="","",ROUND(L761*'สรุป'!$C$6,-1))</f>
        <v/>
      </c>
      <c r="O761" s="15" t="n"/>
      <c r="P761" s="15" t="n"/>
      <c r="Q761" s="10" t="n"/>
      <c r="R761" s="10" t="n"/>
      <c r="S761" s="16" t="inlineStr">
        <is>
          <t>https://mstgolf.co.th/products/gf3000201288</t>
        </is>
      </c>
      <c r="T761" s="1">
        <f>IF(B761="ไม้กอล์ฟ",J761,"")</f>
        <v/>
      </c>
    </row>
    <row r="762">
      <c r="A762" s="1" t="n">
        <v>2</v>
      </c>
      <c r="B762" s="1" t="inlineStr">
        <is>
          <t>ถุงกอล์ฟ</t>
        </is>
      </c>
      <c r="C762" s="1" t="inlineStr">
        <is>
          <t>gf3000103059</t>
        </is>
      </c>
      <c r="D762" s="1" t="inlineStr">
        <is>
          <t>ADIDAS Cart Bag (Navy)</t>
        </is>
      </c>
      <c r="E762" s="1" t="inlineStr">
        <is>
          <t>ADIDAS</t>
        </is>
      </c>
      <c r="F762" s="1" t="inlineStr">
        <is>
          <t>CADDIE/CART BAG</t>
        </is>
      </c>
      <c r="G762" s="1" t="inlineStr">
        <is>
          <t>GF3000103059</t>
        </is>
      </c>
      <c r="H762" s="1" t="n">
        <v>1</v>
      </c>
      <c r="I762" s="1" t="inlineStr">
        <is>
          <t>มี</t>
        </is>
      </c>
      <c r="J762" s="13" t="n">
        <v>450</v>
      </c>
      <c r="K762" s="1" t="inlineStr"/>
      <c r="L762" s="13" t="n">
        <v>225</v>
      </c>
      <c r="M762" s="1">
        <f>IF(L762="","ไม่พบใน SG",IF(ABS(J762-L762)&lt;0.005,"ตรงกัน","ไม่ตรง"))</f>
        <v/>
      </c>
      <c r="N762" s="14">
        <f>IF(L762="","",ROUND(L762*'สรุป'!$C$6,-1))</f>
        <v/>
      </c>
      <c r="O762" s="15" t="n"/>
      <c r="P762" s="15" t="n"/>
      <c r="Q762" s="10" t="n"/>
      <c r="R762" s="10" t="n"/>
      <c r="S762" s="16" t="inlineStr">
        <is>
          <t>https://mstgolf.co.th/products/gf3000103059</t>
        </is>
      </c>
      <c r="T762" s="1">
        <f>IF(B762="ไม้กอล์ฟ",J762,"")</f>
        <v/>
      </c>
    </row>
    <row r="763">
      <c r="A763" s="1" t="n">
        <v>2</v>
      </c>
      <c r="B763" s="1" t="inlineStr">
        <is>
          <t>ถุงกอล์ฟ</t>
        </is>
      </c>
      <c r="C763" s="1" t="inlineStr">
        <is>
          <t>gf3000201005</t>
        </is>
      </c>
      <c r="D763" s="1" t="inlineStr">
        <is>
          <t>TITLEIST Jet Black Premium Stand Bag (Black/White)</t>
        </is>
      </c>
      <c r="E763" s="1" t="inlineStr">
        <is>
          <t>TITLEIST</t>
        </is>
      </c>
      <c r="F763" s="1" t="inlineStr">
        <is>
          <t>STAND BAG</t>
        </is>
      </c>
      <c r="G763" s="1" t="inlineStr">
        <is>
          <t>GF3000201005</t>
        </is>
      </c>
      <c r="H763" s="1" t="n">
        <v>1</v>
      </c>
      <c r="I763" s="1" t="inlineStr">
        <is>
          <t>มี</t>
        </is>
      </c>
      <c r="J763" s="13" t="n">
        <v>450</v>
      </c>
      <c r="K763" s="1" t="inlineStr"/>
      <c r="L763" s="13" t="n">
        <v>450</v>
      </c>
      <c r="M763" s="1">
        <f>IF(L763="","ไม่พบใน SG",IF(ABS(J763-L763)&lt;0.005,"ตรงกัน","ไม่ตรง"))</f>
        <v/>
      </c>
      <c r="N763" s="14">
        <f>IF(L763="","",ROUND(L763*'สรุป'!$C$6,-1))</f>
        <v/>
      </c>
      <c r="O763" s="15" t="n"/>
      <c r="P763" s="15" t="n"/>
      <c r="Q763" s="10" t="n"/>
      <c r="R763" s="10" t="n"/>
      <c r="S763" s="16" t="inlineStr">
        <is>
          <t>https://mstgolf.co.th/products/gf3000201005</t>
        </is>
      </c>
      <c r="T763" s="1">
        <f>IF(B763="ไม้กอล์ฟ",J763,"")</f>
        <v/>
      </c>
    </row>
    <row r="764">
      <c r="A764" s="1" t="n">
        <v>2</v>
      </c>
      <c r="B764" s="1" t="inlineStr">
        <is>
          <t>ถุงกอล์ฟ</t>
        </is>
      </c>
      <c r="C764" s="1" t="inlineStr">
        <is>
          <t>gf3010101353</t>
        </is>
      </c>
      <c r="D764" s="1" t="inlineStr">
        <is>
          <t>WAAC Women's 4-Wheel Boston Bag (Multi)</t>
        </is>
      </c>
      <c r="E764" s="1" t="inlineStr">
        <is>
          <t>WAAC</t>
        </is>
      </c>
      <c r="F764" s="1" t="inlineStr">
        <is>
          <t>BOSTON/DUFFLE BAG</t>
        </is>
      </c>
      <c r="G764" s="1" t="inlineStr">
        <is>
          <t>GF3010101353</t>
        </is>
      </c>
      <c r="H764" s="1" t="n">
        <v>1</v>
      </c>
      <c r="I764" s="1" t="inlineStr">
        <is>
          <t>มี</t>
        </is>
      </c>
      <c r="J764" s="13" t="n">
        <v>449</v>
      </c>
      <c r="K764" s="1" t="inlineStr"/>
      <c r="L764" s="13" t="n">
        <v>449</v>
      </c>
      <c r="M764" s="1">
        <f>IF(L764="","ไม่พบใน SG",IF(ABS(J764-L764)&lt;0.005,"ตรงกัน","ไม่ตรง"))</f>
        <v/>
      </c>
      <c r="N764" s="14">
        <f>IF(L764="","",ROUND(L764*'สรุป'!$C$6,-1))</f>
        <v/>
      </c>
      <c r="O764" s="15" t="n"/>
      <c r="P764" s="15" t="n"/>
      <c r="Q764" s="10" t="n"/>
      <c r="R764" s="10" t="n"/>
      <c r="S764" s="16" t="inlineStr">
        <is>
          <t>https://mstgolf.co.th/products/gf3010101353</t>
        </is>
      </c>
      <c r="T764" s="1">
        <f>IF(B764="ไม้กอล์ฟ",J764,"")</f>
        <v/>
      </c>
    </row>
    <row r="765">
      <c r="A765" s="1" t="n">
        <v>2</v>
      </c>
      <c r="B765" s="1" t="inlineStr">
        <is>
          <t>ถุงกอล์ฟ</t>
        </is>
      </c>
      <c r="C765" s="1" t="inlineStr">
        <is>
          <t>gf3000201088</t>
        </is>
      </c>
      <c r="D765" s="1" t="inlineStr">
        <is>
          <t>GFORE Sunday II 7" 3-Way Stand Bag (Snow)</t>
        </is>
      </c>
      <c r="E765" s="1" t="inlineStr">
        <is>
          <t>GFORE</t>
        </is>
      </c>
      <c r="F765" s="1" t="inlineStr">
        <is>
          <t>STAND BAG</t>
        </is>
      </c>
      <c r="G765" s="1" t="inlineStr">
        <is>
          <t>GF3000201088</t>
        </is>
      </c>
      <c r="H765" s="1" t="n">
        <v>1</v>
      </c>
      <c r="I765" s="1" t="inlineStr">
        <is>
          <t>มี</t>
        </is>
      </c>
      <c r="J765" s="13" t="n">
        <v>439</v>
      </c>
      <c r="K765" s="1" t="inlineStr"/>
      <c r="L765" s="13" t="n">
        <v>439</v>
      </c>
      <c r="M765" s="1">
        <f>IF(L765="","ไม่พบใน SG",IF(ABS(J765-L765)&lt;0.005,"ตรงกัน","ไม่ตรง"))</f>
        <v/>
      </c>
      <c r="N765" s="14">
        <f>IF(L765="","",ROUND(L765*'สรุป'!$C$6,-1))</f>
        <v/>
      </c>
      <c r="O765" s="15" t="n"/>
      <c r="P765" s="15" t="n"/>
      <c r="Q765" s="10" t="n"/>
      <c r="R765" s="10" t="n"/>
      <c r="S765" s="16" t="inlineStr">
        <is>
          <t>https://mstgolf.co.th/products/gf3000201088</t>
        </is>
      </c>
      <c r="T765" s="1">
        <f>IF(B765="ไม้กอล์ฟ",J765,"")</f>
        <v/>
      </c>
    </row>
    <row r="766">
      <c r="A766" s="1" t="n">
        <v>2</v>
      </c>
      <c r="B766" s="1" t="inlineStr">
        <is>
          <t>ถุงกอล์ฟ</t>
        </is>
      </c>
      <c r="C766" s="1" t="inlineStr">
        <is>
          <t>gf3010101308</t>
        </is>
      </c>
      <c r="D766" s="1" t="inlineStr">
        <is>
          <t>PETER MILLAR Pursuit Duffle Bag (Navy)</t>
        </is>
      </c>
      <c r="E766" s="1" t="inlineStr">
        <is>
          <t>PETER MILLAR</t>
        </is>
      </c>
      <c r="F766" s="1" t="inlineStr">
        <is>
          <t>BOSTON/DUFFLE BAG</t>
        </is>
      </c>
      <c r="G766" s="1" t="inlineStr">
        <is>
          <t>GF3010101308</t>
        </is>
      </c>
      <c r="H766" s="1" t="n">
        <v>1</v>
      </c>
      <c r="I766" s="1" t="inlineStr">
        <is>
          <t>มี</t>
        </is>
      </c>
      <c r="J766" s="13" t="n">
        <v>439</v>
      </c>
      <c r="K766" s="1" t="inlineStr"/>
      <c r="L766" s="13" t="n">
        <v>439</v>
      </c>
      <c r="M766" s="1">
        <f>IF(L766="","ไม่พบใน SG",IF(ABS(J766-L766)&lt;0.005,"ตรงกัน","ไม่ตรง"))</f>
        <v/>
      </c>
      <c r="N766" s="14">
        <f>IF(L766="","",ROUND(L766*'สรุป'!$C$6,-1))</f>
        <v/>
      </c>
      <c r="O766" s="15" t="n"/>
      <c r="P766" s="15" t="n"/>
      <c r="Q766" s="10" t="n"/>
      <c r="R766" s="10" t="n"/>
      <c r="S766" s="16" t="inlineStr">
        <is>
          <t>https://mstgolf.co.th/products/gf3010101308</t>
        </is>
      </c>
      <c r="T766" s="1">
        <f>IF(B766="ไม้กอล์ฟ",J766,"")</f>
        <v/>
      </c>
    </row>
    <row r="767">
      <c r="A767" s="1" t="n">
        <v>2</v>
      </c>
      <c r="B767" s="1" t="inlineStr">
        <is>
          <t>ถุงกอล์ฟ</t>
        </is>
      </c>
      <c r="C767" s="1" t="inlineStr">
        <is>
          <t>gf3000102561</t>
        </is>
      </c>
      <c r="D767" s="1" t="inlineStr">
        <is>
          <t>MARUMAN GWP 9" Cart Bag (Navy/Orange)</t>
        </is>
      </c>
      <c r="E767" s="1" t="inlineStr">
        <is>
          <t>MARUMAN</t>
        </is>
      </c>
      <c r="F767" s="1" t="inlineStr">
        <is>
          <t>CADDIE/CART BAG</t>
        </is>
      </c>
      <c r="G767" s="1" t="inlineStr">
        <is>
          <t>GF3000102561</t>
        </is>
      </c>
      <c r="H767" s="1" t="n">
        <v>1</v>
      </c>
      <c r="I767" s="1" t="inlineStr">
        <is>
          <t>มี</t>
        </is>
      </c>
      <c r="J767" s="13" t="n">
        <v>429</v>
      </c>
      <c r="K767" s="1" t="inlineStr"/>
      <c r="L767" s="13" t="n"/>
      <c r="M767" s="1">
        <f>IF(L767="","ไม่พบใน SG",IF(ABS(J767-L767)&lt;0.005,"ตรงกัน","ไม่ตรง"))</f>
        <v/>
      </c>
      <c r="N767" s="14">
        <f>IF(L767="","",ROUND(L767*'สรุป'!$C$6,-1))</f>
        <v/>
      </c>
      <c r="O767" s="15" t="n"/>
      <c r="P767" s="15" t="n"/>
      <c r="Q767" s="10" t="n"/>
      <c r="R767" s="10" t="n"/>
      <c r="S767" s="16" t="inlineStr">
        <is>
          <t>https://mstgolf.co.th/products/gf3000102561</t>
        </is>
      </c>
      <c r="T767" s="1">
        <f>IF(B767="ไม้กอล์ฟ",J767,"")</f>
        <v/>
      </c>
    </row>
    <row r="768">
      <c r="A768" s="1" t="n">
        <v>2</v>
      </c>
      <c r="B768" s="1" t="inlineStr">
        <is>
          <t>รองเท้า</t>
        </is>
      </c>
      <c r="C768" s="1" t="inlineStr">
        <is>
          <t>gf2500102733</t>
        </is>
      </c>
      <c r="D768" s="1" t="inlineStr">
        <is>
          <t>FOOTJOY Haris Tweed Wilcox The Open Men's Spiked Shoes (White/Blue)</t>
        </is>
      </c>
      <c r="E768" s="1" t="inlineStr">
        <is>
          <t>FOOTJOY</t>
        </is>
      </c>
      <c r="F768" s="1" t="inlineStr">
        <is>
          <t>SPIKE SHOES</t>
        </is>
      </c>
      <c r="G768" s="1" t="inlineStr">
        <is>
          <t>GF2500102733US7</t>
        </is>
      </c>
      <c r="H768" s="1" t="n">
        <v>7</v>
      </c>
      <c r="I768" s="1" t="inlineStr">
        <is>
          <t>มี</t>
        </is>
      </c>
      <c r="J768" s="13" t="n">
        <v>419</v>
      </c>
      <c r="K768" s="1" t="inlineStr"/>
      <c r="L768" s="13" t="n">
        <v>419</v>
      </c>
      <c r="M768" s="1">
        <f>IF(L768="","ไม่พบใน SG",IF(ABS(J768-L768)&lt;0.005,"ตรงกัน","ไม่ตรง"))</f>
        <v/>
      </c>
      <c r="N768" s="14">
        <f>IF(L768="","",ROUND(L768*'สรุป'!$C$6,-1))</f>
        <v/>
      </c>
      <c r="O768" s="15" t="n"/>
      <c r="P768" s="15" t="n"/>
      <c r="Q768" s="10" t="n"/>
      <c r="R768" s="10" t="n"/>
      <c r="S768" s="16" t="inlineStr">
        <is>
          <t>https://mstgolf.co.th/products/gf2500102733</t>
        </is>
      </c>
      <c r="T768" s="1">
        <f>IF(B768="ไม้กอล์ฟ",J768,"")</f>
        <v/>
      </c>
    </row>
    <row r="769">
      <c r="A769" s="1" t="n">
        <v>2</v>
      </c>
      <c r="B769" s="1" t="inlineStr">
        <is>
          <t>ถุงกอล์ฟ</t>
        </is>
      </c>
      <c r="C769" s="1" t="inlineStr">
        <is>
          <t>gf3000201138</t>
        </is>
      </c>
      <c r="D769" s="1" t="inlineStr">
        <is>
          <t>TAYLORMADE Tour Stand Bag (Red)</t>
        </is>
      </c>
      <c r="E769" s="1" t="inlineStr">
        <is>
          <t>TAYLORMADE</t>
        </is>
      </c>
      <c r="F769" s="1" t="inlineStr">
        <is>
          <t>STAND BAG</t>
        </is>
      </c>
      <c r="G769" s="1" t="inlineStr">
        <is>
          <t>GF3000201138</t>
        </is>
      </c>
      <c r="H769" s="1" t="n">
        <v>1</v>
      </c>
      <c r="I769" s="1" t="inlineStr">
        <is>
          <t>มี</t>
        </is>
      </c>
      <c r="J769" s="13" t="n">
        <v>415</v>
      </c>
      <c r="K769" s="1" t="inlineStr"/>
      <c r="L769" s="13" t="n">
        <v>415</v>
      </c>
      <c r="M769" s="1">
        <f>IF(L769="","ไม่พบใน SG",IF(ABS(J769-L769)&lt;0.005,"ตรงกัน","ไม่ตรง"))</f>
        <v/>
      </c>
      <c r="N769" s="14">
        <f>IF(L769="","",ROUND(L769*'สรุป'!$C$6,-1))</f>
        <v/>
      </c>
      <c r="O769" s="15" t="n"/>
      <c r="P769" s="15" t="n"/>
      <c r="Q769" s="10" t="n"/>
      <c r="R769" s="10" t="n"/>
      <c r="S769" s="16" t="inlineStr">
        <is>
          <t>https://mstgolf.co.th/products/gf3000201138</t>
        </is>
      </c>
      <c r="T769" s="1">
        <f>IF(B769="ไม้กอล์ฟ",J769,"")</f>
        <v/>
      </c>
    </row>
    <row r="770">
      <c r="A770" s="1" t="n">
        <v>2</v>
      </c>
      <c r="B770" s="1" t="inlineStr">
        <is>
          <t>รองเท้า</t>
        </is>
      </c>
      <c r="C770" s="1" t="inlineStr">
        <is>
          <t>gf2500102734</t>
        </is>
      </c>
      <c r="D770" s="1" t="inlineStr">
        <is>
          <t>FOOTJOY Haris Tweed Field The Open Men's Spiked Shoes (White/Blue)</t>
        </is>
      </c>
      <c r="E770" s="1" t="inlineStr">
        <is>
          <t>FOOTJOY</t>
        </is>
      </c>
      <c r="F770" s="1" t="inlineStr">
        <is>
          <t>SPIKE SHOES</t>
        </is>
      </c>
      <c r="G770" s="1" t="inlineStr">
        <is>
          <t>GF2500102734US7</t>
        </is>
      </c>
      <c r="H770" s="1" t="n">
        <v>7</v>
      </c>
      <c r="I770" s="1" t="inlineStr">
        <is>
          <t>มี</t>
        </is>
      </c>
      <c r="J770" s="13" t="n">
        <v>399</v>
      </c>
      <c r="K770" s="1" t="inlineStr"/>
      <c r="L770" s="13" t="n">
        <v>399</v>
      </c>
      <c r="M770" s="1">
        <f>IF(L770="","ไม่พบใน SG",IF(ABS(J770-L770)&lt;0.005,"ตรงกัน","ไม่ตรง"))</f>
        <v/>
      </c>
      <c r="N770" s="14">
        <f>IF(L770="","",ROUND(L770*'สรุป'!$C$6,-1))</f>
        <v/>
      </c>
      <c r="O770" s="15" t="n"/>
      <c r="P770" s="15" t="n"/>
      <c r="Q770" s="10" t="n"/>
      <c r="R770" s="10" t="n"/>
      <c r="S770" s="16" t="inlineStr">
        <is>
          <t>https://mstgolf.co.th/products/gf2500102734</t>
        </is>
      </c>
      <c r="T770" s="1">
        <f>IF(B770="ไม้กอล์ฟ",J770,"")</f>
        <v/>
      </c>
    </row>
    <row r="771">
      <c r="A771" s="1" t="n">
        <v>2</v>
      </c>
      <c r="B771" s="1" t="inlineStr">
        <is>
          <t>ถุงกอล์ฟ</t>
        </is>
      </c>
      <c r="C771" s="1" t="inlineStr">
        <is>
          <t>gf3000201129</t>
        </is>
      </c>
      <c r="D771" s="1" t="inlineStr">
        <is>
          <t>PXG Darkness Skull Camo Hybrid Stand Bag (Black)</t>
        </is>
      </c>
      <c r="E771" s="1" t="inlineStr">
        <is>
          <t>PXG</t>
        </is>
      </c>
      <c r="F771" s="1" t="inlineStr">
        <is>
          <t>STAND BAG</t>
        </is>
      </c>
      <c r="G771" s="1" t="inlineStr">
        <is>
          <t>GF3000201129</t>
        </is>
      </c>
      <c r="H771" s="1" t="n">
        <v>1</v>
      </c>
      <c r="I771" s="1" t="inlineStr">
        <is>
          <t>มี</t>
        </is>
      </c>
      <c r="J771" s="13" t="n">
        <v>399</v>
      </c>
      <c r="K771" s="1" t="inlineStr"/>
      <c r="L771" s="13" t="n">
        <v>399</v>
      </c>
      <c r="M771" s="1">
        <f>IF(L771="","ไม่พบใน SG",IF(ABS(J771-L771)&lt;0.005,"ตรงกัน","ไม่ตรง"))</f>
        <v/>
      </c>
      <c r="N771" s="14">
        <f>IF(L771="","",ROUND(L771*'สรุป'!$C$6,-1))</f>
        <v/>
      </c>
      <c r="O771" s="15" t="n"/>
      <c r="P771" s="15" t="n"/>
      <c r="Q771" s="10" t="n"/>
      <c r="R771" s="10" t="n"/>
      <c r="S771" s="16" t="inlineStr">
        <is>
          <t>https://mstgolf.co.th/products/gf3000201129</t>
        </is>
      </c>
      <c r="T771" s="1">
        <f>IF(B771="ไม้กอล์ฟ",J771,"")</f>
        <v/>
      </c>
    </row>
    <row r="772">
      <c r="A772" s="1" t="n">
        <v>2</v>
      </c>
      <c r="B772" s="1" t="inlineStr">
        <is>
          <t>ถุงกอล์ฟ</t>
        </is>
      </c>
      <c r="C772" s="1" t="inlineStr">
        <is>
          <t>gf3000102704</t>
        </is>
      </c>
      <c r="D772" s="1" t="inlineStr">
        <is>
          <t>TAYLORMADE 9.5" Premium Modern Cart Bag (Black)</t>
        </is>
      </c>
      <c r="E772" s="1" t="inlineStr">
        <is>
          <t>TAYLORMADE</t>
        </is>
      </c>
      <c r="F772" s="1" t="inlineStr">
        <is>
          <t>CADDIE/CART BAG</t>
        </is>
      </c>
      <c r="G772" s="1" t="inlineStr">
        <is>
          <t>GF3000102704</t>
        </is>
      </c>
      <c r="H772" s="1" t="n">
        <v>1</v>
      </c>
      <c r="I772" s="1" t="inlineStr">
        <is>
          <t>มี</t>
        </is>
      </c>
      <c r="J772" s="13" t="n">
        <v>399</v>
      </c>
      <c r="K772" s="1" t="inlineStr"/>
      <c r="L772" s="13" t="n">
        <v>399</v>
      </c>
      <c r="M772" s="1">
        <f>IF(L772="","ไม่พบใน SG",IF(ABS(J772-L772)&lt;0.005,"ตรงกัน","ไม่ตรง"))</f>
        <v/>
      </c>
      <c r="N772" s="14">
        <f>IF(L772="","",ROUND(L772*'สรุป'!$C$6,-1))</f>
        <v/>
      </c>
      <c r="O772" s="15" t="n"/>
      <c r="P772" s="15" t="n"/>
      <c r="Q772" s="10" t="n"/>
      <c r="R772" s="10" t="n"/>
      <c r="S772" s="16" t="inlineStr">
        <is>
          <t>https://mstgolf.co.th/products/gf3000102704</t>
        </is>
      </c>
      <c r="T772" s="1">
        <f>IF(B772="ไม้กอล์ฟ",J772,"")</f>
        <v/>
      </c>
    </row>
    <row r="773">
      <c r="A773" s="1" t="n">
        <v>2</v>
      </c>
      <c r="B773" s="1" t="inlineStr">
        <is>
          <t>ถุงกอล์ฟ</t>
        </is>
      </c>
      <c r="C773" s="1" t="inlineStr">
        <is>
          <t>gf3000102706</t>
        </is>
      </c>
      <c r="D773" s="1" t="inlineStr">
        <is>
          <t>TAYLORMADE 9.5" Premium Modern Cart Bag (Blue)</t>
        </is>
      </c>
      <c r="E773" s="1" t="inlineStr">
        <is>
          <t>TAYLORMADE</t>
        </is>
      </c>
      <c r="F773" s="1" t="inlineStr">
        <is>
          <t>CADDIE/CART BAG</t>
        </is>
      </c>
      <c r="G773" s="1" t="inlineStr">
        <is>
          <t>GF3000102706</t>
        </is>
      </c>
      <c r="H773" s="1" t="n">
        <v>1</v>
      </c>
      <c r="I773" s="1" t="inlineStr">
        <is>
          <t>มี</t>
        </is>
      </c>
      <c r="J773" s="13" t="n">
        <v>399</v>
      </c>
      <c r="K773" s="1" t="inlineStr"/>
      <c r="L773" s="13" t="n">
        <v>399</v>
      </c>
      <c r="M773" s="1">
        <f>IF(L773="","ไม่พบใน SG",IF(ABS(J773-L773)&lt;0.005,"ตรงกัน","ไม่ตรง"))</f>
        <v/>
      </c>
      <c r="N773" s="14">
        <f>IF(L773="","",ROUND(L773*'สรุป'!$C$6,-1))</f>
        <v/>
      </c>
      <c r="O773" s="15" t="n"/>
      <c r="P773" s="15" t="n"/>
      <c r="Q773" s="10" t="n"/>
      <c r="R773" s="10" t="n"/>
      <c r="S773" s="16" t="inlineStr">
        <is>
          <t>https://mstgolf.co.th/products/gf3000102706</t>
        </is>
      </c>
      <c r="T773" s="1">
        <f>IF(B773="ไม้กอล์ฟ",J773,"")</f>
        <v/>
      </c>
    </row>
    <row r="774">
      <c r="A774" s="1" t="n">
        <v>2</v>
      </c>
      <c r="B774" s="1" t="inlineStr">
        <is>
          <t>ถุงกอล์ฟ</t>
        </is>
      </c>
      <c r="C774" s="1" t="inlineStr">
        <is>
          <t>gf3010101274</t>
        </is>
      </c>
      <c r="D774" s="1" t="inlineStr">
        <is>
          <t>GIII Boston Bag (Black)</t>
        </is>
      </c>
      <c r="E774" s="1" t="inlineStr">
        <is>
          <t>GIII</t>
        </is>
      </c>
      <c r="F774" s="1" t="inlineStr">
        <is>
          <t>BOSTON/DUFFLE BAG</t>
        </is>
      </c>
      <c r="G774" s="1" t="inlineStr">
        <is>
          <t>GF3010101274</t>
        </is>
      </c>
      <c r="H774" s="1" t="n">
        <v>1</v>
      </c>
      <c r="I774" s="1" t="inlineStr">
        <is>
          <t>มี</t>
        </is>
      </c>
      <c r="J774" s="13" t="n">
        <v>389</v>
      </c>
      <c r="K774" s="1" t="inlineStr"/>
      <c r="L774" s="13" t="n">
        <v>389</v>
      </c>
      <c r="M774" s="1">
        <f>IF(L774="","ไม่พบใน SG",IF(ABS(J774-L774)&lt;0.005,"ตรงกัน","ไม่ตรง"))</f>
        <v/>
      </c>
      <c r="N774" s="14">
        <f>IF(L774="","",ROUND(L774*'สรุป'!$C$6,-1))</f>
        <v/>
      </c>
      <c r="O774" s="15" t="n"/>
      <c r="P774" s="15" t="n"/>
      <c r="Q774" s="10" t="n"/>
      <c r="R774" s="10" t="n"/>
      <c r="S774" s="16" t="inlineStr">
        <is>
          <t>https://mstgolf.co.th/products/gf3010101274</t>
        </is>
      </c>
      <c r="T774" s="1">
        <f>IF(B774="ไม้กอล์ฟ",J774,"")</f>
        <v/>
      </c>
    </row>
    <row r="775">
      <c r="A775" s="1" t="n">
        <v>2</v>
      </c>
      <c r="B775" s="1" t="inlineStr">
        <is>
          <t>ถุงกอล์ฟ</t>
        </is>
      </c>
      <c r="C775" s="1" t="inlineStr">
        <is>
          <t>gf3000103001</t>
        </is>
      </c>
      <c r="D775" s="1" t="inlineStr">
        <is>
          <t>TITLEIST Cart 14 StaDry Cart Bag (Eucalyptus)</t>
        </is>
      </c>
      <c r="E775" s="1" t="inlineStr">
        <is>
          <t>TITLEIST</t>
        </is>
      </c>
      <c r="F775" s="1" t="inlineStr">
        <is>
          <t>CADDIE/CART BAG</t>
        </is>
      </c>
      <c r="G775" s="1" t="inlineStr">
        <is>
          <t>GF3000103001</t>
        </is>
      </c>
      <c r="H775" s="1" t="n">
        <v>1</v>
      </c>
      <c r="I775" s="1" t="inlineStr">
        <is>
          <t>มี</t>
        </is>
      </c>
      <c r="J775" s="13" t="n">
        <v>389</v>
      </c>
      <c r="K775" s="1" t="inlineStr"/>
      <c r="L775" s="13" t="n">
        <v>389</v>
      </c>
      <c r="M775" s="1">
        <f>IF(L775="","ไม่พบใน SG",IF(ABS(J775-L775)&lt;0.005,"ตรงกัน","ไม่ตรง"))</f>
        <v/>
      </c>
      <c r="N775" s="14">
        <f>IF(L775="","",ROUND(L775*'สรุป'!$C$6,-1))</f>
        <v/>
      </c>
      <c r="O775" s="15" t="n"/>
      <c r="P775" s="15" t="n"/>
      <c r="Q775" s="10" t="n"/>
      <c r="R775" s="10" t="n"/>
      <c r="S775" s="16" t="inlineStr">
        <is>
          <t>https://mstgolf.co.th/products/gf3000103001</t>
        </is>
      </c>
      <c r="T775" s="1">
        <f>IF(B775="ไม้กอล์ฟ",J775,"")</f>
        <v/>
      </c>
    </row>
    <row r="776">
      <c r="A776" s="1" t="n">
        <v>2</v>
      </c>
      <c r="B776" s="1" t="inlineStr">
        <is>
          <t>ถุงกอล์ฟ</t>
        </is>
      </c>
      <c r="C776" s="1" t="inlineStr">
        <is>
          <t>gf3000103002</t>
        </is>
      </c>
      <c r="D776" s="1" t="inlineStr">
        <is>
          <t>TITLEIST Cart 14 StaDry Cart Bag (Navy)</t>
        </is>
      </c>
      <c r="E776" s="1" t="inlineStr">
        <is>
          <t>TITLEIST</t>
        </is>
      </c>
      <c r="F776" s="1" t="inlineStr">
        <is>
          <t>CADDIE/CART BAG</t>
        </is>
      </c>
      <c r="G776" s="1" t="inlineStr">
        <is>
          <t>GF3000103002</t>
        </is>
      </c>
      <c r="H776" s="1" t="n">
        <v>1</v>
      </c>
      <c r="I776" s="1" t="inlineStr">
        <is>
          <t>มี</t>
        </is>
      </c>
      <c r="J776" s="13" t="n">
        <v>389</v>
      </c>
      <c r="K776" s="1" t="inlineStr"/>
      <c r="L776" s="13" t="n">
        <v>389</v>
      </c>
      <c r="M776" s="1">
        <f>IF(L776="","ไม่พบใน SG",IF(ABS(J776-L776)&lt;0.005,"ตรงกัน","ไม่ตรง"))</f>
        <v/>
      </c>
      <c r="N776" s="14">
        <f>IF(L776="","",ROUND(L776*'สรุป'!$C$6,-1))</f>
        <v/>
      </c>
      <c r="O776" s="15" t="n"/>
      <c r="P776" s="15" t="n"/>
      <c r="Q776" s="10" t="n"/>
      <c r="R776" s="10" t="n"/>
      <c r="S776" s="16" t="inlineStr">
        <is>
          <t>https://mstgolf.co.th/products/gf3000103002</t>
        </is>
      </c>
      <c r="T776" s="1">
        <f>IF(B776="ไม้กอล์ฟ",J776,"")</f>
        <v/>
      </c>
    </row>
    <row r="777">
      <c r="A777" s="1" t="n">
        <v>2</v>
      </c>
      <c r="B777" s="1" t="inlineStr">
        <is>
          <t>ถุงกอล์ฟ</t>
        </is>
      </c>
      <c r="C777" s="1" t="inlineStr">
        <is>
          <t>gf3000102268</t>
        </is>
      </c>
      <c r="D777" s="1" t="inlineStr">
        <is>
          <t>TITLEIST Jet Black Mid Staff Bag (Black/White)</t>
        </is>
      </c>
      <c r="E777" s="1" t="inlineStr">
        <is>
          <t>TITLEIST</t>
        </is>
      </c>
      <c r="F777" s="1" t="inlineStr">
        <is>
          <t>CADDIE/CART BAG</t>
        </is>
      </c>
      <c r="G777" s="1" t="inlineStr">
        <is>
          <t>GF3000102268</t>
        </is>
      </c>
      <c r="H777" s="1" t="n">
        <v>1</v>
      </c>
      <c r="I777" s="1" t="inlineStr">
        <is>
          <t>มี</t>
        </is>
      </c>
      <c r="J777" s="13" t="n">
        <v>389</v>
      </c>
      <c r="K777" s="1" t="inlineStr"/>
      <c r="L777" s="13" t="n">
        <v>389</v>
      </c>
      <c r="M777" s="1">
        <f>IF(L777="","ไม่พบใน SG",IF(ABS(J777-L777)&lt;0.005,"ตรงกัน","ไม่ตรง"))</f>
        <v/>
      </c>
      <c r="N777" s="14">
        <f>IF(L777="","",ROUND(L777*'สรุป'!$C$6,-1))</f>
        <v/>
      </c>
      <c r="O777" s="15" t="n"/>
      <c r="P777" s="15" t="n"/>
      <c r="Q777" s="10" t="n"/>
      <c r="R777" s="10" t="n"/>
      <c r="S777" s="16" t="inlineStr">
        <is>
          <t>https://mstgolf.co.th/products/gf3000102268</t>
        </is>
      </c>
      <c r="T777" s="1">
        <f>IF(B777="ไม้กอล์ฟ",J777,"")</f>
        <v/>
      </c>
    </row>
    <row r="778">
      <c r="A778" s="1" t="n">
        <v>2</v>
      </c>
      <c r="B778" s="1" t="inlineStr">
        <is>
          <t>รองเท้า</t>
        </is>
      </c>
      <c r="C778" s="1" t="inlineStr">
        <is>
          <t>gf2500201105</t>
        </is>
      </c>
      <c r="D778" s="1" t="inlineStr">
        <is>
          <t>GFORE Gradient QRT1 Pickle Men's Spikeless Shoes (Pop)</t>
        </is>
      </c>
      <c r="E778" s="1" t="inlineStr">
        <is>
          <t>GFORE</t>
        </is>
      </c>
      <c r="F778" s="1" t="inlineStr">
        <is>
          <t>SPIKELESS SHOES</t>
        </is>
      </c>
      <c r="G778" s="1" t="inlineStr">
        <is>
          <t>GF2500201105US6.5</t>
        </is>
      </c>
      <c r="H778" s="1" t="n">
        <v>12</v>
      </c>
      <c r="I778" s="1" t="inlineStr">
        <is>
          <t>มี</t>
        </is>
      </c>
      <c r="J778" s="13" t="n">
        <v>385</v>
      </c>
      <c r="K778" s="1" t="inlineStr"/>
      <c r="L778" s="13" t="n">
        <v>385</v>
      </c>
      <c r="M778" s="1">
        <f>IF(L778="","ไม่พบใน SG",IF(ABS(J778-L778)&lt;0.005,"ตรงกัน","ไม่ตรง"))</f>
        <v/>
      </c>
      <c r="N778" s="14">
        <f>IF(L778="","",ROUND(L778*'สรุป'!$C$6,-1))</f>
        <v/>
      </c>
      <c r="O778" s="15" t="n"/>
      <c r="P778" s="15" t="n"/>
      <c r="Q778" s="10" t="n"/>
      <c r="R778" s="10" t="n"/>
      <c r="S778" s="16" t="inlineStr">
        <is>
          <t>https://mstgolf.co.th/products/gf2500201105</t>
        </is>
      </c>
      <c r="T778" s="1">
        <f>IF(B778="ไม้กอล์ฟ",J778,"")</f>
        <v/>
      </c>
    </row>
    <row r="779">
      <c r="A779" s="1" t="n">
        <v>2</v>
      </c>
      <c r="B779" s="1" t="inlineStr">
        <is>
          <t>รองเท้า</t>
        </is>
      </c>
      <c r="C779" s="1" t="inlineStr">
        <is>
          <t>gf2500201106</t>
        </is>
      </c>
      <c r="D779" s="1" t="inlineStr">
        <is>
          <t>GFORE QRT1 Pickle Men's Spikeless Shoes (Snow)</t>
        </is>
      </c>
      <c r="E779" s="1" t="inlineStr">
        <is>
          <t>GFORE</t>
        </is>
      </c>
      <c r="F779" s="1" t="inlineStr">
        <is>
          <t>SPIKELESS SHOES</t>
        </is>
      </c>
      <c r="G779" s="1" t="inlineStr">
        <is>
          <t>GF2500201106US6.5</t>
        </is>
      </c>
      <c r="H779" s="1" t="n">
        <v>12</v>
      </c>
      <c r="I779" s="1" t="inlineStr">
        <is>
          <t>มี</t>
        </is>
      </c>
      <c r="J779" s="13" t="n">
        <v>385</v>
      </c>
      <c r="K779" s="1" t="inlineStr"/>
      <c r="L779" s="13" t="n">
        <v>269</v>
      </c>
      <c r="M779" s="1">
        <f>IF(L779="","ไม่พบใน SG",IF(ABS(J779-L779)&lt;0.005,"ตรงกัน","ไม่ตรง"))</f>
        <v/>
      </c>
      <c r="N779" s="14">
        <f>IF(L779="","",ROUND(L779*'สรุป'!$C$6,-1))</f>
        <v/>
      </c>
      <c r="O779" s="15" t="n"/>
      <c r="P779" s="15" t="n"/>
      <c r="Q779" s="10" t="n"/>
      <c r="R779" s="10" t="n"/>
      <c r="S779" s="16" t="inlineStr">
        <is>
          <t>https://mstgolf.co.th/products/gf2500201106</t>
        </is>
      </c>
      <c r="T779" s="1">
        <f>IF(B779="ไม้กอล์ฟ",J779,"")</f>
        <v/>
      </c>
    </row>
    <row r="780">
      <c r="A780" s="1" t="n">
        <v>2</v>
      </c>
      <c r="B780" s="1" t="inlineStr">
        <is>
          <t>ถุงกอล์ฟ</t>
        </is>
      </c>
      <c r="C780" s="1" t="inlineStr">
        <is>
          <t>gf3010300415</t>
        </is>
      </c>
      <c r="D780" s="1" t="inlineStr">
        <is>
          <t>PETER MILLAR Pursuit Backpack (Navy)</t>
        </is>
      </c>
      <c r="E780" s="1" t="inlineStr">
        <is>
          <t>PETER MILLAR</t>
        </is>
      </c>
      <c r="F780" s="1" t="inlineStr">
        <is>
          <t>BACKPACK/RUCKSACK</t>
        </is>
      </c>
      <c r="G780" s="1" t="inlineStr">
        <is>
          <t>GF3010300415</t>
        </is>
      </c>
      <c r="H780" s="1" t="n">
        <v>1</v>
      </c>
      <c r="I780" s="1" t="inlineStr">
        <is>
          <t>มี</t>
        </is>
      </c>
      <c r="J780" s="13" t="n">
        <v>385</v>
      </c>
      <c r="K780" s="1" t="inlineStr"/>
      <c r="L780" s="13" t="n">
        <v>385</v>
      </c>
      <c r="M780" s="1">
        <f>IF(L780="","ไม่พบใน SG",IF(ABS(J780-L780)&lt;0.005,"ตรงกัน","ไม่ตรง"))</f>
        <v/>
      </c>
      <c r="N780" s="14">
        <f>IF(L780="","",ROUND(L780*'สรุป'!$C$6,-1))</f>
        <v/>
      </c>
      <c r="O780" s="15" t="n"/>
      <c r="P780" s="15" t="n"/>
      <c r="Q780" s="10" t="n"/>
      <c r="R780" s="10" t="n"/>
      <c r="S780" s="16" t="inlineStr">
        <is>
          <t>https://mstgolf.co.th/products/gf3010300415</t>
        </is>
      </c>
      <c r="T780" s="1">
        <f>IF(B780="ไม้กอล์ฟ",J780,"")</f>
        <v/>
      </c>
    </row>
    <row r="781">
      <c r="A781" s="1" t="n">
        <v>2</v>
      </c>
      <c r="B781" s="1" t="inlineStr">
        <is>
          <t>ถุงกอล์ฟ</t>
        </is>
      </c>
      <c r="C781" s="1" t="inlineStr">
        <is>
          <t>gf3000400170</t>
        </is>
      </c>
      <c r="D781" s="1" t="inlineStr">
        <is>
          <t>SUN MOUNTAIN Clubglider Meridian Travel Cover (Black)</t>
        </is>
      </c>
      <c r="E781" s="1" t="inlineStr">
        <is>
          <t>SUN MOUNTAIN</t>
        </is>
      </c>
      <c r="F781" s="1" t="inlineStr">
        <is>
          <t>TRAVEL COVER</t>
        </is>
      </c>
      <c r="G781" s="1" t="inlineStr">
        <is>
          <t>GF3000400170</t>
        </is>
      </c>
      <c r="H781" s="1" t="n">
        <v>1</v>
      </c>
      <c r="I781" s="1" t="inlineStr">
        <is>
          <t>มี</t>
        </is>
      </c>
      <c r="J781" s="13" t="n">
        <v>369</v>
      </c>
      <c r="K781" s="1" t="inlineStr"/>
      <c r="L781" s="13" t="n">
        <v>369</v>
      </c>
      <c r="M781" s="1">
        <f>IF(L781="","ไม่พบใน SG",IF(ABS(J781-L781)&lt;0.005,"ตรงกัน","ไม่ตรง"))</f>
        <v/>
      </c>
      <c r="N781" s="14">
        <f>IF(L781="","",ROUND(L781*'สรุป'!$C$6,-1))</f>
        <v/>
      </c>
      <c r="O781" s="15" t="n"/>
      <c r="P781" s="15" t="n"/>
      <c r="Q781" s="10" t="n"/>
      <c r="R781" s="10" t="n"/>
      <c r="S781" s="16" t="inlineStr">
        <is>
          <t>https://mstgolf.co.th/products/gf3000400170</t>
        </is>
      </c>
      <c r="T781" s="1">
        <f>IF(B781="ไม้กอล์ฟ",J781,"")</f>
        <v/>
      </c>
    </row>
    <row r="782">
      <c r="A782" s="1" t="n">
        <v>2</v>
      </c>
      <c r="B782" s="1" t="inlineStr">
        <is>
          <t>ถุงกอล์ฟ</t>
        </is>
      </c>
      <c r="C782" s="1" t="inlineStr">
        <is>
          <t>gf3000400171</t>
        </is>
      </c>
      <c r="D782" s="1" t="inlineStr">
        <is>
          <t>SUN MOUNTAIN Clubglider Meridian Travel Cover (Green/Black)</t>
        </is>
      </c>
      <c r="E782" s="1" t="inlineStr">
        <is>
          <t>SUN MOUNTAIN</t>
        </is>
      </c>
      <c r="F782" s="1" t="inlineStr">
        <is>
          <t>TRAVEL COVER</t>
        </is>
      </c>
      <c r="G782" s="1" t="inlineStr">
        <is>
          <t>GF3000400171</t>
        </is>
      </c>
      <c r="H782" s="1" t="n">
        <v>1</v>
      </c>
      <c r="I782" s="1" t="inlineStr">
        <is>
          <t>มี</t>
        </is>
      </c>
      <c r="J782" s="13" t="n">
        <v>369</v>
      </c>
      <c r="K782" s="1" t="inlineStr"/>
      <c r="L782" s="13" t="n">
        <v>369</v>
      </c>
      <c r="M782" s="1">
        <f>IF(L782="","ไม่พบใน SG",IF(ABS(J782-L782)&lt;0.005,"ตรงกัน","ไม่ตรง"))</f>
        <v/>
      </c>
      <c r="N782" s="14">
        <f>IF(L782="","",ROUND(L782*'สรุป'!$C$6,-1))</f>
        <v/>
      </c>
      <c r="O782" s="15" t="n"/>
      <c r="P782" s="15" t="n"/>
      <c r="Q782" s="10" t="n"/>
      <c r="R782" s="10" t="n"/>
      <c r="S782" s="16" t="inlineStr">
        <is>
          <t>https://mstgolf.co.th/products/gf3000400171</t>
        </is>
      </c>
      <c r="T782" s="1">
        <f>IF(B782="ไม้กอล์ฟ",J782,"")</f>
        <v/>
      </c>
    </row>
    <row r="783">
      <c r="A783" s="1" t="n">
        <v>2</v>
      </c>
      <c r="B783" s="1" t="inlineStr">
        <is>
          <t>ถุงกอล์ฟ</t>
        </is>
      </c>
      <c r="C783" s="1" t="inlineStr">
        <is>
          <t>gf3000201146</t>
        </is>
      </c>
      <c r="D783" s="1" t="inlineStr">
        <is>
          <t>TAYLORMADE 9" FlexTech Waterproof Stand Bag (Gunmetal)</t>
        </is>
      </c>
      <c r="E783" s="1" t="inlineStr">
        <is>
          <t>TAYLORMADE</t>
        </is>
      </c>
      <c r="F783" s="1" t="inlineStr">
        <is>
          <t>STAND BAG</t>
        </is>
      </c>
      <c r="G783" s="1" t="inlineStr">
        <is>
          <t>GF3000201146</t>
        </is>
      </c>
      <c r="H783" s="1" t="n">
        <v>1</v>
      </c>
      <c r="I783" s="1" t="inlineStr">
        <is>
          <t>มี</t>
        </is>
      </c>
      <c r="J783" s="13" t="n">
        <v>369</v>
      </c>
      <c r="K783" s="1" t="inlineStr"/>
      <c r="L783" s="13" t="n">
        <v>369</v>
      </c>
      <c r="M783" s="1">
        <f>IF(L783="","ไม่พบใน SG",IF(ABS(J783-L783)&lt;0.005,"ตรงกัน","ไม่ตรง"))</f>
        <v/>
      </c>
      <c r="N783" s="14">
        <f>IF(L783="","",ROUND(L783*'สรุป'!$C$6,-1))</f>
        <v/>
      </c>
      <c r="O783" s="15" t="n"/>
      <c r="P783" s="15" t="n"/>
      <c r="Q783" s="10" t="n"/>
      <c r="R783" s="10" t="n"/>
      <c r="S783" s="16" t="inlineStr">
        <is>
          <t>https://mstgolf.co.th/products/gf3000201146</t>
        </is>
      </c>
      <c r="T783" s="1">
        <f>IF(B783="ไม้กอล์ฟ",J783,"")</f>
        <v/>
      </c>
    </row>
    <row r="784">
      <c r="A784" s="1" t="n">
        <v>2</v>
      </c>
      <c r="B784" s="1" t="inlineStr">
        <is>
          <t>ถุงกอล์ฟ</t>
        </is>
      </c>
      <c r="C784" s="1" t="inlineStr">
        <is>
          <t>gf3000102533</t>
        </is>
      </c>
      <c r="D784" s="1" t="inlineStr">
        <is>
          <t>TAYLORMADE Tour Cart Bag (Black)</t>
        </is>
      </c>
      <c r="E784" s="1" t="inlineStr">
        <is>
          <t>TAYLORMADE</t>
        </is>
      </c>
      <c r="F784" s="1" t="inlineStr">
        <is>
          <t>CADDIE/CART BAG</t>
        </is>
      </c>
      <c r="G784" s="1" t="inlineStr">
        <is>
          <t>GF3000102533</t>
        </is>
      </c>
      <c r="H784" s="1" t="n">
        <v>1</v>
      </c>
      <c r="I784" s="1" t="inlineStr">
        <is>
          <t>มี</t>
        </is>
      </c>
      <c r="J784" s="13" t="n">
        <v>369</v>
      </c>
      <c r="K784" s="1" t="inlineStr"/>
      <c r="L784" s="13" t="n">
        <v>369</v>
      </c>
      <c r="M784" s="1">
        <f>IF(L784="","ไม่พบใน SG",IF(ABS(J784-L784)&lt;0.005,"ตรงกัน","ไม่ตรง"))</f>
        <v/>
      </c>
      <c r="N784" s="14">
        <f>IF(L784="","",ROUND(L784*'สรุป'!$C$6,-1))</f>
        <v/>
      </c>
      <c r="O784" s="15" t="n"/>
      <c r="P784" s="15" t="n"/>
      <c r="Q784" s="10" t="n"/>
      <c r="R784" s="10" t="n"/>
      <c r="S784" s="16" t="inlineStr">
        <is>
          <t>https://mstgolf.co.th/products/gf3000102533</t>
        </is>
      </c>
      <c r="T784" s="1">
        <f>IF(B784="ไม้กอล์ฟ",J784,"")</f>
        <v/>
      </c>
    </row>
    <row r="785">
      <c r="A785" s="1" t="n">
        <v>2</v>
      </c>
      <c r="B785" s="1" t="inlineStr">
        <is>
          <t>ถุงกอล์ฟ</t>
        </is>
      </c>
      <c r="C785" s="1" t="inlineStr">
        <is>
          <t>gf3000201164</t>
        </is>
      </c>
      <c r="D785" s="1" t="inlineStr">
        <is>
          <t>TITLEIST Players 5 StaDry Stand Bag (Black/Black/Red)</t>
        </is>
      </c>
      <c r="E785" s="1" t="inlineStr">
        <is>
          <t>TITLEIST</t>
        </is>
      </c>
      <c r="F785" s="1" t="inlineStr">
        <is>
          <t>STAND BAG</t>
        </is>
      </c>
      <c r="G785" s="1" t="inlineStr">
        <is>
          <t>GF3000201164</t>
        </is>
      </c>
      <c r="H785" s="1" t="n">
        <v>1</v>
      </c>
      <c r="I785" s="1" t="inlineStr">
        <is>
          <t>มี</t>
        </is>
      </c>
      <c r="J785" s="13" t="n">
        <v>369</v>
      </c>
      <c r="K785" s="1" t="inlineStr"/>
      <c r="L785" s="13" t="n">
        <v>369</v>
      </c>
      <c r="M785" s="1">
        <f>IF(L785="","ไม่พบใน SG",IF(ABS(J785-L785)&lt;0.005,"ตรงกัน","ไม่ตรง"))</f>
        <v/>
      </c>
      <c r="N785" s="14">
        <f>IF(L785="","",ROUND(L785*'สรุป'!$C$6,-1))</f>
        <v/>
      </c>
      <c r="O785" s="15" t="n"/>
      <c r="P785" s="15" t="n"/>
      <c r="Q785" s="10" t="n"/>
      <c r="R785" s="10" t="n"/>
      <c r="S785" s="16" t="inlineStr">
        <is>
          <t>https://mstgolf.co.th/products/gf3000201164</t>
        </is>
      </c>
      <c r="T785" s="1">
        <f>IF(B785="ไม้กอล์ฟ",J785,"")</f>
        <v/>
      </c>
    </row>
    <row r="786">
      <c r="A786" s="1" t="n">
        <v>2</v>
      </c>
      <c r="B786" s="1" t="inlineStr">
        <is>
          <t>ถุงกอล์ฟ</t>
        </is>
      </c>
      <c r="C786" s="1" t="inlineStr">
        <is>
          <t>gf3000201162</t>
        </is>
      </c>
      <c r="D786" s="1" t="inlineStr">
        <is>
          <t>TITLEIST Players 5 StaDry Stand Bag (Navy/Royal/Grey)</t>
        </is>
      </c>
      <c r="E786" s="1" t="inlineStr">
        <is>
          <t>TITLEIST</t>
        </is>
      </c>
      <c r="F786" s="1" t="inlineStr">
        <is>
          <t>STAND BAG</t>
        </is>
      </c>
      <c r="G786" s="1" t="inlineStr">
        <is>
          <t>GF3000201162</t>
        </is>
      </c>
      <c r="H786" s="1" t="n">
        <v>1</v>
      </c>
      <c r="I786" s="1" t="inlineStr">
        <is>
          <t>มี</t>
        </is>
      </c>
      <c r="J786" s="13" t="n">
        <v>369</v>
      </c>
      <c r="K786" s="1" t="inlineStr"/>
      <c r="L786" s="13" t="n">
        <v>369</v>
      </c>
      <c r="M786" s="1">
        <f>IF(L786="","ไม่พบใน SG",IF(ABS(J786-L786)&lt;0.005,"ตรงกัน","ไม่ตรง"))</f>
        <v/>
      </c>
      <c r="N786" s="14">
        <f>IF(L786="","",ROUND(L786*'สรุป'!$C$6,-1))</f>
        <v/>
      </c>
      <c r="O786" s="15" t="n"/>
      <c r="P786" s="15" t="n"/>
      <c r="Q786" s="10" t="n"/>
      <c r="R786" s="10" t="n"/>
      <c r="S786" s="16" t="inlineStr">
        <is>
          <t>https://mstgolf.co.th/products/gf3000201162</t>
        </is>
      </c>
      <c r="T786" s="1">
        <f>IF(B786="ไม้กอล์ฟ",J786,"")</f>
        <v/>
      </c>
    </row>
    <row r="787">
      <c r="A787" s="1" t="n">
        <v>2</v>
      </c>
      <c r="B787" s="1" t="inlineStr">
        <is>
          <t>ถุงกอล์ฟ</t>
        </is>
      </c>
      <c r="C787" s="1" t="inlineStr">
        <is>
          <t>gf3000400124</t>
        </is>
      </c>
      <c r="D787" s="1" t="inlineStr">
        <is>
          <t>SUN MOUNTAIN Clubglider Journey (Black)</t>
        </is>
      </c>
      <c r="E787" s="1" t="inlineStr">
        <is>
          <t>SUN MOUNTAIN</t>
        </is>
      </c>
      <c r="F787" s="1" t="inlineStr">
        <is>
          <t>TRAVEL COVER</t>
        </is>
      </c>
      <c r="G787" s="1" t="inlineStr">
        <is>
          <t>GF3000400124</t>
        </is>
      </c>
      <c r="H787" s="1" t="n">
        <v>1</v>
      </c>
      <c r="I787" s="1" t="inlineStr">
        <is>
          <t>มี</t>
        </is>
      </c>
      <c r="J787" s="13" t="n">
        <v>365</v>
      </c>
      <c r="K787" s="1" t="inlineStr"/>
      <c r="L787" s="13" t="n">
        <v>365</v>
      </c>
      <c r="M787" s="1">
        <f>IF(L787="","ไม่พบใน SG",IF(ABS(J787-L787)&lt;0.005,"ตรงกัน","ไม่ตรง"))</f>
        <v/>
      </c>
      <c r="N787" s="14">
        <f>IF(L787="","",ROUND(L787*'สรุป'!$C$6,-1))</f>
        <v/>
      </c>
      <c r="O787" s="15" t="n"/>
      <c r="P787" s="15" t="n"/>
      <c r="Q787" s="10" t="n"/>
      <c r="R787" s="10" t="n"/>
      <c r="S787" s="16" t="inlineStr">
        <is>
          <t>https://mstgolf.co.th/products/gf3000400124</t>
        </is>
      </c>
      <c r="T787" s="1">
        <f>IF(B787="ไม้กอล์ฟ",J787,"")</f>
        <v/>
      </c>
    </row>
    <row r="788">
      <c r="A788" s="1" t="n">
        <v>2</v>
      </c>
      <c r="B788" s="1" t="inlineStr">
        <is>
          <t>ถุงกอล์ฟ</t>
        </is>
      </c>
      <c r="C788" s="1" t="inlineStr">
        <is>
          <t>gf3000201566</t>
        </is>
      </c>
      <c r="D788" s="1" t="inlineStr">
        <is>
          <t>TITLEIST Hybrid 14 Stand Bag (Black/Black/Red)</t>
        </is>
      </c>
      <c r="E788" s="1" t="inlineStr">
        <is>
          <t>TITLEIST</t>
        </is>
      </c>
      <c r="F788" s="1" t="inlineStr">
        <is>
          <t>STAND BAG</t>
        </is>
      </c>
      <c r="G788" s="1" t="inlineStr">
        <is>
          <t>GF3000201566</t>
        </is>
      </c>
      <c r="H788" s="1" t="n">
        <v>1</v>
      </c>
      <c r="I788" s="1" t="inlineStr">
        <is>
          <t>มี</t>
        </is>
      </c>
      <c r="J788" s="13" t="n">
        <v>356</v>
      </c>
      <c r="K788" s="1" t="inlineStr"/>
      <c r="L788" s="13" t="n">
        <v>356</v>
      </c>
      <c r="M788" s="1">
        <f>IF(L788="","ไม่พบใน SG",IF(ABS(J788-L788)&lt;0.005,"ตรงกัน","ไม่ตรง"))</f>
        <v/>
      </c>
      <c r="N788" s="14">
        <f>IF(L788="","",ROUND(L788*'สรุป'!$C$6,-1))</f>
        <v/>
      </c>
      <c r="O788" s="15" t="n"/>
      <c r="P788" s="15" t="n"/>
      <c r="Q788" s="10" t="n"/>
      <c r="R788" s="10" t="n"/>
      <c r="S788" s="16" t="inlineStr">
        <is>
          <t>https://mstgolf.co.th/products/gf3000201566</t>
        </is>
      </c>
      <c r="T788" s="1">
        <f>IF(B788="ไม้กอล์ฟ",J788,"")</f>
        <v/>
      </c>
    </row>
    <row r="789">
      <c r="A789" s="1" t="n">
        <v>2</v>
      </c>
      <c r="B789" s="1" t="inlineStr">
        <is>
          <t>ถุงกอล์ฟ</t>
        </is>
      </c>
      <c r="C789" s="1" t="inlineStr">
        <is>
          <t>gf3000201567</t>
        </is>
      </c>
      <c r="D789" s="1" t="inlineStr">
        <is>
          <t>TITLEIST Hybrid 14 Stand Bag (Black/Graphite)</t>
        </is>
      </c>
      <c r="E789" s="1" t="inlineStr">
        <is>
          <t>TITLEIST</t>
        </is>
      </c>
      <c r="F789" s="1" t="inlineStr">
        <is>
          <t>STAND BAG</t>
        </is>
      </c>
      <c r="G789" s="1" t="inlineStr">
        <is>
          <t>GF3000201567</t>
        </is>
      </c>
      <c r="H789" s="1" t="n">
        <v>1</v>
      </c>
      <c r="I789" s="1" t="inlineStr">
        <is>
          <t>มี</t>
        </is>
      </c>
      <c r="J789" s="13" t="n">
        <v>356</v>
      </c>
      <c r="K789" s="1" t="inlineStr"/>
      <c r="L789" s="13" t="n">
        <v>356</v>
      </c>
      <c r="M789" s="1">
        <f>IF(L789="","ไม่พบใน SG",IF(ABS(J789-L789)&lt;0.005,"ตรงกัน","ไม่ตรง"))</f>
        <v/>
      </c>
      <c r="N789" s="14">
        <f>IF(L789="","",ROUND(L789*'สรุป'!$C$6,-1))</f>
        <v/>
      </c>
      <c r="O789" s="15" t="n"/>
      <c r="P789" s="15" t="n"/>
      <c r="Q789" s="10" t="n"/>
      <c r="R789" s="10" t="n"/>
      <c r="S789" s="16" t="inlineStr">
        <is>
          <t>https://mstgolf.co.th/products/gf3000201567</t>
        </is>
      </c>
      <c r="T789" s="1">
        <f>IF(B789="ไม้กอล์ฟ",J789,"")</f>
        <v/>
      </c>
    </row>
    <row r="790">
      <c r="A790" s="1" t="n">
        <v>2</v>
      </c>
      <c r="B790" s="1" t="inlineStr">
        <is>
          <t>ถุงกอล์ฟ</t>
        </is>
      </c>
      <c r="C790" s="1" t="inlineStr">
        <is>
          <t>gf3000102950</t>
        </is>
      </c>
      <c r="D790" s="1" t="inlineStr">
        <is>
          <t>ADIDAS Lightweight 8.5" Cart Bag (Black)</t>
        </is>
      </c>
      <c r="E790" s="1" t="inlineStr">
        <is>
          <t>ADIDAS</t>
        </is>
      </c>
      <c r="F790" s="1" t="inlineStr">
        <is>
          <t>CADDIE/CART BAG</t>
        </is>
      </c>
      <c r="G790" s="1" t="inlineStr">
        <is>
          <t>GF3000102950</t>
        </is>
      </c>
      <c r="H790" s="1" t="n">
        <v>1</v>
      </c>
      <c r="I790" s="1" t="inlineStr">
        <is>
          <t>มี</t>
        </is>
      </c>
      <c r="J790" s="13" t="n">
        <v>349</v>
      </c>
      <c r="K790" s="1" t="inlineStr"/>
      <c r="L790" s="13" t="n">
        <v>249</v>
      </c>
      <c r="M790" s="1">
        <f>IF(L790="","ไม่พบใน SG",IF(ABS(J790-L790)&lt;0.005,"ตรงกัน","ไม่ตรง"))</f>
        <v/>
      </c>
      <c r="N790" s="14">
        <f>IF(L790="","",ROUND(L790*'สรุป'!$C$6,-1))</f>
        <v/>
      </c>
      <c r="O790" s="15" t="n"/>
      <c r="P790" s="15" t="n"/>
      <c r="Q790" s="10" t="n"/>
      <c r="R790" s="10" t="n"/>
      <c r="S790" s="16" t="inlineStr">
        <is>
          <t>https://mstgolf.co.th/products/gf3000102950</t>
        </is>
      </c>
      <c r="T790" s="1">
        <f>IF(B790="ไม้กอล์ฟ",J790,"")</f>
        <v/>
      </c>
    </row>
    <row r="791">
      <c r="A791" s="1" t="n">
        <v>2</v>
      </c>
      <c r="B791" s="1" t="inlineStr">
        <is>
          <t>ถุงกอล์ฟ</t>
        </is>
      </c>
      <c r="C791" s="1" t="inlineStr">
        <is>
          <t>gf3000103175</t>
        </is>
      </c>
      <c r="D791" s="1" t="inlineStr">
        <is>
          <t>ADIDAS Lightweight 8.5" Cart Bag (Black)</t>
        </is>
      </c>
      <c r="E791" s="1" t="inlineStr">
        <is>
          <t>ADIDAS</t>
        </is>
      </c>
      <c r="F791" s="1" t="inlineStr">
        <is>
          <t>CADDIE/CART BAG</t>
        </is>
      </c>
      <c r="G791" s="1" t="inlineStr">
        <is>
          <t>GF3000103175</t>
        </is>
      </c>
      <c r="H791" s="1" t="n">
        <v>1</v>
      </c>
      <c r="I791" s="1" t="inlineStr">
        <is>
          <t>มี</t>
        </is>
      </c>
      <c r="J791" s="13" t="n">
        <v>349</v>
      </c>
      <c r="K791" s="1" t="inlineStr"/>
      <c r="L791" s="13" t="n">
        <v>249</v>
      </c>
      <c r="M791" s="1">
        <f>IF(L791="","ไม่พบใน SG",IF(ABS(J791-L791)&lt;0.005,"ตรงกัน","ไม่ตรง"))</f>
        <v/>
      </c>
      <c r="N791" s="14">
        <f>IF(L791="","",ROUND(L791*'สรุป'!$C$6,-1))</f>
        <v/>
      </c>
      <c r="O791" s="15" t="n"/>
      <c r="P791" s="15" t="n"/>
      <c r="Q791" s="10" t="n"/>
      <c r="R791" s="10" t="n"/>
      <c r="S791" s="16" t="inlineStr">
        <is>
          <t>https://mstgolf.co.th/products/gf3000103175</t>
        </is>
      </c>
      <c r="T791" s="1">
        <f>IF(B791="ไม้กอล์ฟ",J791,"")</f>
        <v/>
      </c>
    </row>
    <row r="792">
      <c r="A792" s="1" t="n">
        <v>2</v>
      </c>
      <c r="B792" s="1" t="inlineStr">
        <is>
          <t>รองเท้า</t>
        </is>
      </c>
      <c r="C792" s="1" t="inlineStr">
        <is>
          <t>gf2500201367</t>
        </is>
      </c>
      <c r="D792" s="1" t="inlineStr">
        <is>
          <t>GFORE G/18 Limited Edition Men's Spikeless Shoes (Multi)</t>
        </is>
      </c>
      <c r="E792" s="1" t="inlineStr">
        <is>
          <t>GFORE</t>
        </is>
      </c>
      <c r="F792" s="1" t="inlineStr">
        <is>
          <t>SPIKELESS SHOES</t>
        </is>
      </c>
      <c r="G792" s="1" t="inlineStr">
        <is>
          <t>GF2500201367US7</t>
        </is>
      </c>
      <c r="H792" s="1" t="n">
        <v>9</v>
      </c>
      <c r="I792" s="1" t="inlineStr">
        <is>
          <t>มี</t>
        </is>
      </c>
      <c r="J792" s="13" t="n">
        <v>349</v>
      </c>
      <c r="K792" s="1" t="inlineStr"/>
      <c r="L792" s="13" t="n">
        <v>349</v>
      </c>
      <c r="M792" s="1">
        <f>IF(L792="","ไม่พบใน SG",IF(ABS(J792-L792)&lt;0.005,"ตรงกัน","ไม่ตรง"))</f>
        <v/>
      </c>
      <c r="N792" s="14">
        <f>IF(L792="","",ROUND(L792*'สรุป'!$C$6,-1))</f>
        <v/>
      </c>
      <c r="O792" s="15" t="n"/>
      <c r="P792" s="15" t="n"/>
      <c r="Q792" s="10" t="n"/>
      <c r="R792" s="10" t="n"/>
      <c r="S792" s="16" t="inlineStr">
        <is>
          <t>https://mstgolf.co.th/products/gf2500201367</t>
        </is>
      </c>
      <c r="T792" s="1">
        <f>IF(B792="ไม้กอล์ฟ",J792,"")</f>
        <v/>
      </c>
    </row>
    <row r="793">
      <c r="A793" s="1" t="n">
        <v>2</v>
      </c>
      <c r="B793" s="1" t="inlineStr">
        <is>
          <t>รองเท้า</t>
        </is>
      </c>
      <c r="C793" s="1" t="inlineStr">
        <is>
          <t>gf2500201320</t>
        </is>
      </c>
      <c r="D793" s="1" t="inlineStr">
        <is>
          <t>GFORE G/18 Men's Spikeless Shoes (Nimbus/Charcoal)</t>
        </is>
      </c>
      <c r="E793" s="1" t="inlineStr">
        <is>
          <t>GFORE</t>
        </is>
      </c>
      <c r="F793" s="1" t="inlineStr">
        <is>
          <t>SPIKELESS SHOES</t>
        </is>
      </c>
      <c r="G793" s="1" t="inlineStr">
        <is>
          <t>GF2500201320US7</t>
        </is>
      </c>
      <c r="H793" s="1" t="n">
        <v>10</v>
      </c>
      <c r="I793" s="1" t="inlineStr">
        <is>
          <t>มี</t>
        </is>
      </c>
      <c r="J793" s="13" t="n">
        <v>349</v>
      </c>
      <c r="K793" s="1" t="inlineStr"/>
      <c r="L793" s="13" t="n">
        <v>349</v>
      </c>
      <c r="M793" s="1">
        <f>IF(L793="","ไม่พบใน SG",IF(ABS(J793-L793)&lt;0.005,"ตรงกัน","ไม่ตรง"))</f>
        <v/>
      </c>
      <c r="N793" s="14">
        <f>IF(L793="","",ROUND(L793*'สรุป'!$C$6,-1))</f>
        <v/>
      </c>
      <c r="O793" s="15" t="n"/>
      <c r="P793" s="15" t="n"/>
      <c r="Q793" s="10" t="n"/>
      <c r="R793" s="10" t="n"/>
      <c r="S793" s="16" t="inlineStr">
        <is>
          <t>https://mstgolf.co.th/products/gf2500201320</t>
        </is>
      </c>
      <c r="T793" s="1">
        <f>IF(B793="ไม้กอล์ฟ",J793,"")</f>
        <v/>
      </c>
    </row>
    <row r="794">
      <c r="A794" s="1" t="n">
        <v>2</v>
      </c>
      <c r="B794" s="1" t="inlineStr">
        <is>
          <t>รองเท้า</t>
        </is>
      </c>
      <c r="C794" s="1" t="inlineStr">
        <is>
          <t>gf2500201319</t>
        </is>
      </c>
      <c r="D794" s="1" t="inlineStr">
        <is>
          <t>GFORE G/18 Men's Spikeless Shoes (Onyx/Snow)</t>
        </is>
      </c>
      <c r="E794" s="1" t="inlineStr">
        <is>
          <t>GFORE</t>
        </is>
      </c>
      <c r="F794" s="1" t="inlineStr">
        <is>
          <t>SPIKELESS SHOES</t>
        </is>
      </c>
      <c r="G794" s="1" t="inlineStr">
        <is>
          <t>GF2500201319US7</t>
        </is>
      </c>
      <c r="H794" s="1" t="n">
        <v>10</v>
      </c>
      <c r="I794" s="1" t="inlineStr">
        <is>
          <t>มี</t>
        </is>
      </c>
      <c r="J794" s="13" t="n">
        <v>349</v>
      </c>
      <c r="K794" s="1" t="inlineStr"/>
      <c r="L794" s="13" t="n">
        <v>349</v>
      </c>
      <c r="M794" s="1">
        <f>IF(L794="","ไม่พบใน SG",IF(ABS(J794-L794)&lt;0.005,"ตรงกัน","ไม่ตรง"))</f>
        <v/>
      </c>
      <c r="N794" s="14">
        <f>IF(L794="","",ROUND(L794*'สรุป'!$C$6,-1))</f>
        <v/>
      </c>
      <c r="O794" s="15" t="n"/>
      <c r="P794" s="15" t="n"/>
      <c r="Q794" s="10" t="n"/>
      <c r="R794" s="10" t="n"/>
      <c r="S794" s="16" t="inlineStr">
        <is>
          <t>https://mstgolf.co.th/products/gf2500201319</t>
        </is>
      </c>
      <c r="T794" s="1">
        <f>IF(B794="ไม้กอล์ฟ",J794,"")</f>
        <v/>
      </c>
    </row>
    <row r="795">
      <c r="A795" s="1" t="n">
        <v>2</v>
      </c>
      <c r="B795" s="1" t="inlineStr">
        <is>
          <t>รองเท้า</t>
        </is>
      </c>
      <c r="C795" s="1" t="inlineStr">
        <is>
          <t>gf2500201322</t>
        </is>
      </c>
      <c r="D795" s="1" t="inlineStr">
        <is>
          <t>GFORE G/18 Men's Spikeless Shoes (Snow/Onyx)</t>
        </is>
      </c>
      <c r="E795" s="1" t="inlineStr">
        <is>
          <t>GFORE</t>
        </is>
      </c>
      <c r="F795" s="1" t="inlineStr">
        <is>
          <t>SPIKELESS SHOES</t>
        </is>
      </c>
      <c r="G795" s="1" t="inlineStr">
        <is>
          <t>GF2500201322US7</t>
        </is>
      </c>
      <c r="H795" s="1" t="n">
        <v>11</v>
      </c>
      <c r="I795" s="1" t="inlineStr">
        <is>
          <t>มี</t>
        </is>
      </c>
      <c r="J795" s="13" t="n">
        <v>349</v>
      </c>
      <c r="K795" s="1" t="inlineStr"/>
      <c r="L795" s="13" t="n">
        <v>349</v>
      </c>
      <c r="M795" s="1">
        <f>IF(L795="","ไม่พบใน SG",IF(ABS(J795-L795)&lt;0.005,"ตรงกัน","ไม่ตรง"))</f>
        <v/>
      </c>
      <c r="N795" s="14">
        <f>IF(L795="","",ROUND(L795*'สรุป'!$C$6,-1))</f>
        <v/>
      </c>
      <c r="O795" s="15" t="n"/>
      <c r="P795" s="15" t="n"/>
      <c r="Q795" s="10" t="n"/>
      <c r="R795" s="10" t="n"/>
      <c r="S795" s="16" t="inlineStr">
        <is>
          <t>https://mstgolf.co.th/products/gf2500201322</t>
        </is>
      </c>
      <c r="T795" s="1">
        <f>IF(B795="ไม้กอล์ฟ",J795,"")</f>
        <v/>
      </c>
    </row>
    <row r="796">
      <c r="A796" s="1" t="n">
        <v>2</v>
      </c>
      <c r="B796" s="1" t="inlineStr">
        <is>
          <t>รองเท้า</t>
        </is>
      </c>
      <c r="C796" s="1" t="inlineStr">
        <is>
          <t>gf2500201333</t>
        </is>
      </c>
      <c r="D796" s="1" t="inlineStr">
        <is>
          <t>GFORE G/18 Women's Spikeless Shoes (Blush)</t>
        </is>
      </c>
      <c r="E796" s="1" t="inlineStr">
        <is>
          <t>GFORE</t>
        </is>
      </c>
      <c r="F796" s="1" t="inlineStr">
        <is>
          <t>SPIKELESS SHOES</t>
        </is>
      </c>
      <c r="G796" s="1" t="inlineStr">
        <is>
          <t>GF2500201333US5.5</t>
        </is>
      </c>
      <c r="H796" s="1" t="n">
        <v>8</v>
      </c>
      <c r="I796" s="1" t="inlineStr">
        <is>
          <t>มี</t>
        </is>
      </c>
      <c r="J796" s="13" t="n">
        <v>349</v>
      </c>
      <c r="K796" s="1" t="inlineStr"/>
      <c r="L796" s="13" t="n">
        <v>349</v>
      </c>
      <c r="M796" s="1">
        <f>IF(L796="","ไม่พบใน SG",IF(ABS(J796-L796)&lt;0.005,"ตรงกัน","ไม่ตรง"))</f>
        <v/>
      </c>
      <c r="N796" s="14">
        <f>IF(L796="","",ROUND(L796*'สรุป'!$C$6,-1))</f>
        <v/>
      </c>
      <c r="O796" s="15" t="n"/>
      <c r="P796" s="15" t="n"/>
      <c r="Q796" s="10" t="n"/>
      <c r="R796" s="10" t="n"/>
      <c r="S796" s="16" t="inlineStr">
        <is>
          <t>https://mstgolf.co.th/products/gf2500201333</t>
        </is>
      </c>
      <c r="T796" s="1">
        <f>IF(B796="ไม้กอล์ฟ",J796,"")</f>
        <v/>
      </c>
    </row>
    <row r="797">
      <c r="A797" s="1" t="n">
        <v>2</v>
      </c>
      <c r="B797" s="1" t="inlineStr">
        <is>
          <t>ถุงกอล์ฟ</t>
        </is>
      </c>
      <c r="C797" s="1" t="inlineStr">
        <is>
          <t>gf3000201258</t>
        </is>
      </c>
      <c r="D797" s="1" t="inlineStr">
        <is>
          <t>TAYLORMADE 9" FlexTech Stand Bag (Grey)</t>
        </is>
      </c>
      <c r="E797" s="1" t="inlineStr">
        <is>
          <t>TAYLORMADE</t>
        </is>
      </c>
      <c r="F797" s="1" t="inlineStr">
        <is>
          <t>STAND BAG</t>
        </is>
      </c>
      <c r="G797" s="1" t="inlineStr">
        <is>
          <t>GF3000201258</t>
        </is>
      </c>
      <c r="H797" s="1" t="n">
        <v>1</v>
      </c>
      <c r="I797" s="1" t="inlineStr">
        <is>
          <t>มี</t>
        </is>
      </c>
      <c r="J797" s="13" t="n">
        <v>349</v>
      </c>
      <c r="K797" s="1" t="inlineStr"/>
      <c r="L797" s="13" t="n">
        <v>349</v>
      </c>
      <c r="M797" s="1">
        <f>IF(L797="","ไม่พบใน SG",IF(ABS(J797-L797)&lt;0.005,"ตรงกัน","ไม่ตรง"))</f>
        <v/>
      </c>
      <c r="N797" s="14">
        <f>IF(L797="","",ROUND(L797*'สรุป'!$C$6,-1))</f>
        <v/>
      </c>
      <c r="O797" s="15" t="n"/>
      <c r="P797" s="15" t="n"/>
      <c r="Q797" s="10" t="n"/>
      <c r="R797" s="10" t="n"/>
      <c r="S797" s="16" t="inlineStr">
        <is>
          <t>https://mstgolf.co.th/products/gf3000201258</t>
        </is>
      </c>
      <c r="T797" s="1">
        <f>IF(B797="ไม้กอล์ฟ",J797,"")</f>
        <v/>
      </c>
    </row>
    <row r="798">
      <c r="A798" s="1" t="n">
        <v>2</v>
      </c>
      <c r="B798" s="1" t="inlineStr">
        <is>
          <t>ถุงกอล์ฟ</t>
        </is>
      </c>
      <c r="C798" s="1" t="inlineStr">
        <is>
          <t>gf3000103076</t>
        </is>
      </c>
      <c r="D798" s="1" t="inlineStr">
        <is>
          <t>ONOFF OB5824 9" Waterproof Cart Bag (Navy)</t>
        </is>
      </c>
      <c r="E798" s="1" t="inlineStr">
        <is>
          <t>ONOFF</t>
        </is>
      </c>
      <c r="F798" s="1" t="inlineStr">
        <is>
          <t>CADDIE/CART BAG</t>
        </is>
      </c>
      <c r="G798" s="1" t="inlineStr">
        <is>
          <t>GF3000103076</t>
        </is>
      </c>
      <c r="H798" s="1" t="n">
        <v>1</v>
      </c>
      <c r="I798" s="1" t="inlineStr">
        <is>
          <t>มี</t>
        </is>
      </c>
      <c r="J798" s="13" t="n">
        <v>345</v>
      </c>
      <c r="K798" s="1" t="inlineStr"/>
      <c r="L798" s="13" t="n">
        <v>345</v>
      </c>
      <c r="M798" s="1">
        <f>IF(L798="","ไม่พบใน SG",IF(ABS(J798-L798)&lt;0.005,"ตรงกัน","ไม่ตรง"))</f>
        <v/>
      </c>
      <c r="N798" s="14">
        <f>IF(L798="","",ROUND(L798*'สรุป'!$C$6,-1))</f>
        <v/>
      </c>
      <c r="O798" s="15" t="n"/>
      <c r="P798" s="15" t="n"/>
      <c r="Q798" s="10" t="n"/>
      <c r="R798" s="10" t="n"/>
      <c r="S798" s="16" t="inlineStr">
        <is>
          <t>https://mstgolf.co.th/products/gf3000103076</t>
        </is>
      </c>
      <c r="T798" s="1">
        <f>IF(B798="ไม้กอล์ฟ",J798,"")</f>
        <v/>
      </c>
    </row>
    <row r="799">
      <c r="A799" s="1" t="n">
        <v>2</v>
      </c>
      <c r="B799" s="1" t="inlineStr">
        <is>
          <t>ถุงกอล์ฟ</t>
        </is>
      </c>
      <c r="C799" s="1" t="inlineStr">
        <is>
          <t>gf3000103077</t>
        </is>
      </c>
      <c r="D799" s="1" t="inlineStr">
        <is>
          <t>ONOFF OB5825 9" Waterproof Cart Bag (Khaki)</t>
        </is>
      </c>
      <c r="E799" s="1" t="inlineStr">
        <is>
          <t>ONOFF</t>
        </is>
      </c>
      <c r="F799" s="1" t="inlineStr">
        <is>
          <t>CADDIE/CART BAG</t>
        </is>
      </c>
      <c r="G799" s="1" t="inlineStr">
        <is>
          <t>GF3000103077</t>
        </is>
      </c>
      <c r="H799" s="1" t="n">
        <v>1</v>
      </c>
      <c r="I799" s="1" t="inlineStr">
        <is>
          <t>มี</t>
        </is>
      </c>
      <c r="J799" s="13" t="n">
        <v>345</v>
      </c>
      <c r="K799" s="1" t="inlineStr"/>
      <c r="L799" s="13" t="n">
        <v>345</v>
      </c>
      <c r="M799" s="1">
        <f>IF(L799="","ไม่พบใน SG",IF(ABS(J799-L799)&lt;0.005,"ตรงกัน","ไม่ตรง"))</f>
        <v/>
      </c>
      <c r="N799" s="14">
        <f>IF(L799="","",ROUND(L799*'สรุป'!$C$6,-1))</f>
        <v/>
      </c>
      <c r="O799" s="15" t="n"/>
      <c r="P799" s="15" t="n"/>
      <c r="Q799" s="10" t="n"/>
      <c r="R799" s="10" t="n"/>
      <c r="S799" s="16" t="inlineStr">
        <is>
          <t>https://mstgolf.co.th/products/gf3000103077</t>
        </is>
      </c>
      <c r="T799" s="1">
        <f>IF(B799="ไม้กอล์ฟ",J799,"")</f>
        <v/>
      </c>
    </row>
    <row r="800">
      <c r="A800" s="1" t="n">
        <v>2</v>
      </c>
      <c r="B800" s="1" t="inlineStr">
        <is>
          <t>ถุงกอล์ฟ</t>
        </is>
      </c>
      <c r="C800" s="1" t="inlineStr">
        <is>
          <t>gf3000103142</t>
        </is>
      </c>
      <c r="D800" s="1" t="inlineStr">
        <is>
          <t>PING Traverse 244 Cart Bag (Navy/Crystal/Lemon)</t>
        </is>
      </c>
      <c r="E800" s="1" t="inlineStr">
        <is>
          <t>PING</t>
        </is>
      </c>
      <c r="F800" s="1" t="inlineStr">
        <is>
          <t>CADDIE/CART BAG</t>
        </is>
      </c>
      <c r="G800" s="1" t="inlineStr">
        <is>
          <t>GF3000103142</t>
        </is>
      </c>
      <c r="H800" s="1" t="n">
        <v>1</v>
      </c>
      <c r="I800" s="1" t="inlineStr">
        <is>
          <t>มี</t>
        </is>
      </c>
      <c r="J800" s="13" t="n">
        <v>345</v>
      </c>
      <c r="K800" s="1" t="inlineStr"/>
      <c r="L800" s="13" t="n">
        <v>345</v>
      </c>
      <c r="M800" s="1">
        <f>IF(L800="","ไม่พบใน SG",IF(ABS(J800-L800)&lt;0.005,"ตรงกัน","ไม่ตรง"))</f>
        <v/>
      </c>
      <c r="N800" s="14">
        <f>IF(L800="","",ROUND(L800*'สรุป'!$C$6,-1))</f>
        <v/>
      </c>
      <c r="O800" s="15" t="n"/>
      <c r="P800" s="15" t="n"/>
      <c r="Q800" s="10" t="n"/>
      <c r="R800" s="10" t="n"/>
      <c r="S800" s="16" t="inlineStr">
        <is>
          <t>https://mstgolf.co.th/products/gf3000103142</t>
        </is>
      </c>
      <c r="T800" s="1">
        <f>IF(B800="ไม้กอล์ฟ",J800,"")</f>
        <v/>
      </c>
    </row>
    <row r="801">
      <c r="A801" s="1" t="n">
        <v>2</v>
      </c>
      <c r="B801" s="1" t="inlineStr">
        <is>
          <t>ถุงกอล์ฟ</t>
        </is>
      </c>
      <c r="C801" s="1" t="inlineStr">
        <is>
          <t>gf3000103143</t>
        </is>
      </c>
      <c r="D801" s="1" t="inlineStr">
        <is>
          <t>PING Traverse 244 Cart Bag (Navy/Sand/White)</t>
        </is>
      </c>
      <c r="E801" s="1" t="inlineStr">
        <is>
          <t>PING</t>
        </is>
      </c>
      <c r="F801" s="1" t="inlineStr">
        <is>
          <t>CADDIE/CART BAG</t>
        </is>
      </c>
      <c r="G801" s="1" t="inlineStr">
        <is>
          <t>GF3000103143</t>
        </is>
      </c>
      <c r="H801" s="1" t="n">
        <v>1</v>
      </c>
      <c r="I801" s="1" t="inlineStr">
        <is>
          <t>มี</t>
        </is>
      </c>
      <c r="J801" s="13" t="n">
        <v>345</v>
      </c>
      <c r="K801" s="1" t="inlineStr"/>
      <c r="L801" s="13" t="n">
        <v>345</v>
      </c>
      <c r="M801" s="1">
        <f>IF(L801="","ไม่พบใน SG",IF(ABS(J801-L801)&lt;0.005,"ตรงกัน","ไม่ตรง"))</f>
        <v/>
      </c>
      <c r="N801" s="14">
        <f>IF(L801="","",ROUND(L801*'สรุป'!$C$6,-1))</f>
        <v/>
      </c>
      <c r="O801" s="15" t="n"/>
      <c r="P801" s="15" t="n"/>
      <c r="Q801" s="10" t="n"/>
      <c r="R801" s="10" t="n"/>
      <c r="S801" s="16" t="inlineStr">
        <is>
          <t>https://mstgolf.co.th/products/gf3000103143</t>
        </is>
      </c>
      <c r="T801" s="1">
        <f>IF(B801="ไม้กอล์ฟ",J801,"")</f>
        <v/>
      </c>
    </row>
    <row r="802">
      <c r="A802" s="1" t="n">
        <v>2</v>
      </c>
      <c r="B802" s="1" t="inlineStr">
        <is>
          <t>ถุงกอล์ฟ</t>
        </is>
      </c>
      <c r="C802" s="1" t="inlineStr">
        <is>
          <t>gf3000103168</t>
        </is>
      </c>
      <c r="D802" s="1" t="inlineStr">
        <is>
          <t>MIZUNO JPX-925 GWP SMU Cart Bag (Black/Blue)</t>
        </is>
      </c>
      <c r="E802" s="1" t="inlineStr">
        <is>
          <t>MIZUNO</t>
        </is>
      </c>
      <c r="F802" s="1" t="inlineStr">
        <is>
          <t>CADDIE/CART BAG</t>
        </is>
      </c>
      <c r="G802" s="1" t="inlineStr">
        <is>
          <t>GF3000103168</t>
        </is>
      </c>
      <c r="H802" s="1" t="n">
        <v>1</v>
      </c>
      <c r="I802" s="1" t="inlineStr">
        <is>
          <t>มี</t>
        </is>
      </c>
      <c r="J802" s="13" t="n">
        <v>339</v>
      </c>
      <c r="K802" s="1" t="inlineStr"/>
      <c r="L802" s="13" t="n"/>
      <c r="M802" s="1">
        <f>IF(L802="","ไม่พบใน SG",IF(ABS(J802-L802)&lt;0.005,"ตรงกัน","ไม่ตรง"))</f>
        <v/>
      </c>
      <c r="N802" s="14">
        <f>IF(L802="","",ROUND(L802*'สรุป'!$C$6,-1))</f>
        <v/>
      </c>
      <c r="O802" s="15" t="n"/>
      <c r="P802" s="15" t="n"/>
      <c r="Q802" s="10" t="n"/>
      <c r="R802" s="10" t="n"/>
      <c r="S802" s="16" t="inlineStr">
        <is>
          <t>https://mstgolf.co.th/products/gf3000103168</t>
        </is>
      </c>
      <c r="T802" s="1">
        <f>IF(B802="ไม้กอล์ฟ",J802,"")</f>
        <v/>
      </c>
    </row>
    <row r="803">
      <c r="A803" s="1" t="n">
        <v>2</v>
      </c>
      <c r="B803" s="1" t="inlineStr">
        <is>
          <t>รองเท้า</t>
        </is>
      </c>
      <c r="C803" s="1" t="inlineStr">
        <is>
          <t>gf2500201341</t>
        </is>
      </c>
      <c r="D803" s="1" t="inlineStr">
        <is>
          <t>PUMA Royale Men's Spikeless Shoes (White/Navy/Gold)</t>
        </is>
      </c>
      <c r="E803" s="1" t="inlineStr">
        <is>
          <t>PUMA</t>
        </is>
      </c>
      <c r="F803" s="1" t="inlineStr">
        <is>
          <t>SPIKELESS SHOES</t>
        </is>
      </c>
      <c r="G803" s="1" t="inlineStr">
        <is>
          <t>GF2500201341UK6.5</t>
        </is>
      </c>
      <c r="H803" s="1" t="n">
        <v>12</v>
      </c>
      <c r="I803" s="1" t="inlineStr">
        <is>
          <t>มี</t>
        </is>
      </c>
      <c r="J803" s="13" t="n">
        <v>339</v>
      </c>
      <c r="K803" s="1" t="inlineStr"/>
      <c r="L803" s="13" t="n">
        <v>339</v>
      </c>
      <c r="M803" s="1">
        <f>IF(L803="","ไม่พบใน SG",IF(ABS(J803-L803)&lt;0.005,"ตรงกัน","ไม่ตรง"))</f>
        <v/>
      </c>
      <c r="N803" s="14">
        <f>IF(L803="","",ROUND(L803*'สรุป'!$C$6,-1))</f>
        <v/>
      </c>
      <c r="O803" s="15" t="n"/>
      <c r="P803" s="15" t="n"/>
      <c r="Q803" s="10" t="n"/>
      <c r="R803" s="10" t="n"/>
      <c r="S803" s="16" t="inlineStr">
        <is>
          <t>https://mstgolf.co.th/products/gf2500201341</t>
        </is>
      </c>
      <c r="T803" s="1">
        <f>IF(B803="ไม้กอล์ฟ",J803,"")</f>
        <v/>
      </c>
    </row>
    <row r="804">
      <c r="A804" s="1" t="n">
        <v>2</v>
      </c>
      <c r="B804" s="1" t="inlineStr">
        <is>
          <t>ถุงกอล์ฟ</t>
        </is>
      </c>
      <c r="C804" s="1" t="inlineStr">
        <is>
          <t>gf3000102968</t>
        </is>
      </c>
      <c r="D804" s="1" t="inlineStr">
        <is>
          <t>TAYLORMADE 9.5" Concept One Cart Bag (White/Navy)</t>
        </is>
      </c>
      <c r="E804" s="1" t="inlineStr">
        <is>
          <t>TAYLORMADE</t>
        </is>
      </c>
      <c r="F804" s="1" t="inlineStr">
        <is>
          <t>CADDIE/CART BAG</t>
        </is>
      </c>
      <c r="G804" s="1" t="inlineStr">
        <is>
          <t>GF3000102968</t>
        </is>
      </c>
      <c r="H804" s="1" t="n">
        <v>1</v>
      </c>
      <c r="I804" s="1" t="inlineStr">
        <is>
          <t>มี</t>
        </is>
      </c>
      <c r="J804" s="13" t="n">
        <v>339</v>
      </c>
      <c r="K804" s="1" t="inlineStr"/>
      <c r="L804" s="13" t="n">
        <v>339</v>
      </c>
      <c r="M804" s="1">
        <f>IF(L804="","ไม่พบใน SG",IF(ABS(J804-L804)&lt;0.005,"ตรงกัน","ไม่ตรง"))</f>
        <v/>
      </c>
      <c r="N804" s="14">
        <f>IF(L804="","",ROUND(L804*'สรุป'!$C$6,-1))</f>
        <v/>
      </c>
      <c r="O804" s="15" t="n"/>
      <c r="P804" s="15" t="n"/>
      <c r="Q804" s="10" t="n"/>
      <c r="R804" s="10" t="n"/>
      <c r="S804" s="16" t="inlineStr">
        <is>
          <t>https://mstgolf.co.th/products/gf3000102968</t>
        </is>
      </c>
      <c r="T804" s="1">
        <f>IF(B804="ไม้กอล์ฟ",J804,"")</f>
        <v/>
      </c>
    </row>
    <row r="805">
      <c r="A805" s="1" t="n">
        <v>2</v>
      </c>
      <c r="B805" s="1" t="inlineStr">
        <is>
          <t>รองเท้า</t>
        </is>
      </c>
      <c r="C805" s="1" t="inlineStr">
        <is>
          <t>gf2500201304</t>
        </is>
      </c>
      <c r="D805" s="1" t="inlineStr">
        <is>
          <t>ADIDAS Adizero ZG BOA Women's Spikeless Shoes (Black/Clay/White)</t>
        </is>
      </c>
      <c r="E805" s="1" t="inlineStr">
        <is>
          <t>ADIDAS</t>
        </is>
      </c>
      <c r="F805" s="1" t="inlineStr">
        <is>
          <t>SPIKELESS SHOES</t>
        </is>
      </c>
      <c r="G805" s="1" t="inlineStr">
        <is>
          <t>GF2500201304UK3.5</t>
        </is>
      </c>
      <c r="H805" s="1" t="n">
        <v>10</v>
      </c>
      <c r="I805" s="1" t="inlineStr">
        <is>
          <t>มี</t>
        </is>
      </c>
      <c r="J805" s="13" t="n">
        <v>335</v>
      </c>
      <c r="K805" s="1" t="inlineStr"/>
      <c r="L805" s="13" t="n">
        <v>165</v>
      </c>
      <c r="M805" s="1">
        <f>IF(L805="","ไม่พบใน SG",IF(ABS(J805-L805)&lt;0.005,"ตรงกัน","ไม่ตรง"))</f>
        <v/>
      </c>
      <c r="N805" s="14">
        <f>IF(L805="","",ROUND(L805*'สรุป'!$C$6,-1))</f>
        <v/>
      </c>
      <c r="O805" s="15" t="n"/>
      <c r="P805" s="15" t="n"/>
      <c r="Q805" s="10" t="n"/>
      <c r="R805" s="10" t="n"/>
      <c r="S805" s="16" t="inlineStr">
        <is>
          <t>https://mstgolf.co.th/products/gf2500201304</t>
        </is>
      </c>
      <c r="T805" s="1">
        <f>IF(B805="ไม้กอล์ฟ",J805,"")</f>
        <v/>
      </c>
    </row>
    <row r="806">
      <c r="A806" s="1" t="n">
        <v>2</v>
      </c>
      <c r="B806" s="1" t="inlineStr">
        <is>
          <t>ถุงกอล์ฟ</t>
        </is>
      </c>
      <c r="C806" s="1" t="inlineStr">
        <is>
          <t>gf3000201550</t>
        </is>
      </c>
      <c r="D806" s="1" t="inlineStr">
        <is>
          <t>PING Hoofer Lite Stand Bag (Pewter/Grey/Red)</t>
        </is>
      </c>
      <c r="E806" s="1" t="inlineStr">
        <is>
          <t>PING</t>
        </is>
      </c>
      <c r="F806" s="1" t="inlineStr">
        <is>
          <t>STAND BAG</t>
        </is>
      </c>
      <c r="G806" s="1" t="inlineStr">
        <is>
          <t>GF3000201550</t>
        </is>
      </c>
      <c r="H806" s="1" t="n">
        <v>1</v>
      </c>
      <c r="I806" s="1" t="inlineStr">
        <is>
          <t>มี</t>
        </is>
      </c>
      <c r="J806" s="13" t="n">
        <v>335</v>
      </c>
      <c r="K806" s="1" t="inlineStr"/>
      <c r="L806" s="13" t="n">
        <v>335</v>
      </c>
      <c r="M806" s="1">
        <f>IF(L806="","ไม่พบใน SG",IF(ABS(J806-L806)&lt;0.005,"ตรงกัน","ไม่ตรง"))</f>
        <v/>
      </c>
      <c r="N806" s="14">
        <f>IF(L806="","",ROUND(L806*'สรุป'!$C$6,-1))</f>
        <v/>
      </c>
      <c r="O806" s="15" t="n"/>
      <c r="P806" s="15" t="n"/>
      <c r="Q806" s="10" t="n"/>
      <c r="R806" s="10" t="n"/>
      <c r="S806" s="16" t="inlineStr">
        <is>
          <t>https://mstgolf.co.th/products/gf3000201550</t>
        </is>
      </c>
      <c r="T806" s="1">
        <f>IF(B806="ไม้กอล์ฟ",J806,"")</f>
        <v/>
      </c>
    </row>
    <row r="807">
      <c r="A807" s="1" t="n">
        <v>2</v>
      </c>
      <c r="B807" s="1" t="inlineStr">
        <is>
          <t>รองเท้า</t>
        </is>
      </c>
      <c r="C807" s="1" t="inlineStr">
        <is>
          <t>gf2500201180</t>
        </is>
      </c>
      <c r="D807" s="1" t="inlineStr">
        <is>
          <t>FOOTJOY Pros Carbon BOA Men's Spikeless Shoes (White/Black/Mul)</t>
        </is>
      </c>
      <c r="E807" s="1" t="inlineStr">
        <is>
          <t>FOOTJOY</t>
        </is>
      </c>
      <c r="F807" s="1" t="inlineStr">
        <is>
          <t>SPIKELESS SHOES</t>
        </is>
      </c>
      <c r="G807" s="1" t="inlineStr">
        <is>
          <t>GF2500201180US6.5</t>
        </is>
      </c>
      <c r="H807" s="1" t="n">
        <v>10</v>
      </c>
      <c r="I807" s="1" t="inlineStr">
        <is>
          <t>มี</t>
        </is>
      </c>
      <c r="J807" s="13" t="n">
        <v>333.6</v>
      </c>
      <c r="K807" s="1" t="inlineStr"/>
      <c r="L807" s="13" t="n">
        <v>333.6</v>
      </c>
      <c r="M807" s="1">
        <f>IF(L807="","ไม่พบใน SG",IF(ABS(J807-L807)&lt;0.005,"ตรงกัน","ไม่ตรง"))</f>
        <v/>
      </c>
      <c r="N807" s="14">
        <f>IF(L807="","",ROUND(L807*'สรุป'!$C$6,-1))</f>
        <v/>
      </c>
      <c r="O807" s="15" t="n"/>
      <c r="P807" s="15" t="n"/>
      <c r="Q807" s="10" t="n"/>
      <c r="R807" s="10" t="n"/>
      <c r="S807" s="16" t="inlineStr">
        <is>
          <t>https://mstgolf.co.th/products/gf2500201180</t>
        </is>
      </c>
      <c r="T807" s="1">
        <f>IF(B807="ไม้กอล์ฟ",J807,"")</f>
        <v/>
      </c>
    </row>
    <row r="808">
      <c r="A808" s="1" t="n">
        <v>2</v>
      </c>
      <c r="B808" s="1" t="inlineStr">
        <is>
          <t>รองเท้า</t>
        </is>
      </c>
      <c r="C808" s="1" t="inlineStr">
        <is>
          <t>gf2500102741</t>
        </is>
      </c>
      <c r="D808" s="1" t="inlineStr">
        <is>
          <t>ADIDAS Tour360 24 Men's Spiked Shoes (White/Black/Red)</t>
        </is>
      </c>
      <c r="E808" s="1" t="inlineStr">
        <is>
          <t>ADIDAS</t>
        </is>
      </c>
      <c r="F808" s="1" t="inlineStr">
        <is>
          <t>SPIKE SHOES</t>
        </is>
      </c>
      <c r="G808" s="1" t="inlineStr">
        <is>
          <t>GF2500102741UK6.5</t>
        </is>
      </c>
      <c r="H808" s="1" t="n">
        <v>11</v>
      </c>
      <c r="I808" s="1" t="inlineStr">
        <is>
          <t>มี</t>
        </is>
      </c>
      <c r="J808" s="13" t="n">
        <v>329</v>
      </c>
      <c r="K808" s="1" t="inlineStr"/>
      <c r="L808" s="13" t="n">
        <v>165</v>
      </c>
      <c r="M808" s="1">
        <f>IF(L808="","ไม่พบใน SG",IF(ABS(J808-L808)&lt;0.005,"ตรงกัน","ไม่ตรง"))</f>
        <v/>
      </c>
      <c r="N808" s="14">
        <f>IF(L808="","",ROUND(L808*'สรุป'!$C$6,-1))</f>
        <v/>
      </c>
      <c r="O808" s="15" t="n"/>
      <c r="P808" s="15" t="n"/>
      <c r="Q808" s="10" t="n"/>
      <c r="R808" s="10" t="n"/>
      <c r="S808" s="16" t="inlineStr">
        <is>
          <t>https://mstgolf.co.th/products/gf2500102741</t>
        </is>
      </c>
      <c r="T808" s="1">
        <f>IF(B808="ไม้กอล์ฟ",J808,"")</f>
        <v/>
      </c>
    </row>
    <row r="809">
      <c r="A809" s="1" t="n">
        <v>2</v>
      </c>
      <c r="B809" s="1" t="inlineStr">
        <is>
          <t>รองเท้า</t>
        </is>
      </c>
      <c r="C809" s="1" t="inlineStr">
        <is>
          <t>gf2500102800</t>
        </is>
      </c>
      <c r="D809" s="1" t="inlineStr">
        <is>
          <t>GFORE MG4+ O2 Camo Men's Spiked Shoes (Snow/Cenote)</t>
        </is>
      </c>
      <c r="E809" s="1" t="inlineStr">
        <is>
          <t>GFORE</t>
        </is>
      </c>
      <c r="F809" s="1" t="inlineStr">
        <is>
          <t>SPIKE SHOES</t>
        </is>
      </c>
      <c r="G809" s="1" t="inlineStr">
        <is>
          <t>GF2500102800US7</t>
        </is>
      </c>
      <c r="H809" s="1" t="n">
        <v>10</v>
      </c>
      <c r="I809" s="1" t="inlineStr">
        <is>
          <t>มี</t>
        </is>
      </c>
      <c r="J809" s="13" t="n">
        <v>329</v>
      </c>
      <c r="K809" s="1" t="inlineStr"/>
      <c r="L809" s="13" t="n">
        <v>329</v>
      </c>
      <c r="M809" s="1">
        <f>IF(L809="","ไม่พบใน SG",IF(ABS(J809-L809)&lt;0.005,"ตรงกัน","ไม่ตรง"))</f>
        <v/>
      </c>
      <c r="N809" s="14">
        <f>IF(L809="","",ROUND(L809*'สรุป'!$C$6,-1))</f>
        <v/>
      </c>
      <c r="O809" s="15" t="n"/>
      <c r="P809" s="15" t="n"/>
      <c r="Q809" s="10" t="n"/>
      <c r="R809" s="10" t="n"/>
      <c r="S809" s="16" t="inlineStr">
        <is>
          <t>https://mstgolf.co.th/products/gf2500102800</t>
        </is>
      </c>
      <c r="T809" s="1">
        <f>IF(B809="ไม้กอล์ฟ",J809,"")</f>
        <v/>
      </c>
    </row>
    <row r="810">
      <c r="A810" s="1" t="n">
        <v>2</v>
      </c>
      <c r="B810" s="1" t="inlineStr">
        <is>
          <t>รองเท้า</t>
        </is>
      </c>
      <c r="C810" s="1" t="inlineStr">
        <is>
          <t>gf2500201526</t>
        </is>
      </c>
      <c r="D810" s="1" t="inlineStr">
        <is>
          <t>GFORE MG4+ O2 Camo Men's Spikeless Shoes (Snow/Tidal)</t>
        </is>
      </c>
      <c r="E810" s="1" t="inlineStr">
        <is>
          <t>GFORE</t>
        </is>
      </c>
      <c r="F810" s="1" t="inlineStr">
        <is>
          <t>SPIKELESS SHOES</t>
        </is>
      </c>
      <c r="G810" s="1" t="inlineStr">
        <is>
          <t>GF2500201526US7</t>
        </is>
      </c>
      <c r="H810" s="1" t="n">
        <v>10</v>
      </c>
      <c r="I810" s="1" t="inlineStr">
        <is>
          <t>มี</t>
        </is>
      </c>
      <c r="J810" s="13" t="n">
        <v>329</v>
      </c>
      <c r="K810" s="1" t="inlineStr"/>
      <c r="L810" s="13" t="n">
        <v>329</v>
      </c>
      <c r="M810" s="1">
        <f>IF(L810="","ไม่พบใน SG",IF(ABS(J810-L810)&lt;0.005,"ตรงกัน","ไม่ตรง"))</f>
        <v/>
      </c>
      <c r="N810" s="14">
        <f>IF(L810="","",ROUND(L810*'สรุป'!$C$6,-1))</f>
        <v/>
      </c>
      <c r="O810" s="15" t="n"/>
      <c r="P810" s="15" t="n"/>
      <c r="Q810" s="10" t="n"/>
      <c r="R810" s="10" t="n"/>
      <c r="S810" s="16" t="inlineStr">
        <is>
          <t>https://mstgolf.co.th/products/gf2500201526</t>
        </is>
      </c>
      <c r="T810" s="1">
        <f>IF(B810="ไม้กอล์ฟ",J810,"")</f>
        <v/>
      </c>
    </row>
    <row r="811">
      <c r="A811" s="1" t="n">
        <v>2</v>
      </c>
      <c r="B811" s="1" t="inlineStr">
        <is>
          <t>รองเท้า</t>
        </is>
      </c>
      <c r="C811" s="1" t="inlineStr">
        <is>
          <t>gf2500102764</t>
        </is>
      </c>
      <c r="D811" s="1" t="inlineStr">
        <is>
          <t>GFORE MG4+ O2 G/LOCK Men's Spiked Shoes (Snow/Charcoal)</t>
        </is>
      </c>
      <c r="E811" s="1" t="inlineStr">
        <is>
          <t>GFORE</t>
        </is>
      </c>
      <c r="F811" s="1" t="inlineStr">
        <is>
          <t>SPIKE SHOES</t>
        </is>
      </c>
      <c r="G811" s="1" t="inlineStr">
        <is>
          <t>GF2500102764US5</t>
        </is>
      </c>
      <c r="H811" s="1" t="n">
        <v>15</v>
      </c>
      <c r="I811" s="1" t="inlineStr">
        <is>
          <t>มี</t>
        </is>
      </c>
      <c r="J811" s="13" t="n">
        <v>329</v>
      </c>
      <c r="K811" s="1" t="inlineStr"/>
      <c r="L811" s="13" t="n">
        <v>329</v>
      </c>
      <c r="M811" s="1">
        <f>IF(L811="","ไม่พบใน SG",IF(ABS(J811-L811)&lt;0.005,"ตรงกัน","ไม่ตรง"))</f>
        <v/>
      </c>
      <c r="N811" s="14">
        <f>IF(L811="","",ROUND(L811*'สรุป'!$C$6,-1))</f>
        <v/>
      </c>
      <c r="O811" s="15" t="n"/>
      <c r="P811" s="15" t="n"/>
      <c r="Q811" s="10" t="n"/>
      <c r="R811" s="10" t="n"/>
      <c r="S811" s="16" t="inlineStr">
        <is>
          <t>https://mstgolf.co.th/products/gf2500102764</t>
        </is>
      </c>
      <c r="T811" s="1">
        <f>IF(B811="ไม้กอล์ฟ",J811,"")</f>
        <v/>
      </c>
    </row>
    <row r="812">
      <c r="A812" s="1" t="n">
        <v>2</v>
      </c>
      <c r="B812" s="1" t="inlineStr">
        <is>
          <t>รองเท้า</t>
        </is>
      </c>
      <c r="C812" s="1" t="inlineStr">
        <is>
          <t>gf2500102766</t>
        </is>
      </c>
      <c r="D812" s="1" t="inlineStr">
        <is>
          <t>GFORE MG4+ O2 G/LOCK Men's Spiked Shoes (Snow/Twilight)</t>
        </is>
      </c>
      <c r="E812" s="1" t="inlineStr">
        <is>
          <t>GFORE</t>
        </is>
      </c>
      <c r="F812" s="1" t="inlineStr">
        <is>
          <t>SPIKE SHOES</t>
        </is>
      </c>
      <c r="G812" s="1" t="inlineStr">
        <is>
          <t>GF2500102766US5</t>
        </is>
      </c>
      <c r="H812" s="1" t="n">
        <v>15</v>
      </c>
      <c r="I812" s="1" t="inlineStr">
        <is>
          <t>มี</t>
        </is>
      </c>
      <c r="J812" s="13" t="n">
        <v>329</v>
      </c>
      <c r="K812" s="1" t="inlineStr"/>
      <c r="L812" s="13" t="n">
        <v>329</v>
      </c>
      <c r="M812" s="1">
        <f>IF(L812="","ไม่พบใน SG",IF(ABS(J812-L812)&lt;0.005,"ตรงกัน","ไม่ตรง"))</f>
        <v/>
      </c>
      <c r="N812" s="14">
        <f>IF(L812="","",ROUND(L812*'สรุป'!$C$6,-1))</f>
        <v/>
      </c>
      <c r="O812" s="15" t="n"/>
      <c r="P812" s="15" t="n"/>
      <c r="Q812" s="10" t="n"/>
      <c r="R812" s="10" t="n"/>
      <c r="S812" s="16" t="inlineStr">
        <is>
          <t>https://mstgolf.co.th/products/gf2500102766</t>
        </is>
      </c>
      <c r="T812" s="1">
        <f>IF(B812="ไม้กอล์ฟ",J812,"")</f>
        <v/>
      </c>
    </row>
    <row r="813">
      <c r="A813" s="1" t="n">
        <v>2</v>
      </c>
      <c r="B813" s="1" t="inlineStr">
        <is>
          <t>รองเท้า</t>
        </is>
      </c>
      <c r="C813" s="1" t="inlineStr">
        <is>
          <t>gf2500201521</t>
        </is>
      </c>
      <c r="D813" s="1" t="inlineStr">
        <is>
          <t>GFORE MG4+ O2 Gradient Men's Spikeless Shoes (Snow/Multi)</t>
        </is>
      </c>
      <c r="E813" s="1" t="inlineStr">
        <is>
          <t>GFORE</t>
        </is>
      </c>
      <c r="F813" s="1" t="inlineStr">
        <is>
          <t>SPIKELESS SHOES</t>
        </is>
      </c>
      <c r="G813" s="1" t="inlineStr">
        <is>
          <t>GF2500201521US7</t>
        </is>
      </c>
      <c r="H813" s="1" t="n">
        <v>10</v>
      </c>
      <c r="I813" s="1" t="inlineStr">
        <is>
          <t>มี</t>
        </is>
      </c>
      <c r="J813" s="13" t="n">
        <v>329</v>
      </c>
      <c r="K813" s="1" t="inlineStr"/>
      <c r="L813" s="13" t="n">
        <v>329</v>
      </c>
      <c r="M813" s="1">
        <f>IF(L813="","ไม่พบใน SG",IF(ABS(J813-L813)&lt;0.005,"ตรงกัน","ไม่ตรง"))</f>
        <v/>
      </c>
      <c r="N813" s="14">
        <f>IF(L813="","",ROUND(L813*'สรุป'!$C$6,-1))</f>
        <v/>
      </c>
      <c r="O813" s="15" t="n"/>
      <c r="P813" s="15" t="n"/>
      <c r="Q813" s="10" t="n"/>
      <c r="R813" s="10" t="n"/>
      <c r="S813" s="16" t="inlineStr">
        <is>
          <t>https://mstgolf.co.th/products/gf2500201521</t>
        </is>
      </c>
      <c r="T813" s="1">
        <f>IF(B813="ไม้กอล์ฟ",J813,"")</f>
        <v/>
      </c>
    </row>
    <row r="814">
      <c r="A814" s="1" t="n">
        <v>2</v>
      </c>
      <c r="B814" s="1" t="inlineStr">
        <is>
          <t>รองเท้า</t>
        </is>
      </c>
      <c r="C814" s="1" t="inlineStr">
        <is>
          <t>gf2500201513</t>
        </is>
      </c>
      <c r="D814" s="1" t="inlineStr">
        <is>
          <t>GFORE MG4+ O2 Men's Spikeless Shoes (Snow/Multi)</t>
        </is>
      </c>
      <c r="E814" s="1" t="inlineStr">
        <is>
          <t>GFORE</t>
        </is>
      </c>
      <c r="F814" s="1" t="inlineStr">
        <is>
          <t>SPIKELESS SHOES</t>
        </is>
      </c>
      <c r="G814" s="1" t="inlineStr">
        <is>
          <t>GF2500201513US7</t>
        </is>
      </c>
      <c r="H814" s="1" t="n">
        <v>10</v>
      </c>
      <c r="I814" s="1" t="inlineStr">
        <is>
          <t>มี</t>
        </is>
      </c>
      <c r="J814" s="13" t="n">
        <v>329</v>
      </c>
      <c r="K814" s="1" t="inlineStr"/>
      <c r="L814" s="13" t="n">
        <v>329</v>
      </c>
      <c r="M814" s="1">
        <f>IF(L814="","ไม่พบใน SG",IF(ABS(J814-L814)&lt;0.005,"ตรงกัน","ไม่ตรง"))</f>
        <v/>
      </c>
      <c r="N814" s="14">
        <f>IF(L814="","",ROUND(L814*'สรุป'!$C$6,-1))</f>
        <v/>
      </c>
      <c r="O814" s="15" t="n"/>
      <c r="P814" s="15" t="n"/>
      <c r="Q814" s="10" t="n"/>
      <c r="R814" s="10" t="n"/>
      <c r="S814" s="16" t="inlineStr">
        <is>
          <t>https://mstgolf.co.th/products/gf2500201513</t>
        </is>
      </c>
      <c r="T814" s="1">
        <f>IF(B814="ไม้กอล์ฟ",J814,"")</f>
        <v/>
      </c>
    </row>
    <row r="815">
      <c r="A815" s="1" t="n">
        <v>2</v>
      </c>
      <c r="B815" s="1" t="inlineStr">
        <is>
          <t>รองเท้า</t>
        </is>
      </c>
      <c r="C815" s="1" t="inlineStr">
        <is>
          <t>gf2500201518</t>
        </is>
      </c>
      <c r="D815" s="1" t="inlineStr">
        <is>
          <t>GFORE MG4+O2 Women's Spikeless Shoes (Snow)</t>
        </is>
      </c>
      <c r="E815" s="1" t="inlineStr">
        <is>
          <t>GFORE</t>
        </is>
      </c>
      <c r="F815" s="1" t="inlineStr">
        <is>
          <t>SPIKELESS SHOES</t>
        </is>
      </c>
      <c r="G815" s="1" t="inlineStr">
        <is>
          <t>GF2500201518US115</t>
        </is>
      </c>
      <c r="H815" s="1" t="n">
        <v>15</v>
      </c>
      <c r="I815" s="1" t="inlineStr">
        <is>
          <t>มี</t>
        </is>
      </c>
      <c r="J815" s="13" t="n">
        <v>329</v>
      </c>
      <c r="K815" s="1" t="inlineStr"/>
      <c r="L815" s="13" t="n">
        <v>329</v>
      </c>
      <c r="M815" s="1">
        <f>IF(L815="","ไม่พบใน SG",IF(ABS(J815-L815)&lt;0.005,"ตรงกัน","ไม่ตรง"))</f>
        <v/>
      </c>
      <c r="N815" s="14">
        <f>IF(L815="","",ROUND(L815*'สรุป'!$C$6,-1))</f>
        <v/>
      </c>
      <c r="O815" s="15" t="n"/>
      <c r="P815" s="15" t="n"/>
      <c r="Q815" s="10" t="n"/>
      <c r="R815" s="10" t="n"/>
      <c r="S815" s="16" t="inlineStr">
        <is>
          <t>https://mstgolf.co.th/products/gf2500201518</t>
        </is>
      </c>
      <c r="T815" s="1">
        <f>IF(B815="ไม้กอล์ฟ",J815,"")</f>
        <v/>
      </c>
    </row>
    <row r="816">
      <c r="A816" s="1" t="n">
        <v>2</v>
      </c>
      <c r="B816" s="1" t="inlineStr">
        <is>
          <t>ถุงกอล์ฟ</t>
        </is>
      </c>
      <c r="C816" s="1" t="inlineStr">
        <is>
          <t>gf3000400181</t>
        </is>
      </c>
      <c r="D816" s="1" t="inlineStr">
        <is>
          <t>SUN MOUNTAIN Kube Travel Cover (Black)</t>
        </is>
      </c>
      <c r="E816" s="1" t="inlineStr">
        <is>
          <t>SUN MOUNTAIN</t>
        </is>
      </c>
      <c r="F816" s="1" t="inlineStr">
        <is>
          <t>TRAVEL COVER</t>
        </is>
      </c>
      <c r="G816" s="1" t="inlineStr">
        <is>
          <t>GF3000400181</t>
        </is>
      </c>
      <c r="H816" s="1" t="n">
        <v>1</v>
      </c>
      <c r="I816" s="1" t="inlineStr">
        <is>
          <t>มี</t>
        </is>
      </c>
      <c r="J816" s="13" t="n">
        <v>329</v>
      </c>
      <c r="K816" s="1" t="inlineStr"/>
      <c r="L816" s="13" t="n">
        <v>329</v>
      </c>
      <c r="M816" s="1">
        <f>IF(L816="","ไม่พบใน SG",IF(ABS(J816-L816)&lt;0.005,"ตรงกัน","ไม่ตรง"))</f>
        <v/>
      </c>
      <c r="N816" s="14">
        <f>IF(L816="","",ROUND(L816*'สรุป'!$C$6,-1))</f>
        <v/>
      </c>
      <c r="O816" s="15" t="n"/>
      <c r="P816" s="15" t="n"/>
      <c r="Q816" s="10" t="n"/>
      <c r="R816" s="10" t="n"/>
      <c r="S816" s="16" t="inlineStr">
        <is>
          <t>https://mstgolf.co.th/products/gf3000400181</t>
        </is>
      </c>
      <c r="T816" s="1">
        <f>IF(B816="ไม้กอล์ฟ",J816,"")</f>
        <v/>
      </c>
    </row>
    <row r="817">
      <c r="A817" s="1" t="n">
        <v>2</v>
      </c>
      <c r="B817" s="1" t="inlineStr">
        <is>
          <t>ถุงกอล์ฟ</t>
        </is>
      </c>
      <c r="C817" s="1" t="inlineStr">
        <is>
          <t>gf3000400203</t>
        </is>
      </c>
      <c r="D817" s="1" t="inlineStr">
        <is>
          <t>SUN MOUNTAIN Kube Travel Cover (Navy/Cavalry)</t>
        </is>
      </c>
      <c r="E817" s="1" t="inlineStr">
        <is>
          <t>SUN MOUNTAIN</t>
        </is>
      </c>
      <c r="F817" s="1" t="inlineStr">
        <is>
          <t>TRAVEL COVER</t>
        </is>
      </c>
      <c r="G817" s="1" t="inlineStr">
        <is>
          <t>GF3000400203</t>
        </is>
      </c>
      <c r="H817" s="1" t="n">
        <v>1</v>
      </c>
      <c r="I817" s="1" t="inlineStr">
        <is>
          <t>มี</t>
        </is>
      </c>
      <c r="J817" s="13" t="n">
        <v>329</v>
      </c>
      <c r="K817" s="1" t="inlineStr"/>
      <c r="L817" s="13" t="n">
        <v>329</v>
      </c>
      <c r="M817" s="1">
        <f>IF(L817="","ไม่พบใน SG",IF(ABS(J817-L817)&lt;0.005,"ตรงกัน","ไม่ตรง"))</f>
        <v/>
      </c>
      <c r="N817" s="14">
        <f>IF(L817="","",ROUND(L817*'สรุป'!$C$6,-1))</f>
        <v/>
      </c>
      <c r="O817" s="15" t="n"/>
      <c r="P817" s="15" t="n"/>
      <c r="Q817" s="10" t="n"/>
      <c r="R817" s="10" t="n"/>
      <c r="S817" s="16" t="inlineStr">
        <is>
          <t>https://mstgolf.co.th/products/gf3000400203</t>
        </is>
      </c>
      <c r="T817" s="1">
        <f>IF(B817="ไม้กอล์ฟ",J817,"")</f>
        <v/>
      </c>
    </row>
    <row r="818">
      <c r="A818" s="1" t="n">
        <v>2</v>
      </c>
      <c r="B818" s="1" t="inlineStr">
        <is>
          <t>ถุงกอล์ฟ</t>
        </is>
      </c>
      <c r="C818" s="1" t="inlineStr">
        <is>
          <t>gf3000400202</t>
        </is>
      </c>
      <c r="D818" s="1" t="inlineStr">
        <is>
          <t>SUN MOUNTAIN Kube Travel Cover (Raptor/Steel)</t>
        </is>
      </c>
      <c r="E818" s="1" t="inlineStr">
        <is>
          <t>SUN MOUNTAIN</t>
        </is>
      </c>
      <c r="F818" s="1" t="inlineStr">
        <is>
          <t>TRAVEL COVER</t>
        </is>
      </c>
      <c r="G818" s="1" t="inlineStr">
        <is>
          <t>GF3000400202</t>
        </is>
      </c>
      <c r="H818" s="1" t="n">
        <v>1</v>
      </c>
      <c r="I818" s="1" t="inlineStr">
        <is>
          <t>มี</t>
        </is>
      </c>
      <c r="J818" s="13" t="n">
        <v>329</v>
      </c>
      <c r="K818" s="1" t="inlineStr"/>
      <c r="L818" s="13" t="n">
        <v>329</v>
      </c>
      <c r="M818" s="1">
        <f>IF(L818="","ไม่พบใน SG",IF(ABS(J818-L818)&lt;0.005,"ตรงกัน","ไม่ตรง"))</f>
        <v/>
      </c>
      <c r="N818" s="14">
        <f>IF(L818="","",ROUND(L818*'สรุป'!$C$6,-1))</f>
        <v/>
      </c>
      <c r="O818" s="15" t="n"/>
      <c r="P818" s="15" t="n"/>
      <c r="Q818" s="10" t="n"/>
      <c r="R818" s="10" t="n"/>
      <c r="S818" s="16" t="inlineStr">
        <is>
          <t>https://mstgolf.co.th/products/gf3000400202</t>
        </is>
      </c>
      <c r="T818" s="1">
        <f>IF(B818="ไม้กอล์ฟ",J818,"")</f>
        <v/>
      </c>
    </row>
    <row r="819">
      <c r="A819" s="1" t="n">
        <v>2</v>
      </c>
      <c r="B819" s="1" t="inlineStr">
        <is>
          <t>ถุงกอล์ฟ</t>
        </is>
      </c>
      <c r="C819" s="1" t="inlineStr">
        <is>
          <t>gf3000400180</t>
        </is>
      </c>
      <c r="D819" s="1" t="inlineStr">
        <is>
          <t>SUN MOUNTAIN Kube Travel Cover (Steel/Black/Red)</t>
        </is>
      </c>
      <c r="E819" s="1" t="inlineStr">
        <is>
          <t>SUN MOUNTAIN</t>
        </is>
      </c>
      <c r="F819" s="1" t="inlineStr">
        <is>
          <t>TRAVEL COVER</t>
        </is>
      </c>
      <c r="G819" s="1" t="inlineStr">
        <is>
          <t>GF3000400180</t>
        </is>
      </c>
      <c r="H819" s="1" t="n">
        <v>1</v>
      </c>
      <c r="I819" s="1" t="inlineStr">
        <is>
          <t>มี</t>
        </is>
      </c>
      <c r="J819" s="13" t="n">
        <v>329</v>
      </c>
      <c r="K819" s="1" t="inlineStr"/>
      <c r="L819" s="13" t="n">
        <v>329</v>
      </c>
      <c r="M819" s="1">
        <f>IF(L819="","ไม่พบใน SG",IF(ABS(J819-L819)&lt;0.005,"ตรงกัน","ไม่ตรง"))</f>
        <v/>
      </c>
      <c r="N819" s="14">
        <f>IF(L819="","",ROUND(L819*'สรุป'!$C$6,-1))</f>
        <v/>
      </c>
      <c r="O819" s="15" t="n"/>
      <c r="P819" s="15" t="n"/>
      <c r="Q819" s="10" t="n"/>
      <c r="R819" s="10" t="n"/>
      <c r="S819" s="16" t="inlineStr">
        <is>
          <t>https://mstgolf.co.th/products/gf3000400180</t>
        </is>
      </c>
      <c r="T819" s="1">
        <f>IF(B819="ไม้กอล์ฟ",J819,"")</f>
        <v/>
      </c>
    </row>
    <row r="820">
      <c r="A820" s="1" t="n">
        <v>2</v>
      </c>
      <c r="B820" s="1" t="inlineStr">
        <is>
          <t>รองเท้า</t>
        </is>
      </c>
      <c r="C820" s="1" t="inlineStr">
        <is>
          <t>gf2500201382</t>
        </is>
      </c>
      <c r="D820" s="1" t="inlineStr">
        <is>
          <t>ADIDAS Adizero ZG Lo BOA Men's Spikeless Shoes (White/Indigo/Silver)</t>
        </is>
      </c>
      <c r="E820" s="1" t="inlineStr">
        <is>
          <t>ADIDAS</t>
        </is>
      </c>
      <c r="F820" s="1" t="inlineStr">
        <is>
          <t>SPIKELESS SHOES</t>
        </is>
      </c>
      <c r="G820" s="1" t="inlineStr">
        <is>
          <t>GF2500201382UK6.5</t>
        </is>
      </c>
      <c r="H820" s="1" t="n">
        <v>11</v>
      </c>
      <c r="I820" s="1" t="inlineStr">
        <is>
          <t>มี</t>
        </is>
      </c>
      <c r="J820" s="13" t="n">
        <v>319</v>
      </c>
      <c r="K820" s="1" t="inlineStr"/>
      <c r="L820" s="13" t="n">
        <v>225</v>
      </c>
      <c r="M820" s="1">
        <f>IF(L820="","ไม่พบใน SG",IF(ABS(J820-L820)&lt;0.005,"ตรงกัน","ไม่ตรง"))</f>
        <v/>
      </c>
      <c r="N820" s="14">
        <f>IF(L820="","",ROUND(L820*'สรุป'!$C$6,-1))</f>
        <v/>
      </c>
      <c r="O820" s="15" t="n"/>
      <c r="P820" s="15" t="n"/>
      <c r="Q820" s="10" t="n"/>
      <c r="R820" s="10" t="n"/>
      <c r="S820" s="16" t="inlineStr">
        <is>
          <t>https://mstgolf.co.th/products/gf2500201382</t>
        </is>
      </c>
      <c r="T820" s="1">
        <f>IF(B820="ไม้กอล์ฟ",J820,"")</f>
        <v/>
      </c>
    </row>
    <row r="821">
      <c r="A821" s="1" t="n">
        <v>2</v>
      </c>
      <c r="B821" s="1" t="inlineStr">
        <is>
          <t>รองเท้า</t>
        </is>
      </c>
      <c r="C821" s="1" t="inlineStr">
        <is>
          <t>gf2500201383</t>
        </is>
      </c>
      <c r="D821" s="1" t="inlineStr">
        <is>
          <t>ADIDAS Adizero ZG Lo BOA Men's Spikeless Shoes (White/Silver)</t>
        </is>
      </c>
      <c r="E821" s="1" t="inlineStr">
        <is>
          <t>ADIDAS</t>
        </is>
      </c>
      <c r="F821" s="1" t="inlineStr">
        <is>
          <t>SPIKELESS SHOES</t>
        </is>
      </c>
      <c r="G821" s="1" t="inlineStr">
        <is>
          <t>GF2500201383UK6.5</t>
        </is>
      </c>
      <c r="H821" s="1" t="n">
        <v>11</v>
      </c>
      <c r="I821" s="1" t="inlineStr">
        <is>
          <t>มี</t>
        </is>
      </c>
      <c r="J821" s="13" t="n">
        <v>319</v>
      </c>
      <c r="K821" s="1" t="inlineStr"/>
      <c r="L821" s="13" t="n"/>
      <c r="M821" s="1">
        <f>IF(L821="","ไม่พบใน SG",IF(ABS(J821-L821)&lt;0.005,"ตรงกัน","ไม่ตรง"))</f>
        <v/>
      </c>
      <c r="N821" s="14">
        <f>IF(L821="","",ROUND(L821*'สรุป'!$C$6,-1))</f>
        <v/>
      </c>
      <c r="O821" s="15" t="n"/>
      <c r="P821" s="15" t="n"/>
      <c r="Q821" s="10" t="n"/>
      <c r="R821" s="10" t="n"/>
      <c r="S821" s="16" t="inlineStr">
        <is>
          <t>https://mstgolf.co.th/products/gf2500201383</t>
        </is>
      </c>
      <c r="T821" s="1">
        <f>IF(B821="ไม้กอล์ฟ",J821,"")</f>
        <v/>
      </c>
    </row>
    <row r="822">
      <c r="A822" s="1" t="n">
        <v>2</v>
      </c>
      <c r="B822" s="1" t="inlineStr">
        <is>
          <t>รองเท้า</t>
        </is>
      </c>
      <c r="C822" s="1" t="inlineStr">
        <is>
          <t>gf2500201391</t>
        </is>
      </c>
      <c r="D822" s="1" t="inlineStr">
        <is>
          <t>ADIDAS Adizero ZG Lo Boa Men's Spikeless Shoes (White/Indigo/Silver)</t>
        </is>
      </c>
      <c r="E822" s="1" t="inlineStr">
        <is>
          <t>ADIDAS</t>
        </is>
      </c>
      <c r="F822" s="1" t="inlineStr">
        <is>
          <t>SPIKELESS SHOES</t>
        </is>
      </c>
      <c r="G822" s="1" t="inlineStr">
        <is>
          <t>GF2500201391UK3.5</t>
        </is>
      </c>
      <c r="H822" s="1" t="n">
        <v>10</v>
      </c>
      <c r="I822" s="1" t="inlineStr">
        <is>
          <t>มี</t>
        </is>
      </c>
      <c r="J822" s="13" t="n">
        <v>319</v>
      </c>
      <c r="K822" s="1" t="inlineStr"/>
      <c r="L822" s="13" t="n"/>
      <c r="M822" s="1">
        <f>IF(L822="","ไม่พบใน SG",IF(ABS(J822-L822)&lt;0.005,"ตรงกัน","ไม่ตรง"))</f>
        <v/>
      </c>
      <c r="N822" s="14">
        <f>IF(L822="","",ROUND(L822*'สรุป'!$C$6,-1))</f>
        <v/>
      </c>
      <c r="O822" s="15" t="n"/>
      <c r="P822" s="15" t="n"/>
      <c r="Q822" s="10" t="n"/>
      <c r="R822" s="10" t="n"/>
      <c r="S822" s="16" t="inlineStr">
        <is>
          <t>https://mstgolf.co.th/products/gf2500201391</t>
        </is>
      </c>
      <c r="T822" s="1">
        <f>IF(B822="ไม้กอล์ฟ",J822,"")</f>
        <v/>
      </c>
    </row>
    <row r="823">
      <c r="A823" s="1" t="n">
        <v>2</v>
      </c>
      <c r="B823" s="1" t="inlineStr">
        <is>
          <t>รองเท้า</t>
        </is>
      </c>
      <c r="C823" s="1" t="inlineStr">
        <is>
          <t>gf2500102673</t>
        </is>
      </c>
      <c r="D823" s="1" t="inlineStr">
        <is>
          <t>FOOTJOY Hyperflex BOA Men's Shoes (White/Multi)</t>
        </is>
      </c>
      <c r="E823" s="1" t="inlineStr">
        <is>
          <t>FOOTJOY</t>
        </is>
      </c>
      <c r="F823" s="1" t="inlineStr">
        <is>
          <t>SPIKE SHOES</t>
        </is>
      </c>
      <c r="G823" s="1" t="inlineStr">
        <is>
          <t>GF2500102673US6.5</t>
        </is>
      </c>
      <c r="H823" s="1" t="n">
        <v>8</v>
      </c>
      <c r="I823" s="1" t="inlineStr">
        <is>
          <t>มี</t>
        </is>
      </c>
      <c r="J823" s="13" t="n">
        <v>319</v>
      </c>
      <c r="K823" s="1" t="inlineStr"/>
      <c r="L823" s="13" t="n">
        <v>319</v>
      </c>
      <c r="M823" s="1">
        <f>IF(L823="","ไม่พบใน SG",IF(ABS(J823-L823)&lt;0.005,"ตรงกัน","ไม่ตรง"))</f>
        <v/>
      </c>
      <c r="N823" s="14">
        <f>IF(L823="","",ROUND(L823*'สรุป'!$C$6,-1))</f>
        <v/>
      </c>
      <c r="O823" s="15" t="n"/>
      <c r="P823" s="15" t="n"/>
      <c r="Q823" s="10" t="n"/>
      <c r="R823" s="10" t="n"/>
      <c r="S823" s="16" t="inlineStr">
        <is>
          <t>https://mstgolf.co.th/products/gf2500102673</t>
        </is>
      </c>
      <c r="T823" s="1">
        <f>IF(B823="ไม้กอล์ฟ",J823,"")</f>
        <v/>
      </c>
    </row>
    <row r="824">
      <c r="A824" s="1" t="n">
        <v>2</v>
      </c>
      <c r="B824" s="1" t="inlineStr">
        <is>
          <t>รองเท้า</t>
        </is>
      </c>
      <c r="C824" s="1" t="inlineStr">
        <is>
          <t>gf2500201098</t>
        </is>
      </c>
      <c r="D824" s="1" t="inlineStr">
        <is>
          <t>GFORE Camo MG4+ Men's Spikeless Shoes (Cielo)</t>
        </is>
      </c>
      <c r="E824" s="1" t="inlineStr">
        <is>
          <t>GFORE</t>
        </is>
      </c>
      <c r="F824" s="1" t="inlineStr">
        <is>
          <t>SPIKELESS SHOES</t>
        </is>
      </c>
      <c r="G824" s="1" t="inlineStr">
        <is>
          <t>GF2500201098US6.5</t>
        </is>
      </c>
      <c r="H824" s="1" t="n">
        <v>12</v>
      </c>
      <c r="I824" s="1" t="inlineStr">
        <is>
          <t>มี</t>
        </is>
      </c>
      <c r="J824" s="13" t="n">
        <v>319</v>
      </c>
      <c r="K824" s="1" t="inlineStr"/>
      <c r="L824" s="13" t="n">
        <v>225</v>
      </c>
      <c r="M824" s="1">
        <f>IF(L824="","ไม่พบใน SG",IF(ABS(J824-L824)&lt;0.005,"ตรงกัน","ไม่ตรง"))</f>
        <v/>
      </c>
      <c r="N824" s="14">
        <f>IF(L824="","",ROUND(L824*'สรุป'!$C$6,-1))</f>
        <v/>
      </c>
      <c r="O824" s="15" t="n"/>
      <c r="P824" s="15" t="n"/>
      <c r="Q824" s="10" t="n"/>
      <c r="R824" s="10" t="n"/>
      <c r="S824" s="16" t="inlineStr">
        <is>
          <t>https://mstgolf.co.th/products/gf2500201098</t>
        </is>
      </c>
      <c r="T824" s="1">
        <f>IF(B824="ไม้กอล์ฟ",J824,"")</f>
        <v/>
      </c>
    </row>
    <row r="825">
      <c r="A825" s="1" t="n">
        <v>2</v>
      </c>
      <c r="B825" s="1" t="inlineStr">
        <is>
          <t>รองเท้า</t>
        </is>
      </c>
      <c r="C825" s="1" t="inlineStr">
        <is>
          <t>gf2500201089</t>
        </is>
      </c>
      <c r="D825" s="1" t="inlineStr">
        <is>
          <t>GFORE Debossed Gallivanter Men's Spikeless Shoes (Snow/Onyx)</t>
        </is>
      </c>
      <c r="E825" s="1" t="inlineStr">
        <is>
          <t>GFORE</t>
        </is>
      </c>
      <c r="F825" s="1" t="inlineStr">
        <is>
          <t>SPIKELESS SHOES</t>
        </is>
      </c>
      <c r="G825" s="1" t="inlineStr">
        <is>
          <t>GF2500201089US6.5</t>
        </is>
      </c>
      <c r="H825" s="1" t="n">
        <v>12</v>
      </c>
      <c r="I825" s="1" t="inlineStr">
        <is>
          <t>มี</t>
        </is>
      </c>
      <c r="J825" s="13" t="n">
        <v>319</v>
      </c>
      <c r="K825" s="1" t="inlineStr"/>
      <c r="L825" s="13" t="n">
        <v>319</v>
      </c>
      <c r="M825" s="1">
        <f>IF(L825="","ไม่พบใน SG",IF(ABS(J825-L825)&lt;0.005,"ตรงกัน","ไม่ตรง"))</f>
        <v/>
      </c>
      <c r="N825" s="14">
        <f>IF(L825="","",ROUND(L825*'สรุป'!$C$6,-1))</f>
        <v/>
      </c>
      <c r="O825" s="15" t="n"/>
      <c r="P825" s="15" t="n"/>
      <c r="Q825" s="10" t="n"/>
      <c r="R825" s="10" t="n"/>
      <c r="S825" s="16" t="inlineStr">
        <is>
          <t>https://mstgolf.co.th/products/gf2500201089</t>
        </is>
      </c>
      <c r="T825" s="1">
        <f>IF(B825="ไม้กอล์ฟ",J825,"")</f>
        <v/>
      </c>
    </row>
    <row r="826">
      <c r="A826" s="1" t="n">
        <v>2</v>
      </c>
      <c r="B826" s="1" t="inlineStr">
        <is>
          <t>รองเท้า</t>
        </is>
      </c>
      <c r="C826" s="1" t="inlineStr">
        <is>
          <t>gf2500201316</t>
        </is>
      </c>
      <c r="D826" s="1" t="inlineStr">
        <is>
          <t>GFORE G.112 Men's Spikeless Shoes (Snow/Nimbus)</t>
        </is>
      </c>
      <c r="E826" s="1" t="inlineStr">
        <is>
          <t>GFORE</t>
        </is>
      </c>
      <c r="F826" s="1" t="inlineStr">
        <is>
          <t>SPIKELESS SHOES</t>
        </is>
      </c>
      <c r="G826" s="1" t="inlineStr">
        <is>
          <t>GF2500201316US7</t>
        </is>
      </c>
      <c r="H826" s="1" t="n">
        <v>10</v>
      </c>
      <c r="I826" s="1" t="inlineStr">
        <is>
          <t>มี</t>
        </is>
      </c>
      <c r="J826" s="13" t="n">
        <v>319</v>
      </c>
      <c r="K826" s="1" t="inlineStr"/>
      <c r="L826" s="13" t="n">
        <v>319</v>
      </c>
      <c r="M826" s="1">
        <f>IF(L826="","ไม่พบใน SG",IF(ABS(J826-L826)&lt;0.005,"ตรงกัน","ไม่ตรง"))</f>
        <v/>
      </c>
      <c r="N826" s="14">
        <f>IF(L826="","",ROUND(L826*'สรุป'!$C$6,-1))</f>
        <v/>
      </c>
      <c r="O826" s="15" t="n"/>
      <c r="P826" s="15" t="n"/>
      <c r="Q826" s="10" t="n"/>
      <c r="R826" s="10" t="n"/>
      <c r="S826" s="16" t="inlineStr">
        <is>
          <t>https://mstgolf.co.th/products/gf2500201316</t>
        </is>
      </c>
      <c r="T826" s="1">
        <f>IF(B826="ไม้กอล์ฟ",J826,"")</f>
        <v/>
      </c>
    </row>
    <row r="827">
      <c r="A827" s="1" t="n">
        <v>2</v>
      </c>
      <c r="B827" s="1" t="inlineStr">
        <is>
          <t>รองเท้า</t>
        </is>
      </c>
      <c r="C827" s="1" t="inlineStr">
        <is>
          <t>gf2500201315</t>
        </is>
      </c>
      <c r="D827" s="1" t="inlineStr">
        <is>
          <t>GFORE G.112 Men's Spikeless Shoes (Snow/Twilight)</t>
        </is>
      </c>
      <c r="E827" s="1" t="inlineStr">
        <is>
          <t>GFORE</t>
        </is>
      </c>
      <c r="F827" s="1" t="inlineStr">
        <is>
          <t>SPIKELESS SHOES</t>
        </is>
      </c>
      <c r="G827" s="1" t="inlineStr">
        <is>
          <t>GF2500201315US7</t>
        </is>
      </c>
      <c r="H827" s="1" t="n">
        <v>10</v>
      </c>
      <c r="I827" s="1" t="inlineStr">
        <is>
          <t>มี</t>
        </is>
      </c>
      <c r="J827" s="13" t="n">
        <v>319</v>
      </c>
      <c r="K827" s="1" t="inlineStr"/>
      <c r="L827" s="13" t="n">
        <v>319</v>
      </c>
      <c r="M827" s="1">
        <f>IF(L827="","ไม่พบใน SG",IF(ABS(J827-L827)&lt;0.005,"ตรงกัน","ไม่ตรง"))</f>
        <v/>
      </c>
      <c r="N827" s="14">
        <f>IF(L827="","",ROUND(L827*'สรุป'!$C$6,-1))</f>
        <v/>
      </c>
      <c r="O827" s="15" t="n"/>
      <c r="P827" s="15" t="n"/>
      <c r="Q827" s="10" t="n"/>
      <c r="R827" s="10" t="n"/>
      <c r="S827" s="16" t="inlineStr">
        <is>
          <t>https://mstgolf.co.th/products/gf2500201315</t>
        </is>
      </c>
      <c r="T827" s="1">
        <f>IF(B827="ไม้กอล์ฟ",J827,"")</f>
        <v/>
      </c>
    </row>
    <row r="828">
      <c r="A828" s="1" t="n">
        <v>2</v>
      </c>
      <c r="B828" s="1" t="inlineStr">
        <is>
          <t>รองเท้า</t>
        </is>
      </c>
      <c r="C828" s="1" t="inlineStr">
        <is>
          <t>gf2500201318</t>
        </is>
      </c>
      <c r="D828" s="1" t="inlineStr">
        <is>
          <t>GFORE G.112 Skull Men's Spikeless Shoes (Snow/Siren)</t>
        </is>
      </c>
      <c r="E828" s="1" t="inlineStr">
        <is>
          <t>GFORE</t>
        </is>
      </c>
      <c r="F828" s="1" t="inlineStr">
        <is>
          <t>SPIKELESS SHOES</t>
        </is>
      </c>
      <c r="G828" s="1" t="inlineStr">
        <is>
          <t>GF2500201318US7</t>
        </is>
      </c>
      <c r="H828" s="1" t="n">
        <v>10</v>
      </c>
      <c r="I828" s="1" t="inlineStr">
        <is>
          <t>มี</t>
        </is>
      </c>
      <c r="J828" s="13" t="n">
        <v>319</v>
      </c>
      <c r="K828" s="1" t="inlineStr"/>
      <c r="L828" s="13" t="n">
        <v>319</v>
      </c>
      <c r="M828" s="1">
        <f>IF(L828="","ไม่พบใน SG",IF(ABS(J828-L828)&lt;0.005,"ตรงกัน","ไม่ตรง"))</f>
        <v/>
      </c>
      <c r="N828" s="14">
        <f>IF(L828="","",ROUND(L828*'สรุป'!$C$6,-1))</f>
        <v/>
      </c>
      <c r="O828" s="15" t="n"/>
      <c r="P828" s="15" t="n"/>
      <c r="Q828" s="10" t="n"/>
      <c r="R828" s="10" t="n"/>
      <c r="S828" s="16" t="inlineStr">
        <is>
          <t>https://mstgolf.co.th/products/gf2500201318</t>
        </is>
      </c>
      <c r="T828" s="1">
        <f>IF(B828="ไม้กอล์ฟ",J828,"")</f>
        <v/>
      </c>
    </row>
    <row r="829">
      <c r="A829" s="1" t="n">
        <v>2</v>
      </c>
      <c r="B829" s="1" t="inlineStr">
        <is>
          <t>รองเท้า</t>
        </is>
      </c>
      <c r="C829" s="1" t="inlineStr">
        <is>
          <t>gf2500201332</t>
        </is>
      </c>
      <c r="D829" s="1" t="inlineStr">
        <is>
          <t>GFORE G.112 Women's Spikeless Shoes (Snow/Menthol)</t>
        </is>
      </c>
      <c r="E829" s="1" t="inlineStr">
        <is>
          <t>GFORE</t>
        </is>
      </c>
      <c r="F829" s="1" t="inlineStr">
        <is>
          <t>SPIKELESS SHOES</t>
        </is>
      </c>
      <c r="G829" s="1" t="inlineStr">
        <is>
          <t>GF2500201332US5.5</t>
        </is>
      </c>
      <c r="H829" s="1" t="n">
        <v>8</v>
      </c>
      <c r="I829" s="1" t="inlineStr">
        <is>
          <t>มี</t>
        </is>
      </c>
      <c r="J829" s="13" t="n">
        <v>319</v>
      </c>
      <c r="K829" s="1" t="inlineStr"/>
      <c r="L829" s="13" t="n">
        <v>319</v>
      </c>
      <c r="M829" s="1">
        <f>IF(L829="","ไม่พบใน SG",IF(ABS(J829-L829)&lt;0.005,"ตรงกัน","ไม่ตรง"))</f>
        <v/>
      </c>
      <c r="N829" s="14">
        <f>IF(L829="","",ROUND(L829*'สรุป'!$C$6,-1))</f>
        <v/>
      </c>
      <c r="O829" s="15" t="n"/>
      <c r="P829" s="15" t="n"/>
      <c r="Q829" s="10" t="n"/>
      <c r="R829" s="10" t="n"/>
      <c r="S829" s="16" t="inlineStr">
        <is>
          <t>https://mstgolf.co.th/products/gf2500201332</t>
        </is>
      </c>
      <c r="T829" s="1">
        <f>IF(B829="ไม้กอล์ฟ",J829,"")</f>
        <v/>
      </c>
    </row>
    <row r="830">
      <c r="A830" s="1" t="n">
        <v>2</v>
      </c>
      <c r="B830" s="1" t="inlineStr">
        <is>
          <t>รองเท้า</t>
        </is>
      </c>
      <c r="C830" s="1" t="inlineStr">
        <is>
          <t>gf2500102743</t>
        </is>
      </c>
      <c r="D830" s="1" t="inlineStr">
        <is>
          <t>GFORE Gallivan2r Skull Men's Spikeless Shoes (Snow/Nimbus)</t>
        </is>
      </c>
      <c r="E830" s="1" t="inlineStr">
        <is>
          <t>GFORE</t>
        </is>
      </c>
      <c r="F830" s="1" t="inlineStr">
        <is>
          <t>SPIKE SHOES</t>
        </is>
      </c>
      <c r="G830" s="1" t="inlineStr">
        <is>
          <t>GF2500102743US7</t>
        </is>
      </c>
      <c r="H830" s="1" t="n">
        <v>10</v>
      </c>
      <c r="I830" s="1" t="inlineStr">
        <is>
          <t>มี</t>
        </is>
      </c>
      <c r="J830" s="13" t="n">
        <v>319</v>
      </c>
      <c r="K830" s="1" t="inlineStr"/>
      <c r="L830" s="13" t="n">
        <v>319</v>
      </c>
      <c r="M830" s="1">
        <f>IF(L830="","ไม่พบใน SG",IF(ABS(J830-L830)&lt;0.005,"ตรงกัน","ไม่ตรง"))</f>
        <v/>
      </c>
      <c r="N830" s="14">
        <f>IF(L830="","",ROUND(L830*'สรุป'!$C$6,-1))</f>
        <v/>
      </c>
      <c r="O830" s="15" t="n"/>
      <c r="P830" s="15" t="n"/>
      <c r="Q830" s="10" t="n"/>
      <c r="R830" s="10" t="n"/>
      <c r="S830" s="16" t="inlineStr">
        <is>
          <t>https://mstgolf.co.th/products/gf2500102743</t>
        </is>
      </c>
      <c r="T830" s="1">
        <f>IF(B830="ไม้กอล์ฟ",J830,"")</f>
        <v/>
      </c>
    </row>
    <row r="831">
      <c r="A831" s="1" t="n">
        <v>2</v>
      </c>
      <c r="B831" s="1" t="inlineStr">
        <is>
          <t>รองเท้า</t>
        </is>
      </c>
      <c r="C831" s="1" t="inlineStr">
        <is>
          <t>gf2500102744</t>
        </is>
      </c>
      <c r="D831" s="1" t="inlineStr">
        <is>
          <t>GFORE Gallivan2r Women's Spiked Shoes (Siren)</t>
        </is>
      </c>
      <c r="E831" s="1" t="inlineStr">
        <is>
          <t>GFORE</t>
        </is>
      </c>
      <c r="F831" s="1" t="inlineStr">
        <is>
          <t>SPIKE SHOES</t>
        </is>
      </c>
      <c r="G831" s="1" t="inlineStr">
        <is>
          <t>GF2500102744US5.5</t>
        </is>
      </c>
      <c r="H831" s="1" t="n">
        <v>8</v>
      </c>
      <c r="I831" s="1" t="inlineStr">
        <is>
          <t>มี</t>
        </is>
      </c>
      <c r="J831" s="13" t="n">
        <v>319</v>
      </c>
      <c r="K831" s="1" t="inlineStr"/>
      <c r="L831" s="13" t="n">
        <v>319</v>
      </c>
      <c r="M831" s="1">
        <f>IF(L831="","ไม่พบใน SG",IF(ABS(J831-L831)&lt;0.005,"ตรงกัน","ไม่ตรง"))</f>
        <v/>
      </c>
      <c r="N831" s="14">
        <f>IF(L831="","",ROUND(L831*'สรุป'!$C$6,-1))</f>
        <v/>
      </c>
      <c r="O831" s="15" t="n"/>
      <c r="P831" s="15" t="n"/>
      <c r="Q831" s="10" t="n"/>
      <c r="R831" s="10" t="n"/>
      <c r="S831" s="16" t="inlineStr">
        <is>
          <t>https://mstgolf.co.th/products/gf2500102744</t>
        </is>
      </c>
      <c r="T831" s="1">
        <f>IF(B831="ไม้กอล์ฟ",J831,"")</f>
        <v/>
      </c>
    </row>
    <row r="832">
      <c r="A832" s="1" t="n">
        <v>2</v>
      </c>
      <c r="B832" s="1" t="inlineStr">
        <is>
          <t>รองเท้า</t>
        </is>
      </c>
      <c r="C832" s="1" t="inlineStr">
        <is>
          <t>gf2500201086</t>
        </is>
      </c>
      <c r="D832" s="1" t="inlineStr">
        <is>
          <t>GFORE Gallivanter Pebble Leather Men's Spikeless Shoes (Snow/Monument)</t>
        </is>
      </c>
      <c r="E832" s="1" t="inlineStr">
        <is>
          <t>GFORE</t>
        </is>
      </c>
      <c r="F832" s="1" t="inlineStr">
        <is>
          <t>SPIKELESS SHOES</t>
        </is>
      </c>
      <c r="G832" s="1" t="inlineStr">
        <is>
          <t>GF2500201086US6.5</t>
        </is>
      </c>
      <c r="H832" s="1" t="n">
        <v>12</v>
      </c>
      <c r="I832" s="1" t="inlineStr">
        <is>
          <t>มี</t>
        </is>
      </c>
      <c r="J832" s="13" t="n">
        <v>319</v>
      </c>
      <c r="K832" s="1" t="inlineStr"/>
      <c r="L832" s="13" t="n">
        <v>319</v>
      </c>
      <c r="M832" s="1">
        <f>IF(L832="","ไม่พบใน SG",IF(ABS(J832-L832)&lt;0.005,"ตรงกัน","ไม่ตรง"))</f>
        <v/>
      </c>
      <c r="N832" s="14">
        <f>IF(L832="","",ROUND(L832*'สรุป'!$C$6,-1))</f>
        <v/>
      </c>
      <c r="O832" s="15" t="n"/>
      <c r="P832" s="15" t="n"/>
      <c r="Q832" s="10" t="n"/>
      <c r="R832" s="10" t="n"/>
      <c r="S832" s="16" t="inlineStr">
        <is>
          <t>https://mstgolf.co.th/products/gf2500201086</t>
        </is>
      </c>
      <c r="T832" s="1">
        <f>IF(B832="ไม้กอล์ฟ",J832,"")</f>
        <v/>
      </c>
    </row>
    <row r="833">
      <c r="A833" s="1" t="n">
        <v>2</v>
      </c>
      <c r="B833" s="1" t="inlineStr">
        <is>
          <t>รองเท้า</t>
        </is>
      </c>
      <c r="C833" s="1" t="inlineStr">
        <is>
          <t>gf2500200902</t>
        </is>
      </c>
      <c r="D833" s="1" t="inlineStr">
        <is>
          <t>GFORE MG4+ Men's Spikeless Shoes (Poppy Camo)</t>
        </is>
      </c>
      <c r="E833" s="1" t="inlineStr">
        <is>
          <t>GFORE</t>
        </is>
      </c>
      <c r="F833" s="1" t="inlineStr">
        <is>
          <t>SPIKELESS SHOES</t>
        </is>
      </c>
      <c r="G833" s="1" t="inlineStr">
        <is>
          <t>GF2500200902US7</t>
        </is>
      </c>
      <c r="H833" s="1" t="n">
        <v>11</v>
      </c>
      <c r="I833" s="1" t="inlineStr">
        <is>
          <t>มี</t>
        </is>
      </c>
      <c r="J833" s="13" t="n">
        <v>319</v>
      </c>
      <c r="K833" s="1" t="inlineStr"/>
      <c r="L833" s="13" t="n">
        <v>319</v>
      </c>
      <c r="M833" s="1">
        <f>IF(L833="","ไม่พบใน SG",IF(ABS(J833-L833)&lt;0.005,"ตรงกัน","ไม่ตรง"))</f>
        <v/>
      </c>
      <c r="N833" s="14">
        <f>IF(L833="","",ROUND(L833*'สรุป'!$C$6,-1))</f>
        <v/>
      </c>
      <c r="O833" s="15" t="n"/>
      <c r="P833" s="15" t="n"/>
      <c r="Q833" s="10" t="n"/>
      <c r="R833" s="10" t="n"/>
      <c r="S833" s="16" t="inlineStr">
        <is>
          <t>https://mstgolf.co.th/products/gf2500200902</t>
        </is>
      </c>
      <c r="T833" s="1">
        <f>IF(B833="ไม้กอล์ฟ",J833,"")</f>
        <v/>
      </c>
    </row>
    <row r="834">
      <c r="A834" s="1" t="n">
        <v>2</v>
      </c>
      <c r="B834" s="1" t="inlineStr">
        <is>
          <t>รองเท้า</t>
        </is>
      </c>
      <c r="C834" s="1" t="inlineStr">
        <is>
          <t>gf2500201070</t>
        </is>
      </c>
      <c r="D834" s="1" t="inlineStr">
        <is>
          <t>GFORE MG4+ Mid Women's Spikeless Shoes (Onyx)</t>
        </is>
      </c>
      <c r="E834" s="1" t="inlineStr">
        <is>
          <t>GFORE</t>
        </is>
      </c>
      <c r="F834" s="1" t="inlineStr">
        <is>
          <t>SPIKELESS SHOES</t>
        </is>
      </c>
      <c r="G834" s="1" t="inlineStr">
        <is>
          <t>GF2500201070US5.5</t>
        </is>
      </c>
      <c r="H834" s="1" t="n">
        <v>8</v>
      </c>
      <c r="I834" s="1" t="inlineStr">
        <is>
          <t>มี</t>
        </is>
      </c>
      <c r="J834" s="13" t="n">
        <v>319</v>
      </c>
      <c r="K834" s="1" t="inlineStr"/>
      <c r="L834" s="13" t="n">
        <v>319</v>
      </c>
      <c r="M834" s="1">
        <f>IF(L834="","ไม่พบใน SG",IF(ABS(J834-L834)&lt;0.005,"ตรงกัน","ไม่ตรง"))</f>
        <v/>
      </c>
      <c r="N834" s="14">
        <f>IF(L834="","",ROUND(L834*'สรุป'!$C$6,-1))</f>
        <v/>
      </c>
      <c r="O834" s="15" t="n"/>
      <c r="P834" s="15" t="n"/>
      <c r="Q834" s="10" t="n"/>
      <c r="R834" s="10" t="n"/>
      <c r="S834" s="16" t="inlineStr">
        <is>
          <t>https://mstgolf.co.th/products/gf2500201070</t>
        </is>
      </c>
      <c r="T834" s="1">
        <f>IF(B834="ไม้กอล์ฟ",J834,"")</f>
        <v/>
      </c>
    </row>
    <row r="835">
      <c r="A835" s="1" t="n">
        <v>2</v>
      </c>
      <c r="B835" s="1" t="inlineStr">
        <is>
          <t>รองเท้า</t>
        </is>
      </c>
      <c r="C835" s="1" t="inlineStr">
        <is>
          <t>gf2500200901</t>
        </is>
      </c>
      <c r="D835" s="1" t="inlineStr">
        <is>
          <t>GFORE MG4+ T.P.U Men's Spikeless Shoes (Cielo Camo)</t>
        </is>
      </c>
      <c r="E835" s="1" t="inlineStr">
        <is>
          <t>GFORE</t>
        </is>
      </c>
      <c r="F835" s="1" t="inlineStr">
        <is>
          <t>SPIKELESS SHOES</t>
        </is>
      </c>
      <c r="G835" s="1" t="inlineStr">
        <is>
          <t>GF2500200901US7</t>
        </is>
      </c>
      <c r="H835" s="1" t="n">
        <v>10</v>
      </c>
      <c r="I835" s="1" t="inlineStr">
        <is>
          <t>มี</t>
        </is>
      </c>
      <c r="J835" s="13" t="n">
        <v>319</v>
      </c>
      <c r="K835" s="1" t="inlineStr"/>
      <c r="L835" s="13" t="n">
        <v>319</v>
      </c>
      <c r="M835" s="1">
        <f>IF(L835="","ไม่พบใน SG",IF(ABS(J835-L835)&lt;0.005,"ตรงกัน","ไม่ตรง"))</f>
        <v/>
      </c>
      <c r="N835" s="14">
        <f>IF(L835="","",ROUND(L835*'สรุป'!$C$6,-1))</f>
        <v/>
      </c>
      <c r="O835" s="15" t="n"/>
      <c r="P835" s="15" t="n"/>
      <c r="Q835" s="10" t="n"/>
      <c r="R835" s="10" t="n"/>
      <c r="S835" s="16" t="inlineStr">
        <is>
          <t>https://mstgolf.co.th/products/gf2500200901</t>
        </is>
      </c>
      <c r="T835" s="1">
        <f>IF(B835="ไม้กอล์ฟ",J835,"")</f>
        <v/>
      </c>
    </row>
    <row r="836">
      <c r="A836" s="1" t="n">
        <v>2</v>
      </c>
      <c r="B836" s="1" t="inlineStr">
        <is>
          <t>รองเท้า</t>
        </is>
      </c>
      <c r="C836" s="1" t="inlineStr">
        <is>
          <t>gf2500201327</t>
        </is>
      </c>
      <c r="D836" s="1" t="inlineStr">
        <is>
          <t>GFORE MG4X2 Camo Sole Men's Spikeless Shoes (Grey Camo)</t>
        </is>
      </c>
      <c r="E836" s="1" t="inlineStr">
        <is>
          <t>GFORE</t>
        </is>
      </c>
      <c r="F836" s="1" t="inlineStr">
        <is>
          <t>SPIKELESS SHOES</t>
        </is>
      </c>
      <c r="G836" s="1" t="inlineStr">
        <is>
          <t>GF2500201327US7</t>
        </is>
      </c>
      <c r="H836" s="1" t="n">
        <v>10</v>
      </c>
      <c r="I836" s="1" t="inlineStr">
        <is>
          <t>มี</t>
        </is>
      </c>
      <c r="J836" s="13" t="n">
        <v>319</v>
      </c>
      <c r="K836" s="1" t="inlineStr"/>
      <c r="L836" s="13" t="n">
        <v>319</v>
      </c>
      <c r="M836" s="1">
        <f>IF(L836="","ไม่พบใน SG",IF(ABS(J836-L836)&lt;0.005,"ตรงกัน","ไม่ตรง"))</f>
        <v/>
      </c>
      <c r="N836" s="14">
        <f>IF(L836="","",ROUND(L836*'สรุป'!$C$6,-1))</f>
        <v/>
      </c>
      <c r="O836" s="15" t="n"/>
      <c r="P836" s="15" t="n"/>
      <c r="Q836" s="10" t="n"/>
      <c r="R836" s="10" t="n"/>
      <c r="S836" s="16" t="inlineStr">
        <is>
          <t>https://mstgolf.co.th/products/gf2500201327</t>
        </is>
      </c>
      <c r="T836" s="1">
        <f>IF(B836="ไม้กอล์ฟ",J836,"")</f>
        <v/>
      </c>
    </row>
    <row r="837">
      <c r="A837" s="1" t="n">
        <v>2</v>
      </c>
      <c r="B837" s="1" t="inlineStr">
        <is>
          <t>รองเท้า</t>
        </is>
      </c>
      <c r="C837" s="1" t="inlineStr">
        <is>
          <t>gf2500201328</t>
        </is>
      </c>
      <c r="D837" s="1" t="inlineStr">
        <is>
          <t>GFORE MG4X2 Men's Spikeless Shoes (Snow/Mosaic)</t>
        </is>
      </c>
      <c r="E837" s="1" t="inlineStr">
        <is>
          <t>GFORE</t>
        </is>
      </c>
      <c r="F837" s="1" t="inlineStr">
        <is>
          <t>SPIKELESS SHOES</t>
        </is>
      </c>
      <c r="G837" s="1" t="inlineStr">
        <is>
          <t>GF2500201328US7</t>
        </is>
      </c>
      <c r="H837" s="1" t="n">
        <v>10</v>
      </c>
      <c r="I837" s="1" t="inlineStr">
        <is>
          <t>มี</t>
        </is>
      </c>
      <c r="J837" s="13" t="n">
        <v>319</v>
      </c>
      <c r="K837" s="1" t="inlineStr"/>
      <c r="L837" s="13" t="n">
        <v>319</v>
      </c>
      <c r="M837" s="1">
        <f>IF(L837="","ไม่พบใน SG",IF(ABS(J837-L837)&lt;0.005,"ตรงกัน","ไม่ตรง"))</f>
        <v/>
      </c>
      <c r="N837" s="14">
        <f>IF(L837="","",ROUND(L837*'สรุป'!$C$6,-1))</f>
        <v/>
      </c>
      <c r="O837" s="15" t="n"/>
      <c r="P837" s="15" t="n"/>
      <c r="Q837" s="10" t="n"/>
      <c r="R837" s="10" t="n"/>
      <c r="S837" s="16" t="inlineStr">
        <is>
          <t>https://mstgolf.co.th/products/gf2500201328</t>
        </is>
      </c>
      <c r="T837" s="1">
        <f>IF(B837="ไม้กอล์ฟ",J837,"")</f>
        <v/>
      </c>
    </row>
    <row r="838">
      <c r="A838" s="1" t="n">
        <v>2</v>
      </c>
      <c r="B838" s="1" t="inlineStr">
        <is>
          <t>รองเท้า</t>
        </is>
      </c>
      <c r="C838" s="1" t="inlineStr">
        <is>
          <t>gf2500201326</t>
        </is>
      </c>
      <c r="D838" s="1" t="inlineStr">
        <is>
          <t>GFORE MG4X2 Men's Spikeless Shoes (Snow/Twilight)</t>
        </is>
      </c>
      <c r="E838" s="1" t="inlineStr">
        <is>
          <t>GFORE</t>
        </is>
      </c>
      <c r="F838" s="1" t="inlineStr">
        <is>
          <t>SPIKELESS SHOES</t>
        </is>
      </c>
      <c r="G838" s="1" t="inlineStr">
        <is>
          <t>GF2500201326US7</t>
        </is>
      </c>
      <c r="H838" s="1" t="n">
        <v>11</v>
      </c>
      <c r="I838" s="1" t="inlineStr">
        <is>
          <t>มี</t>
        </is>
      </c>
      <c r="J838" s="13" t="n">
        <v>319</v>
      </c>
      <c r="K838" s="1" t="inlineStr"/>
      <c r="L838" s="13" t="n">
        <v>319</v>
      </c>
      <c r="M838" s="1">
        <f>IF(L838="","ไม่พบใน SG",IF(ABS(J838-L838)&lt;0.005,"ตรงกัน","ไม่ตรง"))</f>
        <v/>
      </c>
      <c r="N838" s="14">
        <f>IF(L838="","",ROUND(L838*'สรุป'!$C$6,-1))</f>
        <v/>
      </c>
      <c r="O838" s="15" t="n"/>
      <c r="P838" s="15" t="n"/>
      <c r="Q838" s="10" t="n"/>
      <c r="R838" s="10" t="n"/>
      <c r="S838" s="16" t="inlineStr">
        <is>
          <t>https://mstgolf.co.th/products/gf2500201326</t>
        </is>
      </c>
      <c r="T838" s="1">
        <f>IF(B838="ไม้กอล์ฟ",J838,"")</f>
        <v/>
      </c>
    </row>
    <row r="839">
      <c r="A839" s="1" t="n">
        <v>2</v>
      </c>
      <c r="B839" s="1" t="inlineStr">
        <is>
          <t>รองเท้า</t>
        </is>
      </c>
      <c r="C839" s="1" t="inlineStr">
        <is>
          <t>gf2500200896</t>
        </is>
      </c>
      <c r="D839" s="1" t="inlineStr">
        <is>
          <t>GFORE MG4X2 Ripstop Men's Spikeless Shoes (Sardinia)</t>
        </is>
      </c>
      <c r="E839" s="1" t="inlineStr">
        <is>
          <t>GFORE</t>
        </is>
      </c>
      <c r="F839" s="1" t="inlineStr">
        <is>
          <t>SPIKELESS SHOES</t>
        </is>
      </c>
      <c r="G839" s="1" t="inlineStr">
        <is>
          <t>GF2500200896US7</t>
        </is>
      </c>
      <c r="H839" s="1" t="n">
        <v>10</v>
      </c>
      <c r="I839" s="1" t="inlineStr">
        <is>
          <t>มี</t>
        </is>
      </c>
      <c r="J839" s="13" t="n">
        <v>319</v>
      </c>
      <c r="K839" s="1" t="inlineStr"/>
      <c r="L839" s="13" t="n">
        <v>319</v>
      </c>
      <c r="M839" s="1">
        <f>IF(L839="","ไม่พบใน SG",IF(ABS(J839-L839)&lt;0.005,"ตรงกัน","ไม่ตรง"))</f>
        <v/>
      </c>
      <c r="N839" s="14">
        <f>IF(L839="","",ROUND(L839*'สรุป'!$C$6,-1))</f>
        <v/>
      </c>
      <c r="O839" s="15" t="n"/>
      <c r="P839" s="15" t="n"/>
      <c r="Q839" s="10" t="n"/>
      <c r="R839" s="10" t="n"/>
      <c r="S839" s="16" t="inlineStr">
        <is>
          <t>https://mstgolf.co.th/products/gf2500200896</t>
        </is>
      </c>
      <c r="T839" s="1">
        <f>IF(B839="ไม้กอล์ฟ",J839,"")</f>
        <v/>
      </c>
    </row>
    <row r="840">
      <c r="A840" s="1" t="n">
        <v>2</v>
      </c>
      <c r="B840" s="1" t="inlineStr">
        <is>
          <t>รองเท้า</t>
        </is>
      </c>
      <c r="C840" s="1" t="inlineStr">
        <is>
          <t>gf2500201047</t>
        </is>
      </c>
      <c r="D840" s="1" t="inlineStr">
        <is>
          <t>GFORE MG4X2 Ripstop Women's Spikeless Shoes (Gecko)</t>
        </is>
      </c>
      <c r="E840" s="1" t="inlineStr">
        <is>
          <t>GFORE</t>
        </is>
      </c>
      <c r="F840" s="1" t="inlineStr">
        <is>
          <t>SPIKELESS SHOES</t>
        </is>
      </c>
      <c r="G840" s="1" t="inlineStr">
        <is>
          <t>GF2500201047US7</t>
        </is>
      </c>
      <c r="H840" s="1" t="n">
        <v>10</v>
      </c>
      <c r="I840" s="1" t="inlineStr">
        <is>
          <t>มี</t>
        </is>
      </c>
      <c r="J840" s="13" t="n">
        <v>319</v>
      </c>
      <c r="K840" s="1" t="inlineStr"/>
      <c r="L840" s="13" t="n">
        <v>319</v>
      </c>
      <c r="M840" s="1">
        <f>IF(L840="","ไม่พบใน SG",IF(ABS(J840-L840)&lt;0.005,"ตรงกัน","ไม่ตรง"))</f>
        <v/>
      </c>
      <c r="N840" s="14">
        <f>IF(L840="","",ROUND(L840*'สรุป'!$C$6,-1))</f>
        <v/>
      </c>
      <c r="O840" s="15" t="n"/>
      <c r="P840" s="15" t="n"/>
      <c r="Q840" s="10" t="n"/>
      <c r="R840" s="10" t="n"/>
      <c r="S840" s="16" t="inlineStr">
        <is>
          <t>https://mstgolf.co.th/products/gf2500201047</t>
        </is>
      </c>
      <c r="T840" s="1">
        <f>IF(B840="ไม้กอล์ฟ",J840,"")</f>
        <v/>
      </c>
    </row>
    <row r="841">
      <c r="A841" s="1" t="n">
        <v>2</v>
      </c>
      <c r="B841" s="1" t="inlineStr">
        <is>
          <t>รองเท้า</t>
        </is>
      </c>
      <c r="C841" s="1" t="inlineStr">
        <is>
          <t>gf2500201050</t>
        </is>
      </c>
      <c r="D841" s="1" t="inlineStr">
        <is>
          <t>GFORE MG4X2 Ripstop Women's Spikeless Shoes (Petrol)</t>
        </is>
      </c>
      <c r="E841" s="1" t="inlineStr">
        <is>
          <t>GFORE</t>
        </is>
      </c>
      <c r="F841" s="1" t="inlineStr">
        <is>
          <t>SPIKELESS SHOES</t>
        </is>
      </c>
      <c r="G841" s="1" t="inlineStr">
        <is>
          <t>GF2500201050US5.5</t>
        </is>
      </c>
      <c r="H841" s="1" t="n">
        <v>13</v>
      </c>
      <c r="I841" s="1" t="inlineStr">
        <is>
          <t>มี</t>
        </is>
      </c>
      <c r="J841" s="13" t="n">
        <v>319</v>
      </c>
      <c r="K841" s="1" t="inlineStr"/>
      <c r="L841" s="13" t="n">
        <v>319</v>
      </c>
      <c r="M841" s="1">
        <f>IF(L841="","ไม่พบใน SG",IF(ABS(J841-L841)&lt;0.005,"ตรงกัน","ไม่ตรง"))</f>
        <v/>
      </c>
      <c r="N841" s="14">
        <f>IF(L841="","",ROUND(L841*'สรุป'!$C$6,-1))</f>
        <v/>
      </c>
      <c r="O841" s="15" t="n"/>
      <c r="P841" s="15" t="n"/>
      <c r="Q841" s="10" t="n"/>
      <c r="R841" s="10" t="n"/>
      <c r="S841" s="16" t="inlineStr">
        <is>
          <t>https://mstgolf.co.th/products/gf2500201050</t>
        </is>
      </c>
      <c r="T841" s="1">
        <f>IF(B841="ไม้กอล์ฟ",J841,"")</f>
        <v/>
      </c>
    </row>
    <row r="842">
      <c r="A842" s="1" t="n">
        <v>2</v>
      </c>
      <c r="B842" s="1" t="inlineStr">
        <is>
          <t>รองเท้า</t>
        </is>
      </c>
      <c r="C842" s="1" t="inlineStr">
        <is>
          <t>gf2500201334</t>
        </is>
      </c>
      <c r="D842" s="1" t="inlineStr">
        <is>
          <t>GFORE MG4X2 Women's Spikeless Shoes (Stone/Multi)</t>
        </is>
      </c>
      <c r="E842" s="1" t="inlineStr">
        <is>
          <t>GFORE</t>
        </is>
      </c>
      <c r="F842" s="1" t="inlineStr">
        <is>
          <t>SPIKELESS SHOES</t>
        </is>
      </c>
      <c r="G842" s="1" t="inlineStr">
        <is>
          <t>GF2500201334US5.5</t>
        </is>
      </c>
      <c r="H842" s="1" t="n">
        <v>8</v>
      </c>
      <c r="I842" s="1" t="inlineStr">
        <is>
          <t>มี</t>
        </is>
      </c>
      <c r="J842" s="13" t="n">
        <v>319</v>
      </c>
      <c r="K842" s="1" t="inlineStr"/>
      <c r="L842" s="13" t="n">
        <v>319</v>
      </c>
      <c r="M842" s="1">
        <f>IF(L842="","ไม่พบใน SG",IF(ABS(J842-L842)&lt;0.005,"ตรงกัน","ไม่ตรง"))</f>
        <v/>
      </c>
      <c r="N842" s="14">
        <f>IF(L842="","",ROUND(L842*'สรุป'!$C$6,-1))</f>
        <v/>
      </c>
      <c r="O842" s="15" t="n"/>
      <c r="P842" s="15" t="n"/>
      <c r="Q842" s="10" t="n"/>
      <c r="R842" s="10" t="n"/>
      <c r="S842" s="16" t="inlineStr">
        <is>
          <t>https://mstgolf.co.th/products/gf2500201334</t>
        </is>
      </c>
      <c r="T842" s="1">
        <f>IF(B842="ไม้กอล์ฟ",J842,"")</f>
        <v/>
      </c>
    </row>
    <row r="843">
      <c r="A843" s="1" t="n">
        <v>2</v>
      </c>
      <c r="B843" s="1" t="inlineStr">
        <is>
          <t>ถุงกอล์ฟ</t>
        </is>
      </c>
      <c r="C843" s="1" t="inlineStr">
        <is>
          <t>gf3000201257</t>
        </is>
      </c>
      <c r="D843" s="1" t="inlineStr">
        <is>
          <t>TAYLORMADE 9" FlexTech Lite Stand bag (Green)</t>
        </is>
      </c>
      <c r="E843" s="1" t="inlineStr">
        <is>
          <t>TAYLORMADE</t>
        </is>
      </c>
      <c r="F843" s="1" t="inlineStr">
        <is>
          <t>STAND BAG</t>
        </is>
      </c>
      <c r="G843" s="1" t="inlineStr">
        <is>
          <t>GF3000201257</t>
        </is>
      </c>
      <c r="H843" s="1" t="n">
        <v>1</v>
      </c>
      <c r="I843" s="1" t="inlineStr">
        <is>
          <t>มี</t>
        </is>
      </c>
      <c r="J843" s="13" t="n">
        <v>319</v>
      </c>
      <c r="K843" s="1" t="inlineStr"/>
      <c r="L843" s="13" t="n">
        <v>319</v>
      </c>
      <c r="M843" s="1">
        <f>IF(L843="","ไม่พบใน SG",IF(ABS(J843-L843)&lt;0.005,"ตรงกัน","ไม่ตรง"))</f>
        <v/>
      </c>
      <c r="N843" s="14">
        <f>IF(L843="","",ROUND(L843*'สรุป'!$C$6,-1))</f>
        <v/>
      </c>
      <c r="O843" s="15" t="n"/>
      <c r="P843" s="15" t="n"/>
      <c r="Q843" s="10" t="n"/>
      <c r="R843" s="10" t="n"/>
      <c r="S843" s="16" t="inlineStr">
        <is>
          <t>https://mstgolf.co.th/products/gf3000201257</t>
        </is>
      </c>
      <c r="T843" s="1">
        <f>IF(B843="ไม้กอล์ฟ",J843,"")</f>
        <v/>
      </c>
    </row>
    <row r="844">
      <c r="A844" s="1" t="n">
        <v>2</v>
      </c>
      <c r="B844" s="1" t="inlineStr">
        <is>
          <t>ถุงกอล์ฟ</t>
        </is>
      </c>
      <c r="C844" s="1" t="inlineStr">
        <is>
          <t>gf3000201208</t>
        </is>
      </c>
      <c r="D844" s="1" t="inlineStr">
        <is>
          <t>TAYLORMADE 9" Flextech Lite Stand Bag (Black/Red)</t>
        </is>
      </c>
      <c r="E844" s="1" t="inlineStr">
        <is>
          <t>TAYLORMADE</t>
        </is>
      </c>
      <c r="F844" s="1" t="inlineStr">
        <is>
          <t>STAND BAG</t>
        </is>
      </c>
      <c r="G844" s="1" t="inlineStr">
        <is>
          <t>GF3000201208</t>
        </is>
      </c>
      <c r="H844" s="1" t="n">
        <v>1</v>
      </c>
      <c r="I844" s="1" t="inlineStr">
        <is>
          <t>มี</t>
        </is>
      </c>
      <c r="J844" s="13" t="n">
        <v>319</v>
      </c>
      <c r="K844" s="1" t="inlineStr"/>
      <c r="L844" s="13" t="n">
        <v>319</v>
      </c>
      <c r="M844" s="1">
        <f>IF(L844="","ไม่พบใน SG",IF(ABS(J844-L844)&lt;0.005,"ตรงกัน","ไม่ตรง"))</f>
        <v/>
      </c>
      <c r="N844" s="14">
        <f>IF(L844="","",ROUND(L844*'สรุป'!$C$6,-1))</f>
        <v/>
      </c>
      <c r="O844" s="15" t="n"/>
      <c r="P844" s="15" t="n"/>
      <c r="Q844" s="10" t="n"/>
      <c r="R844" s="10" t="n"/>
      <c r="S844" s="16" t="inlineStr">
        <is>
          <t>https://mstgolf.co.th/products/gf3000201208</t>
        </is>
      </c>
      <c r="T844" s="1">
        <f>IF(B844="ไม้กอล์ฟ",J844,"")</f>
        <v/>
      </c>
    </row>
    <row r="845">
      <c r="A845" s="1" t="n">
        <v>2</v>
      </c>
      <c r="B845" s="1" t="inlineStr">
        <is>
          <t>ถุงกอล์ฟ</t>
        </is>
      </c>
      <c r="C845" s="1" t="inlineStr">
        <is>
          <t>gf3000201141</t>
        </is>
      </c>
      <c r="D845" s="1" t="inlineStr">
        <is>
          <t>TAYLORMADE 9" Flextech Lite Stand Bag (Navy)</t>
        </is>
      </c>
      <c r="E845" s="1" t="inlineStr">
        <is>
          <t>TAYLORMADE</t>
        </is>
      </c>
      <c r="F845" s="1" t="inlineStr">
        <is>
          <t>STAND BAG</t>
        </is>
      </c>
      <c r="G845" s="1" t="inlineStr">
        <is>
          <t>GF3000201141</t>
        </is>
      </c>
      <c r="H845" s="1" t="n">
        <v>1</v>
      </c>
      <c r="I845" s="1" t="inlineStr">
        <is>
          <t>มี</t>
        </is>
      </c>
      <c r="J845" s="13" t="n">
        <v>319</v>
      </c>
      <c r="K845" s="1" t="inlineStr"/>
      <c r="L845" s="13" t="n">
        <v>319</v>
      </c>
      <c r="M845" s="1">
        <f>IF(L845="","ไม่พบใน SG",IF(ABS(J845-L845)&lt;0.005,"ตรงกัน","ไม่ตรง"))</f>
        <v/>
      </c>
      <c r="N845" s="14">
        <f>IF(L845="","",ROUND(L845*'สรุป'!$C$6,-1))</f>
        <v/>
      </c>
      <c r="O845" s="15" t="n"/>
      <c r="P845" s="15" t="n"/>
      <c r="Q845" s="10" t="n"/>
      <c r="R845" s="10" t="n"/>
      <c r="S845" s="16" t="inlineStr">
        <is>
          <t>https://mstgolf.co.th/products/gf3000201141</t>
        </is>
      </c>
      <c r="T845" s="1">
        <f>IF(B845="ไม้กอล์ฟ",J845,"")</f>
        <v/>
      </c>
    </row>
    <row r="846">
      <c r="A846" s="1" t="n">
        <v>2</v>
      </c>
      <c r="B846" s="1" t="inlineStr">
        <is>
          <t>ถุงกอล์ฟ</t>
        </is>
      </c>
      <c r="C846" s="1" t="inlineStr">
        <is>
          <t>gf3000201143</t>
        </is>
      </c>
      <c r="D846" s="1" t="inlineStr">
        <is>
          <t>TAYLORMADE 9" Flextech Lite Women's Stand Bag (Aqua)</t>
        </is>
      </c>
      <c r="E846" s="1" t="inlineStr">
        <is>
          <t>TAYLORMADE</t>
        </is>
      </c>
      <c r="F846" s="1" t="inlineStr">
        <is>
          <t>STAND BAG</t>
        </is>
      </c>
      <c r="G846" s="1" t="inlineStr">
        <is>
          <t>GF3000201143</t>
        </is>
      </c>
      <c r="H846" s="1" t="n">
        <v>1</v>
      </c>
      <c r="I846" s="1" t="inlineStr">
        <is>
          <t>มี</t>
        </is>
      </c>
      <c r="J846" s="13" t="n">
        <v>319</v>
      </c>
      <c r="K846" s="1" t="inlineStr"/>
      <c r="L846" s="13" t="n">
        <v>319</v>
      </c>
      <c r="M846" s="1">
        <f>IF(L846="","ไม่พบใน SG",IF(ABS(J846-L846)&lt;0.005,"ตรงกัน","ไม่ตรง"))</f>
        <v/>
      </c>
      <c r="N846" s="14">
        <f>IF(L846="","",ROUND(L846*'สรุป'!$C$6,-1))</f>
        <v/>
      </c>
      <c r="O846" s="15" t="n"/>
      <c r="P846" s="15" t="n"/>
      <c r="Q846" s="10" t="n"/>
      <c r="R846" s="10" t="n"/>
      <c r="S846" s="16" t="inlineStr">
        <is>
          <t>https://mstgolf.co.th/products/gf3000201143</t>
        </is>
      </c>
      <c r="T846" s="1">
        <f>IF(B846="ไม้กอล์ฟ",J846,"")</f>
        <v/>
      </c>
    </row>
    <row r="847">
      <c r="A847" s="1" t="n">
        <v>2</v>
      </c>
      <c r="B847" s="1" t="inlineStr">
        <is>
          <t>ถุงกอล์ฟ</t>
        </is>
      </c>
      <c r="C847" s="1" t="inlineStr">
        <is>
          <t>gf3000102229</t>
        </is>
      </c>
      <c r="D847" s="1" t="inlineStr">
        <is>
          <t>TAYLORMADE Premium Classic 9.5" Cart Bag (Silver)</t>
        </is>
      </c>
      <c r="E847" s="1" t="inlineStr">
        <is>
          <t>TAYLORMADE</t>
        </is>
      </c>
      <c r="F847" s="1" t="inlineStr">
        <is>
          <t>CADDIE/CART BAG</t>
        </is>
      </c>
      <c r="G847" s="1" t="inlineStr">
        <is>
          <t>GF3000102229</t>
        </is>
      </c>
      <c r="H847" s="1" t="n">
        <v>1</v>
      </c>
      <c r="I847" s="1" t="inlineStr">
        <is>
          <t>มี</t>
        </is>
      </c>
      <c r="J847" s="13" t="n">
        <v>319</v>
      </c>
      <c r="K847" s="1" t="inlineStr"/>
      <c r="L847" s="13" t="n">
        <v>319</v>
      </c>
      <c r="M847" s="1">
        <f>IF(L847="","ไม่พบใน SG",IF(ABS(J847-L847)&lt;0.005,"ตรงกัน","ไม่ตรง"))</f>
        <v/>
      </c>
      <c r="N847" s="14">
        <f>IF(L847="","",ROUND(L847*'สรุป'!$C$6,-1))</f>
        <v/>
      </c>
      <c r="O847" s="15" t="n"/>
      <c r="P847" s="15" t="n"/>
      <c r="Q847" s="10" t="n"/>
      <c r="R847" s="10" t="n"/>
      <c r="S847" s="16" t="inlineStr">
        <is>
          <t>https://mstgolf.co.th/products/gf3000102229</t>
        </is>
      </c>
      <c r="T847" s="1">
        <f>IF(B847="ไม้กอล์ฟ",J847,"")</f>
        <v/>
      </c>
    </row>
    <row r="848">
      <c r="A848" s="1" t="n">
        <v>2</v>
      </c>
      <c r="B848" s="1" t="inlineStr">
        <is>
          <t>ถุงกอล์ฟ</t>
        </is>
      </c>
      <c r="C848" s="1" t="inlineStr">
        <is>
          <t>gf3000102993</t>
        </is>
      </c>
      <c r="D848" s="1" t="inlineStr">
        <is>
          <t>PING Transverse Cart Bag (Multi)</t>
        </is>
      </c>
      <c r="E848" s="1" t="inlineStr">
        <is>
          <t>PING</t>
        </is>
      </c>
      <c r="F848" s="1" t="inlineStr">
        <is>
          <t>CADDIE/CART BAG</t>
        </is>
      </c>
      <c r="G848" s="1" t="inlineStr">
        <is>
          <t>GF3000102993</t>
        </is>
      </c>
      <c r="H848" s="1" t="n">
        <v>1</v>
      </c>
      <c r="I848" s="1" t="inlineStr">
        <is>
          <t>มี</t>
        </is>
      </c>
      <c r="J848" s="13" t="n">
        <v>315</v>
      </c>
      <c r="K848" s="1" t="inlineStr"/>
      <c r="L848" s="13" t="n">
        <v>315</v>
      </c>
      <c r="M848" s="1">
        <f>IF(L848="","ไม่พบใน SG",IF(ABS(J848-L848)&lt;0.005,"ตรงกัน","ไม่ตรง"))</f>
        <v/>
      </c>
      <c r="N848" s="14">
        <f>IF(L848="","",ROUND(L848*'สรุป'!$C$6,-1))</f>
        <v/>
      </c>
      <c r="O848" s="15" t="n"/>
      <c r="P848" s="15" t="n"/>
      <c r="Q848" s="10" t="n"/>
      <c r="R848" s="10" t="n"/>
      <c r="S848" s="16" t="inlineStr">
        <is>
          <t>https://mstgolf.co.th/products/gf3000102993</t>
        </is>
      </c>
      <c r="T848" s="1">
        <f>IF(B848="ไม้กอล์ฟ",J848,"")</f>
        <v/>
      </c>
    </row>
    <row r="849">
      <c r="A849" s="1" t="n">
        <v>2</v>
      </c>
      <c r="B849" s="1" t="inlineStr">
        <is>
          <t>ถุงกอล์ฟ</t>
        </is>
      </c>
      <c r="C849" s="1" t="inlineStr">
        <is>
          <t>gf3000102569</t>
        </is>
      </c>
      <c r="D849" s="1" t="inlineStr">
        <is>
          <t>TITLEIST Aspirer Cart Bag (Black/Red)</t>
        </is>
      </c>
      <c r="E849" s="1" t="inlineStr">
        <is>
          <t>TITLEIST</t>
        </is>
      </c>
      <c r="F849" s="1" t="inlineStr">
        <is>
          <t>CADDIE/CART BAG</t>
        </is>
      </c>
      <c r="G849" s="1" t="inlineStr">
        <is>
          <t>GF3000102569</t>
        </is>
      </c>
      <c r="H849" s="1" t="n">
        <v>1</v>
      </c>
      <c r="I849" s="1" t="inlineStr">
        <is>
          <t>มี</t>
        </is>
      </c>
      <c r="J849" s="13" t="n">
        <v>315</v>
      </c>
      <c r="K849" s="1" t="inlineStr"/>
      <c r="L849" s="13" t="n">
        <v>315</v>
      </c>
      <c r="M849" s="1">
        <f>IF(L849="","ไม่พบใน SG",IF(ABS(J849-L849)&lt;0.005,"ตรงกัน","ไม่ตรง"))</f>
        <v/>
      </c>
      <c r="N849" s="14">
        <f>IF(L849="","",ROUND(L849*'สรุป'!$C$6,-1))</f>
        <v/>
      </c>
      <c r="O849" s="15" t="n"/>
      <c r="P849" s="15" t="n"/>
      <c r="Q849" s="10" t="n"/>
      <c r="R849" s="10" t="n"/>
      <c r="S849" s="16" t="inlineStr">
        <is>
          <t>https://mstgolf.co.th/products/gf3000102569</t>
        </is>
      </c>
      <c r="T849" s="1">
        <f>IF(B849="ไม้กอล์ฟ",J849,"")</f>
        <v/>
      </c>
    </row>
    <row r="850">
      <c r="A850" s="1" t="n">
        <v>2</v>
      </c>
      <c r="B850" s="1" t="inlineStr">
        <is>
          <t>รองเท้า</t>
        </is>
      </c>
      <c r="C850" s="1" t="inlineStr">
        <is>
          <t>gf2500201178</t>
        </is>
      </c>
      <c r="D850" s="1" t="inlineStr">
        <is>
          <t>FOOTJOY Pro/SLX BOA Men's Spikeless Shoes (White/Navy/Blue)</t>
        </is>
      </c>
      <c r="E850" s="1" t="inlineStr">
        <is>
          <t>FOOTJOY</t>
        </is>
      </c>
      <c r="F850" s="1" t="inlineStr">
        <is>
          <t>SPIKELESS SHOES</t>
        </is>
      </c>
      <c r="G850" s="1" t="inlineStr">
        <is>
          <t>GF2500201178US6.5</t>
        </is>
      </c>
      <c r="H850" s="1" t="n">
        <v>10</v>
      </c>
      <c r="I850" s="1" t="inlineStr">
        <is>
          <t>มี</t>
        </is>
      </c>
      <c r="J850" s="13" t="n">
        <v>301.6</v>
      </c>
      <c r="K850" s="1" t="inlineStr"/>
      <c r="L850" s="13" t="n">
        <v>301.6</v>
      </c>
      <c r="M850" s="1">
        <f>IF(L850="","ไม่พบใน SG",IF(ABS(J850-L850)&lt;0.005,"ตรงกัน","ไม่ตรง"))</f>
        <v/>
      </c>
      <c r="N850" s="14">
        <f>IF(L850="","",ROUND(L850*'สรุป'!$C$6,-1))</f>
        <v/>
      </c>
      <c r="O850" s="15" t="n"/>
      <c r="P850" s="15" t="n"/>
      <c r="Q850" s="10" t="n"/>
      <c r="R850" s="10" t="n"/>
      <c r="S850" s="16" t="inlineStr">
        <is>
          <t>https://mstgolf.co.th/products/gf2500201178</t>
        </is>
      </c>
      <c r="T850" s="1">
        <f>IF(B850="ไม้กอล์ฟ",J850,"")</f>
        <v/>
      </c>
    </row>
    <row r="851">
      <c r="A851" s="1" t="n">
        <v>2</v>
      </c>
      <c r="B851" s="1" t="inlineStr">
        <is>
          <t>รองเท้า</t>
        </is>
      </c>
      <c r="C851" s="1" t="inlineStr">
        <is>
          <t>gf2500102661</t>
        </is>
      </c>
      <c r="D851" s="1" t="inlineStr">
        <is>
          <t>FOOTJOY Premiere Packard Lace Men's Spiked Shoes (White/Black)</t>
        </is>
      </c>
      <c r="E851" s="1" t="inlineStr">
        <is>
          <t>FOOTJOY</t>
        </is>
      </c>
      <c r="F851" s="1" t="inlineStr">
        <is>
          <t>SPIKE SHOES</t>
        </is>
      </c>
      <c r="G851" s="1" t="inlineStr">
        <is>
          <t>GF2500102661US6.5</t>
        </is>
      </c>
      <c r="H851" s="1" t="n">
        <v>10</v>
      </c>
      <c r="I851" s="1" t="inlineStr">
        <is>
          <t>มี</t>
        </is>
      </c>
      <c r="J851" s="13" t="n">
        <v>300</v>
      </c>
      <c r="K851" s="1" t="inlineStr"/>
      <c r="L851" s="13" t="n">
        <v>189</v>
      </c>
      <c r="M851" s="1">
        <f>IF(L851="","ไม่พบใน SG",IF(ABS(J851-L851)&lt;0.005,"ตรงกัน","ไม่ตรง"))</f>
        <v/>
      </c>
      <c r="N851" s="14">
        <f>IF(L851="","",ROUND(L851*'สรุป'!$C$6,-1))</f>
        <v/>
      </c>
      <c r="O851" s="15" t="n"/>
      <c r="P851" s="15" t="n"/>
      <c r="Q851" s="10" t="n"/>
      <c r="R851" s="10" t="n"/>
      <c r="S851" s="16" t="inlineStr">
        <is>
          <t>https://mstgolf.co.th/products/gf2500102661</t>
        </is>
      </c>
      <c r="T851" s="1">
        <f>IF(B851="ไม้กอล์ฟ",J851,"")</f>
        <v/>
      </c>
    </row>
    <row r="852">
      <c r="A852" s="1" t="n">
        <v>2</v>
      </c>
      <c r="B852" s="1" t="inlineStr">
        <is>
          <t>รองเท้า</t>
        </is>
      </c>
      <c r="C852" s="1" t="inlineStr">
        <is>
          <t>gf2500201399</t>
        </is>
      </c>
      <c r="D852" s="1" t="inlineStr">
        <is>
          <t>NIKE Victory Tour 4 BOA Men's Spikeless Shoes (White/Blue/Black)</t>
        </is>
      </c>
      <c r="E852" s="1" t="inlineStr">
        <is>
          <t>NIKE</t>
        </is>
      </c>
      <c r="F852" s="1" t="inlineStr">
        <is>
          <t>SPIKELESS SHOES</t>
        </is>
      </c>
      <c r="G852" s="1" t="inlineStr">
        <is>
          <t>GF2500201399US6</t>
        </is>
      </c>
      <c r="H852" s="1" t="n">
        <v>16</v>
      </c>
      <c r="I852" s="1" t="inlineStr">
        <is>
          <t>มี</t>
        </is>
      </c>
      <c r="J852" s="13" t="n">
        <v>299</v>
      </c>
      <c r="K852" s="1" t="inlineStr"/>
      <c r="L852" s="13" t="n">
        <v>299</v>
      </c>
      <c r="M852" s="1">
        <f>IF(L852="","ไม่พบใน SG",IF(ABS(J852-L852)&lt;0.005,"ตรงกัน","ไม่ตรง"))</f>
        <v/>
      </c>
      <c r="N852" s="14">
        <f>IF(L852="","",ROUND(L852*'สรุป'!$C$6,-1))</f>
        <v/>
      </c>
      <c r="O852" s="15" t="n"/>
      <c r="P852" s="15" t="n"/>
      <c r="Q852" s="10" t="n"/>
      <c r="R852" s="10" t="n"/>
      <c r="S852" s="16" t="inlineStr">
        <is>
          <t>https://mstgolf.co.th/products/gf2500201399</t>
        </is>
      </c>
      <c r="T852" s="1">
        <f>IF(B852="ไม้กอล์ฟ",J852,"")</f>
        <v/>
      </c>
    </row>
    <row r="853">
      <c r="A853" s="1" t="n">
        <v>2</v>
      </c>
      <c r="B853" s="1" t="inlineStr">
        <is>
          <t>รองเท้า</t>
        </is>
      </c>
      <c r="C853" s="1" t="inlineStr">
        <is>
          <t>gf2500102777</t>
        </is>
      </c>
      <c r="D853" s="1" t="inlineStr">
        <is>
          <t>NIKE Victory Tour 4 Unisex Spiked Shoes (White/Gold)</t>
        </is>
      </c>
      <c r="E853" s="1" t="inlineStr">
        <is>
          <t>NIKE</t>
        </is>
      </c>
      <c r="F853" s="1" t="inlineStr">
        <is>
          <t>SPIKE SHOES</t>
        </is>
      </c>
      <c r="G853" s="1" t="inlineStr">
        <is>
          <t>GF2500102777US14</t>
        </is>
      </c>
      <c r="H853" s="1" t="n">
        <v>15</v>
      </c>
      <c r="I853" s="1" t="inlineStr">
        <is>
          <t>มี</t>
        </is>
      </c>
      <c r="J853" s="13" t="n">
        <v>299</v>
      </c>
      <c r="K853" s="1" t="inlineStr"/>
      <c r="L853" s="13" t="n">
        <v>299</v>
      </c>
      <c r="M853" s="1">
        <f>IF(L853="","ไม่พบใน SG",IF(ABS(J853-L853)&lt;0.005,"ตรงกัน","ไม่ตรง"))</f>
        <v/>
      </c>
      <c r="N853" s="14">
        <f>IF(L853="","",ROUND(L853*'สรุป'!$C$6,-1))</f>
        <v/>
      </c>
      <c r="O853" s="15" t="n"/>
      <c r="P853" s="15" t="n"/>
      <c r="Q853" s="10" t="n"/>
      <c r="R853" s="10" t="n"/>
      <c r="S853" s="16" t="inlineStr">
        <is>
          <t>https://mstgolf.co.th/products/gf2500102777</t>
        </is>
      </c>
      <c r="T853" s="1">
        <f>IF(B853="ไม้กอล์ฟ",J853,"")</f>
        <v/>
      </c>
    </row>
    <row r="854">
      <c r="A854" s="1" t="n">
        <v>2</v>
      </c>
      <c r="B854" s="1" t="inlineStr">
        <is>
          <t>ถุงกอล์ฟ</t>
        </is>
      </c>
      <c r="C854" s="1" t="inlineStr">
        <is>
          <t>gf3000201235</t>
        </is>
      </c>
      <c r="D854" s="1" t="inlineStr">
        <is>
          <t>TAYLORMADE 9" Flextech Carry Stand Bag (Black)</t>
        </is>
      </c>
      <c r="E854" s="1" t="inlineStr">
        <is>
          <t>TAYLORMADE</t>
        </is>
      </c>
      <c r="F854" s="1" t="inlineStr">
        <is>
          <t>STAND BAG</t>
        </is>
      </c>
      <c r="G854" s="1" t="inlineStr">
        <is>
          <t>GF3000201235</t>
        </is>
      </c>
      <c r="H854" s="1" t="n">
        <v>1</v>
      </c>
      <c r="I854" s="1" t="inlineStr">
        <is>
          <t>มี</t>
        </is>
      </c>
      <c r="J854" s="13" t="n">
        <v>299</v>
      </c>
      <c r="K854" s="1" t="inlineStr"/>
      <c r="L854" s="13" t="n">
        <v>299</v>
      </c>
      <c r="M854" s="1">
        <f>IF(L854="","ไม่พบใน SG",IF(ABS(J854-L854)&lt;0.005,"ตรงกัน","ไม่ตรง"))</f>
        <v/>
      </c>
      <c r="N854" s="14">
        <f>IF(L854="","",ROUND(L854*'สรุป'!$C$6,-1))</f>
        <v/>
      </c>
      <c r="O854" s="15" t="n"/>
      <c r="P854" s="15" t="n"/>
      <c r="Q854" s="10" t="n"/>
      <c r="R854" s="10" t="n"/>
      <c r="S854" s="16" t="inlineStr">
        <is>
          <t>https://mstgolf.co.th/products/gf3000201235</t>
        </is>
      </c>
      <c r="T854" s="1">
        <f>IF(B854="ไม้กอล์ฟ",J854,"")</f>
        <v/>
      </c>
    </row>
    <row r="855">
      <c r="A855" s="1" t="n">
        <v>2</v>
      </c>
      <c r="B855" s="1" t="inlineStr">
        <is>
          <t>ถุงกอล์ฟ</t>
        </is>
      </c>
      <c r="C855" s="1" t="inlineStr">
        <is>
          <t>gf3000201322</t>
        </is>
      </c>
      <c r="D855" s="1" t="inlineStr">
        <is>
          <t>TAYLORMADE FlexTech Crossover Stand Bag (Green)</t>
        </is>
      </c>
      <c r="E855" s="1" t="inlineStr">
        <is>
          <t>TAYLORMADE</t>
        </is>
      </c>
      <c r="F855" s="1" t="inlineStr">
        <is>
          <t>STAND BAG</t>
        </is>
      </c>
      <c r="G855" s="1" t="inlineStr">
        <is>
          <t>GF3000201322</t>
        </is>
      </c>
      <c r="H855" s="1" t="n">
        <v>1</v>
      </c>
      <c r="I855" s="1" t="inlineStr">
        <is>
          <t>มี</t>
        </is>
      </c>
      <c r="J855" s="13" t="n">
        <v>299</v>
      </c>
      <c r="K855" s="1" t="inlineStr"/>
      <c r="L855" s="13" t="n">
        <v>299</v>
      </c>
      <c r="M855" s="1">
        <f>IF(L855="","ไม่พบใน SG",IF(ABS(J855-L855)&lt;0.005,"ตรงกัน","ไม่ตรง"))</f>
        <v/>
      </c>
      <c r="N855" s="14">
        <f>IF(L855="","",ROUND(L855*'สรุป'!$C$6,-1))</f>
        <v/>
      </c>
      <c r="O855" s="15" t="n"/>
      <c r="P855" s="15" t="n"/>
      <c r="Q855" s="10" t="n"/>
      <c r="R855" s="10" t="n"/>
      <c r="S855" s="16" t="inlineStr">
        <is>
          <t>https://mstgolf.co.th/products/gf3000201322</t>
        </is>
      </c>
      <c r="T855" s="1">
        <f>IF(B855="ไม้กอล์ฟ",J855,"")</f>
        <v/>
      </c>
    </row>
    <row r="856">
      <c r="A856" s="1" t="n">
        <v>2</v>
      </c>
      <c r="B856" s="1" t="inlineStr">
        <is>
          <t>ถุงกอล์ฟ</t>
        </is>
      </c>
      <c r="C856" s="1" t="inlineStr">
        <is>
          <t>gf3000102563</t>
        </is>
      </c>
      <c r="D856" s="1" t="inlineStr">
        <is>
          <t>TITLEIST Cart 15 StaDry Cart Bag (Grey/Royal)</t>
        </is>
      </c>
      <c r="E856" s="1" t="inlineStr">
        <is>
          <t>TITLEIST</t>
        </is>
      </c>
      <c r="F856" s="1" t="inlineStr">
        <is>
          <t>CADDIE/CART BAG</t>
        </is>
      </c>
      <c r="G856" s="1" t="inlineStr">
        <is>
          <t>GF3000102563</t>
        </is>
      </c>
      <c r="H856" s="1" t="n">
        <v>1</v>
      </c>
      <c r="I856" s="1" t="inlineStr">
        <is>
          <t>มี</t>
        </is>
      </c>
      <c r="J856" s="13" t="n">
        <v>299</v>
      </c>
      <c r="K856" s="1" t="inlineStr"/>
      <c r="L856" s="13" t="n"/>
      <c r="M856" s="1">
        <f>IF(L856="","ไม่พบใน SG",IF(ABS(J856-L856)&lt;0.005,"ตรงกัน","ไม่ตรง"))</f>
        <v/>
      </c>
      <c r="N856" s="14">
        <f>IF(L856="","",ROUND(L856*'สรุป'!$C$6,-1))</f>
        <v/>
      </c>
      <c r="O856" s="15" t="n"/>
      <c r="P856" s="15" t="n"/>
      <c r="Q856" s="10" t="n"/>
      <c r="R856" s="10" t="n"/>
      <c r="S856" s="16" t="inlineStr">
        <is>
          <t>https://mstgolf.co.th/products/gf3000102563</t>
        </is>
      </c>
      <c r="T856" s="1">
        <f>IF(B856="ไม้กอล์ฟ",J856,"")</f>
        <v/>
      </c>
    </row>
    <row r="857">
      <c r="A857" s="1" t="n">
        <v>2</v>
      </c>
      <c r="B857" s="1" t="inlineStr">
        <is>
          <t>อุปกรณ์ฝึกซ้อม</t>
        </is>
      </c>
      <c r="C857" s="1" t="inlineStr">
        <is>
          <t>gf3040200083</t>
        </is>
      </c>
      <c r="D857" s="1" t="inlineStr">
        <is>
          <t>WELLPUTT Putting Mat Black - 400cm x 50cm</t>
        </is>
      </c>
      <c r="E857" s="1" t="inlineStr">
        <is>
          <t>WELLPUTT</t>
        </is>
      </c>
      <c r="F857" s="1" t="inlineStr">
        <is>
          <t>PUTT / CHIP</t>
        </is>
      </c>
      <c r="G857" s="1" t="inlineStr">
        <is>
          <t>GF3040200083</t>
        </is>
      </c>
      <c r="H857" s="1" t="n">
        <v>1</v>
      </c>
      <c r="I857" s="1" t="inlineStr">
        <is>
          <t>มี</t>
        </is>
      </c>
      <c r="J857" s="13" t="n">
        <v>299</v>
      </c>
      <c r="K857" s="1" t="inlineStr"/>
      <c r="L857" s="13" t="n">
        <v>299</v>
      </c>
      <c r="M857" s="1">
        <f>IF(L857="","ไม่พบใน SG",IF(ABS(J857-L857)&lt;0.005,"ตรงกัน","ไม่ตรง"))</f>
        <v/>
      </c>
      <c r="N857" s="14">
        <f>IF(L857="","",ROUND(L857*'สรุป'!$C$6,-1))</f>
        <v/>
      </c>
      <c r="O857" s="15" t="n"/>
      <c r="P857" s="15" t="n"/>
      <c r="Q857" s="10" t="n"/>
      <c r="R857" s="10" t="n"/>
      <c r="S857" s="16" t="inlineStr">
        <is>
          <t>https://mstgolf.co.th/products/gf3040200083</t>
        </is>
      </c>
      <c r="T857" s="1">
        <f>IF(B857="ไม้กอล์ฟ",J857,"")</f>
        <v/>
      </c>
    </row>
    <row r="858">
      <c r="A858" s="1" t="n">
        <v>2</v>
      </c>
      <c r="B858" s="1" t="inlineStr">
        <is>
          <t>อุปกรณ์ฝึกซ้อม</t>
        </is>
      </c>
      <c r="C858" s="1" t="inlineStr">
        <is>
          <t>gf3040200082</t>
        </is>
      </c>
      <c r="D858" s="1" t="inlineStr">
        <is>
          <t>WELLPUTT Putting Mat Green - 400cm x 50cm</t>
        </is>
      </c>
      <c r="E858" s="1" t="inlineStr">
        <is>
          <t>WELLPUTT</t>
        </is>
      </c>
      <c r="F858" s="1" t="inlineStr">
        <is>
          <t>PUTT / CHIP</t>
        </is>
      </c>
      <c r="G858" s="1" t="inlineStr">
        <is>
          <t>GF3040200082</t>
        </is>
      </c>
      <c r="H858" s="1" t="n">
        <v>1</v>
      </c>
      <c r="I858" s="1" t="inlineStr">
        <is>
          <t>มี</t>
        </is>
      </c>
      <c r="J858" s="13" t="n">
        <v>299</v>
      </c>
      <c r="K858" s="1" t="inlineStr"/>
      <c r="L858" s="13" t="n">
        <v>299</v>
      </c>
      <c r="M858" s="1">
        <f>IF(L858="","ไม่พบใน SG",IF(ABS(J858-L858)&lt;0.005,"ตรงกัน","ไม่ตรง"))</f>
        <v/>
      </c>
      <c r="N858" s="14">
        <f>IF(L858="","",ROUND(L858*'สรุป'!$C$6,-1))</f>
        <v/>
      </c>
      <c r="O858" s="15" t="n"/>
      <c r="P858" s="15" t="n"/>
      <c r="Q858" s="10" t="n"/>
      <c r="R858" s="10" t="n"/>
      <c r="S858" s="16" t="inlineStr">
        <is>
          <t>https://mstgolf.co.th/products/gf3040200082</t>
        </is>
      </c>
      <c r="T858" s="1">
        <f>IF(B858="ไม้กอล์ฟ",J858,"")</f>
        <v/>
      </c>
    </row>
    <row r="859">
      <c r="A859" s="1" t="n">
        <v>2</v>
      </c>
      <c r="B859" s="1" t="inlineStr">
        <is>
          <t>รองเท้า</t>
        </is>
      </c>
      <c r="C859" s="1" t="inlineStr">
        <is>
          <t>gf2500201090</t>
        </is>
      </c>
      <c r="D859" s="1" t="inlineStr">
        <is>
          <t>GFORE Camo Sole Gallivanter Men's Spikeless Shoes (Snow)</t>
        </is>
      </c>
      <c r="E859" s="1" t="inlineStr">
        <is>
          <t>GFORE</t>
        </is>
      </c>
      <c r="F859" s="1" t="inlineStr">
        <is>
          <t>SPIKELESS SHOES</t>
        </is>
      </c>
      <c r="G859" s="1" t="inlineStr">
        <is>
          <t>GF2500201090US6.5</t>
        </is>
      </c>
      <c r="H859" s="1" t="n">
        <v>12</v>
      </c>
      <c r="I859" s="1" t="inlineStr">
        <is>
          <t>มี</t>
        </is>
      </c>
      <c r="J859" s="13" t="n">
        <v>295</v>
      </c>
      <c r="K859" s="1" t="inlineStr"/>
      <c r="L859" s="13" t="n">
        <v>199</v>
      </c>
      <c r="M859" s="1">
        <f>IF(L859="","ไม่พบใน SG",IF(ABS(J859-L859)&lt;0.005,"ตรงกัน","ไม่ตรง"))</f>
        <v/>
      </c>
      <c r="N859" s="14">
        <f>IF(L859="","",ROUND(L859*'สรุป'!$C$6,-1))</f>
        <v/>
      </c>
      <c r="O859" s="15" t="n"/>
      <c r="P859" s="15" t="n"/>
      <c r="Q859" s="10" t="n"/>
      <c r="R859" s="10" t="n"/>
      <c r="S859" s="16" t="inlineStr">
        <is>
          <t>https://mstgolf.co.th/products/gf2500201090</t>
        </is>
      </c>
      <c r="T859" s="1">
        <f>IF(B859="ไม้กอล์ฟ",J859,"")</f>
        <v/>
      </c>
    </row>
    <row r="860">
      <c r="A860" s="1" t="n">
        <v>2</v>
      </c>
      <c r="B860" s="1" t="inlineStr">
        <is>
          <t>รองเท้า</t>
        </is>
      </c>
      <c r="C860" s="1" t="inlineStr">
        <is>
          <t>gf2500201516</t>
        </is>
      </c>
      <c r="D860" s="1" t="inlineStr">
        <is>
          <t>GFORE Gallivan2r Camo Welt Men's Spiked Shoes (Snow/Lava)</t>
        </is>
      </c>
      <c r="E860" s="1" t="inlineStr">
        <is>
          <t>GFORE</t>
        </is>
      </c>
      <c r="F860" s="1" t="inlineStr">
        <is>
          <t>SPIKELESS SHOES</t>
        </is>
      </c>
      <c r="G860" s="1" t="inlineStr">
        <is>
          <t>GF2500201516US7</t>
        </is>
      </c>
      <c r="H860" s="1" t="n">
        <v>10</v>
      </c>
      <c r="I860" s="1" t="inlineStr">
        <is>
          <t>มี</t>
        </is>
      </c>
      <c r="J860" s="13" t="n">
        <v>295</v>
      </c>
      <c r="K860" s="1" t="inlineStr"/>
      <c r="L860" s="13" t="n">
        <v>295</v>
      </c>
      <c r="M860" s="1">
        <f>IF(L860="","ไม่พบใน SG",IF(ABS(J860-L860)&lt;0.005,"ตรงกัน","ไม่ตรง"))</f>
        <v/>
      </c>
      <c r="N860" s="14">
        <f>IF(L860="","",ROUND(L860*'สรุป'!$C$6,-1))</f>
        <v/>
      </c>
      <c r="O860" s="15" t="n"/>
      <c r="P860" s="15" t="n"/>
      <c r="Q860" s="10" t="n"/>
      <c r="R860" s="10" t="n"/>
      <c r="S860" s="16" t="inlineStr">
        <is>
          <t>https://mstgolf.co.th/products/gf2500201516</t>
        </is>
      </c>
      <c r="T860" s="1">
        <f>IF(B860="ไม้กอล์ฟ",J860,"")</f>
        <v/>
      </c>
    </row>
    <row r="861">
      <c r="A861" s="1" t="n">
        <v>2</v>
      </c>
      <c r="B861" s="1" t="inlineStr">
        <is>
          <t>รองเท้า</t>
        </is>
      </c>
      <c r="C861" s="1" t="inlineStr">
        <is>
          <t>gf2500201520</t>
        </is>
      </c>
      <c r="D861" s="1" t="inlineStr">
        <is>
          <t>GFORE MG4X2 Women's Cross Trainer (Snow/Blush)</t>
        </is>
      </c>
      <c r="E861" s="1" t="inlineStr">
        <is>
          <t>GFORE</t>
        </is>
      </c>
      <c r="F861" s="1" t="inlineStr">
        <is>
          <t>SPIKELESS SHOES</t>
        </is>
      </c>
      <c r="G861" s="1" t="inlineStr">
        <is>
          <t>GF2500201520US5.5</t>
        </is>
      </c>
      <c r="H861" s="1" t="n">
        <v>9</v>
      </c>
      <c r="I861" s="1" t="inlineStr">
        <is>
          <t>มี</t>
        </is>
      </c>
      <c r="J861" s="13" t="n">
        <v>295</v>
      </c>
      <c r="K861" s="1" t="inlineStr"/>
      <c r="L861" s="13" t="n">
        <v>295</v>
      </c>
      <c r="M861" s="1">
        <f>IF(L861="","ไม่พบใน SG",IF(ABS(J861-L861)&lt;0.005,"ตรงกัน","ไม่ตรง"))</f>
        <v/>
      </c>
      <c r="N861" s="14">
        <f>IF(L861="","",ROUND(L861*'สรุป'!$C$6,-1))</f>
        <v/>
      </c>
      <c r="O861" s="15" t="n"/>
      <c r="P861" s="15" t="n"/>
      <c r="Q861" s="10" t="n"/>
      <c r="R861" s="10" t="n"/>
      <c r="S861" s="16" t="inlineStr">
        <is>
          <t>https://mstgolf.co.th/products/gf2500201520</t>
        </is>
      </c>
      <c r="T861" s="1">
        <f>IF(B861="ไม้กอล์ฟ",J861,"")</f>
        <v/>
      </c>
    </row>
    <row r="862">
      <c r="A862" s="1" t="n">
        <v>2</v>
      </c>
      <c r="B862" s="1" t="inlineStr">
        <is>
          <t>รองเท้า</t>
        </is>
      </c>
      <c r="C862" s="1" t="inlineStr">
        <is>
          <t>gf2500201380</t>
        </is>
      </c>
      <c r="D862" s="1" t="inlineStr">
        <is>
          <t>ADIDAS Codechaos 25 Midcut BOA Men's Spikeless Shoes (Black/Violet)</t>
        </is>
      </c>
      <c r="E862" s="1" t="inlineStr">
        <is>
          <t>ADIDAS</t>
        </is>
      </c>
      <c r="F862" s="1" t="inlineStr">
        <is>
          <t>SPIKELESS SHOES</t>
        </is>
      </c>
      <c r="G862" s="1" t="inlineStr">
        <is>
          <t>GF2500201380UK4</t>
        </is>
      </c>
      <c r="H862" s="1" t="n">
        <v>17</v>
      </c>
      <c r="I862" s="1" t="inlineStr">
        <is>
          <t>มี</t>
        </is>
      </c>
      <c r="J862" s="13" t="n">
        <v>289</v>
      </c>
      <c r="K862" s="1" t="inlineStr"/>
      <c r="L862" s="13" t="n">
        <v>199</v>
      </c>
      <c r="M862" s="1">
        <f>IF(L862="","ไม่พบใน SG",IF(ABS(J862-L862)&lt;0.005,"ตรงกัน","ไม่ตรง"))</f>
        <v/>
      </c>
      <c r="N862" s="14">
        <f>IF(L862="","",ROUND(L862*'สรุป'!$C$6,-1))</f>
        <v/>
      </c>
      <c r="O862" s="15" t="n"/>
      <c r="P862" s="15" t="n"/>
      <c r="Q862" s="10" t="n"/>
      <c r="R862" s="10" t="n"/>
      <c r="S862" s="16" t="inlineStr">
        <is>
          <t>https://mstgolf.co.th/products/gf2500201380</t>
        </is>
      </c>
      <c r="T862" s="1">
        <f>IF(B862="ไม้กอล์ฟ",J862,"")</f>
        <v/>
      </c>
    </row>
    <row r="863">
      <c r="A863" s="1" t="n">
        <v>2</v>
      </c>
      <c r="B863" s="1" t="inlineStr">
        <is>
          <t>รองเท้า</t>
        </is>
      </c>
      <c r="C863" s="1" t="inlineStr">
        <is>
          <t>gf2500201381</t>
        </is>
      </c>
      <c r="D863" s="1" t="inlineStr">
        <is>
          <t>ADIDAS Codechaos 25 Midcut BOA Men's Spikeless Shoes (White/Black/Teal)</t>
        </is>
      </c>
      <c r="E863" s="1" t="inlineStr">
        <is>
          <t>ADIDAS</t>
        </is>
      </c>
      <c r="F863" s="1" t="inlineStr">
        <is>
          <t>SPIKELESS SHOES</t>
        </is>
      </c>
      <c r="G863" s="1" t="inlineStr">
        <is>
          <t>GF2500201381UK3.5</t>
        </is>
      </c>
      <c r="H863" s="1" t="n">
        <v>18</v>
      </c>
      <c r="I863" s="1" t="inlineStr">
        <is>
          <t>มี</t>
        </is>
      </c>
      <c r="J863" s="13" t="n">
        <v>289</v>
      </c>
      <c r="K863" s="1" t="inlineStr"/>
      <c r="L863" s="13" t="n">
        <v>199</v>
      </c>
      <c r="M863" s="1">
        <f>IF(L863="","ไม่พบใน SG",IF(ABS(J863-L863)&lt;0.005,"ตรงกัน","ไม่ตรง"))</f>
        <v/>
      </c>
      <c r="N863" s="14">
        <f>IF(L863="","",ROUND(L863*'สรุป'!$C$6,-1))</f>
        <v/>
      </c>
      <c r="O863" s="15" t="n"/>
      <c r="P863" s="15" t="n"/>
      <c r="Q863" s="10" t="n"/>
      <c r="R863" s="10" t="n"/>
      <c r="S863" s="16" t="inlineStr">
        <is>
          <t>https://mstgolf.co.th/products/gf2500201381</t>
        </is>
      </c>
      <c r="T863" s="1">
        <f>IF(B863="ไม้กอล์ฟ",J863,"")</f>
        <v/>
      </c>
    </row>
    <row r="864">
      <c r="A864" s="1" t="n">
        <v>2</v>
      </c>
      <c r="B864" s="1" t="inlineStr">
        <is>
          <t>ถุงกอล์ฟ</t>
        </is>
      </c>
      <c r="C864" s="1" t="inlineStr">
        <is>
          <t>gf3000102727</t>
        </is>
      </c>
      <c r="D864" s="1" t="inlineStr">
        <is>
          <t>TITLEIST Cart 14 StaDry Cart Bag (Black/Black/Red)</t>
        </is>
      </c>
      <c r="E864" s="1" t="inlineStr">
        <is>
          <t>TITLEIST</t>
        </is>
      </c>
      <c r="F864" s="1" t="inlineStr">
        <is>
          <t>CADDIE/CART BAG</t>
        </is>
      </c>
      <c r="G864" s="1" t="inlineStr">
        <is>
          <t>GF3000102727</t>
        </is>
      </c>
      <c r="H864" s="1" t="n">
        <v>1</v>
      </c>
      <c r="I864" s="1" t="inlineStr">
        <is>
          <t>มี</t>
        </is>
      </c>
      <c r="J864" s="13" t="n">
        <v>289</v>
      </c>
      <c r="K864" s="1" t="inlineStr"/>
      <c r="L864" s="13" t="n">
        <v>289</v>
      </c>
      <c r="M864" s="1">
        <f>IF(L864="","ไม่พบใน SG",IF(ABS(J864-L864)&lt;0.005,"ตรงกัน","ไม่ตรง"))</f>
        <v/>
      </c>
      <c r="N864" s="14">
        <f>IF(L864="","",ROUND(L864*'สรุป'!$C$6,-1))</f>
        <v/>
      </c>
      <c r="O864" s="15" t="n"/>
      <c r="P864" s="15" t="n"/>
      <c r="Q864" s="10" t="n"/>
      <c r="R864" s="10" t="n"/>
      <c r="S864" s="16" t="inlineStr">
        <is>
          <t>https://mstgolf.co.th/products/gf3000102727</t>
        </is>
      </c>
      <c r="T864" s="1">
        <f>IF(B864="ไม้กอล์ฟ",J864,"")</f>
        <v/>
      </c>
    </row>
    <row r="865">
      <c r="A865" s="1" t="n">
        <v>2</v>
      </c>
      <c r="B865" s="1" t="inlineStr">
        <is>
          <t>รองเท้า</t>
        </is>
      </c>
      <c r="C865" s="1" t="inlineStr">
        <is>
          <t>gf2500201388</t>
        </is>
      </c>
      <c r="D865" s="1" t="inlineStr">
        <is>
          <t>ADIDAS BOA 25 Women's Spikeless Shoes (White/Silver/Mint)</t>
        </is>
      </c>
      <c r="E865" s="1" t="inlineStr">
        <is>
          <t>ADIDAS</t>
        </is>
      </c>
      <c r="F865" s="1" t="inlineStr">
        <is>
          <t>SPIKELESS SHOES</t>
        </is>
      </c>
      <c r="G865" s="1" t="inlineStr">
        <is>
          <t>GF2500201388UK3.5</t>
        </is>
      </c>
      <c r="H865" s="1" t="n">
        <v>11</v>
      </c>
      <c r="I865" s="1" t="inlineStr">
        <is>
          <t>มี</t>
        </is>
      </c>
      <c r="J865" s="13" t="n">
        <v>279</v>
      </c>
      <c r="K865" s="1" t="inlineStr"/>
      <c r="L865" s="13" t="n">
        <v>195</v>
      </c>
      <c r="M865" s="1">
        <f>IF(L865="","ไม่พบใน SG",IF(ABS(J865-L865)&lt;0.005,"ตรงกัน","ไม่ตรง"))</f>
        <v/>
      </c>
      <c r="N865" s="14">
        <f>IF(L865="","",ROUND(L865*'สรุป'!$C$6,-1))</f>
        <v/>
      </c>
      <c r="O865" s="15" t="n"/>
      <c r="P865" s="15" t="n"/>
      <c r="Q865" s="10" t="n"/>
      <c r="R865" s="10" t="n"/>
      <c r="S865" s="16" t="inlineStr">
        <is>
          <t>https://mstgolf.co.th/products/gf2500201388</t>
        </is>
      </c>
      <c r="T865" s="1">
        <f>IF(B865="ไม้กอล์ฟ",J865,"")</f>
        <v/>
      </c>
    </row>
    <row r="866">
      <c r="A866" s="1" t="n">
        <v>2</v>
      </c>
      <c r="B866" s="1" t="inlineStr">
        <is>
          <t>รองเท้า</t>
        </is>
      </c>
      <c r="C866" s="1" t="inlineStr">
        <is>
          <t>gf2500201452</t>
        </is>
      </c>
      <c r="D866" s="1" t="inlineStr">
        <is>
          <t>ADIDAS CodeChaos BOA 25 Men's Spikeless Shoes (White/Silver/Red)</t>
        </is>
      </c>
      <c r="E866" s="1" t="inlineStr">
        <is>
          <t>ADIDAS</t>
        </is>
      </c>
      <c r="F866" s="1" t="inlineStr">
        <is>
          <t>SPIKELESS SHOES</t>
        </is>
      </c>
      <c r="G866" s="1" t="inlineStr">
        <is>
          <t>GF2500201452UK6.5</t>
        </is>
      </c>
      <c r="H866" s="1" t="n">
        <v>11</v>
      </c>
      <c r="I866" s="1" t="inlineStr">
        <is>
          <t>มี</t>
        </is>
      </c>
      <c r="J866" s="13" t="n">
        <v>279</v>
      </c>
      <c r="K866" s="1" t="inlineStr"/>
      <c r="L866" s="13" t="n">
        <v>199</v>
      </c>
      <c r="M866" s="1">
        <f>IF(L866="","ไม่พบใน SG",IF(ABS(J866-L866)&lt;0.005,"ตรงกัน","ไม่ตรง"))</f>
        <v/>
      </c>
      <c r="N866" s="14">
        <f>IF(L866="","",ROUND(L866*'สรุป'!$C$6,-1))</f>
        <v/>
      </c>
      <c r="O866" s="15" t="n"/>
      <c r="P866" s="15" t="n"/>
      <c r="Q866" s="10" t="n"/>
      <c r="R866" s="10" t="n"/>
      <c r="S866" s="16" t="inlineStr">
        <is>
          <t>https://mstgolf.co.th/products/gf2500201452</t>
        </is>
      </c>
      <c r="T866" s="1">
        <f>IF(B866="ไม้กอล์ฟ",J866,"")</f>
        <v/>
      </c>
    </row>
    <row r="867">
      <c r="A867" s="1" t="n">
        <v>2</v>
      </c>
      <c r="B867" s="1" t="inlineStr">
        <is>
          <t>รองเท้า</t>
        </is>
      </c>
      <c r="C867" s="1" t="inlineStr">
        <is>
          <t>gf2500201455</t>
        </is>
      </c>
      <c r="D867" s="1" t="inlineStr">
        <is>
          <t>ADIDAS CodeChaos BOA 25 Women's Spikeless Shoes (White/Blue/Silver)</t>
        </is>
      </c>
      <c r="E867" s="1" t="inlineStr">
        <is>
          <t>ADIDAS</t>
        </is>
      </c>
      <c r="F867" s="1" t="inlineStr">
        <is>
          <t>SPIKELESS SHOES</t>
        </is>
      </c>
      <c r="G867" s="1" t="inlineStr">
        <is>
          <t>GF2500201455UK4</t>
        </is>
      </c>
      <c r="H867" s="1" t="n">
        <v>9</v>
      </c>
      <c r="I867" s="1" t="inlineStr">
        <is>
          <t>มี</t>
        </is>
      </c>
      <c r="J867" s="13" t="n">
        <v>279</v>
      </c>
      <c r="K867" s="1" t="inlineStr"/>
      <c r="L867" s="13" t="n">
        <v>199</v>
      </c>
      <c r="M867" s="1">
        <f>IF(L867="","ไม่พบใน SG",IF(ABS(J867-L867)&lt;0.005,"ตรงกัน","ไม่ตรง"))</f>
        <v/>
      </c>
      <c r="N867" s="14">
        <f>IF(L867="","",ROUND(L867*'สรุป'!$C$6,-1))</f>
        <v/>
      </c>
      <c r="O867" s="15" t="n"/>
      <c r="P867" s="15" t="n"/>
      <c r="Q867" s="10" t="n"/>
      <c r="R867" s="10" t="n"/>
      <c r="S867" s="16" t="inlineStr">
        <is>
          <t>https://mstgolf.co.th/products/gf2500201455</t>
        </is>
      </c>
      <c r="T867" s="1">
        <f>IF(B867="ไม้กอล์ฟ",J867,"")</f>
        <v/>
      </c>
    </row>
    <row r="868">
      <c r="A868" s="1" t="n">
        <v>2</v>
      </c>
      <c r="B868" s="1" t="inlineStr">
        <is>
          <t>รองเท้า</t>
        </is>
      </c>
      <c r="C868" s="1" t="inlineStr">
        <is>
          <t>gf2500201392</t>
        </is>
      </c>
      <c r="D868" s="1" t="inlineStr">
        <is>
          <t>ADIDAS MC Zoysia Men's Spikeless Shoes (White/Indigo/Alumina)</t>
        </is>
      </c>
      <c r="E868" s="1" t="inlineStr">
        <is>
          <t>ADIDAS</t>
        </is>
      </c>
      <c r="F868" s="1" t="inlineStr">
        <is>
          <t>SPIKELESS SHOES</t>
        </is>
      </c>
      <c r="G868" s="1" t="inlineStr">
        <is>
          <t>GF2500201392UK5</t>
        </is>
      </c>
      <c r="H868" s="1" t="n">
        <v>6</v>
      </c>
      <c r="I868" s="1" t="inlineStr">
        <is>
          <t>มี</t>
        </is>
      </c>
      <c r="J868" s="13" t="n">
        <v>279</v>
      </c>
      <c r="K868" s="1" t="inlineStr"/>
      <c r="L868" s="13" t="n"/>
      <c r="M868" s="1">
        <f>IF(L868="","ไม่พบใน SG",IF(ABS(J868-L868)&lt;0.005,"ตรงกัน","ไม่ตรง"))</f>
        <v/>
      </c>
      <c r="N868" s="14">
        <f>IF(L868="","",ROUND(L868*'สรุป'!$C$6,-1))</f>
        <v/>
      </c>
      <c r="O868" s="15" t="n"/>
      <c r="P868" s="15" t="n"/>
      <c r="Q868" s="10" t="n"/>
      <c r="R868" s="10" t="n"/>
      <c r="S868" s="16" t="inlineStr">
        <is>
          <t>https://mstgolf.co.th/products/gf2500201392</t>
        </is>
      </c>
      <c r="T868" s="1">
        <f>IF(B868="ไม้กอล์ฟ",J868,"")</f>
        <v/>
      </c>
    </row>
    <row r="869">
      <c r="A869" s="1" t="n">
        <v>2</v>
      </c>
      <c r="B869" s="1" t="inlineStr">
        <is>
          <t>รองเท้า</t>
        </is>
      </c>
      <c r="C869" s="1" t="inlineStr">
        <is>
          <t>gf2500201400</t>
        </is>
      </c>
      <c r="D869" s="1" t="inlineStr">
        <is>
          <t>NIKE Infinity Tour 2 Men's Spikeless Shoes (White/Gold)</t>
        </is>
      </c>
      <c r="E869" s="1" t="inlineStr">
        <is>
          <t>NIKE</t>
        </is>
      </c>
      <c r="F869" s="1" t="inlineStr">
        <is>
          <t>SPIKELESS SHOES</t>
        </is>
      </c>
      <c r="G869" s="1" t="inlineStr">
        <is>
          <t>GF2500201400US6</t>
        </is>
      </c>
      <c r="H869" s="1" t="n">
        <v>15</v>
      </c>
      <c r="I869" s="1" t="inlineStr">
        <is>
          <t>มี</t>
        </is>
      </c>
      <c r="J869" s="13" t="n">
        <v>279</v>
      </c>
      <c r="K869" s="1" t="inlineStr"/>
      <c r="L869" s="13" t="n">
        <v>199</v>
      </c>
      <c r="M869" s="1">
        <f>IF(L869="","ไม่พบใน SG",IF(ABS(J869-L869)&lt;0.005,"ตรงกัน","ไม่ตรง"))</f>
        <v/>
      </c>
      <c r="N869" s="14">
        <f>IF(L869="","",ROUND(L869*'สรุป'!$C$6,-1))</f>
        <v/>
      </c>
      <c r="O869" s="15" t="n"/>
      <c r="P869" s="15" t="n"/>
      <c r="Q869" s="10" t="n"/>
      <c r="R869" s="10" t="n"/>
      <c r="S869" s="16" t="inlineStr">
        <is>
          <t>https://mstgolf.co.th/products/gf2500201400</t>
        </is>
      </c>
      <c r="T869" s="1">
        <f>IF(B869="ไม้กอล์ฟ",J869,"")</f>
        <v/>
      </c>
    </row>
    <row r="870">
      <c r="A870" s="1" t="n">
        <v>2</v>
      </c>
      <c r="B870" s="1" t="inlineStr">
        <is>
          <t>รองเท้า</t>
        </is>
      </c>
      <c r="C870" s="1" t="inlineStr">
        <is>
          <t>gf2500201402</t>
        </is>
      </c>
      <c r="D870" s="1" t="inlineStr">
        <is>
          <t>NIKE Air Max Plus G Unisex Spikeless Shoes (Multi Colour)</t>
        </is>
      </c>
      <c r="E870" s="1" t="inlineStr">
        <is>
          <t>NIKE</t>
        </is>
      </c>
      <c r="F870" s="1" t="inlineStr">
        <is>
          <t>SPIKELESS SHOES</t>
        </is>
      </c>
      <c r="G870" s="1" t="inlineStr">
        <is>
          <t>GF2500201402US6</t>
        </is>
      </c>
      <c r="H870" s="1" t="n">
        <v>15</v>
      </c>
      <c r="I870" s="1" t="inlineStr">
        <is>
          <t>มี</t>
        </is>
      </c>
      <c r="J870" s="13" t="n">
        <v>275</v>
      </c>
      <c r="K870" s="1" t="inlineStr"/>
      <c r="L870" s="13" t="n">
        <v>199</v>
      </c>
      <c r="M870" s="1">
        <f>IF(L870="","ไม่พบใน SG",IF(ABS(J870-L870)&lt;0.005,"ตรงกัน","ไม่ตรง"))</f>
        <v/>
      </c>
      <c r="N870" s="14">
        <f>IF(L870="","",ROUND(L870*'สรุป'!$C$6,-1))</f>
        <v/>
      </c>
      <c r="O870" s="15" t="n"/>
      <c r="P870" s="15" t="n"/>
      <c r="Q870" s="10" t="n"/>
      <c r="R870" s="10" t="n"/>
      <c r="S870" s="16" t="inlineStr">
        <is>
          <t>https://mstgolf.co.th/products/gf2500201402</t>
        </is>
      </c>
      <c r="T870" s="1">
        <f>IF(B870="ไม้กอล์ฟ",J870,"")</f>
        <v/>
      </c>
    </row>
    <row r="871">
      <c r="A871" s="1" t="n">
        <v>2</v>
      </c>
      <c r="B871" s="1" t="inlineStr">
        <is>
          <t>ถุงกอล์ฟ</t>
        </is>
      </c>
      <c r="C871" s="1" t="inlineStr">
        <is>
          <t>gf3000103069</t>
        </is>
      </c>
      <c r="D871" s="1" t="inlineStr">
        <is>
          <t>ONOFF OB5424 9" Cart Bag (Khaki)</t>
        </is>
      </c>
      <c r="E871" s="1" t="inlineStr">
        <is>
          <t>ONOFF</t>
        </is>
      </c>
      <c r="F871" s="1" t="inlineStr">
        <is>
          <t>CADDIE/CART BAG</t>
        </is>
      </c>
      <c r="G871" s="1" t="inlineStr">
        <is>
          <t>GF3000103069</t>
        </is>
      </c>
      <c r="H871" s="1" t="n">
        <v>1</v>
      </c>
      <c r="I871" s="1" t="inlineStr">
        <is>
          <t>มี</t>
        </is>
      </c>
      <c r="J871" s="13" t="n">
        <v>275</v>
      </c>
      <c r="K871" s="1" t="inlineStr"/>
      <c r="L871" s="13" t="n">
        <v>275</v>
      </c>
      <c r="M871" s="1">
        <f>IF(L871="","ไม่พบใน SG",IF(ABS(J871-L871)&lt;0.005,"ตรงกัน","ไม่ตรง"))</f>
        <v/>
      </c>
      <c r="N871" s="14">
        <f>IF(L871="","",ROUND(L871*'สรุป'!$C$6,-1))</f>
        <v/>
      </c>
      <c r="O871" s="15" t="n"/>
      <c r="P871" s="15" t="n"/>
      <c r="Q871" s="10" t="n"/>
      <c r="R871" s="10" t="n"/>
      <c r="S871" s="16" t="inlineStr">
        <is>
          <t>https://mstgolf.co.th/products/gf3000103069</t>
        </is>
      </c>
      <c r="T871" s="1">
        <f>IF(B871="ไม้กอล์ฟ",J871,"")</f>
        <v/>
      </c>
    </row>
    <row r="872">
      <c r="A872" s="1" t="n">
        <v>2</v>
      </c>
      <c r="B872" s="1" t="inlineStr">
        <is>
          <t>ถุงกอล์ฟ</t>
        </is>
      </c>
      <c r="C872" s="1" t="inlineStr">
        <is>
          <t>gf3000102847</t>
        </is>
      </c>
      <c r="D872" s="1" t="inlineStr">
        <is>
          <t>TAYLORMADE 9.5" Auth-Tech Cart Bag (Beige/Black)</t>
        </is>
      </c>
      <c r="E872" s="1" t="inlineStr">
        <is>
          <t>TAYLORMADE</t>
        </is>
      </c>
      <c r="F872" s="1" t="inlineStr">
        <is>
          <t>CADDIE/CART BAG</t>
        </is>
      </c>
      <c r="G872" s="1" t="inlineStr">
        <is>
          <t>GF3000102847</t>
        </is>
      </c>
      <c r="H872" s="1" t="n">
        <v>1</v>
      </c>
      <c r="I872" s="1" t="inlineStr">
        <is>
          <t>มี</t>
        </is>
      </c>
      <c r="J872" s="13" t="n">
        <v>275</v>
      </c>
      <c r="K872" s="1" t="inlineStr"/>
      <c r="L872" s="13" t="n">
        <v>275</v>
      </c>
      <c r="M872" s="1">
        <f>IF(L872="","ไม่พบใน SG",IF(ABS(J872-L872)&lt;0.005,"ตรงกัน","ไม่ตรง"))</f>
        <v/>
      </c>
      <c r="N872" s="14">
        <f>IF(L872="","",ROUND(L872*'สรุป'!$C$6,-1))</f>
        <v/>
      </c>
      <c r="O872" s="15" t="n"/>
      <c r="P872" s="15" t="n"/>
      <c r="Q872" s="10" t="n"/>
      <c r="R872" s="10" t="n"/>
      <c r="S872" s="16" t="inlineStr">
        <is>
          <t>https://mstgolf.co.th/products/gf3000102847</t>
        </is>
      </c>
      <c r="T872" s="1">
        <f>IF(B872="ไม้กอล์ฟ",J872,"")</f>
        <v/>
      </c>
    </row>
    <row r="873">
      <c r="A873" s="1" t="n">
        <v>2</v>
      </c>
      <c r="B873" s="1" t="inlineStr">
        <is>
          <t>ถุงกอล์ฟ</t>
        </is>
      </c>
      <c r="C873" s="1" t="inlineStr">
        <is>
          <t>gf3000102848</t>
        </is>
      </c>
      <c r="D873" s="1" t="inlineStr">
        <is>
          <t>TAYLORMADE 9.5" Auth-Tech Cart Bag (Silver/Navy)</t>
        </is>
      </c>
      <c r="E873" s="1" t="inlineStr">
        <is>
          <t>TAYLORMADE</t>
        </is>
      </c>
      <c r="F873" s="1" t="inlineStr">
        <is>
          <t>CADDIE/CART BAG</t>
        </is>
      </c>
      <c r="G873" s="1" t="inlineStr">
        <is>
          <t>GF3000102848</t>
        </is>
      </c>
      <c r="H873" s="1" t="n">
        <v>1</v>
      </c>
      <c r="I873" s="1" t="inlineStr">
        <is>
          <t>มี</t>
        </is>
      </c>
      <c r="J873" s="13" t="n">
        <v>275</v>
      </c>
      <c r="K873" s="1" t="inlineStr"/>
      <c r="L873" s="13" t="n">
        <v>275</v>
      </c>
      <c r="M873" s="1">
        <f>IF(L873="","ไม่พบใน SG",IF(ABS(J873-L873)&lt;0.005,"ตรงกัน","ไม่ตรง"))</f>
        <v/>
      </c>
      <c r="N873" s="14">
        <f>IF(L873="","",ROUND(L873*'สรุป'!$C$6,-1))</f>
        <v/>
      </c>
      <c r="O873" s="15" t="n"/>
      <c r="P873" s="15" t="n"/>
      <c r="Q873" s="10" t="n"/>
      <c r="R873" s="10" t="n"/>
      <c r="S873" s="16" t="inlineStr">
        <is>
          <t>https://mstgolf.co.th/products/gf3000102848</t>
        </is>
      </c>
      <c r="T873" s="1">
        <f>IF(B873="ไม้กอล์ฟ",J873,"")</f>
        <v/>
      </c>
    </row>
    <row r="874">
      <c r="A874" s="1" t="n">
        <v>2</v>
      </c>
      <c r="B874" s="1" t="inlineStr">
        <is>
          <t>ถุงกอล์ฟ</t>
        </is>
      </c>
      <c r="C874" s="1" t="inlineStr">
        <is>
          <t>gf3000201263</t>
        </is>
      </c>
      <c r="D874" s="1" t="inlineStr">
        <is>
          <t>TITLEIST Players 4 Limited Edition Stand Bag (Black Camo)</t>
        </is>
      </c>
      <c r="E874" s="1" t="inlineStr">
        <is>
          <t>TITLEIST</t>
        </is>
      </c>
      <c r="F874" s="1" t="inlineStr">
        <is>
          <t>STAND BAG</t>
        </is>
      </c>
      <c r="G874" s="1" t="inlineStr">
        <is>
          <t>GF3000201263</t>
        </is>
      </c>
      <c r="H874" s="1" t="n">
        <v>1</v>
      </c>
      <c r="I874" s="1" t="inlineStr">
        <is>
          <t>มี</t>
        </is>
      </c>
      <c r="J874" s="13" t="n">
        <v>275</v>
      </c>
      <c r="K874" s="1" t="inlineStr"/>
      <c r="L874" s="13" t="n">
        <v>275</v>
      </c>
      <c r="M874" s="1">
        <f>IF(L874="","ไม่พบใน SG",IF(ABS(J874-L874)&lt;0.005,"ตรงกัน","ไม่ตรง"))</f>
        <v/>
      </c>
      <c r="N874" s="14">
        <f>IF(L874="","",ROUND(L874*'สรุป'!$C$6,-1))</f>
        <v/>
      </c>
      <c r="O874" s="15" t="n"/>
      <c r="P874" s="15" t="n"/>
      <c r="Q874" s="10" t="n"/>
      <c r="R874" s="10" t="n"/>
      <c r="S874" s="16" t="inlineStr">
        <is>
          <t>https://mstgolf.co.th/products/gf3000201263</t>
        </is>
      </c>
      <c r="T874" s="1">
        <f>IF(B874="ไม้กอล์ฟ",J874,"")</f>
        <v/>
      </c>
    </row>
    <row r="875">
      <c r="A875" s="1" t="n">
        <v>2</v>
      </c>
      <c r="B875" s="1" t="inlineStr">
        <is>
          <t>รองเท้า</t>
        </is>
      </c>
      <c r="C875" s="1" t="inlineStr">
        <is>
          <t>gf2500102747</t>
        </is>
      </c>
      <c r="D875" s="1" t="inlineStr">
        <is>
          <t>FOOTJOY Premiere Series Packard LX Men's Spiked Shoes (White/Khaki)</t>
        </is>
      </c>
      <c r="E875" s="1" t="inlineStr">
        <is>
          <t>FOOTJOY</t>
        </is>
      </c>
      <c r="F875" s="1" t="inlineStr">
        <is>
          <t>SPIKE SHOES</t>
        </is>
      </c>
      <c r="G875" s="1" t="inlineStr">
        <is>
          <t>GF2500102747US6.5</t>
        </is>
      </c>
      <c r="H875" s="1" t="n">
        <v>10</v>
      </c>
      <c r="I875" s="1" t="inlineStr">
        <is>
          <t>มี</t>
        </is>
      </c>
      <c r="J875" s="13" t="n">
        <v>269</v>
      </c>
      <c r="K875" s="1" t="inlineStr"/>
      <c r="L875" s="13" t="n">
        <v>269</v>
      </c>
      <c r="M875" s="1">
        <f>IF(L875="","ไม่พบใน SG",IF(ABS(J875-L875)&lt;0.005,"ตรงกัน","ไม่ตรง"))</f>
        <v/>
      </c>
      <c r="N875" s="14">
        <f>IF(L875="","",ROUND(L875*'สรุป'!$C$6,-1))</f>
        <v/>
      </c>
      <c r="O875" s="15" t="n"/>
      <c r="P875" s="15" t="n"/>
      <c r="Q875" s="10" t="n"/>
      <c r="R875" s="10" t="n"/>
      <c r="S875" s="16" t="inlineStr">
        <is>
          <t>https://mstgolf.co.th/products/gf2500102747</t>
        </is>
      </c>
      <c r="T875" s="1">
        <f>IF(B875="ไม้กอล์ฟ",J875,"")</f>
        <v/>
      </c>
    </row>
    <row r="876">
      <c r="A876" s="1" t="n">
        <v>2</v>
      </c>
      <c r="B876" s="1" t="inlineStr">
        <is>
          <t>รองเท้า</t>
        </is>
      </c>
      <c r="C876" s="1" t="inlineStr">
        <is>
          <t>gf2500102746</t>
        </is>
      </c>
      <c r="D876" s="1" t="inlineStr">
        <is>
          <t>FOOTJOY Premiere Series Packard LX Men's Spiked Shoes (White/Navy/Tan)</t>
        </is>
      </c>
      <c r="E876" s="1" t="inlineStr">
        <is>
          <t>FOOTJOY</t>
        </is>
      </c>
      <c r="F876" s="1" t="inlineStr">
        <is>
          <t>SPIKE SHOES</t>
        </is>
      </c>
      <c r="G876" s="1" t="inlineStr">
        <is>
          <t>GF2500102746US6.5</t>
        </is>
      </c>
      <c r="H876" s="1" t="n">
        <v>10</v>
      </c>
      <c r="I876" s="1" t="inlineStr">
        <is>
          <t>มี</t>
        </is>
      </c>
      <c r="J876" s="13" t="n">
        <v>269</v>
      </c>
      <c r="K876" s="1" t="inlineStr"/>
      <c r="L876" s="13" t="n">
        <v>219</v>
      </c>
      <c r="M876" s="1">
        <f>IF(L876="","ไม่พบใน SG",IF(ABS(J876-L876)&lt;0.005,"ตรงกัน","ไม่ตรง"))</f>
        <v/>
      </c>
      <c r="N876" s="14">
        <f>IF(L876="","",ROUND(L876*'สรุป'!$C$6,-1))</f>
        <v/>
      </c>
      <c r="O876" s="15" t="n"/>
      <c r="P876" s="15" t="n"/>
      <c r="Q876" s="10" t="n"/>
      <c r="R876" s="10" t="n"/>
      <c r="S876" s="16" t="inlineStr">
        <is>
          <t>https://mstgolf.co.th/products/gf2500102746</t>
        </is>
      </c>
      <c r="T876" s="1">
        <f>IF(B876="ไม้กอล์ฟ",J876,"")</f>
        <v/>
      </c>
    </row>
    <row r="877">
      <c r="A877" s="1" t="n">
        <v>2</v>
      </c>
      <c r="B877" s="1" t="inlineStr">
        <is>
          <t>รองเท้า</t>
        </is>
      </c>
      <c r="C877" s="1" t="inlineStr">
        <is>
          <t>gf2500201075</t>
        </is>
      </c>
      <c r="D877" s="1" t="inlineStr">
        <is>
          <t>GFORE MG4+ Mid Top Men's Spikeless Shoes (Snow/Onyx)</t>
        </is>
      </c>
      <c r="E877" s="1" t="inlineStr">
        <is>
          <t>GFORE</t>
        </is>
      </c>
      <c r="F877" s="1" t="inlineStr">
        <is>
          <t>SPIKELESS SHOES</t>
        </is>
      </c>
      <c r="G877" s="1" t="inlineStr">
        <is>
          <t>GF2500201075US7</t>
        </is>
      </c>
      <c r="H877" s="1" t="n">
        <v>10</v>
      </c>
      <c r="I877" s="1" t="inlineStr">
        <is>
          <t>มี</t>
        </is>
      </c>
      <c r="J877" s="13" t="n">
        <v>269</v>
      </c>
      <c r="K877" s="1" t="inlineStr"/>
      <c r="L877" s="13" t="n">
        <v>269</v>
      </c>
      <c r="M877" s="1">
        <f>IF(L877="","ไม่พบใน SG",IF(ABS(J877-L877)&lt;0.005,"ตรงกัน","ไม่ตรง"))</f>
        <v/>
      </c>
      <c r="N877" s="14">
        <f>IF(L877="","",ROUND(L877*'สรุป'!$C$6,-1))</f>
        <v/>
      </c>
      <c r="O877" s="15" t="n"/>
      <c r="P877" s="15" t="n"/>
      <c r="Q877" s="10" t="n"/>
      <c r="R877" s="10" t="n"/>
      <c r="S877" s="16" t="inlineStr">
        <is>
          <t>https://mstgolf.co.th/products/gf2500201075</t>
        </is>
      </c>
      <c r="T877" s="1">
        <f>IF(B877="ไม้กอล์ฟ",J877,"")</f>
        <v/>
      </c>
    </row>
    <row r="878">
      <c r="A878" s="1" t="n">
        <v>2</v>
      </c>
      <c r="B878" s="1" t="inlineStr">
        <is>
          <t>ถุงกอล์ฟ</t>
        </is>
      </c>
      <c r="C878" s="1" t="inlineStr">
        <is>
          <t>gf3000103072</t>
        </is>
      </c>
      <c r="D878" s="1" t="inlineStr">
        <is>
          <t>ONOFF OB5724 8.5" Women's Cart Bag (Blue)</t>
        </is>
      </c>
      <c r="E878" s="1" t="inlineStr">
        <is>
          <t>ONOFF</t>
        </is>
      </c>
      <c r="F878" s="1" t="inlineStr">
        <is>
          <t>CADDIE/CART BAG</t>
        </is>
      </c>
      <c r="G878" s="1" t="inlineStr">
        <is>
          <t>GF3000103072</t>
        </is>
      </c>
      <c r="H878" s="1" t="n">
        <v>1</v>
      </c>
      <c r="I878" s="1" t="inlineStr">
        <is>
          <t>มี</t>
        </is>
      </c>
      <c r="J878" s="13" t="n">
        <v>269</v>
      </c>
      <c r="K878" s="1" t="inlineStr"/>
      <c r="L878" s="13" t="n">
        <v>269</v>
      </c>
      <c r="M878" s="1">
        <f>IF(L878="","ไม่พบใน SG",IF(ABS(J878-L878)&lt;0.005,"ตรงกัน","ไม่ตรง"))</f>
        <v/>
      </c>
      <c r="N878" s="14">
        <f>IF(L878="","",ROUND(L878*'สรุป'!$C$6,-1))</f>
        <v/>
      </c>
      <c r="O878" s="15" t="n"/>
      <c r="P878" s="15" t="n"/>
      <c r="Q878" s="10" t="n"/>
      <c r="R878" s="10" t="n"/>
      <c r="S878" s="16" t="inlineStr">
        <is>
          <t>https://mstgolf.co.th/products/gf3000103072</t>
        </is>
      </c>
      <c r="T878" s="1">
        <f>IF(B878="ไม้กอล์ฟ",J878,"")</f>
        <v/>
      </c>
    </row>
    <row r="879">
      <c r="A879" s="1" t="n">
        <v>2</v>
      </c>
      <c r="B879" s="1" t="inlineStr">
        <is>
          <t>ถุงกอล์ฟ</t>
        </is>
      </c>
      <c r="C879" s="1" t="inlineStr">
        <is>
          <t>gf3000103074</t>
        </is>
      </c>
      <c r="D879" s="1" t="inlineStr">
        <is>
          <t>ONOFF OB5724 8.5" Women's Cart Bag (Grey)</t>
        </is>
      </c>
      <c r="E879" s="1" t="inlineStr">
        <is>
          <t>ONOFF</t>
        </is>
      </c>
      <c r="F879" s="1" t="inlineStr">
        <is>
          <t>CADDIE/CART BAG</t>
        </is>
      </c>
      <c r="G879" s="1" t="inlineStr">
        <is>
          <t>GF3000103074</t>
        </is>
      </c>
      <c r="H879" s="1" t="n">
        <v>1</v>
      </c>
      <c r="I879" s="1" t="inlineStr">
        <is>
          <t>มี</t>
        </is>
      </c>
      <c r="J879" s="13" t="n">
        <v>269</v>
      </c>
      <c r="K879" s="1" t="inlineStr"/>
      <c r="L879" s="13" t="n">
        <v>269</v>
      </c>
      <c r="M879" s="1">
        <f>IF(L879="","ไม่พบใน SG",IF(ABS(J879-L879)&lt;0.005,"ตรงกัน","ไม่ตรง"))</f>
        <v/>
      </c>
      <c r="N879" s="14">
        <f>IF(L879="","",ROUND(L879*'สรุป'!$C$6,-1))</f>
        <v/>
      </c>
      <c r="O879" s="15" t="n"/>
      <c r="P879" s="15" t="n"/>
      <c r="Q879" s="10" t="n"/>
      <c r="R879" s="10" t="n"/>
      <c r="S879" s="16" t="inlineStr">
        <is>
          <t>https://mstgolf.co.th/products/gf3000103074</t>
        </is>
      </c>
      <c r="T879" s="1">
        <f>IF(B879="ไม้กอล์ฟ",J879,"")</f>
        <v/>
      </c>
    </row>
    <row r="880">
      <c r="A880" s="1" t="n">
        <v>2</v>
      </c>
      <c r="B880" s="1" t="inlineStr">
        <is>
          <t>ถุงกอล์ฟ</t>
        </is>
      </c>
      <c r="C880" s="1" t="inlineStr">
        <is>
          <t>gf3000102724</t>
        </is>
      </c>
      <c r="D880" s="1" t="inlineStr">
        <is>
          <t>MIZUNO GWP Prro SMU Cart Bag (White/Blue)</t>
        </is>
      </c>
      <c r="E880" s="1" t="inlineStr">
        <is>
          <t>MIZUNO</t>
        </is>
      </c>
      <c r="F880" s="1" t="inlineStr">
        <is>
          <t>CADDIE/CART BAG</t>
        </is>
      </c>
      <c r="G880" s="1" t="inlineStr">
        <is>
          <t>GF3000102724</t>
        </is>
      </c>
      <c r="H880" s="1" t="n">
        <v>1</v>
      </c>
      <c r="I880" s="1" t="inlineStr">
        <is>
          <t>มี</t>
        </is>
      </c>
      <c r="J880" s="13" t="n">
        <v>265</v>
      </c>
      <c r="K880" s="1" t="inlineStr"/>
      <c r="L880" s="13" t="n"/>
      <c r="M880" s="1">
        <f>IF(L880="","ไม่พบใน SG",IF(ABS(J880-L880)&lt;0.005,"ตรงกัน","ไม่ตรง"))</f>
        <v/>
      </c>
      <c r="N880" s="14">
        <f>IF(L880="","",ROUND(L880*'สรุป'!$C$6,-1))</f>
        <v/>
      </c>
      <c r="O880" s="15" t="n"/>
      <c r="P880" s="15" t="n"/>
      <c r="Q880" s="10" t="n"/>
      <c r="R880" s="10" t="n"/>
      <c r="S880" s="16" t="inlineStr">
        <is>
          <t>https://mstgolf.co.th/products/gf3000102724</t>
        </is>
      </c>
      <c r="T880" s="1">
        <f>IF(B880="ไม้กอล์ฟ",J880,"")</f>
        <v/>
      </c>
    </row>
    <row r="881">
      <c r="A881" s="1" t="n">
        <v>2</v>
      </c>
      <c r="B881" s="1" t="inlineStr">
        <is>
          <t>ถุงกอล์ฟ</t>
        </is>
      </c>
      <c r="C881" s="1" t="inlineStr">
        <is>
          <t>gf3000102642</t>
        </is>
      </c>
      <c r="D881" s="1" t="inlineStr">
        <is>
          <t>TAYLORMADE 9" Cart Lite Stand Bag (Titanium/Grey)</t>
        </is>
      </c>
      <c r="E881" s="1" t="inlineStr">
        <is>
          <t>TAYLORMADE</t>
        </is>
      </c>
      <c r="F881" s="1" t="inlineStr">
        <is>
          <t>CADDIE/CART BAG</t>
        </is>
      </c>
      <c r="G881" s="1" t="inlineStr">
        <is>
          <t>GF3000102642</t>
        </is>
      </c>
      <c r="H881" s="1" t="n">
        <v>1</v>
      </c>
      <c r="I881" s="1" t="inlineStr">
        <is>
          <t>มี</t>
        </is>
      </c>
      <c r="J881" s="13" t="n">
        <v>265</v>
      </c>
      <c r="K881" s="1" t="inlineStr"/>
      <c r="L881" s="13" t="n">
        <v>265</v>
      </c>
      <c r="M881" s="1">
        <f>IF(L881="","ไม่พบใน SG",IF(ABS(J881-L881)&lt;0.005,"ตรงกัน","ไม่ตรง"))</f>
        <v/>
      </c>
      <c r="N881" s="14">
        <f>IF(L881="","",ROUND(L881*'สรุป'!$C$6,-1))</f>
        <v/>
      </c>
      <c r="O881" s="15" t="n"/>
      <c r="P881" s="15" t="n"/>
      <c r="Q881" s="10" t="n"/>
      <c r="R881" s="10" t="n"/>
      <c r="S881" s="16" t="inlineStr">
        <is>
          <t>https://mstgolf.co.th/products/gf3000102642</t>
        </is>
      </c>
      <c r="T881" s="1">
        <f>IF(B881="ไม้กอล์ฟ",J881,"")</f>
        <v/>
      </c>
    </row>
    <row r="882">
      <c r="A882" s="1" t="n">
        <v>2</v>
      </c>
      <c r="B882" s="1" t="inlineStr">
        <is>
          <t>รองเท้า</t>
        </is>
      </c>
      <c r="C882" s="1" t="inlineStr">
        <is>
          <t>gf2500201557</t>
        </is>
      </c>
      <c r="D882" s="1" t="inlineStr">
        <is>
          <t>ASICS Gel-Kayano Ace 3 Men's Spikeless Shoes (White/Green)</t>
        </is>
      </c>
      <c r="E882" s="1" t="inlineStr">
        <is>
          <t>ASICS</t>
        </is>
      </c>
      <c r="F882" s="1" t="inlineStr">
        <is>
          <t>SPIKELESS SHOES</t>
        </is>
      </c>
      <c r="G882" s="1" t="inlineStr">
        <is>
          <t>GF2500201557US6.5</t>
        </is>
      </c>
      <c r="H882" s="1" t="n">
        <v>10</v>
      </c>
      <c r="I882" s="1" t="inlineStr">
        <is>
          <t>มี</t>
        </is>
      </c>
      <c r="J882" s="13" t="n">
        <v>259</v>
      </c>
      <c r="K882" s="1" t="inlineStr"/>
      <c r="L882" s="13" t="n">
        <v>259</v>
      </c>
      <c r="M882" s="1">
        <f>IF(L882="","ไม่พบใน SG",IF(ABS(J882-L882)&lt;0.005,"ตรงกัน","ไม่ตรง"))</f>
        <v/>
      </c>
      <c r="N882" s="14">
        <f>IF(L882="","",ROUND(L882*'สรุป'!$C$6,-1))</f>
        <v/>
      </c>
      <c r="O882" s="15" t="n"/>
      <c r="P882" s="15" t="n"/>
      <c r="Q882" s="10" t="n"/>
      <c r="R882" s="10" t="n"/>
      <c r="S882" s="16" t="inlineStr">
        <is>
          <t>https://mstgolf.co.th/products/gf2500201557</t>
        </is>
      </c>
      <c r="T882" s="1">
        <f>IF(B882="ไม้กอล์ฟ",J882,"")</f>
        <v/>
      </c>
    </row>
    <row r="883">
      <c r="A883" s="1" t="n">
        <v>2</v>
      </c>
      <c r="B883" s="1" t="inlineStr">
        <is>
          <t>ถุงกอล์ฟ</t>
        </is>
      </c>
      <c r="C883" s="1" t="inlineStr">
        <is>
          <t>gf3000201150</t>
        </is>
      </c>
      <c r="D883" s="1" t="inlineStr">
        <is>
          <t>TAYLORMADE 9.5" City-Tech Stand Bag (Yellow)</t>
        </is>
      </c>
      <c r="E883" s="1" t="inlineStr">
        <is>
          <t>TAYLORMADE</t>
        </is>
      </c>
      <c r="F883" s="1" t="inlineStr">
        <is>
          <t>STAND BAG</t>
        </is>
      </c>
      <c r="G883" s="1" t="inlineStr">
        <is>
          <t>GF3000201150</t>
        </is>
      </c>
      <c r="H883" s="1" t="n">
        <v>1</v>
      </c>
      <c r="I883" s="1" t="inlineStr">
        <is>
          <t>มี</t>
        </is>
      </c>
      <c r="J883" s="13" t="n">
        <v>259</v>
      </c>
      <c r="K883" s="1" t="inlineStr"/>
      <c r="L883" s="13" t="n">
        <v>259</v>
      </c>
      <c r="M883" s="1">
        <f>IF(L883="","ไม่พบใน SG",IF(ABS(J883-L883)&lt;0.005,"ตรงกัน","ไม่ตรง"))</f>
        <v/>
      </c>
      <c r="N883" s="14">
        <f>IF(L883="","",ROUND(L883*'สรุป'!$C$6,-1))</f>
        <v/>
      </c>
      <c r="O883" s="15" t="n"/>
      <c r="P883" s="15" t="n"/>
      <c r="Q883" s="10" t="n"/>
      <c r="R883" s="10" t="n"/>
      <c r="S883" s="16" t="inlineStr">
        <is>
          <t>https://mstgolf.co.th/products/gf3000201150</t>
        </is>
      </c>
      <c r="T883" s="1">
        <f>IF(B883="ไม้กอล์ฟ",J883,"")</f>
        <v/>
      </c>
    </row>
    <row r="884">
      <c r="A884" s="1" t="n">
        <v>2</v>
      </c>
      <c r="B884" s="1" t="inlineStr">
        <is>
          <t>ถุงกอล์ฟ</t>
        </is>
      </c>
      <c r="C884" s="1" t="inlineStr">
        <is>
          <t>gf3000201499</t>
        </is>
      </c>
      <c r="D884" s="1" t="inlineStr">
        <is>
          <t>SUN MOUNTAIN 8.5" E-3.5 14-Way Stand Bag (Green)</t>
        </is>
      </c>
      <c r="E884" s="1" t="inlineStr">
        <is>
          <t>SUN MOUNTAIN</t>
        </is>
      </c>
      <c r="F884" s="1" t="inlineStr">
        <is>
          <t>STAND BAG</t>
        </is>
      </c>
      <c r="G884" s="1" t="inlineStr">
        <is>
          <t>GF3000201499</t>
        </is>
      </c>
      <c r="H884" s="1" t="n">
        <v>1</v>
      </c>
      <c r="I884" s="1" t="inlineStr">
        <is>
          <t>มี</t>
        </is>
      </c>
      <c r="J884" s="13" t="n">
        <v>255</v>
      </c>
      <c r="K884" s="1" t="inlineStr"/>
      <c r="L884" s="13" t="n">
        <v>255</v>
      </c>
      <c r="M884" s="1">
        <f>IF(L884="","ไม่พบใน SG",IF(ABS(J884-L884)&lt;0.005,"ตรงกัน","ไม่ตรง"))</f>
        <v/>
      </c>
      <c r="N884" s="14">
        <f>IF(L884="","",ROUND(L884*'สรุป'!$C$6,-1))</f>
        <v/>
      </c>
      <c r="O884" s="15" t="n"/>
      <c r="P884" s="15" t="n"/>
      <c r="Q884" s="10" t="n"/>
      <c r="R884" s="10" t="n"/>
      <c r="S884" s="16" t="inlineStr">
        <is>
          <t>https://mstgolf.co.th/products/gf3000201499</t>
        </is>
      </c>
      <c r="T884" s="1">
        <f>IF(B884="ไม้กอล์ฟ",J884,"")</f>
        <v/>
      </c>
    </row>
    <row r="885">
      <c r="A885" s="1" t="n">
        <v>2</v>
      </c>
      <c r="B885" s="1" t="inlineStr">
        <is>
          <t>ถุงกอล์ฟ</t>
        </is>
      </c>
      <c r="C885" s="1" t="inlineStr">
        <is>
          <t>gf3000102849</t>
        </is>
      </c>
      <c r="D885" s="1" t="inlineStr">
        <is>
          <t>TAYLORMADE 9" Golden-State Cart Bag (Beige/Navy)</t>
        </is>
      </c>
      <c r="E885" s="1" t="inlineStr">
        <is>
          <t>TAYLORMADE</t>
        </is>
      </c>
      <c r="F885" s="1" t="inlineStr">
        <is>
          <t>CADDIE/CART BAG</t>
        </is>
      </c>
      <c r="G885" s="1" t="inlineStr">
        <is>
          <t>GF3000102849</t>
        </is>
      </c>
      <c r="H885" s="1" t="n">
        <v>1</v>
      </c>
      <c r="I885" s="1" t="inlineStr">
        <is>
          <t>มี</t>
        </is>
      </c>
      <c r="J885" s="13" t="n">
        <v>255</v>
      </c>
      <c r="K885" s="1" t="inlineStr"/>
      <c r="L885" s="13" t="n">
        <v>255</v>
      </c>
      <c r="M885" s="1">
        <f>IF(L885="","ไม่พบใน SG",IF(ABS(J885-L885)&lt;0.005,"ตรงกัน","ไม่ตรง"))</f>
        <v/>
      </c>
      <c r="N885" s="14">
        <f>IF(L885="","",ROUND(L885*'สรุป'!$C$6,-1))</f>
        <v/>
      </c>
      <c r="O885" s="15" t="n"/>
      <c r="P885" s="15" t="n"/>
      <c r="Q885" s="10" t="n"/>
      <c r="R885" s="10" t="n"/>
      <c r="S885" s="16" t="inlineStr">
        <is>
          <t>https://mstgolf.co.th/products/gf3000102849</t>
        </is>
      </c>
      <c r="T885" s="1">
        <f>IF(B885="ไม้กอล์ฟ",J885,"")</f>
        <v/>
      </c>
    </row>
    <row r="886">
      <c r="A886" s="1" t="n">
        <v>2</v>
      </c>
      <c r="B886" s="1" t="inlineStr">
        <is>
          <t>รองเท้า</t>
        </is>
      </c>
      <c r="C886" s="1" t="inlineStr">
        <is>
          <t>gf2500201293</t>
        </is>
      </c>
      <c r="D886" s="1" t="inlineStr">
        <is>
          <t>ADIDAS CodeChaos 25 Men's Spikeless Shoes (Navy/White/Red)</t>
        </is>
      </c>
      <c r="E886" s="1" t="inlineStr">
        <is>
          <t>ADIDAS</t>
        </is>
      </c>
      <c r="F886" s="1" t="inlineStr">
        <is>
          <t>SPIKELESS SHOES</t>
        </is>
      </c>
      <c r="G886" s="1" t="inlineStr">
        <is>
          <t>GF2500201293UK6.5</t>
        </is>
      </c>
      <c r="H886" s="1" t="n">
        <v>11</v>
      </c>
      <c r="I886" s="1" t="inlineStr">
        <is>
          <t>มี</t>
        </is>
      </c>
      <c r="J886" s="13" t="n">
        <v>249</v>
      </c>
      <c r="K886" s="1" t="inlineStr"/>
      <c r="L886" s="13" t="n">
        <v>125</v>
      </c>
      <c r="M886" s="1">
        <f>IF(L886="","ไม่พบใน SG",IF(ABS(J886-L886)&lt;0.005,"ตรงกัน","ไม่ตรง"))</f>
        <v/>
      </c>
      <c r="N886" s="14">
        <f>IF(L886="","",ROUND(L886*'สรุป'!$C$6,-1))</f>
        <v/>
      </c>
      <c r="O886" s="15" t="n"/>
      <c r="P886" s="15" t="n"/>
      <c r="Q886" s="10" t="n"/>
      <c r="R886" s="10" t="n"/>
      <c r="S886" s="16" t="inlineStr">
        <is>
          <t>https://mstgolf.co.th/products/gf2500201293</t>
        </is>
      </c>
      <c r="T886" s="1">
        <f>IF(B886="ไม้กอล์ฟ",J886,"")</f>
        <v/>
      </c>
    </row>
    <row r="887">
      <c r="A887" s="1" t="n">
        <v>2</v>
      </c>
      <c r="B887" s="1" t="inlineStr">
        <is>
          <t>ถุงกอล์ฟ</t>
        </is>
      </c>
      <c r="C887" s="1" t="inlineStr">
        <is>
          <t>gf3000102951</t>
        </is>
      </c>
      <c r="D887" s="1" t="inlineStr">
        <is>
          <t>ADIDAS Lightweight 8.5" Cart Bag (Ruby)</t>
        </is>
      </c>
      <c r="E887" s="1" t="inlineStr">
        <is>
          <t>ADIDAS</t>
        </is>
      </c>
      <c r="F887" s="1" t="inlineStr">
        <is>
          <t>CADDIE/CART BAG</t>
        </is>
      </c>
      <c r="G887" s="1" t="inlineStr">
        <is>
          <t>GF3000102951</t>
        </is>
      </c>
      <c r="H887" s="1" t="n">
        <v>1</v>
      </c>
      <c r="I887" s="1" t="inlineStr">
        <is>
          <t>มี</t>
        </is>
      </c>
      <c r="J887" s="13" t="n">
        <v>249</v>
      </c>
      <c r="K887" s="1" t="inlineStr"/>
      <c r="L887" s="13" t="n">
        <v>249</v>
      </c>
      <c r="M887" s="1">
        <f>IF(L887="","ไม่พบใน SG",IF(ABS(J887-L887)&lt;0.005,"ตรงกัน","ไม่ตรง"))</f>
        <v/>
      </c>
      <c r="N887" s="14">
        <f>IF(L887="","",ROUND(L887*'สรุป'!$C$6,-1))</f>
        <v/>
      </c>
      <c r="O887" s="15" t="n"/>
      <c r="P887" s="15" t="n"/>
      <c r="Q887" s="10" t="n"/>
      <c r="R887" s="10" t="n"/>
      <c r="S887" s="16" t="inlineStr">
        <is>
          <t>https://mstgolf.co.th/products/gf3000102951</t>
        </is>
      </c>
      <c r="T887" s="1">
        <f>IF(B887="ไม้กอล์ฟ",J887,"")</f>
        <v/>
      </c>
    </row>
    <row r="888">
      <c r="A888" s="1" t="n">
        <v>2</v>
      </c>
      <c r="B888" s="1" t="inlineStr">
        <is>
          <t>ถุงกอล์ฟ</t>
        </is>
      </c>
      <c r="C888" s="1" t="inlineStr">
        <is>
          <t>gf3000102879</t>
        </is>
      </c>
      <c r="D888" s="1" t="inlineStr">
        <is>
          <t>CUTTER &amp; BUCK Full 4 Wheels Golf Bag (Grey)</t>
        </is>
      </c>
      <c r="E888" s="1" t="inlineStr">
        <is>
          <t>CUTTER &amp; BUCK</t>
        </is>
      </c>
      <c r="F888" s="1" t="inlineStr">
        <is>
          <t>CADDIE/CART BAG</t>
        </is>
      </c>
      <c r="G888" s="1" t="inlineStr">
        <is>
          <t>GF3000102879</t>
        </is>
      </c>
      <c r="H888" s="1" t="n">
        <v>1</v>
      </c>
      <c r="I888" s="1" t="inlineStr">
        <is>
          <t>มี</t>
        </is>
      </c>
      <c r="J888" s="13" t="n">
        <v>249</v>
      </c>
      <c r="K888" s="1" t="inlineStr"/>
      <c r="L888" s="13" t="n">
        <v>249</v>
      </c>
      <c r="M888" s="1">
        <f>IF(L888="","ไม่พบใน SG",IF(ABS(J888-L888)&lt;0.005,"ตรงกัน","ไม่ตรง"))</f>
        <v/>
      </c>
      <c r="N888" s="14">
        <f>IF(L888="","",ROUND(L888*'สรุป'!$C$6,-1))</f>
        <v/>
      </c>
      <c r="O888" s="15" t="n"/>
      <c r="P888" s="15" t="n"/>
      <c r="Q888" s="10" t="n"/>
      <c r="R888" s="10" t="n"/>
      <c r="S888" s="16" t="inlineStr">
        <is>
          <t>https://mstgolf.co.th/products/gf3000102879</t>
        </is>
      </c>
      <c r="T888" s="1">
        <f>IF(B888="ไม้กอล์ฟ",J888,"")</f>
        <v/>
      </c>
    </row>
    <row r="889">
      <c r="A889" s="1" t="n">
        <v>2</v>
      </c>
      <c r="B889" s="1" t="inlineStr">
        <is>
          <t>รองเท้า</t>
        </is>
      </c>
      <c r="C889" s="1" t="inlineStr">
        <is>
          <t>gf2500102688</t>
        </is>
      </c>
      <c r="D889" s="1" t="inlineStr">
        <is>
          <t>FOOTJOY Premiere Series Men's Spiked Shoes (White/Blue)</t>
        </is>
      </c>
      <c r="E889" s="1" t="inlineStr">
        <is>
          <t>FOOTJOY</t>
        </is>
      </c>
      <c r="F889" s="1" t="inlineStr">
        <is>
          <t>SPIKE SHOES</t>
        </is>
      </c>
      <c r="G889" s="1" t="inlineStr">
        <is>
          <t>GF2500102688US7</t>
        </is>
      </c>
      <c r="H889" s="1" t="n">
        <v>9</v>
      </c>
      <c r="I889" s="1" t="inlineStr">
        <is>
          <t>มี</t>
        </is>
      </c>
      <c r="J889" s="13" t="n">
        <v>249</v>
      </c>
      <c r="K889" s="1" t="inlineStr"/>
      <c r="L889" s="13" t="n">
        <v>189</v>
      </c>
      <c r="M889" s="1">
        <f>IF(L889="","ไม่พบใน SG",IF(ABS(J889-L889)&lt;0.005,"ตรงกัน","ไม่ตรง"))</f>
        <v/>
      </c>
      <c r="N889" s="14">
        <f>IF(L889="","",ROUND(L889*'สรุป'!$C$6,-1))</f>
        <v/>
      </c>
      <c r="O889" s="15" t="n"/>
      <c r="P889" s="15" t="n"/>
      <c r="Q889" s="10" t="n"/>
      <c r="R889" s="10" t="n"/>
      <c r="S889" s="16" t="inlineStr">
        <is>
          <t>https://mstgolf.co.th/products/gf2500102688</t>
        </is>
      </c>
      <c r="T889" s="1">
        <f>IF(B889="ไม้กอล์ฟ",J889,"")</f>
        <v/>
      </c>
    </row>
    <row r="890">
      <c r="A890" s="1" t="n">
        <v>2</v>
      </c>
      <c r="B890" s="1" t="inlineStr">
        <is>
          <t>ถุงกอล์ฟ</t>
        </is>
      </c>
      <c r="C890" s="1" t="inlineStr">
        <is>
          <t>gf3000103128</t>
        </is>
      </c>
      <c r="D890" s="1" t="inlineStr">
        <is>
          <t>LE COQ SPORTIF GOLF 9.5" Caddie Bag (Blue)</t>
        </is>
      </c>
      <c r="E890" s="1" t="inlineStr">
        <is>
          <t>LE COQ SPORTIF GOLF</t>
        </is>
      </c>
      <c r="F890" s="1" t="inlineStr">
        <is>
          <t>CADDIE/CART BAG</t>
        </is>
      </c>
      <c r="G890" s="1" t="inlineStr">
        <is>
          <t>GF3000103128</t>
        </is>
      </c>
      <c r="H890" s="1" t="n">
        <v>1</v>
      </c>
      <c r="I890" s="1" t="inlineStr">
        <is>
          <t>มี</t>
        </is>
      </c>
      <c r="J890" s="13" t="n">
        <v>249</v>
      </c>
      <c r="K890" s="1" t="inlineStr"/>
      <c r="L890" s="13" t="n">
        <v>249</v>
      </c>
      <c r="M890" s="1">
        <f>IF(L890="","ไม่พบใน SG",IF(ABS(J890-L890)&lt;0.005,"ตรงกัน","ไม่ตรง"))</f>
        <v/>
      </c>
      <c r="N890" s="14">
        <f>IF(L890="","",ROUND(L890*'สรุป'!$C$6,-1))</f>
        <v/>
      </c>
      <c r="O890" s="15" t="n"/>
      <c r="P890" s="15" t="n"/>
      <c r="Q890" s="10" t="n"/>
      <c r="R890" s="10" t="n"/>
      <c r="S890" s="16" t="inlineStr">
        <is>
          <t>https://mstgolf.co.th/products/gf3000103128</t>
        </is>
      </c>
      <c r="T890" s="1">
        <f>IF(B890="ไม้กอล์ฟ",J890,"")</f>
        <v/>
      </c>
    </row>
    <row r="891">
      <c r="A891" s="1" t="n">
        <v>2</v>
      </c>
      <c r="B891" s="1" t="inlineStr">
        <is>
          <t>ถุงกอล์ฟ</t>
        </is>
      </c>
      <c r="C891" s="1" t="inlineStr">
        <is>
          <t>gf3000103127</t>
        </is>
      </c>
      <c r="D891" s="1" t="inlineStr">
        <is>
          <t>LE COQ SPORTIF GOLF 9.5" Caddie Bag (Red)</t>
        </is>
      </c>
      <c r="E891" s="1" t="inlineStr">
        <is>
          <t>LE COQ SPORTIF GOLF</t>
        </is>
      </c>
      <c r="F891" s="1" t="inlineStr">
        <is>
          <t>CADDIE/CART BAG</t>
        </is>
      </c>
      <c r="G891" s="1" t="inlineStr">
        <is>
          <t>GF3000103127</t>
        </is>
      </c>
      <c r="H891" s="1" t="n">
        <v>1</v>
      </c>
      <c r="I891" s="1" t="inlineStr">
        <is>
          <t>มี</t>
        </is>
      </c>
      <c r="J891" s="13" t="n">
        <v>249</v>
      </c>
      <c r="K891" s="1" t="inlineStr"/>
      <c r="L891" s="13" t="n">
        <v>249</v>
      </c>
      <c r="M891" s="1">
        <f>IF(L891="","ไม่พบใน SG",IF(ABS(J891-L891)&lt;0.005,"ตรงกัน","ไม่ตรง"))</f>
        <v/>
      </c>
      <c r="N891" s="14">
        <f>IF(L891="","",ROUND(L891*'สรุป'!$C$6,-1))</f>
        <v/>
      </c>
      <c r="O891" s="15" t="n"/>
      <c r="P891" s="15" t="n"/>
      <c r="Q891" s="10" t="n"/>
      <c r="R891" s="10" t="n"/>
      <c r="S891" s="16" t="inlineStr">
        <is>
          <t>https://mstgolf.co.th/products/gf3000103127</t>
        </is>
      </c>
      <c r="T891" s="1">
        <f>IF(B891="ไม้กอล์ฟ",J891,"")</f>
        <v/>
      </c>
    </row>
    <row r="892">
      <c r="A892" s="1" t="n">
        <v>2</v>
      </c>
      <c r="B892" s="1" t="inlineStr">
        <is>
          <t>รองเท้า</t>
        </is>
      </c>
      <c r="C892" s="1" t="inlineStr">
        <is>
          <t>gf2500201339</t>
        </is>
      </c>
      <c r="D892" s="1" t="inlineStr">
        <is>
          <t>PUMA IGNITE ELEVATE 2 BOA Men's Spikeless Shoes (White/Black)</t>
        </is>
      </c>
      <c r="E892" s="1" t="inlineStr">
        <is>
          <t>PUMA</t>
        </is>
      </c>
      <c r="F892" s="1" t="inlineStr">
        <is>
          <t>SPIKELESS SHOES</t>
        </is>
      </c>
      <c r="G892" s="1" t="inlineStr">
        <is>
          <t>GF2500201339UK6.5</t>
        </is>
      </c>
      <c r="H892" s="1" t="n">
        <v>12</v>
      </c>
      <c r="I892" s="1" t="inlineStr">
        <is>
          <t>มี</t>
        </is>
      </c>
      <c r="J892" s="13" t="n">
        <v>249</v>
      </c>
      <c r="K892" s="1" t="inlineStr"/>
      <c r="L892" s="13" t="n">
        <v>249</v>
      </c>
      <c r="M892" s="1">
        <f>IF(L892="","ไม่พบใน SG",IF(ABS(J892-L892)&lt;0.005,"ตรงกัน","ไม่ตรง"))</f>
        <v/>
      </c>
      <c r="N892" s="14">
        <f>IF(L892="","",ROUND(L892*'สรุป'!$C$6,-1))</f>
        <v/>
      </c>
      <c r="O892" s="15" t="n"/>
      <c r="P892" s="15" t="n"/>
      <c r="Q892" s="10" t="n"/>
      <c r="R892" s="10" t="n"/>
      <c r="S892" s="16" t="inlineStr">
        <is>
          <t>https://mstgolf.co.th/products/gf2500201339</t>
        </is>
      </c>
      <c r="T892" s="1">
        <f>IF(B892="ไม้กอล์ฟ",J892,"")</f>
        <v/>
      </c>
    </row>
    <row r="893">
      <c r="A893" s="1" t="n">
        <v>2</v>
      </c>
      <c r="B893" s="1" t="inlineStr">
        <is>
          <t>รองเท้า</t>
        </is>
      </c>
      <c r="C893" s="1" t="inlineStr">
        <is>
          <t>gf2500201377</t>
        </is>
      </c>
      <c r="D893" s="1" t="inlineStr">
        <is>
          <t>PUMA IGNITE ELEVATE 2 BOA Men's Spikeless Shoes (White/Mint)</t>
        </is>
      </c>
      <c r="E893" s="1" t="inlineStr">
        <is>
          <t>PUMA</t>
        </is>
      </c>
      <c r="F893" s="1" t="inlineStr">
        <is>
          <t>SPIKELESS SHOES</t>
        </is>
      </c>
      <c r="G893" s="1" t="inlineStr">
        <is>
          <t>GF2500201377UK6</t>
        </is>
      </c>
      <c r="H893" s="1" t="n">
        <v>12</v>
      </c>
      <c r="I893" s="1" t="inlineStr">
        <is>
          <t>มี</t>
        </is>
      </c>
      <c r="J893" s="13" t="n">
        <v>249</v>
      </c>
      <c r="K893" s="1" t="inlineStr"/>
      <c r="L893" s="13" t="n">
        <v>199</v>
      </c>
      <c r="M893" s="1">
        <f>IF(L893="","ไม่พบใน SG",IF(ABS(J893-L893)&lt;0.005,"ตรงกัน","ไม่ตรง"))</f>
        <v/>
      </c>
      <c r="N893" s="14">
        <f>IF(L893="","",ROUND(L893*'สรุป'!$C$6,-1))</f>
        <v/>
      </c>
      <c r="O893" s="15" t="n"/>
      <c r="P893" s="15" t="n"/>
      <c r="Q893" s="10" t="n"/>
      <c r="R893" s="10" t="n"/>
      <c r="S893" s="16" t="inlineStr">
        <is>
          <t>https://mstgolf.co.th/products/gf2500201377</t>
        </is>
      </c>
      <c r="T893" s="1">
        <f>IF(B893="ไม้กอล์ฟ",J893,"")</f>
        <v/>
      </c>
    </row>
    <row r="894">
      <c r="A894" s="1" t="n">
        <v>2</v>
      </c>
      <c r="B894" s="1" t="inlineStr">
        <is>
          <t>รองเท้า</t>
        </is>
      </c>
      <c r="C894" s="1" t="inlineStr">
        <is>
          <t>gf2500102745</t>
        </is>
      </c>
      <c r="D894" s="1" t="inlineStr">
        <is>
          <t>UNDER ARMOUR Drive Pro Limited Edition Men's Spiked Shoes (White)</t>
        </is>
      </c>
      <c r="E894" s="1" t="inlineStr">
        <is>
          <t>UNDER ARMOUR</t>
        </is>
      </c>
      <c r="F894" s="1" t="inlineStr">
        <is>
          <t>SPIKE SHOES</t>
        </is>
      </c>
      <c r="G894" s="1" t="inlineStr">
        <is>
          <t>GF2500102745US7</t>
        </is>
      </c>
      <c r="H894" s="1" t="n">
        <v>14</v>
      </c>
      <c r="I894" s="1" t="inlineStr">
        <is>
          <t>มี</t>
        </is>
      </c>
      <c r="J894" s="13" t="n">
        <v>249</v>
      </c>
      <c r="K894" s="1" t="inlineStr"/>
      <c r="L894" s="13" t="n">
        <v>249</v>
      </c>
      <c r="M894" s="1">
        <f>IF(L894="","ไม่พบใน SG",IF(ABS(J894-L894)&lt;0.005,"ตรงกัน","ไม่ตรง"))</f>
        <v/>
      </c>
      <c r="N894" s="14">
        <f>IF(L894="","",ROUND(L894*'สรุป'!$C$6,-1))</f>
        <v/>
      </c>
      <c r="O894" s="15" t="n"/>
      <c r="P894" s="15" t="n"/>
      <c r="Q894" s="10" t="n"/>
      <c r="R894" s="10" t="n"/>
      <c r="S894" s="16" t="inlineStr">
        <is>
          <t>https://mstgolf.co.th/products/gf2500102745</t>
        </is>
      </c>
      <c r="T894" s="1">
        <f>IF(B894="ไม้กอล์ฟ",J894,"")</f>
        <v/>
      </c>
    </row>
    <row r="895">
      <c r="A895" s="1" t="n">
        <v>2</v>
      </c>
      <c r="B895" s="1" t="inlineStr">
        <is>
          <t>ถุงกอล์ฟ</t>
        </is>
      </c>
      <c r="C895" s="1" t="inlineStr">
        <is>
          <t>gf3010401112</t>
        </is>
      </c>
      <c r="D895" s="1" t="inlineStr">
        <is>
          <t>WAAC Women's Tote Bag (Red)</t>
        </is>
      </c>
      <c r="E895" s="1" t="inlineStr">
        <is>
          <t>WAAC</t>
        </is>
      </c>
      <c r="F895" s="1" t="inlineStr">
        <is>
          <t>SMALL BAG</t>
        </is>
      </c>
      <c r="G895" s="1" t="inlineStr">
        <is>
          <t>GF3010401112</t>
        </is>
      </c>
      <c r="H895" s="1" t="n">
        <v>1</v>
      </c>
      <c r="I895" s="1" t="inlineStr">
        <is>
          <t>มี</t>
        </is>
      </c>
      <c r="J895" s="13" t="n">
        <v>249</v>
      </c>
      <c r="K895" s="1" t="inlineStr"/>
      <c r="L895" s="13" t="n">
        <v>249</v>
      </c>
      <c r="M895" s="1">
        <f>IF(L895="","ไม่พบใน SG",IF(ABS(J895-L895)&lt;0.005,"ตรงกัน","ไม่ตรง"))</f>
        <v/>
      </c>
      <c r="N895" s="14">
        <f>IF(L895="","",ROUND(L895*'สรุป'!$C$6,-1))</f>
        <v/>
      </c>
      <c r="O895" s="15" t="n"/>
      <c r="P895" s="15" t="n"/>
      <c r="Q895" s="10" t="n"/>
      <c r="R895" s="10" t="n"/>
      <c r="S895" s="16" t="inlineStr">
        <is>
          <t>https://mstgolf.co.th/products/gf3010401112</t>
        </is>
      </c>
      <c r="T895" s="1">
        <f>IF(B895="ไม้กอล์ฟ",J895,"")</f>
        <v/>
      </c>
    </row>
    <row r="896">
      <c r="A896" s="1" t="n">
        <v>2</v>
      </c>
      <c r="B896" s="1" t="inlineStr">
        <is>
          <t>ถุงกอล์ฟ</t>
        </is>
      </c>
      <c r="C896" s="1" t="inlineStr">
        <is>
          <t>gf3000102323</t>
        </is>
      </c>
      <c r="D896" s="1" t="inlineStr">
        <is>
          <t>ONOFF OB5722 8.5" Women's Caddie Bag (Green)</t>
        </is>
      </c>
      <c r="E896" s="1" t="inlineStr">
        <is>
          <t>ONOFF</t>
        </is>
      </c>
      <c r="F896" s="1" t="inlineStr">
        <is>
          <t>CADDIE/CART BAG</t>
        </is>
      </c>
      <c r="G896" s="1" t="inlineStr">
        <is>
          <t>GF3000102323</t>
        </is>
      </c>
      <c r="H896" s="1" t="n">
        <v>1</v>
      </c>
      <c r="I896" s="1" t="inlineStr">
        <is>
          <t>มี</t>
        </is>
      </c>
      <c r="J896" s="13" t="n">
        <v>245</v>
      </c>
      <c r="K896" s="1" t="inlineStr"/>
      <c r="L896" s="13" t="n">
        <v>245</v>
      </c>
      <c r="M896" s="1">
        <f>IF(L896="","ไม่พบใน SG",IF(ABS(J896-L896)&lt;0.005,"ตรงกัน","ไม่ตรง"))</f>
        <v/>
      </c>
      <c r="N896" s="14">
        <f>IF(L896="","",ROUND(L896*'สรุป'!$C$6,-1))</f>
        <v/>
      </c>
      <c r="O896" s="15" t="n"/>
      <c r="P896" s="15" t="n"/>
      <c r="Q896" s="10" t="n"/>
      <c r="R896" s="10" t="n"/>
      <c r="S896" s="16" t="inlineStr">
        <is>
          <t>https://mstgolf.co.th/products/gf3000102323</t>
        </is>
      </c>
      <c r="T896" s="1">
        <f>IF(B896="ไม้กอล์ฟ",J896,"")</f>
        <v/>
      </c>
    </row>
    <row r="897">
      <c r="A897" s="1" t="n">
        <v>2</v>
      </c>
      <c r="B897" s="1" t="inlineStr">
        <is>
          <t>รองเท้า</t>
        </is>
      </c>
      <c r="C897" s="1" t="inlineStr">
        <is>
          <t>gf2500102638</t>
        </is>
      </c>
      <c r="D897" s="1" t="inlineStr">
        <is>
          <t>FOOTJOY Premiere Wilcox Men's Spiked Shoes (White/Navy)</t>
        </is>
      </c>
      <c r="E897" s="1" t="inlineStr">
        <is>
          <t>FOOTJOY</t>
        </is>
      </c>
      <c r="F897" s="1" t="inlineStr">
        <is>
          <t>SPIKE SHOES</t>
        </is>
      </c>
      <c r="G897" s="1" t="inlineStr">
        <is>
          <t>GF2500102638US6.5</t>
        </is>
      </c>
      <c r="H897" s="1" t="n">
        <v>10</v>
      </c>
      <c r="I897" s="1" t="inlineStr">
        <is>
          <t>มี</t>
        </is>
      </c>
      <c r="J897" s="13" t="n">
        <v>239</v>
      </c>
      <c r="K897" s="1" t="inlineStr"/>
      <c r="L897" s="13" t="n">
        <v>239</v>
      </c>
      <c r="M897" s="1">
        <f>IF(L897="","ไม่พบใน SG",IF(ABS(J897-L897)&lt;0.005,"ตรงกัน","ไม่ตรง"))</f>
        <v/>
      </c>
      <c r="N897" s="14">
        <f>IF(L897="","",ROUND(L897*'สรุป'!$C$6,-1))</f>
        <v/>
      </c>
      <c r="O897" s="15" t="n"/>
      <c r="P897" s="15" t="n"/>
      <c r="Q897" s="10" t="n"/>
      <c r="R897" s="10" t="n"/>
      <c r="S897" s="16" t="inlineStr">
        <is>
          <t>https://mstgolf.co.th/products/gf2500102638</t>
        </is>
      </c>
      <c r="T897" s="1">
        <f>IF(B897="ไม้กอล์ฟ",J897,"")</f>
        <v/>
      </c>
    </row>
    <row r="898">
      <c r="A898" s="1" t="n">
        <v>2</v>
      </c>
      <c r="B898" s="1" t="inlineStr">
        <is>
          <t>ถุงกอล์ฟ</t>
        </is>
      </c>
      <c r="C898" s="1" t="inlineStr">
        <is>
          <t>gf3000102875</t>
        </is>
      </c>
      <c r="D898" s="1" t="inlineStr">
        <is>
          <t>MIZUNO BR-D3C Cart Bag (Green)</t>
        </is>
      </c>
      <c r="E898" s="1" t="inlineStr">
        <is>
          <t>MIZUNO</t>
        </is>
      </c>
      <c r="F898" s="1" t="inlineStr">
        <is>
          <t>CADDIE/CART BAG</t>
        </is>
      </c>
      <c r="G898" s="1" t="inlineStr">
        <is>
          <t>GF3000102875</t>
        </is>
      </c>
      <c r="H898" s="1" t="n">
        <v>1</v>
      </c>
      <c r="I898" s="1" t="inlineStr">
        <is>
          <t>มี</t>
        </is>
      </c>
      <c r="J898" s="13" t="n">
        <v>239</v>
      </c>
      <c r="K898" s="1" t="inlineStr"/>
      <c r="L898" s="13" t="n">
        <v>239</v>
      </c>
      <c r="M898" s="1">
        <f>IF(L898="","ไม่พบใน SG",IF(ABS(J898-L898)&lt;0.005,"ตรงกัน","ไม่ตรง"))</f>
        <v/>
      </c>
      <c r="N898" s="14">
        <f>IF(L898="","",ROUND(L898*'สรุป'!$C$6,-1))</f>
        <v/>
      </c>
      <c r="O898" s="15" t="n"/>
      <c r="P898" s="15" t="n"/>
      <c r="Q898" s="10" t="n"/>
      <c r="R898" s="10" t="n"/>
      <c r="S898" s="16" t="inlineStr">
        <is>
          <t>https://mstgolf.co.th/products/gf3000102875</t>
        </is>
      </c>
      <c r="T898" s="1">
        <f>IF(B898="ไม้กอล์ฟ",J898,"")</f>
        <v/>
      </c>
    </row>
    <row r="899">
      <c r="A899" s="1" t="n">
        <v>2</v>
      </c>
      <c r="B899" s="1" t="inlineStr">
        <is>
          <t>รองเท้า</t>
        </is>
      </c>
      <c r="C899" s="1" t="inlineStr">
        <is>
          <t>gf2500201551</t>
        </is>
      </c>
      <c r="D899" s="1" t="inlineStr">
        <is>
          <t>NIKE Air Max 90 G Men's Spikeless Shoes (White/Yellow/Blue)</t>
        </is>
      </c>
      <c r="E899" s="1" t="inlineStr">
        <is>
          <t>NIKE</t>
        </is>
      </c>
      <c r="F899" s="1" t="inlineStr">
        <is>
          <t>SPIKELESS SHOES</t>
        </is>
      </c>
      <c r="G899" s="1" t="inlineStr">
        <is>
          <t>GF2500201551US7</t>
        </is>
      </c>
      <c r="H899" s="1" t="n">
        <v>12</v>
      </c>
      <c r="I899" s="1" t="inlineStr">
        <is>
          <t>มี</t>
        </is>
      </c>
      <c r="J899" s="13" t="n">
        <v>239</v>
      </c>
      <c r="K899" s="1" t="inlineStr"/>
      <c r="L899" s="13" t="n">
        <v>239</v>
      </c>
      <c r="M899" s="1">
        <f>IF(L899="","ไม่พบใน SG",IF(ABS(J899-L899)&lt;0.005,"ตรงกัน","ไม่ตรง"))</f>
        <v/>
      </c>
      <c r="N899" s="14">
        <f>IF(L899="","",ROUND(L899*'สรุป'!$C$6,-1))</f>
        <v/>
      </c>
      <c r="O899" s="15" t="n"/>
      <c r="P899" s="15" t="n"/>
      <c r="Q899" s="10" t="n"/>
      <c r="R899" s="10" t="n"/>
      <c r="S899" s="16" t="inlineStr">
        <is>
          <t>https://mstgolf.co.th/products/gf2500201551</t>
        </is>
      </c>
      <c r="T899" s="1">
        <f>IF(B899="ไม้กอล์ฟ",J899,"")</f>
        <v/>
      </c>
    </row>
    <row r="900">
      <c r="A900" s="1" t="n">
        <v>2</v>
      </c>
      <c r="B900" s="1" t="inlineStr">
        <is>
          <t>รองเท้า</t>
        </is>
      </c>
      <c r="C900" s="1" t="inlineStr">
        <is>
          <t>gf2500102632</t>
        </is>
      </c>
      <c r="D900" s="1" t="inlineStr">
        <is>
          <t>PUMA IGNITE Articulate Azalea Men's Spiked Shoes (White/Green/Silver)</t>
        </is>
      </c>
      <c r="E900" s="1" t="inlineStr">
        <is>
          <t>PUMA</t>
        </is>
      </c>
      <c r="F900" s="1" t="inlineStr">
        <is>
          <t>SPIKE SHOES</t>
        </is>
      </c>
      <c r="G900" s="1" t="inlineStr">
        <is>
          <t>GF2500102632UK6.5</t>
        </is>
      </c>
      <c r="H900" s="1" t="n">
        <v>10</v>
      </c>
      <c r="I900" s="1" t="inlineStr">
        <is>
          <t>มี</t>
        </is>
      </c>
      <c r="J900" s="13" t="n">
        <v>239</v>
      </c>
      <c r="K900" s="1" t="inlineStr"/>
      <c r="L900" s="13" t="n">
        <v>165</v>
      </c>
      <c r="M900" s="1">
        <f>IF(L900="","ไม่พบใน SG",IF(ABS(J900-L900)&lt;0.005,"ตรงกัน","ไม่ตรง"))</f>
        <v/>
      </c>
      <c r="N900" s="14">
        <f>IF(L900="","",ROUND(L900*'สรุป'!$C$6,-1))</f>
        <v/>
      </c>
      <c r="O900" s="15" t="n"/>
      <c r="P900" s="15" t="n"/>
      <c r="Q900" s="10" t="n"/>
      <c r="R900" s="10" t="n"/>
      <c r="S900" s="16" t="inlineStr">
        <is>
          <t>https://mstgolf.co.th/products/gf2500102632</t>
        </is>
      </c>
      <c r="T900" s="1">
        <f>IF(B900="ไม้กอล์ฟ",J900,"")</f>
        <v/>
      </c>
    </row>
    <row r="901">
      <c r="A901" s="1" t="n">
        <v>2</v>
      </c>
      <c r="B901" s="1" t="inlineStr">
        <is>
          <t>รองเท้า</t>
        </is>
      </c>
      <c r="C901" s="1" t="inlineStr">
        <is>
          <t>gf2500102631</t>
        </is>
      </c>
      <c r="D901" s="1" t="inlineStr">
        <is>
          <t>PUMA IGNITE Articulate Western Men's Spiked Shoes (Black/Brown)</t>
        </is>
      </c>
      <c r="E901" s="1" t="inlineStr">
        <is>
          <t>PUMA</t>
        </is>
      </c>
      <c r="F901" s="1" t="inlineStr">
        <is>
          <t>SPIKE SHOES</t>
        </is>
      </c>
      <c r="G901" s="1" t="inlineStr">
        <is>
          <t>GF2500102631UK6.5</t>
        </is>
      </c>
      <c r="H901" s="1" t="n">
        <v>10</v>
      </c>
      <c r="I901" s="1" t="inlineStr">
        <is>
          <t>มี</t>
        </is>
      </c>
      <c r="J901" s="13" t="n">
        <v>239</v>
      </c>
      <c r="K901" s="1" t="inlineStr"/>
      <c r="L901" s="13" t="n">
        <v>145</v>
      </c>
      <c r="M901" s="1">
        <f>IF(L901="","ไม่พบใน SG",IF(ABS(J901-L901)&lt;0.005,"ตรงกัน","ไม่ตรง"))</f>
        <v/>
      </c>
      <c r="N901" s="14">
        <f>IF(L901="","",ROUND(L901*'สรุป'!$C$6,-1))</f>
        <v/>
      </c>
      <c r="O901" s="15" t="n"/>
      <c r="P901" s="15" t="n"/>
      <c r="Q901" s="10" t="n"/>
      <c r="R901" s="10" t="n"/>
      <c r="S901" s="16" t="inlineStr">
        <is>
          <t>https://mstgolf.co.th/products/gf2500102631</t>
        </is>
      </c>
      <c r="T901" s="1">
        <f>IF(B901="ไม้กอล์ฟ",J901,"")</f>
        <v/>
      </c>
    </row>
    <row r="902">
      <c r="A902" s="1" t="n">
        <v>2</v>
      </c>
      <c r="B902" s="1" t="inlineStr">
        <is>
          <t>ถุงกอล์ฟ</t>
        </is>
      </c>
      <c r="C902" s="1" t="inlineStr">
        <is>
          <t>gf3000102713</t>
        </is>
      </c>
      <c r="D902" s="1" t="inlineStr">
        <is>
          <t>TAYLORMADE 9.5" Graphic Logo Cart Bag (Red)</t>
        </is>
      </c>
      <c r="E902" s="1" t="inlineStr">
        <is>
          <t>TAYLORMADE</t>
        </is>
      </c>
      <c r="F902" s="1" t="inlineStr">
        <is>
          <t>CADDIE/CART BAG</t>
        </is>
      </c>
      <c r="G902" s="1" t="inlineStr">
        <is>
          <t>GF3000102713</t>
        </is>
      </c>
      <c r="H902" s="1" t="n">
        <v>1</v>
      </c>
      <c r="I902" s="1" t="inlineStr">
        <is>
          <t>มี</t>
        </is>
      </c>
      <c r="J902" s="13" t="n">
        <v>239</v>
      </c>
      <c r="K902" s="1" t="inlineStr"/>
      <c r="L902" s="13" t="n">
        <v>239</v>
      </c>
      <c r="M902" s="1">
        <f>IF(L902="","ไม่พบใน SG",IF(ABS(J902-L902)&lt;0.005,"ตรงกัน","ไม่ตรง"))</f>
        <v/>
      </c>
      <c r="N902" s="14">
        <f>IF(L902="","",ROUND(L902*'สรุป'!$C$6,-1))</f>
        <v/>
      </c>
      <c r="O902" s="15" t="n"/>
      <c r="P902" s="15" t="n"/>
      <c r="Q902" s="10" t="n"/>
      <c r="R902" s="10" t="n"/>
      <c r="S902" s="16" t="inlineStr">
        <is>
          <t>https://mstgolf.co.th/products/gf3000102713</t>
        </is>
      </c>
      <c r="T902" s="1">
        <f>IF(B902="ไม้กอล์ฟ",J902,"")</f>
        <v/>
      </c>
    </row>
    <row r="903">
      <c r="A903" s="1" t="n">
        <v>2</v>
      </c>
      <c r="B903" s="1" t="inlineStr">
        <is>
          <t>ถุงกอล์ฟ</t>
        </is>
      </c>
      <c r="C903" s="1" t="inlineStr">
        <is>
          <t>gf3000102711</t>
        </is>
      </c>
      <c r="D903" s="1" t="inlineStr">
        <is>
          <t>TAYLORMADE 9.5" Sport Modern Cart Bag (Blue)</t>
        </is>
      </c>
      <c r="E903" s="1" t="inlineStr">
        <is>
          <t>TAYLORMADE</t>
        </is>
      </c>
      <c r="F903" s="1" t="inlineStr">
        <is>
          <t>CADDIE/CART BAG</t>
        </is>
      </c>
      <c r="G903" s="1" t="inlineStr">
        <is>
          <t>GF3000102711</t>
        </is>
      </c>
      <c r="H903" s="1" t="n">
        <v>1</v>
      </c>
      <c r="I903" s="1" t="inlineStr">
        <is>
          <t>มี</t>
        </is>
      </c>
      <c r="J903" s="13" t="n">
        <v>239</v>
      </c>
      <c r="K903" s="1" t="inlineStr"/>
      <c r="L903" s="13" t="n">
        <v>239</v>
      </c>
      <c r="M903" s="1">
        <f>IF(L903="","ไม่พบใน SG",IF(ABS(J903-L903)&lt;0.005,"ตรงกัน","ไม่ตรง"))</f>
        <v/>
      </c>
      <c r="N903" s="14">
        <f>IF(L903="","",ROUND(L903*'สรุป'!$C$6,-1))</f>
        <v/>
      </c>
      <c r="O903" s="15" t="n"/>
      <c r="P903" s="15" t="n"/>
      <c r="Q903" s="10" t="n"/>
      <c r="R903" s="10" t="n"/>
      <c r="S903" s="16" t="inlineStr">
        <is>
          <t>https://mstgolf.co.th/products/gf3000102711</t>
        </is>
      </c>
      <c r="T903" s="1">
        <f>IF(B903="ไม้กอล์ฟ",J903,"")</f>
        <v/>
      </c>
    </row>
    <row r="904">
      <c r="A904" s="1" t="n">
        <v>2</v>
      </c>
      <c r="B904" s="1" t="inlineStr">
        <is>
          <t>รองเท้า</t>
        </is>
      </c>
      <c r="C904" s="1" t="inlineStr">
        <is>
          <t>gf2500201349</t>
        </is>
      </c>
      <c r="D904" s="1" t="inlineStr">
        <is>
          <t>FOOTJOY Fuel BOA Men's Spikeless Shoes (White/Black)</t>
        </is>
      </c>
      <c r="E904" s="1" t="inlineStr">
        <is>
          <t>FOOTJOY</t>
        </is>
      </c>
      <c r="F904" s="1" t="inlineStr">
        <is>
          <t>SPIKELESS SHOES</t>
        </is>
      </c>
      <c r="G904" s="1" t="inlineStr">
        <is>
          <t>GF2500201349US6.5</t>
        </is>
      </c>
      <c r="H904" s="1" t="n">
        <v>12</v>
      </c>
      <c r="I904" s="1" t="inlineStr">
        <is>
          <t>มี</t>
        </is>
      </c>
      <c r="J904" s="13" t="n">
        <v>229</v>
      </c>
      <c r="K904" s="1" t="inlineStr"/>
      <c r="L904" s="13" t="n">
        <v>169</v>
      </c>
      <c r="M904" s="1">
        <f>IF(L904="","ไม่พบใน SG",IF(ABS(J904-L904)&lt;0.005,"ตรงกัน","ไม่ตรง"))</f>
        <v/>
      </c>
      <c r="N904" s="14">
        <f>IF(L904="","",ROUND(L904*'สรุป'!$C$6,-1))</f>
        <v/>
      </c>
      <c r="O904" s="15" t="n"/>
      <c r="P904" s="15" t="n"/>
      <c r="Q904" s="10" t="n"/>
      <c r="R904" s="10" t="n"/>
      <c r="S904" s="16" t="inlineStr">
        <is>
          <t>https://mstgolf.co.th/products/gf2500201349</t>
        </is>
      </c>
      <c r="T904" s="1">
        <f>IF(B904="ไม้กอล์ฟ",J904,"")</f>
        <v/>
      </c>
    </row>
    <row r="905">
      <c r="A905" s="1" t="n">
        <v>2</v>
      </c>
      <c r="B905" s="1" t="inlineStr">
        <is>
          <t>รองเท้า</t>
        </is>
      </c>
      <c r="C905" s="1" t="inlineStr">
        <is>
          <t>gf2500201348</t>
        </is>
      </c>
      <c r="D905" s="1" t="inlineStr">
        <is>
          <t>FOOTJOY Fuel BOA Men's Spikeless Shoes (White/White)</t>
        </is>
      </c>
      <c r="E905" s="1" t="inlineStr">
        <is>
          <t>FOOTJOY</t>
        </is>
      </c>
      <c r="F905" s="1" t="inlineStr">
        <is>
          <t>SPIKELESS SHOES</t>
        </is>
      </c>
      <c r="G905" s="1" t="inlineStr">
        <is>
          <t>GF2500201348US6.5</t>
        </is>
      </c>
      <c r="H905" s="1" t="n">
        <v>10</v>
      </c>
      <c r="I905" s="1" t="inlineStr">
        <is>
          <t>มี</t>
        </is>
      </c>
      <c r="J905" s="13" t="n">
        <v>229</v>
      </c>
      <c r="K905" s="1" t="inlineStr"/>
      <c r="L905" s="13" t="n">
        <v>169</v>
      </c>
      <c r="M905" s="1">
        <f>IF(L905="","ไม่พบใน SG",IF(ABS(J905-L905)&lt;0.005,"ตรงกัน","ไม่ตรง"))</f>
        <v/>
      </c>
      <c r="N905" s="14">
        <f>IF(L905="","",ROUND(L905*'สรุป'!$C$6,-1))</f>
        <v/>
      </c>
      <c r="O905" s="15" t="n"/>
      <c r="P905" s="15" t="n"/>
      <c r="Q905" s="10" t="n"/>
      <c r="R905" s="10" t="n"/>
      <c r="S905" s="16" t="inlineStr">
        <is>
          <t>https://mstgolf.co.th/products/gf2500201348</t>
        </is>
      </c>
      <c r="T905" s="1">
        <f>IF(B905="ไม้กอล์ฟ",J905,"")</f>
        <v/>
      </c>
    </row>
    <row r="906">
      <c r="A906" s="1" t="n">
        <v>2</v>
      </c>
      <c r="B906" s="1" t="inlineStr">
        <is>
          <t>รองเท้า</t>
        </is>
      </c>
      <c r="C906" s="1" t="inlineStr">
        <is>
          <t>gf2500201351</t>
        </is>
      </c>
      <c r="D906" s="1" t="inlineStr">
        <is>
          <t>FOOTJOY Fuel BOA Women's Spikeless Shoes (White/Pink/Coral)</t>
        </is>
      </c>
      <c r="E906" s="1" t="inlineStr">
        <is>
          <t>FOOTJOY</t>
        </is>
      </c>
      <c r="F906" s="1" t="inlineStr">
        <is>
          <t>SPIKELESS SHOES</t>
        </is>
      </c>
      <c r="G906" s="1" t="inlineStr">
        <is>
          <t>GF2500201351US5</t>
        </is>
      </c>
      <c r="H906" s="1" t="n">
        <v>9</v>
      </c>
      <c r="I906" s="1" t="inlineStr">
        <is>
          <t>มี</t>
        </is>
      </c>
      <c r="J906" s="13" t="n">
        <v>229</v>
      </c>
      <c r="K906" s="1" t="inlineStr"/>
      <c r="L906" s="13" t="n">
        <v>169</v>
      </c>
      <c r="M906" s="1">
        <f>IF(L906="","ไม่พบใน SG",IF(ABS(J906-L906)&lt;0.005,"ตรงกัน","ไม่ตรง"))</f>
        <v/>
      </c>
      <c r="N906" s="14">
        <f>IF(L906="","",ROUND(L906*'สรุป'!$C$6,-1))</f>
        <v/>
      </c>
      <c r="O906" s="15" t="n"/>
      <c r="P906" s="15" t="n"/>
      <c r="Q906" s="10" t="n"/>
      <c r="R906" s="10" t="n"/>
      <c r="S906" s="16" t="inlineStr">
        <is>
          <t>https://mstgolf.co.th/products/gf2500201351</t>
        </is>
      </c>
      <c r="T906" s="1">
        <f>IF(B906="ไม้กอล์ฟ",J906,"")</f>
        <v/>
      </c>
    </row>
    <row r="907">
      <c r="A907" s="1" t="n">
        <v>2</v>
      </c>
      <c r="B907" s="1" t="inlineStr">
        <is>
          <t>รองเท้า</t>
        </is>
      </c>
      <c r="C907" s="1" t="inlineStr">
        <is>
          <t>gf2500200906</t>
        </is>
      </c>
      <c r="D907" s="1" t="inlineStr">
        <is>
          <t>GFORE Kiltie Gallivanter Women's Spikeless Shoes (Snow)</t>
        </is>
      </c>
      <c r="E907" s="1" t="inlineStr">
        <is>
          <t>GFORE</t>
        </is>
      </c>
      <c r="F907" s="1" t="inlineStr">
        <is>
          <t>SPIKELESS SHOES</t>
        </is>
      </c>
      <c r="G907" s="1" t="inlineStr">
        <is>
          <t>GF2500200906US5</t>
        </is>
      </c>
      <c r="H907" s="1" t="n">
        <v>8</v>
      </c>
      <c r="I907" s="1" t="inlineStr">
        <is>
          <t>มี</t>
        </is>
      </c>
      <c r="J907" s="13" t="n">
        <v>229</v>
      </c>
      <c r="K907" s="1" t="inlineStr"/>
      <c r="L907" s="13" t="n">
        <v>229</v>
      </c>
      <c r="M907" s="1">
        <f>IF(L907="","ไม่พบใน SG",IF(ABS(J907-L907)&lt;0.005,"ตรงกัน","ไม่ตรง"))</f>
        <v/>
      </c>
      <c r="N907" s="14">
        <f>IF(L907="","",ROUND(L907*'สรุป'!$C$6,-1))</f>
        <v/>
      </c>
      <c r="O907" s="15" t="n"/>
      <c r="P907" s="15" t="n"/>
      <c r="Q907" s="10" t="n"/>
      <c r="R907" s="10" t="n"/>
      <c r="S907" s="16" t="inlineStr">
        <is>
          <t>https://mstgolf.co.th/products/gf2500200906</t>
        </is>
      </c>
      <c r="T907" s="1">
        <f>IF(B907="ไม้กอล์ฟ",J907,"")</f>
        <v/>
      </c>
    </row>
    <row r="908">
      <c r="A908" s="1" t="n">
        <v>2</v>
      </c>
      <c r="B908" s="1" t="inlineStr">
        <is>
          <t>รองเท้า</t>
        </is>
      </c>
      <c r="C908" s="1" t="inlineStr">
        <is>
          <t>gf2500102807</t>
        </is>
      </c>
      <c r="D908" s="1" t="inlineStr">
        <is>
          <t>NIKE Victory Pro 4 Men's Spiked Shoes (Light Khaki)</t>
        </is>
      </c>
      <c r="E908" s="1" t="inlineStr">
        <is>
          <t>NIKE</t>
        </is>
      </c>
      <c r="F908" s="1" t="inlineStr">
        <is>
          <t>SPIKE SHOES</t>
        </is>
      </c>
      <c r="G908" s="1" t="inlineStr">
        <is>
          <t>GF2500102807US6.5</t>
        </is>
      </c>
      <c r="H908" s="1" t="n">
        <v>12</v>
      </c>
      <c r="I908" s="1" t="inlineStr">
        <is>
          <t>มี</t>
        </is>
      </c>
      <c r="J908" s="13" t="n">
        <v>229</v>
      </c>
      <c r="K908" s="1" t="inlineStr"/>
      <c r="L908" s="13" t="n">
        <v>229</v>
      </c>
      <c r="M908" s="1">
        <f>IF(L908="","ไม่พบใน SG",IF(ABS(J908-L908)&lt;0.005,"ตรงกัน","ไม่ตรง"))</f>
        <v/>
      </c>
      <c r="N908" s="14">
        <f>IF(L908="","",ROUND(L908*'สรุป'!$C$6,-1))</f>
        <v/>
      </c>
      <c r="O908" s="15" t="n"/>
      <c r="P908" s="15" t="n"/>
      <c r="Q908" s="10" t="n"/>
      <c r="R908" s="10" t="n"/>
      <c r="S908" s="16" t="inlineStr">
        <is>
          <t>https://mstgolf.co.th/products/gf2500102807</t>
        </is>
      </c>
      <c r="T908" s="1">
        <f>IF(B908="ไม้กอล์ฟ",J908,"")</f>
        <v/>
      </c>
    </row>
    <row r="909">
      <c r="A909" s="1" t="n">
        <v>2</v>
      </c>
      <c r="B909" s="1" t="inlineStr">
        <is>
          <t>รองเท้า</t>
        </is>
      </c>
      <c r="C909" s="1" t="inlineStr">
        <is>
          <t>gf2500102615</t>
        </is>
      </c>
      <c r="D909" s="1" t="inlineStr">
        <is>
          <t>PUMA IGNITE Articulate Disc Men's Spiked Shoes (Black/Silver)</t>
        </is>
      </c>
      <c r="E909" s="1" t="inlineStr">
        <is>
          <t>PUMA</t>
        </is>
      </c>
      <c r="F909" s="1" t="inlineStr">
        <is>
          <t>SPIKE SHOES</t>
        </is>
      </c>
      <c r="G909" s="1" t="inlineStr">
        <is>
          <t>GF2500102615UK6.5</t>
        </is>
      </c>
      <c r="H909" s="1" t="n">
        <v>11</v>
      </c>
      <c r="I909" s="1" t="inlineStr">
        <is>
          <t>มี</t>
        </is>
      </c>
      <c r="J909" s="13" t="n">
        <v>229</v>
      </c>
      <c r="K909" s="1" t="inlineStr"/>
      <c r="L909" s="13" t="n">
        <v>135</v>
      </c>
      <c r="M909" s="1">
        <f>IF(L909="","ไม่พบใน SG",IF(ABS(J909-L909)&lt;0.005,"ตรงกัน","ไม่ตรง"))</f>
        <v/>
      </c>
      <c r="N909" s="14">
        <f>IF(L909="","",ROUND(L909*'สรุป'!$C$6,-1))</f>
        <v/>
      </c>
      <c r="O909" s="15" t="n"/>
      <c r="P909" s="15" t="n"/>
      <c r="Q909" s="10" t="n"/>
      <c r="R909" s="10" t="n"/>
      <c r="S909" s="16" t="inlineStr">
        <is>
          <t>https://mstgolf.co.th/products/gf2500102615</t>
        </is>
      </c>
      <c r="T909" s="1">
        <f>IF(B909="ไม้กอล์ฟ",J909,"")</f>
        <v/>
      </c>
    </row>
    <row r="910">
      <c r="A910" s="1" t="n">
        <v>2</v>
      </c>
      <c r="B910" s="1" t="inlineStr">
        <is>
          <t>อุปกรณ์ฝึกซ้อม</t>
        </is>
      </c>
      <c r="C910" s="1" t="inlineStr">
        <is>
          <t>gf3040100067</t>
        </is>
      </c>
      <c r="D910" s="1" t="inlineStr">
        <is>
          <t>TABATA Fujita Core Swing</t>
        </is>
      </c>
      <c r="E910" s="1" t="inlineStr">
        <is>
          <t>TABATA</t>
        </is>
      </c>
      <c r="F910" s="1" t="inlineStr">
        <is>
          <t>SWING</t>
        </is>
      </c>
      <c r="G910" s="1" t="inlineStr">
        <is>
          <t>GF3040100067</t>
        </is>
      </c>
      <c r="H910" s="1" t="n">
        <v>1</v>
      </c>
      <c r="I910" s="1" t="inlineStr">
        <is>
          <t>มี</t>
        </is>
      </c>
      <c r="J910" s="13" t="n">
        <v>229</v>
      </c>
      <c r="K910" s="1" t="inlineStr"/>
      <c r="L910" s="13" t="n">
        <v>229</v>
      </c>
      <c r="M910" s="1">
        <f>IF(L910="","ไม่พบใน SG",IF(ABS(J910-L910)&lt;0.005,"ตรงกัน","ไม่ตรง"))</f>
        <v/>
      </c>
      <c r="N910" s="14">
        <f>IF(L910="","",ROUND(L910*'สรุป'!$C$6,-1))</f>
        <v/>
      </c>
      <c r="O910" s="15" t="n"/>
      <c r="P910" s="15" t="n"/>
      <c r="Q910" s="10" t="n"/>
      <c r="R910" s="10" t="n"/>
      <c r="S910" s="16" t="inlineStr">
        <is>
          <t>https://mstgolf.co.th/products/gf3040100067</t>
        </is>
      </c>
      <c r="T910" s="1">
        <f>IF(B910="ไม้กอล์ฟ",J910,"")</f>
        <v/>
      </c>
    </row>
    <row r="911">
      <c r="A911" s="1" t="n">
        <v>2</v>
      </c>
      <c r="B911" s="1" t="inlineStr">
        <is>
          <t>รองเท้า</t>
        </is>
      </c>
      <c r="C911" s="1" t="inlineStr">
        <is>
          <t>gf2500201101</t>
        </is>
      </c>
      <c r="D911" s="1" t="inlineStr">
        <is>
          <t>GFORE Camo MG4X2 Men's Spikeless Shoes (Petrol)</t>
        </is>
      </c>
      <c r="E911" s="1" t="inlineStr">
        <is>
          <t>GFORE</t>
        </is>
      </c>
      <c r="F911" s="1" t="inlineStr">
        <is>
          <t>SPIKELESS SHOES</t>
        </is>
      </c>
      <c r="G911" s="1" t="inlineStr">
        <is>
          <t>GF2500201101US6.5</t>
        </is>
      </c>
      <c r="H911" s="1" t="n">
        <v>12</v>
      </c>
      <c r="I911" s="1" t="inlineStr">
        <is>
          <t>มี</t>
        </is>
      </c>
      <c r="J911" s="13" t="n">
        <v>225</v>
      </c>
      <c r="K911" s="1" t="inlineStr"/>
      <c r="L911" s="13" t="n">
        <v>225</v>
      </c>
      <c r="M911" s="1">
        <f>IF(L911="","ไม่พบใน SG",IF(ABS(J911-L911)&lt;0.005,"ตรงกัน","ไม่ตรง"))</f>
        <v/>
      </c>
      <c r="N911" s="14">
        <f>IF(L911="","",ROUND(L911*'สรุป'!$C$6,-1))</f>
        <v/>
      </c>
      <c r="O911" s="15" t="n"/>
      <c r="P911" s="15" t="n"/>
      <c r="Q911" s="10" t="n"/>
      <c r="R911" s="10" t="n"/>
      <c r="S911" s="16" t="inlineStr">
        <is>
          <t>https://mstgolf.co.th/products/gf2500201101</t>
        </is>
      </c>
      <c r="T911" s="1">
        <f>IF(B911="ไม้กอล์ฟ",J911,"")</f>
        <v/>
      </c>
    </row>
    <row r="912">
      <c r="A912" s="1" t="n">
        <v>2</v>
      </c>
      <c r="B912" s="1" t="inlineStr">
        <is>
          <t>รองเท้า</t>
        </is>
      </c>
      <c r="C912" s="1" t="inlineStr">
        <is>
          <t>gf2500200530</t>
        </is>
      </c>
      <c r="D912" s="1" t="inlineStr">
        <is>
          <t>GFORE Collection Gallivanter Wide Men's Spikeless Shoes (Black)</t>
        </is>
      </c>
      <c r="E912" s="1" t="inlineStr">
        <is>
          <t>GFORE</t>
        </is>
      </c>
      <c r="F912" s="1" t="inlineStr">
        <is>
          <t>SPIKELESS SHOES</t>
        </is>
      </c>
      <c r="G912" s="1" t="inlineStr">
        <is>
          <t>GF2500200530US7</t>
        </is>
      </c>
      <c r="H912" s="1" t="n">
        <v>8</v>
      </c>
      <c r="I912" s="1" t="inlineStr">
        <is>
          <t>มี</t>
        </is>
      </c>
      <c r="J912" s="13" t="n">
        <v>225</v>
      </c>
      <c r="K912" s="1" t="inlineStr"/>
      <c r="L912" s="13" t="n">
        <v>225</v>
      </c>
      <c r="M912" s="1">
        <f>IF(L912="","ไม่พบใน SG",IF(ABS(J912-L912)&lt;0.005,"ตรงกัน","ไม่ตรง"))</f>
        <v/>
      </c>
      <c r="N912" s="14">
        <f>IF(L912="","",ROUND(L912*'สรุป'!$C$6,-1))</f>
        <v/>
      </c>
      <c r="O912" s="15" t="n"/>
      <c r="P912" s="15" t="n"/>
      <c r="Q912" s="10" t="n"/>
      <c r="R912" s="10" t="n"/>
      <c r="S912" s="16" t="inlineStr">
        <is>
          <t>https://mstgolf.co.th/products/gf2500200530</t>
        </is>
      </c>
      <c r="T912" s="1">
        <f>IF(B912="ไม้กอล์ฟ",J912,"")</f>
        <v/>
      </c>
    </row>
    <row r="913">
      <c r="A913" s="1" t="n">
        <v>2</v>
      </c>
      <c r="B913" s="1" t="inlineStr">
        <is>
          <t>รองเท้า</t>
        </is>
      </c>
      <c r="C913" s="1" t="inlineStr">
        <is>
          <t>gf2500200851</t>
        </is>
      </c>
      <c r="D913" s="1" t="inlineStr">
        <is>
          <t>GFORE MG4+ Color Block Men's Spikeless Shoes (Monument)</t>
        </is>
      </c>
      <c r="E913" s="1" t="inlineStr">
        <is>
          <t>GFORE</t>
        </is>
      </c>
      <c r="F913" s="1" t="inlineStr">
        <is>
          <t>SPIKELESS SHOES</t>
        </is>
      </c>
      <c r="G913" s="1" t="inlineStr">
        <is>
          <t>GF2500200851US7</t>
        </is>
      </c>
      <c r="H913" s="1" t="n">
        <v>11</v>
      </c>
      <c r="I913" s="1" t="inlineStr">
        <is>
          <t>มี</t>
        </is>
      </c>
      <c r="J913" s="13" t="n">
        <v>225</v>
      </c>
      <c r="K913" s="1" t="inlineStr"/>
      <c r="L913" s="13" t="n">
        <v>225</v>
      </c>
      <c r="M913" s="1">
        <f>IF(L913="","ไม่พบใน SG",IF(ABS(J913-L913)&lt;0.005,"ตรงกัน","ไม่ตรง"))</f>
        <v/>
      </c>
      <c r="N913" s="14">
        <f>IF(L913="","",ROUND(L913*'สรุป'!$C$6,-1))</f>
        <v/>
      </c>
      <c r="O913" s="15" t="n"/>
      <c r="P913" s="15" t="n"/>
      <c r="Q913" s="10" t="n"/>
      <c r="R913" s="10" t="n"/>
      <c r="S913" s="16" t="inlineStr">
        <is>
          <t>https://mstgolf.co.th/products/gf2500200851</t>
        </is>
      </c>
      <c r="T913" s="1">
        <f>IF(B913="ไม้กอล์ฟ",J913,"")</f>
        <v/>
      </c>
    </row>
    <row r="914">
      <c r="A914" s="1" t="n">
        <v>2</v>
      </c>
      <c r="B914" s="1" t="inlineStr">
        <is>
          <t>รองเท้า</t>
        </is>
      </c>
      <c r="C914" s="1" t="inlineStr">
        <is>
          <t>gf2500200893</t>
        </is>
      </c>
      <c r="D914" s="1" t="inlineStr">
        <is>
          <t>GFORE MG4+ Tonal Star Men's Spikeless Shoes (Black)</t>
        </is>
      </c>
      <c r="E914" s="1" t="inlineStr">
        <is>
          <t>GFORE</t>
        </is>
      </c>
      <c r="F914" s="1" t="inlineStr">
        <is>
          <t>SPIKELESS SHOES</t>
        </is>
      </c>
      <c r="G914" s="1" t="inlineStr">
        <is>
          <t>GF2500200893US7</t>
        </is>
      </c>
      <c r="H914" s="1" t="n">
        <v>10</v>
      </c>
      <c r="I914" s="1" t="inlineStr">
        <is>
          <t>มี</t>
        </is>
      </c>
      <c r="J914" s="13" t="n">
        <v>225</v>
      </c>
      <c r="K914" s="1" t="inlineStr"/>
      <c r="L914" s="13" t="n">
        <v>225</v>
      </c>
      <c r="M914" s="1">
        <f>IF(L914="","ไม่พบใน SG",IF(ABS(J914-L914)&lt;0.005,"ตรงกัน","ไม่ตรง"))</f>
        <v/>
      </c>
      <c r="N914" s="14">
        <f>IF(L914="","",ROUND(L914*'สรุป'!$C$6,-1))</f>
        <v/>
      </c>
      <c r="O914" s="15" t="n"/>
      <c r="P914" s="15" t="n"/>
      <c r="Q914" s="10" t="n"/>
      <c r="R914" s="10" t="n"/>
      <c r="S914" s="16" t="inlineStr">
        <is>
          <t>https://mstgolf.co.th/products/gf2500200893</t>
        </is>
      </c>
      <c r="T914" s="1">
        <f>IF(B914="ไม้กอล์ฟ",J914,"")</f>
        <v/>
      </c>
    </row>
    <row r="915">
      <c r="A915" s="1" t="n">
        <v>2</v>
      </c>
      <c r="B915" s="1" t="inlineStr">
        <is>
          <t>รองเท้า</t>
        </is>
      </c>
      <c r="C915" s="1" t="inlineStr">
        <is>
          <t>gf2500200895</t>
        </is>
      </c>
      <c r="D915" s="1" t="inlineStr">
        <is>
          <t>GFORE MG4X2 Golf Men's Spikeless Shoes (Petrol)</t>
        </is>
      </c>
      <c r="E915" s="1" t="inlineStr">
        <is>
          <t>GFORE</t>
        </is>
      </c>
      <c r="F915" s="1" t="inlineStr">
        <is>
          <t>SPIKELESS SHOES</t>
        </is>
      </c>
      <c r="G915" s="1" t="inlineStr">
        <is>
          <t>GF2500200895US7</t>
        </is>
      </c>
      <c r="H915" s="1" t="n">
        <v>10</v>
      </c>
      <c r="I915" s="1" t="inlineStr">
        <is>
          <t>มี</t>
        </is>
      </c>
      <c r="J915" s="13" t="n">
        <v>225</v>
      </c>
      <c r="K915" s="1" t="inlineStr"/>
      <c r="L915" s="13" t="n">
        <v>225</v>
      </c>
      <c r="M915" s="1">
        <f>IF(L915="","ไม่พบใน SG",IF(ABS(J915-L915)&lt;0.005,"ตรงกัน","ไม่ตรง"))</f>
        <v/>
      </c>
      <c r="N915" s="14">
        <f>IF(L915="","",ROUND(L915*'สรุป'!$C$6,-1))</f>
        <v/>
      </c>
      <c r="O915" s="15" t="n"/>
      <c r="P915" s="15" t="n"/>
      <c r="Q915" s="10" t="n"/>
      <c r="R915" s="10" t="n"/>
      <c r="S915" s="16" t="inlineStr">
        <is>
          <t>https://mstgolf.co.th/products/gf2500200895</t>
        </is>
      </c>
      <c r="T915" s="1">
        <f>IF(B915="ไม้กอล์ฟ",J915,"")</f>
        <v/>
      </c>
    </row>
    <row r="916">
      <c r="A916" s="1" t="n">
        <v>2</v>
      </c>
      <c r="B916" s="1" t="inlineStr">
        <is>
          <t>รองเท้า</t>
        </is>
      </c>
      <c r="C916" s="1" t="inlineStr">
        <is>
          <t>gf2500200894</t>
        </is>
      </c>
      <c r="D916" s="1" t="inlineStr">
        <is>
          <t>GFORE MG4X2 Golf Men's Spikeless Shoes (Poppy)</t>
        </is>
      </c>
      <c r="E916" s="1" t="inlineStr">
        <is>
          <t>GFORE</t>
        </is>
      </c>
      <c r="F916" s="1" t="inlineStr">
        <is>
          <t>SPIKELESS SHOES</t>
        </is>
      </c>
      <c r="G916" s="1" t="inlineStr">
        <is>
          <t>GF2500200894US7</t>
        </is>
      </c>
      <c r="H916" s="1" t="n">
        <v>10</v>
      </c>
      <c r="I916" s="1" t="inlineStr">
        <is>
          <t>มี</t>
        </is>
      </c>
      <c r="J916" s="13" t="n">
        <v>225</v>
      </c>
      <c r="K916" s="1" t="inlineStr"/>
      <c r="L916" s="13" t="n">
        <v>225</v>
      </c>
      <c r="M916" s="1">
        <f>IF(L916="","ไม่พบใน SG",IF(ABS(J916-L916)&lt;0.005,"ตรงกัน","ไม่ตรง"))</f>
        <v/>
      </c>
      <c r="N916" s="14">
        <f>IF(L916="","",ROUND(L916*'สรุป'!$C$6,-1))</f>
        <v/>
      </c>
      <c r="O916" s="15" t="n"/>
      <c r="P916" s="15" t="n"/>
      <c r="Q916" s="10" t="n"/>
      <c r="R916" s="10" t="n"/>
      <c r="S916" s="16" t="inlineStr">
        <is>
          <t>https://mstgolf.co.th/products/gf2500200894</t>
        </is>
      </c>
      <c r="T916" s="1">
        <f>IF(B916="ไม้กอล์ฟ",J916,"")</f>
        <v/>
      </c>
    </row>
    <row r="917">
      <c r="A917" s="1" t="n">
        <v>2</v>
      </c>
      <c r="B917" s="1" t="inlineStr">
        <is>
          <t>รองเท้า</t>
        </is>
      </c>
      <c r="C917" s="1" t="inlineStr">
        <is>
          <t>gf2500200910</t>
        </is>
      </c>
      <c r="D917" s="1" t="inlineStr">
        <is>
          <t>GFORE MG4X2 Golf Women's Spikeless Shoes (Gradient Camo)</t>
        </is>
      </c>
      <c r="E917" s="1" t="inlineStr">
        <is>
          <t>GFORE</t>
        </is>
      </c>
      <c r="F917" s="1" t="inlineStr">
        <is>
          <t>SPIKELESS SHOES</t>
        </is>
      </c>
      <c r="G917" s="1" t="inlineStr">
        <is>
          <t>GF2500200910US5</t>
        </is>
      </c>
      <c r="H917" s="1" t="n">
        <v>8</v>
      </c>
      <c r="I917" s="1" t="inlineStr">
        <is>
          <t>มี</t>
        </is>
      </c>
      <c r="J917" s="13" t="n">
        <v>225</v>
      </c>
      <c r="K917" s="1" t="inlineStr"/>
      <c r="L917" s="13" t="n">
        <v>225</v>
      </c>
      <c r="M917" s="1">
        <f>IF(L917="","ไม่พบใน SG",IF(ABS(J917-L917)&lt;0.005,"ตรงกัน","ไม่ตรง"))</f>
        <v/>
      </c>
      <c r="N917" s="14">
        <f>IF(L917="","",ROUND(L917*'สรุป'!$C$6,-1))</f>
        <v/>
      </c>
      <c r="O917" s="15" t="n"/>
      <c r="P917" s="15" t="n"/>
      <c r="Q917" s="10" t="n"/>
      <c r="R917" s="10" t="n"/>
      <c r="S917" s="16" t="inlineStr">
        <is>
          <t>https://mstgolf.co.th/products/gf2500200910</t>
        </is>
      </c>
      <c r="T917" s="1">
        <f>IF(B917="ไม้กอล์ฟ",J917,"")</f>
        <v/>
      </c>
    </row>
    <row r="918">
      <c r="A918" s="1" t="n">
        <v>2</v>
      </c>
      <c r="B918" s="1" t="inlineStr">
        <is>
          <t>รองเท้า</t>
        </is>
      </c>
      <c r="C918" s="1" t="inlineStr">
        <is>
          <t>gf2500201102</t>
        </is>
      </c>
      <c r="D918" s="1" t="inlineStr">
        <is>
          <t>GFORE MG4X2 Trainer Men's Spikeless Shoes (Poppy)</t>
        </is>
      </c>
      <c r="E918" s="1" t="inlineStr">
        <is>
          <t>GFORE</t>
        </is>
      </c>
      <c r="F918" s="1" t="inlineStr">
        <is>
          <t>SPIKELESS SHOES</t>
        </is>
      </c>
      <c r="G918" s="1" t="inlineStr">
        <is>
          <t>GF2500201102US6.5</t>
        </is>
      </c>
      <c r="H918" s="1" t="n">
        <v>12</v>
      </c>
      <c r="I918" s="1" t="inlineStr">
        <is>
          <t>มี</t>
        </is>
      </c>
      <c r="J918" s="13" t="n">
        <v>225</v>
      </c>
      <c r="K918" s="1" t="inlineStr"/>
      <c r="L918" s="13" t="n">
        <v>225</v>
      </c>
      <c r="M918" s="1">
        <f>IF(L918="","ไม่พบใน SG",IF(ABS(J918-L918)&lt;0.005,"ตรงกัน","ไม่ตรง"))</f>
        <v/>
      </c>
      <c r="N918" s="14">
        <f>IF(L918="","",ROUND(L918*'สรุป'!$C$6,-1))</f>
        <v/>
      </c>
      <c r="O918" s="15" t="n"/>
      <c r="P918" s="15" t="n"/>
      <c r="Q918" s="10" t="n"/>
      <c r="R918" s="10" t="n"/>
      <c r="S918" s="16" t="inlineStr">
        <is>
          <t>https://mstgolf.co.th/products/gf2500201102</t>
        </is>
      </c>
      <c r="T918" s="1">
        <f>IF(B918="ไม้กอล์ฟ",J918,"")</f>
        <v/>
      </c>
    </row>
    <row r="919">
      <c r="A919" s="1" t="n">
        <v>2</v>
      </c>
      <c r="B919" s="1" t="inlineStr">
        <is>
          <t>ถุงกอล์ฟ</t>
        </is>
      </c>
      <c r="C919" s="1" t="inlineStr">
        <is>
          <t>gf3000102585</t>
        </is>
      </c>
      <c r="D919" s="1" t="inlineStr">
        <is>
          <t>ONOFF OB7923 8.5" Women's Caddie Bag (White/Blue)</t>
        </is>
      </c>
      <c r="E919" s="1" t="inlineStr">
        <is>
          <t>ONOFF</t>
        </is>
      </c>
      <c r="F919" s="1" t="inlineStr">
        <is>
          <t>CADDIE/CART BAG</t>
        </is>
      </c>
      <c r="G919" s="1" t="inlineStr">
        <is>
          <t>GF3000102585</t>
        </is>
      </c>
      <c r="H919" s="1" t="n">
        <v>1</v>
      </c>
      <c r="I919" s="1" t="inlineStr">
        <is>
          <t>มี</t>
        </is>
      </c>
      <c r="J919" s="13" t="n">
        <v>225</v>
      </c>
      <c r="K919" s="1" t="inlineStr"/>
      <c r="L919" s="13" t="n">
        <v>225</v>
      </c>
      <c r="M919" s="1">
        <f>IF(L919="","ไม่พบใน SG",IF(ABS(J919-L919)&lt;0.005,"ตรงกัน","ไม่ตรง"))</f>
        <v/>
      </c>
      <c r="N919" s="14">
        <f>IF(L919="","",ROUND(L919*'สรุป'!$C$6,-1))</f>
        <v/>
      </c>
      <c r="O919" s="15" t="n"/>
      <c r="P919" s="15" t="n"/>
      <c r="Q919" s="10" t="n"/>
      <c r="R919" s="10" t="n"/>
      <c r="S919" s="16" t="inlineStr">
        <is>
          <t>https://mstgolf.co.th/products/gf3000102585</t>
        </is>
      </c>
      <c r="T919" s="1">
        <f>IF(B919="ไม้กอล์ฟ",J919,"")</f>
        <v/>
      </c>
    </row>
    <row r="920">
      <c r="A920" s="1" t="n">
        <v>2</v>
      </c>
      <c r="B920" s="1" t="inlineStr">
        <is>
          <t>รองเท้า</t>
        </is>
      </c>
      <c r="C920" s="1" t="inlineStr">
        <is>
          <t>gf2500102699</t>
        </is>
      </c>
      <c r="D920" s="1" t="inlineStr">
        <is>
          <t>UNDER ARMOUR Drive Pro BOA Men's Spiked Shoes (White/Navy)</t>
        </is>
      </c>
      <c r="E920" s="1" t="inlineStr">
        <is>
          <t>UNDER ARMOUR</t>
        </is>
      </c>
      <c r="F920" s="1" t="inlineStr">
        <is>
          <t>SPIKE SHOES</t>
        </is>
      </c>
      <c r="G920" s="1" t="inlineStr">
        <is>
          <t>GF2500102699US7</t>
        </is>
      </c>
      <c r="H920" s="1" t="n">
        <v>10</v>
      </c>
      <c r="I920" s="1" t="inlineStr">
        <is>
          <t>มี</t>
        </is>
      </c>
      <c r="J920" s="13" t="n">
        <v>225</v>
      </c>
      <c r="K920" s="1" t="inlineStr"/>
      <c r="L920" s="13" t="n">
        <v>225</v>
      </c>
      <c r="M920" s="1">
        <f>IF(L920="","ไม่พบใน SG",IF(ABS(J920-L920)&lt;0.005,"ตรงกัน","ไม่ตรง"))</f>
        <v/>
      </c>
      <c r="N920" s="14">
        <f>IF(L920="","",ROUND(L920*'สรุป'!$C$6,-1))</f>
        <v/>
      </c>
      <c r="O920" s="15" t="n"/>
      <c r="P920" s="15" t="n"/>
      <c r="Q920" s="10" t="n"/>
      <c r="R920" s="10" t="n"/>
      <c r="S920" s="16" t="inlineStr">
        <is>
          <t>https://mstgolf.co.th/products/gf2500102699</t>
        </is>
      </c>
      <c r="T920" s="1">
        <f>IF(B920="ไม้กอล์ฟ",J920,"")</f>
        <v/>
      </c>
    </row>
    <row r="921">
      <c r="A921" s="1" t="n">
        <v>2</v>
      </c>
      <c r="B921" s="1" t="inlineStr">
        <is>
          <t>รองเท้า</t>
        </is>
      </c>
      <c r="C921" s="1" t="inlineStr">
        <is>
          <t>gf2500201414</t>
        </is>
      </c>
      <c r="D921" s="1" t="inlineStr">
        <is>
          <t>ADIDAS Stan Smith BOA Men's Spikeless Shoes (White/White/Green)</t>
        </is>
      </c>
      <c r="E921" s="1" t="inlineStr">
        <is>
          <t>ADIDAS</t>
        </is>
      </c>
      <c r="F921" s="1" t="inlineStr">
        <is>
          <t>SPIKELESS SHOES</t>
        </is>
      </c>
      <c r="G921" s="1" t="inlineStr">
        <is>
          <t>GF2500201414UK5</t>
        </is>
      </c>
      <c r="H921" s="1" t="n">
        <v>14</v>
      </c>
      <c r="I921" s="1" t="inlineStr">
        <is>
          <t>มี</t>
        </is>
      </c>
      <c r="J921" s="13" t="n">
        <v>219</v>
      </c>
      <c r="K921" s="1" t="inlineStr"/>
      <c r="L921" s="13" t="n">
        <v>159</v>
      </c>
      <c r="M921" s="1">
        <f>IF(L921="","ไม่พบใน SG",IF(ABS(J921-L921)&lt;0.005,"ตรงกัน","ไม่ตรง"))</f>
        <v/>
      </c>
      <c r="N921" s="14">
        <f>IF(L921="","",ROUND(L921*'สรุป'!$C$6,-1))</f>
        <v/>
      </c>
      <c r="O921" s="15" t="n"/>
      <c r="P921" s="15" t="n"/>
      <c r="Q921" s="10" t="n"/>
      <c r="R921" s="10" t="n"/>
      <c r="S921" s="16" t="inlineStr">
        <is>
          <t>https://mstgolf.co.th/products/gf2500201414</t>
        </is>
      </c>
      <c r="T921" s="1">
        <f>IF(B921="ไม้กอล์ฟ",J921,"")</f>
        <v/>
      </c>
    </row>
    <row r="922">
      <c r="A922" s="1" t="n">
        <v>2</v>
      </c>
      <c r="B922" s="1" t="inlineStr">
        <is>
          <t>รองเท้า</t>
        </is>
      </c>
      <c r="C922" s="1" t="inlineStr">
        <is>
          <t>gf2500201265</t>
        </is>
      </c>
      <c r="D922" s="1" t="inlineStr">
        <is>
          <t>GFORE G.112 Skull Men's Spikeless Shoes (Snow/Twilight)</t>
        </is>
      </c>
      <c r="E922" s="1" t="inlineStr">
        <is>
          <t>GFORE</t>
        </is>
      </c>
      <c r="F922" s="1" t="inlineStr">
        <is>
          <t>SPIKELESS SHOES</t>
        </is>
      </c>
      <c r="G922" s="1" t="inlineStr">
        <is>
          <t>GF2500201265US7.5</t>
        </is>
      </c>
      <c r="H922" s="1" t="n">
        <v>11</v>
      </c>
      <c r="I922" s="1" t="inlineStr">
        <is>
          <t>มี</t>
        </is>
      </c>
      <c r="J922" s="13" t="n">
        <v>219</v>
      </c>
      <c r="K922" s="1" t="inlineStr"/>
      <c r="L922" s="13" t="n">
        <v>219</v>
      </c>
      <c r="M922" s="1">
        <f>IF(L922="","ไม่พบใน SG",IF(ABS(J922-L922)&lt;0.005,"ตรงกัน","ไม่ตรง"))</f>
        <v/>
      </c>
      <c r="N922" s="14">
        <f>IF(L922="","",ROUND(L922*'สรุป'!$C$6,-1))</f>
        <v/>
      </c>
      <c r="O922" s="15" t="n"/>
      <c r="P922" s="15" t="n"/>
      <c r="Q922" s="10" t="n"/>
      <c r="R922" s="10" t="n"/>
      <c r="S922" s="16" t="inlineStr">
        <is>
          <t>https://mstgolf.co.th/products/gf2500201265</t>
        </is>
      </c>
      <c r="T922" s="1">
        <f>IF(B922="ไม้กอล์ฟ",J922,"")</f>
        <v/>
      </c>
    </row>
    <row r="923">
      <c r="A923" s="1" t="n">
        <v>2</v>
      </c>
      <c r="B923" s="1" t="inlineStr">
        <is>
          <t>รองเท้า</t>
        </is>
      </c>
      <c r="C923" s="1" t="inlineStr">
        <is>
          <t>gf2500201268</t>
        </is>
      </c>
      <c r="D923" s="1" t="inlineStr">
        <is>
          <t>GFORE G.112 Women's Spikeless Shoes (Snow/Clover)</t>
        </is>
      </c>
      <c r="E923" s="1" t="inlineStr">
        <is>
          <t>GFORE</t>
        </is>
      </c>
      <c r="F923" s="1" t="inlineStr">
        <is>
          <t>SPIKELESS SHOES</t>
        </is>
      </c>
      <c r="G923" s="1" t="inlineStr">
        <is>
          <t>GF2500201268US5.5</t>
        </is>
      </c>
      <c r="H923" s="1" t="n">
        <v>8</v>
      </c>
      <c r="I923" s="1" t="inlineStr">
        <is>
          <t>มี</t>
        </is>
      </c>
      <c r="J923" s="13" t="n">
        <v>219</v>
      </c>
      <c r="K923" s="1" t="inlineStr"/>
      <c r="L923" s="13" t="n">
        <v>219</v>
      </c>
      <c r="M923" s="1">
        <f>IF(L923="","ไม่พบใน SG",IF(ABS(J923-L923)&lt;0.005,"ตรงกัน","ไม่ตรง"))</f>
        <v/>
      </c>
      <c r="N923" s="14">
        <f>IF(L923="","",ROUND(L923*'สรุป'!$C$6,-1))</f>
        <v/>
      </c>
      <c r="O923" s="15" t="n"/>
      <c r="P923" s="15" t="n"/>
      <c r="Q923" s="10" t="n"/>
      <c r="R923" s="10" t="n"/>
      <c r="S923" s="16" t="inlineStr">
        <is>
          <t>https://mstgolf.co.th/products/gf2500201268</t>
        </is>
      </c>
      <c r="T923" s="1">
        <f>IF(B923="ไม้กอล์ฟ",J923,"")</f>
        <v/>
      </c>
    </row>
    <row r="924">
      <c r="A924" s="1" t="n">
        <v>2</v>
      </c>
      <c r="B924" s="1" t="inlineStr">
        <is>
          <t>รองเท้า</t>
        </is>
      </c>
      <c r="C924" s="1" t="inlineStr">
        <is>
          <t>gf2500201073</t>
        </is>
      </c>
      <c r="D924" s="1" t="inlineStr">
        <is>
          <t>GFORE MG4+ Men's Spikeless Shoes (Gecko)</t>
        </is>
      </c>
      <c r="E924" s="1" t="inlineStr">
        <is>
          <t>GFORE</t>
        </is>
      </c>
      <c r="F924" s="1" t="inlineStr">
        <is>
          <t>SPIKELESS SHOES</t>
        </is>
      </c>
      <c r="G924" s="1" t="inlineStr">
        <is>
          <t>GF2500201073US7</t>
        </is>
      </c>
      <c r="H924" s="1" t="n">
        <v>10</v>
      </c>
      <c r="I924" s="1" t="inlineStr">
        <is>
          <t>มี</t>
        </is>
      </c>
      <c r="J924" s="13" t="n">
        <v>219</v>
      </c>
      <c r="K924" s="1" t="inlineStr"/>
      <c r="L924" s="13" t="n">
        <v>219</v>
      </c>
      <c r="M924" s="1">
        <f>IF(L924="","ไม่พบใน SG",IF(ABS(J924-L924)&lt;0.005,"ตรงกัน","ไม่ตรง"))</f>
        <v/>
      </c>
      <c r="N924" s="14">
        <f>IF(L924="","",ROUND(L924*'สรุป'!$C$6,-1))</f>
        <v/>
      </c>
      <c r="O924" s="15" t="n"/>
      <c r="P924" s="15" t="n"/>
      <c r="Q924" s="10" t="n"/>
      <c r="R924" s="10" t="n"/>
      <c r="S924" s="16" t="inlineStr">
        <is>
          <t>https://mstgolf.co.th/products/gf2500201073</t>
        </is>
      </c>
      <c r="T924" s="1">
        <f>IF(B924="ไม้กอล์ฟ",J924,"")</f>
        <v/>
      </c>
    </row>
    <row r="925">
      <c r="A925" s="1" t="n">
        <v>2</v>
      </c>
      <c r="B925" s="1" t="inlineStr">
        <is>
          <t>รองเท้า</t>
        </is>
      </c>
      <c r="C925" s="1" t="inlineStr">
        <is>
          <t>gf2500201324</t>
        </is>
      </c>
      <c r="D925" s="1" t="inlineStr">
        <is>
          <t>GFORE MG4+ Men's Spikeless Shoes (Snow)</t>
        </is>
      </c>
      <c r="E925" s="1" t="inlineStr">
        <is>
          <t>GFORE</t>
        </is>
      </c>
      <c r="F925" s="1" t="inlineStr">
        <is>
          <t>SPIKELESS SHOES</t>
        </is>
      </c>
      <c r="G925" s="1" t="inlineStr">
        <is>
          <t>GF2500201324US7</t>
        </is>
      </c>
      <c r="H925" s="1" t="n">
        <v>10</v>
      </c>
      <c r="I925" s="1" t="inlineStr">
        <is>
          <t>มี</t>
        </is>
      </c>
      <c r="J925" s="13" t="n">
        <v>219</v>
      </c>
      <c r="K925" s="1" t="inlineStr"/>
      <c r="L925" s="13" t="n">
        <v>219</v>
      </c>
      <c r="M925" s="1">
        <f>IF(L925="","ไม่พบใน SG",IF(ABS(J925-L925)&lt;0.005,"ตรงกัน","ไม่ตรง"))</f>
        <v/>
      </c>
      <c r="N925" s="14">
        <f>IF(L925="","",ROUND(L925*'สรุป'!$C$6,-1))</f>
        <v/>
      </c>
      <c r="O925" s="15" t="n"/>
      <c r="P925" s="15" t="n"/>
      <c r="Q925" s="10" t="n"/>
      <c r="R925" s="10" t="n"/>
      <c r="S925" s="16" t="inlineStr">
        <is>
          <t>https://mstgolf.co.th/products/gf2500201324</t>
        </is>
      </c>
      <c r="T925" s="1">
        <f>IF(B925="ไม้กอล์ฟ",J925,"")</f>
        <v/>
      </c>
    </row>
    <row r="926">
      <c r="A926" s="1" t="n">
        <v>2</v>
      </c>
      <c r="B926" s="1" t="inlineStr">
        <is>
          <t>รองเท้า</t>
        </is>
      </c>
      <c r="C926" s="1" t="inlineStr">
        <is>
          <t>gf2500201154</t>
        </is>
      </c>
      <c r="D926" s="1" t="inlineStr">
        <is>
          <t>GFORE MG4+ Men's Spikeless Shoes (Snow/Charcoal)</t>
        </is>
      </c>
      <c r="E926" s="1" t="inlineStr">
        <is>
          <t>GFORE</t>
        </is>
      </c>
      <c r="F926" s="1" t="inlineStr">
        <is>
          <t>SPIKELESS SHOES</t>
        </is>
      </c>
      <c r="G926" s="1" t="inlineStr">
        <is>
          <t>GF2500201154US7</t>
        </is>
      </c>
      <c r="H926" s="1" t="n">
        <v>10</v>
      </c>
      <c r="I926" s="1" t="inlineStr">
        <is>
          <t>มี</t>
        </is>
      </c>
      <c r="J926" s="13" t="n">
        <v>219</v>
      </c>
      <c r="K926" s="1" t="inlineStr"/>
      <c r="L926" s="13" t="n">
        <v>219</v>
      </c>
      <c r="M926" s="1">
        <f>IF(L926="","ไม่พบใน SG",IF(ABS(J926-L926)&lt;0.005,"ตรงกัน","ไม่ตรง"))</f>
        <v/>
      </c>
      <c r="N926" s="14">
        <f>IF(L926="","",ROUND(L926*'สรุป'!$C$6,-1))</f>
        <v/>
      </c>
      <c r="O926" s="15" t="n"/>
      <c r="P926" s="15" t="n"/>
      <c r="Q926" s="10" t="n"/>
      <c r="R926" s="10" t="n"/>
      <c r="S926" s="16" t="inlineStr">
        <is>
          <t>https://mstgolf.co.th/products/gf2500201154</t>
        </is>
      </c>
      <c r="T926" s="1">
        <f>IF(B926="ไม้กอล์ฟ",J926,"")</f>
        <v/>
      </c>
    </row>
    <row r="927">
      <c r="A927" s="1" t="n">
        <v>2</v>
      </c>
      <c r="B927" s="1" t="inlineStr">
        <is>
          <t>รองเท้า</t>
        </is>
      </c>
      <c r="C927" s="1" t="inlineStr">
        <is>
          <t>gf2500201157</t>
        </is>
      </c>
      <c r="D927" s="1" t="inlineStr">
        <is>
          <t>GFORE MG4+ Mid Top Men's Spikeless Shoes (Lava)</t>
        </is>
      </c>
      <c r="E927" s="1" t="inlineStr">
        <is>
          <t>GFORE</t>
        </is>
      </c>
      <c r="F927" s="1" t="inlineStr">
        <is>
          <t>SPIKELESS SHOES</t>
        </is>
      </c>
      <c r="G927" s="1" t="inlineStr">
        <is>
          <t>GF2500201157US7</t>
        </is>
      </c>
      <c r="H927" s="1" t="n">
        <v>10</v>
      </c>
      <c r="I927" s="1" t="inlineStr">
        <is>
          <t>มี</t>
        </is>
      </c>
      <c r="J927" s="13" t="n">
        <v>219</v>
      </c>
      <c r="K927" s="1" t="inlineStr"/>
      <c r="L927" s="13" t="n">
        <v>219</v>
      </c>
      <c r="M927" s="1">
        <f>IF(L927="","ไม่พบใน SG",IF(ABS(J927-L927)&lt;0.005,"ตรงกัน","ไม่ตรง"))</f>
        <v/>
      </c>
      <c r="N927" s="14">
        <f>IF(L927="","",ROUND(L927*'สรุป'!$C$6,-1))</f>
        <v/>
      </c>
      <c r="O927" s="15" t="n"/>
      <c r="P927" s="15" t="n"/>
      <c r="Q927" s="10" t="n"/>
      <c r="R927" s="10" t="n"/>
      <c r="S927" s="16" t="inlineStr">
        <is>
          <t>https://mstgolf.co.th/products/gf2500201157</t>
        </is>
      </c>
      <c r="T927" s="1">
        <f>IF(B927="ไม้กอล์ฟ",J927,"")</f>
        <v/>
      </c>
    </row>
    <row r="928">
      <c r="A928" s="1" t="n">
        <v>2</v>
      </c>
      <c r="B928" s="1" t="inlineStr">
        <is>
          <t>รองเท้า</t>
        </is>
      </c>
      <c r="C928" s="1" t="inlineStr">
        <is>
          <t>gf2500201161</t>
        </is>
      </c>
      <c r="D928" s="1" t="inlineStr">
        <is>
          <t>GFORE MG4+ Perforated Women's Spikeless Shoes (Snow/Multi)</t>
        </is>
      </c>
      <c r="E928" s="1" t="inlineStr">
        <is>
          <t>GFORE</t>
        </is>
      </c>
      <c r="F928" s="1" t="inlineStr">
        <is>
          <t>SPIKELESS SHOES</t>
        </is>
      </c>
      <c r="G928" s="1" t="inlineStr">
        <is>
          <t>GF2500201161US5.5</t>
        </is>
      </c>
      <c r="H928" s="1" t="n">
        <v>8</v>
      </c>
      <c r="I928" s="1" t="inlineStr">
        <is>
          <t>มี</t>
        </is>
      </c>
      <c r="J928" s="13" t="n">
        <v>219</v>
      </c>
      <c r="K928" s="1" t="inlineStr"/>
      <c r="L928" s="13" t="n">
        <v>219</v>
      </c>
      <c r="M928" s="1">
        <f>IF(L928="","ไม่พบใน SG",IF(ABS(J928-L928)&lt;0.005,"ตรงกัน","ไม่ตรง"))</f>
        <v/>
      </c>
      <c r="N928" s="14">
        <f>IF(L928="","",ROUND(L928*'สรุป'!$C$6,-1))</f>
        <v/>
      </c>
      <c r="O928" s="15" t="n"/>
      <c r="P928" s="15" t="n"/>
      <c r="Q928" s="10" t="n"/>
      <c r="R928" s="10" t="n"/>
      <c r="S928" s="16" t="inlineStr">
        <is>
          <t>https://mstgolf.co.th/products/gf2500201161</t>
        </is>
      </c>
      <c r="T928" s="1">
        <f>IF(B928="ไม้กอล์ฟ",J928,"")</f>
        <v/>
      </c>
    </row>
    <row r="929">
      <c r="A929" s="1" t="n">
        <v>2</v>
      </c>
      <c r="B929" s="1" t="inlineStr">
        <is>
          <t>รองเท้า</t>
        </is>
      </c>
      <c r="C929" s="1" t="inlineStr">
        <is>
          <t>gf2500201051</t>
        </is>
      </c>
      <c r="D929" s="1" t="inlineStr">
        <is>
          <t>GFORE MG4X2 G.Cross Trainer Men's Spikeless Shoes (Twilight)</t>
        </is>
      </c>
      <c r="E929" s="1" t="inlineStr">
        <is>
          <t>GFORE</t>
        </is>
      </c>
      <c r="F929" s="1" t="inlineStr">
        <is>
          <t>SPIKELESS SHOES</t>
        </is>
      </c>
      <c r="G929" s="1" t="inlineStr">
        <is>
          <t>GF2500201051US7</t>
        </is>
      </c>
      <c r="H929" s="1" t="n">
        <v>11</v>
      </c>
      <c r="I929" s="1" t="inlineStr">
        <is>
          <t>มี</t>
        </is>
      </c>
      <c r="J929" s="13" t="n">
        <v>219</v>
      </c>
      <c r="K929" s="1" t="inlineStr"/>
      <c r="L929" s="13" t="n">
        <v>219</v>
      </c>
      <c r="M929" s="1">
        <f>IF(L929="","ไม่พบใน SG",IF(ABS(J929-L929)&lt;0.005,"ตรงกัน","ไม่ตรง"))</f>
        <v/>
      </c>
      <c r="N929" s="14">
        <f>IF(L929="","",ROUND(L929*'สรุป'!$C$6,-1))</f>
        <v/>
      </c>
      <c r="O929" s="15" t="n"/>
      <c r="P929" s="15" t="n"/>
      <c r="Q929" s="10" t="n"/>
      <c r="R929" s="10" t="n"/>
      <c r="S929" s="16" t="inlineStr">
        <is>
          <t>https://mstgolf.co.th/products/gf2500201051</t>
        </is>
      </c>
      <c r="T929" s="1">
        <f>IF(B929="ไม้กอล์ฟ",J929,"")</f>
        <v/>
      </c>
    </row>
    <row r="930">
      <c r="A930" s="1" t="n">
        <v>2</v>
      </c>
      <c r="B930" s="1" t="inlineStr">
        <is>
          <t>รองเท้า</t>
        </is>
      </c>
      <c r="C930" s="1" t="inlineStr">
        <is>
          <t>gf2500201049</t>
        </is>
      </c>
      <c r="D930" s="1" t="inlineStr">
        <is>
          <t>GFORE MG4X2 Golf Cross Trainer Men's Spikeless Shoes (Onyx)</t>
        </is>
      </c>
      <c r="E930" s="1" t="inlineStr">
        <is>
          <t>GFORE</t>
        </is>
      </c>
      <c r="F930" s="1" t="inlineStr">
        <is>
          <t>SPIKELESS SHOES</t>
        </is>
      </c>
      <c r="G930" s="1" t="inlineStr">
        <is>
          <t>GF2500201049US7</t>
        </is>
      </c>
      <c r="H930" s="1" t="n">
        <v>11</v>
      </c>
      <c r="I930" s="1" t="inlineStr">
        <is>
          <t>มี</t>
        </is>
      </c>
      <c r="J930" s="13" t="n">
        <v>219</v>
      </c>
      <c r="K930" s="1" t="inlineStr"/>
      <c r="L930" s="13" t="n">
        <v>219</v>
      </c>
      <c r="M930" s="1">
        <f>IF(L930="","ไม่พบใน SG",IF(ABS(J930-L930)&lt;0.005,"ตรงกัน","ไม่ตรง"))</f>
        <v/>
      </c>
      <c r="N930" s="14">
        <f>IF(L930="","",ROUND(L930*'สรุป'!$C$6,-1))</f>
        <v/>
      </c>
      <c r="O930" s="15" t="n"/>
      <c r="P930" s="15" t="n"/>
      <c r="Q930" s="10" t="n"/>
      <c r="R930" s="10" t="n"/>
      <c r="S930" s="16" t="inlineStr">
        <is>
          <t>https://mstgolf.co.th/products/gf2500201049</t>
        </is>
      </c>
      <c r="T930" s="1">
        <f>IF(B930="ไม้กอล์ฟ",J930,"")</f>
        <v/>
      </c>
    </row>
    <row r="931">
      <c r="A931" s="1" t="n">
        <v>2</v>
      </c>
      <c r="B931" s="1" t="inlineStr">
        <is>
          <t>รองเท้า</t>
        </is>
      </c>
      <c r="C931" s="1" t="inlineStr">
        <is>
          <t>gf2500201074</t>
        </is>
      </c>
      <c r="D931" s="1" t="inlineStr">
        <is>
          <t>GFORE MG4X2 Golf Cross Trainer Men's Spikeless Shoes (Twilight)</t>
        </is>
      </c>
      <c r="E931" s="1" t="inlineStr">
        <is>
          <t>GFORE</t>
        </is>
      </c>
      <c r="F931" s="1" t="inlineStr">
        <is>
          <t>SPIKELESS SHOES</t>
        </is>
      </c>
      <c r="G931" s="1" t="inlineStr">
        <is>
          <t>GF2500201074US7</t>
        </is>
      </c>
      <c r="H931" s="1" t="n">
        <v>11</v>
      </c>
      <c r="I931" s="1" t="inlineStr">
        <is>
          <t>มี</t>
        </is>
      </c>
      <c r="J931" s="13" t="n">
        <v>219</v>
      </c>
      <c r="K931" s="1" t="inlineStr"/>
      <c r="L931" s="13" t="n">
        <v>219</v>
      </c>
      <c r="M931" s="1">
        <f>IF(L931="","ไม่พบใน SG",IF(ABS(J931-L931)&lt;0.005,"ตรงกัน","ไม่ตรง"))</f>
        <v/>
      </c>
      <c r="N931" s="14">
        <f>IF(L931="","",ROUND(L931*'สรุป'!$C$6,-1))</f>
        <v/>
      </c>
      <c r="O931" s="15" t="n"/>
      <c r="P931" s="15" t="n"/>
      <c r="Q931" s="10" t="n"/>
      <c r="R931" s="10" t="n"/>
      <c r="S931" s="16" t="inlineStr">
        <is>
          <t>https://mstgolf.co.th/products/gf2500201074</t>
        </is>
      </c>
      <c r="T931" s="1">
        <f>IF(B931="ไม้กอล์ฟ",J931,"")</f>
        <v/>
      </c>
    </row>
    <row r="932">
      <c r="A932" s="1" t="n">
        <v>2</v>
      </c>
      <c r="B932" s="1" t="inlineStr">
        <is>
          <t>รองเท้า</t>
        </is>
      </c>
      <c r="C932" s="1" t="inlineStr">
        <is>
          <t>gf2500201269</t>
        </is>
      </c>
      <c r="D932" s="1" t="inlineStr">
        <is>
          <t>GFORE MG4X2 Ripstop Women's Spikeless Shoes (Onyx/Powder)</t>
        </is>
      </c>
      <c r="E932" s="1" t="inlineStr">
        <is>
          <t>GFORE</t>
        </is>
      </c>
      <c r="F932" s="1" t="inlineStr">
        <is>
          <t>SPIKELESS SHOES</t>
        </is>
      </c>
      <c r="G932" s="1" t="inlineStr">
        <is>
          <t>GF2500201269US5.5</t>
        </is>
      </c>
      <c r="H932" s="1" t="n">
        <v>8</v>
      </c>
      <c r="I932" s="1" t="inlineStr">
        <is>
          <t>มี</t>
        </is>
      </c>
      <c r="J932" s="13" t="n">
        <v>219</v>
      </c>
      <c r="K932" s="1" t="inlineStr"/>
      <c r="L932" s="13" t="n">
        <v>219</v>
      </c>
      <c r="M932" s="1">
        <f>IF(L932="","ไม่พบใน SG",IF(ABS(J932-L932)&lt;0.005,"ตรงกัน","ไม่ตรง"))</f>
        <v/>
      </c>
      <c r="N932" s="14">
        <f>IF(L932="","",ROUND(L932*'สรุป'!$C$6,-1))</f>
        <v/>
      </c>
      <c r="O932" s="15" t="n"/>
      <c r="P932" s="15" t="n"/>
      <c r="Q932" s="10" t="n"/>
      <c r="R932" s="10" t="n"/>
      <c r="S932" s="16" t="inlineStr">
        <is>
          <t>https://mstgolf.co.th/products/gf2500201269</t>
        </is>
      </c>
      <c r="T932" s="1">
        <f>IF(B932="ไม้กอล์ฟ",J932,"")</f>
        <v/>
      </c>
    </row>
    <row r="933">
      <c r="A933" s="1" t="n">
        <v>2</v>
      </c>
      <c r="B933" s="1" t="inlineStr">
        <is>
          <t>รองเท้า</t>
        </is>
      </c>
      <c r="C933" s="1" t="inlineStr">
        <is>
          <t>gf2500200909</t>
        </is>
      </c>
      <c r="D933" s="1" t="inlineStr">
        <is>
          <t>GFORE MG4X2 Ripstop Women's Spikeless Shoes (Petrol Camo)</t>
        </is>
      </c>
      <c r="E933" s="1" t="inlineStr">
        <is>
          <t>GFORE</t>
        </is>
      </c>
      <c r="F933" s="1" t="inlineStr">
        <is>
          <t>SPIKELESS SHOES</t>
        </is>
      </c>
      <c r="G933" s="1" t="inlineStr">
        <is>
          <t>GF2500200909US5</t>
        </is>
      </c>
      <c r="H933" s="1" t="n">
        <v>9</v>
      </c>
      <c r="I933" s="1" t="inlineStr">
        <is>
          <t>มี</t>
        </is>
      </c>
      <c r="J933" s="13" t="n">
        <v>219</v>
      </c>
      <c r="K933" s="1" t="inlineStr"/>
      <c r="L933" s="13" t="n">
        <v>219</v>
      </c>
      <c r="M933" s="1">
        <f>IF(L933="","ไม่พบใน SG",IF(ABS(J933-L933)&lt;0.005,"ตรงกัน","ไม่ตรง"))</f>
        <v/>
      </c>
      <c r="N933" s="14">
        <f>IF(L933="","",ROUND(L933*'สรุป'!$C$6,-1))</f>
        <v/>
      </c>
      <c r="O933" s="15" t="n"/>
      <c r="P933" s="15" t="n"/>
      <c r="Q933" s="10" t="n"/>
      <c r="R933" s="10" t="n"/>
      <c r="S933" s="16" t="inlineStr">
        <is>
          <t>https://mstgolf.co.th/products/gf2500200909</t>
        </is>
      </c>
      <c r="T933" s="1">
        <f>IF(B933="ไม้กอล์ฟ",J933,"")</f>
        <v/>
      </c>
    </row>
    <row r="934">
      <c r="A934" s="1" t="n">
        <v>2</v>
      </c>
      <c r="B934" s="1" t="inlineStr">
        <is>
          <t>รองเท้า</t>
        </is>
      </c>
      <c r="C934" s="1" t="inlineStr">
        <is>
          <t>gf2500201378</t>
        </is>
      </c>
      <c r="D934" s="1" t="inlineStr">
        <is>
          <t>PUMA Shadowcat NITRO Disc Men's Spikeless Shoes (White/Green/Grey)</t>
        </is>
      </c>
      <c r="E934" s="1" t="inlineStr">
        <is>
          <t>PUMA</t>
        </is>
      </c>
      <c r="F934" s="1" t="inlineStr">
        <is>
          <t>SPIKELESS SHOES</t>
        </is>
      </c>
      <c r="G934" s="1" t="inlineStr">
        <is>
          <t>GF2500201378UK6.5</t>
        </is>
      </c>
      <c r="H934" s="1" t="n">
        <v>11</v>
      </c>
      <c r="I934" s="1" t="inlineStr">
        <is>
          <t>มี</t>
        </is>
      </c>
      <c r="J934" s="13" t="n">
        <v>219</v>
      </c>
      <c r="K934" s="1" t="inlineStr"/>
      <c r="L934" s="13" t="n">
        <v>199</v>
      </c>
      <c r="M934" s="1">
        <f>IF(L934="","ไม่พบใน SG",IF(ABS(J934-L934)&lt;0.005,"ตรงกัน","ไม่ตรง"))</f>
        <v/>
      </c>
      <c r="N934" s="14">
        <f>IF(L934="","",ROUND(L934*'สรุป'!$C$6,-1))</f>
        <v/>
      </c>
      <c r="O934" s="15" t="n"/>
      <c r="P934" s="15" t="n"/>
      <c r="Q934" s="10" t="n"/>
      <c r="R934" s="10" t="n"/>
      <c r="S934" s="16" t="inlineStr">
        <is>
          <t>https://mstgolf.co.th/products/gf2500201378</t>
        </is>
      </c>
      <c r="T934" s="1">
        <f>IF(B934="ไม้กอล์ฟ",J934,"")</f>
        <v/>
      </c>
    </row>
    <row r="935">
      <c r="A935" s="1" t="n">
        <v>2</v>
      </c>
      <c r="B935" s="1" t="inlineStr">
        <is>
          <t>ถุงกอล์ฟ</t>
        </is>
      </c>
      <c r="C935" s="1" t="inlineStr">
        <is>
          <t>gf3000102545</t>
        </is>
      </c>
      <c r="D935" s="1" t="inlineStr">
        <is>
          <t>TAYLORMADE 9.5" City-Tech Cart Bag (Yellow)</t>
        </is>
      </c>
      <c r="E935" s="1" t="inlineStr">
        <is>
          <t>TAYLORMADE</t>
        </is>
      </c>
      <c r="F935" s="1" t="inlineStr">
        <is>
          <t>CADDIE/CART BAG</t>
        </is>
      </c>
      <c r="G935" s="1" t="inlineStr">
        <is>
          <t>GF3000102545</t>
        </is>
      </c>
      <c r="H935" s="1" t="n">
        <v>1</v>
      </c>
      <c r="I935" s="1" t="inlineStr">
        <is>
          <t>มี</t>
        </is>
      </c>
      <c r="J935" s="13" t="n">
        <v>219</v>
      </c>
      <c r="K935" s="1" t="inlineStr"/>
      <c r="L935" s="13" t="n">
        <v>219</v>
      </c>
      <c r="M935" s="1">
        <f>IF(L935="","ไม่พบใน SG",IF(ABS(J935-L935)&lt;0.005,"ตรงกัน","ไม่ตรง"))</f>
        <v/>
      </c>
      <c r="N935" s="14">
        <f>IF(L935="","",ROUND(L935*'สรุป'!$C$6,-1))</f>
        <v/>
      </c>
      <c r="O935" s="15" t="n"/>
      <c r="P935" s="15" t="n"/>
      <c r="Q935" s="10" t="n"/>
      <c r="R935" s="10" t="n"/>
      <c r="S935" s="16" t="inlineStr">
        <is>
          <t>https://mstgolf.co.th/products/gf3000102545</t>
        </is>
      </c>
      <c r="T935" s="1">
        <f>IF(B935="ไม้กอล์ฟ",J935,"")</f>
        <v/>
      </c>
    </row>
    <row r="936">
      <c r="A936" s="1" t="n">
        <v>2</v>
      </c>
      <c r="B936" s="1" t="inlineStr">
        <is>
          <t>ถุงกอล์ฟ</t>
        </is>
      </c>
      <c r="C936" s="1" t="inlineStr">
        <is>
          <t>gf3000200978</t>
        </is>
      </c>
      <c r="D936" s="1" t="inlineStr">
        <is>
          <t>TITLEIST Hybrid 5 Stand Bag (Black/Black/Red)</t>
        </is>
      </c>
      <c r="E936" s="1" t="inlineStr">
        <is>
          <t>TITLEIST</t>
        </is>
      </c>
      <c r="F936" s="1" t="inlineStr">
        <is>
          <t>STAND BAG</t>
        </is>
      </c>
      <c r="G936" s="1" t="inlineStr">
        <is>
          <t>GF3000200978</t>
        </is>
      </c>
      <c r="H936" s="1" t="n">
        <v>1</v>
      </c>
      <c r="I936" s="1" t="inlineStr">
        <is>
          <t>มี</t>
        </is>
      </c>
      <c r="J936" s="13" t="n">
        <v>219</v>
      </c>
      <c r="K936" s="1" t="inlineStr"/>
      <c r="L936" s="13" t="n">
        <v>219</v>
      </c>
      <c r="M936" s="1">
        <f>IF(L936="","ไม่พบใน SG",IF(ABS(J936-L936)&lt;0.005,"ตรงกัน","ไม่ตรง"))</f>
        <v/>
      </c>
      <c r="N936" s="14">
        <f>IF(L936="","",ROUND(L936*'สรุป'!$C$6,-1))</f>
        <v/>
      </c>
      <c r="O936" s="15" t="n"/>
      <c r="P936" s="15" t="n"/>
      <c r="Q936" s="10" t="n"/>
      <c r="R936" s="10" t="n"/>
      <c r="S936" s="16" t="inlineStr">
        <is>
          <t>https://mstgolf.co.th/products/gf3000200978</t>
        </is>
      </c>
      <c r="T936" s="1">
        <f>IF(B936="ไม้กอล์ฟ",J936,"")</f>
        <v/>
      </c>
    </row>
    <row r="937">
      <c r="A937" s="1" t="n">
        <v>2</v>
      </c>
      <c r="B937" s="1" t="inlineStr">
        <is>
          <t>ถุงกอล์ฟ</t>
        </is>
      </c>
      <c r="C937" s="1" t="inlineStr">
        <is>
          <t>gf3000103009</t>
        </is>
      </c>
      <c r="D937" s="1" t="inlineStr">
        <is>
          <t>CUTTER &amp; BUCK 9741-D 9" Waterproof Cart Bag (Black)</t>
        </is>
      </c>
      <c r="E937" s="1" t="inlineStr">
        <is>
          <t>CUTTER &amp; BUCK</t>
        </is>
      </c>
      <c r="F937" s="1" t="inlineStr">
        <is>
          <t>CADDIE/CART BAG</t>
        </is>
      </c>
      <c r="G937" s="1" t="inlineStr">
        <is>
          <t>GF3000103009</t>
        </is>
      </c>
      <c r="H937" s="1" t="n">
        <v>1</v>
      </c>
      <c r="I937" s="1" t="inlineStr">
        <is>
          <t>มี</t>
        </is>
      </c>
      <c r="J937" s="13" t="n">
        <v>215</v>
      </c>
      <c r="K937" s="1" t="inlineStr"/>
      <c r="L937" s="13" t="n">
        <v>215</v>
      </c>
      <c r="M937" s="1">
        <f>IF(L937="","ไม่พบใน SG",IF(ABS(J937-L937)&lt;0.005,"ตรงกัน","ไม่ตรง"))</f>
        <v/>
      </c>
      <c r="N937" s="14">
        <f>IF(L937="","",ROUND(L937*'สรุป'!$C$6,-1))</f>
        <v/>
      </c>
      <c r="O937" s="15" t="n"/>
      <c r="P937" s="15" t="n"/>
      <c r="Q937" s="10" t="n"/>
      <c r="R937" s="10" t="n"/>
      <c r="S937" s="16" t="inlineStr">
        <is>
          <t>https://mstgolf.co.th/products/gf3000103009</t>
        </is>
      </c>
      <c r="T937" s="1">
        <f>IF(B937="ไม้กอล์ฟ",J937,"")</f>
        <v/>
      </c>
    </row>
    <row r="938">
      <c r="A938" s="1" t="n">
        <v>2</v>
      </c>
      <c r="B938" s="1" t="inlineStr">
        <is>
          <t>ถุงกอล์ฟ</t>
        </is>
      </c>
      <c r="C938" s="1" t="inlineStr">
        <is>
          <t>gf3000103010</t>
        </is>
      </c>
      <c r="D938" s="1" t="inlineStr">
        <is>
          <t>CUTTER &amp; BUCK 9741-D 9" Waterproof Cart Bag (Black/Red)</t>
        </is>
      </c>
      <c r="E938" s="1" t="inlineStr">
        <is>
          <t>CUTTER &amp; BUCK</t>
        </is>
      </c>
      <c r="F938" s="1" t="inlineStr">
        <is>
          <t>CADDIE/CART BAG</t>
        </is>
      </c>
      <c r="G938" s="1" t="inlineStr">
        <is>
          <t>GF3000103010</t>
        </is>
      </c>
      <c r="H938" s="1" t="n">
        <v>1</v>
      </c>
      <c r="I938" s="1" t="inlineStr">
        <is>
          <t>มี</t>
        </is>
      </c>
      <c r="J938" s="13" t="n">
        <v>215</v>
      </c>
      <c r="K938" s="1" t="inlineStr"/>
      <c r="L938" s="13" t="n">
        <v>215</v>
      </c>
      <c r="M938" s="1">
        <f>IF(L938="","ไม่พบใน SG",IF(ABS(J938-L938)&lt;0.005,"ตรงกัน","ไม่ตรง"))</f>
        <v/>
      </c>
      <c r="N938" s="14">
        <f>IF(L938="","",ROUND(L938*'สรุป'!$C$6,-1))</f>
        <v/>
      </c>
      <c r="O938" s="15" t="n"/>
      <c r="P938" s="15" t="n"/>
      <c r="Q938" s="10" t="n"/>
      <c r="R938" s="10" t="n"/>
      <c r="S938" s="16" t="inlineStr">
        <is>
          <t>https://mstgolf.co.th/products/gf3000103010</t>
        </is>
      </c>
      <c r="T938" s="1">
        <f>IF(B938="ไม้กอล์ฟ",J938,"")</f>
        <v/>
      </c>
    </row>
    <row r="939">
      <c r="A939" s="1" t="n">
        <v>2</v>
      </c>
      <c r="B939" s="1" t="inlineStr">
        <is>
          <t>ถุงกอล์ฟ</t>
        </is>
      </c>
      <c r="C939" s="1" t="inlineStr">
        <is>
          <t>gf3000103011</t>
        </is>
      </c>
      <c r="D939" s="1" t="inlineStr">
        <is>
          <t>CUTTER &amp; BUCK 9741-D 9" Waterproof Cart Bag (Navy/White)</t>
        </is>
      </c>
      <c r="E939" s="1" t="inlineStr">
        <is>
          <t>CUTTER &amp; BUCK</t>
        </is>
      </c>
      <c r="F939" s="1" t="inlineStr">
        <is>
          <t>CADDIE/CART BAG</t>
        </is>
      </c>
      <c r="G939" s="1" t="inlineStr">
        <is>
          <t>GF3000103011</t>
        </is>
      </c>
      <c r="H939" s="1" t="n">
        <v>1</v>
      </c>
      <c r="I939" s="1" t="inlineStr">
        <is>
          <t>มี</t>
        </is>
      </c>
      <c r="J939" s="13" t="n">
        <v>215</v>
      </c>
      <c r="K939" s="1" t="inlineStr"/>
      <c r="L939" s="13" t="n">
        <v>215</v>
      </c>
      <c r="M939" s="1">
        <f>IF(L939="","ไม่พบใน SG",IF(ABS(J939-L939)&lt;0.005,"ตรงกัน","ไม่ตรง"))</f>
        <v/>
      </c>
      <c r="N939" s="14">
        <f>IF(L939="","",ROUND(L939*'สรุป'!$C$6,-1))</f>
        <v/>
      </c>
      <c r="O939" s="15" t="n"/>
      <c r="P939" s="15" t="n"/>
      <c r="Q939" s="10" t="n"/>
      <c r="R939" s="10" t="n"/>
      <c r="S939" s="16" t="inlineStr">
        <is>
          <t>https://mstgolf.co.th/products/gf3000103011</t>
        </is>
      </c>
      <c r="T939" s="1">
        <f>IF(B939="ไม้กอล์ฟ",J939,"")</f>
        <v/>
      </c>
    </row>
    <row r="940">
      <c r="A940" s="1" t="n">
        <v>2</v>
      </c>
      <c r="B940" s="1" t="inlineStr">
        <is>
          <t>ถุงกอล์ฟ</t>
        </is>
      </c>
      <c r="C940" s="1" t="inlineStr">
        <is>
          <t>gf3000201493</t>
        </is>
      </c>
      <c r="D940" s="1" t="inlineStr">
        <is>
          <t>CUTTER &amp; BUCK 9S0464 Waterproof Stand Bag (Black)</t>
        </is>
      </c>
      <c r="E940" s="1" t="inlineStr">
        <is>
          <t>CUTTER &amp; BUCK</t>
        </is>
      </c>
      <c r="F940" s="1" t="inlineStr">
        <is>
          <t>STAND BAG</t>
        </is>
      </c>
      <c r="G940" s="1" t="inlineStr">
        <is>
          <t>GF3000201493</t>
        </is>
      </c>
      <c r="H940" s="1" t="n">
        <v>1</v>
      </c>
      <c r="I940" s="1" t="inlineStr">
        <is>
          <t>มี</t>
        </is>
      </c>
      <c r="J940" s="13" t="n">
        <v>215</v>
      </c>
      <c r="K940" s="1" t="inlineStr"/>
      <c r="L940" s="13" t="n">
        <v>215</v>
      </c>
      <c r="M940" s="1">
        <f>IF(L940="","ไม่พบใน SG",IF(ABS(J940-L940)&lt;0.005,"ตรงกัน","ไม่ตรง"))</f>
        <v/>
      </c>
      <c r="N940" s="14">
        <f>IF(L940="","",ROUND(L940*'สรุป'!$C$6,-1))</f>
        <v/>
      </c>
      <c r="O940" s="15" t="n"/>
      <c r="P940" s="15" t="n"/>
      <c r="Q940" s="10" t="n"/>
      <c r="R940" s="10" t="n"/>
      <c r="S940" s="16" t="inlineStr">
        <is>
          <t>https://mstgolf.co.th/products/gf3000201493</t>
        </is>
      </c>
      <c r="T940" s="1">
        <f>IF(B940="ไม้กอล์ฟ",J940,"")</f>
        <v/>
      </c>
    </row>
    <row r="941">
      <c r="A941" s="1" t="n">
        <v>2</v>
      </c>
      <c r="B941" s="1" t="inlineStr">
        <is>
          <t>ถุงกอล์ฟ</t>
        </is>
      </c>
      <c r="C941" s="1" t="inlineStr">
        <is>
          <t>gf3000201494</t>
        </is>
      </c>
      <c r="D941" s="1" t="inlineStr">
        <is>
          <t>CUTTER &amp; BUCK 9S0464 Waterproof Stand Bag (Black/Red)</t>
        </is>
      </c>
      <c r="E941" s="1" t="inlineStr">
        <is>
          <t>CUTTER &amp; BUCK</t>
        </is>
      </c>
      <c r="F941" s="1" t="inlineStr">
        <is>
          <t>STAND BAG</t>
        </is>
      </c>
      <c r="G941" s="1" t="inlineStr">
        <is>
          <t>GF3000201494</t>
        </is>
      </c>
      <c r="H941" s="1" t="n">
        <v>1</v>
      </c>
      <c r="I941" s="1" t="inlineStr">
        <is>
          <t>มี</t>
        </is>
      </c>
      <c r="J941" s="13" t="n">
        <v>215</v>
      </c>
      <c r="K941" s="1" t="inlineStr"/>
      <c r="L941" s="13" t="n">
        <v>215</v>
      </c>
      <c r="M941" s="1">
        <f>IF(L941="","ไม่พบใน SG",IF(ABS(J941-L941)&lt;0.005,"ตรงกัน","ไม่ตรง"))</f>
        <v/>
      </c>
      <c r="N941" s="14">
        <f>IF(L941="","",ROUND(L941*'สรุป'!$C$6,-1))</f>
        <v/>
      </c>
      <c r="O941" s="15" t="n"/>
      <c r="P941" s="15" t="n"/>
      <c r="Q941" s="10" t="n"/>
      <c r="R941" s="10" t="n"/>
      <c r="S941" s="16" t="inlineStr">
        <is>
          <t>https://mstgolf.co.th/products/gf3000201494</t>
        </is>
      </c>
      <c r="T941" s="1">
        <f>IF(B941="ไม้กอล์ฟ",J941,"")</f>
        <v/>
      </c>
    </row>
    <row r="942">
      <c r="A942" s="1" t="n">
        <v>2</v>
      </c>
      <c r="B942" s="1" t="inlineStr">
        <is>
          <t>ถุงกอล์ฟ</t>
        </is>
      </c>
      <c r="C942" s="1" t="inlineStr">
        <is>
          <t>gf3000201495</t>
        </is>
      </c>
      <c r="D942" s="1" t="inlineStr">
        <is>
          <t>CUTTER &amp; BUCK 9S0464 Waterproof Stand Bag (Navy/White)</t>
        </is>
      </c>
      <c r="E942" s="1" t="inlineStr">
        <is>
          <t>CUTTER &amp; BUCK</t>
        </is>
      </c>
      <c r="F942" s="1" t="inlineStr">
        <is>
          <t>STAND BAG</t>
        </is>
      </c>
      <c r="G942" s="1" t="inlineStr">
        <is>
          <t>GF3000201495</t>
        </is>
      </c>
      <c r="H942" s="1" t="n">
        <v>1</v>
      </c>
      <c r="I942" s="1" t="inlineStr">
        <is>
          <t>มี</t>
        </is>
      </c>
      <c r="J942" s="13" t="n">
        <v>215</v>
      </c>
      <c r="K942" s="1" t="inlineStr"/>
      <c r="L942" s="13" t="n">
        <v>215</v>
      </c>
      <c r="M942" s="1">
        <f>IF(L942="","ไม่พบใน SG",IF(ABS(J942-L942)&lt;0.005,"ตรงกัน","ไม่ตรง"))</f>
        <v/>
      </c>
      <c r="N942" s="14">
        <f>IF(L942="","",ROUND(L942*'สรุป'!$C$6,-1))</f>
        <v/>
      </c>
      <c r="O942" s="15" t="n"/>
      <c r="P942" s="15" t="n"/>
      <c r="Q942" s="10" t="n"/>
      <c r="R942" s="10" t="n"/>
      <c r="S942" s="16" t="inlineStr">
        <is>
          <t>https://mstgolf.co.th/products/gf3000201495</t>
        </is>
      </c>
      <c r="T942" s="1">
        <f>IF(B942="ไม้กอล์ฟ",J942,"")</f>
        <v/>
      </c>
    </row>
    <row r="943">
      <c r="A943" s="1" t="n">
        <v>2</v>
      </c>
      <c r="B943" s="1" t="inlineStr">
        <is>
          <t>ถุงกอล์ฟ</t>
        </is>
      </c>
      <c r="C943" s="1" t="inlineStr">
        <is>
          <t>gf3000102850</t>
        </is>
      </c>
      <c r="D943" s="1" t="inlineStr">
        <is>
          <t>TAYLORMADE 8.5" Icon Graphic Cart Bag (White)</t>
        </is>
      </c>
      <c r="E943" s="1" t="inlineStr">
        <is>
          <t>TAYLORMADE</t>
        </is>
      </c>
      <c r="F943" s="1" t="inlineStr">
        <is>
          <t>CADDIE/CART BAG</t>
        </is>
      </c>
      <c r="G943" s="1" t="inlineStr">
        <is>
          <t>GF3000102850</t>
        </is>
      </c>
      <c r="H943" s="1" t="n">
        <v>1</v>
      </c>
      <c r="I943" s="1" t="inlineStr">
        <is>
          <t>มี</t>
        </is>
      </c>
      <c r="J943" s="13" t="n">
        <v>215</v>
      </c>
      <c r="K943" s="1" t="inlineStr"/>
      <c r="L943" s="13" t="n">
        <v>215</v>
      </c>
      <c r="M943" s="1">
        <f>IF(L943="","ไม่พบใน SG",IF(ABS(J943-L943)&lt;0.005,"ตรงกัน","ไม่ตรง"))</f>
        <v/>
      </c>
      <c r="N943" s="14">
        <f>IF(L943="","",ROUND(L943*'สรุป'!$C$6,-1))</f>
        <v/>
      </c>
      <c r="O943" s="15" t="n"/>
      <c r="P943" s="15" t="n"/>
      <c r="Q943" s="10" t="n"/>
      <c r="R943" s="10" t="n"/>
      <c r="S943" s="16" t="inlineStr">
        <is>
          <t>https://mstgolf.co.th/products/gf3000102850</t>
        </is>
      </c>
      <c r="T943" s="1">
        <f>IF(B943="ไม้กอล์ฟ",J943,"")</f>
        <v/>
      </c>
    </row>
    <row r="944">
      <c r="A944" s="1" t="n">
        <v>2</v>
      </c>
      <c r="B944" s="1" t="inlineStr">
        <is>
          <t>รองเท้า</t>
        </is>
      </c>
      <c r="C944" s="1" t="inlineStr">
        <is>
          <t>gf2500102748</t>
        </is>
      </c>
      <c r="D944" s="1" t="inlineStr">
        <is>
          <t>FOOTJOY Traditions Blucher Men's Spiked Shoes (White/Navy/Multi)</t>
        </is>
      </c>
      <c r="E944" s="1" t="inlineStr">
        <is>
          <t>FOOTJOY</t>
        </is>
      </c>
      <c r="F944" s="1" t="inlineStr">
        <is>
          <t>SPIKE SHOES</t>
        </is>
      </c>
      <c r="G944" s="1" t="inlineStr">
        <is>
          <t>GF2500102748US6.5</t>
        </is>
      </c>
      <c r="H944" s="1" t="n">
        <v>10</v>
      </c>
      <c r="I944" s="1" t="inlineStr">
        <is>
          <t>มี</t>
        </is>
      </c>
      <c r="J944" s="13" t="n">
        <v>209</v>
      </c>
      <c r="K944" s="1" t="inlineStr"/>
      <c r="L944" s="13" t="n">
        <v>159</v>
      </c>
      <c r="M944" s="1">
        <f>IF(L944="","ไม่พบใน SG",IF(ABS(J944-L944)&lt;0.005,"ตรงกัน","ไม่ตรง"))</f>
        <v/>
      </c>
      <c r="N944" s="14">
        <f>IF(L944="","",ROUND(L944*'สรุป'!$C$6,-1))</f>
        <v/>
      </c>
      <c r="O944" s="15" t="n"/>
      <c r="P944" s="15" t="n"/>
      <c r="Q944" s="10" t="n"/>
      <c r="R944" s="10" t="n"/>
      <c r="S944" s="16" t="inlineStr">
        <is>
          <t>https://mstgolf.co.th/products/gf2500102748</t>
        </is>
      </c>
      <c r="T944" s="1">
        <f>IF(B944="ไม้กอล์ฟ",J944,"")</f>
        <v/>
      </c>
    </row>
    <row r="945">
      <c r="A945" s="1" t="n">
        <v>2</v>
      </c>
      <c r="B945" s="1" t="inlineStr">
        <is>
          <t>รองเท้า</t>
        </is>
      </c>
      <c r="C945" s="1" t="inlineStr">
        <is>
          <t>gf2500102784</t>
        </is>
      </c>
      <c r="D945" s="1" t="inlineStr">
        <is>
          <t>FOOTJOY Traditions Men's Spikeless Shoes (White/Navy/Blue)</t>
        </is>
      </c>
      <c r="E945" s="1" t="inlineStr">
        <is>
          <t>FOOTJOY</t>
        </is>
      </c>
      <c r="F945" s="1" t="inlineStr">
        <is>
          <t>SPIKE SHOES</t>
        </is>
      </c>
      <c r="G945" s="1" t="inlineStr">
        <is>
          <t>GF2500102784US6.5</t>
        </is>
      </c>
      <c r="H945" s="1" t="n">
        <v>10</v>
      </c>
      <c r="I945" s="1" t="inlineStr">
        <is>
          <t>มี</t>
        </is>
      </c>
      <c r="J945" s="13" t="n">
        <v>209</v>
      </c>
      <c r="K945" s="1" t="inlineStr"/>
      <c r="L945" s="13" t="n">
        <v>159</v>
      </c>
      <c r="M945" s="1">
        <f>IF(L945="","ไม่พบใน SG",IF(ABS(J945-L945)&lt;0.005,"ตรงกัน","ไม่ตรง"))</f>
        <v/>
      </c>
      <c r="N945" s="14">
        <f>IF(L945="","",ROUND(L945*'สรุป'!$C$6,-1))</f>
        <v/>
      </c>
      <c r="O945" s="15" t="n"/>
      <c r="P945" s="15" t="n"/>
      <c r="Q945" s="10" t="n"/>
      <c r="R945" s="10" t="n"/>
      <c r="S945" s="16" t="inlineStr">
        <is>
          <t>https://mstgolf.co.th/products/gf2500102784</t>
        </is>
      </c>
      <c r="T945" s="1">
        <f>IF(B945="ไม้กอล์ฟ",J945,"")</f>
        <v/>
      </c>
    </row>
    <row r="946">
      <c r="A946" s="1" t="n">
        <v>2</v>
      </c>
      <c r="B946" s="1" t="inlineStr">
        <is>
          <t>รองเท้า</t>
        </is>
      </c>
      <c r="C946" s="1" t="inlineStr">
        <is>
          <t>gf2500102785</t>
        </is>
      </c>
      <c r="D946" s="1" t="inlineStr">
        <is>
          <t>FOOTJOY Traditions Men's Spikeless Shoes (White/Navy/Teal)</t>
        </is>
      </c>
      <c r="E946" s="1" t="inlineStr">
        <is>
          <t>FOOTJOY</t>
        </is>
      </c>
      <c r="F946" s="1" t="inlineStr">
        <is>
          <t>SPIKE SHOES</t>
        </is>
      </c>
      <c r="G946" s="1" t="inlineStr">
        <is>
          <t>GF2500102785US6.5</t>
        </is>
      </c>
      <c r="H946" s="1" t="n">
        <v>10</v>
      </c>
      <c r="I946" s="1" t="inlineStr">
        <is>
          <t>มี</t>
        </is>
      </c>
      <c r="J946" s="13" t="n">
        <v>209</v>
      </c>
      <c r="K946" s="1" t="inlineStr"/>
      <c r="L946" s="13" t="n">
        <v>159</v>
      </c>
      <c r="M946" s="1">
        <f>IF(L946="","ไม่พบใน SG",IF(ABS(J946-L946)&lt;0.005,"ตรงกัน","ไม่ตรง"))</f>
        <v/>
      </c>
      <c r="N946" s="14">
        <f>IF(L946="","",ROUND(L946*'สรุป'!$C$6,-1))</f>
        <v/>
      </c>
      <c r="O946" s="15" t="n"/>
      <c r="P946" s="15" t="n"/>
      <c r="Q946" s="10" t="n"/>
      <c r="R946" s="10" t="n"/>
      <c r="S946" s="16" t="inlineStr">
        <is>
          <t>https://mstgolf.co.th/products/gf2500102785</t>
        </is>
      </c>
      <c r="T946" s="1">
        <f>IF(B946="ไม้กอล์ฟ",J946,"")</f>
        <v/>
      </c>
    </row>
    <row r="947">
      <c r="A947" s="1" t="n">
        <v>2</v>
      </c>
      <c r="B947" s="1" t="inlineStr">
        <is>
          <t>รองเท้า</t>
        </is>
      </c>
      <c r="C947" s="1" t="inlineStr">
        <is>
          <t>gf2500201193</t>
        </is>
      </c>
      <c r="D947" s="1" t="inlineStr">
        <is>
          <t>PUMA x PTC GS-X EFEKT Women's Spikeless Shoes (White/Navy)</t>
        </is>
      </c>
      <c r="E947" s="1" t="inlineStr">
        <is>
          <t>PUMA</t>
        </is>
      </c>
      <c r="F947" s="1" t="inlineStr">
        <is>
          <t>SPIKELESS SHOES</t>
        </is>
      </c>
      <c r="G947" s="1" t="inlineStr">
        <is>
          <t>GF2500201193UK5</t>
        </is>
      </c>
      <c r="H947" s="1" t="n">
        <v>6</v>
      </c>
      <c r="I947" s="1" t="inlineStr">
        <is>
          <t>มี</t>
        </is>
      </c>
      <c r="J947" s="13" t="n">
        <v>209</v>
      </c>
      <c r="K947" s="1" t="inlineStr"/>
      <c r="L947" s="13" t="n">
        <v>145</v>
      </c>
      <c r="M947" s="1">
        <f>IF(L947="","ไม่พบใน SG",IF(ABS(J947-L947)&lt;0.005,"ตรงกัน","ไม่ตรง"))</f>
        <v/>
      </c>
      <c r="N947" s="14">
        <f>IF(L947="","",ROUND(L947*'สรุป'!$C$6,-1))</f>
        <v/>
      </c>
      <c r="O947" s="15" t="n"/>
      <c r="P947" s="15" t="n"/>
      <c r="Q947" s="10" t="n"/>
      <c r="R947" s="10" t="n"/>
      <c r="S947" s="16" t="inlineStr">
        <is>
          <t>https://mstgolf.co.th/products/gf2500201193</t>
        </is>
      </c>
      <c r="T947" s="1">
        <f>IF(B947="ไม้กอล์ฟ",J947,"")</f>
        <v/>
      </c>
    </row>
    <row r="948">
      <c r="A948" s="1" t="n">
        <v>2</v>
      </c>
      <c r="B948" s="1" t="inlineStr">
        <is>
          <t>รองเท้า</t>
        </is>
      </c>
      <c r="C948" s="1" t="inlineStr">
        <is>
          <t>gf2500201183</t>
        </is>
      </c>
      <c r="D948" s="1" t="inlineStr">
        <is>
          <t>PUMA x PTC GS-X Efekt Men's Spikeless Shoes (White/Navy)</t>
        </is>
      </c>
      <c r="E948" s="1" t="inlineStr">
        <is>
          <t>PUMA</t>
        </is>
      </c>
      <c r="F948" s="1" t="inlineStr">
        <is>
          <t>SPIKELESS SHOES</t>
        </is>
      </c>
      <c r="G948" s="1" t="inlineStr">
        <is>
          <t>GF2500201183UK7</t>
        </is>
      </c>
      <c r="H948" s="1" t="n">
        <v>8</v>
      </c>
      <c r="I948" s="1" t="inlineStr">
        <is>
          <t>มี</t>
        </is>
      </c>
      <c r="J948" s="13" t="n">
        <v>209</v>
      </c>
      <c r="K948" s="1" t="inlineStr"/>
      <c r="L948" s="13" t="n">
        <v>145</v>
      </c>
      <c r="M948" s="1">
        <f>IF(L948="","ไม่พบใน SG",IF(ABS(J948-L948)&lt;0.005,"ตรงกัน","ไม่ตรง"))</f>
        <v/>
      </c>
      <c r="N948" s="14">
        <f>IF(L948="","",ROUND(L948*'สรุป'!$C$6,-1))</f>
        <v/>
      </c>
      <c r="O948" s="15" t="n"/>
      <c r="P948" s="15" t="n"/>
      <c r="Q948" s="10" t="n"/>
      <c r="R948" s="10" t="n"/>
      <c r="S948" s="16" t="inlineStr">
        <is>
          <t>https://mstgolf.co.th/products/gf2500201183</t>
        </is>
      </c>
      <c r="T948" s="1">
        <f>IF(B948="ไม้กอล์ฟ",J948,"")</f>
        <v/>
      </c>
    </row>
    <row r="949">
      <c r="A949" s="1" t="n">
        <v>2</v>
      </c>
      <c r="B949" s="1" t="inlineStr">
        <is>
          <t>รถเข็น</t>
        </is>
      </c>
      <c r="C949" s="1" t="inlineStr">
        <is>
          <t>gf3030100108</t>
        </is>
      </c>
      <c r="D949" s="1" t="inlineStr">
        <is>
          <t>AEROCART Alum 3-Wheels Trolley (Black)</t>
        </is>
      </c>
      <c r="E949" s="1" t="inlineStr">
        <is>
          <t>AEROCART</t>
        </is>
      </c>
      <c r="F949" s="1" t="inlineStr">
        <is>
          <t>TROLLEY</t>
        </is>
      </c>
      <c r="G949" s="1" t="inlineStr">
        <is>
          <t>GF3030100108</t>
        </is>
      </c>
      <c r="H949" s="1" t="n">
        <v>1</v>
      </c>
      <c r="I949" s="1" t="inlineStr">
        <is>
          <t>มี</t>
        </is>
      </c>
      <c r="J949" s="13" t="n">
        <v>199</v>
      </c>
      <c r="K949" s="1" t="inlineStr"/>
      <c r="L949" s="13" t="n">
        <v>199</v>
      </c>
      <c r="M949" s="1">
        <f>IF(L949="","ไม่พบใน SG",IF(ABS(J949-L949)&lt;0.005,"ตรงกัน","ไม่ตรง"))</f>
        <v/>
      </c>
      <c r="N949" s="14">
        <f>IF(L949="","",ROUND(L949*'สรุป'!$C$6,-1))</f>
        <v/>
      </c>
      <c r="O949" s="15" t="n"/>
      <c r="P949" s="15" t="n"/>
      <c r="Q949" s="10" t="n"/>
      <c r="R949" s="10" t="n"/>
      <c r="S949" s="16" t="inlineStr">
        <is>
          <t>https://mstgolf.co.th/products/gf3030100108</t>
        </is>
      </c>
      <c r="T949" s="1">
        <f>IF(B949="ไม้กอล์ฟ",J949,"")</f>
        <v/>
      </c>
    </row>
    <row r="950">
      <c r="A950" s="1" t="n">
        <v>2</v>
      </c>
      <c r="B950" s="1" t="inlineStr">
        <is>
          <t>รองเท้า</t>
        </is>
      </c>
      <c r="C950" s="1" t="inlineStr">
        <is>
          <t>gf2500102646</t>
        </is>
      </c>
      <c r="D950" s="1" t="inlineStr">
        <is>
          <t>ASICS Gel Ace Pro 5 BOA Men's Spiked Shoes (White/Black)</t>
        </is>
      </c>
      <c r="E950" s="1" t="inlineStr">
        <is>
          <t>ASICS</t>
        </is>
      </c>
      <c r="F950" s="1" t="inlineStr">
        <is>
          <t>SPIKE SHOES</t>
        </is>
      </c>
      <c r="G950" s="1" t="inlineStr">
        <is>
          <t>GF2500102646JP23</t>
        </is>
      </c>
      <c r="H950" s="1" t="n">
        <v>13</v>
      </c>
      <c r="I950" s="1" t="inlineStr">
        <is>
          <t>มี</t>
        </is>
      </c>
      <c r="J950" s="13" t="n">
        <v>199</v>
      </c>
      <c r="K950" s="1" t="inlineStr"/>
      <c r="L950" s="13" t="n">
        <v>199</v>
      </c>
      <c r="M950" s="1">
        <f>IF(L950="","ไม่พบใน SG",IF(ABS(J950-L950)&lt;0.005,"ตรงกัน","ไม่ตรง"))</f>
        <v/>
      </c>
      <c r="N950" s="14">
        <f>IF(L950="","",ROUND(L950*'สรุป'!$C$6,-1))</f>
        <v/>
      </c>
      <c r="O950" s="15" t="n"/>
      <c r="P950" s="15" t="n"/>
      <c r="Q950" s="10" t="n"/>
      <c r="R950" s="10" t="n"/>
      <c r="S950" s="16" t="inlineStr">
        <is>
          <t>https://mstgolf.co.th/products/gf2500102646</t>
        </is>
      </c>
      <c r="T950" s="1">
        <f>IF(B950="ไม้กอล์ฟ",J950,"")</f>
        <v/>
      </c>
    </row>
    <row r="951">
      <c r="A951" s="1" t="n">
        <v>2</v>
      </c>
      <c r="B951" s="1" t="inlineStr">
        <is>
          <t>รถเข็น</t>
        </is>
      </c>
      <c r="C951" s="1" t="inlineStr">
        <is>
          <t>gf3030100105</t>
        </is>
      </c>
      <c r="D951" s="1" t="inlineStr">
        <is>
          <t>AXGLO Push Cart 3-Wheel Trolley (Black/Green)</t>
        </is>
      </c>
      <c r="E951" s="1" t="inlineStr">
        <is>
          <t>AXGLO</t>
        </is>
      </c>
      <c r="F951" s="1" t="inlineStr">
        <is>
          <t>TROLLEY</t>
        </is>
      </c>
      <c r="G951" s="1" t="inlineStr">
        <is>
          <t>GF3030100105</t>
        </is>
      </c>
      <c r="H951" s="1" t="n">
        <v>1</v>
      </c>
      <c r="I951" s="1" t="inlineStr">
        <is>
          <t>มี</t>
        </is>
      </c>
      <c r="J951" s="13" t="n">
        <v>199</v>
      </c>
      <c r="K951" s="1" t="inlineStr"/>
      <c r="L951" s="13" t="n"/>
      <c r="M951" s="1">
        <f>IF(L951="","ไม่พบใน SG",IF(ABS(J951-L951)&lt;0.005,"ตรงกัน","ไม่ตรง"))</f>
        <v/>
      </c>
      <c r="N951" s="14">
        <f>IF(L951="","",ROUND(L951*'สรุป'!$C$6,-1))</f>
        <v/>
      </c>
      <c r="O951" s="15" t="n"/>
      <c r="P951" s="15" t="n"/>
      <c r="Q951" s="10" t="n"/>
      <c r="R951" s="10" t="n"/>
      <c r="S951" s="16" t="inlineStr">
        <is>
          <t>https://mstgolf.co.th/products/gf3030100105</t>
        </is>
      </c>
      <c r="T951" s="1">
        <f>IF(B951="ไม้กอล์ฟ",J951,"")</f>
        <v/>
      </c>
    </row>
    <row r="952">
      <c r="A952" s="1" t="n">
        <v>2</v>
      </c>
      <c r="B952" s="1" t="inlineStr">
        <is>
          <t>รถเข็น</t>
        </is>
      </c>
      <c r="C952" s="1" t="inlineStr">
        <is>
          <t>gf3030100106</t>
        </is>
      </c>
      <c r="D952" s="1" t="inlineStr">
        <is>
          <t>AXGLO Push Cart 3-Wheel Trolley (Grey/Blue)</t>
        </is>
      </c>
      <c r="E952" s="1" t="inlineStr">
        <is>
          <t>AXGLO</t>
        </is>
      </c>
      <c r="F952" s="1" t="inlineStr">
        <is>
          <t>TROLLEY</t>
        </is>
      </c>
      <c r="G952" s="1" t="inlineStr">
        <is>
          <t>GF3030100106</t>
        </is>
      </c>
      <c r="H952" s="1" t="n">
        <v>1</v>
      </c>
      <c r="I952" s="1" t="inlineStr">
        <is>
          <t>มี</t>
        </is>
      </c>
      <c r="J952" s="13" t="n">
        <v>199</v>
      </c>
      <c r="K952" s="1" t="inlineStr"/>
      <c r="L952" s="13" t="n"/>
      <c r="M952" s="1">
        <f>IF(L952="","ไม่พบใน SG",IF(ABS(J952-L952)&lt;0.005,"ตรงกัน","ไม่ตรง"))</f>
        <v/>
      </c>
      <c r="N952" s="14">
        <f>IF(L952="","",ROUND(L952*'สรุป'!$C$6,-1))</f>
        <v/>
      </c>
      <c r="O952" s="15" t="n"/>
      <c r="P952" s="15" t="n"/>
      <c r="Q952" s="10" t="n"/>
      <c r="R952" s="10" t="n"/>
      <c r="S952" s="16" t="inlineStr">
        <is>
          <t>https://mstgolf.co.th/products/gf3030100106</t>
        </is>
      </c>
      <c r="T952" s="1">
        <f>IF(B952="ไม้กอล์ฟ",J952,"")</f>
        <v/>
      </c>
    </row>
    <row r="953">
      <c r="A953" s="1" t="n">
        <v>2</v>
      </c>
      <c r="B953" s="1" t="inlineStr">
        <is>
          <t>รถเข็น</t>
        </is>
      </c>
      <c r="C953" s="1" t="inlineStr">
        <is>
          <t>gf3030100107</t>
        </is>
      </c>
      <c r="D953" s="1" t="inlineStr">
        <is>
          <t>AXGLO Push Cart 3-Wheel Trolley (White/Grey)</t>
        </is>
      </c>
      <c r="E953" s="1" t="inlineStr">
        <is>
          <t>AXGLO</t>
        </is>
      </c>
      <c r="F953" s="1" t="inlineStr">
        <is>
          <t>TROLLEY</t>
        </is>
      </c>
      <c r="G953" s="1" t="inlineStr">
        <is>
          <t>GF3030100107</t>
        </is>
      </c>
      <c r="H953" s="1" t="n">
        <v>1</v>
      </c>
      <c r="I953" s="1" t="inlineStr">
        <is>
          <t>มี</t>
        </is>
      </c>
      <c r="J953" s="13" t="n">
        <v>199</v>
      </c>
      <c r="K953" s="1" t="inlineStr"/>
      <c r="L953" s="13" t="n">
        <v>199</v>
      </c>
      <c r="M953" s="1">
        <f>IF(L953="","ไม่พบใน SG",IF(ABS(J953-L953)&lt;0.005,"ตรงกัน","ไม่ตรง"))</f>
        <v/>
      </c>
      <c r="N953" s="14">
        <f>IF(L953="","",ROUND(L953*'สรุป'!$C$6,-1))</f>
        <v/>
      </c>
      <c r="O953" s="15" t="n"/>
      <c r="P953" s="15" t="n"/>
      <c r="Q953" s="10" t="n"/>
      <c r="R953" s="10" t="n"/>
      <c r="S953" s="16" t="inlineStr">
        <is>
          <t>https://mstgolf.co.th/products/gf3030100107</t>
        </is>
      </c>
      <c r="T953" s="1">
        <f>IF(B953="ไม้กอล์ฟ",J953,"")</f>
        <v/>
      </c>
    </row>
    <row r="954">
      <c r="A954" s="1" t="n">
        <v>2</v>
      </c>
      <c r="B954" s="1" t="inlineStr">
        <is>
          <t>รองเท้า</t>
        </is>
      </c>
      <c r="C954" s="1" t="inlineStr">
        <is>
          <t>gf2500201350</t>
        </is>
      </c>
      <c r="D954" s="1" t="inlineStr">
        <is>
          <t>FOOTJOY Fuel Men's Spikeless Shoes (Black/White)</t>
        </is>
      </c>
      <c r="E954" s="1" t="inlineStr">
        <is>
          <t>FOOTJOY</t>
        </is>
      </c>
      <c r="F954" s="1" t="inlineStr">
        <is>
          <t>SPIKELESS SHOES</t>
        </is>
      </c>
      <c r="G954" s="1" t="inlineStr">
        <is>
          <t>GF2500201350US6.5</t>
        </is>
      </c>
      <c r="H954" s="1" t="n">
        <v>10</v>
      </c>
      <c r="I954" s="1" t="inlineStr">
        <is>
          <t>มี</t>
        </is>
      </c>
      <c r="J954" s="13" t="n">
        <v>199</v>
      </c>
      <c r="K954" s="1" t="inlineStr"/>
      <c r="L954" s="13" t="n">
        <v>149</v>
      </c>
      <c r="M954" s="1">
        <f>IF(L954="","ไม่พบใน SG",IF(ABS(J954-L954)&lt;0.005,"ตรงกัน","ไม่ตรง"))</f>
        <v/>
      </c>
      <c r="N954" s="14">
        <f>IF(L954="","",ROUND(L954*'สรุป'!$C$6,-1))</f>
        <v/>
      </c>
      <c r="O954" s="15" t="n"/>
      <c r="P954" s="15" t="n"/>
      <c r="Q954" s="10" t="n"/>
      <c r="R954" s="10" t="n"/>
      <c r="S954" s="16" t="inlineStr">
        <is>
          <t>https://mstgolf.co.th/products/gf2500201350</t>
        </is>
      </c>
      <c r="T954" s="1">
        <f>IF(B954="ไม้กอล์ฟ",J954,"")</f>
        <v/>
      </c>
    </row>
    <row r="955">
      <c r="A955" s="1" t="n">
        <v>2</v>
      </c>
      <c r="B955" s="1" t="inlineStr">
        <is>
          <t>ถุงกอล์ฟ</t>
        </is>
      </c>
      <c r="C955" s="1" t="inlineStr">
        <is>
          <t>gf3000102841</t>
        </is>
      </c>
      <c r="D955" s="1" t="inlineStr">
        <is>
          <t>LE COQ SPORTIF GOLF 8.5" Women's  Caddie Bag (Beige)</t>
        </is>
      </c>
      <c r="E955" s="1" t="inlineStr">
        <is>
          <t>LE COQ SPORTIF GOLF</t>
        </is>
      </c>
      <c r="F955" s="1" t="inlineStr">
        <is>
          <t>CADDIE/CART BAG</t>
        </is>
      </c>
      <c r="G955" s="1" t="inlineStr">
        <is>
          <t>GF3000102841</t>
        </is>
      </c>
      <c r="H955" s="1" t="n">
        <v>1</v>
      </c>
      <c r="I955" s="1" t="inlineStr">
        <is>
          <t>มี</t>
        </is>
      </c>
      <c r="J955" s="13" t="n">
        <v>199</v>
      </c>
      <c r="K955" s="1" t="inlineStr"/>
      <c r="L955" s="13" t="n">
        <v>199</v>
      </c>
      <c r="M955" s="1">
        <f>IF(L955="","ไม่พบใน SG",IF(ABS(J955-L955)&lt;0.005,"ตรงกัน","ไม่ตรง"))</f>
        <v/>
      </c>
      <c r="N955" s="14">
        <f>IF(L955="","",ROUND(L955*'สรุป'!$C$6,-1))</f>
        <v/>
      </c>
      <c r="O955" s="15" t="n"/>
      <c r="P955" s="15" t="n"/>
      <c r="Q955" s="10" t="n"/>
      <c r="R955" s="10" t="n"/>
      <c r="S955" s="16" t="inlineStr">
        <is>
          <t>https://mstgolf.co.th/products/gf3000102841</t>
        </is>
      </c>
      <c r="T955" s="1">
        <f>IF(B955="ไม้กอล์ฟ",J955,"")</f>
        <v/>
      </c>
    </row>
    <row r="956">
      <c r="A956" s="1" t="n">
        <v>2</v>
      </c>
      <c r="B956" s="1" t="inlineStr">
        <is>
          <t>ถุงกอล์ฟ</t>
        </is>
      </c>
      <c r="C956" s="1" t="inlineStr">
        <is>
          <t>gf3000102835</t>
        </is>
      </c>
      <c r="D956" s="1" t="inlineStr">
        <is>
          <t>LE COQ SPORTIF GOLF 9" Caddie Bag (Beige)</t>
        </is>
      </c>
      <c r="E956" s="1" t="inlineStr">
        <is>
          <t>LE COQ SPORTIF GOLF</t>
        </is>
      </c>
      <c r="F956" s="1" t="inlineStr">
        <is>
          <t>CADDIE/CART BAG</t>
        </is>
      </c>
      <c r="G956" s="1" t="inlineStr">
        <is>
          <t>GF3000102835</t>
        </is>
      </c>
      <c r="H956" s="1" t="n">
        <v>1</v>
      </c>
      <c r="I956" s="1" t="inlineStr">
        <is>
          <t>มี</t>
        </is>
      </c>
      <c r="J956" s="13" t="n">
        <v>199</v>
      </c>
      <c r="K956" s="1" t="inlineStr"/>
      <c r="L956" s="13" t="n">
        <v>199</v>
      </c>
      <c r="M956" s="1">
        <f>IF(L956="","ไม่พบใน SG",IF(ABS(J956-L956)&lt;0.005,"ตรงกัน","ไม่ตรง"))</f>
        <v/>
      </c>
      <c r="N956" s="14">
        <f>IF(L956="","",ROUND(L956*'สรุป'!$C$6,-1))</f>
        <v/>
      </c>
      <c r="O956" s="15" t="n"/>
      <c r="P956" s="15" t="n"/>
      <c r="Q956" s="10" t="n"/>
      <c r="R956" s="10" t="n"/>
      <c r="S956" s="16" t="inlineStr">
        <is>
          <t>https://mstgolf.co.th/products/gf3000102835</t>
        </is>
      </c>
      <c r="T956" s="1">
        <f>IF(B956="ไม้กอล์ฟ",J956,"")</f>
        <v/>
      </c>
    </row>
    <row r="957">
      <c r="A957" s="1" t="n">
        <v>2</v>
      </c>
      <c r="B957" s="1" t="inlineStr">
        <is>
          <t>ถุงกอล์ฟ</t>
        </is>
      </c>
      <c r="C957" s="1" t="inlineStr">
        <is>
          <t>gf3000102836</t>
        </is>
      </c>
      <c r="D957" s="1" t="inlineStr">
        <is>
          <t>LE COQ SPORTIF GOLF 9" Caddie Bag (Navy)</t>
        </is>
      </c>
      <c r="E957" s="1" t="inlineStr">
        <is>
          <t>LE COQ SPORTIF GOLF</t>
        </is>
      </c>
      <c r="F957" s="1" t="inlineStr">
        <is>
          <t>CADDIE/CART BAG</t>
        </is>
      </c>
      <c r="G957" s="1" t="inlineStr">
        <is>
          <t>GF3000102836</t>
        </is>
      </c>
      <c r="H957" s="1" t="n">
        <v>1</v>
      </c>
      <c r="I957" s="1" t="inlineStr">
        <is>
          <t>มี</t>
        </is>
      </c>
      <c r="J957" s="13" t="n">
        <v>199</v>
      </c>
      <c r="K957" s="1" t="inlineStr"/>
      <c r="L957" s="13" t="n">
        <v>199</v>
      </c>
      <c r="M957" s="1">
        <f>IF(L957="","ไม่พบใน SG",IF(ABS(J957-L957)&lt;0.005,"ตรงกัน","ไม่ตรง"))</f>
        <v/>
      </c>
      <c r="N957" s="14">
        <f>IF(L957="","",ROUND(L957*'สรุป'!$C$6,-1))</f>
        <v/>
      </c>
      <c r="O957" s="15" t="n"/>
      <c r="P957" s="15" t="n"/>
      <c r="Q957" s="10" t="n"/>
      <c r="R957" s="10" t="n"/>
      <c r="S957" s="16" t="inlineStr">
        <is>
          <t>https://mstgolf.co.th/products/gf3000102836</t>
        </is>
      </c>
      <c r="T957" s="1">
        <f>IF(B957="ไม้กอล์ฟ",J957,"")</f>
        <v/>
      </c>
    </row>
    <row r="958">
      <c r="A958" s="1" t="n">
        <v>2</v>
      </c>
      <c r="B958" s="1" t="inlineStr">
        <is>
          <t>ถุงกอล์ฟ</t>
        </is>
      </c>
      <c r="C958" s="1" t="inlineStr">
        <is>
          <t>gf3000102529</t>
        </is>
      </c>
      <c r="D958" s="1" t="inlineStr">
        <is>
          <t>MIZUNO 9.5" Sporty Cart Bag (Navy/White)</t>
        </is>
      </c>
      <c r="E958" s="1" t="inlineStr">
        <is>
          <t>MIZUNO</t>
        </is>
      </c>
      <c r="F958" s="1" t="inlineStr">
        <is>
          <t>CADDIE/CART BAG</t>
        </is>
      </c>
      <c r="G958" s="1" t="inlineStr">
        <is>
          <t>GF3000102529</t>
        </is>
      </c>
      <c r="H958" s="1" t="n">
        <v>1</v>
      </c>
      <c r="I958" s="1" t="inlineStr">
        <is>
          <t>มี</t>
        </is>
      </c>
      <c r="J958" s="13" t="n">
        <v>199</v>
      </c>
      <c r="K958" s="1" t="inlineStr"/>
      <c r="L958" s="13" t="n">
        <v>199</v>
      </c>
      <c r="M958" s="1">
        <f>IF(L958="","ไม่พบใน SG",IF(ABS(J958-L958)&lt;0.005,"ตรงกัน","ไม่ตรง"))</f>
        <v/>
      </c>
      <c r="N958" s="14">
        <f>IF(L958="","",ROUND(L958*'สรุป'!$C$6,-1))</f>
        <v/>
      </c>
      <c r="O958" s="15" t="n"/>
      <c r="P958" s="15" t="n"/>
      <c r="Q958" s="10" t="n"/>
      <c r="R958" s="10" t="n"/>
      <c r="S958" s="16" t="inlineStr">
        <is>
          <t>https://mstgolf.co.th/products/gf3000102529</t>
        </is>
      </c>
      <c r="T958" s="1">
        <f>IF(B958="ไม้กอล์ฟ",J958,"")</f>
        <v/>
      </c>
    </row>
    <row r="959">
      <c r="A959" s="1" t="n">
        <v>2</v>
      </c>
      <c r="B959" s="1" t="inlineStr">
        <is>
          <t>ถุงกอล์ฟ</t>
        </is>
      </c>
      <c r="C959" s="1" t="inlineStr">
        <is>
          <t>gf3010200598</t>
        </is>
      </c>
      <c r="D959" s="1" t="inlineStr">
        <is>
          <t>PETER MILLAR Pursuit Shoe Bag (Navy)</t>
        </is>
      </c>
      <c r="E959" s="1" t="inlineStr">
        <is>
          <t>PETER MILLAR</t>
        </is>
      </c>
      <c r="F959" s="1" t="inlineStr">
        <is>
          <t>SHOES BAG</t>
        </is>
      </c>
      <c r="G959" s="1" t="inlineStr">
        <is>
          <t>GF3010200598</t>
        </is>
      </c>
      <c r="H959" s="1" t="n">
        <v>1</v>
      </c>
      <c r="I959" s="1" t="inlineStr">
        <is>
          <t>มี</t>
        </is>
      </c>
      <c r="J959" s="13" t="n">
        <v>195</v>
      </c>
      <c r="K959" s="1" t="inlineStr"/>
      <c r="L959" s="13" t="n">
        <v>195</v>
      </c>
      <c r="M959" s="1">
        <f>IF(L959="","ไม่พบใน SG",IF(ABS(J959-L959)&lt;0.005,"ตรงกัน","ไม่ตรง"))</f>
        <v/>
      </c>
      <c r="N959" s="14">
        <f>IF(L959="","",ROUND(L959*'สรุป'!$C$6,-1))</f>
        <v/>
      </c>
      <c r="O959" s="15" t="n"/>
      <c r="P959" s="15" t="n"/>
      <c r="Q959" s="10" t="n"/>
      <c r="R959" s="10" t="n"/>
      <c r="S959" s="16" t="inlineStr">
        <is>
          <t>https://mstgolf.co.th/products/gf3010200598</t>
        </is>
      </c>
      <c r="T959" s="1">
        <f>IF(B959="ไม้กอล์ฟ",J959,"")</f>
        <v/>
      </c>
    </row>
    <row r="960">
      <c r="A960" s="1" t="n">
        <v>2</v>
      </c>
      <c r="B960" s="1" t="inlineStr">
        <is>
          <t>รองเท้า</t>
        </is>
      </c>
      <c r="C960" s="1" t="inlineStr">
        <is>
          <t>gf2500102692</t>
        </is>
      </c>
      <c r="D960" s="1" t="inlineStr">
        <is>
          <t>PUMA IGNITE BOA Men's Spikeless Shoes (Blue/Navy)</t>
        </is>
      </c>
      <c r="E960" s="1" t="inlineStr">
        <is>
          <t>PUMA</t>
        </is>
      </c>
      <c r="F960" s="1" t="inlineStr">
        <is>
          <t>SPIKE SHOES</t>
        </is>
      </c>
      <c r="G960" s="1" t="inlineStr">
        <is>
          <t>GF2500102692UK6</t>
        </is>
      </c>
      <c r="H960" s="1" t="n">
        <v>13</v>
      </c>
      <c r="I960" s="1" t="inlineStr">
        <is>
          <t>มี</t>
        </is>
      </c>
      <c r="J960" s="13" t="n">
        <v>195</v>
      </c>
      <c r="K960" s="1" t="inlineStr"/>
      <c r="L960" s="13" t="n">
        <v>195</v>
      </c>
      <c r="M960" s="1">
        <f>IF(L960="","ไม่พบใน SG",IF(ABS(J960-L960)&lt;0.005,"ตรงกัน","ไม่ตรง"))</f>
        <v/>
      </c>
      <c r="N960" s="14">
        <f>IF(L960="","",ROUND(L960*'สรุป'!$C$6,-1))</f>
        <v/>
      </c>
      <c r="O960" s="15" t="n"/>
      <c r="P960" s="15" t="n"/>
      <c r="Q960" s="10" t="n"/>
      <c r="R960" s="10" t="n"/>
      <c r="S960" s="16" t="inlineStr">
        <is>
          <t>https://mstgolf.co.th/products/gf2500102692</t>
        </is>
      </c>
      <c r="T960" s="1">
        <f>IF(B960="ไม้กอล์ฟ",J960,"")</f>
        <v/>
      </c>
    </row>
    <row r="961">
      <c r="A961" s="1" t="n">
        <v>2</v>
      </c>
      <c r="B961" s="1" t="inlineStr">
        <is>
          <t>รองเท้า</t>
        </is>
      </c>
      <c r="C961" s="1" t="inlineStr">
        <is>
          <t>gf2500102693</t>
        </is>
      </c>
      <c r="D961" s="1" t="inlineStr">
        <is>
          <t>PUMA IGNITE BOA Men's Spikeless Shoes (Grey/Black)</t>
        </is>
      </c>
      <c r="E961" s="1" t="inlineStr">
        <is>
          <t>PUMA</t>
        </is>
      </c>
      <c r="F961" s="1" t="inlineStr">
        <is>
          <t>SPIKE SHOES</t>
        </is>
      </c>
      <c r="G961" s="1" t="inlineStr">
        <is>
          <t>GF2500102693UK6</t>
        </is>
      </c>
      <c r="H961" s="1" t="n">
        <v>13</v>
      </c>
      <c r="I961" s="1" t="inlineStr">
        <is>
          <t>มี</t>
        </is>
      </c>
      <c r="J961" s="13" t="n">
        <v>195</v>
      </c>
      <c r="K961" s="1" t="inlineStr"/>
      <c r="L961" s="13" t="n">
        <v>195</v>
      </c>
      <c r="M961" s="1">
        <f>IF(L961="","ไม่พบใน SG",IF(ABS(J961-L961)&lt;0.005,"ตรงกัน","ไม่ตรง"))</f>
        <v/>
      </c>
      <c r="N961" s="14">
        <f>IF(L961="","",ROUND(L961*'สรุป'!$C$6,-1))</f>
        <v/>
      </c>
      <c r="O961" s="15" t="n"/>
      <c r="P961" s="15" t="n"/>
      <c r="Q961" s="10" t="n"/>
      <c r="R961" s="10" t="n"/>
      <c r="S961" s="16" t="inlineStr">
        <is>
          <t>https://mstgolf.co.th/products/gf2500102693</t>
        </is>
      </c>
      <c r="T961" s="1">
        <f>IF(B961="ไม้กอล์ฟ",J961,"")</f>
        <v/>
      </c>
    </row>
    <row r="962">
      <c r="A962" s="1" t="n">
        <v>2</v>
      </c>
      <c r="B962" s="1" t="inlineStr">
        <is>
          <t>รองเท้า</t>
        </is>
      </c>
      <c r="C962" s="1" t="inlineStr">
        <is>
          <t>gf2500201133</t>
        </is>
      </c>
      <c r="D962" s="1" t="inlineStr">
        <is>
          <t>ADIDAS Stan Smith Spikeless Shoes (Off White)</t>
        </is>
      </c>
      <c r="E962" s="1" t="inlineStr">
        <is>
          <t>ADIDAS</t>
        </is>
      </c>
      <c r="F962" s="1" t="inlineStr">
        <is>
          <t>SPIKELESS SHOES</t>
        </is>
      </c>
      <c r="G962" s="1" t="inlineStr">
        <is>
          <t>GF2500201133UK4.5</t>
        </is>
      </c>
      <c r="H962" s="1" t="n">
        <v>16</v>
      </c>
      <c r="I962" s="1" t="inlineStr">
        <is>
          <t>มี</t>
        </is>
      </c>
      <c r="J962" s="13" t="n">
        <v>190</v>
      </c>
      <c r="K962" s="1" t="inlineStr"/>
      <c r="L962" s="13" t="n">
        <v>190</v>
      </c>
      <c r="M962" s="1">
        <f>IF(L962="","ไม่พบใน SG",IF(ABS(J962-L962)&lt;0.005,"ตรงกัน","ไม่ตรง"))</f>
        <v/>
      </c>
      <c r="N962" s="14">
        <f>IF(L962="","",ROUND(L962*'สรุป'!$C$6,-1))</f>
        <v/>
      </c>
      <c r="O962" s="15" t="n"/>
      <c r="P962" s="15" t="n"/>
      <c r="Q962" s="10" t="n"/>
      <c r="R962" s="10" t="n"/>
      <c r="S962" s="16" t="inlineStr">
        <is>
          <t>https://mstgolf.co.th/products/gf2500201133</t>
        </is>
      </c>
      <c r="T962" s="1">
        <f>IF(B962="ไม้กอล์ฟ",J962,"")</f>
        <v/>
      </c>
    </row>
    <row r="963">
      <c r="A963" s="1" t="n">
        <v>2</v>
      </c>
      <c r="B963" s="1" t="inlineStr">
        <is>
          <t>รองเท้า</t>
        </is>
      </c>
      <c r="C963" s="1" t="inlineStr">
        <is>
          <t>gf2500201406</t>
        </is>
      </c>
      <c r="D963" s="1" t="inlineStr">
        <is>
          <t>ADIDAS Originals Samba Unisex Spikeless Shoes (Indigo/White/Blue)</t>
        </is>
      </c>
      <c r="E963" s="1" t="inlineStr">
        <is>
          <t>ADIDAS</t>
        </is>
      </c>
      <c r="F963" s="1" t="inlineStr">
        <is>
          <t>SPIKELESS SHOES</t>
        </is>
      </c>
      <c r="G963" s="1" t="inlineStr">
        <is>
          <t>GF2500201406UK6.5</t>
        </is>
      </c>
      <c r="H963" s="1" t="n">
        <v>11</v>
      </c>
      <c r="I963" s="1" t="inlineStr">
        <is>
          <t>มี</t>
        </is>
      </c>
      <c r="J963" s="13" t="n">
        <v>189</v>
      </c>
      <c r="K963" s="1" t="inlineStr"/>
      <c r="L963" s="13" t="n">
        <v>129</v>
      </c>
      <c r="M963" s="1">
        <f>IF(L963="","ไม่พบใน SG",IF(ABS(J963-L963)&lt;0.005,"ตรงกัน","ไม่ตรง"))</f>
        <v/>
      </c>
      <c r="N963" s="14">
        <f>IF(L963="","",ROUND(L963*'สรุป'!$C$6,-1))</f>
        <v/>
      </c>
      <c r="O963" s="15" t="n"/>
      <c r="P963" s="15" t="n"/>
      <c r="Q963" s="10" t="n"/>
      <c r="R963" s="10" t="n"/>
      <c r="S963" s="16" t="inlineStr">
        <is>
          <t>https://mstgolf.co.th/products/gf2500201406</t>
        </is>
      </c>
      <c r="T963" s="1">
        <f>IF(B963="ไม้กอล์ฟ",J963,"")</f>
        <v/>
      </c>
    </row>
    <row r="964">
      <c r="A964" s="1" t="n">
        <v>2</v>
      </c>
      <c r="B964" s="1" t="inlineStr">
        <is>
          <t>รองเท้า</t>
        </is>
      </c>
      <c r="C964" s="1" t="inlineStr">
        <is>
          <t>gf2500201411</t>
        </is>
      </c>
      <c r="D964" s="1" t="inlineStr">
        <is>
          <t>ADIDAS Originals Samba Unisex Spikeless Shoes (White/Black/Gum)</t>
        </is>
      </c>
      <c r="E964" s="1" t="inlineStr">
        <is>
          <t>ADIDAS</t>
        </is>
      </c>
      <c r="F964" s="1" t="inlineStr">
        <is>
          <t>SPIKELESS SHOES</t>
        </is>
      </c>
      <c r="G964" s="1" t="inlineStr">
        <is>
          <t>GF2500201411UK5</t>
        </is>
      </c>
      <c r="H964" s="1" t="n">
        <v>14</v>
      </c>
      <c r="I964" s="1" t="inlineStr">
        <is>
          <t>มี</t>
        </is>
      </c>
      <c r="J964" s="13" t="n">
        <v>189</v>
      </c>
      <c r="K964" s="1" t="inlineStr"/>
      <c r="L964" s="13" t="n">
        <v>129</v>
      </c>
      <c r="M964" s="1">
        <f>IF(L964="","ไม่พบใน SG",IF(ABS(J964-L964)&lt;0.005,"ตรงกัน","ไม่ตรง"))</f>
        <v/>
      </c>
      <c r="N964" s="14">
        <f>IF(L964="","",ROUND(L964*'สรุป'!$C$6,-1))</f>
        <v/>
      </c>
      <c r="O964" s="15" t="n"/>
      <c r="P964" s="15" t="n"/>
      <c r="Q964" s="10" t="n"/>
      <c r="R964" s="10" t="n"/>
      <c r="S964" s="16" t="inlineStr">
        <is>
          <t>https://mstgolf.co.th/products/gf2500201411</t>
        </is>
      </c>
      <c r="T964" s="1">
        <f>IF(B964="ไม้กอล์ฟ",J964,"")</f>
        <v/>
      </c>
    </row>
    <row r="965">
      <c r="A965" s="1" t="n">
        <v>2</v>
      </c>
      <c r="B965" s="1" t="inlineStr">
        <is>
          <t>รองเท้า</t>
        </is>
      </c>
      <c r="C965" s="1" t="inlineStr">
        <is>
          <t>gf2500201410</t>
        </is>
      </c>
      <c r="D965" s="1" t="inlineStr">
        <is>
          <t>ADIDAS Samba Unisex Spikeless Shoes (White/Indigo/Preloved Ink)</t>
        </is>
      </c>
      <c r="E965" s="1" t="inlineStr">
        <is>
          <t>ADIDAS</t>
        </is>
      </c>
      <c r="F965" s="1" t="inlineStr">
        <is>
          <t>SPIKELESS SHOES</t>
        </is>
      </c>
      <c r="G965" s="1" t="inlineStr">
        <is>
          <t>GF2500201410UK5</t>
        </is>
      </c>
      <c r="H965" s="1" t="n">
        <v>14</v>
      </c>
      <c r="I965" s="1" t="inlineStr">
        <is>
          <t>มี</t>
        </is>
      </c>
      <c r="J965" s="13" t="n">
        <v>189</v>
      </c>
      <c r="K965" s="1" t="inlineStr"/>
      <c r="L965" s="13" t="n">
        <v>129</v>
      </c>
      <c r="M965" s="1">
        <f>IF(L965="","ไม่พบใน SG",IF(ABS(J965-L965)&lt;0.005,"ตรงกัน","ไม่ตรง"))</f>
        <v/>
      </c>
      <c r="N965" s="14">
        <f>IF(L965="","",ROUND(L965*'สรุป'!$C$6,-1))</f>
        <v/>
      </c>
      <c r="O965" s="15" t="n"/>
      <c r="P965" s="15" t="n"/>
      <c r="Q965" s="10" t="n"/>
      <c r="R965" s="10" t="n"/>
      <c r="S965" s="16" t="inlineStr">
        <is>
          <t>https://mstgolf.co.th/products/gf2500201410</t>
        </is>
      </c>
      <c r="T965" s="1">
        <f>IF(B965="ไม้กอล์ฟ",J965,"")</f>
        <v/>
      </c>
    </row>
    <row r="966">
      <c r="A966" s="1" t="n">
        <v>2</v>
      </c>
      <c r="B966" s="1" t="inlineStr">
        <is>
          <t>รองเท้า</t>
        </is>
      </c>
      <c r="C966" s="1" t="inlineStr">
        <is>
          <t>gf2500102698</t>
        </is>
      </c>
      <c r="D966" s="1" t="inlineStr">
        <is>
          <t>UNDER ARMOUR Drive Pro Men's Spiked Shoes (White/Green)</t>
        </is>
      </c>
      <c r="E966" s="1" t="inlineStr">
        <is>
          <t>UNDER ARMOUR</t>
        </is>
      </c>
      <c r="F966" s="1" t="inlineStr">
        <is>
          <t>SPIKE SHOES</t>
        </is>
      </c>
      <c r="G966" s="1" t="inlineStr">
        <is>
          <t>GF2500102698US7</t>
        </is>
      </c>
      <c r="H966" s="1" t="n">
        <v>10</v>
      </c>
      <c r="I966" s="1" t="inlineStr">
        <is>
          <t>มี</t>
        </is>
      </c>
      <c r="J966" s="13" t="n">
        <v>185</v>
      </c>
      <c r="K966" s="1" t="inlineStr"/>
      <c r="L966" s="13" t="n">
        <v>185</v>
      </c>
      <c r="M966" s="1">
        <f>IF(L966="","ไม่พบใน SG",IF(ABS(J966-L966)&lt;0.005,"ตรงกัน","ไม่ตรง"))</f>
        <v/>
      </c>
      <c r="N966" s="14">
        <f>IF(L966="","",ROUND(L966*'สรุป'!$C$6,-1))</f>
        <v/>
      </c>
      <c r="O966" s="15" t="n"/>
      <c r="P966" s="15" t="n"/>
      <c r="Q966" s="10" t="n"/>
      <c r="R966" s="10" t="n"/>
      <c r="S966" s="16" t="inlineStr">
        <is>
          <t>https://mstgolf.co.th/products/gf2500102698</t>
        </is>
      </c>
      <c r="T966" s="1">
        <f>IF(B966="ไม้กอล์ฟ",J966,"")</f>
        <v/>
      </c>
    </row>
    <row r="967">
      <c r="A967" s="1" t="n">
        <v>2</v>
      </c>
      <c r="B967" s="1" t="inlineStr">
        <is>
          <t>รองเท้า</t>
        </is>
      </c>
      <c r="C967" s="1" t="inlineStr">
        <is>
          <t>gf2500102776</t>
        </is>
      </c>
      <c r="D967" s="1" t="inlineStr">
        <is>
          <t>LE COQ SPORTIF GOLF Partour BOA Men's Spiked Shoes (White)</t>
        </is>
      </c>
      <c r="E967" s="1" t="inlineStr">
        <is>
          <t>LE COQ SPORTIF GOLF</t>
        </is>
      </c>
      <c r="F967" s="1" t="inlineStr">
        <is>
          <t>SPIKE SHOES</t>
        </is>
      </c>
      <c r="G967" s="1" t="inlineStr">
        <is>
          <t>GF2500102776JP225</t>
        </is>
      </c>
      <c r="H967" s="1" t="n">
        <v>13</v>
      </c>
      <c r="I967" s="1" t="inlineStr">
        <is>
          <t>มี</t>
        </is>
      </c>
      <c r="J967" s="13" t="n">
        <v>179</v>
      </c>
      <c r="K967" s="1" t="inlineStr"/>
      <c r="L967" s="13" t="n">
        <v>129</v>
      </c>
      <c r="M967" s="1">
        <f>IF(L967="","ไม่พบใน SG",IF(ABS(J967-L967)&lt;0.005,"ตรงกัน","ไม่ตรง"))</f>
        <v/>
      </c>
      <c r="N967" s="14">
        <f>IF(L967="","",ROUND(L967*'สรุป'!$C$6,-1))</f>
        <v/>
      </c>
      <c r="O967" s="15" t="n"/>
      <c r="P967" s="15" t="n"/>
      <c r="Q967" s="10" t="n"/>
      <c r="R967" s="10" t="n"/>
      <c r="S967" s="16" t="inlineStr">
        <is>
          <t>https://mstgolf.co.th/products/gf2500102776</t>
        </is>
      </c>
      <c r="T967" s="1">
        <f>IF(B967="ไม้กอล์ฟ",J967,"")</f>
        <v/>
      </c>
    </row>
    <row r="968">
      <c r="A968" s="1" t="n">
        <v>2</v>
      </c>
      <c r="B968" s="1" t="inlineStr">
        <is>
          <t>รองเท้า</t>
        </is>
      </c>
      <c r="C968" s="1" t="inlineStr">
        <is>
          <t>gf2500201379</t>
        </is>
      </c>
      <c r="D968" s="1" t="inlineStr">
        <is>
          <t>PUMA Helsinki G Men's Spikeless Shoes (Ivory/Green)</t>
        </is>
      </c>
      <c r="E968" s="1" t="inlineStr">
        <is>
          <t>PUMA</t>
        </is>
      </c>
      <c r="F968" s="1" t="inlineStr">
        <is>
          <t>SPIKELESS SHOES</t>
        </is>
      </c>
      <c r="G968" s="1" t="inlineStr">
        <is>
          <t>GF2500201379UK6</t>
        </is>
      </c>
      <c r="H968" s="1" t="n">
        <v>12</v>
      </c>
      <c r="I968" s="1" t="inlineStr">
        <is>
          <t>มี</t>
        </is>
      </c>
      <c r="J968" s="13" t="n">
        <v>179</v>
      </c>
      <c r="K968" s="1" t="inlineStr"/>
      <c r="L968" s="13" t="n">
        <v>145</v>
      </c>
      <c r="M968" s="1">
        <f>IF(L968="","ไม่พบใน SG",IF(ABS(J968-L968)&lt;0.005,"ตรงกัน","ไม่ตรง"))</f>
        <v/>
      </c>
      <c r="N968" s="14">
        <f>IF(L968="","",ROUND(L968*'สรุป'!$C$6,-1))</f>
        <v/>
      </c>
      <c r="O968" s="15" t="n"/>
      <c r="P968" s="15" t="n"/>
      <c r="Q968" s="10" t="n"/>
      <c r="R968" s="10" t="n"/>
      <c r="S968" s="16" t="inlineStr">
        <is>
          <t>https://mstgolf.co.th/products/gf2500201379</t>
        </is>
      </c>
      <c r="T968" s="1">
        <f>IF(B968="ไม้กอล์ฟ",J968,"")</f>
        <v/>
      </c>
    </row>
    <row r="969">
      <c r="A969" s="1" t="n">
        <v>2</v>
      </c>
      <c r="B969" s="1" t="inlineStr">
        <is>
          <t>ถุงกอล์ฟ</t>
        </is>
      </c>
      <c r="C969" s="1" t="inlineStr">
        <is>
          <t>gf3000102550</t>
        </is>
      </c>
      <c r="D969" s="1" t="inlineStr">
        <is>
          <t>TAYLORMADE 9" True-Lite Cart Bag (Black)</t>
        </is>
      </c>
      <c r="E969" s="1" t="inlineStr">
        <is>
          <t>TAYLORMADE</t>
        </is>
      </c>
      <c r="F969" s="1" t="inlineStr">
        <is>
          <t>CADDIE/CART BAG</t>
        </is>
      </c>
      <c r="G969" s="1" t="inlineStr">
        <is>
          <t>GF3000102550</t>
        </is>
      </c>
      <c r="H969" s="1" t="n">
        <v>1</v>
      </c>
      <c r="I969" s="1" t="inlineStr">
        <is>
          <t>มี</t>
        </is>
      </c>
      <c r="J969" s="13" t="n">
        <v>179</v>
      </c>
      <c r="K969" s="1" t="inlineStr"/>
      <c r="L969" s="13" t="n">
        <v>179</v>
      </c>
      <c r="M969" s="1">
        <f>IF(L969="","ไม่พบใน SG",IF(ABS(J969-L969)&lt;0.005,"ตรงกัน","ไม่ตรง"))</f>
        <v/>
      </c>
      <c r="N969" s="14">
        <f>IF(L969="","",ROUND(L969*'สรุป'!$C$6,-1))</f>
        <v/>
      </c>
      <c r="O969" s="15" t="n"/>
      <c r="P969" s="15" t="n"/>
      <c r="Q969" s="10" t="n"/>
      <c r="R969" s="10" t="n"/>
      <c r="S969" s="16" t="inlineStr">
        <is>
          <t>https://mstgolf.co.th/products/gf3000102550</t>
        </is>
      </c>
      <c r="T969" s="1">
        <f>IF(B969="ไม้กอล์ฟ",J969,"")</f>
        <v/>
      </c>
    </row>
    <row r="970">
      <c r="A970" s="1" t="n">
        <v>2</v>
      </c>
      <c r="B970" s="1" t="inlineStr">
        <is>
          <t>ถุงกอล์ฟ</t>
        </is>
      </c>
      <c r="C970" s="1" t="inlineStr">
        <is>
          <t>gf3000300385</t>
        </is>
      </c>
      <c r="D970" s="1" t="inlineStr">
        <is>
          <t>TITLEIST Performance Sport Quarter Stiff Range Bag (Black/White)</t>
        </is>
      </c>
      <c r="E970" s="1" t="inlineStr">
        <is>
          <t>TITLEIST</t>
        </is>
      </c>
      <c r="F970" s="1" t="inlineStr">
        <is>
          <t>RANGE BAG</t>
        </is>
      </c>
      <c r="G970" s="1" t="inlineStr">
        <is>
          <t>GF3000300385</t>
        </is>
      </c>
      <c r="H970" s="1" t="n">
        <v>1</v>
      </c>
      <c r="I970" s="1" t="inlineStr">
        <is>
          <t>มี</t>
        </is>
      </c>
      <c r="J970" s="13" t="n">
        <v>179</v>
      </c>
      <c r="K970" s="1" t="inlineStr"/>
      <c r="L970" s="13" t="n">
        <v>179</v>
      </c>
      <c r="M970" s="1">
        <f>IF(L970="","ไม่พบใน SG",IF(ABS(J970-L970)&lt;0.005,"ตรงกัน","ไม่ตรง"))</f>
        <v/>
      </c>
      <c r="N970" s="14">
        <f>IF(L970="","",ROUND(L970*'สรุป'!$C$6,-1))</f>
        <v/>
      </c>
      <c r="O970" s="15" t="n"/>
      <c r="P970" s="15" t="n"/>
      <c r="Q970" s="10" t="n"/>
      <c r="R970" s="10" t="n"/>
      <c r="S970" s="16" t="inlineStr">
        <is>
          <t>https://mstgolf.co.th/products/gf3000300385</t>
        </is>
      </c>
      <c r="T970" s="1">
        <f>IF(B970="ไม้กอล์ฟ",J970,"")</f>
        <v/>
      </c>
    </row>
    <row r="971">
      <c r="A971" s="1" t="n">
        <v>2</v>
      </c>
      <c r="B971" s="1" t="inlineStr">
        <is>
          <t>รองเท้า</t>
        </is>
      </c>
      <c r="C971" s="1" t="inlineStr">
        <is>
          <t>gf2500201197</t>
        </is>
      </c>
      <c r="D971" s="1" t="inlineStr">
        <is>
          <t>UNDER ARMOUR Phantom Men's Spikeless Shoes (Black/Silt/Black)</t>
        </is>
      </c>
      <c r="E971" s="1" t="inlineStr">
        <is>
          <t>UNDER ARMOUR</t>
        </is>
      </c>
      <c r="F971" s="1" t="inlineStr">
        <is>
          <t>SPIKELESS SHOES</t>
        </is>
      </c>
      <c r="G971" s="1" t="inlineStr">
        <is>
          <t>GF2500201197US7.5</t>
        </is>
      </c>
      <c r="H971" s="1" t="n">
        <v>8</v>
      </c>
      <c r="I971" s="1" t="inlineStr">
        <is>
          <t>มี</t>
        </is>
      </c>
      <c r="J971" s="13" t="n">
        <v>179</v>
      </c>
      <c r="K971" s="1" t="inlineStr"/>
      <c r="L971" s="13" t="n">
        <v>179</v>
      </c>
      <c r="M971" s="1">
        <f>IF(L971="","ไม่พบใน SG",IF(ABS(J971-L971)&lt;0.005,"ตรงกัน","ไม่ตรง"))</f>
        <v/>
      </c>
      <c r="N971" s="14">
        <f>IF(L971="","",ROUND(L971*'สรุป'!$C$6,-1))</f>
        <v/>
      </c>
      <c r="O971" s="15" t="n"/>
      <c r="P971" s="15" t="n"/>
      <c r="Q971" s="10" t="n"/>
      <c r="R971" s="10" t="n"/>
      <c r="S971" s="16" t="inlineStr">
        <is>
          <t>https://mstgolf.co.th/products/gf2500201197</t>
        </is>
      </c>
      <c r="T971" s="1">
        <f>IF(B971="ไม้กอล์ฟ",J971,"")</f>
        <v/>
      </c>
    </row>
    <row r="972">
      <c r="A972" s="1" t="n">
        <v>2</v>
      </c>
      <c r="B972" s="1" t="inlineStr">
        <is>
          <t>รองเท้า</t>
        </is>
      </c>
      <c r="C972" s="1" t="inlineStr">
        <is>
          <t>gf2500200991</t>
        </is>
      </c>
      <c r="D972" s="1" t="inlineStr">
        <is>
          <t>ADIDAS Codechaos Laceless Glitch Spikeless Shoes (Black/Lemon/Grey)</t>
        </is>
      </c>
      <c r="E972" s="1" t="inlineStr">
        <is>
          <t>ADIDAS</t>
        </is>
      </c>
      <c r="F972" s="1" t="inlineStr">
        <is>
          <t>SPIKELESS SHOES</t>
        </is>
      </c>
      <c r="G972" s="1" t="inlineStr">
        <is>
          <t>GF2500200991UK5.5</t>
        </is>
      </c>
      <c r="H972" s="1" t="n">
        <v>12</v>
      </c>
      <c r="I972" s="1" t="inlineStr">
        <is>
          <t>มี</t>
        </is>
      </c>
      <c r="J972" s="13" t="n">
        <v>175</v>
      </c>
      <c r="K972" s="1" t="inlineStr"/>
      <c r="L972" s="13" t="n">
        <v>139</v>
      </c>
      <c r="M972" s="1">
        <f>IF(L972="","ไม่พบใน SG",IF(ABS(J972-L972)&lt;0.005,"ตรงกัน","ไม่ตรง"))</f>
        <v/>
      </c>
      <c r="N972" s="14">
        <f>IF(L972="","",ROUND(L972*'สรุป'!$C$6,-1))</f>
        <v/>
      </c>
      <c r="O972" s="15" t="n"/>
      <c r="P972" s="15" t="n"/>
      <c r="Q972" s="10" t="n"/>
      <c r="R972" s="10" t="n"/>
      <c r="S972" s="16" t="inlineStr">
        <is>
          <t>https://mstgolf.co.th/products/gf2500200991</t>
        </is>
      </c>
      <c r="T972" s="1">
        <f>IF(B972="ไม้กอล์ฟ",J972,"")</f>
        <v/>
      </c>
    </row>
    <row r="973">
      <c r="A973" s="1" t="n">
        <v>2</v>
      </c>
      <c r="B973" s="1" t="inlineStr">
        <is>
          <t>รองเท้า</t>
        </is>
      </c>
      <c r="C973" s="1" t="inlineStr">
        <is>
          <t>gf2500102740</t>
        </is>
      </c>
      <c r="D973" s="1" t="inlineStr">
        <is>
          <t>ADIDAS Powerfade BOA Men's Spiked Shoes (White/Black/Red)</t>
        </is>
      </c>
      <c r="E973" s="1" t="inlineStr">
        <is>
          <t>ADIDAS</t>
        </is>
      </c>
      <c r="F973" s="1" t="inlineStr">
        <is>
          <t>SPIKE SHOES</t>
        </is>
      </c>
      <c r="G973" s="1" t="inlineStr">
        <is>
          <t>GF2500102740UK6.5</t>
        </is>
      </c>
      <c r="H973" s="1" t="n">
        <v>11</v>
      </c>
      <c r="I973" s="1" t="inlineStr">
        <is>
          <t>มี</t>
        </is>
      </c>
      <c r="J973" s="13" t="n">
        <v>175</v>
      </c>
      <c r="K973" s="1" t="inlineStr"/>
      <c r="L973" s="13" t="n">
        <v>125</v>
      </c>
      <c r="M973" s="1">
        <f>IF(L973="","ไม่พบใน SG",IF(ABS(J973-L973)&lt;0.005,"ตรงกัน","ไม่ตรง"))</f>
        <v/>
      </c>
      <c r="N973" s="14">
        <f>IF(L973="","",ROUND(L973*'สรุป'!$C$6,-1))</f>
        <v/>
      </c>
      <c r="O973" s="15" t="n"/>
      <c r="P973" s="15" t="n"/>
      <c r="Q973" s="10" t="n"/>
      <c r="R973" s="10" t="n"/>
      <c r="S973" s="16" t="inlineStr">
        <is>
          <t>https://mstgolf.co.th/products/gf2500102740</t>
        </is>
      </c>
      <c r="T973" s="1">
        <f>IF(B973="ไม้กอล์ฟ",J973,"")</f>
        <v/>
      </c>
    </row>
    <row r="974">
      <c r="A974" s="1" t="n">
        <v>2</v>
      </c>
      <c r="B974" s="1" t="inlineStr">
        <is>
          <t>รองเท้า</t>
        </is>
      </c>
      <c r="C974" s="1" t="inlineStr">
        <is>
          <t>gf2500102739</t>
        </is>
      </c>
      <c r="D974" s="1" t="inlineStr">
        <is>
          <t>ADIDAS Powerfade BOA Men's Spiked Shoes (White/Silver)</t>
        </is>
      </c>
      <c r="E974" s="1" t="inlineStr">
        <is>
          <t>ADIDAS</t>
        </is>
      </c>
      <c r="F974" s="1" t="inlineStr">
        <is>
          <t>SPIKE SHOES</t>
        </is>
      </c>
      <c r="G974" s="1" t="inlineStr">
        <is>
          <t>GF2500102739UK6.5</t>
        </is>
      </c>
      <c r="H974" s="1" t="n">
        <v>11</v>
      </c>
      <c r="I974" s="1" t="inlineStr">
        <is>
          <t>มี</t>
        </is>
      </c>
      <c r="J974" s="13" t="n">
        <v>175</v>
      </c>
      <c r="K974" s="1" t="inlineStr"/>
      <c r="L974" s="13" t="n">
        <v>125</v>
      </c>
      <c r="M974" s="1">
        <f>IF(L974="","ไม่พบใน SG",IF(ABS(J974-L974)&lt;0.005,"ตรงกัน","ไม่ตรง"))</f>
        <v/>
      </c>
      <c r="N974" s="14">
        <f>IF(L974="","",ROUND(L974*'สรุป'!$C$6,-1))</f>
        <v/>
      </c>
      <c r="O974" s="15" t="n"/>
      <c r="P974" s="15" t="n"/>
      <c r="Q974" s="10" t="n"/>
      <c r="R974" s="10" t="n"/>
      <c r="S974" s="16" t="inlineStr">
        <is>
          <t>https://mstgolf.co.th/products/gf2500102739</t>
        </is>
      </c>
      <c r="T974" s="1">
        <f>IF(B974="ไม้กอล์ฟ",J974,"")</f>
        <v/>
      </c>
    </row>
    <row r="975">
      <c r="A975" s="1" t="n">
        <v>2</v>
      </c>
      <c r="B975" s="1" t="inlineStr">
        <is>
          <t>รองเท้า</t>
        </is>
      </c>
      <c r="C975" s="1" t="inlineStr">
        <is>
          <t>gf2500102639</t>
        </is>
      </c>
      <c r="D975" s="1" t="inlineStr">
        <is>
          <t>FOOTJOY Hyperflex Carbon Men's Spiked Shoes (White/Blue/Purple)</t>
        </is>
      </c>
      <c r="E975" s="1" t="inlineStr">
        <is>
          <t>FOOTJOY</t>
        </is>
      </c>
      <c r="F975" s="1" t="inlineStr">
        <is>
          <t>SPIKE SHOES</t>
        </is>
      </c>
      <c r="G975" s="1" t="inlineStr">
        <is>
          <t>GF2500102639US6.5</t>
        </is>
      </c>
      <c r="H975" s="1" t="n">
        <v>12</v>
      </c>
      <c r="I975" s="1" t="inlineStr">
        <is>
          <t>มี</t>
        </is>
      </c>
      <c r="J975" s="13" t="n">
        <v>175</v>
      </c>
      <c r="K975" s="1" t="inlineStr"/>
      <c r="L975" s="13" t="n">
        <v>390</v>
      </c>
      <c r="M975" s="1">
        <f>IF(L975="","ไม่พบใน SG",IF(ABS(J975-L975)&lt;0.005,"ตรงกัน","ไม่ตรง"))</f>
        <v/>
      </c>
      <c r="N975" s="14">
        <f>IF(L975="","",ROUND(L975*'สรุป'!$C$6,-1))</f>
        <v/>
      </c>
      <c r="O975" s="15" t="n"/>
      <c r="P975" s="15" t="n"/>
      <c r="Q975" s="10" t="n"/>
      <c r="R975" s="10" t="n"/>
      <c r="S975" s="16" t="inlineStr">
        <is>
          <t>https://mstgolf.co.th/products/gf2500102639</t>
        </is>
      </c>
      <c r="T975" s="1">
        <f>IF(B975="ไม้กอล์ฟ",J975,"")</f>
        <v/>
      </c>
    </row>
    <row r="976">
      <c r="A976" s="1" t="n">
        <v>2</v>
      </c>
      <c r="B976" s="1" t="inlineStr">
        <is>
          <t>รองเท้า</t>
        </is>
      </c>
      <c r="C976" s="1" t="inlineStr">
        <is>
          <t>gf2500201260</t>
        </is>
      </c>
      <c r="D976" s="1" t="inlineStr">
        <is>
          <t>FOOTJOY Pro Lite BOA Men's Spikeless Shoes (Grey/White)</t>
        </is>
      </c>
      <c r="E976" s="1" t="inlineStr">
        <is>
          <t>FOOTJOY</t>
        </is>
      </c>
      <c r="F976" s="1" t="inlineStr">
        <is>
          <t>SPIKELESS SHOES</t>
        </is>
      </c>
      <c r="G976" s="1" t="inlineStr">
        <is>
          <t>GF2500201260US6.5</t>
        </is>
      </c>
      <c r="H976" s="1" t="n">
        <v>10</v>
      </c>
      <c r="I976" s="1" t="inlineStr">
        <is>
          <t>มี</t>
        </is>
      </c>
      <c r="J976" s="13" t="n">
        <v>175</v>
      </c>
      <c r="K976" s="1" t="inlineStr"/>
      <c r="L976" s="13" t="n">
        <v>129</v>
      </c>
      <c r="M976" s="1">
        <f>IF(L976="","ไม่พบใน SG",IF(ABS(J976-L976)&lt;0.005,"ตรงกัน","ไม่ตรง"))</f>
        <v/>
      </c>
      <c r="N976" s="14">
        <f>IF(L976="","",ROUND(L976*'สรุป'!$C$6,-1))</f>
        <v/>
      </c>
      <c r="O976" s="15" t="n"/>
      <c r="P976" s="15" t="n"/>
      <c r="Q976" s="10" t="n"/>
      <c r="R976" s="10" t="n"/>
      <c r="S976" s="16" t="inlineStr">
        <is>
          <t>https://mstgolf.co.th/products/gf2500201260</t>
        </is>
      </c>
      <c r="T976" s="1">
        <f>IF(B976="ไม้กอล์ฟ",J976,"")</f>
        <v/>
      </c>
    </row>
    <row r="977">
      <c r="A977" s="1" t="n">
        <v>2</v>
      </c>
      <c r="B977" s="1" t="inlineStr">
        <is>
          <t>รองเท้า</t>
        </is>
      </c>
      <c r="C977" s="1" t="inlineStr">
        <is>
          <t>gf2500201181</t>
        </is>
      </c>
      <c r="D977" s="1" t="inlineStr">
        <is>
          <t>FOOTJOY Pro Lite BOA Men's Spikeless Shoes (White/Navy)</t>
        </is>
      </c>
      <c r="E977" s="1" t="inlineStr">
        <is>
          <t>FOOTJOY</t>
        </is>
      </c>
      <c r="F977" s="1" t="inlineStr">
        <is>
          <t>SPIKELESS SHOES</t>
        </is>
      </c>
      <c r="G977" s="1" t="inlineStr">
        <is>
          <t>GF2500201181US6.5</t>
        </is>
      </c>
      <c r="H977" s="1" t="n">
        <v>10</v>
      </c>
      <c r="I977" s="1" t="inlineStr">
        <is>
          <t>มี</t>
        </is>
      </c>
      <c r="J977" s="13" t="n">
        <v>175</v>
      </c>
      <c r="K977" s="1" t="inlineStr"/>
      <c r="L977" s="13" t="n">
        <v>129</v>
      </c>
      <c r="M977" s="1">
        <f>IF(L977="","ไม่พบใน SG",IF(ABS(J977-L977)&lt;0.005,"ตรงกัน","ไม่ตรง"))</f>
        <v/>
      </c>
      <c r="N977" s="14">
        <f>IF(L977="","",ROUND(L977*'สรุป'!$C$6,-1))</f>
        <v/>
      </c>
      <c r="O977" s="15" t="n"/>
      <c r="P977" s="15" t="n"/>
      <c r="Q977" s="10" t="n"/>
      <c r="R977" s="10" t="n"/>
      <c r="S977" s="16" t="inlineStr">
        <is>
          <t>https://mstgolf.co.th/products/gf2500201181</t>
        </is>
      </c>
      <c r="T977" s="1">
        <f>IF(B977="ไม้กอล์ฟ",J977,"")</f>
        <v/>
      </c>
    </row>
    <row r="978">
      <c r="A978" s="1" t="n">
        <v>2</v>
      </c>
      <c r="B978" s="1" t="inlineStr">
        <is>
          <t>รองเท้า</t>
        </is>
      </c>
      <c r="C978" s="1" t="inlineStr">
        <is>
          <t>gf2500201256</t>
        </is>
      </c>
      <c r="D978" s="1" t="inlineStr">
        <is>
          <t>PUMA Electrocat NITRO Fire Glow Men's Spikeless Shoes (Pink)</t>
        </is>
      </c>
      <c r="E978" s="1" t="inlineStr">
        <is>
          <t>PUMA</t>
        </is>
      </c>
      <c r="F978" s="1" t="inlineStr">
        <is>
          <t>SPIKELESS SHOES</t>
        </is>
      </c>
      <c r="G978" s="1" t="inlineStr">
        <is>
          <t>GF2500201256UK6</t>
        </is>
      </c>
      <c r="H978" s="1" t="n">
        <v>13</v>
      </c>
      <c r="I978" s="1" t="inlineStr">
        <is>
          <t>มี</t>
        </is>
      </c>
      <c r="J978" s="13" t="n">
        <v>175</v>
      </c>
      <c r="K978" s="1" t="inlineStr"/>
      <c r="L978" s="13" t="n">
        <v>175</v>
      </c>
      <c r="M978" s="1">
        <f>IF(L978="","ไม่พบใน SG",IF(ABS(J978-L978)&lt;0.005,"ตรงกัน","ไม่ตรง"))</f>
        <v/>
      </c>
      <c r="N978" s="14">
        <f>IF(L978="","",ROUND(L978*'สรุป'!$C$6,-1))</f>
        <v/>
      </c>
      <c r="O978" s="15" t="n"/>
      <c r="P978" s="15" t="n"/>
      <c r="Q978" s="10" t="n"/>
      <c r="R978" s="10" t="n"/>
      <c r="S978" s="16" t="inlineStr">
        <is>
          <t>https://mstgolf.co.th/products/gf2500201256</t>
        </is>
      </c>
      <c r="T978" s="1">
        <f>IF(B978="ไม้กอล์ฟ",J978,"")</f>
        <v/>
      </c>
    </row>
    <row r="979">
      <c r="A979" s="1" t="n">
        <v>2</v>
      </c>
      <c r="B979" s="1" t="inlineStr">
        <is>
          <t>รองเท้า</t>
        </is>
      </c>
      <c r="C979" s="1" t="inlineStr">
        <is>
          <t>gf2500201384</t>
        </is>
      </c>
      <c r="D979" s="1" t="inlineStr">
        <is>
          <t>ADIDAS S2G 24 Leather Men's Spikeless Shoes (Black/White/Teal)</t>
        </is>
      </c>
      <c r="E979" s="1" t="inlineStr">
        <is>
          <t>ADIDAS</t>
        </is>
      </c>
      <c r="F979" s="1" t="inlineStr">
        <is>
          <t>SPIKELESS SHOES</t>
        </is>
      </c>
      <c r="G979" s="1" t="inlineStr">
        <is>
          <t>GF2500201384UK6.5</t>
        </is>
      </c>
      <c r="H979" s="1" t="n">
        <v>12</v>
      </c>
      <c r="I979" s="1" t="inlineStr">
        <is>
          <t>มี</t>
        </is>
      </c>
      <c r="J979" s="13" t="n">
        <v>169</v>
      </c>
      <c r="K979" s="1" t="inlineStr"/>
      <c r="L979" s="13" t="n"/>
      <c r="M979" s="1">
        <f>IF(L979="","ไม่พบใน SG",IF(ABS(J979-L979)&lt;0.005,"ตรงกัน","ไม่ตรง"))</f>
        <v/>
      </c>
      <c r="N979" s="14">
        <f>IF(L979="","",ROUND(L979*'สรุป'!$C$6,-1))</f>
        <v/>
      </c>
      <c r="O979" s="15" t="n"/>
      <c r="P979" s="15" t="n"/>
      <c r="Q979" s="10" t="n"/>
      <c r="R979" s="10" t="n"/>
      <c r="S979" s="16" t="inlineStr">
        <is>
          <t>https://mstgolf.co.th/products/gf2500201384</t>
        </is>
      </c>
      <c r="T979" s="1">
        <f>IF(B979="ไม้กอล์ฟ",J979,"")</f>
        <v/>
      </c>
    </row>
    <row r="980">
      <c r="A980" s="1" t="n">
        <v>2</v>
      </c>
      <c r="B980" s="1" t="inlineStr">
        <is>
          <t>รองเท้า</t>
        </is>
      </c>
      <c r="C980" s="1" t="inlineStr">
        <is>
          <t>gf2500201387</t>
        </is>
      </c>
      <c r="D980" s="1" t="inlineStr">
        <is>
          <t>ADIDAS S2G 24 Leather Men's Spikeless Shoes (White)</t>
        </is>
      </c>
      <c r="E980" s="1" t="inlineStr">
        <is>
          <t>ADIDAS</t>
        </is>
      </c>
      <c r="F980" s="1" t="inlineStr">
        <is>
          <t>SPIKELESS SHOES</t>
        </is>
      </c>
      <c r="G980" s="1" t="inlineStr">
        <is>
          <t>GF2500201387UK6.5</t>
        </is>
      </c>
      <c r="H980" s="1" t="n">
        <v>11</v>
      </c>
      <c r="I980" s="1" t="inlineStr">
        <is>
          <t>มี</t>
        </is>
      </c>
      <c r="J980" s="13" t="n">
        <v>169</v>
      </c>
      <c r="K980" s="1" t="inlineStr"/>
      <c r="L980" s="13" t="n">
        <v>85</v>
      </c>
      <c r="M980" s="1">
        <f>IF(L980="","ไม่พบใน SG",IF(ABS(J980-L980)&lt;0.005,"ตรงกัน","ไม่ตรง"))</f>
        <v/>
      </c>
      <c r="N980" s="14">
        <f>IF(L980="","",ROUND(L980*'สรุป'!$C$6,-1))</f>
        <v/>
      </c>
      <c r="O980" s="15" t="n"/>
      <c r="P980" s="15" t="n"/>
      <c r="Q980" s="10" t="n"/>
      <c r="R980" s="10" t="n"/>
      <c r="S980" s="16" t="inlineStr">
        <is>
          <t>https://mstgolf.co.th/products/gf2500201387</t>
        </is>
      </c>
      <c r="T980" s="1">
        <f>IF(B980="ไม้กอล์ฟ",J980,"")</f>
        <v/>
      </c>
    </row>
    <row r="981">
      <c r="A981" s="1" t="n">
        <v>2</v>
      </c>
      <c r="B981" s="1" t="inlineStr">
        <is>
          <t>รองเท้า</t>
        </is>
      </c>
      <c r="C981" s="1" t="inlineStr">
        <is>
          <t>gf2500201385</t>
        </is>
      </c>
      <c r="D981" s="1" t="inlineStr">
        <is>
          <t>ADIDAS S2G 24 Leather Men's Spikeless Shoes (White/Navy/Silver)</t>
        </is>
      </c>
      <c r="E981" s="1" t="inlineStr">
        <is>
          <t>ADIDAS</t>
        </is>
      </c>
      <c r="F981" s="1" t="inlineStr">
        <is>
          <t>SPIKELESS SHOES</t>
        </is>
      </c>
      <c r="G981" s="1" t="inlineStr">
        <is>
          <t>GF2500201385UK6.5</t>
        </is>
      </c>
      <c r="H981" s="1" t="n">
        <v>12</v>
      </c>
      <c r="I981" s="1" t="inlineStr">
        <is>
          <t>มี</t>
        </is>
      </c>
      <c r="J981" s="13" t="n">
        <v>169</v>
      </c>
      <c r="K981" s="1" t="inlineStr"/>
      <c r="L981" s="13" t="n"/>
      <c r="M981" s="1">
        <f>IF(L981="","ไม่พบใน SG",IF(ABS(J981-L981)&lt;0.005,"ตรงกัน","ไม่ตรง"))</f>
        <v/>
      </c>
      <c r="N981" s="14">
        <f>IF(L981="","",ROUND(L981*'สรุป'!$C$6,-1))</f>
        <v/>
      </c>
      <c r="O981" s="15" t="n"/>
      <c r="P981" s="15" t="n"/>
      <c r="Q981" s="10" t="n"/>
      <c r="R981" s="10" t="n"/>
      <c r="S981" s="16" t="inlineStr">
        <is>
          <t>https://mstgolf.co.th/products/gf2500201385</t>
        </is>
      </c>
      <c r="T981" s="1">
        <f>IF(B981="ไม้กอล์ฟ",J981,"")</f>
        <v/>
      </c>
    </row>
    <row r="982">
      <c r="A982" s="1" t="n">
        <v>2</v>
      </c>
      <c r="B982" s="1" t="inlineStr">
        <is>
          <t>รองเท้า</t>
        </is>
      </c>
      <c r="C982" s="1" t="inlineStr">
        <is>
          <t>gf2500200977</t>
        </is>
      </c>
      <c r="D982" s="1" t="inlineStr">
        <is>
          <t>ASICS Asics Gel Kayano Ace BOA Men's Spikeless Shoes (White/Blue)</t>
        </is>
      </c>
      <c r="E982" s="1" t="inlineStr">
        <is>
          <t>ASICS</t>
        </is>
      </c>
      <c r="F982" s="1" t="inlineStr">
        <is>
          <t>SPIKELESS SHOES</t>
        </is>
      </c>
      <c r="G982" s="1" t="inlineStr">
        <is>
          <t>GF2500200977US6.5</t>
        </is>
      </c>
      <c r="H982" s="1" t="n">
        <v>11</v>
      </c>
      <c r="I982" s="1" t="inlineStr">
        <is>
          <t>มี</t>
        </is>
      </c>
      <c r="J982" s="13" t="n">
        <v>169</v>
      </c>
      <c r="K982" s="1" t="inlineStr"/>
      <c r="L982" s="13" t="n">
        <v>169</v>
      </c>
      <c r="M982" s="1">
        <f>IF(L982="","ไม่พบใน SG",IF(ABS(J982-L982)&lt;0.005,"ตรงกัน","ไม่ตรง"))</f>
        <v/>
      </c>
      <c r="N982" s="14">
        <f>IF(L982="","",ROUND(L982*'สรุป'!$C$6,-1))</f>
        <v/>
      </c>
      <c r="O982" s="15" t="n"/>
      <c r="P982" s="15" t="n"/>
      <c r="Q982" s="10" t="n"/>
      <c r="R982" s="10" t="n"/>
      <c r="S982" s="16" t="inlineStr">
        <is>
          <t>https://mstgolf.co.th/products/gf2500200977</t>
        </is>
      </c>
      <c r="T982" s="1">
        <f>IF(B982="ไม้กอล์ฟ",J982,"")</f>
        <v/>
      </c>
    </row>
    <row r="983">
      <c r="A983" s="1" t="n">
        <v>2</v>
      </c>
      <c r="B983" s="1" t="inlineStr">
        <is>
          <t>รองเท้า</t>
        </is>
      </c>
      <c r="C983" s="1" t="inlineStr">
        <is>
          <t>gf2500200978</t>
        </is>
      </c>
      <c r="D983" s="1" t="inlineStr">
        <is>
          <t>ASICS Gel kayano Ace BOA Men's Spikeless Shoes (Black/Silver)</t>
        </is>
      </c>
      <c r="E983" s="1" t="inlineStr">
        <is>
          <t>ASICS</t>
        </is>
      </c>
      <c r="F983" s="1" t="inlineStr">
        <is>
          <t>SPIKELESS SHOES</t>
        </is>
      </c>
      <c r="G983" s="1" t="inlineStr">
        <is>
          <t>GF2500200978US6.5</t>
        </is>
      </c>
      <c r="H983" s="1" t="n">
        <v>11</v>
      </c>
      <c r="I983" s="1" t="inlineStr">
        <is>
          <t>มี</t>
        </is>
      </c>
      <c r="J983" s="13" t="n">
        <v>169</v>
      </c>
      <c r="K983" s="1" t="inlineStr"/>
      <c r="L983" s="13" t="n">
        <v>169</v>
      </c>
      <c r="M983" s="1">
        <f>IF(L983="","ไม่พบใน SG",IF(ABS(J983-L983)&lt;0.005,"ตรงกัน","ไม่ตรง"))</f>
        <v/>
      </c>
      <c r="N983" s="14">
        <f>IF(L983="","",ROUND(L983*'สรุป'!$C$6,-1))</f>
        <v/>
      </c>
      <c r="O983" s="15" t="n"/>
      <c r="P983" s="15" t="n"/>
      <c r="Q983" s="10" t="n"/>
      <c r="R983" s="10" t="n"/>
      <c r="S983" s="16" t="inlineStr">
        <is>
          <t>https://mstgolf.co.th/products/gf2500200978</t>
        </is>
      </c>
      <c r="T983" s="1">
        <f>IF(B983="ไม้กอล์ฟ",J983,"")</f>
        <v/>
      </c>
    </row>
    <row r="984">
      <c r="A984" s="1" t="n">
        <v>2</v>
      </c>
      <c r="B984" s="1" t="inlineStr">
        <is>
          <t>ถุงกอล์ฟ</t>
        </is>
      </c>
      <c r="C984" s="1" t="inlineStr">
        <is>
          <t>gf3000102527</t>
        </is>
      </c>
      <c r="D984" s="1" t="inlineStr">
        <is>
          <t>CUTTER &amp; BUCK 9" Waterproof Cart Bag (Grey/Red)</t>
        </is>
      </c>
      <c r="E984" s="1" t="inlineStr">
        <is>
          <t>CUTTER &amp; BUCK</t>
        </is>
      </c>
      <c r="F984" s="1" t="inlineStr">
        <is>
          <t>CADDIE/CART BAG</t>
        </is>
      </c>
      <c r="G984" s="1" t="inlineStr">
        <is>
          <t>GF3000102527</t>
        </is>
      </c>
      <c r="H984" s="1" t="n">
        <v>1</v>
      </c>
      <c r="I984" s="1" t="inlineStr">
        <is>
          <t>มี</t>
        </is>
      </c>
      <c r="J984" s="13" t="n">
        <v>169</v>
      </c>
      <c r="K984" s="1" t="inlineStr"/>
      <c r="L984" s="13" t="n">
        <v>169</v>
      </c>
      <c r="M984" s="1">
        <f>IF(L984="","ไม่พบใน SG",IF(ABS(J984-L984)&lt;0.005,"ตรงกัน","ไม่ตรง"))</f>
        <v/>
      </c>
      <c r="N984" s="14">
        <f>IF(L984="","",ROUND(L984*'สรุป'!$C$6,-1))</f>
        <v/>
      </c>
      <c r="O984" s="15" t="n"/>
      <c r="P984" s="15" t="n"/>
      <c r="Q984" s="10" t="n"/>
      <c r="R984" s="10" t="n"/>
      <c r="S984" s="16" t="inlineStr">
        <is>
          <t>https://mstgolf.co.th/products/gf3000102527</t>
        </is>
      </c>
      <c r="T984" s="1">
        <f>IF(B984="ไม้กอล์ฟ",J984,"")</f>
        <v/>
      </c>
    </row>
    <row r="985">
      <c r="A985" s="1" t="n">
        <v>2</v>
      </c>
      <c r="B985" s="1" t="inlineStr">
        <is>
          <t>รองเท้า</t>
        </is>
      </c>
      <c r="C985" s="1" t="inlineStr">
        <is>
          <t>gf2500201274</t>
        </is>
      </c>
      <c r="D985" s="1" t="inlineStr">
        <is>
          <t>NIKE Air Max 1 '86 OG G Unisex Spikeless Shoes (Red/White)</t>
        </is>
      </c>
      <c r="E985" s="1" t="inlineStr">
        <is>
          <t>NIKE</t>
        </is>
      </c>
      <c r="F985" s="1" t="inlineStr">
        <is>
          <t>SPIKELESS SHOES</t>
        </is>
      </c>
      <c r="G985" s="1" t="inlineStr">
        <is>
          <t>GF2500201274US7</t>
        </is>
      </c>
      <c r="H985" s="1" t="n">
        <v>12</v>
      </c>
      <c r="I985" s="1" t="inlineStr">
        <is>
          <t>มี</t>
        </is>
      </c>
      <c r="J985" s="13" t="n">
        <v>169</v>
      </c>
      <c r="K985" s="1" t="inlineStr"/>
      <c r="L985" s="13" t="n">
        <v>169</v>
      </c>
      <c r="M985" s="1">
        <f>IF(L985="","ไม่พบใน SG",IF(ABS(J985-L985)&lt;0.005,"ตรงกัน","ไม่ตรง"))</f>
        <v/>
      </c>
      <c r="N985" s="14">
        <f>IF(L985="","",ROUND(L985*'สรุป'!$C$6,-1))</f>
        <v/>
      </c>
      <c r="O985" s="15" t="n"/>
      <c r="P985" s="15" t="n"/>
      <c r="Q985" s="10" t="n"/>
      <c r="R985" s="10" t="n"/>
      <c r="S985" s="16" t="inlineStr">
        <is>
          <t>https://mstgolf.co.th/products/gf2500201274</t>
        </is>
      </c>
      <c r="T985" s="1">
        <f>IF(B985="ไม้กอล์ฟ",J985,"")</f>
        <v/>
      </c>
    </row>
    <row r="986">
      <c r="A986" s="1" t="n">
        <v>2</v>
      </c>
      <c r="B986" s="1" t="inlineStr">
        <is>
          <t>ถุงกอล์ฟ</t>
        </is>
      </c>
      <c r="C986" s="1" t="inlineStr">
        <is>
          <t>gf3010401024</t>
        </is>
      </c>
      <c r="D986" s="1" t="inlineStr">
        <is>
          <t>PETER MILLAR Pursuit Travel Kit (Navy)</t>
        </is>
      </c>
      <c r="E986" s="1" t="inlineStr">
        <is>
          <t>PETER MILLAR</t>
        </is>
      </c>
      <c r="F986" s="1" t="inlineStr">
        <is>
          <t>SMALL BAG</t>
        </is>
      </c>
      <c r="G986" s="1" t="inlineStr">
        <is>
          <t>GF3010401024</t>
        </is>
      </c>
      <c r="H986" s="1" t="n">
        <v>1</v>
      </c>
      <c r="I986" s="1" t="inlineStr">
        <is>
          <t>มี</t>
        </is>
      </c>
      <c r="J986" s="13" t="n">
        <v>169</v>
      </c>
      <c r="K986" s="1" t="inlineStr"/>
      <c r="L986" s="13" t="n">
        <v>169</v>
      </c>
      <c r="M986" s="1">
        <f>IF(L986="","ไม่พบใน SG",IF(ABS(J986-L986)&lt;0.005,"ตรงกัน","ไม่ตรง"))</f>
        <v/>
      </c>
      <c r="N986" s="14">
        <f>IF(L986="","",ROUND(L986*'สรุป'!$C$6,-1))</f>
        <v/>
      </c>
      <c r="O986" s="15" t="n"/>
      <c r="P986" s="15" t="n"/>
      <c r="Q986" s="10" t="n"/>
      <c r="R986" s="10" t="n"/>
      <c r="S986" s="16" t="inlineStr">
        <is>
          <t>https://mstgolf.co.th/products/gf3010401024</t>
        </is>
      </c>
      <c r="T986" s="1">
        <f>IF(B986="ไม้กอล์ฟ",J986,"")</f>
        <v/>
      </c>
    </row>
    <row r="987">
      <c r="A987" s="1" t="n">
        <v>2</v>
      </c>
      <c r="B987" s="1" t="inlineStr">
        <is>
          <t>รองเท้า</t>
        </is>
      </c>
      <c r="C987" s="1" t="inlineStr">
        <is>
          <t>gf2500102695</t>
        </is>
      </c>
      <c r="D987" s="1" t="inlineStr">
        <is>
          <t>PUMA Phantomcat NITRO BOA Men's Spiked Shoes (Grey/Black/Green)</t>
        </is>
      </c>
      <c r="E987" s="1" t="inlineStr">
        <is>
          <t>PUMA</t>
        </is>
      </c>
      <c r="F987" s="1" t="inlineStr">
        <is>
          <t>SPIKE SHOES</t>
        </is>
      </c>
      <c r="G987" s="1" t="inlineStr">
        <is>
          <t>GF2500102695UK6.5</t>
        </is>
      </c>
      <c r="H987" s="1" t="n">
        <v>9</v>
      </c>
      <c r="I987" s="1" t="inlineStr">
        <is>
          <t>มี</t>
        </is>
      </c>
      <c r="J987" s="13" t="n">
        <v>169</v>
      </c>
      <c r="K987" s="1" t="inlineStr"/>
      <c r="L987" s="13" t="n">
        <v>169</v>
      </c>
      <c r="M987" s="1">
        <f>IF(L987="","ไม่พบใน SG",IF(ABS(J987-L987)&lt;0.005,"ตรงกัน","ไม่ตรง"))</f>
        <v/>
      </c>
      <c r="N987" s="14">
        <f>IF(L987="","",ROUND(L987*'สรุป'!$C$6,-1))</f>
        <v/>
      </c>
      <c r="O987" s="15" t="n"/>
      <c r="P987" s="15" t="n"/>
      <c r="Q987" s="10" t="n"/>
      <c r="R987" s="10" t="n"/>
      <c r="S987" s="16" t="inlineStr">
        <is>
          <t>https://mstgolf.co.th/products/gf2500102695</t>
        </is>
      </c>
      <c r="T987" s="1">
        <f>IF(B987="ไม้กอล์ฟ",J987,"")</f>
        <v/>
      </c>
    </row>
    <row r="988">
      <c r="A988" s="1" t="n">
        <v>2</v>
      </c>
      <c r="B988" s="1" t="inlineStr">
        <is>
          <t>รองเท้า</t>
        </is>
      </c>
      <c r="C988" s="1" t="inlineStr">
        <is>
          <t>gf2500102694</t>
        </is>
      </c>
      <c r="D988" s="1" t="inlineStr">
        <is>
          <t>PUMA Phantomcat NITRO BOA Men's Spikeless Shoes (Black/Red)</t>
        </is>
      </c>
      <c r="E988" s="1" t="inlineStr">
        <is>
          <t>PUMA</t>
        </is>
      </c>
      <c r="F988" s="1" t="inlineStr">
        <is>
          <t>SPIKE SHOES</t>
        </is>
      </c>
      <c r="G988" s="1" t="inlineStr">
        <is>
          <t>GF2500102694UK6.5</t>
        </is>
      </c>
      <c r="H988" s="1" t="n">
        <v>9</v>
      </c>
      <c r="I988" s="1" t="inlineStr">
        <is>
          <t>มี</t>
        </is>
      </c>
      <c r="J988" s="13" t="n">
        <v>169</v>
      </c>
      <c r="K988" s="1" t="inlineStr"/>
      <c r="L988" s="13" t="n">
        <v>169</v>
      </c>
      <c r="M988" s="1">
        <f>IF(L988="","ไม่พบใน SG",IF(ABS(J988-L988)&lt;0.005,"ตรงกัน","ไม่ตรง"))</f>
        <v/>
      </c>
      <c r="N988" s="14">
        <f>IF(L988="","",ROUND(L988*'สรุป'!$C$6,-1))</f>
        <v/>
      </c>
      <c r="O988" s="15" t="n"/>
      <c r="P988" s="15" t="n"/>
      <c r="Q988" s="10" t="n"/>
      <c r="R988" s="10" t="n"/>
      <c r="S988" s="16" t="inlineStr">
        <is>
          <t>https://mstgolf.co.th/products/gf2500102694</t>
        </is>
      </c>
      <c r="T988" s="1">
        <f>IF(B988="ไม้กอล์ฟ",J988,"")</f>
        <v/>
      </c>
    </row>
    <row r="989">
      <c r="A989" s="1" t="n">
        <v>2</v>
      </c>
      <c r="B989" s="1" t="inlineStr">
        <is>
          <t>รองเท้า</t>
        </is>
      </c>
      <c r="C989" s="1" t="inlineStr">
        <is>
          <t>gf2500201015</t>
        </is>
      </c>
      <c r="D989" s="1" t="inlineStr">
        <is>
          <t>FOOTJOY Performa Women's Spikeless Shoes (White/Grey/Purple)</t>
        </is>
      </c>
      <c r="E989" s="1" t="inlineStr">
        <is>
          <t>FOOTJOY</t>
        </is>
      </c>
      <c r="F989" s="1" t="inlineStr">
        <is>
          <t>SPIKELESS SHOES</t>
        </is>
      </c>
      <c r="G989" s="1" t="inlineStr">
        <is>
          <t>GF2500201015US5</t>
        </is>
      </c>
      <c r="H989" s="1" t="n">
        <v>8</v>
      </c>
      <c r="I989" s="1" t="inlineStr">
        <is>
          <t>มี</t>
        </is>
      </c>
      <c r="J989" s="13" t="n">
        <v>165</v>
      </c>
      <c r="K989" s="1" t="inlineStr"/>
      <c r="L989" s="13" t="n">
        <v>165</v>
      </c>
      <c r="M989" s="1">
        <f>IF(L989="","ไม่พบใน SG",IF(ABS(J989-L989)&lt;0.005,"ตรงกัน","ไม่ตรง"))</f>
        <v/>
      </c>
      <c r="N989" s="14">
        <f>IF(L989="","",ROUND(L989*'สรุป'!$C$6,-1))</f>
        <v/>
      </c>
      <c r="O989" s="15" t="n"/>
      <c r="P989" s="15" t="n"/>
      <c r="Q989" s="10" t="n"/>
      <c r="R989" s="10" t="n"/>
      <c r="S989" s="16" t="inlineStr">
        <is>
          <t>https://mstgolf.co.th/products/gf2500201015</t>
        </is>
      </c>
      <c r="T989" s="1">
        <f>IF(B989="ไม้กอล์ฟ",J989,"")</f>
        <v/>
      </c>
    </row>
    <row r="990">
      <c r="A990" s="1" t="n">
        <v>2</v>
      </c>
      <c r="B990" s="1" t="inlineStr">
        <is>
          <t>รองเท้า</t>
        </is>
      </c>
      <c r="C990" s="1" t="inlineStr">
        <is>
          <t>gf2500201263</t>
        </is>
      </c>
      <c r="D990" s="1" t="inlineStr">
        <is>
          <t>FOOTJOY Performa Women’s Spikeless Shoes (White/Purple)</t>
        </is>
      </c>
      <c r="E990" s="1" t="inlineStr">
        <is>
          <t>FOOTJOY</t>
        </is>
      </c>
      <c r="F990" s="1" t="inlineStr">
        <is>
          <t>SPIKELESS SHOES</t>
        </is>
      </c>
      <c r="G990" s="1" t="inlineStr">
        <is>
          <t>GF2500201263US5</t>
        </is>
      </c>
      <c r="H990" s="1" t="n">
        <v>9</v>
      </c>
      <c r="I990" s="1" t="inlineStr">
        <is>
          <t>มี</t>
        </is>
      </c>
      <c r="J990" s="13" t="n">
        <v>165</v>
      </c>
      <c r="K990" s="1" t="inlineStr"/>
      <c r="L990" s="13" t="n">
        <v>165</v>
      </c>
      <c r="M990" s="1">
        <f>IF(L990="","ไม่พบใน SG",IF(ABS(J990-L990)&lt;0.005,"ตรงกัน","ไม่ตรง"))</f>
        <v/>
      </c>
      <c r="N990" s="14">
        <f>IF(L990="","",ROUND(L990*'สรุป'!$C$6,-1))</f>
        <v/>
      </c>
      <c r="O990" s="15" t="n"/>
      <c r="P990" s="15" t="n"/>
      <c r="Q990" s="10" t="n"/>
      <c r="R990" s="10" t="n"/>
      <c r="S990" s="16" t="inlineStr">
        <is>
          <t>https://mstgolf.co.th/products/gf2500201263</t>
        </is>
      </c>
      <c r="T990" s="1">
        <f>IF(B990="ไม้กอล์ฟ",J990,"")</f>
        <v/>
      </c>
    </row>
    <row r="991">
      <c r="A991" s="1" t="n">
        <v>2</v>
      </c>
      <c r="B991" s="1" t="inlineStr">
        <is>
          <t>รองเท้า</t>
        </is>
      </c>
      <c r="C991" s="1" t="inlineStr">
        <is>
          <t>gf2500201014</t>
        </is>
      </c>
      <c r="D991" s="1" t="inlineStr">
        <is>
          <t>FOOTJOY Performance Women's Spikeless Shoes (Cream/Leopard)</t>
        </is>
      </c>
      <c r="E991" s="1" t="inlineStr">
        <is>
          <t>FOOTJOY</t>
        </is>
      </c>
      <c r="F991" s="1" t="inlineStr">
        <is>
          <t>SPIKELESS SHOES</t>
        </is>
      </c>
      <c r="G991" s="1" t="inlineStr">
        <is>
          <t>GF2500201014US5</t>
        </is>
      </c>
      <c r="H991" s="1" t="n">
        <v>8</v>
      </c>
      <c r="I991" s="1" t="inlineStr">
        <is>
          <t>มี</t>
        </is>
      </c>
      <c r="J991" s="13" t="n">
        <v>165</v>
      </c>
      <c r="K991" s="1" t="inlineStr"/>
      <c r="L991" s="13" t="n">
        <v>165</v>
      </c>
      <c r="M991" s="1">
        <f>IF(L991="","ไม่พบใน SG",IF(ABS(J991-L991)&lt;0.005,"ตรงกัน","ไม่ตรง"))</f>
        <v/>
      </c>
      <c r="N991" s="14">
        <f>IF(L991="","",ROUND(L991*'สรุป'!$C$6,-1))</f>
        <v/>
      </c>
      <c r="O991" s="15" t="n"/>
      <c r="P991" s="15" t="n"/>
      <c r="Q991" s="10" t="n"/>
      <c r="R991" s="10" t="n"/>
      <c r="S991" s="16" t="inlineStr">
        <is>
          <t>https://mstgolf.co.th/products/gf2500201014</t>
        </is>
      </c>
      <c r="T991" s="1">
        <f>IF(B991="ไม้กอล์ฟ",J991,"")</f>
        <v/>
      </c>
    </row>
    <row r="992">
      <c r="A992" s="1" t="n">
        <v>2</v>
      </c>
      <c r="B992" s="1" t="inlineStr">
        <is>
          <t>รองเท้า</t>
        </is>
      </c>
      <c r="C992" s="1" t="inlineStr">
        <is>
          <t>gf2500200477</t>
        </is>
      </c>
      <c r="D992" s="1" t="inlineStr">
        <is>
          <t>GFORE Embossed Gallivanter Men's Spikeless Shoes (Snow/Onyx)</t>
        </is>
      </c>
      <c r="E992" s="1" t="inlineStr">
        <is>
          <t>GFORE</t>
        </is>
      </c>
      <c r="F992" s="1" t="inlineStr">
        <is>
          <t>SPIKELESS SHOES</t>
        </is>
      </c>
      <c r="G992" s="1" t="inlineStr">
        <is>
          <t>GF2500200477US7</t>
        </is>
      </c>
      <c r="H992" s="1" t="n">
        <v>10</v>
      </c>
      <c r="I992" s="1" t="inlineStr">
        <is>
          <t>มี</t>
        </is>
      </c>
      <c r="J992" s="13" t="n">
        <v>165</v>
      </c>
      <c r="K992" s="1" t="inlineStr"/>
      <c r="L992" s="13" t="n">
        <v>165</v>
      </c>
      <c r="M992" s="1">
        <f>IF(L992="","ไม่พบใน SG",IF(ABS(J992-L992)&lt;0.005,"ตรงกัน","ไม่ตรง"))</f>
        <v/>
      </c>
      <c r="N992" s="14">
        <f>IF(L992="","",ROUND(L992*'สรุป'!$C$6,-1))</f>
        <v/>
      </c>
      <c r="O992" s="15" t="n"/>
      <c r="P992" s="15" t="n"/>
      <c r="Q992" s="10" t="n"/>
      <c r="R992" s="10" t="n"/>
      <c r="S992" s="16" t="inlineStr">
        <is>
          <t>https://mstgolf.co.th/products/gf2500200477</t>
        </is>
      </c>
      <c r="T992" s="1">
        <f>IF(B992="ไม้กอล์ฟ",J992,"")</f>
        <v/>
      </c>
    </row>
    <row r="993">
      <c r="A993" s="1" t="n">
        <v>2</v>
      </c>
      <c r="B993" s="1" t="inlineStr">
        <is>
          <t>รองเท้า</t>
        </is>
      </c>
      <c r="C993" s="1" t="inlineStr">
        <is>
          <t>gf2500200913</t>
        </is>
      </c>
      <c r="D993" s="1" t="inlineStr">
        <is>
          <t>UNDER ARMOUR HOVR Tour Men's Spikeless Shoes (Grey/Brown/Black)</t>
        </is>
      </c>
      <c r="E993" s="1" t="inlineStr">
        <is>
          <t>UNDER ARMOUR</t>
        </is>
      </c>
      <c r="F993" s="1" t="inlineStr">
        <is>
          <t>SPIKELESS SHOES</t>
        </is>
      </c>
      <c r="G993" s="1" t="inlineStr">
        <is>
          <t>GF2500200913US7.5</t>
        </is>
      </c>
      <c r="H993" s="1" t="n">
        <v>9</v>
      </c>
      <c r="I993" s="1" t="inlineStr">
        <is>
          <t>มี</t>
        </is>
      </c>
      <c r="J993" s="13" t="n">
        <v>165</v>
      </c>
      <c r="K993" s="1" t="inlineStr"/>
      <c r="L993" s="13" t="n">
        <v>165</v>
      </c>
      <c r="M993" s="1">
        <f>IF(L993="","ไม่พบใน SG",IF(ABS(J993-L993)&lt;0.005,"ตรงกัน","ไม่ตรง"))</f>
        <v/>
      </c>
      <c r="N993" s="14">
        <f>IF(L993="","",ROUND(L993*'สรุป'!$C$6,-1))</f>
        <v/>
      </c>
      <c r="O993" s="15" t="n"/>
      <c r="P993" s="15" t="n"/>
      <c r="Q993" s="10" t="n"/>
      <c r="R993" s="10" t="n"/>
      <c r="S993" s="16" t="inlineStr">
        <is>
          <t>https://mstgolf.co.th/products/gf2500200913</t>
        </is>
      </c>
      <c r="T993" s="1">
        <f>IF(B993="ไม้กอล์ฟ",J993,"")</f>
        <v/>
      </c>
    </row>
    <row r="994">
      <c r="A994" s="1" t="n">
        <v>2</v>
      </c>
      <c r="B994" s="1" t="inlineStr">
        <is>
          <t>รองเท้า</t>
        </is>
      </c>
      <c r="C994" s="1" t="inlineStr">
        <is>
          <t>gf2500102611</t>
        </is>
      </c>
      <c r="D994" s="1" t="inlineStr">
        <is>
          <t>UNDER ARMOUR Hovr Drive 2 Men's Spiked Shoes (White/Grey/Blue)</t>
        </is>
      </c>
      <c r="E994" s="1" t="inlineStr">
        <is>
          <t>UNDER ARMOUR</t>
        </is>
      </c>
      <c r="F994" s="1" t="inlineStr">
        <is>
          <t>SPIKE SHOES</t>
        </is>
      </c>
      <c r="G994" s="1" t="inlineStr">
        <is>
          <t>GF2500102611US7</t>
        </is>
      </c>
      <c r="H994" s="1" t="n">
        <v>11</v>
      </c>
      <c r="I994" s="1" t="inlineStr">
        <is>
          <t>มี</t>
        </is>
      </c>
      <c r="J994" s="13" t="n">
        <v>165</v>
      </c>
      <c r="K994" s="1" t="inlineStr"/>
      <c r="L994" s="13" t="n">
        <v>165</v>
      </c>
      <c r="M994" s="1">
        <f>IF(L994="","ไม่พบใน SG",IF(ABS(J994-L994)&lt;0.005,"ตรงกัน","ไม่ตรง"))</f>
        <v/>
      </c>
      <c r="N994" s="14">
        <f>IF(L994="","",ROUND(L994*'สรุป'!$C$6,-1))</f>
        <v/>
      </c>
      <c r="O994" s="15" t="n"/>
      <c r="P994" s="15" t="n"/>
      <c r="Q994" s="10" t="n"/>
      <c r="R994" s="10" t="n"/>
      <c r="S994" s="16" t="inlineStr">
        <is>
          <t>https://mstgolf.co.th/products/gf2500102611</t>
        </is>
      </c>
      <c r="T994" s="1">
        <f>IF(B994="ไม้กอล์ฟ",J994,"")</f>
        <v/>
      </c>
    </row>
    <row r="995">
      <c r="A995" s="1" t="n">
        <v>2</v>
      </c>
      <c r="B995" s="1" t="inlineStr">
        <is>
          <t>รองเท้า</t>
        </is>
      </c>
      <c r="C995" s="1" t="inlineStr">
        <is>
          <t>gf2500201145</t>
        </is>
      </c>
      <c r="D995" s="1" t="inlineStr">
        <is>
          <t>ADIDAS Traxion Lite Men's Spikeless Shoes (Black)</t>
        </is>
      </c>
      <c r="E995" s="1" t="inlineStr">
        <is>
          <t>ADIDAS</t>
        </is>
      </c>
      <c r="F995" s="1" t="inlineStr">
        <is>
          <t>SPIKELESS SHOES</t>
        </is>
      </c>
      <c r="G995" s="1" t="inlineStr">
        <is>
          <t>GF2500201145UK6.5</t>
        </is>
      </c>
      <c r="H995" s="1" t="n">
        <v>11</v>
      </c>
      <c r="I995" s="1" t="inlineStr">
        <is>
          <t>มี</t>
        </is>
      </c>
      <c r="J995" s="13" t="n">
        <v>160</v>
      </c>
      <c r="K995" s="1" t="inlineStr"/>
      <c r="L995" s="13" t="n">
        <v>79</v>
      </c>
      <c r="M995" s="1">
        <f>IF(L995="","ไม่พบใน SG",IF(ABS(J995-L995)&lt;0.005,"ตรงกัน","ไม่ตรง"))</f>
        <v/>
      </c>
      <c r="N995" s="14">
        <f>IF(L995="","",ROUND(L995*'สรุป'!$C$6,-1))</f>
        <v/>
      </c>
      <c r="O995" s="15" t="n"/>
      <c r="P995" s="15" t="n"/>
      <c r="Q995" s="10" t="n"/>
      <c r="R995" s="10" t="n"/>
      <c r="S995" s="16" t="inlineStr">
        <is>
          <t>https://mstgolf.co.th/products/gf2500201145</t>
        </is>
      </c>
      <c r="T995" s="1">
        <f>IF(B995="ไม้กอล์ฟ",J995,"")</f>
        <v/>
      </c>
    </row>
    <row r="996">
      <c r="A996" s="1" t="n">
        <v>2</v>
      </c>
      <c r="B996" s="1" t="inlineStr">
        <is>
          <t>รองเท้า</t>
        </is>
      </c>
      <c r="C996" s="1" t="inlineStr">
        <is>
          <t>gf2500201413</t>
        </is>
      </c>
      <c r="D996" s="1" t="inlineStr">
        <is>
          <t>ADIDAS Gazelle Unisex Spikeless Shoes (Brown/White/Gum)</t>
        </is>
      </c>
      <c r="E996" s="1" t="inlineStr">
        <is>
          <t>ADIDAS</t>
        </is>
      </c>
      <c r="F996" s="1" t="inlineStr">
        <is>
          <t>SPIKELESS SHOES</t>
        </is>
      </c>
      <c r="G996" s="1" t="inlineStr">
        <is>
          <t>GF2500201413UK5</t>
        </is>
      </c>
      <c r="H996" s="1" t="n">
        <v>14</v>
      </c>
      <c r="I996" s="1" t="inlineStr">
        <is>
          <t>มี</t>
        </is>
      </c>
      <c r="J996" s="13" t="n">
        <v>159</v>
      </c>
      <c r="K996" s="1" t="inlineStr"/>
      <c r="L996" s="13" t="n">
        <v>109</v>
      </c>
      <c r="M996" s="1">
        <f>IF(L996="","ไม่พบใน SG",IF(ABS(J996-L996)&lt;0.005,"ตรงกัน","ไม่ตรง"))</f>
        <v/>
      </c>
      <c r="N996" s="14">
        <f>IF(L996="","",ROUND(L996*'สรุป'!$C$6,-1))</f>
        <v/>
      </c>
      <c r="O996" s="15" t="n"/>
      <c r="P996" s="15" t="n"/>
      <c r="Q996" s="10" t="n"/>
      <c r="R996" s="10" t="n"/>
      <c r="S996" s="16" t="inlineStr">
        <is>
          <t>https://mstgolf.co.th/products/gf2500201413</t>
        </is>
      </c>
      <c r="T996" s="1">
        <f>IF(B996="ไม้กอล์ฟ",J996,"")</f>
        <v/>
      </c>
    </row>
    <row r="997">
      <c r="A997" s="1" t="n">
        <v>2</v>
      </c>
      <c r="B997" s="1" t="inlineStr">
        <is>
          <t>รองเท้า</t>
        </is>
      </c>
      <c r="C997" s="1" t="inlineStr">
        <is>
          <t>gf2500201412</t>
        </is>
      </c>
      <c r="D997" s="1" t="inlineStr">
        <is>
          <t>ADIDAS Gazelle Unisex Spikeless Shoes (White/Green/Blue)</t>
        </is>
      </c>
      <c r="E997" s="1" t="inlineStr">
        <is>
          <t>ADIDAS</t>
        </is>
      </c>
      <c r="F997" s="1" t="inlineStr">
        <is>
          <t>SPIKELESS SHOES</t>
        </is>
      </c>
      <c r="G997" s="1" t="inlineStr">
        <is>
          <t>GF2500201412UK5</t>
        </is>
      </c>
      <c r="H997" s="1" t="n">
        <v>14</v>
      </c>
      <c r="I997" s="1" t="inlineStr">
        <is>
          <t>มี</t>
        </is>
      </c>
      <c r="J997" s="13" t="n">
        <v>159</v>
      </c>
      <c r="K997" s="1" t="inlineStr"/>
      <c r="L997" s="13" t="n">
        <v>109</v>
      </c>
      <c r="M997" s="1">
        <f>IF(L997="","ไม่พบใน SG",IF(ABS(J997-L997)&lt;0.005,"ตรงกัน","ไม่ตรง"))</f>
        <v/>
      </c>
      <c r="N997" s="14">
        <f>IF(L997="","",ROUND(L997*'สรุป'!$C$6,-1))</f>
        <v/>
      </c>
      <c r="O997" s="15" t="n"/>
      <c r="P997" s="15" t="n"/>
      <c r="Q997" s="10" t="n"/>
      <c r="R997" s="10" t="n"/>
      <c r="S997" s="16" t="inlineStr">
        <is>
          <t>https://mstgolf.co.th/products/gf2500201412</t>
        </is>
      </c>
      <c r="T997" s="1">
        <f>IF(B997="ไม้กอล์ฟ",J997,"")</f>
        <v/>
      </c>
    </row>
    <row r="998">
      <c r="A998" s="1" t="n">
        <v>2</v>
      </c>
      <c r="B998" s="1" t="inlineStr">
        <is>
          <t>รองเท้า</t>
        </is>
      </c>
      <c r="C998" s="1" t="inlineStr">
        <is>
          <t>gf2500201422</t>
        </is>
      </c>
      <c r="D998" s="1" t="inlineStr">
        <is>
          <t>ADIDAS Gazelle Women's Spikeless Shoes (Lilac/White/Blue)</t>
        </is>
      </c>
      <c r="E998" s="1" t="inlineStr">
        <is>
          <t>ADIDAS</t>
        </is>
      </c>
      <c r="F998" s="1" t="inlineStr">
        <is>
          <t>SPIKELESS SHOES</t>
        </is>
      </c>
      <c r="G998" s="1" t="inlineStr">
        <is>
          <t>GF2500201422UK3.5</t>
        </is>
      </c>
      <c r="H998" s="1" t="n">
        <v>10</v>
      </c>
      <c r="I998" s="1" t="inlineStr">
        <is>
          <t>มี</t>
        </is>
      </c>
      <c r="J998" s="13" t="n">
        <v>159</v>
      </c>
      <c r="K998" s="1" t="inlineStr"/>
      <c r="L998" s="13" t="n">
        <v>109</v>
      </c>
      <c r="M998" s="1">
        <f>IF(L998="","ไม่พบใน SG",IF(ABS(J998-L998)&lt;0.005,"ตรงกัน","ไม่ตรง"))</f>
        <v/>
      </c>
      <c r="N998" s="14">
        <f>IF(L998="","",ROUND(L998*'สรุป'!$C$6,-1))</f>
        <v/>
      </c>
      <c r="O998" s="15" t="n"/>
      <c r="P998" s="15" t="n"/>
      <c r="Q998" s="10" t="n"/>
      <c r="R998" s="10" t="n"/>
      <c r="S998" s="16" t="inlineStr">
        <is>
          <t>https://mstgolf.co.th/products/gf2500201422</t>
        </is>
      </c>
      <c r="T998" s="1">
        <f>IF(B998="ไม้กอล์ฟ",J998,"")</f>
        <v/>
      </c>
    </row>
    <row r="999">
      <c r="A999" s="1" t="n">
        <v>2</v>
      </c>
      <c r="B999" s="1" t="inlineStr">
        <is>
          <t>รองเท้า</t>
        </is>
      </c>
      <c r="C999" s="1" t="inlineStr">
        <is>
          <t>gf2500201176</t>
        </is>
      </c>
      <c r="D999" s="1" t="inlineStr">
        <is>
          <t>FOOTJOY Fuel BOA Men's Spikeless Shoes (White/Blue/Green)</t>
        </is>
      </c>
      <c r="E999" s="1" t="inlineStr">
        <is>
          <t>FOOTJOY</t>
        </is>
      </c>
      <c r="F999" s="1" t="inlineStr">
        <is>
          <t>SPIKELESS SHOES</t>
        </is>
      </c>
      <c r="G999" s="1" t="inlineStr">
        <is>
          <t>GF2500201176US6.5</t>
        </is>
      </c>
      <c r="H999" s="1" t="n">
        <v>10</v>
      </c>
      <c r="I999" s="1" t="inlineStr">
        <is>
          <t>มี</t>
        </is>
      </c>
      <c r="J999" s="13" t="n">
        <v>159</v>
      </c>
      <c r="K999" s="1" t="inlineStr"/>
      <c r="L999" s="13" t="n">
        <v>159</v>
      </c>
      <c r="M999" s="1">
        <f>IF(L999="","ไม่พบใน SG",IF(ABS(J999-L999)&lt;0.005,"ตรงกัน","ไม่ตรง"))</f>
        <v/>
      </c>
      <c r="N999" s="14">
        <f>IF(L999="","",ROUND(L999*'สรุป'!$C$6,-1))</f>
        <v/>
      </c>
      <c r="O999" s="15" t="n"/>
      <c r="P999" s="15" t="n"/>
      <c r="Q999" s="10" t="n"/>
      <c r="R999" s="10" t="n"/>
      <c r="S999" s="16" t="inlineStr">
        <is>
          <t>https://mstgolf.co.th/products/gf2500201176</t>
        </is>
      </c>
      <c r="T999" s="1">
        <f>IF(B999="ไม้กอล์ฟ",J999,"")</f>
        <v/>
      </c>
    </row>
    <row r="1000">
      <c r="A1000" s="1" t="n">
        <v>2</v>
      </c>
      <c r="B1000" s="1" t="inlineStr">
        <is>
          <t>รองเท้า</t>
        </is>
      </c>
      <c r="C1000" s="1" t="inlineStr">
        <is>
          <t>gf2500200735</t>
        </is>
      </c>
      <c r="D1000" s="1" t="inlineStr">
        <is>
          <t>GFORE Debossed Quarter G's Chukka Men's Casual Shoes (Twilight)</t>
        </is>
      </c>
      <c r="E1000" s="1" t="inlineStr">
        <is>
          <t>GFORE</t>
        </is>
      </c>
      <c r="F1000" s="1" t="inlineStr">
        <is>
          <t>CASUAL</t>
        </is>
      </c>
      <c r="G1000" s="1" t="inlineStr">
        <is>
          <t>GF2500200735US7</t>
        </is>
      </c>
      <c r="H1000" s="1" t="n">
        <v>8</v>
      </c>
      <c r="I1000" s="1" t="inlineStr">
        <is>
          <t>มี</t>
        </is>
      </c>
      <c r="J1000" s="13" t="n">
        <v>159</v>
      </c>
      <c r="K1000" s="1" t="inlineStr"/>
      <c r="L1000" s="13" t="n">
        <v>159</v>
      </c>
      <c r="M1000" s="1">
        <f>IF(L1000="","ไม่พบใน SG",IF(ABS(J1000-L1000)&lt;0.005,"ตรงกัน","ไม่ตรง"))</f>
        <v/>
      </c>
      <c r="N1000" s="14">
        <f>IF(L1000="","",ROUND(L1000*'สรุป'!$C$6,-1))</f>
        <v/>
      </c>
      <c r="O1000" s="15" t="n"/>
      <c r="P1000" s="15" t="n"/>
      <c r="Q1000" s="10" t="n"/>
      <c r="R1000" s="10" t="n"/>
      <c r="S1000" s="16" t="inlineStr">
        <is>
          <t>https://mstgolf.co.th/products/gf2500200735</t>
        </is>
      </c>
      <c r="T1000" s="1">
        <f>IF(B1000="ไม้กอล์ฟ",J1000,"")</f>
        <v/>
      </c>
    </row>
    <row r="1001">
      <c r="A1001" s="1" t="n">
        <v>2</v>
      </c>
      <c r="B1001" s="1" t="inlineStr">
        <is>
          <t>รองเท้า</t>
        </is>
      </c>
      <c r="C1001" s="1" t="inlineStr">
        <is>
          <t>gf2500200857</t>
        </is>
      </c>
      <c r="D1001" s="1" t="inlineStr">
        <is>
          <t>GFORE MG4+ Women's Spikeless Shoes (Blueprint)</t>
        </is>
      </c>
      <c r="E1001" s="1" t="inlineStr">
        <is>
          <t>GFORE</t>
        </is>
      </c>
      <c r="F1001" s="1" t="inlineStr">
        <is>
          <t>SPIKELESS SHOES</t>
        </is>
      </c>
      <c r="G1001" s="1" t="inlineStr">
        <is>
          <t>GF2500200857US5.5</t>
        </is>
      </c>
      <c r="H1001" s="1" t="n">
        <v>7</v>
      </c>
      <c r="I1001" s="1" t="inlineStr">
        <is>
          <t>มี</t>
        </is>
      </c>
      <c r="J1001" s="13" t="n">
        <v>159</v>
      </c>
      <c r="K1001" s="1" t="inlineStr"/>
      <c r="L1001" s="13" t="n">
        <v>159</v>
      </c>
      <c r="M1001" s="1">
        <f>IF(L1001="","ไม่พบใน SG",IF(ABS(J1001-L1001)&lt;0.005,"ตรงกัน","ไม่ตรง"))</f>
        <v/>
      </c>
      <c r="N1001" s="14">
        <f>IF(L1001="","",ROUND(L1001*'สรุป'!$C$6,-1))</f>
        <v/>
      </c>
      <c r="O1001" s="15" t="n"/>
      <c r="P1001" s="15" t="n"/>
      <c r="Q1001" s="10" t="n"/>
      <c r="R1001" s="10" t="n"/>
      <c r="S1001" s="16" t="inlineStr">
        <is>
          <t>https://mstgolf.co.th/products/gf2500200857</t>
        </is>
      </c>
      <c r="T1001" s="1">
        <f>IF(B1001="ไม้กอล์ฟ",J1001,"")</f>
        <v/>
      </c>
    </row>
    <row r="1002">
      <c r="A1002" s="1" t="n">
        <v>2</v>
      </c>
      <c r="B1002" s="1" t="inlineStr">
        <is>
          <t>รองเท้า</t>
        </is>
      </c>
      <c r="C1002" s="1" t="inlineStr">
        <is>
          <t>gf2500201270</t>
        </is>
      </c>
      <c r="D1002" s="1" t="inlineStr">
        <is>
          <t>GFORE Major G.112 Camo Men's Spikeless Shoes (Gecko)</t>
        </is>
      </c>
      <c r="E1002" s="1" t="inlineStr">
        <is>
          <t>GFORE</t>
        </is>
      </c>
      <c r="F1002" s="1" t="inlineStr">
        <is>
          <t>SPIKELESS SHOES</t>
        </is>
      </c>
      <c r="G1002" s="1" t="inlineStr">
        <is>
          <t>GF2500201270US7.5</t>
        </is>
      </c>
      <c r="H1002" s="1" t="n">
        <v>9</v>
      </c>
      <c r="I1002" s="1" t="inlineStr">
        <is>
          <t>มี</t>
        </is>
      </c>
      <c r="J1002" s="13" t="n">
        <v>159</v>
      </c>
      <c r="K1002" s="1" t="inlineStr"/>
      <c r="L1002" s="13" t="n">
        <v>159</v>
      </c>
      <c r="M1002" s="1">
        <f>IF(L1002="","ไม่พบใน SG",IF(ABS(J1002-L1002)&lt;0.005,"ตรงกัน","ไม่ตรง"))</f>
        <v/>
      </c>
      <c r="N1002" s="14">
        <f>IF(L1002="","",ROUND(L1002*'สรุป'!$C$6,-1))</f>
        <v/>
      </c>
      <c r="O1002" s="15" t="n"/>
      <c r="P1002" s="15" t="n"/>
      <c r="Q1002" s="10" t="n"/>
      <c r="R1002" s="10" t="n"/>
      <c r="S1002" s="16" t="inlineStr">
        <is>
          <t>https://mstgolf.co.th/products/gf2500201270</t>
        </is>
      </c>
      <c r="T1002" s="1">
        <f>IF(B1002="ไม้กอล์ฟ",J1002,"")</f>
        <v/>
      </c>
    </row>
    <row r="1003">
      <c r="A1003" s="1" t="n">
        <v>2</v>
      </c>
      <c r="B1003" s="1" t="inlineStr">
        <is>
          <t>ถุงกอล์ฟ</t>
        </is>
      </c>
      <c r="C1003" s="1" t="inlineStr">
        <is>
          <t>gf3010101434</t>
        </is>
      </c>
      <c r="D1003" s="1" t="inlineStr">
        <is>
          <t>LE COQ SPORTIF GOLF Two-Layer Tote Boston Bag (Black)</t>
        </is>
      </c>
      <c r="E1003" s="1" t="inlineStr">
        <is>
          <t>LE COQ SPORTIF GOLF</t>
        </is>
      </c>
      <c r="F1003" s="1" t="inlineStr">
        <is>
          <t>BOSTON/DUFFLE BAG</t>
        </is>
      </c>
      <c r="G1003" s="1" t="inlineStr">
        <is>
          <t>GF3010101434</t>
        </is>
      </c>
      <c r="H1003" s="1" t="n">
        <v>1</v>
      </c>
      <c r="I1003" s="1" t="inlineStr">
        <is>
          <t>มี</t>
        </is>
      </c>
      <c r="J1003" s="13" t="n">
        <v>159</v>
      </c>
      <c r="K1003" s="1" t="inlineStr"/>
      <c r="L1003" s="13" t="n">
        <v>159</v>
      </c>
      <c r="M1003" s="1">
        <f>IF(L1003="","ไม่พบใน SG",IF(ABS(J1003-L1003)&lt;0.005,"ตรงกัน","ไม่ตรง"))</f>
        <v/>
      </c>
      <c r="N1003" s="14">
        <f>IF(L1003="","",ROUND(L1003*'สรุป'!$C$6,-1))</f>
        <v/>
      </c>
      <c r="O1003" s="15" t="n"/>
      <c r="P1003" s="15" t="n"/>
      <c r="Q1003" s="10" t="n"/>
      <c r="R1003" s="10" t="n"/>
      <c r="S1003" s="16" t="inlineStr">
        <is>
          <t>https://mstgolf.co.th/products/gf3010101434</t>
        </is>
      </c>
      <c r="T1003" s="1">
        <f>IF(B1003="ไม้กอล์ฟ",J1003,"")</f>
        <v/>
      </c>
    </row>
    <row r="1004">
      <c r="A1004" s="1" t="n">
        <v>2</v>
      </c>
      <c r="B1004" s="1" t="inlineStr">
        <is>
          <t>ถุงกอล์ฟ</t>
        </is>
      </c>
      <c r="C1004" s="1" t="inlineStr">
        <is>
          <t>gf3010101436</t>
        </is>
      </c>
      <c r="D1004" s="1" t="inlineStr">
        <is>
          <t>LE COQ SPORTIF GOLF Two-Layer Tote Boston Bag (Navy)</t>
        </is>
      </c>
      <c r="E1004" s="1" t="inlineStr">
        <is>
          <t>LE COQ SPORTIF GOLF</t>
        </is>
      </c>
      <c r="F1004" s="1" t="inlineStr">
        <is>
          <t>BOSTON/DUFFLE BAG</t>
        </is>
      </c>
      <c r="G1004" s="1" t="inlineStr">
        <is>
          <t>GF3010101436</t>
        </is>
      </c>
      <c r="H1004" s="1" t="n">
        <v>1</v>
      </c>
      <c r="I1004" s="1" t="inlineStr">
        <is>
          <t>มี</t>
        </is>
      </c>
      <c r="J1004" s="13" t="n">
        <v>159</v>
      </c>
      <c r="K1004" s="1" t="inlineStr"/>
      <c r="L1004" s="13" t="n">
        <v>159</v>
      </c>
      <c r="M1004" s="1">
        <f>IF(L1004="","ไม่พบใน SG",IF(ABS(J1004-L1004)&lt;0.005,"ตรงกัน","ไม่ตรง"))</f>
        <v/>
      </c>
      <c r="N1004" s="14">
        <f>IF(L1004="","",ROUND(L1004*'สรุป'!$C$6,-1))</f>
        <v/>
      </c>
      <c r="O1004" s="15" t="n"/>
      <c r="P1004" s="15" t="n"/>
      <c r="Q1004" s="10" t="n"/>
      <c r="R1004" s="10" t="n"/>
      <c r="S1004" s="16" t="inlineStr">
        <is>
          <t>https://mstgolf.co.th/products/gf3010101436</t>
        </is>
      </c>
      <c r="T1004" s="1">
        <f>IF(B1004="ไม้กอล์ฟ",J1004,"")</f>
        <v/>
      </c>
    </row>
    <row r="1005">
      <c r="A1005" s="1" t="n">
        <v>2</v>
      </c>
      <c r="B1005" s="1" t="inlineStr">
        <is>
          <t>ถุงกอล์ฟ</t>
        </is>
      </c>
      <c r="C1005" s="1" t="inlineStr">
        <is>
          <t>gf3010101435</t>
        </is>
      </c>
      <c r="D1005" s="1" t="inlineStr">
        <is>
          <t>LE COQ SPORTIF GOLF Two-Layer Tote Boston Bag (White)</t>
        </is>
      </c>
      <c r="E1005" s="1" t="inlineStr">
        <is>
          <t>LE COQ SPORTIF GOLF</t>
        </is>
      </c>
      <c r="F1005" s="1" t="inlineStr">
        <is>
          <t>BOSTON/DUFFLE BAG</t>
        </is>
      </c>
      <c r="G1005" s="1" t="inlineStr">
        <is>
          <t>GF3010101435</t>
        </is>
      </c>
      <c r="H1005" s="1" t="n">
        <v>1</v>
      </c>
      <c r="I1005" s="1" t="inlineStr">
        <is>
          <t>มี</t>
        </is>
      </c>
      <c r="J1005" s="13" t="n">
        <v>159</v>
      </c>
      <c r="K1005" s="1" t="inlineStr"/>
      <c r="L1005" s="13" t="n">
        <v>159</v>
      </c>
      <c r="M1005" s="1">
        <f>IF(L1005="","ไม่พบใน SG",IF(ABS(J1005-L1005)&lt;0.005,"ตรงกัน","ไม่ตรง"))</f>
        <v/>
      </c>
      <c r="N1005" s="14">
        <f>IF(L1005="","",ROUND(L1005*'สรุป'!$C$6,-1))</f>
        <v/>
      </c>
      <c r="O1005" s="15" t="n"/>
      <c r="P1005" s="15" t="n"/>
      <c r="Q1005" s="10" t="n"/>
      <c r="R1005" s="10" t="n"/>
      <c r="S1005" s="16" t="inlineStr">
        <is>
          <t>https://mstgolf.co.th/products/gf3010101435</t>
        </is>
      </c>
      <c r="T1005" s="1">
        <f>IF(B1005="ไม้กอล์ฟ",J1005,"")</f>
        <v/>
      </c>
    </row>
    <row r="1006">
      <c r="A1006" s="1" t="n">
        <v>2</v>
      </c>
      <c r="B1006" s="1" t="inlineStr">
        <is>
          <t>ถุงกอล์ฟ</t>
        </is>
      </c>
      <c r="C1006" s="1" t="inlineStr">
        <is>
          <t>gf3010400911</t>
        </is>
      </c>
      <c r="D1006" s="1" t="inlineStr">
        <is>
          <t>MAJESTY GWP Clutch (Black)</t>
        </is>
      </c>
      <c r="E1006" s="1" t="inlineStr">
        <is>
          <t>MAJESTY</t>
        </is>
      </c>
      <c r="F1006" s="1" t="inlineStr">
        <is>
          <t>SMALL BAG</t>
        </is>
      </c>
      <c r="G1006" s="1" t="inlineStr">
        <is>
          <t>GF3010400911</t>
        </is>
      </c>
      <c r="H1006" s="1" t="n">
        <v>1</v>
      </c>
      <c r="I1006" s="1" t="inlineStr">
        <is>
          <t>มี</t>
        </is>
      </c>
      <c r="J1006" s="13" t="n">
        <v>159</v>
      </c>
      <c r="K1006" s="1" t="inlineStr"/>
      <c r="L1006" s="13" t="n"/>
      <c r="M1006" s="1">
        <f>IF(L1006="","ไม่พบใน SG",IF(ABS(J1006-L1006)&lt;0.005,"ตรงกัน","ไม่ตรง"))</f>
        <v/>
      </c>
      <c r="N1006" s="14">
        <f>IF(L1006="","",ROUND(L1006*'สรุป'!$C$6,-1))</f>
        <v/>
      </c>
      <c r="O1006" s="15" t="n"/>
      <c r="P1006" s="15" t="n"/>
      <c r="Q1006" s="10" t="n"/>
      <c r="R1006" s="10" t="n"/>
      <c r="S1006" s="16" t="inlineStr">
        <is>
          <t>https://mstgolf.co.th/products/gf3010400911</t>
        </is>
      </c>
      <c r="T1006" s="1">
        <f>IF(B1006="ไม้กอล์ฟ",J1006,"")</f>
        <v/>
      </c>
    </row>
    <row r="1007">
      <c r="A1007" s="1" t="n">
        <v>2</v>
      </c>
      <c r="B1007" s="1" t="inlineStr">
        <is>
          <t>รองเท้า</t>
        </is>
      </c>
      <c r="C1007" s="1" t="inlineStr">
        <is>
          <t>gf2500102691</t>
        </is>
      </c>
      <c r="D1007" s="1" t="inlineStr">
        <is>
          <t>PUMA PHANTOMCAT NITRO Men's Spikeless Shoes (White/Black/Green)</t>
        </is>
      </c>
      <c r="E1007" s="1" t="inlineStr">
        <is>
          <t>PUMA</t>
        </is>
      </c>
      <c r="F1007" s="1" t="inlineStr">
        <is>
          <t>SPIKE SHOES</t>
        </is>
      </c>
      <c r="G1007" s="1" t="inlineStr">
        <is>
          <t>GF2500102691UK6.5</t>
        </is>
      </c>
      <c r="H1007" s="1" t="n">
        <v>10</v>
      </c>
      <c r="I1007" s="1" t="inlineStr">
        <is>
          <t>มี</t>
        </is>
      </c>
      <c r="J1007" s="13" t="n">
        <v>159</v>
      </c>
      <c r="K1007" s="1" t="inlineStr"/>
      <c r="L1007" s="13" t="n">
        <v>159</v>
      </c>
      <c r="M1007" s="1">
        <f>IF(L1007="","ไม่พบใน SG",IF(ABS(J1007-L1007)&lt;0.005,"ตรงกัน","ไม่ตรง"))</f>
        <v/>
      </c>
      <c r="N1007" s="14">
        <f>IF(L1007="","",ROUND(L1007*'สรุป'!$C$6,-1))</f>
        <v/>
      </c>
      <c r="O1007" s="15" t="n"/>
      <c r="P1007" s="15" t="n"/>
      <c r="Q1007" s="10" t="n"/>
      <c r="R1007" s="10" t="n"/>
      <c r="S1007" s="16" t="inlineStr">
        <is>
          <t>https://mstgolf.co.th/products/gf2500102691</t>
        </is>
      </c>
      <c r="T1007" s="1">
        <f>IF(B1007="ไม้กอล์ฟ",J1007,"")</f>
        <v/>
      </c>
    </row>
    <row r="1008">
      <c r="A1008" s="1" t="n">
        <v>2</v>
      </c>
      <c r="B1008" s="1" t="inlineStr">
        <is>
          <t>รองเท้า</t>
        </is>
      </c>
      <c r="C1008" s="1" t="inlineStr">
        <is>
          <t>gf2500201011</t>
        </is>
      </c>
      <c r="D1008" s="1" t="inlineStr">
        <is>
          <t>ASICS Gel Kayano Ace Lace Men's Spikeless Shoes (White/White)</t>
        </is>
      </c>
      <c r="E1008" s="1" t="inlineStr">
        <is>
          <t>ASICS</t>
        </is>
      </c>
      <c r="F1008" s="1" t="inlineStr">
        <is>
          <t>SPIKELESS SHOES</t>
        </is>
      </c>
      <c r="G1008" s="1" t="inlineStr">
        <is>
          <t>GF2500201011US6.5</t>
        </is>
      </c>
      <c r="H1008" s="1" t="n">
        <v>12</v>
      </c>
      <c r="I1008" s="1" t="inlineStr">
        <is>
          <t>มี</t>
        </is>
      </c>
      <c r="J1008" s="13" t="n">
        <v>155</v>
      </c>
      <c r="K1008" s="1" t="inlineStr"/>
      <c r="L1008" s="13" t="n">
        <v>155</v>
      </c>
      <c r="M1008" s="1">
        <f>IF(L1008="","ไม่พบใน SG",IF(ABS(J1008-L1008)&lt;0.005,"ตรงกัน","ไม่ตรง"))</f>
        <v/>
      </c>
      <c r="N1008" s="14">
        <f>IF(L1008="","",ROUND(L1008*'สรุป'!$C$6,-1))</f>
        <v/>
      </c>
      <c r="O1008" s="15" t="n"/>
      <c r="P1008" s="15" t="n"/>
      <c r="Q1008" s="10" t="n"/>
      <c r="R1008" s="10" t="n"/>
      <c r="S1008" s="16" t="inlineStr">
        <is>
          <t>https://mstgolf.co.th/products/gf2500201011</t>
        </is>
      </c>
      <c r="T1008" s="1">
        <f>IF(B1008="ไม้กอล์ฟ",J1008,"")</f>
        <v/>
      </c>
    </row>
    <row r="1009">
      <c r="A1009" s="1" t="n">
        <v>2</v>
      </c>
      <c r="B1009" s="1" t="inlineStr">
        <is>
          <t>รองเท้า</t>
        </is>
      </c>
      <c r="C1009" s="1" t="inlineStr">
        <is>
          <t>gf2500102527</t>
        </is>
      </c>
      <c r="D1009" s="1" t="inlineStr">
        <is>
          <t>FOOTJOY Premiere Series Women's Spiked Shoes (White/Grey/Black)</t>
        </is>
      </c>
      <c r="E1009" s="1" t="inlineStr">
        <is>
          <t>FOOTJOY</t>
        </is>
      </c>
      <c r="F1009" s="1" t="inlineStr">
        <is>
          <t>SPIKE SHOES</t>
        </is>
      </c>
      <c r="G1009" s="1" t="inlineStr">
        <is>
          <t>GF2500102527US5</t>
        </is>
      </c>
      <c r="H1009" s="1" t="n">
        <v>7</v>
      </c>
      <c r="I1009" s="1" t="inlineStr">
        <is>
          <t>มี</t>
        </is>
      </c>
      <c r="J1009" s="13" t="n">
        <v>155</v>
      </c>
      <c r="K1009" s="1" t="inlineStr"/>
      <c r="L1009" s="13" t="n">
        <v>155</v>
      </c>
      <c r="M1009" s="1">
        <f>IF(L1009="","ไม่พบใน SG",IF(ABS(J1009-L1009)&lt;0.005,"ตรงกัน","ไม่ตรง"))</f>
        <v/>
      </c>
      <c r="N1009" s="14">
        <f>IF(L1009="","",ROUND(L1009*'สรุป'!$C$6,-1))</f>
        <v/>
      </c>
      <c r="O1009" s="15" t="n"/>
      <c r="P1009" s="15" t="n"/>
      <c r="Q1009" s="10" t="n"/>
      <c r="R1009" s="10" t="n"/>
      <c r="S1009" s="16" t="inlineStr">
        <is>
          <t>https://mstgolf.co.th/products/gf2500102527</t>
        </is>
      </c>
      <c r="T1009" s="1">
        <f>IF(B1009="ไม้กอล์ฟ",J1009,"")</f>
        <v/>
      </c>
    </row>
    <row r="1010">
      <c r="A1010" s="1" t="n">
        <v>2</v>
      </c>
      <c r="B1010" s="1" t="inlineStr">
        <is>
          <t>รองเท้า</t>
        </is>
      </c>
      <c r="C1010" s="1" t="inlineStr">
        <is>
          <t>gf2500102607</t>
        </is>
      </c>
      <c r="D1010" s="1" t="inlineStr">
        <is>
          <t>FOOTJOY x Todd Snyder Men's Spiked Shoes (Black/Grey)</t>
        </is>
      </c>
      <c r="E1010" s="1" t="inlineStr">
        <is>
          <t>FOOTJOY</t>
        </is>
      </c>
      <c r="F1010" s="1" t="inlineStr">
        <is>
          <t>SPIKE SHOES</t>
        </is>
      </c>
      <c r="G1010" s="1" t="inlineStr">
        <is>
          <t>GF2500102607US6.5</t>
        </is>
      </c>
      <c r="H1010" s="1" t="n">
        <v>8</v>
      </c>
      <c r="I1010" s="1" t="inlineStr">
        <is>
          <t>มี</t>
        </is>
      </c>
      <c r="J1010" s="13" t="n">
        <v>155</v>
      </c>
      <c r="K1010" s="1" t="inlineStr"/>
      <c r="L1010" s="13" t="n">
        <v>155</v>
      </c>
      <c r="M1010" s="1">
        <f>IF(L1010="","ไม่พบใน SG",IF(ABS(J1010-L1010)&lt;0.005,"ตรงกัน","ไม่ตรง"))</f>
        <v/>
      </c>
      <c r="N1010" s="14">
        <f>IF(L1010="","",ROUND(L1010*'สรุป'!$C$6,-1))</f>
        <v/>
      </c>
      <c r="O1010" s="15" t="n"/>
      <c r="P1010" s="15" t="n"/>
      <c r="Q1010" s="10" t="n"/>
      <c r="R1010" s="10" t="n"/>
      <c r="S1010" s="16" t="inlineStr">
        <is>
          <t>https://mstgolf.co.th/products/gf2500102607</t>
        </is>
      </c>
      <c r="T1010" s="1">
        <f>IF(B1010="ไม้กอล์ฟ",J1010,"")</f>
        <v/>
      </c>
    </row>
    <row r="1011">
      <c r="A1011" s="1" t="n">
        <v>2</v>
      </c>
      <c r="B1011" s="1" t="inlineStr">
        <is>
          <t>รองเท้า</t>
        </is>
      </c>
      <c r="C1011" s="1" t="inlineStr">
        <is>
          <t>gf2500102707</t>
        </is>
      </c>
      <c r="D1011" s="1" t="inlineStr">
        <is>
          <t>ADIDAS Tour360 BOA Men's Spiked Shoes (White/Gold)</t>
        </is>
      </c>
      <c r="E1011" s="1" t="inlineStr">
        <is>
          <t>ADIDAS</t>
        </is>
      </c>
      <c r="F1011" s="1" t="inlineStr">
        <is>
          <t>SPIKE SHOES</t>
        </is>
      </c>
      <c r="G1011" s="1" t="inlineStr">
        <is>
          <t>GF2500102707UK6.5</t>
        </is>
      </c>
      <c r="H1011" s="1" t="n">
        <v>11</v>
      </c>
      <c r="I1011" s="1" t="inlineStr">
        <is>
          <t>มี</t>
        </is>
      </c>
      <c r="J1011" s="13" t="n">
        <v>149</v>
      </c>
      <c r="K1011" s="1" t="inlineStr"/>
      <c r="L1011" s="13" t="n">
        <v>149</v>
      </c>
      <c r="M1011" s="1">
        <f>IF(L1011="","ไม่พบใน SG",IF(ABS(J1011-L1011)&lt;0.005,"ตรงกัน","ไม่ตรง"))</f>
        <v/>
      </c>
      <c r="N1011" s="14">
        <f>IF(L1011="","",ROUND(L1011*'สรุป'!$C$6,-1))</f>
        <v/>
      </c>
      <c r="O1011" s="15" t="n"/>
      <c r="P1011" s="15" t="n"/>
      <c r="Q1011" s="10" t="n"/>
      <c r="R1011" s="10" t="n"/>
      <c r="S1011" s="16" t="inlineStr">
        <is>
          <t>https://mstgolf.co.th/products/gf2500102707</t>
        </is>
      </c>
      <c r="T1011" s="1">
        <f>IF(B1011="ไม้กอล์ฟ",J1011,"")</f>
        <v/>
      </c>
    </row>
    <row r="1012">
      <c r="A1012" s="1" t="n">
        <v>2</v>
      </c>
      <c r="B1012" s="1" t="inlineStr">
        <is>
          <t>รองเท้า</t>
        </is>
      </c>
      <c r="C1012" s="1" t="inlineStr">
        <is>
          <t>gf2500102676</t>
        </is>
      </c>
      <c r="D1012" s="1" t="inlineStr">
        <is>
          <t>ADIDAS Tour360 BOA Men's Spiked Shoes (White/White/Black)</t>
        </is>
      </c>
      <c r="E1012" s="1" t="inlineStr">
        <is>
          <t>ADIDAS</t>
        </is>
      </c>
      <c r="F1012" s="1" t="inlineStr">
        <is>
          <t>SPIKE SHOES</t>
        </is>
      </c>
      <c r="G1012" s="1" t="inlineStr">
        <is>
          <t>GF2500102676UK6.5</t>
        </is>
      </c>
      <c r="H1012" s="1" t="n">
        <v>12</v>
      </c>
      <c r="I1012" s="1" t="inlineStr">
        <is>
          <t>มี</t>
        </is>
      </c>
      <c r="J1012" s="13" t="n">
        <v>149</v>
      </c>
      <c r="K1012" s="1" t="inlineStr"/>
      <c r="L1012" s="13" t="n">
        <v>149</v>
      </c>
      <c r="M1012" s="1">
        <f>IF(L1012="","ไม่พบใน SG",IF(ABS(J1012-L1012)&lt;0.005,"ตรงกัน","ไม่ตรง"))</f>
        <v/>
      </c>
      <c r="N1012" s="14">
        <f>IF(L1012="","",ROUND(L1012*'สรุป'!$C$6,-1))</f>
        <v/>
      </c>
      <c r="O1012" s="15" t="n"/>
      <c r="P1012" s="15" t="n"/>
      <c r="Q1012" s="10" t="n"/>
      <c r="R1012" s="10" t="n"/>
      <c r="S1012" s="16" t="inlineStr">
        <is>
          <t>https://mstgolf.co.th/products/gf2500102676</t>
        </is>
      </c>
      <c r="T1012" s="1">
        <f>IF(B1012="ไม้กอล์ฟ",J1012,"")</f>
        <v/>
      </c>
    </row>
    <row r="1013">
      <c r="A1013" s="1" t="n">
        <v>2</v>
      </c>
      <c r="B1013" s="1" t="inlineStr">
        <is>
          <t>รองเท้า</t>
        </is>
      </c>
      <c r="C1013" s="1" t="inlineStr">
        <is>
          <t>gf2500102679</t>
        </is>
      </c>
      <c r="D1013" s="1" t="inlineStr">
        <is>
          <t>ADIDAS Tour360 BOA Women's Spiked Shoes (White/Purple)</t>
        </is>
      </c>
      <c r="E1013" s="1" t="inlineStr">
        <is>
          <t>ADIDAS</t>
        </is>
      </c>
      <c r="F1013" s="1" t="inlineStr">
        <is>
          <t>SPIKE SHOES</t>
        </is>
      </c>
      <c r="G1013" s="1" t="inlineStr">
        <is>
          <t>GF2500102679UK4.5</t>
        </is>
      </c>
      <c r="H1013" s="1" t="n">
        <v>8</v>
      </c>
      <c r="I1013" s="1" t="inlineStr">
        <is>
          <t>มี</t>
        </is>
      </c>
      <c r="J1013" s="13" t="n">
        <v>149</v>
      </c>
      <c r="K1013" s="1" t="inlineStr"/>
      <c r="L1013" s="13" t="n">
        <v>149</v>
      </c>
      <c r="M1013" s="1">
        <f>IF(L1013="","ไม่พบใน SG",IF(ABS(J1013-L1013)&lt;0.005,"ตรงกัน","ไม่ตรง"))</f>
        <v/>
      </c>
      <c r="N1013" s="14">
        <f>IF(L1013="","",ROUND(L1013*'สรุป'!$C$6,-1))</f>
        <v/>
      </c>
      <c r="O1013" s="15" t="n"/>
      <c r="P1013" s="15" t="n"/>
      <c r="Q1013" s="10" t="n"/>
      <c r="R1013" s="10" t="n"/>
      <c r="S1013" s="16" t="inlineStr">
        <is>
          <t>https://mstgolf.co.th/products/gf2500102679</t>
        </is>
      </c>
      <c r="T1013" s="1">
        <f>IF(B1013="ไม้กอล์ฟ",J1013,"")</f>
        <v/>
      </c>
    </row>
    <row r="1014">
      <c r="A1014" s="1" t="n">
        <v>2</v>
      </c>
      <c r="B1014" s="1" t="inlineStr">
        <is>
          <t>รองเท้า</t>
        </is>
      </c>
      <c r="C1014" s="1" t="inlineStr">
        <is>
          <t>gf2500102678</t>
        </is>
      </c>
      <c r="D1014" s="1" t="inlineStr">
        <is>
          <t>ADIDAS Tour360 BOA Women's Spiked Shoes (White/Silver)</t>
        </is>
      </c>
      <c r="E1014" s="1" t="inlineStr">
        <is>
          <t>ADIDAS</t>
        </is>
      </c>
      <c r="F1014" s="1" t="inlineStr">
        <is>
          <t>SPIKE SHOES</t>
        </is>
      </c>
      <c r="G1014" s="1" t="inlineStr">
        <is>
          <t>GF2500102678UK4.5</t>
        </is>
      </c>
      <c r="H1014" s="1" t="n">
        <v>14</v>
      </c>
      <c r="I1014" s="1" t="inlineStr">
        <is>
          <t>มี</t>
        </is>
      </c>
      <c r="J1014" s="13" t="n">
        <v>149</v>
      </c>
      <c r="K1014" s="1" t="inlineStr"/>
      <c r="L1014" s="13" t="n">
        <v>149</v>
      </c>
      <c r="M1014" s="1">
        <f>IF(L1014="","ไม่พบใน SG",IF(ABS(J1014-L1014)&lt;0.005,"ตรงกัน","ไม่ตรง"))</f>
        <v/>
      </c>
      <c r="N1014" s="14">
        <f>IF(L1014="","",ROUND(L1014*'สรุป'!$C$6,-1))</f>
        <v/>
      </c>
      <c r="O1014" s="15" t="n"/>
      <c r="P1014" s="15" t="n"/>
      <c r="Q1014" s="10" t="n"/>
      <c r="R1014" s="10" t="n"/>
      <c r="S1014" s="16" t="inlineStr">
        <is>
          <t>https://mstgolf.co.th/products/gf2500102678</t>
        </is>
      </c>
      <c r="T1014" s="1">
        <f>IF(B1014="ไม้กอล์ฟ",J1014,"")</f>
        <v/>
      </c>
    </row>
    <row r="1015">
      <c r="A1015" s="1" t="n">
        <v>2</v>
      </c>
      <c r="B1015" s="1" t="inlineStr">
        <is>
          <t>รองเท้า</t>
        </is>
      </c>
      <c r="C1015" s="1" t="inlineStr">
        <is>
          <t>gf2500201055</t>
        </is>
      </c>
      <c r="D1015" s="1" t="inlineStr">
        <is>
          <t>GFORE G.112 P.U Men's Spikeless Shoes (Clover)</t>
        </is>
      </c>
      <c r="E1015" s="1" t="inlineStr">
        <is>
          <t>GFORE</t>
        </is>
      </c>
      <c r="F1015" s="1" t="inlineStr">
        <is>
          <t>SPIKELESS SHOES</t>
        </is>
      </c>
      <c r="G1015" s="1" t="inlineStr">
        <is>
          <t>GF2500201055US7</t>
        </is>
      </c>
      <c r="H1015" s="1" t="n">
        <v>10</v>
      </c>
      <c r="I1015" s="1" t="inlineStr">
        <is>
          <t>มี</t>
        </is>
      </c>
      <c r="J1015" s="13" t="n">
        <v>149</v>
      </c>
      <c r="K1015" s="1" t="inlineStr"/>
      <c r="L1015" s="13" t="n">
        <v>149</v>
      </c>
      <c r="M1015" s="1">
        <f>IF(L1015="","ไม่พบใน SG",IF(ABS(J1015-L1015)&lt;0.005,"ตรงกัน","ไม่ตรง"))</f>
        <v/>
      </c>
      <c r="N1015" s="14">
        <f>IF(L1015="","",ROUND(L1015*'สรุป'!$C$6,-1))</f>
        <v/>
      </c>
      <c r="O1015" s="15" t="n"/>
      <c r="P1015" s="15" t="n"/>
      <c r="Q1015" s="10" t="n"/>
      <c r="R1015" s="10" t="n"/>
      <c r="S1015" s="16" t="inlineStr">
        <is>
          <t>https://mstgolf.co.th/products/gf2500201055</t>
        </is>
      </c>
      <c r="T1015" s="1">
        <f>IF(B1015="ไม้กอล์ฟ",J1015,"")</f>
        <v/>
      </c>
    </row>
    <row r="1016">
      <c r="A1016" s="1" t="n">
        <v>2</v>
      </c>
      <c r="B1016" s="1" t="inlineStr">
        <is>
          <t>รองเท้า</t>
        </is>
      </c>
      <c r="C1016" s="1" t="inlineStr">
        <is>
          <t>gf2500201056</t>
        </is>
      </c>
      <c r="D1016" s="1" t="inlineStr">
        <is>
          <t>GFORE G.112 P.U Men's Spikeless Shoes (Day Glo Pink)</t>
        </is>
      </c>
      <c r="E1016" s="1" t="inlineStr">
        <is>
          <t>GFORE</t>
        </is>
      </c>
      <c r="F1016" s="1" t="inlineStr">
        <is>
          <t>SPIKELESS SHOES</t>
        </is>
      </c>
      <c r="G1016" s="1" t="inlineStr">
        <is>
          <t>GF2500201056US7</t>
        </is>
      </c>
      <c r="H1016" s="1" t="n">
        <v>10</v>
      </c>
      <c r="I1016" s="1" t="inlineStr">
        <is>
          <t>มี</t>
        </is>
      </c>
      <c r="J1016" s="13" t="n">
        <v>149</v>
      </c>
      <c r="K1016" s="1" t="inlineStr"/>
      <c r="L1016" s="13" t="n">
        <v>149</v>
      </c>
      <c r="M1016" s="1">
        <f>IF(L1016="","ไม่พบใน SG",IF(ABS(J1016-L1016)&lt;0.005,"ตรงกัน","ไม่ตรง"))</f>
        <v/>
      </c>
      <c r="N1016" s="14">
        <f>IF(L1016="","",ROUND(L1016*'สรุป'!$C$6,-1))</f>
        <v/>
      </c>
      <c r="O1016" s="15" t="n"/>
      <c r="P1016" s="15" t="n"/>
      <c r="Q1016" s="10" t="n"/>
      <c r="R1016" s="10" t="n"/>
      <c r="S1016" s="16" t="inlineStr">
        <is>
          <t>https://mstgolf.co.th/products/gf2500201056</t>
        </is>
      </c>
      <c r="T1016" s="1">
        <f>IF(B1016="ไม้กอล์ฟ",J1016,"")</f>
        <v/>
      </c>
    </row>
    <row r="1017">
      <c r="A1017" s="1" t="n">
        <v>2</v>
      </c>
      <c r="B1017" s="1" t="inlineStr">
        <is>
          <t>รองเท้า</t>
        </is>
      </c>
      <c r="C1017" s="1" t="inlineStr">
        <is>
          <t>gf2500201058</t>
        </is>
      </c>
      <c r="D1017" s="1" t="inlineStr">
        <is>
          <t>GFORE G.112 P.U Men's Spikeless Shoes (Fjord)</t>
        </is>
      </c>
      <c r="E1017" s="1" t="inlineStr">
        <is>
          <t>GFORE</t>
        </is>
      </c>
      <c r="F1017" s="1" t="inlineStr">
        <is>
          <t>SPIKELESS SHOES</t>
        </is>
      </c>
      <c r="G1017" s="1" t="inlineStr">
        <is>
          <t>GF2500201058US7</t>
        </is>
      </c>
      <c r="H1017" s="1" t="n">
        <v>10</v>
      </c>
      <c r="I1017" s="1" t="inlineStr">
        <is>
          <t>มี</t>
        </is>
      </c>
      <c r="J1017" s="13" t="n">
        <v>149</v>
      </c>
      <c r="K1017" s="1" t="inlineStr"/>
      <c r="L1017" s="13" t="n">
        <v>149</v>
      </c>
      <c r="M1017" s="1">
        <f>IF(L1017="","ไม่พบใน SG",IF(ABS(J1017-L1017)&lt;0.005,"ตรงกัน","ไม่ตรง"))</f>
        <v/>
      </c>
      <c r="N1017" s="14">
        <f>IF(L1017="","",ROUND(L1017*'สรุป'!$C$6,-1))</f>
        <v/>
      </c>
      <c r="O1017" s="15" t="n"/>
      <c r="P1017" s="15" t="n"/>
      <c r="Q1017" s="10" t="n"/>
      <c r="R1017" s="10" t="n"/>
      <c r="S1017" s="16" t="inlineStr">
        <is>
          <t>https://mstgolf.co.th/products/gf2500201058</t>
        </is>
      </c>
      <c r="T1017" s="1">
        <f>IF(B1017="ไม้กอล์ฟ",J1017,"")</f>
        <v/>
      </c>
    </row>
    <row r="1018">
      <c r="A1018" s="1" t="n">
        <v>2</v>
      </c>
      <c r="B1018" s="1" t="inlineStr">
        <is>
          <t>รองเท้า</t>
        </is>
      </c>
      <c r="C1018" s="1" t="inlineStr">
        <is>
          <t>gf2500201062</t>
        </is>
      </c>
      <c r="D1018" s="1" t="inlineStr">
        <is>
          <t>GFORE G.112 P.U Men's Spikeless Shoes (Poppy)</t>
        </is>
      </c>
      <c r="E1018" s="1" t="inlineStr">
        <is>
          <t>GFORE</t>
        </is>
      </c>
      <c r="F1018" s="1" t="inlineStr">
        <is>
          <t>SPIKELESS SHOES</t>
        </is>
      </c>
      <c r="G1018" s="1" t="inlineStr">
        <is>
          <t>GF2500201062US7</t>
        </is>
      </c>
      <c r="H1018" s="1" t="n">
        <v>10</v>
      </c>
      <c r="I1018" s="1" t="inlineStr">
        <is>
          <t>มี</t>
        </is>
      </c>
      <c r="J1018" s="13" t="n">
        <v>149</v>
      </c>
      <c r="K1018" s="1" t="inlineStr"/>
      <c r="L1018" s="13" t="n">
        <v>149</v>
      </c>
      <c r="M1018" s="1">
        <f>IF(L1018="","ไม่พบใน SG",IF(ABS(J1018-L1018)&lt;0.005,"ตรงกัน","ไม่ตรง"))</f>
        <v/>
      </c>
      <c r="N1018" s="14">
        <f>IF(L1018="","",ROUND(L1018*'สรุป'!$C$6,-1))</f>
        <v/>
      </c>
      <c r="O1018" s="15" t="n"/>
      <c r="P1018" s="15" t="n"/>
      <c r="Q1018" s="10" t="n"/>
      <c r="R1018" s="10" t="n"/>
      <c r="S1018" s="16" t="inlineStr">
        <is>
          <t>https://mstgolf.co.th/products/gf2500201062</t>
        </is>
      </c>
      <c r="T1018" s="1">
        <f>IF(B1018="ไม้กอล์ฟ",J1018,"")</f>
        <v/>
      </c>
    </row>
    <row r="1019">
      <c r="A1019" s="1" t="n">
        <v>2</v>
      </c>
      <c r="B1019" s="1" t="inlineStr">
        <is>
          <t>รองเท้า</t>
        </is>
      </c>
      <c r="C1019" s="1" t="inlineStr">
        <is>
          <t>gf2500201063</t>
        </is>
      </c>
      <c r="D1019" s="1" t="inlineStr">
        <is>
          <t>GFORE G.112 P.U Men's Spikeless Shoes (Racer)</t>
        </is>
      </c>
      <c r="E1019" s="1" t="inlineStr">
        <is>
          <t>GFORE</t>
        </is>
      </c>
      <c r="F1019" s="1" t="inlineStr">
        <is>
          <t>SPIKELESS SHOES</t>
        </is>
      </c>
      <c r="G1019" s="1" t="inlineStr">
        <is>
          <t>GF2500201063US7</t>
        </is>
      </c>
      <c r="H1019" s="1" t="n">
        <v>10</v>
      </c>
      <c r="I1019" s="1" t="inlineStr">
        <is>
          <t>มี</t>
        </is>
      </c>
      <c r="J1019" s="13" t="n">
        <v>149</v>
      </c>
      <c r="K1019" s="1" t="inlineStr"/>
      <c r="L1019" s="13" t="n">
        <v>149</v>
      </c>
      <c r="M1019" s="1">
        <f>IF(L1019="","ไม่พบใน SG",IF(ABS(J1019-L1019)&lt;0.005,"ตรงกัน","ไม่ตรง"))</f>
        <v/>
      </c>
      <c r="N1019" s="14">
        <f>IF(L1019="","",ROUND(L1019*'สรุป'!$C$6,-1))</f>
        <v/>
      </c>
      <c r="O1019" s="15" t="n"/>
      <c r="P1019" s="15" t="n"/>
      <c r="Q1019" s="10" t="n"/>
      <c r="R1019" s="10" t="n"/>
      <c r="S1019" s="16" t="inlineStr">
        <is>
          <t>https://mstgolf.co.th/products/gf2500201063</t>
        </is>
      </c>
      <c r="T1019" s="1">
        <f>IF(B1019="ไม้กอล์ฟ",J1019,"")</f>
        <v/>
      </c>
    </row>
    <row r="1020">
      <c r="A1020" s="1" t="n">
        <v>2</v>
      </c>
      <c r="B1020" s="1" t="inlineStr">
        <is>
          <t>รองเท้า</t>
        </is>
      </c>
      <c r="C1020" s="1" t="inlineStr">
        <is>
          <t>gf2500201039</t>
        </is>
      </c>
      <c r="D1020" s="1" t="inlineStr">
        <is>
          <t>PUMA ALPHACAT Nitro Disc Men's Spikeless Shoes (Black/Green/Red)</t>
        </is>
      </c>
      <c r="E1020" s="1" t="inlineStr">
        <is>
          <t>PUMA</t>
        </is>
      </c>
      <c r="F1020" s="1" t="inlineStr">
        <is>
          <t>SPIKELESS SHOES</t>
        </is>
      </c>
      <c r="G1020" s="1" t="inlineStr">
        <is>
          <t>GF2500201039UK6.5</t>
        </is>
      </c>
      <c r="H1020" s="1" t="n">
        <v>11</v>
      </c>
      <c r="I1020" s="1" t="inlineStr">
        <is>
          <t>มี</t>
        </is>
      </c>
      <c r="J1020" s="13" t="n">
        <v>149</v>
      </c>
      <c r="K1020" s="1" t="inlineStr"/>
      <c r="L1020" s="13" t="n">
        <v>149</v>
      </c>
      <c r="M1020" s="1">
        <f>IF(L1020="","ไม่พบใน SG",IF(ABS(J1020-L1020)&lt;0.005,"ตรงกัน","ไม่ตรง"))</f>
        <v/>
      </c>
      <c r="N1020" s="14">
        <f>IF(L1020="","",ROUND(L1020*'สรุป'!$C$6,-1))</f>
        <v/>
      </c>
      <c r="O1020" s="15" t="n"/>
      <c r="P1020" s="15" t="n"/>
      <c r="Q1020" s="10" t="n"/>
      <c r="R1020" s="10" t="n"/>
      <c r="S1020" s="16" t="inlineStr">
        <is>
          <t>https://mstgolf.co.th/products/gf2500201039</t>
        </is>
      </c>
      <c r="T1020" s="1">
        <f>IF(B1020="ไม้กอล์ฟ",J1020,"")</f>
        <v/>
      </c>
    </row>
    <row r="1021">
      <c r="A1021" s="1" t="n">
        <v>2</v>
      </c>
      <c r="B1021" s="1" t="inlineStr">
        <is>
          <t>รองเท้า</t>
        </is>
      </c>
      <c r="C1021" s="1" t="inlineStr">
        <is>
          <t>gf2500201038</t>
        </is>
      </c>
      <c r="D1021" s="1" t="inlineStr">
        <is>
          <t>PUMA ALPHACAT Nitro Disc Men's Spikeless Shoes (White/Red/Navy)</t>
        </is>
      </c>
      <c r="E1021" s="1" t="inlineStr">
        <is>
          <t>PUMA</t>
        </is>
      </c>
      <c r="F1021" s="1" t="inlineStr">
        <is>
          <t>SPIKELESS SHOES</t>
        </is>
      </c>
      <c r="G1021" s="1" t="inlineStr">
        <is>
          <t>GF2500201038UK6</t>
        </is>
      </c>
      <c r="H1021" s="1" t="n">
        <v>12</v>
      </c>
      <c r="I1021" s="1" t="inlineStr">
        <is>
          <t>มี</t>
        </is>
      </c>
      <c r="J1021" s="13" t="n">
        <v>149</v>
      </c>
      <c r="K1021" s="1" t="inlineStr"/>
      <c r="L1021" s="13" t="n">
        <v>149</v>
      </c>
      <c r="M1021" s="1">
        <f>IF(L1021="","ไม่พบใน SG",IF(ABS(J1021-L1021)&lt;0.005,"ตรงกัน","ไม่ตรง"))</f>
        <v/>
      </c>
      <c r="N1021" s="14">
        <f>IF(L1021="","",ROUND(L1021*'สรุป'!$C$6,-1))</f>
        <v/>
      </c>
      <c r="O1021" s="15" t="n"/>
      <c r="P1021" s="15" t="n"/>
      <c r="Q1021" s="10" t="n"/>
      <c r="R1021" s="10" t="n"/>
      <c r="S1021" s="16" t="inlineStr">
        <is>
          <t>https://mstgolf.co.th/products/gf2500201038</t>
        </is>
      </c>
      <c r="T1021" s="1">
        <f>IF(B1021="ไม้กอล์ฟ",J1021,"")</f>
        <v/>
      </c>
    </row>
    <row r="1022">
      <c r="A1022" s="1" t="n">
        <v>2</v>
      </c>
      <c r="B1022" s="1" t="inlineStr">
        <is>
          <t>รองเท้า</t>
        </is>
      </c>
      <c r="C1022" s="1" t="inlineStr">
        <is>
          <t>gf2500201338</t>
        </is>
      </c>
      <c r="D1022" s="1" t="inlineStr">
        <is>
          <t>PUMA Fusion Grip 6 BOA Men's Spikeless Shoes (White)</t>
        </is>
      </c>
      <c r="E1022" s="1" t="inlineStr">
        <is>
          <t>PUMA</t>
        </is>
      </c>
      <c r="F1022" s="1" t="inlineStr">
        <is>
          <t>SPIKELESS SHOES</t>
        </is>
      </c>
      <c r="G1022" s="1" t="inlineStr">
        <is>
          <t>GF2500201338UK6</t>
        </is>
      </c>
      <c r="H1022" s="1" t="n">
        <v>13</v>
      </c>
      <c r="I1022" s="1" t="inlineStr">
        <is>
          <t>มี</t>
        </is>
      </c>
      <c r="J1022" s="13" t="n">
        <v>149</v>
      </c>
      <c r="K1022" s="1" t="inlineStr"/>
      <c r="L1022" s="13" t="n">
        <v>109</v>
      </c>
      <c r="M1022" s="1">
        <f>IF(L1022="","ไม่พบใน SG",IF(ABS(J1022-L1022)&lt;0.005,"ตรงกัน","ไม่ตรง"))</f>
        <v/>
      </c>
      <c r="N1022" s="14">
        <f>IF(L1022="","",ROUND(L1022*'สรุป'!$C$6,-1))</f>
        <v/>
      </c>
      <c r="O1022" s="15" t="n"/>
      <c r="P1022" s="15" t="n"/>
      <c r="Q1022" s="10" t="n"/>
      <c r="R1022" s="10" t="n"/>
      <c r="S1022" s="16" t="inlineStr">
        <is>
          <t>https://mstgolf.co.th/products/gf2500201338</t>
        </is>
      </c>
      <c r="T1022" s="1">
        <f>IF(B1022="ไม้กอล์ฟ",J1022,"")</f>
        <v/>
      </c>
    </row>
    <row r="1023">
      <c r="A1023" s="1" t="n">
        <v>2</v>
      </c>
      <c r="B1023" s="1" t="inlineStr">
        <is>
          <t>รองเท้า</t>
        </is>
      </c>
      <c r="C1023" s="1" t="inlineStr">
        <is>
          <t>gf2500201344</t>
        </is>
      </c>
      <c r="D1023" s="1" t="inlineStr">
        <is>
          <t>UNDER ARMOUR Drive Fade Women's Spikeless Shoes (White/Pink/Navy)</t>
        </is>
      </c>
      <c r="E1023" s="1" t="inlineStr">
        <is>
          <t>UNDER ARMOUR</t>
        </is>
      </c>
      <c r="F1023" s="1" t="inlineStr">
        <is>
          <t>SPIKELESS SHOES</t>
        </is>
      </c>
      <c r="G1023" s="1" t="inlineStr">
        <is>
          <t>GF2500201344US10</t>
        </is>
      </c>
      <c r="H1023" s="1" t="n">
        <v>11</v>
      </c>
      <c r="I1023" s="1" t="inlineStr">
        <is>
          <t>มี</t>
        </is>
      </c>
      <c r="J1023" s="13" t="n">
        <v>149</v>
      </c>
      <c r="K1023" s="1" t="inlineStr"/>
      <c r="L1023" s="13" t="n"/>
      <c r="M1023" s="1">
        <f>IF(L1023="","ไม่พบใน SG",IF(ABS(J1023-L1023)&lt;0.005,"ตรงกัน","ไม่ตรง"))</f>
        <v/>
      </c>
      <c r="N1023" s="14">
        <f>IF(L1023="","",ROUND(L1023*'สรุป'!$C$6,-1))</f>
        <v/>
      </c>
      <c r="O1023" s="15" t="n"/>
      <c r="P1023" s="15" t="n"/>
      <c r="Q1023" s="10" t="n"/>
      <c r="R1023" s="10" t="n"/>
      <c r="S1023" s="16" t="inlineStr">
        <is>
          <t>https://mstgolf.co.th/products/gf2500201344</t>
        </is>
      </c>
      <c r="T1023" s="1">
        <f>IF(B1023="ไม้กอล์ฟ",J1023,"")</f>
        <v/>
      </c>
    </row>
    <row r="1024">
      <c r="A1024" s="1" t="n">
        <v>2</v>
      </c>
      <c r="B1024" s="1" t="inlineStr">
        <is>
          <t>รองเท้า</t>
        </is>
      </c>
      <c r="C1024" s="1" t="inlineStr">
        <is>
          <t>gf2500201198</t>
        </is>
      </c>
      <c r="D1024" s="1" t="inlineStr">
        <is>
          <t>UNDER ARMOUR Drive Men's Spikeless Shoes (White/Navy)</t>
        </is>
      </c>
      <c r="E1024" s="1" t="inlineStr">
        <is>
          <t>UNDER ARMOUR</t>
        </is>
      </c>
      <c r="F1024" s="1" t="inlineStr">
        <is>
          <t>SPIKELESS SHOES</t>
        </is>
      </c>
      <c r="G1024" s="1" t="inlineStr">
        <is>
          <t>GF2500201198US7</t>
        </is>
      </c>
      <c r="H1024" s="1" t="n">
        <v>10</v>
      </c>
      <c r="I1024" s="1" t="inlineStr">
        <is>
          <t>มี</t>
        </is>
      </c>
      <c r="J1024" s="13" t="n">
        <v>149</v>
      </c>
      <c r="K1024" s="1" t="inlineStr"/>
      <c r="L1024" s="13" t="n">
        <v>149</v>
      </c>
      <c r="M1024" s="1">
        <f>IF(L1024="","ไม่พบใน SG",IF(ABS(J1024-L1024)&lt;0.005,"ตรงกัน","ไม่ตรง"))</f>
        <v/>
      </c>
      <c r="N1024" s="14">
        <f>IF(L1024="","",ROUND(L1024*'สรุป'!$C$6,-1))</f>
        <v/>
      </c>
      <c r="O1024" s="15" t="n"/>
      <c r="P1024" s="15" t="n"/>
      <c r="Q1024" s="10" t="n"/>
      <c r="R1024" s="10" t="n"/>
      <c r="S1024" s="16" t="inlineStr">
        <is>
          <t>https://mstgolf.co.th/products/gf2500201198</t>
        </is>
      </c>
      <c r="T1024" s="1">
        <f>IF(B1024="ไม้กอล์ฟ",J1024,"")</f>
        <v/>
      </c>
    </row>
    <row r="1025">
      <c r="A1025" s="1" t="n">
        <v>2</v>
      </c>
      <c r="B1025" s="1" t="inlineStr">
        <is>
          <t>รองเท้า</t>
        </is>
      </c>
      <c r="C1025" s="1" t="inlineStr">
        <is>
          <t>gf2500201165</t>
        </is>
      </c>
      <c r="D1025" s="1" t="inlineStr">
        <is>
          <t>NIKE Air Pegasus '89 G Men's Spikeless Shoes (Black/White)</t>
        </is>
      </c>
      <c r="E1025" s="1" t="inlineStr">
        <is>
          <t>NIKE</t>
        </is>
      </c>
      <c r="F1025" s="1" t="inlineStr">
        <is>
          <t>SPIKELESS SHOES</t>
        </is>
      </c>
      <c r="G1025" s="1" t="inlineStr">
        <is>
          <t>GF2500201165US5</t>
        </is>
      </c>
      <c r="H1025" s="1" t="n">
        <v>17</v>
      </c>
      <c r="I1025" s="1" t="inlineStr">
        <is>
          <t>มี</t>
        </is>
      </c>
      <c r="J1025" s="13" t="n">
        <v>145</v>
      </c>
      <c r="K1025" s="1" t="inlineStr"/>
      <c r="L1025" s="13" t="n">
        <v>145</v>
      </c>
      <c r="M1025" s="1">
        <f>IF(L1025="","ไม่พบใน SG",IF(ABS(J1025-L1025)&lt;0.005,"ตรงกัน","ไม่ตรง"))</f>
        <v/>
      </c>
      <c r="N1025" s="14">
        <f>IF(L1025="","",ROUND(L1025*'สรุป'!$C$6,-1))</f>
        <v/>
      </c>
      <c r="O1025" s="15" t="n"/>
      <c r="P1025" s="15" t="n"/>
      <c r="Q1025" s="10" t="n"/>
      <c r="R1025" s="10" t="n"/>
      <c r="S1025" s="16" t="inlineStr">
        <is>
          <t>https://mstgolf.co.th/products/gf2500201165</t>
        </is>
      </c>
      <c r="T1025" s="1">
        <f>IF(B1025="ไม้กอล์ฟ",J1025,"")</f>
        <v/>
      </c>
    </row>
    <row r="1026">
      <c r="A1026" s="1" t="n">
        <v>2</v>
      </c>
      <c r="B1026" s="1" t="inlineStr">
        <is>
          <t>รองเท้า</t>
        </is>
      </c>
      <c r="C1026" s="1" t="inlineStr">
        <is>
          <t>gf2500102685</t>
        </is>
      </c>
      <c r="D1026" s="1" t="inlineStr">
        <is>
          <t>NIKE Victory Pro 3 Men's Spiked Shoes (White/Green)</t>
        </is>
      </c>
      <c r="E1026" s="1" t="inlineStr">
        <is>
          <t>NIKE</t>
        </is>
      </c>
      <c r="F1026" s="1" t="inlineStr">
        <is>
          <t>SPIKE SHOES</t>
        </is>
      </c>
      <c r="G1026" s="1" t="inlineStr">
        <is>
          <t>GF2500102685US5.5</t>
        </is>
      </c>
      <c r="H1026" s="1" t="n">
        <v>14</v>
      </c>
      <c r="I1026" s="1" t="inlineStr">
        <is>
          <t>มี</t>
        </is>
      </c>
      <c r="J1026" s="13" t="n">
        <v>145</v>
      </c>
      <c r="K1026" s="1" t="inlineStr"/>
      <c r="L1026" s="13" t="n">
        <v>145</v>
      </c>
      <c r="M1026" s="1">
        <f>IF(L1026="","ไม่พบใน SG",IF(ABS(J1026-L1026)&lt;0.005,"ตรงกัน","ไม่ตรง"))</f>
        <v/>
      </c>
      <c r="N1026" s="14">
        <f>IF(L1026="","",ROUND(L1026*'สรุป'!$C$6,-1))</f>
        <v/>
      </c>
      <c r="O1026" s="15" t="n"/>
      <c r="P1026" s="15" t="n"/>
      <c r="Q1026" s="10" t="n"/>
      <c r="R1026" s="10" t="n"/>
      <c r="S1026" s="16" t="inlineStr">
        <is>
          <t>https://mstgolf.co.th/products/gf2500102685</t>
        </is>
      </c>
      <c r="T1026" s="1">
        <f>IF(B1026="ไม้กอล์ฟ",J1026,"")</f>
        <v/>
      </c>
    </row>
    <row r="1027">
      <c r="A1027" s="1" t="n">
        <v>2</v>
      </c>
      <c r="B1027" s="1" t="inlineStr">
        <is>
          <t>รองเท้า</t>
        </is>
      </c>
      <c r="C1027" s="1" t="inlineStr">
        <is>
          <t>gf2500201220</t>
        </is>
      </c>
      <c r="D1027" s="1" t="inlineStr">
        <is>
          <t>ADIDAS CodeChaos BOA Junior Spikeless Shoes (Black/White)</t>
        </is>
      </c>
      <c r="E1027" s="1" t="inlineStr">
        <is>
          <t>ADIDAS</t>
        </is>
      </c>
      <c r="F1027" s="1" t="inlineStr">
        <is>
          <t>SPIKELESS SHOES</t>
        </is>
      </c>
      <c r="G1027" s="1" t="inlineStr">
        <is>
          <t>GF2500201220UK1</t>
        </is>
      </c>
      <c r="H1027" s="1" t="n">
        <v>6</v>
      </c>
      <c r="I1027" s="1" t="inlineStr">
        <is>
          <t>มี</t>
        </is>
      </c>
      <c r="J1027" s="13" t="n">
        <v>140</v>
      </c>
      <c r="K1027" s="1" t="inlineStr"/>
      <c r="L1027" s="13" t="n">
        <v>98</v>
      </c>
      <c r="M1027" s="1">
        <f>IF(L1027="","ไม่พบใน SG",IF(ABS(J1027-L1027)&lt;0.005,"ตรงกัน","ไม่ตรง"))</f>
        <v/>
      </c>
      <c r="N1027" s="14">
        <f>IF(L1027="","",ROUND(L1027*'สรุป'!$C$6,-1))</f>
        <v/>
      </c>
      <c r="O1027" s="15" t="n"/>
      <c r="P1027" s="15" t="n"/>
      <c r="Q1027" s="10" t="n"/>
      <c r="R1027" s="10" t="n"/>
      <c r="S1027" s="16" t="inlineStr">
        <is>
          <t>https://mstgolf.co.th/products/gf2500201220</t>
        </is>
      </c>
      <c r="T1027" s="1">
        <f>IF(B1027="ไม้กอล์ฟ",J1027,"")</f>
        <v/>
      </c>
    </row>
    <row r="1028">
      <c r="A1028" s="1" t="n">
        <v>2</v>
      </c>
      <c r="B1028" s="1" t="inlineStr">
        <is>
          <t>รองเท้า</t>
        </is>
      </c>
      <c r="C1028" s="1" t="inlineStr">
        <is>
          <t>gf2500201219</t>
        </is>
      </c>
      <c r="D1028" s="1" t="inlineStr">
        <is>
          <t>ADIDAS Codechaos BOA 25 Junior's Spikeless Shoes (White/Black/Lemon)</t>
        </is>
      </c>
      <c r="E1028" s="1" t="inlineStr">
        <is>
          <t>ADIDAS</t>
        </is>
      </c>
      <c r="F1028" s="1" t="inlineStr">
        <is>
          <t>SPIKELESS SHOES</t>
        </is>
      </c>
      <c r="G1028" s="1" t="inlineStr">
        <is>
          <t>GF2500201219UK1</t>
        </is>
      </c>
      <c r="H1028" s="1" t="n">
        <v>6</v>
      </c>
      <c r="I1028" s="1" t="inlineStr">
        <is>
          <t>มี</t>
        </is>
      </c>
      <c r="J1028" s="13" t="n">
        <v>140</v>
      </c>
      <c r="K1028" s="1" t="inlineStr"/>
      <c r="L1028" s="13" t="n">
        <v>98</v>
      </c>
      <c r="M1028" s="1">
        <f>IF(L1028="","ไม่พบใน SG",IF(ABS(J1028-L1028)&lt;0.005,"ตรงกัน","ไม่ตรง"))</f>
        <v/>
      </c>
      <c r="N1028" s="14">
        <f>IF(L1028="","",ROUND(L1028*'สรุป'!$C$6,-1))</f>
        <v/>
      </c>
      <c r="O1028" s="15" t="n"/>
      <c r="P1028" s="15" t="n"/>
      <c r="Q1028" s="10" t="n"/>
      <c r="R1028" s="10" t="n"/>
      <c r="S1028" s="16" t="inlineStr">
        <is>
          <t>https://mstgolf.co.th/products/gf2500201219</t>
        </is>
      </c>
      <c r="T1028" s="1">
        <f>IF(B1028="ไม้กอล์ฟ",J1028,"")</f>
        <v/>
      </c>
    </row>
    <row r="1029">
      <c r="A1029" s="1" t="n">
        <v>2</v>
      </c>
      <c r="B1029" s="1" t="inlineStr">
        <is>
          <t>รองเท้า</t>
        </is>
      </c>
      <c r="C1029" s="1" t="inlineStr">
        <is>
          <t>gf2500201301</t>
        </is>
      </c>
      <c r="D1029" s="1" t="inlineStr">
        <is>
          <t>ADIDAS SW5540 Men's Spikeless Shoes (White/Green/Grey)</t>
        </is>
      </c>
      <c r="E1029" s="1" t="inlineStr">
        <is>
          <t>ADIDAS</t>
        </is>
      </c>
      <c r="F1029" s="1" t="inlineStr">
        <is>
          <t>SPIKELESS SHOES</t>
        </is>
      </c>
      <c r="G1029" s="1" t="inlineStr">
        <is>
          <t>GF2500201301UK6.5</t>
        </is>
      </c>
      <c r="H1029" s="1" t="n">
        <v>11</v>
      </c>
      <c r="I1029" s="1" t="inlineStr">
        <is>
          <t>มี</t>
        </is>
      </c>
      <c r="J1029" s="13" t="n">
        <v>139</v>
      </c>
      <c r="K1029" s="1" t="inlineStr"/>
      <c r="L1029" s="13" t="n">
        <v>95</v>
      </c>
      <c r="M1029" s="1">
        <f>IF(L1029="","ไม่พบใน SG",IF(ABS(J1029-L1029)&lt;0.005,"ตรงกัน","ไม่ตรง"))</f>
        <v/>
      </c>
      <c r="N1029" s="14">
        <f>IF(L1029="","",ROUND(L1029*'สรุป'!$C$6,-1))</f>
        <v/>
      </c>
      <c r="O1029" s="15" t="n"/>
      <c r="P1029" s="15" t="n"/>
      <c r="Q1029" s="10" t="n"/>
      <c r="R1029" s="10" t="n"/>
      <c r="S1029" s="16" t="inlineStr">
        <is>
          <t>https://mstgolf.co.th/products/gf2500201301</t>
        </is>
      </c>
      <c r="T1029" s="1">
        <f>IF(B1029="ไม้กอล์ฟ",J1029,"")</f>
        <v/>
      </c>
    </row>
    <row r="1030">
      <c r="A1030" s="1" t="n">
        <v>2</v>
      </c>
      <c r="B1030" s="1" t="inlineStr">
        <is>
          <t>รองเท้า</t>
        </is>
      </c>
      <c r="C1030" s="1" t="inlineStr">
        <is>
          <t>gf2500201302</t>
        </is>
      </c>
      <c r="D1030" s="1" t="inlineStr">
        <is>
          <t>ADIDAS SW5540 Men's Spikeless Shoes (White/Red/Navy)</t>
        </is>
      </c>
      <c r="E1030" s="1" t="inlineStr">
        <is>
          <t>ADIDAS</t>
        </is>
      </c>
      <c r="F1030" s="1" t="inlineStr">
        <is>
          <t>SPIKELESS SHOES</t>
        </is>
      </c>
      <c r="G1030" s="1" t="inlineStr">
        <is>
          <t>GF2500201302UK6.5</t>
        </is>
      </c>
      <c r="H1030" s="1" t="n">
        <v>11</v>
      </c>
      <c r="I1030" s="1" t="inlineStr">
        <is>
          <t>มี</t>
        </is>
      </c>
      <c r="J1030" s="13" t="n">
        <v>139</v>
      </c>
      <c r="K1030" s="1" t="inlineStr"/>
      <c r="L1030" s="13" t="n">
        <v>95</v>
      </c>
      <c r="M1030" s="1">
        <f>IF(L1030="","ไม่พบใน SG",IF(ABS(J1030-L1030)&lt;0.005,"ตรงกัน","ไม่ตรง"))</f>
        <v/>
      </c>
      <c r="N1030" s="14">
        <f>IF(L1030="","",ROUND(L1030*'สรุป'!$C$6,-1))</f>
        <v/>
      </c>
      <c r="O1030" s="15" t="n"/>
      <c r="P1030" s="15" t="n"/>
      <c r="Q1030" s="10" t="n"/>
      <c r="R1030" s="10" t="n"/>
      <c r="S1030" s="16" t="inlineStr">
        <is>
          <t>https://mstgolf.co.th/products/gf2500201302</t>
        </is>
      </c>
      <c r="T1030" s="1">
        <f>IF(B1030="ไม้กอล์ฟ",J1030,"")</f>
        <v/>
      </c>
    </row>
    <row r="1031">
      <c r="A1031" s="1" t="n">
        <v>2</v>
      </c>
      <c r="B1031" s="1" t="inlineStr">
        <is>
          <t>รองเท้า</t>
        </is>
      </c>
      <c r="C1031" s="1" t="inlineStr">
        <is>
          <t>gf2500201556</t>
        </is>
      </c>
      <c r="D1031" s="1" t="inlineStr">
        <is>
          <t>ASICS Japan S Golf Men's Spikeless Shoes (White/Blue)</t>
        </is>
      </c>
      <c r="E1031" s="1" t="inlineStr">
        <is>
          <t>ASICS</t>
        </is>
      </c>
      <c r="F1031" s="1" t="inlineStr">
        <is>
          <t>SPIKELESS SHOES</t>
        </is>
      </c>
      <c r="G1031" s="1" t="inlineStr">
        <is>
          <t>GF2500201556US7</t>
        </is>
      </c>
      <c r="H1031" s="1" t="n">
        <v>10</v>
      </c>
      <c r="I1031" s="1" t="inlineStr">
        <is>
          <t>มี</t>
        </is>
      </c>
      <c r="J1031" s="13" t="n">
        <v>139</v>
      </c>
      <c r="K1031" s="1" t="inlineStr"/>
      <c r="L1031" s="13" t="n">
        <v>139</v>
      </c>
      <c r="M1031" s="1">
        <f>IF(L1031="","ไม่พบใน SG",IF(ABS(J1031-L1031)&lt;0.005,"ตรงกัน","ไม่ตรง"))</f>
        <v/>
      </c>
      <c r="N1031" s="14">
        <f>IF(L1031="","",ROUND(L1031*'สรุป'!$C$6,-1))</f>
        <v/>
      </c>
      <c r="O1031" s="15" t="n"/>
      <c r="P1031" s="15" t="n"/>
      <c r="Q1031" s="10" t="n"/>
      <c r="R1031" s="10" t="n"/>
      <c r="S1031" s="16" t="inlineStr">
        <is>
          <t>https://mstgolf.co.th/products/gf2500201556</t>
        </is>
      </c>
      <c r="T1031" s="1">
        <f>IF(B1031="ไม้กอล์ฟ",J1031,"")</f>
        <v/>
      </c>
    </row>
    <row r="1032">
      <c r="A1032" s="1" t="n">
        <v>2</v>
      </c>
      <c r="B1032" s="1" t="inlineStr">
        <is>
          <t>รองเท้า</t>
        </is>
      </c>
      <c r="C1032" s="1" t="inlineStr">
        <is>
          <t>gf2500201313</t>
        </is>
      </c>
      <c r="D1032" s="1" t="inlineStr">
        <is>
          <t>ASICS Japan S Golf Men's Spikeless Shoes (White/Green)</t>
        </is>
      </c>
      <c r="E1032" s="1" t="inlineStr">
        <is>
          <t>ASICS</t>
        </is>
      </c>
      <c r="F1032" s="1" t="inlineStr">
        <is>
          <t>SPIKELESS SHOES</t>
        </is>
      </c>
      <c r="G1032" s="1" t="inlineStr">
        <is>
          <t>GF2500201313US7</t>
        </is>
      </c>
      <c r="H1032" s="1" t="n">
        <v>11</v>
      </c>
      <c r="I1032" s="1" t="inlineStr">
        <is>
          <t>มี</t>
        </is>
      </c>
      <c r="J1032" s="13" t="n">
        <v>139</v>
      </c>
      <c r="K1032" s="1" t="inlineStr"/>
      <c r="L1032" s="13" t="n">
        <v>139</v>
      </c>
      <c r="M1032" s="1">
        <f>IF(L1032="","ไม่พบใน SG",IF(ABS(J1032-L1032)&lt;0.005,"ตรงกัน","ไม่ตรง"))</f>
        <v/>
      </c>
      <c r="N1032" s="14">
        <f>IF(L1032="","",ROUND(L1032*'สรุป'!$C$6,-1))</f>
        <v/>
      </c>
      <c r="O1032" s="15" t="n"/>
      <c r="P1032" s="15" t="n"/>
      <c r="Q1032" s="10" t="n"/>
      <c r="R1032" s="10" t="n"/>
      <c r="S1032" s="16" t="inlineStr">
        <is>
          <t>https://mstgolf.co.th/products/gf2500201313</t>
        </is>
      </c>
      <c r="T1032" s="1">
        <f>IF(B1032="ไม้กอล์ฟ",J1032,"")</f>
        <v/>
      </c>
    </row>
    <row r="1033">
      <c r="A1033" s="1" t="n">
        <v>2</v>
      </c>
      <c r="B1033" s="1" t="inlineStr">
        <is>
          <t>รองเท้า</t>
        </is>
      </c>
      <c r="C1033" s="1" t="inlineStr">
        <is>
          <t>gf2500201312</t>
        </is>
      </c>
      <c r="D1033" s="1" t="inlineStr">
        <is>
          <t>ASICS Japan S Golf Men's Spikeless Shoes (White/Midnight)</t>
        </is>
      </c>
      <c r="E1033" s="1" t="inlineStr">
        <is>
          <t>ASICS</t>
        </is>
      </c>
      <c r="F1033" s="1" t="inlineStr">
        <is>
          <t>SPIKELESS SHOES</t>
        </is>
      </c>
      <c r="G1033" s="1" t="inlineStr">
        <is>
          <t>GF2500201312US7</t>
        </is>
      </c>
      <c r="H1033" s="1" t="n">
        <v>11</v>
      </c>
      <c r="I1033" s="1" t="inlineStr">
        <is>
          <t>มี</t>
        </is>
      </c>
      <c r="J1033" s="13" t="n">
        <v>139</v>
      </c>
      <c r="K1033" s="1" t="inlineStr"/>
      <c r="L1033" s="13" t="n">
        <v>139</v>
      </c>
      <c r="M1033" s="1">
        <f>IF(L1033="","ไม่พบใน SG",IF(ABS(J1033-L1033)&lt;0.005,"ตรงกัน","ไม่ตรง"))</f>
        <v/>
      </c>
      <c r="N1033" s="14">
        <f>IF(L1033="","",ROUND(L1033*'สรุป'!$C$6,-1))</f>
        <v/>
      </c>
      <c r="O1033" s="15" t="n"/>
      <c r="P1033" s="15" t="n"/>
      <c r="Q1033" s="10" t="n"/>
      <c r="R1033" s="10" t="n"/>
      <c r="S1033" s="16" t="inlineStr">
        <is>
          <t>https://mstgolf.co.th/products/gf2500201312</t>
        </is>
      </c>
      <c r="T1033" s="1">
        <f>IF(B1033="ไม้กอล์ฟ",J1033,"")</f>
        <v/>
      </c>
    </row>
    <row r="1034">
      <c r="A1034" s="1" t="n">
        <v>2</v>
      </c>
      <c r="B1034" s="1" t="inlineStr">
        <is>
          <t>รองเท้า</t>
        </is>
      </c>
      <c r="C1034" s="1" t="inlineStr">
        <is>
          <t>gf2500201022</t>
        </is>
      </c>
      <c r="D1034" s="1" t="inlineStr">
        <is>
          <t>PUMA Duvin GS-Fast Liberty Men's Spikeless Shoes (White/Blue)</t>
        </is>
      </c>
      <c r="E1034" s="1" t="inlineStr">
        <is>
          <t>PUMA</t>
        </is>
      </c>
      <c r="F1034" s="1" t="inlineStr">
        <is>
          <t>SPIKELESS SHOES</t>
        </is>
      </c>
      <c r="G1034" s="1" t="inlineStr">
        <is>
          <t>GF2500201022UK6</t>
        </is>
      </c>
      <c r="H1034" s="1" t="n">
        <v>12</v>
      </c>
      <c r="I1034" s="1" t="inlineStr">
        <is>
          <t>มี</t>
        </is>
      </c>
      <c r="J1034" s="13" t="n">
        <v>139</v>
      </c>
      <c r="K1034" s="1" t="inlineStr"/>
      <c r="L1034" s="13" t="n">
        <v>139</v>
      </c>
      <c r="M1034" s="1">
        <f>IF(L1034="","ไม่พบใน SG",IF(ABS(J1034-L1034)&lt;0.005,"ตรงกัน","ไม่ตรง"))</f>
        <v/>
      </c>
      <c r="N1034" s="14">
        <f>IF(L1034="","",ROUND(L1034*'สรุป'!$C$6,-1))</f>
        <v/>
      </c>
      <c r="O1034" s="15" t="n"/>
      <c r="P1034" s="15" t="n"/>
      <c r="Q1034" s="10" t="n"/>
      <c r="R1034" s="10" t="n"/>
      <c r="S1034" s="16" t="inlineStr">
        <is>
          <t>https://mstgolf.co.th/products/gf2500201022</t>
        </is>
      </c>
      <c r="T1034" s="1">
        <f>IF(B1034="ไม้กอล์ฟ",J1034,"")</f>
        <v/>
      </c>
    </row>
    <row r="1035">
      <c r="A1035" s="1" t="n">
        <v>2</v>
      </c>
      <c r="B1035" s="1" t="inlineStr">
        <is>
          <t>รองเท้า</t>
        </is>
      </c>
      <c r="C1035" s="1" t="inlineStr">
        <is>
          <t>gf2500201190</t>
        </is>
      </c>
      <c r="D1035" s="1" t="inlineStr">
        <is>
          <t>PUMA Fusion Men's Spikeless Shoes (Grey/Grey/Green)</t>
        </is>
      </c>
      <c r="E1035" s="1" t="inlineStr">
        <is>
          <t>PUMA</t>
        </is>
      </c>
      <c r="F1035" s="1" t="inlineStr">
        <is>
          <t>SPIKELESS SHOES</t>
        </is>
      </c>
      <c r="G1035" s="1" t="inlineStr">
        <is>
          <t>GF2500201190UK6.5</t>
        </is>
      </c>
      <c r="H1035" s="1" t="n">
        <v>11</v>
      </c>
      <c r="I1035" s="1" t="inlineStr">
        <is>
          <t>มี</t>
        </is>
      </c>
      <c r="J1035" s="13" t="n">
        <v>139</v>
      </c>
      <c r="K1035" s="1" t="inlineStr"/>
      <c r="L1035" s="13" t="n">
        <v>97</v>
      </c>
      <c r="M1035" s="1">
        <f>IF(L1035="","ไม่พบใน SG",IF(ABS(J1035-L1035)&lt;0.005,"ตรงกัน","ไม่ตรง"))</f>
        <v/>
      </c>
      <c r="N1035" s="14">
        <f>IF(L1035="","",ROUND(L1035*'สรุป'!$C$6,-1))</f>
        <v/>
      </c>
      <c r="O1035" s="15" t="n"/>
      <c r="P1035" s="15" t="n"/>
      <c r="Q1035" s="10" t="n"/>
      <c r="R1035" s="10" t="n"/>
      <c r="S1035" s="16" t="inlineStr">
        <is>
          <t>https://mstgolf.co.th/products/gf2500201190</t>
        </is>
      </c>
      <c r="T1035" s="1">
        <f>IF(B1035="ไม้กอล์ฟ",J1035,"")</f>
        <v/>
      </c>
    </row>
    <row r="1036">
      <c r="A1036" s="1" t="n">
        <v>2</v>
      </c>
      <c r="B1036" s="1" t="inlineStr">
        <is>
          <t>รองเท้า</t>
        </is>
      </c>
      <c r="C1036" s="1" t="inlineStr">
        <is>
          <t>gf2500201191</t>
        </is>
      </c>
      <c r="D1036" s="1" t="inlineStr">
        <is>
          <t>PUMA Fusion Men's Spikeless Shoes (Sky/Navy)</t>
        </is>
      </c>
      <c r="E1036" s="1" t="inlineStr">
        <is>
          <t>PUMA</t>
        </is>
      </c>
      <c r="F1036" s="1" t="inlineStr">
        <is>
          <t>SPIKELESS SHOES</t>
        </is>
      </c>
      <c r="G1036" s="1" t="inlineStr">
        <is>
          <t>GF2500201191UK6</t>
        </is>
      </c>
      <c r="H1036" s="1" t="n">
        <v>13</v>
      </c>
      <c r="I1036" s="1" t="inlineStr">
        <is>
          <t>มี</t>
        </is>
      </c>
      <c r="J1036" s="13" t="n">
        <v>139</v>
      </c>
      <c r="K1036" s="1" t="inlineStr"/>
      <c r="L1036" s="13" t="n">
        <v>97</v>
      </c>
      <c r="M1036" s="1">
        <f>IF(L1036="","ไม่พบใน SG",IF(ABS(J1036-L1036)&lt;0.005,"ตรงกัน","ไม่ตรง"))</f>
        <v/>
      </c>
      <c r="N1036" s="14">
        <f>IF(L1036="","",ROUND(L1036*'สรุป'!$C$6,-1))</f>
        <v/>
      </c>
      <c r="O1036" s="15" t="n"/>
      <c r="P1036" s="15" t="n"/>
      <c r="Q1036" s="10" t="n"/>
      <c r="R1036" s="10" t="n"/>
      <c r="S1036" s="16" t="inlineStr">
        <is>
          <t>https://mstgolf.co.th/products/gf2500201191</t>
        </is>
      </c>
      <c r="T1036" s="1">
        <f>IF(B1036="ไม้กอล์ฟ",J1036,"")</f>
        <v/>
      </c>
    </row>
    <row r="1037">
      <c r="A1037" s="1" t="n">
        <v>2</v>
      </c>
      <c r="B1037" s="1" t="inlineStr">
        <is>
          <t>รองเท้า</t>
        </is>
      </c>
      <c r="C1037" s="1" t="inlineStr">
        <is>
          <t>gf2500102556</t>
        </is>
      </c>
      <c r="D1037" s="1" t="inlineStr">
        <is>
          <t>PUMA IGNITE Articulate Disc Men's Spiked Shoes (Silver/Black/Gold)</t>
        </is>
      </c>
      <c r="E1037" s="1" t="inlineStr">
        <is>
          <t>PUMA</t>
        </is>
      </c>
      <c r="F1037" s="1" t="inlineStr">
        <is>
          <t>SPIKE SHOES</t>
        </is>
      </c>
      <c r="G1037" s="1" t="inlineStr">
        <is>
          <t>GF2500102556UK6.5</t>
        </is>
      </c>
      <c r="H1037" s="1" t="n">
        <v>11</v>
      </c>
      <c r="I1037" s="1" t="inlineStr">
        <is>
          <t>มี</t>
        </is>
      </c>
      <c r="J1037" s="13" t="n">
        <v>139</v>
      </c>
      <c r="K1037" s="1" t="inlineStr"/>
      <c r="L1037" s="13" t="n">
        <v>139</v>
      </c>
      <c r="M1037" s="1">
        <f>IF(L1037="","ไม่พบใน SG",IF(ABS(J1037-L1037)&lt;0.005,"ตรงกัน","ไม่ตรง"))</f>
        <v/>
      </c>
      <c r="N1037" s="14">
        <f>IF(L1037="","",ROUND(L1037*'สรุป'!$C$6,-1))</f>
        <v/>
      </c>
      <c r="O1037" s="15" t="n"/>
      <c r="P1037" s="15" t="n"/>
      <c r="Q1037" s="10" t="n"/>
      <c r="R1037" s="10" t="n"/>
      <c r="S1037" s="16" t="inlineStr">
        <is>
          <t>https://mstgolf.co.th/products/gf2500102556</t>
        </is>
      </c>
      <c r="T1037" s="1">
        <f>IF(B1037="ไม้กอล์ฟ",J1037,"")</f>
        <v/>
      </c>
    </row>
    <row r="1038">
      <c r="A1038" s="1" t="n">
        <v>2</v>
      </c>
      <c r="B1038" s="1" t="inlineStr">
        <is>
          <t>รองเท้า</t>
        </is>
      </c>
      <c r="C1038" s="1" t="inlineStr">
        <is>
          <t>gf2500201340</t>
        </is>
      </c>
      <c r="D1038" s="1" t="inlineStr">
        <is>
          <t>PUMA x PTC Men's Classic G Men's Spikeless Shoes (White/Navy/Red)</t>
        </is>
      </c>
      <c r="E1038" s="1" t="inlineStr">
        <is>
          <t>PUMA</t>
        </is>
      </c>
      <c r="F1038" s="1" t="inlineStr">
        <is>
          <t>SPIKELESS SHOES</t>
        </is>
      </c>
      <c r="G1038" s="1" t="inlineStr">
        <is>
          <t>GF2500201340UK6</t>
        </is>
      </c>
      <c r="H1038" s="1" t="n">
        <v>13</v>
      </c>
      <c r="I1038" s="1" t="inlineStr">
        <is>
          <t>มี</t>
        </is>
      </c>
      <c r="J1038" s="13" t="n">
        <v>139</v>
      </c>
      <c r="K1038" s="1" t="inlineStr"/>
      <c r="L1038" s="13" t="n">
        <v>139</v>
      </c>
      <c r="M1038" s="1">
        <f>IF(L1038="","ไม่พบใน SG",IF(ABS(J1038-L1038)&lt;0.005,"ตรงกัน","ไม่ตรง"))</f>
        <v/>
      </c>
      <c r="N1038" s="14">
        <f>IF(L1038="","",ROUND(L1038*'สรุป'!$C$6,-1))</f>
        <v/>
      </c>
      <c r="O1038" s="15" t="n"/>
      <c r="P1038" s="15" t="n"/>
      <c r="Q1038" s="10" t="n"/>
      <c r="R1038" s="10" t="n"/>
      <c r="S1038" s="16" t="inlineStr">
        <is>
          <t>https://mstgolf.co.th/products/gf2500201340</t>
        </is>
      </c>
      <c r="T1038" s="1">
        <f>IF(B1038="ไม้กอล์ฟ",J1038,"")</f>
        <v/>
      </c>
    </row>
    <row r="1039">
      <c r="A1039" s="1" t="n">
        <v>2</v>
      </c>
      <c r="B1039" s="1" t="inlineStr">
        <is>
          <t>รองเท้า</t>
        </is>
      </c>
      <c r="C1039" s="1" t="inlineStr">
        <is>
          <t>gf2500201343</t>
        </is>
      </c>
      <c r="D1039" s="1" t="inlineStr">
        <is>
          <t>UNDER ARMOUR Glide 2 Men's Spikeless Shoes (White)</t>
        </is>
      </c>
      <c r="E1039" s="1" t="inlineStr">
        <is>
          <t>UNDER ARMOUR</t>
        </is>
      </c>
      <c r="F1039" s="1" t="inlineStr">
        <is>
          <t>SPIKELESS SHOES</t>
        </is>
      </c>
      <c r="G1039" s="1" t="inlineStr">
        <is>
          <t>GF2500201343US7</t>
        </is>
      </c>
      <c r="H1039" s="1" t="n">
        <v>12</v>
      </c>
      <c r="I1039" s="1" t="inlineStr">
        <is>
          <t>มี</t>
        </is>
      </c>
      <c r="J1039" s="13" t="n">
        <v>139</v>
      </c>
      <c r="K1039" s="1" t="inlineStr"/>
      <c r="L1039" s="13" t="n">
        <v>139</v>
      </c>
      <c r="M1039" s="1">
        <f>IF(L1039="","ไม่พบใน SG",IF(ABS(J1039-L1039)&lt;0.005,"ตรงกัน","ไม่ตรง"))</f>
        <v/>
      </c>
      <c r="N1039" s="14">
        <f>IF(L1039="","",ROUND(L1039*'สรุป'!$C$6,-1))</f>
        <v/>
      </c>
      <c r="O1039" s="15" t="n"/>
      <c r="P1039" s="15" t="n"/>
      <c r="Q1039" s="10" t="n"/>
      <c r="R1039" s="10" t="n"/>
      <c r="S1039" s="16" t="inlineStr">
        <is>
          <t>https://mstgolf.co.th/products/gf2500201343</t>
        </is>
      </c>
      <c r="T1039" s="1">
        <f>IF(B1039="ไม้กอล์ฟ",J1039,"")</f>
        <v/>
      </c>
    </row>
    <row r="1040">
      <c r="A1040" s="1" t="n">
        <v>2</v>
      </c>
      <c r="B1040" s="1" t="inlineStr">
        <is>
          <t>อุปกรณ์ฝึกซ้อม</t>
        </is>
      </c>
      <c r="C1040" s="1" t="inlineStr">
        <is>
          <t>gf3040100107</t>
        </is>
      </c>
      <c r="D1040" s="1" t="inlineStr">
        <is>
          <t>SKLZ Gold Flex Trainer 48"</t>
        </is>
      </c>
      <c r="E1040" s="1" t="inlineStr">
        <is>
          <t>SKLZ</t>
        </is>
      </c>
      <c r="F1040" s="1" t="inlineStr">
        <is>
          <t>SWING</t>
        </is>
      </c>
      <c r="G1040" s="1" t="inlineStr">
        <is>
          <t>GF3040100107</t>
        </is>
      </c>
      <c r="H1040" s="1" t="n">
        <v>1</v>
      </c>
      <c r="I1040" s="1" t="inlineStr">
        <is>
          <t>มี</t>
        </is>
      </c>
      <c r="J1040" s="13" t="n">
        <v>135</v>
      </c>
      <c r="K1040" s="1" t="inlineStr"/>
      <c r="L1040" s="13" t="n">
        <v>135</v>
      </c>
      <c r="M1040" s="1">
        <f>IF(L1040="","ไม่พบใน SG",IF(ABS(J1040-L1040)&lt;0.005,"ตรงกัน","ไม่ตรง"))</f>
        <v/>
      </c>
      <c r="N1040" s="14">
        <f>IF(L1040="","",ROUND(L1040*'สรุป'!$C$6,-1))</f>
        <v/>
      </c>
      <c r="O1040" s="15" t="n"/>
      <c r="P1040" s="15" t="n"/>
      <c r="Q1040" s="10" t="n"/>
      <c r="R1040" s="10" t="n"/>
      <c r="S1040" s="16" t="inlineStr">
        <is>
          <t>https://mstgolf.co.th/products/gf3040100107</t>
        </is>
      </c>
      <c r="T1040" s="1">
        <f>IF(B1040="ไม้กอล์ฟ",J1040,"")</f>
        <v/>
      </c>
    </row>
    <row r="1041">
      <c r="A1041" s="1" t="n">
        <v>2</v>
      </c>
      <c r="B1041" s="1" t="inlineStr">
        <is>
          <t>อุปกรณ์ฝึกซ้อม</t>
        </is>
      </c>
      <c r="C1041" s="1" t="inlineStr">
        <is>
          <t>gf3040200015</t>
        </is>
      </c>
      <c r="D1041" s="1" t="inlineStr">
        <is>
          <t>TABATA Training Set - 3in1</t>
        </is>
      </c>
      <c r="E1041" s="1" t="inlineStr">
        <is>
          <t>TABATA</t>
        </is>
      </c>
      <c r="F1041" s="1" t="inlineStr">
        <is>
          <t>PUTT / CHIP</t>
        </is>
      </c>
      <c r="G1041" s="1" t="inlineStr">
        <is>
          <t>GF3040200015</t>
        </is>
      </c>
      <c r="H1041" s="1" t="n">
        <v>1</v>
      </c>
      <c r="I1041" s="1" t="inlineStr">
        <is>
          <t>มี</t>
        </is>
      </c>
      <c r="J1041" s="13" t="n">
        <v>135</v>
      </c>
      <c r="K1041" s="1" t="inlineStr"/>
      <c r="L1041" s="13" t="n">
        <v>135</v>
      </c>
      <c r="M1041" s="1">
        <f>IF(L1041="","ไม่พบใน SG",IF(ABS(J1041-L1041)&lt;0.005,"ตรงกัน","ไม่ตรง"))</f>
        <v/>
      </c>
      <c r="N1041" s="14">
        <f>IF(L1041="","",ROUND(L1041*'สรุป'!$C$6,-1))</f>
        <v/>
      </c>
      <c r="O1041" s="15" t="n"/>
      <c r="P1041" s="15" t="n"/>
      <c r="Q1041" s="10" t="n"/>
      <c r="R1041" s="10" t="n"/>
      <c r="S1041" s="16" t="inlineStr">
        <is>
          <t>https://mstgolf.co.th/products/gf3040200015</t>
        </is>
      </c>
      <c r="T1041" s="1">
        <f>IF(B1041="ไม้กอล์ฟ",J1041,"")</f>
        <v/>
      </c>
    </row>
    <row r="1042">
      <c r="A1042" s="1" t="n">
        <v>2</v>
      </c>
      <c r="B1042" s="1" t="inlineStr">
        <is>
          <t>รองเท้า</t>
        </is>
      </c>
      <c r="C1042" s="1" t="inlineStr">
        <is>
          <t>gf2500102682</t>
        </is>
      </c>
      <c r="D1042" s="1" t="inlineStr">
        <is>
          <t>ADIDAS Tour360 Men's Spiked Shoes (White/Blue/Black)</t>
        </is>
      </c>
      <c r="E1042" s="1" t="inlineStr">
        <is>
          <t>ADIDAS</t>
        </is>
      </c>
      <c r="F1042" s="1" t="inlineStr">
        <is>
          <t>SPIKE SHOES</t>
        </is>
      </c>
      <c r="G1042" s="1" t="inlineStr">
        <is>
          <t>GF2500102682UK6.5</t>
        </is>
      </c>
      <c r="H1042" s="1" t="n">
        <v>12</v>
      </c>
      <c r="I1042" s="1" t="inlineStr">
        <is>
          <t>มี</t>
        </is>
      </c>
      <c r="J1042" s="13" t="n">
        <v>129</v>
      </c>
      <c r="K1042" s="1" t="inlineStr"/>
      <c r="L1042" s="13" t="n">
        <v>129</v>
      </c>
      <c r="M1042" s="1">
        <f>IF(L1042="","ไม่พบใน SG",IF(ABS(J1042-L1042)&lt;0.005,"ตรงกัน","ไม่ตรง"))</f>
        <v/>
      </c>
      <c r="N1042" s="14">
        <f>IF(L1042="","",ROUND(L1042*'สรุป'!$C$6,-1))</f>
        <v/>
      </c>
      <c r="O1042" s="15" t="n"/>
      <c r="P1042" s="15" t="n"/>
      <c r="Q1042" s="10" t="n"/>
      <c r="R1042" s="10" t="n"/>
      <c r="S1042" s="16" t="inlineStr">
        <is>
          <t>https://mstgolf.co.th/products/gf2500102682</t>
        </is>
      </c>
      <c r="T1042" s="1">
        <f>IF(B1042="ไม้กอล์ฟ",J1042,"")</f>
        <v/>
      </c>
    </row>
    <row r="1043">
      <c r="A1043" s="1" t="n">
        <v>2</v>
      </c>
      <c r="B1043" s="1" t="inlineStr">
        <is>
          <t>รองเท้า</t>
        </is>
      </c>
      <c r="C1043" s="1" t="inlineStr">
        <is>
          <t>gf2500102562</t>
        </is>
      </c>
      <c r="D1043" s="1" t="inlineStr">
        <is>
          <t>ADIDAS ZG21 Motion Primegreen BOA Mid-Cut Women's Spiked Shoes (Grey/Mint)</t>
        </is>
      </c>
      <c r="E1043" s="1" t="inlineStr">
        <is>
          <t>ADIDAS</t>
        </is>
      </c>
      <c r="F1043" s="1" t="inlineStr">
        <is>
          <t>SPIKE SHOES</t>
        </is>
      </c>
      <c r="G1043" s="1" t="inlineStr">
        <is>
          <t>GF2500102562UK4.5</t>
        </is>
      </c>
      <c r="H1043" s="1" t="n">
        <v>8</v>
      </c>
      <c r="I1043" s="1" t="inlineStr">
        <is>
          <t>มี</t>
        </is>
      </c>
      <c r="J1043" s="13" t="n">
        <v>129</v>
      </c>
      <c r="K1043" s="1" t="inlineStr"/>
      <c r="L1043" s="13" t="n">
        <v>129</v>
      </c>
      <c r="M1043" s="1">
        <f>IF(L1043="","ไม่พบใน SG",IF(ABS(J1043-L1043)&lt;0.005,"ตรงกัน","ไม่ตรง"))</f>
        <v/>
      </c>
      <c r="N1043" s="14">
        <f>IF(L1043="","",ROUND(L1043*'สรุป'!$C$6,-1))</f>
        <v/>
      </c>
      <c r="O1043" s="15" t="n"/>
      <c r="P1043" s="15" t="n"/>
      <c r="Q1043" s="10" t="n"/>
      <c r="R1043" s="10" t="n"/>
      <c r="S1043" s="16" t="inlineStr">
        <is>
          <t>https://mstgolf.co.th/products/gf2500102562</t>
        </is>
      </c>
      <c r="T1043" s="1">
        <f>IF(B1043="ไม้กอล์ฟ",J1043,"")</f>
        <v/>
      </c>
    </row>
    <row r="1044">
      <c r="A1044" s="1" t="n">
        <v>2</v>
      </c>
      <c r="B1044" s="1" t="inlineStr">
        <is>
          <t>รองเท้า</t>
        </is>
      </c>
      <c r="C1044" s="1" t="inlineStr">
        <is>
          <t>gf2500201046</t>
        </is>
      </c>
      <c r="D1044" s="1" t="inlineStr">
        <is>
          <t>ASICS GEL-PRESHOT BOA Men's Spiked Shoes (White/Peacoat)</t>
        </is>
      </c>
      <c r="E1044" s="1" t="inlineStr">
        <is>
          <t>ASICS</t>
        </is>
      </c>
      <c r="F1044" s="1" t="inlineStr">
        <is>
          <t>SPIKE SHOES</t>
        </is>
      </c>
      <c r="G1044" s="1" t="inlineStr">
        <is>
          <t>GF2500201046US6.5</t>
        </is>
      </c>
      <c r="H1044" s="1" t="n">
        <v>13</v>
      </c>
      <c r="I1044" s="1" t="inlineStr">
        <is>
          <t>มี</t>
        </is>
      </c>
      <c r="J1044" s="13" t="n">
        <v>129</v>
      </c>
      <c r="K1044" s="1" t="inlineStr"/>
      <c r="L1044" s="13" t="n">
        <v>129</v>
      </c>
      <c r="M1044" s="1">
        <f>IF(L1044="","ไม่พบใน SG",IF(ABS(J1044-L1044)&lt;0.005,"ตรงกัน","ไม่ตรง"))</f>
        <v/>
      </c>
      <c r="N1044" s="14">
        <f>IF(L1044="","",ROUND(L1044*'สรุป'!$C$6,-1))</f>
        <v/>
      </c>
      <c r="O1044" s="15" t="n"/>
      <c r="P1044" s="15" t="n"/>
      <c r="Q1044" s="10" t="n"/>
      <c r="R1044" s="10" t="n"/>
      <c r="S1044" s="16" t="inlineStr">
        <is>
          <t>https://mstgolf.co.th/products/gf2500201046</t>
        </is>
      </c>
      <c r="T1044" s="1">
        <f>IF(B1044="ไม้กอล์ฟ",J1044,"")</f>
        <v/>
      </c>
    </row>
    <row r="1045">
      <c r="A1045" s="1" t="n">
        <v>2</v>
      </c>
      <c r="B1045" s="1" t="inlineStr">
        <is>
          <t>รองเท้า</t>
        </is>
      </c>
      <c r="C1045" s="1" t="inlineStr">
        <is>
          <t>gf2500102521</t>
        </is>
      </c>
      <c r="D1045" s="1" t="inlineStr">
        <is>
          <t>FOOTJOY Traditions Men's Spiked Shoes (Black)</t>
        </is>
      </c>
      <c r="E1045" s="1" t="inlineStr">
        <is>
          <t>FOOTJOY</t>
        </is>
      </c>
      <c r="F1045" s="1" t="inlineStr">
        <is>
          <t>SPIKE SHOES</t>
        </is>
      </c>
      <c r="G1045" s="1" t="inlineStr">
        <is>
          <t>GF2500102521US6.5</t>
        </is>
      </c>
      <c r="H1045" s="1" t="n">
        <v>10</v>
      </c>
      <c r="I1045" s="1" t="inlineStr">
        <is>
          <t>มี</t>
        </is>
      </c>
      <c r="J1045" s="13" t="n">
        <v>129</v>
      </c>
      <c r="K1045" s="1" t="inlineStr"/>
      <c r="L1045" s="13" t="n">
        <v>129</v>
      </c>
      <c r="M1045" s="1">
        <f>IF(L1045="","ไม่พบใน SG",IF(ABS(J1045-L1045)&lt;0.005,"ตรงกัน","ไม่ตรง"))</f>
        <v/>
      </c>
      <c r="N1045" s="14">
        <f>IF(L1045="","",ROUND(L1045*'สรุป'!$C$6,-1))</f>
        <v/>
      </c>
      <c r="O1045" s="15" t="n"/>
      <c r="P1045" s="15" t="n"/>
      <c r="Q1045" s="10" t="n"/>
      <c r="R1045" s="10" t="n"/>
      <c r="S1045" s="16" t="inlineStr">
        <is>
          <t>https://mstgolf.co.th/products/gf2500102521</t>
        </is>
      </c>
      <c r="T1045" s="1">
        <f>IF(B1045="ไม้กอล์ฟ",J1045,"")</f>
        <v/>
      </c>
    </row>
    <row r="1046">
      <c r="A1046" s="1" t="n">
        <v>2</v>
      </c>
      <c r="B1046" s="1" t="inlineStr">
        <is>
          <t>รองเท้า</t>
        </is>
      </c>
      <c r="C1046" s="1" t="inlineStr">
        <is>
          <t>gf2500201018</t>
        </is>
      </c>
      <c r="D1046" s="1" t="inlineStr">
        <is>
          <t>NIKE Infinity Pro 2 Men's Spikeless Shoe (Black/White)</t>
        </is>
      </c>
      <c r="E1046" s="1" t="inlineStr">
        <is>
          <t>NIKE</t>
        </is>
      </c>
      <c r="F1046" s="1" t="inlineStr">
        <is>
          <t>SPIKELESS SHOES</t>
        </is>
      </c>
      <c r="G1046" s="1" t="inlineStr">
        <is>
          <t>GF2500201018US7.5</t>
        </is>
      </c>
      <c r="H1046" s="1" t="n">
        <v>10</v>
      </c>
      <c r="I1046" s="1" t="inlineStr">
        <is>
          <t>มี</t>
        </is>
      </c>
      <c r="J1046" s="13" t="n">
        <v>129</v>
      </c>
      <c r="K1046" s="1" t="inlineStr"/>
      <c r="L1046" s="13" t="n">
        <v>129</v>
      </c>
      <c r="M1046" s="1">
        <f>IF(L1046="","ไม่พบใน SG",IF(ABS(J1046-L1046)&lt;0.005,"ตรงกัน","ไม่ตรง"))</f>
        <v/>
      </c>
      <c r="N1046" s="14">
        <f>IF(L1046="","",ROUND(L1046*'สรุป'!$C$6,-1))</f>
        <v/>
      </c>
      <c r="O1046" s="15" t="n"/>
      <c r="P1046" s="15" t="n"/>
      <c r="Q1046" s="10" t="n"/>
      <c r="R1046" s="10" t="n"/>
      <c r="S1046" s="16" t="inlineStr">
        <is>
          <t>https://mstgolf.co.th/products/gf2500201018</t>
        </is>
      </c>
      <c r="T1046" s="1">
        <f>IF(B1046="ไม้กอล์ฟ",J1046,"")</f>
        <v/>
      </c>
    </row>
    <row r="1047">
      <c r="A1047" s="1" t="n">
        <v>2</v>
      </c>
      <c r="B1047" s="1" t="inlineStr">
        <is>
          <t>ถุงกอล์ฟ</t>
        </is>
      </c>
      <c r="C1047" s="1" t="inlineStr">
        <is>
          <t>gf3010300439</t>
        </is>
      </c>
      <c r="D1047" s="1" t="inlineStr">
        <is>
          <t>PING Backpack (Grey)</t>
        </is>
      </c>
      <c r="E1047" s="1" t="inlineStr">
        <is>
          <t>PING</t>
        </is>
      </c>
      <c r="F1047" s="1" t="inlineStr">
        <is>
          <t>BACKPACK/RUCKSACK</t>
        </is>
      </c>
      <c r="G1047" s="1" t="inlineStr">
        <is>
          <t>GF3010300439</t>
        </is>
      </c>
      <c r="H1047" s="1" t="n">
        <v>1</v>
      </c>
      <c r="I1047" s="1" t="inlineStr">
        <is>
          <t>มี</t>
        </is>
      </c>
      <c r="J1047" s="13" t="n">
        <v>129</v>
      </c>
      <c r="K1047" s="1" t="inlineStr"/>
      <c r="L1047" s="13" t="n">
        <v>129</v>
      </c>
      <c r="M1047" s="1">
        <f>IF(L1047="","ไม่พบใน SG",IF(ABS(J1047-L1047)&lt;0.005,"ตรงกัน","ไม่ตรง"))</f>
        <v/>
      </c>
      <c r="N1047" s="14">
        <f>IF(L1047="","",ROUND(L1047*'สรุป'!$C$6,-1))</f>
        <v/>
      </c>
      <c r="O1047" s="15" t="n"/>
      <c r="P1047" s="15" t="n"/>
      <c r="Q1047" s="10" t="n"/>
      <c r="R1047" s="10" t="n"/>
      <c r="S1047" s="16" t="inlineStr">
        <is>
          <t>https://mstgolf.co.th/products/gf3010300439</t>
        </is>
      </c>
      <c r="T1047" s="1">
        <f>IF(B1047="ไม้กอล์ฟ",J1047,"")</f>
        <v/>
      </c>
    </row>
    <row r="1048">
      <c r="A1048" s="1" t="n">
        <v>2</v>
      </c>
      <c r="B1048" s="1" t="inlineStr">
        <is>
          <t>รองเท้า</t>
        </is>
      </c>
      <c r="C1048" s="1" t="inlineStr">
        <is>
          <t>gf2500201195</t>
        </is>
      </c>
      <c r="D1048" s="1" t="inlineStr">
        <is>
          <t>PUMA Fusion Women's Spikeless Shoes (Pink/Gum)</t>
        </is>
      </c>
      <c r="E1048" s="1" t="inlineStr">
        <is>
          <t>PUMA</t>
        </is>
      </c>
      <c r="F1048" s="1" t="inlineStr">
        <is>
          <t>SPIKELESS SHOES</t>
        </is>
      </c>
      <c r="G1048" s="1" t="inlineStr">
        <is>
          <t>GF2500201195UK4.5</t>
        </is>
      </c>
      <c r="H1048" s="1" t="n">
        <v>9</v>
      </c>
      <c r="I1048" s="1" t="inlineStr">
        <is>
          <t>มี</t>
        </is>
      </c>
      <c r="J1048" s="13" t="n">
        <v>129</v>
      </c>
      <c r="K1048" s="1" t="inlineStr"/>
      <c r="L1048" s="13" t="n">
        <v>89</v>
      </c>
      <c r="M1048" s="1">
        <f>IF(L1048="","ไม่พบใน SG",IF(ABS(J1048-L1048)&lt;0.005,"ตรงกัน","ไม่ตรง"))</f>
        <v/>
      </c>
      <c r="N1048" s="14">
        <f>IF(L1048="","",ROUND(L1048*'สรุป'!$C$6,-1))</f>
        <v/>
      </c>
      <c r="O1048" s="15" t="n"/>
      <c r="P1048" s="15" t="n"/>
      <c r="Q1048" s="10" t="n"/>
      <c r="R1048" s="10" t="n"/>
      <c r="S1048" s="16" t="inlineStr">
        <is>
          <t>https://mstgolf.co.th/products/gf2500201195</t>
        </is>
      </c>
      <c r="T1048" s="1">
        <f>IF(B1048="ไม้กอล์ฟ",J1048,"")</f>
        <v/>
      </c>
    </row>
    <row r="1049">
      <c r="A1049" s="1" t="n">
        <v>2</v>
      </c>
      <c r="B1049" s="1" t="inlineStr">
        <is>
          <t>รองเท้า</t>
        </is>
      </c>
      <c r="C1049" s="1" t="inlineStr">
        <is>
          <t>gf2500201020</t>
        </is>
      </c>
      <c r="D1049" s="1" t="inlineStr">
        <is>
          <t>PUMA IGNITE Malibu Liberty Women's Spikeless Shoes (Navy)</t>
        </is>
      </c>
      <c r="E1049" s="1" t="inlineStr">
        <is>
          <t>PUMA</t>
        </is>
      </c>
      <c r="F1049" s="1" t="inlineStr">
        <is>
          <t>SPIKELESS SHOES</t>
        </is>
      </c>
      <c r="G1049" s="1" t="inlineStr">
        <is>
          <t>GF2500201020UK4</t>
        </is>
      </c>
      <c r="H1049" s="1" t="n">
        <v>9</v>
      </c>
      <c r="I1049" s="1" t="inlineStr">
        <is>
          <t>มี</t>
        </is>
      </c>
      <c r="J1049" s="13" t="n">
        <v>129</v>
      </c>
      <c r="K1049" s="1" t="inlineStr"/>
      <c r="L1049" s="13" t="n">
        <v>129</v>
      </c>
      <c r="M1049" s="1">
        <f>IF(L1049="","ไม่พบใน SG",IF(ABS(J1049-L1049)&lt;0.005,"ตรงกัน","ไม่ตรง"))</f>
        <v/>
      </c>
      <c r="N1049" s="14">
        <f>IF(L1049="","",ROUND(L1049*'สรุป'!$C$6,-1))</f>
        <v/>
      </c>
      <c r="O1049" s="15" t="n"/>
      <c r="P1049" s="15" t="n"/>
      <c r="Q1049" s="10" t="n"/>
      <c r="R1049" s="10" t="n"/>
      <c r="S1049" s="16" t="inlineStr">
        <is>
          <t>https://mstgolf.co.th/products/gf2500201020</t>
        </is>
      </c>
      <c r="T1049" s="1">
        <f>IF(B1049="ไม้กอล์ฟ",J1049,"")</f>
        <v/>
      </c>
    </row>
    <row r="1050">
      <c r="A1050" s="1" t="n">
        <v>2</v>
      </c>
      <c r="B1050" s="1" t="inlineStr">
        <is>
          <t>รองเท้า</t>
        </is>
      </c>
      <c r="C1050" s="1" t="inlineStr">
        <is>
          <t>gf2500201236</t>
        </is>
      </c>
      <c r="D1050" s="1" t="inlineStr">
        <is>
          <t>ADIDAS Mc87 BOA Unisex Spikeless Shoes (White/Silver/Pink)</t>
        </is>
      </c>
      <c r="E1050" s="1" t="inlineStr">
        <is>
          <t>ADIDAS</t>
        </is>
      </c>
      <c r="F1050" s="1" t="inlineStr">
        <is>
          <t>SPIKELESS SHOES</t>
        </is>
      </c>
      <c r="G1050" s="1" t="inlineStr">
        <is>
          <t>GF2500201236UK4</t>
        </is>
      </c>
      <c r="H1050" s="1" t="n">
        <v>16</v>
      </c>
      <c r="I1050" s="1" t="inlineStr">
        <is>
          <t>มี</t>
        </is>
      </c>
      <c r="J1050" s="13" t="n">
        <v>125</v>
      </c>
      <c r="K1050" s="1" t="inlineStr"/>
      <c r="L1050" s="13" t="n">
        <v>125</v>
      </c>
      <c r="M1050" s="1">
        <f>IF(L1050="","ไม่พบใน SG",IF(ABS(J1050-L1050)&lt;0.005,"ตรงกัน","ไม่ตรง"))</f>
        <v/>
      </c>
      <c r="N1050" s="14">
        <f>IF(L1050="","",ROUND(L1050*'สรุป'!$C$6,-1))</f>
        <v/>
      </c>
      <c r="O1050" s="15" t="n"/>
      <c r="P1050" s="15" t="n"/>
      <c r="Q1050" s="10" t="n"/>
      <c r="R1050" s="10" t="n"/>
      <c r="S1050" s="16" t="inlineStr">
        <is>
          <t>https://mstgolf.co.th/products/gf2500201236</t>
        </is>
      </c>
      <c r="T1050" s="1">
        <f>IF(B1050="ไม้กอล์ฟ",J1050,"")</f>
        <v/>
      </c>
    </row>
    <row r="1051">
      <c r="A1051" s="1" t="n">
        <v>2</v>
      </c>
      <c r="B1051" s="1" t="inlineStr">
        <is>
          <t>รองเท้า</t>
        </is>
      </c>
      <c r="C1051" s="1" t="inlineStr">
        <is>
          <t>gf2500102599</t>
        </is>
      </c>
      <c r="D1051" s="1" t="inlineStr">
        <is>
          <t>PUMA IGNITE Articulate Lowlands Men's Spiked Shoes (White/Blue)</t>
        </is>
      </c>
      <c r="E1051" s="1" t="inlineStr">
        <is>
          <t>PUMA</t>
        </is>
      </c>
      <c r="F1051" s="1" t="inlineStr">
        <is>
          <t>SPIKE SHOES</t>
        </is>
      </c>
      <c r="G1051" s="1" t="inlineStr">
        <is>
          <t>GF2500102599UK7</t>
        </is>
      </c>
      <c r="H1051" s="1" t="n">
        <v>8</v>
      </c>
      <c r="I1051" s="1" t="inlineStr">
        <is>
          <t>มี</t>
        </is>
      </c>
      <c r="J1051" s="13" t="n">
        <v>125</v>
      </c>
      <c r="K1051" s="1" t="inlineStr"/>
      <c r="L1051" s="13" t="n">
        <v>125</v>
      </c>
      <c r="M1051" s="1">
        <f>IF(L1051="","ไม่พบใน SG",IF(ABS(J1051-L1051)&lt;0.005,"ตรงกัน","ไม่ตรง"))</f>
        <v/>
      </c>
      <c r="N1051" s="14">
        <f>IF(L1051="","",ROUND(L1051*'สรุป'!$C$6,-1))</f>
        <v/>
      </c>
      <c r="O1051" s="15" t="n"/>
      <c r="P1051" s="15" t="n"/>
      <c r="Q1051" s="10" t="n"/>
      <c r="R1051" s="10" t="n"/>
      <c r="S1051" s="16" t="inlineStr">
        <is>
          <t>https://mstgolf.co.th/products/gf2500102599</t>
        </is>
      </c>
      <c r="T1051" s="1">
        <f>IF(B1051="ไม้กอล์ฟ",J1051,"")</f>
        <v/>
      </c>
    </row>
    <row r="1052">
      <c r="A1052" s="1" t="n">
        <v>2</v>
      </c>
      <c r="B1052" s="1" t="inlineStr">
        <is>
          <t>รองเท้า</t>
        </is>
      </c>
      <c r="C1052" s="1" t="inlineStr">
        <is>
          <t>gf2500102616</t>
        </is>
      </c>
      <c r="D1052" s="1" t="inlineStr">
        <is>
          <t>ADIDAS ZG23 Men's Spiked Shoes (White/Blue/Silver)</t>
        </is>
      </c>
      <c r="E1052" s="1" t="inlineStr">
        <is>
          <t>ADIDAS</t>
        </is>
      </c>
      <c r="F1052" s="1" t="inlineStr">
        <is>
          <t>SPIKE SHOES</t>
        </is>
      </c>
      <c r="G1052" s="1" t="inlineStr">
        <is>
          <t>GF2500102616UK6.5</t>
        </is>
      </c>
      <c r="H1052" s="1" t="n">
        <v>12</v>
      </c>
      <c r="I1052" s="1" t="inlineStr">
        <is>
          <t>มี</t>
        </is>
      </c>
      <c r="J1052" s="13" t="n">
        <v>119</v>
      </c>
      <c r="K1052" s="1" t="inlineStr"/>
      <c r="L1052" s="13" t="n">
        <v>119</v>
      </c>
      <c r="M1052" s="1">
        <f>IF(L1052="","ไม่พบใน SG",IF(ABS(J1052-L1052)&lt;0.005,"ตรงกัน","ไม่ตรง"))</f>
        <v/>
      </c>
      <c r="N1052" s="14">
        <f>IF(L1052="","",ROUND(L1052*'สรุป'!$C$6,-1))</f>
        <v/>
      </c>
      <c r="O1052" s="15" t="n"/>
      <c r="P1052" s="15" t="n"/>
      <c r="Q1052" s="10" t="n"/>
      <c r="R1052" s="10" t="n"/>
      <c r="S1052" s="16" t="inlineStr">
        <is>
          <t>https://mstgolf.co.th/products/gf2500102616</t>
        </is>
      </c>
      <c r="T1052" s="1">
        <f>IF(B1052="ไม้กอล์ฟ",J1052,"")</f>
        <v/>
      </c>
    </row>
    <row r="1053">
      <c r="A1053" s="1" t="n">
        <v>2</v>
      </c>
      <c r="B1053" s="1" t="inlineStr">
        <is>
          <t>รองเท้า</t>
        </is>
      </c>
      <c r="C1053" s="1" t="inlineStr">
        <is>
          <t>gf2500200976</t>
        </is>
      </c>
      <c r="D1053" s="1" t="inlineStr">
        <is>
          <t>ASICS Asics GEL-Preshot Men's Spikeless Shoes (White/White)</t>
        </is>
      </c>
      <c r="E1053" s="1" t="inlineStr">
        <is>
          <t>ASICS</t>
        </is>
      </c>
      <c r="F1053" s="1" t="inlineStr">
        <is>
          <t>SPIKELESS SHOES</t>
        </is>
      </c>
      <c r="G1053" s="1" t="inlineStr">
        <is>
          <t>GF2500200976US6.5</t>
        </is>
      </c>
      <c r="H1053" s="1" t="n">
        <v>11</v>
      </c>
      <c r="I1053" s="1" t="inlineStr">
        <is>
          <t>มี</t>
        </is>
      </c>
      <c r="J1053" s="13" t="n">
        <v>119</v>
      </c>
      <c r="K1053" s="1" t="inlineStr"/>
      <c r="L1053" s="13" t="n">
        <v>119</v>
      </c>
      <c r="M1053" s="1">
        <f>IF(L1053="","ไม่พบใน SG",IF(ABS(J1053-L1053)&lt;0.005,"ตรงกัน","ไม่ตรง"))</f>
        <v/>
      </c>
      <c r="N1053" s="14">
        <f>IF(L1053="","",ROUND(L1053*'สรุป'!$C$6,-1))</f>
        <v/>
      </c>
      <c r="O1053" s="15" t="n"/>
      <c r="P1053" s="15" t="n"/>
      <c r="Q1053" s="10" t="n"/>
      <c r="R1053" s="10" t="n"/>
      <c r="S1053" s="16" t="inlineStr">
        <is>
          <t>https://mstgolf.co.th/products/gf2500200976</t>
        </is>
      </c>
      <c r="T1053" s="1">
        <f>IF(B1053="ไม้กอล์ฟ",J1053,"")</f>
        <v/>
      </c>
    </row>
    <row r="1054">
      <c r="A1054" s="1" t="n">
        <v>2</v>
      </c>
      <c r="B1054" s="1" t="inlineStr">
        <is>
          <t>รองเท้า</t>
        </is>
      </c>
      <c r="C1054" s="1" t="inlineStr">
        <is>
          <t>gf2500201249</t>
        </is>
      </c>
      <c r="D1054" s="1" t="inlineStr">
        <is>
          <t>ASICS Gel-Preshot Classic 4 Men's Spikeless Shoes (White/Blue)</t>
        </is>
      </c>
      <c r="E1054" s="1" t="inlineStr">
        <is>
          <t>ASICS</t>
        </is>
      </c>
      <c r="F1054" s="1" t="inlineStr">
        <is>
          <t>SPIKELESS SHOES</t>
        </is>
      </c>
      <c r="G1054" s="1" t="inlineStr">
        <is>
          <t>GF2500201249US5.5</t>
        </is>
      </c>
      <c r="H1054" s="1" t="n">
        <v>13</v>
      </c>
      <c r="I1054" s="1" t="inlineStr">
        <is>
          <t>มี</t>
        </is>
      </c>
      <c r="J1054" s="13" t="n">
        <v>119</v>
      </c>
      <c r="K1054" s="1" t="inlineStr"/>
      <c r="L1054" s="13" t="n">
        <v>119</v>
      </c>
      <c r="M1054" s="1">
        <f>IF(L1054="","ไม่พบใน SG",IF(ABS(J1054-L1054)&lt;0.005,"ตรงกัน","ไม่ตรง"))</f>
        <v/>
      </c>
      <c r="N1054" s="14">
        <f>IF(L1054="","",ROUND(L1054*'สรุป'!$C$6,-1))</f>
        <v/>
      </c>
      <c r="O1054" s="15" t="n"/>
      <c r="P1054" s="15" t="n"/>
      <c r="Q1054" s="10" t="n"/>
      <c r="R1054" s="10" t="n"/>
      <c r="S1054" s="16" t="inlineStr">
        <is>
          <t>https://mstgolf.co.th/products/gf2500201249</t>
        </is>
      </c>
      <c r="T1054" s="1">
        <f>IF(B1054="ไม้กอล์ฟ",J1054,"")</f>
        <v/>
      </c>
    </row>
    <row r="1055">
      <c r="A1055" s="1" t="n">
        <v>2</v>
      </c>
      <c r="B1055" s="1" t="inlineStr">
        <is>
          <t>รองเท้า</t>
        </is>
      </c>
      <c r="C1055" s="1" t="inlineStr">
        <is>
          <t>gf2500201203</t>
        </is>
      </c>
      <c r="D1055" s="1" t="inlineStr">
        <is>
          <t>ASICS Gel-Preshot Men's Spikeless Shoes (Grey)</t>
        </is>
      </c>
      <c r="E1055" s="1" t="inlineStr">
        <is>
          <t>ASICS</t>
        </is>
      </c>
      <c r="F1055" s="1" t="inlineStr">
        <is>
          <t>SPIKELESS SHOES</t>
        </is>
      </c>
      <c r="G1055" s="1" t="inlineStr">
        <is>
          <t>GF2500201203US7</t>
        </is>
      </c>
      <c r="H1055" s="1" t="n">
        <v>10</v>
      </c>
      <c r="I1055" s="1" t="inlineStr">
        <is>
          <t>มี</t>
        </is>
      </c>
      <c r="J1055" s="13" t="n">
        <v>119</v>
      </c>
      <c r="K1055" s="1" t="inlineStr"/>
      <c r="L1055" s="13" t="n">
        <v>119</v>
      </c>
      <c r="M1055" s="1">
        <f>IF(L1055="","ไม่พบใน SG",IF(ABS(J1055-L1055)&lt;0.005,"ตรงกัน","ไม่ตรง"))</f>
        <v/>
      </c>
      <c r="N1055" s="14">
        <f>IF(L1055="","",ROUND(L1055*'สรุป'!$C$6,-1))</f>
        <v/>
      </c>
      <c r="O1055" s="15" t="n"/>
      <c r="P1055" s="15" t="n"/>
      <c r="Q1055" s="10" t="n"/>
      <c r="R1055" s="10" t="n"/>
      <c r="S1055" s="16" t="inlineStr">
        <is>
          <t>https://mstgolf.co.th/products/gf2500201203</t>
        </is>
      </c>
      <c r="T1055" s="1">
        <f>IF(B1055="ไม้กอล์ฟ",J1055,"")</f>
        <v/>
      </c>
    </row>
    <row r="1056">
      <c r="A1056" s="1" t="n">
        <v>2</v>
      </c>
      <c r="B1056" s="1" t="inlineStr">
        <is>
          <t>รองเท้า</t>
        </is>
      </c>
      <c r="C1056" s="1" t="inlineStr">
        <is>
          <t>gf2500201202</t>
        </is>
      </c>
      <c r="D1056" s="1" t="inlineStr">
        <is>
          <t>ASICS Gel-Preshot Men's Spikeless Shoes (White)</t>
        </is>
      </c>
      <c r="E1056" s="1" t="inlineStr">
        <is>
          <t>ASICS</t>
        </is>
      </c>
      <c r="F1056" s="1" t="inlineStr">
        <is>
          <t>SPIKELESS SHOES</t>
        </is>
      </c>
      <c r="G1056" s="1" t="inlineStr">
        <is>
          <t>GF2500201202US6.5</t>
        </is>
      </c>
      <c r="H1056" s="1" t="n">
        <v>11</v>
      </c>
      <c r="I1056" s="1" t="inlineStr">
        <is>
          <t>มี</t>
        </is>
      </c>
      <c r="J1056" s="13" t="n">
        <v>119</v>
      </c>
      <c r="K1056" s="1" t="inlineStr"/>
      <c r="L1056" s="13" t="n">
        <v>119</v>
      </c>
      <c r="M1056" s="1">
        <f>IF(L1056="","ไม่พบใน SG",IF(ABS(J1056-L1056)&lt;0.005,"ตรงกัน","ไม่ตรง"))</f>
        <v/>
      </c>
      <c r="N1056" s="14">
        <f>IF(L1056="","",ROUND(L1056*'สรุป'!$C$6,-1))</f>
        <v/>
      </c>
      <c r="O1056" s="15" t="n"/>
      <c r="P1056" s="15" t="n"/>
      <c r="Q1056" s="10" t="n"/>
      <c r="R1056" s="10" t="n"/>
      <c r="S1056" s="16" t="inlineStr">
        <is>
          <t>https://mstgolf.co.th/products/gf2500201202</t>
        </is>
      </c>
      <c r="T1056" s="1">
        <f>IF(B1056="ไม้กอล์ฟ",J1056,"")</f>
        <v/>
      </c>
    </row>
    <row r="1057">
      <c r="A1057" s="1" t="n">
        <v>2</v>
      </c>
      <c r="B1057" s="1" t="inlineStr">
        <is>
          <t>รองเท้า</t>
        </is>
      </c>
      <c r="C1057" s="1" t="inlineStr">
        <is>
          <t>gf2500201012</t>
        </is>
      </c>
      <c r="D1057" s="1" t="inlineStr">
        <is>
          <t>FOOTJOY Fuel Sport BOA Men's Spikeless Shoes (White/Blue)</t>
        </is>
      </c>
      <c r="E1057" s="1" t="inlineStr">
        <is>
          <t>FOOTJOY</t>
        </is>
      </c>
      <c r="F1057" s="1" t="inlineStr">
        <is>
          <t>SPIKELESS SHOES</t>
        </is>
      </c>
      <c r="G1057" s="1" t="inlineStr">
        <is>
          <t>GF2500201012US6.5</t>
        </is>
      </c>
      <c r="H1057" s="1" t="n">
        <v>10</v>
      </c>
      <c r="I1057" s="1" t="inlineStr">
        <is>
          <t>มี</t>
        </is>
      </c>
      <c r="J1057" s="13" t="n">
        <v>119</v>
      </c>
      <c r="K1057" s="1" t="inlineStr"/>
      <c r="L1057" s="13" t="n">
        <v>119</v>
      </c>
      <c r="M1057" s="1">
        <f>IF(L1057="","ไม่พบใน SG",IF(ABS(J1057-L1057)&lt;0.005,"ตรงกัน","ไม่ตรง"))</f>
        <v/>
      </c>
      <c r="N1057" s="14">
        <f>IF(L1057="","",ROUND(L1057*'สรุป'!$C$6,-1))</f>
        <v/>
      </c>
      <c r="O1057" s="15" t="n"/>
      <c r="P1057" s="15" t="n"/>
      <c r="Q1057" s="10" t="n"/>
      <c r="R1057" s="10" t="n"/>
      <c r="S1057" s="16" t="inlineStr">
        <is>
          <t>https://mstgolf.co.th/products/gf2500201012</t>
        </is>
      </c>
      <c r="T1057" s="1">
        <f>IF(B1057="ไม้กอล์ฟ",J1057,"")</f>
        <v/>
      </c>
    </row>
    <row r="1058">
      <c r="A1058" s="1" t="n">
        <v>2</v>
      </c>
      <c r="B1058" s="1" t="inlineStr">
        <is>
          <t>รองเท้า</t>
        </is>
      </c>
      <c r="C1058" s="1" t="inlineStr">
        <is>
          <t>gf2500102663</t>
        </is>
      </c>
      <c r="D1058" s="1" t="inlineStr">
        <is>
          <t>FOOTJOY UltraFit BOA Men's Spiked Shoes (White/Navy/Red)</t>
        </is>
      </c>
      <c r="E1058" s="1" t="inlineStr">
        <is>
          <t>FOOTJOY</t>
        </is>
      </c>
      <c r="F1058" s="1" t="inlineStr">
        <is>
          <t>SPIKE SHOES</t>
        </is>
      </c>
      <c r="G1058" s="1" t="inlineStr">
        <is>
          <t>GF2500102663US6.5</t>
        </is>
      </c>
      <c r="H1058" s="1" t="n">
        <v>10</v>
      </c>
      <c r="I1058" s="1" t="inlineStr">
        <is>
          <t>มี</t>
        </is>
      </c>
      <c r="J1058" s="13" t="n">
        <v>119</v>
      </c>
      <c r="K1058" s="1" t="inlineStr"/>
      <c r="L1058" s="13" t="n">
        <v>119</v>
      </c>
      <c r="M1058" s="1">
        <f>IF(L1058="","ไม่พบใน SG",IF(ABS(J1058-L1058)&lt;0.005,"ตรงกัน","ไม่ตรง"))</f>
        <v/>
      </c>
      <c r="N1058" s="14">
        <f>IF(L1058="","",ROUND(L1058*'สรุป'!$C$6,-1))</f>
        <v/>
      </c>
      <c r="O1058" s="15" t="n"/>
      <c r="P1058" s="15" t="n"/>
      <c r="Q1058" s="10" t="n"/>
      <c r="R1058" s="10" t="n"/>
      <c r="S1058" s="16" t="inlineStr">
        <is>
          <t>https://mstgolf.co.th/products/gf2500102663</t>
        </is>
      </c>
      <c r="T1058" s="1">
        <f>IF(B1058="ไม้กอล์ฟ",J1058,"")</f>
        <v/>
      </c>
    </row>
    <row r="1059">
      <c r="A1059" s="1" t="n">
        <v>2</v>
      </c>
      <c r="B1059" s="1" t="inlineStr">
        <is>
          <t>ถุงกอล์ฟ</t>
        </is>
      </c>
      <c r="C1059" s="1" t="inlineStr">
        <is>
          <t>gf3010400705</t>
        </is>
      </c>
      <c r="D1059" s="1" t="inlineStr">
        <is>
          <t>MAJESTY T21 Pouch Bag (Black)</t>
        </is>
      </c>
      <c r="E1059" s="1" t="inlineStr">
        <is>
          <t>MAJESTY</t>
        </is>
      </c>
      <c r="F1059" s="1" t="inlineStr">
        <is>
          <t>SMALL BAG</t>
        </is>
      </c>
      <c r="G1059" s="1" t="inlineStr">
        <is>
          <t>GF3010400705</t>
        </is>
      </c>
      <c r="H1059" s="1" t="n">
        <v>1</v>
      </c>
      <c r="I1059" s="1" t="inlineStr">
        <is>
          <t>มี</t>
        </is>
      </c>
      <c r="J1059" s="13" t="n">
        <v>119</v>
      </c>
      <c r="K1059" s="1" t="inlineStr"/>
      <c r="L1059" s="13" t="n">
        <v>119</v>
      </c>
      <c r="M1059" s="1">
        <f>IF(L1059="","ไม่พบใน SG",IF(ABS(J1059-L1059)&lt;0.005,"ตรงกัน","ไม่ตรง"))</f>
        <v/>
      </c>
      <c r="N1059" s="14">
        <f>IF(L1059="","",ROUND(L1059*'สรุป'!$C$6,-1))</f>
        <v/>
      </c>
      <c r="O1059" s="15" t="n"/>
      <c r="P1059" s="15" t="n"/>
      <c r="Q1059" s="10" t="n"/>
      <c r="R1059" s="10" t="n"/>
      <c r="S1059" s="16" t="inlineStr">
        <is>
          <t>https://mstgolf.co.th/products/gf3010400705</t>
        </is>
      </c>
      <c r="T1059" s="1">
        <f>IF(B1059="ไม้กอล์ฟ",J1059,"")</f>
        <v/>
      </c>
    </row>
    <row r="1060">
      <c r="A1060" s="1" t="n">
        <v>2</v>
      </c>
      <c r="B1060" s="1" t="inlineStr">
        <is>
          <t>รองเท้า</t>
        </is>
      </c>
      <c r="C1060" s="1" t="inlineStr">
        <is>
          <t>gf2500200826</t>
        </is>
      </c>
      <c r="D1060" s="1" t="inlineStr">
        <is>
          <t>UNDER ARMOUR Charged Medal Men's Spikeless Shoes (White/Grey)</t>
        </is>
      </c>
      <c r="E1060" s="1" t="inlineStr">
        <is>
          <t>UNDER ARMOUR</t>
        </is>
      </c>
      <c r="F1060" s="1" t="inlineStr">
        <is>
          <t>SPIKELESS SHOES</t>
        </is>
      </c>
      <c r="G1060" s="1" t="inlineStr">
        <is>
          <t>GF2500200826US7</t>
        </is>
      </c>
      <c r="H1060" s="1" t="n">
        <v>11</v>
      </c>
      <c r="I1060" s="1" t="inlineStr">
        <is>
          <t>มี</t>
        </is>
      </c>
      <c r="J1060" s="13" t="n">
        <v>119</v>
      </c>
      <c r="K1060" s="1" t="inlineStr"/>
      <c r="L1060" s="13" t="n">
        <v>119</v>
      </c>
      <c r="M1060" s="1">
        <f>IF(L1060="","ไม่พบใน SG",IF(ABS(J1060-L1060)&lt;0.005,"ตรงกัน","ไม่ตรง"))</f>
        <v/>
      </c>
      <c r="N1060" s="14">
        <f>IF(L1060="","",ROUND(L1060*'สรุป'!$C$6,-1))</f>
        <v/>
      </c>
      <c r="O1060" s="15" t="n"/>
      <c r="P1060" s="15" t="n"/>
      <c r="Q1060" s="10" t="n"/>
      <c r="R1060" s="10" t="n"/>
      <c r="S1060" s="16" t="inlineStr">
        <is>
          <t>https://mstgolf.co.th/products/gf2500200826</t>
        </is>
      </c>
      <c r="T1060" s="1">
        <f>IF(B1060="ไม้กอล์ฟ",J1060,"")</f>
        <v/>
      </c>
    </row>
    <row r="1061">
      <c r="A1061" s="1" t="n">
        <v>2</v>
      </c>
      <c r="B1061" s="1" t="inlineStr">
        <is>
          <t>รองเท้า</t>
        </is>
      </c>
      <c r="C1061" s="1" t="inlineStr">
        <is>
          <t>gf2500102686</t>
        </is>
      </c>
      <c r="D1061" s="1" t="inlineStr">
        <is>
          <t>FOOTJOY Traditions Junior Spiked Shoes (White)</t>
        </is>
      </c>
      <c r="E1061" s="1" t="inlineStr">
        <is>
          <t>FOOTJOY</t>
        </is>
      </c>
      <c r="F1061" s="1" t="inlineStr">
        <is>
          <t>SPIKE SHOES</t>
        </is>
      </c>
      <c r="G1061" s="1" t="inlineStr">
        <is>
          <t>GF2500102686US1</t>
        </is>
      </c>
      <c r="H1061" s="1" t="n">
        <v>6</v>
      </c>
      <c r="I1061" s="1" t="inlineStr">
        <is>
          <t>มี</t>
        </is>
      </c>
      <c r="J1061" s="13" t="n">
        <v>118</v>
      </c>
      <c r="K1061" s="1" t="inlineStr"/>
      <c r="L1061" s="13" t="n">
        <v>118</v>
      </c>
      <c r="M1061" s="1">
        <f>IF(L1061="","ไม่พบใน SG",IF(ABS(J1061-L1061)&lt;0.005,"ตรงกัน","ไม่ตรง"))</f>
        <v/>
      </c>
      <c r="N1061" s="14">
        <f>IF(L1061="","",ROUND(L1061*'สรุป'!$C$6,-1))</f>
        <v/>
      </c>
      <c r="O1061" s="15" t="n"/>
      <c r="P1061" s="15" t="n"/>
      <c r="Q1061" s="10" t="n"/>
      <c r="R1061" s="10" t="n"/>
      <c r="S1061" s="16" t="inlineStr">
        <is>
          <t>https://mstgolf.co.th/products/gf2500102686</t>
        </is>
      </c>
      <c r="T1061" s="1">
        <f>IF(B1061="ไม้กอล์ฟ",J1061,"")</f>
        <v/>
      </c>
    </row>
    <row r="1062">
      <c r="A1062" s="1" t="n">
        <v>2</v>
      </c>
      <c r="B1062" s="1" t="inlineStr">
        <is>
          <t>รองเท้า</t>
        </is>
      </c>
      <c r="C1062" s="1" t="inlineStr">
        <is>
          <t>gf2500201010</t>
        </is>
      </c>
      <c r="D1062" s="1" t="inlineStr">
        <is>
          <t>ADIDAS Adi Goretex Lace Men's Spikeless Shoes (Black/Black/Lemon)</t>
        </is>
      </c>
      <c r="E1062" s="1" t="inlineStr">
        <is>
          <t>ADIDAS</t>
        </is>
      </c>
      <c r="F1062" s="1" t="inlineStr">
        <is>
          <t>SPIKELESS SHOES</t>
        </is>
      </c>
      <c r="G1062" s="1" t="inlineStr">
        <is>
          <t>GF2500201010UK5.5</t>
        </is>
      </c>
      <c r="H1062" s="1" t="n">
        <v>12</v>
      </c>
      <c r="I1062" s="1" t="inlineStr">
        <is>
          <t>มี</t>
        </is>
      </c>
      <c r="J1062" s="13" t="n">
        <v>115</v>
      </c>
      <c r="K1062" s="1" t="inlineStr"/>
      <c r="L1062" s="13" t="n">
        <v>115</v>
      </c>
      <c r="M1062" s="1">
        <f>IF(L1062="","ไม่พบใน SG",IF(ABS(J1062-L1062)&lt;0.005,"ตรงกัน","ไม่ตรง"))</f>
        <v/>
      </c>
      <c r="N1062" s="14">
        <f>IF(L1062="","",ROUND(L1062*'สรุป'!$C$6,-1))</f>
        <v/>
      </c>
      <c r="O1062" s="15" t="n"/>
      <c r="P1062" s="15" t="n"/>
      <c r="Q1062" s="10" t="n"/>
      <c r="R1062" s="10" t="n"/>
      <c r="S1062" s="16" t="inlineStr">
        <is>
          <t>https://mstgolf.co.th/products/gf2500201010</t>
        </is>
      </c>
      <c r="T1062" s="1">
        <f>IF(B1062="ไม้กอล์ฟ",J1062,"")</f>
        <v/>
      </c>
    </row>
    <row r="1063">
      <c r="A1063" s="1" t="n">
        <v>2</v>
      </c>
      <c r="B1063" s="1" t="inlineStr">
        <is>
          <t>รองเท้า</t>
        </is>
      </c>
      <c r="C1063" s="1" t="inlineStr">
        <is>
          <t>gf2500201223</t>
        </is>
      </c>
      <c r="D1063" s="1" t="inlineStr">
        <is>
          <t>ADIDAS CodeChaos BOA Men's Spikeless Shoes (White/White/Grey)</t>
        </is>
      </c>
      <c r="E1063" s="1" t="inlineStr">
        <is>
          <t>ADIDAS</t>
        </is>
      </c>
      <c r="F1063" s="1" t="inlineStr">
        <is>
          <t>SPIKELESS SHOES</t>
        </is>
      </c>
      <c r="G1063" s="1" t="inlineStr">
        <is>
          <t>GF2500201223UK6.5</t>
        </is>
      </c>
      <c r="H1063" s="1" t="n">
        <v>12</v>
      </c>
      <c r="I1063" s="1" t="inlineStr">
        <is>
          <t>มี</t>
        </is>
      </c>
      <c r="J1063" s="13" t="n">
        <v>115</v>
      </c>
      <c r="K1063" s="1" t="inlineStr"/>
      <c r="L1063" s="13" t="n">
        <v>115</v>
      </c>
      <c r="M1063" s="1">
        <f>IF(L1063="","ไม่พบใน SG",IF(ABS(J1063-L1063)&lt;0.005,"ตรงกัน","ไม่ตรง"))</f>
        <v/>
      </c>
      <c r="N1063" s="14">
        <f>IF(L1063="","",ROUND(L1063*'สรุป'!$C$6,-1))</f>
        <v/>
      </c>
      <c r="O1063" s="15" t="n"/>
      <c r="P1063" s="15" t="n"/>
      <c r="Q1063" s="10" t="n"/>
      <c r="R1063" s="10" t="n"/>
      <c r="S1063" s="16" t="inlineStr">
        <is>
          <t>https://mstgolf.co.th/products/gf2500201223</t>
        </is>
      </c>
      <c r="T1063" s="1">
        <f>IF(B1063="ไม้กอล์ฟ",J1063,"")</f>
        <v/>
      </c>
    </row>
    <row r="1064">
      <c r="A1064" s="1" t="n">
        <v>2</v>
      </c>
      <c r="B1064" s="1" t="inlineStr">
        <is>
          <t>รองเท้า</t>
        </is>
      </c>
      <c r="C1064" s="1" t="inlineStr">
        <is>
          <t>gf2500201239</t>
        </is>
      </c>
      <c r="D1064" s="1" t="inlineStr">
        <is>
          <t>ADIDAS CodeChaos BOA Women's Spikeless Shoes (Pink/White/Black)</t>
        </is>
      </c>
      <c r="E1064" s="1" t="inlineStr">
        <is>
          <t>ADIDAS</t>
        </is>
      </c>
      <c r="F1064" s="1" t="inlineStr">
        <is>
          <t>SPIKELESS SHOES</t>
        </is>
      </c>
      <c r="G1064" s="1" t="inlineStr">
        <is>
          <t>GF2500201239UK5</t>
        </is>
      </c>
      <c r="H1064" s="1" t="n">
        <v>7</v>
      </c>
      <c r="I1064" s="1" t="inlineStr">
        <is>
          <t>มี</t>
        </is>
      </c>
      <c r="J1064" s="13" t="n">
        <v>115</v>
      </c>
      <c r="K1064" s="1" t="inlineStr"/>
      <c r="L1064" s="13" t="n">
        <v>115</v>
      </c>
      <c r="M1064" s="1">
        <f>IF(L1064="","ไม่พบใน SG",IF(ABS(J1064-L1064)&lt;0.005,"ตรงกัน","ไม่ตรง"))</f>
        <v/>
      </c>
      <c r="N1064" s="14">
        <f>IF(L1064="","",ROUND(L1064*'สรุป'!$C$6,-1))</f>
        <v/>
      </c>
      <c r="O1064" s="15" t="n"/>
      <c r="P1064" s="15" t="n"/>
      <c r="Q1064" s="10" t="n"/>
      <c r="R1064" s="10" t="n"/>
      <c r="S1064" s="16" t="inlineStr">
        <is>
          <t>https://mstgolf.co.th/products/gf2500201239</t>
        </is>
      </c>
      <c r="T1064" s="1">
        <f>IF(B1064="ไม้กอล์ฟ",J1064,"")</f>
        <v/>
      </c>
    </row>
    <row r="1065">
      <c r="A1065" s="1" t="n">
        <v>2</v>
      </c>
      <c r="B1065" s="1" t="inlineStr">
        <is>
          <t>รองเท้า</t>
        </is>
      </c>
      <c r="C1065" s="1" t="inlineStr">
        <is>
          <t>gf2500201240</t>
        </is>
      </c>
      <c r="D1065" s="1" t="inlineStr">
        <is>
          <t>ADIDAS CodeChaos BOA Women's Spikeless Shoes (White/Green/Pink)</t>
        </is>
      </c>
      <c r="E1065" s="1" t="inlineStr">
        <is>
          <t>ADIDAS</t>
        </is>
      </c>
      <c r="F1065" s="1" t="inlineStr">
        <is>
          <t>SPIKELESS SHOES</t>
        </is>
      </c>
      <c r="G1065" s="1" t="inlineStr">
        <is>
          <t>GF2500201240UK4</t>
        </is>
      </c>
      <c r="H1065" s="1" t="n">
        <v>9</v>
      </c>
      <c r="I1065" s="1" t="inlineStr">
        <is>
          <t>มี</t>
        </is>
      </c>
      <c r="J1065" s="13" t="n">
        <v>115</v>
      </c>
      <c r="K1065" s="1" t="inlineStr"/>
      <c r="L1065" s="13" t="n">
        <v>115</v>
      </c>
      <c r="M1065" s="1">
        <f>IF(L1065="","ไม่พบใน SG",IF(ABS(J1065-L1065)&lt;0.005,"ตรงกัน","ไม่ตรง"))</f>
        <v/>
      </c>
      <c r="N1065" s="14">
        <f>IF(L1065="","",ROUND(L1065*'สรุป'!$C$6,-1))</f>
        <v/>
      </c>
      <c r="O1065" s="15" t="n"/>
      <c r="P1065" s="15" t="n"/>
      <c r="Q1065" s="10" t="n"/>
      <c r="R1065" s="10" t="n"/>
      <c r="S1065" s="16" t="inlineStr">
        <is>
          <t>https://mstgolf.co.th/products/gf2500201240</t>
        </is>
      </c>
      <c r="T1065" s="1">
        <f>IF(B1065="ไม้กอล์ฟ",J1065,"")</f>
        <v/>
      </c>
    </row>
    <row r="1066">
      <c r="A1066" s="1" t="n">
        <v>2</v>
      </c>
      <c r="B1066" s="1" t="inlineStr">
        <is>
          <t>รองเท้า</t>
        </is>
      </c>
      <c r="C1066" s="1" t="inlineStr">
        <is>
          <t>gf2500201241</t>
        </is>
      </c>
      <c r="D1066" s="1" t="inlineStr">
        <is>
          <t>ADIDAS CodeChaos BOA Women's Spikeless Shoes (White/Silver)</t>
        </is>
      </c>
      <c r="E1066" s="1" t="inlineStr">
        <is>
          <t>ADIDAS</t>
        </is>
      </c>
      <c r="F1066" s="1" t="inlineStr">
        <is>
          <t>SPIKELESS SHOES</t>
        </is>
      </c>
      <c r="G1066" s="1" t="inlineStr">
        <is>
          <t>GF2500201241UK4</t>
        </is>
      </c>
      <c r="H1066" s="1" t="n">
        <v>10</v>
      </c>
      <c r="I1066" s="1" t="inlineStr">
        <is>
          <t>มี</t>
        </is>
      </c>
      <c r="J1066" s="13" t="n">
        <v>115</v>
      </c>
      <c r="K1066" s="1" t="inlineStr"/>
      <c r="L1066" s="13" t="n"/>
      <c r="M1066" s="1">
        <f>IF(L1066="","ไม่พบใน SG",IF(ABS(J1066-L1066)&lt;0.005,"ตรงกัน","ไม่ตรง"))</f>
        <v/>
      </c>
      <c r="N1066" s="14">
        <f>IF(L1066="","",ROUND(L1066*'สรุป'!$C$6,-1))</f>
        <v/>
      </c>
      <c r="O1066" s="15" t="n"/>
      <c r="P1066" s="15" t="n"/>
      <c r="Q1066" s="10" t="n"/>
      <c r="R1066" s="10" t="n"/>
      <c r="S1066" s="16" t="inlineStr">
        <is>
          <t>https://mstgolf.co.th/products/gf2500201241</t>
        </is>
      </c>
      <c r="T1066" s="1">
        <f>IF(B1066="ไม้กอล์ฟ",J1066,"")</f>
        <v/>
      </c>
    </row>
    <row r="1067">
      <c r="A1067" s="1" t="n">
        <v>2</v>
      </c>
      <c r="B1067" s="1" t="inlineStr">
        <is>
          <t>รองเท้า</t>
        </is>
      </c>
      <c r="C1067" s="1" t="inlineStr">
        <is>
          <t>gf2500201140</t>
        </is>
      </c>
      <c r="D1067" s="1" t="inlineStr">
        <is>
          <t>ADIDAS MC Z-Traxion Men’s Spikeless Shoes (White/Black)</t>
        </is>
      </c>
      <c r="E1067" s="1" t="inlineStr">
        <is>
          <t>ADIDAS</t>
        </is>
      </c>
      <c r="F1067" s="1" t="inlineStr">
        <is>
          <t>SPIKELESS SHOES</t>
        </is>
      </c>
      <c r="G1067" s="1" t="inlineStr">
        <is>
          <t>GF2500201140UK6.5</t>
        </is>
      </c>
      <c r="H1067" s="1" t="n">
        <v>12</v>
      </c>
      <c r="I1067" s="1" t="inlineStr">
        <is>
          <t>มี</t>
        </is>
      </c>
      <c r="J1067" s="13" t="n">
        <v>115</v>
      </c>
      <c r="K1067" s="1" t="inlineStr"/>
      <c r="L1067" s="13" t="n">
        <v>115</v>
      </c>
      <c r="M1067" s="1">
        <f>IF(L1067="","ไม่พบใน SG",IF(ABS(J1067-L1067)&lt;0.005,"ตรงกัน","ไม่ตรง"))</f>
        <v/>
      </c>
      <c r="N1067" s="14">
        <f>IF(L1067="","",ROUND(L1067*'สรุป'!$C$6,-1))</f>
        <v/>
      </c>
      <c r="O1067" s="15" t="n"/>
      <c r="P1067" s="15" t="n"/>
      <c r="Q1067" s="10" t="n"/>
      <c r="R1067" s="10" t="n"/>
      <c r="S1067" s="16" t="inlineStr">
        <is>
          <t>https://mstgolf.co.th/products/gf2500201140</t>
        </is>
      </c>
      <c r="T1067" s="1">
        <f>IF(B1067="ไม้กอล์ฟ",J1067,"")</f>
        <v/>
      </c>
    </row>
    <row r="1068">
      <c r="A1068" s="1" t="n">
        <v>2</v>
      </c>
      <c r="B1068" s="1" t="inlineStr">
        <is>
          <t>รองเท้า</t>
        </is>
      </c>
      <c r="C1068" s="1" t="inlineStr">
        <is>
          <t>gf2500102652</t>
        </is>
      </c>
      <c r="D1068" s="1" t="inlineStr">
        <is>
          <t>ADIDAS ZG23 Vent Men's Spiked Shoes (Grey/White/Silver)</t>
        </is>
      </c>
      <c r="E1068" s="1" t="inlineStr">
        <is>
          <t>ADIDAS</t>
        </is>
      </c>
      <c r="F1068" s="1" t="inlineStr">
        <is>
          <t>SPIKE SHOES</t>
        </is>
      </c>
      <c r="G1068" s="1" t="inlineStr">
        <is>
          <t>GF2500102652UK6.5</t>
        </is>
      </c>
      <c r="H1068" s="1" t="n">
        <v>12</v>
      </c>
      <c r="I1068" s="1" t="inlineStr">
        <is>
          <t>มี</t>
        </is>
      </c>
      <c r="J1068" s="13" t="n">
        <v>115</v>
      </c>
      <c r="K1068" s="1" t="inlineStr"/>
      <c r="L1068" s="13" t="n">
        <v>115</v>
      </c>
      <c r="M1068" s="1">
        <f>IF(L1068="","ไม่พบใน SG",IF(ABS(J1068-L1068)&lt;0.005,"ตรงกัน","ไม่ตรง"))</f>
        <v/>
      </c>
      <c r="N1068" s="14">
        <f>IF(L1068="","",ROUND(L1068*'สรุป'!$C$6,-1))</f>
        <v/>
      </c>
      <c r="O1068" s="15" t="n"/>
      <c r="P1068" s="15" t="n"/>
      <c r="Q1068" s="10" t="n"/>
      <c r="R1068" s="10" t="n"/>
      <c r="S1068" s="16" t="inlineStr">
        <is>
          <t>https://mstgolf.co.th/products/gf2500102652</t>
        </is>
      </c>
      <c r="T1068" s="1">
        <f>IF(B1068="ไม้กอล์ฟ",J1068,"")</f>
        <v/>
      </c>
    </row>
    <row r="1069">
      <c r="A1069" s="1" t="n">
        <v>2</v>
      </c>
      <c r="B1069" s="1" t="inlineStr">
        <is>
          <t>รองเท้า</t>
        </is>
      </c>
      <c r="C1069" s="1" t="inlineStr">
        <is>
          <t>gf2500200988</t>
        </is>
      </c>
      <c r="D1069" s="1" t="inlineStr">
        <is>
          <t>ADIDAS ZG23 Vent Men's Spiked Shoes (Lemon)</t>
        </is>
      </c>
      <c r="E1069" s="1" t="inlineStr">
        <is>
          <t>ADIDAS</t>
        </is>
      </c>
      <c r="F1069" s="1" t="inlineStr">
        <is>
          <t>SPIKE SHOES</t>
        </is>
      </c>
      <c r="G1069" s="1" t="inlineStr">
        <is>
          <t>GF2500200988UK6.5</t>
        </is>
      </c>
      <c r="H1069" s="1" t="n">
        <v>12</v>
      </c>
      <c r="I1069" s="1" t="inlineStr">
        <is>
          <t>มี</t>
        </is>
      </c>
      <c r="J1069" s="13" t="n">
        <v>115</v>
      </c>
      <c r="K1069" s="1" t="inlineStr"/>
      <c r="L1069" s="13" t="n">
        <v>115</v>
      </c>
      <c r="M1069" s="1">
        <f>IF(L1069="","ไม่พบใน SG",IF(ABS(J1069-L1069)&lt;0.005,"ตรงกัน","ไม่ตรง"))</f>
        <v/>
      </c>
      <c r="N1069" s="14">
        <f>IF(L1069="","",ROUND(L1069*'สรุป'!$C$6,-1))</f>
        <v/>
      </c>
      <c r="O1069" s="15" t="n"/>
      <c r="P1069" s="15" t="n"/>
      <c r="Q1069" s="10" t="n"/>
      <c r="R1069" s="10" t="n"/>
      <c r="S1069" s="16" t="inlineStr">
        <is>
          <t>https://mstgolf.co.th/products/gf2500200988</t>
        </is>
      </c>
      <c r="T1069" s="1">
        <f>IF(B1069="ไม้กอล์ฟ",J1069,"")</f>
        <v/>
      </c>
    </row>
    <row r="1070">
      <c r="A1070" s="1" t="n">
        <v>2</v>
      </c>
      <c r="B1070" s="1" t="inlineStr">
        <is>
          <t>รองเท้า</t>
        </is>
      </c>
      <c r="C1070" s="1" t="inlineStr">
        <is>
          <t>gf2500201352</t>
        </is>
      </c>
      <c r="D1070" s="1" t="inlineStr">
        <is>
          <t>FOOTJOY Fuel Junior Spikeless Shoes (White/Black/Blue)</t>
        </is>
      </c>
      <c r="E1070" s="1" t="inlineStr">
        <is>
          <t>FOOTJOY</t>
        </is>
      </c>
      <c r="F1070" s="1" t="inlineStr">
        <is>
          <t>SPIKELESS SHOES</t>
        </is>
      </c>
      <c r="G1070" s="1" t="inlineStr">
        <is>
          <t>GF2500201352US1</t>
        </is>
      </c>
      <c r="H1070" s="1" t="n">
        <v>6</v>
      </c>
      <c r="I1070" s="1" t="inlineStr">
        <is>
          <t>มี</t>
        </is>
      </c>
      <c r="J1070" s="13" t="n">
        <v>115</v>
      </c>
      <c r="K1070" s="1" t="inlineStr"/>
      <c r="L1070" s="13" t="n">
        <v>89</v>
      </c>
      <c r="M1070" s="1">
        <f>IF(L1070="","ไม่พบใน SG",IF(ABS(J1070-L1070)&lt;0.005,"ตรงกัน","ไม่ตรง"))</f>
        <v/>
      </c>
      <c r="N1070" s="14">
        <f>IF(L1070="","",ROUND(L1070*'สรุป'!$C$6,-1))</f>
        <v/>
      </c>
      <c r="O1070" s="15" t="n"/>
      <c r="P1070" s="15" t="n"/>
      <c r="Q1070" s="10" t="n"/>
      <c r="R1070" s="10" t="n"/>
      <c r="S1070" s="16" t="inlineStr">
        <is>
          <t>https://mstgolf.co.th/products/gf2500201352</t>
        </is>
      </c>
      <c r="T1070" s="1">
        <f>IF(B1070="ไม้กอล์ฟ",J1070,"")</f>
        <v/>
      </c>
    </row>
    <row r="1071">
      <c r="A1071" s="1" t="n">
        <v>2</v>
      </c>
      <c r="B1071" s="1" t="inlineStr">
        <is>
          <t>รองเท้า</t>
        </is>
      </c>
      <c r="C1071" s="1" t="inlineStr">
        <is>
          <t>gf2500200936</t>
        </is>
      </c>
      <c r="D1071" s="1" t="inlineStr">
        <is>
          <t>PUMA Alphacat Nitro Men's Spikeless Shoes (Black/Silver/Red)</t>
        </is>
      </c>
      <c r="E1071" s="1" t="inlineStr">
        <is>
          <t>PUMA</t>
        </is>
      </c>
      <c r="F1071" s="1" t="inlineStr">
        <is>
          <t>SPIKELESS SHOES</t>
        </is>
      </c>
      <c r="G1071" s="1" t="inlineStr">
        <is>
          <t>GF2500200936UK6</t>
        </is>
      </c>
      <c r="H1071" s="1" t="n">
        <v>12</v>
      </c>
      <c r="I1071" s="1" t="inlineStr">
        <is>
          <t>มี</t>
        </is>
      </c>
      <c r="J1071" s="13" t="n">
        <v>115</v>
      </c>
      <c r="K1071" s="1" t="inlineStr"/>
      <c r="L1071" s="13" t="n">
        <v>115</v>
      </c>
      <c r="M1071" s="1">
        <f>IF(L1071="","ไม่พบใน SG",IF(ABS(J1071-L1071)&lt;0.005,"ตรงกัน","ไม่ตรง"))</f>
        <v/>
      </c>
      <c r="N1071" s="14">
        <f>IF(L1071="","",ROUND(L1071*'สรุป'!$C$6,-1))</f>
        <v/>
      </c>
      <c r="O1071" s="15" t="n"/>
      <c r="P1071" s="15" t="n"/>
      <c r="Q1071" s="10" t="n"/>
      <c r="R1071" s="10" t="n"/>
      <c r="S1071" s="16" t="inlineStr">
        <is>
          <t>https://mstgolf.co.th/products/gf2500200936</t>
        </is>
      </c>
      <c r="T1071" s="1">
        <f>IF(B1071="ไม้กอล์ฟ",J1071,"")</f>
        <v/>
      </c>
    </row>
    <row r="1072">
      <c r="A1072" s="1" t="n">
        <v>2</v>
      </c>
      <c r="B1072" s="1" t="inlineStr">
        <is>
          <t>รองเท้า</t>
        </is>
      </c>
      <c r="C1072" s="1" t="inlineStr">
        <is>
          <t>gf2500200935</t>
        </is>
      </c>
      <c r="D1072" s="1" t="inlineStr">
        <is>
          <t>PUMA Alphacat Nitro Men's Spikeless Shoes (White/Green/Yellow)</t>
        </is>
      </c>
      <c r="E1072" s="1" t="inlineStr">
        <is>
          <t>PUMA</t>
        </is>
      </c>
      <c r="F1072" s="1" t="inlineStr">
        <is>
          <t>SPIKELESS SHOES</t>
        </is>
      </c>
      <c r="G1072" s="1" t="inlineStr">
        <is>
          <t>GF2500200935UK6</t>
        </is>
      </c>
      <c r="H1072" s="1" t="n">
        <v>12</v>
      </c>
      <c r="I1072" s="1" t="inlineStr">
        <is>
          <t>มี</t>
        </is>
      </c>
      <c r="J1072" s="13" t="n">
        <v>115</v>
      </c>
      <c r="K1072" s="1" t="inlineStr"/>
      <c r="L1072" s="13" t="n">
        <v>115</v>
      </c>
      <c r="M1072" s="1">
        <f>IF(L1072="","ไม่พบใน SG",IF(ABS(J1072-L1072)&lt;0.005,"ตรงกัน","ไม่ตรง"))</f>
        <v/>
      </c>
      <c r="N1072" s="14">
        <f>IF(L1072="","",ROUND(L1072*'สรุป'!$C$6,-1))</f>
        <v/>
      </c>
      <c r="O1072" s="15" t="n"/>
      <c r="P1072" s="15" t="n"/>
      <c r="Q1072" s="10" t="n"/>
      <c r="R1072" s="10" t="n"/>
      <c r="S1072" s="16" t="inlineStr">
        <is>
          <t>https://mstgolf.co.th/products/gf2500200935</t>
        </is>
      </c>
      <c r="T1072" s="1">
        <f>IF(B1072="ไม้กอล์ฟ",J1072,"")</f>
        <v/>
      </c>
    </row>
    <row r="1073">
      <c r="A1073" s="1" t="n">
        <v>2</v>
      </c>
      <c r="B1073" s="1" t="inlineStr">
        <is>
          <t>ถุงกอล์ฟ</t>
        </is>
      </c>
      <c r="C1073" s="1" t="inlineStr">
        <is>
          <t>gf3010400842</t>
        </is>
      </c>
      <c r="D1073" s="1" t="inlineStr">
        <is>
          <t>TITLEIST Professional Small Dopp Kit (Black)</t>
        </is>
      </c>
      <c r="E1073" s="1" t="inlineStr">
        <is>
          <t>TITLEIST</t>
        </is>
      </c>
      <c r="F1073" s="1" t="inlineStr">
        <is>
          <t>SMALL BAG</t>
        </is>
      </c>
      <c r="G1073" s="1" t="inlineStr">
        <is>
          <t>GF3010400842</t>
        </is>
      </c>
      <c r="H1073" s="1" t="n">
        <v>1</v>
      </c>
      <c r="I1073" s="1" t="inlineStr">
        <is>
          <t>มี</t>
        </is>
      </c>
      <c r="J1073" s="13" t="n">
        <v>114</v>
      </c>
      <c r="K1073" s="1" t="inlineStr"/>
      <c r="L1073" s="13" t="n">
        <v>114</v>
      </c>
      <c r="M1073" s="1">
        <f>IF(L1073="","ไม่พบใน SG",IF(ABS(J1073-L1073)&lt;0.005,"ตรงกัน","ไม่ตรง"))</f>
        <v/>
      </c>
      <c r="N1073" s="14">
        <f>IF(L1073="","",ROUND(L1073*'สรุป'!$C$6,-1))</f>
        <v/>
      </c>
      <c r="O1073" s="15" t="n"/>
      <c r="P1073" s="15" t="n"/>
      <c r="Q1073" s="10" t="n"/>
      <c r="R1073" s="10" t="n"/>
      <c r="S1073" s="16" t="inlineStr">
        <is>
          <t>https://mstgolf.co.th/products/gf3010400842</t>
        </is>
      </c>
      <c r="T1073" s="1">
        <f>IF(B1073="ไม้กอล์ฟ",J1073,"")</f>
        <v/>
      </c>
    </row>
    <row r="1074">
      <c r="A1074" s="1" t="n">
        <v>2</v>
      </c>
      <c r="B1074" s="1" t="inlineStr">
        <is>
          <t>รองเท้า</t>
        </is>
      </c>
      <c r="C1074" s="1" t="inlineStr">
        <is>
          <t>gf2500201147</t>
        </is>
      </c>
      <c r="D1074" s="1" t="inlineStr">
        <is>
          <t>ADIDAS CodeChaos BOA Men's Spikeless Shoes (White/Yellow)</t>
        </is>
      </c>
      <c r="E1074" s="1" t="inlineStr">
        <is>
          <t>ADIDAS</t>
        </is>
      </c>
      <c r="F1074" s="1" t="inlineStr">
        <is>
          <t>SPIKELESS SHOES</t>
        </is>
      </c>
      <c r="G1074" s="1" t="inlineStr">
        <is>
          <t>GF2500201147UK6.5</t>
        </is>
      </c>
      <c r="H1074" s="1" t="n">
        <v>12</v>
      </c>
      <c r="I1074" s="1" t="inlineStr">
        <is>
          <t>มี</t>
        </is>
      </c>
      <c r="J1074" s="13" t="n">
        <v>109</v>
      </c>
      <c r="K1074" s="1" t="inlineStr"/>
      <c r="L1074" s="13" t="n">
        <v>109</v>
      </c>
      <c r="M1074" s="1">
        <f>IF(L1074="","ไม่พบใน SG",IF(ABS(J1074-L1074)&lt;0.005,"ตรงกัน","ไม่ตรง"))</f>
        <v/>
      </c>
      <c r="N1074" s="14">
        <f>IF(L1074="","",ROUND(L1074*'สรุป'!$C$6,-1))</f>
        <v/>
      </c>
      <c r="O1074" s="15" t="n"/>
      <c r="P1074" s="15" t="n"/>
      <c r="Q1074" s="10" t="n"/>
      <c r="R1074" s="10" t="n"/>
      <c r="S1074" s="16" t="inlineStr">
        <is>
          <t>https://mstgolf.co.th/products/gf2500201147</t>
        </is>
      </c>
      <c r="T1074" s="1">
        <f>IF(B1074="ไม้กอล์ฟ",J1074,"")</f>
        <v/>
      </c>
    </row>
    <row r="1075">
      <c r="A1075" s="1" t="n">
        <v>2</v>
      </c>
      <c r="B1075" s="1" t="inlineStr">
        <is>
          <t>รองเท้า</t>
        </is>
      </c>
      <c r="C1075" s="1" t="inlineStr">
        <is>
          <t>gf2500201295</t>
        </is>
      </c>
      <c r="D1075" s="1" t="inlineStr">
        <is>
          <t>ADIDAS Retrocross 25 Men's Spikeless Shoes (Green/White)</t>
        </is>
      </c>
      <c r="E1075" s="1" t="inlineStr">
        <is>
          <t>ADIDAS</t>
        </is>
      </c>
      <c r="F1075" s="1" t="inlineStr">
        <is>
          <t>SPIKELESS SHOES</t>
        </is>
      </c>
      <c r="G1075" s="1" t="inlineStr">
        <is>
          <t>GF2500201295UK6.5</t>
        </is>
      </c>
      <c r="H1075" s="1" t="n">
        <v>11</v>
      </c>
      <c r="I1075" s="1" t="inlineStr">
        <is>
          <t>มี</t>
        </is>
      </c>
      <c r="J1075" s="13" t="n">
        <v>109</v>
      </c>
      <c r="K1075" s="1" t="inlineStr"/>
      <c r="L1075" s="13" t="n">
        <v>79</v>
      </c>
      <c r="M1075" s="1">
        <f>IF(L1075="","ไม่พบใน SG",IF(ABS(J1075-L1075)&lt;0.005,"ตรงกัน","ไม่ตรง"))</f>
        <v/>
      </c>
      <c r="N1075" s="14">
        <f>IF(L1075="","",ROUND(L1075*'สรุป'!$C$6,-1))</f>
        <v/>
      </c>
      <c r="O1075" s="15" t="n"/>
      <c r="P1075" s="15" t="n"/>
      <c r="Q1075" s="10" t="n"/>
      <c r="R1075" s="10" t="n"/>
      <c r="S1075" s="16" t="inlineStr">
        <is>
          <t>https://mstgolf.co.th/products/gf2500201295</t>
        </is>
      </c>
      <c r="T1075" s="1">
        <f>IF(B1075="ไม้กอล์ฟ",J1075,"")</f>
        <v/>
      </c>
    </row>
    <row r="1076">
      <c r="A1076" s="1" t="n">
        <v>2</v>
      </c>
      <c r="B1076" s="1" t="inlineStr">
        <is>
          <t>รองเท้า</t>
        </is>
      </c>
      <c r="C1076" s="1" t="inlineStr">
        <is>
          <t>gf2500201296</t>
        </is>
      </c>
      <c r="D1076" s="1" t="inlineStr">
        <is>
          <t>ADIDAS Retrocross 25 Men's Spikeless Shoes (White/Grey)</t>
        </is>
      </c>
      <c r="E1076" s="1" t="inlineStr">
        <is>
          <t>ADIDAS</t>
        </is>
      </c>
      <c r="F1076" s="1" t="inlineStr">
        <is>
          <t>SPIKELESS SHOES</t>
        </is>
      </c>
      <c r="G1076" s="1" t="inlineStr">
        <is>
          <t>GF2500201296UK6.5</t>
        </is>
      </c>
      <c r="H1076" s="1" t="n">
        <v>11</v>
      </c>
      <c r="I1076" s="1" t="inlineStr">
        <is>
          <t>มี</t>
        </is>
      </c>
      <c r="J1076" s="13" t="n">
        <v>109</v>
      </c>
      <c r="K1076" s="1" t="inlineStr"/>
      <c r="L1076" s="13" t="n">
        <v>79</v>
      </c>
      <c r="M1076" s="1">
        <f>IF(L1076="","ไม่พบใน SG",IF(ABS(J1076-L1076)&lt;0.005,"ตรงกัน","ไม่ตรง"))</f>
        <v/>
      </c>
      <c r="N1076" s="14">
        <f>IF(L1076="","",ROUND(L1076*'สรุป'!$C$6,-1))</f>
        <v/>
      </c>
      <c r="O1076" s="15" t="n"/>
      <c r="P1076" s="15" t="n"/>
      <c r="Q1076" s="10" t="n"/>
      <c r="R1076" s="10" t="n"/>
      <c r="S1076" s="16" t="inlineStr">
        <is>
          <t>https://mstgolf.co.th/products/gf2500201296</t>
        </is>
      </c>
      <c r="T1076" s="1">
        <f>IF(B1076="ไม้กอล์ฟ",J1076,"")</f>
        <v/>
      </c>
    </row>
    <row r="1077">
      <c r="A1077" s="1" t="n">
        <v>2</v>
      </c>
      <c r="B1077" s="1" t="inlineStr">
        <is>
          <t>รองเท้า</t>
        </is>
      </c>
      <c r="C1077" s="1" t="inlineStr">
        <is>
          <t>gf2500201297</t>
        </is>
      </c>
      <c r="D1077" s="1" t="inlineStr">
        <is>
          <t>ADIDAS Retrocross 25 Men's Spikeless Shoes (White/Navy)</t>
        </is>
      </c>
      <c r="E1077" s="1" t="inlineStr">
        <is>
          <t>ADIDAS</t>
        </is>
      </c>
      <c r="F1077" s="1" t="inlineStr">
        <is>
          <t>SPIKELESS SHOES</t>
        </is>
      </c>
      <c r="G1077" s="1" t="inlineStr">
        <is>
          <t>GF2500201297UK6.5</t>
        </is>
      </c>
      <c r="H1077" s="1" t="n">
        <v>11</v>
      </c>
      <c r="I1077" s="1" t="inlineStr">
        <is>
          <t>มี</t>
        </is>
      </c>
      <c r="J1077" s="13" t="n">
        <v>109</v>
      </c>
      <c r="K1077" s="1" t="inlineStr"/>
      <c r="L1077" s="13" t="n">
        <v>79</v>
      </c>
      <c r="M1077" s="1">
        <f>IF(L1077="","ไม่พบใน SG",IF(ABS(J1077-L1077)&lt;0.005,"ตรงกัน","ไม่ตรง"))</f>
        <v/>
      </c>
      <c r="N1077" s="14">
        <f>IF(L1077="","",ROUND(L1077*'สรุป'!$C$6,-1))</f>
        <v/>
      </c>
      <c r="O1077" s="15" t="n"/>
      <c r="P1077" s="15" t="n"/>
      <c r="Q1077" s="10" t="n"/>
      <c r="R1077" s="10" t="n"/>
      <c r="S1077" s="16" t="inlineStr">
        <is>
          <t>https://mstgolf.co.th/products/gf2500201297</t>
        </is>
      </c>
      <c r="T1077" s="1">
        <f>IF(B1077="ไม้กอล์ฟ",J1077,"")</f>
        <v/>
      </c>
    </row>
    <row r="1078">
      <c r="A1078" s="1" t="n">
        <v>2</v>
      </c>
      <c r="B1078" s="1" t="inlineStr">
        <is>
          <t>รองเท้า</t>
        </is>
      </c>
      <c r="C1078" s="1" t="inlineStr">
        <is>
          <t>gf2500200775</t>
        </is>
      </c>
      <c r="D1078" s="1" t="inlineStr">
        <is>
          <t>ADIDAS Tour360 22 Women's Spikeless Shoes (White/Silver)</t>
        </is>
      </c>
      <c r="E1078" s="1" t="inlineStr">
        <is>
          <t>ADIDAS</t>
        </is>
      </c>
      <c r="F1078" s="1" t="inlineStr">
        <is>
          <t>SPIKELESS SHOES</t>
        </is>
      </c>
      <c r="G1078" s="1" t="inlineStr">
        <is>
          <t>GF2500200775UK5</t>
        </is>
      </c>
      <c r="H1078" s="1" t="n">
        <v>7</v>
      </c>
      <c r="I1078" s="1" t="inlineStr">
        <is>
          <t>มี</t>
        </is>
      </c>
      <c r="J1078" s="13" t="n">
        <v>109</v>
      </c>
      <c r="K1078" s="1" t="inlineStr"/>
      <c r="L1078" s="13" t="n">
        <v>109</v>
      </c>
      <c r="M1078" s="1">
        <f>IF(L1078="","ไม่พบใน SG",IF(ABS(J1078-L1078)&lt;0.005,"ตรงกัน","ไม่ตรง"))</f>
        <v/>
      </c>
      <c r="N1078" s="14">
        <f>IF(L1078="","",ROUND(L1078*'สรุป'!$C$6,-1))</f>
        <v/>
      </c>
      <c r="O1078" s="15" t="n"/>
      <c r="P1078" s="15" t="n"/>
      <c r="Q1078" s="10" t="n"/>
      <c r="R1078" s="10" t="n"/>
      <c r="S1078" s="16" t="inlineStr">
        <is>
          <t>https://mstgolf.co.th/products/gf2500200775</t>
        </is>
      </c>
      <c r="T1078" s="1">
        <f>IF(B1078="ไม้กอล์ฟ",J1078,"")</f>
        <v/>
      </c>
    </row>
    <row r="1079">
      <c r="A1079" s="1" t="n">
        <v>2</v>
      </c>
      <c r="B1079" s="1" t="inlineStr">
        <is>
          <t>รองเท้า</t>
        </is>
      </c>
      <c r="C1079" s="1" t="inlineStr">
        <is>
          <t>gf2500200975</t>
        </is>
      </c>
      <c r="D1079" s="1" t="inlineStr">
        <is>
          <t>ASICS Asics GEL-Preshot Men's Spikeless Shoes (Black/Black)</t>
        </is>
      </c>
      <c r="E1079" s="1" t="inlineStr">
        <is>
          <t>ASICS</t>
        </is>
      </c>
      <c r="F1079" s="1" t="inlineStr">
        <is>
          <t>SPIKELESS SHOES</t>
        </is>
      </c>
      <c r="G1079" s="1" t="inlineStr">
        <is>
          <t>GF2500200975US6.5</t>
        </is>
      </c>
      <c r="H1079" s="1" t="n">
        <v>11</v>
      </c>
      <c r="I1079" s="1" t="inlineStr">
        <is>
          <t>มี</t>
        </is>
      </c>
      <c r="J1079" s="13" t="n">
        <v>109</v>
      </c>
      <c r="K1079" s="1" t="inlineStr"/>
      <c r="L1079" s="13" t="n">
        <v>109</v>
      </c>
      <c r="M1079" s="1">
        <f>IF(L1079="","ไม่พบใน SG",IF(ABS(J1079-L1079)&lt;0.005,"ตรงกัน","ไม่ตรง"))</f>
        <v/>
      </c>
      <c r="N1079" s="14">
        <f>IF(L1079="","",ROUND(L1079*'สรุป'!$C$6,-1))</f>
        <v/>
      </c>
      <c r="O1079" s="15" t="n"/>
      <c r="P1079" s="15" t="n"/>
      <c r="Q1079" s="10" t="n"/>
      <c r="R1079" s="10" t="n"/>
      <c r="S1079" s="16" t="inlineStr">
        <is>
          <t>https://mstgolf.co.th/products/gf2500200975</t>
        </is>
      </c>
      <c r="T1079" s="1">
        <f>IF(B1079="ไม้กอล์ฟ",J1079,"")</f>
        <v/>
      </c>
    </row>
    <row r="1080">
      <c r="A1080" s="1" t="n">
        <v>2</v>
      </c>
      <c r="B1080" s="1" t="inlineStr">
        <is>
          <t>รองเท้า</t>
        </is>
      </c>
      <c r="C1080" s="1" t="inlineStr">
        <is>
          <t>gf2500201261</t>
        </is>
      </c>
      <c r="D1080" s="1" t="inlineStr">
        <is>
          <t>FOOTJOY Flex SL Men's Spikeless Shoes (White/Navy/Red)</t>
        </is>
      </c>
      <c r="E1080" s="1" t="inlineStr">
        <is>
          <t>FOOTJOY</t>
        </is>
      </c>
      <c r="F1080" s="1" t="inlineStr">
        <is>
          <t>SPIKELESS SHOES</t>
        </is>
      </c>
      <c r="G1080" s="1" t="inlineStr">
        <is>
          <t>GF2500201261US6.5</t>
        </is>
      </c>
      <c r="H1080" s="1" t="n">
        <v>10</v>
      </c>
      <c r="I1080" s="1" t="inlineStr">
        <is>
          <t>มี</t>
        </is>
      </c>
      <c r="J1080" s="13" t="n">
        <v>109</v>
      </c>
      <c r="K1080" s="1" t="inlineStr"/>
      <c r="L1080" s="13" t="n">
        <v>109</v>
      </c>
      <c r="M1080" s="1">
        <f>IF(L1080="","ไม่พบใน SG",IF(ABS(J1080-L1080)&lt;0.005,"ตรงกัน","ไม่ตรง"))</f>
        <v/>
      </c>
      <c r="N1080" s="14">
        <f>IF(L1080="","",ROUND(L1080*'สรุป'!$C$6,-1))</f>
        <v/>
      </c>
      <c r="O1080" s="15" t="n"/>
      <c r="P1080" s="15" t="n"/>
      <c r="Q1080" s="10" t="n"/>
      <c r="R1080" s="10" t="n"/>
      <c r="S1080" s="16" t="inlineStr">
        <is>
          <t>https://mstgolf.co.th/products/gf2500201261</t>
        </is>
      </c>
      <c r="T1080" s="1">
        <f>IF(B1080="ไม้กอล์ฟ",J1080,"")</f>
        <v/>
      </c>
    </row>
    <row r="1081">
      <c r="A1081" s="1" t="n">
        <v>2</v>
      </c>
      <c r="B1081" s="1" t="inlineStr">
        <is>
          <t>รองเท้า</t>
        </is>
      </c>
      <c r="C1081" s="1" t="inlineStr">
        <is>
          <t>gf2540100115</t>
        </is>
      </c>
      <c r="D1081" s="1" t="inlineStr">
        <is>
          <t>PETER MILLAR Hyperlight Glide Men's Sneakers (Charcoal)</t>
        </is>
      </c>
      <c r="E1081" s="1" t="inlineStr">
        <is>
          <t>PETER MILLAR</t>
        </is>
      </c>
      <c r="F1081" s="1" t="inlineStr">
        <is>
          <t>CASUAL</t>
        </is>
      </c>
      <c r="G1081" s="1" t="inlineStr">
        <is>
          <t>GF2540100115US8</t>
        </is>
      </c>
      <c r="H1081" s="1" t="n">
        <v>6</v>
      </c>
      <c r="I1081" s="1" t="inlineStr">
        <is>
          <t>มี</t>
        </is>
      </c>
      <c r="J1081" s="13" t="n">
        <v>109</v>
      </c>
      <c r="K1081" s="1" t="inlineStr"/>
      <c r="L1081" s="13" t="n">
        <v>109</v>
      </c>
      <c r="M1081" s="1">
        <f>IF(L1081="","ไม่พบใน SG",IF(ABS(J1081-L1081)&lt;0.005,"ตรงกัน","ไม่ตรง"))</f>
        <v/>
      </c>
      <c r="N1081" s="14">
        <f>IF(L1081="","",ROUND(L1081*'สรุป'!$C$6,-1))</f>
        <v/>
      </c>
      <c r="O1081" s="15" t="n"/>
      <c r="P1081" s="15" t="n"/>
      <c r="Q1081" s="10" t="n"/>
      <c r="R1081" s="10" t="n"/>
      <c r="S1081" s="16" t="inlineStr">
        <is>
          <t>https://mstgolf.co.th/products/gf2540100115</t>
        </is>
      </c>
      <c r="T1081" s="1">
        <f>IF(B1081="ไม้กอล์ฟ",J1081,"")</f>
        <v/>
      </c>
    </row>
    <row r="1082">
      <c r="A1082" s="1" t="n">
        <v>2</v>
      </c>
      <c r="B1082" s="1" t="inlineStr">
        <is>
          <t>รองเท้า</t>
        </is>
      </c>
      <c r="C1082" s="1" t="inlineStr">
        <is>
          <t>gf2500201023</t>
        </is>
      </c>
      <c r="D1082" s="1" t="inlineStr">
        <is>
          <t>PUMA Hoops Slipstream G Men's Spikeless Shoes (White/Royal)</t>
        </is>
      </c>
      <c r="E1082" s="1" t="inlineStr">
        <is>
          <t>PUMA</t>
        </is>
      </c>
      <c r="F1082" s="1" t="inlineStr">
        <is>
          <t>SPIKELESS SHOES</t>
        </is>
      </c>
      <c r="G1082" s="1" t="inlineStr">
        <is>
          <t>GF2500201023UK6</t>
        </is>
      </c>
      <c r="H1082" s="1" t="n">
        <v>12</v>
      </c>
      <c r="I1082" s="1" t="inlineStr">
        <is>
          <t>มี</t>
        </is>
      </c>
      <c r="J1082" s="13" t="n">
        <v>109</v>
      </c>
      <c r="K1082" s="1" t="inlineStr"/>
      <c r="L1082" s="13" t="n">
        <v>109</v>
      </c>
      <c r="M1082" s="1">
        <f>IF(L1082="","ไม่พบใน SG",IF(ABS(J1082-L1082)&lt;0.005,"ตรงกัน","ไม่ตรง"))</f>
        <v/>
      </c>
      <c r="N1082" s="14">
        <f>IF(L1082="","",ROUND(L1082*'สรุป'!$C$6,-1))</f>
        <v/>
      </c>
      <c r="O1082" s="15" t="n"/>
      <c r="P1082" s="15" t="n"/>
      <c r="Q1082" s="10" t="n"/>
      <c r="R1082" s="10" t="n"/>
      <c r="S1082" s="16" t="inlineStr">
        <is>
          <t>https://mstgolf.co.th/products/gf2500201023</t>
        </is>
      </c>
      <c r="T1082" s="1">
        <f>IF(B1082="ไม้กอล์ฟ",J1082,"")</f>
        <v/>
      </c>
    </row>
    <row r="1083">
      <c r="A1083" s="1" t="n">
        <v>2</v>
      </c>
      <c r="B1083" s="1" t="inlineStr">
        <is>
          <t>รองเท้า</t>
        </is>
      </c>
      <c r="C1083" s="1" t="inlineStr">
        <is>
          <t>gf2500201184</t>
        </is>
      </c>
      <c r="D1083" s="1" t="inlineStr">
        <is>
          <t>PUMA Palmer Men's Spikeless Shoes (White/Navy/Pink)</t>
        </is>
      </c>
      <c r="E1083" s="1" t="inlineStr">
        <is>
          <t>PUMA</t>
        </is>
      </c>
      <c r="F1083" s="1" t="inlineStr">
        <is>
          <t>SPIKELESS SHOES</t>
        </is>
      </c>
      <c r="G1083" s="1" t="inlineStr">
        <is>
          <t>GF2500201184UK6.5</t>
        </is>
      </c>
      <c r="H1083" s="1" t="n">
        <v>10</v>
      </c>
      <c r="I1083" s="1" t="inlineStr">
        <is>
          <t>มี</t>
        </is>
      </c>
      <c r="J1083" s="13" t="n">
        <v>109</v>
      </c>
      <c r="K1083" s="1" t="inlineStr"/>
      <c r="L1083" s="13" t="n">
        <v>109</v>
      </c>
      <c r="M1083" s="1">
        <f>IF(L1083="","ไม่พบใน SG",IF(ABS(J1083-L1083)&lt;0.005,"ตรงกัน","ไม่ตรง"))</f>
        <v/>
      </c>
      <c r="N1083" s="14">
        <f>IF(L1083="","",ROUND(L1083*'สรุป'!$C$6,-1))</f>
        <v/>
      </c>
      <c r="O1083" s="15" t="n"/>
      <c r="P1083" s="15" t="n"/>
      <c r="Q1083" s="10" t="n"/>
      <c r="R1083" s="10" t="n"/>
      <c r="S1083" s="16" t="inlineStr">
        <is>
          <t>https://mstgolf.co.th/products/gf2500201184</t>
        </is>
      </c>
      <c r="T1083" s="1">
        <f>IF(B1083="ไม้กอล์ฟ",J1083,"")</f>
        <v/>
      </c>
    </row>
    <row r="1084">
      <c r="A1084" s="1" t="n">
        <v>2</v>
      </c>
      <c r="B1084" s="1" t="inlineStr">
        <is>
          <t>รองเท้า</t>
        </is>
      </c>
      <c r="C1084" s="1" t="inlineStr">
        <is>
          <t>gf2500201255</t>
        </is>
      </c>
      <c r="D1084" s="1" t="inlineStr">
        <is>
          <t>PUMA Shadowcat NITRO Disc Men's Spikeless Shoes (White)</t>
        </is>
      </c>
      <c r="E1084" s="1" t="inlineStr">
        <is>
          <t>PUMA</t>
        </is>
      </c>
      <c r="F1084" s="1" t="inlineStr">
        <is>
          <t>SPIKELESS SHOES</t>
        </is>
      </c>
      <c r="G1084" s="1" t="inlineStr">
        <is>
          <t>GF2500201255UK6</t>
        </is>
      </c>
      <c r="H1084" s="1" t="n">
        <v>12</v>
      </c>
      <c r="I1084" s="1" t="inlineStr">
        <is>
          <t>มี</t>
        </is>
      </c>
      <c r="J1084" s="13" t="n">
        <v>109</v>
      </c>
      <c r="K1084" s="1" t="inlineStr"/>
      <c r="L1084" s="13" t="n">
        <v>109</v>
      </c>
      <c r="M1084" s="1">
        <f>IF(L1084="","ไม่พบใน SG",IF(ABS(J1084-L1084)&lt;0.005,"ตรงกัน","ไม่ตรง"))</f>
        <v/>
      </c>
      <c r="N1084" s="14">
        <f>IF(L1084="","",ROUND(L1084*'สรุป'!$C$6,-1))</f>
        <v/>
      </c>
      <c r="O1084" s="15" t="n"/>
      <c r="P1084" s="15" t="n"/>
      <c r="Q1084" s="10" t="n"/>
      <c r="R1084" s="10" t="n"/>
      <c r="S1084" s="16" t="inlineStr">
        <is>
          <t>https://mstgolf.co.th/products/gf2500201255</t>
        </is>
      </c>
      <c r="T1084" s="1">
        <f>IF(B1084="ไม้กอล์ฟ",J1084,"")</f>
        <v/>
      </c>
    </row>
    <row r="1085">
      <c r="A1085" s="1" t="n">
        <v>2</v>
      </c>
      <c r="B1085" s="1" t="inlineStr">
        <is>
          <t>อุปกรณ์ฝึกซ้อม</t>
        </is>
      </c>
      <c r="C1085" s="1" t="inlineStr">
        <is>
          <t>gf3040200017</t>
        </is>
      </c>
      <c r="D1085" s="1" t="inlineStr">
        <is>
          <t>TABATA 2-Way Training Mat</t>
        </is>
      </c>
      <c r="E1085" s="1" t="inlineStr">
        <is>
          <t>TABATA</t>
        </is>
      </c>
      <c r="F1085" s="1" t="inlineStr">
        <is>
          <t>PUTT / CHIP</t>
        </is>
      </c>
      <c r="G1085" s="1" t="inlineStr">
        <is>
          <t>GF3040200017</t>
        </is>
      </c>
      <c r="H1085" s="1" t="n">
        <v>1</v>
      </c>
      <c r="I1085" s="1" t="inlineStr">
        <is>
          <t>มี</t>
        </is>
      </c>
      <c r="J1085" s="13" t="n">
        <v>109</v>
      </c>
      <c r="K1085" s="1" t="inlineStr"/>
      <c r="L1085" s="13" t="n">
        <v>109</v>
      </c>
      <c r="M1085" s="1">
        <f>IF(L1085="","ไม่พบใน SG",IF(ABS(J1085-L1085)&lt;0.005,"ตรงกัน","ไม่ตรง"))</f>
        <v/>
      </c>
      <c r="N1085" s="14">
        <f>IF(L1085="","",ROUND(L1085*'สรุป'!$C$6,-1))</f>
        <v/>
      </c>
      <c r="O1085" s="15" t="n"/>
      <c r="P1085" s="15" t="n"/>
      <c r="Q1085" s="10" t="n"/>
      <c r="R1085" s="10" t="n"/>
      <c r="S1085" s="16" t="inlineStr">
        <is>
          <t>https://mstgolf.co.th/products/gf3040200017</t>
        </is>
      </c>
      <c r="T1085" s="1">
        <f>IF(B1085="ไม้กอล์ฟ",J1085,"")</f>
        <v/>
      </c>
    </row>
    <row r="1086">
      <c r="A1086" s="1" t="n">
        <v>2</v>
      </c>
      <c r="B1086" s="1" t="inlineStr">
        <is>
          <t>อุปกรณ์ฝึกซ้อม</t>
        </is>
      </c>
      <c r="C1086" s="1" t="inlineStr">
        <is>
          <t>gf3040200084</t>
        </is>
      </c>
      <c r="D1086" s="1" t="inlineStr">
        <is>
          <t>WELLPUTT Wellstroke 12Â° - 81cm X 20cm</t>
        </is>
      </c>
      <c r="E1086" s="1" t="inlineStr">
        <is>
          <t>WELLPUTT</t>
        </is>
      </c>
      <c r="F1086" s="1" t="inlineStr">
        <is>
          <t>PUTT / CHIP</t>
        </is>
      </c>
      <c r="G1086" s="1" t="inlineStr">
        <is>
          <t>GF3040200084</t>
        </is>
      </c>
      <c r="H1086" s="1" t="n">
        <v>1</v>
      </c>
      <c r="I1086" s="1" t="inlineStr">
        <is>
          <t>มี</t>
        </is>
      </c>
      <c r="J1086" s="13" t="n">
        <v>109</v>
      </c>
      <c r="K1086" s="1" t="inlineStr"/>
      <c r="L1086" s="13" t="n">
        <v>109</v>
      </c>
      <c r="M1086" s="1">
        <f>IF(L1086="","ไม่พบใน SG",IF(ABS(J1086-L1086)&lt;0.005,"ตรงกัน","ไม่ตรง"))</f>
        <v/>
      </c>
      <c r="N1086" s="14">
        <f>IF(L1086="","",ROUND(L1086*'สรุป'!$C$6,-1))</f>
        <v/>
      </c>
      <c r="O1086" s="15" t="n"/>
      <c r="P1086" s="15" t="n"/>
      <c r="Q1086" s="10" t="n"/>
      <c r="R1086" s="10" t="n"/>
      <c r="S1086" s="16" t="inlineStr">
        <is>
          <t>https://mstgolf.co.th/products/gf3040200084</t>
        </is>
      </c>
      <c r="T1086" s="1">
        <f>IF(B1086="ไม้กอล์ฟ",J1086,"")</f>
        <v/>
      </c>
    </row>
    <row r="1087">
      <c r="A1087" s="1" t="n">
        <v>2</v>
      </c>
      <c r="B1087" s="1" t="inlineStr">
        <is>
          <t>รองเท้า</t>
        </is>
      </c>
      <c r="C1087" s="1" t="inlineStr">
        <is>
          <t>gf2500200956</t>
        </is>
      </c>
      <c r="D1087" s="1" t="inlineStr">
        <is>
          <t>ADIDAS Ultraboost Golf Men's Spikeless Shoes (Black/Black/Blue)</t>
        </is>
      </c>
      <c r="E1087" s="1" t="inlineStr">
        <is>
          <t>ADIDAS</t>
        </is>
      </c>
      <c r="F1087" s="1" t="inlineStr">
        <is>
          <t>SPIKELESS SHOES</t>
        </is>
      </c>
      <c r="G1087" s="1" t="inlineStr">
        <is>
          <t>GF2500200956UK5.5</t>
        </is>
      </c>
      <c r="H1087" s="1" t="n">
        <v>12</v>
      </c>
      <c r="I1087" s="1" t="inlineStr">
        <is>
          <t>มี</t>
        </is>
      </c>
      <c r="J1087" s="13" t="n">
        <v>105</v>
      </c>
      <c r="K1087" s="1" t="inlineStr"/>
      <c r="L1087" s="13" t="n">
        <v>105</v>
      </c>
      <c r="M1087" s="1">
        <f>IF(L1087="","ไม่พบใน SG",IF(ABS(J1087-L1087)&lt;0.005,"ตรงกัน","ไม่ตรง"))</f>
        <v/>
      </c>
      <c r="N1087" s="14">
        <f>IF(L1087="","",ROUND(L1087*'สรุป'!$C$6,-1))</f>
        <v/>
      </c>
      <c r="O1087" s="15" t="n"/>
      <c r="P1087" s="15" t="n"/>
      <c r="Q1087" s="10" t="n"/>
      <c r="R1087" s="10" t="n"/>
      <c r="S1087" s="16" t="inlineStr">
        <is>
          <t>https://mstgolf.co.th/products/gf2500200956</t>
        </is>
      </c>
      <c r="T1087" s="1">
        <f>IF(B1087="ไม้กอล์ฟ",J1087,"")</f>
        <v/>
      </c>
    </row>
    <row r="1088">
      <c r="A1088" s="1" t="n">
        <v>2</v>
      </c>
      <c r="B1088" s="1" t="inlineStr">
        <is>
          <t>รองเท้า</t>
        </is>
      </c>
      <c r="C1088" s="1" t="inlineStr">
        <is>
          <t>gf2500200955</t>
        </is>
      </c>
      <c r="D1088" s="1" t="inlineStr">
        <is>
          <t>ADIDAS Ultraboost Golf Men's Spikeless Shoes (Grey/Grey/Green)</t>
        </is>
      </c>
      <c r="E1088" s="1" t="inlineStr">
        <is>
          <t>ADIDAS</t>
        </is>
      </c>
      <c r="F1088" s="1" t="inlineStr">
        <is>
          <t>SPIKELESS SHOES</t>
        </is>
      </c>
      <c r="G1088" s="1" t="inlineStr">
        <is>
          <t>GF2500200955UK5</t>
        </is>
      </c>
      <c r="H1088" s="1" t="n">
        <v>13</v>
      </c>
      <c r="I1088" s="1" t="inlineStr">
        <is>
          <t>มี</t>
        </is>
      </c>
      <c r="J1088" s="13" t="n">
        <v>105</v>
      </c>
      <c r="K1088" s="1" t="inlineStr"/>
      <c r="L1088" s="13" t="n">
        <v>105</v>
      </c>
      <c r="M1088" s="1">
        <f>IF(L1088="","ไม่พบใน SG",IF(ABS(J1088-L1088)&lt;0.005,"ตรงกัน","ไม่ตรง"))</f>
        <v/>
      </c>
      <c r="N1088" s="14">
        <f>IF(L1088="","",ROUND(L1088*'สรุป'!$C$6,-1))</f>
        <v/>
      </c>
      <c r="O1088" s="15" t="n"/>
      <c r="P1088" s="15" t="n"/>
      <c r="Q1088" s="10" t="n"/>
      <c r="R1088" s="10" t="n"/>
      <c r="S1088" s="16" t="inlineStr">
        <is>
          <t>https://mstgolf.co.th/products/gf2500200955</t>
        </is>
      </c>
      <c r="T1088" s="1">
        <f>IF(B1088="ไม้กอล์ฟ",J1088,"")</f>
        <v/>
      </c>
    </row>
    <row r="1089">
      <c r="A1089" s="1" t="n">
        <v>2</v>
      </c>
      <c r="B1089" s="1" t="inlineStr">
        <is>
          <t>รองเท้า</t>
        </is>
      </c>
      <c r="C1089" s="1" t="inlineStr">
        <is>
          <t>gf2500200752</t>
        </is>
      </c>
      <c r="D1089" s="1" t="inlineStr">
        <is>
          <t>FOOTJOY Leisure LX Women's Spikeless Shoes (Rose/Light Grey)</t>
        </is>
      </c>
      <c r="E1089" s="1" t="inlineStr">
        <is>
          <t>FOOTJOY</t>
        </is>
      </c>
      <c r="F1089" s="1" t="inlineStr">
        <is>
          <t>SPIKELESS SHOES</t>
        </is>
      </c>
      <c r="G1089" s="1" t="inlineStr">
        <is>
          <t>GF2500200752US5</t>
        </is>
      </c>
      <c r="H1089" s="1" t="n">
        <v>7</v>
      </c>
      <c r="I1089" s="1" t="inlineStr">
        <is>
          <t>มี</t>
        </is>
      </c>
      <c r="J1089" s="13" t="n">
        <v>105</v>
      </c>
      <c r="K1089" s="1" t="inlineStr"/>
      <c r="L1089" s="13" t="n">
        <v>105</v>
      </c>
      <c r="M1089" s="1">
        <f>IF(L1089="","ไม่พบใน SG",IF(ABS(J1089-L1089)&lt;0.005,"ตรงกัน","ไม่ตรง"))</f>
        <v/>
      </c>
      <c r="N1089" s="14">
        <f>IF(L1089="","",ROUND(L1089*'สรุป'!$C$6,-1))</f>
        <v/>
      </c>
      <c r="O1089" s="15" t="n"/>
      <c r="P1089" s="15" t="n"/>
      <c r="Q1089" s="10" t="n"/>
      <c r="R1089" s="10" t="n"/>
      <c r="S1089" s="16" t="inlineStr">
        <is>
          <t>https://mstgolf.co.th/products/gf2500200752</t>
        </is>
      </c>
      <c r="T1089" s="1">
        <f>IF(B1089="ไม้กอล์ฟ",J1089,"")</f>
        <v/>
      </c>
    </row>
    <row r="1090">
      <c r="A1090" s="1" t="n">
        <v>2</v>
      </c>
      <c r="B1090" s="1" t="inlineStr">
        <is>
          <t>รองเท้า</t>
        </is>
      </c>
      <c r="C1090" s="1" t="inlineStr">
        <is>
          <t>gf2500200760</t>
        </is>
      </c>
      <c r="D1090" s="1" t="inlineStr">
        <is>
          <t>PUMA IGNITE Fasten8 Crafted Men's Spikeless Shoes (White/Brown)</t>
        </is>
      </c>
      <c r="E1090" s="1" t="inlineStr">
        <is>
          <t>PUMA</t>
        </is>
      </c>
      <c r="F1090" s="1" t="inlineStr">
        <is>
          <t>SPIKELESS SHOES</t>
        </is>
      </c>
      <c r="G1090" s="1" t="inlineStr">
        <is>
          <t>GF2500200760UK6.5</t>
        </is>
      </c>
      <c r="H1090" s="1" t="n">
        <v>11</v>
      </c>
      <c r="I1090" s="1" t="inlineStr">
        <is>
          <t>มี</t>
        </is>
      </c>
      <c r="J1090" s="13" t="n">
        <v>105</v>
      </c>
      <c r="K1090" s="1" t="inlineStr"/>
      <c r="L1090" s="13" t="n">
        <v>105</v>
      </c>
      <c r="M1090" s="1">
        <f>IF(L1090="","ไม่พบใน SG",IF(ABS(J1090-L1090)&lt;0.005,"ตรงกัน","ไม่ตรง"))</f>
        <v/>
      </c>
      <c r="N1090" s="14">
        <f>IF(L1090="","",ROUND(L1090*'สรุป'!$C$6,-1))</f>
        <v/>
      </c>
      <c r="O1090" s="15" t="n"/>
      <c r="P1090" s="15" t="n"/>
      <c r="Q1090" s="10" t="n"/>
      <c r="R1090" s="10" t="n"/>
      <c r="S1090" s="16" t="inlineStr">
        <is>
          <t>https://mstgolf.co.th/products/gf2500200760</t>
        </is>
      </c>
      <c r="T1090" s="1">
        <f>IF(B1090="ไม้กอล์ฟ",J1090,"")</f>
        <v/>
      </c>
    </row>
    <row r="1091">
      <c r="A1091" s="1" t="n">
        <v>2</v>
      </c>
      <c r="B1091" s="1" t="inlineStr">
        <is>
          <t>ถุงกอล์ฟ</t>
        </is>
      </c>
      <c r="C1091" s="1" t="inlineStr">
        <is>
          <t>gf3010101009</t>
        </is>
      </c>
      <c r="D1091" s="1" t="inlineStr">
        <is>
          <t>TAYLORMADE TD249 Auth-Tech Boston Bag (White)</t>
        </is>
      </c>
      <c r="E1091" s="1" t="inlineStr">
        <is>
          <t>TAYLORMADE</t>
        </is>
      </c>
      <c r="F1091" s="1" t="inlineStr">
        <is>
          <t>BOSTON/DUFFLE BAG</t>
        </is>
      </c>
      <c r="G1091" s="1" t="inlineStr">
        <is>
          <t>GF3010101009</t>
        </is>
      </c>
      <c r="H1091" s="1" t="n">
        <v>1</v>
      </c>
      <c r="I1091" s="1" t="inlineStr">
        <is>
          <t>มี</t>
        </is>
      </c>
      <c r="J1091" s="13" t="n">
        <v>105</v>
      </c>
      <c r="K1091" s="1" t="inlineStr"/>
      <c r="L1091" s="13" t="n">
        <v>105</v>
      </c>
      <c r="M1091" s="1">
        <f>IF(L1091="","ไม่พบใน SG",IF(ABS(J1091-L1091)&lt;0.005,"ตรงกัน","ไม่ตรง"))</f>
        <v/>
      </c>
      <c r="N1091" s="14">
        <f>IF(L1091="","",ROUND(L1091*'สรุป'!$C$6,-1))</f>
        <v/>
      </c>
      <c r="O1091" s="15" t="n"/>
      <c r="P1091" s="15" t="n"/>
      <c r="Q1091" s="10" t="n"/>
      <c r="R1091" s="10" t="n"/>
      <c r="S1091" s="16" t="inlineStr">
        <is>
          <t>https://mstgolf.co.th/products/gf3010101009</t>
        </is>
      </c>
      <c r="T1091" s="1">
        <f>IF(B1091="ไม้กอล์ฟ",J1091,"")</f>
        <v/>
      </c>
    </row>
    <row r="1092">
      <c r="A1092" s="1" t="n">
        <v>2</v>
      </c>
      <c r="B1092" s="1" t="inlineStr">
        <is>
          <t>ถุงกอล์ฟ</t>
        </is>
      </c>
      <c r="C1092" s="1" t="inlineStr">
        <is>
          <t>gf3010401125</t>
        </is>
      </c>
      <c r="D1092" s="1" t="inlineStr">
        <is>
          <t>TITLEIST Aspirer Pursuit Pouch (Black/White)</t>
        </is>
      </c>
      <c r="E1092" s="1" t="inlineStr">
        <is>
          <t>TITLEIST</t>
        </is>
      </c>
      <c r="F1092" s="1" t="inlineStr">
        <is>
          <t>SMALL BAG</t>
        </is>
      </c>
      <c r="G1092" s="1" t="inlineStr">
        <is>
          <t>GF3010401125</t>
        </is>
      </c>
      <c r="H1092" s="1" t="n">
        <v>1</v>
      </c>
      <c r="I1092" s="1" t="inlineStr">
        <is>
          <t>มี</t>
        </is>
      </c>
      <c r="J1092" s="13" t="n">
        <v>105</v>
      </c>
      <c r="K1092" s="1" t="inlineStr"/>
      <c r="L1092" s="13" t="n">
        <v>105</v>
      </c>
      <c r="M1092" s="1">
        <f>IF(L1092="","ไม่พบใน SG",IF(ABS(J1092-L1092)&lt;0.005,"ตรงกัน","ไม่ตรง"))</f>
        <v/>
      </c>
      <c r="N1092" s="14">
        <f>IF(L1092="","",ROUND(L1092*'สรุป'!$C$6,-1))</f>
        <v/>
      </c>
      <c r="O1092" s="15" t="n"/>
      <c r="P1092" s="15" t="n"/>
      <c r="Q1092" s="10" t="n"/>
      <c r="R1092" s="10" t="n"/>
      <c r="S1092" s="16" t="inlineStr">
        <is>
          <t>https://mstgolf.co.th/products/gf3010401125</t>
        </is>
      </c>
      <c r="T1092" s="1">
        <f>IF(B1092="ไม้กอล์ฟ",J1092,"")</f>
        <v/>
      </c>
    </row>
    <row r="1093">
      <c r="A1093" s="1" t="n">
        <v>2</v>
      </c>
      <c r="B1093" s="1" t="inlineStr">
        <is>
          <t>รองเท้า</t>
        </is>
      </c>
      <c r="C1093" s="1" t="inlineStr">
        <is>
          <t>gf2500200915</t>
        </is>
      </c>
      <c r="D1093" s="1" t="inlineStr">
        <is>
          <t>UNDER ARMOUR UA Glide 2 Men's Spikeless Shoes (Grey/Grey/Black)</t>
        </is>
      </c>
      <c r="E1093" s="1" t="inlineStr">
        <is>
          <t>UNDER ARMOUR</t>
        </is>
      </c>
      <c r="F1093" s="1" t="inlineStr">
        <is>
          <t>SPIKELESS SHOES</t>
        </is>
      </c>
      <c r="G1093" s="1" t="inlineStr">
        <is>
          <t>GF2500200915US7</t>
        </is>
      </c>
      <c r="H1093" s="1" t="n">
        <v>12</v>
      </c>
      <c r="I1093" s="1" t="inlineStr">
        <is>
          <t>มี</t>
        </is>
      </c>
      <c r="J1093" s="13" t="n">
        <v>105</v>
      </c>
      <c r="K1093" s="1" t="inlineStr"/>
      <c r="L1093" s="13" t="n">
        <v>105</v>
      </c>
      <c r="M1093" s="1">
        <f>IF(L1093="","ไม่พบใน SG",IF(ABS(J1093-L1093)&lt;0.005,"ตรงกัน","ไม่ตรง"))</f>
        <v/>
      </c>
      <c r="N1093" s="14">
        <f>IF(L1093="","",ROUND(L1093*'สรุป'!$C$6,-1))</f>
        <v/>
      </c>
      <c r="O1093" s="15" t="n"/>
      <c r="P1093" s="15" t="n"/>
      <c r="Q1093" s="10" t="n"/>
      <c r="R1093" s="10" t="n"/>
      <c r="S1093" s="16" t="inlineStr">
        <is>
          <t>https://mstgolf.co.th/products/gf2500200915</t>
        </is>
      </c>
      <c r="T1093" s="1">
        <f>IF(B1093="ไม้กอล์ฟ",J1093,"")</f>
        <v/>
      </c>
    </row>
    <row r="1094">
      <c r="A1094" s="1" t="n">
        <v>2</v>
      </c>
      <c r="B1094" s="1" t="inlineStr">
        <is>
          <t>รองเท้า</t>
        </is>
      </c>
      <c r="C1094" s="1" t="inlineStr">
        <is>
          <t>gf2500200914</t>
        </is>
      </c>
      <c r="D1094" s="1" t="inlineStr">
        <is>
          <t>UNDER ARMOUR UA Glide 2 Men's Spikeless Shoes (White/White/Navy)</t>
        </is>
      </c>
      <c r="E1094" s="1" t="inlineStr">
        <is>
          <t>UNDER ARMOUR</t>
        </is>
      </c>
      <c r="F1094" s="1" t="inlineStr">
        <is>
          <t>SPIKELESS SHOES</t>
        </is>
      </c>
      <c r="G1094" s="1" t="inlineStr">
        <is>
          <t>GF2500200914US7</t>
        </is>
      </c>
      <c r="H1094" s="1" t="n">
        <v>13</v>
      </c>
      <c r="I1094" s="1" t="inlineStr">
        <is>
          <t>มี</t>
        </is>
      </c>
      <c r="J1094" s="13" t="n">
        <v>105</v>
      </c>
      <c r="K1094" s="1" t="inlineStr"/>
      <c r="L1094" s="13" t="n">
        <v>105</v>
      </c>
      <c r="M1094" s="1">
        <f>IF(L1094="","ไม่พบใน SG",IF(ABS(J1094-L1094)&lt;0.005,"ตรงกัน","ไม่ตรง"))</f>
        <v/>
      </c>
      <c r="N1094" s="14">
        <f>IF(L1094="","",ROUND(L1094*'สรุป'!$C$6,-1))</f>
        <v/>
      </c>
      <c r="O1094" s="15" t="n"/>
      <c r="P1094" s="15" t="n"/>
      <c r="Q1094" s="10" t="n"/>
      <c r="R1094" s="10" t="n"/>
      <c r="S1094" s="16" t="inlineStr">
        <is>
          <t>https://mstgolf.co.th/products/gf2500200914</t>
        </is>
      </c>
      <c r="T1094" s="1">
        <f>IF(B1094="ไม้กอล์ฟ",J1094,"")</f>
        <v/>
      </c>
    </row>
    <row r="1095">
      <c r="A1095" s="1" t="n">
        <v>2</v>
      </c>
      <c r="B1095" s="1" t="inlineStr">
        <is>
          <t>ถุงกอล์ฟ</t>
        </is>
      </c>
      <c r="C1095" s="1" t="inlineStr">
        <is>
          <t>gf3010401058</t>
        </is>
      </c>
      <c r="D1095" s="1" t="inlineStr">
        <is>
          <t>ADIDAS Polyurethane Round Bag (Black)</t>
        </is>
      </c>
      <c r="E1095" s="1" t="inlineStr">
        <is>
          <t>ADIDAS</t>
        </is>
      </c>
      <c r="F1095" s="1" t="inlineStr">
        <is>
          <t>SMALL BAG</t>
        </is>
      </c>
      <c r="G1095" s="1" t="inlineStr">
        <is>
          <t>GF3010401058</t>
        </is>
      </c>
      <c r="H1095" s="1" t="n">
        <v>1</v>
      </c>
      <c r="I1095" s="1" t="inlineStr">
        <is>
          <t>มี</t>
        </is>
      </c>
      <c r="J1095" s="13" t="n">
        <v>100</v>
      </c>
      <c r="K1095" s="1" t="inlineStr"/>
      <c r="L1095" s="13" t="n">
        <v>49</v>
      </c>
      <c r="M1095" s="1">
        <f>IF(L1095="","ไม่พบใน SG",IF(ABS(J1095-L1095)&lt;0.005,"ตรงกัน","ไม่ตรง"))</f>
        <v/>
      </c>
      <c r="N1095" s="14">
        <f>IF(L1095="","",ROUND(L1095*'สรุป'!$C$6,-1))</f>
        <v/>
      </c>
      <c r="O1095" s="15" t="n"/>
      <c r="P1095" s="15" t="n"/>
      <c r="Q1095" s="10" t="n"/>
      <c r="R1095" s="10" t="n"/>
      <c r="S1095" s="16" t="inlineStr">
        <is>
          <t>https://mstgolf.co.th/products/gf3010401058</t>
        </is>
      </c>
      <c r="T1095" s="1">
        <f>IF(B1095="ไม้กอล์ฟ",J1095,"")</f>
        <v/>
      </c>
    </row>
    <row r="1096">
      <c r="A1096" s="1" t="n">
        <v>2</v>
      </c>
      <c r="B1096" s="1" t="inlineStr">
        <is>
          <t>รองเท้า</t>
        </is>
      </c>
      <c r="C1096" s="1" t="inlineStr">
        <is>
          <t>gf2500200930</t>
        </is>
      </c>
      <c r="D1096" s="1" t="inlineStr">
        <is>
          <t>ADIDAS Go-To 1 Men's Spikeless Shoes (Beige)</t>
        </is>
      </c>
      <c r="E1096" s="1" t="inlineStr">
        <is>
          <t>ADIDAS</t>
        </is>
      </c>
      <c r="F1096" s="1" t="inlineStr">
        <is>
          <t>SPIKELESS SHOES</t>
        </is>
      </c>
      <c r="G1096" s="1" t="inlineStr">
        <is>
          <t>GF2500200930UK6.5</t>
        </is>
      </c>
      <c r="H1096" s="1" t="n">
        <v>9</v>
      </c>
      <c r="I1096" s="1" t="inlineStr">
        <is>
          <t>มี</t>
        </is>
      </c>
      <c r="J1096" s="13" t="n">
        <v>99</v>
      </c>
      <c r="K1096" s="1" t="inlineStr"/>
      <c r="L1096" s="13" t="n">
        <v>99</v>
      </c>
      <c r="M1096" s="1">
        <f>IF(L1096="","ไม่พบใน SG",IF(ABS(J1096-L1096)&lt;0.005,"ตรงกัน","ไม่ตรง"))</f>
        <v/>
      </c>
      <c r="N1096" s="14">
        <f>IF(L1096="","",ROUND(L1096*'สรุป'!$C$6,-1))</f>
        <v/>
      </c>
      <c r="O1096" s="15" t="n"/>
      <c r="P1096" s="15" t="n"/>
      <c r="Q1096" s="10" t="n"/>
      <c r="R1096" s="10" t="n"/>
      <c r="S1096" s="16" t="inlineStr">
        <is>
          <t>https://mstgolf.co.th/products/gf2500200930</t>
        </is>
      </c>
      <c r="T1096" s="1">
        <f>IF(B1096="ไม้กอล์ฟ",J1096,"")</f>
        <v/>
      </c>
    </row>
    <row r="1097">
      <c r="A1097" s="1" t="n">
        <v>2</v>
      </c>
      <c r="B1097" s="1" t="inlineStr">
        <is>
          <t>รองเท้า</t>
        </is>
      </c>
      <c r="C1097" s="1" t="inlineStr">
        <is>
          <t>gf2500200931</t>
        </is>
      </c>
      <c r="D1097" s="1" t="inlineStr">
        <is>
          <t>ADIDAS Go-To 1 Men's Spikeless Shoes (Olive)</t>
        </is>
      </c>
      <c r="E1097" s="1" t="inlineStr">
        <is>
          <t>ADIDAS</t>
        </is>
      </c>
      <c r="F1097" s="1" t="inlineStr">
        <is>
          <t>SPIKELESS SHOES</t>
        </is>
      </c>
      <c r="G1097" s="1" t="inlineStr">
        <is>
          <t>GF2500200931UK7</t>
        </is>
      </c>
      <c r="H1097" s="1" t="n">
        <v>8</v>
      </c>
      <c r="I1097" s="1" t="inlineStr">
        <is>
          <t>มี</t>
        </is>
      </c>
      <c r="J1097" s="13" t="n">
        <v>99</v>
      </c>
      <c r="K1097" s="1" t="inlineStr"/>
      <c r="L1097" s="13" t="n">
        <v>99</v>
      </c>
      <c r="M1097" s="1">
        <f>IF(L1097="","ไม่พบใน SG",IF(ABS(J1097-L1097)&lt;0.005,"ตรงกัน","ไม่ตรง"))</f>
        <v/>
      </c>
      <c r="N1097" s="14">
        <f>IF(L1097="","",ROUND(L1097*'สรุป'!$C$6,-1))</f>
        <v/>
      </c>
      <c r="O1097" s="15" t="n"/>
      <c r="P1097" s="15" t="n"/>
      <c r="Q1097" s="10" t="n"/>
      <c r="R1097" s="10" t="n"/>
      <c r="S1097" s="16" t="inlineStr">
        <is>
          <t>https://mstgolf.co.th/products/gf2500200931</t>
        </is>
      </c>
      <c r="T1097" s="1">
        <f>IF(B1097="ไม้กอล์ฟ",J1097,"")</f>
        <v/>
      </c>
    </row>
    <row r="1098">
      <c r="A1098" s="1" t="n">
        <v>2</v>
      </c>
      <c r="B1098" s="1" t="inlineStr">
        <is>
          <t>ถุงกอล์ฟ</t>
        </is>
      </c>
      <c r="C1098" s="1" t="inlineStr">
        <is>
          <t>gf3010101411</t>
        </is>
      </c>
      <c r="D1098" s="1" t="inlineStr">
        <is>
          <t>ADIDAS Performance Big Logo Duffle Bag  (Black)</t>
        </is>
      </c>
      <c r="E1098" s="1" t="inlineStr">
        <is>
          <t>ADIDAS</t>
        </is>
      </c>
      <c r="F1098" s="1" t="inlineStr">
        <is>
          <t>BOSTON/DUFFLE BAG</t>
        </is>
      </c>
      <c r="G1098" s="1" t="inlineStr">
        <is>
          <t>GF3010101411</t>
        </is>
      </c>
      <c r="H1098" s="1" t="n">
        <v>1</v>
      </c>
      <c r="I1098" s="1" t="inlineStr">
        <is>
          <t>มี</t>
        </is>
      </c>
      <c r="J1098" s="13" t="n">
        <v>99</v>
      </c>
      <c r="K1098" s="1" t="inlineStr"/>
      <c r="L1098" s="13" t="n">
        <v>69</v>
      </c>
      <c r="M1098" s="1">
        <f>IF(L1098="","ไม่พบใน SG",IF(ABS(J1098-L1098)&lt;0.005,"ตรงกัน","ไม่ตรง"))</f>
        <v/>
      </c>
      <c r="N1098" s="14">
        <f>IF(L1098="","",ROUND(L1098*'สรุป'!$C$6,-1))</f>
        <v/>
      </c>
      <c r="O1098" s="15" t="n"/>
      <c r="P1098" s="15" t="n"/>
      <c r="Q1098" s="10" t="n"/>
      <c r="R1098" s="10" t="n"/>
      <c r="S1098" s="16" t="inlineStr">
        <is>
          <t>https://mstgolf.co.th/products/gf3010101411</t>
        </is>
      </c>
      <c r="T1098" s="1">
        <f>IF(B1098="ไม้กอล์ฟ",J1098,"")</f>
        <v/>
      </c>
    </row>
    <row r="1099">
      <c r="A1099" s="1" t="n">
        <v>2</v>
      </c>
      <c r="B1099" s="1" t="inlineStr">
        <is>
          <t>ถุงกอล์ฟ</t>
        </is>
      </c>
      <c r="C1099" s="1" t="inlineStr">
        <is>
          <t>gf3010101410</t>
        </is>
      </c>
      <c r="D1099" s="1" t="inlineStr">
        <is>
          <t>ADIDAS Performance Big Logo Duffle Bag (White)</t>
        </is>
      </c>
      <c r="E1099" s="1" t="inlineStr">
        <is>
          <t>ADIDAS</t>
        </is>
      </c>
      <c r="F1099" s="1" t="inlineStr">
        <is>
          <t>BOSTON/DUFFLE BAG</t>
        </is>
      </c>
      <c r="G1099" s="1" t="inlineStr">
        <is>
          <t>GF3010101410</t>
        </is>
      </c>
      <c r="H1099" s="1" t="n">
        <v>1</v>
      </c>
      <c r="I1099" s="1" t="inlineStr">
        <is>
          <t>มี</t>
        </is>
      </c>
      <c r="J1099" s="13" t="n">
        <v>99</v>
      </c>
      <c r="K1099" s="1" t="inlineStr"/>
      <c r="L1099" s="13" t="n">
        <v>69</v>
      </c>
      <c r="M1099" s="1">
        <f>IF(L1099="","ไม่พบใน SG",IF(ABS(J1099-L1099)&lt;0.005,"ตรงกัน","ไม่ตรง"))</f>
        <v/>
      </c>
      <c r="N1099" s="14">
        <f>IF(L1099="","",ROUND(L1099*'สรุป'!$C$6,-1))</f>
        <v/>
      </c>
      <c r="O1099" s="15" t="n"/>
      <c r="P1099" s="15" t="n"/>
      <c r="Q1099" s="10" t="n"/>
      <c r="R1099" s="10" t="n"/>
      <c r="S1099" s="16" t="inlineStr">
        <is>
          <t>https://mstgolf.co.th/products/gf3010101410</t>
        </is>
      </c>
      <c r="T1099" s="1">
        <f>IF(B1099="ไม้กอล์ฟ",J1099,"")</f>
        <v/>
      </c>
    </row>
    <row r="1100">
      <c r="A1100" s="1" t="n">
        <v>2</v>
      </c>
      <c r="B1100" s="1" t="inlineStr">
        <is>
          <t>รองเท้า</t>
        </is>
      </c>
      <c r="C1100" s="1" t="inlineStr">
        <is>
          <t>gf2500200964</t>
        </is>
      </c>
      <c r="D1100" s="1" t="inlineStr">
        <is>
          <t>FOOTJOY Fuel Sport Men's Spikeless Shoes (White/Pink)</t>
        </is>
      </c>
      <c r="E1100" s="1" t="inlineStr">
        <is>
          <t>FOOTJOY</t>
        </is>
      </c>
      <c r="F1100" s="1" t="inlineStr">
        <is>
          <t>SPIKELESS SHOES</t>
        </is>
      </c>
      <c r="G1100" s="1" t="inlineStr">
        <is>
          <t>GF2500200964US6.5</t>
        </is>
      </c>
      <c r="H1100" s="1" t="n">
        <v>10</v>
      </c>
      <c r="I1100" s="1" t="inlineStr">
        <is>
          <t>มี</t>
        </is>
      </c>
      <c r="J1100" s="13" t="n">
        <v>99</v>
      </c>
      <c r="K1100" s="1" t="inlineStr"/>
      <c r="L1100" s="13" t="n">
        <v>99</v>
      </c>
      <c r="M1100" s="1">
        <f>IF(L1100="","ไม่พบใน SG",IF(ABS(J1100-L1100)&lt;0.005,"ตรงกัน","ไม่ตรง"))</f>
        <v/>
      </c>
      <c r="N1100" s="14">
        <f>IF(L1100="","",ROUND(L1100*'สรุป'!$C$6,-1))</f>
        <v/>
      </c>
      <c r="O1100" s="15" t="n"/>
      <c r="P1100" s="15" t="n"/>
      <c r="Q1100" s="10" t="n"/>
      <c r="R1100" s="10" t="n"/>
      <c r="S1100" s="16" t="inlineStr">
        <is>
          <t>https://mstgolf.co.th/products/gf2500200964</t>
        </is>
      </c>
      <c r="T1100" s="1">
        <f>IF(B1100="ไม้กอล์ฟ",J1100,"")</f>
        <v/>
      </c>
    </row>
    <row r="1101">
      <c r="A1101" s="1" t="n">
        <v>2</v>
      </c>
      <c r="B1101" s="1" t="inlineStr">
        <is>
          <t>รองเท้า</t>
        </is>
      </c>
      <c r="C1101" s="1" t="inlineStr">
        <is>
          <t>gf2500102643</t>
        </is>
      </c>
      <c r="D1101" s="1" t="inlineStr">
        <is>
          <t>FOOTJOY Originals Men's Spiked Shoes (White/Navy)</t>
        </is>
      </c>
      <c r="E1101" s="1" t="inlineStr">
        <is>
          <t>FOOTJOY</t>
        </is>
      </c>
      <c r="F1101" s="1" t="inlineStr">
        <is>
          <t>SPIKE SHOES</t>
        </is>
      </c>
      <c r="G1101" s="1" t="inlineStr">
        <is>
          <t>GF2500102643US6.5</t>
        </is>
      </c>
      <c r="H1101" s="1" t="n">
        <v>10</v>
      </c>
      <c r="I1101" s="1" t="inlineStr">
        <is>
          <t>มี</t>
        </is>
      </c>
      <c r="J1101" s="13" t="n">
        <v>99</v>
      </c>
      <c r="K1101" s="1" t="inlineStr"/>
      <c r="L1101" s="13" t="n">
        <v>99</v>
      </c>
      <c r="M1101" s="1">
        <f>IF(L1101="","ไม่พบใน SG",IF(ABS(J1101-L1101)&lt;0.005,"ตรงกัน","ไม่ตรง"))</f>
        <v/>
      </c>
      <c r="N1101" s="14">
        <f>IF(L1101="","",ROUND(L1101*'สรุป'!$C$6,-1))</f>
        <v/>
      </c>
      <c r="O1101" s="15" t="n"/>
      <c r="P1101" s="15" t="n"/>
      <c r="Q1101" s="10" t="n"/>
      <c r="R1101" s="10" t="n"/>
      <c r="S1101" s="16" t="inlineStr">
        <is>
          <t>https://mstgolf.co.th/products/gf2500102643</t>
        </is>
      </c>
      <c r="T1101" s="1">
        <f>IF(B1101="ไม้กอล์ฟ",J1101,"")</f>
        <v/>
      </c>
    </row>
    <row r="1102">
      <c r="A1102" s="1" t="n">
        <v>2</v>
      </c>
      <c r="B1102" s="1" t="inlineStr">
        <is>
          <t>ถุงกอล์ฟ</t>
        </is>
      </c>
      <c r="C1102" s="1" t="inlineStr">
        <is>
          <t>gf3010300465</t>
        </is>
      </c>
      <c r="D1102" s="1" t="inlineStr">
        <is>
          <t>NIKE Utility Speed Training Backpack (Black)</t>
        </is>
      </c>
      <c r="E1102" s="1" t="inlineStr">
        <is>
          <t>NIKE</t>
        </is>
      </c>
      <c r="F1102" s="1" t="inlineStr">
        <is>
          <t>BACKPACK/RUCKSACK</t>
        </is>
      </c>
      <c r="G1102" s="1" t="inlineStr">
        <is>
          <t>GF3010300465</t>
        </is>
      </c>
      <c r="H1102" s="1" t="n">
        <v>1</v>
      </c>
      <c r="I1102" s="1" t="inlineStr">
        <is>
          <t>มี</t>
        </is>
      </c>
      <c r="J1102" s="13" t="n">
        <v>99</v>
      </c>
      <c r="K1102" s="1" t="inlineStr"/>
      <c r="L1102" s="13" t="n">
        <v>99</v>
      </c>
      <c r="M1102" s="1">
        <f>IF(L1102="","ไม่พบใน SG",IF(ABS(J1102-L1102)&lt;0.005,"ตรงกัน","ไม่ตรง"))</f>
        <v/>
      </c>
      <c r="N1102" s="14">
        <f>IF(L1102="","",ROUND(L1102*'สรุป'!$C$6,-1))</f>
        <v/>
      </c>
      <c r="O1102" s="15" t="n"/>
      <c r="P1102" s="15" t="n"/>
      <c r="Q1102" s="10" t="n"/>
      <c r="R1102" s="10" t="n"/>
      <c r="S1102" s="16" t="inlineStr">
        <is>
          <t>https://mstgolf.co.th/products/gf3010300465</t>
        </is>
      </c>
      <c r="T1102" s="1">
        <f>IF(B1102="ไม้กอล์ฟ",J1102,"")</f>
        <v/>
      </c>
    </row>
    <row r="1103">
      <c r="A1103" s="1" t="n">
        <v>2</v>
      </c>
      <c r="B1103" s="1" t="inlineStr">
        <is>
          <t>รองเท้า</t>
        </is>
      </c>
      <c r="C1103" s="1" t="inlineStr">
        <is>
          <t>gf2500102696</t>
        </is>
      </c>
      <c r="D1103" s="1" t="inlineStr">
        <is>
          <t>PUMA Fusion Flex Men's Spikeless Shoes (Black/Sky)</t>
        </is>
      </c>
      <c r="E1103" s="1" t="inlineStr">
        <is>
          <t>PUMA</t>
        </is>
      </c>
      <c r="F1103" s="1" t="inlineStr">
        <is>
          <t>SPIKE SHOES</t>
        </is>
      </c>
      <c r="G1103" s="1" t="inlineStr">
        <is>
          <t>GF2500102696UK6</t>
        </is>
      </c>
      <c r="H1103" s="1" t="n">
        <v>15</v>
      </c>
      <c r="I1103" s="1" t="inlineStr">
        <is>
          <t>มี</t>
        </is>
      </c>
      <c r="J1103" s="13" t="n">
        <v>99</v>
      </c>
      <c r="K1103" s="1" t="inlineStr"/>
      <c r="L1103" s="13" t="n">
        <v>99</v>
      </c>
      <c r="M1103" s="1">
        <f>IF(L1103="","ไม่พบใน SG",IF(ABS(J1103-L1103)&lt;0.005,"ตรงกัน","ไม่ตรง"))</f>
        <v/>
      </c>
      <c r="N1103" s="14">
        <f>IF(L1103="","",ROUND(L1103*'สรุป'!$C$6,-1))</f>
        <v/>
      </c>
      <c r="O1103" s="15" t="n"/>
      <c r="P1103" s="15" t="n"/>
      <c r="Q1103" s="10" t="n"/>
      <c r="R1103" s="10" t="n"/>
      <c r="S1103" s="16" t="inlineStr">
        <is>
          <t>https://mstgolf.co.th/products/gf2500102696</t>
        </is>
      </c>
      <c r="T1103" s="1">
        <f>IF(B1103="ไม้กอล์ฟ",J1103,"")</f>
        <v/>
      </c>
    </row>
    <row r="1104">
      <c r="A1104" s="1" t="n">
        <v>2</v>
      </c>
      <c r="B1104" s="1" t="inlineStr">
        <is>
          <t>รองเท้า</t>
        </is>
      </c>
      <c r="C1104" s="1" t="inlineStr">
        <is>
          <t>gf2500102697</t>
        </is>
      </c>
      <c r="D1104" s="1" t="inlineStr">
        <is>
          <t>PUMA Fusion Flex Men's Spikeless Shoes (White/Black)</t>
        </is>
      </c>
      <c r="E1104" s="1" t="inlineStr">
        <is>
          <t>PUMA</t>
        </is>
      </c>
      <c r="F1104" s="1" t="inlineStr">
        <is>
          <t>SPIKE SHOES</t>
        </is>
      </c>
      <c r="G1104" s="1" t="inlineStr">
        <is>
          <t>GF2500102697UK6.5</t>
        </is>
      </c>
      <c r="H1104" s="1" t="n">
        <v>11</v>
      </c>
      <c r="I1104" s="1" t="inlineStr">
        <is>
          <t>มี</t>
        </is>
      </c>
      <c r="J1104" s="13" t="n">
        <v>99</v>
      </c>
      <c r="K1104" s="1" t="inlineStr"/>
      <c r="L1104" s="13" t="n">
        <v>99</v>
      </c>
      <c r="M1104" s="1">
        <f>IF(L1104="","ไม่พบใน SG",IF(ABS(J1104-L1104)&lt;0.005,"ตรงกัน","ไม่ตรง"))</f>
        <v/>
      </c>
      <c r="N1104" s="14">
        <f>IF(L1104="","",ROUND(L1104*'สรุป'!$C$6,-1))</f>
        <v/>
      </c>
      <c r="O1104" s="15" t="n"/>
      <c r="P1104" s="15" t="n"/>
      <c r="Q1104" s="10" t="n"/>
      <c r="R1104" s="10" t="n"/>
      <c r="S1104" s="16" t="inlineStr">
        <is>
          <t>https://mstgolf.co.th/products/gf2500102697</t>
        </is>
      </c>
      <c r="T1104" s="1">
        <f>IF(B1104="ไม้กอล์ฟ",J1104,"")</f>
        <v/>
      </c>
    </row>
    <row r="1105">
      <c r="A1105" s="1" t="n">
        <v>2</v>
      </c>
      <c r="B1105" s="1" t="inlineStr">
        <is>
          <t>รองเท้า</t>
        </is>
      </c>
      <c r="C1105" s="1" t="inlineStr">
        <is>
          <t>gf2500200917</t>
        </is>
      </c>
      <c r="D1105" s="1" t="inlineStr">
        <is>
          <t>PUMA IGNITE ELEVATE Men's Spikeless Shoes (White/Navy)</t>
        </is>
      </c>
      <c r="E1105" s="1" t="inlineStr">
        <is>
          <t>PUMA</t>
        </is>
      </c>
      <c r="F1105" s="1" t="inlineStr">
        <is>
          <t>SPIKELESS SHOES</t>
        </is>
      </c>
      <c r="G1105" s="1" t="inlineStr">
        <is>
          <t>GF2500200917UK6</t>
        </is>
      </c>
      <c r="H1105" s="1" t="n">
        <v>12</v>
      </c>
      <c r="I1105" s="1" t="inlineStr">
        <is>
          <t>มี</t>
        </is>
      </c>
      <c r="J1105" s="13" t="n">
        <v>99</v>
      </c>
      <c r="K1105" s="1" t="inlineStr"/>
      <c r="L1105" s="13" t="n">
        <v>99</v>
      </c>
      <c r="M1105" s="1">
        <f>IF(L1105="","ไม่พบใน SG",IF(ABS(J1105-L1105)&lt;0.005,"ตรงกัน","ไม่ตรง"))</f>
        <v/>
      </c>
      <c r="N1105" s="14">
        <f>IF(L1105="","",ROUND(L1105*'สรุป'!$C$6,-1))</f>
        <v/>
      </c>
      <c r="O1105" s="15" t="n"/>
      <c r="P1105" s="15" t="n"/>
      <c r="Q1105" s="10" t="n"/>
      <c r="R1105" s="10" t="n"/>
      <c r="S1105" s="16" t="inlineStr">
        <is>
          <t>https://mstgolf.co.th/products/gf2500200917</t>
        </is>
      </c>
      <c r="T1105" s="1">
        <f>IF(B1105="ไม้กอล์ฟ",J1105,"")</f>
        <v/>
      </c>
    </row>
    <row r="1106">
      <c r="A1106" s="1" t="n">
        <v>2</v>
      </c>
      <c r="B1106" s="1" t="inlineStr">
        <is>
          <t>รองเท้า</t>
        </is>
      </c>
      <c r="C1106" s="1" t="inlineStr">
        <is>
          <t>gf2500102717</t>
        </is>
      </c>
      <c r="D1106" s="1" t="inlineStr">
        <is>
          <t>PUMA Shadowcat NITRO Disc Men's Spikeless Shoes (Blue)</t>
        </is>
      </c>
      <c r="E1106" s="1" t="inlineStr">
        <is>
          <t>PUMA</t>
        </is>
      </c>
      <c r="F1106" s="1" t="inlineStr">
        <is>
          <t>SPIKELESS SHOES</t>
        </is>
      </c>
      <c r="G1106" s="1" t="inlineStr">
        <is>
          <t>GF2500102717UK6</t>
        </is>
      </c>
      <c r="H1106" s="1" t="n">
        <v>13</v>
      </c>
      <c r="I1106" s="1" t="inlineStr">
        <is>
          <t>มี</t>
        </is>
      </c>
      <c r="J1106" s="13" t="n">
        <v>99</v>
      </c>
      <c r="K1106" s="1" t="inlineStr"/>
      <c r="L1106" s="13" t="n">
        <v>99</v>
      </c>
      <c r="M1106" s="1">
        <f>IF(L1106="","ไม่พบใน SG",IF(ABS(J1106-L1106)&lt;0.005,"ตรงกัน","ไม่ตรง"))</f>
        <v/>
      </c>
      <c r="N1106" s="14">
        <f>IF(L1106="","",ROUND(L1106*'สรุป'!$C$6,-1))</f>
        <v/>
      </c>
      <c r="O1106" s="15" t="n"/>
      <c r="P1106" s="15" t="n"/>
      <c r="Q1106" s="10" t="n"/>
      <c r="R1106" s="10" t="n"/>
      <c r="S1106" s="16" t="inlineStr">
        <is>
          <t>https://mstgolf.co.th/products/gf2500102717</t>
        </is>
      </c>
      <c r="T1106" s="1">
        <f>IF(B1106="ไม้กอล์ฟ",J1106,"")</f>
        <v/>
      </c>
    </row>
    <row r="1107">
      <c r="A1107" s="1" t="n">
        <v>2</v>
      </c>
      <c r="B1107" s="1" t="inlineStr">
        <is>
          <t>รองเท้า</t>
        </is>
      </c>
      <c r="C1107" s="1" t="inlineStr">
        <is>
          <t>gf2500102718</t>
        </is>
      </c>
      <c r="D1107" s="1" t="inlineStr">
        <is>
          <t>PUMA Shadowcat NITRO Disc Men's Spikeless Shoes (Grey)</t>
        </is>
      </c>
      <c r="E1107" s="1" t="inlineStr">
        <is>
          <t>PUMA</t>
        </is>
      </c>
      <c r="F1107" s="1" t="inlineStr">
        <is>
          <t>SPIKELESS SHOES</t>
        </is>
      </c>
      <c r="G1107" s="1" t="inlineStr">
        <is>
          <t>GF2500102718UK6</t>
        </is>
      </c>
      <c r="H1107" s="1" t="n">
        <v>13</v>
      </c>
      <c r="I1107" s="1" t="inlineStr">
        <is>
          <t>มี</t>
        </is>
      </c>
      <c r="J1107" s="13" t="n">
        <v>99</v>
      </c>
      <c r="K1107" s="1" t="inlineStr"/>
      <c r="L1107" s="13" t="n">
        <v>99</v>
      </c>
      <c r="M1107" s="1">
        <f>IF(L1107="","ไม่พบใน SG",IF(ABS(J1107-L1107)&lt;0.005,"ตรงกัน","ไม่ตรง"))</f>
        <v/>
      </c>
      <c r="N1107" s="14">
        <f>IF(L1107="","",ROUND(L1107*'สรุป'!$C$6,-1))</f>
        <v/>
      </c>
      <c r="O1107" s="15" t="n"/>
      <c r="P1107" s="15" t="n"/>
      <c r="Q1107" s="10" t="n"/>
      <c r="R1107" s="10" t="n"/>
      <c r="S1107" s="16" t="inlineStr">
        <is>
          <t>https://mstgolf.co.th/products/gf2500102718</t>
        </is>
      </c>
      <c r="T1107" s="1">
        <f>IF(B1107="ไม้กอล์ฟ",J1107,"")</f>
        <v/>
      </c>
    </row>
    <row r="1108">
      <c r="A1108" s="1" t="n">
        <v>2</v>
      </c>
      <c r="B1108" s="1" t="inlineStr">
        <is>
          <t>อุปกรณ์ฝึกซ้อม</t>
        </is>
      </c>
      <c r="C1108" s="1" t="inlineStr">
        <is>
          <t>gf3040200043</t>
        </is>
      </c>
      <c r="D1108" s="1" t="inlineStr">
        <is>
          <t>TABATA Putting Mat 2.2m X 0.3m</t>
        </is>
      </c>
      <c r="E1108" s="1" t="inlineStr">
        <is>
          <t>TABATA</t>
        </is>
      </c>
      <c r="F1108" s="1" t="inlineStr">
        <is>
          <t>PUTT / CHIP</t>
        </is>
      </c>
      <c r="G1108" s="1" t="inlineStr">
        <is>
          <t>GF3040200043</t>
        </is>
      </c>
      <c r="H1108" s="1" t="n">
        <v>1</v>
      </c>
      <c r="I1108" s="1" t="inlineStr">
        <is>
          <t>มี</t>
        </is>
      </c>
      <c r="J1108" s="13" t="n">
        <v>99</v>
      </c>
      <c r="K1108" s="1" t="inlineStr"/>
      <c r="L1108" s="13" t="n">
        <v>99</v>
      </c>
      <c r="M1108" s="1">
        <f>IF(L1108="","ไม่พบใน SG",IF(ABS(J1108-L1108)&lt;0.005,"ตรงกัน","ไม่ตรง"))</f>
        <v/>
      </c>
      <c r="N1108" s="14">
        <f>IF(L1108="","",ROUND(L1108*'สรุป'!$C$6,-1))</f>
        <v/>
      </c>
      <c r="O1108" s="15" t="n"/>
      <c r="P1108" s="15" t="n"/>
      <c r="Q1108" s="10" t="n"/>
      <c r="R1108" s="10" t="n"/>
      <c r="S1108" s="16" t="inlineStr">
        <is>
          <t>https://mstgolf.co.th/products/gf3040200043</t>
        </is>
      </c>
      <c r="T1108" s="1">
        <f>IF(B1108="ไม้กอล์ฟ",J1108,"")</f>
        <v/>
      </c>
    </row>
    <row r="1109">
      <c r="A1109" s="1" t="n">
        <v>2</v>
      </c>
      <c r="B1109" s="1" t="inlineStr">
        <is>
          <t>ถุงกอล์ฟ</t>
        </is>
      </c>
      <c r="C1109" s="1" t="inlineStr">
        <is>
          <t>gf3010101005</t>
        </is>
      </c>
      <c r="D1109" s="1" t="inlineStr">
        <is>
          <t>TAYLORMADE Sport Modern Boston Bag (Navy/White)</t>
        </is>
      </c>
      <c r="E1109" s="1" t="inlineStr">
        <is>
          <t>TAYLORMADE</t>
        </is>
      </c>
      <c r="F1109" s="1" t="inlineStr">
        <is>
          <t>BOSTON/DUFFLE BAG</t>
        </is>
      </c>
      <c r="G1109" s="1" t="inlineStr">
        <is>
          <t>GF3010101005</t>
        </is>
      </c>
      <c r="H1109" s="1" t="n">
        <v>1</v>
      </c>
      <c r="I1109" s="1" t="inlineStr">
        <is>
          <t>มี</t>
        </is>
      </c>
      <c r="J1109" s="13" t="n">
        <v>99</v>
      </c>
      <c r="K1109" s="1" t="inlineStr"/>
      <c r="L1109" s="13" t="n">
        <v>99</v>
      </c>
      <c r="M1109" s="1">
        <f>IF(L1109="","ไม่พบใน SG",IF(ABS(J1109-L1109)&lt;0.005,"ตรงกัน","ไม่ตรง"))</f>
        <v/>
      </c>
      <c r="N1109" s="14">
        <f>IF(L1109="","",ROUND(L1109*'สรุป'!$C$6,-1))</f>
        <v/>
      </c>
      <c r="O1109" s="15" t="n"/>
      <c r="P1109" s="15" t="n"/>
      <c r="Q1109" s="10" t="n"/>
      <c r="R1109" s="10" t="n"/>
      <c r="S1109" s="16" t="inlineStr">
        <is>
          <t>https://mstgolf.co.th/products/gf3010101005</t>
        </is>
      </c>
      <c r="T1109" s="1">
        <f>IF(B1109="ไม้กอล์ฟ",J1109,"")</f>
        <v/>
      </c>
    </row>
    <row r="1110">
      <c r="A1110" s="1" t="n">
        <v>2</v>
      </c>
      <c r="B1110" s="1" t="inlineStr">
        <is>
          <t>ถุงกอล์ฟ</t>
        </is>
      </c>
      <c r="C1110" s="1" t="inlineStr">
        <is>
          <t>gf3010300409</t>
        </is>
      </c>
      <c r="D1110" s="1" t="inlineStr">
        <is>
          <t>OAKLEY Freshman Skate Backpack (Camo)</t>
        </is>
      </c>
      <c r="E1110" s="1" t="inlineStr">
        <is>
          <t>OAKLEY</t>
        </is>
      </c>
      <c r="F1110" s="1" t="inlineStr">
        <is>
          <t>BACKPACK/RUCKSACK</t>
        </is>
      </c>
      <c r="G1110" s="1" t="inlineStr">
        <is>
          <t>GF3010300409</t>
        </is>
      </c>
      <c r="H1110" s="1" t="n">
        <v>1</v>
      </c>
      <c r="I1110" s="1" t="inlineStr">
        <is>
          <t>มี</t>
        </is>
      </c>
      <c r="J1110" s="13" t="n">
        <v>96</v>
      </c>
      <c r="K1110" s="1" t="inlineStr"/>
      <c r="L1110" s="13" t="n">
        <v>96</v>
      </c>
      <c r="M1110" s="1">
        <f>IF(L1110="","ไม่พบใน SG",IF(ABS(J1110-L1110)&lt;0.005,"ตรงกัน","ไม่ตรง"))</f>
        <v/>
      </c>
      <c r="N1110" s="14">
        <f>IF(L1110="","",ROUND(L1110*'สรุป'!$C$6,-1))</f>
        <v/>
      </c>
      <c r="O1110" s="15" t="n"/>
      <c r="P1110" s="15" t="n"/>
      <c r="Q1110" s="10" t="n"/>
      <c r="R1110" s="10" t="n"/>
      <c r="S1110" s="16" t="inlineStr">
        <is>
          <t>https://mstgolf.co.th/products/gf3010300409</t>
        </is>
      </c>
      <c r="T1110" s="1">
        <f>IF(B1110="ไม้กอล์ฟ",J1110,"")</f>
        <v/>
      </c>
    </row>
    <row r="1111">
      <c r="A1111" s="1" t="n">
        <v>2</v>
      </c>
      <c r="B1111" s="1" t="inlineStr">
        <is>
          <t>ถุงกอล์ฟ</t>
        </is>
      </c>
      <c r="C1111" s="1" t="inlineStr">
        <is>
          <t>gf3010300408</t>
        </is>
      </c>
      <c r="D1111" s="1" t="inlineStr">
        <is>
          <t>OAKLEY Freshman Skate Backpack (Dark Brush)</t>
        </is>
      </c>
      <c r="E1111" s="1" t="inlineStr">
        <is>
          <t>OAKLEY</t>
        </is>
      </c>
      <c r="F1111" s="1" t="inlineStr">
        <is>
          <t>BACKPACK/RUCKSACK</t>
        </is>
      </c>
      <c r="G1111" s="1" t="inlineStr">
        <is>
          <t>GF3010300408</t>
        </is>
      </c>
      <c r="H1111" s="1" t="n">
        <v>1</v>
      </c>
      <c r="I1111" s="1" t="inlineStr">
        <is>
          <t>มี</t>
        </is>
      </c>
      <c r="J1111" s="13" t="n">
        <v>96</v>
      </c>
      <c r="K1111" s="1" t="inlineStr"/>
      <c r="L1111" s="13" t="n">
        <v>96</v>
      </c>
      <c r="M1111" s="1">
        <f>IF(L1111="","ไม่พบใน SG",IF(ABS(J1111-L1111)&lt;0.005,"ตรงกัน","ไม่ตรง"))</f>
        <v/>
      </c>
      <c r="N1111" s="14">
        <f>IF(L1111="","",ROUND(L1111*'สรุป'!$C$6,-1))</f>
        <v/>
      </c>
      <c r="O1111" s="15" t="n"/>
      <c r="P1111" s="15" t="n"/>
      <c r="Q1111" s="10" t="n"/>
      <c r="R1111" s="10" t="n"/>
      <c r="S1111" s="16" t="inlineStr">
        <is>
          <t>https://mstgolf.co.th/products/gf3010300408</t>
        </is>
      </c>
      <c r="T1111" s="1">
        <f>IF(B1111="ไม้กอล์ฟ",J1111,"")</f>
        <v/>
      </c>
    </row>
    <row r="1112">
      <c r="A1112" s="1" t="n">
        <v>2</v>
      </c>
      <c r="B1112" s="1" t="inlineStr">
        <is>
          <t>รองเท้า</t>
        </is>
      </c>
      <c r="C1112" s="1" t="inlineStr">
        <is>
          <t>gf2500200616</t>
        </is>
      </c>
      <c r="D1112" s="1" t="inlineStr">
        <is>
          <t>ADIDAS CODECHAOS Primeblue Women's Spikeless Shoes (White/Blue/Red)</t>
        </is>
      </c>
      <c r="E1112" s="1" t="inlineStr">
        <is>
          <t>ADIDAS</t>
        </is>
      </c>
      <c r="F1112" s="1" t="inlineStr">
        <is>
          <t>SPIKELESS SHOES</t>
        </is>
      </c>
      <c r="G1112" s="1" t="inlineStr">
        <is>
          <t>GF2500200616UK4</t>
        </is>
      </c>
      <c r="H1112" s="1" t="n">
        <v>9</v>
      </c>
      <c r="I1112" s="1" t="inlineStr">
        <is>
          <t>มี</t>
        </is>
      </c>
      <c r="J1112" s="13" t="n">
        <v>95</v>
      </c>
      <c r="K1112" s="1" t="inlineStr"/>
      <c r="L1112" s="13" t="n">
        <v>95</v>
      </c>
      <c r="M1112" s="1">
        <f>IF(L1112="","ไม่พบใน SG",IF(ABS(J1112-L1112)&lt;0.005,"ตรงกัน","ไม่ตรง"))</f>
        <v/>
      </c>
      <c r="N1112" s="14">
        <f>IF(L1112="","",ROUND(L1112*'สรุป'!$C$6,-1))</f>
        <v/>
      </c>
      <c r="O1112" s="15" t="n"/>
      <c r="P1112" s="15" t="n"/>
      <c r="Q1112" s="10" t="n"/>
      <c r="R1112" s="10" t="n"/>
      <c r="S1112" s="16" t="inlineStr">
        <is>
          <t>https://mstgolf.co.th/products/gf2500200616</t>
        </is>
      </c>
      <c r="T1112" s="1">
        <f>IF(B1112="ไม้กอล์ฟ",J1112,"")</f>
        <v/>
      </c>
    </row>
    <row r="1113">
      <c r="A1113" s="1" t="n">
        <v>2</v>
      </c>
      <c r="B1113" s="1" t="inlineStr">
        <is>
          <t>รองเท้า</t>
        </is>
      </c>
      <c r="C1113" s="1" t="inlineStr">
        <is>
          <t>gf2500201151</t>
        </is>
      </c>
      <c r="D1113" s="1" t="inlineStr">
        <is>
          <t>ADIDAS CodeChaos BOA Women's Spikeless Shoes (White/Green)</t>
        </is>
      </c>
      <c r="E1113" s="1" t="inlineStr">
        <is>
          <t>ADIDAS</t>
        </is>
      </c>
      <c r="F1113" s="1" t="inlineStr">
        <is>
          <t>SPIKELESS SHOES</t>
        </is>
      </c>
      <c r="G1113" s="1" t="inlineStr">
        <is>
          <t>GF2500201151UK4.5</t>
        </is>
      </c>
      <c r="H1113" s="1" t="n">
        <v>8</v>
      </c>
      <c r="I1113" s="1" t="inlineStr">
        <is>
          <t>มี</t>
        </is>
      </c>
      <c r="J1113" s="13" t="n">
        <v>95</v>
      </c>
      <c r="K1113" s="1" t="inlineStr"/>
      <c r="L1113" s="13" t="n">
        <v>95</v>
      </c>
      <c r="M1113" s="1">
        <f>IF(L1113="","ไม่พบใน SG",IF(ABS(J1113-L1113)&lt;0.005,"ตรงกัน","ไม่ตรง"))</f>
        <v/>
      </c>
      <c r="N1113" s="14">
        <f>IF(L1113="","",ROUND(L1113*'สรุป'!$C$6,-1))</f>
        <v/>
      </c>
      <c r="O1113" s="15" t="n"/>
      <c r="P1113" s="15" t="n"/>
      <c r="Q1113" s="10" t="n"/>
      <c r="R1113" s="10" t="n"/>
      <c r="S1113" s="16" t="inlineStr">
        <is>
          <t>https://mstgolf.co.th/products/gf2500201151</t>
        </is>
      </c>
      <c r="T1113" s="1">
        <f>IF(B1113="ไม้กอล์ฟ",J1113,"")</f>
        <v/>
      </c>
    </row>
    <row r="1114">
      <c r="A1114" s="1" t="n">
        <v>2</v>
      </c>
      <c r="B1114" s="1" t="inlineStr">
        <is>
          <t>รองเท้า</t>
        </is>
      </c>
      <c r="C1114" s="1" t="inlineStr">
        <is>
          <t>gf2500201148</t>
        </is>
      </c>
      <c r="D1114" s="1" t="inlineStr">
        <is>
          <t>ADIDAS CodeChaos Men's Spikeless Shoes (White/Grey/Yellow)</t>
        </is>
      </c>
      <c r="E1114" s="1" t="inlineStr">
        <is>
          <t>ADIDAS</t>
        </is>
      </c>
      <c r="F1114" s="1" t="inlineStr">
        <is>
          <t>SPIKELESS SHOES</t>
        </is>
      </c>
      <c r="G1114" s="1" t="inlineStr">
        <is>
          <t>GF2500201148UK6.5</t>
        </is>
      </c>
      <c r="H1114" s="1" t="n">
        <v>12</v>
      </c>
      <c r="I1114" s="1" t="inlineStr">
        <is>
          <t>มี</t>
        </is>
      </c>
      <c r="J1114" s="13" t="n">
        <v>95</v>
      </c>
      <c r="K1114" s="1" t="inlineStr"/>
      <c r="L1114" s="13" t="n">
        <v>95</v>
      </c>
      <c r="M1114" s="1">
        <f>IF(L1114="","ไม่พบใน SG",IF(ABS(J1114-L1114)&lt;0.005,"ตรงกัน","ไม่ตรง"))</f>
        <v/>
      </c>
      <c r="N1114" s="14">
        <f>IF(L1114="","",ROUND(L1114*'สรุป'!$C$6,-1))</f>
        <v/>
      </c>
      <c r="O1114" s="15" t="n"/>
      <c r="P1114" s="15" t="n"/>
      <c r="Q1114" s="10" t="n"/>
      <c r="R1114" s="10" t="n"/>
      <c r="S1114" s="16" t="inlineStr">
        <is>
          <t>https://mstgolf.co.th/products/gf2500201148</t>
        </is>
      </c>
      <c r="T1114" s="1">
        <f>IF(B1114="ไม้กอล์ฟ",J1114,"")</f>
        <v/>
      </c>
    </row>
    <row r="1115">
      <c r="A1115" s="1" t="n">
        <v>2</v>
      </c>
      <c r="B1115" s="1" t="inlineStr">
        <is>
          <t>รองเท้า</t>
        </is>
      </c>
      <c r="C1115" s="1" t="inlineStr">
        <is>
          <t>gf2500200996</t>
        </is>
      </c>
      <c r="D1115" s="1" t="inlineStr">
        <is>
          <t>ADIDAS Codechaos BOA Women's Spikeless Shoes (White/Silver/Grey)</t>
        </is>
      </c>
      <c r="E1115" s="1" t="inlineStr">
        <is>
          <t>ADIDAS</t>
        </is>
      </c>
      <c r="F1115" s="1" t="inlineStr">
        <is>
          <t>SPIKELESS SHOES</t>
        </is>
      </c>
      <c r="G1115" s="1" t="inlineStr">
        <is>
          <t>GF2500200996UK4.5</t>
        </is>
      </c>
      <c r="H1115" s="1" t="n">
        <v>8</v>
      </c>
      <c r="I1115" s="1" t="inlineStr">
        <is>
          <t>มี</t>
        </is>
      </c>
      <c r="J1115" s="13" t="n">
        <v>95</v>
      </c>
      <c r="K1115" s="1" t="inlineStr"/>
      <c r="L1115" s="13" t="n">
        <v>95</v>
      </c>
      <c r="M1115" s="1">
        <f>IF(L1115="","ไม่พบใน SG",IF(ABS(J1115-L1115)&lt;0.005,"ตรงกัน","ไม่ตรง"))</f>
        <v/>
      </c>
      <c r="N1115" s="14">
        <f>IF(L1115="","",ROUND(L1115*'สรุป'!$C$6,-1))</f>
        <v/>
      </c>
      <c r="O1115" s="15" t="n"/>
      <c r="P1115" s="15" t="n"/>
      <c r="Q1115" s="10" t="n"/>
      <c r="R1115" s="10" t="n"/>
      <c r="S1115" s="16" t="inlineStr">
        <is>
          <t>https://mstgolf.co.th/products/gf2500200996</t>
        </is>
      </c>
      <c r="T1115" s="1">
        <f>IF(B1115="ไม้กอล์ฟ",J1115,"")</f>
        <v/>
      </c>
    </row>
    <row r="1116">
      <c r="A1116" s="1" t="n">
        <v>2</v>
      </c>
      <c r="B1116" s="1" t="inlineStr">
        <is>
          <t>รองเท้า</t>
        </is>
      </c>
      <c r="C1116" s="1" t="inlineStr">
        <is>
          <t>gf2500200938</t>
        </is>
      </c>
      <c r="D1116" s="1" t="inlineStr">
        <is>
          <t>PUMA x PTC IGNITE Elevate Men's Spikeless Shoes (Black/Silver/Green)</t>
        </is>
      </c>
      <c r="E1116" s="1" t="inlineStr">
        <is>
          <t>PUMA</t>
        </is>
      </c>
      <c r="F1116" s="1" t="inlineStr">
        <is>
          <t>SPIKELESS SHOES</t>
        </is>
      </c>
      <c r="G1116" s="1" t="inlineStr">
        <is>
          <t>GF2500200938UK6.5</t>
        </is>
      </c>
      <c r="H1116" s="1" t="n">
        <v>11</v>
      </c>
      <c r="I1116" s="1" t="inlineStr">
        <is>
          <t>มี</t>
        </is>
      </c>
      <c r="J1116" s="13" t="n">
        <v>95</v>
      </c>
      <c r="K1116" s="1" t="inlineStr"/>
      <c r="L1116" s="13" t="n">
        <v>95</v>
      </c>
      <c r="M1116" s="1">
        <f>IF(L1116="","ไม่พบใน SG",IF(ABS(J1116-L1116)&lt;0.005,"ตรงกัน","ไม่ตรง"))</f>
        <v/>
      </c>
      <c r="N1116" s="14">
        <f>IF(L1116="","",ROUND(L1116*'สรุป'!$C$6,-1))</f>
        <v/>
      </c>
      <c r="O1116" s="15" t="n"/>
      <c r="P1116" s="15" t="n"/>
      <c r="Q1116" s="10" t="n"/>
      <c r="R1116" s="10" t="n"/>
      <c r="S1116" s="16" t="inlineStr">
        <is>
          <t>https://mstgolf.co.th/products/gf2500200938</t>
        </is>
      </c>
      <c r="T1116" s="1">
        <f>IF(B1116="ไม้กอล์ฟ",J1116,"")</f>
        <v/>
      </c>
    </row>
    <row r="1117">
      <c r="A1117" s="1" t="n">
        <v>2</v>
      </c>
      <c r="B1117" s="1" t="inlineStr">
        <is>
          <t>อุปกรณ์ฝึกซ้อม</t>
        </is>
      </c>
      <c r="C1117" s="1" t="inlineStr">
        <is>
          <t>gf3040100025</t>
        </is>
      </c>
      <c r="D1117" s="1" t="inlineStr">
        <is>
          <t>TABATA Short Hard Tornado Stick</t>
        </is>
      </c>
      <c r="E1117" s="1" t="inlineStr">
        <is>
          <t>TABATA</t>
        </is>
      </c>
      <c r="F1117" s="1" t="inlineStr">
        <is>
          <t>SWING</t>
        </is>
      </c>
      <c r="G1117" s="1" t="inlineStr">
        <is>
          <t>GF3040100025</t>
        </is>
      </c>
      <c r="H1117" s="1" t="n">
        <v>1</v>
      </c>
      <c r="I1117" s="1" t="inlineStr">
        <is>
          <t>มี</t>
        </is>
      </c>
      <c r="J1117" s="13" t="n">
        <v>95</v>
      </c>
      <c r="K1117" s="1" t="inlineStr"/>
      <c r="L1117" s="13" t="n">
        <v>95</v>
      </c>
      <c r="M1117" s="1">
        <f>IF(L1117="","ไม่พบใน SG",IF(ABS(J1117-L1117)&lt;0.005,"ตรงกัน","ไม่ตรง"))</f>
        <v/>
      </c>
      <c r="N1117" s="14">
        <f>IF(L1117="","",ROUND(L1117*'สรุป'!$C$6,-1))</f>
        <v/>
      </c>
      <c r="O1117" s="15" t="n"/>
      <c r="P1117" s="15" t="n"/>
      <c r="Q1117" s="10" t="n"/>
      <c r="R1117" s="10" t="n"/>
      <c r="S1117" s="16" t="inlineStr">
        <is>
          <t>https://mstgolf.co.th/products/gf3040100025</t>
        </is>
      </c>
      <c r="T1117" s="1">
        <f>IF(B1117="ไม้กอล์ฟ",J1117,"")</f>
        <v/>
      </c>
    </row>
    <row r="1118">
      <c r="A1118" s="1" t="n">
        <v>2</v>
      </c>
      <c r="B1118" s="1" t="inlineStr">
        <is>
          <t>ถุงกอล์ฟ</t>
        </is>
      </c>
      <c r="C1118" s="1" t="inlineStr">
        <is>
          <t>gf3010100976</t>
        </is>
      </c>
      <c r="D1118" s="1" t="inlineStr">
        <is>
          <t>TAYLORMADE Performance Duffle Bag (Black)</t>
        </is>
      </c>
      <c r="E1118" s="1" t="inlineStr">
        <is>
          <t>TAYLORMADE</t>
        </is>
      </c>
      <c r="F1118" s="1" t="inlineStr">
        <is>
          <t>BOSTON/DUFFLE BAG</t>
        </is>
      </c>
      <c r="G1118" s="1" t="inlineStr">
        <is>
          <t>GF3010100976</t>
        </is>
      </c>
      <c r="H1118" s="1" t="n">
        <v>1</v>
      </c>
      <c r="I1118" s="1" t="inlineStr">
        <is>
          <t>มี</t>
        </is>
      </c>
      <c r="J1118" s="13" t="n">
        <v>95</v>
      </c>
      <c r="K1118" s="1" t="inlineStr"/>
      <c r="L1118" s="13" t="n">
        <v>95</v>
      </c>
      <c r="M1118" s="1">
        <f>IF(L1118="","ไม่พบใน SG",IF(ABS(J1118-L1118)&lt;0.005,"ตรงกัน","ไม่ตรง"))</f>
        <v/>
      </c>
      <c r="N1118" s="14">
        <f>IF(L1118="","",ROUND(L1118*'สรุป'!$C$6,-1))</f>
        <v/>
      </c>
      <c r="O1118" s="15" t="n"/>
      <c r="P1118" s="15" t="n"/>
      <c r="Q1118" s="10" t="n"/>
      <c r="R1118" s="10" t="n"/>
      <c r="S1118" s="16" t="inlineStr">
        <is>
          <t>https://mstgolf.co.th/products/gf3010100976</t>
        </is>
      </c>
      <c r="T1118" s="1">
        <f>IF(B1118="ไม้กอล์ฟ",J1118,"")</f>
        <v/>
      </c>
    </row>
    <row r="1119">
      <c r="A1119" s="1" t="n">
        <v>2</v>
      </c>
      <c r="B1119" s="1" t="inlineStr">
        <is>
          <t>รองเท้า</t>
        </is>
      </c>
      <c r="C1119" s="1" t="inlineStr">
        <is>
          <t>gf2500201016</t>
        </is>
      </c>
      <c r="D1119" s="1" t="inlineStr">
        <is>
          <t>FOOTJOY Fuel Sport Women's Spikeless Shoes (Navy/White/Green)</t>
        </is>
      </c>
      <c r="E1119" s="1" t="inlineStr">
        <is>
          <t>FOOTJOY</t>
        </is>
      </c>
      <c r="F1119" s="1" t="inlineStr">
        <is>
          <t>SPIKELESS SHOES</t>
        </is>
      </c>
      <c r="G1119" s="1" t="inlineStr">
        <is>
          <t>GF2500201016US5</t>
        </is>
      </c>
      <c r="H1119" s="1" t="n">
        <v>9</v>
      </c>
      <c r="I1119" s="1" t="inlineStr">
        <is>
          <t>มี</t>
        </is>
      </c>
      <c r="J1119" s="13" t="n">
        <v>93</v>
      </c>
      <c r="K1119" s="1" t="inlineStr"/>
      <c r="L1119" s="13" t="n">
        <v>93</v>
      </c>
      <c r="M1119" s="1">
        <f>IF(L1119="","ไม่พบใน SG",IF(ABS(J1119-L1119)&lt;0.005,"ตรงกัน","ไม่ตรง"))</f>
        <v/>
      </c>
      <c r="N1119" s="14">
        <f>IF(L1119="","",ROUND(L1119*'สรุป'!$C$6,-1))</f>
        <v/>
      </c>
      <c r="O1119" s="15" t="n"/>
      <c r="P1119" s="15" t="n"/>
      <c r="Q1119" s="10" t="n"/>
      <c r="R1119" s="10" t="n"/>
      <c r="S1119" s="16" t="inlineStr">
        <is>
          <t>https://mstgolf.co.th/products/gf2500201016</t>
        </is>
      </c>
      <c r="T1119" s="1">
        <f>IF(B1119="ไม้กอล์ฟ",J1119,"")</f>
        <v/>
      </c>
    </row>
    <row r="1120">
      <c r="A1120" s="1" t="n">
        <v>2</v>
      </c>
      <c r="B1120" s="1" t="inlineStr">
        <is>
          <t>รองเท้า</t>
        </is>
      </c>
      <c r="C1120" s="1" t="inlineStr">
        <is>
          <t>gf2500200884</t>
        </is>
      </c>
      <c r="D1120" s="1" t="inlineStr">
        <is>
          <t>FOOTJOY Fuel Women's Spikeless Shoes (Navy/Navy/Pink)</t>
        </is>
      </c>
      <c r="E1120" s="1" t="inlineStr">
        <is>
          <t>FOOTJOY</t>
        </is>
      </c>
      <c r="F1120" s="1" t="inlineStr">
        <is>
          <t>SPIKELESS SHOES</t>
        </is>
      </c>
      <c r="G1120" s="1" t="inlineStr">
        <is>
          <t>GF2500200884US5</t>
        </is>
      </c>
      <c r="H1120" s="1" t="n">
        <v>9</v>
      </c>
      <c r="I1120" s="1" t="inlineStr">
        <is>
          <t>มี</t>
        </is>
      </c>
      <c r="J1120" s="13" t="n">
        <v>93</v>
      </c>
      <c r="K1120" s="1" t="inlineStr"/>
      <c r="L1120" s="13" t="n">
        <v>93</v>
      </c>
      <c r="M1120" s="1">
        <f>IF(L1120="","ไม่พบใน SG",IF(ABS(J1120-L1120)&lt;0.005,"ตรงกัน","ไม่ตรง"))</f>
        <v/>
      </c>
      <c r="N1120" s="14">
        <f>IF(L1120="","",ROUND(L1120*'สรุป'!$C$6,-1))</f>
        <v/>
      </c>
      <c r="O1120" s="15" t="n"/>
      <c r="P1120" s="15" t="n"/>
      <c r="Q1120" s="10" t="n"/>
      <c r="R1120" s="10" t="n"/>
      <c r="S1120" s="16" t="inlineStr">
        <is>
          <t>https://mstgolf.co.th/products/gf2500200884</t>
        </is>
      </c>
      <c r="T1120" s="1">
        <f>IF(B1120="ไม้กอล์ฟ",J1120,"")</f>
        <v/>
      </c>
    </row>
    <row r="1121">
      <c r="A1121" s="1" t="n">
        <v>2</v>
      </c>
      <c r="B1121" s="1" t="inlineStr">
        <is>
          <t>ถุงกอล์ฟ</t>
        </is>
      </c>
      <c r="C1121" s="1" t="inlineStr">
        <is>
          <t>gf3000300377</t>
        </is>
      </c>
      <c r="D1121" s="1" t="inlineStr">
        <is>
          <t>TAYLORMADE Concept One Soft Range Bag (White/Navy)</t>
        </is>
      </c>
      <c r="E1121" s="1" t="inlineStr">
        <is>
          <t>TAYLORMADE</t>
        </is>
      </c>
      <c r="F1121" s="1" t="inlineStr">
        <is>
          <t>RANGE BAG</t>
        </is>
      </c>
      <c r="G1121" s="1" t="inlineStr">
        <is>
          <t>GF3000300377</t>
        </is>
      </c>
      <c r="H1121" s="1" t="n">
        <v>1</v>
      </c>
      <c r="I1121" s="1" t="inlineStr">
        <is>
          <t>มี</t>
        </is>
      </c>
      <c r="J1121" s="13" t="n">
        <v>89</v>
      </c>
      <c r="K1121" s="1" t="inlineStr"/>
      <c r="L1121" s="13" t="n">
        <v>89</v>
      </c>
      <c r="M1121" s="1">
        <f>IF(L1121="","ไม่พบใน SG",IF(ABS(J1121-L1121)&lt;0.005,"ตรงกัน","ไม่ตรง"))</f>
        <v/>
      </c>
      <c r="N1121" s="14">
        <f>IF(L1121="","",ROUND(L1121*'สรุป'!$C$6,-1))</f>
        <v/>
      </c>
      <c r="O1121" s="15" t="n"/>
      <c r="P1121" s="15" t="n"/>
      <c r="Q1121" s="10" t="n"/>
      <c r="R1121" s="10" t="n"/>
      <c r="S1121" s="16" t="inlineStr">
        <is>
          <t>https://mstgolf.co.th/products/gf3000300377</t>
        </is>
      </c>
      <c r="T1121" s="1">
        <f>IF(B1121="ไม้กอล์ฟ",J1121,"")</f>
        <v/>
      </c>
    </row>
    <row r="1122">
      <c r="A1122" s="1" t="n">
        <v>2</v>
      </c>
      <c r="B1122" s="1" t="inlineStr">
        <is>
          <t>รองเท้า</t>
        </is>
      </c>
      <c r="C1122" s="1" t="inlineStr">
        <is>
          <t>gf2500200836</t>
        </is>
      </c>
      <c r="D1122" s="1" t="inlineStr">
        <is>
          <t>ADIDAS CodeChaos 22 Women's Spikeless Shoes (White/Silver/Yellow)</t>
        </is>
      </c>
      <c r="E1122" s="1" t="inlineStr">
        <is>
          <t>ADIDAS</t>
        </is>
      </c>
      <c r="F1122" s="1" t="inlineStr">
        <is>
          <t>SPIKELESS SHOES</t>
        </is>
      </c>
      <c r="G1122" s="1" t="inlineStr">
        <is>
          <t>GF2500200836UK4.5</t>
        </is>
      </c>
      <c r="H1122" s="1" t="n">
        <v>8</v>
      </c>
      <c r="I1122" s="1" t="inlineStr">
        <is>
          <t>มี</t>
        </is>
      </c>
      <c r="J1122" s="13" t="n">
        <v>85</v>
      </c>
      <c r="K1122" s="1" t="inlineStr"/>
      <c r="L1122" s="13" t="n">
        <v>85</v>
      </c>
      <c r="M1122" s="1">
        <f>IF(L1122="","ไม่พบใน SG",IF(ABS(J1122-L1122)&lt;0.005,"ตรงกัน","ไม่ตรง"))</f>
        <v/>
      </c>
      <c r="N1122" s="14">
        <f>IF(L1122="","",ROUND(L1122*'สรุป'!$C$6,-1))</f>
        <v/>
      </c>
      <c r="O1122" s="15" t="n"/>
      <c r="P1122" s="15" t="n"/>
      <c r="Q1122" s="10" t="n"/>
      <c r="R1122" s="10" t="n"/>
      <c r="S1122" s="16" t="inlineStr">
        <is>
          <t>https://mstgolf.co.th/products/gf2500200836</t>
        </is>
      </c>
      <c r="T1122" s="1">
        <f>IF(B1122="ไม้กอล์ฟ",J1122,"")</f>
        <v/>
      </c>
    </row>
    <row r="1123">
      <c r="A1123" s="1" t="n">
        <v>2</v>
      </c>
      <c r="B1123" s="1" t="inlineStr">
        <is>
          <t>รองเท้า</t>
        </is>
      </c>
      <c r="C1123" s="1" t="inlineStr">
        <is>
          <t>gf2500201300</t>
        </is>
      </c>
      <c r="D1123" s="1" t="inlineStr">
        <is>
          <t>ADIDAS S2G 24 Leather Men's Spikeless Shoes (White/Aluminium/Green)</t>
        </is>
      </c>
      <c r="E1123" s="1" t="inlineStr">
        <is>
          <t>ADIDAS</t>
        </is>
      </c>
      <c r="F1123" s="1" t="inlineStr">
        <is>
          <t>SPIKELESS SHOES</t>
        </is>
      </c>
      <c r="G1123" s="1" t="inlineStr">
        <is>
          <t>GF2500201300UK6.5</t>
        </is>
      </c>
      <c r="H1123" s="1" t="n">
        <v>11</v>
      </c>
      <c r="I1123" s="1" t="inlineStr">
        <is>
          <t>มี</t>
        </is>
      </c>
      <c r="J1123" s="13" t="n">
        <v>85</v>
      </c>
      <c r="K1123" s="1" t="inlineStr"/>
      <c r="L1123" s="13" t="n">
        <v>85</v>
      </c>
      <c r="M1123" s="1">
        <f>IF(L1123="","ไม่พบใน SG",IF(ABS(J1123-L1123)&lt;0.005,"ตรงกัน","ไม่ตรง"))</f>
        <v/>
      </c>
      <c r="N1123" s="14">
        <f>IF(L1123="","",ROUND(L1123*'สรุป'!$C$6,-1))</f>
        <v/>
      </c>
      <c r="O1123" s="15" t="n"/>
      <c r="P1123" s="15" t="n"/>
      <c r="Q1123" s="10" t="n"/>
      <c r="R1123" s="10" t="n"/>
      <c r="S1123" s="16" t="inlineStr">
        <is>
          <t>https://mstgolf.co.th/products/gf2500201300</t>
        </is>
      </c>
      <c r="T1123" s="1">
        <f>IF(B1123="ไม้กอล์ฟ",J1123,"")</f>
        <v/>
      </c>
    </row>
    <row r="1124">
      <c r="A1124" s="1" t="n">
        <v>2</v>
      </c>
      <c r="B1124" s="1" t="inlineStr">
        <is>
          <t>รองเท้า</t>
        </is>
      </c>
      <c r="C1124" s="1" t="inlineStr">
        <is>
          <t>gf2500201226</t>
        </is>
      </c>
      <c r="D1124" s="1" t="inlineStr">
        <is>
          <t>ADIDAS Solarmotion 24 Lightstrike Men’s Spikeless Shoes (White/Gold)</t>
        </is>
      </c>
      <c r="E1124" s="1" t="inlineStr">
        <is>
          <t>ADIDAS</t>
        </is>
      </c>
      <c r="F1124" s="1" t="inlineStr">
        <is>
          <t>SPIKELESS SHOES</t>
        </is>
      </c>
      <c r="G1124" s="1" t="inlineStr">
        <is>
          <t>GF2500201226UK6.5</t>
        </is>
      </c>
      <c r="H1124" s="1" t="n">
        <v>11</v>
      </c>
      <c r="I1124" s="1" t="inlineStr">
        <is>
          <t>มี</t>
        </is>
      </c>
      <c r="J1124" s="13" t="n">
        <v>85</v>
      </c>
      <c r="K1124" s="1" t="inlineStr"/>
      <c r="L1124" s="13" t="n">
        <v>85</v>
      </c>
      <c r="M1124" s="1">
        <f>IF(L1124="","ไม่พบใน SG",IF(ABS(J1124-L1124)&lt;0.005,"ตรงกัน","ไม่ตรง"))</f>
        <v/>
      </c>
      <c r="N1124" s="14">
        <f>IF(L1124="","",ROUND(L1124*'สรุป'!$C$6,-1))</f>
        <v/>
      </c>
      <c r="O1124" s="15" t="n"/>
      <c r="P1124" s="15" t="n"/>
      <c r="Q1124" s="10" t="n"/>
      <c r="R1124" s="10" t="n"/>
      <c r="S1124" s="16" t="inlineStr">
        <is>
          <t>https://mstgolf.co.th/products/gf2500201226</t>
        </is>
      </c>
      <c r="T1124" s="1">
        <f>IF(B1124="ไม้กอล์ฟ",J1124,"")</f>
        <v/>
      </c>
    </row>
    <row r="1125">
      <c r="A1125" s="1" t="n">
        <v>2</v>
      </c>
      <c r="B1125" s="1" t="inlineStr">
        <is>
          <t>ลูกกอล์ฟ</t>
        </is>
      </c>
      <c r="C1125" s="1" t="inlineStr">
        <is>
          <t>gf3200400284</t>
        </is>
      </c>
      <c r="D1125" s="1" t="inlineStr">
        <is>
          <t>TAYLORMADE TP5 Stripe (2024) Golf Ball</t>
        </is>
      </c>
      <c r="E1125" s="1" t="inlineStr">
        <is>
          <t>TAYLORMADE</t>
        </is>
      </c>
      <c r="F1125" s="1" t="inlineStr">
        <is>
          <t>TOUR</t>
        </is>
      </c>
      <c r="G1125" s="1" t="inlineStr">
        <is>
          <t>GF3200400284</t>
        </is>
      </c>
      <c r="H1125" s="1" t="n">
        <v>1</v>
      </c>
      <c r="I1125" s="1" t="inlineStr">
        <is>
          <t>มี</t>
        </is>
      </c>
      <c r="J1125" s="13" t="n">
        <v>85</v>
      </c>
      <c r="K1125" s="1" t="inlineStr"/>
      <c r="L1125" s="13" t="n">
        <v>85</v>
      </c>
      <c r="M1125" s="1">
        <f>IF(L1125="","ไม่พบใน SG",IF(ABS(J1125-L1125)&lt;0.005,"ตรงกัน","ไม่ตรง"))</f>
        <v/>
      </c>
      <c r="N1125" s="14">
        <f>IF(L1125="","",ROUND(L1125*'สรุป'!$C$6,-1))</f>
        <v/>
      </c>
      <c r="O1125" s="15" t="n"/>
      <c r="P1125" s="15" t="n"/>
      <c r="Q1125" s="10" t="n"/>
      <c r="R1125" s="10" t="n"/>
      <c r="S1125" s="16" t="inlineStr">
        <is>
          <t>https://mstgolf.co.th/products/gf3200400284</t>
        </is>
      </c>
      <c r="T1125" s="1">
        <f>IF(B1125="ไม้กอล์ฟ",J1125,"")</f>
        <v/>
      </c>
    </row>
    <row r="1126">
      <c r="A1126" s="1" t="n">
        <v>2</v>
      </c>
      <c r="B1126" s="1" t="inlineStr">
        <is>
          <t>ลูกกอล์ฟ</t>
        </is>
      </c>
      <c r="C1126" s="1" t="inlineStr">
        <is>
          <t>gf3200400285</t>
        </is>
      </c>
      <c r="D1126" s="1" t="inlineStr">
        <is>
          <t>TAYLORMADE TP5x Stripe (2024) Golf Ball</t>
        </is>
      </c>
      <c r="E1126" s="1" t="inlineStr">
        <is>
          <t>TAYLORMADE</t>
        </is>
      </c>
      <c r="F1126" s="1" t="inlineStr">
        <is>
          <t>TOUR</t>
        </is>
      </c>
      <c r="G1126" s="1" t="inlineStr">
        <is>
          <t>GF3200400285</t>
        </is>
      </c>
      <c r="H1126" s="1" t="n">
        <v>1</v>
      </c>
      <c r="I1126" s="1" t="inlineStr">
        <is>
          <t>มี</t>
        </is>
      </c>
      <c r="J1126" s="13" t="n">
        <v>85</v>
      </c>
      <c r="K1126" s="1" t="inlineStr"/>
      <c r="L1126" s="13" t="n">
        <v>85</v>
      </c>
      <c r="M1126" s="1">
        <f>IF(L1126="","ไม่พบใน SG",IF(ABS(J1126-L1126)&lt;0.005,"ตรงกัน","ไม่ตรง"))</f>
        <v/>
      </c>
      <c r="N1126" s="14">
        <f>IF(L1126="","",ROUND(L1126*'สรุป'!$C$6,-1))</f>
        <v/>
      </c>
      <c r="O1126" s="15" t="n"/>
      <c r="P1126" s="15" t="n"/>
      <c r="Q1126" s="10" t="n"/>
      <c r="R1126" s="10" t="n"/>
      <c r="S1126" s="16" t="inlineStr">
        <is>
          <t>https://mstgolf.co.th/products/gf3200400285</t>
        </is>
      </c>
      <c r="T1126" s="1">
        <f>IF(B1126="ไม้กอล์ฟ",J1126,"")</f>
        <v/>
      </c>
    </row>
    <row r="1127">
      <c r="A1127" s="1" t="n">
        <v>2</v>
      </c>
      <c r="B1127" s="1" t="inlineStr">
        <is>
          <t>ลูกกอล์ฟ</t>
        </is>
      </c>
      <c r="C1127" s="1" t="inlineStr">
        <is>
          <t>gf3200400299</t>
        </is>
      </c>
      <c r="D1127" s="1" t="inlineStr">
        <is>
          <t>TITLEIST Pro V1 (2025) (Yellow) Golf Ball</t>
        </is>
      </c>
      <c r="E1127" s="1" t="inlineStr">
        <is>
          <t>TITLEIST</t>
        </is>
      </c>
      <c r="F1127" s="1" t="inlineStr">
        <is>
          <t>TOUR</t>
        </is>
      </c>
      <c r="G1127" s="1" t="inlineStr">
        <is>
          <t>GF3200400299</t>
        </is>
      </c>
      <c r="H1127" s="1" t="n">
        <v>1</v>
      </c>
      <c r="I1127" s="1" t="inlineStr">
        <is>
          <t>มี</t>
        </is>
      </c>
      <c r="J1127" s="13" t="n">
        <v>82.40000000000001</v>
      </c>
      <c r="K1127" s="1" t="inlineStr"/>
      <c r="L1127" s="13" t="n">
        <v>82.40000000000001</v>
      </c>
      <c r="M1127" s="1">
        <f>IF(L1127="","ไม่พบใน SG",IF(ABS(J1127-L1127)&lt;0.005,"ตรงกัน","ไม่ตรง"))</f>
        <v/>
      </c>
      <c r="N1127" s="14">
        <f>IF(L1127="","",ROUND(L1127*'สรุป'!$C$6,-1))</f>
        <v/>
      </c>
      <c r="O1127" s="15" t="n"/>
      <c r="P1127" s="15" t="n"/>
      <c r="Q1127" s="10" t="n"/>
      <c r="R1127" s="10" t="n"/>
      <c r="S1127" s="16" t="inlineStr">
        <is>
          <t>https://mstgolf.co.th/products/gf3200400299</t>
        </is>
      </c>
      <c r="T1127" s="1">
        <f>IF(B1127="ไม้กอล์ฟ",J1127,"")</f>
        <v/>
      </c>
    </row>
    <row r="1128">
      <c r="A1128" s="1" t="n">
        <v>2</v>
      </c>
      <c r="B1128" s="1" t="inlineStr">
        <is>
          <t>ลูกกอล์ฟ</t>
        </is>
      </c>
      <c r="C1128" s="1" t="inlineStr">
        <is>
          <t>gf3200400298</t>
        </is>
      </c>
      <c r="D1128" s="1" t="inlineStr">
        <is>
          <t>TITLEIST Pro V1 (2025) Golf Ball</t>
        </is>
      </c>
      <c r="E1128" s="1" t="inlineStr">
        <is>
          <t>TITLEIST</t>
        </is>
      </c>
      <c r="F1128" s="1" t="inlineStr">
        <is>
          <t>TOUR</t>
        </is>
      </c>
      <c r="G1128" s="1" t="inlineStr">
        <is>
          <t>GF3200400298</t>
        </is>
      </c>
      <c r="H1128" s="1" t="n">
        <v>1</v>
      </c>
      <c r="I1128" s="1" t="inlineStr">
        <is>
          <t>มี</t>
        </is>
      </c>
      <c r="J1128" s="13" t="n">
        <v>82.40000000000001</v>
      </c>
      <c r="K1128" s="1" t="inlineStr"/>
      <c r="L1128" s="13" t="n">
        <v>82.40000000000001</v>
      </c>
      <c r="M1128" s="1">
        <f>IF(L1128="","ไม่พบใน SG",IF(ABS(J1128-L1128)&lt;0.005,"ตรงกัน","ไม่ตรง"))</f>
        <v/>
      </c>
      <c r="N1128" s="14">
        <f>IF(L1128="","",ROUND(L1128*'สรุป'!$C$6,-1))</f>
        <v/>
      </c>
      <c r="O1128" s="15" t="n"/>
      <c r="P1128" s="15" t="n"/>
      <c r="Q1128" s="10" t="n"/>
      <c r="R1128" s="10" t="n"/>
      <c r="S1128" s="16" t="inlineStr">
        <is>
          <t>https://mstgolf.co.th/products/gf3200400298</t>
        </is>
      </c>
      <c r="T1128" s="1">
        <f>IF(B1128="ไม้กอล์ฟ",J1128,"")</f>
        <v/>
      </c>
    </row>
    <row r="1129">
      <c r="A1129" s="1" t="n">
        <v>2</v>
      </c>
      <c r="B1129" s="1" t="inlineStr">
        <is>
          <t>ลูกกอล์ฟ</t>
        </is>
      </c>
      <c r="C1129" s="1" t="inlineStr">
        <is>
          <t>gf3200400310</t>
        </is>
      </c>
      <c r="D1129" s="1" t="inlineStr">
        <is>
          <t>TITLEIST Pro V1 Enhanced Alignment (2025) Golf Ball</t>
        </is>
      </c>
      <c r="E1129" s="1" t="inlineStr">
        <is>
          <t>TITLEIST</t>
        </is>
      </c>
      <c r="F1129" s="1" t="inlineStr">
        <is>
          <t>TOUR</t>
        </is>
      </c>
      <c r="G1129" s="1" t="inlineStr">
        <is>
          <t>GF3200400310</t>
        </is>
      </c>
      <c r="H1129" s="1" t="n">
        <v>1</v>
      </c>
      <c r="I1129" s="1" t="inlineStr">
        <is>
          <t>มี</t>
        </is>
      </c>
      <c r="J1129" s="13" t="n">
        <v>82.40000000000001</v>
      </c>
      <c r="K1129" s="1" t="inlineStr"/>
      <c r="L1129" s="13" t="n">
        <v>82.40000000000001</v>
      </c>
      <c r="M1129" s="1">
        <f>IF(L1129="","ไม่พบใน SG",IF(ABS(J1129-L1129)&lt;0.005,"ตรงกัน","ไม่ตรง"))</f>
        <v/>
      </c>
      <c r="N1129" s="14">
        <f>IF(L1129="","",ROUND(L1129*'สรุป'!$C$6,-1))</f>
        <v/>
      </c>
      <c r="O1129" s="15" t="n"/>
      <c r="P1129" s="15" t="n"/>
      <c r="Q1129" s="10" t="n"/>
      <c r="R1129" s="10" t="n"/>
      <c r="S1129" s="16" t="inlineStr">
        <is>
          <t>https://mstgolf.co.th/products/gf3200400310</t>
        </is>
      </c>
      <c r="T1129" s="1">
        <f>IF(B1129="ไม้กอล์ฟ",J1129,"")</f>
        <v/>
      </c>
    </row>
    <row r="1130">
      <c r="A1130" s="1" t="n">
        <v>2</v>
      </c>
      <c r="B1130" s="1" t="inlineStr">
        <is>
          <t>ลูกกอล์ฟ</t>
        </is>
      </c>
      <c r="C1130" s="1" t="inlineStr">
        <is>
          <t>gf3200400302</t>
        </is>
      </c>
      <c r="D1130" s="1" t="inlineStr">
        <is>
          <t>TITLEIST Pro V1x (2025) (Yellow) Golf Ball</t>
        </is>
      </c>
      <c r="E1130" s="1" t="inlineStr">
        <is>
          <t>TITLEIST</t>
        </is>
      </c>
      <c r="F1130" s="1" t="inlineStr">
        <is>
          <t>TOUR</t>
        </is>
      </c>
      <c r="G1130" s="1" t="inlineStr">
        <is>
          <t>GF3200400302</t>
        </is>
      </c>
      <c r="H1130" s="1" t="n">
        <v>1</v>
      </c>
      <c r="I1130" s="1" t="inlineStr">
        <is>
          <t>มี</t>
        </is>
      </c>
      <c r="J1130" s="13" t="n">
        <v>82.40000000000001</v>
      </c>
      <c r="K1130" s="1" t="inlineStr"/>
      <c r="L1130" s="13" t="n">
        <v>82.40000000000001</v>
      </c>
      <c r="M1130" s="1">
        <f>IF(L1130="","ไม่พบใน SG",IF(ABS(J1130-L1130)&lt;0.005,"ตรงกัน","ไม่ตรง"))</f>
        <v/>
      </c>
      <c r="N1130" s="14">
        <f>IF(L1130="","",ROUND(L1130*'สรุป'!$C$6,-1))</f>
        <v/>
      </c>
      <c r="O1130" s="15" t="n"/>
      <c r="P1130" s="15" t="n"/>
      <c r="Q1130" s="10" t="n"/>
      <c r="R1130" s="10" t="n"/>
      <c r="S1130" s="16" t="inlineStr">
        <is>
          <t>https://mstgolf.co.th/products/gf3200400302</t>
        </is>
      </c>
      <c r="T1130" s="1">
        <f>IF(B1130="ไม้กอล์ฟ",J1130,"")</f>
        <v/>
      </c>
    </row>
    <row r="1131">
      <c r="A1131" s="1" t="n">
        <v>2</v>
      </c>
      <c r="B1131" s="1" t="inlineStr">
        <is>
          <t>ลูกกอล์ฟ</t>
        </is>
      </c>
      <c r="C1131" s="1" t="inlineStr">
        <is>
          <t>gf3200400301</t>
        </is>
      </c>
      <c r="D1131" s="1" t="inlineStr">
        <is>
          <t>TITLEIST Pro V1x (2025) Golf Ball</t>
        </is>
      </c>
      <c r="E1131" s="1" t="inlineStr">
        <is>
          <t>TITLEIST</t>
        </is>
      </c>
      <c r="F1131" s="1" t="inlineStr">
        <is>
          <t>TOUR</t>
        </is>
      </c>
      <c r="G1131" s="1" t="inlineStr">
        <is>
          <t>GF3200400301</t>
        </is>
      </c>
      <c r="H1131" s="1" t="n">
        <v>1</v>
      </c>
      <c r="I1131" s="1" t="inlineStr">
        <is>
          <t>มี</t>
        </is>
      </c>
      <c r="J1131" s="13" t="n">
        <v>82.40000000000001</v>
      </c>
      <c r="K1131" s="1" t="inlineStr"/>
      <c r="L1131" s="13" t="n">
        <v>82.40000000000001</v>
      </c>
      <c r="M1131" s="1">
        <f>IF(L1131="","ไม่พบใน SG",IF(ABS(J1131-L1131)&lt;0.005,"ตรงกัน","ไม่ตรง"))</f>
        <v/>
      </c>
      <c r="N1131" s="14">
        <f>IF(L1131="","",ROUND(L1131*'สรุป'!$C$6,-1))</f>
        <v/>
      </c>
      <c r="O1131" s="15" t="n"/>
      <c r="P1131" s="15" t="n"/>
      <c r="Q1131" s="10" t="n"/>
      <c r="R1131" s="10" t="n"/>
      <c r="S1131" s="16" t="inlineStr">
        <is>
          <t>https://mstgolf.co.th/products/gf3200400301</t>
        </is>
      </c>
      <c r="T1131" s="1">
        <f>IF(B1131="ไม้กอล์ฟ",J1131,"")</f>
        <v/>
      </c>
    </row>
    <row r="1132">
      <c r="A1132" s="1" t="n">
        <v>2</v>
      </c>
      <c r="B1132" s="1" t="inlineStr">
        <is>
          <t>ลูกกอล์ฟ</t>
        </is>
      </c>
      <c r="C1132" s="1" t="inlineStr">
        <is>
          <t>gf3200400311</t>
        </is>
      </c>
      <c r="D1132" s="1" t="inlineStr">
        <is>
          <t>TITLEIST Pro V1x Enhanced Alignment (2025) Golf Ball</t>
        </is>
      </c>
      <c r="E1132" s="1" t="inlineStr">
        <is>
          <t>TITLEIST</t>
        </is>
      </c>
      <c r="F1132" s="1" t="inlineStr">
        <is>
          <t>TOUR</t>
        </is>
      </c>
      <c r="G1132" s="1" t="inlineStr">
        <is>
          <t>GF3200400311</t>
        </is>
      </c>
      <c r="H1132" s="1" t="n">
        <v>1</v>
      </c>
      <c r="I1132" s="1" t="inlineStr">
        <is>
          <t>มี</t>
        </is>
      </c>
      <c r="J1132" s="13" t="n">
        <v>82.40000000000001</v>
      </c>
      <c r="K1132" s="1" t="inlineStr"/>
      <c r="L1132" s="13" t="n"/>
      <c r="M1132" s="1">
        <f>IF(L1132="","ไม่พบใน SG",IF(ABS(J1132-L1132)&lt;0.005,"ตรงกัน","ไม่ตรง"))</f>
        <v/>
      </c>
      <c r="N1132" s="14">
        <f>IF(L1132="","",ROUND(L1132*'สรุป'!$C$6,-1))</f>
        <v/>
      </c>
      <c r="O1132" s="15" t="n"/>
      <c r="P1132" s="15" t="n"/>
      <c r="Q1132" s="10" t="n"/>
      <c r="R1132" s="10" t="n"/>
      <c r="S1132" s="16" t="inlineStr">
        <is>
          <t>https://mstgolf.co.th/products/gf3200400311</t>
        </is>
      </c>
      <c r="T1132" s="1">
        <f>IF(B1132="ไม้กอล์ฟ",J1132,"")</f>
        <v/>
      </c>
    </row>
    <row r="1133">
      <c r="A1133" s="1" t="n">
        <v>2</v>
      </c>
      <c r="B1133" s="1" t="inlineStr">
        <is>
          <t>รองเท้า</t>
        </is>
      </c>
      <c r="C1133" s="1" t="inlineStr">
        <is>
          <t>gf2500201235</t>
        </is>
      </c>
      <c r="D1133" s="1" t="inlineStr">
        <is>
          <t>ADIDAS S2G Mid Unisex Spikeless Shoes (White/Green)</t>
        </is>
      </c>
      <c r="E1133" s="1" t="inlineStr">
        <is>
          <t>ADIDAS</t>
        </is>
      </c>
      <c r="F1133" s="1" t="inlineStr">
        <is>
          <t>SPIKELESS SHOES</t>
        </is>
      </c>
      <c r="G1133" s="1" t="inlineStr">
        <is>
          <t>GF2500201235UK4</t>
        </is>
      </c>
      <c r="H1133" s="1" t="n">
        <v>16</v>
      </c>
      <c r="I1133" s="1" t="inlineStr">
        <is>
          <t>มี</t>
        </is>
      </c>
      <c r="J1133" s="13" t="n">
        <v>79</v>
      </c>
      <c r="K1133" s="1" t="inlineStr"/>
      <c r="L1133" s="13" t="n">
        <v>79</v>
      </c>
      <c r="M1133" s="1">
        <f>IF(L1133="","ไม่พบใน SG",IF(ABS(J1133-L1133)&lt;0.005,"ตรงกัน","ไม่ตรง"))</f>
        <v/>
      </c>
      <c r="N1133" s="14">
        <f>IF(L1133="","",ROUND(L1133*'สรุป'!$C$6,-1))</f>
        <v/>
      </c>
      <c r="O1133" s="15" t="n"/>
      <c r="P1133" s="15" t="n"/>
      <c r="Q1133" s="10" t="n"/>
      <c r="R1133" s="10" t="n"/>
      <c r="S1133" s="16" t="inlineStr">
        <is>
          <t>https://mstgolf.co.th/products/gf2500201235</t>
        </is>
      </c>
      <c r="T1133" s="1">
        <f>IF(B1133="ไม้กอล์ฟ",J1133,"")</f>
        <v/>
      </c>
    </row>
    <row r="1134">
      <c r="A1134" s="1" t="n">
        <v>2</v>
      </c>
      <c r="B1134" s="1" t="inlineStr">
        <is>
          <t>รองเท้า</t>
        </is>
      </c>
      <c r="C1134" s="1" t="inlineStr">
        <is>
          <t>gf2500201215</t>
        </is>
      </c>
      <c r="D1134" s="1" t="inlineStr">
        <is>
          <t>NIKE Infinity G Men's Spikeless Shoes (Black/White)</t>
        </is>
      </c>
      <c r="E1134" s="1" t="inlineStr">
        <is>
          <t>NIKE</t>
        </is>
      </c>
      <c r="F1134" s="1" t="inlineStr">
        <is>
          <t>SPIKELESS SHOES</t>
        </is>
      </c>
      <c r="G1134" s="1" t="inlineStr">
        <is>
          <t>GF2500201215US5.5</t>
        </is>
      </c>
      <c r="H1134" s="1" t="n">
        <v>18</v>
      </c>
      <c r="I1134" s="1" t="inlineStr">
        <is>
          <t>มี</t>
        </is>
      </c>
      <c r="J1134" s="13" t="n">
        <v>79</v>
      </c>
      <c r="K1134" s="1" t="inlineStr"/>
      <c r="L1134" s="13" t="n">
        <v>79</v>
      </c>
      <c r="M1134" s="1">
        <f>IF(L1134="","ไม่พบใน SG",IF(ABS(J1134-L1134)&lt;0.005,"ตรงกัน","ไม่ตรง"))</f>
        <v/>
      </c>
      <c r="N1134" s="14">
        <f>IF(L1134="","",ROUND(L1134*'สรุป'!$C$6,-1))</f>
        <v/>
      </c>
      <c r="O1134" s="15" t="n"/>
      <c r="P1134" s="15" t="n"/>
      <c r="Q1134" s="10" t="n"/>
      <c r="R1134" s="10" t="n"/>
      <c r="S1134" s="16" t="inlineStr">
        <is>
          <t>https://mstgolf.co.th/products/gf2500201215</t>
        </is>
      </c>
      <c r="T1134" s="1">
        <f>IF(B1134="ไม้กอล์ฟ",J1134,"")</f>
        <v/>
      </c>
    </row>
    <row r="1135">
      <c r="A1135" s="1" t="n">
        <v>2</v>
      </c>
      <c r="B1135" s="1" t="inlineStr">
        <is>
          <t>รองเท้า</t>
        </is>
      </c>
      <c r="C1135" s="1" t="inlineStr">
        <is>
          <t>gf2500201216</t>
        </is>
      </c>
      <c r="D1135" s="1" t="inlineStr">
        <is>
          <t>NIKE Infinity G Men's Spikeless Shoes (White/Black)</t>
        </is>
      </c>
      <c r="E1135" s="1" t="inlineStr">
        <is>
          <t>NIKE</t>
        </is>
      </c>
      <c r="F1135" s="1" t="inlineStr">
        <is>
          <t>SPIKELESS SHOES</t>
        </is>
      </c>
      <c r="G1135" s="1" t="inlineStr">
        <is>
          <t>GF2500201216US5.5</t>
        </is>
      </c>
      <c r="H1135" s="1" t="n">
        <v>18</v>
      </c>
      <c r="I1135" s="1" t="inlineStr">
        <is>
          <t>มี</t>
        </is>
      </c>
      <c r="J1135" s="13" t="n">
        <v>79</v>
      </c>
      <c r="K1135" s="1" t="inlineStr"/>
      <c r="L1135" s="13" t="n">
        <v>79</v>
      </c>
      <c r="M1135" s="1">
        <f>IF(L1135="","ไม่พบใน SG",IF(ABS(J1135-L1135)&lt;0.005,"ตรงกัน","ไม่ตรง"))</f>
        <v/>
      </c>
      <c r="N1135" s="14">
        <f>IF(L1135="","",ROUND(L1135*'สรุป'!$C$6,-1))</f>
        <v/>
      </c>
      <c r="O1135" s="15" t="n"/>
      <c r="P1135" s="15" t="n"/>
      <c r="Q1135" s="10" t="n"/>
      <c r="R1135" s="10" t="n"/>
      <c r="S1135" s="16" t="inlineStr">
        <is>
          <t>https://mstgolf.co.th/products/gf2500201216</t>
        </is>
      </c>
      <c r="T1135" s="1">
        <f>IF(B1135="ไม้กอล์ฟ",J1135,"")</f>
        <v/>
      </c>
    </row>
    <row r="1136">
      <c r="A1136" s="1" t="n">
        <v>2</v>
      </c>
      <c r="B1136" s="1" t="inlineStr">
        <is>
          <t>รองเท้า</t>
        </is>
      </c>
      <c r="C1136" s="1" t="inlineStr">
        <is>
          <t>gf2500201186</t>
        </is>
      </c>
      <c r="D1136" s="1" t="inlineStr">
        <is>
          <t>PUMA Avant Men's Spikeless Shoes (Black)</t>
        </is>
      </c>
      <c r="E1136" s="1" t="inlineStr">
        <is>
          <t>PUMA</t>
        </is>
      </c>
      <c r="F1136" s="1" t="inlineStr">
        <is>
          <t>SPIKELESS SHOES</t>
        </is>
      </c>
      <c r="G1136" s="1" t="inlineStr">
        <is>
          <t>GF2500201186UK6</t>
        </is>
      </c>
      <c r="H1136" s="1" t="n">
        <v>13</v>
      </c>
      <c r="I1136" s="1" t="inlineStr">
        <is>
          <t>มี</t>
        </is>
      </c>
      <c r="J1136" s="13" t="n">
        <v>79</v>
      </c>
      <c r="K1136" s="1" t="inlineStr"/>
      <c r="L1136" s="13" t="n">
        <v>79</v>
      </c>
      <c r="M1136" s="1">
        <f>IF(L1136="","ไม่พบใน SG",IF(ABS(J1136-L1136)&lt;0.005,"ตรงกัน","ไม่ตรง"))</f>
        <v/>
      </c>
      <c r="N1136" s="14">
        <f>IF(L1136="","",ROUND(L1136*'สรุป'!$C$6,-1))</f>
        <v/>
      </c>
      <c r="O1136" s="15" t="n"/>
      <c r="P1136" s="15" t="n"/>
      <c r="Q1136" s="10" t="n"/>
      <c r="R1136" s="10" t="n"/>
      <c r="S1136" s="16" t="inlineStr">
        <is>
          <t>https://mstgolf.co.th/products/gf2500201186</t>
        </is>
      </c>
      <c r="T1136" s="1">
        <f>IF(B1136="ไม้กอล์ฟ",J1136,"")</f>
        <v/>
      </c>
    </row>
    <row r="1137">
      <c r="A1137" s="1" t="n">
        <v>2</v>
      </c>
      <c r="B1137" s="1" t="inlineStr">
        <is>
          <t>รองเท้า</t>
        </is>
      </c>
      <c r="C1137" s="1" t="inlineStr">
        <is>
          <t>gf2500201189</t>
        </is>
      </c>
      <c r="D1137" s="1" t="inlineStr">
        <is>
          <t>PUMA Avant Men's Spikeless Shoes (White/Blue)</t>
        </is>
      </c>
      <c r="E1137" s="1" t="inlineStr">
        <is>
          <t>PUMA</t>
        </is>
      </c>
      <c r="F1137" s="1" t="inlineStr">
        <is>
          <t>SPIKELESS SHOES</t>
        </is>
      </c>
      <c r="G1137" s="1" t="inlineStr">
        <is>
          <t>GF2500201189UK6</t>
        </is>
      </c>
      <c r="H1137" s="1" t="n">
        <v>13</v>
      </c>
      <c r="I1137" s="1" t="inlineStr">
        <is>
          <t>มี</t>
        </is>
      </c>
      <c r="J1137" s="13" t="n">
        <v>79</v>
      </c>
      <c r="K1137" s="1" t="inlineStr"/>
      <c r="L1137" s="13" t="n"/>
      <c r="M1137" s="1">
        <f>IF(L1137="","ไม่พบใน SG",IF(ABS(J1137-L1137)&lt;0.005,"ตรงกัน","ไม่ตรง"))</f>
        <v/>
      </c>
      <c r="N1137" s="14">
        <f>IF(L1137="","",ROUND(L1137*'สรุป'!$C$6,-1))</f>
        <v/>
      </c>
      <c r="O1137" s="15" t="n"/>
      <c r="P1137" s="15" t="n"/>
      <c r="Q1137" s="10" t="n"/>
      <c r="R1137" s="10" t="n"/>
      <c r="S1137" s="16" t="inlineStr">
        <is>
          <t>https://mstgolf.co.th/products/gf2500201189</t>
        </is>
      </c>
      <c r="T1137" s="1">
        <f>IF(B1137="ไม้กอล์ฟ",J1137,"")</f>
        <v/>
      </c>
    </row>
    <row r="1138">
      <c r="A1138" s="1" t="n">
        <v>2</v>
      </c>
      <c r="B1138" s="1" t="inlineStr">
        <is>
          <t>รองเท้า</t>
        </is>
      </c>
      <c r="C1138" s="1" t="inlineStr">
        <is>
          <t>gf2500201188</t>
        </is>
      </c>
      <c r="D1138" s="1" t="inlineStr">
        <is>
          <t>PUMA Avant Men's Spikeless Shoes (White/Grey/Blue)</t>
        </is>
      </c>
      <c r="E1138" s="1" t="inlineStr">
        <is>
          <t>PUMA</t>
        </is>
      </c>
      <c r="F1138" s="1" t="inlineStr">
        <is>
          <t>SPIKELESS SHOES</t>
        </is>
      </c>
      <c r="G1138" s="1" t="inlineStr">
        <is>
          <t>GF2500201188UK6.5</t>
        </is>
      </c>
      <c r="H1138" s="1" t="n">
        <v>11</v>
      </c>
      <c r="I1138" s="1" t="inlineStr">
        <is>
          <t>มี</t>
        </is>
      </c>
      <c r="J1138" s="13" t="n">
        <v>79</v>
      </c>
      <c r="K1138" s="1" t="inlineStr"/>
      <c r="L1138" s="13" t="n">
        <v>79</v>
      </c>
      <c r="M1138" s="1">
        <f>IF(L1138="","ไม่พบใน SG",IF(ABS(J1138-L1138)&lt;0.005,"ตรงกัน","ไม่ตรง"))</f>
        <v/>
      </c>
      <c r="N1138" s="14">
        <f>IF(L1138="","",ROUND(L1138*'สรุป'!$C$6,-1))</f>
        <v/>
      </c>
      <c r="O1138" s="15" t="n"/>
      <c r="P1138" s="15" t="n"/>
      <c r="Q1138" s="10" t="n"/>
      <c r="R1138" s="10" t="n"/>
      <c r="S1138" s="16" t="inlineStr">
        <is>
          <t>https://mstgolf.co.th/products/gf2500201188</t>
        </is>
      </c>
      <c r="T1138" s="1">
        <f>IF(B1138="ไม้กอล์ฟ",J1138,"")</f>
        <v/>
      </c>
    </row>
    <row r="1139">
      <c r="A1139" s="1" t="n">
        <v>2</v>
      </c>
      <c r="B1139" s="1" t="inlineStr">
        <is>
          <t>ถุงกอล์ฟ</t>
        </is>
      </c>
      <c r="C1139" s="1" t="inlineStr">
        <is>
          <t>gf3010400965</t>
        </is>
      </c>
      <c r="D1139" s="1" t="inlineStr">
        <is>
          <t>PUMA OLN Round Pouch (Black/White)</t>
        </is>
      </c>
      <c r="E1139" s="1" t="inlineStr">
        <is>
          <t>PUMA</t>
        </is>
      </c>
      <c r="F1139" s="1" t="inlineStr">
        <is>
          <t>SMALL BAG</t>
        </is>
      </c>
      <c r="G1139" s="1" t="inlineStr">
        <is>
          <t>GF3010400965</t>
        </is>
      </c>
      <c r="H1139" s="1" t="n">
        <v>1</v>
      </c>
      <c r="I1139" s="1" t="inlineStr">
        <is>
          <t>มี</t>
        </is>
      </c>
      <c r="J1139" s="13" t="n">
        <v>79</v>
      </c>
      <c r="K1139" s="1" t="inlineStr"/>
      <c r="L1139" s="13" t="n">
        <v>47</v>
      </c>
      <c r="M1139" s="1">
        <f>IF(L1139="","ไม่พบใน SG",IF(ABS(J1139-L1139)&lt;0.005,"ตรงกัน","ไม่ตรง"))</f>
        <v/>
      </c>
      <c r="N1139" s="14">
        <f>IF(L1139="","",ROUND(L1139*'สรุป'!$C$6,-1))</f>
        <v/>
      </c>
      <c r="O1139" s="15" t="n"/>
      <c r="P1139" s="15" t="n"/>
      <c r="Q1139" s="10" t="n"/>
      <c r="R1139" s="10" t="n"/>
      <c r="S1139" s="16" t="inlineStr">
        <is>
          <t>https://mstgolf.co.th/products/gf3010400965</t>
        </is>
      </c>
      <c r="T1139" s="1">
        <f>IF(B1139="ไม้กอล์ฟ",J1139,"")</f>
        <v/>
      </c>
    </row>
    <row r="1140">
      <c r="A1140" s="1" t="n">
        <v>2</v>
      </c>
      <c r="B1140" s="1" t="inlineStr">
        <is>
          <t>ลูกกอล์ฟ</t>
        </is>
      </c>
      <c r="C1140" s="1" t="inlineStr">
        <is>
          <t>gf3200400243</t>
        </is>
      </c>
      <c r="D1140" s="1" t="inlineStr">
        <is>
          <t>TAYLORMADE TP5 Pix 3.0 (2024) GOLF BALL</t>
        </is>
      </c>
      <c r="E1140" s="1" t="inlineStr">
        <is>
          <t>TAYLORMADE</t>
        </is>
      </c>
      <c r="F1140" s="1" t="inlineStr">
        <is>
          <t>TOUR</t>
        </is>
      </c>
      <c r="G1140" s="1" t="inlineStr">
        <is>
          <t>GF3200400243</t>
        </is>
      </c>
      <c r="H1140" s="1" t="n">
        <v>1</v>
      </c>
      <c r="I1140" s="1" t="inlineStr">
        <is>
          <t>มี</t>
        </is>
      </c>
      <c r="J1140" s="13" t="n">
        <v>79</v>
      </c>
      <c r="K1140" s="1" t="inlineStr"/>
      <c r="L1140" s="13" t="n">
        <v>79</v>
      </c>
      <c r="M1140" s="1">
        <f>IF(L1140="","ไม่พบใน SG",IF(ABS(J1140-L1140)&lt;0.005,"ตรงกัน","ไม่ตรง"))</f>
        <v/>
      </c>
      <c r="N1140" s="14">
        <f>IF(L1140="","",ROUND(L1140*'สรุป'!$C$6,-1))</f>
        <v/>
      </c>
      <c r="O1140" s="15" t="n"/>
      <c r="P1140" s="15" t="n"/>
      <c r="Q1140" s="10" t="n"/>
      <c r="R1140" s="10" t="n"/>
      <c r="S1140" s="16" t="inlineStr">
        <is>
          <t>https://mstgolf.co.th/products/gf3200400243</t>
        </is>
      </c>
      <c r="T1140" s="1">
        <f>IF(B1140="ไม้กอล์ฟ",J1140,"")</f>
        <v/>
      </c>
    </row>
    <row r="1141">
      <c r="A1141" s="1" t="n">
        <v>2</v>
      </c>
      <c r="B1141" s="1" t="inlineStr">
        <is>
          <t>ลูกกอล์ฟ</t>
        </is>
      </c>
      <c r="C1141" s="1" t="inlineStr">
        <is>
          <t>gf3200400244</t>
        </is>
      </c>
      <c r="D1141" s="1" t="inlineStr">
        <is>
          <t>TAYLORMADE TP5X Pix 3.0 (2024) GOLF BALL</t>
        </is>
      </c>
      <c r="E1141" s="1" t="inlineStr">
        <is>
          <t>TAYLORMADE</t>
        </is>
      </c>
      <c r="F1141" s="1" t="inlineStr">
        <is>
          <t>TOUR</t>
        </is>
      </c>
      <c r="G1141" s="1" t="inlineStr">
        <is>
          <t>GF3200400244</t>
        </is>
      </c>
      <c r="H1141" s="1" t="n">
        <v>1</v>
      </c>
      <c r="I1141" s="1" t="inlineStr">
        <is>
          <t>มี</t>
        </is>
      </c>
      <c r="J1141" s="13" t="n">
        <v>79</v>
      </c>
      <c r="K1141" s="1" t="inlineStr"/>
      <c r="L1141" s="13" t="n">
        <v>79</v>
      </c>
      <c r="M1141" s="1">
        <f>IF(L1141="","ไม่พบใน SG",IF(ABS(J1141-L1141)&lt;0.005,"ตรงกัน","ไม่ตรง"))</f>
        <v/>
      </c>
      <c r="N1141" s="14">
        <f>IF(L1141="","",ROUND(L1141*'สรุป'!$C$6,-1))</f>
        <v/>
      </c>
      <c r="O1141" s="15" t="n"/>
      <c r="P1141" s="15" t="n"/>
      <c r="Q1141" s="10" t="n"/>
      <c r="R1141" s="10" t="n"/>
      <c r="S1141" s="16" t="inlineStr">
        <is>
          <t>https://mstgolf.co.th/products/gf3200400244</t>
        </is>
      </c>
      <c r="T1141" s="1">
        <f>IF(B1141="ไม้กอล์ฟ",J1141,"")</f>
        <v/>
      </c>
    </row>
    <row r="1142">
      <c r="A1142" s="1" t="n">
        <v>2</v>
      </c>
      <c r="B1142" s="1" t="inlineStr">
        <is>
          <t>ถุงกอล์ฟ</t>
        </is>
      </c>
      <c r="C1142" s="1" t="inlineStr">
        <is>
          <t>gf3010101453</t>
        </is>
      </c>
      <c r="D1142" s="1" t="inlineStr">
        <is>
          <t>DISNEY Star Wars Duffle Bag (Black)</t>
        </is>
      </c>
      <c r="E1142" s="1" t="inlineStr">
        <is>
          <t>DISNEY</t>
        </is>
      </c>
      <c r="F1142" s="1" t="inlineStr">
        <is>
          <t>BOSTON/DUFFLE BAG</t>
        </is>
      </c>
      <c r="G1142" s="1" t="inlineStr">
        <is>
          <t>GF3010101453</t>
        </is>
      </c>
      <c r="H1142" s="1" t="n">
        <v>1</v>
      </c>
      <c r="I1142" s="1" t="inlineStr">
        <is>
          <t>มี</t>
        </is>
      </c>
      <c r="J1142" s="13" t="n">
        <v>78</v>
      </c>
      <c r="K1142" s="1" t="inlineStr"/>
      <c r="L1142" s="13" t="n">
        <v>78</v>
      </c>
      <c r="M1142" s="1">
        <f>IF(L1142="","ไม่พบใน SG",IF(ABS(J1142-L1142)&lt;0.005,"ตรงกัน","ไม่ตรง"))</f>
        <v/>
      </c>
      <c r="N1142" s="14">
        <f>IF(L1142="","",ROUND(L1142*'สรุป'!$C$6,-1))</f>
        <v/>
      </c>
      <c r="O1142" s="15" t="n"/>
      <c r="P1142" s="15" t="n"/>
      <c r="Q1142" s="10" t="n"/>
      <c r="R1142" s="10" t="n"/>
      <c r="S1142" s="16" t="inlineStr">
        <is>
          <t>https://mstgolf.co.th/products/gf3010101453</t>
        </is>
      </c>
      <c r="T1142" s="1">
        <f>IF(B1142="ไม้กอล์ฟ",J1142,"")</f>
        <v/>
      </c>
    </row>
    <row r="1143">
      <c r="A1143" s="1" t="n">
        <v>2</v>
      </c>
      <c r="B1143" s="1" t="inlineStr">
        <is>
          <t>รองเท้า</t>
        </is>
      </c>
      <c r="C1143" s="1" t="inlineStr">
        <is>
          <t>gf2500200560</t>
        </is>
      </c>
      <c r="D1143" s="1" t="inlineStr">
        <is>
          <t>FOOTJOY Flex XP Junior Spikeless Shoes (Navy)</t>
        </is>
      </c>
      <c r="E1143" s="1" t="inlineStr">
        <is>
          <t>FOOTJOY</t>
        </is>
      </c>
      <c r="F1143" s="1" t="inlineStr">
        <is>
          <t>SPIKELESS SHOES</t>
        </is>
      </c>
      <c r="G1143" s="1" t="inlineStr">
        <is>
          <t>GF2500200560US1</t>
        </is>
      </c>
      <c r="H1143" s="1" t="n">
        <v>6</v>
      </c>
      <c r="I1143" s="1" t="inlineStr">
        <is>
          <t>มี</t>
        </is>
      </c>
      <c r="J1143" s="13" t="n">
        <v>73</v>
      </c>
      <c r="K1143" s="1" t="inlineStr"/>
      <c r="L1143" s="13" t="n">
        <v>73</v>
      </c>
      <c r="M1143" s="1">
        <f>IF(L1143="","ไม่พบใน SG",IF(ABS(J1143-L1143)&lt;0.005,"ตรงกัน","ไม่ตรง"))</f>
        <v/>
      </c>
      <c r="N1143" s="14">
        <f>IF(L1143="","",ROUND(L1143*'สรุป'!$C$6,-1))</f>
        <v/>
      </c>
      <c r="O1143" s="15" t="n"/>
      <c r="P1143" s="15" t="n"/>
      <c r="Q1143" s="10" t="n"/>
      <c r="R1143" s="10" t="n"/>
      <c r="S1143" s="16" t="inlineStr">
        <is>
          <t>https://mstgolf.co.th/products/gf2500200560</t>
        </is>
      </c>
      <c r="T1143" s="1">
        <f>IF(B1143="ไม้กอล์ฟ",J1143,"")</f>
        <v/>
      </c>
    </row>
    <row r="1144">
      <c r="A1144" s="1" t="n">
        <v>2</v>
      </c>
      <c r="B1144" s="1" t="inlineStr">
        <is>
          <t>ถุงกอล์ฟ</t>
        </is>
      </c>
      <c r="C1144" s="1" t="inlineStr">
        <is>
          <t>gf3010401057</t>
        </is>
      </c>
      <c r="D1144" s="1" t="inlineStr">
        <is>
          <t>ADIDAS Polyurethane 2-Way Zip Pouch (Alumina)</t>
        </is>
      </c>
      <c r="E1144" s="1" t="inlineStr">
        <is>
          <t>ADIDAS</t>
        </is>
      </c>
      <c r="F1144" s="1" t="inlineStr">
        <is>
          <t>SMALL BAG</t>
        </is>
      </c>
      <c r="G1144" s="1" t="inlineStr">
        <is>
          <t>GF3010401057</t>
        </is>
      </c>
      <c r="H1144" s="1" t="n">
        <v>1</v>
      </c>
      <c r="I1144" s="1" t="inlineStr">
        <is>
          <t>มี</t>
        </is>
      </c>
      <c r="J1144" s="13" t="n">
        <v>70</v>
      </c>
      <c r="K1144" s="1" t="inlineStr"/>
      <c r="L1144" s="13" t="n">
        <v>35</v>
      </c>
      <c r="M1144" s="1">
        <f>IF(L1144="","ไม่พบใน SG",IF(ABS(J1144-L1144)&lt;0.005,"ตรงกัน","ไม่ตรง"))</f>
        <v/>
      </c>
      <c r="N1144" s="14">
        <f>IF(L1144="","",ROUND(L1144*'สรุป'!$C$6,-1))</f>
        <v/>
      </c>
      <c r="O1144" s="15" t="n"/>
      <c r="P1144" s="15" t="n"/>
      <c r="Q1144" s="10" t="n"/>
      <c r="R1144" s="10" t="n"/>
      <c r="S1144" s="16" t="inlineStr">
        <is>
          <t>https://mstgolf.co.th/products/gf3010401057</t>
        </is>
      </c>
      <c r="T1144" s="1">
        <f>IF(B1144="ไม้กอล์ฟ",J1144,"")</f>
        <v/>
      </c>
    </row>
    <row r="1145">
      <c r="A1145" s="1" t="n">
        <v>2</v>
      </c>
      <c r="B1145" s="1" t="inlineStr">
        <is>
          <t>ถุงกอล์ฟ</t>
        </is>
      </c>
      <c r="C1145" s="1" t="inlineStr">
        <is>
          <t>gf3010401055</t>
        </is>
      </c>
      <c r="D1145" s="1" t="inlineStr">
        <is>
          <t>ADIDAS Polyurethane 2-Way Zip Pouch (Beige)</t>
        </is>
      </c>
      <c r="E1145" s="1" t="inlineStr">
        <is>
          <t>ADIDAS</t>
        </is>
      </c>
      <c r="F1145" s="1" t="inlineStr">
        <is>
          <t>SMALL BAG</t>
        </is>
      </c>
      <c r="G1145" s="1" t="inlineStr">
        <is>
          <t>GF3010401055</t>
        </is>
      </c>
      <c r="H1145" s="1" t="n">
        <v>1</v>
      </c>
      <c r="I1145" s="1" t="inlineStr">
        <is>
          <t>มี</t>
        </is>
      </c>
      <c r="J1145" s="13" t="n">
        <v>70</v>
      </c>
      <c r="K1145" s="1" t="inlineStr"/>
      <c r="L1145" s="13" t="n">
        <v>35</v>
      </c>
      <c r="M1145" s="1">
        <f>IF(L1145="","ไม่พบใน SG",IF(ABS(J1145-L1145)&lt;0.005,"ตรงกัน","ไม่ตรง"))</f>
        <v/>
      </c>
      <c r="N1145" s="14">
        <f>IF(L1145="","",ROUND(L1145*'สรุป'!$C$6,-1))</f>
        <v/>
      </c>
      <c r="O1145" s="15" t="n"/>
      <c r="P1145" s="15" t="n"/>
      <c r="Q1145" s="10" t="n"/>
      <c r="R1145" s="10" t="n"/>
      <c r="S1145" s="16" t="inlineStr">
        <is>
          <t>https://mstgolf.co.th/products/gf3010401055</t>
        </is>
      </c>
      <c r="T1145" s="1">
        <f>IF(B1145="ไม้กอล์ฟ",J1145,"")</f>
        <v/>
      </c>
    </row>
    <row r="1146">
      <c r="A1146" s="1" t="n">
        <v>2</v>
      </c>
      <c r="B1146" s="1" t="inlineStr">
        <is>
          <t>ถุงกอล์ฟ</t>
        </is>
      </c>
      <c r="C1146" s="1" t="inlineStr">
        <is>
          <t>gf3010401056</t>
        </is>
      </c>
      <c r="D1146" s="1" t="inlineStr">
        <is>
          <t>ADIDAS Polyurethane 2-Way Zip Pouch (Black)</t>
        </is>
      </c>
      <c r="E1146" s="1" t="inlineStr">
        <is>
          <t>ADIDAS</t>
        </is>
      </c>
      <c r="F1146" s="1" t="inlineStr">
        <is>
          <t>SMALL BAG</t>
        </is>
      </c>
      <c r="G1146" s="1" t="inlineStr">
        <is>
          <t>GF3010401056</t>
        </is>
      </c>
      <c r="H1146" s="1" t="n">
        <v>1</v>
      </c>
      <c r="I1146" s="1" t="inlineStr">
        <is>
          <t>มี</t>
        </is>
      </c>
      <c r="J1146" s="13" t="n">
        <v>70</v>
      </c>
      <c r="K1146" s="1" t="inlineStr"/>
      <c r="L1146" s="13" t="n">
        <v>35</v>
      </c>
      <c r="M1146" s="1">
        <f>IF(L1146="","ไม่พบใน SG",IF(ABS(J1146-L1146)&lt;0.005,"ตรงกัน","ไม่ตรง"))</f>
        <v/>
      </c>
      <c r="N1146" s="14">
        <f>IF(L1146="","",ROUND(L1146*'สรุป'!$C$6,-1))</f>
        <v/>
      </c>
      <c r="O1146" s="15" t="n"/>
      <c r="P1146" s="15" t="n"/>
      <c r="Q1146" s="10" t="n"/>
      <c r="R1146" s="10" t="n"/>
      <c r="S1146" s="16" t="inlineStr">
        <is>
          <t>https://mstgolf.co.th/products/gf3010401056</t>
        </is>
      </c>
      <c r="T1146" s="1">
        <f>IF(B1146="ไม้กอล์ฟ",J1146,"")</f>
        <v/>
      </c>
    </row>
    <row r="1147">
      <c r="A1147" s="1" t="n">
        <v>2</v>
      </c>
      <c r="B1147" s="1" t="inlineStr">
        <is>
          <t>ถุงกอล์ฟ</t>
        </is>
      </c>
      <c r="C1147" s="1" t="inlineStr">
        <is>
          <t>gf3010401189</t>
        </is>
      </c>
      <c r="D1147" s="1" t="inlineStr">
        <is>
          <t>FOOTJOY GWP Shoe Bag (Black)</t>
        </is>
      </c>
      <c r="E1147" s="1" t="inlineStr">
        <is>
          <t>FOOTJOY</t>
        </is>
      </c>
      <c r="F1147" s="1" t="inlineStr">
        <is>
          <t>SMALL BAG</t>
        </is>
      </c>
      <c r="G1147" s="1" t="inlineStr">
        <is>
          <t>GF3010401189</t>
        </is>
      </c>
      <c r="H1147" s="1" t="n">
        <v>1</v>
      </c>
      <c r="I1147" s="1" t="inlineStr">
        <is>
          <t>มี</t>
        </is>
      </c>
      <c r="J1147" s="13" t="n">
        <v>70</v>
      </c>
      <c r="K1147" s="1" t="inlineStr"/>
      <c r="L1147" s="13" t="n"/>
      <c r="M1147" s="1">
        <f>IF(L1147="","ไม่พบใน SG",IF(ABS(J1147-L1147)&lt;0.005,"ตรงกัน","ไม่ตรง"))</f>
        <v/>
      </c>
      <c r="N1147" s="14">
        <f>IF(L1147="","",ROUND(L1147*'สรุป'!$C$6,-1))</f>
        <v/>
      </c>
      <c r="O1147" s="15" t="n"/>
      <c r="P1147" s="15" t="n"/>
      <c r="Q1147" s="10" t="n"/>
      <c r="R1147" s="10" t="n"/>
      <c r="S1147" s="16" t="inlineStr">
        <is>
          <t>https://mstgolf.co.th/products/gf3010401189</t>
        </is>
      </c>
      <c r="T1147" s="1">
        <f>IF(B1147="ไม้กอล์ฟ",J1147,"")</f>
        <v/>
      </c>
    </row>
    <row r="1148">
      <c r="A1148" s="1" t="n">
        <v>2</v>
      </c>
      <c r="B1148" s="1" t="inlineStr">
        <is>
          <t>ลูกกอล์ฟ</t>
        </is>
      </c>
      <c r="C1148" s="1" t="inlineStr">
        <is>
          <t>gf3200400351</t>
        </is>
      </c>
      <c r="D1148" s="1" t="inlineStr">
        <is>
          <t>TITLEIST AVX (2026) Golf Ball</t>
        </is>
      </c>
      <c r="E1148" s="1" t="inlineStr">
        <is>
          <t>TITLEIST</t>
        </is>
      </c>
      <c r="F1148" s="1" t="inlineStr">
        <is>
          <t>TOUR</t>
        </is>
      </c>
      <c r="G1148" s="1" t="inlineStr">
        <is>
          <t>GF3200400351</t>
        </is>
      </c>
      <c r="H1148" s="1" t="n">
        <v>1</v>
      </c>
      <c r="I1148" s="1" t="inlineStr">
        <is>
          <t>มี</t>
        </is>
      </c>
      <c r="J1148" s="13" t="n">
        <v>69.59999999999999</v>
      </c>
      <c r="K1148" s="1" t="inlineStr"/>
      <c r="L1148" s="13" t="n">
        <v>69.59999999999999</v>
      </c>
      <c r="M1148" s="1">
        <f>IF(L1148="","ไม่พบใน SG",IF(ABS(J1148-L1148)&lt;0.005,"ตรงกัน","ไม่ตรง"))</f>
        <v/>
      </c>
      <c r="N1148" s="14">
        <f>IF(L1148="","",ROUND(L1148*'สรุป'!$C$6,-1))</f>
        <v/>
      </c>
      <c r="O1148" s="15" t="n"/>
      <c r="P1148" s="15" t="n"/>
      <c r="Q1148" s="10" t="n"/>
      <c r="R1148" s="10" t="n"/>
      <c r="S1148" s="16" t="inlineStr">
        <is>
          <t>https://mstgolf.co.th/products/gf3200400351</t>
        </is>
      </c>
      <c r="T1148" s="1">
        <f>IF(B1148="ไม้กอล์ฟ",J1148,"")</f>
        <v/>
      </c>
    </row>
    <row r="1149">
      <c r="A1149" s="1" t="n">
        <v>2</v>
      </c>
      <c r="B1149" s="1" t="inlineStr">
        <is>
          <t>ถุงกอล์ฟ</t>
        </is>
      </c>
      <c r="C1149" s="1" t="inlineStr">
        <is>
          <t>gf3010200674</t>
        </is>
      </c>
      <c r="D1149" s="1" t="inlineStr">
        <is>
          <t>ADIDAS Originals Shoe Bag (Blue)</t>
        </is>
      </c>
      <c r="E1149" s="1" t="inlineStr">
        <is>
          <t>ADIDAS</t>
        </is>
      </c>
      <c r="F1149" s="1" t="inlineStr">
        <is>
          <t>SHOES BAG</t>
        </is>
      </c>
      <c r="G1149" s="1" t="inlineStr">
        <is>
          <t>GF3010200674</t>
        </is>
      </c>
      <c r="H1149" s="1" t="n">
        <v>1</v>
      </c>
      <c r="I1149" s="1" t="inlineStr">
        <is>
          <t>มี</t>
        </is>
      </c>
      <c r="J1149" s="13" t="n">
        <v>69</v>
      </c>
      <c r="K1149" s="1" t="inlineStr"/>
      <c r="L1149" s="13" t="n">
        <v>59</v>
      </c>
      <c r="M1149" s="1">
        <f>IF(L1149="","ไม่พบใน SG",IF(ABS(J1149-L1149)&lt;0.005,"ตรงกัน","ไม่ตรง"))</f>
        <v/>
      </c>
      <c r="N1149" s="14">
        <f>IF(L1149="","",ROUND(L1149*'สรุป'!$C$6,-1))</f>
        <v/>
      </c>
      <c r="O1149" s="15" t="n"/>
      <c r="P1149" s="15" t="n"/>
      <c r="Q1149" s="10" t="n"/>
      <c r="R1149" s="10" t="n"/>
      <c r="S1149" s="16" t="inlineStr">
        <is>
          <t>https://mstgolf.co.th/products/gf3010200674</t>
        </is>
      </c>
      <c r="T1149" s="1">
        <f>IF(B1149="ไม้กอล์ฟ",J1149,"")</f>
        <v/>
      </c>
    </row>
    <row r="1150">
      <c r="A1150" s="1" t="n">
        <v>2</v>
      </c>
      <c r="B1150" s="1" t="inlineStr">
        <is>
          <t>อุปกรณ์ฝึกซ้อม</t>
        </is>
      </c>
      <c r="C1150" s="1" t="inlineStr">
        <is>
          <t>gf3040100104</t>
        </is>
      </c>
      <c r="D1150" s="1" t="inlineStr">
        <is>
          <t>GENERAL ITEM Paragon Golf Swing Trainer - 47"/ 716g (Yellow)</t>
        </is>
      </c>
      <c r="E1150" s="1" t="inlineStr">
        <is>
          <t>GENERAL ITEM</t>
        </is>
      </c>
      <c r="F1150" s="1" t="inlineStr">
        <is>
          <t>SWING</t>
        </is>
      </c>
      <c r="G1150" s="1" t="inlineStr">
        <is>
          <t>GF3040100104</t>
        </is>
      </c>
      <c r="H1150" s="1" t="n">
        <v>1</v>
      </c>
      <c r="I1150" s="1" t="inlineStr">
        <is>
          <t>มี</t>
        </is>
      </c>
      <c r="J1150" s="13" t="n">
        <v>69</v>
      </c>
      <c r="K1150" s="1" t="inlineStr"/>
      <c r="L1150" s="13" t="n">
        <v>69</v>
      </c>
      <c r="M1150" s="1">
        <f>IF(L1150="","ไม่พบใน SG",IF(ABS(J1150-L1150)&lt;0.005,"ตรงกัน","ไม่ตรง"))</f>
        <v/>
      </c>
      <c r="N1150" s="14">
        <f>IF(L1150="","",ROUND(L1150*'สรุป'!$C$6,-1))</f>
        <v/>
      </c>
      <c r="O1150" s="15" t="n"/>
      <c r="P1150" s="15" t="n"/>
      <c r="Q1150" s="10" t="n"/>
      <c r="R1150" s="10" t="n"/>
      <c r="S1150" s="16" t="inlineStr">
        <is>
          <t>https://mstgolf.co.th/products/gf3040100104</t>
        </is>
      </c>
      <c r="T1150" s="1">
        <f>IF(B1150="ไม้กอล์ฟ",J1150,"")</f>
        <v/>
      </c>
    </row>
    <row r="1151">
      <c r="A1151" s="1" t="n">
        <v>2</v>
      </c>
      <c r="B1151" s="1" t="inlineStr">
        <is>
          <t>รองเท้า</t>
        </is>
      </c>
      <c r="C1151" s="1" t="inlineStr">
        <is>
          <t>gf2500201019</t>
        </is>
      </c>
      <c r="D1151" s="1" t="inlineStr">
        <is>
          <t>NIKE Roshe G Next Nature Men's Spikeless Shoes (Red/Black)</t>
        </is>
      </c>
      <c r="E1151" s="1" t="inlineStr">
        <is>
          <t>NIKE</t>
        </is>
      </c>
      <c r="F1151" s="1" t="inlineStr">
        <is>
          <t>SPIKELESS SHOES</t>
        </is>
      </c>
      <c r="G1151" s="1" t="inlineStr">
        <is>
          <t>GF2500201019US4</t>
        </is>
      </c>
      <c r="H1151" s="1" t="n">
        <v>16</v>
      </c>
      <c r="I1151" s="1" t="inlineStr">
        <is>
          <t>มี</t>
        </is>
      </c>
      <c r="J1151" s="13" t="n">
        <v>69</v>
      </c>
      <c r="K1151" s="1" t="inlineStr"/>
      <c r="L1151" s="13" t="n">
        <v>69</v>
      </c>
      <c r="M1151" s="1">
        <f>IF(L1151="","ไม่พบใน SG",IF(ABS(J1151-L1151)&lt;0.005,"ตรงกัน","ไม่ตรง"))</f>
        <v/>
      </c>
      <c r="N1151" s="14">
        <f>IF(L1151="","",ROUND(L1151*'สรุป'!$C$6,-1))</f>
        <v/>
      </c>
      <c r="O1151" s="15" t="n"/>
      <c r="P1151" s="15" t="n"/>
      <c r="Q1151" s="10" t="n"/>
      <c r="R1151" s="10" t="n"/>
      <c r="S1151" s="16" t="inlineStr">
        <is>
          <t>https://mstgolf.co.th/products/gf2500201019</t>
        </is>
      </c>
      <c r="T1151" s="1">
        <f>IF(B1151="ไม้กอล์ฟ",J1151,"")</f>
        <v/>
      </c>
    </row>
    <row r="1152">
      <c r="A1152" s="1" t="n">
        <v>2</v>
      </c>
      <c r="B1152" s="1" t="inlineStr">
        <is>
          <t>ถุงกอล์ฟ</t>
        </is>
      </c>
      <c r="C1152" s="1" t="inlineStr">
        <is>
          <t>gf3010101051</t>
        </is>
      </c>
      <c r="D1152" s="1" t="inlineStr">
        <is>
          <t>UNDER ARMOUR Undeniable 5.0 Medium Duffle Bag (Black/Black/Silver)</t>
        </is>
      </c>
      <c r="E1152" s="1" t="inlineStr">
        <is>
          <t>UNDER ARMOUR</t>
        </is>
      </c>
      <c r="F1152" s="1" t="inlineStr">
        <is>
          <t>BOSTON/DUFFLE BAG</t>
        </is>
      </c>
      <c r="G1152" s="1" t="inlineStr">
        <is>
          <t>GF3010101051</t>
        </is>
      </c>
      <c r="H1152" s="1" t="n">
        <v>1</v>
      </c>
      <c r="I1152" s="1" t="inlineStr">
        <is>
          <t>มี</t>
        </is>
      </c>
      <c r="J1152" s="13" t="n">
        <v>69</v>
      </c>
      <c r="K1152" s="1" t="inlineStr"/>
      <c r="L1152" s="13" t="n">
        <v>69</v>
      </c>
      <c r="M1152" s="1">
        <f>IF(L1152="","ไม่พบใน SG",IF(ABS(J1152-L1152)&lt;0.005,"ตรงกัน","ไม่ตรง"))</f>
        <v/>
      </c>
      <c r="N1152" s="14">
        <f>IF(L1152="","",ROUND(L1152*'สรุป'!$C$6,-1))</f>
        <v/>
      </c>
      <c r="O1152" s="15" t="n"/>
      <c r="P1152" s="15" t="n"/>
      <c r="Q1152" s="10" t="n"/>
      <c r="R1152" s="10" t="n"/>
      <c r="S1152" s="16" t="inlineStr">
        <is>
          <t>https://mstgolf.co.th/products/gf3010101051</t>
        </is>
      </c>
      <c r="T1152" s="1">
        <f>IF(B1152="ไม้กอล์ฟ",J1152,"")</f>
        <v/>
      </c>
    </row>
    <row r="1153">
      <c r="A1153" s="1" t="n">
        <v>2</v>
      </c>
      <c r="B1153" s="1" t="inlineStr">
        <is>
          <t>ถุงกอล์ฟ</t>
        </is>
      </c>
      <c r="C1153" s="1" t="inlineStr">
        <is>
          <t>gf3010101327</t>
        </is>
      </c>
      <c r="D1153" s="1" t="inlineStr">
        <is>
          <t>UNDER ARMOUR Undeniable 5.0 Medium Duffle Bag (Khaki/Khaki/Khaki)</t>
        </is>
      </c>
      <c r="E1153" s="1" t="inlineStr">
        <is>
          <t>UNDER ARMOUR</t>
        </is>
      </c>
      <c r="F1153" s="1" t="inlineStr">
        <is>
          <t>BOSTON/DUFFLE BAG</t>
        </is>
      </c>
      <c r="G1153" s="1" t="inlineStr">
        <is>
          <t>GF3010101327</t>
        </is>
      </c>
      <c r="H1153" s="1" t="n">
        <v>1</v>
      </c>
      <c r="I1153" s="1" t="inlineStr">
        <is>
          <t>มี</t>
        </is>
      </c>
      <c r="J1153" s="13" t="n">
        <v>69</v>
      </c>
      <c r="K1153" s="1" t="inlineStr"/>
      <c r="L1153" s="13" t="n"/>
      <c r="M1153" s="1">
        <f>IF(L1153="","ไม่พบใน SG",IF(ABS(J1153-L1153)&lt;0.005,"ตรงกัน","ไม่ตรง"))</f>
        <v/>
      </c>
      <c r="N1153" s="14">
        <f>IF(L1153="","",ROUND(L1153*'สรุป'!$C$6,-1))</f>
        <v/>
      </c>
      <c r="O1153" s="15" t="n"/>
      <c r="P1153" s="15" t="n"/>
      <c r="Q1153" s="10" t="n"/>
      <c r="R1153" s="10" t="n"/>
      <c r="S1153" s="16" t="inlineStr">
        <is>
          <t>https://mstgolf.co.th/products/gf3010101327</t>
        </is>
      </c>
      <c r="T1153" s="1">
        <f>IF(B1153="ไม้กอล์ฟ",J1153,"")</f>
        <v/>
      </c>
    </row>
    <row r="1154">
      <c r="A1154" s="1" t="n">
        <v>2</v>
      </c>
      <c r="B1154" s="1" t="inlineStr">
        <is>
          <t>รองเท้า</t>
        </is>
      </c>
      <c r="C1154" s="1" t="inlineStr">
        <is>
          <t>gf2500201172</t>
        </is>
      </c>
      <c r="D1154" s="1" t="inlineStr">
        <is>
          <t>ADIDAS Retrocross Men's Spikeless Shoes (White/Black)</t>
        </is>
      </c>
      <c r="E1154" s="1" t="inlineStr">
        <is>
          <t>ADIDAS</t>
        </is>
      </c>
      <c r="F1154" s="1" t="inlineStr">
        <is>
          <t>SPIKELESS SHOES</t>
        </is>
      </c>
      <c r="G1154" s="1" t="inlineStr">
        <is>
          <t>GF2500201172UK4</t>
        </is>
      </c>
      <c r="H1154" s="1" t="n">
        <v>17</v>
      </c>
      <c r="I1154" s="1" t="inlineStr">
        <is>
          <t>มี</t>
        </is>
      </c>
      <c r="J1154" s="13" t="n">
        <v>65</v>
      </c>
      <c r="K1154" s="1" t="inlineStr"/>
      <c r="L1154" s="13" t="n">
        <v>65</v>
      </c>
      <c r="M1154" s="1">
        <f>IF(L1154="","ไม่พบใน SG",IF(ABS(J1154-L1154)&lt;0.005,"ตรงกัน","ไม่ตรง"))</f>
        <v/>
      </c>
      <c r="N1154" s="14">
        <f>IF(L1154="","",ROUND(L1154*'สรุป'!$C$6,-1))</f>
        <v/>
      </c>
      <c r="O1154" s="15" t="n"/>
      <c r="P1154" s="15" t="n"/>
      <c r="Q1154" s="10" t="n"/>
      <c r="R1154" s="10" t="n"/>
      <c r="S1154" s="16" t="inlineStr">
        <is>
          <t>https://mstgolf.co.th/products/gf2500201172</t>
        </is>
      </c>
      <c r="T1154" s="1">
        <f>IF(B1154="ไม้กอล์ฟ",J1154,"")</f>
        <v/>
      </c>
    </row>
    <row r="1155">
      <c r="A1155" s="1" t="n">
        <v>2</v>
      </c>
      <c r="B1155" s="1" t="inlineStr">
        <is>
          <t>รองเท้า</t>
        </is>
      </c>
      <c r="C1155" s="1" t="inlineStr">
        <is>
          <t>gf2500201230</t>
        </is>
      </c>
      <c r="D1155" s="1" t="inlineStr">
        <is>
          <t>ADIDAS S2G Wide Men’s Spikeless Shoes (Grey/Blue)</t>
        </is>
      </c>
      <c r="E1155" s="1" t="inlineStr">
        <is>
          <t>ADIDAS</t>
        </is>
      </c>
      <c r="F1155" s="1" t="inlineStr">
        <is>
          <t>SPIKELESS SHOES</t>
        </is>
      </c>
      <c r="G1155" s="1" t="inlineStr">
        <is>
          <t>GF2500201230UK6.5</t>
        </is>
      </c>
      <c r="H1155" s="1" t="n">
        <v>11</v>
      </c>
      <c r="I1155" s="1" t="inlineStr">
        <is>
          <t>มี</t>
        </is>
      </c>
      <c r="J1155" s="13" t="n">
        <v>65</v>
      </c>
      <c r="K1155" s="1" t="inlineStr"/>
      <c r="L1155" s="13" t="n">
        <v>65</v>
      </c>
      <c r="M1155" s="1">
        <f>IF(L1155="","ไม่พบใน SG",IF(ABS(J1155-L1155)&lt;0.005,"ตรงกัน","ไม่ตรง"))</f>
        <v/>
      </c>
      <c r="N1155" s="14">
        <f>IF(L1155="","",ROUND(L1155*'สรุป'!$C$6,-1))</f>
        <v/>
      </c>
      <c r="O1155" s="15" t="n"/>
      <c r="P1155" s="15" t="n"/>
      <c r="Q1155" s="10" t="n"/>
      <c r="R1155" s="10" t="n"/>
      <c r="S1155" s="16" t="inlineStr">
        <is>
          <t>https://mstgolf.co.th/products/gf2500201230</t>
        </is>
      </c>
      <c r="T1155" s="1">
        <f>IF(B1155="ไม้กอล์ฟ",J1155,"")</f>
        <v/>
      </c>
    </row>
    <row r="1156">
      <c r="A1156" s="1" t="n">
        <v>2</v>
      </c>
      <c r="B1156" s="1" t="inlineStr">
        <is>
          <t>รองเท้า</t>
        </is>
      </c>
      <c r="C1156" s="1" t="inlineStr">
        <is>
          <t>gf2500201243</t>
        </is>
      </c>
      <c r="D1156" s="1" t="inlineStr">
        <is>
          <t>ADIDAS S2G Women’s Spikeless Shoes (White)</t>
        </is>
      </c>
      <c r="E1156" s="1" t="inlineStr">
        <is>
          <t>ADIDAS</t>
        </is>
      </c>
      <c r="F1156" s="1" t="inlineStr">
        <is>
          <t>SPIKELESS SHOES</t>
        </is>
      </c>
      <c r="G1156" s="1" t="inlineStr">
        <is>
          <t>GF2500201243UK4</t>
        </is>
      </c>
      <c r="H1156" s="1" t="n">
        <v>9</v>
      </c>
      <c r="I1156" s="1" t="inlineStr">
        <is>
          <t>มี</t>
        </is>
      </c>
      <c r="J1156" s="13" t="n">
        <v>65</v>
      </c>
      <c r="K1156" s="1" t="inlineStr"/>
      <c r="L1156" s="13" t="n">
        <v>65</v>
      </c>
      <c r="M1156" s="1">
        <f>IF(L1156="","ไม่พบใน SG",IF(ABS(J1156-L1156)&lt;0.005,"ตรงกัน","ไม่ตรง"))</f>
        <v/>
      </c>
      <c r="N1156" s="14">
        <f>IF(L1156="","",ROUND(L1156*'สรุป'!$C$6,-1))</f>
        <v/>
      </c>
      <c r="O1156" s="15" t="n"/>
      <c r="P1156" s="15" t="n"/>
      <c r="Q1156" s="10" t="n"/>
      <c r="R1156" s="10" t="n"/>
      <c r="S1156" s="16" t="inlineStr">
        <is>
          <t>https://mstgolf.co.th/products/gf2500201243</t>
        </is>
      </c>
      <c r="T1156" s="1">
        <f>IF(B1156="ไม้กอล์ฟ",J1156,"")</f>
        <v/>
      </c>
    </row>
    <row r="1157">
      <c r="A1157" s="1" t="n">
        <v>2</v>
      </c>
      <c r="B1157" s="1" t="inlineStr">
        <is>
          <t>รองเท้า</t>
        </is>
      </c>
      <c r="C1157" s="1" t="inlineStr">
        <is>
          <t>gf2500200942</t>
        </is>
      </c>
      <c r="D1157" s="1" t="inlineStr">
        <is>
          <t>FOOTJOY Fuel Junior Spikeless Shoes (White/Black)</t>
        </is>
      </c>
      <c r="E1157" s="1" t="inlineStr">
        <is>
          <t>FOOTJOY</t>
        </is>
      </c>
      <c r="F1157" s="1" t="inlineStr">
        <is>
          <t>SPIKELESS SHOES</t>
        </is>
      </c>
      <c r="G1157" s="1" t="inlineStr">
        <is>
          <t>GF2500200942US1</t>
        </is>
      </c>
      <c r="H1157" s="1" t="n">
        <v>6</v>
      </c>
      <c r="I1157" s="1" t="inlineStr">
        <is>
          <t>มี</t>
        </is>
      </c>
      <c r="J1157" s="13" t="n">
        <v>65</v>
      </c>
      <c r="K1157" s="1" t="inlineStr"/>
      <c r="L1157" s="13" t="n">
        <v>65</v>
      </c>
      <c r="M1157" s="1">
        <f>IF(L1157="","ไม่พบใน SG",IF(ABS(J1157-L1157)&lt;0.005,"ตรงกัน","ไม่ตรง"))</f>
        <v/>
      </c>
      <c r="N1157" s="14">
        <f>IF(L1157="","",ROUND(L1157*'สรุป'!$C$6,-1))</f>
        <v/>
      </c>
      <c r="O1157" s="15" t="n"/>
      <c r="P1157" s="15" t="n"/>
      <c r="Q1157" s="10" t="n"/>
      <c r="R1157" s="10" t="n"/>
      <c r="S1157" s="16" t="inlineStr">
        <is>
          <t>https://mstgolf.co.th/products/gf2500200942</t>
        </is>
      </c>
      <c r="T1157" s="1">
        <f>IF(B1157="ไม้กอล์ฟ",J1157,"")</f>
        <v/>
      </c>
    </row>
    <row r="1158">
      <c r="A1158" s="1" t="n">
        <v>2</v>
      </c>
      <c r="B1158" s="1" t="inlineStr">
        <is>
          <t>ถุงกอล์ฟ</t>
        </is>
      </c>
      <c r="C1158" s="1" t="inlineStr">
        <is>
          <t>gf3010300373</t>
        </is>
      </c>
      <c r="D1158" s="1" t="inlineStr">
        <is>
          <t>PUMA Style Backpack (Black)</t>
        </is>
      </c>
      <c r="E1158" s="1" t="inlineStr">
        <is>
          <t>PUMA</t>
        </is>
      </c>
      <c r="F1158" s="1" t="inlineStr">
        <is>
          <t>BACKPACK/RUCKSACK</t>
        </is>
      </c>
      <c r="G1158" s="1" t="inlineStr">
        <is>
          <t>GF3010300373</t>
        </is>
      </c>
      <c r="H1158" s="1" t="n">
        <v>1</v>
      </c>
      <c r="I1158" s="1" t="inlineStr">
        <is>
          <t>มี</t>
        </is>
      </c>
      <c r="J1158" s="13" t="n">
        <v>65</v>
      </c>
      <c r="K1158" s="1" t="inlineStr"/>
      <c r="L1158" s="13" t="n">
        <v>39</v>
      </c>
      <c r="M1158" s="1">
        <f>IF(L1158="","ไม่พบใน SG",IF(ABS(J1158-L1158)&lt;0.005,"ตรงกัน","ไม่ตรง"))</f>
        <v/>
      </c>
      <c r="N1158" s="14">
        <f>IF(L1158="","",ROUND(L1158*'สรุป'!$C$6,-1))</f>
        <v/>
      </c>
      <c r="O1158" s="15" t="n"/>
      <c r="P1158" s="15" t="n"/>
      <c r="Q1158" s="10" t="n"/>
      <c r="R1158" s="10" t="n"/>
      <c r="S1158" s="16" t="inlineStr">
        <is>
          <t>https://mstgolf.co.th/products/gf3010300373</t>
        </is>
      </c>
      <c r="T1158" s="1">
        <f>IF(B1158="ไม้กอล์ฟ",J1158,"")</f>
        <v/>
      </c>
    </row>
    <row r="1159">
      <c r="A1159" s="1" t="n">
        <v>2</v>
      </c>
      <c r="B1159" s="1" t="inlineStr">
        <is>
          <t>ลูกกอล์ฟ</t>
        </is>
      </c>
      <c r="C1159" s="1" t="inlineStr">
        <is>
          <t>gf3200300069</t>
        </is>
      </c>
      <c r="D1159" s="1" t="inlineStr">
        <is>
          <t>TAYLORMADE Tour Response Stripe (2025) (Yellow) Golf Ball</t>
        </is>
      </c>
      <c r="E1159" s="1" t="inlineStr">
        <is>
          <t>TAYLORMADE</t>
        </is>
      </c>
      <c r="F1159" s="1" t="inlineStr">
        <is>
          <t>TOUR</t>
        </is>
      </c>
      <c r="G1159" s="1" t="inlineStr">
        <is>
          <t>GF3200300069</t>
        </is>
      </c>
      <c r="H1159" s="1" t="n">
        <v>1</v>
      </c>
      <c r="I1159" s="1" t="inlineStr">
        <is>
          <t>มี</t>
        </is>
      </c>
      <c r="J1159" s="13" t="n">
        <v>65</v>
      </c>
      <c r="K1159" s="1" t="inlineStr"/>
      <c r="L1159" s="13" t="n">
        <v>65</v>
      </c>
      <c r="M1159" s="1">
        <f>IF(L1159="","ไม่พบใน SG",IF(ABS(J1159-L1159)&lt;0.005,"ตรงกัน","ไม่ตรง"))</f>
        <v/>
      </c>
      <c r="N1159" s="14">
        <f>IF(L1159="","",ROUND(L1159*'สรุป'!$C$6,-1))</f>
        <v/>
      </c>
      <c r="O1159" s="15" t="n"/>
      <c r="P1159" s="15" t="n"/>
      <c r="Q1159" s="10" t="n"/>
      <c r="R1159" s="10" t="n"/>
      <c r="S1159" s="16" t="inlineStr">
        <is>
          <t>https://mstgolf.co.th/products/gf3200300069</t>
        </is>
      </c>
      <c r="T1159" s="1">
        <f>IF(B1159="ไม้กอล์ฟ",J1159,"")</f>
        <v/>
      </c>
    </row>
    <row r="1160">
      <c r="A1160" s="1" t="n">
        <v>2</v>
      </c>
      <c r="B1160" s="1" t="inlineStr">
        <is>
          <t>ลูกกอล์ฟ</t>
        </is>
      </c>
      <c r="C1160" s="1" t="inlineStr">
        <is>
          <t>gf3200300070</t>
        </is>
      </c>
      <c r="D1160" s="1" t="inlineStr">
        <is>
          <t>TAYLORMADE Tour Response Stripe Multipack (2025) Golf Ball</t>
        </is>
      </c>
      <c r="E1160" s="1" t="inlineStr">
        <is>
          <t>TAYLORMADE</t>
        </is>
      </c>
      <c r="F1160" s="1" t="inlineStr">
        <is>
          <t>TOUR</t>
        </is>
      </c>
      <c r="G1160" s="1" t="inlineStr">
        <is>
          <t>GF3200300070</t>
        </is>
      </c>
      <c r="H1160" s="1" t="n">
        <v>1</v>
      </c>
      <c r="I1160" s="1" t="inlineStr">
        <is>
          <t>มี</t>
        </is>
      </c>
      <c r="J1160" s="13" t="n">
        <v>65</v>
      </c>
      <c r="K1160" s="1" t="inlineStr"/>
      <c r="L1160" s="13" t="n">
        <v>65</v>
      </c>
      <c r="M1160" s="1">
        <f>IF(L1160="","ไม่พบใน SG",IF(ABS(J1160-L1160)&lt;0.005,"ตรงกัน","ไม่ตรง"))</f>
        <v/>
      </c>
      <c r="N1160" s="14">
        <f>IF(L1160="","",ROUND(L1160*'สรุป'!$C$6,-1))</f>
        <v/>
      </c>
      <c r="O1160" s="15" t="n"/>
      <c r="P1160" s="15" t="n"/>
      <c r="Q1160" s="10" t="n"/>
      <c r="R1160" s="10" t="n"/>
      <c r="S1160" s="16" t="inlineStr">
        <is>
          <t>https://mstgolf.co.th/products/gf3200300070</t>
        </is>
      </c>
      <c r="T1160" s="1">
        <f>IF(B1160="ไม้กอล์ฟ",J1160,"")</f>
        <v/>
      </c>
    </row>
    <row r="1161">
      <c r="A1161" s="1" t="n">
        <v>2</v>
      </c>
      <c r="B1161" s="1" t="inlineStr">
        <is>
          <t>อุปกรณ์ฝึกซ้อม</t>
        </is>
      </c>
      <c r="C1161" s="1" t="inlineStr">
        <is>
          <t>gf3040200062</t>
        </is>
      </c>
      <c r="D1161" s="1" t="inlineStr">
        <is>
          <t>PUTTOUT Pressure Putt Trainer (Orange)</t>
        </is>
      </c>
      <c r="E1161" s="1" t="inlineStr">
        <is>
          <t>PUTTOUT</t>
        </is>
      </c>
      <c r="F1161" s="1" t="inlineStr">
        <is>
          <t>PUTT / CHIP</t>
        </is>
      </c>
      <c r="G1161" s="1" t="inlineStr">
        <is>
          <t>GF3040200062</t>
        </is>
      </c>
      <c r="H1161" s="1" t="n">
        <v>1</v>
      </c>
      <c r="I1161" s="1" t="inlineStr">
        <is>
          <t>มี</t>
        </is>
      </c>
      <c r="J1161" s="13" t="n">
        <v>63</v>
      </c>
      <c r="K1161" s="1" t="inlineStr"/>
      <c r="L1161" s="13" t="n">
        <v>63</v>
      </c>
      <c r="M1161" s="1">
        <f>IF(L1161="","ไม่พบใน SG",IF(ABS(J1161-L1161)&lt;0.005,"ตรงกัน","ไม่ตรง"))</f>
        <v/>
      </c>
      <c r="N1161" s="14">
        <f>IF(L1161="","",ROUND(L1161*'สรุป'!$C$6,-1))</f>
        <v/>
      </c>
      <c r="O1161" s="15" t="n"/>
      <c r="P1161" s="15" t="n"/>
      <c r="Q1161" s="10" t="n"/>
      <c r="R1161" s="10" t="n"/>
      <c r="S1161" s="16" t="inlineStr">
        <is>
          <t>https://mstgolf.co.th/products/gf3040200062</t>
        </is>
      </c>
      <c r="T1161" s="1">
        <f>IF(B1161="ไม้กอล์ฟ",J1161,"")</f>
        <v/>
      </c>
    </row>
    <row r="1162">
      <c r="A1162" s="1" t="n">
        <v>2</v>
      </c>
      <c r="B1162" s="1" t="inlineStr">
        <is>
          <t>อุปกรณ์ฝึกซ้อม</t>
        </is>
      </c>
      <c r="C1162" s="1" t="inlineStr">
        <is>
          <t>gf3040200014</t>
        </is>
      </c>
      <c r="D1162" s="1" t="inlineStr">
        <is>
          <t>TABATA Putting Mat 2.00m X 0.225m</t>
        </is>
      </c>
      <c r="E1162" s="1" t="inlineStr">
        <is>
          <t>TABATA</t>
        </is>
      </c>
      <c r="F1162" s="1" t="inlineStr">
        <is>
          <t>PUTT / CHIP</t>
        </is>
      </c>
      <c r="G1162" s="1" t="inlineStr">
        <is>
          <t>GF3040200014</t>
        </is>
      </c>
      <c r="H1162" s="1" t="n">
        <v>1</v>
      </c>
      <c r="I1162" s="1" t="inlineStr">
        <is>
          <t>มี</t>
        </is>
      </c>
      <c r="J1162" s="13" t="n">
        <v>63</v>
      </c>
      <c r="K1162" s="1" t="inlineStr"/>
      <c r="L1162" s="13" t="n">
        <v>63</v>
      </c>
      <c r="M1162" s="1">
        <f>IF(L1162="","ไม่พบใน SG",IF(ABS(J1162-L1162)&lt;0.005,"ตรงกัน","ไม่ตรง"))</f>
        <v/>
      </c>
      <c r="N1162" s="14">
        <f>IF(L1162="","",ROUND(L1162*'สรุป'!$C$6,-1))</f>
        <v/>
      </c>
      <c r="O1162" s="15" t="n"/>
      <c r="P1162" s="15" t="n"/>
      <c r="Q1162" s="10" t="n"/>
      <c r="R1162" s="10" t="n"/>
      <c r="S1162" s="16" t="inlineStr">
        <is>
          <t>https://mstgolf.co.th/products/gf3040200014</t>
        </is>
      </c>
      <c r="T1162" s="1">
        <f>IF(B1162="ไม้กอล์ฟ",J1162,"")</f>
        <v/>
      </c>
    </row>
    <row r="1163">
      <c r="A1163" s="1" t="n">
        <v>2</v>
      </c>
      <c r="B1163" s="1" t="inlineStr">
        <is>
          <t>ลูกกอล์ฟ</t>
        </is>
      </c>
      <c r="C1163" s="1" t="inlineStr">
        <is>
          <t>gf3200400213</t>
        </is>
      </c>
      <c r="D1163" s="1" t="inlineStr">
        <is>
          <t>TAYLORMADE Tour Response (2022) (Yellow) Golf Ball</t>
        </is>
      </c>
      <c r="E1163" s="1" t="inlineStr">
        <is>
          <t>TAYLORMADE</t>
        </is>
      </c>
      <c r="F1163" s="1" t="inlineStr">
        <is>
          <t>TOUR</t>
        </is>
      </c>
      <c r="G1163" s="1" t="inlineStr">
        <is>
          <t>GF3200400213</t>
        </is>
      </c>
      <c r="H1163" s="1" t="n">
        <v>1</v>
      </c>
      <c r="I1163" s="1" t="inlineStr">
        <is>
          <t>มี</t>
        </is>
      </c>
      <c r="J1163" s="13" t="n">
        <v>63</v>
      </c>
      <c r="K1163" s="1" t="inlineStr"/>
      <c r="L1163" s="13" t="n">
        <v>63</v>
      </c>
      <c r="M1163" s="1">
        <f>IF(L1163="","ไม่พบใน SG",IF(ABS(J1163-L1163)&lt;0.005,"ตรงกัน","ไม่ตรง"))</f>
        <v/>
      </c>
      <c r="N1163" s="14">
        <f>IF(L1163="","",ROUND(L1163*'สรุป'!$C$6,-1))</f>
        <v/>
      </c>
      <c r="O1163" s="15" t="n"/>
      <c r="P1163" s="15" t="n"/>
      <c r="Q1163" s="10" t="n"/>
      <c r="R1163" s="10" t="n"/>
      <c r="S1163" s="16" t="inlineStr">
        <is>
          <t>https://mstgolf.co.th/products/gf3200400213</t>
        </is>
      </c>
      <c r="T1163" s="1">
        <f>IF(B1163="ไม้กอล์ฟ",J1163,"")</f>
        <v/>
      </c>
    </row>
    <row r="1164">
      <c r="A1164" s="1" t="n">
        <v>2</v>
      </c>
      <c r="B1164" s="1" t="inlineStr">
        <is>
          <t>ถุงกอล์ฟ</t>
        </is>
      </c>
      <c r="C1164" s="1" t="inlineStr">
        <is>
          <t>gf3010300401</t>
        </is>
      </c>
      <c r="D1164" s="1" t="inlineStr">
        <is>
          <t>UNDER ARMOUR Hustle Sport Backpack (Black/Black/White)</t>
        </is>
      </c>
      <c r="E1164" s="1" t="inlineStr">
        <is>
          <t>UNDER ARMOUR</t>
        </is>
      </c>
      <c r="F1164" s="1" t="inlineStr">
        <is>
          <t>BACKPACK/RUCKSACK</t>
        </is>
      </c>
      <c r="G1164" s="1" t="inlineStr">
        <is>
          <t>GF3010300401</t>
        </is>
      </c>
      <c r="H1164" s="1" t="n">
        <v>1</v>
      </c>
      <c r="I1164" s="1" t="inlineStr">
        <is>
          <t>มี</t>
        </is>
      </c>
      <c r="J1164" s="13" t="n">
        <v>62</v>
      </c>
      <c r="K1164" s="1" t="inlineStr"/>
      <c r="L1164" s="13" t="n">
        <v>62</v>
      </c>
      <c r="M1164" s="1">
        <f>IF(L1164="","ไม่พบใน SG",IF(ABS(J1164-L1164)&lt;0.005,"ตรงกัน","ไม่ตรง"))</f>
        <v/>
      </c>
      <c r="N1164" s="14">
        <f>IF(L1164="","",ROUND(L1164*'สรุป'!$C$6,-1))</f>
        <v/>
      </c>
      <c r="O1164" s="15" t="n"/>
      <c r="P1164" s="15" t="n"/>
      <c r="Q1164" s="10" t="n"/>
      <c r="R1164" s="10" t="n"/>
      <c r="S1164" s="16" t="inlineStr">
        <is>
          <t>https://mstgolf.co.th/products/gf3010300401</t>
        </is>
      </c>
      <c r="T1164" s="1">
        <f>IF(B1164="ไม้กอล์ฟ",J1164,"")</f>
        <v/>
      </c>
    </row>
    <row r="1165">
      <c r="A1165" s="1" t="n">
        <v>2</v>
      </c>
      <c r="B1165" s="1" t="inlineStr">
        <is>
          <t>ถุงกอล์ฟ</t>
        </is>
      </c>
      <c r="C1165" s="1" t="inlineStr">
        <is>
          <t>gf3010100986</t>
        </is>
      </c>
      <c r="D1165" s="1" t="inlineStr">
        <is>
          <t>UNDER ARMOUR Undeniable 5.0 Small Duffle Bag (Black/White)</t>
        </is>
      </c>
      <c r="E1165" s="1" t="inlineStr">
        <is>
          <t>UNDER ARMOUR</t>
        </is>
      </c>
      <c r="F1165" s="1" t="inlineStr">
        <is>
          <t>BOSTON/DUFFLE BAG</t>
        </is>
      </c>
      <c r="G1165" s="1" t="inlineStr">
        <is>
          <t>GF3010100986</t>
        </is>
      </c>
      <c r="H1165" s="1" t="n">
        <v>1</v>
      </c>
      <c r="I1165" s="1" t="inlineStr">
        <is>
          <t>มี</t>
        </is>
      </c>
      <c r="J1165" s="13" t="n">
        <v>62</v>
      </c>
      <c r="K1165" s="1" t="inlineStr"/>
      <c r="L1165" s="13" t="n">
        <v>62</v>
      </c>
      <c r="M1165" s="1">
        <f>IF(L1165="","ไม่พบใน SG",IF(ABS(J1165-L1165)&lt;0.005,"ตรงกัน","ไม่ตรง"))</f>
        <v/>
      </c>
      <c r="N1165" s="14">
        <f>IF(L1165="","",ROUND(L1165*'สรุป'!$C$6,-1))</f>
        <v/>
      </c>
      <c r="O1165" s="15" t="n"/>
      <c r="P1165" s="15" t="n"/>
      <c r="Q1165" s="10" t="n"/>
      <c r="R1165" s="10" t="n"/>
      <c r="S1165" s="16" t="inlineStr">
        <is>
          <t>https://mstgolf.co.th/products/gf3010100986</t>
        </is>
      </c>
      <c r="T1165" s="1">
        <f>IF(B1165="ไม้กอล์ฟ",J1165,"")</f>
        <v/>
      </c>
    </row>
    <row r="1166">
      <c r="A1166" s="1" t="n">
        <v>2</v>
      </c>
      <c r="B1166" s="1" t="inlineStr">
        <is>
          <t>ถุงกอล์ฟ</t>
        </is>
      </c>
      <c r="C1166" s="1" t="inlineStr">
        <is>
          <t>gf3010401223</t>
        </is>
      </c>
      <c r="D1166" s="1" t="inlineStr">
        <is>
          <t>ADIDAS Originals Valuables Pouch (Indigo)</t>
        </is>
      </c>
      <c r="E1166" s="1" t="inlineStr">
        <is>
          <t>ADIDAS</t>
        </is>
      </c>
      <c r="F1166" s="1" t="inlineStr">
        <is>
          <t>SMALL BAG</t>
        </is>
      </c>
      <c r="G1166" s="1" t="inlineStr">
        <is>
          <t>GF3010401223</t>
        </is>
      </c>
      <c r="H1166" s="1" t="n">
        <v>1</v>
      </c>
      <c r="I1166" s="1" t="inlineStr">
        <is>
          <t>มี</t>
        </is>
      </c>
      <c r="J1166" s="13" t="n">
        <v>59</v>
      </c>
      <c r="K1166" s="1" t="inlineStr"/>
      <c r="L1166" s="13" t="n">
        <v>49</v>
      </c>
      <c r="M1166" s="1">
        <f>IF(L1166="","ไม่พบใน SG",IF(ABS(J1166-L1166)&lt;0.005,"ตรงกัน","ไม่ตรง"))</f>
        <v/>
      </c>
      <c r="N1166" s="14">
        <f>IF(L1166="","",ROUND(L1166*'สรุป'!$C$6,-1))</f>
        <v/>
      </c>
      <c r="O1166" s="15" t="n"/>
      <c r="P1166" s="15" t="n"/>
      <c r="Q1166" s="10" t="n"/>
      <c r="R1166" s="10" t="n"/>
      <c r="S1166" s="16" t="inlineStr">
        <is>
          <t>https://mstgolf.co.th/products/gf3010401223</t>
        </is>
      </c>
      <c r="T1166" s="1">
        <f>IF(B1166="ไม้กอล์ฟ",J1166,"")</f>
        <v/>
      </c>
    </row>
    <row r="1167">
      <c r="A1167" s="1" t="n">
        <v>2</v>
      </c>
      <c r="B1167" s="1" t="inlineStr">
        <is>
          <t>รองเท้า</t>
        </is>
      </c>
      <c r="C1167" s="1" t="inlineStr">
        <is>
          <t>gf2500200953</t>
        </is>
      </c>
      <c r="D1167" s="1" t="inlineStr">
        <is>
          <t>ADIDAS S2G Women's Spikeless Shoes (Black/Grey/Brown)</t>
        </is>
      </c>
      <c r="E1167" s="1" t="inlineStr">
        <is>
          <t>ADIDAS</t>
        </is>
      </c>
      <c r="F1167" s="1" t="inlineStr">
        <is>
          <t>SPIKELESS SHOES</t>
        </is>
      </c>
      <c r="G1167" s="1" t="inlineStr">
        <is>
          <t>GF2500200953UK5</t>
        </is>
      </c>
      <c r="H1167" s="1" t="n">
        <v>7</v>
      </c>
      <c r="I1167" s="1" t="inlineStr">
        <is>
          <t>มี</t>
        </is>
      </c>
      <c r="J1167" s="13" t="n">
        <v>59</v>
      </c>
      <c r="K1167" s="1" t="inlineStr"/>
      <c r="L1167" s="13" t="n">
        <v>59</v>
      </c>
      <c r="M1167" s="1">
        <f>IF(L1167="","ไม่พบใน SG",IF(ABS(J1167-L1167)&lt;0.005,"ตรงกัน","ไม่ตรง"))</f>
        <v/>
      </c>
      <c r="N1167" s="14">
        <f>IF(L1167="","",ROUND(L1167*'สรุป'!$C$6,-1))</f>
        <v/>
      </c>
      <c r="O1167" s="15" t="n"/>
      <c r="P1167" s="15" t="n"/>
      <c r="Q1167" s="10" t="n"/>
      <c r="R1167" s="10" t="n"/>
      <c r="S1167" s="16" t="inlineStr">
        <is>
          <t>https://mstgolf.co.th/products/gf2500200953</t>
        </is>
      </c>
      <c r="T1167" s="1">
        <f>IF(B1167="ไม้กอล์ฟ",J1167,"")</f>
        <v/>
      </c>
    </row>
    <row r="1168">
      <c r="A1168" s="1" t="n">
        <v>2</v>
      </c>
      <c r="B1168" s="1" t="inlineStr">
        <is>
          <t>อุปกรณ์ฝึกซ้อม</t>
        </is>
      </c>
      <c r="C1168" s="1" t="inlineStr">
        <is>
          <t>gf3040200003</t>
        </is>
      </c>
      <c r="D1168" s="1" t="inlineStr">
        <is>
          <t>GENERAL ITEM 2-Hole Putting Mat</t>
        </is>
      </c>
      <c r="E1168" s="1" t="inlineStr">
        <is>
          <t>GENERAL ITEM</t>
        </is>
      </c>
      <c r="F1168" s="1" t="inlineStr">
        <is>
          <t>PUTT / CHIP</t>
        </is>
      </c>
      <c r="G1168" s="1" t="inlineStr">
        <is>
          <t>GF3040200003</t>
        </is>
      </c>
      <c r="H1168" s="1" t="n">
        <v>1</v>
      </c>
      <c r="I1168" s="1" t="inlineStr">
        <is>
          <t>มี</t>
        </is>
      </c>
      <c r="J1168" s="13" t="n">
        <v>59</v>
      </c>
      <c r="K1168" s="1" t="inlineStr"/>
      <c r="L1168" s="13" t="n">
        <v>59</v>
      </c>
      <c r="M1168" s="1">
        <f>IF(L1168="","ไม่พบใน SG",IF(ABS(J1168-L1168)&lt;0.005,"ตรงกัน","ไม่ตรง"))</f>
        <v/>
      </c>
      <c r="N1168" s="14">
        <f>IF(L1168="","",ROUND(L1168*'สรุป'!$C$6,-1))</f>
        <v/>
      </c>
      <c r="O1168" s="15" t="n"/>
      <c r="P1168" s="15" t="n"/>
      <c r="Q1168" s="10" t="n"/>
      <c r="R1168" s="10" t="n"/>
      <c r="S1168" s="16" t="inlineStr">
        <is>
          <t>https://mstgolf.co.th/products/gf3040200003</t>
        </is>
      </c>
      <c r="T1168" s="1">
        <f>IF(B1168="ไม้กอล์ฟ",J1168,"")</f>
        <v/>
      </c>
    </row>
    <row r="1169">
      <c r="A1169" s="1" t="n">
        <v>2</v>
      </c>
      <c r="B1169" s="1" t="inlineStr">
        <is>
          <t>ถุงกอล์ฟ</t>
        </is>
      </c>
      <c r="C1169" s="1" t="inlineStr">
        <is>
          <t>gf3010300366</t>
        </is>
      </c>
      <c r="D1169" s="1" t="inlineStr">
        <is>
          <t>NIKE Brasilia 9.5 Men's Backpack (Black/Black/White)</t>
        </is>
      </c>
      <c r="E1169" s="1" t="inlineStr">
        <is>
          <t>NIKE</t>
        </is>
      </c>
      <c r="F1169" s="1" t="inlineStr">
        <is>
          <t>BACKPACK/RUCKSACK</t>
        </is>
      </c>
      <c r="G1169" s="1" t="inlineStr">
        <is>
          <t>GF3010300366</t>
        </is>
      </c>
      <c r="H1169" s="1" t="n">
        <v>1</v>
      </c>
      <c r="I1169" s="1" t="inlineStr">
        <is>
          <t>มี</t>
        </is>
      </c>
      <c r="J1169" s="13" t="n">
        <v>59</v>
      </c>
      <c r="K1169" s="1" t="inlineStr"/>
      <c r="L1169" s="13" t="n">
        <v>59</v>
      </c>
      <c r="M1169" s="1">
        <f>IF(L1169="","ไม่พบใน SG",IF(ABS(J1169-L1169)&lt;0.005,"ตรงกัน","ไม่ตรง"))</f>
        <v/>
      </c>
      <c r="N1169" s="14">
        <f>IF(L1169="","",ROUND(L1169*'สรุป'!$C$6,-1))</f>
        <v/>
      </c>
      <c r="O1169" s="15" t="n"/>
      <c r="P1169" s="15" t="n"/>
      <c r="Q1169" s="10" t="n"/>
      <c r="R1169" s="10" t="n"/>
      <c r="S1169" s="16" t="inlineStr">
        <is>
          <t>https://mstgolf.co.th/products/gf3010300366</t>
        </is>
      </c>
      <c r="T1169" s="1">
        <f>IF(B1169="ไม้กอล์ฟ",J1169,"")</f>
        <v/>
      </c>
    </row>
    <row r="1170">
      <c r="A1170" s="1" t="n">
        <v>2</v>
      </c>
      <c r="B1170" s="1" t="inlineStr">
        <is>
          <t>ถุงกอล์ฟ</t>
        </is>
      </c>
      <c r="C1170" s="1" t="inlineStr">
        <is>
          <t>gf3010101073</t>
        </is>
      </c>
      <c r="D1170" s="1" t="inlineStr">
        <is>
          <t>NIKE Brasilia 9.5 Training Duffle Bag (Black/Black/White)</t>
        </is>
      </c>
      <c r="E1170" s="1" t="inlineStr">
        <is>
          <t>NIKE</t>
        </is>
      </c>
      <c r="F1170" s="1" t="inlineStr">
        <is>
          <t>BOSTON/DUFFLE BAG</t>
        </is>
      </c>
      <c r="G1170" s="1" t="inlineStr">
        <is>
          <t>GF3010101073</t>
        </is>
      </c>
      <c r="H1170" s="1" t="n">
        <v>1</v>
      </c>
      <c r="I1170" s="1" t="inlineStr">
        <is>
          <t>มี</t>
        </is>
      </c>
      <c r="J1170" s="13" t="n">
        <v>59</v>
      </c>
      <c r="K1170" s="1" t="inlineStr"/>
      <c r="L1170" s="13" t="n">
        <v>59</v>
      </c>
      <c r="M1170" s="1">
        <f>IF(L1170="","ไม่พบใน SG",IF(ABS(J1170-L1170)&lt;0.005,"ตรงกัน","ไม่ตรง"))</f>
        <v/>
      </c>
      <c r="N1170" s="14">
        <f>IF(L1170="","",ROUND(L1170*'สรุป'!$C$6,-1))</f>
        <v/>
      </c>
      <c r="O1170" s="15" t="n"/>
      <c r="P1170" s="15" t="n"/>
      <c r="Q1170" s="10" t="n"/>
      <c r="R1170" s="10" t="n"/>
      <c r="S1170" s="16" t="inlineStr">
        <is>
          <t>https://mstgolf.co.th/products/gf3010101073</t>
        </is>
      </c>
      <c r="T1170" s="1">
        <f>IF(B1170="ไม้กอล์ฟ",J1170,"")</f>
        <v/>
      </c>
    </row>
    <row r="1171">
      <c r="A1171" s="1" t="n">
        <v>2</v>
      </c>
      <c r="B1171" s="1" t="inlineStr">
        <is>
          <t>ถุงกอล์ฟ</t>
        </is>
      </c>
      <c r="C1171" s="1" t="inlineStr">
        <is>
          <t>gf3010101196</t>
        </is>
      </c>
      <c r="D1171" s="1" t="inlineStr">
        <is>
          <t>NIKE Hoops Elite Duffle Bag (Black/Grey/Silver)</t>
        </is>
      </c>
      <c r="E1171" s="1" t="inlineStr">
        <is>
          <t>NIKE</t>
        </is>
      </c>
      <c r="F1171" s="1" t="inlineStr">
        <is>
          <t>BOSTON/DUFFLE BAG</t>
        </is>
      </c>
      <c r="G1171" s="1" t="inlineStr">
        <is>
          <t>GF3010101196</t>
        </is>
      </c>
      <c r="H1171" s="1" t="n">
        <v>1</v>
      </c>
      <c r="I1171" s="1" t="inlineStr">
        <is>
          <t>มี</t>
        </is>
      </c>
      <c r="J1171" s="13" t="n">
        <v>59</v>
      </c>
      <c r="K1171" s="1" t="inlineStr"/>
      <c r="L1171" s="13" t="n"/>
      <c r="M1171" s="1">
        <f>IF(L1171="","ไม่พบใน SG",IF(ABS(J1171-L1171)&lt;0.005,"ตรงกัน","ไม่ตรง"))</f>
        <v/>
      </c>
      <c r="N1171" s="14">
        <f>IF(L1171="","",ROUND(L1171*'สรุป'!$C$6,-1))</f>
        <v/>
      </c>
      <c r="O1171" s="15" t="n"/>
      <c r="P1171" s="15" t="n"/>
      <c r="Q1171" s="10" t="n"/>
      <c r="R1171" s="10" t="n"/>
      <c r="S1171" s="16" t="inlineStr">
        <is>
          <t>https://mstgolf.co.th/products/gf3010101196</t>
        </is>
      </c>
      <c r="T1171" s="1">
        <f>IF(B1171="ไม้กอล์ฟ",J1171,"")</f>
        <v/>
      </c>
    </row>
    <row r="1172">
      <c r="A1172" s="1" t="n">
        <v>2</v>
      </c>
      <c r="B1172" s="1" t="inlineStr">
        <is>
          <t>ถุงกอล์ฟ</t>
        </is>
      </c>
      <c r="C1172" s="1" t="inlineStr">
        <is>
          <t>gf3010300315</t>
        </is>
      </c>
      <c r="D1172" s="1" t="inlineStr">
        <is>
          <t>NIKE One Women's Backpack (Black/Black/White)</t>
        </is>
      </c>
      <c r="E1172" s="1" t="inlineStr">
        <is>
          <t>NIKE</t>
        </is>
      </c>
      <c r="F1172" s="1" t="inlineStr">
        <is>
          <t>BACKPACK/RUCKSACK</t>
        </is>
      </c>
      <c r="G1172" s="1" t="inlineStr">
        <is>
          <t>GF3010300315</t>
        </is>
      </c>
      <c r="H1172" s="1" t="n">
        <v>1</v>
      </c>
      <c r="I1172" s="1" t="inlineStr">
        <is>
          <t>มี</t>
        </is>
      </c>
      <c r="J1172" s="13" t="n">
        <v>59</v>
      </c>
      <c r="K1172" s="1" t="inlineStr"/>
      <c r="L1172" s="13" t="n">
        <v>59</v>
      </c>
      <c r="M1172" s="1">
        <f>IF(L1172="","ไม่พบใน SG",IF(ABS(J1172-L1172)&lt;0.005,"ตรงกัน","ไม่ตรง"))</f>
        <v/>
      </c>
      <c r="N1172" s="14">
        <f>IF(L1172="","",ROUND(L1172*'สรุป'!$C$6,-1))</f>
        <v/>
      </c>
      <c r="O1172" s="15" t="n"/>
      <c r="P1172" s="15" t="n"/>
      <c r="Q1172" s="10" t="n"/>
      <c r="R1172" s="10" t="n"/>
      <c r="S1172" s="16" t="inlineStr">
        <is>
          <t>https://mstgolf.co.th/products/gf3010300315</t>
        </is>
      </c>
      <c r="T1172" s="1">
        <f>IF(B1172="ไม้กอล์ฟ",J1172,"")</f>
        <v/>
      </c>
    </row>
    <row r="1173">
      <c r="A1173" s="1" t="n">
        <v>2</v>
      </c>
      <c r="B1173" s="1" t="inlineStr">
        <is>
          <t>รองเท้า</t>
        </is>
      </c>
      <c r="C1173" s="1" t="inlineStr">
        <is>
          <t>gf2500201196</t>
        </is>
      </c>
      <c r="D1173" s="1" t="inlineStr">
        <is>
          <t>PUMA Fusion Crush Junior Spikeless Shoes (Black/Lime)</t>
        </is>
      </c>
      <c r="E1173" s="1" t="inlineStr">
        <is>
          <t>PUMA</t>
        </is>
      </c>
      <c r="F1173" s="1" t="inlineStr">
        <is>
          <t>SPIKELESS SHOES</t>
        </is>
      </c>
      <c r="G1173" s="1" t="inlineStr">
        <is>
          <t>GF2500201196UK3</t>
        </is>
      </c>
      <c r="H1173" s="1" t="n">
        <v>4</v>
      </c>
      <c r="I1173" s="1" t="inlineStr">
        <is>
          <t>มี</t>
        </is>
      </c>
      <c r="J1173" s="13" t="n">
        <v>59</v>
      </c>
      <c r="K1173" s="1" t="inlineStr"/>
      <c r="L1173" s="13" t="n">
        <v>59</v>
      </c>
      <c r="M1173" s="1">
        <f>IF(L1173="","ไม่พบใน SG",IF(ABS(J1173-L1173)&lt;0.005,"ตรงกัน","ไม่ตรง"))</f>
        <v/>
      </c>
      <c r="N1173" s="14">
        <f>IF(L1173="","",ROUND(L1173*'สรุป'!$C$6,-1))</f>
        <v/>
      </c>
      <c r="O1173" s="15" t="n"/>
      <c r="P1173" s="15" t="n"/>
      <c r="Q1173" s="10" t="n"/>
      <c r="R1173" s="10" t="n"/>
      <c r="S1173" s="16" t="inlineStr">
        <is>
          <t>https://mstgolf.co.th/products/gf2500201196</t>
        </is>
      </c>
      <c r="T1173" s="1">
        <f>IF(B1173="ไม้กอล์ฟ",J1173,"")</f>
        <v/>
      </c>
    </row>
    <row r="1174">
      <c r="A1174" s="1" t="n">
        <v>2</v>
      </c>
      <c r="B1174" s="1" t="inlineStr">
        <is>
          <t>ถุงกอล์ฟ</t>
        </is>
      </c>
      <c r="C1174" s="1" t="inlineStr">
        <is>
          <t>gf3010200457</t>
        </is>
      </c>
      <c r="D1174" s="1" t="inlineStr">
        <is>
          <t>PUMA Golf Shoe Bag (Black)</t>
        </is>
      </c>
      <c r="E1174" s="1" t="inlineStr">
        <is>
          <t>PUMA</t>
        </is>
      </c>
      <c r="F1174" s="1" t="inlineStr">
        <is>
          <t>SHOES BAG</t>
        </is>
      </c>
      <c r="G1174" s="1" t="inlineStr">
        <is>
          <t>GF3010200457</t>
        </is>
      </c>
      <c r="H1174" s="1" t="n">
        <v>1</v>
      </c>
      <c r="I1174" s="1" t="inlineStr">
        <is>
          <t>มี</t>
        </is>
      </c>
      <c r="J1174" s="13" t="n">
        <v>59</v>
      </c>
      <c r="K1174" s="1" t="inlineStr"/>
      <c r="L1174" s="13" t="n">
        <v>49</v>
      </c>
      <c r="M1174" s="1">
        <f>IF(L1174="","ไม่พบใน SG",IF(ABS(J1174-L1174)&lt;0.005,"ตรงกัน","ไม่ตรง"))</f>
        <v/>
      </c>
      <c r="N1174" s="14">
        <f>IF(L1174="","",ROUND(L1174*'สรุป'!$C$6,-1))</f>
        <v/>
      </c>
      <c r="O1174" s="15" t="n"/>
      <c r="P1174" s="15" t="n"/>
      <c r="Q1174" s="10" t="n"/>
      <c r="R1174" s="10" t="n"/>
      <c r="S1174" s="16" t="inlineStr">
        <is>
          <t>https://mstgolf.co.th/products/gf3010200457</t>
        </is>
      </c>
      <c r="T1174" s="1">
        <f>IF(B1174="ไม้กอล์ฟ",J1174,"")</f>
        <v/>
      </c>
    </row>
    <row r="1175">
      <c r="A1175" s="1" t="n">
        <v>2</v>
      </c>
      <c r="B1175" s="1" t="inlineStr">
        <is>
          <t>อุปกรณ์ฝึกซ้อม</t>
        </is>
      </c>
      <c r="C1175" s="1" t="inlineStr">
        <is>
          <t>gf3040200011</t>
        </is>
      </c>
      <c r="D1175" s="1" t="inlineStr">
        <is>
          <t>TABATA Chipping Net</t>
        </is>
      </c>
      <c r="E1175" s="1" t="inlineStr">
        <is>
          <t>TABATA</t>
        </is>
      </c>
      <c r="F1175" s="1" t="inlineStr">
        <is>
          <t>PUTT / CHIP</t>
        </is>
      </c>
      <c r="G1175" s="1" t="inlineStr">
        <is>
          <t>GF3040200011</t>
        </is>
      </c>
      <c r="H1175" s="1" t="n">
        <v>1</v>
      </c>
      <c r="I1175" s="1" t="inlineStr">
        <is>
          <t>มี</t>
        </is>
      </c>
      <c r="J1175" s="13" t="n">
        <v>59</v>
      </c>
      <c r="K1175" s="1" t="inlineStr"/>
      <c r="L1175" s="13" t="n">
        <v>59</v>
      </c>
      <c r="M1175" s="1">
        <f>IF(L1175="","ไม่พบใน SG",IF(ABS(J1175-L1175)&lt;0.005,"ตรงกัน","ไม่ตรง"))</f>
        <v/>
      </c>
      <c r="N1175" s="14">
        <f>IF(L1175="","",ROUND(L1175*'สรุป'!$C$6,-1))</f>
        <v/>
      </c>
      <c r="O1175" s="15" t="n"/>
      <c r="P1175" s="15" t="n"/>
      <c r="Q1175" s="10" t="n"/>
      <c r="R1175" s="10" t="n"/>
      <c r="S1175" s="16" t="inlineStr">
        <is>
          <t>https://mstgolf.co.th/products/gf3040200011</t>
        </is>
      </c>
      <c r="T1175" s="1">
        <f>IF(B1175="ไม้กอล์ฟ",J1175,"")</f>
        <v/>
      </c>
    </row>
    <row r="1176">
      <c r="A1176" s="1" t="n">
        <v>2</v>
      </c>
      <c r="B1176" s="1" t="inlineStr">
        <is>
          <t>อุปกรณ์ฝึกซ้อม</t>
        </is>
      </c>
      <c r="C1176" s="1" t="inlineStr">
        <is>
          <t>gf3040100072</t>
        </is>
      </c>
      <c r="D1176" s="1" t="inlineStr">
        <is>
          <t>TABATA PUTTING STAND DISC</t>
        </is>
      </c>
      <c r="E1176" s="1" t="inlineStr">
        <is>
          <t>TABATA</t>
        </is>
      </c>
      <c r="F1176" s="1" t="inlineStr">
        <is>
          <t>SWING</t>
        </is>
      </c>
      <c r="G1176" s="1" t="inlineStr">
        <is>
          <t>GF3040100072</t>
        </is>
      </c>
      <c r="H1176" s="1" t="n">
        <v>1</v>
      </c>
      <c r="I1176" s="1" t="inlineStr">
        <is>
          <t>มี</t>
        </is>
      </c>
      <c r="J1176" s="13" t="n">
        <v>59</v>
      </c>
      <c r="K1176" s="1" t="inlineStr"/>
      <c r="L1176" s="13" t="n">
        <v>59</v>
      </c>
      <c r="M1176" s="1">
        <f>IF(L1176="","ไม่พบใน SG",IF(ABS(J1176-L1176)&lt;0.005,"ตรงกัน","ไม่ตรง"))</f>
        <v/>
      </c>
      <c r="N1176" s="14">
        <f>IF(L1176="","",ROUND(L1176*'สรุป'!$C$6,-1))</f>
        <v/>
      </c>
      <c r="O1176" s="15" t="n"/>
      <c r="P1176" s="15" t="n"/>
      <c r="Q1176" s="10" t="n"/>
      <c r="R1176" s="10" t="n"/>
      <c r="S1176" s="16" t="inlineStr">
        <is>
          <t>https://mstgolf.co.th/products/gf3040100072</t>
        </is>
      </c>
      <c r="T1176" s="1">
        <f>IF(B1176="ไม้กอล์ฟ",J1176,"")</f>
        <v/>
      </c>
    </row>
    <row r="1177">
      <c r="A1177" s="1" t="n">
        <v>2</v>
      </c>
      <c r="B1177" s="1" t="inlineStr">
        <is>
          <t>ถุงกอล์ฟ</t>
        </is>
      </c>
      <c r="C1177" s="1" t="inlineStr">
        <is>
          <t>gf3010400814</t>
        </is>
      </c>
      <c r="D1177" s="1" t="inlineStr">
        <is>
          <t>TAYLORMADE Circle T Women's Round Tote Bag (Blue)</t>
        </is>
      </c>
      <c r="E1177" s="1" t="inlineStr">
        <is>
          <t>TAYLORMADE</t>
        </is>
      </c>
      <c r="F1177" s="1" t="inlineStr">
        <is>
          <t>SMALL BAG</t>
        </is>
      </c>
      <c r="G1177" s="1" t="inlineStr">
        <is>
          <t>GF3010400814</t>
        </is>
      </c>
      <c r="H1177" s="1" t="n">
        <v>1</v>
      </c>
      <c r="I1177" s="1" t="inlineStr">
        <is>
          <t>มี</t>
        </is>
      </c>
      <c r="J1177" s="13" t="n">
        <v>59</v>
      </c>
      <c r="K1177" s="1" t="inlineStr"/>
      <c r="L1177" s="13" t="n">
        <v>59</v>
      </c>
      <c r="M1177" s="1">
        <f>IF(L1177="","ไม่พบใน SG",IF(ABS(J1177-L1177)&lt;0.005,"ตรงกัน","ไม่ตรง"))</f>
        <v/>
      </c>
      <c r="N1177" s="14">
        <f>IF(L1177="","",ROUND(L1177*'สรุป'!$C$6,-1))</f>
        <v/>
      </c>
      <c r="O1177" s="15" t="n"/>
      <c r="P1177" s="15" t="n"/>
      <c r="Q1177" s="10" t="n"/>
      <c r="R1177" s="10" t="n"/>
      <c r="S1177" s="16" t="inlineStr">
        <is>
          <t>https://mstgolf.co.th/products/gf3010400814</t>
        </is>
      </c>
      <c r="T1177" s="1">
        <f>IF(B1177="ไม้กอล์ฟ",J1177,"")</f>
        <v/>
      </c>
    </row>
    <row r="1178">
      <c r="A1178" s="1" t="n">
        <v>2</v>
      </c>
      <c r="B1178" s="1" t="inlineStr">
        <is>
          <t>ถุงกอล์ฟ</t>
        </is>
      </c>
      <c r="C1178" s="1" t="inlineStr">
        <is>
          <t>gf3010401297</t>
        </is>
      </c>
      <c r="D1178" s="1" t="inlineStr">
        <is>
          <t>TAYLORMADE GWP Packing Tube (Green)</t>
        </is>
      </c>
      <c r="E1178" s="1" t="inlineStr">
        <is>
          <t>TAYLORMADE</t>
        </is>
      </c>
      <c r="F1178" s="1" t="inlineStr">
        <is>
          <t>SMALL BAG</t>
        </is>
      </c>
      <c r="G1178" s="1" t="inlineStr">
        <is>
          <t>GF3010401297</t>
        </is>
      </c>
      <c r="H1178" s="1" t="n">
        <v>1</v>
      </c>
      <c r="I1178" s="1" t="inlineStr">
        <is>
          <t>มี</t>
        </is>
      </c>
      <c r="J1178" s="13" t="n">
        <v>58</v>
      </c>
      <c r="K1178" s="1" t="inlineStr"/>
      <c r="L1178" s="13" t="n"/>
      <c r="M1178" s="1">
        <f>IF(L1178="","ไม่พบใน SG",IF(ABS(J1178-L1178)&lt;0.005,"ตรงกัน","ไม่ตรง"))</f>
        <v/>
      </c>
      <c r="N1178" s="14">
        <f>IF(L1178="","",ROUND(L1178*'สรุป'!$C$6,-1))</f>
        <v/>
      </c>
      <c r="O1178" s="15" t="n"/>
      <c r="P1178" s="15" t="n"/>
      <c r="Q1178" s="10" t="n"/>
      <c r="R1178" s="10" t="n"/>
      <c r="S1178" s="16" t="inlineStr">
        <is>
          <t>https://mstgolf.co.th/products/gf3010401297</t>
        </is>
      </c>
      <c r="T1178" s="1">
        <f>IF(B1178="ไม้กอล์ฟ",J1178,"")</f>
        <v/>
      </c>
    </row>
    <row r="1179">
      <c r="A1179" s="1" t="n">
        <v>2</v>
      </c>
      <c r="B1179" s="1" t="inlineStr">
        <is>
          <t>ถุงกอล์ฟ</t>
        </is>
      </c>
      <c r="C1179" s="1" t="inlineStr">
        <is>
          <t>gf3010401243</t>
        </is>
      </c>
      <c r="D1179" s="1" t="inlineStr">
        <is>
          <t>ADIDAS Graphic Cart Tote Bag (White/Navy)</t>
        </is>
      </c>
      <c r="E1179" s="1" t="inlineStr">
        <is>
          <t>ADIDAS</t>
        </is>
      </c>
      <c r="F1179" s="1" t="inlineStr">
        <is>
          <t>SMALL BAG</t>
        </is>
      </c>
      <c r="G1179" s="1" t="inlineStr">
        <is>
          <t>GF3010401243</t>
        </is>
      </c>
      <c r="H1179" s="1" t="n">
        <v>1</v>
      </c>
      <c r="I1179" s="1" t="inlineStr">
        <is>
          <t>มี</t>
        </is>
      </c>
      <c r="J1179" s="13" t="n">
        <v>55</v>
      </c>
      <c r="K1179" s="1" t="inlineStr"/>
      <c r="L1179" s="13" t="n">
        <v>55</v>
      </c>
      <c r="M1179" s="1">
        <f>IF(L1179="","ไม่พบใน SG",IF(ABS(J1179-L1179)&lt;0.005,"ตรงกัน","ไม่ตรง"))</f>
        <v/>
      </c>
      <c r="N1179" s="14">
        <f>IF(L1179="","",ROUND(L1179*'สรุป'!$C$6,-1))</f>
        <v/>
      </c>
      <c r="O1179" s="15" t="n"/>
      <c r="P1179" s="15" t="n"/>
      <c r="Q1179" s="10" t="n"/>
      <c r="R1179" s="10" t="n"/>
      <c r="S1179" s="16" t="inlineStr">
        <is>
          <t>https://mstgolf.co.th/products/gf3010401243</t>
        </is>
      </c>
      <c r="T1179" s="1">
        <f>IF(B1179="ไม้กอล์ฟ",J1179,"")</f>
        <v/>
      </c>
    </row>
    <row r="1180">
      <c r="A1180" s="1" t="n">
        <v>2</v>
      </c>
      <c r="B1180" s="1" t="inlineStr">
        <is>
          <t>รองเท้า</t>
        </is>
      </c>
      <c r="C1180" s="1" t="inlineStr">
        <is>
          <t>gf2500102630</t>
        </is>
      </c>
      <c r="D1180" s="1" t="inlineStr">
        <is>
          <t>ADIDAS ZG23 Junior Spiked Shoes (White/Blue/Grey)</t>
        </is>
      </c>
      <c r="E1180" s="1" t="inlineStr">
        <is>
          <t>ADIDAS</t>
        </is>
      </c>
      <c r="F1180" s="1" t="inlineStr">
        <is>
          <t>SPIKE SHOES</t>
        </is>
      </c>
      <c r="G1180" s="1" t="inlineStr">
        <is>
          <t>GF2500102630UK2</t>
        </is>
      </c>
      <c r="H1180" s="1" t="n">
        <v>5</v>
      </c>
      <c r="I1180" s="1" t="inlineStr">
        <is>
          <t>มี</t>
        </is>
      </c>
      <c r="J1180" s="13" t="n">
        <v>55</v>
      </c>
      <c r="K1180" s="1" t="inlineStr"/>
      <c r="L1180" s="13" t="n">
        <v>55</v>
      </c>
      <c r="M1180" s="1">
        <f>IF(L1180="","ไม่พบใน SG",IF(ABS(J1180-L1180)&lt;0.005,"ตรงกัน","ไม่ตรง"))</f>
        <v/>
      </c>
      <c r="N1180" s="14">
        <f>IF(L1180="","",ROUND(L1180*'สรุป'!$C$6,-1))</f>
        <v/>
      </c>
      <c r="O1180" s="15" t="n"/>
      <c r="P1180" s="15" t="n"/>
      <c r="Q1180" s="10" t="n"/>
      <c r="R1180" s="10" t="n"/>
      <c r="S1180" s="16" t="inlineStr">
        <is>
          <t>https://mstgolf.co.th/products/gf2500102630</t>
        </is>
      </c>
      <c r="T1180" s="1">
        <f>IF(B1180="ไม้กอล์ฟ",J1180,"")</f>
        <v/>
      </c>
    </row>
    <row r="1181">
      <c r="A1181" s="1" t="n">
        <v>2</v>
      </c>
      <c r="B1181" s="1" t="inlineStr">
        <is>
          <t>รองเท้า</t>
        </is>
      </c>
      <c r="C1181" s="1" t="inlineStr">
        <is>
          <t>gf2540100133</t>
        </is>
      </c>
      <c r="D1181" s="1" t="inlineStr">
        <is>
          <t>GFORE G/Slide Men's Sandal (Electric)</t>
        </is>
      </c>
      <c r="E1181" s="1" t="inlineStr">
        <is>
          <t>GFORE</t>
        </is>
      </c>
      <c r="F1181" s="1" t="inlineStr">
        <is>
          <t>CASUAL</t>
        </is>
      </c>
      <c r="G1181" s="1" t="inlineStr">
        <is>
          <t>GF2540100133US5</t>
        </is>
      </c>
      <c r="H1181" s="1" t="n">
        <v>7</v>
      </c>
      <c r="I1181" s="1" t="inlineStr">
        <is>
          <t>มี</t>
        </is>
      </c>
      <c r="J1181" s="13" t="n">
        <v>55</v>
      </c>
      <c r="K1181" s="1" t="inlineStr"/>
      <c r="L1181" s="13" t="n">
        <v>55</v>
      </c>
      <c r="M1181" s="1">
        <f>IF(L1181="","ไม่พบใน SG",IF(ABS(J1181-L1181)&lt;0.005,"ตรงกัน","ไม่ตรง"))</f>
        <v/>
      </c>
      <c r="N1181" s="14">
        <f>IF(L1181="","",ROUND(L1181*'สรุป'!$C$6,-1))</f>
        <v/>
      </c>
      <c r="O1181" s="15" t="n"/>
      <c r="P1181" s="15" t="n"/>
      <c r="Q1181" s="10" t="n"/>
      <c r="R1181" s="10" t="n"/>
      <c r="S1181" s="16" t="inlineStr">
        <is>
          <t>https://mstgolf.co.th/products/gf2540100133</t>
        </is>
      </c>
      <c r="T1181" s="1">
        <f>IF(B1181="ไม้กอล์ฟ",J1181,"")</f>
        <v/>
      </c>
    </row>
    <row r="1182">
      <c r="A1182" s="1" t="n">
        <v>2</v>
      </c>
      <c r="B1182" s="1" t="inlineStr">
        <is>
          <t>รองเท้า</t>
        </is>
      </c>
      <c r="C1182" s="1" t="inlineStr">
        <is>
          <t>gf2540100118</t>
        </is>
      </c>
      <c r="D1182" s="1" t="inlineStr">
        <is>
          <t>GFORE G/Slide Men's Sandals (Cherry)</t>
        </is>
      </c>
      <c r="E1182" s="1" t="inlineStr">
        <is>
          <t>GFORE</t>
        </is>
      </c>
      <c r="F1182" s="1" t="inlineStr">
        <is>
          <t>CASUAL</t>
        </is>
      </c>
      <c r="G1182" s="1" t="inlineStr">
        <is>
          <t>GF2540100118US5</t>
        </is>
      </c>
      <c r="H1182" s="1" t="n">
        <v>7</v>
      </c>
      <c r="I1182" s="1" t="inlineStr">
        <is>
          <t>มี</t>
        </is>
      </c>
      <c r="J1182" s="13" t="n">
        <v>55</v>
      </c>
      <c r="K1182" s="1" t="inlineStr"/>
      <c r="L1182" s="13" t="n">
        <v>55</v>
      </c>
      <c r="M1182" s="1">
        <f>IF(L1182="","ไม่พบใน SG",IF(ABS(J1182-L1182)&lt;0.005,"ตรงกัน","ไม่ตรง"))</f>
        <v/>
      </c>
      <c r="N1182" s="14">
        <f>IF(L1182="","",ROUND(L1182*'สรุป'!$C$6,-1))</f>
        <v/>
      </c>
      <c r="O1182" s="15" t="n"/>
      <c r="P1182" s="15" t="n"/>
      <c r="Q1182" s="10" t="n"/>
      <c r="R1182" s="10" t="n"/>
      <c r="S1182" s="16" t="inlineStr">
        <is>
          <t>https://mstgolf.co.th/products/gf2540100118</t>
        </is>
      </c>
      <c r="T1182" s="1">
        <f>IF(B1182="ไม้กอล์ฟ",J1182,"")</f>
        <v/>
      </c>
    </row>
    <row r="1183">
      <c r="A1183" s="1" t="n">
        <v>2</v>
      </c>
      <c r="B1183" s="1" t="inlineStr">
        <is>
          <t>รองเท้า</t>
        </is>
      </c>
      <c r="C1183" s="1" t="inlineStr">
        <is>
          <t>gf2540100119</t>
        </is>
      </c>
      <c r="D1183" s="1" t="inlineStr">
        <is>
          <t>GFORE G/Slide Men's Sandals (Clover)</t>
        </is>
      </c>
      <c r="E1183" s="1" t="inlineStr">
        <is>
          <t>GFORE</t>
        </is>
      </c>
      <c r="F1183" s="1" t="inlineStr">
        <is>
          <t>CASUAL</t>
        </is>
      </c>
      <c r="G1183" s="1" t="inlineStr">
        <is>
          <t>GF2540100119US6</t>
        </is>
      </c>
      <c r="H1183" s="1" t="n">
        <v>6</v>
      </c>
      <c r="I1183" s="1" t="inlineStr">
        <is>
          <t>มี</t>
        </is>
      </c>
      <c r="J1183" s="13" t="n">
        <v>55</v>
      </c>
      <c r="K1183" s="1" t="inlineStr"/>
      <c r="L1183" s="13" t="n">
        <v>55</v>
      </c>
      <c r="M1183" s="1">
        <f>IF(L1183="","ไม่พบใน SG",IF(ABS(J1183-L1183)&lt;0.005,"ตรงกัน","ไม่ตรง"))</f>
        <v/>
      </c>
      <c r="N1183" s="14">
        <f>IF(L1183="","",ROUND(L1183*'สรุป'!$C$6,-1))</f>
        <v/>
      </c>
      <c r="O1183" s="15" t="n"/>
      <c r="P1183" s="15" t="n"/>
      <c r="Q1183" s="10" t="n"/>
      <c r="R1183" s="10" t="n"/>
      <c r="S1183" s="16" t="inlineStr">
        <is>
          <t>https://mstgolf.co.th/products/gf2540100119</t>
        </is>
      </c>
      <c r="T1183" s="1">
        <f>IF(B1183="ไม้กอล์ฟ",J1183,"")</f>
        <v/>
      </c>
    </row>
    <row r="1184">
      <c r="A1184" s="1" t="n">
        <v>2</v>
      </c>
      <c r="B1184" s="1" t="inlineStr">
        <is>
          <t>รองเท้า</t>
        </is>
      </c>
      <c r="C1184" s="1" t="inlineStr">
        <is>
          <t>gf2540100131</t>
        </is>
      </c>
      <c r="D1184" s="1" t="inlineStr">
        <is>
          <t>GFORE G/Slide Men's Sandals (Day Glow Pink)</t>
        </is>
      </c>
      <c r="E1184" s="1" t="inlineStr">
        <is>
          <t>GFORE</t>
        </is>
      </c>
      <c r="F1184" s="1" t="inlineStr">
        <is>
          <t>CASUAL</t>
        </is>
      </c>
      <c r="G1184" s="1" t="inlineStr">
        <is>
          <t>GF2540100131US5</t>
        </is>
      </c>
      <c r="H1184" s="1" t="n">
        <v>7</v>
      </c>
      <c r="I1184" s="1" t="inlineStr">
        <is>
          <t>มี</t>
        </is>
      </c>
      <c r="J1184" s="13" t="n">
        <v>55</v>
      </c>
      <c r="K1184" s="1" t="inlineStr"/>
      <c r="L1184" s="13" t="n">
        <v>55</v>
      </c>
      <c r="M1184" s="1">
        <f>IF(L1184="","ไม่พบใน SG",IF(ABS(J1184-L1184)&lt;0.005,"ตรงกัน","ไม่ตรง"))</f>
        <v/>
      </c>
      <c r="N1184" s="14">
        <f>IF(L1184="","",ROUND(L1184*'สรุป'!$C$6,-1))</f>
        <v/>
      </c>
      <c r="O1184" s="15" t="n"/>
      <c r="P1184" s="15" t="n"/>
      <c r="Q1184" s="10" t="n"/>
      <c r="R1184" s="10" t="n"/>
      <c r="S1184" s="16" t="inlineStr">
        <is>
          <t>https://mstgolf.co.th/products/gf2540100131</t>
        </is>
      </c>
      <c r="T1184" s="1">
        <f>IF(B1184="ไม้กอล์ฟ",J1184,"")</f>
        <v/>
      </c>
    </row>
    <row r="1185">
      <c r="A1185" s="1" t="n">
        <v>2</v>
      </c>
      <c r="B1185" s="1" t="inlineStr">
        <is>
          <t>รองเท้า</t>
        </is>
      </c>
      <c r="C1185" s="1" t="inlineStr">
        <is>
          <t>gf2540100130</t>
        </is>
      </c>
      <c r="D1185" s="1" t="inlineStr">
        <is>
          <t>GFORE G/Slide Men's Sandals (Exotic)</t>
        </is>
      </c>
      <c r="E1185" s="1" t="inlineStr">
        <is>
          <t>GFORE</t>
        </is>
      </c>
      <c r="F1185" s="1" t="inlineStr">
        <is>
          <t>CASUAL</t>
        </is>
      </c>
      <c r="G1185" s="1" t="inlineStr">
        <is>
          <t>GF2540100130US5</t>
        </is>
      </c>
      <c r="H1185" s="1" t="n">
        <v>7</v>
      </c>
      <c r="I1185" s="1" t="inlineStr">
        <is>
          <t>มี</t>
        </is>
      </c>
      <c r="J1185" s="13" t="n">
        <v>55</v>
      </c>
      <c r="K1185" s="1" t="inlineStr"/>
      <c r="L1185" s="13" t="n">
        <v>55</v>
      </c>
      <c r="M1185" s="1">
        <f>IF(L1185="","ไม่พบใน SG",IF(ABS(J1185-L1185)&lt;0.005,"ตรงกัน","ไม่ตรง"))</f>
        <v/>
      </c>
      <c r="N1185" s="14">
        <f>IF(L1185="","",ROUND(L1185*'สรุป'!$C$6,-1))</f>
        <v/>
      </c>
      <c r="O1185" s="15" t="n"/>
      <c r="P1185" s="15" t="n"/>
      <c r="Q1185" s="10" t="n"/>
      <c r="R1185" s="10" t="n"/>
      <c r="S1185" s="16" t="inlineStr">
        <is>
          <t>https://mstgolf.co.th/products/gf2540100130</t>
        </is>
      </c>
      <c r="T1185" s="1">
        <f>IF(B1185="ไม้กอล์ฟ",J1185,"")</f>
        <v/>
      </c>
    </row>
    <row r="1186">
      <c r="A1186" s="1" t="n">
        <v>2</v>
      </c>
      <c r="B1186" s="1" t="inlineStr">
        <is>
          <t>รองเท้า</t>
        </is>
      </c>
      <c r="C1186" s="1" t="inlineStr">
        <is>
          <t>gf2540100122</t>
        </is>
      </c>
      <c r="D1186" s="1" t="inlineStr">
        <is>
          <t>GFORE G/Slide Men's Sandals (Onyx)</t>
        </is>
      </c>
      <c r="E1186" s="1" t="inlineStr">
        <is>
          <t>GFORE</t>
        </is>
      </c>
      <c r="F1186" s="1" t="inlineStr">
        <is>
          <t>CASUAL</t>
        </is>
      </c>
      <c r="G1186" s="1" t="inlineStr">
        <is>
          <t>GF2540100122US7</t>
        </is>
      </c>
      <c r="H1186" s="1" t="n">
        <v>5</v>
      </c>
      <c r="I1186" s="1" t="inlineStr">
        <is>
          <t>มี</t>
        </is>
      </c>
      <c r="J1186" s="13" t="n">
        <v>55</v>
      </c>
      <c r="K1186" s="1" t="inlineStr"/>
      <c r="L1186" s="13" t="n">
        <v>55</v>
      </c>
      <c r="M1186" s="1">
        <f>IF(L1186="","ไม่พบใน SG",IF(ABS(J1186-L1186)&lt;0.005,"ตรงกัน","ไม่ตรง"))</f>
        <v/>
      </c>
      <c r="N1186" s="14">
        <f>IF(L1186="","",ROUND(L1186*'สรุป'!$C$6,-1))</f>
        <v/>
      </c>
      <c r="O1186" s="15" t="n"/>
      <c r="P1186" s="15" t="n"/>
      <c r="Q1186" s="10" t="n"/>
      <c r="R1186" s="10" t="n"/>
      <c r="S1186" s="16" t="inlineStr">
        <is>
          <t>https://mstgolf.co.th/products/gf2540100122</t>
        </is>
      </c>
      <c r="T1186" s="1">
        <f>IF(B1186="ไม้กอล์ฟ",J1186,"")</f>
        <v/>
      </c>
    </row>
    <row r="1187">
      <c r="A1187" s="1" t="n">
        <v>2</v>
      </c>
      <c r="B1187" s="1" t="inlineStr">
        <is>
          <t>รองเท้า</t>
        </is>
      </c>
      <c r="C1187" s="1" t="inlineStr">
        <is>
          <t>gf2540100123</t>
        </is>
      </c>
      <c r="D1187" s="1" t="inlineStr">
        <is>
          <t>GFORE G/Slide Men's Sandals (Racer)</t>
        </is>
      </c>
      <c r="E1187" s="1" t="inlineStr">
        <is>
          <t>GFORE</t>
        </is>
      </c>
      <c r="F1187" s="1" t="inlineStr">
        <is>
          <t>CASUAL</t>
        </is>
      </c>
      <c r="G1187" s="1" t="inlineStr">
        <is>
          <t>GF2540100123US7</t>
        </is>
      </c>
      <c r="H1187" s="1" t="n">
        <v>5</v>
      </c>
      <c r="I1187" s="1" t="inlineStr">
        <is>
          <t>มี</t>
        </is>
      </c>
      <c r="J1187" s="13" t="n">
        <v>55</v>
      </c>
      <c r="K1187" s="1" t="inlineStr"/>
      <c r="L1187" s="13" t="n">
        <v>55</v>
      </c>
      <c r="M1187" s="1">
        <f>IF(L1187="","ไม่พบใน SG",IF(ABS(J1187-L1187)&lt;0.005,"ตรงกัน","ไม่ตรง"))</f>
        <v/>
      </c>
      <c r="N1187" s="14">
        <f>IF(L1187="","",ROUND(L1187*'สรุป'!$C$6,-1))</f>
        <v/>
      </c>
      <c r="O1187" s="15" t="n"/>
      <c r="P1187" s="15" t="n"/>
      <c r="Q1187" s="10" t="n"/>
      <c r="R1187" s="10" t="n"/>
      <c r="S1187" s="16" t="inlineStr">
        <is>
          <t>https://mstgolf.co.th/products/gf2540100123</t>
        </is>
      </c>
      <c r="T1187" s="1">
        <f>IF(B1187="ไม้กอล์ฟ",J1187,"")</f>
        <v/>
      </c>
    </row>
    <row r="1188">
      <c r="A1188" s="1" t="n">
        <v>2</v>
      </c>
      <c r="B1188" s="1" t="inlineStr">
        <is>
          <t>รองเท้า</t>
        </is>
      </c>
      <c r="C1188" s="1" t="inlineStr">
        <is>
          <t>gf2540100120</t>
        </is>
      </c>
      <c r="D1188" s="1" t="inlineStr">
        <is>
          <t>GFORE G/Slide Men's Sandals (Yellow)</t>
        </is>
      </c>
      <c r="E1188" s="1" t="inlineStr">
        <is>
          <t>GFORE</t>
        </is>
      </c>
      <c r="F1188" s="1" t="inlineStr">
        <is>
          <t>CASUAL</t>
        </is>
      </c>
      <c r="G1188" s="1" t="inlineStr">
        <is>
          <t>GF2540100120US7</t>
        </is>
      </c>
      <c r="H1188" s="1" t="n">
        <v>5</v>
      </c>
      <c r="I1188" s="1" t="inlineStr">
        <is>
          <t>มี</t>
        </is>
      </c>
      <c r="J1188" s="13" t="n">
        <v>55</v>
      </c>
      <c r="K1188" s="1" t="inlineStr"/>
      <c r="L1188" s="13" t="n">
        <v>55</v>
      </c>
      <c r="M1188" s="1">
        <f>IF(L1188="","ไม่พบใน SG",IF(ABS(J1188-L1188)&lt;0.005,"ตรงกัน","ไม่ตรง"))</f>
        <v/>
      </c>
      <c r="N1188" s="14">
        <f>IF(L1188="","",ROUND(L1188*'สรุป'!$C$6,-1))</f>
        <v/>
      </c>
      <c r="O1188" s="15" t="n"/>
      <c r="P1188" s="15" t="n"/>
      <c r="Q1188" s="10" t="n"/>
      <c r="R1188" s="10" t="n"/>
      <c r="S1188" s="16" t="inlineStr">
        <is>
          <t>https://mstgolf.co.th/products/gf2540100120</t>
        </is>
      </c>
      <c r="T1188" s="1">
        <f>IF(B1188="ไม้กอล์ฟ",J1188,"")</f>
        <v/>
      </c>
    </row>
    <row r="1189">
      <c r="A1189" s="1" t="n">
        <v>2</v>
      </c>
      <c r="B1189" s="1" t="inlineStr">
        <is>
          <t>ถุงกอล์ฟ</t>
        </is>
      </c>
      <c r="C1189" s="1" t="inlineStr">
        <is>
          <t>gf3010200635</t>
        </is>
      </c>
      <c r="D1189" s="1" t="inlineStr">
        <is>
          <t>TAYLORMADE Circle Logo Shoe Bag (Navy)</t>
        </is>
      </c>
      <c r="E1189" s="1" t="inlineStr">
        <is>
          <t>TAYLORMADE</t>
        </is>
      </c>
      <c r="F1189" s="1" t="inlineStr">
        <is>
          <t>SHOES BAG</t>
        </is>
      </c>
      <c r="G1189" s="1" t="inlineStr">
        <is>
          <t>GF3010200635</t>
        </is>
      </c>
      <c r="H1189" s="1" t="n">
        <v>1</v>
      </c>
      <c r="I1189" s="1" t="inlineStr">
        <is>
          <t>มี</t>
        </is>
      </c>
      <c r="J1189" s="13" t="n">
        <v>55</v>
      </c>
      <c r="K1189" s="1" t="inlineStr"/>
      <c r="L1189" s="13" t="n">
        <v>55</v>
      </c>
      <c r="M1189" s="1">
        <f>IF(L1189="","ไม่พบใน SG",IF(ABS(J1189-L1189)&lt;0.005,"ตรงกัน","ไม่ตรง"))</f>
        <v/>
      </c>
      <c r="N1189" s="14">
        <f>IF(L1189="","",ROUND(L1189*'สรุป'!$C$6,-1))</f>
        <v/>
      </c>
      <c r="O1189" s="15" t="n"/>
      <c r="P1189" s="15" t="n"/>
      <c r="Q1189" s="10" t="n"/>
      <c r="R1189" s="10" t="n"/>
      <c r="S1189" s="16" t="inlineStr">
        <is>
          <t>https://mstgolf.co.th/products/gf3010200635</t>
        </is>
      </c>
      <c r="T1189" s="1">
        <f>IF(B1189="ไม้กอล์ฟ",J1189,"")</f>
        <v/>
      </c>
    </row>
    <row r="1190">
      <c r="A1190" s="1" t="n">
        <v>2</v>
      </c>
      <c r="B1190" s="1" t="inlineStr">
        <is>
          <t>ถุงกอล์ฟ</t>
        </is>
      </c>
      <c r="C1190" s="1" t="inlineStr">
        <is>
          <t>gf3010200665</t>
        </is>
      </c>
      <c r="D1190" s="1" t="inlineStr">
        <is>
          <t>TAYLORMADE Circle Logo Shoe Bag (White)</t>
        </is>
      </c>
      <c r="E1190" s="1" t="inlineStr">
        <is>
          <t>TAYLORMADE</t>
        </is>
      </c>
      <c r="F1190" s="1" t="inlineStr">
        <is>
          <t>SHOES BAG</t>
        </is>
      </c>
      <c r="G1190" s="1" t="inlineStr">
        <is>
          <t>GF3010200665</t>
        </is>
      </c>
      <c r="H1190" s="1" t="n">
        <v>1</v>
      </c>
      <c r="I1190" s="1" t="inlineStr">
        <is>
          <t>มี</t>
        </is>
      </c>
      <c r="J1190" s="13" t="n">
        <v>55</v>
      </c>
      <c r="K1190" s="1" t="inlineStr"/>
      <c r="L1190" s="13" t="n">
        <v>55</v>
      </c>
      <c r="M1190" s="1">
        <f>IF(L1190="","ไม่พบใน SG",IF(ABS(J1190-L1190)&lt;0.005,"ตรงกัน","ไม่ตรง"))</f>
        <v/>
      </c>
      <c r="N1190" s="14">
        <f>IF(L1190="","",ROUND(L1190*'สรุป'!$C$6,-1))</f>
        <v/>
      </c>
      <c r="O1190" s="15" t="n"/>
      <c r="P1190" s="15" t="n"/>
      <c r="Q1190" s="10" t="n"/>
      <c r="R1190" s="10" t="n"/>
      <c r="S1190" s="16" t="inlineStr">
        <is>
          <t>https://mstgolf.co.th/products/gf3010200665</t>
        </is>
      </c>
      <c r="T1190" s="1">
        <f>IF(B1190="ไม้กอล์ฟ",J1190,"")</f>
        <v/>
      </c>
    </row>
    <row r="1191">
      <c r="A1191" s="1" t="n">
        <v>2</v>
      </c>
      <c r="B1191" s="1" t="inlineStr">
        <is>
          <t>ถุงกอล์ฟ</t>
        </is>
      </c>
      <c r="C1191" s="1" t="inlineStr">
        <is>
          <t>gf3010101202</t>
        </is>
      </c>
      <c r="D1191" s="1" t="inlineStr">
        <is>
          <t>TAYLORMADE Duffle Bag (Black)</t>
        </is>
      </c>
      <c r="E1191" s="1" t="inlineStr">
        <is>
          <t>TAYLORMADE</t>
        </is>
      </c>
      <c r="F1191" s="1" t="inlineStr">
        <is>
          <t>BOSTON/DUFFLE BAG</t>
        </is>
      </c>
      <c r="G1191" s="1" t="inlineStr">
        <is>
          <t>GF3010101202</t>
        </is>
      </c>
      <c r="H1191" s="1" t="n">
        <v>1</v>
      </c>
      <c r="I1191" s="1" t="inlineStr">
        <is>
          <t>มี</t>
        </is>
      </c>
      <c r="J1191" s="13" t="n">
        <v>55</v>
      </c>
      <c r="K1191" s="1" t="inlineStr"/>
      <c r="L1191" s="13" t="n">
        <v>55</v>
      </c>
      <c r="M1191" s="1">
        <f>IF(L1191="","ไม่พบใน SG",IF(ABS(J1191-L1191)&lt;0.005,"ตรงกัน","ไม่ตรง"))</f>
        <v/>
      </c>
      <c r="N1191" s="14">
        <f>IF(L1191="","",ROUND(L1191*'สรุป'!$C$6,-1))</f>
        <v/>
      </c>
      <c r="O1191" s="15" t="n"/>
      <c r="P1191" s="15" t="n"/>
      <c r="Q1191" s="10" t="n"/>
      <c r="R1191" s="10" t="n"/>
      <c r="S1191" s="16" t="inlineStr">
        <is>
          <t>https://mstgolf.co.th/products/gf3010101202</t>
        </is>
      </c>
      <c r="T1191" s="1">
        <f>IF(B1191="ไม้กอล์ฟ",J1191,"")</f>
        <v/>
      </c>
    </row>
    <row r="1192">
      <c r="A1192" s="1" t="n">
        <v>2</v>
      </c>
      <c r="B1192" s="1" t="inlineStr">
        <is>
          <t>รองเท้า</t>
        </is>
      </c>
      <c r="C1192" s="1" t="inlineStr">
        <is>
          <t>gf2540100135</t>
        </is>
      </c>
      <c r="D1192" s="1" t="inlineStr">
        <is>
          <t>UNDER ARMOUR IGNITE Pro Men's Sandals (Black/White)</t>
        </is>
      </c>
      <c r="E1192" s="1" t="inlineStr">
        <is>
          <t>UNDER ARMOUR</t>
        </is>
      </c>
      <c r="F1192" s="1" t="inlineStr">
        <is>
          <t>CASUAL</t>
        </is>
      </c>
      <c r="G1192" s="1" t="inlineStr">
        <is>
          <t>GF2540100135US7</t>
        </is>
      </c>
      <c r="H1192" s="1" t="n">
        <v>6</v>
      </c>
      <c r="I1192" s="1" t="inlineStr">
        <is>
          <t>มี</t>
        </is>
      </c>
      <c r="J1192" s="13" t="n">
        <v>55</v>
      </c>
      <c r="K1192" s="1" t="inlineStr"/>
      <c r="L1192" s="13" t="n">
        <v>55</v>
      </c>
      <c r="M1192" s="1">
        <f>IF(L1192="","ไม่พบใน SG",IF(ABS(J1192-L1192)&lt;0.005,"ตรงกัน","ไม่ตรง"))</f>
        <v/>
      </c>
      <c r="N1192" s="14">
        <f>IF(L1192="","",ROUND(L1192*'สรุป'!$C$6,-1))</f>
        <v/>
      </c>
      <c r="O1192" s="15" t="n"/>
      <c r="P1192" s="15" t="n"/>
      <c r="Q1192" s="10" t="n"/>
      <c r="R1192" s="10" t="n"/>
      <c r="S1192" s="16" t="inlineStr">
        <is>
          <t>https://mstgolf.co.th/products/gf2540100135</t>
        </is>
      </c>
      <c r="T1192" s="1">
        <f>IF(B1192="ไม้กอล์ฟ",J1192,"")</f>
        <v/>
      </c>
    </row>
    <row r="1193">
      <c r="A1193" s="1" t="n">
        <v>2</v>
      </c>
      <c r="B1193" s="1" t="inlineStr">
        <is>
          <t>ถุงกอล์ฟ</t>
        </is>
      </c>
      <c r="C1193" s="1" t="inlineStr">
        <is>
          <t>gf3010400798</t>
        </is>
      </c>
      <c r="D1193" s="1" t="inlineStr">
        <is>
          <t>MIZUNO Pouch (Blue/White)</t>
        </is>
      </c>
      <c r="E1193" s="1" t="inlineStr">
        <is>
          <t>MIZUNO</t>
        </is>
      </c>
      <c r="F1193" s="1" t="inlineStr">
        <is>
          <t>SMALL BAG</t>
        </is>
      </c>
      <c r="G1193" s="1" t="inlineStr">
        <is>
          <t>GF3010400798</t>
        </is>
      </c>
      <c r="H1193" s="1" t="n">
        <v>1</v>
      </c>
      <c r="I1193" s="1" t="inlineStr">
        <is>
          <t>มี</t>
        </is>
      </c>
      <c r="J1193" s="13" t="n">
        <v>53</v>
      </c>
      <c r="K1193" s="1" t="inlineStr"/>
      <c r="L1193" s="13" t="n">
        <v>53</v>
      </c>
      <c r="M1193" s="1">
        <f>IF(L1193="","ไม่พบใน SG",IF(ABS(J1193-L1193)&lt;0.005,"ตรงกัน","ไม่ตรง"))</f>
        <v/>
      </c>
      <c r="N1193" s="14">
        <f>IF(L1193="","",ROUND(L1193*'สรุป'!$C$6,-1))</f>
        <v/>
      </c>
      <c r="O1193" s="15" t="n"/>
      <c r="P1193" s="15" t="n"/>
      <c r="Q1193" s="10" t="n"/>
      <c r="R1193" s="10" t="n"/>
      <c r="S1193" s="16" t="inlineStr">
        <is>
          <t>https://mstgolf.co.th/products/gf3010400798</t>
        </is>
      </c>
      <c r="T1193" s="1">
        <f>IF(B1193="ไม้กอล์ฟ",J1193,"")</f>
        <v/>
      </c>
    </row>
    <row r="1194">
      <c r="A1194" s="1" t="n">
        <v>2</v>
      </c>
      <c r="B1194" s="1" t="inlineStr">
        <is>
          <t>ถุงมือ</t>
        </is>
      </c>
      <c r="C1194" s="1" t="inlineStr">
        <is>
          <t>gf3020200726</t>
        </is>
      </c>
      <c r="D1194" s="1" t="inlineStr">
        <is>
          <t>ADIDAS Cool Women's All Weather Pair Gloves (White/Silver)</t>
        </is>
      </c>
      <c r="E1194" s="1" t="inlineStr">
        <is>
          <t>ADIDAS</t>
        </is>
      </c>
      <c r="F1194" s="1" t="inlineStr">
        <is>
          <t>ALL WEATHER</t>
        </is>
      </c>
      <c r="G1194" s="1" t="inlineStr">
        <is>
          <t>GF302020072618</t>
        </is>
      </c>
      <c r="H1194" s="1" t="n">
        <v>4</v>
      </c>
      <c r="I1194" s="1" t="inlineStr">
        <is>
          <t>มี</t>
        </is>
      </c>
      <c r="J1194" s="13" t="n">
        <v>50</v>
      </c>
      <c r="K1194" s="1" t="inlineStr"/>
      <c r="L1194" s="13" t="n">
        <v>25</v>
      </c>
      <c r="M1194" s="1">
        <f>IF(L1194="","ไม่พบใน SG",IF(ABS(J1194-L1194)&lt;0.005,"ตรงกัน","ไม่ตรง"))</f>
        <v/>
      </c>
      <c r="N1194" s="14">
        <f>IF(L1194="","",ROUND(L1194*'สรุป'!$C$6,-1))</f>
        <v/>
      </c>
      <c r="O1194" s="15" t="n"/>
      <c r="P1194" s="15" t="n"/>
      <c r="Q1194" s="10" t="n"/>
      <c r="R1194" s="10" t="n"/>
      <c r="S1194" s="16" t="inlineStr">
        <is>
          <t>https://mstgolf.co.th/products/gf3020200726</t>
        </is>
      </c>
      <c r="T1194" s="1">
        <f>IF(B1194="ไม้กอล์ฟ",J1194,"")</f>
        <v/>
      </c>
    </row>
    <row r="1195">
      <c r="A1195" s="1" t="n">
        <v>2</v>
      </c>
      <c r="B1195" s="1" t="inlineStr">
        <is>
          <t>รองเท้า</t>
        </is>
      </c>
      <c r="C1195" s="1" t="inlineStr">
        <is>
          <t>gf2500201231</t>
        </is>
      </c>
      <c r="D1195" s="1" t="inlineStr">
        <is>
          <t>ADIDAS Traxion Lite Max Men's Spikeless Shoes (Black/Silver)</t>
        </is>
      </c>
      <c r="E1195" s="1" t="inlineStr">
        <is>
          <t>ADIDAS</t>
        </is>
      </c>
      <c r="F1195" s="1" t="inlineStr">
        <is>
          <t>SPIKELESS SHOES</t>
        </is>
      </c>
      <c r="G1195" s="1" t="inlineStr">
        <is>
          <t>GF2500201231UK6.5</t>
        </is>
      </c>
      <c r="H1195" s="1" t="n">
        <v>11</v>
      </c>
      <c r="I1195" s="1" t="inlineStr">
        <is>
          <t>มี</t>
        </is>
      </c>
      <c r="J1195" s="13" t="n">
        <v>49</v>
      </c>
      <c r="K1195" s="1" t="inlineStr"/>
      <c r="L1195" s="13" t="n">
        <v>49</v>
      </c>
      <c r="M1195" s="1">
        <f>IF(L1195="","ไม่พบใน SG",IF(ABS(J1195-L1195)&lt;0.005,"ตรงกัน","ไม่ตรง"))</f>
        <v/>
      </c>
      <c r="N1195" s="14">
        <f>IF(L1195="","",ROUND(L1195*'สรุป'!$C$6,-1))</f>
        <v/>
      </c>
      <c r="O1195" s="15" t="n"/>
      <c r="P1195" s="15" t="n"/>
      <c r="Q1195" s="10" t="n"/>
      <c r="R1195" s="10" t="n"/>
      <c r="S1195" s="16" t="inlineStr">
        <is>
          <t>https://mstgolf.co.th/products/gf2500201231</t>
        </is>
      </c>
      <c r="T1195" s="1">
        <f>IF(B1195="ไม้กอล์ฟ",J1195,"")</f>
        <v/>
      </c>
    </row>
    <row r="1196">
      <c r="A1196" s="1" t="n">
        <v>2</v>
      </c>
      <c r="B1196" s="1" t="inlineStr">
        <is>
          <t>ถุงมือ</t>
        </is>
      </c>
      <c r="C1196" s="1" t="inlineStr">
        <is>
          <t>gf3020100191</t>
        </is>
      </c>
      <c r="D1196" s="1" t="inlineStr">
        <is>
          <t>GFORE Collection Cadet Women's Leather Glove (Oleander)</t>
        </is>
      </c>
      <c r="E1196" s="1" t="inlineStr">
        <is>
          <t>GFORE</t>
        </is>
      </c>
      <c r="F1196" s="1" t="inlineStr">
        <is>
          <t>LEATHER</t>
        </is>
      </c>
      <c r="G1196" s="1" t="inlineStr">
        <is>
          <t>GF3020100191S</t>
        </is>
      </c>
      <c r="H1196" s="1" t="n">
        <v>5</v>
      </c>
      <c r="I1196" s="1" t="inlineStr">
        <is>
          <t>มี</t>
        </is>
      </c>
      <c r="J1196" s="13" t="n">
        <v>49</v>
      </c>
      <c r="K1196" s="1" t="inlineStr"/>
      <c r="L1196" s="13" t="n">
        <v>49</v>
      </c>
      <c r="M1196" s="1">
        <f>IF(L1196="","ไม่พบใน SG",IF(ABS(J1196-L1196)&lt;0.005,"ตรงกัน","ไม่ตรง"))</f>
        <v/>
      </c>
      <c r="N1196" s="14">
        <f>IF(L1196="","",ROUND(L1196*'สรุป'!$C$6,-1))</f>
        <v/>
      </c>
      <c r="O1196" s="15" t="n"/>
      <c r="P1196" s="15" t="n"/>
      <c r="Q1196" s="10" t="n"/>
      <c r="R1196" s="10" t="n"/>
      <c r="S1196" s="16" t="inlineStr">
        <is>
          <t>https://mstgolf.co.th/products/gf3020100191</t>
        </is>
      </c>
      <c r="T1196" s="1">
        <f>IF(B1196="ไม้กอล์ฟ",J1196,"")</f>
        <v/>
      </c>
    </row>
    <row r="1197">
      <c r="A1197" s="1" t="n">
        <v>2</v>
      </c>
      <c r="B1197" s="1" t="inlineStr">
        <is>
          <t>ถุงมือ</t>
        </is>
      </c>
      <c r="C1197" s="1" t="inlineStr">
        <is>
          <t>gf3020100227</t>
        </is>
      </c>
      <c r="D1197" s="1" t="inlineStr">
        <is>
          <t>GFORE Collection Leather Cadet Women's Glove (Shine)</t>
        </is>
      </c>
      <c r="E1197" s="1" t="inlineStr">
        <is>
          <t>GFORE</t>
        </is>
      </c>
      <c r="F1197" s="1" t="inlineStr">
        <is>
          <t>LEATHER</t>
        </is>
      </c>
      <c r="G1197" s="1" t="inlineStr">
        <is>
          <t>GF3020100227S</t>
        </is>
      </c>
      <c r="H1197" s="1" t="n">
        <v>5</v>
      </c>
      <c r="I1197" s="1" t="inlineStr">
        <is>
          <t>มี</t>
        </is>
      </c>
      <c r="J1197" s="13" t="n">
        <v>49</v>
      </c>
      <c r="K1197" s="1" t="inlineStr"/>
      <c r="L1197" s="13" t="n">
        <v>49</v>
      </c>
      <c r="M1197" s="1">
        <f>IF(L1197="","ไม่พบใน SG",IF(ABS(J1197-L1197)&lt;0.005,"ตรงกัน","ไม่ตรง"))</f>
        <v/>
      </c>
      <c r="N1197" s="14">
        <f>IF(L1197="","",ROUND(L1197*'สรุป'!$C$6,-1))</f>
        <v/>
      </c>
      <c r="O1197" s="15" t="n"/>
      <c r="P1197" s="15" t="n"/>
      <c r="Q1197" s="10" t="n"/>
      <c r="R1197" s="10" t="n"/>
      <c r="S1197" s="16" t="inlineStr">
        <is>
          <t>https://mstgolf.co.th/products/gf3020100227</t>
        </is>
      </c>
      <c r="T1197" s="1">
        <f>IF(B1197="ไม้กอล์ฟ",J1197,"")</f>
        <v/>
      </c>
    </row>
    <row r="1198">
      <c r="A1198" s="1" t="n">
        <v>2</v>
      </c>
      <c r="B1198" s="1" t="inlineStr">
        <is>
          <t>ถุงมือ</t>
        </is>
      </c>
      <c r="C1198" s="1" t="inlineStr">
        <is>
          <t>gf3020100254</t>
        </is>
      </c>
      <c r="D1198" s="1" t="inlineStr">
        <is>
          <t>GFORE Leather Women's Gloves (Blush)</t>
        </is>
      </c>
      <c r="E1198" s="1" t="inlineStr">
        <is>
          <t>GFORE</t>
        </is>
      </c>
      <c r="F1198" s="1" t="inlineStr">
        <is>
          <t>LEATHER</t>
        </is>
      </c>
      <c r="G1198" s="1" t="inlineStr">
        <is>
          <t>GF3020100254S</t>
        </is>
      </c>
      <c r="H1198" s="1" t="n">
        <v>5</v>
      </c>
      <c r="I1198" s="1" t="inlineStr">
        <is>
          <t>มี</t>
        </is>
      </c>
      <c r="J1198" s="13" t="n">
        <v>49</v>
      </c>
      <c r="K1198" s="1" t="inlineStr"/>
      <c r="L1198" s="13" t="n">
        <v>49</v>
      </c>
      <c r="M1198" s="1">
        <f>IF(L1198="","ไม่พบใน SG",IF(ABS(J1198-L1198)&lt;0.005,"ตรงกัน","ไม่ตรง"))</f>
        <v/>
      </c>
      <c r="N1198" s="14">
        <f>IF(L1198="","",ROUND(L1198*'สรุป'!$C$6,-1))</f>
        <v/>
      </c>
      <c r="O1198" s="15" t="n"/>
      <c r="P1198" s="15" t="n"/>
      <c r="Q1198" s="10" t="n"/>
      <c r="R1198" s="10" t="n"/>
      <c r="S1198" s="16" t="inlineStr">
        <is>
          <t>https://mstgolf.co.th/products/gf3020100254</t>
        </is>
      </c>
      <c r="T1198" s="1">
        <f>IF(B1198="ไม้กอล์ฟ",J1198,"")</f>
        <v/>
      </c>
    </row>
    <row r="1199">
      <c r="A1199" s="1" t="n">
        <v>2</v>
      </c>
      <c r="B1199" s="1" t="inlineStr">
        <is>
          <t>ถุงมือ</t>
        </is>
      </c>
      <c r="C1199" s="1" t="inlineStr">
        <is>
          <t>gf3020100255</t>
        </is>
      </c>
      <c r="D1199" s="1" t="inlineStr">
        <is>
          <t>GFORE Leather Women's Gloves (Sunshine)</t>
        </is>
      </c>
      <c r="E1199" s="1" t="inlineStr">
        <is>
          <t>GFORE</t>
        </is>
      </c>
      <c r="F1199" s="1" t="inlineStr">
        <is>
          <t>LEATHER</t>
        </is>
      </c>
      <c r="G1199" s="1" t="inlineStr">
        <is>
          <t>GF3020100255S</t>
        </is>
      </c>
      <c r="H1199" s="1" t="n">
        <v>5</v>
      </c>
      <c r="I1199" s="1" t="inlineStr">
        <is>
          <t>มี</t>
        </is>
      </c>
      <c r="J1199" s="13" t="n">
        <v>49</v>
      </c>
      <c r="K1199" s="1" t="inlineStr"/>
      <c r="L1199" s="13" t="n">
        <v>49</v>
      </c>
      <c r="M1199" s="1">
        <f>IF(L1199="","ไม่พบใน SG",IF(ABS(J1199-L1199)&lt;0.005,"ตรงกัน","ไม่ตรง"))</f>
        <v/>
      </c>
      <c r="N1199" s="14">
        <f>IF(L1199="","",ROUND(L1199*'สรุป'!$C$6,-1))</f>
        <v/>
      </c>
      <c r="O1199" s="15" t="n"/>
      <c r="P1199" s="15" t="n"/>
      <c r="Q1199" s="10" t="n"/>
      <c r="R1199" s="10" t="n"/>
      <c r="S1199" s="16" t="inlineStr">
        <is>
          <t>https://mstgolf.co.th/products/gf3020100255</t>
        </is>
      </c>
      <c r="T1199" s="1">
        <f>IF(B1199="ไม้กอล์ฟ",J1199,"")</f>
        <v/>
      </c>
    </row>
    <row r="1200">
      <c r="A1200" s="1" t="n">
        <v>2</v>
      </c>
      <c r="B1200" s="1" t="inlineStr">
        <is>
          <t>ถุงมือ</t>
        </is>
      </c>
      <c r="C1200" s="1" t="inlineStr">
        <is>
          <t>gf3020100283</t>
        </is>
      </c>
      <c r="D1200" s="1" t="inlineStr">
        <is>
          <t>GFORE Signature Camo Men's Leather Glove (Charcoal Camo)</t>
        </is>
      </c>
      <c r="E1200" s="1" t="inlineStr">
        <is>
          <t>GFORE</t>
        </is>
      </c>
      <c r="F1200" s="1" t="inlineStr">
        <is>
          <t>LEATHER</t>
        </is>
      </c>
      <c r="G1200" s="1" t="inlineStr">
        <is>
          <t>GF3020100283S</t>
        </is>
      </c>
      <c r="H1200" s="1" t="n">
        <v>5</v>
      </c>
      <c r="I1200" s="1" t="inlineStr">
        <is>
          <t>มี</t>
        </is>
      </c>
      <c r="J1200" s="13" t="n">
        <v>49</v>
      </c>
      <c r="K1200" s="1" t="inlineStr"/>
      <c r="L1200" s="13" t="n">
        <v>49</v>
      </c>
      <c r="M1200" s="1">
        <f>IF(L1200="","ไม่พบใน SG",IF(ABS(J1200-L1200)&lt;0.005,"ตรงกัน","ไม่ตรง"))</f>
        <v/>
      </c>
      <c r="N1200" s="14">
        <f>IF(L1200="","",ROUND(L1200*'สรุป'!$C$6,-1))</f>
        <v/>
      </c>
      <c r="O1200" s="15" t="n"/>
      <c r="P1200" s="15" t="n"/>
      <c r="Q1200" s="10" t="n"/>
      <c r="R1200" s="10" t="n"/>
      <c r="S1200" s="16" t="inlineStr">
        <is>
          <t>https://mstgolf.co.th/products/gf3020100283</t>
        </is>
      </c>
      <c r="T1200" s="1">
        <f>IF(B1200="ไม้กอล์ฟ",J1200,"")</f>
        <v/>
      </c>
    </row>
    <row r="1201">
      <c r="A1201" s="1" t="n">
        <v>2</v>
      </c>
      <c r="B1201" s="1" t="inlineStr">
        <is>
          <t>ถุงมือ</t>
        </is>
      </c>
      <c r="C1201" s="1" t="inlineStr">
        <is>
          <t>gf3020100278</t>
        </is>
      </c>
      <c r="D1201" s="1" t="inlineStr">
        <is>
          <t>GFORE Signature Men's Leather Glove (Clover)</t>
        </is>
      </c>
      <c r="E1201" s="1" t="inlineStr">
        <is>
          <t>GFORE</t>
        </is>
      </c>
      <c r="F1201" s="1" t="inlineStr">
        <is>
          <t>LEATHER</t>
        </is>
      </c>
      <c r="G1201" s="1" t="inlineStr">
        <is>
          <t>GF3020100278S</t>
        </is>
      </c>
      <c r="H1201" s="1" t="n">
        <v>5</v>
      </c>
      <c r="I1201" s="1" t="inlineStr">
        <is>
          <t>มี</t>
        </is>
      </c>
      <c r="J1201" s="13" t="n">
        <v>49</v>
      </c>
      <c r="K1201" s="1" t="inlineStr"/>
      <c r="L1201" s="13" t="n">
        <v>49</v>
      </c>
      <c r="M1201" s="1">
        <f>IF(L1201="","ไม่พบใน SG",IF(ABS(J1201-L1201)&lt;0.005,"ตรงกัน","ไม่ตรง"))</f>
        <v/>
      </c>
      <c r="N1201" s="14">
        <f>IF(L1201="","",ROUND(L1201*'สรุป'!$C$6,-1))</f>
        <v/>
      </c>
      <c r="O1201" s="15" t="n"/>
      <c r="P1201" s="15" t="n"/>
      <c r="Q1201" s="10" t="n"/>
      <c r="R1201" s="10" t="n"/>
      <c r="S1201" s="16" t="inlineStr">
        <is>
          <t>https://mstgolf.co.th/products/gf3020100278</t>
        </is>
      </c>
      <c r="T1201" s="1">
        <f>IF(B1201="ไม้กอล์ฟ",J1201,"")</f>
        <v/>
      </c>
    </row>
    <row r="1202">
      <c r="A1202" s="1" t="n">
        <v>2</v>
      </c>
      <c r="B1202" s="1" t="inlineStr">
        <is>
          <t>ถุงมือ</t>
        </is>
      </c>
      <c r="C1202" s="1" t="inlineStr">
        <is>
          <t>gf3020100279</t>
        </is>
      </c>
      <c r="D1202" s="1" t="inlineStr">
        <is>
          <t>GFORE Signature Men's Leather Glove (Patriot)</t>
        </is>
      </c>
      <c r="E1202" s="1" t="inlineStr">
        <is>
          <t>GFORE</t>
        </is>
      </c>
      <c r="F1202" s="1" t="inlineStr">
        <is>
          <t>LEATHER</t>
        </is>
      </c>
      <c r="G1202" s="1" t="inlineStr">
        <is>
          <t>GF3020100279S</t>
        </is>
      </c>
      <c r="H1202" s="1" t="n">
        <v>5</v>
      </c>
      <c r="I1202" s="1" t="inlineStr">
        <is>
          <t>มี</t>
        </is>
      </c>
      <c r="J1202" s="13" t="n">
        <v>49</v>
      </c>
      <c r="K1202" s="1" t="inlineStr"/>
      <c r="L1202" s="13" t="n">
        <v>49</v>
      </c>
      <c r="M1202" s="1">
        <f>IF(L1202="","ไม่พบใน SG",IF(ABS(J1202-L1202)&lt;0.005,"ตรงกัน","ไม่ตรง"))</f>
        <v/>
      </c>
      <c r="N1202" s="14">
        <f>IF(L1202="","",ROUND(L1202*'สรุป'!$C$6,-1))</f>
        <v/>
      </c>
      <c r="O1202" s="15" t="n"/>
      <c r="P1202" s="15" t="n"/>
      <c r="Q1202" s="10" t="n"/>
      <c r="R1202" s="10" t="n"/>
      <c r="S1202" s="16" t="inlineStr">
        <is>
          <t>https://mstgolf.co.th/products/gf3020100279</t>
        </is>
      </c>
      <c r="T1202" s="1">
        <f>IF(B1202="ไม้กอล์ฟ",J1202,"")</f>
        <v/>
      </c>
    </row>
    <row r="1203">
      <c r="A1203" s="1" t="n">
        <v>2</v>
      </c>
      <c r="B1203" s="1" t="inlineStr">
        <is>
          <t>ถุงมือ</t>
        </is>
      </c>
      <c r="C1203" s="1" t="inlineStr">
        <is>
          <t>gf3020100281</t>
        </is>
      </c>
      <c r="D1203" s="1" t="inlineStr">
        <is>
          <t>GFORE Signature Women's Leather Glove (Baja)</t>
        </is>
      </c>
      <c r="E1203" s="1" t="inlineStr">
        <is>
          <t>GFORE</t>
        </is>
      </c>
      <c r="F1203" s="1" t="inlineStr">
        <is>
          <t>LEATHER</t>
        </is>
      </c>
      <c r="G1203" s="1" t="inlineStr">
        <is>
          <t>GF3020100281XS</t>
        </is>
      </c>
      <c r="H1203" s="1" t="n">
        <v>6</v>
      </c>
      <c r="I1203" s="1" t="inlineStr">
        <is>
          <t>มี</t>
        </is>
      </c>
      <c r="J1203" s="13" t="n">
        <v>49</v>
      </c>
      <c r="K1203" s="1" t="inlineStr"/>
      <c r="L1203" s="13" t="n">
        <v>49</v>
      </c>
      <c r="M1203" s="1">
        <f>IF(L1203="","ไม่พบใน SG",IF(ABS(J1203-L1203)&lt;0.005,"ตรงกัน","ไม่ตรง"))</f>
        <v/>
      </c>
      <c r="N1203" s="14">
        <f>IF(L1203="","",ROUND(L1203*'สรุป'!$C$6,-1))</f>
        <v/>
      </c>
      <c r="O1203" s="15" t="n"/>
      <c r="P1203" s="15" t="n"/>
      <c r="Q1203" s="10" t="n"/>
      <c r="R1203" s="10" t="n"/>
      <c r="S1203" s="16" t="inlineStr">
        <is>
          <t>https://mstgolf.co.th/products/gf3020100281</t>
        </is>
      </c>
      <c r="T1203" s="1">
        <f>IF(B1203="ไม้กอล์ฟ",J1203,"")</f>
        <v/>
      </c>
    </row>
    <row r="1204">
      <c r="A1204" s="1" t="n">
        <v>2</v>
      </c>
      <c r="B1204" s="1" t="inlineStr">
        <is>
          <t>ถุงมือ</t>
        </is>
      </c>
      <c r="C1204" s="1" t="inlineStr">
        <is>
          <t>gf3020100282</t>
        </is>
      </c>
      <c r="D1204" s="1" t="inlineStr">
        <is>
          <t>GFORE Signature Women's Leather Glove (Blush)</t>
        </is>
      </c>
      <c r="E1204" s="1" t="inlineStr">
        <is>
          <t>GFORE</t>
        </is>
      </c>
      <c r="F1204" s="1" t="inlineStr">
        <is>
          <t>LEATHER</t>
        </is>
      </c>
      <c r="G1204" s="1" t="inlineStr">
        <is>
          <t>GF3020100282XS</t>
        </is>
      </c>
      <c r="H1204" s="1" t="n">
        <v>6</v>
      </c>
      <c r="I1204" s="1" t="inlineStr">
        <is>
          <t>มี</t>
        </is>
      </c>
      <c r="J1204" s="13" t="n">
        <v>49</v>
      </c>
      <c r="K1204" s="1" t="inlineStr"/>
      <c r="L1204" s="13" t="n">
        <v>49</v>
      </c>
      <c r="M1204" s="1">
        <f>IF(L1204="","ไม่พบใน SG",IF(ABS(J1204-L1204)&lt;0.005,"ตรงกัน","ไม่ตรง"))</f>
        <v/>
      </c>
      <c r="N1204" s="14">
        <f>IF(L1204="","",ROUND(L1204*'สรุป'!$C$6,-1))</f>
        <v/>
      </c>
      <c r="O1204" s="15" t="n"/>
      <c r="P1204" s="15" t="n"/>
      <c r="Q1204" s="10" t="n"/>
      <c r="R1204" s="10" t="n"/>
      <c r="S1204" s="16" t="inlineStr">
        <is>
          <t>https://mstgolf.co.th/products/gf3020100282</t>
        </is>
      </c>
      <c r="T1204" s="1">
        <f>IF(B1204="ไม้กอล์ฟ",J1204,"")</f>
        <v/>
      </c>
    </row>
    <row r="1205">
      <c r="A1205" s="1" t="n">
        <v>2</v>
      </c>
      <c r="B1205" s="1" t="inlineStr">
        <is>
          <t>รถเข็น</t>
        </is>
      </c>
      <c r="C1205" s="1" t="inlineStr">
        <is>
          <t>gf3030200202</t>
        </is>
      </c>
      <c r="D1205" s="1" t="inlineStr">
        <is>
          <t>POWAKADDY Drink Holder</t>
        </is>
      </c>
      <c r="E1205" s="1" t="inlineStr">
        <is>
          <t>POWAKADDY</t>
        </is>
      </c>
      <c r="F1205" s="1" t="inlineStr">
        <is>
          <t>TROLLEY PARTS/ACCESSORIES</t>
        </is>
      </c>
      <c r="G1205" s="1" t="inlineStr">
        <is>
          <t>GF3030200202</t>
        </is>
      </c>
      <c r="H1205" s="1" t="n">
        <v>1</v>
      </c>
      <c r="I1205" s="1" t="inlineStr">
        <is>
          <t>มี</t>
        </is>
      </c>
      <c r="J1205" s="13" t="n">
        <v>49</v>
      </c>
      <c r="K1205" s="1" t="inlineStr"/>
      <c r="L1205" s="13" t="n">
        <v>49</v>
      </c>
      <c r="M1205" s="1">
        <f>IF(L1205="","ไม่พบใน SG",IF(ABS(J1205-L1205)&lt;0.005,"ตรงกัน","ไม่ตรง"))</f>
        <v/>
      </c>
      <c r="N1205" s="14">
        <f>IF(L1205="","",ROUND(L1205*'สรุป'!$C$6,-1))</f>
        <v/>
      </c>
      <c r="O1205" s="15" t="n"/>
      <c r="P1205" s="15" t="n"/>
      <c r="Q1205" s="10" t="n"/>
      <c r="R1205" s="10" t="n"/>
      <c r="S1205" s="16" t="inlineStr">
        <is>
          <t>https://mstgolf.co.th/products/gf3030200202</t>
        </is>
      </c>
      <c r="T1205" s="1">
        <f>IF(B1205="ไม้กอล์ฟ",J1205,"")</f>
        <v/>
      </c>
    </row>
    <row r="1206">
      <c r="A1206" s="1" t="n">
        <v>2</v>
      </c>
      <c r="B1206" s="1" t="inlineStr">
        <is>
          <t>รถเข็น</t>
        </is>
      </c>
      <c r="C1206" s="1" t="inlineStr">
        <is>
          <t>gf3030200201</t>
        </is>
      </c>
      <c r="D1206" s="1" t="inlineStr">
        <is>
          <t>POWAKADDY FX/CT Umbrella Holder</t>
        </is>
      </c>
      <c r="E1206" s="1" t="inlineStr">
        <is>
          <t>POWAKADDY</t>
        </is>
      </c>
      <c r="F1206" s="1" t="inlineStr">
        <is>
          <t>TROLLEY PARTS/ACCESSORIES</t>
        </is>
      </c>
      <c r="G1206" s="1" t="inlineStr">
        <is>
          <t>GF3030200201</t>
        </is>
      </c>
      <c r="H1206" s="1" t="n">
        <v>1</v>
      </c>
      <c r="I1206" s="1" t="inlineStr">
        <is>
          <t>มี</t>
        </is>
      </c>
      <c r="J1206" s="13" t="n">
        <v>49</v>
      </c>
      <c r="K1206" s="1" t="inlineStr"/>
      <c r="L1206" s="13" t="n">
        <v>49</v>
      </c>
      <c r="M1206" s="1">
        <f>IF(L1206="","ไม่พบใน SG",IF(ABS(J1206-L1206)&lt;0.005,"ตรงกัน","ไม่ตรง"))</f>
        <v/>
      </c>
      <c r="N1206" s="14">
        <f>IF(L1206="","",ROUND(L1206*'สรุป'!$C$6,-1))</f>
        <v/>
      </c>
      <c r="O1206" s="15" t="n"/>
      <c r="P1206" s="15" t="n"/>
      <c r="Q1206" s="10" t="n"/>
      <c r="R1206" s="10" t="n"/>
      <c r="S1206" s="16" t="inlineStr">
        <is>
          <t>https://mstgolf.co.th/products/gf3030200201</t>
        </is>
      </c>
      <c r="T1206" s="1">
        <f>IF(B1206="ไม้กอล์ฟ",J1206,"")</f>
        <v/>
      </c>
    </row>
    <row r="1207">
      <c r="A1207" s="1" t="n">
        <v>2</v>
      </c>
      <c r="B1207" s="1" t="inlineStr">
        <is>
          <t>ลูกกอล์ฟ</t>
        </is>
      </c>
      <c r="C1207" s="1" t="inlineStr">
        <is>
          <t>gf3200400211</t>
        </is>
      </c>
      <c r="D1207" s="1" t="inlineStr">
        <is>
          <t>TAYLORMADE Tour Response Stripe (2022) (Colour) Golf Ball</t>
        </is>
      </c>
      <c r="E1207" s="1" t="inlineStr">
        <is>
          <t>TAYLORMADE</t>
        </is>
      </c>
      <c r="F1207" s="1" t="inlineStr">
        <is>
          <t>TOUR</t>
        </is>
      </c>
      <c r="G1207" s="1" t="inlineStr">
        <is>
          <t>GF3200400211</t>
        </is>
      </c>
      <c r="H1207" s="1" t="n">
        <v>1</v>
      </c>
      <c r="I1207" s="1" t="inlineStr">
        <is>
          <t>มี</t>
        </is>
      </c>
      <c r="J1207" s="13" t="n">
        <v>47</v>
      </c>
      <c r="K1207" s="1" t="inlineStr"/>
      <c r="L1207" s="13" t="n">
        <v>47</v>
      </c>
      <c r="M1207" s="1">
        <f>IF(L1207="","ไม่พบใน SG",IF(ABS(J1207-L1207)&lt;0.005,"ตรงกัน","ไม่ตรง"))</f>
        <v/>
      </c>
      <c r="N1207" s="14">
        <f>IF(L1207="","",ROUND(L1207*'สรุป'!$C$6,-1))</f>
        <v/>
      </c>
      <c r="O1207" s="15" t="n"/>
      <c r="P1207" s="15" t="n"/>
      <c r="Q1207" s="10" t="n"/>
      <c r="R1207" s="10" t="n"/>
      <c r="S1207" s="16" t="inlineStr">
        <is>
          <t>https://mstgolf.co.th/products/gf3200400211</t>
        </is>
      </c>
      <c r="T1207" s="1">
        <f>IF(B1207="ไม้กอล์ฟ",J1207,"")</f>
        <v/>
      </c>
    </row>
    <row r="1208">
      <c r="A1208" s="1" t="n">
        <v>2</v>
      </c>
      <c r="B1208" s="1" t="inlineStr">
        <is>
          <t>ลูกกอล์ฟ</t>
        </is>
      </c>
      <c r="C1208" s="1" t="inlineStr">
        <is>
          <t>gf3200400178</t>
        </is>
      </c>
      <c r="D1208" s="1" t="inlineStr">
        <is>
          <t>TAYLORMADE Tour Response Stripe (2022) Golf Ball</t>
        </is>
      </c>
      <c r="E1208" s="1" t="inlineStr">
        <is>
          <t>TAYLORMADE</t>
        </is>
      </c>
      <c r="F1208" s="1" t="inlineStr">
        <is>
          <t>TOUR</t>
        </is>
      </c>
      <c r="G1208" s="1" t="inlineStr">
        <is>
          <t>GF3200400178</t>
        </is>
      </c>
      <c r="H1208" s="1" t="n">
        <v>1</v>
      </c>
      <c r="I1208" s="1" t="inlineStr">
        <is>
          <t>มี</t>
        </is>
      </c>
      <c r="J1208" s="13" t="n">
        <v>47</v>
      </c>
      <c r="K1208" s="1" t="inlineStr"/>
      <c r="L1208" s="13" t="n">
        <v>47</v>
      </c>
      <c r="M1208" s="1">
        <f>IF(L1208="","ไม่พบใน SG",IF(ABS(J1208-L1208)&lt;0.005,"ตรงกัน","ไม่ตรง"))</f>
        <v/>
      </c>
      <c r="N1208" s="14">
        <f>IF(L1208="","",ROUND(L1208*'สรุป'!$C$6,-1))</f>
        <v/>
      </c>
      <c r="O1208" s="15" t="n"/>
      <c r="P1208" s="15" t="n"/>
      <c r="Q1208" s="10" t="n"/>
      <c r="R1208" s="10" t="n"/>
      <c r="S1208" s="16" t="inlineStr">
        <is>
          <t>https://mstgolf.co.th/products/gf3200400178</t>
        </is>
      </c>
      <c r="T1208" s="1">
        <f>IF(B1208="ไม้กอล์ฟ",J1208,"")</f>
        <v/>
      </c>
    </row>
    <row r="1209">
      <c r="A1209" s="1" t="n">
        <v>2</v>
      </c>
      <c r="B1209" s="1" t="inlineStr">
        <is>
          <t>ลูกกอล์ฟ</t>
        </is>
      </c>
      <c r="C1209" s="1" t="inlineStr">
        <is>
          <t>gf3200400212</t>
        </is>
      </c>
      <c r="D1209" s="1" t="inlineStr">
        <is>
          <t>TAYLORMADE Tour Response Stripe (2022) Golf Ball</t>
        </is>
      </c>
      <c r="E1209" s="1" t="inlineStr">
        <is>
          <t>TAYLORMADE</t>
        </is>
      </c>
      <c r="F1209" s="1" t="inlineStr">
        <is>
          <t>TOUR</t>
        </is>
      </c>
      <c r="G1209" s="1" t="inlineStr">
        <is>
          <t>GF3200400212</t>
        </is>
      </c>
      <c r="H1209" s="1" t="n">
        <v>1</v>
      </c>
      <c r="I1209" s="1" t="inlineStr">
        <is>
          <t>มี</t>
        </is>
      </c>
      <c r="J1209" s="13" t="n">
        <v>47</v>
      </c>
      <c r="K1209" s="1" t="inlineStr"/>
      <c r="L1209" s="13" t="n">
        <v>47</v>
      </c>
      <c r="M1209" s="1">
        <f>IF(L1209="","ไม่พบใน SG",IF(ABS(J1209-L1209)&lt;0.005,"ตรงกัน","ไม่ตรง"))</f>
        <v/>
      </c>
      <c r="N1209" s="14">
        <f>IF(L1209="","",ROUND(L1209*'สรุป'!$C$6,-1))</f>
        <v/>
      </c>
      <c r="O1209" s="15" t="n"/>
      <c r="P1209" s="15" t="n"/>
      <c r="Q1209" s="10" t="n"/>
      <c r="R1209" s="10" t="n"/>
      <c r="S1209" s="16" t="inlineStr">
        <is>
          <t>https://mstgolf.co.th/products/gf3200400212</t>
        </is>
      </c>
      <c r="T1209" s="1">
        <f>IF(B1209="ไม้กอล์ฟ",J1209,"")</f>
        <v/>
      </c>
    </row>
    <row r="1210">
      <c r="A1210" s="1" t="n">
        <v>2</v>
      </c>
      <c r="B1210" s="1" t="inlineStr">
        <is>
          <t>ลูกกอล์ฟ</t>
        </is>
      </c>
      <c r="C1210" s="1" t="inlineStr">
        <is>
          <t>gf3200100089</t>
        </is>
      </c>
      <c r="D1210" s="1" t="inlineStr">
        <is>
          <t>TITLEIST Velocity (2026) Golf Ball</t>
        </is>
      </c>
      <c r="E1210" s="1" t="inlineStr">
        <is>
          <t>TITLEIST</t>
        </is>
      </c>
      <c r="F1210" s="1" t="inlineStr">
        <is>
          <t>DISTANCE</t>
        </is>
      </c>
      <c r="G1210" s="1" t="inlineStr">
        <is>
          <t>GF3200100089</t>
        </is>
      </c>
      <c r="H1210" s="1" t="n">
        <v>1</v>
      </c>
      <c r="I1210" s="1" t="inlineStr">
        <is>
          <t>มี</t>
        </is>
      </c>
      <c r="J1210" s="13" t="n">
        <v>46.8</v>
      </c>
      <c r="K1210" s="1" t="inlineStr"/>
      <c r="L1210" s="13" t="n">
        <v>46.8</v>
      </c>
      <c r="M1210" s="1">
        <f>IF(L1210="","ไม่พบใน SG",IF(ABS(J1210-L1210)&lt;0.005,"ตรงกัน","ไม่ตรง"))</f>
        <v/>
      </c>
      <c r="N1210" s="14">
        <f>IF(L1210="","",ROUND(L1210*'สรุป'!$C$6,-1))</f>
        <v/>
      </c>
      <c r="O1210" s="15" t="n"/>
      <c r="P1210" s="15" t="n"/>
      <c r="Q1210" s="10" t="n"/>
      <c r="R1210" s="10" t="n"/>
      <c r="S1210" s="16" t="inlineStr">
        <is>
          <t>https://mstgolf.co.th/products/gf3200100089</t>
        </is>
      </c>
      <c r="T1210" s="1">
        <f>IF(B1210="ไม้กอล์ฟ",J1210,"")</f>
        <v/>
      </c>
    </row>
    <row r="1211">
      <c r="A1211" s="1" t="n">
        <v>2</v>
      </c>
      <c r="B1211" s="1" t="inlineStr">
        <is>
          <t>อุปกรณ์ฝึกซ้อม</t>
        </is>
      </c>
      <c r="C1211" s="1" t="inlineStr">
        <is>
          <t>gf3500300403</t>
        </is>
      </c>
      <c r="D1211" s="1" t="inlineStr">
        <is>
          <t>GENERAL ITEM Paragon The Chipping Game - 1Pc/Cloth Bag</t>
        </is>
      </c>
      <c r="E1211" s="1" t="inlineStr">
        <is>
          <t>GENERAL ITEM</t>
        </is>
      </c>
      <c r="F1211" s="1" t="inlineStr">
        <is>
          <t>PUTT / CHIP</t>
        </is>
      </c>
      <c r="G1211" s="1" t="inlineStr">
        <is>
          <t>GF3500300403</t>
        </is>
      </c>
      <c r="H1211" s="1" t="n">
        <v>1</v>
      </c>
      <c r="I1211" s="1" t="inlineStr">
        <is>
          <t>มี</t>
        </is>
      </c>
      <c r="J1211" s="13" t="n">
        <v>45</v>
      </c>
      <c r="K1211" s="1" t="inlineStr"/>
      <c r="L1211" s="13" t="n">
        <v>45</v>
      </c>
      <c r="M1211" s="1">
        <f>IF(L1211="","ไม่พบใน SG",IF(ABS(J1211-L1211)&lt;0.005,"ตรงกัน","ไม่ตรง"))</f>
        <v/>
      </c>
      <c r="N1211" s="14">
        <f>IF(L1211="","",ROUND(L1211*'สรุป'!$C$6,-1))</f>
        <v/>
      </c>
      <c r="O1211" s="15" t="n"/>
      <c r="P1211" s="15" t="n"/>
      <c r="Q1211" s="10" t="n"/>
      <c r="R1211" s="10" t="n"/>
      <c r="S1211" s="16" t="inlineStr">
        <is>
          <t>https://mstgolf.co.th/products/gf3500300403</t>
        </is>
      </c>
      <c r="T1211" s="1">
        <f>IF(B1211="ไม้กอล์ฟ",J1211,"")</f>
        <v/>
      </c>
    </row>
    <row r="1212">
      <c r="A1212" s="1" t="n">
        <v>2</v>
      </c>
      <c r="B1212" s="1" t="inlineStr">
        <is>
          <t>ถุงกอล์ฟ</t>
        </is>
      </c>
      <c r="C1212" s="1" t="inlineStr">
        <is>
          <t>gf3010200657</t>
        </is>
      </c>
      <c r="D1212" s="1" t="inlineStr">
        <is>
          <t>LE COQ SPORTIF GOLF Zippered Shoe Case (Black)</t>
        </is>
      </c>
      <c r="E1212" s="1" t="inlineStr">
        <is>
          <t>LE COQ SPORTIF GOLF</t>
        </is>
      </c>
      <c r="F1212" s="1" t="inlineStr">
        <is>
          <t>SHOES BAG</t>
        </is>
      </c>
      <c r="G1212" s="1" t="inlineStr">
        <is>
          <t>GF3010200657</t>
        </is>
      </c>
      <c r="H1212" s="1" t="n">
        <v>1</v>
      </c>
      <c r="I1212" s="1" t="inlineStr">
        <is>
          <t>มี</t>
        </is>
      </c>
      <c r="J1212" s="13" t="n">
        <v>45</v>
      </c>
      <c r="K1212" s="1" t="inlineStr"/>
      <c r="L1212" s="13" t="n">
        <v>45</v>
      </c>
      <c r="M1212" s="1">
        <f>IF(L1212="","ไม่พบใน SG",IF(ABS(J1212-L1212)&lt;0.005,"ตรงกัน","ไม่ตรง"))</f>
        <v/>
      </c>
      <c r="N1212" s="14">
        <f>IF(L1212="","",ROUND(L1212*'สรุป'!$C$6,-1))</f>
        <v/>
      </c>
      <c r="O1212" s="15" t="n"/>
      <c r="P1212" s="15" t="n"/>
      <c r="Q1212" s="10" t="n"/>
      <c r="R1212" s="10" t="n"/>
      <c r="S1212" s="16" t="inlineStr">
        <is>
          <t>https://mstgolf.co.th/products/gf3010200657</t>
        </is>
      </c>
      <c r="T1212" s="1">
        <f>IF(B1212="ไม้กอล์ฟ",J1212,"")</f>
        <v/>
      </c>
    </row>
    <row r="1213">
      <c r="A1213" s="1" t="n">
        <v>2</v>
      </c>
      <c r="B1213" s="1" t="inlineStr">
        <is>
          <t>ถุงกอล์ฟ</t>
        </is>
      </c>
      <c r="C1213" s="1" t="inlineStr">
        <is>
          <t>gf3010200656</t>
        </is>
      </c>
      <c r="D1213" s="1" t="inlineStr">
        <is>
          <t>LE COQ SPORTIF GOLF Zippered Shoe Case (Khaki)</t>
        </is>
      </c>
      <c r="E1213" s="1" t="inlineStr">
        <is>
          <t>LE COQ SPORTIF GOLF</t>
        </is>
      </c>
      <c r="F1213" s="1" t="inlineStr">
        <is>
          <t>SHOES BAG</t>
        </is>
      </c>
      <c r="G1213" s="1" t="inlineStr">
        <is>
          <t>GF3010200656</t>
        </is>
      </c>
      <c r="H1213" s="1" t="n">
        <v>1</v>
      </c>
      <c r="I1213" s="1" t="inlineStr">
        <is>
          <t>มี</t>
        </is>
      </c>
      <c r="J1213" s="13" t="n">
        <v>45</v>
      </c>
      <c r="K1213" s="1" t="inlineStr"/>
      <c r="L1213" s="13" t="n">
        <v>45</v>
      </c>
      <c r="M1213" s="1">
        <f>IF(L1213="","ไม่พบใน SG",IF(ABS(J1213-L1213)&lt;0.005,"ตรงกัน","ไม่ตรง"))</f>
        <v/>
      </c>
      <c r="N1213" s="14">
        <f>IF(L1213="","",ROUND(L1213*'สรุป'!$C$6,-1))</f>
        <v/>
      </c>
      <c r="O1213" s="15" t="n"/>
      <c r="P1213" s="15" t="n"/>
      <c r="Q1213" s="10" t="n"/>
      <c r="R1213" s="10" t="n"/>
      <c r="S1213" s="16" t="inlineStr">
        <is>
          <t>https://mstgolf.co.th/products/gf3010200656</t>
        </is>
      </c>
      <c r="T1213" s="1">
        <f>IF(B1213="ไม้กอล์ฟ",J1213,"")</f>
        <v/>
      </c>
    </row>
    <row r="1214">
      <c r="A1214" s="1" t="n">
        <v>2</v>
      </c>
      <c r="B1214" s="1" t="inlineStr">
        <is>
          <t>ถุงกอล์ฟ</t>
        </is>
      </c>
      <c r="C1214" s="1" t="inlineStr">
        <is>
          <t>gf3010200658</t>
        </is>
      </c>
      <c r="D1214" s="1" t="inlineStr">
        <is>
          <t>LE COQ SPORTIF GOLF Zippered Shoe Case (White)</t>
        </is>
      </c>
      <c r="E1214" s="1" t="inlineStr">
        <is>
          <t>LE COQ SPORTIF GOLF</t>
        </is>
      </c>
      <c r="F1214" s="1" t="inlineStr">
        <is>
          <t>SHOES BAG</t>
        </is>
      </c>
      <c r="G1214" s="1" t="inlineStr">
        <is>
          <t>GF3010200658</t>
        </is>
      </c>
      <c r="H1214" s="1" t="n">
        <v>1</v>
      </c>
      <c r="I1214" s="1" t="inlineStr">
        <is>
          <t>มี</t>
        </is>
      </c>
      <c r="J1214" s="13" t="n">
        <v>45</v>
      </c>
      <c r="K1214" s="1" t="inlineStr"/>
      <c r="L1214" s="13" t="n">
        <v>45</v>
      </c>
      <c r="M1214" s="1">
        <f>IF(L1214="","ไม่พบใน SG",IF(ABS(J1214-L1214)&lt;0.005,"ตรงกัน","ไม่ตรง"))</f>
        <v/>
      </c>
      <c r="N1214" s="14">
        <f>IF(L1214="","",ROUND(L1214*'สรุป'!$C$6,-1))</f>
        <v/>
      </c>
      <c r="O1214" s="15" t="n"/>
      <c r="P1214" s="15" t="n"/>
      <c r="Q1214" s="10" t="n"/>
      <c r="R1214" s="10" t="n"/>
      <c r="S1214" s="16" t="inlineStr">
        <is>
          <t>https://mstgolf.co.th/products/gf3010200658</t>
        </is>
      </c>
      <c r="T1214" s="1">
        <f>IF(B1214="ไม้กอล์ฟ",J1214,"")</f>
        <v/>
      </c>
    </row>
    <row r="1215">
      <c r="A1215" s="1" t="n">
        <v>2</v>
      </c>
      <c r="B1215" s="1" t="inlineStr">
        <is>
          <t>รองเท้า</t>
        </is>
      </c>
      <c r="C1215" s="1" t="inlineStr">
        <is>
          <t>gf2500200805</t>
        </is>
      </c>
      <c r="D1215" s="1" t="inlineStr">
        <is>
          <t>PUMA Fusion Evo Junior Spikeless Shoes (Black)</t>
        </is>
      </c>
      <c r="E1215" s="1" t="inlineStr">
        <is>
          <t>PUMA</t>
        </is>
      </c>
      <c r="F1215" s="1" t="inlineStr">
        <is>
          <t>SPIKELESS SHOES</t>
        </is>
      </c>
      <c r="G1215" s="1" t="inlineStr">
        <is>
          <t>GF2500200805UK2</t>
        </is>
      </c>
      <c r="H1215" s="1" t="n">
        <v>9</v>
      </c>
      <c r="I1215" s="1" t="inlineStr">
        <is>
          <t>มี</t>
        </is>
      </c>
      <c r="J1215" s="13" t="n">
        <v>45</v>
      </c>
      <c r="K1215" s="1" t="inlineStr"/>
      <c r="L1215" s="13" t="n">
        <v>45</v>
      </c>
      <c r="M1215" s="1">
        <f>IF(L1215="","ไม่พบใน SG",IF(ABS(J1215-L1215)&lt;0.005,"ตรงกัน","ไม่ตรง"))</f>
        <v/>
      </c>
      <c r="N1215" s="14">
        <f>IF(L1215="","",ROUND(L1215*'สรุป'!$C$6,-1))</f>
        <v/>
      </c>
      <c r="O1215" s="15" t="n"/>
      <c r="P1215" s="15" t="n"/>
      <c r="Q1215" s="10" t="n"/>
      <c r="R1215" s="10" t="n"/>
      <c r="S1215" s="16" t="inlineStr">
        <is>
          <t>https://mstgolf.co.th/products/gf2500200805</t>
        </is>
      </c>
      <c r="T1215" s="1">
        <f>IF(B1215="ไม้กอล์ฟ",J1215,"")</f>
        <v/>
      </c>
    </row>
    <row r="1216">
      <c r="A1216" s="1" t="n">
        <v>2</v>
      </c>
      <c r="B1216" s="1" t="inlineStr">
        <is>
          <t>ถุงมือ</t>
        </is>
      </c>
      <c r="C1216" s="1" t="inlineStr">
        <is>
          <t>gf3020100201</t>
        </is>
      </c>
      <c r="D1216" s="1" t="inlineStr">
        <is>
          <t>UNDER ARMOUR Spieth Tour Men's Leather Glove (White/Black)</t>
        </is>
      </c>
      <c r="E1216" s="1" t="inlineStr">
        <is>
          <t>UNDER ARMOUR</t>
        </is>
      </c>
      <c r="F1216" s="1" t="inlineStr">
        <is>
          <t>LEATHER</t>
        </is>
      </c>
      <c r="G1216" s="1" t="inlineStr">
        <is>
          <t>GF3020100201MD</t>
        </is>
      </c>
      <c r="H1216" s="1" t="n">
        <v>6</v>
      </c>
      <c r="I1216" s="1" t="inlineStr">
        <is>
          <t>มี</t>
        </is>
      </c>
      <c r="J1216" s="13" t="n">
        <v>45</v>
      </c>
      <c r="K1216" s="1" t="inlineStr"/>
      <c r="L1216" s="13" t="n">
        <v>45</v>
      </c>
      <c r="M1216" s="1">
        <f>IF(L1216="","ไม่พบใน SG",IF(ABS(J1216-L1216)&lt;0.005,"ตรงกัน","ไม่ตรง"))</f>
        <v/>
      </c>
      <c r="N1216" s="14">
        <f>IF(L1216="","",ROUND(L1216*'สรุป'!$C$6,-1))</f>
        <v/>
      </c>
      <c r="O1216" s="15" t="n"/>
      <c r="P1216" s="15" t="n"/>
      <c r="Q1216" s="10" t="n"/>
      <c r="R1216" s="10" t="n"/>
      <c r="S1216" s="16" t="inlineStr">
        <is>
          <t>https://mstgolf.co.th/products/gf3020100201</t>
        </is>
      </c>
      <c r="T1216" s="1">
        <f>IF(B1216="ไม้กอล์ฟ",J1216,"")</f>
        <v/>
      </c>
    </row>
    <row r="1217">
      <c r="A1217" s="1" t="n">
        <v>2</v>
      </c>
      <c r="B1217" s="1" t="inlineStr">
        <is>
          <t>ถุงมือ</t>
        </is>
      </c>
      <c r="C1217" s="1" t="inlineStr">
        <is>
          <t>gf3020100270</t>
        </is>
      </c>
      <c r="D1217" s="1" t="inlineStr">
        <is>
          <t>UNDER ARMOUR Tour Leather Men's Glove (White)</t>
        </is>
      </c>
      <c r="E1217" s="1" t="inlineStr">
        <is>
          <t>UNDER ARMOUR</t>
        </is>
      </c>
      <c r="F1217" s="1" t="inlineStr">
        <is>
          <t>LEATHER</t>
        </is>
      </c>
      <c r="G1217" s="1" t="inlineStr">
        <is>
          <t>GF3020100270MD</t>
        </is>
      </c>
      <c r="H1217" s="1" t="n">
        <v>6</v>
      </c>
      <c r="I1217" s="1" t="inlineStr">
        <is>
          <t>มี</t>
        </is>
      </c>
      <c r="J1217" s="13" t="n">
        <v>45</v>
      </c>
      <c r="K1217" s="1" t="inlineStr"/>
      <c r="L1217" s="13" t="n">
        <v>45</v>
      </c>
      <c r="M1217" s="1">
        <f>IF(L1217="","ไม่พบใน SG",IF(ABS(J1217-L1217)&lt;0.005,"ตรงกัน","ไม่ตรง"))</f>
        <v/>
      </c>
      <c r="N1217" s="14">
        <f>IF(L1217="","",ROUND(L1217*'สรุป'!$C$6,-1))</f>
        <v/>
      </c>
      <c r="O1217" s="15" t="n"/>
      <c r="P1217" s="15" t="n"/>
      <c r="Q1217" s="10" t="n"/>
      <c r="R1217" s="10" t="n"/>
      <c r="S1217" s="16" t="inlineStr">
        <is>
          <t>https://mstgolf.co.th/products/gf3020100270</t>
        </is>
      </c>
      <c r="T1217" s="1">
        <f>IF(B1217="ไม้กอล์ฟ",J1217,"")</f>
        <v/>
      </c>
    </row>
    <row r="1218">
      <c r="A1218" s="1" t="n">
        <v>2</v>
      </c>
      <c r="B1218" s="1" t="inlineStr">
        <is>
          <t>ลูกกอล์ฟ</t>
        </is>
      </c>
      <c r="C1218" s="1" t="inlineStr">
        <is>
          <t>gf3200300044</t>
        </is>
      </c>
      <c r="D1218" s="1" t="inlineStr">
        <is>
          <t>TAYLORMADE V3 Urethane (2019) Golf Ball</t>
        </is>
      </c>
      <c r="E1218" s="1" t="inlineStr">
        <is>
          <t>TAYLORMADE</t>
        </is>
      </c>
      <c r="F1218" s="1" t="inlineStr">
        <is>
          <t>SPIN</t>
        </is>
      </c>
      <c r="G1218" s="1" t="inlineStr">
        <is>
          <t>GF3200300044</t>
        </is>
      </c>
      <c r="H1218" s="1" t="n">
        <v>1</v>
      </c>
      <c r="I1218" s="1" t="inlineStr">
        <is>
          <t>มี</t>
        </is>
      </c>
      <c r="J1218" s="13" t="n">
        <v>44</v>
      </c>
      <c r="K1218" s="1" t="inlineStr"/>
      <c r="L1218" s="13" t="n">
        <v>44</v>
      </c>
      <c r="M1218" s="1">
        <f>IF(L1218="","ไม่พบใน SG",IF(ABS(J1218-L1218)&lt;0.005,"ตรงกัน","ไม่ตรง"))</f>
        <v/>
      </c>
      <c r="N1218" s="14">
        <f>IF(L1218="","",ROUND(L1218*'สรุป'!$C$6,-1))</f>
        <v/>
      </c>
      <c r="O1218" s="15" t="n"/>
      <c r="P1218" s="15" t="n"/>
      <c r="Q1218" s="10" t="n"/>
      <c r="R1218" s="10" t="n"/>
      <c r="S1218" s="16" t="inlineStr">
        <is>
          <t>https://mstgolf.co.th/products/gf3200300044</t>
        </is>
      </c>
      <c r="T1218" s="1">
        <f>IF(B1218="ไม้กอล์ฟ",J1218,"")</f>
        <v/>
      </c>
    </row>
    <row r="1219">
      <c r="A1219" s="1" t="n">
        <v>2</v>
      </c>
      <c r="B1219" s="1" t="inlineStr">
        <is>
          <t>ถุงมือ</t>
        </is>
      </c>
      <c r="C1219" s="1" t="inlineStr">
        <is>
          <t>gf3020200650</t>
        </is>
      </c>
      <c r="D1219" s="1" t="inlineStr">
        <is>
          <t>FOOTJOY GTXreme Women's Pair Gloves (Assorted)</t>
        </is>
      </c>
      <c r="E1219" s="1" t="inlineStr">
        <is>
          <t>FOOTJOY</t>
        </is>
      </c>
      <c r="F1219" s="1" t="inlineStr">
        <is>
          <t>ALL WEATHER</t>
        </is>
      </c>
      <c r="G1219" s="1" t="inlineStr">
        <is>
          <t>GF302020065018</t>
        </is>
      </c>
      <c r="H1219" s="1" t="n">
        <v>5</v>
      </c>
      <c r="I1219" s="1" t="inlineStr">
        <is>
          <t>มี</t>
        </is>
      </c>
      <c r="J1219" s="13" t="n">
        <v>42</v>
      </c>
      <c r="K1219" s="1" t="inlineStr"/>
      <c r="L1219" s="13" t="n">
        <v>42</v>
      </c>
      <c r="M1219" s="1">
        <f>IF(L1219="","ไม่พบใน SG",IF(ABS(J1219-L1219)&lt;0.005,"ตรงกัน","ไม่ตรง"))</f>
        <v/>
      </c>
      <c r="N1219" s="14">
        <f>IF(L1219="","",ROUND(L1219*'สรุป'!$C$6,-1))</f>
        <v/>
      </c>
      <c r="O1219" s="15" t="n"/>
      <c r="P1219" s="15" t="n"/>
      <c r="Q1219" s="10" t="n"/>
      <c r="R1219" s="10" t="n"/>
      <c r="S1219" s="16" t="inlineStr">
        <is>
          <t>https://mstgolf.co.th/products/gf3020200650</t>
        </is>
      </c>
      <c r="T1219" s="1">
        <f>IF(B1219="ไม้กอล์ฟ",J1219,"")</f>
        <v/>
      </c>
    </row>
    <row r="1220">
      <c r="A1220" s="1" t="n">
        <v>2</v>
      </c>
      <c r="B1220" s="1" t="inlineStr">
        <is>
          <t>ถุงมือ</t>
        </is>
      </c>
      <c r="C1220" s="1" t="inlineStr">
        <is>
          <t>gf3020100285</t>
        </is>
      </c>
      <c r="D1220" s="1" t="inlineStr">
        <is>
          <t>PING TR 251 Cadet Men's Leather Glove (White)</t>
        </is>
      </c>
      <c r="E1220" s="1" t="inlineStr">
        <is>
          <t>PING</t>
        </is>
      </c>
      <c r="F1220" s="1" t="inlineStr">
        <is>
          <t>LEATHER</t>
        </is>
      </c>
      <c r="G1220" s="1" t="inlineStr">
        <is>
          <t>GF3020100285S</t>
        </is>
      </c>
      <c r="H1220" s="1" t="n">
        <v>5</v>
      </c>
      <c r="I1220" s="1" t="inlineStr">
        <is>
          <t>มี</t>
        </is>
      </c>
      <c r="J1220" s="13" t="n">
        <v>42</v>
      </c>
      <c r="K1220" s="1" t="inlineStr"/>
      <c r="L1220" s="13" t="n">
        <v>42</v>
      </c>
      <c r="M1220" s="1">
        <f>IF(L1220="","ไม่พบใน SG",IF(ABS(J1220-L1220)&lt;0.005,"ตรงกัน","ไม่ตรง"))</f>
        <v/>
      </c>
      <c r="N1220" s="14">
        <f>IF(L1220="","",ROUND(L1220*'สรุป'!$C$6,-1))</f>
        <v/>
      </c>
      <c r="O1220" s="15" t="n"/>
      <c r="P1220" s="15" t="n"/>
      <c r="Q1220" s="10" t="n"/>
      <c r="R1220" s="10" t="n"/>
      <c r="S1220" s="16" t="inlineStr">
        <is>
          <t>https://mstgolf.co.th/products/gf3020100285</t>
        </is>
      </c>
      <c r="T1220" s="1">
        <f>IF(B1220="ไม้กอล์ฟ",J1220,"")</f>
        <v/>
      </c>
    </row>
    <row r="1221">
      <c r="A1221" s="1" t="n">
        <v>2</v>
      </c>
      <c r="B1221" s="1" t="inlineStr">
        <is>
          <t>ถุงมือ</t>
        </is>
      </c>
      <c r="C1221" s="1" t="inlineStr">
        <is>
          <t>gf3020100230</t>
        </is>
      </c>
      <c r="D1221" s="1" t="inlineStr">
        <is>
          <t>FOOTJOY StaSof Women's Leather Pair Gloves (Pearl)</t>
        </is>
      </c>
      <c r="E1221" s="1" t="inlineStr">
        <is>
          <t>FOOTJOY</t>
        </is>
      </c>
      <c r="F1221" s="1" t="inlineStr">
        <is>
          <t>LEATHER</t>
        </is>
      </c>
      <c r="G1221" s="1" t="inlineStr">
        <is>
          <t>GF302010023018</t>
        </is>
      </c>
      <c r="H1221" s="1" t="n">
        <v>5</v>
      </c>
      <c r="I1221" s="1" t="inlineStr">
        <is>
          <t>มี</t>
        </is>
      </c>
      <c r="J1221" s="13" t="n">
        <v>41</v>
      </c>
      <c r="K1221" s="1" t="inlineStr"/>
      <c r="L1221" s="13" t="n">
        <v>38</v>
      </c>
      <c r="M1221" s="1">
        <f>IF(L1221="","ไม่พบใน SG",IF(ABS(J1221-L1221)&lt;0.005,"ตรงกัน","ไม่ตรง"))</f>
        <v/>
      </c>
      <c r="N1221" s="14">
        <f>IF(L1221="","",ROUND(L1221*'สรุป'!$C$6,-1))</f>
        <v/>
      </c>
      <c r="O1221" s="15" t="n"/>
      <c r="P1221" s="15" t="n"/>
      <c r="Q1221" s="10" t="n"/>
      <c r="R1221" s="10" t="n"/>
      <c r="S1221" s="16" t="inlineStr">
        <is>
          <t>https://mstgolf.co.th/products/gf3020100230</t>
        </is>
      </c>
      <c r="T1221" s="1">
        <f>IF(B1221="ไม้กอล์ฟ",J1221,"")</f>
        <v/>
      </c>
    </row>
    <row r="1222">
      <c r="A1222" s="1" t="n">
        <v>2</v>
      </c>
      <c r="B1222" s="1" t="inlineStr">
        <is>
          <t>ถุงมือ</t>
        </is>
      </c>
      <c r="C1222" s="1" t="inlineStr">
        <is>
          <t>gf3020100232</t>
        </is>
      </c>
      <c r="D1222" s="1" t="inlineStr">
        <is>
          <t>FOOTJOY Stasof Leather Glove (Black)</t>
        </is>
      </c>
      <c r="E1222" s="1" t="inlineStr">
        <is>
          <t>FOOTJOY</t>
        </is>
      </c>
      <c r="F1222" s="1" t="inlineStr">
        <is>
          <t>LEATHER</t>
        </is>
      </c>
      <c r="G1222" s="1" t="inlineStr">
        <is>
          <t>GF302010023221</t>
        </is>
      </c>
      <c r="H1222" s="1" t="n">
        <v>7</v>
      </c>
      <c r="I1222" s="1" t="inlineStr">
        <is>
          <t>มี</t>
        </is>
      </c>
      <c r="J1222" s="13" t="n">
        <v>41</v>
      </c>
      <c r="K1222" s="1" t="inlineStr"/>
      <c r="L1222" s="13" t="n">
        <v>38</v>
      </c>
      <c r="M1222" s="1">
        <f>IF(L1222="","ไม่พบใน SG",IF(ABS(J1222-L1222)&lt;0.005,"ตรงกัน","ไม่ตรง"))</f>
        <v/>
      </c>
      <c r="N1222" s="14">
        <f>IF(L1222="","",ROUND(L1222*'สรุป'!$C$6,-1))</f>
        <v/>
      </c>
      <c r="O1222" s="15" t="n"/>
      <c r="P1222" s="15" t="n"/>
      <c r="Q1222" s="10" t="n"/>
      <c r="R1222" s="10" t="n"/>
      <c r="S1222" s="16" t="inlineStr">
        <is>
          <t>https://mstgolf.co.th/products/gf3020100232</t>
        </is>
      </c>
      <c r="T1222" s="1">
        <f>IF(B1222="ไม้กอล์ฟ",J1222,"")</f>
        <v/>
      </c>
    </row>
    <row r="1223">
      <c r="A1223" s="1" t="n">
        <v>2</v>
      </c>
      <c r="B1223" s="1" t="inlineStr">
        <is>
          <t>ถุงมือ</t>
        </is>
      </c>
      <c r="C1223" s="1" t="inlineStr">
        <is>
          <t>gf3020100231</t>
        </is>
      </c>
      <c r="D1223" s="1" t="inlineStr">
        <is>
          <t>FOOTJOY Stasof Left Hand Leather Glove (Pearl)</t>
        </is>
      </c>
      <c r="E1223" s="1" t="inlineStr">
        <is>
          <t>FOOTJOY</t>
        </is>
      </c>
      <c r="F1223" s="1" t="inlineStr">
        <is>
          <t>LEATHER</t>
        </is>
      </c>
      <c r="G1223" s="1" t="inlineStr">
        <is>
          <t>GF302010023121</t>
        </is>
      </c>
      <c r="H1223" s="1" t="n">
        <v>7</v>
      </c>
      <c r="I1223" s="1" t="inlineStr">
        <is>
          <t>มี</t>
        </is>
      </c>
      <c r="J1223" s="13" t="n">
        <v>41</v>
      </c>
      <c r="K1223" s="1" t="inlineStr"/>
      <c r="L1223" s="13" t="n">
        <v>38</v>
      </c>
      <c r="M1223" s="1">
        <f>IF(L1223="","ไม่พบใน SG",IF(ABS(J1223-L1223)&lt;0.005,"ตรงกัน","ไม่ตรง"))</f>
        <v/>
      </c>
      <c r="N1223" s="14">
        <f>IF(L1223="","",ROUND(L1223*'สรุป'!$C$6,-1))</f>
        <v/>
      </c>
      <c r="O1223" s="15" t="n"/>
      <c r="P1223" s="15" t="n"/>
      <c r="Q1223" s="10" t="n"/>
      <c r="R1223" s="10" t="n"/>
      <c r="S1223" s="16" t="inlineStr">
        <is>
          <t>https://mstgolf.co.th/products/gf3020100231</t>
        </is>
      </c>
      <c r="T1223" s="1">
        <f>IF(B1223="ไม้กอล์ฟ",J1223,"")</f>
        <v/>
      </c>
    </row>
    <row r="1224">
      <c r="A1224" s="1" t="n">
        <v>2</v>
      </c>
      <c r="B1224" s="1" t="inlineStr">
        <is>
          <t>ถุงกอล์ฟ</t>
        </is>
      </c>
      <c r="C1224" s="1" t="inlineStr">
        <is>
          <t>gf3010200672</t>
        </is>
      </c>
      <c r="D1224" s="1" t="inlineStr">
        <is>
          <t>ADIDAS Shoe Bag (Black)</t>
        </is>
      </c>
      <c r="E1224" s="1" t="inlineStr">
        <is>
          <t>ADIDAS</t>
        </is>
      </c>
      <c r="F1224" s="1" t="inlineStr">
        <is>
          <t>SHOES BAG</t>
        </is>
      </c>
      <c r="G1224" s="1" t="inlineStr">
        <is>
          <t>GF3010200672</t>
        </is>
      </c>
      <c r="H1224" s="1" t="n">
        <v>1</v>
      </c>
      <c r="I1224" s="1" t="inlineStr">
        <is>
          <t>มี</t>
        </is>
      </c>
      <c r="J1224" s="13" t="n">
        <v>40</v>
      </c>
      <c r="K1224" s="1" t="inlineStr"/>
      <c r="L1224" s="13" t="n">
        <v>40</v>
      </c>
      <c r="M1224" s="1">
        <f>IF(L1224="","ไม่พบใน SG",IF(ABS(J1224-L1224)&lt;0.005,"ตรงกัน","ไม่ตรง"))</f>
        <v/>
      </c>
      <c r="N1224" s="14">
        <f>IF(L1224="","",ROUND(L1224*'สรุป'!$C$6,-1))</f>
        <v/>
      </c>
      <c r="O1224" s="15" t="n"/>
      <c r="P1224" s="15" t="n"/>
      <c r="Q1224" s="10" t="n"/>
      <c r="R1224" s="10" t="n"/>
      <c r="S1224" s="16" t="inlineStr">
        <is>
          <t>https://mstgolf.co.th/products/gf3010200672</t>
        </is>
      </c>
      <c r="T1224" s="1">
        <f>IF(B1224="ไม้กอล์ฟ",J1224,"")</f>
        <v/>
      </c>
    </row>
    <row r="1225">
      <c r="A1225" s="1" t="n">
        <v>2</v>
      </c>
      <c r="B1225" s="1" t="inlineStr">
        <is>
          <t>ถุงกอล์ฟ</t>
        </is>
      </c>
      <c r="C1225" s="1" t="inlineStr">
        <is>
          <t>gf3010200673</t>
        </is>
      </c>
      <c r="D1225" s="1" t="inlineStr">
        <is>
          <t>ADIDAS Shoe Bag (Black/Orange)</t>
        </is>
      </c>
      <c r="E1225" s="1" t="inlineStr">
        <is>
          <t>ADIDAS</t>
        </is>
      </c>
      <c r="F1225" s="1" t="inlineStr">
        <is>
          <t>SHOES BAG</t>
        </is>
      </c>
      <c r="G1225" s="1" t="inlineStr">
        <is>
          <t>GF3010200673</t>
        </is>
      </c>
      <c r="H1225" s="1" t="n">
        <v>1</v>
      </c>
      <c r="I1225" s="1" t="inlineStr">
        <is>
          <t>มี</t>
        </is>
      </c>
      <c r="J1225" s="13" t="n">
        <v>40</v>
      </c>
      <c r="K1225" s="1" t="inlineStr"/>
      <c r="L1225" s="13" t="n">
        <v>29</v>
      </c>
      <c r="M1225" s="1">
        <f>IF(L1225="","ไม่พบใน SG",IF(ABS(J1225-L1225)&lt;0.005,"ตรงกัน","ไม่ตรง"))</f>
        <v/>
      </c>
      <c r="N1225" s="14">
        <f>IF(L1225="","",ROUND(L1225*'สรุป'!$C$6,-1))</f>
        <v/>
      </c>
      <c r="O1225" s="15" t="n"/>
      <c r="P1225" s="15" t="n"/>
      <c r="Q1225" s="10" t="n"/>
      <c r="R1225" s="10" t="n"/>
      <c r="S1225" s="16" t="inlineStr">
        <is>
          <t>https://mstgolf.co.th/products/gf3010200673</t>
        </is>
      </c>
      <c r="T1225" s="1">
        <f>IF(B1225="ไม้กอล์ฟ",J1225,"")</f>
        <v/>
      </c>
    </row>
    <row r="1226">
      <c r="A1226" s="1" t="n">
        <v>2</v>
      </c>
      <c r="B1226" s="1" t="inlineStr">
        <is>
          <t>ถุงกอล์ฟ</t>
        </is>
      </c>
      <c r="C1226" s="1" t="inlineStr">
        <is>
          <t>gf3010400848</t>
        </is>
      </c>
      <c r="D1226" s="1" t="inlineStr">
        <is>
          <t>TITLEIST Next Gen Valuables Pouch (Black)</t>
        </is>
      </c>
      <c r="E1226" s="1" t="inlineStr">
        <is>
          <t>TITLEIST</t>
        </is>
      </c>
      <c r="F1226" s="1" t="inlineStr">
        <is>
          <t>SMALL BAG</t>
        </is>
      </c>
      <c r="G1226" s="1" t="inlineStr">
        <is>
          <t>GF3010400848</t>
        </is>
      </c>
      <c r="H1226" s="1" t="n">
        <v>1</v>
      </c>
      <c r="I1226" s="1" t="inlineStr">
        <is>
          <t>มี</t>
        </is>
      </c>
      <c r="J1226" s="13" t="n">
        <v>40</v>
      </c>
      <c r="K1226" s="1" t="inlineStr"/>
      <c r="L1226" s="13" t="n">
        <v>40</v>
      </c>
      <c r="M1226" s="1">
        <f>IF(L1226="","ไม่พบใน SG",IF(ABS(J1226-L1226)&lt;0.005,"ตรงกัน","ไม่ตรง"))</f>
        <v/>
      </c>
      <c r="N1226" s="14">
        <f>IF(L1226="","",ROUND(L1226*'สรุป'!$C$6,-1))</f>
        <v/>
      </c>
      <c r="O1226" s="15" t="n"/>
      <c r="P1226" s="15" t="n"/>
      <c r="Q1226" s="10" t="n"/>
      <c r="R1226" s="10" t="n"/>
      <c r="S1226" s="16" t="inlineStr">
        <is>
          <t>https://mstgolf.co.th/products/gf3010400848</t>
        </is>
      </c>
      <c r="T1226" s="1">
        <f>IF(B1226="ไม้กอล์ฟ",J1226,"")</f>
        <v/>
      </c>
    </row>
    <row r="1227">
      <c r="A1227" s="1" t="n">
        <v>2</v>
      </c>
      <c r="B1227" s="1" t="inlineStr">
        <is>
          <t>ถุงกอล์ฟ</t>
        </is>
      </c>
      <c r="C1227" s="1" t="inlineStr">
        <is>
          <t>gf3010400849</t>
        </is>
      </c>
      <c r="D1227" s="1" t="inlineStr">
        <is>
          <t>TITLEIST Next Gen Valuables Pouch (Black/Red)</t>
        </is>
      </c>
      <c r="E1227" s="1" t="inlineStr">
        <is>
          <t>TITLEIST</t>
        </is>
      </c>
      <c r="F1227" s="1" t="inlineStr">
        <is>
          <t>SMALL BAG</t>
        </is>
      </c>
      <c r="G1227" s="1" t="inlineStr">
        <is>
          <t>GF3010400849</t>
        </is>
      </c>
      <c r="H1227" s="1" t="n">
        <v>1</v>
      </c>
      <c r="I1227" s="1" t="inlineStr">
        <is>
          <t>มี</t>
        </is>
      </c>
      <c r="J1227" s="13" t="n">
        <v>40</v>
      </c>
      <c r="K1227" s="1" t="inlineStr"/>
      <c r="L1227" s="13" t="n">
        <v>40</v>
      </c>
      <c r="M1227" s="1">
        <f>IF(L1227="","ไม่พบใน SG",IF(ABS(J1227-L1227)&lt;0.005,"ตรงกัน","ไม่ตรง"))</f>
        <v/>
      </c>
      <c r="N1227" s="14">
        <f>IF(L1227="","",ROUND(L1227*'สรุป'!$C$6,-1))</f>
        <v/>
      </c>
      <c r="O1227" s="15" t="n"/>
      <c r="P1227" s="15" t="n"/>
      <c r="Q1227" s="10" t="n"/>
      <c r="R1227" s="10" t="n"/>
      <c r="S1227" s="16" t="inlineStr">
        <is>
          <t>https://mstgolf.co.th/products/gf3010400849</t>
        </is>
      </c>
      <c r="T1227" s="1">
        <f>IF(B1227="ไม้กอล์ฟ",J1227,"")</f>
        <v/>
      </c>
    </row>
    <row r="1228">
      <c r="A1228" s="1" t="n">
        <v>2</v>
      </c>
      <c r="B1228" s="1" t="inlineStr">
        <is>
          <t>ถุงกอล์ฟ</t>
        </is>
      </c>
      <c r="C1228" s="1" t="inlineStr">
        <is>
          <t>gf3000300401</t>
        </is>
      </c>
      <c r="D1228" s="1" t="inlineStr">
        <is>
          <t>CUTTER &amp; BUCK Soft Range Bag (Khaki)</t>
        </is>
      </c>
      <c r="E1228" s="1" t="inlineStr">
        <is>
          <t>CUTTER &amp; BUCK</t>
        </is>
      </c>
      <c r="F1228" s="1" t="inlineStr">
        <is>
          <t>RANGE BAG</t>
        </is>
      </c>
      <c r="G1228" s="1" t="inlineStr">
        <is>
          <t>GF3000300401</t>
        </is>
      </c>
      <c r="H1228" s="1" t="n">
        <v>1</v>
      </c>
      <c r="I1228" s="1" t="inlineStr">
        <is>
          <t>มี</t>
        </is>
      </c>
      <c r="J1228" s="13" t="n">
        <v>39</v>
      </c>
      <c r="K1228" s="1" t="inlineStr"/>
      <c r="L1228" s="13" t="n">
        <v>39</v>
      </c>
      <c r="M1228" s="1">
        <f>IF(L1228="","ไม่พบใน SG",IF(ABS(J1228-L1228)&lt;0.005,"ตรงกัน","ไม่ตรง"))</f>
        <v/>
      </c>
      <c r="N1228" s="14">
        <f>IF(L1228="","",ROUND(L1228*'สรุป'!$C$6,-1))</f>
        <v/>
      </c>
      <c r="O1228" s="15" t="n"/>
      <c r="P1228" s="15" t="n"/>
      <c r="Q1228" s="10" t="n"/>
      <c r="R1228" s="10" t="n"/>
      <c r="S1228" s="16" t="inlineStr">
        <is>
          <t>https://mstgolf.co.th/products/gf3000300401</t>
        </is>
      </c>
      <c r="T1228" s="1">
        <f>IF(B1228="ไม้กอล์ฟ",J1228,"")</f>
        <v/>
      </c>
    </row>
    <row r="1229">
      <c r="A1229" s="1" t="n">
        <v>2</v>
      </c>
      <c r="B1229" s="1" t="inlineStr">
        <is>
          <t>ถุงกอล์ฟ</t>
        </is>
      </c>
      <c r="C1229" s="1" t="inlineStr">
        <is>
          <t>gf3010401244</t>
        </is>
      </c>
      <c r="D1229" s="1" t="inlineStr">
        <is>
          <t>DISNEY Star Wars Pouch (Beige)</t>
        </is>
      </c>
      <c r="E1229" s="1" t="inlineStr">
        <is>
          <t>DISNEY</t>
        </is>
      </c>
      <c r="F1229" s="1" t="inlineStr">
        <is>
          <t>SMALL BAG</t>
        </is>
      </c>
      <c r="G1229" s="1" t="inlineStr">
        <is>
          <t>GF3010401244</t>
        </is>
      </c>
      <c r="H1229" s="1" t="n">
        <v>1</v>
      </c>
      <c r="I1229" s="1" t="inlineStr">
        <is>
          <t>มี</t>
        </is>
      </c>
      <c r="J1229" s="13" t="n">
        <v>39</v>
      </c>
      <c r="K1229" s="1" t="inlineStr"/>
      <c r="L1229" s="13" t="n">
        <v>39</v>
      </c>
      <c r="M1229" s="1">
        <f>IF(L1229="","ไม่พบใน SG",IF(ABS(J1229-L1229)&lt;0.005,"ตรงกัน","ไม่ตรง"))</f>
        <v/>
      </c>
      <c r="N1229" s="14">
        <f>IF(L1229="","",ROUND(L1229*'สรุป'!$C$6,-1))</f>
        <v/>
      </c>
      <c r="O1229" s="15" t="n"/>
      <c r="P1229" s="15" t="n"/>
      <c r="Q1229" s="10" t="n"/>
      <c r="R1229" s="10" t="n"/>
      <c r="S1229" s="16" t="inlineStr">
        <is>
          <t>https://mstgolf.co.th/products/gf3010401244</t>
        </is>
      </c>
      <c r="T1229" s="1">
        <f>IF(B1229="ไม้กอล์ฟ",J1229,"")</f>
        <v/>
      </c>
    </row>
    <row r="1230">
      <c r="A1230" s="1" t="n">
        <v>2</v>
      </c>
      <c r="B1230" s="1" t="inlineStr">
        <is>
          <t>ถุงกอล์ฟ</t>
        </is>
      </c>
      <c r="C1230" s="1" t="inlineStr">
        <is>
          <t>gf3010401245</t>
        </is>
      </c>
      <c r="D1230" s="1" t="inlineStr">
        <is>
          <t>DISNEY Star Wars Pouch (Black)</t>
        </is>
      </c>
      <c r="E1230" s="1" t="inlineStr">
        <is>
          <t>DISNEY</t>
        </is>
      </c>
      <c r="F1230" s="1" t="inlineStr">
        <is>
          <t>SMALL BAG</t>
        </is>
      </c>
      <c r="G1230" s="1" t="inlineStr">
        <is>
          <t>GF3010401245</t>
        </is>
      </c>
      <c r="H1230" s="1" t="n">
        <v>1</v>
      </c>
      <c r="I1230" s="1" t="inlineStr">
        <is>
          <t>มี</t>
        </is>
      </c>
      <c r="J1230" s="13" t="n">
        <v>39</v>
      </c>
      <c r="K1230" s="1" t="inlineStr"/>
      <c r="L1230" s="13" t="n">
        <v>39</v>
      </c>
      <c r="M1230" s="1">
        <f>IF(L1230="","ไม่พบใน SG",IF(ABS(J1230-L1230)&lt;0.005,"ตรงกัน","ไม่ตรง"))</f>
        <v/>
      </c>
      <c r="N1230" s="14">
        <f>IF(L1230="","",ROUND(L1230*'สรุป'!$C$6,-1))</f>
        <v/>
      </c>
      <c r="O1230" s="15" t="n"/>
      <c r="P1230" s="15" t="n"/>
      <c r="Q1230" s="10" t="n"/>
      <c r="R1230" s="10" t="n"/>
      <c r="S1230" s="16" t="inlineStr">
        <is>
          <t>https://mstgolf.co.th/products/gf3010401245</t>
        </is>
      </c>
      <c r="T1230" s="1">
        <f>IF(B1230="ไม้กอล์ฟ",J1230,"")</f>
        <v/>
      </c>
    </row>
    <row r="1231">
      <c r="A1231" s="1" t="n">
        <v>2</v>
      </c>
      <c r="B1231" s="1" t="inlineStr">
        <is>
          <t>ถุงมือ</t>
        </is>
      </c>
      <c r="C1231" s="1" t="inlineStr">
        <is>
          <t>gf3020100207</t>
        </is>
      </c>
      <c r="D1231" s="1" t="inlineStr">
        <is>
          <t>GFORE CO/LEATHER SKULL LH GLOVE</t>
        </is>
      </c>
      <c r="E1231" s="1" t="inlineStr">
        <is>
          <t>GFORE</t>
        </is>
      </c>
      <c r="F1231" s="1" t="inlineStr">
        <is>
          <t>LEATHER</t>
        </is>
      </c>
      <c r="G1231" s="1" t="inlineStr">
        <is>
          <t>GF3020100207S</t>
        </is>
      </c>
      <c r="H1231" s="1" t="n">
        <v>5</v>
      </c>
      <c r="I1231" s="1" t="inlineStr">
        <is>
          <t>มี</t>
        </is>
      </c>
      <c r="J1231" s="13" t="n">
        <v>39</v>
      </c>
      <c r="K1231" s="1" t="inlineStr"/>
      <c r="L1231" s="13" t="n">
        <v>39</v>
      </c>
      <c r="M1231" s="1">
        <f>IF(L1231="","ไม่พบใน SG",IF(ABS(J1231-L1231)&lt;0.005,"ตรงกัน","ไม่ตรง"))</f>
        <v/>
      </c>
      <c r="N1231" s="14">
        <f>IF(L1231="","",ROUND(L1231*'สรุป'!$C$6,-1))</f>
        <v/>
      </c>
      <c r="O1231" s="15" t="n"/>
      <c r="P1231" s="15" t="n"/>
      <c r="Q1231" s="10" t="n"/>
      <c r="R1231" s="10" t="n"/>
      <c r="S1231" s="16" t="inlineStr">
        <is>
          <t>https://mstgolf.co.th/products/gf3020100207</t>
        </is>
      </c>
      <c r="T1231" s="1">
        <f>IF(B1231="ไม้กอล์ฟ",J1231,"")</f>
        <v/>
      </c>
    </row>
    <row r="1232">
      <c r="A1232" s="1" t="n">
        <v>2</v>
      </c>
      <c r="B1232" s="1" t="inlineStr">
        <is>
          <t>ถุงมือ</t>
        </is>
      </c>
      <c r="C1232" s="1" t="inlineStr">
        <is>
          <t>gf3020100220</t>
        </is>
      </c>
      <c r="D1232" s="1" t="inlineStr">
        <is>
          <t>GFORE Collection Men's Leather Glove (Khaki)</t>
        </is>
      </c>
      <c r="E1232" s="1" t="inlineStr">
        <is>
          <t>GFORE</t>
        </is>
      </c>
      <c r="F1232" s="1" t="inlineStr">
        <is>
          <t>LEATHER</t>
        </is>
      </c>
      <c r="G1232" s="1" t="inlineStr">
        <is>
          <t>GF3020100220S</t>
        </is>
      </c>
      <c r="H1232" s="1" t="n">
        <v>5</v>
      </c>
      <c r="I1232" s="1" t="inlineStr">
        <is>
          <t>มี</t>
        </is>
      </c>
      <c r="J1232" s="13" t="n">
        <v>39</v>
      </c>
      <c r="K1232" s="1" t="inlineStr"/>
      <c r="L1232" s="13" t="n">
        <v>39</v>
      </c>
      <c r="M1232" s="1">
        <f>IF(L1232="","ไม่พบใน SG",IF(ABS(J1232-L1232)&lt;0.005,"ตรงกัน","ไม่ตรง"))</f>
        <v/>
      </c>
      <c r="N1232" s="14">
        <f>IF(L1232="","",ROUND(L1232*'สรุป'!$C$6,-1))</f>
        <v/>
      </c>
      <c r="O1232" s="15" t="n"/>
      <c r="P1232" s="15" t="n"/>
      <c r="Q1232" s="10" t="n"/>
      <c r="R1232" s="10" t="n"/>
      <c r="S1232" s="16" t="inlineStr">
        <is>
          <t>https://mstgolf.co.th/products/gf3020100220</t>
        </is>
      </c>
      <c r="T1232" s="1">
        <f>IF(B1232="ไม้กอล์ฟ",J1232,"")</f>
        <v/>
      </c>
    </row>
    <row r="1233">
      <c r="A1233" s="1" t="n">
        <v>2</v>
      </c>
      <c r="B1233" s="1" t="inlineStr">
        <is>
          <t>ถุงมือ</t>
        </is>
      </c>
      <c r="C1233" s="1" t="inlineStr">
        <is>
          <t>gf3020100188</t>
        </is>
      </c>
      <c r="D1233" s="1" t="inlineStr">
        <is>
          <t>GFORE Delta Force Camo Men's Leather Glove (Charcoal)</t>
        </is>
      </c>
      <c r="E1233" s="1" t="inlineStr">
        <is>
          <t>GFORE</t>
        </is>
      </c>
      <c r="F1233" s="1" t="inlineStr">
        <is>
          <t>LEATHER</t>
        </is>
      </c>
      <c r="G1233" s="1" t="inlineStr">
        <is>
          <t>GF3020100188S</t>
        </is>
      </c>
      <c r="H1233" s="1" t="n">
        <v>5</v>
      </c>
      <c r="I1233" s="1" t="inlineStr">
        <is>
          <t>มี</t>
        </is>
      </c>
      <c r="J1233" s="13" t="n">
        <v>39</v>
      </c>
      <c r="K1233" s="1" t="inlineStr"/>
      <c r="L1233" s="13" t="n">
        <v>39</v>
      </c>
      <c r="M1233" s="1">
        <f>IF(L1233="","ไม่พบใน SG",IF(ABS(J1233-L1233)&lt;0.005,"ตรงกัน","ไม่ตรง"))</f>
        <v/>
      </c>
      <c r="N1233" s="14">
        <f>IF(L1233="","",ROUND(L1233*'สรุป'!$C$6,-1))</f>
        <v/>
      </c>
      <c r="O1233" s="15" t="n"/>
      <c r="P1233" s="15" t="n"/>
      <c r="Q1233" s="10" t="n"/>
      <c r="R1233" s="10" t="n"/>
      <c r="S1233" s="16" t="inlineStr">
        <is>
          <t>https://mstgolf.co.th/products/gf3020100188</t>
        </is>
      </c>
      <c r="T1233" s="1">
        <f>IF(B1233="ไม้กอล์ฟ",J1233,"")</f>
        <v/>
      </c>
    </row>
    <row r="1234">
      <c r="A1234" s="1" t="n">
        <v>2</v>
      </c>
      <c r="B1234" s="1" t="inlineStr">
        <is>
          <t>ลูกกอล์ฟ</t>
        </is>
      </c>
      <c r="C1234" s="1" t="inlineStr">
        <is>
          <t>gf3200200221</t>
        </is>
      </c>
      <c r="D1234" s="1" t="inlineStr">
        <is>
          <t>TAYLORMADE SpeedSoft (2024) Golf Ball</t>
        </is>
      </c>
      <c r="E1234" s="1" t="inlineStr">
        <is>
          <t>TAYLORMADE</t>
        </is>
      </c>
      <c r="F1234" s="1" t="inlineStr">
        <is>
          <t>SOFT</t>
        </is>
      </c>
      <c r="G1234" s="1" t="inlineStr">
        <is>
          <t>GF3200200221</t>
        </is>
      </c>
      <c r="H1234" s="1" t="n">
        <v>1</v>
      </c>
      <c r="I1234" s="1" t="inlineStr">
        <is>
          <t>มี</t>
        </is>
      </c>
      <c r="J1234" s="13" t="n">
        <v>39</v>
      </c>
      <c r="K1234" s="1" t="inlineStr"/>
      <c r="L1234" s="13" t="n">
        <v>39</v>
      </c>
      <c r="M1234" s="1">
        <f>IF(L1234="","ไม่พบใน SG",IF(ABS(J1234-L1234)&lt;0.005,"ตรงกัน","ไม่ตรง"))</f>
        <v/>
      </c>
      <c r="N1234" s="14">
        <f>IF(L1234="","",ROUND(L1234*'สรุป'!$C$6,-1))</f>
        <v/>
      </c>
      <c r="O1234" s="15" t="n"/>
      <c r="P1234" s="15" t="n"/>
      <c r="Q1234" s="10" t="n"/>
      <c r="R1234" s="10" t="n"/>
      <c r="S1234" s="16" t="inlineStr">
        <is>
          <t>https://mstgolf.co.th/products/gf3200200221</t>
        </is>
      </c>
      <c r="T1234" s="1">
        <f>IF(B1234="ไม้กอล์ฟ",J1234,"")</f>
        <v/>
      </c>
    </row>
    <row r="1235">
      <c r="A1235" s="1" t="n">
        <v>2</v>
      </c>
      <c r="B1235" s="1" t="inlineStr">
        <is>
          <t>ลูกกอล์ฟ</t>
        </is>
      </c>
      <c r="C1235" s="1" t="inlineStr">
        <is>
          <t>gf3200200223</t>
        </is>
      </c>
      <c r="D1235" s="1" t="inlineStr">
        <is>
          <t>TAYLORMADE SpeedSoft Ink (2024) (Blue) Golf Ball</t>
        </is>
      </c>
      <c r="E1235" s="1" t="inlineStr">
        <is>
          <t>TAYLORMADE</t>
        </is>
      </c>
      <c r="F1235" s="1" t="inlineStr">
        <is>
          <t>SOFT</t>
        </is>
      </c>
      <c r="G1235" s="1" t="inlineStr">
        <is>
          <t>GF3200200223</t>
        </is>
      </c>
      <c r="H1235" s="1" t="n">
        <v>1</v>
      </c>
      <c r="I1235" s="1" t="inlineStr">
        <is>
          <t>มี</t>
        </is>
      </c>
      <c r="J1235" s="13" t="n">
        <v>39</v>
      </c>
      <c r="K1235" s="1" t="inlineStr"/>
      <c r="L1235" s="13" t="n">
        <v>39</v>
      </c>
      <c r="M1235" s="1">
        <f>IF(L1235="","ไม่พบใน SG",IF(ABS(J1235-L1235)&lt;0.005,"ตรงกัน","ไม่ตรง"))</f>
        <v/>
      </c>
      <c r="N1235" s="14">
        <f>IF(L1235="","",ROUND(L1235*'สรุป'!$C$6,-1))</f>
        <v/>
      </c>
      <c r="O1235" s="15" t="n"/>
      <c r="P1235" s="15" t="n"/>
      <c r="Q1235" s="10" t="n"/>
      <c r="R1235" s="10" t="n"/>
      <c r="S1235" s="16" t="inlineStr">
        <is>
          <t>https://mstgolf.co.th/products/gf3200200223</t>
        </is>
      </c>
      <c r="T1235" s="1">
        <f>IF(B1235="ไม้กอล์ฟ",J1235,"")</f>
        <v/>
      </c>
    </row>
    <row r="1236">
      <c r="A1236" s="1" t="n">
        <v>2</v>
      </c>
      <c r="B1236" s="1" t="inlineStr">
        <is>
          <t>ลูกกอล์ฟ</t>
        </is>
      </c>
      <c r="C1236" s="1" t="inlineStr">
        <is>
          <t>gf3200200222</t>
        </is>
      </c>
      <c r="D1236" s="1" t="inlineStr">
        <is>
          <t>TAYLORMADE SpeedSoft Ink (2024) (Green) Golf Ball</t>
        </is>
      </c>
      <c r="E1236" s="1" t="inlineStr">
        <is>
          <t>TAYLORMADE</t>
        </is>
      </c>
      <c r="F1236" s="1" t="inlineStr">
        <is>
          <t>SOFT</t>
        </is>
      </c>
      <c r="G1236" s="1" t="inlineStr">
        <is>
          <t>GF3200200222</t>
        </is>
      </c>
      <c r="H1236" s="1" t="n">
        <v>1</v>
      </c>
      <c r="I1236" s="1" t="inlineStr">
        <is>
          <t>มี</t>
        </is>
      </c>
      <c r="J1236" s="13" t="n">
        <v>39</v>
      </c>
      <c r="K1236" s="1" t="inlineStr"/>
      <c r="L1236" s="13" t="n">
        <v>39</v>
      </c>
      <c r="M1236" s="1">
        <f>IF(L1236="","ไม่พบใน SG",IF(ABS(J1236-L1236)&lt;0.005,"ตรงกัน","ไม่ตรง"))</f>
        <v/>
      </c>
      <c r="N1236" s="14">
        <f>IF(L1236="","",ROUND(L1236*'สรุป'!$C$6,-1))</f>
        <v/>
      </c>
      <c r="O1236" s="15" t="n"/>
      <c r="P1236" s="15" t="n"/>
      <c r="Q1236" s="10" t="n"/>
      <c r="R1236" s="10" t="n"/>
      <c r="S1236" s="16" t="inlineStr">
        <is>
          <t>https://mstgolf.co.th/products/gf3200200222</t>
        </is>
      </c>
      <c r="T1236" s="1">
        <f>IF(B1236="ไม้กอล์ฟ",J1236,"")</f>
        <v/>
      </c>
    </row>
    <row r="1237">
      <c r="A1237" s="1" t="n">
        <v>2</v>
      </c>
      <c r="B1237" s="1" t="inlineStr">
        <is>
          <t>ถุงมือ</t>
        </is>
      </c>
      <c r="C1237" s="1" t="inlineStr">
        <is>
          <t>gf3020100253</t>
        </is>
      </c>
      <c r="D1237" s="1" t="inlineStr">
        <is>
          <t>TAYLORMADE Tour Preferred Coloured Leather Men's Glove (Navy)</t>
        </is>
      </c>
      <c r="E1237" s="1" t="inlineStr">
        <is>
          <t>TAYLORMADE</t>
        </is>
      </c>
      <c r="F1237" s="1" t="inlineStr">
        <is>
          <t>LEATHER</t>
        </is>
      </c>
      <c r="G1237" s="1" t="inlineStr">
        <is>
          <t>GF302010025322</t>
        </is>
      </c>
      <c r="H1237" s="1" t="n">
        <v>5</v>
      </c>
      <c r="I1237" s="1" t="inlineStr">
        <is>
          <t>มี</t>
        </is>
      </c>
      <c r="J1237" s="13" t="n">
        <v>39</v>
      </c>
      <c r="K1237" s="1" t="inlineStr"/>
      <c r="L1237" s="13" t="n">
        <v>39</v>
      </c>
      <c r="M1237" s="1">
        <f>IF(L1237="","ไม่พบใน SG",IF(ABS(J1237-L1237)&lt;0.005,"ตรงกัน","ไม่ตรง"))</f>
        <v/>
      </c>
      <c r="N1237" s="14">
        <f>IF(L1237="","",ROUND(L1237*'สรุป'!$C$6,-1))</f>
        <v/>
      </c>
      <c r="O1237" s="15" t="n"/>
      <c r="P1237" s="15" t="n"/>
      <c r="Q1237" s="10" t="n"/>
      <c r="R1237" s="10" t="n"/>
      <c r="S1237" s="16" t="inlineStr">
        <is>
          <t>https://mstgolf.co.th/products/gf3020100253</t>
        </is>
      </c>
      <c r="T1237" s="1">
        <f>IF(B1237="ไม้กอล์ฟ",J1237,"")</f>
        <v/>
      </c>
    </row>
    <row r="1238">
      <c r="A1238" s="1" t="n">
        <v>2</v>
      </c>
      <c r="B1238" s="1" t="inlineStr">
        <is>
          <t>ถุงมือ</t>
        </is>
      </c>
      <c r="C1238" s="1" t="inlineStr">
        <is>
          <t>gf3020100266</t>
        </is>
      </c>
      <c r="D1238" s="1" t="inlineStr">
        <is>
          <t>TAYLORMADE Tour Preferred Coloured Leather Men's Glove (Orange)</t>
        </is>
      </c>
      <c r="E1238" s="1" t="inlineStr">
        <is>
          <t>TAYLORMADE</t>
        </is>
      </c>
      <c r="F1238" s="1" t="inlineStr">
        <is>
          <t>LEATHER</t>
        </is>
      </c>
      <c r="G1238" s="1" t="inlineStr">
        <is>
          <t>GF302010026622</t>
        </is>
      </c>
      <c r="H1238" s="1" t="n">
        <v>5</v>
      </c>
      <c r="I1238" s="1" t="inlineStr">
        <is>
          <t>มี</t>
        </is>
      </c>
      <c r="J1238" s="13" t="n">
        <v>39</v>
      </c>
      <c r="K1238" s="1" t="inlineStr"/>
      <c r="L1238" s="13" t="n">
        <v>39</v>
      </c>
      <c r="M1238" s="1">
        <f>IF(L1238="","ไม่พบใน SG",IF(ABS(J1238-L1238)&lt;0.005,"ตรงกัน","ไม่ตรง"))</f>
        <v/>
      </c>
      <c r="N1238" s="14">
        <f>IF(L1238="","",ROUND(L1238*'สรุป'!$C$6,-1))</f>
        <v/>
      </c>
      <c r="O1238" s="15" t="n"/>
      <c r="P1238" s="15" t="n"/>
      <c r="Q1238" s="10" t="n"/>
      <c r="R1238" s="10" t="n"/>
      <c r="S1238" s="16" t="inlineStr">
        <is>
          <t>https://mstgolf.co.th/products/gf3020100266</t>
        </is>
      </c>
      <c r="T1238" s="1">
        <f>IF(B1238="ไม้กอล์ฟ",J1238,"")</f>
        <v/>
      </c>
    </row>
    <row r="1239">
      <c r="A1239" s="1" t="n">
        <v>2</v>
      </c>
      <c r="B1239" s="1" t="inlineStr">
        <is>
          <t>ถุงมือ</t>
        </is>
      </c>
      <c r="C1239" s="1" t="inlineStr">
        <is>
          <t>gf3020100252</t>
        </is>
      </c>
      <c r="D1239" s="1" t="inlineStr">
        <is>
          <t>TAYLORMADE Tour Preferred Coloured Leather Men's Glove (Red)</t>
        </is>
      </c>
      <c r="E1239" s="1" t="inlineStr">
        <is>
          <t>TAYLORMADE</t>
        </is>
      </c>
      <c r="F1239" s="1" t="inlineStr">
        <is>
          <t>LEATHER</t>
        </is>
      </c>
      <c r="G1239" s="1" t="inlineStr">
        <is>
          <t>GF302010025222</t>
        </is>
      </c>
      <c r="H1239" s="1" t="n">
        <v>5</v>
      </c>
      <c r="I1239" s="1" t="inlineStr">
        <is>
          <t>มี</t>
        </is>
      </c>
      <c r="J1239" s="13" t="n">
        <v>39</v>
      </c>
      <c r="K1239" s="1" t="inlineStr"/>
      <c r="L1239" s="13" t="n">
        <v>39</v>
      </c>
      <c r="M1239" s="1">
        <f>IF(L1239="","ไม่พบใน SG",IF(ABS(J1239-L1239)&lt;0.005,"ตรงกัน","ไม่ตรง"))</f>
        <v/>
      </c>
      <c r="N1239" s="14">
        <f>IF(L1239="","",ROUND(L1239*'สรุป'!$C$6,-1))</f>
        <v/>
      </c>
      <c r="O1239" s="15" t="n"/>
      <c r="P1239" s="15" t="n"/>
      <c r="Q1239" s="10" t="n"/>
      <c r="R1239" s="10" t="n"/>
      <c r="S1239" s="16" t="inlineStr">
        <is>
          <t>https://mstgolf.co.th/products/gf3020100252</t>
        </is>
      </c>
      <c r="T1239" s="1">
        <f>IF(B1239="ไม้กอล์ฟ",J1239,"")</f>
        <v/>
      </c>
    </row>
    <row r="1240">
      <c r="A1240" s="1" t="n">
        <v>2</v>
      </c>
      <c r="B1240" s="1" t="inlineStr">
        <is>
          <t>ถุงมือ</t>
        </is>
      </c>
      <c r="C1240" s="1" t="inlineStr">
        <is>
          <t>gf3020100263</t>
        </is>
      </c>
      <c r="D1240" s="1" t="inlineStr">
        <is>
          <t>TAYLORMADE Tour Preferred Flex MenÆs Leather Glove (Black)</t>
        </is>
      </c>
      <c r="E1240" s="1" t="inlineStr">
        <is>
          <t>TAYLORMADE</t>
        </is>
      </c>
      <c r="F1240" s="1" t="inlineStr">
        <is>
          <t>LEATHER</t>
        </is>
      </c>
      <c r="G1240" s="1" t="inlineStr">
        <is>
          <t>GF302010026322</t>
        </is>
      </c>
      <c r="H1240" s="1" t="n">
        <v>5</v>
      </c>
      <c r="I1240" s="1" t="inlineStr">
        <is>
          <t>มี</t>
        </is>
      </c>
      <c r="J1240" s="13" t="n">
        <v>39</v>
      </c>
      <c r="K1240" s="1" t="inlineStr"/>
      <c r="L1240" s="13" t="n">
        <v>39</v>
      </c>
      <c r="M1240" s="1">
        <f>IF(L1240="","ไม่พบใน SG",IF(ABS(J1240-L1240)&lt;0.005,"ตรงกัน","ไม่ตรง"))</f>
        <v/>
      </c>
      <c r="N1240" s="14">
        <f>IF(L1240="","",ROUND(L1240*'สรุป'!$C$6,-1))</f>
        <v/>
      </c>
      <c r="O1240" s="15" t="n"/>
      <c r="P1240" s="15" t="n"/>
      <c r="Q1240" s="10" t="n"/>
      <c r="R1240" s="10" t="n"/>
      <c r="S1240" s="16" t="inlineStr">
        <is>
          <t>https://mstgolf.co.th/products/gf3020100263</t>
        </is>
      </c>
      <c r="T1240" s="1">
        <f>IF(B1240="ไม้กอล์ฟ",J1240,"")</f>
        <v/>
      </c>
    </row>
    <row r="1241">
      <c r="A1241" s="1" t="n">
        <v>2</v>
      </c>
      <c r="B1241" s="1" t="inlineStr">
        <is>
          <t>ถุงกอล์ฟ</t>
        </is>
      </c>
      <c r="C1241" s="1" t="inlineStr">
        <is>
          <t>gf3010401004</t>
        </is>
      </c>
      <c r="D1241" s="1" t="inlineStr">
        <is>
          <t>ADIDAS Corduroy Round Bag (Taupe)</t>
        </is>
      </c>
      <c r="E1241" s="1" t="inlineStr">
        <is>
          <t>ADIDAS</t>
        </is>
      </c>
      <c r="F1241" s="1" t="inlineStr">
        <is>
          <t>SMALL BAG</t>
        </is>
      </c>
      <c r="G1241" s="1" t="inlineStr">
        <is>
          <t>GF3010401004</t>
        </is>
      </c>
      <c r="H1241" s="1" t="n">
        <v>1</v>
      </c>
      <c r="I1241" s="1" t="inlineStr">
        <is>
          <t>มี</t>
        </is>
      </c>
      <c r="J1241" s="13" t="n">
        <v>37</v>
      </c>
      <c r="K1241" s="1" t="inlineStr"/>
      <c r="L1241" s="13" t="n">
        <v>37</v>
      </c>
      <c r="M1241" s="1">
        <f>IF(L1241="","ไม่พบใน SG",IF(ABS(J1241-L1241)&lt;0.005,"ตรงกัน","ไม่ตรง"))</f>
        <v/>
      </c>
      <c r="N1241" s="14">
        <f>IF(L1241="","",ROUND(L1241*'สรุป'!$C$6,-1))</f>
        <v/>
      </c>
      <c r="O1241" s="15" t="n"/>
      <c r="P1241" s="15" t="n"/>
      <c r="Q1241" s="10" t="n"/>
      <c r="R1241" s="10" t="n"/>
      <c r="S1241" s="16" t="inlineStr">
        <is>
          <t>https://mstgolf.co.th/products/gf3010401004</t>
        </is>
      </c>
      <c r="T1241" s="1">
        <f>IF(B1241="ไม้กอล์ฟ",J1241,"")</f>
        <v/>
      </c>
    </row>
    <row r="1242">
      <c r="A1242" s="1" t="n">
        <v>2</v>
      </c>
      <c r="B1242" s="1" t="inlineStr">
        <is>
          <t>ถุงกอล์ฟ</t>
        </is>
      </c>
      <c r="C1242" s="1" t="inlineStr">
        <is>
          <t>gf3010401025</t>
        </is>
      </c>
      <c r="D1242" s="1" t="inlineStr">
        <is>
          <t>TAYLORMADE TM24 True-Lite Pouch (Black)</t>
        </is>
      </c>
      <c r="E1242" s="1" t="inlineStr">
        <is>
          <t>TAYLORMADE</t>
        </is>
      </c>
      <c r="F1242" s="1" t="inlineStr">
        <is>
          <t>SMALL BAG</t>
        </is>
      </c>
      <c r="G1242" s="1" t="inlineStr">
        <is>
          <t>GF3010401025</t>
        </is>
      </c>
      <c r="H1242" s="1" t="n">
        <v>1</v>
      </c>
      <c r="I1242" s="1" t="inlineStr">
        <is>
          <t>มี</t>
        </is>
      </c>
      <c r="J1242" s="13" t="n">
        <v>37</v>
      </c>
      <c r="K1242" s="1" t="inlineStr"/>
      <c r="L1242" s="13" t="n">
        <v>37</v>
      </c>
      <c r="M1242" s="1">
        <f>IF(L1242="","ไม่พบใน SG",IF(ABS(J1242-L1242)&lt;0.005,"ตรงกัน","ไม่ตรง"))</f>
        <v/>
      </c>
      <c r="N1242" s="14">
        <f>IF(L1242="","",ROUND(L1242*'สรุป'!$C$6,-1))</f>
        <v/>
      </c>
      <c r="O1242" s="15" t="n"/>
      <c r="P1242" s="15" t="n"/>
      <c r="Q1242" s="10" t="n"/>
      <c r="R1242" s="10" t="n"/>
      <c r="S1242" s="16" t="inlineStr">
        <is>
          <t>https://mstgolf.co.th/products/gf3010401025</t>
        </is>
      </c>
      <c r="T1242" s="1">
        <f>IF(B1242="ไม้กอล์ฟ",J1242,"")</f>
        <v/>
      </c>
    </row>
    <row r="1243">
      <c r="A1243" s="1" t="n">
        <v>2</v>
      </c>
      <c r="B1243" s="1" t="inlineStr">
        <is>
          <t>ถุงมือ</t>
        </is>
      </c>
      <c r="C1243" s="1" t="inlineStr">
        <is>
          <t>gf3020100171</t>
        </is>
      </c>
      <c r="D1243" s="1" t="inlineStr">
        <is>
          <t>TITLEIST Players Men's Leather Glove (White)</t>
        </is>
      </c>
      <c r="E1243" s="1" t="inlineStr">
        <is>
          <t>TITLEIST</t>
        </is>
      </c>
      <c r="F1243" s="1" t="inlineStr">
        <is>
          <t>LEATHER</t>
        </is>
      </c>
      <c r="G1243" s="1" t="inlineStr">
        <is>
          <t>GF302010017121</t>
        </is>
      </c>
      <c r="H1243" s="1" t="n">
        <v>6</v>
      </c>
      <c r="I1243" s="1" t="inlineStr">
        <is>
          <t>มี</t>
        </is>
      </c>
      <c r="J1243" s="13" t="n">
        <v>37</v>
      </c>
      <c r="K1243" s="1" t="inlineStr"/>
      <c r="L1243" s="13" t="n">
        <v>37</v>
      </c>
      <c r="M1243" s="1">
        <f>IF(L1243="","ไม่พบใน SG",IF(ABS(J1243-L1243)&lt;0.005,"ตรงกัน","ไม่ตรง"))</f>
        <v/>
      </c>
      <c r="N1243" s="14">
        <f>IF(L1243="","",ROUND(L1243*'สรุป'!$C$6,-1))</f>
        <v/>
      </c>
      <c r="O1243" s="15" t="n"/>
      <c r="P1243" s="15" t="n"/>
      <c r="Q1243" s="10" t="n"/>
      <c r="R1243" s="10" t="n"/>
      <c r="S1243" s="16" t="inlineStr">
        <is>
          <t>https://mstgolf.co.th/products/gf3020100171</t>
        </is>
      </c>
      <c r="T1243" s="1">
        <f>IF(B1243="ไม้กอล์ฟ",J1243,"")</f>
        <v/>
      </c>
    </row>
    <row r="1244">
      <c r="A1244" s="1" t="n">
        <v>2</v>
      </c>
      <c r="B1244" s="1" t="inlineStr">
        <is>
          <t>ถุงมือ</t>
        </is>
      </c>
      <c r="C1244" s="1" t="inlineStr">
        <is>
          <t>gf3020100274</t>
        </is>
      </c>
      <c r="D1244" s="1" t="inlineStr">
        <is>
          <t>TAYLORMADE Tour Preferred Men's Leather Glove (White)</t>
        </is>
      </c>
      <c r="E1244" s="1" t="inlineStr">
        <is>
          <t>TAYLORMADE</t>
        </is>
      </c>
      <c r="F1244" s="1" t="inlineStr">
        <is>
          <t>LEATHER</t>
        </is>
      </c>
      <c r="G1244" s="1" t="inlineStr">
        <is>
          <t>GF302010027422</t>
        </is>
      </c>
      <c r="H1244" s="1" t="n">
        <v>5</v>
      </c>
      <c r="I1244" s="1" t="inlineStr">
        <is>
          <t>มี</t>
        </is>
      </c>
      <c r="J1244" s="13" t="n">
        <v>36</v>
      </c>
      <c r="K1244" s="1" t="inlineStr"/>
      <c r="L1244" s="13" t="n">
        <v>36</v>
      </c>
      <c r="M1244" s="1">
        <f>IF(L1244="","ไม่พบใน SG",IF(ABS(J1244-L1244)&lt;0.005,"ตรงกัน","ไม่ตรง"))</f>
        <v/>
      </c>
      <c r="N1244" s="14">
        <f>IF(L1244="","",ROUND(L1244*'สรุป'!$C$6,-1))</f>
        <v/>
      </c>
      <c r="O1244" s="15" t="n"/>
      <c r="P1244" s="15" t="n"/>
      <c r="Q1244" s="10" t="n"/>
      <c r="R1244" s="10" t="n"/>
      <c r="S1244" s="16" t="inlineStr">
        <is>
          <t>https://mstgolf.co.th/products/gf3020100274</t>
        </is>
      </c>
      <c r="T1244" s="1">
        <f>IF(B1244="ไม้กอล์ฟ",J1244,"")</f>
        <v/>
      </c>
    </row>
    <row r="1245">
      <c r="A1245" s="1" t="n">
        <v>2</v>
      </c>
      <c r="B1245" s="1" t="inlineStr">
        <is>
          <t>ลูกกอล์ฟ</t>
        </is>
      </c>
      <c r="C1245" s="1" t="inlineStr">
        <is>
          <t>gf3200200229</t>
        </is>
      </c>
      <c r="D1245" s="1" t="inlineStr">
        <is>
          <t>TITLEIST TruFeel (2024) Golf Ball</t>
        </is>
      </c>
      <c r="E1245" s="1" t="inlineStr">
        <is>
          <t>TITLEIST</t>
        </is>
      </c>
      <c r="F1245" s="1" t="inlineStr">
        <is>
          <t>SOFT</t>
        </is>
      </c>
      <c r="G1245" s="1" t="inlineStr">
        <is>
          <t>GF3200200229</t>
        </is>
      </c>
      <c r="H1245" s="1" t="n">
        <v>1</v>
      </c>
      <c r="I1245" s="1" t="inlineStr">
        <is>
          <t>มี</t>
        </is>
      </c>
      <c r="J1245" s="13" t="n">
        <v>36</v>
      </c>
      <c r="K1245" s="1" t="inlineStr"/>
      <c r="L1245" s="13" t="n">
        <v>29</v>
      </c>
      <c r="M1245" s="1">
        <f>IF(L1245="","ไม่พบใน SG",IF(ABS(J1245-L1245)&lt;0.005,"ตรงกัน","ไม่ตรง"))</f>
        <v/>
      </c>
      <c r="N1245" s="14">
        <f>IF(L1245="","",ROUND(L1245*'สรุป'!$C$6,-1))</f>
        <v/>
      </c>
      <c r="O1245" s="15" t="n"/>
      <c r="P1245" s="15" t="n"/>
      <c r="Q1245" s="10" t="n"/>
      <c r="R1245" s="10" t="n"/>
      <c r="S1245" s="16" t="inlineStr">
        <is>
          <t>https://mstgolf.co.th/products/gf3200200229</t>
        </is>
      </c>
      <c r="T1245" s="1">
        <f>IF(B1245="ไม้กอล์ฟ",J1245,"")</f>
        <v/>
      </c>
    </row>
    <row r="1246">
      <c r="A1246" s="1" t="n">
        <v>2</v>
      </c>
      <c r="B1246" s="1" t="inlineStr">
        <is>
          <t>ลูกกอล์ฟ</t>
        </is>
      </c>
      <c r="C1246" s="1" t="inlineStr">
        <is>
          <t>gf3200200253</t>
        </is>
      </c>
      <c r="D1246" s="1" t="inlineStr">
        <is>
          <t>TITLEIST TruFeel (2026) Golf Ball</t>
        </is>
      </c>
      <c r="E1246" s="1" t="inlineStr">
        <is>
          <t>TITLEIST</t>
        </is>
      </c>
      <c r="F1246" s="1" t="inlineStr">
        <is>
          <t>SOFT</t>
        </is>
      </c>
      <c r="G1246" s="1" t="inlineStr">
        <is>
          <t>GF3200200253</t>
        </is>
      </c>
      <c r="H1246" s="1" t="n">
        <v>1</v>
      </c>
      <c r="I1246" s="1" t="inlineStr">
        <is>
          <t>มี</t>
        </is>
      </c>
      <c r="J1246" s="13" t="n">
        <v>36</v>
      </c>
      <c r="K1246" s="1" t="inlineStr"/>
      <c r="L1246" s="13" t="n">
        <v>36</v>
      </c>
      <c r="M1246" s="1">
        <f>IF(L1246="","ไม่พบใน SG",IF(ABS(J1246-L1246)&lt;0.005,"ตรงกัน","ไม่ตรง"))</f>
        <v/>
      </c>
      <c r="N1246" s="14">
        <f>IF(L1246="","",ROUND(L1246*'สรุป'!$C$6,-1))</f>
        <v/>
      </c>
      <c r="O1246" s="15" t="n"/>
      <c r="P1246" s="15" t="n"/>
      <c r="Q1246" s="10" t="n"/>
      <c r="R1246" s="10" t="n"/>
      <c r="S1246" s="16" t="inlineStr">
        <is>
          <t>https://mstgolf.co.th/products/gf3200200253</t>
        </is>
      </c>
      <c r="T1246" s="1">
        <f>IF(B1246="ไม้กอล์ฟ",J1246,"")</f>
        <v/>
      </c>
    </row>
    <row r="1247">
      <c r="A1247" s="1" t="n">
        <v>2</v>
      </c>
      <c r="B1247" s="1" t="inlineStr">
        <is>
          <t>ถุงมือ</t>
        </is>
      </c>
      <c r="C1247" s="1" t="inlineStr">
        <is>
          <t>gf3020200706</t>
        </is>
      </c>
      <c r="D1247" s="1" t="inlineStr">
        <is>
          <t>ADIDAS CodeChaos Unisex Glove (White/Grey)</t>
        </is>
      </c>
      <c r="E1247" s="1" t="inlineStr">
        <is>
          <t>ADIDAS</t>
        </is>
      </c>
      <c r="F1247" s="1" t="inlineStr">
        <is>
          <t>ALL WEATHER</t>
        </is>
      </c>
      <c r="G1247" s="1" t="inlineStr">
        <is>
          <t>GF302020070618</t>
        </is>
      </c>
      <c r="H1247" s="1" t="n">
        <v>9</v>
      </c>
      <c r="I1247" s="1" t="inlineStr">
        <is>
          <t>มี</t>
        </is>
      </c>
      <c r="J1247" s="13" t="n">
        <v>35</v>
      </c>
      <c r="K1247" s="1" t="inlineStr"/>
      <c r="L1247" s="13" t="n">
        <v>17</v>
      </c>
      <c r="M1247" s="1">
        <f>IF(L1247="","ไม่พบใน SG",IF(ABS(J1247-L1247)&lt;0.005,"ตรงกัน","ไม่ตรง"))</f>
        <v/>
      </c>
      <c r="N1247" s="14">
        <f>IF(L1247="","",ROUND(L1247*'สรุป'!$C$6,-1))</f>
        <v/>
      </c>
      <c r="O1247" s="15" t="n"/>
      <c r="P1247" s="15" t="n"/>
      <c r="Q1247" s="10" t="n"/>
      <c r="R1247" s="10" t="n"/>
      <c r="S1247" s="16" t="inlineStr">
        <is>
          <t>https://mstgolf.co.th/products/gf3020200706</t>
        </is>
      </c>
      <c r="T1247" s="1">
        <f>IF(B1247="ไม้กอล์ฟ",J1247,"")</f>
        <v/>
      </c>
    </row>
    <row r="1248">
      <c r="A1248" s="1" t="n">
        <v>2</v>
      </c>
      <c r="B1248" s="1" t="inlineStr">
        <is>
          <t>ถุงมือ</t>
        </is>
      </c>
      <c r="C1248" s="1" t="inlineStr">
        <is>
          <t>gf3020200707</t>
        </is>
      </c>
      <c r="D1248" s="1" t="inlineStr">
        <is>
          <t>ADIDAS CodeChaos Unisex Glove (White/Yellow)</t>
        </is>
      </c>
      <c r="E1248" s="1" t="inlineStr">
        <is>
          <t>ADIDAS</t>
        </is>
      </c>
      <c r="F1248" s="1" t="inlineStr">
        <is>
          <t>ALL WEATHER</t>
        </is>
      </c>
      <c r="G1248" s="1" t="inlineStr">
        <is>
          <t>GF302020070718</t>
        </is>
      </c>
      <c r="H1248" s="1" t="n">
        <v>9</v>
      </c>
      <c r="I1248" s="1" t="inlineStr">
        <is>
          <t>มี</t>
        </is>
      </c>
      <c r="J1248" s="13" t="n">
        <v>35</v>
      </c>
      <c r="K1248" s="1" t="inlineStr"/>
      <c r="L1248" s="13" t="n">
        <v>17</v>
      </c>
      <c r="M1248" s="1">
        <f>IF(L1248="","ไม่พบใน SG",IF(ABS(J1248-L1248)&lt;0.005,"ตรงกัน","ไม่ตรง"))</f>
        <v/>
      </c>
      <c r="N1248" s="14">
        <f>IF(L1248="","",ROUND(L1248*'สรุป'!$C$6,-1))</f>
        <v/>
      </c>
      <c r="O1248" s="15" t="n"/>
      <c r="P1248" s="15" t="n"/>
      <c r="Q1248" s="10" t="n"/>
      <c r="R1248" s="10" t="n"/>
      <c r="S1248" s="16" t="inlineStr">
        <is>
          <t>https://mstgolf.co.th/products/gf3020200707</t>
        </is>
      </c>
      <c r="T1248" s="1">
        <f>IF(B1248="ไม้กอล์ฟ",J1248,"")</f>
        <v/>
      </c>
    </row>
    <row r="1249">
      <c r="A1249" s="1" t="n">
        <v>2</v>
      </c>
      <c r="B1249" s="1" t="inlineStr">
        <is>
          <t>ถุงกอล์ฟ</t>
        </is>
      </c>
      <c r="C1249" s="1" t="inlineStr">
        <is>
          <t>gf3010401015</t>
        </is>
      </c>
      <c r="D1249" s="1" t="inlineStr">
        <is>
          <t>ADIDAS Corduroy Round Tote Bag (Black)</t>
        </is>
      </c>
      <c r="E1249" s="1" t="inlineStr">
        <is>
          <t>ADIDAS</t>
        </is>
      </c>
      <c r="F1249" s="1" t="inlineStr">
        <is>
          <t>SMALL BAG</t>
        </is>
      </c>
      <c r="G1249" s="1" t="inlineStr">
        <is>
          <t>GF3010401015</t>
        </is>
      </c>
      <c r="H1249" s="1" t="n">
        <v>1</v>
      </c>
      <c r="I1249" s="1" t="inlineStr">
        <is>
          <t>มี</t>
        </is>
      </c>
      <c r="J1249" s="13" t="n">
        <v>35</v>
      </c>
      <c r="K1249" s="1" t="inlineStr"/>
      <c r="L1249" s="13" t="n"/>
      <c r="M1249" s="1">
        <f>IF(L1249="","ไม่พบใน SG",IF(ABS(J1249-L1249)&lt;0.005,"ตรงกัน","ไม่ตรง"))</f>
        <v/>
      </c>
      <c r="N1249" s="14">
        <f>IF(L1249="","",ROUND(L1249*'สรุป'!$C$6,-1))</f>
        <v/>
      </c>
      <c r="O1249" s="15" t="n"/>
      <c r="P1249" s="15" t="n"/>
      <c r="Q1249" s="10" t="n"/>
      <c r="R1249" s="10" t="n"/>
      <c r="S1249" s="16" t="inlineStr">
        <is>
          <t>https://mstgolf.co.th/products/gf3010401015</t>
        </is>
      </c>
      <c r="T1249" s="1">
        <f>IF(B1249="ไม้กอล์ฟ",J1249,"")</f>
        <v/>
      </c>
    </row>
    <row r="1250">
      <c r="A1250" s="1" t="n">
        <v>2</v>
      </c>
      <c r="B1250" s="1" t="inlineStr">
        <is>
          <t>ถุงกอล์ฟ</t>
        </is>
      </c>
      <c r="C1250" s="1" t="inlineStr">
        <is>
          <t>gf3010401005</t>
        </is>
      </c>
      <c r="D1250" s="1" t="inlineStr">
        <is>
          <t>ADIDAS Corduroy Round Tote Bag (Taupe)</t>
        </is>
      </c>
      <c r="E1250" s="1" t="inlineStr">
        <is>
          <t>ADIDAS</t>
        </is>
      </c>
      <c r="F1250" s="1" t="inlineStr">
        <is>
          <t>SMALL BAG</t>
        </is>
      </c>
      <c r="G1250" s="1" t="inlineStr">
        <is>
          <t>GF3010401005</t>
        </is>
      </c>
      <c r="H1250" s="1" t="n">
        <v>1</v>
      </c>
      <c r="I1250" s="1" t="inlineStr">
        <is>
          <t>มี</t>
        </is>
      </c>
      <c r="J1250" s="13" t="n">
        <v>35</v>
      </c>
      <c r="K1250" s="1" t="inlineStr"/>
      <c r="L1250" s="13" t="n">
        <v>35</v>
      </c>
      <c r="M1250" s="1">
        <f>IF(L1250="","ไม่พบใน SG",IF(ABS(J1250-L1250)&lt;0.005,"ตรงกัน","ไม่ตรง"))</f>
        <v/>
      </c>
      <c r="N1250" s="14">
        <f>IF(L1250="","",ROUND(L1250*'สรุป'!$C$6,-1))</f>
        <v/>
      </c>
      <c r="O1250" s="15" t="n"/>
      <c r="P1250" s="15" t="n"/>
      <c r="Q1250" s="10" t="n"/>
      <c r="R1250" s="10" t="n"/>
      <c r="S1250" s="16" t="inlineStr">
        <is>
          <t>https://mstgolf.co.th/products/gf3010401005</t>
        </is>
      </c>
      <c r="T1250" s="1">
        <f>IF(B1250="ไม้กอล์ฟ",J1250,"")</f>
        <v/>
      </c>
    </row>
    <row r="1251">
      <c r="A1251" s="1" t="n">
        <v>2</v>
      </c>
      <c r="B1251" s="1" t="inlineStr">
        <is>
          <t>ถุงกอล์ฟ</t>
        </is>
      </c>
      <c r="C1251" s="1" t="inlineStr">
        <is>
          <t>gf3010200642</t>
        </is>
      </c>
      <c r="D1251" s="1" t="inlineStr">
        <is>
          <t>ADIDAS Golf Shoe Bag (Black)</t>
        </is>
      </c>
      <c r="E1251" s="1" t="inlineStr">
        <is>
          <t>ADIDAS</t>
        </is>
      </c>
      <c r="F1251" s="1" t="inlineStr">
        <is>
          <t>SHOES BAG</t>
        </is>
      </c>
      <c r="G1251" s="1" t="inlineStr">
        <is>
          <t>GF3010200642</t>
        </is>
      </c>
      <c r="H1251" s="1" t="n">
        <v>1</v>
      </c>
      <c r="I1251" s="1" t="inlineStr">
        <is>
          <t>มี</t>
        </is>
      </c>
      <c r="J1251" s="13" t="n">
        <v>35</v>
      </c>
      <c r="K1251" s="1" t="inlineStr"/>
      <c r="L1251" s="13" t="n">
        <v>35</v>
      </c>
      <c r="M1251" s="1">
        <f>IF(L1251="","ไม่พบใน SG",IF(ABS(J1251-L1251)&lt;0.005,"ตรงกัน","ไม่ตรง"))</f>
        <v/>
      </c>
      <c r="N1251" s="14">
        <f>IF(L1251="","",ROUND(L1251*'สรุป'!$C$6,-1))</f>
        <v/>
      </c>
      <c r="O1251" s="15" t="n"/>
      <c r="P1251" s="15" t="n"/>
      <c r="Q1251" s="10" t="n"/>
      <c r="R1251" s="10" t="n"/>
      <c r="S1251" s="16" t="inlineStr">
        <is>
          <t>https://mstgolf.co.th/products/gf3010200642</t>
        </is>
      </c>
      <c r="T1251" s="1">
        <f>IF(B1251="ไม้กอล์ฟ",J1251,"")</f>
        <v/>
      </c>
    </row>
    <row r="1252">
      <c r="A1252" s="1" t="n">
        <v>2</v>
      </c>
      <c r="B1252" s="1" t="inlineStr">
        <is>
          <t>ถุงมือ</t>
        </is>
      </c>
      <c r="C1252" s="1" t="inlineStr">
        <is>
          <t>gf3020200767</t>
        </is>
      </c>
      <c r="D1252" s="1" t="inlineStr">
        <is>
          <t>ADIDAS Non Slip 26 Women's All-Weather Glove (White/Red)</t>
        </is>
      </c>
      <c r="E1252" s="1" t="inlineStr">
        <is>
          <t>ADIDAS</t>
        </is>
      </c>
      <c r="F1252" s="1" t="inlineStr">
        <is>
          <t>ALL WEATHER</t>
        </is>
      </c>
      <c r="G1252" s="1" t="inlineStr">
        <is>
          <t>GF302020076721</t>
        </is>
      </c>
      <c r="H1252" s="1" t="n">
        <v>6</v>
      </c>
      <c r="I1252" s="1" t="inlineStr">
        <is>
          <t>มี</t>
        </is>
      </c>
      <c r="J1252" s="13" t="n">
        <v>35</v>
      </c>
      <c r="K1252" s="1" t="inlineStr"/>
      <c r="L1252" s="13" t="n">
        <v>25</v>
      </c>
      <c r="M1252" s="1">
        <f>IF(L1252="","ไม่พบใน SG",IF(ABS(J1252-L1252)&lt;0.005,"ตรงกัน","ไม่ตรง"))</f>
        <v/>
      </c>
      <c r="N1252" s="14">
        <f>IF(L1252="","",ROUND(L1252*'สรุป'!$C$6,-1))</f>
        <v/>
      </c>
      <c r="O1252" s="15" t="n"/>
      <c r="P1252" s="15" t="n"/>
      <c r="Q1252" s="10" t="n"/>
      <c r="R1252" s="10" t="n"/>
      <c r="S1252" s="16" t="inlineStr">
        <is>
          <t>https://mstgolf.co.th/products/gf3020200767</t>
        </is>
      </c>
      <c r="T1252" s="1">
        <f>IF(B1252="ไม้กอล์ฟ",J1252,"")</f>
        <v/>
      </c>
    </row>
    <row r="1253">
      <c r="A1253" s="1" t="n">
        <v>2</v>
      </c>
      <c r="B1253" s="1" t="inlineStr">
        <is>
          <t>ถุงมือ</t>
        </is>
      </c>
      <c r="C1253" s="1" t="inlineStr">
        <is>
          <t>gf3020100160</t>
        </is>
      </c>
      <c r="D1253" s="1" t="inlineStr">
        <is>
          <t>GFORE Collection Men's Leather Glove (Charcoal)</t>
        </is>
      </c>
      <c r="E1253" s="1" t="inlineStr">
        <is>
          <t>GFORE</t>
        </is>
      </c>
      <c r="F1253" s="1" t="inlineStr">
        <is>
          <t>LEATHER</t>
        </is>
      </c>
      <c r="G1253" s="1" t="inlineStr">
        <is>
          <t>GF3020100160S</t>
        </is>
      </c>
      <c r="H1253" s="1" t="n">
        <v>5</v>
      </c>
      <c r="I1253" s="1" t="inlineStr">
        <is>
          <t>มี</t>
        </is>
      </c>
      <c r="J1253" s="13" t="n">
        <v>35</v>
      </c>
      <c r="K1253" s="1" t="inlineStr"/>
      <c r="L1253" s="13" t="n">
        <v>35</v>
      </c>
      <c r="M1253" s="1">
        <f>IF(L1253="","ไม่พบใน SG",IF(ABS(J1253-L1253)&lt;0.005,"ตรงกัน","ไม่ตรง"))</f>
        <v/>
      </c>
      <c r="N1253" s="14">
        <f>IF(L1253="","",ROUND(L1253*'สรุป'!$C$6,-1))</f>
        <v/>
      </c>
      <c r="O1253" s="15" t="n"/>
      <c r="P1253" s="15" t="n"/>
      <c r="Q1253" s="10" t="n"/>
      <c r="R1253" s="10" t="n"/>
      <c r="S1253" s="16" t="inlineStr">
        <is>
          <t>https://mstgolf.co.th/products/gf3020100160</t>
        </is>
      </c>
      <c r="T1253" s="1">
        <f>IF(B1253="ไม้กอล์ฟ",J1253,"")</f>
        <v/>
      </c>
    </row>
    <row r="1254">
      <c r="A1254" s="1" t="n">
        <v>2</v>
      </c>
      <c r="B1254" s="1" t="inlineStr">
        <is>
          <t>ถุงมือ</t>
        </is>
      </c>
      <c r="C1254" s="1" t="inlineStr">
        <is>
          <t>gf3020100159</t>
        </is>
      </c>
      <c r="D1254" s="1" t="inlineStr">
        <is>
          <t>GFORE Collection Men's Leather Glove (Onyx)</t>
        </is>
      </c>
      <c r="E1254" s="1" t="inlineStr">
        <is>
          <t>GFORE</t>
        </is>
      </c>
      <c r="F1254" s="1" t="inlineStr">
        <is>
          <t>LEATHER</t>
        </is>
      </c>
      <c r="G1254" s="1" t="inlineStr">
        <is>
          <t>GF3020100159S</t>
        </is>
      </c>
      <c r="H1254" s="1" t="n">
        <v>5</v>
      </c>
      <c r="I1254" s="1" t="inlineStr">
        <is>
          <t>มี</t>
        </is>
      </c>
      <c r="J1254" s="13" t="n">
        <v>35</v>
      </c>
      <c r="K1254" s="1" t="inlineStr"/>
      <c r="L1254" s="13" t="n">
        <v>35</v>
      </c>
      <c r="M1254" s="1">
        <f>IF(L1254="","ไม่พบใน SG",IF(ABS(J1254-L1254)&lt;0.005,"ตรงกัน","ไม่ตรง"))</f>
        <v/>
      </c>
      <c r="N1254" s="14">
        <f>IF(L1254="","",ROUND(L1254*'สรุป'!$C$6,-1))</f>
        <v/>
      </c>
      <c r="O1254" s="15" t="n"/>
      <c r="P1254" s="15" t="n"/>
      <c r="Q1254" s="10" t="n"/>
      <c r="R1254" s="10" t="n"/>
      <c r="S1254" s="16" t="inlineStr">
        <is>
          <t>https://mstgolf.co.th/products/gf3020100159</t>
        </is>
      </c>
      <c r="T1254" s="1">
        <f>IF(B1254="ไม้กอล์ฟ",J1254,"")</f>
        <v/>
      </c>
    </row>
    <row r="1255">
      <c r="A1255" s="1" t="n">
        <v>2</v>
      </c>
      <c r="B1255" s="1" t="inlineStr">
        <is>
          <t>ถุงมือ</t>
        </is>
      </c>
      <c r="C1255" s="1" t="inlineStr">
        <is>
          <t>gf3020100162</t>
        </is>
      </c>
      <c r="D1255" s="1" t="inlineStr">
        <is>
          <t>GFORE Collection Men's Leather Glove (Tangerine)</t>
        </is>
      </c>
      <c r="E1255" s="1" t="inlineStr">
        <is>
          <t>GFORE</t>
        </is>
      </c>
      <c r="F1255" s="1" t="inlineStr">
        <is>
          <t>LEATHER</t>
        </is>
      </c>
      <c r="G1255" s="1" t="inlineStr">
        <is>
          <t>GF3020100162S</t>
        </is>
      </c>
      <c r="H1255" s="1" t="n">
        <v>5</v>
      </c>
      <c r="I1255" s="1" t="inlineStr">
        <is>
          <t>มี</t>
        </is>
      </c>
      <c r="J1255" s="13" t="n">
        <v>35</v>
      </c>
      <c r="K1255" s="1" t="inlineStr"/>
      <c r="L1255" s="13" t="n">
        <v>35</v>
      </c>
      <c r="M1255" s="1">
        <f>IF(L1255="","ไม่พบใน SG",IF(ABS(J1255-L1255)&lt;0.005,"ตรงกัน","ไม่ตรง"))</f>
        <v/>
      </c>
      <c r="N1255" s="14">
        <f>IF(L1255="","",ROUND(L1255*'สรุป'!$C$6,-1))</f>
        <v/>
      </c>
      <c r="O1255" s="15" t="n"/>
      <c r="P1255" s="15" t="n"/>
      <c r="Q1255" s="10" t="n"/>
      <c r="R1255" s="10" t="n"/>
      <c r="S1255" s="16" t="inlineStr">
        <is>
          <t>https://mstgolf.co.th/products/gf3020100162</t>
        </is>
      </c>
      <c r="T1255" s="1">
        <f>IF(B1255="ไม้กอล์ฟ",J1255,"")</f>
        <v/>
      </c>
    </row>
    <row r="1256">
      <c r="A1256" s="1" t="n">
        <v>2</v>
      </c>
      <c r="B1256" s="1" t="inlineStr">
        <is>
          <t>รถเข็น</t>
        </is>
      </c>
      <c r="C1256" s="1" t="inlineStr">
        <is>
          <t>gf3030200190</t>
        </is>
      </c>
      <c r="D1256" s="1" t="inlineStr">
        <is>
          <t>MOTOCADDY Universal Accessory Station</t>
        </is>
      </c>
      <c r="E1256" s="1" t="inlineStr">
        <is>
          <t>MOTOCADDY</t>
        </is>
      </c>
      <c r="F1256" s="1" t="inlineStr">
        <is>
          <t>TROLLEY PARTS/ACCESSORIES</t>
        </is>
      </c>
      <c r="G1256" s="1" t="inlineStr">
        <is>
          <t>GF3030200190</t>
        </is>
      </c>
      <c r="H1256" s="1" t="n">
        <v>1</v>
      </c>
      <c r="I1256" s="1" t="inlineStr">
        <is>
          <t>มี</t>
        </is>
      </c>
      <c r="J1256" s="13" t="n">
        <v>35</v>
      </c>
      <c r="K1256" s="1" t="inlineStr"/>
      <c r="L1256" s="13" t="n">
        <v>35</v>
      </c>
      <c r="M1256" s="1">
        <f>IF(L1256="","ไม่พบใน SG",IF(ABS(J1256-L1256)&lt;0.005,"ตรงกัน","ไม่ตรง"))</f>
        <v/>
      </c>
      <c r="N1256" s="14">
        <f>IF(L1256="","",ROUND(L1256*'สรุป'!$C$6,-1))</f>
        <v/>
      </c>
      <c r="O1256" s="15" t="n"/>
      <c r="P1256" s="15" t="n"/>
      <c r="Q1256" s="10" t="n"/>
      <c r="R1256" s="10" t="n"/>
      <c r="S1256" s="16" t="inlineStr">
        <is>
          <t>https://mstgolf.co.th/products/gf3030200190</t>
        </is>
      </c>
      <c r="T1256" s="1">
        <f>IF(B1256="ไม้กอล์ฟ",J1256,"")</f>
        <v/>
      </c>
    </row>
    <row r="1257">
      <c r="A1257" s="1" t="n">
        <v>2</v>
      </c>
      <c r="B1257" s="1" t="inlineStr">
        <is>
          <t>อุปกรณ์ฝึกซ้อม</t>
        </is>
      </c>
      <c r="C1257" s="1" t="inlineStr">
        <is>
          <t>gf3040200093</t>
        </is>
      </c>
      <c r="D1257" s="1" t="inlineStr">
        <is>
          <t>SKLZ Putt Path Gates</t>
        </is>
      </c>
      <c r="E1257" s="1" t="inlineStr">
        <is>
          <t>SKLZ</t>
        </is>
      </c>
      <c r="F1257" s="1" t="inlineStr">
        <is>
          <t>PUTT / CHIP</t>
        </is>
      </c>
      <c r="G1257" s="1" t="inlineStr">
        <is>
          <t>GF3040200093</t>
        </is>
      </c>
      <c r="H1257" s="1" t="n">
        <v>1</v>
      </c>
      <c r="I1257" s="1" t="inlineStr">
        <is>
          <t>มี</t>
        </is>
      </c>
      <c r="J1257" s="13" t="n">
        <v>35</v>
      </c>
      <c r="K1257" s="1" t="inlineStr"/>
      <c r="L1257" s="13" t="n">
        <v>35</v>
      </c>
      <c r="M1257" s="1">
        <f>IF(L1257="","ไม่พบใน SG",IF(ABS(J1257-L1257)&lt;0.005,"ตรงกัน","ไม่ตรง"))</f>
        <v/>
      </c>
      <c r="N1257" s="14">
        <f>IF(L1257="","",ROUND(L1257*'สรุป'!$C$6,-1))</f>
        <v/>
      </c>
      <c r="O1257" s="15" t="n"/>
      <c r="P1257" s="15" t="n"/>
      <c r="Q1257" s="10" t="n"/>
      <c r="R1257" s="10" t="n"/>
      <c r="S1257" s="16" t="inlineStr">
        <is>
          <t>https://mstgolf.co.th/products/gf3040200093</t>
        </is>
      </c>
      <c r="T1257" s="1">
        <f>IF(B1257="ไม้กอล์ฟ",J1257,"")</f>
        <v/>
      </c>
    </row>
    <row r="1258">
      <c r="A1258" s="1" t="n">
        <v>2</v>
      </c>
      <c r="B1258" s="1" t="inlineStr">
        <is>
          <t>รถเข็น</t>
        </is>
      </c>
      <c r="C1258" s="1" t="inlineStr">
        <is>
          <t>gf3030200193</t>
        </is>
      </c>
      <c r="D1258" s="1" t="inlineStr">
        <is>
          <t>SUN MOUNTAIN Umbrella Holder - Loose - All SM Trolleys</t>
        </is>
      </c>
      <c r="E1258" s="1" t="inlineStr">
        <is>
          <t>SUN MOUNTAIN</t>
        </is>
      </c>
      <c r="F1258" s="1" t="inlineStr">
        <is>
          <t>TROLLEY PARTS/ACCESSORIES</t>
        </is>
      </c>
      <c r="G1258" s="1" t="inlineStr">
        <is>
          <t>GF3030200193</t>
        </is>
      </c>
      <c r="H1258" s="1" t="n">
        <v>1</v>
      </c>
      <c r="I1258" s="1" t="inlineStr">
        <is>
          <t>มี</t>
        </is>
      </c>
      <c r="J1258" s="13" t="n">
        <v>35</v>
      </c>
      <c r="K1258" s="1" t="inlineStr"/>
      <c r="L1258" s="13" t="n">
        <v>35</v>
      </c>
      <c r="M1258" s="1">
        <f>IF(L1258="","ไม่พบใน SG",IF(ABS(J1258-L1258)&lt;0.005,"ตรงกัน","ไม่ตรง"))</f>
        <v/>
      </c>
      <c r="N1258" s="14">
        <f>IF(L1258="","",ROUND(L1258*'สรุป'!$C$6,-1))</f>
        <v/>
      </c>
      <c r="O1258" s="15" t="n"/>
      <c r="P1258" s="15" t="n"/>
      <c r="Q1258" s="10" t="n"/>
      <c r="R1258" s="10" t="n"/>
      <c r="S1258" s="16" t="inlineStr">
        <is>
          <t>https://mstgolf.co.th/products/gf3030200193</t>
        </is>
      </c>
      <c r="T1258" s="1">
        <f>IF(B1258="ไม้กอล์ฟ",J1258,"")</f>
        <v/>
      </c>
    </row>
    <row r="1259">
      <c r="A1259" s="1" t="n">
        <v>2</v>
      </c>
      <c r="B1259" s="1" t="inlineStr">
        <is>
          <t>ถุงมือ</t>
        </is>
      </c>
      <c r="C1259" s="1" t="inlineStr">
        <is>
          <t>gf3020100221</t>
        </is>
      </c>
      <c r="D1259" s="1" t="inlineStr">
        <is>
          <t>TAYLORMADE TP Colour All-Weather Glove (Grey)</t>
        </is>
      </c>
      <c r="E1259" s="1" t="inlineStr">
        <is>
          <t>TAYLORMADE</t>
        </is>
      </c>
      <c r="F1259" s="1" t="inlineStr">
        <is>
          <t>LEATHER</t>
        </is>
      </c>
      <c r="G1259" s="1" t="inlineStr">
        <is>
          <t>GF302010022122</t>
        </is>
      </c>
      <c r="H1259" s="1" t="n">
        <v>5</v>
      </c>
      <c r="I1259" s="1" t="inlineStr">
        <is>
          <t>มี</t>
        </is>
      </c>
      <c r="J1259" s="13" t="n">
        <v>35</v>
      </c>
      <c r="K1259" s="1" t="inlineStr"/>
      <c r="L1259" s="13" t="n">
        <v>35</v>
      </c>
      <c r="M1259" s="1">
        <f>IF(L1259="","ไม่พบใน SG",IF(ABS(J1259-L1259)&lt;0.005,"ตรงกัน","ไม่ตรง"))</f>
        <v/>
      </c>
      <c r="N1259" s="14">
        <f>IF(L1259="","",ROUND(L1259*'สรุป'!$C$6,-1))</f>
        <v/>
      </c>
      <c r="O1259" s="15" t="n"/>
      <c r="P1259" s="15" t="n"/>
      <c r="Q1259" s="10" t="n"/>
      <c r="R1259" s="10" t="n"/>
      <c r="S1259" s="16" t="inlineStr">
        <is>
          <t>https://mstgolf.co.th/products/gf3020100221</t>
        </is>
      </c>
      <c r="T1259" s="1">
        <f>IF(B1259="ไม้กอล์ฟ",J1259,"")</f>
        <v/>
      </c>
    </row>
    <row r="1260">
      <c r="A1260" s="1" t="n">
        <v>2</v>
      </c>
      <c r="B1260" s="1" t="inlineStr">
        <is>
          <t>รองเท้า</t>
        </is>
      </c>
      <c r="C1260" s="1" t="inlineStr">
        <is>
          <t>gf2540100111</t>
        </is>
      </c>
      <c r="D1260" s="1" t="inlineStr">
        <is>
          <t>UNDER ARMOUR Ansa Fixed Slides Men's Sandals (Black)</t>
        </is>
      </c>
      <c r="E1260" s="1" t="inlineStr">
        <is>
          <t>UNDER ARMOUR</t>
        </is>
      </c>
      <c r="F1260" s="1" t="inlineStr">
        <is>
          <t>CASUAL</t>
        </is>
      </c>
      <c r="G1260" s="1" t="inlineStr">
        <is>
          <t>GF2540100111US7</t>
        </is>
      </c>
      <c r="H1260" s="1" t="n">
        <v>6</v>
      </c>
      <c r="I1260" s="1" t="inlineStr">
        <is>
          <t>มี</t>
        </is>
      </c>
      <c r="J1260" s="13" t="n">
        <v>35</v>
      </c>
      <c r="K1260" s="1" t="inlineStr"/>
      <c r="L1260" s="13" t="n">
        <v>35</v>
      </c>
      <c r="M1260" s="1">
        <f>IF(L1260="","ไม่พบใน SG",IF(ABS(J1260-L1260)&lt;0.005,"ตรงกัน","ไม่ตรง"))</f>
        <v/>
      </c>
      <c r="N1260" s="14">
        <f>IF(L1260="","",ROUND(L1260*'สรุป'!$C$6,-1))</f>
        <v/>
      </c>
      <c r="O1260" s="15" t="n"/>
      <c r="P1260" s="15" t="n"/>
      <c r="Q1260" s="10" t="n"/>
      <c r="R1260" s="10" t="n"/>
      <c r="S1260" s="16" t="inlineStr">
        <is>
          <t>https://mstgolf.co.th/products/gf2540100111</t>
        </is>
      </c>
      <c r="T1260" s="1">
        <f>IF(B1260="ไม้กอล์ฟ",J1260,"")</f>
        <v/>
      </c>
    </row>
    <row r="1261">
      <c r="A1261" s="1" t="n">
        <v>2</v>
      </c>
      <c r="B1261" s="1" t="inlineStr">
        <is>
          <t>ถุงกอล์ฟ</t>
        </is>
      </c>
      <c r="C1261" s="1" t="inlineStr">
        <is>
          <t>gf3010400921</t>
        </is>
      </c>
      <c r="D1261" s="1" t="inlineStr">
        <is>
          <t>UNDER ARMOUR Contain Travel Kit Pouch (Black/Gold)</t>
        </is>
      </c>
      <c r="E1261" s="1" t="inlineStr">
        <is>
          <t>UNDER ARMOUR</t>
        </is>
      </c>
      <c r="F1261" s="1" t="inlineStr">
        <is>
          <t>SMALL BAG</t>
        </is>
      </c>
      <c r="G1261" s="1" t="inlineStr">
        <is>
          <t>GF3010400921</t>
        </is>
      </c>
      <c r="H1261" s="1" t="n">
        <v>1</v>
      </c>
      <c r="I1261" s="1" t="inlineStr">
        <is>
          <t>มี</t>
        </is>
      </c>
      <c r="J1261" s="13" t="n">
        <v>35</v>
      </c>
      <c r="K1261" s="1" t="inlineStr"/>
      <c r="L1261" s="13" t="n">
        <v>35</v>
      </c>
      <c r="M1261" s="1">
        <f>IF(L1261="","ไม่พบใน SG",IF(ABS(J1261-L1261)&lt;0.005,"ตรงกัน","ไม่ตรง"))</f>
        <v/>
      </c>
      <c r="N1261" s="14">
        <f>IF(L1261="","",ROUND(L1261*'สรุป'!$C$6,-1))</f>
        <v/>
      </c>
      <c r="O1261" s="15" t="n"/>
      <c r="P1261" s="15" t="n"/>
      <c r="Q1261" s="10" t="n"/>
      <c r="R1261" s="10" t="n"/>
      <c r="S1261" s="16" t="inlineStr">
        <is>
          <t>https://mstgolf.co.th/products/gf3010400921</t>
        </is>
      </c>
      <c r="T1261" s="1">
        <f>IF(B1261="ไม้กอล์ฟ",J1261,"")</f>
        <v/>
      </c>
    </row>
    <row r="1262">
      <c r="A1262" s="1" t="n">
        <v>2</v>
      </c>
      <c r="B1262" s="1" t="inlineStr">
        <is>
          <t>ถุงกอล์ฟ</t>
        </is>
      </c>
      <c r="C1262" s="1" t="inlineStr">
        <is>
          <t>gf3010200686</t>
        </is>
      </c>
      <c r="D1262" s="1" t="inlineStr">
        <is>
          <t>DISNEY Star Wars Shoe Bag (Beige)</t>
        </is>
      </c>
      <c r="E1262" s="1" t="inlineStr">
        <is>
          <t>DISNEY</t>
        </is>
      </c>
      <c r="F1262" s="1" t="inlineStr">
        <is>
          <t>SHOES BAG</t>
        </is>
      </c>
      <c r="G1262" s="1" t="inlineStr">
        <is>
          <t>GF3010200686</t>
        </is>
      </c>
      <c r="H1262" s="1" t="n">
        <v>1</v>
      </c>
      <c r="I1262" s="1" t="inlineStr">
        <is>
          <t>มี</t>
        </is>
      </c>
      <c r="J1262" s="13" t="n">
        <v>33</v>
      </c>
      <c r="K1262" s="1" t="inlineStr"/>
      <c r="L1262" s="13" t="n">
        <v>33</v>
      </c>
      <c r="M1262" s="1">
        <f>IF(L1262="","ไม่พบใน SG",IF(ABS(J1262-L1262)&lt;0.005,"ตรงกัน","ไม่ตรง"))</f>
        <v/>
      </c>
      <c r="N1262" s="14">
        <f>IF(L1262="","",ROUND(L1262*'สรุป'!$C$6,-1))</f>
        <v/>
      </c>
      <c r="O1262" s="15" t="n"/>
      <c r="P1262" s="15" t="n"/>
      <c r="Q1262" s="10" t="n"/>
      <c r="R1262" s="10" t="n"/>
      <c r="S1262" s="16" t="inlineStr">
        <is>
          <t>https://mstgolf.co.th/products/gf3010200686</t>
        </is>
      </c>
      <c r="T1262" s="1">
        <f>IF(B1262="ไม้กอล์ฟ",J1262,"")</f>
        <v/>
      </c>
    </row>
    <row r="1263">
      <c r="A1263" s="1" t="n">
        <v>2</v>
      </c>
      <c r="B1263" s="1" t="inlineStr">
        <is>
          <t>ถุงกอล์ฟ</t>
        </is>
      </c>
      <c r="C1263" s="1" t="inlineStr">
        <is>
          <t>gf3010200687</t>
        </is>
      </c>
      <c r="D1263" s="1" t="inlineStr">
        <is>
          <t>DISNEY Star Wars Shoe Bag (Black)</t>
        </is>
      </c>
      <c r="E1263" s="1" t="inlineStr">
        <is>
          <t>DISNEY</t>
        </is>
      </c>
      <c r="F1263" s="1" t="inlineStr">
        <is>
          <t>SHOES BAG</t>
        </is>
      </c>
      <c r="G1263" s="1" t="inlineStr">
        <is>
          <t>GF3010200687</t>
        </is>
      </c>
      <c r="H1263" s="1" t="n">
        <v>1</v>
      </c>
      <c r="I1263" s="1" t="inlineStr">
        <is>
          <t>มี</t>
        </is>
      </c>
      <c r="J1263" s="13" t="n">
        <v>33</v>
      </c>
      <c r="K1263" s="1" t="inlineStr"/>
      <c r="L1263" s="13" t="n">
        <v>33</v>
      </c>
      <c r="M1263" s="1">
        <f>IF(L1263="","ไม่พบใน SG",IF(ABS(J1263-L1263)&lt;0.005,"ตรงกัน","ไม่ตรง"))</f>
        <v/>
      </c>
      <c r="N1263" s="14">
        <f>IF(L1263="","",ROUND(L1263*'สรุป'!$C$6,-1))</f>
        <v/>
      </c>
      <c r="O1263" s="15" t="n"/>
      <c r="P1263" s="15" t="n"/>
      <c r="Q1263" s="10" t="n"/>
      <c r="R1263" s="10" t="n"/>
      <c r="S1263" s="16" t="inlineStr">
        <is>
          <t>https://mstgolf.co.th/products/gf3010200687</t>
        </is>
      </c>
      <c r="T1263" s="1">
        <f>IF(B1263="ไม้กอล์ฟ",J1263,"")</f>
        <v/>
      </c>
    </row>
    <row r="1264">
      <c r="A1264" s="1" t="n">
        <v>2</v>
      </c>
      <c r="B1264" s="1" t="inlineStr">
        <is>
          <t>ถุงกอล์ฟ</t>
        </is>
      </c>
      <c r="C1264" s="1" t="inlineStr">
        <is>
          <t>gf3010200412</t>
        </is>
      </c>
      <c r="D1264" s="1" t="inlineStr">
        <is>
          <t>NIKE Brasilia Shoe Bag (Black/Black/White)</t>
        </is>
      </c>
      <c r="E1264" s="1" t="inlineStr">
        <is>
          <t>NIKE</t>
        </is>
      </c>
      <c r="F1264" s="1" t="inlineStr">
        <is>
          <t>SHOES BAG</t>
        </is>
      </c>
      <c r="G1264" s="1" t="inlineStr">
        <is>
          <t>GF3010200412</t>
        </is>
      </c>
      <c r="H1264" s="1" t="n">
        <v>1</v>
      </c>
      <c r="I1264" s="1" t="inlineStr">
        <is>
          <t>มี</t>
        </is>
      </c>
      <c r="J1264" s="13" t="n">
        <v>33</v>
      </c>
      <c r="K1264" s="1" t="inlineStr"/>
      <c r="L1264" s="13" t="n">
        <v>29</v>
      </c>
      <c r="M1264" s="1">
        <f>IF(L1264="","ไม่พบใน SG",IF(ABS(J1264-L1264)&lt;0.005,"ตรงกัน","ไม่ตรง"))</f>
        <v/>
      </c>
      <c r="N1264" s="14">
        <f>IF(L1264="","",ROUND(L1264*'สรุป'!$C$6,-1))</f>
        <v/>
      </c>
      <c r="O1264" s="15" t="n"/>
      <c r="P1264" s="15" t="n"/>
      <c r="Q1264" s="10" t="n"/>
      <c r="R1264" s="10" t="n"/>
      <c r="S1264" s="16" t="inlineStr">
        <is>
          <t>https://mstgolf.co.th/products/gf3010200412</t>
        </is>
      </c>
      <c r="T1264" s="1">
        <f>IF(B1264="ไม้กอล์ฟ",J1264,"")</f>
        <v/>
      </c>
    </row>
    <row r="1265">
      <c r="A1265" s="1" t="n">
        <v>2</v>
      </c>
      <c r="B1265" s="1" t="inlineStr">
        <is>
          <t>ลูกกอล์ฟ</t>
        </is>
      </c>
      <c r="C1265" s="1" t="inlineStr">
        <is>
          <t>gf3200200179</t>
        </is>
      </c>
      <c r="D1265" s="1" t="inlineStr">
        <is>
          <t>TAYLORMADE Kalea (2022) (Peach) Golf Ball</t>
        </is>
      </c>
      <c r="E1265" s="1" t="inlineStr">
        <is>
          <t>TAYLORMADE</t>
        </is>
      </c>
      <c r="F1265" s="1" t="inlineStr">
        <is>
          <t>SOFT</t>
        </is>
      </c>
      <c r="G1265" s="1" t="inlineStr">
        <is>
          <t>GF3200200179</t>
        </is>
      </c>
      <c r="H1265" s="1" t="n">
        <v>1</v>
      </c>
      <c r="I1265" s="1" t="inlineStr">
        <is>
          <t>มี</t>
        </is>
      </c>
      <c r="J1265" s="13" t="n">
        <v>32</v>
      </c>
      <c r="K1265" s="1" t="inlineStr"/>
      <c r="L1265" s="13" t="n">
        <v>32</v>
      </c>
      <c r="M1265" s="1">
        <f>IF(L1265="","ไม่พบใน SG",IF(ABS(J1265-L1265)&lt;0.005,"ตรงกัน","ไม่ตรง"))</f>
        <v/>
      </c>
      <c r="N1265" s="14">
        <f>IF(L1265="","",ROUND(L1265*'สรุป'!$C$6,-1))</f>
        <v/>
      </c>
      <c r="O1265" s="15" t="n"/>
      <c r="P1265" s="15" t="n"/>
      <c r="Q1265" s="10" t="n"/>
      <c r="R1265" s="10" t="n"/>
      <c r="S1265" s="16" t="inlineStr">
        <is>
          <t>https://mstgolf.co.th/products/gf3200200179</t>
        </is>
      </c>
      <c r="T1265" s="1">
        <f>IF(B1265="ไม้กอล์ฟ",J1265,"")</f>
        <v/>
      </c>
    </row>
    <row r="1266">
      <c r="A1266" s="1" t="n">
        <v>2</v>
      </c>
      <c r="B1266" s="1" t="inlineStr">
        <is>
          <t>ลูกกอล์ฟ</t>
        </is>
      </c>
      <c r="C1266" s="1" t="inlineStr">
        <is>
          <t>gf3200200178</t>
        </is>
      </c>
      <c r="D1266" s="1" t="inlineStr">
        <is>
          <t>TAYLORMADE Kalea (2022) Golf Ball</t>
        </is>
      </c>
      <c r="E1266" s="1" t="inlineStr">
        <is>
          <t>TAYLORMADE</t>
        </is>
      </c>
      <c r="F1266" s="1" t="inlineStr">
        <is>
          <t>SOFT</t>
        </is>
      </c>
      <c r="G1266" s="1" t="inlineStr">
        <is>
          <t>GF3200200178</t>
        </is>
      </c>
      <c r="H1266" s="1" t="n">
        <v>1</v>
      </c>
      <c r="I1266" s="1" t="inlineStr">
        <is>
          <t>มี</t>
        </is>
      </c>
      <c r="J1266" s="13" t="n">
        <v>32</v>
      </c>
      <c r="K1266" s="1" t="inlineStr"/>
      <c r="L1266" s="13" t="n">
        <v>32</v>
      </c>
      <c r="M1266" s="1">
        <f>IF(L1266="","ไม่พบใน SG",IF(ABS(J1266-L1266)&lt;0.005,"ตรงกัน","ไม่ตรง"))</f>
        <v/>
      </c>
      <c r="N1266" s="14">
        <f>IF(L1266="","",ROUND(L1266*'สรุป'!$C$6,-1))</f>
        <v/>
      </c>
      <c r="O1266" s="15" t="n"/>
      <c r="P1266" s="15" t="n"/>
      <c r="Q1266" s="10" t="n"/>
      <c r="R1266" s="10" t="n"/>
      <c r="S1266" s="16" t="inlineStr">
        <is>
          <t>https://mstgolf.co.th/products/gf3200200178</t>
        </is>
      </c>
      <c r="T1266" s="1">
        <f>IF(B1266="ไม้กอล์ฟ",J1266,"")</f>
        <v/>
      </c>
    </row>
    <row r="1267">
      <c r="A1267" s="1" t="n">
        <v>2</v>
      </c>
      <c r="B1267" s="1" t="inlineStr">
        <is>
          <t>ถุงกอล์ฟ</t>
        </is>
      </c>
      <c r="C1267" s="1" t="inlineStr">
        <is>
          <t>gf3010401208</t>
        </is>
      </c>
      <c r="D1267" s="1" t="inlineStr">
        <is>
          <t>DISNEY Polyester Pouch (Navy)</t>
        </is>
      </c>
      <c r="E1267" s="1" t="inlineStr">
        <is>
          <t>DISNEY</t>
        </is>
      </c>
      <c r="F1267" s="1" t="inlineStr">
        <is>
          <t>SMALL BAG</t>
        </is>
      </c>
      <c r="G1267" s="1" t="inlineStr">
        <is>
          <t>GF3010401208</t>
        </is>
      </c>
      <c r="H1267" s="1" t="n">
        <v>1</v>
      </c>
      <c r="I1267" s="1" t="inlineStr">
        <is>
          <t>มี</t>
        </is>
      </c>
      <c r="J1267" s="13" t="n">
        <v>31</v>
      </c>
      <c r="K1267" s="1" t="inlineStr"/>
      <c r="L1267" s="13" t="n">
        <v>31</v>
      </c>
      <c r="M1267" s="1">
        <f>IF(L1267="","ไม่พบใน SG",IF(ABS(J1267-L1267)&lt;0.005,"ตรงกัน","ไม่ตรง"))</f>
        <v/>
      </c>
      <c r="N1267" s="14">
        <f>IF(L1267="","",ROUND(L1267*'สรุป'!$C$6,-1))</f>
        <v/>
      </c>
      <c r="O1267" s="15" t="n"/>
      <c r="P1267" s="15" t="n"/>
      <c r="Q1267" s="10" t="n"/>
      <c r="R1267" s="10" t="n"/>
      <c r="S1267" s="16" t="inlineStr">
        <is>
          <t>https://mstgolf.co.th/products/gf3010401208</t>
        </is>
      </c>
      <c r="T1267" s="1">
        <f>IF(B1267="ไม้กอล์ฟ",J1267,"")</f>
        <v/>
      </c>
    </row>
    <row r="1268">
      <c r="A1268" s="1" t="n">
        <v>2</v>
      </c>
      <c r="B1268" s="1" t="inlineStr">
        <is>
          <t>อุปกรณ์ฝึกซ้อม</t>
        </is>
      </c>
      <c r="C1268" s="1" t="inlineStr">
        <is>
          <t>gf3500300930</t>
        </is>
      </c>
      <c r="D1268" s="1" t="inlineStr">
        <is>
          <t>TABATA Swing Form Trainer</t>
        </is>
      </c>
      <c r="E1268" s="1" t="inlineStr">
        <is>
          <t>TABATA</t>
        </is>
      </c>
      <c r="F1268" s="1" t="inlineStr">
        <is>
          <t>SWING</t>
        </is>
      </c>
      <c r="G1268" s="1" t="inlineStr">
        <is>
          <t>GF3500300930</t>
        </is>
      </c>
      <c r="H1268" s="1" t="n">
        <v>1</v>
      </c>
      <c r="I1268" s="1" t="inlineStr">
        <is>
          <t>มี</t>
        </is>
      </c>
      <c r="J1268" s="13" t="n">
        <v>30</v>
      </c>
      <c r="K1268" s="1" t="inlineStr"/>
      <c r="L1268" s="13" t="n">
        <v>30</v>
      </c>
      <c r="M1268" s="1">
        <f>IF(L1268="","ไม่พบใน SG",IF(ABS(J1268-L1268)&lt;0.005,"ตรงกัน","ไม่ตรง"))</f>
        <v/>
      </c>
      <c r="N1268" s="14">
        <f>IF(L1268="","",ROUND(L1268*'สรุป'!$C$6,-1))</f>
        <v/>
      </c>
      <c r="O1268" s="15" t="n"/>
      <c r="P1268" s="15" t="n"/>
      <c r="Q1268" s="10" t="n"/>
      <c r="R1268" s="10" t="n"/>
      <c r="S1268" s="16" t="inlineStr">
        <is>
          <t>https://mstgolf.co.th/products/gf3500300930</t>
        </is>
      </c>
      <c r="T1268" s="1">
        <f>IF(B1268="ไม้กอล์ฟ",J1268,"")</f>
        <v/>
      </c>
    </row>
    <row r="1269">
      <c r="A1269" s="1" t="n">
        <v>2</v>
      </c>
      <c r="B1269" s="1" t="inlineStr">
        <is>
          <t>ถุงกอล์ฟ</t>
        </is>
      </c>
      <c r="C1269" s="1" t="inlineStr">
        <is>
          <t>gf3010200526</t>
        </is>
      </c>
      <c r="D1269" s="1" t="inlineStr">
        <is>
          <t>ADIDAS AG Shoe Bag (Black)</t>
        </is>
      </c>
      <c r="E1269" s="1" t="inlineStr">
        <is>
          <t>ADIDAS</t>
        </is>
      </c>
      <c r="F1269" s="1" t="inlineStr">
        <is>
          <t>SHOES BAG</t>
        </is>
      </c>
      <c r="G1269" s="1" t="inlineStr">
        <is>
          <t>GF3010200526</t>
        </is>
      </c>
      <c r="H1269" s="1" t="n">
        <v>1</v>
      </c>
      <c r="I1269" s="1" t="inlineStr">
        <is>
          <t>มี</t>
        </is>
      </c>
      <c r="J1269" s="13" t="n">
        <v>29</v>
      </c>
      <c r="K1269" s="1" t="inlineStr"/>
      <c r="L1269" s="13" t="n">
        <v>19</v>
      </c>
      <c r="M1269" s="1">
        <f>IF(L1269="","ไม่พบใน SG",IF(ABS(J1269-L1269)&lt;0.005,"ตรงกัน","ไม่ตรง"))</f>
        <v/>
      </c>
      <c r="N1269" s="14">
        <f>IF(L1269="","",ROUND(L1269*'สรุป'!$C$6,-1))</f>
        <v/>
      </c>
      <c r="O1269" s="15" t="n"/>
      <c r="P1269" s="15" t="n"/>
      <c r="Q1269" s="10" t="n"/>
      <c r="R1269" s="10" t="n"/>
      <c r="S1269" s="16" t="inlineStr">
        <is>
          <t>https://mstgolf.co.th/products/gf3010200526</t>
        </is>
      </c>
      <c r="T1269" s="1">
        <f>IF(B1269="ไม้กอล์ฟ",J1269,"")</f>
        <v/>
      </c>
    </row>
    <row r="1270">
      <c r="A1270" s="1" t="n">
        <v>2</v>
      </c>
      <c r="B1270" s="1" t="inlineStr">
        <is>
          <t>ถุงกอล์ฟ</t>
        </is>
      </c>
      <c r="C1270" s="1" t="inlineStr">
        <is>
          <t>gf3010401075</t>
        </is>
      </c>
      <c r="D1270" s="1" t="inlineStr">
        <is>
          <t>CUTTER &amp; BUCK Double Zip PU Pouch (Grey)</t>
        </is>
      </c>
      <c r="E1270" s="1" t="inlineStr">
        <is>
          <t>CUTTER &amp; BUCK</t>
        </is>
      </c>
      <c r="F1270" s="1" t="inlineStr">
        <is>
          <t>SMALL BAG</t>
        </is>
      </c>
      <c r="G1270" s="1" t="inlineStr">
        <is>
          <t>GF3010401075</t>
        </is>
      </c>
      <c r="H1270" s="1" t="n">
        <v>1</v>
      </c>
      <c r="I1270" s="1" t="inlineStr">
        <is>
          <t>มี</t>
        </is>
      </c>
      <c r="J1270" s="13" t="n">
        <v>29</v>
      </c>
      <c r="K1270" s="1" t="inlineStr"/>
      <c r="L1270" s="13" t="n">
        <v>29</v>
      </c>
      <c r="M1270" s="1">
        <f>IF(L1270="","ไม่พบใน SG",IF(ABS(J1270-L1270)&lt;0.005,"ตรงกัน","ไม่ตรง"))</f>
        <v/>
      </c>
      <c r="N1270" s="14">
        <f>IF(L1270="","",ROUND(L1270*'สรุป'!$C$6,-1))</f>
        <v/>
      </c>
      <c r="O1270" s="15" t="n"/>
      <c r="P1270" s="15" t="n"/>
      <c r="Q1270" s="10" t="n"/>
      <c r="R1270" s="10" t="n"/>
      <c r="S1270" s="16" t="inlineStr">
        <is>
          <t>https://mstgolf.co.th/products/gf3010401075</t>
        </is>
      </c>
      <c r="T1270" s="1">
        <f>IF(B1270="ไม้กอล์ฟ",J1270,"")</f>
        <v/>
      </c>
    </row>
    <row r="1271">
      <c r="A1271" s="1" t="n">
        <v>2</v>
      </c>
      <c r="B1271" s="1" t="inlineStr">
        <is>
          <t>ถุงกอล์ฟ</t>
        </is>
      </c>
      <c r="C1271" s="1" t="inlineStr">
        <is>
          <t>gf3010401020</t>
        </is>
      </c>
      <c r="D1271" s="1" t="inlineStr">
        <is>
          <t>CUTTER &amp; BUCK Double Zip Pouch (Black)</t>
        </is>
      </c>
      <c r="E1271" s="1" t="inlineStr">
        <is>
          <t>CUTTER &amp; BUCK</t>
        </is>
      </c>
      <c r="F1271" s="1" t="inlineStr">
        <is>
          <t>SMALL BAG</t>
        </is>
      </c>
      <c r="G1271" s="1" t="inlineStr">
        <is>
          <t>GF3010401020</t>
        </is>
      </c>
      <c r="H1271" s="1" t="n">
        <v>1</v>
      </c>
      <c r="I1271" s="1" t="inlineStr">
        <is>
          <t>มี</t>
        </is>
      </c>
      <c r="J1271" s="13" t="n">
        <v>29</v>
      </c>
      <c r="K1271" s="1" t="inlineStr"/>
      <c r="L1271" s="13" t="n">
        <v>29</v>
      </c>
      <c r="M1271" s="1">
        <f>IF(L1271="","ไม่พบใน SG",IF(ABS(J1271-L1271)&lt;0.005,"ตรงกัน","ไม่ตรง"))</f>
        <v/>
      </c>
      <c r="N1271" s="14">
        <f>IF(L1271="","",ROUND(L1271*'สรุป'!$C$6,-1))</f>
        <v/>
      </c>
      <c r="O1271" s="15" t="n"/>
      <c r="P1271" s="15" t="n"/>
      <c r="Q1271" s="10" t="n"/>
      <c r="R1271" s="10" t="n"/>
      <c r="S1271" s="16" t="inlineStr">
        <is>
          <t>https://mstgolf.co.th/products/gf3010401020</t>
        </is>
      </c>
      <c r="T1271" s="1">
        <f>IF(B1271="ไม้กอล์ฟ",J1271,"")</f>
        <v/>
      </c>
    </row>
    <row r="1272">
      <c r="A1272" s="1" t="n">
        <v>2</v>
      </c>
      <c r="B1272" s="1" t="inlineStr">
        <is>
          <t>ถุงกอล์ฟ</t>
        </is>
      </c>
      <c r="C1272" s="1" t="inlineStr">
        <is>
          <t>gf3010401074</t>
        </is>
      </c>
      <c r="D1272" s="1" t="inlineStr">
        <is>
          <t>CUTTER &amp; BUCK Textured PU Pouch (Black)</t>
        </is>
      </c>
      <c r="E1272" s="1" t="inlineStr">
        <is>
          <t>CUTTER &amp; BUCK</t>
        </is>
      </c>
      <c r="F1272" s="1" t="inlineStr">
        <is>
          <t>SMALL BAG</t>
        </is>
      </c>
      <c r="G1272" s="1" t="inlineStr">
        <is>
          <t>GF3010401074</t>
        </is>
      </c>
      <c r="H1272" s="1" t="n">
        <v>1</v>
      </c>
      <c r="I1272" s="1" t="inlineStr">
        <is>
          <t>มี</t>
        </is>
      </c>
      <c r="J1272" s="13" t="n">
        <v>29</v>
      </c>
      <c r="K1272" s="1" t="inlineStr"/>
      <c r="L1272" s="13" t="n">
        <v>29</v>
      </c>
      <c r="M1272" s="1">
        <f>IF(L1272="","ไม่พบใน SG",IF(ABS(J1272-L1272)&lt;0.005,"ตรงกัน","ไม่ตรง"))</f>
        <v/>
      </c>
      <c r="N1272" s="14">
        <f>IF(L1272="","",ROUND(L1272*'สรุป'!$C$6,-1))</f>
        <v/>
      </c>
      <c r="O1272" s="15" t="n"/>
      <c r="P1272" s="15" t="n"/>
      <c r="Q1272" s="10" t="n"/>
      <c r="R1272" s="10" t="n"/>
      <c r="S1272" s="16" t="inlineStr">
        <is>
          <t>https://mstgolf.co.th/products/gf3010401074</t>
        </is>
      </c>
      <c r="T1272" s="1">
        <f>IF(B1272="ไม้กอล์ฟ",J1272,"")</f>
        <v/>
      </c>
    </row>
    <row r="1273">
      <c r="A1273" s="1" t="n">
        <v>2</v>
      </c>
      <c r="B1273" s="1" t="inlineStr">
        <is>
          <t>อุปกรณ์ฝึกซ้อม</t>
        </is>
      </c>
      <c r="C1273" s="1" t="inlineStr">
        <is>
          <t>gf3040100126</t>
        </is>
      </c>
      <c r="D1273" s="1" t="inlineStr">
        <is>
          <t>GENERAL ITEM Paragon Fan Warm Up Trainer</t>
        </is>
      </c>
      <c r="E1273" s="1" t="inlineStr">
        <is>
          <t>GENERAL ITEM</t>
        </is>
      </c>
      <c r="F1273" s="1" t="inlineStr">
        <is>
          <t>SWING</t>
        </is>
      </c>
      <c r="G1273" s="1" t="inlineStr">
        <is>
          <t>GF3040100126</t>
        </is>
      </c>
      <c r="H1273" s="1" t="n">
        <v>1</v>
      </c>
      <c r="I1273" s="1" t="inlineStr">
        <is>
          <t>มี</t>
        </is>
      </c>
      <c r="J1273" s="13" t="n">
        <v>29</v>
      </c>
      <c r="K1273" s="1" t="inlineStr"/>
      <c r="L1273" s="13" t="n"/>
      <c r="M1273" s="1">
        <f>IF(L1273="","ไม่พบใน SG",IF(ABS(J1273-L1273)&lt;0.005,"ตรงกัน","ไม่ตรง"))</f>
        <v/>
      </c>
      <c r="N1273" s="14">
        <f>IF(L1273="","",ROUND(L1273*'สรุป'!$C$6,-1))</f>
        <v/>
      </c>
      <c r="O1273" s="15" t="n"/>
      <c r="P1273" s="15" t="n"/>
      <c r="Q1273" s="10" t="n"/>
      <c r="R1273" s="10" t="n"/>
      <c r="S1273" s="16" t="inlineStr">
        <is>
          <t>https://mstgolf.co.th/products/gf3040100126</t>
        </is>
      </c>
      <c r="T1273" s="1">
        <f>IF(B1273="ไม้กอล์ฟ",J1273,"")</f>
        <v/>
      </c>
    </row>
    <row r="1274">
      <c r="A1274" s="1" t="n">
        <v>2</v>
      </c>
      <c r="B1274" s="1" t="inlineStr">
        <is>
          <t>อุปกรณ์ฝึกซ้อม</t>
        </is>
      </c>
      <c r="C1274" s="1" t="inlineStr">
        <is>
          <t>gf3500300405</t>
        </is>
      </c>
      <c r="D1274" s="1" t="inlineStr">
        <is>
          <t>GENERAL ITEM Paragon Impact Bag</t>
        </is>
      </c>
      <c r="E1274" s="1" t="inlineStr">
        <is>
          <t>GENERAL ITEM</t>
        </is>
      </c>
      <c r="F1274" s="1" t="inlineStr">
        <is>
          <t>SWING</t>
        </is>
      </c>
      <c r="G1274" s="1" t="inlineStr">
        <is>
          <t>GF3500300405</t>
        </is>
      </c>
      <c r="H1274" s="1" t="n">
        <v>1</v>
      </c>
      <c r="I1274" s="1" t="inlineStr">
        <is>
          <t>มี</t>
        </is>
      </c>
      <c r="J1274" s="13" t="n">
        <v>29</v>
      </c>
      <c r="K1274" s="1" t="inlineStr"/>
      <c r="L1274" s="13" t="n">
        <v>29</v>
      </c>
      <c r="M1274" s="1">
        <f>IF(L1274="","ไม่พบใน SG",IF(ABS(J1274-L1274)&lt;0.005,"ตรงกัน","ไม่ตรง"))</f>
        <v/>
      </c>
      <c r="N1274" s="14">
        <f>IF(L1274="","",ROUND(L1274*'สรุป'!$C$6,-1))</f>
        <v/>
      </c>
      <c r="O1274" s="15" t="n"/>
      <c r="P1274" s="15" t="n"/>
      <c r="Q1274" s="10" t="n"/>
      <c r="R1274" s="10" t="n"/>
      <c r="S1274" s="16" t="inlineStr">
        <is>
          <t>https://mstgolf.co.th/products/gf3500300405</t>
        </is>
      </c>
      <c r="T1274" s="1">
        <f>IF(B1274="ไม้กอล์ฟ",J1274,"")</f>
        <v/>
      </c>
    </row>
    <row r="1275">
      <c r="A1275" s="1" t="n">
        <v>2</v>
      </c>
      <c r="B1275" s="1" t="inlineStr">
        <is>
          <t>ถุงมือ</t>
        </is>
      </c>
      <c r="C1275" s="1" t="inlineStr">
        <is>
          <t>gf3020100251</t>
        </is>
      </c>
      <c r="D1275" s="1" t="inlineStr">
        <is>
          <t>MIZUNO Goat Leather Men's Glove (White)</t>
        </is>
      </c>
      <c r="E1275" s="1" t="inlineStr">
        <is>
          <t>MIZUNO</t>
        </is>
      </c>
      <c r="F1275" s="1" t="inlineStr">
        <is>
          <t>LEATHER</t>
        </is>
      </c>
      <c r="G1275" s="1" t="inlineStr">
        <is>
          <t>GF302010025122</t>
        </is>
      </c>
      <c r="H1275" s="1" t="n">
        <v>5</v>
      </c>
      <c r="I1275" s="1" t="inlineStr">
        <is>
          <t>มี</t>
        </is>
      </c>
      <c r="J1275" s="13" t="n">
        <v>29</v>
      </c>
      <c r="K1275" s="1" t="inlineStr"/>
      <c r="L1275" s="13" t="n">
        <v>29</v>
      </c>
      <c r="M1275" s="1">
        <f>IF(L1275="","ไม่พบใน SG",IF(ABS(J1275-L1275)&lt;0.005,"ตรงกัน","ไม่ตรง"))</f>
        <v/>
      </c>
      <c r="N1275" s="14">
        <f>IF(L1275="","",ROUND(L1275*'สรุป'!$C$6,-1))</f>
        <v/>
      </c>
      <c r="O1275" s="15" t="n"/>
      <c r="P1275" s="15" t="n"/>
      <c r="Q1275" s="10" t="n"/>
      <c r="R1275" s="10" t="n"/>
      <c r="S1275" s="16" t="inlineStr">
        <is>
          <t>https://mstgolf.co.th/products/gf3020100251</t>
        </is>
      </c>
      <c r="T1275" s="1">
        <f>IF(B1275="ไม้กอล์ฟ",J1275,"")</f>
        <v/>
      </c>
    </row>
    <row r="1276">
      <c r="A1276" s="1" t="n">
        <v>2</v>
      </c>
      <c r="B1276" s="1" t="inlineStr">
        <is>
          <t>ถุงมือ</t>
        </is>
      </c>
      <c r="C1276" s="1" t="inlineStr">
        <is>
          <t>gf3020100262</t>
        </is>
      </c>
      <c r="D1276" s="1" t="inlineStr">
        <is>
          <t>MIZUNO Goat Men's Leather Glove (White)</t>
        </is>
      </c>
      <c r="E1276" s="1" t="inlineStr">
        <is>
          <t>MIZUNO</t>
        </is>
      </c>
      <c r="F1276" s="1" t="inlineStr">
        <is>
          <t>LEATHER</t>
        </is>
      </c>
      <c r="G1276" s="1" t="inlineStr">
        <is>
          <t>GF302010026222</t>
        </is>
      </c>
      <c r="H1276" s="1" t="n">
        <v>5</v>
      </c>
      <c r="I1276" s="1" t="inlineStr">
        <is>
          <t>มี</t>
        </is>
      </c>
      <c r="J1276" s="13" t="n">
        <v>29</v>
      </c>
      <c r="K1276" s="1" t="inlineStr"/>
      <c r="L1276" s="13" t="n">
        <v>29</v>
      </c>
      <c r="M1276" s="1">
        <f>IF(L1276="","ไม่พบใน SG",IF(ABS(J1276-L1276)&lt;0.005,"ตรงกัน","ไม่ตรง"))</f>
        <v/>
      </c>
      <c r="N1276" s="14">
        <f>IF(L1276="","",ROUND(L1276*'สรุป'!$C$6,-1))</f>
        <v/>
      </c>
      <c r="O1276" s="15" t="n"/>
      <c r="P1276" s="15" t="n"/>
      <c r="Q1276" s="10" t="n"/>
      <c r="R1276" s="10" t="n"/>
      <c r="S1276" s="16" t="inlineStr">
        <is>
          <t>https://mstgolf.co.th/products/gf3020100262</t>
        </is>
      </c>
      <c r="T1276" s="1">
        <f>IF(B1276="ไม้กอล์ฟ",J1276,"")</f>
        <v/>
      </c>
    </row>
    <row r="1277">
      <c r="A1277" s="1" t="n">
        <v>2</v>
      </c>
      <c r="B1277" s="1" t="inlineStr">
        <is>
          <t>ถุงมือ</t>
        </is>
      </c>
      <c r="C1277" s="1" t="inlineStr">
        <is>
          <t>gf3020100153</t>
        </is>
      </c>
      <c r="D1277" s="1" t="inlineStr">
        <is>
          <t>MIZUNO Premium Cabretta Leather Glove (White)</t>
        </is>
      </c>
      <c r="E1277" s="1" t="inlineStr">
        <is>
          <t>MIZUNO</t>
        </is>
      </c>
      <c r="F1277" s="1" t="inlineStr">
        <is>
          <t>LEATHER</t>
        </is>
      </c>
      <c r="G1277" s="1" t="inlineStr">
        <is>
          <t>GF302010015322</t>
        </is>
      </c>
      <c r="H1277" s="1" t="n">
        <v>5</v>
      </c>
      <c r="I1277" s="1" t="inlineStr">
        <is>
          <t>มี</t>
        </is>
      </c>
      <c r="J1277" s="13" t="n">
        <v>29</v>
      </c>
      <c r="K1277" s="1" t="inlineStr"/>
      <c r="L1277" s="13" t="n">
        <v>29</v>
      </c>
      <c r="M1277" s="1">
        <f>IF(L1277="","ไม่พบใน SG",IF(ABS(J1277-L1277)&lt;0.005,"ตรงกัน","ไม่ตรง"))</f>
        <v/>
      </c>
      <c r="N1277" s="14">
        <f>IF(L1277="","",ROUND(L1277*'สรุป'!$C$6,-1))</f>
        <v/>
      </c>
      <c r="O1277" s="15" t="n"/>
      <c r="P1277" s="15" t="n"/>
      <c r="Q1277" s="10" t="n"/>
      <c r="R1277" s="10" t="n"/>
      <c r="S1277" s="16" t="inlineStr">
        <is>
          <t>https://mstgolf.co.th/products/gf3020100153</t>
        </is>
      </c>
      <c r="T1277" s="1">
        <f>IF(B1277="ไม้กอล์ฟ",J1277,"")</f>
        <v/>
      </c>
    </row>
    <row r="1278">
      <c r="A1278" s="1" t="n">
        <v>2</v>
      </c>
      <c r="B1278" s="1" t="inlineStr">
        <is>
          <t>รถเข็น</t>
        </is>
      </c>
      <c r="C1278" s="1" t="inlineStr">
        <is>
          <t>gf3030200188</t>
        </is>
      </c>
      <c r="D1278" s="1" t="inlineStr">
        <is>
          <t>MOTOCADDY Universal Drink Holder</t>
        </is>
      </c>
      <c r="E1278" s="1" t="inlineStr">
        <is>
          <t>MOTOCADDY</t>
        </is>
      </c>
      <c r="F1278" s="1" t="inlineStr">
        <is>
          <t>TROLLEY PARTS/ACCESSORIES</t>
        </is>
      </c>
      <c r="G1278" s="1" t="inlineStr">
        <is>
          <t>GF3030200188</t>
        </is>
      </c>
      <c r="H1278" s="1" t="n">
        <v>1</v>
      </c>
      <c r="I1278" s="1" t="inlineStr">
        <is>
          <t>มี</t>
        </is>
      </c>
      <c r="J1278" s="13" t="n">
        <v>29</v>
      </c>
      <c r="K1278" s="1" t="inlineStr"/>
      <c r="L1278" s="13" t="n">
        <v>29</v>
      </c>
      <c r="M1278" s="1">
        <f>IF(L1278="","ไม่พบใน SG",IF(ABS(J1278-L1278)&lt;0.005,"ตรงกัน","ไม่ตรง"))</f>
        <v/>
      </c>
      <c r="N1278" s="14">
        <f>IF(L1278="","",ROUND(L1278*'สรุป'!$C$6,-1))</f>
        <v/>
      </c>
      <c r="O1278" s="15" t="n"/>
      <c r="P1278" s="15" t="n"/>
      <c r="Q1278" s="10" t="n"/>
      <c r="R1278" s="10" t="n"/>
      <c r="S1278" s="16" t="inlineStr">
        <is>
          <t>https://mstgolf.co.th/products/gf3030200188</t>
        </is>
      </c>
      <c r="T1278" s="1">
        <f>IF(B1278="ไม้กอล์ฟ",J1278,"")</f>
        <v/>
      </c>
    </row>
    <row r="1279">
      <c r="A1279" s="1" t="n">
        <v>2</v>
      </c>
      <c r="B1279" s="1" t="inlineStr">
        <is>
          <t>ถุงมือ</t>
        </is>
      </c>
      <c r="C1279" s="1" t="inlineStr">
        <is>
          <t>gf3020200691</t>
        </is>
      </c>
      <c r="D1279" s="1" t="inlineStr">
        <is>
          <t>ONOFF Summer All Weather Pair Women's Pair Gloves (Black/Purple)</t>
        </is>
      </c>
      <c r="E1279" s="1" t="inlineStr">
        <is>
          <t>ONOFF</t>
        </is>
      </c>
      <c r="F1279" s="1" t="inlineStr">
        <is>
          <t>ALL WEATHER</t>
        </is>
      </c>
      <c r="G1279" s="1" t="inlineStr">
        <is>
          <t>GF302020069118</t>
        </is>
      </c>
      <c r="H1279" s="1" t="n">
        <v>4</v>
      </c>
      <c r="I1279" s="1" t="inlineStr">
        <is>
          <t>มี</t>
        </is>
      </c>
      <c r="J1279" s="13" t="n">
        <v>29</v>
      </c>
      <c r="K1279" s="1" t="inlineStr"/>
      <c r="L1279" s="13" t="n">
        <v>29</v>
      </c>
      <c r="M1279" s="1">
        <f>IF(L1279="","ไม่พบใน SG",IF(ABS(J1279-L1279)&lt;0.005,"ตรงกัน","ไม่ตรง"))</f>
        <v/>
      </c>
      <c r="N1279" s="14">
        <f>IF(L1279="","",ROUND(L1279*'สรุป'!$C$6,-1))</f>
        <v/>
      </c>
      <c r="O1279" s="15" t="n"/>
      <c r="P1279" s="15" t="n"/>
      <c r="Q1279" s="10" t="n"/>
      <c r="R1279" s="10" t="n"/>
      <c r="S1279" s="16" t="inlineStr">
        <is>
          <t>https://mstgolf.co.th/products/gf3020200691</t>
        </is>
      </c>
      <c r="T1279" s="1">
        <f>IF(B1279="ไม้กอล์ฟ",J1279,"")</f>
        <v/>
      </c>
    </row>
    <row r="1280">
      <c r="A1280" s="1" t="n">
        <v>2</v>
      </c>
      <c r="B1280" s="1" t="inlineStr">
        <is>
          <t>ถุงมือ</t>
        </is>
      </c>
      <c r="C1280" s="1" t="inlineStr">
        <is>
          <t>gf3020200690</t>
        </is>
      </c>
      <c r="D1280" s="1" t="inlineStr">
        <is>
          <t>ONOFF Summer All Weather Women's Pair Gloves (White/Purple)</t>
        </is>
      </c>
      <c r="E1280" s="1" t="inlineStr">
        <is>
          <t>ONOFF</t>
        </is>
      </c>
      <c r="F1280" s="1" t="inlineStr">
        <is>
          <t>ALL WEATHER</t>
        </is>
      </c>
      <c r="G1280" s="1" t="inlineStr">
        <is>
          <t>GF302020069018</t>
        </is>
      </c>
      <c r="H1280" s="1" t="n">
        <v>4</v>
      </c>
      <c r="I1280" s="1" t="inlineStr">
        <is>
          <t>มี</t>
        </is>
      </c>
      <c r="J1280" s="13" t="n">
        <v>29</v>
      </c>
      <c r="K1280" s="1" t="inlineStr"/>
      <c r="L1280" s="13" t="n">
        <v>29</v>
      </c>
      <c r="M1280" s="1">
        <f>IF(L1280="","ไม่พบใน SG",IF(ABS(J1280-L1280)&lt;0.005,"ตรงกัน","ไม่ตรง"))</f>
        <v/>
      </c>
      <c r="N1280" s="14">
        <f>IF(L1280="","",ROUND(L1280*'สรุป'!$C$6,-1))</f>
        <v/>
      </c>
      <c r="O1280" s="15" t="n"/>
      <c r="P1280" s="15" t="n"/>
      <c r="Q1280" s="10" t="n"/>
      <c r="R1280" s="10" t="n"/>
      <c r="S1280" s="16" t="inlineStr">
        <is>
          <t>https://mstgolf.co.th/products/gf3020200690</t>
        </is>
      </c>
      <c r="T1280" s="1">
        <f>IF(B1280="ไม้กอล์ฟ",J1280,"")</f>
        <v/>
      </c>
    </row>
    <row r="1281">
      <c r="A1281" s="1" t="n">
        <v>2</v>
      </c>
      <c r="B1281" s="1" t="inlineStr">
        <is>
          <t>ลูกกอล์ฟ</t>
        </is>
      </c>
      <c r="C1281" s="1" t="inlineStr">
        <is>
          <t>gf3200200235</t>
        </is>
      </c>
      <c r="D1281" s="1" t="inlineStr">
        <is>
          <t>TAYLORMADE Distance+ (2025) Golf Ball</t>
        </is>
      </c>
      <c r="E1281" s="1" t="inlineStr">
        <is>
          <t>TAYLORMADE</t>
        </is>
      </c>
      <c r="F1281" s="1" t="inlineStr">
        <is>
          <t>DISTANCE</t>
        </is>
      </c>
      <c r="G1281" s="1" t="inlineStr">
        <is>
          <t>GF3200200235</t>
        </is>
      </c>
      <c r="H1281" s="1" t="n">
        <v>1</v>
      </c>
      <c r="I1281" s="1" t="inlineStr">
        <is>
          <t>มี</t>
        </is>
      </c>
      <c r="J1281" s="13" t="n">
        <v>29</v>
      </c>
      <c r="K1281" s="1" t="inlineStr"/>
      <c r="L1281" s="13" t="n">
        <v>29</v>
      </c>
      <c r="M1281" s="1">
        <f>IF(L1281="","ไม่พบใน SG",IF(ABS(J1281-L1281)&lt;0.005,"ตรงกัน","ไม่ตรง"))</f>
        <v/>
      </c>
      <c r="N1281" s="14">
        <f>IF(L1281="","",ROUND(L1281*'สรุป'!$C$6,-1))</f>
        <v/>
      </c>
      <c r="O1281" s="15" t="n"/>
      <c r="P1281" s="15" t="n"/>
      <c r="Q1281" s="10" t="n"/>
      <c r="R1281" s="10" t="n"/>
      <c r="S1281" s="16" t="inlineStr">
        <is>
          <t>https://mstgolf.co.th/products/gf3200200235</t>
        </is>
      </c>
      <c r="T1281" s="1">
        <f>IF(B1281="ไม้กอล์ฟ",J1281,"")</f>
        <v/>
      </c>
    </row>
    <row r="1282">
      <c r="A1282" s="1" t="n">
        <v>2</v>
      </c>
      <c r="B1282" s="1" t="inlineStr">
        <is>
          <t>ลูกกอล์ฟ</t>
        </is>
      </c>
      <c r="C1282" s="1" t="inlineStr">
        <is>
          <t>gf3200200236</t>
        </is>
      </c>
      <c r="D1282" s="1" t="inlineStr">
        <is>
          <t>TAYLORMADE Distance+ Mutipack (2025) Golf Ball</t>
        </is>
      </c>
      <c r="E1282" s="1" t="inlineStr">
        <is>
          <t>TAYLORMADE</t>
        </is>
      </c>
      <c r="F1282" s="1" t="inlineStr">
        <is>
          <t>DISTANCE</t>
        </is>
      </c>
      <c r="G1282" s="1" t="inlineStr">
        <is>
          <t>GF3200200236</t>
        </is>
      </c>
      <c r="H1282" s="1" t="n">
        <v>1</v>
      </c>
      <c r="I1282" s="1" t="inlineStr">
        <is>
          <t>มี</t>
        </is>
      </c>
      <c r="J1282" s="13" t="n">
        <v>29</v>
      </c>
      <c r="K1282" s="1" t="inlineStr"/>
      <c r="L1282" s="13" t="n">
        <v>29</v>
      </c>
      <c r="M1282" s="1">
        <f>IF(L1282="","ไม่พบใน SG",IF(ABS(J1282-L1282)&lt;0.005,"ตรงกัน","ไม่ตรง"))</f>
        <v/>
      </c>
      <c r="N1282" s="14">
        <f>IF(L1282="","",ROUND(L1282*'สรุป'!$C$6,-1))</f>
        <v/>
      </c>
      <c r="O1282" s="15" t="n"/>
      <c r="P1282" s="15" t="n"/>
      <c r="Q1282" s="10" t="n"/>
      <c r="R1282" s="10" t="n"/>
      <c r="S1282" s="16" t="inlineStr">
        <is>
          <t>https://mstgolf.co.th/products/gf3200200236</t>
        </is>
      </c>
      <c r="T1282" s="1">
        <f>IF(B1282="ไม้กอล์ฟ",J1282,"")</f>
        <v/>
      </c>
    </row>
    <row r="1283">
      <c r="A1283" s="1" t="n">
        <v>2</v>
      </c>
      <c r="B1283" s="1" t="inlineStr">
        <is>
          <t>ถุงมือ</t>
        </is>
      </c>
      <c r="C1283" s="1" t="inlineStr">
        <is>
          <t>gf3020100170</t>
        </is>
      </c>
      <c r="D1283" s="1" t="inlineStr">
        <is>
          <t>TAYLORMADE Tour Preferred Genuine Men's Leather Glove (White)</t>
        </is>
      </c>
      <c r="E1283" s="1" t="inlineStr">
        <is>
          <t>TAYLORMADE</t>
        </is>
      </c>
      <c r="F1283" s="1" t="inlineStr">
        <is>
          <t>LEATHER</t>
        </is>
      </c>
      <c r="G1283" s="1" t="inlineStr">
        <is>
          <t>GF302010017021</t>
        </is>
      </c>
      <c r="H1283" s="1" t="n">
        <v>6</v>
      </c>
      <c r="I1283" s="1" t="inlineStr">
        <is>
          <t>มี</t>
        </is>
      </c>
      <c r="J1283" s="13" t="n">
        <v>29</v>
      </c>
      <c r="K1283" s="1" t="inlineStr"/>
      <c r="L1283" s="13" t="n">
        <v>29</v>
      </c>
      <c r="M1283" s="1">
        <f>IF(L1283="","ไม่พบใน SG",IF(ABS(J1283-L1283)&lt;0.005,"ตรงกัน","ไม่ตรง"))</f>
        <v/>
      </c>
      <c r="N1283" s="14">
        <f>IF(L1283="","",ROUND(L1283*'สรุป'!$C$6,-1))</f>
        <v/>
      </c>
      <c r="O1283" s="15" t="n"/>
      <c r="P1283" s="15" t="n"/>
      <c r="Q1283" s="10" t="n"/>
      <c r="R1283" s="10" t="n"/>
      <c r="S1283" s="16" t="inlineStr">
        <is>
          <t>https://mstgolf.co.th/products/gf3020100170</t>
        </is>
      </c>
      <c r="T1283" s="1">
        <f>IF(B1283="ไม้กอล์ฟ",J1283,"")</f>
        <v/>
      </c>
    </row>
    <row r="1284">
      <c r="A1284" s="1" t="n">
        <v>2</v>
      </c>
      <c r="B1284" s="1" t="inlineStr">
        <is>
          <t>ถุงมือ</t>
        </is>
      </c>
      <c r="C1284" s="1" t="inlineStr">
        <is>
          <t>gf3020100189</t>
        </is>
      </c>
      <c r="D1284" s="1" t="inlineStr">
        <is>
          <t>TAYLORMADE Tour Preferred Leather Men's Glove (White)</t>
        </is>
      </c>
      <c r="E1284" s="1" t="inlineStr">
        <is>
          <t>TAYLORMADE</t>
        </is>
      </c>
      <c r="F1284" s="1" t="inlineStr">
        <is>
          <t>LEATHER</t>
        </is>
      </c>
      <c r="G1284" s="1" t="inlineStr">
        <is>
          <t>GF302010018922</t>
        </is>
      </c>
      <c r="H1284" s="1" t="n">
        <v>5</v>
      </c>
      <c r="I1284" s="1" t="inlineStr">
        <is>
          <t>มี</t>
        </is>
      </c>
      <c r="J1284" s="13" t="n">
        <v>29</v>
      </c>
      <c r="K1284" s="1" t="inlineStr"/>
      <c r="L1284" s="13" t="n">
        <v>29</v>
      </c>
      <c r="M1284" s="1">
        <f>IF(L1284="","ไม่พบใน SG",IF(ABS(J1284-L1284)&lt;0.005,"ตรงกัน","ไม่ตรง"))</f>
        <v/>
      </c>
      <c r="N1284" s="14">
        <f>IF(L1284="","",ROUND(L1284*'สรุป'!$C$6,-1))</f>
        <v/>
      </c>
      <c r="O1284" s="15" t="n"/>
      <c r="P1284" s="15" t="n"/>
      <c r="Q1284" s="10" t="n"/>
      <c r="R1284" s="10" t="n"/>
      <c r="S1284" s="16" t="inlineStr">
        <is>
          <t>https://mstgolf.co.th/products/gf3020100189</t>
        </is>
      </c>
      <c r="T1284" s="1">
        <f>IF(B1284="ไม้กอล์ฟ",J1284,"")</f>
        <v/>
      </c>
    </row>
    <row r="1285">
      <c r="A1285" s="1" t="n">
        <v>2</v>
      </c>
      <c r="B1285" s="1" t="inlineStr">
        <is>
          <t>ลูกกอล์ฟ</t>
        </is>
      </c>
      <c r="C1285" s="1" t="inlineStr">
        <is>
          <t>gf3200200248</t>
        </is>
      </c>
      <c r="D1285" s="1" t="inlineStr">
        <is>
          <t>WILSON Duo Soft (2025) (Orange) Golf Ball</t>
        </is>
      </c>
      <c r="E1285" s="1" t="inlineStr">
        <is>
          <t>WILSON</t>
        </is>
      </c>
      <c r="F1285" s="1" t="inlineStr">
        <is>
          <t>SOFT</t>
        </is>
      </c>
      <c r="G1285" s="1" t="inlineStr">
        <is>
          <t>GF3200200248</t>
        </is>
      </c>
      <c r="H1285" s="1" t="n">
        <v>1</v>
      </c>
      <c r="I1285" s="1" t="inlineStr">
        <is>
          <t>มี</t>
        </is>
      </c>
      <c r="J1285" s="13" t="n">
        <v>29</v>
      </c>
      <c r="K1285" s="1" t="inlineStr"/>
      <c r="L1285" s="13" t="n">
        <v>29</v>
      </c>
      <c r="M1285" s="1">
        <f>IF(L1285="","ไม่พบใน SG",IF(ABS(J1285-L1285)&lt;0.005,"ตรงกัน","ไม่ตรง"))</f>
        <v/>
      </c>
      <c r="N1285" s="14">
        <f>IF(L1285="","",ROUND(L1285*'สรุป'!$C$6,-1))</f>
        <v/>
      </c>
      <c r="O1285" s="15" t="n"/>
      <c r="P1285" s="15" t="n"/>
      <c r="Q1285" s="10" t="n"/>
      <c r="R1285" s="10" t="n"/>
      <c r="S1285" s="16" t="inlineStr">
        <is>
          <t>https://mstgolf.co.th/products/gf3200200248</t>
        </is>
      </c>
      <c r="T1285" s="1">
        <f>IF(B1285="ไม้กอล์ฟ",J1285,"")</f>
        <v/>
      </c>
    </row>
    <row r="1286">
      <c r="A1286" s="1" t="n">
        <v>2</v>
      </c>
      <c r="B1286" s="1" t="inlineStr">
        <is>
          <t>ลูกกอล์ฟ</t>
        </is>
      </c>
      <c r="C1286" s="1" t="inlineStr">
        <is>
          <t>gf3200200192</t>
        </is>
      </c>
      <c r="D1286" s="1" t="inlineStr">
        <is>
          <t>WILSON Duo Soft Optix (2023) (Orange) Golf Ball</t>
        </is>
      </c>
      <c r="E1286" s="1" t="inlineStr">
        <is>
          <t>WILSON</t>
        </is>
      </c>
      <c r="F1286" s="1" t="inlineStr">
        <is>
          <t>SOFT</t>
        </is>
      </c>
      <c r="G1286" s="1" t="inlineStr">
        <is>
          <t>GF3200200192</t>
        </is>
      </c>
      <c r="H1286" s="1" t="n">
        <v>1</v>
      </c>
      <c r="I1286" s="1" t="inlineStr">
        <is>
          <t>มี</t>
        </is>
      </c>
      <c r="J1286" s="13" t="n">
        <v>29</v>
      </c>
      <c r="K1286" s="1" t="inlineStr"/>
      <c r="L1286" s="13" t="n">
        <v>29</v>
      </c>
      <c r="M1286" s="1">
        <f>IF(L1286="","ไม่พบใน SG",IF(ABS(J1286-L1286)&lt;0.005,"ตรงกัน","ไม่ตรง"))</f>
        <v/>
      </c>
      <c r="N1286" s="14">
        <f>IF(L1286="","",ROUND(L1286*'สรุป'!$C$6,-1))</f>
        <v/>
      </c>
      <c r="O1286" s="15" t="n"/>
      <c r="P1286" s="15" t="n"/>
      <c r="Q1286" s="10" t="n"/>
      <c r="R1286" s="10" t="n"/>
      <c r="S1286" s="16" t="inlineStr">
        <is>
          <t>https://mstgolf.co.th/products/gf3200200192</t>
        </is>
      </c>
      <c r="T1286" s="1">
        <f>IF(B1286="ไม้กอล์ฟ",J1286,"")</f>
        <v/>
      </c>
    </row>
    <row r="1287">
      <c r="A1287" s="1" t="n">
        <v>2</v>
      </c>
      <c r="B1287" s="1" t="inlineStr">
        <is>
          <t>ลูกกอล์ฟ</t>
        </is>
      </c>
      <c r="C1287" s="1" t="inlineStr">
        <is>
          <t>gf3200200191</t>
        </is>
      </c>
      <c r="D1287" s="1" t="inlineStr">
        <is>
          <t>WILSON Duo Soft Optix (2023) (Yellow) Golf Ball</t>
        </is>
      </c>
      <c r="E1287" s="1" t="inlineStr">
        <is>
          <t>WILSON</t>
        </is>
      </c>
      <c r="F1287" s="1" t="inlineStr">
        <is>
          <t>SOFT</t>
        </is>
      </c>
      <c r="G1287" s="1" t="inlineStr">
        <is>
          <t>GF3200200191</t>
        </is>
      </c>
      <c r="H1287" s="1" t="n">
        <v>1</v>
      </c>
      <c r="I1287" s="1" t="inlineStr">
        <is>
          <t>มี</t>
        </is>
      </c>
      <c r="J1287" s="13" t="n">
        <v>29</v>
      </c>
      <c r="K1287" s="1" t="inlineStr"/>
      <c r="L1287" s="13" t="n">
        <v>29</v>
      </c>
      <c r="M1287" s="1">
        <f>IF(L1287="","ไม่พบใน SG",IF(ABS(J1287-L1287)&lt;0.005,"ตรงกัน","ไม่ตรง"))</f>
        <v/>
      </c>
      <c r="N1287" s="14">
        <f>IF(L1287="","",ROUND(L1287*'สรุป'!$C$6,-1))</f>
        <v/>
      </c>
      <c r="O1287" s="15" t="n"/>
      <c r="P1287" s="15" t="n"/>
      <c r="Q1287" s="10" t="n"/>
      <c r="R1287" s="10" t="n"/>
      <c r="S1287" s="16" t="inlineStr">
        <is>
          <t>https://mstgolf.co.th/products/gf3200200191</t>
        </is>
      </c>
      <c r="T1287" s="1">
        <f>IF(B1287="ไม้กอล์ฟ",J1287,"")</f>
        <v/>
      </c>
    </row>
    <row r="1288">
      <c r="A1288" s="1" t="n">
        <v>2</v>
      </c>
      <c r="B1288" s="1" t="inlineStr">
        <is>
          <t>ลูกกอล์ฟ</t>
        </is>
      </c>
      <c r="C1288" s="1" t="inlineStr">
        <is>
          <t>gf3200200247</t>
        </is>
      </c>
      <c r="D1288" s="1" t="inlineStr">
        <is>
          <t>WILSON Duo Soft TRK360 (2025) Golf Ball</t>
        </is>
      </c>
      <c r="E1288" s="1" t="inlineStr">
        <is>
          <t>WILSON</t>
        </is>
      </c>
      <c r="F1288" s="1" t="inlineStr">
        <is>
          <t>SOFT</t>
        </is>
      </c>
      <c r="G1288" s="1" t="inlineStr">
        <is>
          <t>GF3200200247</t>
        </is>
      </c>
      <c r="H1288" s="1" t="n">
        <v>1</v>
      </c>
      <c r="I1288" s="1" t="inlineStr">
        <is>
          <t>มี</t>
        </is>
      </c>
      <c r="J1288" s="13" t="n">
        <v>29</v>
      </c>
      <c r="K1288" s="1" t="inlineStr"/>
      <c r="L1288" s="13" t="n">
        <v>29</v>
      </c>
      <c r="M1288" s="1">
        <f>IF(L1288="","ไม่พบใน SG",IF(ABS(J1288-L1288)&lt;0.005,"ตรงกัน","ไม่ตรง"))</f>
        <v/>
      </c>
      <c r="N1288" s="14">
        <f>IF(L1288="","",ROUND(L1288*'สรุป'!$C$6,-1))</f>
        <v/>
      </c>
      <c r="O1288" s="15" t="n"/>
      <c r="P1288" s="15" t="n"/>
      <c r="Q1288" s="10" t="n"/>
      <c r="R1288" s="10" t="n"/>
      <c r="S1288" s="16" t="inlineStr">
        <is>
          <t>https://mstgolf.co.th/products/gf3200200247</t>
        </is>
      </c>
      <c r="T1288" s="1">
        <f>IF(B1288="ไม้กอล์ฟ",J1288,"")</f>
        <v/>
      </c>
    </row>
    <row r="1289">
      <c r="A1289" s="1" t="n">
        <v>2</v>
      </c>
      <c r="B1289" s="1" t="inlineStr">
        <is>
          <t>ถุงมือ</t>
        </is>
      </c>
      <c r="C1289" s="1" t="inlineStr">
        <is>
          <t>gf3020100275</t>
        </is>
      </c>
      <c r="D1289" s="1" t="inlineStr">
        <is>
          <t>TAYLORMADE Tour Preferred Flex Men's Leather Glove (White)</t>
        </is>
      </c>
      <c r="E1289" s="1" t="inlineStr">
        <is>
          <t>TAYLORMADE</t>
        </is>
      </c>
      <c r="F1289" s="1" t="inlineStr">
        <is>
          <t>LEATHER</t>
        </is>
      </c>
      <c r="G1289" s="1" t="inlineStr">
        <is>
          <t>GF302010027522</t>
        </is>
      </c>
      <c r="H1289" s="1" t="n">
        <v>5</v>
      </c>
      <c r="I1289" s="1" t="inlineStr">
        <is>
          <t>มี</t>
        </is>
      </c>
      <c r="J1289" s="13" t="n">
        <v>28</v>
      </c>
      <c r="K1289" s="1" t="inlineStr"/>
      <c r="L1289" s="13" t="n">
        <v>28</v>
      </c>
      <c r="M1289" s="1">
        <f>IF(L1289="","ไม่พบใน SG",IF(ABS(J1289-L1289)&lt;0.005,"ตรงกัน","ไม่ตรง"))</f>
        <v/>
      </c>
      <c r="N1289" s="14">
        <f>IF(L1289="","",ROUND(L1289*'สรุป'!$C$6,-1))</f>
        <v/>
      </c>
      <c r="O1289" s="15" t="n"/>
      <c r="P1289" s="15" t="n"/>
      <c r="Q1289" s="10" t="n"/>
      <c r="R1289" s="10" t="n"/>
      <c r="S1289" s="16" t="inlineStr">
        <is>
          <t>https://mstgolf.co.th/products/gf3020100275</t>
        </is>
      </c>
      <c r="T1289" s="1">
        <f>IF(B1289="ไม้กอล์ฟ",J1289,"")</f>
        <v/>
      </c>
    </row>
    <row r="1290">
      <c r="A1290" s="1" t="n">
        <v>2</v>
      </c>
      <c r="B1290" s="1" t="inlineStr">
        <is>
          <t>ถุงกอล์ฟ</t>
        </is>
      </c>
      <c r="C1290" s="1" t="inlineStr">
        <is>
          <t>gf3010200667</t>
        </is>
      </c>
      <c r="D1290" s="1" t="inlineStr">
        <is>
          <t>DISNEY Polyester Shoe Bag (Navy)</t>
        </is>
      </c>
      <c r="E1290" s="1" t="inlineStr">
        <is>
          <t>DISNEY</t>
        </is>
      </c>
      <c r="F1290" s="1" t="inlineStr">
        <is>
          <t>SHOES BAG</t>
        </is>
      </c>
      <c r="G1290" s="1" t="inlineStr">
        <is>
          <t>GF3010200667</t>
        </is>
      </c>
      <c r="H1290" s="1" t="n">
        <v>1</v>
      </c>
      <c r="I1290" s="1" t="inlineStr">
        <is>
          <t>มี</t>
        </is>
      </c>
      <c r="J1290" s="13" t="n">
        <v>27</v>
      </c>
      <c r="K1290" s="1" t="inlineStr"/>
      <c r="L1290" s="13" t="n">
        <v>27</v>
      </c>
      <c r="M1290" s="1">
        <f>IF(L1290="","ไม่พบใน SG",IF(ABS(J1290-L1290)&lt;0.005,"ตรงกัน","ไม่ตรง"))</f>
        <v/>
      </c>
      <c r="N1290" s="14">
        <f>IF(L1290="","",ROUND(L1290*'สรุป'!$C$6,-1))</f>
        <v/>
      </c>
      <c r="O1290" s="15" t="n"/>
      <c r="P1290" s="15" t="n"/>
      <c r="Q1290" s="10" t="n"/>
      <c r="R1290" s="10" t="n"/>
      <c r="S1290" s="16" t="inlineStr">
        <is>
          <t>https://mstgolf.co.th/products/gf3010200667</t>
        </is>
      </c>
      <c r="T1290" s="1">
        <f>IF(B1290="ไม้กอล์ฟ",J1290,"")</f>
        <v/>
      </c>
    </row>
    <row r="1291">
      <c r="A1291" s="1" t="n">
        <v>2</v>
      </c>
      <c r="B1291" s="1" t="inlineStr">
        <is>
          <t>ถุงกอล์ฟ</t>
        </is>
      </c>
      <c r="C1291" s="1" t="inlineStr">
        <is>
          <t>gf3010400549</t>
        </is>
      </c>
      <c r="D1291" s="1" t="inlineStr">
        <is>
          <t>UNDER ARMOUR Contain Pouch (Black/Black/Metallic)</t>
        </is>
      </c>
      <c r="E1291" s="1" t="inlineStr">
        <is>
          <t>UNDER ARMOUR</t>
        </is>
      </c>
      <c r="F1291" s="1" t="inlineStr">
        <is>
          <t>SMALL BAG</t>
        </is>
      </c>
      <c r="G1291" s="1" t="inlineStr">
        <is>
          <t>GF3010400549</t>
        </is>
      </c>
      <c r="H1291" s="1" t="n">
        <v>1</v>
      </c>
      <c r="I1291" s="1" t="inlineStr">
        <is>
          <t>มี</t>
        </is>
      </c>
      <c r="J1291" s="13" t="n">
        <v>27</v>
      </c>
      <c r="K1291" s="1" t="inlineStr"/>
      <c r="L1291" s="13" t="n">
        <v>27</v>
      </c>
      <c r="M1291" s="1">
        <f>IF(L1291="","ไม่พบใน SG",IF(ABS(J1291-L1291)&lt;0.005,"ตรงกัน","ไม่ตรง"))</f>
        <v/>
      </c>
      <c r="N1291" s="14">
        <f>IF(L1291="","",ROUND(L1291*'สรุป'!$C$6,-1))</f>
        <v/>
      </c>
      <c r="O1291" s="15" t="n"/>
      <c r="P1291" s="15" t="n"/>
      <c r="Q1291" s="10" t="n"/>
      <c r="R1291" s="10" t="n"/>
      <c r="S1291" s="16" t="inlineStr">
        <is>
          <t>https://mstgolf.co.th/products/gf3010400549</t>
        </is>
      </c>
      <c r="T1291" s="1">
        <f>IF(B1291="ไม้กอล์ฟ",J1291,"")</f>
        <v/>
      </c>
    </row>
    <row r="1292">
      <c r="A1292" s="1" t="n">
        <v>2</v>
      </c>
      <c r="B1292" s="1" t="inlineStr">
        <is>
          <t>ถุงกอล์ฟ</t>
        </is>
      </c>
      <c r="C1292" s="1" t="inlineStr">
        <is>
          <t>gf3010400550</t>
        </is>
      </c>
      <c r="D1292" s="1" t="inlineStr">
        <is>
          <t>UNDER ARMOUR Contain Pouch (Grey/Heather/Vibe)</t>
        </is>
      </c>
      <c r="E1292" s="1" t="inlineStr">
        <is>
          <t>UNDER ARMOUR</t>
        </is>
      </c>
      <c r="F1292" s="1" t="inlineStr">
        <is>
          <t>SMALL BAG</t>
        </is>
      </c>
      <c r="G1292" s="1" t="inlineStr">
        <is>
          <t>GF3010400550</t>
        </is>
      </c>
      <c r="H1292" s="1" t="n">
        <v>1</v>
      </c>
      <c r="I1292" s="1" t="inlineStr">
        <is>
          <t>มี</t>
        </is>
      </c>
      <c r="J1292" s="13" t="n">
        <v>27</v>
      </c>
      <c r="K1292" s="1" t="inlineStr"/>
      <c r="L1292" s="13" t="n">
        <v>27</v>
      </c>
      <c r="M1292" s="1">
        <f>IF(L1292="","ไม่พบใน SG",IF(ABS(J1292-L1292)&lt;0.005,"ตรงกัน","ไม่ตรง"))</f>
        <v/>
      </c>
      <c r="N1292" s="14">
        <f>IF(L1292="","",ROUND(L1292*'สรุป'!$C$6,-1))</f>
        <v/>
      </c>
      <c r="O1292" s="15" t="n"/>
      <c r="P1292" s="15" t="n"/>
      <c r="Q1292" s="10" t="n"/>
      <c r="R1292" s="10" t="n"/>
      <c r="S1292" s="16" t="inlineStr">
        <is>
          <t>https://mstgolf.co.th/products/gf3010400550</t>
        </is>
      </c>
      <c r="T1292" s="1">
        <f>IF(B1292="ไม้กอล์ฟ",J1292,"")</f>
        <v/>
      </c>
    </row>
    <row r="1293">
      <c r="A1293" s="1" t="n">
        <v>2</v>
      </c>
      <c r="B1293" s="1" t="inlineStr">
        <is>
          <t>ถุงกอล์ฟ</t>
        </is>
      </c>
      <c r="C1293" s="1" t="inlineStr">
        <is>
          <t>gf3010300381</t>
        </is>
      </c>
      <c r="D1293" s="1" t="inlineStr">
        <is>
          <t>UNDER ARMOUR Undeniable Sackpack (Grey/Black/Black)</t>
        </is>
      </c>
      <c r="E1293" s="1" t="inlineStr">
        <is>
          <t>UNDER ARMOUR</t>
        </is>
      </c>
      <c r="F1293" s="1" t="inlineStr">
        <is>
          <t>BACKPACK/RUCKSACK</t>
        </is>
      </c>
      <c r="G1293" s="1" t="inlineStr">
        <is>
          <t>GF3010300381</t>
        </is>
      </c>
      <c r="H1293" s="1" t="n">
        <v>1</v>
      </c>
      <c r="I1293" s="1" t="inlineStr">
        <is>
          <t>มี</t>
        </is>
      </c>
      <c r="J1293" s="13" t="n">
        <v>27</v>
      </c>
      <c r="K1293" s="1" t="inlineStr"/>
      <c r="L1293" s="13" t="n">
        <v>27</v>
      </c>
      <c r="M1293" s="1">
        <f>IF(L1293="","ไม่พบใน SG",IF(ABS(J1293-L1293)&lt;0.005,"ตรงกัน","ไม่ตรง"))</f>
        <v/>
      </c>
      <c r="N1293" s="14">
        <f>IF(L1293="","",ROUND(L1293*'สรุป'!$C$6,-1))</f>
        <v/>
      </c>
      <c r="O1293" s="15" t="n"/>
      <c r="P1293" s="15" t="n"/>
      <c r="Q1293" s="10" t="n"/>
      <c r="R1293" s="10" t="n"/>
      <c r="S1293" s="16" t="inlineStr">
        <is>
          <t>https://mstgolf.co.th/products/gf3010300381</t>
        </is>
      </c>
      <c r="T1293" s="1">
        <f>IF(B1293="ไม้กอล์ฟ",J1293,"")</f>
        <v/>
      </c>
    </row>
    <row r="1294">
      <c r="A1294" s="1" t="n">
        <v>2</v>
      </c>
      <c r="B1294" s="1" t="inlineStr">
        <is>
          <t>ถุงกอล์ฟ</t>
        </is>
      </c>
      <c r="C1294" s="1" t="inlineStr">
        <is>
          <t>gf3010200601</t>
        </is>
      </c>
      <c r="D1294" s="1" t="inlineStr">
        <is>
          <t>CUTTER &amp; BUCK PU Shoes Bag (Black)</t>
        </is>
      </c>
      <c r="E1294" s="1" t="inlineStr">
        <is>
          <t>CUTTER &amp; BUCK</t>
        </is>
      </c>
      <c r="F1294" s="1" t="inlineStr">
        <is>
          <t>SHOES BAG</t>
        </is>
      </c>
      <c r="G1294" s="1" t="inlineStr">
        <is>
          <t>GF3010200601</t>
        </is>
      </c>
      <c r="H1294" s="1" t="n">
        <v>1</v>
      </c>
      <c r="I1294" s="1" t="inlineStr">
        <is>
          <t>มี</t>
        </is>
      </c>
      <c r="J1294" s="13" t="n">
        <v>25</v>
      </c>
      <c r="K1294" s="1" t="inlineStr"/>
      <c r="L1294" s="13" t="n">
        <v>25</v>
      </c>
      <c r="M1294" s="1">
        <f>IF(L1294="","ไม่พบใน SG",IF(ABS(J1294-L1294)&lt;0.005,"ตรงกัน","ไม่ตรง"))</f>
        <v/>
      </c>
      <c r="N1294" s="14">
        <f>IF(L1294="","",ROUND(L1294*'สรุป'!$C$6,-1))</f>
        <v/>
      </c>
      <c r="O1294" s="15" t="n"/>
      <c r="P1294" s="15" t="n"/>
      <c r="Q1294" s="10" t="n"/>
      <c r="R1294" s="10" t="n"/>
      <c r="S1294" s="16" t="inlineStr">
        <is>
          <t>https://mstgolf.co.th/products/gf3010200601</t>
        </is>
      </c>
      <c r="T1294" s="1">
        <f>IF(B1294="ไม้กอล์ฟ",J1294,"")</f>
        <v/>
      </c>
    </row>
    <row r="1295">
      <c r="A1295" s="1" t="n">
        <v>2</v>
      </c>
      <c r="B1295" s="1" t="inlineStr">
        <is>
          <t>ถุงกอล์ฟ</t>
        </is>
      </c>
      <c r="C1295" s="1" t="inlineStr">
        <is>
          <t>gf3010400909</t>
        </is>
      </c>
      <c r="D1295" s="1" t="inlineStr">
        <is>
          <t>CUTTER &amp; BUCK Utility Pouch (Navy)</t>
        </is>
      </c>
      <c r="E1295" s="1" t="inlineStr">
        <is>
          <t>CUTTER &amp; BUCK</t>
        </is>
      </c>
      <c r="F1295" s="1" t="inlineStr">
        <is>
          <t>SMALL BAG</t>
        </is>
      </c>
      <c r="G1295" s="1" t="inlineStr">
        <is>
          <t>GF3010400909</t>
        </is>
      </c>
      <c r="H1295" s="1" t="n">
        <v>1</v>
      </c>
      <c r="I1295" s="1" t="inlineStr">
        <is>
          <t>มี</t>
        </is>
      </c>
      <c r="J1295" s="13" t="n">
        <v>25</v>
      </c>
      <c r="K1295" s="1" t="inlineStr"/>
      <c r="L1295" s="13" t="n">
        <v>25</v>
      </c>
      <c r="M1295" s="1">
        <f>IF(L1295="","ไม่พบใน SG",IF(ABS(J1295-L1295)&lt;0.005,"ตรงกัน","ไม่ตรง"))</f>
        <v/>
      </c>
      <c r="N1295" s="14">
        <f>IF(L1295="","",ROUND(L1295*'สรุป'!$C$6,-1))</f>
        <v/>
      </c>
      <c r="O1295" s="15" t="n"/>
      <c r="P1295" s="15" t="n"/>
      <c r="Q1295" s="10" t="n"/>
      <c r="R1295" s="10" t="n"/>
      <c r="S1295" s="16" t="inlineStr">
        <is>
          <t>https://mstgolf.co.th/products/gf3010400909</t>
        </is>
      </c>
      <c r="T1295" s="1">
        <f>IF(B1295="ไม้กอล์ฟ",J1295,"")</f>
        <v/>
      </c>
    </row>
    <row r="1296">
      <c r="A1296" s="1" t="n">
        <v>2</v>
      </c>
      <c r="B1296" s="1" t="inlineStr">
        <is>
          <t>อุปกรณ์ฝึกซ้อม</t>
        </is>
      </c>
      <c r="C1296" s="1" t="inlineStr">
        <is>
          <t>gf3040100090</t>
        </is>
      </c>
      <c r="D1296" s="1" t="inlineStr">
        <is>
          <t>GENERAL ITEM Paragon Tour Stick (Blue)</t>
        </is>
      </c>
      <c r="E1296" s="1" t="inlineStr">
        <is>
          <t>GENERAL ITEM</t>
        </is>
      </c>
      <c r="F1296" s="1" t="inlineStr">
        <is>
          <t>SWING</t>
        </is>
      </c>
      <c r="G1296" s="1" t="inlineStr">
        <is>
          <t>GF3040100090</t>
        </is>
      </c>
      <c r="H1296" s="1" t="n">
        <v>1</v>
      </c>
      <c r="I1296" s="1" t="inlineStr">
        <is>
          <t>มี</t>
        </is>
      </c>
      <c r="J1296" s="13" t="n">
        <v>25</v>
      </c>
      <c r="K1296" s="1" t="inlineStr"/>
      <c r="L1296" s="13" t="n">
        <v>25</v>
      </c>
      <c r="M1296" s="1">
        <f>IF(L1296="","ไม่พบใน SG",IF(ABS(J1296-L1296)&lt;0.005,"ตรงกัน","ไม่ตรง"))</f>
        <v/>
      </c>
      <c r="N1296" s="14">
        <f>IF(L1296="","",ROUND(L1296*'สรุป'!$C$6,-1))</f>
        <v/>
      </c>
      <c r="O1296" s="15" t="n"/>
      <c r="P1296" s="15" t="n"/>
      <c r="Q1296" s="10" t="n"/>
      <c r="R1296" s="10" t="n"/>
      <c r="S1296" s="16" t="inlineStr">
        <is>
          <t>https://mstgolf.co.th/products/gf3040100090</t>
        </is>
      </c>
      <c r="T1296" s="1">
        <f>IF(B1296="ไม้กอล์ฟ",J1296,"")</f>
        <v/>
      </c>
    </row>
    <row r="1297">
      <c r="A1297" s="1" t="n">
        <v>2</v>
      </c>
      <c r="B1297" s="1" t="inlineStr">
        <is>
          <t>ลูกกอล์ฟ</t>
        </is>
      </c>
      <c r="C1297" s="1" t="inlineStr">
        <is>
          <t>gf3200200220</t>
        </is>
      </c>
      <c r="D1297" s="1" t="inlineStr">
        <is>
          <t>MIZUNO RB 566 (2024) (Orange) Golf Ball</t>
        </is>
      </c>
      <c r="E1297" s="1" t="inlineStr">
        <is>
          <t>MIZUNO</t>
        </is>
      </c>
      <c r="F1297" s="1" t="inlineStr">
        <is>
          <t>SOFT</t>
        </is>
      </c>
      <c r="G1297" s="1" t="inlineStr">
        <is>
          <t>GF3200200220</t>
        </is>
      </c>
      <c r="H1297" s="1" t="n">
        <v>1</v>
      </c>
      <c r="I1297" s="1" t="inlineStr">
        <is>
          <t>มี</t>
        </is>
      </c>
      <c r="J1297" s="13" t="n">
        <v>25</v>
      </c>
      <c r="K1297" s="1" t="inlineStr"/>
      <c r="L1297" s="13" t="n">
        <v>25</v>
      </c>
      <c r="M1297" s="1">
        <f>IF(L1297="","ไม่พบใน SG",IF(ABS(J1297-L1297)&lt;0.005,"ตรงกัน","ไม่ตรง"))</f>
        <v/>
      </c>
      <c r="N1297" s="14">
        <f>IF(L1297="","",ROUND(L1297*'สรุป'!$C$6,-1))</f>
        <v/>
      </c>
      <c r="O1297" s="15" t="n"/>
      <c r="P1297" s="15" t="n"/>
      <c r="Q1297" s="10" t="n"/>
      <c r="R1297" s="10" t="n"/>
      <c r="S1297" s="16" t="inlineStr">
        <is>
          <t>https://mstgolf.co.th/products/gf3200200220</t>
        </is>
      </c>
      <c r="T1297" s="1">
        <f>IF(B1297="ไม้กอล์ฟ",J1297,"")</f>
        <v/>
      </c>
    </row>
    <row r="1298">
      <c r="A1298" s="1" t="n">
        <v>2</v>
      </c>
      <c r="B1298" s="1" t="inlineStr">
        <is>
          <t>ลูกกอล์ฟ</t>
        </is>
      </c>
      <c r="C1298" s="1" t="inlineStr">
        <is>
          <t>gf3200200219</t>
        </is>
      </c>
      <c r="D1298" s="1" t="inlineStr">
        <is>
          <t>MIZUNO RB 566 (2024) Golf Ball</t>
        </is>
      </c>
      <c r="E1298" s="1" t="inlineStr">
        <is>
          <t>MIZUNO</t>
        </is>
      </c>
      <c r="F1298" s="1" t="inlineStr">
        <is>
          <t>SOFT</t>
        </is>
      </c>
      <c r="G1298" s="1" t="inlineStr">
        <is>
          <t>GF3200200219</t>
        </is>
      </c>
      <c r="H1298" s="1" t="n">
        <v>1</v>
      </c>
      <c r="I1298" s="1" t="inlineStr">
        <is>
          <t>มี</t>
        </is>
      </c>
      <c r="J1298" s="13" t="n">
        <v>25</v>
      </c>
      <c r="K1298" s="1" t="inlineStr"/>
      <c r="L1298" s="13" t="n">
        <v>25</v>
      </c>
      <c r="M1298" s="1">
        <f>IF(L1298="","ไม่พบใน SG",IF(ABS(J1298-L1298)&lt;0.005,"ตรงกัน","ไม่ตรง"))</f>
        <v/>
      </c>
      <c r="N1298" s="14">
        <f>IF(L1298="","",ROUND(L1298*'สรุป'!$C$6,-1))</f>
        <v/>
      </c>
      <c r="O1298" s="15" t="n"/>
      <c r="P1298" s="15" t="n"/>
      <c r="Q1298" s="10" t="n"/>
      <c r="R1298" s="10" t="n"/>
      <c r="S1298" s="16" t="inlineStr">
        <is>
          <t>https://mstgolf.co.th/products/gf3200200219</t>
        </is>
      </c>
      <c r="T1298" s="1">
        <f>IF(B1298="ไม้กอล์ฟ",J1298,"")</f>
        <v/>
      </c>
    </row>
    <row r="1299">
      <c r="A1299" s="1" t="n">
        <v>2</v>
      </c>
      <c r="B1299" s="1" t="inlineStr">
        <is>
          <t>ถุงมือ</t>
        </is>
      </c>
      <c r="C1299" s="1" t="inlineStr">
        <is>
          <t>gf3020200686</t>
        </is>
      </c>
      <c r="D1299" s="1" t="inlineStr">
        <is>
          <t>ONOFF Summer All Weather Men's Glove (Black/Blue)</t>
        </is>
      </c>
      <c r="E1299" s="1" t="inlineStr">
        <is>
          <t>ONOFF</t>
        </is>
      </c>
      <c r="F1299" s="1" t="inlineStr">
        <is>
          <t>ALL WEATHER</t>
        </is>
      </c>
      <c r="G1299" s="1" t="inlineStr">
        <is>
          <t>GF302020068621</t>
        </is>
      </c>
      <c r="H1299" s="1" t="n">
        <v>6</v>
      </c>
      <c r="I1299" s="1" t="inlineStr">
        <is>
          <t>มี</t>
        </is>
      </c>
      <c r="J1299" s="13" t="n">
        <v>25</v>
      </c>
      <c r="K1299" s="1" t="inlineStr"/>
      <c r="L1299" s="13" t="n">
        <v>25</v>
      </c>
      <c r="M1299" s="1">
        <f>IF(L1299="","ไม่พบใน SG",IF(ABS(J1299-L1299)&lt;0.005,"ตรงกัน","ไม่ตรง"))</f>
        <v/>
      </c>
      <c r="N1299" s="14">
        <f>IF(L1299="","",ROUND(L1299*'สรุป'!$C$6,-1))</f>
        <v/>
      </c>
      <c r="O1299" s="15" t="n"/>
      <c r="P1299" s="15" t="n"/>
      <c r="Q1299" s="10" t="n"/>
      <c r="R1299" s="10" t="n"/>
      <c r="S1299" s="16" t="inlineStr">
        <is>
          <t>https://mstgolf.co.th/products/gf3020200686</t>
        </is>
      </c>
      <c r="T1299" s="1">
        <f>IF(B1299="ไม้กอล์ฟ",J1299,"")</f>
        <v/>
      </c>
    </row>
    <row r="1300">
      <c r="A1300" s="1" t="n">
        <v>2</v>
      </c>
      <c r="B1300" s="1" t="inlineStr">
        <is>
          <t>ถุงมือ</t>
        </is>
      </c>
      <c r="C1300" s="1" t="inlineStr">
        <is>
          <t>gf3020200689</t>
        </is>
      </c>
      <c r="D1300" s="1" t="inlineStr">
        <is>
          <t>ONOFF Summer All Weather Men's Glove (Black/Blue)</t>
        </is>
      </c>
      <c r="E1300" s="1" t="inlineStr">
        <is>
          <t>ONOFF</t>
        </is>
      </c>
      <c r="F1300" s="1" t="inlineStr">
        <is>
          <t>ALL WEATHER</t>
        </is>
      </c>
      <c r="G1300" s="1" t="inlineStr">
        <is>
          <t>GF302020068921</t>
        </is>
      </c>
      <c r="H1300" s="1" t="n">
        <v>6</v>
      </c>
      <c r="I1300" s="1" t="inlineStr">
        <is>
          <t>มี</t>
        </is>
      </c>
      <c r="J1300" s="13" t="n">
        <v>25</v>
      </c>
      <c r="K1300" s="1" t="inlineStr"/>
      <c r="L1300" s="13" t="n">
        <v>25</v>
      </c>
      <c r="M1300" s="1">
        <f>IF(L1300="","ไม่พบใน SG",IF(ABS(J1300-L1300)&lt;0.005,"ตรงกัน","ไม่ตรง"))</f>
        <v/>
      </c>
      <c r="N1300" s="14">
        <f>IF(L1300="","",ROUND(L1300*'สรุป'!$C$6,-1))</f>
        <v/>
      </c>
      <c r="O1300" s="15" t="n"/>
      <c r="P1300" s="15" t="n"/>
      <c r="Q1300" s="10" t="n"/>
      <c r="R1300" s="10" t="n"/>
      <c r="S1300" s="16" t="inlineStr">
        <is>
          <t>https://mstgolf.co.th/products/gf3020200689</t>
        </is>
      </c>
      <c r="T1300" s="1">
        <f>IF(B1300="ไม้กอล์ฟ",J1300,"")</f>
        <v/>
      </c>
    </row>
    <row r="1301">
      <c r="A1301" s="1" t="n">
        <v>2</v>
      </c>
      <c r="B1301" s="1" t="inlineStr">
        <is>
          <t>ถุงมือ</t>
        </is>
      </c>
      <c r="C1301" s="1" t="inlineStr">
        <is>
          <t>gf3020200688</t>
        </is>
      </c>
      <c r="D1301" s="1" t="inlineStr">
        <is>
          <t>ONOFF Summer All Weather Men's Glove (White/Blue)</t>
        </is>
      </c>
      <c r="E1301" s="1" t="inlineStr">
        <is>
          <t>ONOFF</t>
        </is>
      </c>
      <c r="F1301" s="1" t="inlineStr">
        <is>
          <t>ALL WEATHER</t>
        </is>
      </c>
      <c r="G1301" s="1" t="inlineStr">
        <is>
          <t>GF302020068821</t>
        </is>
      </c>
      <c r="H1301" s="1" t="n">
        <v>6</v>
      </c>
      <c r="I1301" s="1" t="inlineStr">
        <is>
          <t>มี</t>
        </is>
      </c>
      <c r="J1301" s="13" t="n">
        <v>25</v>
      </c>
      <c r="K1301" s="1" t="inlineStr"/>
      <c r="L1301" s="13" t="n">
        <v>25</v>
      </c>
      <c r="M1301" s="1">
        <f>IF(L1301="","ไม่พบใน SG",IF(ABS(J1301-L1301)&lt;0.005,"ตรงกัน","ไม่ตรง"))</f>
        <v/>
      </c>
      <c r="N1301" s="14">
        <f>IF(L1301="","",ROUND(L1301*'สรุป'!$C$6,-1))</f>
        <v/>
      </c>
      <c r="O1301" s="15" t="n"/>
      <c r="P1301" s="15" t="n"/>
      <c r="Q1301" s="10" t="n"/>
      <c r="R1301" s="10" t="n"/>
      <c r="S1301" s="16" t="inlineStr">
        <is>
          <t>https://mstgolf.co.th/products/gf3020200688</t>
        </is>
      </c>
      <c r="T1301" s="1">
        <f>IF(B1301="ไม้กอล์ฟ",J1301,"")</f>
        <v/>
      </c>
    </row>
    <row r="1302">
      <c r="A1302" s="1" t="n">
        <v>2</v>
      </c>
      <c r="B1302" s="1" t="inlineStr">
        <is>
          <t>ถุงมือ</t>
        </is>
      </c>
      <c r="C1302" s="1" t="inlineStr">
        <is>
          <t>gf3020200687</t>
        </is>
      </c>
      <c r="D1302" s="1" t="inlineStr">
        <is>
          <t>ONOFF Summer All Weather Men's Glove (White/Blue)</t>
        </is>
      </c>
      <c r="E1302" s="1" t="inlineStr">
        <is>
          <t>ONOFF</t>
        </is>
      </c>
      <c r="F1302" s="1" t="inlineStr">
        <is>
          <t>ALL WEATHER</t>
        </is>
      </c>
      <c r="G1302" s="1" t="inlineStr">
        <is>
          <t>GF302020068721</t>
        </is>
      </c>
      <c r="H1302" s="1" t="n">
        <v>6</v>
      </c>
      <c r="I1302" s="1" t="inlineStr">
        <is>
          <t>มี</t>
        </is>
      </c>
      <c r="J1302" s="13" t="n">
        <v>25</v>
      </c>
      <c r="K1302" s="1" t="inlineStr"/>
      <c r="L1302" s="13" t="n">
        <v>25</v>
      </c>
      <c r="M1302" s="1">
        <f>IF(L1302="","ไม่พบใน SG",IF(ABS(J1302-L1302)&lt;0.005,"ตรงกัน","ไม่ตรง"))</f>
        <v/>
      </c>
      <c r="N1302" s="14">
        <f>IF(L1302="","",ROUND(L1302*'สรุป'!$C$6,-1))</f>
        <v/>
      </c>
      <c r="O1302" s="15" t="n"/>
      <c r="P1302" s="15" t="n"/>
      <c r="Q1302" s="10" t="n"/>
      <c r="R1302" s="10" t="n"/>
      <c r="S1302" s="16" t="inlineStr">
        <is>
          <t>https://mstgolf.co.th/products/gf3020200687</t>
        </is>
      </c>
      <c r="T1302" s="1">
        <f>IF(B1302="ไม้กอล์ฟ",J1302,"")</f>
        <v/>
      </c>
    </row>
    <row r="1303">
      <c r="A1303" s="1" t="n">
        <v>2</v>
      </c>
      <c r="B1303" s="1" t="inlineStr">
        <is>
          <t>ถุงมือ</t>
        </is>
      </c>
      <c r="C1303" s="1" t="inlineStr">
        <is>
          <t>gf3020200676</t>
        </is>
      </c>
      <c r="D1303" s="1" t="inlineStr">
        <is>
          <t>TAYLORMADE Intercross 6.0 All-Weather Men's Glove (Black)</t>
        </is>
      </c>
      <c r="E1303" s="1" t="inlineStr">
        <is>
          <t>TAYLORMADE</t>
        </is>
      </c>
      <c r="F1303" s="1" t="inlineStr">
        <is>
          <t>ALL WEATHER</t>
        </is>
      </c>
      <c r="G1303" s="1" t="inlineStr">
        <is>
          <t>GF302020067621</t>
        </is>
      </c>
      <c r="H1303" s="1" t="n">
        <v>6</v>
      </c>
      <c r="I1303" s="1" t="inlineStr">
        <is>
          <t>มี</t>
        </is>
      </c>
      <c r="J1303" s="13" t="n">
        <v>25</v>
      </c>
      <c r="K1303" s="1" t="inlineStr"/>
      <c r="L1303" s="13" t="n">
        <v>25</v>
      </c>
      <c r="M1303" s="1">
        <f>IF(L1303="","ไม่พบใน SG",IF(ABS(J1303-L1303)&lt;0.005,"ตรงกัน","ไม่ตรง"))</f>
        <v/>
      </c>
      <c r="N1303" s="14">
        <f>IF(L1303="","",ROUND(L1303*'สรุป'!$C$6,-1))</f>
        <v/>
      </c>
      <c r="O1303" s="15" t="n"/>
      <c r="P1303" s="15" t="n"/>
      <c r="Q1303" s="10" t="n"/>
      <c r="R1303" s="10" t="n"/>
      <c r="S1303" s="16" t="inlineStr">
        <is>
          <t>https://mstgolf.co.th/products/gf3020200676</t>
        </is>
      </c>
      <c r="T1303" s="1">
        <f>IF(B1303="ไม้กอล์ฟ",J1303,"")</f>
        <v/>
      </c>
    </row>
    <row r="1304">
      <c r="A1304" s="1" t="n">
        <v>2</v>
      </c>
      <c r="B1304" s="1" t="inlineStr">
        <is>
          <t>ถุงมือ</t>
        </is>
      </c>
      <c r="C1304" s="1" t="inlineStr">
        <is>
          <t>gf3020200675</t>
        </is>
      </c>
      <c r="D1304" s="1" t="inlineStr">
        <is>
          <t>TAYLORMADE Intercross 6.0 All-Weather Men's Glove (White/Blue)</t>
        </is>
      </c>
      <c r="E1304" s="1" t="inlineStr">
        <is>
          <t>TAYLORMADE</t>
        </is>
      </c>
      <c r="F1304" s="1" t="inlineStr">
        <is>
          <t>ALL WEATHER</t>
        </is>
      </c>
      <c r="G1304" s="1" t="inlineStr">
        <is>
          <t>GF302020067521</t>
        </is>
      </c>
      <c r="H1304" s="1" t="n">
        <v>6</v>
      </c>
      <c r="I1304" s="1" t="inlineStr">
        <is>
          <t>มี</t>
        </is>
      </c>
      <c r="J1304" s="13" t="n">
        <v>25</v>
      </c>
      <c r="K1304" s="1" t="inlineStr"/>
      <c r="L1304" s="13" t="n">
        <v>25</v>
      </c>
      <c r="M1304" s="1">
        <f>IF(L1304="","ไม่พบใน SG",IF(ABS(J1304-L1304)&lt;0.005,"ตรงกัน","ไม่ตรง"))</f>
        <v/>
      </c>
      <c r="N1304" s="14">
        <f>IF(L1304="","",ROUND(L1304*'สรุป'!$C$6,-1))</f>
        <v/>
      </c>
      <c r="O1304" s="15" t="n"/>
      <c r="P1304" s="15" t="n"/>
      <c r="Q1304" s="10" t="n"/>
      <c r="R1304" s="10" t="n"/>
      <c r="S1304" s="16" t="inlineStr">
        <is>
          <t>https://mstgolf.co.th/products/gf3020200675</t>
        </is>
      </c>
      <c r="T1304" s="1">
        <f>IF(B1304="ไม้กอล์ฟ",J1304,"")</f>
        <v/>
      </c>
    </row>
    <row r="1305">
      <c r="A1305" s="1" t="n">
        <v>2</v>
      </c>
      <c r="B1305" s="1" t="inlineStr">
        <is>
          <t>ถุงมือ</t>
        </is>
      </c>
      <c r="C1305" s="1" t="inlineStr">
        <is>
          <t>gf3020200674</t>
        </is>
      </c>
      <c r="D1305" s="1" t="inlineStr">
        <is>
          <t>TAYLORMADE Intercross 6.0 All-Weather Men's Glove (White/Grey)</t>
        </is>
      </c>
      <c r="E1305" s="1" t="inlineStr">
        <is>
          <t>TAYLORMADE</t>
        </is>
      </c>
      <c r="F1305" s="1" t="inlineStr">
        <is>
          <t>ALL WEATHER</t>
        </is>
      </c>
      <c r="G1305" s="1" t="inlineStr">
        <is>
          <t>GF302020067421</t>
        </is>
      </c>
      <c r="H1305" s="1" t="n">
        <v>6</v>
      </c>
      <c r="I1305" s="1" t="inlineStr">
        <is>
          <t>มี</t>
        </is>
      </c>
      <c r="J1305" s="13" t="n">
        <v>25</v>
      </c>
      <c r="K1305" s="1" t="inlineStr"/>
      <c r="L1305" s="13" t="n">
        <v>25</v>
      </c>
      <c r="M1305" s="1">
        <f>IF(L1305="","ไม่พบใน SG",IF(ABS(J1305-L1305)&lt;0.005,"ตรงกัน","ไม่ตรง"))</f>
        <v/>
      </c>
      <c r="N1305" s="14">
        <f>IF(L1305="","",ROUND(L1305*'สรุป'!$C$6,-1))</f>
        <v/>
      </c>
      <c r="O1305" s="15" t="n"/>
      <c r="P1305" s="15" t="n"/>
      <c r="Q1305" s="10" t="n"/>
      <c r="R1305" s="10" t="n"/>
      <c r="S1305" s="16" t="inlineStr">
        <is>
          <t>https://mstgolf.co.th/products/gf3020200674</t>
        </is>
      </c>
      <c r="T1305" s="1">
        <f>IF(B1305="ไม้กอล์ฟ",J1305,"")</f>
        <v/>
      </c>
    </row>
    <row r="1306">
      <c r="A1306" s="1" t="n">
        <v>2</v>
      </c>
      <c r="B1306" s="1" t="inlineStr">
        <is>
          <t>ถุงมือ</t>
        </is>
      </c>
      <c r="C1306" s="1" t="inlineStr">
        <is>
          <t>gf3020200673</t>
        </is>
      </c>
      <c r="D1306" s="1" t="inlineStr">
        <is>
          <t>TAYLORMADE Intercross 6.0 All-Weather Men's Glove (White/Red)</t>
        </is>
      </c>
      <c r="E1306" s="1" t="inlineStr">
        <is>
          <t>TAYLORMADE</t>
        </is>
      </c>
      <c r="F1306" s="1" t="inlineStr">
        <is>
          <t>ALL WEATHER</t>
        </is>
      </c>
      <c r="G1306" s="1" t="inlineStr">
        <is>
          <t>GF302020067321</t>
        </is>
      </c>
      <c r="H1306" s="1" t="n">
        <v>6</v>
      </c>
      <c r="I1306" s="1" t="inlineStr">
        <is>
          <t>มี</t>
        </is>
      </c>
      <c r="J1306" s="13" t="n">
        <v>25</v>
      </c>
      <c r="K1306" s="1" t="inlineStr"/>
      <c r="L1306" s="13" t="n">
        <v>25</v>
      </c>
      <c r="M1306" s="1">
        <f>IF(L1306="","ไม่พบใน SG",IF(ABS(J1306-L1306)&lt;0.005,"ตรงกัน","ไม่ตรง"))</f>
        <v/>
      </c>
      <c r="N1306" s="14">
        <f>IF(L1306="","",ROUND(L1306*'สรุป'!$C$6,-1))</f>
        <v/>
      </c>
      <c r="O1306" s="15" t="n"/>
      <c r="P1306" s="15" t="n"/>
      <c r="Q1306" s="10" t="n"/>
      <c r="R1306" s="10" t="n"/>
      <c r="S1306" s="16" t="inlineStr">
        <is>
          <t>https://mstgolf.co.th/products/gf3020200673</t>
        </is>
      </c>
      <c r="T1306" s="1">
        <f>IF(B1306="ไม้กอล์ฟ",J1306,"")</f>
        <v/>
      </c>
    </row>
    <row r="1307">
      <c r="A1307" s="1" t="n">
        <v>2</v>
      </c>
      <c r="B1307" s="1" t="inlineStr">
        <is>
          <t>ถุงมือ</t>
        </is>
      </c>
      <c r="C1307" s="1" t="inlineStr">
        <is>
          <t>gf3020200599</t>
        </is>
      </c>
      <c r="D1307" s="1" t="inlineStr">
        <is>
          <t>TAYLORMADE Stratus Soft Men's All Weather Glove (White)</t>
        </is>
      </c>
      <c r="E1307" s="1" t="inlineStr">
        <is>
          <t>TAYLORMADE</t>
        </is>
      </c>
      <c r="F1307" s="1" t="inlineStr">
        <is>
          <t>ALL WEATHER</t>
        </is>
      </c>
      <c r="G1307" s="1" t="inlineStr">
        <is>
          <t>GF302020059922</t>
        </is>
      </c>
      <c r="H1307" s="1" t="n">
        <v>5</v>
      </c>
      <c r="I1307" s="1" t="inlineStr">
        <is>
          <t>มี</t>
        </is>
      </c>
      <c r="J1307" s="13" t="n">
        <v>25</v>
      </c>
      <c r="K1307" s="1" t="inlineStr"/>
      <c r="L1307" s="13" t="n">
        <v>25</v>
      </c>
      <c r="M1307" s="1">
        <f>IF(L1307="","ไม่พบใน SG",IF(ABS(J1307-L1307)&lt;0.005,"ตรงกัน","ไม่ตรง"))</f>
        <v/>
      </c>
      <c r="N1307" s="14">
        <f>IF(L1307="","",ROUND(L1307*'สรุป'!$C$6,-1))</f>
        <v/>
      </c>
      <c r="O1307" s="15" t="n"/>
      <c r="P1307" s="15" t="n"/>
      <c r="Q1307" s="10" t="n"/>
      <c r="R1307" s="10" t="n"/>
      <c r="S1307" s="16" t="inlineStr">
        <is>
          <t>https://mstgolf.co.th/products/gf3020200599</t>
        </is>
      </c>
      <c r="T1307" s="1">
        <f>IF(B1307="ไม้กอล์ฟ",J1307,"")</f>
        <v/>
      </c>
    </row>
    <row r="1308">
      <c r="A1308" s="1" t="n">
        <v>2</v>
      </c>
      <c r="B1308" s="1" t="inlineStr">
        <is>
          <t>รถเข็น</t>
        </is>
      </c>
      <c r="C1308" s="1" t="inlineStr">
        <is>
          <t>gf3030200163</t>
        </is>
      </c>
      <c r="D1308" s="1" t="inlineStr">
        <is>
          <t>AEROCART Universal Umbrella Holder</t>
        </is>
      </c>
      <c r="E1308" s="1" t="inlineStr">
        <is>
          <t>AEROCART</t>
        </is>
      </c>
      <c r="F1308" s="1" t="inlineStr">
        <is>
          <t>TROLLEY PARTS/ACCESSORIES</t>
        </is>
      </c>
      <c r="G1308" s="1" t="inlineStr">
        <is>
          <t>GF3030200163</t>
        </is>
      </c>
      <c r="H1308" s="1" t="n">
        <v>1</v>
      </c>
      <c r="I1308" s="1" t="inlineStr">
        <is>
          <t>มี</t>
        </is>
      </c>
      <c r="J1308" s="13" t="n">
        <v>23</v>
      </c>
      <c r="K1308" s="1" t="inlineStr"/>
      <c r="L1308" s="13" t="n">
        <v>23</v>
      </c>
      <c r="M1308" s="1">
        <f>IF(L1308="","ไม่พบใน SG",IF(ABS(J1308-L1308)&lt;0.005,"ตรงกัน","ไม่ตรง"))</f>
        <v/>
      </c>
      <c r="N1308" s="14">
        <f>IF(L1308="","",ROUND(L1308*'สรุป'!$C$6,-1))</f>
        <v/>
      </c>
      <c r="O1308" s="15" t="n"/>
      <c r="P1308" s="15" t="n"/>
      <c r="Q1308" s="10" t="n"/>
      <c r="R1308" s="10" t="n"/>
      <c r="S1308" s="16" t="inlineStr">
        <is>
          <t>https://mstgolf.co.th/products/gf3030200163</t>
        </is>
      </c>
      <c r="T1308" s="1">
        <f>IF(B1308="ไม้กอล์ฟ",J1308,"")</f>
        <v/>
      </c>
    </row>
    <row r="1309">
      <c r="A1309" s="1" t="n">
        <v>2</v>
      </c>
      <c r="B1309" s="1" t="inlineStr">
        <is>
          <t>ถุงมือ</t>
        </is>
      </c>
      <c r="C1309" s="1" t="inlineStr">
        <is>
          <t>gf3020200744</t>
        </is>
      </c>
      <c r="D1309" s="1" t="inlineStr">
        <is>
          <t>FOOTJOY SofJoy Men's All Weather Glove (Pearl)</t>
        </is>
      </c>
      <c r="E1309" s="1" t="inlineStr">
        <is>
          <t>FOOTJOY</t>
        </is>
      </c>
      <c r="F1309" s="1" t="inlineStr">
        <is>
          <t>ALL WEATHER</t>
        </is>
      </c>
      <c r="G1309" s="1" t="inlineStr">
        <is>
          <t>GF302020074421</t>
        </is>
      </c>
      <c r="H1309" s="1" t="n">
        <v>7</v>
      </c>
      <c r="I1309" s="1" t="inlineStr">
        <is>
          <t>มี</t>
        </is>
      </c>
      <c r="J1309" s="13" t="n">
        <v>23</v>
      </c>
      <c r="K1309" s="1" t="inlineStr"/>
      <c r="L1309" s="13" t="n">
        <v>23</v>
      </c>
      <c r="M1309" s="1">
        <f>IF(L1309="","ไม่พบใน SG",IF(ABS(J1309-L1309)&lt;0.005,"ตรงกัน","ไม่ตรง"))</f>
        <v/>
      </c>
      <c r="N1309" s="14">
        <f>IF(L1309="","",ROUND(L1309*'สรุป'!$C$6,-1))</f>
        <v/>
      </c>
      <c r="O1309" s="15" t="n"/>
      <c r="P1309" s="15" t="n"/>
      <c r="Q1309" s="10" t="n"/>
      <c r="R1309" s="10" t="n"/>
      <c r="S1309" s="16" t="inlineStr">
        <is>
          <t>https://mstgolf.co.th/products/gf3020200744</t>
        </is>
      </c>
      <c r="T1309" s="1">
        <f>IF(B1309="ไม้กอล์ฟ",J1309,"")</f>
        <v/>
      </c>
    </row>
    <row r="1310">
      <c r="A1310" s="1" t="n">
        <v>2</v>
      </c>
      <c r="B1310" s="1" t="inlineStr">
        <is>
          <t>ถุงมือ</t>
        </is>
      </c>
      <c r="C1310" s="1" t="inlineStr">
        <is>
          <t>gf3020100186</t>
        </is>
      </c>
      <c r="D1310" s="1" t="inlineStr">
        <is>
          <t>FOOTJOY Contour FLX Men's Leather Glove (Pearl)</t>
        </is>
      </c>
      <c r="E1310" s="1" t="inlineStr">
        <is>
          <t>FOOTJOY</t>
        </is>
      </c>
      <c r="F1310" s="1" t="inlineStr">
        <is>
          <t>LEATHER</t>
        </is>
      </c>
      <c r="G1310" s="1" t="inlineStr">
        <is>
          <t>GF302010018621</t>
        </is>
      </c>
      <c r="H1310" s="1" t="n">
        <v>7</v>
      </c>
      <c r="I1310" s="1" t="inlineStr">
        <is>
          <t>มี</t>
        </is>
      </c>
      <c r="J1310" s="13" t="n">
        <v>22</v>
      </c>
      <c r="K1310" s="1" t="inlineStr"/>
      <c r="L1310" s="13" t="n">
        <v>22</v>
      </c>
      <c r="M1310" s="1">
        <f>IF(L1310="","ไม่พบใน SG",IF(ABS(J1310-L1310)&lt;0.005,"ตรงกัน","ไม่ตรง"))</f>
        <v/>
      </c>
      <c r="N1310" s="14">
        <f>IF(L1310="","",ROUND(L1310*'สรุป'!$C$6,-1))</f>
        <v/>
      </c>
      <c r="O1310" s="15" t="n"/>
      <c r="P1310" s="15" t="n"/>
      <c r="Q1310" s="10" t="n"/>
      <c r="R1310" s="10" t="n"/>
      <c r="S1310" s="16" t="inlineStr">
        <is>
          <t>https://mstgolf.co.th/products/gf3020100186</t>
        </is>
      </c>
      <c r="T1310" s="1">
        <f>IF(B1310="ไม้กอล์ฟ",J1310,"")</f>
        <v/>
      </c>
    </row>
    <row r="1311">
      <c r="A1311" s="1" t="n">
        <v>2</v>
      </c>
      <c r="B1311" s="1" t="inlineStr">
        <is>
          <t>ถุงกอล์ฟ</t>
        </is>
      </c>
      <c r="C1311" s="1" t="inlineStr">
        <is>
          <t>gf3010200596</t>
        </is>
      </c>
      <c r="D1311" s="1" t="inlineStr">
        <is>
          <t>ADIDAS Golf Shoe Bag (Green)</t>
        </is>
      </c>
      <c r="E1311" s="1" t="inlineStr">
        <is>
          <t>ADIDAS</t>
        </is>
      </c>
      <c r="F1311" s="1" t="inlineStr">
        <is>
          <t>SHOES BAG</t>
        </is>
      </c>
      <c r="G1311" s="1" t="inlineStr">
        <is>
          <t>GF3010200596</t>
        </is>
      </c>
      <c r="H1311" s="1" t="n">
        <v>1</v>
      </c>
      <c r="I1311" s="1" t="inlineStr">
        <is>
          <t>มี</t>
        </is>
      </c>
      <c r="J1311" s="13" t="n">
        <v>21</v>
      </c>
      <c r="K1311" s="1" t="inlineStr"/>
      <c r="L1311" s="13" t="n"/>
      <c r="M1311" s="1">
        <f>IF(L1311="","ไม่พบใน SG",IF(ABS(J1311-L1311)&lt;0.005,"ตรงกัน","ไม่ตรง"))</f>
        <v/>
      </c>
      <c r="N1311" s="14">
        <f>IF(L1311="","",ROUND(L1311*'สรุป'!$C$6,-1))</f>
        <v/>
      </c>
      <c r="O1311" s="15" t="n"/>
      <c r="P1311" s="15" t="n"/>
      <c r="Q1311" s="10" t="n"/>
      <c r="R1311" s="10" t="n"/>
      <c r="S1311" s="16" t="inlineStr">
        <is>
          <t>https://mstgolf.co.th/products/gf3010200596</t>
        </is>
      </c>
      <c r="T1311" s="1">
        <f>IF(B1311="ไม้กอล์ฟ",J1311,"")</f>
        <v/>
      </c>
    </row>
    <row r="1312">
      <c r="A1312" s="1" t="n">
        <v>2</v>
      </c>
      <c r="B1312" s="1" t="inlineStr">
        <is>
          <t>ถุงกอล์ฟ</t>
        </is>
      </c>
      <c r="C1312" s="1" t="inlineStr">
        <is>
          <t>gf3010200615</t>
        </is>
      </c>
      <c r="D1312" s="1" t="inlineStr">
        <is>
          <t>ADIDAS Golf Shoe Bag (Ruby)</t>
        </is>
      </c>
      <c r="E1312" s="1" t="inlineStr">
        <is>
          <t>ADIDAS</t>
        </is>
      </c>
      <c r="F1312" s="1" t="inlineStr">
        <is>
          <t>SHOES BAG</t>
        </is>
      </c>
      <c r="G1312" s="1" t="inlineStr">
        <is>
          <t>GF3010200615</t>
        </is>
      </c>
      <c r="H1312" s="1" t="n">
        <v>1</v>
      </c>
      <c r="I1312" s="1" t="inlineStr">
        <is>
          <t>มี</t>
        </is>
      </c>
      <c r="J1312" s="13" t="n">
        <v>21</v>
      </c>
      <c r="K1312" s="1" t="inlineStr"/>
      <c r="L1312" s="13" t="n">
        <v>21</v>
      </c>
      <c r="M1312" s="1">
        <f>IF(L1312="","ไม่พบใน SG",IF(ABS(J1312-L1312)&lt;0.005,"ตรงกัน","ไม่ตรง"))</f>
        <v/>
      </c>
      <c r="N1312" s="14">
        <f>IF(L1312="","",ROUND(L1312*'สรุป'!$C$6,-1))</f>
        <v/>
      </c>
      <c r="O1312" s="15" t="n"/>
      <c r="P1312" s="15" t="n"/>
      <c r="Q1312" s="10" t="n"/>
      <c r="R1312" s="10" t="n"/>
      <c r="S1312" s="16" t="inlineStr">
        <is>
          <t>https://mstgolf.co.th/products/gf3010200615</t>
        </is>
      </c>
      <c r="T1312" s="1">
        <f>IF(B1312="ไม้กอล์ฟ",J1312,"")</f>
        <v/>
      </c>
    </row>
    <row r="1313">
      <c r="A1313" s="1" t="n">
        <v>2</v>
      </c>
      <c r="B1313" s="1" t="inlineStr">
        <is>
          <t>ถุงมือ</t>
        </is>
      </c>
      <c r="C1313" s="1" t="inlineStr">
        <is>
          <t>gf3020200649</t>
        </is>
      </c>
      <c r="D1313" s="1" t="inlineStr">
        <is>
          <t>FOOTJOY GTXreme 2023 Men's Glove (Assorted)</t>
        </is>
      </c>
      <c r="E1313" s="1" t="inlineStr">
        <is>
          <t>FOOTJOY</t>
        </is>
      </c>
      <c r="F1313" s="1" t="inlineStr">
        <is>
          <t>ALL WEATHER</t>
        </is>
      </c>
      <c r="G1313" s="1" t="inlineStr">
        <is>
          <t>GF302020064921</t>
        </is>
      </c>
      <c r="H1313" s="1" t="n">
        <v>7</v>
      </c>
      <c r="I1313" s="1" t="inlineStr">
        <is>
          <t>มี</t>
        </is>
      </c>
      <c r="J1313" s="13" t="n">
        <v>21</v>
      </c>
      <c r="K1313" s="1" t="inlineStr"/>
      <c r="L1313" s="13" t="n">
        <v>21</v>
      </c>
      <c r="M1313" s="1">
        <f>IF(L1313="","ไม่พบใน SG",IF(ABS(J1313-L1313)&lt;0.005,"ตรงกัน","ไม่ตรง"))</f>
        <v/>
      </c>
      <c r="N1313" s="14">
        <f>IF(L1313="","",ROUND(L1313*'สรุป'!$C$6,-1))</f>
        <v/>
      </c>
      <c r="O1313" s="15" t="n"/>
      <c r="P1313" s="15" t="n"/>
      <c r="Q1313" s="10" t="n"/>
      <c r="R1313" s="10" t="n"/>
      <c r="S1313" s="16" t="inlineStr">
        <is>
          <t>https://mstgolf.co.th/products/gf3020200649</t>
        </is>
      </c>
      <c r="T1313" s="1">
        <f>IF(B1313="ไม้กอล์ฟ",J1313,"")</f>
        <v/>
      </c>
    </row>
    <row r="1314">
      <c r="A1314" s="1" t="n">
        <v>2</v>
      </c>
      <c r="B1314" s="1" t="inlineStr">
        <is>
          <t>ถุงมือ</t>
        </is>
      </c>
      <c r="C1314" s="1" t="inlineStr">
        <is>
          <t>gf3020200648</t>
        </is>
      </c>
      <c r="D1314" s="1" t="inlineStr">
        <is>
          <t>FOOTJOY GTXreme 2023 Men's Glove (Assorted)</t>
        </is>
      </c>
      <c r="E1314" s="1" t="inlineStr">
        <is>
          <t>FOOTJOY</t>
        </is>
      </c>
      <c r="F1314" s="1" t="inlineStr">
        <is>
          <t>ALL WEATHER</t>
        </is>
      </c>
      <c r="G1314" s="1" t="inlineStr">
        <is>
          <t>GF302020064821</t>
        </is>
      </c>
      <c r="H1314" s="1" t="n">
        <v>7</v>
      </c>
      <c r="I1314" s="1" t="inlineStr">
        <is>
          <t>มี</t>
        </is>
      </c>
      <c r="J1314" s="13" t="n">
        <v>21</v>
      </c>
      <c r="K1314" s="1" t="inlineStr"/>
      <c r="L1314" s="13" t="n">
        <v>21</v>
      </c>
      <c r="M1314" s="1">
        <f>IF(L1314="","ไม่พบใน SG",IF(ABS(J1314-L1314)&lt;0.005,"ตรงกัน","ไม่ตรง"))</f>
        <v/>
      </c>
      <c r="N1314" s="14">
        <f>IF(L1314="","",ROUND(L1314*'สรุป'!$C$6,-1))</f>
        <v/>
      </c>
      <c r="O1314" s="15" t="n"/>
      <c r="P1314" s="15" t="n"/>
      <c r="Q1314" s="10" t="n"/>
      <c r="R1314" s="10" t="n"/>
      <c r="S1314" s="16" t="inlineStr">
        <is>
          <t>https://mstgolf.co.th/products/gf3020200648</t>
        </is>
      </c>
      <c r="T1314" s="1">
        <f>IF(B1314="ไม้กอล์ฟ",J1314,"")</f>
        <v/>
      </c>
    </row>
    <row r="1315">
      <c r="A1315" s="1" t="n">
        <v>2</v>
      </c>
      <c r="B1315" s="1" t="inlineStr">
        <is>
          <t>ถุงมือ</t>
        </is>
      </c>
      <c r="C1315" s="1" t="inlineStr">
        <is>
          <t>gf3020200454</t>
        </is>
      </c>
      <c r="D1315" s="1" t="inlineStr">
        <is>
          <t>FOOTJOY GTXtreme 2019 Men's Glove (Assorted)</t>
        </is>
      </c>
      <c r="E1315" s="1" t="inlineStr">
        <is>
          <t>FOOTJOY</t>
        </is>
      </c>
      <c r="F1315" s="1" t="inlineStr">
        <is>
          <t>ALL WEATHER</t>
        </is>
      </c>
      <c r="G1315" s="1" t="inlineStr">
        <is>
          <t>GF302020045421</t>
        </is>
      </c>
      <c r="H1315" s="1" t="n">
        <v>7</v>
      </c>
      <c r="I1315" s="1" t="inlineStr">
        <is>
          <t>มี</t>
        </is>
      </c>
      <c r="J1315" s="13" t="n">
        <v>21</v>
      </c>
      <c r="K1315" s="1" t="inlineStr"/>
      <c r="L1315" s="13" t="n">
        <v>13</v>
      </c>
      <c r="M1315" s="1">
        <f>IF(L1315="","ไม่พบใน SG",IF(ABS(J1315-L1315)&lt;0.005,"ตรงกัน","ไม่ตรง"))</f>
        <v/>
      </c>
      <c r="N1315" s="14">
        <f>IF(L1315="","",ROUND(L1315*'สรุป'!$C$6,-1))</f>
        <v/>
      </c>
      <c r="O1315" s="15" t="n"/>
      <c r="P1315" s="15" t="n"/>
      <c r="Q1315" s="10" t="n"/>
      <c r="R1315" s="10" t="n"/>
      <c r="S1315" s="16" t="inlineStr">
        <is>
          <t>https://mstgolf.co.th/products/gf3020200454</t>
        </is>
      </c>
      <c r="T1315" s="1">
        <f>IF(B1315="ไม้กอล์ฟ",J1315,"")</f>
        <v/>
      </c>
    </row>
    <row r="1316">
      <c r="A1316" s="1" t="n">
        <v>2</v>
      </c>
      <c r="B1316" s="1" t="inlineStr">
        <is>
          <t>ถุงมือ</t>
        </is>
      </c>
      <c r="C1316" s="1" t="inlineStr">
        <is>
          <t>gf3020200453</t>
        </is>
      </c>
      <c r="D1316" s="1" t="inlineStr">
        <is>
          <t>FOOTJOY GTXtreme 2019 Men's Glove (Assorted)</t>
        </is>
      </c>
      <c r="E1316" s="1" t="inlineStr">
        <is>
          <t>FOOTJOY</t>
        </is>
      </c>
      <c r="F1316" s="1" t="inlineStr">
        <is>
          <t>ALL WEATHER</t>
        </is>
      </c>
      <c r="G1316" s="1" t="inlineStr">
        <is>
          <t>GF302020045321</t>
        </is>
      </c>
      <c r="H1316" s="1" t="n">
        <v>7</v>
      </c>
      <c r="I1316" s="1" t="inlineStr">
        <is>
          <t>มี</t>
        </is>
      </c>
      <c r="J1316" s="13" t="n">
        <v>21</v>
      </c>
      <c r="K1316" s="1" t="inlineStr"/>
      <c r="L1316" s="13" t="n">
        <v>13</v>
      </c>
      <c r="M1316" s="1">
        <f>IF(L1316="","ไม่พบใน SG",IF(ABS(J1316-L1316)&lt;0.005,"ตรงกัน","ไม่ตรง"))</f>
        <v/>
      </c>
      <c r="N1316" s="14">
        <f>IF(L1316="","",ROUND(L1316*'สรุป'!$C$6,-1))</f>
        <v/>
      </c>
      <c r="O1316" s="15" t="n"/>
      <c r="P1316" s="15" t="n"/>
      <c r="Q1316" s="10" t="n"/>
      <c r="R1316" s="10" t="n"/>
      <c r="S1316" s="16" t="inlineStr">
        <is>
          <t>https://mstgolf.co.th/products/gf3020200453</t>
        </is>
      </c>
      <c r="T1316" s="1">
        <f>IF(B1316="ไม้กอล์ฟ",J1316,"")</f>
        <v/>
      </c>
    </row>
    <row r="1317">
      <c r="A1317" s="1" t="n">
        <v>2</v>
      </c>
      <c r="B1317" s="1" t="inlineStr">
        <is>
          <t>ถุงมือ</t>
        </is>
      </c>
      <c r="C1317" s="1" t="inlineStr">
        <is>
          <t>gf3020200677</t>
        </is>
      </c>
      <c r="D1317" s="1" t="inlineStr">
        <is>
          <t>TAYLORMADE Smartcross 2.0 All-Weather Men's Glove (Black/White)</t>
        </is>
      </c>
      <c r="E1317" s="1" t="inlineStr">
        <is>
          <t>TAYLORMADE</t>
        </is>
      </c>
      <c r="F1317" s="1" t="inlineStr">
        <is>
          <t>ALL WEATHER</t>
        </is>
      </c>
      <c r="G1317" s="1" t="inlineStr">
        <is>
          <t>GF3020200677S-M</t>
        </is>
      </c>
      <c r="H1317" s="1" t="n">
        <v>7</v>
      </c>
      <c r="I1317" s="1" t="inlineStr">
        <is>
          <t>มี</t>
        </is>
      </c>
      <c r="J1317" s="13" t="n">
        <v>21</v>
      </c>
      <c r="K1317" s="1" t="inlineStr"/>
      <c r="L1317" s="13" t="n">
        <v>21</v>
      </c>
      <c r="M1317" s="1">
        <f>IF(L1317="","ไม่พบใน SG",IF(ABS(J1317-L1317)&lt;0.005,"ตรงกัน","ไม่ตรง"))</f>
        <v/>
      </c>
      <c r="N1317" s="14">
        <f>IF(L1317="","",ROUND(L1317*'สรุป'!$C$6,-1))</f>
        <v/>
      </c>
      <c r="O1317" s="15" t="n"/>
      <c r="P1317" s="15" t="n"/>
      <c r="Q1317" s="10" t="n"/>
      <c r="R1317" s="10" t="n"/>
      <c r="S1317" s="16" t="inlineStr">
        <is>
          <t>https://mstgolf.co.th/products/gf3020200677</t>
        </is>
      </c>
      <c r="T1317" s="1">
        <f>IF(B1317="ไม้กอล์ฟ",J1317,"")</f>
        <v/>
      </c>
    </row>
    <row r="1318">
      <c r="A1318" s="1" t="n">
        <v>2</v>
      </c>
      <c r="B1318" s="1" t="inlineStr">
        <is>
          <t>ถุงมือ</t>
        </is>
      </c>
      <c r="C1318" s="1" t="inlineStr">
        <is>
          <t>gf3020200584</t>
        </is>
      </c>
      <c r="D1318" s="1" t="inlineStr">
        <is>
          <t>TAYLORMADE Smartcross Men's All Weather Glove (White/Black)</t>
        </is>
      </c>
      <c r="E1318" s="1" t="inlineStr">
        <is>
          <t>TAYLORMADE</t>
        </is>
      </c>
      <c r="F1318" s="1" t="inlineStr">
        <is>
          <t>ALL WEATHER</t>
        </is>
      </c>
      <c r="G1318" s="1" t="inlineStr">
        <is>
          <t>GF3020200584S-M</t>
        </is>
      </c>
      <c r="H1318" s="1" t="n">
        <v>7</v>
      </c>
      <c r="I1318" s="1" t="inlineStr">
        <is>
          <t>มี</t>
        </is>
      </c>
      <c r="J1318" s="13" t="n">
        <v>21</v>
      </c>
      <c r="K1318" s="1" t="inlineStr"/>
      <c r="L1318" s="13" t="n">
        <v>21</v>
      </c>
      <c r="M1318" s="1">
        <f>IF(L1318="","ไม่พบใน SG",IF(ABS(J1318-L1318)&lt;0.005,"ตรงกัน","ไม่ตรง"))</f>
        <v/>
      </c>
      <c r="N1318" s="14">
        <f>IF(L1318="","",ROUND(L1318*'สรุป'!$C$6,-1))</f>
        <v/>
      </c>
      <c r="O1318" s="15" t="n"/>
      <c r="P1318" s="15" t="n"/>
      <c r="Q1318" s="10" t="n"/>
      <c r="R1318" s="10" t="n"/>
      <c r="S1318" s="16" t="inlineStr">
        <is>
          <t>https://mstgolf.co.th/products/gf3020200584</t>
        </is>
      </c>
      <c r="T1318" s="1">
        <f>IF(B1318="ไม้กอล์ฟ",J1318,"")</f>
        <v/>
      </c>
    </row>
    <row r="1319">
      <c r="A1319" s="1" t="n">
        <v>2</v>
      </c>
      <c r="B1319" s="1" t="inlineStr">
        <is>
          <t>ถุงมือ</t>
        </is>
      </c>
      <c r="C1319" s="1" t="inlineStr">
        <is>
          <t>gf3020200573</t>
        </is>
      </c>
      <c r="D1319" s="1" t="inlineStr">
        <is>
          <t>TAYLORMADE Stratus Men's Leather Glove (White)</t>
        </is>
      </c>
      <c r="E1319" s="1" t="inlineStr">
        <is>
          <t>TAYLORMADE</t>
        </is>
      </c>
      <c r="F1319" s="1" t="inlineStr">
        <is>
          <t>LEATHER</t>
        </is>
      </c>
      <c r="G1319" s="1" t="inlineStr">
        <is>
          <t>GF302020057322</t>
        </is>
      </c>
      <c r="H1319" s="1" t="n">
        <v>5</v>
      </c>
      <c r="I1319" s="1" t="inlineStr">
        <is>
          <t>มี</t>
        </is>
      </c>
      <c r="J1319" s="13" t="n">
        <v>21</v>
      </c>
      <c r="K1319" s="1" t="inlineStr"/>
      <c r="L1319" s="13" t="n">
        <v>21</v>
      </c>
      <c r="M1319" s="1">
        <f>IF(L1319="","ไม่พบใน SG",IF(ABS(J1319-L1319)&lt;0.005,"ตรงกัน","ไม่ตรง"))</f>
        <v/>
      </c>
      <c r="N1319" s="14">
        <f>IF(L1319="","",ROUND(L1319*'สรุป'!$C$6,-1))</f>
        <v/>
      </c>
      <c r="O1319" s="15" t="n"/>
      <c r="P1319" s="15" t="n"/>
      <c r="Q1319" s="10" t="n"/>
      <c r="R1319" s="10" t="n"/>
      <c r="S1319" s="16" t="inlineStr">
        <is>
          <t>https://mstgolf.co.th/products/gf3020200573</t>
        </is>
      </c>
      <c r="T1319" s="1">
        <f>IF(B1319="ไม้กอล์ฟ",J1319,"")</f>
        <v/>
      </c>
    </row>
    <row r="1320">
      <c r="A1320" s="1" t="n">
        <v>2</v>
      </c>
      <c r="B1320" s="1" t="inlineStr">
        <is>
          <t>ถุงมือ</t>
        </is>
      </c>
      <c r="C1320" s="1" t="inlineStr">
        <is>
          <t>gf3020200452</t>
        </is>
      </c>
      <c r="D1320" s="1" t="inlineStr">
        <is>
          <t>TAYLORMADE Stratus Tech Asia All-Weather Men's Glove (White)</t>
        </is>
      </c>
      <c r="E1320" s="1" t="inlineStr">
        <is>
          <t>TAYLORMADE</t>
        </is>
      </c>
      <c r="F1320" s="1" t="inlineStr">
        <is>
          <t>ALL WEATHER</t>
        </is>
      </c>
      <c r="G1320" s="1" t="inlineStr">
        <is>
          <t>GF302020045222</t>
        </is>
      </c>
      <c r="H1320" s="1" t="n">
        <v>5</v>
      </c>
      <c r="I1320" s="1" t="inlineStr">
        <is>
          <t>มี</t>
        </is>
      </c>
      <c r="J1320" s="13" t="n">
        <v>21</v>
      </c>
      <c r="K1320" s="1" t="inlineStr"/>
      <c r="L1320" s="13" t="n">
        <v>21</v>
      </c>
      <c r="M1320" s="1">
        <f>IF(L1320="","ไม่พบใน SG",IF(ABS(J1320-L1320)&lt;0.005,"ตรงกัน","ไม่ตรง"))</f>
        <v/>
      </c>
      <c r="N1320" s="14">
        <f>IF(L1320="","",ROUND(L1320*'สรุป'!$C$6,-1))</f>
        <v/>
      </c>
      <c r="O1320" s="15" t="n"/>
      <c r="P1320" s="15" t="n"/>
      <c r="Q1320" s="10" t="n"/>
      <c r="R1320" s="10" t="n"/>
      <c r="S1320" s="16" t="inlineStr">
        <is>
          <t>https://mstgolf.co.th/products/gf3020200452</t>
        </is>
      </c>
      <c r="T1320" s="1">
        <f>IF(B1320="ไม้กอล์ฟ",J1320,"")</f>
        <v/>
      </c>
    </row>
    <row r="1321">
      <c r="A1321" s="1" t="n">
        <v>2</v>
      </c>
      <c r="B1321" s="1" t="inlineStr">
        <is>
          <t>ถุงกอล์ฟ</t>
        </is>
      </c>
      <c r="C1321" s="1" t="inlineStr">
        <is>
          <t>gf3010300291</t>
        </is>
      </c>
      <c r="D1321" s="1" t="inlineStr">
        <is>
          <t>UNDER ARMOUR Undeniable Sackpack (Black/Black/Silver)</t>
        </is>
      </c>
      <c r="E1321" s="1" t="inlineStr">
        <is>
          <t>UNDER ARMOUR</t>
        </is>
      </c>
      <c r="F1321" s="1" t="inlineStr">
        <is>
          <t>BACKPACK/RUCKSACK</t>
        </is>
      </c>
      <c r="G1321" s="1" t="inlineStr">
        <is>
          <t>GF3010300291</t>
        </is>
      </c>
      <c r="H1321" s="1" t="n">
        <v>1</v>
      </c>
      <c r="I1321" s="1" t="inlineStr">
        <is>
          <t>มี</t>
        </is>
      </c>
      <c r="J1321" s="13" t="n">
        <v>21</v>
      </c>
      <c r="K1321" s="1" t="inlineStr"/>
      <c r="L1321" s="13" t="n">
        <v>21</v>
      </c>
      <c r="M1321" s="1">
        <f>IF(L1321="","ไม่พบใน SG",IF(ABS(J1321-L1321)&lt;0.005,"ตรงกัน","ไม่ตรง"))</f>
        <v/>
      </c>
      <c r="N1321" s="14">
        <f>IF(L1321="","",ROUND(L1321*'สรุป'!$C$6,-1))</f>
        <v/>
      </c>
      <c r="O1321" s="15" t="n"/>
      <c r="P1321" s="15" t="n"/>
      <c r="Q1321" s="10" t="n"/>
      <c r="R1321" s="10" t="n"/>
      <c r="S1321" s="16" t="inlineStr">
        <is>
          <t>https://mstgolf.co.th/products/gf3010300291</t>
        </is>
      </c>
      <c r="T1321" s="1">
        <f>IF(B1321="ไม้กอล์ฟ",J1321,"")</f>
        <v/>
      </c>
    </row>
    <row r="1322">
      <c r="A1322" s="1" t="n">
        <v>2</v>
      </c>
      <c r="B1322" s="1" t="inlineStr">
        <is>
          <t>ถุงมือ</t>
        </is>
      </c>
      <c r="C1322" s="1" t="inlineStr">
        <is>
          <t>gf3020200664</t>
        </is>
      </c>
      <c r="D1322" s="1" t="inlineStr">
        <is>
          <t>ADIDAS Aditech All-Weather Men's Glove (White)</t>
        </is>
      </c>
      <c r="E1322" s="1" t="inlineStr">
        <is>
          <t>ADIDAS</t>
        </is>
      </c>
      <c r="F1322" s="1" t="inlineStr">
        <is>
          <t>ALL WEATHER</t>
        </is>
      </c>
      <c r="G1322" s="1" t="inlineStr">
        <is>
          <t>GF30202006641415</t>
        </is>
      </c>
      <c r="H1322" s="1" t="n">
        <v>9</v>
      </c>
      <c r="I1322" s="1" t="inlineStr">
        <is>
          <t>มี</t>
        </is>
      </c>
      <c r="J1322" s="13" t="n">
        <v>19</v>
      </c>
      <c r="K1322" s="1" t="inlineStr"/>
      <c r="L1322" s="13" t="n">
        <v>12</v>
      </c>
      <c r="M1322" s="1">
        <f>IF(L1322="","ไม่พบใน SG",IF(ABS(J1322-L1322)&lt;0.005,"ตรงกัน","ไม่ตรง"))</f>
        <v/>
      </c>
      <c r="N1322" s="14">
        <f>IF(L1322="","",ROUND(L1322*'สรุป'!$C$6,-1))</f>
        <v/>
      </c>
      <c r="O1322" s="15" t="n"/>
      <c r="P1322" s="15" t="n"/>
      <c r="Q1322" s="10" t="n"/>
      <c r="R1322" s="10" t="n"/>
      <c r="S1322" s="16" t="inlineStr">
        <is>
          <t>https://mstgolf.co.th/products/gf3020200664</t>
        </is>
      </c>
      <c r="T1322" s="1">
        <f>IF(B1322="ไม้กอล์ฟ",J1322,"")</f>
        <v/>
      </c>
    </row>
    <row r="1323">
      <c r="A1323" s="1" t="n">
        <v>2</v>
      </c>
      <c r="B1323" s="1" t="inlineStr">
        <is>
          <t>รถเข็น</t>
        </is>
      </c>
      <c r="C1323" s="1" t="inlineStr">
        <is>
          <t>gf3030200036</t>
        </is>
      </c>
      <c r="D1323" s="1" t="inlineStr">
        <is>
          <t>AXGLO Umbrella Holder</t>
        </is>
      </c>
      <c r="E1323" s="1" t="inlineStr">
        <is>
          <t>AXGLO</t>
        </is>
      </c>
      <c r="F1323" s="1" t="inlineStr">
        <is>
          <t>TROLLEY PARTS/ACCESSORIES</t>
        </is>
      </c>
      <c r="G1323" s="1" t="inlineStr">
        <is>
          <t>GF3030200036</t>
        </is>
      </c>
      <c r="H1323" s="1" t="n">
        <v>1</v>
      </c>
      <c r="I1323" s="1" t="inlineStr">
        <is>
          <t>มี</t>
        </is>
      </c>
      <c r="J1323" s="13" t="n">
        <v>19</v>
      </c>
      <c r="K1323" s="1" t="inlineStr"/>
      <c r="L1323" s="13" t="n">
        <v>19</v>
      </c>
      <c r="M1323" s="1">
        <f>IF(L1323="","ไม่พบใน SG",IF(ABS(J1323-L1323)&lt;0.005,"ตรงกัน","ไม่ตรง"))</f>
        <v/>
      </c>
      <c r="N1323" s="14">
        <f>IF(L1323="","",ROUND(L1323*'สรุป'!$C$6,-1))</f>
        <v/>
      </c>
      <c r="O1323" s="15" t="n"/>
      <c r="P1323" s="15" t="n"/>
      <c r="Q1323" s="10" t="n"/>
      <c r="R1323" s="10" t="n"/>
      <c r="S1323" s="16" t="inlineStr">
        <is>
          <t>https://mstgolf.co.th/products/gf3030200036</t>
        </is>
      </c>
      <c r="T1323" s="1">
        <f>IF(B1323="ไม้กอล์ฟ",J1323,"")</f>
        <v/>
      </c>
    </row>
    <row r="1324">
      <c r="A1324" s="1" t="n">
        <v>2</v>
      </c>
      <c r="B1324" s="1" t="inlineStr">
        <is>
          <t>ถุงกอล์ฟ</t>
        </is>
      </c>
      <c r="C1324" s="1" t="inlineStr">
        <is>
          <t>gf3010200661</t>
        </is>
      </c>
      <c r="D1324" s="1" t="inlineStr">
        <is>
          <t>CUTTER &amp; BUCK MST25.D05 Shoe Bag (Black)</t>
        </is>
      </c>
      <c r="E1324" s="1" t="inlineStr">
        <is>
          <t>CUTTER &amp; BUCK</t>
        </is>
      </c>
      <c r="F1324" s="1" t="inlineStr">
        <is>
          <t>SHOES BAG</t>
        </is>
      </c>
      <c r="G1324" s="1" t="inlineStr">
        <is>
          <t>GF3010200661</t>
        </is>
      </c>
      <c r="H1324" s="1" t="n">
        <v>1</v>
      </c>
      <c r="I1324" s="1" t="inlineStr">
        <is>
          <t>มี</t>
        </is>
      </c>
      <c r="J1324" s="13" t="n">
        <v>19</v>
      </c>
      <c r="K1324" s="1" t="inlineStr"/>
      <c r="L1324" s="13" t="n">
        <v>19</v>
      </c>
      <c r="M1324" s="1">
        <f>IF(L1324="","ไม่พบใน SG",IF(ABS(J1324-L1324)&lt;0.005,"ตรงกัน","ไม่ตรง"))</f>
        <v/>
      </c>
      <c r="N1324" s="14">
        <f>IF(L1324="","",ROUND(L1324*'สรุป'!$C$6,-1))</f>
        <v/>
      </c>
      <c r="O1324" s="15" t="n"/>
      <c r="P1324" s="15" t="n"/>
      <c r="Q1324" s="10" t="n"/>
      <c r="R1324" s="10" t="n"/>
      <c r="S1324" s="16" t="inlineStr">
        <is>
          <t>https://mstgolf.co.th/products/gf3010200661</t>
        </is>
      </c>
      <c r="T1324" s="1">
        <f>IF(B1324="ไม้กอล์ฟ",J1324,"")</f>
        <v/>
      </c>
    </row>
    <row r="1325">
      <c r="A1325" s="1" t="n">
        <v>2</v>
      </c>
      <c r="B1325" s="1" t="inlineStr">
        <is>
          <t>ถุงกอล์ฟ</t>
        </is>
      </c>
      <c r="C1325" s="1" t="inlineStr">
        <is>
          <t>gf3010200663</t>
        </is>
      </c>
      <c r="D1325" s="1" t="inlineStr">
        <is>
          <t>CUTTER &amp; BUCK MST25.D05 Shoe Bag (Dark Grey)</t>
        </is>
      </c>
      <c r="E1325" s="1" t="inlineStr">
        <is>
          <t>CUTTER &amp; BUCK</t>
        </is>
      </c>
      <c r="F1325" s="1" t="inlineStr">
        <is>
          <t>SHOES BAG</t>
        </is>
      </c>
      <c r="G1325" s="1" t="inlineStr">
        <is>
          <t>GF3010200663</t>
        </is>
      </c>
      <c r="H1325" s="1" t="n">
        <v>1</v>
      </c>
      <c r="I1325" s="1" t="inlineStr">
        <is>
          <t>มี</t>
        </is>
      </c>
      <c r="J1325" s="13" t="n">
        <v>19</v>
      </c>
      <c r="K1325" s="1" t="inlineStr"/>
      <c r="L1325" s="13" t="n">
        <v>19</v>
      </c>
      <c r="M1325" s="1">
        <f>IF(L1325="","ไม่พบใน SG",IF(ABS(J1325-L1325)&lt;0.005,"ตรงกัน","ไม่ตรง"))</f>
        <v/>
      </c>
      <c r="N1325" s="14">
        <f>IF(L1325="","",ROUND(L1325*'สรุป'!$C$6,-1))</f>
        <v/>
      </c>
      <c r="O1325" s="15" t="n"/>
      <c r="P1325" s="15" t="n"/>
      <c r="Q1325" s="10" t="n"/>
      <c r="R1325" s="10" t="n"/>
      <c r="S1325" s="16" t="inlineStr">
        <is>
          <t>https://mstgolf.co.th/products/gf3010200663</t>
        </is>
      </c>
      <c r="T1325" s="1">
        <f>IF(B1325="ไม้กอล์ฟ",J1325,"")</f>
        <v/>
      </c>
    </row>
    <row r="1326">
      <c r="A1326" s="1" t="n">
        <v>2</v>
      </c>
      <c r="B1326" s="1" t="inlineStr">
        <is>
          <t>ถุงกอล์ฟ</t>
        </is>
      </c>
      <c r="C1326" s="1" t="inlineStr">
        <is>
          <t>gf3010200662</t>
        </is>
      </c>
      <c r="D1326" s="1" t="inlineStr">
        <is>
          <t>CUTTER &amp; BUCK MST25.D05 Shoe Bag (Navy)</t>
        </is>
      </c>
      <c r="E1326" s="1" t="inlineStr">
        <is>
          <t>CUTTER &amp; BUCK</t>
        </is>
      </c>
      <c r="F1326" s="1" t="inlineStr">
        <is>
          <t>SHOES BAG</t>
        </is>
      </c>
      <c r="G1326" s="1" t="inlineStr">
        <is>
          <t>GF3010200662</t>
        </is>
      </c>
      <c r="H1326" s="1" t="n">
        <v>1</v>
      </c>
      <c r="I1326" s="1" t="inlineStr">
        <is>
          <t>มี</t>
        </is>
      </c>
      <c r="J1326" s="13" t="n">
        <v>19</v>
      </c>
      <c r="K1326" s="1" t="inlineStr"/>
      <c r="L1326" s="13" t="n">
        <v>19</v>
      </c>
      <c r="M1326" s="1">
        <f>IF(L1326="","ไม่พบใน SG",IF(ABS(J1326-L1326)&lt;0.005,"ตรงกัน","ไม่ตรง"))</f>
        <v/>
      </c>
      <c r="N1326" s="14">
        <f>IF(L1326="","",ROUND(L1326*'สรุป'!$C$6,-1))</f>
        <v/>
      </c>
      <c r="O1326" s="15" t="n"/>
      <c r="P1326" s="15" t="n"/>
      <c r="Q1326" s="10" t="n"/>
      <c r="R1326" s="10" t="n"/>
      <c r="S1326" s="16" t="inlineStr">
        <is>
          <t>https://mstgolf.co.th/products/gf3010200662</t>
        </is>
      </c>
      <c r="T1326" s="1">
        <f>IF(B1326="ไม้กอล์ฟ",J1326,"")</f>
        <v/>
      </c>
    </row>
    <row r="1327">
      <c r="A1327" s="1" t="n">
        <v>2</v>
      </c>
      <c r="B1327" s="1" t="inlineStr">
        <is>
          <t>ถุงกอล์ฟ</t>
        </is>
      </c>
      <c r="C1327" s="1" t="inlineStr">
        <is>
          <t>gf3010200620</t>
        </is>
      </c>
      <c r="D1327" s="1" t="inlineStr">
        <is>
          <t>CUTTER &amp; BUCK Shoe Bag (Black)</t>
        </is>
      </c>
      <c r="E1327" s="1" t="inlineStr">
        <is>
          <t>CUTTER &amp; BUCK</t>
        </is>
      </c>
      <c r="F1327" s="1" t="inlineStr">
        <is>
          <t>SHOES BAG</t>
        </is>
      </c>
      <c r="G1327" s="1" t="inlineStr">
        <is>
          <t>GF3010200620</t>
        </is>
      </c>
      <c r="H1327" s="1" t="n">
        <v>1</v>
      </c>
      <c r="I1327" s="1" t="inlineStr">
        <is>
          <t>มี</t>
        </is>
      </c>
      <c r="J1327" s="13" t="n">
        <v>19</v>
      </c>
      <c r="K1327" s="1" t="inlineStr"/>
      <c r="L1327" s="13" t="n">
        <v>19</v>
      </c>
      <c r="M1327" s="1">
        <f>IF(L1327="","ไม่พบใน SG",IF(ABS(J1327-L1327)&lt;0.005,"ตรงกัน","ไม่ตรง"))</f>
        <v/>
      </c>
      <c r="N1327" s="14">
        <f>IF(L1327="","",ROUND(L1327*'สรุป'!$C$6,-1))</f>
        <v/>
      </c>
      <c r="O1327" s="15" t="n"/>
      <c r="P1327" s="15" t="n"/>
      <c r="Q1327" s="10" t="n"/>
      <c r="R1327" s="10" t="n"/>
      <c r="S1327" s="16" t="inlineStr">
        <is>
          <t>https://mstgolf.co.th/products/gf3010200620</t>
        </is>
      </c>
      <c r="T1327" s="1">
        <f>IF(B1327="ไม้กอล์ฟ",J1327,"")</f>
        <v/>
      </c>
    </row>
    <row r="1328">
      <c r="A1328" s="1" t="n">
        <v>2</v>
      </c>
      <c r="B1328" s="1" t="inlineStr">
        <is>
          <t>ถุงมือ</t>
        </is>
      </c>
      <c r="C1328" s="1" t="inlineStr">
        <is>
          <t>gf3020200745</t>
        </is>
      </c>
      <c r="D1328" s="1" t="inlineStr">
        <is>
          <t>FOOTJOY RainGrip Men's All Weather Glove (Black)</t>
        </is>
      </c>
      <c r="E1328" s="1" t="inlineStr">
        <is>
          <t>FOOTJOY</t>
        </is>
      </c>
      <c r="F1328" s="1" t="inlineStr">
        <is>
          <t>ALL WEATHER</t>
        </is>
      </c>
      <c r="G1328" s="1" t="inlineStr">
        <is>
          <t>GF302020074521</t>
        </is>
      </c>
      <c r="H1328" s="1" t="n">
        <v>7</v>
      </c>
      <c r="I1328" s="1" t="inlineStr">
        <is>
          <t>มี</t>
        </is>
      </c>
      <c r="J1328" s="13" t="n">
        <v>19</v>
      </c>
      <c r="K1328" s="1" t="inlineStr"/>
      <c r="L1328" s="13" t="n">
        <v>19</v>
      </c>
      <c r="M1328" s="1">
        <f>IF(L1328="","ไม่พบใน SG",IF(ABS(J1328-L1328)&lt;0.005,"ตรงกัน","ไม่ตรง"))</f>
        <v/>
      </c>
      <c r="N1328" s="14">
        <f>IF(L1328="","",ROUND(L1328*'สรุป'!$C$6,-1))</f>
        <v/>
      </c>
      <c r="O1328" s="15" t="n"/>
      <c r="P1328" s="15" t="n"/>
      <c r="Q1328" s="10" t="n"/>
      <c r="R1328" s="10" t="n"/>
      <c r="S1328" s="16" t="inlineStr">
        <is>
          <t>https://mstgolf.co.th/products/gf3020200745</t>
        </is>
      </c>
      <c r="T1328" s="1">
        <f>IF(B1328="ไม้กอล์ฟ",J1328,"")</f>
        <v/>
      </c>
    </row>
    <row r="1329">
      <c r="A1329" s="1" t="n">
        <v>2</v>
      </c>
      <c r="B1329" s="1" t="inlineStr">
        <is>
          <t>ถุงมือ</t>
        </is>
      </c>
      <c r="C1329" s="1" t="inlineStr">
        <is>
          <t>gf3020200433</t>
        </is>
      </c>
      <c r="D1329" s="1" t="inlineStr">
        <is>
          <t>FOOTJOY Raingrip Suede Men's Glove (Black)</t>
        </is>
      </c>
      <c r="E1329" s="1" t="inlineStr">
        <is>
          <t>FOOTJOY</t>
        </is>
      </c>
      <c r="F1329" s="1" t="inlineStr">
        <is>
          <t>ALL WEATHER</t>
        </is>
      </c>
      <c r="G1329" s="1" t="inlineStr">
        <is>
          <t>GF302020043320</t>
        </is>
      </c>
      <c r="H1329" s="1" t="n">
        <v>8</v>
      </c>
      <c r="I1329" s="1" t="inlineStr">
        <is>
          <t>มี</t>
        </is>
      </c>
      <c r="J1329" s="13" t="n">
        <v>19</v>
      </c>
      <c r="K1329" s="1" t="inlineStr"/>
      <c r="L1329" s="13" t="n">
        <v>19</v>
      </c>
      <c r="M1329" s="1">
        <f>IF(L1329="","ไม่พบใน SG",IF(ABS(J1329-L1329)&lt;0.005,"ตรงกัน","ไม่ตรง"))</f>
        <v/>
      </c>
      <c r="N1329" s="14">
        <f>IF(L1329="","",ROUND(L1329*'สรุป'!$C$6,-1))</f>
        <v/>
      </c>
      <c r="O1329" s="15" t="n"/>
      <c r="P1329" s="15" t="n"/>
      <c r="Q1329" s="10" t="n"/>
      <c r="R1329" s="10" t="n"/>
      <c r="S1329" s="16" t="inlineStr">
        <is>
          <t>https://mstgolf.co.th/products/gf3020200433</t>
        </is>
      </c>
      <c r="T1329" s="1">
        <f>IF(B1329="ไม้กอล์ฟ",J1329,"")</f>
        <v/>
      </c>
    </row>
    <row r="1330">
      <c r="A1330" s="1" t="n">
        <v>2</v>
      </c>
      <c r="B1330" s="1" t="inlineStr">
        <is>
          <t>ถุงมือ</t>
        </is>
      </c>
      <c r="C1330" s="1" t="inlineStr">
        <is>
          <t>gf3020200627</t>
        </is>
      </c>
      <c r="D1330" s="1" t="inlineStr">
        <is>
          <t>TAYLORMADE Intercross Lite A/W Men's Glove (Black)</t>
        </is>
      </c>
      <c r="E1330" s="1" t="inlineStr">
        <is>
          <t>TAYLORMADE</t>
        </is>
      </c>
      <c r="F1330" s="1" t="inlineStr">
        <is>
          <t>ALL WEATHER</t>
        </is>
      </c>
      <c r="G1330" s="1" t="inlineStr">
        <is>
          <t>GF302020062721</t>
        </is>
      </c>
      <c r="H1330" s="1" t="n">
        <v>6</v>
      </c>
      <c r="I1330" s="1" t="inlineStr">
        <is>
          <t>มี</t>
        </is>
      </c>
      <c r="J1330" s="13" t="n">
        <v>19</v>
      </c>
      <c r="K1330" s="1" t="inlineStr"/>
      <c r="L1330" s="13" t="n">
        <v>19</v>
      </c>
      <c r="M1330" s="1">
        <f>IF(L1330="","ไม่พบใน SG",IF(ABS(J1330-L1330)&lt;0.005,"ตรงกัน","ไม่ตรง"))</f>
        <v/>
      </c>
      <c r="N1330" s="14">
        <f>IF(L1330="","",ROUND(L1330*'สรุป'!$C$6,-1))</f>
        <v/>
      </c>
      <c r="O1330" s="15" t="n"/>
      <c r="P1330" s="15" t="n"/>
      <c r="Q1330" s="10" t="n"/>
      <c r="R1330" s="10" t="n"/>
      <c r="S1330" s="16" t="inlineStr">
        <is>
          <t>https://mstgolf.co.th/products/gf3020200627</t>
        </is>
      </c>
      <c r="T1330" s="1">
        <f>IF(B1330="ไม้กอล์ฟ",J1330,"")</f>
        <v/>
      </c>
    </row>
    <row r="1331">
      <c r="A1331" s="1" t="n">
        <v>2</v>
      </c>
      <c r="B1331" s="1" t="inlineStr">
        <is>
          <t>ถุงมือ</t>
        </is>
      </c>
      <c r="C1331" s="1" t="inlineStr">
        <is>
          <t>gf3020200586</t>
        </is>
      </c>
      <c r="D1331" s="1" t="inlineStr">
        <is>
          <t>TAYLORMADE Intercross Lite Men's All Weather Glove (White/Black)</t>
        </is>
      </c>
      <c r="E1331" s="1" t="inlineStr">
        <is>
          <t>TAYLORMADE</t>
        </is>
      </c>
      <c r="F1331" s="1" t="inlineStr">
        <is>
          <t>ALL WEATHER</t>
        </is>
      </c>
      <c r="G1331" s="1" t="inlineStr">
        <is>
          <t>GF302020058621</t>
        </is>
      </c>
      <c r="H1331" s="1" t="n">
        <v>6</v>
      </c>
      <c r="I1331" s="1" t="inlineStr">
        <is>
          <t>มี</t>
        </is>
      </c>
      <c r="J1331" s="13" t="n">
        <v>19</v>
      </c>
      <c r="K1331" s="1" t="inlineStr"/>
      <c r="L1331" s="13" t="n">
        <v>19</v>
      </c>
      <c r="M1331" s="1">
        <f>IF(L1331="","ไม่พบใน SG",IF(ABS(J1331-L1331)&lt;0.005,"ตรงกัน","ไม่ตรง"))</f>
        <v/>
      </c>
      <c r="N1331" s="14">
        <f>IF(L1331="","",ROUND(L1331*'สรุป'!$C$6,-1))</f>
        <v/>
      </c>
      <c r="O1331" s="15" t="n"/>
      <c r="P1331" s="15" t="n"/>
      <c r="Q1331" s="10" t="n"/>
      <c r="R1331" s="10" t="n"/>
      <c r="S1331" s="16" t="inlineStr">
        <is>
          <t>https://mstgolf.co.th/products/gf3020200586</t>
        </is>
      </c>
      <c r="T1331" s="1">
        <f>IF(B1331="ไม้กอล์ฟ",J1331,"")</f>
        <v/>
      </c>
    </row>
    <row r="1332">
      <c r="A1332" s="1" t="n">
        <v>2</v>
      </c>
      <c r="B1332" s="1" t="inlineStr">
        <is>
          <t>ถุงมือ</t>
        </is>
      </c>
      <c r="C1332" s="1" t="inlineStr">
        <is>
          <t>gf3020200587</t>
        </is>
      </c>
      <c r="D1332" s="1" t="inlineStr">
        <is>
          <t>TAYLORMADE Intercross Lite Men's All Weather Glove (White/Red)</t>
        </is>
      </c>
      <c r="E1332" s="1" t="inlineStr">
        <is>
          <t>TAYLORMADE</t>
        </is>
      </c>
      <c r="F1332" s="1" t="inlineStr">
        <is>
          <t>ALL WEATHER</t>
        </is>
      </c>
      <c r="G1332" s="1" t="inlineStr">
        <is>
          <t>GF302020058721</t>
        </is>
      </c>
      <c r="H1332" s="1" t="n">
        <v>6</v>
      </c>
      <c r="I1332" s="1" t="inlineStr">
        <is>
          <t>มี</t>
        </is>
      </c>
      <c r="J1332" s="13" t="n">
        <v>19</v>
      </c>
      <c r="K1332" s="1" t="inlineStr"/>
      <c r="L1332" s="13" t="n">
        <v>19</v>
      </c>
      <c r="M1332" s="1">
        <f>IF(L1332="","ไม่พบใน SG",IF(ABS(J1332-L1332)&lt;0.005,"ตรงกัน","ไม่ตรง"))</f>
        <v/>
      </c>
      <c r="N1332" s="14">
        <f>IF(L1332="","",ROUND(L1332*'สรุป'!$C$6,-1))</f>
        <v/>
      </c>
      <c r="O1332" s="15" t="n"/>
      <c r="P1332" s="15" t="n"/>
      <c r="Q1332" s="10" t="n"/>
      <c r="R1332" s="10" t="n"/>
      <c r="S1332" s="16" t="inlineStr">
        <is>
          <t>https://mstgolf.co.th/products/gf3020200587</t>
        </is>
      </c>
      <c r="T1332" s="1">
        <f>IF(B1332="ไม้กอล์ฟ",J1332,"")</f>
        <v/>
      </c>
    </row>
    <row r="1333">
      <c r="A1333" s="1" t="n">
        <v>2</v>
      </c>
      <c r="B1333" s="1" t="inlineStr">
        <is>
          <t>ถุงมือ</t>
        </is>
      </c>
      <c r="C1333" s="1" t="inlineStr">
        <is>
          <t>gf3020200639</t>
        </is>
      </c>
      <c r="D1333" s="1" t="inlineStr">
        <is>
          <t>TAYLORMADE Intercross Men's All-Weather Glove (White/Red)</t>
        </is>
      </c>
      <c r="E1333" s="1" t="inlineStr">
        <is>
          <t>TAYLORMADE</t>
        </is>
      </c>
      <c r="F1333" s="1" t="inlineStr">
        <is>
          <t>ALL WEATHER</t>
        </is>
      </c>
      <c r="G1333" s="1" t="inlineStr">
        <is>
          <t>GF302020063921</t>
        </is>
      </c>
      <c r="H1333" s="1" t="n">
        <v>6</v>
      </c>
      <c r="I1333" s="1" t="inlineStr">
        <is>
          <t>มี</t>
        </is>
      </c>
      <c r="J1333" s="13" t="n">
        <v>19</v>
      </c>
      <c r="K1333" s="1" t="inlineStr"/>
      <c r="L1333" s="13" t="n">
        <v>19</v>
      </c>
      <c r="M1333" s="1">
        <f>IF(L1333="","ไม่พบใน SG",IF(ABS(J1333-L1333)&lt;0.005,"ตรงกัน","ไม่ตรง"))</f>
        <v/>
      </c>
      <c r="N1333" s="14">
        <f>IF(L1333="","",ROUND(L1333*'สรุป'!$C$6,-1))</f>
        <v/>
      </c>
      <c r="O1333" s="15" t="n"/>
      <c r="P1333" s="15" t="n"/>
      <c r="Q1333" s="10" t="n"/>
      <c r="R1333" s="10" t="n"/>
      <c r="S1333" s="16" t="inlineStr">
        <is>
          <t>https://mstgolf.co.th/products/gf3020200639</t>
        </is>
      </c>
      <c r="T1333" s="1">
        <f>IF(B1333="ไม้กอล์ฟ",J1333,"")</f>
        <v/>
      </c>
    </row>
    <row r="1334">
      <c r="A1334" s="1" t="n">
        <v>2</v>
      </c>
      <c r="B1334" s="1" t="inlineStr">
        <is>
          <t>ถุงมือ</t>
        </is>
      </c>
      <c r="C1334" s="1" t="inlineStr">
        <is>
          <t>gf3020200713</t>
        </is>
      </c>
      <c r="D1334" s="1" t="inlineStr">
        <is>
          <t>TAYLORMADE Player's Air All Weather Men's Glove (White)</t>
        </is>
      </c>
      <c r="E1334" s="1" t="inlineStr">
        <is>
          <t>TAYLORMADE</t>
        </is>
      </c>
      <c r="F1334" s="1" t="inlineStr">
        <is>
          <t>ALL WEATHER</t>
        </is>
      </c>
      <c r="G1334" s="1" t="inlineStr">
        <is>
          <t>GF302020071320</t>
        </is>
      </c>
      <c r="H1334" s="1" t="n">
        <v>8</v>
      </c>
      <c r="I1334" s="1" t="inlineStr">
        <is>
          <t>มี</t>
        </is>
      </c>
      <c r="J1334" s="13" t="n">
        <v>19</v>
      </c>
      <c r="K1334" s="1" t="inlineStr"/>
      <c r="L1334" s="13" t="n">
        <v>19</v>
      </c>
      <c r="M1334" s="1">
        <f>IF(L1334="","ไม่พบใน SG",IF(ABS(J1334-L1334)&lt;0.005,"ตรงกัน","ไม่ตรง"))</f>
        <v/>
      </c>
      <c r="N1334" s="14">
        <f>IF(L1334="","",ROUND(L1334*'สรุป'!$C$6,-1))</f>
        <v/>
      </c>
      <c r="O1334" s="15" t="n"/>
      <c r="P1334" s="15" t="n"/>
      <c r="Q1334" s="10" t="n"/>
      <c r="R1334" s="10" t="n"/>
      <c r="S1334" s="16" t="inlineStr">
        <is>
          <t>https://mstgolf.co.th/products/gf3020200713</t>
        </is>
      </c>
      <c r="T1334" s="1">
        <f>IF(B1334="ไม้กอล์ฟ",J1334,"")</f>
        <v/>
      </c>
    </row>
    <row r="1335">
      <c r="A1335" s="1" t="n">
        <v>2</v>
      </c>
      <c r="B1335" s="1" t="inlineStr">
        <is>
          <t>ถุงมือ</t>
        </is>
      </c>
      <c r="C1335" s="1" t="inlineStr">
        <is>
          <t>gf3020200712</t>
        </is>
      </c>
      <c r="D1335" s="1" t="inlineStr">
        <is>
          <t>TAYLORMADE Player's All Weather Men's Glove (White)</t>
        </is>
      </c>
      <c r="E1335" s="1" t="inlineStr">
        <is>
          <t>TAYLORMADE</t>
        </is>
      </c>
      <c r="F1335" s="1" t="inlineStr">
        <is>
          <t>ALL WEATHER</t>
        </is>
      </c>
      <c r="G1335" s="1" t="inlineStr">
        <is>
          <t>GF302020071222</t>
        </is>
      </c>
      <c r="H1335" s="1" t="n">
        <v>6</v>
      </c>
      <c r="I1335" s="1" t="inlineStr">
        <is>
          <t>มี</t>
        </is>
      </c>
      <c r="J1335" s="13" t="n">
        <v>19</v>
      </c>
      <c r="K1335" s="1" t="inlineStr"/>
      <c r="L1335" s="13" t="n">
        <v>19</v>
      </c>
      <c r="M1335" s="1">
        <f>IF(L1335="","ไม่พบใน SG",IF(ABS(J1335-L1335)&lt;0.005,"ตรงกัน","ไม่ตรง"))</f>
        <v/>
      </c>
      <c r="N1335" s="14">
        <f>IF(L1335="","",ROUND(L1335*'สรุป'!$C$6,-1))</f>
        <v/>
      </c>
      <c r="O1335" s="15" t="n"/>
      <c r="P1335" s="15" t="n"/>
      <c r="Q1335" s="10" t="n"/>
      <c r="R1335" s="10" t="n"/>
      <c r="S1335" s="16" t="inlineStr">
        <is>
          <t>https://mstgolf.co.th/products/gf3020200712</t>
        </is>
      </c>
      <c r="T1335" s="1">
        <f>IF(B1335="ไม้กอล์ฟ",J1335,"")</f>
        <v/>
      </c>
    </row>
    <row r="1336">
      <c r="A1336" s="1" t="n">
        <v>2</v>
      </c>
      <c r="B1336" s="1" t="inlineStr">
        <is>
          <t>ถุงมือ</t>
        </is>
      </c>
      <c r="C1336" s="1" t="inlineStr">
        <is>
          <t>gf3020200605</t>
        </is>
      </c>
      <c r="D1336" s="1" t="inlineStr">
        <is>
          <t>UNDER ARMOUR Medal Men's All Weather Glove (Black/Black/Steel)</t>
        </is>
      </c>
      <c r="E1336" s="1" t="inlineStr">
        <is>
          <t>UNDER ARMOUR</t>
        </is>
      </c>
      <c r="F1336" s="1" t="inlineStr">
        <is>
          <t>ALL WEATHER</t>
        </is>
      </c>
      <c r="G1336" s="1" t="inlineStr">
        <is>
          <t>GF3020200605MD</t>
        </is>
      </c>
      <c r="H1336" s="1" t="n">
        <v>6</v>
      </c>
      <c r="I1336" s="1" t="inlineStr">
        <is>
          <t>มี</t>
        </is>
      </c>
      <c r="J1336" s="13" t="n">
        <v>19</v>
      </c>
      <c r="K1336" s="1" t="inlineStr"/>
      <c r="L1336" s="13" t="n">
        <v>19</v>
      </c>
      <c r="M1336" s="1">
        <f>IF(L1336="","ไม่พบใน SG",IF(ABS(J1336-L1336)&lt;0.005,"ตรงกัน","ไม่ตรง"))</f>
        <v/>
      </c>
      <c r="N1336" s="14">
        <f>IF(L1336="","",ROUND(L1336*'สรุป'!$C$6,-1))</f>
        <v/>
      </c>
      <c r="O1336" s="15" t="n"/>
      <c r="P1336" s="15" t="n"/>
      <c r="Q1336" s="10" t="n"/>
      <c r="R1336" s="10" t="n"/>
      <c r="S1336" s="16" t="inlineStr">
        <is>
          <t>https://mstgolf.co.th/products/gf3020200605</t>
        </is>
      </c>
      <c r="T1336" s="1">
        <f>IF(B1336="ไม้กอล์ฟ",J1336,"")</f>
        <v/>
      </c>
    </row>
    <row r="1337">
      <c r="A1337" s="1" t="n">
        <v>2</v>
      </c>
      <c r="B1337" s="1" t="inlineStr">
        <is>
          <t>ถุงมือ</t>
        </is>
      </c>
      <c r="C1337" s="1" t="inlineStr">
        <is>
          <t>gf3020200604</t>
        </is>
      </c>
      <c r="D1337" s="1" t="inlineStr">
        <is>
          <t>UNDER ARMOUR Medal Men's All Weather Glove (Black/White/Black)</t>
        </is>
      </c>
      <c r="E1337" s="1" t="inlineStr">
        <is>
          <t>UNDER ARMOUR</t>
        </is>
      </c>
      <c r="F1337" s="1" t="inlineStr">
        <is>
          <t>ALL WEATHER</t>
        </is>
      </c>
      <c r="G1337" s="1" t="inlineStr">
        <is>
          <t>GF3020200604MD</t>
        </is>
      </c>
      <c r="H1337" s="1" t="n">
        <v>6</v>
      </c>
      <c r="I1337" s="1" t="inlineStr">
        <is>
          <t>มี</t>
        </is>
      </c>
      <c r="J1337" s="13" t="n">
        <v>19</v>
      </c>
      <c r="K1337" s="1" t="inlineStr"/>
      <c r="L1337" s="13" t="n">
        <v>19</v>
      </c>
      <c r="M1337" s="1">
        <f>IF(L1337="","ไม่พบใน SG",IF(ABS(J1337-L1337)&lt;0.005,"ตรงกัน","ไม่ตรง"))</f>
        <v/>
      </c>
      <c r="N1337" s="14">
        <f>IF(L1337="","",ROUND(L1337*'สรุป'!$C$6,-1))</f>
        <v/>
      </c>
      <c r="O1337" s="15" t="n"/>
      <c r="P1337" s="15" t="n"/>
      <c r="Q1337" s="10" t="n"/>
      <c r="R1337" s="10" t="n"/>
      <c r="S1337" s="16" t="inlineStr">
        <is>
          <t>https://mstgolf.co.th/products/gf3020200604</t>
        </is>
      </c>
      <c r="T1337" s="1">
        <f>IF(B1337="ไม้กอล์ฟ",J1337,"")</f>
        <v/>
      </c>
    </row>
    <row r="1338">
      <c r="A1338" s="1" t="n">
        <v>2</v>
      </c>
      <c r="B1338" s="1" t="inlineStr">
        <is>
          <t>ถุงมือ</t>
        </is>
      </c>
      <c r="C1338" s="1" t="inlineStr">
        <is>
          <t>gf3020200606</t>
        </is>
      </c>
      <c r="D1338" s="1" t="inlineStr">
        <is>
          <t>UNDER ARMOUR Medal Men's All Weather Glove (Steel/White/Steel)</t>
        </is>
      </c>
      <c r="E1338" s="1" t="inlineStr">
        <is>
          <t>UNDER ARMOUR</t>
        </is>
      </c>
      <c r="F1338" s="1" t="inlineStr">
        <is>
          <t>ALL WEATHER</t>
        </is>
      </c>
      <c r="G1338" s="1" t="inlineStr">
        <is>
          <t>GF3020200606MD</t>
        </is>
      </c>
      <c r="H1338" s="1" t="n">
        <v>6</v>
      </c>
      <c r="I1338" s="1" t="inlineStr">
        <is>
          <t>มี</t>
        </is>
      </c>
      <c r="J1338" s="13" t="n">
        <v>19</v>
      </c>
      <c r="K1338" s="1" t="inlineStr"/>
      <c r="L1338" s="13" t="n">
        <v>19</v>
      </c>
      <c r="M1338" s="1">
        <f>IF(L1338="","ไม่พบใน SG",IF(ABS(J1338-L1338)&lt;0.005,"ตรงกัน","ไม่ตรง"))</f>
        <v/>
      </c>
      <c r="N1338" s="14">
        <f>IF(L1338="","",ROUND(L1338*'สรุป'!$C$6,-1))</f>
        <v/>
      </c>
      <c r="O1338" s="15" t="n"/>
      <c r="P1338" s="15" t="n"/>
      <c r="Q1338" s="10" t="n"/>
      <c r="R1338" s="10" t="n"/>
      <c r="S1338" s="16" t="inlineStr">
        <is>
          <t>https://mstgolf.co.th/products/gf3020200606</t>
        </is>
      </c>
      <c r="T1338" s="1">
        <f>IF(B1338="ไม้กอล์ฟ",J1338,"")</f>
        <v/>
      </c>
    </row>
    <row r="1339">
      <c r="A1339" s="1" t="n">
        <v>2</v>
      </c>
      <c r="B1339" s="1" t="inlineStr">
        <is>
          <t>ถุงมือ</t>
        </is>
      </c>
      <c r="C1339" s="1" t="inlineStr">
        <is>
          <t>gf3020200593</t>
        </is>
      </c>
      <c r="D1339" s="1" t="inlineStr">
        <is>
          <t>TAYLORMADE Intercross 5.0 Women's All Weather Gloves (White/Silver)</t>
        </is>
      </c>
      <c r="E1339" s="1" t="inlineStr">
        <is>
          <t>TAYLORMADE</t>
        </is>
      </c>
      <c r="F1339" s="1" t="inlineStr">
        <is>
          <t>ALL WEATHER</t>
        </is>
      </c>
      <c r="G1339" s="1" t="inlineStr">
        <is>
          <t>GF302020059321</t>
        </is>
      </c>
      <c r="H1339" s="1" t="n">
        <v>6</v>
      </c>
      <c r="I1339" s="1" t="inlineStr">
        <is>
          <t>มี</t>
        </is>
      </c>
      <c r="J1339" s="13" t="n">
        <v>18</v>
      </c>
      <c r="K1339" s="1" t="inlineStr"/>
      <c r="L1339" s="13" t="n"/>
      <c r="M1339" s="1">
        <f>IF(L1339="","ไม่พบใน SG",IF(ABS(J1339-L1339)&lt;0.005,"ตรงกัน","ไม่ตรง"))</f>
        <v/>
      </c>
      <c r="N1339" s="14">
        <f>IF(L1339="","",ROUND(L1339*'สรุป'!$C$6,-1))</f>
        <v/>
      </c>
      <c r="O1339" s="15" t="n"/>
      <c r="P1339" s="15" t="n"/>
      <c r="Q1339" s="10" t="n"/>
      <c r="R1339" s="10" t="n"/>
      <c r="S1339" s="16" t="inlineStr">
        <is>
          <t>https://mstgolf.co.th/products/gf3020200593</t>
        </is>
      </c>
      <c r="T1339" s="1">
        <f>IF(B1339="ไม้กอล์ฟ",J1339,"")</f>
        <v/>
      </c>
    </row>
    <row r="1340">
      <c r="A1340" s="1" t="n">
        <v>2</v>
      </c>
      <c r="B1340" s="1" t="inlineStr">
        <is>
          <t>ถุงมือ</t>
        </is>
      </c>
      <c r="C1340" s="1" t="inlineStr">
        <is>
          <t>gf3020100265</t>
        </is>
      </c>
      <c r="D1340" s="1" t="inlineStr">
        <is>
          <t>FIT ON Men's Leather Glove (White)</t>
        </is>
      </c>
      <c r="E1340" s="1" t="inlineStr">
        <is>
          <t>FIT ON</t>
        </is>
      </c>
      <c r="F1340" s="1" t="inlineStr">
        <is>
          <t>LEATHER</t>
        </is>
      </c>
      <c r="G1340" s="1" t="inlineStr">
        <is>
          <t>GF302010026521</t>
        </is>
      </c>
      <c r="H1340" s="1" t="n">
        <v>7</v>
      </c>
      <c r="I1340" s="1" t="inlineStr">
        <is>
          <t>มี</t>
        </is>
      </c>
      <c r="J1340" s="13" t="n">
        <v>17</v>
      </c>
      <c r="K1340" s="1" t="inlineStr"/>
      <c r="L1340" s="13" t="n">
        <v>17</v>
      </c>
      <c r="M1340" s="1">
        <f>IF(L1340="","ไม่พบใน SG",IF(ABS(J1340-L1340)&lt;0.005,"ตรงกัน","ไม่ตรง"))</f>
        <v/>
      </c>
      <c r="N1340" s="14">
        <f>IF(L1340="","",ROUND(L1340*'สรุป'!$C$6,-1))</f>
        <v/>
      </c>
      <c r="O1340" s="15" t="n"/>
      <c r="P1340" s="15" t="n"/>
      <c r="Q1340" s="10" t="n"/>
      <c r="R1340" s="10" t="n"/>
      <c r="S1340" s="16" t="inlineStr">
        <is>
          <t>https://mstgolf.co.th/products/gf3020100265</t>
        </is>
      </c>
      <c r="T1340" s="1">
        <f>IF(B1340="ไม้กอล์ฟ",J1340,"")</f>
        <v/>
      </c>
    </row>
    <row r="1341">
      <c r="A1341" s="1" t="n">
        <v>2</v>
      </c>
      <c r="B1341" s="1" t="inlineStr">
        <is>
          <t>ถุงมือ</t>
        </is>
      </c>
      <c r="C1341" s="1" t="inlineStr">
        <is>
          <t>gf3020200679</t>
        </is>
      </c>
      <c r="D1341" s="1" t="inlineStr">
        <is>
          <t>FOOTJOY WeatherSof Men's All-Weather Glove (White/Blue)</t>
        </is>
      </c>
      <c r="E1341" s="1" t="inlineStr">
        <is>
          <t>FOOTJOY</t>
        </is>
      </c>
      <c r="F1341" s="1" t="inlineStr">
        <is>
          <t>ALL WEATHER</t>
        </is>
      </c>
      <c r="G1341" s="1" t="inlineStr">
        <is>
          <t>GF302020067921</t>
        </is>
      </c>
      <c r="H1341" s="1" t="n">
        <v>7</v>
      </c>
      <c r="I1341" s="1" t="inlineStr">
        <is>
          <t>มี</t>
        </is>
      </c>
      <c r="J1341" s="13" t="n">
        <v>16</v>
      </c>
      <c r="K1341" s="1" t="inlineStr"/>
      <c r="L1341" s="13" t="n">
        <v>16</v>
      </c>
      <c r="M1341" s="1">
        <f>IF(L1341="","ไม่พบใน SG",IF(ABS(J1341-L1341)&lt;0.005,"ตรงกัน","ไม่ตรง"))</f>
        <v/>
      </c>
      <c r="N1341" s="14">
        <f>IF(L1341="","",ROUND(L1341*'สรุป'!$C$6,-1))</f>
        <v/>
      </c>
      <c r="O1341" s="15" t="n"/>
      <c r="P1341" s="15" t="n"/>
      <c r="Q1341" s="10" t="n"/>
      <c r="R1341" s="10" t="n"/>
      <c r="S1341" s="16" t="inlineStr">
        <is>
          <t>https://mstgolf.co.th/products/gf3020200679</t>
        </is>
      </c>
      <c r="T1341" s="1">
        <f>IF(B1341="ไม้กอล์ฟ",J1341,"")</f>
        <v/>
      </c>
    </row>
    <row r="1342">
      <c r="A1342" s="1" t="n">
        <v>2</v>
      </c>
      <c r="B1342" s="1" t="inlineStr">
        <is>
          <t>ถุงมือ</t>
        </is>
      </c>
      <c r="C1342" s="1" t="inlineStr">
        <is>
          <t>gf3020200727</t>
        </is>
      </c>
      <c r="D1342" s="1" t="inlineStr">
        <is>
          <t>ADIDAS Adizero Women's All-Weather Glove (White/Taupe)</t>
        </is>
      </c>
      <c r="E1342" s="1" t="inlineStr">
        <is>
          <t>ADIDAS</t>
        </is>
      </c>
      <c r="F1342" s="1" t="inlineStr">
        <is>
          <t>ALL WEATHER</t>
        </is>
      </c>
      <c r="G1342" s="1" t="inlineStr">
        <is>
          <t>GF302020072718</t>
        </is>
      </c>
      <c r="H1342" s="1" t="n">
        <v>4</v>
      </c>
      <c r="I1342" s="1" t="inlineStr">
        <is>
          <t>มี</t>
        </is>
      </c>
      <c r="J1342" s="13" t="n">
        <v>15</v>
      </c>
      <c r="K1342" s="1" t="inlineStr"/>
      <c r="L1342" s="13" t="n">
        <v>15</v>
      </c>
      <c r="M1342" s="1">
        <f>IF(L1342="","ไม่พบใน SG",IF(ABS(J1342-L1342)&lt;0.005,"ตรงกัน","ไม่ตรง"))</f>
        <v/>
      </c>
      <c r="N1342" s="14">
        <f>IF(L1342="","",ROUND(L1342*'สรุป'!$C$6,-1))</f>
        <v/>
      </c>
      <c r="O1342" s="15" t="n"/>
      <c r="P1342" s="15" t="n"/>
      <c r="Q1342" s="10" t="n"/>
      <c r="R1342" s="10" t="n"/>
      <c r="S1342" s="16" t="inlineStr">
        <is>
          <t>https://mstgolf.co.th/products/gf3020200727</t>
        </is>
      </c>
      <c r="T1342" s="1">
        <f>IF(B1342="ไม้กอล์ฟ",J1342,"")</f>
        <v/>
      </c>
    </row>
    <row r="1343">
      <c r="A1343" s="1" t="n">
        <v>2</v>
      </c>
      <c r="B1343" s="1" t="inlineStr">
        <is>
          <t>ถุงมือ</t>
        </is>
      </c>
      <c r="C1343" s="1" t="inlineStr">
        <is>
          <t>gf3020200425</t>
        </is>
      </c>
      <c r="D1343" s="1" t="inlineStr">
        <is>
          <t>MIZUNO Tashoku Suede Men's Glove (Black)</t>
        </is>
      </c>
      <c r="E1343" s="1" t="inlineStr">
        <is>
          <t>MIZUNO</t>
        </is>
      </c>
      <c r="F1343" s="1" t="inlineStr">
        <is>
          <t>ALL WEATHER</t>
        </is>
      </c>
      <c r="G1343" s="1" t="inlineStr">
        <is>
          <t>GF302020042520</t>
        </is>
      </c>
      <c r="H1343" s="1" t="n">
        <v>7</v>
      </c>
      <c r="I1343" s="1" t="inlineStr">
        <is>
          <t>มี</t>
        </is>
      </c>
      <c r="J1343" s="13" t="n">
        <v>15</v>
      </c>
      <c r="K1343" s="1" t="inlineStr"/>
      <c r="L1343" s="13" t="n">
        <v>15</v>
      </c>
      <c r="M1343" s="1">
        <f>IF(L1343="","ไม่พบใน SG",IF(ABS(J1343-L1343)&lt;0.005,"ตรงกัน","ไม่ตรง"))</f>
        <v/>
      </c>
      <c r="N1343" s="14">
        <f>IF(L1343="","",ROUND(L1343*'สรุป'!$C$6,-1))</f>
        <v/>
      </c>
      <c r="O1343" s="15" t="n"/>
      <c r="P1343" s="15" t="n"/>
      <c r="Q1343" s="10" t="n"/>
      <c r="R1343" s="10" t="n"/>
      <c r="S1343" s="16" t="inlineStr">
        <is>
          <t>https://mstgolf.co.th/products/gf3020200425</t>
        </is>
      </c>
      <c r="T1343" s="1">
        <f>IF(B1343="ไม้กอล์ฟ",J1343,"")</f>
        <v/>
      </c>
    </row>
    <row r="1344">
      <c r="A1344" s="1" t="n">
        <v>2</v>
      </c>
      <c r="B1344" s="1" t="inlineStr">
        <is>
          <t>ถุงมือ</t>
        </is>
      </c>
      <c r="C1344" s="1" t="inlineStr">
        <is>
          <t>gf3020200426</t>
        </is>
      </c>
      <c r="D1344" s="1" t="inlineStr">
        <is>
          <t>MIZUNO Tashoku Suede Men's Glove (Grey)</t>
        </is>
      </c>
      <c r="E1344" s="1" t="inlineStr">
        <is>
          <t>MIZUNO</t>
        </is>
      </c>
      <c r="F1344" s="1" t="inlineStr">
        <is>
          <t>ALL WEATHER</t>
        </is>
      </c>
      <c r="G1344" s="1" t="inlineStr">
        <is>
          <t>GF302020042622</t>
        </is>
      </c>
      <c r="H1344" s="1" t="n">
        <v>5</v>
      </c>
      <c r="I1344" s="1" t="inlineStr">
        <is>
          <t>มี</t>
        </is>
      </c>
      <c r="J1344" s="13" t="n">
        <v>15</v>
      </c>
      <c r="K1344" s="1" t="inlineStr"/>
      <c r="L1344" s="13" t="n">
        <v>15</v>
      </c>
      <c r="M1344" s="1">
        <f>IF(L1344="","ไม่พบใน SG",IF(ABS(J1344-L1344)&lt;0.005,"ตรงกัน","ไม่ตรง"))</f>
        <v/>
      </c>
      <c r="N1344" s="14">
        <f>IF(L1344="","",ROUND(L1344*'สรุป'!$C$6,-1))</f>
        <v/>
      </c>
      <c r="O1344" s="15" t="n"/>
      <c r="P1344" s="15" t="n"/>
      <c r="Q1344" s="10" t="n"/>
      <c r="R1344" s="10" t="n"/>
      <c r="S1344" s="16" t="inlineStr">
        <is>
          <t>https://mstgolf.co.th/products/gf3020200426</t>
        </is>
      </c>
      <c r="T1344" s="1">
        <f>IF(B1344="ไม้กอล์ฟ",J1344,"")</f>
        <v/>
      </c>
    </row>
    <row r="1345">
      <c r="A1345" s="1" t="n">
        <v>2</v>
      </c>
      <c r="B1345" s="1" t="inlineStr">
        <is>
          <t>ถุงมือ</t>
        </is>
      </c>
      <c r="C1345" s="1" t="inlineStr">
        <is>
          <t>gf3020200435</t>
        </is>
      </c>
      <c r="D1345" s="1" t="inlineStr">
        <is>
          <t>MIZUNO Tashoku Suede Men's Glove (Grey)</t>
        </is>
      </c>
      <c r="E1345" s="1" t="inlineStr">
        <is>
          <t>MIZUNO</t>
        </is>
      </c>
      <c r="F1345" s="1" t="inlineStr">
        <is>
          <t>ALL WEATHER</t>
        </is>
      </c>
      <c r="G1345" s="1" t="inlineStr">
        <is>
          <t>GF302020043522</t>
        </is>
      </c>
      <c r="H1345" s="1" t="n">
        <v>5</v>
      </c>
      <c r="I1345" s="1" t="inlineStr">
        <is>
          <t>มี</t>
        </is>
      </c>
      <c r="J1345" s="13" t="n">
        <v>15</v>
      </c>
      <c r="K1345" s="1" t="inlineStr"/>
      <c r="L1345" s="13" t="n">
        <v>15</v>
      </c>
      <c r="M1345" s="1">
        <f>IF(L1345="","ไม่พบใน SG",IF(ABS(J1345-L1345)&lt;0.005,"ตรงกัน","ไม่ตรง"))</f>
        <v/>
      </c>
      <c r="N1345" s="14">
        <f>IF(L1345="","",ROUND(L1345*'สรุป'!$C$6,-1))</f>
        <v/>
      </c>
      <c r="O1345" s="15" t="n"/>
      <c r="P1345" s="15" t="n"/>
      <c r="Q1345" s="10" t="n"/>
      <c r="R1345" s="10" t="n"/>
      <c r="S1345" s="16" t="inlineStr">
        <is>
          <t>https://mstgolf.co.th/products/gf3020200435</t>
        </is>
      </c>
      <c r="T1345" s="1">
        <f>IF(B1345="ไม้กอล์ฟ",J1345,"")</f>
        <v/>
      </c>
    </row>
    <row r="1346">
      <c r="A1346" s="1" t="n">
        <v>2</v>
      </c>
      <c r="B1346" s="1" t="inlineStr">
        <is>
          <t>ถุงมือ</t>
        </is>
      </c>
      <c r="C1346" s="1" t="inlineStr">
        <is>
          <t>gf3020200427</t>
        </is>
      </c>
      <c r="D1346" s="1" t="inlineStr">
        <is>
          <t>MIZUNO Tashoku Suede Men's Glove (Navy)</t>
        </is>
      </c>
      <c r="E1346" s="1" t="inlineStr">
        <is>
          <t>MIZUNO</t>
        </is>
      </c>
      <c r="F1346" s="1" t="inlineStr">
        <is>
          <t>ALL WEATHER</t>
        </is>
      </c>
      <c r="G1346" s="1" t="inlineStr">
        <is>
          <t>GF302020042722</t>
        </is>
      </c>
      <c r="H1346" s="1" t="n">
        <v>5</v>
      </c>
      <c r="I1346" s="1" t="inlineStr">
        <is>
          <t>มี</t>
        </is>
      </c>
      <c r="J1346" s="13" t="n">
        <v>15</v>
      </c>
      <c r="K1346" s="1" t="inlineStr"/>
      <c r="L1346" s="13" t="n">
        <v>15</v>
      </c>
      <c r="M1346" s="1">
        <f>IF(L1346="","ไม่พบใน SG",IF(ABS(J1346-L1346)&lt;0.005,"ตรงกัน","ไม่ตรง"))</f>
        <v/>
      </c>
      <c r="N1346" s="14">
        <f>IF(L1346="","",ROUND(L1346*'สรุป'!$C$6,-1))</f>
        <v/>
      </c>
      <c r="O1346" s="15" t="n"/>
      <c r="P1346" s="15" t="n"/>
      <c r="Q1346" s="10" t="n"/>
      <c r="R1346" s="10" t="n"/>
      <c r="S1346" s="16" t="inlineStr">
        <is>
          <t>https://mstgolf.co.th/products/gf3020200427</t>
        </is>
      </c>
      <c r="T1346" s="1">
        <f>IF(B1346="ไม้กอล์ฟ",J1346,"")</f>
        <v/>
      </c>
    </row>
    <row r="1347">
      <c r="A1347" s="1" t="n">
        <v>2</v>
      </c>
      <c r="B1347" s="1" t="inlineStr">
        <is>
          <t>ถุงมือ</t>
        </is>
      </c>
      <c r="C1347" s="1" t="inlineStr">
        <is>
          <t>gf3020200458</t>
        </is>
      </c>
      <c r="D1347" s="1" t="inlineStr">
        <is>
          <t>MIZUNO Tashoku Suede Women's Glove (Black)</t>
        </is>
      </c>
      <c r="E1347" s="1" t="inlineStr">
        <is>
          <t>MIZUNO</t>
        </is>
      </c>
      <c r="F1347" s="1" t="inlineStr">
        <is>
          <t>ALL WEATHER</t>
        </is>
      </c>
      <c r="G1347" s="1" t="inlineStr">
        <is>
          <t>GF302020045818</t>
        </is>
      </c>
      <c r="H1347" s="1" t="n">
        <v>9</v>
      </c>
      <c r="I1347" s="1" t="inlineStr">
        <is>
          <t>มี</t>
        </is>
      </c>
      <c r="J1347" s="13" t="n">
        <v>15</v>
      </c>
      <c r="K1347" s="1" t="inlineStr"/>
      <c r="L1347" s="13" t="n">
        <v>15</v>
      </c>
      <c r="M1347" s="1">
        <f>IF(L1347="","ไม่พบใน SG",IF(ABS(J1347-L1347)&lt;0.005,"ตรงกัน","ไม่ตรง"))</f>
        <v/>
      </c>
      <c r="N1347" s="14">
        <f>IF(L1347="","",ROUND(L1347*'สรุป'!$C$6,-1))</f>
        <v/>
      </c>
      <c r="O1347" s="15" t="n"/>
      <c r="P1347" s="15" t="n"/>
      <c r="Q1347" s="10" t="n"/>
      <c r="R1347" s="10" t="n"/>
      <c r="S1347" s="16" t="inlineStr">
        <is>
          <t>https://mstgolf.co.th/products/gf3020200458</t>
        </is>
      </c>
      <c r="T1347" s="1">
        <f>IF(B1347="ไม้กอล์ฟ",J1347,"")</f>
        <v/>
      </c>
    </row>
    <row r="1348">
      <c r="A1348" s="1" t="n">
        <v>2</v>
      </c>
      <c r="B1348" s="1" t="inlineStr">
        <is>
          <t>ถุงมือ</t>
        </is>
      </c>
      <c r="C1348" s="1" t="inlineStr">
        <is>
          <t>gf3020200622</t>
        </is>
      </c>
      <c r="D1348" s="1" t="inlineStr">
        <is>
          <t>MIZUNO Tashoku Suede Women's Glove (Pink)</t>
        </is>
      </c>
      <c r="E1348" s="1" t="inlineStr">
        <is>
          <t>MIZUNO</t>
        </is>
      </c>
      <c r="F1348" s="1" t="inlineStr">
        <is>
          <t>ALL WEATHER</t>
        </is>
      </c>
      <c r="G1348" s="1" t="inlineStr">
        <is>
          <t>GF302020062218</t>
        </is>
      </c>
      <c r="H1348" s="1" t="n">
        <v>4</v>
      </c>
      <c r="I1348" s="1" t="inlineStr">
        <is>
          <t>มี</t>
        </is>
      </c>
      <c r="J1348" s="13" t="n">
        <v>15</v>
      </c>
      <c r="K1348" s="1" t="inlineStr"/>
      <c r="L1348" s="13" t="n">
        <v>15</v>
      </c>
      <c r="M1348" s="1">
        <f>IF(L1348="","ไม่พบใน SG",IF(ABS(J1348-L1348)&lt;0.005,"ตรงกัน","ไม่ตรง"))</f>
        <v/>
      </c>
      <c r="N1348" s="14">
        <f>IF(L1348="","",ROUND(L1348*'สรุป'!$C$6,-1))</f>
        <v/>
      </c>
      <c r="O1348" s="15" t="n"/>
      <c r="P1348" s="15" t="n"/>
      <c r="Q1348" s="10" t="n"/>
      <c r="R1348" s="10" t="n"/>
      <c r="S1348" s="16" t="inlineStr">
        <is>
          <t>https://mstgolf.co.th/products/gf3020200622</t>
        </is>
      </c>
      <c r="T1348" s="1">
        <f>IF(B1348="ไม้กอล์ฟ",J1348,"")</f>
        <v/>
      </c>
    </row>
    <row r="1349">
      <c r="A1349" s="1" t="n">
        <v>2</v>
      </c>
      <c r="B1349" s="1" t="inlineStr">
        <is>
          <t>ถุงมือ</t>
        </is>
      </c>
      <c r="C1349" s="1" t="inlineStr">
        <is>
          <t>gf3020200429</t>
        </is>
      </c>
      <c r="D1349" s="1" t="inlineStr">
        <is>
          <t>MIZUNO Tashoku Suede Women's Glove (Red)</t>
        </is>
      </c>
      <c r="E1349" s="1" t="inlineStr">
        <is>
          <t>MIZUNO</t>
        </is>
      </c>
      <c r="F1349" s="1" t="inlineStr">
        <is>
          <t>ALL WEATHER</t>
        </is>
      </c>
      <c r="G1349" s="1" t="inlineStr">
        <is>
          <t>GF302020042918</t>
        </is>
      </c>
      <c r="H1349" s="1" t="n">
        <v>4</v>
      </c>
      <c r="I1349" s="1" t="inlineStr">
        <is>
          <t>มี</t>
        </is>
      </c>
      <c r="J1349" s="13" t="n">
        <v>15</v>
      </c>
      <c r="K1349" s="1" t="inlineStr"/>
      <c r="L1349" s="13" t="n">
        <v>15</v>
      </c>
      <c r="M1349" s="1">
        <f>IF(L1349="","ไม่พบใน SG",IF(ABS(J1349-L1349)&lt;0.005,"ตรงกัน","ไม่ตรง"))</f>
        <v/>
      </c>
      <c r="N1349" s="14">
        <f>IF(L1349="","",ROUND(L1349*'สรุป'!$C$6,-1))</f>
        <v/>
      </c>
      <c r="O1349" s="15" t="n"/>
      <c r="P1349" s="15" t="n"/>
      <c r="Q1349" s="10" t="n"/>
      <c r="R1349" s="10" t="n"/>
      <c r="S1349" s="16" t="inlineStr">
        <is>
          <t>https://mstgolf.co.th/products/gf3020200429</t>
        </is>
      </c>
      <c r="T1349" s="1">
        <f>IF(B1349="ไม้กอล์ฟ",J1349,"")</f>
        <v/>
      </c>
    </row>
    <row r="1350">
      <c r="A1350" s="1" t="n">
        <v>2</v>
      </c>
      <c r="B1350" s="1" t="inlineStr">
        <is>
          <t>ถุงมือ</t>
        </is>
      </c>
      <c r="C1350" s="1" t="inlineStr">
        <is>
          <t>gf3020200589</t>
        </is>
      </c>
      <c r="D1350" s="1" t="inlineStr">
        <is>
          <t>TAYLORMADE Durable Grip 2.0 Men's All Weather Glove (Black)</t>
        </is>
      </c>
      <c r="E1350" s="1" t="inlineStr">
        <is>
          <t>TAYLORMADE</t>
        </is>
      </c>
      <c r="F1350" s="1" t="inlineStr">
        <is>
          <t>ALL WEATHER</t>
        </is>
      </c>
      <c r="G1350" s="1" t="inlineStr">
        <is>
          <t>GF302020058921</t>
        </is>
      </c>
      <c r="H1350" s="1" t="n">
        <v>6</v>
      </c>
      <c r="I1350" s="1" t="inlineStr">
        <is>
          <t>มี</t>
        </is>
      </c>
      <c r="J1350" s="13" t="n">
        <v>15</v>
      </c>
      <c r="K1350" s="1" t="inlineStr"/>
      <c r="L1350" s="13" t="n"/>
      <c r="M1350" s="1">
        <f>IF(L1350="","ไม่พบใน SG",IF(ABS(J1350-L1350)&lt;0.005,"ตรงกัน","ไม่ตรง"))</f>
        <v/>
      </c>
      <c r="N1350" s="14">
        <f>IF(L1350="","",ROUND(L1350*'สรุป'!$C$6,-1))</f>
        <v/>
      </c>
      <c r="O1350" s="15" t="n"/>
      <c r="P1350" s="15" t="n"/>
      <c r="Q1350" s="10" t="n"/>
      <c r="R1350" s="10" t="n"/>
      <c r="S1350" s="16" t="inlineStr">
        <is>
          <t>https://mstgolf.co.th/products/gf3020200589</t>
        </is>
      </c>
      <c r="T1350" s="1">
        <f>IF(B1350="ไม้กอล์ฟ",J1350,"")</f>
        <v/>
      </c>
    </row>
    <row r="1351">
      <c r="A1351" s="1" t="n">
        <v>2</v>
      </c>
      <c r="B1351" s="1" t="inlineStr">
        <is>
          <t>อุปกรณ์ฝึกซ้อม</t>
        </is>
      </c>
      <c r="C1351" s="1" t="inlineStr">
        <is>
          <t>gf3040100096</t>
        </is>
      </c>
      <c r="D1351" s="1" t="inlineStr">
        <is>
          <t>CHAMP Golf Ball Alighment Tool</t>
        </is>
      </c>
      <c r="E1351" s="1" t="inlineStr">
        <is>
          <t>CHAMP</t>
        </is>
      </c>
      <c r="F1351" s="1" t="inlineStr">
        <is>
          <t>SWING</t>
        </is>
      </c>
      <c r="G1351" s="1" t="inlineStr">
        <is>
          <t>GF3040100096</t>
        </is>
      </c>
      <c r="H1351" s="1" t="n">
        <v>1</v>
      </c>
      <c r="I1351" s="1" t="inlineStr">
        <is>
          <t>มี</t>
        </is>
      </c>
      <c r="J1351" s="13" t="n">
        <v>13</v>
      </c>
      <c r="K1351" s="1" t="inlineStr"/>
      <c r="L1351" s="13" t="n">
        <v>13</v>
      </c>
      <c r="M1351" s="1">
        <f>IF(L1351="","ไม่พบใน SG",IF(ABS(J1351-L1351)&lt;0.005,"ตรงกัน","ไม่ตรง"))</f>
        <v/>
      </c>
      <c r="N1351" s="14">
        <f>IF(L1351="","",ROUND(L1351*'สรุป'!$C$6,-1))</f>
        <v/>
      </c>
      <c r="O1351" s="15" t="n"/>
      <c r="P1351" s="15" t="n"/>
      <c r="Q1351" s="10" t="n"/>
      <c r="R1351" s="10" t="n"/>
      <c r="S1351" s="16" t="inlineStr">
        <is>
          <t>https://mstgolf.co.th/products/gf3040100096</t>
        </is>
      </c>
      <c r="T1351" s="1">
        <f>IF(B1351="ไม้กอล์ฟ",J1351,"")</f>
        <v/>
      </c>
    </row>
    <row r="1352">
      <c r="A1352" s="1" t="n">
        <v>2</v>
      </c>
      <c r="B1352" s="1" t="inlineStr">
        <is>
          <t>ถุงมือ</t>
        </is>
      </c>
      <c r="C1352" s="1" t="inlineStr">
        <is>
          <t>gf3020200337</t>
        </is>
      </c>
      <c r="D1352" s="1" t="inlineStr">
        <is>
          <t>FOOTJOY Junior Glove (Assorted)</t>
        </is>
      </c>
      <c r="E1352" s="1" t="inlineStr">
        <is>
          <t>FOOTJOY</t>
        </is>
      </c>
      <c r="F1352" s="1" t="inlineStr">
        <is>
          <t>ALL WEATHER</t>
        </is>
      </c>
      <c r="G1352" s="1" t="inlineStr">
        <is>
          <t>GF3020200337S</t>
        </is>
      </c>
      <c r="H1352" s="1" t="n">
        <v>5</v>
      </c>
      <c r="I1352" s="1" t="inlineStr">
        <is>
          <t>มี</t>
        </is>
      </c>
      <c r="J1352" s="13" t="n">
        <v>13</v>
      </c>
      <c r="K1352" s="1" t="inlineStr"/>
      <c r="L1352" s="13" t="n">
        <v>13</v>
      </c>
      <c r="M1352" s="1">
        <f>IF(L1352="","ไม่พบใน SG",IF(ABS(J1352-L1352)&lt;0.005,"ตรงกัน","ไม่ตรง"))</f>
        <v/>
      </c>
      <c r="N1352" s="14">
        <f>IF(L1352="","",ROUND(L1352*'สรุป'!$C$6,-1))</f>
        <v/>
      </c>
      <c r="O1352" s="15" t="n"/>
      <c r="P1352" s="15" t="n"/>
      <c r="Q1352" s="10" t="n"/>
      <c r="R1352" s="10" t="n"/>
      <c r="S1352" s="16" t="inlineStr">
        <is>
          <t>https://mstgolf.co.th/products/gf3020200337</t>
        </is>
      </c>
      <c r="T1352" s="1">
        <f>IF(B1352="ไม้กอล์ฟ",J1352,"")</f>
        <v/>
      </c>
    </row>
    <row r="1353">
      <c r="A1353" s="1" t="n">
        <v>2</v>
      </c>
      <c r="B1353" s="1" t="inlineStr">
        <is>
          <t>ถุงมือ</t>
        </is>
      </c>
      <c r="C1353" s="1" t="inlineStr">
        <is>
          <t>gf3020200616</t>
        </is>
      </c>
      <c r="D1353" s="1" t="inlineStr">
        <is>
          <t>MIZUNO Comfy Grip Men's All Weather Glove (Black)</t>
        </is>
      </c>
      <c r="E1353" s="1" t="inlineStr">
        <is>
          <t>MIZUNO</t>
        </is>
      </c>
      <c r="F1353" s="1" t="inlineStr">
        <is>
          <t>ALL WEATHER</t>
        </is>
      </c>
      <c r="G1353" s="1" t="inlineStr">
        <is>
          <t>GF302020061621</t>
        </is>
      </c>
      <c r="H1353" s="1" t="n">
        <v>6</v>
      </c>
      <c r="I1353" s="1" t="inlineStr">
        <is>
          <t>มี</t>
        </is>
      </c>
      <c r="J1353" s="13" t="n">
        <v>13</v>
      </c>
      <c r="K1353" s="1" t="inlineStr"/>
      <c r="L1353" s="13" t="n">
        <v>13</v>
      </c>
      <c r="M1353" s="1">
        <f>IF(L1353="","ไม่พบใน SG",IF(ABS(J1353-L1353)&lt;0.005,"ตรงกัน","ไม่ตรง"))</f>
        <v/>
      </c>
      <c r="N1353" s="14">
        <f>IF(L1353="","",ROUND(L1353*'สรุป'!$C$6,-1))</f>
        <v/>
      </c>
      <c r="O1353" s="15" t="n"/>
      <c r="P1353" s="15" t="n"/>
      <c r="Q1353" s="10" t="n"/>
      <c r="R1353" s="10" t="n"/>
      <c r="S1353" s="16" t="inlineStr">
        <is>
          <t>https://mstgolf.co.th/products/gf3020200616</t>
        </is>
      </c>
      <c r="T1353" s="1">
        <f>IF(B1353="ไม้กอล์ฟ",J1353,"")</f>
        <v/>
      </c>
    </row>
    <row r="1354">
      <c r="A1354" s="1" t="n">
        <v>2</v>
      </c>
      <c r="B1354" s="1" t="inlineStr">
        <is>
          <t>ถุงมือ</t>
        </is>
      </c>
      <c r="C1354" s="1" t="inlineStr">
        <is>
          <t>gf3020200617</t>
        </is>
      </c>
      <c r="D1354" s="1" t="inlineStr">
        <is>
          <t>MIZUNO Comfy Grip Men's All Weather Glove (White)</t>
        </is>
      </c>
      <c r="E1354" s="1" t="inlineStr">
        <is>
          <t>MIZUNO</t>
        </is>
      </c>
      <c r="F1354" s="1" t="inlineStr">
        <is>
          <t>ALL WEATHER</t>
        </is>
      </c>
      <c r="G1354" s="1" t="inlineStr">
        <is>
          <t>GF302020061721</t>
        </is>
      </c>
      <c r="H1354" s="1" t="n">
        <v>6</v>
      </c>
      <c r="I1354" s="1" t="inlineStr">
        <is>
          <t>มี</t>
        </is>
      </c>
      <c r="J1354" s="13" t="n">
        <v>13</v>
      </c>
      <c r="K1354" s="1" t="inlineStr"/>
      <c r="L1354" s="13" t="n">
        <v>13</v>
      </c>
      <c r="M1354" s="1">
        <f>IF(L1354="","ไม่พบใน SG",IF(ABS(J1354-L1354)&lt;0.005,"ตรงกัน","ไม่ตรง"))</f>
        <v/>
      </c>
      <c r="N1354" s="14">
        <f>IF(L1354="","",ROUND(L1354*'สรุป'!$C$6,-1))</f>
        <v/>
      </c>
      <c r="O1354" s="15" t="n"/>
      <c r="P1354" s="15" t="n"/>
      <c r="Q1354" s="10" t="n"/>
      <c r="R1354" s="10" t="n"/>
      <c r="S1354" s="16" t="inlineStr">
        <is>
          <t>https://mstgolf.co.th/products/gf3020200617</t>
        </is>
      </c>
      <c r="T1354" s="1">
        <f>IF(B1354="ไม้กอล์ฟ",J1354,"")</f>
        <v/>
      </c>
    </row>
    <row r="1355">
      <c r="A1355" s="1" t="n">
        <v>2</v>
      </c>
      <c r="B1355" s="1" t="inlineStr">
        <is>
          <t>อุปกรณ์ฝึกซ้อม</t>
        </is>
      </c>
      <c r="C1355" s="1" t="inlineStr">
        <is>
          <t>gf3040100018</t>
        </is>
      </c>
      <c r="D1355" s="1" t="inlineStr">
        <is>
          <t>TABATA Golf Training Grip</t>
        </is>
      </c>
      <c r="E1355" s="1" t="inlineStr">
        <is>
          <t>TABATA</t>
        </is>
      </c>
      <c r="F1355" s="1" t="inlineStr">
        <is>
          <t>SWING</t>
        </is>
      </c>
      <c r="G1355" s="1" t="inlineStr">
        <is>
          <t>GF3040100018</t>
        </is>
      </c>
      <c r="H1355" s="1" t="n">
        <v>1</v>
      </c>
      <c r="I1355" s="1" t="inlineStr">
        <is>
          <t>มี</t>
        </is>
      </c>
      <c r="J1355" s="13" t="n">
        <v>11</v>
      </c>
      <c r="K1355" s="1" t="inlineStr"/>
      <c r="L1355" s="13" t="n">
        <v>11</v>
      </c>
      <c r="M1355" s="1">
        <f>IF(L1355="","ไม่พบใน SG",IF(ABS(J1355-L1355)&lt;0.005,"ตรงกัน","ไม่ตรง"))</f>
        <v/>
      </c>
      <c r="N1355" s="14">
        <f>IF(L1355="","",ROUND(L1355*'สรุป'!$C$6,-1))</f>
        <v/>
      </c>
      <c r="O1355" s="15" t="n"/>
      <c r="P1355" s="15" t="n"/>
      <c r="Q1355" s="10" t="n"/>
      <c r="R1355" s="10" t="n"/>
      <c r="S1355" s="16" t="inlineStr">
        <is>
          <t>https://mstgolf.co.th/products/gf3040100018</t>
        </is>
      </c>
      <c r="T1355" s="1">
        <f>IF(B1355="ไม้กอล์ฟ",J1355,"")</f>
        <v/>
      </c>
    </row>
    <row r="1356">
      <c r="A1356" s="1" t="n">
        <v>2</v>
      </c>
      <c r="B1356" s="1" t="inlineStr">
        <is>
          <t>ถุงมือ</t>
        </is>
      </c>
      <c r="C1356" s="1" t="inlineStr">
        <is>
          <t>gf3020200716</t>
        </is>
      </c>
      <c r="D1356" s="1" t="inlineStr">
        <is>
          <t>TAYLORMADE RBZ Men's All-Weather Glove (Black)</t>
        </is>
      </c>
      <c r="E1356" s="1" t="inlineStr">
        <is>
          <t>TAYLORMADE</t>
        </is>
      </c>
      <c r="F1356" s="1" t="inlineStr">
        <is>
          <t>ALL WEATHER</t>
        </is>
      </c>
      <c r="G1356" s="1" t="inlineStr">
        <is>
          <t>GF302020071620</t>
        </is>
      </c>
      <c r="H1356" s="1" t="n">
        <v>7</v>
      </c>
      <c r="I1356" s="1" t="inlineStr">
        <is>
          <t>มี</t>
        </is>
      </c>
      <c r="J1356" s="13" t="n">
        <v>11</v>
      </c>
      <c r="K1356" s="1" t="inlineStr"/>
      <c r="L1356" s="13" t="n">
        <v>11</v>
      </c>
      <c r="M1356" s="1">
        <f>IF(L1356="","ไม่พบใน SG",IF(ABS(J1356-L1356)&lt;0.005,"ตรงกัน","ไม่ตรง"))</f>
        <v/>
      </c>
      <c r="N1356" s="14">
        <f>IF(L1356="","",ROUND(L1356*'สรุป'!$C$6,-1))</f>
        <v/>
      </c>
      <c r="O1356" s="15" t="n"/>
      <c r="P1356" s="15" t="n"/>
      <c r="Q1356" s="10" t="n"/>
      <c r="R1356" s="10" t="n"/>
      <c r="S1356" s="16" t="inlineStr">
        <is>
          <t>https://mstgolf.co.th/products/gf3020200716</t>
        </is>
      </c>
      <c r="T1356" s="1">
        <f>IF(B1356="ไม้กอล์ฟ",J1356,"")</f>
        <v/>
      </c>
    </row>
    <row r="1357">
      <c r="A1357" s="1" t="n">
        <v>2</v>
      </c>
      <c r="B1357" s="1" t="inlineStr">
        <is>
          <t>ถุงกอล์ฟ</t>
        </is>
      </c>
      <c r="C1357" s="1" t="inlineStr">
        <is>
          <t>gf3000102678</t>
        </is>
      </c>
      <c r="D1357" s="1" t="inlineStr">
        <is>
          <t>COBRA PGA Championship 2023 Staff Bag (Orange)</t>
        </is>
      </c>
      <c r="E1357" s="1" t="inlineStr">
        <is>
          <t>COBRA</t>
        </is>
      </c>
      <c r="F1357" s="1" t="inlineStr">
        <is>
          <t>CADDIE/CART BAG</t>
        </is>
      </c>
      <c r="G1357" s="1" t="inlineStr">
        <is>
          <t>GF3000102678</t>
        </is>
      </c>
      <c r="H1357" s="1" t="n">
        <v>1</v>
      </c>
      <c r="I1357" s="1" t="inlineStr">
        <is>
          <t>หมด</t>
        </is>
      </c>
      <c r="J1357" s="13" t="n">
        <v>1020</v>
      </c>
      <c r="K1357" s="1" t="inlineStr"/>
      <c r="L1357" s="13" t="n">
        <v>1020</v>
      </c>
      <c r="M1357" s="1">
        <f>IF(L1357="","ไม่พบใน SG",IF(ABS(J1357-L1357)&lt;0.005,"ตรงกัน","ไม่ตรง"))</f>
        <v/>
      </c>
      <c r="N1357" s="14">
        <f>IF(L1357="","",ROUND(L1357*'สรุป'!$C$6,-1))</f>
        <v/>
      </c>
      <c r="O1357" s="15" t="n"/>
      <c r="P1357" s="15" t="n"/>
      <c r="Q1357" s="10" t="n"/>
      <c r="R1357" s="10" t="n"/>
      <c r="S1357" s="16" t="inlineStr">
        <is>
          <t>https://mstgolf.co.th/products/gf3000102678</t>
        </is>
      </c>
      <c r="T1357" s="1">
        <f>IF(B1357="ไม้กอล์ฟ",J1357,"")</f>
        <v/>
      </c>
    </row>
    <row r="1358">
      <c r="A1358" s="1" t="n">
        <v>2</v>
      </c>
      <c r="B1358" s="1" t="inlineStr">
        <is>
          <t>ถุงกอล์ฟ</t>
        </is>
      </c>
      <c r="C1358" s="1" t="inlineStr">
        <is>
          <t>gf3000102677</t>
        </is>
      </c>
      <c r="D1358" s="1" t="inlineStr">
        <is>
          <t>COBRA The Open Tour Staff Bag (White)</t>
        </is>
      </c>
      <c r="E1358" s="1" t="inlineStr">
        <is>
          <t>COBRA</t>
        </is>
      </c>
      <c r="F1358" s="1" t="inlineStr">
        <is>
          <t>CADDIE/CART BAG</t>
        </is>
      </c>
      <c r="G1358" s="1" t="inlineStr">
        <is>
          <t>GF3000102677</t>
        </is>
      </c>
      <c r="H1358" s="1" t="n">
        <v>1</v>
      </c>
      <c r="I1358" s="1" t="inlineStr">
        <is>
          <t>หมด</t>
        </is>
      </c>
      <c r="J1358" s="13" t="n">
        <v>1020</v>
      </c>
      <c r="K1358" s="1" t="inlineStr"/>
      <c r="L1358" s="13" t="n">
        <v>1020</v>
      </c>
      <c r="M1358" s="1">
        <f>IF(L1358="","ไม่พบใน SG",IF(ABS(J1358-L1358)&lt;0.005,"ตรงกัน","ไม่ตรง"))</f>
        <v/>
      </c>
      <c r="N1358" s="14">
        <f>IF(L1358="","",ROUND(L1358*'สรุป'!$C$6,-1))</f>
        <v/>
      </c>
      <c r="O1358" s="15" t="n"/>
      <c r="P1358" s="15" t="n"/>
      <c r="Q1358" s="10" t="n"/>
      <c r="R1358" s="10" t="n"/>
      <c r="S1358" s="16" t="inlineStr">
        <is>
          <t>https://mstgolf.co.th/products/gf3000102677</t>
        </is>
      </c>
      <c r="T1358" s="1">
        <f>IF(B1358="ไม้กอล์ฟ",J1358,"")</f>
        <v/>
      </c>
    </row>
    <row r="1359">
      <c r="A1359" s="1" t="n">
        <v>2</v>
      </c>
      <c r="B1359" s="1" t="inlineStr">
        <is>
          <t>ถุงกอล์ฟ</t>
        </is>
      </c>
      <c r="C1359" s="1" t="inlineStr">
        <is>
          <t>gf3000102676</t>
        </is>
      </c>
      <c r="D1359" s="1" t="inlineStr">
        <is>
          <t>COBRA The US Open 2023 Staff Bag (Navy/White)</t>
        </is>
      </c>
      <c r="E1359" s="1" t="inlineStr">
        <is>
          <t>COBRA</t>
        </is>
      </c>
      <c r="F1359" s="1" t="inlineStr">
        <is>
          <t>CADDIE/CART BAG</t>
        </is>
      </c>
      <c r="G1359" s="1" t="inlineStr">
        <is>
          <t>GF3000102676</t>
        </is>
      </c>
      <c r="H1359" s="1" t="n">
        <v>1</v>
      </c>
      <c r="I1359" s="1" t="inlineStr">
        <is>
          <t>หมด</t>
        </is>
      </c>
      <c r="J1359" s="13" t="n">
        <v>1020</v>
      </c>
      <c r="K1359" s="1" t="inlineStr"/>
      <c r="L1359" s="13" t="n">
        <v>1020</v>
      </c>
      <c r="M1359" s="1">
        <f>IF(L1359="","ไม่พบใน SG",IF(ABS(J1359-L1359)&lt;0.005,"ตรงกัน","ไม่ตรง"))</f>
        <v/>
      </c>
      <c r="N1359" s="14">
        <f>IF(L1359="","",ROUND(L1359*'สรุป'!$C$6,-1))</f>
        <v/>
      </c>
      <c r="O1359" s="15" t="n"/>
      <c r="P1359" s="15" t="n"/>
      <c r="Q1359" s="10" t="n"/>
      <c r="R1359" s="10" t="n"/>
      <c r="S1359" s="16" t="inlineStr">
        <is>
          <t>https://mstgolf.co.th/products/gf3000102676</t>
        </is>
      </c>
      <c r="T1359" s="1">
        <f>IF(B1359="ไม้กอล์ฟ",J1359,"")</f>
        <v/>
      </c>
    </row>
    <row r="1360">
      <c r="A1360" s="1" t="n">
        <v>2</v>
      </c>
      <c r="B1360" s="1" t="inlineStr">
        <is>
          <t>ถุงกอล์ฟ</t>
        </is>
      </c>
      <c r="C1360" s="1" t="inlineStr">
        <is>
          <t>gf3000102807</t>
        </is>
      </c>
      <c r="D1360" s="1" t="inlineStr">
        <is>
          <t>GIII Caddie Bag (Black)</t>
        </is>
      </c>
      <c r="E1360" s="1" t="inlineStr">
        <is>
          <t>GIII</t>
        </is>
      </c>
      <c r="F1360" s="1" t="inlineStr">
        <is>
          <t>CADDIE/CART BAG</t>
        </is>
      </c>
      <c r="G1360" s="1" t="inlineStr">
        <is>
          <t>GF3000102807</t>
        </is>
      </c>
      <c r="H1360" s="1" t="n">
        <v>1</v>
      </c>
      <c r="I1360" s="1" t="inlineStr">
        <is>
          <t>หมด</t>
        </is>
      </c>
      <c r="J1360" s="13" t="n">
        <v>895</v>
      </c>
      <c r="K1360" s="1" t="inlineStr"/>
      <c r="L1360" s="13" t="n">
        <v>895</v>
      </c>
      <c r="M1360" s="1">
        <f>IF(L1360="","ไม่พบใน SG",IF(ABS(J1360-L1360)&lt;0.005,"ตรงกัน","ไม่ตรง"))</f>
        <v/>
      </c>
      <c r="N1360" s="14">
        <f>IF(L1360="","",ROUND(L1360*'สรุป'!$C$6,-1))</f>
        <v/>
      </c>
      <c r="O1360" s="15" t="n"/>
      <c r="P1360" s="15" t="n"/>
      <c r="Q1360" s="10" t="n"/>
      <c r="R1360" s="10" t="n"/>
      <c r="S1360" s="16" t="inlineStr">
        <is>
          <t>https://mstgolf.co.th/products/gf3000102807</t>
        </is>
      </c>
      <c r="T1360" s="1">
        <f>IF(B1360="ไม้กอล์ฟ",J1360,"")</f>
        <v/>
      </c>
    </row>
    <row r="1361">
      <c r="A1361" s="1" t="n">
        <v>2</v>
      </c>
      <c r="B1361" s="1" t="inlineStr">
        <is>
          <t>ถุงกอล์ฟ</t>
        </is>
      </c>
      <c r="C1361" s="1" t="inlineStr">
        <is>
          <t>gf3000103020</t>
        </is>
      </c>
      <c r="D1361" s="1" t="inlineStr">
        <is>
          <t>TAYLORMADE Cosmic Capture Staff Bag (Multi Colour)</t>
        </is>
      </c>
      <c r="E1361" s="1" t="inlineStr">
        <is>
          <t>TAYLORMADE</t>
        </is>
      </c>
      <c r="F1361" s="1" t="inlineStr">
        <is>
          <t>CADDIE/CART BAG</t>
        </is>
      </c>
      <c r="G1361" s="1" t="inlineStr">
        <is>
          <t>GF3000103020</t>
        </is>
      </c>
      <c r="H1361" s="1" t="n">
        <v>1</v>
      </c>
      <c r="I1361" s="1" t="inlineStr">
        <is>
          <t>หมด</t>
        </is>
      </c>
      <c r="J1361" s="13" t="n">
        <v>799</v>
      </c>
      <c r="K1361" s="1" t="inlineStr"/>
      <c r="L1361" s="13" t="n"/>
      <c r="M1361" s="1">
        <f>IF(L1361="","ไม่พบใน SG",IF(ABS(J1361-L1361)&lt;0.005,"ตรงกัน","ไม่ตรง"))</f>
        <v/>
      </c>
      <c r="N1361" s="14">
        <f>IF(L1361="","",ROUND(L1361*'สรุป'!$C$6,-1))</f>
        <v/>
      </c>
      <c r="O1361" s="15" t="n"/>
      <c r="P1361" s="15" t="n"/>
      <c r="Q1361" s="10" t="n"/>
      <c r="R1361" s="10" t="n"/>
      <c r="S1361" s="16" t="inlineStr">
        <is>
          <t>https://mstgolf.co.th/products/gf3000103020</t>
        </is>
      </c>
      <c r="T1361" s="1">
        <f>IF(B1361="ไม้กอล์ฟ",J1361,"")</f>
        <v/>
      </c>
    </row>
    <row r="1362">
      <c r="A1362" s="1" t="n">
        <v>2</v>
      </c>
      <c r="B1362" s="1" t="inlineStr">
        <is>
          <t>ถุงกอล์ฟ</t>
        </is>
      </c>
      <c r="C1362" s="1" t="inlineStr">
        <is>
          <t>gf3000103018</t>
        </is>
      </c>
      <c r="D1362" s="1" t="inlineStr">
        <is>
          <t>TAYLORMADE Heritage Staff Bag (Multi Colour)</t>
        </is>
      </c>
      <c r="E1362" s="1" t="inlineStr">
        <is>
          <t>TAYLORMADE</t>
        </is>
      </c>
      <c r="F1362" s="1" t="inlineStr">
        <is>
          <t>CADDIE/CART BAG</t>
        </is>
      </c>
      <c r="G1362" s="1" t="inlineStr">
        <is>
          <t>GF3000103018</t>
        </is>
      </c>
      <c r="H1362" s="1" t="n">
        <v>1</v>
      </c>
      <c r="I1362" s="1" t="inlineStr">
        <is>
          <t>หมด</t>
        </is>
      </c>
      <c r="J1362" s="13" t="n">
        <v>799</v>
      </c>
      <c r="K1362" s="1" t="inlineStr"/>
      <c r="L1362" s="13" t="n"/>
      <c r="M1362" s="1">
        <f>IF(L1362="","ไม่พบใน SG",IF(ABS(J1362-L1362)&lt;0.005,"ตรงกัน","ไม่ตรง"))</f>
        <v/>
      </c>
      <c r="N1362" s="14">
        <f>IF(L1362="","",ROUND(L1362*'สรุป'!$C$6,-1))</f>
        <v/>
      </c>
      <c r="O1362" s="15" t="n"/>
      <c r="P1362" s="15" t="n"/>
      <c r="Q1362" s="10" t="n"/>
      <c r="R1362" s="10" t="n"/>
      <c r="S1362" s="16" t="inlineStr">
        <is>
          <t>https://mstgolf.co.th/products/gf3000103018</t>
        </is>
      </c>
      <c r="T1362" s="1">
        <f>IF(B1362="ไม้กอล์ฟ",J1362,"")</f>
        <v/>
      </c>
    </row>
    <row r="1363">
      <c r="A1363" s="1" t="n">
        <v>2</v>
      </c>
      <c r="B1363" s="1" t="inlineStr">
        <is>
          <t>ถุงกอล์ฟ</t>
        </is>
      </c>
      <c r="C1363" s="1" t="inlineStr">
        <is>
          <t>gf3000103022</t>
        </is>
      </c>
      <c r="D1363" s="1" t="inlineStr">
        <is>
          <t>TAYLORMADE Patriotic Plaid Women's Staff Bag (Multi)</t>
        </is>
      </c>
      <c r="E1363" s="1" t="inlineStr">
        <is>
          <t>TAYLORMADE</t>
        </is>
      </c>
      <c r="F1363" s="1" t="inlineStr">
        <is>
          <t>CADDIE/CART BAG</t>
        </is>
      </c>
      <c r="G1363" s="1" t="inlineStr">
        <is>
          <t>GF3000103022</t>
        </is>
      </c>
      <c r="H1363" s="1" t="n">
        <v>1</v>
      </c>
      <c r="I1363" s="1" t="inlineStr">
        <is>
          <t>หมด</t>
        </is>
      </c>
      <c r="J1363" s="13" t="n">
        <v>799</v>
      </c>
      <c r="K1363" s="1" t="inlineStr"/>
      <c r="L1363" s="13" t="n"/>
      <c r="M1363" s="1">
        <f>IF(L1363="","ไม่พบใน SG",IF(ABS(J1363-L1363)&lt;0.005,"ตรงกัน","ไม่ตรง"))</f>
        <v/>
      </c>
      <c r="N1363" s="14">
        <f>IF(L1363="","",ROUND(L1363*'สรุป'!$C$6,-1))</f>
        <v/>
      </c>
      <c r="O1363" s="15" t="n"/>
      <c r="P1363" s="15" t="n"/>
      <c r="Q1363" s="10" t="n"/>
      <c r="R1363" s="10" t="n"/>
      <c r="S1363" s="16" t="inlineStr">
        <is>
          <t>https://mstgolf.co.th/products/gf3000103022</t>
        </is>
      </c>
      <c r="T1363" s="1">
        <f>IF(B1363="ไม้กอล์ฟ",J1363,"")</f>
        <v/>
      </c>
    </row>
    <row r="1364">
      <c r="A1364" s="1" t="n">
        <v>2</v>
      </c>
      <c r="B1364" s="1" t="inlineStr">
        <is>
          <t>ถุงกอล์ฟ</t>
        </is>
      </c>
      <c r="C1364" s="1" t="inlineStr">
        <is>
          <t>gf3000201521</t>
        </is>
      </c>
      <c r="D1364" s="1" t="inlineStr">
        <is>
          <t>TAYLORMADE Qi35 Tour Staff Bag (Multi)</t>
        </is>
      </c>
      <c r="E1364" s="1" t="inlineStr">
        <is>
          <t>TAYLORMADE</t>
        </is>
      </c>
      <c r="F1364" s="1" t="inlineStr">
        <is>
          <t>STAND BAG</t>
        </is>
      </c>
      <c r="G1364" s="1" t="inlineStr">
        <is>
          <t>GF3000201521</t>
        </is>
      </c>
      <c r="H1364" s="1" t="n">
        <v>1</v>
      </c>
      <c r="I1364" s="1" t="inlineStr">
        <is>
          <t>หมด</t>
        </is>
      </c>
      <c r="J1364" s="13" t="n">
        <v>799</v>
      </c>
      <c r="K1364" s="1" t="inlineStr"/>
      <c r="L1364" s="13" t="n">
        <v>799</v>
      </c>
      <c r="M1364" s="1">
        <f>IF(L1364="","ไม่พบใน SG",IF(ABS(J1364-L1364)&lt;0.005,"ตรงกัน","ไม่ตรง"))</f>
        <v/>
      </c>
      <c r="N1364" s="14">
        <f>IF(L1364="","",ROUND(L1364*'สรุป'!$C$6,-1))</f>
        <v/>
      </c>
      <c r="O1364" s="15" t="n"/>
      <c r="P1364" s="15" t="n"/>
      <c r="Q1364" s="10" t="n"/>
      <c r="R1364" s="10" t="n"/>
      <c r="S1364" s="16" t="inlineStr">
        <is>
          <t>https://mstgolf.co.th/products/gf3000201521</t>
        </is>
      </c>
      <c r="T1364" s="1">
        <f>IF(B1364="ไม้กอล์ฟ",J1364,"")</f>
        <v/>
      </c>
    </row>
    <row r="1365">
      <c r="A1365" s="1" t="n">
        <v>2</v>
      </c>
      <c r="B1365" s="1" t="inlineStr">
        <is>
          <t>ถุงกอล์ฟ</t>
        </is>
      </c>
      <c r="C1365" s="1" t="inlineStr">
        <is>
          <t>gf3000103019</t>
        </is>
      </c>
      <c r="D1365" s="1" t="inlineStr">
        <is>
          <t>TAYLORMADE Steam Line Staff Bag (Multi Colour)</t>
        </is>
      </c>
      <c r="E1365" s="1" t="inlineStr">
        <is>
          <t>TAYLORMADE</t>
        </is>
      </c>
      <c r="F1365" s="1" t="inlineStr">
        <is>
          <t>CADDIE/CART BAG</t>
        </is>
      </c>
      <c r="G1365" s="1" t="inlineStr">
        <is>
          <t>GF3000103019</t>
        </is>
      </c>
      <c r="H1365" s="1" t="n">
        <v>1</v>
      </c>
      <c r="I1365" s="1" t="inlineStr">
        <is>
          <t>หมด</t>
        </is>
      </c>
      <c r="J1365" s="13" t="n">
        <v>799</v>
      </c>
      <c r="K1365" s="1" t="inlineStr"/>
      <c r="L1365" s="13" t="n"/>
      <c r="M1365" s="1">
        <f>IF(L1365="","ไม่พบใน SG",IF(ABS(J1365-L1365)&lt;0.005,"ตรงกัน","ไม่ตรง"))</f>
        <v/>
      </c>
      <c r="N1365" s="14">
        <f>IF(L1365="","",ROUND(L1365*'สรุป'!$C$6,-1))</f>
        <v/>
      </c>
      <c r="O1365" s="15" t="n"/>
      <c r="P1365" s="15" t="n"/>
      <c r="Q1365" s="10" t="n"/>
      <c r="R1365" s="10" t="n"/>
      <c r="S1365" s="16" t="inlineStr">
        <is>
          <t>https://mstgolf.co.th/products/gf3000103019</t>
        </is>
      </c>
      <c r="T1365" s="1">
        <f>IF(B1365="ไม้กอล์ฟ",J1365,"")</f>
        <v/>
      </c>
    </row>
    <row r="1366">
      <c r="A1366" s="1" t="n">
        <v>2</v>
      </c>
      <c r="B1366" s="1" t="inlineStr">
        <is>
          <t>ถุงกอล์ฟ</t>
        </is>
      </c>
      <c r="C1366" s="1" t="inlineStr">
        <is>
          <t>gf3000103081</t>
        </is>
      </c>
      <c r="D1366" s="1" t="inlineStr">
        <is>
          <t>MAJESTY 9.5" Royale Tour (2025) Caddie Bag (White/Black)</t>
        </is>
      </c>
      <c r="E1366" s="1" t="inlineStr">
        <is>
          <t>MAJESTY</t>
        </is>
      </c>
      <c r="F1366" s="1" t="inlineStr">
        <is>
          <t>CADDIE/CART BAG</t>
        </is>
      </c>
      <c r="G1366" s="1" t="inlineStr">
        <is>
          <t>GF3000103081</t>
        </is>
      </c>
      <c r="H1366" s="1" t="n">
        <v>1</v>
      </c>
      <c r="I1366" s="1" t="inlineStr">
        <is>
          <t>หมด</t>
        </is>
      </c>
      <c r="J1366" s="13" t="n">
        <v>790</v>
      </c>
      <c r="K1366" s="1" t="inlineStr"/>
      <c r="L1366" s="13" t="n">
        <v>790</v>
      </c>
      <c r="M1366" s="1">
        <f>IF(L1366="","ไม่พบใน SG",IF(ABS(J1366-L1366)&lt;0.005,"ตรงกัน","ไม่ตรง"))</f>
        <v/>
      </c>
      <c r="N1366" s="14">
        <f>IF(L1366="","",ROUND(L1366*'สรุป'!$C$6,-1))</f>
        <v/>
      </c>
      <c r="O1366" s="15" t="n"/>
      <c r="P1366" s="15" t="n"/>
      <c r="Q1366" s="10" t="n"/>
      <c r="R1366" s="10" t="n"/>
      <c r="S1366" s="16" t="inlineStr">
        <is>
          <t>https://mstgolf.co.th/products/gf3000103081</t>
        </is>
      </c>
      <c r="T1366" s="1">
        <f>IF(B1366="ไม้กอล์ฟ",J1366,"")</f>
        <v/>
      </c>
    </row>
    <row r="1367">
      <c r="A1367" s="1" t="n">
        <v>2</v>
      </c>
      <c r="B1367" s="1" t="inlineStr">
        <is>
          <t>ถุงกอล์ฟ</t>
        </is>
      </c>
      <c r="C1367" s="1" t="inlineStr">
        <is>
          <t>gf3000102864</t>
        </is>
      </c>
      <c r="D1367" s="1" t="inlineStr">
        <is>
          <t>MAJESTY GWP P41 Cart Bag (Black)</t>
        </is>
      </c>
      <c r="E1367" s="1" t="inlineStr">
        <is>
          <t>MAJESTY</t>
        </is>
      </c>
      <c r="F1367" s="1" t="inlineStr">
        <is>
          <t>CADDIE/CART BAG</t>
        </is>
      </c>
      <c r="G1367" s="1" t="inlineStr">
        <is>
          <t>GF3000102864</t>
        </is>
      </c>
      <c r="H1367" s="1" t="n">
        <v>1</v>
      </c>
      <c r="I1367" s="1" t="inlineStr">
        <is>
          <t>หมด</t>
        </is>
      </c>
      <c r="J1367" s="13" t="n">
        <v>790</v>
      </c>
      <c r="K1367" s="1" t="inlineStr"/>
      <c r="L1367" s="13" t="n"/>
      <c r="M1367" s="1">
        <f>IF(L1367="","ไม่พบใน SG",IF(ABS(J1367-L1367)&lt;0.005,"ตรงกัน","ไม่ตรง"))</f>
        <v/>
      </c>
      <c r="N1367" s="14">
        <f>IF(L1367="","",ROUND(L1367*'สรุป'!$C$6,-1))</f>
        <v/>
      </c>
      <c r="O1367" s="15" t="n"/>
      <c r="P1367" s="15" t="n"/>
      <c r="Q1367" s="10" t="n"/>
      <c r="R1367" s="10" t="n"/>
      <c r="S1367" s="16" t="inlineStr">
        <is>
          <t>https://mstgolf.co.th/products/gf3000102864</t>
        </is>
      </c>
      <c r="T1367" s="1">
        <f>IF(B1367="ไม้กอล์ฟ",J1367,"")</f>
        <v/>
      </c>
    </row>
    <row r="1368">
      <c r="A1368" s="1" t="n">
        <v>2</v>
      </c>
      <c r="B1368" s="1" t="inlineStr">
        <is>
          <t>ถุงกอล์ฟ</t>
        </is>
      </c>
      <c r="C1368" s="1" t="inlineStr">
        <is>
          <t>gf3000103082</t>
        </is>
      </c>
      <c r="D1368" s="1" t="inlineStr">
        <is>
          <t>MAJESTY 8.5" Royale Slim (2025) Women's Caddie Bag (White/Gold)</t>
        </is>
      </c>
      <c r="E1368" s="1" t="inlineStr">
        <is>
          <t>MAJESTY</t>
        </is>
      </c>
      <c r="F1368" s="1" t="inlineStr">
        <is>
          <t>CADDIE/CART BAG</t>
        </is>
      </c>
      <c r="G1368" s="1" t="inlineStr">
        <is>
          <t>GF3000103082</t>
        </is>
      </c>
      <c r="H1368" s="1" t="n">
        <v>1</v>
      </c>
      <c r="I1368" s="1" t="inlineStr">
        <is>
          <t>หมด</t>
        </is>
      </c>
      <c r="J1368" s="13" t="n">
        <v>690</v>
      </c>
      <c r="K1368" s="1" t="inlineStr"/>
      <c r="L1368" s="13" t="n"/>
      <c r="M1368" s="1">
        <f>IF(L1368="","ไม่พบใน SG",IF(ABS(J1368-L1368)&lt;0.005,"ตรงกัน","ไม่ตรง"))</f>
        <v/>
      </c>
      <c r="N1368" s="14">
        <f>IF(L1368="","",ROUND(L1368*'สรุป'!$C$6,-1))</f>
        <v/>
      </c>
      <c r="O1368" s="15" t="n"/>
      <c r="P1368" s="15" t="n"/>
      <c r="Q1368" s="10" t="n"/>
      <c r="R1368" s="10" t="n"/>
      <c r="S1368" s="16" t="inlineStr">
        <is>
          <t>https://mstgolf.co.th/products/gf3000103082</t>
        </is>
      </c>
      <c r="T1368" s="1">
        <f>IF(B1368="ไม้กอล์ฟ",J1368,"")</f>
        <v/>
      </c>
    </row>
    <row r="1369">
      <c r="A1369" s="1" t="n">
        <v>2</v>
      </c>
      <c r="B1369" s="1" t="inlineStr">
        <is>
          <t>ถุงกอล์ฟ</t>
        </is>
      </c>
      <c r="C1369" s="1" t="inlineStr">
        <is>
          <t>gf3000102976</t>
        </is>
      </c>
      <c r="D1369" s="1" t="inlineStr">
        <is>
          <t>WAAC 8.5" Caddie Bag (Green)</t>
        </is>
      </c>
      <c r="E1369" s="1" t="inlineStr">
        <is>
          <t>WAAC</t>
        </is>
      </c>
      <c r="F1369" s="1" t="inlineStr">
        <is>
          <t>CADDIE/CART BAG</t>
        </is>
      </c>
      <c r="G1369" s="1" t="inlineStr">
        <is>
          <t>GF3000102976</t>
        </is>
      </c>
      <c r="H1369" s="1" t="n">
        <v>1</v>
      </c>
      <c r="I1369" s="1" t="inlineStr">
        <is>
          <t>หมด</t>
        </is>
      </c>
      <c r="J1369" s="13" t="n">
        <v>689</v>
      </c>
      <c r="K1369" s="1" t="inlineStr"/>
      <c r="L1369" s="13" t="n">
        <v>689</v>
      </c>
      <c r="M1369" s="1">
        <f>IF(L1369="","ไม่พบใน SG",IF(ABS(J1369-L1369)&lt;0.005,"ตรงกัน","ไม่ตรง"))</f>
        <v/>
      </c>
      <c r="N1369" s="14">
        <f>IF(L1369="","",ROUND(L1369*'สรุป'!$C$6,-1))</f>
        <v/>
      </c>
      <c r="O1369" s="15" t="n"/>
      <c r="P1369" s="15" t="n"/>
      <c r="Q1369" s="10" t="n"/>
      <c r="R1369" s="10" t="n"/>
      <c r="S1369" s="16" t="inlineStr">
        <is>
          <t>https://mstgolf.co.th/products/gf3000102976</t>
        </is>
      </c>
      <c r="T1369" s="1">
        <f>IF(B1369="ไม้กอล์ฟ",J1369,"")</f>
        <v/>
      </c>
    </row>
    <row r="1370">
      <c r="A1370" s="1" t="n">
        <v>2</v>
      </c>
      <c r="B1370" s="1" t="inlineStr">
        <is>
          <t>ถุงกอล์ฟ</t>
        </is>
      </c>
      <c r="C1370" s="1" t="inlineStr">
        <is>
          <t>gf3000102426</t>
        </is>
      </c>
      <c r="D1370" s="1" t="inlineStr">
        <is>
          <t>MAJESTY ST22 8.5" 2-Wheel Women's Caddie Bag (Cream)</t>
        </is>
      </c>
      <c r="E1370" s="1" t="inlineStr">
        <is>
          <t>MAJESTY</t>
        </is>
      </c>
      <c r="F1370" s="1" t="inlineStr">
        <is>
          <t>CADDIE/CART BAG</t>
        </is>
      </c>
      <c r="G1370" s="1" t="inlineStr">
        <is>
          <t>GF3000102426</t>
        </is>
      </c>
      <c r="H1370" s="1" t="n">
        <v>1</v>
      </c>
      <c r="I1370" s="1" t="inlineStr">
        <is>
          <t>หมด</t>
        </is>
      </c>
      <c r="J1370" s="13" t="n">
        <v>679</v>
      </c>
      <c r="K1370" s="1" t="inlineStr"/>
      <c r="L1370" s="13" t="n"/>
      <c r="M1370" s="1">
        <f>IF(L1370="","ไม่พบใน SG",IF(ABS(J1370-L1370)&lt;0.005,"ตรงกัน","ไม่ตรง"))</f>
        <v/>
      </c>
      <c r="N1370" s="14">
        <f>IF(L1370="","",ROUND(L1370*'สรุป'!$C$6,-1))</f>
        <v/>
      </c>
      <c r="O1370" s="15" t="n"/>
      <c r="P1370" s="15" t="n"/>
      <c r="Q1370" s="10" t="n"/>
      <c r="R1370" s="10" t="n"/>
      <c r="S1370" s="16" t="inlineStr">
        <is>
          <t>https://mstgolf.co.th/products/gf3000102426</t>
        </is>
      </c>
      <c r="T1370" s="1">
        <f>IF(B1370="ไม้กอล์ฟ",J1370,"")</f>
        <v/>
      </c>
    </row>
    <row r="1371">
      <c r="A1371" s="1" t="n">
        <v>2</v>
      </c>
      <c r="B1371" s="1" t="inlineStr">
        <is>
          <t>ถุงกอล์ฟ</t>
        </is>
      </c>
      <c r="C1371" s="1" t="inlineStr">
        <is>
          <t>gf3000201382</t>
        </is>
      </c>
      <c r="D1371" s="1" t="inlineStr">
        <is>
          <t>MALBON GOLF Expedition Stand Bag (Multi)</t>
        </is>
      </c>
      <c r="E1371" s="1" t="inlineStr">
        <is>
          <t>MALBON GOLF</t>
        </is>
      </c>
      <c r="F1371" s="1" t="inlineStr">
        <is>
          <t>STAND BAG</t>
        </is>
      </c>
      <c r="G1371" s="1" t="inlineStr">
        <is>
          <t>GF3000201382</t>
        </is>
      </c>
      <c r="H1371" s="1" t="n">
        <v>1</v>
      </c>
      <c r="I1371" s="1" t="inlineStr">
        <is>
          <t>หมด</t>
        </is>
      </c>
      <c r="J1371" s="13" t="n">
        <v>675</v>
      </c>
      <c r="K1371" s="1" t="inlineStr"/>
      <c r="L1371" s="13" t="n">
        <v>675</v>
      </c>
      <c r="M1371" s="1">
        <f>IF(L1371="","ไม่พบใน SG",IF(ABS(J1371-L1371)&lt;0.005,"ตรงกัน","ไม่ตรง"))</f>
        <v/>
      </c>
      <c r="N1371" s="14">
        <f>IF(L1371="","",ROUND(L1371*'สรุป'!$C$6,-1))</f>
        <v/>
      </c>
      <c r="O1371" s="15" t="n"/>
      <c r="P1371" s="15" t="n"/>
      <c r="Q1371" s="10" t="n"/>
      <c r="R1371" s="10" t="n"/>
      <c r="S1371" s="16" t="inlineStr">
        <is>
          <t>https://mstgolf.co.th/products/gf3000201382</t>
        </is>
      </c>
      <c r="T1371" s="1">
        <f>IF(B1371="ไม้กอล์ฟ",J1371,"")</f>
        <v/>
      </c>
    </row>
    <row r="1372">
      <c r="A1372" s="1" t="n">
        <v>2</v>
      </c>
      <c r="B1372" s="1" t="inlineStr">
        <is>
          <t>ถุงกอล์ฟ</t>
        </is>
      </c>
      <c r="C1372" s="1" t="inlineStr">
        <is>
          <t>gf3000201381</t>
        </is>
      </c>
      <c r="D1372" s="1" t="inlineStr">
        <is>
          <t>MALBON GOLF Tradition Stand Bag (Multi)</t>
        </is>
      </c>
      <c r="E1372" s="1" t="inlineStr">
        <is>
          <t>MALBON GOLF</t>
        </is>
      </c>
      <c r="F1372" s="1" t="inlineStr">
        <is>
          <t>STAND BAG</t>
        </is>
      </c>
      <c r="G1372" s="1" t="inlineStr">
        <is>
          <t>GF3000201381</t>
        </is>
      </c>
      <c r="H1372" s="1" t="n">
        <v>1</v>
      </c>
      <c r="I1372" s="1" t="inlineStr">
        <is>
          <t>หมด</t>
        </is>
      </c>
      <c r="J1372" s="13" t="n">
        <v>675</v>
      </c>
      <c r="K1372" s="1" t="inlineStr"/>
      <c r="L1372" s="13" t="n">
        <v>675</v>
      </c>
      <c r="M1372" s="1">
        <f>IF(L1372="","ไม่พบใน SG",IF(ABS(J1372-L1372)&lt;0.005,"ตรงกัน","ไม่ตรง"))</f>
        <v/>
      </c>
      <c r="N1372" s="14">
        <f>IF(L1372="","",ROUND(L1372*'สรุป'!$C$6,-1))</f>
        <v/>
      </c>
      <c r="O1372" s="15" t="n"/>
      <c r="P1372" s="15" t="n"/>
      <c r="Q1372" s="10" t="n"/>
      <c r="R1372" s="10" t="n"/>
      <c r="S1372" s="16" t="inlineStr">
        <is>
          <t>https://mstgolf.co.th/products/gf3000201381</t>
        </is>
      </c>
      <c r="T1372" s="1">
        <f>IF(B1372="ไม้กอล์ฟ",J1372,"")</f>
        <v/>
      </c>
    </row>
    <row r="1373">
      <c r="A1373" s="1" t="n">
        <v>2</v>
      </c>
      <c r="B1373" s="1" t="inlineStr">
        <is>
          <t>ถุงกอล์ฟ</t>
        </is>
      </c>
      <c r="C1373" s="1" t="inlineStr">
        <is>
          <t>gf3000201383</t>
        </is>
      </c>
      <c r="D1373" s="1" t="inlineStr">
        <is>
          <t>MALBON GOLF x Keith Haring Stand Bag (Black)</t>
        </is>
      </c>
      <c r="E1373" s="1" t="inlineStr">
        <is>
          <t>MALBON GOLF</t>
        </is>
      </c>
      <c r="F1373" s="1" t="inlineStr">
        <is>
          <t>STAND BAG</t>
        </is>
      </c>
      <c r="G1373" s="1" t="inlineStr">
        <is>
          <t>GF3000201383</t>
        </is>
      </c>
      <c r="H1373" s="1" t="n">
        <v>1</v>
      </c>
      <c r="I1373" s="1" t="inlineStr">
        <is>
          <t>หมด</t>
        </is>
      </c>
      <c r="J1373" s="13" t="n">
        <v>675</v>
      </c>
      <c r="K1373" s="1" t="inlineStr"/>
      <c r="L1373" s="13" t="n">
        <v>675</v>
      </c>
      <c r="M1373" s="1">
        <f>IF(L1373="","ไม่พบใน SG",IF(ABS(J1373-L1373)&lt;0.005,"ตรงกัน","ไม่ตรง"))</f>
        <v/>
      </c>
      <c r="N1373" s="14">
        <f>IF(L1373="","",ROUND(L1373*'สรุป'!$C$6,-1))</f>
        <v/>
      </c>
      <c r="O1373" s="15" t="n"/>
      <c r="P1373" s="15" t="n"/>
      <c r="Q1373" s="10" t="n"/>
      <c r="R1373" s="10" t="n"/>
      <c r="S1373" s="16" t="inlineStr">
        <is>
          <t>https://mstgolf.co.th/products/gf3000201383</t>
        </is>
      </c>
      <c r="T1373" s="1">
        <f>IF(B1373="ไม้กอล์ฟ",J1373,"")</f>
        <v/>
      </c>
    </row>
    <row r="1374">
      <c r="A1374" s="1" t="n">
        <v>2</v>
      </c>
      <c r="B1374" s="1" t="inlineStr">
        <is>
          <t>ถุงกอล์ฟ</t>
        </is>
      </c>
      <c r="C1374" s="1" t="inlineStr">
        <is>
          <t>gf3000103097</t>
        </is>
      </c>
      <c r="D1374" s="1" t="inlineStr">
        <is>
          <t>BOSS GOLF Beverly Hills 8" Hybrid Bag (Pink)</t>
        </is>
      </c>
      <c r="E1374" s="1" t="inlineStr">
        <is>
          <t>BOSS GOLF</t>
        </is>
      </c>
      <c r="F1374" s="1" t="inlineStr">
        <is>
          <t>CADDIE/CART BAG</t>
        </is>
      </c>
      <c r="G1374" s="1" t="inlineStr">
        <is>
          <t>GF3000103097</t>
        </is>
      </c>
      <c r="H1374" s="1" t="n">
        <v>1</v>
      </c>
      <c r="I1374" s="1" t="inlineStr">
        <is>
          <t>หมด</t>
        </is>
      </c>
      <c r="J1374" s="13" t="n">
        <v>655</v>
      </c>
      <c r="K1374" s="1" t="inlineStr"/>
      <c r="L1374" s="13" t="n"/>
      <c r="M1374" s="1">
        <f>IF(L1374="","ไม่พบใน SG",IF(ABS(J1374-L1374)&lt;0.005,"ตรงกัน","ไม่ตรง"))</f>
        <v/>
      </c>
      <c r="N1374" s="14">
        <f>IF(L1374="","",ROUND(L1374*'สรุป'!$C$6,-1))</f>
        <v/>
      </c>
      <c r="O1374" s="15" t="n"/>
      <c r="P1374" s="15" t="n"/>
      <c r="Q1374" s="10" t="n"/>
      <c r="R1374" s="10" t="n"/>
      <c r="S1374" s="16" t="inlineStr">
        <is>
          <t>https://mstgolf.co.th/products/gf3000103097</t>
        </is>
      </c>
      <c r="T1374" s="1">
        <f>IF(B1374="ไม้กอล์ฟ",J1374,"")</f>
        <v/>
      </c>
    </row>
    <row r="1375">
      <c r="A1375" s="1" t="n">
        <v>2</v>
      </c>
      <c r="B1375" s="1" t="inlineStr">
        <is>
          <t>ถุงกอล์ฟ</t>
        </is>
      </c>
      <c r="C1375" s="1" t="inlineStr">
        <is>
          <t>gf3000102770</t>
        </is>
      </c>
      <c r="D1375" s="1" t="inlineStr">
        <is>
          <t>TAYLORMADE British Open 2024 Staff Bag (Multi)</t>
        </is>
      </c>
      <c r="E1375" s="1" t="inlineStr">
        <is>
          <t>TAYLORMADE</t>
        </is>
      </c>
      <c r="F1375" s="1" t="inlineStr">
        <is>
          <t>CADDIE/CART BAG</t>
        </is>
      </c>
      <c r="G1375" s="1" t="inlineStr">
        <is>
          <t>GF3000102770</t>
        </is>
      </c>
      <c r="H1375" s="1" t="n">
        <v>1</v>
      </c>
      <c r="I1375" s="1" t="inlineStr">
        <is>
          <t>หมด</t>
        </is>
      </c>
      <c r="J1375" s="13" t="n">
        <v>655</v>
      </c>
      <c r="K1375" s="1" t="inlineStr"/>
      <c r="L1375" s="13" t="n">
        <v>655</v>
      </c>
      <c r="M1375" s="1">
        <f>IF(L1375="","ไม่พบใน SG",IF(ABS(J1375-L1375)&lt;0.005,"ตรงกัน","ไม่ตรง"))</f>
        <v/>
      </c>
      <c r="N1375" s="14">
        <f>IF(L1375="","",ROUND(L1375*'สรุป'!$C$6,-1))</f>
        <v/>
      </c>
      <c r="O1375" s="15" t="n"/>
      <c r="P1375" s="15" t="n"/>
      <c r="Q1375" s="10" t="n"/>
      <c r="R1375" s="10" t="n"/>
      <c r="S1375" s="16" t="inlineStr">
        <is>
          <t>https://mstgolf.co.th/products/gf3000102770</t>
        </is>
      </c>
      <c r="T1375" s="1">
        <f>IF(B1375="ไม้กอล์ฟ",J1375,"")</f>
        <v/>
      </c>
    </row>
    <row r="1376">
      <c r="A1376" s="1" t="n">
        <v>2</v>
      </c>
      <c r="B1376" s="1" t="inlineStr">
        <is>
          <t>ถุงกอล์ฟ</t>
        </is>
      </c>
      <c r="C1376" s="1" t="inlineStr">
        <is>
          <t>gf3000102747</t>
        </is>
      </c>
      <c r="D1376" s="1" t="inlineStr">
        <is>
          <t>TAYLORMADE PGA Championship 2024 Staff Bag (Multi)</t>
        </is>
      </c>
      <c r="E1376" s="1" t="inlineStr">
        <is>
          <t>TAYLORMADE</t>
        </is>
      </c>
      <c r="F1376" s="1" t="inlineStr">
        <is>
          <t>CADDIE/CART BAG</t>
        </is>
      </c>
      <c r="G1376" s="1" t="inlineStr">
        <is>
          <t>GF3000102747</t>
        </is>
      </c>
      <c r="H1376" s="1" t="n">
        <v>1</v>
      </c>
      <c r="I1376" s="1" t="inlineStr">
        <is>
          <t>หมด</t>
        </is>
      </c>
      <c r="J1376" s="13" t="n">
        <v>655</v>
      </c>
      <c r="K1376" s="1" t="inlineStr"/>
      <c r="L1376" s="13" t="n">
        <v>655</v>
      </c>
      <c r="M1376" s="1">
        <f>IF(L1376="","ไม่พบใน SG",IF(ABS(J1376-L1376)&lt;0.005,"ตรงกัน","ไม่ตรง"))</f>
        <v/>
      </c>
      <c r="N1376" s="14">
        <f>IF(L1376="","",ROUND(L1376*'สรุป'!$C$6,-1))</f>
        <v/>
      </c>
      <c r="O1376" s="15" t="n"/>
      <c r="P1376" s="15" t="n"/>
      <c r="Q1376" s="10" t="n"/>
      <c r="R1376" s="10" t="n"/>
      <c r="S1376" s="16" t="inlineStr">
        <is>
          <t>https://mstgolf.co.th/products/gf3000102747</t>
        </is>
      </c>
      <c r="T1376" s="1">
        <f>IF(B1376="ไม้กอล์ฟ",J1376,"")</f>
        <v/>
      </c>
    </row>
    <row r="1377">
      <c r="A1377" s="1" t="n">
        <v>2</v>
      </c>
      <c r="B1377" s="1" t="inlineStr">
        <is>
          <t>ถุงกอล์ฟ</t>
        </is>
      </c>
      <c r="C1377" s="1" t="inlineStr">
        <is>
          <t>gf3000102768</t>
        </is>
      </c>
      <c r="D1377" s="1" t="inlineStr">
        <is>
          <t>TAYLORMADE Summer Commemorative 2024 Staff Bag (Multi)</t>
        </is>
      </c>
      <c r="E1377" s="1" t="inlineStr">
        <is>
          <t>TAYLORMADE</t>
        </is>
      </c>
      <c r="F1377" s="1" t="inlineStr">
        <is>
          <t>CADDIE/CART BAG</t>
        </is>
      </c>
      <c r="G1377" s="1" t="inlineStr">
        <is>
          <t>GF3000102768</t>
        </is>
      </c>
      <c r="H1377" s="1" t="n">
        <v>1</v>
      </c>
      <c r="I1377" s="1" t="inlineStr">
        <is>
          <t>หมด</t>
        </is>
      </c>
      <c r="J1377" s="13" t="n">
        <v>655</v>
      </c>
      <c r="K1377" s="1" t="inlineStr"/>
      <c r="L1377" s="13" t="n">
        <v>655</v>
      </c>
      <c r="M1377" s="1">
        <f>IF(L1377="","ไม่พบใน SG",IF(ABS(J1377-L1377)&lt;0.005,"ตรงกัน","ไม่ตรง"))</f>
        <v/>
      </c>
      <c r="N1377" s="14">
        <f>IF(L1377="","",ROUND(L1377*'สรุป'!$C$6,-1))</f>
        <v/>
      </c>
      <c r="O1377" s="15" t="n"/>
      <c r="P1377" s="15" t="n"/>
      <c r="Q1377" s="10" t="n"/>
      <c r="R1377" s="10" t="n"/>
      <c r="S1377" s="16" t="inlineStr">
        <is>
          <t>https://mstgolf.co.th/products/gf3000102768</t>
        </is>
      </c>
      <c r="T1377" s="1">
        <f>IF(B1377="ไม้กอล์ฟ",J1377,"")</f>
        <v/>
      </c>
    </row>
    <row r="1378">
      <c r="A1378" s="1" t="n">
        <v>2</v>
      </c>
      <c r="B1378" s="1" t="inlineStr">
        <is>
          <t>ถุงกอล์ฟ</t>
        </is>
      </c>
      <c r="C1378" s="1" t="inlineStr">
        <is>
          <t>gf3000102771</t>
        </is>
      </c>
      <c r="D1378" s="1" t="inlineStr">
        <is>
          <t>TAYLORMADE Women's Open Championship Staff Bag (Multi)</t>
        </is>
      </c>
      <c r="E1378" s="1" t="inlineStr">
        <is>
          <t>TAYLORMADE</t>
        </is>
      </c>
      <c r="F1378" s="1" t="inlineStr">
        <is>
          <t>CADDIE/CART BAG</t>
        </is>
      </c>
      <c r="G1378" s="1" t="inlineStr">
        <is>
          <t>GF3000102771</t>
        </is>
      </c>
      <c r="H1378" s="1" t="n">
        <v>1</v>
      </c>
      <c r="I1378" s="1" t="inlineStr">
        <is>
          <t>หมด</t>
        </is>
      </c>
      <c r="J1378" s="13" t="n">
        <v>655</v>
      </c>
      <c r="K1378" s="1" t="inlineStr"/>
      <c r="L1378" s="13" t="n">
        <v>655</v>
      </c>
      <c r="M1378" s="1">
        <f>IF(L1378="","ไม่พบใน SG",IF(ABS(J1378-L1378)&lt;0.005,"ตรงกัน","ไม่ตรง"))</f>
        <v/>
      </c>
      <c r="N1378" s="14">
        <f>IF(L1378="","",ROUND(L1378*'สรุป'!$C$6,-1))</f>
        <v/>
      </c>
      <c r="O1378" s="15" t="n"/>
      <c r="P1378" s="15" t="n"/>
      <c r="Q1378" s="10" t="n"/>
      <c r="R1378" s="10" t="n"/>
      <c r="S1378" s="16" t="inlineStr">
        <is>
          <t>https://mstgolf.co.th/products/gf3000102771</t>
        </is>
      </c>
      <c r="T1378" s="1">
        <f>IF(B1378="ไม้กอล์ฟ",J1378,"")</f>
        <v/>
      </c>
    </row>
    <row r="1379">
      <c r="A1379" s="1" t="n">
        <v>2</v>
      </c>
      <c r="B1379" s="1" t="inlineStr">
        <is>
          <t>รถเข็น</t>
        </is>
      </c>
      <c r="C1379" s="1" t="inlineStr">
        <is>
          <t>gf3030200187</t>
        </is>
      </c>
      <c r="D1379" s="1" t="inlineStr">
        <is>
          <t>MOTOCADDY M-Series 28V Standard Lithium Battery &amp; Charger</t>
        </is>
      </c>
      <c r="E1379" s="1" t="inlineStr">
        <is>
          <t>MOTOCADDY</t>
        </is>
      </c>
      <c r="F1379" s="1" t="inlineStr">
        <is>
          <t>TROLLEY PARTS/ACCESSORIES</t>
        </is>
      </c>
      <c r="G1379" s="1" t="inlineStr">
        <is>
          <t>GF3030200187</t>
        </is>
      </c>
      <c r="H1379" s="1" t="n">
        <v>1</v>
      </c>
      <c r="I1379" s="1" t="inlineStr">
        <is>
          <t>หมด</t>
        </is>
      </c>
      <c r="J1379" s="13" t="n">
        <v>650</v>
      </c>
      <c r="K1379" s="1" t="inlineStr"/>
      <c r="L1379" s="13" t="n">
        <v>650</v>
      </c>
      <c r="M1379" s="1">
        <f>IF(L1379="","ไม่พบใน SG",IF(ABS(J1379-L1379)&lt;0.005,"ตรงกัน","ไม่ตรง"))</f>
        <v/>
      </c>
      <c r="N1379" s="14">
        <f>IF(L1379="","",ROUND(L1379*'สรุป'!$C$6,-1))</f>
        <v/>
      </c>
      <c r="O1379" s="15" t="n"/>
      <c r="P1379" s="15" t="n"/>
      <c r="Q1379" s="10" t="n"/>
      <c r="R1379" s="10" t="n"/>
      <c r="S1379" s="16" t="inlineStr">
        <is>
          <t>https://mstgolf.co.th/products/gf3030200187</t>
        </is>
      </c>
      <c r="T1379" s="1">
        <f>IF(B1379="ไม้กอล์ฟ",J1379,"")</f>
        <v/>
      </c>
    </row>
    <row r="1380">
      <c r="A1380" s="1" t="n">
        <v>2</v>
      </c>
      <c r="B1380" s="1" t="inlineStr">
        <is>
          <t>รถเข็น</t>
        </is>
      </c>
      <c r="C1380" s="1" t="inlineStr">
        <is>
          <t>gf3030200021</t>
        </is>
      </c>
      <c r="D1380" s="1" t="inlineStr">
        <is>
          <t>MOTOCADDY S-Series Lithium Battery with Charger (16Ah)</t>
        </is>
      </c>
      <c r="E1380" s="1" t="inlineStr">
        <is>
          <t>MOTOCADDY</t>
        </is>
      </c>
      <c r="F1380" s="1" t="inlineStr">
        <is>
          <t>TROLLEY PARTS/ACCESSORIES</t>
        </is>
      </c>
      <c r="G1380" s="1" t="inlineStr">
        <is>
          <t>GF3030200021</t>
        </is>
      </c>
      <c r="H1380" s="1" t="n">
        <v>1</v>
      </c>
      <c r="I1380" s="1" t="inlineStr">
        <is>
          <t>หมด</t>
        </is>
      </c>
      <c r="J1380" s="13" t="n">
        <v>630</v>
      </c>
      <c r="K1380" s="1" t="inlineStr"/>
      <c r="L1380" s="13" t="n">
        <v>630</v>
      </c>
      <c r="M1380" s="1">
        <f>IF(L1380="","ไม่พบใน SG",IF(ABS(J1380-L1380)&lt;0.005,"ตรงกัน","ไม่ตรง"))</f>
        <v/>
      </c>
      <c r="N1380" s="14">
        <f>IF(L1380="","",ROUND(L1380*'สรุป'!$C$6,-1))</f>
        <v/>
      </c>
      <c r="O1380" s="15" t="n"/>
      <c r="P1380" s="15" t="n"/>
      <c r="Q1380" s="10" t="n"/>
      <c r="R1380" s="10" t="n"/>
      <c r="S1380" s="16" t="inlineStr">
        <is>
          <t>https://mstgolf.co.th/products/gf3030200021</t>
        </is>
      </c>
      <c r="T1380" s="1">
        <f>IF(B1380="ไม้กอล์ฟ",J1380,"")</f>
        <v/>
      </c>
    </row>
    <row r="1381">
      <c r="A1381" s="1" t="n">
        <v>2</v>
      </c>
      <c r="B1381" s="1" t="inlineStr">
        <is>
          <t>ถุงกอล์ฟ</t>
        </is>
      </c>
      <c r="C1381" s="1" t="inlineStr">
        <is>
          <t>gf3000201090</t>
        </is>
      </c>
      <c r="D1381" s="1" t="inlineStr">
        <is>
          <t>GFORE Camo Lightweight 4-Way Stand Bag (Onyx Camo)</t>
        </is>
      </c>
      <c r="E1381" s="1" t="inlineStr">
        <is>
          <t>GFORE</t>
        </is>
      </c>
      <c r="F1381" s="1" t="inlineStr">
        <is>
          <t>STAND BAG</t>
        </is>
      </c>
      <c r="G1381" s="1" t="inlineStr">
        <is>
          <t>GF3000201090</t>
        </is>
      </c>
      <c r="H1381" s="1" t="n">
        <v>1</v>
      </c>
      <c r="I1381" s="1" t="inlineStr">
        <is>
          <t>หมด</t>
        </is>
      </c>
      <c r="J1381" s="13" t="n">
        <v>629</v>
      </c>
      <c r="K1381" s="1" t="inlineStr"/>
      <c r="L1381" s="13" t="n">
        <v>629</v>
      </c>
      <c r="M1381" s="1">
        <f>IF(L1381="","ไม่พบใน SG",IF(ABS(J1381-L1381)&lt;0.005,"ตรงกัน","ไม่ตรง"))</f>
        <v/>
      </c>
      <c r="N1381" s="14">
        <f>IF(L1381="","",ROUND(L1381*'สรุป'!$C$6,-1))</f>
        <v/>
      </c>
      <c r="O1381" s="15" t="n"/>
      <c r="P1381" s="15" t="n"/>
      <c r="Q1381" s="10" t="n"/>
      <c r="R1381" s="10" t="n"/>
      <c r="S1381" s="16" t="inlineStr">
        <is>
          <t>https://mstgolf.co.th/products/gf3000201090</t>
        </is>
      </c>
      <c r="T1381" s="1">
        <f>IF(B1381="ไม้กอล์ฟ",J1381,"")</f>
        <v/>
      </c>
    </row>
    <row r="1382">
      <c r="A1382" s="1" t="n">
        <v>2</v>
      </c>
      <c r="B1382" s="1" t="inlineStr">
        <is>
          <t>ถุงกอล์ฟ</t>
        </is>
      </c>
      <c r="C1382" s="1" t="inlineStr">
        <is>
          <t>gf3000201242</t>
        </is>
      </c>
      <c r="D1382" s="1" t="inlineStr">
        <is>
          <t>GFORE Daytona Plus Stand Bag (Seaglass)</t>
        </is>
      </c>
      <c r="E1382" s="1" t="inlineStr">
        <is>
          <t>GFORE</t>
        </is>
      </c>
      <c r="F1382" s="1" t="inlineStr">
        <is>
          <t>STAND BAG</t>
        </is>
      </c>
      <c r="G1382" s="1" t="inlineStr">
        <is>
          <t>GF3000201242</t>
        </is>
      </c>
      <c r="H1382" s="1" t="n">
        <v>1</v>
      </c>
      <c r="I1382" s="1" t="inlineStr">
        <is>
          <t>หมด</t>
        </is>
      </c>
      <c r="J1382" s="13" t="n">
        <v>629</v>
      </c>
      <c r="K1382" s="1" t="inlineStr"/>
      <c r="L1382" s="13" t="n">
        <v>629</v>
      </c>
      <c r="M1382" s="1">
        <f>IF(L1382="","ไม่พบใน SG",IF(ABS(J1382-L1382)&lt;0.005,"ตรงกัน","ไม่ตรง"))</f>
        <v/>
      </c>
      <c r="N1382" s="14">
        <f>IF(L1382="","",ROUND(L1382*'สรุป'!$C$6,-1))</f>
        <v/>
      </c>
      <c r="O1382" s="15" t="n"/>
      <c r="P1382" s="15" t="n"/>
      <c r="Q1382" s="10" t="n"/>
      <c r="R1382" s="10" t="n"/>
      <c r="S1382" s="16" t="inlineStr">
        <is>
          <t>https://mstgolf.co.th/products/gf3000201242</t>
        </is>
      </c>
      <c r="T1382" s="1">
        <f>IF(B1382="ไม้กอล์ฟ",J1382,"")</f>
        <v/>
      </c>
    </row>
    <row r="1383">
      <c r="A1383" s="1" t="n">
        <v>2</v>
      </c>
      <c r="B1383" s="1" t="inlineStr">
        <is>
          <t>ถุงกอล์ฟ</t>
        </is>
      </c>
      <c r="C1383" s="1" t="inlineStr">
        <is>
          <t>gf3000102730</t>
        </is>
      </c>
      <c r="D1383" s="1" t="inlineStr">
        <is>
          <t>EVNROLL 4-Way Staff Bag (Black)</t>
        </is>
      </c>
      <c r="E1383" s="1" t="inlineStr">
        <is>
          <t>EVNROLL</t>
        </is>
      </c>
      <c r="F1383" s="1" t="inlineStr">
        <is>
          <t>CADDIE/CART BAG</t>
        </is>
      </c>
      <c r="G1383" s="1" t="inlineStr">
        <is>
          <t>GF3000102730</t>
        </is>
      </c>
      <c r="H1383" s="1" t="n">
        <v>1</v>
      </c>
      <c r="I1383" s="1" t="inlineStr">
        <is>
          <t>หมด</t>
        </is>
      </c>
      <c r="J1383" s="13" t="n">
        <v>619</v>
      </c>
      <c r="K1383" s="1" t="inlineStr"/>
      <c r="L1383" s="13" t="n">
        <v>619</v>
      </c>
      <c r="M1383" s="1">
        <f>IF(L1383="","ไม่พบใน SG",IF(ABS(J1383-L1383)&lt;0.005,"ตรงกัน","ไม่ตรง"))</f>
        <v/>
      </c>
      <c r="N1383" s="14">
        <f>IF(L1383="","",ROUND(L1383*'สรุป'!$C$6,-1))</f>
        <v/>
      </c>
      <c r="O1383" s="15" t="n"/>
      <c r="P1383" s="15" t="n"/>
      <c r="Q1383" s="10" t="n"/>
      <c r="R1383" s="10" t="n"/>
      <c r="S1383" s="16" t="inlineStr">
        <is>
          <t>https://mstgolf.co.th/products/gf3000102730</t>
        </is>
      </c>
      <c r="T1383" s="1">
        <f>IF(B1383="ไม้กอล์ฟ",J1383,"")</f>
        <v/>
      </c>
    </row>
    <row r="1384">
      <c r="A1384" s="1" t="n">
        <v>2</v>
      </c>
      <c r="B1384" s="1" t="inlineStr">
        <is>
          <t>ถุงกอล์ฟ</t>
        </is>
      </c>
      <c r="C1384" s="1" t="inlineStr">
        <is>
          <t>gf3000103225</t>
        </is>
      </c>
      <c r="D1384" s="1" t="inlineStr">
        <is>
          <t>ADIDAS Premium Cart Caddie Bag (White)</t>
        </is>
      </c>
      <c r="E1384" s="1" t="inlineStr">
        <is>
          <t>ADIDAS</t>
        </is>
      </c>
      <c r="F1384" s="1" t="inlineStr">
        <is>
          <t>CADDIE/CART BAG</t>
        </is>
      </c>
      <c r="G1384" s="1" t="inlineStr">
        <is>
          <t>GF3000103225</t>
        </is>
      </c>
      <c r="H1384" s="1" t="n">
        <v>1</v>
      </c>
      <c r="I1384" s="1" t="inlineStr">
        <is>
          <t>หมด</t>
        </is>
      </c>
      <c r="J1384" s="13" t="n">
        <v>599</v>
      </c>
      <c r="K1384" s="1" t="inlineStr"/>
      <c r="L1384" s="13" t="n"/>
      <c r="M1384" s="1">
        <f>IF(L1384="","ไม่พบใน SG",IF(ABS(J1384-L1384)&lt;0.005,"ตรงกัน","ไม่ตรง"))</f>
        <v/>
      </c>
      <c r="N1384" s="14">
        <f>IF(L1384="","",ROUND(L1384*'สรุป'!$C$6,-1))</f>
        <v/>
      </c>
      <c r="O1384" s="15" t="n"/>
      <c r="P1384" s="15" t="n"/>
      <c r="Q1384" s="10" t="n"/>
      <c r="R1384" s="10" t="n"/>
      <c r="S1384" s="16" t="inlineStr">
        <is>
          <t>https://mstgolf.co.th/products/gf3000103225</t>
        </is>
      </c>
      <c r="T1384" s="1">
        <f>IF(B1384="ไม้กอล์ฟ",J1384,"")</f>
        <v/>
      </c>
    </row>
    <row r="1385">
      <c r="A1385" s="1" t="n">
        <v>2</v>
      </c>
      <c r="B1385" s="1" t="inlineStr">
        <is>
          <t>ถุงกอล์ฟ</t>
        </is>
      </c>
      <c r="C1385" s="1" t="inlineStr">
        <is>
          <t>gf3000103277</t>
        </is>
      </c>
      <c r="D1385" s="1" t="inlineStr">
        <is>
          <t>TAYLORMADE Qi4D Tour Stand Bag (Blue/Orange)</t>
        </is>
      </c>
      <c r="E1385" s="1" t="inlineStr">
        <is>
          <t>TAYLORMADE</t>
        </is>
      </c>
      <c r="F1385" s="1" t="inlineStr">
        <is>
          <t>CADDIE/CART BAG</t>
        </is>
      </c>
      <c r="G1385" s="1" t="inlineStr">
        <is>
          <t>GF3000103277</t>
        </is>
      </c>
      <c r="H1385" s="1" t="n">
        <v>1</v>
      </c>
      <c r="I1385" s="1" t="inlineStr">
        <is>
          <t>หมด</t>
        </is>
      </c>
      <c r="J1385" s="13" t="n">
        <v>579</v>
      </c>
      <c r="K1385" s="1" t="inlineStr"/>
      <c r="L1385" s="13" t="n"/>
      <c r="M1385" s="1">
        <f>IF(L1385="","ไม่พบใน SG",IF(ABS(J1385-L1385)&lt;0.005,"ตรงกัน","ไม่ตรง"))</f>
        <v/>
      </c>
      <c r="N1385" s="14">
        <f>IF(L1385="","",ROUND(L1385*'สรุป'!$C$6,-1))</f>
        <v/>
      </c>
      <c r="O1385" s="15" t="n"/>
      <c r="P1385" s="15" t="n"/>
      <c r="Q1385" s="10" t="n"/>
      <c r="R1385" s="10" t="n"/>
      <c r="S1385" s="16" t="inlineStr">
        <is>
          <t>https://mstgolf.co.th/products/gf3000103277</t>
        </is>
      </c>
      <c r="T1385" s="1">
        <f>IF(B1385="ไม้กอล์ฟ",J1385,"")</f>
        <v/>
      </c>
    </row>
    <row r="1386">
      <c r="A1386" s="1" t="n">
        <v>2</v>
      </c>
      <c r="B1386" s="1" t="inlineStr">
        <is>
          <t>ถุงกอล์ฟ</t>
        </is>
      </c>
      <c r="C1386" s="1" t="inlineStr">
        <is>
          <t>gf3000201546</t>
        </is>
      </c>
      <c r="D1386" s="1" t="inlineStr">
        <is>
          <t>MALBON GOLF Riviera Stand Bag (Multi Colour)</t>
        </is>
      </c>
      <c r="E1386" s="1" t="inlineStr">
        <is>
          <t>MALBON GOLF</t>
        </is>
      </c>
      <c r="F1386" s="1" t="inlineStr">
        <is>
          <t>STAND BAG</t>
        </is>
      </c>
      <c r="G1386" s="1" t="inlineStr">
        <is>
          <t>GF3000201546</t>
        </is>
      </c>
      <c r="H1386" s="1" t="n">
        <v>1</v>
      </c>
      <c r="I1386" s="1" t="inlineStr">
        <is>
          <t>หมด</t>
        </is>
      </c>
      <c r="J1386" s="13" t="n">
        <v>575</v>
      </c>
      <c r="K1386" s="1" t="inlineStr"/>
      <c r="L1386" s="13" t="n"/>
      <c r="M1386" s="1">
        <f>IF(L1386="","ไม่พบใน SG",IF(ABS(J1386-L1386)&lt;0.005,"ตรงกัน","ไม่ตรง"))</f>
        <v/>
      </c>
      <c r="N1386" s="14">
        <f>IF(L1386="","",ROUND(L1386*'สรุป'!$C$6,-1))</f>
        <v/>
      </c>
      <c r="O1386" s="15" t="n"/>
      <c r="P1386" s="15" t="n"/>
      <c r="Q1386" s="10" t="n"/>
      <c r="R1386" s="10" t="n"/>
      <c r="S1386" s="16" t="inlineStr">
        <is>
          <t>https://mstgolf.co.th/products/gf3000201546</t>
        </is>
      </c>
      <c r="T1386" s="1">
        <f>IF(B1386="ไม้กอล์ฟ",J1386,"")</f>
        <v/>
      </c>
    </row>
    <row r="1387">
      <c r="A1387" s="1" t="n">
        <v>2</v>
      </c>
      <c r="B1387" s="1" t="inlineStr">
        <is>
          <t>ถุงกอล์ฟ</t>
        </is>
      </c>
      <c r="C1387" s="1" t="inlineStr">
        <is>
          <t>gf3000101938</t>
        </is>
      </c>
      <c r="D1387" s="1" t="inlineStr">
        <is>
          <t>TITLEIST Jet Black Tour Bag (Black/Black/Red)</t>
        </is>
      </c>
      <c r="E1387" s="1" t="inlineStr">
        <is>
          <t>TITLEIST</t>
        </is>
      </c>
      <c r="F1387" s="1" t="inlineStr">
        <is>
          <t>CADDIE/CART BAG</t>
        </is>
      </c>
      <c r="G1387" s="1" t="inlineStr">
        <is>
          <t>GF3000101938</t>
        </is>
      </c>
      <c r="H1387" s="1" t="n">
        <v>1</v>
      </c>
      <c r="I1387" s="1" t="inlineStr">
        <is>
          <t>หมด</t>
        </is>
      </c>
      <c r="J1387" s="13" t="n">
        <v>559</v>
      </c>
      <c r="K1387" s="1" t="inlineStr"/>
      <c r="L1387" s="13" t="n"/>
      <c r="M1387" s="1">
        <f>IF(L1387="","ไม่พบใน SG",IF(ABS(J1387-L1387)&lt;0.005,"ตรงกัน","ไม่ตรง"))</f>
        <v/>
      </c>
      <c r="N1387" s="14">
        <f>IF(L1387="","",ROUND(L1387*'สรุป'!$C$6,-1))</f>
        <v/>
      </c>
      <c r="O1387" s="15" t="n"/>
      <c r="P1387" s="15" t="n"/>
      <c r="Q1387" s="10" t="n"/>
      <c r="R1387" s="10" t="n"/>
      <c r="S1387" s="16" t="inlineStr">
        <is>
          <t>https://mstgolf.co.th/products/gf3000101938</t>
        </is>
      </c>
      <c r="T1387" s="1">
        <f>IF(B1387="ไม้กอล์ฟ",J1387,"")</f>
        <v/>
      </c>
    </row>
    <row r="1388">
      <c r="A1388" s="1" t="n">
        <v>2</v>
      </c>
      <c r="B1388" s="1" t="inlineStr">
        <is>
          <t>ถุงกอล์ฟ</t>
        </is>
      </c>
      <c r="C1388" s="1" t="inlineStr">
        <is>
          <t>gf3000102614</t>
        </is>
      </c>
      <c r="D1388" s="1" t="inlineStr">
        <is>
          <t>TAYLORMADE Season Opener Staff Bag</t>
        </is>
      </c>
      <c r="E1388" s="1" t="inlineStr">
        <is>
          <t>TAYLORMADE</t>
        </is>
      </c>
      <c r="F1388" s="1" t="inlineStr">
        <is>
          <t>CADDIE/CART BAG</t>
        </is>
      </c>
      <c r="G1388" s="1" t="inlineStr">
        <is>
          <t>GF3000102614</t>
        </is>
      </c>
      <c r="H1388" s="1" t="n">
        <v>1</v>
      </c>
      <c r="I1388" s="1" t="inlineStr">
        <is>
          <t>หมด</t>
        </is>
      </c>
      <c r="J1388" s="13" t="n">
        <v>545</v>
      </c>
      <c r="K1388" s="1" t="inlineStr"/>
      <c r="L1388" s="13" t="n"/>
      <c r="M1388" s="1">
        <f>IF(L1388="","ไม่พบใน SG",IF(ABS(J1388-L1388)&lt;0.005,"ตรงกัน","ไม่ตรง"))</f>
        <v/>
      </c>
      <c r="N1388" s="14">
        <f>IF(L1388="","",ROUND(L1388*'สรุป'!$C$6,-1))</f>
        <v/>
      </c>
      <c r="O1388" s="15" t="n"/>
      <c r="P1388" s="15" t="n"/>
      <c r="Q1388" s="10" t="n"/>
      <c r="R1388" s="10" t="n"/>
      <c r="S1388" s="16" t="inlineStr">
        <is>
          <t>https://mstgolf.co.th/products/gf3000102614</t>
        </is>
      </c>
      <c r="T1388" s="1">
        <f>IF(B1388="ไม้กอล์ฟ",J1388,"")</f>
        <v/>
      </c>
    </row>
    <row r="1389">
      <c r="A1389" s="1" t="n">
        <v>2</v>
      </c>
      <c r="B1389" s="1" t="inlineStr">
        <is>
          <t>ถุงกอล์ฟ</t>
        </is>
      </c>
      <c r="C1389" s="1" t="inlineStr">
        <is>
          <t>gf3000102615</t>
        </is>
      </c>
      <c r="D1389" s="1" t="inlineStr">
        <is>
          <t>TAYLORMADE Summer Commemorative 2023 Staff Bag (Multi Colour)</t>
        </is>
      </c>
      <c r="E1389" s="1" t="inlineStr">
        <is>
          <t>TAYLORMADE</t>
        </is>
      </c>
      <c r="F1389" s="1" t="inlineStr">
        <is>
          <t>CADDIE/CART BAG</t>
        </is>
      </c>
      <c r="G1389" s="1" t="inlineStr">
        <is>
          <t>GF3000102615</t>
        </is>
      </c>
      <c r="H1389" s="1" t="n">
        <v>1</v>
      </c>
      <c r="I1389" s="1" t="inlineStr">
        <is>
          <t>หมด</t>
        </is>
      </c>
      <c r="J1389" s="13" t="n">
        <v>545</v>
      </c>
      <c r="K1389" s="1" t="inlineStr"/>
      <c r="L1389" s="13" t="n"/>
      <c r="M1389" s="1">
        <f>IF(L1389="","ไม่พบใน SG",IF(ABS(J1389-L1389)&lt;0.005,"ตรงกัน","ไม่ตรง"))</f>
        <v/>
      </c>
      <c r="N1389" s="14">
        <f>IF(L1389="","",ROUND(L1389*'สรุป'!$C$6,-1))</f>
        <v/>
      </c>
      <c r="O1389" s="15" t="n"/>
      <c r="P1389" s="15" t="n"/>
      <c r="Q1389" s="10" t="n"/>
      <c r="R1389" s="10" t="n"/>
      <c r="S1389" s="16" t="inlineStr">
        <is>
          <t>https://mstgolf.co.th/products/gf3000102615</t>
        </is>
      </c>
      <c r="T1389" s="1">
        <f>IF(B1389="ไม้กอล์ฟ",J1389,"")</f>
        <v/>
      </c>
    </row>
    <row r="1390">
      <c r="A1390" s="1" t="n">
        <v>2</v>
      </c>
      <c r="B1390" s="1" t="inlineStr">
        <is>
          <t>ถุงกอล์ฟ</t>
        </is>
      </c>
      <c r="C1390" s="1" t="inlineStr">
        <is>
          <t>gf3000101917</t>
        </is>
      </c>
      <c r="D1390" s="1" t="inlineStr">
        <is>
          <t>GIII 9" Caddie Bag (Black)</t>
        </is>
      </c>
      <c r="E1390" s="1" t="inlineStr">
        <is>
          <t>GIII</t>
        </is>
      </c>
      <c r="F1390" s="1" t="inlineStr">
        <is>
          <t>CADDIE/CART BAG</t>
        </is>
      </c>
      <c r="G1390" s="1" t="inlineStr">
        <is>
          <t>GF3000101917</t>
        </is>
      </c>
      <c r="H1390" s="1" t="n">
        <v>1</v>
      </c>
      <c r="I1390" s="1" t="inlineStr">
        <is>
          <t>หมด</t>
        </is>
      </c>
      <c r="J1390" s="13" t="n">
        <v>529</v>
      </c>
      <c r="K1390" s="1" t="inlineStr"/>
      <c r="L1390" s="13" t="n"/>
      <c r="M1390" s="1">
        <f>IF(L1390="","ไม่พบใน SG",IF(ABS(J1390-L1390)&lt;0.005,"ตรงกัน","ไม่ตรง"))</f>
        <v/>
      </c>
      <c r="N1390" s="14">
        <f>IF(L1390="","",ROUND(L1390*'สรุป'!$C$6,-1))</f>
        <v/>
      </c>
      <c r="O1390" s="15" t="n"/>
      <c r="P1390" s="15" t="n"/>
      <c r="Q1390" s="10" t="n"/>
      <c r="R1390" s="10" t="n"/>
      <c r="S1390" s="16" t="inlineStr">
        <is>
          <t>https://mstgolf.co.th/products/gf3000101917</t>
        </is>
      </c>
      <c r="T1390" s="1">
        <f>IF(B1390="ไม้กอล์ฟ",J1390,"")</f>
        <v/>
      </c>
    </row>
    <row r="1391">
      <c r="A1391" s="1" t="n">
        <v>2</v>
      </c>
      <c r="B1391" s="1" t="inlineStr">
        <is>
          <t>ถุงกอล์ฟ</t>
        </is>
      </c>
      <c r="C1391" s="1" t="inlineStr">
        <is>
          <t>gf3010101419</t>
        </is>
      </c>
      <c r="D1391" s="1" t="inlineStr">
        <is>
          <t>BOSS GOLF Beverly Hills Boston Bag (White/Pink)</t>
        </is>
      </c>
      <c r="E1391" s="1" t="inlineStr">
        <is>
          <t>BOSS GOLF</t>
        </is>
      </c>
      <c r="F1391" s="1" t="inlineStr">
        <is>
          <t>BOSTON/DUFFLE BAG</t>
        </is>
      </c>
      <c r="G1391" s="1" t="inlineStr">
        <is>
          <t>GF3010101419</t>
        </is>
      </c>
      <c r="H1391" s="1" t="n">
        <v>1</v>
      </c>
      <c r="I1391" s="1" t="inlineStr">
        <is>
          <t>หมด</t>
        </is>
      </c>
      <c r="J1391" s="13" t="n">
        <v>525</v>
      </c>
      <c r="K1391" s="1" t="inlineStr"/>
      <c r="L1391" s="13" t="n"/>
      <c r="M1391" s="1">
        <f>IF(L1391="","ไม่พบใน SG",IF(ABS(J1391-L1391)&lt;0.005,"ตรงกัน","ไม่ตรง"))</f>
        <v/>
      </c>
      <c r="N1391" s="14">
        <f>IF(L1391="","",ROUND(L1391*'สรุป'!$C$6,-1))</f>
        <v/>
      </c>
      <c r="O1391" s="15" t="n"/>
      <c r="P1391" s="15" t="n"/>
      <c r="Q1391" s="10" t="n"/>
      <c r="R1391" s="10" t="n"/>
      <c r="S1391" s="16" t="inlineStr">
        <is>
          <t>https://mstgolf.co.th/products/gf3010101419</t>
        </is>
      </c>
      <c r="T1391" s="1">
        <f>IF(B1391="ไม้กอล์ฟ",J1391,"")</f>
        <v/>
      </c>
    </row>
    <row r="1392">
      <c r="A1392" s="1" t="n">
        <v>2</v>
      </c>
      <c r="B1392" s="1" t="inlineStr">
        <is>
          <t>ถุงกอล์ฟ</t>
        </is>
      </c>
      <c r="C1392" s="1" t="inlineStr">
        <is>
          <t>gf3000201272</t>
        </is>
      </c>
      <c r="D1392" s="1" t="inlineStr">
        <is>
          <t>MAJESTY ST30 8.5" Stand Bag (Beige)</t>
        </is>
      </c>
      <c r="E1392" s="1" t="inlineStr">
        <is>
          <t>MAJESTY</t>
        </is>
      </c>
      <c r="F1392" s="1" t="inlineStr">
        <is>
          <t>STAND BAG</t>
        </is>
      </c>
      <c r="G1392" s="1" t="inlineStr">
        <is>
          <t>GF3000201272</t>
        </is>
      </c>
      <c r="H1392" s="1" t="n">
        <v>1</v>
      </c>
      <c r="I1392" s="1" t="inlineStr">
        <is>
          <t>หมด</t>
        </is>
      </c>
      <c r="J1392" s="13" t="n">
        <v>525</v>
      </c>
      <c r="K1392" s="1" t="inlineStr"/>
      <c r="L1392" s="13" t="n">
        <v>525</v>
      </c>
      <c r="M1392" s="1">
        <f>IF(L1392="","ไม่พบใน SG",IF(ABS(J1392-L1392)&lt;0.005,"ตรงกัน","ไม่ตรง"))</f>
        <v/>
      </c>
      <c r="N1392" s="14">
        <f>IF(L1392="","",ROUND(L1392*'สรุป'!$C$6,-1))</f>
        <v/>
      </c>
      <c r="O1392" s="15" t="n"/>
      <c r="P1392" s="15" t="n"/>
      <c r="Q1392" s="10" t="n"/>
      <c r="R1392" s="10" t="n"/>
      <c r="S1392" s="16" t="inlineStr">
        <is>
          <t>https://mstgolf.co.th/products/gf3000201272</t>
        </is>
      </c>
      <c r="T1392" s="1">
        <f>IF(B1392="ไม้กอล์ฟ",J1392,"")</f>
        <v/>
      </c>
    </row>
    <row r="1393">
      <c r="A1393" s="1" t="n">
        <v>2</v>
      </c>
      <c r="B1393" s="1" t="inlineStr">
        <is>
          <t>ถุงกอล์ฟ</t>
        </is>
      </c>
      <c r="C1393" s="1" t="inlineStr">
        <is>
          <t>gf3000201273</t>
        </is>
      </c>
      <c r="D1393" s="1" t="inlineStr">
        <is>
          <t>MAJESTY ST30 8.5" Stand Bag (Pink)</t>
        </is>
      </c>
      <c r="E1393" s="1" t="inlineStr">
        <is>
          <t>MAJESTY</t>
        </is>
      </c>
      <c r="F1393" s="1" t="inlineStr">
        <is>
          <t>STAND BAG</t>
        </is>
      </c>
      <c r="G1393" s="1" t="inlineStr">
        <is>
          <t>GF3000201273</t>
        </is>
      </c>
      <c r="H1393" s="1" t="n">
        <v>1</v>
      </c>
      <c r="I1393" s="1" t="inlineStr">
        <is>
          <t>หมด</t>
        </is>
      </c>
      <c r="J1393" s="13" t="n">
        <v>525</v>
      </c>
      <c r="K1393" s="1" t="inlineStr"/>
      <c r="L1393" s="13" t="n">
        <v>525</v>
      </c>
      <c r="M1393" s="1">
        <f>IF(L1393="","ไม่พบใน SG",IF(ABS(J1393-L1393)&lt;0.005,"ตรงกัน","ไม่ตรง"))</f>
        <v/>
      </c>
      <c r="N1393" s="14">
        <f>IF(L1393="","",ROUND(L1393*'สรุป'!$C$6,-1))</f>
        <v/>
      </c>
      <c r="O1393" s="15" t="n"/>
      <c r="P1393" s="15" t="n"/>
      <c r="Q1393" s="10" t="n"/>
      <c r="R1393" s="10" t="n"/>
      <c r="S1393" s="16" t="inlineStr">
        <is>
          <t>https://mstgolf.co.th/products/gf3000201273</t>
        </is>
      </c>
      <c r="T1393" s="1">
        <f>IF(B1393="ไม้กอล์ฟ",J1393,"")</f>
        <v/>
      </c>
    </row>
    <row r="1394">
      <c r="A1394" s="1" t="n">
        <v>2</v>
      </c>
      <c r="B1394" s="1" t="inlineStr">
        <is>
          <t>ถุงกอล์ฟ</t>
        </is>
      </c>
      <c r="C1394" s="1" t="inlineStr">
        <is>
          <t>gf3000201459</t>
        </is>
      </c>
      <c r="D1394" s="1" t="inlineStr">
        <is>
          <t>TITLEIST LINKSLEGENDS Members Stand Bag (Green)</t>
        </is>
      </c>
      <c r="E1394" s="1" t="inlineStr">
        <is>
          <t>TITLEIST</t>
        </is>
      </c>
      <c r="F1394" s="1" t="inlineStr">
        <is>
          <t>STAND BAG</t>
        </is>
      </c>
      <c r="G1394" s="1" t="inlineStr">
        <is>
          <t>GF3000201459</t>
        </is>
      </c>
      <c r="H1394" s="1" t="n">
        <v>1</v>
      </c>
      <c r="I1394" s="1" t="inlineStr">
        <is>
          <t>หมด</t>
        </is>
      </c>
      <c r="J1394" s="13" t="n">
        <v>519</v>
      </c>
      <c r="K1394" s="1" t="inlineStr"/>
      <c r="L1394" s="13" t="n">
        <v>519</v>
      </c>
      <c r="M1394" s="1">
        <f>IF(L1394="","ไม่พบใน SG",IF(ABS(J1394-L1394)&lt;0.005,"ตรงกัน","ไม่ตรง"))</f>
        <v/>
      </c>
      <c r="N1394" s="14">
        <f>IF(L1394="","",ROUND(L1394*'สรุป'!$C$6,-1))</f>
        <v/>
      </c>
      <c r="O1394" s="15" t="n"/>
      <c r="P1394" s="15" t="n"/>
      <c r="Q1394" s="10" t="n"/>
      <c r="R1394" s="10" t="n"/>
      <c r="S1394" s="16" t="inlineStr">
        <is>
          <t>https://mstgolf.co.th/products/gf3000201459</t>
        </is>
      </c>
      <c r="T1394" s="1">
        <f>IF(B1394="ไม้กอล์ฟ",J1394,"")</f>
        <v/>
      </c>
    </row>
    <row r="1395">
      <c r="A1395" s="1" t="n">
        <v>2</v>
      </c>
      <c r="B1395" s="1" t="inlineStr">
        <is>
          <t>ถุงกอล์ฟ</t>
        </is>
      </c>
      <c r="C1395" s="1" t="inlineStr">
        <is>
          <t>gf3000102803</t>
        </is>
      </c>
      <c r="D1395" s="1" t="inlineStr">
        <is>
          <t>MAJESTY 8.5" CQ31 Caddie Bag (Black)</t>
        </is>
      </c>
      <c r="E1395" s="1" t="inlineStr">
        <is>
          <t>MAJESTY</t>
        </is>
      </c>
      <c r="F1395" s="1" t="inlineStr">
        <is>
          <t>CADDIE/CART BAG</t>
        </is>
      </c>
      <c r="G1395" s="1" t="inlineStr">
        <is>
          <t>GF3000102803</t>
        </is>
      </c>
      <c r="H1395" s="1" t="n">
        <v>1</v>
      </c>
      <c r="I1395" s="1" t="inlineStr">
        <is>
          <t>หมด</t>
        </is>
      </c>
      <c r="J1395" s="13" t="n">
        <v>495</v>
      </c>
      <c r="K1395" s="1" t="inlineStr"/>
      <c r="L1395" s="13" t="n">
        <v>495</v>
      </c>
      <c r="M1395" s="1">
        <f>IF(L1395="","ไม่พบใน SG",IF(ABS(J1395-L1395)&lt;0.005,"ตรงกัน","ไม่ตรง"))</f>
        <v/>
      </c>
      <c r="N1395" s="14">
        <f>IF(L1395="","",ROUND(L1395*'สรุป'!$C$6,-1))</f>
        <v/>
      </c>
      <c r="O1395" s="15" t="n"/>
      <c r="P1395" s="15" t="n"/>
      <c r="Q1395" s="10" t="n"/>
      <c r="R1395" s="10" t="n"/>
      <c r="S1395" s="16" t="inlineStr">
        <is>
          <t>https://mstgolf.co.th/products/gf3000102803</t>
        </is>
      </c>
      <c r="T1395" s="1">
        <f>IF(B1395="ไม้กอล์ฟ",J1395,"")</f>
        <v/>
      </c>
    </row>
    <row r="1396">
      <c r="A1396" s="1" t="n">
        <v>2</v>
      </c>
      <c r="B1396" s="1" t="inlineStr">
        <is>
          <t>ถุงกอล์ฟ</t>
        </is>
      </c>
      <c r="C1396" s="1" t="inlineStr">
        <is>
          <t>gf3000102802</t>
        </is>
      </c>
      <c r="D1396" s="1" t="inlineStr">
        <is>
          <t>MAJESTY 8.5" CQ31 Caddie Bag (Grey)</t>
        </is>
      </c>
      <c r="E1396" s="1" t="inlineStr">
        <is>
          <t>MAJESTY</t>
        </is>
      </c>
      <c r="F1396" s="1" t="inlineStr">
        <is>
          <t>CADDIE/CART BAG</t>
        </is>
      </c>
      <c r="G1396" s="1" t="inlineStr">
        <is>
          <t>GF3000102802</t>
        </is>
      </c>
      <c r="H1396" s="1" t="n">
        <v>1</v>
      </c>
      <c r="I1396" s="1" t="inlineStr">
        <is>
          <t>หมด</t>
        </is>
      </c>
      <c r="J1396" s="13" t="n">
        <v>495</v>
      </c>
      <c r="K1396" s="1" t="inlineStr"/>
      <c r="L1396" s="13" t="n">
        <v>495</v>
      </c>
      <c r="M1396" s="1">
        <f>IF(L1396="","ไม่พบใน SG",IF(ABS(J1396-L1396)&lt;0.005,"ตรงกัน","ไม่ตรง"))</f>
        <v/>
      </c>
      <c r="N1396" s="14">
        <f>IF(L1396="","",ROUND(L1396*'สรุป'!$C$6,-1))</f>
        <v/>
      </c>
      <c r="O1396" s="15" t="n"/>
      <c r="P1396" s="15" t="n"/>
      <c r="Q1396" s="10" t="n"/>
      <c r="R1396" s="10" t="n"/>
      <c r="S1396" s="16" t="inlineStr">
        <is>
          <t>https://mstgolf.co.th/products/gf3000102802</t>
        </is>
      </c>
      <c r="T1396" s="1">
        <f>IF(B1396="ไม้กอล์ฟ",J1396,"")</f>
        <v/>
      </c>
    </row>
    <row r="1397">
      <c r="A1397" s="1" t="n">
        <v>2</v>
      </c>
      <c r="B1397" s="1" t="inlineStr">
        <is>
          <t>ถุงกอล์ฟ</t>
        </is>
      </c>
      <c r="C1397" s="1" t="inlineStr">
        <is>
          <t>gf3000201287</t>
        </is>
      </c>
      <c r="D1397" s="1" t="inlineStr">
        <is>
          <t>GFORE Daytona Plus Carry Stand Bag (Blush)</t>
        </is>
      </c>
      <c r="E1397" s="1" t="inlineStr">
        <is>
          <t>GFORE</t>
        </is>
      </c>
      <c r="F1397" s="1" t="inlineStr">
        <is>
          <t>STAND BAG</t>
        </is>
      </c>
      <c r="G1397" s="1" t="inlineStr">
        <is>
          <t>GF3000201287</t>
        </is>
      </c>
      <c r="H1397" s="1" t="n">
        <v>1</v>
      </c>
      <c r="I1397" s="1" t="inlineStr">
        <is>
          <t>หมด</t>
        </is>
      </c>
      <c r="J1397" s="13" t="n">
        <v>459</v>
      </c>
      <c r="K1397" s="1" t="inlineStr"/>
      <c r="L1397" s="13" t="n">
        <v>459</v>
      </c>
      <c r="M1397" s="1">
        <f>IF(L1397="","ไม่พบใน SG",IF(ABS(J1397-L1397)&lt;0.005,"ตรงกัน","ไม่ตรง"))</f>
        <v/>
      </c>
      <c r="N1397" s="14">
        <f>IF(L1397="","",ROUND(L1397*'สรุป'!$C$6,-1))</f>
        <v/>
      </c>
      <c r="O1397" s="15" t="n"/>
      <c r="P1397" s="15" t="n"/>
      <c r="Q1397" s="10" t="n"/>
      <c r="R1397" s="10" t="n"/>
      <c r="S1397" s="16" t="inlineStr">
        <is>
          <t>https://mstgolf.co.th/products/gf3000201287</t>
        </is>
      </c>
      <c r="T1397" s="1">
        <f>IF(B1397="ไม้กอล์ฟ",J1397,"")</f>
        <v/>
      </c>
    </row>
    <row r="1398">
      <c r="A1398" s="1" t="n">
        <v>2</v>
      </c>
      <c r="B1398" s="1" t="inlineStr">
        <is>
          <t>ถุงกอล์ฟ</t>
        </is>
      </c>
      <c r="C1398" s="1" t="inlineStr">
        <is>
          <t>gf3000201569</t>
        </is>
      </c>
      <c r="D1398" s="1" t="inlineStr">
        <is>
          <t>TITLEIST Hybrid 14 StaDry Stand Bag (Black/Black/Red)</t>
        </is>
      </c>
      <c r="E1398" s="1" t="inlineStr">
        <is>
          <t>TITLEIST</t>
        </is>
      </c>
      <c r="F1398" s="1" t="inlineStr">
        <is>
          <t>STAND BAG</t>
        </is>
      </c>
      <c r="G1398" s="1" t="inlineStr">
        <is>
          <t>GF3000201569</t>
        </is>
      </c>
      <c r="H1398" s="1" t="n">
        <v>1</v>
      </c>
      <c r="I1398" s="1" t="inlineStr">
        <is>
          <t>หมด</t>
        </is>
      </c>
      <c r="J1398" s="13" t="n">
        <v>445</v>
      </c>
      <c r="K1398" s="1" t="inlineStr"/>
      <c r="L1398" s="13" t="n"/>
      <c r="M1398" s="1">
        <f>IF(L1398="","ไม่พบใน SG",IF(ABS(J1398-L1398)&lt;0.005,"ตรงกัน","ไม่ตรง"))</f>
        <v/>
      </c>
      <c r="N1398" s="14">
        <f>IF(L1398="","",ROUND(L1398*'สรุป'!$C$6,-1))</f>
        <v/>
      </c>
      <c r="O1398" s="15" t="n"/>
      <c r="P1398" s="15" t="n"/>
      <c r="Q1398" s="10" t="n"/>
      <c r="R1398" s="10" t="n"/>
      <c r="S1398" s="16" t="inlineStr">
        <is>
          <t>https://mstgolf.co.th/products/gf3000201569</t>
        </is>
      </c>
      <c r="T1398" s="1">
        <f>IF(B1398="ไม้กอล์ฟ",J1398,"")</f>
        <v/>
      </c>
    </row>
    <row r="1399">
      <c r="A1399" s="1" t="n">
        <v>2</v>
      </c>
      <c r="B1399" s="1" t="inlineStr">
        <is>
          <t>ถุงกอล์ฟ</t>
        </is>
      </c>
      <c r="C1399" s="1" t="inlineStr">
        <is>
          <t>gf3000201300</t>
        </is>
      </c>
      <c r="D1399" s="1" t="inlineStr">
        <is>
          <t>TAYLORMADE Tour (2024) Stand Bag (Silver/Navy)</t>
        </is>
      </c>
      <c r="E1399" s="1" t="inlineStr">
        <is>
          <t>TAYLORMADE</t>
        </is>
      </c>
      <c r="F1399" s="1" t="inlineStr">
        <is>
          <t>STAND BAG</t>
        </is>
      </c>
      <c r="G1399" s="1" t="inlineStr">
        <is>
          <t>GF3000201300</t>
        </is>
      </c>
      <c r="H1399" s="1" t="n">
        <v>1</v>
      </c>
      <c r="I1399" s="1" t="inlineStr">
        <is>
          <t>หมด</t>
        </is>
      </c>
      <c r="J1399" s="13" t="n">
        <v>439</v>
      </c>
      <c r="K1399" s="1" t="inlineStr"/>
      <c r="L1399" s="13" t="n">
        <v>439</v>
      </c>
      <c r="M1399" s="1">
        <f>IF(L1399="","ไม่พบใน SG",IF(ABS(J1399-L1399)&lt;0.005,"ตรงกัน","ไม่ตรง"))</f>
        <v/>
      </c>
      <c r="N1399" s="14">
        <f>IF(L1399="","",ROUND(L1399*'สรุป'!$C$6,-1))</f>
        <v/>
      </c>
      <c r="O1399" s="15" t="n"/>
      <c r="P1399" s="15" t="n"/>
      <c r="Q1399" s="10" t="n"/>
      <c r="R1399" s="10" t="n"/>
      <c r="S1399" s="16" t="inlineStr">
        <is>
          <t>https://mstgolf.co.th/products/gf3000201300</t>
        </is>
      </c>
      <c r="T1399" s="1">
        <f>IF(B1399="ไม้กอล์ฟ",J1399,"")</f>
        <v/>
      </c>
    </row>
    <row r="1400">
      <c r="A1400" s="1" t="n">
        <v>2</v>
      </c>
      <c r="B1400" s="1" t="inlineStr">
        <is>
          <t>ถุงกอล์ฟ</t>
        </is>
      </c>
      <c r="C1400" s="1" t="inlineStr">
        <is>
          <t>gf3000102860</t>
        </is>
      </c>
      <c r="D1400" s="1" t="inlineStr">
        <is>
          <t>TAYLORMADE TaylorMade x United Arrows Stand Bag (Blue)</t>
        </is>
      </c>
      <c r="E1400" s="1" t="inlineStr">
        <is>
          <t>TAYLORMADE</t>
        </is>
      </c>
      <c r="F1400" s="1" t="inlineStr">
        <is>
          <t>CADDIE/CART BAG</t>
        </is>
      </c>
      <c r="G1400" s="1" t="inlineStr">
        <is>
          <t>GF3000102860</t>
        </is>
      </c>
      <c r="H1400" s="1" t="n">
        <v>1</v>
      </c>
      <c r="I1400" s="1" t="inlineStr">
        <is>
          <t>หมด</t>
        </is>
      </c>
      <c r="J1400" s="13" t="n">
        <v>435</v>
      </c>
      <c r="K1400" s="1" t="inlineStr"/>
      <c r="L1400" s="13" t="n">
        <v>435</v>
      </c>
      <c r="M1400" s="1">
        <f>IF(L1400="","ไม่พบใน SG",IF(ABS(J1400-L1400)&lt;0.005,"ตรงกัน","ไม่ตรง"))</f>
        <v/>
      </c>
      <c r="N1400" s="14">
        <f>IF(L1400="","",ROUND(L1400*'สรุป'!$C$6,-1))</f>
        <v/>
      </c>
      <c r="O1400" s="15" t="n"/>
      <c r="P1400" s="15" t="n"/>
      <c r="Q1400" s="10" t="n"/>
      <c r="R1400" s="10" t="n"/>
      <c r="S1400" s="16" t="inlineStr">
        <is>
          <t>https://mstgolf.co.th/products/gf3000102860</t>
        </is>
      </c>
      <c r="T1400" s="1">
        <f>IF(B1400="ไม้กอล์ฟ",J1400,"")</f>
        <v/>
      </c>
    </row>
    <row r="1401">
      <c r="A1401" s="1" t="n">
        <v>2</v>
      </c>
      <c r="B1401" s="1" t="inlineStr">
        <is>
          <t>ถุงกอล์ฟ</t>
        </is>
      </c>
      <c r="C1401" s="1" t="inlineStr">
        <is>
          <t>gf3010101178</t>
        </is>
      </c>
      <c r="D1401" s="1" t="inlineStr">
        <is>
          <t>GIII GV0419 Boston Bag (Black)</t>
        </is>
      </c>
      <c r="E1401" s="1" t="inlineStr">
        <is>
          <t>GIII</t>
        </is>
      </c>
      <c r="F1401" s="1" t="inlineStr">
        <is>
          <t>BOSTON/DUFFLE BAG</t>
        </is>
      </c>
      <c r="G1401" s="1" t="inlineStr">
        <is>
          <t>GF3010101178</t>
        </is>
      </c>
      <c r="H1401" s="1" t="n">
        <v>1</v>
      </c>
      <c r="I1401" s="1" t="inlineStr">
        <is>
          <t>หมด</t>
        </is>
      </c>
      <c r="J1401" s="13" t="n">
        <v>415</v>
      </c>
      <c r="K1401" s="1" t="inlineStr"/>
      <c r="L1401" s="13" t="n">
        <v>415</v>
      </c>
      <c r="M1401" s="1">
        <f>IF(L1401="","ไม่พบใน SG",IF(ABS(J1401-L1401)&lt;0.005,"ตรงกัน","ไม่ตรง"))</f>
        <v/>
      </c>
      <c r="N1401" s="14">
        <f>IF(L1401="","",ROUND(L1401*'สรุป'!$C$6,-1))</f>
        <v/>
      </c>
      <c r="O1401" s="15" t="n"/>
      <c r="P1401" s="15" t="n"/>
      <c r="Q1401" s="10" t="n"/>
      <c r="R1401" s="10" t="n"/>
      <c r="S1401" s="16" t="inlineStr">
        <is>
          <t>https://mstgolf.co.th/products/gf3010101178</t>
        </is>
      </c>
      <c r="T1401" s="1">
        <f>IF(B1401="ไม้กอล์ฟ",J1401,"")</f>
        <v/>
      </c>
    </row>
    <row r="1402">
      <c r="A1402" s="1" t="n">
        <v>2</v>
      </c>
      <c r="B1402" s="1" t="inlineStr">
        <is>
          <t>ถุงกอล์ฟ</t>
        </is>
      </c>
      <c r="C1402" s="1" t="inlineStr">
        <is>
          <t>gf3000103140</t>
        </is>
      </c>
      <c r="D1402" s="1" t="inlineStr">
        <is>
          <t>PING Pioneer 244 Cart Bag (Black/Multi)</t>
        </is>
      </c>
      <c r="E1402" s="1" t="inlineStr">
        <is>
          <t>PING</t>
        </is>
      </c>
      <c r="F1402" s="1" t="inlineStr">
        <is>
          <t>CADDIE/CART BAG</t>
        </is>
      </c>
      <c r="G1402" s="1" t="inlineStr">
        <is>
          <t>GF3000103140</t>
        </is>
      </c>
      <c r="H1402" s="1" t="n">
        <v>1</v>
      </c>
      <c r="I1402" s="1" t="inlineStr">
        <is>
          <t>หมด</t>
        </is>
      </c>
      <c r="J1402" s="13" t="n">
        <v>413</v>
      </c>
      <c r="K1402" s="1" t="inlineStr"/>
      <c r="L1402" s="13" t="n"/>
      <c r="M1402" s="1">
        <f>IF(L1402="","ไม่พบใน SG",IF(ABS(J1402-L1402)&lt;0.005,"ตรงกัน","ไม่ตรง"))</f>
        <v/>
      </c>
      <c r="N1402" s="14">
        <f>IF(L1402="","",ROUND(L1402*'สรุป'!$C$6,-1))</f>
        <v/>
      </c>
      <c r="O1402" s="15" t="n"/>
      <c r="P1402" s="15" t="n"/>
      <c r="Q1402" s="10" t="n"/>
      <c r="R1402" s="10" t="n"/>
      <c r="S1402" s="16" t="inlineStr">
        <is>
          <t>https://mstgolf.co.th/products/gf3000103140</t>
        </is>
      </c>
      <c r="T1402" s="1">
        <f>IF(B1402="ไม้กอล์ฟ",J1402,"")</f>
        <v/>
      </c>
    </row>
    <row r="1403">
      <c r="A1403" s="1" t="n">
        <v>2</v>
      </c>
      <c r="B1403" s="1" t="inlineStr">
        <is>
          <t>ถุงกอล์ฟ</t>
        </is>
      </c>
      <c r="C1403" s="1" t="inlineStr">
        <is>
          <t>gf3000102610</t>
        </is>
      </c>
      <c r="D1403" s="1" t="inlineStr">
        <is>
          <t>PUMA 9" Caddie Bag (Black)</t>
        </is>
      </c>
      <c r="E1403" s="1" t="inlineStr">
        <is>
          <t>PUMA</t>
        </is>
      </c>
      <c r="F1403" s="1" t="inlineStr">
        <is>
          <t>CADDIE/CART BAG</t>
        </is>
      </c>
      <c r="G1403" s="1" t="inlineStr">
        <is>
          <t>GF3000102610</t>
        </is>
      </c>
      <c r="H1403" s="1" t="n">
        <v>1</v>
      </c>
      <c r="I1403" s="1" t="inlineStr">
        <is>
          <t>หมด</t>
        </is>
      </c>
      <c r="J1403" s="13" t="n">
        <v>409</v>
      </c>
      <c r="K1403" s="1" t="inlineStr"/>
      <c r="L1403" s="13" t="n">
        <v>245</v>
      </c>
      <c r="M1403" s="1">
        <f>IF(L1403="","ไม่พบใน SG",IF(ABS(J1403-L1403)&lt;0.005,"ตรงกัน","ไม่ตรง"))</f>
        <v/>
      </c>
      <c r="N1403" s="14">
        <f>IF(L1403="","",ROUND(L1403*'สรุป'!$C$6,-1))</f>
        <v/>
      </c>
      <c r="O1403" s="15" t="n"/>
      <c r="P1403" s="15" t="n"/>
      <c r="Q1403" s="10" t="n"/>
      <c r="R1403" s="10" t="n"/>
      <c r="S1403" s="16" t="inlineStr">
        <is>
          <t>https://mstgolf.co.th/products/gf3000102610</t>
        </is>
      </c>
      <c r="T1403" s="1">
        <f>IF(B1403="ไม้กอล์ฟ",J1403,"")</f>
        <v/>
      </c>
    </row>
    <row r="1404">
      <c r="A1404" s="1" t="n">
        <v>2</v>
      </c>
      <c r="B1404" s="1" t="inlineStr">
        <is>
          <t>ถุงกอล์ฟ</t>
        </is>
      </c>
      <c r="C1404" s="1" t="inlineStr">
        <is>
          <t>gf3000102611</t>
        </is>
      </c>
      <c r="D1404" s="1" t="inlineStr">
        <is>
          <t>PUMA 9" Caddie Bag (Black/Red)</t>
        </is>
      </c>
      <c r="E1404" s="1" t="inlineStr">
        <is>
          <t>PUMA</t>
        </is>
      </c>
      <c r="F1404" s="1" t="inlineStr">
        <is>
          <t>CADDIE/CART BAG</t>
        </is>
      </c>
      <c r="G1404" s="1" t="inlineStr">
        <is>
          <t>GF3000102611</t>
        </is>
      </c>
      <c r="H1404" s="1" t="n">
        <v>1</v>
      </c>
      <c r="I1404" s="1" t="inlineStr">
        <is>
          <t>หมด</t>
        </is>
      </c>
      <c r="J1404" s="13" t="n">
        <v>409</v>
      </c>
      <c r="K1404" s="1" t="inlineStr"/>
      <c r="L1404" s="13" t="n">
        <v>245</v>
      </c>
      <c r="M1404" s="1">
        <f>IF(L1404="","ไม่พบใน SG",IF(ABS(J1404-L1404)&lt;0.005,"ตรงกัน","ไม่ตรง"))</f>
        <v/>
      </c>
      <c r="N1404" s="14">
        <f>IF(L1404="","",ROUND(L1404*'สรุป'!$C$6,-1))</f>
        <v/>
      </c>
      <c r="O1404" s="15" t="n"/>
      <c r="P1404" s="15" t="n"/>
      <c r="Q1404" s="10" t="n"/>
      <c r="R1404" s="10" t="n"/>
      <c r="S1404" s="16" t="inlineStr">
        <is>
          <t>https://mstgolf.co.th/products/gf3000102611</t>
        </is>
      </c>
      <c r="T1404" s="1">
        <f>IF(B1404="ไม้กอล์ฟ",J1404,"")</f>
        <v/>
      </c>
    </row>
    <row r="1405">
      <c r="A1405" s="1" t="n">
        <v>2</v>
      </c>
      <c r="B1405" s="1" t="inlineStr">
        <is>
          <t>ถุงกอล์ฟ</t>
        </is>
      </c>
      <c r="C1405" s="1" t="inlineStr">
        <is>
          <t>gf3000201510</t>
        </is>
      </c>
      <c r="D1405" s="1" t="inlineStr">
        <is>
          <t>SUN MOUNTAIN 8.5" Matchplay 14-Way Stand Bag (Green)</t>
        </is>
      </c>
      <c r="E1405" s="1" t="inlineStr">
        <is>
          <t>SUN MOUNTAIN</t>
        </is>
      </c>
      <c r="F1405" s="1" t="inlineStr">
        <is>
          <t>STAND BAG</t>
        </is>
      </c>
      <c r="G1405" s="1" t="inlineStr">
        <is>
          <t>GF3000201510</t>
        </is>
      </c>
      <c r="H1405" s="1" t="n">
        <v>1</v>
      </c>
      <c r="I1405" s="1" t="inlineStr">
        <is>
          <t>หมด</t>
        </is>
      </c>
      <c r="J1405" s="13" t="n">
        <v>399</v>
      </c>
      <c r="K1405" s="1" t="inlineStr"/>
      <c r="L1405" s="13" t="n">
        <v>399</v>
      </c>
      <c r="M1405" s="1">
        <f>IF(L1405="","ไม่พบใน SG",IF(ABS(J1405-L1405)&lt;0.005,"ตรงกัน","ไม่ตรง"))</f>
        <v/>
      </c>
      <c r="N1405" s="14">
        <f>IF(L1405="","",ROUND(L1405*'สรุป'!$C$6,-1))</f>
        <v/>
      </c>
      <c r="O1405" s="15" t="n"/>
      <c r="P1405" s="15" t="n"/>
      <c r="Q1405" s="10" t="n"/>
      <c r="R1405" s="10" t="n"/>
      <c r="S1405" s="16" t="inlineStr">
        <is>
          <t>https://mstgolf.co.th/products/gf3000201510</t>
        </is>
      </c>
      <c r="T1405" s="1">
        <f>IF(B1405="ไม้กอล์ฟ",J1405,"")</f>
        <v/>
      </c>
    </row>
    <row r="1406">
      <c r="A1406" s="1" t="n">
        <v>2</v>
      </c>
      <c r="B1406" s="1" t="inlineStr">
        <is>
          <t>ถุงกอล์ฟ</t>
        </is>
      </c>
      <c r="C1406" s="1" t="inlineStr">
        <is>
          <t>gf3000201508</t>
        </is>
      </c>
      <c r="D1406" s="1" t="inlineStr">
        <is>
          <t>SUN MOUNTAIN 8.5" Matchplay 14-Way Stand Bag (Navy)</t>
        </is>
      </c>
      <c r="E1406" s="1" t="inlineStr">
        <is>
          <t>SUN MOUNTAIN</t>
        </is>
      </c>
      <c r="F1406" s="1" t="inlineStr">
        <is>
          <t>STAND BAG</t>
        </is>
      </c>
      <c r="G1406" s="1" t="inlineStr">
        <is>
          <t>GF3000201508</t>
        </is>
      </c>
      <c r="H1406" s="1" t="n">
        <v>1</v>
      </c>
      <c r="I1406" s="1" t="inlineStr">
        <is>
          <t>หมด</t>
        </is>
      </c>
      <c r="J1406" s="13" t="n">
        <v>399</v>
      </c>
      <c r="K1406" s="1" t="inlineStr"/>
      <c r="L1406" s="13" t="n">
        <v>399</v>
      </c>
      <c r="M1406" s="1">
        <f>IF(L1406="","ไม่พบใน SG",IF(ABS(J1406-L1406)&lt;0.005,"ตรงกัน","ไม่ตรง"))</f>
        <v/>
      </c>
      <c r="N1406" s="14">
        <f>IF(L1406="","",ROUND(L1406*'สรุป'!$C$6,-1))</f>
        <v/>
      </c>
      <c r="O1406" s="15" t="n"/>
      <c r="P1406" s="15" t="n"/>
      <c r="Q1406" s="10" t="n"/>
      <c r="R1406" s="10" t="n"/>
      <c r="S1406" s="16" t="inlineStr">
        <is>
          <t>https://mstgolf.co.th/products/gf3000201508</t>
        </is>
      </c>
      <c r="T1406" s="1">
        <f>IF(B1406="ไม้กอล์ฟ",J1406,"")</f>
        <v/>
      </c>
    </row>
    <row r="1407">
      <c r="A1407" s="1" t="n">
        <v>2</v>
      </c>
      <c r="B1407" s="1" t="inlineStr">
        <is>
          <t>ถุงกอล์ฟ</t>
        </is>
      </c>
      <c r="C1407" s="1" t="inlineStr">
        <is>
          <t>gf3000102705</t>
        </is>
      </c>
      <c r="D1407" s="1" t="inlineStr">
        <is>
          <t>TAYLORMADE 9.5" Premium Modern Cart Bag (White)</t>
        </is>
      </c>
      <c r="E1407" s="1" t="inlineStr">
        <is>
          <t>TAYLORMADE</t>
        </is>
      </c>
      <c r="F1407" s="1" t="inlineStr">
        <is>
          <t>CADDIE/CART BAG</t>
        </is>
      </c>
      <c r="G1407" s="1" t="inlineStr">
        <is>
          <t>GF3000102705</t>
        </is>
      </c>
      <c r="H1407" s="1" t="n">
        <v>1</v>
      </c>
      <c r="I1407" s="1" t="inlineStr">
        <is>
          <t>หมด</t>
        </is>
      </c>
      <c r="J1407" s="13" t="n">
        <v>399</v>
      </c>
      <c r="K1407" s="1" t="inlineStr"/>
      <c r="L1407" s="13" t="n">
        <v>399</v>
      </c>
      <c r="M1407" s="1">
        <f>IF(L1407="","ไม่พบใน SG",IF(ABS(J1407-L1407)&lt;0.005,"ตรงกัน","ไม่ตรง"))</f>
        <v/>
      </c>
      <c r="N1407" s="14">
        <f>IF(L1407="","",ROUND(L1407*'สรุป'!$C$6,-1))</f>
        <v/>
      </c>
      <c r="O1407" s="15" t="n"/>
      <c r="P1407" s="15" t="n"/>
      <c r="Q1407" s="10" t="n"/>
      <c r="R1407" s="10" t="n"/>
      <c r="S1407" s="16" t="inlineStr">
        <is>
          <t>https://mstgolf.co.th/products/gf3000102705</t>
        </is>
      </c>
      <c r="T1407" s="1">
        <f>IF(B1407="ไม้กอล์ฟ",J1407,"")</f>
        <v/>
      </c>
    </row>
    <row r="1408">
      <c r="A1408" s="1" t="n">
        <v>2</v>
      </c>
      <c r="B1408" s="1" t="inlineStr">
        <is>
          <t>ถุงกอล์ฟ</t>
        </is>
      </c>
      <c r="C1408" s="1" t="inlineStr">
        <is>
          <t>gf3000103161</t>
        </is>
      </c>
      <c r="D1408" s="1" t="inlineStr">
        <is>
          <t>TAYLORMADE A-Collection Cart Bag (Beige)</t>
        </is>
      </c>
      <c r="E1408" s="1" t="inlineStr">
        <is>
          <t>TAYLORMADE</t>
        </is>
      </c>
      <c r="F1408" s="1" t="inlineStr">
        <is>
          <t>CADDIE/CART BAG</t>
        </is>
      </c>
      <c r="G1408" s="1" t="inlineStr">
        <is>
          <t>GF3000103161</t>
        </is>
      </c>
      <c r="H1408" s="1" t="n">
        <v>1</v>
      </c>
      <c r="I1408" s="1" t="inlineStr">
        <is>
          <t>หมด</t>
        </is>
      </c>
      <c r="J1408" s="13" t="n">
        <v>399</v>
      </c>
      <c r="K1408" s="1" t="inlineStr"/>
      <c r="L1408" s="13" t="n">
        <v>399</v>
      </c>
      <c r="M1408" s="1">
        <f>IF(L1408="","ไม่พบใน SG",IF(ABS(J1408-L1408)&lt;0.005,"ตรงกัน","ไม่ตรง"))</f>
        <v/>
      </c>
      <c r="N1408" s="14">
        <f>IF(L1408="","",ROUND(L1408*'สรุป'!$C$6,-1))</f>
        <v/>
      </c>
      <c r="O1408" s="15" t="n"/>
      <c r="P1408" s="15" t="n"/>
      <c r="Q1408" s="10" t="n"/>
      <c r="R1408" s="10" t="n"/>
      <c r="S1408" s="16" t="inlineStr">
        <is>
          <t>https://mstgolf.co.th/products/gf3000103161</t>
        </is>
      </c>
      <c r="T1408" s="1">
        <f>IF(B1408="ไม้กอล์ฟ",J1408,"")</f>
        <v/>
      </c>
    </row>
    <row r="1409">
      <c r="A1409" s="1" t="n">
        <v>2</v>
      </c>
      <c r="B1409" s="1" t="inlineStr">
        <is>
          <t>ถุงกอล์ฟ</t>
        </is>
      </c>
      <c r="C1409" s="1" t="inlineStr">
        <is>
          <t>gf3000201553</t>
        </is>
      </c>
      <c r="D1409" s="1" t="inlineStr">
        <is>
          <t>PING Hoofer 14 Stand Bag (Black/Blue)</t>
        </is>
      </c>
      <c r="E1409" s="1" t="inlineStr">
        <is>
          <t>PING</t>
        </is>
      </c>
      <c r="F1409" s="1" t="inlineStr">
        <is>
          <t>STAND BAG</t>
        </is>
      </c>
      <c r="G1409" s="1" t="inlineStr">
        <is>
          <t>GF3000201553</t>
        </is>
      </c>
      <c r="H1409" s="1" t="n">
        <v>1</v>
      </c>
      <c r="I1409" s="1" t="inlineStr">
        <is>
          <t>หมด</t>
        </is>
      </c>
      <c r="J1409" s="13" t="n">
        <v>395</v>
      </c>
      <c r="K1409" s="1" t="inlineStr"/>
      <c r="L1409" s="13" t="n">
        <v>395</v>
      </c>
      <c r="M1409" s="1">
        <f>IF(L1409="","ไม่พบใน SG",IF(ABS(J1409-L1409)&lt;0.005,"ตรงกัน","ไม่ตรง"))</f>
        <v/>
      </c>
      <c r="N1409" s="14">
        <f>IF(L1409="","",ROUND(L1409*'สรุป'!$C$6,-1))</f>
        <v/>
      </c>
      <c r="O1409" s="15" t="n"/>
      <c r="P1409" s="15" t="n"/>
      <c r="Q1409" s="10" t="n"/>
      <c r="R1409" s="10" t="n"/>
      <c r="S1409" s="16" t="inlineStr">
        <is>
          <t>https://mstgolf.co.th/products/gf3000201553</t>
        </is>
      </c>
      <c r="T1409" s="1">
        <f>IF(B1409="ไม้กอล์ฟ",J1409,"")</f>
        <v/>
      </c>
    </row>
    <row r="1410">
      <c r="A1410" s="1" t="n">
        <v>2</v>
      </c>
      <c r="B1410" s="1" t="inlineStr">
        <is>
          <t>ถุงกอล์ฟ</t>
        </is>
      </c>
      <c r="C1410" s="1" t="inlineStr">
        <is>
          <t>gf3000102429</t>
        </is>
      </c>
      <c r="D1410" s="1" t="inlineStr">
        <is>
          <t>YAMAHA Y22CBM 9" Caddie Bag (Black/Yellow)</t>
        </is>
      </c>
      <c r="E1410" s="1" t="inlineStr">
        <is>
          <t>YAMAHA</t>
        </is>
      </c>
      <c r="F1410" s="1" t="inlineStr">
        <is>
          <t>CADDIE/CART BAG</t>
        </is>
      </c>
      <c r="G1410" s="1" t="inlineStr">
        <is>
          <t>GF3000102429</t>
        </is>
      </c>
      <c r="H1410" s="1" t="n">
        <v>1</v>
      </c>
      <c r="I1410" s="1" t="inlineStr">
        <is>
          <t>หมด</t>
        </is>
      </c>
      <c r="J1410" s="13" t="n">
        <v>389</v>
      </c>
      <c r="K1410" s="1" t="inlineStr"/>
      <c r="L1410" s="13" t="n"/>
      <c r="M1410" s="1">
        <f>IF(L1410="","ไม่พบใน SG",IF(ABS(J1410-L1410)&lt;0.005,"ตรงกัน","ไม่ตรง"))</f>
        <v/>
      </c>
      <c r="N1410" s="14">
        <f>IF(L1410="","",ROUND(L1410*'สรุป'!$C$6,-1))</f>
        <v/>
      </c>
      <c r="O1410" s="15" t="n"/>
      <c r="P1410" s="15" t="n"/>
      <c r="Q1410" s="10" t="n"/>
      <c r="R1410" s="10" t="n"/>
      <c r="S1410" s="16" t="inlineStr">
        <is>
          <t>https://mstgolf.co.th/products/gf3000102429</t>
        </is>
      </c>
      <c r="T1410" s="1">
        <f>IF(B1410="ไม้กอล์ฟ",J1410,"")</f>
        <v/>
      </c>
    </row>
    <row r="1411">
      <c r="A1411" s="1" t="n">
        <v>2</v>
      </c>
      <c r="B1411" s="1" t="inlineStr">
        <is>
          <t>ถุงกอล์ฟ</t>
        </is>
      </c>
      <c r="C1411" s="1" t="inlineStr">
        <is>
          <t>gf3000102431</t>
        </is>
      </c>
      <c r="D1411" s="1" t="inlineStr">
        <is>
          <t>YAMAHA Y22CBM 9" Caddie Bag (White/Navy)</t>
        </is>
      </c>
      <c r="E1411" s="1" t="inlineStr">
        <is>
          <t>YAMAHA</t>
        </is>
      </c>
      <c r="F1411" s="1" t="inlineStr">
        <is>
          <t>CADDIE/CART BAG</t>
        </is>
      </c>
      <c r="G1411" s="1" t="inlineStr">
        <is>
          <t>GF3000102431</t>
        </is>
      </c>
      <c r="H1411" s="1" t="n">
        <v>1</v>
      </c>
      <c r="I1411" s="1" t="inlineStr">
        <is>
          <t>หมด</t>
        </is>
      </c>
      <c r="J1411" s="13" t="n">
        <v>389</v>
      </c>
      <c r="K1411" s="1" t="inlineStr"/>
      <c r="L1411" s="13" t="n"/>
      <c r="M1411" s="1">
        <f>IF(L1411="","ไม่พบใน SG",IF(ABS(J1411-L1411)&lt;0.005,"ตรงกัน","ไม่ตรง"))</f>
        <v/>
      </c>
      <c r="N1411" s="14">
        <f>IF(L1411="","",ROUND(L1411*'สรุป'!$C$6,-1))</f>
        <v/>
      </c>
      <c r="O1411" s="15" t="n"/>
      <c r="P1411" s="15" t="n"/>
      <c r="Q1411" s="10" t="n"/>
      <c r="R1411" s="10" t="n"/>
      <c r="S1411" s="16" t="inlineStr">
        <is>
          <t>https://mstgolf.co.th/products/gf3000102431</t>
        </is>
      </c>
      <c r="T1411" s="1">
        <f>IF(B1411="ไม้กอล์ฟ",J1411,"")</f>
        <v/>
      </c>
    </row>
    <row r="1412">
      <c r="A1412" s="1" t="n">
        <v>2</v>
      </c>
      <c r="B1412" s="1" t="inlineStr">
        <is>
          <t>ถุงกอล์ฟ</t>
        </is>
      </c>
      <c r="C1412" s="1" t="inlineStr">
        <is>
          <t>gf3000103162</t>
        </is>
      </c>
      <c r="D1412" s="1" t="inlineStr">
        <is>
          <t>TAYLORMADE Icon Graphic Cart Bag (Acid Green)</t>
        </is>
      </c>
      <c r="E1412" s="1" t="inlineStr">
        <is>
          <t>TAYLORMADE</t>
        </is>
      </c>
      <c r="F1412" s="1" t="inlineStr">
        <is>
          <t>CADDIE/CART BAG</t>
        </is>
      </c>
      <c r="G1412" s="1" t="inlineStr">
        <is>
          <t>GF3000103162</t>
        </is>
      </c>
      <c r="H1412" s="1" t="n">
        <v>1</v>
      </c>
      <c r="I1412" s="1" t="inlineStr">
        <is>
          <t>หมด</t>
        </is>
      </c>
      <c r="J1412" s="13" t="n">
        <v>379</v>
      </c>
      <c r="K1412" s="1" t="inlineStr"/>
      <c r="L1412" s="13" t="n">
        <v>379</v>
      </c>
      <c r="M1412" s="1">
        <f>IF(L1412="","ไม่พบใน SG",IF(ABS(J1412-L1412)&lt;0.005,"ตรงกัน","ไม่ตรง"))</f>
        <v/>
      </c>
      <c r="N1412" s="14">
        <f>IF(L1412="","",ROUND(L1412*'สรุป'!$C$6,-1))</f>
        <v/>
      </c>
      <c r="O1412" s="15" t="n"/>
      <c r="P1412" s="15" t="n"/>
      <c r="Q1412" s="10" t="n"/>
      <c r="R1412" s="10" t="n"/>
      <c r="S1412" s="16" t="inlineStr">
        <is>
          <t>https://mstgolf.co.th/products/gf3000103162</t>
        </is>
      </c>
      <c r="T1412" s="1">
        <f>IF(B1412="ไม้กอล์ฟ",J1412,"")</f>
        <v/>
      </c>
    </row>
    <row r="1413">
      <c r="A1413" s="1" t="n">
        <v>2</v>
      </c>
      <c r="B1413" s="1" t="inlineStr">
        <is>
          <t>ถุงกอล์ฟ</t>
        </is>
      </c>
      <c r="C1413" s="1" t="inlineStr">
        <is>
          <t>gf3000102596</t>
        </is>
      </c>
      <c r="D1413" s="1" t="inlineStr">
        <is>
          <t>YAMAHA 8.5" Women's Caddie Bag (Beige/White)</t>
        </is>
      </c>
      <c r="E1413" s="1" t="inlineStr">
        <is>
          <t>YAMAHA</t>
        </is>
      </c>
      <c r="F1413" s="1" t="inlineStr">
        <is>
          <t>CADDIE/CART BAG</t>
        </is>
      </c>
      <c r="G1413" s="1" t="inlineStr">
        <is>
          <t>GF3000102596</t>
        </is>
      </c>
      <c r="H1413" s="1" t="n">
        <v>1</v>
      </c>
      <c r="I1413" s="1" t="inlineStr">
        <is>
          <t>หมด</t>
        </is>
      </c>
      <c r="J1413" s="13" t="n">
        <v>379</v>
      </c>
      <c r="K1413" s="1" t="inlineStr"/>
      <c r="L1413" s="13" t="n"/>
      <c r="M1413" s="1">
        <f>IF(L1413="","ไม่พบใน SG",IF(ABS(J1413-L1413)&lt;0.005,"ตรงกัน","ไม่ตรง"))</f>
        <v/>
      </c>
      <c r="N1413" s="14">
        <f>IF(L1413="","",ROUND(L1413*'สรุป'!$C$6,-1))</f>
        <v/>
      </c>
      <c r="O1413" s="15" t="n"/>
      <c r="P1413" s="15" t="n"/>
      <c r="Q1413" s="10" t="n"/>
      <c r="R1413" s="10" t="n"/>
      <c r="S1413" s="16" t="inlineStr">
        <is>
          <t>https://mstgolf.co.th/products/gf3000102596</t>
        </is>
      </c>
      <c r="T1413" s="1">
        <f>IF(B1413="ไม้กอล์ฟ",J1413,"")</f>
        <v/>
      </c>
    </row>
    <row r="1414">
      <c r="A1414" s="1" t="n">
        <v>2</v>
      </c>
      <c r="B1414" s="1" t="inlineStr">
        <is>
          <t>ถุงกอล์ฟ</t>
        </is>
      </c>
      <c r="C1414" s="1" t="inlineStr">
        <is>
          <t>gf3000102250</t>
        </is>
      </c>
      <c r="D1414" s="1" t="inlineStr">
        <is>
          <t>ONOFF OB0922 9" Caddie Bag (Tri)</t>
        </is>
      </c>
      <c r="E1414" s="1" t="inlineStr">
        <is>
          <t>ONOFF</t>
        </is>
      </c>
      <c r="F1414" s="1" t="inlineStr">
        <is>
          <t>CADDIE/CART BAG</t>
        </is>
      </c>
      <c r="G1414" s="1" t="inlineStr">
        <is>
          <t>GF3000102250</t>
        </is>
      </c>
      <c r="H1414" s="1" t="n">
        <v>1</v>
      </c>
      <c r="I1414" s="1" t="inlineStr">
        <is>
          <t>หมด</t>
        </is>
      </c>
      <c r="J1414" s="13" t="n">
        <v>369</v>
      </c>
      <c r="K1414" s="1" t="inlineStr"/>
      <c r="L1414" s="13" t="n"/>
      <c r="M1414" s="1">
        <f>IF(L1414="","ไม่พบใน SG",IF(ABS(J1414-L1414)&lt;0.005,"ตรงกัน","ไม่ตรง"))</f>
        <v/>
      </c>
      <c r="N1414" s="14">
        <f>IF(L1414="","",ROUND(L1414*'สรุป'!$C$6,-1))</f>
        <v/>
      </c>
      <c r="O1414" s="15" t="n"/>
      <c r="P1414" s="15" t="n"/>
      <c r="Q1414" s="10" t="n"/>
      <c r="R1414" s="10" t="n"/>
      <c r="S1414" s="16" t="inlineStr">
        <is>
          <t>https://mstgolf.co.th/products/gf3000102250</t>
        </is>
      </c>
      <c r="T1414" s="1">
        <f>IF(B1414="ไม้กอล์ฟ",J1414,"")</f>
        <v/>
      </c>
    </row>
    <row r="1415">
      <c r="A1415" s="1" t="n">
        <v>2</v>
      </c>
      <c r="B1415" s="1" t="inlineStr">
        <is>
          <t>ถุงกอล์ฟ</t>
        </is>
      </c>
      <c r="C1415" s="1" t="inlineStr">
        <is>
          <t>gf3000201165</t>
        </is>
      </c>
      <c r="D1415" s="1" t="inlineStr">
        <is>
          <t>TITLEIST Players 5 StaDry Stand Bag (Grey/Graphite/White)</t>
        </is>
      </c>
      <c r="E1415" s="1" t="inlineStr">
        <is>
          <t>TITLEIST</t>
        </is>
      </c>
      <c r="F1415" s="1" t="inlineStr">
        <is>
          <t>STAND BAG</t>
        </is>
      </c>
      <c r="G1415" s="1" t="inlineStr">
        <is>
          <t>GF3000201165</t>
        </is>
      </c>
      <c r="H1415" s="1" t="n">
        <v>1</v>
      </c>
      <c r="I1415" s="1" t="inlineStr">
        <is>
          <t>หมด</t>
        </is>
      </c>
      <c r="J1415" s="13" t="n">
        <v>369</v>
      </c>
      <c r="K1415" s="1" t="inlineStr"/>
      <c r="L1415" s="13" t="n">
        <v>369</v>
      </c>
      <c r="M1415" s="1">
        <f>IF(L1415="","ไม่พบใน SG",IF(ABS(J1415-L1415)&lt;0.005,"ตรงกัน","ไม่ตรง"))</f>
        <v/>
      </c>
      <c r="N1415" s="14">
        <f>IF(L1415="","",ROUND(L1415*'สรุป'!$C$6,-1))</f>
        <v/>
      </c>
      <c r="O1415" s="15" t="n"/>
      <c r="P1415" s="15" t="n"/>
      <c r="Q1415" s="10" t="n"/>
      <c r="R1415" s="10" t="n"/>
      <c r="S1415" s="16" t="inlineStr">
        <is>
          <t>https://mstgolf.co.th/products/gf3000201165</t>
        </is>
      </c>
      <c r="T1415" s="1">
        <f>IF(B1415="ไม้กอล์ฟ",J1415,"")</f>
        <v/>
      </c>
    </row>
    <row r="1416">
      <c r="A1416" s="1" t="n">
        <v>2</v>
      </c>
      <c r="B1416" s="1" t="inlineStr">
        <is>
          <t>ถุงกอล์ฟ</t>
        </is>
      </c>
      <c r="C1416" s="1" t="inlineStr">
        <is>
          <t>gf3000201070</t>
        </is>
      </c>
      <c r="D1416" s="1" t="inlineStr">
        <is>
          <t>PETER MILLAR Lightweight Stand Bag (Navy)</t>
        </is>
      </c>
      <c r="E1416" s="1" t="inlineStr">
        <is>
          <t>PETER MILLAR</t>
        </is>
      </c>
      <c r="F1416" s="1" t="inlineStr">
        <is>
          <t>STAND BAG</t>
        </is>
      </c>
      <c r="G1416" s="1" t="inlineStr">
        <is>
          <t>GF3000201070</t>
        </is>
      </c>
      <c r="H1416" s="1" t="n">
        <v>1</v>
      </c>
      <c r="I1416" s="1" t="inlineStr">
        <is>
          <t>หมด</t>
        </is>
      </c>
      <c r="J1416" s="13" t="n">
        <v>349</v>
      </c>
      <c r="K1416" s="1" t="inlineStr"/>
      <c r="L1416" s="13" t="n">
        <v>349</v>
      </c>
      <c r="M1416" s="1">
        <f>IF(L1416="","ไม่พบใน SG",IF(ABS(J1416-L1416)&lt;0.005,"ตรงกัน","ไม่ตรง"))</f>
        <v/>
      </c>
      <c r="N1416" s="14">
        <f>IF(L1416="","",ROUND(L1416*'สรุป'!$C$6,-1))</f>
        <v/>
      </c>
      <c r="O1416" s="15" t="n"/>
      <c r="P1416" s="15" t="n"/>
      <c r="Q1416" s="10" t="n"/>
      <c r="R1416" s="10" t="n"/>
      <c r="S1416" s="16" t="inlineStr">
        <is>
          <t>https://mstgolf.co.th/products/gf3000201070</t>
        </is>
      </c>
      <c r="T1416" s="1">
        <f>IF(B1416="ไม้กอล์ฟ",J1416,"")</f>
        <v/>
      </c>
    </row>
    <row r="1417">
      <c r="A1417" s="1" t="n">
        <v>2</v>
      </c>
      <c r="B1417" s="1" t="inlineStr">
        <is>
          <t>ถุงกอล์ฟ</t>
        </is>
      </c>
      <c r="C1417" s="1" t="inlineStr">
        <is>
          <t>gf3000201444</t>
        </is>
      </c>
      <c r="D1417" s="1" t="inlineStr">
        <is>
          <t>TAYLORMADE A-Collection Stand Bag (Beige)</t>
        </is>
      </c>
      <c r="E1417" s="1" t="inlineStr">
        <is>
          <t>TAYLORMADE</t>
        </is>
      </c>
      <c r="F1417" s="1" t="inlineStr">
        <is>
          <t>STAND BAG</t>
        </is>
      </c>
      <c r="G1417" s="1" t="inlineStr">
        <is>
          <t>GF3000201444</t>
        </is>
      </c>
      <c r="H1417" s="1" t="n">
        <v>1</v>
      </c>
      <c r="I1417" s="1" t="inlineStr">
        <is>
          <t>หมด</t>
        </is>
      </c>
      <c r="J1417" s="13" t="n">
        <v>349</v>
      </c>
      <c r="K1417" s="1" t="inlineStr"/>
      <c r="L1417" s="13" t="n">
        <v>349</v>
      </c>
      <c r="M1417" s="1">
        <f>IF(L1417="","ไม่พบใน SG",IF(ABS(J1417-L1417)&lt;0.005,"ตรงกัน","ไม่ตรง"))</f>
        <v/>
      </c>
      <c r="N1417" s="14">
        <f>IF(L1417="","",ROUND(L1417*'สรุป'!$C$6,-1))</f>
        <v/>
      </c>
      <c r="O1417" s="15" t="n"/>
      <c r="P1417" s="15" t="n"/>
      <c r="Q1417" s="10" t="n"/>
      <c r="R1417" s="10" t="n"/>
      <c r="S1417" s="16" t="inlineStr">
        <is>
          <t>https://mstgolf.co.th/products/gf3000201444</t>
        </is>
      </c>
      <c r="T1417" s="1">
        <f>IF(B1417="ไม้กอล์ฟ",J1417,"")</f>
        <v/>
      </c>
    </row>
    <row r="1418">
      <c r="A1418" s="1" t="n">
        <v>2</v>
      </c>
      <c r="B1418" s="1" t="inlineStr">
        <is>
          <t>ถุงกอล์ฟ</t>
        </is>
      </c>
      <c r="C1418" s="1" t="inlineStr">
        <is>
          <t>gf3000201443</t>
        </is>
      </c>
      <c r="D1418" s="1" t="inlineStr">
        <is>
          <t>TAYLORMADE A-Collection Stand Bag (Black)</t>
        </is>
      </c>
      <c r="E1418" s="1" t="inlineStr">
        <is>
          <t>TAYLORMADE</t>
        </is>
      </c>
      <c r="F1418" s="1" t="inlineStr">
        <is>
          <t>STAND BAG</t>
        </is>
      </c>
      <c r="G1418" s="1" t="inlineStr">
        <is>
          <t>GF3000201443</t>
        </is>
      </c>
      <c r="H1418" s="1" t="n">
        <v>1</v>
      </c>
      <c r="I1418" s="1" t="inlineStr">
        <is>
          <t>หมด</t>
        </is>
      </c>
      <c r="J1418" s="13" t="n">
        <v>349</v>
      </c>
      <c r="K1418" s="1" t="inlineStr"/>
      <c r="L1418" s="13" t="n">
        <v>349</v>
      </c>
      <c r="M1418" s="1">
        <f>IF(L1418="","ไม่พบใน SG",IF(ABS(J1418-L1418)&lt;0.005,"ตรงกัน","ไม่ตรง"))</f>
        <v/>
      </c>
      <c r="N1418" s="14">
        <f>IF(L1418="","",ROUND(L1418*'สรุป'!$C$6,-1))</f>
        <v/>
      </c>
      <c r="O1418" s="15" t="n"/>
      <c r="P1418" s="15" t="n"/>
      <c r="Q1418" s="10" t="n"/>
      <c r="R1418" s="10" t="n"/>
      <c r="S1418" s="16" t="inlineStr">
        <is>
          <t>https://mstgolf.co.th/products/gf3000201443</t>
        </is>
      </c>
      <c r="T1418" s="1">
        <f>IF(B1418="ไม้กอล์ฟ",J1418,"")</f>
        <v/>
      </c>
    </row>
    <row r="1419">
      <c r="A1419" s="1" t="n">
        <v>2</v>
      </c>
      <c r="B1419" s="1" t="inlineStr">
        <is>
          <t>ถุงกอล์ฟ</t>
        </is>
      </c>
      <c r="C1419" s="1" t="inlineStr">
        <is>
          <t>gf3000201445</t>
        </is>
      </c>
      <c r="D1419" s="1" t="inlineStr">
        <is>
          <t>TAYLORMADE A-Collection Stand Bag (Grey)</t>
        </is>
      </c>
      <c r="E1419" s="1" t="inlineStr">
        <is>
          <t>TAYLORMADE</t>
        </is>
      </c>
      <c r="F1419" s="1" t="inlineStr">
        <is>
          <t>STAND BAG</t>
        </is>
      </c>
      <c r="G1419" s="1" t="inlineStr">
        <is>
          <t>GF3000201445</t>
        </is>
      </c>
      <c r="H1419" s="1" t="n">
        <v>1</v>
      </c>
      <c r="I1419" s="1" t="inlineStr">
        <is>
          <t>หมด</t>
        </is>
      </c>
      <c r="J1419" s="13" t="n">
        <v>349</v>
      </c>
      <c r="K1419" s="1" t="inlineStr"/>
      <c r="L1419" s="13" t="n">
        <v>349</v>
      </c>
      <c r="M1419" s="1">
        <f>IF(L1419="","ไม่พบใน SG",IF(ABS(J1419-L1419)&lt;0.005,"ตรงกัน","ไม่ตรง"))</f>
        <v/>
      </c>
      <c r="N1419" s="14">
        <f>IF(L1419="","",ROUND(L1419*'สรุป'!$C$6,-1))</f>
        <v/>
      </c>
      <c r="O1419" s="15" t="n"/>
      <c r="P1419" s="15" t="n"/>
      <c r="Q1419" s="10" t="n"/>
      <c r="R1419" s="10" t="n"/>
      <c r="S1419" s="16" t="inlineStr">
        <is>
          <t>https://mstgolf.co.th/products/gf3000201445</t>
        </is>
      </c>
      <c r="T1419" s="1">
        <f>IF(B1419="ไม้กอล์ฟ",J1419,"")</f>
        <v/>
      </c>
    </row>
    <row r="1420">
      <c r="A1420" s="1" t="n">
        <v>2</v>
      </c>
      <c r="B1420" s="1" t="inlineStr">
        <is>
          <t>รองเท้า</t>
        </is>
      </c>
      <c r="C1420" s="1" t="inlineStr">
        <is>
          <t>gf2500102751</t>
        </is>
      </c>
      <c r="D1420" s="1" t="inlineStr">
        <is>
          <t>FOOTJOY Hyperflex Carbon BOA Men's Spiked Shoes (White/Navy)</t>
        </is>
      </c>
      <c r="E1420" s="1" t="inlineStr">
        <is>
          <t>FOOTJOY</t>
        </is>
      </c>
      <c r="F1420" s="1" t="inlineStr">
        <is>
          <t>SPIKE SHOES</t>
        </is>
      </c>
      <c r="G1420" s="1" t="inlineStr">
        <is>
          <t>GF2500102751US6.5</t>
        </is>
      </c>
      <c r="H1420" s="1" t="n">
        <v>9</v>
      </c>
      <c r="I1420" s="1" t="inlineStr">
        <is>
          <t>หมด</t>
        </is>
      </c>
      <c r="J1420" s="13" t="n">
        <v>345</v>
      </c>
      <c r="K1420" s="1" t="inlineStr"/>
      <c r="L1420" s="13" t="n"/>
      <c r="M1420" s="1">
        <f>IF(L1420="","ไม่พบใน SG",IF(ABS(J1420-L1420)&lt;0.005,"ตรงกัน","ไม่ตรง"))</f>
        <v/>
      </c>
      <c r="N1420" s="14">
        <f>IF(L1420="","",ROUND(L1420*'สรุป'!$C$6,-1))</f>
        <v/>
      </c>
      <c r="O1420" s="15" t="n"/>
      <c r="P1420" s="15" t="n"/>
      <c r="Q1420" s="10" t="n"/>
      <c r="R1420" s="10" t="n"/>
      <c r="S1420" s="16" t="inlineStr">
        <is>
          <t>https://mstgolf.co.th/products/gf2500102751</t>
        </is>
      </c>
      <c r="T1420" s="1">
        <f>IF(B1420="ไม้กอล์ฟ",J1420,"")</f>
        <v/>
      </c>
    </row>
    <row r="1421">
      <c r="A1421" s="1" t="n">
        <v>2</v>
      </c>
      <c r="B1421" s="1" t="inlineStr">
        <is>
          <t>ถุงกอล์ฟ</t>
        </is>
      </c>
      <c r="C1421" s="1" t="inlineStr">
        <is>
          <t>gf3000103169</t>
        </is>
      </c>
      <c r="D1421" s="1" t="inlineStr">
        <is>
          <t>MIZUNO JPX-925 GWP SMU Cart Bag (White/Blue)</t>
        </is>
      </c>
      <c r="E1421" s="1" t="inlineStr">
        <is>
          <t>MIZUNO</t>
        </is>
      </c>
      <c r="F1421" s="1" t="inlineStr">
        <is>
          <t>CADDIE/CART BAG</t>
        </is>
      </c>
      <c r="G1421" s="1" t="inlineStr">
        <is>
          <t>GF3000103169</t>
        </is>
      </c>
      <c r="H1421" s="1" t="n">
        <v>1</v>
      </c>
      <c r="I1421" s="1" t="inlineStr">
        <is>
          <t>หมด</t>
        </is>
      </c>
      <c r="J1421" s="13" t="n">
        <v>339</v>
      </c>
      <c r="K1421" s="1" t="inlineStr"/>
      <c r="L1421" s="13" t="n"/>
      <c r="M1421" s="1">
        <f>IF(L1421="","ไม่พบใน SG",IF(ABS(J1421-L1421)&lt;0.005,"ตรงกัน","ไม่ตรง"))</f>
        <v/>
      </c>
      <c r="N1421" s="14">
        <f>IF(L1421="","",ROUND(L1421*'สรุป'!$C$6,-1))</f>
        <v/>
      </c>
      <c r="O1421" s="15" t="n"/>
      <c r="P1421" s="15" t="n"/>
      <c r="Q1421" s="10" t="n"/>
      <c r="R1421" s="10" t="n"/>
      <c r="S1421" s="16" t="inlineStr">
        <is>
          <t>https://mstgolf.co.th/products/gf3000103169</t>
        </is>
      </c>
      <c r="T1421" s="1">
        <f>IF(B1421="ไม้กอล์ฟ",J1421,"")</f>
        <v/>
      </c>
    </row>
    <row r="1422">
      <c r="A1422" s="1" t="n">
        <v>2</v>
      </c>
      <c r="B1422" s="1" t="inlineStr">
        <is>
          <t>ถุงกอล์ฟ</t>
        </is>
      </c>
      <c r="C1422" s="1" t="inlineStr">
        <is>
          <t>gf3000103164</t>
        </is>
      </c>
      <c r="D1422" s="1" t="inlineStr">
        <is>
          <t>TAYLORMADE 9.5" Circle T Cart Bag (Black)</t>
        </is>
      </c>
      <c r="E1422" s="1" t="inlineStr">
        <is>
          <t>TAYLORMADE</t>
        </is>
      </c>
      <c r="F1422" s="1" t="inlineStr">
        <is>
          <t>CADDIE/CART BAG</t>
        </is>
      </c>
      <c r="G1422" s="1" t="inlineStr">
        <is>
          <t>GF3000103164</t>
        </is>
      </c>
      <c r="H1422" s="1" t="n">
        <v>1</v>
      </c>
      <c r="I1422" s="1" t="inlineStr">
        <is>
          <t>หมด</t>
        </is>
      </c>
      <c r="J1422" s="13" t="n">
        <v>339</v>
      </c>
      <c r="K1422" s="1" t="inlineStr"/>
      <c r="L1422" s="13" t="n">
        <v>279</v>
      </c>
      <c r="M1422" s="1">
        <f>IF(L1422="","ไม่พบใน SG",IF(ABS(J1422-L1422)&lt;0.005,"ตรงกัน","ไม่ตรง"))</f>
        <v/>
      </c>
      <c r="N1422" s="14">
        <f>IF(L1422="","",ROUND(L1422*'สรุป'!$C$6,-1))</f>
        <v/>
      </c>
      <c r="O1422" s="15" t="n"/>
      <c r="P1422" s="15" t="n"/>
      <c r="Q1422" s="10" t="n"/>
      <c r="R1422" s="10" t="n"/>
      <c r="S1422" s="16" t="inlineStr">
        <is>
          <t>https://mstgolf.co.th/products/gf3000103164</t>
        </is>
      </c>
      <c r="T1422" s="1">
        <f>IF(B1422="ไม้กอล์ฟ",J1422,"")</f>
        <v/>
      </c>
    </row>
    <row r="1423">
      <c r="A1423" s="1" t="n">
        <v>2</v>
      </c>
      <c r="B1423" s="1" t="inlineStr">
        <is>
          <t>ถุงกอล์ฟ</t>
        </is>
      </c>
      <c r="C1423" s="1" t="inlineStr">
        <is>
          <t>gf3000103046</t>
        </is>
      </c>
      <c r="D1423" s="1" t="inlineStr">
        <is>
          <t>TAYLORMADE 9.5" Circle T Cart Bag (Navy)</t>
        </is>
      </c>
      <c r="E1423" s="1" t="inlineStr">
        <is>
          <t>TAYLORMADE</t>
        </is>
      </c>
      <c r="F1423" s="1" t="inlineStr">
        <is>
          <t>CADDIE/CART BAG</t>
        </is>
      </c>
      <c r="G1423" s="1" t="inlineStr">
        <is>
          <t>GF3000103046</t>
        </is>
      </c>
      <c r="H1423" s="1" t="n">
        <v>1</v>
      </c>
      <c r="I1423" s="1" t="inlineStr">
        <is>
          <t>หมด</t>
        </is>
      </c>
      <c r="J1423" s="13" t="n">
        <v>339</v>
      </c>
      <c r="K1423" s="1" t="inlineStr"/>
      <c r="L1423" s="13" t="n">
        <v>339</v>
      </c>
      <c r="M1423" s="1">
        <f>IF(L1423="","ไม่พบใน SG",IF(ABS(J1423-L1423)&lt;0.005,"ตรงกัน","ไม่ตรง"))</f>
        <v/>
      </c>
      <c r="N1423" s="14">
        <f>IF(L1423="","",ROUND(L1423*'สรุป'!$C$6,-1))</f>
        <v/>
      </c>
      <c r="O1423" s="15" t="n"/>
      <c r="P1423" s="15" t="n"/>
      <c r="Q1423" s="10" t="n"/>
      <c r="R1423" s="10" t="n"/>
      <c r="S1423" s="16" t="inlineStr">
        <is>
          <t>https://mstgolf.co.th/products/gf3000103046</t>
        </is>
      </c>
      <c r="T1423" s="1">
        <f>IF(B1423="ไม้กอล์ฟ",J1423,"")</f>
        <v/>
      </c>
    </row>
    <row r="1424">
      <c r="A1424" s="1" t="n">
        <v>2</v>
      </c>
      <c r="B1424" s="1" t="inlineStr">
        <is>
          <t>ถุงกอล์ฟ</t>
        </is>
      </c>
      <c r="C1424" s="1" t="inlineStr">
        <is>
          <t>gf3000103163</t>
        </is>
      </c>
      <c r="D1424" s="1" t="inlineStr">
        <is>
          <t>TAYLORMADE Circle Logo Cart Bag (Acid Green)</t>
        </is>
      </c>
      <c r="E1424" s="1" t="inlineStr">
        <is>
          <t>TAYLORMADE</t>
        </is>
      </c>
      <c r="F1424" s="1" t="inlineStr">
        <is>
          <t>CADDIE/CART BAG</t>
        </is>
      </c>
      <c r="G1424" s="1" t="inlineStr">
        <is>
          <t>GF3000103163</t>
        </is>
      </c>
      <c r="H1424" s="1" t="n">
        <v>1</v>
      </c>
      <c r="I1424" s="1" t="inlineStr">
        <is>
          <t>หมด</t>
        </is>
      </c>
      <c r="J1424" s="13" t="n">
        <v>339</v>
      </c>
      <c r="K1424" s="1" t="inlineStr"/>
      <c r="L1424" s="13" t="n">
        <v>339</v>
      </c>
      <c r="M1424" s="1">
        <f>IF(L1424="","ไม่พบใน SG",IF(ABS(J1424-L1424)&lt;0.005,"ตรงกัน","ไม่ตรง"))</f>
        <v/>
      </c>
      <c r="N1424" s="14">
        <f>IF(L1424="","",ROUND(L1424*'สรุป'!$C$6,-1))</f>
        <v/>
      </c>
      <c r="O1424" s="15" t="n"/>
      <c r="P1424" s="15" t="n"/>
      <c r="Q1424" s="10" t="n"/>
      <c r="R1424" s="10" t="n"/>
      <c r="S1424" s="16" t="inlineStr">
        <is>
          <t>https://mstgolf.co.th/products/gf3000103163</t>
        </is>
      </c>
      <c r="T1424" s="1">
        <f>IF(B1424="ไม้กอล์ฟ",J1424,"")</f>
        <v/>
      </c>
    </row>
    <row r="1425">
      <c r="A1425" s="1" t="n">
        <v>2</v>
      </c>
      <c r="B1425" s="1" t="inlineStr">
        <is>
          <t>ถุงกอล์ฟ</t>
        </is>
      </c>
      <c r="C1425" s="1" t="inlineStr">
        <is>
          <t>gf3000103045</t>
        </is>
      </c>
      <c r="D1425" s="1" t="inlineStr">
        <is>
          <t>TAYLORMADE Circle T Cart Bag (White)</t>
        </is>
      </c>
      <c r="E1425" s="1" t="inlineStr">
        <is>
          <t>TAYLORMADE</t>
        </is>
      </c>
      <c r="F1425" s="1" t="inlineStr">
        <is>
          <t>CADDIE/CART BAG</t>
        </is>
      </c>
      <c r="G1425" s="1" t="inlineStr">
        <is>
          <t>GF3000103045</t>
        </is>
      </c>
      <c r="H1425" s="1" t="n">
        <v>1</v>
      </c>
      <c r="I1425" s="1" t="inlineStr">
        <is>
          <t>หมด</t>
        </is>
      </c>
      <c r="J1425" s="13" t="n">
        <v>339</v>
      </c>
      <c r="K1425" s="1" t="inlineStr"/>
      <c r="L1425" s="13" t="n">
        <v>339</v>
      </c>
      <c r="M1425" s="1">
        <f>IF(L1425="","ไม่พบใน SG",IF(ABS(J1425-L1425)&lt;0.005,"ตรงกัน","ไม่ตรง"))</f>
        <v/>
      </c>
      <c r="N1425" s="14">
        <f>IF(L1425="","",ROUND(L1425*'สรุป'!$C$6,-1))</f>
        <v/>
      </c>
      <c r="O1425" s="15" t="n"/>
      <c r="P1425" s="15" t="n"/>
      <c r="Q1425" s="10" t="n"/>
      <c r="R1425" s="10" t="n"/>
      <c r="S1425" s="16" t="inlineStr">
        <is>
          <t>https://mstgolf.co.th/products/gf3000103045</t>
        </is>
      </c>
      <c r="T1425" s="1">
        <f>IF(B1425="ไม้กอล์ฟ",J1425,"")</f>
        <v/>
      </c>
    </row>
    <row r="1426">
      <c r="A1426" s="1" t="n">
        <v>2</v>
      </c>
      <c r="B1426" s="1" t="inlineStr">
        <is>
          <t>รองเท้า</t>
        </is>
      </c>
      <c r="C1426" s="1" t="inlineStr">
        <is>
          <t>gf2500201286</t>
        </is>
      </c>
      <c r="D1426" s="1" t="inlineStr">
        <is>
          <t>ADIDAS Adizero ZG BOA Men's Spikeless Shoes (White/Silver/Grey)</t>
        </is>
      </c>
      <c r="E1426" s="1" t="inlineStr">
        <is>
          <t>ADIDAS</t>
        </is>
      </c>
      <c r="F1426" s="1" t="inlineStr">
        <is>
          <t>SPIKELESS SHOES</t>
        </is>
      </c>
      <c r="G1426" s="1" t="inlineStr">
        <is>
          <t>GF2500201286UK6.5</t>
        </is>
      </c>
      <c r="H1426" s="1" t="n">
        <v>11</v>
      </c>
      <c r="I1426" s="1" t="inlineStr">
        <is>
          <t>หมด</t>
        </is>
      </c>
      <c r="J1426" s="13" t="n">
        <v>335</v>
      </c>
      <c r="K1426" s="1" t="inlineStr"/>
      <c r="L1426" s="13" t="n">
        <v>165</v>
      </c>
      <c r="M1426" s="1">
        <f>IF(L1426="","ไม่พบใน SG",IF(ABS(J1426-L1426)&lt;0.005,"ตรงกัน","ไม่ตรง"))</f>
        <v/>
      </c>
      <c r="N1426" s="14">
        <f>IF(L1426="","",ROUND(L1426*'สรุป'!$C$6,-1))</f>
        <v/>
      </c>
      <c r="O1426" s="15" t="n"/>
      <c r="P1426" s="15" t="n"/>
      <c r="Q1426" s="10" t="n"/>
      <c r="R1426" s="10" t="n"/>
      <c r="S1426" s="16" t="inlineStr">
        <is>
          <t>https://mstgolf.co.th/products/gf2500201286</t>
        </is>
      </c>
      <c r="T1426" s="1">
        <f>IF(B1426="ไม้กอล์ฟ",J1426,"")</f>
        <v/>
      </c>
    </row>
    <row r="1427">
      <c r="A1427" s="1" t="n">
        <v>2</v>
      </c>
      <c r="B1427" s="1" t="inlineStr">
        <is>
          <t>ถุงกอล์ฟ</t>
        </is>
      </c>
      <c r="C1427" s="1" t="inlineStr">
        <is>
          <t>gf3010401145</t>
        </is>
      </c>
      <c r="D1427" s="1" t="inlineStr">
        <is>
          <t>BOSS GOLF Double B Women's Tote Bag (Camel)</t>
        </is>
      </c>
      <c r="E1427" s="1" t="inlineStr">
        <is>
          <t>BOSS GOLF</t>
        </is>
      </c>
      <c r="F1427" s="1" t="inlineStr">
        <is>
          <t>SMALL BAG</t>
        </is>
      </c>
      <c r="G1427" s="1" t="inlineStr">
        <is>
          <t>GF3010401145</t>
        </is>
      </c>
      <c r="H1427" s="1" t="n">
        <v>1</v>
      </c>
      <c r="I1427" s="1" t="inlineStr">
        <is>
          <t>หมด</t>
        </is>
      </c>
      <c r="J1427" s="13" t="n">
        <v>335</v>
      </c>
      <c r="K1427" s="1" t="inlineStr"/>
      <c r="L1427" s="13" t="n"/>
      <c r="M1427" s="1">
        <f>IF(L1427="","ไม่พบใน SG",IF(ABS(J1427-L1427)&lt;0.005,"ตรงกัน","ไม่ตรง"))</f>
        <v/>
      </c>
      <c r="N1427" s="14">
        <f>IF(L1427="","",ROUND(L1427*'สรุป'!$C$6,-1))</f>
        <v/>
      </c>
      <c r="O1427" s="15" t="n"/>
      <c r="P1427" s="15" t="n"/>
      <c r="Q1427" s="10" t="n"/>
      <c r="R1427" s="10" t="n"/>
      <c r="S1427" s="16" t="inlineStr">
        <is>
          <t>https://mstgolf.co.th/products/gf3010401145</t>
        </is>
      </c>
      <c r="T1427" s="1">
        <f>IF(B1427="ไม้กอล์ฟ",J1427,"")</f>
        <v/>
      </c>
    </row>
    <row r="1428">
      <c r="A1428" s="1" t="n">
        <v>2</v>
      </c>
      <c r="B1428" s="1" t="inlineStr">
        <is>
          <t>ถุงกอล์ฟ</t>
        </is>
      </c>
      <c r="C1428" s="1" t="inlineStr">
        <is>
          <t>gf3000103025</t>
        </is>
      </c>
      <c r="D1428" s="1" t="inlineStr">
        <is>
          <t>ONOFF OB0225 9" Caddie Bag (Grey)</t>
        </is>
      </c>
      <c r="E1428" s="1" t="inlineStr">
        <is>
          <t>ONOFF</t>
        </is>
      </c>
      <c r="F1428" s="1" t="inlineStr">
        <is>
          <t>CADDIE/CART BAG</t>
        </is>
      </c>
      <c r="G1428" s="1" t="inlineStr">
        <is>
          <t>GF3000103025</t>
        </is>
      </c>
      <c r="H1428" s="1" t="n">
        <v>1</v>
      </c>
      <c r="I1428" s="1" t="inlineStr">
        <is>
          <t>หมด</t>
        </is>
      </c>
      <c r="J1428" s="13" t="n">
        <v>335</v>
      </c>
      <c r="K1428" s="1" t="inlineStr"/>
      <c r="L1428" s="13" t="n">
        <v>335</v>
      </c>
      <c r="M1428" s="1">
        <f>IF(L1428="","ไม่พบใน SG",IF(ABS(J1428-L1428)&lt;0.005,"ตรงกัน","ไม่ตรง"))</f>
        <v/>
      </c>
      <c r="N1428" s="14">
        <f>IF(L1428="","",ROUND(L1428*'สรุป'!$C$6,-1))</f>
        <v/>
      </c>
      <c r="O1428" s="15" t="n"/>
      <c r="P1428" s="15" t="n"/>
      <c r="Q1428" s="10" t="n"/>
      <c r="R1428" s="10" t="n"/>
      <c r="S1428" s="16" t="inlineStr">
        <is>
          <t>https://mstgolf.co.th/products/gf3000103025</t>
        </is>
      </c>
      <c r="T1428" s="1">
        <f>IF(B1428="ไม้กอล์ฟ",J1428,"")</f>
        <v/>
      </c>
    </row>
    <row r="1429">
      <c r="A1429" s="1" t="n">
        <v>2</v>
      </c>
      <c r="B1429" s="1" t="inlineStr">
        <is>
          <t>ถุงกอล์ฟ</t>
        </is>
      </c>
      <c r="C1429" s="1" t="inlineStr">
        <is>
          <t>gf3000103024</t>
        </is>
      </c>
      <c r="D1429" s="1" t="inlineStr">
        <is>
          <t>ONOFF OB0225 9" Caddie Bag (Navy)</t>
        </is>
      </c>
      <c r="E1429" s="1" t="inlineStr">
        <is>
          <t>ONOFF</t>
        </is>
      </c>
      <c r="F1429" s="1" t="inlineStr">
        <is>
          <t>CADDIE/CART BAG</t>
        </is>
      </c>
      <c r="G1429" s="1" t="inlineStr">
        <is>
          <t>GF3000103024</t>
        </is>
      </c>
      <c r="H1429" s="1" t="n">
        <v>1</v>
      </c>
      <c r="I1429" s="1" t="inlineStr">
        <is>
          <t>หมด</t>
        </is>
      </c>
      <c r="J1429" s="13" t="n">
        <v>335</v>
      </c>
      <c r="K1429" s="1" t="inlineStr"/>
      <c r="L1429" s="13" t="n">
        <v>335</v>
      </c>
      <c r="M1429" s="1">
        <f>IF(L1429="","ไม่พบใน SG",IF(ABS(J1429-L1429)&lt;0.005,"ตรงกัน","ไม่ตรง"))</f>
        <v/>
      </c>
      <c r="N1429" s="14">
        <f>IF(L1429="","",ROUND(L1429*'สรุป'!$C$6,-1))</f>
        <v/>
      </c>
      <c r="O1429" s="15" t="n"/>
      <c r="P1429" s="15" t="n"/>
      <c r="Q1429" s="10" t="n"/>
      <c r="R1429" s="10" t="n"/>
      <c r="S1429" s="16" t="inlineStr">
        <is>
          <t>https://mstgolf.co.th/products/gf3000103024</t>
        </is>
      </c>
      <c r="T1429" s="1">
        <f>IF(B1429="ไม้กอล์ฟ",J1429,"")</f>
        <v/>
      </c>
    </row>
    <row r="1430">
      <c r="A1430" s="1" t="n">
        <v>2</v>
      </c>
      <c r="B1430" s="1" t="inlineStr">
        <is>
          <t>ถุงกอล์ฟ</t>
        </is>
      </c>
      <c r="C1430" s="1" t="inlineStr">
        <is>
          <t>gf3000201549</t>
        </is>
      </c>
      <c r="D1430" s="1" t="inlineStr">
        <is>
          <t>PING Hoofer Lite Stand Bag (Black)</t>
        </is>
      </c>
      <c r="E1430" s="1" t="inlineStr">
        <is>
          <t>PING</t>
        </is>
      </c>
      <c r="F1430" s="1" t="inlineStr">
        <is>
          <t>STAND BAG</t>
        </is>
      </c>
      <c r="G1430" s="1" t="inlineStr">
        <is>
          <t>GF3000201549</t>
        </is>
      </c>
      <c r="H1430" s="1" t="n">
        <v>1</v>
      </c>
      <c r="I1430" s="1" t="inlineStr">
        <is>
          <t>หมด</t>
        </is>
      </c>
      <c r="J1430" s="13" t="n">
        <v>335</v>
      </c>
      <c r="K1430" s="1" t="inlineStr"/>
      <c r="L1430" s="13" t="n"/>
      <c r="M1430" s="1">
        <f>IF(L1430="","ไม่พบใน SG",IF(ABS(J1430-L1430)&lt;0.005,"ตรงกัน","ไม่ตรง"))</f>
        <v/>
      </c>
      <c r="N1430" s="14">
        <f>IF(L1430="","",ROUND(L1430*'สรุป'!$C$6,-1))</f>
        <v/>
      </c>
      <c r="O1430" s="15" t="n"/>
      <c r="P1430" s="15" t="n"/>
      <c r="Q1430" s="10" t="n"/>
      <c r="R1430" s="10" t="n"/>
      <c r="S1430" s="16" t="inlineStr">
        <is>
          <t>https://mstgolf.co.th/products/gf3000201549</t>
        </is>
      </c>
      <c r="T1430" s="1">
        <f>IF(B1430="ไม้กอล์ฟ",J1430,"")</f>
        <v/>
      </c>
    </row>
    <row r="1431">
      <c r="A1431" s="1" t="n">
        <v>2</v>
      </c>
      <c r="B1431" s="1" t="inlineStr">
        <is>
          <t>ถุงกอล์ฟ</t>
        </is>
      </c>
      <c r="C1431" s="1" t="inlineStr">
        <is>
          <t>gf3000201551</t>
        </is>
      </c>
      <c r="D1431" s="1" t="inlineStr">
        <is>
          <t>PING Hoofer Lite Stand Bag (Navy/Cry/Lemon)</t>
        </is>
      </c>
      <c r="E1431" s="1" t="inlineStr">
        <is>
          <t>PING</t>
        </is>
      </c>
      <c r="F1431" s="1" t="inlineStr">
        <is>
          <t>STAND BAG</t>
        </is>
      </c>
      <c r="G1431" s="1" t="inlineStr">
        <is>
          <t>GF3000201551</t>
        </is>
      </c>
      <c r="H1431" s="1" t="n">
        <v>1</v>
      </c>
      <c r="I1431" s="1" t="inlineStr">
        <is>
          <t>หมด</t>
        </is>
      </c>
      <c r="J1431" s="13" t="n">
        <v>335</v>
      </c>
      <c r="K1431" s="1" t="inlineStr"/>
      <c r="L1431" s="13" t="n">
        <v>335</v>
      </c>
      <c r="M1431" s="1">
        <f>IF(L1431="","ไม่พบใน SG",IF(ABS(J1431-L1431)&lt;0.005,"ตรงกัน","ไม่ตรง"))</f>
        <v/>
      </c>
      <c r="N1431" s="14">
        <f>IF(L1431="","",ROUND(L1431*'สรุป'!$C$6,-1))</f>
        <v/>
      </c>
      <c r="O1431" s="15" t="n"/>
      <c r="P1431" s="15" t="n"/>
      <c r="Q1431" s="10" t="n"/>
      <c r="R1431" s="10" t="n"/>
      <c r="S1431" s="16" t="inlineStr">
        <is>
          <t>https://mstgolf.co.th/products/gf3000201551</t>
        </is>
      </c>
      <c r="T1431" s="1">
        <f>IF(B1431="ไม้กอล์ฟ",J1431,"")</f>
        <v/>
      </c>
    </row>
    <row r="1432">
      <c r="A1432" s="1" t="n">
        <v>2</v>
      </c>
      <c r="B1432" s="1" t="inlineStr">
        <is>
          <t>รองเท้า</t>
        </is>
      </c>
      <c r="C1432" s="1" t="inlineStr">
        <is>
          <t>gf2500102690</t>
        </is>
      </c>
      <c r="D1432" s="1" t="inlineStr">
        <is>
          <t>FOOTJOY Tour Alpha BOA Men's Spiked Shoes (White/Red/Navy)</t>
        </is>
      </c>
      <c r="E1432" s="1" t="inlineStr">
        <is>
          <t>FOOTJOY</t>
        </is>
      </c>
      <c r="F1432" s="1" t="inlineStr">
        <is>
          <t>SPIKE SHOES</t>
        </is>
      </c>
      <c r="G1432" s="1" t="inlineStr">
        <is>
          <t>GF2500102690US6.5</t>
        </is>
      </c>
      <c r="H1432" s="1" t="n">
        <v>10</v>
      </c>
      <c r="I1432" s="1" t="inlineStr">
        <is>
          <t>หมด</t>
        </is>
      </c>
      <c r="J1432" s="13" t="n">
        <v>333.6</v>
      </c>
      <c r="K1432" s="1" t="inlineStr"/>
      <c r="L1432" s="13" t="n"/>
      <c r="M1432" s="1">
        <f>IF(L1432="","ไม่พบใน SG",IF(ABS(J1432-L1432)&lt;0.005,"ตรงกัน","ไม่ตรง"))</f>
        <v/>
      </c>
      <c r="N1432" s="14">
        <f>IF(L1432="","",ROUND(L1432*'สรุป'!$C$6,-1))</f>
        <v/>
      </c>
      <c r="O1432" s="15" t="n"/>
      <c r="P1432" s="15" t="n"/>
      <c r="Q1432" s="10" t="n"/>
      <c r="R1432" s="10" t="n"/>
      <c r="S1432" s="16" t="inlineStr">
        <is>
          <t>https://mstgolf.co.th/products/gf2500102690</t>
        </is>
      </c>
      <c r="T1432" s="1">
        <f>IF(B1432="ไม้กอล์ฟ",J1432,"")</f>
        <v/>
      </c>
    </row>
    <row r="1433">
      <c r="A1433" s="1" t="n">
        <v>2</v>
      </c>
      <c r="B1433" s="1" t="inlineStr">
        <is>
          <t>ถุงกอล์ฟ</t>
        </is>
      </c>
      <c r="C1433" s="1" t="inlineStr">
        <is>
          <t>gf3000201020</t>
        </is>
      </c>
      <c r="D1433" s="1" t="inlineStr">
        <is>
          <t>GFORE Daytona Plus Lightweight Stand Bag (Snow)</t>
        </is>
      </c>
      <c r="E1433" s="1" t="inlineStr">
        <is>
          <t>GFORE</t>
        </is>
      </c>
      <c r="F1433" s="1" t="inlineStr">
        <is>
          <t>STAND BAG</t>
        </is>
      </c>
      <c r="G1433" s="1" t="inlineStr">
        <is>
          <t>GF3000201020</t>
        </is>
      </c>
      <c r="H1433" s="1" t="n">
        <v>1</v>
      </c>
      <c r="I1433" s="1" t="inlineStr">
        <is>
          <t>หมด</t>
        </is>
      </c>
      <c r="J1433" s="13" t="n">
        <v>329</v>
      </c>
      <c r="K1433" s="1" t="inlineStr"/>
      <c r="L1433" s="13" t="n"/>
      <c r="M1433" s="1">
        <f>IF(L1433="","ไม่พบใน SG",IF(ABS(J1433-L1433)&lt;0.005,"ตรงกัน","ไม่ตรง"))</f>
        <v/>
      </c>
      <c r="N1433" s="14">
        <f>IF(L1433="","",ROUND(L1433*'สรุป'!$C$6,-1))</f>
        <v/>
      </c>
      <c r="O1433" s="15" t="n"/>
      <c r="P1433" s="15" t="n"/>
      <c r="Q1433" s="10" t="n"/>
      <c r="R1433" s="10" t="n"/>
      <c r="S1433" s="16" t="inlineStr">
        <is>
          <t>https://mstgolf.co.th/products/gf3000201020</t>
        </is>
      </c>
      <c r="T1433" s="1">
        <f>IF(B1433="ไม้กอล์ฟ",J1433,"")</f>
        <v/>
      </c>
    </row>
    <row r="1434">
      <c r="A1434" s="1" t="n">
        <v>2</v>
      </c>
      <c r="B1434" s="1" t="inlineStr">
        <is>
          <t>รองเท้า</t>
        </is>
      </c>
      <c r="C1434" s="1" t="inlineStr">
        <is>
          <t>gf2500102768</t>
        </is>
      </c>
      <c r="D1434" s="1" t="inlineStr">
        <is>
          <t>GFORE MG4+ O2 G/LOCK Women's Spiked Shoes (Snow/Multi)</t>
        </is>
      </c>
      <c r="E1434" s="1" t="inlineStr">
        <is>
          <t>GFORE</t>
        </is>
      </c>
      <c r="F1434" s="1" t="inlineStr">
        <is>
          <t>SPIKE SHOES</t>
        </is>
      </c>
      <c r="G1434" s="1" t="inlineStr">
        <is>
          <t>GF2500102768US115</t>
        </is>
      </c>
      <c r="H1434" s="1" t="n">
        <v>15</v>
      </c>
      <c r="I1434" s="1" t="inlineStr">
        <is>
          <t>หมด</t>
        </is>
      </c>
      <c r="J1434" s="13" t="n">
        <v>329</v>
      </c>
      <c r="K1434" s="1" t="inlineStr"/>
      <c r="L1434" s="13" t="n"/>
      <c r="M1434" s="1">
        <f>IF(L1434="","ไม่พบใน SG",IF(ABS(J1434-L1434)&lt;0.005,"ตรงกัน","ไม่ตรง"))</f>
        <v/>
      </c>
      <c r="N1434" s="14">
        <f>IF(L1434="","",ROUND(L1434*'สรุป'!$C$6,-1))</f>
        <v/>
      </c>
      <c r="O1434" s="15" t="n"/>
      <c r="P1434" s="15" t="n"/>
      <c r="Q1434" s="10" t="n"/>
      <c r="R1434" s="10" t="n"/>
      <c r="S1434" s="16" t="inlineStr">
        <is>
          <t>https://mstgolf.co.th/products/gf2500102768</t>
        </is>
      </c>
      <c r="T1434" s="1">
        <f>IF(B1434="ไม้กอล์ฟ",J1434,"")</f>
        <v/>
      </c>
    </row>
    <row r="1435">
      <c r="A1435" s="1" t="n">
        <v>2</v>
      </c>
      <c r="B1435" s="1" t="inlineStr">
        <is>
          <t>ถุงกอล์ฟ</t>
        </is>
      </c>
      <c r="C1435" s="1" t="inlineStr">
        <is>
          <t>gf3000102385</t>
        </is>
      </c>
      <c r="D1435" s="1" t="inlineStr">
        <is>
          <t>SUN MOUNTAIN H2NO Lite 2022 Cart Bag (Black/Silver/Red)</t>
        </is>
      </c>
      <c r="E1435" s="1" t="inlineStr">
        <is>
          <t>SUN MOUNTAIN</t>
        </is>
      </c>
      <c r="F1435" s="1" t="inlineStr">
        <is>
          <t>CADDIE/CART BAG</t>
        </is>
      </c>
      <c r="G1435" s="1" t="inlineStr">
        <is>
          <t>GF3000102385</t>
        </is>
      </c>
      <c r="H1435" s="1" t="n">
        <v>1</v>
      </c>
      <c r="I1435" s="1" t="inlineStr">
        <is>
          <t>หมด</t>
        </is>
      </c>
      <c r="J1435" s="13" t="n">
        <v>329</v>
      </c>
      <c r="K1435" s="1" t="inlineStr"/>
      <c r="L1435" s="13" t="n"/>
      <c r="M1435" s="1">
        <f>IF(L1435="","ไม่พบใน SG",IF(ABS(J1435-L1435)&lt;0.005,"ตรงกัน","ไม่ตรง"))</f>
        <v/>
      </c>
      <c r="N1435" s="14">
        <f>IF(L1435="","",ROUND(L1435*'สรุป'!$C$6,-1))</f>
        <v/>
      </c>
      <c r="O1435" s="15" t="n"/>
      <c r="P1435" s="15" t="n"/>
      <c r="Q1435" s="10" t="n"/>
      <c r="R1435" s="10" t="n"/>
      <c r="S1435" s="16" t="inlineStr">
        <is>
          <t>https://mstgolf.co.th/products/gf3000102385</t>
        </is>
      </c>
      <c r="T1435" s="1">
        <f>IF(B1435="ไม้กอล์ฟ",J1435,"")</f>
        <v/>
      </c>
    </row>
    <row r="1436">
      <c r="A1436" s="1" t="n">
        <v>2</v>
      </c>
      <c r="B1436" s="1" t="inlineStr">
        <is>
          <t>ถุงกอล์ฟ</t>
        </is>
      </c>
      <c r="C1436" s="1" t="inlineStr">
        <is>
          <t>gf3000102386</t>
        </is>
      </c>
      <c r="D1436" s="1" t="inlineStr">
        <is>
          <t>SUN MOUNTAIN H2NO Lite 2022 Cart Bag (Navy/Brown)</t>
        </is>
      </c>
      <c r="E1436" s="1" t="inlineStr">
        <is>
          <t>SUN MOUNTAIN</t>
        </is>
      </c>
      <c r="F1436" s="1" t="inlineStr">
        <is>
          <t>CADDIE/CART BAG</t>
        </is>
      </c>
      <c r="G1436" s="1" t="inlineStr">
        <is>
          <t>GF3000102386</t>
        </is>
      </c>
      <c r="H1436" s="1" t="n">
        <v>1</v>
      </c>
      <c r="I1436" s="1" t="inlineStr">
        <is>
          <t>หมด</t>
        </is>
      </c>
      <c r="J1436" s="13" t="n">
        <v>329</v>
      </c>
      <c r="K1436" s="1" t="inlineStr"/>
      <c r="L1436" s="13" t="n">
        <v>329</v>
      </c>
      <c r="M1436" s="1">
        <f>IF(L1436="","ไม่พบใน SG",IF(ABS(J1436-L1436)&lt;0.005,"ตรงกัน","ไม่ตรง"))</f>
        <v/>
      </c>
      <c r="N1436" s="14">
        <f>IF(L1436="","",ROUND(L1436*'สรุป'!$C$6,-1))</f>
        <v/>
      </c>
      <c r="O1436" s="15" t="n"/>
      <c r="P1436" s="15" t="n"/>
      <c r="Q1436" s="10" t="n"/>
      <c r="R1436" s="10" t="n"/>
      <c r="S1436" s="16" t="inlineStr">
        <is>
          <t>https://mstgolf.co.th/products/gf3000102386</t>
        </is>
      </c>
      <c r="T1436" s="1">
        <f>IF(B1436="ไม้กอล์ฟ",J1436,"")</f>
        <v/>
      </c>
    </row>
    <row r="1437">
      <c r="A1437" s="1" t="n">
        <v>2</v>
      </c>
      <c r="B1437" s="1" t="inlineStr">
        <is>
          <t>รองเท้า</t>
        </is>
      </c>
      <c r="C1437" s="1" t="inlineStr">
        <is>
          <t>gf2500201329</t>
        </is>
      </c>
      <c r="D1437" s="1" t="inlineStr">
        <is>
          <t>GFORE MG4+ Ombre Women's Spikeless Shoes (Snow/Multi)</t>
        </is>
      </c>
      <c r="E1437" s="1" t="inlineStr">
        <is>
          <t>GFORE</t>
        </is>
      </c>
      <c r="F1437" s="1" t="inlineStr">
        <is>
          <t>SPIKELESS SHOES</t>
        </is>
      </c>
      <c r="G1437" s="1" t="inlineStr">
        <is>
          <t>GF2500201329US5.5</t>
        </is>
      </c>
      <c r="H1437" s="1" t="n">
        <v>8</v>
      </c>
      <c r="I1437" s="1" t="inlineStr">
        <is>
          <t>หมด</t>
        </is>
      </c>
      <c r="J1437" s="13" t="n">
        <v>319</v>
      </c>
      <c r="K1437" s="1" t="inlineStr"/>
      <c r="L1437" s="13" t="n">
        <v>319</v>
      </c>
      <c r="M1437" s="1">
        <f>IF(L1437="","ไม่พบใน SG",IF(ABS(J1437-L1437)&lt;0.005,"ตรงกัน","ไม่ตรง"))</f>
        <v/>
      </c>
      <c r="N1437" s="14">
        <f>IF(L1437="","",ROUND(L1437*'สรุป'!$C$6,-1))</f>
        <v/>
      </c>
      <c r="O1437" s="15" t="n"/>
      <c r="P1437" s="15" t="n"/>
      <c r="Q1437" s="10" t="n"/>
      <c r="R1437" s="10" t="n"/>
      <c r="S1437" s="16" t="inlineStr">
        <is>
          <t>https://mstgolf.co.th/products/gf2500201329</t>
        </is>
      </c>
      <c r="T1437" s="1">
        <f>IF(B1437="ไม้กอล์ฟ",J1437,"")</f>
        <v/>
      </c>
    </row>
    <row r="1438">
      <c r="A1438" s="1" t="n">
        <v>2</v>
      </c>
      <c r="B1438" s="1" t="inlineStr">
        <is>
          <t>ถุงกอล์ฟ</t>
        </is>
      </c>
      <c r="C1438" s="1" t="inlineStr">
        <is>
          <t>gf3000201139</t>
        </is>
      </c>
      <c r="D1438" s="1" t="inlineStr">
        <is>
          <t>TAYLORMADE 9" Flextech Lite Stand Bag (Black)</t>
        </is>
      </c>
      <c r="E1438" s="1" t="inlineStr">
        <is>
          <t>TAYLORMADE</t>
        </is>
      </c>
      <c r="F1438" s="1" t="inlineStr">
        <is>
          <t>STAND BAG</t>
        </is>
      </c>
      <c r="G1438" s="1" t="inlineStr">
        <is>
          <t>GF3000201139</t>
        </is>
      </c>
      <c r="H1438" s="1" t="n">
        <v>1</v>
      </c>
      <c r="I1438" s="1" t="inlineStr">
        <is>
          <t>หมด</t>
        </is>
      </c>
      <c r="J1438" s="13" t="n">
        <v>319</v>
      </c>
      <c r="K1438" s="1" t="inlineStr"/>
      <c r="L1438" s="13" t="n">
        <v>319</v>
      </c>
      <c r="M1438" s="1">
        <f>IF(L1438="","ไม่พบใน SG",IF(ABS(J1438-L1438)&lt;0.005,"ตรงกัน","ไม่ตรง"))</f>
        <v/>
      </c>
      <c r="N1438" s="14">
        <f>IF(L1438="","",ROUND(L1438*'สรุป'!$C$6,-1))</f>
        <v/>
      </c>
      <c r="O1438" s="15" t="n"/>
      <c r="P1438" s="15" t="n"/>
      <c r="Q1438" s="10" t="n"/>
      <c r="R1438" s="10" t="n"/>
      <c r="S1438" s="16" t="inlineStr">
        <is>
          <t>https://mstgolf.co.th/products/gf3000201139</t>
        </is>
      </c>
      <c r="T1438" s="1">
        <f>IF(B1438="ไม้กอล์ฟ",J1438,"")</f>
        <v/>
      </c>
    </row>
    <row r="1439">
      <c r="A1439" s="1" t="n">
        <v>2</v>
      </c>
      <c r="B1439" s="1" t="inlineStr">
        <is>
          <t>ถุงกอล์ฟ</t>
        </is>
      </c>
      <c r="C1439" s="1" t="inlineStr">
        <is>
          <t>gf3000201140</t>
        </is>
      </c>
      <c r="D1439" s="1" t="inlineStr">
        <is>
          <t>TAYLORMADE 9" Flextech Lite Stand Bag (Gunmetal)</t>
        </is>
      </c>
      <c r="E1439" s="1" t="inlineStr">
        <is>
          <t>TAYLORMADE</t>
        </is>
      </c>
      <c r="F1439" s="1" t="inlineStr">
        <is>
          <t>STAND BAG</t>
        </is>
      </c>
      <c r="G1439" s="1" t="inlineStr">
        <is>
          <t>GF3000201140</t>
        </is>
      </c>
      <c r="H1439" s="1" t="n">
        <v>1</v>
      </c>
      <c r="I1439" s="1" t="inlineStr">
        <is>
          <t>หมด</t>
        </is>
      </c>
      <c r="J1439" s="13" t="n">
        <v>319</v>
      </c>
      <c r="K1439" s="1" t="inlineStr"/>
      <c r="L1439" s="13" t="n">
        <v>319</v>
      </c>
      <c r="M1439" s="1">
        <f>IF(L1439="","ไม่พบใน SG",IF(ABS(J1439-L1439)&lt;0.005,"ตรงกัน","ไม่ตรง"))</f>
        <v/>
      </c>
      <c r="N1439" s="14">
        <f>IF(L1439="","",ROUND(L1439*'สรุป'!$C$6,-1))</f>
        <v/>
      </c>
      <c r="O1439" s="15" t="n"/>
      <c r="P1439" s="15" t="n"/>
      <c r="Q1439" s="10" t="n"/>
      <c r="R1439" s="10" t="n"/>
      <c r="S1439" s="16" t="inlineStr">
        <is>
          <t>https://mstgolf.co.th/products/gf3000201140</t>
        </is>
      </c>
      <c r="T1439" s="1">
        <f>IF(B1439="ไม้กอล์ฟ",J1439,"")</f>
        <v/>
      </c>
    </row>
    <row r="1440">
      <c r="A1440" s="1" t="n">
        <v>2</v>
      </c>
      <c r="B1440" s="1" t="inlineStr">
        <is>
          <t>ถุงกอล์ฟ</t>
        </is>
      </c>
      <c r="C1440" s="1" t="inlineStr">
        <is>
          <t>gf3000201142</t>
        </is>
      </c>
      <c r="D1440" s="1" t="inlineStr">
        <is>
          <t>TAYLORMADE 9" Flextech Lite Stand Bag (USA)</t>
        </is>
      </c>
      <c r="E1440" s="1" t="inlineStr">
        <is>
          <t>TAYLORMADE</t>
        </is>
      </c>
      <c r="F1440" s="1" t="inlineStr">
        <is>
          <t>STAND BAG</t>
        </is>
      </c>
      <c r="G1440" s="1" t="inlineStr">
        <is>
          <t>GF3000201142</t>
        </is>
      </c>
      <c r="H1440" s="1" t="n">
        <v>1</v>
      </c>
      <c r="I1440" s="1" t="inlineStr">
        <is>
          <t>หมด</t>
        </is>
      </c>
      <c r="J1440" s="13" t="n">
        <v>319</v>
      </c>
      <c r="K1440" s="1" t="inlineStr"/>
      <c r="L1440" s="13" t="n">
        <v>319</v>
      </c>
      <c r="M1440" s="1">
        <f>IF(L1440="","ไม่พบใน SG",IF(ABS(J1440-L1440)&lt;0.005,"ตรงกัน","ไม่ตรง"))</f>
        <v/>
      </c>
      <c r="N1440" s="14">
        <f>IF(L1440="","",ROUND(L1440*'สรุป'!$C$6,-1))</f>
        <v/>
      </c>
      <c r="O1440" s="15" t="n"/>
      <c r="P1440" s="15" t="n"/>
      <c r="Q1440" s="10" t="n"/>
      <c r="R1440" s="10" t="n"/>
      <c r="S1440" s="16" t="inlineStr">
        <is>
          <t>https://mstgolf.co.th/products/gf3000201142</t>
        </is>
      </c>
      <c r="T1440" s="1">
        <f>IF(B1440="ไม้กอล์ฟ",J1440,"")</f>
        <v/>
      </c>
    </row>
    <row r="1441">
      <c r="A1441" s="1" t="n">
        <v>2</v>
      </c>
      <c r="B1441" s="1" t="inlineStr">
        <is>
          <t>ถุงกอล์ฟ</t>
        </is>
      </c>
      <c r="C1441" s="1" t="inlineStr">
        <is>
          <t>gf3000201144</t>
        </is>
      </c>
      <c r="D1441" s="1" t="inlineStr">
        <is>
          <t>TAYLORMADE 9" Flextech Lite Women's Stand Bag (Kalea/Grey)</t>
        </is>
      </c>
      <c r="E1441" s="1" t="inlineStr">
        <is>
          <t>TAYLORMADE</t>
        </is>
      </c>
      <c r="F1441" s="1" t="inlineStr">
        <is>
          <t>STAND BAG</t>
        </is>
      </c>
      <c r="G1441" s="1" t="inlineStr">
        <is>
          <t>GF3000201144</t>
        </is>
      </c>
      <c r="H1441" s="1" t="n">
        <v>1</v>
      </c>
      <c r="I1441" s="1" t="inlineStr">
        <is>
          <t>หมด</t>
        </is>
      </c>
      <c r="J1441" s="13" t="n">
        <v>319</v>
      </c>
      <c r="K1441" s="1" t="inlineStr"/>
      <c r="L1441" s="13" t="n">
        <v>319</v>
      </c>
      <c r="M1441" s="1">
        <f>IF(L1441="","ไม่พบใน SG",IF(ABS(J1441-L1441)&lt;0.005,"ตรงกัน","ไม่ตรง"))</f>
        <v/>
      </c>
      <c r="N1441" s="14">
        <f>IF(L1441="","",ROUND(L1441*'สรุป'!$C$6,-1))</f>
        <v/>
      </c>
      <c r="O1441" s="15" t="n"/>
      <c r="P1441" s="15" t="n"/>
      <c r="Q1441" s="10" t="n"/>
      <c r="R1441" s="10" t="n"/>
      <c r="S1441" s="16" t="inlineStr">
        <is>
          <t>https://mstgolf.co.th/products/gf3000201144</t>
        </is>
      </c>
      <c r="T1441" s="1">
        <f>IF(B1441="ไม้กอล์ฟ",J1441,"")</f>
        <v/>
      </c>
    </row>
    <row r="1442">
      <c r="A1442" s="1" t="n">
        <v>2</v>
      </c>
      <c r="B1442" s="1" t="inlineStr">
        <is>
          <t>ถุงกอล์ฟ</t>
        </is>
      </c>
      <c r="C1442" s="1" t="inlineStr">
        <is>
          <t>gf3000201469</t>
        </is>
      </c>
      <c r="D1442" s="1" t="inlineStr">
        <is>
          <t>TITLEIST Players 5 Stand Bag (Sand/Navy)</t>
        </is>
      </c>
      <c r="E1442" s="1" t="inlineStr">
        <is>
          <t>TITLEIST</t>
        </is>
      </c>
      <c r="F1442" s="1" t="inlineStr">
        <is>
          <t>STAND BAG</t>
        </is>
      </c>
      <c r="G1442" s="1" t="inlineStr">
        <is>
          <t>GF3000201469</t>
        </is>
      </c>
      <c r="H1442" s="1" t="n">
        <v>1</v>
      </c>
      <c r="I1442" s="1" t="inlineStr">
        <is>
          <t>หมด</t>
        </is>
      </c>
      <c r="J1442" s="13" t="n">
        <v>319</v>
      </c>
      <c r="K1442" s="1" t="inlineStr"/>
      <c r="L1442" s="13" t="n">
        <v>319</v>
      </c>
      <c r="M1442" s="1">
        <f>IF(L1442="","ไม่พบใน SG",IF(ABS(J1442-L1442)&lt;0.005,"ตรงกัน","ไม่ตรง"))</f>
        <v/>
      </c>
      <c r="N1442" s="14">
        <f>IF(L1442="","",ROUND(L1442*'สรุป'!$C$6,-1))</f>
        <v/>
      </c>
      <c r="O1442" s="15" t="n"/>
      <c r="P1442" s="15" t="n"/>
      <c r="Q1442" s="10" t="n"/>
      <c r="R1442" s="10" t="n"/>
      <c r="S1442" s="16" t="inlineStr">
        <is>
          <t>https://mstgolf.co.th/products/gf3000201469</t>
        </is>
      </c>
      <c r="T1442" s="1">
        <f>IF(B1442="ไม้กอล์ฟ",J1442,"")</f>
        <v/>
      </c>
    </row>
    <row r="1443">
      <c r="A1443" s="1" t="n">
        <v>2</v>
      </c>
      <c r="B1443" s="1" t="inlineStr">
        <is>
          <t>ถุงกอล์ฟ</t>
        </is>
      </c>
      <c r="C1443" s="1" t="inlineStr">
        <is>
          <t>gf3000102991</t>
        </is>
      </c>
      <c r="D1443" s="1" t="inlineStr">
        <is>
          <t>PING Transverse Cart Bag (Heather Grey/Black)</t>
        </is>
      </c>
      <c r="E1443" s="1" t="inlineStr">
        <is>
          <t>PING</t>
        </is>
      </c>
      <c r="F1443" s="1" t="inlineStr">
        <is>
          <t>CADDIE/CART BAG</t>
        </is>
      </c>
      <c r="G1443" s="1" t="inlineStr">
        <is>
          <t>GF3000102991</t>
        </is>
      </c>
      <c r="H1443" s="1" t="n">
        <v>1</v>
      </c>
      <c r="I1443" s="1" t="inlineStr">
        <is>
          <t>หมด</t>
        </is>
      </c>
      <c r="J1443" s="13" t="n">
        <v>315</v>
      </c>
      <c r="K1443" s="1" t="inlineStr"/>
      <c r="L1443" s="13" t="n"/>
      <c r="M1443" s="1">
        <f>IF(L1443="","ไม่พบใน SG",IF(ABS(J1443-L1443)&lt;0.005,"ตรงกัน","ไม่ตรง"))</f>
        <v/>
      </c>
      <c r="N1443" s="14">
        <f>IF(L1443="","",ROUND(L1443*'สรุป'!$C$6,-1))</f>
        <v/>
      </c>
      <c r="O1443" s="15" t="n"/>
      <c r="P1443" s="15" t="n"/>
      <c r="Q1443" s="10" t="n"/>
      <c r="R1443" s="10" t="n"/>
      <c r="S1443" s="16" t="inlineStr">
        <is>
          <t>https://mstgolf.co.th/products/gf3000102991</t>
        </is>
      </c>
      <c r="T1443" s="1">
        <f>IF(B1443="ไม้กอล์ฟ",J1443,"")</f>
        <v/>
      </c>
    </row>
    <row r="1444">
      <c r="A1444" s="1" t="n">
        <v>2</v>
      </c>
      <c r="B1444" s="1" t="inlineStr">
        <is>
          <t>ถุงกอล์ฟ</t>
        </is>
      </c>
      <c r="C1444" s="1" t="inlineStr">
        <is>
          <t>gf3000102992</t>
        </is>
      </c>
      <c r="D1444" s="1" t="inlineStr">
        <is>
          <t>PING Transverse Cart Bag (Navy/White/Red)</t>
        </is>
      </c>
      <c r="E1444" s="1" t="inlineStr">
        <is>
          <t>PING</t>
        </is>
      </c>
      <c r="F1444" s="1" t="inlineStr">
        <is>
          <t>CADDIE/CART BAG</t>
        </is>
      </c>
      <c r="G1444" s="1" t="inlineStr">
        <is>
          <t>GF3000102992</t>
        </is>
      </c>
      <c r="H1444" s="1" t="n">
        <v>1</v>
      </c>
      <c r="I1444" s="1" t="inlineStr">
        <is>
          <t>หมด</t>
        </is>
      </c>
      <c r="J1444" s="13" t="n">
        <v>315</v>
      </c>
      <c r="K1444" s="1" t="inlineStr"/>
      <c r="L1444" s="13" t="n">
        <v>315</v>
      </c>
      <c r="M1444" s="1">
        <f>IF(L1444="","ไม่พบใน SG",IF(ABS(J1444-L1444)&lt;0.005,"ตรงกัน","ไม่ตรง"))</f>
        <v/>
      </c>
      <c r="N1444" s="14">
        <f>IF(L1444="","",ROUND(L1444*'สรุป'!$C$6,-1))</f>
        <v/>
      </c>
      <c r="O1444" s="15" t="n"/>
      <c r="P1444" s="15" t="n"/>
      <c r="Q1444" s="10" t="n"/>
      <c r="R1444" s="10" t="n"/>
      <c r="S1444" s="16" t="inlineStr">
        <is>
          <t>https://mstgolf.co.th/products/gf3000102992</t>
        </is>
      </c>
      <c r="T1444" s="1">
        <f>IF(B1444="ไม้กอล์ฟ",J1444,"")</f>
        <v/>
      </c>
    </row>
    <row r="1445">
      <c r="A1445" s="1" t="n">
        <v>2</v>
      </c>
      <c r="B1445" s="1" t="inlineStr">
        <is>
          <t>รองเท้า</t>
        </is>
      </c>
      <c r="C1445" s="1" t="inlineStr">
        <is>
          <t>gf2500201292</t>
        </is>
      </c>
      <c r="D1445" s="1" t="inlineStr">
        <is>
          <t>ADIDAS Adizero ZG Men's Spikeless Shoes (White/Red/Black)</t>
        </is>
      </c>
      <c r="E1445" s="1" t="inlineStr">
        <is>
          <t>ADIDAS</t>
        </is>
      </c>
      <c r="F1445" s="1" t="inlineStr">
        <is>
          <t>SPIKELESS SHOES</t>
        </is>
      </c>
      <c r="G1445" s="1" t="inlineStr">
        <is>
          <t>GF2500201292UK6.5</t>
        </is>
      </c>
      <c r="H1445" s="1" t="n">
        <v>11</v>
      </c>
      <c r="I1445" s="1" t="inlineStr">
        <is>
          <t>หมด</t>
        </is>
      </c>
      <c r="J1445" s="13" t="n">
        <v>299</v>
      </c>
      <c r="K1445" s="1" t="inlineStr"/>
      <c r="L1445" s="13" t="n">
        <v>149</v>
      </c>
      <c r="M1445" s="1">
        <f>IF(L1445="","ไม่พบใน SG",IF(ABS(J1445-L1445)&lt;0.005,"ตรงกัน","ไม่ตรง"))</f>
        <v/>
      </c>
      <c r="N1445" s="14">
        <f>IF(L1445="","",ROUND(L1445*'สรุป'!$C$6,-1))</f>
        <v/>
      </c>
      <c r="O1445" s="15" t="n"/>
      <c r="P1445" s="15" t="n"/>
      <c r="Q1445" s="10" t="n"/>
      <c r="R1445" s="10" t="n"/>
      <c r="S1445" s="16" t="inlineStr">
        <is>
          <t>https://mstgolf.co.th/products/gf2500201292</t>
        </is>
      </c>
      <c r="T1445" s="1">
        <f>IF(B1445="ไม้กอล์ฟ",J1445,"")</f>
        <v/>
      </c>
    </row>
    <row r="1446">
      <c r="A1446" s="1" t="n">
        <v>2</v>
      </c>
      <c r="B1446" s="1" t="inlineStr">
        <is>
          <t>ถุงกอล์ฟ</t>
        </is>
      </c>
      <c r="C1446" s="1" t="inlineStr">
        <is>
          <t>gf3010101438</t>
        </is>
      </c>
      <c r="D1446" s="1" t="inlineStr">
        <is>
          <t>ADIDAS Originals Boston Bag (Green White)</t>
        </is>
      </c>
      <c r="E1446" s="1" t="inlineStr">
        <is>
          <t>ADIDAS</t>
        </is>
      </c>
      <c r="F1446" s="1" t="inlineStr">
        <is>
          <t>BOSTON/DUFFLE BAG</t>
        </is>
      </c>
      <c r="G1446" s="1" t="inlineStr">
        <is>
          <t>GF3010101438</t>
        </is>
      </c>
      <c r="H1446" s="1" t="n">
        <v>1</v>
      </c>
      <c r="I1446" s="1" t="inlineStr">
        <is>
          <t>หมด</t>
        </is>
      </c>
      <c r="J1446" s="13" t="n">
        <v>299</v>
      </c>
      <c r="K1446" s="1" t="inlineStr"/>
      <c r="L1446" s="13" t="n"/>
      <c r="M1446" s="1">
        <f>IF(L1446="","ไม่พบใน SG",IF(ABS(J1446-L1446)&lt;0.005,"ตรงกัน","ไม่ตรง"))</f>
        <v/>
      </c>
      <c r="N1446" s="14">
        <f>IF(L1446="","",ROUND(L1446*'สรุป'!$C$6,-1))</f>
        <v/>
      </c>
      <c r="O1446" s="15" t="n"/>
      <c r="P1446" s="15" t="n"/>
      <c r="Q1446" s="10" t="n"/>
      <c r="R1446" s="10" t="n"/>
      <c r="S1446" s="16" t="inlineStr">
        <is>
          <t>https://mstgolf.co.th/products/gf3010101438</t>
        </is>
      </c>
      <c r="T1446" s="1">
        <f>IF(B1446="ไม้กอล์ฟ",J1446,"")</f>
        <v/>
      </c>
    </row>
    <row r="1447">
      <c r="A1447" s="1" t="n">
        <v>2</v>
      </c>
      <c r="B1447" s="1" t="inlineStr">
        <is>
          <t>รองเท้า</t>
        </is>
      </c>
      <c r="C1447" s="1" t="inlineStr">
        <is>
          <t>gf2500201347</t>
        </is>
      </c>
      <c r="D1447" s="1" t="inlineStr">
        <is>
          <t>FOOTJOY Pro SLX BOA Men's Spikeless Shoes (Grey/Grey)</t>
        </is>
      </c>
      <c r="E1447" s="1" t="inlineStr">
        <is>
          <t>FOOTJOY</t>
        </is>
      </c>
      <c r="F1447" s="1" t="inlineStr">
        <is>
          <t>SPIKELESS SHOES</t>
        </is>
      </c>
      <c r="G1447" s="1" t="inlineStr">
        <is>
          <t>GF2500201347US6.5</t>
        </is>
      </c>
      <c r="H1447" s="1" t="n">
        <v>10</v>
      </c>
      <c r="I1447" s="1" t="inlineStr">
        <is>
          <t>หมด</t>
        </is>
      </c>
      <c r="J1447" s="13" t="n">
        <v>299</v>
      </c>
      <c r="K1447" s="1" t="inlineStr"/>
      <c r="L1447" s="13" t="n">
        <v>189</v>
      </c>
      <c r="M1447" s="1">
        <f>IF(L1447="","ไม่พบใน SG",IF(ABS(J1447-L1447)&lt;0.005,"ตรงกัน","ไม่ตรง"))</f>
        <v/>
      </c>
      <c r="N1447" s="14">
        <f>IF(L1447="","",ROUND(L1447*'สรุป'!$C$6,-1))</f>
        <v/>
      </c>
      <c r="O1447" s="15" t="n"/>
      <c r="P1447" s="15" t="n"/>
      <c r="Q1447" s="10" t="n"/>
      <c r="R1447" s="10" t="n"/>
      <c r="S1447" s="16" t="inlineStr">
        <is>
          <t>https://mstgolf.co.th/products/gf2500201347</t>
        </is>
      </c>
      <c r="T1447" s="1">
        <f>IF(B1447="ไม้กอล์ฟ",J1447,"")</f>
        <v/>
      </c>
    </row>
    <row r="1448">
      <c r="A1448" s="1" t="n">
        <v>2</v>
      </c>
      <c r="B1448" s="1" t="inlineStr">
        <is>
          <t>รองเท้า</t>
        </is>
      </c>
      <c r="C1448" s="1" t="inlineStr">
        <is>
          <t>gf2500201346</t>
        </is>
      </c>
      <c r="D1448" s="1" t="inlineStr">
        <is>
          <t>FOOTJOY Pro SLX BOA Men's Spikeless Shoes (White/Navy)</t>
        </is>
      </c>
      <c r="E1448" s="1" t="inlineStr">
        <is>
          <t>FOOTJOY</t>
        </is>
      </c>
      <c r="F1448" s="1" t="inlineStr">
        <is>
          <t>SPIKELESS SHOES</t>
        </is>
      </c>
      <c r="G1448" s="1" t="inlineStr">
        <is>
          <t>GF2500201346US6.5</t>
        </is>
      </c>
      <c r="H1448" s="1" t="n">
        <v>10</v>
      </c>
      <c r="I1448" s="1" t="inlineStr">
        <is>
          <t>หมด</t>
        </is>
      </c>
      <c r="J1448" s="13" t="n">
        <v>299</v>
      </c>
      <c r="K1448" s="1" t="inlineStr"/>
      <c r="L1448" s="13" t="n"/>
      <c r="M1448" s="1">
        <f>IF(L1448="","ไม่พบใน SG",IF(ABS(J1448-L1448)&lt;0.005,"ตรงกัน","ไม่ตรง"))</f>
        <v/>
      </c>
      <c r="N1448" s="14">
        <f>IF(L1448="","",ROUND(L1448*'สรุป'!$C$6,-1))</f>
        <v/>
      </c>
      <c r="O1448" s="15" t="n"/>
      <c r="P1448" s="15" t="n"/>
      <c r="Q1448" s="10" t="n"/>
      <c r="R1448" s="10" t="n"/>
      <c r="S1448" s="16" t="inlineStr">
        <is>
          <t>https://mstgolf.co.th/products/gf2500201346</t>
        </is>
      </c>
      <c r="T1448" s="1">
        <f>IF(B1448="ไม้กอล์ฟ",J1448,"")</f>
        <v/>
      </c>
    </row>
    <row r="1449">
      <c r="A1449" s="1" t="n">
        <v>2</v>
      </c>
      <c r="B1449" s="1" t="inlineStr">
        <is>
          <t>ถุงกอล์ฟ</t>
        </is>
      </c>
      <c r="C1449" s="1" t="inlineStr">
        <is>
          <t>gf3010101080</t>
        </is>
      </c>
      <c r="D1449" s="1" t="inlineStr">
        <is>
          <t>MAJESTY S21 Boston Bag (Black)</t>
        </is>
      </c>
      <c r="E1449" s="1" t="inlineStr">
        <is>
          <t>MAJESTY</t>
        </is>
      </c>
      <c r="F1449" s="1" t="inlineStr">
        <is>
          <t>BOSTON/DUFFLE BAG</t>
        </is>
      </c>
      <c r="G1449" s="1" t="inlineStr">
        <is>
          <t>GF3010101080</t>
        </is>
      </c>
      <c r="H1449" s="1" t="n">
        <v>1</v>
      </c>
      <c r="I1449" s="1" t="inlineStr">
        <is>
          <t>หมด</t>
        </is>
      </c>
      <c r="J1449" s="13" t="n">
        <v>299</v>
      </c>
      <c r="K1449" s="1" t="inlineStr"/>
      <c r="L1449" s="13" t="n">
        <v>299</v>
      </c>
      <c r="M1449" s="1">
        <f>IF(L1449="","ไม่พบใน SG",IF(ABS(J1449-L1449)&lt;0.005,"ตรงกัน","ไม่ตรง"))</f>
        <v/>
      </c>
      <c r="N1449" s="14">
        <f>IF(L1449="","",ROUND(L1449*'สรุป'!$C$6,-1))</f>
        <v/>
      </c>
      <c r="O1449" s="15" t="n"/>
      <c r="P1449" s="15" t="n"/>
      <c r="Q1449" s="10" t="n"/>
      <c r="R1449" s="10" t="n"/>
      <c r="S1449" s="16" t="inlineStr">
        <is>
          <t>https://mstgolf.co.th/products/gf3010101080</t>
        </is>
      </c>
      <c r="T1449" s="1">
        <f>IF(B1449="ไม้กอล์ฟ",J1449,"")</f>
        <v/>
      </c>
    </row>
    <row r="1450">
      <c r="A1450" s="1" t="n">
        <v>2</v>
      </c>
      <c r="B1450" s="1" t="inlineStr">
        <is>
          <t>ถุงกอล์ฟ</t>
        </is>
      </c>
      <c r="C1450" s="1" t="inlineStr">
        <is>
          <t>gf3010101231</t>
        </is>
      </c>
      <c r="D1450" s="1" t="inlineStr">
        <is>
          <t>MAJESTY S41 Boston Bag (Black)</t>
        </is>
      </c>
      <c r="E1450" s="1" t="inlineStr">
        <is>
          <t>MAJESTY</t>
        </is>
      </c>
      <c r="F1450" s="1" t="inlineStr">
        <is>
          <t>BOSTON/DUFFLE BAG</t>
        </is>
      </c>
      <c r="G1450" s="1" t="inlineStr">
        <is>
          <t>GF3010101231</t>
        </is>
      </c>
      <c r="H1450" s="1" t="n">
        <v>1</v>
      </c>
      <c r="I1450" s="1" t="inlineStr">
        <is>
          <t>หมด</t>
        </is>
      </c>
      <c r="J1450" s="13" t="n">
        <v>299</v>
      </c>
      <c r="K1450" s="1" t="inlineStr"/>
      <c r="L1450" s="13" t="n">
        <v>299</v>
      </c>
      <c r="M1450" s="1">
        <f>IF(L1450="","ไม่พบใน SG",IF(ABS(J1450-L1450)&lt;0.005,"ตรงกัน","ไม่ตรง"))</f>
        <v/>
      </c>
      <c r="N1450" s="14">
        <f>IF(L1450="","",ROUND(L1450*'สรุป'!$C$6,-1))</f>
        <v/>
      </c>
      <c r="O1450" s="15" t="n"/>
      <c r="P1450" s="15" t="n"/>
      <c r="Q1450" s="10" t="n"/>
      <c r="R1450" s="10" t="n"/>
      <c r="S1450" s="16" t="inlineStr">
        <is>
          <t>https://mstgolf.co.th/products/gf3010101231</t>
        </is>
      </c>
      <c r="T1450" s="1">
        <f>IF(B1450="ไม้กอล์ฟ",J1450,"")</f>
        <v/>
      </c>
    </row>
    <row r="1451">
      <c r="A1451" s="1" t="n">
        <v>2</v>
      </c>
      <c r="B1451" s="1" t="inlineStr">
        <is>
          <t>ถุงกอล์ฟ</t>
        </is>
      </c>
      <c r="C1451" s="1" t="inlineStr">
        <is>
          <t>gf3000201196</t>
        </is>
      </c>
      <c r="D1451" s="1" t="inlineStr">
        <is>
          <t>PXG Lightweight Carry Stand Bag (Grey/Black)</t>
        </is>
      </c>
      <c r="E1451" s="1" t="inlineStr">
        <is>
          <t>PXG</t>
        </is>
      </c>
      <c r="F1451" s="1" t="inlineStr">
        <is>
          <t>STAND BAG</t>
        </is>
      </c>
      <c r="G1451" s="1" t="inlineStr">
        <is>
          <t>GF3000201196</t>
        </is>
      </c>
      <c r="H1451" s="1" t="n">
        <v>1</v>
      </c>
      <c r="I1451" s="1" t="inlineStr">
        <is>
          <t>หมด</t>
        </is>
      </c>
      <c r="J1451" s="13" t="n">
        <v>299</v>
      </c>
      <c r="K1451" s="1" t="inlineStr"/>
      <c r="L1451" s="13" t="n">
        <v>299</v>
      </c>
      <c r="M1451" s="1">
        <f>IF(L1451="","ไม่พบใน SG",IF(ABS(J1451-L1451)&lt;0.005,"ตรงกัน","ไม่ตรง"))</f>
        <v/>
      </c>
      <c r="N1451" s="14">
        <f>IF(L1451="","",ROUND(L1451*'สรุป'!$C$6,-1))</f>
        <v/>
      </c>
      <c r="O1451" s="15" t="n"/>
      <c r="P1451" s="15" t="n"/>
      <c r="Q1451" s="10" t="n"/>
      <c r="R1451" s="10" t="n"/>
      <c r="S1451" s="16" t="inlineStr">
        <is>
          <t>https://mstgolf.co.th/products/gf3000201196</t>
        </is>
      </c>
      <c r="T1451" s="1">
        <f>IF(B1451="ไม้กอล์ฟ",J1451,"")</f>
        <v/>
      </c>
    </row>
    <row r="1452">
      <c r="A1452" s="1" t="n">
        <v>2</v>
      </c>
      <c r="B1452" s="1" t="inlineStr">
        <is>
          <t>ถุงกอล์ฟ</t>
        </is>
      </c>
      <c r="C1452" s="1" t="inlineStr">
        <is>
          <t>gf3000102971</t>
        </is>
      </c>
      <c r="D1452" s="1" t="inlineStr">
        <is>
          <t>TAYLORMADE 8.5" Wilshire Women's Cart Bag (Light Blue)</t>
        </is>
      </c>
      <c r="E1452" s="1" t="inlineStr">
        <is>
          <t>TAYLORMADE</t>
        </is>
      </c>
      <c r="F1452" s="1" t="inlineStr">
        <is>
          <t>CADDIE/CART BAG</t>
        </is>
      </c>
      <c r="G1452" s="1" t="inlineStr">
        <is>
          <t>GF3000102971</t>
        </is>
      </c>
      <c r="H1452" s="1" t="n">
        <v>1</v>
      </c>
      <c r="I1452" s="1" t="inlineStr">
        <is>
          <t>หมด</t>
        </is>
      </c>
      <c r="J1452" s="13" t="n">
        <v>299</v>
      </c>
      <c r="K1452" s="1" t="inlineStr"/>
      <c r="L1452" s="13" t="n">
        <v>299</v>
      </c>
      <c r="M1452" s="1">
        <f>IF(L1452="","ไม่พบใน SG",IF(ABS(J1452-L1452)&lt;0.005,"ตรงกัน","ไม่ตรง"))</f>
        <v/>
      </c>
      <c r="N1452" s="14">
        <f>IF(L1452="","",ROUND(L1452*'สรุป'!$C$6,-1))</f>
        <v/>
      </c>
      <c r="O1452" s="15" t="n"/>
      <c r="P1452" s="15" t="n"/>
      <c r="Q1452" s="10" t="n"/>
      <c r="R1452" s="10" t="n"/>
      <c r="S1452" s="16" t="inlineStr">
        <is>
          <t>https://mstgolf.co.th/products/gf3000102971</t>
        </is>
      </c>
      <c r="T1452" s="1">
        <f>IF(B1452="ไม้กอล์ฟ",J1452,"")</f>
        <v/>
      </c>
    </row>
    <row r="1453">
      <c r="A1453" s="1" t="n">
        <v>2</v>
      </c>
      <c r="B1453" s="1" t="inlineStr">
        <is>
          <t>ถุงกอล์ฟ</t>
        </is>
      </c>
      <c r="C1453" s="1" t="inlineStr">
        <is>
          <t>gf3000102562</t>
        </is>
      </c>
      <c r="D1453" s="1" t="inlineStr">
        <is>
          <t>TITLEIST Cart 15 StaDry Cart Bag (Navy)</t>
        </is>
      </c>
      <c r="E1453" s="1" t="inlineStr">
        <is>
          <t>TITLEIST</t>
        </is>
      </c>
      <c r="F1453" s="1" t="inlineStr">
        <is>
          <t>CADDIE/CART BAG</t>
        </is>
      </c>
      <c r="G1453" s="1" t="inlineStr">
        <is>
          <t>GF3000102562</t>
        </is>
      </c>
      <c r="H1453" s="1" t="n">
        <v>1</v>
      </c>
      <c r="I1453" s="1" t="inlineStr">
        <is>
          <t>หมด</t>
        </is>
      </c>
      <c r="J1453" s="13" t="n">
        <v>299</v>
      </c>
      <c r="K1453" s="1" t="inlineStr"/>
      <c r="L1453" s="13" t="n">
        <v>299</v>
      </c>
      <c r="M1453" s="1">
        <f>IF(L1453="","ไม่พบใน SG",IF(ABS(J1453-L1453)&lt;0.005,"ตรงกัน","ไม่ตรง"))</f>
        <v/>
      </c>
      <c r="N1453" s="14">
        <f>IF(L1453="","",ROUND(L1453*'สรุป'!$C$6,-1))</f>
        <v/>
      </c>
      <c r="O1453" s="15" t="n"/>
      <c r="P1453" s="15" t="n"/>
      <c r="Q1453" s="10" t="n"/>
      <c r="R1453" s="10" t="n"/>
      <c r="S1453" s="16" t="inlineStr">
        <is>
          <t>https://mstgolf.co.th/products/gf3000102562</t>
        </is>
      </c>
      <c r="T1453" s="1">
        <f>IF(B1453="ไม้กอล์ฟ",J1453,"")</f>
        <v/>
      </c>
    </row>
    <row r="1454">
      <c r="A1454" s="1" t="n">
        <v>2</v>
      </c>
      <c r="B1454" s="1" t="inlineStr">
        <is>
          <t>รองเท้า</t>
        </is>
      </c>
      <c r="C1454" s="1" t="inlineStr">
        <is>
          <t>gf2500102752</t>
        </is>
      </c>
      <c r="D1454" s="1" t="inlineStr">
        <is>
          <t>FOOTJOY Hyperflex BOA Men's Spiked Shoes (White/Grey/Red)</t>
        </is>
      </c>
      <c r="E1454" s="1" t="inlineStr">
        <is>
          <t>FOOTJOY</t>
        </is>
      </c>
      <c r="F1454" s="1" t="inlineStr">
        <is>
          <t>SPIKE SHOES</t>
        </is>
      </c>
      <c r="G1454" s="1" t="inlineStr">
        <is>
          <t>GF2500102752US6.5</t>
        </is>
      </c>
      <c r="H1454" s="1" t="n">
        <v>10</v>
      </c>
      <c r="I1454" s="1" t="inlineStr">
        <is>
          <t>หมด</t>
        </is>
      </c>
      <c r="J1454" s="13" t="n">
        <v>295</v>
      </c>
      <c r="K1454" s="1" t="inlineStr"/>
      <c r="L1454" s="13" t="n"/>
      <c r="M1454" s="1">
        <f>IF(L1454="","ไม่พบใน SG",IF(ABS(J1454-L1454)&lt;0.005,"ตรงกัน","ไม่ตรง"))</f>
        <v/>
      </c>
      <c r="N1454" s="14">
        <f>IF(L1454="","",ROUND(L1454*'สรุป'!$C$6,-1))</f>
        <v/>
      </c>
      <c r="O1454" s="15" t="n"/>
      <c r="P1454" s="15" t="n"/>
      <c r="Q1454" s="10" t="n"/>
      <c r="R1454" s="10" t="n"/>
      <c r="S1454" s="16" t="inlineStr">
        <is>
          <t>https://mstgolf.co.th/products/gf2500102752</t>
        </is>
      </c>
      <c r="T1454" s="1">
        <f>IF(B1454="ไม้กอล์ฟ",J1454,"")</f>
        <v/>
      </c>
    </row>
    <row r="1455">
      <c r="A1455" s="1" t="n">
        <v>2</v>
      </c>
      <c r="B1455" s="1" t="inlineStr">
        <is>
          <t>รองเท้า</t>
        </is>
      </c>
      <c r="C1455" s="1" t="inlineStr">
        <is>
          <t>gf2500102786</t>
        </is>
      </c>
      <c r="D1455" s="1" t="inlineStr">
        <is>
          <t>FOOTJOY Hyperflex BOA Men's Spiked Shoes (White/Navy/Green)</t>
        </is>
      </c>
      <c r="E1455" s="1" t="inlineStr">
        <is>
          <t>FOOTJOY</t>
        </is>
      </c>
      <c r="F1455" s="1" t="inlineStr">
        <is>
          <t>SPIKE SHOES</t>
        </is>
      </c>
      <c r="G1455" s="1" t="inlineStr">
        <is>
          <t>GF2500102786US6.5</t>
        </is>
      </c>
      <c r="H1455" s="1" t="n">
        <v>10</v>
      </c>
      <c r="I1455" s="1" t="inlineStr">
        <is>
          <t>หมด</t>
        </is>
      </c>
      <c r="J1455" s="13" t="n">
        <v>295</v>
      </c>
      <c r="K1455" s="1" t="inlineStr"/>
      <c r="L1455" s="13" t="n"/>
      <c r="M1455" s="1">
        <f>IF(L1455="","ไม่พบใน SG",IF(ABS(J1455-L1455)&lt;0.005,"ตรงกัน","ไม่ตรง"))</f>
        <v/>
      </c>
      <c r="N1455" s="14">
        <f>IF(L1455="","",ROUND(L1455*'สรุป'!$C$6,-1))</f>
        <v/>
      </c>
      <c r="O1455" s="15" t="n"/>
      <c r="P1455" s="15" t="n"/>
      <c r="Q1455" s="10" t="n"/>
      <c r="R1455" s="10" t="n"/>
      <c r="S1455" s="16" t="inlineStr">
        <is>
          <t>https://mstgolf.co.th/products/gf2500102786</t>
        </is>
      </c>
      <c r="T1455" s="1">
        <f>IF(B1455="ไม้กอล์ฟ",J1455,"")</f>
        <v/>
      </c>
    </row>
    <row r="1456">
      <c r="A1456" s="1" t="n">
        <v>2</v>
      </c>
      <c r="B1456" s="1" t="inlineStr">
        <is>
          <t>รองเท้า</t>
        </is>
      </c>
      <c r="C1456" s="1" t="inlineStr">
        <is>
          <t>gf2500201527</t>
        </is>
      </c>
      <c r="D1456" s="1" t="inlineStr">
        <is>
          <t>GFORE Gallivan2r Emblem Men's Spikeless Shoes (Snow/Pink)</t>
        </is>
      </c>
      <c r="E1456" s="1" t="inlineStr">
        <is>
          <t>GFORE</t>
        </is>
      </c>
      <c r="F1456" s="1" t="inlineStr">
        <is>
          <t>SPIKELESS SHOES</t>
        </is>
      </c>
      <c r="G1456" s="1" t="inlineStr">
        <is>
          <t>GF2500201527US7</t>
        </is>
      </c>
      <c r="H1456" s="1" t="n">
        <v>10</v>
      </c>
      <c r="I1456" s="1" t="inlineStr">
        <is>
          <t>หมด</t>
        </is>
      </c>
      <c r="J1456" s="13" t="n">
        <v>295</v>
      </c>
      <c r="K1456" s="1" t="inlineStr"/>
      <c r="L1456" s="13" t="n"/>
      <c r="M1456" s="1">
        <f>IF(L1456="","ไม่พบใน SG",IF(ABS(J1456-L1456)&lt;0.005,"ตรงกัน","ไม่ตรง"))</f>
        <v/>
      </c>
      <c r="N1456" s="14">
        <f>IF(L1456="","",ROUND(L1456*'สรุป'!$C$6,-1))</f>
        <v/>
      </c>
      <c r="O1456" s="15" t="n"/>
      <c r="P1456" s="15" t="n"/>
      <c r="Q1456" s="10" t="n"/>
      <c r="R1456" s="10" t="n"/>
      <c r="S1456" s="16" t="inlineStr">
        <is>
          <t>https://mstgolf.co.th/products/gf2500201527</t>
        </is>
      </c>
      <c r="T1456" s="1">
        <f>IF(B1456="ไม้กอล์ฟ",J1456,"")</f>
        <v/>
      </c>
    </row>
    <row r="1457">
      <c r="A1457" s="1" t="n">
        <v>2</v>
      </c>
      <c r="B1457" s="1" t="inlineStr">
        <is>
          <t>รองเท้า</t>
        </is>
      </c>
      <c r="C1457" s="1" t="inlineStr">
        <is>
          <t>gf2500201502</t>
        </is>
      </c>
      <c r="D1457" s="1" t="inlineStr">
        <is>
          <t>ADIDAS Codechaos 25 Midcut BOA Men's Spikeless Shoes (Beige)</t>
        </is>
      </c>
      <c r="E1457" s="1" t="inlineStr">
        <is>
          <t>ADIDAS</t>
        </is>
      </c>
      <c r="F1457" s="1" t="inlineStr">
        <is>
          <t>SPIKELESS SHOES</t>
        </is>
      </c>
      <c r="G1457" s="1" t="inlineStr">
        <is>
          <t>GF2500201502UK3.5</t>
        </is>
      </c>
      <c r="H1457" s="1" t="n">
        <v>19</v>
      </c>
      <c r="I1457" s="1" t="inlineStr">
        <is>
          <t>หมด</t>
        </is>
      </c>
      <c r="J1457" s="13" t="n">
        <v>289</v>
      </c>
      <c r="K1457" s="1" t="inlineStr"/>
      <c r="L1457" s="13" t="n"/>
      <c r="M1457" s="1">
        <f>IF(L1457="","ไม่พบใน SG",IF(ABS(J1457-L1457)&lt;0.005,"ตรงกัน","ไม่ตรง"))</f>
        <v/>
      </c>
      <c r="N1457" s="14">
        <f>IF(L1457="","",ROUND(L1457*'สรุป'!$C$6,-1))</f>
        <v/>
      </c>
      <c r="O1457" s="15" t="n"/>
      <c r="P1457" s="15" t="n"/>
      <c r="Q1457" s="10" t="n"/>
      <c r="R1457" s="10" t="n"/>
      <c r="S1457" s="16" t="inlineStr">
        <is>
          <t>https://mstgolf.co.th/products/gf2500201502</t>
        </is>
      </c>
      <c r="T1457" s="1">
        <f>IF(B1457="ไม้กอล์ฟ",J1457,"")</f>
        <v/>
      </c>
    </row>
    <row r="1458">
      <c r="A1458" s="1" t="n">
        <v>2</v>
      </c>
      <c r="B1458" s="1" t="inlineStr">
        <is>
          <t>ถุงกอล์ฟ</t>
        </is>
      </c>
      <c r="C1458" s="1" t="inlineStr">
        <is>
          <t>gf3000201462</t>
        </is>
      </c>
      <c r="D1458" s="1" t="inlineStr">
        <is>
          <t>TITLEIST Players 4 Stand Bag (Eucalyptus)</t>
        </is>
      </c>
      <c r="E1458" s="1" t="inlineStr">
        <is>
          <t>TITLEIST</t>
        </is>
      </c>
      <c r="F1458" s="1" t="inlineStr">
        <is>
          <t>STAND BAG</t>
        </is>
      </c>
      <c r="G1458" s="1" t="inlineStr">
        <is>
          <t>GF3000201462</t>
        </is>
      </c>
      <c r="H1458" s="1" t="n">
        <v>1</v>
      </c>
      <c r="I1458" s="1" t="inlineStr">
        <is>
          <t>หมด</t>
        </is>
      </c>
      <c r="J1458" s="13" t="n">
        <v>289</v>
      </c>
      <c r="K1458" s="1" t="inlineStr"/>
      <c r="L1458" s="13" t="n">
        <v>289</v>
      </c>
      <c r="M1458" s="1">
        <f>IF(L1458="","ไม่พบใน SG",IF(ABS(J1458-L1458)&lt;0.005,"ตรงกัน","ไม่ตรง"))</f>
        <v/>
      </c>
      <c r="N1458" s="14">
        <f>IF(L1458="","",ROUND(L1458*'สรุป'!$C$6,-1))</f>
        <v/>
      </c>
      <c r="O1458" s="15" t="n"/>
      <c r="P1458" s="15" t="n"/>
      <c r="Q1458" s="10" t="n"/>
      <c r="R1458" s="10" t="n"/>
      <c r="S1458" s="16" t="inlineStr">
        <is>
          <t>https://mstgolf.co.th/products/gf3000201462</t>
        </is>
      </c>
      <c r="T1458" s="1">
        <f>IF(B1458="ไม้กอล์ฟ",J1458,"")</f>
        <v/>
      </c>
    </row>
    <row r="1459">
      <c r="A1459" s="1" t="n">
        <v>2</v>
      </c>
      <c r="B1459" s="1" t="inlineStr">
        <is>
          <t>ถุงกอล์ฟ</t>
        </is>
      </c>
      <c r="C1459" s="1" t="inlineStr">
        <is>
          <t>gf3000201464</t>
        </is>
      </c>
      <c r="D1459" s="1" t="inlineStr">
        <is>
          <t>TITLEIST Players 4 Stand Bag (Sand/Navy)</t>
        </is>
      </c>
      <c r="E1459" s="1" t="inlineStr">
        <is>
          <t>TITLEIST</t>
        </is>
      </c>
      <c r="F1459" s="1" t="inlineStr">
        <is>
          <t>STAND BAG</t>
        </is>
      </c>
      <c r="G1459" s="1" t="inlineStr">
        <is>
          <t>GF3000201464</t>
        </is>
      </c>
      <c r="H1459" s="1" t="n">
        <v>1</v>
      </c>
      <c r="I1459" s="1" t="inlineStr">
        <is>
          <t>หมด</t>
        </is>
      </c>
      <c r="J1459" s="13" t="n">
        <v>289</v>
      </c>
      <c r="K1459" s="1" t="inlineStr"/>
      <c r="L1459" s="13" t="n">
        <v>289</v>
      </c>
      <c r="M1459" s="1">
        <f>IF(L1459="","ไม่พบใน SG",IF(ABS(J1459-L1459)&lt;0.005,"ตรงกัน","ไม่ตรง"))</f>
        <v/>
      </c>
      <c r="N1459" s="14">
        <f>IF(L1459="","",ROUND(L1459*'สรุป'!$C$6,-1))</f>
        <v/>
      </c>
      <c r="O1459" s="15" t="n"/>
      <c r="P1459" s="15" t="n"/>
      <c r="Q1459" s="10" t="n"/>
      <c r="R1459" s="10" t="n"/>
      <c r="S1459" s="16" t="inlineStr">
        <is>
          <t>https://mstgolf.co.th/products/gf3000201464</t>
        </is>
      </c>
      <c r="T1459" s="1">
        <f>IF(B1459="ไม้กอล์ฟ",J1459,"")</f>
        <v/>
      </c>
    </row>
    <row r="1460">
      <c r="A1460" s="1" t="n">
        <v>2</v>
      </c>
      <c r="B1460" s="1" t="inlineStr">
        <is>
          <t>ถุงกอล์ฟ</t>
        </is>
      </c>
      <c r="C1460" s="1" t="inlineStr">
        <is>
          <t>gf3011000030</t>
        </is>
      </c>
      <c r="D1460" s="1" t="inlineStr">
        <is>
          <t>TITLEIST Professional Luggage (Black)</t>
        </is>
      </c>
      <c r="E1460" s="1" t="inlineStr">
        <is>
          <t>TITLEIST</t>
        </is>
      </c>
      <c r="F1460" s="1" t="inlineStr">
        <is>
          <t>LUGGAGE</t>
        </is>
      </c>
      <c r="G1460" s="1" t="inlineStr">
        <is>
          <t>GF3011000030</t>
        </is>
      </c>
      <c r="H1460" s="1" t="n">
        <v>1</v>
      </c>
      <c r="I1460" s="1" t="inlineStr">
        <is>
          <t>หมด</t>
        </is>
      </c>
      <c r="J1460" s="13" t="n">
        <v>289</v>
      </c>
      <c r="K1460" s="1" t="inlineStr"/>
      <c r="L1460" s="13" t="n">
        <v>289</v>
      </c>
      <c r="M1460" s="1">
        <f>IF(L1460="","ไม่พบใน SG",IF(ABS(J1460-L1460)&lt;0.005,"ตรงกัน","ไม่ตรง"))</f>
        <v/>
      </c>
      <c r="N1460" s="14">
        <f>IF(L1460="","",ROUND(L1460*'สรุป'!$C$6,-1))</f>
        <v/>
      </c>
      <c r="O1460" s="15" t="n"/>
      <c r="P1460" s="15" t="n"/>
      <c r="Q1460" s="10" t="n"/>
      <c r="R1460" s="10" t="n"/>
      <c r="S1460" s="16" t="inlineStr">
        <is>
          <t>https://mstgolf.co.th/products/gf3011000030</t>
        </is>
      </c>
      <c r="T1460" s="1">
        <f>IF(B1460="ไม้กอล์ฟ",J1460,"")</f>
        <v/>
      </c>
    </row>
    <row r="1461">
      <c r="A1461" s="1" t="n">
        <v>2</v>
      </c>
      <c r="B1461" s="1" t="inlineStr">
        <is>
          <t>ถุงกอล์ฟ</t>
        </is>
      </c>
      <c r="C1461" s="1" t="inlineStr">
        <is>
          <t>gf3010101355</t>
        </is>
      </c>
      <c r="D1461" s="1" t="inlineStr">
        <is>
          <t>WAAC 2-Way Boston Bag (Green)</t>
        </is>
      </c>
      <c r="E1461" s="1" t="inlineStr">
        <is>
          <t>WAAC</t>
        </is>
      </c>
      <c r="F1461" s="1" t="inlineStr">
        <is>
          <t>BOSTON/DUFFLE BAG</t>
        </is>
      </c>
      <c r="G1461" s="1" t="inlineStr">
        <is>
          <t>GF3010101355</t>
        </is>
      </c>
      <c r="H1461" s="1" t="n">
        <v>1</v>
      </c>
      <c r="I1461" s="1" t="inlineStr">
        <is>
          <t>หมด</t>
        </is>
      </c>
      <c r="J1461" s="13" t="n">
        <v>289</v>
      </c>
      <c r="K1461" s="1" t="inlineStr"/>
      <c r="L1461" s="13" t="n"/>
      <c r="M1461" s="1">
        <f>IF(L1461="","ไม่พบใน SG",IF(ABS(J1461-L1461)&lt;0.005,"ตรงกัน","ไม่ตรง"))</f>
        <v/>
      </c>
      <c r="N1461" s="14">
        <f>IF(L1461="","",ROUND(L1461*'สรุป'!$C$6,-1))</f>
        <v/>
      </c>
      <c r="O1461" s="15" t="n"/>
      <c r="P1461" s="15" t="n"/>
      <c r="Q1461" s="10" t="n"/>
      <c r="R1461" s="10" t="n"/>
      <c r="S1461" s="16" t="inlineStr">
        <is>
          <t>https://mstgolf.co.th/products/gf3010101355</t>
        </is>
      </c>
      <c r="T1461" s="1">
        <f>IF(B1461="ไม้กอล์ฟ",J1461,"")</f>
        <v/>
      </c>
    </row>
    <row r="1462">
      <c r="A1462" s="1" t="n">
        <v>2</v>
      </c>
      <c r="B1462" s="1" t="inlineStr">
        <is>
          <t>รองเท้า</t>
        </is>
      </c>
      <c r="C1462" s="1" t="inlineStr">
        <is>
          <t>gf2500201222</t>
        </is>
      </c>
      <c r="D1462" s="1" t="inlineStr">
        <is>
          <t>ADIDAS CodeChaos BOA Men's Spikeless Shoes (Black/Yellow/White)</t>
        </is>
      </c>
      <c r="E1462" s="1" t="inlineStr">
        <is>
          <t>ADIDAS</t>
        </is>
      </c>
      <c r="F1462" s="1" t="inlineStr">
        <is>
          <t>SPIKELESS SHOES</t>
        </is>
      </c>
      <c r="G1462" s="1" t="inlineStr">
        <is>
          <t>GF2500201222UK6.5</t>
        </is>
      </c>
      <c r="H1462" s="1" t="n">
        <v>12</v>
      </c>
      <c r="I1462" s="1" t="inlineStr">
        <is>
          <t>หมด</t>
        </is>
      </c>
      <c r="J1462" s="13" t="n">
        <v>285</v>
      </c>
      <c r="K1462" s="1" t="inlineStr"/>
      <c r="L1462" s="13" t="n">
        <v>115</v>
      </c>
      <c r="M1462" s="1">
        <f>IF(L1462="","ไม่พบใน SG",IF(ABS(J1462-L1462)&lt;0.005,"ตรงกัน","ไม่ตรง"))</f>
        <v/>
      </c>
      <c r="N1462" s="14">
        <f>IF(L1462="","",ROUND(L1462*'สรุป'!$C$6,-1))</f>
        <v/>
      </c>
      <c r="O1462" s="15" t="n"/>
      <c r="P1462" s="15" t="n"/>
      <c r="Q1462" s="10" t="n"/>
      <c r="R1462" s="10" t="n"/>
      <c r="S1462" s="16" t="inlineStr">
        <is>
          <t>https://mstgolf.co.th/products/gf2500201222</t>
        </is>
      </c>
      <c r="T1462" s="1">
        <f>IF(B1462="ไม้กอล์ฟ",J1462,"")</f>
        <v/>
      </c>
    </row>
    <row r="1463">
      <c r="A1463" s="1" t="n">
        <v>2</v>
      </c>
      <c r="B1463" s="1" t="inlineStr">
        <is>
          <t>รองเท้า</t>
        </is>
      </c>
      <c r="C1463" s="1" t="inlineStr">
        <is>
          <t>gf2500102788</t>
        </is>
      </c>
      <c r="D1463" s="1" t="inlineStr">
        <is>
          <t>FOOTJOY Hyperflex BOA Women's Spiked Shoes (Grey/White/Green)</t>
        </is>
      </c>
      <c r="E1463" s="1" t="inlineStr">
        <is>
          <t>FOOTJOY</t>
        </is>
      </c>
      <c r="F1463" s="1" t="inlineStr">
        <is>
          <t>SPIKE SHOES</t>
        </is>
      </c>
      <c r="G1463" s="1" t="inlineStr">
        <is>
          <t>GF2500102788US5</t>
        </is>
      </c>
      <c r="H1463" s="1" t="n">
        <v>9</v>
      </c>
      <c r="I1463" s="1" t="inlineStr">
        <is>
          <t>หมด</t>
        </is>
      </c>
      <c r="J1463" s="13" t="n">
        <v>285</v>
      </c>
      <c r="K1463" s="1" t="inlineStr"/>
      <c r="L1463" s="13" t="n"/>
      <c r="M1463" s="1">
        <f>IF(L1463="","ไม่พบใน SG",IF(ABS(J1463-L1463)&lt;0.005,"ตรงกัน","ไม่ตรง"))</f>
        <v/>
      </c>
      <c r="N1463" s="14">
        <f>IF(L1463="","",ROUND(L1463*'สรุป'!$C$6,-1))</f>
        <v/>
      </c>
      <c r="O1463" s="15" t="n"/>
      <c r="P1463" s="15" t="n"/>
      <c r="Q1463" s="10" t="n"/>
      <c r="R1463" s="10" t="n"/>
      <c r="S1463" s="16" t="inlineStr">
        <is>
          <t>https://mstgolf.co.th/products/gf2500102788</t>
        </is>
      </c>
      <c r="T1463" s="1">
        <f>IF(B1463="ไม้กอล์ฟ",J1463,"")</f>
        <v/>
      </c>
    </row>
    <row r="1464">
      <c r="A1464" s="1" t="n">
        <v>2</v>
      </c>
      <c r="B1464" s="1" t="inlineStr">
        <is>
          <t>รองเท้า</t>
        </is>
      </c>
      <c r="C1464" s="1" t="inlineStr">
        <is>
          <t>gf2500102754</t>
        </is>
      </c>
      <c r="D1464" s="1" t="inlineStr">
        <is>
          <t>FOOTJOY Hyperflex BOA Women's Spiked Shoes (White/Pink/Charcoal)</t>
        </is>
      </c>
      <c r="E1464" s="1" t="inlineStr">
        <is>
          <t>FOOTJOY</t>
        </is>
      </c>
      <c r="F1464" s="1" t="inlineStr">
        <is>
          <t>SPIKE SHOES</t>
        </is>
      </c>
      <c r="G1464" s="1" t="inlineStr">
        <is>
          <t>GF2500102754US5</t>
        </is>
      </c>
      <c r="H1464" s="1" t="n">
        <v>9</v>
      </c>
      <c r="I1464" s="1" t="inlineStr">
        <is>
          <t>หมด</t>
        </is>
      </c>
      <c r="J1464" s="13" t="n">
        <v>285</v>
      </c>
      <c r="K1464" s="1" t="inlineStr"/>
      <c r="L1464" s="13" t="n"/>
      <c r="M1464" s="1">
        <f>IF(L1464="","ไม่พบใน SG",IF(ABS(J1464-L1464)&lt;0.005,"ตรงกัน","ไม่ตรง"))</f>
        <v/>
      </c>
      <c r="N1464" s="14">
        <f>IF(L1464="","",ROUND(L1464*'สรุป'!$C$6,-1))</f>
        <v/>
      </c>
      <c r="O1464" s="15" t="n"/>
      <c r="P1464" s="15" t="n"/>
      <c r="Q1464" s="10" t="n"/>
      <c r="R1464" s="10" t="n"/>
      <c r="S1464" s="16" t="inlineStr">
        <is>
          <t>https://mstgolf.co.th/products/gf2500102754</t>
        </is>
      </c>
      <c r="T1464" s="1">
        <f>IF(B1464="ไม้กอล์ฟ",J1464,"")</f>
        <v/>
      </c>
    </row>
    <row r="1465">
      <c r="A1465" s="1" t="n">
        <v>2</v>
      </c>
      <c r="B1465" s="1" t="inlineStr">
        <is>
          <t>ถุงกอล์ฟ</t>
        </is>
      </c>
      <c r="C1465" s="1" t="inlineStr">
        <is>
          <t>gf3000201282</t>
        </is>
      </c>
      <c r="D1465" s="1" t="inlineStr">
        <is>
          <t>TAYLORMADE 9.5" City-Tech Stand Bag (Blue)</t>
        </is>
      </c>
      <c r="E1465" s="1" t="inlineStr">
        <is>
          <t>TAYLORMADE</t>
        </is>
      </c>
      <c r="F1465" s="1" t="inlineStr">
        <is>
          <t>STAND BAG</t>
        </is>
      </c>
      <c r="G1465" s="1" t="inlineStr">
        <is>
          <t>GF3000201282</t>
        </is>
      </c>
      <c r="H1465" s="1" t="n">
        <v>1</v>
      </c>
      <c r="I1465" s="1" t="inlineStr">
        <is>
          <t>หมด</t>
        </is>
      </c>
      <c r="J1465" s="13" t="n">
        <v>285</v>
      </c>
      <c r="K1465" s="1" t="inlineStr"/>
      <c r="L1465" s="13" t="n">
        <v>285</v>
      </c>
      <c r="M1465" s="1">
        <f>IF(L1465="","ไม่พบใน SG",IF(ABS(J1465-L1465)&lt;0.005,"ตรงกัน","ไม่ตรง"))</f>
        <v/>
      </c>
      <c r="N1465" s="14">
        <f>IF(L1465="","",ROUND(L1465*'สรุป'!$C$6,-1))</f>
        <v/>
      </c>
      <c r="O1465" s="15" t="n"/>
      <c r="P1465" s="15" t="n"/>
      <c r="Q1465" s="10" t="n"/>
      <c r="R1465" s="10" t="n"/>
      <c r="S1465" s="16" t="inlineStr">
        <is>
          <t>https://mstgolf.co.th/products/gf3000201282</t>
        </is>
      </c>
      <c r="T1465" s="1">
        <f>IF(B1465="ไม้กอล์ฟ",J1465,"")</f>
        <v/>
      </c>
    </row>
    <row r="1466">
      <c r="A1466" s="1" t="n">
        <v>2</v>
      </c>
      <c r="B1466" s="1" t="inlineStr">
        <is>
          <t>ถุงกอล์ฟ</t>
        </is>
      </c>
      <c r="C1466" s="1" t="inlineStr">
        <is>
          <t>gf3000201283</t>
        </is>
      </c>
      <c r="D1466" s="1" t="inlineStr">
        <is>
          <t>TAYLORMADE 9.5" City-Tech Stand Bag (Lime/Grey)</t>
        </is>
      </c>
      <c r="E1466" s="1" t="inlineStr">
        <is>
          <t>TAYLORMADE</t>
        </is>
      </c>
      <c r="F1466" s="1" t="inlineStr">
        <is>
          <t>STAND BAG</t>
        </is>
      </c>
      <c r="G1466" s="1" t="inlineStr">
        <is>
          <t>GF3000201283</t>
        </is>
      </c>
      <c r="H1466" s="1" t="n">
        <v>1</v>
      </c>
      <c r="I1466" s="1" t="inlineStr">
        <is>
          <t>หมด</t>
        </is>
      </c>
      <c r="J1466" s="13" t="n">
        <v>285</v>
      </c>
      <c r="K1466" s="1" t="inlineStr"/>
      <c r="L1466" s="13" t="n">
        <v>285</v>
      </c>
      <c r="M1466" s="1">
        <f>IF(L1466="","ไม่พบใน SG",IF(ABS(J1466-L1466)&lt;0.005,"ตรงกัน","ไม่ตรง"))</f>
        <v/>
      </c>
      <c r="N1466" s="14">
        <f>IF(L1466="","",ROUND(L1466*'สรุป'!$C$6,-1))</f>
        <v/>
      </c>
      <c r="O1466" s="15" t="n"/>
      <c r="P1466" s="15" t="n"/>
      <c r="Q1466" s="10" t="n"/>
      <c r="R1466" s="10" t="n"/>
      <c r="S1466" s="16" t="inlineStr">
        <is>
          <t>https://mstgolf.co.th/products/gf3000201283</t>
        </is>
      </c>
      <c r="T1466" s="1">
        <f>IF(B1466="ไม้กอล์ฟ",J1466,"")</f>
        <v/>
      </c>
    </row>
    <row r="1467">
      <c r="A1467" s="1" t="n">
        <v>2</v>
      </c>
      <c r="B1467" s="1" t="inlineStr">
        <is>
          <t>ถุงกอล์ฟ</t>
        </is>
      </c>
      <c r="C1467" s="1" t="inlineStr">
        <is>
          <t>gf3000102537</t>
        </is>
      </c>
      <c r="D1467" s="1" t="inlineStr">
        <is>
          <t>TAYLORMADE 9.5" Premium Modern Cart Bag (Black)</t>
        </is>
      </c>
      <c r="E1467" s="1" t="inlineStr">
        <is>
          <t>TAYLORMADE</t>
        </is>
      </c>
      <c r="F1467" s="1" t="inlineStr">
        <is>
          <t>CADDIE/CART BAG</t>
        </is>
      </c>
      <c r="G1467" s="1" t="inlineStr">
        <is>
          <t>GF3000102537</t>
        </is>
      </c>
      <c r="H1467" s="1" t="n">
        <v>1</v>
      </c>
      <c r="I1467" s="1" t="inlineStr">
        <is>
          <t>หมด</t>
        </is>
      </c>
      <c r="J1467" s="13" t="n">
        <v>285</v>
      </c>
      <c r="K1467" s="1" t="inlineStr"/>
      <c r="L1467" s="13" t="n">
        <v>285</v>
      </c>
      <c r="M1467" s="1">
        <f>IF(L1467="","ไม่พบใน SG",IF(ABS(J1467-L1467)&lt;0.005,"ตรงกัน","ไม่ตรง"))</f>
        <v/>
      </c>
      <c r="N1467" s="14">
        <f>IF(L1467="","",ROUND(L1467*'สรุป'!$C$6,-1))</f>
        <v/>
      </c>
      <c r="O1467" s="15" t="n"/>
      <c r="P1467" s="15" t="n"/>
      <c r="Q1467" s="10" t="n"/>
      <c r="R1467" s="10" t="n"/>
      <c r="S1467" s="16" t="inlineStr">
        <is>
          <t>https://mstgolf.co.th/products/gf3000102537</t>
        </is>
      </c>
      <c r="T1467" s="1">
        <f>IF(B1467="ไม้กอล์ฟ",J1467,"")</f>
        <v/>
      </c>
    </row>
    <row r="1468">
      <c r="A1468" s="1" t="n">
        <v>2</v>
      </c>
      <c r="B1468" s="1" t="inlineStr">
        <is>
          <t>ถุงกอล์ฟ</t>
        </is>
      </c>
      <c r="C1468" s="1" t="inlineStr">
        <is>
          <t>gf3000102539</t>
        </is>
      </c>
      <c r="D1468" s="1" t="inlineStr">
        <is>
          <t>TAYLORMADE 9.5" Premium Modern Cart Bag (Silver)</t>
        </is>
      </c>
      <c r="E1468" s="1" t="inlineStr">
        <is>
          <t>TAYLORMADE</t>
        </is>
      </c>
      <c r="F1468" s="1" t="inlineStr">
        <is>
          <t>CADDIE/CART BAG</t>
        </is>
      </c>
      <c r="G1468" s="1" t="inlineStr">
        <is>
          <t>GF3000102539</t>
        </is>
      </c>
      <c r="H1468" s="1" t="n">
        <v>1</v>
      </c>
      <c r="I1468" s="1" t="inlineStr">
        <is>
          <t>หมด</t>
        </is>
      </c>
      <c r="J1468" s="13" t="n">
        <v>285</v>
      </c>
      <c r="K1468" s="1" t="inlineStr"/>
      <c r="L1468" s="13" t="n">
        <v>285</v>
      </c>
      <c r="M1468" s="1">
        <f>IF(L1468="","ไม่พบใน SG",IF(ABS(J1468-L1468)&lt;0.005,"ตรงกัน","ไม่ตรง"))</f>
        <v/>
      </c>
      <c r="N1468" s="14">
        <f>IF(L1468="","",ROUND(L1468*'สรุป'!$C$6,-1))</f>
        <v/>
      </c>
      <c r="O1468" s="15" t="n"/>
      <c r="P1468" s="15" t="n"/>
      <c r="Q1468" s="10" t="n"/>
      <c r="R1468" s="10" t="n"/>
      <c r="S1468" s="16" t="inlineStr">
        <is>
          <t>https://mstgolf.co.th/products/gf3000102539</t>
        </is>
      </c>
      <c r="T1468" s="1">
        <f>IF(B1468="ไม้กอล์ฟ",J1468,"")</f>
        <v/>
      </c>
    </row>
    <row r="1469">
      <c r="A1469" s="1" t="n">
        <v>2</v>
      </c>
      <c r="B1469" s="1" t="inlineStr">
        <is>
          <t>รองเท้า</t>
        </is>
      </c>
      <c r="C1469" s="1" t="inlineStr">
        <is>
          <t>gf2500201288</t>
        </is>
      </c>
      <c r="D1469" s="1" t="inlineStr">
        <is>
          <t>ADIDAS CodeChaos BOA 25 Men's Spikeless Shoes (White/Silver/Navy)</t>
        </is>
      </c>
      <c r="E1469" s="1" t="inlineStr">
        <is>
          <t>ADIDAS</t>
        </is>
      </c>
      <c r="F1469" s="1" t="inlineStr">
        <is>
          <t>SPIKELESS SHOES</t>
        </is>
      </c>
      <c r="G1469" s="1" t="inlineStr">
        <is>
          <t>GF2500201288UK6.5</t>
        </is>
      </c>
      <c r="H1469" s="1" t="n">
        <v>11</v>
      </c>
      <c r="I1469" s="1" t="inlineStr">
        <is>
          <t>หมด</t>
        </is>
      </c>
      <c r="J1469" s="13" t="n">
        <v>279</v>
      </c>
      <c r="K1469" s="1" t="inlineStr"/>
      <c r="L1469" s="13" t="n">
        <v>139</v>
      </c>
      <c r="M1469" s="1">
        <f>IF(L1469="","ไม่พบใน SG",IF(ABS(J1469-L1469)&lt;0.005,"ตรงกัน","ไม่ตรง"))</f>
        <v/>
      </c>
      <c r="N1469" s="14">
        <f>IF(L1469="","",ROUND(L1469*'สรุป'!$C$6,-1))</f>
        <v/>
      </c>
      <c r="O1469" s="15" t="n"/>
      <c r="P1469" s="15" t="n"/>
      <c r="Q1469" s="10" t="n"/>
      <c r="R1469" s="10" t="n"/>
      <c r="S1469" s="16" t="inlineStr">
        <is>
          <t>https://mstgolf.co.th/products/gf2500201288</t>
        </is>
      </c>
      <c r="T1469" s="1">
        <f>IF(B1469="ไม้กอล์ฟ",J1469,"")</f>
        <v/>
      </c>
    </row>
    <row r="1470">
      <c r="A1470" s="1" t="n">
        <v>2</v>
      </c>
      <c r="B1470" s="1" t="inlineStr">
        <is>
          <t>รองเท้า</t>
        </is>
      </c>
      <c r="C1470" s="1" t="inlineStr">
        <is>
          <t>gf2500201307</t>
        </is>
      </c>
      <c r="D1470" s="1" t="inlineStr">
        <is>
          <t>ADIDAS CodeChaos BOA 25 Women's Spikeless Shoes (White/Coral/Clay)</t>
        </is>
      </c>
      <c r="E1470" s="1" t="inlineStr">
        <is>
          <t>ADIDAS</t>
        </is>
      </c>
      <c r="F1470" s="1" t="inlineStr">
        <is>
          <t>SPIKELESS SHOES</t>
        </is>
      </c>
      <c r="G1470" s="1" t="inlineStr">
        <is>
          <t>GF2500201307UK3.5</t>
        </is>
      </c>
      <c r="H1470" s="1" t="n">
        <v>10</v>
      </c>
      <c r="I1470" s="1" t="inlineStr">
        <is>
          <t>หมด</t>
        </is>
      </c>
      <c r="J1470" s="13" t="n">
        <v>279</v>
      </c>
      <c r="K1470" s="1" t="inlineStr"/>
      <c r="L1470" s="13" t="n">
        <v>139</v>
      </c>
      <c r="M1470" s="1">
        <f>IF(L1470="","ไม่พบใน SG",IF(ABS(J1470-L1470)&lt;0.005,"ตรงกัน","ไม่ตรง"))</f>
        <v/>
      </c>
      <c r="N1470" s="14">
        <f>IF(L1470="","",ROUND(L1470*'สรุป'!$C$6,-1))</f>
        <v/>
      </c>
      <c r="O1470" s="15" t="n"/>
      <c r="P1470" s="15" t="n"/>
      <c r="Q1470" s="10" t="n"/>
      <c r="R1470" s="10" t="n"/>
      <c r="S1470" s="16" t="inlineStr">
        <is>
          <t>https://mstgolf.co.th/products/gf2500201307</t>
        </is>
      </c>
      <c r="T1470" s="1">
        <f>IF(B1470="ไม้กอล์ฟ",J1470,"")</f>
        <v/>
      </c>
    </row>
    <row r="1471">
      <c r="A1471" s="1" t="n">
        <v>2</v>
      </c>
      <c r="B1471" s="1" t="inlineStr">
        <is>
          <t>ถุงกอล์ฟ</t>
        </is>
      </c>
      <c r="C1471" s="1" t="inlineStr">
        <is>
          <t>gf3010401173</t>
        </is>
      </c>
      <c r="D1471" s="1" t="inlineStr">
        <is>
          <t>BOSS GOLF Oblique Cube Pouch (Black)</t>
        </is>
      </c>
      <c r="E1471" s="1" t="inlineStr">
        <is>
          <t>BOSS GOLF</t>
        </is>
      </c>
      <c r="F1471" s="1" t="inlineStr">
        <is>
          <t>SMALL BAG</t>
        </is>
      </c>
      <c r="G1471" s="1" t="inlineStr">
        <is>
          <t>GF3010401173</t>
        </is>
      </c>
      <c r="H1471" s="1" t="n">
        <v>1</v>
      </c>
      <c r="I1471" s="1" t="inlineStr">
        <is>
          <t>หมด</t>
        </is>
      </c>
      <c r="J1471" s="13" t="n">
        <v>279</v>
      </c>
      <c r="K1471" s="1" t="inlineStr"/>
      <c r="L1471" s="13" t="n"/>
      <c r="M1471" s="1">
        <f>IF(L1471="","ไม่พบใน SG",IF(ABS(J1471-L1471)&lt;0.005,"ตรงกัน","ไม่ตรง"))</f>
        <v/>
      </c>
      <c r="N1471" s="14">
        <f>IF(L1471="","",ROUND(L1471*'สรุป'!$C$6,-1))</f>
        <v/>
      </c>
      <c r="O1471" s="15" t="n"/>
      <c r="P1471" s="15" t="n"/>
      <c r="Q1471" s="10" t="n"/>
      <c r="R1471" s="10" t="n"/>
      <c r="S1471" s="16" t="inlineStr">
        <is>
          <t>https://mstgolf.co.th/products/gf3010401173</t>
        </is>
      </c>
      <c r="T1471" s="1">
        <f>IF(B1471="ไม้กอล์ฟ",J1471,"")</f>
        <v/>
      </c>
    </row>
    <row r="1472">
      <c r="A1472" s="1" t="n">
        <v>2</v>
      </c>
      <c r="B1472" s="1" t="inlineStr">
        <is>
          <t>ถุงกอล์ฟ</t>
        </is>
      </c>
      <c r="C1472" s="1" t="inlineStr">
        <is>
          <t>gf3010401174</t>
        </is>
      </c>
      <c r="D1472" s="1" t="inlineStr">
        <is>
          <t>BOSS GOLF Oblique Cube Pouch (Green))</t>
        </is>
      </c>
      <c r="E1472" s="1" t="inlineStr">
        <is>
          <t>BOSS GOLF</t>
        </is>
      </c>
      <c r="F1472" s="1" t="inlineStr">
        <is>
          <t>SMALL BAG</t>
        </is>
      </c>
      <c r="G1472" s="1" t="inlineStr">
        <is>
          <t>GF3010401174</t>
        </is>
      </c>
      <c r="H1472" s="1" t="n">
        <v>1</v>
      </c>
      <c r="I1472" s="1" t="inlineStr">
        <is>
          <t>หมด</t>
        </is>
      </c>
      <c r="J1472" s="13" t="n">
        <v>279</v>
      </c>
      <c r="K1472" s="1" t="inlineStr"/>
      <c r="L1472" s="13" t="n"/>
      <c r="M1472" s="1">
        <f>IF(L1472="","ไม่พบใน SG",IF(ABS(J1472-L1472)&lt;0.005,"ตรงกัน","ไม่ตรง"))</f>
        <v/>
      </c>
      <c r="N1472" s="14">
        <f>IF(L1472="","",ROUND(L1472*'สรุป'!$C$6,-1))</f>
        <v/>
      </c>
      <c r="O1472" s="15" t="n"/>
      <c r="P1472" s="15" t="n"/>
      <c r="Q1472" s="10" t="n"/>
      <c r="R1472" s="10" t="n"/>
      <c r="S1472" s="16" t="inlineStr">
        <is>
          <t>https://mstgolf.co.th/products/gf3010401174</t>
        </is>
      </c>
      <c r="T1472" s="1">
        <f>IF(B1472="ไม้กอล์ฟ",J1472,"")</f>
        <v/>
      </c>
    </row>
    <row r="1473">
      <c r="A1473" s="1" t="n">
        <v>2</v>
      </c>
      <c r="B1473" s="1" t="inlineStr">
        <is>
          <t>ถุงกอล์ฟ</t>
        </is>
      </c>
      <c r="C1473" s="1" t="inlineStr">
        <is>
          <t>gf3000201341</t>
        </is>
      </c>
      <c r="D1473" s="1" t="inlineStr">
        <is>
          <t>ONOFF OB5924 9" Waterproof Stand Bag (Navy)</t>
        </is>
      </c>
      <c r="E1473" s="1" t="inlineStr">
        <is>
          <t>ONOFF</t>
        </is>
      </c>
      <c r="F1473" s="1" t="inlineStr">
        <is>
          <t>STAND BAG</t>
        </is>
      </c>
      <c r="G1473" s="1" t="inlineStr">
        <is>
          <t>GF3000201341</t>
        </is>
      </c>
      <c r="H1473" s="1" t="n">
        <v>1</v>
      </c>
      <c r="I1473" s="1" t="inlineStr">
        <is>
          <t>หมด</t>
        </is>
      </c>
      <c r="J1473" s="13" t="n">
        <v>279</v>
      </c>
      <c r="K1473" s="1" t="inlineStr"/>
      <c r="L1473" s="13" t="n">
        <v>279</v>
      </c>
      <c r="M1473" s="1">
        <f>IF(L1473="","ไม่พบใน SG",IF(ABS(J1473-L1473)&lt;0.005,"ตรงกัน","ไม่ตรง"))</f>
        <v/>
      </c>
      <c r="N1473" s="14">
        <f>IF(L1473="","",ROUND(L1473*'สรุป'!$C$6,-1))</f>
        <v/>
      </c>
      <c r="O1473" s="15" t="n"/>
      <c r="P1473" s="15" t="n"/>
      <c r="Q1473" s="10" t="n"/>
      <c r="R1473" s="10" t="n"/>
      <c r="S1473" s="16" t="inlineStr">
        <is>
          <t>https://mstgolf.co.th/products/gf3000201341</t>
        </is>
      </c>
      <c r="T1473" s="1">
        <f>IF(B1473="ไม้กอล์ฟ",J1473,"")</f>
        <v/>
      </c>
    </row>
    <row r="1474">
      <c r="A1474" s="1" t="n">
        <v>2</v>
      </c>
      <c r="B1474" s="1" t="inlineStr">
        <is>
          <t>ถุงกอล์ฟ</t>
        </is>
      </c>
      <c r="C1474" s="1" t="inlineStr">
        <is>
          <t>gf3010101305</t>
        </is>
      </c>
      <c r="D1474" s="1" t="inlineStr">
        <is>
          <t>WAAC Wheel Boston Bag (Black)</t>
        </is>
      </c>
      <c r="E1474" s="1" t="inlineStr">
        <is>
          <t>WAAC</t>
        </is>
      </c>
      <c r="F1474" s="1" t="inlineStr">
        <is>
          <t>BOSTON/DUFFLE BAG</t>
        </is>
      </c>
      <c r="G1474" s="1" t="inlineStr">
        <is>
          <t>GF3010101305</t>
        </is>
      </c>
      <c r="H1474" s="1" t="n">
        <v>1</v>
      </c>
      <c r="I1474" s="1" t="inlineStr">
        <is>
          <t>หมด</t>
        </is>
      </c>
      <c r="J1474" s="13" t="n">
        <v>279</v>
      </c>
      <c r="K1474" s="1" t="inlineStr"/>
      <c r="L1474" s="13" t="n">
        <v>279</v>
      </c>
      <c r="M1474" s="1">
        <f>IF(L1474="","ไม่พบใน SG",IF(ABS(J1474-L1474)&lt;0.005,"ตรงกัน","ไม่ตรง"))</f>
        <v/>
      </c>
      <c r="N1474" s="14">
        <f>IF(L1474="","",ROUND(L1474*'สรุป'!$C$6,-1))</f>
        <v/>
      </c>
      <c r="O1474" s="15" t="n"/>
      <c r="P1474" s="15" t="n"/>
      <c r="Q1474" s="10" t="n"/>
      <c r="R1474" s="10" t="n"/>
      <c r="S1474" s="16" t="inlineStr">
        <is>
          <t>https://mstgolf.co.th/products/gf3010101305</t>
        </is>
      </c>
      <c r="T1474" s="1">
        <f>IF(B1474="ไม้กอล์ฟ",J1474,"")</f>
        <v/>
      </c>
    </row>
    <row r="1475">
      <c r="A1475" s="1" t="n">
        <v>2</v>
      </c>
      <c r="B1475" s="1" t="inlineStr">
        <is>
          <t>ถุงกอล์ฟ</t>
        </is>
      </c>
      <c r="C1475" s="1" t="inlineStr">
        <is>
          <t>gf3000103070</t>
        </is>
      </c>
      <c r="D1475" s="1" t="inlineStr">
        <is>
          <t>ONOFF OB5424 9" Cart Bag (Navy)</t>
        </is>
      </c>
      <c r="E1475" s="1" t="inlineStr">
        <is>
          <t>ONOFF</t>
        </is>
      </c>
      <c r="F1475" s="1" t="inlineStr">
        <is>
          <t>CADDIE/CART BAG</t>
        </is>
      </c>
      <c r="G1475" s="1" t="inlineStr">
        <is>
          <t>GF3000103070</t>
        </is>
      </c>
      <c r="H1475" s="1" t="n">
        <v>1</v>
      </c>
      <c r="I1475" s="1" t="inlineStr">
        <is>
          <t>หมด</t>
        </is>
      </c>
      <c r="J1475" s="13" t="n">
        <v>275</v>
      </c>
      <c r="K1475" s="1" t="inlineStr"/>
      <c r="L1475" s="13" t="n">
        <v>275</v>
      </c>
      <c r="M1475" s="1">
        <f>IF(L1475="","ไม่พบใน SG",IF(ABS(J1475-L1475)&lt;0.005,"ตรงกัน","ไม่ตรง"))</f>
        <v/>
      </c>
      <c r="N1475" s="14">
        <f>IF(L1475="","",ROUND(L1475*'สรุป'!$C$6,-1))</f>
        <v/>
      </c>
      <c r="O1475" s="15" t="n"/>
      <c r="P1475" s="15" t="n"/>
      <c r="Q1475" s="10" t="n"/>
      <c r="R1475" s="10" t="n"/>
      <c r="S1475" s="16" t="inlineStr">
        <is>
          <t>https://mstgolf.co.th/products/gf3000103070</t>
        </is>
      </c>
      <c r="T1475" s="1">
        <f>IF(B1475="ไม้กอล์ฟ",J1475,"")</f>
        <v/>
      </c>
    </row>
    <row r="1476">
      <c r="A1476" s="1" t="n">
        <v>2</v>
      </c>
      <c r="B1476" s="1" t="inlineStr">
        <is>
          <t>ถุงกอล์ฟ</t>
        </is>
      </c>
      <c r="C1476" s="1" t="inlineStr">
        <is>
          <t>gf3000103071</t>
        </is>
      </c>
      <c r="D1476" s="1" t="inlineStr">
        <is>
          <t>ONOFF OB5424 9" Cart Bag (Sax Blue)</t>
        </is>
      </c>
      <c r="E1476" s="1" t="inlineStr">
        <is>
          <t>ONOFF</t>
        </is>
      </c>
      <c r="F1476" s="1" t="inlineStr">
        <is>
          <t>CADDIE/CART BAG</t>
        </is>
      </c>
      <c r="G1476" s="1" t="inlineStr">
        <is>
          <t>GF3000103071</t>
        </is>
      </c>
      <c r="H1476" s="1" t="n">
        <v>1</v>
      </c>
      <c r="I1476" s="1" t="inlineStr">
        <is>
          <t>หมด</t>
        </is>
      </c>
      <c r="J1476" s="13" t="n">
        <v>275</v>
      </c>
      <c r="K1476" s="1" t="inlineStr"/>
      <c r="L1476" s="13" t="n">
        <v>275</v>
      </c>
      <c r="M1476" s="1">
        <f>IF(L1476="","ไม่พบใน SG",IF(ABS(J1476-L1476)&lt;0.005,"ตรงกัน","ไม่ตรง"))</f>
        <v/>
      </c>
      <c r="N1476" s="14">
        <f>IF(L1476="","",ROUND(L1476*'สรุป'!$C$6,-1))</f>
        <v/>
      </c>
      <c r="O1476" s="15" t="n"/>
      <c r="P1476" s="15" t="n"/>
      <c r="Q1476" s="10" t="n"/>
      <c r="R1476" s="10" t="n"/>
      <c r="S1476" s="16" t="inlineStr">
        <is>
          <t>https://mstgolf.co.th/products/gf3000103071</t>
        </is>
      </c>
      <c r="T1476" s="1">
        <f>IF(B1476="ไม้กอล์ฟ",J1476,"")</f>
        <v/>
      </c>
    </row>
    <row r="1477">
      <c r="A1477" s="1" t="n">
        <v>2</v>
      </c>
      <c r="B1477" s="1" t="inlineStr">
        <is>
          <t>ถุงกอล์ฟ</t>
        </is>
      </c>
      <c r="C1477" s="1" t="inlineStr">
        <is>
          <t>gf3000103068</t>
        </is>
      </c>
      <c r="D1477" s="1" t="inlineStr">
        <is>
          <t>ONOFF OB5424 9" Cart Bag (Turquoise)</t>
        </is>
      </c>
      <c r="E1477" s="1" t="inlineStr">
        <is>
          <t>ONOFF</t>
        </is>
      </c>
      <c r="F1477" s="1" t="inlineStr">
        <is>
          <t>CADDIE/CART BAG</t>
        </is>
      </c>
      <c r="G1477" s="1" t="inlineStr">
        <is>
          <t>GF3000103068</t>
        </is>
      </c>
      <c r="H1477" s="1" t="n">
        <v>1</v>
      </c>
      <c r="I1477" s="1" t="inlineStr">
        <is>
          <t>หมด</t>
        </is>
      </c>
      <c r="J1477" s="13" t="n">
        <v>275</v>
      </c>
      <c r="K1477" s="1" t="inlineStr"/>
      <c r="L1477" s="13" t="n">
        <v>275</v>
      </c>
      <c r="M1477" s="1">
        <f>IF(L1477="","ไม่พบใน SG",IF(ABS(J1477-L1477)&lt;0.005,"ตรงกัน","ไม่ตรง"))</f>
        <v/>
      </c>
      <c r="N1477" s="14">
        <f>IF(L1477="","",ROUND(L1477*'สรุป'!$C$6,-1))</f>
        <v/>
      </c>
      <c r="O1477" s="15" t="n"/>
      <c r="P1477" s="15" t="n"/>
      <c r="Q1477" s="10" t="n"/>
      <c r="R1477" s="10" t="n"/>
      <c r="S1477" s="16" t="inlineStr">
        <is>
          <t>https://mstgolf.co.th/products/gf3000103068</t>
        </is>
      </c>
      <c r="T1477" s="1">
        <f>IF(B1477="ไม้กอล์ฟ",J1477,"")</f>
        <v/>
      </c>
    </row>
    <row r="1478">
      <c r="A1478" s="1" t="n">
        <v>2</v>
      </c>
      <c r="B1478" s="1" t="inlineStr">
        <is>
          <t>ถุงกอล์ฟ</t>
        </is>
      </c>
      <c r="C1478" s="1" t="inlineStr">
        <is>
          <t>gf3000200944</t>
        </is>
      </c>
      <c r="D1478" s="1" t="inlineStr">
        <is>
          <t>PXG Lightweight Carry Stand Bag (Black/White)</t>
        </is>
      </c>
      <c r="E1478" s="1" t="inlineStr">
        <is>
          <t>PXG</t>
        </is>
      </c>
      <c r="F1478" s="1" t="inlineStr">
        <is>
          <t>STAND BAG</t>
        </is>
      </c>
      <c r="G1478" s="1" t="inlineStr">
        <is>
          <t>GF3000200944</t>
        </is>
      </c>
      <c r="H1478" s="1" t="n">
        <v>1</v>
      </c>
      <c r="I1478" s="1" t="inlineStr">
        <is>
          <t>หมด</t>
        </is>
      </c>
      <c r="J1478" s="13" t="n">
        <v>275</v>
      </c>
      <c r="K1478" s="1" t="inlineStr"/>
      <c r="L1478" s="13" t="n"/>
      <c r="M1478" s="1">
        <f>IF(L1478="","ไม่พบใน SG",IF(ABS(J1478-L1478)&lt;0.005,"ตรงกัน","ไม่ตรง"))</f>
        <v/>
      </c>
      <c r="N1478" s="14">
        <f>IF(L1478="","",ROUND(L1478*'สรุป'!$C$6,-1))</f>
        <v/>
      </c>
      <c r="O1478" s="15" t="n"/>
      <c r="P1478" s="15" t="n"/>
      <c r="Q1478" s="10" t="n"/>
      <c r="R1478" s="10" t="n"/>
      <c r="S1478" s="16" t="inlineStr">
        <is>
          <t>https://mstgolf.co.th/products/gf3000200944</t>
        </is>
      </c>
      <c r="T1478" s="1">
        <f>IF(B1478="ไม้กอล์ฟ",J1478,"")</f>
        <v/>
      </c>
    </row>
    <row r="1479">
      <c r="A1479" s="1" t="n">
        <v>2</v>
      </c>
      <c r="B1479" s="1" t="inlineStr">
        <is>
          <t>ถุงกอล์ฟ</t>
        </is>
      </c>
      <c r="C1479" s="1" t="inlineStr">
        <is>
          <t>gf3000102708</t>
        </is>
      </c>
      <c r="D1479" s="1" t="inlineStr">
        <is>
          <t>TAYLORMADE 9.5" Auth-Tech Cart Bag (Black/Red)</t>
        </is>
      </c>
      <c r="E1479" s="1" t="inlineStr">
        <is>
          <t>TAYLORMADE</t>
        </is>
      </c>
      <c r="F1479" s="1" t="inlineStr">
        <is>
          <t>CADDIE/CART BAG</t>
        </is>
      </c>
      <c r="G1479" s="1" t="inlineStr">
        <is>
          <t>GF3000102708</t>
        </is>
      </c>
      <c r="H1479" s="1" t="n">
        <v>1</v>
      </c>
      <c r="I1479" s="1" t="inlineStr">
        <is>
          <t>หมด</t>
        </is>
      </c>
      <c r="J1479" s="13" t="n">
        <v>275</v>
      </c>
      <c r="K1479" s="1" t="inlineStr"/>
      <c r="L1479" s="13" t="n">
        <v>275</v>
      </c>
      <c r="M1479" s="1">
        <f>IF(L1479="","ไม่พบใน SG",IF(ABS(J1479-L1479)&lt;0.005,"ตรงกัน","ไม่ตรง"))</f>
        <v/>
      </c>
      <c r="N1479" s="14">
        <f>IF(L1479="","",ROUND(L1479*'สรุป'!$C$6,-1))</f>
        <v/>
      </c>
      <c r="O1479" s="15" t="n"/>
      <c r="P1479" s="15" t="n"/>
      <c r="Q1479" s="10" t="n"/>
      <c r="R1479" s="10" t="n"/>
      <c r="S1479" s="16" t="inlineStr">
        <is>
          <t>https://mstgolf.co.th/products/gf3000102708</t>
        </is>
      </c>
      <c r="T1479" s="1">
        <f>IF(B1479="ไม้กอล์ฟ",J1479,"")</f>
        <v/>
      </c>
    </row>
    <row r="1480">
      <c r="A1480" s="1" t="n">
        <v>2</v>
      </c>
      <c r="B1480" s="1" t="inlineStr">
        <is>
          <t>ถุงกอล์ฟ</t>
        </is>
      </c>
      <c r="C1480" s="1" t="inlineStr">
        <is>
          <t>gf3000102707</t>
        </is>
      </c>
      <c r="D1480" s="1" t="inlineStr">
        <is>
          <t>TAYLORMADE 9.5" Auth-Tech Cart Bag (Black/Red)</t>
        </is>
      </c>
      <c r="E1480" s="1" t="inlineStr">
        <is>
          <t>TAYLORMADE</t>
        </is>
      </c>
      <c r="F1480" s="1" t="inlineStr">
        <is>
          <t>CADDIE/CART BAG</t>
        </is>
      </c>
      <c r="G1480" s="1" t="inlineStr">
        <is>
          <t>GF3000102707</t>
        </is>
      </c>
      <c r="H1480" s="1" t="n">
        <v>1</v>
      </c>
      <c r="I1480" s="1" t="inlineStr">
        <is>
          <t>หมด</t>
        </is>
      </c>
      <c r="J1480" s="13" t="n">
        <v>275</v>
      </c>
      <c r="K1480" s="1" t="inlineStr"/>
      <c r="L1480" s="13" t="n">
        <v>275</v>
      </c>
      <c r="M1480" s="1">
        <f>IF(L1480="","ไม่พบใน SG",IF(ABS(J1480-L1480)&lt;0.005,"ตรงกัน","ไม่ตรง"))</f>
        <v/>
      </c>
      <c r="N1480" s="14">
        <f>IF(L1480="","",ROUND(L1480*'สรุป'!$C$6,-1))</f>
        <v/>
      </c>
      <c r="O1480" s="15" t="n"/>
      <c r="P1480" s="15" t="n"/>
      <c r="Q1480" s="10" t="n"/>
      <c r="R1480" s="10" t="n"/>
      <c r="S1480" s="16" t="inlineStr">
        <is>
          <t>https://mstgolf.co.th/products/gf3000102707</t>
        </is>
      </c>
      <c r="T1480" s="1">
        <f>IF(B1480="ไม้กอล์ฟ",J1480,"")</f>
        <v/>
      </c>
    </row>
    <row r="1481">
      <c r="A1481" s="1" t="n">
        <v>2</v>
      </c>
      <c r="B1481" s="1" t="inlineStr">
        <is>
          <t>ถุงกอล์ฟ</t>
        </is>
      </c>
      <c r="C1481" s="1" t="inlineStr">
        <is>
          <t>gf3000201346</t>
        </is>
      </c>
      <c r="D1481" s="1" t="inlineStr">
        <is>
          <t>TITLEIST Players 4 (2024) Zodiac Stand Bag (Royal)</t>
        </is>
      </c>
      <c r="E1481" s="1" t="inlineStr">
        <is>
          <t>TITLEIST</t>
        </is>
      </c>
      <c r="F1481" s="1" t="inlineStr">
        <is>
          <t>STAND BAG</t>
        </is>
      </c>
      <c r="G1481" s="1" t="inlineStr">
        <is>
          <t>GF3000201346</t>
        </is>
      </c>
      <c r="H1481" s="1" t="n">
        <v>1</v>
      </c>
      <c r="I1481" s="1" t="inlineStr">
        <is>
          <t>หมด</t>
        </is>
      </c>
      <c r="J1481" s="13" t="n">
        <v>275</v>
      </c>
      <c r="K1481" s="1" t="inlineStr"/>
      <c r="L1481" s="13" t="n">
        <v>275</v>
      </c>
      <c r="M1481" s="1">
        <f>IF(L1481="","ไม่พบใน SG",IF(ABS(J1481-L1481)&lt;0.005,"ตรงกัน","ไม่ตรง"))</f>
        <v/>
      </c>
      <c r="N1481" s="14">
        <f>IF(L1481="","",ROUND(L1481*'สรุป'!$C$6,-1))</f>
        <v/>
      </c>
      <c r="O1481" s="15" t="n"/>
      <c r="P1481" s="15" t="n"/>
      <c r="Q1481" s="10" t="n"/>
      <c r="R1481" s="10" t="n"/>
      <c r="S1481" s="16" t="inlineStr">
        <is>
          <t>https://mstgolf.co.th/products/gf3000201346</t>
        </is>
      </c>
      <c r="T1481" s="1">
        <f>IF(B1481="ไม้กอล์ฟ",J1481,"")</f>
        <v/>
      </c>
    </row>
    <row r="1482">
      <c r="A1482" s="1" t="n">
        <v>2</v>
      </c>
      <c r="B1482" s="1" t="inlineStr">
        <is>
          <t>ถุงกอล์ฟ</t>
        </is>
      </c>
      <c r="C1482" s="1" t="inlineStr">
        <is>
          <t>gf3010101451</t>
        </is>
      </c>
      <c r="D1482" s="1" t="inlineStr">
        <is>
          <t>ADIDAS Originals Garment Bag (Brown)</t>
        </is>
      </c>
      <c r="E1482" s="1" t="inlineStr">
        <is>
          <t>ADIDAS</t>
        </is>
      </c>
      <c r="F1482" s="1" t="inlineStr">
        <is>
          <t>BOSTON/DUFFLE BAG</t>
        </is>
      </c>
      <c r="G1482" s="1" t="inlineStr">
        <is>
          <t>GF3010101451</t>
        </is>
      </c>
      <c r="H1482" s="1" t="n">
        <v>1</v>
      </c>
      <c r="I1482" s="1" t="inlineStr">
        <is>
          <t>หมด</t>
        </is>
      </c>
      <c r="J1482" s="13" t="n">
        <v>269</v>
      </c>
      <c r="K1482" s="1" t="inlineStr"/>
      <c r="L1482" s="13" t="n"/>
      <c r="M1482" s="1">
        <f>IF(L1482="","ไม่พบใน SG",IF(ABS(J1482-L1482)&lt;0.005,"ตรงกัน","ไม่ตรง"))</f>
        <v/>
      </c>
      <c r="N1482" s="14">
        <f>IF(L1482="","",ROUND(L1482*'สรุป'!$C$6,-1))</f>
        <v/>
      </c>
      <c r="O1482" s="15" t="n"/>
      <c r="P1482" s="15" t="n"/>
      <c r="Q1482" s="10" t="n"/>
      <c r="R1482" s="10" t="n"/>
      <c r="S1482" s="16" t="inlineStr">
        <is>
          <t>https://mstgolf.co.th/products/gf3010101451</t>
        </is>
      </c>
      <c r="T1482" s="1">
        <f>IF(B1482="ไม้กอล์ฟ",J1482,"")</f>
        <v/>
      </c>
    </row>
    <row r="1483">
      <c r="A1483" s="1" t="n">
        <v>2</v>
      </c>
      <c r="B1483" s="1" t="inlineStr">
        <is>
          <t>รองเท้า</t>
        </is>
      </c>
      <c r="C1483" s="1" t="inlineStr">
        <is>
          <t>gf2500102783</t>
        </is>
      </c>
      <c r="D1483" s="1" t="inlineStr">
        <is>
          <t>FOOTJOY Premiere Series Packard LX Men's Spiked Shoes (White/Brown/Navy)</t>
        </is>
      </c>
      <c r="E1483" s="1" t="inlineStr">
        <is>
          <t>FOOTJOY</t>
        </is>
      </c>
      <c r="F1483" s="1" t="inlineStr">
        <is>
          <t>SPIKE SHOES</t>
        </is>
      </c>
      <c r="G1483" s="1" t="inlineStr">
        <is>
          <t>GF2500102783US6.5</t>
        </is>
      </c>
      <c r="H1483" s="1" t="n">
        <v>10</v>
      </c>
      <c r="I1483" s="1" t="inlineStr">
        <is>
          <t>หมด</t>
        </is>
      </c>
      <c r="J1483" s="13" t="n">
        <v>269</v>
      </c>
      <c r="K1483" s="1" t="inlineStr"/>
      <c r="L1483" s="13" t="n"/>
      <c r="M1483" s="1">
        <f>IF(L1483="","ไม่พบใน SG",IF(ABS(J1483-L1483)&lt;0.005,"ตรงกัน","ไม่ตรง"))</f>
        <v/>
      </c>
      <c r="N1483" s="14">
        <f>IF(L1483="","",ROUND(L1483*'สรุป'!$C$6,-1))</f>
        <v/>
      </c>
      <c r="O1483" s="15" t="n"/>
      <c r="P1483" s="15" t="n"/>
      <c r="Q1483" s="10" t="n"/>
      <c r="R1483" s="10" t="n"/>
      <c r="S1483" s="16" t="inlineStr">
        <is>
          <t>https://mstgolf.co.th/products/gf2500102783</t>
        </is>
      </c>
      <c r="T1483" s="1">
        <f>IF(B1483="ไม้กอล์ฟ",J1483,"")</f>
        <v/>
      </c>
    </row>
    <row r="1484">
      <c r="A1484" s="1" t="n">
        <v>2</v>
      </c>
      <c r="B1484" s="1" t="inlineStr">
        <is>
          <t>ถุงกอล์ฟ</t>
        </is>
      </c>
      <c r="C1484" s="1" t="inlineStr">
        <is>
          <t>gf3000102316</t>
        </is>
      </c>
      <c r="D1484" s="1" t="inlineStr">
        <is>
          <t>ONOFF OB3622 8.5" Caddie Bag (Khaki)</t>
        </is>
      </c>
      <c r="E1484" s="1" t="inlineStr">
        <is>
          <t>ONOFF</t>
        </is>
      </c>
      <c r="F1484" s="1" t="inlineStr">
        <is>
          <t>CADDIE/CART BAG</t>
        </is>
      </c>
      <c r="G1484" s="1" t="inlineStr">
        <is>
          <t>GF3000102316</t>
        </is>
      </c>
      <c r="H1484" s="1" t="n">
        <v>1</v>
      </c>
      <c r="I1484" s="1" t="inlineStr">
        <is>
          <t>หมด</t>
        </is>
      </c>
      <c r="J1484" s="13" t="n">
        <v>269</v>
      </c>
      <c r="K1484" s="1" t="inlineStr"/>
      <c r="L1484" s="13" t="n"/>
      <c r="M1484" s="1">
        <f>IF(L1484="","ไม่พบใน SG",IF(ABS(J1484-L1484)&lt;0.005,"ตรงกัน","ไม่ตรง"))</f>
        <v/>
      </c>
      <c r="N1484" s="14">
        <f>IF(L1484="","",ROUND(L1484*'สรุป'!$C$6,-1))</f>
        <v/>
      </c>
      <c r="O1484" s="15" t="n"/>
      <c r="P1484" s="15" t="n"/>
      <c r="Q1484" s="10" t="n"/>
      <c r="R1484" s="10" t="n"/>
      <c r="S1484" s="16" t="inlineStr">
        <is>
          <t>https://mstgolf.co.th/products/gf3000102316</t>
        </is>
      </c>
      <c r="T1484" s="1">
        <f>IF(B1484="ไม้กอล์ฟ",J1484,"")</f>
        <v/>
      </c>
    </row>
    <row r="1485">
      <c r="A1485" s="1" t="n">
        <v>2</v>
      </c>
      <c r="B1485" s="1" t="inlineStr">
        <is>
          <t>ถุงกอล์ฟ</t>
        </is>
      </c>
      <c r="C1485" s="1" t="inlineStr">
        <is>
          <t>gf3000102314</t>
        </is>
      </c>
      <c r="D1485" s="1" t="inlineStr">
        <is>
          <t>ONOFF OB3622 8.5" Caddie Bag (Orange)</t>
        </is>
      </c>
      <c r="E1485" s="1" t="inlineStr">
        <is>
          <t>ONOFF</t>
        </is>
      </c>
      <c r="F1485" s="1" t="inlineStr">
        <is>
          <t>CADDIE/CART BAG</t>
        </is>
      </c>
      <c r="G1485" s="1" t="inlineStr">
        <is>
          <t>GF3000102314</t>
        </is>
      </c>
      <c r="H1485" s="1" t="n">
        <v>1</v>
      </c>
      <c r="I1485" s="1" t="inlineStr">
        <is>
          <t>หมด</t>
        </is>
      </c>
      <c r="J1485" s="13" t="n">
        <v>269</v>
      </c>
      <c r="K1485" s="1" t="inlineStr"/>
      <c r="L1485" s="13" t="n"/>
      <c r="M1485" s="1">
        <f>IF(L1485="","ไม่พบใน SG",IF(ABS(J1485-L1485)&lt;0.005,"ตรงกัน","ไม่ตรง"))</f>
        <v/>
      </c>
      <c r="N1485" s="14">
        <f>IF(L1485="","",ROUND(L1485*'สรุป'!$C$6,-1))</f>
        <v/>
      </c>
      <c r="O1485" s="15" t="n"/>
      <c r="P1485" s="15" t="n"/>
      <c r="Q1485" s="10" t="n"/>
      <c r="R1485" s="10" t="n"/>
      <c r="S1485" s="16" t="inlineStr">
        <is>
          <t>https://mstgolf.co.th/products/gf3000102314</t>
        </is>
      </c>
      <c r="T1485" s="1">
        <f>IF(B1485="ไม้กอล์ฟ",J1485,"")</f>
        <v/>
      </c>
    </row>
    <row r="1486">
      <c r="A1486" s="1" t="n">
        <v>2</v>
      </c>
      <c r="B1486" s="1" t="inlineStr">
        <is>
          <t>ถุงกอล์ฟ</t>
        </is>
      </c>
      <c r="C1486" s="1" t="inlineStr">
        <is>
          <t>gf3000103073</t>
        </is>
      </c>
      <c r="D1486" s="1" t="inlineStr">
        <is>
          <t>ONOFF OB5724 8.5" Women's Cart Bag (Green)</t>
        </is>
      </c>
      <c r="E1486" s="1" t="inlineStr">
        <is>
          <t>ONOFF</t>
        </is>
      </c>
      <c r="F1486" s="1" t="inlineStr">
        <is>
          <t>CADDIE/CART BAG</t>
        </is>
      </c>
      <c r="G1486" s="1" t="inlineStr">
        <is>
          <t>GF3000103073</t>
        </is>
      </c>
      <c r="H1486" s="1" t="n">
        <v>1</v>
      </c>
      <c r="I1486" s="1" t="inlineStr">
        <is>
          <t>หมด</t>
        </is>
      </c>
      <c r="J1486" s="13" t="n">
        <v>269</v>
      </c>
      <c r="K1486" s="1" t="inlineStr"/>
      <c r="L1486" s="13" t="n">
        <v>269</v>
      </c>
      <c r="M1486" s="1">
        <f>IF(L1486="","ไม่พบใน SG",IF(ABS(J1486-L1486)&lt;0.005,"ตรงกัน","ไม่ตรง"))</f>
        <v/>
      </c>
      <c r="N1486" s="14">
        <f>IF(L1486="","",ROUND(L1486*'สรุป'!$C$6,-1))</f>
        <v/>
      </c>
      <c r="O1486" s="15" t="n"/>
      <c r="P1486" s="15" t="n"/>
      <c r="Q1486" s="10" t="n"/>
      <c r="R1486" s="10" t="n"/>
      <c r="S1486" s="16" t="inlineStr">
        <is>
          <t>https://mstgolf.co.th/products/gf3000103073</t>
        </is>
      </c>
      <c r="T1486" s="1">
        <f>IF(B1486="ไม้กอล์ฟ",J1486,"")</f>
        <v/>
      </c>
    </row>
    <row r="1487">
      <c r="A1487" s="1" t="n">
        <v>2</v>
      </c>
      <c r="B1487" s="1" t="inlineStr">
        <is>
          <t>ถุงกอล์ฟ</t>
        </is>
      </c>
      <c r="C1487" s="1" t="inlineStr">
        <is>
          <t>gf3000103075</t>
        </is>
      </c>
      <c r="D1487" s="1" t="inlineStr">
        <is>
          <t>ONOFF OB5724 8.5" Women's Cart Bag (Navy)</t>
        </is>
      </c>
      <c r="E1487" s="1" t="inlineStr">
        <is>
          <t>ONOFF</t>
        </is>
      </c>
      <c r="F1487" s="1" t="inlineStr">
        <is>
          <t>CADDIE/CART BAG</t>
        </is>
      </c>
      <c r="G1487" s="1" t="inlineStr">
        <is>
          <t>GF3000103075</t>
        </is>
      </c>
      <c r="H1487" s="1" t="n">
        <v>1</v>
      </c>
      <c r="I1487" s="1" t="inlineStr">
        <is>
          <t>หมด</t>
        </is>
      </c>
      <c r="J1487" s="13" t="n">
        <v>269</v>
      </c>
      <c r="K1487" s="1" t="inlineStr"/>
      <c r="L1487" s="13" t="n"/>
      <c r="M1487" s="1">
        <f>IF(L1487="","ไม่พบใน SG",IF(ABS(J1487-L1487)&lt;0.005,"ตรงกัน","ไม่ตรง"))</f>
        <v/>
      </c>
      <c r="N1487" s="14">
        <f>IF(L1487="","",ROUND(L1487*'สรุป'!$C$6,-1))</f>
        <v/>
      </c>
      <c r="O1487" s="15" t="n"/>
      <c r="P1487" s="15" t="n"/>
      <c r="Q1487" s="10" t="n"/>
      <c r="R1487" s="10" t="n"/>
      <c r="S1487" s="16" t="inlineStr">
        <is>
          <t>https://mstgolf.co.th/products/gf3000103075</t>
        </is>
      </c>
      <c r="T1487" s="1">
        <f>IF(B1487="ไม้กอล์ฟ",J1487,"")</f>
        <v/>
      </c>
    </row>
    <row r="1488">
      <c r="A1488" s="1" t="n">
        <v>2</v>
      </c>
      <c r="B1488" s="1" t="inlineStr">
        <is>
          <t>ถุงกอล์ฟ</t>
        </is>
      </c>
      <c r="C1488" s="1" t="inlineStr">
        <is>
          <t>gf3000102999</t>
        </is>
      </c>
      <c r="D1488" s="1" t="inlineStr">
        <is>
          <t>TITLEIST Cart 14 Cart Bag (Navy/Clay)</t>
        </is>
      </c>
      <c r="E1488" s="1" t="inlineStr">
        <is>
          <t>TITLEIST</t>
        </is>
      </c>
      <c r="F1488" s="1" t="inlineStr">
        <is>
          <t>CADDIE/CART BAG</t>
        </is>
      </c>
      <c r="G1488" s="1" t="inlineStr">
        <is>
          <t>GF3000102999</t>
        </is>
      </c>
      <c r="H1488" s="1" t="n">
        <v>1</v>
      </c>
      <c r="I1488" s="1" t="inlineStr">
        <is>
          <t>หมด</t>
        </is>
      </c>
      <c r="J1488" s="13" t="n">
        <v>269</v>
      </c>
      <c r="K1488" s="1" t="inlineStr"/>
      <c r="L1488" s="13" t="n">
        <v>269</v>
      </c>
      <c r="M1488" s="1">
        <f>IF(L1488="","ไม่พบใน SG",IF(ABS(J1488-L1488)&lt;0.005,"ตรงกัน","ไม่ตรง"))</f>
        <v/>
      </c>
      <c r="N1488" s="14">
        <f>IF(L1488="","",ROUND(L1488*'สรุป'!$C$6,-1))</f>
        <v/>
      </c>
      <c r="O1488" s="15" t="n"/>
      <c r="P1488" s="15" t="n"/>
      <c r="Q1488" s="10" t="n"/>
      <c r="R1488" s="10" t="n"/>
      <c r="S1488" s="16" t="inlineStr">
        <is>
          <t>https://mstgolf.co.th/products/gf3000102999</t>
        </is>
      </c>
      <c r="T1488" s="1">
        <f>IF(B1488="ไม้กอล์ฟ",J1488,"")</f>
        <v/>
      </c>
    </row>
    <row r="1489">
      <c r="A1489" s="1" t="n">
        <v>2</v>
      </c>
      <c r="B1489" s="1" t="inlineStr">
        <is>
          <t>ถุงกอล์ฟ</t>
        </is>
      </c>
      <c r="C1489" s="1" t="inlineStr">
        <is>
          <t>gf3000102274</t>
        </is>
      </c>
      <c r="D1489" s="1" t="inlineStr">
        <is>
          <t>TITLEIST Cart 14 Cart Bag (Black)</t>
        </is>
      </c>
      <c r="E1489" s="1" t="inlineStr">
        <is>
          <t>TITLEIST</t>
        </is>
      </c>
      <c r="F1489" s="1" t="inlineStr">
        <is>
          <t>CADDIE/CART BAG</t>
        </is>
      </c>
      <c r="G1489" s="1" t="inlineStr">
        <is>
          <t>GF3000102274</t>
        </is>
      </c>
      <c r="H1489" s="1" t="n">
        <v>1</v>
      </c>
      <c r="I1489" s="1" t="inlineStr">
        <is>
          <t>หมด</t>
        </is>
      </c>
      <c r="J1489" s="13" t="n">
        <v>265</v>
      </c>
      <c r="K1489" s="1" t="inlineStr"/>
      <c r="L1489" s="13" t="n">
        <v>265</v>
      </c>
      <c r="M1489" s="1">
        <f>IF(L1489="","ไม่พบใน SG",IF(ABS(J1489-L1489)&lt;0.005,"ตรงกัน","ไม่ตรง"))</f>
        <v/>
      </c>
      <c r="N1489" s="14">
        <f>IF(L1489="","",ROUND(L1489*'สรุป'!$C$6,-1))</f>
        <v/>
      </c>
      <c r="O1489" s="15" t="n"/>
      <c r="P1489" s="15" t="n"/>
      <c r="Q1489" s="10" t="n"/>
      <c r="R1489" s="10" t="n"/>
      <c r="S1489" s="16" t="inlineStr">
        <is>
          <t>https://mstgolf.co.th/products/gf3000102274</t>
        </is>
      </c>
      <c r="T1489" s="1">
        <f>IF(B1489="ไม้กอล์ฟ",J1489,"")</f>
        <v/>
      </c>
    </row>
    <row r="1490">
      <c r="A1490" s="1" t="n">
        <v>2</v>
      </c>
      <c r="B1490" s="1" t="inlineStr">
        <is>
          <t>ถุงกอล์ฟ</t>
        </is>
      </c>
      <c r="C1490" s="1" t="inlineStr">
        <is>
          <t>gf3000102573</t>
        </is>
      </c>
      <c r="D1490" s="1" t="inlineStr">
        <is>
          <t>TITLEIST Cart 14 Cart Bag (Black/Black/Red)</t>
        </is>
      </c>
      <c r="E1490" s="1" t="inlineStr">
        <is>
          <t>TITLEIST</t>
        </is>
      </c>
      <c r="F1490" s="1" t="inlineStr">
        <is>
          <t>CADDIE/CART BAG</t>
        </is>
      </c>
      <c r="G1490" s="1" t="inlineStr">
        <is>
          <t>GF3000102573</t>
        </is>
      </c>
      <c r="H1490" s="1" t="n">
        <v>1</v>
      </c>
      <c r="I1490" s="1" t="inlineStr">
        <is>
          <t>หมด</t>
        </is>
      </c>
      <c r="J1490" s="13" t="n">
        <v>265</v>
      </c>
      <c r="K1490" s="1" t="inlineStr"/>
      <c r="L1490" s="13" t="n">
        <v>265</v>
      </c>
      <c r="M1490" s="1">
        <f>IF(L1490="","ไม่พบใน SG",IF(ABS(J1490-L1490)&lt;0.005,"ตรงกัน","ไม่ตรง"))</f>
        <v/>
      </c>
      <c r="N1490" s="14">
        <f>IF(L1490="","",ROUND(L1490*'สรุป'!$C$6,-1))</f>
        <v/>
      </c>
      <c r="O1490" s="15" t="n"/>
      <c r="P1490" s="15" t="n"/>
      <c r="Q1490" s="10" t="n"/>
      <c r="R1490" s="10" t="n"/>
      <c r="S1490" s="16" t="inlineStr">
        <is>
          <t>https://mstgolf.co.th/products/gf3000102573</t>
        </is>
      </c>
      <c r="T1490" s="1">
        <f>IF(B1490="ไม้กอล์ฟ",J1490,"")</f>
        <v/>
      </c>
    </row>
    <row r="1491">
      <c r="A1491" s="1" t="n">
        <v>2</v>
      </c>
      <c r="B1491" s="1" t="inlineStr">
        <is>
          <t>ถุงกอล์ฟ</t>
        </is>
      </c>
      <c r="C1491" s="1" t="inlineStr">
        <is>
          <t>gf3000102819</t>
        </is>
      </c>
      <c r="D1491" s="1" t="inlineStr">
        <is>
          <t>ONOFF 9" Waterproof Cart Bag (Green)</t>
        </is>
      </c>
      <c r="E1491" s="1" t="inlineStr">
        <is>
          <t>ONOFF</t>
        </is>
      </c>
      <c r="F1491" s="1" t="inlineStr">
        <is>
          <t>CADDIE/CART BAG</t>
        </is>
      </c>
      <c r="G1491" s="1" t="inlineStr">
        <is>
          <t>GF3000102819</t>
        </is>
      </c>
      <c r="H1491" s="1" t="n">
        <v>1</v>
      </c>
      <c r="I1491" s="1" t="inlineStr">
        <is>
          <t>หมด</t>
        </is>
      </c>
      <c r="J1491" s="13" t="n">
        <v>259</v>
      </c>
      <c r="K1491" s="1" t="inlineStr"/>
      <c r="L1491" s="13" t="n">
        <v>259</v>
      </c>
      <c r="M1491" s="1">
        <f>IF(L1491="","ไม่พบใน SG",IF(ABS(J1491-L1491)&lt;0.005,"ตรงกัน","ไม่ตรง"))</f>
        <v/>
      </c>
      <c r="N1491" s="14">
        <f>IF(L1491="","",ROUND(L1491*'สรุป'!$C$6,-1))</f>
        <v/>
      </c>
      <c r="O1491" s="15" t="n"/>
      <c r="P1491" s="15" t="n"/>
      <c r="Q1491" s="10" t="n"/>
      <c r="R1491" s="10" t="n"/>
      <c r="S1491" s="16" t="inlineStr">
        <is>
          <t>https://mstgolf.co.th/products/gf3000102819</t>
        </is>
      </c>
      <c r="T1491" s="1">
        <f>IF(B1491="ไม้กอล์ฟ",J1491,"")</f>
        <v/>
      </c>
    </row>
    <row r="1492">
      <c r="A1492" s="1" t="n">
        <v>2</v>
      </c>
      <c r="B1492" s="1" t="inlineStr">
        <is>
          <t>ถุงกอล์ฟ</t>
        </is>
      </c>
      <c r="C1492" s="1" t="inlineStr">
        <is>
          <t>gf3000201149</t>
        </is>
      </c>
      <c r="D1492" s="1" t="inlineStr">
        <is>
          <t>TAYLORMADE 9.5" City-Tech Stand Bag (White)</t>
        </is>
      </c>
      <c r="E1492" s="1" t="inlineStr">
        <is>
          <t>TAYLORMADE</t>
        </is>
      </c>
      <c r="F1492" s="1" t="inlineStr">
        <is>
          <t>STAND BAG</t>
        </is>
      </c>
      <c r="G1492" s="1" t="inlineStr">
        <is>
          <t>GF3000201149</t>
        </is>
      </c>
      <c r="H1492" s="1" t="n">
        <v>1</v>
      </c>
      <c r="I1492" s="1" t="inlineStr">
        <is>
          <t>หมด</t>
        </is>
      </c>
      <c r="J1492" s="13" t="n">
        <v>259</v>
      </c>
      <c r="K1492" s="1" t="inlineStr"/>
      <c r="L1492" s="13" t="n">
        <v>259</v>
      </c>
      <c r="M1492" s="1">
        <f>IF(L1492="","ไม่พบใน SG",IF(ABS(J1492-L1492)&lt;0.005,"ตรงกัน","ไม่ตรง"))</f>
        <v/>
      </c>
      <c r="N1492" s="14">
        <f>IF(L1492="","",ROUND(L1492*'สรุป'!$C$6,-1))</f>
        <v/>
      </c>
      <c r="O1492" s="15" t="n"/>
      <c r="P1492" s="15" t="n"/>
      <c r="Q1492" s="10" t="n"/>
      <c r="R1492" s="10" t="n"/>
      <c r="S1492" s="16" t="inlineStr">
        <is>
          <t>https://mstgolf.co.th/products/gf3000201149</t>
        </is>
      </c>
      <c r="T1492" s="1">
        <f>IF(B1492="ไม้กอล์ฟ",J1492,"")</f>
        <v/>
      </c>
    </row>
    <row r="1493">
      <c r="A1493" s="1" t="n">
        <v>2</v>
      </c>
      <c r="B1493" s="1" t="inlineStr">
        <is>
          <t>ถุงกอล์ฟ</t>
        </is>
      </c>
      <c r="C1493" s="1" t="inlineStr">
        <is>
          <t>gf3000102715</t>
        </is>
      </c>
      <c r="D1493" s="1" t="inlineStr">
        <is>
          <t>TAYLORMADE 8.5" Wilshire Women's Cart Bag (Mint)</t>
        </is>
      </c>
      <c r="E1493" s="1" t="inlineStr">
        <is>
          <t>TAYLORMADE</t>
        </is>
      </c>
      <c r="F1493" s="1" t="inlineStr">
        <is>
          <t>CADDIE/CART BAG</t>
        </is>
      </c>
      <c r="G1493" s="1" t="inlineStr">
        <is>
          <t>GF3000102715</t>
        </is>
      </c>
      <c r="H1493" s="1" t="n">
        <v>1</v>
      </c>
      <c r="I1493" s="1" t="inlineStr">
        <is>
          <t>หมด</t>
        </is>
      </c>
      <c r="J1493" s="13" t="n">
        <v>255</v>
      </c>
      <c r="K1493" s="1" t="inlineStr"/>
      <c r="L1493" s="13" t="n">
        <v>255</v>
      </c>
      <c r="M1493" s="1">
        <f>IF(L1493="","ไม่พบใน SG",IF(ABS(J1493-L1493)&lt;0.005,"ตรงกัน","ไม่ตรง"))</f>
        <v/>
      </c>
      <c r="N1493" s="14">
        <f>IF(L1493="","",ROUND(L1493*'สรุป'!$C$6,-1))</f>
        <v/>
      </c>
      <c r="O1493" s="15" t="n"/>
      <c r="P1493" s="15" t="n"/>
      <c r="Q1493" s="10" t="n"/>
      <c r="R1493" s="10" t="n"/>
      <c r="S1493" s="16" t="inlineStr">
        <is>
          <t>https://mstgolf.co.th/products/gf3000102715</t>
        </is>
      </c>
      <c r="T1493" s="1">
        <f>IF(B1493="ไม้กอล์ฟ",J1493,"")</f>
        <v/>
      </c>
    </row>
    <row r="1494">
      <c r="A1494" s="1" t="n">
        <v>2</v>
      </c>
      <c r="B1494" s="1" t="inlineStr">
        <is>
          <t>ถุงกอล์ฟ</t>
        </is>
      </c>
      <c r="C1494" s="1" t="inlineStr">
        <is>
          <t>gf3000102716</t>
        </is>
      </c>
      <c r="D1494" s="1" t="inlineStr">
        <is>
          <t>TAYLORMADE 8.5" Wilshire Women's Cart Bag (Sax Blue)</t>
        </is>
      </c>
      <c r="E1494" s="1" t="inlineStr">
        <is>
          <t>TAYLORMADE</t>
        </is>
      </c>
      <c r="F1494" s="1" t="inlineStr">
        <is>
          <t>CADDIE/CART BAG</t>
        </is>
      </c>
      <c r="G1494" s="1" t="inlineStr">
        <is>
          <t>GF3000102716</t>
        </is>
      </c>
      <c r="H1494" s="1" t="n">
        <v>1</v>
      </c>
      <c r="I1494" s="1" t="inlineStr">
        <is>
          <t>หมด</t>
        </is>
      </c>
      <c r="J1494" s="13" t="n">
        <v>255</v>
      </c>
      <c r="K1494" s="1" t="inlineStr"/>
      <c r="L1494" s="13" t="n">
        <v>255</v>
      </c>
      <c r="M1494" s="1">
        <f>IF(L1494="","ไม่พบใน SG",IF(ABS(J1494-L1494)&lt;0.005,"ตรงกัน","ไม่ตรง"))</f>
        <v/>
      </c>
      <c r="N1494" s="14">
        <f>IF(L1494="","",ROUND(L1494*'สรุป'!$C$6,-1))</f>
        <v/>
      </c>
      <c r="O1494" s="15" t="n"/>
      <c r="P1494" s="15" t="n"/>
      <c r="Q1494" s="10" t="n"/>
      <c r="R1494" s="10" t="n"/>
      <c r="S1494" s="16" t="inlineStr">
        <is>
          <t>https://mstgolf.co.th/products/gf3000102716</t>
        </is>
      </c>
      <c r="T1494" s="1">
        <f>IF(B1494="ไม้กอล์ฟ",J1494,"")</f>
        <v/>
      </c>
    </row>
    <row r="1495">
      <c r="A1495" s="1" t="n">
        <v>2</v>
      </c>
      <c r="B1495" s="1" t="inlineStr">
        <is>
          <t>ถุงกอล์ฟ</t>
        </is>
      </c>
      <c r="C1495" s="1" t="inlineStr">
        <is>
          <t>gf3000102714</t>
        </is>
      </c>
      <c r="D1495" s="1" t="inlineStr">
        <is>
          <t>TAYLORMADE 9" Golden-State Cart Bag (White/Orange)</t>
        </is>
      </c>
      <c r="E1495" s="1" t="inlineStr">
        <is>
          <t>TAYLORMADE</t>
        </is>
      </c>
      <c r="F1495" s="1" t="inlineStr">
        <is>
          <t>CADDIE/CART BAG</t>
        </is>
      </c>
      <c r="G1495" s="1" t="inlineStr">
        <is>
          <t>GF3000102714</t>
        </is>
      </c>
      <c r="H1495" s="1" t="n">
        <v>1</v>
      </c>
      <c r="I1495" s="1" t="inlineStr">
        <is>
          <t>หมด</t>
        </is>
      </c>
      <c r="J1495" s="13" t="n">
        <v>255</v>
      </c>
      <c r="K1495" s="1" t="inlineStr"/>
      <c r="L1495" s="13" t="n">
        <v>255</v>
      </c>
      <c r="M1495" s="1">
        <f>IF(L1495="","ไม่พบใน SG",IF(ABS(J1495-L1495)&lt;0.005,"ตรงกัน","ไม่ตรง"))</f>
        <v/>
      </c>
      <c r="N1495" s="14">
        <f>IF(L1495="","",ROUND(L1495*'สรุป'!$C$6,-1))</f>
        <v/>
      </c>
      <c r="O1495" s="15" t="n"/>
      <c r="P1495" s="15" t="n"/>
      <c r="Q1495" s="10" t="n"/>
      <c r="R1495" s="10" t="n"/>
      <c r="S1495" s="16" t="inlineStr">
        <is>
          <t>https://mstgolf.co.th/products/gf3000102714</t>
        </is>
      </c>
      <c r="T1495" s="1">
        <f>IF(B1495="ไม้กอล์ฟ",J1495,"")</f>
        <v/>
      </c>
    </row>
    <row r="1496">
      <c r="A1496" s="1" t="n">
        <v>2</v>
      </c>
      <c r="B1496" s="1" t="inlineStr">
        <is>
          <t>ถุงกอล์ฟ</t>
        </is>
      </c>
      <c r="C1496" s="1" t="inlineStr">
        <is>
          <t>gf3000103126</t>
        </is>
      </c>
      <c r="D1496" s="1" t="inlineStr">
        <is>
          <t>LE COQ SPORTIF GOLF 9.5" Caddie Bag (Blue)</t>
        </is>
      </c>
      <c r="E1496" s="1" t="inlineStr">
        <is>
          <t>LE COQ SPORTIF GOLF</t>
        </is>
      </c>
      <c r="F1496" s="1" t="inlineStr">
        <is>
          <t>CADDIE/CART BAG</t>
        </is>
      </c>
      <c r="G1496" s="1" t="inlineStr">
        <is>
          <t>GF3000103126</t>
        </is>
      </c>
      <c r="H1496" s="1" t="n">
        <v>1</v>
      </c>
      <c r="I1496" s="1" t="inlineStr">
        <is>
          <t>หมด</t>
        </is>
      </c>
      <c r="J1496" s="13" t="n">
        <v>249</v>
      </c>
      <c r="K1496" s="1" t="inlineStr"/>
      <c r="L1496" s="13" t="n">
        <v>249</v>
      </c>
      <c r="M1496" s="1">
        <f>IF(L1496="","ไม่พบใน SG",IF(ABS(J1496-L1496)&lt;0.005,"ตรงกัน","ไม่ตรง"))</f>
        <v/>
      </c>
      <c r="N1496" s="14">
        <f>IF(L1496="","",ROUND(L1496*'สรุป'!$C$6,-1))</f>
        <v/>
      </c>
      <c r="O1496" s="15" t="n"/>
      <c r="P1496" s="15" t="n"/>
      <c r="Q1496" s="10" t="n"/>
      <c r="R1496" s="10" t="n"/>
      <c r="S1496" s="16" t="inlineStr">
        <is>
          <t>https://mstgolf.co.th/products/gf3000103126</t>
        </is>
      </c>
      <c r="T1496" s="1">
        <f>IF(B1496="ไม้กอล์ฟ",J1496,"")</f>
        <v/>
      </c>
    </row>
    <row r="1497">
      <c r="A1497" s="1" t="n">
        <v>2</v>
      </c>
      <c r="B1497" s="1" t="inlineStr">
        <is>
          <t>ถุงกอล์ฟ</t>
        </is>
      </c>
      <c r="C1497" s="1" t="inlineStr">
        <is>
          <t>gf3000201052</t>
        </is>
      </c>
      <c r="D1497" s="1" t="inlineStr">
        <is>
          <t>ONOFF OB0322 9" Stand Bag (Navy)</t>
        </is>
      </c>
      <c r="E1497" s="1" t="inlineStr">
        <is>
          <t>ONOFF</t>
        </is>
      </c>
      <c r="F1497" s="1" t="inlineStr">
        <is>
          <t>STAND BAG</t>
        </is>
      </c>
      <c r="G1497" s="1" t="inlineStr">
        <is>
          <t>GF3000201052</t>
        </is>
      </c>
      <c r="H1497" s="1" t="n">
        <v>1</v>
      </c>
      <c r="I1497" s="1" t="inlineStr">
        <is>
          <t>หมด</t>
        </is>
      </c>
      <c r="J1497" s="13" t="n">
        <v>249</v>
      </c>
      <c r="K1497" s="1" t="inlineStr"/>
      <c r="L1497" s="13" t="n">
        <v>249</v>
      </c>
      <c r="M1497" s="1">
        <f>IF(L1497="","ไม่พบใน SG",IF(ABS(J1497-L1497)&lt;0.005,"ตรงกัน","ไม่ตรง"))</f>
        <v/>
      </c>
      <c r="N1497" s="14">
        <f>IF(L1497="","",ROUND(L1497*'สรุป'!$C$6,-1))</f>
        <v/>
      </c>
      <c r="O1497" s="15" t="n"/>
      <c r="P1497" s="15" t="n"/>
      <c r="Q1497" s="10" t="n"/>
      <c r="R1497" s="10" t="n"/>
      <c r="S1497" s="16" t="inlineStr">
        <is>
          <t>https://mstgolf.co.th/products/gf3000201052</t>
        </is>
      </c>
      <c r="T1497" s="1">
        <f>IF(B1497="ไม้กอล์ฟ",J1497,"")</f>
        <v/>
      </c>
    </row>
    <row r="1498">
      <c r="A1498" s="1" t="n">
        <v>2</v>
      </c>
      <c r="B1498" s="1" t="inlineStr">
        <is>
          <t>ถุงกอล์ฟ</t>
        </is>
      </c>
      <c r="C1498" s="1" t="inlineStr">
        <is>
          <t>gf3000201068</t>
        </is>
      </c>
      <c r="D1498" s="1" t="inlineStr">
        <is>
          <t>PING Hoofer Lite 2022 Stand Bag (Navy/White/Red)</t>
        </is>
      </c>
      <c r="E1498" s="1" t="inlineStr">
        <is>
          <t>PING</t>
        </is>
      </c>
      <c r="F1498" s="1" t="inlineStr">
        <is>
          <t>STAND BAG</t>
        </is>
      </c>
      <c r="G1498" s="1" t="inlineStr">
        <is>
          <t>GF3000201068</t>
        </is>
      </c>
      <c r="H1498" s="1" t="n">
        <v>1</v>
      </c>
      <c r="I1498" s="1" t="inlineStr">
        <is>
          <t>หมด</t>
        </is>
      </c>
      <c r="J1498" s="13" t="n">
        <v>249</v>
      </c>
      <c r="K1498" s="1" t="inlineStr"/>
      <c r="L1498" s="13" t="n">
        <v>249</v>
      </c>
      <c r="M1498" s="1">
        <f>IF(L1498="","ไม่พบใน SG",IF(ABS(J1498-L1498)&lt;0.005,"ตรงกัน","ไม่ตรง"))</f>
        <v/>
      </c>
      <c r="N1498" s="14">
        <f>IF(L1498="","",ROUND(L1498*'สรุป'!$C$6,-1))</f>
        <v/>
      </c>
      <c r="O1498" s="15" t="n"/>
      <c r="P1498" s="15" t="n"/>
      <c r="Q1498" s="10" t="n"/>
      <c r="R1498" s="10" t="n"/>
      <c r="S1498" s="16" t="inlineStr">
        <is>
          <t>https://mstgolf.co.th/products/gf3000201068</t>
        </is>
      </c>
      <c r="T1498" s="1">
        <f>IF(B1498="ไม้กอล์ฟ",J1498,"")</f>
        <v/>
      </c>
    </row>
    <row r="1499">
      <c r="A1499" s="1" t="n">
        <v>2</v>
      </c>
      <c r="B1499" s="1" t="inlineStr">
        <is>
          <t>ถุงกอล์ฟ</t>
        </is>
      </c>
      <c r="C1499" s="1" t="inlineStr">
        <is>
          <t>gf3000103159</t>
        </is>
      </c>
      <c r="D1499" s="1" t="inlineStr">
        <is>
          <t>TAYLORMADE 9" True-Lite Cart Bag (Turquoise)</t>
        </is>
      </c>
      <c r="E1499" s="1" t="inlineStr">
        <is>
          <t>TAYLORMADE</t>
        </is>
      </c>
      <c r="F1499" s="1" t="inlineStr">
        <is>
          <t>CADDIE/CART BAG</t>
        </is>
      </c>
      <c r="G1499" s="1" t="inlineStr">
        <is>
          <t>GF3000103159</t>
        </is>
      </c>
      <c r="H1499" s="1" t="n">
        <v>1</v>
      </c>
      <c r="I1499" s="1" t="inlineStr">
        <is>
          <t>หมด</t>
        </is>
      </c>
      <c r="J1499" s="13" t="n">
        <v>249</v>
      </c>
      <c r="K1499" s="1" t="inlineStr"/>
      <c r="L1499" s="13" t="n">
        <v>249</v>
      </c>
      <c r="M1499" s="1">
        <f>IF(L1499="","ไม่พบใน SG",IF(ABS(J1499-L1499)&lt;0.005,"ตรงกัน","ไม่ตรง"))</f>
        <v/>
      </c>
      <c r="N1499" s="14">
        <f>IF(L1499="","",ROUND(L1499*'สรุป'!$C$6,-1))</f>
        <v/>
      </c>
      <c r="O1499" s="15" t="n"/>
      <c r="P1499" s="15" t="n"/>
      <c r="Q1499" s="10" t="n"/>
      <c r="R1499" s="10" t="n"/>
      <c r="S1499" s="16" t="inlineStr">
        <is>
          <t>https://mstgolf.co.th/products/gf3000103159</t>
        </is>
      </c>
      <c r="T1499" s="1">
        <f>IF(B1499="ไม้กอล์ฟ",J1499,"")</f>
        <v/>
      </c>
    </row>
    <row r="1500">
      <c r="A1500" s="1" t="n">
        <v>2</v>
      </c>
      <c r="B1500" s="1" t="inlineStr">
        <is>
          <t>ถุงกอล์ฟ</t>
        </is>
      </c>
      <c r="C1500" s="1" t="inlineStr">
        <is>
          <t>gf3000102718</t>
        </is>
      </c>
      <c r="D1500" s="1" t="inlineStr">
        <is>
          <t>TAYLORMADE TM24 9" True-Lite Cart Bag (Black)</t>
        </is>
      </c>
      <c r="E1500" s="1" t="inlineStr">
        <is>
          <t>TAYLORMADE</t>
        </is>
      </c>
      <c r="F1500" s="1" t="inlineStr">
        <is>
          <t>CADDIE/CART BAG</t>
        </is>
      </c>
      <c r="G1500" s="1" t="inlineStr">
        <is>
          <t>GF3000102718</t>
        </is>
      </c>
      <c r="H1500" s="1" t="n">
        <v>1</v>
      </c>
      <c r="I1500" s="1" t="inlineStr">
        <is>
          <t>หมด</t>
        </is>
      </c>
      <c r="J1500" s="13" t="n">
        <v>249</v>
      </c>
      <c r="K1500" s="1" t="inlineStr"/>
      <c r="L1500" s="13" t="n">
        <v>249</v>
      </c>
      <c r="M1500" s="1">
        <f>IF(L1500="","ไม่พบใน SG",IF(ABS(J1500-L1500)&lt;0.005,"ตรงกัน","ไม่ตรง"))</f>
        <v/>
      </c>
      <c r="N1500" s="14">
        <f>IF(L1500="","",ROUND(L1500*'สรุป'!$C$6,-1))</f>
        <v/>
      </c>
      <c r="O1500" s="15" t="n"/>
      <c r="P1500" s="15" t="n"/>
      <c r="Q1500" s="10" t="n"/>
      <c r="R1500" s="10" t="n"/>
      <c r="S1500" s="16" t="inlineStr">
        <is>
          <t>https://mstgolf.co.th/products/gf3000102718</t>
        </is>
      </c>
      <c r="T1500" s="1">
        <f>IF(B1500="ไม้กอล์ฟ",J1500,"")</f>
        <v/>
      </c>
    </row>
    <row r="1501">
      <c r="A1501" s="1" t="n">
        <v>2</v>
      </c>
      <c r="B1501" s="1" t="inlineStr">
        <is>
          <t>ถุงกอล์ฟ</t>
        </is>
      </c>
      <c r="C1501" s="1" t="inlineStr">
        <is>
          <t>gf3000102719</t>
        </is>
      </c>
      <c r="D1501" s="1" t="inlineStr">
        <is>
          <t>TAYLORMADE TM24 9" True-Lite Cart Bag (White/Black)</t>
        </is>
      </c>
      <c r="E1501" s="1" t="inlineStr">
        <is>
          <t>TAYLORMADE</t>
        </is>
      </c>
      <c r="F1501" s="1" t="inlineStr">
        <is>
          <t>CADDIE/CART BAG</t>
        </is>
      </c>
      <c r="G1501" s="1" t="inlineStr">
        <is>
          <t>GF3000102719</t>
        </is>
      </c>
      <c r="H1501" s="1" t="n">
        <v>1</v>
      </c>
      <c r="I1501" s="1" t="inlineStr">
        <is>
          <t>หมด</t>
        </is>
      </c>
      <c r="J1501" s="13" t="n">
        <v>249</v>
      </c>
      <c r="K1501" s="1" t="inlineStr"/>
      <c r="L1501" s="13" t="n">
        <v>249</v>
      </c>
      <c r="M1501" s="1">
        <f>IF(L1501="","ไม่พบใน SG",IF(ABS(J1501-L1501)&lt;0.005,"ตรงกัน","ไม่ตรง"))</f>
        <v/>
      </c>
      <c r="N1501" s="14">
        <f>IF(L1501="","",ROUND(L1501*'สรุป'!$C$6,-1))</f>
        <v/>
      </c>
      <c r="O1501" s="15" t="n"/>
      <c r="P1501" s="15" t="n"/>
      <c r="Q1501" s="10" t="n"/>
      <c r="R1501" s="10" t="n"/>
      <c r="S1501" s="16" t="inlineStr">
        <is>
          <t>https://mstgolf.co.th/products/gf3000102719</t>
        </is>
      </c>
      <c r="T1501" s="1">
        <f>IF(B1501="ไม้กอล์ฟ",J1501,"")</f>
        <v/>
      </c>
    </row>
    <row r="1502">
      <c r="A1502" s="1" t="n">
        <v>2</v>
      </c>
      <c r="B1502" s="1" t="inlineStr">
        <is>
          <t>ถุงกอล์ฟ</t>
        </is>
      </c>
      <c r="C1502" s="1" t="inlineStr">
        <is>
          <t>gf3000102977</t>
        </is>
      </c>
      <c r="D1502" s="1" t="inlineStr">
        <is>
          <t>TAYLORMADE TM24 9" True-Lite Cart Bag (White/Navy/Red)</t>
        </is>
      </c>
      <c r="E1502" s="1" t="inlineStr">
        <is>
          <t>TAYLORMADE</t>
        </is>
      </c>
      <c r="F1502" s="1" t="inlineStr">
        <is>
          <t>CADDIE/CART BAG</t>
        </is>
      </c>
      <c r="G1502" s="1" t="inlineStr">
        <is>
          <t>GF3000102977</t>
        </is>
      </c>
      <c r="H1502" s="1" t="n">
        <v>1</v>
      </c>
      <c r="I1502" s="1" t="inlineStr">
        <is>
          <t>หมด</t>
        </is>
      </c>
      <c r="J1502" s="13" t="n">
        <v>249</v>
      </c>
      <c r="K1502" s="1" t="inlineStr"/>
      <c r="L1502" s="13" t="n"/>
      <c r="M1502" s="1">
        <f>IF(L1502="","ไม่พบใน SG",IF(ABS(J1502-L1502)&lt;0.005,"ตรงกัน","ไม่ตรง"))</f>
        <v/>
      </c>
      <c r="N1502" s="14">
        <f>IF(L1502="","",ROUND(L1502*'สรุป'!$C$6,-1))</f>
        <v/>
      </c>
      <c r="O1502" s="15" t="n"/>
      <c r="P1502" s="15" t="n"/>
      <c r="Q1502" s="10" t="n"/>
      <c r="R1502" s="10" t="n"/>
      <c r="S1502" s="16" t="inlineStr">
        <is>
          <t>https://mstgolf.co.th/products/gf3000102977</t>
        </is>
      </c>
      <c r="T1502" s="1">
        <f>IF(B1502="ไม้กอล์ฟ",J1502,"")</f>
        <v/>
      </c>
    </row>
    <row r="1503">
      <c r="A1503" s="1" t="n">
        <v>2</v>
      </c>
      <c r="B1503" s="1" t="inlineStr">
        <is>
          <t>รองเท้า</t>
        </is>
      </c>
      <c r="C1503" s="1" t="inlineStr">
        <is>
          <t>gf2500102662</t>
        </is>
      </c>
      <c r="D1503" s="1" t="inlineStr">
        <is>
          <t>FOOTJOY Premiere Wilcox Lace Men's Spiked Shoes (Cream/Navy)</t>
        </is>
      </c>
      <c r="E1503" s="1" t="inlineStr">
        <is>
          <t>FOOTJOY</t>
        </is>
      </c>
      <c r="F1503" s="1" t="inlineStr">
        <is>
          <t>SPIKE SHOES</t>
        </is>
      </c>
      <c r="G1503" s="1" t="inlineStr">
        <is>
          <t>GF2500102662US6.5</t>
        </is>
      </c>
      <c r="H1503" s="1" t="n">
        <v>10</v>
      </c>
      <c r="I1503" s="1" t="inlineStr">
        <is>
          <t>หมด</t>
        </is>
      </c>
      <c r="J1503" s="13" t="n">
        <v>245</v>
      </c>
      <c r="K1503" s="1" t="inlineStr"/>
      <c r="L1503" s="13" t="n"/>
      <c r="M1503" s="1">
        <f>IF(L1503="","ไม่พบใน SG",IF(ABS(J1503-L1503)&lt;0.005,"ตรงกัน","ไม่ตรง"))</f>
        <v/>
      </c>
      <c r="N1503" s="14">
        <f>IF(L1503="","",ROUND(L1503*'สรุป'!$C$6,-1))</f>
        <v/>
      </c>
      <c r="O1503" s="15" t="n"/>
      <c r="P1503" s="15" t="n"/>
      <c r="Q1503" s="10" t="n"/>
      <c r="R1503" s="10" t="n"/>
      <c r="S1503" s="16" t="inlineStr">
        <is>
          <t>https://mstgolf.co.th/products/gf2500102662</t>
        </is>
      </c>
      <c r="T1503" s="1">
        <f>IF(B1503="ไม้กอล์ฟ",J1503,"")</f>
        <v/>
      </c>
    </row>
    <row r="1504">
      <c r="A1504" s="1" t="n">
        <v>2</v>
      </c>
      <c r="B1504" s="1" t="inlineStr">
        <is>
          <t>ถุงกอล์ฟ</t>
        </is>
      </c>
      <c r="C1504" s="1" t="inlineStr">
        <is>
          <t>gf3010101374</t>
        </is>
      </c>
      <c r="D1504" s="1" t="inlineStr">
        <is>
          <t>MAJESTY C91 Promo GWP Boston Bag (White)</t>
        </is>
      </c>
      <c r="E1504" s="1" t="inlineStr">
        <is>
          <t>MAJESTY</t>
        </is>
      </c>
      <c r="F1504" s="1" t="inlineStr">
        <is>
          <t>BOSTON/DUFFLE BAG</t>
        </is>
      </c>
      <c r="G1504" s="1" t="inlineStr">
        <is>
          <t>GF3010101374</t>
        </is>
      </c>
      <c r="H1504" s="1" t="n">
        <v>1</v>
      </c>
      <c r="I1504" s="1" t="inlineStr">
        <is>
          <t>หมด</t>
        </is>
      </c>
      <c r="J1504" s="13" t="n">
        <v>245</v>
      </c>
      <c r="K1504" s="1" t="inlineStr"/>
      <c r="L1504" s="13" t="n"/>
      <c r="M1504" s="1">
        <f>IF(L1504="","ไม่พบใน SG",IF(ABS(J1504-L1504)&lt;0.005,"ตรงกัน","ไม่ตรง"))</f>
        <v/>
      </c>
      <c r="N1504" s="14">
        <f>IF(L1504="","",ROUND(L1504*'สรุป'!$C$6,-1))</f>
        <v/>
      </c>
      <c r="O1504" s="15" t="n"/>
      <c r="P1504" s="15" t="n"/>
      <c r="Q1504" s="10" t="n"/>
      <c r="R1504" s="10" t="n"/>
      <c r="S1504" s="16" t="inlineStr">
        <is>
          <t>https://mstgolf.co.th/products/gf3010101374</t>
        </is>
      </c>
      <c r="T1504" s="1">
        <f>IF(B1504="ไม้กอล์ฟ",J1504,"")</f>
        <v/>
      </c>
    </row>
    <row r="1505">
      <c r="A1505" s="1" t="n">
        <v>2</v>
      </c>
      <c r="B1505" s="1" t="inlineStr">
        <is>
          <t>ถุงกอล์ฟ</t>
        </is>
      </c>
      <c r="C1505" s="1" t="inlineStr">
        <is>
          <t>gf3000102322</t>
        </is>
      </c>
      <c r="D1505" s="1" t="inlineStr">
        <is>
          <t>ONOFF OB5722 8.5" Women's Caddie Bag (Pink)</t>
        </is>
      </c>
      <c r="E1505" s="1" t="inlineStr">
        <is>
          <t>ONOFF</t>
        </is>
      </c>
      <c r="F1505" s="1" t="inlineStr">
        <is>
          <t>CADDIE/CART BAG</t>
        </is>
      </c>
      <c r="G1505" s="1" t="inlineStr">
        <is>
          <t>GF3000102322</t>
        </is>
      </c>
      <c r="H1505" s="1" t="n">
        <v>1</v>
      </c>
      <c r="I1505" s="1" t="inlineStr">
        <is>
          <t>หมด</t>
        </is>
      </c>
      <c r="J1505" s="13" t="n">
        <v>245</v>
      </c>
      <c r="K1505" s="1" t="inlineStr"/>
      <c r="L1505" s="13" t="n">
        <v>245</v>
      </c>
      <c r="M1505" s="1">
        <f>IF(L1505="","ไม่พบใน SG",IF(ABS(J1505-L1505)&lt;0.005,"ตรงกัน","ไม่ตรง"))</f>
        <v/>
      </c>
      <c r="N1505" s="14">
        <f>IF(L1505="","",ROUND(L1505*'สรุป'!$C$6,-1))</f>
        <v/>
      </c>
      <c r="O1505" s="15" t="n"/>
      <c r="P1505" s="15" t="n"/>
      <c r="Q1505" s="10" t="n"/>
      <c r="R1505" s="10" t="n"/>
      <c r="S1505" s="16" t="inlineStr">
        <is>
          <t>https://mstgolf.co.th/products/gf3000102322</t>
        </is>
      </c>
      <c r="T1505" s="1">
        <f>IF(B1505="ไม้กอล์ฟ",J1505,"")</f>
        <v/>
      </c>
    </row>
    <row r="1506">
      <c r="A1506" s="1" t="n">
        <v>2</v>
      </c>
      <c r="B1506" s="1" t="inlineStr">
        <is>
          <t>ถุงกอล์ฟ</t>
        </is>
      </c>
      <c r="C1506" s="1" t="inlineStr">
        <is>
          <t>gf3010101486</t>
        </is>
      </c>
      <c r="D1506" s="1" t="inlineStr">
        <is>
          <t>ADIDAS PU Boston Bag (Black)</t>
        </is>
      </c>
      <c r="E1506" s="1" t="inlineStr">
        <is>
          <t>ADIDAS</t>
        </is>
      </c>
      <c r="F1506" s="1" t="inlineStr">
        <is>
          <t>BOSTON/DUFFLE BAG</t>
        </is>
      </c>
      <c r="G1506" s="1" t="inlineStr">
        <is>
          <t>GF3010101486</t>
        </is>
      </c>
      <c r="H1506" s="1" t="n">
        <v>1</v>
      </c>
      <c r="I1506" s="1" t="inlineStr">
        <is>
          <t>หมด</t>
        </is>
      </c>
      <c r="J1506" s="13" t="n">
        <v>239</v>
      </c>
      <c r="K1506" s="1" t="inlineStr"/>
      <c r="L1506" s="13" t="n"/>
      <c r="M1506" s="1">
        <f>IF(L1506="","ไม่พบใน SG",IF(ABS(J1506-L1506)&lt;0.005,"ตรงกัน","ไม่ตรง"))</f>
        <v/>
      </c>
      <c r="N1506" s="14">
        <f>IF(L1506="","",ROUND(L1506*'สรุป'!$C$6,-1))</f>
        <v/>
      </c>
      <c r="O1506" s="15" t="n"/>
      <c r="P1506" s="15" t="n"/>
      <c r="Q1506" s="10" t="n"/>
      <c r="R1506" s="10" t="n"/>
      <c r="S1506" s="16" t="inlineStr">
        <is>
          <t>https://mstgolf.co.th/products/gf3010101486</t>
        </is>
      </c>
      <c r="T1506" s="1">
        <f>IF(B1506="ไม้กอล์ฟ",J1506,"")</f>
        <v/>
      </c>
    </row>
    <row r="1507">
      <c r="A1507" s="1" t="n">
        <v>2</v>
      </c>
      <c r="B1507" s="1" t="inlineStr">
        <is>
          <t>ถุงกอล์ฟ</t>
        </is>
      </c>
      <c r="C1507" s="1" t="inlineStr">
        <is>
          <t>gf3010101409</t>
        </is>
      </c>
      <c r="D1507" s="1" t="inlineStr">
        <is>
          <t>ADIDAS PU Boston Bag (Off White)</t>
        </is>
      </c>
      <c r="E1507" s="1" t="inlineStr">
        <is>
          <t>ADIDAS</t>
        </is>
      </c>
      <c r="F1507" s="1" t="inlineStr">
        <is>
          <t>BOSTON/DUFFLE BAG</t>
        </is>
      </c>
      <c r="G1507" s="1" t="inlineStr">
        <is>
          <t>GF3010101409</t>
        </is>
      </c>
      <c r="H1507" s="1" t="n">
        <v>1</v>
      </c>
      <c r="I1507" s="1" t="inlineStr">
        <is>
          <t>หมด</t>
        </is>
      </c>
      <c r="J1507" s="13" t="n">
        <v>239</v>
      </c>
      <c r="K1507" s="1" t="inlineStr"/>
      <c r="L1507" s="13" t="n"/>
      <c r="M1507" s="1">
        <f>IF(L1507="","ไม่พบใน SG",IF(ABS(J1507-L1507)&lt;0.005,"ตรงกัน","ไม่ตรง"))</f>
        <v/>
      </c>
      <c r="N1507" s="14">
        <f>IF(L1507="","",ROUND(L1507*'สรุป'!$C$6,-1))</f>
        <v/>
      </c>
      <c r="O1507" s="15" t="n"/>
      <c r="P1507" s="15" t="n"/>
      <c r="Q1507" s="10" t="n"/>
      <c r="R1507" s="10" t="n"/>
      <c r="S1507" s="16" t="inlineStr">
        <is>
          <t>https://mstgolf.co.th/products/gf3010101409</t>
        </is>
      </c>
      <c r="T1507" s="1">
        <f>IF(B1507="ไม้กอล์ฟ",J1507,"")</f>
        <v/>
      </c>
    </row>
    <row r="1508">
      <c r="A1508" s="1" t="n">
        <v>2</v>
      </c>
      <c r="B1508" s="1" t="inlineStr">
        <is>
          <t>รองเท้า</t>
        </is>
      </c>
      <c r="C1508" s="1" t="inlineStr">
        <is>
          <t>gf2500102687</t>
        </is>
      </c>
      <c r="D1508" s="1" t="inlineStr">
        <is>
          <t>FOOTJOY Premiere Men's Spiked Shoes (White/Blue)</t>
        </is>
      </c>
      <c r="E1508" s="1" t="inlineStr">
        <is>
          <t>FOOTJOY</t>
        </is>
      </c>
      <c r="F1508" s="1" t="inlineStr">
        <is>
          <t>SPIKE SHOES</t>
        </is>
      </c>
      <c r="G1508" s="1" t="inlineStr">
        <is>
          <t>GF2500102687US6.5</t>
        </is>
      </c>
      <c r="H1508" s="1" t="n">
        <v>10</v>
      </c>
      <c r="I1508" s="1" t="inlineStr">
        <is>
          <t>หมด</t>
        </is>
      </c>
      <c r="J1508" s="13" t="n">
        <v>239</v>
      </c>
      <c r="K1508" s="1" t="inlineStr"/>
      <c r="L1508" s="13" t="n"/>
      <c r="M1508" s="1">
        <f>IF(L1508="","ไม่พบใน SG",IF(ABS(J1508-L1508)&lt;0.005,"ตรงกัน","ไม่ตรง"))</f>
        <v/>
      </c>
      <c r="N1508" s="14">
        <f>IF(L1508="","",ROUND(L1508*'สรุป'!$C$6,-1))</f>
        <v/>
      </c>
      <c r="O1508" s="15" t="n"/>
      <c r="P1508" s="15" t="n"/>
      <c r="Q1508" s="10" t="n"/>
      <c r="R1508" s="10" t="n"/>
      <c r="S1508" s="16" t="inlineStr">
        <is>
          <t>https://mstgolf.co.th/products/gf2500102687</t>
        </is>
      </c>
      <c r="T1508" s="1">
        <f>IF(B1508="ไม้กอล์ฟ",J1508,"")</f>
        <v/>
      </c>
    </row>
    <row r="1509">
      <c r="A1509" s="1" t="n">
        <v>2</v>
      </c>
      <c r="B1509" s="1" t="inlineStr">
        <is>
          <t>ถุงกอล์ฟ</t>
        </is>
      </c>
      <c r="C1509" s="1" t="inlineStr">
        <is>
          <t>gf3000201236</t>
        </is>
      </c>
      <c r="D1509" s="1" t="inlineStr">
        <is>
          <t>TAYLORMADE 9" Pro Stand Bag (Black/Blue)</t>
        </is>
      </c>
      <c r="E1509" s="1" t="inlineStr">
        <is>
          <t>TAYLORMADE</t>
        </is>
      </c>
      <c r="F1509" s="1" t="inlineStr">
        <is>
          <t>STAND BAG</t>
        </is>
      </c>
      <c r="G1509" s="1" t="inlineStr">
        <is>
          <t>GF3000201236</t>
        </is>
      </c>
      <c r="H1509" s="1" t="n">
        <v>1</v>
      </c>
      <c r="I1509" s="1" t="inlineStr">
        <is>
          <t>หมด</t>
        </is>
      </c>
      <c r="J1509" s="13" t="n">
        <v>239</v>
      </c>
      <c r="K1509" s="1" t="inlineStr"/>
      <c r="L1509" s="13" t="n">
        <v>239</v>
      </c>
      <c r="M1509" s="1">
        <f>IF(L1509="","ไม่พบใน SG",IF(ABS(J1509-L1509)&lt;0.005,"ตรงกัน","ไม่ตรง"))</f>
        <v/>
      </c>
      <c r="N1509" s="14">
        <f>IF(L1509="","",ROUND(L1509*'สรุป'!$C$6,-1))</f>
        <v/>
      </c>
      <c r="O1509" s="15" t="n"/>
      <c r="P1509" s="15" t="n"/>
      <c r="Q1509" s="10" t="n"/>
      <c r="R1509" s="10" t="n"/>
      <c r="S1509" s="16" t="inlineStr">
        <is>
          <t>https://mstgolf.co.th/products/gf3000201236</t>
        </is>
      </c>
      <c r="T1509" s="1">
        <f>IF(B1509="ไม้กอล์ฟ",J1509,"")</f>
        <v/>
      </c>
    </row>
    <row r="1510">
      <c r="A1510" s="1" t="n">
        <v>2</v>
      </c>
      <c r="B1510" s="1" t="inlineStr">
        <is>
          <t>ถุงกอล์ฟ</t>
        </is>
      </c>
      <c r="C1510" s="1" t="inlineStr">
        <is>
          <t>gf3000201237</t>
        </is>
      </c>
      <c r="D1510" s="1" t="inlineStr">
        <is>
          <t>TAYLORMADE 9" Pro Stand Bag (Black/Red)</t>
        </is>
      </c>
      <c r="E1510" s="1" t="inlineStr">
        <is>
          <t>TAYLORMADE</t>
        </is>
      </c>
      <c r="F1510" s="1" t="inlineStr">
        <is>
          <t>STAND BAG</t>
        </is>
      </c>
      <c r="G1510" s="1" t="inlineStr">
        <is>
          <t>GF3000201237</t>
        </is>
      </c>
      <c r="H1510" s="1" t="n">
        <v>1</v>
      </c>
      <c r="I1510" s="1" t="inlineStr">
        <is>
          <t>หมด</t>
        </is>
      </c>
      <c r="J1510" s="13" t="n">
        <v>239</v>
      </c>
      <c r="K1510" s="1" t="inlineStr"/>
      <c r="L1510" s="13" t="n">
        <v>239</v>
      </c>
      <c r="M1510" s="1">
        <f>IF(L1510="","ไม่พบใน SG",IF(ABS(J1510-L1510)&lt;0.005,"ตรงกัน","ไม่ตรง"))</f>
        <v/>
      </c>
      <c r="N1510" s="14">
        <f>IF(L1510="","",ROUND(L1510*'สรุป'!$C$6,-1))</f>
        <v/>
      </c>
      <c r="O1510" s="15" t="n"/>
      <c r="P1510" s="15" t="n"/>
      <c r="Q1510" s="10" t="n"/>
      <c r="R1510" s="10" t="n"/>
      <c r="S1510" s="16" t="inlineStr">
        <is>
          <t>https://mstgolf.co.th/products/gf3000201237</t>
        </is>
      </c>
      <c r="T1510" s="1">
        <f>IF(B1510="ไม้กอล์ฟ",J1510,"")</f>
        <v/>
      </c>
    </row>
    <row r="1511">
      <c r="A1511" s="1" t="n">
        <v>2</v>
      </c>
      <c r="B1511" s="1" t="inlineStr">
        <is>
          <t>ถุงกอล์ฟ</t>
        </is>
      </c>
      <c r="C1511" s="1" t="inlineStr">
        <is>
          <t>gf3000201234</t>
        </is>
      </c>
      <c r="D1511" s="1" t="inlineStr">
        <is>
          <t>TAYLORMADE 9" Pro Stand Bag (Charcoal)</t>
        </is>
      </c>
      <c r="E1511" s="1" t="inlineStr">
        <is>
          <t>TAYLORMADE</t>
        </is>
      </c>
      <c r="F1511" s="1" t="inlineStr">
        <is>
          <t>STAND BAG</t>
        </is>
      </c>
      <c r="G1511" s="1" t="inlineStr">
        <is>
          <t>GF3000201234</t>
        </is>
      </c>
      <c r="H1511" s="1" t="n">
        <v>1</v>
      </c>
      <c r="I1511" s="1" t="inlineStr">
        <is>
          <t>หมด</t>
        </is>
      </c>
      <c r="J1511" s="13" t="n">
        <v>239</v>
      </c>
      <c r="K1511" s="1" t="inlineStr"/>
      <c r="L1511" s="13" t="n">
        <v>239</v>
      </c>
      <c r="M1511" s="1">
        <f>IF(L1511="","ไม่พบใน SG",IF(ABS(J1511-L1511)&lt;0.005,"ตรงกัน","ไม่ตรง"))</f>
        <v/>
      </c>
      <c r="N1511" s="14">
        <f>IF(L1511="","",ROUND(L1511*'สรุป'!$C$6,-1))</f>
        <v/>
      </c>
      <c r="O1511" s="15" t="n"/>
      <c r="P1511" s="15" t="n"/>
      <c r="Q1511" s="10" t="n"/>
      <c r="R1511" s="10" t="n"/>
      <c r="S1511" s="16" t="inlineStr">
        <is>
          <t>https://mstgolf.co.th/products/gf3000201234</t>
        </is>
      </c>
      <c r="T1511" s="1">
        <f>IF(B1511="ไม้กอล์ฟ",J1511,"")</f>
        <v/>
      </c>
    </row>
    <row r="1512">
      <c r="A1512" s="1" t="n">
        <v>2</v>
      </c>
      <c r="B1512" s="1" t="inlineStr">
        <is>
          <t>ถุงกอล์ฟ</t>
        </is>
      </c>
      <c r="C1512" s="1" t="inlineStr">
        <is>
          <t>gf3000201238</t>
        </is>
      </c>
      <c r="D1512" s="1" t="inlineStr">
        <is>
          <t>TAYLORMADE 9" Pro Stand Bag (Grey/Purple)</t>
        </is>
      </c>
      <c r="E1512" s="1" t="inlineStr">
        <is>
          <t>TAYLORMADE</t>
        </is>
      </c>
      <c r="F1512" s="1" t="inlineStr">
        <is>
          <t>STAND BAG</t>
        </is>
      </c>
      <c r="G1512" s="1" t="inlineStr">
        <is>
          <t>GF3000201238</t>
        </is>
      </c>
      <c r="H1512" s="1" t="n">
        <v>1</v>
      </c>
      <c r="I1512" s="1" t="inlineStr">
        <is>
          <t>หมด</t>
        </is>
      </c>
      <c r="J1512" s="13" t="n">
        <v>239</v>
      </c>
      <c r="K1512" s="1" t="inlineStr"/>
      <c r="L1512" s="13" t="n">
        <v>239</v>
      </c>
      <c r="M1512" s="1">
        <f>IF(L1512="","ไม่พบใน SG",IF(ABS(J1512-L1512)&lt;0.005,"ตรงกัน","ไม่ตรง"))</f>
        <v/>
      </c>
      <c r="N1512" s="14">
        <f>IF(L1512="","",ROUND(L1512*'สรุป'!$C$6,-1))</f>
        <v/>
      </c>
      <c r="O1512" s="15" t="n"/>
      <c r="P1512" s="15" t="n"/>
      <c r="Q1512" s="10" t="n"/>
      <c r="R1512" s="10" t="n"/>
      <c r="S1512" s="16" t="inlineStr">
        <is>
          <t>https://mstgolf.co.th/products/gf3000201238</t>
        </is>
      </c>
      <c r="T1512" s="1">
        <f>IF(B1512="ไม้กอล์ฟ",J1512,"")</f>
        <v/>
      </c>
    </row>
    <row r="1513">
      <c r="A1513" s="1" t="n">
        <v>2</v>
      </c>
      <c r="B1513" s="1" t="inlineStr">
        <is>
          <t>ถุงกอล์ฟ</t>
        </is>
      </c>
      <c r="C1513" s="1" t="inlineStr">
        <is>
          <t>gf3000102712</t>
        </is>
      </c>
      <c r="D1513" s="1" t="inlineStr">
        <is>
          <t>TAYLORMADE 9.5" Graphic Logo Cart Bag (Sax Blue)</t>
        </is>
      </c>
      <c r="E1513" s="1" t="inlineStr">
        <is>
          <t>TAYLORMADE</t>
        </is>
      </c>
      <c r="F1513" s="1" t="inlineStr">
        <is>
          <t>CADDIE/CART BAG</t>
        </is>
      </c>
      <c r="G1513" s="1" t="inlineStr">
        <is>
          <t>GF3000102712</t>
        </is>
      </c>
      <c r="H1513" s="1" t="n">
        <v>1</v>
      </c>
      <c r="I1513" s="1" t="inlineStr">
        <is>
          <t>หมด</t>
        </is>
      </c>
      <c r="J1513" s="13" t="n">
        <v>239</v>
      </c>
      <c r="K1513" s="1" t="inlineStr"/>
      <c r="L1513" s="13" t="n">
        <v>239</v>
      </c>
      <c r="M1513" s="1">
        <f>IF(L1513="","ไม่พบใน SG",IF(ABS(J1513-L1513)&lt;0.005,"ตรงกัน","ไม่ตรง"))</f>
        <v/>
      </c>
      <c r="N1513" s="14">
        <f>IF(L1513="","",ROUND(L1513*'สรุป'!$C$6,-1))</f>
        <v/>
      </c>
      <c r="O1513" s="15" t="n"/>
      <c r="P1513" s="15" t="n"/>
      <c r="Q1513" s="10" t="n"/>
      <c r="R1513" s="10" t="n"/>
      <c r="S1513" s="16" t="inlineStr">
        <is>
          <t>https://mstgolf.co.th/products/gf3000102712</t>
        </is>
      </c>
      <c r="T1513" s="1">
        <f>IF(B1513="ไม้กอล์ฟ",J1513,"")</f>
        <v/>
      </c>
    </row>
    <row r="1514">
      <c r="A1514" s="1" t="n">
        <v>2</v>
      </c>
      <c r="B1514" s="1" t="inlineStr">
        <is>
          <t>ถุงกอล์ฟ</t>
        </is>
      </c>
      <c r="C1514" s="1" t="inlineStr">
        <is>
          <t>gf3000102709</t>
        </is>
      </c>
      <c r="D1514" s="1" t="inlineStr">
        <is>
          <t>TAYLORMADE 9.5" Sport Modern Cart Bag (Black)</t>
        </is>
      </c>
      <c r="E1514" s="1" t="inlineStr">
        <is>
          <t>TAYLORMADE</t>
        </is>
      </c>
      <c r="F1514" s="1" t="inlineStr">
        <is>
          <t>CADDIE/CART BAG</t>
        </is>
      </c>
      <c r="G1514" s="1" t="inlineStr">
        <is>
          <t>GF3000102709</t>
        </is>
      </c>
      <c r="H1514" s="1" t="n">
        <v>1</v>
      </c>
      <c r="I1514" s="1" t="inlineStr">
        <is>
          <t>หมด</t>
        </is>
      </c>
      <c r="J1514" s="13" t="n">
        <v>239</v>
      </c>
      <c r="K1514" s="1" t="inlineStr"/>
      <c r="L1514" s="13" t="n">
        <v>239</v>
      </c>
      <c r="M1514" s="1">
        <f>IF(L1514="","ไม่พบใน SG",IF(ABS(J1514-L1514)&lt;0.005,"ตรงกัน","ไม่ตรง"))</f>
        <v/>
      </c>
      <c r="N1514" s="14">
        <f>IF(L1514="","",ROUND(L1514*'สรุป'!$C$6,-1))</f>
        <v/>
      </c>
      <c r="O1514" s="15" t="n"/>
      <c r="P1514" s="15" t="n"/>
      <c r="Q1514" s="10" t="n"/>
      <c r="R1514" s="10" t="n"/>
      <c r="S1514" s="16" t="inlineStr">
        <is>
          <t>https://mstgolf.co.th/products/gf3000102709</t>
        </is>
      </c>
      <c r="T1514" s="1">
        <f>IF(B1514="ไม้กอล์ฟ",J1514,"")</f>
        <v/>
      </c>
    </row>
    <row r="1515">
      <c r="A1515" s="1" t="n">
        <v>2</v>
      </c>
      <c r="B1515" s="1" t="inlineStr">
        <is>
          <t>ถุงกอล์ฟ</t>
        </is>
      </c>
      <c r="C1515" s="1" t="inlineStr">
        <is>
          <t>gf3000102710</t>
        </is>
      </c>
      <c r="D1515" s="1" t="inlineStr">
        <is>
          <t>TAYLORMADE 9.5" Sport Modern Cart Bag (White)</t>
        </is>
      </c>
      <c r="E1515" s="1" t="inlineStr">
        <is>
          <t>TAYLORMADE</t>
        </is>
      </c>
      <c r="F1515" s="1" t="inlineStr">
        <is>
          <t>CADDIE/CART BAG</t>
        </is>
      </c>
      <c r="G1515" s="1" t="inlineStr">
        <is>
          <t>GF3000102710</t>
        </is>
      </c>
      <c r="H1515" s="1" t="n">
        <v>1</v>
      </c>
      <c r="I1515" s="1" t="inlineStr">
        <is>
          <t>หมด</t>
        </is>
      </c>
      <c r="J1515" s="13" t="n">
        <v>239</v>
      </c>
      <c r="K1515" s="1" t="inlineStr"/>
      <c r="L1515" s="13" t="n">
        <v>239</v>
      </c>
      <c r="M1515" s="1">
        <f>IF(L1515="","ไม่พบใน SG",IF(ABS(J1515-L1515)&lt;0.005,"ตรงกัน","ไม่ตรง"))</f>
        <v/>
      </c>
      <c r="N1515" s="14">
        <f>IF(L1515="","",ROUND(L1515*'สรุป'!$C$6,-1))</f>
        <v/>
      </c>
      <c r="O1515" s="15" t="n"/>
      <c r="P1515" s="15" t="n"/>
      <c r="Q1515" s="10" t="n"/>
      <c r="R1515" s="10" t="n"/>
      <c r="S1515" s="16" t="inlineStr">
        <is>
          <t>https://mstgolf.co.th/products/gf3000102710</t>
        </is>
      </c>
      <c r="T1515" s="1">
        <f>IF(B1515="ไม้กอล์ฟ",J1515,"")</f>
        <v/>
      </c>
    </row>
    <row r="1516">
      <c r="A1516" s="1" t="n">
        <v>2</v>
      </c>
      <c r="B1516" s="1" t="inlineStr">
        <is>
          <t>รองเท้า</t>
        </is>
      </c>
      <c r="C1516" s="1" t="inlineStr">
        <is>
          <t>gf2500201440</t>
        </is>
      </c>
      <c r="D1516" s="1" t="inlineStr">
        <is>
          <t>FOOTJOY Quantum Textile Men's Spikeless Shoes (White/Blue/Green)</t>
        </is>
      </c>
      <c r="E1516" s="1" t="inlineStr">
        <is>
          <t>FOOTJOY</t>
        </is>
      </c>
      <c r="F1516" s="1" t="inlineStr">
        <is>
          <t>SPIKELESS SHOES</t>
        </is>
      </c>
      <c r="G1516" s="1" t="inlineStr">
        <is>
          <t>GF2500201440US6.5</t>
        </is>
      </c>
      <c r="H1516" s="1" t="n">
        <v>10</v>
      </c>
      <c r="I1516" s="1" t="inlineStr">
        <is>
          <t>หมด</t>
        </is>
      </c>
      <c r="J1516" s="13" t="n">
        <v>236</v>
      </c>
      <c r="K1516" s="1" t="inlineStr"/>
      <c r="L1516" s="13" t="n"/>
      <c r="M1516" s="1">
        <f>IF(L1516="","ไม่พบใน SG",IF(ABS(J1516-L1516)&lt;0.005,"ตรงกัน","ไม่ตรง"))</f>
        <v/>
      </c>
      <c r="N1516" s="14">
        <f>IF(L1516="","",ROUND(L1516*'สรุป'!$C$6,-1))</f>
        <v/>
      </c>
      <c r="O1516" s="15" t="n"/>
      <c r="P1516" s="15" t="n"/>
      <c r="Q1516" s="10" t="n"/>
      <c r="R1516" s="10" t="n"/>
      <c r="S1516" s="16" t="inlineStr">
        <is>
          <t>https://mstgolf.co.th/products/gf2500201440</t>
        </is>
      </c>
      <c r="T1516" s="1">
        <f>IF(B1516="ไม้กอล์ฟ",J1516,"")</f>
        <v/>
      </c>
    </row>
    <row r="1517">
      <c r="A1517" s="1" t="n">
        <v>2</v>
      </c>
      <c r="B1517" s="1" t="inlineStr">
        <is>
          <t>รองเท้า</t>
        </is>
      </c>
      <c r="C1517" s="1" t="inlineStr">
        <is>
          <t>gf2500201443</t>
        </is>
      </c>
      <c r="D1517" s="1" t="inlineStr">
        <is>
          <t>FOOTJOY Quantum Women's Spikeless Shoes (Cream/Black/Pink)</t>
        </is>
      </c>
      <c r="E1517" s="1" t="inlineStr">
        <is>
          <t>FOOTJOY</t>
        </is>
      </c>
      <c r="F1517" s="1" t="inlineStr">
        <is>
          <t>SPIKELESS SHOES</t>
        </is>
      </c>
      <c r="G1517" s="1" t="inlineStr">
        <is>
          <t>GF2500201443US5</t>
        </is>
      </c>
      <c r="H1517" s="1" t="n">
        <v>9</v>
      </c>
      <c r="I1517" s="1" t="inlineStr">
        <is>
          <t>หมด</t>
        </is>
      </c>
      <c r="J1517" s="13" t="n">
        <v>236</v>
      </c>
      <c r="K1517" s="1" t="inlineStr"/>
      <c r="L1517" s="13" t="n"/>
      <c r="M1517" s="1">
        <f>IF(L1517="","ไม่พบใน SG",IF(ABS(J1517-L1517)&lt;0.005,"ตรงกัน","ไม่ตรง"))</f>
        <v/>
      </c>
      <c r="N1517" s="14">
        <f>IF(L1517="","",ROUND(L1517*'สรุป'!$C$6,-1))</f>
        <v/>
      </c>
      <c r="O1517" s="15" t="n"/>
      <c r="P1517" s="15" t="n"/>
      <c r="Q1517" s="10" t="n"/>
      <c r="R1517" s="10" t="n"/>
      <c r="S1517" s="16" t="inlineStr">
        <is>
          <t>https://mstgolf.co.th/products/gf2500201443</t>
        </is>
      </c>
      <c r="T1517" s="1">
        <f>IF(B1517="ไม้กอล์ฟ",J1517,"")</f>
        <v/>
      </c>
    </row>
    <row r="1518">
      <c r="A1518" s="1" t="n">
        <v>2</v>
      </c>
      <c r="B1518" s="1" t="inlineStr">
        <is>
          <t>ถุงกอล์ฟ</t>
        </is>
      </c>
      <c r="C1518" s="1" t="inlineStr">
        <is>
          <t>gf3000201167</t>
        </is>
      </c>
      <c r="D1518" s="1" t="inlineStr">
        <is>
          <t>TITLEIST Hybrid 14 Stand Bag (Blue/Lagoon/Black)</t>
        </is>
      </c>
      <c r="E1518" s="1" t="inlineStr">
        <is>
          <t>TITLEIST</t>
        </is>
      </c>
      <c r="F1518" s="1" t="inlineStr">
        <is>
          <t>STAND BAG</t>
        </is>
      </c>
      <c r="G1518" s="1" t="inlineStr">
        <is>
          <t>GF3000201167</t>
        </is>
      </c>
      <c r="H1518" s="1" t="n">
        <v>1</v>
      </c>
      <c r="I1518" s="1" t="inlineStr">
        <is>
          <t>หมด</t>
        </is>
      </c>
      <c r="J1518" s="13" t="n">
        <v>235</v>
      </c>
      <c r="K1518" s="1" t="inlineStr"/>
      <c r="L1518" s="13" t="n">
        <v>235</v>
      </c>
      <c r="M1518" s="1">
        <f>IF(L1518="","ไม่พบใน SG",IF(ABS(J1518-L1518)&lt;0.005,"ตรงกัน","ไม่ตรง"))</f>
        <v/>
      </c>
      <c r="N1518" s="14">
        <f>IF(L1518="","",ROUND(L1518*'สรุป'!$C$6,-1))</f>
        <v/>
      </c>
      <c r="O1518" s="15" t="n"/>
      <c r="P1518" s="15" t="n"/>
      <c r="Q1518" s="10" t="n"/>
      <c r="R1518" s="10" t="n"/>
      <c r="S1518" s="16" t="inlineStr">
        <is>
          <t>https://mstgolf.co.th/products/gf3000201167</t>
        </is>
      </c>
      <c r="T1518" s="1">
        <f>IF(B1518="ไม้กอล์ฟ",J1518,"")</f>
        <v/>
      </c>
    </row>
    <row r="1519">
      <c r="A1519" s="1" t="n">
        <v>2</v>
      </c>
      <c r="B1519" s="1" t="inlineStr">
        <is>
          <t>ถุงกอล์ฟ</t>
        </is>
      </c>
      <c r="C1519" s="1" t="inlineStr">
        <is>
          <t>gf3000201009</t>
        </is>
      </c>
      <c r="D1519" s="1" t="inlineStr">
        <is>
          <t>TITLEIST Hybrid 14 Stand Bag (Red/Charcoal/Grey)</t>
        </is>
      </c>
      <c r="E1519" s="1" t="inlineStr">
        <is>
          <t>TITLEIST</t>
        </is>
      </c>
      <c r="F1519" s="1" t="inlineStr">
        <is>
          <t>STAND BAG</t>
        </is>
      </c>
      <c r="G1519" s="1" t="inlineStr">
        <is>
          <t>GF3000201009</t>
        </is>
      </c>
      <c r="H1519" s="1" t="n">
        <v>1</v>
      </c>
      <c r="I1519" s="1" t="inlineStr">
        <is>
          <t>หมด</t>
        </is>
      </c>
      <c r="J1519" s="13" t="n">
        <v>235</v>
      </c>
      <c r="K1519" s="1" t="inlineStr"/>
      <c r="L1519" s="13" t="n">
        <v>235</v>
      </c>
      <c r="M1519" s="1">
        <f>IF(L1519="","ไม่พบใน SG",IF(ABS(J1519-L1519)&lt;0.005,"ตรงกัน","ไม่ตรง"))</f>
        <v/>
      </c>
      <c r="N1519" s="14">
        <f>IF(L1519="","",ROUND(L1519*'สรุป'!$C$6,-1))</f>
        <v/>
      </c>
      <c r="O1519" s="15" t="n"/>
      <c r="P1519" s="15" t="n"/>
      <c r="Q1519" s="10" t="n"/>
      <c r="R1519" s="10" t="n"/>
      <c r="S1519" s="16" t="inlineStr">
        <is>
          <t>https://mstgolf.co.th/products/gf3000201009</t>
        </is>
      </c>
      <c r="T1519" s="1">
        <f>IF(B1519="ไม้กอล์ฟ",J1519,"")</f>
        <v/>
      </c>
    </row>
    <row r="1520">
      <c r="A1520" s="1" t="n">
        <v>2</v>
      </c>
      <c r="B1520" s="1" t="inlineStr">
        <is>
          <t>ถุงกอล์ฟ</t>
        </is>
      </c>
      <c r="C1520" s="1" t="inlineStr">
        <is>
          <t>gf3000201166</t>
        </is>
      </c>
      <c r="D1520" s="1" t="inlineStr">
        <is>
          <t>TITLEIST Hybrid 14 Stand Bag (Red/Red/Grey)</t>
        </is>
      </c>
      <c r="E1520" s="1" t="inlineStr">
        <is>
          <t>TITLEIST</t>
        </is>
      </c>
      <c r="F1520" s="1" t="inlineStr">
        <is>
          <t>STAND BAG</t>
        </is>
      </c>
      <c r="G1520" s="1" t="inlineStr">
        <is>
          <t>GF3000201166</t>
        </is>
      </c>
      <c r="H1520" s="1" t="n">
        <v>1</v>
      </c>
      <c r="I1520" s="1" t="inlineStr">
        <is>
          <t>หมด</t>
        </is>
      </c>
      <c r="J1520" s="13" t="n">
        <v>235</v>
      </c>
      <c r="K1520" s="1" t="inlineStr"/>
      <c r="L1520" s="13" t="n">
        <v>235</v>
      </c>
      <c r="M1520" s="1">
        <f>IF(L1520="","ไม่พบใน SG",IF(ABS(J1520-L1520)&lt;0.005,"ตรงกัน","ไม่ตรง"))</f>
        <v/>
      </c>
      <c r="N1520" s="14">
        <f>IF(L1520="","",ROUND(L1520*'สรุป'!$C$6,-1))</f>
        <v/>
      </c>
      <c r="O1520" s="15" t="n"/>
      <c r="P1520" s="15" t="n"/>
      <c r="Q1520" s="10" t="n"/>
      <c r="R1520" s="10" t="n"/>
      <c r="S1520" s="16" t="inlineStr">
        <is>
          <t>https://mstgolf.co.th/products/gf3000201166</t>
        </is>
      </c>
      <c r="T1520" s="1">
        <f>IF(B1520="ไม้กอล์ฟ",J1520,"")</f>
        <v/>
      </c>
    </row>
    <row r="1521">
      <c r="A1521" s="1" t="n">
        <v>2</v>
      </c>
      <c r="B1521" s="1" t="inlineStr">
        <is>
          <t>ถุงกอล์ฟ</t>
        </is>
      </c>
      <c r="C1521" s="1" t="inlineStr">
        <is>
          <t>gf3000201168</t>
        </is>
      </c>
      <c r="D1521" s="1" t="inlineStr">
        <is>
          <t>TITLEIST Players 5 Stand Bag (Black/Black/Red)</t>
        </is>
      </c>
      <c r="E1521" s="1" t="inlineStr">
        <is>
          <t>TITLEIST</t>
        </is>
      </c>
      <c r="F1521" s="1" t="inlineStr">
        <is>
          <t>STAND BAG</t>
        </is>
      </c>
      <c r="G1521" s="1" t="inlineStr">
        <is>
          <t>GF3000201168</t>
        </is>
      </c>
      <c r="H1521" s="1" t="n">
        <v>1</v>
      </c>
      <c r="I1521" s="1" t="inlineStr">
        <is>
          <t>หมด</t>
        </is>
      </c>
      <c r="J1521" s="13" t="n">
        <v>235</v>
      </c>
      <c r="K1521" s="1" t="inlineStr"/>
      <c r="L1521" s="13" t="n">
        <v>235</v>
      </c>
      <c r="M1521" s="1">
        <f>IF(L1521="","ไม่พบใน SG",IF(ABS(J1521-L1521)&lt;0.005,"ตรงกัน","ไม่ตรง"))</f>
        <v/>
      </c>
      <c r="N1521" s="14">
        <f>IF(L1521="","",ROUND(L1521*'สรุป'!$C$6,-1))</f>
        <v/>
      </c>
      <c r="O1521" s="15" t="n"/>
      <c r="P1521" s="15" t="n"/>
      <c r="Q1521" s="10" t="n"/>
      <c r="R1521" s="10" t="n"/>
      <c r="S1521" s="16" t="inlineStr">
        <is>
          <t>https://mstgolf.co.th/products/gf3000201168</t>
        </is>
      </c>
      <c r="T1521" s="1">
        <f>IF(B1521="ไม้กอล์ฟ",J1521,"")</f>
        <v/>
      </c>
    </row>
    <row r="1522">
      <c r="A1522" s="1" t="n">
        <v>2</v>
      </c>
      <c r="B1522" s="1" t="inlineStr">
        <is>
          <t>ถุงกอล์ฟ</t>
        </is>
      </c>
      <c r="C1522" s="1" t="inlineStr">
        <is>
          <t>gf3000201172</t>
        </is>
      </c>
      <c r="D1522" s="1" t="inlineStr">
        <is>
          <t>TITLEIST Players 5 Stand Bag (Red/Graphite/Grey)</t>
        </is>
      </c>
      <c r="E1522" s="1" t="inlineStr">
        <is>
          <t>TITLEIST</t>
        </is>
      </c>
      <c r="F1522" s="1" t="inlineStr">
        <is>
          <t>STAND BAG</t>
        </is>
      </c>
      <c r="G1522" s="1" t="inlineStr">
        <is>
          <t>GF3000201172</t>
        </is>
      </c>
      <c r="H1522" s="1" t="n">
        <v>1</v>
      </c>
      <c r="I1522" s="1" t="inlineStr">
        <is>
          <t>หมด</t>
        </is>
      </c>
      <c r="J1522" s="13" t="n">
        <v>235</v>
      </c>
      <c r="K1522" s="1" t="inlineStr"/>
      <c r="L1522" s="13" t="n">
        <v>235</v>
      </c>
      <c r="M1522" s="1">
        <f>IF(L1522="","ไม่พบใน SG",IF(ABS(J1522-L1522)&lt;0.005,"ตรงกัน","ไม่ตรง"))</f>
        <v/>
      </c>
      <c r="N1522" s="14">
        <f>IF(L1522="","",ROUND(L1522*'สรุป'!$C$6,-1))</f>
        <v/>
      </c>
      <c r="O1522" s="15" t="n"/>
      <c r="P1522" s="15" t="n"/>
      <c r="Q1522" s="10" t="n"/>
      <c r="R1522" s="10" t="n"/>
      <c r="S1522" s="16" t="inlineStr">
        <is>
          <t>https://mstgolf.co.th/products/gf3000201172</t>
        </is>
      </c>
      <c r="T1522" s="1">
        <f>IF(B1522="ไม้กอล์ฟ",J1522,"")</f>
        <v/>
      </c>
    </row>
    <row r="1523">
      <c r="A1523" s="1" t="n">
        <v>2</v>
      </c>
      <c r="B1523" s="1" t="inlineStr">
        <is>
          <t>รองเท้า</t>
        </is>
      </c>
      <c r="C1523" s="1" t="inlineStr">
        <is>
          <t>gf2500201087</t>
        </is>
      </c>
      <c r="D1523" s="1" t="inlineStr">
        <is>
          <t>GFORE Gallivanter Saddle Men's Spikeless Shoes (Snow/Twilight)</t>
        </is>
      </c>
      <c r="E1523" s="1" t="inlineStr">
        <is>
          <t>GFORE</t>
        </is>
      </c>
      <c r="F1523" s="1" t="inlineStr">
        <is>
          <t>SPIKELESS SHOES</t>
        </is>
      </c>
      <c r="G1523" s="1" t="inlineStr">
        <is>
          <t>GF2500201087US6.5</t>
        </is>
      </c>
      <c r="H1523" s="1" t="n">
        <v>12</v>
      </c>
      <c r="I1523" s="1" t="inlineStr">
        <is>
          <t>หมด</t>
        </is>
      </c>
      <c r="J1523" s="13" t="n">
        <v>229</v>
      </c>
      <c r="K1523" s="1" t="inlineStr"/>
      <c r="L1523" s="13" t="n">
        <v>229</v>
      </c>
      <c r="M1523" s="1">
        <f>IF(L1523="","ไม่พบใน SG",IF(ABS(J1523-L1523)&lt;0.005,"ตรงกัน","ไม่ตรง"))</f>
        <v/>
      </c>
      <c r="N1523" s="14">
        <f>IF(L1523="","",ROUND(L1523*'สรุป'!$C$6,-1))</f>
        <v/>
      </c>
      <c r="O1523" s="15" t="n"/>
      <c r="P1523" s="15" t="n"/>
      <c r="Q1523" s="10" t="n"/>
      <c r="R1523" s="10" t="n"/>
      <c r="S1523" s="16" t="inlineStr">
        <is>
          <t>https://mstgolf.co.th/products/gf2500201087</t>
        </is>
      </c>
      <c r="T1523" s="1">
        <f>IF(B1523="ไม้กอล์ฟ",J1523,"")</f>
        <v/>
      </c>
    </row>
    <row r="1524">
      <c r="A1524" s="1" t="n">
        <v>2</v>
      </c>
      <c r="B1524" s="1" t="inlineStr">
        <is>
          <t>รองเท้า</t>
        </is>
      </c>
      <c r="C1524" s="1" t="inlineStr">
        <is>
          <t>gf2500200871</t>
        </is>
      </c>
      <c r="D1524" s="1" t="inlineStr">
        <is>
          <t>GFORE Saddle Gallivanter Women's Spikeless Shoes (White/Twilight)</t>
        </is>
      </c>
      <c r="E1524" s="1" t="inlineStr">
        <is>
          <t>GFORE</t>
        </is>
      </c>
      <c r="F1524" s="1" t="inlineStr">
        <is>
          <t>SPIKELESS SHOES</t>
        </is>
      </c>
      <c r="G1524" s="1" t="inlineStr">
        <is>
          <t>GF2500200871US7</t>
        </is>
      </c>
      <c r="H1524" s="1" t="n">
        <v>8</v>
      </c>
      <c r="I1524" s="1" t="inlineStr">
        <is>
          <t>หมด</t>
        </is>
      </c>
      <c r="J1524" s="13" t="n">
        <v>229</v>
      </c>
      <c r="K1524" s="1" t="inlineStr"/>
      <c r="L1524" s="13" t="n">
        <v>229</v>
      </c>
      <c r="M1524" s="1">
        <f>IF(L1524="","ไม่พบใน SG",IF(ABS(J1524-L1524)&lt;0.005,"ตรงกัน","ไม่ตรง"))</f>
        <v/>
      </c>
      <c r="N1524" s="14">
        <f>IF(L1524="","",ROUND(L1524*'สรุป'!$C$6,-1))</f>
        <v/>
      </c>
      <c r="O1524" s="15" t="n"/>
      <c r="P1524" s="15" t="n"/>
      <c r="Q1524" s="10" t="n"/>
      <c r="R1524" s="10" t="n"/>
      <c r="S1524" s="16" t="inlineStr">
        <is>
          <t>https://mstgolf.co.th/products/gf2500200871</t>
        </is>
      </c>
      <c r="T1524" s="1">
        <f>IF(B1524="ไม้กอล์ฟ",J1524,"")</f>
        <v/>
      </c>
    </row>
    <row r="1525">
      <c r="A1525" s="1" t="n">
        <v>2</v>
      </c>
      <c r="B1525" s="1" t="inlineStr">
        <is>
          <t>ถุงกอล์ฟ</t>
        </is>
      </c>
      <c r="C1525" s="1" t="inlineStr">
        <is>
          <t>gf3000201367</t>
        </is>
      </c>
      <c r="D1525" s="1" t="inlineStr">
        <is>
          <t>MIZUNO BR-D3 Stand Bag (Green)</t>
        </is>
      </c>
      <c r="E1525" s="1" t="inlineStr">
        <is>
          <t>MIZUNO</t>
        </is>
      </c>
      <c r="F1525" s="1" t="inlineStr">
        <is>
          <t>STAND BAG</t>
        </is>
      </c>
      <c r="G1525" s="1" t="inlineStr">
        <is>
          <t>GF3000201367</t>
        </is>
      </c>
      <c r="H1525" s="1" t="n">
        <v>1</v>
      </c>
      <c r="I1525" s="1" t="inlineStr">
        <is>
          <t>หมด</t>
        </is>
      </c>
      <c r="J1525" s="13" t="n">
        <v>225</v>
      </c>
      <c r="K1525" s="1" t="inlineStr"/>
      <c r="L1525" s="13" t="n">
        <v>225</v>
      </c>
      <c r="M1525" s="1">
        <f>IF(L1525="","ไม่พบใน SG",IF(ABS(J1525-L1525)&lt;0.005,"ตรงกัน","ไม่ตรง"))</f>
        <v/>
      </c>
      <c r="N1525" s="14">
        <f>IF(L1525="","",ROUND(L1525*'สรุป'!$C$6,-1))</f>
        <v/>
      </c>
      <c r="O1525" s="15" t="n"/>
      <c r="P1525" s="15" t="n"/>
      <c r="Q1525" s="10" t="n"/>
      <c r="R1525" s="10" t="n"/>
      <c r="S1525" s="16" t="inlineStr">
        <is>
          <t>https://mstgolf.co.th/products/gf3000201367</t>
        </is>
      </c>
      <c r="T1525" s="1">
        <f>IF(B1525="ไม้กอล์ฟ",J1525,"")</f>
        <v/>
      </c>
    </row>
    <row r="1526">
      <c r="A1526" s="1" t="n">
        <v>2</v>
      </c>
      <c r="B1526" s="1" t="inlineStr">
        <is>
          <t>รองเท้า</t>
        </is>
      </c>
      <c r="C1526" s="1" t="inlineStr">
        <is>
          <t>gf2500102525</t>
        </is>
      </c>
      <c r="D1526" s="1" t="inlineStr">
        <is>
          <t>FOOTJOY Premiere Series Packard Men's Spiked Shoes (White)</t>
        </is>
      </c>
      <c r="E1526" s="1" t="inlineStr">
        <is>
          <t>FOOTJOY</t>
        </is>
      </c>
      <c r="F1526" s="1" t="inlineStr">
        <is>
          <t>SPIKE SHOES</t>
        </is>
      </c>
      <c r="G1526" s="1" t="inlineStr">
        <is>
          <t>GF2500102525US7</t>
        </is>
      </c>
      <c r="H1526" s="1" t="n">
        <v>9</v>
      </c>
      <c r="I1526" s="1" t="inlineStr">
        <is>
          <t>หมด</t>
        </is>
      </c>
      <c r="J1526" s="13" t="n">
        <v>219</v>
      </c>
      <c r="K1526" s="1" t="inlineStr"/>
      <c r="L1526" s="13" t="n">
        <v>219</v>
      </c>
      <c r="M1526" s="1">
        <f>IF(L1526="","ไม่พบใน SG",IF(ABS(J1526-L1526)&lt;0.005,"ตรงกัน","ไม่ตรง"))</f>
        <v/>
      </c>
      <c r="N1526" s="14">
        <f>IF(L1526="","",ROUND(L1526*'สรุป'!$C$6,-1))</f>
        <v/>
      </c>
      <c r="O1526" s="15" t="n"/>
      <c r="P1526" s="15" t="n"/>
      <c r="Q1526" s="10" t="n"/>
      <c r="R1526" s="10" t="n"/>
      <c r="S1526" s="16" t="inlineStr">
        <is>
          <t>https://mstgolf.co.th/products/gf2500102525</t>
        </is>
      </c>
      <c r="T1526" s="1">
        <f>IF(B1526="ไม้กอล์ฟ",J1526,"")</f>
        <v/>
      </c>
    </row>
    <row r="1527">
      <c r="A1527" s="1" t="n">
        <v>2</v>
      </c>
      <c r="B1527" s="1" t="inlineStr">
        <is>
          <t>รองเท้า</t>
        </is>
      </c>
      <c r="C1527" s="1" t="inlineStr">
        <is>
          <t>gf2500201163</t>
        </is>
      </c>
      <c r="D1527" s="1" t="inlineStr">
        <is>
          <t>GFORE MG4X2 Knit Hybrid Women's Spikeless Shoes (Twilight)</t>
        </is>
      </c>
      <c r="E1527" s="1" t="inlineStr">
        <is>
          <t>GFORE</t>
        </is>
      </c>
      <c r="F1527" s="1" t="inlineStr">
        <is>
          <t>SPIKELESS SHOES</t>
        </is>
      </c>
      <c r="G1527" s="1" t="inlineStr">
        <is>
          <t>GF2500201163US5.5</t>
        </is>
      </c>
      <c r="H1527" s="1" t="n">
        <v>8</v>
      </c>
      <c r="I1527" s="1" t="inlineStr">
        <is>
          <t>หมด</t>
        </is>
      </c>
      <c r="J1527" s="13" t="n">
        <v>219</v>
      </c>
      <c r="K1527" s="1" t="inlineStr"/>
      <c r="L1527" s="13" t="n">
        <v>219</v>
      </c>
      <c r="M1527" s="1">
        <f>IF(L1527="","ไม่พบใน SG",IF(ABS(J1527-L1527)&lt;0.005,"ตรงกัน","ไม่ตรง"))</f>
        <v/>
      </c>
      <c r="N1527" s="14">
        <f>IF(L1527="","",ROUND(L1527*'สรุป'!$C$6,-1))</f>
        <v/>
      </c>
      <c r="O1527" s="15" t="n"/>
      <c r="P1527" s="15" t="n"/>
      <c r="Q1527" s="10" t="n"/>
      <c r="R1527" s="10" t="n"/>
      <c r="S1527" s="16" t="inlineStr">
        <is>
          <t>https://mstgolf.co.th/products/gf2500201163</t>
        </is>
      </c>
      <c r="T1527" s="1">
        <f>IF(B1527="ไม้กอล์ฟ",J1527,"")</f>
        <v/>
      </c>
    </row>
    <row r="1528">
      <c r="A1528" s="1" t="n">
        <v>2</v>
      </c>
      <c r="B1528" s="1" t="inlineStr">
        <is>
          <t>ถุงกอล์ฟ</t>
        </is>
      </c>
      <c r="C1528" s="1" t="inlineStr">
        <is>
          <t>gf3000200997</t>
        </is>
      </c>
      <c r="D1528" s="1" t="inlineStr">
        <is>
          <t>TAYLORMADE Flextech 2022 Upgrade Stand Bag (Black/Camo)</t>
        </is>
      </c>
      <c r="E1528" s="1" t="inlineStr">
        <is>
          <t>TAYLORMADE</t>
        </is>
      </c>
      <c r="F1528" s="1" t="inlineStr">
        <is>
          <t>STAND BAG</t>
        </is>
      </c>
      <c r="G1528" s="1" t="inlineStr">
        <is>
          <t>GF3000200997</t>
        </is>
      </c>
      <c r="H1528" s="1" t="n">
        <v>1</v>
      </c>
      <c r="I1528" s="1" t="inlineStr">
        <is>
          <t>หมด</t>
        </is>
      </c>
      <c r="J1528" s="13" t="n">
        <v>219</v>
      </c>
      <c r="K1528" s="1" t="inlineStr"/>
      <c r="L1528" s="13" t="n">
        <v>219</v>
      </c>
      <c r="M1528" s="1">
        <f>IF(L1528="","ไม่พบใน SG",IF(ABS(J1528-L1528)&lt;0.005,"ตรงกัน","ไม่ตรง"))</f>
        <v/>
      </c>
      <c r="N1528" s="14">
        <f>IF(L1528="","",ROUND(L1528*'สรุป'!$C$6,-1))</f>
        <v/>
      </c>
      <c r="O1528" s="15" t="n"/>
      <c r="P1528" s="15" t="n"/>
      <c r="Q1528" s="10" t="n"/>
      <c r="R1528" s="10" t="n"/>
      <c r="S1528" s="16" t="inlineStr">
        <is>
          <t>https://mstgolf.co.th/products/gf3000200997</t>
        </is>
      </c>
      <c r="T1528" s="1">
        <f>IF(B1528="ไม้กอล์ฟ",J1528,"")</f>
        <v/>
      </c>
    </row>
    <row r="1529">
      <c r="A1529" s="1" t="n">
        <v>2</v>
      </c>
      <c r="B1529" s="1" t="inlineStr">
        <is>
          <t>ถุงกอล์ฟ</t>
        </is>
      </c>
      <c r="C1529" s="1" t="inlineStr">
        <is>
          <t>gf3000200999</t>
        </is>
      </c>
      <c r="D1529" s="1" t="inlineStr">
        <is>
          <t>TAYLORMADE Flextech 2022 Upgrade Stand Bag (Driver)</t>
        </is>
      </c>
      <c r="E1529" s="1" t="inlineStr">
        <is>
          <t>TAYLORMADE</t>
        </is>
      </c>
      <c r="F1529" s="1" t="inlineStr">
        <is>
          <t>STAND BAG</t>
        </is>
      </c>
      <c r="G1529" s="1" t="inlineStr">
        <is>
          <t>GF3000200999</t>
        </is>
      </c>
      <c r="H1529" s="1" t="n">
        <v>1</v>
      </c>
      <c r="I1529" s="1" t="inlineStr">
        <is>
          <t>หมด</t>
        </is>
      </c>
      <c r="J1529" s="13" t="n">
        <v>219</v>
      </c>
      <c r="K1529" s="1" t="inlineStr"/>
      <c r="L1529" s="13" t="n">
        <v>219</v>
      </c>
      <c r="M1529" s="1">
        <f>IF(L1529="","ไม่พบใน SG",IF(ABS(J1529-L1529)&lt;0.005,"ตรงกัน","ไม่ตรง"))</f>
        <v/>
      </c>
      <c r="N1529" s="14">
        <f>IF(L1529="","",ROUND(L1529*'สรุป'!$C$6,-1))</f>
        <v/>
      </c>
      <c r="O1529" s="15" t="n"/>
      <c r="P1529" s="15" t="n"/>
      <c r="Q1529" s="10" t="n"/>
      <c r="R1529" s="10" t="n"/>
      <c r="S1529" s="16" t="inlineStr">
        <is>
          <t>https://mstgolf.co.th/products/gf3000200999</t>
        </is>
      </c>
      <c r="T1529" s="1">
        <f>IF(B1529="ไม้กอล์ฟ",J1529,"")</f>
        <v/>
      </c>
    </row>
    <row r="1530">
      <c r="A1530" s="1" t="n">
        <v>2</v>
      </c>
      <c r="B1530" s="1" t="inlineStr">
        <is>
          <t>ถุงกอล์ฟ</t>
        </is>
      </c>
      <c r="C1530" s="1" t="inlineStr">
        <is>
          <t>gf3000102679</t>
        </is>
      </c>
      <c r="D1530" s="1" t="inlineStr">
        <is>
          <t>COBRA Ultralight Pro Cart Bag (Black/Blue)</t>
        </is>
      </c>
      <c r="E1530" s="1" t="inlineStr">
        <is>
          <t>COBRA</t>
        </is>
      </c>
      <c r="F1530" s="1" t="inlineStr">
        <is>
          <t>CADDIE/CART BAG</t>
        </is>
      </c>
      <c r="G1530" s="1" t="inlineStr">
        <is>
          <t>GF3000102679</t>
        </is>
      </c>
      <c r="H1530" s="1" t="n">
        <v>1</v>
      </c>
      <c r="I1530" s="1" t="inlineStr">
        <is>
          <t>หมด</t>
        </is>
      </c>
      <c r="J1530" s="13" t="n">
        <v>215</v>
      </c>
      <c r="K1530" s="1" t="inlineStr"/>
      <c r="L1530" s="13" t="n">
        <v>215</v>
      </c>
      <c r="M1530" s="1">
        <f>IF(L1530="","ไม่พบใน SG",IF(ABS(J1530-L1530)&lt;0.005,"ตรงกัน","ไม่ตรง"))</f>
        <v/>
      </c>
      <c r="N1530" s="14">
        <f>IF(L1530="","",ROUND(L1530*'สรุป'!$C$6,-1))</f>
        <v/>
      </c>
      <c r="O1530" s="15" t="n"/>
      <c r="P1530" s="15" t="n"/>
      <c r="Q1530" s="10" t="n"/>
      <c r="R1530" s="10" t="n"/>
      <c r="S1530" s="16" t="inlineStr">
        <is>
          <t>https://mstgolf.co.th/products/gf3000102679</t>
        </is>
      </c>
      <c r="T1530" s="1">
        <f>IF(B1530="ไม้กอล์ฟ",J1530,"")</f>
        <v/>
      </c>
    </row>
    <row r="1531">
      <c r="A1531" s="1" t="n">
        <v>2</v>
      </c>
      <c r="B1531" s="1" t="inlineStr">
        <is>
          <t>ถุงกอล์ฟ</t>
        </is>
      </c>
      <c r="C1531" s="1" t="inlineStr">
        <is>
          <t>gf3000103012</t>
        </is>
      </c>
      <c r="D1531" s="1" t="inlineStr">
        <is>
          <t>CUTTER &amp; BUCK 97841-E 9" Waterproof Cart Bag (Black)</t>
        </is>
      </c>
      <c r="E1531" s="1" t="inlineStr">
        <is>
          <t>CUTTER &amp; BUCK</t>
        </is>
      </c>
      <c r="F1531" s="1" t="inlineStr">
        <is>
          <t>CADDIE/CART BAG</t>
        </is>
      </c>
      <c r="G1531" s="1" t="inlineStr">
        <is>
          <t>GF3000103012</t>
        </is>
      </c>
      <c r="H1531" s="1" t="n">
        <v>1</v>
      </c>
      <c r="I1531" s="1" t="inlineStr">
        <is>
          <t>หมด</t>
        </is>
      </c>
      <c r="J1531" s="13" t="n">
        <v>215</v>
      </c>
      <c r="K1531" s="1" t="inlineStr"/>
      <c r="L1531" s="13" t="n">
        <v>215</v>
      </c>
      <c r="M1531" s="1">
        <f>IF(L1531="","ไม่พบใน SG",IF(ABS(J1531-L1531)&lt;0.005,"ตรงกัน","ไม่ตรง"))</f>
        <v/>
      </c>
      <c r="N1531" s="14">
        <f>IF(L1531="","",ROUND(L1531*'สรุป'!$C$6,-1))</f>
        <v/>
      </c>
      <c r="O1531" s="15" t="n"/>
      <c r="P1531" s="15" t="n"/>
      <c r="Q1531" s="10" t="n"/>
      <c r="R1531" s="10" t="n"/>
      <c r="S1531" s="16" t="inlineStr">
        <is>
          <t>https://mstgolf.co.th/products/gf3000103012</t>
        </is>
      </c>
      <c r="T1531" s="1">
        <f>IF(B1531="ไม้กอล์ฟ",J1531,"")</f>
        <v/>
      </c>
    </row>
    <row r="1532">
      <c r="A1532" s="1" t="n">
        <v>2</v>
      </c>
      <c r="B1532" s="1" t="inlineStr">
        <is>
          <t>ถุงกอล์ฟ</t>
        </is>
      </c>
      <c r="C1532" s="1" t="inlineStr">
        <is>
          <t>gf3000103013</t>
        </is>
      </c>
      <c r="D1532" s="1" t="inlineStr">
        <is>
          <t>CUTTER &amp; BUCK 97841-E 9" Waterproof Cart Bag (Grey)</t>
        </is>
      </c>
      <c r="E1532" s="1" t="inlineStr">
        <is>
          <t>CUTTER &amp; BUCK</t>
        </is>
      </c>
      <c r="F1532" s="1" t="inlineStr">
        <is>
          <t>CADDIE/CART BAG</t>
        </is>
      </c>
      <c r="G1532" s="1" t="inlineStr">
        <is>
          <t>GF3000103013</t>
        </is>
      </c>
      <c r="H1532" s="1" t="n">
        <v>1</v>
      </c>
      <c r="I1532" s="1" t="inlineStr">
        <is>
          <t>หมด</t>
        </is>
      </c>
      <c r="J1532" s="13" t="n">
        <v>215</v>
      </c>
      <c r="K1532" s="1" t="inlineStr"/>
      <c r="L1532" s="13" t="n">
        <v>215</v>
      </c>
      <c r="M1532" s="1">
        <f>IF(L1532="","ไม่พบใน SG",IF(ABS(J1532-L1532)&lt;0.005,"ตรงกัน","ไม่ตรง"))</f>
        <v/>
      </c>
      <c r="N1532" s="14">
        <f>IF(L1532="","",ROUND(L1532*'สรุป'!$C$6,-1))</f>
        <v/>
      </c>
      <c r="O1532" s="15" t="n"/>
      <c r="P1532" s="15" t="n"/>
      <c r="Q1532" s="10" t="n"/>
      <c r="R1532" s="10" t="n"/>
      <c r="S1532" s="16" t="inlineStr">
        <is>
          <t>https://mstgolf.co.th/products/gf3000103013</t>
        </is>
      </c>
      <c r="T1532" s="1">
        <f>IF(B1532="ไม้กอล์ฟ",J1532,"")</f>
        <v/>
      </c>
    </row>
    <row r="1533">
      <c r="A1533" s="1" t="n">
        <v>2</v>
      </c>
      <c r="B1533" s="1" t="inlineStr">
        <is>
          <t>ถุงกอล์ฟ</t>
        </is>
      </c>
      <c r="C1533" s="1" t="inlineStr">
        <is>
          <t>gf3010101081</t>
        </is>
      </c>
      <c r="D1533" s="1" t="inlineStr">
        <is>
          <t>MAJESTY P21 Boston Bag (Black)</t>
        </is>
      </c>
      <c r="E1533" s="1" t="inlineStr">
        <is>
          <t>MAJESTY</t>
        </is>
      </c>
      <c r="F1533" s="1" t="inlineStr">
        <is>
          <t>BOSTON/DUFFLE BAG</t>
        </is>
      </c>
      <c r="G1533" s="1" t="inlineStr">
        <is>
          <t>GF3010101081</t>
        </is>
      </c>
      <c r="H1533" s="1" t="n">
        <v>1</v>
      </c>
      <c r="I1533" s="1" t="inlineStr">
        <is>
          <t>หมด</t>
        </is>
      </c>
      <c r="J1533" s="13" t="n">
        <v>215</v>
      </c>
      <c r="K1533" s="1" t="inlineStr"/>
      <c r="L1533" s="13" t="n">
        <v>215</v>
      </c>
      <c r="M1533" s="1">
        <f>IF(L1533="","ไม่พบใน SG",IF(ABS(J1533-L1533)&lt;0.005,"ตรงกัน","ไม่ตรง"))</f>
        <v/>
      </c>
      <c r="N1533" s="14">
        <f>IF(L1533="","",ROUND(L1533*'สรุป'!$C$6,-1))</f>
        <v/>
      </c>
      <c r="O1533" s="15" t="n"/>
      <c r="P1533" s="15" t="n"/>
      <c r="Q1533" s="10" t="n"/>
      <c r="R1533" s="10" t="n"/>
      <c r="S1533" s="16" t="inlineStr">
        <is>
          <t>https://mstgolf.co.th/products/gf3010101081</t>
        </is>
      </c>
      <c r="T1533" s="1">
        <f>IF(B1533="ไม้กอล์ฟ",J1533,"")</f>
        <v/>
      </c>
    </row>
    <row r="1534">
      <c r="A1534" s="1" t="n">
        <v>2</v>
      </c>
      <c r="B1534" s="1" t="inlineStr">
        <is>
          <t>ถุงกอล์ฟ</t>
        </is>
      </c>
      <c r="C1534" s="1" t="inlineStr">
        <is>
          <t>gf3000102812</t>
        </is>
      </c>
      <c r="D1534" s="1" t="inlineStr">
        <is>
          <t>ONOFF 9" Cart Bag (Sax Blue)</t>
        </is>
      </c>
      <c r="E1534" s="1" t="inlineStr">
        <is>
          <t>ONOFF</t>
        </is>
      </c>
      <c r="F1534" s="1" t="inlineStr">
        <is>
          <t>CADDIE/CART BAG</t>
        </is>
      </c>
      <c r="G1534" s="1" t="inlineStr">
        <is>
          <t>GF3000102812</t>
        </is>
      </c>
      <c r="H1534" s="1" t="n">
        <v>1</v>
      </c>
      <c r="I1534" s="1" t="inlineStr">
        <is>
          <t>หมด</t>
        </is>
      </c>
      <c r="J1534" s="13" t="n">
        <v>215</v>
      </c>
      <c r="K1534" s="1" t="inlineStr"/>
      <c r="L1534" s="13" t="n">
        <v>215</v>
      </c>
      <c r="M1534" s="1">
        <f>IF(L1534="","ไม่พบใน SG",IF(ABS(J1534-L1534)&lt;0.005,"ตรงกัน","ไม่ตรง"))</f>
        <v/>
      </c>
      <c r="N1534" s="14">
        <f>IF(L1534="","",ROUND(L1534*'สรุป'!$C$6,-1))</f>
        <v/>
      </c>
      <c r="O1534" s="15" t="n"/>
      <c r="P1534" s="15" t="n"/>
      <c r="Q1534" s="10" t="n"/>
      <c r="R1534" s="10" t="n"/>
      <c r="S1534" s="16" t="inlineStr">
        <is>
          <t>https://mstgolf.co.th/products/gf3000102812</t>
        </is>
      </c>
      <c r="T1534" s="1">
        <f>IF(B1534="ไม้กอล์ฟ",J1534,"")</f>
        <v/>
      </c>
    </row>
    <row r="1535">
      <c r="A1535" s="1" t="n">
        <v>2</v>
      </c>
      <c r="B1535" s="1" t="inlineStr">
        <is>
          <t>ถุงกอล์ฟ</t>
        </is>
      </c>
      <c r="C1535" s="1" t="inlineStr">
        <is>
          <t>gf3000102853</t>
        </is>
      </c>
      <c r="D1535" s="1" t="inlineStr">
        <is>
          <t>TAYLORMADE 8.5" Circle T Cart Bag (Beige)</t>
        </is>
      </c>
      <c r="E1535" s="1" t="inlineStr">
        <is>
          <t>TAYLORMADE</t>
        </is>
      </c>
      <c r="F1535" s="1" t="inlineStr">
        <is>
          <t>CADDIE/CART BAG</t>
        </is>
      </c>
      <c r="G1535" s="1" t="inlineStr">
        <is>
          <t>GF3000102853</t>
        </is>
      </c>
      <c r="H1535" s="1" t="n">
        <v>1</v>
      </c>
      <c r="I1535" s="1" t="inlineStr">
        <is>
          <t>หมด</t>
        </is>
      </c>
      <c r="J1535" s="13" t="n">
        <v>215</v>
      </c>
      <c r="K1535" s="1" t="inlineStr"/>
      <c r="L1535" s="13" t="n">
        <v>215</v>
      </c>
      <c r="M1535" s="1">
        <f>IF(L1535="","ไม่พบใน SG",IF(ABS(J1535-L1535)&lt;0.005,"ตรงกัน","ไม่ตรง"))</f>
        <v/>
      </c>
      <c r="N1535" s="14">
        <f>IF(L1535="","",ROUND(L1535*'สรุป'!$C$6,-1))</f>
        <v/>
      </c>
      <c r="O1535" s="15" t="n"/>
      <c r="P1535" s="15" t="n"/>
      <c r="Q1535" s="10" t="n"/>
      <c r="R1535" s="10" t="n"/>
      <c r="S1535" s="16" t="inlineStr">
        <is>
          <t>https://mstgolf.co.th/products/gf3000102853</t>
        </is>
      </c>
      <c r="T1535" s="1">
        <f>IF(B1535="ไม้กอล์ฟ",J1535,"")</f>
        <v/>
      </c>
    </row>
    <row r="1536">
      <c r="A1536" s="1" t="n">
        <v>2</v>
      </c>
      <c r="B1536" s="1" t="inlineStr">
        <is>
          <t>ถุงกอล์ฟ</t>
        </is>
      </c>
      <c r="C1536" s="1" t="inlineStr">
        <is>
          <t>gf3000102851</t>
        </is>
      </c>
      <c r="D1536" s="1" t="inlineStr">
        <is>
          <t>TAYLORMADE 8.5" Icon Graphic Cart Bag (Lime)</t>
        </is>
      </c>
      <c r="E1536" s="1" t="inlineStr">
        <is>
          <t>TAYLORMADE</t>
        </is>
      </c>
      <c r="F1536" s="1" t="inlineStr">
        <is>
          <t>CADDIE/CART BAG</t>
        </is>
      </c>
      <c r="G1536" s="1" t="inlineStr">
        <is>
          <t>GF3000102851</t>
        </is>
      </c>
      <c r="H1536" s="1" t="n">
        <v>1</v>
      </c>
      <c r="I1536" s="1" t="inlineStr">
        <is>
          <t>หมด</t>
        </is>
      </c>
      <c r="J1536" s="13" t="n">
        <v>215</v>
      </c>
      <c r="K1536" s="1" t="inlineStr"/>
      <c r="L1536" s="13" t="n">
        <v>215</v>
      </c>
      <c r="M1536" s="1">
        <f>IF(L1536="","ไม่พบใน SG",IF(ABS(J1536-L1536)&lt;0.005,"ตรงกัน","ไม่ตรง"))</f>
        <v/>
      </c>
      <c r="N1536" s="14">
        <f>IF(L1536="","",ROUND(L1536*'สรุป'!$C$6,-1))</f>
        <v/>
      </c>
      <c r="O1536" s="15" t="n"/>
      <c r="P1536" s="15" t="n"/>
      <c r="Q1536" s="10" t="n"/>
      <c r="R1536" s="10" t="n"/>
      <c r="S1536" s="16" t="inlineStr">
        <is>
          <t>https://mstgolf.co.th/products/gf3000102851</t>
        </is>
      </c>
      <c r="T1536" s="1">
        <f>IF(B1536="ไม้กอล์ฟ",J1536,"")</f>
        <v/>
      </c>
    </row>
    <row r="1537">
      <c r="A1537" s="1" t="n">
        <v>2</v>
      </c>
      <c r="B1537" s="1" t="inlineStr">
        <is>
          <t>ถุงกอล์ฟ</t>
        </is>
      </c>
      <c r="C1537" s="1" t="inlineStr">
        <is>
          <t>gf3000201449</t>
        </is>
      </c>
      <c r="D1537" s="1" t="inlineStr">
        <is>
          <t>TITLEIST Players 4 Stand Bag (Black/Black/Red)</t>
        </is>
      </c>
      <c r="E1537" s="1" t="inlineStr">
        <is>
          <t>TITLEIST</t>
        </is>
      </c>
      <c r="F1537" s="1" t="inlineStr">
        <is>
          <t>STAND BAG</t>
        </is>
      </c>
      <c r="G1537" s="1" t="inlineStr">
        <is>
          <t>GF3000201449</t>
        </is>
      </c>
      <c r="H1537" s="1" t="n">
        <v>1</v>
      </c>
      <c r="I1537" s="1" t="inlineStr">
        <is>
          <t>หมด</t>
        </is>
      </c>
      <c r="J1537" s="13" t="n">
        <v>215</v>
      </c>
      <c r="K1537" s="1" t="inlineStr"/>
      <c r="L1537" s="13" t="n">
        <v>215</v>
      </c>
      <c r="M1537" s="1">
        <f>IF(L1537="","ไม่พบใน SG",IF(ABS(J1537-L1537)&lt;0.005,"ตรงกัน","ไม่ตรง"))</f>
        <v/>
      </c>
      <c r="N1537" s="14">
        <f>IF(L1537="","",ROUND(L1537*'สรุป'!$C$6,-1))</f>
        <v/>
      </c>
      <c r="O1537" s="15" t="n"/>
      <c r="P1537" s="15" t="n"/>
      <c r="Q1537" s="10" t="n"/>
      <c r="R1537" s="10" t="n"/>
      <c r="S1537" s="16" t="inlineStr">
        <is>
          <t>https://mstgolf.co.th/products/gf3000201449</t>
        </is>
      </c>
      <c r="T1537" s="1">
        <f>IF(B1537="ไม้กอล์ฟ",J1537,"")</f>
        <v/>
      </c>
    </row>
    <row r="1538">
      <c r="A1538" s="1" t="n">
        <v>2</v>
      </c>
      <c r="B1538" s="1" t="inlineStr">
        <is>
          <t>ถุงกอล์ฟ</t>
        </is>
      </c>
      <c r="C1538" s="1" t="inlineStr">
        <is>
          <t>gf3010401220</t>
        </is>
      </c>
      <c r="D1538" s="1" t="inlineStr">
        <is>
          <t>ADIDAS Originals Tote Bag (Indigo)</t>
        </is>
      </c>
      <c r="E1538" s="1" t="inlineStr">
        <is>
          <t>ADIDAS</t>
        </is>
      </c>
      <c r="F1538" s="1" t="inlineStr">
        <is>
          <t>SMALL BAG</t>
        </is>
      </c>
      <c r="G1538" s="1" t="inlineStr">
        <is>
          <t>GF3010401220</t>
        </is>
      </c>
      <c r="H1538" s="1" t="n">
        <v>1</v>
      </c>
      <c r="I1538" s="1" t="inlineStr">
        <is>
          <t>หมด</t>
        </is>
      </c>
      <c r="J1538" s="13" t="n">
        <v>209</v>
      </c>
      <c r="K1538" s="1" t="inlineStr"/>
      <c r="L1538" s="13" t="n"/>
      <c r="M1538" s="1">
        <f>IF(L1538="","ไม่พบใน SG",IF(ABS(J1538-L1538)&lt;0.005,"ตรงกัน","ไม่ตรง"))</f>
        <v/>
      </c>
      <c r="N1538" s="14">
        <f>IF(L1538="","",ROUND(L1538*'สรุป'!$C$6,-1))</f>
        <v/>
      </c>
      <c r="O1538" s="15" t="n"/>
      <c r="P1538" s="15" t="n"/>
      <c r="Q1538" s="10" t="n"/>
      <c r="R1538" s="10" t="n"/>
      <c r="S1538" s="16" t="inlineStr">
        <is>
          <t>https://mstgolf.co.th/products/gf3010401220</t>
        </is>
      </c>
      <c r="T1538" s="1">
        <f>IF(B1538="ไม้กอล์ฟ",J1538,"")</f>
        <v/>
      </c>
    </row>
    <row r="1539">
      <c r="A1539" s="1" t="n">
        <v>2</v>
      </c>
      <c r="B1539" s="1" t="inlineStr">
        <is>
          <t>รองเท้า</t>
        </is>
      </c>
      <c r="C1539" s="1" t="inlineStr">
        <is>
          <t>gf2500201453</t>
        </is>
      </c>
      <c r="D1539" s="1" t="inlineStr">
        <is>
          <t>ADIDAS MC70 Men's Spikeless Shoes (White/Navy/Silver)</t>
        </is>
      </c>
      <c r="E1539" s="1" t="inlineStr">
        <is>
          <t>ADIDAS</t>
        </is>
      </c>
      <c r="F1539" s="1" t="inlineStr">
        <is>
          <t>SPIKELESS SHOES</t>
        </is>
      </c>
      <c r="G1539" s="1" t="inlineStr">
        <is>
          <t>GF2500201453UK6.5</t>
        </is>
      </c>
      <c r="H1539" s="1" t="n">
        <v>10</v>
      </c>
      <c r="I1539" s="1" t="inlineStr">
        <is>
          <t>หมด</t>
        </is>
      </c>
      <c r="J1539" s="13" t="n">
        <v>199</v>
      </c>
      <c r="K1539" s="1" t="inlineStr"/>
      <c r="L1539" s="13" t="n">
        <v>139</v>
      </c>
      <c r="M1539" s="1">
        <f>IF(L1539="","ไม่พบใน SG",IF(ABS(J1539-L1539)&lt;0.005,"ตรงกัน","ไม่ตรง"))</f>
        <v/>
      </c>
      <c r="N1539" s="14">
        <f>IF(L1539="","",ROUND(L1539*'สรุป'!$C$6,-1))</f>
        <v/>
      </c>
      <c r="O1539" s="15" t="n"/>
      <c r="P1539" s="15" t="n"/>
      <c r="Q1539" s="10" t="n"/>
      <c r="R1539" s="10" t="n"/>
      <c r="S1539" s="16" t="inlineStr">
        <is>
          <t>https://mstgolf.co.th/products/gf2500201453</t>
        </is>
      </c>
      <c r="T1539" s="1">
        <f>IF(B1539="ไม้กอล์ฟ",J1539,"")</f>
        <v/>
      </c>
    </row>
    <row r="1540">
      <c r="A1540" s="1" t="n">
        <v>2</v>
      </c>
      <c r="B1540" s="1" t="inlineStr">
        <is>
          <t>รถเข็น</t>
        </is>
      </c>
      <c r="C1540" s="1" t="inlineStr">
        <is>
          <t>gf3030100041</t>
        </is>
      </c>
      <c r="D1540" s="1" t="inlineStr">
        <is>
          <t>AEROCART Alum 3-Wheels Trolley (Black/Green)</t>
        </is>
      </c>
      <c r="E1540" s="1" t="inlineStr">
        <is>
          <t>AEROCART</t>
        </is>
      </c>
      <c r="F1540" s="1" t="inlineStr">
        <is>
          <t>TROLLEY</t>
        </is>
      </c>
      <c r="G1540" s="1" t="inlineStr">
        <is>
          <t>GF3030100041</t>
        </is>
      </c>
      <c r="H1540" s="1" t="n">
        <v>1</v>
      </c>
      <c r="I1540" s="1" t="inlineStr">
        <is>
          <t>หมด</t>
        </is>
      </c>
      <c r="J1540" s="13" t="n">
        <v>199</v>
      </c>
      <c r="K1540" s="1" t="inlineStr"/>
      <c r="L1540" s="13" t="n">
        <v>199</v>
      </c>
      <c r="M1540" s="1">
        <f>IF(L1540="","ไม่พบใน SG",IF(ABS(J1540-L1540)&lt;0.005,"ตรงกัน","ไม่ตรง"))</f>
        <v/>
      </c>
      <c r="N1540" s="14">
        <f>IF(L1540="","",ROUND(L1540*'สรุป'!$C$6,-1))</f>
        <v/>
      </c>
      <c r="O1540" s="15" t="n"/>
      <c r="P1540" s="15" t="n"/>
      <c r="Q1540" s="10" t="n"/>
      <c r="R1540" s="10" t="n"/>
      <c r="S1540" s="16" t="inlineStr">
        <is>
          <t>https://mstgolf.co.th/products/gf3030100041</t>
        </is>
      </c>
      <c r="T1540" s="1">
        <f>IF(B1540="ไม้กอล์ฟ",J1540,"")</f>
        <v/>
      </c>
    </row>
    <row r="1541">
      <c r="A1541" s="1" t="n">
        <v>2</v>
      </c>
      <c r="B1541" s="1" t="inlineStr">
        <is>
          <t>รถเข็น</t>
        </is>
      </c>
      <c r="C1541" s="1" t="inlineStr">
        <is>
          <t>gf3030100104</t>
        </is>
      </c>
      <c r="D1541" s="1" t="inlineStr">
        <is>
          <t>AXGLO Push Cart 3-Wheel Trolley (Black/Red)</t>
        </is>
      </c>
      <c r="E1541" s="1" t="inlineStr">
        <is>
          <t>AXGLO</t>
        </is>
      </c>
      <c r="F1541" s="1" t="inlineStr">
        <is>
          <t>TROLLEY</t>
        </is>
      </c>
      <c r="G1541" s="1" t="inlineStr">
        <is>
          <t>GF3030100104</t>
        </is>
      </c>
      <c r="H1541" s="1" t="n">
        <v>1</v>
      </c>
      <c r="I1541" s="1" t="inlineStr">
        <is>
          <t>หมด</t>
        </is>
      </c>
      <c r="J1541" s="13" t="n">
        <v>199</v>
      </c>
      <c r="K1541" s="1" t="inlineStr"/>
      <c r="L1541" s="13" t="n">
        <v>199</v>
      </c>
      <c r="M1541" s="1">
        <f>IF(L1541="","ไม่พบใน SG",IF(ABS(J1541-L1541)&lt;0.005,"ตรงกัน","ไม่ตรง"))</f>
        <v/>
      </c>
      <c r="N1541" s="14">
        <f>IF(L1541="","",ROUND(L1541*'สรุป'!$C$6,-1))</f>
        <v/>
      </c>
      <c r="O1541" s="15" t="n"/>
      <c r="P1541" s="15" t="n"/>
      <c r="Q1541" s="10" t="n"/>
      <c r="R1541" s="10" t="n"/>
      <c r="S1541" s="16" t="inlineStr">
        <is>
          <t>https://mstgolf.co.th/products/gf3030100104</t>
        </is>
      </c>
      <c r="T1541" s="1">
        <f>IF(B1541="ไม้กอล์ฟ",J1541,"")</f>
        <v/>
      </c>
    </row>
    <row r="1542">
      <c r="A1542" s="1" t="n">
        <v>2</v>
      </c>
      <c r="B1542" s="1" t="inlineStr">
        <is>
          <t>รองเท้า</t>
        </is>
      </c>
      <c r="C1542" s="1" t="inlineStr">
        <is>
          <t>gf2500102637</t>
        </is>
      </c>
      <c r="D1542" s="1" t="inlineStr">
        <is>
          <t>FOOTJOY Premiere Series Wilcox Men's Spiked Shoes (White)</t>
        </is>
      </c>
      <c r="E1542" s="1" t="inlineStr">
        <is>
          <t>FOOTJOY</t>
        </is>
      </c>
      <c r="F1542" s="1" t="inlineStr">
        <is>
          <t>SPIKE SHOES</t>
        </is>
      </c>
      <c r="G1542" s="1" t="inlineStr">
        <is>
          <t>GF2500102637US6.5</t>
        </is>
      </c>
      <c r="H1542" s="1" t="n">
        <v>10</v>
      </c>
      <c r="I1542" s="1" t="inlineStr">
        <is>
          <t>หมด</t>
        </is>
      </c>
      <c r="J1542" s="13" t="n">
        <v>199</v>
      </c>
      <c r="K1542" s="1" t="inlineStr"/>
      <c r="L1542" s="13" t="n"/>
      <c r="M1542" s="1">
        <f>IF(L1542="","ไม่พบใน SG",IF(ABS(J1542-L1542)&lt;0.005,"ตรงกัน","ไม่ตรง"))</f>
        <v/>
      </c>
      <c r="N1542" s="14">
        <f>IF(L1542="","",ROUND(L1542*'สรุป'!$C$6,-1))</f>
        <v/>
      </c>
      <c r="O1542" s="15" t="n"/>
      <c r="P1542" s="15" t="n"/>
      <c r="Q1542" s="10" t="n"/>
      <c r="R1542" s="10" t="n"/>
      <c r="S1542" s="16" t="inlineStr">
        <is>
          <t>https://mstgolf.co.th/products/gf2500102637</t>
        </is>
      </c>
      <c r="T1542" s="1">
        <f>IF(B1542="ไม้กอล์ฟ",J1542,"")</f>
        <v/>
      </c>
    </row>
    <row r="1543">
      <c r="A1543" s="1" t="n">
        <v>2</v>
      </c>
      <c r="B1543" s="1" t="inlineStr">
        <is>
          <t>รองเท้า</t>
        </is>
      </c>
      <c r="C1543" s="1" t="inlineStr">
        <is>
          <t>gf2500102719</t>
        </is>
      </c>
      <c r="D1543" s="1" t="inlineStr">
        <is>
          <t>FOOTJOY Tour Rival BOA Men's Spiked Shoes (White/White/Black)</t>
        </is>
      </c>
      <c r="E1543" s="1" t="inlineStr">
        <is>
          <t>FOOTJOY</t>
        </is>
      </c>
      <c r="F1543" s="1" t="inlineStr">
        <is>
          <t>SPIKE SHOES</t>
        </is>
      </c>
      <c r="G1543" s="1" t="inlineStr">
        <is>
          <t>GF2500102719US6.5</t>
        </is>
      </c>
      <c r="H1543" s="1" t="n">
        <v>10</v>
      </c>
      <c r="I1543" s="1" t="inlineStr">
        <is>
          <t>หมด</t>
        </is>
      </c>
      <c r="J1543" s="13" t="n">
        <v>199</v>
      </c>
      <c r="K1543" s="1" t="inlineStr"/>
      <c r="L1543" s="13" t="n"/>
      <c r="M1543" s="1">
        <f>IF(L1543="","ไม่พบใน SG",IF(ABS(J1543-L1543)&lt;0.005,"ตรงกัน","ไม่ตรง"))</f>
        <v/>
      </c>
      <c r="N1543" s="14">
        <f>IF(L1543="","",ROUND(L1543*'สรุป'!$C$6,-1))</f>
        <v/>
      </c>
      <c r="O1543" s="15" t="n"/>
      <c r="P1543" s="15" t="n"/>
      <c r="Q1543" s="10" t="n"/>
      <c r="R1543" s="10" t="n"/>
      <c r="S1543" s="16" t="inlineStr">
        <is>
          <t>https://mstgolf.co.th/products/gf2500102719</t>
        </is>
      </c>
      <c r="T1543" s="1">
        <f>IF(B1543="ไม้กอล์ฟ",J1543,"")</f>
        <v/>
      </c>
    </row>
    <row r="1544">
      <c r="A1544" s="1" t="n">
        <v>2</v>
      </c>
      <c r="B1544" s="1" t="inlineStr">
        <is>
          <t>ถุงกอล์ฟ</t>
        </is>
      </c>
      <c r="C1544" s="1" t="inlineStr">
        <is>
          <t>gf3000102530</t>
        </is>
      </c>
      <c r="D1544" s="1" t="inlineStr">
        <is>
          <t>MIZUNO 9.5" Sporty Cart Bag (Black/Red)</t>
        </is>
      </c>
      <c r="E1544" s="1" t="inlineStr">
        <is>
          <t>MIZUNO</t>
        </is>
      </c>
      <c r="F1544" s="1" t="inlineStr">
        <is>
          <t>CADDIE/CART BAG</t>
        </is>
      </c>
      <c r="G1544" s="1" t="inlineStr">
        <is>
          <t>GF3000102530</t>
        </is>
      </c>
      <c r="H1544" s="1" t="n">
        <v>1</v>
      </c>
      <c r="I1544" s="1" t="inlineStr">
        <is>
          <t>หมด</t>
        </is>
      </c>
      <c r="J1544" s="13" t="n">
        <v>199</v>
      </c>
      <c r="K1544" s="1" t="inlineStr"/>
      <c r="L1544" s="13" t="n">
        <v>199</v>
      </c>
      <c r="M1544" s="1">
        <f>IF(L1544="","ไม่พบใน SG",IF(ABS(J1544-L1544)&lt;0.005,"ตรงกัน","ไม่ตรง"))</f>
        <v/>
      </c>
      <c r="N1544" s="14">
        <f>IF(L1544="","",ROUND(L1544*'สรุป'!$C$6,-1))</f>
        <v/>
      </c>
      <c r="O1544" s="15" t="n"/>
      <c r="P1544" s="15" t="n"/>
      <c r="Q1544" s="10" t="n"/>
      <c r="R1544" s="10" t="n"/>
      <c r="S1544" s="16" t="inlineStr">
        <is>
          <t>https://mstgolf.co.th/products/gf3000102530</t>
        </is>
      </c>
      <c r="T1544" s="1">
        <f>IF(B1544="ไม้กอล์ฟ",J1544,"")</f>
        <v/>
      </c>
    </row>
    <row r="1545">
      <c r="A1545" s="1" t="n">
        <v>2</v>
      </c>
      <c r="B1545" s="1" t="inlineStr">
        <is>
          <t>ถุงกอล์ฟ</t>
        </is>
      </c>
      <c r="C1545" s="1" t="inlineStr">
        <is>
          <t>gf3000102531</t>
        </is>
      </c>
      <c r="D1545" s="1" t="inlineStr">
        <is>
          <t>MIZUNO 9.5" Ultralite Cart Bag (Black/Grey)</t>
        </is>
      </c>
      <c r="E1545" s="1" t="inlineStr">
        <is>
          <t>MIZUNO</t>
        </is>
      </c>
      <c r="F1545" s="1" t="inlineStr">
        <is>
          <t>CADDIE/CART BAG</t>
        </is>
      </c>
      <c r="G1545" s="1" t="inlineStr">
        <is>
          <t>GF3000102531</t>
        </is>
      </c>
      <c r="H1545" s="1" t="n">
        <v>1</v>
      </c>
      <c r="I1545" s="1" t="inlineStr">
        <is>
          <t>หมด</t>
        </is>
      </c>
      <c r="J1545" s="13" t="n">
        <v>199</v>
      </c>
      <c r="K1545" s="1" t="inlineStr"/>
      <c r="L1545" s="13" t="n">
        <v>199</v>
      </c>
      <c r="M1545" s="1">
        <f>IF(L1545="","ไม่พบใน SG",IF(ABS(J1545-L1545)&lt;0.005,"ตรงกัน","ไม่ตรง"))</f>
        <v/>
      </c>
      <c r="N1545" s="14">
        <f>IF(L1545="","",ROUND(L1545*'สรุป'!$C$6,-1))</f>
        <v/>
      </c>
      <c r="O1545" s="15" t="n"/>
      <c r="P1545" s="15" t="n"/>
      <c r="Q1545" s="10" t="n"/>
      <c r="R1545" s="10" t="n"/>
      <c r="S1545" s="16" t="inlineStr">
        <is>
          <t>https://mstgolf.co.th/products/gf3000102531</t>
        </is>
      </c>
      <c r="T1545" s="1">
        <f>IF(B1545="ไม้กอล์ฟ",J1545,"")</f>
        <v/>
      </c>
    </row>
    <row r="1546">
      <c r="A1546" s="1" t="n">
        <v>2</v>
      </c>
      <c r="B1546" s="1" t="inlineStr">
        <is>
          <t>อุปกรณ์ฝึกซ้อม</t>
        </is>
      </c>
      <c r="C1546" s="1" t="inlineStr">
        <is>
          <t>gf3040100110</t>
        </is>
      </c>
      <c r="D1546" s="1" t="inlineStr">
        <is>
          <t>SKLZ Home Driving Range Kit</t>
        </is>
      </c>
      <c r="E1546" s="1" t="inlineStr">
        <is>
          <t>SKLZ</t>
        </is>
      </c>
      <c r="F1546" s="1" t="inlineStr">
        <is>
          <t>SWING</t>
        </is>
      </c>
      <c r="G1546" s="1" t="inlineStr">
        <is>
          <t>GF3040100110</t>
        </is>
      </c>
      <c r="H1546" s="1" t="n">
        <v>1</v>
      </c>
      <c r="I1546" s="1" t="inlineStr">
        <is>
          <t>หมด</t>
        </is>
      </c>
      <c r="J1546" s="13" t="n">
        <v>199</v>
      </c>
      <c r="K1546" s="1" t="inlineStr"/>
      <c r="L1546" s="13" t="n">
        <v>199</v>
      </c>
      <c r="M1546" s="1">
        <f>IF(L1546="","ไม่พบใน SG",IF(ABS(J1546-L1546)&lt;0.005,"ตรงกัน","ไม่ตรง"))</f>
        <v/>
      </c>
      <c r="N1546" s="14">
        <f>IF(L1546="","",ROUND(L1546*'สรุป'!$C$6,-1))</f>
        <v/>
      </c>
      <c r="O1546" s="15" t="n"/>
      <c r="P1546" s="15" t="n"/>
      <c r="Q1546" s="10" t="n"/>
      <c r="R1546" s="10" t="n"/>
      <c r="S1546" s="16" t="inlineStr">
        <is>
          <t>https://mstgolf.co.th/products/gf3040100110</t>
        </is>
      </c>
      <c r="T1546" s="1">
        <f>IF(B1546="ไม้กอล์ฟ",J1546,"")</f>
        <v/>
      </c>
    </row>
    <row r="1547">
      <c r="A1547" s="1" t="n">
        <v>2</v>
      </c>
      <c r="B1547" s="1" t="inlineStr">
        <is>
          <t>รองเท้า</t>
        </is>
      </c>
      <c r="C1547" s="1" t="inlineStr">
        <is>
          <t>gf2500102772</t>
        </is>
      </c>
      <c r="D1547" s="1" t="inlineStr">
        <is>
          <t>ADIDAS Alphamotion BOA Men's Spiked Shoes (White/Silver)</t>
        </is>
      </c>
      <c r="E1547" s="1" t="inlineStr">
        <is>
          <t>ADIDAS</t>
        </is>
      </c>
      <c r="F1547" s="1" t="inlineStr">
        <is>
          <t>SPIKE SHOES</t>
        </is>
      </c>
      <c r="G1547" s="1" t="inlineStr">
        <is>
          <t>GF2500102772UK6.5</t>
        </is>
      </c>
      <c r="H1547" s="1" t="n">
        <v>11</v>
      </c>
      <c r="I1547" s="1" t="inlineStr">
        <is>
          <t>หมด</t>
        </is>
      </c>
      <c r="J1547" s="13" t="n">
        <v>189</v>
      </c>
      <c r="K1547" s="1" t="inlineStr"/>
      <c r="L1547" s="13" t="n">
        <v>129</v>
      </c>
      <c r="M1547" s="1">
        <f>IF(L1547="","ไม่พบใน SG",IF(ABS(J1547-L1547)&lt;0.005,"ตรงกัน","ไม่ตรง"))</f>
        <v/>
      </c>
      <c r="N1547" s="14">
        <f>IF(L1547="","",ROUND(L1547*'สรุป'!$C$6,-1))</f>
        <v/>
      </c>
      <c r="O1547" s="15" t="n"/>
      <c r="P1547" s="15" t="n"/>
      <c r="Q1547" s="10" t="n"/>
      <c r="R1547" s="10" t="n"/>
      <c r="S1547" s="16" t="inlineStr">
        <is>
          <t>https://mstgolf.co.th/products/gf2500102772</t>
        </is>
      </c>
      <c r="T1547" s="1">
        <f>IF(B1547="ไม้กอล์ฟ",J1547,"")</f>
        <v/>
      </c>
    </row>
    <row r="1548">
      <c r="A1548" s="1" t="n">
        <v>2</v>
      </c>
      <c r="B1548" s="1" t="inlineStr">
        <is>
          <t>รองเท้า</t>
        </is>
      </c>
      <c r="C1548" s="1" t="inlineStr">
        <is>
          <t>gf2500201462</t>
        </is>
      </c>
      <c r="D1548" s="1" t="inlineStr">
        <is>
          <t>ADIDAS Samba Men's Spikeless Shoes (Orange/White)</t>
        </is>
      </c>
      <c r="E1548" s="1" t="inlineStr">
        <is>
          <t>ADIDAS</t>
        </is>
      </c>
      <c r="F1548" s="1" t="inlineStr">
        <is>
          <t>SPIKELESS SHOES</t>
        </is>
      </c>
      <c r="G1548" s="1" t="inlineStr">
        <is>
          <t>GF2500201462UK5</t>
        </is>
      </c>
      <c r="H1548" s="1" t="n">
        <v>12</v>
      </c>
      <c r="I1548" s="1" t="inlineStr">
        <is>
          <t>หมด</t>
        </is>
      </c>
      <c r="J1548" s="13" t="n">
        <v>189</v>
      </c>
      <c r="K1548" s="1" t="inlineStr"/>
      <c r="L1548" s="13" t="n"/>
      <c r="M1548" s="1">
        <f>IF(L1548="","ไม่พบใน SG",IF(ABS(J1548-L1548)&lt;0.005,"ตรงกัน","ไม่ตรง"))</f>
        <v/>
      </c>
      <c r="N1548" s="14">
        <f>IF(L1548="","",ROUND(L1548*'สรุป'!$C$6,-1))</f>
        <v/>
      </c>
      <c r="O1548" s="15" t="n"/>
      <c r="P1548" s="15" t="n"/>
      <c r="Q1548" s="10" t="n"/>
      <c r="R1548" s="10" t="n"/>
      <c r="S1548" s="16" t="inlineStr">
        <is>
          <t>https://mstgolf.co.th/products/gf2500201462</t>
        </is>
      </c>
      <c r="T1548" s="1">
        <f>IF(B1548="ไม้กอล์ฟ",J1548,"")</f>
        <v/>
      </c>
    </row>
    <row r="1549">
      <c r="A1549" s="1" t="n">
        <v>2</v>
      </c>
      <c r="B1549" s="1" t="inlineStr">
        <is>
          <t>รองเท้า</t>
        </is>
      </c>
      <c r="C1549" s="1" t="inlineStr">
        <is>
          <t>gf2500201463</t>
        </is>
      </c>
      <c r="D1549" s="1" t="inlineStr">
        <is>
          <t>ADIDAS Samba Men's Spikeless Shoes (White/Orange)</t>
        </is>
      </c>
      <c r="E1549" s="1" t="inlineStr">
        <is>
          <t>ADIDAS</t>
        </is>
      </c>
      <c r="F1549" s="1" t="inlineStr">
        <is>
          <t>SPIKELESS SHOES</t>
        </is>
      </c>
      <c r="G1549" s="1" t="inlineStr">
        <is>
          <t>GF2500201463UK5</t>
        </is>
      </c>
      <c r="H1549" s="1" t="n">
        <v>12</v>
      </c>
      <c r="I1549" s="1" t="inlineStr">
        <is>
          <t>หมด</t>
        </is>
      </c>
      <c r="J1549" s="13" t="n">
        <v>189</v>
      </c>
      <c r="K1549" s="1" t="inlineStr"/>
      <c r="L1549" s="13" t="n"/>
      <c r="M1549" s="1">
        <f>IF(L1549="","ไม่พบใน SG",IF(ABS(J1549-L1549)&lt;0.005,"ตรงกัน","ไม่ตรง"))</f>
        <v/>
      </c>
      <c r="N1549" s="14">
        <f>IF(L1549="","",ROUND(L1549*'สรุป'!$C$6,-1))</f>
        <v/>
      </c>
      <c r="O1549" s="15" t="n"/>
      <c r="P1549" s="15" t="n"/>
      <c r="Q1549" s="10" t="n"/>
      <c r="R1549" s="10" t="n"/>
      <c r="S1549" s="16" t="inlineStr">
        <is>
          <t>https://mstgolf.co.th/products/gf2500201463</t>
        </is>
      </c>
      <c r="T1549" s="1">
        <f>IF(B1549="ไม้กอล์ฟ",J1549,"")</f>
        <v/>
      </c>
    </row>
    <row r="1550">
      <c r="A1550" s="1" t="n">
        <v>2</v>
      </c>
      <c r="B1550" s="1" t="inlineStr">
        <is>
          <t>รองเท้า</t>
        </is>
      </c>
      <c r="C1550" s="1" t="inlineStr">
        <is>
          <t>gf2500102423</t>
        </is>
      </c>
      <c r="D1550" s="1" t="inlineStr">
        <is>
          <t>FOOTJOY Hyperflex BOA Men's Spiked Shoes (Grey/White)</t>
        </is>
      </c>
      <c r="E1550" s="1" t="inlineStr">
        <is>
          <t>FOOTJOY</t>
        </is>
      </c>
      <c r="F1550" s="1" t="inlineStr">
        <is>
          <t>SPIKE SHOES</t>
        </is>
      </c>
      <c r="G1550" s="1" t="inlineStr">
        <is>
          <t>GF2500102423US6.5</t>
        </is>
      </c>
      <c r="H1550" s="1" t="n">
        <v>10</v>
      </c>
      <c r="I1550" s="1" t="inlineStr">
        <is>
          <t>หมด</t>
        </is>
      </c>
      <c r="J1550" s="13" t="n">
        <v>189</v>
      </c>
      <c r="K1550" s="1" t="inlineStr"/>
      <c r="L1550" s="13" t="n"/>
      <c r="M1550" s="1">
        <f>IF(L1550="","ไม่พบใน SG",IF(ABS(J1550-L1550)&lt;0.005,"ตรงกัน","ไม่ตรง"))</f>
        <v/>
      </c>
      <c r="N1550" s="14">
        <f>IF(L1550="","",ROUND(L1550*'สรุป'!$C$6,-1))</f>
        <v/>
      </c>
      <c r="O1550" s="15" t="n"/>
      <c r="P1550" s="15" t="n"/>
      <c r="Q1550" s="10" t="n"/>
      <c r="R1550" s="10" t="n"/>
      <c r="S1550" s="16" t="inlineStr">
        <is>
          <t>https://mstgolf.co.th/products/gf2500102423</t>
        </is>
      </c>
      <c r="T1550" s="1">
        <f>IF(B1550="ไม้กอล์ฟ",J1550,"")</f>
        <v/>
      </c>
    </row>
    <row r="1551">
      <c r="A1551" s="1" t="n">
        <v>2</v>
      </c>
      <c r="B1551" s="1" t="inlineStr">
        <is>
          <t>ถุงกอล์ฟ</t>
        </is>
      </c>
      <c r="C1551" s="1" t="inlineStr">
        <is>
          <t>gf3000101770</t>
        </is>
      </c>
      <c r="D1551" s="1" t="inlineStr">
        <is>
          <t>MARUMAN 8.5" Caddie Bag (Black/Red)</t>
        </is>
      </c>
      <c r="E1551" s="1" t="inlineStr">
        <is>
          <t>MARUMAN</t>
        </is>
      </c>
      <c r="F1551" s="1" t="inlineStr">
        <is>
          <t>CADDIE/CART BAG</t>
        </is>
      </c>
      <c r="G1551" s="1" t="inlineStr">
        <is>
          <t>GF3000101770</t>
        </is>
      </c>
      <c r="H1551" s="1" t="n">
        <v>1</v>
      </c>
      <c r="I1551" s="1" t="inlineStr">
        <is>
          <t>หมด</t>
        </is>
      </c>
      <c r="J1551" s="13" t="n">
        <v>189</v>
      </c>
      <c r="K1551" s="1" t="inlineStr"/>
      <c r="L1551" s="13" t="n"/>
      <c r="M1551" s="1">
        <f>IF(L1551="","ไม่พบใน SG",IF(ABS(J1551-L1551)&lt;0.005,"ตรงกัน","ไม่ตรง"))</f>
        <v/>
      </c>
      <c r="N1551" s="14">
        <f>IF(L1551="","",ROUND(L1551*'สรุป'!$C$6,-1))</f>
        <v/>
      </c>
      <c r="O1551" s="15" t="n"/>
      <c r="P1551" s="15" t="n"/>
      <c r="Q1551" s="10" t="n"/>
      <c r="R1551" s="10" t="n"/>
      <c r="S1551" s="16" t="inlineStr">
        <is>
          <t>https://mstgolf.co.th/products/gf3000101770</t>
        </is>
      </c>
      <c r="T1551" s="1">
        <f>IF(B1551="ไม้กอล์ฟ",J1551,"")</f>
        <v/>
      </c>
    </row>
    <row r="1552">
      <c r="A1552" s="1" t="n">
        <v>2</v>
      </c>
      <c r="B1552" s="1" t="inlineStr">
        <is>
          <t>ถุงกอล์ฟ</t>
        </is>
      </c>
      <c r="C1552" s="1" t="inlineStr">
        <is>
          <t>gf3000101771</t>
        </is>
      </c>
      <c r="D1552" s="1" t="inlineStr">
        <is>
          <t>MARUMAN 8.5" Caddie Bag (White/Blue)</t>
        </is>
      </c>
      <c r="E1552" s="1" t="inlineStr">
        <is>
          <t>MARUMAN</t>
        </is>
      </c>
      <c r="F1552" s="1" t="inlineStr">
        <is>
          <t>CADDIE/CART BAG</t>
        </is>
      </c>
      <c r="G1552" s="1" t="inlineStr">
        <is>
          <t>GF3000101771</t>
        </is>
      </c>
      <c r="H1552" s="1" t="n">
        <v>1</v>
      </c>
      <c r="I1552" s="1" t="inlineStr">
        <is>
          <t>หมด</t>
        </is>
      </c>
      <c r="J1552" s="13" t="n">
        <v>189</v>
      </c>
      <c r="K1552" s="1" t="inlineStr"/>
      <c r="L1552" s="13" t="n"/>
      <c r="M1552" s="1">
        <f>IF(L1552="","ไม่พบใน SG",IF(ABS(J1552-L1552)&lt;0.005,"ตรงกัน","ไม่ตรง"))</f>
        <v/>
      </c>
      <c r="N1552" s="14">
        <f>IF(L1552="","",ROUND(L1552*'สรุป'!$C$6,-1))</f>
        <v/>
      </c>
      <c r="O1552" s="15" t="n"/>
      <c r="P1552" s="15" t="n"/>
      <c r="Q1552" s="10" t="n"/>
      <c r="R1552" s="10" t="n"/>
      <c r="S1552" s="16" t="inlineStr">
        <is>
          <t>https://mstgolf.co.th/products/gf3000101771</t>
        </is>
      </c>
      <c r="T1552" s="1">
        <f>IF(B1552="ไม้กอล์ฟ",J1552,"")</f>
        <v/>
      </c>
    </row>
    <row r="1553">
      <c r="A1553" s="1" t="n">
        <v>2</v>
      </c>
      <c r="B1553" s="1" t="inlineStr">
        <is>
          <t>ถุงกอล์ฟ</t>
        </is>
      </c>
      <c r="C1553" s="1" t="inlineStr">
        <is>
          <t>gf3000102744</t>
        </is>
      </c>
      <c r="D1553" s="1" t="inlineStr">
        <is>
          <t>MIZUNO 9.5" NX 9 Cart Bag (Black)</t>
        </is>
      </c>
      <c r="E1553" s="1" t="inlineStr">
        <is>
          <t>MIZUNO</t>
        </is>
      </c>
      <c r="F1553" s="1" t="inlineStr">
        <is>
          <t>CADDIE/CART BAG</t>
        </is>
      </c>
      <c r="G1553" s="1" t="inlineStr">
        <is>
          <t>GF3000102744</t>
        </is>
      </c>
      <c r="H1553" s="1" t="n">
        <v>1</v>
      </c>
      <c r="I1553" s="1" t="inlineStr">
        <is>
          <t>หมด</t>
        </is>
      </c>
      <c r="J1553" s="13" t="n">
        <v>189</v>
      </c>
      <c r="K1553" s="1" t="inlineStr"/>
      <c r="L1553" s="13" t="n">
        <v>189</v>
      </c>
      <c r="M1553" s="1">
        <f>IF(L1553="","ไม่พบใน SG",IF(ABS(J1553-L1553)&lt;0.005,"ตรงกัน","ไม่ตรง"))</f>
        <v/>
      </c>
      <c r="N1553" s="14">
        <f>IF(L1553="","",ROUND(L1553*'สรุป'!$C$6,-1))</f>
        <v/>
      </c>
      <c r="O1553" s="15" t="n"/>
      <c r="P1553" s="15" t="n"/>
      <c r="Q1553" s="10" t="n"/>
      <c r="R1553" s="10" t="n"/>
      <c r="S1553" s="16" t="inlineStr">
        <is>
          <t>https://mstgolf.co.th/products/gf3000102744</t>
        </is>
      </c>
      <c r="T1553" s="1">
        <f>IF(B1553="ไม้กอล์ฟ",J1553,"")</f>
        <v/>
      </c>
    </row>
    <row r="1554">
      <c r="A1554" s="1" t="n">
        <v>2</v>
      </c>
      <c r="B1554" s="1" t="inlineStr">
        <is>
          <t>ถุงกอล์ฟ</t>
        </is>
      </c>
      <c r="C1554" s="1" t="inlineStr">
        <is>
          <t>gf3000102743</t>
        </is>
      </c>
      <c r="D1554" s="1" t="inlineStr">
        <is>
          <t>MIZUNO 9.5" NX 9 Cart Bag (White/Blue)</t>
        </is>
      </c>
      <c r="E1554" s="1" t="inlineStr">
        <is>
          <t>MIZUNO</t>
        </is>
      </c>
      <c r="F1554" s="1" t="inlineStr">
        <is>
          <t>CADDIE/CART BAG</t>
        </is>
      </c>
      <c r="G1554" s="1" t="inlineStr">
        <is>
          <t>GF3000102743</t>
        </is>
      </c>
      <c r="H1554" s="1" t="n">
        <v>1</v>
      </c>
      <c r="I1554" s="1" t="inlineStr">
        <is>
          <t>หมด</t>
        </is>
      </c>
      <c r="J1554" s="13" t="n">
        <v>189</v>
      </c>
      <c r="K1554" s="1" t="inlineStr"/>
      <c r="L1554" s="13" t="n">
        <v>189</v>
      </c>
      <c r="M1554" s="1">
        <f>IF(L1554="","ไม่พบใน SG",IF(ABS(J1554-L1554)&lt;0.005,"ตรงกัน","ไม่ตรง"))</f>
        <v/>
      </c>
      <c r="N1554" s="14">
        <f>IF(L1554="","",ROUND(L1554*'สรุป'!$C$6,-1))</f>
        <v/>
      </c>
      <c r="O1554" s="15" t="n"/>
      <c r="P1554" s="15" t="n"/>
      <c r="Q1554" s="10" t="n"/>
      <c r="R1554" s="10" t="n"/>
      <c r="S1554" s="16" t="inlineStr">
        <is>
          <t>https://mstgolf.co.th/products/gf3000102743</t>
        </is>
      </c>
      <c r="T1554" s="1">
        <f>IF(B1554="ไม้กอล์ฟ",J1554,"")</f>
        <v/>
      </c>
    </row>
    <row r="1555">
      <c r="A1555" s="1" t="n">
        <v>2</v>
      </c>
      <c r="B1555" s="1" t="inlineStr">
        <is>
          <t>ถุงกอล์ฟ</t>
        </is>
      </c>
      <c r="C1555" s="1" t="inlineStr">
        <is>
          <t>gf3000103026</t>
        </is>
      </c>
      <c r="D1555" s="1" t="inlineStr">
        <is>
          <t>ONOFF OB1225 7" Caddie Bag (Navy)</t>
        </is>
      </c>
      <c r="E1555" s="1" t="inlineStr">
        <is>
          <t>ONOFF</t>
        </is>
      </c>
      <c r="F1555" s="1" t="inlineStr">
        <is>
          <t>CADDIE/CART BAG</t>
        </is>
      </c>
      <c r="G1555" s="1" t="inlineStr">
        <is>
          <t>GF3000103026</t>
        </is>
      </c>
      <c r="H1555" s="1" t="n">
        <v>1</v>
      </c>
      <c r="I1555" s="1" t="inlineStr">
        <is>
          <t>หมด</t>
        </is>
      </c>
      <c r="J1555" s="13" t="n">
        <v>189</v>
      </c>
      <c r="K1555" s="1" t="inlineStr"/>
      <c r="L1555" s="13" t="n">
        <v>189</v>
      </c>
      <c r="M1555" s="1">
        <f>IF(L1555="","ไม่พบใน SG",IF(ABS(J1555-L1555)&lt;0.005,"ตรงกัน","ไม่ตรง"))</f>
        <v/>
      </c>
      <c r="N1555" s="14">
        <f>IF(L1555="","",ROUND(L1555*'สรุป'!$C$6,-1))</f>
        <v/>
      </c>
      <c r="O1555" s="15" t="n"/>
      <c r="P1555" s="15" t="n"/>
      <c r="Q1555" s="10" t="n"/>
      <c r="R1555" s="10" t="n"/>
      <c r="S1555" s="16" t="inlineStr">
        <is>
          <t>https://mstgolf.co.th/products/gf3000103026</t>
        </is>
      </c>
      <c r="T1555" s="1">
        <f>IF(B1555="ไม้กอล์ฟ",J1555,"")</f>
        <v/>
      </c>
    </row>
    <row r="1556">
      <c r="A1556" s="1" t="n">
        <v>2</v>
      </c>
      <c r="B1556" s="1" t="inlineStr">
        <is>
          <t>รองเท้า</t>
        </is>
      </c>
      <c r="C1556" s="1" t="inlineStr">
        <is>
          <t>gf2500201024</t>
        </is>
      </c>
      <c r="D1556" s="1" t="inlineStr">
        <is>
          <t>PUMA x PTC IGNITE Malibu Women's Spikeless Shoes (White)</t>
        </is>
      </c>
      <c r="E1556" s="1" t="inlineStr">
        <is>
          <t>PUMA</t>
        </is>
      </c>
      <c r="F1556" s="1" t="inlineStr">
        <is>
          <t>SPIKELESS SHOES</t>
        </is>
      </c>
      <c r="G1556" s="1" t="inlineStr">
        <is>
          <t>GF2500201024UK4</t>
        </is>
      </c>
      <c r="H1556" s="1" t="n">
        <v>9</v>
      </c>
      <c r="I1556" s="1" t="inlineStr">
        <is>
          <t>หมด</t>
        </is>
      </c>
      <c r="J1556" s="13" t="n">
        <v>189</v>
      </c>
      <c r="K1556" s="1" t="inlineStr"/>
      <c r="L1556" s="13" t="n"/>
      <c r="M1556" s="1">
        <f>IF(L1556="","ไม่พบใน SG",IF(ABS(J1556-L1556)&lt;0.005,"ตรงกัน","ไม่ตรง"))</f>
        <v/>
      </c>
      <c r="N1556" s="14">
        <f>IF(L1556="","",ROUND(L1556*'สรุป'!$C$6,-1))</f>
        <v/>
      </c>
      <c r="O1556" s="15" t="n"/>
      <c r="P1556" s="15" t="n"/>
      <c r="Q1556" s="10" t="n"/>
      <c r="R1556" s="10" t="n"/>
      <c r="S1556" s="16" t="inlineStr">
        <is>
          <t>https://mstgolf.co.th/products/gf2500201024</t>
        </is>
      </c>
      <c r="T1556" s="1">
        <f>IF(B1556="ไม้กอล์ฟ",J1556,"")</f>
        <v/>
      </c>
    </row>
    <row r="1557">
      <c r="A1557" s="1" t="n">
        <v>2</v>
      </c>
      <c r="B1557" s="1" t="inlineStr">
        <is>
          <t>รองเท้า</t>
        </is>
      </c>
      <c r="C1557" s="1" t="inlineStr">
        <is>
          <t>gf2500201135</t>
        </is>
      </c>
      <c r="D1557" s="1" t="inlineStr">
        <is>
          <t>ADIDAS S2G BOA Men's Spikeless Shoes (White/Black)</t>
        </is>
      </c>
      <c r="E1557" s="1" t="inlineStr">
        <is>
          <t>ADIDAS</t>
        </is>
      </c>
      <c r="F1557" s="1" t="inlineStr">
        <is>
          <t>SPIKELESS SHOES</t>
        </is>
      </c>
      <c r="G1557" s="1" t="inlineStr">
        <is>
          <t>GF2500201135UK6.5</t>
        </is>
      </c>
      <c r="H1557" s="1" t="n">
        <v>12</v>
      </c>
      <c r="I1557" s="1" t="inlineStr">
        <is>
          <t>หมด</t>
        </is>
      </c>
      <c r="J1557" s="13" t="n">
        <v>185</v>
      </c>
      <c r="K1557" s="1" t="inlineStr"/>
      <c r="L1557" s="13" t="n">
        <v>129</v>
      </c>
      <c r="M1557" s="1">
        <f>IF(L1557="","ไม่พบใน SG",IF(ABS(J1557-L1557)&lt;0.005,"ตรงกัน","ไม่ตรง"))</f>
        <v/>
      </c>
      <c r="N1557" s="14">
        <f>IF(L1557="","",ROUND(L1557*'สรุป'!$C$6,-1))</f>
        <v/>
      </c>
      <c r="O1557" s="15" t="n"/>
      <c r="P1557" s="15" t="n"/>
      <c r="Q1557" s="10" t="n"/>
      <c r="R1557" s="10" t="n"/>
      <c r="S1557" s="16" t="inlineStr">
        <is>
          <t>https://mstgolf.co.th/products/gf2500201135</t>
        </is>
      </c>
      <c r="T1557" s="1">
        <f>IF(B1557="ไม้กอล์ฟ",J1557,"")</f>
        <v/>
      </c>
    </row>
    <row r="1558">
      <c r="A1558" s="1" t="n">
        <v>2</v>
      </c>
      <c r="B1558" s="1" t="inlineStr">
        <is>
          <t>รองเท้า</t>
        </is>
      </c>
      <c r="C1558" s="1" t="inlineStr">
        <is>
          <t>gf2500102671</t>
        </is>
      </c>
      <c r="D1558" s="1" t="inlineStr">
        <is>
          <t>FOOTJOY Harris Tweed Wilcox Men's Spiked Shoes (White/Green)</t>
        </is>
      </c>
      <c r="E1558" s="1" t="inlineStr">
        <is>
          <t>FOOTJOY</t>
        </is>
      </c>
      <c r="F1558" s="1" t="inlineStr">
        <is>
          <t>SPIKE SHOES</t>
        </is>
      </c>
      <c r="G1558" s="1" t="inlineStr">
        <is>
          <t>GF2500102671US6.5</t>
        </is>
      </c>
      <c r="H1558" s="1" t="n">
        <v>8</v>
      </c>
      <c r="I1558" s="1" t="inlineStr">
        <is>
          <t>หมด</t>
        </is>
      </c>
      <c r="J1558" s="13" t="n">
        <v>185</v>
      </c>
      <c r="K1558" s="1" t="inlineStr"/>
      <c r="L1558" s="13" t="n"/>
      <c r="M1558" s="1">
        <f>IF(L1558="","ไม่พบใน SG",IF(ABS(J1558-L1558)&lt;0.005,"ตรงกัน","ไม่ตรง"))</f>
        <v/>
      </c>
      <c r="N1558" s="14">
        <f>IF(L1558="","",ROUND(L1558*'สรุป'!$C$6,-1))</f>
        <v/>
      </c>
      <c r="O1558" s="15" t="n"/>
      <c r="P1558" s="15" t="n"/>
      <c r="Q1558" s="10" t="n"/>
      <c r="R1558" s="10" t="n"/>
      <c r="S1558" s="16" t="inlineStr">
        <is>
          <t>https://mstgolf.co.th/products/gf2500102671</t>
        </is>
      </c>
      <c r="T1558" s="1">
        <f>IF(B1558="ไม้กอล์ฟ",J1558,"")</f>
        <v/>
      </c>
    </row>
    <row r="1559">
      <c r="A1559" s="1" t="n">
        <v>2</v>
      </c>
      <c r="B1559" s="1" t="inlineStr">
        <is>
          <t>รองเท้า</t>
        </is>
      </c>
      <c r="C1559" s="1" t="inlineStr">
        <is>
          <t>gf2500200874</t>
        </is>
      </c>
      <c r="D1559" s="1" t="inlineStr">
        <is>
          <t>FOOTJOY Premiere Series Field Men's Spikeless Shoes (Brown)</t>
        </is>
      </c>
      <c r="E1559" s="1" t="inlineStr">
        <is>
          <t>FOOTJOY</t>
        </is>
      </c>
      <c r="F1559" s="1" t="inlineStr">
        <is>
          <t>SPIKELESS SHOES</t>
        </is>
      </c>
      <c r="G1559" s="1" t="inlineStr">
        <is>
          <t>GF2500200874US7</t>
        </is>
      </c>
      <c r="H1559" s="1" t="n">
        <v>8</v>
      </c>
      <c r="I1559" s="1" t="inlineStr">
        <is>
          <t>หมด</t>
        </is>
      </c>
      <c r="J1559" s="13" t="n">
        <v>185</v>
      </c>
      <c r="K1559" s="1" t="inlineStr"/>
      <c r="L1559" s="13" t="n"/>
      <c r="M1559" s="1">
        <f>IF(L1559="","ไม่พบใน SG",IF(ABS(J1559-L1559)&lt;0.005,"ตรงกัน","ไม่ตรง"))</f>
        <v/>
      </c>
      <c r="N1559" s="14">
        <f>IF(L1559="","",ROUND(L1559*'สรุป'!$C$6,-1))</f>
        <v/>
      </c>
      <c r="O1559" s="15" t="n"/>
      <c r="P1559" s="15" t="n"/>
      <c r="Q1559" s="10" t="n"/>
      <c r="R1559" s="10" t="n"/>
      <c r="S1559" s="16" t="inlineStr">
        <is>
          <t>https://mstgolf.co.th/products/gf2500200874</t>
        </is>
      </c>
      <c r="T1559" s="1">
        <f>IF(B1559="ไม้กอล์ฟ",J1559,"")</f>
        <v/>
      </c>
    </row>
    <row r="1560">
      <c r="A1560" s="1" t="n">
        <v>2</v>
      </c>
      <c r="B1560" s="1" t="inlineStr">
        <is>
          <t>ถุงกอล์ฟ</t>
        </is>
      </c>
      <c r="C1560" s="1" t="inlineStr">
        <is>
          <t>gf3000102380</t>
        </is>
      </c>
      <c r="D1560" s="1" t="inlineStr">
        <is>
          <t>MIZUNO ST Light 9.5" Cart Bag (Grey/Black)</t>
        </is>
      </c>
      <c r="E1560" s="1" t="inlineStr">
        <is>
          <t>MIZUNO</t>
        </is>
      </c>
      <c r="F1560" s="1" t="inlineStr">
        <is>
          <t>CADDIE/CART BAG</t>
        </is>
      </c>
      <c r="G1560" s="1" t="inlineStr">
        <is>
          <t>GF3000102380</t>
        </is>
      </c>
      <c r="H1560" s="1" t="n">
        <v>1</v>
      </c>
      <c r="I1560" s="1" t="inlineStr">
        <is>
          <t>หมด</t>
        </is>
      </c>
      <c r="J1560" s="13" t="n">
        <v>185</v>
      </c>
      <c r="K1560" s="1" t="inlineStr"/>
      <c r="L1560" s="13" t="n"/>
      <c r="M1560" s="1">
        <f>IF(L1560="","ไม่พบใน SG",IF(ABS(J1560-L1560)&lt;0.005,"ตรงกัน","ไม่ตรง"))</f>
        <v/>
      </c>
      <c r="N1560" s="14">
        <f>IF(L1560="","",ROUND(L1560*'สรุป'!$C$6,-1))</f>
        <v/>
      </c>
      <c r="O1560" s="15" t="n"/>
      <c r="P1560" s="15" t="n"/>
      <c r="Q1560" s="10" t="n"/>
      <c r="R1560" s="10" t="n"/>
      <c r="S1560" s="16" t="inlineStr">
        <is>
          <t>https://mstgolf.co.th/products/gf3000102380</t>
        </is>
      </c>
      <c r="T1560" s="1">
        <f>IF(B1560="ไม้กอล์ฟ",J1560,"")</f>
        <v/>
      </c>
    </row>
    <row r="1561">
      <c r="A1561" s="1" t="n">
        <v>2</v>
      </c>
      <c r="B1561" s="1" t="inlineStr">
        <is>
          <t>ถุงกอล์ฟ</t>
        </is>
      </c>
      <c r="C1561" s="1" t="inlineStr">
        <is>
          <t>gf3000102547</t>
        </is>
      </c>
      <c r="D1561" s="1" t="inlineStr">
        <is>
          <t>TAYLORMADE 9.5" Sport Modern Cart Bag (Black)</t>
        </is>
      </c>
      <c r="E1561" s="1" t="inlineStr">
        <is>
          <t>TAYLORMADE</t>
        </is>
      </c>
      <c r="F1561" s="1" t="inlineStr">
        <is>
          <t>CADDIE/CART BAG</t>
        </is>
      </c>
      <c r="G1561" s="1" t="inlineStr">
        <is>
          <t>GF3000102547</t>
        </is>
      </c>
      <c r="H1561" s="1" t="n">
        <v>1</v>
      </c>
      <c r="I1561" s="1" t="inlineStr">
        <is>
          <t>หมด</t>
        </is>
      </c>
      <c r="J1561" s="13" t="n">
        <v>185</v>
      </c>
      <c r="K1561" s="1" t="inlineStr"/>
      <c r="L1561" s="13" t="n"/>
      <c r="M1561" s="1">
        <f>IF(L1561="","ไม่พบใน SG",IF(ABS(J1561-L1561)&lt;0.005,"ตรงกัน","ไม่ตรง"))</f>
        <v/>
      </c>
      <c r="N1561" s="14">
        <f>IF(L1561="","",ROUND(L1561*'สรุป'!$C$6,-1))</f>
        <v/>
      </c>
      <c r="O1561" s="15" t="n"/>
      <c r="P1561" s="15" t="n"/>
      <c r="Q1561" s="10" t="n"/>
      <c r="R1561" s="10" t="n"/>
      <c r="S1561" s="16" t="inlineStr">
        <is>
          <t>https://mstgolf.co.th/products/gf3000102547</t>
        </is>
      </c>
      <c r="T1561" s="1">
        <f>IF(B1561="ไม้กอล์ฟ",J1561,"")</f>
        <v/>
      </c>
    </row>
    <row r="1562">
      <c r="A1562" s="1" t="n">
        <v>2</v>
      </c>
      <c r="B1562" s="1" t="inlineStr">
        <is>
          <t>ถุงกอล์ฟ</t>
        </is>
      </c>
      <c r="C1562" s="1" t="inlineStr">
        <is>
          <t>gf3010401120</t>
        </is>
      </c>
      <c r="D1562" s="1" t="inlineStr">
        <is>
          <t>TITLEIST LINKSLEGEND Pouch (Charcoal)</t>
        </is>
      </c>
      <c r="E1562" s="1" t="inlineStr">
        <is>
          <t>TITLEIST</t>
        </is>
      </c>
      <c r="F1562" s="1" t="inlineStr">
        <is>
          <t>SMALL BAG</t>
        </is>
      </c>
      <c r="G1562" s="1" t="inlineStr">
        <is>
          <t>GF3010401120</t>
        </is>
      </c>
      <c r="H1562" s="1" t="n">
        <v>1</v>
      </c>
      <c r="I1562" s="1" t="inlineStr">
        <is>
          <t>หมด</t>
        </is>
      </c>
      <c r="J1562" s="13" t="n">
        <v>185</v>
      </c>
      <c r="K1562" s="1" t="inlineStr"/>
      <c r="L1562" s="13" t="n"/>
      <c r="M1562" s="1">
        <f>IF(L1562="","ไม่พบใน SG",IF(ABS(J1562-L1562)&lt;0.005,"ตรงกัน","ไม่ตรง"))</f>
        <v/>
      </c>
      <c r="N1562" s="14">
        <f>IF(L1562="","",ROUND(L1562*'สรุป'!$C$6,-1))</f>
        <v/>
      </c>
      <c r="O1562" s="15" t="n"/>
      <c r="P1562" s="15" t="n"/>
      <c r="Q1562" s="10" t="n"/>
      <c r="R1562" s="10" t="n"/>
      <c r="S1562" s="16" t="inlineStr">
        <is>
          <t>https://mstgolf.co.th/products/gf3010401120</t>
        </is>
      </c>
      <c r="T1562" s="1">
        <f>IF(B1562="ไม้กอล์ฟ",J1562,"")</f>
        <v/>
      </c>
    </row>
    <row r="1563">
      <c r="A1563" s="1" t="n">
        <v>2</v>
      </c>
      <c r="B1563" s="1" t="inlineStr">
        <is>
          <t>ถุงกอล์ฟ</t>
        </is>
      </c>
      <c r="C1563" s="1" t="inlineStr">
        <is>
          <t>gf3010401121</t>
        </is>
      </c>
      <c r="D1563" s="1" t="inlineStr">
        <is>
          <t>TITLEIST LINKSLEGEND Pouch (Green)</t>
        </is>
      </c>
      <c r="E1563" s="1" t="inlineStr">
        <is>
          <t>TITLEIST</t>
        </is>
      </c>
      <c r="F1563" s="1" t="inlineStr">
        <is>
          <t>SMALL BAG</t>
        </is>
      </c>
      <c r="G1563" s="1" t="inlineStr">
        <is>
          <t>GF3010401121</t>
        </is>
      </c>
      <c r="H1563" s="1" t="n">
        <v>1</v>
      </c>
      <c r="I1563" s="1" t="inlineStr">
        <is>
          <t>หมด</t>
        </is>
      </c>
      <c r="J1563" s="13" t="n">
        <v>185</v>
      </c>
      <c r="K1563" s="1" t="inlineStr"/>
      <c r="L1563" s="13" t="n"/>
      <c r="M1563" s="1">
        <f>IF(L1563="","ไม่พบใน SG",IF(ABS(J1563-L1563)&lt;0.005,"ตรงกัน","ไม่ตรง"))</f>
        <v/>
      </c>
      <c r="N1563" s="14">
        <f>IF(L1563="","",ROUND(L1563*'สรุป'!$C$6,-1))</f>
        <v/>
      </c>
      <c r="O1563" s="15" t="n"/>
      <c r="P1563" s="15" t="n"/>
      <c r="Q1563" s="10" t="n"/>
      <c r="R1563" s="10" t="n"/>
      <c r="S1563" s="16" t="inlineStr">
        <is>
          <t>https://mstgolf.co.th/products/gf3010401121</t>
        </is>
      </c>
      <c r="T1563" s="1">
        <f>IF(B1563="ไม้กอล์ฟ",J1563,"")</f>
        <v/>
      </c>
    </row>
    <row r="1564">
      <c r="A1564" s="1" t="n">
        <v>2</v>
      </c>
      <c r="B1564" s="1" t="inlineStr">
        <is>
          <t>ถุงกอล์ฟ</t>
        </is>
      </c>
      <c r="C1564" s="1" t="inlineStr">
        <is>
          <t>gf3010101446</t>
        </is>
      </c>
      <c r="D1564" s="1" t="inlineStr">
        <is>
          <t>ADIDAS Duffle Bag (Black)</t>
        </is>
      </c>
      <c r="E1564" s="1" t="inlineStr">
        <is>
          <t>ADIDAS</t>
        </is>
      </c>
      <c r="F1564" s="1" t="inlineStr">
        <is>
          <t>BOSTON/DUFFLE BAG</t>
        </is>
      </c>
      <c r="G1564" s="1" t="inlineStr">
        <is>
          <t>GF3010101446</t>
        </is>
      </c>
      <c r="H1564" s="1" t="n">
        <v>1</v>
      </c>
      <c r="I1564" s="1" t="inlineStr">
        <is>
          <t>หมด</t>
        </is>
      </c>
      <c r="J1564" s="13" t="n">
        <v>179</v>
      </c>
      <c r="K1564" s="1" t="inlineStr"/>
      <c r="L1564" s="13" t="n">
        <v>179</v>
      </c>
      <c r="M1564" s="1">
        <f>IF(L1564="","ไม่พบใน SG",IF(ABS(J1564-L1564)&lt;0.005,"ตรงกัน","ไม่ตรง"))</f>
        <v/>
      </c>
      <c r="N1564" s="14">
        <f>IF(L1564="","",ROUND(L1564*'สรุป'!$C$6,-1))</f>
        <v/>
      </c>
      <c r="O1564" s="15" t="n"/>
      <c r="P1564" s="15" t="n"/>
      <c r="Q1564" s="10" t="n"/>
      <c r="R1564" s="10" t="n"/>
      <c r="S1564" s="16" t="inlineStr">
        <is>
          <t>https://mstgolf.co.th/products/gf3010101446</t>
        </is>
      </c>
      <c r="T1564" s="1">
        <f>IF(B1564="ไม้กอล์ฟ",J1564,"")</f>
        <v/>
      </c>
    </row>
    <row r="1565">
      <c r="A1565" s="1" t="n">
        <v>2</v>
      </c>
      <c r="B1565" s="1" t="inlineStr">
        <is>
          <t>รองเท้า</t>
        </is>
      </c>
      <c r="C1565" s="1" t="inlineStr">
        <is>
          <t>gf2500201309</t>
        </is>
      </c>
      <c r="D1565" s="1" t="inlineStr">
        <is>
          <t>ADIDAS S2G 24 Leather Women's Spikeless Shoes (White/Silver)</t>
        </is>
      </c>
      <c r="E1565" s="1" t="inlineStr">
        <is>
          <t>ADIDAS</t>
        </is>
      </c>
      <c r="F1565" s="1" t="inlineStr">
        <is>
          <t>SPIKELESS SHOES</t>
        </is>
      </c>
      <c r="G1565" s="1" t="inlineStr">
        <is>
          <t>GF2500201309UK3.5</t>
        </is>
      </c>
      <c r="H1565" s="1" t="n">
        <v>10</v>
      </c>
      <c r="I1565" s="1" t="inlineStr">
        <is>
          <t>หมด</t>
        </is>
      </c>
      <c r="J1565" s="13" t="n">
        <v>179</v>
      </c>
      <c r="K1565" s="1" t="inlineStr"/>
      <c r="L1565" s="13" t="n">
        <v>125</v>
      </c>
      <c r="M1565" s="1">
        <f>IF(L1565="","ไม่พบใน SG",IF(ABS(J1565-L1565)&lt;0.005,"ตรงกัน","ไม่ตรง"))</f>
        <v/>
      </c>
      <c r="N1565" s="14">
        <f>IF(L1565="","",ROUND(L1565*'สรุป'!$C$6,-1))</f>
        <v/>
      </c>
      <c r="O1565" s="15" t="n"/>
      <c r="P1565" s="15" t="n"/>
      <c r="Q1565" s="10" t="n"/>
      <c r="R1565" s="10" t="n"/>
      <c r="S1565" s="16" t="inlineStr">
        <is>
          <t>https://mstgolf.co.th/products/gf2500201309</t>
        </is>
      </c>
      <c r="T1565" s="1">
        <f>IF(B1565="ไม้กอล์ฟ",J1565,"")</f>
        <v/>
      </c>
    </row>
    <row r="1566">
      <c r="A1566" s="1" t="n">
        <v>2</v>
      </c>
      <c r="B1566" s="1" t="inlineStr">
        <is>
          <t>รองเท้า</t>
        </is>
      </c>
      <c r="C1566" s="1" t="inlineStr">
        <is>
          <t>gf2500201290</t>
        </is>
      </c>
      <c r="D1566" s="1" t="inlineStr">
        <is>
          <t>ADIDAS S2G BOA 24 Wide Men's Spikeless Shoes (White/Black/Red)</t>
        </is>
      </c>
      <c r="E1566" s="1" t="inlineStr">
        <is>
          <t>ADIDAS</t>
        </is>
      </c>
      <c r="F1566" s="1" t="inlineStr">
        <is>
          <t>SPIKELESS SHOES</t>
        </is>
      </c>
      <c r="G1566" s="1" t="inlineStr">
        <is>
          <t>GF2500201290UK6.5</t>
        </is>
      </c>
      <c r="H1566" s="1" t="n">
        <v>11</v>
      </c>
      <c r="I1566" s="1" t="inlineStr">
        <is>
          <t>หมด</t>
        </is>
      </c>
      <c r="J1566" s="13" t="n">
        <v>179</v>
      </c>
      <c r="K1566" s="1" t="inlineStr"/>
      <c r="L1566" s="13" t="n">
        <v>125</v>
      </c>
      <c r="M1566" s="1">
        <f>IF(L1566="","ไม่พบใน SG",IF(ABS(J1566-L1566)&lt;0.005,"ตรงกัน","ไม่ตรง"))</f>
        <v/>
      </c>
      <c r="N1566" s="14">
        <f>IF(L1566="","",ROUND(L1566*'สรุป'!$C$6,-1))</f>
        <v/>
      </c>
      <c r="O1566" s="15" t="n"/>
      <c r="P1566" s="15" t="n"/>
      <c r="Q1566" s="10" t="n"/>
      <c r="R1566" s="10" t="n"/>
      <c r="S1566" s="16" t="inlineStr">
        <is>
          <t>https://mstgolf.co.th/products/gf2500201290</t>
        </is>
      </c>
      <c r="T1566" s="1">
        <f>IF(B1566="ไม้กอล์ฟ",J1566,"")</f>
        <v/>
      </c>
    </row>
    <row r="1567">
      <c r="A1567" s="1" t="n">
        <v>2</v>
      </c>
      <c r="B1567" s="1" t="inlineStr">
        <is>
          <t>รองเท้า</t>
        </is>
      </c>
      <c r="C1567" s="1" t="inlineStr">
        <is>
          <t>gf2500201454</t>
        </is>
      </c>
      <c r="D1567" s="1" t="inlineStr">
        <is>
          <t>ADIDAS S2G BOA Men's Spikeless Shoes (White/Navy/Red)</t>
        </is>
      </c>
      <c r="E1567" s="1" t="inlineStr">
        <is>
          <t>ADIDAS</t>
        </is>
      </c>
      <c r="F1567" s="1" t="inlineStr">
        <is>
          <t>SPIKELESS SHOES</t>
        </is>
      </c>
      <c r="G1567" s="1" t="inlineStr">
        <is>
          <t>GF2500201454UK6.5</t>
        </is>
      </c>
      <c r="H1567" s="1" t="n">
        <v>12</v>
      </c>
      <c r="I1567" s="1" t="inlineStr">
        <is>
          <t>หมด</t>
        </is>
      </c>
      <c r="J1567" s="13" t="n">
        <v>179</v>
      </c>
      <c r="K1567" s="1" t="inlineStr"/>
      <c r="L1567" s="13" t="n">
        <v>125</v>
      </c>
      <c r="M1567" s="1">
        <f>IF(L1567="","ไม่พบใน SG",IF(ABS(J1567-L1567)&lt;0.005,"ตรงกัน","ไม่ตรง"))</f>
        <v/>
      </c>
      <c r="N1567" s="14">
        <f>IF(L1567="","",ROUND(L1567*'สรุป'!$C$6,-1))</f>
        <v/>
      </c>
      <c r="O1567" s="15" t="n"/>
      <c r="P1567" s="15" t="n"/>
      <c r="Q1567" s="10" t="n"/>
      <c r="R1567" s="10" t="n"/>
      <c r="S1567" s="16" t="inlineStr">
        <is>
          <t>https://mstgolf.co.th/products/gf2500201454</t>
        </is>
      </c>
      <c r="T1567" s="1">
        <f>IF(B1567="ไม้กอล์ฟ",J1567,"")</f>
        <v/>
      </c>
    </row>
    <row r="1568">
      <c r="A1568" s="1" t="n">
        <v>2</v>
      </c>
      <c r="B1568" s="1" t="inlineStr">
        <is>
          <t>รองเท้า</t>
        </is>
      </c>
      <c r="C1568" s="1" t="inlineStr">
        <is>
          <t>gf2500201386</t>
        </is>
      </c>
      <c r="D1568" s="1" t="inlineStr">
        <is>
          <t>ADIDAS S2G BOA Wide MenÆs Spikeless Shoes (Carbon/White/Grey)</t>
        </is>
      </c>
      <c r="E1568" s="1" t="inlineStr">
        <is>
          <t>ADIDAS</t>
        </is>
      </c>
      <c r="F1568" s="1" t="inlineStr">
        <is>
          <t>SPIKELESS SHOES</t>
        </is>
      </c>
      <c r="G1568" s="1" t="inlineStr">
        <is>
          <t>GF2500201386UK6.5</t>
        </is>
      </c>
      <c r="H1568" s="1" t="n">
        <v>11</v>
      </c>
      <c r="I1568" s="1" t="inlineStr">
        <is>
          <t>หมด</t>
        </is>
      </c>
      <c r="J1568" s="13" t="n">
        <v>179</v>
      </c>
      <c r="K1568" s="1" t="inlineStr"/>
      <c r="L1568" s="13" t="n"/>
      <c r="M1568" s="1">
        <f>IF(L1568="","ไม่พบใน SG",IF(ABS(J1568-L1568)&lt;0.005,"ตรงกัน","ไม่ตรง"))</f>
        <v/>
      </c>
      <c r="N1568" s="14">
        <f>IF(L1568="","",ROUND(L1568*'สรุป'!$C$6,-1))</f>
        <v/>
      </c>
      <c r="O1568" s="15" t="n"/>
      <c r="P1568" s="15" t="n"/>
      <c r="Q1568" s="10" t="n"/>
      <c r="R1568" s="10" t="n"/>
      <c r="S1568" s="16" t="inlineStr">
        <is>
          <t>https://mstgolf.co.th/products/gf2500201386</t>
        </is>
      </c>
      <c r="T1568" s="1">
        <f>IF(B1568="ไม้กอล์ฟ",J1568,"")</f>
        <v/>
      </c>
    </row>
    <row r="1569">
      <c r="A1569" s="1" t="n">
        <v>2</v>
      </c>
      <c r="B1569" s="1" t="inlineStr">
        <is>
          <t>รองเท้า</t>
        </is>
      </c>
      <c r="C1569" s="1" t="inlineStr">
        <is>
          <t>gf2500201456</t>
        </is>
      </c>
      <c r="D1569" s="1" t="inlineStr">
        <is>
          <t>ADIDAS S2G BOA Women's Spikeless Shoes (White/Navy)</t>
        </is>
      </c>
      <c r="E1569" s="1" t="inlineStr">
        <is>
          <t>ADIDAS</t>
        </is>
      </c>
      <c r="F1569" s="1" t="inlineStr">
        <is>
          <t>SPIKELESS SHOES</t>
        </is>
      </c>
      <c r="G1569" s="1" t="inlineStr">
        <is>
          <t>GF2500201456UK4.5</t>
        </is>
      </c>
      <c r="H1569" s="1" t="n">
        <v>9</v>
      </c>
      <c r="I1569" s="1" t="inlineStr">
        <is>
          <t>หมด</t>
        </is>
      </c>
      <c r="J1569" s="13" t="n">
        <v>179</v>
      </c>
      <c r="K1569" s="1" t="inlineStr"/>
      <c r="L1569" s="13" t="n">
        <v>125</v>
      </c>
      <c r="M1569" s="1">
        <f>IF(L1569="","ไม่พบใน SG",IF(ABS(J1569-L1569)&lt;0.005,"ตรงกัน","ไม่ตรง"))</f>
        <v/>
      </c>
      <c r="N1569" s="14">
        <f>IF(L1569="","",ROUND(L1569*'สรุป'!$C$6,-1))</f>
        <v/>
      </c>
      <c r="O1569" s="15" t="n"/>
      <c r="P1569" s="15" t="n"/>
      <c r="Q1569" s="10" t="n"/>
      <c r="R1569" s="10" t="n"/>
      <c r="S1569" s="16" t="inlineStr">
        <is>
          <t>https://mstgolf.co.th/products/gf2500201456</t>
        </is>
      </c>
      <c r="T1569" s="1">
        <f>IF(B1569="ไม้กอล์ฟ",J1569,"")</f>
        <v/>
      </c>
    </row>
    <row r="1570">
      <c r="A1570" s="1" t="n">
        <v>2</v>
      </c>
      <c r="B1570" s="1" t="inlineStr">
        <is>
          <t>รองเท้า</t>
        </is>
      </c>
      <c r="C1570" s="1" t="inlineStr">
        <is>
          <t>gf2500102669</t>
        </is>
      </c>
      <c r="D1570" s="1" t="inlineStr">
        <is>
          <t>FOOTJOY Master 100 Years Premiere Men's Spiked Shoes (White/Navy/Red)</t>
        </is>
      </c>
      <c r="E1570" s="1" t="inlineStr">
        <is>
          <t>FOOTJOY</t>
        </is>
      </c>
      <c r="F1570" s="1" t="inlineStr">
        <is>
          <t>SPIKE SHOES</t>
        </is>
      </c>
      <c r="G1570" s="1" t="inlineStr">
        <is>
          <t>GF2500102669US6.5</t>
        </is>
      </c>
      <c r="H1570" s="1" t="n">
        <v>10</v>
      </c>
      <c r="I1570" s="1" t="inlineStr">
        <is>
          <t>หมด</t>
        </is>
      </c>
      <c r="J1570" s="13" t="n">
        <v>179</v>
      </c>
      <c r="K1570" s="1" t="inlineStr"/>
      <c r="L1570" s="13" t="n"/>
      <c r="M1570" s="1">
        <f>IF(L1570="","ไม่พบใน SG",IF(ABS(J1570-L1570)&lt;0.005,"ตรงกัน","ไม่ตรง"))</f>
        <v/>
      </c>
      <c r="N1570" s="14">
        <f>IF(L1570="","",ROUND(L1570*'สรุป'!$C$6,-1))</f>
        <v/>
      </c>
      <c r="O1570" s="15" t="n"/>
      <c r="P1570" s="15" t="n"/>
      <c r="Q1570" s="10" t="n"/>
      <c r="R1570" s="10" t="n"/>
      <c r="S1570" s="16" t="inlineStr">
        <is>
          <t>https://mstgolf.co.th/products/gf2500102669</t>
        </is>
      </c>
      <c r="T1570" s="1">
        <f>IF(B1570="ไม้กอล์ฟ",J1570,"")</f>
        <v/>
      </c>
    </row>
    <row r="1571">
      <c r="A1571" s="1" t="n">
        <v>2</v>
      </c>
      <c r="B1571" s="1" t="inlineStr">
        <is>
          <t>ถุงกอล์ฟ</t>
        </is>
      </c>
      <c r="C1571" s="1" t="inlineStr">
        <is>
          <t>gf3000102153</t>
        </is>
      </c>
      <c r="D1571" s="1" t="inlineStr">
        <is>
          <t>TAYLORMADE 8.0 Cart Bag (Black/White/Blue)</t>
        </is>
      </c>
      <c r="E1571" s="1" t="inlineStr">
        <is>
          <t>TAYLORMADE</t>
        </is>
      </c>
      <c r="F1571" s="1" t="inlineStr">
        <is>
          <t>CADDIE/CART BAG</t>
        </is>
      </c>
      <c r="G1571" s="1" t="inlineStr">
        <is>
          <t>GF3000102153</t>
        </is>
      </c>
      <c r="H1571" s="1" t="n">
        <v>1</v>
      </c>
      <c r="I1571" s="1" t="inlineStr">
        <is>
          <t>หมด</t>
        </is>
      </c>
      <c r="J1571" s="13" t="n">
        <v>179</v>
      </c>
      <c r="K1571" s="1" t="inlineStr"/>
      <c r="L1571" s="13" t="n">
        <v>179</v>
      </c>
      <c r="M1571" s="1">
        <f>IF(L1571="","ไม่พบใน SG",IF(ABS(J1571-L1571)&lt;0.005,"ตรงกัน","ไม่ตรง"))</f>
        <v/>
      </c>
      <c r="N1571" s="14">
        <f>IF(L1571="","",ROUND(L1571*'สรุป'!$C$6,-1))</f>
        <v/>
      </c>
      <c r="O1571" s="15" t="n"/>
      <c r="P1571" s="15" t="n"/>
      <c r="Q1571" s="10" t="n"/>
      <c r="R1571" s="10" t="n"/>
      <c r="S1571" s="16" t="inlineStr">
        <is>
          <t>https://mstgolf.co.th/products/gf3000102153</t>
        </is>
      </c>
      <c r="T1571" s="1">
        <f>IF(B1571="ไม้กอล์ฟ",J1571,"")</f>
        <v/>
      </c>
    </row>
    <row r="1572">
      <c r="A1572" s="1" t="n">
        <v>2</v>
      </c>
      <c r="B1572" s="1" t="inlineStr">
        <is>
          <t>รองเท้า</t>
        </is>
      </c>
      <c r="C1572" s="1" t="inlineStr">
        <is>
          <t>gf2500200990</t>
        </is>
      </c>
      <c r="D1572" s="1" t="inlineStr">
        <is>
          <t>ADIDAS Codechaos Laceless Spikeless Shoes (White/Grey/White)</t>
        </is>
      </c>
      <c r="E1572" s="1" t="inlineStr">
        <is>
          <t>ADIDAS</t>
        </is>
      </c>
      <c r="F1572" s="1" t="inlineStr">
        <is>
          <t>SPIKELESS SHOES</t>
        </is>
      </c>
      <c r="G1572" s="1" t="inlineStr">
        <is>
          <t>GF2500200990UK5.5</t>
        </is>
      </c>
      <c r="H1572" s="1" t="n">
        <v>12</v>
      </c>
      <c r="I1572" s="1" t="inlineStr">
        <is>
          <t>หมด</t>
        </is>
      </c>
      <c r="J1572" s="13" t="n">
        <v>175</v>
      </c>
      <c r="K1572" s="1" t="inlineStr"/>
      <c r="L1572" s="13" t="n"/>
      <c r="M1572" s="1">
        <f>IF(L1572="","ไม่พบใน SG",IF(ABS(J1572-L1572)&lt;0.005,"ตรงกัน","ไม่ตรง"))</f>
        <v/>
      </c>
      <c r="N1572" s="14">
        <f>IF(L1572="","",ROUND(L1572*'สรุป'!$C$6,-1))</f>
        <v/>
      </c>
      <c r="O1572" s="15" t="n"/>
      <c r="P1572" s="15" t="n"/>
      <c r="Q1572" s="10" t="n"/>
      <c r="R1572" s="10" t="n"/>
      <c r="S1572" s="16" t="inlineStr">
        <is>
          <t>https://mstgolf.co.th/products/gf2500200990</t>
        </is>
      </c>
      <c r="T1572" s="1">
        <f>IF(B1572="ไม้กอล์ฟ",J1572,"")</f>
        <v/>
      </c>
    </row>
    <row r="1573">
      <c r="A1573" s="1" t="n">
        <v>2</v>
      </c>
      <c r="B1573" s="1" t="inlineStr">
        <is>
          <t>รองเท้า</t>
        </is>
      </c>
      <c r="C1573" s="1" t="inlineStr">
        <is>
          <t>gf2500201262</t>
        </is>
      </c>
      <c r="D1573" s="1" t="inlineStr">
        <is>
          <t>FOOTJOY Pro Lite BOA Women’s Spikeless Shoes (White/Pink)</t>
        </is>
      </c>
      <c r="E1573" s="1" t="inlineStr">
        <is>
          <t>FOOTJOY</t>
        </is>
      </c>
      <c r="F1573" s="1" t="inlineStr">
        <is>
          <t>SPIKELESS SHOES</t>
        </is>
      </c>
      <c r="G1573" s="1" t="inlineStr">
        <is>
          <t>GF2500201262US5</t>
        </is>
      </c>
      <c r="H1573" s="1" t="n">
        <v>9</v>
      </c>
      <c r="I1573" s="1" t="inlineStr">
        <is>
          <t>หมด</t>
        </is>
      </c>
      <c r="J1573" s="13" t="n">
        <v>175</v>
      </c>
      <c r="K1573" s="1" t="inlineStr"/>
      <c r="L1573" s="13" t="n"/>
      <c r="M1573" s="1">
        <f>IF(L1573="","ไม่พบใน SG",IF(ABS(J1573-L1573)&lt;0.005,"ตรงกัน","ไม่ตรง"))</f>
        <v/>
      </c>
      <c r="N1573" s="14">
        <f>IF(L1573="","",ROUND(L1573*'สรุป'!$C$6,-1))</f>
        <v/>
      </c>
      <c r="O1573" s="15" t="n"/>
      <c r="P1573" s="15" t="n"/>
      <c r="Q1573" s="10" t="n"/>
      <c r="R1573" s="10" t="n"/>
      <c r="S1573" s="16" t="inlineStr">
        <is>
          <t>https://mstgolf.co.th/products/gf2500201262</t>
        </is>
      </c>
      <c r="T1573" s="1">
        <f>IF(B1573="ไม้กอล์ฟ",J1573,"")</f>
        <v/>
      </c>
    </row>
    <row r="1574">
      <c r="A1574" s="1" t="n">
        <v>2</v>
      </c>
      <c r="B1574" s="1" t="inlineStr">
        <is>
          <t>ถุงกอล์ฟ</t>
        </is>
      </c>
      <c r="C1574" s="1" t="inlineStr">
        <is>
          <t>gf3010400835</t>
        </is>
      </c>
      <c r="D1574" s="1" t="inlineStr">
        <is>
          <t>MAJESTY GWP Majesty Pouch (Camo/Grey)</t>
        </is>
      </c>
      <c r="E1574" s="1" t="inlineStr">
        <is>
          <t>MAJESTY</t>
        </is>
      </c>
      <c r="F1574" s="1" t="inlineStr">
        <is>
          <t>SMALL BAG</t>
        </is>
      </c>
      <c r="G1574" s="1" t="inlineStr">
        <is>
          <t>GF3010400835</t>
        </is>
      </c>
      <c r="H1574" s="1" t="n">
        <v>1</v>
      </c>
      <c r="I1574" s="1" t="inlineStr">
        <is>
          <t>หมด</t>
        </is>
      </c>
      <c r="J1574" s="13" t="n">
        <v>175</v>
      </c>
      <c r="K1574" s="1" t="inlineStr"/>
      <c r="L1574" s="13" t="n"/>
      <c r="M1574" s="1">
        <f>IF(L1574="","ไม่พบใน SG",IF(ABS(J1574-L1574)&lt;0.005,"ตรงกัน","ไม่ตรง"))</f>
        <v/>
      </c>
      <c r="N1574" s="14">
        <f>IF(L1574="","",ROUND(L1574*'สรุป'!$C$6,-1))</f>
        <v/>
      </c>
      <c r="O1574" s="15" t="n"/>
      <c r="P1574" s="15" t="n"/>
      <c r="Q1574" s="10" t="n"/>
      <c r="R1574" s="10" t="n"/>
      <c r="S1574" s="16" t="inlineStr">
        <is>
          <t>https://mstgolf.co.th/products/gf3010400835</t>
        </is>
      </c>
      <c r="T1574" s="1">
        <f>IF(B1574="ไม้กอล์ฟ",J1574,"")</f>
        <v/>
      </c>
    </row>
    <row r="1575">
      <c r="A1575" s="1" t="n">
        <v>2</v>
      </c>
      <c r="B1575" s="1" t="inlineStr">
        <is>
          <t>ถุงกอล์ฟ</t>
        </is>
      </c>
      <c r="C1575" s="1" t="inlineStr">
        <is>
          <t>gf3000102437</t>
        </is>
      </c>
      <c r="D1575" s="1" t="inlineStr">
        <is>
          <t>MIZUNO GWP JPX SMU 9.5" Cart Bag (White/Blue/Navy)</t>
        </is>
      </c>
      <c r="E1575" s="1" t="inlineStr">
        <is>
          <t>MIZUNO</t>
        </is>
      </c>
      <c r="F1575" s="1" t="inlineStr">
        <is>
          <t>CADDIE/CART BAG</t>
        </is>
      </c>
      <c r="G1575" s="1" t="inlineStr">
        <is>
          <t>GF3000102437</t>
        </is>
      </c>
      <c r="H1575" s="1" t="n">
        <v>1</v>
      </c>
      <c r="I1575" s="1" t="inlineStr">
        <is>
          <t>หมด</t>
        </is>
      </c>
      <c r="J1575" s="13" t="n">
        <v>175</v>
      </c>
      <c r="K1575" s="1" t="inlineStr"/>
      <c r="L1575" s="13" t="n"/>
      <c r="M1575" s="1">
        <f>IF(L1575="","ไม่พบใน SG",IF(ABS(J1575-L1575)&lt;0.005,"ตรงกัน","ไม่ตรง"))</f>
        <v/>
      </c>
      <c r="N1575" s="14">
        <f>IF(L1575="","",ROUND(L1575*'สรุป'!$C$6,-1))</f>
        <v/>
      </c>
      <c r="O1575" s="15" t="n"/>
      <c r="P1575" s="15" t="n"/>
      <c r="Q1575" s="10" t="n"/>
      <c r="R1575" s="10" t="n"/>
      <c r="S1575" s="16" t="inlineStr">
        <is>
          <t>https://mstgolf.co.th/products/gf3000102437</t>
        </is>
      </c>
      <c r="T1575" s="1">
        <f>IF(B1575="ไม้กอล์ฟ",J1575,"")</f>
        <v/>
      </c>
    </row>
    <row r="1576">
      <c r="A1576" s="1" t="n">
        <v>2</v>
      </c>
      <c r="B1576" s="1" t="inlineStr">
        <is>
          <t>รองเท้า</t>
        </is>
      </c>
      <c r="C1576" s="1" t="inlineStr">
        <is>
          <t>gf2500201021</t>
        </is>
      </c>
      <c r="D1576" s="1" t="inlineStr">
        <is>
          <t>PUMA IGNITE ELEVATE Men's Spikeless Shoes (White/Navy)</t>
        </is>
      </c>
      <c r="E1576" s="1" t="inlineStr">
        <is>
          <t>PUMA</t>
        </is>
      </c>
      <c r="F1576" s="1" t="inlineStr">
        <is>
          <t>SPIKELESS SHOES</t>
        </is>
      </c>
      <c r="G1576" s="1" t="inlineStr">
        <is>
          <t>GF2500201021UK6</t>
        </is>
      </c>
      <c r="H1576" s="1" t="n">
        <v>12</v>
      </c>
      <c r="I1576" s="1" t="inlineStr">
        <is>
          <t>หมด</t>
        </is>
      </c>
      <c r="J1576" s="13" t="n">
        <v>175</v>
      </c>
      <c r="K1576" s="1" t="inlineStr"/>
      <c r="L1576" s="13" t="n">
        <v>175</v>
      </c>
      <c r="M1576" s="1">
        <f>IF(L1576="","ไม่พบใน SG",IF(ABS(J1576-L1576)&lt;0.005,"ตรงกัน","ไม่ตรง"))</f>
        <v/>
      </c>
      <c r="N1576" s="14">
        <f>IF(L1576="","",ROUND(L1576*'สรุป'!$C$6,-1))</f>
        <v/>
      </c>
      <c r="O1576" s="15" t="n"/>
      <c r="P1576" s="15" t="n"/>
      <c r="Q1576" s="10" t="n"/>
      <c r="R1576" s="10" t="n"/>
      <c r="S1576" s="16" t="inlineStr">
        <is>
          <t>https://mstgolf.co.th/products/gf2500201021</t>
        </is>
      </c>
      <c r="T1576" s="1">
        <f>IF(B1576="ไม้กอล์ฟ",J1576,"")</f>
        <v/>
      </c>
    </row>
    <row r="1577">
      <c r="A1577" s="1" t="n">
        <v>2</v>
      </c>
      <c r="B1577" s="1" t="inlineStr">
        <is>
          <t>รองเท้า</t>
        </is>
      </c>
      <c r="C1577" s="1" t="inlineStr">
        <is>
          <t>gf2500201477</t>
        </is>
      </c>
      <c r="D1577" s="1" t="inlineStr">
        <is>
          <t>ADIDAS Campus 00s Unisex Spikeless Shoes (Indigo/White)</t>
        </is>
      </c>
      <c r="E1577" s="1" t="inlineStr">
        <is>
          <t>ADIDAS</t>
        </is>
      </c>
      <c r="F1577" s="1" t="inlineStr">
        <is>
          <t>SPIKELESS SHOES</t>
        </is>
      </c>
      <c r="G1577" s="1" t="inlineStr">
        <is>
          <t>GF2500201477UK5</t>
        </is>
      </c>
      <c r="H1577" s="1" t="n">
        <v>12</v>
      </c>
      <c r="I1577" s="1" t="inlineStr">
        <is>
          <t>หมด</t>
        </is>
      </c>
      <c r="J1577" s="13" t="n">
        <v>169</v>
      </c>
      <c r="K1577" s="1" t="inlineStr"/>
      <c r="L1577" s="13" t="n"/>
      <c r="M1577" s="1">
        <f>IF(L1577="","ไม่พบใน SG",IF(ABS(J1577-L1577)&lt;0.005,"ตรงกัน","ไม่ตรง"))</f>
        <v/>
      </c>
      <c r="N1577" s="14">
        <f>IF(L1577="","",ROUND(L1577*'สรุป'!$C$6,-1))</f>
        <v/>
      </c>
      <c r="O1577" s="15" t="n"/>
      <c r="P1577" s="15" t="n"/>
      <c r="Q1577" s="10" t="n"/>
      <c r="R1577" s="10" t="n"/>
      <c r="S1577" s="16" t="inlineStr">
        <is>
          <t>https://mstgolf.co.th/products/gf2500201477</t>
        </is>
      </c>
      <c r="T1577" s="1">
        <f>IF(B1577="ไม้กอล์ฟ",J1577,"")</f>
        <v/>
      </c>
    </row>
    <row r="1578">
      <c r="A1578" s="1" t="n">
        <v>2</v>
      </c>
      <c r="B1578" s="1" t="inlineStr">
        <is>
          <t>รองเท้า</t>
        </is>
      </c>
      <c r="C1578" s="1" t="inlineStr">
        <is>
          <t>gf2500201469</t>
        </is>
      </c>
      <c r="D1578" s="1" t="inlineStr">
        <is>
          <t>ADIDAS Campus 00s Unisex Spikeless Shoes (Orange/White)</t>
        </is>
      </c>
      <c r="E1578" s="1" t="inlineStr">
        <is>
          <t>ADIDAS</t>
        </is>
      </c>
      <c r="F1578" s="1" t="inlineStr">
        <is>
          <t>SPIKELESS SHOES</t>
        </is>
      </c>
      <c r="G1578" s="1" t="inlineStr">
        <is>
          <t>GF2500201469UK5</t>
        </is>
      </c>
      <c r="H1578" s="1" t="n">
        <v>12</v>
      </c>
      <c r="I1578" s="1" t="inlineStr">
        <is>
          <t>หมด</t>
        </is>
      </c>
      <c r="J1578" s="13" t="n">
        <v>169</v>
      </c>
      <c r="K1578" s="1" t="inlineStr"/>
      <c r="L1578" s="13" t="n"/>
      <c r="M1578" s="1">
        <f>IF(L1578="","ไม่พบใน SG",IF(ABS(J1578-L1578)&lt;0.005,"ตรงกัน","ไม่ตรง"))</f>
        <v/>
      </c>
      <c r="N1578" s="14">
        <f>IF(L1578="","",ROUND(L1578*'สรุป'!$C$6,-1))</f>
        <v/>
      </c>
      <c r="O1578" s="15" t="n"/>
      <c r="P1578" s="15" t="n"/>
      <c r="Q1578" s="10" t="n"/>
      <c r="R1578" s="10" t="n"/>
      <c r="S1578" s="16" t="inlineStr">
        <is>
          <t>https://mstgolf.co.th/products/gf2500201469</t>
        </is>
      </c>
      <c r="T1578" s="1">
        <f>IF(B1578="ไม้กอล์ฟ",J1578,"")</f>
        <v/>
      </c>
    </row>
    <row r="1579">
      <c r="A1579" s="1" t="n">
        <v>2</v>
      </c>
      <c r="B1579" s="1" t="inlineStr">
        <is>
          <t>รองเท้า</t>
        </is>
      </c>
      <c r="C1579" s="1" t="inlineStr">
        <is>
          <t>gf2500102672</t>
        </is>
      </c>
      <c r="D1579" s="1" t="inlineStr">
        <is>
          <t>FOOTJOY Harris Tweed Field Men's Spiked Shoes (White/Green)</t>
        </is>
      </c>
      <c r="E1579" s="1" t="inlineStr">
        <is>
          <t>FOOTJOY</t>
        </is>
      </c>
      <c r="F1579" s="1" t="inlineStr">
        <is>
          <t>SPIKE SHOES</t>
        </is>
      </c>
      <c r="G1579" s="1" t="inlineStr">
        <is>
          <t>GF2500102672US6.5</t>
        </is>
      </c>
      <c r="H1579" s="1" t="n">
        <v>8</v>
      </c>
      <c r="I1579" s="1" t="inlineStr">
        <is>
          <t>หมด</t>
        </is>
      </c>
      <c r="J1579" s="13" t="n">
        <v>169</v>
      </c>
      <c r="K1579" s="1" t="inlineStr"/>
      <c r="L1579" s="13" t="n"/>
      <c r="M1579" s="1">
        <f>IF(L1579="","ไม่พบใน SG",IF(ABS(J1579-L1579)&lt;0.005,"ตรงกัน","ไม่ตรง"))</f>
        <v/>
      </c>
      <c r="N1579" s="14">
        <f>IF(L1579="","",ROUND(L1579*'สรุป'!$C$6,-1))</f>
        <v/>
      </c>
      <c r="O1579" s="15" t="n"/>
      <c r="P1579" s="15" t="n"/>
      <c r="Q1579" s="10" t="n"/>
      <c r="R1579" s="10" t="n"/>
      <c r="S1579" s="16" t="inlineStr">
        <is>
          <t>https://mstgolf.co.th/products/gf2500102672</t>
        </is>
      </c>
      <c r="T1579" s="1">
        <f>IF(B1579="ไม้กอล์ฟ",J1579,"")</f>
        <v/>
      </c>
    </row>
    <row r="1580">
      <c r="A1580" s="1" t="n">
        <v>2</v>
      </c>
      <c r="B1580" s="1" t="inlineStr">
        <is>
          <t>รองเท้า</t>
        </is>
      </c>
      <c r="C1580" s="1" t="inlineStr">
        <is>
          <t>gf2500102666</t>
        </is>
      </c>
      <c r="D1580" s="1" t="inlineStr">
        <is>
          <t>NIKE TW '13 Lace Men's Spiked Shoes (Phot Dust/Grey Light)</t>
        </is>
      </c>
      <c r="E1580" s="1" t="inlineStr">
        <is>
          <t>NIKE</t>
        </is>
      </c>
      <c r="F1580" s="1" t="inlineStr">
        <is>
          <t>SPIKE SHOES</t>
        </is>
      </c>
      <c r="G1580" s="1" t="inlineStr">
        <is>
          <t>GF2500102666US4</t>
        </is>
      </c>
      <c r="H1580" s="1" t="n">
        <v>16</v>
      </c>
      <c r="I1580" s="1" t="inlineStr">
        <is>
          <t>หมด</t>
        </is>
      </c>
      <c r="J1580" s="13" t="n">
        <v>169</v>
      </c>
      <c r="K1580" s="1" t="inlineStr"/>
      <c r="L1580" s="13" t="n"/>
      <c r="M1580" s="1">
        <f>IF(L1580="","ไม่พบใน SG",IF(ABS(J1580-L1580)&lt;0.005,"ตรงกัน","ไม่ตรง"))</f>
        <v/>
      </c>
      <c r="N1580" s="14">
        <f>IF(L1580="","",ROUND(L1580*'สรุป'!$C$6,-1))</f>
        <v/>
      </c>
      <c r="O1580" s="15" t="n"/>
      <c r="P1580" s="15" t="n"/>
      <c r="Q1580" s="10" t="n"/>
      <c r="R1580" s="10" t="n"/>
      <c r="S1580" s="16" t="inlineStr">
        <is>
          <t>https://mstgolf.co.th/products/gf2500102666</t>
        </is>
      </c>
      <c r="T1580" s="1">
        <f>IF(B1580="ไม้กอล์ฟ",J1580,"")</f>
        <v/>
      </c>
    </row>
    <row r="1581">
      <c r="A1581" s="1" t="n">
        <v>2</v>
      </c>
      <c r="B1581" s="1" t="inlineStr">
        <is>
          <t>รองเท้า</t>
        </is>
      </c>
      <c r="C1581" s="1" t="inlineStr">
        <is>
          <t>gf2500201257</t>
        </is>
      </c>
      <c r="D1581" s="1" t="inlineStr">
        <is>
          <t>PUMA PHANTOMCAT NITRO Men's Spikeless Shoes (White)</t>
        </is>
      </c>
      <c r="E1581" s="1" t="inlineStr">
        <is>
          <t>PUMA</t>
        </is>
      </c>
      <c r="F1581" s="1" t="inlineStr">
        <is>
          <t>SPIKELESS SHOES</t>
        </is>
      </c>
      <c r="G1581" s="1" t="inlineStr">
        <is>
          <t>GF2500201257UK7.5</t>
        </is>
      </c>
      <c r="H1581" s="1" t="n">
        <v>5</v>
      </c>
      <c r="I1581" s="1" t="inlineStr">
        <is>
          <t>หมด</t>
        </is>
      </c>
      <c r="J1581" s="13" t="n">
        <v>169</v>
      </c>
      <c r="K1581" s="1" t="inlineStr"/>
      <c r="L1581" s="13" t="n"/>
      <c r="M1581" s="1">
        <f>IF(L1581="","ไม่พบใน SG",IF(ABS(J1581-L1581)&lt;0.005,"ตรงกัน","ไม่ตรง"))</f>
        <v/>
      </c>
      <c r="N1581" s="14">
        <f>IF(L1581="","",ROUND(L1581*'สรุป'!$C$6,-1))</f>
        <v/>
      </c>
      <c r="O1581" s="15" t="n"/>
      <c r="P1581" s="15" t="n"/>
      <c r="Q1581" s="10" t="n"/>
      <c r="R1581" s="10" t="n"/>
      <c r="S1581" s="16" t="inlineStr">
        <is>
          <t>https://mstgolf.co.th/products/gf2500201257</t>
        </is>
      </c>
      <c r="T1581" s="1">
        <f>IF(B1581="ไม้กอล์ฟ",J1581,"")</f>
        <v/>
      </c>
    </row>
    <row r="1582">
      <c r="A1582" s="1" t="n">
        <v>2</v>
      </c>
      <c r="B1582" s="1" t="inlineStr">
        <is>
          <t>รองเท้า</t>
        </is>
      </c>
      <c r="C1582" s="1" t="inlineStr">
        <is>
          <t>gf2500200681</t>
        </is>
      </c>
      <c r="D1582" s="1" t="inlineStr">
        <is>
          <t>FOOTJOY Premiere Series Flint Men's Spikeless Shoes (White/White/Orange)</t>
        </is>
      </c>
      <c r="E1582" s="1" t="inlineStr">
        <is>
          <t>FOOTJOY</t>
        </is>
      </c>
      <c r="F1582" s="1" t="inlineStr">
        <is>
          <t>SPIKELESS SHOES</t>
        </is>
      </c>
      <c r="G1582" s="1" t="inlineStr">
        <is>
          <t>GF2500200681US6.5</t>
        </is>
      </c>
      <c r="H1582" s="1" t="n">
        <v>9</v>
      </c>
      <c r="I1582" s="1" t="inlineStr">
        <is>
          <t>หมด</t>
        </is>
      </c>
      <c r="J1582" s="13" t="n">
        <v>165</v>
      </c>
      <c r="K1582" s="1" t="inlineStr"/>
      <c r="L1582" s="13" t="n"/>
      <c r="M1582" s="1">
        <f>IF(L1582="","ไม่พบใน SG",IF(ABS(J1582-L1582)&lt;0.005,"ตรงกัน","ไม่ตรง"))</f>
        <v/>
      </c>
      <c r="N1582" s="14">
        <f>IF(L1582="","",ROUND(L1582*'สรุป'!$C$6,-1))</f>
        <v/>
      </c>
      <c r="O1582" s="15" t="n"/>
      <c r="P1582" s="15" t="n"/>
      <c r="Q1582" s="10" t="n"/>
      <c r="R1582" s="10" t="n"/>
      <c r="S1582" s="16" t="inlineStr">
        <is>
          <t>https://mstgolf.co.th/products/gf2500200681</t>
        </is>
      </c>
      <c r="T1582" s="1">
        <f>IF(B1582="ไม้กอล์ฟ",J1582,"")</f>
        <v/>
      </c>
    </row>
    <row r="1583">
      <c r="A1583" s="1" t="n">
        <v>2</v>
      </c>
      <c r="B1583" s="1" t="inlineStr">
        <is>
          <t>รองเท้า</t>
        </is>
      </c>
      <c r="C1583" s="1" t="inlineStr">
        <is>
          <t>gf2500102516</t>
        </is>
      </c>
      <c r="D1583" s="1" t="inlineStr">
        <is>
          <t>FOOTJOY Premiere Series Packard Brick Men's Spiked Shoes (White/Navy)</t>
        </is>
      </c>
      <c r="E1583" s="1" t="inlineStr">
        <is>
          <t>FOOTJOY</t>
        </is>
      </c>
      <c r="F1583" s="1" t="inlineStr">
        <is>
          <t>SPIKE SHOES</t>
        </is>
      </c>
      <c r="G1583" s="1" t="inlineStr">
        <is>
          <t>GF2500102516US6.5</t>
        </is>
      </c>
      <c r="H1583" s="1" t="n">
        <v>9</v>
      </c>
      <c r="I1583" s="1" t="inlineStr">
        <is>
          <t>หมด</t>
        </is>
      </c>
      <c r="J1583" s="13" t="n">
        <v>165</v>
      </c>
      <c r="K1583" s="1" t="inlineStr"/>
      <c r="L1583" s="13" t="n"/>
      <c r="M1583" s="1">
        <f>IF(L1583="","ไม่พบใน SG",IF(ABS(J1583-L1583)&lt;0.005,"ตรงกัน","ไม่ตรง"))</f>
        <v/>
      </c>
      <c r="N1583" s="14">
        <f>IF(L1583="","",ROUND(L1583*'สรุป'!$C$6,-1))</f>
        <v/>
      </c>
      <c r="O1583" s="15" t="n"/>
      <c r="P1583" s="15" t="n"/>
      <c r="Q1583" s="10" t="n"/>
      <c r="R1583" s="10" t="n"/>
      <c r="S1583" s="16" t="inlineStr">
        <is>
          <t>https://mstgolf.co.th/products/gf2500102516</t>
        </is>
      </c>
      <c r="T1583" s="1">
        <f>IF(B1583="ไม้กอล์ฟ",J1583,"")</f>
        <v/>
      </c>
    </row>
    <row r="1584">
      <c r="A1584" s="1" t="n">
        <v>2</v>
      </c>
      <c r="B1584" s="1" t="inlineStr">
        <is>
          <t>รองเท้า</t>
        </is>
      </c>
      <c r="C1584" s="1" t="inlineStr">
        <is>
          <t>gf2500102600</t>
        </is>
      </c>
      <c r="D1584" s="1" t="inlineStr">
        <is>
          <t>FOOTJOY Premiere Tarlow Men's Spiked Shoes (White)</t>
        </is>
      </c>
      <c r="E1584" s="1" t="inlineStr">
        <is>
          <t>FOOTJOY</t>
        </is>
      </c>
      <c r="F1584" s="1" t="inlineStr">
        <is>
          <t>SPIKE SHOES</t>
        </is>
      </c>
      <c r="G1584" s="1" t="inlineStr">
        <is>
          <t>GF2500102600US7</t>
        </is>
      </c>
      <c r="H1584" s="1" t="n">
        <v>6</v>
      </c>
      <c r="I1584" s="1" t="inlineStr">
        <is>
          <t>หมด</t>
        </is>
      </c>
      <c r="J1584" s="13" t="n">
        <v>165</v>
      </c>
      <c r="K1584" s="1" t="inlineStr"/>
      <c r="L1584" s="13" t="n"/>
      <c r="M1584" s="1">
        <f>IF(L1584="","ไม่พบใน SG",IF(ABS(J1584-L1584)&lt;0.005,"ตรงกัน","ไม่ตรง"))</f>
        <v/>
      </c>
      <c r="N1584" s="14">
        <f>IF(L1584="","",ROUND(L1584*'สรุป'!$C$6,-1))</f>
        <v/>
      </c>
      <c r="O1584" s="15" t="n"/>
      <c r="P1584" s="15" t="n"/>
      <c r="Q1584" s="10" t="n"/>
      <c r="R1584" s="10" t="n"/>
      <c r="S1584" s="16" t="inlineStr">
        <is>
          <t>https://mstgolf.co.th/products/gf2500102600</t>
        </is>
      </c>
      <c r="T1584" s="1">
        <f>IF(B1584="ไม้กอล์ฟ",J1584,"")</f>
        <v/>
      </c>
    </row>
    <row r="1585">
      <c r="A1585" s="1" t="n">
        <v>2</v>
      </c>
      <c r="B1585" s="1" t="inlineStr">
        <is>
          <t>รองเท้า</t>
        </is>
      </c>
      <c r="C1585" s="1" t="inlineStr">
        <is>
          <t>gf2500102586</t>
        </is>
      </c>
      <c r="D1585" s="1" t="inlineStr">
        <is>
          <t>UNDER ARMOUR HOVR Drive 2 Men's Spiked Shoes (Black/Grey)</t>
        </is>
      </c>
      <c r="E1585" s="1" t="inlineStr">
        <is>
          <t>UNDER ARMOUR</t>
        </is>
      </c>
      <c r="F1585" s="1" t="inlineStr">
        <is>
          <t>SPIKE SHOES</t>
        </is>
      </c>
      <c r="G1585" s="1" t="inlineStr">
        <is>
          <t>GF2500102586US7</t>
        </is>
      </c>
      <c r="H1585" s="1" t="n">
        <v>8</v>
      </c>
      <c r="I1585" s="1" t="inlineStr">
        <is>
          <t>หมด</t>
        </is>
      </c>
      <c r="J1585" s="13" t="n">
        <v>165</v>
      </c>
      <c r="K1585" s="1" t="inlineStr"/>
      <c r="L1585" s="13" t="n"/>
      <c r="M1585" s="1">
        <f>IF(L1585="","ไม่พบใน SG",IF(ABS(J1585-L1585)&lt;0.005,"ตรงกัน","ไม่ตรง"))</f>
        <v/>
      </c>
      <c r="N1585" s="14">
        <f>IF(L1585="","",ROUND(L1585*'สรุป'!$C$6,-1))</f>
        <v/>
      </c>
      <c r="O1585" s="15" t="n"/>
      <c r="P1585" s="15" t="n"/>
      <c r="Q1585" s="10" t="n"/>
      <c r="R1585" s="10" t="n"/>
      <c r="S1585" s="16" t="inlineStr">
        <is>
          <t>https://mstgolf.co.th/products/gf2500102586</t>
        </is>
      </c>
      <c r="T1585" s="1">
        <f>IF(B1585="ไม้กอล์ฟ",J1585,"")</f>
        <v/>
      </c>
    </row>
    <row r="1586">
      <c r="A1586" s="1" t="n">
        <v>2</v>
      </c>
      <c r="B1586" s="1" t="inlineStr">
        <is>
          <t>รองเท้า</t>
        </is>
      </c>
      <c r="C1586" s="1" t="inlineStr">
        <is>
          <t>gf2500102587</t>
        </is>
      </c>
      <c r="D1586" s="1" t="inlineStr">
        <is>
          <t>UNDER ARMOUR HOVR Drive 2 Men's Spiked Shoes (White/Silver)</t>
        </is>
      </c>
      <c r="E1586" s="1" t="inlineStr">
        <is>
          <t>UNDER ARMOUR</t>
        </is>
      </c>
      <c r="F1586" s="1" t="inlineStr">
        <is>
          <t>SPIKE SHOES</t>
        </is>
      </c>
      <c r="G1586" s="1" t="inlineStr">
        <is>
          <t>GF2500102587US7</t>
        </is>
      </c>
      <c r="H1586" s="1" t="n">
        <v>8</v>
      </c>
      <c r="I1586" s="1" t="inlineStr">
        <is>
          <t>หมด</t>
        </is>
      </c>
      <c r="J1586" s="13" t="n">
        <v>165</v>
      </c>
      <c r="K1586" s="1" t="inlineStr"/>
      <c r="L1586" s="13" t="n"/>
      <c r="M1586" s="1">
        <f>IF(L1586="","ไม่พบใน SG",IF(ABS(J1586-L1586)&lt;0.005,"ตรงกัน","ไม่ตรง"))</f>
        <v/>
      </c>
      <c r="N1586" s="14">
        <f>IF(L1586="","",ROUND(L1586*'สรุป'!$C$6,-1))</f>
        <v/>
      </c>
      <c r="O1586" s="15" t="n"/>
      <c r="P1586" s="15" t="n"/>
      <c r="Q1586" s="10" t="n"/>
      <c r="R1586" s="10" t="n"/>
      <c r="S1586" s="16" t="inlineStr">
        <is>
          <t>https://mstgolf.co.th/products/gf2500102587</t>
        </is>
      </c>
      <c r="T1586" s="1">
        <f>IF(B1586="ไม้กอล์ฟ",J1586,"")</f>
        <v/>
      </c>
    </row>
    <row r="1587">
      <c r="A1587" s="1" t="n">
        <v>2</v>
      </c>
      <c r="B1587" s="1" t="inlineStr">
        <is>
          <t>รองเท้า</t>
        </is>
      </c>
      <c r="C1587" s="1" t="inlineStr">
        <is>
          <t>gf2500200807</t>
        </is>
      </c>
      <c r="D1587" s="1" t="inlineStr">
        <is>
          <t>UNDER ARMOUR HOVR Tour Men's Spikeless Shoes (Black/Silver)</t>
        </is>
      </c>
      <c r="E1587" s="1" t="inlineStr">
        <is>
          <t>UNDER ARMOUR</t>
        </is>
      </c>
      <c r="F1587" s="1" t="inlineStr">
        <is>
          <t>SPIKELESS SHOES</t>
        </is>
      </c>
      <c r="G1587" s="1" t="inlineStr">
        <is>
          <t>GF2500200807US7.5</t>
        </is>
      </c>
      <c r="H1587" s="1" t="n">
        <v>9</v>
      </c>
      <c r="I1587" s="1" t="inlineStr">
        <is>
          <t>หมด</t>
        </is>
      </c>
      <c r="J1587" s="13" t="n">
        <v>165</v>
      </c>
      <c r="K1587" s="1" t="inlineStr"/>
      <c r="L1587" s="13" t="n"/>
      <c r="M1587" s="1">
        <f>IF(L1587="","ไม่พบใน SG",IF(ABS(J1587-L1587)&lt;0.005,"ตรงกัน","ไม่ตรง"))</f>
        <v/>
      </c>
      <c r="N1587" s="14">
        <f>IF(L1587="","",ROUND(L1587*'สรุป'!$C$6,-1))</f>
        <v/>
      </c>
      <c r="O1587" s="15" t="n"/>
      <c r="P1587" s="15" t="n"/>
      <c r="Q1587" s="10" t="n"/>
      <c r="R1587" s="10" t="n"/>
      <c r="S1587" s="16" t="inlineStr">
        <is>
          <t>https://mstgolf.co.th/products/gf2500200807</t>
        </is>
      </c>
      <c r="T1587" s="1">
        <f>IF(B1587="ไม้กอล์ฟ",J1587,"")</f>
        <v/>
      </c>
    </row>
    <row r="1588">
      <c r="A1588" s="1" t="n">
        <v>2</v>
      </c>
      <c r="B1588" s="1" t="inlineStr">
        <is>
          <t>รองเท้า</t>
        </is>
      </c>
      <c r="C1588" s="1" t="inlineStr">
        <is>
          <t>gf2500201470</t>
        </is>
      </c>
      <c r="D1588" s="1" t="inlineStr">
        <is>
          <t>ADIDAS Gazelle Men's Spikeless Shoes (Beige/Blue)</t>
        </is>
      </c>
      <c r="E1588" s="1" t="inlineStr">
        <is>
          <t>ADIDAS</t>
        </is>
      </c>
      <c r="F1588" s="1" t="inlineStr">
        <is>
          <t>SPIKELESS SHOES</t>
        </is>
      </c>
      <c r="G1588" s="1" t="inlineStr">
        <is>
          <t>GF2500201470UK5</t>
        </is>
      </c>
      <c r="H1588" s="1" t="n">
        <v>12</v>
      </c>
      <c r="I1588" s="1" t="inlineStr">
        <is>
          <t>หมด</t>
        </is>
      </c>
      <c r="J1588" s="13" t="n">
        <v>159</v>
      </c>
      <c r="K1588" s="1" t="inlineStr"/>
      <c r="L1588" s="13" t="n"/>
      <c r="M1588" s="1">
        <f>IF(L1588="","ไม่พบใน SG",IF(ABS(J1588-L1588)&lt;0.005,"ตรงกัน","ไม่ตรง"))</f>
        <v/>
      </c>
      <c r="N1588" s="14">
        <f>IF(L1588="","",ROUND(L1588*'สรุป'!$C$6,-1))</f>
        <v/>
      </c>
      <c r="O1588" s="15" t="n"/>
      <c r="P1588" s="15" t="n"/>
      <c r="Q1588" s="10" t="n"/>
      <c r="R1588" s="10" t="n"/>
      <c r="S1588" s="16" t="inlineStr">
        <is>
          <t>https://mstgolf.co.th/products/gf2500201470</t>
        </is>
      </c>
      <c r="T1588" s="1">
        <f>IF(B1588="ไม้กอล์ฟ",J1588,"")</f>
        <v/>
      </c>
    </row>
    <row r="1589">
      <c r="A1589" s="1" t="n">
        <v>2</v>
      </c>
      <c r="B1589" s="1" t="inlineStr">
        <is>
          <t>รองเท้า</t>
        </is>
      </c>
      <c r="C1589" s="1" t="inlineStr">
        <is>
          <t>gf2500201471</t>
        </is>
      </c>
      <c r="D1589" s="1" t="inlineStr">
        <is>
          <t>ADIDAS Gazelle Women's Spikeless Shoes (Orange/Pink/White)</t>
        </is>
      </c>
      <c r="E1589" s="1" t="inlineStr">
        <is>
          <t>ADIDAS</t>
        </is>
      </c>
      <c r="F1589" s="1" t="inlineStr">
        <is>
          <t>SPIKELESS SHOES</t>
        </is>
      </c>
      <c r="G1589" s="1" t="inlineStr">
        <is>
          <t>GF2500201471UK4.5</t>
        </is>
      </c>
      <c r="H1589" s="1" t="n">
        <v>8</v>
      </c>
      <c r="I1589" s="1" t="inlineStr">
        <is>
          <t>หมด</t>
        </is>
      </c>
      <c r="J1589" s="13" t="n">
        <v>159</v>
      </c>
      <c r="K1589" s="1" t="inlineStr"/>
      <c r="L1589" s="13" t="n"/>
      <c r="M1589" s="1">
        <f>IF(L1589="","ไม่พบใน SG",IF(ABS(J1589-L1589)&lt;0.005,"ตรงกัน","ไม่ตรง"))</f>
        <v/>
      </c>
      <c r="N1589" s="14">
        <f>IF(L1589="","",ROUND(L1589*'สรุป'!$C$6,-1))</f>
        <v/>
      </c>
      <c r="O1589" s="15" t="n"/>
      <c r="P1589" s="15" t="n"/>
      <c r="Q1589" s="10" t="n"/>
      <c r="R1589" s="10" t="n"/>
      <c r="S1589" s="16" t="inlineStr">
        <is>
          <t>https://mstgolf.co.th/products/gf2500201471</t>
        </is>
      </c>
      <c r="T1589" s="1">
        <f>IF(B1589="ไม้กอล์ฟ",J1589,"")</f>
        <v/>
      </c>
    </row>
    <row r="1590">
      <c r="A1590" s="1" t="n">
        <v>2</v>
      </c>
      <c r="B1590" s="1" t="inlineStr">
        <is>
          <t>รองเท้า</t>
        </is>
      </c>
      <c r="C1590" s="1" t="inlineStr">
        <is>
          <t>gf2500201534</t>
        </is>
      </c>
      <c r="D1590" s="1" t="inlineStr">
        <is>
          <t>ADIDAS Retrocross 25 Men's Spikeless Shoes (White/Aurora)</t>
        </is>
      </c>
      <c r="E1590" s="1" t="inlineStr">
        <is>
          <t>ADIDAS</t>
        </is>
      </c>
      <c r="F1590" s="1" t="inlineStr">
        <is>
          <t>SPIKELESS SHOES</t>
        </is>
      </c>
      <c r="G1590" s="1" t="inlineStr">
        <is>
          <t>GF2500201534UK4</t>
        </is>
      </c>
      <c r="H1590" s="1" t="n">
        <v>17</v>
      </c>
      <c r="I1590" s="1" t="inlineStr">
        <is>
          <t>หมด</t>
        </is>
      </c>
      <c r="J1590" s="13" t="n">
        <v>159</v>
      </c>
      <c r="K1590" s="1" t="inlineStr"/>
      <c r="L1590" s="13" t="n"/>
      <c r="M1590" s="1">
        <f>IF(L1590="","ไม่พบใน SG",IF(ABS(J1590-L1590)&lt;0.005,"ตรงกัน","ไม่ตรง"))</f>
        <v/>
      </c>
      <c r="N1590" s="14">
        <f>IF(L1590="","",ROUND(L1590*'สรุป'!$C$6,-1))</f>
        <v/>
      </c>
      <c r="O1590" s="15" t="n"/>
      <c r="P1590" s="15" t="n"/>
      <c r="Q1590" s="10" t="n"/>
      <c r="R1590" s="10" t="n"/>
      <c r="S1590" s="16" t="inlineStr">
        <is>
          <t>https://mstgolf.co.th/products/gf2500201534</t>
        </is>
      </c>
      <c r="T1590" s="1">
        <f>IF(B1590="ไม้กอล์ฟ",J1590,"")</f>
        <v/>
      </c>
    </row>
    <row r="1591">
      <c r="A1591" s="1" t="n">
        <v>2</v>
      </c>
      <c r="B1591" s="1" t="inlineStr">
        <is>
          <t>รองเท้า</t>
        </is>
      </c>
      <c r="C1591" s="1" t="inlineStr">
        <is>
          <t>gf2500201533</t>
        </is>
      </c>
      <c r="D1591" s="1" t="inlineStr">
        <is>
          <t>ADIDAS Retrocross 25 Men's Spikeless Shoes (White/Indigo)</t>
        </is>
      </c>
      <c r="E1591" s="1" t="inlineStr">
        <is>
          <t>ADIDAS</t>
        </is>
      </c>
      <c r="F1591" s="1" t="inlineStr">
        <is>
          <t>SPIKELESS SHOES</t>
        </is>
      </c>
      <c r="G1591" s="1" t="inlineStr">
        <is>
          <t>GF2500201533UK4</t>
        </is>
      </c>
      <c r="H1591" s="1" t="n">
        <v>17</v>
      </c>
      <c r="I1591" s="1" t="inlineStr">
        <is>
          <t>หมด</t>
        </is>
      </c>
      <c r="J1591" s="13" t="n">
        <v>159</v>
      </c>
      <c r="K1591" s="1" t="inlineStr"/>
      <c r="L1591" s="13" t="n"/>
      <c r="M1591" s="1">
        <f>IF(L1591="","ไม่พบใน SG",IF(ABS(J1591-L1591)&lt;0.005,"ตรงกัน","ไม่ตรง"))</f>
        <v/>
      </c>
      <c r="N1591" s="14">
        <f>IF(L1591="","",ROUND(L1591*'สรุป'!$C$6,-1))</f>
        <v/>
      </c>
      <c r="O1591" s="15" t="n"/>
      <c r="P1591" s="15" t="n"/>
      <c r="Q1591" s="10" t="n"/>
      <c r="R1591" s="10" t="n"/>
      <c r="S1591" s="16" t="inlineStr">
        <is>
          <t>https://mstgolf.co.th/products/gf2500201533</t>
        </is>
      </c>
      <c r="T1591" s="1">
        <f>IF(B1591="ไม้กอล์ฟ",J1591,"")</f>
        <v/>
      </c>
    </row>
    <row r="1592">
      <c r="A1592" s="1" t="n">
        <v>2</v>
      </c>
      <c r="B1592" s="1" t="inlineStr">
        <is>
          <t>รองเท้า</t>
        </is>
      </c>
      <c r="C1592" s="1" t="inlineStr">
        <is>
          <t>gf2500201535</t>
        </is>
      </c>
      <c r="D1592" s="1" t="inlineStr">
        <is>
          <t>ADIDAS Retrocross 25 Women's Spikeless Shoes (Pink/White)</t>
        </is>
      </c>
      <c r="E1592" s="1" t="inlineStr">
        <is>
          <t>ADIDAS</t>
        </is>
      </c>
      <c r="F1592" s="1" t="inlineStr">
        <is>
          <t>SPIKELESS SHOES</t>
        </is>
      </c>
      <c r="G1592" s="1" t="inlineStr">
        <is>
          <t>GF2500201535UK4</t>
        </is>
      </c>
      <c r="H1592" s="1" t="n">
        <v>9</v>
      </c>
      <c r="I1592" s="1" t="inlineStr">
        <is>
          <t>หมด</t>
        </is>
      </c>
      <c r="J1592" s="13" t="n">
        <v>159</v>
      </c>
      <c r="K1592" s="1" t="inlineStr"/>
      <c r="L1592" s="13" t="n"/>
      <c r="M1592" s="1">
        <f>IF(L1592="","ไม่พบใน SG",IF(ABS(J1592-L1592)&lt;0.005,"ตรงกัน","ไม่ตรง"))</f>
        <v/>
      </c>
      <c r="N1592" s="14">
        <f>IF(L1592="","",ROUND(L1592*'สรุป'!$C$6,-1))</f>
        <v/>
      </c>
      <c r="O1592" s="15" t="n"/>
      <c r="P1592" s="15" t="n"/>
      <c r="Q1592" s="10" t="n"/>
      <c r="R1592" s="10" t="n"/>
      <c r="S1592" s="16" t="inlineStr">
        <is>
          <t>https://mstgolf.co.th/products/gf2500201535</t>
        </is>
      </c>
      <c r="T1592" s="1">
        <f>IF(B1592="ไม้กอล์ฟ",J1592,"")</f>
        <v/>
      </c>
    </row>
    <row r="1593">
      <c r="A1593" s="1" t="n">
        <v>2</v>
      </c>
      <c r="B1593" s="1" t="inlineStr">
        <is>
          <t>รองเท้า</t>
        </is>
      </c>
      <c r="C1593" s="1" t="inlineStr">
        <is>
          <t>gf2500201536</t>
        </is>
      </c>
      <c r="D1593" s="1" t="inlineStr">
        <is>
          <t>ADIDAS Retrocross 25 Women's Spikeless Shoes (White/Mint)</t>
        </is>
      </c>
      <c r="E1593" s="1" t="inlineStr">
        <is>
          <t>ADIDAS</t>
        </is>
      </c>
      <c r="F1593" s="1" t="inlineStr">
        <is>
          <t>SPIKELESS SHOES</t>
        </is>
      </c>
      <c r="G1593" s="1" t="inlineStr">
        <is>
          <t>GF2500201536UK4</t>
        </is>
      </c>
      <c r="H1593" s="1" t="n">
        <v>9</v>
      </c>
      <c r="I1593" s="1" t="inlineStr">
        <is>
          <t>หมด</t>
        </is>
      </c>
      <c r="J1593" s="13" t="n">
        <v>159</v>
      </c>
      <c r="K1593" s="1" t="inlineStr"/>
      <c r="L1593" s="13" t="n"/>
      <c r="M1593" s="1">
        <f>IF(L1593="","ไม่พบใน SG",IF(ABS(J1593-L1593)&lt;0.005,"ตรงกัน","ไม่ตรง"))</f>
        <v/>
      </c>
      <c r="N1593" s="14">
        <f>IF(L1593="","",ROUND(L1593*'สรุป'!$C$6,-1))</f>
        <v/>
      </c>
      <c r="O1593" s="15" t="n"/>
      <c r="P1593" s="15" t="n"/>
      <c r="Q1593" s="10" t="n"/>
      <c r="R1593" s="10" t="n"/>
      <c r="S1593" s="16" t="inlineStr">
        <is>
          <t>https://mstgolf.co.th/products/gf2500201536</t>
        </is>
      </c>
      <c r="T1593" s="1">
        <f>IF(B1593="ไม้กอล์ฟ",J1593,"")</f>
        <v/>
      </c>
    </row>
    <row r="1594">
      <c r="A1594" s="1" t="n">
        <v>2</v>
      </c>
      <c r="B1594" s="1" t="inlineStr">
        <is>
          <t>ถุงกอล์ฟ</t>
        </is>
      </c>
      <c r="C1594" s="1" t="inlineStr">
        <is>
          <t>gf3000201447</t>
        </is>
      </c>
      <c r="D1594" s="1" t="inlineStr">
        <is>
          <t>CUTTER &amp; BUCK 9" Stand Bag (Black/White)</t>
        </is>
      </c>
      <c r="E1594" s="1" t="inlineStr">
        <is>
          <t>CUTTER &amp; BUCK</t>
        </is>
      </c>
      <c r="F1594" s="1" t="inlineStr">
        <is>
          <t>STAND BAG</t>
        </is>
      </c>
      <c r="G1594" s="1" t="inlineStr">
        <is>
          <t>GF3000201447</t>
        </is>
      </c>
      <c r="H1594" s="1" t="n">
        <v>1</v>
      </c>
      <c r="I1594" s="1" t="inlineStr">
        <is>
          <t>หมด</t>
        </is>
      </c>
      <c r="J1594" s="13" t="n">
        <v>159</v>
      </c>
      <c r="K1594" s="1" t="inlineStr"/>
      <c r="L1594" s="13" t="n">
        <v>159</v>
      </c>
      <c r="M1594" s="1">
        <f>IF(L1594="","ไม่พบใน SG",IF(ABS(J1594-L1594)&lt;0.005,"ตรงกัน","ไม่ตรง"))</f>
        <v/>
      </c>
      <c r="N1594" s="14">
        <f>IF(L1594="","",ROUND(L1594*'สรุป'!$C$6,-1))</f>
        <v/>
      </c>
      <c r="O1594" s="15" t="n"/>
      <c r="P1594" s="15" t="n"/>
      <c r="Q1594" s="10" t="n"/>
      <c r="R1594" s="10" t="n"/>
      <c r="S1594" s="16" t="inlineStr">
        <is>
          <t>https://mstgolf.co.th/products/gf3000201447</t>
        </is>
      </c>
      <c r="T1594" s="1">
        <f>IF(B1594="ไม้กอล์ฟ",J1594,"")</f>
        <v/>
      </c>
    </row>
    <row r="1595">
      <c r="A1595" s="1" t="n">
        <v>2</v>
      </c>
      <c r="B1595" s="1" t="inlineStr">
        <is>
          <t>ถุงกอล์ฟ</t>
        </is>
      </c>
      <c r="C1595" s="1" t="inlineStr">
        <is>
          <t>gf3000201448</t>
        </is>
      </c>
      <c r="D1595" s="1" t="inlineStr">
        <is>
          <t>CUTTER &amp; BUCK 9" Stand Bag (Blue/Beige)</t>
        </is>
      </c>
      <c r="E1595" s="1" t="inlineStr">
        <is>
          <t>CUTTER &amp; BUCK</t>
        </is>
      </c>
      <c r="F1595" s="1" t="inlineStr">
        <is>
          <t>STAND BAG</t>
        </is>
      </c>
      <c r="G1595" s="1" t="inlineStr">
        <is>
          <t>GF3000201448</t>
        </is>
      </c>
      <c r="H1595" s="1" t="n">
        <v>1</v>
      </c>
      <c r="I1595" s="1" t="inlineStr">
        <is>
          <t>หมด</t>
        </is>
      </c>
      <c r="J1595" s="13" t="n">
        <v>159</v>
      </c>
      <c r="K1595" s="1" t="inlineStr"/>
      <c r="L1595" s="13" t="n">
        <v>159</v>
      </c>
      <c r="M1595" s="1">
        <f>IF(L1595="","ไม่พบใน SG",IF(ABS(J1595-L1595)&lt;0.005,"ตรงกัน","ไม่ตรง"))</f>
        <v/>
      </c>
      <c r="N1595" s="14">
        <f>IF(L1595="","",ROUND(L1595*'สรุป'!$C$6,-1))</f>
        <v/>
      </c>
      <c r="O1595" s="15" t="n"/>
      <c r="P1595" s="15" t="n"/>
      <c r="Q1595" s="10" t="n"/>
      <c r="R1595" s="10" t="n"/>
      <c r="S1595" s="16" t="inlineStr">
        <is>
          <t>https://mstgolf.co.th/products/gf3000201448</t>
        </is>
      </c>
      <c r="T1595" s="1">
        <f>IF(B1595="ไม้กอล์ฟ",J1595,"")</f>
        <v/>
      </c>
    </row>
    <row r="1596">
      <c r="A1596" s="1" t="n">
        <v>2</v>
      </c>
      <c r="B1596" s="1" t="inlineStr">
        <is>
          <t>รองเท้า</t>
        </is>
      </c>
      <c r="C1596" s="1" t="inlineStr">
        <is>
          <t>gf2500102684</t>
        </is>
      </c>
      <c r="D1596" s="1" t="inlineStr">
        <is>
          <t>GFORE G/Lock Gallivanter Men's Spiked Shoes (Snow)</t>
        </is>
      </c>
      <c r="E1596" s="1" t="inlineStr">
        <is>
          <t>GFORE</t>
        </is>
      </c>
      <c r="F1596" s="1" t="inlineStr">
        <is>
          <t>SPIKE SHOES</t>
        </is>
      </c>
      <c r="G1596" s="1" t="inlineStr">
        <is>
          <t>GF2500102684US7</t>
        </is>
      </c>
      <c r="H1596" s="1" t="n">
        <v>9</v>
      </c>
      <c r="I1596" s="1" t="inlineStr">
        <is>
          <t>หมด</t>
        </is>
      </c>
      <c r="J1596" s="13" t="n">
        <v>159</v>
      </c>
      <c r="K1596" s="1" t="inlineStr"/>
      <c r="L1596" s="13" t="n">
        <v>159</v>
      </c>
      <c r="M1596" s="1">
        <f>IF(L1596="","ไม่พบใน SG",IF(ABS(J1596-L1596)&lt;0.005,"ตรงกัน","ไม่ตรง"))</f>
        <v/>
      </c>
      <c r="N1596" s="14">
        <f>IF(L1596="","",ROUND(L1596*'สรุป'!$C$6,-1))</f>
        <v/>
      </c>
      <c r="O1596" s="15" t="n"/>
      <c r="P1596" s="15" t="n"/>
      <c r="Q1596" s="10" t="n"/>
      <c r="R1596" s="10" t="n"/>
      <c r="S1596" s="16" t="inlineStr">
        <is>
          <t>https://mstgolf.co.th/products/gf2500102684</t>
        </is>
      </c>
      <c r="T1596" s="1">
        <f>IF(B1596="ไม้กอล์ฟ",J1596,"")</f>
        <v/>
      </c>
    </row>
    <row r="1597">
      <c r="A1597" s="1" t="n">
        <v>2</v>
      </c>
      <c r="B1597" s="1" t="inlineStr">
        <is>
          <t>ถุงกอล์ฟ</t>
        </is>
      </c>
      <c r="C1597" s="1" t="inlineStr">
        <is>
          <t>gf3010101351</t>
        </is>
      </c>
      <c r="D1597" s="1" t="inlineStr">
        <is>
          <t>TAYLORMADE A-Collection Boston Bag (Beige)</t>
        </is>
      </c>
      <c r="E1597" s="1" t="inlineStr">
        <is>
          <t>TAYLORMADE</t>
        </is>
      </c>
      <c r="F1597" s="1" t="inlineStr">
        <is>
          <t>BOSTON/DUFFLE BAG</t>
        </is>
      </c>
      <c r="G1597" s="1" t="inlineStr">
        <is>
          <t>GF3010101351</t>
        </is>
      </c>
      <c r="H1597" s="1" t="n">
        <v>1</v>
      </c>
      <c r="I1597" s="1" t="inlineStr">
        <is>
          <t>หมด</t>
        </is>
      </c>
      <c r="J1597" s="13" t="n">
        <v>159</v>
      </c>
      <c r="K1597" s="1" t="inlineStr"/>
      <c r="L1597" s="13" t="n">
        <v>159</v>
      </c>
      <c r="M1597" s="1">
        <f>IF(L1597="","ไม่พบใน SG",IF(ABS(J1597-L1597)&lt;0.005,"ตรงกัน","ไม่ตรง"))</f>
        <v/>
      </c>
      <c r="N1597" s="14">
        <f>IF(L1597="","",ROUND(L1597*'สรุป'!$C$6,-1))</f>
        <v/>
      </c>
      <c r="O1597" s="15" t="n"/>
      <c r="P1597" s="15" t="n"/>
      <c r="Q1597" s="10" t="n"/>
      <c r="R1597" s="10" t="n"/>
      <c r="S1597" s="16" t="inlineStr">
        <is>
          <t>https://mstgolf.co.th/products/gf3010101351</t>
        </is>
      </c>
      <c r="T1597" s="1">
        <f>IF(B1597="ไม้กอล์ฟ",J1597,"")</f>
        <v/>
      </c>
    </row>
    <row r="1598">
      <c r="A1598" s="1" t="n">
        <v>2</v>
      </c>
      <c r="B1598" s="1" t="inlineStr">
        <is>
          <t>ถุงกอล์ฟ</t>
        </is>
      </c>
      <c r="C1598" s="1" t="inlineStr">
        <is>
          <t>gf3010101352</t>
        </is>
      </c>
      <c r="D1598" s="1" t="inlineStr">
        <is>
          <t>TAYLORMADE A-Collection Boston Bag (Grey)</t>
        </is>
      </c>
      <c r="E1598" s="1" t="inlineStr">
        <is>
          <t>TAYLORMADE</t>
        </is>
      </c>
      <c r="F1598" s="1" t="inlineStr">
        <is>
          <t>BOSTON/DUFFLE BAG</t>
        </is>
      </c>
      <c r="G1598" s="1" t="inlineStr">
        <is>
          <t>GF3010101352</t>
        </is>
      </c>
      <c r="H1598" s="1" t="n">
        <v>1</v>
      </c>
      <c r="I1598" s="1" t="inlineStr">
        <is>
          <t>หมด</t>
        </is>
      </c>
      <c r="J1598" s="13" t="n">
        <v>159</v>
      </c>
      <c r="K1598" s="1" t="inlineStr"/>
      <c r="L1598" s="13" t="n">
        <v>159</v>
      </c>
      <c r="M1598" s="1">
        <f>IF(L1598="","ไม่พบใน SG",IF(ABS(J1598-L1598)&lt;0.005,"ตรงกัน","ไม่ตรง"))</f>
        <v/>
      </c>
      <c r="N1598" s="14">
        <f>IF(L1598="","",ROUND(L1598*'สรุป'!$C$6,-1))</f>
        <v/>
      </c>
      <c r="O1598" s="15" t="n"/>
      <c r="P1598" s="15" t="n"/>
      <c r="Q1598" s="10" t="n"/>
      <c r="R1598" s="10" t="n"/>
      <c r="S1598" s="16" t="inlineStr">
        <is>
          <t>https://mstgolf.co.th/products/gf3010101352</t>
        </is>
      </c>
      <c r="T1598" s="1">
        <f>IF(B1598="ไม้กอล์ฟ",J1598,"")</f>
        <v/>
      </c>
    </row>
    <row r="1599">
      <c r="A1599" s="1" t="n">
        <v>2</v>
      </c>
      <c r="B1599" s="1" t="inlineStr">
        <is>
          <t>รองเท้า</t>
        </is>
      </c>
      <c r="C1599" s="1" t="inlineStr">
        <is>
          <t>gf2500200946</t>
        </is>
      </c>
      <c r="D1599" s="1" t="inlineStr">
        <is>
          <t>FOOTJOY Pro Sport Men's Spikeless Shoes (White/Multi Color)</t>
        </is>
      </c>
      <c r="E1599" s="1" t="inlineStr">
        <is>
          <t>FOOTJOY</t>
        </is>
      </c>
      <c r="F1599" s="1" t="inlineStr">
        <is>
          <t>SPIKELESS SHOES</t>
        </is>
      </c>
      <c r="G1599" s="1" t="inlineStr">
        <is>
          <t>GF2500200946US6.5</t>
        </is>
      </c>
      <c r="H1599" s="1" t="n">
        <v>9</v>
      </c>
      <c r="I1599" s="1" t="inlineStr">
        <is>
          <t>หมด</t>
        </is>
      </c>
      <c r="J1599" s="13" t="n">
        <v>155</v>
      </c>
      <c r="K1599" s="1" t="inlineStr"/>
      <c r="L1599" s="13" t="n"/>
      <c r="M1599" s="1">
        <f>IF(L1599="","ไม่พบใน SG",IF(ABS(J1599-L1599)&lt;0.005,"ตรงกัน","ไม่ตรง"))</f>
        <v/>
      </c>
      <c r="N1599" s="14">
        <f>IF(L1599="","",ROUND(L1599*'สรุป'!$C$6,-1))</f>
        <v/>
      </c>
      <c r="O1599" s="15" t="n"/>
      <c r="P1599" s="15" t="n"/>
      <c r="Q1599" s="10" t="n"/>
      <c r="R1599" s="10" t="n"/>
      <c r="S1599" s="16" t="inlineStr">
        <is>
          <t>https://mstgolf.co.th/products/gf2500200946</t>
        </is>
      </c>
      <c r="T1599" s="1">
        <f>IF(B1599="ไม้กอล์ฟ",J1599,"")</f>
        <v/>
      </c>
    </row>
    <row r="1600">
      <c r="A1600" s="1" t="n">
        <v>2</v>
      </c>
      <c r="B1600" s="1" t="inlineStr">
        <is>
          <t>รองเท้า</t>
        </is>
      </c>
      <c r="C1600" s="1" t="inlineStr">
        <is>
          <t>gf2500102675</t>
        </is>
      </c>
      <c r="D1600" s="1" t="inlineStr">
        <is>
          <t>ADIDAS Tour360 BOA Men's Spiked Shoes (White/Black/Green)</t>
        </is>
      </c>
      <c r="E1600" s="1" t="inlineStr">
        <is>
          <t>ADIDAS</t>
        </is>
      </c>
      <c r="F1600" s="1" t="inlineStr">
        <is>
          <t>SPIKE SHOES</t>
        </is>
      </c>
      <c r="G1600" s="1" t="inlineStr">
        <is>
          <t>GF2500102675UK6.5</t>
        </is>
      </c>
      <c r="H1600" s="1" t="n">
        <v>12</v>
      </c>
      <c r="I1600" s="1" t="inlineStr">
        <is>
          <t>หมด</t>
        </is>
      </c>
      <c r="J1600" s="13" t="n">
        <v>149</v>
      </c>
      <c r="K1600" s="1" t="inlineStr"/>
      <c r="L1600" s="13" t="n">
        <v>149</v>
      </c>
      <c r="M1600" s="1">
        <f>IF(L1600="","ไม่พบใน SG",IF(ABS(J1600-L1600)&lt;0.005,"ตรงกัน","ไม่ตรง"))</f>
        <v/>
      </c>
      <c r="N1600" s="14">
        <f>IF(L1600="","",ROUND(L1600*'สรุป'!$C$6,-1))</f>
        <v/>
      </c>
      <c r="O1600" s="15" t="n"/>
      <c r="P1600" s="15" t="n"/>
      <c r="Q1600" s="10" t="n"/>
      <c r="R1600" s="10" t="n"/>
      <c r="S1600" s="16" t="inlineStr">
        <is>
          <t>https://mstgolf.co.th/products/gf2500102675</t>
        </is>
      </c>
      <c r="T1600" s="1">
        <f>IF(B1600="ไม้กอล์ฟ",J1600,"")</f>
        <v/>
      </c>
    </row>
    <row r="1601">
      <c r="A1601" s="1" t="n">
        <v>2</v>
      </c>
      <c r="B1601" s="1" t="inlineStr">
        <is>
          <t>รองเท้า</t>
        </is>
      </c>
      <c r="C1601" s="1" t="inlineStr">
        <is>
          <t>gf2500201204</t>
        </is>
      </c>
      <c r="D1601" s="1" t="inlineStr">
        <is>
          <t>FOOTJOY Traditions Natural Luxe Men's Spikeless Shoes (White/Tan/Grey)</t>
        </is>
      </c>
      <c r="E1601" s="1" t="inlineStr">
        <is>
          <t>FOOTJOY</t>
        </is>
      </c>
      <c r="F1601" s="1" t="inlineStr">
        <is>
          <t>SPIKELESS SHOES</t>
        </is>
      </c>
      <c r="G1601" s="1" t="inlineStr">
        <is>
          <t>GF2500201204US6.5</t>
        </is>
      </c>
      <c r="H1601" s="1" t="n">
        <v>8</v>
      </c>
      <c r="I1601" s="1" t="inlineStr">
        <is>
          <t>หมด</t>
        </is>
      </c>
      <c r="J1601" s="13" t="n">
        <v>149</v>
      </c>
      <c r="K1601" s="1" t="inlineStr"/>
      <c r="L1601" s="13" t="n"/>
      <c r="M1601" s="1">
        <f>IF(L1601="","ไม่พบใน SG",IF(ABS(J1601-L1601)&lt;0.005,"ตรงกัน","ไม่ตรง"))</f>
        <v/>
      </c>
      <c r="N1601" s="14">
        <f>IF(L1601="","",ROUND(L1601*'สรุป'!$C$6,-1))</f>
        <v/>
      </c>
      <c r="O1601" s="15" t="n"/>
      <c r="P1601" s="15" t="n"/>
      <c r="Q1601" s="10" t="n"/>
      <c r="R1601" s="10" t="n"/>
      <c r="S1601" s="16" t="inlineStr">
        <is>
          <t>https://mstgolf.co.th/products/gf2500201204</t>
        </is>
      </c>
      <c r="T1601" s="1">
        <f>IF(B1601="ไม้กอล์ฟ",J1601,"")</f>
        <v/>
      </c>
    </row>
    <row r="1602">
      <c r="A1602" s="1" t="n">
        <v>2</v>
      </c>
      <c r="B1602" s="1" t="inlineStr">
        <is>
          <t>รองเท้า</t>
        </is>
      </c>
      <c r="C1602" s="1" t="inlineStr">
        <is>
          <t>gf2500201060</t>
        </is>
      </c>
      <c r="D1602" s="1" t="inlineStr">
        <is>
          <t>GFORE G.112 P.U Men's Spikeless Shoes (Onyx)</t>
        </is>
      </c>
      <c r="E1602" s="1" t="inlineStr">
        <is>
          <t>GFORE</t>
        </is>
      </c>
      <c r="F1602" s="1" t="inlineStr">
        <is>
          <t>SPIKELESS SHOES</t>
        </is>
      </c>
      <c r="G1602" s="1" t="inlineStr">
        <is>
          <t>GF2500201060US7</t>
        </is>
      </c>
      <c r="H1602" s="1" t="n">
        <v>10</v>
      </c>
      <c r="I1602" s="1" t="inlineStr">
        <is>
          <t>หมด</t>
        </is>
      </c>
      <c r="J1602" s="13" t="n">
        <v>149</v>
      </c>
      <c r="K1602" s="1" t="inlineStr"/>
      <c r="L1602" s="13" t="n">
        <v>149</v>
      </c>
      <c r="M1602" s="1">
        <f>IF(L1602="","ไม่พบใน SG",IF(ABS(J1602-L1602)&lt;0.005,"ตรงกัน","ไม่ตรง"))</f>
        <v/>
      </c>
      <c r="N1602" s="14">
        <f>IF(L1602="","",ROUND(L1602*'สรุป'!$C$6,-1))</f>
        <v/>
      </c>
      <c r="O1602" s="15" t="n"/>
      <c r="P1602" s="15" t="n"/>
      <c r="Q1602" s="10" t="n"/>
      <c r="R1602" s="10" t="n"/>
      <c r="S1602" s="16" t="inlineStr">
        <is>
          <t>https://mstgolf.co.th/products/gf2500201060</t>
        </is>
      </c>
      <c r="T1602" s="1">
        <f>IF(B1602="ไม้กอล์ฟ",J1602,"")</f>
        <v/>
      </c>
    </row>
    <row r="1603">
      <c r="A1603" s="1" t="n">
        <v>2</v>
      </c>
      <c r="B1603" s="1" t="inlineStr">
        <is>
          <t>ถุงกอล์ฟ</t>
        </is>
      </c>
      <c r="C1603" s="1" t="inlineStr">
        <is>
          <t>gf3000102840</t>
        </is>
      </c>
      <c r="D1603" s="1" t="inlineStr">
        <is>
          <t>LE COQ SPORTIF GOLF 9.5" Caddie Bag (Navy)</t>
        </is>
      </c>
      <c r="E1603" s="1" t="inlineStr">
        <is>
          <t>LE COQ SPORTIF GOLF</t>
        </is>
      </c>
      <c r="F1603" s="1" t="inlineStr">
        <is>
          <t>CADDIE/CART BAG</t>
        </is>
      </c>
      <c r="G1603" s="1" t="inlineStr">
        <is>
          <t>GF3000102840</t>
        </is>
      </c>
      <c r="H1603" s="1" t="n">
        <v>1</v>
      </c>
      <c r="I1603" s="1" t="inlineStr">
        <is>
          <t>หมด</t>
        </is>
      </c>
      <c r="J1603" s="13" t="n">
        <v>149</v>
      </c>
      <c r="K1603" s="1" t="inlineStr"/>
      <c r="L1603" s="13" t="n">
        <v>149</v>
      </c>
      <c r="M1603" s="1">
        <f>IF(L1603="","ไม่พบใน SG",IF(ABS(J1603-L1603)&lt;0.005,"ตรงกัน","ไม่ตรง"))</f>
        <v/>
      </c>
      <c r="N1603" s="14">
        <f>IF(L1603="","",ROUND(L1603*'สรุป'!$C$6,-1))</f>
        <v/>
      </c>
      <c r="O1603" s="15" t="n"/>
      <c r="P1603" s="15" t="n"/>
      <c r="Q1603" s="10" t="n"/>
      <c r="R1603" s="10" t="n"/>
      <c r="S1603" s="16" t="inlineStr">
        <is>
          <t>https://mstgolf.co.th/products/gf3000102840</t>
        </is>
      </c>
      <c r="T1603" s="1">
        <f>IF(B1603="ไม้กอล์ฟ",J1603,"")</f>
        <v/>
      </c>
    </row>
    <row r="1604">
      <c r="A1604" s="1" t="n">
        <v>2</v>
      </c>
      <c r="B1604" s="1" t="inlineStr">
        <is>
          <t>ถุงกอล์ฟ</t>
        </is>
      </c>
      <c r="C1604" s="1" t="inlineStr">
        <is>
          <t>gf3010101065</t>
        </is>
      </c>
      <c r="D1604" s="1" t="inlineStr">
        <is>
          <t>ONOFF OV0722 Women's Boston Bag (Pink)</t>
        </is>
      </c>
      <c r="E1604" s="1" t="inlineStr">
        <is>
          <t>ONOFF</t>
        </is>
      </c>
      <c r="F1604" s="1" t="inlineStr">
        <is>
          <t>BOSTON/DUFFLE BAG</t>
        </is>
      </c>
      <c r="G1604" s="1" t="inlineStr">
        <is>
          <t>GF3010101065</t>
        </is>
      </c>
      <c r="H1604" s="1" t="n">
        <v>1</v>
      </c>
      <c r="I1604" s="1" t="inlineStr">
        <is>
          <t>หมด</t>
        </is>
      </c>
      <c r="J1604" s="13" t="n">
        <v>149</v>
      </c>
      <c r="K1604" s="1" t="inlineStr"/>
      <c r="L1604" s="13" t="n">
        <v>149</v>
      </c>
      <c r="M1604" s="1">
        <f>IF(L1604="","ไม่พบใน SG",IF(ABS(J1604-L1604)&lt;0.005,"ตรงกัน","ไม่ตรง"))</f>
        <v/>
      </c>
      <c r="N1604" s="14">
        <f>IF(L1604="","",ROUND(L1604*'สรุป'!$C$6,-1))</f>
        <v/>
      </c>
      <c r="O1604" s="15" t="n"/>
      <c r="P1604" s="15" t="n"/>
      <c r="Q1604" s="10" t="n"/>
      <c r="R1604" s="10" t="n"/>
      <c r="S1604" s="16" t="inlineStr">
        <is>
          <t>https://mstgolf.co.th/products/gf3010101065</t>
        </is>
      </c>
      <c r="T1604" s="1">
        <f>IF(B1604="ไม้กอล์ฟ",J1604,"")</f>
        <v/>
      </c>
    </row>
    <row r="1605">
      <c r="A1605" s="1" t="n">
        <v>2</v>
      </c>
      <c r="B1605" s="1" t="inlineStr">
        <is>
          <t>รองเท้า</t>
        </is>
      </c>
      <c r="C1605" s="1" t="inlineStr">
        <is>
          <t>gf2500201041</t>
        </is>
      </c>
      <c r="D1605" s="1" t="inlineStr">
        <is>
          <t>PUMA ALPHACAT Nitro Lace Men's Spikeless Shoes (White/Green/Pink)</t>
        </is>
      </c>
      <c r="E1605" s="1" t="inlineStr">
        <is>
          <t>PUMA</t>
        </is>
      </c>
      <c r="F1605" s="1" t="inlineStr">
        <is>
          <t>SPIKELESS SHOES</t>
        </is>
      </c>
      <c r="G1605" s="1" t="inlineStr">
        <is>
          <t>GF2500201041UK6.5</t>
        </is>
      </c>
      <c r="H1605" s="1" t="n">
        <v>11</v>
      </c>
      <c r="I1605" s="1" t="inlineStr">
        <is>
          <t>หมด</t>
        </is>
      </c>
      <c r="J1605" s="13" t="n">
        <v>149</v>
      </c>
      <c r="K1605" s="1" t="inlineStr"/>
      <c r="L1605" s="13" t="n">
        <v>149</v>
      </c>
      <c r="M1605" s="1">
        <f>IF(L1605="","ไม่พบใน SG",IF(ABS(J1605-L1605)&lt;0.005,"ตรงกัน","ไม่ตรง"))</f>
        <v/>
      </c>
      <c r="N1605" s="14">
        <f>IF(L1605="","",ROUND(L1605*'สรุป'!$C$6,-1))</f>
        <v/>
      </c>
      <c r="O1605" s="15" t="n"/>
      <c r="P1605" s="15" t="n"/>
      <c r="Q1605" s="10" t="n"/>
      <c r="R1605" s="10" t="n"/>
      <c r="S1605" s="16" t="inlineStr">
        <is>
          <t>https://mstgolf.co.th/products/gf2500201041</t>
        </is>
      </c>
      <c r="T1605" s="1">
        <f>IF(B1605="ไม้กอล์ฟ",J1605,"")</f>
        <v/>
      </c>
    </row>
    <row r="1606">
      <c r="A1606" s="1" t="n">
        <v>2</v>
      </c>
      <c r="B1606" s="1" t="inlineStr">
        <is>
          <t>รองเท้า</t>
        </is>
      </c>
      <c r="C1606" s="1" t="inlineStr">
        <is>
          <t>gf2500201337</t>
        </is>
      </c>
      <c r="D1606" s="1" t="inlineStr">
        <is>
          <t>PUMA Fusion Grip 6 BOA Men's Spikeless Shoes (Grey)</t>
        </is>
      </c>
      <c r="E1606" s="1" t="inlineStr">
        <is>
          <t>PUMA</t>
        </is>
      </c>
      <c r="F1606" s="1" t="inlineStr">
        <is>
          <t>SPIKELESS SHOES</t>
        </is>
      </c>
      <c r="G1606" s="1" t="inlineStr">
        <is>
          <t>GF2500201337UK6</t>
        </is>
      </c>
      <c r="H1606" s="1" t="n">
        <v>13</v>
      </c>
      <c r="I1606" s="1" t="inlineStr">
        <is>
          <t>หมด</t>
        </is>
      </c>
      <c r="J1606" s="13" t="n">
        <v>149</v>
      </c>
      <c r="K1606" s="1" t="inlineStr"/>
      <c r="L1606" s="13" t="n"/>
      <c r="M1606" s="1">
        <f>IF(L1606="","ไม่พบใน SG",IF(ABS(J1606-L1606)&lt;0.005,"ตรงกัน","ไม่ตรง"))</f>
        <v/>
      </c>
      <c r="N1606" s="14">
        <f>IF(L1606="","",ROUND(L1606*'สรุป'!$C$6,-1))</f>
        <v/>
      </c>
      <c r="O1606" s="15" t="n"/>
      <c r="P1606" s="15" t="n"/>
      <c r="Q1606" s="10" t="n"/>
      <c r="R1606" s="10" t="n"/>
      <c r="S1606" s="16" t="inlineStr">
        <is>
          <t>https://mstgolf.co.th/products/gf2500201337</t>
        </is>
      </c>
      <c r="T1606" s="1">
        <f>IF(B1606="ไม้กอล์ฟ",J1606,"")</f>
        <v/>
      </c>
    </row>
    <row r="1607">
      <c r="A1607" s="1" t="n">
        <v>2</v>
      </c>
      <c r="B1607" s="1" t="inlineStr">
        <is>
          <t>ถุงกอล์ฟ</t>
        </is>
      </c>
      <c r="C1607" s="1" t="inlineStr">
        <is>
          <t>gf3010401109</t>
        </is>
      </c>
      <c r="D1607" s="1" t="inlineStr">
        <is>
          <t>WAAC Men's Pouch (Black)</t>
        </is>
      </c>
      <c r="E1607" s="1" t="inlineStr">
        <is>
          <t>WAAC</t>
        </is>
      </c>
      <c r="F1607" s="1" t="inlineStr">
        <is>
          <t>SMALL BAG</t>
        </is>
      </c>
      <c r="G1607" s="1" t="inlineStr">
        <is>
          <t>GF3010401109</t>
        </is>
      </c>
      <c r="H1607" s="1" t="n">
        <v>1</v>
      </c>
      <c r="I1607" s="1" t="inlineStr">
        <is>
          <t>หมด</t>
        </is>
      </c>
      <c r="J1607" s="13" t="n">
        <v>149</v>
      </c>
      <c r="K1607" s="1" t="inlineStr"/>
      <c r="L1607" s="13" t="n"/>
      <c r="M1607" s="1">
        <f>IF(L1607="","ไม่พบใน SG",IF(ABS(J1607-L1607)&lt;0.005,"ตรงกัน","ไม่ตรง"))</f>
        <v/>
      </c>
      <c r="N1607" s="14">
        <f>IF(L1607="","",ROUND(L1607*'สรุป'!$C$6,-1))</f>
        <v/>
      </c>
      <c r="O1607" s="15" t="n"/>
      <c r="P1607" s="15" t="n"/>
      <c r="Q1607" s="10" t="n"/>
      <c r="R1607" s="10" t="n"/>
      <c r="S1607" s="16" t="inlineStr">
        <is>
          <t>https://mstgolf.co.th/products/gf3010401109</t>
        </is>
      </c>
      <c r="T1607" s="1">
        <f>IF(B1607="ไม้กอล์ฟ",J1607,"")</f>
        <v/>
      </c>
    </row>
    <row r="1608">
      <c r="A1608" s="1" t="n">
        <v>2</v>
      </c>
      <c r="B1608" s="1" t="inlineStr">
        <is>
          <t>ถุงกอล์ฟ</t>
        </is>
      </c>
      <c r="C1608" s="1" t="inlineStr">
        <is>
          <t>gf3010401110</t>
        </is>
      </c>
      <c r="D1608" s="1" t="inlineStr">
        <is>
          <t>WAAC Women's Tote Bag (Beige)</t>
        </is>
      </c>
      <c r="E1608" s="1" t="inlineStr">
        <is>
          <t>WAAC</t>
        </is>
      </c>
      <c r="F1608" s="1" t="inlineStr">
        <is>
          <t>SMALL BAG</t>
        </is>
      </c>
      <c r="G1608" s="1" t="inlineStr">
        <is>
          <t>GF3010401110</t>
        </is>
      </c>
      <c r="H1608" s="1" t="n">
        <v>1</v>
      </c>
      <c r="I1608" s="1" t="inlineStr">
        <is>
          <t>หมด</t>
        </is>
      </c>
      <c r="J1608" s="13" t="n">
        <v>149</v>
      </c>
      <c r="K1608" s="1" t="inlineStr"/>
      <c r="L1608" s="13" t="n">
        <v>149</v>
      </c>
      <c r="M1608" s="1">
        <f>IF(L1608="","ไม่พบใน SG",IF(ABS(J1608-L1608)&lt;0.005,"ตรงกัน","ไม่ตรง"))</f>
        <v/>
      </c>
      <c r="N1608" s="14">
        <f>IF(L1608="","",ROUND(L1608*'สรุป'!$C$6,-1))</f>
        <v/>
      </c>
      <c r="O1608" s="15" t="n"/>
      <c r="P1608" s="15" t="n"/>
      <c r="Q1608" s="10" t="n"/>
      <c r="R1608" s="10" t="n"/>
      <c r="S1608" s="16" t="inlineStr">
        <is>
          <t>https://mstgolf.co.th/products/gf3010401110</t>
        </is>
      </c>
      <c r="T1608" s="1">
        <f>IF(B1608="ไม้กอล์ฟ",J1608,"")</f>
        <v/>
      </c>
    </row>
    <row r="1609">
      <c r="A1609" s="1" t="n">
        <v>2</v>
      </c>
      <c r="B1609" s="1" t="inlineStr">
        <is>
          <t>ถุงกอล์ฟ</t>
        </is>
      </c>
      <c r="C1609" s="1" t="inlineStr">
        <is>
          <t>gf3010401111</t>
        </is>
      </c>
      <c r="D1609" s="1" t="inlineStr">
        <is>
          <t>WAAC Women's Tote Bag (Red)</t>
        </is>
      </c>
      <c r="E1609" s="1" t="inlineStr">
        <is>
          <t>WAAC</t>
        </is>
      </c>
      <c r="F1609" s="1" t="inlineStr">
        <is>
          <t>SMALL BAG</t>
        </is>
      </c>
      <c r="G1609" s="1" t="inlineStr">
        <is>
          <t>GF3010401111</t>
        </is>
      </c>
      <c r="H1609" s="1" t="n">
        <v>1</v>
      </c>
      <c r="I1609" s="1" t="inlineStr">
        <is>
          <t>หมด</t>
        </is>
      </c>
      <c r="J1609" s="13" t="n">
        <v>149</v>
      </c>
      <c r="K1609" s="1" t="inlineStr"/>
      <c r="L1609" s="13" t="n">
        <v>149</v>
      </c>
      <c r="M1609" s="1">
        <f>IF(L1609="","ไม่พบใน SG",IF(ABS(J1609-L1609)&lt;0.005,"ตรงกัน","ไม่ตรง"))</f>
        <v/>
      </c>
      <c r="N1609" s="14">
        <f>IF(L1609="","",ROUND(L1609*'สรุป'!$C$6,-1))</f>
        <v/>
      </c>
      <c r="O1609" s="15" t="n"/>
      <c r="P1609" s="15" t="n"/>
      <c r="Q1609" s="10" t="n"/>
      <c r="R1609" s="10" t="n"/>
      <c r="S1609" s="16" t="inlineStr">
        <is>
          <t>https://mstgolf.co.th/products/gf3010401111</t>
        </is>
      </c>
      <c r="T1609" s="1">
        <f>IF(B1609="ไม้กอล์ฟ",J1609,"")</f>
        <v/>
      </c>
    </row>
    <row r="1610">
      <c r="A1610" s="1" t="n">
        <v>2</v>
      </c>
      <c r="B1610" s="1" t="inlineStr">
        <is>
          <t>รองเท้า</t>
        </is>
      </c>
      <c r="C1610" s="1" t="inlineStr">
        <is>
          <t>gf2500200195</t>
        </is>
      </c>
      <c r="D1610" s="1" t="inlineStr">
        <is>
          <t>UNDER ARMOUR Performance SL Women's Spikeless Shoes (White/Blue)</t>
        </is>
      </c>
      <c r="E1610" s="1" t="inlineStr">
        <is>
          <t>UNDER ARMOUR</t>
        </is>
      </c>
      <c r="F1610" s="1" t="inlineStr">
        <is>
          <t>SPIKELESS SHOES</t>
        </is>
      </c>
      <c r="G1610" s="1" t="inlineStr">
        <is>
          <t>GF2500200195US5.5</t>
        </is>
      </c>
      <c r="H1610" s="1" t="n">
        <v>7</v>
      </c>
      <c r="I1610" s="1" t="inlineStr">
        <is>
          <t>หมด</t>
        </is>
      </c>
      <c r="J1610" s="13" t="n">
        <v>145</v>
      </c>
      <c r="K1610" s="1" t="inlineStr"/>
      <c r="L1610" s="13" t="n"/>
      <c r="M1610" s="1">
        <f>IF(L1610="","ไม่พบใน SG",IF(ABS(J1610-L1610)&lt;0.005,"ตรงกัน","ไม่ตรง"))</f>
        <v/>
      </c>
      <c r="N1610" s="14">
        <f>IF(L1610="","",ROUND(L1610*'สรุป'!$C$6,-1))</f>
        <v/>
      </c>
      <c r="O1610" s="15" t="n"/>
      <c r="P1610" s="15" t="n"/>
      <c r="Q1610" s="10" t="n"/>
      <c r="R1610" s="10" t="n"/>
      <c r="S1610" s="16" t="inlineStr">
        <is>
          <t>https://mstgolf.co.th/products/gf2500200195</t>
        </is>
      </c>
      <c r="T1610" s="1">
        <f>IF(B1610="ไม้กอล์ฟ",J1610,"")</f>
        <v/>
      </c>
    </row>
    <row r="1611">
      <c r="A1611" s="1" t="n">
        <v>2</v>
      </c>
      <c r="B1611" s="1" t="inlineStr">
        <is>
          <t>อุปกรณ์ฝึกซ้อม</t>
        </is>
      </c>
      <c r="C1611" s="1" t="inlineStr">
        <is>
          <t>gf3040100100</t>
        </is>
      </c>
      <c r="D1611" s="1" t="inlineStr">
        <is>
          <t>GENERAL ITEM Barudan Practise Golf Net (Black)</t>
        </is>
      </c>
      <c r="E1611" s="1" t="inlineStr">
        <is>
          <t>GENERAL ITEM</t>
        </is>
      </c>
      <c r="F1611" s="1" t="inlineStr">
        <is>
          <t>SWING</t>
        </is>
      </c>
      <c r="G1611" s="1" t="inlineStr">
        <is>
          <t>GF3040100100</t>
        </is>
      </c>
      <c r="H1611" s="1" t="n">
        <v>1</v>
      </c>
      <c r="I1611" s="1" t="inlineStr">
        <is>
          <t>หมด</t>
        </is>
      </c>
      <c r="J1611" s="13" t="n">
        <v>139</v>
      </c>
      <c r="K1611" s="1" t="inlineStr"/>
      <c r="L1611" s="13" t="n">
        <v>139</v>
      </c>
      <c r="M1611" s="1">
        <f>IF(L1611="","ไม่พบใน SG",IF(ABS(J1611-L1611)&lt;0.005,"ตรงกัน","ไม่ตรง"))</f>
        <v/>
      </c>
      <c r="N1611" s="14">
        <f>IF(L1611="","",ROUND(L1611*'สรุป'!$C$6,-1))</f>
        <v/>
      </c>
      <c r="O1611" s="15" t="n"/>
      <c r="P1611" s="15" t="n"/>
      <c r="Q1611" s="10" t="n"/>
      <c r="R1611" s="10" t="n"/>
      <c r="S1611" s="16" t="inlineStr">
        <is>
          <t>https://mstgolf.co.th/products/gf3040100100</t>
        </is>
      </c>
      <c r="T1611" s="1">
        <f>IF(B1611="ไม้กอล์ฟ",J1611,"")</f>
        <v/>
      </c>
    </row>
    <row r="1612">
      <c r="A1612" s="1" t="n">
        <v>2</v>
      </c>
      <c r="B1612" s="1" t="inlineStr">
        <is>
          <t>รองเท้า</t>
        </is>
      </c>
      <c r="C1612" s="1" t="inlineStr">
        <is>
          <t>gf2500201192</t>
        </is>
      </c>
      <c r="D1612" s="1" t="inlineStr">
        <is>
          <t>PUMA Fusion Men's Spikeless Shoes (Black/Lime)</t>
        </is>
      </c>
      <c r="E1612" s="1" t="inlineStr">
        <is>
          <t>PUMA</t>
        </is>
      </c>
      <c r="F1612" s="1" t="inlineStr">
        <is>
          <t>SPIKELESS SHOES</t>
        </is>
      </c>
      <c r="G1612" s="1" t="inlineStr">
        <is>
          <t>GF2500201192UK6.5</t>
        </is>
      </c>
      <c r="H1612" s="1" t="n">
        <v>11</v>
      </c>
      <c r="I1612" s="1" t="inlineStr">
        <is>
          <t>หมด</t>
        </is>
      </c>
      <c r="J1612" s="13" t="n">
        <v>139</v>
      </c>
      <c r="K1612" s="1" t="inlineStr"/>
      <c r="L1612" s="13" t="n">
        <v>97</v>
      </c>
      <c r="M1612" s="1">
        <f>IF(L1612="","ไม่พบใน SG",IF(ABS(J1612-L1612)&lt;0.005,"ตรงกัน","ไม่ตรง"))</f>
        <v/>
      </c>
      <c r="N1612" s="14">
        <f>IF(L1612="","",ROUND(L1612*'สรุป'!$C$6,-1))</f>
        <v/>
      </c>
      <c r="O1612" s="15" t="n"/>
      <c r="P1612" s="15" t="n"/>
      <c r="Q1612" s="10" t="n"/>
      <c r="R1612" s="10" t="n"/>
      <c r="S1612" s="16" t="inlineStr">
        <is>
          <t>https://mstgolf.co.th/products/gf2500201192</t>
        </is>
      </c>
      <c r="T1612" s="1">
        <f>IF(B1612="ไม้กอล์ฟ",J1612,"")</f>
        <v/>
      </c>
    </row>
    <row r="1613">
      <c r="A1613" s="1" t="n">
        <v>2</v>
      </c>
      <c r="B1613" s="1" t="inlineStr">
        <is>
          <t>รองเท้า</t>
        </is>
      </c>
      <c r="C1613" s="1" t="inlineStr">
        <is>
          <t>gf2500102555</t>
        </is>
      </c>
      <c r="D1613" s="1" t="inlineStr">
        <is>
          <t>PUMA IGNITE Articulate Disc Men's Spiked Shoes (White/Silver)</t>
        </is>
      </c>
      <c r="E1613" s="1" t="inlineStr">
        <is>
          <t>PUMA</t>
        </is>
      </c>
      <c r="F1613" s="1" t="inlineStr">
        <is>
          <t>SPIKE SHOES</t>
        </is>
      </c>
      <c r="G1613" s="1" t="inlineStr">
        <is>
          <t>GF2500102555UK6.5</t>
        </is>
      </c>
      <c r="H1613" s="1" t="n">
        <v>11</v>
      </c>
      <c r="I1613" s="1" t="inlineStr">
        <is>
          <t>หมด</t>
        </is>
      </c>
      <c r="J1613" s="13" t="n">
        <v>139</v>
      </c>
      <c r="K1613" s="1" t="inlineStr"/>
      <c r="L1613" s="13" t="n">
        <v>139</v>
      </c>
      <c r="M1613" s="1">
        <f>IF(L1613="","ไม่พบใน SG",IF(ABS(J1613-L1613)&lt;0.005,"ตรงกัน","ไม่ตรง"))</f>
        <v/>
      </c>
      <c r="N1613" s="14">
        <f>IF(L1613="","",ROUND(L1613*'สรุป'!$C$6,-1))</f>
        <v/>
      </c>
      <c r="O1613" s="15" t="n"/>
      <c r="P1613" s="15" t="n"/>
      <c r="Q1613" s="10" t="n"/>
      <c r="R1613" s="10" t="n"/>
      <c r="S1613" s="16" t="inlineStr">
        <is>
          <t>https://mstgolf.co.th/products/gf2500102555</t>
        </is>
      </c>
      <c r="T1613" s="1">
        <f>IF(B1613="ไม้กอล์ฟ",J1613,"")</f>
        <v/>
      </c>
    </row>
    <row r="1614">
      <c r="A1614" s="1" t="n">
        <v>2</v>
      </c>
      <c r="B1614" s="1" t="inlineStr">
        <is>
          <t>ถุงกอล์ฟ</t>
        </is>
      </c>
      <c r="C1614" s="1" t="inlineStr">
        <is>
          <t>gf3000102553</t>
        </is>
      </c>
      <c r="D1614" s="1" t="inlineStr">
        <is>
          <t>TAYLORMADE 8.5" Slim Cart Bag (White)</t>
        </is>
      </c>
      <c r="E1614" s="1" t="inlineStr">
        <is>
          <t>TAYLORMADE</t>
        </is>
      </c>
      <c r="F1614" s="1" t="inlineStr">
        <is>
          <t>CADDIE/CART BAG</t>
        </is>
      </c>
      <c r="G1614" s="1" t="inlineStr">
        <is>
          <t>GF3000102553</t>
        </is>
      </c>
      <c r="H1614" s="1" t="n">
        <v>1</v>
      </c>
      <c r="I1614" s="1" t="inlineStr">
        <is>
          <t>หมด</t>
        </is>
      </c>
      <c r="J1614" s="13" t="n">
        <v>139</v>
      </c>
      <c r="K1614" s="1" t="inlineStr"/>
      <c r="L1614" s="13" t="n">
        <v>139</v>
      </c>
      <c r="M1614" s="1">
        <f>IF(L1614="","ไม่พบใน SG",IF(ABS(J1614-L1614)&lt;0.005,"ตรงกัน","ไม่ตรง"))</f>
        <v/>
      </c>
      <c r="N1614" s="14">
        <f>IF(L1614="","",ROUND(L1614*'สรุป'!$C$6,-1))</f>
        <v/>
      </c>
      <c r="O1614" s="15" t="n"/>
      <c r="P1614" s="15" t="n"/>
      <c r="Q1614" s="10" t="n"/>
      <c r="R1614" s="10" t="n"/>
      <c r="S1614" s="16" t="inlineStr">
        <is>
          <t>https://mstgolf.co.th/products/gf3000102553</t>
        </is>
      </c>
      <c r="T1614" s="1">
        <f>IF(B1614="ไม้กอล์ฟ",J1614,"")</f>
        <v/>
      </c>
    </row>
    <row r="1615">
      <c r="A1615" s="1" t="n">
        <v>2</v>
      </c>
      <c r="B1615" s="1" t="inlineStr">
        <is>
          <t>ถุงกอล์ฟ</t>
        </is>
      </c>
      <c r="C1615" s="1" t="inlineStr">
        <is>
          <t>gf3010401122</t>
        </is>
      </c>
      <c r="D1615" s="1" t="inlineStr">
        <is>
          <t>TITLEIST Elite Lite StaDry Pouch (Black/Black/Red)</t>
        </is>
      </c>
      <c r="E1615" s="1" t="inlineStr">
        <is>
          <t>TITLEIST</t>
        </is>
      </c>
      <c r="F1615" s="1" t="inlineStr">
        <is>
          <t>SMALL BAG</t>
        </is>
      </c>
      <c r="G1615" s="1" t="inlineStr">
        <is>
          <t>GF3010401122</t>
        </is>
      </c>
      <c r="H1615" s="1" t="n">
        <v>1</v>
      </c>
      <c r="I1615" s="1" t="inlineStr">
        <is>
          <t>หมด</t>
        </is>
      </c>
      <c r="J1615" s="13" t="n">
        <v>135</v>
      </c>
      <c r="K1615" s="1" t="inlineStr"/>
      <c r="L1615" s="13" t="n">
        <v>135</v>
      </c>
      <c r="M1615" s="1">
        <f>IF(L1615="","ไม่พบใน SG",IF(ABS(J1615-L1615)&lt;0.005,"ตรงกัน","ไม่ตรง"))</f>
        <v/>
      </c>
      <c r="N1615" s="14">
        <f>IF(L1615="","",ROUND(L1615*'สรุป'!$C$6,-1))</f>
        <v/>
      </c>
      <c r="O1615" s="15" t="n"/>
      <c r="P1615" s="15" t="n"/>
      <c r="Q1615" s="10" t="n"/>
      <c r="R1615" s="10" t="n"/>
      <c r="S1615" s="16" t="inlineStr">
        <is>
          <t>https://mstgolf.co.th/products/gf3010401122</t>
        </is>
      </c>
      <c r="T1615" s="1">
        <f>IF(B1615="ไม้กอล์ฟ",J1615,"")</f>
        <v/>
      </c>
    </row>
    <row r="1616">
      <c r="A1616" s="1" t="n">
        <v>2</v>
      </c>
      <c r="B1616" s="1" t="inlineStr">
        <is>
          <t>รองเท้า</t>
        </is>
      </c>
      <c r="C1616" s="1" t="inlineStr">
        <is>
          <t>gf2500200772</t>
        </is>
      </c>
      <c r="D1616" s="1" t="inlineStr">
        <is>
          <t>ADIDAS Tour360 Infinity BOA Women's Spikeless Shoes (White/Pink)</t>
        </is>
      </c>
      <c r="E1616" s="1" t="inlineStr">
        <is>
          <t>ADIDAS</t>
        </is>
      </c>
      <c r="F1616" s="1" t="inlineStr">
        <is>
          <t>SPIKELESS SHOES</t>
        </is>
      </c>
      <c r="G1616" s="1" t="inlineStr">
        <is>
          <t>GF2500200772UK4.5</t>
        </is>
      </c>
      <c r="H1616" s="1" t="n">
        <v>8</v>
      </c>
      <c r="I1616" s="1" t="inlineStr">
        <is>
          <t>หมด</t>
        </is>
      </c>
      <c r="J1616" s="13" t="n">
        <v>129</v>
      </c>
      <c r="K1616" s="1" t="inlineStr"/>
      <c r="L1616" s="13" t="n"/>
      <c r="M1616" s="1">
        <f>IF(L1616="","ไม่พบใน SG",IF(ABS(J1616-L1616)&lt;0.005,"ตรงกัน","ไม่ตรง"))</f>
        <v/>
      </c>
      <c r="N1616" s="14">
        <f>IF(L1616="","",ROUND(L1616*'สรุป'!$C$6,-1))</f>
        <v/>
      </c>
      <c r="O1616" s="15" t="n"/>
      <c r="P1616" s="15" t="n"/>
      <c r="Q1616" s="10" t="n"/>
      <c r="R1616" s="10" t="n"/>
      <c r="S1616" s="16" t="inlineStr">
        <is>
          <t>https://mstgolf.co.th/products/gf2500200772</t>
        </is>
      </c>
      <c r="T1616" s="1">
        <f>IF(B1616="ไม้กอล์ฟ",J1616,"")</f>
        <v/>
      </c>
    </row>
    <row r="1617">
      <c r="A1617" s="1" t="n">
        <v>2</v>
      </c>
      <c r="B1617" s="1" t="inlineStr">
        <is>
          <t>รองเท้า</t>
        </is>
      </c>
      <c r="C1617" s="1" t="inlineStr">
        <is>
          <t>gf2500102681</t>
        </is>
      </c>
      <c r="D1617" s="1" t="inlineStr">
        <is>
          <t>ADIDAS Tour360 Men's Spiked Shoes (White/Black/Green)</t>
        </is>
      </c>
      <c r="E1617" s="1" t="inlineStr">
        <is>
          <t>ADIDAS</t>
        </is>
      </c>
      <c r="F1617" s="1" t="inlineStr">
        <is>
          <t>SPIKE SHOES</t>
        </is>
      </c>
      <c r="G1617" s="1" t="inlineStr">
        <is>
          <t>GF2500102681UK6.5</t>
        </is>
      </c>
      <c r="H1617" s="1" t="n">
        <v>12</v>
      </c>
      <c r="I1617" s="1" t="inlineStr">
        <is>
          <t>หมด</t>
        </is>
      </c>
      <c r="J1617" s="13" t="n">
        <v>129</v>
      </c>
      <c r="K1617" s="1" t="inlineStr"/>
      <c r="L1617" s="13" t="n">
        <v>129</v>
      </c>
      <c r="M1617" s="1">
        <f>IF(L1617="","ไม่พบใน SG",IF(ABS(J1617-L1617)&lt;0.005,"ตรงกัน","ไม่ตรง"))</f>
        <v/>
      </c>
      <c r="N1617" s="14">
        <f>IF(L1617="","",ROUND(L1617*'สรุป'!$C$6,-1))</f>
        <v/>
      </c>
      <c r="O1617" s="15" t="n"/>
      <c r="P1617" s="15" t="n"/>
      <c r="Q1617" s="10" t="n"/>
      <c r="R1617" s="10" t="n"/>
      <c r="S1617" s="16" t="inlineStr">
        <is>
          <t>https://mstgolf.co.th/products/gf2500102681</t>
        </is>
      </c>
      <c r="T1617" s="1">
        <f>IF(B1617="ไม้กอล์ฟ",J1617,"")</f>
        <v/>
      </c>
    </row>
    <row r="1618">
      <c r="A1618" s="1" t="n">
        <v>2</v>
      </c>
      <c r="B1618" s="1" t="inlineStr">
        <is>
          <t>รองเท้า</t>
        </is>
      </c>
      <c r="C1618" s="1" t="inlineStr">
        <is>
          <t>gf2500102561</t>
        </is>
      </c>
      <c r="D1618" s="1" t="inlineStr">
        <is>
          <t>ADIDAS ZG21 Motion Primegreen BOA Mid-Cut Men's Spiked Shoes (Grey/Mint)</t>
        </is>
      </c>
      <c r="E1618" s="1" t="inlineStr">
        <is>
          <t>ADIDAS</t>
        </is>
      </c>
      <c r="F1618" s="1" t="inlineStr">
        <is>
          <t>SPIKE SHOES</t>
        </is>
      </c>
      <c r="G1618" s="1" t="inlineStr">
        <is>
          <t>GF2500102561UK6.5</t>
        </is>
      </c>
      <c r="H1618" s="1" t="n">
        <v>10</v>
      </c>
      <c r="I1618" s="1" t="inlineStr">
        <is>
          <t>หมด</t>
        </is>
      </c>
      <c r="J1618" s="13" t="n">
        <v>129</v>
      </c>
      <c r="K1618" s="1" t="inlineStr"/>
      <c r="L1618" s="13" t="n"/>
      <c r="M1618" s="1">
        <f>IF(L1618="","ไม่พบใน SG",IF(ABS(J1618-L1618)&lt;0.005,"ตรงกัน","ไม่ตรง"))</f>
        <v/>
      </c>
      <c r="N1618" s="14">
        <f>IF(L1618="","",ROUND(L1618*'สรุป'!$C$6,-1))</f>
        <v/>
      </c>
      <c r="O1618" s="15" t="n"/>
      <c r="P1618" s="15" t="n"/>
      <c r="Q1618" s="10" t="n"/>
      <c r="R1618" s="10" t="n"/>
      <c r="S1618" s="16" t="inlineStr">
        <is>
          <t>https://mstgolf.co.th/products/gf2500102561</t>
        </is>
      </c>
      <c r="T1618" s="1">
        <f>IF(B1618="ไม้กอล์ฟ",J1618,"")</f>
        <v/>
      </c>
    </row>
    <row r="1619">
      <c r="A1619" s="1" t="n">
        <v>2</v>
      </c>
      <c r="B1619" s="1" t="inlineStr">
        <is>
          <t>รองเท้า</t>
        </is>
      </c>
      <c r="C1619" s="1" t="inlineStr">
        <is>
          <t>gf2500102524</t>
        </is>
      </c>
      <c r="D1619" s="1" t="inlineStr">
        <is>
          <t>FOOTJOY Traditions Men's Spiked Shoes (Grey)</t>
        </is>
      </c>
      <c r="E1619" s="1" t="inlineStr">
        <is>
          <t>FOOTJOY</t>
        </is>
      </c>
      <c r="F1619" s="1" t="inlineStr">
        <is>
          <t>SPIKE SHOES</t>
        </is>
      </c>
      <c r="G1619" s="1" t="inlineStr">
        <is>
          <t>GF2500102524US6.5</t>
        </is>
      </c>
      <c r="H1619" s="1" t="n">
        <v>10</v>
      </c>
      <c r="I1619" s="1" t="inlineStr">
        <is>
          <t>หมด</t>
        </is>
      </c>
      <c r="J1619" s="13" t="n">
        <v>129</v>
      </c>
      <c r="K1619" s="1" t="inlineStr"/>
      <c r="L1619" s="13" t="n"/>
      <c r="M1619" s="1">
        <f>IF(L1619="","ไม่พบใน SG",IF(ABS(J1619-L1619)&lt;0.005,"ตรงกัน","ไม่ตรง"))</f>
        <v/>
      </c>
      <c r="N1619" s="14">
        <f>IF(L1619="","",ROUND(L1619*'สรุป'!$C$6,-1))</f>
        <v/>
      </c>
      <c r="O1619" s="15" t="n"/>
      <c r="P1619" s="15" t="n"/>
      <c r="Q1619" s="10" t="n"/>
      <c r="R1619" s="10" t="n"/>
      <c r="S1619" s="16" t="inlineStr">
        <is>
          <t>https://mstgolf.co.th/products/gf2500102524</t>
        </is>
      </c>
      <c r="T1619" s="1">
        <f>IF(B1619="ไม้กอล์ฟ",J1619,"")</f>
        <v/>
      </c>
    </row>
    <row r="1620">
      <c r="A1620" s="1" t="n">
        <v>2</v>
      </c>
      <c r="B1620" s="1" t="inlineStr">
        <is>
          <t>รองเท้า</t>
        </is>
      </c>
      <c r="C1620" s="1" t="inlineStr">
        <is>
          <t>gf2500102523</t>
        </is>
      </c>
      <c r="D1620" s="1" t="inlineStr">
        <is>
          <t>FOOTJOY Traditions Men's Spiked Shoes (Navy)</t>
        </is>
      </c>
      <c r="E1620" s="1" t="inlineStr">
        <is>
          <t>FOOTJOY</t>
        </is>
      </c>
      <c r="F1620" s="1" t="inlineStr">
        <is>
          <t>SPIKE SHOES</t>
        </is>
      </c>
      <c r="G1620" s="1" t="inlineStr">
        <is>
          <t>GF2500102523US6.5</t>
        </is>
      </c>
      <c r="H1620" s="1" t="n">
        <v>10</v>
      </c>
      <c r="I1620" s="1" t="inlineStr">
        <is>
          <t>หมด</t>
        </is>
      </c>
      <c r="J1620" s="13" t="n">
        <v>129</v>
      </c>
      <c r="K1620" s="1" t="inlineStr"/>
      <c r="L1620" s="13" t="n"/>
      <c r="M1620" s="1">
        <f>IF(L1620="","ไม่พบใน SG",IF(ABS(J1620-L1620)&lt;0.005,"ตรงกัน","ไม่ตรง"))</f>
        <v/>
      </c>
      <c r="N1620" s="14">
        <f>IF(L1620="","",ROUND(L1620*'สรุป'!$C$6,-1))</f>
        <v/>
      </c>
      <c r="O1620" s="15" t="n"/>
      <c r="P1620" s="15" t="n"/>
      <c r="Q1620" s="10" t="n"/>
      <c r="R1620" s="10" t="n"/>
      <c r="S1620" s="16" t="inlineStr">
        <is>
          <t>https://mstgolf.co.th/products/gf2500102523</t>
        </is>
      </c>
      <c r="T1620" s="1">
        <f>IF(B1620="ไม้กอล์ฟ",J1620,"")</f>
        <v/>
      </c>
    </row>
    <row r="1621">
      <c r="A1621" s="1" t="n">
        <v>2</v>
      </c>
      <c r="B1621" s="1" t="inlineStr">
        <is>
          <t>รองเท้า</t>
        </is>
      </c>
      <c r="C1621" s="1" t="inlineStr">
        <is>
          <t>gf2500102522</t>
        </is>
      </c>
      <c r="D1621" s="1" t="inlineStr">
        <is>
          <t>FOOTJOY Traditions Men's Spiked Shoes (White)</t>
        </is>
      </c>
      <c r="E1621" s="1" t="inlineStr">
        <is>
          <t>FOOTJOY</t>
        </is>
      </c>
      <c r="F1621" s="1" t="inlineStr">
        <is>
          <t>SPIKE SHOES</t>
        </is>
      </c>
      <c r="G1621" s="1" t="inlineStr">
        <is>
          <t>GF2500102522US6.5</t>
        </is>
      </c>
      <c r="H1621" s="1" t="n">
        <v>10</v>
      </c>
      <c r="I1621" s="1" t="inlineStr">
        <is>
          <t>หมด</t>
        </is>
      </c>
      <c r="J1621" s="13" t="n">
        <v>129</v>
      </c>
      <c r="K1621" s="1" t="inlineStr"/>
      <c r="L1621" s="13" t="n"/>
      <c r="M1621" s="1">
        <f>IF(L1621="","ไม่พบใน SG",IF(ABS(J1621-L1621)&lt;0.005,"ตรงกัน","ไม่ตรง"))</f>
        <v/>
      </c>
      <c r="N1621" s="14">
        <f>IF(L1621="","",ROUND(L1621*'สรุป'!$C$6,-1))</f>
        <v/>
      </c>
      <c r="O1621" s="15" t="n"/>
      <c r="P1621" s="15" t="n"/>
      <c r="Q1621" s="10" t="n"/>
      <c r="R1621" s="10" t="n"/>
      <c r="S1621" s="16" t="inlineStr">
        <is>
          <t>https://mstgolf.co.th/products/gf2500102522</t>
        </is>
      </c>
      <c r="T1621" s="1">
        <f>IF(B1621="ไม้กอล์ฟ",J1621,"")</f>
        <v/>
      </c>
    </row>
    <row r="1622">
      <c r="A1622" s="1" t="n">
        <v>2</v>
      </c>
      <c r="B1622" s="1" t="inlineStr">
        <is>
          <t>รองเท้า</t>
        </is>
      </c>
      <c r="C1622" s="1" t="inlineStr">
        <is>
          <t>gf2500200861</t>
        </is>
      </c>
      <c r="D1622" s="1" t="inlineStr">
        <is>
          <t>NIKE Jordan ADG4 Men's Spikeless Shoes (Black/Grey)</t>
        </is>
      </c>
      <c r="E1622" s="1" t="inlineStr">
        <is>
          <t>NIKE</t>
        </is>
      </c>
      <c r="F1622" s="1" t="inlineStr">
        <is>
          <t>SPIKELESS SHOES</t>
        </is>
      </c>
      <c r="G1622" s="1" t="inlineStr">
        <is>
          <t>GF2500200861US7.5</t>
        </is>
      </c>
      <c r="H1622" s="1" t="n">
        <v>9</v>
      </c>
      <c r="I1622" s="1" t="inlineStr">
        <is>
          <t>หมด</t>
        </is>
      </c>
      <c r="J1622" s="13" t="n">
        <v>129</v>
      </c>
      <c r="K1622" s="1" t="inlineStr"/>
      <c r="L1622" s="13" t="n"/>
      <c r="M1622" s="1">
        <f>IF(L1622="","ไม่พบใน SG",IF(ABS(J1622-L1622)&lt;0.005,"ตรงกัน","ไม่ตรง"))</f>
        <v/>
      </c>
      <c r="N1622" s="14">
        <f>IF(L1622="","",ROUND(L1622*'สรุป'!$C$6,-1))</f>
        <v/>
      </c>
      <c r="O1622" s="15" t="n"/>
      <c r="P1622" s="15" t="n"/>
      <c r="Q1622" s="10" t="n"/>
      <c r="R1622" s="10" t="n"/>
      <c r="S1622" s="16" t="inlineStr">
        <is>
          <t>https://mstgolf.co.th/products/gf2500200861</t>
        </is>
      </c>
      <c r="T1622" s="1">
        <f>IF(B1622="ไม้กอล์ฟ",J1622,"")</f>
        <v/>
      </c>
    </row>
    <row r="1623">
      <c r="A1623" s="1" t="n">
        <v>2</v>
      </c>
      <c r="B1623" s="1" t="inlineStr">
        <is>
          <t>รองเท้า</t>
        </is>
      </c>
      <c r="C1623" s="1" t="inlineStr">
        <is>
          <t>gf2500201194</t>
        </is>
      </c>
      <c r="D1623" s="1" t="inlineStr">
        <is>
          <t>PUMA Avant Women's Spikeless Shoes (White/Navy)</t>
        </is>
      </c>
      <c r="E1623" s="1" t="inlineStr">
        <is>
          <t>PUMA</t>
        </is>
      </c>
      <c r="F1623" s="1" t="inlineStr">
        <is>
          <t>SPIKELESS SHOES</t>
        </is>
      </c>
      <c r="G1623" s="1" t="inlineStr">
        <is>
          <t>GF2500201194UK4</t>
        </is>
      </c>
      <c r="H1623" s="1" t="n">
        <v>9</v>
      </c>
      <c r="I1623" s="1" t="inlineStr">
        <is>
          <t>หมด</t>
        </is>
      </c>
      <c r="J1623" s="13" t="n">
        <v>129</v>
      </c>
      <c r="K1623" s="1" t="inlineStr"/>
      <c r="L1623" s="13" t="n">
        <v>129</v>
      </c>
      <c r="M1623" s="1">
        <f>IF(L1623="","ไม่พบใน SG",IF(ABS(J1623-L1623)&lt;0.005,"ตรงกัน","ไม่ตรง"))</f>
        <v/>
      </c>
      <c r="N1623" s="14">
        <f>IF(L1623="","",ROUND(L1623*'สรุป'!$C$6,-1))</f>
        <v/>
      </c>
      <c r="O1623" s="15" t="n"/>
      <c r="P1623" s="15" t="n"/>
      <c r="Q1623" s="10" t="n"/>
      <c r="R1623" s="10" t="n"/>
      <c r="S1623" s="16" t="inlineStr">
        <is>
          <t>https://mstgolf.co.th/products/gf2500201194</t>
        </is>
      </c>
      <c r="T1623" s="1">
        <f>IF(B1623="ไม้กอล์ฟ",J1623,"")</f>
        <v/>
      </c>
    </row>
    <row r="1624">
      <c r="A1624" s="1" t="n">
        <v>2</v>
      </c>
      <c r="B1624" s="1" t="inlineStr">
        <is>
          <t>ถุงกอล์ฟ</t>
        </is>
      </c>
      <c r="C1624" s="1" t="inlineStr">
        <is>
          <t>gf3010101182</t>
        </is>
      </c>
      <c r="D1624" s="1" t="inlineStr">
        <is>
          <t>TITLEIST Players Duffle Bag (Navy)</t>
        </is>
      </c>
      <c r="E1624" s="1" t="inlineStr">
        <is>
          <t>TITLEIST</t>
        </is>
      </c>
      <c r="F1624" s="1" t="inlineStr">
        <is>
          <t>BOSTON/DUFFLE BAG</t>
        </is>
      </c>
      <c r="G1624" s="1" t="inlineStr">
        <is>
          <t>GF3010101182</t>
        </is>
      </c>
      <c r="H1624" s="1" t="n">
        <v>1</v>
      </c>
      <c r="I1624" s="1" t="inlineStr">
        <is>
          <t>หมด</t>
        </is>
      </c>
      <c r="J1624" s="13" t="n">
        <v>129</v>
      </c>
      <c r="K1624" s="1" t="inlineStr"/>
      <c r="L1624" s="13" t="n">
        <v>129</v>
      </c>
      <c r="M1624" s="1">
        <f>IF(L1624="","ไม่พบใน SG",IF(ABS(J1624-L1624)&lt;0.005,"ตรงกัน","ไม่ตรง"))</f>
        <v/>
      </c>
      <c r="N1624" s="14">
        <f>IF(L1624="","",ROUND(L1624*'สรุป'!$C$6,-1))</f>
        <v/>
      </c>
      <c r="O1624" s="15" t="n"/>
      <c r="P1624" s="15" t="n"/>
      <c r="Q1624" s="10" t="n"/>
      <c r="R1624" s="10" t="n"/>
      <c r="S1624" s="16" t="inlineStr">
        <is>
          <t>https://mstgolf.co.th/products/gf3010101182</t>
        </is>
      </c>
      <c r="T1624" s="1">
        <f>IF(B1624="ไม้กอล์ฟ",J1624,"")</f>
        <v/>
      </c>
    </row>
    <row r="1625">
      <c r="A1625" s="1" t="n">
        <v>2</v>
      </c>
      <c r="B1625" s="1" t="inlineStr">
        <is>
          <t>รองเท้า</t>
        </is>
      </c>
      <c r="C1625" s="1" t="inlineStr">
        <is>
          <t>gf2500200822</t>
        </is>
      </c>
      <c r="D1625" s="1" t="inlineStr">
        <is>
          <t>UNDER ARMOUR HOVR Drive Men's Spikeless Shoes (Black/Grey)</t>
        </is>
      </c>
      <c r="E1625" s="1" t="inlineStr">
        <is>
          <t>UNDER ARMOUR</t>
        </is>
      </c>
      <c r="F1625" s="1" t="inlineStr">
        <is>
          <t>SPIKELESS SHOES</t>
        </is>
      </c>
      <c r="G1625" s="1" t="inlineStr">
        <is>
          <t>GF2500200822US7</t>
        </is>
      </c>
      <c r="H1625" s="1" t="n">
        <v>8</v>
      </c>
      <c r="I1625" s="1" t="inlineStr">
        <is>
          <t>หมด</t>
        </is>
      </c>
      <c r="J1625" s="13" t="n">
        <v>129</v>
      </c>
      <c r="K1625" s="1" t="inlineStr"/>
      <c r="L1625" s="13" t="n"/>
      <c r="M1625" s="1">
        <f>IF(L1625="","ไม่พบใน SG",IF(ABS(J1625-L1625)&lt;0.005,"ตรงกัน","ไม่ตรง"))</f>
        <v/>
      </c>
      <c r="N1625" s="14">
        <f>IF(L1625="","",ROUND(L1625*'สรุป'!$C$6,-1))</f>
        <v/>
      </c>
      <c r="O1625" s="15" t="n"/>
      <c r="P1625" s="15" t="n"/>
      <c r="Q1625" s="10" t="n"/>
      <c r="R1625" s="10" t="n"/>
      <c r="S1625" s="16" t="inlineStr">
        <is>
          <t>https://mstgolf.co.th/products/gf2500200822</t>
        </is>
      </c>
      <c r="T1625" s="1">
        <f>IF(B1625="ไม้กอล์ฟ",J1625,"")</f>
        <v/>
      </c>
    </row>
    <row r="1626">
      <c r="A1626" s="1" t="n">
        <v>2</v>
      </c>
      <c r="B1626" s="1" t="inlineStr">
        <is>
          <t>รองเท้า</t>
        </is>
      </c>
      <c r="C1626" s="1" t="inlineStr">
        <is>
          <t>gf2500200823</t>
        </is>
      </c>
      <c r="D1626" s="1" t="inlineStr">
        <is>
          <t>UNDER ARMOUR HOVR Drive Men's Spikeless Shoes (White/Grey)</t>
        </is>
      </c>
      <c r="E1626" s="1" t="inlineStr">
        <is>
          <t>UNDER ARMOUR</t>
        </is>
      </c>
      <c r="F1626" s="1" t="inlineStr">
        <is>
          <t>SPIKELESS SHOES</t>
        </is>
      </c>
      <c r="G1626" s="1" t="inlineStr">
        <is>
          <t>GF2500200823US7</t>
        </is>
      </c>
      <c r="H1626" s="1" t="n">
        <v>8</v>
      </c>
      <c r="I1626" s="1" t="inlineStr">
        <is>
          <t>หมด</t>
        </is>
      </c>
      <c r="J1626" s="13" t="n">
        <v>129</v>
      </c>
      <c r="K1626" s="1" t="inlineStr"/>
      <c r="L1626" s="13" t="n"/>
      <c r="M1626" s="1">
        <f>IF(L1626="","ไม่พบใน SG",IF(ABS(J1626-L1626)&lt;0.005,"ตรงกัน","ไม่ตรง"))</f>
        <v/>
      </c>
      <c r="N1626" s="14">
        <f>IF(L1626="","",ROUND(L1626*'สรุป'!$C$6,-1))</f>
        <v/>
      </c>
      <c r="O1626" s="15" t="n"/>
      <c r="P1626" s="15" t="n"/>
      <c r="Q1626" s="10" t="n"/>
      <c r="R1626" s="10" t="n"/>
      <c r="S1626" s="16" t="inlineStr">
        <is>
          <t>https://mstgolf.co.th/products/gf2500200823</t>
        </is>
      </c>
      <c r="T1626" s="1">
        <f>IF(B1626="ไม้กอล์ฟ",J1626,"")</f>
        <v/>
      </c>
    </row>
    <row r="1627">
      <c r="A1627" s="1" t="n">
        <v>2</v>
      </c>
      <c r="B1627" s="1" t="inlineStr">
        <is>
          <t>รองเท้า</t>
        </is>
      </c>
      <c r="C1627" s="1" t="inlineStr">
        <is>
          <t>gf2500102048</t>
        </is>
      </c>
      <c r="D1627" s="1" t="inlineStr">
        <is>
          <t>UNDER ARMOUR Tempo Sport Men's Spiked Shoes (Black/Graphite/White)</t>
        </is>
      </c>
      <c r="E1627" s="1" t="inlineStr">
        <is>
          <t>UNDER ARMOUR</t>
        </is>
      </c>
      <c r="F1627" s="1" t="inlineStr">
        <is>
          <t>SPIKE SHOES</t>
        </is>
      </c>
      <c r="G1627" s="1" t="inlineStr">
        <is>
          <t>GF2500102048US7</t>
        </is>
      </c>
      <c r="H1627" s="1" t="n">
        <v>10</v>
      </c>
      <c r="I1627" s="1" t="inlineStr">
        <is>
          <t>หมด</t>
        </is>
      </c>
      <c r="J1627" s="13" t="n">
        <v>129</v>
      </c>
      <c r="K1627" s="1" t="inlineStr"/>
      <c r="L1627" s="13" t="n"/>
      <c r="M1627" s="1">
        <f>IF(L1627="","ไม่พบใน SG",IF(ABS(J1627-L1627)&lt;0.005,"ตรงกัน","ไม่ตรง"))</f>
        <v/>
      </c>
      <c r="N1627" s="14">
        <f>IF(L1627="","",ROUND(L1627*'สรุป'!$C$6,-1))</f>
        <v/>
      </c>
      <c r="O1627" s="15" t="n"/>
      <c r="P1627" s="15" t="n"/>
      <c r="Q1627" s="10" t="n"/>
      <c r="R1627" s="10" t="n"/>
      <c r="S1627" s="16" t="inlineStr">
        <is>
          <t>https://mstgolf.co.th/products/gf2500102048</t>
        </is>
      </c>
      <c r="T1627" s="1">
        <f>IF(B1627="ไม้กอล์ฟ",J1627,"")</f>
        <v/>
      </c>
    </row>
    <row r="1628">
      <c r="A1628" s="1" t="n">
        <v>2</v>
      </c>
      <c r="B1628" s="1" t="inlineStr">
        <is>
          <t>รองเท้า</t>
        </is>
      </c>
      <c r="C1628" s="1" t="inlineStr">
        <is>
          <t>gf2500102049</t>
        </is>
      </c>
      <c r="D1628" s="1" t="inlineStr">
        <is>
          <t>UNDER ARMOUR Tempo Sport Men's Spiked Shoes (White/Silver/Black)</t>
        </is>
      </c>
      <c r="E1628" s="1" t="inlineStr">
        <is>
          <t>UNDER ARMOUR</t>
        </is>
      </c>
      <c r="F1628" s="1" t="inlineStr">
        <is>
          <t>SPIKE SHOES</t>
        </is>
      </c>
      <c r="G1628" s="1" t="inlineStr">
        <is>
          <t>GF2500102049US7</t>
        </is>
      </c>
      <c r="H1628" s="1" t="n">
        <v>10</v>
      </c>
      <c r="I1628" s="1" t="inlineStr">
        <is>
          <t>หมด</t>
        </is>
      </c>
      <c r="J1628" s="13" t="n">
        <v>129</v>
      </c>
      <c r="K1628" s="1" t="inlineStr"/>
      <c r="L1628" s="13" t="n"/>
      <c r="M1628" s="1">
        <f>IF(L1628="","ไม่พบใน SG",IF(ABS(J1628-L1628)&lt;0.005,"ตรงกัน","ไม่ตรง"))</f>
        <v/>
      </c>
      <c r="N1628" s="14">
        <f>IF(L1628="","",ROUND(L1628*'สรุป'!$C$6,-1))</f>
        <v/>
      </c>
      <c r="O1628" s="15" t="n"/>
      <c r="P1628" s="15" t="n"/>
      <c r="Q1628" s="10" t="n"/>
      <c r="R1628" s="10" t="n"/>
      <c r="S1628" s="16" t="inlineStr">
        <is>
          <t>https://mstgolf.co.th/products/gf2500102049</t>
        </is>
      </c>
      <c r="T1628" s="1">
        <f>IF(B1628="ไม้กอล์ฟ",J1628,"")</f>
        <v/>
      </c>
    </row>
    <row r="1629">
      <c r="A1629" s="1" t="n">
        <v>2</v>
      </c>
      <c r="B1629" s="1" t="inlineStr">
        <is>
          <t>รองเท้า</t>
        </is>
      </c>
      <c r="C1629" s="1" t="inlineStr">
        <is>
          <t>gf2500102595</t>
        </is>
      </c>
      <c r="D1629" s="1" t="inlineStr">
        <is>
          <t>ADIDAS TOUR 360 22 Men's Spiked Shoes (Black/Black/Grey)</t>
        </is>
      </c>
      <c r="E1629" s="1" t="inlineStr">
        <is>
          <t>ADIDAS</t>
        </is>
      </c>
      <c r="F1629" s="1" t="inlineStr">
        <is>
          <t>SPIKELESS SHOES</t>
        </is>
      </c>
      <c r="G1629" s="1" t="inlineStr">
        <is>
          <t>GF2500102595UK7</t>
        </is>
      </c>
      <c r="H1629" s="1" t="n">
        <v>11</v>
      </c>
      <c r="I1629" s="1" t="inlineStr">
        <is>
          <t>หมด</t>
        </is>
      </c>
      <c r="J1629" s="13" t="n">
        <v>125</v>
      </c>
      <c r="K1629" s="1" t="inlineStr"/>
      <c r="L1629" s="13" t="n"/>
      <c r="M1629" s="1">
        <f>IF(L1629="","ไม่พบใน SG",IF(ABS(J1629-L1629)&lt;0.005,"ตรงกัน","ไม่ตรง"))</f>
        <v/>
      </c>
      <c r="N1629" s="14">
        <f>IF(L1629="","",ROUND(L1629*'สรุป'!$C$6,-1))</f>
        <v/>
      </c>
      <c r="O1629" s="15" t="n"/>
      <c r="P1629" s="15" t="n"/>
      <c r="Q1629" s="10" t="n"/>
      <c r="R1629" s="10" t="n"/>
      <c r="S1629" s="16" t="inlineStr">
        <is>
          <t>https://mstgolf.co.th/products/gf2500102595</t>
        </is>
      </c>
      <c r="T1629" s="1">
        <f>IF(B1629="ไม้กอล์ฟ",J1629,"")</f>
        <v/>
      </c>
    </row>
    <row r="1630">
      <c r="A1630" s="1" t="n">
        <v>2</v>
      </c>
      <c r="B1630" s="1" t="inlineStr">
        <is>
          <t>รองเท้า</t>
        </is>
      </c>
      <c r="C1630" s="1" t="inlineStr">
        <is>
          <t>gf2500200773</t>
        </is>
      </c>
      <c r="D1630" s="1" t="inlineStr">
        <is>
          <t>ADIDAS Tour360 22 Men's Spikeless Shoes (White/Black)</t>
        </is>
      </c>
      <c r="E1630" s="1" t="inlineStr">
        <is>
          <t>ADIDAS</t>
        </is>
      </c>
      <c r="F1630" s="1" t="inlineStr">
        <is>
          <t>SPIKELESS SHOES</t>
        </is>
      </c>
      <c r="G1630" s="1" t="inlineStr">
        <is>
          <t>GF2500200773UK6.5</t>
        </is>
      </c>
      <c r="H1630" s="1" t="n">
        <v>11</v>
      </c>
      <c r="I1630" s="1" t="inlineStr">
        <is>
          <t>หมด</t>
        </is>
      </c>
      <c r="J1630" s="13" t="n">
        <v>125</v>
      </c>
      <c r="K1630" s="1" t="inlineStr"/>
      <c r="L1630" s="13" t="n"/>
      <c r="M1630" s="1">
        <f>IF(L1630="","ไม่พบใน SG",IF(ABS(J1630-L1630)&lt;0.005,"ตรงกัน","ไม่ตรง"))</f>
        <v/>
      </c>
      <c r="N1630" s="14">
        <f>IF(L1630="","",ROUND(L1630*'สรุป'!$C$6,-1))</f>
        <v/>
      </c>
      <c r="O1630" s="15" t="n"/>
      <c r="P1630" s="15" t="n"/>
      <c r="Q1630" s="10" t="n"/>
      <c r="R1630" s="10" t="n"/>
      <c r="S1630" s="16" t="inlineStr">
        <is>
          <t>https://mstgolf.co.th/products/gf2500200773</t>
        </is>
      </c>
      <c r="T1630" s="1">
        <f>IF(B1630="ไม้กอล์ฟ",J1630,"")</f>
        <v/>
      </c>
    </row>
    <row r="1631">
      <c r="A1631" s="1" t="n">
        <v>2</v>
      </c>
      <c r="B1631" s="1" t="inlineStr">
        <is>
          <t>รองเท้า</t>
        </is>
      </c>
      <c r="C1631" s="1" t="inlineStr">
        <is>
          <t>gf2500201008</t>
        </is>
      </c>
      <c r="D1631" s="1" t="inlineStr">
        <is>
          <t>ADIDAS Adicross Lo Golf Lace Spikeless Shoe (White/Silver)</t>
        </is>
      </c>
      <c r="E1631" s="1" t="inlineStr">
        <is>
          <t>ADIDAS</t>
        </is>
      </c>
      <c r="F1631" s="1" t="inlineStr">
        <is>
          <t>SPIKELESS SHOES</t>
        </is>
      </c>
      <c r="G1631" s="1" t="inlineStr">
        <is>
          <t>GF2500201008UK5.5</t>
        </is>
      </c>
      <c r="H1631" s="1" t="n">
        <v>12</v>
      </c>
      <c r="I1631" s="1" t="inlineStr">
        <is>
          <t>หมด</t>
        </is>
      </c>
      <c r="J1631" s="13" t="n">
        <v>119</v>
      </c>
      <c r="K1631" s="1" t="inlineStr"/>
      <c r="L1631" s="13" t="n"/>
      <c r="M1631" s="1">
        <f>IF(L1631="","ไม่พบใน SG",IF(ABS(J1631-L1631)&lt;0.005,"ตรงกัน","ไม่ตรง"))</f>
        <v/>
      </c>
      <c r="N1631" s="14">
        <f>IF(L1631="","",ROUND(L1631*'สรุป'!$C$6,-1))</f>
        <v/>
      </c>
      <c r="O1631" s="15" t="n"/>
      <c r="P1631" s="15" t="n"/>
      <c r="Q1631" s="10" t="n"/>
      <c r="R1631" s="10" t="n"/>
      <c r="S1631" s="16" t="inlineStr">
        <is>
          <t>https://mstgolf.co.th/products/gf2500201008</t>
        </is>
      </c>
      <c r="T1631" s="1">
        <f>IF(B1631="ไม้กอล์ฟ",J1631,"")</f>
        <v/>
      </c>
    </row>
    <row r="1632">
      <c r="A1632" s="1" t="n">
        <v>2</v>
      </c>
      <c r="B1632" s="1" t="inlineStr">
        <is>
          <t>รองเท้า</t>
        </is>
      </c>
      <c r="C1632" s="1" t="inlineStr">
        <is>
          <t>gf2500201250</t>
        </is>
      </c>
      <c r="D1632" s="1" t="inlineStr">
        <is>
          <t>ASICS Gel-Preshot Classic 4 Men's Spikeless Shoes (Blue/White)</t>
        </is>
      </c>
      <c r="E1632" s="1" t="inlineStr">
        <is>
          <t>ASICS</t>
        </is>
      </c>
      <c r="F1632" s="1" t="inlineStr">
        <is>
          <t>SPIKELESS SHOES</t>
        </is>
      </c>
      <c r="G1632" s="1" t="inlineStr">
        <is>
          <t>GF2500201250US5.5</t>
        </is>
      </c>
      <c r="H1632" s="1" t="n">
        <v>13</v>
      </c>
      <c r="I1632" s="1" t="inlineStr">
        <is>
          <t>หมด</t>
        </is>
      </c>
      <c r="J1632" s="13" t="n">
        <v>119</v>
      </c>
      <c r="K1632" s="1" t="inlineStr"/>
      <c r="L1632" s="13" t="n"/>
      <c r="M1632" s="1">
        <f>IF(L1632="","ไม่พบใน SG",IF(ABS(J1632-L1632)&lt;0.005,"ตรงกัน","ไม่ตรง"))</f>
        <v/>
      </c>
      <c r="N1632" s="14">
        <f>IF(L1632="","",ROUND(L1632*'สรุป'!$C$6,-1))</f>
        <v/>
      </c>
      <c r="O1632" s="15" t="n"/>
      <c r="P1632" s="15" t="n"/>
      <c r="Q1632" s="10" t="n"/>
      <c r="R1632" s="10" t="n"/>
      <c r="S1632" s="16" t="inlineStr">
        <is>
          <t>https://mstgolf.co.th/products/gf2500201250</t>
        </is>
      </c>
      <c r="T1632" s="1">
        <f>IF(B1632="ไม้กอล์ฟ",J1632,"")</f>
        <v/>
      </c>
    </row>
    <row r="1633">
      <c r="A1633" s="1" t="n">
        <v>2</v>
      </c>
      <c r="B1633" s="1" t="inlineStr">
        <is>
          <t>ถุงกอล์ฟ</t>
        </is>
      </c>
      <c r="C1633" s="1" t="inlineStr">
        <is>
          <t>gf3010400931</t>
        </is>
      </c>
      <c r="D1633" s="1" t="inlineStr">
        <is>
          <t>MAJESTY 2-Zipper Pouch (Beige)</t>
        </is>
      </c>
      <c r="E1633" s="1" t="inlineStr">
        <is>
          <t>MAJESTY</t>
        </is>
      </c>
      <c r="F1633" s="1" t="inlineStr">
        <is>
          <t>SMALL BAG</t>
        </is>
      </c>
      <c r="G1633" s="1" t="inlineStr">
        <is>
          <t>GF3010400931</t>
        </is>
      </c>
      <c r="H1633" s="1" t="n">
        <v>1</v>
      </c>
      <c r="I1633" s="1" t="inlineStr">
        <is>
          <t>หมด</t>
        </is>
      </c>
      <c r="J1633" s="13" t="n">
        <v>119</v>
      </c>
      <c r="K1633" s="1" t="inlineStr"/>
      <c r="L1633" s="13" t="n">
        <v>119</v>
      </c>
      <c r="M1633" s="1">
        <f>IF(L1633="","ไม่พบใน SG",IF(ABS(J1633-L1633)&lt;0.005,"ตรงกัน","ไม่ตรง"))</f>
        <v/>
      </c>
      <c r="N1633" s="14">
        <f>IF(L1633="","",ROUND(L1633*'สรุป'!$C$6,-1))</f>
        <v/>
      </c>
      <c r="O1633" s="15" t="n"/>
      <c r="P1633" s="15" t="n"/>
      <c r="Q1633" s="10" t="n"/>
      <c r="R1633" s="10" t="n"/>
      <c r="S1633" s="16" t="inlineStr">
        <is>
          <t>https://mstgolf.co.th/products/gf3010400931</t>
        </is>
      </c>
      <c r="T1633" s="1">
        <f>IF(B1633="ไม้กอล์ฟ",J1633,"")</f>
        <v/>
      </c>
    </row>
    <row r="1634">
      <c r="A1634" s="1" t="n">
        <v>2</v>
      </c>
      <c r="B1634" s="1" t="inlineStr">
        <is>
          <t>รองเท้า</t>
        </is>
      </c>
      <c r="C1634" s="1" t="inlineStr">
        <is>
          <t>gf2500102610</t>
        </is>
      </c>
      <c r="D1634" s="1" t="inlineStr">
        <is>
          <t>NIKE Air Zoom Infinity Tour Men's Spiked Shoes (Black/White/Blue)</t>
        </is>
      </c>
      <c r="E1634" s="1" t="inlineStr">
        <is>
          <t>NIKE</t>
        </is>
      </c>
      <c r="F1634" s="1" t="inlineStr">
        <is>
          <t>SPIKE SHOES</t>
        </is>
      </c>
      <c r="G1634" s="1" t="inlineStr">
        <is>
          <t>GF2500102610US7.5</t>
        </is>
      </c>
      <c r="H1634" s="1" t="n">
        <v>9</v>
      </c>
      <c r="I1634" s="1" t="inlineStr">
        <is>
          <t>หมด</t>
        </is>
      </c>
      <c r="J1634" s="13" t="n">
        <v>119</v>
      </c>
      <c r="K1634" s="1" t="inlineStr"/>
      <c r="L1634" s="13" t="n"/>
      <c r="M1634" s="1">
        <f>IF(L1634="","ไม่พบใน SG",IF(ABS(J1634-L1634)&lt;0.005,"ตรงกัน","ไม่ตรง"))</f>
        <v/>
      </c>
      <c r="N1634" s="14">
        <f>IF(L1634="","",ROUND(L1634*'สรุป'!$C$6,-1))</f>
        <v/>
      </c>
      <c r="O1634" s="15" t="n"/>
      <c r="P1634" s="15" t="n"/>
      <c r="Q1634" s="10" t="n"/>
      <c r="R1634" s="10" t="n"/>
      <c r="S1634" s="16" t="inlineStr">
        <is>
          <t>https://mstgolf.co.th/products/gf2500102610</t>
        </is>
      </c>
      <c r="T1634" s="1">
        <f>IF(B1634="ไม้กอล์ฟ",J1634,"")</f>
        <v/>
      </c>
    </row>
    <row r="1635">
      <c r="A1635" s="1" t="n">
        <v>2</v>
      </c>
      <c r="B1635" s="1" t="inlineStr">
        <is>
          <t>รองเท้า</t>
        </is>
      </c>
      <c r="C1635" s="1" t="inlineStr">
        <is>
          <t>gf2500201254</t>
        </is>
      </c>
      <c r="D1635" s="1" t="inlineStr">
        <is>
          <t>NIKE Infinity G Men's Spikeless Shoes (White/Red/Black)</t>
        </is>
      </c>
      <c r="E1635" s="1" t="inlineStr">
        <is>
          <t>NIKE</t>
        </is>
      </c>
      <c r="F1635" s="1" t="inlineStr">
        <is>
          <t>SPIKELESS SHOES</t>
        </is>
      </c>
      <c r="G1635" s="1" t="inlineStr">
        <is>
          <t>GF2500201254US5.5</t>
        </is>
      </c>
      <c r="H1635" s="1" t="n">
        <v>18</v>
      </c>
      <c r="I1635" s="1" t="inlineStr">
        <is>
          <t>หมด</t>
        </is>
      </c>
      <c r="J1635" s="13" t="n">
        <v>119</v>
      </c>
      <c r="K1635" s="1" t="inlineStr"/>
      <c r="L1635" s="13" t="n"/>
      <c r="M1635" s="1">
        <f>IF(L1635="","ไม่พบใน SG",IF(ABS(J1635-L1635)&lt;0.005,"ตรงกัน","ไม่ตรง"))</f>
        <v/>
      </c>
      <c r="N1635" s="14">
        <f>IF(L1635="","",ROUND(L1635*'สรุป'!$C$6,-1))</f>
        <v/>
      </c>
      <c r="O1635" s="15" t="n"/>
      <c r="P1635" s="15" t="n"/>
      <c r="Q1635" s="10" t="n"/>
      <c r="R1635" s="10" t="n"/>
      <c r="S1635" s="16" t="inlineStr">
        <is>
          <t>https://mstgolf.co.th/products/gf2500201254</t>
        </is>
      </c>
      <c r="T1635" s="1">
        <f>IF(B1635="ไม้กอล์ฟ",J1635,"")</f>
        <v/>
      </c>
    </row>
    <row r="1636">
      <c r="A1636" s="1" t="n">
        <v>2</v>
      </c>
      <c r="B1636" s="1" t="inlineStr">
        <is>
          <t>อุปกรณ์ฝึกซ้อม</t>
        </is>
      </c>
      <c r="C1636" s="1" t="inlineStr">
        <is>
          <t>gf3040100114</t>
        </is>
      </c>
      <c r="D1636" s="1" t="inlineStr">
        <is>
          <t>SKLZ Swing Guide Trainer</t>
        </is>
      </c>
      <c r="E1636" s="1" t="inlineStr">
        <is>
          <t>SKLZ</t>
        </is>
      </c>
      <c r="F1636" s="1" t="inlineStr">
        <is>
          <t>SWING</t>
        </is>
      </c>
      <c r="G1636" s="1" t="inlineStr">
        <is>
          <t>GF3040100114</t>
        </is>
      </c>
      <c r="H1636" s="1" t="n">
        <v>1</v>
      </c>
      <c r="I1636" s="1" t="inlineStr">
        <is>
          <t>หมด</t>
        </is>
      </c>
      <c r="J1636" s="13" t="n">
        <v>119</v>
      </c>
      <c r="K1636" s="1" t="inlineStr"/>
      <c r="L1636" s="13" t="n">
        <v>119</v>
      </c>
      <c r="M1636" s="1">
        <f>IF(L1636="","ไม่พบใน SG",IF(ABS(J1636-L1636)&lt;0.005,"ตรงกัน","ไม่ตรง"))</f>
        <v/>
      </c>
      <c r="N1636" s="14">
        <f>IF(L1636="","",ROUND(L1636*'สรุป'!$C$6,-1))</f>
        <v/>
      </c>
      <c r="O1636" s="15" t="n"/>
      <c r="P1636" s="15" t="n"/>
      <c r="Q1636" s="10" t="n"/>
      <c r="R1636" s="10" t="n"/>
      <c r="S1636" s="16" t="inlineStr">
        <is>
          <t>https://mstgolf.co.th/products/gf3040100114</t>
        </is>
      </c>
      <c r="T1636" s="1">
        <f>IF(B1636="ไม้กอล์ฟ",J1636,"")</f>
        <v/>
      </c>
    </row>
    <row r="1637">
      <c r="A1637" s="1" t="n">
        <v>2</v>
      </c>
      <c r="B1637" s="1" t="inlineStr">
        <is>
          <t>รองเท้า</t>
        </is>
      </c>
      <c r="C1637" s="1" t="inlineStr">
        <is>
          <t>gf2500201221</t>
        </is>
      </c>
      <c r="D1637" s="1" t="inlineStr">
        <is>
          <t>ADIDAS CodeChaos BOA Men's Spikeless Shoes (White/Green/Pink)</t>
        </is>
      </c>
      <c r="E1637" s="1" t="inlineStr">
        <is>
          <t>ADIDAS</t>
        </is>
      </c>
      <c r="F1637" s="1" t="inlineStr">
        <is>
          <t>SPIKELESS SHOES</t>
        </is>
      </c>
      <c r="G1637" s="1" t="inlineStr">
        <is>
          <t>GF2500201221UK6.5</t>
        </is>
      </c>
      <c r="H1637" s="1" t="n">
        <v>12</v>
      </c>
      <c r="I1637" s="1" t="inlineStr">
        <is>
          <t>หมด</t>
        </is>
      </c>
      <c r="J1637" s="13" t="n">
        <v>115</v>
      </c>
      <c r="K1637" s="1" t="inlineStr"/>
      <c r="L1637" s="13" t="n">
        <v>115</v>
      </c>
      <c r="M1637" s="1">
        <f>IF(L1637="","ไม่พบใน SG",IF(ABS(J1637-L1637)&lt;0.005,"ตรงกัน","ไม่ตรง"))</f>
        <v/>
      </c>
      <c r="N1637" s="14">
        <f>IF(L1637="","",ROUND(L1637*'สรุป'!$C$6,-1))</f>
        <v/>
      </c>
      <c r="O1637" s="15" t="n"/>
      <c r="P1637" s="15" t="n"/>
      <c r="Q1637" s="10" t="n"/>
      <c r="R1637" s="10" t="n"/>
      <c r="S1637" s="16" t="inlineStr">
        <is>
          <t>https://mstgolf.co.th/products/gf2500201221</t>
        </is>
      </c>
      <c r="T1637" s="1">
        <f>IF(B1637="ไม้กอล์ฟ",J1637,"")</f>
        <v/>
      </c>
    </row>
    <row r="1638">
      <c r="A1638" s="1" t="n">
        <v>2</v>
      </c>
      <c r="B1638" s="1" t="inlineStr">
        <is>
          <t>รองเท้า</t>
        </is>
      </c>
      <c r="C1638" s="1" t="inlineStr">
        <is>
          <t>gf2500200992</t>
        </is>
      </c>
      <c r="D1638" s="1" t="inlineStr">
        <is>
          <t>ADIDAS MC 80 Laced Spikeless Shoes (White/Lemon/Silver)</t>
        </is>
      </c>
      <c r="E1638" s="1" t="inlineStr">
        <is>
          <t>ADIDAS</t>
        </is>
      </c>
      <c r="F1638" s="1" t="inlineStr">
        <is>
          <t>SPIKELESS SHOES</t>
        </is>
      </c>
      <c r="G1638" s="1" t="inlineStr">
        <is>
          <t>GF2500200992UK5.5</t>
        </is>
      </c>
      <c r="H1638" s="1" t="n">
        <v>12</v>
      </c>
      <c r="I1638" s="1" t="inlineStr">
        <is>
          <t>หมด</t>
        </is>
      </c>
      <c r="J1638" s="13" t="n">
        <v>115</v>
      </c>
      <c r="K1638" s="1" t="inlineStr"/>
      <c r="L1638" s="13" t="n"/>
      <c r="M1638" s="1">
        <f>IF(L1638="","ไม่พบใน SG",IF(ABS(J1638-L1638)&lt;0.005,"ตรงกัน","ไม่ตรง"))</f>
        <v/>
      </c>
      <c r="N1638" s="14">
        <f>IF(L1638="","",ROUND(L1638*'สรุป'!$C$6,-1))</f>
        <v/>
      </c>
      <c r="O1638" s="15" t="n"/>
      <c r="P1638" s="15" t="n"/>
      <c r="Q1638" s="10" t="n"/>
      <c r="R1638" s="10" t="n"/>
      <c r="S1638" s="16" t="inlineStr">
        <is>
          <t>https://mstgolf.co.th/products/gf2500200992</t>
        </is>
      </c>
      <c r="T1638" s="1">
        <f>IF(B1638="ไม้กอล์ฟ",J1638,"")</f>
        <v/>
      </c>
    </row>
    <row r="1639">
      <c r="A1639" s="1" t="n">
        <v>2</v>
      </c>
      <c r="B1639" s="1" t="inlineStr">
        <is>
          <t>รองเท้า</t>
        </is>
      </c>
      <c r="C1639" s="1" t="inlineStr">
        <is>
          <t>gf2500102654</t>
        </is>
      </c>
      <c r="D1639" s="1" t="inlineStr">
        <is>
          <t>ADIDAS ZG23 Vent Women's Spiked Shoes (Grey/White/Silver)</t>
        </is>
      </c>
      <c r="E1639" s="1" t="inlineStr">
        <is>
          <t>ADIDAS</t>
        </is>
      </c>
      <c r="F1639" s="1" t="inlineStr">
        <is>
          <t>SPIKE SHOES</t>
        </is>
      </c>
      <c r="G1639" s="1" t="inlineStr">
        <is>
          <t>GF2500102654UK5</t>
        </is>
      </c>
      <c r="H1639" s="1" t="n">
        <v>6</v>
      </c>
      <c r="I1639" s="1" t="inlineStr">
        <is>
          <t>หมด</t>
        </is>
      </c>
      <c r="J1639" s="13" t="n">
        <v>115</v>
      </c>
      <c r="K1639" s="1" t="inlineStr"/>
      <c r="L1639" s="13" t="n"/>
      <c r="M1639" s="1">
        <f>IF(L1639="","ไม่พบใน SG",IF(ABS(J1639-L1639)&lt;0.005,"ตรงกัน","ไม่ตรง"))</f>
        <v/>
      </c>
      <c r="N1639" s="14">
        <f>IF(L1639="","",ROUND(L1639*'สรุป'!$C$6,-1))</f>
        <v/>
      </c>
      <c r="O1639" s="15" t="n"/>
      <c r="P1639" s="15" t="n"/>
      <c r="Q1639" s="10" t="n"/>
      <c r="R1639" s="10" t="n"/>
      <c r="S1639" s="16" t="inlineStr">
        <is>
          <t>https://mstgolf.co.th/products/gf2500102654</t>
        </is>
      </c>
      <c r="T1639" s="1">
        <f>IF(B1639="ไม้กอล์ฟ",J1639,"")</f>
        <v/>
      </c>
    </row>
    <row r="1640">
      <c r="A1640" s="1" t="n">
        <v>2</v>
      </c>
      <c r="B1640" s="1" t="inlineStr">
        <is>
          <t>ถุงกอล์ฟ</t>
        </is>
      </c>
      <c r="C1640" s="1" t="inlineStr">
        <is>
          <t>gf3000300388</t>
        </is>
      </c>
      <c r="D1640" s="1" t="inlineStr">
        <is>
          <t>ONOFF Stiff Club Case (Grey)</t>
        </is>
      </c>
      <c r="E1640" s="1" t="inlineStr">
        <is>
          <t>ONOFF</t>
        </is>
      </c>
      <c r="F1640" s="1" t="inlineStr">
        <is>
          <t>RANGE BAG</t>
        </is>
      </c>
      <c r="G1640" s="1" t="inlineStr">
        <is>
          <t>GF3000300388</t>
        </is>
      </c>
      <c r="H1640" s="1" t="n">
        <v>1</v>
      </c>
      <c r="I1640" s="1" t="inlineStr">
        <is>
          <t>หมด</t>
        </is>
      </c>
      <c r="J1640" s="13" t="n">
        <v>115</v>
      </c>
      <c r="K1640" s="1" t="inlineStr"/>
      <c r="L1640" s="13" t="n">
        <v>115</v>
      </c>
      <c r="M1640" s="1">
        <f>IF(L1640="","ไม่พบใน SG",IF(ABS(J1640-L1640)&lt;0.005,"ตรงกัน","ไม่ตรง"))</f>
        <v/>
      </c>
      <c r="N1640" s="14">
        <f>IF(L1640="","",ROUND(L1640*'สรุป'!$C$6,-1))</f>
        <v/>
      </c>
      <c r="O1640" s="15" t="n"/>
      <c r="P1640" s="15" t="n"/>
      <c r="Q1640" s="10" t="n"/>
      <c r="R1640" s="10" t="n"/>
      <c r="S1640" s="16" t="inlineStr">
        <is>
          <t>https://mstgolf.co.th/products/gf3000300388</t>
        </is>
      </c>
      <c r="T1640" s="1">
        <f>IF(B1640="ไม้กอล์ฟ",J1640,"")</f>
        <v/>
      </c>
    </row>
    <row r="1641">
      <c r="A1641" s="1" t="n">
        <v>2</v>
      </c>
      <c r="B1641" s="1" t="inlineStr">
        <is>
          <t>ถุงกอล์ฟ</t>
        </is>
      </c>
      <c r="C1641" s="1" t="inlineStr">
        <is>
          <t>gf3000300378</t>
        </is>
      </c>
      <c r="D1641" s="1" t="inlineStr">
        <is>
          <t>TAYLORMADE Wilshire Women's Range Bag (Light Blue)</t>
        </is>
      </c>
      <c r="E1641" s="1" t="inlineStr">
        <is>
          <t>TAYLORMADE</t>
        </is>
      </c>
      <c r="F1641" s="1" t="inlineStr">
        <is>
          <t>RANGE BAG</t>
        </is>
      </c>
      <c r="G1641" s="1" t="inlineStr">
        <is>
          <t>GF3000300378</t>
        </is>
      </c>
      <c r="H1641" s="1" t="n">
        <v>1</v>
      </c>
      <c r="I1641" s="1" t="inlineStr">
        <is>
          <t>หมด</t>
        </is>
      </c>
      <c r="J1641" s="13" t="n">
        <v>115</v>
      </c>
      <c r="K1641" s="1" t="inlineStr"/>
      <c r="L1641" s="13" t="n"/>
      <c r="M1641" s="1">
        <f>IF(L1641="","ไม่พบใน SG",IF(ABS(J1641-L1641)&lt;0.005,"ตรงกัน","ไม่ตรง"))</f>
        <v/>
      </c>
      <c r="N1641" s="14">
        <f>IF(L1641="","",ROUND(L1641*'สรุป'!$C$6,-1))</f>
        <v/>
      </c>
      <c r="O1641" s="15" t="n"/>
      <c r="P1641" s="15" t="n"/>
      <c r="Q1641" s="10" t="n"/>
      <c r="R1641" s="10" t="n"/>
      <c r="S1641" s="16" t="inlineStr">
        <is>
          <t>https://mstgolf.co.th/products/gf3000300378</t>
        </is>
      </c>
      <c r="T1641" s="1">
        <f>IF(B1641="ไม้กอล์ฟ",J1641,"")</f>
        <v/>
      </c>
    </row>
    <row r="1642">
      <c r="A1642" s="1" t="n">
        <v>2</v>
      </c>
      <c r="B1642" s="1" t="inlineStr">
        <is>
          <t>รองเท้า</t>
        </is>
      </c>
      <c r="C1642" s="1" t="inlineStr">
        <is>
          <t>gf2500201000</t>
        </is>
      </c>
      <c r="D1642" s="1" t="inlineStr">
        <is>
          <t>ADIDAS CodeChaos BOA Men's Spikeless Shoes (White/Navy)</t>
        </is>
      </c>
      <c r="E1642" s="1" t="inlineStr">
        <is>
          <t>ADIDAS</t>
        </is>
      </c>
      <c r="F1642" s="1" t="inlineStr">
        <is>
          <t>SPIKELESS SHOES</t>
        </is>
      </c>
      <c r="G1642" s="1" t="inlineStr">
        <is>
          <t>GF2500201000UK6.5</t>
        </is>
      </c>
      <c r="H1642" s="1" t="n">
        <v>12</v>
      </c>
      <c r="I1642" s="1" t="inlineStr">
        <is>
          <t>หมด</t>
        </is>
      </c>
      <c r="J1642" s="13" t="n">
        <v>109</v>
      </c>
      <c r="K1642" s="1" t="inlineStr"/>
      <c r="L1642" s="13" t="n">
        <v>109</v>
      </c>
      <c r="M1642" s="1">
        <f>IF(L1642="","ไม่พบใน SG",IF(ABS(J1642-L1642)&lt;0.005,"ตรงกัน","ไม่ตรง"))</f>
        <v/>
      </c>
      <c r="N1642" s="14">
        <f>IF(L1642="","",ROUND(L1642*'สรุป'!$C$6,-1))</f>
        <v/>
      </c>
      <c r="O1642" s="15" t="n"/>
      <c r="P1642" s="15" t="n"/>
      <c r="Q1642" s="10" t="n"/>
      <c r="R1642" s="10" t="n"/>
      <c r="S1642" s="16" t="inlineStr">
        <is>
          <t>https://mstgolf.co.th/products/gf2500201000</t>
        </is>
      </c>
      <c r="T1642" s="1">
        <f>IF(B1642="ไม้กอล์ฟ",J1642,"")</f>
        <v/>
      </c>
    </row>
    <row r="1643">
      <c r="A1643" s="1" t="n">
        <v>2</v>
      </c>
      <c r="B1643" s="1" t="inlineStr">
        <is>
          <t>ถุงกอล์ฟ</t>
        </is>
      </c>
      <c r="C1643" s="1" t="inlineStr">
        <is>
          <t>gf3010401157</t>
        </is>
      </c>
      <c r="D1643" s="1" t="inlineStr">
        <is>
          <t>ADIDAS PU Drum Bag (Off White)</t>
        </is>
      </c>
      <c r="E1643" s="1" t="inlineStr">
        <is>
          <t>ADIDAS</t>
        </is>
      </c>
      <c r="F1643" s="1" t="inlineStr">
        <is>
          <t>SMALL BAG</t>
        </is>
      </c>
      <c r="G1643" s="1" t="inlineStr">
        <is>
          <t>GF3010401157</t>
        </is>
      </c>
      <c r="H1643" s="1" t="n">
        <v>1</v>
      </c>
      <c r="I1643" s="1" t="inlineStr">
        <is>
          <t>หมด</t>
        </is>
      </c>
      <c r="J1643" s="13" t="n">
        <v>109</v>
      </c>
      <c r="K1643" s="1" t="inlineStr"/>
      <c r="L1643" s="13" t="n"/>
      <c r="M1643" s="1">
        <f>IF(L1643="","ไม่พบใน SG",IF(ABS(J1643-L1643)&lt;0.005,"ตรงกัน","ไม่ตรง"))</f>
        <v/>
      </c>
      <c r="N1643" s="14">
        <f>IF(L1643="","",ROUND(L1643*'สรุป'!$C$6,-1))</f>
        <v/>
      </c>
      <c r="O1643" s="15" t="n"/>
      <c r="P1643" s="15" t="n"/>
      <c r="Q1643" s="10" t="n"/>
      <c r="R1643" s="10" t="n"/>
      <c r="S1643" s="16" t="inlineStr">
        <is>
          <t>https://mstgolf.co.th/products/gf3010401157</t>
        </is>
      </c>
      <c r="T1643" s="1">
        <f>IF(B1643="ไม้กอล์ฟ",J1643,"")</f>
        <v/>
      </c>
    </row>
    <row r="1644">
      <c r="A1644" s="1" t="n">
        <v>2</v>
      </c>
      <c r="B1644" s="1" t="inlineStr">
        <is>
          <t>ถุงกอล์ฟ</t>
        </is>
      </c>
      <c r="C1644" s="1" t="inlineStr">
        <is>
          <t>gf3010401156</t>
        </is>
      </c>
      <c r="D1644" s="1" t="inlineStr">
        <is>
          <t>ADIDAS PU Round Tote Bag (Off White)</t>
        </is>
      </c>
      <c r="E1644" s="1" t="inlineStr">
        <is>
          <t>ADIDAS</t>
        </is>
      </c>
      <c r="F1644" s="1" t="inlineStr">
        <is>
          <t>SMALL BAG</t>
        </is>
      </c>
      <c r="G1644" s="1" t="inlineStr">
        <is>
          <t>GF3010401156</t>
        </is>
      </c>
      <c r="H1644" s="1" t="n">
        <v>1</v>
      </c>
      <c r="I1644" s="1" t="inlineStr">
        <is>
          <t>หมด</t>
        </is>
      </c>
      <c r="J1644" s="13" t="n">
        <v>109</v>
      </c>
      <c r="K1644" s="1" t="inlineStr"/>
      <c r="L1644" s="13" t="n"/>
      <c r="M1644" s="1">
        <f>IF(L1644="","ไม่พบใน SG",IF(ABS(J1644-L1644)&lt;0.005,"ตรงกัน","ไม่ตรง"))</f>
        <v/>
      </c>
      <c r="N1644" s="14">
        <f>IF(L1644="","",ROUND(L1644*'สรุป'!$C$6,-1))</f>
        <v/>
      </c>
      <c r="O1644" s="15" t="n"/>
      <c r="P1644" s="15" t="n"/>
      <c r="Q1644" s="10" t="n"/>
      <c r="R1644" s="10" t="n"/>
      <c r="S1644" s="16" t="inlineStr">
        <is>
          <t>https://mstgolf.co.th/products/gf3010401156</t>
        </is>
      </c>
      <c r="T1644" s="1">
        <f>IF(B1644="ไม้กอล์ฟ",J1644,"")</f>
        <v/>
      </c>
    </row>
    <row r="1645">
      <c r="A1645" s="1" t="n">
        <v>2</v>
      </c>
      <c r="B1645" s="1" t="inlineStr">
        <is>
          <t>อุปกรณ์ฝึกซ้อม</t>
        </is>
      </c>
      <c r="C1645" s="1" t="inlineStr">
        <is>
          <t>gf3040100097</t>
        </is>
      </c>
      <c r="D1645" s="1" t="inlineStr">
        <is>
          <t>GENERAL ITEM SWING PERFECT</t>
        </is>
      </c>
      <c r="E1645" s="1" t="inlineStr">
        <is>
          <t>GENERAL ITEM</t>
        </is>
      </c>
      <c r="F1645" s="1" t="inlineStr">
        <is>
          <t>SWING</t>
        </is>
      </c>
      <c r="G1645" s="1" t="inlineStr">
        <is>
          <t>GF3040100097</t>
        </is>
      </c>
      <c r="H1645" s="1" t="n">
        <v>1</v>
      </c>
      <c r="I1645" s="1" t="inlineStr">
        <is>
          <t>หมด</t>
        </is>
      </c>
      <c r="J1645" s="13" t="n">
        <v>109</v>
      </c>
      <c r="K1645" s="1" t="inlineStr"/>
      <c r="L1645" s="13" t="n"/>
      <c r="M1645" s="1">
        <f>IF(L1645="","ไม่พบใน SG",IF(ABS(J1645-L1645)&lt;0.005,"ตรงกัน","ไม่ตรง"))</f>
        <v/>
      </c>
      <c r="N1645" s="14">
        <f>IF(L1645="","",ROUND(L1645*'สรุป'!$C$6,-1))</f>
        <v/>
      </c>
      <c r="O1645" s="15" t="n"/>
      <c r="P1645" s="15" t="n"/>
      <c r="Q1645" s="10" t="n"/>
      <c r="R1645" s="10" t="n"/>
      <c r="S1645" s="16" t="inlineStr">
        <is>
          <t>https://mstgolf.co.th/products/gf3040100097</t>
        </is>
      </c>
      <c r="T1645" s="1">
        <f>IF(B1645="ไม้กอล์ฟ",J1645,"")</f>
        <v/>
      </c>
    </row>
    <row r="1646">
      <c r="A1646" s="1" t="n">
        <v>2</v>
      </c>
      <c r="B1646" s="1" t="inlineStr">
        <is>
          <t>ถุงกอล์ฟ</t>
        </is>
      </c>
      <c r="C1646" s="1" t="inlineStr">
        <is>
          <t>gf3010101255</t>
        </is>
      </c>
      <c r="D1646" s="1" t="inlineStr">
        <is>
          <t>TITLEIST PLAYER BOSTON BAG</t>
        </is>
      </c>
      <c r="E1646" s="1" t="inlineStr">
        <is>
          <t>TITLEIST</t>
        </is>
      </c>
      <c r="F1646" s="1" t="inlineStr">
        <is>
          <t>BOSTON/DUFFLE BAG</t>
        </is>
      </c>
      <c r="G1646" s="1" t="inlineStr">
        <is>
          <t>GF3010101255</t>
        </is>
      </c>
      <c r="H1646" s="1" t="n">
        <v>1</v>
      </c>
      <c r="I1646" s="1" t="inlineStr">
        <is>
          <t>หมด</t>
        </is>
      </c>
      <c r="J1646" s="13" t="n">
        <v>109</v>
      </c>
      <c r="K1646" s="1" t="inlineStr"/>
      <c r="L1646" s="13" t="n"/>
      <c r="M1646" s="1">
        <f>IF(L1646="","ไม่พบใน SG",IF(ABS(J1646-L1646)&lt;0.005,"ตรงกัน","ไม่ตรง"))</f>
        <v/>
      </c>
      <c r="N1646" s="14">
        <f>IF(L1646="","",ROUND(L1646*'สรุป'!$C$6,-1))</f>
        <v/>
      </c>
      <c r="O1646" s="15" t="n"/>
      <c r="P1646" s="15" t="n"/>
      <c r="Q1646" s="10" t="n"/>
      <c r="R1646" s="10" t="n"/>
      <c r="S1646" s="16" t="inlineStr">
        <is>
          <t>https://mstgolf.co.th/products/gf3010101255</t>
        </is>
      </c>
      <c r="T1646" s="1">
        <f>IF(B1646="ไม้กอล์ฟ",J1646,"")</f>
        <v/>
      </c>
    </row>
    <row r="1647">
      <c r="A1647" s="1" t="n">
        <v>2</v>
      </c>
      <c r="B1647" s="1" t="inlineStr">
        <is>
          <t>ถุงกอล์ฟ</t>
        </is>
      </c>
      <c r="C1647" s="1" t="inlineStr">
        <is>
          <t>gf3010100841</t>
        </is>
      </c>
      <c r="D1647" s="1" t="inlineStr">
        <is>
          <t>TITLEIST Players Boston Bag (Black/Red)</t>
        </is>
      </c>
      <c r="E1647" s="1" t="inlineStr">
        <is>
          <t>TITLEIST</t>
        </is>
      </c>
      <c r="F1647" s="1" t="inlineStr">
        <is>
          <t>BOSTON/DUFFLE BAG</t>
        </is>
      </c>
      <c r="G1647" s="1" t="inlineStr">
        <is>
          <t>GF3010100841</t>
        </is>
      </c>
      <c r="H1647" s="1" t="n">
        <v>1</v>
      </c>
      <c r="I1647" s="1" t="inlineStr">
        <is>
          <t>หมด</t>
        </is>
      </c>
      <c r="J1647" s="13" t="n">
        <v>109</v>
      </c>
      <c r="K1647" s="1" t="inlineStr"/>
      <c r="L1647" s="13" t="n">
        <v>109</v>
      </c>
      <c r="M1647" s="1">
        <f>IF(L1647="","ไม่พบใน SG",IF(ABS(J1647-L1647)&lt;0.005,"ตรงกัน","ไม่ตรง"))</f>
        <v/>
      </c>
      <c r="N1647" s="14">
        <f>IF(L1647="","",ROUND(L1647*'สรุป'!$C$6,-1))</f>
        <v/>
      </c>
      <c r="O1647" s="15" t="n"/>
      <c r="P1647" s="15" t="n"/>
      <c r="Q1647" s="10" t="n"/>
      <c r="R1647" s="10" t="n"/>
      <c r="S1647" s="16" t="inlineStr">
        <is>
          <t>https://mstgolf.co.th/products/gf3010100841</t>
        </is>
      </c>
      <c r="T1647" s="1">
        <f>IF(B1647="ไม้กอล์ฟ",J1647,"")</f>
        <v/>
      </c>
    </row>
    <row r="1648">
      <c r="A1648" s="1" t="n">
        <v>2</v>
      </c>
      <c r="B1648" s="1" t="inlineStr">
        <is>
          <t>ถุงกอล์ฟ</t>
        </is>
      </c>
      <c r="C1648" s="1" t="inlineStr">
        <is>
          <t>gf3010101183</t>
        </is>
      </c>
      <c r="D1648" s="1" t="inlineStr">
        <is>
          <t>TITLEIST Players Boston Bag (Navy)</t>
        </is>
      </c>
      <c r="E1648" s="1" t="inlineStr">
        <is>
          <t>TITLEIST</t>
        </is>
      </c>
      <c r="F1648" s="1" t="inlineStr">
        <is>
          <t>BOSTON/DUFFLE BAG</t>
        </is>
      </c>
      <c r="G1648" s="1" t="inlineStr">
        <is>
          <t>GF3010101183</t>
        </is>
      </c>
      <c r="H1648" s="1" t="n">
        <v>1</v>
      </c>
      <c r="I1648" s="1" t="inlineStr">
        <is>
          <t>หมด</t>
        </is>
      </c>
      <c r="J1648" s="13" t="n">
        <v>109</v>
      </c>
      <c r="K1648" s="1" t="inlineStr"/>
      <c r="L1648" s="13" t="n">
        <v>109</v>
      </c>
      <c r="M1648" s="1">
        <f>IF(L1648="","ไม่พบใน SG",IF(ABS(J1648-L1648)&lt;0.005,"ตรงกัน","ไม่ตรง"))</f>
        <v/>
      </c>
      <c r="N1648" s="14">
        <f>IF(L1648="","",ROUND(L1648*'สรุป'!$C$6,-1))</f>
        <v/>
      </c>
      <c r="O1648" s="15" t="n"/>
      <c r="P1648" s="15" t="n"/>
      <c r="Q1648" s="10" t="n"/>
      <c r="R1648" s="10" t="n"/>
      <c r="S1648" s="16" t="inlineStr">
        <is>
          <t>https://mstgolf.co.th/products/gf3010101183</t>
        </is>
      </c>
      <c r="T1648" s="1">
        <f>IF(B1648="ไม้กอล์ฟ",J1648,"")</f>
        <v/>
      </c>
    </row>
    <row r="1649">
      <c r="A1649" s="1" t="n">
        <v>2</v>
      </c>
      <c r="B1649" s="1" t="inlineStr">
        <is>
          <t>ถุงกอล์ฟ</t>
        </is>
      </c>
      <c r="C1649" s="1" t="inlineStr">
        <is>
          <t>gf3000300264</t>
        </is>
      </c>
      <c r="D1649" s="1" t="inlineStr">
        <is>
          <t>COBRA Ultralight Pro Pencil Range Bag (Navy/Ski)</t>
        </is>
      </c>
      <c r="E1649" s="1" t="inlineStr">
        <is>
          <t>COBRA</t>
        </is>
      </c>
      <c r="F1649" s="1" t="inlineStr">
        <is>
          <t>RANGE BAG</t>
        </is>
      </c>
      <c r="G1649" s="1" t="inlineStr">
        <is>
          <t>GF3000300264</t>
        </is>
      </c>
      <c r="H1649" s="1" t="n">
        <v>1</v>
      </c>
      <c r="I1649" s="1" t="inlineStr">
        <is>
          <t>หมด</t>
        </is>
      </c>
      <c r="J1649" s="13" t="n">
        <v>105</v>
      </c>
      <c r="K1649" s="1" t="inlineStr"/>
      <c r="L1649" s="13" t="n">
        <v>105</v>
      </c>
      <c r="M1649" s="1">
        <f>IF(L1649="","ไม่พบใน SG",IF(ABS(J1649-L1649)&lt;0.005,"ตรงกัน","ไม่ตรง"))</f>
        <v/>
      </c>
      <c r="N1649" s="14">
        <f>IF(L1649="","",ROUND(L1649*'สรุป'!$C$6,-1))</f>
        <v/>
      </c>
      <c r="O1649" s="15" t="n"/>
      <c r="P1649" s="15" t="n"/>
      <c r="Q1649" s="10" t="n"/>
      <c r="R1649" s="10" t="n"/>
      <c r="S1649" s="16" t="inlineStr">
        <is>
          <t>https://mstgolf.co.th/products/gf3000300264</t>
        </is>
      </c>
      <c r="T1649" s="1">
        <f>IF(B1649="ไม้กอล์ฟ",J1649,"")</f>
        <v/>
      </c>
    </row>
    <row r="1650">
      <c r="A1650" s="1" t="n">
        <v>2</v>
      </c>
      <c r="B1650" s="1" t="inlineStr">
        <is>
          <t>ถุงกอล์ฟ</t>
        </is>
      </c>
      <c r="C1650" s="1" t="inlineStr">
        <is>
          <t>gf3000300330</t>
        </is>
      </c>
      <c r="D1650" s="1" t="inlineStr">
        <is>
          <t>TAYLORMADE Circle T Self Stand Women's Range Bag (Black)</t>
        </is>
      </c>
      <c r="E1650" s="1" t="inlineStr">
        <is>
          <t>TAYLORMADE</t>
        </is>
      </c>
      <c r="F1650" s="1" t="inlineStr">
        <is>
          <t>RANGE BAG</t>
        </is>
      </c>
      <c r="G1650" s="1" t="inlineStr">
        <is>
          <t>GF3000300330</t>
        </is>
      </c>
      <c r="H1650" s="1" t="n">
        <v>1</v>
      </c>
      <c r="I1650" s="1" t="inlineStr">
        <is>
          <t>หมด</t>
        </is>
      </c>
      <c r="J1650" s="13" t="n">
        <v>105</v>
      </c>
      <c r="K1650" s="1" t="inlineStr"/>
      <c r="L1650" s="13" t="n">
        <v>105</v>
      </c>
      <c r="M1650" s="1">
        <f>IF(L1650="","ไม่พบใน SG",IF(ABS(J1650-L1650)&lt;0.005,"ตรงกัน","ไม่ตรง"))</f>
        <v/>
      </c>
      <c r="N1650" s="14">
        <f>IF(L1650="","",ROUND(L1650*'สรุป'!$C$6,-1))</f>
        <v/>
      </c>
      <c r="O1650" s="15" t="n"/>
      <c r="P1650" s="15" t="n"/>
      <c r="Q1650" s="10" t="n"/>
      <c r="R1650" s="10" t="n"/>
      <c r="S1650" s="16" t="inlineStr">
        <is>
          <t>https://mstgolf.co.th/products/gf3000300330</t>
        </is>
      </c>
      <c r="T1650" s="1">
        <f>IF(B1650="ไม้กอล์ฟ",J1650,"")</f>
        <v/>
      </c>
    </row>
    <row r="1651">
      <c r="A1651" s="1" t="n">
        <v>2</v>
      </c>
      <c r="B1651" s="1" t="inlineStr">
        <is>
          <t>รองเท้า</t>
        </is>
      </c>
      <c r="C1651" s="1" t="inlineStr">
        <is>
          <t>gf2500201201</t>
        </is>
      </c>
      <c r="D1651" s="1" t="inlineStr">
        <is>
          <t>UNDER ARMOUR Charged Breathe Women's Spikeless Shoes (White/Navy)</t>
        </is>
      </c>
      <c r="E1651" s="1" t="inlineStr">
        <is>
          <t>UNDER ARMOUR</t>
        </is>
      </c>
      <c r="F1651" s="1" t="inlineStr">
        <is>
          <t>SPIKELESS SHOES</t>
        </is>
      </c>
      <c r="G1651" s="1" t="inlineStr">
        <is>
          <t>GF2500201201US5.5</t>
        </is>
      </c>
      <c r="H1651" s="1" t="n">
        <v>8</v>
      </c>
      <c r="I1651" s="1" t="inlineStr">
        <is>
          <t>หมด</t>
        </is>
      </c>
      <c r="J1651" s="13" t="n">
        <v>105</v>
      </c>
      <c r="K1651" s="1" t="inlineStr"/>
      <c r="L1651" s="13" t="n">
        <v>105</v>
      </c>
      <c r="M1651" s="1">
        <f>IF(L1651="","ไม่พบใน SG",IF(ABS(J1651-L1651)&lt;0.005,"ตรงกัน","ไม่ตรง"))</f>
        <v/>
      </c>
      <c r="N1651" s="14">
        <f>IF(L1651="","",ROUND(L1651*'สรุป'!$C$6,-1))</f>
        <v/>
      </c>
      <c r="O1651" s="15" t="n"/>
      <c r="P1651" s="15" t="n"/>
      <c r="Q1651" s="10" t="n"/>
      <c r="R1651" s="10" t="n"/>
      <c r="S1651" s="16" t="inlineStr">
        <is>
          <t>https://mstgolf.co.th/products/gf2500201201</t>
        </is>
      </c>
      <c r="T1651" s="1">
        <f>IF(B1651="ไม้กอล์ฟ",J1651,"")</f>
        <v/>
      </c>
    </row>
    <row r="1652">
      <c r="A1652" s="1" t="n">
        <v>2</v>
      </c>
      <c r="B1652" s="1" t="inlineStr">
        <is>
          <t>รองเท้า</t>
        </is>
      </c>
      <c r="C1652" s="1" t="inlineStr">
        <is>
          <t>gf2500102612</t>
        </is>
      </c>
      <c r="D1652" s="1" t="inlineStr">
        <is>
          <t>UNDER ARMOUR Charged Draw Men's Spiked Shoes (Black/Black/Grey)</t>
        </is>
      </c>
      <c r="E1652" s="1" t="inlineStr">
        <is>
          <t>UNDER ARMOUR</t>
        </is>
      </c>
      <c r="F1652" s="1" t="inlineStr">
        <is>
          <t>SPIKE SHOES</t>
        </is>
      </c>
      <c r="G1652" s="1" t="inlineStr">
        <is>
          <t>GF2500102612US7</t>
        </is>
      </c>
      <c r="H1652" s="1" t="n">
        <v>9</v>
      </c>
      <c r="I1652" s="1" t="inlineStr">
        <is>
          <t>หมด</t>
        </is>
      </c>
      <c r="J1652" s="13" t="n">
        <v>105</v>
      </c>
      <c r="K1652" s="1" t="inlineStr"/>
      <c r="L1652" s="13" t="n"/>
      <c r="M1652" s="1">
        <f>IF(L1652="","ไม่พบใน SG",IF(ABS(J1652-L1652)&lt;0.005,"ตรงกัน","ไม่ตรง"))</f>
        <v/>
      </c>
      <c r="N1652" s="14">
        <f>IF(L1652="","",ROUND(L1652*'สรุป'!$C$6,-1))</f>
        <v/>
      </c>
      <c r="O1652" s="15" t="n"/>
      <c r="P1652" s="15" t="n"/>
      <c r="Q1652" s="10" t="n"/>
      <c r="R1652" s="10" t="n"/>
      <c r="S1652" s="16" t="inlineStr">
        <is>
          <t>https://mstgolf.co.th/products/gf2500102612</t>
        </is>
      </c>
      <c r="T1652" s="1">
        <f>IF(B1652="ไม้กอล์ฟ",J1652,"")</f>
        <v/>
      </c>
    </row>
    <row r="1653">
      <c r="A1653" s="1" t="n">
        <v>2</v>
      </c>
      <c r="B1653" s="1" t="inlineStr">
        <is>
          <t>รองเท้า</t>
        </is>
      </c>
      <c r="C1653" s="1" t="inlineStr">
        <is>
          <t>gf2500102613</t>
        </is>
      </c>
      <c r="D1653" s="1" t="inlineStr">
        <is>
          <t>UNDER ARMOUR Charged Draw Men's Spiked Shoes (White/White/Black)</t>
        </is>
      </c>
      <c r="E1653" s="1" t="inlineStr">
        <is>
          <t>UNDER ARMOUR</t>
        </is>
      </c>
      <c r="F1653" s="1" t="inlineStr">
        <is>
          <t>SPIKE SHOES</t>
        </is>
      </c>
      <c r="G1653" s="1" t="inlineStr">
        <is>
          <t>GF2500102613US7</t>
        </is>
      </c>
      <c r="H1653" s="1" t="n">
        <v>11</v>
      </c>
      <c r="I1653" s="1" t="inlineStr">
        <is>
          <t>หมด</t>
        </is>
      </c>
      <c r="J1653" s="13" t="n">
        <v>105</v>
      </c>
      <c r="K1653" s="1" t="inlineStr"/>
      <c r="L1653" s="13" t="n"/>
      <c r="M1653" s="1">
        <f>IF(L1653="","ไม่พบใน SG",IF(ABS(J1653-L1653)&lt;0.005,"ตรงกัน","ไม่ตรง"))</f>
        <v/>
      </c>
      <c r="N1653" s="14">
        <f>IF(L1653="","",ROUND(L1653*'สรุป'!$C$6,-1))</f>
        <v/>
      </c>
      <c r="O1653" s="15" t="n"/>
      <c r="P1653" s="15" t="n"/>
      <c r="Q1653" s="10" t="n"/>
      <c r="R1653" s="10" t="n"/>
      <c r="S1653" s="16" t="inlineStr">
        <is>
          <t>https://mstgolf.co.th/products/gf2500102613</t>
        </is>
      </c>
      <c r="T1653" s="1">
        <f>IF(B1653="ไม้กอล์ฟ",J1653,"")</f>
        <v/>
      </c>
    </row>
    <row r="1654">
      <c r="A1654" s="1" t="n">
        <v>2</v>
      </c>
      <c r="B1654" s="1" t="inlineStr">
        <is>
          <t>ถุงกอล์ฟ</t>
        </is>
      </c>
      <c r="C1654" s="1" t="inlineStr">
        <is>
          <t>gf3010401059</t>
        </is>
      </c>
      <c r="D1654" s="1" t="inlineStr">
        <is>
          <t>ADIDAS Polyurethane Round Bag (Alumina)</t>
        </is>
      </c>
      <c r="E1654" s="1" t="inlineStr">
        <is>
          <t>ADIDAS</t>
        </is>
      </c>
      <c r="F1654" s="1" t="inlineStr">
        <is>
          <t>SMALL BAG</t>
        </is>
      </c>
      <c r="G1654" s="1" t="inlineStr">
        <is>
          <t>GF3010401059</t>
        </is>
      </c>
      <c r="H1654" s="1" t="n">
        <v>1</v>
      </c>
      <c r="I1654" s="1" t="inlineStr">
        <is>
          <t>หมด</t>
        </is>
      </c>
      <c r="J1654" s="13" t="n">
        <v>100</v>
      </c>
      <c r="K1654" s="1" t="inlineStr"/>
      <c r="L1654" s="13" t="n">
        <v>49</v>
      </c>
      <c r="M1654" s="1">
        <f>IF(L1654="","ไม่พบใน SG",IF(ABS(J1654-L1654)&lt;0.005,"ตรงกัน","ไม่ตรง"))</f>
        <v/>
      </c>
      <c r="N1654" s="14">
        <f>IF(L1654="","",ROUND(L1654*'สรุป'!$C$6,-1))</f>
        <v/>
      </c>
      <c r="O1654" s="15" t="n"/>
      <c r="P1654" s="15" t="n"/>
      <c r="Q1654" s="10" t="n"/>
      <c r="R1654" s="10" t="n"/>
      <c r="S1654" s="16" t="inlineStr">
        <is>
          <t>https://mstgolf.co.th/products/gf3010401059</t>
        </is>
      </c>
      <c r="T1654" s="1">
        <f>IF(B1654="ไม้กอล์ฟ",J1654,"")</f>
        <v/>
      </c>
    </row>
    <row r="1655">
      <c r="A1655" s="1" t="n">
        <v>2</v>
      </c>
      <c r="B1655" s="1" t="inlineStr">
        <is>
          <t>รองเท้า</t>
        </is>
      </c>
      <c r="C1655" s="1" t="inlineStr">
        <is>
          <t>gf2500200958</t>
        </is>
      </c>
      <c r="D1655" s="1" t="inlineStr">
        <is>
          <t>ADIDAS Adicross Hi BOOST Men's Spikeless Shoes (Multi Colour)</t>
        </is>
      </c>
      <c r="E1655" s="1" t="inlineStr">
        <is>
          <t>ADIDAS</t>
        </is>
      </c>
      <c r="F1655" s="1" t="inlineStr">
        <is>
          <t>SPIKELESS SHOES</t>
        </is>
      </c>
      <c r="G1655" s="1" t="inlineStr">
        <is>
          <t>GF2500200958UK7</t>
        </is>
      </c>
      <c r="H1655" s="1" t="n">
        <v>8</v>
      </c>
      <c r="I1655" s="1" t="inlineStr">
        <is>
          <t>หมด</t>
        </is>
      </c>
      <c r="J1655" s="13" t="n">
        <v>99</v>
      </c>
      <c r="K1655" s="1" t="inlineStr"/>
      <c r="L1655" s="13" t="n">
        <v>99</v>
      </c>
      <c r="M1655" s="1">
        <f>IF(L1655="","ไม่พบใน SG",IF(ABS(J1655-L1655)&lt;0.005,"ตรงกัน","ไม่ตรง"))</f>
        <v/>
      </c>
      <c r="N1655" s="14">
        <f>IF(L1655="","",ROUND(L1655*'สรุป'!$C$6,-1))</f>
        <v/>
      </c>
      <c r="O1655" s="15" t="n"/>
      <c r="P1655" s="15" t="n"/>
      <c r="Q1655" s="10" t="n"/>
      <c r="R1655" s="10" t="n"/>
      <c r="S1655" s="16" t="inlineStr">
        <is>
          <t>https://mstgolf.co.th/products/gf2500200958</t>
        </is>
      </c>
      <c r="T1655" s="1">
        <f>IF(B1655="ไม้กอล์ฟ",J1655,"")</f>
        <v/>
      </c>
    </row>
    <row r="1656">
      <c r="A1656" s="1" t="n">
        <v>2</v>
      </c>
      <c r="B1656" s="1" t="inlineStr">
        <is>
          <t>ถุงกอล์ฟ</t>
        </is>
      </c>
      <c r="C1656" s="1" t="inlineStr">
        <is>
          <t>gf3010401065</t>
        </is>
      </c>
      <c r="D1656" s="1" t="inlineStr">
        <is>
          <t>MAJESTY Round Bag (Black)</t>
        </is>
      </c>
      <c r="E1656" s="1" t="inlineStr">
        <is>
          <t>MAJESTY</t>
        </is>
      </c>
      <c r="F1656" s="1" t="inlineStr">
        <is>
          <t>SMALL BAG</t>
        </is>
      </c>
      <c r="G1656" s="1" t="inlineStr">
        <is>
          <t>GF3010401065</t>
        </is>
      </c>
      <c r="H1656" s="1" t="n">
        <v>1</v>
      </c>
      <c r="I1656" s="1" t="inlineStr">
        <is>
          <t>หมด</t>
        </is>
      </c>
      <c r="J1656" s="13" t="n">
        <v>99</v>
      </c>
      <c r="K1656" s="1" t="inlineStr"/>
      <c r="L1656" s="13" t="n">
        <v>99</v>
      </c>
      <c r="M1656" s="1">
        <f>IF(L1656="","ไม่พบใน SG",IF(ABS(J1656-L1656)&lt;0.005,"ตรงกัน","ไม่ตรง"))</f>
        <v/>
      </c>
      <c r="N1656" s="14">
        <f>IF(L1656="","",ROUND(L1656*'สรุป'!$C$6,-1))</f>
        <v/>
      </c>
      <c r="O1656" s="15" t="n"/>
      <c r="P1656" s="15" t="n"/>
      <c r="Q1656" s="10" t="n"/>
      <c r="R1656" s="10" t="n"/>
      <c r="S1656" s="16" t="inlineStr">
        <is>
          <t>https://mstgolf.co.th/products/gf3010401065</t>
        </is>
      </c>
      <c r="T1656" s="1">
        <f>IF(B1656="ไม้กอล์ฟ",J1656,"")</f>
        <v/>
      </c>
    </row>
    <row r="1657">
      <c r="A1657" s="1" t="n">
        <v>2</v>
      </c>
      <c r="B1657" s="1" t="inlineStr">
        <is>
          <t>รองเท้า</t>
        </is>
      </c>
      <c r="C1657" s="1" t="inlineStr">
        <is>
          <t>gf2500102598</t>
        </is>
      </c>
      <c r="D1657" s="1" t="inlineStr">
        <is>
          <t>PUMA Fusion FX Tech Men's Spiked Shoes (Navy/Grey)</t>
        </is>
      </c>
      <c r="E1657" s="1" t="inlineStr">
        <is>
          <t>PUMA</t>
        </is>
      </c>
      <c r="F1657" s="1" t="inlineStr">
        <is>
          <t>SPIKE SHOES</t>
        </is>
      </c>
      <c r="G1657" s="1" t="inlineStr">
        <is>
          <t>GF2500102598UK5</t>
        </is>
      </c>
      <c r="H1657" s="1" t="n">
        <v>14</v>
      </c>
      <c r="I1657" s="1" t="inlineStr">
        <is>
          <t>หมด</t>
        </is>
      </c>
      <c r="J1657" s="13" t="n">
        <v>99</v>
      </c>
      <c r="K1657" s="1" t="inlineStr"/>
      <c r="L1657" s="13" t="n"/>
      <c r="M1657" s="1">
        <f>IF(L1657="","ไม่พบใน SG",IF(ABS(J1657-L1657)&lt;0.005,"ตรงกัน","ไม่ตรง"))</f>
        <v/>
      </c>
      <c r="N1657" s="14">
        <f>IF(L1657="","",ROUND(L1657*'สรุป'!$C$6,-1))</f>
        <v/>
      </c>
      <c r="O1657" s="15" t="n"/>
      <c r="P1657" s="15" t="n"/>
      <c r="Q1657" s="10" t="n"/>
      <c r="R1657" s="10" t="n"/>
      <c r="S1657" s="16" t="inlineStr">
        <is>
          <t>https://mstgolf.co.th/products/gf2500102598</t>
        </is>
      </c>
      <c r="T1657" s="1">
        <f>IF(B1657="ไม้กอล์ฟ",J1657,"")</f>
        <v/>
      </c>
    </row>
    <row r="1658">
      <c r="A1658" s="1" t="n">
        <v>2</v>
      </c>
      <c r="B1658" s="1" t="inlineStr">
        <is>
          <t>ถุงกอล์ฟ</t>
        </is>
      </c>
      <c r="C1658" s="1" t="inlineStr">
        <is>
          <t>gf3010101118</t>
        </is>
      </c>
      <c r="D1658" s="1" t="inlineStr">
        <is>
          <t>PUMA Golf Barrel Duffle Bag (Black)</t>
        </is>
      </c>
      <c r="E1658" s="1" t="inlineStr">
        <is>
          <t>PUMA</t>
        </is>
      </c>
      <c r="F1658" s="1" t="inlineStr">
        <is>
          <t>BOSTON/DUFFLE BAG</t>
        </is>
      </c>
      <c r="G1658" s="1" t="inlineStr">
        <is>
          <t>GF3010101118</t>
        </is>
      </c>
      <c r="H1658" s="1" t="n">
        <v>1</v>
      </c>
      <c r="I1658" s="1" t="inlineStr">
        <is>
          <t>หมด</t>
        </is>
      </c>
      <c r="J1658" s="13" t="n">
        <v>99</v>
      </c>
      <c r="K1658" s="1" t="inlineStr"/>
      <c r="L1658" s="13" t="n">
        <v>59</v>
      </c>
      <c r="M1658" s="1">
        <f>IF(L1658="","ไม่พบใน SG",IF(ABS(J1658-L1658)&lt;0.005,"ตรงกัน","ไม่ตรง"))</f>
        <v/>
      </c>
      <c r="N1658" s="14">
        <f>IF(L1658="","",ROUND(L1658*'สรุป'!$C$6,-1))</f>
        <v/>
      </c>
      <c r="O1658" s="15" t="n"/>
      <c r="P1658" s="15" t="n"/>
      <c r="Q1658" s="10" t="n"/>
      <c r="R1658" s="10" t="n"/>
      <c r="S1658" s="16" t="inlineStr">
        <is>
          <t>https://mstgolf.co.th/products/gf3010101118</t>
        </is>
      </c>
      <c r="T1658" s="1">
        <f>IF(B1658="ไม้กอล์ฟ",J1658,"")</f>
        <v/>
      </c>
    </row>
    <row r="1659">
      <c r="A1659" s="1" t="n">
        <v>2</v>
      </c>
      <c r="B1659" s="1" t="inlineStr">
        <is>
          <t>ถุงกอล์ฟ</t>
        </is>
      </c>
      <c r="C1659" s="1" t="inlineStr">
        <is>
          <t>gf3010101244</t>
        </is>
      </c>
      <c r="D1659" s="1" t="inlineStr">
        <is>
          <t>TAYLORMADE True-Lite Boston Bag (Black)</t>
        </is>
      </c>
      <c r="E1659" s="1" t="inlineStr">
        <is>
          <t>TAYLORMADE</t>
        </is>
      </c>
      <c r="F1659" s="1" t="inlineStr">
        <is>
          <t>BOSTON/DUFFLE BAG</t>
        </is>
      </c>
      <c r="G1659" s="1" t="inlineStr">
        <is>
          <t>GF3010101244</t>
        </is>
      </c>
      <c r="H1659" s="1" t="n">
        <v>1</v>
      </c>
      <c r="I1659" s="1" t="inlineStr">
        <is>
          <t>หมด</t>
        </is>
      </c>
      <c r="J1659" s="13" t="n">
        <v>99</v>
      </c>
      <c r="K1659" s="1" t="inlineStr"/>
      <c r="L1659" s="13" t="n">
        <v>99</v>
      </c>
      <c r="M1659" s="1">
        <f>IF(L1659="","ไม่พบใน SG",IF(ABS(J1659-L1659)&lt;0.005,"ตรงกัน","ไม่ตรง"))</f>
        <v/>
      </c>
      <c r="N1659" s="14">
        <f>IF(L1659="","",ROUND(L1659*'สรุป'!$C$6,-1))</f>
        <v/>
      </c>
      <c r="O1659" s="15" t="n"/>
      <c r="P1659" s="15" t="n"/>
      <c r="Q1659" s="10" t="n"/>
      <c r="R1659" s="10" t="n"/>
      <c r="S1659" s="16" t="inlineStr">
        <is>
          <t>https://mstgolf.co.th/products/gf3010101244</t>
        </is>
      </c>
      <c r="T1659" s="1">
        <f>IF(B1659="ไม้กอล์ฟ",J1659,"")</f>
        <v/>
      </c>
    </row>
    <row r="1660">
      <c r="A1660" s="1" t="n">
        <v>2</v>
      </c>
      <c r="B1660" s="1" t="inlineStr">
        <is>
          <t>รองเท้า</t>
        </is>
      </c>
      <c r="C1660" s="1" t="inlineStr">
        <is>
          <t>gf2500200960</t>
        </is>
      </c>
      <c r="D1660" s="1" t="inlineStr">
        <is>
          <t>ADIDAS Adicross Lo Men's Spikeless Shoes (Multi Colour)</t>
        </is>
      </c>
      <c r="E1660" s="1" t="inlineStr">
        <is>
          <t>ADIDAS</t>
        </is>
      </c>
      <c r="F1660" s="1" t="inlineStr">
        <is>
          <t>SPIKELESS SHOES</t>
        </is>
      </c>
      <c r="G1660" s="1" t="inlineStr">
        <is>
          <t>GF2500200960UK7</t>
        </is>
      </c>
      <c r="H1660" s="1" t="n">
        <v>8</v>
      </c>
      <c r="I1660" s="1" t="inlineStr">
        <is>
          <t>หมด</t>
        </is>
      </c>
      <c r="J1660" s="13" t="n">
        <v>95</v>
      </c>
      <c r="K1660" s="1" t="inlineStr"/>
      <c r="L1660" s="13" t="n">
        <v>95</v>
      </c>
      <c r="M1660" s="1">
        <f>IF(L1660="","ไม่พบใน SG",IF(ABS(J1660-L1660)&lt;0.005,"ตรงกัน","ไม่ตรง"))</f>
        <v/>
      </c>
      <c r="N1660" s="14">
        <f>IF(L1660="","",ROUND(L1660*'สรุป'!$C$6,-1))</f>
        <v/>
      </c>
      <c r="O1660" s="15" t="n"/>
      <c r="P1660" s="15" t="n"/>
      <c r="Q1660" s="10" t="n"/>
      <c r="R1660" s="10" t="n"/>
      <c r="S1660" s="16" t="inlineStr">
        <is>
          <t>https://mstgolf.co.th/products/gf2500200960</t>
        </is>
      </c>
      <c r="T1660" s="1">
        <f>IF(B1660="ไม้กอล์ฟ",J1660,"")</f>
        <v/>
      </c>
    </row>
    <row r="1661">
      <c r="A1661" s="1" t="n">
        <v>2</v>
      </c>
      <c r="B1661" s="1" t="inlineStr">
        <is>
          <t>รองเท้า</t>
        </is>
      </c>
      <c r="C1661" s="1" t="inlineStr">
        <is>
          <t>gf2500200779</t>
        </is>
      </c>
      <c r="D1661" s="1" t="inlineStr">
        <is>
          <t>ADIDAS REBELCROSS Men's Spikeless Shoes (Black/Lime/Silver)</t>
        </is>
      </c>
      <c r="E1661" s="1" t="inlineStr">
        <is>
          <t>ADIDAS</t>
        </is>
      </c>
      <c r="F1661" s="1" t="inlineStr">
        <is>
          <t>SPIKELESS SHOES</t>
        </is>
      </c>
      <c r="G1661" s="1" t="inlineStr">
        <is>
          <t>GF2500200779UK6.5</t>
        </is>
      </c>
      <c r="H1661" s="1" t="n">
        <v>11</v>
      </c>
      <c r="I1661" s="1" t="inlineStr">
        <is>
          <t>หมด</t>
        </is>
      </c>
      <c r="J1661" s="13" t="n">
        <v>95</v>
      </c>
      <c r="K1661" s="1" t="inlineStr"/>
      <c r="L1661" s="13" t="n">
        <v>95</v>
      </c>
      <c r="M1661" s="1">
        <f>IF(L1661="","ไม่พบใน SG",IF(ABS(J1661-L1661)&lt;0.005,"ตรงกัน","ไม่ตรง"))</f>
        <v/>
      </c>
      <c r="N1661" s="14">
        <f>IF(L1661="","",ROUND(L1661*'สรุป'!$C$6,-1))</f>
        <v/>
      </c>
      <c r="O1661" s="15" t="n"/>
      <c r="P1661" s="15" t="n"/>
      <c r="Q1661" s="10" t="n"/>
      <c r="R1661" s="10" t="n"/>
      <c r="S1661" s="16" t="inlineStr">
        <is>
          <t>https://mstgolf.co.th/products/gf2500200779</t>
        </is>
      </c>
      <c r="T1661" s="1">
        <f>IF(B1661="ไม้กอล์ฟ",J1661,"")</f>
        <v/>
      </c>
    </row>
    <row r="1662">
      <c r="A1662" s="1" t="n">
        <v>2</v>
      </c>
      <c r="B1662" s="1" t="inlineStr">
        <is>
          <t>รองเท้า</t>
        </is>
      </c>
      <c r="C1662" s="1" t="inlineStr">
        <is>
          <t>gf2500200847</t>
        </is>
      </c>
      <c r="D1662" s="1" t="inlineStr">
        <is>
          <t>ADIDAS REBELCROSS Men's Spikeless Shoes (Black/White)</t>
        </is>
      </c>
      <c r="E1662" s="1" t="inlineStr">
        <is>
          <t>ADIDAS</t>
        </is>
      </c>
      <c r="F1662" s="1" t="inlineStr">
        <is>
          <t>SPIKELESS SHOES</t>
        </is>
      </c>
      <c r="G1662" s="1" t="inlineStr">
        <is>
          <t>GF2500200847UK6.5</t>
        </is>
      </c>
      <c r="H1662" s="1" t="n">
        <v>11</v>
      </c>
      <c r="I1662" s="1" t="inlineStr">
        <is>
          <t>หมด</t>
        </is>
      </c>
      <c r="J1662" s="13" t="n">
        <v>95</v>
      </c>
      <c r="K1662" s="1" t="inlineStr"/>
      <c r="L1662" s="13" t="n">
        <v>95</v>
      </c>
      <c r="M1662" s="1">
        <f>IF(L1662="","ไม่พบใน SG",IF(ABS(J1662-L1662)&lt;0.005,"ตรงกัน","ไม่ตรง"))</f>
        <v/>
      </c>
      <c r="N1662" s="14">
        <f>IF(L1662="","",ROUND(L1662*'สรุป'!$C$6,-1))</f>
        <v/>
      </c>
      <c r="O1662" s="15" t="n"/>
      <c r="P1662" s="15" t="n"/>
      <c r="Q1662" s="10" t="n"/>
      <c r="R1662" s="10" t="n"/>
      <c r="S1662" s="16" t="inlineStr">
        <is>
          <t>https://mstgolf.co.th/products/gf2500200847</t>
        </is>
      </c>
      <c r="T1662" s="1">
        <f>IF(B1662="ไม้กอล์ฟ",J1662,"")</f>
        <v/>
      </c>
    </row>
    <row r="1663">
      <c r="A1663" s="1" t="n">
        <v>2</v>
      </c>
      <c r="B1663" s="1" t="inlineStr">
        <is>
          <t>รองเท้า</t>
        </is>
      </c>
      <c r="C1663" s="1" t="inlineStr">
        <is>
          <t>gf2500200848</t>
        </is>
      </c>
      <c r="D1663" s="1" t="inlineStr">
        <is>
          <t>ADIDAS Rebelcross Men's Spikeless Shoes (Alumnia/White)</t>
        </is>
      </c>
      <c r="E1663" s="1" t="inlineStr">
        <is>
          <t>ADIDAS</t>
        </is>
      </c>
      <c r="F1663" s="1" t="inlineStr">
        <is>
          <t>SPIKELESS SHOES</t>
        </is>
      </c>
      <c r="G1663" s="1" t="inlineStr">
        <is>
          <t>GF2500200848UK6.5</t>
        </is>
      </c>
      <c r="H1663" s="1" t="n">
        <v>11</v>
      </c>
      <c r="I1663" s="1" t="inlineStr">
        <is>
          <t>หมด</t>
        </is>
      </c>
      <c r="J1663" s="13" t="n">
        <v>95</v>
      </c>
      <c r="K1663" s="1" t="inlineStr"/>
      <c r="L1663" s="13" t="n"/>
      <c r="M1663" s="1">
        <f>IF(L1663="","ไม่พบใน SG",IF(ABS(J1663-L1663)&lt;0.005,"ตรงกัน","ไม่ตรง"))</f>
        <v/>
      </c>
      <c r="N1663" s="14">
        <f>IF(L1663="","",ROUND(L1663*'สรุป'!$C$6,-1))</f>
        <v/>
      </c>
      <c r="O1663" s="15" t="n"/>
      <c r="P1663" s="15" t="n"/>
      <c r="Q1663" s="10" t="n"/>
      <c r="R1663" s="10" t="n"/>
      <c r="S1663" s="16" t="inlineStr">
        <is>
          <t>https://mstgolf.co.th/products/gf2500200848</t>
        </is>
      </c>
      <c r="T1663" s="1">
        <f>IF(B1663="ไม้กอล์ฟ",J1663,"")</f>
        <v/>
      </c>
    </row>
    <row r="1664">
      <c r="A1664" s="1" t="n">
        <v>2</v>
      </c>
      <c r="B1664" s="1" t="inlineStr">
        <is>
          <t>ถุงกอล์ฟ</t>
        </is>
      </c>
      <c r="C1664" s="1" t="inlineStr">
        <is>
          <t>gf3000400154</t>
        </is>
      </c>
      <c r="D1664" s="1" t="inlineStr">
        <is>
          <t>CUTTER &amp; BUCK 4-Wheels Travel Cover (Black)</t>
        </is>
      </c>
      <c r="E1664" s="1" t="inlineStr">
        <is>
          <t>CUTTER &amp; BUCK</t>
        </is>
      </c>
      <c r="F1664" s="1" t="inlineStr">
        <is>
          <t>TRAVEL COVER</t>
        </is>
      </c>
      <c r="G1664" s="1" t="inlineStr">
        <is>
          <t>GF3000400154</t>
        </is>
      </c>
      <c r="H1664" s="1" t="n">
        <v>1</v>
      </c>
      <c r="I1664" s="1" t="inlineStr">
        <is>
          <t>หมด</t>
        </is>
      </c>
      <c r="J1664" s="13" t="n">
        <v>95</v>
      </c>
      <c r="K1664" s="1" t="inlineStr"/>
      <c r="L1664" s="13" t="n">
        <v>95</v>
      </c>
      <c r="M1664" s="1">
        <f>IF(L1664="","ไม่พบใน SG",IF(ABS(J1664-L1664)&lt;0.005,"ตรงกัน","ไม่ตรง"))</f>
        <v/>
      </c>
      <c r="N1664" s="14">
        <f>IF(L1664="","",ROUND(L1664*'สรุป'!$C$6,-1))</f>
        <v/>
      </c>
      <c r="O1664" s="15" t="n"/>
      <c r="P1664" s="15" t="n"/>
      <c r="Q1664" s="10" t="n"/>
      <c r="R1664" s="10" t="n"/>
      <c r="S1664" s="16" t="inlineStr">
        <is>
          <t>https://mstgolf.co.th/products/gf3000400154</t>
        </is>
      </c>
      <c r="T1664" s="1">
        <f>IF(B1664="ไม้กอล์ฟ",J1664,"")</f>
        <v/>
      </c>
    </row>
    <row r="1665">
      <c r="A1665" s="1" t="n">
        <v>2</v>
      </c>
      <c r="B1665" s="1" t="inlineStr">
        <is>
          <t>รองเท้า</t>
        </is>
      </c>
      <c r="C1665" s="1" t="inlineStr">
        <is>
          <t>gf2500201185</t>
        </is>
      </c>
      <c r="D1665" s="1" t="inlineStr">
        <is>
          <t>PUMA Arnold Palmer Men's Spikeless Shoes (White/Navy)</t>
        </is>
      </c>
      <c r="E1665" s="1" t="inlineStr">
        <is>
          <t>PUMA</t>
        </is>
      </c>
      <c r="F1665" s="1" t="inlineStr">
        <is>
          <t>SPIKELESS SHOES</t>
        </is>
      </c>
      <c r="G1665" s="1" t="inlineStr">
        <is>
          <t>GF2500201185UK6</t>
        </is>
      </c>
      <c r="H1665" s="1" t="n">
        <v>14</v>
      </c>
      <c r="I1665" s="1" t="inlineStr">
        <is>
          <t>หมด</t>
        </is>
      </c>
      <c r="J1665" s="13" t="n">
        <v>95</v>
      </c>
      <c r="K1665" s="1" t="inlineStr"/>
      <c r="L1665" s="13" t="n">
        <v>95</v>
      </c>
      <c r="M1665" s="1">
        <f>IF(L1665="","ไม่พบใน SG",IF(ABS(J1665-L1665)&lt;0.005,"ตรงกัน","ไม่ตรง"))</f>
        <v/>
      </c>
      <c r="N1665" s="14">
        <f>IF(L1665="","",ROUND(L1665*'สรุป'!$C$6,-1))</f>
        <v/>
      </c>
      <c r="O1665" s="15" t="n"/>
      <c r="P1665" s="15" t="n"/>
      <c r="Q1665" s="10" t="n"/>
      <c r="R1665" s="10" t="n"/>
      <c r="S1665" s="16" t="inlineStr">
        <is>
          <t>https://mstgolf.co.th/products/gf2500201185</t>
        </is>
      </c>
      <c r="T1665" s="1">
        <f>IF(B1665="ไม้กอล์ฟ",J1665,"")</f>
        <v/>
      </c>
    </row>
    <row r="1666">
      <c r="A1666" s="1" t="n">
        <v>2</v>
      </c>
      <c r="B1666" s="1" t="inlineStr">
        <is>
          <t>อุปกรณ์ฝึกซ้อม</t>
        </is>
      </c>
      <c r="C1666" s="1" t="inlineStr">
        <is>
          <t>gf3040100023</t>
        </is>
      </c>
      <c r="D1666" s="1" t="inlineStr">
        <is>
          <t>TABATA Long Hard Tornado Stick</t>
        </is>
      </c>
      <c r="E1666" s="1" t="inlineStr">
        <is>
          <t>TABATA</t>
        </is>
      </c>
      <c r="F1666" s="1" t="inlineStr">
        <is>
          <t>SWING</t>
        </is>
      </c>
      <c r="G1666" s="1" t="inlineStr">
        <is>
          <t>GF3040100023</t>
        </is>
      </c>
      <c r="H1666" s="1" t="n">
        <v>1</v>
      </c>
      <c r="I1666" s="1" t="inlineStr">
        <is>
          <t>หมด</t>
        </is>
      </c>
      <c r="J1666" s="13" t="n">
        <v>95</v>
      </c>
      <c r="K1666" s="1" t="inlineStr"/>
      <c r="L1666" s="13" t="n">
        <v>95</v>
      </c>
      <c r="M1666" s="1">
        <f>IF(L1666="","ไม่พบใน SG",IF(ABS(J1666-L1666)&lt;0.005,"ตรงกัน","ไม่ตรง"))</f>
        <v/>
      </c>
      <c r="N1666" s="14">
        <f>IF(L1666="","",ROUND(L1666*'สรุป'!$C$6,-1))</f>
        <v/>
      </c>
      <c r="O1666" s="15" t="n"/>
      <c r="P1666" s="15" t="n"/>
      <c r="Q1666" s="10" t="n"/>
      <c r="R1666" s="10" t="n"/>
      <c r="S1666" s="16" t="inlineStr">
        <is>
          <t>https://mstgolf.co.th/products/gf3040100023</t>
        </is>
      </c>
      <c r="T1666" s="1">
        <f>IF(B1666="ไม้กอล์ฟ",J1666,"")</f>
        <v/>
      </c>
    </row>
    <row r="1667">
      <c r="A1667" s="1" t="n">
        <v>2</v>
      </c>
      <c r="B1667" s="1" t="inlineStr">
        <is>
          <t>อุปกรณ์ฝึกซ้อม</t>
        </is>
      </c>
      <c r="C1667" s="1" t="inlineStr">
        <is>
          <t>gf3040100022</t>
        </is>
      </c>
      <c r="D1667" s="1" t="inlineStr">
        <is>
          <t>TABATA Long Soft Tornado Stick</t>
        </is>
      </c>
      <c r="E1667" s="1" t="inlineStr">
        <is>
          <t>TABATA</t>
        </is>
      </c>
      <c r="F1667" s="1" t="inlineStr">
        <is>
          <t>SWING</t>
        </is>
      </c>
      <c r="G1667" s="1" t="inlineStr">
        <is>
          <t>GF3040100022</t>
        </is>
      </c>
      <c r="H1667" s="1" t="n">
        <v>1</v>
      </c>
      <c r="I1667" s="1" t="inlineStr">
        <is>
          <t>หมด</t>
        </is>
      </c>
      <c r="J1667" s="13" t="n">
        <v>95</v>
      </c>
      <c r="K1667" s="1" t="inlineStr"/>
      <c r="L1667" s="13" t="n">
        <v>95</v>
      </c>
      <c r="M1667" s="1">
        <f>IF(L1667="","ไม่พบใน SG",IF(ABS(J1667-L1667)&lt;0.005,"ตรงกัน","ไม่ตรง"))</f>
        <v/>
      </c>
      <c r="N1667" s="14">
        <f>IF(L1667="","",ROUND(L1667*'สรุป'!$C$6,-1))</f>
        <v/>
      </c>
      <c r="O1667" s="15" t="n"/>
      <c r="P1667" s="15" t="n"/>
      <c r="Q1667" s="10" t="n"/>
      <c r="R1667" s="10" t="n"/>
      <c r="S1667" s="16" t="inlineStr">
        <is>
          <t>https://mstgolf.co.th/products/gf3040100022</t>
        </is>
      </c>
      <c r="T1667" s="1">
        <f>IF(B1667="ไม้กอล์ฟ",J1667,"")</f>
        <v/>
      </c>
    </row>
    <row r="1668">
      <c r="A1668" s="1" t="n">
        <v>2</v>
      </c>
      <c r="B1668" s="1" t="inlineStr">
        <is>
          <t>อุปกรณ์ฝึกซ้อม</t>
        </is>
      </c>
      <c r="C1668" s="1" t="inlineStr">
        <is>
          <t>gf3040100024</t>
        </is>
      </c>
      <c r="D1668" s="1" t="inlineStr">
        <is>
          <t>TABATA Short Soft Tornado Stick</t>
        </is>
      </c>
      <c r="E1668" s="1" t="inlineStr">
        <is>
          <t>TABATA</t>
        </is>
      </c>
      <c r="F1668" s="1" t="inlineStr">
        <is>
          <t>SWING</t>
        </is>
      </c>
      <c r="G1668" s="1" t="inlineStr">
        <is>
          <t>GF3040100024</t>
        </is>
      </c>
      <c r="H1668" s="1" t="n">
        <v>1</v>
      </c>
      <c r="I1668" s="1" t="inlineStr">
        <is>
          <t>หมด</t>
        </is>
      </c>
      <c r="J1668" s="13" t="n">
        <v>95</v>
      </c>
      <c r="K1668" s="1" t="inlineStr"/>
      <c r="L1668" s="13" t="n">
        <v>95</v>
      </c>
      <c r="M1668" s="1">
        <f>IF(L1668="","ไม่พบใน SG",IF(ABS(J1668-L1668)&lt;0.005,"ตรงกัน","ไม่ตรง"))</f>
        <v/>
      </c>
      <c r="N1668" s="14">
        <f>IF(L1668="","",ROUND(L1668*'สรุป'!$C$6,-1))</f>
        <v/>
      </c>
      <c r="O1668" s="15" t="n"/>
      <c r="P1668" s="15" t="n"/>
      <c r="Q1668" s="10" t="n"/>
      <c r="R1668" s="10" t="n"/>
      <c r="S1668" s="16" t="inlineStr">
        <is>
          <t>https://mstgolf.co.th/products/gf3040100024</t>
        </is>
      </c>
      <c r="T1668" s="1">
        <f>IF(B1668="ไม้กอล์ฟ",J1668,"")</f>
        <v/>
      </c>
    </row>
    <row r="1669">
      <c r="A1669" s="1" t="n">
        <v>2</v>
      </c>
      <c r="B1669" s="1" t="inlineStr">
        <is>
          <t>ถุงกอล์ฟ</t>
        </is>
      </c>
      <c r="C1669" s="1" t="inlineStr">
        <is>
          <t>gf3010600096</t>
        </is>
      </c>
      <c r="D1669" s="1" t="inlineStr">
        <is>
          <t>TAYLORMADE Golden-State Big Tote (Beige)</t>
        </is>
      </c>
      <c r="E1669" s="1" t="inlineStr">
        <is>
          <t>TAYLORMADE</t>
        </is>
      </c>
      <c r="F1669" s="1" t="inlineStr">
        <is>
          <t>SHOULDER BAG</t>
        </is>
      </c>
      <c r="G1669" s="1" t="inlineStr">
        <is>
          <t>GF3010600096</t>
        </is>
      </c>
      <c r="H1669" s="1" t="n">
        <v>1</v>
      </c>
      <c r="I1669" s="1" t="inlineStr">
        <is>
          <t>หมด</t>
        </is>
      </c>
      <c r="J1669" s="13" t="n">
        <v>95</v>
      </c>
      <c r="K1669" s="1" t="inlineStr"/>
      <c r="L1669" s="13" t="n">
        <v>95</v>
      </c>
      <c r="M1669" s="1">
        <f>IF(L1669="","ไม่พบใน SG",IF(ABS(J1669-L1669)&lt;0.005,"ตรงกัน","ไม่ตรง"))</f>
        <v/>
      </c>
      <c r="N1669" s="14">
        <f>IF(L1669="","",ROUND(L1669*'สรุป'!$C$6,-1))</f>
        <v/>
      </c>
      <c r="O1669" s="15" t="n"/>
      <c r="P1669" s="15" t="n"/>
      <c r="Q1669" s="10" t="n"/>
      <c r="R1669" s="10" t="n"/>
      <c r="S1669" s="16" t="inlineStr">
        <is>
          <t>https://mstgolf.co.th/products/gf3010600096</t>
        </is>
      </c>
      <c r="T1669" s="1">
        <f>IF(B1669="ไม้กอล์ฟ",J1669,"")</f>
        <v/>
      </c>
    </row>
    <row r="1670">
      <c r="A1670" s="1" t="n">
        <v>2</v>
      </c>
      <c r="B1670" s="1" t="inlineStr">
        <is>
          <t>รถเข็น</t>
        </is>
      </c>
      <c r="C1670" s="1" t="inlineStr">
        <is>
          <t>gf3030100030</t>
        </is>
      </c>
      <c r="D1670" s="1" t="inlineStr">
        <is>
          <t>AEROCART Alum 2-Wheels Trolley (Black)</t>
        </is>
      </c>
      <c r="E1670" s="1" t="inlineStr">
        <is>
          <t>AEROCART</t>
        </is>
      </c>
      <c r="F1670" s="1" t="inlineStr">
        <is>
          <t>TROLLEY</t>
        </is>
      </c>
      <c r="G1670" s="1" t="inlineStr">
        <is>
          <t>GF3030100030</t>
        </is>
      </c>
      <c r="H1670" s="1" t="n">
        <v>1</v>
      </c>
      <c r="I1670" s="1" t="inlineStr">
        <is>
          <t>หมด</t>
        </is>
      </c>
      <c r="J1670" s="13" t="n">
        <v>89</v>
      </c>
      <c r="K1670" s="1" t="inlineStr"/>
      <c r="L1670" s="13" t="n">
        <v>89</v>
      </c>
      <c r="M1670" s="1">
        <f>IF(L1670="","ไม่พบใน SG",IF(ABS(J1670-L1670)&lt;0.005,"ตรงกัน","ไม่ตรง"))</f>
        <v/>
      </c>
      <c r="N1670" s="14">
        <f>IF(L1670="","",ROUND(L1670*'สรุป'!$C$6,-1))</f>
        <v/>
      </c>
      <c r="O1670" s="15" t="n"/>
      <c r="P1670" s="15" t="n"/>
      <c r="Q1670" s="10" t="n"/>
      <c r="R1670" s="10" t="n"/>
      <c r="S1670" s="16" t="inlineStr">
        <is>
          <t>https://mstgolf.co.th/products/gf3030100030</t>
        </is>
      </c>
      <c r="T1670" s="1">
        <f>IF(B1670="ไม้กอล์ฟ",J1670,"")</f>
        <v/>
      </c>
    </row>
    <row r="1671">
      <c r="A1671" s="1" t="n">
        <v>2</v>
      </c>
      <c r="B1671" s="1" t="inlineStr">
        <is>
          <t>ถุงกอล์ฟ</t>
        </is>
      </c>
      <c r="C1671" s="1" t="inlineStr">
        <is>
          <t>gf3000300404</t>
        </is>
      </c>
      <c r="D1671" s="1" t="inlineStr">
        <is>
          <t>TAYLORMADE Concept One Soft Range Bag (Black/White)</t>
        </is>
      </c>
      <c r="E1671" s="1" t="inlineStr">
        <is>
          <t>TAYLORMADE</t>
        </is>
      </c>
      <c r="F1671" s="1" t="inlineStr">
        <is>
          <t>RANGE BAG</t>
        </is>
      </c>
      <c r="G1671" s="1" t="inlineStr">
        <is>
          <t>GF3000300404</t>
        </is>
      </c>
      <c r="H1671" s="1" t="n">
        <v>1</v>
      </c>
      <c r="I1671" s="1" t="inlineStr">
        <is>
          <t>หมด</t>
        </is>
      </c>
      <c r="J1671" s="13" t="n">
        <v>89</v>
      </c>
      <c r="K1671" s="1" t="inlineStr"/>
      <c r="L1671" s="13" t="n">
        <v>89</v>
      </c>
      <c r="M1671" s="1">
        <f>IF(L1671="","ไม่พบใน SG",IF(ABS(J1671-L1671)&lt;0.005,"ตรงกัน","ไม่ตรง"))</f>
        <v/>
      </c>
      <c r="N1671" s="14">
        <f>IF(L1671="","",ROUND(L1671*'สรุป'!$C$6,-1))</f>
        <v/>
      </c>
      <c r="O1671" s="15" t="n"/>
      <c r="P1671" s="15" t="n"/>
      <c r="Q1671" s="10" t="n"/>
      <c r="R1671" s="10" t="n"/>
      <c r="S1671" s="16" t="inlineStr">
        <is>
          <t>https://mstgolf.co.th/products/gf3000300404</t>
        </is>
      </c>
      <c r="T1671" s="1">
        <f>IF(B1671="ไม้กอล์ฟ",J1671,"")</f>
        <v/>
      </c>
    </row>
    <row r="1672">
      <c r="A1672" s="1" t="n">
        <v>2</v>
      </c>
      <c r="B1672" s="1" t="inlineStr">
        <is>
          <t>ลูกกอล์ฟ</t>
        </is>
      </c>
      <c r="C1672" s="1" t="inlineStr">
        <is>
          <t>gf3200400322</t>
        </is>
      </c>
      <c r="D1672" s="1" t="inlineStr">
        <is>
          <t>TAYLORMADE TP5 Collector's Edition (2025) Golf Ball</t>
        </is>
      </c>
      <c r="E1672" s="1" t="inlineStr">
        <is>
          <t>TAYLORMADE</t>
        </is>
      </c>
      <c r="F1672" s="1" t="inlineStr">
        <is>
          <t>TOUR</t>
        </is>
      </c>
      <c r="G1672" s="1" t="inlineStr">
        <is>
          <t>GF3200400322</t>
        </is>
      </c>
      <c r="H1672" s="1" t="n">
        <v>1</v>
      </c>
      <c r="I1672" s="1" t="inlineStr">
        <is>
          <t>หมด</t>
        </is>
      </c>
      <c r="J1672" s="13" t="n">
        <v>89</v>
      </c>
      <c r="K1672" s="1" t="inlineStr"/>
      <c r="L1672" s="13" t="n"/>
      <c r="M1672" s="1">
        <f>IF(L1672="","ไม่พบใน SG",IF(ABS(J1672-L1672)&lt;0.005,"ตรงกัน","ไม่ตรง"))</f>
        <v/>
      </c>
      <c r="N1672" s="14">
        <f>IF(L1672="","",ROUND(L1672*'สรุป'!$C$6,-1))</f>
        <v/>
      </c>
      <c r="O1672" s="15" t="n"/>
      <c r="P1672" s="15" t="n"/>
      <c r="Q1672" s="10" t="n"/>
      <c r="R1672" s="10" t="n"/>
      <c r="S1672" s="16" t="inlineStr">
        <is>
          <t>https://mstgolf.co.th/products/gf3200400322</t>
        </is>
      </c>
      <c r="T1672" s="1">
        <f>IF(B1672="ไม้กอล์ฟ",J1672,"")</f>
        <v/>
      </c>
    </row>
    <row r="1673">
      <c r="A1673" s="1" t="n">
        <v>2</v>
      </c>
      <c r="B1673" s="1" t="inlineStr">
        <is>
          <t>ลูกกอล์ฟ</t>
        </is>
      </c>
      <c r="C1673" s="1" t="inlineStr">
        <is>
          <t>gf3200400339</t>
        </is>
      </c>
      <c r="D1673" s="1" t="inlineStr">
        <is>
          <t>TAYLORMADE TP5 Rory Limited Edition (2025) Golf Ball</t>
        </is>
      </c>
      <c r="E1673" s="1" t="inlineStr">
        <is>
          <t>TAYLORMADE</t>
        </is>
      </c>
      <c r="F1673" s="1" t="inlineStr">
        <is>
          <t>TOUR</t>
        </is>
      </c>
      <c r="G1673" s="1" t="inlineStr">
        <is>
          <t>GF3200400339</t>
        </is>
      </c>
      <c r="H1673" s="1" t="n">
        <v>1</v>
      </c>
      <c r="I1673" s="1" t="inlineStr">
        <is>
          <t>หมด</t>
        </is>
      </c>
      <c r="J1673" s="13" t="n">
        <v>89</v>
      </c>
      <c r="K1673" s="1" t="inlineStr"/>
      <c r="L1673" s="13" t="n"/>
      <c r="M1673" s="1">
        <f>IF(L1673="","ไม่พบใน SG",IF(ABS(J1673-L1673)&lt;0.005,"ตรงกัน","ไม่ตรง"))</f>
        <v/>
      </c>
      <c r="N1673" s="14">
        <f>IF(L1673="","",ROUND(L1673*'สรุป'!$C$6,-1))</f>
        <v/>
      </c>
      <c r="O1673" s="15" t="n"/>
      <c r="P1673" s="15" t="n"/>
      <c r="Q1673" s="10" t="n"/>
      <c r="R1673" s="10" t="n"/>
      <c r="S1673" s="16" t="inlineStr">
        <is>
          <t>https://mstgolf.co.th/products/gf3200400339</t>
        </is>
      </c>
      <c r="T1673" s="1">
        <f>IF(B1673="ไม้กอล์ฟ",J1673,"")</f>
        <v/>
      </c>
    </row>
    <row r="1674">
      <c r="A1674" s="1" t="n">
        <v>2</v>
      </c>
      <c r="B1674" s="1" t="inlineStr">
        <is>
          <t>ลูกกอล์ฟ</t>
        </is>
      </c>
      <c r="C1674" s="1" t="inlineStr">
        <is>
          <t>gf3200400257</t>
        </is>
      </c>
      <c r="D1674" s="1" t="inlineStr">
        <is>
          <t>TAYLORMADE TP5X Pix 3.0 Hawaii (2024) Golf Ball</t>
        </is>
      </c>
      <c r="E1674" s="1" t="inlineStr">
        <is>
          <t>TAYLORMADE</t>
        </is>
      </c>
      <c r="F1674" s="1" t="inlineStr">
        <is>
          <t>TOUR</t>
        </is>
      </c>
      <c r="G1674" s="1" t="inlineStr">
        <is>
          <t>GF3200400257</t>
        </is>
      </c>
      <c r="H1674" s="1" t="n">
        <v>1</v>
      </c>
      <c r="I1674" s="1" t="inlineStr">
        <is>
          <t>หมด</t>
        </is>
      </c>
      <c r="J1674" s="13" t="n">
        <v>89</v>
      </c>
      <c r="K1674" s="1" t="inlineStr"/>
      <c r="L1674" s="13" t="n">
        <v>89</v>
      </c>
      <c r="M1674" s="1">
        <f>IF(L1674="","ไม่พบใน SG",IF(ABS(J1674-L1674)&lt;0.005,"ตรงกัน","ไม่ตรง"))</f>
        <v/>
      </c>
      <c r="N1674" s="14">
        <f>IF(L1674="","",ROUND(L1674*'สรุป'!$C$6,-1))</f>
        <v/>
      </c>
      <c r="O1674" s="15" t="n"/>
      <c r="P1674" s="15" t="n"/>
      <c r="Q1674" s="10" t="n"/>
      <c r="R1674" s="10" t="n"/>
      <c r="S1674" s="16" t="inlineStr">
        <is>
          <t>https://mstgolf.co.th/products/gf3200400257</t>
        </is>
      </c>
      <c r="T1674" s="1">
        <f>IF(B1674="ไม้กอล์ฟ",J1674,"")</f>
        <v/>
      </c>
    </row>
    <row r="1675">
      <c r="A1675" s="1" t="n">
        <v>2</v>
      </c>
      <c r="B1675" s="1" t="inlineStr">
        <is>
          <t>ลูกกอล์ฟ</t>
        </is>
      </c>
      <c r="C1675" s="1" t="inlineStr">
        <is>
          <t>gf3200400259</t>
        </is>
      </c>
      <c r="D1675" s="1" t="inlineStr">
        <is>
          <t>TAYLORMADE TP5X Pix 3.0 Season Opener Limited Edition (2024) Golf Ball</t>
        </is>
      </c>
      <c r="E1675" s="1" t="inlineStr">
        <is>
          <t>TAYLORMADE</t>
        </is>
      </c>
      <c r="F1675" s="1" t="inlineStr">
        <is>
          <t>TOUR</t>
        </is>
      </c>
      <c r="G1675" s="1" t="inlineStr">
        <is>
          <t>GF3200400259</t>
        </is>
      </c>
      <c r="H1675" s="1" t="n">
        <v>1</v>
      </c>
      <c r="I1675" s="1" t="inlineStr">
        <is>
          <t>หมด</t>
        </is>
      </c>
      <c r="J1675" s="13" t="n">
        <v>89</v>
      </c>
      <c r="K1675" s="1" t="inlineStr"/>
      <c r="L1675" s="13" t="n">
        <v>89</v>
      </c>
      <c r="M1675" s="1">
        <f>IF(L1675="","ไม่พบใน SG",IF(ABS(J1675-L1675)&lt;0.005,"ตรงกัน","ไม่ตรง"))</f>
        <v/>
      </c>
      <c r="N1675" s="14">
        <f>IF(L1675="","",ROUND(L1675*'สรุป'!$C$6,-1))</f>
        <v/>
      </c>
      <c r="O1675" s="15" t="n"/>
      <c r="P1675" s="15" t="n"/>
      <c r="Q1675" s="10" t="n"/>
      <c r="R1675" s="10" t="n"/>
      <c r="S1675" s="16" t="inlineStr">
        <is>
          <t>https://mstgolf.co.th/products/gf3200400259</t>
        </is>
      </c>
      <c r="T1675" s="1">
        <f>IF(B1675="ไม้กอล์ฟ",J1675,"")</f>
        <v/>
      </c>
    </row>
    <row r="1676">
      <c r="A1676" s="1" t="n">
        <v>2</v>
      </c>
      <c r="B1676" s="1" t="inlineStr">
        <is>
          <t>ลูกกอล์ฟ</t>
        </is>
      </c>
      <c r="C1676" s="1" t="inlineStr">
        <is>
          <t>gf3200400264</t>
        </is>
      </c>
      <c r="D1676" s="1" t="inlineStr">
        <is>
          <t>TAYLORMADE TP5x Pix 3.0 12 Days Limited Edition (2024) Golf Ball</t>
        </is>
      </c>
      <c r="E1676" s="1" t="inlineStr">
        <is>
          <t>TAYLORMADE</t>
        </is>
      </c>
      <c r="F1676" s="1" t="inlineStr">
        <is>
          <t>TOUR</t>
        </is>
      </c>
      <c r="G1676" s="1" t="inlineStr">
        <is>
          <t>GF3200400264</t>
        </is>
      </c>
      <c r="H1676" s="1" t="n">
        <v>1</v>
      </c>
      <c r="I1676" s="1" t="inlineStr">
        <is>
          <t>หมด</t>
        </is>
      </c>
      <c r="J1676" s="13" t="n">
        <v>89</v>
      </c>
      <c r="K1676" s="1" t="inlineStr"/>
      <c r="L1676" s="13" t="n">
        <v>89</v>
      </c>
      <c r="M1676" s="1">
        <f>IF(L1676="","ไม่พบใน SG",IF(ABS(J1676-L1676)&lt;0.005,"ตรงกัน","ไม่ตรง"))</f>
        <v/>
      </c>
      <c r="N1676" s="14">
        <f>IF(L1676="","",ROUND(L1676*'สรุป'!$C$6,-1))</f>
        <v/>
      </c>
      <c r="O1676" s="15" t="n"/>
      <c r="P1676" s="15" t="n"/>
      <c r="Q1676" s="10" t="n"/>
      <c r="R1676" s="10" t="n"/>
      <c r="S1676" s="16" t="inlineStr">
        <is>
          <t>https://mstgolf.co.th/products/gf3200400264</t>
        </is>
      </c>
      <c r="T1676" s="1">
        <f>IF(B1676="ไม้กอล์ฟ",J1676,"")</f>
        <v/>
      </c>
    </row>
    <row r="1677">
      <c r="A1677" s="1" t="n">
        <v>2</v>
      </c>
      <c r="B1677" s="1" t="inlineStr">
        <is>
          <t>ลูกกอล์ฟ</t>
        </is>
      </c>
      <c r="C1677" s="1" t="inlineStr">
        <is>
          <t>gf3200400263</t>
        </is>
      </c>
      <c r="D1677" s="1" t="inlineStr">
        <is>
          <t>TAYLORMADE TP5x Pix 3.0 Monster Limited Edition (2024) Golf Ball</t>
        </is>
      </c>
      <c r="E1677" s="1" t="inlineStr">
        <is>
          <t>TAYLORMADE</t>
        </is>
      </c>
      <c r="F1677" s="1" t="inlineStr">
        <is>
          <t>TOUR</t>
        </is>
      </c>
      <c r="G1677" s="1" t="inlineStr">
        <is>
          <t>GF3200400263</t>
        </is>
      </c>
      <c r="H1677" s="1" t="n">
        <v>1</v>
      </c>
      <c r="I1677" s="1" t="inlineStr">
        <is>
          <t>หมด</t>
        </is>
      </c>
      <c r="J1677" s="13" t="n">
        <v>89</v>
      </c>
      <c r="K1677" s="1" t="inlineStr"/>
      <c r="L1677" s="13" t="n">
        <v>89</v>
      </c>
      <c r="M1677" s="1">
        <f>IF(L1677="","ไม่พบใน SG",IF(ABS(J1677-L1677)&lt;0.005,"ตรงกัน","ไม่ตรง"))</f>
        <v/>
      </c>
      <c r="N1677" s="14">
        <f>IF(L1677="","",ROUND(L1677*'สรุป'!$C$6,-1))</f>
        <v/>
      </c>
      <c r="O1677" s="15" t="n"/>
      <c r="P1677" s="15" t="n"/>
      <c r="Q1677" s="10" t="n"/>
      <c r="R1677" s="10" t="n"/>
      <c r="S1677" s="16" t="inlineStr">
        <is>
          <t>https://mstgolf.co.th/products/gf3200400263</t>
        </is>
      </c>
      <c r="T1677" s="1">
        <f>IF(B1677="ไม้กอล์ฟ",J1677,"")</f>
        <v/>
      </c>
    </row>
    <row r="1678">
      <c r="A1678" s="1" t="n">
        <v>2</v>
      </c>
      <c r="B1678" s="1" t="inlineStr">
        <is>
          <t>ลูกกอล์ฟ</t>
        </is>
      </c>
      <c r="C1678" s="1" t="inlineStr">
        <is>
          <t>gf3200400261</t>
        </is>
      </c>
      <c r="D1678" s="1" t="inlineStr">
        <is>
          <t>TAYLORMADE TP5x Pix 3.0 US Open Limited Edition (2024) Golf Ball</t>
        </is>
      </c>
      <c r="E1678" s="1" t="inlineStr">
        <is>
          <t>TAYLORMADE</t>
        </is>
      </c>
      <c r="F1678" s="1" t="inlineStr">
        <is>
          <t>TOUR</t>
        </is>
      </c>
      <c r="G1678" s="1" t="inlineStr">
        <is>
          <t>GF3200400261</t>
        </is>
      </c>
      <c r="H1678" s="1" t="n">
        <v>1</v>
      </c>
      <c r="I1678" s="1" t="inlineStr">
        <is>
          <t>หมด</t>
        </is>
      </c>
      <c r="J1678" s="13" t="n">
        <v>89</v>
      </c>
      <c r="K1678" s="1" t="inlineStr"/>
      <c r="L1678" s="13" t="n">
        <v>89</v>
      </c>
      <c r="M1678" s="1">
        <f>IF(L1678="","ไม่พบใน SG",IF(ABS(J1678-L1678)&lt;0.005,"ตรงกัน","ไม่ตรง"))</f>
        <v/>
      </c>
      <c r="N1678" s="14">
        <f>IF(L1678="","",ROUND(L1678*'สรุป'!$C$6,-1))</f>
        <v/>
      </c>
      <c r="O1678" s="15" t="n"/>
      <c r="P1678" s="15" t="n"/>
      <c r="Q1678" s="10" t="n"/>
      <c r="R1678" s="10" t="n"/>
      <c r="S1678" s="16" t="inlineStr">
        <is>
          <t>https://mstgolf.co.th/products/gf3200400261</t>
        </is>
      </c>
      <c r="T1678" s="1">
        <f>IF(B1678="ไม้กอล์ฟ",J1678,"")</f>
        <v/>
      </c>
    </row>
    <row r="1679">
      <c r="A1679" s="1" t="n">
        <v>2</v>
      </c>
      <c r="B1679" s="1" t="inlineStr">
        <is>
          <t>ลูกกอล์ฟ</t>
        </is>
      </c>
      <c r="C1679" s="1" t="inlineStr">
        <is>
          <t>gf3200400305</t>
        </is>
      </c>
      <c r="D1679" s="1" t="inlineStr">
        <is>
          <t>TAYLORMADE TP5x Pix Darts Limited Edition (2025) Golf Ball</t>
        </is>
      </c>
      <c r="E1679" s="1" t="inlineStr">
        <is>
          <t>TAYLORMADE</t>
        </is>
      </c>
      <c r="F1679" s="1" t="inlineStr">
        <is>
          <t>TOUR</t>
        </is>
      </c>
      <c r="G1679" s="1" t="inlineStr">
        <is>
          <t>GF3200400305</t>
        </is>
      </c>
      <c r="H1679" s="1" t="n">
        <v>1</v>
      </c>
      <c r="I1679" s="1" t="inlineStr">
        <is>
          <t>หมด</t>
        </is>
      </c>
      <c r="J1679" s="13" t="n">
        <v>89</v>
      </c>
      <c r="K1679" s="1" t="inlineStr"/>
      <c r="L1679" s="13" t="n">
        <v>89</v>
      </c>
      <c r="M1679" s="1">
        <f>IF(L1679="","ไม่พบใน SG",IF(ABS(J1679-L1679)&lt;0.005,"ตรงกัน","ไม่ตรง"))</f>
        <v/>
      </c>
      <c r="N1679" s="14">
        <f>IF(L1679="","",ROUND(L1679*'สรุป'!$C$6,-1))</f>
        <v/>
      </c>
      <c r="O1679" s="15" t="n"/>
      <c r="P1679" s="15" t="n"/>
      <c r="Q1679" s="10" t="n"/>
      <c r="R1679" s="10" t="n"/>
      <c r="S1679" s="16" t="inlineStr">
        <is>
          <t>https://mstgolf.co.th/products/gf3200400305</t>
        </is>
      </c>
      <c r="T1679" s="1">
        <f>IF(B1679="ไม้กอล์ฟ",J1679,"")</f>
        <v/>
      </c>
    </row>
    <row r="1680">
      <c r="A1680" s="1" t="n">
        <v>2</v>
      </c>
      <c r="B1680" s="1" t="inlineStr">
        <is>
          <t>ลูกกอล์ฟ</t>
        </is>
      </c>
      <c r="C1680" s="1" t="inlineStr">
        <is>
          <t>gf3200400304</t>
        </is>
      </c>
      <c r="D1680" s="1" t="inlineStr">
        <is>
          <t>TAYLORMADE TP5x Stripe Firecracker Limited Edition (2025) Golf Ball</t>
        </is>
      </c>
      <c r="E1680" s="1" t="inlineStr">
        <is>
          <t>TAYLORMADE</t>
        </is>
      </c>
      <c r="F1680" s="1" t="inlineStr">
        <is>
          <t>TOUR</t>
        </is>
      </c>
      <c r="G1680" s="1" t="inlineStr">
        <is>
          <t>GF3200400304</t>
        </is>
      </c>
      <c r="H1680" s="1" t="n">
        <v>1</v>
      </c>
      <c r="I1680" s="1" t="inlineStr">
        <is>
          <t>หมด</t>
        </is>
      </c>
      <c r="J1680" s="13" t="n">
        <v>89</v>
      </c>
      <c r="K1680" s="1" t="inlineStr"/>
      <c r="L1680" s="13" t="n">
        <v>89</v>
      </c>
      <c r="M1680" s="1">
        <f>IF(L1680="","ไม่พบใน SG",IF(ABS(J1680-L1680)&lt;0.005,"ตรงกัน","ไม่ตรง"))</f>
        <v/>
      </c>
      <c r="N1680" s="14">
        <f>IF(L1680="","",ROUND(L1680*'สรุป'!$C$6,-1))</f>
        <v/>
      </c>
      <c r="O1680" s="15" t="n"/>
      <c r="P1680" s="15" t="n"/>
      <c r="Q1680" s="10" t="n"/>
      <c r="R1680" s="10" t="n"/>
      <c r="S1680" s="16" t="inlineStr">
        <is>
          <t>https://mstgolf.co.th/products/gf3200400304</t>
        </is>
      </c>
      <c r="T1680" s="1">
        <f>IF(B1680="ไม้กอล์ฟ",J1680,"")</f>
        <v/>
      </c>
    </row>
    <row r="1681">
      <c r="A1681" s="1" t="n">
        <v>2</v>
      </c>
      <c r="B1681" s="1" t="inlineStr">
        <is>
          <t>ลูกกอล์ฟ</t>
        </is>
      </c>
      <c r="C1681" s="1" t="inlineStr">
        <is>
          <t>gf3200400306</t>
        </is>
      </c>
      <c r="D1681" s="1" t="inlineStr">
        <is>
          <t>TAYLORMADE TP5x Stripe Season Opener (2025) Golf Ball</t>
        </is>
      </c>
      <c r="E1681" s="1" t="inlineStr">
        <is>
          <t>TAYLORMADE</t>
        </is>
      </c>
      <c r="F1681" s="1" t="inlineStr">
        <is>
          <t>TOUR</t>
        </is>
      </c>
      <c r="G1681" s="1" t="inlineStr">
        <is>
          <t>GF3200400306</t>
        </is>
      </c>
      <c r="H1681" s="1" t="n">
        <v>1</v>
      </c>
      <c r="I1681" s="1" t="inlineStr">
        <is>
          <t>หมด</t>
        </is>
      </c>
      <c r="J1681" s="13" t="n">
        <v>89</v>
      </c>
      <c r="K1681" s="1" t="inlineStr"/>
      <c r="L1681" s="13" t="n">
        <v>89</v>
      </c>
      <c r="M1681" s="1">
        <f>IF(L1681="","ไม่พบใน SG",IF(ABS(J1681-L1681)&lt;0.005,"ตรงกัน","ไม่ตรง"))</f>
        <v/>
      </c>
      <c r="N1681" s="14">
        <f>IF(L1681="","",ROUND(L1681*'สรุป'!$C$6,-1))</f>
        <v/>
      </c>
      <c r="O1681" s="15" t="n"/>
      <c r="P1681" s="15" t="n"/>
      <c r="Q1681" s="10" t="n"/>
      <c r="R1681" s="10" t="n"/>
      <c r="S1681" s="16" t="inlineStr">
        <is>
          <t>https://mstgolf.co.th/products/gf3200400306</t>
        </is>
      </c>
      <c r="T1681" s="1">
        <f>IF(B1681="ไม้กอล์ฟ",J1681,"")</f>
        <v/>
      </c>
    </row>
    <row r="1682">
      <c r="A1682" s="1" t="n">
        <v>2</v>
      </c>
      <c r="B1682" s="1" t="inlineStr">
        <is>
          <t>ลูกกอล์ฟ</t>
        </is>
      </c>
      <c r="C1682" s="1" t="inlineStr">
        <is>
          <t>gf3200400319</t>
        </is>
      </c>
      <c r="D1682" s="1" t="inlineStr">
        <is>
          <t>TAYLORMADE TP5x pix Halloween Limited Edition (2025) Golf Ball</t>
        </is>
      </c>
      <c r="E1682" s="1" t="inlineStr">
        <is>
          <t>TAYLORMADE</t>
        </is>
      </c>
      <c r="F1682" s="1" t="inlineStr">
        <is>
          <t>TOUR</t>
        </is>
      </c>
      <c r="G1682" s="1" t="inlineStr">
        <is>
          <t>GF3200400319</t>
        </is>
      </c>
      <c r="H1682" s="1" t="n">
        <v>1</v>
      </c>
      <c r="I1682" s="1" t="inlineStr">
        <is>
          <t>หมด</t>
        </is>
      </c>
      <c r="J1682" s="13" t="n">
        <v>89</v>
      </c>
      <c r="K1682" s="1" t="inlineStr"/>
      <c r="L1682" s="13" t="n"/>
      <c r="M1682" s="1">
        <f>IF(L1682="","ไม่พบใน SG",IF(ABS(J1682-L1682)&lt;0.005,"ตรงกัน","ไม่ตรง"))</f>
        <v/>
      </c>
      <c r="N1682" s="14">
        <f>IF(L1682="","",ROUND(L1682*'สรุป'!$C$6,-1))</f>
        <v/>
      </c>
      <c r="O1682" s="15" t="n"/>
      <c r="P1682" s="15" t="n"/>
      <c r="Q1682" s="10" t="n"/>
      <c r="R1682" s="10" t="n"/>
      <c r="S1682" s="16" t="inlineStr">
        <is>
          <t>https://mstgolf.co.th/products/gf3200400319</t>
        </is>
      </c>
      <c r="T1682" s="1">
        <f>IF(B1682="ไม้กอล์ฟ",J1682,"")</f>
        <v/>
      </c>
    </row>
    <row r="1683">
      <c r="A1683" s="1" t="n">
        <v>2</v>
      </c>
      <c r="B1683" s="1" t="inlineStr">
        <is>
          <t>ลูกกอล์ฟ</t>
        </is>
      </c>
      <c r="C1683" s="1" t="inlineStr">
        <is>
          <t>gf3200400315</t>
        </is>
      </c>
      <c r="D1683" s="1" t="inlineStr">
        <is>
          <t>TAYLORMADE TP5x pix Heritage (2025) Golf Ball</t>
        </is>
      </c>
      <c r="E1683" s="1" t="inlineStr">
        <is>
          <t>TAYLORMADE</t>
        </is>
      </c>
      <c r="F1683" s="1" t="inlineStr">
        <is>
          <t>TOUR</t>
        </is>
      </c>
      <c r="G1683" s="1" t="inlineStr">
        <is>
          <t>GF3200400315</t>
        </is>
      </c>
      <c r="H1683" s="1" t="n">
        <v>1</v>
      </c>
      <c r="I1683" s="1" t="inlineStr">
        <is>
          <t>หมด</t>
        </is>
      </c>
      <c r="J1683" s="13" t="n">
        <v>89</v>
      </c>
      <c r="K1683" s="1" t="inlineStr"/>
      <c r="L1683" s="13" t="n">
        <v>89</v>
      </c>
      <c r="M1683" s="1">
        <f>IF(L1683="","ไม่พบใน SG",IF(ABS(J1683-L1683)&lt;0.005,"ตรงกัน","ไม่ตรง"))</f>
        <v/>
      </c>
      <c r="N1683" s="14">
        <f>IF(L1683="","",ROUND(L1683*'สรุป'!$C$6,-1))</f>
        <v/>
      </c>
      <c r="O1683" s="15" t="n"/>
      <c r="P1683" s="15" t="n"/>
      <c r="Q1683" s="10" t="n"/>
      <c r="R1683" s="10" t="n"/>
      <c r="S1683" s="16" t="inlineStr">
        <is>
          <t>https://mstgolf.co.th/products/gf3200400315</t>
        </is>
      </c>
      <c r="T1683" s="1">
        <f>IF(B1683="ไม้กอล์ฟ",J1683,"")</f>
        <v/>
      </c>
    </row>
    <row r="1684">
      <c r="A1684" s="1" t="n">
        <v>2</v>
      </c>
      <c r="B1684" s="1" t="inlineStr">
        <is>
          <t>ลูกกอล์ฟ</t>
        </is>
      </c>
      <c r="C1684" s="1" t="inlineStr">
        <is>
          <t>gf3200400340</t>
        </is>
      </c>
      <c r="D1684" s="1" t="inlineStr">
        <is>
          <t>TAYLORMADE TP5x pix Island Time (2026) Golf Ball</t>
        </is>
      </c>
      <c r="E1684" s="1" t="inlineStr">
        <is>
          <t>TAYLORMADE</t>
        </is>
      </c>
      <c r="F1684" s="1" t="inlineStr">
        <is>
          <t>TOUR</t>
        </is>
      </c>
      <c r="G1684" s="1" t="inlineStr">
        <is>
          <t>GF3200400340</t>
        </is>
      </c>
      <c r="H1684" s="1" t="n">
        <v>1</v>
      </c>
      <c r="I1684" s="1" t="inlineStr">
        <is>
          <t>หมด</t>
        </is>
      </c>
      <c r="J1684" s="13" t="n">
        <v>89</v>
      </c>
      <c r="K1684" s="1" t="inlineStr"/>
      <c r="L1684" s="13" t="n"/>
      <c r="M1684" s="1">
        <f>IF(L1684="","ไม่พบใน SG",IF(ABS(J1684-L1684)&lt;0.005,"ตรงกัน","ไม่ตรง"))</f>
        <v/>
      </c>
      <c r="N1684" s="14">
        <f>IF(L1684="","",ROUND(L1684*'สรุป'!$C$6,-1))</f>
        <v/>
      </c>
      <c r="O1684" s="15" t="n"/>
      <c r="P1684" s="15" t="n"/>
      <c r="Q1684" s="10" t="n"/>
      <c r="R1684" s="10" t="n"/>
      <c r="S1684" s="16" t="inlineStr">
        <is>
          <t>https://mstgolf.co.th/products/gf3200400340</t>
        </is>
      </c>
      <c r="T1684" s="1">
        <f>IF(B1684="ไม้กอล์ฟ",J1684,"")</f>
        <v/>
      </c>
    </row>
    <row r="1685">
      <c r="A1685" s="1" t="n">
        <v>2</v>
      </c>
      <c r="B1685" s="1" t="inlineStr">
        <is>
          <t>ลูกกอล์ฟ</t>
        </is>
      </c>
      <c r="C1685" s="1" t="inlineStr">
        <is>
          <t>gf3200400348</t>
        </is>
      </c>
      <c r="D1685" s="1" t="inlineStr">
        <is>
          <t>TAYLORMADE TP5x pix Lunar New Year (2026) Golf Ball</t>
        </is>
      </c>
      <c r="E1685" s="1" t="inlineStr">
        <is>
          <t>TAYLORMADE</t>
        </is>
      </c>
      <c r="F1685" s="1" t="inlineStr">
        <is>
          <t>TOUR</t>
        </is>
      </c>
      <c r="G1685" s="1" t="inlineStr">
        <is>
          <t>GF3200400348</t>
        </is>
      </c>
      <c r="H1685" s="1" t="n">
        <v>1</v>
      </c>
      <c r="I1685" s="1" t="inlineStr">
        <is>
          <t>หมด</t>
        </is>
      </c>
      <c r="J1685" s="13" t="n">
        <v>89</v>
      </c>
      <c r="K1685" s="1" t="inlineStr"/>
      <c r="L1685" s="13" t="n"/>
      <c r="M1685" s="1">
        <f>IF(L1685="","ไม่พบใน SG",IF(ABS(J1685-L1685)&lt;0.005,"ตรงกัน","ไม่ตรง"))</f>
        <v/>
      </c>
      <c r="N1685" s="14">
        <f>IF(L1685="","",ROUND(L1685*'สรุป'!$C$6,-1))</f>
        <v/>
      </c>
      <c r="O1685" s="15" t="n"/>
      <c r="P1685" s="15" t="n"/>
      <c r="Q1685" s="10" t="n"/>
      <c r="R1685" s="10" t="n"/>
      <c r="S1685" s="16" t="inlineStr">
        <is>
          <t>https://mstgolf.co.th/products/gf3200400348</t>
        </is>
      </c>
      <c r="T1685" s="1">
        <f>IF(B1685="ไม้กอล์ฟ",J1685,"")</f>
        <v/>
      </c>
    </row>
    <row r="1686">
      <c r="A1686" s="1" t="n">
        <v>2</v>
      </c>
      <c r="B1686" s="1" t="inlineStr">
        <is>
          <t>ลูกกอล์ฟ</t>
        </is>
      </c>
      <c r="C1686" s="1" t="inlineStr">
        <is>
          <t>gf3200400317</t>
        </is>
      </c>
      <c r="D1686" s="1" t="inlineStr">
        <is>
          <t>TAYLORMADE TP5x pix Pizza (2025) Golf Ball</t>
        </is>
      </c>
      <c r="E1686" s="1" t="inlineStr">
        <is>
          <t>TAYLORMADE</t>
        </is>
      </c>
      <c r="F1686" s="1" t="inlineStr">
        <is>
          <t>TOUR</t>
        </is>
      </c>
      <c r="G1686" s="1" t="inlineStr">
        <is>
          <t>GF3200400317</t>
        </is>
      </c>
      <c r="H1686" s="1" t="n">
        <v>1</v>
      </c>
      <c r="I1686" s="1" t="inlineStr">
        <is>
          <t>หมด</t>
        </is>
      </c>
      <c r="J1686" s="13" t="n">
        <v>89</v>
      </c>
      <c r="K1686" s="1" t="inlineStr"/>
      <c r="L1686" s="13" t="n"/>
      <c r="M1686" s="1">
        <f>IF(L1686="","ไม่พบใน SG",IF(ABS(J1686-L1686)&lt;0.005,"ตรงกัน","ไม่ตรง"))</f>
        <v/>
      </c>
      <c r="N1686" s="14">
        <f>IF(L1686="","",ROUND(L1686*'สรุป'!$C$6,-1))</f>
        <v/>
      </c>
      <c r="O1686" s="15" t="n"/>
      <c r="P1686" s="15" t="n"/>
      <c r="Q1686" s="10" t="n"/>
      <c r="R1686" s="10" t="n"/>
      <c r="S1686" s="16" t="inlineStr">
        <is>
          <t>https://mstgolf.co.th/products/gf3200400317</t>
        </is>
      </c>
      <c r="T1686" s="1">
        <f>IF(B1686="ไม้กอล์ฟ",J1686,"")</f>
        <v/>
      </c>
    </row>
    <row r="1687">
      <c r="A1687" s="1" t="n">
        <v>2</v>
      </c>
      <c r="B1687" s="1" t="inlineStr">
        <is>
          <t>ลูกกอล์ฟ</t>
        </is>
      </c>
      <c r="C1687" s="1" t="inlineStr">
        <is>
          <t>gf3200400316</t>
        </is>
      </c>
      <c r="D1687" s="1" t="inlineStr">
        <is>
          <t>TAYLORMADE TP5x pix Shark Limited Edition (2025) Golf Ball</t>
        </is>
      </c>
      <c r="E1687" s="1" t="inlineStr">
        <is>
          <t>TAYLORMADE</t>
        </is>
      </c>
      <c r="F1687" s="1" t="inlineStr">
        <is>
          <t>TOUR</t>
        </is>
      </c>
      <c r="G1687" s="1" t="inlineStr">
        <is>
          <t>GF3200400316</t>
        </is>
      </c>
      <c r="H1687" s="1" t="n">
        <v>1</v>
      </c>
      <c r="I1687" s="1" t="inlineStr">
        <is>
          <t>หมด</t>
        </is>
      </c>
      <c r="J1687" s="13" t="n">
        <v>89</v>
      </c>
      <c r="K1687" s="1" t="inlineStr"/>
      <c r="L1687" s="13" t="n"/>
      <c r="M1687" s="1">
        <f>IF(L1687="","ไม่พบใน SG",IF(ABS(J1687-L1687)&lt;0.005,"ตรงกัน","ไม่ตรง"))</f>
        <v/>
      </c>
      <c r="N1687" s="14">
        <f>IF(L1687="","",ROUND(L1687*'สรุป'!$C$6,-1))</f>
        <v/>
      </c>
      <c r="O1687" s="15" t="n"/>
      <c r="P1687" s="15" t="n"/>
      <c r="Q1687" s="10" t="n"/>
      <c r="R1687" s="10" t="n"/>
      <c r="S1687" s="16" t="inlineStr">
        <is>
          <t>https://mstgolf.co.th/products/gf3200400316</t>
        </is>
      </c>
      <c r="T1687" s="1">
        <f>IF(B1687="ไม้กอล์ฟ",J1687,"")</f>
        <v/>
      </c>
    </row>
    <row r="1688">
      <c r="A1688" s="1" t="n">
        <v>2</v>
      </c>
      <c r="B1688" s="1" t="inlineStr">
        <is>
          <t>ลูกกอล์ฟ</t>
        </is>
      </c>
      <c r="C1688" s="1" t="inlineStr">
        <is>
          <t>gf3200400303</t>
        </is>
      </c>
      <c r="D1688" s="1" t="inlineStr">
        <is>
          <t>TAYLORMADE TP5x pix Tiki Limited Edition (2025) Golf Ball</t>
        </is>
      </c>
      <c r="E1688" s="1" t="inlineStr">
        <is>
          <t>TAYLORMADE</t>
        </is>
      </c>
      <c r="F1688" s="1" t="inlineStr">
        <is>
          <t>TOUR</t>
        </is>
      </c>
      <c r="G1688" s="1" t="inlineStr">
        <is>
          <t>GF3200400303</t>
        </is>
      </c>
      <c r="H1688" s="1" t="n">
        <v>1</v>
      </c>
      <c r="I1688" s="1" t="inlineStr">
        <is>
          <t>หมด</t>
        </is>
      </c>
      <c r="J1688" s="13" t="n">
        <v>89</v>
      </c>
      <c r="K1688" s="1" t="inlineStr"/>
      <c r="L1688" s="13" t="n">
        <v>89</v>
      </c>
      <c r="M1688" s="1">
        <f>IF(L1688="","ไม่พบใน SG",IF(ABS(J1688-L1688)&lt;0.005,"ตรงกัน","ไม่ตรง"))</f>
        <v/>
      </c>
      <c r="N1688" s="14">
        <f>IF(L1688="","",ROUND(L1688*'สรุป'!$C$6,-1))</f>
        <v/>
      </c>
      <c r="O1688" s="15" t="n"/>
      <c r="P1688" s="15" t="n"/>
      <c r="Q1688" s="10" t="n"/>
      <c r="R1688" s="10" t="n"/>
      <c r="S1688" s="16" t="inlineStr">
        <is>
          <t>https://mstgolf.co.th/products/gf3200400303</t>
        </is>
      </c>
      <c r="T1688" s="1">
        <f>IF(B1688="ไม้กอล์ฟ",J1688,"")</f>
        <v/>
      </c>
    </row>
    <row r="1689">
      <c r="A1689" s="1" t="n">
        <v>2</v>
      </c>
      <c r="B1689" s="1" t="inlineStr">
        <is>
          <t>รองเท้า</t>
        </is>
      </c>
      <c r="C1689" s="1" t="inlineStr">
        <is>
          <t>gf2500201299</t>
        </is>
      </c>
      <c r="D1689" s="1" t="inlineStr">
        <is>
          <t>ADIDAS S2G 24 Leather Men's Spikeless Shoes (White/Black)</t>
        </is>
      </c>
      <c r="E1689" s="1" t="inlineStr">
        <is>
          <t>ADIDAS</t>
        </is>
      </c>
      <c r="F1689" s="1" t="inlineStr">
        <is>
          <t>SPIKELESS SHOES</t>
        </is>
      </c>
      <c r="G1689" s="1" t="inlineStr">
        <is>
          <t>GF2500201299UK6.5</t>
        </is>
      </c>
      <c r="H1689" s="1" t="n">
        <v>11</v>
      </c>
      <c r="I1689" s="1" t="inlineStr">
        <is>
          <t>หมด</t>
        </is>
      </c>
      <c r="J1689" s="13" t="n">
        <v>85</v>
      </c>
      <c r="K1689" s="1" t="inlineStr"/>
      <c r="L1689" s="13" t="n">
        <v>85</v>
      </c>
      <c r="M1689" s="1">
        <f>IF(L1689="","ไม่พบใน SG",IF(ABS(J1689-L1689)&lt;0.005,"ตรงกัน","ไม่ตรง"))</f>
        <v/>
      </c>
      <c r="N1689" s="14">
        <f>IF(L1689="","",ROUND(L1689*'สรุป'!$C$6,-1))</f>
        <v/>
      </c>
      <c r="O1689" s="15" t="n"/>
      <c r="P1689" s="15" t="n"/>
      <c r="Q1689" s="10" t="n"/>
      <c r="R1689" s="10" t="n"/>
      <c r="S1689" s="16" t="inlineStr">
        <is>
          <t>https://mstgolf.co.th/products/gf2500201299</t>
        </is>
      </c>
      <c r="T1689" s="1">
        <f>IF(B1689="ไม้กอล์ฟ",J1689,"")</f>
        <v/>
      </c>
    </row>
    <row r="1690">
      <c r="A1690" s="1" t="n">
        <v>2</v>
      </c>
      <c r="B1690" s="1" t="inlineStr">
        <is>
          <t>รองเท้า</t>
        </is>
      </c>
      <c r="C1690" s="1" t="inlineStr">
        <is>
          <t>gf2500201298</t>
        </is>
      </c>
      <c r="D1690" s="1" t="inlineStr">
        <is>
          <t>ADIDAS S2G 24 Leather Men's Spikeless Shoes (White/Grey/Red)</t>
        </is>
      </c>
      <c r="E1690" s="1" t="inlineStr">
        <is>
          <t>ADIDAS</t>
        </is>
      </c>
      <c r="F1690" s="1" t="inlineStr">
        <is>
          <t>SPIKELESS SHOES</t>
        </is>
      </c>
      <c r="G1690" s="1" t="inlineStr">
        <is>
          <t>GF2500201298UK6.5</t>
        </is>
      </c>
      <c r="H1690" s="1" t="n">
        <v>12</v>
      </c>
      <c r="I1690" s="1" t="inlineStr">
        <is>
          <t>หมด</t>
        </is>
      </c>
      <c r="J1690" s="13" t="n">
        <v>85</v>
      </c>
      <c r="K1690" s="1" t="inlineStr"/>
      <c r="L1690" s="13" t="n"/>
      <c r="M1690" s="1">
        <f>IF(L1690="","ไม่พบใน SG",IF(ABS(J1690-L1690)&lt;0.005,"ตรงกัน","ไม่ตรง"))</f>
        <v/>
      </c>
      <c r="N1690" s="14">
        <f>IF(L1690="","",ROUND(L1690*'สรุป'!$C$6,-1))</f>
        <v/>
      </c>
      <c r="O1690" s="15" t="n"/>
      <c r="P1690" s="15" t="n"/>
      <c r="Q1690" s="10" t="n"/>
      <c r="R1690" s="10" t="n"/>
      <c r="S1690" s="16" t="inlineStr">
        <is>
          <t>https://mstgolf.co.th/products/gf2500201298</t>
        </is>
      </c>
      <c r="T1690" s="1">
        <f>IF(B1690="ไม้กอล์ฟ",J1690,"")</f>
        <v/>
      </c>
    </row>
    <row r="1691">
      <c r="A1691" s="1" t="n">
        <v>2</v>
      </c>
      <c r="B1691" s="1" t="inlineStr">
        <is>
          <t>ถุงกอล์ฟ</t>
        </is>
      </c>
      <c r="C1691" s="1" t="inlineStr">
        <is>
          <t>gf3000300123</t>
        </is>
      </c>
      <c r="D1691" s="1" t="inlineStr">
        <is>
          <t>ONOFF OL8716 Fruit Lady Range Bag (Beige)</t>
        </is>
      </c>
      <c r="E1691" s="1" t="inlineStr">
        <is>
          <t>ONOFF</t>
        </is>
      </c>
      <c r="F1691" s="1" t="inlineStr">
        <is>
          <t>RANGE BAG</t>
        </is>
      </c>
      <c r="G1691" s="1" t="inlineStr">
        <is>
          <t>GF3000300123</t>
        </is>
      </c>
      <c r="H1691" s="1" t="n">
        <v>1</v>
      </c>
      <c r="I1691" s="1" t="inlineStr">
        <is>
          <t>หมด</t>
        </is>
      </c>
      <c r="J1691" s="13" t="n">
        <v>83</v>
      </c>
      <c r="K1691" s="1" t="inlineStr"/>
      <c r="L1691" s="13" t="n">
        <v>83</v>
      </c>
      <c r="M1691" s="1">
        <f>IF(L1691="","ไม่พบใน SG",IF(ABS(J1691-L1691)&lt;0.005,"ตรงกัน","ไม่ตรง"))</f>
        <v/>
      </c>
      <c r="N1691" s="14">
        <f>IF(L1691="","",ROUND(L1691*'สรุป'!$C$6,-1))</f>
        <v/>
      </c>
      <c r="O1691" s="15" t="n"/>
      <c r="P1691" s="15" t="n"/>
      <c r="Q1691" s="10" t="n"/>
      <c r="R1691" s="10" t="n"/>
      <c r="S1691" s="16" t="inlineStr">
        <is>
          <t>https://mstgolf.co.th/products/gf3000300123</t>
        </is>
      </c>
      <c r="T1691" s="1">
        <f>IF(B1691="ไม้กอล์ฟ",J1691,"")</f>
        <v/>
      </c>
    </row>
    <row r="1692">
      <c r="A1692" s="1" t="n">
        <v>2</v>
      </c>
      <c r="B1692" s="1" t="inlineStr">
        <is>
          <t>ถุงกอล์ฟ</t>
        </is>
      </c>
      <c r="C1692" s="1" t="inlineStr">
        <is>
          <t>gf3000300124</t>
        </is>
      </c>
      <c r="D1692" s="1" t="inlineStr">
        <is>
          <t>ONOFF OL8716 Fruit Lady Range Bag (Navy)</t>
        </is>
      </c>
      <c r="E1692" s="1" t="inlineStr">
        <is>
          <t>ONOFF</t>
        </is>
      </c>
      <c r="F1692" s="1" t="inlineStr">
        <is>
          <t>RANGE BAG</t>
        </is>
      </c>
      <c r="G1692" s="1" t="inlineStr">
        <is>
          <t>GF3000300124</t>
        </is>
      </c>
      <c r="H1692" s="1" t="n">
        <v>1</v>
      </c>
      <c r="I1692" s="1" t="inlineStr">
        <is>
          <t>หมด</t>
        </is>
      </c>
      <c r="J1692" s="13" t="n">
        <v>83</v>
      </c>
      <c r="K1692" s="1" t="inlineStr"/>
      <c r="L1692" s="13" t="n">
        <v>83</v>
      </c>
      <c r="M1692" s="1">
        <f>IF(L1692="","ไม่พบใน SG",IF(ABS(J1692-L1692)&lt;0.005,"ตรงกัน","ไม่ตรง"))</f>
        <v/>
      </c>
      <c r="N1692" s="14">
        <f>IF(L1692="","",ROUND(L1692*'สรุป'!$C$6,-1))</f>
        <v/>
      </c>
      <c r="O1692" s="15" t="n"/>
      <c r="P1692" s="15" t="n"/>
      <c r="Q1692" s="10" t="n"/>
      <c r="R1692" s="10" t="n"/>
      <c r="S1692" s="16" t="inlineStr">
        <is>
          <t>https://mstgolf.co.th/products/gf3000300124</t>
        </is>
      </c>
      <c r="T1692" s="1">
        <f>IF(B1692="ไม้กอล์ฟ",J1692,"")</f>
        <v/>
      </c>
    </row>
    <row r="1693">
      <c r="A1693" s="1" t="n">
        <v>2</v>
      </c>
      <c r="B1693" s="1" t="inlineStr">
        <is>
          <t>ลูกกอล์ฟ</t>
        </is>
      </c>
      <c r="C1693" s="1" t="inlineStr">
        <is>
          <t>gf3200400326</t>
        </is>
      </c>
      <c r="D1693" s="1" t="inlineStr">
        <is>
          <t>TITLEIST Pro V1 Enhanced Alignment (2025) (Blue) Golf Ball</t>
        </is>
      </c>
      <c r="E1693" s="1" t="inlineStr">
        <is>
          <t>TITLEIST</t>
        </is>
      </c>
      <c r="F1693" s="1" t="inlineStr">
        <is>
          <t>TOUR</t>
        </is>
      </c>
      <c r="G1693" s="1" t="inlineStr">
        <is>
          <t>GF3200400326</t>
        </is>
      </c>
      <c r="H1693" s="1" t="n">
        <v>1</v>
      </c>
      <c r="I1693" s="1" t="inlineStr">
        <is>
          <t>หมด</t>
        </is>
      </c>
      <c r="J1693" s="13" t="n">
        <v>82.40000000000001</v>
      </c>
      <c r="K1693" s="1" t="inlineStr"/>
      <c r="L1693" s="13" t="n"/>
      <c r="M1693" s="1">
        <f>IF(L1693="","ไม่พบใน SG",IF(ABS(J1693-L1693)&lt;0.005,"ตรงกัน","ไม่ตรง"))</f>
        <v/>
      </c>
      <c r="N1693" s="14">
        <f>IF(L1693="","",ROUND(L1693*'สรุป'!$C$6,-1))</f>
        <v/>
      </c>
      <c r="O1693" s="15" t="n"/>
      <c r="P1693" s="15" t="n"/>
      <c r="Q1693" s="10" t="n"/>
      <c r="R1693" s="10" t="n"/>
      <c r="S1693" s="16" t="inlineStr">
        <is>
          <t>https://mstgolf.co.th/products/gf3200400326</t>
        </is>
      </c>
      <c r="T1693" s="1">
        <f>IF(B1693="ไม้กอล์ฟ",J1693,"")</f>
        <v/>
      </c>
    </row>
    <row r="1694">
      <c r="A1694" s="1" t="n">
        <v>2</v>
      </c>
      <c r="B1694" s="1" t="inlineStr">
        <is>
          <t>ลูกกอล์ฟ</t>
        </is>
      </c>
      <c r="C1694" s="1" t="inlineStr">
        <is>
          <t>gf3200400328</t>
        </is>
      </c>
      <c r="D1694" s="1" t="inlineStr">
        <is>
          <t>TITLEIST Pro V1 Enhanced Alignment (2025) (Red) Golf Ball</t>
        </is>
      </c>
      <c r="E1694" s="1" t="inlineStr">
        <is>
          <t>TITLEIST</t>
        </is>
      </c>
      <c r="F1694" s="1" t="inlineStr">
        <is>
          <t>TOUR</t>
        </is>
      </c>
      <c r="G1694" s="1" t="inlineStr">
        <is>
          <t>GF3200400328</t>
        </is>
      </c>
      <c r="H1694" s="1" t="n">
        <v>1</v>
      </c>
      <c r="I1694" s="1" t="inlineStr">
        <is>
          <t>หมด</t>
        </is>
      </c>
      <c r="J1694" s="13" t="n">
        <v>82.40000000000001</v>
      </c>
      <c r="K1694" s="1" t="inlineStr"/>
      <c r="L1694" s="13" t="n"/>
      <c r="M1694" s="1">
        <f>IF(L1694="","ไม่พบใน SG",IF(ABS(J1694-L1694)&lt;0.005,"ตรงกัน","ไม่ตรง"))</f>
        <v/>
      </c>
      <c r="N1694" s="14">
        <f>IF(L1694="","",ROUND(L1694*'สรุป'!$C$6,-1))</f>
        <v/>
      </c>
      <c r="O1694" s="15" t="n"/>
      <c r="P1694" s="15" t="n"/>
      <c r="Q1694" s="10" t="n"/>
      <c r="R1694" s="10" t="n"/>
      <c r="S1694" s="16" t="inlineStr">
        <is>
          <t>https://mstgolf.co.th/products/gf3200400328</t>
        </is>
      </c>
      <c r="T1694" s="1">
        <f>IF(B1694="ไม้กอล์ฟ",J1694,"")</f>
        <v/>
      </c>
    </row>
    <row r="1695">
      <c r="A1695" s="1" t="n">
        <v>2</v>
      </c>
      <c r="B1695" s="1" t="inlineStr">
        <is>
          <t>ลูกกอล์ฟ</t>
        </is>
      </c>
      <c r="C1695" s="1" t="inlineStr">
        <is>
          <t>gf3200400240</t>
        </is>
      </c>
      <c r="D1695" s="1" t="inlineStr">
        <is>
          <t>TITLEIST Pro V1X Left Dash (2023) Golf Ball (001 White)</t>
        </is>
      </c>
      <c r="E1695" s="1" t="inlineStr">
        <is>
          <t>TITLEIST</t>
        </is>
      </c>
      <c r="F1695" s="1" t="inlineStr">
        <is>
          <t>TOUR</t>
        </is>
      </c>
      <c r="G1695" s="1" t="inlineStr">
        <is>
          <t>GF3200400240</t>
        </is>
      </c>
      <c r="H1695" s="1" t="n">
        <v>1</v>
      </c>
      <c r="I1695" s="1" t="inlineStr">
        <is>
          <t>หมด</t>
        </is>
      </c>
      <c r="J1695" s="13" t="n">
        <v>82.40000000000001</v>
      </c>
      <c r="K1695" s="1" t="inlineStr"/>
      <c r="L1695" s="13" t="n">
        <v>82.40000000000001</v>
      </c>
      <c r="M1695" s="1">
        <f>IF(L1695="","ไม่พบใน SG",IF(ABS(J1695-L1695)&lt;0.005,"ตรงกัน","ไม่ตรง"))</f>
        <v/>
      </c>
      <c r="N1695" s="14">
        <f>IF(L1695="","",ROUND(L1695*'สรุป'!$C$6,-1))</f>
        <v/>
      </c>
      <c r="O1695" s="15" t="n"/>
      <c r="P1695" s="15" t="n"/>
      <c r="Q1695" s="10" t="n"/>
      <c r="R1695" s="10" t="n"/>
      <c r="S1695" s="16" t="inlineStr">
        <is>
          <t>https://mstgolf.co.th/products/gf3200400240</t>
        </is>
      </c>
      <c r="T1695" s="1">
        <f>IF(B1695="ไม้กอล์ฟ",J1695,"")</f>
        <v/>
      </c>
    </row>
    <row r="1696">
      <c r="A1696" s="1" t="n">
        <v>2</v>
      </c>
      <c r="B1696" s="1" t="inlineStr">
        <is>
          <t>ลูกกอล์ฟ</t>
        </is>
      </c>
      <c r="C1696" s="1" t="inlineStr">
        <is>
          <t>gf3200400329</t>
        </is>
      </c>
      <c r="D1696" s="1" t="inlineStr">
        <is>
          <t>TITLEIST Pro V1x Enhanced Alignment (2025) (Black) Golf Ball</t>
        </is>
      </c>
      <c r="E1696" s="1" t="inlineStr">
        <is>
          <t>TITLEIST</t>
        </is>
      </c>
      <c r="F1696" s="1" t="inlineStr">
        <is>
          <t>TOUR</t>
        </is>
      </c>
      <c r="G1696" s="1" t="inlineStr">
        <is>
          <t>GF3200400329</t>
        </is>
      </c>
      <c r="H1696" s="1" t="n">
        <v>1</v>
      </c>
      <c r="I1696" s="1" t="inlineStr">
        <is>
          <t>หมด</t>
        </is>
      </c>
      <c r="J1696" s="13" t="n">
        <v>82.40000000000001</v>
      </c>
      <c r="K1696" s="1" t="inlineStr"/>
      <c r="L1696" s="13" t="n"/>
      <c r="M1696" s="1">
        <f>IF(L1696="","ไม่พบใน SG",IF(ABS(J1696-L1696)&lt;0.005,"ตรงกัน","ไม่ตรง"))</f>
        <v/>
      </c>
      <c r="N1696" s="14">
        <f>IF(L1696="","",ROUND(L1696*'สรุป'!$C$6,-1))</f>
        <v/>
      </c>
      <c r="O1696" s="15" t="n"/>
      <c r="P1696" s="15" t="n"/>
      <c r="Q1696" s="10" t="n"/>
      <c r="R1696" s="10" t="n"/>
      <c r="S1696" s="16" t="inlineStr">
        <is>
          <t>https://mstgolf.co.th/products/gf3200400329</t>
        </is>
      </c>
      <c r="T1696" s="1">
        <f>IF(B1696="ไม้กอล์ฟ",J1696,"")</f>
        <v/>
      </c>
    </row>
    <row r="1697">
      <c r="A1697" s="1" t="n">
        <v>2</v>
      </c>
      <c r="B1697" s="1" t="inlineStr">
        <is>
          <t>ลูกกอล์ฟ</t>
        </is>
      </c>
      <c r="C1697" s="1" t="inlineStr">
        <is>
          <t>gf3200400354</t>
        </is>
      </c>
      <c r="D1697" s="1" t="inlineStr">
        <is>
          <t>TITLEIST Pro V1x Left Dash (2026) Golf Ball</t>
        </is>
      </c>
      <c r="E1697" s="1" t="inlineStr">
        <is>
          <t>TITLEIST</t>
        </is>
      </c>
      <c r="F1697" s="1" t="inlineStr">
        <is>
          <t>TOUR</t>
        </is>
      </c>
      <c r="G1697" s="1" t="inlineStr">
        <is>
          <t>GF3200400354</t>
        </is>
      </c>
      <c r="H1697" s="1" t="n">
        <v>1</v>
      </c>
      <c r="I1697" s="1" t="inlineStr">
        <is>
          <t>หมด</t>
        </is>
      </c>
      <c r="J1697" s="13" t="n">
        <v>82.40000000000001</v>
      </c>
      <c r="K1697" s="1" t="inlineStr"/>
      <c r="L1697" s="13" t="n">
        <v>82.40000000000001</v>
      </c>
      <c r="M1697" s="1">
        <f>IF(L1697="","ไม่พบใน SG",IF(ABS(J1697-L1697)&lt;0.005,"ตรงกัน","ไม่ตรง"))</f>
        <v/>
      </c>
      <c r="N1697" s="14">
        <f>IF(L1697="","",ROUND(L1697*'สรุป'!$C$6,-1))</f>
        <v/>
      </c>
      <c r="O1697" s="15" t="n"/>
      <c r="P1697" s="15" t="n"/>
      <c r="Q1697" s="10" t="n"/>
      <c r="R1697" s="10" t="n"/>
      <c r="S1697" s="16" t="inlineStr">
        <is>
          <t>https://mstgolf.co.th/products/gf3200400354</t>
        </is>
      </c>
      <c r="T1697" s="1">
        <f>IF(B1697="ไม้กอล์ฟ",J1697,"")</f>
        <v/>
      </c>
    </row>
    <row r="1698">
      <c r="A1698" s="1" t="n">
        <v>2</v>
      </c>
      <c r="B1698" s="1" t="inlineStr">
        <is>
          <t>รองเท้า</t>
        </is>
      </c>
      <c r="C1698" s="1" t="inlineStr">
        <is>
          <t>gf2500200651</t>
        </is>
      </c>
      <c r="D1698" s="1" t="inlineStr">
        <is>
          <t>PUMA Ignite Solelace Women's Spikeless Shoes (Black/Grey/Pink)</t>
        </is>
      </c>
      <c r="E1698" s="1" t="inlineStr">
        <is>
          <t>PUMA</t>
        </is>
      </c>
      <c r="F1698" s="1" t="inlineStr">
        <is>
          <t>SPIKELESS SHOES</t>
        </is>
      </c>
      <c r="G1698" s="1" t="inlineStr">
        <is>
          <t>GF2500200651UK3</t>
        </is>
      </c>
      <c r="H1698" s="1" t="n">
        <v>17</v>
      </c>
      <c r="I1698" s="1" t="inlineStr">
        <is>
          <t>หมด</t>
        </is>
      </c>
      <c r="J1698" s="13" t="n">
        <v>79</v>
      </c>
      <c r="K1698" s="1" t="inlineStr"/>
      <c r="L1698" s="13" t="n"/>
      <c r="M1698" s="1">
        <f>IF(L1698="","ไม่พบใน SG",IF(ABS(J1698-L1698)&lt;0.005,"ตรงกัน","ไม่ตรง"))</f>
        <v/>
      </c>
      <c r="N1698" s="14">
        <f>IF(L1698="","",ROUND(L1698*'สรุป'!$C$6,-1))</f>
        <v/>
      </c>
      <c r="O1698" s="15" t="n"/>
      <c r="P1698" s="15" t="n"/>
      <c r="Q1698" s="10" t="n"/>
      <c r="R1698" s="10" t="n"/>
      <c r="S1698" s="16" t="inlineStr">
        <is>
          <t>https://mstgolf.co.th/products/gf2500200651</t>
        </is>
      </c>
      <c r="T1698" s="1">
        <f>IF(B1698="ไม้กอล์ฟ",J1698,"")</f>
        <v/>
      </c>
    </row>
    <row r="1699">
      <c r="A1699" s="1" t="n">
        <v>2</v>
      </c>
      <c r="B1699" s="1" t="inlineStr">
        <is>
          <t>รองเท้า</t>
        </is>
      </c>
      <c r="C1699" s="1" t="inlineStr">
        <is>
          <t>gf2500200652</t>
        </is>
      </c>
      <c r="D1699" s="1" t="inlineStr">
        <is>
          <t>PUMA Ignite Solelace Women's Spikeless Shoes (Grey/Blue)</t>
        </is>
      </c>
      <c r="E1699" s="1" t="inlineStr">
        <is>
          <t>PUMA</t>
        </is>
      </c>
      <c r="F1699" s="1" t="inlineStr">
        <is>
          <t>SPIKELESS SHOES</t>
        </is>
      </c>
      <c r="G1699" s="1" t="inlineStr">
        <is>
          <t>GF2500200652UK3</t>
        </is>
      </c>
      <c r="H1699" s="1" t="n">
        <v>16</v>
      </c>
      <c r="I1699" s="1" t="inlineStr">
        <is>
          <t>หมด</t>
        </is>
      </c>
      <c r="J1699" s="13" t="n">
        <v>79</v>
      </c>
      <c r="K1699" s="1" t="inlineStr"/>
      <c r="L1699" s="13" t="n"/>
      <c r="M1699" s="1">
        <f>IF(L1699="","ไม่พบใน SG",IF(ABS(J1699-L1699)&lt;0.005,"ตรงกัน","ไม่ตรง"))</f>
        <v/>
      </c>
      <c r="N1699" s="14">
        <f>IF(L1699="","",ROUND(L1699*'สรุป'!$C$6,-1))</f>
        <v/>
      </c>
      <c r="O1699" s="15" t="n"/>
      <c r="P1699" s="15" t="n"/>
      <c r="Q1699" s="10" t="n"/>
      <c r="R1699" s="10" t="n"/>
      <c r="S1699" s="16" t="inlineStr">
        <is>
          <t>https://mstgolf.co.th/products/gf2500200652</t>
        </is>
      </c>
      <c r="T1699" s="1">
        <f>IF(B1699="ไม้กอล์ฟ",J1699,"")</f>
        <v/>
      </c>
    </row>
    <row r="1700">
      <c r="A1700" s="1" t="n">
        <v>2</v>
      </c>
      <c r="B1700" s="1" t="inlineStr">
        <is>
          <t>ลูกกอล์ฟ</t>
        </is>
      </c>
      <c r="C1700" s="1" t="inlineStr">
        <is>
          <t>gf3200400241</t>
        </is>
      </c>
      <c r="D1700" s="1" t="inlineStr">
        <is>
          <t>TAYLORMADE TP5 (2024) Golf Ball</t>
        </is>
      </c>
      <c r="E1700" s="1" t="inlineStr">
        <is>
          <t>TAYLORMADE</t>
        </is>
      </c>
      <c r="F1700" s="1" t="inlineStr">
        <is>
          <t>TOUR</t>
        </is>
      </c>
      <c r="G1700" s="1" t="inlineStr">
        <is>
          <t>GF3200400241</t>
        </is>
      </c>
      <c r="H1700" s="1" t="n">
        <v>1</v>
      </c>
      <c r="I1700" s="1" t="inlineStr">
        <is>
          <t>หมด</t>
        </is>
      </c>
      <c r="J1700" s="13" t="n">
        <v>79</v>
      </c>
      <c r="K1700" s="1" t="inlineStr"/>
      <c r="L1700" s="13" t="n">
        <v>79</v>
      </c>
      <c r="M1700" s="1">
        <f>IF(L1700="","ไม่พบใน SG",IF(ABS(J1700-L1700)&lt;0.005,"ตรงกัน","ไม่ตรง"))</f>
        <v/>
      </c>
      <c r="N1700" s="14">
        <f>IF(L1700="","",ROUND(L1700*'สรุป'!$C$6,-1))</f>
        <v/>
      </c>
      <c r="O1700" s="15" t="n"/>
      <c r="P1700" s="15" t="n"/>
      <c r="Q1700" s="10" t="n"/>
      <c r="R1700" s="10" t="n"/>
      <c r="S1700" s="16" t="inlineStr">
        <is>
          <t>https://mstgolf.co.th/products/gf3200400241</t>
        </is>
      </c>
      <c r="T1700" s="1">
        <f>IF(B1700="ไม้กอล์ฟ",J1700,"")</f>
        <v/>
      </c>
    </row>
    <row r="1701">
      <c r="A1701" s="1" t="n">
        <v>2</v>
      </c>
      <c r="B1701" s="1" t="inlineStr">
        <is>
          <t>ลูกกอล์ฟ</t>
        </is>
      </c>
      <c r="C1701" s="1" t="inlineStr">
        <is>
          <t>gf3200400242</t>
        </is>
      </c>
      <c r="D1701" s="1" t="inlineStr">
        <is>
          <t>TAYLORMADE TP5x (2024) Golf Ball</t>
        </is>
      </c>
      <c r="E1701" s="1" t="inlineStr">
        <is>
          <t>TAYLORMADE</t>
        </is>
      </c>
      <c r="F1701" s="1" t="inlineStr">
        <is>
          <t>TOUR</t>
        </is>
      </c>
      <c r="G1701" s="1" t="inlineStr">
        <is>
          <t>GF3200400242</t>
        </is>
      </c>
      <c r="H1701" s="1" t="n">
        <v>1</v>
      </c>
      <c r="I1701" s="1" t="inlineStr">
        <is>
          <t>หมด</t>
        </is>
      </c>
      <c r="J1701" s="13" t="n">
        <v>79</v>
      </c>
      <c r="K1701" s="1" t="inlineStr"/>
      <c r="L1701" s="13" t="n">
        <v>79</v>
      </c>
      <c r="M1701" s="1">
        <f>IF(L1701="","ไม่พบใน SG",IF(ABS(J1701-L1701)&lt;0.005,"ตรงกัน","ไม่ตรง"))</f>
        <v/>
      </c>
      <c r="N1701" s="14">
        <f>IF(L1701="","",ROUND(L1701*'สรุป'!$C$6,-1))</f>
        <v/>
      </c>
      <c r="O1701" s="15" t="n"/>
      <c r="P1701" s="15" t="n"/>
      <c r="Q1701" s="10" t="n"/>
      <c r="R1701" s="10" t="n"/>
      <c r="S1701" s="16" t="inlineStr">
        <is>
          <t>https://mstgolf.co.th/products/gf3200400242</t>
        </is>
      </c>
      <c r="T1701" s="1">
        <f>IF(B1701="ไม้กอล์ฟ",J1701,"")</f>
        <v/>
      </c>
    </row>
    <row r="1702">
      <c r="A1702" s="1" t="n">
        <v>2</v>
      </c>
      <c r="B1702" s="1" t="inlineStr">
        <is>
          <t>ถุงกอล์ฟ</t>
        </is>
      </c>
      <c r="C1702" s="1" t="inlineStr">
        <is>
          <t>gf3000300365</t>
        </is>
      </c>
      <c r="D1702" s="1" t="inlineStr">
        <is>
          <t>TAYLORMADE True-Lite Soft Range Bag (Navy/White/Red)</t>
        </is>
      </c>
      <c r="E1702" s="1" t="inlineStr">
        <is>
          <t>TAYLORMADE</t>
        </is>
      </c>
      <c r="F1702" s="1" t="inlineStr">
        <is>
          <t>RANGE BAG</t>
        </is>
      </c>
      <c r="G1702" s="1" t="inlineStr">
        <is>
          <t>GF3000300365</t>
        </is>
      </c>
      <c r="H1702" s="1" t="n">
        <v>1</v>
      </c>
      <c r="I1702" s="1" t="inlineStr">
        <is>
          <t>หมด</t>
        </is>
      </c>
      <c r="J1702" s="13" t="n">
        <v>79</v>
      </c>
      <c r="K1702" s="1" t="inlineStr"/>
      <c r="L1702" s="13" t="n">
        <v>79</v>
      </c>
      <c r="M1702" s="1">
        <f>IF(L1702="","ไม่พบใน SG",IF(ABS(J1702-L1702)&lt;0.005,"ตรงกัน","ไม่ตรง"))</f>
        <v/>
      </c>
      <c r="N1702" s="14">
        <f>IF(L1702="","",ROUND(L1702*'สรุป'!$C$6,-1))</f>
        <v/>
      </c>
      <c r="O1702" s="15" t="n"/>
      <c r="P1702" s="15" t="n"/>
      <c r="Q1702" s="10" t="n"/>
      <c r="R1702" s="10" t="n"/>
      <c r="S1702" s="16" t="inlineStr">
        <is>
          <t>https://mstgolf.co.th/products/gf3000300365</t>
        </is>
      </c>
      <c r="T1702" s="1">
        <f>IF(B1702="ไม้กอล์ฟ",J1702,"")</f>
        <v/>
      </c>
    </row>
    <row r="1703">
      <c r="A1703" s="1" t="n">
        <v>2</v>
      </c>
      <c r="B1703" s="1" t="inlineStr">
        <is>
          <t>ถุงกอล์ฟ</t>
        </is>
      </c>
      <c r="C1703" s="1" t="inlineStr">
        <is>
          <t>gf3010401105</t>
        </is>
      </c>
      <c r="D1703" s="1" t="inlineStr">
        <is>
          <t>TAYLORMADE Wilshire Women's Tote Bag (Light Blue)</t>
        </is>
      </c>
      <c r="E1703" s="1" t="inlineStr">
        <is>
          <t>TAYLORMADE</t>
        </is>
      </c>
      <c r="F1703" s="1" t="inlineStr">
        <is>
          <t>SMALL BAG</t>
        </is>
      </c>
      <c r="G1703" s="1" t="inlineStr">
        <is>
          <t>GF3010401105</t>
        </is>
      </c>
      <c r="H1703" s="1" t="n">
        <v>1</v>
      </c>
      <c r="I1703" s="1" t="inlineStr">
        <is>
          <t>หมด</t>
        </is>
      </c>
      <c r="J1703" s="13" t="n">
        <v>79</v>
      </c>
      <c r="K1703" s="1" t="inlineStr"/>
      <c r="L1703" s="13" t="n">
        <v>79</v>
      </c>
      <c r="M1703" s="1">
        <f>IF(L1703="","ไม่พบใน SG",IF(ABS(J1703-L1703)&lt;0.005,"ตรงกัน","ไม่ตรง"))</f>
        <v/>
      </c>
      <c r="N1703" s="14">
        <f>IF(L1703="","",ROUND(L1703*'สรุป'!$C$6,-1))</f>
        <v/>
      </c>
      <c r="O1703" s="15" t="n"/>
      <c r="P1703" s="15" t="n"/>
      <c r="Q1703" s="10" t="n"/>
      <c r="R1703" s="10" t="n"/>
      <c r="S1703" s="16" t="inlineStr">
        <is>
          <t>https://mstgolf.co.th/products/gf3010401105</t>
        </is>
      </c>
      <c r="T1703" s="1">
        <f>IF(B1703="ไม้กอล์ฟ",J1703,"")</f>
        <v/>
      </c>
    </row>
    <row r="1704">
      <c r="A1704" s="1" t="n">
        <v>2</v>
      </c>
      <c r="B1704" s="1" t="inlineStr">
        <is>
          <t>ถุงกอล์ฟ</t>
        </is>
      </c>
      <c r="C1704" s="1" t="inlineStr">
        <is>
          <t>gf3010300394</t>
        </is>
      </c>
      <c r="D1704" s="1" t="inlineStr">
        <is>
          <t>UNDER ARMOUR Hustle 6.0 Backpack (Black/Black/Gold)</t>
        </is>
      </c>
      <c r="E1704" s="1" t="inlineStr">
        <is>
          <t>UNDER ARMOUR</t>
        </is>
      </c>
      <c r="F1704" s="1" t="inlineStr">
        <is>
          <t>BACKPACK/RUCKSACK</t>
        </is>
      </c>
      <c r="G1704" s="1" t="inlineStr">
        <is>
          <t>GF3010300394</t>
        </is>
      </c>
      <c r="H1704" s="1" t="n">
        <v>1</v>
      </c>
      <c r="I1704" s="1" t="inlineStr">
        <is>
          <t>หมด</t>
        </is>
      </c>
      <c r="J1704" s="13" t="n">
        <v>79</v>
      </c>
      <c r="K1704" s="1" t="inlineStr"/>
      <c r="L1704" s="13" t="n">
        <v>79</v>
      </c>
      <c r="M1704" s="1">
        <f>IF(L1704="","ไม่พบใน SG",IF(ABS(J1704-L1704)&lt;0.005,"ตรงกัน","ไม่ตรง"))</f>
        <v/>
      </c>
      <c r="N1704" s="14">
        <f>IF(L1704="","",ROUND(L1704*'สรุป'!$C$6,-1))</f>
        <v/>
      </c>
      <c r="O1704" s="15" t="n"/>
      <c r="P1704" s="15" t="n"/>
      <c r="Q1704" s="10" t="n"/>
      <c r="R1704" s="10" t="n"/>
      <c r="S1704" s="16" t="inlineStr">
        <is>
          <t>https://mstgolf.co.th/products/gf3010300394</t>
        </is>
      </c>
      <c r="T1704" s="1">
        <f>IF(B1704="ไม้กอล์ฟ",J1704,"")</f>
        <v/>
      </c>
    </row>
    <row r="1705">
      <c r="A1705" s="1" t="n">
        <v>2</v>
      </c>
      <c r="B1705" s="1" t="inlineStr">
        <is>
          <t>ถุงกอล์ฟ</t>
        </is>
      </c>
      <c r="C1705" s="1" t="inlineStr">
        <is>
          <t>gf3010300398</t>
        </is>
      </c>
      <c r="D1705" s="1" t="inlineStr">
        <is>
          <t>UNDER ARMOUR Hustle 6.0 Backpack (Blue/Navy/Silver)</t>
        </is>
      </c>
      <c r="E1705" s="1" t="inlineStr">
        <is>
          <t>UNDER ARMOUR</t>
        </is>
      </c>
      <c r="F1705" s="1" t="inlineStr">
        <is>
          <t>BACKPACK/RUCKSACK</t>
        </is>
      </c>
      <c r="G1705" s="1" t="inlineStr">
        <is>
          <t>GF3010300398</t>
        </is>
      </c>
      <c r="H1705" s="1" t="n">
        <v>1</v>
      </c>
      <c r="I1705" s="1" t="inlineStr">
        <is>
          <t>หมด</t>
        </is>
      </c>
      <c r="J1705" s="13" t="n">
        <v>79</v>
      </c>
      <c r="K1705" s="1" t="inlineStr"/>
      <c r="L1705" s="13" t="n">
        <v>79</v>
      </c>
      <c r="M1705" s="1">
        <f>IF(L1705="","ไม่พบใน SG",IF(ABS(J1705-L1705)&lt;0.005,"ตรงกัน","ไม่ตรง"))</f>
        <v/>
      </c>
      <c r="N1705" s="14">
        <f>IF(L1705="","",ROUND(L1705*'สรุป'!$C$6,-1))</f>
        <v/>
      </c>
      <c r="O1705" s="15" t="n"/>
      <c r="P1705" s="15" t="n"/>
      <c r="Q1705" s="10" t="n"/>
      <c r="R1705" s="10" t="n"/>
      <c r="S1705" s="16" t="inlineStr">
        <is>
          <t>https://mstgolf.co.th/products/gf3010300398</t>
        </is>
      </c>
      <c r="T1705" s="1">
        <f>IF(B1705="ไม้กอล์ฟ",J1705,"")</f>
        <v/>
      </c>
    </row>
    <row r="1706">
      <c r="A1706" s="1" t="n">
        <v>2</v>
      </c>
      <c r="B1706" s="1" t="inlineStr">
        <is>
          <t>ถุงกอล์ฟ</t>
        </is>
      </c>
      <c r="C1706" s="1" t="inlineStr">
        <is>
          <t>gf3010300396</t>
        </is>
      </c>
      <c r="D1706" s="1" t="inlineStr">
        <is>
          <t>UNDER ARMOUR Hustle 6.0 Backpack (Castlerock/Steel)</t>
        </is>
      </c>
      <c r="E1706" s="1" t="inlineStr">
        <is>
          <t>UNDER ARMOUR</t>
        </is>
      </c>
      <c r="F1706" s="1" t="inlineStr">
        <is>
          <t>BACKPACK/RUCKSACK</t>
        </is>
      </c>
      <c r="G1706" s="1" t="inlineStr">
        <is>
          <t>GF3010300396</t>
        </is>
      </c>
      <c r="H1706" s="1" t="n">
        <v>1</v>
      </c>
      <c r="I1706" s="1" t="inlineStr">
        <is>
          <t>หมด</t>
        </is>
      </c>
      <c r="J1706" s="13" t="n">
        <v>79</v>
      </c>
      <c r="K1706" s="1" t="inlineStr"/>
      <c r="L1706" s="13" t="n">
        <v>79</v>
      </c>
      <c r="M1706" s="1">
        <f>IF(L1706="","ไม่พบใน SG",IF(ABS(J1706-L1706)&lt;0.005,"ตรงกัน","ไม่ตรง"))</f>
        <v/>
      </c>
      <c r="N1706" s="14">
        <f>IF(L1706="","",ROUND(L1706*'สรุป'!$C$6,-1))</f>
        <v/>
      </c>
      <c r="O1706" s="15" t="n"/>
      <c r="P1706" s="15" t="n"/>
      <c r="Q1706" s="10" t="n"/>
      <c r="R1706" s="10" t="n"/>
      <c r="S1706" s="16" t="inlineStr">
        <is>
          <t>https://mstgolf.co.th/products/gf3010300396</t>
        </is>
      </c>
      <c r="T1706" s="1">
        <f>IF(B1706="ไม้กอล์ฟ",J1706,"")</f>
        <v/>
      </c>
    </row>
    <row r="1707">
      <c r="A1707" s="1" t="n">
        <v>2</v>
      </c>
      <c r="B1707" s="1" t="inlineStr">
        <is>
          <t>ถุงกอล์ฟ</t>
        </is>
      </c>
      <c r="C1707" s="1" t="inlineStr">
        <is>
          <t>gf3010300397</t>
        </is>
      </c>
      <c r="D1707" s="1" t="inlineStr">
        <is>
          <t>UNDER ARMOUR Hustle 6.0 Backpack (Purple/Purple/Grey)</t>
        </is>
      </c>
      <c r="E1707" s="1" t="inlineStr">
        <is>
          <t>UNDER ARMOUR</t>
        </is>
      </c>
      <c r="F1707" s="1" t="inlineStr">
        <is>
          <t>BACKPACK/RUCKSACK</t>
        </is>
      </c>
      <c r="G1707" s="1" t="inlineStr">
        <is>
          <t>GF3010300397</t>
        </is>
      </c>
      <c r="H1707" s="1" t="n">
        <v>1</v>
      </c>
      <c r="I1707" s="1" t="inlineStr">
        <is>
          <t>หมด</t>
        </is>
      </c>
      <c r="J1707" s="13" t="n">
        <v>79</v>
      </c>
      <c r="K1707" s="1" t="inlineStr"/>
      <c r="L1707" s="13" t="n">
        <v>79</v>
      </c>
      <c r="M1707" s="1">
        <f>IF(L1707="","ไม่พบใน SG",IF(ABS(J1707-L1707)&lt;0.005,"ตรงกัน","ไม่ตรง"))</f>
        <v/>
      </c>
      <c r="N1707" s="14">
        <f>IF(L1707="","",ROUND(L1707*'สรุป'!$C$6,-1))</f>
        <v/>
      </c>
      <c r="O1707" s="15" t="n"/>
      <c r="P1707" s="15" t="n"/>
      <c r="Q1707" s="10" t="n"/>
      <c r="R1707" s="10" t="n"/>
      <c r="S1707" s="16" t="inlineStr">
        <is>
          <t>https://mstgolf.co.th/products/gf3010300397</t>
        </is>
      </c>
      <c r="T1707" s="1">
        <f>IF(B1707="ไม้กอล์ฟ",J1707,"")</f>
        <v/>
      </c>
    </row>
    <row r="1708">
      <c r="A1708" s="1" t="n">
        <v>2</v>
      </c>
      <c r="B1708" s="1" t="inlineStr">
        <is>
          <t>ถุงกอล์ฟ</t>
        </is>
      </c>
      <c r="C1708" s="1" t="inlineStr">
        <is>
          <t>gf3010101445</t>
        </is>
      </c>
      <c r="D1708" s="1" t="inlineStr">
        <is>
          <t>DISNEY PU Duffle Bag (Navy)</t>
        </is>
      </c>
      <c r="E1708" s="1" t="inlineStr">
        <is>
          <t>DISNEY</t>
        </is>
      </c>
      <c r="F1708" s="1" t="inlineStr">
        <is>
          <t>BOSTON/DUFFLE BAG</t>
        </is>
      </c>
      <c r="G1708" s="1" t="inlineStr">
        <is>
          <t>GF3010101445</t>
        </is>
      </c>
      <c r="H1708" s="1" t="n">
        <v>1</v>
      </c>
      <c r="I1708" s="1" t="inlineStr">
        <is>
          <t>หมด</t>
        </is>
      </c>
      <c r="J1708" s="13" t="n">
        <v>78</v>
      </c>
      <c r="K1708" s="1" t="inlineStr"/>
      <c r="L1708" s="13" t="n">
        <v>78</v>
      </c>
      <c r="M1708" s="1">
        <f>IF(L1708="","ไม่พบใน SG",IF(ABS(J1708-L1708)&lt;0.005,"ตรงกัน","ไม่ตรง"))</f>
        <v/>
      </c>
      <c r="N1708" s="14">
        <f>IF(L1708="","",ROUND(L1708*'สรุป'!$C$6,-1))</f>
        <v/>
      </c>
      <c r="O1708" s="15" t="n"/>
      <c r="P1708" s="15" t="n"/>
      <c r="Q1708" s="10" t="n"/>
      <c r="R1708" s="10" t="n"/>
      <c r="S1708" s="16" t="inlineStr">
        <is>
          <t>https://mstgolf.co.th/products/gf3010101445</t>
        </is>
      </c>
      <c r="T1708" s="1">
        <f>IF(B1708="ไม้กอล์ฟ",J1708,"")</f>
        <v/>
      </c>
    </row>
    <row r="1709">
      <c r="A1709" s="1" t="n">
        <v>2</v>
      </c>
      <c r="B1709" s="1" t="inlineStr">
        <is>
          <t>รองเท้า</t>
        </is>
      </c>
      <c r="C1709" s="1" t="inlineStr">
        <is>
          <t>gf2500200919</t>
        </is>
      </c>
      <c r="D1709" s="1" t="inlineStr">
        <is>
          <t>PUMA Fusion Pro Men's Spikeless Shoes (Navy/Silver)</t>
        </is>
      </c>
      <c r="E1709" s="1" t="inlineStr">
        <is>
          <t>PUMA</t>
        </is>
      </c>
      <c r="F1709" s="1" t="inlineStr">
        <is>
          <t>SPIKELESS SHOES</t>
        </is>
      </c>
      <c r="G1709" s="1" t="inlineStr">
        <is>
          <t>GF2500200919UK6.5</t>
        </is>
      </c>
      <c r="H1709" s="1" t="n">
        <v>11</v>
      </c>
      <c r="I1709" s="1" t="inlineStr">
        <is>
          <t>หมด</t>
        </is>
      </c>
      <c r="J1709" s="13" t="n">
        <v>75</v>
      </c>
      <c r="K1709" s="1" t="inlineStr"/>
      <c r="L1709" s="13" t="n"/>
      <c r="M1709" s="1">
        <f>IF(L1709="","ไม่พบใน SG",IF(ABS(J1709-L1709)&lt;0.005,"ตรงกัน","ไม่ตรง"))</f>
        <v/>
      </c>
      <c r="N1709" s="14">
        <f>IF(L1709="","",ROUND(L1709*'สรุป'!$C$6,-1))</f>
        <v/>
      </c>
      <c r="O1709" s="15" t="n"/>
      <c r="P1709" s="15" t="n"/>
      <c r="Q1709" s="10" t="n"/>
      <c r="R1709" s="10" t="n"/>
      <c r="S1709" s="16" t="inlineStr">
        <is>
          <t>https://mstgolf.co.th/products/gf2500200919</t>
        </is>
      </c>
      <c r="T1709" s="1">
        <f>IF(B1709="ไม้กอล์ฟ",J1709,"")</f>
        <v/>
      </c>
    </row>
    <row r="1710">
      <c r="A1710" s="1" t="n">
        <v>2</v>
      </c>
      <c r="B1710" s="1" t="inlineStr">
        <is>
          <t>ถุงกอล์ฟ</t>
        </is>
      </c>
      <c r="C1710" s="1" t="inlineStr">
        <is>
          <t>gf3010101444</t>
        </is>
      </c>
      <c r="D1710" s="1" t="inlineStr">
        <is>
          <t>DISNEY Polyester Duffle Bag (Navy)</t>
        </is>
      </c>
      <c r="E1710" s="1" t="inlineStr">
        <is>
          <t>DISNEY</t>
        </is>
      </c>
      <c r="F1710" s="1" t="inlineStr">
        <is>
          <t>BOSTON/DUFFLE BAG</t>
        </is>
      </c>
      <c r="G1710" s="1" t="inlineStr">
        <is>
          <t>GF3010101444</t>
        </is>
      </c>
      <c r="H1710" s="1" t="n">
        <v>1</v>
      </c>
      <c r="I1710" s="1" t="inlineStr">
        <is>
          <t>หมด</t>
        </is>
      </c>
      <c r="J1710" s="13" t="n">
        <v>73</v>
      </c>
      <c r="K1710" s="1" t="inlineStr"/>
      <c r="L1710" s="13" t="n">
        <v>73</v>
      </c>
      <c r="M1710" s="1">
        <f>IF(L1710="","ไม่พบใน SG",IF(ABS(J1710-L1710)&lt;0.005,"ตรงกัน","ไม่ตรง"))</f>
        <v/>
      </c>
      <c r="N1710" s="14">
        <f>IF(L1710="","",ROUND(L1710*'สรุป'!$C$6,-1))</f>
        <v/>
      </c>
      <c r="O1710" s="15" t="n"/>
      <c r="P1710" s="15" t="n"/>
      <c r="Q1710" s="10" t="n"/>
      <c r="R1710" s="10" t="n"/>
      <c r="S1710" s="16" t="inlineStr">
        <is>
          <t>https://mstgolf.co.th/products/gf3010101444</t>
        </is>
      </c>
      <c r="T1710" s="1">
        <f>IF(B1710="ไม้กอล์ฟ",J1710,"")</f>
        <v/>
      </c>
    </row>
    <row r="1711">
      <c r="A1711" s="1" t="n">
        <v>2</v>
      </c>
      <c r="B1711" s="1" t="inlineStr">
        <is>
          <t>ลูกกอล์ฟ</t>
        </is>
      </c>
      <c r="C1711" s="1" t="inlineStr">
        <is>
          <t>gf3200400217</t>
        </is>
      </c>
      <c r="D1711" s="1" t="inlineStr">
        <is>
          <t>TITLEIST Pro V1x (2023) (Yellow) Golf Ball</t>
        </is>
      </c>
      <c r="E1711" s="1" t="inlineStr">
        <is>
          <t>TITLEIST</t>
        </is>
      </c>
      <c r="F1711" s="1" t="inlineStr">
        <is>
          <t>TOUR</t>
        </is>
      </c>
      <c r="G1711" s="1" t="inlineStr">
        <is>
          <t>GF3200400217</t>
        </is>
      </c>
      <c r="H1711" s="1" t="n">
        <v>1</v>
      </c>
      <c r="I1711" s="1" t="inlineStr">
        <is>
          <t>หมด</t>
        </is>
      </c>
      <c r="J1711" s="13" t="n">
        <v>72</v>
      </c>
      <c r="K1711" s="1" t="inlineStr"/>
      <c r="L1711" s="13" t="n">
        <v>72</v>
      </c>
      <c r="M1711" s="1">
        <f>IF(L1711="","ไม่พบใน SG",IF(ABS(J1711-L1711)&lt;0.005,"ตรงกัน","ไม่ตรง"))</f>
        <v/>
      </c>
      <c r="N1711" s="14">
        <f>IF(L1711="","",ROUND(L1711*'สรุป'!$C$6,-1))</f>
        <v/>
      </c>
      <c r="O1711" s="15" t="n"/>
      <c r="P1711" s="15" t="n"/>
      <c r="Q1711" s="10" t="n"/>
      <c r="R1711" s="10" t="n"/>
      <c r="S1711" s="16" t="inlineStr">
        <is>
          <t>https://mstgolf.co.th/products/gf3200400217</t>
        </is>
      </c>
      <c r="T1711" s="1">
        <f>IF(B1711="ไม้กอล์ฟ",J1711,"")</f>
        <v/>
      </c>
    </row>
    <row r="1712">
      <c r="A1712" s="1" t="n">
        <v>2</v>
      </c>
      <c r="B1712" s="1" t="inlineStr">
        <is>
          <t>ลูกกอล์ฟ</t>
        </is>
      </c>
      <c r="C1712" s="1" t="inlineStr">
        <is>
          <t>gf3200400216</t>
        </is>
      </c>
      <c r="D1712" s="1" t="inlineStr">
        <is>
          <t>TITLEIST Pro V1x (2023) Golf Ball</t>
        </is>
      </c>
      <c r="E1712" s="1" t="inlineStr">
        <is>
          <t>TITLEIST</t>
        </is>
      </c>
      <c r="F1712" s="1" t="inlineStr">
        <is>
          <t>TOUR</t>
        </is>
      </c>
      <c r="G1712" s="1" t="inlineStr">
        <is>
          <t>GF3200400216</t>
        </is>
      </c>
      <c r="H1712" s="1" t="n">
        <v>1</v>
      </c>
      <c r="I1712" s="1" t="inlineStr">
        <is>
          <t>หมด</t>
        </is>
      </c>
      <c r="J1712" s="13" t="n">
        <v>72</v>
      </c>
      <c r="K1712" s="1" t="inlineStr"/>
      <c r="L1712" s="13" t="n">
        <v>72</v>
      </c>
      <c r="M1712" s="1">
        <f>IF(L1712="","ไม่พบใน SG",IF(ABS(J1712-L1712)&lt;0.005,"ตรงกัน","ไม่ตรง"))</f>
        <v/>
      </c>
      <c r="N1712" s="14">
        <f>IF(L1712="","",ROUND(L1712*'สรุป'!$C$6,-1))</f>
        <v/>
      </c>
      <c r="O1712" s="15" t="n"/>
      <c r="P1712" s="15" t="n"/>
      <c r="Q1712" s="10" t="n"/>
      <c r="R1712" s="10" t="n"/>
      <c r="S1712" s="16" t="inlineStr">
        <is>
          <t>https://mstgolf.co.th/products/gf3200400216</t>
        </is>
      </c>
      <c r="T1712" s="1">
        <f>IF(B1712="ไม้กอล์ฟ",J1712,"")</f>
        <v/>
      </c>
    </row>
    <row r="1713">
      <c r="A1713" s="1" t="n">
        <v>2</v>
      </c>
      <c r="B1713" s="1" t="inlineStr">
        <is>
          <t>ลูกกอล์ฟ</t>
        </is>
      </c>
      <c r="C1713" s="1" t="inlineStr">
        <is>
          <t>gf3200400252</t>
        </is>
      </c>
      <c r="D1713" s="1" t="inlineStr">
        <is>
          <t>TITLEIST AVX (2024) Golf Ball</t>
        </is>
      </c>
      <c r="E1713" s="1" t="inlineStr">
        <is>
          <t>TITLEIST</t>
        </is>
      </c>
      <c r="F1713" s="1" t="inlineStr">
        <is>
          <t>TOUR</t>
        </is>
      </c>
      <c r="G1713" s="1" t="inlineStr">
        <is>
          <t>GF3200400252</t>
        </is>
      </c>
      <c r="H1713" s="1" t="n">
        <v>1</v>
      </c>
      <c r="I1713" s="1" t="inlineStr">
        <is>
          <t>หมด</t>
        </is>
      </c>
      <c r="J1713" s="13" t="n">
        <v>69.59999999999999</v>
      </c>
      <c r="K1713" s="1" t="inlineStr"/>
      <c r="L1713" s="13" t="n">
        <v>59</v>
      </c>
      <c r="M1713" s="1">
        <f>IF(L1713="","ไม่พบใน SG",IF(ABS(J1713-L1713)&lt;0.005,"ตรงกัน","ไม่ตรง"))</f>
        <v/>
      </c>
      <c r="N1713" s="14">
        <f>IF(L1713="","",ROUND(L1713*'สรุป'!$C$6,-1))</f>
        <v/>
      </c>
      <c r="O1713" s="15" t="n"/>
      <c r="P1713" s="15" t="n"/>
      <c r="Q1713" s="10" t="n"/>
      <c r="R1713" s="10" t="n"/>
      <c r="S1713" s="16" t="inlineStr">
        <is>
          <t>https://mstgolf.co.th/products/gf3200400252</t>
        </is>
      </c>
      <c r="T1713" s="1">
        <f>IF(B1713="ไม้กอล์ฟ",J1713,"")</f>
        <v/>
      </c>
    </row>
    <row r="1714">
      <c r="A1714" s="1" t="n">
        <v>2</v>
      </c>
      <c r="B1714" s="1" t="inlineStr">
        <is>
          <t>ลูกกอล์ฟ</t>
        </is>
      </c>
      <c r="C1714" s="1" t="inlineStr">
        <is>
          <t>gf3200400253</t>
        </is>
      </c>
      <c r="D1714" s="1" t="inlineStr">
        <is>
          <t>TITLEIST AVX (2024) Golf Ball</t>
        </is>
      </c>
      <c r="E1714" s="1" t="inlineStr">
        <is>
          <t>TITLEIST</t>
        </is>
      </c>
      <c r="F1714" s="1" t="inlineStr">
        <is>
          <t>TOUR</t>
        </is>
      </c>
      <c r="G1714" s="1" t="inlineStr">
        <is>
          <t>GF3200400253</t>
        </is>
      </c>
      <c r="H1714" s="1" t="n">
        <v>1</v>
      </c>
      <c r="I1714" s="1" t="inlineStr">
        <is>
          <t>หมด</t>
        </is>
      </c>
      <c r="J1714" s="13" t="n">
        <v>69.59999999999999</v>
      </c>
      <c r="K1714" s="1" t="inlineStr"/>
      <c r="L1714" s="13" t="n">
        <v>59</v>
      </c>
      <c r="M1714" s="1">
        <f>IF(L1714="","ไม่พบใน SG",IF(ABS(J1714-L1714)&lt;0.005,"ตรงกัน","ไม่ตรง"))</f>
        <v/>
      </c>
      <c r="N1714" s="14">
        <f>IF(L1714="","",ROUND(L1714*'สรุป'!$C$6,-1))</f>
        <v/>
      </c>
      <c r="O1714" s="15" t="n"/>
      <c r="P1714" s="15" t="n"/>
      <c r="Q1714" s="10" t="n"/>
      <c r="R1714" s="10" t="n"/>
      <c r="S1714" s="16" t="inlineStr">
        <is>
          <t>https://mstgolf.co.th/products/gf3200400253</t>
        </is>
      </c>
      <c r="T1714" s="1">
        <f>IF(B1714="ไม้กอล์ฟ",J1714,"")</f>
        <v/>
      </c>
    </row>
    <row r="1715">
      <c r="A1715" s="1" t="n">
        <v>2</v>
      </c>
      <c r="B1715" s="1" t="inlineStr">
        <is>
          <t>ถุงกอล์ฟ</t>
        </is>
      </c>
      <c r="C1715" s="1" t="inlineStr">
        <is>
          <t>gf3000300367</t>
        </is>
      </c>
      <c r="D1715" s="1" t="inlineStr">
        <is>
          <t>CUTTER &amp; BUCK Stand Range Bag (Black)</t>
        </is>
      </c>
      <c r="E1715" s="1" t="inlineStr">
        <is>
          <t>CUTTER &amp; BUCK</t>
        </is>
      </c>
      <c r="F1715" s="1" t="inlineStr">
        <is>
          <t>RANGE BAG</t>
        </is>
      </c>
      <c r="G1715" s="1" t="inlineStr">
        <is>
          <t>GF3000300367</t>
        </is>
      </c>
      <c r="H1715" s="1" t="n">
        <v>1</v>
      </c>
      <c r="I1715" s="1" t="inlineStr">
        <is>
          <t>หมด</t>
        </is>
      </c>
      <c r="J1715" s="13" t="n">
        <v>69</v>
      </c>
      <c r="K1715" s="1" t="inlineStr"/>
      <c r="L1715" s="13" t="n"/>
      <c r="M1715" s="1">
        <f>IF(L1715="","ไม่พบใน SG",IF(ABS(J1715-L1715)&lt;0.005,"ตรงกัน","ไม่ตรง"))</f>
        <v/>
      </c>
      <c r="N1715" s="14">
        <f>IF(L1715="","",ROUND(L1715*'สรุป'!$C$6,-1))</f>
        <v/>
      </c>
      <c r="O1715" s="15" t="n"/>
      <c r="P1715" s="15" t="n"/>
      <c r="Q1715" s="10" t="n"/>
      <c r="R1715" s="10" t="n"/>
      <c r="S1715" s="16" t="inlineStr">
        <is>
          <t>https://mstgolf.co.th/products/gf3000300367</t>
        </is>
      </c>
      <c r="T1715" s="1">
        <f>IF(B1715="ไม้กอล์ฟ",J1715,"")</f>
        <v/>
      </c>
    </row>
    <row r="1716">
      <c r="A1716" s="1" t="n">
        <v>2</v>
      </c>
      <c r="B1716" s="1" t="inlineStr">
        <is>
          <t>ถุงกอล์ฟ</t>
        </is>
      </c>
      <c r="C1716" s="1" t="inlineStr">
        <is>
          <t>gf3010101322</t>
        </is>
      </c>
      <c r="D1716" s="1" t="inlineStr">
        <is>
          <t>NIKE Brasilia Duffle Bag (Green/Black/Milk)</t>
        </is>
      </c>
      <c r="E1716" s="1" t="inlineStr">
        <is>
          <t>NIKE</t>
        </is>
      </c>
      <c r="F1716" s="1" t="inlineStr">
        <is>
          <t>BOSTON/DUFFLE BAG</t>
        </is>
      </c>
      <c r="G1716" s="1" t="inlineStr">
        <is>
          <t>GF3010101322</t>
        </is>
      </c>
      <c r="H1716" s="1" t="n">
        <v>1</v>
      </c>
      <c r="I1716" s="1" t="inlineStr">
        <is>
          <t>หมด</t>
        </is>
      </c>
      <c r="J1716" s="13" t="n">
        <v>69</v>
      </c>
      <c r="K1716" s="1" t="inlineStr"/>
      <c r="L1716" s="13" t="n">
        <v>69</v>
      </c>
      <c r="M1716" s="1">
        <f>IF(L1716="","ไม่พบใน SG",IF(ABS(J1716-L1716)&lt;0.005,"ตรงกัน","ไม่ตรง"))</f>
        <v/>
      </c>
      <c r="N1716" s="14">
        <f>IF(L1716="","",ROUND(L1716*'สรุป'!$C$6,-1))</f>
        <v/>
      </c>
      <c r="O1716" s="15" t="n"/>
      <c r="P1716" s="15" t="n"/>
      <c r="Q1716" s="10" t="n"/>
      <c r="R1716" s="10" t="n"/>
      <c r="S1716" s="16" t="inlineStr">
        <is>
          <t>https://mstgolf.co.th/products/gf3010101322</t>
        </is>
      </c>
      <c r="T1716" s="1">
        <f>IF(B1716="ไม้กอล์ฟ",J1716,"")</f>
        <v/>
      </c>
    </row>
    <row r="1717">
      <c r="A1717" s="1" t="n">
        <v>2</v>
      </c>
      <c r="B1717" s="1" t="inlineStr">
        <is>
          <t>อุปกรณ์ฝึกซ้อม</t>
        </is>
      </c>
      <c r="C1717" s="1" t="inlineStr">
        <is>
          <t>gf3040100117</t>
        </is>
      </c>
      <c r="D1717" s="1" t="inlineStr">
        <is>
          <t>SKLZ Quickster Chipping Net</t>
        </is>
      </c>
      <c r="E1717" s="1" t="inlineStr">
        <is>
          <t>SKLZ</t>
        </is>
      </c>
      <c r="F1717" s="1" t="inlineStr">
        <is>
          <t>SWING</t>
        </is>
      </c>
      <c r="G1717" s="1" t="inlineStr">
        <is>
          <t>GF3040100117</t>
        </is>
      </c>
      <c r="H1717" s="1" t="n">
        <v>1</v>
      </c>
      <c r="I1717" s="1" t="inlineStr">
        <is>
          <t>หมด</t>
        </is>
      </c>
      <c r="J1717" s="13" t="n">
        <v>69</v>
      </c>
      <c r="K1717" s="1" t="inlineStr"/>
      <c r="L1717" s="13" t="n">
        <v>69</v>
      </c>
      <c r="M1717" s="1">
        <f>IF(L1717="","ไม่พบใน SG",IF(ABS(J1717-L1717)&lt;0.005,"ตรงกัน","ไม่ตรง"))</f>
        <v/>
      </c>
      <c r="N1717" s="14">
        <f>IF(L1717="","",ROUND(L1717*'สรุป'!$C$6,-1))</f>
        <v/>
      </c>
      <c r="O1717" s="15" t="n"/>
      <c r="P1717" s="15" t="n"/>
      <c r="Q1717" s="10" t="n"/>
      <c r="R1717" s="10" t="n"/>
      <c r="S1717" s="16" t="inlineStr">
        <is>
          <t>https://mstgolf.co.th/products/gf3040100117</t>
        </is>
      </c>
      <c r="T1717" s="1">
        <f>IF(B1717="ไม้กอล์ฟ",J1717,"")</f>
        <v/>
      </c>
    </row>
    <row r="1718">
      <c r="A1718" s="1" t="n">
        <v>2</v>
      </c>
      <c r="B1718" s="1" t="inlineStr">
        <is>
          <t>ถุงกอล์ฟ</t>
        </is>
      </c>
      <c r="C1718" s="1" t="inlineStr">
        <is>
          <t>gf3010401100</t>
        </is>
      </c>
      <c r="D1718" s="1" t="inlineStr">
        <is>
          <t>TAYLORMADE A-Collection Pouch (Beige)</t>
        </is>
      </c>
      <c r="E1718" s="1" t="inlineStr">
        <is>
          <t>TAYLORMADE</t>
        </is>
      </c>
      <c r="F1718" s="1" t="inlineStr">
        <is>
          <t>SMALL BAG</t>
        </is>
      </c>
      <c r="G1718" s="1" t="inlineStr">
        <is>
          <t>GF3010401100</t>
        </is>
      </c>
      <c r="H1718" s="1" t="n">
        <v>1</v>
      </c>
      <c r="I1718" s="1" t="inlineStr">
        <is>
          <t>หมด</t>
        </is>
      </c>
      <c r="J1718" s="13" t="n">
        <v>69</v>
      </c>
      <c r="K1718" s="1" t="inlineStr"/>
      <c r="L1718" s="13" t="n">
        <v>69</v>
      </c>
      <c r="M1718" s="1">
        <f>IF(L1718="","ไม่พบใน SG",IF(ABS(J1718-L1718)&lt;0.005,"ตรงกัน","ไม่ตรง"))</f>
        <v/>
      </c>
      <c r="N1718" s="14">
        <f>IF(L1718="","",ROUND(L1718*'สรุป'!$C$6,-1))</f>
        <v/>
      </c>
      <c r="O1718" s="15" t="n"/>
      <c r="P1718" s="15" t="n"/>
      <c r="Q1718" s="10" t="n"/>
      <c r="R1718" s="10" t="n"/>
      <c r="S1718" s="16" t="inlineStr">
        <is>
          <t>https://mstgolf.co.th/products/gf3010401100</t>
        </is>
      </c>
      <c r="T1718" s="1">
        <f>IF(B1718="ไม้กอล์ฟ",J1718,"")</f>
        <v/>
      </c>
    </row>
    <row r="1719">
      <c r="A1719" s="1" t="n">
        <v>2</v>
      </c>
      <c r="B1719" s="1" t="inlineStr">
        <is>
          <t>ถุงกอล์ฟ</t>
        </is>
      </c>
      <c r="C1719" s="1" t="inlineStr">
        <is>
          <t>gf3010401099</t>
        </is>
      </c>
      <c r="D1719" s="1" t="inlineStr">
        <is>
          <t>TAYLORMADE A-Collection Pouch (Black)</t>
        </is>
      </c>
      <c r="E1719" s="1" t="inlineStr">
        <is>
          <t>TAYLORMADE</t>
        </is>
      </c>
      <c r="F1719" s="1" t="inlineStr">
        <is>
          <t>SMALL BAG</t>
        </is>
      </c>
      <c r="G1719" s="1" t="inlineStr">
        <is>
          <t>GF3010401099</t>
        </is>
      </c>
      <c r="H1719" s="1" t="n">
        <v>1</v>
      </c>
      <c r="I1719" s="1" t="inlineStr">
        <is>
          <t>หมด</t>
        </is>
      </c>
      <c r="J1719" s="13" t="n">
        <v>69</v>
      </c>
      <c r="K1719" s="1" t="inlineStr"/>
      <c r="L1719" s="13" t="n">
        <v>69</v>
      </c>
      <c r="M1719" s="1">
        <f>IF(L1719="","ไม่พบใน SG",IF(ABS(J1719-L1719)&lt;0.005,"ตรงกัน","ไม่ตรง"))</f>
        <v/>
      </c>
      <c r="N1719" s="14">
        <f>IF(L1719="","",ROUND(L1719*'สรุป'!$C$6,-1))</f>
        <v/>
      </c>
      <c r="O1719" s="15" t="n"/>
      <c r="P1719" s="15" t="n"/>
      <c r="Q1719" s="10" t="n"/>
      <c r="R1719" s="10" t="n"/>
      <c r="S1719" s="16" t="inlineStr">
        <is>
          <t>https://mstgolf.co.th/products/gf3010401099</t>
        </is>
      </c>
      <c r="T1719" s="1">
        <f>IF(B1719="ไม้กอล์ฟ",J1719,"")</f>
        <v/>
      </c>
    </row>
    <row r="1720">
      <c r="A1720" s="1" t="n">
        <v>2</v>
      </c>
      <c r="B1720" s="1" t="inlineStr">
        <is>
          <t>ถุงกอล์ฟ</t>
        </is>
      </c>
      <c r="C1720" s="1" t="inlineStr">
        <is>
          <t>gf3010401101</t>
        </is>
      </c>
      <c r="D1720" s="1" t="inlineStr">
        <is>
          <t>TAYLORMADE A-Collection Pouch (Grey)</t>
        </is>
      </c>
      <c r="E1720" s="1" t="inlineStr">
        <is>
          <t>TAYLORMADE</t>
        </is>
      </c>
      <c r="F1720" s="1" t="inlineStr">
        <is>
          <t>SMALL BAG</t>
        </is>
      </c>
      <c r="G1720" s="1" t="inlineStr">
        <is>
          <t>GF3010401101</t>
        </is>
      </c>
      <c r="H1720" s="1" t="n">
        <v>1</v>
      </c>
      <c r="I1720" s="1" t="inlineStr">
        <is>
          <t>หมด</t>
        </is>
      </c>
      <c r="J1720" s="13" t="n">
        <v>69</v>
      </c>
      <c r="K1720" s="1" t="inlineStr"/>
      <c r="L1720" s="13" t="n">
        <v>69</v>
      </c>
      <c r="M1720" s="1">
        <f>IF(L1720="","ไม่พบใน SG",IF(ABS(J1720-L1720)&lt;0.005,"ตรงกัน","ไม่ตรง"))</f>
        <v/>
      </c>
      <c r="N1720" s="14">
        <f>IF(L1720="","",ROUND(L1720*'สรุป'!$C$6,-1))</f>
        <v/>
      </c>
      <c r="O1720" s="15" t="n"/>
      <c r="P1720" s="15" t="n"/>
      <c r="Q1720" s="10" t="n"/>
      <c r="R1720" s="10" t="n"/>
      <c r="S1720" s="16" t="inlineStr">
        <is>
          <t>https://mstgolf.co.th/products/gf3010401101</t>
        </is>
      </c>
      <c r="T1720" s="1">
        <f>IF(B1720="ไม้กอล์ฟ",J1720,"")</f>
        <v/>
      </c>
    </row>
    <row r="1721">
      <c r="A1721" s="1" t="n">
        <v>2</v>
      </c>
      <c r="B1721" s="1" t="inlineStr">
        <is>
          <t>ถุงกอล์ฟ</t>
        </is>
      </c>
      <c r="C1721" s="1" t="inlineStr">
        <is>
          <t>gf3010401107</t>
        </is>
      </c>
      <c r="D1721" s="1" t="inlineStr">
        <is>
          <t>TAYLORMADE Circle Logo Women's Tote Bag (Beige)</t>
        </is>
      </c>
      <c r="E1721" s="1" t="inlineStr">
        <is>
          <t>TAYLORMADE</t>
        </is>
      </c>
      <c r="F1721" s="1" t="inlineStr">
        <is>
          <t>SMALL BAG</t>
        </is>
      </c>
      <c r="G1721" s="1" t="inlineStr">
        <is>
          <t>GF3010401107</t>
        </is>
      </c>
      <c r="H1721" s="1" t="n">
        <v>1</v>
      </c>
      <c r="I1721" s="1" t="inlineStr">
        <is>
          <t>หมด</t>
        </is>
      </c>
      <c r="J1721" s="13" t="n">
        <v>69</v>
      </c>
      <c r="K1721" s="1" t="inlineStr"/>
      <c r="L1721" s="13" t="n"/>
      <c r="M1721" s="1">
        <f>IF(L1721="","ไม่พบใน SG",IF(ABS(J1721-L1721)&lt;0.005,"ตรงกัน","ไม่ตรง"))</f>
        <v/>
      </c>
      <c r="N1721" s="14">
        <f>IF(L1721="","",ROUND(L1721*'สรุป'!$C$6,-1))</f>
        <v/>
      </c>
      <c r="O1721" s="15" t="n"/>
      <c r="P1721" s="15" t="n"/>
      <c r="Q1721" s="10" t="n"/>
      <c r="R1721" s="10" t="n"/>
      <c r="S1721" s="16" t="inlineStr">
        <is>
          <t>https://mstgolf.co.th/products/gf3010401107</t>
        </is>
      </c>
      <c r="T1721" s="1">
        <f>IF(B1721="ไม้กอล์ฟ",J1721,"")</f>
        <v/>
      </c>
    </row>
    <row r="1722">
      <c r="A1722" s="1" t="n">
        <v>2</v>
      </c>
      <c r="B1722" s="1" t="inlineStr">
        <is>
          <t>อุปกรณ์ฝึกซ้อม</t>
        </is>
      </c>
      <c r="C1722" s="1" t="inlineStr">
        <is>
          <t>gf3040200098</t>
        </is>
      </c>
      <c r="D1722" s="1" t="inlineStr">
        <is>
          <t>SKLZ PUTTING GREEN</t>
        </is>
      </c>
      <c r="E1722" s="1" t="inlineStr">
        <is>
          <t>SKLZ</t>
        </is>
      </c>
      <c r="F1722" s="1" t="inlineStr">
        <is>
          <t>PUTT / CHIP</t>
        </is>
      </c>
      <c r="G1722" s="1" t="inlineStr">
        <is>
          <t>GF3040200098</t>
        </is>
      </c>
      <c r="H1722" s="1" t="n">
        <v>1</v>
      </c>
      <c r="I1722" s="1" t="inlineStr">
        <is>
          <t>หมด</t>
        </is>
      </c>
      <c r="J1722" s="13" t="n">
        <v>67</v>
      </c>
      <c r="K1722" s="1" t="inlineStr"/>
      <c r="L1722" s="13" t="n">
        <v>67</v>
      </c>
      <c r="M1722" s="1">
        <f>IF(L1722="","ไม่พบใน SG",IF(ABS(J1722-L1722)&lt;0.005,"ตรงกัน","ไม่ตรง"))</f>
        <v/>
      </c>
      <c r="N1722" s="14">
        <f>IF(L1722="","",ROUND(L1722*'สรุป'!$C$6,-1))</f>
        <v/>
      </c>
      <c r="O1722" s="15" t="n"/>
      <c r="P1722" s="15" t="n"/>
      <c r="Q1722" s="10" t="n"/>
      <c r="R1722" s="10" t="n"/>
      <c r="S1722" s="16" t="inlineStr">
        <is>
          <t>https://mstgolf.co.th/products/gf3040200098</t>
        </is>
      </c>
      <c r="T1722" s="1">
        <f>IF(B1722="ไม้กอล์ฟ",J1722,"")</f>
        <v/>
      </c>
    </row>
    <row r="1723">
      <c r="A1723" s="1" t="n">
        <v>2</v>
      </c>
      <c r="B1723" s="1" t="inlineStr">
        <is>
          <t>ถุงกอล์ฟ</t>
        </is>
      </c>
      <c r="C1723" s="1" t="inlineStr">
        <is>
          <t>gf3010401108</t>
        </is>
      </c>
      <c r="D1723" s="1" t="inlineStr">
        <is>
          <t>TAYLORMADE Graphic-T Lite Women's Tote Bag (Navy/White)</t>
        </is>
      </c>
      <c r="E1723" s="1" t="inlineStr">
        <is>
          <t>TAYLORMADE</t>
        </is>
      </c>
      <c r="F1723" s="1" t="inlineStr">
        <is>
          <t>SMALL BAG</t>
        </is>
      </c>
      <c r="G1723" s="1" t="inlineStr">
        <is>
          <t>GF3010401108</t>
        </is>
      </c>
      <c r="H1723" s="1" t="n">
        <v>1</v>
      </c>
      <c r="I1723" s="1" t="inlineStr">
        <is>
          <t>หมด</t>
        </is>
      </c>
      <c r="J1723" s="13" t="n">
        <v>67</v>
      </c>
      <c r="K1723" s="1" t="inlineStr"/>
      <c r="L1723" s="13" t="n"/>
      <c r="M1723" s="1">
        <f>IF(L1723="","ไม่พบใน SG",IF(ABS(J1723-L1723)&lt;0.005,"ตรงกัน","ไม่ตรง"))</f>
        <v/>
      </c>
      <c r="N1723" s="14">
        <f>IF(L1723="","",ROUND(L1723*'สรุป'!$C$6,-1))</f>
        <v/>
      </c>
      <c r="O1723" s="15" t="n"/>
      <c r="P1723" s="15" t="n"/>
      <c r="Q1723" s="10" t="n"/>
      <c r="R1723" s="10" t="n"/>
      <c r="S1723" s="16" t="inlineStr">
        <is>
          <t>https://mstgolf.co.th/products/gf3010401108</t>
        </is>
      </c>
      <c r="T1723" s="1">
        <f>IF(B1723="ไม้กอล์ฟ",J1723,"")</f>
        <v/>
      </c>
    </row>
    <row r="1724">
      <c r="A1724" s="1" t="n">
        <v>2</v>
      </c>
      <c r="B1724" s="1" t="inlineStr">
        <is>
          <t>ถุงกอล์ฟ</t>
        </is>
      </c>
      <c r="C1724" s="1" t="inlineStr">
        <is>
          <t>gf3010600100</t>
        </is>
      </c>
      <c r="D1724" s="1" t="inlineStr">
        <is>
          <t>ADIDAS Denim-Look Heather Big Tote Bag (Black)</t>
        </is>
      </c>
      <c r="E1724" s="1" t="inlineStr">
        <is>
          <t>ADIDAS</t>
        </is>
      </c>
      <c r="F1724" s="1" t="inlineStr">
        <is>
          <t>SHOULDER BAG</t>
        </is>
      </c>
      <c r="G1724" s="1" t="inlineStr">
        <is>
          <t>GF3010600100</t>
        </is>
      </c>
      <c r="H1724" s="1" t="n">
        <v>1</v>
      </c>
      <c r="I1724" s="1" t="inlineStr">
        <is>
          <t>หมด</t>
        </is>
      </c>
      <c r="J1724" s="13" t="n">
        <v>65</v>
      </c>
      <c r="K1724" s="1" t="inlineStr"/>
      <c r="L1724" s="13" t="n">
        <v>65</v>
      </c>
      <c r="M1724" s="1">
        <f>IF(L1724="","ไม่พบใน SG",IF(ABS(J1724-L1724)&lt;0.005,"ตรงกัน","ไม่ตรง"))</f>
        <v/>
      </c>
      <c r="N1724" s="14">
        <f>IF(L1724="","",ROUND(L1724*'สรุป'!$C$6,-1))</f>
        <v/>
      </c>
      <c r="O1724" s="15" t="n"/>
      <c r="P1724" s="15" t="n"/>
      <c r="Q1724" s="10" t="n"/>
      <c r="R1724" s="10" t="n"/>
      <c r="S1724" s="16" t="inlineStr">
        <is>
          <t>https://mstgolf.co.th/products/gf3010600100</t>
        </is>
      </c>
      <c r="T1724" s="1">
        <f>IF(B1724="ไม้กอล์ฟ",J1724,"")</f>
        <v/>
      </c>
    </row>
    <row r="1725">
      <c r="A1725" s="1" t="n">
        <v>2</v>
      </c>
      <c r="B1725" s="1" t="inlineStr">
        <is>
          <t>อุปกรณ์ฝึกซ้อม</t>
        </is>
      </c>
      <c r="C1725" s="1" t="inlineStr">
        <is>
          <t>gf3040200078</t>
        </is>
      </c>
      <c r="D1725" s="1" t="inlineStr">
        <is>
          <t>PUTTOUT Premium Pressure Putt Trainer (Coral)</t>
        </is>
      </c>
      <c r="E1725" s="1" t="inlineStr">
        <is>
          <t>PUTTOUT</t>
        </is>
      </c>
      <c r="F1725" s="1" t="inlineStr">
        <is>
          <t>PUTT / CHIP</t>
        </is>
      </c>
      <c r="G1725" s="1" t="inlineStr">
        <is>
          <t>GF3040200078</t>
        </is>
      </c>
      <c r="H1725" s="1" t="n">
        <v>1</v>
      </c>
      <c r="I1725" s="1" t="inlineStr">
        <is>
          <t>หมด</t>
        </is>
      </c>
      <c r="J1725" s="13" t="n">
        <v>65</v>
      </c>
      <c r="K1725" s="1" t="inlineStr"/>
      <c r="L1725" s="13" t="n">
        <v>65</v>
      </c>
      <c r="M1725" s="1">
        <f>IF(L1725="","ไม่พบใน SG",IF(ABS(J1725-L1725)&lt;0.005,"ตรงกัน","ไม่ตรง"))</f>
        <v/>
      </c>
      <c r="N1725" s="14">
        <f>IF(L1725="","",ROUND(L1725*'สรุป'!$C$6,-1))</f>
        <v/>
      </c>
      <c r="O1725" s="15" t="n"/>
      <c r="P1725" s="15" t="n"/>
      <c r="Q1725" s="10" t="n"/>
      <c r="R1725" s="10" t="n"/>
      <c r="S1725" s="16" t="inlineStr">
        <is>
          <t>https://mstgolf.co.th/products/gf3040200078</t>
        </is>
      </c>
      <c r="T1725" s="1">
        <f>IF(B1725="ไม้กอล์ฟ",J1725,"")</f>
        <v/>
      </c>
    </row>
    <row r="1726">
      <c r="A1726" s="1" t="n">
        <v>2</v>
      </c>
      <c r="B1726" s="1" t="inlineStr">
        <is>
          <t>อุปกรณ์ฝึกซ้อม</t>
        </is>
      </c>
      <c r="C1726" s="1" t="inlineStr">
        <is>
          <t>gf3040200079</t>
        </is>
      </c>
      <c r="D1726" s="1" t="inlineStr">
        <is>
          <t>PUTTOUT Premium Pressure Putt Trainer (Lime)</t>
        </is>
      </c>
      <c r="E1726" s="1" t="inlineStr">
        <is>
          <t>PUTTOUT</t>
        </is>
      </c>
      <c r="F1726" s="1" t="inlineStr">
        <is>
          <t>PUTT / CHIP</t>
        </is>
      </c>
      <c r="G1726" s="1" t="inlineStr">
        <is>
          <t>GF3040200079</t>
        </is>
      </c>
      <c r="H1726" s="1" t="n">
        <v>1</v>
      </c>
      <c r="I1726" s="1" t="inlineStr">
        <is>
          <t>หมด</t>
        </is>
      </c>
      <c r="J1726" s="13" t="n">
        <v>65</v>
      </c>
      <c r="K1726" s="1" t="inlineStr"/>
      <c r="L1726" s="13" t="n">
        <v>65</v>
      </c>
      <c r="M1726" s="1">
        <f>IF(L1726="","ไม่พบใน SG",IF(ABS(J1726-L1726)&lt;0.005,"ตรงกัน","ไม่ตรง"))</f>
        <v/>
      </c>
      <c r="N1726" s="14">
        <f>IF(L1726="","",ROUND(L1726*'สรุป'!$C$6,-1))</f>
        <v/>
      </c>
      <c r="O1726" s="15" t="n"/>
      <c r="P1726" s="15" t="n"/>
      <c r="Q1726" s="10" t="n"/>
      <c r="R1726" s="10" t="n"/>
      <c r="S1726" s="16" t="inlineStr">
        <is>
          <t>https://mstgolf.co.th/products/gf3040200079</t>
        </is>
      </c>
      <c r="T1726" s="1">
        <f>IF(B1726="ไม้กอล์ฟ",J1726,"")</f>
        <v/>
      </c>
    </row>
    <row r="1727">
      <c r="A1727" s="1" t="n">
        <v>2</v>
      </c>
      <c r="B1727" s="1" t="inlineStr">
        <is>
          <t>อุปกรณ์ฝึกซ้อม</t>
        </is>
      </c>
      <c r="C1727" s="1" t="inlineStr">
        <is>
          <t>gf3040200077</t>
        </is>
      </c>
      <c r="D1727" s="1" t="inlineStr">
        <is>
          <t>PUTTOUT Premium Pressure Putt Trainer (Mint)</t>
        </is>
      </c>
      <c r="E1727" s="1" t="inlineStr">
        <is>
          <t>PUTTOUT</t>
        </is>
      </c>
      <c r="F1727" s="1" t="inlineStr">
        <is>
          <t>PUTT / CHIP</t>
        </is>
      </c>
      <c r="G1727" s="1" t="inlineStr">
        <is>
          <t>GF3040200077</t>
        </is>
      </c>
      <c r="H1727" s="1" t="n">
        <v>1</v>
      </c>
      <c r="I1727" s="1" t="inlineStr">
        <is>
          <t>หมด</t>
        </is>
      </c>
      <c r="J1727" s="13" t="n">
        <v>65</v>
      </c>
      <c r="K1727" s="1" t="inlineStr"/>
      <c r="L1727" s="13" t="n">
        <v>65</v>
      </c>
      <c r="M1727" s="1">
        <f>IF(L1727="","ไม่พบใน SG",IF(ABS(J1727-L1727)&lt;0.005,"ตรงกัน","ไม่ตรง"))</f>
        <v/>
      </c>
      <c r="N1727" s="14">
        <f>IF(L1727="","",ROUND(L1727*'สรุป'!$C$6,-1))</f>
        <v/>
      </c>
      <c r="O1727" s="15" t="n"/>
      <c r="P1727" s="15" t="n"/>
      <c r="Q1727" s="10" t="n"/>
      <c r="R1727" s="10" t="n"/>
      <c r="S1727" s="16" t="inlineStr">
        <is>
          <t>https://mstgolf.co.th/products/gf3040200077</t>
        </is>
      </c>
      <c r="T1727" s="1">
        <f>IF(B1727="ไม้กอล์ฟ",J1727,"")</f>
        <v/>
      </c>
    </row>
    <row r="1728">
      <c r="A1728" s="1" t="n">
        <v>2</v>
      </c>
      <c r="B1728" s="1" t="inlineStr">
        <is>
          <t>อุปกรณ์ฝึกซ้อม</t>
        </is>
      </c>
      <c r="C1728" s="1" t="inlineStr">
        <is>
          <t>gf3040200076</t>
        </is>
      </c>
      <c r="D1728" s="1" t="inlineStr">
        <is>
          <t>PUTTOUT Premium Pressure Putt Trainer (Stone)</t>
        </is>
      </c>
      <c r="E1728" s="1" t="inlineStr">
        <is>
          <t>PUTTOUT</t>
        </is>
      </c>
      <c r="F1728" s="1" t="inlineStr">
        <is>
          <t>PUTT / CHIP</t>
        </is>
      </c>
      <c r="G1728" s="1" t="inlineStr">
        <is>
          <t>GF3040200076</t>
        </is>
      </c>
      <c r="H1728" s="1" t="n">
        <v>1</v>
      </c>
      <c r="I1728" s="1" t="inlineStr">
        <is>
          <t>หมด</t>
        </is>
      </c>
      <c r="J1728" s="13" t="n">
        <v>65</v>
      </c>
      <c r="K1728" s="1" t="inlineStr"/>
      <c r="L1728" s="13" t="n">
        <v>65</v>
      </c>
      <c r="M1728" s="1">
        <f>IF(L1728="","ไม่พบใน SG",IF(ABS(J1728-L1728)&lt;0.005,"ตรงกัน","ไม่ตรง"))</f>
        <v/>
      </c>
      <c r="N1728" s="14">
        <f>IF(L1728="","",ROUND(L1728*'สรุป'!$C$6,-1))</f>
        <v/>
      </c>
      <c r="O1728" s="15" t="n"/>
      <c r="P1728" s="15" t="n"/>
      <c r="Q1728" s="10" t="n"/>
      <c r="R1728" s="10" t="n"/>
      <c r="S1728" s="16" t="inlineStr">
        <is>
          <t>https://mstgolf.co.th/products/gf3040200076</t>
        </is>
      </c>
      <c r="T1728" s="1">
        <f>IF(B1728="ไม้กอล์ฟ",J1728,"")</f>
        <v/>
      </c>
    </row>
    <row r="1729">
      <c r="A1729" s="1" t="n">
        <v>2</v>
      </c>
      <c r="B1729" s="1" t="inlineStr">
        <is>
          <t>ถุงกอล์ฟ</t>
        </is>
      </c>
      <c r="C1729" s="1" t="inlineStr">
        <is>
          <t>gf3010400716</t>
        </is>
      </c>
      <c r="D1729" s="1" t="inlineStr">
        <is>
          <t>ONOFF OA0722 Women's Round Tote Bag (Pink)</t>
        </is>
      </c>
      <c r="E1729" s="1" t="inlineStr">
        <is>
          <t>ONOFF</t>
        </is>
      </c>
      <c r="F1729" s="1" t="inlineStr">
        <is>
          <t>SMALL BAG</t>
        </is>
      </c>
      <c r="G1729" s="1" t="inlineStr">
        <is>
          <t>GF3010400716</t>
        </is>
      </c>
      <c r="H1729" s="1" t="n">
        <v>1</v>
      </c>
      <c r="I1729" s="1" t="inlineStr">
        <is>
          <t>หมด</t>
        </is>
      </c>
      <c r="J1729" s="13" t="n">
        <v>63</v>
      </c>
      <c r="K1729" s="1" t="inlineStr"/>
      <c r="L1729" s="13" t="n">
        <v>63</v>
      </c>
      <c r="M1729" s="1">
        <f>IF(L1729="","ไม่พบใน SG",IF(ABS(J1729-L1729)&lt;0.005,"ตรงกัน","ไม่ตรง"))</f>
        <v/>
      </c>
      <c r="N1729" s="14">
        <f>IF(L1729="","",ROUND(L1729*'สรุป'!$C$6,-1))</f>
        <v/>
      </c>
      <c r="O1729" s="15" t="n"/>
      <c r="P1729" s="15" t="n"/>
      <c r="Q1729" s="10" t="n"/>
      <c r="R1729" s="10" t="n"/>
      <c r="S1729" s="16" t="inlineStr">
        <is>
          <t>https://mstgolf.co.th/products/gf3010400716</t>
        </is>
      </c>
      <c r="T1729" s="1">
        <f>IF(B1729="ไม้กอล์ฟ",J1729,"")</f>
        <v/>
      </c>
    </row>
    <row r="1730">
      <c r="A1730" s="1" t="n">
        <v>2</v>
      </c>
      <c r="B1730" s="1" t="inlineStr">
        <is>
          <t>อุปกรณ์ฝึกซ้อม</t>
        </is>
      </c>
      <c r="C1730" s="1" t="inlineStr">
        <is>
          <t>gf3040200060</t>
        </is>
      </c>
      <c r="D1730" s="1" t="inlineStr">
        <is>
          <t>PUTTOUT PRESSURE PUTT TRAINER (RED)</t>
        </is>
      </c>
      <c r="E1730" s="1" t="inlineStr">
        <is>
          <t>PUTTOUT</t>
        </is>
      </c>
      <c r="F1730" s="1" t="inlineStr">
        <is>
          <t>PUTT / CHIP</t>
        </is>
      </c>
      <c r="G1730" s="1" t="inlineStr">
        <is>
          <t>GF3040200060</t>
        </is>
      </c>
      <c r="H1730" s="1" t="n">
        <v>1</v>
      </c>
      <c r="I1730" s="1" t="inlineStr">
        <is>
          <t>หมด</t>
        </is>
      </c>
      <c r="J1730" s="13" t="n">
        <v>63</v>
      </c>
      <c r="K1730" s="1" t="inlineStr"/>
      <c r="L1730" s="13" t="n"/>
      <c r="M1730" s="1">
        <f>IF(L1730="","ไม่พบใน SG",IF(ABS(J1730-L1730)&lt;0.005,"ตรงกัน","ไม่ตรง"))</f>
        <v/>
      </c>
      <c r="N1730" s="14">
        <f>IF(L1730="","",ROUND(L1730*'สรุป'!$C$6,-1))</f>
        <v/>
      </c>
      <c r="O1730" s="15" t="n"/>
      <c r="P1730" s="15" t="n"/>
      <c r="Q1730" s="10" t="n"/>
      <c r="R1730" s="10" t="n"/>
      <c r="S1730" s="16" t="inlineStr">
        <is>
          <t>https://mstgolf.co.th/products/gf3040200060</t>
        </is>
      </c>
      <c r="T1730" s="1">
        <f>IF(B1730="ไม้กอล์ฟ",J1730,"")</f>
        <v/>
      </c>
    </row>
    <row r="1731">
      <c r="A1731" s="1" t="n">
        <v>2</v>
      </c>
      <c r="B1731" s="1" t="inlineStr">
        <is>
          <t>อุปกรณ์ฝึกซ้อม</t>
        </is>
      </c>
      <c r="C1731" s="1" t="inlineStr">
        <is>
          <t>gf3040200063</t>
        </is>
      </c>
      <c r="D1731" s="1" t="inlineStr">
        <is>
          <t>PUTTOUT Pressure Putt Trainer (Blue)</t>
        </is>
      </c>
      <c r="E1731" s="1" t="inlineStr">
        <is>
          <t>PUTTOUT</t>
        </is>
      </c>
      <c r="F1731" s="1" t="inlineStr">
        <is>
          <t>PUTT / CHIP</t>
        </is>
      </c>
      <c r="G1731" s="1" t="inlineStr">
        <is>
          <t>GF3040200063</t>
        </is>
      </c>
      <c r="H1731" s="1" t="n">
        <v>1</v>
      </c>
      <c r="I1731" s="1" t="inlineStr">
        <is>
          <t>หมด</t>
        </is>
      </c>
      <c r="J1731" s="13" t="n">
        <v>63</v>
      </c>
      <c r="K1731" s="1" t="inlineStr"/>
      <c r="L1731" s="13" t="n">
        <v>63</v>
      </c>
      <c r="M1731" s="1">
        <f>IF(L1731="","ไม่พบใน SG",IF(ABS(J1731-L1731)&lt;0.005,"ตรงกัน","ไม่ตรง"))</f>
        <v/>
      </c>
      <c r="N1731" s="14">
        <f>IF(L1731="","",ROUND(L1731*'สรุป'!$C$6,-1))</f>
        <v/>
      </c>
      <c r="O1731" s="15" t="n"/>
      <c r="P1731" s="15" t="n"/>
      <c r="Q1731" s="10" t="n"/>
      <c r="R1731" s="10" t="n"/>
      <c r="S1731" s="16" t="inlineStr">
        <is>
          <t>https://mstgolf.co.th/products/gf3040200063</t>
        </is>
      </c>
      <c r="T1731" s="1">
        <f>IF(B1731="ไม้กอล์ฟ",J1731,"")</f>
        <v/>
      </c>
    </row>
    <row r="1732">
      <c r="A1732" s="1" t="n">
        <v>2</v>
      </c>
      <c r="B1732" s="1" t="inlineStr">
        <is>
          <t>ถุงกอล์ฟ</t>
        </is>
      </c>
      <c r="C1732" s="1" t="inlineStr">
        <is>
          <t>gf3010401103</t>
        </is>
      </c>
      <c r="D1732" s="1" t="inlineStr">
        <is>
          <t>TAYLORMADE Auth-Tech Pouch (Black)</t>
        </is>
      </c>
      <c r="E1732" s="1" t="inlineStr">
        <is>
          <t>TAYLORMADE</t>
        </is>
      </c>
      <c r="F1732" s="1" t="inlineStr">
        <is>
          <t>SMALL BAG</t>
        </is>
      </c>
      <c r="G1732" s="1" t="inlineStr">
        <is>
          <t>GF3010401103</t>
        </is>
      </c>
      <c r="H1732" s="1" t="n">
        <v>1</v>
      </c>
      <c r="I1732" s="1" t="inlineStr">
        <is>
          <t>หมด</t>
        </is>
      </c>
      <c r="J1732" s="13" t="n">
        <v>63</v>
      </c>
      <c r="K1732" s="1" t="inlineStr"/>
      <c r="L1732" s="13" t="n"/>
      <c r="M1732" s="1">
        <f>IF(L1732="","ไม่พบใน SG",IF(ABS(J1732-L1732)&lt;0.005,"ตรงกัน","ไม่ตรง"))</f>
        <v/>
      </c>
      <c r="N1732" s="14">
        <f>IF(L1732="","",ROUND(L1732*'สรุป'!$C$6,-1))</f>
        <v/>
      </c>
      <c r="O1732" s="15" t="n"/>
      <c r="P1732" s="15" t="n"/>
      <c r="Q1732" s="10" t="n"/>
      <c r="R1732" s="10" t="n"/>
      <c r="S1732" s="16" t="inlineStr">
        <is>
          <t>https://mstgolf.co.th/products/gf3010401103</t>
        </is>
      </c>
      <c r="T1732" s="1">
        <f>IF(B1732="ไม้กอล์ฟ",J1732,"")</f>
        <v/>
      </c>
    </row>
    <row r="1733">
      <c r="A1733" s="1" t="n">
        <v>2</v>
      </c>
      <c r="B1733" s="1" t="inlineStr">
        <is>
          <t>ถุงกอล์ฟ</t>
        </is>
      </c>
      <c r="C1733" s="1" t="inlineStr">
        <is>
          <t>gf3010300402</t>
        </is>
      </c>
      <c r="D1733" s="1" t="inlineStr">
        <is>
          <t>UNDER ARMOUR Hustle Sport Backpack (Blue/Blue/White)</t>
        </is>
      </c>
      <c r="E1733" s="1" t="inlineStr">
        <is>
          <t>UNDER ARMOUR</t>
        </is>
      </c>
      <c r="F1733" s="1" t="inlineStr">
        <is>
          <t>BACKPACK/RUCKSACK</t>
        </is>
      </c>
      <c r="G1733" s="1" t="inlineStr">
        <is>
          <t>GF3010300402</t>
        </is>
      </c>
      <c r="H1733" s="1" t="n">
        <v>1</v>
      </c>
      <c r="I1733" s="1" t="inlineStr">
        <is>
          <t>หมด</t>
        </is>
      </c>
      <c r="J1733" s="13" t="n">
        <v>62</v>
      </c>
      <c r="K1733" s="1" t="inlineStr"/>
      <c r="L1733" s="13" t="n">
        <v>62</v>
      </c>
      <c r="M1733" s="1">
        <f>IF(L1733="","ไม่พบใน SG",IF(ABS(J1733-L1733)&lt;0.005,"ตรงกัน","ไม่ตรง"))</f>
        <v/>
      </c>
      <c r="N1733" s="14">
        <f>IF(L1733="","",ROUND(L1733*'สรุป'!$C$6,-1))</f>
        <v/>
      </c>
      <c r="O1733" s="15" t="n"/>
      <c r="P1733" s="15" t="n"/>
      <c r="Q1733" s="10" t="n"/>
      <c r="R1733" s="10" t="n"/>
      <c r="S1733" s="16" t="inlineStr">
        <is>
          <t>https://mstgolf.co.th/products/gf3010300402</t>
        </is>
      </c>
      <c r="T1733" s="1">
        <f>IF(B1733="ไม้กอล์ฟ",J1733,"")</f>
        <v/>
      </c>
    </row>
    <row r="1734">
      <c r="A1734" s="1" t="n">
        <v>2</v>
      </c>
      <c r="B1734" s="1" t="inlineStr">
        <is>
          <t>ถุงกอล์ฟ</t>
        </is>
      </c>
      <c r="C1734" s="1" t="inlineStr">
        <is>
          <t>gf3010300403</t>
        </is>
      </c>
      <c r="D1734" s="1" t="inlineStr">
        <is>
          <t>UNDER ARMOUR Hustle Sport Backpack (Yellow/Yellow/White)</t>
        </is>
      </c>
      <c r="E1734" s="1" t="inlineStr">
        <is>
          <t>UNDER ARMOUR</t>
        </is>
      </c>
      <c r="F1734" s="1" t="inlineStr">
        <is>
          <t>BACKPACK/RUCKSACK</t>
        </is>
      </c>
      <c r="G1734" s="1" t="inlineStr">
        <is>
          <t>GF3010300403</t>
        </is>
      </c>
      <c r="H1734" s="1" t="n">
        <v>1</v>
      </c>
      <c r="I1734" s="1" t="inlineStr">
        <is>
          <t>หมด</t>
        </is>
      </c>
      <c r="J1734" s="13" t="n">
        <v>62</v>
      </c>
      <c r="K1734" s="1" t="inlineStr"/>
      <c r="L1734" s="13" t="n">
        <v>62</v>
      </c>
      <c r="M1734" s="1">
        <f>IF(L1734="","ไม่พบใน SG",IF(ABS(J1734-L1734)&lt;0.005,"ตรงกัน","ไม่ตรง"))</f>
        <v/>
      </c>
      <c r="N1734" s="14">
        <f>IF(L1734="","",ROUND(L1734*'สรุป'!$C$6,-1))</f>
        <v/>
      </c>
      <c r="O1734" s="15" t="n"/>
      <c r="P1734" s="15" t="n"/>
      <c r="Q1734" s="10" t="n"/>
      <c r="R1734" s="10" t="n"/>
      <c r="S1734" s="16" t="inlineStr">
        <is>
          <t>https://mstgolf.co.th/products/gf3010300403</t>
        </is>
      </c>
      <c r="T1734" s="1">
        <f>IF(B1734="ไม้กอล์ฟ",J1734,"")</f>
        <v/>
      </c>
    </row>
    <row r="1735">
      <c r="A1735" s="1" t="n">
        <v>2</v>
      </c>
      <c r="B1735" s="1" t="inlineStr">
        <is>
          <t>ถุงกอล์ฟ</t>
        </is>
      </c>
      <c r="C1735" s="1" t="inlineStr">
        <is>
          <t>gf3010101329</t>
        </is>
      </c>
      <c r="D1735" s="1" t="inlineStr">
        <is>
          <t>UNDER ARMOUR Undeniable 5.0 Small Duffle Bag (Green/Green/Green)</t>
        </is>
      </c>
      <c r="E1735" s="1" t="inlineStr">
        <is>
          <t>UNDER ARMOUR</t>
        </is>
      </c>
      <c r="F1735" s="1" t="inlineStr">
        <is>
          <t>BOSTON/DUFFLE BAG</t>
        </is>
      </c>
      <c r="G1735" s="1" t="inlineStr">
        <is>
          <t>GF3010101329</t>
        </is>
      </c>
      <c r="H1735" s="1" t="n">
        <v>1</v>
      </c>
      <c r="I1735" s="1" t="inlineStr">
        <is>
          <t>หมด</t>
        </is>
      </c>
      <c r="J1735" s="13" t="n">
        <v>62</v>
      </c>
      <c r="K1735" s="1" t="inlineStr"/>
      <c r="L1735" s="13" t="n">
        <v>62</v>
      </c>
      <c r="M1735" s="1">
        <f>IF(L1735="","ไม่พบใน SG",IF(ABS(J1735-L1735)&lt;0.005,"ตรงกัน","ไม่ตรง"))</f>
        <v/>
      </c>
      <c r="N1735" s="14">
        <f>IF(L1735="","",ROUND(L1735*'สรุป'!$C$6,-1))</f>
        <v/>
      </c>
      <c r="O1735" s="15" t="n"/>
      <c r="P1735" s="15" t="n"/>
      <c r="Q1735" s="10" t="n"/>
      <c r="R1735" s="10" t="n"/>
      <c r="S1735" s="16" t="inlineStr">
        <is>
          <t>https://mstgolf.co.th/products/gf3010101329</t>
        </is>
      </c>
      <c r="T1735" s="1">
        <f>IF(B1735="ไม้กอล์ฟ",J1735,"")</f>
        <v/>
      </c>
    </row>
    <row r="1736">
      <c r="A1736" s="1" t="n">
        <v>2</v>
      </c>
      <c r="B1736" s="1" t="inlineStr">
        <is>
          <t>ถุงกอล์ฟ</t>
        </is>
      </c>
      <c r="C1736" s="1" t="inlineStr">
        <is>
          <t>gf3010101328</t>
        </is>
      </c>
      <c r="D1736" s="1" t="inlineStr">
        <is>
          <t>UNDER ARMOUR Undeniable 5.0 Small Duffle Bag (Khaki/Khaki/Khaki)</t>
        </is>
      </c>
      <c r="E1736" s="1" t="inlineStr">
        <is>
          <t>UNDER ARMOUR</t>
        </is>
      </c>
      <c r="F1736" s="1" t="inlineStr">
        <is>
          <t>BOSTON/DUFFLE BAG</t>
        </is>
      </c>
      <c r="G1736" s="1" t="inlineStr">
        <is>
          <t>GF3010101328</t>
        </is>
      </c>
      <c r="H1736" s="1" t="n">
        <v>1</v>
      </c>
      <c r="I1736" s="1" t="inlineStr">
        <is>
          <t>หมด</t>
        </is>
      </c>
      <c r="J1736" s="13" t="n">
        <v>62</v>
      </c>
      <c r="K1736" s="1" t="inlineStr"/>
      <c r="L1736" s="13" t="n">
        <v>62</v>
      </c>
      <c r="M1736" s="1">
        <f>IF(L1736="","ไม่พบใน SG",IF(ABS(J1736-L1736)&lt;0.005,"ตรงกัน","ไม่ตรง"))</f>
        <v/>
      </c>
      <c r="N1736" s="14">
        <f>IF(L1736="","",ROUND(L1736*'สรุป'!$C$6,-1))</f>
        <v/>
      </c>
      <c r="O1736" s="15" t="n"/>
      <c r="P1736" s="15" t="n"/>
      <c r="Q1736" s="10" t="n"/>
      <c r="R1736" s="10" t="n"/>
      <c r="S1736" s="16" t="inlineStr">
        <is>
          <t>https://mstgolf.co.th/products/gf3010101328</t>
        </is>
      </c>
      <c r="T1736" s="1">
        <f>IF(B1736="ไม้กอล์ฟ",J1736,"")</f>
        <v/>
      </c>
    </row>
    <row r="1737">
      <c r="A1737" s="1" t="n">
        <v>2</v>
      </c>
      <c r="B1737" s="1" t="inlineStr">
        <is>
          <t>ถุงมือ</t>
        </is>
      </c>
      <c r="C1737" s="1" t="inlineStr">
        <is>
          <t>gf3020100271</t>
        </is>
      </c>
      <c r="D1737" s="1" t="inlineStr">
        <is>
          <t>MAJESTY Premium Men's Leather Glove (White)</t>
        </is>
      </c>
      <c r="E1737" s="1" t="inlineStr">
        <is>
          <t>MAJESTY</t>
        </is>
      </c>
      <c r="F1737" s="1" t="inlineStr">
        <is>
          <t>LEATHER</t>
        </is>
      </c>
      <c r="G1737" s="1" t="inlineStr">
        <is>
          <t>GF302010027121</t>
        </is>
      </c>
      <c r="H1737" s="1" t="n">
        <v>6</v>
      </c>
      <c r="I1737" s="1" t="inlineStr">
        <is>
          <t>หมด</t>
        </is>
      </c>
      <c r="J1737" s="13" t="n">
        <v>59</v>
      </c>
      <c r="K1737" s="1" t="inlineStr"/>
      <c r="L1737" s="13" t="n">
        <v>59</v>
      </c>
      <c r="M1737" s="1">
        <f>IF(L1737="","ไม่พบใน SG",IF(ABS(J1737-L1737)&lt;0.005,"ตรงกัน","ไม่ตรง"))</f>
        <v/>
      </c>
      <c r="N1737" s="14">
        <f>IF(L1737="","",ROUND(L1737*'สรุป'!$C$6,-1))</f>
        <v/>
      </c>
      <c r="O1737" s="15" t="n"/>
      <c r="P1737" s="15" t="n"/>
      <c r="Q1737" s="10" t="n"/>
      <c r="R1737" s="10" t="n"/>
      <c r="S1737" s="16" t="inlineStr">
        <is>
          <t>https://mstgolf.co.th/products/gf3020100271</t>
        </is>
      </c>
      <c r="T1737" s="1">
        <f>IF(B1737="ไม้กอล์ฟ",J1737,"")</f>
        <v/>
      </c>
    </row>
    <row r="1738">
      <c r="A1738" s="1" t="n">
        <v>2</v>
      </c>
      <c r="B1738" s="1" t="inlineStr">
        <is>
          <t>ถุงกอล์ฟ</t>
        </is>
      </c>
      <c r="C1738" s="1" t="inlineStr">
        <is>
          <t>gf3010300436</t>
        </is>
      </c>
      <c r="D1738" s="1" t="inlineStr">
        <is>
          <t>NIKE Brasilia 9.5 Backpack (Red/Black/White)</t>
        </is>
      </c>
      <c r="E1738" s="1" t="inlineStr">
        <is>
          <t>NIKE</t>
        </is>
      </c>
      <c r="F1738" s="1" t="inlineStr">
        <is>
          <t>BACKPACK/RUCKSACK</t>
        </is>
      </c>
      <c r="G1738" s="1" t="inlineStr">
        <is>
          <t>GF3010300436</t>
        </is>
      </c>
      <c r="H1738" s="1" t="n">
        <v>1</v>
      </c>
      <c r="I1738" s="1" t="inlineStr">
        <is>
          <t>หมด</t>
        </is>
      </c>
      <c r="J1738" s="13" t="n">
        <v>59</v>
      </c>
      <c r="K1738" s="1" t="inlineStr"/>
      <c r="L1738" s="13" t="n">
        <v>59</v>
      </c>
      <c r="M1738" s="1">
        <f>IF(L1738="","ไม่พบใน SG",IF(ABS(J1738-L1738)&lt;0.005,"ตรงกัน","ไม่ตรง"))</f>
        <v/>
      </c>
      <c r="N1738" s="14">
        <f>IF(L1738="","",ROUND(L1738*'สรุป'!$C$6,-1))</f>
        <v/>
      </c>
      <c r="O1738" s="15" t="n"/>
      <c r="P1738" s="15" t="n"/>
      <c r="Q1738" s="10" t="n"/>
      <c r="R1738" s="10" t="n"/>
      <c r="S1738" s="16" t="inlineStr">
        <is>
          <t>https://mstgolf.co.th/products/gf3010300436</t>
        </is>
      </c>
      <c r="T1738" s="1">
        <f>IF(B1738="ไม้กอล์ฟ",J1738,"")</f>
        <v/>
      </c>
    </row>
    <row r="1739">
      <c r="A1739" s="1" t="n">
        <v>2</v>
      </c>
      <c r="B1739" s="1" t="inlineStr">
        <is>
          <t>ถุงกอล์ฟ</t>
        </is>
      </c>
      <c r="C1739" s="1" t="inlineStr">
        <is>
          <t>gf3010101321</t>
        </is>
      </c>
      <c r="D1739" s="1" t="inlineStr">
        <is>
          <t>NIKE Brasilia 9.5 M Duffle Bag (Laser Fuchsia/Black/White)</t>
        </is>
      </c>
      <c r="E1739" s="1" t="inlineStr">
        <is>
          <t>NIKE</t>
        </is>
      </c>
      <c r="F1739" s="1" t="inlineStr">
        <is>
          <t>BOSTON/DUFFLE BAG</t>
        </is>
      </c>
      <c r="G1739" s="1" t="inlineStr">
        <is>
          <t>GF3010101321</t>
        </is>
      </c>
      <c r="H1739" s="1" t="n">
        <v>1</v>
      </c>
      <c r="I1739" s="1" t="inlineStr">
        <is>
          <t>หมด</t>
        </is>
      </c>
      <c r="J1739" s="13" t="n">
        <v>59</v>
      </c>
      <c r="K1739" s="1" t="inlineStr"/>
      <c r="L1739" s="13" t="n">
        <v>59</v>
      </c>
      <c r="M1739" s="1">
        <f>IF(L1739="","ไม่พบใน SG",IF(ABS(J1739-L1739)&lt;0.005,"ตรงกัน","ไม่ตรง"))</f>
        <v/>
      </c>
      <c r="N1739" s="14">
        <f>IF(L1739="","",ROUND(L1739*'สรุป'!$C$6,-1))</f>
        <v/>
      </c>
      <c r="O1739" s="15" t="n"/>
      <c r="P1739" s="15" t="n"/>
      <c r="Q1739" s="10" t="n"/>
      <c r="R1739" s="10" t="n"/>
      <c r="S1739" s="16" t="inlineStr">
        <is>
          <t>https://mstgolf.co.th/products/gf3010101321</t>
        </is>
      </c>
      <c r="T1739" s="1">
        <f>IF(B1739="ไม้กอล์ฟ",J1739,"")</f>
        <v/>
      </c>
    </row>
    <row r="1740">
      <c r="A1740" s="1" t="n">
        <v>2</v>
      </c>
      <c r="B1740" s="1" t="inlineStr">
        <is>
          <t>ถุงกอล์ฟ</t>
        </is>
      </c>
      <c r="C1740" s="1" t="inlineStr">
        <is>
          <t>gf3010101210</t>
        </is>
      </c>
      <c r="D1740" s="1" t="inlineStr">
        <is>
          <t>PUMA S Sports Bag (Black)</t>
        </is>
      </c>
      <c r="E1740" s="1" t="inlineStr">
        <is>
          <t>PUMA</t>
        </is>
      </c>
      <c r="F1740" s="1" t="inlineStr">
        <is>
          <t>BOSTON/DUFFLE BAG</t>
        </is>
      </c>
      <c r="G1740" s="1" t="inlineStr">
        <is>
          <t>GF3010101210</t>
        </is>
      </c>
      <c r="H1740" s="1" t="n">
        <v>1</v>
      </c>
      <c r="I1740" s="1" t="inlineStr">
        <is>
          <t>หมด</t>
        </is>
      </c>
      <c r="J1740" s="13" t="n">
        <v>59</v>
      </c>
      <c r="K1740" s="1" t="inlineStr"/>
      <c r="L1740" s="13" t="n">
        <v>49</v>
      </c>
      <c r="M1740" s="1">
        <f>IF(L1740="","ไม่พบใน SG",IF(ABS(J1740-L1740)&lt;0.005,"ตรงกัน","ไม่ตรง"))</f>
        <v/>
      </c>
      <c r="N1740" s="14">
        <f>IF(L1740="","",ROUND(L1740*'สรุป'!$C$6,-1))</f>
        <v/>
      </c>
      <c r="O1740" s="15" t="n"/>
      <c r="P1740" s="15" t="n"/>
      <c r="Q1740" s="10" t="n"/>
      <c r="R1740" s="10" t="n"/>
      <c r="S1740" s="16" t="inlineStr">
        <is>
          <t>https://mstgolf.co.th/products/gf3010101210</t>
        </is>
      </c>
      <c r="T1740" s="1">
        <f>IF(B1740="ไม้กอล์ฟ",J1740,"")</f>
        <v/>
      </c>
    </row>
    <row r="1741">
      <c r="A1741" s="1" t="n">
        <v>2</v>
      </c>
      <c r="B1741" s="1" t="inlineStr">
        <is>
          <t>อุปกรณ์ฝึกซ้อม</t>
        </is>
      </c>
      <c r="C1741" s="1" t="inlineStr">
        <is>
          <t>gf3040200070</t>
        </is>
      </c>
      <c r="D1741" s="1" t="inlineStr">
        <is>
          <t>TABATA Putting Stand Disc</t>
        </is>
      </c>
      <c r="E1741" s="1" t="inlineStr">
        <is>
          <t>TABATA</t>
        </is>
      </c>
      <c r="F1741" s="1" t="inlineStr">
        <is>
          <t>PUTT / CHIP</t>
        </is>
      </c>
      <c r="G1741" s="1" t="inlineStr">
        <is>
          <t>GF3040200070</t>
        </is>
      </c>
      <c r="H1741" s="1" t="n">
        <v>1</v>
      </c>
      <c r="I1741" s="1" t="inlineStr">
        <is>
          <t>หมด</t>
        </is>
      </c>
      <c r="J1741" s="13" t="n">
        <v>59</v>
      </c>
      <c r="K1741" s="1" t="inlineStr"/>
      <c r="L1741" s="13" t="n">
        <v>59</v>
      </c>
      <c r="M1741" s="1">
        <f>IF(L1741="","ไม่พบใน SG",IF(ABS(J1741-L1741)&lt;0.005,"ตรงกัน","ไม่ตรง"))</f>
        <v/>
      </c>
      <c r="N1741" s="14">
        <f>IF(L1741="","",ROUND(L1741*'สรุป'!$C$6,-1))</f>
        <v/>
      </c>
      <c r="O1741" s="15" t="n"/>
      <c r="P1741" s="15" t="n"/>
      <c r="Q1741" s="10" t="n"/>
      <c r="R1741" s="10" t="n"/>
      <c r="S1741" s="16" t="inlineStr">
        <is>
          <t>https://mstgolf.co.th/products/gf3040200070</t>
        </is>
      </c>
      <c r="T1741" s="1">
        <f>IF(B1741="ไม้กอล์ฟ",J1741,"")</f>
        <v/>
      </c>
    </row>
    <row r="1742">
      <c r="A1742" s="1" t="n">
        <v>2</v>
      </c>
      <c r="B1742" s="1" t="inlineStr">
        <is>
          <t>ถุงกอล์ฟ</t>
        </is>
      </c>
      <c r="C1742" s="1" t="inlineStr">
        <is>
          <t>gf3010401008</t>
        </is>
      </c>
      <c r="D1742" s="1" t="inlineStr">
        <is>
          <t>TAYLORMADE Golden-State Round Tote (Beige/Navy)</t>
        </is>
      </c>
      <c r="E1742" s="1" t="inlineStr">
        <is>
          <t>TAYLORMADE</t>
        </is>
      </c>
      <c r="F1742" s="1" t="inlineStr">
        <is>
          <t>SMALL BAG</t>
        </is>
      </c>
      <c r="G1742" s="1" t="inlineStr">
        <is>
          <t>GF3010401008</t>
        </is>
      </c>
      <c r="H1742" s="1" t="n">
        <v>1</v>
      </c>
      <c r="I1742" s="1" t="inlineStr">
        <is>
          <t>หมด</t>
        </is>
      </c>
      <c r="J1742" s="13" t="n">
        <v>59</v>
      </c>
      <c r="K1742" s="1" t="inlineStr"/>
      <c r="L1742" s="13" t="n">
        <v>59</v>
      </c>
      <c r="M1742" s="1">
        <f>IF(L1742="","ไม่พบใน SG",IF(ABS(J1742-L1742)&lt;0.005,"ตรงกัน","ไม่ตรง"))</f>
        <v/>
      </c>
      <c r="N1742" s="14">
        <f>IF(L1742="","",ROUND(L1742*'สรุป'!$C$6,-1))</f>
        <v/>
      </c>
      <c r="O1742" s="15" t="n"/>
      <c r="P1742" s="15" t="n"/>
      <c r="Q1742" s="10" t="n"/>
      <c r="R1742" s="10" t="n"/>
      <c r="S1742" s="16" t="inlineStr">
        <is>
          <t>https://mstgolf.co.th/products/gf3010401008</t>
        </is>
      </c>
      <c r="T1742" s="1">
        <f>IF(B1742="ไม้กอล์ฟ",J1742,"")</f>
        <v/>
      </c>
    </row>
    <row r="1743">
      <c r="A1743" s="1" t="n">
        <v>2</v>
      </c>
      <c r="B1743" s="1" t="inlineStr">
        <is>
          <t>ถุงกอล์ฟ</t>
        </is>
      </c>
      <c r="C1743" s="1" t="inlineStr">
        <is>
          <t>gf3010401134</t>
        </is>
      </c>
      <c r="D1743" s="1" t="inlineStr">
        <is>
          <t>TAYLORMADE Concept One Pouch (Black/White)</t>
        </is>
      </c>
      <c r="E1743" s="1" t="inlineStr">
        <is>
          <t>TAYLORMADE</t>
        </is>
      </c>
      <c r="F1743" s="1" t="inlineStr">
        <is>
          <t>SMALL BAG</t>
        </is>
      </c>
      <c r="G1743" s="1" t="inlineStr">
        <is>
          <t>GF3010401134</t>
        </is>
      </c>
      <c r="H1743" s="1" t="n">
        <v>1</v>
      </c>
      <c r="I1743" s="1" t="inlineStr">
        <is>
          <t>หมด</t>
        </is>
      </c>
      <c r="J1743" s="13" t="n">
        <v>58</v>
      </c>
      <c r="K1743" s="1" t="inlineStr"/>
      <c r="L1743" s="13" t="n">
        <v>58</v>
      </c>
      <c r="M1743" s="1">
        <f>IF(L1743="","ไม่พบใน SG",IF(ABS(J1743-L1743)&lt;0.005,"ตรงกัน","ไม่ตรง"))</f>
        <v/>
      </c>
      <c r="N1743" s="14">
        <f>IF(L1743="","",ROUND(L1743*'สรุป'!$C$6,-1))</f>
        <v/>
      </c>
      <c r="O1743" s="15" t="n"/>
      <c r="P1743" s="15" t="n"/>
      <c r="Q1743" s="10" t="n"/>
      <c r="R1743" s="10" t="n"/>
      <c r="S1743" s="16" t="inlineStr">
        <is>
          <t>https://mstgolf.co.th/products/gf3010401134</t>
        </is>
      </c>
      <c r="T1743" s="1">
        <f>IF(B1743="ไม้กอล์ฟ",J1743,"")</f>
        <v/>
      </c>
    </row>
    <row r="1744">
      <c r="A1744" s="1" t="n">
        <v>2</v>
      </c>
      <c r="B1744" s="1" t="inlineStr">
        <is>
          <t>ถุงกอล์ฟ</t>
        </is>
      </c>
      <c r="C1744" s="1" t="inlineStr">
        <is>
          <t>gf3010401102</t>
        </is>
      </c>
      <c r="D1744" s="1" t="inlineStr">
        <is>
          <t>TAYLORMADE Concept One Pouch (White/Navy)</t>
        </is>
      </c>
      <c r="E1744" s="1" t="inlineStr">
        <is>
          <t>TAYLORMADE</t>
        </is>
      </c>
      <c r="F1744" s="1" t="inlineStr">
        <is>
          <t>SMALL BAG</t>
        </is>
      </c>
      <c r="G1744" s="1" t="inlineStr">
        <is>
          <t>GF3010401102</t>
        </is>
      </c>
      <c r="H1744" s="1" t="n">
        <v>1</v>
      </c>
      <c r="I1744" s="1" t="inlineStr">
        <is>
          <t>หมด</t>
        </is>
      </c>
      <c r="J1744" s="13" t="n">
        <v>58</v>
      </c>
      <c r="K1744" s="1" t="inlineStr"/>
      <c r="L1744" s="13" t="n">
        <v>58</v>
      </c>
      <c r="M1744" s="1">
        <f>IF(L1744="","ไม่พบใน SG",IF(ABS(J1744-L1744)&lt;0.005,"ตรงกัน","ไม่ตรง"))</f>
        <v/>
      </c>
      <c r="N1744" s="14">
        <f>IF(L1744="","",ROUND(L1744*'สรุป'!$C$6,-1))</f>
        <v/>
      </c>
      <c r="O1744" s="15" t="n"/>
      <c r="P1744" s="15" t="n"/>
      <c r="Q1744" s="10" t="n"/>
      <c r="R1744" s="10" t="n"/>
      <c r="S1744" s="16" t="inlineStr">
        <is>
          <t>https://mstgolf.co.th/products/gf3010401102</t>
        </is>
      </c>
      <c r="T1744" s="1">
        <f>IF(B1744="ไม้กอล์ฟ",J1744,"")</f>
        <v/>
      </c>
    </row>
    <row r="1745">
      <c r="A1745" s="1" t="n">
        <v>2</v>
      </c>
      <c r="B1745" s="1" t="inlineStr">
        <is>
          <t>ลูกกอล์ฟ</t>
        </is>
      </c>
      <c r="C1745" s="1" t="inlineStr">
        <is>
          <t>gf3200400159</t>
        </is>
      </c>
      <c r="D1745" s="1" t="inlineStr">
        <is>
          <t>TAYLORMADE TP5 (2021) (Yellow) Golf Ball</t>
        </is>
      </c>
      <c r="E1745" s="1" t="inlineStr">
        <is>
          <t>TAYLORMADE</t>
        </is>
      </c>
      <c r="F1745" s="1" t="inlineStr">
        <is>
          <t>TOUR</t>
        </is>
      </c>
      <c r="G1745" s="1" t="inlineStr">
        <is>
          <t>GF3200400159</t>
        </is>
      </c>
      <c r="H1745" s="1" t="n">
        <v>1</v>
      </c>
      <c r="I1745" s="1" t="inlineStr">
        <is>
          <t>หมด</t>
        </is>
      </c>
      <c r="J1745" s="13" t="n">
        <v>57</v>
      </c>
      <c r="K1745" s="1" t="inlineStr"/>
      <c r="L1745" s="13" t="n">
        <v>57</v>
      </c>
      <c r="M1745" s="1">
        <f>IF(L1745="","ไม่พบใน SG",IF(ABS(J1745-L1745)&lt;0.005,"ตรงกัน","ไม่ตรง"))</f>
        <v/>
      </c>
      <c r="N1745" s="14">
        <f>IF(L1745="","",ROUND(L1745*'สรุป'!$C$6,-1))</f>
        <v/>
      </c>
      <c r="O1745" s="15" t="n"/>
      <c r="P1745" s="15" t="n"/>
      <c r="Q1745" s="10" t="n"/>
      <c r="R1745" s="10" t="n"/>
      <c r="S1745" s="16" t="inlineStr">
        <is>
          <t>https://mstgolf.co.th/products/gf3200400159</t>
        </is>
      </c>
      <c r="T1745" s="1">
        <f>IF(B1745="ไม้กอล์ฟ",J1745,"")</f>
        <v/>
      </c>
    </row>
    <row r="1746">
      <c r="A1746" s="1" t="n">
        <v>2</v>
      </c>
      <c r="B1746" s="1" t="inlineStr">
        <is>
          <t>ลูกกอล์ฟ</t>
        </is>
      </c>
      <c r="C1746" s="1" t="inlineStr">
        <is>
          <t>gf3200400142</t>
        </is>
      </c>
      <c r="D1746" s="1" t="inlineStr">
        <is>
          <t>TAYLORMADE TP5 (2021) Golf Ball</t>
        </is>
      </c>
      <c r="E1746" s="1" t="inlineStr">
        <is>
          <t>TAYLORMADE</t>
        </is>
      </c>
      <c r="F1746" s="1" t="inlineStr">
        <is>
          <t>TOUR</t>
        </is>
      </c>
      <c r="G1746" s="1" t="inlineStr">
        <is>
          <t>GF3200400142</t>
        </is>
      </c>
      <c r="H1746" s="1" t="n">
        <v>1</v>
      </c>
      <c r="I1746" s="1" t="inlineStr">
        <is>
          <t>หมด</t>
        </is>
      </c>
      <c r="J1746" s="13" t="n">
        <v>57</v>
      </c>
      <c r="K1746" s="1" t="inlineStr"/>
      <c r="L1746" s="13" t="n">
        <v>57</v>
      </c>
      <c r="M1746" s="1">
        <f>IF(L1746="","ไม่พบใน SG",IF(ABS(J1746-L1746)&lt;0.005,"ตรงกัน","ไม่ตรง"))</f>
        <v/>
      </c>
      <c r="N1746" s="14">
        <f>IF(L1746="","",ROUND(L1746*'สรุป'!$C$6,-1))</f>
        <v/>
      </c>
      <c r="O1746" s="15" t="n"/>
      <c r="P1746" s="15" t="n"/>
      <c r="Q1746" s="10" t="n"/>
      <c r="R1746" s="10" t="n"/>
      <c r="S1746" s="16" t="inlineStr">
        <is>
          <t>https://mstgolf.co.th/products/gf3200400142</t>
        </is>
      </c>
      <c r="T1746" s="1">
        <f>IF(B1746="ไม้กอล์ฟ",J1746,"")</f>
        <v/>
      </c>
    </row>
    <row r="1747">
      <c r="A1747" s="1" t="n">
        <v>2</v>
      </c>
      <c r="B1747" s="1" t="inlineStr">
        <is>
          <t>ลูกกอล์ฟ</t>
        </is>
      </c>
      <c r="C1747" s="1" t="inlineStr">
        <is>
          <t>gf3200400210</t>
        </is>
      </c>
      <c r="D1747" s="1" t="inlineStr">
        <is>
          <t>TAYLORMADE TP5 Heart (2023) Golf Ball</t>
        </is>
      </c>
      <c r="E1747" s="1" t="inlineStr">
        <is>
          <t>TAYLORMADE</t>
        </is>
      </c>
      <c r="F1747" s="1" t="inlineStr">
        <is>
          <t>TOUR</t>
        </is>
      </c>
      <c r="G1747" s="1" t="inlineStr">
        <is>
          <t>GF3200400210</t>
        </is>
      </c>
      <c r="H1747" s="1" t="n">
        <v>1</v>
      </c>
      <c r="I1747" s="1" t="inlineStr">
        <is>
          <t>หมด</t>
        </is>
      </c>
      <c r="J1747" s="13" t="n">
        <v>57</v>
      </c>
      <c r="K1747" s="1" t="inlineStr"/>
      <c r="L1747" s="13" t="n">
        <v>57</v>
      </c>
      <c r="M1747" s="1">
        <f>IF(L1747="","ไม่พบใน SG",IF(ABS(J1747-L1747)&lt;0.005,"ตรงกัน","ไม่ตรง"))</f>
        <v/>
      </c>
      <c r="N1747" s="14">
        <f>IF(L1747="","",ROUND(L1747*'สรุป'!$C$6,-1))</f>
        <v/>
      </c>
      <c r="O1747" s="15" t="n"/>
      <c r="P1747" s="15" t="n"/>
      <c r="Q1747" s="10" t="n"/>
      <c r="R1747" s="10" t="n"/>
      <c r="S1747" s="16" t="inlineStr">
        <is>
          <t>https://mstgolf.co.th/products/gf3200400210</t>
        </is>
      </c>
      <c r="T1747" s="1">
        <f>IF(B1747="ไม้กอล์ฟ",J1747,"")</f>
        <v/>
      </c>
    </row>
    <row r="1748">
      <c r="A1748" s="1" t="n">
        <v>2</v>
      </c>
      <c r="B1748" s="1" t="inlineStr">
        <is>
          <t>ลูกกอล์ฟ</t>
        </is>
      </c>
      <c r="C1748" s="1" t="inlineStr">
        <is>
          <t>gf3200400158</t>
        </is>
      </c>
      <c r="D1748" s="1" t="inlineStr">
        <is>
          <t>TAYLORMADE TP5x (2021) (Yellow) Golf Ball</t>
        </is>
      </c>
      <c r="E1748" s="1" t="inlineStr">
        <is>
          <t>TAYLORMADE</t>
        </is>
      </c>
      <c r="F1748" s="1" t="inlineStr">
        <is>
          <t>TOUR</t>
        </is>
      </c>
      <c r="G1748" s="1" t="inlineStr">
        <is>
          <t>GF3200400158</t>
        </is>
      </c>
      <c r="H1748" s="1" t="n">
        <v>1</v>
      </c>
      <c r="I1748" s="1" t="inlineStr">
        <is>
          <t>หมด</t>
        </is>
      </c>
      <c r="J1748" s="13" t="n">
        <v>57</v>
      </c>
      <c r="K1748" s="1" t="inlineStr"/>
      <c r="L1748" s="13" t="n">
        <v>57</v>
      </c>
      <c r="M1748" s="1">
        <f>IF(L1748="","ไม่พบใน SG",IF(ABS(J1748-L1748)&lt;0.005,"ตรงกัน","ไม่ตรง"))</f>
        <v/>
      </c>
      <c r="N1748" s="14">
        <f>IF(L1748="","",ROUND(L1748*'สรุป'!$C$6,-1))</f>
        <v/>
      </c>
      <c r="O1748" s="15" t="n"/>
      <c r="P1748" s="15" t="n"/>
      <c r="Q1748" s="10" t="n"/>
      <c r="R1748" s="10" t="n"/>
      <c r="S1748" s="16" t="inlineStr">
        <is>
          <t>https://mstgolf.co.th/products/gf3200400158</t>
        </is>
      </c>
      <c r="T1748" s="1">
        <f>IF(B1748="ไม้กอล์ฟ",J1748,"")</f>
        <v/>
      </c>
    </row>
    <row r="1749">
      <c r="A1749" s="1" t="n">
        <v>2</v>
      </c>
      <c r="B1749" s="1" t="inlineStr">
        <is>
          <t>ลูกกอล์ฟ</t>
        </is>
      </c>
      <c r="C1749" s="1" t="inlineStr">
        <is>
          <t>gf3200400141</t>
        </is>
      </c>
      <c r="D1749" s="1" t="inlineStr">
        <is>
          <t>TAYLORMADE TP5x (2021) Golf Ball</t>
        </is>
      </c>
      <c r="E1749" s="1" t="inlineStr">
        <is>
          <t>TAYLORMADE</t>
        </is>
      </c>
      <c r="F1749" s="1" t="inlineStr">
        <is>
          <t>TOUR</t>
        </is>
      </c>
      <c r="G1749" s="1" t="inlineStr">
        <is>
          <t>GF3200400141</t>
        </is>
      </c>
      <c r="H1749" s="1" t="n">
        <v>1</v>
      </c>
      <c r="I1749" s="1" t="inlineStr">
        <is>
          <t>หมด</t>
        </is>
      </c>
      <c r="J1749" s="13" t="n">
        <v>57</v>
      </c>
      <c r="K1749" s="1" t="inlineStr"/>
      <c r="L1749" s="13" t="n">
        <v>57</v>
      </c>
      <c r="M1749" s="1">
        <f>IF(L1749="","ไม่พบใน SG",IF(ABS(J1749-L1749)&lt;0.005,"ตรงกัน","ไม่ตรง"))</f>
        <v/>
      </c>
      <c r="N1749" s="14">
        <f>IF(L1749="","",ROUND(L1749*'สรุป'!$C$6,-1))</f>
        <v/>
      </c>
      <c r="O1749" s="15" t="n"/>
      <c r="P1749" s="15" t="n"/>
      <c r="Q1749" s="10" t="n"/>
      <c r="R1749" s="10" t="n"/>
      <c r="S1749" s="16" t="inlineStr">
        <is>
          <t>https://mstgolf.co.th/products/gf3200400141</t>
        </is>
      </c>
      <c r="T1749" s="1">
        <f>IF(B1749="ไม้กอล์ฟ",J1749,"")</f>
        <v/>
      </c>
    </row>
    <row r="1750">
      <c r="A1750" s="1" t="n">
        <v>2</v>
      </c>
      <c r="B1750" s="1" t="inlineStr">
        <is>
          <t>ลูกกอล์ฟ</t>
        </is>
      </c>
      <c r="C1750" s="1" t="inlineStr">
        <is>
          <t>gf3200400144</t>
        </is>
      </c>
      <c r="D1750" s="1" t="inlineStr">
        <is>
          <t>TAYLORMADE TP5x Pix 2.0 (2021) Golf Ball</t>
        </is>
      </c>
      <c r="E1750" s="1" t="inlineStr">
        <is>
          <t>TAYLORMADE</t>
        </is>
      </c>
      <c r="F1750" s="1" t="inlineStr">
        <is>
          <t>TOUR</t>
        </is>
      </c>
      <c r="G1750" s="1" t="inlineStr">
        <is>
          <t>GF3200400144</t>
        </is>
      </c>
      <c r="H1750" s="1" t="n">
        <v>1</v>
      </c>
      <c r="I1750" s="1" t="inlineStr">
        <is>
          <t>หมด</t>
        </is>
      </c>
      <c r="J1750" s="13" t="n">
        <v>57</v>
      </c>
      <c r="K1750" s="1" t="inlineStr"/>
      <c r="L1750" s="13" t="n">
        <v>57</v>
      </c>
      <c r="M1750" s="1">
        <f>IF(L1750="","ไม่พบใน SG",IF(ABS(J1750-L1750)&lt;0.005,"ตรงกัน","ไม่ตรง"))</f>
        <v/>
      </c>
      <c r="N1750" s="14">
        <f>IF(L1750="","",ROUND(L1750*'สรุป'!$C$6,-1))</f>
        <v/>
      </c>
      <c r="O1750" s="15" t="n"/>
      <c r="P1750" s="15" t="n"/>
      <c r="Q1750" s="10" t="n"/>
      <c r="R1750" s="10" t="n"/>
      <c r="S1750" s="16" t="inlineStr">
        <is>
          <t>https://mstgolf.co.th/products/gf3200400144</t>
        </is>
      </c>
      <c r="T1750" s="1">
        <f>IF(B1750="ไม้กอล์ฟ",J1750,"")</f>
        <v/>
      </c>
    </row>
    <row r="1751">
      <c r="A1751" s="1" t="n">
        <v>2</v>
      </c>
      <c r="B1751" s="1" t="inlineStr">
        <is>
          <t>ลูกกอล์ฟ</t>
        </is>
      </c>
      <c r="C1751" s="1" t="inlineStr">
        <is>
          <t>gf3200300067</t>
        </is>
      </c>
      <c r="D1751" s="1" t="inlineStr">
        <is>
          <t>TITLEIST Tour Soft (2024) (Yellow) Golf Ball</t>
        </is>
      </c>
      <c r="E1751" s="1" t="inlineStr">
        <is>
          <t>TITLEIST</t>
        </is>
      </c>
      <c r="F1751" s="1" t="inlineStr">
        <is>
          <t>SPIN</t>
        </is>
      </c>
      <c r="G1751" s="1" t="inlineStr">
        <is>
          <t>GF3200300067</t>
        </is>
      </c>
      <c r="H1751" s="1" t="n">
        <v>1</v>
      </c>
      <c r="I1751" s="1" t="inlineStr">
        <is>
          <t>หมด</t>
        </is>
      </c>
      <c r="J1751" s="13" t="n">
        <v>56.5</v>
      </c>
      <c r="K1751" s="1" t="inlineStr"/>
      <c r="L1751" s="13" t="n">
        <v>45</v>
      </c>
      <c r="M1751" s="1">
        <f>IF(L1751="","ไม่พบใน SG",IF(ABS(J1751-L1751)&lt;0.005,"ตรงกัน","ไม่ตรง"))</f>
        <v/>
      </c>
      <c r="N1751" s="14">
        <f>IF(L1751="","",ROUND(L1751*'สรุป'!$C$6,-1))</f>
        <v/>
      </c>
      <c r="O1751" s="15" t="n"/>
      <c r="P1751" s="15" t="n"/>
      <c r="Q1751" s="10" t="n"/>
      <c r="R1751" s="10" t="n"/>
      <c r="S1751" s="16" t="inlineStr">
        <is>
          <t>https://mstgolf.co.th/products/gf3200300067</t>
        </is>
      </c>
      <c r="T1751" s="1">
        <f>IF(B1751="ไม้กอล์ฟ",J1751,"")</f>
        <v/>
      </c>
    </row>
    <row r="1752">
      <c r="A1752" s="1" t="n">
        <v>2</v>
      </c>
      <c r="B1752" s="1" t="inlineStr">
        <is>
          <t>ลูกกอล์ฟ</t>
        </is>
      </c>
      <c r="C1752" s="1" t="inlineStr">
        <is>
          <t>gf3200300066</t>
        </is>
      </c>
      <c r="D1752" s="1" t="inlineStr">
        <is>
          <t>TITLEIST Tour Soft (2024) Golf Ball</t>
        </is>
      </c>
      <c r="E1752" s="1" t="inlineStr">
        <is>
          <t>TITLEIST</t>
        </is>
      </c>
      <c r="F1752" s="1" t="inlineStr">
        <is>
          <t>SPIN</t>
        </is>
      </c>
      <c r="G1752" s="1" t="inlineStr">
        <is>
          <t>GF3200300066</t>
        </is>
      </c>
      <c r="H1752" s="1" t="n">
        <v>1</v>
      </c>
      <c r="I1752" s="1" t="inlineStr">
        <is>
          <t>หมด</t>
        </is>
      </c>
      <c r="J1752" s="13" t="n">
        <v>56.5</v>
      </c>
      <c r="K1752" s="1" t="inlineStr"/>
      <c r="L1752" s="13" t="n">
        <v>45</v>
      </c>
      <c r="M1752" s="1">
        <f>IF(L1752="","ไม่พบใน SG",IF(ABS(J1752-L1752)&lt;0.005,"ตรงกัน","ไม่ตรง"))</f>
        <v/>
      </c>
      <c r="N1752" s="14">
        <f>IF(L1752="","",ROUND(L1752*'สรุป'!$C$6,-1))</f>
        <v/>
      </c>
      <c r="O1752" s="15" t="n"/>
      <c r="P1752" s="15" t="n"/>
      <c r="Q1752" s="10" t="n"/>
      <c r="R1752" s="10" t="n"/>
      <c r="S1752" s="16" t="inlineStr">
        <is>
          <t>https://mstgolf.co.th/products/gf3200300066</t>
        </is>
      </c>
      <c r="T1752" s="1">
        <f>IF(B1752="ไม้กอล์ฟ",J1752,"")</f>
        <v/>
      </c>
    </row>
    <row r="1753">
      <c r="A1753" s="1" t="n">
        <v>2</v>
      </c>
      <c r="B1753" s="1" t="inlineStr">
        <is>
          <t>ถุงกอล์ฟ</t>
        </is>
      </c>
      <c r="C1753" s="1" t="inlineStr">
        <is>
          <t>gf3010101320</t>
        </is>
      </c>
      <c r="D1753" s="1" t="inlineStr">
        <is>
          <t>NIKE Brasilia 9.5 M Duffle Bag (Laser Fuchsia/Black/White)</t>
        </is>
      </c>
      <c r="E1753" s="1" t="inlineStr">
        <is>
          <t>NIKE</t>
        </is>
      </c>
      <c r="F1753" s="1" t="inlineStr">
        <is>
          <t>BOSTON/DUFFLE BAG</t>
        </is>
      </c>
      <c r="G1753" s="1" t="inlineStr">
        <is>
          <t>GF3010101320</t>
        </is>
      </c>
      <c r="H1753" s="1" t="n">
        <v>1</v>
      </c>
      <c r="I1753" s="1" t="inlineStr">
        <is>
          <t>หมด</t>
        </is>
      </c>
      <c r="J1753" s="13" t="n">
        <v>55</v>
      </c>
      <c r="K1753" s="1" t="inlineStr"/>
      <c r="L1753" s="13" t="n">
        <v>55</v>
      </c>
      <c r="M1753" s="1">
        <f>IF(L1753="","ไม่พบใน SG",IF(ABS(J1753-L1753)&lt;0.005,"ตรงกัน","ไม่ตรง"))</f>
        <v/>
      </c>
      <c r="N1753" s="14">
        <f>IF(L1753="","",ROUND(L1753*'สรุป'!$C$6,-1))</f>
        <v/>
      </c>
      <c r="O1753" s="15" t="n"/>
      <c r="P1753" s="15" t="n"/>
      <c r="Q1753" s="10" t="n"/>
      <c r="R1753" s="10" t="n"/>
      <c r="S1753" s="16" t="inlineStr">
        <is>
          <t>https://mstgolf.co.th/products/gf3010101320</t>
        </is>
      </c>
      <c r="T1753" s="1">
        <f>IF(B1753="ไม้กอล์ฟ",J1753,"")</f>
        <v/>
      </c>
    </row>
    <row r="1754">
      <c r="A1754" s="1" t="n">
        <v>2</v>
      </c>
      <c r="B1754" s="1" t="inlineStr">
        <is>
          <t>ถุงมือ</t>
        </is>
      </c>
      <c r="C1754" s="1" t="inlineStr">
        <is>
          <t>gf3020200770</t>
        </is>
      </c>
      <c r="D1754" s="1" t="inlineStr">
        <is>
          <t>ADIDAS Rain Men's All Weather Pair Gloves (Black)</t>
        </is>
      </c>
      <c r="E1754" s="1" t="inlineStr">
        <is>
          <t>ADIDAS</t>
        </is>
      </c>
      <c r="F1754" s="1" t="inlineStr">
        <is>
          <t>ALL WEATHER</t>
        </is>
      </c>
      <c r="G1754" s="1" t="inlineStr">
        <is>
          <t>GF3020200770L</t>
        </is>
      </c>
      <c r="H1754" s="1" t="n">
        <v>3</v>
      </c>
      <c r="I1754" s="1" t="inlineStr">
        <is>
          <t>หมด</t>
        </is>
      </c>
      <c r="J1754" s="13" t="n">
        <v>50</v>
      </c>
      <c r="K1754" s="1" t="inlineStr"/>
      <c r="L1754" s="13" t="n"/>
      <c r="M1754" s="1">
        <f>IF(L1754="","ไม่พบใน SG",IF(ABS(J1754-L1754)&lt;0.005,"ตรงกัน","ไม่ตรง"))</f>
        <v/>
      </c>
      <c r="N1754" s="14">
        <f>IF(L1754="","",ROUND(L1754*'สรุป'!$C$6,-1))</f>
        <v/>
      </c>
      <c r="O1754" s="15" t="n"/>
      <c r="P1754" s="15" t="n"/>
      <c r="Q1754" s="10" t="n"/>
      <c r="R1754" s="10" t="n"/>
      <c r="S1754" s="16" t="inlineStr">
        <is>
          <t>https://mstgolf.co.th/products/gf3020200770</t>
        </is>
      </c>
      <c r="T1754" s="1">
        <f>IF(B1754="ไม้กอล์ฟ",J1754,"")</f>
        <v/>
      </c>
    </row>
    <row r="1755">
      <c r="A1755" s="1" t="n">
        <v>2</v>
      </c>
      <c r="B1755" s="1" t="inlineStr">
        <is>
          <t>รองเท้า</t>
        </is>
      </c>
      <c r="C1755" s="1" t="inlineStr">
        <is>
          <t>gf2500102738</t>
        </is>
      </c>
      <c r="D1755" s="1" t="inlineStr">
        <is>
          <t>ADIDAS S2G 24 Junior Spikeless Shoes (White/Black/Red)</t>
        </is>
      </c>
      <c r="E1755" s="1" t="inlineStr">
        <is>
          <t>ADIDAS</t>
        </is>
      </c>
      <c r="F1755" s="1" t="inlineStr">
        <is>
          <t>SPIKELESS SHOES</t>
        </is>
      </c>
      <c r="G1755" s="1" t="inlineStr">
        <is>
          <t>GF2500102738UK1</t>
        </is>
      </c>
      <c r="H1755" s="1" t="n">
        <v>6</v>
      </c>
      <c r="I1755" s="1" t="inlineStr">
        <is>
          <t>หมด</t>
        </is>
      </c>
      <c r="J1755" s="13" t="n">
        <v>49</v>
      </c>
      <c r="K1755" s="1" t="inlineStr"/>
      <c r="L1755" s="13" t="n"/>
      <c r="M1755" s="1">
        <f>IF(L1755="","ไม่พบใน SG",IF(ABS(J1755-L1755)&lt;0.005,"ตรงกัน","ไม่ตรง"))</f>
        <v/>
      </c>
      <c r="N1755" s="14">
        <f>IF(L1755="","",ROUND(L1755*'สรุป'!$C$6,-1))</f>
        <v/>
      </c>
      <c r="O1755" s="15" t="n"/>
      <c r="P1755" s="15" t="n"/>
      <c r="Q1755" s="10" t="n"/>
      <c r="R1755" s="10" t="n"/>
      <c r="S1755" s="16" t="inlineStr">
        <is>
          <t>https://mstgolf.co.th/products/gf2500102738</t>
        </is>
      </c>
      <c r="T1755" s="1">
        <f>IF(B1755="ไม้กอล์ฟ",J1755,"")</f>
        <v/>
      </c>
    </row>
    <row r="1756">
      <c r="A1756" s="1" t="n">
        <v>2</v>
      </c>
      <c r="B1756" s="1" t="inlineStr">
        <is>
          <t>ถุงกอล์ฟ</t>
        </is>
      </c>
      <c r="C1756" s="1" t="inlineStr">
        <is>
          <t>gf3010101333</t>
        </is>
      </c>
      <c r="D1756" s="1" t="inlineStr">
        <is>
          <t>CUTTER &amp; BUCK Duffle Bag (Black)</t>
        </is>
      </c>
      <c r="E1756" s="1" t="inlineStr">
        <is>
          <t>CUTTER &amp; BUCK</t>
        </is>
      </c>
      <c r="F1756" s="1" t="inlineStr">
        <is>
          <t>BOSTON/DUFFLE BAG</t>
        </is>
      </c>
      <c r="G1756" s="1" t="inlineStr">
        <is>
          <t>GF3010101333</t>
        </is>
      </c>
      <c r="H1756" s="1" t="n">
        <v>1</v>
      </c>
      <c r="I1756" s="1" t="inlineStr">
        <is>
          <t>หมด</t>
        </is>
      </c>
      <c r="J1756" s="13" t="n">
        <v>49</v>
      </c>
      <c r="K1756" s="1" t="inlineStr"/>
      <c r="L1756" s="13" t="n">
        <v>49</v>
      </c>
      <c r="M1756" s="1">
        <f>IF(L1756="","ไม่พบใน SG",IF(ABS(J1756-L1756)&lt;0.005,"ตรงกัน","ไม่ตรง"))</f>
        <v/>
      </c>
      <c r="N1756" s="14">
        <f>IF(L1756="","",ROUND(L1756*'สรุป'!$C$6,-1))</f>
        <v/>
      </c>
      <c r="O1756" s="15" t="n"/>
      <c r="P1756" s="15" t="n"/>
      <c r="Q1756" s="10" t="n"/>
      <c r="R1756" s="10" t="n"/>
      <c r="S1756" s="16" t="inlineStr">
        <is>
          <t>https://mstgolf.co.th/products/gf3010101333</t>
        </is>
      </c>
      <c r="T1756" s="1">
        <f>IF(B1756="ไม้กอล์ฟ",J1756,"")</f>
        <v/>
      </c>
    </row>
    <row r="1757">
      <c r="A1757" s="1" t="n">
        <v>2</v>
      </c>
      <c r="B1757" s="1" t="inlineStr">
        <is>
          <t>ถุงกอล์ฟ</t>
        </is>
      </c>
      <c r="C1757" s="1" t="inlineStr">
        <is>
          <t>gf3000300389</t>
        </is>
      </c>
      <c r="D1757" s="1" t="inlineStr">
        <is>
          <t>CUTTER &amp; BUCK Stiff Range Bag (Black)</t>
        </is>
      </c>
      <c r="E1757" s="1" t="inlineStr">
        <is>
          <t>CUTTER &amp; BUCK</t>
        </is>
      </c>
      <c r="F1757" s="1" t="inlineStr">
        <is>
          <t>RANGE BAG</t>
        </is>
      </c>
      <c r="G1757" s="1" t="inlineStr">
        <is>
          <t>GF3000300389</t>
        </is>
      </c>
      <c r="H1757" s="1" t="n">
        <v>1</v>
      </c>
      <c r="I1757" s="1" t="inlineStr">
        <is>
          <t>หมด</t>
        </is>
      </c>
      <c r="J1757" s="13" t="n">
        <v>49</v>
      </c>
      <c r="K1757" s="1" t="inlineStr"/>
      <c r="L1757" s="13" t="n">
        <v>49</v>
      </c>
      <c r="M1757" s="1">
        <f>IF(L1757="","ไม่พบใน SG",IF(ABS(J1757-L1757)&lt;0.005,"ตรงกัน","ไม่ตรง"))</f>
        <v/>
      </c>
      <c r="N1757" s="14">
        <f>IF(L1757="","",ROUND(L1757*'สรุป'!$C$6,-1))</f>
        <v/>
      </c>
      <c r="O1757" s="15" t="n"/>
      <c r="P1757" s="15" t="n"/>
      <c r="Q1757" s="10" t="n"/>
      <c r="R1757" s="10" t="n"/>
      <c r="S1757" s="16" t="inlineStr">
        <is>
          <t>https://mstgolf.co.th/products/gf3000300389</t>
        </is>
      </c>
      <c r="T1757" s="1">
        <f>IF(B1757="ไม้กอล์ฟ",J1757,"")</f>
        <v/>
      </c>
    </row>
    <row r="1758">
      <c r="A1758" s="1" t="n">
        <v>2</v>
      </c>
      <c r="B1758" s="1" t="inlineStr">
        <is>
          <t>ถุงกอล์ฟ</t>
        </is>
      </c>
      <c r="C1758" s="1" t="inlineStr">
        <is>
          <t>gf3010400991</t>
        </is>
      </c>
      <c r="D1758" s="1" t="inlineStr">
        <is>
          <t>LE COQ SPORTIF GOLF Women's Tote Bag (Beige)</t>
        </is>
      </c>
      <c r="E1758" s="1" t="inlineStr">
        <is>
          <t>LE COQ SPORTIF GOLF</t>
        </is>
      </c>
      <c r="F1758" s="1" t="inlineStr">
        <is>
          <t>SMALL BAG</t>
        </is>
      </c>
      <c r="G1758" s="1" t="inlineStr">
        <is>
          <t>GF3010400991</t>
        </is>
      </c>
      <c r="H1758" s="1" t="n">
        <v>1</v>
      </c>
      <c r="I1758" s="1" t="inlineStr">
        <is>
          <t>หมด</t>
        </is>
      </c>
      <c r="J1758" s="13" t="n">
        <v>49</v>
      </c>
      <c r="K1758" s="1" t="inlineStr"/>
      <c r="L1758" s="13" t="n">
        <v>49</v>
      </c>
      <c r="M1758" s="1">
        <f>IF(L1758="","ไม่พบใน SG",IF(ABS(J1758-L1758)&lt;0.005,"ตรงกัน","ไม่ตรง"))</f>
        <v/>
      </c>
      <c r="N1758" s="14">
        <f>IF(L1758="","",ROUND(L1758*'สรุป'!$C$6,-1))</f>
        <v/>
      </c>
      <c r="O1758" s="15" t="n"/>
      <c r="P1758" s="15" t="n"/>
      <c r="Q1758" s="10" t="n"/>
      <c r="R1758" s="10" t="n"/>
      <c r="S1758" s="16" t="inlineStr">
        <is>
          <t>https://mstgolf.co.th/products/gf3010400991</t>
        </is>
      </c>
      <c r="T1758" s="1">
        <f>IF(B1758="ไม้กอล์ฟ",J1758,"")</f>
        <v/>
      </c>
    </row>
    <row r="1759">
      <c r="A1759" s="1" t="n">
        <v>2</v>
      </c>
      <c r="B1759" s="1" t="inlineStr">
        <is>
          <t>ถุงกอล์ฟ</t>
        </is>
      </c>
      <c r="C1759" s="1" t="inlineStr">
        <is>
          <t>gf3010401033</t>
        </is>
      </c>
      <c r="D1759" s="1" t="inlineStr">
        <is>
          <t>MIZUNO Pouch (Black)</t>
        </is>
      </c>
      <c r="E1759" s="1" t="inlineStr">
        <is>
          <t>MIZUNO</t>
        </is>
      </c>
      <c r="F1759" s="1" t="inlineStr">
        <is>
          <t>SMALL BAG</t>
        </is>
      </c>
      <c r="G1759" s="1" t="inlineStr">
        <is>
          <t>GF3010401033</t>
        </is>
      </c>
      <c r="H1759" s="1" t="n">
        <v>1</v>
      </c>
      <c r="I1759" s="1" t="inlineStr">
        <is>
          <t>หมด</t>
        </is>
      </c>
      <c r="J1759" s="13" t="n">
        <v>49</v>
      </c>
      <c r="K1759" s="1" t="inlineStr"/>
      <c r="L1759" s="13" t="n">
        <v>49</v>
      </c>
      <c r="M1759" s="1">
        <f>IF(L1759="","ไม่พบใน SG",IF(ABS(J1759-L1759)&lt;0.005,"ตรงกัน","ไม่ตรง"))</f>
        <v/>
      </c>
      <c r="N1759" s="14">
        <f>IF(L1759="","",ROUND(L1759*'สรุป'!$C$6,-1))</f>
        <v/>
      </c>
      <c r="O1759" s="15" t="n"/>
      <c r="P1759" s="15" t="n"/>
      <c r="Q1759" s="10" t="n"/>
      <c r="R1759" s="10" t="n"/>
      <c r="S1759" s="16" t="inlineStr">
        <is>
          <t>https://mstgolf.co.th/products/gf3010401033</t>
        </is>
      </c>
      <c r="T1759" s="1">
        <f>IF(B1759="ไม้กอล์ฟ",J1759,"")</f>
        <v/>
      </c>
    </row>
    <row r="1760">
      <c r="A1760" s="1" t="n">
        <v>2</v>
      </c>
      <c r="B1760" s="1" t="inlineStr">
        <is>
          <t>รถเข็น</t>
        </is>
      </c>
      <c r="C1760" s="1" t="inlineStr">
        <is>
          <t>gf3030200200</t>
        </is>
      </c>
      <c r="D1760" s="1" t="inlineStr">
        <is>
          <t>POWAKADDY FX/CT Scorecard Holder</t>
        </is>
      </c>
      <c r="E1760" s="1" t="inlineStr">
        <is>
          <t>POWAKADDY</t>
        </is>
      </c>
      <c r="F1760" s="1" t="inlineStr">
        <is>
          <t>TROLLEY PARTS/ACCESSORIES</t>
        </is>
      </c>
      <c r="G1760" s="1" t="inlineStr">
        <is>
          <t>GF3030200200</t>
        </is>
      </c>
      <c r="H1760" s="1" t="n">
        <v>1</v>
      </c>
      <c r="I1760" s="1" t="inlineStr">
        <is>
          <t>หมด</t>
        </is>
      </c>
      <c r="J1760" s="13" t="n">
        <v>49</v>
      </c>
      <c r="K1760" s="1" t="inlineStr"/>
      <c r="L1760" s="13" t="n">
        <v>49</v>
      </c>
      <c r="M1760" s="1">
        <f>IF(L1760="","ไม่พบใน SG",IF(ABS(J1760-L1760)&lt;0.005,"ตรงกัน","ไม่ตรง"))</f>
        <v/>
      </c>
      <c r="N1760" s="14">
        <f>IF(L1760="","",ROUND(L1760*'สรุป'!$C$6,-1))</f>
        <v/>
      </c>
      <c r="O1760" s="15" t="n"/>
      <c r="P1760" s="15" t="n"/>
      <c r="Q1760" s="10" t="n"/>
      <c r="R1760" s="10" t="n"/>
      <c r="S1760" s="16" t="inlineStr">
        <is>
          <t>https://mstgolf.co.th/products/gf3030200200</t>
        </is>
      </c>
      <c r="T1760" s="1">
        <f>IF(B1760="ไม้กอล์ฟ",J1760,"")</f>
        <v/>
      </c>
    </row>
    <row r="1761">
      <c r="A1761" s="1" t="n">
        <v>2</v>
      </c>
      <c r="B1761" s="1" t="inlineStr">
        <is>
          <t>อุปกรณ์ฝึกซ้อม</t>
        </is>
      </c>
      <c r="C1761" s="1" t="inlineStr">
        <is>
          <t>gf3040100108</t>
        </is>
      </c>
      <c r="D1761" s="1" t="inlineStr">
        <is>
          <t>SKLZ Smash Bag (Black)</t>
        </is>
      </c>
      <c r="E1761" s="1" t="inlineStr">
        <is>
          <t>SKLZ</t>
        </is>
      </c>
      <c r="F1761" s="1" t="inlineStr">
        <is>
          <t>SWING</t>
        </is>
      </c>
      <c r="G1761" s="1" t="inlineStr">
        <is>
          <t>GF3040100108</t>
        </is>
      </c>
      <c r="H1761" s="1" t="n">
        <v>1</v>
      </c>
      <c r="I1761" s="1" t="inlineStr">
        <is>
          <t>หมด</t>
        </is>
      </c>
      <c r="J1761" s="13" t="n">
        <v>49</v>
      </c>
      <c r="K1761" s="1" t="inlineStr"/>
      <c r="L1761" s="13" t="n">
        <v>49</v>
      </c>
      <c r="M1761" s="1">
        <f>IF(L1761="","ไม่พบใน SG",IF(ABS(J1761-L1761)&lt;0.005,"ตรงกัน","ไม่ตรง"))</f>
        <v/>
      </c>
      <c r="N1761" s="14">
        <f>IF(L1761="","",ROUND(L1761*'สรุป'!$C$6,-1))</f>
        <v/>
      </c>
      <c r="O1761" s="15" t="n"/>
      <c r="P1761" s="15" t="n"/>
      <c r="Q1761" s="10" t="n"/>
      <c r="R1761" s="10" t="n"/>
      <c r="S1761" s="16" t="inlineStr">
        <is>
          <t>https://mstgolf.co.th/products/gf3040100108</t>
        </is>
      </c>
      <c r="T1761" s="1">
        <f>IF(B1761="ไม้กอล์ฟ",J1761,"")</f>
        <v/>
      </c>
    </row>
    <row r="1762">
      <c r="A1762" s="1" t="n">
        <v>2</v>
      </c>
      <c r="B1762" s="1" t="inlineStr">
        <is>
          <t>ถุงกอล์ฟ</t>
        </is>
      </c>
      <c r="C1762" s="1" t="inlineStr">
        <is>
          <t>gf3010401010</t>
        </is>
      </c>
      <c r="D1762" s="1" t="inlineStr">
        <is>
          <t>TAYLORMADE Circle T Women's Tote Bag (Beige)</t>
        </is>
      </c>
      <c r="E1762" s="1" t="inlineStr">
        <is>
          <t>TAYLORMADE</t>
        </is>
      </c>
      <c r="F1762" s="1" t="inlineStr">
        <is>
          <t>SMALL BAG</t>
        </is>
      </c>
      <c r="G1762" s="1" t="inlineStr">
        <is>
          <t>GF3010401010</t>
        </is>
      </c>
      <c r="H1762" s="1" t="n">
        <v>1</v>
      </c>
      <c r="I1762" s="1" t="inlineStr">
        <is>
          <t>หมด</t>
        </is>
      </c>
      <c r="J1762" s="13" t="n">
        <v>49</v>
      </c>
      <c r="K1762" s="1" t="inlineStr"/>
      <c r="L1762" s="13" t="n">
        <v>49</v>
      </c>
      <c r="M1762" s="1">
        <f>IF(L1762="","ไม่พบใน SG",IF(ABS(J1762-L1762)&lt;0.005,"ตรงกัน","ไม่ตรง"))</f>
        <v/>
      </c>
      <c r="N1762" s="14">
        <f>IF(L1762="","",ROUND(L1762*'สรุป'!$C$6,-1))</f>
        <v/>
      </c>
      <c r="O1762" s="15" t="n"/>
      <c r="P1762" s="15" t="n"/>
      <c r="Q1762" s="10" t="n"/>
      <c r="R1762" s="10" t="n"/>
      <c r="S1762" s="16" t="inlineStr">
        <is>
          <t>https://mstgolf.co.th/products/gf3010401010</t>
        </is>
      </c>
      <c r="T1762" s="1">
        <f>IF(B1762="ไม้กอล์ฟ",J1762,"")</f>
        <v/>
      </c>
    </row>
    <row r="1763">
      <c r="A1763" s="1" t="n">
        <v>2</v>
      </c>
      <c r="B1763" s="1" t="inlineStr">
        <is>
          <t>ถุงกอล์ฟ</t>
        </is>
      </c>
      <c r="C1763" s="1" t="inlineStr">
        <is>
          <t>gf3010101188</t>
        </is>
      </c>
      <c r="D1763" s="1" t="inlineStr">
        <is>
          <t>UNDER ARMOUR Undeniable 5.0 Large Duffle Bag (Black/Black/Silver)</t>
        </is>
      </c>
      <c r="E1763" s="1" t="inlineStr">
        <is>
          <t>UNDER ARMOUR</t>
        </is>
      </c>
      <c r="F1763" s="1" t="inlineStr">
        <is>
          <t>BOSTON/DUFFLE BAG</t>
        </is>
      </c>
      <c r="G1763" s="1" t="inlineStr">
        <is>
          <t>GF3010101188</t>
        </is>
      </c>
      <c r="H1763" s="1" t="n">
        <v>1</v>
      </c>
      <c r="I1763" s="1" t="inlineStr">
        <is>
          <t>หมด</t>
        </is>
      </c>
      <c r="J1763" s="13" t="n">
        <v>49</v>
      </c>
      <c r="K1763" s="1" t="inlineStr"/>
      <c r="L1763" s="13" t="n">
        <v>49</v>
      </c>
      <c r="M1763" s="1">
        <f>IF(L1763="","ไม่พบใน SG",IF(ABS(J1763-L1763)&lt;0.005,"ตรงกัน","ไม่ตรง"))</f>
        <v/>
      </c>
      <c r="N1763" s="14">
        <f>IF(L1763="","",ROUND(L1763*'สรุป'!$C$6,-1))</f>
        <v/>
      </c>
      <c r="O1763" s="15" t="n"/>
      <c r="P1763" s="15" t="n"/>
      <c r="Q1763" s="10" t="n"/>
      <c r="R1763" s="10" t="n"/>
      <c r="S1763" s="16" t="inlineStr">
        <is>
          <t>https://mstgolf.co.th/products/gf3010101188</t>
        </is>
      </c>
      <c r="T1763" s="1">
        <f>IF(B1763="ไม้กอล์ฟ",J1763,"")</f>
        <v/>
      </c>
    </row>
    <row r="1764">
      <c r="A1764" s="1" t="n">
        <v>2</v>
      </c>
      <c r="B1764" s="1" t="inlineStr">
        <is>
          <t>ถุงกอล์ฟ</t>
        </is>
      </c>
      <c r="C1764" s="1" t="inlineStr">
        <is>
          <t>gf3010101107</t>
        </is>
      </c>
      <c r="D1764" s="1" t="inlineStr">
        <is>
          <t>UNDER ARMOUR Undeniable 5.0 Large Duffle Bag (Navy/Navy/Silver)</t>
        </is>
      </c>
      <c r="E1764" s="1" t="inlineStr">
        <is>
          <t>UNDER ARMOUR</t>
        </is>
      </c>
      <c r="F1764" s="1" t="inlineStr">
        <is>
          <t>BOSTON/DUFFLE BAG</t>
        </is>
      </c>
      <c r="G1764" s="1" t="inlineStr">
        <is>
          <t>GF3010101107</t>
        </is>
      </c>
      <c r="H1764" s="1" t="n">
        <v>1</v>
      </c>
      <c r="I1764" s="1" t="inlineStr">
        <is>
          <t>หมด</t>
        </is>
      </c>
      <c r="J1764" s="13" t="n">
        <v>49</v>
      </c>
      <c r="K1764" s="1" t="inlineStr"/>
      <c r="L1764" s="13" t="n">
        <v>49</v>
      </c>
      <c r="M1764" s="1">
        <f>IF(L1764="","ไม่พบใน SG",IF(ABS(J1764-L1764)&lt;0.005,"ตรงกัน","ไม่ตรง"))</f>
        <v/>
      </c>
      <c r="N1764" s="14">
        <f>IF(L1764="","",ROUND(L1764*'สรุป'!$C$6,-1))</f>
        <v/>
      </c>
      <c r="O1764" s="15" t="n"/>
      <c r="P1764" s="15" t="n"/>
      <c r="Q1764" s="10" t="n"/>
      <c r="R1764" s="10" t="n"/>
      <c r="S1764" s="16" t="inlineStr">
        <is>
          <t>https://mstgolf.co.th/products/gf3010101107</t>
        </is>
      </c>
      <c r="T1764" s="1">
        <f>IF(B1764="ไม้กอล์ฟ",J1764,"")</f>
        <v/>
      </c>
    </row>
    <row r="1765">
      <c r="A1765" s="1" t="n">
        <v>2</v>
      </c>
      <c r="B1765" s="1" t="inlineStr">
        <is>
          <t>อุปกรณ์ฝึกซ้อม</t>
        </is>
      </c>
      <c r="C1765" s="1" t="inlineStr">
        <is>
          <t>gf3040200097</t>
        </is>
      </c>
      <c r="D1765" s="1" t="inlineStr">
        <is>
          <t>SKLZ TRUE LINE PUTTING MIRROR</t>
        </is>
      </c>
      <c r="E1765" s="1" t="inlineStr">
        <is>
          <t>SKLZ</t>
        </is>
      </c>
      <c r="F1765" s="1" t="inlineStr">
        <is>
          <t>PUTT / CHIP</t>
        </is>
      </c>
      <c r="G1765" s="1" t="inlineStr">
        <is>
          <t>GF3040200097</t>
        </is>
      </c>
      <c r="H1765" s="1" t="n">
        <v>1</v>
      </c>
      <c r="I1765" s="1" t="inlineStr">
        <is>
          <t>หมด</t>
        </is>
      </c>
      <c r="J1765" s="13" t="n">
        <v>47</v>
      </c>
      <c r="K1765" s="1" t="inlineStr"/>
      <c r="L1765" s="13" t="n"/>
      <c r="M1765" s="1">
        <f>IF(L1765="","ไม่พบใน SG",IF(ABS(J1765-L1765)&lt;0.005,"ตรงกัน","ไม่ตรง"))</f>
        <v/>
      </c>
      <c r="N1765" s="14">
        <f>IF(L1765="","",ROUND(L1765*'สรุป'!$C$6,-1))</f>
        <v/>
      </c>
      <c r="O1765" s="15" t="n"/>
      <c r="P1765" s="15" t="n"/>
      <c r="Q1765" s="10" t="n"/>
      <c r="R1765" s="10" t="n"/>
      <c r="S1765" s="16" t="inlineStr">
        <is>
          <t>https://mstgolf.co.th/products/gf3040200097</t>
        </is>
      </c>
      <c r="T1765" s="1">
        <f>IF(B1765="ไม้กอล์ฟ",J1765,"")</f>
        <v/>
      </c>
    </row>
    <row r="1766">
      <c r="A1766" s="1" t="n">
        <v>2</v>
      </c>
      <c r="B1766" s="1" t="inlineStr">
        <is>
          <t>ลูกกอล์ฟ</t>
        </is>
      </c>
      <c r="C1766" s="1" t="inlineStr">
        <is>
          <t>gf3200100073</t>
        </is>
      </c>
      <c r="D1766" s="1" t="inlineStr">
        <is>
          <t>TITLEIST Velocity (2022) (Blue) Golf Ball</t>
        </is>
      </c>
      <c r="E1766" s="1" t="inlineStr">
        <is>
          <t>TITLEIST</t>
        </is>
      </c>
      <c r="F1766" s="1" t="inlineStr">
        <is>
          <t>DISTANCE</t>
        </is>
      </c>
      <c r="G1766" s="1" t="inlineStr">
        <is>
          <t>GF3200100073</t>
        </is>
      </c>
      <c r="H1766" s="1" t="n">
        <v>1</v>
      </c>
      <c r="I1766" s="1" t="inlineStr">
        <is>
          <t>หมด</t>
        </is>
      </c>
      <c r="J1766" s="13" t="n">
        <v>46.8</v>
      </c>
      <c r="K1766" s="1" t="inlineStr"/>
      <c r="L1766" s="13" t="n">
        <v>46.8</v>
      </c>
      <c r="M1766" s="1">
        <f>IF(L1766="","ไม่พบใน SG",IF(ABS(J1766-L1766)&lt;0.005,"ตรงกัน","ไม่ตรง"))</f>
        <v/>
      </c>
      <c r="N1766" s="14">
        <f>IF(L1766="","",ROUND(L1766*'สรุป'!$C$6,-1))</f>
        <v/>
      </c>
      <c r="O1766" s="15" t="n"/>
      <c r="P1766" s="15" t="n"/>
      <c r="Q1766" s="10" t="n"/>
      <c r="R1766" s="10" t="n"/>
      <c r="S1766" s="16" t="inlineStr">
        <is>
          <t>https://mstgolf.co.th/products/gf3200100073</t>
        </is>
      </c>
      <c r="T1766" s="1">
        <f>IF(B1766="ไม้กอล์ฟ",J1766,"")</f>
        <v/>
      </c>
    </row>
    <row r="1767">
      <c r="A1767" s="1" t="n">
        <v>2</v>
      </c>
      <c r="B1767" s="1" t="inlineStr">
        <is>
          <t>ลูกกอล์ฟ</t>
        </is>
      </c>
      <c r="C1767" s="1" t="inlineStr">
        <is>
          <t>gf3200100072</t>
        </is>
      </c>
      <c r="D1767" s="1" t="inlineStr">
        <is>
          <t>TITLEIST Velocity (2022) (Green) Golf Ball</t>
        </is>
      </c>
      <c r="E1767" s="1" t="inlineStr">
        <is>
          <t>TITLEIST</t>
        </is>
      </c>
      <c r="F1767" s="1" t="inlineStr">
        <is>
          <t>DISTANCE</t>
        </is>
      </c>
      <c r="G1767" s="1" t="inlineStr">
        <is>
          <t>GF3200100072</t>
        </is>
      </c>
      <c r="H1767" s="1" t="n">
        <v>1</v>
      </c>
      <c r="I1767" s="1" t="inlineStr">
        <is>
          <t>หมด</t>
        </is>
      </c>
      <c r="J1767" s="13" t="n">
        <v>46.8</v>
      </c>
      <c r="K1767" s="1" t="inlineStr"/>
      <c r="L1767" s="13" t="n">
        <v>46.8</v>
      </c>
      <c r="M1767" s="1">
        <f>IF(L1767="","ไม่พบใน SG",IF(ABS(J1767-L1767)&lt;0.005,"ตรงกัน","ไม่ตรง"))</f>
        <v/>
      </c>
      <c r="N1767" s="14">
        <f>IF(L1767="","",ROUND(L1767*'สรุป'!$C$6,-1))</f>
        <v/>
      </c>
      <c r="O1767" s="15" t="n"/>
      <c r="P1767" s="15" t="n"/>
      <c r="Q1767" s="10" t="n"/>
      <c r="R1767" s="10" t="n"/>
      <c r="S1767" s="16" t="inlineStr">
        <is>
          <t>https://mstgolf.co.th/products/gf3200100072</t>
        </is>
      </c>
      <c r="T1767" s="1">
        <f>IF(B1767="ไม้กอล์ฟ",J1767,"")</f>
        <v/>
      </c>
    </row>
    <row r="1768">
      <c r="A1768" s="1" t="n">
        <v>2</v>
      </c>
      <c r="B1768" s="1" t="inlineStr">
        <is>
          <t>ลูกกอล์ฟ</t>
        </is>
      </c>
      <c r="C1768" s="1" t="inlineStr">
        <is>
          <t>gf3200100071</t>
        </is>
      </c>
      <c r="D1768" s="1" t="inlineStr">
        <is>
          <t>TITLEIST Velocity (2022) (Orange) Golf Ball</t>
        </is>
      </c>
      <c r="E1768" s="1" t="inlineStr">
        <is>
          <t>TITLEIST</t>
        </is>
      </c>
      <c r="F1768" s="1" t="inlineStr">
        <is>
          <t>DISTANCE</t>
        </is>
      </c>
      <c r="G1768" s="1" t="inlineStr">
        <is>
          <t>GF3200100071</t>
        </is>
      </c>
      <c r="H1768" s="1" t="n">
        <v>1</v>
      </c>
      <c r="I1768" s="1" t="inlineStr">
        <is>
          <t>หมด</t>
        </is>
      </c>
      <c r="J1768" s="13" t="n">
        <v>46.8</v>
      </c>
      <c r="K1768" s="1" t="inlineStr"/>
      <c r="L1768" s="13" t="n">
        <v>46.8</v>
      </c>
      <c r="M1768" s="1">
        <f>IF(L1768="","ไม่พบใน SG",IF(ABS(J1768-L1768)&lt;0.005,"ตรงกัน","ไม่ตรง"))</f>
        <v/>
      </c>
      <c r="N1768" s="14">
        <f>IF(L1768="","",ROUND(L1768*'สรุป'!$C$6,-1))</f>
        <v/>
      </c>
      <c r="O1768" s="15" t="n"/>
      <c r="P1768" s="15" t="n"/>
      <c r="Q1768" s="10" t="n"/>
      <c r="R1768" s="10" t="n"/>
      <c r="S1768" s="16" t="inlineStr">
        <is>
          <t>https://mstgolf.co.th/products/gf3200100071</t>
        </is>
      </c>
      <c r="T1768" s="1">
        <f>IF(B1768="ไม้กอล์ฟ",J1768,"")</f>
        <v/>
      </c>
    </row>
    <row r="1769">
      <c r="A1769" s="1" t="n">
        <v>2</v>
      </c>
      <c r="B1769" s="1" t="inlineStr">
        <is>
          <t>ลูกกอล์ฟ</t>
        </is>
      </c>
      <c r="C1769" s="1" t="inlineStr">
        <is>
          <t>gf3200100069</t>
        </is>
      </c>
      <c r="D1769" s="1" t="inlineStr">
        <is>
          <t>TITLEIST Velocity (2022) Golf Ball</t>
        </is>
      </c>
      <c r="E1769" s="1" t="inlineStr">
        <is>
          <t>TITLEIST</t>
        </is>
      </c>
      <c r="F1769" s="1" t="inlineStr">
        <is>
          <t>DISTANCE</t>
        </is>
      </c>
      <c r="G1769" s="1" t="inlineStr">
        <is>
          <t>GF3200100069</t>
        </is>
      </c>
      <c r="H1769" s="1" t="n">
        <v>1</v>
      </c>
      <c r="I1769" s="1" t="inlineStr">
        <is>
          <t>หมด</t>
        </is>
      </c>
      <c r="J1769" s="13" t="n">
        <v>46.8</v>
      </c>
      <c r="K1769" s="1" t="inlineStr"/>
      <c r="L1769" s="13" t="n">
        <v>46.8</v>
      </c>
      <c r="M1769" s="1">
        <f>IF(L1769="","ไม่พบใน SG",IF(ABS(J1769-L1769)&lt;0.005,"ตรงกัน","ไม่ตรง"))</f>
        <v/>
      </c>
      <c r="N1769" s="14">
        <f>IF(L1769="","",ROUND(L1769*'สรุป'!$C$6,-1))</f>
        <v/>
      </c>
      <c r="O1769" s="15" t="n"/>
      <c r="P1769" s="15" t="n"/>
      <c r="Q1769" s="10" t="n"/>
      <c r="R1769" s="10" t="n"/>
      <c r="S1769" s="16" t="inlineStr">
        <is>
          <t>https://mstgolf.co.th/products/gf3200100069</t>
        </is>
      </c>
      <c r="T1769" s="1">
        <f>IF(B1769="ไม้กอล์ฟ",J1769,"")</f>
        <v/>
      </c>
    </row>
    <row r="1770">
      <c r="A1770" s="1" t="n">
        <v>2</v>
      </c>
      <c r="B1770" s="1" t="inlineStr">
        <is>
          <t>ถุงมือ</t>
        </is>
      </c>
      <c r="C1770" s="1" t="inlineStr">
        <is>
          <t>gf3020100018</t>
        </is>
      </c>
      <c r="D1770" s="1" t="inlineStr">
        <is>
          <t>FOOTJOY Pure Touch Leather Glove (White)</t>
        </is>
      </c>
      <c r="E1770" s="1" t="inlineStr">
        <is>
          <t>FOOTJOY</t>
        </is>
      </c>
      <c r="F1770" s="1" t="inlineStr">
        <is>
          <t>LEATHER</t>
        </is>
      </c>
      <c r="G1770" s="1" t="inlineStr">
        <is>
          <t>GF302010001821</t>
        </is>
      </c>
      <c r="H1770" s="1" t="n">
        <v>7</v>
      </c>
      <c r="I1770" s="1" t="inlineStr">
        <is>
          <t>หมด</t>
        </is>
      </c>
      <c r="J1770" s="13" t="n">
        <v>46</v>
      </c>
      <c r="K1770" s="1" t="inlineStr"/>
      <c r="L1770" s="13" t="n">
        <v>46</v>
      </c>
      <c r="M1770" s="1">
        <f>IF(L1770="","ไม่พบใน SG",IF(ABS(J1770-L1770)&lt;0.005,"ตรงกัน","ไม่ตรง"))</f>
        <v/>
      </c>
      <c r="N1770" s="14">
        <f>IF(L1770="","",ROUND(L1770*'สรุป'!$C$6,-1))</f>
        <v/>
      </c>
      <c r="O1770" s="15" t="n"/>
      <c r="P1770" s="15" t="n"/>
      <c r="Q1770" s="10" t="n"/>
      <c r="R1770" s="10" t="n"/>
      <c r="S1770" s="16" t="inlineStr">
        <is>
          <t>https://mstgolf.co.th/products/gf3020100018</t>
        </is>
      </c>
      <c r="T1770" s="1">
        <f>IF(B1770="ไม้กอล์ฟ",J1770,"")</f>
        <v/>
      </c>
    </row>
    <row r="1771">
      <c r="A1771" s="1" t="n">
        <v>2</v>
      </c>
      <c r="B1771" s="1" t="inlineStr">
        <is>
          <t>ถุงมือ</t>
        </is>
      </c>
      <c r="C1771" s="1" t="inlineStr">
        <is>
          <t>gf3020200763</t>
        </is>
      </c>
      <c r="D1771" s="1" t="inlineStr">
        <is>
          <t>ADIDAS Originals Golf Unisex Leather Glove (Indigo)</t>
        </is>
      </c>
      <c r="E1771" s="1" t="inlineStr">
        <is>
          <t>ADIDAS</t>
        </is>
      </c>
      <c r="F1771" s="1" t="inlineStr">
        <is>
          <t>ALL WEATHER</t>
        </is>
      </c>
      <c r="G1771" s="1" t="inlineStr">
        <is>
          <t>GF302020076318</t>
        </is>
      </c>
      <c r="H1771" s="1" t="n">
        <v>9</v>
      </c>
      <c r="I1771" s="1" t="inlineStr">
        <is>
          <t>หมด</t>
        </is>
      </c>
      <c r="J1771" s="13" t="n">
        <v>45</v>
      </c>
      <c r="K1771" s="1" t="inlineStr"/>
      <c r="L1771" s="13" t="n"/>
      <c r="M1771" s="1">
        <f>IF(L1771="","ไม่พบใน SG",IF(ABS(J1771-L1771)&lt;0.005,"ตรงกัน","ไม่ตรง"))</f>
        <v/>
      </c>
      <c r="N1771" s="14">
        <f>IF(L1771="","",ROUND(L1771*'สรุป'!$C$6,-1))</f>
        <v/>
      </c>
      <c r="O1771" s="15" t="n"/>
      <c r="P1771" s="15" t="n"/>
      <c r="Q1771" s="10" t="n"/>
      <c r="R1771" s="10" t="n"/>
      <c r="S1771" s="16" t="inlineStr">
        <is>
          <t>https://mstgolf.co.th/products/gf3020200763</t>
        </is>
      </c>
      <c r="T1771" s="1">
        <f>IF(B1771="ไม้กอล์ฟ",J1771,"")</f>
        <v/>
      </c>
    </row>
    <row r="1772">
      <c r="A1772" s="1" t="n">
        <v>2</v>
      </c>
      <c r="B1772" s="1" t="inlineStr">
        <is>
          <t>ถุงมือ</t>
        </is>
      </c>
      <c r="C1772" s="1" t="inlineStr">
        <is>
          <t>gf3020200765</t>
        </is>
      </c>
      <c r="D1772" s="1" t="inlineStr">
        <is>
          <t>ADIDAS Originals Golf Unisex Leather Glove (Pink)</t>
        </is>
      </c>
      <c r="E1772" s="1" t="inlineStr">
        <is>
          <t>ADIDAS</t>
        </is>
      </c>
      <c r="F1772" s="1" t="inlineStr">
        <is>
          <t>ALL WEATHER</t>
        </is>
      </c>
      <c r="G1772" s="1" t="inlineStr">
        <is>
          <t>GF302020076518</t>
        </is>
      </c>
      <c r="H1772" s="1" t="n">
        <v>9</v>
      </c>
      <c r="I1772" s="1" t="inlineStr">
        <is>
          <t>หมด</t>
        </is>
      </c>
      <c r="J1772" s="13" t="n">
        <v>45</v>
      </c>
      <c r="K1772" s="1" t="inlineStr"/>
      <c r="L1772" s="13" t="n"/>
      <c r="M1772" s="1">
        <f>IF(L1772="","ไม่พบใน SG",IF(ABS(J1772-L1772)&lt;0.005,"ตรงกัน","ไม่ตรง"))</f>
        <v/>
      </c>
      <c r="N1772" s="14">
        <f>IF(L1772="","",ROUND(L1772*'สรุป'!$C$6,-1))</f>
        <v/>
      </c>
      <c r="O1772" s="15" t="n"/>
      <c r="P1772" s="15" t="n"/>
      <c r="Q1772" s="10" t="n"/>
      <c r="R1772" s="10" t="n"/>
      <c r="S1772" s="16" t="inlineStr">
        <is>
          <t>https://mstgolf.co.th/products/gf3020200765</t>
        </is>
      </c>
      <c r="T1772" s="1">
        <f>IF(B1772="ไม้กอล์ฟ",J1772,"")</f>
        <v/>
      </c>
    </row>
    <row r="1773">
      <c r="A1773" s="1" t="n">
        <v>2</v>
      </c>
      <c r="B1773" s="1" t="inlineStr">
        <is>
          <t>ถุงมือ</t>
        </is>
      </c>
      <c r="C1773" s="1" t="inlineStr">
        <is>
          <t>gf3020100290</t>
        </is>
      </c>
      <c r="D1773" s="1" t="inlineStr">
        <is>
          <t>ADIDAS Originals Unisex Leather Glove (White/Orange)</t>
        </is>
      </c>
      <c r="E1773" s="1" t="inlineStr">
        <is>
          <t>ADIDAS</t>
        </is>
      </c>
      <c r="F1773" s="1" t="inlineStr">
        <is>
          <t>LEATHER</t>
        </is>
      </c>
      <c r="G1773" s="1" t="inlineStr">
        <is>
          <t>GF302010029018</t>
        </is>
      </c>
      <c r="H1773" s="1" t="n">
        <v>9</v>
      </c>
      <c r="I1773" s="1" t="inlineStr">
        <is>
          <t>หมด</t>
        </is>
      </c>
      <c r="J1773" s="13" t="n">
        <v>45</v>
      </c>
      <c r="K1773" s="1" t="inlineStr"/>
      <c r="L1773" s="13" t="n"/>
      <c r="M1773" s="1">
        <f>IF(L1773="","ไม่พบใน SG",IF(ABS(J1773-L1773)&lt;0.005,"ตรงกัน","ไม่ตรง"))</f>
        <v/>
      </c>
      <c r="N1773" s="14">
        <f>IF(L1773="","",ROUND(L1773*'สรุป'!$C$6,-1))</f>
        <v/>
      </c>
      <c r="O1773" s="15" t="n"/>
      <c r="P1773" s="15" t="n"/>
      <c r="Q1773" s="10" t="n"/>
      <c r="R1773" s="10" t="n"/>
      <c r="S1773" s="16" t="inlineStr">
        <is>
          <t>https://mstgolf.co.th/products/gf3020100290</t>
        </is>
      </c>
      <c r="T1773" s="1">
        <f>IF(B1773="ไม้กอล์ฟ",J1773,"")</f>
        <v/>
      </c>
    </row>
    <row r="1774">
      <c r="A1774" s="1" t="n">
        <v>2</v>
      </c>
      <c r="B1774" s="1" t="inlineStr">
        <is>
          <t>ถุงกอล์ฟ</t>
        </is>
      </c>
      <c r="C1774" s="1" t="inlineStr">
        <is>
          <t>gf3000400155</t>
        </is>
      </c>
      <c r="D1774" s="1" t="inlineStr">
        <is>
          <t>CUTTER &amp; BUCK Soft Econo Travel Cover (Black)</t>
        </is>
      </c>
      <c r="E1774" s="1" t="inlineStr">
        <is>
          <t>CUTTER &amp; BUCK</t>
        </is>
      </c>
      <c r="F1774" s="1" t="inlineStr">
        <is>
          <t>TRAVEL COVER</t>
        </is>
      </c>
      <c r="G1774" s="1" t="inlineStr">
        <is>
          <t>GF3000400155</t>
        </is>
      </c>
      <c r="H1774" s="1" t="n">
        <v>1</v>
      </c>
      <c r="I1774" s="1" t="inlineStr">
        <is>
          <t>หมด</t>
        </is>
      </c>
      <c r="J1774" s="13" t="n">
        <v>45</v>
      </c>
      <c r="K1774" s="1" t="inlineStr"/>
      <c r="L1774" s="13" t="n">
        <v>45</v>
      </c>
      <c r="M1774" s="1">
        <f>IF(L1774="","ไม่พบใน SG",IF(ABS(J1774-L1774)&lt;0.005,"ตรงกัน","ไม่ตรง"))</f>
        <v/>
      </c>
      <c r="N1774" s="14">
        <f>IF(L1774="","",ROUND(L1774*'สรุป'!$C$6,-1))</f>
        <v/>
      </c>
      <c r="O1774" s="15" t="n"/>
      <c r="P1774" s="15" t="n"/>
      <c r="Q1774" s="10" t="n"/>
      <c r="R1774" s="10" t="n"/>
      <c r="S1774" s="16" t="inlineStr">
        <is>
          <t>https://mstgolf.co.th/products/gf3000400155</t>
        </is>
      </c>
      <c r="T1774" s="1">
        <f>IF(B1774="ไม้กอล์ฟ",J1774,"")</f>
        <v/>
      </c>
    </row>
    <row r="1775">
      <c r="A1775" s="1" t="n">
        <v>2</v>
      </c>
      <c r="B1775" s="1" t="inlineStr">
        <is>
          <t>ถุงกอล์ฟ</t>
        </is>
      </c>
      <c r="C1775" s="1" t="inlineStr">
        <is>
          <t>gf3010101254</t>
        </is>
      </c>
      <c r="D1775" s="1" t="inlineStr">
        <is>
          <t>NIKE Gym Club Duffle Bag (Green/Silver)</t>
        </is>
      </c>
      <c r="E1775" s="1" t="inlineStr">
        <is>
          <t>NIKE</t>
        </is>
      </c>
      <c r="F1775" s="1" t="inlineStr">
        <is>
          <t>BOSTON/DUFFLE BAG</t>
        </is>
      </c>
      <c r="G1775" s="1" t="inlineStr">
        <is>
          <t>GF3010101254</t>
        </is>
      </c>
      <c r="H1775" s="1" t="n">
        <v>1</v>
      </c>
      <c r="I1775" s="1" t="inlineStr">
        <is>
          <t>หมด</t>
        </is>
      </c>
      <c r="J1775" s="13" t="n">
        <v>45</v>
      </c>
      <c r="K1775" s="1" t="inlineStr"/>
      <c r="L1775" s="13" t="n">
        <v>45</v>
      </c>
      <c r="M1775" s="1">
        <f>IF(L1775="","ไม่พบใน SG",IF(ABS(J1775-L1775)&lt;0.005,"ตรงกัน","ไม่ตรง"))</f>
        <v/>
      </c>
      <c r="N1775" s="14">
        <f>IF(L1775="","",ROUND(L1775*'สรุป'!$C$6,-1))</f>
        <v/>
      </c>
      <c r="O1775" s="15" t="n"/>
      <c r="P1775" s="15" t="n"/>
      <c r="Q1775" s="10" t="n"/>
      <c r="R1775" s="10" t="n"/>
      <c r="S1775" s="16" t="inlineStr">
        <is>
          <t>https://mstgolf.co.th/products/gf3010101254</t>
        </is>
      </c>
      <c r="T1775" s="1">
        <f>IF(B1775="ไม้กอล์ฟ",J1775,"")</f>
        <v/>
      </c>
    </row>
    <row r="1776">
      <c r="A1776" s="1" t="n">
        <v>2</v>
      </c>
      <c r="B1776" s="1" t="inlineStr">
        <is>
          <t>ถุงกอล์ฟ</t>
        </is>
      </c>
      <c r="C1776" s="1" t="inlineStr">
        <is>
          <t>gf3010400843</t>
        </is>
      </c>
      <c r="D1776" s="1" t="inlineStr">
        <is>
          <t>TITLEIST Players Dopp Kit (Navy)</t>
        </is>
      </c>
      <c r="E1776" s="1" t="inlineStr">
        <is>
          <t>TITLEIST</t>
        </is>
      </c>
      <c r="F1776" s="1" t="inlineStr">
        <is>
          <t>SMALL BAG</t>
        </is>
      </c>
      <c r="G1776" s="1" t="inlineStr">
        <is>
          <t>GF3010400843</t>
        </is>
      </c>
      <c r="H1776" s="1" t="n">
        <v>1</v>
      </c>
      <c r="I1776" s="1" t="inlineStr">
        <is>
          <t>หมด</t>
        </is>
      </c>
      <c r="J1776" s="13" t="n">
        <v>45</v>
      </c>
      <c r="K1776" s="1" t="inlineStr"/>
      <c r="L1776" s="13" t="n">
        <v>45</v>
      </c>
      <c r="M1776" s="1">
        <f>IF(L1776="","ไม่พบใน SG",IF(ABS(J1776-L1776)&lt;0.005,"ตรงกัน","ไม่ตรง"))</f>
        <v/>
      </c>
      <c r="N1776" s="14">
        <f>IF(L1776="","",ROUND(L1776*'สรุป'!$C$6,-1))</f>
        <v/>
      </c>
      <c r="O1776" s="15" t="n"/>
      <c r="P1776" s="15" t="n"/>
      <c r="Q1776" s="10" t="n"/>
      <c r="R1776" s="10" t="n"/>
      <c r="S1776" s="16" t="inlineStr">
        <is>
          <t>https://mstgolf.co.th/products/gf3010400843</t>
        </is>
      </c>
      <c r="T1776" s="1">
        <f>IF(B1776="ไม้กอล์ฟ",J1776,"")</f>
        <v/>
      </c>
    </row>
    <row r="1777">
      <c r="A1777" s="1" t="n">
        <v>2</v>
      </c>
      <c r="B1777" s="1" t="inlineStr">
        <is>
          <t>ถุงกอล์ฟ</t>
        </is>
      </c>
      <c r="C1777" s="1" t="inlineStr">
        <is>
          <t>gf3010101390</t>
        </is>
      </c>
      <c r="D1777" s="1" t="inlineStr">
        <is>
          <t>UNDER ARMOUR Undeniable 5.0 XXS Duffle Bag (Blue)</t>
        </is>
      </c>
      <c r="E1777" s="1" t="inlineStr">
        <is>
          <t>UNDER ARMOUR</t>
        </is>
      </c>
      <c r="F1777" s="1" t="inlineStr">
        <is>
          <t>BOSTON/DUFFLE BAG</t>
        </is>
      </c>
      <c r="G1777" s="1" t="inlineStr">
        <is>
          <t>GF3010101390</t>
        </is>
      </c>
      <c r="H1777" s="1" t="n">
        <v>1</v>
      </c>
      <c r="I1777" s="1" t="inlineStr">
        <is>
          <t>หมด</t>
        </is>
      </c>
      <c r="J1777" s="13" t="n">
        <v>45</v>
      </c>
      <c r="K1777" s="1" t="inlineStr"/>
      <c r="L1777" s="13" t="n">
        <v>45</v>
      </c>
      <c r="M1777" s="1">
        <f>IF(L1777="","ไม่พบใน SG",IF(ABS(J1777-L1777)&lt;0.005,"ตรงกัน","ไม่ตรง"))</f>
        <v/>
      </c>
      <c r="N1777" s="14">
        <f>IF(L1777="","",ROUND(L1777*'สรุป'!$C$6,-1))</f>
        <v/>
      </c>
      <c r="O1777" s="15" t="n"/>
      <c r="P1777" s="15" t="n"/>
      <c r="Q1777" s="10" t="n"/>
      <c r="R1777" s="10" t="n"/>
      <c r="S1777" s="16" t="inlineStr">
        <is>
          <t>https://mstgolf.co.th/products/gf3010101390</t>
        </is>
      </c>
      <c r="T1777" s="1">
        <f>IF(B1777="ไม้กอล์ฟ",J1777,"")</f>
        <v/>
      </c>
    </row>
    <row r="1778">
      <c r="A1778" s="1" t="n">
        <v>2</v>
      </c>
      <c r="B1778" s="1" t="inlineStr">
        <is>
          <t>ถุงมือ</t>
        </is>
      </c>
      <c r="C1778" s="1" t="inlineStr">
        <is>
          <t>gf3020200658</t>
        </is>
      </c>
      <c r="D1778" s="1" t="inlineStr">
        <is>
          <t>TAYLORMADE Glit All-Weather Women's Gloves (White/Grey)</t>
        </is>
      </c>
      <c r="E1778" s="1" t="inlineStr">
        <is>
          <t>TAYLORMADE</t>
        </is>
      </c>
      <c r="F1778" s="1" t="inlineStr">
        <is>
          <t>ALL WEATHER</t>
        </is>
      </c>
      <c r="G1778" s="1" t="inlineStr">
        <is>
          <t>GF302020065818</t>
        </is>
      </c>
      <c r="H1778" s="1" t="n">
        <v>4</v>
      </c>
      <c r="I1778" s="1" t="inlineStr">
        <is>
          <t>หมด</t>
        </is>
      </c>
      <c r="J1778" s="13" t="n">
        <v>43</v>
      </c>
      <c r="K1778" s="1" t="inlineStr"/>
      <c r="L1778" s="13" t="n">
        <v>43</v>
      </c>
      <c r="M1778" s="1">
        <f>IF(L1778="","ไม่พบใน SG",IF(ABS(J1778-L1778)&lt;0.005,"ตรงกัน","ไม่ตรง"))</f>
        <v/>
      </c>
      <c r="N1778" s="14">
        <f>IF(L1778="","",ROUND(L1778*'สรุป'!$C$6,-1))</f>
        <v/>
      </c>
      <c r="O1778" s="15" t="n"/>
      <c r="P1778" s="15" t="n"/>
      <c r="Q1778" s="10" t="n"/>
      <c r="R1778" s="10" t="n"/>
      <c r="S1778" s="16" t="inlineStr">
        <is>
          <t>https://mstgolf.co.th/products/gf3020200658</t>
        </is>
      </c>
      <c r="T1778" s="1">
        <f>IF(B1778="ไม้กอล์ฟ",J1778,"")</f>
        <v/>
      </c>
    </row>
    <row r="1779">
      <c r="A1779" s="1" t="n">
        <v>2</v>
      </c>
      <c r="B1779" s="1" t="inlineStr">
        <is>
          <t>ถุงมือ</t>
        </is>
      </c>
      <c r="C1779" s="1" t="inlineStr">
        <is>
          <t>gf3020200660</t>
        </is>
      </c>
      <c r="D1779" s="1" t="inlineStr">
        <is>
          <t>TAYLORMADE Glit All-Weather Women's Gloves (White/Navy)</t>
        </is>
      </c>
      <c r="E1779" s="1" t="inlineStr">
        <is>
          <t>TAYLORMADE</t>
        </is>
      </c>
      <c r="F1779" s="1" t="inlineStr">
        <is>
          <t>ALL WEATHER</t>
        </is>
      </c>
      <c r="G1779" s="1" t="inlineStr">
        <is>
          <t>GF302020066018</t>
        </is>
      </c>
      <c r="H1779" s="1" t="n">
        <v>4</v>
      </c>
      <c r="I1779" s="1" t="inlineStr">
        <is>
          <t>หมด</t>
        </is>
      </c>
      <c r="J1779" s="13" t="n">
        <v>43</v>
      </c>
      <c r="K1779" s="1" t="inlineStr"/>
      <c r="L1779" s="13" t="n">
        <v>43</v>
      </c>
      <c r="M1779" s="1">
        <f>IF(L1779="","ไม่พบใน SG",IF(ABS(J1779-L1779)&lt;0.005,"ตรงกัน","ไม่ตรง"))</f>
        <v/>
      </c>
      <c r="N1779" s="14">
        <f>IF(L1779="","",ROUND(L1779*'สรุป'!$C$6,-1))</f>
        <v/>
      </c>
      <c r="O1779" s="15" t="n"/>
      <c r="P1779" s="15" t="n"/>
      <c r="Q1779" s="10" t="n"/>
      <c r="R1779" s="10" t="n"/>
      <c r="S1779" s="16" t="inlineStr">
        <is>
          <t>https://mstgolf.co.th/products/gf3020200660</t>
        </is>
      </c>
      <c r="T1779" s="1">
        <f>IF(B1779="ไม้กอล์ฟ",J1779,"")</f>
        <v/>
      </c>
    </row>
    <row r="1780">
      <c r="A1780" s="1" t="n">
        <v>2</v>
      </c>
      <c r="B1780" s="1" t="inlineStr">
        <is>
          <t>ถุงมือ</t>
        </is>
      </c>
      <c r="C1780" s="1" t="inlineStr">
        <is>
          <t>gf3020200659</t>
        </is>
      </c>
      <c r="D1780" s="1" t="inlineStr">
        <is>
          <t>TAYLORMADE Glit All-Weather Women's Gloves (White/Pink)</t>
        </is>
      </c>
      <c r="E1780" s="1" t="inlineStr">
        <is>
          <t>TAYLORMADE</t>
        </is>
      </c>
      <c r="F1780" s="1" t="inlineStr">
        <is>
          <t>ALL WEATHER</t>
        </is>
      </c>
      <c r="G1780" s="1" t="inlineStr">
        <is>
          <t>GF302020065918</t>
        </is>
      </c>
      <c r="H1780" s="1" t="n">
        <v>4</v>
      </c>
      <c r="I1780" s="1" t="inlineStr">
        <is>
          <t>หมด</t>
        </is>
      </c>
      <c r="J1780" s="13" t="n">
        <v>43</v>
      </c>
      <c r="K1780" s="1" t="inlineStr"/>
      <c r="L1780" s="13" t="n">
        <v>43</v>
      </c>
      <c r="M1780" s="1">
        <f>IF(L1780="","ไม่พบใน SG",IF(ABS(J1780-L1780)&lt;0.005,"ตรงกัน","ไม่ตรง"))</f>
        <v/>
      </c>
      <c r="N1780" s="14">
        <f>IF(L1780="","",ROUND(L1780*'สรุป'!$C$6,-1))</f>
        <v/>
      </c>
      <c r="O1780" s="15" t="n"/>
      <c r="P1780" s="15" t="n"/>
      <c r="Q1780" s="10" t="n"/>
      <c r="R1780" s="10" t="n"/>
      <c r="S1780" s="16" t="inlineStr">
        <is>
          <t>https://mstgolf.co.th/products/gf3020200659</t>
        </is>
      </c>
      <c r="T1780" s="1">
        <f>IF(B1780="ไม้กอล์ฟ",J1780,"")</f>
        <v/>
      </c>
    </row>
    <row r="1781">
      <c r="A1781" s="1" t="n">
        <v>2</v>
      </c>
      <c r="B1781" s="1" t="inlineStr">
        <is>
          <t>ถุงมือ</t>
        </is>
      </c>
      <c r="C1781" s="1" t="inlineStr">
        <is>
          <t>gf3020200455</t>
        </is>
      </c>
      <c r="D1781" s="1" t="inlineStr">
        <is>
          <t>FOOTJOY GTXtreme Women's All-Weather Pair Gloves (Assorted)</t>
        </is>
      </c>
      <c r="E1781" s="1" t="inlineStr">
        <is>
          <t>FOOTJOY</t>
        </is>
      </c>
      <c r="F1781" s="1" t="inlineStr">
        <is>
          <t>ALL WEATHER</t>
        </is>
      </c>
      <c r="G1781" s="1" t="inlineStr">
        <is>
          <t>GF302020045518</t>
        </is>
      </c>
      <c r="H1781" s="1" t="n">
        <v>5</v>
      </c>
      <c r="I1781" s="1" t="inlineStr">
        <is>
          <t>หมด</t>
        </is>
      </c>
      <c r="J1781" s="13" t="n">
        <v>42</v>
      </c>
      <c r="K1781" s="1" t="inlineStr"/>
      <c r="L1781" s="13" t="n">
        <v>25</v>
      </c>
      <c r="M1781" s="1">
        <f>IF(L1781="","ไม่พบใน SG",IF(ABS(J1781-L1781)&lt;0.005,"ตรงกัน","ไม่ตรง"))</f>
        <v/>
      </c>
      <c r="N1781" s="14">
        <f>IF(L1781="","",ROUND(L1781*'สรุป'!$C$6,-1))</f>
        <v/>
      </c>
      <c r="O1781" s="15" t="n"/>
      <c r="P1781" s="15" t="n"/>
      <c r="Q1781" s="10" t="n"/>
      <c r="R1781" s="10" t="n"/>
      <c r="S1781" s="16" t="inlineStr">
        <is>
          <t>https://mstgolf.co.th/products/gf3020200455</t>
        </is>
      </c>
      <c r="T1781" s="1">
        <f>IF(B1781="ไม้กอล์ฟ",J1781,"")</f>
        <v/>
      </c>
    </row>
    <row r="1782">
      <c r="A1782" s="1" t="n">
        <v>2</v>
      </c>
      <c r="B1782" s="1" t="inlineStr">
        <is>
          <t>ถุงกอล์ฟ</t>
        </is>
      </c>
      <c r="C1782" s="1" t="inlineStr">
        <is>
          <t>gf3010401061</t>
        </is>
      </c>
      <c r="D1782" s="1" t="inlineStr">
        <is>
          <t>ADIDAS Denim Look Heather Round Tote Bag (Black)</t>
        </is>
      </c>
      <c r="E1782" s="1" t="inlineStr">
        <is>
          <t>ADIDAS</t>
        </is>
      </c>
      <c r="F1782" s="1" t="inlineStr">
        <is>
          <t>SMALL BAG</t>
        </is>
      </c>
      <c r="G1782" s="1" t="inlineStr">
        <is>
          <t>GF3010401061</t>
        </is>
      </c>
      <c r="H1782" s="1" t="n">
        <v>1</v>
      </c>
      <c r="I1782" s="1" t="inlineStr">
        <is>
          <t>หมด</t>
        </is>
      </c>
      <c r="J1782" s="13" t="n">
        <v>39</v>
      </c>
      <c r="K1782" s="1" t="inlineStr"/>
      <c r="L1782" s="13" t="n">
        <v>39</v>
      </c>
      <c r="M1782" s="1">
        <f>IF(L1782="","ไม่พบใน SG",IF(ABS(J1782-L1782)&lt;0.005,"ตรงกัน","ไม่ตรง"))</f>
        <v/>
      </c>
      <c r="N1782" s="14">
        <f>IF(L1782="","",ROUND(L1782*'สรุป'!$C$6,-1))</f>
        <v/>
      </c>
      <c r="O1782" s="15" t="n"/>
      <c r="P1782" s="15" t="n"/>
      <c r="Q1782" s="10" t="n"/>
      <c r="R1782" s="10" t="n"/>
      <c r="S1782" s="16" t="inlineStr">
        <is>
          <t>https://mstgolf.co.th/products/gf3010401061</t>
        </is>
      </c>
      <c r="T1782" s="1">
        <f>IF(B1782="ไม้กอล์ฟ",J1782,"")</f>
        <v/>
      </c>
    </row>
    <row r="1783">
      <c r="A1783" s="1" t="n">
        <v>2</v>
      </c>
      <c r="B1783" s="1" t="inlineStr">
        <is>
          <t>ถุงกอล์ฟ</t>
        </is>
      </c>
      <c r="C1783" s="1" t="inlineStr">
        <is>
          <t>gf3010401060</t>
        </is>
      </c>
      <c r="D1783" s="1" t="inlineStr">
        <is>
          <t>ADIDAS Denim Look Heather Round Tote Bag (Navy)</t>
        </is>
      </c>
      <c r="E1783" s="1" t="inlineStr">
        <is>
          <t>ADIDAS</t>
        </is>
      </c>
      <c r="F1783" s="1" t="inlineStr">
        <is>
          <t>SMALL BAG</t>
        </is>
      </c>
      <c r="G1783" s="1" t="inlineStr">
        <is>
          <t>GF3010401060</t>
        </is>
      </c>
      <c r="H1783" s="1" t="n">
        <v>1</v>
      </c>
      <c r="I1783" s="1" t="inlineStr">
        <is>
          <t>หมด</t>
        </is>
      </c>
      <c r="J1783" s="13" t="n">
        <v>39</v>
      </c>
      <c r="K1783" s="1" t="inlineStr"/>
      <c r="L1783" s="13" t="n">
        <v>39</v>
      </c>
      <c r="M1783" s="1">
        <f>IF(L1783="","ไม่พบใน SG",IF(ABS(J1783-L1783)&lt;0.005,"ตรงกัน","ไม่ตรง"))</f>
        <v/>
      </c>
      <c r="N1783" s="14">
        <f>IF(L1783="","",ROUND(L1783*'สรุป'!$C$6,-1))</f>
        <v/>
      </c>
      <c r="O1783" s="15" t="n"/>
      <c r="P1783" s="15" t="n"/>
      <c r="Q1783" s="10" t="n"/>
      <c r="R1783" s="10" t="n"/>
      <c r="S1783" s="16" t="inlineStr">
        <is>
          <t>https://mstgolf.co.th/products/gf3010401060</t>
        </is>
      </c>
      <c r="T1783" s="1">
        <f>IF(B1783="ไม้กอล์ฟ",J1783,"")</f>
        <v/>
      </c>
    </row>
    <row r="1784">
      <c r="A1784" s="1" t="n">
        <v>2</v>
      </c>
      <c r="B1784" s="1" t="inlineStr">
        <is>
          <t>ถุงกอล์ฟ</t>
        </is>
      </c>
      <c r="C1784" s="1" t="inlineStr">
        <is>
          <t>gf3010101252</t>
        </is>
      </c>
      <c r="D1784" s="1" t="inlineStr">
        <is>
          <t>NIKE Brasilia 9.5" Duffle Bag (Silver/Black/Green)</t>
        </is>
      </c>
      <c r="E1784" s="1" t="inlineStr">
        <is>
          <t>NIKE</t>
        </is>
      </c>
      <c r="F1784" s="1" t="inlineStr">
        <is>
          <t>BOSTON/DUFFLE BAG</t>
        </is>
      </c>
      <c r="G1784" s="1" t="inlineStr">
        <is>
          <t>GF3010101252</t>
        </is>
      </c>
      <c r="H1784" s="1" t="n">
        <v>1</v>
      </c>
      <c r="I1784" s="1" t="inlineStr">
        <is>
          <t>หมด</t>
        </is>
      </c>
      <c r="J1784" s="13" t="n">
        <v>39</v>
      </c>
      <c r="K1784" s="1" t="inlineStr"/>
      <c r="L1784" s="13" t="n">
        <v>39</v>
      </c>
      <c r="M1784" s="1">
        <f>IF(L1784="","ไม่พบใน SG",IF(ABS(J1784-L1784)&lt;0.005,"ตรงกัน","ไม่ตรง"))</f>
        <v/>
      </c>
      <c r="N1784" s="14">
        <f>IF(L1784="","",ROUND(L1784*'สรุป'!$C$6,-1))</f>
        <v/>
      </c>
      <c r="O1784" s="15" t="n"/>
      <c r="P1784" s="15" t="n"/>
      <c r="Q1784" s="10" t="n"/>
      <c r="R1784" s="10" t="n"/>
      <c r="S1784" s="16" t="inlineStr">
        <is>
          <t>https://mstgolf.co.th/products/gf3010101252</t>
        </is>
      </c>
      <c r="T1784" s="1">
        <f>IF(B1784="ไม้กอล์ฟ",J1784,"")</f>
        <v/>
      </c>
    </row>
    <row r="1785">
      <c r="A1785" s="1" t="n">
        <v>2</v>
      </c>
      <c r="B1785" s="1" t="inlineStr">
        <is>
          <t>ถุงกอล์ฟ</t>
        </is>
      </c>
      <c r="C1785" s="1" t="inlineStr">
        <is>
          <t>gf3010400810</t>
        </is>
      </c>
      <c r="D1785" s="1" t="inlineStr">
        <is>
          <t>TAYLORMADE Slim Round Tote Bag (Black)</t>
        </is>
      </c>
      <c r="E1785" s="1" t="inlineStr">
        <is>
          <t>TAYLORMADE</t>
        </is>
      </c>
      <c r="F1785" s="1" t="inlineStr">
        <is>
          <t>SMALL BAG</t>
        </is>
      </c>
      <c r="G1785" s="1" t="inlineStr">
        <is>
          <t>GF3010400810</t>
        </is>
      </c>
      <c r="H1785" s="1" t="n">
        <v>1</v>
      </c>
      <c r="I1785" s="1" t="inlineStr">
        <is>
          <t>หมด</t>
        </is>
      </c>
      <c r="J1785" s="13" t="n">
        <v>39</v>
      </c>
      <c r="K1785" s="1" t="inlineStr"/>
      <c r="L1785" s="13" t="n">
        <v>39</v>
      </c>
      <c r="M1785" s="1">
        <f>IF(L1785="","ไม่พบใน SG",IF(ABS(J1785-L1785)&lt;0.005,"ตรงกัน","ไม่ตรง"))</f>
        <v/>
      </c>
      <c r="N1785" s="14">
        <f>IF(L1785="","",ROUND(L1785*'สรุป'!$C$6,-1))</f>
        <v/>
      </c>
      <c r="O1785" s="15" t="n"/>
      <c r="P1785" s="15" t="n"/>
      <c r="Q1785" s="10" t="n"/>
      <c r="R1785" s="10" t="n"/>
      <c r="S1785" s="16" t="inlineStr">
        <is>
          <t>https://mstgolf.co.th/products/gf3010400810</t>
        </is>
      </c>
      <c r="T1785" s="1">
        <f>IF(B1785="ไม้กอล์ฟ",J1785,"")</f>
        <v/>
      </c>
    </row>
    <row r="1786">
      <c r="A1786" s="1" t="n">
        <v>2</v>
      </c>
      <c r="B1786" s="1" t="inlineStr">
        <is>
          <t>ถุงกอล์ฟ</t>
        </is>
      </c>
      <c r="C1786" s="1" t="inlineStr">
        <is>
          <t>gf3010401119</t>
        </is>
      </c>
      <c r="D1786" s="1" t="inlineStr">
        <is>
          <t>TITLEIST Next Gen Valuables Pouch (Eucalyptus)</t>
        </is>
      </c>
      <c r="E1786" s="1" t="inlineStr">
        <is>
          <t>TITLEIST</t>
        </is>
      </c>
      <c r="F1786" s="1" t="inlineStr">
        <is>
          <t>SMALL BAG</t>
        </is>
      </c>
      <c r="G1786" s="1" t="inlineStr">
        <is>
          <t>GF3010401119</t>
        </is>
      </c>
      <c r="H1786" s="1" t="n">
        <v>1</v>
      </c>
      <c r="I1786" s="1" t="inlineStr">
        <is>
          <t>หมด</t>
        </is>
      </c>
      <c r="J1786" s="13" t="n">
        <v>39</v>
      </c>
      <c r="K1786" s="1" t="inlineStr"/>
      <c r="L1786" s="13" t="n">
        <v>39</v>
      </c>
      <c r="M1786" s="1">
        <f>IF(L1786="","ไม่พบใน SG",IF(ABS(J1786-L1786)&lt;0.005,"ตรงกัน","ไม่ตรง"))</f>
        <v/>
      </c>
      <c r="N1786" s="14">
        <f>IF(L1786="","",ROUND(L1786*'สรุป'!$C$6,-1))</f>
        <v/>
      </c>
      <c r="O1786" s="15" t="n"/>
      <c r="P1786" s="15" t="n"/>
      <c r="Q1786" s="10" t="n"/>
      <c r="R1786" s="10" t="n"/>
      <c r="S1786" s="16" t="inlineStr">
        <is>
          <t>https://mstgolf.co.th/products/gf3010401119</t>
        </is>
      </c>
      <c r="T1786" s="1">
        <f>IF(B1786="ไม้กอล์ฟ",J1786,"")</f>
        <v/>
      </c>
    </row>
    <row r="1787">
      <c r="A1787" s="1" t="n">
        <v>2</v>
      </c>
      <c r="B1787" s="1" t="inlineStr">
        <is>
          <t>ถุงกอล์ฟ</t>
        </is>
      </c>
      <c r="C1787" s="1" t="inlineStr">
        <is>
          <t>gf3010200524</t>
        </is>
      </c>
      <c r="D1787" s="1" t="inlineStr">
        <is>
          <t>UNDER ARMOUR Contain Shoe Bag (Black/Gold)</t>
        </is>
      </c>
      <c r="E1787" s="1" t="inlineStr">
        <is>
          <t>UNDER ARMOUR</t>
        </is>
      </c>
      <c r="F1787" s="1" t="inlineStr">
        <is>
          <t>SHOES BAG</t>
        </is>
      </c>
      <c r="G1787" s="1" t="inlineStr">
        <is>
          <t>GF3010200524</t>
        </is>
      </c>
      <c r="H1787" s="1" t="n">
        <v>1</v>
      </c>
      <c r="I1787" s="1" t="inlineStr">
        <is>
          <t>หมด</t>
        </is>
      </c>
      <c r="J1787" s="13" t="n">
        <v>39</v>
      </c>
      <c r="K1787" s="1" t="inlineStr"/>
      <c r="L1787" s="13" t="n">
        <v>39</v>
      </c>
      <c r="M1787" s="1">
        <f>IF(L1787="","ไม่พบใน SG",IF(ABS(J1787-L1787)&lt;0.005,"ตรงกัน","ไม่ตรง"))</f>
        <v/>
      </c>
      <c r="N1787" s="14">
        <f>IF(L1787="","",ROUND(L1787*'สรุป'!$C$6,-1))</f>
        <v/>
      </c>
      <c r="O1787" s="15" t="n"/>
      <c r="P1787" s="15" t="n"/>
      <c r="Q1787" s="10" t="n"/>
      <c r="R1787" s="10" t="n"/>
      <c r="S1787" s="16" t="inlineStr">
        <is>
          <t>https://mstgolf.co.th/products/gf3010200524</t>
        </is>
      </c>
      <c r="T1787" s="1">
        <f>IF(B1787="ไม้กอล์ฟ",J1787,"")</f>
        <v/>
      </c>
    </row>
    <row r="1788">
      <c r="A1788" s="1" t="n">
        <v>2</v>
      </c>
      <c r="B1788" s="1" t="inlineStr">
        <is>
          <t>ถุงกอล์ฟ</t>
        </is>
      </c>
      <c r="C1788" s="1" t="inlineStr">
        <is>
          <t>gf3010400999</t>
        </is>
      </c>
      <c r="D1788" s="1" t="inlineStr">
        <is>
          <t>ADIDAS CodeChaos Tote Bag (Carbon/Lemon)</t>
        </is>
      </c>
      <c r="E1788" s="1" t="inlineStr">
        <is>
          <t>ADIDAS</t>
        </is>
      </c>
      <c r="F1788" s="1" t="inlineStr">
        <is>
          <t>SMALL BAG</t>
        </is>
      </c>
      <c r="G1788" s="1" t="inlineStr">
        <is>
          <t>GF3010400999</t>
        </is>
      </c>
      <c r="H1788" s="1" t="n">
        <v>1</v>
      </c>
      <c r="I1788" s="1" t="inlineStr">
        <is>
          <t>หมด</t>
        </is>
      </c>
      <c r="J1788" s="13" t="n">
        <v>37</v>
      </c>
      <c r="K1788" s="1" t="inlineStr"/>
      <c r="L1788" s="13" t="n">
        <v>37</v>
      </c>
      <c r="M1788" s="1">
        <f>IF(L1788="","ไม่พบใน SG",IF(ABS(J1788-L1788)&lt;0.005,"ตรงกัน","ไม่ตรง"))</f>
        <v/>
      </c>
      <c r="N1788" s="14">
        <f>IF(L1788="","",ROUND(L1788*'สรุป'!$C$6,-1))</f>
        <v/>
      </c>
      <c r="O1788" s="15" t="n"/>
      <c r="P1788" s="15" t="n"/>
      <c r="Q1788" s="10" t="n"/>
      <c r="R1788" s="10" t="n"/>
      <c r="S1788" s="16" t="inlineStr">
        <is>
          <t>https://mstgolf.co.th/products/gf3010400999</t>
        </is>
      </c>
      <c r="T1788" s="1">
        <f>IF(B1788="ไม้กอล์ฟ",J1788,"")</f>
        <v/>
      </c>
    </row>
    <row r="1789">
      <c r="A1789" s="1" t="n">
        <v>2</v>
      </c>
      <c r="B1789" s="1" t="inlineStr">
        <is>
          <t>ถุงกอล์ฟ</t>
        </is>
      </c>
      <c r="C1789" s="1" t="inlineStr">
        <is>
          <t>gf3010401003</t>
        </is>
      </c>
      <c r="D1789" s="1" t="inlineStr">
        <is>
          <t>ADIDAS Monogram Round Tote Bag (White/Green)</t>
        </is>
      </c>
      <c r="E1789" s="1" t="inlineStr">
        <is>
          <t>ADIDAS</t>
        </is>
      </c>
      <c r="F1789" s="1" t="inlineStr">
        <is>
          <t>SMALL BAG</t>
        </is>
      </c>
      <c r="G1789" s="1" t="inlineStr">
        <is>
          <t>GF3010401003</t>
        </is>
      </c>
      <c r="H1789" s="1" t="n">
        <v>1</v>
      </c>
      <c r="I1789" s="1" t="inlineStr">
        <is>
          <t>หมด</t>
        </is>
      </c>
      <c r="J1789" s="13" t="n">
        <v>37</v>
      </c>
      <c r="K1789" s="1" t="inlineStr"/>
      <c r="L1789" s="13" t="n">
        <v>37</v>
      </c>
      <c r="M1789" s="1">
        <f>IF(L1789="","ไม่พบใน SG",IF(ABS(J1789-L1789)&lt;0.005,"ตรงกัน","ไม่ตรง"))</f>
        <v/>
      </c>
      <c r="N1789" s="14">
        <f>IF(L1789="","",ROUND(L1789*'สรุป'!$C$6,-1))</f>
        <v/>
      </c>
      <c r="O1789" s="15" t="n"/>
      <c r="P1789" s="15" t="n"/>
      <c r="Q1789" s="10" t="n"/>
      <c r="R1789" s="10" t="n"/>
      <c r="S1789" s="16" t="inlineStr">
        <is>
          <t>https://mstgolf.co.th/products/gf3010401003</t>
        </is>
      </c>
      <c r="T1789" s="1">
        <f>IF(B1789="ไม้กอล์ฟ",J1789,"")</f>
        <v/>
      </c>
    </row>
    <row r="1790">
      <c r="A1790" s="1" t="n">
        <v>2</v>
      </c>
      <c r="B1790" s="1" t="inlineStr">
        <is>
          <t>ลูกกอล์ฟ</t>
        </is>
      </c>
      <c r="C1790" s="1" t="inlineStr">
        <is>
          <t>gf3200300059</t>
        </is>
      </c>
      <c r="D1790" s="1" t="inlineStr">
        <is>
          <t>TAYLORMADE Soft Response (2022) (Yellow) Golf Ball</t>
        </is>
      </c>
      <c r="E1790" s="1" t="inlineStr">
        <is>
          <t>TAYLORMADE</t>
        </is>
      </c>
      <c r="F1790" s="1" t="inlineStr">
        <is>
          <t>SPIN</t>
        </is>
      </c>
      <c r="G1790" s="1" t="inlineStr">
        <is>
          <t>GF3200300059</t>
        </is>
      </c>
      <c r="H1790" s="1" t="n">
        <v>1</v>
      </c>
      <c r="I1790" s="1" t="inlineStr">
        <is>
          <t>หมด</t>
        </is>
      </c>
      <c r="J1790" s="13" t="n">
        <v>37</v>
      </c>
      <c r="K1790" s="1" t="inlineStr"/>
      <c r="L1790" s="13" t="n">
        <v>37</v>
      </c>
      <c r="M1790" s="1">
        <f>IF(L1790="","ไม่พบใน SG",IF(ABS(J1790-L1790)&lt;0.005,"ตรงกัน","ไม่ตรง"))</f>
        <v/>
      </c>
      <c r="N1790" s="14">
        <f>IF(L1790="","",ROUND(L1790*'สรุป'!$C$6,-1))</f>
        <v/>
      </c>
      <c r="O1790" s="15" t="n"/>
      <c r="P1790" s="15" t="n"/>
      <c r="Q1790" s="10" t="n"/>
      <c r="R1790" s="10" t="n"/>
      <c r="S1790" s="16" t="inlineStr">
        <is>
          <t>https://mstgolf.co.th/products/gf3200300059</t>
        </is>
      </c>
      <c r="T1790" s="1">
        <f>IF(B1790="ไม้กอล์ฟ",J1790,"")</f>
        <v/>
      </c>
    </row>
    <row r="1791">
      <c r="A1791" s="1" t="n">
        <v>2</v>
      </c>
      <c r="B1791" s="1" t="inlineStr">
        <is>
          <t>ลูกกอล์ฟ</t>
        </is>
      </c>
      <c r="C1791" s="1" t="inlineStr">
        <is>
          <t>gf3200200230</t>
        </is>
      </c>
      <c r="D1791" s="1" t="inlineStr">
        <is>
          <t>TITLEIST TruFeel (2024) (Yellow) Golf Ball</t>
        </is>
      </c>
      <c r="E1791" s="1" t="inlineStr">
        <is>
          <t>TITLEIST</t>
        </is>
      </c>
      <c r="F1791" s="1" t="inlineStr">
        <is>
          <t>SOFT</t>
        </is>
      </c>
      <c r="G1791" s="1" t="inlineStr">
        <is>
          <t>GF3200200230</t>
        </is>
      </c>
      <c r="H1791" s="1" t="n">
        <v>1</v>
      </c>
      <c r="I1791" s="1" t="inlineStr">
        <is>
          <t>หมด</t>
        </is>
      </c>
      <c r="J1791" s="13" t="n">
        <v>36</v>
      </c>
      <c r="K1791" s="1" t="inlineStr"/>
      <c r="L1791" s="13" t="n">
        <v>29</v>
      </c>
      <c r="M1791" s="1">
        <f>IF(L1791="","ไม่พบใน SG",IF(ABS(J1791-L1791)&lt;0.005,"ตรงกัน","ไม่ตรง"))</f>
        <v/>
      </c>
      <c r="N1791" s="14">
        <f>IF(L1791="","",ROUND(L1791*'สรุป'!$C$6,-1))</f>
        <v/>
      </c>
      <c r="O1791" s="15" t="n"/>
      <c r="P1791" s="15" t="n"/>
      <c r="Q1791" s="10" t="n"/>
      <c r="R1791" s="10" t="n"/>
      <c r="S1791" s="16" t="inlineStr">
        <is>
          <t>https://mstgolf.co.th/products/gf3200200230</t>
        </is>
      </c>
      <c r="T1791" s="1">
        <f>IF(B1791="ไม้กอล์ฟ",J1791,"")</f>
        <v/>
      </c>
    </row>
    <row r="1792">
      <c r="A1792" s="1" t="n">
        <v>2</v>
      </c>
      <c r="B1792" s="1" t="inlineStr">
        <is>
          <t>ถุงกอล์ฟ</t>
        </is>
      </c>
      <c r="C1792" s="1" t="inlineStr">
        <is>
          <t>gf3010401158</t>
        </is>
      </c>
      <c r="D1792" s="1" t="inlineStr">
        <is>
          <t>ADIDAS Pouch (Black)</t>
        </is>
      </c>
      <c r="E1792" s="1" t="inlineStr">
        <is>
          <t>ADIDAS</t>
        </is>
      </c>
      <c r="F1792" s="1" t="inlineStr">
        <is>
          <t>SMALL BAG</t>
        </is>
      </c>
      <c r="G1792" s="1" t="inlineStr">
        <is>
          <t>GF3010401158</t>
        </is>
      </c>
      <c r="H1792" s="1" t="n">
        <v>1</v>
      </c>
      <c r="I1792" s="1" t="inlineStr">
        <is>
          <t>หมด</t>
        </is>
      </c>
      <c r="J1792" s="13" t="n">
        <v>35</v>
      </c>
      <c r="K1792" s="1" t="inlineStr"/>
      <c r="L1792" s="13" t="n">
        <v>35</v>
      </c>
      <c r="M1792" s="1">
        <f>IF(L1792="","ไม่พบใน SG",IF(ABS(J1792-L1792)&lt;0.005,"ตรงกัน","ไม่ตรง"))</f>
        <v/>
      </c>
      <c r="N1792" s="14">
        <f>IF(L1792="","",ROUND(L1792*'สรุป'!$C$6,-1))</f>
        <v/>
      </c>
      <c r="O1792" s="15" t="n"/>
      <c r="P1792" s="15" t="n"/>
      <c r="Q1792" s="10" t="n"/>
      <c r="R1792" s="10" t="n"/>
      <c r="S1792" s="16" t="inlineStr">
        <is>
          <t>https://mstgolf.co.th/products/gf3010401158</t>
        </is>
      </c>
      <c r="T1792" s="1">
        <f>IF(B1792="ไม้กอล์ฟ",J1792,"")</f>
        <v/>
      </c>
    </row>
    <row r="1793">
      <c r="A1793" s="1" t="n">
        <v>2</v>
      </c>
      <c r="B1793" s="1" t="inlineStr">
        <is>
          <t>ถุงกอล์ฟ</t>
        </is>
      </c>
      <c r="C1793" s="1" t="inlineStr">
        <is>
          <t>gf3010400765</t>
        </is>
      </c>
      <c r="D1793" s="1" t="inlineStr">
        <is>
          <t>CUTTER &amp; BUCK Toiletry Pouch (Black)</t>
        </is>
      </c>
      <c r="E1793" s="1" t="inlineStr">
        <is>
          <t>CUTTER &amp; BUCK</t>
        </is>
      </c>
      <c r="F1793" s="1" t="inlineStr">
        <is>
          <t>SMALL BAG</t>
        </is>
      </c>
      <c r="G1793" s="1" t="inlineStr">
        <is>
          <t>GF3010400765</t>
        </is>
      </c>
      <c r="H1793" s="1" t="n">
        <v>1</v>
      </c>
      <c r="I1793" s="1" t="inlineStr">
        <is>
          <t>หมด</t>
        </is>
      </c>
      <c r="J1793" s="13" t="n">
        <v>35</v>
      </c>
      <c r="K1793" s="1" t="inlineStr"/>
      <c r="L1793" s="13" t="n">
        <v>35</v>
      </c>
      <c r="M1793" s="1">
        <f>IF(L1793="","ไม่พบใน SG",IF(ABS(J1793-L1793)&lt;0.005,"ตรงกัน","ไม่ตรง"))</f>
        <v/>
      </c>
      <c r="N1793" s="14">
        <f>IF(L1793="","",ROUND(L1793*'สรุป'!$C$6,-1))</f>
        <v/>
      </c>
      <c r="O1793" s="15" t="n"/>
      <c r="P1793" s="15" t="n"/>
      <c r="Q1793" s="10" t="n"/>
      <c r="R1793" s="10" t="n"/>
      <c r="S1793" s="16" t="inlineStr">
        <is>
          <t>https://mstgolf.co.th/products/gf3010400765</t>
        </is>
      </c>
      <c r="T1793" s="1">
        <f>IF(B1793="ไม้กอล์ฟ",J1793,"")</f>
        <v/>
      </c>
    </row>
    <row r="1794">
      <c r="A1794" s="1" t="n">
        <v>2</v>
      </c>
      <c r="B1794" s="1" t="inlineStr">
        <is>
          <t>ถุงกอล์ฟ</t>
        </is>
      </c>
      <c r="C1794" s="1" t="inlineStr">
        <is>
          <t>gf3010101219</t>
        </is>
      </c>
      <c r="D1794" s="1" t="inlineStr">
        <is>
          <t>CUTTER &amp; BUCK Traveller Duffle Bag (Navy)</t>
        </is>
      </c>
      <c r="E1794" s="1" t="inlineStr">
        <is>
          <t>CUTTER &amp; BUCK</t>
        </is>
      </c>
      <c r="F1794" s="1" t="inlineStr">
        <is>
          <t>BOSTON/DUFFLE BAG</t>
        </is>
      </c>
      <c r="G1794" s="1" t="inlineStr">
        <is>
          <t>GF3010101219</t>
        </is>
      </c>
      <c r="H1794" s="1" t="n">
        <v>1</v>
      </c>
      <c r="I1794" s="1" t="inlineStr">
        <is>
          <t>หมด</t>
        </is>
      </c>
      <c r="J1794" s="13" t="n">
        <v>35</v>
      </c>
      <c r="K1794" s="1" t="inlineStr"/>
      <c r="L1794" s="13" t="n">
        <v>35</v>
      </c>
      <c r="M1794" s="1">
        <f>IF(L1794="","ไม่พบใน SG",IF(ABS(J1794-L1794)&lt;0.005,"ตรงกัน","ไม่ตรง"))</f>
        <v/>
      </c>
      <c r="N1794" s="14">
        <f>IF(L1794="","",ROUND(L1794*'สรุป'!$C$6,-1))</f>
        <v/>
      </c>
      <c r="O1794" s="15" t="n"/>
      <c r="P1794" s="15" t="n"/>
      <c r="Q1794" s="10" t="n"/>
      <c r="R1794" s="10" t="n"/>
      <c r="S1794" s="16" t="inlineStr">
        <is>
          <t>https://mstgolf.co.th/products/gf3010101219</t>
        </is>
      </c>
      <c r="T1794" s="1">
        <f>IF(B1794="ไม้กอล์ฟ",J1794,"")</f>
        <v/>
      </c>
    </row>
    <row r="1795">
      <c r="A1795" s="1" t="n">
        <v>2</v>
      </c>
      <c r="B1795" s="1" t="inlineStr">
        <is>
          <t>ถุงมือ</t>
        </is>
      </c>
      <c r="C1795" s="1" t="inlineStr">
        <is>
          <t>gf3020100163</t>
        </is>
      </c>
      <c r="D1795" s="1" t="inlineStr">
        <is>
          <t>GFORE Collection Men's Leather Glove (Clover)</t>
        </is>
      </c>
      <c r="E1795" s="1" t="inlineStr">
        <is>
          <t>GFORE</t>
        </is>
      </c>
      <c r="F1795" s="1" t="inlineStr">
        <is>
          <t>LEATHER</t>
        </is>
      </c>
      <c r="G1795" s="1" t="inlineStr">
        <is>
          <t>GF3020100163S</t>
        </is>
      </c>
      <c r="H1795" s="1" t="n">
        <v>5</v>
      </c>
      <c r="I1795" s="1" t="inlineStr">
        <is>
          <t>หมด</t>
        </is>
      </c>
      <c r="J1795" s="13" t="n">
        <v>35</v>
      </c>
      <c r="K1795" s="1" t="inlineStr"/>
      <c r="L1795" s="13" t="n">
        <v>35</v>
      </c>
      <c r="M1795" s="1">
        <f>IF(L1795="","ไม่พบใน SG",IF(ABS(J1795-L1795)&lt;0.005,"ตรงกัน","ไม่ตรง"))</f>
        <v/>
      </c>
      <c r="N1795" s="14">
        <f>IF(L1795="","",ROUND(L1795*'สรุป'!$C$6,-1))</f>
        <v/>
      </c>
      <c r="O1795" s="15" t="n"/>
      <c r="P1795" s="15" t="n"/>
      <c r="Q1795" s="10" t="n"/>
      <c r="R1795" s="10" t="n"/>
      <c r="S1795" s="16" t="inlineStr">
        <is>
          <t>https://mstgolf.co.th/products/gf3020100163</t>
        </is>
      </c>
      <c r="T1795" s="1">
        <f>IF(B1795="ไม้กอล์ฟ",J1795,"")</f>
        <v/>
      </c>
    </row>
    <row r="1796">
      <c r="A1796" s="1" t="n">
        <v>2</v>
      </c>
      <c r="B1796" s="1" t="inlineStr">
        <is>
          <t>อุปกรณ์ฝึกซ้อม</t>
        </is>
      </c>
      <c r="C1796" s="1" t="inlineStr">
        <is>
          <t>gf3040100116</t>
        </is>
      </c>
      <c r="D1796" s="1" t="inlineStr">
        <is>
          <t>SKLZ Hinge Trainer</t>
        </is>
      </c>
      <c r="E1796" s="1" t="inlineStr">
        <is>
          <t>SKLZ</t>
        </is>
      </c>
      <c r="F1796" s="1" t="inlineStr">
        <is>
          <t>SWING</t>
        </is>
      </c>
      <c r="G1796" s="1" t="inlineStr">
        <is>
          <t>GF3040100116</t>
        </is>
      </c>
      <c r="H1796" s="1" t="n">
        <v>1</v>
      </c>
      <c r="I1796" s="1" t="inlineStr">
        <is>
          <t>หมด</t>
        </is>
      </c>
      <c r="J1796" s="13" t="n">
        <v>35</v>
      </c>
      <c r="K1796" s="1" t="inlineStr"/>
      <c r="L1796" s="13" t="n">
        <v>35</v>
      </c>
      <c r="M1796" s="1">
        <f>IF(L1796="","ไม่พบใน SG",IF(ABS(J1796-L1796)&lt;0.005,"ตรงกัน","ไม่ตรง"))</f>
        <v/>
      </c>
      <c r="N1796" s="14">
        <f>IF(L1796="","",ROUND(L1796*'สรุป'!$C$6,-1))</f>
        <v/>
      </c>
      <c r="O1796" s="15" t="n"/>
      <c r="P1796" s="15" t="n"/>
      <c r="Q1796" s="10" t="n"/>
      <c r="R1796" s="10" t="n"/>
      <c r="S1796" s="16" t="inlineStr">
        <is>
          <t>https://mstgolf.co.th/products/gf3040100116</t>
        </is>
      </c>
      <c r="T1796" s="1">
        <f>IF(B1796="ไม้กอล์ฟ",J1796,"")</f>
        <v/>
      </c>
    </row>
    <row r="1797">
      <c r="A1797" s="1" t="n">
        <v>2</v>
      </c>
      <c r="B1797" s="1" t="inlineStr">
        <is>
          <t>ถุงกอล์ฟ</t>
        </is>
      </c>
      <c r="C1797" s="1" t="inlineStr">
        <is>
          <t>gf3010400806</t>
        </is>
      </c>
      <c r="D1797" s="1" t="inlineStr">
        <is>
          <t>TAYLORMADE Sport Modern Pouch (Black)</t>
        </is>
      </c>
      <c r="E1797" s="1" t="inlineStr">
        <is>
          <t>TAYLORMADE</t>
        </is>
      </c>
      <c r="F1797" s="1" t="inlineStr">
        <is>
          <t>SMALL BAG</t>
        </is>
      </c>
      <c r="G1797" s="1" t="inlineStr">
        <is>
          <t>GF3010400806</t>
        </is>
      </c>
      <c r="H1797" s="1" t="n">
        <v>1</v>
      </c>
      <c r="I1797" s="1" t="inlineStr">
        <is>
          <t>หมด</t>
        </is>
      </c>
      <c r="J1797" s="13" t="n">
        <v>35</v>
      </c>
      <c r="K1797" s="1" t="inlineStr"/>
      <c r="L1797" s="13" t="n">
        <v>35</v>
      </c>
      <c r="M1797" s="1">
        <f>IF(L1797="","ไม่พบใน SG",IF(ABS(J1797-L1797)&lt;0.005,"ตรงกัน","ไม่ตรง"))</f>
        <v/>
      </c>
      <c r="N1797" s="14">
        <f>IF(L1797="","",ROUND(L1797*'สรุป'!$C$6,-1))</f>
        <v/>
      </c>
      <c r="O1797" s="15" t="n"/>
      <c r="P1797" s="15" t="n"/>
      <c r="Q1797" s="10" t="n"/>
      <c r="R1797" s="10" t="n"/>
      <c r="S1797" s="16" t="inlineStr">
        <is>
          <t>https://mstgolf.co.th/products/gf3010400806</t>
        </is>
      </c>
      <c r="T1797" s="1">
        <f>IF(B1797="ไม้กอล์ฟ",J1797,"")</f>
        <v/>
      </c>
    </row>
    <row r="1798">
      <c r="A1798" s="1" t="n">
        <v>2</v>
      </c>
      <c r="B1798" s="1" t="inlineStr">
        <is>
          <t>ถุงกอล์ฟ</t>
        </is>
      </c>
      <c r="C1798" s="1" t="inlineStr">
        <is>
          <t>gf3010200544</t>
        </is>
      </c>
      <c r="D1798" s="1" t="inlineStr">
        <is>
          <t>TAYLORMADE TM24 True-Lite Shoe Bag (Black)</t>
        </is>
      </c>
      <c r="E1798" s="1" t="inlineStr">
        <is>
          <t>TAYLORMADE</t>
        </is>
      </c>
      <c r="F1798" s="1" t="inlineStr">
        <is>
          <t>SHOES BAG</t>
        </is>
      </c>
      <c r="G1798" s="1" t="inlineStr">
        <is>
          <t>GF3010200544</t>
        </is>
      </c>
      <c r="H1798" s="1" t="n">
        <v>1</v>
      </c>
      <c r="I1798" s="1" t="inlineStr">
        <is>
          <t>หมด</t>
        </is>
      </c>
      <c r="J1798" s="13" t="n">
        <v>35</v>
      </c>
      <c r="K1798" s="1" t="inlineStr"/>
      <c r="L1798" s="13" t="n"/>
      <c r="M1798" s="1">
        <f>IF(L1798="","ไม่พบใน SG",IF(ABS(J1798-L1798)&lt;0.005,"ตรงกัน","ไม่ตรง"))</f>
        <v/>
      </c>
      <c r="N1798" s="14">
        <f>IF(L1798="","",ROUND(L1798*'สรุป'!$C$6,-1))</f>
        <v/>
      </c>
      <c r="O1798" s="15" t="n"/>
      <c r="P1798" s="15" t="n"/>
      <c r="Q1798" s="10" t="n"/>
      <c r="R1798" s="10" t="n"/>
      <c r="S1798" s="16" t="inlineStr">
        <is>
          <t>https://mstgolf.co.th/products/gf3010200544</t>
        </is>
      </c>
      <c r="T1798" s="1">
        <f>IF(B1798="ไม้กอล์ฟ",J1798,"")</f>
        <v/>
      </c>
    </row>
    <row r="1799">
      <c r="A1799" s="1" t="n">
        <v>2</v>
      </c>
      <c r="B1799" s="1" t="inlineStr">
        <is>
          <t>ถุงกอล์ฟ</t>
        </is>
      </c>
      <c r="C1799" s="1" t="inlineStr">
        <is>
          <t>gf3010200664</t>
        </is>
      </c>
      <c r="D1799" s="1" t="inlineStr">
        <is>
          <t>TAYLORMADE TM24 True-Lite Shoe Bag (White/Black)</t>
        </is>
      </c>
      <c r="E1799" s="1" t="inlineStr">
        <is>
          <t>TAYLORMADE</t>
        </is>
      </c>
      <c r="F1799" s="1" t="inlineStr">
        <is>
          <t>SHOES BAG</t>
        </is>
      </c>
      <c r="G1799" s="1" t="inlineStr">
        <is>
          <t>GF3010200664</t>
        </is>
      </c>
      <c r="H1799" s="1" t="n">
        <v>1</v>
      </c>
      <c r="I1799" s="1" t="inlineStr">
        <is>
          <t>หมด</t>
        </is>
      </c>
      <c r="J1799" s="13" t="n">
        <v>35</v>
      </c>
      <c r="K1799" s="1" t="inlineStr"/>
      <c r="L1799" s="13" t="n">
        <v>35</v>
      </c>
      <c r="M1799" s="1">
        <f>IF(L1799="","ไม่พบใน SG",IF(ABS(J1799-L1799)&lt;0.005,"ตรงกัน","ไม่ตรง"))</f>
        <v/>
      </c>
      <c r="N1799" s="14">
        <f>IF(L1799="","",ROUND(L1799*'สรุป'!$C$6,-1))</f>
        <v/>
      </c>
      <c r="O1799" s="15" t="n"/>
      <c r="P1799" s="15" t="n"/>
      <c r="Q1799" s="10" t="n"/>
      <c r="R1799" s="10" t="n"/>
      <c r="S1799" s="16" t="inlineStr">
        <is>
          <t>https://mstgolf.co.th/products/gf3010200664</t>
        </is>
      </c>
      <c r="T1799" s="1">
        <f>IF(B1799="ไม้กอล์ฟ",J1799,"")</f>
        <v/>
      </c>
    </row>
    <row r="1800">
      <c r="A1800" s="1" t="n">
        <v>2</v>
      </c>
      <c r="B1800" s="1" t="inlineStr">
        <is>
          <t>ลูกกอล์ฟ</t>
        </is>
      </c>
      <c r="C1800" s="1" t="inlineStr">
        <is>
          <t>gf3200200171</t>
        </is>
      </c>
      <c r="D1800" s="1" t="inlineStr">
        <is>
          <t>TAYLORMADE Distance + Soft (2020) (Yellow) Golf Ball</t>
        </is>
      </c>
      <c r="E1800" s="1" t="inlineStr">
        <is>
          <t>TAYLORMADE</t>
        </is>
      </c>
      <c r="F1800" s="1" t="inlineStr">
        <is>
          <t>SOFT</t>
        </is>
      </c>
      <c r="G1800" s="1" t="inlineStr">
        <is>
          <t>GF3200200171</t>
        </is>
      </c>
      <c r="H1800" s="1" t="n">
        <v>1</v>
      </c>
      <c r="I1800" s="1" t="inlineStr">
        <is>
          <t>หมด</t>
        </is>
      </c>
      <c r="J1800" s="13" t="n">
        <v>33</v>
      </c>
      <c r="K1800" s="1" t="inlineStr"/>
      <c r="L1800" s="13" t="n">
        <v>33</v>
      </c>
      <c r="M1800" s="1">
        <f>IF(L1800="","ไม่พบใน SG",IF(ABS(J1800-L1800)&lt;0.005,"ตรงกัน","ไม่ตรง"))</f>
        <v/>
      </c>
      <c r="N1800" s="14">
        <f>IF(L1800="","",ROUND(L1800*'สรุป'!$C$6,-1))</f>
        <v/>
      </c>
      <c r="O1800" s="15" t="n"/>
      <c r="P1800" s="15" t="n"/>
      <c r="Q1800" s="10" t="n"/>
      <c r="R1800" s="10" t="n"/>
      <c r="S1800" s="16" t="inlineStr">
        <is>
          <t>https://mstgolf.co.th/products/gf3200200171</t>
        </is>
      </c>
      <c r="T1800" s="1">
        <f>IF(B1800="ไม้กอล์ฟ",J1800,"")</f>
        <v/>
      </c>
    </row>
    <row r="1801">
      <c r="A1801" s="1" t="n">
        <v>2</v>
      </c>
      <c r="B1801" s="1" t="inlineStr">
        <is>
          <t>ถุงมือ</t>
        </is>
      </c>
      <c r="C1801" s="1" t="inlineStr">
        <is>
          <t>gf3020100147</t>
        </is>
      </c>
      <c r="D1801" s="1" t="inlineStr">
        <is>
          <t>TAYLORMADE TP ASIA LEATHER GLOVE</t>
        </is>
      </c>
      <c r="E1801" s="1" t="inlineStr">
        <is>
          <t>TAYLORMADE</t>
        </is>
      </c>
      <c r="F1801" s="1" t="inlineStr">
        <is>
          <t>LEATHER</t>
        </is>
      </c>
      <c r="G1801" s="1" t="inlineStr">
        <is>
          <t>GF302010014722</t>
        </is>
      </c>
      <c r="H1801" s="1" t="n">
        <v>5</v>
      </c>
      <c r="I1801" s="1" t="inlineStr">
        <is>
          <t>หมด</t>
        </is>
      </c>
      <c r="J1801" s="13" t="n">
        <v>33</v>
      </c>
      <c r="K1801" s="1" t="inlineStr"/>
      <c r="L1801" s="13" t="n"/>
      <c r="M1801" s="1">
        <f>IF(L1801="","ไม่พบใน SG",IF(ABS(J1801-L1801)&lt;0.005,"ตรงกัน","ไม่ตรง"))</f>
        <v/>
      </c>
      <c r="N1801" s="14">
        <f>IF(L1801="","",ROUND(L1801*'สรุป'!$C$6,-1))</f>
        <v/>
      </c>
      <c r="O1801" s="15" t="n"/>
      <c r="P1801" s="15" t="n"/>
      <c r="Q1801" s="10" t="n"/>
      <c r="R1801" s="10" t="n"/>
      <c r="S1801" s="16" t="inlineStr">
        <is>
          <t>https://mstgolf.co.th/products/gf3020100147</t>
        </is>
      </c>
      <c r="T1801" s="1">
        <f>IF(B1801="ไม้กอล์ฟ",J1801,"")</f>
        <v/>
      </c>
    </row>
    <row r="1802">
      <c r="A1802" s="1" t="n">
        <v>2</v>
      </c>
      <c r="B1802" s="1" t="inlineStr">
        <is>
          <t>ถุงกอล์ฟ</t>
        </is>
      </c>
      <c r="C1802" s="1" t="inlineStr">
        <is>
          <t>gf3010300344</t>
        </is>
      </c>
      <c r="D1802" s="1" t="inlineStr">
        <is>
          <t>UNDER ARMOUR Loudon Backpack (Black/White)</t>
        </is>
      </c>
      <c r="E1802" s="1" t="inlineStr">
        <is>
          <t>UNDER ARMOUR</t>
        </is>
      </c>
      <c r="F1802" s="1" t="inlineStr">
        <is>
          <t>BACKPACK/RUCKSACK</t>
        </is>
      </c>
      <c r="G1802" s="1" t="inlineStr">
        <is>
          <t>GF3010300344</t>
        </is>
      </c>
      <c r="H1802" s="1" t="n">
        <v>1</v>
      </c>
      <c r="I1802" s="1" t="inlineStr">
        <is>
          <t>หมด</t>
        </is>
      </c>
      <c r="J1802" s="13" t="n">
        <v>33</v>
      </c>
      <c r="K1802" s="1" t="inlineStr"/>
      <c r="L1802" s="13" t="n">
        <v>33</v>
      </c>
      <c r="M1802" s="1">
        <f>IF(L1802="","ไม่พบใน SG",IF(ABS(J1802-L1802)&lt;0.005,"ตรงกัน","ไม่ตรง"))</f>
        <v/>
      </c>
      <c r="N1802" s="14">
        <f>IF(L1802="","",ROUND(L1802*'สรุป'!$C$6,-1))</f>
        <v/>
      </c>
      <c r="O1802" s="15" t="n"/>
      <c r="P1802" s="15" t="n"/>
      <c r="Q1802" s="10" t="n"/>
      <c r="R1802" s="10" t="n"/>
      <c r="S1802" s="16" t="inlineStr">
        <is>
          <t>https://mstgolf.co.th/products/gf3010300344</t>
        </is>
      </c>
      <c r="T1802" s="1">
        <f>IF(B1802="ไม้กอล์ฟ",J1802,"")</f>
        <v/>
      </c>
    </row>
    <row r="1803">
      <c r="A1803" s="1" t="n">
        <v>2</v>
      </c>
      <c r="B1803" s="1" t="inlineStr">
        <is>
          <t>ถุงมือ</t>
        </is>
      </c>
      <c r="C1803" s="1" t="inlineStr">
        <is>
          <t>gf3020200719</t>
        </is>
      </c>
      <c r="D1803" s="1" t="inlineStr">
        <is>
          <t>TAYLORMADE Player's All Weather Women's Glove (White/Silver)</t>
        </is>
      </c>
      <c r="E1803" s="1" t="inlineStr">
        <is>
          <t>TAYLORMADE</t>
        </is>
      </c>
      <c r="F1803" s="1" t="inlineStr">
        <is>
          <t>ALL WEATHER</t>
        </is>
      </c>
      <c r="G1803" s="1" t="inlineStr">
        <is>
          <t>GF302020071918</t>
        </is>
      </c>
      <c r="H1803" s="1" t="n">
        <v>8</v>
      </c>
      <c r="I1803" s="1" t="inlineStr">
        <is>
          <t>หมด</t>
        </is>
      </c>
      <c r="J1803" s="13" t="n">
        <v>32</v>
      </c>
      <c r="K1803" s="1" t="inlineStr"/>
      <c r="L1803" s="13" t="n"/>
      <c r="M1803" s="1">
        <f>IF(L1803="","ไม่พบใน SG",IF(ABS(J1803-L1803)&lt;0.005,"ตรงกัน","ไม่ตรง"))</f>
        <v/>
      </c>
      <c r="N1803" s="14">
        <f>IF(L1803="","",ROUND(L1803*'สรุป'!$C$6,-1))</f>
        <v/>
      </c>
      <c r="O1803" s="15" t="n"/>
      <c r="P1803" s="15" t="n"/>
      <c r="Q1803" s="10" t="n"/>
      <c r="R1803" s="10" t="n"/>
      <c r="S1803" s="16" t="inlineStr">
        <is>
          <t>https://mstgolf.co.th/products/gf3020200719</t>
        </is>
      </c>
      <c r="T1803" s="1">
        <f>IF(B1803="ไม้กอล์ฟ",J1803,"")</f>
        <v/>
      </c>
    </row>
    <row r="1804">
      <c r="A1804" s="1" t="n">
        <v>2</v>
      </c>
      <c r="B1804" s="1" t="inlineStr">
        <is>
          <t>อุปกรณ์ฝึกซ้อม</t>
        </is>
      </c>
      <c r="C1804" s="1" t="inlineStr">
        <is>
          <t>gf3040100099</t>
        </is>
      </c>
      <c r="D1804" s="1" t="inlineStr">
        <is>
          <t>GENERAL ITEM Grip It Rite - Junior</t>
        </is>
      </c>
      <c r="E1804" s="1" t="inlineStr">
        <is>
          <t>GENERAL ITEM</t>
        </is>
      </c>
      <c r="F1804" s="1" t="inlineStr">
        <is>
          <t>SWING</t>
        </is>
      </c>
      <c r="G1804" s="1" t="inlineStr">
        <is>
          <t>GF3040100099</t>
        </is>
      </c>
      <c r="H1804" s="1" t="n">
        <v>1</v>
      </c>
      <c r="I1804" s="1" t="inlineStr">
        <is>
          <t>หมด</t>
        </is>
      </c>
      <c r="J1804" s="13" t="n">
        <v>29</v>
      </c>
      <c r="K1804" s="1" t="inlineStr"/>
      <c r="L1804" s="13" t="n">
        <v>29</v>
      </c>
      <c r="M1804" s="1">
        <f>IF(L1804="","ไม่พบใน SG",IF(ABS(J1804-L1804)&lt;0.005,"ตรงกัน","ไม่ตรง"))</f>
        <v/>
      </c>
      <c r="N1804" s="14">
        <f>IF(L1804="","",ROUND(L1804*'สรุป'!$C$6,-1))</f>
        <v/>
      </c>
      <c r="O1804" s="15" t="n"/>
      <c r="P1804" s="15" t="n"/>
      <c r="Q1804" s="10" t="n"/>
      <c r="R1804" s="10" t="n"/>
      <c r="S1804" s="16" t="inlineStr">
        <is>
          <t>https://mstgolf.co.th/products/gf3040100099</t>
        </is>
      </c>
      <c r="T1804" s="1">
        <f>IF(B1804="ไม้กอล์ฟ",J1804,"")</f>
        <v/>
      </c>
    </row>
    <row r="1805">
      <c r="A1805" s="1" t="n">
        <v>2</v>
      </c>
      <c r="B1805" s="1" t="inlineStr">
        <is>
          <t>อุปกรณ์ฝึกซ้อม</t>
        </is>
      </c>
      <c r="C1805" s="1" t="inlineStr">
        <is>
          <t>gf3500300404</t>
        </is>
      </c>
      <c r="D1805" s="1" t="inlineStr">
        <is>
          <t>GENERAL ITEM Paragon Swing Fan Warm Up Trainer (Yellow)</t>
        </is>
      </c>
      <c r="E1805" s="1" t="inlineStr">
        <is>
          <t>GENERAL ITEM</t>
        </is>
      </c>
      <c r="F1805" s="1" t="inlineStr">
        <is>
          <t>SWING</t>
        </is>
      </c>
      <c r="G1805" s="1" t="inlineStr">
        <is>
          <t>GF3500300404</t>
        </is>
      </c>
      <c r="H1805" s="1" t="n">
        <v>1</v>
      </c>
      <c r="I1805" s="1" t="inlineStr">
        <is>
          <t>หมด</t>
        </is>
      </c>
      <c r="J1805" s="13" t="n">
        <v>29</v>
      </c>
      <c r="K1805" s="1" t="inlineStr"/>
      <c r="L1805" s="13" t="n">
        <v>29</v>
      </c>
      <c r="M1805" s="1">
        <f>IF(L1805="","ไม่พบใน SG",IF(ABS(J1805-L1805)&lt;0.005,"ตรงกัน","ไม่ตรง"))</f>
        <v/>
      </c>
      <c r="N1805" s="14">
        <f>IF(L1805="","",ROUND(L1805*'สรุป'!$C$6,-1))</f>
        <v/>
      </c>
      <c r="O1805" s="15" t="n"/>
      <c r="P1805" s="15" t="n"/>
      <c r="Q1805" s="10" t="n"/>
      <c r="R1805" s="10" t="n"/>
      <c r="S1805" s="16" t="inlineStr">
        <is>
          <t>https://mstgolf.co.th/products/gf3500300404</t>
        </is>
      </c>
      <c r="T1805" s="1">
        <f>IF(B1805="ไม้กอล์ฟ",J1805,"")</f>
        <v/>
      </c>
    </row>
    <row r="1806">
      <c r="A1806" s="1" t="n">
        <v>2</v>
      </c>
      <c r="B1806" s="1" t="inlineStr">
        <is>
          <t>ถุงกอล์ฟ</t>
        </is>
      </c>
      <c r="C1806" s="1" t="inlineStr">
        <is>
          <t>gf3010200440</t>
        </is>
      </c>
      <c r="D1806" s="1" t="inlineStr">
        <is>
          <t>NIKE Brasilia 9.5 Shoe Bag (Black/Black/White)</t>
        </is>
      </c>
      <c r="E1806" s="1" t="inlineStr">
        <is>
          <t>NIKE</t>
        </is>
      </c>
      <c r="F1806" s="1" t="inlineStr">
        <is>
          <t>SHOES BAG</t>
        </is>
      </c>
      <c r="G1806" s="1" t="inlineStr">
        <is>
          <t>GF3010200440</t>
        </is>
      </c>
      <c r="H1806" s="1" t="n">
        <v>1</v>
      </c>
      <c r="I1806" s="1" t="inlineStr">
        <is>
          <t>หมด</t>
        </is>
      </c>
      <c r="J1806" s="13" t="n">
        <v>29</v>
      </c>
      <c r="K1806" s="1" t="inlineStr"/>
      <c r="L1806" s="13" t="n">
        <v>29</v>
      </c>
      <c r="M1806" s="1">
        <f>IF(L1806="","ไม่พบใน SG",IF(ABS(J1806-L1806)&lt;0.005,"ตรงกัน","ไม่ตรง"))</f>
        <v/>
      </c>
      <c r="N1806" s="14">
        <f>IF(L1806="","",ROUND(L1806*'สรุป'!$C$6,-1))</f>
        <v/>
      </c>
      <c r="O1806" s="15" t="n"/>
      <c r="P1806" s="15" t="n"/>
      <c r="Q1806" s="10" t="n"/>
      <c r="R1806" s="10" t="n"/>
      <c r="S1806" s="16" t="inlineStr">
        <is>
          <t>https://mstgolf.co.th/products/gf3010200440</t>
        </is>
      </c>
      <c r="T1806" s="1">
        <f>IF(B1806="ไม้กอล์ฟ",J1806,"")</f>
        <v/>
      </c>
    </row>
    <row r="1807">
      <c r="A1807" s="1" t="n">
        <v>2</v>
      </c>
      <c r="B1807" s="1" t="inlineStr">
        <is>
          <t>ถุงกอล์ฟ</t>
        </is>
      </c>
      <c r="C1807" s="1" t="inlineStr">
        <is>
          <t>gf3010200613</t>
        </is>
      </c>
      <c r="D1807" s="1" t="inlineStr">
        <is>
          <t>UNDER ARMOUR Contain Shoe Bag (Green/Green/White)</t>
        </is>
      </c>
      <c r="E1807" s="1" t="inlineStr">
        <is>
          <t>UNDER ARMOUR</t>
        </is>
      </c>
      <c r="F1807" s="1" t="inlineStr">
        <is>
          <t>SHOES BAG</t>
        </is>
      </c>
      <c r="G1807" s="1" t="inlineStr">
        <is>
          <t>GF3010200613</t>
        </is>
      </c>
      <c r="H1807" s="1" t="n">
        <v>1</v>
      </c>
      <c r="I1807" s="1" t="inlineStr">
        <is>
          <t>หมด</t>
        </is>
      </c>
      <c r="J1807" s="13" t="n">
        <v>29</v>
      </c>
      <c r="K1807" s="1" t="inlineStr"/>
      <c r="L1807" s="13" t="n"/>
      <c r="M1807" s="1">
        <f>IF(L1807="","ไม่พบใน SG",IF(ABS(J1807-L1807)&lt;0.005,"ตรงกัน","ไม่ตรง"))</f>
        <v/>
      </c>
      <c r="N1807" s="14">
        <f>IF(L1807="","",ROUND(L1807*'สรุป'!$C$6,-1))</f>
        <v/>
      </c>
      <c r="O1807" s="15" t="n"/>
      <c r="P1807" s="15" t="n"/>
      <c r="Q1807" s="10" t="n"/>
      <c r="R1807" s="10" t="n"/>
      <c r="S1807" s="16" t="inlineStr">
        <is>
          <t>https://mstgolf.co.th/products/gf3010200613</t>
        </is>
      </c>
      <c r="T1807" s="1">
        <f>IF(B1807="ไม้กอล์ฟ",J1807,"")</f>
        <v/>
      </c>
    </row>
    <row r="1808">
      <c r="A1808" s="1" t="n">
        <v>2</v>
      </c>
      <c r="B1808" s="1" t="inlineStr">
        <is>
          <t>ถุงกอล์ฟ</t>
        </is>
      </c>
      <c r="C1808" s="1" t="inlineStr">
        <is>
          <t>gf3010200614</t>
        </is>
      </c>
      <c r="D1808" s="1" t="inlineStr">
        <is>
          <t>UNDER ARMOUR Contain Shoe Bag (Royal/Green/Sunspark)</t>
        </is>
      </c>
      <c r="E1808" s="1" t="inlineStr">
        <is>
          <t>UNDER ARMOUR</t>
        </is>
      </c>
      <c r="F1808" s="1" t="inlineStr">
        <is>
          <t>SHOES BAG</t>
        </is>
      </c>
      <c r="G1808" s="1" t="inlineStr">
        <is>
          <t>GF3010200614</t>
        </is>
      </c>
      <c r="H1808" s="1" t="n">
        <v>1</v>
      </c>
      <c r="I1808" s="1" t="inlineStr">
        <is>
          <t>หมด</t>
        </is>
      </c>
      <c r="J1808" s="13" t="n">
        <v>29</v>
      </c>
      <c r="K1808" s="1" t="inlineStr"/>
      <c r="L1808" s="13" t="n"/>
      <c r="M1808" s="1">
        <f>IF(L1808="","ไม่พบใน SG",IF(ABS(J1808-L1808)&lt;0.005,"ตรงกัน","ไม่ตรง"))</f>
        <v/>
      </c>
      <c r="N1808" s="14">
        <f>IF(L1808="","",ROUND(L1808*'สรุป'!$C$6,-1))</f>
        <v/>
      </c>
      <c r="O1808" s="15" t="n"/>
      <c r="P1808" s="15" t="n"/>
      <c r="Q1808" s="10" t="n"/>
      <c r="R1808" s="10" t="n"/>
      <c r="S1808" s="16" t="inlineStr">
        <is>
          <t>https://mstgolf.co.th/products/gf3010200614</t>
        </is>
      </c>
      <c r="T1808" s="1">
        <f>IF(B1808="ไม้กอล์ฟ",J1808,"")</f>
        <v/>
      </c>
    </row>
    <row r="1809">
      <c r="A1809" s="1" t="n">
        <v>2</v>
      </c>
      <c r="B1809" s="1" t="inlineStr">
        <is>
          <t>ลูกกอล์ฟ</t>
        </is>
      </c>
      <c r="C1809" s="1" t="inlineStr">
        <is>
          <t>gf3200200190</t>
        </is>
      </c>
      <c r="D1809" s="1" t="inlineStr">
        <is>
          <t>WILSON Duo Soft (2023) Golf Ball</t>
        </is>
      </c>
      <c r="E1809" s="1" t="inlineStr">
        <is>
          <t>WILSON</t>
        </is>
      </c>
      <c r="F1809" s="1" t="inlineStr">
        <is>
          <t>SOFT</t>
        </is>
      </c>
      <c r="G1809" s="1" t="inlineStr">
        <is>
          <t>GF3200200190</t>
        </is>
      </c>
      <c r="H1809" s="1" t="n">
        <v>1</v>
      </c>
      <c r="I1809" s="1" t="inlineStr">
        <is>
          <t>หมด</t>
        </is>
      </c>
      <c r="J1809" s="13" t="n">
        <v>29</v>
      </c>
      <c r="K1809" s="1" t="inlineStr"/>
      <c r="L1809" s="13" t="n">
        <v>29</v>
      </c>
      <c r="M1809" s="1">
        <f>IF(L1809="","ไม่พบใน SG",IF(ABS(J1809-L1809)&lt;0.005,"ตรงกัน","ไม่ตรง"))</f>
        <v/>
      </c>
      <c r="N1809" s="14">
        <f>IF(L1809="","",ROUND(L1809*'สรุป'!$C$6,-1))</f>
        <v/>
      </c>
      <c r="O1809" s="15" t="n"/>
      <c r="P1809" s="15" t="n"/>
      <c r="Q1809" s="10" t="n"/>
      <c r="R1809" s="10" t="n"/>
      <c r="S1809" s="16" t="inlineStr">
        <is>
          <t>https://mstgolf.co.th/products/gf3200200190</t>
        </is>
      </c>
      <c r="T1809" s="1">
        <f>IF(B1809="ไม้กอล์ฟ",J1809,"")</f>
        <v/>
      </c>
    </row>
    <row r="1810">
      <c r="A1810" s="1" t="n">
        <v>2</v>
      </c>
      <c r="B1810" s="1" t="inlineStr">
        <is>
          <t>ถุงกอล์ฟ</t>
        </is>
      </c>
      <c r="C1810" s="1" t="inlineStr">
        <is>
          <t>gf3010200668</t>
        </is>
      </c>
      <c r="D1810" s="1" t="inlineStr">
        <is>
          <t>DISNEY PU Shoe Bag (Black)</t>
        </is>
      </c>
      <c r="E1810" s="1" t="inlineStr">
        <is>
          <t>DISNEY</t>
        </is>
      </c>
      <c r="F1810" s="1" t="inlineStr">
        <is>
          <t>SHOES BAG</t>
        </is>
      </c>
      <c r="G1810" s="1" t="inlineStr">
        <is>
          <t>GF3010200668</t>
        </is>
      </c>
      <c r="H1810" s="1" t="n">
        <v>1</v>
      </c>
      <c r="I1810" s="1" t="inlineStr">
        <is>
          <t>หมด</t>
        </is>
      </c>
      <c r="J1810" s="13" t="n">
        <v>27</v>
      </c>
      <c r="K1810" s="1" t="inlineStr"/>
      <c r="L1810" s="13" t="n">
        <v>27</v>
      </c>
      <c r="M1810" s="1">
        <f>IF(L1810="","ไม่พบใน SG",IF(ABS(J1810-L1810)&lt;0.005,"ตรงกัน","ไม่ตรง"))</f>
        <v/>
      </c>
      <c r="N1810" s="14">
        <f>IF(L1810="","",ROUND(L1810*'สรุป'!$C$6,-1))</f>
        <v/>
      </c>
      <c r="O1810" s="15" t="n"/>
      <c r="P1810" s="15" t="n"/>
      <c r="Q1810" s="10" t="n"/>
      <c r="R1810" s="10" t="n"/>
      <c r="S1810" s="16" t="inlineStr">
        <is>
          <t>https://mstgolf.co.th/products/gf3010200668</t>
        </is>
      </c>
      <c r="T1810" s="1">
        <f>IF(B1810="ไม้กอล์ฟ",J1810,"")</f>
        <v/>
      </c>
    </row>
    <row r="1811">
      <c r="A1811" s="1" t="n">
        <v>2</v>
      </c>
      <c r="B1811" s="1" t="inlineStr">
        <is>
          <t>ถุงกอล์ฟ</t>
        </is>
      </c>
      <c r="C1811" s="1" t="inlineStr">
        <is>
          <t>gf3010200420</t>
        </is>
      </c>
      <c r="D1811" s="1" t="inlineStr">
        <is>
          <t>UNDER ARMOUR Contain Shoe Bag (Black/Black/Silver)</t>
        </is>
      </c>
      <c r="E1811" s="1" t="inlineStr">
        <is>
          <t>UNDER ARMOUR</t>
        </is>
      </c>
      <c r="F1811" s="1" t="inlineStr">
        <is>
          <t>SHOES BAG</t>
        </is>
      </c>
      <c r="G1811" s="1" t="inlineStr">
        <is>
          <t>GF3010200420</t>
        </is>
      </c>
      <c r="H1811" s="1" t="n">
        <v>1</v>
      </c>
      <c r="I1811" s="1" t="inlineStr">
        <is>
          <t>หมด</t>
        </is>
      </c>
      <c r="J1811" s="13" t="n">
        <v>27</v>
      </c>
      <c r="K1811" s="1" t="inlineStr"/>
      <c r="L1811" s="13" t="n">
        <v>27</v>
      </c>
      <c r="M1811" s="1">
        <f>IF(L1811="","ไม่พบใน SG",IF(ABS(J1811-L1811)&lt;0.005,"ตรงกัน","ไม่ตรง"))</f>
        <v/>
      </c>
      <c r="N1811" s="14">
        <f>IF(L1811="","",ROUND(L1811*'สรุป'!$C$6,-1))</f>
        <v/>
      </c>
      <c r="O1811" s="15" t="n"/>
      <c r="P1811" s="15" t="n"/>
      <c r="Q1811" s="10" t="n"/>
      <c r="R1811" s="10" t="n"/>
      <c r="S1811" s="16" t="inlineStr">
        <is>
          <t>https://mstgolf.co.th/products/gf3010200420</t>
        </is>
      </c>
      <c r="T1811" s="1">
        <f>IF(B1811="ไม้กอล์ฟ",J1811,"")</f>
        <v/>
      </c>
    </row>
    <row r="1812">
      <c r="A1812" s="1" t="n">
        <v>2</v>
      </c>
      <c r="B1812" s="1" t="inlineStr">
        <is>
          <t>ถุงกอล์ฟ</t>
        </is>
      </c>
      <c r="C1812" s="1" t="inlineStr">
        <is>
          <t>gf3010200421</t>
        </is>
      </c>
      <c r="D1812" s="1" t="inlineStr">
        <is>
          <t>ADIDAS AG Shoe Bag (Black/White)</t>
        </is>
      </c>
      <c r="E1812" s="1" t="inlineStr">
        <is>
          <t>ADIDAS</t>
        </is>
      </c>
      <c r="F1812" s="1" t="inlineStr">
        <is>
          <t>SHOES BAG</t>
        </is>
      </c>
      <c r="G1812" s="1" t="inlineStr">
        <is>
          <t>GF3010200421</t>
        </is>
      </c>
      <c r="H1812" s="1" t="n">
        <v>1</v>
      </c>
      <c r="I1812" s="1" t="inlineStr">
        <is>
          <t>หมด</t>
        </is>
      </c>
      <c r="J1812" s="13" t="n">
        <v>25</v>
      </c>
      <c r="K1812" s="1" t="inlineStr"/>
      <c r="L1812" s="13" t="n">
        <v>25</v>
      </c>
      <c r="M1812" s="1">
        <f>IF(L1812="","ไม่พบใน SG",IF(ABS(J1812-L1812)&lt;0.005,"ตรงกัน","ไม่ตรง"))</f>
        <v/>
      </c>
      <c r="N1812" s="14">
        <f>IF(L1812="","",ROUND(L1812*'สรุป'!$C$6,-1))</f>
        <v/>
      </c>
      <c r="O1812" s="15" t="n"/>
      <c r="P1812" s="15" t="n"/>
      <c r="Q1812" s="10" t="n"/>
      <c r="R1812" s="10" t="n"/>
      <c r="S1812" s="16" t="inlineStr">
        <is>
          <t>https://mstgolf.co.th/products/gf3010200421</t>
        </is>
      </c>
      <c r="T1812" s="1">
        <f>IF(B1812="ไม้กอล์ฟ",J1812,"")</f>
        <v/>
      </c>
    </row>
    <row r="1813">
      <c r="A1813" s="1" t="n">
        <v>2</v>
      </c>
      <c r="B1813" s="1" t="inlineStr">
        <is>
          <t>ถุงมือ</t>
        </is>
      </c>
      <c r="C1813" s="1" t="inlineStr">
        <is>
          <t>gf3020200669</t>
        </is>
      </c>
      <c r="D1813" s="1" t="inlineStr">
        <is>
          <t>ADIDAS Cool High Grip 24 Women's All-Weather Pair Gloves (White/Grey)</t>
        </is>
      </c>
      <c r="E1813" s="1" t="inlineStr">
        <is>
          <t>ADIDAS</t>
        </is>
      </c>
      <c r="F1813" s="1" t="inlineStr">
        <is>
          <t>ALL WEATHER</t>
        </is>
      </c>
      <c r="G1813" s="1" t="inlineStr">
        <is>
          <t>GF302020066918</t>
        </is>
      </c>
      <c r="H1813" s="1" t="n">
        <v>4</v>
      </c>
      <c r="I1813" s="1" t="inlineStr">
        <is>
          <t>หมด</t>
        </is>
      </c>
      <c r="J1813" s="13" t="n">
        <v>25</v>
      </c>
      <c r="K1813" s="1" t="inlineStr"/>
      <c r="L1813" s="13" t="n"/>
      <c r="M1813" s="1">
        <f>IF(L1813="","ไม่พบใน SG",IF(ABS(J1813-L1813)&lt;0.005,"ตรงกัน","ไม่ตรง"))</f>
        <v/>
      </c>
      <c r="N1813" s="14">
        <f>IF(L1813="","",ROUND(L1813*'สรุป'!$C$6,-1))</f>
        <v/>
      </c>
      <c r="O1813" s="15" t="n"/>
      <c r="P1813" s="15" t="n"/>
      <c r="Q1813" s="10" t="n"/>
      <c r="R1813" s="10" t="n"/>
      <c r="S1813" s="16" t="inlineStr">
        <is>
          <t>https://mstgolf.co.th/products/gf3020200669</t>
        </is>
      </c>
      <c r="T1813" s="1">
        <f>IF(B1813="ไม้กอล์ฟ",J1813,"")</f>
        <v/>
      </c>
    </row>
    <row r="1814">
      <c r="A1814" s="1" t="n">
        <v>2</v>
      </c>
      <c r="B1814" s="1" t="inlineStr">
        <is>
          <t>ถุงกอล์ฟ</t>
        </is>
      </c>
      <c r="C1814" s="1" t="inlineStr">
        <is>
          <t>gf3010400910</t>
        </is>
      </c>
      <c r="D1814" s="1" t="inlineStr">
        <is>
          <t>CUTTER &amp; BUCK Utility Pouch (Beige)</t>
        </is>
      </c>
      <c r="E1814" s="1" t="inlineStr">
        <is>
          <t>CUTTER &amp; BUCK</t>
        </is>
      </c>
      <c r="F1814" s="1" t="inlineStr">
        <is>
          <t>SMALL BAG</t>
        </is>
      </c>
      <c r="G1814" s="1" t="inlineStr">
        <is>
          <t>GF3010400910</t>
        </is>
      </c>
      <c r="H1814" s="1" t="n">
        <v>1</v>
      </c>
      <c r="I1814" s="1" t="inlineStr">
        <is>
          <t>หมด</t>
        </is>
      </c>
      <c r="J1814" s="13" t="n">
        <v>25</v>
      </c>
      <c r="K1814" s="1" t="inlineStr"/>
      <c r="L1814" s="13" t="n">
        <v>25</v>
      </c>
      <c r="M1814" s="1">
        <f>IF(L1814="","ไม่พบใน SG",IF(ABS(J1814-L1814)&lt;0.005,"ตรงกัน","ไม่ตรง"))</f>
        <v/>
      </c>
      <c r="N1814" s="14">
        <f>IF(L1814="","",ROUND(L1814*'สรุป'!$C$6,-1))</f>
        <v/>
      </c>
      <c r="O1814" s="15" t="n"/>
      <c r="P1814" s="15" t="n"/>
      <c r="Q1814" s="10" t="n"/>
      <c r="R1814" s="10" t="n"/>
      <c r="S1814" s="16" t="inlineStr">
        <is>
          <t>https://mstgolf.co.th/products/gf3010400910</t>
        </is>
      </c>
      <c r="T1814" s="1">
        <f>IF(B1814="ไม้กอล์ฟ",J1814,"")</f>
        <v/>
      </c>
    </row>
    <row r="1815">
      <c r="A1815" s="1" t="n">
        <v>2</v>
      </c>
      <c r="B1815" s="1" t="inlineStr">
        <is>
          <t>อุปกรณ์ฝึกซ้อม</t>
        </is>
      </c>
      <c r="C1815" s="1" t="inlineStr">
        <is>
          <t>gf3500300394</t>
        </is>
      </c>
      <c r="D1815" s="1" t="inlineStr">
        <is>
          <t>GENERAL ITEM PARAGON AUTOMATIC GOLF PUTT RETURN</t>
        </is>
      </c>
      <c r="E1815" s="1" t="inlineStr">
        <is>
          <t>GENERAL ITEM</t>
        </is>
      </c>
      <c r="F1815" s="1" t="inlineStr">
        <is>
          <t>PUTT / CHIP</t>
        </is>
      </c>
      <c r="G1815" s="1" t="inlineStr">
        <is>
          <t>GF3500300394</t>
        </is>
      </c>
      <c r="H1815" s="1" t="n">
        <v>1</v>
      </c>
      <c r="I1815" s="1" t="inlineStr">
        <is>
          <t>หมด</t>
        </is>
      </c>
      <c r="J1815" s="13" t="n">
        <v>25</v>
      </c>
      <c r="K1815" s="1" t="inlineStr"/>
      <c r="L1815" s="13" t="n">
        <v>25</v>
      </c>
      <c r="M1815" s="1">
        <f>IF(L1815="","ไม่พบใน SG",IF(ABS(J1815-L1815)&lt;0.005,"ตรงกัน","ไม่ตรง"))</f>
        <v/>
      </c>
      <c r="N1815" s="14">
        <f>IF(L1815="","",ROUND(L1815*'สรุป'!$C$6,-1))</f>
        <v/>
      </c>
      <c r="O1815" s="15" t="n"/>
      <c r="P1815" s="15" t="n"/>
      <c r="Q1815" s="10" t="n"/>
      <c r="R1815" s="10" t="n"/>
      <c r="S1815" s="16" t="inlineStr">
        <is>
          <t>https://mstgolf.co.th/products/gf3500300394</t>
        </is>
      </c>
      <c r="T1815" s="1">
        <f>IF(B1815="ไม้กอล์ฟ",J1815,"")</f>
        <v/>
      </c>
    </row>
    <row r="1816">
      <c r="A1816" s="1" t="n">
        <v>2</v>
      </c>
      <c r="B1816" s="1" t="inlineStr">
        <is>
          <t>อุปกรณ์ฝึกซ้อม</t>
        </is>
      </c>
      <c r="C1816" s="1" t="inlineStr">
        <is>
          <t>gf3500300395</t>
        </is>
      </c>
      <c r="D1816" s="1" t="inlineStr">
        <is>
          <t>GENERAL ITEM PARAGON GRIP &amp; SWING TRAINER</t>
        </is>
      </c>
      <c r="E1816" s="1" t="inlineStr">
        <is>
          <t>GENERAL ITEM</t>
        </is>
      </c>
      <c r="F1816" s="1" t="inlineStr">
        <is>
          <t>SWING</t>
        </is>
      </c>
      <c r="G1816" s="1" t="inlineStr">
        <is>
          <t>GF3500300395</t>
        </is>
      </c>
      <c r="H1816" s="1" t="n">
        <v>1</v>
      </c>
      <c r="I1816" s="1" t="inlineStr">
        <is>
          <t>หมด</t>
        </is>
      </c>
      <c r="J1816" s="13" t="n">
        <v>25</v>
      </c>
      <c r="K1816" s="1" t="inlineStr"/>
      <c r="L1816" s="13" t="n">
        <v>25</v>
      </c>
      <c r="M1816" s="1">
        <f>IF(L1816="","ไม่พบใน SG",IF(ABS(J1816-L1816)&lt;0.005,"ตรงกัน","ไม่ตรง"))</f>
        <v/>
      </c>
      <c r="N1816" s="14">
        <f>IF(L1816="","",ROUND(L1816*'สรุป'!$C$6,-1))</f>
        <v/>
      </c>
      <c r="O1816" s="15" t="n"/>
      <c r="P1816" s="15" t="n"/>
      <c r="Q1816" s="10" t="n"/>
      <c r="R1816" s="10" t="n"/>
      <c r="S1816" s="16" t="inlineStr">
        <is>
          <t>https://mstgolf.co.th/products/gf3500300395</t>
        </is>
      </c>
      <c r="T1816" s="1">
        <f>IF(B1816="ไม้กอล์ฟ",J1816,"")</f>
        <v/>
      </c>
    </row>
    <row r="1817">
      <c r="A1817" s="1" t="n">
        <v>2</v>
      </c>
      <c r="B1817" s="1" t="inlineStr">
        <is>
          <t>อุปกรณ์ฝึกซ้อม</t>
        </is>
      </c>
      <c r="C1817" s="1" t="inlineStr">
        <is>
          <t>gf3040100087</t>
        </is>
      </c>
      <c r="D1817" s="1" t="inlineStr">
        <is>
          <t>GENERAL ITEM PARAGON TOUR STICK (YELLOW)</t>
        </is>
      </c>
      <c r="E1817" s="1" t="inlineStr">
        <is>
          <t>GENERAL ITEM</t>
        </is>
      </c>
      <c r="F1817" s="1" t="inlineStr">
        <is>
          <t>SWING</t>
        </is>
      </c>
      <c r="G1817" s="1" t="inlineStr">
        <is>
          <t>GF3040100087</t>
        </is>
      </c>
      <c r="H1817" s="1" t="n">
        <v>1</v>
      </c>
      <c r="I1817" s="1" t="inlineStr">
        <is>
          <t>หมด</t>
        </is>
      </c>
      <c r="J1817" s="13" t="n">
        <v>25</v>
      </c>
      <c r="K1817" s="1" t="inlineStr"/>
      <c r="L1817" s="13" t="n"/>
      <c r="M1817" s="1">
        <f>IF(L1817="","ไม่พบใน SG",IF(ABS(J1817-L1817)&lt;0.005,"ตรงกัน","ไม่ตรง"))</f>
        <v/>
      </c>
      <c r="N1817" s="14">
        <f>IF(L1817="","",ROUND(L1817*'สรุป'!$C$6,-1))</f>
        <v/>
      </c>
      <c r="O1817" s="15" t="n"/>
      <c r="P1817" s="15" t="n"/>
      <c r="Q1817" s="10" t="n"/>
      <c r="R1817" s="10" t="n"/>
      <c r="S1817" s="16" t="inlineStr">
        <is>
          <t>https://mstgolf.co.th/products/gf3040100087</t>
        </is>
      </c>
      <c r="T1817" s="1">
        <f>IF(B1817="ไม้กอล์ฟ",J1817,"")</f>
        <v/>
      </c>
    </row>
    <row r="1818">
      <c r="A1818" s="1" t="n">
        <v>2</v>
      </c>
      <c r="B1818" s="1" t="inlineStr">
        <is>
          <t>อุปกรณ์ฝึกซ้อม</t>
        </is>
      </c>
      <c r="C1818" s="1" t="inlineStr">
        <is>
          <t>gf3040100086</t>
        </is>
      </c>
      <c r="D1818" s="1" t="inlineStr">
        <is>
          <t>GENERAL ITEM Paragon Tour Stick (Green)</t>
        </is>
      </c>
      <c r="E1818" s="1" t="inlineStr">
        <is>
          <t>GENERAL ITEM</t>
        </is>
      </c>
      <c r="F1818" s="1" t="inlineStr">
        <is>
          <t>SWING</t>
        </is>
      </c>
      <c r="G1818" s="1" t="inlineStr">
        <is>
          <t>GF3040100086</t>
        </is>
      </c>
      <c r="H1818" s="1" t="n">
        <v>1</v>
      </c>
      <c r="I1818" s="1" t="inlineStr">
        <is>
          <t>หมด</t>
        </is>
      </c>
      <c r="J1818" s="13" t="n">
        <v>25</v>
      </c>
      <c r="K1818" s="1" t="inlineStr"/>
      <c r="L1818" s="13" t="n">
        <v>25</v>
      </c>
      <c r="M1818" s="1">
        <f>IF(L1818="","ไม่พบใน SG",IF(ABS(J1818-L1818)&lt;0.005,"ตรงกัน","ไม่ตรง"))</f>
        <v/>
      </c>
      <c r="N1818" s="14">
        <f>IF(L1818="","",ROUND(L1818*'สรุป'!$C$6,-1))</f>
        <v/>
      </c>
      <c r="O1818" s="15" t="n"/>
      <c r="P1818" s="15" t="n"/>
      <c r="Q1818" s="10" t="n"/>
      <c r="R1818" s="10" t="n"/>
      <c r="S1818" s="16" t="inlineStr">
        <is>
          <t>https://mstgolf.co.th/products/gf3040100086</t>
        </is>
      </c>
      <c r="T1818" s="1">
        <f>IF(B1818="ไม้กอล์ฟ",J1818,"")</f>
        <v/>
      </c>
    </row>
    <row r="1819">
      <c r="A1819" s="1" t="n">
        <v>2</v>
      </c>
      <c r="B1819" s="1" t="inlineStr">
        <is>
          <t>อุปกรณ์ฝึกซ้อม</t>
        </is>
      </c>
      <c r="C1819" s="1" t="inlineStr">
        <is>
          <t>gf3040100089</t>
        </is>
      </c>
      <c r="D1819" s="1" t="inlineStr">
        <is>
          <t>GENERAL ITEM Paragon Tour Stick (Orange)</t>
        </is>
      </c>
      <c r="E1819" s="1" t="inlineStr">
        <is>
          <t>GENERAL ITEM</t>
        </is>
      </c>
      <c r="F1819" s="1" t="inlineStr">
        <is>
          <t>SWING</t>
        </is>
      </c>
      <c r="G1819" s="1" t="inlineStr">
        <is>
          <t>GF3040100089</t>
        </is>
      </c>
      <c r="H1819" s="1" t="n">
        <v>1</v>
      </c>
      <c r="I1819" s="1" t="inlineStr">
        <is>
          <t>หมด</t>
        </is>
      </c>
      <c r="J1819" s="13" t="n">
        <v>25</v>
      </c>
      <c r="K1819" s="1" t="inlineStr"/>
      <c r="L1819" s="13" t="n">
        <v>25</v>
      </c>
      <c r="M1819" s="1">
        <f>IF(L1819="","ไม่พบใน SG",IF(ABS(J1819-L1819)&lt;0.005,"ตรงกัน","ไม่ตรง"))</f>
        <v/>
      </c>
      <c r="N1819" s="14">
        <f>IF(L1819="","",ROUND(L1819*'สรุป'!$C$6,-1))</f>
        <v/>
      </c>
      <c r="O1819" s="15" t="n"/>
      <c r="P1819" s="15" t="n"/>
      <c r="Q1819" s="10" t="n"/>
      <c r="R1819" s="10" t="n"/>
      <c r="S1819" s="16" t="inlineStr">
        <is>
          <t>https://mstgolf.co.th/products/gf3040100089</t>
        </is>
      </c>
      <c r="T1819" s="1">
        <f>IF(B1819="ไม้กอล์ฟ",J1819,"")</f>
        <v/>
      </c>
    </row>
    <row r="1820">
      <c r="A1820" s="1" t="n">
        <v>2</v>
      </c>
      <c r="B1820" s="1" t="inlineStr">
        <is>
          <t>ถุงกอล์ฟ</t>
        </is>
      </c>
      <c r="C1820" s="1" t="inlineStr">
        <is>
          <t>gf3010400984</t>
        </is>
      </c>
      <c r="D1820" s="1" t="inlineStr">
        <is>
          <t>LE COQ SPORTIF GOLF Pouch (Beige)</t>
        </is>
      </c>
      <c r="E1820" s="1" t="inlineStr">
        <is>
          <t>LE COQ SPORTIF GOLF</t>
        </is>
      </c>
      <c r="F1820" s="1" t="inlineStr">
        <is>
          <t>SMALL BAG</t>
        </is>
      </c>
      <c r="G1820" s="1" t="inlineStr">
        <is>
          <t>GF3010400984</t>
        </is>
      </c>
      <c r="H1820" s="1" t="n">
        <v>1</v>
      </c>
      <c r="I1820" s="1" t="inlineStr">
        <is>
          <t>หมด</t>
        </is>
      </c>
      <c r="J1820" s="13" t="n">
        <v>25</v>
      </c>
      <c r="K1820" s="1" t="inlineStr"/>
      <c r="L1820" s="13" t="n">
        <v>25</v>
      </c>
      <c r="M1820" s="1">
        <f>IF(L1820="","ไม่พบใน SG",IF(ABS(J1820-L1820)&lt;0.005,"ตรงกัน","ไม่ตรง"))</f>
        <v/>
      </c>
      <c r="N1820" s="14">
        <f>IF(L1820="","",ROUND(L1820*'สรุป'!$C$6,-1))</f>
        <v/>
      </c>
      <c r="O1820" s="15" t="n"/>
      <c r="P1820" s="15" t="n"/>
      <c r="Q1820" s="10" t="n"/>
      <c r="R1820" s="10" t="n"/>
      <c r="S1820" s="16" t="inlineStr">
        <is>
          <t>https://mstgolf.co.th/products/gf3010400984</t>
        </is>
      </c>
      <c r="T1820" s="1">
        <f>IF(B1820="ไม้กอล์ฟ",J1820,"")</f>
        <v/>
      </c>
    </row>
    <row r="1821">
      <c r="A1821" s="1" t="n">
        <v>2</v>
      </c>
      <c r="B1821" s="1" t="inlineStr">
        <is>
          <t>ถุงกอล์ฟ</t>
        </is>
      </c>
      <c r="C1821" s="1" t="inlineStr">
        <is>
          <t>gf3010400985</t>
        </is>
      </c>
      <c r="D1821" s="1" t="inlineStr">
        <is>
          <t>LE COQ SPORTIF GOLF Pouch (Navy)</t>
        </is>
      </c>
      <c r="E1821" s="1" t="inlineStr">
        <is>
          <t>LE COQ SPORTIF GOLF</t>
        </is>
      </c>
      <c r="F1821" s="1" t="inlineStr">
        <is>
          <t>SMALL BAG</t>
        </is>
      </c>
      <c r="G1821" s="1" t="inlineStr">
        <is>
          <t>GF3010400985</t>
        </is>
      </c>
      <c r="H1821" s="1" t="n">
        <v>1</v>
      </c>
      <c r="I1821" s="1" t="inlineStr">
        <is>
          <t>หมด</t>
        </is>
      </c>
      <c r="J1821" s="13" t="n">
        <v>25</v>
      </c>
      <c r="K1821" s="1" t="inlineStr"/>
      <c r="L1821" s="13" t="n">
        <v>25</v>
      </c>
      <c r="M1821" s="1">
        <f>IF(L1821="","ไม่พบใน SG",IF(ABS(J1821-L1821)&lt;0.005,"ตรงกัน","ไม่ตรง"))</f>
        <v/>
      </c>
      <c r="N1821" s="14">
        <f>IF(L1821="","",ROUND(L1821*'สรุป'!$C$6,-1))</f>
        <v/>
      </c>
      <c r="O1821" s="15" t="n"/>
      <c r="P1821" s="15" t="n"/>
      <c r="Q1821" s="10" t="n"/>
      <c r="R1821" s="10" t="n"/>
      <c r="S1821" s="16" t="inlineStr">
        <is>
          <t>https://mstgolf.co.th/products/gf3010400985</t>
        </is>
      </c>
      <c r="T1821" s="1">
        <f>IF(B1821="ไม้กอล์ฟ",J1821,"")</f>
        <v/>
      </c>
    </row>
    <row r="1822">
      <c r="A1822" s="1" t="n">
        <v>2</v>
      </c>
      <c r="B1822" s="1" t="inlineStr">
        <is>
          <t>อุปกรณ์ฝึกซ้อม</t>
        </is>
      </c>
      <c r="C1822" s="1" t="inlineStr">
        <is>
          <t>gf3040100123</t>
        </is>
      </c>
      <c r="D1822" s="1" t="inlineStr">
        <is>
          <t>SKLZ Grip Trainer</t>
        </is>
      </c>
      <c r="E1822" s="1" t="inlineStr">
        <is>
          <t>SKLZ</t>
        </is>
      </c>
      <c r="F1822" s="1" t="inlineStr">
        <is>
          <t>SWING</t>
        </is>
      </c>
      <c r="G1822" s="1" t="inlineStr">
        <is>
          <t>GF3040100123</t>
        </is>
      </c>
      <c r="H1822" s="1" t="n">
        <v>1</v>
      </c>
      <c r="I1822" s="1" t="inlineStr">
        <is>
          <t>หมด</t>
        </is>
      </c>
      <c r="J1822" s="13" t="n">
        <v>25</v>
      </c>
      <c r="K1822" s="1" t="inlineStr"/>
      <c r="L1822" s="13" t="n">
        <v>25</v>
      </c>
      <c r="M1822" s="1">
        <f>IF(L1822="","ไม่พบใน SG",IF(ABS(J1822-L1822)&lt;0.005,"ตรงกัน","ไม่ตรง"))</f>
        <v/>
      </c>
      <c r="N1822" s="14">
        <f>IF(L1822="","",ROUND(L1822*'สรุป'!$C$6,-1))</f>
        <v/>
      </c>
      <c r="O1822" s="15" t="n"/>
      <c r="P1822" s="15" t="n"/>
      <c r="Q1822" s="10" t="n"/>
      <c r="R1822" s="10" t="n"/>
      <c r="S1822" s="16" t="inlineStr">
        <is>
          <t>https://mstgolf.co.th/products/gf3040100123</t>
        </is>
      </c>
      <c r="T1822" s="1">
        <f>IF(B1822="ไม้กอล์ฟ",J1822,"")</f>
        <v/>
      </c>
    </row>
    <row r="1823">
      <c r="A1823" s="1" t="n">
        <v>2</v>
      </c>
      <c r="B1823" s="1" t="inlineStr">
        <is>
          <t>อุปกรณ์ฝึกซ้อม</t>
        </is>
      </c>
      <c r="C1823" s="1" t="inlineStr">
        <is>
          <t>gf3040200090</t>
        </is>
      </c>
      <c r="D1823" s="1" t="inlineStr">
        <is>
          <t>SKLZ Putt Pocket</t>
        </is>
      </c>
      <c r="E1823" s="1" t="inlineStr">
        <is>
          <t>SKLZ</t>
        </is>
      </c>
      <c r="F1823" s="1" t="inlineStr">
        <is>
          <t>PUTT / CHIP</t>
        </is>
      </c>
      <c r="G1823" s="1" t="inlineStr">
        <is>
          <t>GF3040200090</t>
        </is>
      </c>
      <c r="H1823" s="1" t="n">
        <v>1</v>
      </c>
      <c r="I1823" s="1" t="inlineStr">
        <is>
          <t>หมด</t>
        </is>
      </c>
      <c r="J1823" s="13" t="n">
        <v>25</v>
      </c>
      <c r="K1823" s="1" t="inlineStr"/>
      <c r="L1823" s="13" t="n">
        <v>25</v>
      </c>
      <c r="M1823" s="1">
        <f>IF(L1823="","ไม่พบใน SG",IF(ABS(J1823-L1823)&lt;0.005,"ตรงกัน","ไม่ตรง"))</f>
        <v/>
      </c>
      <c r="N1823" s="14">
        <f>IF(L1823="","",ROUND(L1823*'สรุป'!$C$6,-1))</f>
        <v/>
      </c>
      <c r="O1823" s="15" t="n"/>
      <c r="P1823" s="15" t="n"/>
      <c r="Q1823" s="10" t="n"/>
      <c r="R1823" s="10" t="n"/>
      <c r="S1823" s="16" t="inlineStr">
        <is>
          <t>https://mstgolf.co.th/products/gf3040200090</t>
        </is>
      </c>
      <c r="T1823" s="1">
        <f>IF(B1823="ไม้กอล์ฟ",J1823,"")</f>
        <v/>
      </c>
    </row>
    <row r="1824">
      <c r="A1824" s="1" t="n">
        <v>2</v>
      </c>
      <c r="B1824" s="1" t="inlineStr">
        <is>
          <t>ถุงมือ</t>
        </is>
      </c>
      <c r="C1824" s="1" t="inlineStr">
        <is>
          <t>gf3020200646</t>
        </is>
      </c>
      <c r="D1824" s="1" t="inlineStr">
        <is>
          <t>TAYLORMADE Glit Element All-Weather Women's Glove (White/Navy)</t>
        </is>
      </c>
      <c r="E1824" s="1" t="inlineStr">
        <is>
          <t>TAYLORMADE</t>
        </is>
      </c>
      <c r="F1824" s="1" t="inlineStr">
        <is>
          <t>ALL WEATHER</t>
        </is>
      </c>
      <c r="G1824" s="1" t="inlineStr">
        <is>
          <t>GF302020064618</t>
        </is>
      </c>
      <c r="H1824" s="1" t="n">
        <v>4</v>
      </c>
      <c r="I1824" s="1" t="inlineStr">
        <is>
          <t>หมด</t>
        </is>
      </c>
      <c r="J1824" s="13" t="n">
        <v>25</v>
      </c>
      <c r="K1824" s="1" t="inlineStr"/>
      <c r="L1824" s="13" t="n">
        <v>25</v>
      </c>
      <c r="M1824" s="1">
        <f>IF(L1824="","ไม่พบใน SG",IF(ABS(J1824-L1824)&lt;0.005,"ตรงกัน","ไม่ตรง"))</f>
        <v/>
      </c>
      <c r="N1824" s="14">
        <f>IF(L1824="","",ROUND(L1824*'สรุป'!$C$6,-1))</f>
        <v/>
      </c>
      <c r="O1824" s="15" t="n"/>
      <c r="P1824" s="15" t="n"/>
      <c r="Q1824" s="10" t="n"/>
      <c r="R1824" s="10" t="n"/>
      <c r="S1824" s="16" t="inlineStr">
        <is>
          <t>https://mstgolf.co.th/products/gf3020200646</t>
        </is>
      </c>
      <c r="T1824" s="1">
        <f>IF(B1824="ไม้กอล์ฟ",J1824,"")</f>
        <v/>
      </c>
    </row>
    <row r="1825">
      <c r="A1825" s="1" t="n">
        <v>2</v>
      </c>
      <c r="B1825" s="1" t="inlineStr">
        <is>
          <t>ถุงมือ</t>
        </is>
      </c>
      <c r="C1825" s="1" t="inlineStr">
        <is>
          <t>gf3020200645</t>
        </is>
      </c>
      <c r="D1825" s="1" t="inlineStr">
        <is>
          <t>TAYLORMADE Glit Element All-Weather Women's Glove (White/Pink)</t>
        </is>
      </c>
      <c r="E1825" s="1" t="inlineStr">
        <is>
          <t>TAYLORMADE</t>
        </is>
      </c>
      <c r="F1825" s="1" t="inlineStr">
        <is>
          <t>ALL WEATHER</t>
        </is>
      </c>
      <c r="G1825" s="1" t="inlineStr">
        <is>
          <t>GF302020064518</t>
        </is>
      </c>
      <c r="H1825" s="1" t="n">
        <v>4</v>
      </c>
      <c r="I1825" s="1" t="inlineStr">
        <is>
          <t>หมด</t>
        </is>
      </c>
      <c r="J1825" s="13" t="n">
        <v>25</v>
      </c>
      <c r="K1825" s="1" t="inlineStr"/>
      <c r="L1825" s="13" t="n">
        <v>25</v>
      </c>
      <c r="M1825" s="1">
        <f>IF(L1825="","ไม่พบใน SG",IF(ABS(J1825-L1825)&lt;0.005,"ตรงกัน","ไม่ตรง"))</f>
        <v/>
      </c>
      <c r="N1825" s="14">
        <f>IF(L1825="","",ROUND(L1825*'สรุป'!$C$6,-1))</f>
        <v/>
      </c>
      <c r="O1825" s="15" t="n"/>
      <c r="P1825" s="15" t="n"/>
      <c r="Q1825" s="10" t="n"/>
      <c r="R1825" s="10" t="n"/>
      <c r="S1825" s="16" t="inlineStr">
        <is>
          <t>https://mstgolf.co.th/products/gf3020200645</t>
        </is>
      </c>
      <c r="T1825" s="1">
        <f>IF(B1825="ไม้กอล์ฟ",J1825,"")</f>
        <v/>
      </c>
    </row>
    <row r="1826">
      <c r="A1826" s="1" t="n">
        <v>2</v>
      </c>
      <c r="B1826" s="1" t="inlineStr">
        <is>
          <t>ถุงมือ</t>
        </is>
      </c>
      <c r="C1826" s="1" t="inlineStr">
        <is>
          <t>gf3020200672</t>
        </is>
      </c>
      <c r="D1826" s="1" t="inlineStr">
        <is>
          <t>TAYLORMADE Player's All-Weather Men's Glove (White)</t>
        </is>
      </c>
      <c r="E1826" s="1" t="inlineStr">
        <is>
          <t>TAYLORMADE</t>
        </is>
      </c>
      <c r="F1826" s="1" t="inlineStr">
        <is>
          <t>ALL WEATHER</t>
        </is>
      </c>
      <c r="G1826" s="1" t="inlineStr">
        <is>
          <t>GF302020067222</t>
        </is>
      </c>
      <c r="H1826" s="1" t="n">
        <v>6</v>
      </c>
      <c r="I1826" s="1" t="inlineStr">
        <is>
          <t>หมด</t>
        </is>
      </c>
      <c r="J1826" s="13" t="n">
        <v>19</v>
      </c>
      <c r="K1826" s="1" t="inlineStr"/>
      <c r="L1826" s="13" t="n">
        <v>19</v>
      </c>
      <c r="M1826" s="1">
        <f>IF(L1826="","ไม่พบใน SG",IF(ABS(J1826-L1826)&lt;0.005,"ตรงกัน","ไม่ตรง"))</f>
        <v/>
      </c>
      <c r="N1826" s="14">
        <f>IF(L1826="","",ROUND(L1826*'สรุป'!$C$6,-1))</f>
        <v/>
      </c>
      <c r="O1826" s="15" t="n"/>
      <c r="P1826" s="15" t="n"/>
      <c r="Q1826" s="10" t="n"/>
      <c r="R1826" s="10" t="n"/>
      <c r="S1826" s="16" t="inlineStr">
        <is>
          <t>https://mstgolf.co.th/products/gf3020200672</t>
        </is>
      </c>
      <c r="T1826" s="1">
        <f>IF(B1826="ไม้กอล์ฟ",J1826,"")</f>
        <v/>
      </c>
    </row>
    <row r="1827">
      <c r="A1827" s="1" t="n">
        <v>2</v>
      </c>
      <c r="B1827" s="1" t="inlineStr">
        <is>
          <t>ถุงมือ</t>
        </is>
      </c>
      <c r="C1827" s="1" t="inlineStr">
        <is>
          <t>gf3020200610</t>
        </is>
      </c>
      <c r="D1827" s="1" t="inlineStr">
        <is>
          <t>UNDER ARMOUR Iso-Chill Youth All Weather Glove (White/Silver/Black)</t>
        </is>
      </c>
      <c r="E1827" s="1" t="inlineStr">
        <is>
          <t>UNDER ARMOUR</t>
        </is>
      </c>
      <c r="F1827" s="1" t="inlineStr">
        <is>
          <t>ALL WEATHER</t>
        </is>
      </c>
      <c r="G1827" s="1" t="inlineStr">
        <is>
          <t>GF3020200610MD</t>
        </is>
      </c>
      <c r="H1827" s="1" t="n">
        <v>4</v>
      </c>
      <c r="I1827" s="1" t="inlineStr">
        <is>
          <t>หมด</t>
        </is>
      </c>
      <c r="J1827" s="13" t="n">
        <v>19</v>
      </c>
      <c r="K1827" s="1" t="inlineStr"/>
      <c r="L1827" s="13" t="n">
        <v>19</v>
      </c>
      <c r="M1827" s="1">
        <f>IF(L1827="","ไม่พบใน SG",IF(ABS(J1827-L1827)&lt;0.005,"ตรงกัน","ไม่ตรง"))</f>
        <v/>
      </c>
      <c r="N1827" s="14">
        <f>IF(L1827="","",ROUND(L1827*'สรุป'!$C$6,-1))</f>
        <v/>
      </c>
      <c r="O1827" s="15" t="n"/>
      <c r="P1827" s="15" t="n"/>
      <c r="Q1827" s="10" t="n"/>
      <c r="R1827" s="10" t="n"/>
      <c r="S1827" s="16" t="inlineStr">
        <is>
          <t>https://mstgolf.co.th/products/gf3020200610</t>
        </is>
      </c>
      <c r="T1827" s="1">
        <f>IF(B1827="ไม้กอล์ฟ",J1827,"")</f>
        <v/>
      </c>
    </row>
    <row r="1828">
      <c r="A1828" s="1" t="n">
        <v>2</v>
      </c>
      <c r="B1828" s="1" t="inlineStr">
        <is>
          <t>ถุงมือ</t>
        </is>
      </c>
      <c r="C1828" s="1" t="inlineStr">
        <is>
          <t>gf3020200704</t>
        </is>
      </c>
      <c r="D1828" s="1" t="inlineStr">
        <is>
          <t>ADIDAS Multifit 24 All Weather Men’s Glove (White/Black)</t>
        </is>
      </c>
      <c r="E1828" s="1" t="inlineStr">
        <is>
          <t>ADIDAS</t>
        </is>
      </c>
      <c r="F1828" s="1" t="inlineStr">
        <is>
          <t>ALL WEATHER</t>
        </is>
      </c>
      <c r="G1828" s="1" t="inlineStr">
        <is>
          <t>GF302020070421</t>
        </is>
      </c>
      <c r="H1828" s="1" t="n">
        <v>6</v>
      </c>
      <c r="I1828" s="1" t="inlineStr">
        <is>
          <t>หมด</t>
        </is>
      </c>
      <c r="J1828" s="13" t="n">
        <v>17</v>
      </c>
      <c r="K1828" s="1" t="inlineStr"/>
      <c r="L1828" s="13" t="n">
        <v>17</v>
      </c>
      <c r="M1828" s="1">
        <f>IF(L1828="","ไม่พบใน SG",IF(ABS(J1828-L1828)&lt;0.005,"ตรงกัน","ไม่ตรง"))</f>
        <v/>
      </c>
      <c r="N1828" s="14">
        <f>IF(L1828="","",ROUND(L1828*'สรุป'!$C$6,-1))</f>
        <v/>
      </c>
      <c r="O1828" s="15" t="n"/>
      <c r="P1828" s="15" t="n"/>
      <c r="Q1828" s="10" t="n"/>
      <c r="R1828" s="10" t="n"/>
      <c r="S1828" s="16" t="inlineStr">
        <is>
          <t>https://mstgolf.co.th/products/gf3020200704</t>
        </is>
      </c>
      <c r="T1828" s="1">
        <f>IF(B1828="ไม้กอล์ฟ",J1828,"")</f>
        <v/>
      </c>
    </row>
    <row r="1829">
      <c r="A1829" s="1" t="n">
        <v>2</v>
      </c>
      <c r="B1829" s="1" t="inlineStr">
        <is>
          <t>ถุงมือ</t>
        </is>
      </c>
      <c r="C1829" s="1" t="inlineStr">
        <is>
          <t>gf3020200665</t>
        </is>
      </c>
      <c r="D1829" s="1" t="inlineStr">
        <is>
          <t>ADIDAS Tour Classic All-Weather Men's Glove (Ink)</t>
        </is>
      </c>
      <c r="E1829" s="1" t="inlineStr">
        <is>
          <t>ADIDAS</t>
        </is>
      </c>
      <c r="F1829" s="1" t="inlineStr">
        <is>
          <t>ALL WEATHER</t>
        </is>
      </c>
      <c r="G1829" s="1" t="inlineStr">
        <is>
          <t>GF302020066521</t>
        </is>
      </c>
      <c r="H1829" s="1" t="n">
        <v>6</v>
      </c>
      <c r="I1829" s="1" t="inlineStr">
        <is>
          <t>หมด</t>
        </is>
      </c>
      <c r="J1829" s="13" t="n">
        <v>17</v>
      </c>
      <c r="K1829" s="1" t="inlineStr"/>
      <c r="L1829" s="13" t="n">
        <v>17</v>
      </c>
      <c r="M1829" s="1">
        <f>IF(L1829="","ไม่พบใน SG",IF(ABS(J1829-L1829)&lt;0.005,"ตรงกัน","ไม่ตรง"))</f>
        <v/>
      </c>
      <c r="N1829" s="14">
        <f>IF(L1829="","",ROUND(L1829*'สรุป'!$C$6,-1))</f>
        <v/>
      </c>
      <c r="O1829" s="15" t="n"/>
      <c r="P1829" s="15" t="n"/>
      <c r="Q1829" s="10" t="n"/>
      <c r="R1829" s="10" t="n"/>
      <c r="S1829" s="16" t="inlineStr">
        <is>
          <t>https://mstgolf.co.th/products/gf3020200665</t>
        </is>
      </c>
      <c r="T1829" s="1">
        <f>IF(B1829="ไม้กอล์ฟ",J1829,"")</f>
        <v/>
      </c>
    </row>
    <row r="1830">
      <c r="A1830" s="1" t="n">
        <v>2</v>
      </c>
      <c r="B1830" s="1" t="inlineStr">
        <is>
          <t>ถุงมือ</t>
        </is>
      </c>
      <c r="C1830" s="1" t="inlineStr">
        <is>
          <t>gf3020100225</t>
        </is>
      </c>
      <c r="D1830" s="1" t="inlineStr">
        <is>
          <t>ADIDAS Ultimate Men's Leather Glove (White/Black)</t>
        </is>
      </c>
      <c r="E1830" s="1" t="inlineStr">
        <is>
          <t>ADIDAS</t>
        </is>
      </c>
      <c r="F1830" s="1" t="inlineStr">
        <is>
          <t>LEATHER</t>
        </is>
      </c>
      <c r="G1830" s="1" t="inlineStr">
        <is>
          <t>GF302010022521</t>
        </is>
      </c>
      <c r="H1830" s="1" t="n">
        <v>6</v>
      </c>
      <c r="I1830" s="1" t="inlineStr">
        <is>
          <t>หมด</t>
        </is>
      </c>
      <c r="J1830" s="13" t="n">
        <v>17</v>
      </c>
      <c r="K1830" s="1" t="inlineStr"/>
      <c r="L1830" s="13" t="n"/>
      <c r="M1830" s="1">
        <f>IF(L1830="","ไม่พบใน SG",IF(ABS(J1830-L1830)&lt;0.005,"ตรงกัน","ไม่ตรง"))</f>
        <v/>
      </c>
      <c r="N1830" s="14">
        <f>IF(L1830="","",ROUND(L1830*'สรุป'!$C$6,-1))</f>
        <v/>
      </c>
      <c r="O1830" s="15" t="n"/>
      <c r="P1830" s="15" t="n"/>
      <c r="Q1830" s="10" t="n"/>
      <c r="R1830" s="10" t="n"/>
      <c r="S1830" s="16" t="inlineStr">
        <is>
          <t>https://mstgolf.co.th/products/gf3020100225</t>
        </is>
      </c>
      <c r="T1830" s="1">
        <f>IF(B1830="ไม้กอล์ฟ",J1830,"")</f>
        <v/>
      </c>
    </row>
    <row r="1831">
      <c r="A1831" s="1" t="n">
        <v>2</v>
      </c>
      <c r="B1831" s="1" t="inlineStr">
        <is>
          <t>ถุงมือ</t>
        </is>
      </c>
      <c r="C1831" s="1" t="inlineStr">
        <is>
          <t>gf3020200421</t>
        </is>
      </c>
      <c r="D1831" s="1" t="inlineStr">
        <is>
          <t>FOOTJOY Weathersof Men's Glove (Assorted)</t>
        </is>
      </c>
      <c r="E1831" s="1" t="inlineStr">
        <is>
          <t>FOOTJOY</t>
        </is>
      </c>
      <c r="F1831" s="1" t="inlineStr">
        <is>
          <t>ALL WEATHER</t>
        </is>
      </c>
      <c r="G1831" s="1" t="inlineStr">
        <is>
          <t>GF302020042121</t>
        </is>
      </c>
      <c r="H1831" s="1" t="n">
        <v>6</v>
      </c>
      <c r="I1831" s="1" t="inlineStr">
        <is>
          <t>หมด</t>
        </is>
      </c>
      <c r="J1831" s="13" t="n">
        <v>16</v>
      </c>
      <c r="K1831" s="1" t="inlineStr"/>
      <c r="L1831" s="13" t="n">
        <v>11</v>
      </c>
      <c r="M1831" s="1">
        <f>IF(L1831="","ไม่พบใน SG",IF(ABS(J1831-L1831)&lt;0.005,"ตรงกัน","ไม่ตรง"))</f>
        <v/>
      </c>
      <c r="N1831" s="14">
        <f>IF(L1831="","",ROUND(L1831*'สรุป'!$C$6,-1))</f>
        <v/>
      </c>
      <c r="O1831" s="15" t="n"/>
      <c r="P1831" s="15" t="n"/>
      <c r="Q1831" s="10" t="n"/>
      <c r="R1831" s="10" t="n"/>
      <c r="S1831" s="16" t="inlineStr">
        <is>
          <t>https://mstgolf.co.th/products/gf3020200421</t>
        </is>
      </c>
      <c r="T1831" s="1">
        <f>IF(B1831="ไม้กอล์ฟ",J1831,"")</f>
        <v/>
      </c>
    </row>
    <row r="1832">
      <c r="A1832" s="1" t="n">
        <v>2</v>
      </c>
      <c r="B1832" s="1" t="inlineStr">
        <is>
          <t>ถุงกอล์ฟ</t>
        </is>
      </c>
      <c r="C1832" s="1" t="inlineStr">
        <is>
          <t>gf3010200534</t>
        </is>
      </c>
      <c r="D1832" s="1" t="inlineStr">
        <is>
          <t>ADIDAS Shoe Bag (Grey)</t>
        </is>
      </c>
      <c r="E1832" s="1" t="inlineStr">
        <is>
          <t>ADIDAS</t>
        </is>
      </c>
      <c r="F1832" s="1" t="inlineStr">
        <is>
          <t>SHOES BAG</t>
        </is>
      </c>
      <c r="G1832" s="1" t="inlineStr">
        <is>
          <t>GF3010200534</t>
        </is>
      </c>
      <c r="H1832" s="1" t="n">
        <v>1</v>
      </c>
      <c r="I1832" s="1" t="inlineStr">
        <is>
          <t>หมด</t>
        </is>
      </c>
      <c r="J1832" s="13" t="n">
        <v>15</v>
      </c>
      <c r="K1832" s="1" t="inlineStr"/>
      <c r="L1832" s="13" t="n">
        <v>15</v>
      </c>
      <c r="M1832" s="1">
        <f>IF(L1832="","ไม่พบใน SG",IF(ABS(J1832-L1832)&lt;0.005,"ตรงกัน","ไม่ตรง"))</f>
        <v/>
      </c>
      <c r="N1832" s="14">
        <f>IF(L1832="","",ROUND(L1832*'สรุป'!$C$6,-1))</f>
        <v/>
      </c>
      <c r="O1832" s="15" t="n"/>
      <c r="P1832" s="15" t="n"/>
      <c r="Q1832" s="10" t="n"/>
      <c r="R1832" s="10" t="n"/>
      <c r="S1832" s="16" t="inlineStr">
        <is>
          <t>https://mstgolf.co.th/products/gf3010200534</t>
        </is>
      </c>
      <c r="T1832" s="1">
        <f>IF(B1832="ไม้กอล์ฟ",J1832,"")</f>
        <v/>
      </c>
    </row>
    <row r="1833">
      <c r="A1833" s="1" t="n">
        <v>2</v>
      </c>
      <c r="B1833" s="1" t="inlineStr">
        <is>
          <t>ถุงมือ</t>
        </is>
      </c>
      <c r="C1833" s="1" t="inlineStr">
        <is>
          <t>gf3020200678</t>
        </is>
      </c>
      <c r="D1833" s="1" t="inlineStr">
        <is>
          <t>TAYLORMADE Durable Grip 3.0 Men's Glove (Black)</t>
        </is>
      </c>
      <c r="E1833" s="1" t="inlineStr">
        <is>
          <t>TAYLORMADE</t>
        </is>
      </c>
      <c r="F1833" s="1" t="inlineStr">
        <is>
          <t>ALL WEATHER</t>
        </is>
      </c>
      <c r="G1833" s="1" t="inlineStr">
        <is>
          <t>GF302020067821</t>
        </is>
      </c>
      <c r="H1833" s="1" t="n">
        <v>6</v>
      </c>
      <c r="I1833" s="1" t="inlineStr">
        <is>
          <t>หมด</t>
        </is>
      </c>
      <c r="J1833" s="13" t="n">
        <v>15</v>
      </c>
      <c r="K1833" s="1" t="inlineStr"/>
      <c r="L1833" s="13" t="n">
        <v>15</v>
      </c>
      <c r="M1833" s="1">
        <f>IF(L1833="","ไม่พบใน SG",IF(ABS(J1833-L1833)&lt;0.005,"ตรงกัน","ไม่ตรง"))</f>
        <v/>
      </c>
      <c r="N1833" s="14">
        <f>IF(L1833="","",ROUND(L1833*'สรุป'!$C$6,-1))</f>
        <v/>
      </c>
      <c r="O1833" s="15" t="n"/>
      <c r="P1833" s="15" t="n"/>
      <c r="Q1833" s="10" t="n"/>
      <c r="R1833" s="10" t="n"/>
      <c r="S1833" s="16" t="inlineStr">
        <is>
          <t>https://mstgolf.co.th/products/gf3020200678</t>
        </is>
      </c>
      <c r="T1833" s="1">
        <f>IF(B1833="ไม้กอล์ฟ",J1833,"")</f>
        <v/>
      </c>
    </row>
    <row r="1834">
      <c r="A1834" s="1" t="n">
        <v>2</v>
      </c>
      <c r="B1834" s="1" t="inlineStr">
        <is>
          <t>ถุงมือ</t>
        </is>
      </c>
      <c r="C1834" s="1" t="inlineStr">
        <is>
          <t>gf3020200698</t>
        </is>
      </c>
      <c r="D1834" s="1" t="inlineStr">
        <is>
          <t>TAYLORMADE Durable Grip 3.0 Men's Glove (White)</t>
        </is>
      </c>
      <c r="E1834" s="1" t="inlineStr">
        <is>
          <t>TAYLORMADE</t>
        </is>
      </c>
      <c r="F1834" s="1" t="inlineStr">
        <is>
          <t>ALL WEATHER</t>
        </is>
      </c>
      <c r="G1834" s="1" t="inlineStr">
        <is>
          <t>GF302020069821</t>
        </is>
      </c>
      <c r="H1834" s="1" t="n">
        <v>6</v>
      </c>
      <c r="I1834" s="1" t="inlineStr">
        <is>
          <t>หมด</t>
        </is>
      </c>
      <c r="J1834" s="13" t="n">
        <v>15</v>
      </c>
      <c r="K1834" s="1" t="inlineStr"/>
      <c r="L1834" s="13" t="n">
        <v>15</v>
      </c>
      <c r="M1834" s="1">
        <f>IF(L1834="","ไม่พบใน SG",IF(ABS(J1834-L1834)&lt;0.005,"ตรงกัน","ไม่ตรง"))</f>
        <v/>
      </c>
      <c r="N1834" s="14">
        <f>IF(L1834="","",ROUND(L1834*'สรุป'!$C$6,-1))</f>
        <v/>
      </c>
      <c r="O1834" s="15" t="n"/>
      <c r="P1834" s="15" t="n"/>
      <c r="Q1834" s="10" t="n"/>
      <c r="R1834" s="10" t="n"/>
      <c r="S1834" s="16" t="inlineStr">
        <is>
          <t>https://mstgolf.co.th/products/gf3020200698</t>
        </is>
      </c>
      <c r="T1834" s="1">
        <f>IF(B1834="ไม้กอล์ฟ",J1834,"")</f>
        <v/>
      </c>
    </row>
    <row r="1835">
      <c r="A1835" s="1" t="n">
        <v>2</v>
      </c>
      <c r="B1835" s="1" t="inlineStr">
        <is>
          <t>ถุงมือ</t>
        </is>
      </c>
      <c r="C1835" s="1" t="inlineStr">
        <is>
          <t>gf3020200717</t>
        </is>
      </c>
      <c r="D1835" s="1" t="inlineStr">
        <is>
          <t>TAYLORMADE Player's All Weather Women's Glove (White/Pink)</t>
        </is>
      </c>
      <c r="E1835" s="1" t="inlineStr">
        <is>
          <t>TAYLORMADE</t>
        </is>
      </c>
      <c r="F1835" s="1" t="inlineStr">
        <is>
          <t>ALL WEATHER</t>
        </is>
      </c>
      <c r="G1835" s="1" t="inlineStr">
        <is>
          <t>GF302020071718</t>
        </is>
      </c>
      <c r="H1835" s="1" t="n">
        <v>4</v>
      </c>
      <c r="I1835" s="1" t="inlineStr">
        <is>
          <t>หมด</t>
        </is>
      </c>
      <c r="J1835" s="13" t="n">
        <v>15</v>
      </c>
      <c r="K1835" s="1" t="inlineStr"/>
      <c r="L1835" s="13" t="n">
        <v>15</v>
      </c>
      <c r="M1835" s="1">
        <f>IF(L1835="","ไม่พบใน SG",IF(ABS(J1835-L1835)&lt;0.005,"ตรงกัน","ไม่ตรง"))</f>
        <v/>
      </c>
      <c r="N1835" s="14">
        <f>IF(L1835="","",ROUND(L1835*'สรุป'!$C$6,-1))</f>
        <v/>
      </c>
      <c r="O1835" s="15" t="n"/>
      <c r="P1835" s="15" t="n"/>
      <c r="Q1835" s="10" t="n"/>
      <c r="R1835" s="10" t="n"/>
      <c r="S1835" s="16" t="inlineStr">
        <is>
          <t>https://mstgolf.co.th/products/gf3020200717</t>
        </is>
      </c>
      <c r="T1835" s="1">
        <f>IF(B1835="ไม้กอล์ฟ",J1835,"")</f>
        <v/>
      </c>
    </row>
    <row r="1836">
      <c r="A1836" s="1" t="n">
        <v>2</v>
      </c>
      <c r="B1836" s="1" t="inlineStr">
        <is>
          <t>รถเข็น</t>
        </is>
      </c>
      <c r="C1836" s="1" t="inlineStr">
        <is>
          <t>gf3030200209</t>
        </is>
      </c>
      <c r="D1836" s="1" t="inlineStr">
        <is>
          <t>GENERAL ITEM TriLite Drink Holder</t>
        </is>
      </c>
      <c r="E1836" s="1" t="inlineStr">
        <is>
          <t>GENERAL ITEM</t>
        </is>
      </c>
      <c r="F1836" s="1" t="inlineStr">
        <is>
          <t>TROLLEY PARTS/ACCESSORIES</t>
        </is>
      </c>
      <c r="G1836" s="1" t="inlineStr">
        <is>
          <t>GF3030200209</t>
        </is>
      </c>
      <c r="H1836" s="1" t="n">
        <v>1</v>
      </c>
      <c r="I1836" s="1" t="inlineStr">
        <is>
          <t>หมด</t>
        </is>
      </c>
      <c r="J1836" s="13" t="n">
        <v>13</v>
      </c>
      <c r="K1836" s="1" t="inlineStr"/>
      <c r="L1836" s="13" t="n">
        <v>13</v>
      </c>
      <c r="M1836" s="1">
        <f>IF(L1836="","ไม่พบใน SG",IF(ABS(J1836-L1836)&lt;0.005,"ตรงกัน","ไม่ตรง"))</f>
        <v/>
      </c>
      <c r="N1836" s="14">
        <f>IF(L1836="","",ROUND(L1836*'สรุป'!$C$6,-1))</f>
        <v/>
      </c>
      <c r="O1836" s="15" t="n"/>
      <c r="P1836" s="15" t="n"/>
      <c r="Q1836" s="10" t="n"/>
      <c r="R1836" s="10" t="n"/>
      <c r="S1836" s="16" t="inlineStr">
        <is>
          <t>https://mstgolf.co.th/products/gf3030200209</t>
        </is>
      </c>
      <c r="T1836" s="1">
        <f>IF(B1836="ไม้กอล์ฟ",J1836,"")</f>
        <v/>
      </c>
    </row>
    <row r="1837">
      <c r="A1837" s="1" t="n">
        <v>2</v>
      </c>
      <c r="B1837" s="1" t="inlineStr">
        <is>
          <t>รถเข็น</t>
        </is>
      </c>
      <c r="C1837" s="1" t="inlineStr">
        <is>
          <t>gf3030200134</t>
        </is>
      </c>
      <c r="D1837" s="1" t="inlineStr">
        <is>
          <t>SUN MOUNTAIN DRINK HOLDER</t>
        </is>
      </c>
      <c r="E1837" s="1" t="inlineStr">
        <is>
          <t>SUN MOUNTAIN</t>
        </is>
      </c>
      <c r="F1837" s="1" t="inlineStr">
        <is>
          <t>TROLLEY PARTS/ACCESSORIES</t>
        </is>
      </c>
      <c r="G1837" s="1" t="inlineStr">
        <is>
          <t>GF3030200134</t>
        </is>
      </c>
      <c r="H1837" s="1" t="n">
        <v>1</v>
      </c>
      <c r="I1837" s="1" t="inlineStr">
        <is>
          <t>หมด</t>
        </is>
      </c>
      <c r="J1837" s="13" t="n">
        <v>13</v>
      </c>
      <c r="K1837" s="1" t="inlineStr"/>
      <c r="L1837" s="13" t="n">
        <v>13</v>
      </c>
      <c r="M1837" s="1">
        <f>IF(L1837="","ไม่พบใน SG",IF(ABS(J1837-L1837)&lt;0.005,"ตรงกัน","ไม่ตรง"))</f>
        <v/>
      </c>
      <c r="N1837" s="14">
        <f>IF(L1837="","",ROUND(L1837*'สรุป'!$C$6,-1))</f>
        <v/>
      </c>
      <c r="O1837" s="15" t="n"/>
      <c r="P1837" s="15" t="n"/>
      <c r="Q1837" s="10" t="n"/>
      <c r="R1837" s="10" t="n"/>
      <c r="S1837" s="16" t="inlineStr">
        <is>
          <t>https://mstgolf.co.th/products/gf3030200134</t>
        </is>
      </c>
      <c r="T1837" s="1">
        <f>IF(B1837="ไม้กอล์ฟ",J1837,"")</f>
        <v/>
      </c>
    </row>
    <row r="1838">
      <c r="A1838" s="1" t="n">
        <v>2</v>
      </c>
      <c r="B1838" s="1" t="inlineStr">
        <is>
          <t>ถุงมือ</t>
        </is>
      </c>
      <c r="C1838" s="1" t="inlineStr">
        <is>
          <t>gf3020200628</t>
        </is>
      </c>
      <c r="D1838" s="1" t="inlineStr">
        <is>
          <t>COBRA Micro-Grip Flex Men's All Weather Glove (White)</t>
        </is>
      </c>
      <c r="E1838" s="1" t="inlineStr">
        <is>
          <t>COBRA</t>
        </is>
      </c>
      <c r="F1838" s="1" t="inlineStr">
        <is>
          <t>ALL WEATHER</t>
        </is>
      </c>
      <c r="G1838" s="1" t="inlineStr">
        <is>
          <t>GF3020200628S</t>
        </is>
      </c>
      <c r="H1838" s="1" t="n">
        <v>5</v>
      </c>
      <c r="I1838" s="1" t="inlineStr">
        <is>
          <t>หมด</t>
        </is>
      </c>
      <c r="J1838" s="13" t="n">
        <v>12</v>
      </c>
      <c r="K1838" s="1" t="inlineStr"/>
      <c r="L1838" s="13" t="n">
        <v>12</v>
      </c>
      <c r="M1838" s="1">
        <f>IF(L1838="","ไม่พบใน SG",IF(ABS(J1838-L1838)&lt;0.005,"ตรงกัน","ไม่ตรง"))</f>
        <v/>
      </c>
      <c r="N1838" s="14">
        <f>IF(L1838="","",ROUND(L1838*'สรุป'!$C$6,-1))</f>
        <v/>
      </c>
      <c r="O1838" s="15" t="n"/>
      <c r="P1838" s="15" t="n"/>
      <c r="Q1838" s="10" t="n"/>
      <c r="R1838" s="10" t="n"/>
      <c r="S1838" s="16" t="inlineStr">
        <is>
          <t>https://mstgolf.co.th/products/gf3020200628</t>
        </is>
      </c>
      <c r="T1838" s="1">
        <f>IF(B1838="ไม้กอล์ฟ",J1838,"")</f>
        <v/>
      </c>
    </row>
    <row r="1839">
      <c r="A1839" s="1" t="n">
        <v>2</v>
      </c>
      <c r="B1839" s="1" t="inlineStr">
        <is>
          <t>ถุงมือ</t>
        </is>
      </c>
      <c r="C1839" s="1" t="inlineStr">
        <is>
          <t>gf3020200715</t>
        </is>
      </c>
      <c r="D1839" s="1" t="inlineStr">
        <is>
          <t>TAYLORMADE RBZ Men's All-Weather Glove (White)</t>
        </is>
      </c>
      <c r="E1839" s="1" t="inlineStr">
        <is>
          <t>TAYLORMADE</t>
        </is>
      </c>
      <c r="F1839" s="1" t="inlineStr">
        <is>
          <t>ALL WEATHER</t>
        </is>
      </c>
      <c r="G1839" s="1" t="inlineStr">
        <is>
          <t>GF302020071520</t>
        </is>
      </c>
      <c r="H1839" s="1" t="n">
        <v>7</v>
      </c>
      <c r="I1839" s="1" t="inlineStr">
        <is>
          <t>หมด</t>
        </is>
      </c>
      <c r="J1839" s="13" t="n">
        <v>11</v>
      </c>
      <c r="K1839" s="1" t="inlineStr"/>
      <c r="L1839" s="13" t="n">
        <v>11</v>
      </c>
      <c r="M1839" s="1">
        <f>IF(L1839="","ไม่พบใน SG",IF(ABS(J1839-L1839)&lt;0.005,"ตรงกัน","ไม่ตรง"))</f>
        <v/>
      </c>
      <c r="N1839" s="14">
        <f>IF(L1839="","",ROUND(L1839*'สรุป'!$C$6,-1))</f>
        <v/>
      </c>
      <c r="O1839" s="15" t="n"/>
      <c r="P1839" s="15" t="n"/>
      <c r="Q1839" s="10" t="n"/>
      <c r="R1839" s="10" t="n"/>
      <c r="S1839" s="16" t="inlineStr">
        <is>
          <t>https://mstgolf.co.th/products/gf3020200715</t>
        </is>
      </c>
      <c r="T1839" s="1">
        <f>IF(B1839="ไม้กอล์ฟ",J1839,"")</f>
        <v/>
      </c>
    </row>
    <row r="1840">
      <c r="A1840" s="1" t="n">
        <v>2</v>
      </c>
      <c r="B1840" s="1" t="inlineStr">
        <is>
          <t>ถุงกอล์ฟ</t>
        </is>
      </c>
      <c r="C1840" s="1" t="inlineStr">
        <is>
          <t>gf3010101343</t>
        </is>
      </c>
      <c r="D1840" s="1" t="inlineStr">
        <is>
          <t>LE COQ SPORTIF GOLF 2-Layer Boston Bag (Blue)</t>
        </is>
      </c>
      <c r="E1840" s="1" t="inlineStr">
        <is>
          <t>LE COQ SPORTIF GOLF</t>
        </is>
      </c>
      <c r="F1840" s="1" t="inlineStr">
        <is>
          <t>BOSTON/DUFFLE BAG</t>
        </is>
      </c>
      <c r="G1840" s="1" t="inlineStr">
        <is>
          <t>GF3010101343</t>
        </is>
      </c>
      <c r="H1840" s="1" t="n">
        <v>1</v>
      </c>
      <c r="I1840" s="1" t="inlineStr">
        <is>
          <t>หมด</t>
        </is>
      </c>
      <c r="J1840" s="13" t="n">
        <v>0</v>
      </c>
      <c r="K1840" s="1" t="inlineStr"/>
      <c r="L1840" s="13" t="n"/>
      <c r="M1840" s="1">
        <f>IF(L1840="","ไม่พบใน SG",IF(ABS(J1840-L1840)&lt;0.005,"ตรงกัน","ไม่ตรง"))</f>
        <v/>
      </c>
      <c r="N1840" s="14">
        <f>IF(L1840="","",ROUND(L1840*'สรุป'!$C$6,-1))</f>
        <v/>
      </c>
      <c r="O1840" s="15" t="n"/>
      <c r="P1840" s="15" t="n"/>
      <c r="Q1840" s="10" t="n"/>
      <c r="R1840" s="10" t="n"/>
      <c r="S1840" s="16" t="inlineStr">
        <is>
          <t>https://mstgolf.co.th/products/gf3010101343</t>
        </is>
      </c>
      <c r="T1840" s="1">
        <f>IF(B1840="ไม้กอล์ฟ",J1840,"")</f>
        <v/>
      </c>
    </row>
    <row r="1841">
      <c r="A1841" s="1" t="n">
        <v>3</v>
      </c>
      <c r="B1841" s="1" t="inlineStr">
        <is>
          <t>เสื้อผ้า</t>
        </is>
      </c>
      <c r="C1841" s="1" t="inlineStr">
        <is>
          <t>gf2040300153</t>
        </is>
      </c>
      <c r="D1841" s="1" t="inlineStr">
        <is>
          <t>BOSS GOLF Summer Dress (Dark Navy)</t>
        </is>
      </c>
      <c r="E1841" s="1" t="inlineStr">
        <is>
          <t>BOSS GOLF</t>
        </is>
      </c>
      <c r="F1841" s="1" t="inlineStr">
        <is>
          <t>DRESS</t>
        </is>
      </c>
      <c r="G1841" s="1" t="inlineStr">
        <is>
          <t>GF204030015385</t>
        </is>
      </c>
      <c r="H1841" s="1" t="n">
        <v>4</v>
      </c>
      <c r="I1841" s="1" t="inlineStr">
        <is>
          <t>มี</t>
        </is>
      </c>
      <c r="J1841" s="13" t="n">
        <v>439</v>
      </c>
      <c r="K1841" s="1" t="inlineStr"/>
      <c r="L1841" s="13" t="n"/>
      <c r="M1841" s="1">
        <f>IF(L1841="","ไม่พบใน SG",IF(ABS(J1841-L1841)&lt;0.005,"ตรงกัน","ไม่ตรง"))</f>
        <v/>
      </c>
      <c r="N1841" s="14">
        <f>IF(L1841="","",ROUND(L1841*'สรุป'!$C$6,-1))</f>
        <v/>
      </c>
      <c r="O1841" s="15" t="n"/>
      <c r="P1841" s="15" t="n"/>
      <c r="Q1841" s="10" t="n"/>
      <c r="R1841" s="10" t="n"/>
      <c r="S1841" s="16" t="inlineStr">
        <is>
          <t>https://mstgolf.co.th/products/gf2040300153</t>
        </is>
      </c>
      <c r="T1841" s="1">
        <f>IF(B1841="ไม้กอล์ฟ",J1841,"")</f>
        <v/>
      </c>
    </row>
    <row r="1842">
      <c r="A1842" s="1" t="n">
        <v>3</v>
      </c>
      <c r="B1842" s="1" t="inlineStr">
        <is>
          <t>เสื้อผ้า</t>
        </is>
      </c>
      <c r="C1842" s="1" t="inlineStr">
        <is>
          <t>gf2060100928</t>
        </is>
      </c>
      <c r="D1842" s="1" t="inlineStr">
        <is>
          <t>PXG Performance Woven Men's Jacket (Black)</t>
        </is>
      </c>
      <c r="E1842" s="1" t="inlineStr">
        <is>
          <t>PXG</t>
        </is>
      </c>
      <c r="F1842" s="1" t="inlineStr">
        <is>
          <t>TOP</t>
        </is>
      </c>
      <c r="G1842" s="1" t="inlineStr">
        <is>
          <t>GF2060100928M</t>
        </is>
      </c>
      <c r="H1842" s="1" t="n">
        <v>4</v>
      </c>
      <c r="I1842" s="1" t="inlineStr">
        <is>
          <t>มี</t>
        </is>
      </c>
      <c r="J1842" s="13" t="n">
        <v>439</v>
      </c>
      <c r="K1842" s="1" t="inlineStr"/>
      <c r="L1842" s="13" t="n">
        <v>439</v>
      </c>
      <c r="M1842" s="1">
        <f>IF(L1842="","ไม่พบใน SG",IF(ABS(J1842-L1842)&lt;0.005,"ตรงกัน","ไม่ตรง"))</f>
        <v/>
      </c>
      <c r="N1842" s="14">
        <f>IF(L1842="","",ROUND(L1842*'สรุป'!$C$6,-1))</f>
        <v/>
      </c>
      <c r="O1842" s="15" t="n"/>
      <c r="P1842" s="15" t="n"/>
      <c r="Q1842" s="10" t="n"/>
      <c r="R1842" s="10" t="n"/>
      <c r="S1842" s="16" t="inlineStr">
        <is>
          <t>https://mstgolf.co.th/products/gf2060100928</t>
        </is>
      </c>
      <c r="T1842" s="1">
        <f>IF(B1842="ไม้กอล์ฟ",J1842,"")</f>
        <v/>
      </c>
    </row>
    <row r="1843">
      <c r="A1843" s="1" t="n">
        <v>3</v>
      </c>
      <c r="B1843" s="1" t="inlineStr">
        <is>
          <t>เสื้อผ้า</t>
        </is>
      </c>
      <c r="C1843" s="1" t="inlineStr">
        <is>
          <t>gf2040300180</t>
        </is>
      </c>
      <c r="D1843" s="1" t="inlineStr">
        <is>
          <t>WAAC Women's Jacquard Dress (Dark Navy)</t>
        </is>
      </c>
      <c r="E1843" s="1" t="inlineStr">
        <is>
          <t>WAAC</t>
        </is>
      </c>
      <c r="F1843" s="1" t="inlineStr">
        <is>
          <t>DRESS</t>
        </is>
      </c>
      <c r="G1843" s="1" t="inlineStr">
        <is>
          <t>GF2040300180XS</t>
        </is>
      </c>
      <c r="H1843" s="1" t="n">
        <v>3</v>
      </c>
      <c r="I1843" s="1" t="inlineStr">
        <is>
          <t>มี</t>
        </is>
      </c>
      <c r="J1843" s="13" t="n">
        <v>420</v>
      </c>
      <c r="K1843" s="1" t="inlineStr"/>
      <c r="L1843" s="13" t="n">
        <v>420</v>
      </c>
      <c r="M1843" s="1">
        <f>IF(L1843="","ไม่พบใน SG",IF(ABS(J1843-L1843)&lt;0.005,"ตรงกัน","ไม่ตรง"))</f>
        <v/>
      </c>
      <c r="N1843" s="14">
        <f>IF(L1843="","",ROUND(L1843*'สรุป'!$C$6,-1))</f>
        <v/>
      </c>
      <c r="O1843" s="15" t="n"/>
      <c r="P1843" s="15" t="n"/>
      <c r="Q1843" s="10" t="n"/>
      <c r="R1843" s="10" t="n"/>
      <c r="S1843" s="16" t="inlineStr">
        <is>
          <t>https://mstgolf.co.th/products/gf2040300180</t>
        </is>
      </c>
      <c r="T1843" s="1">
        <f>IF(B1843="ไม้กอล์ฟ",J1843,"")</f>
        <v/>
      </c>
    </row>
    <row r="1844">
      <c r="A1844" s="1" t="n">
        <v>3</v>
      </c>
      <c r="B1844" s="1" t="inlineStr">
        <is>
          <t>เสื้อผ้า</t>
        </is>
      </c>
      <c r="C1844" s="1" t="inlineStr">
        <is>
          <t>gf2040300181</t>
        </is>
      </c>
      <c r="D1844" s="1" t="inlineStr">
        <is>
          <t>WAAC Women's Jacquard Dress (White)</t>
        </is>
      </c>
      <c r="E1844" s="1" t="inlineStr">
        <is>
          <t>WAAC</t>
        </is>
      </c>
      <c r="F1844" s="1" t="inlineStr">
        <is>
          <t>DRESS</t>
        </is>
      </c>
      <c r="G1844" s="1" t="inlineStr">
        <is>
          <t>GF2040300181XS</t>
        </is>
      </c>
      <c r="H1844" s="1" t="n">
        <v>3</v>
      </c>
      <c r="I1844" s="1" t="inlineStr">
        <is>
          <t>มี</t>
        </is>
      </c>
      <c r="J1844" s="13" t="n">
        <v>420</v>
      </c>
      <c r="K1844" s="1" t="inlineStr"/>
      <c r="L1844" s="13" t="n">
        <v>420</v>
      </c>
      <c r="M1844" s="1">
        <f>IF(L1844="","ไม่พบใน SG",IF(ABS(J1844-L1844)&lt;0.005,"ตรงกัน","ไม่ตรง"))</f>
        <v/>
      </c>
      <c r="N1844" s="14">
        <f>IF(L1844="","",ROUND(L1844*'สรุป'!$C$6,-1))</f>
        <v/>
      </c>
      <c r="O1844" s="15" t="n"/>
      <c r="P1844" s="15" t="n"/>
      <c r="Q1844" s="10" t="n"/>
      <c r="R1844" s="10" t="n"/>
      <c r="S1844" s="16" t="inlineStr">
        <is>
          <t>https://mstgolf.co.th/products/gf2040300181</t>
        </is>
      </c>
      <c r="T1844" s="1">
        <f>IF(B1844="ไม้กอล์ฟ",J1844,"")</f>
        <v/>
      </c>
    </row>
    <row r="1845">
      <c r="A1845" s="1" t="n">
        <v>3</v>
      </c>
      <c r="B1845" s="1" t="inlineStr">
        <is>
          <t>เสื้อผ้า</t>
        </is>
      </c>
      <c r="C1845" s="1" t="inlineStr">
        <is>
          <t>gf2060100874</t>
        </is>
      </c>
      <c r="D1845" s="1" t="inlineStr">
        <is>
          <t>PXG Half Zip Men's Jacket (Black)</t>
        </is>
      </c>
      <c r="E1845" s="1" t="inlineStr">
        <is>
          <t>PXG</t>
        </is>
      </c>
      <c r="F1845" s="1" t="inlineStr">
        <is>
          <t>TOP</t>
        </is>
      </c>
      <c r="G1845" s="1" t="inlineStr">
        <is>
          <t>GF2060100874S</t>
        </is>
      </c>
      <c r="H1845" s="1" t="n">
        <v>5</v>
      </c>
      <c r="I1845" s="1" t="inlineStr">
        <is>
          <t>มี</t>
        </is>
      </c>
      <c r="J1845" s="13" t="n">
        <v>399</v>
      </c>
      <c r="K1845" s="1" t="inlineStr"/>
      <c r="L1845" s="13" t="n">
        <v>399</v>
      </c>
      <c r="M1845" s="1">
        <f>IF(L1845="","ไม่พบใน SG",IF(ABS(J1845-L1845)&lt;0.005,"ตรงกัน","ไม่ตรง"))</f>
        <v/>
      </c>
      <c r="N1845" s="14">
        <f>IF(L1845="","",ROUND(L1845*'สรุป'!$C$6,-1))</f>
        <v/>
      </c>
      <c r="O1845" s="15" t="n"/>
      <c r="P1845" s="15" t="n"/>
      <c r="Q1845" s="10" t="n"/>
      <c r="R1845" s="10" t="n"/>
      <c r="S1845" s="16" t="inlineStr">
        <is>
          <t>https://mstgolf.co.th/products/gf2060100874</t>
        </is>
      </c>
      <c r="T1845" s="1">
        <f>IF(B1845="ไม้กอล์ฟ",J1845,"")</f>
        <v/>
      </c>
    </row>
    <row r="1846">
      <c r="A1846" s="1" t="n">
        <v>3</v>
      </c>
      <c r="B1846" s="1" t="inlineStr">
        <is>
          <t>เสื้อผ้า</t>
        </is>
      </c>
      <c r="C1846" s="1" t="inlineStr">
        <is>
          <t>gf2020300076</t>
        </is>
      </c>
      <c r="D1846" s="1" t="inlineStr">
        <is>
          <t>WAAC Denim-Like Pleated Skort (Navy)</t>
        </is>
      </c>
      <c r="E1846" s="1" t="inlineStr">
        <is>
          <t>WAAC</t>
        </is>
      </c>
      <c r="F1846" s="1" t="inlineStr">
        <is>
          <t>SKORTS</t>
        </is>
      </c>
      <c r="G1846" s="1" t="inlineStr">
        <is>
          <t>GF202030007623</t>
        </is>
      </c>
      <c r="H1846" s="1" t="n">
        <v>7</v>
      </c>
      <c r="I1846" s="1" t="inlineStr">
        <is>
          <t>มี</t>
        </is>
      </c>
      <c r="J1846" s="13" t="n">
        <v>390</v>
      </c>
      <c r="K1846" s="1" t="inlineStr"/>
      <c r="L1846" s="13" t="n">
        <v>390</v>
      </c>
      <c r="M1846" s="1">
        <f>IF(L1846="","ไม่พบใน SG",IF(ABS(J1846-L1846)&lt;0.005,"ตรงกัน","ไม่ตรง"))</f>
        <v/>
      </c>
      <c r="N1846" s="14">
        <f>IF(L1846="","",ROUND(L1846*'สรุป'!$C$6,-1))</f>
        <v/>
      </c>
      <c r="O1846" s="15" t="n"/>
      <c r="P1846" s="15" t="n"/>
      <c r="Q1846" s="10" t="n"/>
      <c r="R1846" s="10" t="n"/>
      <c r="S1846" s="16" t="inlineStr">
        <is>
          <t>https://mstgolf.co.th/products/gf2020300076</t>
        </is>
      </c>
      <c r="T1846" s="1">
        <f>IF(B1846="ไม้กอล์ฟ",J1846,"")</f>
        <v/>
      </c>
    </row>
    <row r="1847">
      <c r="A1847" s="1" t="n">
        <v>3</v>
      </c>
      <c r="B1847" s="1" t="inlineStr">
        <is>
          <t>เสื้อผ้า</t>
        </is>
      </c>
      <c r="C1847" s="1" t="inlineStr">
        <is>
          <t>gf2060101001</t>
        </is>
      </c>
      <c r="D1847" s="1" t="inlineStr">
        <is>
          <t>GFORE Tonal Floral Maverick 4-Way Stretch Women's Jacket (Stone)</t>
        </is>
      </c>
      <c r="E1847" s="1" t="inlineStr">
        <is>
          <t>GFORE</t>
        </is>
      </c>
      <c r="F1847" s="1" t="inlineStr">
        <is>
          <t>TOP</t>
        </is>
      </c>
      <c r="G1847" s="1" t="inlineStr">
        <is>
          <t>GF2060101001XS</t>
        </is>
      </c>
      <c r="H1847" s="1" t="n">
        <v>6</v>
      </c>
      <c r="I1847" s="1" t="inlineStr">
        <is>
          <t>มี</t>
        </is>
      </c>
      <c r="J1847" s="13" t="n">
        <v>349</v>
      </c>
      <c r="K1847" s="1" t="inlineStr"/>
      <c r="L1847" s="13" t="n">
        <v>249</v>
      </c>
      <c r="M1847" s="1">
        <f>IF(L1847="","ไม่พบใน SG",IF(ABS(J1847-L1847)&lt;0.005,"ตรงกัน","ไม่ตรง"))</f>
        <v/>
      </c>
      <c r="N1847" s="14">
        <f>IF(L1847="","",ROUND(L1847*'สรุป'!$C$6,-1))</f>
        <v/>
      </c>
      <c r="O1847" s="15" t="n"/>
      <c r="P1847" s="15" t="n"/>
      <c r="Q1847" s="10" t="n"/>
      <c r="R1847" s="10" t="n"/>
      <c r="S1847" s="16" t="inlineStr">
        <is>
          <t>https://mstgolf.co.th/products/gf2060101001</t>
        </is>
      </c>
      <c r="T1847" s="1">
        <f>IF(B1847="ไม้กอล์ฟ",J1847,"")</f>
        <v/>
      </c>
    </row>
    <row r="1848">
      <c r="A1848" s="1" t="n">
        <v>3</v>
      </c>
      <c r="B1848" s="1" t="inlineStr">
        <is>
          <t>เสื้อผ้า</t>
        </is>
      </c>
      <c r="C1848" s="1" t="inlineStr">
        <is>
          <t>gf2060101268</t>
        </is>
      </c>
      <c r="D1848" s="1" t="inlineStr">
        <is>
          <t>ADIDAS Ultimate365 Tour CLIMAPROOF+ Full-Zip Men's Jacket (Black)</t>
        </is>
      </c>
      <c r="E1848" s="1" t="inlineStr">
        <is>
          <t>ADIDAS</t>
        </is>
      </c>
      <c r="F1848" s="1" t="inlineStr">
        <is>
          <t>TOP</t>
        </is>
      </c>
      <c r="G1848" s="1" t="inlineStr">
        <is>
          <t>GF2060101268XS</t>
        </is>
      </c>
      <c r="H1848" s="1" t="n">
        <v>6</v>
      </c>
      <c r="I1848" s="1" t="inlineStr">
        <is>
          <t>มี</t>
        </is>
      </c>
      <c r="J1848" s="13" t="n">
        <v>339</v>
      </c>
      <c r="K1848" s="1" t="inlineStr"/>
      <c r="L1848" s="13" t="n">
        <v>169</v>
      </c>
      <c r="M1848" s="1">
        <f>IF(L1848="","ไม่พบใน SG",IF(ABS(J1848-L1848)&lt;0.005,"ตรงกัน","ไม่ตรง"))</f>
        <v/>
      </c>
      <c r="N1848" s="14">
        <f>IF(L1848="","",ROUND(L1848*'สรุป'!$C$6,-1))</f>
        <v/>
      </c>
      <c r="O1848" s="15" t="n"/>
      <c r="P1848" s="15" t="n"/>
      <c r="Q1848" s="10" t="n"/>
      <c r="R1848" s="10" t="n"/>
      <c r="S1848" s="16" t="inlineStr">
        <is>
          <t>https://mstgolf.co.th/products/gf2060101268</t>
        </is>
      </c>
      <c r="T1848" s="1">
        <f>IF(B1848="ไม้กอล์ฟ",J1848,"")</f>
        <v/>
      </c>
    </row>
    <row r="1849">
      <c r="A1849" s="1" t="n">
        <v>3</v>
      </c>
      <c r="B1849" s="1" t="inlineStr">
        <is>
          <t>เสื้อผ้า</t>
        </is>
      </c>
      <c r="C1849" s="1" t="inlineStr">
        <is>
          <t>gf2020101944</t>
        </is>
      </c>
      <c r="D1849" s="1" t="inlineStr">
        <is>
          <t>PXG X Cut Women's Pants (Black)</t>
        </is>
      </c>
      <c r="E1849" s="1" t="inlineStr">
        <is>
          <t>PXG</t>
        </is>
      </c>
      <c r="F1849" s="1" t="inlineStr">
        <is>
          <t>LONG PANTS</t>
        </is>
      </c>
      <c r="G1849" s="1" t="inlineStr">
        <is>
          <t>GF2020101944S</t>
        </is>
      </c>
      <c r="H1849" s="1" t="n">
        <v>5</v>
      </c>
      <c r="I1849" s="1" t="inlineStr">
        <is>
          <t>มี</t>
        </is>
      </c>
      <c r="J1849" s="13" t="n">
        <v>339</v>
      </c>
      <c r="K1849" s="1" t="inlineStr"/>
      <c r="L1849" s="13" t="n">
        <v>339</v>
      </c>
      <c r="M1849" s="1">
        <f>IF(L1849="","ไม่พบใน SG",IF(ABS(J1849-L1849)&lt;0.005,"ตรงกัน","ไม่ตรง"))</f>
        <v/>
      </c>
      <c r="N1849" s="14">
        <f>IF(L1849="","",ROUND(L1849*'สรุป'!$C$6,-1))</f>
        <v/>
      </c>
      <c r="O1849" s="15" t="n"/>
      <c r="P1849" s="15" t="n"/>
      <c r="Q1849" s="10" t="n"/>
      <c r="R1849" s="10" t="n"/>
      <c r="S1849" s="16" t="inlineStr">
        <is>
          <t>https://mstgolf.co.th/products/gf2020101944</t>
        </is>
      </c>
      <c r="T1849" s="1">
        <f>IF(B1849="ไม้กอล์ฟ",J1849,"")</f>
        <v/>
      </c>
    </row>
    <row r="1850">
      <c r="A1850" s="1" t="n">
        <v>3</v>
      </c>
      <c r="B1850" s="1" t="inlineStr">
        <is>
          <t>เสื้อผ้า</t>
        </is>
      </c>
      <c r="C1850" s="1" t="inlineStr">
        <is>
          <t>gf2020202107</t>
        </is>
      </c>
      <c r="D1850" s="1" t="inlineStr">
        <is>
          <t>PXG Pleated Women's Skorts (Black)</t>
        </is>
      </c>
      <c r="E1850" s="1" t="inlineStr">
        <is>
          <t>PXG</t>
        </is>
      </c>
      <c r="F1850" s="1" t="inlineStr">
        <is>
          <t>SHORT PANTS</t>
        </is>
      </c>
      <c r="G1850" s="1" t="inlineStr">
        <is>
          <t>GF2020202107XS</t>
        </is>
      </c>
      <c r="H1850" s="1" t="n">
        <v>6</v>
      </c>
      <c r="I1850" s="1" t="inlineStr">
        <is>
          <t>มี</t>
        </is>
      </c>
      <c r="J1850" s="13" t="n">
        <v>329</v>
      </c>
      <c r="K1850" s="1" t="inlineStr"/>
      <c r="L1850" s="13" t="n">
        <v>329</v>
      </c>
      <c r="M1850" s="1">
        <f>IF(L1850="","ไม่พบใน SG",IF(ABS(J1850-L1850)&lt;0.005,"ตรงกัน","ไม่ตรง"))</f>
        <v/>
      </c>
      <c r="N1850" s="14">
        <f>IF(L1850="","",ROUND(L1850*'สรุป'!$C$6,-1))</f>
        <v/>
      </c>
      <c r="O1850" s="15" t="n"/>
      <c r="P1850" s="15" t="n"/>
      <c r="Q1850" s="10" t="n"/>
      <c r="R1850" s="10" t="n"/>
      <c r="S1850" s="16" t="inlineStr">
        <is>
          <t>https://mstgolf.co.th/products/gf2020202107</t>
        </is>
      </c>
      <c r="T1850" s="1">
        <f>IF(B1850="ไม้กอล์ฟ",J1850,"")</f>
        <v/>
      </c>
    </row>
    <row r="1851">
      <c r="A1851" s="1" t="n">
        <v>3</v>
      </c>
      <c r="B1851" s="1" t="inlineStr">
        <is>
          <t>เสื้อผ้า</t>
        </is>
      </c>
      <c r="C1851" s="1" t="inlineStr">
        <is>
          <t>gf2040401364</t>
        </is>
      </c>
      <c r="D1851" s="1" t="inlineStr">
        <is>
          <t>BOSS GOLF BWC Neck Point Women's Long Sleeve Polo (Black)</t>
        </is>
      </c>
      <c r="E1851" s="1" t="inlineStr">
        <is>
          <t>BOSS GOLF</t>
        </is>
      </c>
      <c r="F1851" s="1" t="inlineStr">
        <is>
          <t>LONG SLEEVES</t>
        </is>
      </c>
      <c r="G1851" s="1" t="inlineStr">
        <is>
          <t>GF20404013642XL</t>
        </is>
      </c>
      <c r="H1851" s="1" t="n">
        <v>10</v>
      </c>
      <c r="I1851" s="1" t="inlineStr">
        <is>
          <t>มี</t>
        </is>
      </c>
      <c r="J1851" s="13" t="n">
        <v>319</v>
      </c>
      <c r="K1851" s="1" t="inlineStr"/>
      <c r="L1851" s="13" t="n"/>
      <c r="M1851" s="1">
        <f>IF(L1851="","ไม่พบใน SG",IF(ABS(J1851-L1851)&lt;0.005,"ตรงกัน","ไม่ตรง"))</f>
        <v/>
      </c>
      <c r="N1851" s="14">
        <f>IF(L1851="","",ROUND(L1851*'สรุป'!$C$6,-1))</f>
        <v/>
      </c>
      <c r="O1851" s="15" t="n"/>
      <c r="P1851" s="15" t="n"/>
      <c r="Q1851" s="10" t="n"/>
      <c r="R1851" s="10" t="n"/>
      <c r="S1851" s="16" t="inlineStr">
        <is>
          <t>https://mstgolf.co.th/products/gf2040401364</t>
        </is>
      </c>
      <c r="T1851" s="1">
        <f>IF(B1851="ไม้กอล์ฟ",J1851,"")</f>
        <v/>
      </c>
    </row>
    <row r="1852">
      <c r="A1852" s="1" t="n">
        <v>3</v>
      </c>
      <c r="B1852" s="1" t="inlineStr">
        <is>
          <t>เสื้อผ้า</t>
        </is>
      </c>
      <c r="C1852" s="1" t="inlineStr">
        <is>
          <t>gf2060101005</t>
        </is>
      </c>
      <c r="D1852" s="1" t="inlineStr">
        <is>
          <t>GFORE Weather Resistant Repeller Men's Jacket (Onyx)</t>
        </is>
      </c>
      <c r="E1852" s="1" t="inlineStr">
        <is>
          <t>GFORE</t>
        </is>
      </c>
      <c r="F1852" s="1" t="inlineStr">
        <is>
          <t>TOP</t>
        </is>
      </c>
      <c r="G1852" s="1" t="inlineStr">
        <is>
          <t>GF2060101005XS</t>
        </is>
      </c>
      <c r="H1852" s="1" t="n">
        <v>6</v>
      </c>
      <c r="I1852" s="1" t="inlineStr">
        <is>
          <t>มี</t>
        </is>
      </c>
      <c r="J1852" s="13" t="n">
        <v>319</v>
      </c>
      <c r="K1852" s="1" t="inlineStr"/>
      <c r="L1852" s="13" t="n">
        <v>229</v>
      </c>
      <c r="M1852" s="1">
        <f>IF(L1852="","ไม่พบใน SG",IF(ABS(J1852-L1852)&lt;0.005,"ตรงกัน","ไม่ตรง"))</f>
        <v/>
      </c>
      <c r="N1852" s="14">
        <f>IF(L1852="","",ROUND(L1852*'สรุป'!$C$6,-1))</f>
        <v/>
      </c>
      <c r="O1852" s="15" t="n"/>
      <c r="P1852" s="15" t="n"/>
      <c r="Q1852" s="10" t="n"/>
      <c r="R1852" s="10" t="n"/>
      <c r="S1852" s="16" t="inlineStr">
        <is>
          <t>https://mstgolf.co.th/products/gf2060101005</t>
        </is>
      </c>
      <c r="T1852" s="1">
        <f>IF(B1852="ไม้กอล์ฟ",J1852,"")</f>
        <v/>
      </c>
    </row>
    <row r="1853">
      <c r="A1853" s="1" t="n">
        <v>3</v>
      </c>
      <c r="B1853" s="1" t="inlineStr">
        <is>
          <t>เสื้อผ้า</t>
        </is>
      </c>
      <c r="C1853" s="1" t="inlineStr">
        <is>
          <t>gf2060101006</t>
        </is>
      </c>
      <c r="D1853" s="1" t="inlineStr">
        <is>
          <t>GFORE Weather Resistant Repeller Men's Jacket (Stone)</t>
        </is>
      </c>
      <c r="E1853" s="1" t="inlineStr">
        <is>
          <t>GFORE</t>
        </is>
      </c>
      <c r="F1853" s="1" t="inlineStr">
        <is>
          <t>TOP</t>
        </is>
      </c>
      <c r="G1853" s="1" t="inlineStr">
        <is>
          <t>GF2060101006XS</t>
        </is>
      </c>
      <c r="H1853" s="1" t="n">
        <v>6</v>
      </c>
      <c r="I1853" s="1" t="inlineStr">
        <is>
          <t>มี</t>
        </is>
      </c>
      <c r="J1853" s="13" t="n">
        <v>319</v>
      </c>
      <c r="K1853" s="1" t="inlineStr"/>
      <c r="L1853" s="13" t="n">
        <v>229</v>
      </c>
      <c r="M1853" s="1">
        <f>IF(L1853="","ไม่พบใน SG",IF(ABS(J1853-L1853)&lt;0.005,"ตรงกัน","ไม่ตรง"))</f>
        <v/>
      </c>
      <c r="N1853" s="14">
        <f>IF(L1853="","",ROUND(L1853*'สรุป'!$C$6,-1))</f>
        <v/>
      </c>
      <c r="O1853" s="15" t="n"/>
      <c r="P1853" s="15" t="n"/>
      <c r="Q1853" s="10" t="n"/>
      <c r="R1853" s="10" t="n"/>
      <c r="S1853" s="16" t="inlineStr">
        <is>
          <t>https://mstgolf.co.th/products/gf2060101006</t>
        </is>
      </c>
      <c r="T1853" s="1">
        <f>IF(B1853="ไม้กอล์ฟ",J1853,"")</f>
        <v/>
      </c>
    </row>
    <row r="1854">
      <c r="A1854" s="1" t="n">
        <v>3</v>
      </c>
      <c r="B1854" s="1" t="inlineStr">
        <is>
          <t>เสื้อผ้า</t>
        </is>
      </c>
      <c r="C1854" s="1" t="inlineStr">
        <is>
          <t>gf2041200334</t>
        </is>
      </c>
      <c r="D1854" s="1" t="inlineStr">
        <is>
          <t>PETER MILLAR Amalfi Linen Men's Sport Shirt (Indigo)</t>
        </is>
      </c>
      <c r="E1854" s="1" t="inlineStr">
        <is>
          <t>PETER MILLAR</t>
        </is>
      </c>
      <c r="F1854" s="1" t="inlineStr">
        <is>
          <t>WOVEN</t>
        </is>
      </c>
      <c r="G1854" s="1" t="inlineStr">
        <is>
          <t>GF2041200334S</t>
        </is>
      </c>
      <c r="H1854" s="1" t="n">
        <v>5</v>
      </c>
      <c r="I1854" s="1" t="inlineStr">
        <is>
          <t>มี</t>
        </is>
      </c>
      <c r="J1854" s="13" t="n">
        <v>315</v>
      </c>
      <c r="K1854" s="1" t="inlineStr"/>
      <c r="L1854" s="13" t="n">
        <v>315</v>
      </c>
      <c r="M1854" s="1">
        <f>IF(L1854="","ไม่พบใน SG",IF(ABS(J1854-L1854)&lt;0.005,"ตรงกัน","ไม่ตรง"))</f>
        <v/>
      </c>
      <c r="N1854" s="14">
        <f>IF(L1854="","",ROUND(L1854*'สรุป'!$C$6,-1))</f>
        <v/>
      </c>
      <c r="O1854" s="15" t="n"/>
      <c r="P1854" s="15" t="n"/>
      <c r="Q1854" s="10" t="n"/>
      <c r="R1854" s="10" t="n"/>
      <c r="S1854" s="16" t="inlineStr">
        <is>
          <t>https://mstgolf.co.th/products/gf2041200334</t>
        </is>
      </c>
      <c r="T1854" s="1">
        <f>IF(B1854="ไม้กอล์ฟ",J1854,"")</f>
        <v/>
      </c>
    </row>
    <row r="1855">
      <c r="A1855" s="1" t="n">
        <v>3</v>
      </c>
      <c r="B1855" s="1" t="inlineStr">
        <is>
          <t>เสื้อผ้า</t>
        </is>
      </c>
      <c r="C1855" s="1" t="inlineStr">
        <is>
          <t>gf2020300074</t>
        </is>
      </c>
      <c r="D1855" s="1" t="inlineStr">
        <is>
          <t>WAAC Essential Pleated Skort (Black)</t>
        </is>
      </c>
      <c r="E1855" s="1" t="inlineStr">
        <is>
          <t>WAAC</t>
        </is>
      </c>
      <c r="F1855" s="1" t="inlineStr">
        <is>
          <t>SKORTS</t>
        </is>
      </c>
      <c r="G1855" s="1" t="inlineStr">
        <is>
          <t>GF202030007423</t>
        </is>
      </c>
      <c r="H1855" s="1" t="n">
        <v>7</v>
      </c>
      <c r="I1855" s="1" t="inlineStr">
        <is>
          <t>มี</t>
        </is>
      </c>
      <c r="J1855" s="13" t="n">
        <v>310</v>
      </c>
      <c r="K1855" s="1" t="inlineStr"/>
      <c r="L1855" s="13" t="n">
        <v>310</v>
      </c>
      <c r="M1855" s="1">
        <f>IF(L1855="","ไม่พบใน SG",IF(ABS(J1855-L1855)&lt;0.005,"ตรงกัน","ไม่ตรง"))</f>
        <v/>
      </c>
      <c r="N1855" s="14">
        <f>IF(L1855="","",ROUND(L1855*'สรุป'!$C$6,-1))</f>
        <v/>
      </c>
      <c r="O1855" s="15" t="n"/>
      <c r="P1855" s="15" t="n"/>
      <c r="Q1855" s="10" t="n"/>
      <c r="R1855" s="10" t="n"/>
      <c r="S1855" s="16" t="inlineStr">
        <is>
          <t>https://mstgolf.co.th/products/gf2020300074</t>
        </is>
      </c>
      <c r="T1855" s="1">
        <f>IF(B1855="ไม้กอล์ฟ",J1855,"")</f>
        <v/>
      </c>
    </row>
    <row r="1856">
      <c r="A1856" s="1" t="n">
        <v>3</v>
      </c>
      <c r="B1856" s="1" t="inlineStr">
        <is>
          <t>เสื้อผ้า</t>
        </is>
      </c>
      <c r="C1856" s="1" t="inlineStr">
        <is>
          <t>gf2040119994</t>
        </is>
      </c>
      <c r="D1856" s="1" t="inlineStr">
        <is>
          <t>WAAC Women Mesh Polo Knit Vest (Yellow)</t>
        </is>
      </c>
      <c r="E1856" s="1" t="inlineStr">
        <is>
          <t>WAAC</t>
        </is>
      </c>
      <c r="F1856" s="1" t="inlineStr">
        <is>
          <t>SHORT SLEEVES</t>
        </is>
      </c>
      <c r="G1856" s="1" t="inlineStr">
        <is>
          <t>GF2040119994XS</t>
        </is>
      </c>
      <c r="H1856" s="1" t="n">
        <v>6</v>
      </c>
      <c r="I1856" s="1" t="inlineStr">
        <is>
          <t>มี</t>
        </is>
      </c>
      <c r="J1856" s="13" t="n">
        <v>310</v>
      </c>
      <c r="K1856" s="1" t="inlineStr"/>
      <c r="L1856" s="13" t="n">
        <v>310</v>
      </c>
      <c r="M1856" s="1">
        <f>IF(L1856="","ไม่พบใน SG",IF(ABS(J1856-L1856)&lt;0.005,"ตรงกัน","ไม่ตรง"))</f>
        <v/>
      </c>
      <c r="N1856" s="14">
        <f>IF(L1856="","",ROUND(L1856*'สรุป'!$C$6,-1))</f>
        <v/>
      </c>
      <c r="O1856" s="15" t="n"/>
      <c r="P1856" s="15" t="n"/>
      <c r="Q1856" s="10" t="n"/>
      <c r="R1856" s="10" t="n"/>
      <c r="S1856" s="16" t="inlineStr">
        <is>
          <t>https://mstgolf.co.th/products/gf2040119994</t>
        </is>
      </c>
      <c r="T1856" s="1">
        <f>IF(B1856="ไม้กอล์ฟ",J1856,"")</f>
        <v/>
      </c>
    </row>
    <row r="1857">
      <c r="A1857" s="1" t="n">
        <v>3</v>
      </c>
      <c r="B1857" s="1" t="inlineStr">
        <is>
          <t>อุปกรณ์เสริม</t>
        </is>
      </c>
      <c r="C1857" s="1" t="inlineStr">
        <is>
          <t>gf3130100403</t>
        </is>
      </c>
      <c r="D1857" s="1" t="inlineStr">
        <is>
          <t>OAKLEY Sutro Prizm Sunglasses</t>
        </is>
      </c>
      <c r="E1857" s="1" t="inlineStr">
        <is>
          <t>OAKLEY</t>
        </is>
      </c>
      <c r="F1857" s="1" t="inlineStr">
        <is>
          <t>SUNGLASSES</t>
        </is>
      </c>
      <c r="G1857" s="1" t="inlineStr">
        <is>
          <t>GF3130100403</t>
        </is>
      </c>
      <c r="H1857" s="1" t="n">
        <v>1</v>
      </c>
      <c r="I1857" s="1" t="inlineStr">
        <is>
          <t>มี</t>
        </is>
      </c>
      <c r="J1857" s="13" t="n">
        <v>306</v>
      </c>
      <c r="K1857" s="1" t="inlineStr"/>
      <c r="L1857" s="13" t="n">
        <v>306</v>
      </c>
      <c r="M1857" s="1">
        <f>IF(L1857="","ไม่พบใน SG",IF(ABS(J1857-L1857)&lt;0.005,"ตรงกัน","ไม่ตรง"))</f>
        <v/>
      </c>
      <c r="N1857" s="14">
        <f>IF(L1857="","",ROUND(L1857*'สรุป'!$C$6,-1))</f>
        <v/>
      </c>
      <c r="O1857" s="15" t="n"/>
      <c r="P1857" s="15" t="n"/>
      <c r="Q1857" s="10" t="n"/>
      <c r="R1857" s="10" t="n"/>
      <c r="S1857" s="16" t="inlineStr">
        <is>
          <t>https://mstgolf.co.th/products/gf3130100403</t>
        </is>
      </c>
      <c r="T1857" s="1">
        <f>IF(B1857="ไม้กอล์ฟ",J1857,"")</f>
        <v/>
      </c>
    </row>
    <row r="1858">
      <c r="A1858" s="1" t="n">
        <v>3</v>
      </c>
      <c r="B1858" s="1" t="inlineStr">
        <is>
          <t>เสื้อผ้า</t>
        </is>
      </c>
      <c r="C1858" s="1" t="inlineStr">
        <is>
          <t>gf2040401358</t>
        </is>
      </c>
      <c r="D1858" s="1" t="inlineStr">
        <is>
          <t>PETER MILLAR Croxley Men's Long Sleeve Polo (British Grey)</t>
        </is>
      </c>
      <c r="E1858" s="1" t="inlineStr">
        <is>
          <t>PETER MILLAR</t>
        </is>
      </c>
      <c r="F1858" s="1" t="inlineStr">
        <is>
          <t>LONG SLEEVES</t>
        </is>
      </c>
      <c r="G1858" s="1" t="inlineStr">
        <is>
          <t>GF2040401358S</t>
        </is>
      </c>
      <c r="H1858" s="1" t="n">
        <v>5</v>
      </c>
      <c r="I1858" s="1" t="inlineStr">
        <is>
          <t>มี</t>
        </is>
      </c>
      <c r="J1858" s="13" t="n">
        <v>300</v>
      </c>
      <c r="K1858" s="1" t="inlineStr"/>
      <c r="L1858" s="13" t="n">
        <v>300</v>
      </c>
      <c r="M1858" s="1">
        <f>IF(L1858="","ไม่พบใน SG",IF(ABS(J1858-L1858)&lt;0.005,"ตรงกัน","ไม่ตรง"))</f>
        <v/>
      </c>
      <c r="N1858" s="14">
        <f>IF(L1858="","",ROUND(L1858*'สรุป'!$C$6,-1))</f>
        <v/>
      </c>
      <c r="O1858" s="15" t="n"/>
      <c r="P1858" s="15" t="n"/>
      <c r="Q1858" s="10" t="n"/>
      <c r="R1858" s="10" t="n"/>
      <c r="S1858" s="16" t="inlineStr">
        <is>
          <t>https://mstgolf.co.th/products/gf2040401358</t>
        </is>
      </c>
      <c r="T1858" s="1">
        <f>IF(B1858="ไม้กอล์ฟ",J1858,"")</f>
        <v/>
      </c>
    </row>
    <row r="1859">
      <c r="A1859" s="1" t="n">
        <v>3</v>
      </c>
      <c r="B1859" s="1" t="inlineStr">
        <is>
          <t>เสื้อผ้า</t>
        </is>
      </c>
      <c r="C1859" s="1" t="inlineStr">
        <is>
          <t>gf2040119726</t>
        </is>
      </c>
      <c r="D1859" s="1" t="inlineStr">
        <is>
          <t>BOSS GOLF Hot Summer Men's Polo (Black)</t>
        </is>
      </c>
      <c r="E1859" s="1" t="inlineStr">
        <is>
          <t>BOSS GOLF</t>
        </is>
      </c>
      <c r="F1859" s="1" t="inlineStr">
        <is>
          <t>SHORT SLEEVES</t>
        </is>
      </c>
      <c r="G1859" s="1" t="inlineStr">
        <is>
          <t>GF2040119726XS</t>
        </is>
      </c>
      <c r="H1859" s="1" t="n">
        <v>7</v>
      </c>
      <c r="I1859" s="1" t="inlineStr">
        <is>
          <t>มี</t>
        </is>
      </c>
      <c r="J1859" s="13" t="n">
        <v>299</v>
      </c>
      <c r="K1859" s="1" t="inlineStr"/>
      <c r="L1859" s="13" t="n"/>
      <c r="M1859" s="1">
        <f>IF(L1859="","ไม่พบใน SG",IF(ABS(J1859-L1859)&lt;0.005,"ตรงกัน","ไม่ตรง"))</f>
        <v/>
      </c>
      <c r="N1859" s="14">
        <f>IF(L1859="","",ROUND(L1859*'สรุป'!$C$6,-1))</f>
        <v/>
      </c>
      <c r="O1859" s="15" t="n"/>
      <c r="P1859" s="15" t="n"/>
      <c r="Q1859" s="10" t="n"/>
      <c r="R1859" s="10" t="n"/>
      <c r="S1859" s="16" t="inlineStr">
        <is>
          <t>https://mstgolf.co.th/products/gf2040119726</t>
        </is>
      </c>
      <c r="T1859" s="1">
        <f>IF(B1859="ไม้กอล์ฟ",J1859,"")</f>
        <v/>
      </c>
    </row>
    <row r="1860">
      <c r="A1860" s="1" t="n">
        <v>3</v>
      </c>
      <c r="B1860" s="1" t="inlineStr">
        <is>
          <t>เสื้อผ้า</t>
        </is>
      </c>
      <c r="C1860" s="1" t="inlineStr">
        <is>
          <t>gf2060101173</t>
        </is>
      </c>
      <c r="D1860" s="1" t="inlineStr">
        <is>
          <t>GFORE Maverick Men's Hybrid Jacket (Onyx)</t>
        </is>
      </c>
      <c r="E1860" s="1" t="inlineStr">
        <is>
          <t>GFORE</t>
        </is>
      </c>
      <c r="F1860" s="1" t="inlineStr">
        <is>
          <t>TOP</t>
        </is>
      </c>
      <c r="G1860" s="1" t="inlineStr">
        <is>
          <t>GF2060101173S</t>
        </is>
      </c>
      <c r="H1860" s="1" t="n">
        <v>4</v>
      </c>
      <c r="I1860" s="1" t="inlineStr">
        <is>
          <t>มี</t>
        </is>
      </c>
      <c r="J1860" s="13" t="n">
        <v>299</v>
      </c>
      <c r="K1860" s="1" t="inlineStr"/>
      <c r="L1860" s="13" t="n">
        <v>299</v>
      </c>
      <c r="M1860" s="1">
        <f>IF(L1860="","ไม่พบใน SG",IF(ABS(J1860-L1860)&lt;0.005,"ตรงกัน","ไม่ตรง"))</f>
        <v/>
      </c>
      <c r="N1860" s="14">
        <f>IF(L1860="","",ROUND(L1860*'สรุป'!$C$6,-1))</f>
        <v/>
      </c>
      <c r="O1860" s="15" t="n"/>
      <c r="P1860" s="15" t="n"/>
      <c r="Q1860" s="10" t="n"/>
      <c r="R1860" s="10" t="n"/>
      <c r="S1860" s="16" t="inlineStr">
        <is>
          <t>https://mstgolf.co.th/products/gf2060101173</t>
        </is>
      </c>
      <c r="T1860" s="1">
        <f>IF(B1860="ไม้กอล์ฟ",J1860,"")</f>
        <v/>
      </c>
    </row>
    <row r="1861">
      <c r="A1861" s="1" t="n">
        <v>3</v>
      </c>
      <c r="B1861" s="1" t="inlineStr">
        <is>
          <t>เสื้อผ้า</t>
        </is>
      </c>
      <c r="C1861" s="1" t="inlineStr">
        <is>
          <t>gf2040118031</t>
        </is>
      </c>
      <c r="D1861" s="1" t="inlineStr">
        <is>
          <t>WAAC Korea Seersucker Dress (Yellow)</t>
        </is>
      </c>
      <c r="E1861" s="1" t="inlineStr">
        <is>
          <t>WAAC</t>
        </is>
      </c>
      <c r="F1861" s="1" t="inlineStr">
        <is>
          <t>SHORT SLEEVES</t>
        </is>
      </c>
      <c r="G1861" s="1" t="inlineStr">
        <is>
          <t>GF2040118031XS</t>
        </is>
      </c>
      <c r="H1861" s="1" t="n">
        <v>6</v>
      </c>
      <c r="I1861" s="1" t="inlineStr">
        <is>
          <t>มี</t>
        </is>
      </c>
      <c r="J1861" s="13" t="n">
        <v>299</v>
      </c>
      <c r="K1861" s="1" t="inlineStr"/>
      <c r="L1861" s="13" t="n">
        <v>299</v>
      </c>
      <c r="M1861" s="1">
        <f>IF(L1861="","ไม่พบใน SG",IF(ABS(J1861-L1861)&lt;0.005,"ตรงกัน","ไม่ตรง"))</f>
        <v/>
      </c>
      <c r="N1861" s="14">
        <f>IF(L1861="","",ROUND(L1861*'สรุป'!$C$6,-1))</f>
        <v/>
      </c>
      <c r="O1861" s="15" t="n"/>
      <c r="P1861" s="15" t="n"/>
      <c r="Q1861" s="10" t="n"/>
      <c r="R1861" s="10" t="n"/>
      <c r="S1861" s="16" t="inlineStr">
        <is>
          <t>https://mstgolf.co.th/products/gf2040118031</t>
        </is>
      </c>
      <c r="T1861" s="1">
        <f>IF(B1861="ไม้กอล์ฟ",J1861,"")</f>
        <v/>
      </c>
    </row>
    <row r="1862">
      <c r="A1862" s="1" t="n">
        <v>3</v>
      </c>
      <c r="B1862" s="1" t="inlineStr">
        <is>
          <t>เสื้อผ้า</t>
        </is>
      </c>
      <c r="C1862" s="1" t="inlineStr">
        <is>
          <t>gf2020300081</t>
        </is>
      </c>
      <c r="D1862" s="1" t="inlineStr">
        <is>
          <t>WAAC Multi Stripes Knit Skort (Navy)</t>
        </is>
      </c>
      <c r="E1862" s="1" t="inlineStr">
        <is>
          <t>WAAC</t>
        </is>
      </c>
      <c r="F1862" s="1" t="inlineStr">
        <is>
          <t>SKORTS</t>
        </is>
      </c>
      <c r="G1862" s="1" t="inlineStr">
        <is>
          <t>GF202030008123</t>
        </is>
      </c>
      <c r="H1862" s="1" t="n">
        <v>8</v>
      </c>
      <c r="I1862" s="1" t="inlineStr">
        <is>
          <t>มี</t>
        </is>
      </c>
      <c r="J1862" s="13" t="n">
        <v>280</v>
      </c>
      <c r="K1862" s="1" t="inlineStr"/>
      <c r="L1862" s="13" t="n">
        <v>280</v>
      </c>
      <c r="M1862" s="1">
        <f>IF(L1862="","ไม่พบใน SG",IF(ABS(J1862-L1862)&lt;0.005,"ตรงกัน","ไม่ตรง"))</f>
        <v/>
      </c>
      <c r="N1862" s="14">
        <f>IF(L1862="","",ROUND(L1862*'สรุป'!$C$6,-1))</f>
        <v/>
      </c>
      <c r="O1862" s="15" t="n"/>
      <c r="P1862" s="15" t="n"/>
      <c r="Q1862" s="10" t="n"/>
      <c r="R1862" s="10" t="n"/>
      <c r="S1862" s="16" t="inlineStr">
        <is>
          <t>https://mstgolf.co.th/products/gf2020300081</t>
        </is>
      </c>
      <c r="T1862" s="1">
        <f>IF(B1862="ไม้กอล์ฟ",J1862,"")</f>
        <v/>
      </c>
    </row>
    <row r="1863">
      <c r="A1863" s="1" t="n">
        <v>3</v>
      </c>
      <c r="B1863" s="1" t="inlineStr">
        <is>
          <t>เสื้อผ้า</t>
        </is>
      </c>
      <c r="C1863" s="1" t="inlineStr">
        <is>
          <t>gf2040118235</t>
        </is>
      </c>
      <c r="D1863" s="1" t="inlineStr">
        <is>
          <t>BOSS GOLF Men's Short Sleeve Sweater (Black)</t>
        </is>
      </c>
      <c r="E1863" s="1" t="inlineStr">
        <is>
          <t>BOSS GOLF</t>
        </is>
      </c>
      <c r="F1863" s="1" t="inlineStr">
        <is>
          <t>SHORT SLEEVES</t>
        </is>
      </c>
      <c r="G1863" s="1" t="inlineStr">
        <is>
          <t>GF2040118235M</t>
        </is>
      </c>
      <c r="H1863" s="1" t="n">
        <v>5</v>
      </c>
      <c r="I1863" s="1" t="inlineStr">
        <is>
          <t>มี</t>
        </is>
      </c>
      <c r="J1863" s="13" t="n">
        <v>279</v>
      </c>
      <c r="K1863" s="1" t="inlineStr"/>
      <c r="L1863" s="13" t="n"/>
      <c r="M1863" s="1">
        <f>IF(L1863="","ไม่พบใน SG",IF(ABS(J1863-L1863)&lt;0.005,"ตรงกัน","ไม่ตรง"))</f>
        <v/>
      </c>
      <c r="N1863" s="14">
        <f>IF(L1863="","",ROUND(L1863*'สรุป'!$C$6,-1))</f>
        <v/>
      </c>
      <c r="O1863" s="15" t="n"/>
      <c r="P1863" s="15" t="n"/>
      <c r="Q1863" s="10" t="n"/>
      <c r="R1863" s="10" t="n"/>
      <c r="S1863" s="16" t="inlineStr">
        <is>
          <t>https://mstgolf.co.th/products/gf2040118235</t>
        </is>
      </c>
      <c r="T1863" s="1">
        <f>IF(B1863="ไม้กอล์ฟ",J1863,"")</f>
        <v/>
      </c>
    </row>
    <row r="1864">
      <c r="A1864" s="1" t="n">
        <v>3</v>
      </c>
      <c r="B1864" s="1" t="inlineStr">
        <is>
          <t>เสื้อผ้า</t>
        </is>
      </c>
      <c r="C1864" s="1" t="inlineStr">
        <is>
          <t>gf2040118241</t>
        </is>
      </c>
      <c r="D1864" s="1" t="inlineStr">
        <is>
          <t>BOSS GOLF Men's T-Shirt (Camel)</t>
        </is>
      </c>
      <c r="E1864" s="1" t="inlineStr">
        <is>
          <t>BOSS GOLF</t>
        </is>
      </c>
      <c r="F1864" s="1" t="inlineStr">
        <is>
          <t>SHORT SLEEVES</t>
        </is>
      </c>
      <c r="G1864" s="1" t="inlineStr">
        <is>
          <t>GF2040118241M</t>
        </is>
      </c>
      <c r="H1864" s="1" t="n">
        <v>5</v>
      </c>
      <c r="I1864" s="1" t="inlineStr">
        <is>
          <t>มี</t>
        </is>
      </c>
      <c r="J1864" s="13" t="n">
        <v>279</v>
      </c>
      <c r="K1864" s="1" t="inlineStr"/>
      <c r="L1864" s="13" t="n"/>
      <c r="M1864" s="1">
        <f>IF(L1864="","ไม่พบใน SG",IF(ABS(J1864-L1864)&lt;0.005,"ตรงกัน","ไม่ตรง"))</f>
        <v/>
      </c>
      <c r="N1864" s="14">
        <f>IF(L1864="","",ROUND(L1864*'สรุป'!$C$6,-1))</f>
        <v/>
      </c>
      <c r="O1864" s="15" t="n"/>
      <c r="P1864" s="15" t="n"/>
      <c r="Q1864" s="10" t="n"/>
      <c r="R1864" s="10" t="n"/>
      <c r="S1864" s="16" t="inlineStr">
        <is>
          <t>https://mstgolf.co.th/products/gf2040118241</t>
        </is>
      </c>
      <c r="T1864" s="1">
        <f>IF(B1864="ไม้กอล์ฟ",J1864,"")</f>
        <v/>
      </c>
    </row>
    <row r="1865">
      <c r="A1865" s="1" t="n">
        <v>3</v>
      </c>
      <c r="B1865" s="1" t="inlineStr">
        <is>
          <t>เสื้อผ้า</t>
        </is>
      </c>
      <c r="C1865" s="1" t="inlineStr">
        <is>
          <t>gf2040119983</t>
        </is>
      </c>
      <c r="D1865" s="1" t="inlineStr">
        <is>
          <t>WAAC Logo Loose Fit Women's Sweatshirt (Red)</t>
        </is>
      </c>
      <c r="E1865" s="1" t="inlineStr">
        <is>
          <t>WAAC</t>
        </is>
      </c>
      <c r="F1865" s="1" t="inlineStr">
        <is>
          <t>SHORT SLEEVES</t>
        </is>
      </c>
      <c r="G1865" s="1" t="inlineStr">
        <is>
          <t>GF2040119983XS</t>
        </is>
      </c>
      <c r="H1865" s="1" t="n">
        <v>6</v>
      </c>
      <c r="I1865" s="1" t="inlineStr">
        <is>
          <t>มี</t>
        </is>
      </c>
      <c r="J1865" s="13" t="n">
        <v>270</v>
      </c>
      <c r="K1865" s="1" t="inlineStr"/>
      <c r="L1865" s="13" t="n">
        <v>270</v>
      </c>
      <c r="M1865" s="1">
        <f>IF(L1865="","ไม่พบใน SG",IF(ABS(J1865-L1865)&lt;0.005,"ตรงกัน","ไม่ตรง"))</f>
        <v/>
      </c>
      <c r="N1865" s="14">
        <f>IF(L1865="","",ROUND(L1865*'สรุป'!$C$6,-1))</f>
        <v/>
      </c>
      <c r="O1865" s="15" t="n"/>
      <c r="P1865" s="15" t="n"/>
      <c r="Q1865" s="10" t="n"/>
      <c r="R1865" s="10" t="n"/>
      <c r="S1865" s="16" t="inlineStr">
        <is>
          <t>https://mstgolf.co.th/products/gf2040119983</t>
        </is>
      </c>
      <c r="T1865" s="1">
        <f>IF(B1865="ไม้กอล์ฟ",J1865,"")</f>
        <v/>
      </c>
    </row>
    <row r="1866">
      <c r="A1866" s="1" t="n">
        <v>3</v>
      </c>
      <c r="B1866" s="1" t="inlineStr">
        <is>
          <t>เสื้อผ้า</t>
        </is>
      </c>
      <c r="C1866" s="1" t="inlineStr">
        <is>
          <t>gf2040300198</t>
        </is>
      </c>
      <c r="D1866" s="1" t="inlineStr">
        <is>
          <t>LACOSTE Ultra Dry Golf Dress with Liner (Sinople)</t>
        </is>
      </c>
      <c r="E1866" s="1" t="inlineStr">
        <is>
          <t>LACOSTE</t>
        </is>
      </c>
      <c r="F1866" s="1" t="inlineStr">
        <is>
          <t>DRESS</t>
        </is>
      </c>
      <c r="G1866" s="1" t="inlineStr">
        <is>
          <t>GF204030019838</t>
        </is>
      </c>
      <c r="H1866" s="1" t="n">
        <v>4</v>
      </c>
      <c r="I1866" s="1" t="inlineStr">
        <is>
          <t>มี</t>
        </is>
      </c>
      <c r="J1866" s="13" t="n">
        <v>269</v>
      </c>
      <c r="K1866" s="1" t="inlineStr"/>
      <c r="L1866" s="13" t="n">
        <v>189</v>
      </c>
      <c r="M1866" s="1">
        <f>IF(L1866="","ไม่พบใน SG",IF(ABS(J1866-L1866)&lt;0.005,"ตรงกัน","ไม่ตรง"))</f>
        <v/>
      </c>
      <c r="N1866" s="14">
        <f>IF(L1866="","",ROUND(L1866*'สรุป'!$C$6,-1))</f>
        <v/>
      </c>
      <c r="O1866" s="15" t="n"/>
      <c r="P1866" s="15" t="n"/>
      <c r="Q1866" s="10" t="n"/>
      <c r="R1866" s="10" t="n"/>
      <c r="S1866" s="16" t="inlineStr">
        <is>
          <t>https://mstgolf.co.th/products/gf2040300198</t>
        </is>
      </c>
      <c r="T1866" s="1">
        <f>IF(B1866="ไม้กอล์ฟ",J1866,"")</f>
        <v/>
      </c>
    </row>
    <row r="1867">
      <c r="A1867" s="1" t="n">
        <v>3</v>
      </c>
      <c r="B1867" s="1" t="inlineStr">
        <is>
          <t>เสื้อผ้า</t>
        </is>
      </c>
      <c r="C1867" s="1" t="inlineStr">
        <is>
          <t>gf2020102718</t>
        </is>
      </c>
      <c r="D1867" s="1" t="inlineStr">
        <is>
          <t>LACOSTE Ultra Dry Slim Fit Men's Pants (Olive)</t>
        </is>
      </c>
      <c r="E1867" s="1" t="inlineStr">
        <is>
          <t>LACOSTE</t>
        </is>
      </c>
      <c r="F1867" s="1" t="inlineStr">
        <is>
          <t>LONG PANTS</t>
        </is>
      </c>
      <c r="G1867" s="1" t="inlineStr">
        <is>
          <t>GF202010271838</t>
        </is>
      </c>
      <c r="H1867" s="1" t="n">
        <v>5</v>
      </c>
      <c r="I1867" s="1" t="inlineStr">
        <is>
          <t>มี</t>
        </is>
      </c>
      <c r="J1867" s="13" t="n">
        <v>269</v>
      </c>
      <c r="K1867" s="1" t="inlineStr"/>
      <c r="L1867" s="13" t="n">
        <v>269</v>
      </c>
      <c r="M1867" s="1">
        <f>IF(L1867="","ไม่พบใน SG",IF(ABS(J1867-L1867)&lt;0.005,"ตรงกัน","ไม่ตรง"))</f>
        <v/>
      </c>
      <c r="N1867" s="14">
        <f>IF(L1867="","",ROUND(L1867*'สรุป'!$C$6,-1))</f>
        <v/>
      </c>
      <c r="O1867" s="15" t="n"/>
      <c r="P1867" s="15" t="n"/>
      <c r="Q1867" s="10" t="n"/>
      <c r="R1867" s="10" t="n"/>
      <c r="S1867" s="16" t="inlineStr">
        <is>
          <t>https://mstgolf.co.th/products/gf2020102718</t>
        </is>
      </c>
      <c r="T1867" s="1">
        <f>IF(B1867="ไม้กอล์ฟ",J1867,"")</f>
        <v/>
      </c>
    </row>
    <row r="1868">
      <c r="A1868" s="1" t="n">
        <v>3</v>
      </c>
      <c r="B1868" s="1" t="inlineStr">
        <is>
          <t>เสื้อผ้า</t>
        </is>
      </c>
      <c r="C1868" s="1" t="inlineStr">
        <is>
          <t>gf2020102719</t>
        </is>
      </c>
      <c r="D1868" s="1" t="inlineStr">
        <is>
          <t>LACOSTE Ultra Dry Slim Fit Men's Pants (Sinople)</t>
        </is>
      </c>
      <c r="E1868" s="1" t="inlineStr">
        <is>
          <t>LACOSTE</t>
        </is>
      </c>
      <c r="F1868" s="1" t="inlineStr">
        <is>
          <t>LONG PANTS</t>
        </is>
      </c>
      <c r="G1868" s="1" t="inlineStr">
        <is>
          <t>GF202010271938</t>
        </is>
      </c>
      <c r="H1868" s="1" t="n">
        <v>5</v>
      </c>
      <c r="I1868" s="1" t="inlineStr">
        <is>
          <t>มี</t>
        </is>
      </c>
      <c r="J1868" s="13" t="n">
        <v>269</v>
      </c>
      <c r="K1868" s="1" t="inlineStr"/>
      <c r="L1868" s="13" t="n">
        <v>269</v>
      </c>
      <c r="M1868" s="1">
        <f>IF(L1868="","ไม่พบใน SG",IF(ABS(J1868-L1868)&lt;0.005,"ตรงกัน","ไม่ตรง"))</f>
        <v/>
      </c>
      <c r="N1868" s="14">
        <f>IF(L1868="","",ROUND(L1868*'สรุป'!$C$6,-1))</f>
        <v/>
      </c>
      <c r="O1868" s="15" t="n"/>
      <c r="P1868" s="15" t="n"/>
      <c r="Q1868" s="10" t="n"/>
      <c r="R1868" s="10" t="n"/>
      <c r="S1868" s="16" t="inlineStr">
        <is>
          <t>https://mstgolf.co.th/products/gf2020102719</t>
        </is>
      </c>
      <c r="T1868" s="1">
        <f>IF(B1868="ไม้กอล์ฟ",J1868,"")</f>
        <v/>
      </c>
    </row>
    <row r="1869">
      <c r="A1869" s="1" t="n">
        <v>3</v>
      </c>
      <c r="B1869" s="1" t="inlineStr">
        <is>
          <t>เสื้อผ้า</t>
        </is>
      </c>
      <c r="C1869" s="1" t="inlineStr">
        <is>
          <t>gf2020102717</t>
        </is>
      </c>
      <c r="D1869" s="1" t="inlineStr">
        <is>
          <t>LACOSTE Ultra Dry Slim Fit Men's Pants (Viennese)</t>
        </is>
      </c>
      <c r="E1869" s="1" t="inlineStr">
        <is>
          <t>LACOSTE</t>
        </is>
      </c>
      <c r="F1869" s="1" t="inlineStr">
        <is>
          <t>LONG PANTS</t>
        </is>
      </c>
      <c r="G1869" s="1" t="inlineStr">
        <is>
          <t>GF202010271738</t>
        </is>
      </c>
      <c r="H1869" s="1" t="n">
        <v>5</v>
      </c>
      <c r="I1869" s="1" t="inlineStr">
        <is>
          <t>มี</t>
        </is>
      </c>
      <c r="J1869" s="13" t="n">
        <v>269</v>
      </c>
      <c r="K1869" s="1" t="inlineStr"/>
      <c r="L1869" s="13" t="n">
        <v>269</v>
      </c>
      <c r="M1869" s="1">
        <f>IF(L1869="","ไม่พบใน SG",IF(ABS(J1869-L1869)&lt;0.005,"ตรงกัน","ไม่ตรง"))</f>
        <v/>
      </c>
      <c r="N1869" s="14">
        <f>IF(L1869="","",ROUND(L1869*'สรุป'!$C$6,-1))</f>
        <v/>
      </c>
      <c r="O1869" s="15" t="n"/>
      <c r="P1869" s="15" t="n"/>
      <c r="Q1869" s="10" t="n"/>
      <c r="R1869" s="10" t="n"/>
      <c r="S1869" s="16" t="inlineStr">
        <is>
          <t>https://mstgolf.co.th/products/gf2020102717</t>
        </is>
      </c>
      <c r="T1869" s="1">
        <f>IF(B1869="ไม้กอล์ฟ",J1869,"")</f>
        <v/>
      </c>
    </row>
    <row r="1870">
      <c r="A1870" s="1" t="n">
        <v>3</v>
      </c>
      <c r="B1870" s="1" t="inlineStr">
        <is>
          <t>เสื้อผ้า</t>
        </is>
      </c>
      <c r="C1870" s="1" t="inlineStr">
        <is>
          <t>gf2040118030</t>
        </is>
      </c>
      <c r="D1870" s="1" t="inlineStr">
        <is>
          <t>WAAC Korea Seersucker Sleeveless Dress (White)</t>
        </is>
      </c>
      <c r="E1870" s="1" t="inlineStr">
        <is>
          <t>WAAC</t>
        </is>
      </c>
      <c r="F1870" s="1" t="inlineStr">
        <is>
          <t>SHORT SLEEVES</t>
        </is>
      </c>
      <c r="G1870" s="1" t="inlineStr">
        <is>
          <t>GF2040118030XS</t>
        </is>
      </c>
      <c r="H1870" s="1" t="n">
        <v>6</v>
      </c>
      <c r="I1870" s="1" t="inlineStr">
        <is>
          <t>มี</t>
        </is>
      </c>
      <c r="J1870" s="13" t="n">
        <v>269</v>
      </c>
      <c r="K1870" s="1" t="inlineStr"/>
      <c r="L1870" s="13" t="n">
        <v>269</v>
      </c>
      <c r="M1870" s="1">
        <f>IF(L1870="","ไม่พบใน SG",IF(ABS(J1870-L1870)&lt;0.005,"ตรงกัน","ไม่ตรง"))</f>
        <v/>
      </c>
      <c r="N1870" s="14">
        <f>IF(L1870="","",ROUND(L1870*'สรุป'!$C$6,-1))</f>
        <v/>
      </c>
      <c r="O1870" s="15" t="n"/>
      <c r="P1870" s="15" t="n"/>
      <c r="Q1870" s="10" t="n"/>
      <c r="R1870" s="10" t="n"/>
      <c r="S1870" s="16" t="inlineStr">
        <is>
          <t>https://mstgolf.co.th/products/gf2040118030</t>
        </is>
      </c>
      <c r="T1870" s="1">
        <f>IF(B1870="ไม้กอล์ฟ",J1870,"")</f>
        <v/>
      </c>
    </row>
    <row r="1871">
      <c r="A1871" s="1" t="n">
        <v>3</v>
      </c>
      <c r="B1871" s="1" t="inlineStr">
        <is>
          <t>เสื้อผ้า</t>
        </is>
      </c>
      <c r="C1871" s="1" t="inlineStr">
        <is>
          <t>gf2040118033</t>
        </is>
      </c>
      <c r="D1871" s="1" t="inlineStr">
        <is>
          <t>WAAC Korea Women's Polo Sweater (Dark Blue)</t>
        </is>
      </c>
      <c r="E1871" s="1" t="inlineStr">
        <is>
          <t>WAAC</t>
        </is>
      </c>
      <c r="F1871" s="1" t="inlineStr">
        <is>
          <t>SHORT SLEEVES</t>
        </is>
      </c>
      <c r="G1871" s="1" t="inlineStr">
        <is>
          <t>GF2040118033XS</t>
        </is>
      </c>
      <c r="H1871" s="1" t="n">
        <v>6</v>
      </c>
      <c r="I1871" s="1" t="inlineStr">
        <is>
          <t>มี</t>
        </is>
      </c>
      <c r="J1871" s="13" t="n">
        <v>269</v>
      </c>
      <c r="K1871" s="1" t="inlineStr"/>
      <c r="L1871" s="13" t="n">
        <v>269</v>
      </c>
      <c r="M1871" s="1">
        <f>IF(L1871="","ไม่พบใน SG",IF(ABS(J1871-L1871)&lt;0.005,"ตรงกัน","ไม่ตรง"))</f>
        <v/>
      </c>
      <c r="N1871" s="14">
        <f>IF(L1871="","",ROUND(L1871*'สรุป'!$C$6,-1))</f>
        <v/>
      </c>
      <c r="O1871" s="15" t="n"/>
      <c r="P1871" s="15" t="n"/>
      <c r="Q1871" s="10" t="n"/>
      <c r="R1871" s="10" t="n"/>
      <c r="S1871" s="16" t="inlineStr">
        <is>
          <t>https://mstgolf.co.th/products/gf2040118033</t>
        </is>
      </c>
      <c r="T1871" s="1">
        <f>IF(B1871="ไม้กอล์ฟ",J1871,"")</f>
        <v/>
      </c>
    </row>
    <row r="1872">
      <c r="A1872" s="1" t="n">
        <v>3</v>
      </c>
      <c r="B1872" s="1" t="inlineStr">
        <is>
          <t>เสื้อผ้า</t>
        </is>
      </c>
      <c r="C1872" s="1" t="inlineStr">
        <is>
          <t>gf2020102531</t>
        </is>
      </c>
      <c r="D1872" s="1" t="inlineStr">
        <is>
          <t>TAYLORMADE x United Arrows Sideline Unisex Pants (Navy)</t>
        </is>
      </c>
      <c r="E1872" s="1" t="inlineStr">
        <is>
          <t>TAYLORMADE</t>
        </is>
      </c>
      <c r="F1872" s="1" t="inlineStr">
        <is>
          <t>LONG PANTS</t>
        </is>
      </c>
      <c r="G1872" s="1" t="inlineStr">
        <is>
          <t>GF2020102531XS</t>
        </is>
      </c>
      <c r="H1872" s="1" t="n">
        <v>5</v>
      </c>
      <c r="I1872" s="1" t="inlineStr">
        <is>
          <t>มี</t>
        </is>
      </c>
      <c r="J1872" s="13" t="n">
        <v>260</v>
      </c>
      <c r="K1872" s="1" t="inlineStr"/>
      <c r="L1872" s="13" t="n">
        <v>260</v>
      </c>
      <c r="M1872" s="1">
        <f>IF(L1872="","ไม่พบใน SG",IF(ABS(J1872-L1872)&lt;0.005,"ตรงกัน","ไม่ตรง"))</f>
        <v/>
      </c>
      <c r="N1872" s="14">
        <f>IF(L1872="","",ROUND(L1872*'สรุป'!$C$6,-1))</f>
        <v/>
      </c>
      <c r="O1872" s="15" t="n"/>
      <c r="P1872" s="15" t="n"/>
      <c r="Q1872" s="10" t="n"/>
      <c r="R1872" s="10" t="n"/>
      <c r="S1872" s="16" t="inlineStr">
        <is>
          <t>https://mstgolf.co.th/products/gf2020102531</t>
        </is>
      </c>
      <c r="T1872" s="1">
        <f>IF(B1872="ไม้กอล์ฟ",J1872,"")</f>
        <v/>
      </c>
    </row>
    <row r="1873">
      <c r="A1873" s="1" t="n">
        <v>3</v>
      </c>
      <c r="B1873" s="1" t="inlineStr">
        <is>
          <t>เสื้อผ้า</t>
        </is>
      </c>
      <c r="C1873" s="1" t="inlineStr">
        <is>
          <t>gf2060101274</t>
        </is>
      </c>
      <c r="D1873" s="1" t="inlineStr">
        <is>
          <t>WAAC Men's V-Neck Knit Vest (Dark Navy)</t>
        </is>
      </c>
      <c r="E1873" s="1" t="inlineStr">
        <is>
          <t>WAAC</t>
        </is>
      </c>
      <c r="F1873" s="1" t="inlineStr">
        <is>
          <t>TOP</t>
        </is>
      </c>
      <c r="G1873" s="1" t="inlineStr">
        <is>
          <t>GF2060101274S</t>
        </is>
      </c>
      <c r="H1873" s="1" t="n">
        <v>4</v>
      </c>
      <c r="I1873" s="1" t="inlineStr">
        <is>
          <t>มี</t>
        </is>
      </c>
      <c r="J1873" s="13" t="n">
        <v>260</v>
      </c>
      <c r="K1873" s="1" t="inlineStr"/>
      <c r="L1873" s="13" t="n">
        <v>260</v>
      </c>
      <c r="M1873" s="1">
        <f>IF(L1873="","ไม่พบใน SG",IF(ABS(J1873-L1873)&lt;0.005,"ตรงกัน","ไม่ตรง"))</f>
        <v/>
      </c>
      <c r="N1873" s="14">
        <f>IF(L1873="","",ROUND(L1873*'สรุป'!$C$6,-1))</f>
        <v/>
      </c>
      <c r="O1873" s="15" t="n"/>
      <c r="P1873" s="15" t="n"/>
      <c r="Q1873" s="10" t="n"/>
      <c r="R1873" s="10" t="n"/>
      <c r="S1873" s="16" t="inlineStr">
        <is>
          <t>https://mstgolf.co.th/products/gf2060101274</t>
        </is>
      </c>
      <c r="T1873" s="1">
        <f>IF(B1873="ไม้กอล์ฟ",J1873,"")</f>
        <v/>
      </c>
    </row>
    <row r="1874">
      <c r="A1874" s="1" t="n">
        <v>3</v>
      </c>
      <c r="B1874" s="1" t="inlineStr">
        <is>
          <t>เสื้อผ้า</t>
        </is>
      </c>
      <c r="C1874" s="1" t="inlineStr">
        <is>
          <t>gf2040120620</t>
        </is>
      </c>
      <c r="D1874" s="1" t="inlineStr">
        <is>
          <t>WAAC Rib Collar Stretch Women's Pullover (Red)</t>
        </is>
      </c>
      <c r="E1874" s="1" t="inlineStr">
        <is>
          <t>WAAC</t>
        </is>
      </c>
      <c r="F1874" s="1" t="inlineStr">
        <is>
          <t>SHORT SLEEVES</t>
        </is>
      </c>
      <c r="G1874" s="1" t="inlineStr">
        <is>
          <t>GF2040120620XS</t>
        </is>
      </c>
      <c r="H1874" s="1" t="n">
        <v>4</v>
      </c>
      <c r="I1874" s="1" t="inlineStr">
        <is>
          <t>มี</t>
        </is>
      </c>
      <c r="J1874" s="13" t="n">
        <v>260</v>
      </c>
      <c r="K1874" s="1" t="inlineStr"/>
      <c r="L1874" s="13" t="n">
        <v>260</v>
      </c>
      <c r="M1874" s="1">
        <f>IF(L1874="","ไม่พบใน SG",IF(ABS(J1874-L1874)&lt;0.005,"ตรงกัน","ไม่ตรง"))</f>
        <v/>
      </c>
      <c r="N1874" s="14">
        <f>IF(L1874="","",ROUND(L1874*'สรุป'!$C$6,-1))</f>
        <v/>
      </c>
      <c r="O1874" s="15" t="n"/>
      <c r="P1874" s="15" t="n"/>
      <c r="Q1874" s="10" t="n"/>
      <c r="R1874" s="10" t="n"/>
      <c r="S1874" s="16" t="inlineStr">
        <is>
          <t>https://mstgolf.co.th/products/gf2040120620</t>
        </is>
      </c>
      <c r="T1874" s="1">
        <f>IF(B1874="ไม้กอล์ฟ",J1874,"")</f>
        <v/>
      </c>
    </row>
    <row r="1875">
      <c r="A1875" s="1" t="n">
        <v>3</v>
      </c>
      <c r="B1875" s="1" t="inlineStr">
        <is>
          <t>หมวก</t>
        </is>
      </c>
      <c r="C1875" s="1" t="inlineStr">
        <is>
          <t>gf2000300357</t>
        </is>
      </c>
      <c r="D1875" s="1" t="inlineStr">
        <is>
          <t>GFORE Check Circle G Men's Hat (Lava Multi)</t>
        </is>
      </c>
      <c r="E1875" s="1" t="inlineStr">
        <is>
          <t>GFORE</t>
        </is>
      </c>
      <c r="F1875" s="1" t="inlineStr">
        <is>
          <t>HAT</t>
        </is>
      </c>
      <c r="G1875" s="1" t="inlineStr">
        <is>
          <t>GF2000300357FS</t>
        </is>
      </c>
      <c r="H1875" s="1" t="n">
        <v>1</v>
      </c>
      <c r="I1875" s="1" t="inlineStr">
        <is>
          <t>มี</t>
        </is>
      </c>
      <c r="J1875" s="13" t="n">
        <v>259</v>
      </c>
      <c r="K1875" s="1" t="inlineStr"/>
      <c r="L1875" s="13" t="n">
        <v>259</v>
      </c>
      <c r="M1875" s="1">
        <f>IF(L1875="","ไม่พบใน SG",IF(ABS(J1875-L1875)&lt;0.005,"ตรงกัน","ไม่ตรง"))</f>
        <v/>
      </c>
      <c r="N1875" s="14">
        <f>IF(L1875="","",ROUND(L1875*'สรุป'!$C$6,-1))</f>
        <v/>
      </c>
      <c r="O1875" s="15" t="n"/>
      <c r="P1875" s="15" t="n"/>
      <c r="Q1875" s="10" t="n"/>
      <c r="R1875" s="10" t="n"/>
      <c r="S1875" s="16" t="inlineStr">
        <is>
          <t>https://mstgolf.co.th/products/gf2000300357</t>
        </is>
      </c>
      <c r="T1875" s="1">
        <f>IF(B1875="ไม้กอล์ฟ",J1875,"")</f>
        <v/>
      </c>
    </row>
    <row r="1876">
      <c r="A1876" s="1" t="n">
        <v>3</v>
      </c>
      <c r="B1876" s="1" t="inlineStr">
        <is>
          <t>หมวก</t>
        </is>
      </c>
      <c r="C1876" s="1" t="inlineStr">
        <is>
          <t>gf2000300284</t>
        </is>
      </c>
      <c r="D1876" s="1" t="inlineStr">
        <is>
          <t>GFORE Crochet Men's Bucket Hat (Blue/Multi)</t>
        </is>
      </c>
      <c r="E1876" s="1" t="inlineStr">
        <is>
          <t>GFORE</t>
        </is>
      </c>
      <c r="F1876" s="1" t="inlineStr">
        <is>
          <t>HAT</t>
        </is>
      </c>
      <c r="G1876" s="1" t="inlineStr">
        <is>
          <t>GF2000300284FS</t>
        </is>
      </c>
      <c r="H1876" s="1" t="n">
        <v>1</v>
      </c>
      <c r="I1876" s="1" t="inlineStr">
        <is>
          <t>มี</t>
        </is>
      </c>
      <c r="J1876" s="13" t="n">
        <v>259</v>
      </c>
      <c r="K1876" s="1" t="inlineStr"/>
      <c r="L1876" s="13" t="n">
        <v>259</v>
      </c>
      <c r="M1876" s="1">
        <f>IF(L1876="","ไม่พบใน SG",IF(ABS(J1876-L1876)&lt;0.005,"ตรงกัน","ไม่ตรง"))</f>
        <v/>
      </c>
      <c r="N1876" s="14">
        <f>IF(L1876="","",ROUND(L1876*'สรุป'!$C$6,-1))</f>
        <v/>
      </c>
      <c r="O1876" s="15" t="n"/>
      <c r="P1876" s="15" t="n"/>
      <c r="Q1876" s="10" t="n"/>
      <c r="R1876" s="10" t="n"/>
      <c r="S1876" s="16" t="inlineStr">
        <is>
          <t>https://mstgolf.co.th/products/gf2000300284</t>
        </is>
      </c>
      <c r="T1876" s="1">
        <f>IF(B1876="ไม้กอล์ฟ",J1876,"")</f>
        <v/>
      </c>
    </row>
    <row r="1877">
      <c r="A1877" s="1" t="n">
        <v>3</v>
      </c>
      <c r="B1877" s="1" t="inlineStr">
        <is>
          <t>เสื้อผ้า</t>
        </is>
      </c>
      <c r="C1877" s="1" t="inlineStr">
        <is>
          <t>gf2060101004</t>
        </is>
      </c>
      <c r="D1877" s="1" t="inlineStr">
        <is>
          <t>GFORE Weather Resistant Repeller Men's Gilet (Twilight)</t>
        </is>
      </c>
      <c r="E1877" s="1" t="inlineStr">
        <is>
          <t>GFORE</t>
        </is>
      </c>
      <c r="F1877" s="1" t="inlineStr">
        <is>
          <t>TOP</t>
        </is>
      </c>
      <c r="G1877" s="1" t="inlineStr">
        <is>
          <t>GF2060101004XS</t>
        </is>
      </c>
      <c r="H1877" s="1" t="n">
        <v>6</v>
      </c>
      <c r="I1877" s="1" t="inlineStr">
        <is>
          <t>มี</t>
        </is>
      </c>
      <c r="J1877" s="13" t="n">
        <v>259</v>
      </c>
      <c r="K1877" s="1" t="inlineStr"/>
      <c r="L1877" s="13" t="n">
        <v>185</v>
      </c>
      <c r="M1877" s="1">
        <f>IF(L1877="","ไม่พบใน SG",IF(ABS(J1877-L1877)&lt;0.005,"ตรงกัน","ไม่ตรง"))</f>
        <v/>
      </c>
      <c r="N1877" s="14">
        <f>IF(L1877="","",ROUND(L1877*'สรุป'!$C$6,-1))</f>
        <v/>
      </c>
      <c r="O1877" s="15" t="n"/>
      <c r="P1877" s="15" t="n"/>
      <c r="Q1877" s="10" t="n"/>
      <c r="R1877" s="10" t="n"/>
      <c r="S1877" s="16" t="inlineStr">
        <is>
          <t>https://mstgolf.co.th/products/gf2060101004</t>
        </is>
      </c>
      <c r="T1877" s="1">
        <f>IF(B1877="ไม้กอล์ฟ",J1877,"")</f>
        <v/>
      </c>
    </row>
    <row r="1878">
      <c r="A1878" s="1" t="n">
        <v>3</v>
      </c>
      <c r="B1878" s="1" t="inlineStr">
        <is>
          <t>อุปกรณ์เสริม</t>
        </is>
      </c>
      <c r="C1878" s="1" t="inlineStr">
        <is>
          <t>gf3500500010</t>
        </is>
      </c>
      <c r="D1878" s="1" t="inlineStr">
        <is>
          <t>YAMAHA Earphone (Black)</t>
        </is>
      </c>
      <c r="E1878" s="1" t="inlineStr">
        <is>
          <t>YAMAHA</t>
        </is>
      </c>
      <c r="F1878" s="1" t="inlineStr">
        <is>
          <t>NON GOLF</t>
        </is>
      </c>
      <c r="G1878" s="1" t="inlineStr">
        <is>
          <t>GF3500500010</t>
        </is>
      </c>
      <c r="H1878" s="1" t="n">
        <v>1</v>
      </c>
      <c r="I1878" s="1" t="inlineStr">
        <is>
          <t>มี</t>
        </is>
      </c>
      <c r="J1878" s="13" t="n">
        <v>259</v>
      </c>
      <c r="K1878" s="1" t="inlineStr"/>
      <c r="L1878" s="13" t="n">
        <v>259</v>
      </c>
      <c r="M1878" s="1">
        <f>IF(L1878="","ไม่พบใน SG",IF(ABS(J1878-L1878)&lt;0.005,"ตรงกัน","ไม่ตรง"))</f>
        <v/>
      </c>
      <c r="N1878" s="14">
        <f>IF(L1878="","",ROUND(L1878*'สรุป'!$C$6,-1))</f>
        <v/>
      </c>
      <c r="O1878" s="15" t="n"/>
      <c r="P1878" s="15" t="n"/>
      <c r="Q1878" s="10" t="n"/>
      <c r="R1878" s="10" t="n"/>
      <c r="S1878" s="16" t="inlineStr">
        <is>
          <t>https://mstgolf.co.th/products/gf3500500010</t>
        </is>
      </c>
      <c r="T1878" s="1">
        <f>IF(B1878="ไม้กอล์ฟ",J1878,"")</f>
        <v/>
      </c>
    </row>
    <row r="1879">
      <c r="A1879" s="1" t="n">
        <v>3</v>
      </c>
      <c r="B1879" s="1" t="inlineStr">
        <is>
          <t>อุปกรณ์เสริม</t>
        </is>
      </c>
      <c r="C1879" s="1" t="inlineStr">
        <is>
          <t>gf3500500011</t>
        </is>
      </c>
      <c r="D1879" s="1" t="inlineStr">
        <is>
          <t>YAMAHA Earphone (Pink)</t>
        </is>
      </c>
      <c r="E1879" s="1" t="inlineStr">
        <is>
          <t>YAMAHA</t>
        </is>
      </c>
      <c r="F1879" s="1" t="inlineStr">
        <is>
          <t>NON GOLF</t>
        </is>
      </c>
      <c r="G1879" s="1" t="inlineStr">
        <is>
          <t>GF3500500011</t>
        </is>
      </c>
      <c r="H1879" s="1" t="n">
        <v>1</v>
      </c>
      <c r="I1879" s="1" t="inlineStr">
        <is>
          <t>มี</t>
        </is>
      </c>
      <c r="J1879" s="13" t="n">
        <v>259</v>
      </c>
      <c r="K1879" s="1" t="inlineStr"/>
      <c r="L1879" s="13" t="n">
        <v>259</v>
      </c>
      <c r="M1879" s="1">
        <f>IF(L1879="","ไม่พบใน SG",IF(ABS(J1879-L1879)&lt;0.005,"ตรงกัน","ไม่ตรง"))</f>
        <v/>
      </c>
      <c r="N1879" s="14">
        <f>IF(L1879="","",ROUND(L1879*'สรุป'!$C$6,-1))</f>
        <v/>
      </c>
      <c r="O1879" s="15" t="n"/>
      <c r="P1879" s="15" t="n"/>
      <c r="Q1879" s="10" t="n"/>
      <c r="R1879" s="10" t="n"/>
      <c r="S1879" s="16" t="inlineStr">
        <is>
          <t>https://mstgolf.co.th/products/gf3500500011</t>
        </is>
      </c>
      <c r="T1879" s="1">
        <f>IF(B1879="ไม้กอล์ฟ",J1879,"")</f>
        <v/>
      </c>
    </row>
    <row r="1880">
      <c r="A1880" s="1" t="n">
        <v>3</v>
      </c>
      <c r="B1880" s="1" t="inlineStr">
        <is>
          <t>เสื้อผ้า</t>
        </is>
      </c>
      <c r="C1880" s="1" t="inlineStr">
        <is>
          <t>gf2040401324</t>
        </is>
      </c>
      <c r="D1880" s="1" t="inlineStr">
        <is>
          <t>MALBON GOLF Martine Women's Top Set (Lime Sherbet)</t>
        </is>
      </c>
      <c r="E1880" s="1" t="inlineStr">
        <is>
          <t>MALBON GOLF</t>
        </is>
      </c>
      <c r="F1880" s="1" t="inlineStr">
        <is>
          <t>LONG SLEEVES</t>
        </is>
      </c>
      <c r="G1880" s="1" t="inlineStr">
        <is>
          <t>GF2040401324XS</t>
        </is>
      </c>
      <c r="H1880" s="1" t="n">
        <v>5</v>
      </c>
      <c r="I1880" s="1" t="inlineStr">
        <is>
          <t>มี</t>
        </is>
      </c>
      <c r="J1880" s="13" t="n">
        <v>249</v>
      </c>
      <c r="K1880" s="1" t="inlineStr"/>
      <c r="L1880" s="13" t="n">
        <v>249</v>
      </c>
      <c r="M1880" s="1">
        <f>IF(L1880="","ไม่พบใน SG",IF(ABS(J1880-L1880)&lt;0.005,"ตรงกัน","ไม่ตรง"))</f>
        <v/>
      </c>
      <c r="N1880" s="14">
        <f>IF(L1880="","",ROUND(L1880*'สรุป'!$C$6,-1))</f>
        <v/>
      </c>
      <c r="O1880" s="15" t="n"/>
      <c r="P1880" s="15" t="n"/>
      <c r="Q1880" s="10" t="n"/>
      <c r="R1880" s="10" t="n"/>
      <c r="S1880" s="16" t="inlineStr">
        <is>
          <t>https://mstgolf.co.th/products/gf2040401324</t>
        </is>
      </c>
      <c r="T1880" s="1">
        <f>IF(B1880="ไม้กอล์ฟ",J1880,"")</f>
        <v/>
      </c>
    </row>
    <row r="1881">
      <c r="A1881" s="1" t="n">
        <v>3</v>
      </c>
      <c r="B1881" s="1" t="inlineStr">
        <is>
          <t>เสื้อผ้า</t>
        </is>
      </c>
      <c r="C1881" s="1" t="inlineStr">
        <is>
          <t>gf2040114415</t>
        </is>
      </c>
      <c r="D1881" s="1" t="inlineStr">
        <is>
          <t>PXG Big Logo Women's Polo (Black)</t>
        </is>
      </c>
      <c r="E1881" s="1" t="inlineStr">
        <is>
          <t>PXG</t>
        </is>
      </c>
      <c r="F1881" s="1" t="inlineStr">
        <is>
          <t>SHORT SLEEVES</t>
        </is>
      </c>
      <c r="G1881" s="1" t="inlineStr">
        <is>
          <t>GF2040114415S</t>
        </is>
      </c>
      <c r="H1881" s="1" t="n">
        <v>5</v>
      </c>
      <c r="I1881" s="1" t="inlineStr">
        <is>
          <t>มี</t>
        </is>
      </c>
      <c r="J1881" s="13" t="n">
        <v>249</v>
      </c>
      <c r="K1881" s="1" t="inlineStr"/>
      <c r="L1881" s="13" t="n">
        <v>249</v>
      </c>
      <c r="M1881" s="1">
        <f>IF(L1881="","ไม่พบใน SG",IF(ABS(J1881-L1881)&lt;0.005,"ตรงกัน","ไม่ตรง"))</f>
        <v/>
      </c>
      <c r="N1881" s="14">
        <f>IF(L1881="","",ROUND(L1881*'สรุป'!$C$6,-1))</f>
        <v/>
      </c>
      <c r="O1881" s="15" t="n"/>
      <c r="P1881" s="15" t="n"/>
      <c r="Q1881" s="10" t="n"/>
      <c r="R1881" s="10" t="n"/>
      <c r="S1881" s="16" t="inlineStr">
        <is>
          <t>https://mstgolf.co.th/products/gf2040114415</t>
        </is>
      </c>
      <c r="T1881" s="1">
        <f>IF(B1881="ไม้กอล์ฟ",J1881,"")</f>
        <v/>
      </c>
    </row>
    <row r="1882">
      <c r="A1882" s="1" t="n">
        <v>3</v>
      </c>
      <c r="B1882" s="1" t="inlineStr">
        <is>
          <t>เสื้อผ้า</t>
        </is>
      </c>
      <c r="C1882" s="1" t="inlineStr">
        <is>
          <t>gf2040114414</t>
        </is>
      </c>
      <c r="D1882" s="1" t="inlineStr">
        <is>
          <t>PXG Big Logo Women's Polo (White)</t>
        </is>
      </c>
      <c r="E1882" s="1" t="inlineStr">
        <is>
          <t>PXG</t>
        </is>
      </c>
      <c r="F1882" s="1" t="inlineStr">
        <is>
          <t>SHORT SLEEVES</t>
        </is>
      </c>
      <c r="G1882" s="1" t="inlineStr">
        <is>
          <t>GF2040114414S</t>
        </is>
      </c>
      <c r="H1882" s="1" t="n">
        <v>5</v>
      </c>
      <c r="I1882" s="1" t="inlineStr">
        <is>
          <t>มี</t>
        </is>
      </c>
      <c r="J1882" s="13" t="n">
        <v>249</v>
      </c>
      <c r="K1882" s="1" t="inlineStr"/>
      <c r="L1882" s="13" t="n">
        <v>249</v>
      </c>
      <c r="M1882" s="1">
        <f>IF(L1882="","ไม่พบใน SG",IF(ABS(J1882-L1882)&lt;0.005,"ตรงกัน","ไม่ตรง"))</f>
        <v/>
      </c>
      <c r="N1882" s="14">
        <f>IF(L1882="","",ROUND(L1882*'สรุป'!$C$6,-1))</f>
        <v/>
      </c>
      <c r="O1882" s="15" t="n"/>
      <c r="P1882" s="15" t="n"/>
      <c r="Q1882" s="10" t="n"/>
      <c r="R1882" s="10" t="n"/>
      <c r="S1882" s="16" t="inlineStr">
        <is>
          <t>https://mstgolf.co.th/products/gf2040114414</t>
        </is>
      </c>
      <c r="T1882" s="1">
        <f>IF(B1882="ไม้กอล์ฟ",J1882,"")</f>
        <v/>
      </c>
    </row>
    <row r="1883">
      <c r="A1883" s="1" t="n">
        <v>3</v>
      </c>
      <c r="B1883" s="1" t="inlineStr">
        <is>
          <t>เสื้อผ้า</t>
        </is>
      </c>
      <c r="C1883" s="1" t="inlineStr">
        <is>
          <t>gf2040113755</t>
        </is>
      </c>
      <c r="D1883" s="1" t="inlineStr">
        <is>
          <t>PXG Neck Design Men's Polo (White)</t>
        </is>
      </c>
      <c r="E1883" s="1" t="inlineStr">
        <is>
          <t>PXG</t>
        </is>
      </c>
      <c r="F1883" s="1" t="inlineStr">
        <is>
          <t>SHORT SLEEVES</t>
        </is>
      </c>
      <c r="G1883" s="1" t="inlineStr">
        <is>
          <t>GF2040113755M</t>
        </is>
      </c>
      <c r="H1883" s="1" t="n">
        <v>4</v>
      </c>
      <c r="I1883" s="1" t="inlineStr">
        <is>
          <t>มี</t>
        </is>
      </c>
      <c r="J1883" s="13" t="n">
        <v>249</v>
      </c>
      <c r="K1883" s="1" t="inlineStr"/>
      <c r="L1883" s="13" t="n">
        <v>249</v>
      </c>
      <c r="M1883" s="1">
        <f>IF(L1883="","ไม่พบใน SG",IF(ABS(J1883-L1883)&lt;0.005,"ตรงกัน","ไม่ตรง"))</f>
        <v/>
      </c>
      <c r="N1883" s="14">
        <f>IF(L1883="","",ROUND(L1883*'สรุป'!$C$6,-1))</f>
        <v/>
      </c>
      <c r="O1883" s="15" t="n"/>
      <c r="P1883" s="15" t="n"/>
      <c r="Q1883" s="10" t="n"/>
      <c r="R1883" s="10" t="n"/>
      <c r="S1883" s="16" t="inlineStr">
        <is>
          <t>https://mstgolf.co.th/products/gf2040113755</t>
        </is>
      </c>
      <c r="T1883" s="1">
        <f>IF(B1883="ไม้กอล์ฟ",J1883,"")</f>
        <v/>
      </c>
    </row>
    <row r="1884">
      <c r="A1884" s="1" t="n">
        <v>3</v>
      </c>
      <c r="B1884" s="1" t="inlineStr">
        <is>
          <t>เสื้อผ้า</t>
        </is>
      </c>
      <c r="C1884" s="1" t="inlineStr">
        <is>
          <t>gf2060100844</t>
        </is>
      </c>
      <c r="D1884" s="1" t="inlineStr">
        <is>
          <t>TAYLORMADE Basic Men's Rain Suit (Black)</t>
        </is>
      </c>
      <c r="E1884" s="1" t="inlineStr">
        <is>
          <t>TAYLORMADE</t>
        </is>
      </c>
      <c r="F1884" s="1" t="inlineStr">
        <is>
          <t>TOP</t>
        </is>
      </c>
      <c r="G1884" s="1" t="inlineStr">
        <is>
          <t>GF2060100844S</t>
        </is>
      </c>
      <c r="H1884" s="1" t="n">
        <v>5</v>
      </c>
      <c r="I1884" s="1" t="inlineStr">
        <is>
          <t>มี</t>
        </is>
      </c>
      <c r="J1884" s="13" t="n">
        <v>249</v>
      </c>
      <c r="K1884" s="1" t="inlineStr"/>
      <c r="L1884" s="13" t="n">
        <v>79</v>
      </c>
      <c r="M1884" s="1">
        <f>IF(L1884="","ไม่พบใน SG",IF(ABS(J1884-L1884)&lt;0.005,"ตรงกัน","ไม่ตรง"))</f>
        <v/>
      </c>
      <c r="N1884" s="14">
        <f>IF(L1884="","",ROUND(L1884*'สรุป'!$C$6,-1))</f>
        <v/>
      </c>
      <c r="O1884" s="15" t="n"/>
      <c r="P1884" s="15" t="n"/>
      <c r="Q1884" s="10" t="n"/>
      <c r="R1884" s="10" t="n"/>
      <c r="S1884" s="16" t="inlineStr">
        <is>
          <t>https://mstgolf.co.th/products/gf2060100844</t>
        </is>
      </c>
      <c r="T1884" s="1">
        <f>IF(B1884="ไม้กอล์ฟ",J1884,"")</f>
        <v/>
      </c>
    </row>
    <row r="1885">
      <c r="A1885" s="1" t="n">
        <v>3</v>
      </c>
      <c r="B1885" s="1" t="inlineStr">
        <is>
          <t>เสื้อผ้า</t>
        </is>
      </c>
      <c r="C1885" s="1" t="inlineStr">
        <is>
          <t>gf2060100918</t>
        </is>
      </c>
      <c r="D1885" s="1" t="inlineStr">
        <is>
          <t>TAYLORMADE Basic Men's Rain Suit (Navy)</t>
        </is>
      </c>
      <c r="E1885" s="1" t="inlineStr">
        <is>
          <t>TAYLORMADE</t>
        </is>
      </c>
      <c r="F1885" s="1" t="inlineStr">
        <is>
          <t>TOP</t>
        </is>
      </c>
      <c r="G1885" s="1" t="inlineStr">
        <is>
          <t>GF2060100918S</t>
        </is>
      </c>
      <c r="H1885" s="1" t="n">
        <v>5</v>
      </c>
      <c r="I1885" s="1" t="inlineStr">
        <is>
          <t>มี</t>
        </is>
      </c>
      <c r="J1885" s="13" t="n">
        <v>249</v>
      </c>
      <c r="K1885" s="1" t="inlineStr"/>
      <c r="L1885" s="13" t="n">
        <v>79</v>
      </c>
      <c r="M1885" s="1">
        <f>IF(L1885="","ไม่พบใน SG",IF(ABS(J1885-L1885)&lt;0.005,"ตรงกัน","ไม่ตรง"))</f>
        <v/>
      </c>
      <c r="N1885" s="14">
        <f>IF(L1885="","",ROUND(L1885*'สรุป'!$C$6,-1))</f>
        <v/>
      </c>
      <c r="O1885" s="15" t="n"/>
      <c r="P1885" s="15" t="n"/>
      <c r="Q1885" s="10" t="n"/>
      <c r="R1885" s="10" t="n"/>
      <c r="S1885" s="16" t="inlineStr">
        <is>
          <t>https://mstgolf.co.th/products/gf2060100918</t>
        </is>
      </c>
      <c r="T1885" s="1">
        <f>IF(B1885="ไม้กอล์ฟ",J1885,"")</f>
        <v/>
      </c>
    </row>
    <row r="1886">
      <c r="A1886" s="1" t="n">
        <v>3</v>
      </c>
      <c r="B1886" s="1" t="inlineStr">
        <is>
          <t>เสื้อผ้า</t>
        </is>
      </c>
      <c r="C1886" s="1" t="inlineStr">
        <is>
          <t>gf2040118245</t>
        </is>
      </c>
      <c r="D1886" s="1" t="inlineStr">
        <is>
          <t>BOSS GOLF Island Men's Polo (Black)</t>
        </is>
      </c>
      <c r="E1886" s="1" t="inlineStr">
        <is>
          <t>BOSS GOLF</t>
        </is>
      </c>
      <c r="F1886" s="1" t="inlineStr">
        <is>
          <t>SHORT SLEEVES</t>
        </is>
      </c>
      <c r="G1886" s="1" t="inlineStr">
        <is>
          <t>GF2040118245M</t>
        </is>
      </c>
      <c r="H1886" s="1" t="n">
        <v>5</v>
      </c>
      <c r="I1886" s="1" t="inlineStr">
        <is>
          <t>มี</t>
        </is>
      </c>
      <c r="J1886" s="13" t="n">
        <v>245</v>
      </c>
      <c r="K1886" s="1" t="inlineStr"/>
      <c r="L1886" s="13" t="n"/>
      <c r="M1886" s="1">
        <f>IF(L1886="","ไม่พบใน SG",IF(ABS(J1886-L1886)&lt;0.005,"ตรงกัน","ไม่ตรง"))</f>
        <v/>
      </c>
      <c r="N1886" s="14">
        <f>IF(L1886="","",ROUND(L1886*'สรุป'!$C$6,-1))</f>
        <v/>
      </c>
      <c r="O1886" s="15" t="n"/>
      <c r="P1886" s="15" t="n"/>
      <c r="Q1886" s="10" t="n"/>
      <c r="R1886" s="10" t="n"/>
      <c r="S1886" s="16" t="inlineStr">
        <is>
          <t>https://mstgolf.co.th/products/gf2040118245</t>
        </is>
      </c>
      <c r="T1886" s="1">
        <f>IF(B1886="ไม้กอล์ฟ",J1886,"")</f>
        <v/>
      </c>
    </row>
    <row r="1887">
      <c r="A1887" s="1" t="n">
        <v>3</v>
      </c>
      <c r="B1887" s="1" t="inlineStr">
        <is>
          <t>เสื้อผ้า</t>
        </is>
      </c>
      <c r="C1887" s="1" t="inlineStr">
        <is>
          <t>gf2040119743</t>
        </is>
      </c>
      <c r="D1887" s="1" t="inlineStr">
        <is>
          <t>MANORS Ranger Shooter Men's Shirt (Black)</t>
        </is>
      </c>
      <c r="E1887" s="1" t="inlineStr">
        <is>
          <t>MANORS</t>
        </is>
      </c>
      <c r="F1887" s="1" t="inlineStr">
        <is>
          <t>SHORT SLEEVES</t>
        </is>
      </c>
      <c r="G1887" s="1" t="inlineStr">
        <is>
          <t>GF2040119743S</t>
        </is>
      </c>
      <c r="H1887" s="1" t="n">
        <v>4</v>
      </c>
      <c r="I1887" s="1" t="inlineStr">
        <is>
          <t>มี</t>
        </is>
      </c>
      <c r="J1887" s="13" t="n">
        <v>245</v>
      </c>
      <c r="K1887" s="1" t="inlineStr"/>
      <c r="L1887" s="13" t="n">
        <v>245</v>
      </c>
      <c r="M1887" s="1">
        <f>IF(L1887="","ไม่พบใน SG",IF(ABS(J1887-L1887)&lt;0.005,"ตรงกัน","ไม่ตรง"))</f>
        <v/>
      </c>
      <c r="N1887" s="14">
        <f>IF(L1887="","",ROUND(L1887*'สรุป'!$C$6,-1))</f>
        <v/>
      </c>
      <c r="O1887" s="15" t="n"/>
      <c r="P1887" s="15" t="n"/>
      <c r="Q1887" s="10" t="n"/>
      <c r="R1887" s="10" t="n"/>
      <c r="S1887" s="16" t="inlineStr">
        <is>
          <t>https://mstgolf.co.th/products/gf2040119743</t>
        </is>
      </c>
      <c r="T1887" s="1">
        <f>IF(B1887="ไม้กอล์ฟ",J1887,"")</f>
        <v/>
      </c>
    </row>
    <row r="1888">
      <c r="A1888" s="1" t="n">
        <v>3</v>
      </c>
      <c r="B1888" s="1" t="inlineStr">
        <is>
          <t>เสื้อผ้า</t>
        </is>
      </c>
      <c r="C1888" s="1" t="inlineStr">
        <is>
          <t>gf2040119746</t>
        </is>
      </c>
      <c r="D1888" s="1" t="inlineStr">
        <is>
          <t>MANORS Ranger Shooter Men's Shirt (Green)</t>
        </is>
      </c>
      <c r="E1888" s="1" t="inlineStr">
        <is>
          <t>MANORS</t>
        </is>
      </c>
      <c r="F1888" s="1" t="inlineStr">
        <is>
          <t>SHORT SLEEVES</t>
        </is>
      </c>
      <c r="G1888" s="1" t="inlineStr">
        <is>
          <t>GF2040119746XS</t>
        </is>
      </c>
      <c r="H1888" s="1" t="n">
        <v>5</v>
      </c>
      <c r="I1888" s="1" t="inlineStr">
        <is>
          <t>มี</t>
        </is>
      </c>
      <c r="J1888" s="13" t="n">
        <v>245</v>
      </c>
      <c r="K1888" s="1" t="inlineStr"/>
      <c r="L1888" s="13" t="n">
        <v>245</v>
      </c>
      <c r="M1888" s="1">
        <f>IF(L1888="","ไม่พบใน SG",IF(ABS(J1888-L1888)&lt;0.005,"ตรงกัน","ไม่ตรง"))</f>
        <v/>
      </c>
      <c r="N1888" s="14">
        <f>IF(L1888="","",ROUND(L1888*'สรุป'!$C$6,-1))</f>
        <v/>
      </c>
      <c r="O1888" s="15" t="n"/>
      <c r="P1888" s="15" t="n"/>
      <c r="Q1888" s="10" t="n"/>
      <c r="R1888" s="10" t="n"/>
      <c r="S1888" s="16" t="inlineStr">
        <is>
          <t>https://mstgolf.co.th/products/gf2040119746</t>
        </is>
      </c>
      <c r="T1888" s="1">
        <f>IF(B1888="ไม้กอล์ฟ",J1888,"")</f>
        <v/>
      </c>
    </row>
    <row r="1889">
      <c r="A1889" s="1" t="n">
        <v>3</v>
      </c>
      <c r="B1889" s="1" t="inlineStr">
        <is>
          <t>เสื้อผ้า</t>
        </is>
      </c>
      <c r="C1889" s="1" t="inlineStr">
        <is>
          <t>gf2060101054</t>
        </is>
      </c>
      <c r="D1889" s="1" t="inlineStr">
        <is>
          <t>PETER MILLAR Orion Performance Quilted Hooded Men's Jacket (Infinity)</t>
        </is>
      </c>
      <c r="E1889" s="1" t="inlineStr">
        <is>
          <t>PETER MILLAR</t>
        </is>
      </c>
      <c r="F1889" s="1" t="inlineStr">
        <is>
          <t>TOP</t>
        </is>
      </c>
      <c r="G1889" s="1" t="inlineStr">
        <is>
          <t>GF2060101054S</t>
        </is>
      </c>
      <c r="H1889" s="1" t="n">
        <v>5</v>
      </c>
      <c r="I1889" s="1" t="inlineStr">
        <is>
          <t>มี</t>
        </is>
      </c>
      <c r="J1889" s="13" t="n">
        <v>245</v>
      </c>
      <c r="K1889" s="1" t="inlineStr"/>
      <c r="L1889" s="13" t="n">
        <v>179</v>
      </c>
      <c r="M1889" s="1">
        <f>IF(L1889="","ไม่พบใน SG",IF(ABS(J1889-L1889)&lt;0.005,"ตรงกัน","ไม่ตรง"))</f>
        <v/>
      </c>
      <c r="N1889" s="14">
        <f>IF(L1889="","",ROUND(L1889*'สรุป'!$C$6,-1))</f>
        <v/>
      </c>
      <c r="O1889" s="15" t="n"/>
      <c r="P1889" s="15" t="n"/>
      <c r="Q1889" s="10" t="n"/>
      <c r="R1889" s="10" t="n"/>
      <c r="S1889" s="16" t="inlineStr">
        <is>
          <t>https://mstgolf.co.th/products/gf2060101054</t>
        </is>
      </c>
      <c r="T1889" s="1">
        <f>IF(B1889="ไม้กอล์ฟ",J1889,"")</f>
        <v/>
      </c>
    </row>
    <row r="1890">
      <c r="A1890" s="1" t="n">
        <v>3</v>
      </c>
      <c r="B1890" s="1" t="inlineStr">
        <is>
          <t>เสื้อผ้า</t>
        </is>
      </c>
      <c r="C1890" s="1" t="inlineStr">
        <is>
          <t>gf2040120616</t>
        </is>
      </c>
      <c r="D1890" s="1" t="inlineStr">
        <is>
          <t>WAAC Men's Jacquard Polo (White)</t>
        </is>
      </c>
      <c r="E1890" s="1" t="inlineStr">
        <is>
          <t>WAAC</t>
        </is>
      </c>
      <c r="F1890" s="1" t="inlineStr">
        <is>
          <t>SHORT SLEEVES</t>
        </is>
      </c>
      <c r="G1890" s="1" t="inlineStr">
        <is>
          <t>GF2040120616S</t>
        </is>
      </c>
      <c r="H1890" s="1" t="n">
        <v>4</v>
      </c>
      <c r="I1890" s="1" t="inlineStr">
        <is>
          <t>มี</t>
        </is>
      </c>
      <c r="J1890" s="13" t="n">
        <v>245</v>
      </c>
      <c r="K1890" s="1" t="inlineStr"/>
      <c r="L1890" s="13" t="n">
        <v>245</v>
      </c>
      <c r="M1890" s="1">
        <f>IF(L1890="","ไม่พบใน SG",IF(ABS(J1890-L1890)&lt;0.005,"ตรงกัน","ไม่ตรง"))</f>
        <v/>
      </c>
      <c r="N1890" s="14">
        <f>IF(L1890="","",ROUND(L1890*'สรุป'!$C$6,-1))</f>
        <v/>
      </c>
      <c r="O1890" s="15" t="n"/>
      <c r="P1890" s="15" t="n"/>
      <c r="Q1890" s="10" t="n"/>
      <c r="R1890" s="10" t="n"/>
      <c r="S1890" s="16" t="inlineStr">
        <is>
          <t>https://mstgolf.co.th/products/gf2040120616</t>
        </is>
      </c>
      <c r="T1890" s="1">
        <f>IF(B1890="ไม้กอล์ฟ",J1890,"")</f>
        <v/>
      </c>
    </row>
    <row r="1891">
      <c r="A1891" s="1" t="n">
        <v>3</v>
      </c>
      <c r="B1891" s="1" t="inlineStr">
        <is>
          <t>เสื้อผ้า</t>
        </is>
      </c>
      <c r="C1891" s="1" t="inlineStr">
        <is>
          <t>gf2020102534</t>
        </is>
      </c>
      <c r="D1891" s="1" t="inlineStr">
        <is>
          <t>TAYLORMADE x United Arrows Women's High Waist Pants (Ercu)</t>
        </is>
      </c>
      <c r="E1891" s="1" t="inlineStr">
        <is>
          <t>TAYLORMADE</t>
        </is>
      </c>
      <c r="F1891" s="1" t="inlineStr">
        <is>
          <t>LONG PANTS</t>
        </is>
      </c>
      <c r="G1891" s="1" t="inlineStr">
        <is>
          <t>GF2020102534XS</t>
        </is>
      </c>
      <c r="H1891" s="1" t="n">
        <v>5</v>
      </c>
      <c r="I1891" s="1" t="inlineStr">
        <is>
          <t>มี</t>
        </is>
      </c>
      <c r="J1891" s="13" t="n">
        <v>240</v>
      </c>
      <c r="K1891" s="1" t="inlineStr"/>
      <c r="L1891" s="13" t="n">
        <v>240</v>
      </c>
      <c r="M1891" s="1">
        <f>IF(L1891="","ไม่พบใน SG",IF(ABS(J1891-L1891)&lt;0.005,"ตรงกัน","ไม่ตรง"))</f>
        <v/>
      </c>
      <c r="N1891" s="14">
        <f>IF(L1891="","",ROUND(L1891*'สรุป'!$C$6,-1))</f>
        <v/>
      </c>
      <c r="O1891" s="15" t="n"/>
      <c r="P1891" s="15" t="n"/>
      <c r="Q1891" s="10" t="n"/>
      <c r="R1891" s="10" t="n"/>
      <c r="S1891" s="16" t="inlineStr">
        <is>
          <t>https://mstgolf.co.th/products/gf2020102534</t>
        </is>
      </c>
      <c r="T1891" s="1">
        <f>IF(B1891="ไม้กอล์ฟ",J1891,"")</f>
        <v/>
      </c>
    </row>
    <row r="1892">
      <c r="A1892" s="1" t="n">
        <v>3</v>
      </c>
      <c r="B1892" s="1" t="inlineStr">
        <is>
          <t>เสื้อผ้า</t>
        </is>
      </c>
      <c r="C1892" s="1" t="inlineStr">
        <is>
          <t>gf2020102536</t>
        </is>
      </c>
      <c r="D1892" s="1" t="inlineStr">
        <is>
          <t>TAYLORMADE x United Arrows Women's High Waist Pants (Sax)</t>
        </is>
      </c>
      <c r="E1892" s="1" t="inlineStr">
        <is>
          <t>TAYLORMADE</t>
        </is>
      </c>
      <c r="F1892" s="1" t="inlineStr">
        <is>
          <t>LONG PANTS</t>
        </is>
      </c>
      <c r="G1892" s="1" t="inlineStr">
        <is>
          <t>GF2020102536XS</t>
        </is>
      </c>
      <c r="H1892" s="1" t="n">
        <v>5</v>
      </c>
      <c r="I1892" s="1" t="inlineStr">
        <is>
          <t>มี</t>
        </is>
      </c>
      <c r="J1892" s="13" t="n">
        <v>240</v>
      </c>
      <c r="K1892" s="1" t="inlineStr"/>
      <c r="L1892" s="13" t="n">
        <v>240</v>
      </c>
      <c r="M1892" s="1">
        <f>IF(L1892="","ไม่พบใน SG",IF(ABS(J1892-L1892)&lt;0.005,"ตรงกัน","ไม่ตรง"))</f>
        <v/>
      </c>
      <c r="N1892" s="14">
        <f>IF(L1892="","",ROUND(L1892*'สรุป'!$C$6,-1))</f>
        <v/>
      </c>
      <c r="O1892" s="15" t="n"/>
      <c r="P1892" s="15" t="n"/>
      <c r="Q1892" s="10" t="n"/>
      <c r="R1892" s="10" t="n"/>
      <c r="S1892" s="16" t="inlineStr">
        <is>
          <t>https://mstgolf.co.th/products/gf2020102536</t>
        </is>
      </c>
      <c r="T1892" s="1">
        <f>IF(B1892="ไม้กอล์ฟ",J1892,"")</f>
        <v/>
      </c>
    </row>
    <row r="1893">
      <c r="A1893" s="1" t="n">
        <v>3</v>
      </c>
      <c r="B1893" s="1" t="inlineStr">
        <is>
          <t>เสื้อผ้า</t>
        </is>
      </c>
      <c r="C1893" s="1" t="inlineStr">
        <is>
          <t>gf2020300080</t>
        </is>
      </c>
      <c r="D1893" s="1" t="inlineStr">
        <is>
          <t>WAAC Athletic Cacti Cargo Skort (Pink)</t>
        </is>
      </c>
      <c r="E1893" s="1" t="inlineStr">
        <is>
          <t>WAAC</t>
        </is>
      </c>
      <c r="F1893" s="1" t="inlineStr">
        <is>
          <t>SKORTS</t>
        </is>
      </c>
      <c r="G1893" s="1" t="inlineStr">
        <is>
          <t>GF202030008023</t>
        </is>
      </c>
      <c r="H1893" s="1" t="n">
        <v>8</v>
      </c>
      <c r="I1893" s="1" t="inlineStr">
        <is>
          <t>มี</t>
        </is>
      </c>
      <c r="J1893" s="13" t="n">
        <v>240</v>
      </c>
      <c r="K1893" s="1" t="inlineStr"/>
      <c r="L1893" s="13" t="n">
        <v>240</v>
      </c>
      <c r="M1893" s="1">
        <f>IF(L1893="","ไม่พบใน SG",IF(ABS(J1893-L1893)&lt;0.005,"ตรงกัน","ไม่ตรง"))</f>
        <v/>
      </c>
      <c r="N1893" s="14">
        <f>IF(L1893="","",ROUND(L1893*'สรุป'!$C$6,-1))</f>
        <v/>
      </c>
      <c r="O1893" s="15" t="n"/>
      <c r="P1893" s="15" t="n"/>
      <c r="Q1893" s="10" t="n"/>
      <c r="R1893" s="10" t="n"/>
      <c r="S1893" s="16" t="inlineStr">
        <is>
          <t>https://mstgolf.co.th/products/gf2020300080</t>
        </is>
      </c>
      <c r="T1893" s="1">
        <f>IF(B1893="ไม้กอล์ฟ",J1893,"")</f>
        <v/>
      </c>
    </row>
    <row r="1894">
      <c r="A1894" s="1" t="n">
        <v>3</v>
      </c>
      <c r="B1894" s="1" t="inlineStr">
        <is>
          <t>เสื้อผ้า</t>
        </is>
      </c>
      <c r="C1894" s="1" t="inlineStr">
        <is>
          <t>gf2020202741</t>
        </is>
      </c>
      <c r="D1894" s="1" t="inlineStr">
        <is>
          <t>WAAC Athletic Double Wrap Layer Women's Shorts (Green)</t>
        </is>
      </c>
      <c r="E1894" s="1" t="inlineStr">
        <is>
          <t>WAAC</t>
        </is>
      </c>
      <c r="F1894" s="1" t="inlineStr">
        <is>
          <t>SHORT PANTS</t>
        </is>
      </c>
      <c r="G1894" s="1" t="inlineStr">
        <is>
          <t>GF202020274123</t>
        </is>
      </c>
      <c r="H1894" s="1" t="n">
        <v>8</v>
      </c>
      <c r="I1894" s="1" t="inlineStr">
        <is>
          <t>มี</t>
        </is>
      </c>
      <c r="J1894" s="13" t="n">
        <v>240</v>
      </c>
      <c r="K1894" s="1" t="inlineStr"/>
      <c r="L1894" s="13" t="n">
        <v>240</v>
      </c>
      <c r="M1894" s="1">
        <f>IF(L1894="","ไม่พบใน SG",IF(ABS(J1894-L1894)&lt;0.005,"ตรงกัน","ไม่ตรง"))</f>
        <v/>
      </c>
      <c r="N1894" s="14">
        <f>IF(L1894="","",ROUND(L1894*'สรุป'!$C$6,-1))</f>
        <v/>
      </c>
      <c r="O1894" s="15" t="n"/>
      <c r="P1894" s="15" t="n"/>
      <c r="Q1894" s="10" t="n"/>
      <c r="R1894" s="10" t="n"/>
      <c r="S1894" s="16" t="inlineStr">
        <is>
          <t>https://mstgolf.co.th/products/gf2020202741</t>
        </is>
      </c>
      <c r="T1894" s="1">
        <f>IF(B1894="ไม้กอล์ฟ",J1894,"")</f>
        <v/>
      </c>
    </row>
    <row r="1895">
      <c r="A1895" s="1" t="n">
        <v>3</v>
      </c>
      <c r="B1895" s="1" t="inlineStr">
        <is>
          <t>เสื้อผ้า</t>
        </is>
      </c>
      <c r="C1895" s="1" t="inlineStr">
        <is>
          <t>gf2020300079</t>
        </is>
      </c>
      <c r="D1895" s="1" t="inlineStr">
        <is>
          <t>WAAC Jersey Flare Skort (Green)</t>
        </is>
      </c>
      <c r="E1895" s="1" t="inlineStr">
        <is>
          <t>WAAC</t>
        </is>
      </c>
      <c r="F1895" s="1" t="inlineStr">
        <is>
          <t>SKORTS</t>
        </is>
      </c>
      <c r="G1895" s="1" t="inlineStr">
        <is>
          <t>GF202030007923</t>
        </is>
      </c>
      <c r="H1895" s="1" t="n">
        <v>8</v>
      </c>
      <c r="I1895" s="1" t="inlineStr">
        <is>
          <t>มี</t>
        </is>
      </c>
      <c r="J1895" s="13" t="n">
        <v>240</v>
      </c>
      <c r="K1895" s="1" t="inlineStr"/>
      <c r="L1895" s="13" t="n">
        <v>240</v>
      </c>
      <c r="M1895" s="1">
        <f>IF(L1895="","ไม่พบใน SG",IF(ABS(J1895-L1895)&lt;0.005,"ตรงกัน","ไม่ตรง"))</f>
        <v/>
      </c>
      <c r="N1895" s="14">
        <f>IF(L1895="","",ROUND(L1895*'สรุป'!$C$6,-1))</f>
        <v/>
      </c>
      <c r="O1895" s="15" t="n"/>
      <c r="P1895" s="15" t="n"/>
      <c r="Q1895" s="10" t="n"/>
      <c r="R1895" s="10" t="n"/>
      <c r="S1895" s="16" t="inlineStr">
        <is>
          <t>https://mstgolf.co.th/products/gf2020300079</t>
        </is>
      </c>
      <c r="T1895" s="1">
        <f>IF(B1895="ไม้กอล์ฟ",J1895,"")</f>
        <v/>
      </c>
    </row>
    <row r="1896">
      <c r="A1896" s="1" t="n">
        <v>3</v>
      </c>
      <c r="B1896" s="1" t="inlineStr">
        <is>
          <t>เสื้อผ้า</t>
        </is>
      </c>
      <c r="C1896" s="1" t="inlineStr">
        <is>
          <t>gf2040118762</t>
        </is>
      </c>
      <c r="D1896" s="1" t="inlineStr">
        <is>
          <t>GFORE Ribbed Cotton Women's Polo (Daybreak)</t>
        </is>
      </c>
      <c r="E1896" s="1" t="inlineStr">
        <is>
          <t>GFORE</t>
        </is>
      </c>
      <c r="F1896" s="1" t="inlineStr">
        <is>
          <t>SHORT SLEEVES</t>
        </is>
      </c>
      <c r="G1896" s="1" t="inlineStr">
        <is>
          <t>GF2040118762XS</t>
        </is>
      </c>
      <c r="H1896" s="1" t="n">
        <v>6</v>
      </c>
      <c r="I1896" s="1" t="inlineStr">
        <is>
          <t>มี</t>
        </is>
      </c>
      <c r="J1896" s="13" t="n">
        <v>239</v>
      </c>
      <c r="K1896" s="1" t="inlineStr"/>
      <c r="L1896" s="13" t="n">
        <v>239</v>
      </c>
      <c r="M1896" s="1">
        <f>IF(L1896="","ไม่พบใน SG",IF(ABS(J1896-L1896)&lt;0.005,"ตรงกัน","ไม่ตรง"))</f>
        <v/>
      </c>
      <c r="N1896" s="14">
        <f>IF(L1896="","",ROUND(L1896*'สรุป'!$C$6,-1))</f>
        <v/>
      </c>
      <c r="O1896" s="15" t="n"/>
      <c r="P1896" s="15" t="n"/>
      <c r="Q1896" s="10" t="n"/>
      <c r="R1896" s="10" t="n"/>
      <c r="S1896" s="16" t="inlineStr">
        <is>
          <t>https://mstgolf.co.th/products/gf2040118762</t>
        </is>
      </c>
      <c r="T1896" s="1">
        <f>IF(B1896="ไม้กอล์ฟ",J1896,"")</f>
        <v/>
      </c>
    </row>
    <row r="1897">
      <c r="A1897" s="1" t="n">
        <v>3</v>
      </c>
      <c r="B1897" s="1" t="inlineStr">
        <is>
          <t>เสื้อผ้า</t>
        </is>
      </c>
      <c r="C1897" s="1" t="inlineStr">
        <is>
          <t>gf2040401499</t>
        </is>
      </c>
      <c r="D1897" s="1" t="inlineStr">
        <is>
          <t>LACOSTE Thermo-Regulating UV Protect Women's Long Sleeve Polo (Delphinium)</t>
        </is>
      </c>
      <c r="E1897" s="1" t="inlineStr">
        <is>
          <t>LACOSTE</t>
        </is>
      </c>
      <c r="F1897" s="1" t="inlineStr">
        <is>
          <t>LONG SLEEVES</t>
        </is>
      </c>
      <c r="G1897" s="1" t="inlineStr">
        <is>
          <t>GF204040149938</t>
        </is>
      </c>
      <c r="H1897" s="1" t="n">
        <v>4</v>
      </c>
      <c r="I1897" s="1" t="inlineStr">
        <is>
          <t>มี</t>
        </is>
      </c>
      <c r="J1897" s="13" t="n">
        <v>239</v>
      </c>
      <c r="K1897" s="1" t="inlineStr"/>
      <c r="L1897" s="13" t="n">
        <v>239</v>
      </c>
      <c r="M1897" s="1">
        <f>IF(L1897="","ไม่พบใน SG",IF(ABS(J1897-L1897)&lt;0.005,"ตรงกัน","ไม่ตรง"))</f>
        <v/>
      </c>
      <c r="N1897" s="14">
        <f>IF(L1897="","",ROUND(L1897*'สรุป'!$C$6,-1))</f>
        <v/>
      </c>
      <c r="O1897" s="15" t="n"/>
      <c r="P1897" s="15" t="n"/>
      <c r="Q1897" s="10" t="n"/>
      <c r="R1897" s="10" t="n"/>
      <c r="S1897" s="16" t="inlineStr">
        <is>
          <t>https://mstgolf.co.th/products/gf2040401499</t>
        </is>
      </c>
      <c r="T1897" s="1">
        <f>IF(B1897="ไม้กอล์ฟ",J1897,"")</f>
        <v/>
      </c>
    </row>
    <row r="1898">
      <c r="A1898" s="1" t="n">
        <v>3</v>
      </c>
      <c r="B1898" s="1" t="inlineStr">
        <is>
          <t>เสื้อผ้า</t>
        </is>
      </c>
      <c r="C1898" s="1" t="inlineStr">
        <is>
          <t>gf2040401394</t>
        </is>
      </c>
      <c r="D1898" s="1" t="inlineStr">
        <is>
          <t>WAAC High Stretch Essential Women's Polo (Pink)</t>
        </is>
      </c>
      <c r="E1898" s="1" t="inlineStr">
        <is>
          <t>WAAC</t>
        </is>
      </c>
      <c r="F1898" s="1" t="inlineStr">
        <is>
          <t>LONG SLEEVES</t>
        </is>
      </c>
      <c r="G1898" s="1" t="inlineStr">
        <is>
          <t>GF2040401394XS</t>
        </is>
      </c>
      <c r="H1898" s="1" t="n">
        <v>6</v>
      </c>
      <c r="I1898" s="1" t="inlineStr">
        <is>
          <t>มี</t>
        </is>
      </c>
      <c r="J1898" s="13" t="n">
        <v>230</v>
      </c>
      <c r="K1898" s="1" t="inlineStr"/>
      <c r="L1898" s="13" t="n">
        <v>230</v>
      </c>
      <c r="M1898" s="1">
        <f>IF(L1898="","ไม่พบใน SG",IF(ABS(J1898-L1898)&lt;0.005,"ตรงกัน","ไม่ตรง"))</f>
        <v/>
      </c>
      <c r="N1898" s="14">
        <f>IF(L1898="","",ROUND(L1898*'สรุป'!$C$6,-1))</f>
        <v/>
      </c>
      <c r="O1898" s="15" t="n"/>
      <c r="P1898" s="15" t="n"/>
      <c r="Q1898" s="10" t="n"/>
      <c r="R1898" s="10" t="n"/>
      <c r="S1898" s="16" t="inlineStr">
        <is>
          <t>https://mstgolf.co.th/products/gf2040401394</t>
        </is>
      </c>
      <c r="T1898" s="1">
        <f>IF(B1898="ไม้กอล์ฟ",J1898,"")</f>
        <v/>
      </c>
    </row>
    <row r="1899">
      <c r="A1899" s="1" t="n">
        <v>3</v>
      </c>
      <c r="B1899" s="1" t="inlineStr">
        <is>
          <t>เสื้อผ้า</t>
        </is>
      </c>
      <c r="C1899" s="1" t="inlineStr">
        <is>
          <t>gf2020201804</t>
        </is>
      </c>
      <c r="D1899" s="1" t="inlineStr">
        <is>
          <t>PXG Basic Half Men's Shorts (White)</t>
        </is>
      </c>
      <c r="E1899" s="1" t="inlineStr">
        <is>
          <t>PXG</t>
        </is>
      </c>
      <c r="F1899" s="1" t="inlineStr">
        <is>
          <t>SHORT PANTS</t>
        </is>
      </c>
      <c r="G1899" s="1" t="inlineStr">
        <is>
          <t>GF20202018043XL</t>
        </is>
      </c>
      <c r="H1899" s="1" t="n">
        <v>17</v>
      </c>
      <c r="I1899" s="1" t="inlineStr">
        <is>
          <t>มี</t>
        </is>
      </c>
      <c r="J1899" s="13" t="n">
        <v>229</v>
      </c>
      <c r="K1899" s="1" t="inlineStr"/>
      <c r="L1899" s="13" t="n">
        <v>229</v>
      </c>
      <c r="M1899" s="1">
        <f>IF(L1899="","ไม่พบใน SG",IF(ABS(J1899-L1899)&lt;0.005,"ตรงกัน","ไม่ตรง"))</f>
        <v/>
      </c>
      <c r="N1899" s="14">
        <f>IF(L1899="","",ROUND(L1899*'สรุป'!$C$6,-1))</f>
        <v/>
      </c>
      <c r="O1899" s="15" t="n"/>
      <c r="P1899" s="15" t="n"/>
      <c r="Q1899" s="10" t="n"/>
      <c r="R1899" s="10" t="n"/>
      <c r="S1899" s="16" t="inlineStr">
        <is>
          <t>https://mstgolf.co.th/products/gf2020201804</t>
        </is>
      </c>
      <c r="T1899" s="1">
        <f>IF(B1899="ไม้กอล์ฟ",J1899,"")</f>
        <v/>
      </c>
    </row>
    <row r="1900">
      <c r="A1900" s="1" t="n">
        <v>3</v>
      </c>
      <c r="B1900" s="1" t="inlineStr">
        <is>
          <t>เสื้อผ้า</t>
        </is>
      </c>
      <c r="C1900" s="1" t="inlineStr">
        <is>
          <t>gf2040115648</t>
        </is>
      </c>
      <c r="D1900" s="1" t="inlineStr">
        <is>
          <t>PXG Colour Block Men's Polo (Black)</t>
        </is>
      </c>
      <c r="E1900" s="1" t="inlineStr">
        <is>
          <t>PXG</t>
        </is>
      </c>
      <c r="F1900" s="1" t="inlineStr">
        <is>
          <t>SHORT SLEEVES</t>
        </is>
      </c>
      <c r="G1900" s="1" t="inlineStr">
        <is>
          <t>GF2040115648S</t>
        </is>
      </c>
      <c r="H1900" s="1" t="n">
        <v>5</v>
      </c>
      <c r="I1900" s="1" t="inlineStr">
        <is>
          <t>มี</t>
        </is>
      </c>
      <c r="J1900" s="13" t="n">
        <v>229</v>
      </c>
      <c r="K1900" s="1" t="inlineStr"/>
      <c r="L1900" s="13" t="n">
        <v>229</v>
      </c>
      <c r="M1900" s="1">
        <f>IF(L1900="","ไม่พบใน SG",IF(ABS(J1900-L1900)&lt;0.005,"ตรงกัน","ไม่ตรง"))</f>
        <v/>
      </c>
      <c r="N1900" s="14">
        <f>IF(L1900="","",ROUND(L1900*'สรุป'!$C$6,-1))</f>
        <v/>
      </c>
      <c r="O1900" s="15" t="n"/>
      <c r="P1900" s="15" t="n"/>
      <c r="Q1900" s="10" t="n"/>
      <c r="R1900" s="10" t="n"/>
      <c r="S1900" s="16" t="inlineStr">
        <is>
          <t>https://mstgolf.co.th/products/gf2040115648</t>
        </is>
      </c>
      <c r="T1900" s="1">
        <f>IF(B1900="ไม้กอล์ฟ",J1900,"")</f>
        <v/>
      </c>
    </row>
    <row r="1901">
      <c r="A1901" s="1" t="n">
        <v>3</v>
      </c>
      <c r="B1901" s="1" t="inlineStr">
        <is>
          <t>เสื้อผ้า</t>
        </is>
      </c>
      <c r="C1901" s="1" t="inlineStr">
        <is>
          <t>gf2040118018</t>
        </is>
      </c>
      <c r="D1901" s="1" t="inlineStr">
        <is>
          <t>WAAC Korea Jersey Men's Polo (Light Blue)</t>
        </is>
      </c>
      <c r="E1901" s="1" t="inlineStr">
        <is>
          <t>WAAC</t>
        </is>
      </c>
      <c r="F1901" s="1" t="inlineStr">
        <is>
          <t>SHORT SLEEVES</t>
        </is>
      </c>
      <c r="G1901" s="1" t="inlineStr">
        <is>
          <t>GF2040118018S</t>
        </is>
      </c>
      <c r="H1901" s="1" t="n">
        <v>5</v>
      </c>
      <c r="I1901" s="1" t="inlineStr">
        <is>
          <t>มี</t>
        </is>
      </c>
      <c r="J1901" s="13" t="n">
        <v>229</v>
      </c>
      <c r="K1901" s="1" t="inlineStr"/>
      <c r="L1901" s="13" t="n">
        <v>229</v>
      </c>
      <c r="M1901" s="1">
        <f>IF(L1901="","ไม่พบใน SG",IF(ABS(J1901-L1901)&lt;0.005,"ตรงกัน","ไม่ตรง"))</f>
        <v/>
      </c>
      <c r="N1901" s="14">
        <f>IF(L1901="","",ROUND(L1901*'สรุป'!$C$6,-1))</f>
        <v/>
      </c>
      <c r="O1901" s="15" t="n"/>
      <c r="P1901" s="15" t="n"/>
      <c r="Q1901" s="10" t="n"/>
      <c r="R1901" s="10" t="n"/>
      <c r="S1901" s="16" t="inlineStr">
        <is>
          <t>https://mstgolf.co.th/products/gf2040118018</t>
        </is>
      </c>
      <c r="T1901" s="1">
        <f>IF(B1901="ไม้กอล์ฟ",J1901,"")</f>
        <v/>
      </c>
    </row>
    <row r="1902">
      <c r="A1902" s="1" t="n">
        <v>3</v>
      </c>
      <c r="B1902" s="1" t="inlineStr">
        <is>
          <t>เสื้อผ้า</t>
        </is>
      </c>
      <c r="C1902" s="1" t="inlineStr">
        <is>
          <t>gf2020202444</t>
        </is>
      </c>
      <c r="D1902" s="1" t="inlineStr">
        <is>
          <t>WAAC Korea Pattern Pleats Skort (Black)</t>
        </is>
      </c>
      <c r="E1902" s="1" t="inlineStr">
        <is>
          <t>WAAC</t>
        </is>
      </c>
      <c r="F1902" s="1" t="inlineStr">
        <is>
          <t>SHORT PANTS</t>
        </is>
      </c>
      <c r="G1902" s="1" t="inlineStr">
        <is>
          <t>GF202020244423</t>
        </is>
      </c>
      <c r="H1902" s="1" t="n">
        <v>6</v>
      </c>
      <c r="I1902" s="1" t="inlineStr">
        <is>
          <t>มี</t>
        </is>
      </c>
      <c r="J1902" s="13" t="n">
        <v>229</v>
      </c>
      <c r="K1902" s="1" t="inlineStr"/>
      <c r="L1902" s="13" t="n">
        <v>229</v>
      </c>
      <c r="M1902" s="1">
        <f>IF(L1902="","ไม่พบใน SG",IF(ABS(J1902-L1902)&lt;0.005,"ตรงกัน","ไม่ตรง"))</f>
        <v/>
      </c>
      <c r="N1902" s="14">
        <f>IF(L1902="","",ROUND(L1902*'สรุป'!$C$6,-1))</f>
        <v/>
      </c>
      <c r="O1902" s="15" t="n"/>
      <c r="P1902" s="15" t="n"/>
      <c r="Q1902" s="10" t="n"/>
      <c r="R1902" s="10" t="n"/>
      <c r="S1902" s="16" t="inlineStr">
        <is>
          <t>https://mstgolf.co.th/products/gf2020202444</t>
        </is>
      </c>
      <c r="T1902" s="1">
        <f>IF(B1902="ไม้กอล์ฟ",J1902,"")</f>
        <v/>
      </c>
    </row>
    <row r="1903">
      <c r="A1903" s="1" t="n">
        <v>3</v>
      </c>
      <c r="B1903" s="1" t="inlineStr">
        <is>
          <t>เสื้อผ้า</t>
        </is>
      </c>
      <c r="C1903" s="1" t="inlineStr">
        <is>
          <t>gf2040118035</t>
        </is>
      </c>
      <c r="D1903" s="1" t="inlineStr">
        <is>
          <t>WAAC Korea Waacky Women's Sweater (Pink)</t>
        </is>
      </c>
      <c r="E1903" s="1" t="inlineStr">
        <is>
          <t>WAAC</t>
        </is>
      </c>
      <c r="F1903" s="1" t="inlineStr">
        <is>
          <t>SHORT SLEEVES</t>
        </is>
      </c>
      <c r="G1903" s="1" t="inlineStr">
        <is>
          <t>GF2040118035XS</t>
        </is>
      </c>
      <c r="H1903" s="1" t="n">
        <v>6</v>
      </c>
      <c r="I1903" s="1" t="inlineStr">
        <is>
          <t>มี</t>
        </is>
      </c>
      <c r="J1903" s="13" t="n">
        <v>229</v>
      </c>
      <c r="K1903" s="1" t="inlineStr"/>
      <c r="L1903" s="13" t="n">
        <v>229</v>
      </c>
      <c r="M1903" s="1">
        <f>IF(L1903="","ไม่พบใน SG",IF(ABS(J1903-L1903)&lt;0.005,"ตรงกัน","ไม่ตรง"))</f>
        <v/>
      </c>
      <c r="N1903" s="14">
        <f>IF(L1903="","",ROUND(L1903*'สรุป'!$C$6,-1))</f>
        <v/>
      </c>
      <c r="O1903" s="15" t="n"/>
      <c r="P1903" s="15" t="n"/>
      <c r="Q1903" s="10" t="n"/>
      <c r="R1903" s="10" t="n"/>
      <c r="S1903" s="16" t="inlineStr">
        <is>
          <t>https://mstgolf.co.th/products/gf2040118035</t>
        </is>
      </c>
      <c r="T1903" s="1">
        <f>IF(B1903="ไม้กอล์ฟ",J1903,"")</f>
        <v/>
      </c>
    </row>
    <row r="1904">
      <c r="A1904" s="1" t="n">
        <v>3</v>
      </c>
      <c r="B1904" s="1" t="inlineStr">
        <is>
          <t>เสื้อผ้า</t>
        </is>
      </c>
      <c r="C1904" s="1" t="inlineStr">
        <is>
          <t>gf2020300040</t>
        </is>
      </c>
      <c r="D1904" s="1" t="inlineStr">
        <is>
          <t>GFORE Knockout A-Line Skort (Black)</t>
        </is>
      </c>
      <c r="E1904" s="1" t="inlineStr">
        <is>
          <t>GFORE</t>
        </is>
      </c>
      <c r="F1904" s="1" t="inlineStr">
        <is>
          <t>SKORTS</t>
        </is>
      </c>
      <c r="G1904" s="1" t="inlineStr">
        <is>
          <t>GF2020300040XS</t>
        </is>
      </c>
      <c r="H1904" s="1" t="n">
        <v>5</v>
      </c>
      <c r="I1904" s="1" t="inlineStr">
        <is>
          <t>มี</t>
        </is>
      </c>
      <c r="J1904" s="13" t="n">
        <v>225</v>
      </c>
      <c r="K1904" s="1" t="inlineStr"/>
      <c r="L1904" s="13" t="n">
        <v>225</v>
      </c>
      <c r="M1904" s="1">
        <f>IF(L1904="","ไม่พบใน SG",IF(ABS(J1904-L1904)&lt;0.005,"ตรงกัน","ไม่ตรง"))</f>
        <v/>
      </c>
      <c r="N1904" s="14">
        <f>IF(L1904="","",ROUND(L1904*'สรุป'!$C$6,-1))</f>
        <v/>
      </c>
      <c r="O1904" s="15" t="n"/>
      <c r="P1904" s="15" t="n"/>
      <c r="Q1904" s="10" t="n"/>
      <c r="R1904" s="10" t="n"/>
      <c r="S1904" s="16" t="inlineStr">
        <is>
          <t>https://mstgolf.co.th/products/gf2020300040</t>
        </is>
      </c>
      <c r="T1904" s="1">
        <f>IF(B1904="ไม้กอล์ฟ",J1904,"")</f>
        <v/>
      </c>
    </row>
    <row r="1905">
      <c r="A1905" s="1" t="n">
        <v>3</v>
      </c>
      <c r="B1905" s="1" t="inlineStr">
        <is>
          <t>เสื้อผ้า</t>
        </is>
      </c>
      <c r="C1905" s="1" t="inlineStr">
        <is>
          <t>gf2040300140</t>
        </is>
      </c>
      <c r="D1905" s="1" t="inlineStr">
        <is>
          <t>MALBON GOLF Dakota Dress (Black)</t>
        </is>
      </c>
      <c r="E1905" s="1" t="inlineStr">
        <is>
          <t>MALBON GOLF</t>
        </is>
      </c>
      <c r="F1905" s="1" t="inlineStr">
        <is>
          <t>DRESS</t>
        </is>
      </c>
      <c r="G1905" s="1" t="inlineStr">
        <is>
          <t>GF2040300140XS</t>
        </is>
      </c>
      <c r="H1905" s="1" t="n">
        <v>6</v>
      </c>
      <c r="I1905" s="1" t="inlineStr">
        <is>
          <t>มี</t>
        </is>
      </c>
      <c r="J1905" s="13" t="n">
        <v>225</v>
      </c>
      <c r="K1905" s="1" t="inlineStr"/>
      <c r="L1905" s="13" t="n">
        <v>225</v>
      </c>
      <c r="M1905" s="1">
        <f>IF(L1905="","ไม่พบใน SG",IF(ABS(J1905-L1905)&lt;0.005,"ตรงกัน","ไม่ตรง"))</f>
        <v/>
      </c>
      <c r="N1905" s="14">
        <f>IF(L1905="","",ROUND(L1905*'สรุป'!$C$6,-1))</f>
        <v/>
      </c>
      <c r="O1905" s="15" t="n"/>
      <c r="P1905" s="15" t="n"/>
      <c r="Q1905" s="10" t="n"/>
      <c r="R1905" s="10" t="n"/>
      <c r="S1905" s="16" t="inlineStr">
        <is>
          <t>https://mstgolf.co.th/products/gf2040300140</t>
        </is>
      </c>
      <c r="T1905" s="1">
        <f>IF(B1905="ไม้กอล์ฟ",J1905,"")</f>
        <v/>
      </c>
    </row>
    <row r="1906">
      <c r="A1906" s="1" t="n">
        <v>3</v>
      </c>
      <c r="B1906" s="1" t="inlineStr">
        <is>
          <t>เสื้อผ้า</t>
        </is>
      </c>
      <c r="C1906" s="1" t="inlineStr">
        <is>
          <t>gf2040401381</t>
        </is>
      </c>
      <c r="D1906" s="1" t="inlineStr">
        <is>
          <t>TAYLORMADE x United Arrows Border Lager Unisex Long Sleeve Polo (Ercu)</t>
        </is>
      </c>
      <c r="E1906" s="1" t="inlineStr">
        <is>
          <t>TAYLORMADE</t>
        </is>
      </c>
      <c r="F1906" s="1" t="inlineStr">
        <is>
          <t>LONG SLEEVES</t>
        </is>
      </c>
      <c r="G1906" s="1" t="inlineStr">
        <is>
          <t>GF2040401381S</t>
        </is>
      </c>
      <c r="H1906" s="1" t="n">
        <v>6</v>
      </c>
      <c r="I1906" s="1" t="inlineStr">
        <is>
          <t>มี</t>
        </is>
      </c>
      <c r="J1906" s="13" t="n">
        <v>220</v>
      </c>
      <c r="K1906" s="1" t="inlineStr"/>
      <c r="L1906" s="13" t="n">
        <v>220</v>
      </c>
      <c r="M1906" s="1">
        <f>IF(L1906="","ไม่พบใน SG",IF(ABS(J1906-L1906)&lt;0.005,"ตรงกัน","ไม่ตรง"))</f>
        <v/>
      </c>
      <c r="N1906" s="14">
        <f>IF(L1906="","",ROUND(L1906*'สรุป'!$C$6,-1))</f>
        <v/>
      </c>
      <c r="O1906" s="15" t="n"/>
      <c r="P1906" s="15" t="n"/>
      <c r="Q1906" s="10" t="n"/>
      <c r="R1906" s="10" t="n"/>
      <c r="S1906" s="16" t="inlineStr">
        <is>
          <t>https://mstgolf.co.th/products/gf2040401381</t>
        </is>
      </c>
      <c r="T1906" s="1">
        <f>IF(B1906="ไม้กอล์ฟ",J1906,"")</f>
        <v/>
      </c>
    </row>
    <row r="1907">
      <c r="A1907" s="1" t="n">
        <v>3</v>
      </c>
      <c r="B1907" s="1" t="inlineStr">
        <is>
          <t>เสื้อผ้า</t>
        </is>
      </c>
      <c r="C1907" s="1" t="inlineStr">
        <is>
          <t>gf2020300077</t>
        </is>
      </c>
      <c r="D1907" s="1" t="inlineStr">
        <is>
          <t>WAAC Blade Pleats Skort (Light Blue)</t>
        </is>
      </c>
      <c r="E1907" s="1" t="inlineStr">
        <is>
          <t>WAAC</t>
        </is>
      </c>
      <c r="F1907" s="1" t="inlineStr">
        <is>
          <t>SKORTS</t>
        </is>
      </c>
      <c r="G1907" s="1" t="inlineStr">
        <is>
          <t>GF202030007723</t>
        </is>
      </c>
      <c r="H1907" s="1" t="n">
        <v>8</v>
      </c>
      <c r="I1907" s="1" t="inlineStr">
        <is>
          <t>มี</t>
        </is>
      </c>
      <c r="J1907" s="13" t="n">
        <v>220</v>
      </c>
      <c r="K1907" s="1" t="inlineStr"/>
      <c r="L1907" s="13" t="n">
        <v>220</v>
      </c>
      <c r="M1907" s="1">
        <f>IF(L1907="","ไม่พบใน SG",IF(ABS(J1907-L1907)&lt;0.005,"ตรงกัน","ไม่ตรง"))</f>
        <v/>
      </c>
      <c r="N1907" s="14">
        <f>IF(L1907="","",ROUND(L1907*'สรุป'!$C$6,-1))</f>
        <v/>
      </c>
      <c r="O1907" s="15" t="n"/>
      <c r="P1907" s="15" t="n"/>
      <c r="Q1907" s="10" t="n"/>
      <c r="R1907" s="10" t="n"/>
      <c r="S1907" s="16" t="inlineStr">
        <is>
          <t>https://mstgolf.co.th/products/gf2020300077</t>
        </is>
      </c>
      <c r="T1907" s="1">
        <f>IF(B1907="ไม้กอล์ฟ",J1907,"")</f>
        <v/>
      </c>
    </row>
    <row r="1908">
      <c r="A1908" s="1" t="n">
        <v>3</v>
      </c>
      <c r="B1908" s="1" t="inlineStr">
        <is>
          <t>เสื้อผ้า</t>
        </is>
      </c>
      <c r="C1908" s="1" t="inlineStr">
        <is>
          <t>gf2020300078</t>
        </is>
      </c>
      <c r="D1908" s="1" t="inlineStr">
        <is>
          <t>WAAC Blade Pleats Skort (White)</t>
        </is>
      </c>
      <c r="E1908" s="1" t="inlineStr">
        <is>
          <t>WAAC</t>
        </is>
      </c>
      <c r="F1908" s="1" t="inlineStr">
        <is>
          <t>SKORTS</t>
        </is>
      </c>
      <c r="G1908" s="1" t="inlineStr">
        <is>
          <t>GF202030007823</t>
        </is>
      </c>
      <c r="H1908" s="1" t="n">
        <v>8</v>
      </c>
      <c r="I1908" s="1" t="inlineStr">
        <is>
          <t>มี</t>
        </is>
      </c>
      <c r="J1908" s="13" t="n">
        <v>220</v>
      </c>
      <c r="K1908" s="1" t="inlineStr"/>
      <c r="L1908" s="13" t="n">
        <v>220</v>
      </c>
      <c r="M1908" s="1">
        <f>IF(L1908="","ไม่พบใน SG",IF(ABS(J1908-L1908)&lt;0.005,"ตรงกัน","ไม่ตรง"))</f>
        <v/>
      </c>
      <c r="N1908" s="14">
        <f>IF(L1908="","",ROUND(L1908*'สรุป'!$C$6,-1))</f>
        <v/>
      </c>
      <c r="O1908" s="15" t="n"/>
      <c r="P1908" s="15" t="n"/>
      <c r="Q1908" s="10" t="n"/>
      <c r="R1908" s="10" t="n"/>
      <c r="S1908" s="16" t="inlineStr">
        <is>
          <t>https://mstgolf.co.th/products/gf2020300078</t>
        </is>
      </c>
      <c r="T1908" s="1">
        <f>IF(B1908="ไม้กอล์ฟ",J1908,"")</f>
        <v/>
      </c>
    </row>
    <row r="1909">
      <c r="A1909" s="1" t="n">
        <v>3</v>
      </c>
      <c r="B1909" s="1" t="inlineStr">
        <is>
          <t>เสื้อผ้า</t>
        </is>
      </c>
      <c r="C1909" s="1" t="inlineStr">
        <is>
          <t>gf2020102461</t>
        </is>
      </c>
      <c r="D1909" s="1" t="inlineStr">
        <is>
          <t>GFORE Warp Knit Straight Leg Men's Pants (Charcoal)</t>
        </is>
      </c>
      <c r="E1909" s="1" t="inlineStr">
        <is>
          <t>GFORE</t>
        </is>
      </c>
      <c r="F1909" s="1" t="inlineStr">
        <is>
          <t>LONG PANTS</t>
        </is>
      </c>
      <c r="G1909" s="1" t="inlineStr">
        <is>
          <t>GF202010246130</t>
        </is>
      </c>
      <c r="H1909" s="1" t="n">
        <v>6</v>
      </c>
      <c r="I1909" s="1" t="inlineStr">
        <is>
          <t>มี</t>
        </is>
      </c>
      <c r="J1909" s="13" t="n">
        <v>219</v>
      </c>
      <c r="K1909" s="1" t="inlineStr"/>
      <c r="L1909" s="13" t="n">
        <v>219</v>
      </c>
      <c r="M1909" s="1">
        <f>IF(L1909="","ไม่พบใน SG",IF(ABS(J1909-L1909)&lt;0.005,"ตรงกัน","ไม่ตรง"))</f>
        <v/>
      </c>
      <c r="N1909" s="14">
        <f>IF(L1909="","",ROUND(L1909*'สรุป'!$C$6,-1))</f>
        <v/>
      </c>
      <c r="O1909" s="15" t="n"/>
      <c r="P1909" s="15" t="n"/>
      <c r="Q1909" s="10" t="n"/>
      <c r="R1909" s="10" t="n"/>
      <c r="S1909" s="16" t="inlineStr">
        <is>
          <t>https://mstgolf.co.th/products/gf2020102461</t>
        </is>
      </c>
      <c r="T1909" s="1">
        <f>IF(B1909="ไม้กอล์ฟ",J1909,"")</f>
        <v/>
      </c>
    </row>
    <row r="1910">
      <c r="A1910" s="1" t="n">
        <v>3</v>
      </c>
      <c r="B1910" s="1" t="inlineStr">
        <is>
          <t>เสื้อผ้า</t>
        </is>
      </c>
      <c r="C1910" s="1" t="inlineStr">
        <is>
          <t>gf2020102462</t>
        </is>
      </c>
      <c r="D1910" s="1" t="inlineStr">
        <is>
          <t>GFORE Warp Knit Straight Leg Men's Pants (Onyx)</t>
        </is>
      </c>
      <c r="E1910" s="1" t="inlineStr">
        <is>
          <t>GFORE</t>
        </is>
      </c>
      <c r="F1910" s="1" t="inlineStr">
        <is>
          <t>LONG PANTS</t>
        </is>
      </c>
      <c r="G1910" s="1" t="inlineStr">
        <is>
          <t>GF202010246230</t>
        </is>
      </c>
      <c r="H1910" s="1" t="n">
        <v>6</v>
      </c>
      <c r="I1910" s="1" t="inlineStr">
        <is>
          <t>มี</t>
        </is>
      </c>
      <c r="J1910" s="13" t="n">
        <v>219</v>
      </c>
      <c r="K1910" s="1" t="inlineStr"/>
      <c r="L1910" s="13" t="n">
        <v>219</v>
      </c>
      <c r="M1910" s="1">
        <f>IF(L1910="","ไม่พบใน SG",IF(ABS(J1910-L1910)&lt;0.005,"ตรงกัน","ไม่ตรง"))</f>
        <v/>
      </c>
      <c r="N1910" s="14">
        <f>IF(L1910="","",ROUND(L1910*'สรุป'!$C$6,-1))</f>
        <v/>
      </c>
      <c r="O1910" s="15" t="n"/>
      <c r="P1910" s="15" t="n"/>
      <c r="Q1910" s="10" t="n"/>
      <c r="R1910" s="10" t="n"/>
      <c r="S1910" s="16" t="inlineStr">
        <is>
          <t>https://mstgolf.co.th/products/gf2020102462</t>
        </is>
      </c>
      <c r="T1910" s="1">
        <f>IF(B1910="ไม้กอล์ฟ",J1910,"")</f>
        <v/>
      </c>
    </row>
    <row r="1911">
      <c r="A1911" s="1" t="n">
        <v>3</v>
      </c>
      <c r="B1911" s="1" t="inlineStr">
        <is>
          <t>เสื้อผ้า</t>
        </is>
      </c>
      <c r="C1911" s="1" t="inlineStr">
        <is>
          <t>gf2040121638</t>
        </is>
      </c>
      <c r="D1911" s="1" t="inlineStr">
        <is>
          <t>LACOSTE Polo Collar Women's Sweater (Flour/Green)</t>
        </is>
      </c>
      <c r="E1911" s="1" t="inlineStr">
        <is>
          <t>LACOSTE</t>
        </is>
      </c>
      <c r="F1911" s="1" t="inlineStr">
        <is>
          <t>SHORT SLEEVES</t>
        </is>
      </c>
      <c r="G1911" s="1" t="inlineStr">
        <is>
          <t>GF204012163838</t>
        </is>
      </c>
      <c r="H1911" s="1" t="n">
        <v>4</v>
      </c>
      <c r="I1911" s="1" t="inlineStr">
        <is>
          <t>มี</t>
        </is>
      </c>
      <c r="J1911" s="13" t="n">
        <v>219</v>
      </c>
      <c r="K1911" s="1" t="inlineStr"/>
      <c r="L1911" s="13" t="n">
        <v>219</v>
      </c>
      <c r="M1911" s="1">
        <f>IF(L1911="","ไม่พบใน SG",IF(ABS(J1911-L1911)&lt;0.005,"ตรงกัน","ไม่ตรง"))</f>
        <v/>
      </c>
      <c r="N1911" s="14">
        <f>IF(L1911="","",ROUND(L1911*'สรุป'!$C$6,-1))</f>
        <v/>
      </c>
      <c r="O1911" s="15" t="n"/>
      <c r="P1911" s="15" t="n"/>
      <c r="Q1911" s="10" t="n"/>
      <c r="R1911" s="10" t="n"/>
      <c r="S1911" s="16" t="inlineStr">
        <is>
          <t>https://mstgolf.co.th/products/gf2040121638</t>
        </is>
      </c>
      <c r="T1911" s="1">
        <f>IF(B1911="ไม้กอล์ฟ",J1911,"")</f>
        <v/>
      </c>
    </row>
    <row r="1912">
      <c r="A1912" s="1" t="n">
        <v>3</v>
      </c>
      <c r="B1912" s="1" t="inlineStr">
        <is>
          <t>เสื้อผ้า</t>
        </is>
      </c>
      <c r="C1912" s="1" t="inlineStr">
        <is>
          <t>gf2020102720</t>
        </is>
      </c>
      <c r="D1912" s="1" t="inlineStr">
        <is>
          <t>LACOSTE Slim Fit UV Protect Stretch Women's Pants (Navy)</t>
        </is>
      </c>
      <c r="E1912" s="1" t="inlineStr">
        <is>
          <t>LACOSTE</t>
        </is>
      </c>
      <c r="F1912" s="1" t="inlineStr">
        <is>
          <t>LONG PANTS</t>
        </is>
      </c>
      <c r="G1912" s="1" t="inlineStr">
        <is>
          <t>GF202010272038</t>
        </is>
      </c>
      <c r="H1912" s="1" t="n">
        <v>4</v>
      </c>
      <c r="I1912" s="1" t="inlineStr">
        <is>
          <t>มี</t>
        </is>
      </c>
      <c r="J1912" s="13" t="n">
        <v>219</v>
      </c>
      <c r="K1912" s="1" t="inlineStr"/>
      <c r="L1912" s="13" t="n">
        <v>219</v>
      </c>
      <c r="M1912" s="1">
        <f>IF(L1912="","ไม่พบใน SG",IF(ABS(J1912-L1912)&lt;0.005,"ตรงกัน","ไม่ตรง"))</f>
        <v/>
      </c>
      <c r="N1912" s="14">
        <f>IF(L1912="","",ROUND(L1912*'สรุป'!$C$6,-1))</f>
        <v/>
      </c>
      <c r="O1912" s="15" t="n"/>
      <c r="P1912" s="15" t="n"/>
      <c r="Q1912" s="10" t="n"/>
      <c r="R1912" s="10" t="n"/>
      <c r="S1912" s="16" t="inlineStr">
        <is>
          <t>https://mstgolf.co.th/products/gf2020102720</t>
        </is>
      </c>
      <c r="T1912" s="1">
        <f>IF(B1912="ไม้กอล์ฟ",J1912,"")</f>
        <v/>
      </c>
    </row>
    <row r="1913">
      <c r="A1913" s="1" t="n">
        <v>3</v>
      </c>
      <c r="B1913" s="1" t="inlineStr">
        <is>
          <t>เสื้อผ้า</t>
        </is>
      </c>
      <c r="C1913" s="1" t="inlineStr">
        <is>
          <t>gf2040121655</t>
        </is>
      </c>
      <c r="D1913" s="1" t="inlineStr">
        <is>
          <t>LACOSTE Ultra Dry Printed Stretch Men's Polo (Navy)</t>
        </is>
      </c>
      <c r="E1913" s="1" t="inlineStr">
        <is>
          <t>LACOSTE</t>
        </is>
      </c>
      <c r="F1913" s="1" t="inlineStr">
        <is>
          <t>SHORT SLEEVES</t>
        </is>
      </c>
      <c r="G1913" s="1" t="inlineStr">
        <is>
          <t>GF204012165541</t>
        </is>
      </c>
      <c r="H1913" s="1" t="n">
        <v>5</v>
      </c>
      <c r="I1913" s="1" t="inlineStr">
        <is>
          <t>มี</t>
        </is>
      </c>
      <c r="J1913" s="13" t="n">
        <v>219</v>
      </c>
      <c r="K1913" s="1" t="inlineStr"/>
      <c r="L1913" s="13" t="n"/>
      <c r="M1913" s="1">
        <f>IF(L1913="","ไม่พบใน SG",IF(ABS(J1913-L1913)&lt;0.005,"ตรงกัน","ไม่ตรง"))</f>
        <v/>
      </c>
      <c r="N1913" s="14">
        <f>IF(L1913="","",ROUND(L1913*'สรุป'!$C$6,-1))</f>
        <v/>
      </c>
      <c r="O1913" s="15" t="n"/>
      <c r="P1913" s="15" t="n"/>
      <c r="Q1913" s="10" t="n"/>
      <c r="R1913" s="10" t="n"/>
      <c r="S1913" s="16" t="inlineStr">
        <is>
          <t>https://mstgolf.co.th/products/gf2040121655</t>
        </is>
      </c>
      <c r="T1913" s="1">
        <f>IF(B1913="ไม้กอล์ฟ",J1913,"")</f>
        <v/>
      </c>
    </row>
    <row r="1914">
      <c r="A1914" s="1" t="n">
        <v>3</v>
      </c>
      <c r="B1914" s="1" t="inlineStr">
        <is>
          <t>เสื้อผ้า</t>
        </is>
      </c>
      <c r="C1914" s="1" t="inlineStr">
        <is>
          <t>gf2040114413</t>
        </is>
      </c>
      <c r="D1914" s="1" t="inlineStr">
        <is>
          <t>PXG Colour Block Men's Polo (Black)</t>
        </is>
      </c>
      <c r="E1914" s="1" t="inlineStr">
        <is>
          <t>PXG</t>
        </is>
      </c>
      <c r="F1914" s="1" t="inlineStr">
        <is>
          <t>SHORT SLEEVES</t>
        </is>
      </c>
      <c r="G1914" s="1" t="inlineStr">
        <is>
          <t>GF2040114413S</t>
        </is>
      </c>
      <c r="H1914" s="1" t="n">
        <v>5</v>
      </c>
      <c r="I1914" s="1" t="inlineStr">
        <is>
          <t>มี</t>
        </is>
      </c>
      <c r="J1914" s="13" t="n">
        <v>219</v>
      </c>
      <c r="K1914" s="1" t="inlineStr"/>
      <c r="L1914" s="13" t="n">
        <v>219</v>
      </c>
      <c r="M1914" s="1">
        <f>IF(L1914="","ไม่พบใน SG",IF(ABS(J1914-L1914)&lt;0.005,"ตรงกัน","ไม่ตรง"))</f>
        <v/>
      </c>
      <c r="N1914" s="14">
        <f>IF(L1914="","",ROUND(L1914*'สรุป'!$C$6,-1))</f>
        <v/>
      </c>
      <c r="O1914" s="15" t="n"/>
      <c r="P1914" s="15" t="n"/>
      <c r="Q1914" s="10" t="n"/>
      <c r="R1914" s="10" t="n"/>
      <c r="S1914" s="16" t="inlineStr">
        <is>
          <t>https://mstgolf.co.th/products/gf2040114413</t>
        </is>
      </c>
      <c r="T1914" s="1">
        <f>IF(B1914="ไม้กอล์ฟ",J1914,"")</f>
        <v/>
      </c>
    </row>
    <row r="1915">
      <c r="A1915" s="1" t="n">
        <v>3</v>
      </c>
      <c r="B1915" s="1" t="inlineStr">
        <is>
          <t>เสื้อผ้า</t>
        </is>
      </c>
      <c r="C1915" s="1" t="inlineStr">
        <is>
          <t>gf2020201650</t>
        </is>
      </c>
      <c r="D1915" s="1" t="inlineStr">
        <is>
          <t>PXG Essential Men's Shorts (Black)</t>
        </is>
      </c>
      <c r="E1915" s="1" t="inlineStr">
        <is>
          <t>PXG</t>
        </is>
      </c>
      <c r="F1915" s="1" t="inlineStr">
        <is>
          <t>SHORT PANTS</t>
        </is>
      </c>
      <c r="G1915" s="1" t="inlineStr">
        <is>
          <t>GF202020165030</t>
        </is>
      </c>
      <c r="H1915" s="1" t="n">
        <v>6</v>
      </c>
      <c r="I1915" s="1" t="inlineStr">
        <is>
          <t>มี</t>
        </is>
      </c>
      <c r="J1915" s="13" t="n">
        <v>219</v>
      </c>
      <c r="K1915" s="1" t="inlineStr"/>
      <c r="L1915" s="13" t="n">
        <v>219</v>
      </c>
      <c r="M1915" s="1">
        <f>IF(L1915="","ไม่พบใน SG",IF(ABS(J1915-L1915)&lt;0.005,"ตรงกัน","ไม่ตรง"))</f>
        <v/>
      </c>
      <c r="N1915" s="14">
        <f>IF(L1915="","",ROUND(L1915*'สรุป'!$C$6,-1))</f>
        <v/>
      </c>
      <c r="O1915" s="15" t="n"/>
      <c r="P1915" s="15" t="n"/>
      <c r="Q1915" s="10" t="n"/>
      <c r="R1915" s="10" t="n"/>
      <c r="S1915" s="16" t="inlineStr">
        <is>
          <t>https://mstgolf.co.th/products/gf2020201650</t>
        </is>
      </c>
      <c r="T1915" s="1">
        <f>IF(B1915="ไม้กอล์ฟ",J1915,"")</f>
        <v/>
      </c>
    </row>
    <row r="1916">
      <c r="A1916" s="1" t="n">
        <v>3</v>
      </c>
      <c r="B1916" s="1" t="inlineStr">
        <is>
          <t>เสื้อผ้า</t>
        </is>
      </c>
      <c r="C1916" s="1" t="inlineStr">
        <is>
          <t>gf2020201649</t>
        </is>
      </c>
      <c r="D1916" s="1" t="inlineStr">
        <is>
          <t>PXG Essential Men's Shorts (Grey)</t>
        </is>
      </c>
      <c r="E1916" s="1" t="inlineStr">
        <is>
          <t>PXG</t>
        </is>
      </c>
      <c r="F1916" s="1" t="inlineStr">
        <is>
          <t>SHORT PANTS</t>
        </is>
      </c>
      <c r="G1916" s="1" t="inlineStr">
        <is>
          <t>GF202020164930</t>
        </is>
      </c>
      <c r="H1916" s="1" t="n">
        <v>6</v>
      </c>
      <c r="I1916" s="1" t="inlineStr">
        <is>
          <t>มี</t>
        </is>
      </c>
      <c r="J1916" s="13" t="n">
        <v>219</v>
      </c>
      <c r="K1916" s="1" t="inlineStr"/>
      <c r="L1916" s="13" t="n">
        <v>219</v>
      </c>
      <c r="M1916" s="1">
        <f>IF(L1916="","ไม่พบใน SG",IF(ABS(J1916-L1916)&lt;0.005,"ตรงกัน","ไม่ตรง"))</f>
        <v/>
      </c>
      <c r="N1916" s="14">
        <f>IF(L1916="","",ROUND(L1916*'สรุป'!$C$6,-1))</f>
        <v/>
      </c>
      <c r="O1916" s="15" t="n"/>
      <c r="P1916" s="15" t="n"/>
      <c r="Q1916" s="10" t="n"/>
      <c r="R1916" s="10" t="n"/>
      <c r="S1916" s="16" t="inlineStr">
        <is>
          <t>https://mstgolf.co.th/products/gf2020201649</t>
        </is>
      </c>
      <c r="T1916" s="1">
        <f>IF(B1916="ไม้กอล์ฟ",J1916,"")</f>
        <v/>
      </c>
    </row>
    <row r="1917">
      <c r="A1917" s="1" t="n">
        <v>3</v>
      </c>
      <c r="B1917" s="1" t="inlineStr">
        <is>
          <t>เสื้อผ้า</t>
        </is>
      </c>
      <c r="C1917" s="1" t="inlineStr">
        <is>
          <t>gf2040119975</t>
        </is>
      </c>
      <c r="D1917" s="1" t="inlineStr">
        <is>
          <t>WAAC Men's Jacquard Polo (White)</t>
        </is>
      </c>
      <c r="E1917" s="1" t="inlineStr">
        <is>
          <t>WAAC</t>
        </is>
      </c>
      <c r="F1917" s="1" t="inlineStr">
        <is>
          <t>SHORT SLEEVES</t>
        </is>
      </c>
      <c r="G1917" s="1" t="inlineStr">
        <is>
          <t>GF2040119975S</t>
        </is>
      </c>
      <c r="H1917" s="1" t="n">
        <v>5</v>
      </c>
      <c r="I1917" s="1" t="inlineStr">
        <is>
          <t>มี</t>
        </is>
      </c>
      <c r="J1917" s="13" t="n">
        <v>219</v>
      </c>
      <c r="K1917" s="1" t="inlineStr"/>
      <c r="L1917" s="13" t="n">
        <v>219</v>
      </c>
      <c r="M1917" s="1">
        <f>IF(L1917="","ไม่พบใน SG",IF(ABS(J1917-L1917)&lt;0.005,"ตรงกัน","ไม่ตรง"))</f>
        <v/>
      </c>
      <c r="N1917" s="14">
        <f>IF(L1917="","",ROUND(L1917*'สรุป'!$C$6,-1))</f>
        <v/>
      </c>
      <c r="O1917" s="15" t="n"/>
      <c r="P1917" s="15" t="n"/>
      <c r="Q1917" s="10" t="n"/>
      <c r="R1917" s="10" t="n"/>
      <c r="S1917" s="16" t="inlineStr">
        <is>
          <t>https://mstgolf.co.th/products/gf2040119975</t>
        </is>
      </c>
      <c r="T1917" s="1">
        <f>IF(B1917="ไม้กอล์ฟ",J1917,"")</f>
        <v/>
      </c>
    </row>
    <row r="1918">
      <c r="A1918" s="1" t="n">
        <v>3</v>
      </c>
      <c r="B1918" s="1" t="inlineStr">
        <is>
          <t>เสื้อผ้า</t>
        </is>
      </c>
      <c r="C1918" s="1" t="inlineStr">
        <is>
          <t>gf2040200102</t>
        </is>
      </c>
      <c r="D1918" s="1" t="inlineStr">
        <is>
          <t>BOSS GOLF Basic Round Neck Men's T-Shirt (Dark Beige)</t>
        </is>
      </c>
      <c r="E1918" s="1" t="inlineStr">
        <is>
          <t>BOSS GOLF</t>
        </is>
      </c>
      <c r="F1918" s="1" t="inlineStr">
        <is>
          <t>TEE SHIRT</t>
        </is>
      </c>
      <c r="G1918" s="1" t="inlineStr">
        <is>
          <t>GF2040200102XS</t>
        </is>
      </c>
      <c r="H1918" s="1" t="n">
        <v>6</v>
      </c>
      <c r="I1918" s="1" t="inlineStr">
        <is>
          <t>มี</t>
        </is>
      </c>
      <c r="J1918" s="13" t="n">
        <v>215</v>
      </c>
      <c r="K1918" s="1" t="inlineStr"/>
      <c r="L1918" s="13" t="n"/>
      <c r="M1918" s="1">
        <f>IF(L1918="","ไม่พบใน SG",IF(ABS(J1918-L1918)&lt;0.005,"ตรงกัน","ไม่ตรง"))</f>
        <v/>
      </c>
      <c r="N1918" s="14">
        <f>IF(L1918="","",ROUND(L1918*'สรุป'!$C$6,-1))</f>
        <v/>
      </c>
      <c r="O1918" s="15" t="n"/>
      <c r="P1918" s="15" t="n"/>
      <c r="Q1918" s="10" t="n"/>
      <c r="R1918" s="10" t="n"/>
      <c r="S1918" s="16" t="inlineStr">
        <is>
          <t>https://mstgolf.co.th/products/gf2040200102</t>
        </is>
      </c>
      <c r="T1918" s="1">
        <f>IF(B1918="ไม้กอล์ฟ",J1918,"")</f>
        <v/>
      </c>
    </row>
    <row r="1919">
      <c r="A1919" s="1" t="n">
        <v>3</v>
      </c>
      <c r="B1919" s="1" t="inlineStr">
        <is>
          <t>เสื้อผ้า</t>
        </is>
      </c>
      <c r="C1919" s="1" t="inlineStr">
        <is>
          <t>gf2040400898</t>
        </is>
      </c>
      <c r="D1919" s="1" t="inlineStr">
        <is>
          <t>GFORE Quarter G Men's Sweater Jacket (Twilight)</t>
        </is>
      </c>
      <c r="E1919" s="1" t="inlineStr">
        <is>
          <t>GFORE</t>
        </is>
      </c>
      <c r="F1919" s="1" t="inlineStr">
        <is>
          <t>LONG SLEEVES</t>
        </is>
      </c>
      <c r="G1919" s="1" t="inlineStr">
        <is>
          <t>GF2040400898XS</t>
        </is>
      </c>
      <c r="H1919" s="1" t="n">
        <v>6</v>
      </c>
      <c r="I1919" s="1" t="inlineStr">
        <is>
          <t>มี</t>
        </is>
      </c>
      <c r="J1919" s="13" t="n">
        <v>215</v>
      </c>
      <c r="K1919" s="1" t="inlineStr"/>
      <c r="L1919" s="13" t="n">
        <v>215</v>
      </c>
      <c r="M1919" s="1">
        <f>IF(L1919="","ไม่พบใน SG",IF(ABS(J1919-L1919)&lt;0.005,"ตรงกัน","ไม่ตรง"))</f>
        <v/>
      </c>
      <c r="N1919" s="14">
        <f>IF(L1919="","",ROUND(L1919*'สรุป'!$C$6,-1))</f>
        <v/>
      </c>
      <c r="O1919" s="15" t="n"/>
      <c r="P1919" s="15" t="n"/>
      <c r="Q1919" s="10" t="n"/>
      <c r="R1919" s="10" t="n"/>
      <c r="S1919" s="16" t="inlineStr">
        <is>
          <t>https://mstgolf.co.th/products/gf2040400898</t>
        </is>
      </c>
      <c r="T1919" s="1">
        <f>IF(B1919="ไม้กอล์ฟ",J1919,"")</f>
        <v/>
      </c>
    </row>
    <row r="1920">
      <c r="A1920" s="1" t="n">
        <v>3</v>
      </c>
      <c r="B1920" s="1" t="inlineStr">
        <is>
          <t>เสื้อผ้า</t>
        </is>
      </c>
      <c r="C1920" s="1" t="inlineStr">
        <is>
          <t>gf2020102687</t>
        </is>
      </c>
      <c r="D1920" s="1" t="inlineStr">
        <is>
          <t>PETER MILLAR Charlotte Performance Men's Trousers (Windsor Blue)</t>
        </is>
      </c>
      <c r="E1920" s="1" t="inlineStr">
        <is>
          <t>PETER MILLAR</t>
        </is>
      </c>
      <c r="F1920" s="1" t="inlineStr">
        <is>
          <t>LONG PANTS</t>
        </is>
      </c>
      <c r="G1920" s="1" t="inlineStr">
        <is>
          <t>GF202010268730</t>
        </is>
      </c>
      <c r="H1920" s="1" t="n">
        <v>7</v>
      </c>
      <c r="I1920" s="1" t="inlineStr">
        <is>
          <t>มี</t>
        </is>
      </c>
      <c r="J1920" s="13" t="n">
        <v>215</v>
      </c>
      <c r="K1920" s="1" t="inlineStr"/>
      <c r="L1920" s="13" t="n">
        <v>215</v>
      </c>
      <c r="M1920" s="1">
        <f>IF(L1920="","ไม่พบใน SG",IF(ABS(J1920-L1920)&lt;0.005,"ตรงกัน","ไม่ตรง"))</f>
        <v/>
      </c>
      <c r="N1920" s="14">
        <f>IF(L1920="","",ROUND(L1920*'สรุป'!$C$6,-1))</f>
        <v/>
      </c>
      <c r="O1920" s="15" t="n"/>
      <c r="P1920" s="15" t="n"/>
      <c r="Q1920" s="10" t="n"/>
      <c r="R1920" s="10" t="n"/>
      <c r="S1920" s="16" t="inlineStr">
        <is>
          <t>https://mstgolf.co.th/products/gf2020102687</t>
        </is>
      </c>
      <c r="T1920" s="1">
        <f>IF(B1920="ไม้กอล์ฟ",J1920,"")</f>
        <v/>
      </c>
    </row>
    <row r="1921">
      <c r="A1921" s="1" t="n">
        <v>3</v>
      </c>
      <c r="B1921" s="1" t="inlineStr">
        <is>
          <t>เสื้อผ้า</t>
        </is>
      </c>
      <c r="C1921" s="1" t="inlineStr">
        <is>
          <t>gf2040120612</t>
        </is>
      </c>
      <c r="D1921" s="1" t="inlineStr">
        <is>
          <t>WAAC Dyeing Rib Collar Men's Polo (Light Blue)</t>
        </is>
      </c>
      <c r="E1921" s="1" t="inlineStr">
        <is>
          <t>WAAC</t>
        </is>
      </c>
      <c r="F1921" s="1" t="inlineStr">
        <is>
          <t>SHORT SLEEVES</t>
        </is>
      </c>
      <c r="G1921" s="1" t="inlineStr">
        <is>
          <t>GF2040120612S</t>
        </is>
      </c>
      <c r="H1921" s="1" t="n">
        <v>4</v>
      </c>
      <c r="I1921" s="1" t="inlineStr">
        <is>
          <t>มี</t>
        </is>
      </c>
      <c r="J1921" s="13" t="n">
        <v>215</v>
      </c>
      <c r="K1921" s="1" t="inlineStr"/>
      <c r="L1921" s="13" t="n">
        <v>215</v>
      </c>
      <c r="M1921" s="1">
        <f>IF(L1921="","ไม่พบใน SG",IF(ABS(J1921-L1921)&lt;0.005,"ตรงกัน","ไม่ตรง"))</f>
        <v/>
      </c>
      <c r="N1921" s="14">
        <f>IF(L1921="","",ROUND(L1921*'สรุป'!$C$6,-1))</f>
        <v/>
      </c>
      <c r="O1921" s="15" t="n"/>
      <c r="P1921" s="15" t="n"/>
      <c r="Q1921" s="10" t="n"/>
      <c r="R1921" s="10" t="n"/>
      <c r="S1921" s="16" t="inlineStr">
        <is>
          <t>https://mstgolf.co.th/products/gf2040120612</t>
        </is>
      </c>
      <c r="T1921" s="1">
        <f>IF(B1921="ไม้กอล์ฟ",J1921,"")</f>
        <v/>
      </c>
    </row>
    <row r="1922">
      <c r="A1922" s="1" t="n">
        <v>3</v>
      </c>
      <c r="B1922" s="1" t="inlineStr">
        <is>
          <t>เสื้อผ้า</t>
        </is>
      </c>
      <c r="C1922" s="1" t="inlineStr">
        <is>
          <t>gf2020102414</t>
        </is>
      </c>
      <c r="D1922" s="1" t="inlineStr">
        <is>
          <t>MANORS Lightweight Course Men's Pants (Beige)</t>
        </is>
      </c>
      <c r="E1922" s="1" t="inlineStr">
        <is>
          <t>MANORS</t>
        </is>
      </c>
      <c r="F1922" s="1" t="inlineStr">
        <is>
          <t>LONG PANTS</t>
        </is>
      </c>
      <c r="G1922" s="1" t="inlineStr">
        <is>
          <t>GF202010241428</t>
        </is>
      </c>
      <c r="H1922" s="1" t="n">
        <v>5</v>
      </c>
      <c r="I1922" s="1" t="inlineStr">
        <is>
          <t>มี</t>
        </is>
      </c>
      <c r="J1922" s="13" t="n">
        <v>210</v>
      </c>
      <c r="K1922" s="1" t="inlineStr"/>
      <c r="L1922" s="13" t="n">
        <v>149</v>
      </c>
      <c r="M1922" s="1">
        <f>IF(L1922="","ไม่พบใน SG",IF(ABS(J1922-L1922)&lt;0.005,"ตรงกัน","ไม่ตรง"))</f>
        <v/>
      </c>
      <c r="N1922" s="14">
        <f>IF(L1922="","",ROUND(L1922*'สรุป'!$C$6,-1))</f>
        <v/>
      </c>
      <c r="O1922" s="15" t="n"/>
      <c r="P1922" s="15" t="n"/>
      <c r="Q1922" s="10" t="n"/>
      <c r="R1922" s="10" t="n"/>
      <c r="S1922" s="16" t="inlineStr">
        <is>
          <t>https://mstgolf.co.th/products/gf2020102414</t>
        </is>
      </c>
      <c r="T1922" s="1">
        <f>IF(B1922="ไม้กอล์ฟ",J1922,"")</f>
        <v/>
      </c>
    </row>
    <row r="1923">
      <c r="A1923" s="1" t="n">
        <v>3</v>
      </c>
      <c r="B1923" s="1" t="inlineStr">
        <is>
          <t>เสื้อผ้า</t>
        </is>
      </c>
      <c r="C1923" s="1" t="inlineStr">
        <is>
          <t>gf2020102413</t>
        </is>
      </c>
      <c r="D1923" s="1" t="inlineStr">
        <is>
          <t>MANORS Lightweight Course Men's Pants (Black)</t>
        </is>
      </c>
      <c r="E1923" s="1" t="inlineStr">
        <is>
          <t>MANORS</t>
        </is>
      </c>
      <c r="F1923" s="1" t="inlineStr">
        <is>
          <t>LONG PANTS</t>
        </is>
      </c>
      <c r="G1923" s="1" t="inlineStr">
        <is>
          <t>GF202010241328</t>
        </is>
      </c>
      <c r="H1923" s="1" t="n">
        <v>5</v>
      </c>
      <c r="I1923" s="1" t="inlineStr">
        <is>
          <t>มี</t>
        </is>
      </c>
      <c r="J1923" s="13" t="n">
        <v>210</v>
      </c>
      <c r="K1923" s="1" t="inlineStr"/>
      <c r="L1923" s="13" t="n">
        <v>99</v>
      </c>
      <c r="M1923" s="1">
        <f>IF(L1923="","ไม่พบใน SG",IF(ABS(J1923-L1923)&lt;0.005,"ตรงกัน","ไม่ตรง"))</f>
        <v/>
      </c>
      <c r="N1923" s="14">
        <f>IF(L1923="","",ROUND(L1923*'สรุป'!$C$6,-1))</f>
        <v/>
      </c>
      <c r="O1923" s="15" t="n"/>
      <c r="P1923" s="15" t="n"/>
      <c r="Q1923" s="10" t="n"/>
      <c r="R1923" s="10" t="n"/>
      <c r="S1923" s="16" t="inlineStr">
        <is>
          <t>https://mstgolf.co.th/products/gf2020102413</t>
        </is>
      </c>
      <c r="T1923" s="1">
        <f>IF(B1923="ไม้กอล์ฟ",J1923,"")</f>
        <v/>
      </c>
    </row>
    <row r="1924">
      <c r="A1924" s="1" t="n">
        <v>3</v>
      </c>
      <c r="B1924" s="1" t="inlineStr">
        <is>
          <t>เสื้อผ้า</t>
        </is>
      </c>
      <c r="C1924" s="1" t="inlineStr">
        <is>
          <t>gf2040119192</t>
        </is>
      </c>
      <c r="D1924" s="1" t="inlineStr">
        <is>
          <t>MALBON GOLF Mikayla Knit Women's Polo (Ivory/Stone)</t>
        </is>
      </c>
      <c r="E1924" s="1" t="inlineStr">
        <is>
          <t>MALBON GOLF</t>
        </is>
      </c>
      <c r="F1924" s="1" t="inlineStr">
        <is>
          <t>SHORT SLEEVES</t>
        </is>
      </c>
      <c r="G1924" s="1" t="inlineStr">
        <is>
          <t>GF2040119192XS</t>
        </is>
      </c>
      <c r="H1924" s="1" t="n">
        <v>6</v>
      </c>
      <c r="I1924" s="1" t="inlineStr">
        <is>
          <t>มี</t>
        </is>
      </c>
      <c r="J1924" s="13" t="n">
        <v>209</v>
      </c>
      <c r="K1924" s="1" t="inlineStr"/>
      <c r="L1924" s="13" t="n">
        <v>209</v>
      </c>
      <c r="M1924" s="1">
        <f>IF(L1924="","ไม่พบใน SG",IF(ABS(J1924-L1924)&lt;0.005,"ตรงกัน","ไม่ตรง"))</f>
        <v/>
      </c>
      <c r="N1924" s="14">
        <f>IF(L1924="","",ROUND(L1924*'สรุป'!$C$6,-1))</f>
        <v/>
      </c>
      <c r="O1924" s="15" t="n"/>
      <c r="P1924" s="15" t="n"/>
      <c r="Q1924" s="10" t="n"/>
      <c r="R1924" s="10" t="n"/>
      <c r="S1924" s="16" t="inlineStr">
        <is>
          <t>https://mstgolf.co.th/products/gf2040119192</t>
        </is>
      </c>
      <c r="T1924" s="1">
        <f>IF(B1924="ไม้กอล์ฟ",J1924,"")</f>
        <v/>
      </c>
    </row>
    <row r="1925">
      <c r="A1925" s="1" t="n">
        <v>3</v>
      </c>
      <c r="B1925" s="1" t="inlineStr">
        <is>
          <t>เสื้อผ้า</t>
        </is>
      </c>
      <c r="C1925" s="1" t="inlineStr">
        <is>
          <t>gf2020202717</t>
        </is>
      </c>
      <c r="D1925" s="1" t="inlineStr">
        <is>
          <t>TAYLORMADE x United Arrows Sweat Unisex Shorts (Grey Heather)</t>
        </is>
      </c>
      <c r="E1925" s="1" t="inlineStr">
        <is>
          <t>TAYLORMADE</t>
        </is>
      </c>
      <c r="F1925" s="1" t="inlineStr">
        <is>
          <t>SHORT PANTS</t>
        </is>
      </c>
      <c r="G1925" s="1" t="inlineStr">
        <is>
          <t>GF2020202717XS</t>
        </is>
      </c>
      <c r="H1925" s="1" t="n">
        <v>6</v>
      </c>
      <c r="I1925" s="1" t="inlineStr">
        <is>
          <t>มี</t>
        </is>
      </c>
      <c r="J1925" s="13" t="n">
        <v>200</v>
      </c>
      <c r="K1925" s="1" t="inlineStr"/>
      <c r="L1925" s="13" t="n">
        <v>200</v>
      </c>
      <c r="M1925" s="1">
        <f>IF(L1925="","ไม่พบใน SG",IF(ABS(J1925-L1925)&lt;0.005,"ตรงกัน","ไม่ตรง"))</f>
        <v/>
      </c>
      <c r="N1925" s="14">
        <f>IF(L1925="","",ROUND(L1925*'สรุป'!$C$6,-1))</f>
        <v/>
      </c>
      <c r="O1925" s="15" t="n"/>
      <c r="P1925" s="15" t="n"/>
      <c r="Q1925" s="10" t="n"/>
      <c r="R1925" s="10" t="n"/>
      <c r="S1925" s="16" t="inlineStr">
        <is>
          <t>https://mstgolf.co.th/products/gf2020202717</t>
        </is>
      </c>
      <c r="T1925" s="1">
        <f>IF(B1925="ไม้กอล์ฟ",J1925,"")</f>
        <v/>
      </c>
    </row>
    <row r="1926">
      <c r="A1926" s="1" t="n">
        <v>3</v>
      </c>
      <c r="B1926" s="1" t="inlineStr">
        <is>
          <t>เสื้อผ้า</t>
        </is>
      </c>
      <c r="C1926" s="1" t="inlineStr">
        <is>
          <t>gf2020202715</t>
        </is>
      </c>
      <c r="D1926" s="1" t="inlineStr">
        <is>
          <t>TAYLORMADE x United Arrows Sweat Unisex Shorts (Off White)</t>
        </is>
      </c>
      <c r="E1926" s="1" t="inlineStr">
        <is>
          <t>TAYLORMADE</t>
        </is>
      </c>
      <c r="F1926" s="1" t="inlineStr">
        <is>
          <t>SHORT PANTS</t>
        </is>
      </c>
      <c r="G1926" s="1" t="inlineStr">
        <is>
          <t>GF2020202715XS</t>
        </is>
      </c>
      <c r="H1926" s="1" t="n">
        <v>5</v>
      </c>
      <c r="I1926" s="1" t="inlineStr">
        <is>
          <t>มี</t>
        </is>
      </c>
      <c r="J1926" s="13" t="n">
        <v>200</v>
      </c>
      <c r="K1926" s="1" t="inlineStr"/>
      <c r="L1926" s="13" t="n">
        <v>200</v>
      </c>
      <c r="M1926" s="1">
        <f>IF(L1926="","ไม่พบใน SG",IF(ABS(J1926-L1926)&lt;0.005,"ตรงกัน","ไม่ตรง"))</f>
        <v/>
      </c>
      <c r="N1926" s="14">
        <f>IF(L1926="","",ROUND(L1926*'สรุป'!$C$6,-1))</f>
        <v/>
      </c>
      <c r="O1926" s="15" t="n"/>
      <c r="P1926" s="15" t="n"/>
      <c r="Q1926" s="10" t="n"/>
      <c r="R1926" s="10" t="n"/>
      <c r="S1926" s="16" t="inlineStr">
        <is>
          <t>https://mstgolf.co.th/products/gf2020202715</t>
        </is>
      </c>
      <c r="T1926" s="1">
        <f>IF(B1926="ไม้กอล์ฟ",J1926,"")</f>
        <v/>
      </c>
    </row>
    <row r="1927">
      <c r="A1927" s="1" t="n">
        <v>3</v>
      </c>
      <c r="B1927" s="1" t="inlineStr">
        <is>
          <t>เสื้อผ้า</t>
        </is>
      </c>
      <c r="C1927" s="1" t="inlineStr">
        <is>
          <t>gf2060101289</t>
        </is>
      </c>
      <c r="D1927" s="1" t="inlineStr">
        <is>
          <t>ADIDAS Originals Cashmere Women's Sweatshirt (Indigo)</t>
        </is>
      </c>
      <c r="E1927" s="1" t="inlineStr">
        <is>
          <t>ADIDAS</t>
        </is>
      </c>
      <c r="F1927" s="1" t="inlineStr">
        <is>
          <t>TOP</t>
        </is>
      </c>
      <c r="G1927" s="1" t="inlineStr">
        <is>
          <t>GF2060101289XS</t>
        </is>
      </c>
      <c r="H1927" s="1" t="n">
        <v>6</v>
      </c>
      <c r="I1927" s="1" t="inlineStr">
        <is>
          <t>มี</t>
        </is>
      </c>
      <c r="J1927" s="13" t="n">
        <v>199</v>
      </c>
      <c r="K1927" s="1" t="inlineStr"/>
      <c r="L1927" s="13" t="n">
        <v>179</v>
      </c>
      <c r="M1927" s="1">
        <f>IF(L1927="","ไม่พบใน SG",IF(ABS(J1927-L1927)&lt;0.005,"ตรงกัน","ไม่ตรง"))</f>
        <v/>
      </c>
      <c r="N1927" s="14">
        <f>IF(L1927="","",ROUND(L1927*'สรุป'!$C$6,-1))</f>
        <v/>
      </c>
      <c r="O1927" s="15" t="n"/>
      <c r="P1927" s="15" t="n"/>
      <c r="Q1927" s="10" t="n"/>
      <c r="R1927" s="10" t="n"/>
      <c r="S1927" s="16" t="inlineStr">
        <is>
          <t>https://mstgolf.co.th/products/gf2060101289</t>
        </is>
      </c>
      <c r="T1927" s="1">
        <f>IF(B1927="ไม้กอล์ฟ",J1927,"")</f>
        <v/>
      </c>
    </row>
    <row r="1928">
      <c r="A1928" s="1" t="n">
        <v>3</v>
      </c>
      <c r="B1928" s="1" t="inlineStr">
        <is>
          <t>เสื้อผ้า</t>
        </is>
      </c>
      <c r="C1928" s="1" t="inlineStr">
        <is>
          <t>gf2060101270</t>
        </is>
      </c>
      <c r="D1928" s="1" t="inlineStr">
        <is>
          <t>ADIDAS Windproof Full-Zip Men's Jacket (Red)</t>
        </is>
      </c>
      <c r="E1928" s="1" t="inlineStr">
        <is>
          <t>ADIDAS</t>
        </is>
      </c>
      <c r="F1928" s="1" t="inlineStr">
        <is>
          <t>TOP</t>
        </is>
      </c>
      <c r="G1928" s="1" t="inlineStr">
        <is>
          <t>GF20601012702XS</t>
        </is>
      </c>
      <c r="H1928" s="1" t="n">
        <v>7</v>
      </c>
      <c r="I1928" s="1" t="inlineStr">
        <is>
          <t>มี</t>
        </is>
      </c>
      <c r="J1928" s="13" t="n">
        <v>199</v>
      </c>
      <c r="K1928" s="1" t="inlineStr"/>
      <c r="L1928" s="13" t="n">
        <v>139</v>
      </c>
      <c r="M1928" s="1">
        <f>IF(L1928="","ไม่พบใน SG",IF(ABS(J1928-L1928)&lt;0.005,"ตรงกัน","ไม่ตรง"))</f>
        <v/>
      </c>
      <c r="N1928" s="14">
        <f>IF(L1928="","",ROUND(L1928*'สรุป'!$C$6,-1))</f>
        <v/>
      </c>
      <c r="O1928" s="15" t="n"/>
      <c r="P1928" s="15" t="n"/>
      <c r="Q1928" s="10" t="n"/>
      <c r="R1928" s="10" t="n"/>
      <c r="S1928" s="16" t="inlineStr">
        <is>
          <t>https://mstgolf.co.th/products/gf2060101270</t>
        </is>
      </c>
      <c r="T1928" s="1">
        <f>IF(B1928="ไม้กอล์ฟ",J1928,"")</f>
        <v/>
      </c>
    </row>
    <row r="1929">
      <c r="A1929" s="1" t="n">
        <v>3</v>
      </c>
      <c r="B1929" s="1" t="inlineStr">
        <is>
          <t>อุปกรณ์เสริม</t>
        </is>
      </c>
      <c r="C1929" s="1" t="inlineStr">
        <is>
          <t>gf3500600002</t>
        </is>
      </c>
      <c r="D1929" s="1" t="inlineStr">
        <is>
          <t>BLUE TEES GOLF The Player Magnetic Speaker (Black)</t>
        </is>
      </c>
      <c r="E1929" s="1" t="inlineStr">
        <is>
          <t>BLUE TEES GOLF</t>
        </is>
      </c>
      <c r="F1929" s="1" t="inlineStr">
        <is>
          <t>SPEAKER</t>
        </is>
      </c>
      <c r="G1929" s="1" t="inlineStr">
        <is>
          <t>GF3500600002</t>
        </is>
      </c>
      <c r="H1929" s="1" t="n">
        <v>1</v>
      </c>
      <c r="I1929" s="1" t="inlineStr">
        <is>
          <t>มี</t>
        </is>
      </c>
      <c r="J1929" s="13" t="n">
        <v>199</v>
      </c>
      <c r="K1929" s="1" t="inlineStr"/>
      <c r="L1929" s="13" t="n">
        <v>199</v>
      </c>
      <c r="M1929" s="1">
        <f>IF(L1929="","ไม่พบใน SG",IF(ABS(J1929-L1929)&lt;0.005,"ตรงกัน","ไม่ตรง"))</f>
        <v/>
      </c>
      <c r="N1929" s="14">
        <f>IF(L1929="","",ROUND(L1929*'สรุป'!$C$6,-1))</f>
        <v/>
      </c>
      <c r="O1929" s="15" t="n"/>
      <c r="P1929" s="15" t="n"/>
      <c r="Q1929" s="10" t="n"/>
      <c r="R1929" s="10" t="n"/>
      <c r="S1929" s="16" t="inlineStr">
        <is>
          <t>https://mstgolf.co.th/products/gf3500600002</t>
        </is>
      </c>
      <c r="T1929" s="1">
        <f>IF(B1929="ไม้กอล์ฟ",J1929,"")</f>
        <v/>
      </c>
    </row>
    <row r="1930">
      <c r="A1930" s="1" t="n">
        <v>3</v>
      </c>
      <c r="B1930" s="1" t="inlineStr">
        <is>
          <t>เสื้อผ้า</t>
        </is>
      </c>
      <c r="C1930" s="1" t="inlineStr">
        <is>
          <t>gf2040121649</t>
        </is>
      </c>
      <c r="D1930" s="1" t="inlineStr">
        <is>
          <t>LACOSTE Regular Fit UV Protect Men's Polo (Green/White)</t>
        </is>
      </c>
      <c r="E1930" s="1" t="inlineStr">
        <is>
          <t>LACOSTE</t>
        </is>
      </c>
      <c r="F1930" s="1" t="inlineStr">
        <is>
          <t>SHORT SLEEVES</t>
        </is>
      </c>
      <c r="G1930" s="1" t="inlineStr">
        <is>
          <t>GF20401216493</t>
        </is>
      </c>
      <c r="H1930" s="1" t="n">
        <v>5</v>
      </c>
      <c r="I1930" s="1" t="inlineStr">
        <is>
          <t>มี</t>
        </is>
      </c>
      <c r="J1930" s="13" t="n">
        <v>199</v>
      </c>
      <c r="K1930" s="1" t="inlineStr"/>
      <c r="L1930" s="13" t="n">
        <v>199</v>
      </c>
      <c r="M1930" s="1">
        <f>IF(L1930="","ไม่พบใน SG",IF(ABS(J1930-L1930)&lt;0.005,"ตรงกัน","ไม่ตรง"))</f>
        <v/>
      </c>
      <c r="N1930" s="14">
        <f>IF(L1930="","",ROUND(L1930*'สรุป'!$C$6,-1))</f>
        <v/>
      </c>
      <c r="O1930" s="15" t="n"/>
      <c r="P1930" s="15" t="n"/>
      <c r="Q1930" s="10" t="n"/>
      <c r="R1930" s="10" t="n"/>
      <c r="S1930" s="16" t="inlineStr">
        <is>
          <t>https://mstgolf.co.th/products/gf2040121649</t>
        </is>
      </c>
      <c r="T1930" s="1">
        <f>IF(B1930="ไม้กอล์ฟ",J1930,"")</f>
        <v/>
      </c>
    </row>
    <row r="1931">
      <c r="A1931" s="1" t="n">
        <v>3</v>
      </c>
      <c r="B1931" s="1" t="inlineStr">
        <is>
          <t>เสื้อผ้า</t>
        </is>
      </c>
      <c r="C1931" s="1" t="inlineStr">
        <is>
          <t>gf2040121643</t>
        </is>
      </c>
      <c r="D1931" s="1" t="inlineStr">
        <is>
          <t>LACOSTE Striped Ultra Dry Stretch Men's Polo (Navy/Olive)</t>
        </is>
      </c>
      <c r="E1931" s="1" t="inlineStr">
        <is>
          <t>LACOSTE</t>
        </is>
      </c>
      <c r="F1931" s="1" t="inlineStr">
        <is>
          <t>SHORT SLEEVES</t>
        </is>
      </c>
      <c r="G1931" s="1" t="inlineStr">
        <is>
          <t>GF20401216433</t>
        </is>
      </c>
      <c r="H1931" s="1" t="n">
        <v>5</v>
      </c>
      <c r="I1931" s="1" t="inlineStr">
        <is>
          <t>มี</t>
        </is>
      </c>
      <c r="J1931" s="13" t="n">
        <v>199</v>
      </c>
      <c r="K1931" s="1" t="inlineStr"/>
      <c r="L1931" s="13" t="n">
        <v>199</v>
      </c>
      <c r="M1931" s="1">
        <f>IF(L1931="","ไม่พบใน SG",IF(ABS(J1931-L1931)&lt;0.005,"ตรงกัน","ไม่ตรง"))</f>
        <v/>
      </c>
      <c r="N1931" s="14">
        <f>IF(L1931="","",ROUND(L1931*'สรุป'!$C$6,-1))</f>
        <v/>
      </c>
      <c r="O1931" s="15" t="n"/>
      <c r="P1931" s="15" t="n"/>
      <c r="Q1931" s="10" t="n"/>
      <c r="R1931" s="10" t="n"/>
      <c r="S1931" s="16" t="inlineStr">
        <is>
          <t>https://mstgolf.co.th/products/gf2040121643</t>
        </is>
      </c>
      <c r="T1931" s="1">
        <f>IF(B1931="ไม้กอล์ฟ",J1931,"")</f>
        <v/>
      </c>
    </row>
    <row r="1932">
      <c r="A1932" s="1" t="n">
        <v>3</v>
      </c>
      <c r="B1932" s="1" t="inlineStr">
        <is>
          <t>เสื้อผ้า</t>
        </is>
      </c>
      <c r="C1932" s="1" t="inlineStr">
        <is>
          <t>gf2020202911</t>
        </is>
      </c>
      <c r="D1932" s="1" t="inlineStr">
        <is>
          <t>LACOSTE Ultra Dry Men's Shorts (Navy)</t>
        </is>
      </c>
      <c r="E1932" s="1" t="inlineStr">
        <is>
          <t>LACOSTE</t>
        </is>
      </c>
      <c r="F1932" s="1" t="inlineStr">
        <is>
          <t>SHORT PANTS</t>
        </is>
      </c>
      <c r="G1932" s="1" t="inlineStr">
        <is>
          <t>GF202020291138</t>
        </is>
      </c>
      <c r="H1932" s="1" t="n">
        <v>5</v>
      </c>
      <c r="I1932" s="1" t="inlineStr">
        <is>
          <t>มี</t>
        </is>
      </c>
      <c r="J1932" s="13" t="n">
        <v>199</v>
      </c>
      <c r="K1932" s="1" t="inlineStr"/>
      <c r="L1932" s="13" t="n">
        <v>199</v>
      </c>
      <c r="M1932" s="1">
        <f>IF(L1932="","ไม่พบใน SG",IF(ABS(J1932-L1932)&lt;0.005,"ตรงกัน","ไม่ตรง"))</f>
        <v/>
      </c>
      <c r="N1932" s="14">
        <f>IF(L1932="","",ROUND(L1932*'สรุป'!$C$6,-1))</f>
        <v/>
      </c>
      <c r="O1932" s="15" t="n"/>
      <c r="P1932" s="15" t="n"/>
      <c r="Q1932" s="10" t="n"/>
      <c r="R1932" s="10" t="n"/>
      <c r="S1932" s="16" t="inlineStr">
        <is>
          <t>https://mstgolf.co.th/products/gf2020202911</t>
        </is>
      </c>
      <c r="T1932" s="1">
        <f>IF(B1932="ไม้กอล์ฟ",J1932,"")</f>
        <v/>
      </c>
    </row>
    <row r="1933">
      <c r="A1933" s="1" t="n">
        <v>3</v>
      </c>
      <c r="B1933" s="1" t="inlineStr">
        <is>
          <t>เสื้อผ้า</t>
        </is>
      </c>
      <c r="C1933" s="1" t="inlineStr">
        <is>
          <t>gf2020202912</t>
        </is>
      </c>
      <c r="D1933" s="1" t="inlineStr">
        <is>
          <t>LACOSTE Ultra Dry Men's Shorts (Olive)</t>
        </is>
      </c>
      <c r="E1933" s="1" t="inlineStr">
        <is>
          <t>LACOSTE</t>
        </is>
      </c>
      <c r="F1933" s="1" t="inlineStr">
        <is>
          <t>SHORT PANTS</t>
        </is>
      </c>
      <c r="G1933" s="1" t="inlineStr">
        <is>
          <t>GF202020291238</t>
        </is>
      </c>
      <c r="H1933" s="1" t="n">
        <v>5</v>
      </c>
      <c r="I1933" s="1" t="inlineStr">
        <is>
          <t>มี</t>
        </is>
      </c>
      <c r="J1933" s="13" t="n">
        <v>199</v>
      </c>
      <c r="K1933" s="1" t="inlineStr"/>
      <c r="L1933" s="13" t="n">
        <v>199</v>
      </c>
      <c r="M1933" s="1">
        <f>IF(L1933="","ไม่พบใน SG",IF(ABS(J1933-L1933)&lt;0.005,"ตรงกัน","ไม่ตรง"))</f>
        <v/>
      </c>
      <c r="N1933" s="14">
        <f>IF(L1933="","",ROUND(L1933*'สรุป'!$C$6,-1))</f>
        <v/>
      </c>
      <c r="O1933" s="15" t="n"/>
      <c r="P1933" s="15" t="n"/>
      <c r="Q1933" s="10" t="n"/>
      <c r="R1933" s="10" t="n"/>
      <c r="S1933" s="16" t="inlineStr">
        <is>
          <t>https://mstgolf.co.th/products/gf2020202912</t>
        </is>
      </c>
      <c r="T1933" s="1">
        <f>IF(B1933="ไม้กอล์ฟ",J1933,"")</f>
        <v/>
      </c>
    </row>
    <row r="1934">
      <c r="A1934" s="1" t="n">
        <v>3</v>
      </c>
      <c r="B1934" s="1" t="inlineStr">
        <is>
          <t>เสื้อผ้า</t>
        </is>
      </c>
      <c r="C1934" s="1" t="inlineStr">
        <is>
          <t>gf2040121640</t>
        </is>
      </c>
      <c r="D1934" s="1" t="inlineStr">
        <is>
          <t>LACOSTE Women's Slim Fit UV Protect Stretch Women's Polo (Overview)</t>
        </is>
      </c>
      <c r="E1934" s="1" t="inlineStr">
        <is>
          <t>LACOSTE</t>
        </is>
      </c>
      <c r="F1934" s="1" t="inlineStr">
        <is>
          <t>SHORT SLEEVES</t>
        </is>
      </c>
      <c r="G1934" s="1" t="inlineStr">
        <is>
          <t>GF204012164038</t>
        </is>
      </c>
      <c r="H1934" s="1" t="n">
        <v>4</v>
      </c>
      <c r="I1934" s="1" t="inlineStr">
        <is>
          <t>มี</t>
        </is>
      </c>
      <c r="J1934" s="13" t="n">
        <v>199</v>
      </c>
      <c r="K1934" s="1" t="inlineStr"/>
      <c r="L1934" s="13" t="n">
        <v>199</v>
      </c>
      <c r="M1934" s="1">
        <f>IF(L1934="","ไม่พบใน SG",IF(ABS(J1934-L1934)&lt;0.005,"ตรงกัน","ไม่ตรง"))</f>
        <v/>
      </c>
      <c r="N1934" s="14">
        <f>IF(L1934="","",ROUND(L1934*'สรุป'!$C$6,-1))</f>
        <v/>
      </c>
      <c r="O1934" s="15" t="n"/>
      <c r="P1934" s="15" t="n"/>
      <c r="Q1934" s="10" t="n"/>
      <c r="R1934" s="10" t="n"/>
      <c r="S1934" s="16" t="inlineStr">
        <is>
          <t>https://mstgolf.co.th/products/gf2040121640</t>
        </is>
      </c>
      <c r="T1934" s="1">
        <f>IF(B1934="ไม้กอล์ฟ",J1934,"")</f>
        <v/>
      </c>
    </row>
    <row r="1935">
      <c r="A1935" s="1" t="n">
        <v>3</v>
      </c>
      <c r="B1935" s="1" t="inlineStr">
        <is>
          <t>เสื้อผ้า</t>
        </is>
      </c>
      <c r="C1935" s="1" t="inlineStr">
        <is>
          <t>gf2060101272</t>
        </is>
      </c>
      <c r="D1935" s="1" t="inlineStr">
        <is>
          <t>NIKE Jordan Sport Knit Button Down Men's Sweater (Black)</t>
        </is>
      </c>
      <c r="E1935" s="1" t="inlineStr">
        <is>
          <t>NIKE</t>
        </is>
      </c>
      <c r="F1935" s="1" t="inlineStr">
        <is>
          <t>TOP</t>
        </is>
      </c>
      <c r="G1935" s="1" t="inlineStr">
        <is>
          <t>GF2060101272S</t>
        </is>
      </c>
      <c r="H1935" s="1" t="n">
        <v>5</v>
      </c>
      <c r="I1935" s="1" t="inlineStr">
        <is>
          <t>มี</t>
        </is>
      </c>
      <c r="J1935" s="13" t="n">
        <v>199</v>
      </c>
      <c r="K1935" s="1" t="inlineStr"/>
      <c r="L1935" s="13" t="n">
        <v>199</v>
      </c>
      <c r="M1935" s="1">
        <f>IF(L1935="","ไม่พบใน SG",IF(ABS(J1935-L1935)&lt;0.005,"ตรงกัน","ไม่ตรง"))</f>
        <v/>
      </c>
      <c r="N1935" s="14">
        <f>IF(L1935="","",ROUND(L1935*'สรุป'!$C$6,-1))</f>
        <v/>
      </c>
      <c r="O1935" s="15" t="n"/>
      <c r="P1935" s="15" t="n"/>
      <c r="Q1935" s="10" t="n"/>
      <c r="R1935" s="10" t="n"/>
      <c r="S1935" s="16" t="inlineStr">
        <is>
          <t>https://mstgolf.co.th/products/gf2060101272</t>
        </is>
      </c>
      <c r="T1935" s="1">
        <f>IF(B1935="ไม้กอล์ฟ",J1935,"")</f>
        <v/>
      </c>
    </row>
    <row r="1936">
      <c r="A1936" s="1" t="n">
        <v>3</v>
      </c>
      <c r="B1936" s="1" t="inlineStr">
        <is>
          <t>เสื้อผ้า</t>
        </is>
      </c>
      <c r="C1936" s="1" t="inlineStr">
        <is>
          <t>gf2060101273</t>
        </is>
      </c>
      <c r="D1936" s="1" t="inlineStr">
        <is>
          <t>NIKE Jordan Sport Knit Button Down Men's Sweater (Phantom)</t>
        </is>
      </c>
      <c r="E1936" s="1" t="inlineStr">
        <is>
          <t>NIKE</t>
        </is>
      </c>
      <c r="F1936" s="1" t="inlineStr">
        <is>
          <t>TOP</t>
        </is>
      </c>
      <c r="G1936" s="1" t="inlineStr">
        <is>
          <t>GF2060101273S</t>
        </is>
      </c>
      <c r="H1936" s="1" t="n">
        <v>5</v>
      </c>
      <c r="I1936" s="1" t="inlineStr">
        <is>
          <t>มี</t>
        </is>
      </c>
      <c r="J1936" s="13" t="n">
        <v>199</v>
      </c>
      <c r="K1936" s="1" t="inlineStr"/>
      <c r="L1936" s="13" t="n">
        <v>199</v>
      </c>
      <c r="M1936" s="1">
        <f>IF(L1936="","ไม่พบใน SG",IF(ABS(J1936-L1936)&lt;0.005,"ตรงกัน","ไม่ตรง"))</f>
        <v/>
      </c>
      <c r="N1936" s="14">
        <f>IF(L1936="","",ROUND(L1936*'สรุป'!$C$6,-1))</f>
        <v/>
      </c>
      <c r="O1936" s="15" t="n"/>
      <c r="P1936" s="15" t="n"/>
      <c r="Q1936" s="10" t="n"/>
      <c r="R1936" s="10" t="n"/>
      <c r="S1936" s="16" t="inlineStr">
        <is>
          <t>https://mstgolf.co.th/products/gf2060101273</t>
        </is>
      </c>
      <c r="T1936" s="1">
        <f>IF(B1936="ไม้กอล์ฟ",J1936,"")</f>
        <v/>
      </c>
    </row>
    <row r="1937">
      <c r="A1937" s="1" t="n">
        <v>3</v>
      </c>
      <c r="B1937" s="1" t="inlineStr">
        <is>
          <t>เสื้อผ้า</t>
        </is>
      </c>
      <c r="C1937" s="1" t="inlineStr">
        <is>
          <t>gf2020102624</t>
        </is>
      </c>
      <c r="D1937" s="1" t="inlineStr">
        <is>
          <t>NIKE Jordan Sport Men's Pants (Black)</t>
        </is>
      </c>
      <c r="E1937" s="1" t="inlineStr">
        <is>
          <t>NIKE</t>
        </is>
      </c>
      <c r="F1937" s="1" t="inlineStr">
        <is>
          <t>LONG PANTS</t>
        </is>
      </c>
      <c r="G1937" s="1" t="inlineStr">
        <is>
          <t>GF2020102624S</t>
        </is>
      </c>
      <c r="H1937" s="1" t="n">
        <v>5</v>
      </c>
      <c r="I1937" s="1" t="inlineStr">
        <is>
          <t>มี</t>
        </is>
      </c>
      <c r="J1937" s="13" t="n">
        <v>199</v>
      </c>
      <c r="K1937" s="1" t="inlineStr"/>
      <c r="L1937" s="13" t="n">
        <v>199</v>
      </c>
      <c r="M1937" s="1">
        <f>IF(L1937="","ไม่พบใน SG",IF(ABS(J1937-L1937)&lt;0.005,"ตรงกัน","ไม่ตรง"))</f>
        <v/>
      </c>
      <c r="N1937" s="14">
        <f>IF(L1937="","",ROUND(L1937*'สรุป'!$C$6,-1))</f>
        <v/>
      </c>
      <c r="O1937" s="15" t="n"/>
      <c r="P1937" s="15" t="n"/>
      <c r="Q1937" s="10" t="n"/>
      <c r="R1937" s="10" t="n"/>
      <c r="S1937" s="16" t="inlineStr">
        <is>
          <t>https://mstgolf.co.th/products/gf2020102624</t>
        </is>
      </c>
      <c r="T1937" s="1">
        <f>IF(B1937="ไม้กอล์ฟ",J1937,"")</f>
        <v/>
      </c>
    </row>
    <row r="1938">
      <c r="A1938" s="1" t="n">
        <v>3</v>
      </c>
      <c r="B1938" s="1" t="inlineStr">
        <is>
          <t>เสื้อผ้า</t>
        </is>
      </c>
      <c r="C1938" s="1" t="inlineStr">
        <is>
          <t>gf2040117838</t>
        </is>
      </c>
      <c r="D1938" s="1" t="inlineStr">
        <is>
          <t>PXG Men's Patterned Polo (White/Black)</t>
        </is>
      </c>
      <c r="E1938" s="1" t="inlineStr">
        <is>
          <t>PXG</t>
        </is>
      </c>
      <c r="F1938" s="1" t="inlineStr">
        <is>
          <t>SHORT SLEEVES</t>
        </is>
      </c>
      <c r="G1938" s="1" t="inlineStr">
        <is>
          <t>GF2040117838M</t>
        </is>
      </c>
      <c r="H1938" s="1" t="n">
        <v>4</v>
      </c>
      <c r="I1938" s="1" t="inlineStr">
        <is>
          <t>มี</t>
        </is>
      </c>
      <c r="J1938" s="13" t="n">
        <v>199</v>
      </c>
      <c r="K1938" s="1" t="inlineStr"/>
      <c r="L1938" s="13" t="n">
        <v>199</v>
      </c>
      <c r="M1938" s="1">
        <f>IF(L1938="","ไม่พบใน SG",IF(ABS(J1938-L1938)&lt;0.005,"ตรงกัน","ไม่ตรง"))</f>
        <v/>
      </c>
      <c r="N1938" s="14">
        <f>IF(L1938="","",ROUND(L1938*'สรุป'!$C$6,-1))</f>
        <v/>
      </c>
      <c r="O1938" s="15" t="n"/>
      <c r="P1938" s="15" t="n"/>
      <c r="Q1938" s="10" t="n"/>
      <c r="R1938" s="10" t="n"/>
      <c r="S1938" s="16" t="inlineStr">
        <is>
          <t>https://mstgolf.co.th/products/gf2040117838</t>
        </is>
      </c>
      <c r="T1938" s="1">
        <f>IF(B1938="ไม้กอล์ฟ",J1938,"")</f>
        <v/>
      </c>
    </row>
    <row r="1939">
      <c r="A1939" s="1" t="n">
        <v>3</v>
      </c>
      <c r="B1939" s="1" t="inlineStr">
        <is>
          <t>เสื้อผ้า</t>
        </is>
      </c>
      <c r="C1939" s="1" t="inlineStr">
        <is>
          <t>gf2040115646</t>
        </is>
      </c>
      <c r="D1939" s="1" t="inlineStr">
        <is>
          <t>PXG Perforated Men's Polo (White)</t>
        </is>
      </c>
      <c r="E1939" s="1" t="inlineStr">
        <is>
          <t>PXG</t>
        </is>
      </c>
      <c r="F1939" s="1" t="inlineStr">
        <is>
          <t>SHORT SLEEVES</t>
        </is>
      </c>
      <c r="G1939" s="1" t="inlineStr">
        <is>
          <t>GF2040115646S</t>
        </is>
      </c>
      <c r="H1939" s="1" t="n">
        <v>5</v>
      </c>
      <c r="I1939" s="1" t="inlineStr">
        <is>
          <t>มี</t>
        </is>
      </c>
      <c r="J1939" s="13" t="n">
        <v>199</v>
      </c>
      <c r="K1939" s="1" t="inlineStr"/>
      <c r="L1939" s="13" t="n"/>
      <c r="M1939" s="1">
        <f>IF(L1939="","ไม่พบใน SG",IF(ABS(J1939-L1939)&lt;0.005,"ตรงกัน","ไม่ตรง"))</f>
        <v/>
      </c>
      <c r="N1939" s="14">
        <f>IF(L1939="","",ROUND(L1939*'สรุป'!$C$6,-1))</f>
        <v/>
      </c>
      <c r="O1939" s="15" t="n"/>
      <c r="P1939" s="15" t="n"/>
      <c r="Q1939" s="10" t="n"/>
      <c r="R1939" s="10" t="n"/>
      <c r="S1939" s="16" t="inlineStr">
        <is>
          <t>https://mstgolf.co.th/products/gf2040115646</t>
        </is>
      </c>
      <c r="T1939" s="1">
        <f>IF(B1939="ไม้กอล์ฟ",J1939,"")</f>
        <v/>
      </c>
    </row>
    <row r="1940">
      <c r="A1940" s="1" t="n">
        <v>3</v>
      </c>
      <c r="B1940" s="1" t="inlineStr">
        <is>
          <t>เสื้อผ้า</t>
        </is>
      </c>
      <c r="C1940" s="1" t="inlineStr">
        <is>
          <t>gf2020102312</t>
        </is>
      </c>
      <c r="D1940" s="1" t="inlineStr">
        <is>
          <t>WAAC Korea Essential Men's Pants (Black)</t>
        </is>
      </c>
      <c r="E1940" s="1" t="inlineStr">
        <is>
          <t>WAAC</t>
        </is>
      </c>
      <c r="F1940" s="1" t="inlineStr">
        <is>
          <t>LONG PANTS</t>
        </is>
      </c>
      <c r="G1940" s="1" t="inlineStr">
        <is>
          <t>GF202010231223</t>
        </is>
      </c>
      <c r="H1940" s="1" t="n">
        <v>10</v>
      </c>
      <c r="I1940" s="1" t="inlineStr">
        <is>
          <t>มี</t>
        </is>
      </c>
      <c r="J1940" s="13" t="n">
        <v>199</v>
      </c>
      <c r="K1940" s="1" t="inlineStr"/>
      <c r="L1940" s="13" t="n">
        <v>199</v>
      </c>
      <c r="M1940" s="1">
        <f>IF(L1940="","ไม่พบใน SG",IF(ABS(J1940-L1940)&lt;0.005,"ตรงกัน","ไม่ตรง"))</f>
        <v/>
      </c>
      <c r="N1940" s="14">
        <f>IF(L1940="","",ROUND(L1940*'สรุป'!$C$6,-1))</f>
        <v/>
      </c>
      <c r="O1940" s="15" t="n"/>
      <c r="P1940" s="15" t="n"/>
      <c r="Q1940" s="10" t="n"/>
      <c r="R1940" s="10" t="n"/>
      <c r="S1940" s="16" t="inlineStr">
        <is>
          <t>https://mstgolf.co.th/products/gf2020102312</t>
        </is>
      </c>
      <c r="T1940" s="1">
        <f>IF(B1940="ไม้กอล์ฟ",J1940,"")</f>
        <v/>
      </c>
    </row>
    <row r="1941">
      <c r="A1941" s="1" t="n">
        <v>3</v>
      </c>
      <c r="B1941" s="1" t="inlineStr">
        <is>
          <t>เสื้อผ้า</t>
        </is>
      </c>
      <c r="C1941" s="1" t="inlineStr">
        <is>
          <t>gf2040118010</t>
        </is>
      </c>
      <c r="D1941" s="1" t="inlineStr">
        <is>
          <t>WAAC Korea Lemon Print Men's Polo (Yellow/White)</t>
        </is>
      </c>
      <c r="E1941" s="1" t="inlineStr">
        <is>
          <t>WAAC</t>
        </is>
      </c>
      <c r="F1941" s="1" t="inlineStr">
        <is>
          <t>SHORT SLEEVES</t>
        </is>
      </c>
      <c r="G1941" s="1" t="inlineStr">
        <is>
          <t>GF2040118010S</t>
        </is>
      </c>
      <c r="H1941" s="1" t="n">
        <v>5</v>
      </c>
      <c r="I1941" s="1" t="inlineStr">
        <is>
          <t>มี</t>
        </is>
      </c>
      <c r="J1941" s="13" t="n">
        <v>199</v>
      </c>
      <c r="K1941" s="1" t="inlineStr"/>
      <c r="L1941" s="13" t="n">
        <v>199</v>
      </c>
      <c r="M1941" s="1">
        <f>IF(L1941="","ไม่พบใน SG",IF(ABS(J1941-L1941)&lt;0.005,"ตรงกัน","ไม่ตรง"))</f>
        <v/>
      </c>
      <c r="N1941" s="14">
        <f>IF(L1941="","",ROUND(L1941*'สรุป'!$C$6,-1))</f>
        <v/>
      </c>
      <c r="O1941" s="15" t="n"/>
      <c r="P1941" s="15" t="n"/>
      <c r="Q1941" s="10" t="n"/>
      <c r="R1941" s="10" t="n"/>
      <c r="S1941" s="16" t="inlineStr">
        <is>
          <t>https://mstgolf.co.th/products/gf2040118010</t>
        </is>
      </c>
      <c r="T1941" s="1">
        <f>IF(B1941="ไม้กอล์ฟ",J1941,"")</f>
        <v/>
      </c>
    </row>
    <row r="1942">
      <c r="A1942" s="1" t="n">
        <v>3</v>
      </c>
      <c r="B1942" s="1" t="inlineStr">
        <is>
          <t>เสื้อผ้า</t>
        </is>
      </c>
      <c r="C1942" s="1" t="inlineStr">
        <is>
          <t>gf2040118004</t>
        </is>
      </c>
      <c r="D1942" s="1" t="inlineStr">
        <is>
          <t>WAAC Korea Logo Hybrid Men's Polo (Black)</t>
        </is>
      </c>
      <c r="E1942" s="1" t="inlineStr">
        <is>
          <t>WAAC</t>
        </is>
      </c>
      <c r="F1942" s="1" t="inlineStr">
        <is>
          <t>SHORT SLEEVES</t>
        </is>
      </c>
      <c r="G1942" s="1" t="inlineStr">
        <is>
          <t>GF2040118004S</t>
        </is>
      </c>
      <c r="H1942" s="1" t="n">
        <v>5</v>
      </c>
      <c r="I1942" s="1" t="inlineStr">
        <is>
          <t>มี</t>
        </is>
      </c>
      <c r="J1942" s="13" t="n">
        <v>199</v>
      </c>
      <c r="K1942" s="1" t="inlineStr"/>
      <c r="L1942" s="13" t="n">
        <v>199</v>
      </c>
      <c r="M1942" s="1">
        <f>IF(L1942="","ไม่พบใน SG",IF(ABS(J1942-L1942)&lt;0.005,"ตรงกัน","ไม่ตรง"))</f>
        <v/>
      </c>
      <c r="N1942" s="14">
        <f>IF(L1942="","",ROUND(L1942*'สรุป'!$C$6,-1))</f>
        <v/>
      </c>
      <c r="O1942" s="15" t="n"/>
      <c r="P1942" s="15" t="n"/>
      <c r="Q1942" s="10" t="n"/>
      <c r="R1942" s="10" t="n"/>
      <c r="S1942" s="16" t="inlineStr">
        <is>
          <t>https://mstgolf.co.th/products/gf2040118004</t>
        </is>
      </c>
      <c r="T1942" s="1">
        <f>IF(B1942="ไม้กอล์ฟ",J1942,"")</f>
        <v/>
      </c>
    </row>
    <row r="1943">
      <c r="A1943" s="1" t="n">
        <v>3</v>
      </c>
      <c r="B1943" s="1" t="inlineStr">
        <is>
          <t>เสื้อผ้า</t>
        </is>
      </c>
      <c r="C1943" s="1" t="inlineStr">
        <is>
          <t>gf2040118024</t>
        </is>
      </c>
      <c r="D1943" s="1" t="inlineStr">
        <is>
          <t>WAAC Korea Waacky Loose Men's Polo (Green)</t>
        </is>
      </c>
      <c r="E1943" s="1" t="inlineStr">
        <is>
          <t>WAAC</t>
        </is>
      </c>
      <c r="F1943" s="1" t="inlineStr">
        <is>
          <t>SHORT SLEEVES</t>
        </is>
      </c>
      <c r="G1943" s="1" t="inlineStr">
        <is>
          <t>GF2040118024XS</t>
        </is>
      </c>
      <c r="H1943" s="1" t="n">
        <v>6</v>
      </c>
      <c r="I1943" s="1" t="inlineStr">
        <is>
          <t>มี</t>
        </is>
      </c>
      <c r="J1943" s="13" t="n">
        <v>199</v>
      </c>
      <c r="K1943" s="1" t="inlineStr"/>
      <c r="L1943" s="13" t="n">
        <v>199</v>
      </c>
      <c r="M1943" s="1">
        <f>IF(L1943="","ไม่พบใน SG",IF(ABS(J1943-L1943)&lt;0.005,"ตรงกัน","ไม่ตรง"))</f>
        <v/>
      </c>
      <c r="N1943" s="14">
        <f>IF(L1943="","",ROUND(L1943*'สรุป'!$C$6,-1))</f>
        <v/>
      </c>
      <c r="O1943" s="15" t="n"/>
      <c r="P1943" s="15" t="n"/>
      <c r="Q1943" s="10" t="n"/>
      <c r="R1943" s="10" t="n"/>
      <c r="S1943" s="16" t="inlineStr">
        <is>
          <t>https://mstgolf.co.th/products/gf2040118024</t>
        </is>
      </c>
      <c r="T1943" s="1">
        <f>IF(B1943="ไม้กอล์ฟ",J1943,"")</f>
        <v/>
      </c>
    </row>
    <row r="1944">
      <c r="A1944" s="1" t="n">
        <v>3</v>
      </c>
      <c r="B1944" s="1" t="inlineStr">
        <is>
          <t>เสื้อผ้า</t>
        </is>
      </c>
      <c r="C1944" s="1" t="inlineStr">
        <is>
          <t>gf2020102216</t>
        </is>
      </c>
      <c r="D1944" s="1" t="inlineStr">
        <is>
          <t>GFORE Cuffed Glen Plaid Stretch Women’s Pants (Grey)</t>
        </is>
      </c>
      <c r="E1944" s="1" t="inlineStr">
        <is>
          <t>GFORE</t>
        </is>
      </c>
      <c r="F1944" s="1" t="inlineStr">
        <is>
          <t>LONG PANTS</t>
        </is>
      </c>
      <c r="G1944" s="1" t="inlineStr">
        <is>
          <t>GF20201022160</t>
        </is>
      </c>
      <c r="H1944" s="1" t="n">
        <v>7</v>
      </c>
      <c r="I1944" s="1" t="inlineStr">
        <is>
          <t>มี</t>
        </is>
      </c>
      <c r="J1944" s="13" t="n">
        <v>195</v>
      </c>
      <c r="K1944" s="1" t="inlineStr"/>
      <c r="L1944" s="13" t="n">
        <v>195</v>
      </c>
      <c r="M1944" s="1">
        <f>IF(L1944="","ไม่พบใน SG",IF(ABS(J1944-L1944)&lt;0.005,"ตรงกัน","ไม่ตรง"))</f>
        <v/>
      </c>
      <c r="N1944" s="14">
        <f>IF(L1944="","",ROUND(L1944*'สรุป'!$C$6,-1))</f>
        <v/>
      </c>
      <c r="O1944" s="15" t="n"/>
      <c r="P1944" s="15" t="n"/>
      <c r="Q1944" s="10" t="n"/>
      <c r="R1944" s="10" t="n"/>
      <c r="S1944" s="16" t="inlineStr">
        <is>
          <t>https://mstgolf.co.th/products/gf2020102216</t>
        </is>
      </c>
      <c r="T1944" s="1">
        <f>IF(B1944="ไม้กอล์ฟ",J1944,"")</f>
        <v/>
      </c>
    </row>
    <row r="1945">
      <c r="A1945" s="1" t="n">
        <v>3</v>
      </c>
      <c r="B1945" s="1" t="inlineStr">
        <is>
          <t>เสื้อผ้า</t>
        </is>
      </c>
      <c r="C1945" s="1" t="inlineStr">
        <is>
          <t>gf2020102454</t>
        </is>
      </c>
      <c r="D1945" s="1" t="inlineStr">
        <is>
          <t>OAKLEY Japan Skull Synchronism 3D Tapered 3.0 Men's Pants (Black)</t>
        </is>
      </c>
      <c r="E1945" s="1" t="inlineStr">
        <is>
          <t>OAKLEY</t>
        </is>
      </c>
      <c r="F1945" s="1" t="inlineStr">
        <is>
          <t>LONG PANTS</t>
        </is>
      </c>
      <c r="G1945" s="1" t="inlineStr">
        <is>
          <t>GF2020102454M</t>
        </is>
      </c>
      <c r="H1945" s="1" t="n">
        <v>8</v>
      </c>
      <c r="I1945" s="1" t="inlineStr">
        <is>
          <t>มี</t>
        </is>
      </c>
      <c r="J1945" s="13" t="n">
        <v>195</v>
      </c>
      <c r="K1945" s="1" t="inlineStr"/>
      <c r="L1945" s="13" t="n">
        <v>139</v>
      </c>
      <c r="M1945" s="1">
        <f>IF(L1945="","ไม่พบใน SG",IF(ABS(J1945-L1945)&lt;0.005,"ตรงกัน","ไม่ตรง"))</f>
        <v/>
      </c>
      <c r="N1945" s="14">
        <f>IF(L1945="","",ROUND(L1945*'สรุป'!$C$6,-1))</f>
        <v/>
      </c>
      <c r="O1945" s="15" t="n"/>
      <c r="P1945" s="15" t="n"/>
      <c r="Q1945" s="10" t="n"/>
      <c r="R1945" s="10" t="n"/>
      <c r="S1945" s="16" t="inlineStr">
        <is>
          <t>https://mstgolf.co.th/products/gf2020102454</t>
        </is>
      </c>
      <c r="T1945" s="1">
        <f>IF(B1945="ไม้กอล์ฟ",J1945,"")</f>
        <v/>
      </c>
    </row>
    <row r="1946">
      <c r="A1946" s="1" t="n">
        <v>3</v>
      </c>
      <c r="B1946" s="1" t="inlineStr">
        <is>
          <t>เสื้อผ้า</t>
        </is>
      </c>
      <c r="C1946" s="1" t="inlineStr">
        <is>
          <t>gf2020102455</t>
        </is>
      </c>
      <c r="D1946" s="1" t="inlineStr">
        <is>
          <t>OAKLEY Japan Skull Synchronism 3D Tapered 3.0 Men's Pants (Blue)</t>
        </is>
      </c>
      <c r="E1946" s="1" t="inlineStr">
        <is>
          <t>OAKLEY</t>
        </is>
      </c>
      <c r="F1946" s="1" t="inlineStr">
        <is>
          <t>LONG PANTS</t>
        </is>
      </c>
      <c r="G1946" s="1" t="inlineStr">
        <is>
          <t>GF2020102455S</t>
        </is>
      </c>
      <c r="H1946" s="1" t="n">
        <v>8</v>
      </c>
      <c r="I1946" s="1" t="inlineStr">
        <is>
          <t>มี</t>
        </is>
      </c>
      <c r="J1946" s="13" t="n">
        <v>195</v>
      </c>
      <c r="K1946" s="1" t="inlineStr"/>
      <c r="L1946" s="13" t="n">
        <v>139</v>
      </c>
      <c r="M1946" s="1">
        <f>IF(L1946="","ไม่พบใน SG",IF(ABS(J1946-L1946)&lt;0.005,"ตรงกัน","ไม่ตรง"))</f>
        <v/>
      </c>
      <c r="N1946" s="14">
        <f>IF(L1946="","",ROUND(L1946*'สรุป'!$C$6,-1))</f>
        <v/>
      </c>
      <c r="O1946" s="15" t="n"/>
      <c r="P1946" s="15" t="n"/>
      <c r="Q1946" s="10" t="n"/>
      <c r="R1946" s="10" t="n"/>
      <c r="S1946" s="16" t="inlineStr">
        <is>
          <t>https://mstgolf.co.th/products/gf2020102455</t>
        </is>
      </c>
      <c r="T1946" s="1">
        <f>IF(B1946="ไม้กอล์ฟ",J1946,"")</f>
        <v/>
      </c>
    </row>
    <row r="1947">
      <c r="A1947" s="1" t="n">
        <v>3</v>
      </c>
      <c r="B1947" s="1" t="inlineStr">
        <is>
          <t>เสื้อผ้า</t>
        </is>
      </c>
      <c r="C1947" s="1" t="inlineStr">
        <is>
          <t>gf2040119742</t>
        </is>
      </c>
      <c r="D1947" s="1" t="inlineStr">
        <is>
          <t>MANORS Tailored Frontier Men's Polo (Black)</t>
        </is>
      </c>
      <c r="E1947" s="1" t="inlineStr">
        <is>
          <t>MANORS</t>
        </is>
      </c>
      <c r="F1947" s="1" t="inlineStr">
        <is>
          <t>SHORT SLEEVES</t>
        </is>
      </c>
      <c r="G1947" s="1" t="inlineStr">
        <is>
          <t>GF2040119742S</t>
        </is>
      </c>
      <c r="H1947" s="1" t="n">
        <v>4</v>
      </c>
      <c r="I1947" s="1" t="inlineStr">
        <is>
          <t>มี</t>
        </is>
      </c>
      <c r="J1947" s="13" t="n">
        <v>190</v>
      </c>
      <c r="K1947" s="1" t="inlineStr"/>
      <c r="L1947" s="13" t="n">
        <v>190</v>
      </c>
      <c r="M1947" s="1">
        <f>IF(L1947="","ไม่พบใน SG",IF(ABS(J1947-L1947)&lt;0.005,"ตรงกัน","ไม่ตรง"))</f>
        <v/>
      </c>
      <c r="N1947" s="14">
        <f>IF(L1947="","",ROUND(L1947*'สรุป'!$C$6,-1))</f>
        <v/>
      </c>
      <c r="O1947" s="15" t="n"/>
      <c r="P1947" s="15" t="n"/>
      <c r="Q1947" s="10" t="n"/>
      <c r="R1947" s="10" t="n"/>
      <c r="S1947" s="16" t="inlineStr">
        <is>
          <t>https://mstgolf.co.th/products/gf2040119742</t>
        </is>
      </c>
      <c r="T1947" s="1">
        <f>IF(B1947="ไม้กอล์ฟ",J1947,"")</f>
        <v/>
      </c>
    </row>
    <row r="1948">
      <c r="A1948" s="1" t="n">
        <v>3</v>
      </c>
      <c r="B1948" s="1" t="inlineStr">
        <is>
          <t>เสื้อผ้า</t>
        </is>
      </c>
      <c r="C1948" s="1" t="inlineStr">
        <is>
          <t>gf2060101265</t>
        </is>
      </c>
      <c r="D1948" s="1" t="inlineStr">
        <is>
          <t>ADIDAS Originals 3-Stripes 1/4 Zip Men's Sweatshirt (Indigo)</t>
        </is>
      </c>
      <c r="E1948" s="1" t="inlineStr">
        <is>
          <t>ADIDAS</t>
        </is>
      </c>
      <c r="F1948" s="1" t="inlineStr">
        <is>
          <t>TOP</t>
        </is>
      </c>
      <c r="G1948" s="1" t="inlineStr">
        <is>
          <t>GF2060101265XS</t>
        </is>
      </c>
      <c r="H1948" s="1" t="n">
        <v>6</v>
      </c>
      <c r="I1948" s="1" t="inlineStr">
        <is>
          <t>มี</t>
        </is>
      </c>
      <c r="J1948" s="13" t="n">
        <v>189</v>
      </c>
      <c r="K1948" s="1" t="inlineStr"/>
      <c r="L1948" s="13" t="n">
        <v>129</v>
      </c>
      <c r="M1948" s="1">
        <f>IF(L1948="","ไม่พบใน SG",IF(ABS(J1948-L1948)&lt;0.005,"ตรงกัน","ไม่ตรง"))</f>
        <v/>
      </c>
      <c r="N1948" s="14">
        <f>IF(L1948="","",ROUND(L1948*'สรุป'!$C$6,-1))</f>
        <v/>
      </c>
      <c r="O1948" s="15" t="n"/>
      <c r="P1948" s="15" t="n"/>
      <c r="Q1948" s="10" t="n"/>
      <c r="R1948" s="10" t="n"/>
      <c r="S1948" s="16" t="inlineStr">
        <is>
          <t>https://mstgolf.co.th/products/gf2060101265</t>
        </is>
      </c>
      <c r="T1948" s="1">
        <f>IF(B1948="ไม้กอล์ฟ",J1948,"")</f>
        <v/>
      </c>
    </row>
    <row r="1949">
      <c r="A1949" s="1" t="n">
        <v>3</v>
      </c>
      <c r="B1949" s="1" t="inlineStr">
        <is>
          <t>เสื้อผ้า</t>
        </is>
      </c>
      <c r="C1949" s="1" t="inlineStr">
        <is>
          <t>gf2020102329</t>
        </is>
      </c>
      <c r="D1949" s="1" t="inlineStr">
        <is>
          <t>GFORE 4-Way Stretch Slim Men's Pants (Charcoal)</t>
        </is>
      </c>
      <c r="E1949" s="1" t="inlineStr">
        <is>
          <t>GFORE</t>
        </is>
      </c>
      <c r="F1949" s="1" t="inlineStr">
        <is>
          <t>LONG PANTS</t>
        </is>
      </c>
      <c r="G1949" s="1" t="inlineStr">
        <is>
          <t>GF202010232930</t>
        </is>
      </c>
      <c r="H1949" s="1" t="n">
        <v>7</v>
      </c>
      <c r="I1949" s="1" t="inlineStr">
        <is>
          <t>มี</t>
        </is>
      </c>
      <c r="J1949" s="13" t="n">
        <v>189</v>
      </c>
      <c r="K1949" s="1" t="inlineStr"/>
      <c r="L1949" s="13" t="n">
        <v>189</v>
      </c>
      <c r="M1949" s="1">
        <f>IF(L1949="","ไม่พบใน SG",IF(ABS(J1949-L1949)&lt;0.005,"ตรงกัน","ไม่ตรง"))</f>
        <v/>
      </c>
      <c r="N1949" s="14">
        <f>IF(L1949="","",ROUND(L1949*'สรุป'!$C$6,-1))</f>
        <v/>
      </c>
      <c r="O1949" s="15" t="n"/>
      <c r="P1949" s="15" t="n"/>
      <c r="Q1949" s="10" t="n"/>
      <c r="R1949" s="10" t="n"/>
      <c r="S1949" s="16" t="inlineStr">
        <is>
          <t>https://mstgolf.co.th/products/gf2020102329</t>
        </is>
      </c>
      <c r="T1949" s="1">
        <f>IF(B1949="ไม้กอล์ฟ",J1949,"")</f>
        <v/>
      </c>
    </row>
    <row r="1950">
      <c r="A1950" s="1" t="n">
        <v>3</v>
      </c>
      <c r="B1950" s="1" t="inlineStr">
        <is>
          <t>เสื้อผ้า</t>
        </is>
      </c>
      <c r="C1950" s="1" t="inlineStr">
        <is>
          <t>gf2020102328</t>
        </is>
      </c>
      <c r="D1950" s="1" t="inlineStr">
        <is>
          <t>GFORE 4-Way Stretch Slim Men's Pants (Stone)</t>
        </is>
      </c>
      <c r="E1950" s="1" t="inlineStr">
        <is>
          <t>GFORE</t>
        </is>
      </c>
      <c r="F1950" s="1" t="inlineStr">
        <is>
          <t>LONG PANTS</t>
        </is>
      </c>
      <c r="G1950" s="1" t="inlineStr">
        <is>
          <t>GF202010232830</t>
        </is>
      </c>
      <c r="H1950" s="1" t="n">
        <v>7</v>
      </c>
      <c r="I1950" s="1" t="inlineStr">
        <is>
          <t>มี</t>
        </is>
      </c>
      <c r="J1950" s="13" t="n">
        <v>189</v>
      </c>
      <c r="K1950" s="1" t="inlineStr"/>
      <c r="L1950" s="13" t="n">
        <v>189</v>
      </c>
      <c r="M1950" s="1">
        <f>IF(L1950="","ไม่พบใน SG",IF(ABS(J1950-L1950)&lt;0.005,"ตรงกัน","ไม่ตรง"))</f>
        <v/>
      </c>
      <c r="N1950" s="14">
        <f>IF(L1950="","",ROUND(L1950*'สรุป'!$C$6,-1))</f>
        <v/>
      </c>
      <c r="O1950" s="15" t="n"/>
      <c r="P1950" s="15" t="n"/>
      <c r="Q1950" s="10" t="n"/>
      <c r="R1950" s="10" t="n"/>
      <c r="S1950" s="16" t="inlineStr">
        <is>
          <t>https://mstgolf.co.th/products/gf2020102328</t>
        </is>
      </c>
      <c r="T1950" s="1">
        <f>IF(B1950="ไม้กอล์ฟ",J1950,"")</f>
        <v/>
      </c>
    </row>
    <row r="1951">
      <c r="A1951" s="1" t="n">
        <v>3</v>
      </c>
      <c r="B1951" s="1" t="inlineStr">
        <is>
          <t>เสื้อผ้า</t>
        </is>
      </c>
      <c r="C1951" s="1" t="inlineStr">
        <is>
          <t>gf2020102330</t>
        </is>
      </c>
      <c r="D1951" s="1" t="inlineStr">
        <is>
          <t>GFORE 4-Way Stretch Slim Men's Pants (Twilight)</t>
        </is>
      </c>
      <c r="E1951" s="1" t="inlineStr">
        <is>
          <t>GFORE</t>
        </is>
      </c>
      <c r="F1951" s="1" t="inlineStr">
        <is>
          <t>LONG PANTS</t>
        </is>
      </c>
      <c r="G1951" s="1" t="inlineStr">
        <is>
          <t>GF202010233030</t>
        </is>
      </c>
      <c r="H1951" s="1" t="n">
        <v>7</v>
      </c>
      <c r="I1951" s="1" t="inlineStr">
        <is>
          <t>มี</t>
        </is>
      </c>
      <c r="J1951" s="13" t="n">
        <v>189</v>
      </c>
      <c r="K1951" s="1" t="inlineStr"/>
      <c r="L1951" s="13" t="n">
        <v>189</v>
      </c>
      <c r="M1951" s="1">
        <f>IF(L1951="","ไม่พบใน SG",IF(ABS(J1951-L1951)&lt;0.005,"ตรงกัน","ไม่ตรง"))</f>
        <v/>
      </c>
      <c r="N1951" s="14">
        <f>IF(L1951="","",ROUND(L1951*'สรุป'!$C$6,-1))</f>
        <v/>
      </c>
      <c r="O1951" s="15" t="n"/>
      <c r="P1951" s="15" t="n"/>
      <c r="Q1951" s="10" t="n"/>
      <c r="R1951" s="10" t="n"/>
      <c r="S1951" s="16" t="inlineStr">
        <is>
          <t>https://mstgolf.co.th/products/gf2020102330</t>
        </is>
      </c>
      <c r="T1951" s="1">
        <f>IF(B1951="ไม้กอล์ฟ",J1951,"")</f>
        <v/>
      </c>
    </row>
    <row r="1952">
      <c r="A1952" s="1" t="n">
        <v>3</v>
      </c>
      <c r="B1952" s="1" t="inlineStr">
        <is>
          <t>เสื้อผ้า</t>
        </is>
      </c>
      <c r="C1952" s="1" t="inlineStr">
        <is>
          <t>gf2041200338</t>
        </is>
      </c>
      <c r="D1952" s="1" t="inlineStr">
        <is>
          <t>MALBON GOLF Bosco Men's Button Up Shirt (Ivory)</t>
        </is>
      </c>
      <c r="E1952" s="1" t="inlineStr">
        <is>
          <t>MALBON GOLF</t>
        </is>
      </c>
      <c r="F1952" s="1" t="inlineStr">
        <is>
          <t>WOVEN</t>
        </is>
      </c>
      <c r="G1952" s="1" t="inlineStr">
        <is>
          <t>GF2041200338S</t>
        </is>
      </c>
      <c r="H1952" s="1" t="n">
        <v>5</v>
      </c>
      <c r="I1952" s="1" t="inlineStr">
        <is>
          <t>มี</t>
        </is>
      </c>
      <c r="J1952" s="13" t="n">
        <v>189</v>
      </c>
      <c r="K1952" s="1" t="inlineStr"/>
      <c r="L1952" s="13" t="n">
        <v>189</v>
      </c>
      <c r="M1952" s="1">
        <f>IF(L1952="","ไม่พบใน SG",IF(ABS(J1952-L1952)&lt;0.005,"ตรงกัน","ไม่ตรง"))</f>
        <v/>
      </c>
      <c r="N1952" s="14">
        <f>IF(L1952="","",ROUND(L1952*'สรุป'!$C$6,-1))</f>
        <v/>
      </c>
      <c r="O1952" s="15" t="n"/>
      <c r="P1952" s="15" t="n"/>
      <c r="Q1952" s="10" t="n"/>
      <c r="R1952" s="10" t="n"/>
      <c r="S1952" s="16" t="inlineStr">
        <is>
          <t>https://mstgolf.co.th/products/gf2041200338</t>
        </is>
      </c>
      <c r="T1952" s="1">
        <f>IF(B1952="ไม้กอล์ฟ",J1952,"")</f>
        <v/>
      </c>
    </row>
    <row r="1953">
      <c r="A1953" s="1" t="n">
        <v>3</v>
      </c>
      <c r="B1953" s="1" t="inlineStr">
        <is>
          <t>เสื้อผ้า</t>
        </is>
      </c>
      <c r="C1953" s="1" t="inlineStr">
        <is>
          <t>gf2060101297</t>
        </is>
      </c>
      <c r="D1953" s="1" t="inlineStr">
        <is>
          <t>TAYLORMADE x PHANTACi Men's Hoodie (Black)</t>
        </is>
      </c>
      <c r="E1953" s="1" t="inlineStr">
        <is>
          <t>TAYLORMADE</t>
        </is>
      </c>
      <c r="F1953" s="1" t="inlineStr">
        <is>
          <t>TOP</t>
        </is>
      </c>
      <c r="G1953" s="1" t="inlineStr">
        <is>
          <t>GF2060101297S</t>
        </is>
      </c>
      <c r="H1953" s="1" t="n">
        <v>4</v>
      </c>
      <c r="I1953" s="1" t="inlineStr">
        <is>
          <t>มี</t>
        </is>
      </c>
      <c r="J1953" s="13" t="n">
        <v>189</v>
      </c>
      <c r="K1953" s="1" t="inlineStr"/>
      <c r="L1953" s="13" t="n">
        <v>189</v>
      </c>
      <c r="M1953" s="1">
        <f>IF(L1953="","ไม่พบใน SG",IF(ABS(J1953-L1953)&lt;0.005,"ตรงกัน","ไม่ตรง"))</f>
        <v/>
      </c>
      <c r="N1953" s="14">
        <f>IF(L1953="","",ROUND(L1953*'สรุป'!$C$6,-1))</f>
        <v/>
      </c>
      <c r="O1953" s="15" t="n"/>
      <c r="P1953" s="15" t="n"/>
      <c r="Q1953" s="10" t="n"/>
      <c r="R1953" s="10" t="n"/>
      <c r="S1953" s="16" t="inlineStr">
        <is>
          <t>https://mstgolf.co.th/products/gf2060101297</t>
        </is>
      </c>
      <c r="T1953" s="1">
        <f>IF(B1953="ไม้กอล์ฟ",J1953,"")</f>
        <v/>
      </c>
    </row>
    <row r="1954">
      <c r="A1954" s="1" t="n">
        <v>3</v>
      </c>
      <c r="B1954" s="1" t="inlineStr">
        <is>
          <t>เสื้อผ้า</t>
        </is>
      </c>
      <c r="C1954" s="1" t="inlineStr">
        <is>
          <t>gf2040119977</t>
        </is>
      </c>
      <c r="D1954" s="1" t="inlineStr">
        <is>
          <t>WAAC Color Block Palm Tree Men's Polo (Light Blue)</t>
        </is>
      </c>
      <c r="E1954" s="1" t="inlineStr">
        <is>
          <t>WAAC</t>
        </is>
      </c>
      <c r="F1954" s="1" t="inlineStr">
        <is>
          <t>SHORT SLEEVES</t>
        </is>
      </c>
      <c r="G1954" s="1" t="inlineStr">
        <is>
          <t>GF2040119977S</t>
        </is>
      </c>
      <c r="H1954" s="1" t="n">
        <v>5</v>
      </c>
      <c r="I1954" s="1" t="inlineStr">
        <is>
          <t>มี</t>
        </is>
      </c>
      <c r="J1954" s="13" t="n">
        <v>189</v>
      </c>
      <c r="K1954" s="1" t="inlineStr"/>
      <c r="L1954" s="13" t="n">
        <v>189</v>
      </c>
      <c r="M1954" s="1">
        <f>IF(L1954="","ไม่พบใน SG",IF(ABS(J1954-L1954)&lt;0.005,"ตรงกัน","ไม่ตรง"))</f>
        <v/>
      </c>
      <c r="N1954" s="14">
        <f>IF(L1954="","",ROUND(L1954*'สรุป'!$C$6,-1))</f>
        <v/>
      </c>
      <c r="O1954" s="15" t="n"/>
      <c r="P1954" s="15" t="n"/>
      <c r="Q1954" s="10" t="n"/>
      <c r="R1954" s="10" t="n"/>
      <c r="S1954" s="16" t="inlineStr">
        <is>
          <t>https://mstgolf.co.th/products/gf2040119977</t>
        </is>
      </c>
      <c r="T1954" s="1">
        <f>IF(B1954="ไม้กอล์ฟ",J1954,"")</f>
        <v/>
      </c>
    </row>
    <row r="1955">
      <c r="A1955" s="1" t="n">
        <v>3</v>
      </c>
      <c r="B1955" s="1" t="inlineStr">
        <is>
          <t>เสื้อผ้า</t>
        </is>
      </c>
      <c r="C1955" s="1" t="inlineStr">
        <is>
          <t>gf2060100996</t>
        </is>
      </c>
      <c r="D1955" s="1" t="inlineStr">
        <is>
          <t>FOOTJOY HydroLite Men's Jacket (Black/Grey/Lime)</t>
        </is>
      </c>
      <c r="E1955" s="1" t="inlineStr">
        <is>
          <t>FOOTJOY</t>
        </is>
      </c>
      <c r="F1955" s="1" t="inlineStr">
        <is>
          <t>TOP</t>
        </is>
      </c>
      <c r="G1955" s="1" t="inlineStr">
        <is>
          <t>GF2060100996S</t>
        </is>
      </c>
      <c r="H1955" s="1" t="n">
        <v>5</v>
      </c>
      <c r="I1955" s="1" t="inlineStr">
        <is>
          <t>มี</t>
        </is>
      </c>
      <c r="J1955" s="13" t="n">
        <v>187</v>
      </c>
      <c r="K1955" s="1" t="inlineStr"/>
      <c r="L1955" s="13" t="n">
        <v>187</v>
      </c>
      <c r="M1955" s="1">
        <f>IF(L1955="","ไม่พบใน SG",IF(ABS(J1955-L1955)&lt;0.005,"ตรงกัน","ไม่ตรง"))</f>
        <v/>
      </c>
      <c r="N1955" s="14">
        <f>IF(L1955="","",ROUND(L1955*'สรุป'!$C$6,-1))</f>
        <v/>
      </c>
      <c r="O1955" s="15" t="n"/>
      <c r="P1955" s="15" t="n"/>
      <c r="Q1955" s="10" t="n"/>
      <c r="R1955" s="10" t="n"/>
      <c r="S1955" s="16" t="inlineStr">
        <is>
          <t>https://mstgolf.co.th/products/gf2060100996</t>
        </is>
      </c>
      <c r="T1955" s="1">
        <f>IF(B1955="ไม้กอล์ฟ",J1955,"")</f>
        <v/>
      </c>
    </row>
    <row r="1956">
      <c r="A1956" s="1" t="n">
        <v>3</v>
      </c>
      <c r="B1956" s="1" t="inlineStr">
        <is>
          <t>เสื้อผ้า</t>
        </is>
      </c>
      <c r="C1956" s="1" t="inlineStr">
        <is>
          <t>gf2060100997</t>
        </is>
      </c>
      <c r="D1956" s="1" t="inlineStr">
        <is>
          <t>FOOTJOY HydroLite Men's Jacket (Navy/Red/White)</t>
        </is>
      </c>
      <c r="E1956" s="1" t="inlineStr">
        <is>
          <t>FOOTJOY</t>
        </is>
      </c>
      <c r="F1956" s="1" t="inlineStr">
        <is>
          <t>TOP</t>
        </is>
      </c>
      <c r="G1956" s="1" t="inlineStr">
        <is>
          <t>GF2060100997S</t>
        </is>
      </c>
      <c r="H1956" s="1" t="n">
        <v>5</v>
      </c>
      <c r="I1956" s="1" t="inlineStr">
        <is>
          <t>มี</t>
        </is>
      </c>
      <c r="J1956" s="13" t="n">
        <v>187</v>
      </c>
      <c r="K1956" s="1" t="inlineStr"/>
      <c r="L1956" s="13" t="n">
        <v>187</v>
      </c>
      <c r="M1956" s="1">
        <f>IF(L1956="","ไม่พบใน SG",IF(ABS(J1956-L1956)&lt;0.005,"ตรงกัน","ไม่ตรง"))</f>
        <v/>
      </c>
      <c r="N1956" s="14">
        <f>IF(L1956="","",ROUND(L1956*'สรุป'!$C$6,-1))</f>
        <v/>
      </c>
      <c r="O1956" s="15" t="n"/>
      <c r="P1956" s="15" t="n"/>
      <c r="Q1956" s="10" t="n"/>
      <c r="R1956" s="10" t="n"/>
      <c r="S1956" s="16" t="inlineStr">
        <is>
          <t>https://mstgolf.co.th/products/gf2060100997</t>
        </is>
      </c>
      <c r="T1956" s="1">
        <f>IF(B1956="ไม้กอล์ฟ",J1956,"")</f>
        <v/>
      </c>
    </row>
    <row r="1957">
      <c r="A1957" s="1" t="n">
        <v>3</v>
      </c>
      <c r="B1957" s="1" t="inlineStr">
        <is>
          <t>เสื้อผ้า</t>
        </is>
      </c>
      <c r="C1957" s="1" t="inlineStr">
        <is>
          <t>gf2040118262</t>
        </is>
      </c>
      <c r="D1957" s="1" t="inlineStr">
        <is>
          <t>BOSS GOLF Sea Line Men's T-Shirt (White)</t>
        </is>
      </c>
      <c r="E1957" s="1" t="inlineStr">
        <is>
          <t>BOSS GOLF</t>
        </is>
      </c>
      <c r="F1957" s="1" t="inlineStr">
        <is>
          <t>SHORT SLEEVES</t>
        </is>
      </c>
      <c r="G1957" s="1" t="inlineStr">
        <is>
          <t>GF2040118262M</t>
        </is>
      </c>
      <c r="H1957" s="1" t="n">
        <v>5</v>
      </c>
      <c r="I1957" s="1" t="inlineStr">
        <is>
          <t>มี</t>
        </is>
      </c>
      <c r="J1957" s="13" t="n">
        <v>185</v>
      </c>
      <c r="K1957" s="1" t="inlineStr"/>
      <c r="L1957" s="13" t="n"/>
      <c r="M1957" s="1">
        <f>IF(L1957="","ไม่พบใน SG",IF(ABS(J1957-L1957)&lt;0.005,"ตรงกัน","ไม่ตรง"))</f>
        <v/>
      </c>
      <c r="N1957" s="14">
        <f>IF(L1957="","",ROUND(L1957*'สรุป'!$C$6,-1))</f>
        <v/>
      </c>
      <c r="O1957" s="15" t="n"/>
      <c r="P1957" s="15" t="n"/>
      <c r="Q1957" s="10" t="n"/>
      <c r="R1957" s="10" t="n"/>
      <c r="S1957" s="16" t="inlineStr">
        <is>
          <t>https://mstgolf.co.th/products/gf2040118262</t>
        </is>
      </c>
      <c r="T1957" s="1">
        <f>IF(B1957="ไม้กอล์ฟ",J1957,"")</f>
        <v/>
      </c>
    </row>
    <row r="1958">
      <c r="A1958" s="1" t="n">
        <v>3</v>
      </c>
      <c r="B1958" s="1" t="inlineStr">
        <is>
          <t>เสื้อผ้า</t>
        </is>
      </c>
      <c r="C1958" s="1" t="inlineStr">
        <is>
          <t>gf2040118266</t>
        </is>
      </c>
      <c r="D1958" s="1" t="inlineStr">
        <is>
          <t>BOSS GOLF Signature Summer Women's Polo (Camel)</t>
        </is>
      </c>
      <c r="E1958" s="1" t="inlineStr">
        <is>
          <t>BOSS GOLF</t>
        </is>
      </c>
      <c r="F1958" s="1" t="inlineStr">
        <is>
          <t>SHORT SLEEVES</t>
        </is>
      </c>
      <c r="G1958" s="1" t="inlineStr">
        <is>
          <t>GF2040118266XS</t>
        </is>
      </c>
      <c r="H1958" s="1" t="n">
        <v>5</v>
      </c>
      <c r="I1958" s="1" t="inlineStr">
        <is>
          <t>มี</t>
        </is>
      </c>
      <c r="J1958" s="13" t="n">
        <v>185</v>
      </c>
      <c r="K1958" s="1" t="inlineStr"/>
      <c r="L1958" s="13" t="n"/>
      <c r="M1958" s="1">
        <f>IF(L1958="","ไม่พบใน SG",IF(ABS(J1958-L1958)&lt;0.005,"ตรงกัน","ไม่ตรง"))</f>
        <v/>
      </c>
      <c r="N1958" s="14">
        <f>IF(L1958="","",ROUND(L1958*'สรุป'!$C$6,-1))</f>
        <v/>
      </c>
      <c r="O1958" s="15" t="n"/>
      <c r="P1958" s="15" t="n"/>
      <c r="Q1958" s="10" t="n"/>
      <c r="R1958" s="10" t="n"/>
      <c r="S1958" s="16" t="inlineStr">
        <is>
          <t>https://mstgolf.co.th/products/gf2040118266</t>
        </is>
      </c>
      <c r="T1958" s="1">
        <f>IF(B1958="ไม้กอล์ฟ",J1958,"")</f>
        <v/>
      </c>
    </row>
    <row r="1959">
      <c r="A1959" s="1" t="n">
        <v>3</v>
      </c>
      <c r="B1959" s="1" t="inlineStr">
        <is>
          <t>เสื้อผ้า</t>
        </is>
      </c>
      <c r="C1959" s="1" t="inlineStr">
        <is>
          <t>gf2060101218</t>
        </is>
      </c>
      <c r="D1959" s="1" t="inlineStr">
        <is>
          <t>MALBON GOLF Expedition Buckets Men's Hoodie (Black)</t>
        </is>
      </c>
      <c r="E1959" s="1" t="inlineStr">
        <is>
          <t>MALBON GOLF</t>
        </is>
      </c>
      <c r="F1959" s="1" t="inlineStr">
        <is>
          <t>TOP</t>
        </is>
      </c>
      <c r="G1959" s="1" t="inlineStr">
        <is>
          <t>GF2060101218S</t>
        </is>
      </c>
      <c r="H1959" s="1" t="n">
        <v>4</v>
      </c>
      <c r="I1959" s="1" t="inlineStr">
        <is>
          <t>มี</t>
        </is>
      </c>
      <c r="J1959" s="13" t="n">
        <v>185</v>
      </c>
      <c r="K1959" s="1" t="inlineStr"/>
      <c r="L1959" s="13" t="n">
        <v>185</v>
      </c>
      <c r="M1959" s="1">
        <f>IF(L1959="","ไม่พบใน SG",IF(ABS(J1959-L1959)&lt;0.005,"ตรงกัน","ไม่ตรง"))</f>
        <v/>
      </c>
      <c r="N1959" s="14">
        <f>IF(L1959="","",ROUND(L1959*'สรุป'!$C$6,-1))</f>
        <v/>
      </c>
      <c r="O1959" s="15" t="n"/>
      <c r="P1959" s="15" t="n"/>
      <c r="Q1959" s="10" t="n"/>
      <c r="R1959" s="10" t="n"/>
      <c r="S1959" s="16" t="inlineStr">
        <is>
          <t>https://mstgolf.co.th/products/gf2060101218</t>
        </is>
      </c>
      <c r="T1959" s="1">
        <f>IF(B1959="ไม้กอล์ฟ",J1959,"")</f>
        <v/>
      </c>
    </row>
    <row r="1960">
      <c r="A1960" s="1" t="n">
        <v>3</v>
      </c>
      <c r="B1960" s="1" t="inlineStr">
        <is>
          <t>เสื้อผ้า</t>
        </is>
      </c>
      <c r="C1960" s="1" t="inlineStr">
        <is>
          <t>gf2040401395</t>
        </is>
      </c>
      <c r="D1960" s="1" t="inlineStr">
        <is>
          <t>WAAC Athletic Essential Collar Women's Long Sleeve Polo (Light Blue)</t>
        </is>
      </c>
      <c r="E1960" s="1" t="inlineStr">
        <is>
          <t>WAAC</t>
        </is>
      </c>
      <c r="F1960" s="1" t="inlineStr">
        <is>
          <t>LONG SLEEVES</t>
        </is>
      </c>
      <c r="G1960" s="1" t="inlineStr">
        <is>
          <t>GF2040401395XS</t>
        </is>
      </c>
      <c r="H1960" s="1" t="n">
        <v>6</v>
      </c>
      <c r="I1960" s="1" t="inlineStr">
        <is>
          <t>มี</t>
        </is>
      </c>
      <c r="J1960" s="13" t="n">
        <v>180</v>
      </c>
      <c r="K1960" s="1" t="inlineStr"/>
      <c r="L1960" s="13" t="n">
        <v>180</v>
      </c>
      <c r="M1960" s="1">
        <f>IF(L1960="","ไม่พบใน SG",IF(ABS(J1960-L1960)&lt;0.005,"ตรงกัน","ไม่ตรง"))</f>
        <v/>
      </c>
      <c r="N1960" s="14">
        <f>IF(L1960="","",ROUND(L1960*'สรุป'!$C$6,-1))</f>
        <v/>
      </c>
      <c r="O1960" s="15" t="n"/>
      <c r="P1960" s="15" t="n"/>
      <c r="Q1960" s="10" t="n"/>
      <c r="R1960" s="10" t="n"/>
      <c r="S1960" s="16" t="inlineStr">
        <is>
          <t>https://mstgolf.co.th/products/gf2040401395</t>
        </is>
      </c>
      <c r="T1960" s="1">
        <f>IF(B1960="ไม้กอล์ฟ",J1960,"")</f>
        <v/>
      </c>
    </row>
    <row r="1961">
      <c r="A1961" s="1" t="n">
        <v>3</v>
      </c>
      <c r="B1961" s="1" t="inlineStr">
        <is>
          <t>เสื้อผ้า</t>
        </is>
      </c>
      <c r="C1961" s="1" t="inlineStr">
        <is>
          <t>gf2020102652</t>
        </is>
      </c>
      <c r="D1961" s="1" t="inlineStr">
        <is>
          <t>ADIDAS Originals Twistweave Men's Pants (Indigo)</t>
        </is>
      </c>
      <c r="E1961" s="1" t="inlineStr">
        <is>
          <t>ADIDAS</t>
        </is>
      </c>
      <c r="F1961" s="1" t="inlineStr">
        <is>
          <t>LONG PANTS</t>
        </is>
      </c>
      <c r="G1961" s="1" t="inlineStr">
        <is>
          <t>GF202010265273</t>
        </is>
      </c>
      <c r="H1961" s="1" t="n">
        <v>8</v>
      </c>
      <c r="I1961" s="1" t="inlineStr">
        <is>
          <t>มี</t>
        </is>
      </c>
      <c r="J1961" s="13" t="n">
        <v>179</v>
      </c>
      <c r="K1961" s="1" t="inlineStr"/>
      <c r="L1961" s="13" t="n">
        <v>179</v>
      </c>
      <c r="M1961" s="1">
        <f>IF(L1961="","ไม่พบใน SG",IF(ABS(J1961-L1961)&lt;0.005,"ตรงกัน","ไม่ตรง"))</f>
        <v/>
      </c>
      <c r="N1961" s="14">
        <f>IF(L1961="","",ROUND(L1961*'สรุป'!$C$6,-1))</f>
        <v/>
      </c>
      <c r="O1961" s="15" t="n"/>
      <c r="P1961" s="15" t="n"/>
      <c r="Q1961" s="10" t="n"/>
      <c r="R1961" s="10" t="n"/>
      <c r="S1961" s="16" t="inlineStr">
        <is>
          <t>https://mstgolf.co.th/products/gf2020102652</t>
        </is>
      </c>
      <c r="T1961" s="1">
        <f>IF(B1961="ไม้กอล์ฟ",J1961,"")</f>
        <v/>
      </c>
    </row>
    <row r="1962">
      <c r="A1962" s="1" t="n">
        <v>3</v>
      </c>
      <c r="B1962" s="1" t="inlineStr">
        <is>
          <t>เสื้อผ้า</t>
        </is>
      </c>
      <c r="C1962" s="1" t="inlineStr">
        <is>
          <t>gf2020102651</t>
        </is>
      </c>
      <c r="D1962" s="1" t="inlineStr">
        <is>
          <t>ADIDAS Originals Twistweave Men's Pants (White)</t>
        </is>
      </c>
      <c r="E1962" s="1" t="inlineStr">
        <is>
          <t>ADIDAS</t>
        </is>
      </c>
      <c r="F1962" s="1" t="inlineStr">
        <is>
          <t>LONG PANTS</t>
        </is>
      </c>
      <c r="G1962" s="1" t="inlineStr">
        <is>
          <t>GF202010265173</t>
        </is>
      </c>
      <c r="H1962" s="1" t="n">
        <v>8</v>
      </c>
      <c r="I1962" s="1" t="inlineStr">
        <is>
          <t>มี</t>
        </is>
      </c>
      <c r="J1962" s="13" t="n">
        <v>179</v>
      </c>
      <c r="K1962" s="1" t="inlineStr"/>
      <c r="L1962" s="13" t="n">
        <v>179</v>
      </c>
      <c r="M1962" s="1">
        <f>IF(L1962="","ไม่พบใน SG",IF(ABS(J1962-L1962)&lt;0.005,"ตรงกัน","ไม่ตรง"))</f>
        <v/>
      </c>
      <c r="N1962" s="14">
        <f>IF(L1962="","",ROUND(L1962*'สรุป'!$C$6,-1))</f>
        <v/>
      </c>
      <c r="O1962" s="15" t="n"/>
      <c r="P1962" s="15" t="n"/>
      <c r="Q1962" s="10" t="n"/>
      <c r="R1962" s="10" t="n"/>
      <c r="S1962" s="16" t="inlineStr">
        <is>
          <t>https://mstgolf.co.th/products/gf2020102651</t>
        </is>
      </c>
      <c r="T1962" s="1">
        <f>IF(B1962="ไม้กอล์ฟ",J1962,"")</f>
        <v/>
      </c>
    </row>
    <row r="1963">
      <c r="A1963" s="1" t="n">
        <v>3</v>
      </c>
      <c r="B1963" s="1" t="inlineStr">
        <is>
          <t>หมวก</t>
        </is>
      </c>
      <c r="C1963" s="1" t="inlineStr">
        <is>
          <t>gf2000105458</t>
        </is>
      </c>
      <c r="D1963" s="1" t="inlineStr">
        <is>
          <t>GFORE Circle G's Ombre Crochet Women's Bucket Hat (Day Glow Pink)</t>
        </is>
      </c>
      <c r="E1963" s="1" t="inlineStr">
        <is>
          <t>GFORE</t>
        </is>
      </c>
      <c r="F1963" s="1" t="inlineStr">
        <is>
          <t>HAT</t>
        </is>
      </c>
      <c r="G1963" s="1" t="inlineStr">
        <is>
          <t>GF2000105458FS</t>
        </is>
      </c>
      <c r="H1963" s="1" t="n">
        <v>1</v>
      </c>
      <c r="I1963" s="1" t="inlineStr">
        <is>
          <t>มี</t>
        </is>
      </c>
      <c r="J1963" s="13" t="n">
        <v>179</v>
      </c>
      <c r="K1963" s="1" t="inlineStr"/>
      <c r="L1963" s="13" t="n">
        <v>179</v>
      </c>
      <c r="M1963" s="1">
        <f>IF(L1963="","ไม่พบใน SG",IF(ABS(J1963-L1963)&lt;0.005,"ตรงกัน","ไม่ตรง"))</f>
        <v/>
      </c>
      <c r="N1963" s="14">
        <f>IF(L1963="","",ROUND(L1963*'สรุป'!$C$6,-1))</f>
        <v/>
      </c>
      <c r="O1963" s="15" t="n"/>
      <c r="P1963" s="15" t="n"/>
      <c r="Q1963" s="10" t="n"/>
      <c r="R1963" s="10" t="n"/>
      <c r="S1963" s="16" t="inlineStr">
        <is>
          <t>https://mstgolf.co.th/products/gf2000105458</t>
        </is>
      </c>
      <c r="T1963" s="1">
        <f>IF(B1963="ไม้กอล์ฟ",J1963,"")</f>
        <v/>
      </c>
    </row>
    <row r="1964">
      <c r="A1964" s="1" t="n">
        <v>3</v>
      </c>
      <c r="B1964" s="1" t="inlineStr">
        <is>
          <t>เสื้อผ้า</t>
        </is>
      </c>
      <c r="C1964" s="1" t="inlineStr">
        <is>
          <t>gf2060100920</t>
        </is>
      </c>
      <c r="D1964" s="1" t="inlineStr">
        <is>
          <t>TAYLORMADE Basic Women's Rain Suit (Black)</t>
        </is>
      </c>
      <c r="E1964" s="1" t="inlineStr">
        <is>
          <t>TAYLORMADE</t>
        </is>
      </c>
      <c r="F1964" s="1" t="inlineStr">
        <is>
          <t>TOP</t>
        </is>
      </c>
      <c r="G1964" s="1" t="inlineStr">
        <is>
          <t>GF2060100920S</t>
        </is>
      </c>
      <c r="H1964" s="1" t="n">
        <v>3</v>
      </c>
      <c r="I1964" s="1" t="inlineStr">
        <is>
          <t>มี</t>
        </is>
      </c>
      <c r="J1964" s="13" t="n">
        <v>179</v>
      </c>
      <c r="K1964" s="1" t="inlineStr"/>
      <c r="L1964" s="13" t="n">
        <v>179</v>
      </c>
      <c r="M1964" s="1">
        <f>IF(L1964="","ไม่พบใน SG",IF(ABS(J1964-L1964)&lt;0.005,"ตรงกัน","ไม่ตรง"))</f>
        <v/>
      </c>
      <c r="N1964" s="14">
        <f>IF(L1964="","",ROUND(L1964*'สรุป'!$C$6,-1))</f>
        <v/>
      </c>
      <c r="O1964" s="15" t="n"/>
      <c r="P1964" s="15" t="n"/>
      <c r="Q1964" s="10" t="n"/>
      <c r="R1964" s="10" t="n"/>
      <c r="S1964" s="16" t="inlineStr">
        <is>
          <t>https://mstgolf.co.th/products/gf2060100920</t>
        </is>
      </c>
      <c r="T1964" s="1">
        <f>IF(B1964="ไม้กอล์ฟ",J1964,"")</f>
        <v/>
      </c>
    </row>
    <row r="1965">
      <c r="A1965" s="1" t="n">
        <v>3</v>
      </c>
      <c r="B1965" s="1" t="inlineStr">
        <is>
          <t>เสื้อผ้า</t>
        </is>
      </c>
      <c r="C1965" s="1" t="inlineStr">
        <is>
          <t>gf2060100957</t>
        </is>
      </c>
      <c r="D1965" s="1" t="inlineStr">
        <is>
          <t>TAYLORMADE Sweat Track Women's Jacket (White)</t>
        </is>
      </c>
      <c r="E1965" s="1" t="inlineStr">
        <is>
          <t>TAYLORMADE</t>
        </is>
      </c>
      <c r="F1965" s="1" t="inlineStr">
        <is>
          <t>TOP</t>
        </is>
      </c>
      <c r="G1965" s="1" t="inlineStr">
        <is>
          <t>GF2060100957S</t>
        </is>
      </c>
      <c r="H1965" s="1" t="n">
        <v>5</v>
      </c>
      <c r="I1965" s="1" t="inlineStr">
        <is>
          <t>มี</t>
        </is>
      </c>
      <c r="J1965" s="13" t="n">
        <v>179</v>
      </c>
      <c r="K1965" s="1" t="inlineStr"/>
      <c r="L1965" s="13" t="n">
        <v>179</v>
      </c>
      <c r="M1965" s="1">
        <f>IF(L1965="","ไม่พบใน SG",IF(ABS(J1965-L1965)&lt;0.005,"ตรงกัน","ไม่ตรง"))</f>
        <v/>
      </c>
      <c r="N1965" s="14">
        <f>IF(L1965="","",ROUND(L1965*'สรุป'!$C$6,-1))</f>
        <v/>
      </c>
      <c r="O1965" s="15" t="n"/>
      <c r="P1965" s="15" t="n"/>
      <c r="Q1965" s="10" t="n"/>
      <c r="R1965" s="10" t="n"/>
      <c r="S1965" s="16" t="inlineStr">
        <is>
          <t>https://mstgolf.co.th/products/gf2060100957</t>
        </is>
      </c>
      <c r="T1965" s="1">
        <f>IF(B1965="ไม้กอล์ฟ",J1965,"")</f>
        <v/>
      </c>
    </row>
    <row r="1966">
      <c r="A1966" s="1" t="n">
        <v>3</v>
      </c>
      <c r="B1966" s="1" t="inlineStr">
        <is>
          <t>เสื้อผ้า</t>
        </is>
      </c>
      <c r="C1966" s="1" t="inlineStr">
        <is>
          <t>gf2020202449</t>
        </is>
      </c>
      <c r="D1966" s="1" t="inlineStr">
        <is>
          <t>WAAC Korea Cool Men's Shorts (White)</t>
        </is>
      </c>
      <c r="E1966" s="1" t="inlineStr">
        <is>
          <t>WAAC</t>
        </is>
      </c>
      <c r="F1966" s="1" t="inlineStr">
        <is>
          <t>SHORT PANTS</t>
        </is>
      </c>
      <c r="G1966" s="1" t="inlineStr">
        <is>
          <t>GF202020244928</t>
        </is>
      </c>
      <c r="H1966" s="1" t="n">
        <v>5</v>
      </c>
      <c r="I1966" s="1" t="inlineStr">
        <is>
          <t>มี</t>
        </is>
      </c>
      <c r="J1966" s="13" t="n">
        <v>179</v>
      </c>
      <c r="K1966" s="1" t="inlineStr"/>
      <c r="L1966" s="13" t="n">
        <v>179</v>
      </c>
      <c r="M1966" s="1">
        <f>IF(L1966="","ไม่พบใน SG",IF(ABS(J1966-L1966)&lt;0.005,"ตรงกัน","ไม่ตรง"))</f>
        <v/>
      </c>
      <c r="N1966" s="14">
        <f>IF(L1966="","",ROUND(L1966*'สรุป'!$C$6,-1))</f>
        <v/>
      </c>
      <c r="O1966" s="15" t="n"/>
      <c r="P1966" s="15" t="n"/>
      <c r="Q1966" s="10" t="n"/>
      <c r="R1966" s="10" t="n"/>
      <c r="S1966" s="16" t="inlineStr">
        <is>
          <t>https://mstgolf.co.th/products/gf2020202449</t>
        </is>
      </c>
      <c r="T1966" s="1">
        <f>IF(B1966="ไม้กอล์ฟ",J1966,"")</f>
        <v/>
      </c>
    </row>
    <row r="1967">
      <c r="A1967" s="1" t="n">
        <v>3</v>
      </c>
      <c r="B1967" s="1" t="inlineStr">
        <is>
          <t>เสื้อผ้า</t>
        </is>
      </c>
      <c r="C1967" s="1" t="inlineStr">
        <is>
          <t>gf2040118037</t>
        </is>
      </c>
      <c r="D1967" s="1" t="inlineStr">
        <is>
          <t>WAAC Korea Knit Women's Polo (Black)</t>
        </is>
      </c>
      <c r="E1967" s="1" t="inlineStr">
        <is>
          <t>WAAC</t>
        </is>
      </c>
      <c r="F1967" s="1" t="inlineStr">
        <is>
          <t>SHORT SLEEVES</t>
        </is>
      </c>
      <c r="G1967" s="1" t="inlineStr">
        <is>
          <t>GF2040118037XS</t>
        </is>
      </c>
      <c r="H1967" s="1" t="n">
        <v>6</v>
      </c>
      <c r="I1967" s="1" t="inlineStr">
        <is>
          <t>มี</t>
        </is>
      </c>
      <c r="J1967" s="13" t="n">
        <v>179</v>
      </c>
      <c r="K1967" s="1" t="inlineStr"/>
      <c r="L1967" s="13" t="n">
        <v>179</v>
      </c>
      <c r="M1967" s="1">
        <f>IF(L1967="","ไม่พบใน SG",IF(ABS(J1967-L1967)&lt;0.005,"ตรงกัน","ไม่ตรง"))</f>
        <v/>
      </c>
      <c r="N1967" s="14">
        <f>IF(L1967="","",ROUND(L1967*'สรุป'!$C$6,-1))</f>
        <v/>
      </c>
      <c r="O1967" s="15" t="n"/>
      <c r="P1967" s="15" t="n"/>
      <c r="Q1967" s="10" t="n"/>
      <c r="R1967" s="10" t="n"/>
      <c r="S1967" s="16" t="inlineStr">
        <is>
          <t>https://mstgolf.co.th/products/gf2040118037</t>
        </is>
      </c>
      <c r="T1967" s="1">
        <f>IF(B1967="ไม้กอล์ฟ",J1967,"")</f>
        <v/>
      </c>
    </row>
    <row r="1968">
      <c r="A1968" s="1" t="n">
        <v>3</v>
      </c>
      <c r="B1968" s="1" t="inlineStr">
        <is>
          <t>เสื้อผ้า</t>
        </is>
      </c>
      <c r="C1968" s="1" t="inlineStr">
        <is>
          <t>gf2040118002</t>
        </is>
      </c>
      <c r="D1968" s="1" t="inlineStr">
        <is>
          <t>WAAC Korea Player's Edition Arrow Print Men's Polo (Black)</t>
        </is>
      </c>
      <c r="E1968" s="1" t="inlineStr">
        <is>
          <t>WAAC</t>
        </is>
      </c>
      <c r="F1968" s="1" t="inlineStr">
        <is>
          <t>SHORT SLEEVES</t>
        </is>
      </c>
      <c r="G1968" s="1" t="inlineStr">
        <is>
          <t>GF2040118002S</t>
        </is>
      </c>
      <c r="H1968" s="1" t="n">
        <v>5</v>
      </c>
      <c r="I1968" s="1" t="inlineStr">
        <is>
          <t>มี</t>
        </is>
      </c>
      <c r="J1968" s="13" t="n">
        <v>179</v>
      </c>
      <c r="K1968" s="1" t="inlineStr"/>
      <c r="L1968" s="13" t="n">
        <v>179</v>
      </c>
      <c r="M1968" s="1">
        <f>IF(L1968="","ไม่พบใน SG",IF(ABS(J1968-L1968)&lt;0.005,"ตรงกัน","ไม่ตรง"))</f>
        <v/>
      </c>
      <c r="N1968" s="14">
        <f>IF(L1968="","",ROUND(L1968*'สรุป'!$C$6,-1))</f>
        <v/>
      </c>
      <c r="O1968" s="15" t="n"/>
      <c r="P1968" s="15" t="n"/>
      <c r="Q1968" s="10" t="n"/>
      <c r="R1968" s="10" t="n"/>
      <c r="S1968" s="16" t="inlineStr">
        <is>
          <t>https://mstgolf.co.th/products/gf2040118002</t>
        </is>
      </c>
      <c r="T1968" s="1">
        <f>IF(B1968="ไม้กอล์ฟ",J1968,"")</f>
        <v/>
      </c>
    </row>
    <row r="1969">
      <c r="A1969" s="1" t="n">
        <v>3</v>
      </c>
      <c r="B1969" s="1" t="inlineStr">
        <is>
          <t>เสื้อผ้า</t>
        </is>
      </c>
      <c r="C1969" s="1" t="inlineStr">
        <is>
          <t>gf2040118003</t>
        </is>
      </c>
      <c r="D1969" s="1" t="inlineStr">
        <is>
          <t>WAAC Korea Player's Edition Arrow Print Men's Polo (Orange)</t>
        </is>
      </c>
      <c r="E1969" s="1" t="inlineStr">
        <is>
          <t>WAAC</t>
        </is>
      </c>
      <c r="F1969" s="1" t="inlineStr">
        <is>
          <t>SHORT SLEEVES</t>
        </is>
      </c>
      <c r="G1969" s="1" t="inlineStr">
        <is>
          <t>GF2040118003S</t>
        </is>
      </c>
      <c r="H1969" s="1" t="n">
        <v>5</v>
      </c>
      <c r="I1969" s="1" t="inlineStr">
        <is>
          <t>มี</t>
        </is>
      </c>
      <c r="J1969" s="13" t="n">
        <v>179</v>
      </c>
      <c r="K1969" s="1" t="inlineStr"/>
      <c r="L1969" s="13" t="n">
        <v>179</v>
      </c>
      <c r="M1969" s="1">
        <f>IF(L1969="","ไม่พบใน SG",IF(ABS(J1969-L1969)&lt;0.005,"ตรงกัน","ไม่ตรง"))</f>
        <v/>
      </c>
      <c r="N1969" s="14">
        <f>IF(L1969="","",ROUND(L1969*'สรุป'!$C$6,-1))</f>
        <v/>
      </c>
      <c r="O1969" s="15" t="n"/>
      <c r="P1969" s="15" t="n"/>
      <c r="Q1969" s="10" t="n"/>
      <c r="R1969" s="10" t="n"/>
      <c r="S1969" s="16" t="inlineStr">
        <is>
          <t>https://mstgolf.co.th/products/gf2040118003</t>
        </is>
      </c>
      <c r="T1969" s="1">
        <f>IF(B1969="ไม้กอล์ฟ",J1969,"")</f>
        <v/>
      </c>
    </row>
    <row r="1970">
      <c r="A1970" s="1" t="n">
        <v>3</v>
      </c>
      <c r="B1970" s="1" t="inlineStr">
        <is>
          <t>เสื้อผ้า</t>
        </is>
      </c>
      <c r="C1970" s="1" t="inlineStr">
        <is>
          <t>gf2040401201</t>
        </is>
      </c>
      <c r="D1970" s="1" t="inlineStr">
        <is>
          <t>WAAC Korea Player's Edition Cool Men's Long Sleeve Polo (White)</t>
        </is>
      </c>
      <c r="E1970" s="1" t="inlineStr">
        <is>
          <t>WAAC</t>
        </is>
      </c>
      <c r="F1970" s="1" t="inlineStr">
        <is>
          <t>LONG SLEEVES</t>
        </is>
      </c>
      <c r="G1970" s="1" t="inlineStr">
        <is>
          <t>GF2040401201S</t>
        </is>
      </c>
      <c r="H1970" s="1" t="n">
        <v>5</v>
      </c>
      <c r="I1970" s="1" t="inlineStr">
        <is>
          <t>มี</t>
        </is>
      </c>
      <c r="J1970" s="13" t="n">
        <v>179</v>
      </c>
      <c r="K1970" s="1" t="inlineStr"/>
      <c r="L1970" s="13" t="n">
        <v>179</v>
      </c>
      <c r="M1970" s="1">
        <f>IF(L1970="","ไม่พบใน SG",IF(ABS(J1970-L1970)&lt;0.005,"ตรงกัน","ไม่ตรง"))</f>
        <v/>
      </c>
      <c r="N1970" s="14">
        <f>IF(L1970="","",ROUND(L1970*'สรุป'!$C$6,-1))</f>
        <v/>
      </c>
      <c r="O1970" s="15" t="n"/>
      <c r="P1970" s="15" t="n"/>
      <c r="Q1970" s="10" t="n"/>
      <c r="R1970" s="10" t="n"/>
      <c r="S1970" s="16" t="inlineStr">
        <is>
          <t>https://mstgolf.co.th/products/gf2040401201</t>
        </is>
      </c>
      <c r="T1970" s="1">
        <f>IF(B1970="ไม้กอล์ฟ",J1970,"")</f>
        <v/>
      </c>
    </row>
    <row r="1971">
      <c r="A1971" s="1" t="n">
        <v>3</v>
      </c>
      <c r="B1971" s="1" t="inlineStr">
        <is>
          <t>เสื้อผ้า</t>
        </is>
      </c>
      <c r="C1971" s="1" t="inlineStr">
        <is>
          <t>gf2040118009</t>
        </is>
      </c>
      <c r="D1971" s="1" t="inlineStr">
        <is>
          <t>WAAC Korea Sailor Pique Men's Polo (White/Yellow)</t>
        </is>
      </c>
      <c r="E1971" s="1" t="inlineStr">
        <is>
          <t>WAAC</t>
        </is>
      </c>
      <c r="F1971" s="1" t="inlineStr">
        <is>
          <t>SHORT SLEEVES</t>
        </is>
      </c>
      <c r="G1971" s="1" t="inlineStr">
        <is>
          <t>GF2040118009S</t>
        </is>
      </c>
      <c r="H1971" s="1" t="n">
        <v>5</v>
      </c>
      <c r="I1971" s="1" t="inlineStr">
        <is>
          <t>มี</t>
        </is>
      </c>
      <c r="J1971" s="13" t="n">
        <v>179</v>
      </c>
      <c r="K1971" s="1" t="inlineStr"/>
      <c r="L1971" s="13" t="n">
        <v>179</v>
      </c>
      <c r="M1971" s="1">
        <f>IF(L1971="","ไม่พบใน SG",IF(ABS(J1971-L1971)&lt;0.005,"ตรงกัน","ไม่ตรง"))</f>
        <v/>
      </c>
      <c r="N1971" s="14">
        <f>IF(L1971="","",ROUND(L1971*'สรุป'!$C$6,-1))</f>
        <v/>
      </c>
      <c r="O1971" s="15" t="n"/>
      <c r="P1971" s="15" t="n"/>
      <c r="Q1971" s="10" t="n"/>
      <c r="R1971" s="10" t="n"/>
      <c r="S1971" s="16" t="inlineStr">
        <is>
          <t>https://mstgolf.co.th/products/gf2040118009</t>
        </is>
      </c>
      <c r="T1971" s="1">
        <f>IF(B1971="ไม้กอล์ฟ",J1971,"")</f>
        <v/>
      </c>
    </row>
    <row r="1972">
      <c r="A1972" s="1" t="n">
        <v>3</v>
      </c>
      <c r="B1972" s="1" t="inlineStr">
        <is>
          <t>เสื้อผ้า</t>
        </is>
      </c>
      <c r="C1972" s="1" t="inlineStr">
        <is>
          <t>gf2040118008</t>
        </is>
      </c>
      <c r="D1972" s="1" t="inlineStr">
        <is>
          <t>WAAC Korea Vertical Print Men's Polo (Green)</t>
        </is>
      </c>
      <c r="E1972" s="1" t="inlineStr">
        <is>
          <t>WAAC</t>
        </is>
      </c>
      <c r="F1972" s="1" t="inlineStr">
        <is>
          <t>SHORT SLEEVES</t>
        </is>
      </c>
      <c r="G1972" s="1" t="inlineStr">
        <is>
          <t>GF2040118008S</t>
        </is>
      </c>
      <c r="H1972" s="1" t="n">
        <v>5</v>
      </c>
      <c r="I1972" s="1" t="inlineStr">
        <is>
          <t>มี</t>
        </is>
      </c>
      <c r="J1972" s="13" t="n">
        <v>179</v>
      </c>
      <c r="K1972" s="1" t="inlineStr"/>
      <c r="L1972" s="13" t="n">
        <v>179</v>
      </c>
      <c r="M1972" s="1">
        <f>IF(L1972="","ไม่พบใน SG",IF(ABS(J1972-L1972)&lt;0.005,"ตรงกัน","ไม่ตรง"))</f>
        <v/>
      </c>
      <c r="N1972" s="14">
        <f>IF(L1972="","",ROUND(L1972*'สรุป'!$C$6,-1))</f>
        <v/>
      </c>
      <c r="O1972" s="15" t="n"/>
      <c r="P1972" s="15" t="n"/>
      <c r="Q1972" s="10" t="n"/>
      <c r="R1972" s="10" t="n"/>
      <c r="S1972" s="16" t="inlineStr">
        <is>
          <t>https://mstgolf.co.th/products/gf2040118008</t>
        </is>
      </c>
      <c r="T1972" s="1">
        <f>IF(B1972="ไม้กอล์ฟ",J1972,"")</f>
        <v/>
      </c>
    </row>
    <row r="1973">
      <c r="A1973" s="1" t="n">
        <v>3</v>
      </c>
      <c r="B1973" s="1" t="inlineStr">
        <is>
          <t>เสื้อผ้า</t>
        </is>
      </c>
      <c r="C1973" s="1" t="inlineStr">
        <is>
          <t>gf2040118025</t>
        </is>
      </c>
      <c r="D1973" s="1" t="inlineStr">
        <is>
          <t>WAAC Korea Women's 2-Way Collar Woven Half Zip Pullover (White)</t>
        </is>
      </c>
      <c r="E1973" s="1" t="inlineStr">
        <is>
          <t>WAAC</t>
        </is>
      </c>
      <c r="F1973" s="1" t="inlineStr">
        <is>
          <t>SHORT SLEEVES</t>
        </is>
      </c>
      <c r="G1973" s="1" t="inlineStr">
        <is>
          <t>GF2040118025XS</t>
        </is>
      </c>
      <c r="H1973" s="1" t="n">
        <v>6</v>
      </c>
      <c r="I1973" s="1" t="inlineStr">
        <is>
          <t>มี</t>
        </is>
      </c>
      <c r="J1973" s="13" t="n">
        <v>179</v>
      </c>
      <c r="K1973" s="1" t="inlineStr"/>
      <c r="L1973" s="13" t="n">
        <v>179</v>
      </c>
      <c r="M1973" s="1">
        <f>IF(L1973="","ไม่พบใน SG",IF(ABS(J1973-L1973)&lt;0.005,"ตรงกัน","ไม่ตรง"))</f>
        <v/>
      </c>
      <c r="N1973" s="14">
        <f>IF(L1973="","",ROUND(L1973*'สรุป'!$C$6,-1))</f>
        <v/>
      </c>
      <c r="O1973" s="15" t="n"/>
      <c r="P1973" s="15" t="n"/>
      <c r="Q1973" s="10" t="n"/>
      <c r="R1973" s="10" t="n"/>
      <c r="S1973" s="16" t="inlineStr">
        <is>
          <t>https://mstgolf.co.th/products/gf2040118025</t>
        </is>
      </c>
      <c r="T1973" s="1">
        <f>IF(B1973="ไม้กอล์ฟ",J1973,"")</f>
        <v/>
      </c>
    </row>
    <row r="1974">
      <c r="A1974" s="1" t="n">
        <v>3</v>
      </c>
      <c r="B1974" s="1" t="inlineStr">
        <is>
          <t>เสื้อผ้า</t>
        </is>
      </c>
      <c r="C1974" s="1" t="inlineStr">
        <is>
          <t>gf2020102213</t>
        </is>
      </c>
      <c r="D1974" s="1" t="inlineStr">
        <is>
          <t>GFORE Side Stripe Women's Pants (Stone)</t>
        </is>
      </c>
      <c r="E1974" s="1" t="inlineStr">
        <is>
          <t>GFORE</t>
        </is>
      </c>
      <c r="F1974" s="1" t="inlineStr">
        <is>
          <t>LONG PANTS</t>
        </is>
      </c>
      <c r="G1974" s="1" t="inlineStr">
        <is>
          <t>GF20201022130</t>
        </is>
      </c>
      <c r="H1974" s="1" t="n">
        <v>7</v>
      </c>
      <c r="I1974" s="1" t="inlineStr">
        <is>
          <t>มี</t>
        </is>
      </c>
      <c r="J1974" s="13" t="n">
        <v>175</v>
      </c>
      <c r="K1974" s="1" t="inlineStr"/>
      <c r="L1974" s="13" t="n">
        <v>175</v>
      </c>
      <c r="M1974" s="1">
        <f>IF(L1974="","ไม่พบใน SG",IF(ABS(J1974-L1974)&lt;0.005,"ตรงกัน","ไม่ตรง"))</f>
        <v/>
      </c>
      <c r="N1974" s="14">
        <f>IF(L1974="","",ROUND(L1974*'สรุป'!$C$6,-1))</f>
        <v/>
      </c>
      <c r="O1974" s="15" t="n"/>
      <c r="P1974" s="15" t="n"/>
      <c r="Q1974" s="10" t="n"/>
      <c r="R1974" s="10" t="n"/>
      <c r="S1974" s="16" t="inlineStr">
        <is>
          <t>https://mstgolf.co.th/products/gf2020102213</t>
        </is>
      </c>
      <c r="T1974" s="1">
        <f>IF(B1974="ไม้กอล์ฟ",J1974,"")</f>
        <v/>
      </c>
    </row>
    <row r="1975">
      <c r="A1975" s="1" t="n">
        <v>3</v>
      </c>
      <c r="B1975" s="1" t="inlineStr">
        <is>
          <t>เสื้อผ้า</t>
        </is>
      </c>
      <c r="C1975" s="1" t="inlineStr">
        <is>
          <t>gf2040119698</t>
        </is>
      </c>
      <c r="D1975" s="1" t="inlineStr">
        <is>
          <t>PETER MILLAR Albatross Cotton-Blend Men's Performance Polo (Orange)</t>
        </is>
      </c>
      <c r="E1975" s="1" t="inlineStr">
        <is>
          <t>PETER MILLAR</t>
        </is>
      </c>
      <c r="F1975" s="1" t="inlineStr">
        <is>
          <t>SHORT SLEEVES</t>
        </is>
      </c>
      <c r="G1975" s="1" t="inlineStr">
        <is>
          <t>GF2040119698S</t>
        </is>
      </c>
      <c r="H1975" s="1" t="n">
        <v>5</v>
      </c>
      <c r="I1975" s="1" t="inlineStr">
        <is>
          <t>มี</t>
        </is>
      </c>
      <c r="J1975" s="13" t="n">
        <v>175</v>
      </c>
      <c r="K1975" s="1" t="inlineStr"/>
      <c r="L1975" s="13" t="n">
        <v>175</v>
      </c>
      <c r="M1975" s="1">
        <f>IF(L1975="","ไม่พบใน SG",IF(ABS(J1975-L1975)&lt;0.005,"ตรงกัน","ไม่ตรง"))</f>
        <v/>
      </c>
      <c r="N1975" s="14">
        <f>IF(L1975="","",ROUND(L1975*'สรุป'!$C$6,-1))</f>
        <v/>
      </c>
      <c r="O1975" s="15" t="n"/>
      <c r="P1975" s="15" t="n"/>
      <c r="Q1975" s="10" t="n"/>
      <c r="R1975" s="10" t="n"/>
      <c r="S1975" s="16" t="inlineStr">
        <is>
          <t>https://mstgolf.co.th/products/gf2040119698</t>
        </is>
      </c>
      <c r="T1975" s="1">
        <f>IF(B1975="ไม้กอล์ฟ",J1975,"")</f>
        <v/>
      </c>
    </row>
    <row r="1976">
      <c r="A1976" s="1" t="n">
        <v>3</v>
      </c>
      <c r="B1976" s="1" t="inlineStr">
        <is>
          <t>อุปกรณ์เสริม</t>
        </is>
      </c>
      <c r="C1976" s="1" t="inlineStr">
        <is>
          <t>gf2080100898</t>
        </is>
      </c>
      <c r="D1976" s="1" t="inlineStr">
        <is>
          <t>PETER MILLAR Crown Reversible Leather Men's Belt (Black/Brown)</t>
        </is>
      </c>
      <c r="E1976" s="1" t="inlineStr">
        <is>
          <t>PETER MILLAR</t>
        </is>
      </c>
      <c r="F1976" s="1" t="inlineStr">
        <is>
          <t>BELT</t>
        </is>
      </c>
      <c r="G1976" s="1" t="inlineStr">
        <is>
          <t>GF208010089830</t>
        </is>
      </c>
      <c r="H1976" s="1" t="n">
        <v>6</v>
      </c>
      <c r="I1976" s="1" t="inlineStr">
        <is>
          <t>มี</t>
        </is>
      </c>
      <c r="J1976" s="13" t="n">
        <v>175</v>
      </c>
      <c r="K1976" s="1" t="inlineStr"/>
      <c r="L1976" s="13" t="n">
        <v>175</v>
      </c>
      <c r="M1976" s="1">
        <f>IF(L1976="","ไม่พบใน SG",IF(ABS(J1976-L1976)&lt;0.005,"ตรงกัน","ไม่ตรง"))</f>
        <v/>
      </c>
      <c r="N1976" s="14">
        <f>IF(L1976="","",ROUND(L1976*'สรุป'!$C$6,-1))</f>
        <v/>
      </c>
      <c r="O1976" s="15" t="n"/>
      <c r="P1976" s="15" t="n"/>
      <c r="Q1976" s="10" t="n"/>
      <c r="R1976" s="10" t="n"/>
      <c r="S1976" s="16" t="inlineStr">
        <is>
          <t>https://mstgolf.co.th/products/gf2080100898</t>
        </is>
      </c>
      <c r="T1976" s="1">
        <f>IF(B1976="ไม้กอล์ฟ",J1976,"")</f>
        <v/>
      </c>
    </row>
    <row r="1977">
      <c r="A1977" s="1" t="n">
        <v>3</v>
      </c>
      <c r="B1977" s="1" t="inlineStr">
        <is>
          <t>เสื้อผ้า</t>
        </is>
      </c>
      <c r="C1977" s="1" t="inlineStr">
        <is>
          <t>gf2040119765</t>
        </is>
      </c>
      <c r="D1977" s="1" t="inlineStr">
        <is>
          <t>PETER MILLAR Journeyman Men's Polo (Ocean Blue)</t>
        </is>
      </c>
      <c r="E1977" s="1" t="inlineStr">
        <is>
          <t>PETER MILLAR</t>
        </is>
      </c>
      <c r="F1977" s="1" t="inlineStr">
        <is>
          <t>SHORT SLEEVES</t>
        </is>
      </c>
      <c r="G1977" s="1" t="inlineStr">
        <is>
          <t>GF2040119765S</t>
        </is>
      </c>
      <c r="H1977" s="1" t="n">
        <v>5</v>
      </c>
      <c r="I1977" s="1" t="inlineStr">
        <is>
          <t>มี</t>
        </is>
      </c>
      <c r="J1977" s="13" t="n">
        <v>175</v>
      </c>
      <c r="K1977" s="1" t="inlineStr"/>
      <c r="L1977" s="13" t="n">
        <v>175</v>
      </c>
      <c r="M1977" s="1">
        <f>IF(L1977="","ไม่พบใน SG",IF(ABS(J1977-L1977)&lt;0.005,"ตรงกัน","ไม่ตรง"))</f>
        <v/>
      </c>
      <c r="N1977" s="14">
        <f>IF(L1977="","",ROUND(L1977*'สรุป'!$C$6,-1))</f>
        <v/>
      </c>
      <c r="O1977" s="15" t="n"/>
      <c r="P1977" s="15" t="n"/>
      <c r="Q1977" s="10" t="n"/>
      <c r="R1977" s="10" t="n"/>
      <c r="S1977" s="16" t="inlineStr">
        <is>
          <t>https://mstgolf.co.th/products/gf2040119765</t>
        </is>
      </c>
      <c r="T1977" s="1">
        <f>IF(B1977="ไม้กอล์ฟ",J1977,"")</f>
        <v/>
      </c>
    </row>
    <row r="1978">
      <c r="A1978" s="1" t="n">
        <v>3</v>
      </c>
      <c r="B1978" s="1" t="inlineStr">
        <is>
          <t>เสื้อผ้า</t>
        </is>
      </c>
      <c r="C1978" s="1" t="inlineStr">
        <is>
          <t>gf2040119764</t>
        </is>
      </c>
      <c r="D1978" s="1" t="inlineStr">
        <is>
          <t>PETER MILLAR Journeyman Stripe Men's Polo (Pink Crepe)</t>
        </is>
      </c>
      <c r="E1978" s="1" t="inlineStr">
        <is>
          <t>PETER MILLAR</t>
        </is>
      </c>
      <c r="F1978" s="1" t="inlineStr">
        <is>
          <t>SHORT SLEEVES</t>
        </is>
      </c>
      <c r="G1978" s="1" t="inlineStr">
        <is>
          <t>GF2040119764S</t>
        </is>
      </c>
      <c r="H1978" s="1" t="n">
        <v>5</v>
      </c>
      <c r="I1978" s="1" t="inlineStr">
        <is>
          <t>มี</t>
        </is>
      </c>
      <c r="J1978" s="13" t="n">
        <v>175</v>
      </c>
      <c r="K1978" s="1" t="inlineStr"/>
      <c r="L1978" s="13" t="n">
        <v>175</v>
      </c>
      <c r="M1978" s="1">
        <f>IF(L1978="","ไม่พบใน SG",IF(ABS(J1978-L1978)&lt;0.005,"ตรงกัน","ไม่ตรง"))</f>
        <v/>
      </c>
      <c r="N1978" s="14">
        <f>IF(L1978="","",ROUND(L1978*'สรุป'!$C$6,-1))</f>
        <v/>
      </c>
      <c r="O1978" s="15" t="n"/>
      <c r="P1978" s="15" t="n"/>
      <c r="Q1978" s="10" t="n"/>
      <c r="R1978" s="10" t="n"/>
      <c r="S1978" s="16" t="inlineStr">
        <is>
          <t>https://mstgolf.co.th/products/gf2040119764</t>
        </is>
      </c>
      <c r="T1978" s="1">
        <f>IF(B1978="ไม้กอล์ฟ",J1978,"")</f>
        <v/>
      </c>
    </row>
    <row r="1979">
      <c r="A1979" s="1" t="n">
        <v>3</v>
      </c>
      <c r="B1979" s="1" t="inlineStr">
        <is>
          <t>เสื้อผ้า</t>
        </is>
      </c>
      <c r="C1979" s="1" t="inlineStr">
        <is>
          <t>gf2040120787</t>
        </is>
      </c>
      <c r="D1979" s="1" t="inlineStr">
        <is>
          <t>MANORS Eigtheenth Ranger Men's Polo (Grey)</t>
        </is>
      </c>
      <c r="E1979" s="1" t="inlineStr">
        <is>
          <t>MANORS</t>
        </is>
      </c>
      <c r="F1979" s="1" t="inlineStr">
        <is>
          <t>SHORT SLEEVES</t>
        </is>
      </c>
      <c r="G1979" s="1" t="inlineStr">
        <is>
          <t>GF2040120787XS</t>
        </is>
      </c>
      <c r="H1979" s="1" t="n">
        <v>5</v>
      </c>
      <c r="I1979" s="1" t="inlineStr">
        <is>
          <t>มี</t>
        </is>
      </c>
      <c r="J1979" s="13" t="n">
        <v>170</v>
      </c>
      <c r="K1979" s="1" t="inlineStr"/>
      <c r="L1979" s="13" t="n">
        <v>170</v>
      </c>
      <c r="M1979" s="1">
        <f>IF(L1979="","ไม่พบใน SG",IF(ABS(J1979-L1979)&lt;0.005,"ตรงกัน","ไม่ตรง"))</f>
        <v/>
      </c>
      <c r="N1979" s="14">
        <f>IF(L1979="","",ROUND(L1979*'สรุป'!$C$6,-1))</f>
        <v/>
      </c>
      <c r="O1979" s="15" t="n"/>
      <c r="P1979" s="15" t="n"/>
      <c r="Q1979" s="10" t="n"/>
      <c r="R1979" s="10" t="n"/>
      <c r="S1979" s="16" t="inlineStr">
        <is>
          <t>https://mstgolf.co.th/products/gf2040120787</t>
        </is>
      </c>
      <c r="T1979" s="1">
        <f>IF(B1979="ไม้กอล์ฟ",J1979,"")</f>
        <v/>
      </c>
    </row>
    <row r="1980">
      <c r="A1980" s="1" t="n">
        <v>3</v>
      </c>
      <c r="B1980" s="1" t="inlineStr">
        <is>
          <t>เสื้อผ้า</t>
        </is>
      </c>
      <c r="C1980" s="1" t="inlineStr">
        <is>
          <t>gf2040119540</t>
        </is>
      </c>
      <c r="D1980" s="1" t="inlineStr">
        <is>
          <t>PETER MILLAR Botanical Men's Jersey Polo (Blue Forest)</t>
        </is>
      </c>
      <c r="E1980" s="1" t="inlineStr">
        <is>
          <t>PETER MILLAR</t>
        </is>
      </c>
      <c r="F1980" s="1" t="inlineStr">
        <is>
          <t>SHORT SLEEVES</t>
        </is>
      </c>
      <c r="G1980" s="1" t="inlineStr">
        <is>
          <t>GF2040119540S</t>
        </is>
      </c>
      <c r="H1980" s="1" t="n">
        <v>5</v>
      </c>
      <c r="I1980" s="1" t="inlineStr">
        <is>
          <t>มี</t>
        </is>
      </c>
      <c r="J1980" s="13" t="n">
        <v>170</v>
      </c>
      <c r="K1980" s="1" t="inlineStr"/>
      <c r="L1980" s="13" t="n">
        <v>170</v>
      </c>
      <c r="M1980" s="1">
        <f>IF(L1980="","ไม่พบใน SG",IF(ABS(J1980-L1980)&lt;0.005,"ตรงกัน","ไม่ตรง"))</f>
        <v/>
      </c>
      <c r="N1980" s="14">
        <f>IF(L1980="","",ROUND(L1980*'สรุป'!$C$6,-1))</f>
        <v/>
      </c>
      <c r="O1980" s="15" t="n"/>
      <c r="P1980" s="15" t="n"/>
      <c r="Q1980" s="10" t="n"/>
      <c r="R1980" s="10" t="n"/>
      <c r="S1980" s="16" t="inlineStr">
        <is>
          <t>https://mstgolf.co.th/products/gf2040119540</t>
        </is>
      </c>
      <c r="T1980" s="1">
        <f>IF(B1980="ไม้กอล์ฟ",J1980,"")</f>
        <v/>
      </c>
    </row>
    <row r="1981">
      <c r="A1981" s="1" t="n">
        <v>3</v>
      </c>
      <c r="B1981" s="1" t="inlineStr">
        <is>
          <t>เสื้อผ้า</t>
        </is>
      </c>
      <c r="C1981" s="1" t="inlineStr">
        <is>
          <t>gf2040119541</t>
        </is>
      </c>
      <c r="D1981" s="1" t="inlineStr">
        <is>
          <t>PETER MILLAR Empire Men's Performance Jersey Polo (Navy)</t>
        </is>
      </c>
      <c r="E1981" s="1" t="inlineStr">
        <is>
          <t>PETER MILLAR</t>
        </is>
      </c>
      <c r="F1981" s="1" t="inlineStr">
        <is>
          <t>SHORT SLEEVES</t>
        </is>
      </c>
      <c r="G1981" s="1" t="inlineStr">
        <is>
          <t>GF2040119541S</t>
        </is>
      </c>
      <c r="H1981" s="1" t="n">
        <v>5</v>
      </c>
      <c r="I1981" s="1" t="inlineStr">
        <is>
          <t>มี</t>
        </is>
      </c>
      <c r="J1981" s="13" t="n">
        <v>170</v>
      </c>
      <c r="K1981" s="1" t="inlineStr"/>
      <c r="L1981" s="13" t="n">
        <v>170</v>
      </c>
      <c r="M1981" s="1">
        <f>IF(L1981="","ไม่พบใน SG",IF(ABS(J1981-L1981)&lt;0.005,"ตรงกัน","ไม่ตรง"))</f>
        <v/>
      </c>
      <c r="N1981" s="14">
        <f>IF(L1981="","",ROUND(L1981*'สรุป'!$C$6,-1))</f>
        <v/>
      </c>
      <c r="O1981" s="15" t="n"/>
      <c r="P1981" s="15" t="n"/>
      <c r="Q1981" s="10" t="n"/>
      <c r="R1981" s="10" t="n"/>
      <c r="S1981" s="16" t="inlineStr">
        <is>
          <t>https://mstgolf.co.th/products/gf2040119541</t>
        </is>
      </c>
      <c r="T1981" s="1">
        <f>IF(B1981="ไม้กอล์ฟ",J1981,"")</f>
        <v/>
      </c>
    </row>
    <row r="1982">
      <c r="A1982" s="1" t="n">
        <v>3</v>
      </c>
      <c r="B1982" s="1" t="inlineStr">
        <is>
          <t>เสื้อผ้า</t>
        </is>
      </c>
      <c r="C1982" s="1" t="inlineStr">
        <is>
          <t>gf2040119539</t>
        </is>
      </c>
      <c r="D1982" s="1" t="inlineStr">
        <is>
          <t>PETER MILLAR Retro Performance Men's Polo (Angelite)</t>
        </is>
      </c>
      <c r="E1982" s="1" t="inlineStr">
        <is>
          <t>PETER MILLAR</t>
        </is>
      </c>
      <c r="F1982" s="1" t="inlineStr">
        <is>
          <t>SHORT SLEEVES</t>
        </is>
      </c>
      <c r="G1982" s="1" t="inlineStr">
        <is>
          <t>GF2040119539S</t>
        </is>
      </c>
      <c r="H1982" s="1" t="n">
        <v>5</v>
      </c>
      <c r="I1982" s="1" t="inlineStr">
        <is>
          <t>มี</t>
        </is>
      </c>
      <c r="J1982" s="13" t="n">
        <v>170</v>
      </c>
      <c r="K1982" s="1" t="inlineStr"/>
      <c r="L1982" s="13" t="n">
        <v>170</v>
      </c>
      <c r="M1982" s="1">
        <f>IF(L1982="","ไม่พบใน SG",IF(ABS(J1982-L1982)&lt;0.005,"ตรงกัน","ไม่ตรง"))</f>
        <v/>
      </c>
      <c r="N1982" s="14">
        <f>IF(L1982="","",ROUND(L1982*'สรุป'!$C$6,-1))</f>
        <v/>
      </c>
      <c r="O1982" s="15" t="n"/>
      <c r="P1982" s="15" t="n"/>
      <c r="Q1982" s="10" t="n"/>
      <c r="R1982" s="10" t="n"/>
      <c r="S1982" s="16" t="inlineStr">
        <is>
          <t>https://mstgolf.co.th/products/gf2040119539</t>
        </is>
      </c>
      <c r="T1982" s="1">
        <f>IF(B1982="ไม้กอล์ฟ",J1982,"")</f>
        <v/>
      </c>
    </row>
    <row r="1983">
      <c r="A1983" s="1" t="n">
        <v>3</v>
      </c>
      <c r="B1983" s="1" t="inlineStr">
        <is>
          <t>เสื้อผ้า</t>
        </is>
      </c>
      <c r="C1983" s="1" t="inlineStr">
        <is>
          <t>gf2060101267</t>
        </is>
      </c>
      <c r="D1983" s="1" t="inlineStr">
        <is>
          <t>ADIDAS Originals Men's Knit Vest (Brown)</t>
        </is>
      </c>
      <c r="E1983" s="1" t="inlineStr">
        <is>
          <t>ADIDAS</t>
        </is>
      </c>
      <c r="F1983" s="1" t="inlineStr">
        <is>
          <t>TOP</t>
        </is>
      </c>
      <c r="G1983" s="1" t="inlineStr">
        <is>
          <t>GF2060101267XS</t>
        </is>
      </c>
      <c r="H1983" s="1" t="n">
        <v>6</v>
      </c>
      <c r="I1983" s="1" t="inlineStr">
        <is>
          <t>มี</t>
        </is>
      </c>
      <c r="J1983" s="13" t="n">
        <v>169</v>
      </c>
      <c r="K1983" s="1" t="inlineStr"/>
      <c r="L1983" s="13" t="n">
        <v>119</v>
      </c>
      <c r="M1983" s="1">
        <f>IF(L1983="","ไม่พบใน SG",IF(ABS(J1983-L1983)&lt;0.005,"ตรงกัน","ไม่ตรง"))</f>
        <v/>
      </c>
      <c r="N1983" s="14">
        <f>IF(L1983="","",ROUND(L1983*'สรุป'!$C$6,-1))</f>
        <v/>
      </c>
      <c r="O1983" s="15" t="n"/>
      <c r="P1983" s="15" t="n"/>
      <c r="Q1983" s="10" t="n"/>
      <c r="R1983" s="10" t="n"/>
      <c r="S1983" s="16" t="inlineStr">
        <is>
          <t>https://mstgolf.co.th/products/gf2060101267</t>
        </is>
      </c>
      <c r="T1983" s="1">
        <f>IF(B1983="ไม้กอล์ฟ",J1983,"")</f>
        <v/>
      </c>
    </row>
    <row r="1984">
      <c r="A1984" s="1" t="n">
        <v>3</v>
      </c>
      <c r="B1984" s="1" t="inlineStr">
        <is>
          <t>เสื้อผ้า</t>
        </is>
      </c>
      <c r="C1984" s="1" t="inlineStr">
        <is>
          <t>gf2060101266</t>
        </is>
      </c>
      <c r="D1984" s="1" t="inlineStr">
        <is>
          <t>ADIDAS Originals Men's Knit Vest (Indigo)</t>
        </is>
      </c>
      <c r="E1984" s="1" t="inlineStr">
        <is>
          <t>ADIDAS</t>
        </is>
      </c>
      <c r="F1984" s="1" t="inlineStr">
        <is>
          <t>TOP</t>
        </is>
      </c>
      <c r="G1984" s="1" t="inlineStr">
        <is>
          <t>GF2060101266XS</t>
        </is>
      </c>
      <c r="H1984" s="1" t="n">
        <v>6</v>
      </c>
      <c r="I1984" s="1" t="inlineStr">
        <is>
          <t>มี</t>
        </is>
      </c>
      <c r="J1984" s="13" t="n">
        <v>169</v>
      </c>
      <c r="K1984" s="1" t="inlineStr"/>
      <c r="L1984" s="13" t="n">
        <v>119</v>
      </c>
      <c r="M1984" s="1">
        <f>IF(L1984="","ไม่พบใน SG",IF(ABS(J1984-L1984)&lt;0.005,"ตรงกัน","ไม่ตรง"))</f>
        <v/>
      </c>
      <c r="N1984" s="14">
        <f>IF(L1984="","",ROUND(L1984*'สรุป'!$C$6,-1))</f>
        <v/>
      </c>
      <c r="O1984" s="15" t="n"/>
      <c r="P1984" s="15" t="n"/>
      <c r="Q1984" s="10" t="n"/>
      <c r="R1984" s="10" t="n"/>
      <c r="S1984" s="16" t="inlineStr">
        <is>
          <t>https://mstgolf.co.th/products/gf2060101266</t>
        </is>
      </c>
      <c r="T1984" s="1">
        <f>IF(B1984="ไม้กอล์ฟ",J1984,"")</f>
        <v/>
      </c>
    </row>
    <row r="1985">
      <c r="A1985" s="1" t="n">
        <v>3</v>
      </c>
      <c r="B1985" s="1" t="inlineStr">
        <is>
          <t>เสื้อผ้า</t>
        </is>
      </c>
      <c r="C1985" s="1" t="inlineStr">
        <is>
          <t>gf2040121152</t>
        </is>
      </c>
      <c r="D1985" s="1" t="inlineStr">
        <is>
          <t>GFORE Contrast Panel Tech Pique Women's Polo (Twilight)</t>
        </is>
      </c>
      <c r="E1985" s="1" t="inlineStr">
        <is>
          <t>GFORE</t>
        </is>
      </c>
      <c r="F1985" s="1" t="inlineStr">
        <is>
          <t>SHORT SLEEVES</t>
        </is>
      </c>
      <c r="G1985" s="1" t="inlineStr">
        <is>
          <t>GF2040121152XS</t>
        </is>
      </c>
      <c r="H1985" s="1" t="n">
        <v>6</v>
      </c>
      <c r="I1985" s="1" t="inlineStr">
        <is>
          <t>มี</t>
        </is>
      </c>
      <c r="J1985" s="13" t="n">
        <v>169</v>
      </c>
      <c r="K1985" s="1" t="inlineStr"/>
      <c r="L1985" s="13" t="n">
        <v>119</v>
      </c>
      <c r="M1985" s="1">
        <f>IF(L1985="","ไม่พบใน SG",IF(ABS(J1985-L1985)&lt;0.005,"ตรงกัน","ไม่ตรง"))</f>
        <v/>
      </c>
      <c r="N1985" s="14">
        <f>IF(L1985="","",ROUND(L1985*'สรุป'!$C$6,-1))</f>
        <v/>
      </c>
      <c r="O1985" s="15" t="n"/>
      <c r="P1985" s="15" t="n"/>
      <c r="Q1985" s="10" t="n"/>
      <c r="R1985" s="10" t="n"/>
      <c r="S1985" s="16" t="inlineStr">
        <is>
          <t>https://mstgolf.co.th/products/gf2040121152</t>
        </is>
      </c>
      <c r="T1985" s="1">
        <f>IF(B1985="ไม้กอล์ฟ",J1985,"")</f>
        <v/>
      </c>
    </row>
    <row r="1986">
      <c r="A1986" s="1" t="n">
        <v>3</v>
      </c>
      <c r="B1986" s="1" t="inlineStr">
        <is>
          <t>เสื้อผ้า</t>
        </is>
      </c>
      <c r="C1986" s="1" t="inlineStr">
        <is>
          <t>gf2040121163</t>
        </is>
      </c>
      <c r="D1986" s="1" t="inlineStr">
        <is>
          <t>GFORE Fireworks Print Tech Jersey Men's Polo (Baja)</t>
        </is>
      </c>
      <c r="E1986" s="1" t="inlineStr">
        <is>
          <t>GFORE</t>
        </is>
      </c>
      <c r="F1986" s="1" t="inlineStr">
        <is>
          <t>SHORT SLEEVES</t>
        </is>
      </c>
      <c r="G1986" s="1" t="inlineStr">
        <is>
          <t>GF2040121163S</t>
        </is>
      </c>
      <c r="H1986" s="1" t="n">
        <v>5</v>
      </c>
      <c r="I1986" s="1" t="inlineStr">
        <is>
          <t>มี</t>
        </is>
      </c>
      <c r="J1986" s="13" t="n">
        <v>169</v>
      </c>
      <c r="K1986" s="1" t="inlineStr"/>
      <c r="L1986" s="13" t="n">
        <v>169</v>
      </c>
      <c r="M1986" s="1">
        <f>IF(L1986="","ไม่พบใน SG",IF(ABS(J1986-L1986)&lt;0.005,"ตรงกัน","ไม่ตรง"))</f>
        <v/>
      </c>
      <c r="N1986" s="14">
        <f>IF(L1986="","",ROUND(L1986*'สรุป'!$C$6,-1))</f>
        <v/>
      </c>
      <c r="O1986" s="15" t="n"/>
      <c r="P1986" s="15" t="n"/>
      <c r="Q1986" s="10" t="n"/>
      <c r="R1986" s="10" t="n"/>
      <c r="S1986" s="16" t="inlineStr">
        <is>
          <t>https://mstgolf.co.th/products/gf2040121163</t>
        </is>
      </c>
      <c r="T1986" s="1">
        <f>IF(B1986="ไม้กอล์ฟ",J1986,"")</f>
        <v/>
      </c>
    </row>
    <row r="1987">
      <c r="A1987" s="1" t="n">
        <v>3</v>
      </c>
      <c r="B1987" s="1" t="inlineStr">
        <is>
          <t>เสื้อผ้า</t>
        </is>
      </c>
      <c r="C1987" s="1" t="inlineStr">
        <is>
          <t>gf2020202459</t>
        </is>
      </c>
      <c r="D1987" s="1" t="inlineStr">
        <is>
          <t>GFORE Floral Skort (Surf)</t>
        </is>
      </c>
      <c r="E1987" s="1" t="inlineStr">
        <is>
          <t>GFORE</t>
        </is>
      </c>
      <c r="F1987" s="1" t="inlineStr">
        <is>
          <t>SHORT PANTS</t>
        </is>
      </c>
      <c r="G1987" s="1" t="inlineStr">
        <is>
          <t>GF20202024592</t>
        </is>
      </c>
      <c r="H1987" s="1" t="n">
        <v>5</v>
      </c>
      <c r="I1987" s="1" t="inlineStr">
        <is>
          <t>มี</t>
        </is>
      </c>
      <c r="J1987" s="13" t="n">
        <v>169</v>
      </c>
      <c r="K1987" s="1" t="inlineStr"/>
      <c r="L1987" s="13" t="n">
        <v>169</v>
      </c>
      <c r="M1987" s="1">
        <f>IF(L1987="","ไม่พบใน SG",IF(ABS(J1987-L1987)&lt;0.005,"ตรงกัน","ไม่ตรง"))</f>
        <v/>
      </c>
      <c r="N1987" s="14">
        <f>IF(L1987="","",ROUND(L1987*'สรุป'!$C$6,-1))</f>
        <v/>
      </c>
      <c r="O1987" s="15" t="n"/>
      <c r="P1987" s="15" t="n"/>
      <c r="Q1987" s="10" t="n"/>
      <c r="R1987" s="10" t="n"/>
      <c r="S1987" s="16" t="inlineStr">
        <is>
          <t>https://mstgolf.co.th/products/gf2020202459</t>
        </is>
      </c>
      <c r="T1987" s="1">
        <f>IF(B1987="ไม้กอล์ฟ",J1987,"")</f>
        <v/>
      </c>
    </row>
    <row r="1988">
      <c r="A1988" s="1" t="n">
        <v>3</v>
      </c>
      <c r="B1988" s="1" t="inlineStr">
        <is>
          <t>เสื้อผ้า</t>
        </is>
      </c>
      <c r="C1988" s="1" t="inlineStr">
        <is>
          <t>gf2020102030</t>
        </is>
      </c>
      <c r="D1988" s="1" t="inlineStr">
        <is>
          <t>GFORE Mid Rise Women's Pants (Twilight)</t>
        </is>
      </c>
      <c r="E1988" s="1" t="inlineStr">
        <is>
          <t>GFORE</t>
        </is>
      </c>
      <c r="F1988" s="1" t="inlineStr">
        <is>
          <t>LONG PANTS</t>
        </is>
      </c>
      <c r="G1988" s="1" t="inlineStr">
        <is>
          <t>GF20201020300</t>
        </is>
      </c>
      <c r="H1988" s="1" t="n">
        <v>8</v>
      </c>
      <c r="I1988" s="1" t="inlineStr">
        <is>
          <t>มี</t>
        </is>
      </c>
      <c r="J1988" s="13" t="n">
        <v>169</v>
      </c>
      <c r="K1988" s="1" t="inlineStr"/>
      <c r="L1988" s="13" t="n">
        <v>169</v>
      </c>
      <c r="M1988" s="1">
        <f>IF(L1988="","ไม่พบใน SG",IF(ABS(J1988-L1988)&lt;0.005,"ตรงกัน","ไม่ตรง"))</f>
        <v/>
      </c>
      <c r="N1988" s="14">
        <f>IF(L1988="","",ROUND(L1988*'สรุป'!$C$6,-1))</f>
        <v/>
      </c>
      <c r="O1988" s="15" t="n"/>
      <c r="P1988" s="15" t="n"/>
      <c r="Q1988" s="10" t="n"/>
      <c r="R1988" s="10" t="n"/>
      <c r="S1988" s="16" t="inlineStr">
        <is>
          <t>https://mstgolf.co.th/products/gf2020102030</t>
        </is>
      </c>
      <c r="T1988" s="1">
        <f>IF(B1988="ไม้กอล์ฟ",J1988,"")</f>
        <v/>
      </c>
    </row>
    <row r="1989">
      <c r="A1989" s="1" t="n">
        <v>3</v>
      </c>
      <c r="B1989" s="1" t="inlineStr">
        <is>
          <t>เสื้อผ้า</t>
        </is>
      </c>
      <c r="C1989" s="1" t="inlineStr">
        <is>
          <t>gf2040121652</t>
        </is>
      </c>
      <c r="D1989" s="1" t="inlineStr">
        <is>
          <t>LACOSTE Regular Fit UV Protect Men's Polo (Black)</t>
        </is>
      </c>
      <c r="E1989" s="1" t="inlineStr">
        <is>
          <t>LACOSTE</t>
        </is>
      </c>
      <c r="F1989" s="1" t="inlineStr">
        <is>
          <t>SHORT SLEEVES</t>
        </is>
      </c>
      <c r="G1989" s="1" t="inlineStr">
        <is>
          <t>GF20401216523</t>
        </is>
      </c>
      <c r="H1989" s="1" t="n">
        <v>5</v>
      </c>
      <c r="I1989" s="1" t="inlineStr">
        <is>
          <t>มี</t>
        </is>
      </c>
      <c r="J1989" s="13" t="n">
        <v>169</v>
      </c>
      <c r="K1989" s="1" t="inlineStr"/>
      <c r="L1989" s="13" t="n">
        <v>169</v>
      </c>
      <c r="M1989" s="1">
        <f>IF(L1989="","ไม่พบใน SG",IF(ABS(J1989-L1989)&lt;0.005,"ตรงกัน","ไม่ตรง"))</f>
        <v/>
      </c>
      <c r="N1989" s="14">
        <f>IF(L1989="","",ROUND(L1989*'สรุป'!$C$6,-1))</f>
        <v/>
      </c>
      <c r="O1989" s="15" t="n"/>
      <c r="P1989" s="15" t="n"/>
      <c r="Q1989" s="10" t="n"/>
      <c r="R1989" s="10" t="n"/>
      <c r="S1989" s="16" t="inlineStr">
        <is>
          <t>https://mstgolf.co.th/products/gf2040121652</t>
        </is>
      </c>
      <c r="T1989" s="1">
        <f>IF(B1989="ไม้กอล์ฟ",J1989,"")</f>
        <v/>
      </c>
    </row>
    <row r="1990">
      <c r="A1990" s="1" t="n">
        <v>3</v>
      </c>
      <c r="B1990" s="1" t="inlineStr">
        <is>
          <t>เสื้อผ้า</t>
        </is>
      </c>
      <c r="C1990" s="1" t="inlineStr">
        <is>
          <t>gf2040121654</t>
        </is>
      </c>
      <c r="D1990" s="1" t="inlineStr">
        <is>
          <t>LACOSTE Regular Fit UV Protect Men's Polo (France Blue)</t>
        </is>
      </c>
      <c r="E1990" s="1" t="inlineStr">
        <is>
          <t>LACOSTE</t>
        </is>
      </c>
      <c r="F1990" s="1" t="inlineStr">
        <is>
          <t>SHORT SLEEVES</t>
        </is>
      </c>
      <c r="G1990" s="1" t="inlineStr">
        <is>
          <t>GF20401216543</t>
        </is>
      </c>
      <c r="H1990" s="1" t="n">
        <v>5</v>
      </c>
      <c r="I1990" s="1" t="inlineStr">
        <is>
          <t>มี</t>
        </is>
      </c>
      <c r="J1990" s="13" t="n">
        <v>169</v>
      </c>
      <c r="K1990" s="1" t="inlineStr"/>
      <c r="L1990" s="13" t="n">
        <v>169</v>
      </c>
      <c r="M1990" s="1">
        <f>IF(L1990="","ไม่พบใน SG",IF(ABS(J1990-L1990)&lt;0.005,"ตรงกัน","ไม่ตรง"))</f>
        <v/>
      </c>
      <c r="N1990" s="14">
        <f>IF(L1990="","",ROUND(L1990*'สรุป'!$C$6,-1))</f>
        <v/>
      </c>
      <c r="O1990" s="15" t="n"/>
      <c r="P1990" s="15" t="n"/>
      <c r="Q1990" s="10" t="n"/>
      <c r="R1990" s="10" t="n"/>
      <c r="S1990" s="16" t="inlineStr">
        <is>
          <t>https://mstgolf.co.th/products/gf2040121654</t>
        </is>
      </c>
      <c r="T1990" s="1">
        <f>IF(B1990="ไม้กอล์ฟ",J1990,"")</f>
        <v/>
      </c>
    </row>
    <row r="1991">
      <c r="A1991" s="1" t="n">
        <v>3</v>
      </c>
      <c r="B1991" s="1" t="inlineStr">
        <is>
          <t>เสื้อผ้า</t>
        </is>
      </c>
      <c r="C1991" s="1" t="inlineStr">
        <is>
          <t>gf2040121651</t>
        </is>
      </c>
      <c r="D1991" s="1" t="inlineStr">
        <is>
          <t>LACOSTE Regular Fit UV Protect Men's Polo (White)</t>
        </is>
      </c>
      <c r="E1991" s="1" t="inlineStr">
        <is>
          <t>LACOSTE</t>
        </is>
      </c>
      <c r="F1991" s="1" t="inlineStr">
        <is>
          <t>SHORT SLEEVES</t>
        </is>
      </c>
      <c r="G1991" s="1" t="inlineStr">
        <is>
          <t>GF20401216513</t>
        </is>
      </c>
      <c r="H1991" s="1" t="n">
        <v>5</v>
      </c>
      <c r="I1991" s="1" t="inlineStr">
        <is>
          <t>มี</t>
        </is>
      </c>
      <c r="J1991" s="13" t="n">
        <v>169</v>
      </c>
      <c r="K1991" s="1" t="inlineStr"/>
      <c r="L1991" s="13" t="n">
        <v>169</v>
      </c>
      <c r="M1991" s="1">
        <f>IF(L1991="","ไม่พบใน SG",IF(ABS(J1991-L1991)&lt;0.005,"ตรงกัน","ไม่ตรง"))</f>
        <v/>
      </c>
      <c r="N1991" s="14">
        <f>IF(L1991="","",ROUND(L1991*'สรุป'!$C$6,-1))</f>
        <v/>
      </c>
      <c r="O1991" s="15" t="n"/>
      <c r="P1991" s="15" t="n"/>
      <c r="Q1991" s="10" t="n"/>
      <c r="R1991" s="10" t="n"/>
      <c r="S1991" s="16" t="inlineStr">
        <is>
          <t>https://mstgolf.co.th/products/gf2040121651</t>
        </is>
      </c>
      <c r="T1991" s="1">
        <f>IF(B1991="ไม้กอล์ฟ",J1991,"")</f>
        <v/>
      </c>
    </row>
    <row r="1992">
      <c r="A1992" s="1" t="n">
        <v>3</v>
      </c>
      <c r="B1992" s="1" t="inlineStr">
        <is>
          <t>เสื้อผ้า</t>
        </is>
      </c>
      <c r="C1992" s="1" t="inlineStr">
        <is>
          <t>gf2020300192</t>
        </is>
      </c>
      <c r="D1992" s="1" t="inlineStr">
        <is>
          <t>LACOSTE Ultra Dry Golf Skirt with Liner (Navy)</t>
        </is>
      </c>
      <c r="E1992" s="1" t="inlineStr">
        <is>
          <t>LACOSTE</t>
        </is>
      </c>
      <c r="F1992" s="1" t="inlineStr">
        <is>
          <t>SKORTS</t>
        </is>
      </c>
      <c r="G1992" s="1" t="inlineStr">
        <is>
          <t>GF202030019238</t>
        </is>
      </c>
      <c r="H1992" s="1" t="n">
        <v>4</v>
      </c>
      <c r="I1992" s="1" t="inlineStr">
        <is>
          <t>มี</t>
        </is>
      </c>
      <c r="J1992" s="13" t="n">
        <v>169</v>
      </c>
      <c r="K1992" s="1" t="inlineStr"/>
      <c r="L1992" s="13" t="n">
        <v>169</v>
      </c>
      <c r="M1992" s="1">
        <f>IF(L1992="","ไม่พบใน SG",IF(ABS(J1992-L1992)&lt;0.005,"ตรงกัน","ไม่ตรง"))</f>
        <v/>
      </c>
      <c r="N1992" s="14">
        <f>IF(L1992="","",ROUND(L1992*'สรุป'!$C$6,-1))</f>
        <v/>
      </c>
      <c r="O1992" s="15" t="n"/>
      <c r="P1992" s="15" t="n"/>
      <c r="Q1992" s="10" t="n"/>
      <c r="R1992" s="10" t="n"/>
      <c r="S1992" s="16" t="inlineStr">
        <is>
          <t>https://mstgolf.co.th/products/gf2020300192</t>
        </is>
      </c>
      <c r="T1992" s="1">
        <f>IF(B1992="ไม้กอล์ฟ",J1992,"")</f>
        <v/>
      </c>
    </row>
    <row r="1993">
      <c r="A1993" s="1" t="n">
        <v>3</v>
      </c>
      <c r="B1993" s="1" t="inlineStr">
        <is>
          <t>เสื้อผ้า</t>
        </is>
      </c>
      <c r="C1993" s="1" t="inlineStr">
        <is>
          <t>gf2020300193</t>
        </is>
      </c>
      <c r="D1993" s="1" t="inlineStr">
        <is>
          <t>LACOSTE Ultra Dry Golf Skirt with Liner (White)</t>
        </is>
      </c>
      <c r="E1993" s="1" t="inlineStr">
        <is>
          <t>LACOSTE</t>
        </is>
      </c>
      <c r="F1993" s="1" t="inlineStr">
        <is>
          <t>SKORTS</t>
        </is>
      </c>
      <c r="G1993" s="1" t="inlineStr">
        <is>
          <t>GF202030019338</t>
        </is>
      </c>
      <c r="H1993" s="1" t="n">
        <v>4</v>
      </c>
      <c r="I1993" s="1" t="inlineStr">
        <is>
          <t>มี</t>
        </is>
      </c>
      <c r="J1993" s="13" t="n">
        <v>169</v>
      </c>
      <c r="K1993" s="1" t="inlineStr"/>
      <c r="L1993" s="13" t="n">
        <v>169</v>
      </c>
      <c r="M1993" s="1">
        <f>IF(L1993="","ไม่พบใน SG",IF(ABS(J1993-L1993)&lt;0.005,"ตรงกัน","ไม่ตรง"))</f>
        <v/>
      </c>
      <c r="N1993" s="14">
        <f>IF(L1993="","",ROUND(L1993*'สรุป'!$C$6,-1))</f>
        <v/>
      </c>
      <c r="O1993" s="15" t="n"/>
      <c r="P1993" s="15" t="n"/>
      <c r="Q1993" s="10" t="n"/>
      <c r="R1993" s="10" t="n"/>
      <c r="S1993" s="16" t="inlineStr">
        <is>
          <t>https://mstgolf.co.th/products/gf2020300193</t>
        </is>
      </c>
      <c r="T1993" s="1">
        <f>IF(B1993="ไม้กอล์ฟ",J1993,"")</f>
        <v/>
      </c>
    </row>
    <row r="1994">
      <c r="A1994" s="1" t="n">
        <v>3</v>
      </c>
      <c r="B1994" s="1" t="inlineStr">
        <is>
          <t>เสื้อผ้า</t>
        </is>
      </c>
      <c r="C1994" s="1" t="inlineStr">
        <is>
          <t>gf2020202913</t>
        </is>
      </c>
      <c r="D1994" s="1" t="inlineStr">
        <is>
          <t>LACOSTE Ultra Dry Stretch Women's Bermuda Shorts (Sinople)</t>
        </is>
      </c>
      <c r="E1994" s="1" t="inlineStr">
        <is>
          <t>LACOSTE</t>
        </is>
      </c>
      <c r="F1994" s="1" t="inlineStr">
        <is>
          <t>SHORT PANTS</t>
        </is>
      </c>
      <c r="G1994" s="1" t="inlineStr">
        <is>
          <t>GF202020291338</t>
        </is>
      </c>
      <c r="H1994" s="1" t="n">
        <v>4</v>
      </c>
      <c r="I1994" s="1" t="inlineStr">
        <is>
          <t>มี</t>
        </is>
      </c>
      <c r="J1994" s="13" t="n">
        <v>169</v>
      </c>
      <c r="K1994" s="1" t="inlineStr"/>
      <c r="L1994" s="13" t="n">
        <v>169</v>
      </c>
      <c r="M1994" s="1">
        <f>IF(L1994="","ไม่พบใน SG",IF(ABS(J1994-L1994)&lt;0.005,"ตรงกัน","ไม่ตรง"))</f>
        <v/>
      </c>
      <c r="N1994" s="14">
        <f>IF(L1994="","",ROUND(L1994*'สรุป'!$C$6,-1))</f>
        <v/>
      </c>
      <c r="O1994" s="15" t="n"/>
      <c r="P1994" s="15" t="n"/>
      <c r="Q1994" s="10" t="n"/>
      <c r="R1994" s="10" t="n"/>
      <c r="S1994" s="16" t="inlineStr">
        <is>
          <t>https://mstgolf.co.th/products/gf2020202913</t>
        </is>
      </c>
      <c r="T1994" s="1">
        <f>IF(B1994="ไม้กอล์ฟ",J1994,"")</f>
        <v/>
      </c>
    </row>
    <row r="1995">
      <c r="A1995" s="1" t="n">
        <v>3</v>
      </c>
      <c r="B1995" s="1" t="inlineStr">
        <is>
          <t>เสื้อผ้า</t>
        </is>
      </c>
      <c r="C1995" s="1" t="inlineStr">
        <is>
          <t>gf2040118863</t>
        </is>
      </c>
      <c r="D1995" s="1" t="inlineStr">
        <is>
          <t>MANORS Frontier Shooter Men's Shirt (Green)</t>
        </is>
      </c>
      <c r="E1995" s="1" t="inlineStr">
        <is>
          <t>MANORS</t>
        </is>
      </c>
      <c r="F1995" s="1" t="inlineStr">
        <is>
          <t>SHORT SLEEVES</t>
        </is>
      </c>
      <c r="G1995" s="1" t="inlineStr">
        <is>
          <t>GF2040118863S</t>
        </is>
      </c>
      <c r="H1995" s="1" t="n">
        <v>4</v>
      </c>
      <c r="I1995" s="1" t="inlineStr">
        <is>
          <t>มี</t>
        </is>
      </c>
      <c r="J1995" s="13" t="n">
        <v>169</v>
      </c>
      <c r="K1995" s="1" t="inlineStr"/>
      <c r="L1995" s="13" t="n">
        <v>169</v>
      </c>
      <c r="M1995" s="1">
        <f>IF(L1995="","ไม่พบใน SG",IF(ABS(J1995-L1995)&lt;0.005,"ตรงกัน","ไม่ตรง"))</f>
        <v/>
      </c>
      <c r="N1995" s="14">
        <f>IF(L1995="","",ROUND(L1995*'สรุป'!$C$6,-1))</f>
        <v/>
      </c>
      <c r="O1995" s="15" t="n"/>
      <c r="P1995" s="15" t="n"/>
      <c r="Q1995" s="10" t="n"/>
      <c r="R1995" s="10" t="n"/>
      <c r="S1995" s="16" t="inlineStr">
        <is>
          <t>https://mstgolf.co.th/products/gf2040118863</t>
        </is>
      </c>
      <c r="T1995" s="1">
        <f>IF(B1995="ไม้กอล์ฟ",J1995,"")</f>
        <v/>
      </c>
    </row>
    <row r="1996">
      <c r="A1996" s="1" t="n">
        <v>3</v>
      </c>
      <c r="B1996" s="1" t="inlineStr">
        <is>
          <t>เสื้อผ้า</t>
        </is>
      </c>
      <c r="C1996" s="1" t="inlineStr">
        <is>
          <t>gf2040118860</t>
        </is>
      </c>
      <c r="D1996" s="1" t="inlineStr">
        <is>
          <t>MANORS Frontier Shooter Men's Shirt (Navy)</t>
        </is>
      </c>
      <c r="E1996" s="1" t="inlineStr">
        <is>
          <t>MANORS</t>
        </is>
      </c>
      <c r="F1996" s="1" t="inlineStr">
        <is>
          <t>SHORT SLEEVES</t>
        </is>
      </c>
      <c r="G1996" s="1" t="inlineStr">
        <is>
          <t>GF2040118860S</t>
        </is>
      </c>
      <c r="H1996" s="1" t="n">
        <v>4</v>
      </c>
      <c r="I1996" s="1" t="inlineStr">
        <is>
          <t>มี</t>
        </is>
      </c>
      <c r="J1996" s="13" t="n">
        <v>169</v>
      </c>
      <c r="K1996" s="1" t="inlineStr"/>
      <c r="L1996" s="13" t="n">
        <v>169</v>
      </c>
      <c r="M1996" s="1">
        <f>IF(L1996="","ไม่พบใน SG",IF(ABS(J1996-L1996)&lt;0.005,"ตรงกัน","ไม่ตรง"))</f>
        <v/>
      </c>
      <c r="N1996" s="14">
        <f>IF(L1996="","",ROUND(L1996*'สรุป'!$C$6,-1))</f>
        <v/>
      </c>
      <c r="O1996" s="15" t="n"/>
      <c r="P1996" s="15" t="n"/>
      <c r="Q1996" s="10" t="n"/>
      <c r="R1996" s="10" t="n"/>
      <c r="S1996" s="16" t="inlineStr">
        <is>
          <t>https://mstgolf.co.th/products/gf2040118860</t>
        </is>
      </c>
      <c r="T1996" s="1">
        <f>IF(B1996="ไม้กอล์ฟ",J1996,"")</f>
        <v/>
      </c>
    </row>
    <row r="1997">
      <c r="A1997" s="1" t="n">
        <v>3</v>
      </c>
      <c r="B1997" s="1" t="inlineStr">
        <is>
          <t>เสื้อผ้า</t>
        </is>
      </c>
      <c r="C1997" s="1" t="inlineStr">
        <is>
          <t>gf2040120578</t>
        </is>
      </c>
      <c r="D1997" s="1" t="inlineStr">
        <is>
          <t>NIKE Jordan Sport Printed Men's Polo (Black)</t>
        </is>
      </c>
      <c r="E1997" s="1" t="inlineStr">
        <is>
          <t>NIKE</t>
        </is>
      </c>
      <c r="F1997" s="1" t="inlineStr">
        <is>
          <t>SHORT SLEEVES</t>
        </is>
      </c>
      <c r="G1997" s="1" t="inlineStr">
        <is>
          <t>GF2040120578S</t>
        </is>
      </c>
      <c r="H1997" s="1" t="n">
        <v>5</v>
      </c>
      <c r="I1997" s="1" t="inlineStr">
        <is>
          <t>มี</t>
        </is>
      </c>
      <c r="J1997" s="13" t="n">
        <v>169</v>
      </c>
      <c r="K1997" s="1" t="inlineStr"/>
      <c r="L1997" s="13" t="n">
        <v>169</v>
      </c>
      <c r="M1997" s="1">
        <f>IF(L1997="","ไม่พบใน SG",IF(ABS(J1997-L1997)&lt;0.005,"ตรงกัน","ไม่ตรง"))</f>
        <v/>
      </c>
      <c r="N1997" s="14">
        <f>IF(L1997="","",ROUND(L1997*'สรุป'!$C$6,-1))</f>
        <v/>
      </c>
      <c r="O1997" s="15" t="n"/>
      <c r="P1997" s="15" t="n"/>
      <c r="Q1997" s="10" t="n"/>
      <c r="R1997" s="10" t="n"/>
      <c r="S1997" s="16" t="inlineStr">
        <is>
          <t>https://mstgolf.co.th/products/gf2040120578</t>
        </is>
      </c>
      <c r="T1997" s="1">
        <f>IF(B1997="ไม้กอล์ฟ",J1997,"")</f>
        <v/>
      </c>
    </row>
    <row r="1998">
      <c r="A1998" s="1" t="n">
        <v>3</v>
      </c>
      <c r="B1998" s="1" t="inlineStr">
        <is>
          <t>เสื้อผ้า</t>
        </is>
      </c>
      <c r="C1998" s="1" t="inlineStr">
        <is>
          <t>gf2040120580</t>
        </is>
      </c>
      <c r="D1998" s="1" t="inlineStr">
        <is>
          <t>NIKE Jordan Sport Printed Men's Polo (Goldtone)</t>
        </is>
      </c>
      <c r="E1998" s="1" t="inlineStr">
        <is>
          <t>NIKE</t>
        </is>
      </c>
      <c r="F1998" s="1" t="inlineStr">
        <is>
          <t>SHORT SLEEVES</t>
        </is>
      </c>
      <c r="G1998" s="1" t="inlineStr">
        <is>
          <t>GF2040120580S</t>
        </is>
      </c>
      <c r="H1998" s="1" t="n">
        <v>5</v>
      </c>
      <c r="I1998" s="1" t="inlineStr">
        <is>
          <t>มี</t>
        </is>
      </c>
      <c r="J1998" s="13" t="n">
        <v>169</v>
      </c>
      <c r="K1998" s="1" t="inlineStr"/>
      <c r="L1998" s="13" t="n">
        <v>169</v>
      </c>
      <c r="M1998" s="1">
        <f>IF(L1998="","ไม่พบใน SG",IF(ABS(J1998-L1998)&lt;0.005,"ตรงกัน","ไม่ตรง"))</f>
        <v/>
      </c>
      <c r="N1998" s="14">
        <f>IF(L1998="","",ROUND(L1998*'สรุป'!$C$6,-1))</f>
        <v/>
      </c>
      <c r="O1998" s="15" t="n"/>
      <c r="P1998" s="15" t="n"/>
      <c r="Q1998" s="10" t="n"/>
      <c r="R1998" s="10" t="n"/>
      <c r="S1998" s="16" t="inlineStr">
        <is>
          <t>https://mstgolf.co.th/products/gf2040120580</t>
        </is>
      </c>
      <c r="T1998" s="1">
        <f>IF(B1998="ไม้กอล์ฟ",J1998,"")</f>
        <v/>
      </c>
    </row>
    <row r="1999">
      <c r="A1999" s="1" t="n">
        <v>3</v>
      </c>
      <c r="B1999" s="1" t="inlineStr">
        <is>
          <t>เสื้อผ้า</t>
        </is>
      </c>
      <c r="C1999" s="1" t="inlineStr">
        <is>
          <t>gf2040120579</t>
        </is>
      </c>
      <c r="D1999" s="1" t="inlineStr">
        <is>
          <t>NIKE Jordan Sport Printed Men's Polo (Phantom)</t>
        </is>
      </c>
      <c r="E1999" s="1" t="inlineStr">
        <is>
          <t>NIKE</t>
        </is>
      </c>
      <c r="F1999" s="1" t="inlineStr">
        <is>
          <t>SHORT SLEEVES</t>
        </is>
      </c>
      <c r="G1999" s="1" t="inlineStr">
        <is>
          <t>GF2040120579S</t>
        </is>
      </c>
      <c r="H1999" s="1" t="n">
        <v>5</v>
      </c>
      <c r="I1999" s="1" t="inlineStr">
        <is>
          <t>มี</t>
        </is>
      </c>
      <c r="J1999" s="13" t="n">
        <v>169</v>
      </c>
      <c r="K1999" s="1" t="inlineStr"/>
      <c r="L1999" s="13" t="n"/>
      <c r="M1999" s="1">
        <f>IF(L1999="","ไม่พบใน SG",IF(ABS(J1999-L1999)&lt;0.005,"ตรงกัน","ไม่ตรง"))</f>
        <v/>
      </c>
      <c r="N1999" s="14">
        <f>IF(L1999="","",ROUND(L1999*'สรุป'!$C$6,-1))</f>
        <v/>
      </c>
      <c r="O1999" s="15" t="n"/>
      <c r="P1999" s="15" t="n"/>
      <c r="Q1999" s="10" t="n"/>
      <c r="R1999" s="10" t="n"/>
      <c r="S1999" s="16" t="inlineStr">
        <is>
          <t>https://mstgolf.co.th/products/gf2040120579</t>
        </is>
      </c>
      <c r="T1999" s="1">
        <f>IF(B1999="ไม้กอล์ฟ",J1999,"")</f>
        <v/>
      </c>
    </row>
    <row r="2000">
      <c r="A2000" s="1" t="n">
        <v>3</v>
      </c>
      <c r="B2000" s="1" t="inlineStr">
        <is>
          <t>เสื้อผ้า</t>
        </is>
      </c>
      <c r="C2000" s="1" t="inlineStr">
        <is>
          <t>gf2040120775</t>
        </is>
      </c>
      <c r="D2000" s="1" t="inlineStr">
        <is>
          <t>TAYLORMADE T-ICE Gradient Men's Polo (Sky)</t>
        </is>
      </c>
      <c r="E2000" s="1" t="inlineStr">
        <is>
          <t>TAYLORMADE</t>
        </is>
      </c>
      <c r="F2000" s="1" t="inlineStr">
        <is>
          <t>SHORT SLEEVES</t>
        </is>
      </c>
      <c r="G2000" s="1" t="inlineStr">
        <is>
          <t>GF2040120775M</t>
        </is>
      </c>
      <c r="H2000" s="1" t="n">
        <v>5</v>
      </c>
      <c r="I2000" s="1" t="inlineStr">
        <is>
          <t>มี</t>
        </is>
      </c>
      <c r="J2000" s="13" t="n">
        <v>169</v>
      </c>
      <c r="K2000" s="1" t="inlineStr"/>
      <c r="L2000" s="13" t="n">
        <v>169</v>
      </c>
      <c r="M2000" s="1">
        <f>IF(L2000="","ไม่พบใน SG",IF(ABS(J2000-L2000)&lt;0.005,"ตรงกัน","ไม่ตรง"))</f>
        <v/>
      </c>
      <c r="N2000" s="14">
        <f>IF(L2000="","",ROUND(L2000*'สรุป'!$C$6,-1))</f>
        <v/>
      </c>
      <c r="O2000" s="15" t="n"/>
      <c r="P2000" s="15" t="n"/>
      <c r="Q2000" s="10" t="n"/>
      <c r="R2000" s="10" t="n"/>
      <c r="S2000" s="16" t="inlineStr">
        <is>
          <t>https://mstgolf.co.th/products/gf2040120775</t>
        </is>
      </c>
      <c r="T2000" s="1">
        <f>IF(B2000="ไม้กอล์ฟ",J2000,"")</f>
        <v/>
      </c>
    </row>
    <row r="2001">
      <c r="A2001" s="1" t="n">
        <v>3</v>
      </c>
      <c r="B2001" s="1" t="inlineStr">
        <is>
          <t>เสื้อผ้า</t>
        </is>
      </c>
      <c r="C2001" s="1" t="inlineStr">
        <is>
          <t>gf2020202883</t>
        </is>
      </c>
      <c r="D2001" s="1" t="inlineStr">
        <is>
          <t>TAYLORMADE x PHANTACi Men's Shorts (Green)</t>
        </is>
      </c>
      <c r="E2001" s="1" t="inlineStr">
        <is>
          <t>TAYLORMADE</t>
        </is>
      </c>
      <c r="F2001" s="1" t="inlineStr">
        <is>
          <t>SHORT PANTS</t>
        </is>
      </c>
      <c r="G2001" s="1" t="inlineStr">
        <is>
          <t>GF2020202883S</t>
        </is>
      </c>
      <c r="H2001" s="1" t="n">
        <v>5</v>
      </c>
      <c r="I2001" s="1" t="inlineStr">
        <is>
          <t>มี</t>
        </is>
      </c>
      <c r="J2001" s="13" t="n">
        <v>169</v>
      </c>
      <c r="K2001" s="1" t="inlineStr"/>
      <c r="L2001" s="13" t="n">
        <v>169</v>
      </c>
      <c r="M2001" s="1">
        <f>IF(L2001="","ไม่พบใน SG",IF(ABS(J2001-L2001)&lt;0.005,"ตรงกัน","ไม่ตรง"))</f>
        <v/>
      </c>
      <c r="N2001" s="14">
        <f>IF(L2001="","",ROUND(L2001*'สรุป'!$C$6,-1))</f>
        <v/>
      </c>
      <c r="O2001" s="15" t="n"/>
      <c r="P2001" s="15" t="n"/>
      <c r="Q2001" s="10" t="n"/>
      <c r="R2001" s="10" t="n"/>
      <c r="S2001" s="16" t="inlineStr">
        <is>
          <t>https://mstgolf.co.th/products/gf2020202883</t>
        </is>
      </c>
      <c r="T2001" s="1">
        <f>IF(B2001="ไม้กอล์ฟ",J2001,"")</f>
        <v/>
      </c>
    </row>
    <row r="2002">
      <c r="A2002" s="1" t="n">
        <v>3</v>
      </c>
      <c r="B2002" s="1" t="inlineStr">
        <is>
          <t>เสื้อผ้า</t>
        </is>
      </c>
      <c r="C2002" s="1" t="inlineStr">
        <is>
          <t>gf2040401200</t>
        </is>
      </c>
      <c r="D2002" s="1" t="inlineStr">
        <is>
          <t>WAAC Korea Logo Men's Long Sleeve Polo (Blue)</t>
        </is>
      </c>
      <c r="E2002" s="1" t="inlineStr">
        <is>
          <t>WAAC</t>
        </is>
      </c>
      <c r="F2002" s="1" t="inlineStr">
        <is>
          <t>LONG SLEEVES</t>
        </is>
      </c>
      <c r="G2002" s="1" t="inlineStr">
        <is>
          <t>GF2040401200S</t>
        </is>
      </c>
      <c r="H2002" s="1" t="n">
        <v>5</v>
      </c>
      <c r="I2002" s="1" t="inlineStr">
        <is>
          <t>มี</t>
        </is>
      </c>
      <c r="J2002" s="13" t="n">
        <v>169</v>
      </c>
      <c r="K2002" s="1" t="inlineStr"/>
      <c r="L2002" s="13" t="n">
        <v>169</v>
      </c>
      <c r="M2002" s="1">
        <f>IF(L2002="","ไม่พบใน SG",IF(ABS(J2002-L2002)&lt;0.005,"ตรงกัน","ไม่ตรง"))</f>
        <v/>
      </c>
      <c r="N2002" s="14">
        <f>IF(L2002="","",ROUND(L2002*'สรุป'!$C$6,-1))</f>
        <v/>
      </c>
      <c r="O2002" s="15" t="n"/>
      <c r="P2002" s="15" t="n"/>
      <c r="Q2002" s="10" t="n"/>
      <c r="R2002" s="10" t="n"/>
      <c r="S2002" s="16" t="inlineStr">
        <is>
          <t>https://mstgolf.co.th/products/gf2040401200</t>
        </is>
      </c>
      <c r="T2002" s="1">
        <f>IF(B2002="ไม้กอล์ฟ",J2002,"")</f>
        <v/>
      </c>
    </row>
    <row r="2003">
      <c r="A2003" s="1" t="n">
        <v>3</v>
      </c>
      <c r="B2003" s="1" t="inlineStr">
        <is>
          <t>เสื้อผ้า</t>
        </is>
      </c>
      <c r="C2003" s="1" t="inlineStr">
        <is>
          <t>gf2040118007</t>
        </is>
      </c>
      <c r="D2003" s="1" t="inlineStr">
        <is>
          <t>WAAC Korea Oblique Print Men's Polo (Black/Green)</t>
        </is>
      </c>
      <c r="E2003" s="1" t="inlineStr">
        <is>
          <t>WAAC</t>
        </is>
      </c>
      <c r="F2003" s="1" t="inlineStr">
        <is>
          <t>SHORT SLEEVES</t>
        </is>
      </c>
      <c r="G2003" s="1" t="inlineStr">
        <is>
          <t>GF2040118007S</t>
        </is>
      </c>
      <c r="H2003" s="1" t="n">
        <v>5</v>
      </c>
      <c r="I2003" s="1" t="inlineStr">
        <is>
          <t>มี</t>
        </is>
      </c>
      <c r="J2003" s="13" t="n">
        <v>169</v>
      </c>
      <c r="K2003" s="1" t="inlineStr"/>
      <c r="L2003" s="13" t="n">
        <v>169</v>
      </c>
      <c r="M2003" s="1">
        <f>IF(L2003="","ไม่พบใน SG",IF(ABS(J2003-L2003)&lt;0.005,"ตรงกัน","ไม่ตรง"))</f>
        <v/>
      </c>
      <c r="N2003" s="14">
        <f>IF(L2003="","",ROUND(L2003*'สรุป'!$C$6,-1))</f>
        <v/>
      </c>
      <c r="O2003" s="15" t="n"/>
      <c r="P2003" s="15" t="n"/>
      <c r="Q2003" s="10" t="n"/>
      <c r="R2003" s="10" t="n"/>
      <c r="S2003" s="16" t="inlineStr">
        <is>
          <t>https://mstgolf.co.th/products/gf2040118007</t>
        </is>
      </c>
      <c r="T2003" s="1">
        <f>IF(B2003="ไม้กอล์ฟ",J2003,"")</f>
        <v/>
      </c>
    </row>
    <row r="2004">
      <c r="A2004" s="1" t="n">
        <v>3</v>
      </c>
      <c r="B2004" s="1" t="inlineStr">
        <is>
          <t>เสื้อผ้า</t>
        </is>
      </c>
      <c r="C2004" s="1" t="inlineStr">
        <is>
          <t>gf2040120586</t>
        </is>
      </c>
      <c r="D2004" s="1" t="inlineStr">
        <is>
          <t>GFORE Camo Floral Tech Pique Men's Polo (Lisbon)</t>
        </is>
      </c>
      <c r="E2004" s="1" t="inlineStr">
        <is>
          <t>GFORE</t>
        </is>
      </c>
      <c r="F2004" s="1" t="inlineStr">
        <is>
          <t>SHORT SLEEVES</t>
        </is>
      </c>
      <c r="G2004" s="1" t="inlineStr">
        <is>
          <t>GF2040120586S</t>
        </is>
      </c>
      <c r="H2004" s="1" t="n">
        <v>5</v>
      </c>
      <c r="I2004" s="1" t="inlineStr">
        <is>
          <t>มี</t>
        </is>
      </c>
      <c r="J2004" s="13" t="n">
        <v>165</v>
      </c>
      <c r="K2004" s="1" t="inlineStr"/>
      <c r="L2004" s="13" t="n">
        <v>115</v>
      </c>
      <c r="M2004" s="1">
        <f>IF(L2004="","ไม่พบใน SG",IF(ABS(J2004-L2004)&lt;0.005,"ตรงกัน","ไม่ตรง"))</f>
        <v/>
      </c>
      <c r="N2004" s="14">
        <f>IF(L2004="","",ROUND(L2004*'สรุป'!$C$6,-1))</f>
        <v/>
      </c>
      <c r="O2004" s="15" t="n"/>
      <c r="P2004" s="15" t="n"/>
      <c r="Q2004" s="10" t="n"/>
      <c r="R2004" s="10" t="n"/>
      <c r="S2004" s="16" t="inlineStr">
        <is>
          <t>https://mstgolf.co.th/products/gf2040120586</t>
        </is>
      </c>
      <c r="T2004" s="1">
        <f>IF(B2004="ไม้กอล์ฟ",J2004,"")</f>
        <v/>
      </c>
    </row>
    <row r="2005">
      <c r="A2005" s="1" t="n">
        <v>3</v>
      </c>
      <c r="B2005" s="1" t="inlineStr">
        <is>
          <t>เสื้อผ้า</t>
        </is>
      </c>
      <c r="C2005" s="1" t="inlineStr">
        <is>
          <t>gf2020102450</t>
        </is>
      </c>
      <c r="D2005" s="1" t="inlineStr">
        <is>
          <t>GFORE Double Knit Cigarette Leg High Rise Stretch Women's Pants (Twilight)</t>
        </is>
      </c>
      <c r="E2005" s="1" t="inlineStr">
        <is>
          <t>GFORE</t>
        </is>
      </c>
      <c r="F2005" s="1" t="inlineStr">
        <is>
          <t>LONG PANTS</t>
        </is>
      </c>
      <c r="G2005" s="1" t="inlineStr">
        <is>
          <t>GF20201024500</t>
        </is>
      </c>
      <c r="H2005" s="1" t="n">
        <v>6</v>
      </c>
      <c r="I2005" s="1" t="inlineStr">
        <is>
          <t>มี</t>
        </is>
      </c>
      <c r="J2005" s="13" t="n">
        <v>165</v>
      </c>
      <c r="K2005" s="1" t="inlineStr"/>
      <c r="L2005" s="13" t="n">
        <v>165</v>
      </c>
      <c r="M2005" s="1">
        <f>IF(L2005="","ไม่พบใน SG",IF(ABS(J2005-L2005)&lt;0.005,"ตรงกัน","ไม่ตรง"))</f>
        <v/>
      </c>
      <c r="N2005" s="14">
        <f>IF(L2005="","",ROUND(L2005*'สรุป'!$C$6,-1))</f>
        <v/>
      </c>
      <c r="O2005" s="15" t="n"/>
      <c r="P2005" s="15" t="n"/>
      <c r="Q2005" s="10" t="n"/>
      <c r="R2005" s="10" t="n"/>
      <c r="S2005" s="16" t="inlineStr">
        <is>
          <t>https://mstgolf.co.th/products/gf2020102450</t>
        </is>
      </c>
      <c r="T2005" s="1">
        <f>IF(B2005="ไม้กอล์ฟ",J2005,"")</f>
        <v/>
      </c>
    </row>
    <row r="2006">
      <c r="A2006" s="1" t="n">
        <v>3</v>
      </c>
      <c r="B2006" s="1" t="inlineStr">
        <is>
          <t>เสื้อผ้า</t>
        </is>
      </c>
      <c r="C2006" s="1" t="inlineStr">
        <is>
          <t>gf2040120604</t>
        </is>
      </c>
      <c r="D2006" s="1" t="inlineStr">
        <is>
          <t>PETER MILLAR Corinth Performance Jersey Polo (Blue Forest)</t>
        </is>
      </c>
      <c r="E2006" s="1" t="inlineStr">
        <is>
          <t>PETER MILLAR</t>
        </is>
      </c>
      <c r="F2006" s="1" t="inlineStr">
        <is>
          <t>SHORT SLEEVES</t>
        </is>
      </c>
      <c r="G2006" s="1" t="inlineStr">
        <is>
          <t>GF2040120604S</t>
        </is>
      </c>
      <c r="H2006" s="1" t="n">
        <v>5</v>
      </c>
      <c r="I2006" s="1" t="inlineStr">
        <is>
          <t>มี</t>
        </is>
      </c>
      <c r="J2006" s="13" t="n">
        <v>165</v>
      </c>
      <c r="K2006" s="1" t="inlineStr"/>
      <c r="L2006" s="13" t="n">
        <v>165</v>
      </c>
      <c r="M2006" s="1">
        <f>IF(L2006="","ไม่พบใน SG",IF(ABS(J2006-L2006)&lt;0.005,"ตรงกัน","ไม่ตรง"))</f>
        <v/>
      </c>
      <c r="N2006" s="14">
        <f>IF(L2006="","",ROUND(L2006*'สรุป'!$C$6,-1))</f>
        <v/>
      </c>
      <c r="O2006" s="15" t="n"/>
      <c r="P2006" s="15" t="n"/>
      <c r="Q2006" s="10" t="n"/>
      <c r="R2006" s="10" t="n"/>
      <c r="S2006" s="16" t="inlineStr">
        <is>
          <t>https://mstgolf.co.th/products/gf2040120604</t>
        </is>
      </c>
      <c r="T2006" s="1">
        <f>IF(B2006="ไม้กอล์ฟ",J2006,"")</f>
        <v/>
      </c>
    </row>
    <row r="2007">
      <c r="A2007" s="1" t="n">
        <v>3</v>
      </c>
      <c r="B2007" s="1" t="inlineStr">
        <is>
          <t>เสื้อผ้า</t>
        </is>
      </c>
      <c r="C2007" s="1" t="inlineStr">
        <is>
          <t>gf2040120609</t>
        </is>
      </c>
      <c r="D2007" s="1" t="inlineStr">
        <is>
          <t>PETER MILLAR Due North Men's Performance Jersey Polo (Lunar Blue)</t>
        </is>
      </c>
      <c r="E2007" s="1" t="inlineStr">
        <is>
          <t>PETER MILLAR</t>
        </is>
      </c>
      <c r="F2007" s="1" t="inlineStr">
        <is>
          <t>SHORT SLEEVES</t>
        </is>
      </c>
      <c r="G2007" s="1" t="inlineStr">
        <is>
          <t>GF2040120609S</t>
        </is>
      </c>
      <c r="H2007" s="1" t="n">
        <v>5</v>
      </c>
      <c r="I2007" s="1" t="inlineStr">
        <is>
          <t>มี</t>
        </is>
      </c>
      <c r="J2007" s="13" t="n">
        <v>165</v>
      </c>
      <c r="K2007" s="1" t="inlineStr"/>
      <c r="L2007" s="13" t="n">
        <v>165</v>
      </c>
      <c r="M2007" s="1">
        <f>IF(L2007="","ไม่พบใน SG",IF(ABS(J2007-L2007)&lt;0.005,"ตรงกัน","ไม่ตรง"))</f>
        <v/>
      </c>
      <c r="N2007" s="14">
        <f>IF(L2007="","",ROUND(L2007*'สรุป'!$C$6,-1))</f>
        <v/>
      </c>
      <c r="O2007" s="15" t="n"/>
      <c r="P2007" s="15" t="n"/>
      <c r="Q2007" s="10" t="n"/>
      <c r="R2007" s="10" t="n"/>
      <c r="S2007" s="16" t="inlineStr">
        <is>
          <t>https://mstgolf.co.th/products/gf2040120609</t>
        </is>
      </c>
      <c r="T2007" s="1">
        <f>IF(B2007="ไม้กอล์ฟ",J2007,"")</f>
        <v/>
      </c>
    </row>
    <row r="2008">
      <c r="A2008" s="1" t="n">
        <v>3</v>
      </c>
      <c r="B2008" s="1" t="inlineStr">
        <is>
          <t>เสื้อผ้า</t>
        </is>
      </c>
      <c r="C2008" s="1" t="inlineStr">
        <is>
          <t>gf2040120605</t>
        </is>
      </c>
      <c r="D2008" s="1" t="inlineStr">
        <is>
          <t>PETER MILLAR Seville Men's Performance Jersey Polo (White)</t>
        </is>
      </c>
      <c r="E2008" s="1" t="inlineStr">
        <is>
          <t>PETER MILLAR</t>
        </is>
      </c>
      <c r="F2008" s="1" t="inlineStr">
        <is>
          <t>SHORT SLEEVES</t>
        </is>
      </c>
      <c r="G2008" s="1" t="inlineStr">
        <is>
          <t>GF2040120605S</t>
        </is>
      </c>
      <c r="H2008" s="1" t="n">
        <v>5</v>
      </c>
      <c r="I2008" s="1" t="inlineStr">
        <is>
          <t>มี</t>
        </is>
      </c>
      <c r="J2008" s="13" t="n">
        <v>165</v>
      </c>
      <c r="K2008" s="1" t="inlineStr"/>
      <c r="L2008" s="13" t="n">
        <v>165</v>
      </c>
      <c r="M2008" s="1">
        <f>IF(L2008="","ไม่พบใน SG",IF(ABS(J2008-L2008)&lt;0.005,"ตรงกัน","ไม่ตรง"))</f>
        <v/>
      </c>
      <c r="N2008" s="14">
        <f>IF(L2008="","",ROUND(L2008*'สรุป'!$C$6,-1))</f>
        <v/>
      </c>
      <c r="O2008" s="15" t="n"/>
      <c r="P2008" s="15" t="n"/>
      <c r="Q2008" s="10" t="n"/>
      <c r="R2008" s="10" t="n"/>
      <c r="S2008" s="16" t="inlineStr">
        <is>
          <t>https://mstgolf.co.th/products/gf2040120605</t>
        </is>
      </c>
      <c r="T2008" s="1">
        <f>IF(B2008="ไม้กอล์ฟ",J2008,"")</f>
        <v/>
      </c>
    </row>
    <row r="2009">
      <c r="A2009" s="1" t="n">
        <v>3</v>
      </c>
      <c r="B2009" s="1" t="inlineStr">
        <is>
          <t>เสื้อผ้า</t>
        </is>
      </c>
      <c r="C2009" s="1" t="inlineStr">
        <is>
          <t>gf2020202436</t>
        </is>
      </c>
      <c r="D2009" s="1" t="inlineStr">
        <is>
          <t>WAAC Korea Cool Women's Cargo Shorts (White)</t>
        </is>
      </c>
      <c r="E2009" s="1" t="inlineStr">
        <is>
          <t>WAAC</t>
        </is>
      </c>
      <c r="F2009" s="1" t="inlineStr">
        <is>
          <t>SHORT PANTS</t>
        </is>
      </c>
      <c r="G2009" s="1" t="inlineStr">
        <is>
          <t>GF20202024362XL</t>
        </is>
      </c>
      <c r="H2009" s="1" t="n">
        <v>12</v>
      </c>
      <c r="I2009" s="1" t="inlineStr">
        <is>
          <t>มี</t>
        </is>
      </c>
      <c r="J2009" s="13" t="n">
        <v>165</v>
      </c>
      <c r="K2009" s="1" t="inlineStr"/>
      <c r="L2009" s="13" t="n">
        <v>165</v>
      </c>
      <c r="M2009" s="1">
        <f>IF(L2009="","ไม่พบใน SG",IF(ABS(J2009-L2009)&lt;0.005,"ตรงกัน","ไม่ตรง"))</f>
        <v/>
      </c>
      <c r="N2009" s="14">
        <f>IF(L2009="","",ROUND(L2009*'สรุป'!$C$6,-1))</f>
        <v/>
      </c>
      <c r="O2009" s="15" t="n"/>
      <c r="P2009" s="15" t="n"/>
      <c r="Q2009" s="10" t="n"/>
      <c r="R2009" s="10" t="n"/>
      <c r="S2009" s="16" t="inlineStr">
        <is>
          <t>https://mstgolf.co.th/products/gf2020202436</t>
        </is>
      </c>
      <c r="T2009" s="1">
        <f>IF(B2009="ไม้กอล์ฟ",J2009,"")</f>
        <v/>
      </c>
    </row>
    <row r="2010">
      <c r="A2010" s="1" t="n">
        <v>3</v>
      </c>
      <c r="B2010" s="1" t="inlineStr">
        <is>
          <t>เสื้อผ้า</t>
        </is>
      </c>
      <c r="C2010" s="1" t="inlineStr">
        <is>
          <t>gf2020202442</t>
        </is>
      </c>
      <c r="D2010" s="1" t="inlineStr">
        <is>
          <t>WAAC Korea Cool Women's Shorts (Navy)</t>
        </is>
      </c>
      <c r="E2010" s="1" t="inlineStr">
        <is>
          <t>WAAC</t>
        </is>
      </c>
      <c r="F2010" s="1" t="inlineStr">
        <is>
          <t>SHORT PANTS</t>
        </is>
      </c>
      <c r="G2010" s="1" t="inlineStr">
        <is>
          <t>GF202020244223</t>
        </is>
      </c>
      <c r="H2010" s="1" t="n">
        <v>6</v>
      </c>
      <c r="I2010" s="1" t="inlineStr">
        <is>
          <t>มี</t>
        </is>
      </c>
      <c r="J2010" s="13" t="n">
        <v>165</v>
      </c>
      <c r="K2010" s="1" t="inlineStr"/>
      <c r="L2010" s="13" t="n">
        <v>165</v>
      </c>
      <c r="M2010" s="1">
        <f>IF(L2010="","ไม่พบใน SG",IF(ABS(J2010-L2010)&lt;0.005,"ตรงกัน","ไม่ตรง"))</f>
        <v/>
      </c>
      <c r="N2010" s="14">
        <f>IF(L2010="","",ROUND(L2010*'สรุป'!$C$6,-1))</f>
        <v/>
      </c>
      <c r="O2010" s="15" t="n"/>
      <c r="P2010" s="15" t="n"/>
      <c r="Q2010" s="10" t="n"/>
      <c r="R2010" s="10" t="n"/>
      <c r="S2010" s="16" t="inlineStr">
        <is>
          <t>https://mstgolf.co.th/products/gf2020202442</t>
        </is>
      </c>
      <c r="T2010" s="1">
        <f>IF(B2010="ไม้กอล์ฟ",J2010,"")</f>
        <v/>
      </c>
    </row>
    <row r="2011">
      <c r="A2011" s="1" t="n">
        <v>3</v>
      </c>
      <c r="B2011" s="1" t="inlineStr">
        <is>
          <t>เสื้อผ้า</t>
        </is>
      </c>
      <c r="C2011" s="1" t="inlineStr">
        <is>
          <t>gf2020202441</t>
        </is>
      </c>
      <c r="D2011" s="1" t="inlineStr">
        <is>
          <t>WAAC Korea Seersucker Skort (Green)</t>
        </is>
      </c>
      <c r="E2011" s="1" t="inlineStr">
        <is>
          <t>WAAC</t>
        </is>
      </c>
      <c r="F2011" s="1" t="inlineStr">
        <is>
          <t>SHORT PANTS</t>
        </is>
      </c>
      <c r="G2011" s="1" t="inlineStr">
        <is>
          <t>GF202020244123</t>
        </is>
      </c>
      <c r="H2011" s="1" t="n">
        <v>6</v>
      </c>
      <c r="I2011" s="1" t="inlineStr">
        <is>
          <t>มี</t>
        </is>
      </c>
      <c r="J2011" s="13" t="n">
        <v>165</v>
      </c>
      <c r="K2011" s="1" t="inlineStr"/>
      <c r="L2011" s="13" t="n">
        <v>165</v>
      </c>
      <c r="M2011" s="1">
        <f>IF(L2011="","ไม่พบใน SG",IF(ABS(J2011-L2011)&lt;0.005,"ตรงกัน","ไม่ตรง"))</f>
        <v/>
      </c>
      <c r="N2011" s="14">
        <f>IF(L2011="","",ROUND(L2011*'สรุป'!$C$6,-1))</f>
        <v/>
      </c>
      <c r="O2011" s="15" t="n"/>
      <c r="P2011" s="15" t="n"/>
      <c r="Q2011" s="10" t="n"/>
      <c r="R2011" s="10" t="n"/>
      <c r="S2011" s="16" t="inlineStr">
        <is>
          <t>https://mstgolf.co.th/products/gf2020202441</t>
        </is>
      </c>
      <c r="T2011" s="1">
        <f>IF(B2011="ไม้กอล์ฟ",J2011,"")</f>
        <v/>
      </c>
    </row>
    <row r="2012">
      <c r="A2012" s="1" t="n">
        <v>3</v>
      </c>
      <c r="B2012" s="1" t="inlineStr">
        <is>
          <t>เสื้อผ้า</t>
        </is>
      </c>
      <c r="C2012" s="1" t="inlineStr">
        <is>
          <t>gf2040401353</t>
        </is>
      </c>
      <c r="D2012" s="1" t="inlineStr">
        <is>
          <t>PETER MILLAR Jubilee Men's Long Sleeve Polo (Blue Fade)</t>
        </is>
      </c>
      <c r="E2012" s="1" t="inlineStr">
        <is>
          <t>PETER MILLAR</t>
        </is>
      </c>
      <c r="F2012" s="1" t="inlineStr">
        <is>
          <t>LONG SLEEVES</t>
        </is>
      </c>
      <c r="G2012" s="1" t="inlineStr">
        <is>
          <t>GF2040401353S</t>
        </is>
      </c>
      <c r="H2012" s="1" t="n">
        <v>5</v>
      </c>
      <c r="I2012" s="1" t="inlineStr">
        <is>
          <t>มี</t>
        </is>
      </c>
      <c r="J2012" s="13" t="n">
        <v>160</v>
      </c>
      <c r="K2012" s="1" t="inlineStr"/>
      <c r="L2012" s="13" t="n">
        <v>160</v>
      </c>
      <c r="M2012" s="1">
        <f>IF(L2012="","ไม่พบใน SG",IF(ABS(J2012-L2012)&lt;0.005,"ตรงกัน","ไม่ตรง"))</f>
        <v/>
      </c>
      <c r="N2012" s="14">
        <f>IF(L2012="","",ROUND(L2012*'สรุป'!$C$6,-1))</f>
        <v/>
      </c>
      <c r="O2012" s="15" t="n"/>
      <c r="P2012" s="15" t="n"/>
      <c r="Q2012" s="10" t="n"/>
      <c r="R2012" s="10" t="n"/>
      <c r="S2012" s="16" t="inlineStr">
        <is>
          <t>https://mstgolf.co.th/products/gf2040401353</t>
        </is>
      </c>
      <c r="T2012" s="1">
        <f>IF(B2012="ไม้กอล์ฟ",J2012,"")</f>
        <v/>
      </c>
    </row>
    <row r="2013">
      <c r="A2013" s="1" t="n">
        <v>3</v>
      </c>
      <c r="B2013" s="1" t="inlineStr">
        <is>
          <t>เสื้อผ้า</t>
        </is>
      </c>
      <c r="C2013" s="1" t="inlineStr">
        <is>
          <t>gf2040200130</t>
        </is>
      </c>
      <c r="D2013" s="1" t="inlineStr">
        <is>
          <t>TAYLORMADE T-ICE T-AIR Logo Men's Polo (Chambray)</t>
        </is>
      </c>
      <c r="E2013" s="1" t="inlineStr">
        <is>
          <t>TAYLORMADE</t>
        </is>
      </c>
      <c r="F2013" s="1" t="inlineStr">
        <is>
          <t>TEE SHIRT</t>
        </is>
      </c>
      <c r="G2013" s="1" t="inlineStr">
        <is>
          <t>GF2040200130M</t>
        </is>
      </c>
      <c r="H2013" s="1" t="n">
        <v>5</v>
      </c>
      <c r="I2013" s="1" t="inlineStr">
        <is>
          <t>มี</t>
        </is>
      </c>
      <c r="J2013" s="13" t="n">
        <v>160</v>
      </c>
      <c r="K2013" s="1" t="inlineStr"/>
      <c r="L2013" s="13" t="n">
        <v>160</v>
      </c>
      <c r="M2013" s="1">
        <f>IF(L2013="","ไม่พบใน SG",IF(ABS(J2013-L2013)&lt;0.005,"ตรงกัน","ไม่ตรง"))</f>
        <v/>
      </c>
      <c r="N2013" s="14">
        <f>IF(L2013="","",ROUND(L2013*'สรุป'!$C$6,-1))</f>
        <v/>
      </c>
      <c r="O2013" s="15" t="n"/>
      <c r="P2013" s="15" t="n"/>
      <c r="Q2013" s="10" t="n"/>
      <c r="R2013" s="10" t="n"/>
      <c r="S2013" s="16" t="inlineStr">
        <is>
          <t>https://mstgolf.co.th/products/gf2040200130</t>
        </is>
      </c>
      <c r="T2013" s="1">
        <f>IF(B2013="ไม้กอล์ฟ",J2013,"")</f>
        <v/>
      </c>
    </row>
    <row r="2014">
      <c r="A2014" s="1" t="n">
        <v>3</v>
      </c>
      <c r="B2014" s="1" t="inlineStr">
        <is>
          <t>เสื้อผ้า</t>
        </is>
      </c>
      <c r="C2014" s="1" t="inlineStr">
        <is>
          <t>gf2020202739</t>
        </is>
      </c>
      <c r="D2014" s="1" t="inlineStr">
        <is>
          <t>WAAC Athletic Big Pocket Women's Shorts (Navy)</t>
        </is>
      </c>
      <c r="E2014" s="1" t="inlineStr">
        <is>
          <t>WAAC</t>
        </is>
      </c>
      <c r="F2014" s="1" t="inlineStr">
        <is>
          <t>SHORT PANTS</t>
        </is>
      </c>
      <c r="G2014" s="1" t="inlineStr">
        <is>
          <t>GF202020273923</t>
        </is>
      </c>
      <c r="H2014" s="1" t="n">
        <v>8</v>
      </c>
      <c r="I2014" s="1" t="inlineStr">
        <is>
          <t>มี</t>
        </is>
      </c>
      <c r="J2014" s="13" t="n">
        <v>160</v>
      </c>
      <c r="K2014" s="1" t="inlineStr"/>
      <c r="L2014" s="13" t="n">
        <v>160</v>
      </c>
      <c r="M2014" s="1">
        <f>IF(L2014="","ไม่พบใน SG",IF(ABS(J2014-L2014)&lt;0.005,"ตรงกัน","ไม่ตรง"))</f>
        <v/>
      </c>
      <c r="N2014" s="14">
        <f>IF(L2014="","",ROUND(L2014*'สรุป'!$C$6,-1))</f>
        <v/>
      </c>
      <c r="O2014" s="15" t="n"/>
      <c r="P2014" s="15" t="n"/>
      <c r="Q2014" s="10" t="n"/>
      <c r="R2014" s="10" t="n"/>
      <c r="S2014" s="16" t="inlineStr">
        <is>
          <t>https://mstgolf.co.th/products/gf2020202739</t>
        </is>
      </c>
      <c r="T2014" s="1">
        <f>IF(B2014="ไม้กอล์ฟ",J2014,"")</f>
        <v/>
      </c>
    </row>
    <row r="2015">
      <c r="A2015" s="1" t="n">
        <v>3</v>
      </c>
      <c r="B2015" s="1" t="inlineStr">
        <is>
          <t>เสื้อผ้า</t>
        </is>
      </c>
      <c r="C2015" s="1" t="inlineStr">
        <is>
          <t>gf2020202736</t>
        </is>
      </c>
      <c r="D2015" s="1" t="inlineStr">
        <is>
          <t>WAAC Athletic Essential Men's Shorts (White)</t>
        </is>
      </c>
      <c r="E2015" s="1" t="inlineStr">
        <is>
          <t>WAAC</t>
        </is>
      </c>
      <c r="F2015" s="1" t="inlineStr">
        <is>
          <t>SHORT PANTS</t>
        </is>
      </c>
      <c r="G2015" s="1" t="inlineStr">
        <is>
          <t>GF202020273628</t>
        </is>
      </c>
      <c r="H2015" s="1" t="n">
        <v>7</v>
      </c>
      <c r="I2015" s="1" t="inlineStr">
        <is>
          <t>มี</t>
        </is>
      </c>
      <c r="J2015" s="13" t="n">
        <v>160</v>
      </c>
      <c r="K2015" s="1" t="inlineStr"/>
      <c r="L2015" s="13" t="n">
        <v>160</v>
      </c>
      <c r="M2015" s="1">
        <f>IF(L2015="","ไม่พบใน SG",IF(ABS(J2015-L2015)&lt;0.005,"ตรงกัน","ไม่ตรง"))</f>
        <v/>
      </c>
      <c r="N2015" s="14">
        <f>IF(L2015="","",ROUND(L2015*'สรุป'!$C$6,-1))</f>
        <v/>
      </c>
      <c r="O2015" s="15" t="n"/>
      <c r="P2015" s="15" t="n"/>
      <c r="Q2015" s="10" t="n"/>
      <c r="R2015" s="10" t="n"/>
      <c r="S2015" s="16" t="inlineStr">
        <is>
          <t>https://mstgolf.co.th/products/gf2020202736</t>
        </is>
      </c>
      <c r="T2015" s="1">
        <f>IF(B2015="ไม้กอล์ฟ",J2015,"")</f>
        <v/>
      </c>
    </row>
    <row r="2016">
      <c r="A2016" s="1" t="n">
        <v>3</v>
      </c>
      <c r="B2016" s="1" t="inlineStr">
        <is>
          <t>เสื้อผ้า</t>
        </is>
      </c>
      <c r="C2016" s="1" t="inlineStr">
        <is>
          <t>gf2040300178</t>
        </is>
      </c>
      <c r="D2016" s="1" t="inlineStr">
        <is>
          <t>ADIDAS Originals Dress (Brown)</t>
        </is>
      </c>
      <c r="E2016" s="1" t="inlineStr">
        <is>
          <t>ADIDAS</t>
        </is>
      </c>
      <c r="F2016" s="1" t="inlineStr">
        <is>
          <t>DRESS</t>
        </is>
      </c>
      <c r="G2016" s="1" t="inlineStr">
        <is>
          <t>GF20403001782XS</t>
        </is>
      </c>
      <c r="H2016" s="1" t="n">
        <v>7</v>
      </c>
      <c r="I2016" s="1" t="inlineStr">
        <is>
          <t>มี</t>
        </is>
      </c>
      <c r="J2016" s="13" t="n">
        <v>159</v>
      </c>
      <c r="K2016" s="1" t="inlineStr"/>
      <c r="L2016" s="13" t="n">
        <v>109</v>
      </c>
      <c r="M2016" s="1">
        <f>IF(L2016="","ไม่พบใน SG",IF(ABS(J2016-L2016)&lt;0.005,"ตรงกัน","ไม่ตรง"))</f>
        <v/>
      </c>
      <c r="N2016" s="14">
        <f>IF(L2016="","",ROUND(L2016*'สรุป'!$C$6,-1))</f>
        <v/>
      </c>
      <c r="O2016" s="15" t="n"/>
      <c r="P2016" s="15" t="n"/>
      <c r="Q2016" s="10" t="n"/>
      <c r="R2016" s="10" t="n"/>
      <c r="S2016" s="16" t="inlineStr">
        <is>
          <t>https://mstgolf.co.th/products/gf2040300178</t>
        </is>
      </c>
      <c r="T2016" s="1">
        <f>IF(B2016="ไม้กอล์ฟ",J2016,"")</f>
        <v/>
      </c>
    </row>
    <row r="2017">
      <c r="A2017" s="1" t="n">
        <v>3</v>
      </c>
      <c r="B2017" s="1" t="inlineStr">
        <is>
          <t>เสื้อผ้า</t>
        </is>
      </c>
      <c r="C2017" s="1" t="inlineStr">
        <is>
          <t>gf2040300176</t>
        </is>
      </c>
      <c r="D2017" s="1" t="inlineStr">
        <is>
          <t>ADIDAS Originals Dress (Sky)</t>
        </is>
      </c>
      <c r="E2017" s="1" t="inlineStr">
        <is>
          <t>ADIDAS</t>
        </is>
      </c>
      <c r="F2017" s="1" t="inlineStr">
        <is>
          <t>DRESS</t>
        </is>
      </c>
      <c r="G2017" s="1" t="inlineStr">
        <is>
          <t>GF20403001762XS</t>
        </is>
      </c>
      <c r="H2017" s="1" t="n">
        <v>7</v>
      </c>
      <c r="I2017" s="1" t="inlineStr">
        <is>
          <t>มี</t>
        </is>
      </c>
      <c r="J2017" s="13" t="n">
        <v>159</v>
      </c>
      <c r="K2017" s="1" t="inlineStr"/>
      <c r="L2017" s="13" t="n">
        <v>109</v>
      </c>
      <c r="M2017" s="1">
        <f>IF(L2017="","ไม่พบใน SG",IF(ABS(J2017-L2017)&lt;0.005,"ตรงกัน","ไม่ตรง"))</f>
        <v/>
      </c>
      <c r="N2017" s="14">
        <f>IF(L2017="","",ROUND(L2017*'สรุป'!$C$6,-1))</f>
        <v/>
      </c>
      <c r="O2017" s="15" t="n"/>
      <c r="P2017" s="15" t="n"/>
      <c r="Q2017" s="10" t="n"/>
      <c r="R2017" s="10" t="n"/>
      <c r="S2017" s="16" t="inlineStr">
        <is>
          <t>https://mstgolf.co.th/products/gf2040300176</t>
        </is>
      </c>
      <c r="T2017" s="1">
        <f>IF(B2017="ไม้กอล์ฟ",J2017,"")</f>
        <v/>
      </c>
    </row>
    <row r="2018">
      <c r="A2018" s="1" t="n">
        <v>3</v>
      </c>
      <c r="B2018" s="1" t="inlineStr">
        <is>
          <t>เสื้อผ้า</t>
        </is>
      </c>
      <c r="C2018" s="1" t="inlineStr">
        <is>
          <t>gf2040300175</t>
        </is>
      </c>
      <c r="D2018" s="1" t="inlineStr">
        <is>
          <t>ADIDAS Originals Dress (White)</t>
        </is>
      </c>
      <c r="E2018" s="1" t="inlineStr">
        <is>
          <t>ADIDAS</t>
        </is>
      </c>
      <c r="F2018" s="1" t="inlineStr">
        <is>
          <t>DRESS</t>
        </is>
      </c>
      <c r="G2018" s="1" t="inlineStr">
        <is>
          <t>GF20403001752XS</t>
        </is>
      </c>
      <c r="H2018" s="1" t="n">
        <v>7</v>
      </c>
      <c r="I2018" s="1" t="inlineStr">
        <is>
          <t>มี</t>
        </is>
      </c>
      <c r="J2018" s="13" t="n">
        <v>159</v>
      </c>
      <c r="K2018" s="1" t="inlineStr"/>
      <c r="L2018" s="13" t="n">
        <v>109</v>
      </c>
      <c r="M2018" s="1">
        <f>IF(L2018="","ไม่พบใน SG",IF(ABS(J2018-L2018)&lt;0.005,"ตรงกัน","ไม่ตรง"))</f>
        <v/>
      </c>
      <c r="N2018" s="14">
        <f>IF(L2018="","",ROUND(L2018*'สรุป'!$C$6,-1))</f>
        <v/>
      </c>
      <c r="O2018" s="15" t="n"/>
      <c r="P2018" s="15" t="n"/>
      <c r="Q2018" s="10" t="n"/>
      <c r="R2018" s="10" t="n"/>
      <c r="S2018" s="16" t="inlineStr">
        <is>
          <t>https://mstgolf.co.th/products/gf2040300175</t>
        </is>
      </c>
      <c r="T2018" s="1">
        <f>IF(B2018="ไม้กอล์ฟ",J2018,"")</f>
        <v/>
      </c>
    </row>
    <row r="2019">
      <c r="A2019" s="1" t="n">
        <v>3</v>
      </c>
      <c r="B2019" s="1" t="inlineStr">
        <is>
          <t>เสื้อผ้า</t>
        </is>
      </c>
      <c r="C2019" s="1" t="inlineStr">
        <is>
          <t>gf2040300188</t>
        </is>
      </c>
      <c r="D2019" s="1" t="inlineStr">
        <is>
          <t>ADIDAS Originals Dress (White)</t>
        </is>
      </c>
      <c r="E2019" s="1" t="inlineStr">
        <is>
          <t>ADIDAS</t>
        </is>
      </c>
      <c r="F2019" s="1" t="inlineStr">
        <is>
          <t>DRESS</t>
        </is>
      </c>
      <c r="G2019" s="1" t="inlineStr">
        <is>
          <t>GF204030018828</t>
        </is>
      </c>
      <c r="H2019" s="1" t="n">
        <v>5</v>
      </c>
      <c r="I2019" s="1" t="inlineStr">
        <is>
          <t>มี</t>
        </is>
      </c>
      <c r="J2019" s="13" t="n">
        <v>159</v>
      </c>
      <c r="K2019" s="1" t="inlineStr"/>
      <c r="L2019" s="13" t="n">
        <v>145</v>
      </c>
      <c r="M2019" s="1">
        <f>IF(L2019="","ไม่พบใน SG",IF(ABS(J2019-L2019)&lt;0.005,"ตรงกัน","ไม่ตรง"))</f>
        <v/>
      </c>
      <c r="N2019" s="14">
        <f>IF(L2019="","",ROUND(L2019*'สรุป'!$C$6,-1))</f>
        <v/>
      </c>
      <c r="O2019" s="15" t="n"/>
      <c r="P2019" s="15" t="n"/>
      <c r="Q2019" s="10" t="n"/>
      <c r="R2019" s="10" t="n"/>
      <c r="S2019" s="16" t="inlineStr">
        <is>
          <t>https://mstgolf.co.th/products/gf2040300188</t>
        </is>
      </c>
      <c r="T2019" s="1">
        <f>IF(B2019="ไม้กอล์ฟ",J2019,"")</f>
        <v/>
      </c>
    </row>
    <row r="2020">
      <c r="A2020" s="1" t="n">
        <v>3</v>
      </c>
      <c r="B2020" s="1" t="inlineStr">
        <is>
          <t>เสื้อผ้า</t>
        </is>
      </c>
      <c r="C2020" s="1" t="inlineStr">
        <is>
          <t>gf2060101000</t>
        </is>
      </c>
      <c r="D2020" s="1" t="inlineStr">
        <is>
          <t>GFORE Distorted Men's Hoodie Jacket (Snow)</t>
        </is>
      </c>
      <c r="E2020" s="1" t="inlineStr">
        <is>
          <t>GFORE</t>
        </is>
      </c>
      <c r="F2020" s="1" t="inlineStr">
        <is>
          <t>TOP</t>
        </is>
      </c>
      <c r="G2020" s="1" t="inlineStr">
        <is>
          <t>GF2060101000XS</t>
        </is>
      </c>
      <c r="H2020" s="1" t="n">
        <v>6</v>
      </c>
      <c r="I2020" s="1" t="inlineStr">
        <is>
          <t>มี</t>
        </is>
      </c>
      <c r="J2020" s="13" t="n">
        <v>159</v>
      </c>
      <c r="K2020" s="1" t="inlineStr"/>
      <c r="L2020" s="13" t="n">
        <v>159</v>
      </c>
      <c r="M2020" s="1">
        <f>IF(L2020="","ไม่พบใน SG",IF(ABS(J2020-L2020)&lt;0.005,"ตรงกัน","ไม่ตรง"))</f>
        <v/>
      </c>
      <c r="N2020" s="14">
        <f>IF(L2020="","",ROUND(L2020*'สรุป'!$C$6,-1))</f>
        <v/>
      </c>
      <c r="O2020" s="15" t="n"/>
      <c r="P2020" s="15" t="n"/>
      <c r="Q2020" s="10" t="n"/>
      <c r="R2020" s="10" t="n"/>
      <c r="S2020" s="16" t="inlineStr">
        <is>
          <t>https://mstgolf.co.th/products/gf2060101000</t>
        </is>
      </c>
      <c r="T2020" s="1">
        <f>IF(B2020="ไม้กอล์ฟ",J2020,"")</f>
        <v/>
      </c>
    </row>
    <row r="2021">
      <c r="A2021" s="1" t="n">
        <v>3</v>
      </c>
      <c r="B2021" s="1" t="inlineStr">
        <is>
          <t>เสื้อผ้า</t>
        </is>
      </c>
      <c r="C2021" s="1" t="inlineStr">
        <is>
          <t>gf2020101254</t>
        </is>
      </c>
      <c r="D2021" s="1" t="inlineStr">
        <is>
          <t>GFORE Tour 5-Pocket Men's Pants (Twilight)</t>
        </is>
      </c>
      <c r="E2021" s="1" t="inlineStr">
        <is>
          <t>GFORE</t>
        </is>
      </c>
      <c r="F2021" s="1" t="inlineStr">
        <is>
          <t>LONG PANTS</t>
        </is>
      </c>
      <c r="G2021" s="1" t="inlineStr">
        <is>
          <t>GF202010125430</t>
        </is>
      </c>
      <c r="H2021" s="1" t="n">
        <v>7</v>
      </c>
      <c r="I2021" s="1" t="inlineStr">
        <is>
          <t>มี</t>
        </is>
      </c>
      <c r="J2021" s="13" t="n">
        <v>159</v>
      </c>
      <c r="K2021" s="1" t="inlineStr"/>
      <c r="L2021" s="13" t="n"/>
      <c r="M2021" s="1">
        <f>IF(L2021="","ไม่พบใน SG",IF(ABS(J2021-L2021)&lt;0.005,"ตรงกัน","ไม่ตรง"))</f>
        <v/>
      </c>
      <c r="N2021" s="14">
        <f>IF(L2021="","",ROUND(L2021*'สรุป'!$C$6,-1))</f>
        <v/>
      </c>
      <c r="O2021" s="15" t="n"/>
      <c r="P2021" s="15" t="n"/>
      <c r="Q2021" s="10" t="n"/>
      <c r="R2021" s="10" t="n"/>
      <c r="S2021" s="16" t="inlineStr">
        <is>
          <t>https://mstgolf.co.th/products/gf2020101254</t>
        </is>
      </c>
      <c r="T2021" s="1">
        <f>IF(B2021="ไม้กอล์ฟ",J2021,"")</f>
        <v/>
      </c>
    </row>
    <row r="2022">
      <c r="A2022" s="1" t="n">
        <v>3</v>
      </c>
      <c r="B2022" s="1" t="inlineStr">
        <is>
          <t>เสื้อผ้า</t>
        </is>
      </c>
      <c r="C2022" s="1" t="inlineStr">
        <is>
          <t>gf2060101230</t>
        </is>
      </c>
      <c r="D2022" s="1" t="inlineStr">
        <is>
          <t>LE COQ SPORTIF GOLF New Basic 2-Way Men's Blouson (Beige)</t>
        </is>
      </c>
      <c r="E2022" s="1" t="inlineStr">
        <is>
          <t>LE COQ SPORTIF GOLF</t>
        </is>
      </c>
      <c r="F2022" s="1" t="inlineStr">
        <is>
          <t>TOP</t>
        </is>
      </c>
      <c r="G2022" s="1" t="inlineStr">
        <is>
          <t>GF2060101230S</t>
        </is>
      </c>
      <c r="H2022" s="1" t="n">
        <v>6</v>
      </c>
      <c r="I2022" s="1" t="inlineStr">
        <is>
          <t>มี</t>
        </is>
      </c>
      <c r="J2022" s="13" t="n">
        <v>159</v>
      </c>
      <c r="K2022" s="1" t="inlineStr"/>
      <c r="L2022" s="13" t="n">
        <v>159</v>
      </c>
      <c r="M2022" s="1">
        <f>IF(L2022="","ไม่พบใน SG",IF(ABS(J2022-L2022)&lt;0.005,"ตรงกัน","ไม่ตรง"))</f>
        <v/>
      </c>
      <c r="N2022" s="14">
        <f>IF(L2022="","",ROUND(L2022*'สรุป'!$C$6,-1))</f>
        <v/>
      </c>
      <c r="O2022" s="15" t="n"/>
      <c r="P2022" s="15" t="n"/>
      <c r="Q2022" s="10" t="n"/>
      <c r="R2022" s="10" t="n"/>
      <c r="S2022" s="16" t="inlineStr">
        <is>
          <t>https://mstgolf.co.th/products/gf2060101230</t>
        </is>
      </c>
      <c r="T2022" s="1">
        <f>IF(B2022="ไม้กอล์ฟ",J2022,"")</f>
        <v/>
      </c>
    </row>
    <row r="2023">
      <c r="A2023" s="1" t="n">
        <v>3</v>
      </c>
      <c r="B2023" s="1" t="inlineStr">
        <is>
          <t>เสื้อผ้า</t>
        </is>
      </c>
      <c r="C2023" s="1" t="inlineStr">
        <is>
          <t>gf2020202568</t>
        </is>
      </c>
      <c r="D2023" s="1" t="inlineStr">
        <is>
          <t>MALBON GOLF Marina Women’s Shorts (Multi)</t>
        </is>
      </c>
      <c r="E2023" s="1" t="inlineStr">
        <is>
          <t>MALBON GOLF</t>
        </is>
      </c>
      <c r="F2023" s="1" t="inlineStr">
        <is>
          <t>SHORT PANTS</t>
        </is>
      </c>
      <c r="G2023" s="1" t="inlineStr">
        <is>
          <t>GF20202025682</t>
        </is>
      </c>
      <c r="H2023" s="1" t="n">
        <v>4</v>
      </c>
      <c r="I2023" s="1" t="inlineStr">
        <is>
          <t>มี</t>
        </is>
      </c>
      <c r="J2023" s="13" t="n">
        <v>159</v>
      </c>
      <c r="K2023" s="1" t="inlineStr"/>
      <c r="L2023" s="13" t="n">
        <v>159</v>
      </c>
      <c r="M2023" s="1">
        <f>IF(L2023="","ไม่พบใน SG",IF(ABS(J2023-L2023)&lt;0.005,"ตรงกัน","ไม่ตรง"))</f>
        <v/>
      </c>
      <c r="N2023" s="14">
        <f>IF(L2023="","",ROUND(L2023*'สรุป'!$C$6,-1))</f>
        <v/>
      </c>
      <c r="O2023" s="15" t="n"/>
      <c r="P2023" s="15" t="n"/>
      <c r="Q2023" s="10" t="n"/>
      <c r="R2023" s="10" t="n"/>
      <c r="S2023" s="16" t="inlineStr">
        <is>
          <t>https://mstgolf.co.th/products/gf2020202568</t>
        </is>
      </c>
      <c r="T2023" s="1">
        <f>IF(B2023="ไม้กอล์ฟ",J2023,"")</f>
        <v/>
      </c>
    </row>
    <row r="2024">
      <c r="A2024" s="1" t="n">
        <v>3</v>
      </c>
      <c r="B2024" s="1" t="inlineStr">
        <is>
          <t>เสื้อผ้า</t>
        </is>
      </c>
      <c r="C2024" s="1" t="inlineStr">
        <is>
          <t>gf2040118859</t>
        </is>
      </c>
      <c r="D2024" s="1" t="inlineStr">
        <is>
          <t>MANORS Frontier Men's Quarter Zip Polo (Navy)</t>
        </is>
      </c>
      <c r="E2024" s="1" t="inlineStr">
        <is>
          <t>MANORS</t>
        </is>
      </c>
      <c r="F2024" s="1" t="inlineStr">
        <is>
          <t>SHORT SLEEVES</t>
        </is>
      </c>
      <c r="G2024" s="1" t="inlineStr">
        <is>
          <t>GF2040118859S</t>
        </is>
      </c>
      <c r="H2024" s="1" t="n">
        <v>4</v>
      </c>
      <c r="I2024" s="1" t="inlineStr">
        <is>
          <t>มี</t>
        </is>
      </c>
      <c r="J2024" s="13" t="n">
        <v>159</v>
      </c>
      <c r="K2024" s="1" t="inlineStr"/>
      <c r="L2024" s="13" t="n">
        <v>99</v>
      </c>
      <c r="M2024" s="1">
        <f>IF(L2024="","ไม่พบใน SG",IF(ABS(J2024-L2024)&lt;0.005,"ตรงกัน","ไม่ตรง"))</f>
        <v/>
      </c>
      <c r="N2024" s="14">
        <f>IF(L2024="","",ROUND(L2024*'สรุป'!$C$6,-1))</f>
        <v/>
      </c>
      <c r="O2024" s="15" t="n"/>
      <c r="P2024" s="15" t="n"/>
      <c r="Q2024" s="10" t="n"/>
      <c r="R2024" s="10" t="n"/>
      <c r="S2024" s="16" t="inlineStr">
        <is>
          <t>https://mstgolf.co.th/products/gf2040118859</t>
        </is>
      </c>
      <c r="T2024" s="1">
        <f>IF(B2024="ไม้กอล์ฟ",J2024,"")</f>
        <v/>
      </c>
    </row>
    <row r="2025">
      <c r="A2025" s="1" t="n">
        <v>3</v>
      </c>
      <c r="B2025" s="1" t="inlineStr">
        <is>
          <t>เสื้อผ้า</t>
        </is>
      </c>
      <c r="C2025" s="1" t="inlineStr">
        <is>
          <t>gf2040118858</t>
        </is>
      </c>
      <c r="D2025" s="1" t="inlineStr">
        <is>
          <t>MANORS Frontier Men's Quarter Zip Polo (White)</t>
        </is>
      </c>
      <c r="E2025" s="1" t="inlineStr">
        <is>
          <t>MANORS</t>
        </is>
      </c>
      <c r="F2025" s="1" t="inlineStr">
        <is>
          <t>SHORT SLEEVES</t>
        </is>
      </c>
      <c r="G2025" s="1" t="inlineStr">
        <is>
          <t>GF2040118858S</t>
        </is>
      </c>
      <c r="H2025" s="1" t="n">
        <v>4</v>
      </c>
      <c r="I2025" s="1" t="inlineStr">
        <is>
          <t>มี</t>
        </is>
      </c>
      <c r="J2025" s="13" t="n">
        <v>159</v>
      </c>
      <c r="K2025" s="1" t="inlineStr"/>
      <c r="L2025" s="13" t="n">
        <v>99</v>
      </c>
      <c r="M2025" s="1">
        <f>IF(L2025="","ไม่พบใน SG",IF(ABS(J2025-L2025)&lt;0.005,"ตรงกัน","ไม่ตรง"))</f>
        <v/>
      </c>
      <c r="N2025" s="14">
        <f>IF(L2025="","",ROUND(L2025*'สรุป'!$C$6,-1))</f>
        <v/>
      </c>
      <c r="O2025" s="15" t="n"/>
      <c r="P2025" s="15" t="n"/>
      <c r="Q2025" s="10" t="n"/>
      <c r="R2025" s="10" t="n"/>
      <c r="S2025" s="16" t="inlineStr">
        <is>
          <t>https://mstgolf.co.th/products/gf2040118858</t>
        </is>
      </c>
      <c r="T2025" s="1">
        <f>IF(B2025="ไม้กอล์ฟ",J2025,"")</f>
        <v/>
      </c>
    </row>
    <row r="2026">
      <c r="A2026" s="1" t="n">
        <v>3</v>
      </c>
      <c r="B2026" s="1" t="inlineStr">
        <is>
          <t>เสื้อผ้า</t>
        </is>
      </c>
      <c r="C2026" s="1" t="inlineStr">
        <is>
          <t>gf2020102416</t>
        </is>
      </c>
      <c r="D2026" s="1" t="inlineStr">
        <is>
          <t>MANORS Recycled Greenskeeper Men's Pants (Olive)</t>
        </is>
      </c>
      <c r="E2026" s="1" t="inlineStr">
        <is>
          <t>MANORS</t>
        </is>
      </c>
      <c r="F2026" s="1" t="inlineStr">
        <is>
          <t>LONG PANTS</t>
        </is>
      </c>
      <c r="G2026" s="1" t="inlineStr">
        <is>
          <t>GF202010241628</t>
        </is>
      </c>
      <c r="H2026" s="1" t="n">
        <v>5</v>
      </c>
      <c r="I2026" s="1" t="inlineStr">
        <is>
          <t>มี</t>
        </is>
      </c>
      <c r="J2026" s="13" t="n">
        <v>159</v>
      </c>
      <c r="K2026" s="1" t="inlineStr"/>
      <c r="L2026" s="13" t="n"/>
      <c r="M2026" s="1">
        <f>IF(L2026="","ไม่พบใน SG",IF(ABS(J2026-L2026)&lt;0.005,"ตรงกัน","ไม่ตรง"))</f>
        <v/>
      </c>
      <c r="N2026" s="14">
        <f>IF(L2026="","",ROUND(L2026*'สรุป'!$C$6,-1))</f>
        <v/>
      </c>
      <c r="O2026" s="15" t="n"/>
      <c r="P2026" s="15" t="n"/>
      <c r="Q2026" s="10" t="n"/>
      <c r="R2026" s="10" t="n"/>
      <c r="S2026" s="16" t="inlineStr">
        <is>
          <t>https://mstgolf.co.th/products/gf2020102416</t>
        </is>
      </c>
      <c r="T2026" s="1">
        <f>IF(B2026="ไม้กอล์ฟ",J2026,"")</f>
        <v/>
      </c>
    </row>
    <row r="2027">
      <c r="A2027" s="1" t="n">
        <v>3</v>
      </c>
      <c r="B2027" s="1" t="inlineStr">
        <is>
          <t>เสื้อผ้า</t>
        </is>
      </c>
      <c r="C2027" s="1" t="inlineStr">
        <is>
          <t>gf2020102415</t>
        </is>
      </c>
      <c r="D2027" s="1" t="inlineStr">
        <is>
          <t>MANORS Recycled Greenskeeper Men's Trousers (Slate)</t>
        </is>
      </c>
      <c r="E2027" s="1" t="inlineStr">
        <is>
          <t>MANORS</t>
        </is>
      </c>
      <c r="F2027" s="1" t="inlineStr">
        <is>
          <t>LONG PANTS</t>
        </is>
      </c>
      <c r="G2027" s="1" t="inlineStr">
        <is>
          <t>GF202010241528</t>
        </is>
      </c>
      <c r="H2027" s="1" t="n">
        <v>5</v>
      </c>
      <c r="I2027" s="1" t="inlineStr">
        <is>
          <t>มี</t>
        </is>
      </c>
      <c r="J2027" s="13" t="n">
        <v>159</v>
      </c>
      <c r="K2027" s="1" t="inlineStr"/>
      <c r="L2027" s="13" t="n">
        <v>159</v>
      </c>
      <c r="M2027" s="1">
        <f>IF(L2027="","ไม่พบใน SG",IF(ABS(J2027-L2027)&lt;0.005,"ตรงกัน","ไม่ตรง"))</f>
        <v/>
      </c>
      <c r="N2027" s="14">
        <f>IF(L2027="","",ROUND(L2027*'สรุป'!$C$6,-1))</f>
        <v/>
      </c>
      <c r="O2027" s="15" t="n"/>
      <c r="P2027" s="15" t="n"/>
      <c r="Q2027" s="10" t="n"/>
      <c r="R2027" s="10" t="n"/>
      <c r="S2027" s="16" t="inlineStr">
        <is>
          <t>https://mstgolf.co.th/products/gf2020102415</t>
        </is>
      </c>
      <c r="T2027" s="1">
        <f>IF(B2027="ไม้กอล์ฟ",J2027,"")</f>
        <v/>
      </c>
    </row>
    <row r="2028">
      <c r="A2028" s="1" t="n">
        <v>3</v>
      </c>
      <c r="B2028" s="1" t="inlineStr">
        <is>
          <t>เสื้อผ้า</t>
        </is>
      </c>
      <c r="C2028" s="1" t="inlineStr">
        <is>
          <t>gf2020102626</t>
        </is>
      </c>
      <c r="D2028" s="1" t="inlineStr">
        <is>
          <t>NIKE Sport Men's Cargo Pants (Linen)</t>
        </is>
      </c>
      <c r="E2028" s="1" t="inlineStr">
        <is>
          <t>NIKE</t>
        </is>
      </c>
      <c r="F2028" s="1" t="inlineStr">
        <is>
          <t>LONG PANTS</t>
        </is>
      </c>
      <c r="G2028" s="1" t="inlineStr">
        <is>
          <t>GF202010262630</t>
        </is>
      </c>
      <c r="H2028" s="1" t="n">
        <v>6</v>
      </c>
      <c r="I2028" s="1" t="inlineStr">
        <is>
          <t>มี</t>
        </is>
      </c>
      <c r="J2028" s="13" t="n">
        <v>159</v>
      </c>
      <c r="K2028" s="1" t="inlineStr"/>
      <c r="L2028" s="13" t="n">
        <v>159</v>
      </c>
      <c r="M2028" s="1">
        <f>IF(L2028="","ไม่พบใน SG",IF(ABS(J2028-L2028)&lt;0.005,"ตรงกัน","ไม่ตรง"))</f>
        <v/>
      </c>
      <c r="N2028" s="14">
        <f>IF(L2028="","",ROUND(L2028*'สรุป'!$C$6,-1))</f>
        <v/>
      </c>
      <c r="O2028" s="15" t="n"/>
      <c r="P2028" s="15" t="n"/>
      <c r="Q2028" s="10" t="n"/>
      <c r="R2028" s="10" t="n"/>
      <c r="S2028" s="16" t="inlineStr">
        <is>
          <t>https://mstgolf.co.th/products/gf2020102626</t>
        </is>
      </c>
      <c r="T2028" s="1">
        <f>IF(B2028="ไม้กอล์ฟ",J2028,"")</f>
        <v/>
      </c>
    </row>
    <row r="2029">
      <c r="A2029" s="1" t="n">
        <v>3</v>
      </c>
      <c r="B2029" s="1" t="inlineStr">
        <is>
          <t>เสื้อผ้า</t>
        </is>
      </c>
      <c r="C2029" s="1" t="inlineStr">
        <is>
          <t>gf2040120783</t>
        </is>
      </c>
      <c r="D2029" s="1" t="inlineStr">
        <is>
          <t>TAYLORMADE Gradient Women's Polo (Sky)</t>
        </is>
      </c>
      <c r="E2029" s="1" t="inlineStr">
        <is>
          <t>TAYLORMADE</t>
        </is>
      </c>
      <c r="F2029" s="1" t="inlineStr">
        <is>
          <t>SHORT SLEEVES</t>
        </is>
      </c>
      <c r="G2029" s="1" t="inlineStr">
        <is>
          <t>GF2040120783XS</t>
        </is>
      </c>
      <c r="H2029" s="1" t="n">
        <v>6</v>
      </c>
      <c r="I2029" s="1" t="inlineStr">
        <is>
          <t>มี</t>
        </is>
      </c>
      <c r="J2029" s="13" t="n">
        <v>159</v>
      </c>
      <c r="K2029" s="1" t="inlineStr"/>
      <c r="L2029" s="13" t="n">
        <v>159</v>
      </c>
      <c r="M2029" s="1">
        <f>IF(L2029="","ไม่พบใน SG",IF(ABS(J2029-L2029)&lt;0.005,"ตรงกัน","ไม่ตรง"))</f>
        <v/>
      </c>
      <c r="N2029" s="14">
        <f>IF(L2029="","",ROUND(L2029*'สรุป'!$C$6,-1))</f>
        <v/>
      </c>
      <c r="O2029" s="15" t="n"/>
      <c r="P2029" s="15" t="n"/>
      <c r="Q2029" s="10" t="n"/>
      <c r="R2029" s="10" t="n"/>
      <c r="S2029" s="16" t="inlineStr">
        <is>
          <t>https://mstgolf.co.th/products/gf2040120783</t>
        </is>
      </c>
      <c r="T2029" s="1">
        <f>IF(B2029="ไม้กอล์ฟ",J2029,"")</f>
        <v/>
      </c>
    </row>
    <row r="2030">
      <c r="A2030" s="1" t="n">
        <v>3</v>
      </c>
      <c r="B2030" s="1" t="inlineStr">
        <is>
          <t>หมวก</t>
        </is>
      </c>
      <c r="C2030" s="1" t="inlineStr">
        <is>
          <t>gf2000300468</t>
        </is>
      </c>
      <c r="D2030" s="1" t="inlineStr">
        <is>
          <t>WAAC Men's Rain Hat (Black)</t>
        </is>
      </c>
      <c r="E2030" s="1" t="inlineStr">
        <is>
          <t>WAAC</t>
        </is>
      </c>
      <c r="F2030" s="1" t="inlineStr">
        <is>
          <t>HAT</t>
        </is>
      </c>
      <c r="G2030" s="1" t="inlineStr">
        <is>
          <t>GF200030046859</t>
        </is>
      </c>
      <c r="H2030" s="1" t="n">
        <v>1</v>
      </c>
      <c r="I2030" s="1" t="inlineStr">
        <is>
          <t>มี</t>
        </is>
      </c>
      <c r="J2030" s="13" t="n">
        <v>159</v>
      </c>
      <c r="K2030" s="1" t="inlineStr"/>
      <c r="L2030" s="13" t="n">
        <v>159</v>
      </c>
      <c r="M2030" s="1">
        <f>IF(L2030="","ไม่พบใน SG",IF(ABS(J2030-L2030)&lt;0.005,"ตรงกัน","ไม่ตรง"))</f>
        <v/>
      </c>
      <c r="N2030" s="14">
        <f>IF(L2030="","",ROUND(L2030*'สรุป'!$C$6,-1))</f>
        <v/>
      </c>
      <c r="O2030" s="15" t="n"/>
      <c r="P2030" s="15" t="n"/>
      <c r="Q2030" s="10" t="n"/>
      <c r="R2030" s="10" t="n"/>
      <c r="S2030" s="16" t="inlineStr">
        <is>
          <t>https://mstgolf.co.th/products/gf2000300468</t>
        </is>
      </c>
      <c r="T2030" s="1">
        <f>IF(B2030="ไม้กอล์ฟ",J2030,"")</f>
        <v/>
      </c>
    </row>
    <row r="2031">
      <c r="A2031" s="1" t="n">
        <v>3</v>
      </c>
      <c r="B2031" s="1" t="inlineStr">
        <is>
          <t>หมวก</t>
        </is>
      </c>
      <c r="C2031" s="1" t="inlineStr">
        <is>
          <t>gf2000300481</t>
        </is>
      </c>
      <c r="D2031" s="1" t="inlineStr">
        <is>
          <t>WAAC Women's Rain Hat (Black)</t>
        </is>
      </c>
      <c r="E2031" s="1" t="inlineStr">
        <is>
          <t>WAAC</t>
        </is>
      </c>
      <c r="F2031" s="1" t="inlineStr">
        <is>
          <t>HAT</t>
        </is>
      </c>
      <c r="G2031" s="1" t="inlineStr">
        <is>
          <t>GF200030048157</t>
        </is>
      </c>
      <c r="H2031" s="1" t="n">
        <v>1</v>
      </c>
      <c r="I2031" s="1" t="inlineStr">
        <is>
          <t>มี</t>
        </is>
      </c>
      <c r="J2031" s="13" t="n">
        <v>159</v>
      </c>
      <c r="K2031" s="1" t="inlineStr"/>
      <c r="L2031" s="13" t="n">
        <v>159</v>
      </c>
      <c r="M2031" s="1">
        <f>IF(L2031="","ไม่พบใน SG",IF(ABS(J2031-L2031)&lt;0.005,"ตรงกัน","ไม่ตรง"))</f>
        <v/>
      </c>
      <c r="N2031" s="14">
        <f>IF(L2031="","",ROUND(L2031*'สรุป'!$C$6,-1))</f>
        <v/>
      </c>
      <c r="O2031" s="15" t="n"/>
      <c r="P2031" s="15" t="n"/>
      <c r="Q2031" s="10" t="n"/>
      <c r="R2031" s="10" t="n"/>
      <c r="S2031" s="16" t="inlineStr">
        <is>
          <t>https://mstgolf.co.th/products/gf2000300481</t>
        </is>
      </c>
      <c r="T2031" s="1">
        <f>IF(B2031="ไม้กอล์ฟ",J2031,"")</f>
        <v/>
      </c>
    </row>
    <row r="2032">
      <c r="A2032" s="1" t="n">
        <v>3</v>
      </c>
      <c r="B2032" s="1" t="inlineStr">
        <is>
          <t>หมวก</t>
        </is>
      </c>
      <c r="C2032" s="1" t="inlineStr">
        <is>
          <t>gf2000300482</t>
        </is>
      </c>
      <c r="D2032" s="1" t="inlineStr">
        <is>
          <t>WAAC Women's Rain Hat (Light Blue)</t>
        </is>
      </c>
      <c r="E2032" s="1" t="inlineStr">
        <is>
          <t>WAAC</t>
        </is>
      </c>
      <c r="F2032" s="1" t="inlineStr">
        <is>
          <t>HAT</t>
        </is>
      </c>
      <c r="G2032" s="1" t="inlineStr">
        <is>
          <t>GF200030048257</t>
        </is>
      </c>
      <c r="H2032" s="1" t="n">
        <v>1</v>
      </c>
      <c r="I2032" s="1" t="inlineStr">
        <is>
          <t>มี</t>
        </is>
      </c>
      <c r="J2032" s="13" t="n">
        <v>159</v>
      </c>
      <c r="K2032" s="1" t="inlineStr"/>
      <c r="L2032" s="13" t="n">
        <v>159</v>
      </c>
      <c r="M2032" s="1">
        <f>IF(L2032="","ไม่พบใน SG",IF(ABS(J2032-L2032)&lt;0.005,"ตรงกัน","ไม่ตรง"))</f>
        <v/>
      </c>
      <c r="N2032" s="14">
        <f>IF(L2032="","",ROUND(L2032*'สรุป'!$C$6,-1))</f>
        <v/>
      </c>
      <c r="O2032" s="15" t="n"/>
      <c r="P2032" s="15" t="n"/>
      <c r="Q2032" s="10" t="n"/>
      <c r="R2032" s="10" t="n"/>
      <c r="S2032" s="16" t="inlineStr">
        <is>
          <t>https://mstgolf.co.th/products/gf2000300482</t>
        </is>
      </c>
      <c r="T2032" s="1">
        <f>IF(B2032="ไม้กอล์ฟ",J2032,"")</f>
        <v/>
      </c>
    </row>
    <row r="2033">
      <c r="A2033" s="1" t="n">
        <v>3</v>
      </c>
      <c r="B2033" s="1" t="inlineStr">
        <is>
          <t>เสื้อผ้า</t>
        </is>
      </c>
      <c r="C2033" s="1" t="inlineStr">
        <is>
          <t>gf2020101775</t>
        </is>
      </c>
      <c r="D2033" s="1" t="inlineStr">
        <is>
          <t>GFORE 5 -Pocket Men's Pants (Stone)</t>
        </is>
      </c>
      <c r="E2033" s="1" t="inlineStr">
        <is>
          <t>GFORE</t>
        </is>
      </c>
      <c r="F2033" s="1" t="inlineStr">
        <is>
          <t>LONG PANTS</t>
        </is>
      </c>
      <c r="G2033" s="1" t="inlineStr">
        <is>
          <t>GF202010177530</t>
        </is>
      </c>
      <c r="H2033" s="1" t="n">
        <v>6</v>
      </c>
      <c r="I2033" s="1" t="inlineStr">
        <is>
          <t>มี</t>
        </is>
      </c>
      <c r="J2033" s="13" t="n">
        <v>155</v>
      </c>
      <c r="K2033" s="1" t="inlineStr"/>
      <c r="L2033" s="13" t="n">
        <v>155</v>
      </c>
      <c r="M2033" s="1">
        <f>IF(L2033="","ไม่พบใน SG",IF(ABS(J2033-L2033)&lt;0.005,"ตรงกัน","ไม่ตรง"))</f>
        <v/>
      </c>
      <c r="N2033" s="14">
        <f>IF(L2033="","",ROUND(L2033*'สรุป'!$C$6,-1))</f>
        <v/>
      </c>
      <c r="O2033" s="15" t="n"/>
      <c r="P2033" s="15" t="n"/>
      <c r="Q2033" s="10" t="n"/>
      <c r="R2033" s="10" t="n"/>
      <c r="S2033" s="16" t="inlineStr">
        <is>
          <t>https://mstgolf.co.th/products/gf2020101775</t>
        </is>
      </c>
      <c r="T2033" s="1">
        <f>IF(B2033="ไม้กอล์ฟ",J2033,"")</f>
        <v/>
      </c>
    </row>
    <row r="2034">
      <c r="A2034" s="1" t="n">
        <v>3</v>
      </c>
      <c r="B2034" s="1" t="inlineStr">
        <is>
          <t>เสื้อผ้า</t>
        </is>
      </c>
      <c r="C2034" s="1" t="inlineStr">
        <is>
          <t>gf2020101776</t>
        </is>
      </c>
      <c r="D2034" s="1" t="inlineStr">
        <is>
          <t>GFORE 5 -Pocket Men's Pants (Twilight)</t>
        </is>
      </c>
      <c r="E2034" s="1" t="inlineStr">
        <is>
          <t>GFORE</t>
        </is>
      </c>
      <c r="F2034" s="1" t="inlineStr">
        <is>
          <t>LONG PANTS</t>
        </is>
      </c>
      <c r="G2034" s="1" t="inlineStr">
        <is>
          <t>GF202010177630</t>
        </is>
      </c>
      <c r="H2034" s="1" t="n">
        <v>6</v>
      </c>
      <c r="I2034" s="1" t="inlineStr">
        <is>
          <t>มี</t>
        </is>
      </c>
      <c r="J2034" s="13" t="n">
        <v>155</v>
      </c>
      <c r="K2034" s="1" t="inlineStr"/>
      <c r="L2034" s="13" t="n">
        <v>155</v>
      </c>
      <c r="M2034" s="1">
        <f>IF(L2034="","ไม่พบใน SG",IF(ABS(J2034-L2034)&lt;0.005,"ตรงกัน","ไม่ตรง"))</f>
        <v/>
      </c>
      <c r="N2034" s="14">
        <f>IF(L2034="","",ROUND(L2034*'สรุป'!$C$6,-1))</f>
        <v/>
      </c>
      <c r="O2034" s="15" t="n"/>
      <c r="P2034" s="15" t="n"/>
      <c r="Q2034" s="10" t="n"/>
      <c r="R2034" s="10" t="n"/>
      <c r="S2034" s="16" t="inlineStr">
        <is>
          <t>https://mstgolf.co.th/products/gf2020101776</t>
        </is>
      </c>
      <c r="T2034" s="1">
        <f>IF(B2034="ไม้กอล์ฟ",J2034,"")</f>
        <v/>
      </c>
    </row>
    <row r="2035">
      <c r="A2035" s="1" t="n">
        <v>3</v>
      </c>
      <c r="B2035" s="1" t="inlineStr">
        <is>
          <t>เสื้อผ้า</t>
        </is>
      </c>
      <c r="C2035" s="1" t="inlineStr">
        <is>
          <t>gf2020101613</t>
        </is>
      </c>
      <c r="D2035" s="1" t="inlineStr">
        <is>
          <t>GFORE 5-Pocket Men's Pants (Onyx)</t>
        </is>
      </c>
      <c r="E2035" s="1" t="inlineStr">
        <is>
          <t>GFORE</t>
        </is>
      </c>
      <c r="F2035" s="1" t="inlineStr">
        <is>
          <t>LONG PANTS</t>
        </is>
      </c>
      <c r="G2035" s="1" t="inlineStr">
        <is>
          <t>GF202010161330</t>
        </is>
      </c>
      <c r="H2035" s="1" t="n">
        <v>6</v>
      </c>
      <c r="I2035" s="1" t="inlineStr">
        <is>
          <t>มี</t>
        </is>
      </c>
      <c r="J2035" s="13" t="n">
        <v>155</v>
      </c>
      <c r="K2035" s="1" t="inlineStr"/>
      <c r="L2035" s="13" t="n">
        <v>155</v>
      </c>
      <c r="M2035" s="1">
        <f>IF(L2035="","ไม่พบใน SG",IF(ABS(J2035-L2035)&lt;0.005,"ตรงกัน","ไม่ตรง"))</f>
        <v/>
      </c>
      <c r="N2035" s="14">
        <f>IF(L2035="","",ROUND(L2035*'สรุป'!$C$6,-1))</f>
        <v/>
      </c>
      <c r="O2035" s="15" t="n"/>
      <c r="P2035" s="15" t="n"/>
      <c r="Q2035" s="10" t="n"/>
      <c r="R2035" s="10" t="n"/>
      <c r="S2035" s="16" t="inlineStr">
        <is>
          <t>https://mstgolf.co.th/products/gf2020101613</t>
        </is>
      </c>
      <c r="T2035" s="1">
        <f>IF(B2035="ไม้กอล์ฟ",J2035,"")</f>
        <v/>
      </c>
    </row>
    <row r="2036">
      <c r="A2036" s="1" t="n">
        <v>3</v>
      </c>
      <c r="B2036" s="1" t="inlineStr">
        <is>
          <t>เสื้อผ้า</t>
        </is>
      </c>
      <c r="C2036" s="1" t="inlineStr">
        <is>
          <t>gf2020202273</t>
        </is>
      </c>
      <c r="D2036" s="1" t="inlineStr">
        <is>
          <t>GFORE Floral Skort (Snow)</t>
        </is>
      </c>
      <c r="E2036" s="1" t="inlineStr">
        <is>
          <t>GFORE</t>
        </is>
      </c>
      <c r="F2036" s="1" t="inlineStr">
        <is>
          <t>SHORT PANTS</t>
        </is>
      </c>
      <c r="G2036" s="1" t="inlineStr">
        <is>
          <t>GF2020202273XS</t>
        </is>
      </c>
      <c r="H2036" s="1" t="n">
        <v>10</v>
      </c>
      <c r="I2036" s="1" t="inlineStr">
        <is>
          <t>มี</t>
        </is>
      </c>
      <c r="J2036" s="13" t="n">
        <v>155</v>
      </c>
      <c r="K2036" s="1" t="inlineStr"/>
      <c r="L2036" s="13" t="n">
        <v>155</v>
      </c>
      <c r="M2036" s="1">
        <f>IF(L2036="","ไม่พบใน SG",IF(ABS(J2036-L2036)&lt;0.005,"ตรงกัน","ไม่ตรง"))</f>
        <v/>
      </c>
      <c r="N2036" s="14">
        <f>IF(L2036="","",ROUND(L2036*'สรุป'!$C$6,-1))</f>
        <v/>
      </c>
      <c r="O2036" s="15" t="n"/>
      <c r="P2036" s="15" t="n"/>
      <c r="Q2036" s="10" t="n"/>
      <c r="R2036" s="10" t="n"/>
      <c r="S2036" s="16" t="inlineStr">
        <is>
          <t>https://mstgolf.co.th/products/gf2020202273</t>
        </is>
      </c>
      <c r="T2036" s="1">
        <f>IF(B2036="ไม้กอล์ฟ",J2036,"")</f>
        <v/>
      </c>
    </row>
    <row r="2037">
      <c r="A2037" s="1" t="n">
        <v>3</v>
      </c>
      <c r="B2037" s="1" t="inlineStr">
        <is>
          <t>เสื้อผ้า</t>
        </is>
      </c>
      <c r="C2037" s="1" t="inlineStr">
        <is>
          <t>gf2040401132</t>
        </is>
      </c>
      <c r="D2037" s="1" t="inlineStr">
        <is>
          <t>GFORE Lux Staple Men's Long Sleeve Shirt (Racer)</t>
        </is>
      </c>
      <c r="E2037" s="1" t="inlineStr">
        <is>
          <t>GFORE</t>
        </is>
      </c>
      <c r="F2037" s="1" t="inlineStr">
        <is>
          <t>LONG SLEEVES</t>
        </is>
      </c>
      <c r="G2037" s="1" t="inlineStr">
        <is>
          <t>GF2040401132XS</t>
        </is>
      </c>
      <c r="H2037" s="1" t="n">
        <v>6</v>
      </c>
      <c r="I2037" s="1" t="inlineStr">
        <is>
          <t>มี</t>
        </is>
      </c>
      <c r="J2037" s="13" t="n">
        <v>155</v>
      </c>
      <c r="K2037" s="1" t="inlineStr"/>
      <c r="L2037" s="13" t="n">
        <v>155</v>
      </c>
      <c r="M2037" s="1">
        <f>IF(L2037="","ไม่พบใน SG",IF(ABS(J2037-L2037)&lt;0.005,"ตรงกัน","ไม่ตรง"))</f>
        <v/>
      </c>
      <c r="N2037" s="14">
        <f>IF(L2037="","",ROUND(L2037*'สรุป'!$C$6,-1))</f>
        <v/>
      </c>
      <c r="O2037" s="15" t="n"/>
      <c r="P2037" s="15" t="n"/>
      <c r="Q2037" s="10" t="n"/>
      <c r="R2037" s="10" t="n"/>
      <c r="S2037" s="16" t="inlineStr">
        <is>
          <t>https://mstgolf.co.th/products/gf2040401132</t>
        </is>
      </c>
      <c r="T2037" s="1">
        <f>IF(B2037="ไม้กอล์ฟ",J2037,"")</f>
        <v/>
      </c>
    </row>
    <row r="2038">
      <c r="A2038" s="1" t="n">
        <v>3</v>
      </c>
      <c r="B2038" s="1" t="inlineStr">
        <is>
          <t>เสื้อผ้า</t>
        </is>
      </c>
      <c r="C2038" s="1" t="inlineStr">
        <is>
          <t>gf2020202278</t>
        </is>
      </c>
      <c r="D2038" s="1" t="inlineStr">
        <is>
          <t>GFORE Side Pleated Twill Skort (Snow)</t>
        </is>
      </c>
      <c r="E2038" s="1" t="inlineStr">
        <is>
          <t>GFORE</t>
        </is>
      </c>
      <c r="F2038" s="1" t="inlineStr">
        <is>
          <t>SHORT PANTS</t>
        </is>
      </c>
      <c r="G2038" s="1" t="inlineStr">
        <is>
          <t>GF20202022784</t>
        </is>
      </c>
      <c r="H2038" s="1" t="n">
        <v>5</v>
      </c>
      <c r="I2038" s="1" t="inlineStr">
        <is>
          <t>มี</t>
        </is>
      </c>
      <c r="J2038" s="13" t="n">
        <v>155</v>
      </c>
      <c r="K2038" s="1" t="inlineStr"/>
      <c r="L2038" s="13" t="n">
        <v>155</v>
      </c>
      <c r="M2038" s="1">
        <f>IF(L2038="","ไม่พบใน SG",IF(ABS(J2038-L2038)&lt;0.005,"ตรงกัน","ไม่ตรง"))</f>
        <v/>
      </c>
      <c r="N2038" s="14">
        <f>IF(L2038="","",ROUND(L2038*'สรุป'!$C$6,-1))</f>
        <v/>
      </c>
      <c r="O2038" s="15" t="n"/>
      <c r="P2038" s="15" t="n"/>
      <c r="Q2038" s="10" t="n"/>
      <c r="R2038" s="10" t="n"/>
      <c r="S2038" s="16" t="inlineStr">
        <is>
          <t>https://mstgolf.co.th/products/gf2020202278</t>
        </is>
      </c>
      <c r="T2038" s="1">
        <f>IF(B2038="ไม้กอล์ฟ",J2038,"")</f>
        <v/>
      </c>
    </row>
    <row r="2039">
      <c r="A2039" s="1" t="n">
        <v>3</v>
      </c>
      <c r="B2039" s="1" t="inlineStr">
        <is>
          <t>เสื้อผ้า</t>
        </is>
      </c>
      <c r="C2039" s="1" t="inlineStr">
        <is>
          <t>gf2020202693</t>
        </is>
      </c>
      <c r="D2039" s="1" t="inlineStr">
        <is>
          <t>MALBON GOLF Marina Women's Shorts (Black)</t>
        </is>
      </c>
      <c r="E2039" s="1" t="inlineStr">
        <is>
          <t>MALBON GOLF</t>
        </is>
      </c>
      <c r="F2039" s="1" t="inlineStr">
        <is>
          <t>SHORT PANTS</t>
        </is>
      </c>
      <c r="G2039" s="1" t="inlineStr">
        <is>
          <t>GF20202026932</t>
        </is>
      </c>
      <c r="H2039" s="1" t="n">
        <v>5</v>
      </c>
      <c r="I2039" s="1" t="inlineStr">
        <is>
          <t>มี</t>
        </is>
      </c>
      <c r="J2039" s="13" t="n">
        <v>155</v>
      </c>
      <c r="K2039" s="1" t="inlineStr"/>
      <c r="L2039" s="13" t="n">
        <v>155</v>
      </c>
      <c r="M2039" s="1">
        <f>IF(L2039="","ไม่พบใน SG",IF(ABS(J2039-L2039)&lt;0.005,"ตรงกัน","ไม่ตรง"))</f>
        <v/>
      </c>
      <c r="N2039" s="14">
        <f>IF(L2039="","",ROUND(L2039*'สรุป'!$C$6,-1))</f>
        <v/>
      </c>
      <c r="O2039" s="15" t="n"/>
      <c r="P2039" s="15" t="n"/>
      <c r="Q2039" s="10" t="n"/>
      <c r="R2039" s="10" t="n"/>
      <c r="S2039" s="16" t="inlineStr">
        <is>
          <t>https://mstgolf.co.th/products/gf2020202693</t>
        </is>
      </c>
      <c r="T2039" s="1">
        <f>IF(B2039="ไม้กอล์ฟ",J2039,"")</f>
        <v/>
      </c>
    </row>
    <row r="2040">
      <c r="A2040" s="1" t="n">
        <v>3</v>
      </c>
      <c r="B2040" s="1" t="inlineStr">
        <is>
          <t>เสื้อผ้า</t>
        </is>
      </c>
      <c r="C2040" s="1" t="inlineStr">
        <is>
          <t>gf2020202617</t>
        </is>
      </c>
      <c r="D2040" s="1" t="inlineStr">
        <is>
          <t>MALBON GOLF Marina Women's Shorts (Bone)</t>
        </is>
      </c>
      <c r="E2040" s="1" t="inlineStr">
        <is>
          <t>MALBON GOLF</t>
        </is>
      </c>
      <c r="F2040" s="1" t="inlineStr">
        <is>
          <t>SHORT PANTS</t>
        </is>
      </c>
      <c r="G2040" s="1" t="inlineStr">
        <is>
          <t>GF20202026172</t>
        </is>
      </c>
      <c r="H2040" s="1" t="n">
        <v>5</v>
      </c>
      <c r="I2040" s="1" t="inlineStr">
        <is>
          <t>มี</t>
        </is>
      </c>
      <c r="J2040" s="13" t="n">
        <v>155</v>
      </c>
      <c r="K2040" s="1" t="inlineStr"/>
      <c r="L2040" s="13" t="n">
        <v>155</v>
      </c>
      <c r="M2040" s="1">
        <f>IF(L2040="","ไม่พบใน SG",IF(ABS(J2040-L2040)&lt;0.005,"ตรงกัน","ไม่ตรง"))</f>
        <v/>
      </c>
      <c r="N2040" s="14">
        <f>IF(L2040="","",ROUND(L2040*'สรุป'!$C$6,-1))</f>
        <v/>
      </c>
      <c r="O2040" s="15" t="n"/>
      <c r="P2040" s="15" t="n"/>
      <c r="Q2040" s="10" t="n"/>
      <c r="R2040" s="10" t="n"/>
      <c r="S2040" s="16" t="inlineStr">
        <is>
          <t>https://mstgolf.co.th/products/gf2020202617</t>
        </is>
      </c>
      <c r="T2040" s="1">
        <f>IF(B2040="ไม้กอล์ฟ",J2040,"")</f>
        <v/>
      </c>
    </row>
    <row r="2041">
      <c r="A2041" s="1" t="n">
        <v>3</v>
      </c>
      <c r="B2041" s="1" t="inlineStr">
        <is>
          <t>เสื้อผ้า</t>
        </is>
      </c>
      <c r="C2041" s="1" t="inlineStr">
        <is>
          <t>gf2060101183</t>
        </is>
      </c>
      <c r="D2041" s="1" t="inlineStr">
        <is>
          <t>MALBON GOLF x Keith Haring Sherpa Men's Pullover Shirt (Black)</t>
        </is>
      </c>
      <c r="E2041" s="1" t="inlineStr">
        <is>
          <t>MALBON GOLF</t>
        </is>
      </c>
      <c r="F2041" s="1" t="inlineStr">
        <is>
          <t>TOP</t>
        </is>
      </c>
      <c r="G2041" s="1" t="inlineStr">
        <is>
          <t>GF2060101183S</t>
        </is>
      </c>
      <c r="H2041" s="1" t="n">
        <v>5</v>
      </c>
      <c r="I2041" s="1" t="inlineStr">
        <is>
          <t>มี</t>
        </is>
      </c>
      <c r="J2041" s="13" t="n">
        <v>155</v>
      </c>
      <c r="K2041" s="1" t="inlineStr"/>
      <c r="L2041" s="13" t="n">
        <v>155</v>
      </c>
      <c r="M2041" s="1">
        <f>IF(L2041="","ไม่พบใน SG",IF(ABS(J2041-L2041)&lt;0.005,"ตรงกัน","ไม่ตรง"))</f>
        <v/>
      </c>
      <c r="N2041" s="14">
        <f>IF(L2041="","",ROUND(L2041*'สรุป'!$C$6,-1))</f>
        <v/>
      </c>
      <c r="O2041" s="15" t="n"/>
      <c r="P2041" s="15" t="n"/>
      <c r="Q2041" s="10" t="n"/>
      <c r="R2041" s="10" t="n"/>
      <c r="S2041" s="16" t="inlineStr">
        <is>
          <t>https://mstgolf.co.th/products/gf2060101183</t>
        </is>
      </c>
      <c r="T2041" s="1">
        <f>IF(B2041="ไม้กอล์ฟ",J2041,"")</f>
        <v/>
      </c>
    </row>
    <row r="2042">
      <c r="A2042" s="1" t="n">
        <v>3</v>
      </c>
      <c r="B2042" s="1" t="inlineStr">
        <is>
          <t>เสื้อผ้า</t>
        </is>
      </c>
      <c r="C2042" s="1" t="inlineStr">
        <is>
          <t>gf2040120666</t>
        </is>
      </c>
      <c r="D2042" s="1" t="inlineStr">
        <is>
          <t>PETER MILLAR Ace of Spades Men's Performance Polo (White)</t>
        </is>
      </c>
      <c r="E2042" s="1" t="inlineStr">
        <is>
          <t>PETER MILLAR</t>
        </is>
      </c>
      <c r="F2042" s="1" t="inlineStr">
        <is>
          <t>SHORT SLEEVES</t>
        </is>
      </c>
      <c r="G2042" s="1" t="inlineStr">
        <is>
          <t>GF2040120666S</t>
        </is>
      </c>
      <c r="H2042" s="1" t="n">
        <v>5</v>
      </c>
      <c r="I2042" s="1" t="inlineStr">
        <is>
          <t>มี</t>
        </is>
      </c>
      <c r="J2042" s="13" t="n">
        <v>155</v>
      </c>
      <c r="K2042" s="1" t="inlineStr"/>
      <c r="L2042" s="13" t="n">
        <v>155</v>
      </c>
      <c r="M2042" s="1">
        <f>IF(L2042="","ไม่พบใน SG",IF(ABS(J2042-L2042)&lt;0.005,"ตรงกัน","ไม่ตรง"))</f>
        <v/>
      </c>
      <c r="N2042" s="14">
        <f>IF(L2042="","",ROUND(L2042*'สรุป'!$C$6,-1))</f>
        <v/>
      </c>
      <c r="O2042" s="15" t="n"/>
      <c r="P2042" s="15" t="n"/>
      <c r="Q2042" s="10" t="n"/>
      <c r="R2042" s="10" t="n"/>
      <c r="S2042" s="16" t="inlineStr">
        <is>
          <t>https://mstgolf.co.th/products/gf2040120666</t>
        </is>
      </c>
      <c r="T2042" s="1">
        <f>IF(B2042="ไม้กอล์ฟ",J2042,"")</f>
        <v/>
      </c>
    </row>
    <row r="2043">
      <c r="A2043" s="1" t="n">
        <v>3</v>
      </c>
      <c r="B2043" s="1" t="inlineStr">
        <is>
          <t>เสื้อผ้า</t>
        </is>
      </c>
      <c r="C2043" s="1" t="inlineStr">
        <is>
          <t>gf2040120608</t>
        </is>
      </c>
      <c r="D2043" s="1" t="inlineStr">
        <is>
          <t>PETER MILLAR Bridge Men's Performance Jersey Polo (Sherwood)</t>
        </is>
      </c>
      <c r="E2043" s="1" t="inlineStr">
        <is>
          <t>PETER MILLAR</t>
        </is>
      </c>
      <c r="F2043" s="1" t="inlineStr">
        <is>
          <t>SHORT SLEEVES</t>
        </is>
      </c>
      <c r="G2043" s="1" t="inlineStr">
        <is>
          <t>GF2040120608S</t>
        </is>
      </c>
      <c r="H2043" s="1" t="n">
        <v>5</v>
      </c>
      <c r="I2043" s="1" t="inlineStr">
        <is>
          <t>มี</t>
        </is>
      </c>
      <c r="J2043" s="13" t="n">
        <v>155</v>
      </c>
      <c r="K2043" s="1" t="inlineStr"/>
      <c r="L2043" s="13" t="n">
        <v>155</v>
      </c>
      <c r="M2043" s="1">
        <f>IF(L2043="","ไม่พบใน SG",IF(ABS(J2043-L2043)&lt;0.005,"ตรงกัน","ไม่ตรง"))</f>
        <v/>
      </c>
      <c r="N2043" s="14">
        <f>IF(L2043="","",ROUND(L2043*'สรุป'!$C$6,-1))</f>
        <v/>
      </c>
      <c r="O2043" s="15" t="n"/>
      <c r="P2043" s="15" t="n"/>
      <c r="Q2043" s="10" t="n"/>
      <c r="R2043" s="10" t="n"/>
      <c r="S2043" s="16" t="inlineStr">
        <is>
          <t>https://mstgolf.co.th/products/gf2040120608</t>
        </is>
      </c>
      <c r="T2043" s="1">
        <f>IF(B2043="ไม้กอล์ฟ",J2043,"")</f>
        <v/>
      </c>
    </row>
    <row r="2044">
      <c r="A2044" s="1" t="n">
        <v>3</v>
      </c>
      <c r="B2044" s="1" t="inlineStr">
        <is>
          <t>เสื้อผ้า</t>
        </is>
      </c>
      <c r="C2044" s="1" t="inlineStr">
        <is>
          <t>gf2040119769</t>
        </is>
      </c>
      <c r="D2044" s="1" t="inlineStr">
        <is>
          <t>PETER MILLAR Bright Idea Performance Men's Polo (White)</t>
        </is>
      </c>
      <c r="E2044" s="1" t="inlineStr">
        <is>
          <t>PETER MILLAR</t>
        </is>
      </c>
      <c r="F2044" s="1" t="inlineStr">
        <is>
          <t>SHORT SLEEVES</t>
        </is>
      </c>
      <c r="G2044" s="1" t="inlineStr">
        <is>
          <t>GF2040119769S</t>
        </is>
      </c>
      <c r="H2044" s="1" t="n">
        <v>5</v>
      </c>
      <c r="I2044" s="1" t="inlineStr">
        <is>
          <t>มี</t>
        </is>
      </c>
      <c r="J2044" s="13" t="n">
        <v>155</v>
      </c>
      <c r="K2044" s="1" t="inlineStr"/>
      <c r="L2044" s="13" t="n">
        <v>155</v>
      </c>
      <c r="M2044" s="1">
        <f>IF(L2044="","ไม่พบใน SG",IF(ABS(J2044-L2044)&lt;0.005,"ตรงกัน","ไม่ตรง"))</f>
        <v/>
      </c>
      <c r="N2044" s="14">
        <f>IF(L2044="","",ROUND(L2044*'สรุป'!$C$6,-1))</f>
        <v/>
      </c>
      <c r="O2044" s="15" t="n"/>
      <c r="P2044" s="15" t="n"/>
      <c r="Q2044" s="10" t="n"/>
      <c r="R2044" s="10" t="n"/>
      <c r="S2044" s="16" t="inlineStr">
        <is>
          <t>https://mstgolf.co.th/products/gf2040119769</t>
        </is>
      </c>
      <c r="T2044" s="1">
        <f>IF(B2044="ไม้กอล์ฟ",J2044,"")</f>
        <v/>
      </c>
    </row>
    <row r="2045">
      <c r="A2045" s="1" t="n">
        <v>3</v>
      </c>
      <c r="B2045" s="1" t="inlineStr">
        <is>
          <t>เสื้อผ้า</t>
        </is>
      </c>
      <c r="C2045" s="1" t="inlineStr">
        <is>
          <t>gf2040119776</t>
        </is>
      </c>
      <c r="D2045" s="1" t="inlineStr">
        <is>
          <t>PETER MILLAR Bristol Floral Men's Polo (Blue Fade)</t>
        </is>
      </c>
      <c r="E2045" s="1" t="inlineStr">
        <is>
          <t>PETER MILLAR</t>
        </is>
      </c>
      <c r="F2045" s="1" t="inlineStr">
        <is>
          <t>SHORT SLEEVES</t>
        </is>
      </c>
      <c r="G2045" s="1" t="inlineStr">
        <is>
          <t>GF2040119776S</t>
        </is>
      </c>
      <c r="H2045" s="1" t="n">
        <v>5</v>
      </c>
      <c r="I2045" s="1" t="inlineStr">
        <is>
          <t>มี</t>
        </is>
      </c>
      <c r="J2045" s="13" t="n">
        <v>155</v>
      </c>
      <c r="K2045" s="1" t="inlineStr"/>
      <c r="L2045" s="13" t="n">
        <v>155</v>
      </c>
      <c r="M2045" s="1">
        <f>IF(L2045="","ไม่พบใน SG",IF(ABS(J2045-L2045)&lt;0.005,"ตรงกัน","ไม่ตรง"))</f>
        <v/>
      </c>
      <c r="N2045" s="14">
        <f>IF(L2045="","",ROUND(L2045*'สรุป'!$C$6,-1))</f>
        <v/>
      </c>
      <c r="O2045" s="15" t="n"/>
      <c r="P2045" s="15" t="n"/>
      <c r="Q2045" s="10" t="n"/>
      <c r="R2045" s="10" t="n"/>
      <c r="S2045" s="16" t="inlineStr">
        <is>
          <t>https://mstgolf.co.th/products/gf2040119776</t>
        </is>
      </c>
      <c r="T2045" s="1">
        <f>IF(B2045="ไม้กอล์ฟ",J2045,"")</f>
        <v/>
      </c>
    </row>
    <row r="2046">
      <c r="A2046" s="1" t="n">
        <v>3</v>
      </c>
      <c r="B2046" s="1" t="inlineStr">
        <is>
          <t>เสื้อผ้า</t>
        </is>
      </c>
      <c r="C2046" s="1" t="inlineStr">
        <is>
          <t>gf2040119771</t>
        </is>
      </c>
      <c r="D2046" s="1" t="inlineStr">
        <is>
          <t>PETER MILLAR Casa Nova Mesh Performance Mesh Polo (Blue Sea)</t>
        </is>
      </c>
      <c r="E2046" s="1" t="inlineStr">
        <is>
          <t>PETER MILLAR</t>
        </is>
      </c>
      <c r="F2046" s="1" t="inlineStr">
        <is>
          <t>SHORT SLEEVES</t>
        </is>
      </c>
      <c r="G2046" s="1" t="inlineStr">
        <is>
          <t>GF2040119771S</t>
        </is>
      </c>
      <c r="H2046" s="1" t="n">
        <v>5</v>
      </c>
      <c r="I2046" s="1" t="inlineStr">
        <is>
          <t>มี</t>
        </is>
      </c>
      <c r="J2046" s="13" t="n">
        <v>155</v>
      </c>
      <c r="K2046" s="1" t="inlineStr"/>
      <c r="L2046" s="13" t="n">
        <v>155</v>
      </c>
      <c r="M2046" s="1">
        <f>IF(L2046="","ไม่พบใน SG",IF(ABS(J2046-L2046)&lt;0.005,"ตรงกัน","ไม่ตรง"))</f>
        <v/>
      </c>
      <c r="N2046" s="14">
        <f>IF(L2046="","",ROUND(L2046*'สรุป'!$C$6,-1))</f>
        <v/>
      </c>
      <c r="O2046" s="15" t="n"/>
      <c r="P2046" s="15" t="n"/>
      <c r="Q2046" s="10" t="n"/>
      <c r="R2046" s="10" t="n"/>
      <c r="S2046" s="16" t="inlineStr">
        <is>
          <t>https://mstgolf.co.th/products/gf2040119771</t>
        </is>
      </c>
      <c r="T2046" s="1">
        <f>IF(B2046="ไม้กอล์ฟ",J2046,"")</f>
        <v/>
      </c>
    </row>
    <row r="2047">
      <c r="A2047" s="1" t="n">
        <v>3</v>
      </c>
      <c r="B2047" s="1" t="inlineStr">
        <is>
          <t>เสื้อผ้า</t>
        </is>
      </c>
      <c r="C2047" s="1" t="inlineStr">
        <is>
          <t>gf2040119767</t>
        </is>
      </c>
      <c r="D2047" s="1" t="inlineStr">
        <is>
          <t>PETER MILLAR Castellina Men's Performance Jersey Polo (Navy)</t>
        </is>
      </c>
      <c r="E2047" s="1" t="inlineStr">
        <is>
          <t>PETER MILLAR</t>
        </is>
      </c>
      <c r="F2047" s="1" t="inlineStr">
        <is>
          <t>SHORT SLEEVES</t>
        </is>
      </c>
      <c r="G2047" s="1" t="inlineStr">
        <is>
          <t>GF2040119767S</t>
        </is>
      </c>
      <c r="H2047" s="1" t="n">
        <v>5</v>
      </c>
      <c r="I2047" s="1" t="inlineStr">
        <is>
          <t>มี</t>
        </is>
      </c>
      <c r="J2047" s="13" t="n">
        <v>155</v>
      </c>
      <c r="K2047" s="1" t="inlineStr"/>
      <c r="L2047" s="13" t="n">
        <v>155</v>
      </c>
      <c r="M2047" s="1">
        <f>IF(L2047="","ไม่พบใน SG",IF(ABS(J2047-L2047)&lt;0.005,"ตรงกัน","ไม่ตรง"))</f>
        <v/>
      </c>
      <c r="N2047" s="14">
        <f>IF(L2047="","",ROUND(L2047*'สรุป'!$C$6,-1))</f>
        <v/>
      </c>
      <c r="O2047" s="15" t="n"/>
      <c r="P2047" s="15" t="n"/>
      <c r="Q2047" s="10" t="n"/>
      <c r="R2047" s="10" t="n"/>
      <c r="S2047" s="16" t="inlineStr">
        <is>
          <t>https://mstgolf.co.th/products/gf2040119767</t>
        </is>
      </c>
      <c r="T2047" s="1">
        <f>IF(B2047="ไม้กอล์ฟ",J2047,"")</f>
        <v/>
      </c>
    </row>
    <row r="2048">
      <c r="A2048" s="1" t="n">
        <v>3</v>
      </c>
      <c r="B2048" s="1" t="inlineStr">
        <is>
          <t>เสื้อผ้า</t>
        </is>
      </c>
      <c r="C2048" s="1" t="inlineStr">
        <is>
          <t>gf2040119768</t>
        </is>
      </c>
      <c r="D2048" s="1" t="inlineStr">
        <is>
          <t>PETER MILLAR Castellina Men's Performance Jersey Polo (White)</t>
        </is>
      </c>
      <c r="E2048" s="1" t="inlineStr">
        <is>
          <t>PETER MILLAR</t>
        </is>
      </c>
      <c r="F2048" s="1" t="inlineStr">
        <is>
          <t>SHORT SLEEVES</t>
        </is>
      </c>
      <c r="G2048" s="1" t="inlineStr">
        <is>
          <t>GF2040119768S</t>
        </is>
      </c>
      <c r="H2048" s="1" t="n">
        <v>5</v>
      </c>
      <c r="I2048" s="1" t="inlineStr">
        <is>
          <t>มี</t>
        </is>
      </c>
      <c r="J2048" s="13" t="n">
        <v>155</v>
      </c>
      <c r="K2048" s="1" t="inlineStr"/>
      <c r="L2048" s="13" t="n">
        <v>155</v>
      </c>
      <c r="M2048" s="1">
        <f>IF(L2048="","ไม่พบใน SG",IF(ABS(J2048-L2048)&lt;0.005,"ตรงกัน","ไม่ตรง"))</f>
        <v/>
      </c>
      <c r="N2048" s="14">
        <f>IF(L2048="","",ROUND(L2048*'สรุป'!$C$6,-1))</f>
        <v/>
      </c>
      <c r="O2048" s="15" t="n"/>
      <c r="P2048" s="15" t="n"/>
      <c r="Q2048" s="10" t="n"/>
      <c r="R2048" s="10" t="n"/>
      <c r="S2048" s="16" t="inlineStr">
        <is>
          <t>https://mstgolf.co.th/products/gf2040119768</t>
        </is>
      </c>
      <c r="T2048" s="1">
        <f>IF(B2048="ไม้กอล์ฟ",J2048,"")</f>
        <v/>
      </c>
    </row>
    <row r="2049">
      <c r="A2049" s="1" t="n">
        <v>3</v>
      </c>
      <c r="B2049" s="1" t="inlineStr">
        <is>
          <t>เสื้อผ้า</t>
        </is>
      </c>
      <c r="C2049" s="1" t="inlineStr">
        <is>
          <t>gf2040120664</t>
        </is>
      </c>
      <c r="D2049" s="1" t="inlineStr">
        <is>
          <t>PETER MILLAR Cocktail Garnish Men's Performance Polo (White)</t>
        </is>
      </c>
      <c r="E2049" s="1" t="inlineStr">
        <is>
          <t>PETER MILLAR</t>
        </is>
      </c>
      <c r="F2049" s="1" t="inlineStr">
        <is>
          <t>SHORT SLEEVES</t>
        </is>
      </c>
      <c r="G2049" s="1" t="inlineStr">
        <is>
          <t>GF2040120664S</t>
        </is>
      </c>
      <c r="H2049" s="1" t="n">
        <v>5</v>
      </c>
      <c r="I2049" s="1" t="inlineStr">
        <is>
          <t>มี</t>
        </is>
      </c>
      <c r="J2049" s="13" t="n">
        <v>155</v>
      </c>
      <c r="K2049" s="1" t="inlineStr"/>
      <c r="L2049" s="13" t="n">
        <v>155</v>
      </c>
      <c r="M2049" s="1">
        <f>IF(L2049="","ไม่พบใน SG",IF(ABS(J2049-L2049)&lt;0.005,"ตรงกัน","ไม่ตรง"))</f>
        <v/>
      </c>
      <c r="N2049" s="14">
        <f>IF(L2049="","",ROUND(L2049*'สรุป'!$C$6,-1))</f>
        <v/>
      </c>
      <c r="O2049" s="15" t="n"/>
      <c r="P2049" s="15" t="n"/>
      <c r="Q2049" s="10" t="n"/>
      <c r="R2049" s="10" t="n"/>
      <c r="S2049" s="16" t="inlineStr">
        <is>
          <t>https://mstgolf.co.th/products/gf2040120664</t>
        </is>
      </c>
      <c r="T2049" s="1">
        <f>IF(B2049="ไม้กอล์ฟ",J2049,"")</f>
        <v/>
      </c>
    </row>
    <row r="2050">
      <c r="A2050" s="1" t="n">
        <v>3</v>
      </c>
      <c r="B2050" s="1" t="inlineStr">
        <is>
          <t>เสื้อผ้า</t>
        </is>
      </c>
      <c r="C2050" s="1" t="inlineStr">
        <is>
          <t>gf2040120665</t>
        </is>
      </c>
      <c r="D2050" s="1" t="inlineStr">
        <is>
          <t>PETER MILLAR Day Of The Dead Men's Performance Jersey Polo (Meadow)</t>
        </is>
      </c>
      <c r="E2050" s="1" t="inlineStr">
        <is>
          <t>PETER MILLAR</t>
        </is>
      </c>
      <c r="F2050" s="1" t="inlineStr">
        <is>
          <t>SHORT SLEEVES</t>
        </is>
      </c>
      <c r="G2050" s="1" t="inlineStr">
        <is>
          <t>GF2040120665S</t>
        </is>
      </c>
      <c r="H2050" s="1" t="n">
        <v>5</v>
      </c>
      <c r="I2050" s="1" t="inlineStr">
        <is>
          <t>มี</t>
        </is>
      </c>
      <c r="J2050" s="13" t="n">
        <v>155</v>
      </c>
      <c r="K2050" s="1" t="inlineStr"/>
      <c r="L2050" s="13" t="n">
        <v>155</v>
      </c>
      <c r="M2050" s="1">
        <f>IF(L2050="","ไม่พบใน SG",IF(ABS(J2050-L2050)&lt;0.005,"ตรงกัน","ไม่ตรง"))</f>
        <v/>
      </c>
      <c r="N2050" s="14">
        <f>IF(L2050="","",ROUND(L2050*'สรุป'!$C$6,-1))</f>
        <v/>
      </c>
      <c r="O2050" s="15" t="n"/>
      <c r="P2050" s="15" t="n"/>
      <c r="Q2050" s="10" t="n"/>
      <c r="R2050" s="10" t="n"/>
      <c r="S2050" s="16" t="inlineStr">
        <is>
          <t>https://mstgolf.co.th/products/gf2040120665</t>
        </is>
      </c>
      <c r="T2050" s="1">
        <f>IF(B2050="ไม้กอล์ฟ",J2050,"")</f>
        <v/>
      </c>
    </row>
    <row r="2051">
      <c r="A2051" s="1" t="n">
        <v>3</v>
      </c>
      <c r="B2051" s="1" t="inlineStr">
        <is>
          <t>เสื้อผ้า</t>
        </is>
      </c>
      <c r="C2051" s="1" t="inlineStr">
        <is>
          <t>gf2040119752</t>
        </is>
      </c>
      <c r="D2051" s="1" t="inlineStr">
        <is>
          <t>PETER MILLAR Featherweight Men's Polo (White)</t>
        </is>
      </c>
      <c r="E2051" s="1" t="inlineStr">
        <is>
          <t>PETER MILLAR</t>
        </is>
      </c>
      <c r="F2051" s="1" t="inlineStr">
        <is>
          <t>SHORT SLEEVES</t>
        </is>
      </c>
      <c r="G2051" s="1" t="inlineStr">
        <is>
          <t>GF2040119752XS</t>
        </is>
      </c>
      <c r="H2051" s="1" t="n">
        <v>6</v>
      </c>
      <c r="I2051" s="1" t="inlineStr">
        <is>
          <t>มี</t>
        </is>
      </c>
      <c r="J2051" s="13" t="n">
        <v>155</v>
      </c>
      <c r="K2051" s="1" t="inlineStr"/>
      <c r="L2051" s="13" t="n">
        <v>155</v>
      </c>
      <c r="M2051" s="1">
        <f>IF(L2051="","ไม่พบใน SG",IF(ABS(J2051-L2051)&lt;0.005,"ตรงกัน","ไม่ตรง"))</f>
        <v/>
      </c>
      <c r="N2051" s="14">
        <f>IF(L2051="","",ROUND(L2051*'สรุป'!$C$6,-1))</f>
        <v/>
      </c>
      <c r="O2051" s="15" t="n"/>
      <c r="P2051" s="15" t="n"/>
      <c r="Q2051" s="10" t="n"/>
      <c r="R2051" s="10" t="n"/>
      <c r="S2051" s="16" t="inlineStr">
        <is>
          <t>https://mstgolf.co.th/products/gf2040119752</t>
        </is>
      </c>
      <c r="T2051" s="1">
        <f>IF(B2051="ไม้กอล์ฟ",J2051,"")</f>
        <v/>
      </c>
    </row>
    <row r="2052">
      <c r="A2052" s="1" t="n">
        <v>3</v>
      </c>
      <c r="B2052" s="1" t="inlineStr">
        <is>
          <t>เสื้อผ้า</t>
        </is>
      </c>
      <c r="C2052" s="1" t="inlineStr">
        <is>
          <t>gf2040119775</t>
        </is>
      </c>
      <c r="D2052" s="1" t="inlineStr">
        <is>
          <t>PETER MILLAR First In Flight Men's Performance Jersey Polo (Pale Blue)</t>
        </is>
      </c>
      <c r="E2052" s="1" t="inlineStr">
        <is>
          <t>PETER MILLAR</t>
        </is>
      </c>
      <c r="F2052" s="1" t="inlineStr">
        <is>
          <t>SHORT SLEEVES</t>
        </is>
      </c>
      <c r="G2052" s="1" t="inlineStr">
        <is>
          <t>GF2040119775S</t>
        </is>
      </c>
      <c r="H2052" s="1" t="n">
        <v>5</v>
      </c>
      <c r="I2052" s="1" t="inlineStr">
        <is>
          <t>มี</t>
        </is>
      </c>
      <c r="J2052" s="13" t="n">
        <v>155</v>
      </c>
      <c r="K2052" s="1" t="inlineStr"/>
      <c r="L2052" s="13" t="n">
        <v>155</v>
      </c>
      <c r="M2052" s="1">
        <f>IF(L2052="","ไม่พบใน SG",IF(ABS(J2052-L2052)&lt;0.005,"ตรงกัน","ไม่ตรง"))</f>
        <v/>
      </c>
      <c r="N2052" s="14">
        <f>IF(L2052="","",ROUND(L2052*'สรุป'!$C$6,-1))</f>
        <v/>
      </c>
      <c r="O2052" s="15" t="n"/>
      <c r="P2052" s="15" t="n"/>
      <c r="Q2052" s="10" t="n"/>
      <c r="R2052" s="10" t="n"/>
      <c r="S2052" s="16" t="inlineStr">
        <is>
          <t>https://mstgolf.co.th/products/gf2040119775</t>
        </is>
      </c>
      <c r="T2052" s="1">
        <f>IF(B2052="ไม้กอล์ฟ",J2052,"")</f>
        <v/>
      </c>
    </row>
    <row r="2053">
      <c r="A2053" s="1" t="n">
        <v>3</v>
      </c>
      <c r="B2053" s="1" t="inlineStr">
        <is>
          <t>เสื้อผ้า</t>
        </is>
      </c>
      <c r="C2053" s="1" t="inlineStr">
        <is>
          <t>gf2040119750</t>
        </is>
      </c>
      <c r="D2053" s="1" t="inlineStr">
        <is>
          <t>PETER MILLAR Gingham Men's Performance Jersey Polo (Navy)</t>
        </is>
      </c>
      <c r="E2053" s="1" t="inlineStr">
        <is>
          <t>PETER MILLAR</t>
        </is>
      </c>
      <c r="F2053" s="1" t="inlineStr">
        <is>
          <t>SHORT SLEEVES</t>
        </is>
      </c>
      <c r="G2053" s="1" t="inlineStr">
        <is>
          <t>GF2040119750XS</t>
        </is>
      </c>
      <c r="H2053" s="1" t="n">
        <v>6</v>
      </c>
      <c r="I2053" s="1" t="inlineStr">
        <is>
          <t>มี</t>
        </is>
      </c>
      <c r="J2053" s="13" t="n">
        <v>155</v>
      </c>
      <c r="K2053" s="1" t="inlineStr"/>
      <c r="L2053" s="13" t="n">
        <v>155</v>
      </c>
      <c r="M2053" s="1">
        <f>IF(L2053="","ไม่พบใน SG",IF(ABS(J2053-L2053)&lt;0.005,"ตรงกัน","ไม่ตรง"))</f>
        <v/>
      </c>
      <c r="N2053" s="14">
        <f>IF(L2053="","",ROUND(L2053*'สรุป'!$C$6,-1))</f>
        <v/>
      </c>
      <c r="O2053" s="15" t="n"/>
      <c r="P2053" s="15" t="n"/>
      <c r="Q2053" s="10" t="n"/>
      <c r="R2053" s="10" t="n"/>
      <c r="S2053" s="16" t="inlineStr">
        <is>
          <t>https://mstgolf.co.th/products/gf2040119750</t>
        </is>
      </c>
      <c r="T2053" s="1">
        <f>IF(B2053="ไม้กอล์ฟ",J2053,"")</f>
        <v/>
      </c>
    </row>
    <row r="2054">
      <c r="A2054" s="1" t="n">
        <v>3</v>
      </c>
      <c r="B2054" s="1" t="inlineStr">
        <is>
          <t>เสื้อผ้า</t>
        </is>
      </c>
      <c r="C2054" s="1" t="inlineStr">
        <is>
          <t>gf2040120663</t>
        </is>
      </c>
      <c r="D2054" s="1" t="inlineStr">
        <is>
          <t>PETER MILLAR Sidecar Men's Performance Jersey Polo (Navy)</t>
        </is>
      </c>
      <c r="E2054" s="1" t="inlineStr">
        <is>
          <t>PETER MILLAR</t>
        </is>
      </c>
      <c r="F2054" s="1" t="inlineStr">
        <is>
          <t>SHORT SLEEVES</t>
        </is>
      </c>
      <c r="G2054" s="1" t="inlineStr">
        <is>
          <t>GF2040120663S</t>
        </is>
      </c>
      <c r="H2054" s="1" t="n">
        <v>5</v>
      </c>
      <c r="I2054" s="1" t="inlineStr">
        <is>
          <t>มี</t>
        </is>
      </c>
      <c r="J2054" s="13" t="n">
        <v>155</v>
      </c>
      <c r="K2054" s="1" t="inlineStr"/>
      <c r="L2054" s="13" t="n">
        <v>155</v>
      </c>
      <c r="M2054" s="1">
        <f>IF(L2054="","ไม่พบใน SG",IF(ABS(J2054-L2054)&lt;0.005,"ตรงกัน","ไม่ตรง"))</f>
        <v/>
      </c>
      <c r="N2054" s="14">
        <f>IF(L2054="","",ROUND(L2054*'สรุป'!$C$6,-1))</f>
        <v/>
      </c>
      <c r="O2054" s="15" t="n"/>
      <c r="P2054" s="15" t="n"/>
      <c r="Q2054" s="10" t="n"/>
      <c r="R2054" s="10" t="n"/>
      <c r="S2054" s="16" t="inlineStr">
        <is>
          <t>https://mstgolf.co.th/products/gf2040120663</t>
        </is>
      </c>
      <c r="T2054" s="1">
        <f>IF(B2054="ไม้กอล์ฟ",J2054,"")</f>
        <v/>
      </c>
    </row>
    <row r="2055">
      <c r="A2055" s="1" t="n">
        <v>3</v>
      </c>
      <c r="B2055" s="1" t="inlineStr">
        <is>
          <t>เสื้อผ้า</t>
        </is>
      </c>
      <c r="C2055" s="1" t="inlineStr">
        <is>
          <t>gf2040120667</t>
        </is>
      </c>
      <c r="D2055" s="1" t="inlineStr">
        <is>
          <t>PETER MILLAR Soul Performance Mesh Men's Polo (Black)</t>
        </is>
      </c>
      <c r="E2055" s="1" t="inlineStr">
        <is>
          <t>PETER MILLAR</t>
        </is>
      </c>
      <c r="F2055" s="1" t="inlineStr">
        <is>
          <t>SHORT SLEEVES</t>
        </is>
      </c>
      <c r="G2055" s="1" t="inlineStr">
        <is>
          <t>GF2040120667S</t>
        </is>
      </c>
      <c r="H2055" s="1" t="n">
        <v>5</v>
      </c>
      <c r="I2055" s="1" t="inlineStr">
        <is>
          <t>มี</t>
        </is>
      </c>
      <c r="J2055" s="13" t="n">
        <v>155</v>
      </c>
      <c r="K2055" s="1" t="inlineStr"/>
      <c r="L2055" s="13" t="n">
        <v>155</v>
      </c>
      <c r="M2055" s="1">
        <f>IF(L2055="","ไม่พบใน SG",IF(ABS(J2055-L2055)&lt;0.005,"ตรงกัน","ไม่ตรง"))</f>
        <v/>
      </c>
      <c r="N2055" s="14">
        <f>IF(L2055="","",ROUND(L2055*'สรุป'!$C$6,-1))</f>
        <v/>
      </c>
      <c r="O2055" s="15" t="n"/>
      <c r="P2055" s="15" t="n"/>
      <c r="Q2055" s="10" t="n"/>
      <c r="R2055" s="10" t="n"/>
      <c r="S2055" s="16" t="inlineStr">
        <is>
          <t>https://mstgolf.co.th/products/gf2040120667</t>
        </is>
      </c>
      <c r="T2055" s="1">
        <f>IF(B2055="ไม้กอล์ฟ",J2055,"")</f>
        <v/>
      </c>
    </row>
    <row r="2056">
      <c r="A2056" s="1" t="n">
        <v>3</v>
      </c>
      <c r="B2056" s="1" t="inlineStr">
        <is>
          <t>เสื้อผ้า</t>
        </is>
      </c>
      <c r="C2056" s="1" t="inlineStr">
        <is>
          <t>gf2040119751</t>
        </is>
      </c>
      <c r="D2056" s="1" t="inlineStr">
        <is>
          <t>PETER MILLAR Wine Country Men's Performance Jersey Polo (Sport Navy)</t>
        </is>
      </c>
      <c r="E2056" s="1" t="inlineStr">
        <is>
          <t>PETER MILLAR</t>
        </is>
      </c>
      <c r="F2056" s="1" t="inlineStr">
        <is>
          <t>SHORT SLEEVES</t>
        </is>
      </c>
      <c r="G2056" s="1" t="inlineStr">
        <is>
          <t>GF2040119751XS</t>
        </is>
      </c>
      <c r="H2056" s="1" t="n">
        <v>6</v>
      </c>
      <c r="I2056" s="1" t="inlineStr">
        <is>
          <t>มี</t>
        </is>
      </c>
      <c r="J2056" s="13" t="n">
        <v>155</v>
      </c>
      <c r="K2056" s="1" t="inlineStr"/>
      <c r="L2056" s="13" t="n">
        <v>155</v>
      </c>
      <c r="M2056" s="1">
        <f>IF(L2056="","ไม่พบใน SG",IF(ABS(J2056-L2056)&lt;0.005,"ตรงกัน","ไม่ตรง"))</f>
        <v/>
      </c>
      <c r="N2056" s="14">
        <f>IF(L2056="","",ROUND(L2056*'สรุป'!$C$6,-1))</f>
        <v/>
      </c>
      <c r="O2056" s="15" t="n"/>
      <c r="P2056" s="15" t="n"/>
      <c r="Q2056" s="10" t="n"/>
      <c r="R2056" s="10" t="n"/>
      <c r="S2056" s="16" t="inlineStr">
        <is>
          <t>https://mstgolf.co.th/products/gf2040119751</t>
        </is>
      </c>
      <c r="T2056" s="1">
        <f>IF(B2056="ไม้กอล์ฟ",J2056,"")</f>
        <v/>
      </c>
    </row>
    <row r="2057">
      <c r="A2057" s="1" t="n">
        <v>3</v>
      </c>
      <c r="B2057" s="1" t="inlineStr">
        <is>
          <t>เสื้อผ้า</t>
        </is>
      </c>
      <c r="C2057" s="1" t="inlineStr">
        <is>
          <t>gf2040401382</t>
        </is>
      </c>
      <c r="D2057" s="1" t="inlineStr">
        <is>
          <t>TAYLORMADE x United Arrows Border Lager Unisex Long Sleeve Polo (Navy)</t>
        </is>
      </c>
      <c r="E2057" s="1" t="inlineStr">
        <is>
          <t>TAYLORMADE</t>
        </is>
      </c>
      <c r="F2057" s="1" t="inlineStr">
        <is>
          <t>LONG SLEEVES</t>
        </is>
      </c>
      <c r="G2057" s="1" t="inlineStr">
        <is>
          <t>GF2040401382S</t>
        </is>
      </c>
      <c r="H2057" s="1" t="n">
        <v>6</v>
      </c>
      <c r="I2057" s="1" t="inlineStr">
        <is>
          <t>มี</t>
        </is>
      </c>
      <c r="J2057" s="13" t="n">
        <v>155</v>
      </c>
      <c r="K2057" s="1" t="inlineStr"/>
      <c r="L2057" s="13" t="n">
        <v>155</v>
      </c>
      <c r="M2057" s="1">
        <f>IF(L2057="","ไม่พบใน SG",IF(ABS(J2057-L2057)&lt;0.005,"ตรงกัน","ไม่ตรง"))</f>
        <v/>
      </c>
      <c r="N2057" s="14">
        <f>IF(L2057="","",ROUND(L2057*'สรุป'!$C$6,-1))</f>
        <v/>
      </c>
      <c r="O2057" s="15" t="n"/>
      <c r="P2057" s="15" t="n"/>
      <c r="Q2057" s="10" t="n"/>
      <c r="R2057" s="10" t="n"/>
      <c r="S2057" s="16" t="inlineStr">
        <is>
          <t>https://mstgolf.co.th/products/gf2040401382</t>
        </is>
      </c>
      <c r="T2057" s="1">
        <f>IF(B2057="ไม้กอล์ฟ",J2057,"")</f>
        <v/>
      </c>
    </row>
    <row r="2058">
      <c r="A2058" s="1" t="n">
        <v>3</v>
      </c>
      <c r="B2058" s="1" t="inlineStr">
        <is>
          <t>เสื้อผ้า</t>
        </is>
      </c>
      <c r="C2058" s="1" t="inlineStr">
        <is>
          <t>gf2020102419</t>
        </is>
      </c>
      <c r="D2058" s="1" t="inlineStr">
        <is>
          <t>MANORS Course Men's Shorts (Beige)</t>
        </is>
      </c>
      <c r="E2058" s="1" t="inlineStr">
        <is>
          <t>MANORS</t>
        </is>
      </c>
      <c r="F2058" s="1" t="inlineStr">
        <is>
          <t>LONG PANTS</t>
        </is>
      </c>
      <c r="G2058" s="1" t="inlineStr">
        <is>
          <t>GF202010241928</t>
        </is>
      </c>
      <c r="H2058" s="1" t="n">
        <v>5</v>
      </c>
      <c r="I2058" s="1" t="inlineStr">
        <is>
          <t>มี</t>
        </is>
      </c>
      <c r="J2058" s="13" t="n">
        <v>150</v>
      </c>
      <c r="K2058" s="1" t="inlineStr"/>
      <c r="L2058" s="13" t="n">
        <v>75</v>
      </c>
      <c r="M2058" s="1">
        <f>IF(L2058="","ไม่พบใน SG",IF(ABS(J2058-L2058)&lt;0.005,"ตรงกัน","ไม่ตรง"))</f>
        <v/>
      </c>
      <c r="N2058" s="14">
        <f>IF(L2058="","",ROUND(L2058*'สรุป'!$C$6,-1))</f>
        <v/>
      </c>
      <c r="O2058" s="15" t="n"/>
      <c r="P2058" s="15" t="n"/>
      <c r="Q2058" s="10" t="n"/>
      <c r="R2058" s="10" t="n"/>
      <c r="S2058" s="16" t="inlineStr">
        <is>
          <t>https://mstgolf.co.th/products/gf2020102419</t>
        </is>
      </c>
      <c r="T2058" s="1">
        <f>IF(B2058="ไม้กอล์ฟ",J2058,"")</f>
        <v/>
      </c>
    </row>
    <row r="2059">
      <c r="A2059" s="1" t="n">
        <v>3</v>
      </c>
      <c r="B2059" s="1" t="inlineStr">
        <is>
          <t>เสื้อผ้า</t>
        </is>
      </c>
      <c r="C2059" s="1" t="inlineStr">
        <is>
          <t>gf2020202571</t>
        </is>
      </c>
      <c r="D2059" s="1" t="inlineStr">
        <is>
          <t>MANORS Course Men's Shorts (Beige)</t>
        </is>
      </c>
      <c r="E2059" s="1" t="inlineStr">
        <is>
          <t>MANORS</t>
        </is>
      </c>
      <c r="F2059" s="1" t="inlineStr">
        <is>
          <t>SHORT PANTS</t>
        </is>
      </c>
      <c r="G2059" s="1" t="inlineStr">
        <is>
          <t>GF202020257128</t>
        </is>
      </c>
      <c r="H2059" s="1" t="n">
        <v>5</v>
      </c>
      <c r="I2059" s="1" t="inlineStr">
        <is>
          <t>มี</t>
        </is>
      </c>
      <c r="J2059" s="13" t="n">
        <v>150</v>
      </c>
      <c r="K2059" s="1" t="inlineStr"/>
      <c r="L2059" s="13" t="n">
        <v>75</v>
      </c>
      <c r="M2059" s="1">
        <f>IF(L2059="","ไม่พบใน SG",IF(ABS(J2059-L2059)&lt;0.005,"ตรงกัน","ไม่ตรง"))</f>
        <v/>
      </c>
      <c r="N2059" s="14">
        <f>IF(L2059="","",ROUND(L2059*'สรุป'!$C$6,-1))</f>
        <v/>
      </c>
      <c r="O2059" s="15" t="n"/>
      <c r="P2059" s="15" t="n"/>
      <c r="Q2059" s="10" t="n"/>
      <c r="R2059" s="10" t="n"/>
      <c r="S2059" s="16" t="inlineStr">
        <is>
          <t>https://mstgolf.co.th/products/gf2020202571</t>
        </is>
      </c>
      <c r="T2059" s="1">
        <f>IF(B2059="ไม้กอล์ฟ",J2059,"")</f>
        <v/>
      </c>
    </row>
    <row r="2060">
      <c r="A2060" s="1" t="n">
        <v>3</v>
      </c>
      <c r="B2060" s="1" t="inlineStr">
        <is>
          <t>เสื้อผ้า</t>
        </is>
      </c>
      <c r="C2060" s="1" t="inlineStr">
        <is>
          <t>gf2020202554</t>
        </is>
      </c>
      <c r="D2060" s="1" t="inlineStr">
        <is>
          <t>MANORS Course Men's Shorts (Navy)</t>
        </is>
      </c>
      <c r="E2060" s="1" t="inlineStr">
        <is>
          <t>MANORS</t>
        </is>
      </c>
      <c r="F2060" s="1" t="inlineStr">
        <is>
          <t>SHORT PANTS</t>
        </is>
      </c>
      <c r="G2060" s="1" t="inlineStr">
        <is>
          <t>GF202020255428</t>
        </is>
      </c>
      <c r="H2060" s="1" t="n">
        <v>5</v>
      </c>
      <c r="I2060" s="1" t="inlineStr">
        <is>
          <t>มี</t>
        </is>
      </c>
      <c r="J2060" s="13" t="n">
        <v>150</v>
      </c>
      <c r="K2060" s="1" t="inlineStr"/>
      <c r="L2060" s="13" t="n">
        <v>75</v>
      </c>
      <c r="M2060" s="1">
        <f>IF(L2060="","ไม่พบใน SG",IF(ABS(J2060-L2060)&lt;0.005,"ตรงกัน","ไม่ตรง"))</f>
        <v/>
      </c>
      <c r="N2060" s="14">
        <f>IF(L2060="","",ROUND(L2060*'สรุป'!$C$6,-1))</f>
        <v/>
      </c>
      <c r="O2060" s="15" t="n"/>
      <c r="P2060" s="15" t="n"/>
      <c r="Q2060" s="10" t="n"/>
      <c r="R2060" s="10" t="n"/>
      <c r="S2060" s="16" t="inlineStr">
        <is>
          <t>https://mstgolf.co.th/products/gf2020202554</t>
        </is>
      </c>
      <c r="T2060" s="1">
        <f>IF(B2060="ไม้กอล์ฟ",J2060,"")</f>
        <v/>
      </c>
    </row>
    <row r="2061">
      <c r="A2061" s="1" t="n">
        <v>3</v>
      </c>
      <c r="B2061" s="1" t="inlineStr">
        <is>
          <t>เสื้อผ้า</t>
        </is>
      </c>
      <c r="C2061" s="1" t="inlineStr">
        <is>
          <t>gf2040120618</t>
        </is>
      </c>
      <c r="D2061" s="1" t="inlineStr">
        <is>
          <t>WAAC Arrow Trap Men's Polo (Yellow Green)</t>
        </is>
      </c>
      <c r="E2061" s="1" t="inlineStr">
        <is>
          <t>WAAC</t>
        </is>
      </c>
      <c r="F2061" s="1" t="inlineStr">
        <is>
          <t>SHORT SLEEVES</t>
        </is>
      </c>
      <c r="G2061" s="1" t="inlineStr">
        <is>
          <t>GF2040120618S</t>
        </is>
      </c>
      <c r="H2061" s="1" t="n">
        <v>4</v>
      </c>
      <c r="I2061" s="1" t="inlineStr">
        <is>
          <t>มี</t>
        </is>
      </c>
      <c r="J2061" s="13" t="n">
        <v>150</v>
      </c>
      <c r="K2061" s="1" t="inlineStr"/>
      <c r="L2061" s="13" t="n">
        <v>150</v>
      </c>
      <c r="M2061" s="1">
        <f>IF(L2061="","ไม่พบใน SG",IF(ABS(J2061-L2061)&lt;0.005,"ตรงกัน","ไม่ตรง"))</f>
        <v/>
      </c>
      <c r="N2061" s="14">
        <f>IF(L2061="","",ROUND(L2061*'สรุป'!$C$6,-1))</f>
        <v/>
      </c>
      <c r="O2061" s="15" t="n"/>
      <c r="P2061" s="15" t="n"/>
      <c r="Q2061" s="10" t="n"/>
      <c r="R2061" s="10" t="n"/>
      <c r="S2061" s="16" t="inlineStr">
        <is>
          <t>https://mstgolf.co.th/products/gf2040120618</t>
        </is>
      </c>
      <c r="T2061" s="1">
        <f>IF(B2061="ไม้กอล์ฟ",J2061,"")</f>
        <v/>
      </c>
    </row>
    <row r="2062">
      <c r="A2062" s="1" t="n">
        <v>3</v>
      </c>
      <c r="B2062" s="1" t="inlineStr">
        <is>
          <t>เสื้อผ้า</t>
        </is>
      </c>
      <c r="C2062" s="1" t="inlineStr">
        <is>
          <t>gf2020100991</t>
        </is>
      </c>
      <c r="D2062" s="1" t="inlineStr">
        <is>
          <t>CALVIN KLEIN Genius 4-Way Stretch Men's Pants (Dark Navy)</t>
        </is>
      </c>
      <c r="E2062" s="1" t="inlineStr">
        <is>
          <t>CALVIN KLEIN</t>
        </is>
      </c>
      <c r="F2062" s="1" t="inlineStr">
        <is>
          <t>LONG PANTS</t>
        </is>
      </c>
      <c r="G2062" s="1" t="inlineStr">
        <is>
          <t>GF202010099130</t>
        </is>
      </c>
      <c r="H2062" s="1" t="n">
        <v>6</v>
      </c>
      <c r="I2062" s="1" t="inlineStr">
        <is>
          <t>มี</t>
        </is>
      </c>
      <c r="J2062" s="13" t="n">
        <v>149</v>
      </c>
      <c r="K2062" s="1" t="inlineStr"/>
      <c r="L2062" s="13" t="n">
        <v>149</v>
      </c>
      <c r="M2062" s="1">
        <f>IF(L2062="","ไม่พบใน SG",IF(ABS(J2062-L2062)&lt;0.005,"ตรงกัน","ไม่ตรง"))</f>
        <v/>
      </c>
      <c r="N2062" s="14">
        <f>IF(L2062="","",ROUND(L2062*'สรุป'!$C$6,-1))</f>
        <v/>
      </c>
      <c r="O2062" s="15" t="n"/>
      <c r="P2062" s="15" t="n"/>
      <c r="Q2062" s="10" t="n"/>
      <c r="R2062" s="10" t="n"/>
      <c r="S2062" s="16" t="inlineStr">
        <is>
          <t>https://mstgolf.co.th/products/gf2020100991</t>
        </is>
      </c>
      <c r="T2062" s="1">
        <f>IF(B2062="ไม้กอล์ฟ",J2062,"")</f>
        <v/>
      </c>
    </row>
    <row r="2063">
      <c r="A2063" s="1" t="n">
        <v>3</v>
      </c>
      <c r="B2063" s="1" t="inlineStr">
        <is>
          <t>เสื้อผ้า</t>
        </is>
      </c>
      <c r="C2063" s="1" t="inlineStr">
        <is>
          <t>gf2020100992</t>
        </is>
      </c>
      <c r="D2063" s="1" t="inlineStr">
        <is>
          <t>CALVIN KLEIN Genius 4-Way Stretch Men's Pants (Silver)</t>
        </is>
      </c>
      <c r="E2063" s="1" t="inlineStr">
        <is>
          <t>CALVIN KLEIN</t>
        </is>
      </c>
      <c r="F2063" s="1" t="inlineStr">
        <is>
          <t>LONG PANTS</t>
        </is>
      </c>
      <c r="G2063" s="1" t="inlineStr">
        <is>
          <t>GF202010099230</t>
        </is>
      </c>
      <c r="H2063" s="1" t="n">
        <v>6</v>
      </c>
      <c r="I2063" s="1" t="inlineStr">
        <is>
          <t>มี</t>
        </is>
      </c>
      <c r="J2063" s="13" t="n">
        <v>149</v>
      </c>
      <c r="K2063" s="1" t="inlineStr"/>
      <c r="L2063" s="13" t="n">
        <v>149</v>
      </c>
      <c r="M2063" s="1">
        <f>IF(L2063="","ไม่พบใน SG",IF(ABS(J2063-L2063)&lt;0.005,"ตรงกัน","ไม่ตรง"))</f>
        <v/>
      </c>
      <c r="N2063" s="14">
        <f>IF(L2063="","",ROUND(L2063*'สรุป'!$C$6,-1))</f>
        <v/>
      </c>
      <c r="O2063" s="15" t="n"/>
      <c r="P2063" s="15" t="n"/>
      <c r="Q2063" s="10" t="n"/>
      <c r="R2063" s="10" t="n"/>
      <c r="S2063" s="16" t="inlineStr">
        <is>
          <t>https://mstgolf.co.th/products/gf2020100992</t>
        </is>
      </c>
      <c r="T2063" s="1">
        <f>IF(B2063="ไม้กอล์ฟ",J2063,"")</f>
        <v/>
      </c>
    </row>
    <row r="2064">
      <c r="A2064" s="1" t="n">
        <v>3</v>
      </c>
      <c r="B2064" s="1" t="inlineStr">
        <is>
          <t>เสื้อผ้า</t>
        </is>
      </c>
      <c r="C2064" s="1" t="inlineStr">
        <is>
          <t>gf2020102482</t>
        </is>
      </c>
      <c r="D2064" s="1" t="inlineStr">
        <is>
          <t>CALVIN KLEIN Impact Men's Pants (Navy)</t>
        </is>
      </c>
      <c r="E2064" s="1" t="inlineStr">
        <is>
          <t>CALVIN KLEIN</t>
        </is>
      </c>
      <c r="F2064" s="1" t="inlineStr">
        <is>
          <t>LONG PANTS</t>
        </is>
      </c>
      <c r="G2064" s="1" t="inlineStr">
        <is>
          <t>GF202010248228</t>
        </is>
      </c>
      <c r="H2064" s="1" t="n">
        <v>7</v>
      </c>
      <c r="I2064" s="1" t="inlineStr">
        <is>
          <t>มี</t>
        </is>
      </c>
      <c r="J2064" s="13" t="n">
        <v>149</v>
      </c>
      <c r="K2064" s="1" t="inlineStr"/>
      <c r="L2064" s="13" t="n">
        <v>149</v>
      </c>
      <c r="M2064" s="1">
        <f>IF(L2064="","ไม่พบใน SG",IF(ABS(J2064-L2064)&lt;0.005,"ตรงกัน","ไม่ตรง"))</f>
        <v/>
      </c>
      <c r="N2064" s="14">
        <f>IF(L2064="","",ROUND(L2064*'สรุป'!$C$6,-1))</f>
        <v/>
      </c>
      <c r="O2064" s="15" t="n"/>
      <c r="P2064" s="15" t="n"/>
      <c r="Q2064" s="10" t="n"/>
      <c r="R2064" s="10" t="n"/>
      <c r="S2064" s="16" t="inlineStr">
        <is>
          <t>https://mstgolf.co.th/products/gf2020102482</t>
        </is>
      </c>
      <c r="T2064" s="1">
        <f>IF(B2064="ไม้กอล์ฟ",J2064,"")</f>
        <v/>
      </c>
    </row>
    <row r="2065">
      <c r="A2065" s="1" t="n">
        <v>3</v>
      </c>
      <c r="B2065" s="1" t="inlineStr">
        <is>
          <t>เสื้อผ้า</t>
        </is>
      </c>
      <c r="C2065" s="1" t="inlineStr">
        <is>
          <t>gf2020102483</t>
        </is>
      </c>
      <c r="D2065" s="1" t="inlineStr">
        <is>
          <t>CALVIN KLEIN Impact Men's Pants (White)</t>
        </is>
      </c>
      <c r="E2065" s="1" t="inlineStr">
        <is>
          <t>CALVIN KLEIN</t>
        </is>
      </c>
      <c r="F2065" s="1" t="inlineStr">
        <is>
          <t>LONG PANTS</t>
        </is>
      </c>
      <c r="G2065" s="1" t="inlineStr">
        <is>
          <t>GF202010248328</t>
        </is>
      </c>
      <c r="H2065" s="1" t="n">
        <v>7</v>
      </c>
      <c r="I2065" s="1" t="inlineStr">
        <is>
          <t>มี</t>
        </is>
      </c>
      <c r="J2065" s="13" t="n">
        <v>149</v>
      </c>
      <c r="K2065" s="1" t="inlineStr"/>
      <c r="L2065" s="13" t="n">
        <v>149</v>
      </c>
      <c r="M2065" s="1">
        <f>IF(L2065="","ไม่พบใน SG",IF(ABS(J2065-L2065)&lt;0.005,"ตรงกัน","ไม่ตรง"))</f>
        <v/>
      </c>
      <c r="N2065" s="14">
        <f>IF(L2065="","",ROUND(L2065*'สรุป'!$C$6,-1))</f>
        <v/>
      </c>
      <c r="O2065" s="15" t="n"/>
      <c r="P2065" s="15" t="n"/>
      <c r="Q2065" s="10" t="n"/>
      <c r="R2065" s="10" t="n"/>
      <c r="S2065" s="16" t="inlineStr">
        <is>
          <t>https://mstgolf.co.th/products/gf2020102483</t>
        </is>
      </c>
      <c r="T2065" s="1">
        <f>IF(B2065="ไม้กอล์ฟ",J2065,"")</f>
        <v/>
      </c>
    </row>
    <row r="2066">
      <c r="A2066" s="1" t="n">
        <v>3</v>
      </c>
      <c r="B2066" s="1" t="inlineStr">
        <is>
          <t>เสื้อผ้า</t>
        </is>
      </c>
      <c r="C2066" s="1" t="inlineStr">
        <is>
          <t>gf2060101038</t>
        </is>
      </c>
      <c r="D2066" s="1" t="inlineStr">
        <is>
          <t>CALVIN KLEIN Rangewood Men's Half-Zip Hybrid (Blue/Red)</t>
        </is>
      </c>
      <c r="E2066" s="1" t="inlineStr">
        <is>
          <t>CALVIN KLEIN</t>
        </is>
      </c>
      <c r="F2066" s="1" t="inlineStr">
        <is>
          <t>TOP</t>
        </is>
      </c>
      <c r="G2066" s="1" t="inlineStr">
        <is>
          <t>GF2060101038S</t>
        </is>
      </c>
      <c r="H2066" s="1" t="n">
        <v>5</v>
      </c>
      <c r="I2066" s="1" t="inlineStr">
        <is>
          <t>มี</t>
        </is>
      </c>
      <c r="J2066" s="13" t="n">
        <v>149</v>
      </c>
      <c r="K2066" s="1" t="inlineStr"/>
      <c r="L2066" s="13" t="n">
        <v>149</v>
      </c>
      <c r="M2066" s="1">
        <f>IF(L2066="","ไม่พบใน SG",IF(ABS(J2066-L2066)&lt;0.005,"ตรงกัน","ไม่ตรง"))</f>
        <v/>
      </c>
      <c r="N2066" s="14">
        <f>IF(L2066="","",ROUND(L2066*'สรุป'!$C$6,-1))</f>
        <v/>
      </c>
      <c r="O2066" s="15" t="n"/>
      <c r="P2066" s="15" t="n"/>
      <c r="Q2066" s="10" t="n"/>
      <c r="R2066" s="10" t="n"/>
      <c r="S2066" s="16" t="inlineStr">
        <is>
          <t>https://mstgolf.co.th/products/gf2060101038</t>
        </is>
      </c>
      <c r="T2066" s="1">
        <f>IF(B2066="ไม้กอล์ฟ",J2066,"")</f>
        <v/>
      </c>
    </row>
    <row r="2067">
      <c r="A2067" s="1" t="n">
        <v>3</v>
      </c>
      <c r="B2067" s="1" t="inlineStr">
        <is>
          <t>เสื้อผ้า</t>
        </is>
      </c>
      <c r="C2067" s="1" t="inlineStr">
        <is>
          <t>gf2040120588</t>
        </is>
      </c>
      <c r="D2067" s="1" t="inlineStr">
        <is>
          <t>GFORE Multi Stripe Tech Pique Performance Men's Polo (Twilight)</t>
        </is>
      </c>
      <c r="E2067" s="1" t="inlineStr">
        <is>
          <t>GFORE</t>
        </is>
      </c>
      <c r="F2067" s="1" t="inlineStr">
        <is>
          <t>SHORT SLEEVES</t>
        </is>
      </c>
      <c r="G2067" s="1" t="inlineStr">
        <is>
          <t>GF2040120588S</t>
        </is>
      </c>
      <c r="H2067" s="1" t="n">
        <v>5</v>
      </c>
      <c r="I2067" s="1" t="inlineStr">
        <is>
          <t>มี</t>
        </is>
      </c>
      <c r="J2067" s="13" t="n">
        <v>149</v>
      </c>
      <c r="K2067" s="1" t="inlineStr"/>
      <c r="L2067" s="13" t="n">
        <v>99</v>
      </c>
      <c r="M2067" s="1">
        <f>IF(L2067="","ไม่พบใน SG",IF(ABS(J2067-L2067)&lt;0.005,"ตรงกัน","ไม่ตรง"))</f>
        <v/>
      </c>
      <c r="N2067" s="14">
        <f>IF(L2067="","",ROUND(L2067*'สรุป'!$C$6,-1))</f>
        <v/>
      </c>
      <c r="O2067" s="15" t="n"/>
      <c r="P2067" s="15" t="n"/>
      <c r="Q2067" s="10" t="n"/>
      <c r="R2067" s="10" t="n"/>
      <c r="S2067" s="16" t="inlineStr">
        <is>
          <t>https://mstgolf.co.th/products/gf2040120588</t>
        </is>
      </c>
      <c r="T2067" s="1">
        <f>IF(B2067="ไม้กอล์ฟ",J2067,"")</f>
        <v/>
      </c>
    </row>
    <row r="2068">
      <c r="A2068" s="1" t="n">
        <v>3</v>
      </c>
      <c r="B2068" s="1" t="inlineStr">
        <is>
          <t>เสื้อผ้า</t>
        </is>
      </c>
      <c r="C2068" s="1" t="inlineStr">
        <is>
          <t>gf2040120592</t>
        </is>
      </c>
      <c r="D2068" s="1" t="inlineStr">
        <is>
          <t>GFORE Optic Floral Men's Tech Jersey Polo (Blush)</t>
        </is>
      </c>
      <c r="E2068" s="1" t="inlineStr">
        <is>
          <t>GFORE</t>
        </is>
      </c>
      <c r="F2068" s="1" t="inlineStr">
        <is>
          <t>SHORT SLEEVES</t>
        </is>
      </c>
      <c r="G2068" s="1" t="inlineStr">
        <is>
          <t>GF2040120592S</t>
        </is>
      </c>
      <c r="H2068" s="1" t="n">
        <v>5</v>
      </c>
      <c r="I2068" s="1" t="inlineStr">
        <is>
          <t>มี</t>
        </is>
      </c>
      <c r="J2068" s="13" t="n">
        <v>149</v>
      </c>
      <c r="K2068" s="1" t="inlineStr"/>
      <c r="L2068" s="13" t="n">
        <v>99</v>
      </c>
      <c r="M2068" s="1">
        <f>IF(L2068="","ไม่พบใน SG",IF(ABS(J2068-L2068)&lt;0.005,"ตรงกัน","ไม่ตรง"))</f>
        <v/>
      </c>
      <c r="N2068" s="14">
        <f>IF(L2068="","",ROUND(L2068*'สรุป'!$C$6,-1))</f>
        <v/>
      </c>
      <c r="O2068" s="15" t="n"/>
      <c r="P2068" s="15" t="n"/>
      <c r="Q2068" s="10" t="n"/>
      <c r="R2068" s="10" t="n"/>
      <c r="S2068" s="16" t="inlineStr">
        <is>
          <t>https://mstgolf.co.th/products/gf2040120592</t>
        </is>
      </c>
      <c r="T2068" s="1">
        <f>IF(B2068="ไม้กอล์ฟ",J2068,"")</f>
        <v/>
      </c>
    </row>
    <row r="2069">
      <c r="A2069" s="1" t="n">
        <v>3</v>
      </c>
      <c r="B2069" s="1" t="inlineStr">
        <is>
          <t>เสื้อผ้า</t>
        </is>
      </c>
      <c r="C2069" s="1" t="inlineStr">
        <is>
          <t>gf2040200206</t>
        </is>
      </c>
      <c r="D2069" s="1" t="inlineStr">
        <is>
          <t>LACOSTE Slim Fit UV Protect Stretch Men's Polo (Flour)</t>
        </is>
      </c>
      <c r="E2069" s="1" t="inlineStr">
        <is>
          <t>LACOSTE</t>
        </is>
      </c>
      <c r="F2069" s="1" t="inlineStr">
        <is>
          <t>TEE SHIRT</t>
        </is>
      </c>
      <c r="G2069" s="1" t="inlineStr">
        <is>
          <t>GF20402002063</t>
        </is>
      </c>
      <c r="H2069" s="1" t="n">
        <v>5</v>
      </c>
      <c r="I2069" s="1" t="inlineStr">
        <is>
          <t>มี</t>
        </is>
      </c>
      <c r="J2069" s="13" t="n">
        <v>149</v>
      </c>
      <c r="K2069" s="1" t="inlineStr"/>
      <c r="L2069" s="13" t="n">
        <v>149</v>
      </c>
      <c r="M2069" s="1">
        <f>IF(L2069="","ไม่พบใน SG",IF(ABS(J2069-L2069)&lt;0.005,"ตรงกัน","ไม่ตรง"))</f>
        <v/>
      </c>
      <c r="N2069" s="14">
        <f>IF(L2069="","",ROUND(L2069*'สรุป'!$C$6,-1))</f>
        <v/>
      </c>
      <c r="O2069" s="15" t="n"/>
      <c r="P2069" s="15" t="n"/>
      <c r="Q2069" s="10" t="n"/>
      <c r="R2069" s="10" t="n"/>
      <c r="S2069" s="16" t="inlineStr">
        <is>
          <t>https://mstgolf.co.th/products/gf2040200206</t>
        </is>
      </c>
      <c r="T2069" s="1">
        <f>IF(B2069="ไม้กอล์ฟ",J2069,"")</f>
        <v/>
      </c>
    </row>
    <row r="2070">
      <c r="A2070" s="1" t="n">
        <v>3</v>
      </c>
      <c r="B2070" s="1" t="inlineStr">
        <is>
          <t>เสื้อผ้า</t>
        </is>
      </c>
      <c r="C2070" s="1" t="inlineStr">
        <is>
          <t>gf2060101185</t>
        </is>
      </c>
      <c r="D2070" s="1" t="inlineStr">
        <is>
          <t>MALBON GOLF x Keith Haring Men's Hoodie Jacket (White)</t>
        </is>
      </c>
      <c r="E2070" s="1" t="inlineStr">
        <is>
          <t>MALBON GOLF</t>
        </is>
      </c>
      <c r="F2070" s="1" t="inlineStr">
        <is>
          <t>TOP</t>
        </is>
      </c>
      <c r="G2070" s="1" t="inlineStr">
        <is>
          <t>GF2060101185S</t>
        </is>
      </c>
      <c r="H2070" s="1" t="n">
        <v>5</v>
      </c>
      <c r="I2070" s="1" t="inlineStr">
        <is>
          <t>มี</t>
        </is>
      </c>
      <c r="J2070" s="13" t="n">
        <v>149</v>
      </c>
      <c r="K2070" s="1" t="inlineStr"/>
      <c r="L2070" s="13" t="n">
        <v>149</v>
      </c>
      <c r="M2070" s="1">
        <f>IF(L2070="","ไม่พบใน SG",IF(ABS(J2070-L2070)&lt;0.005,"ตรงกัน","ไม่ตรง"))</f>
        <v/>
      </c>
      <c r="N2070" s="14">
        <f>IF(L2070="","",ROUND(L2070*'สรุป'!$C$6,-1))</f>
        <v/>
      </c>
      <c r="O2070" s="15" t="n"/>
      <c r="P2070" s="15" t="n"/>
      <c r="Q2070" s="10" t="n"/>
      <c r="R2070" s="10" t="n"/>
      <c r="S2070" s="16" t="inlineStr">
        <is>
          <t>https://mstgolf.co.th/products/gf2060101185</t>
        </is>
      </c>
      <c r="T2070" s="1">
        <f>IF(B2070="ไม้กอล์ฟ",J2070,"")</f>
        <v/>
      </c>
    </row>
    <row r="2071">
      <c r="A2071" s="1" t="n">
        <v>3</v>
      </c>
      <c r="B2071" s="1" t="inlineStr">
        <is>
          <t>เสื้อผ้า</t>
        </is>
      </c>
      <c r="C2071" s="1" t="inlineStr">
        <is>
          <t>gf2020102458</t>
        </is>
      </c>
      <c r="D2071" s="1" t="inlineStr">
        <is>
          <t>OAKLEY Japan Skull Talented Men's Tapered Pants (Blackout)</t>
        </is>
      </c>
      <c r="E2071" s="1" t="inlineStr">
        <is>
          <t>OAKLEY</t>
        </is>
      </c>
      <c r="F2071" s="1" t="inlineStr">
        <is>
          <t>LONG PANTS</t>
        </is>
      </c>
      <c r="G2071" s="1" t="inlineStr">
        <is>
          <t>GF2020102458S</t>
        </is>
      </c>
      <c r="H2071" s="1" t="n">
        <v>4</v>
      </c>
      <c r="I2071" s="1" t="inlineStr">
        <is>
          <t>มี</t>
        </is>
      </c>
      <c r="J2071" s="13" t="n">
        <v>149</v>
      </c>
      <c r="K2071" s="1" t="inlineStr"/>
      <c r="L2071" s="13" t="n">
        <v>99</v>
      </c>
      <c r="M2071" s="1">
        <f>IF(L2071="","ไม่พบใน SG",IF(ABS(J2071-L2071)&lt;0.005,"ตรงกัน","ไม่ตรง"))</f>
        <v/>
      </c>
      <c r="N2071" s="14">
        <f>IF(L2071="","",ROUND(L2071*'สรุป'!$C$6,-1))</f>
        <v/>
      </c>
      <c r="O2071" s="15" t="n"/>
      <c r="P2071" s="15" t="n"/>
      <c r="Q2071" s="10" t="n"/>
      <c r="R2071" s="10" t="n"/>
      <c r="S2071" s="16" t="inlineStr">
        <is>
          <t>https://mstgolf.co.th/products/gf2020102458</t>
        </is>
      </c>
      <c r="T2071" s="1">
        <f>IF(B2071="ไม้กอล์ฟ",J2071,"")</f>
        <v/>
      </c>
    </row>
    <row r="2072">
      <c r="A2072" s="1" t="n">
        <v>3</v>
      </c>
      <c r="B2072" s="1" t="inlineStr">
        <is>
          <t>เสื้อผ้า</t>
        </is>
      </c>
      <c r="C2072" s="1" t="inlineStr">
        <is>
          <t>gf2020101148</t>
        </is>
      </c>
      <c r="D2072" s="1" t="inlineStr">
        <is>
          <t>PETER MILLAR Performance 5 Pocket Men's Pants (Navy)</t>
        </is>
      </c>
      <c r="E2072" s="1" t="inlineStr">
        <is>
          <t>PETER MILLAR</t>
        </is>
      </c>
      <c r="F2072" s="1" t="inlineStr">
        <is>
          <t>LONG PANTS</t>
        </is>
      </c>
      <c r="G2072" s="1" t="inlineStr">
        <is>
          <t>GF202010114830</t>
        </is>
      </c>
      <c r="H2072" s="1" t="n">
        <v>6</v>
      </c>
      <c r="I2072" s="1" t="inlineStr">
        <is>
          <t>มี</t>
        </is>
      </c>
      <c r="J2072" s="13" t="n">
        <v>149</v>
      </c>
      <c r="K2072" s="1" t="inlineStr"/>
      <c r="L2072" s="13" t="n">
        <v>149</v>
      </c>
      <c r="M2072" s="1">
        <f>IF(L2072="","ไม่พบใน SG",IF(ABS(J2072-L2072)&lt;0.005,"ตรงกัน","ไม่ตรง"))</f>
        <v/>
      </c>
      <c r="N2072" s="14">
        <f>IF(L2072="","",ROUND(L2072*'สรุป'!$C$6,-1))</f>
        <v/>
      </c>
      <c r="O2072" s="15" t="n"/>
      <c r="P2072" s="15" t="n"/>
      <c r="Q2072" s="10" t="n"/>
      <c r="R2072" s="10" t="n"/>
      <c r="S2072" s="16" t="inlineStr">
        <is>
          <t>https://mstgolf.co.th/products/gf2020101148</t>
        </is>
      </c>
      <c r="T2072" s="1">
        <f>IF(B2072="ไม้กอล์ฟ",J2072,"")</f>
        <v/>
      </c>
    </row>
    <row r="2073">
      <c r="A2073" s="1" t="n">
        <v>3</v>
      </c>
      <c r="B2073" s="1" t="inlineStr">
        <is>
          <t>เสื้อผ้า</t>
        </is>
      </c>
      <c r="C2073" s="1" t="inlineStr">
        <is>
          <t>gf2040115657</t>
        </is>
      </c>
      <c r="D2073" s="1" t="inlineStr">
        <is>
          <t>PXG Blocked Men's Shirt (Mid Grey)</t>
        </is>
      </c>
      <c r="E2073" s="1" t="inlineStr">
        <is>
          <t>PXG</t>
        </is>
      </c>
      <c r="F2073" s="1" t="inlineStr">
        <is>
          <t>SHORT SLEEVES</t>
        </is>
      </c>
      <c r="G2073" s="1" t="inlineStr">
        <is>
          <t>GF2040115657S</t>
        </is>
      </c>
      <c r="H2073" s="1" t="n">
        <v>5</v>
      </c>
      <c r="I2073" s="1" t="inlineStr">
        <is>
          <t>มี</t>
        </is>
      </c>
      <c r="J2073" s="13" t="n">
        <v>149</v>
      </c>
      <c r="K2073" s="1" t="inlineStr"/>
      <c r="L2073" s="13" t="n">
        <v>149</v>
      </c>
      <c r="M2073" s="1">
        <f>IF(L2073="","ไม่พบใน SG",IF(ABS(J2073-L2073)&lt;0.005,"ตรงกัน","ไม่ตรง"))</f>
        <v/>
      </c>
      <c r="N2073" s="14">
        <f>IF(L2073="","",ROUND(L2073*'สรุป'!$C$6,-1))</f>
        <v/>
      </c>
      <c r="O2073" s="15" t="n"/>
      <c r="P2073" s="15" t="n"/>
      <c r="Q2073" s="10" t="n"/>
      <c r="R2073" s="10" t="n"/>
      <c r="S2073" s="16" t="inlineStr">
        <is>
          <t>https://mstgolf.co.th/products/gf2040115657</t>
        </is>
      </c>
      <c r="T2073" s="1">
        <f>IF(B2073="ไม้กอล์ฟ",J2073,"")</f>
        <v/>
      </c>
    </row>
    <row r="2074">
      <c r="A2074" s="1" t="n">
        <v>3</v>
      </c>
      <c r="B2074" s="1" t="inlineStr">
        <is>
          <t>เสื้อผ้า</t>
        </is>
      </c>
      <c r="C2074" s="1" t="inlineStr">
        <is>
          <t>gf2040120782</t>
        </is>
      </c>
      <c r="D2074" s="1" t="inlineStr">
        <is>
          <t>TAYLORMADE Flower Logo Women's Polo (White)</t>
        </is>
      </c>
      <c r="E2074" s="1" t="inlineStr">
        <is>
          <t>TAYLORMADE</t>
        </is>
      </c>
      <c r="F2074" s="1" t="inlineStr">
        <is>
          <t>SHORT SLEEVES</t>
        </is>
      </c>
      <c r="G2074" s="1" t="inlineStr">
        <is>
          <t>GF2040120782XS</t>
        </is>
      </c>
      <c r="H2074" s="1" t="n">
        <v>6</v>
      </c>
      <c r="I2074" s="1" t="inlineStr">
        <is>
          <t>มี</t>
        </is>
      </c>
      <c r="J2074" s="13" t="n">
        <v>149</v>
      </c>
      <c r="K2074" s="1" t="inlineStr"/>
      <c r="L2074" s="13" t="n">
        <v>149</v>
      </c>
      <c r="M2074" s="1">
        <f>IF(L2074="","ไม่พบใน SG",IF(ABS(J2074-L2074)&lt;0.005,"ตรงกัน","ไม่ตรง"))</f>
        <v/>
      </c>
      <c r="N2074" s="14">
        <f>IF(L2074="","",ROUND(L2074*'สรุป'!$C$6,-1))</f>
        <v/>
      </c>
      <c r="O2074" s="15" t="n"/>
      <c r="P2074" s="15" t="n"/>
      <c r="Q2074" s="10" t="n"/>
      <c r="R2074" s="10" t="n"/>
      <c r="S2074" s="16" t="inlineStr">
        <is>
          <t>https://mstgolf.co.th/products/gf2040120782</t>
        </is>
      </c>
      <c r="T2074" s="1">
        <f>IF(B2074="ไม้กอล์ฟ",J2074,"")</f>
        <v/>
      </c>
    </row>
    <row r="2075">
      <c r="A2075" s="1" t="n">
        <v>3</v>
      </c>
      <c r="B2075" s="1" t="inlineStr">
        <is>
          <t>เสื้อผ้า</t>
        </is>
      </c>
      <c r="C2075" s="1" t="inlineStr">
        <is>
          <t>gf2040120774</t>
        </is>
      </c>
      <c r="D2075" s="1" t="inlineStr">
        <is>
          <t>TAYLORMADE T-ICE Graphic Men's Polo (Blue)</t>
        </is>
      </c>
      <c r="E2075" s="1" t="inlineStr">
        <is>
          <t>TAYLORMADE</t>
        </is>
      </c>
      <c r="F2075" s="1" t="inlineStr">
        <is>
          <t>SHORT SLEEVES</t>
        </is>
      </c>
      <c r="G2075" s="1" t="inlineStr">
        <is>
          <t>GF2040120774M</t>
        </is>
      </c>
      <c r="H2075" s="1" t="n">
        <v>5</v>
      </c>
      <c r="I2075" s="1" t="inlineStr">
        <is>
          <t>มี</t>
        </is>
      </c>
      <c r="J2075" s="13" t="n">
        <v>149</v>
      </c>
      <c r="K2075" s="1" t="inlineStr"/>
      <c r="L2075" s="13" t="n">
        <v>149</v>
      </c>
      <c r="M2075" s="1">
        <f>IF(L2075="","ไม่พบใน SG",IF(ABS(J2075-L2075)&lt;0.005,"ตรงกัน","ไม่ตรง"))</f>
        <v/>
      </c>
      <c r="N2075" s="14">
        <f>IF(L2075="","",ROUND(L2075*'สรุป'!$C$6,-1))</f>
        <v/>
      </c>
      <c r="O2075" s="15" t="n"/>
      <c r="P2075" s="15" t="n"/>
      <c r="Q2075" s="10" t="n"/>
      <c r="R2075" s="10" t="n"/>
      <c r="S2075" s="16" t="inlineStr">
        <is>
          <t>https://mstgolf.co.th/products/gf2040120774</t>
        </is>
      </c>
      <c r="T2075" s="1">
        <f>IF(B2075="ไม้กอล์ฟ",J2075,"")</f>
        <v/>
      </c>
    </row>
    <row r="2076">
      <c r="A2076" s="1" t="n">
        <v>3</v>
      </c>
      <c r="B2076" s="1" t="inlineStr">
        <is>
          <t>เสื้อผ้า</t>
        </is>
      </c>
      <c r="C2076" s="1" t="inlineStr">
        <is>
          <t>gf2040120778</t>
        </is>
      </c>
      <c r="D2076" s="1" t="inlineStr">
        <is>
          <t>TAYLORMADE Wording Jacquard Men's Polo (Black)</t>
        </is>
      </c>
      <c r="E2076" s="1" t="inlineStr">
        <is>
          <t>TAYLORMADE</t>
        </is>
      </c>
      <c r="F2076" s="1" t="inlineStr">
        <is>
          <t>SHORT SLEEVES</t>
        </is>
      </c>
      <c r="G2076" s="1" t="inlineStr">
        <is>
          <t>GF2040120778M</t>
        </is>
      </c>
      <c r="H2076" s="1" t="n">
        <v>5</v>
      </c>
      <c r="I2076" s="1" t="inlineStr">
        <is>
          <t>มี</t>
        </is>
      </c>
      <c r="J2076" s="13" t="n">
        <v>149</v>
      </c>
      <c r="K2076" s="1" t="inlineStr"/>
      <c r="L2076" s="13" t="n">
        <v>149</v>
      </c>
      <c r="M2076" s="1">
        <f>IF(L2076="","ไม่พบใน SG",IF(ABS(J2076-L2076)&lt;0.005,"ตรงกัน","ไม่ตรง"))</f>
        <v/>
      </c>
      <c r="N2076" s="14">
        <f>IF(L2076="","",ROUND(L2076*'สรุป'!$C$6,-1))</f>
        <v/>
      </c>
      <c r="O2076" s="15" t="n"/>
      <c r="P2076" s="15" t="n"/>
      <c r="Q2076" s="10" t="n"/>
      <c r="R2076" s="10" t="n"/>
      <c r="S2076" s="16" t="inlineStr">
        <is>
          <t>https://mstgolf.co.th/products/gf2040120778</t>
        </is>
      </c>
      <c r="T2076" s="1">
        <f>IF(B2076="ไม้กอล์ฟ",J2076,"")</f>
        <v/>
      </c>
    </row>
    <row r="2077">
      <c r="A2077" s="1" t="n">
        <v>3</v>
      </c>
      <c r="B2077" s="1" t="inlineStr">
        <is>
          <t>เสื้อผ้า</t>
        </is>
      </c>
      <c r="C2077" s="1" t="inlineStr">
        <is>
          <t>gf2020202443</t>
        </is>
      </c>
      <c r="D2077" s="1" t="inlineStr">
        <is>
          <t>WAAC Korea Multi Pocket Women's Shorts (Black)</t>
        </is>
      </c>
      <c r="E2077" s="1" t="inlineStr">
        <is>
          <t>WAAC</t>
        </is>
      </c>
      <c r="F2077" s="1" t="inlineStr">
        <is>
          <t>SHORT PANTS</t>
        </is>
      </c>
      <c r="G2077" s="1" t="inlineStr">
        <is>
          <t>GF202020244323</t>
        </is>
      </c>
      <c r="H2077" s="1" t="n">
        <v>6</v>
      </c>
      <c r="I2077" s="1" t="inlineStr">
        <is>
          <t>มี</t>
        </is>
      </c>
      <c r="J2077" s="13" t="n">
        <v>149</v>
      </c>
      <c r="K2077" s="1" t="inlineStr"/>
      <c r="L2077" s="13" t="n">
        <v>149</v>
      </c>
      <c r="M2077" s="1">
        <f>IF(L2077="","ไม่พบใน SG",IF(ABS(J2077-L2077)&lt;0.005,"ตรงกัน","ไม่ตรง"))</f>
        <v/>
      </c>
      <c r="N2077" s="14">
        <f>IF(L2077="","",ROUND(L2077*'สรุป'!$C$6,-1))</f>
        <v/>
      </c>
      <c r="O2077" s="15" t="n"/>
      <c r="P2077" s="15" t="n"/>
      <c r="Q2077" s="10" t="n"/>
      <c r="R2077" s="10" t="n"/>
      <c r="S2077" s="16" t="inlineStr">
        <is>
          <t>https://mstgolf.co.th/products/gf2020202443</t>
        </is>
      </c>
      <c r="T2077" s="1">
        <f>IF(B2077="ไม้กอล์ฟ",J2077,"")</f>
        <v/>
      </c>
    </row>
    <row r="2078">
      <c r="A2078" s="1" t="n">
        <v>3</v>
      </c>
      <c r="B2078" s="1" t="inlineStr">
        <is>
          <t>เสื้อผ้า</t>
        </is>
      </c>
      <c r="C2078" s="1" t="inlineStr">
        <is>
          <t>gf2040118000</t>
        </is>
      </c>
      <c r="D2078" s="1" t="inlineStr">
        <is>
          <t>WAAC Korea Player's Edition Emblem Men's Polo (Black)</t>
        </is>
      </c>
      <c r="E2078" s="1" t="inlineStr">
        <is>
          <t>WAAC</t>
        </is>
      </c>
      <c r="F2078" s="1" t="inlineStr">
        <is>
          <t>SHORT SLEEVES</t>
        </is>
      </c>
      <c r="G2078" s="1" t="inlineStr">
        <is>
          <t>GF2040118000S</t>
        </is>
      </c>
      <c r="H2078" s="1" t="n">
        <v>5</v>
      </c>
      <c r="I2078" s="1" t="inlineStr">
        <is>
          <t>มี</t>
        </is>
      </c>
      <c r="J2078" s="13" t="n">
        <v>149</v>
      </c>
      <c r="K2078" s="1" t="inlineStr"/>
      <c r="L2078" s="13" t="n">
        <v>149</v>
      </c>
      <c r="M2078" s="1">
        <f>IF(L2078="","ไม่พบใน SG",IF(ABS(J2078-L2078)&lt;0.005,"ตรงกัน","ไม่ตรง"))</f>
        <v/>
      </c>
      <c r="N2078" s="14">
        <f>IF(L2078="","",ROUND(L2078*'สรุป'!$C$6,-1))</f>
        <v/>
      </c>
      <c r="O2078" s="15" t="n"/>
      <c r="P2078" s="15" t="n"/>
      <c r="Q2078" s="10" t="n"/>
      <c r="R2078" s="10" t="n"/>
      <c r="S2078" s="16" t="inlineStr">
        <is>
          <t>https://mstgolf.co.th/products/gf2040118000</t>
        </is>
      </c>
      <c r="T2078" s="1">
        <f>IF(B2078="ไม้กอล์ฟ",J2078,"")</f>
        <v/>
      </c>
    </row>
    <row r="2079">
      <c r="A2079" s="1" t="n">
        <v>3</v>
      </c>
      <c r="B2079" s="1" t="inlineStr">
        <is>
          <t>เสื้อผ้า</t>
        </is>
      </c>
      <c r="C2079" s="1" t="inlineStr">
        <is>
          <t>gf2040118016</t>
        </is>
      </c>
      <c r="D2079" s="1" t="inlineStr">
        <is>
          <t>WAAC Korea Players Edition Men's Polo (Light Blue)</t>
        </is>
      </c>
      <c r="E2079" s="1" t="inlineStr">
        <is>
          <t>WAAC</t>
        </is>
      </c>
      <c r="F2079" s="1" t="inlineStr">
        <is>
          <t>SHORT SLEEVES</t>
        </is>
      </c>
      <c r="G2079" s="1" t="inlineStr">
        <is>
          <t>GF2040118016S</t>
        </is>
      </c>
      <c r="H2079" s="1" t="n">
        <v>5</v>
      </c>
      <c r="I2079" s="1" t="inlineStr">
        <is>
          <t>มี</t>
        </is>
      </c>
      <c r="J2079" s="13" t="n">
        <v>149</v>
      </c>
      <c r="K2079" s="1" t="inlineStr"/>
      <c r="L2079" s="13" t="n">
        <v>149</v>
      </c>
      <c r="M2079" s="1">
        <f>IF(L2079="","ไม่พบใน SG",IF(ABS(J2079-L2079)&lt;0.005,"ตรงกัน","ไม่ตรง"))</f>
        <v/>
      </c>
      <c r="N2079" s="14">
        <f>IF(L2079="","",ROUND(L2079*'สรุป'!$C$6,-1))</f>
        <v/>
      </c>
      <c r="O2079" s="15" t="n"/>
      <c r="P2079" s="15" t="n"/>
      <c r="Q2079" s="10" t="n"/>
      <c r="R2079" s="10" t="n"/>
      <c r="S2079" s="16" t="inlineStr">
        <is>
          <t>https://mstgolf.co.th/products/gf2040118016</t>
        </is>
      </c>
      <c r="T2079" s="1">
        <f>IF(B2079="ไม้กอล์ฟ",J2079,"")</f>
        <v/>
      </c>
    </row>
    <row r="2080">
      <c r="A2080" s="1" t="n">
        <v>3</v>
      </c>
      <c r="B2080" s="1" t="inlineStr">
        <is>
          <t>เสื้อผ้า</t>
        </is>
      </c>
      <c r="C2080" s="1" t="inlineStr">
        <is>
          <t>gf2040118022</t>
        </is>
      </c>
      <c r="D2080" s="1" t="inlineStr">
        <is>
          <t>WAAC Korea Waacky Pique Women's Polo (Black)</t>
        </is>
      </c>
      <c r="E2080" s="1" t="inlineStr">
        <is>
          <t>WAAC</t>
        </is>
      </c>
      <c r="F2080" s="1" t="inlineStr">
        <is>
          <t>SHORT SLEEVES</t>
        </is>
      </c>
      <c r="G2080" s="1" t="inlineStr">
        <is>
          <t>GF2040118022XS</t>
        </is>
      </c>
      <c r="H2080" s="1" t="n">
        <v>6</v>
      </c>
      <c r="I2080" s="1" t="inlineStr">
        <is>
          <t>มี</t>
        </is>
      </c>
      <c r="J2080" s="13" t="n">
        <v>149</v>
      </c>
      <c r="K2080" s="1" t="inlineStr"/>
      <c r="L2080" s="13" t="n">
        <v>149</v>
      </c>
      <c r="M2080" s="1">
        <f>IF(L2080="","ไม่พบใน SG",IF(ABS(J2080-L2080)&lt;0.005,"ตรงกัน","ไม่ตรง"))</f>
        <v/>
      </c>
      <c r="N2080" s="14">
        <f>IF(L2080="","",ROUND(L2080*'สรุป'!$C$6,-1))</f>
        <v/>
      </c>
      <c r="O2080" s="15" t="n"/>
      <c r="P2080" s="15" t="n"/>
      <c r="Q2080" s="10" t="n"/>
      <c r="R2080" s="10" t="n"/>
      <c r="S2080" s="16" t="inlineStr">
        <is>
          <t>https://mstgolf.co.th/products/gf2040118022</t>
        </is>
      </c>
      <c r="T2080" s="1">
        <f>IF(B2080="ไม้กอล์ฟ",J2080,"")</f>
        <v/>
      </c>
    </row>
    <row r="2081">
      <c r="A2081" s="1" t="n">
        <v>3</v>
      </c>
      <c r="B2081" s="1" t="inlineStr">
        <is>
          <t>เสื้อผ้า</t>
        </is>
      </c>
      <c r="C2081" s="1" t="inlineStr">
        <is>
          <t>gf2040119072</t>
        </is>
      </c>
      <c r="D2081" s="1" t="inlineStr">
        <is>
          <t>WAAC x Iron Heads Wave Waacky Men's Polo (Black)</t>
        </is>
      </c>
      <c r="E2081" s="1" t="inlineStr">
        <is>
          <t>WAAC</t>
        </is>
      </c>
      <c r="F2081" s="1" t="inlineStr">
        <is>
          <t>SHORT SLEEVES</t>
        </is>
      </c>
      <c r="G2081" s="1" t="inlineStr">
        <is>
          <t>GF2040119072S</t>
        </is>
      </c>
      <c r="H2081" s="1" t="n">
        <v>5</v>
      </c>
      <c r="I2081" s="1" t="inlineStr">
        <is>
          <t>มี</t>
        </is>
      </c>
      <c r="J2081" s="13" t="n">
        <v>149</v>
      </c>
      <c r="K2081" s="1" t="inlineStr"/>
      <c r="L2081" s="13" t="n">
        <v>149</v>
      </c>
      <c r="M2081" s="1">
        <f>IF(L2081="","ไม่พบใน SG",IF(ABS(J2081-L2081)&lt;0.005,"ตรงกัน","ไม่ตรง"))</f>
        <v/>
      </c>
      <c r="N2081" s="14">
        <f>IF(L2081="","",ROUND(L2081*'สรุป'!$C$6,-1))</f>
        <v/>
      </c>
      <c r="O2081" s="15" t="n"/>
      <c r="P2081" s="15" t="n"/>
      <c r="Q2081" s="10" t="n"/>
      <c r="R2081" s="10" t="n"/>
      <c r="S2081" s="16" t="inlineStr">
        <is>
          <t>https://mstgolf.co.th/products/gf2040119072</t>
        </is>
      </c>
      <c r="T2081" s="1">
        <f>IF(B2081="ไม้กอล์ฟ",J2081,"")</f>
        <v/>
      </c>
    </row>
    <row r="2082">
      <c r="A2082" s="1" t="n">
        <v>3</v>
      </c>
      <c r="B2082" s="1" t="inlineStr">
        <is>
          <t>เสื้อผ้า</t>
        </is>
      </c>
      <c r="C2082" s="1" t="inlineStr">
        <is>
          <t>gf2040119073</t>
        </is>
      </c>
      <c r="D2082" s="1" t="inlineStr">
        <is>
          <t>WAAC x Iron Heads Wave Waacky Men's Polo (Orange)</t>
        </is>
      </c>
      <c r="E2082" s="1" t="inlineStr">
        <is>
          <t>WAAC</t>
        </is>
      </c>
      <c r="F2082" s="1" t="inlineStr">
        <is>
          <t>SHORT SLEEVES</t>
        </is>
      </c>
      <c r="G2082" s="1" t="inlineStr">
        <is>
          <t>GF2040119073S</t>
        </is>
      </c>
      <c r="H2082" s="1" t="n">
        <v>5</v>
      </c>
      <c r="I2082" s="1" t="inlineStr">
        <is>
          <t>มี</t>
        </is>
      </c>
      <c r="J2082" s="13" t="n">
        <v>149</v>
      </c>
      <c r="K2082" s="1" t="inlineStr"/>
      <c r="L2082" s="13" t="n">
        <v>149</v>
      </c>
      <c r="M2082" s="1">
        <f>IF(L2082="","ไม่พบใน SG",IF(ABS(J2082-L2082)&lt;0.005,"ตรงกัน","ไม่ตรง"))</f>
        <v/>
      </c>
      <c r="N2082" s="14">
        <f>IF(L2082="","",ROUND(L2082*'สรุป'!$C$6,-1))</f>
        <v/>
      </c>
      <c r="O2082" s="15" t="n"/>
      <c r="P2082" s="15" t="n"/>
      <c r="Q2082" s="10" t="n"/>
      <c r="R2082" s="10" t="n"/>
      <c r="S2082" s="16" t="inlineStr">
        <is>
          <t>https://mstgolf.co.th/products/gf2040119073</t>
        </is>
      </c>
      <c r="T2082" s="1">
        <f>IF(B2082="ไม้กอล์ฟ",J2082,"")</f>
        <v/>
      </c>
    </row>
    <row r="2083">
      <c r="A2083" s="1" t="n">
        <v>3</v>
      </c>
      <c r="B2083" s="1" t="inlineStr">
        <is>
          <t>เสื้อผ้า</t>
        </is>
      </c>
      <c r="C2083" s="1" t="inlineStr">
        <is>
          <t>gf2020202460</t>
        </is>
      </c>
      <c r="D2083" s="1" t="inlineStr">
        <is>
          <t>GFORE Camo Maverick Men's Shorts (Twilight Camo)</t>
        </is>
      </c>
      <c r="E2083" s="1" t="inlineStr">
        <is>
          <t>GFORE</t>
        </is>
      </c>
      <c r="F2083" s="1" t="inlineStr">
        <is>
          <t>SHORT PANTS</t>
        </is>
      </c>
      <c r="G2083" s="1" t="inlineStr">
        <is>
          <t>GF202020246030</t>
        </is>
      </c>
      <c r="H2083" s="1" t="n">
        <v>7</v>
      </c>
      <c r="I2083" s="1" t="inlineStr">
        <is>
          <t>มี</t>
        </is>
      </c>
      <c r="J2083" s="13" t="n">
        <v>145</v>
      </c>
      <c r="K2083" s="1" t="inlineStr"/>
      <c r="L2083" s="13" t="n">
        <v>145</v>
      </c>
      <c r="M2083" s="1">
        <f>IF(L2083="","ไม่พบใน SG",IF(ABS(J2083-L2083)&lt;0.005,"ตรงกัน","ไม่ตรง"))</f>
        <v/>
      </c>
      <c r="N2083" s="14">
        <f>IF(L2083="","",ROUND(L2083*'สรุป'!$C$6,-1))</f>
        <v/>
      </c>
      <c r="O2083" s="15" t="n"/>
      <c r="P2083" s="15" t="n"/>
      <c r="Q2083" s="10" t="n"/>
      <c r="R2083" s="10" t="n"/>
      <c r="S2083" s="16" t="inlineStr">
        <is>
          <t>https://mstgolf.co.th/products/gf2020202460</t>
        </is>
      </c>
      <c r="T2083" s="1">
        <f>IF(B2083="ไม้กอล์ฟ",J2083,"")</f>
        <v/>
      </c>
    </row>
    <row r="2084">
      <c r="A2084" s="1" t="n">
        <v>3</v>
      </c>
      <c r="B2084" s="1" t="inlineStr">
        <is>
          <t>เสื้อผ้า</t>
        </is>
      </c>
      <c r="C2084" s="1" t="inlineStr">
        <is>
          <t>gf2020102401</t>
        </is>
      </c>
      <c r="D2084" s="1" t="inlineStr">
        <is>
          <t>GFORE Double Knit Cigarette Leg High Rise Stretch Women's Pants (Onyx)</t>
        </is>
      </c>
      <c r="E2084" s="1" t="inlineStr">
        <is>
          <t>GFORE</t>
        </is>
      </c>
      <c r="F2084" s="1" t="inlineStr">
        <is>
          <t>LONG PANTS</t>
        </is>
      </c>
      <c r="G2084" s="1" t="inlineStr">
        <is>
          <t>GF20201024010</t>
        </is>
      </c>
      <c r="H2084" s="1" t="n">
        <v>6</v>
      </c>
      <c r="I2084" s="1" t="inlineStr">
        <is>
          <t>มี</t>
        </is>
      </c>
      <c r="J2084" s="13" t="n">
        <v>145</v>
      </c>
      <c r="K2084" s="1" t="inlineStr"/>
      <c r="L2084" s="13" t="n">
        <v>145</v>
      </c>
      <c r="M2084" s="1">
        <f>IF(L2084="","ไม่พบใน SG",IF(ABS(J2084-L2084)&lt;0.005,"ตรงกัน","ไม่ตรง"))</f>
        <v/>
      </c>
      <c r="N2084" s="14">
        <f>IF(L2084="","",ROUND(L2084*'สรุป'!$C$6,-1))</f>
        <v/>
      </c>
      <c r="O2084" s="15" t="n"/>
      <c r="P2084" s="15" t="n"/>
      <c r="Q2084" s="10" t="n"/>
      <c r="R2084" s="10" t="n"/>
      <c r="S2084" s="16" t="inlineStr">
        <is>
          <t>https://mstgolf.co.th/products/gf2020102401</t>
        </is>
      </c>
      <c r="T2084" s="1">
        <f>IF(B2084="ไม้กอล์ฟ",J2084,"")</f>
        <v/>
      </c>
    </row>
    <row r="2085">
      <c r="A2085" s="1" t="n">
        <v>3</v>
      </c>
      <c r="B2085" s="1" t="inlineStr">
        <is>
          <t>เสื้อผ้า</t>
        </is>
      </c>
      <c r="C2085" s="1" t="inlineStr">
        <is>
          <t>gf2020201655</t>
        </is>
      </c>
      <c r="D2085" s="1" t="inlineStr">
        <is>
          <t>GFORE Gfore Club Men's Shorts (Twilight)</t>
        </is>
      </c>
      <c r="E2085" s="1" t="inlineStr">
        <is>
          <t>GFORE</t>
        </is>
      </c>
      <c r="F2085" s="1" t="inlineStr">
        <is>
          <t>SHORT PANTS</t>
        </is>
      </c>
      <c r="G2085" s="1" t="inlineStr">
        <is>
          <t>GF202020165530</t>
        </is>
      </c>
      <c r="H2085" s="1" t="n">
        <v>6</v>
      </c>
      <c r="I2085" s="1" t="inlineStr">
        <is>
          <t>มี</t>
        </is>
      </c>
      <c r="J2085" s="13" t="n">
        <v>145</v>
      </c>
      <c r="K2085" s="1" t="inlineStr"/>
      <c r="L2085" s="13" t="n">
        <v>145</v>
      </c>
      <c r="M2085" s="1">
        <f>IF(L2085="","ไม่พบใน SG",IF(ABS(J2085-L2085)&lt;0.005,"ตรงกัน","ไม่ตรง"))</f>
        <v/>
      </c>
      <c r="N2085" s="14">
        <f>IF(L2085="","",ROUND(L2085*'สรุป'!$C$6,-1))</f>
        <v/>
      </c>
      <c r="O2085" s="15" t="n"/>
      <c r="P2085" s="15" t="n"/>
      <c r="Q2085" s="10" t="n"/>
      <c r="R2085" s="10" t="n"/>
      <c r="S2085" s="16" t="inlineStr">
        <is>
          <t>https://mstgolf.co.th/products/gf2020201655</t>
        </is>
      </c>
      <c r="T2085" s="1">
        <f>IF(B2085="ไม้กอล์ฟ",J2085,"")</f>
        <v/>
      </c>
    </row>
    <row r="2086">
      <c r="A2086" s="1" t="n">
        <v>3</v>
      </c>
      <c r="B2086" s="1" t="inlineStr">
        <is>
          <t>เสื้อผ้า</t>
        </is>
      </c>
      <c r="C2086" s="1" t="inlineStr">
        <is>
          <t>gf2040116943</t>
        </is>
      </c>
      <c r="D2086" s="1" t="inlineStr">
        <is>
          <t>GFORE Skull &amp; T's Silky Tech Nylon Women's Quarter Zip Pullover (Drizzle)</t>
        </is>
      </c>
      <c r="E2086" s="1" t="inlineStr">
        <is>
          <t>GFORE</t>
        </is>
      </c>
      <c r="F2086" s="1" t="inlineStr">
        <is>
          <t>SHORT SLEEVES</t>
        </is>
      </c>
      <c r="G2086" s="1" t="inlineStr">
        <is>
          <t>GF2040116943XS</t>
        </is>
      </c>
      <c r="H2086" s="1" t="n">
        <v>5</v>
      </c>
      <c r="I2086" s="1" t="inlineStr">
        <is>
          <t>มี</t>
        </is>
      </c>
      <c r="J2086" s="13" t="n">
        <v>145</v>
      </c>
      <c r="K2086" s="1" t="inlineStr"/>
      <c r="L2086" s="13" t="n">
        <v>145</v>
      </c>
      <c r="M2086" s="1">
        <f>IF(L2086="","ไม่พบใน SG",IF(ABS(J2086-L2086)&lt;0.005,"ตรงกัน","ไม่ตรง"))</f>
        <v/>
      </c>
      <c r="N2086" s="14">
        <f>IF(L2086="","",ROUND(L2086*'สรุป'!$C$6,-1))</f>
        <v/>
      </c>
      <c r="O2086" s="15" t="n"/>
      <c r="P2086" s="15" t="n"/>
      <c r="Q2086" s="10" t="n"/>
      <c r="R2086" s="10" t="n"/>
      <c r="S2086" s="16" t="inlineStr">
        <is>
          <t>https://mstgolf.co.th/products/gf2040116943</t>
        </is>
      </c>
      <c r="T2086" s="1">
        <f>IF(B2086="ไม้กอล์ฟ",J2086,"")</f>
        <v/>
      </c>
    </row>
    <row r="2087">
      <c r="A2087" s="1" t="n">
        <v>3</v>
      </c>
      <c r="B2087" s="1" t="inlineStr">
        <is>
          <t>เสื้อผ้า</t>
        </is>
      </c>
      <c r="C2087" s="1" t="inlineStr">
        <is>
          <t>gf2020101986</t>
        </is>
      </c>
      <c r="D2087" s="1" t="inlineStr">
        <is>
          <t>GFORE Tux Women's Pants (Racer)</t>
        </is>
      </c>
      <c r="E2087" s="1" t="inlineStr">
        <is>
          <t>GFORE</t>
        </is>
      </c>
      <c r="F2087" s="1" t="inlineStr">
        <is>
          <t>LONG PANTS</t>
        </is>
      </c>
      <c r="G2087" s="1" t="inlineStr">
        <is>
          <t>GF20201019860</t>
        </is>
      </c>
      <c r="H2087" s="1" t="n">
        <v>6</v>
      </c>
      <c r="I2087" s="1" t="inlineStr">
        <is>
          <t>มี</t>
        </is>
      </c>
      <c r="J2087" s="13" t="n">
        <v>145</v>
      </c>
      <c r="K2087" s="1" t="inlineStr"/>
      <c r="L2087" s="13" t="n">
        <v>145</v>
      </c>
      <c r="M2087" s="1">
        <f>IF(L2087="","ไม่พบใน SG",IF(ABS(J2087-L2087)&lt;0.005,"ตรงกัน","ไม่ตรง"))</f>
        <v/>
      </c>
      <c r="N2087" s="14">
        <f>IF(L2087="","",ROUND(L2087*'สรุป'!$C$6,-1))</f>
        <v/>
      </c>
      <c r="O2087" s="15" t="n"/>
      <c r="P2087" s="15" t="n"/>
      <c r="Q2087" s="10" t="n"/>
      <c r="R2087" s="10" t="n"/>
      <c r="S2087" s="16" t="inlineStr">
        <is>
          <t>https://mstgolf.co.th/products/gf2020101986</t>
        </is>
      </c>
      <c r="T2087" s="1">
        <f>IF(B2087="ไม้กอล์ฟ",J2087,"")</f>
        <v/>
      </c>
    </row>
    <row r="2088">
      <c r="A2088" s="1" t="n">
        <v>3</v>
      </c>
      <c r="B2088" s="1" t="inlineStr">
        <is>
          <t>เสื้อผ้า</t>
        </is>
      </c>
      <c r="C2088" s="1" t="inlineStr">
        <is>
          <t>gf2041200332</t>
        </is>
      </c>
      <c r="D2088" s="1" t="inlineStr">
        <is>
          <t>MALBON GOLF x Keith Haring Camp Men's Shirt (White)</t>
        </is>
      </c>
      <c r="E2088" s="1" t="inlineStr">
        <is>
          <t>MALBON GOLF</t>
        </is>
      </c>
      <c r="F2088" s="1" t="inlineStr">
        <is>
          <t>WOVEN</t>
        </is>
      </c>
      <c r="G2088" s="1" t="inlineStr">
        <is>
          <t>GF2041200332S</t>
        </is>
      </c>
      <c r="H2088" s="1" t="n">
        <v>5</v>
      </c>
      <c r="I2088" s="1" t="inlineStr">
        <is>
          <t>มี</t>
        </is>
      </c>
      <c r="J2088" s="13" t="n">
        <v>145</v>
      </c>
      <c r="K2088" s="1" t="inlineStr"/>
      <c r="L2088" s="13" t="n">
        <v>145</v>
      </c>
      <c r="M2088" s="1">
        <f>IF(L2088="","ไม่พบใน SG",IF(ABS(J2088-L2088)&lt;0.005,"ตรงกัน","ไม่ตรง"))</f>
        <v/>
      </c>
      <c r="N2088" s="14">
        <f>IF(L2088="","",ROUND(L2088*'สรุป'!$C$6,-1))</f>
        <v/>
      </c>
      <c r="O2088" s="15" t="n"/>
      <c r="P2088" s="15" t="n"/>
      <c r="Q2088" s="10" t="n"/>
      <c r="R2088" s="10" t="n"/>
      <c r="S2088" s="16" t="inlineStr">
        <is>
          <t>https://mstgolf.co.th/products/gf2041200332</t>
        </is>
      </c>
      <c r="T2088" s="1">
        <f>IF(B2088="ไม้กอล์ฟ",J2088,"")</f>
        <v/>
      </c>
    </row>
    <row r="2089">
      <c r="A2089" s="1" t="n">
        <v>3</v>
      </c>
      <c r="B2089" s="1" t="inlineStr">
        <is>
          <t>เสื้อผ้า</t>
        </is>
      </c>
      <c r="C2089" s="1" t="inlineStr">
        <is>
          <t>gf2041200317</t>
        </is>
      </c>
      <c r="D2089" s="1" t="inlineStr">
        <is>
          <t>PETER MILLAR Cottage Blue Payson Cotton-Stretch Men's Polo (Gottage Blue)</t>
        </is>
      </c>
      <c r="E2089" s="1" t="inlineStr">
        <is>
          <t>PETER MILLAR</t>
        </is>
      </c>
      <c r="F2089" s="1" t="inlineStr">
        <is>
          <t>WOVEN</t>
        </is>
      </c>
      <c r="G2089" s="1" t="inlineStr">
        <is>
          <t>GF2041200317XS</t>
        </is>
      </c>
      <c r="H2089" s="1" t="n">
        <v>7</v>
      </c>
      <c r="I2089" s="1" t="inlineStr">
        <is>
          <t>มี</t>
        </is>
      </c>
      <c r="J2089" s="13" t="n">
        <v>145</v>
      </c>
      <c r="K2089" s="1" t="inlineStr"/>
      <c r="L2089" s="13" t="n">
        <v>145</v>
      </c>
      <c r="M2089" s="1">
        <f>IF(L2089="","ไม่พบใน SG",IF(ABS(J2089-L2089)&lt;0.005,"ตรงกัน","ไม่ตรง"))</f>
        <v/>
      </c>
      <c r="N2089" s="14">
        <f>IF(L2089="","",ROUND(L2089*'สรุป'!$C$6,-1))</f>
        <v/>
      </c>
      <c r="O2089" s="15" t="n"/>
      <c r="P2089" s="15" t="n"/>
      <c r="Q2089" s="10" t="n"/>
      <c r="R2089" s="10" t="n"/>
      <c r="S2089" s="16" t="inlineStr">
        <is>
          <t>https://mstgolf.co.th/products/gf2041200317</t>
        </is>
      </c>
      <c r="T2089" s="1">
        <f>IF(B2089="ไม้กอล์ฟ",J2089,"")</f>
        <v/>
      </c>
    </row>
    <row r="2090">
      <c r="A2090" s="1" t="n">
        <v>3</v>
      </c>
      <c r="B2090" s="1" t="inlineStr">
        <is>
          <t>เสื้อผ้า</t>
        </is>
      </c>
      <c r="C2090" s="1" t="inlineStr">
        <is>
          <t>gf2020202884</t>
        </is>
      </c>
      <c r="D2090" s="1" t="inlineStr">
        <is>
          <t>PETER MILLAR Featherweight Performance Men's Shorts</t>
        </is>
      </c>
      <c r="E2090" s="1" t="inlineStr">
        <is>
          <t>PETER MILLAR</t>
        </is>
      </c>
      <c r="F2090" s="1" t="inlineStr">
        <is>
          <t>SHORT PANTS</t>
        </is>
      </c>
      <c r="G2090" s="1" t="inlineStr">
        <is>
          <t>GF202020288430</t>
        </is>
      </c>
      <c r="H2090" s="1" t="n">
        <v>6</v>
      </c>
      <c r="I2090" s="1" t="inlineStr">
        <is>
          <t>มี</t>
        </is>
      </c>
      <c r="J2090" s="13" t="n">
        <v>145</v>
      </c>
      <c r="K2090" s="1" t="inlineStr"/>
      <c r="L2090" s="13" t="n">
        <v>145</v>
      </c>
      <c r="M2090" s="1">
        <f>IF(L2090="","ไม่พบใน SG",IF(ABS(J2090-L2090)&lt;0.005,"ตรงกัน","ไม่ตรง"))</f>
        <v/>
      </c>
      <c r="N2090" s="14">
        <f>IF(L2090="","",ROUND(L2090*'สรุป'!$C$6,-1))</f>
        <v/>
      </c>
      <c r="O2090" s="15" t="n"/>
      <c r="P2090" s="15" t="n"/>
      <c r="Q2090" s="10" t="n"/>
      <c r="R2090" s="10" t="n"/>
      <c r="S2090" s="16" t="inlineStr">
        <is>
          <t>https://mstgolf.co.th/products/gf2020202884</t>
        </is>
      </c>
      <c r="T2090" s="1">
        <f>IF(B2090="ไม้กอล์ฟ",J2090,"")</f>
        <v/>
      </c>
    </row>
    <row r="2091">
      <c r="A2091" s="1" t="n">
        <v>3</v>
      </c>
      <c r="B2091" s="1" t="inlineStr">
        <is>
          <t>อุปกรณ์เสริม</t>
        </is>
      </c>
      <c r="C2091" s="1" t="inlineStr">
        <is>
          <t>gf3130100367</t>
        </is>
      </c>
      <c r="D2091" s="1" t="inlineStr">
        <is>
          <t>PUMA PE0095S Black/Red Sunglasses</t>
        </is>
      </c>
      <c r="E2091" s="1" t="inlineStr">
        <is>
          <t>PUMA</t>
        </is>
      </c>
      <c r="F2091" s="1" t="inlineStr">
        <is>
          <t>SUNGLASSES</t>
        </is>
      </c>
      <c r="G2091" s="1" t="inlineStr">
        <is>
          <t>GF3130100367</t>
        </is>
      </c>
      <c r="H2091" s="1" t="n">
        <v>1</v>
      </c>
      <c r="I2091" s="1" t="inlineStr">
        <is>
          <t>มี</t>
        </is>
      </c>
      <c r="J2091" s="13" t="n">
        <v>145</v>
      </c>
      <c r="K2091" s="1" t="inlineStr"/>
      <c r="L2091" s="13" t="n">
        <v>145</v>
      </c>
      <c r="M2091" s="1">
        <f>IF(L2091="","ไม่พบใน SG",IF(ABS(J2091-L2091)&lt;0.005,"ตรงกัน","ไม่ตรง"))</f>
        <v/>
      </c>
      <c r="N2091" s="14">
        <f>IF(L2091="","",ROUND(L2091*'สรุป'!$C$6,-1))</f>
        <v/>
      </c>
      <c r="O2091" s="15" t="n"/>
      <c r="P2091" s="15" t="n"/>
      <c r="Q2091" s="10" t="n"/>
      <c r="R2091" s="10" t="n"/>
      <c r="S2091" s="16" t="inlineStr">
        <is>
          <t>https://mstgolf.co.th/products/gf3130100367</t>
        </is>
      </c>
      <c r="T2091" s="1">
        <f>IF(B2091="ไม้กอล์ฟ",J2091,"")</f>
        <v/>
      </c>
    </row>
    <row r="2092">
      <c r="A2092" s="1" t="n">
        <v>3</v>
      </c>
      <c r="B2092" s="1" t="inlineStr">
        <is>
          <t>อุปกรณ์เสริม</t>
        </is>
      </c>
      <c r="C2092" s="1" t="inlineStr">
        <is>
          <t>gf3130100368</t>
        </is>
      </c>
      <c r="D2092" s="1" t="inlineStr">
        <is>
          <t>PUMA PE0098SA Black/Smoke Sunglasses</t>
        </is>
      </c>
      <c r="E2092" s="1" t="inlineStr">
        <is>
          <t>PUMA</t>
        </is>
      </c>
      <c r="F2092" s="1" t="inlineStr">
        <is>
          <t>SUNGLASSES</t>
        </is>
      </c>
      <c r="G2092" s="1" t="inlineStr">
        <is>
          <t>GF3130100368</t>
        </is>
      </c>
      <c r="H2092" s="1" t="n">
        <v>1</v>
      </c>
      <c r="I2092" s="1" t="inlineStr">
        <is>
          <t>มี</t>
        </is>
      </c>
      <c r="J2092" s="13" t="n">
        <v>145</v>
      </c>
      <c r="K2092" s="1" t="inlineStr"/>
      <c r="L2092" s="13" t="n">
        <v>145</v>
      </c>
      <c r="M2092" s="1">
        <f>IF(L2092="","ไม่พบใน SG",IF(ABS(J2092-L2092)&lt;0.005,"ตรงกัน","ไม่ตรง"))</f>
        <v/>
      </c>
      <c r="N2092" s="14">
        <f>IF(L2092="","",ROUND(L2092*'สรุป'!$C$6,-1))</f>
        <v/>
      </c>
      <c r="O2092" s="15" t="n"/>
      <c r="P2092" s="15" t="n"/>
      <c r="Q2092" s="10" t="n"/>
      <c r="R2092" s="10" t="n"/>
      <c r="S2092" s="16" t="inlineStr">
        <is>
          <t>https://mstgolf.co.th/products/gf3130100368</t>
        </is>
      </c>
      <c r="T2092" s="1">
        <f>IF(B2092="ไม้กอล์ฟ",J2092,"")</f>
        <v/>
      </c>
    </row>
    <row r="2093">
      <c r="A2093" s="1" t="n">
        <v>3</v>
      </c>
      <c r="B2093" s="1" t="inlineStr">
        <is>
          <t>อุปกรณ์เสริม</t>
        </is>
      </c>
      <c r="C2093" s="1" t="inlineStr">
        <is>
          <t>gf3130100481</t>
        </is>
      </c>
      <c r="D2093" s="1" t="inlineStr">
        <is>
          <t>PUMA PU0359S Black/Black/Smoke Sunglasses</t>
        </is>
      </c>
      <c r="E2093" s="1" t="inlineStr">
        <is>
          <t>PUMA</t>
        </is>
      </c>
      <c r="F2093" s="1" t="inlineStr">
        <is>
          <t>SUNGLASSES</t>
        </is>
      </c>
      <c r="G2093" s="1" t="inlineStr">
        <is>
          <t>GF3130100481</t>
        </is>
      </c>
      <c r="H2093" s="1" t="n">
        <v>1</v>
      </c>
      <c r="I2093" s="1" t="inlineStr">
        <is>
          <t>มี</t>
        </is>
      </c>
      <c r="J2093" s="13" t="n">
        <v>145</v>
      </c>
      <c r="K2093" s="1" t="inlineStr"/>
      <c r="L2093" s="13" t="n">
        <v>145</v>
      </c>
      <c r="M2093" s="1">
        <f>IF(L2093="","ไม่พบใน SG",IF(ABS(J2093-L2093)&lt;0.005,"ตรงกัน","ไม่ตรง"))</f>
        <v/>
      </c>
      <c r="N2093" s="14">
        <f>IF(L2093="","",ROUND(L2093*'สรุป'!$C$6,-1))</f>
        <v/>
      </c>
      <c r="O2093" s="15" t="n"/>
      <c r="P2093" s="15" t="n"/>
      <c r="Q2093" s="10" t="n"/>
      <c r="R2093" s="10" t="n"/>
      <c r="S2093" s="16" t="inlineStr">
        <is>
          <t>https://mstgolf.co.th/products/gf3130100481</t>
        </is>
      </c>
      <c r="T2093" s="1">
        <f>IF(B2093="ไม้กอล์ฟ",J2093,"")</f>
        <v/>
      </c>
    </row>
    <row r="2094">
      <c r="A2094" s="1" t="n">
        <v>3</v>
      </c>
      <c r="B2094" s="1" t="inlineStr">
        <is>
          <t>อุปกรณ์เสริม</t>
        </is>
      </c>
      <c r="C2094" s="1" t="inlineStr">
        <is>
          <t>gf3130100478</t>
        </is>
      </c>
      <c r="D2094" s="1" t="inlineStr">
        <is>
          <t>PUMA PU03608 Black/Black/Smoke Sunglasses</t>
        </is>
      </c>
      <c r="E2094" s="1" t="inlineStr">
        <is>
          <t>PUMA</t>
        </is>
      </c>
      <c r="F2094" s="1" t="inlineStr">
        <is>
          <t>SUNGLASSES</t>
        </is>
      </c>
      <c r="G2094" s="1" t="inlineStr">
        <is>
          <t>GF3130100478</t>
        </is>
      </c>
      <c r="H2094" s="1" t="n">
        <v>1</v>
      </c>
      <c r="I2094" s="1" t="inlineStr">
        <is>
          <t>มี</t>
        </is>
      </c>
      <c r="J2094" s="13" t="n">
        <v>145</v>
      </c>
      <c r="K2094" s="1" t="inlineStr"/>
      <c r="L2094" s="13" t="n">
        <v>145</v>
      </c>
      <c r="M2094" s="1">
        <f>IF(L2094="","ไม่พบใน SG",IF(ABS(J2094-L2094)&lt;0.005,"ตรงกัน","ไม่ตรง"))</f>
        <v/>
      </c>
      <c r="N2094" s="14">
        <f>IF(L2094="","",ROUND(L2094*'สรุป'!$C$6,-1))</f>
        <v/>
      </c>
      <c r="O2094" s="15" t="n"/>
      <c r="P2094" s="15" t="n"/>
      <c r="Q2094" s="10" t="n"/>
      <c r="R2094" s="10" t="n"/>
      <c r="S2094" s="16" t="inlineStr">
        <is>
          <t>https://mstgolf.co.th/products/gf3130100478</t>
        </is>
      </c>
      <c r="T2094" s="1">
        <f>IF(B2094="ไม้กอล์ฟ",J2094,"")</f>
        <v/>
      </c>
    </row>
    <row r="2095">
      <c r="A2095" s="1" t="n">
        <v>3</v>
      </c>
      <c r="B2095" s="1" t="inlineStr">
        <is>
          <t>อุปกรณ์เสริม</t>
        </is>
      </c>
      <c r="C2095" s="1" t="inlineStr">
        <is>
          <t>gf3130100479</t>
        </is>
      </c>
      <c r="D2095" s="1" t="inlineStr">
        <is>
          <t>PUMA PU0360S Blue/Blue/Green Sunglasses</t>
        </is>
      </c>
      <c r="E2095" s="1" t="inlineStr">
        <is>
          <t>PUMA</t>
        </is>
      </c>
      <c r="F2095" s="1" t="inlineStr">
        <is>
          <t>SUNGLASSES</t>
        </is>
      </c>
      <c r="G2095" s="1" t="inlineStr">
        <is>
          <t>GF3130100479</t>
        </is>
      </c>
      <c r="H2095" s="1" t="n">
        <v>1</v>
      </c>
      <c r="I2095" s="1" t="inlineStr">
        <is>
          <t>มี</t>
        </is>
      </c>
      <c r="J2095" s="13" t="n">
        <v>145</v>
      </c>
      <c r="K2095" s="1" t="inlineStr"/>
      <c r="L2095" s="13" t="n">
        <v>145</v>
      </c>
      <c r="M2095" s="1">
        <f>IF(L2095="","ไม่พบใน SG",IF(ABS(J2095-L2095)&lt;0.005,"ตรงกัน","ไม่ตรง"))</f>
        <v/>
      </c>
      <c r="N2095" s="14">
        <f>IF(L2095="","",ROUND(L2095*'สรุป'!$C$6,-1))</f>
        <v/>
      </c>
      <c r="O2095" s="15" t="n"/>
      <c r="P2095" s="15" t="n"/>
      <c r="Q2095" s="10" t="n"/>
      <c r="R2095" s="10" t="n"/>
      <c r="S2095" s="16" t="inlineStr">
        <is>
          <t>https://mstgolf.co.th/products/gf3130100479</t>
        </is>
      </c>
      <c r="T2095" s="1">
        <f>IF(B2095="ไม้กอล์ฟ",J2095,"")</f>
        <v/>
      </c>
    </row>
    <row r="2096">
      <c r="A2096" s="1" t="n">
        <v>3</v>
      </c>
      <c r="B2096" s="1" t="inlineStr">
        <is>
          <t>อุปกรณ์เสริม</t>
        </is>
      </c>
      <c r="C2096" s="1" t="inlineStr">
        <is>
          <t>gf3130100470</t>
        </is>
      </c>
      <c r="D2096" s="1" t="inlineStr">
        <is>
          <t>PUMA PU0368S Blue/Blue/Green Sunglasses</t>
        </is>
      </c>
      <c r="E2096" s="1" t="inlineStr">
        <is>
          <t>PUMA</t>
        </is>
      </c>
      <c r="F2096" s="1" t="inlineStr">
        <is>
          <t>SUNGLASSES</t>
        </is>
      </c>
      <c r="G2096" s="1" t="inlineStr">
        <is>
          <t>GF3130100470</t>
        </is>
      </c>
      <c r="H2096" s="1" t="n">
        <v>1</v>
      </c>
      <c r="I2096" s="1" t="inlineStr">
        <is>
          <t>มี</t>
        </is>
      </c>
      <c r="J2096" s="13" t="n">
        <v>145</v>
      </c>
      <c r="K2096" s="1" t="inlineStr"/>
      <c r="L2096" s="13" t="n">
        <v>145</v>
      </c>
      <c r="M2096" s="1">
        <f>IF(L2096="","ไม่พบใน SG",IF(ABS(J2096-L2096)&lt;0.005,"ตรงกัน","ไม่ตรง"))</f>
        <v/>
      </c>
      <c r="N2096" s="14">
        <f>IF(L2096="","",ROUND(L2096*'สรุป'!$C$6,-1))</f>
        <v/>
      </c>
      <c r="O2096" s="15" t="n"/>
      <c r="P2096" s="15" t="n"/>
      <c r="Q2096" s="10" t="n"/>
      <c r="R2096" s="10" t="n"/>
      <c r="S2096" s="16" t="inlineStr">
        <is>
          <t>https://mstgolf.co.th/products/gf3130100470</t>
        </is>
      </c>
      <c r="T2096" s="1">
        <f>IF(B2096="ไม้กอล์ฟ",J2096,"")</f>
        <v/>
      </c>
    </row>
    <row r="2097">
      <c r="A2097" s="1" t="n">
        <v>3</v>
      </c>
      <c r="B2097" s="1" t="inlineStr">
        <is>
          <t>อุปกรณ์เสริม</t>
        </is>
      </c>
      <c r="C2097" s="1" t="inlineStr">
        <is>
          <t>gf3130100361</t>
        </is>
      </c>
      <c r="D2097" s="1" t="inlineStr">
        <is>
          <t>PUMA PU0385S Black/Blue Sunglasses</t>
        </is>
      </c>
      <c r="E2097" s="1" t="inlineStr">
        <is>
          <t>PUMA</t>
        </is>
      </c>
      <c r="F2097" s="1" t="inlineStr">
        <is>
          <t>SUNGLASSES</t>
        </is>
      </c>
      <c r="G2097" s="1" t="inlineStr">
        <is>
          <t>GF3130100361</t>
        </is>
      </c>
      <c r="H2097" s="1" t="n">
        <v>1</v>
      </c>
      <c r="I2097" s="1" t="inlineStr">
        <is>
          <t>มี</t>
        </is>
      </c>
      <c r="J2097" s="13" t="n">
        <v>145</v>
      </c>
      <c r="K2097" s="1" t="inlineStr"/>
      <c r="L2097" s="13" t="n">
        <v>145</v>
      </c>
      <c r="M2097" s="1">
        <f>IF(L2097="","ไม่พบใน SG",IF(ABS(J2097-L2097)&lt;0.005,"ตรงกัน","ไม่ตรง"))</f>
        <v/>
      </c>
      <c r="N2097" s="14">
        <f>IF(L2097="","",ROUND(L2097*'สรุป'!$C$6,-1))</f>
        <v/>
      </c>
      <c r="O2097" s="15" t="n"/>
      <c r="P2097" s="15" t="n"/>
      <c r="Q2097" s="10" t="n"/>
      <c r="R2097" s="10" t="n"/>
      <c r="S2097" s="16" t="inlineStr">
        <is>
          <t>https://mstgolf.co.th/products/gf3130100361</t>
        </is>
      </c>
      <c r="T2097" s="1">
        <f>IF(B2097="ไม้กอล์ฟ",J2097,"")</f>
        <v/>
      </c>
    </row>
    <row r="2098">
      <c r="A2098" s="1" t="n">
        <v>3</v>
      </c>
      <c r="B2098" s="1" t="inlineStr">
        <is>
          <t>อุปกรณ์เสริม</t>
        </is>
      </c>
      <c r="C2098" s="1" t="inlineStr">
        <is>
          <t>gf3130100355</t>
        </is>
      </c>
      <c r="D2098" s="1" t="inlineStr">
        <is>
          <t>PUMA PU0395S Blue/Grey/Brown Sunglasses</t>
        </is>
      </c>
      <c r="E2098" s="1" t="inlineStr">
        <is>
          <t>PUMA</t>
        </is>
      </c>
      <c r="F2098" s="1" t="inlineStr">
        <is>
          <t>SUNGLASSES</t>
        </is>
      </c>
      <c r="G2098" s="1" t="inlineStr">
        <is>
          <t>GF3130100355</t>
        </is>
      </c>
      <c r="H2098" s="1" t="n">
        <v>1</v>
      </c>
      <c r="I2098" s="1" t="inlineStr">
        <is>
          <t>มี</t>
        </is>
      </c>
      <c r="J2098" s="13" t="n">
        <v>145</v>
      </c>
      <c r="K2098" s="1" t="inlineStr"/>
      <c r="L2098" s="13" t="n">
        <v>145</v>
      </c>
      <c r="M2098" s="1">
        <f>IF(L2098="","ไม่พบใน SG",IF(ABS(J2098-L2098)&lt;0.005,"ตรงกัน","ไม่ตรง"))</f>
        <v/>
      </c>
      <c r="N2098" s="14">
        <f>IF(L2098="","",ROUND(L2098*'สรุป'!$C$6,-1))</f>
        <v/>
      </c>
      <c r="O2098" s="15" t="n"/>
      <c r="P2098" s="15" t="n"/>
      <c r="Q2098" s="10" t="n"/>
      <c r="R2098" s="10" t="n"/>
      <c r="S2098" s="16" t="inlineStr">
        <is>
          <t>https://mstgolf.co.th/products/gf3130100355</t>
        </is>
      </c>
      <c r="T2098" s="1">
        <f>IF(B2098="ไม้กอล์ฟ",J2098,"")</f>
        <v/>
      </c>
    </row>
    <row r="2099">
      <c r="A2099" s="1" t="n">
        <v>3</v>
      </c>
      <c r="B2099" s="1" t="inlineStr">
        <is>
          <t>อุปกรณ์เสริม</t>
        </is>
      </c>
      <c r="C2099" s="1" t="inlineStr">
        <is>
          <t>gf3130100354</t>
        </is>
      </c>
      <c r="D2099" s="1" t="inlineStr">
        <is>
          <t>PUMA PU0396S Blue/Blue Sunglasses</t>
        </is>
      </c>
      <c r="E2099" s="1" t="inlineStr">
        <is>
          <t>PUMA</t>
        </is>
      </c>
      <c r="F2099" s="1" t="inlineStr">
        <is>
          <t>SUNGLASSES</t>
        </is>
      </c>
      <c r="G2099" s="1" t="inlineStr">
        <is>
          <t>GF3130100354</t>
        </is>
      </c>
      <c r="H2099" s="1" t="n">
        <v>1</v>
      </c>
      <c r="I2099" s="1" t="inlineStr">
        <is>
          <t>มี</t>
        </is>
      </c>
      <c r="J2099" s="13" t="n">
        <v>145</v>
      </c>
      <c r="K2099" s="1" t="inlineStr"/>
      <c r="L2099" s="13" t="n">
        <v>145</v>
      </c>
      <c r="M2099" s="1">
        <f>IF(L2099="","ไม่พบใน SG",IF(ABS(J2099-L2099)&lt;0.005,"ตรงกัน","ไม่ตรง"))</f>
        <v/>
      </c>
      <c r="N2099" s="14">
        <f>IF(L2099="","",ROUND(L2099*'สรุป'!$C$6,-1))</f>
        <v/>
      </c>
      <c r="O2099" s="15" t="n"/>
      <c r="P2099" s="15" t="n"/>
      <c r="Q2099" s="10" t="n"/>
      <c r="R2099" s="10" t="n"/>
      <c r="S2099" s="16" t="inlineStr">
        <is>
          <t>https://mstgolf.co.th/products/gf3130100354</t>
        </is>
      </c>
      <c r="T2099" s="1">
        <f>IF(B2099="ไม้กอล์ฟ",J2099,"")</f>
        <v/>
      </c>
    </row>
    <row r="2100">
      <c r="A2100" s="1" t="n">
        <v>3</v>
      </c>
      <c r="B2100" s="1" t="inlineStr">
        <is>
          <t>อุปกรณ์เสริม</t>
        </is>
      </c>
      <c r="C2100" s="1" t="inlineStr">
        <is>
          <t>gf3130100487</t>
        </is>
      </c>
      <c r="D2100" s="1" t="inlineStr">
        <is>
          <t>PUMA PU0400S Black/Black/Smoke Sunglasses</t>
        </is>
      </c>
      <c r="E2100" s="1" t="inlineStr">
        <is>
          <t>PUMA</t>
        </is>
      </c>
      <c r="F2100" s="1" t="inlineStr">
        <is>
          <t>SUNGLASSES</t>
        </is>
      </c>
      <c r="G2100" s="1" t="inlineStr">
        <is>
          <t>GF3130100487</t>
        </is>
      </c>
      <c r="H2100" s="1" t="n">
        <v>1</v>
      </c>
      <c r="I2100" s="1" t="inlineStr">
        <is>
          <t>มี</t>
        </is>
      </c>
      <c r="J2100" s="13" t="n">
        <v>145</v>
      </c>
      <c r="K2100" s="1" t="inlineStr"/>
      <c r="L2100" s="13" t="n">
        <v>145</v>
      </c>
      <c r="M2100" s="1">
        <f>IF(L2100="","ไม่พบใน SG",IF(ABS(J2100-L2100)&lt;0.005,"ตรงกัน","ไม่ตรง"))</f>
        <v/>
      </c>
      <c r="N2100" s="14">
        <f>IF(L2100="","",ROUND(L2100*'สรุป'!$C$6,-1))</f>
        <v/>
      </c>
      <c r="O2100" s="15" t="n"/>
      <c r="P2100" s="15" t="n"/>
      <c r="Q2100" s="10" t="n"/>
      <c r="R2100" s="10" t="n"/>
      <c r="S2100" s="16" t="inlineStr">
        <is>
          <t>https://mstgolf.co.th/products/gf3130100487</t>
        </is>
      </c>
      <c r="T2100" s="1">
        <f>IF(B2100="ไม้กอล์ฟ",J2100,"")</f>
        <v/>
      </c>
    </row>
    <row r="2101">
      <c r="A2101" s="1" t="n">
        <v>3</v>
      </c>
      <c r="B2101" s="1" t="inlineStr">
        <is>
          <t>อุปกรณ์เสริม</t>
        </is>
      </c>
      <c r="C2101" s="1" t="inlineStr">
        <is>
          <t>gf3130100474</t>
        </is>
      </c>
      <c r="D2101" s="1" t="inlineStr">
        <is>
          <t>PUMA PU0401S Beige Sunglasses</t>
        </is>
      </c>
      <c r="E2101" s="1" t="inlineStr">
        <is>
          <t>PUMA</t>
        </is>
      </c>
      <c r="F2101" s="1" t="inlineStr">
        <is>
          <t>SUNGLASSES</t>
        </is>
      </c>
      <c r="G2101" s="1" t="inlineStr">
        <is>
          <t>GF3130100474</t>
        </is>
      </c>
      <c r="H2101" s="1" t="n">
        <v>1</v>
      </c>
      <c r="I2101" s="1" t="inlineStr">
        <is>
          <t>มี</t>
        </is>
      </c>
      <c r="J2101" s="13" t="n">
        <v>145</v>
      </c>
      <c r="K2101" s="1" t="inlineStr"/>
      <c r="L2101" s="13" t="n">
        <v>145</v>
      </c>
      <c r="M2101" s="1">
        <f>IF(L2101="","ไม่พบใน SG",IF(ABS(J2101-L2101)&lt;0.005,"ตรงกัน","ไม่ตรง"))</f>
        <v/>
      </c>
      <c r="N2101" s="14">
        <f>IF(L2101="","",ROUND(L2101*'สรุป'!$C$6,-1))</f>
        <v/>
      </c>
      <c r="O2101" s="15" t="n"/>
      <c r="P2101" s="15" t="n"/>
      <c r="Q2101" s="10" t="n"/>
      <c r="R2101" s="10" t="n"/>
      <c r="S2101" s="16" t="inlineStr">
        <is>
          <t>https://mstgolf.co.th/products/gf3130100474</t>
        </is>
      </c>
      <c r="T2101" s="1">
        <f>IF(B2101="ไม้กอล์ฟ",J2101,"")</f>
        <v/>
      </c>
    </row>
    <row r="2102">
      <c r="A2102" s="1" t="n">
        <v>3</v>
      </c>
      <c r="B2102" s="1" t="inlineStr">
        <is>
          <t>อุปกรณ์เสริม</t>
        </is>
      </c>
      <c r="C2102" s="1" t="inlineStr">
        <is>
          <t>gf3130100472</t>
        </is>
      </c>
      <c r="D2102" s="1" t="inlineStr">
        <is>
          <t>PUMA PU0401S Black/Black/Silver Sunglasses</t>
        </is>
      </c>
      <c r="E2102" s="1" t="inlineStr">
        <is>
          <t>PUMA</t>
        </is>
      </c>
      <c r="F2102" s="1" t="inlineStr">
        <is>
          <t>SUNGLASSES</t>
        </is>
      </c>
      <c r="G2102" s="1" t="inlineStr">
        <is>
          <t>GF3130100472</t>
        </is>
      </c>
      <c r="H2102" s="1" t="n">
        <v>1</v>
      </c>
      <c r="I2102" s="1" t="inlineStr">
        <is>
          <t>มี</t>
        </is>
      </c>
      <c r="J2102" s="13" t="n">
        <v>145</v>
      </c>
      <c r="K2102" s="1" t="inlineStr"/>
      <c r="L2102" s="13" t="n">
        <v>145</v>
      </c>
      <c r="M2102" s="1">
        <f>IF(L2102="","ไม่พบใน SG",IF(ABS(J2102-L2102)&lt;0.005,"ตรงกัน","ไม่ตรง"))</f>
        <v/>
      </c>
      <c r="N2102" s="14">
        <f>IF(L2102="","",ROUND(L2102*'สรุป'!$C$6,-1))</f>
        <v/>
      </c>
      <c r="O2102" s="15" t="n"/>
      <c r="P2102" s="15" t="n"/>
      <c r="Q2102" s="10" t="n"/>
      <c r="R2102" s="10" t="n"/>
      <c r="S2102" s="16" t="inlineStr">
        <is>
          <t>https://mstgolf.co.th/products/gf3130100472</t>
        </is>
      </c>
      <c r="T2102" s="1">
        <f>IF(B2102="ไม้กอล์ฟ",J2102,"")</f>
        <v/>
      </c>
    </row>
    <row r="2103">
      <c r="A2103" s="1" t="n">
        <v>3</v>
      </c>
      <c r="B2103" s="1" t="inlineStr">
        <is>
          <t>อุปกรณ์เสริม</t>
        </is>
      </c>
      <c r="C2103" s="1" t="inlineStr">
        <is>
          <t>gf3130100473</t>
        </is>
      </c>
      <c r="D2103" s="1" t="inlineStr">
        <is>
          <t>PUMA PU0401S Black/Black/Smoke Sunglasses</t>
        </is>
      </c>
      <c r="E2103" s="1" t="inlineStr">
        <is>
          <t>PUMA</t>
        </is>
      </c>
      <c r="F2103" s="1" t="inlineStr">
        <is>
          <t>SUNGLASSES</t>
        </is>
      </c>
      <c r="G2103" s="1" t="inlineStr">
        <is>
          <t>GF3130100473</t>
        </is>
      </c>
      <c r="H2103" s="1" t="n">
        <v>1</v>
      </c>
      <c r="I2103" s="1" t="inlineStr">
        <is>
          <t>มี</t>
        </is>
      </c>
      <c r="J2103" s="13" t="n">
        <v>145</v>
      </c>
      <c r="K2103" s="1" t="inlineStr"/>
      <c r="L2103" s="13" t="n">
        <v>145</v>
      </c>
      <c r="M2103" s="1">
        <f>IF(L2103="","ไม่พบใน SG",IF(ABS(J2103-L2103)&lt;0.005,"ตรงกัน","ไม่ตรง"))</f>
        <v/>
      </c>
      <c r="N2103" s="14">
        <f>IF(L2103="","",ROUND(L2103*'สรุป'!$C$6,-1))</f>
        <v/>
      </c>
      <c r="O2103" s="15" t="n"/>
      <c r="P2103" s="15" t="n"/>
      <c r="Q2103" s="10" t="n"/>
      <c r="R2103" s="10" t="n"/>
      <c r="S2103" s="16" t="inlineStr">
        <is>
          <t>https://mstgolf.co.th/products/gf3130100473</t>
        </is>
      </c>
      <c r="T2103" s="1">
        <f>IF(B2103="ไม้กอล์ฟ",J2103,"")</f>
        <v/>
      </c>
    </row>
    <row r="2104">
      <c r="A2104" s="1" t="n">
        <v>3</v>
      </c>
      <c r="B2104" s="1" t="inlineStr">
        <is>
          <t>อุปกรณ์เสริม</t>
        </is>
      </c>
      <c r="C2104" s="1" t="inlineStr">
        <is>
          <t>gf3130100371</t>
        </is>
      </c>
      <c r="D2104" s="1" t="inlineStr">
        <is>
          <t>PUMA Puma PU0368S Black/Smoke Sunglasses</t>
        </is>
      </c>
      <c r="E2104" s="1" t="inlineStr">
        <is>
          <t>PUMA</t>
        </is>
      </c>
      <c r="F2104" s="1" t="inlineStr">
        <is>
          <t>SUNGLASSES</t>
        </is>
      </c>
      <c r="G2104" s="1" t="inlineStr">
        <is>
          <t>GF3130100371</t>
        </is>
      </c>
      <c r="H2104" s="1" t="n">
        <v>1</v>
      </c>
      <c r="I2104" s="1" t="inlineStr">
        <is>
          <t>มี</t>
        </is>
      </c>
      <c r="J2104" s="13" t="n">
        <v>145</v>
      </c>
      <c r="K2104" s="1" t="inlineStr"/>
      <c r="L2104" s="13" t="n">
        <v>145</v>
      </c>
      <c r="M2104" s="1">
        <f>IF(L2104="","ไม่พบใน SG",IF(ABS(J2104-L2104)&lt;0.005,"ตรงกัน","ไม่ตรง"))</f>
        <v/>
      </c>
      <c r="N2104" s="14">
        <f>IF(L2104="","",ROUND(L2104*'สรุป'!$C$6,-1))</f>
        <v/>
      </c>
      <c r="O2104" s="15" t="n"/>
      <c r="P2104" s="15" t="n"/>
      <c r="Q2104" s="10" t="n"/>
      <c r="R2104" s="10" t="n"/>
      <c r="S2104" s="16" t="inlineStr">
        <is>
          <t>https://mstgolf.co.th/products/gf3130100371</t>
        </is>
      </c>
      <c r="T2104" s="1">
        <f>IF(B2104="ไม้กอล์ฟ",J2104,"")</f>
        <v/>
      </c>
    </row>
    <row r="2105">
      <c r="A2105" s="1" t="n">
        <v>3</v>
      </c>
      <c r="B2105" s="1" t="inlineStr">
        <is>
          <t>อุปกรณ์เสริม</t>
        </is>
      </c>
      <c r="C2105" s="1" t="inlineStr">
        <is>
          <t>gf3130100357</t>
        </is>
      </c>
      <c r="D2105" s="1" t="inlineStr">
        <is>
          <t>PUMA SUNGLASSES (BLK/BLK/SMK)</t>
        </is>
      </c>
      <c r="E2105" s="1" t="inlineStr">
        <is>
          <t>PUMA</t>
        </is>
      </c>
      <c r="F2105" s="1" t="inlineStr">
        <is>
          <t>SUNGLASSES</t>
        </is>
      </c>
      <c r="G2105" s="1" t="inlineStr">
        <is>
          <t>GF3130100357</t>
        </is>
      </c>
      <c r="H2105" s="1" t="n">
        <v>1</v>
      </c>
      <c r="I2105" s="1" t="inlineStr">
        <is>
          <t>มี</t>
        </is>
      </c>
      <c r="J2105" s="13" t="n">
        <v>145</v>
      </c>
      <c r="K2105" s="1" t="inlineStr"/>
      <c r="L2105" s="13" t="n">
        <v>145</v>
      </c>
      <c r="M2105" s="1">
        <f>IF(L2105="","ไม่พบใน SG",IF(ABS(J2105-L2105)&lt;0.005,"ตรงกัน","ไม่ตรง"))</f>
        <v/>
      </c>
      <c r="N2105" s="14">
        <f>IF(L2105="","",ROUND(L2105*'สรุป'!$C$6,-1))</f>
        <v/>
      </c>
      <c r="O2105" s="15" t="n"/>
      <c r="P2105" s="15" t="n"/>
      <c r="Q2105" s="10" t="n"/>
      <c r="R2105" s="10" t="n"/>
      <c r="S2105" s="16" t="inlineStr">
        <is>
          <t>https://mstgolf.co.th/products/gf3130100357</t>
        </is>
      </c>
      <c r="T2105" s="1">
        <f>IF(B2105="ไม้กอล์ฟ",J2105,"")</f>
        <v/>
      </c>
    </row>
    <row r="2106">
      <c r="A2106" s="1" t="n">
        <v>3</v>
      </c>
      <c r="B2106" s="1" t="inlineStr">
        <is>
          <t>อุปกรณ์เสริม</t>
        </is>
      </c>
      <c r="C2106" s="1" t="inlineStr">
        <is>
          <t>gf3130100356</t>
        </is>
      </c>
      <c r="D2106" s="1" t="inlineStr">
        <is>
          <t>PUMA SUNGLASSES (GRY/RED)</t>
        </is>
      </c>
      <c r="E2106" s="1" t="inlineStr">
        <is>
          <t>PUMA</t>
        </is>
      </c>
      <c r="F2106" s="1" t="inlineStr">
        <is>
          <t>SUNGLASSES</t>
        </is>
      </c>
      <c r="G2106" s="1" t="inlineStr">
        <is>
          <t>GF3130100356</t>
        </is>
      </c>
      <c r="H2106" s="1" t="n">
        <v>1</v>
      </c>
      <c r="I2106" s="1" t="inlineStr">
        <is>
          <t>มี</t>
        </is>
      </c>
      <c r="J2106" s="13" t="n">
        <v>145</v>
      </c>
      <c r="K2106" s="1" t="inlineStr"/>
      <c r="L2106" s="13" t="n">
        <v>145</v>
      </c>
      <c r="M2106" s="1">
        <f>IF(L2106="","ไม่พบใน SG",IF(ABS(J2106-L2106)&lt;0.005,"ตรงกัน","ไม่ตรง"))</f>
        <v/>
      </c>
      <c r="N2106" s="14">
        <f>IF(L2106="","",ROUND(L2106*'สรุป'!$C$6,-1))</f>
        <v/>
      </c>
      <c r="O2106" s="15" t="n"/>
      <c r="P2106" s="15" t="n"/>
      <c r="Q2106" s="10" t="n"/>
      <c r="R2106" s="10" t="n"/>
      <c r="S2106" s="16" t="inlineStr">
        <is>
          <t>https://mstgolf.co.th/products/gf3130100356</t>
        </is>
      </c>
      <c r="T2106" s="1">
        <f>IF(B2106="ไม้กอล์ฟ",J2106,"")</f>
        <v/>
      </c>
    </row>
    <row r="2107">
      <c r="A2107" s="1" t="n">
        <v>3</v>
      </c>
      <c r="B2107" s="1" t="inlineStr">
        <is>
          <t>เสื้อผ้า</t>
        </is>
      </c>
      <c r="C2107" s="1" t="inlineStr">
        <is>
          <t>gf2040118014</t>
        </is>
      </c>
      <c r="D2107" s="1" t="inlineStr">
        <is>
          <t>WAAC Korea Waacky Pink Men's Polo (Pink)</t>
        </is>
      </c>
      <c r="E2107" s="1" t="inlineStr">
        <is>
          <t>WAAC</t>
        </is>
      </c>
      <c r="F2107" s="1" t="inlineStr">
        <is>
          <t>SHORT SLEEVES</t>
        </is>
      </c>
      <c r="G2107" s="1" t="inlineStr">
        <is>
          <t>GF2040118014S</t>
        </is>
      </c>
      <c r="H2107" s="1" t="n">
        <v>5</v>
      </c>
      <c r="I2107" s="1" t="inlineStr">
        <is>
          <t>มี</t>
        </is>
      </c>
      <c r="J2107" s="13" t="n">
        <v>145</v>
      </c>
      <c r="K2107" s="1" t="inlineStr"/>
      <c r="L2107" s="13" t="n">
        <v>145</v>
      </c>
      <c r="M2107" s="1">
        <f>IF(L2107="","ไม่พบใน SG",IF(ABS(J2107-L2107)&lt;0.005,"ตรงกัน","ไม่ตรง"))</f>
        <v/>
      </c>
      <c r="N2107" s="14">
        <f>IF(L2107="","",ROUND(L2107*'สรุป'!$C$6,-1))</f>
        <v/>
      </c>
      <c r="O2107" s="15" t="n"/>
      <c r="P2107" s="15" t="n"/>
      <c r="Q2107" s="10" t="n"/>
      <c r="R2107" s="10" t="n"/>
      <c r="S2107" s="16" t="inlineStr">
        <is>
          <t>https://mstgolf.co.th/products/gf2040118014</t>
        </is>
      </c>
      <c r="T2107" s="1">
        <f>IF(B2107="ไม้กอล์ฟ",J2107,"")</f>
        <v/>
      </c>
    </row>
    <row r="2108">
      <c r="A2108" s="1" t="n">
        <v>3</v>
      </c>
      <c r="B2108" s="1" t="inlineStr">
        <is>
          <t>เสื้อผ้า</t>
        </is>
      </c>
      <c r="C2108" s="1" t="inlineStr">
        <is>
          <t>gf2020102487</t>
        </is>
      </c>
      <c r="D2108" s="1" t="inlineStr">
        <is>
          <t>ADIDAS Ripstop Rib-Hem Men's Ankle Pants (White)</t>
        </is>
      </c>
      <c r="E2108" s="1" t="inlineStr">
        <is>
          <t>ADIDAS</t>
        </is>
      </c>
      <c r="F2108" s="1" t="inlineStr">
        <is>
          <t>LONG PANTS</t>
        </is>
      </c>
      <c r="G2108" s="1" t="inlineStr">
        <is>
          <t>GF2020102487XS</t>
        </is>
      </c>
      <c r="H2108" s="1" t="n">
        <v>13</v>
      </c>
      <c r="I2108" s="1" t="inlineStr">
        <is>
          <t>มี</t>
        </is>
      </c>
      <c r="J2108" s="13" t="n">
        <v>140</v>
      </c>
      <c r="K2108" s="1" t="inlineStr"/>
      <c r="L2108" s="13" t="n">
        <v>69</v>
      </c>
      <c r="M2108" s="1">
        <f>IF(L2108="","ไม่พบใน SG",IF(ABS(J2108-L2108)&lt;0.005,"ตรงกัน","ไม่ตรง"))</f>
        <v/>
      </c>
      <c r="N2108" s="14">
        <f>IF(L2108="","",ROUND(L2108*'สรุป'!$C$6,-1))</f>
        <v/>
      </c>
      <c r="O2108" s="15" t="n"/>
      <c r="P2108" s="15" t="n"/>
      <c r="Q2108" s="10" t="n"/>
      <c r="R2108" s="10" t="n"/>
      <c r="S2108" s="16" t="inlineStr">
        <is>
          <t>https://mstgolf.co.th/products/gf2020102487</t>
        </is>
      </c>
      <c r="T2108" s="1">
        <f>IF(B2108="ไม้กอล์ฟ",J2108,"")</f>
        <v/>
      </c>
    </row>
    <row r="2109">
      <c r="A2109" s="1" t="n">
        <v>3</v>
      </c>
      <c r="B2109" s="1" t="inlineStr">
        <is>
          <t>เสื้อผ้า</t>
        </is>
      </c>
      <c r="C2109" s="1" t="inlineStr">
        <is>
          <t>gf2040120611</t>
        </is>
      </c>
      <c r="D2109" s="1" t="inlineStr">
        <is>
          <t>WAAC Essential Men's Polo (Blue Green)</t>
        </is>
      </c>
      <c r="E2109" s="1" t="inlineStr">
        <is>
          <t>WAAC</t>
        </is>
      </c>
      <c r="F2109" s="1" t="inlineStr">
        <is>
          <t>SHORT SLEEVES</t>
        </is>
      </c>
      <c r="G2109" s="1" t="inlineStr">
        <is>
          <t>GF2040120611S</t>
        </is>
      </c>
      <c r="H2109" s="1" t="n">
        <v>5</v>
      </c>
      <c r="I2109" s="1" t="inlineStr">
        <is>
          <t>มี</t>
        </is>
      </c>
      <c r="J2109" s="13" t="n">
        <v>140</v>
      </c>
      <c r="K2109" s="1" t="inlineStr"/>
      <c r="L2109" s="13" t="n">
        <v>140</v>
      </c>
      <c r="M2109" s="1">
        <f>IF(L2109="","ไม่พบใน SG",IF(ABS(J2109-L2109)&lt;0.005,"ตรงกัน","ไม่ตรง"))</f>
        <v/>
      </c>
      <c r="N2109" s="14">
        <f>IF(L2109="","",ROUND(L2109*'สรุป'!$C$6,-1))</f>
        <v/>
      </c>
      <c r="O2109" s="15" t="n"/>
      <c r="P2109" s="15" t="n"/>
      <c r="Q2109" s="10" t="n"/>
      <c r="R2109" s="10" t="n"/>
      <c r="S2109" s="16" t="inlineStr">
        <is>
          <t>https://mstgolf.co.th/products/gf2040120611</t>
        </is>
      </c>
      <c r="T2109" s="1">
        <f>IF(B2109="ไม้กอล์ฟ",J2109,"")</f>
        <v/>
      </c>
    </row>
    <row r="2110">
      <c r="A2110" s="1" t="n">
        <v>3</v>
      </c>
      <c r="B2110" s="1" t="inlineStr">
        <is>
          <t>เสื้อผ้า</t>
        </is>
      </c>
      <c r="C2110" s="1" t="inlineStr">
        <is>
          <t>gf2040121101</t>
        </is>
      </c>
      <c r="D2110" s="1" t="inlineStr">
        <is>
          <t>ADIDAS Originals Archive Stripe Men's Polo (Indigo)</t>
        </is>
      </c>
      <c r="E2110" s="1" t="inlineStr">
        <is>
          <t>ADIDAS</t>
        </is>
      </c>
      <c r="F2110" s="1" t="inlineStr">
        <is>
          <t>SHORT SLEEVES</t>
        </is>
      </c>
      <c r="G2110" s="1" t="inlineStr">
        <is>
          <t>GF2040121101XS</t>
        </is>
      </c>
      <c r="H2110" s="1" t="n">
        <v>6</v>
      </c>
      <c r="I2110" s="1" t="inlineStr">
        <is>
          <t>มี</t>
        </is>
      </c>
      <c r="J2110" s="13" t="n">
        <v>139</v>
      </c>
      <c r="K2110" s="1" t="inlineStr"/>
      <c r="L2110" s="13" t="n">
        <v>125</v>
      </c>
      <c r="M2110" s="1">
        <f>IF(L2110="","ไม่พบใน SG",IF(ABS(J2110-L2110)&lt;0.005,"ตรงกัน","ไม่ตรง"))</f>
        <v/>
      </c>
      <c r="N2110" s="14">
        <f>IF(L2110="","",ROUND(L2110*'สรุป'!$C$6,-1))</f>
        <v/>
      </c>
      <c r="O2110" s="15" t="n"/>
      <c r="P2110" s="15" t="n"/>
      <c r="Q2110" s="10" t="n"/>
      <c r="R2110" s="10" t="n"/>
      <c r="S2110" s="16" t="inlineStr">
        <is>
          <t>https://mstgolf.co.th/products/gf2040121101</t>
        </is>
      </c>
      <c r="T2110" s="1">
        <f>IF(B2110="ไม้กอล์ฟ",J2110,"")</f>
        <v/>
      </c>
    </row>
    <row r="2111">
      <c r="A2111" s="1" t="n">
        <v>3</v>
      </c>
      <c r="B2111" s="1" t="inlineStr">
        <is>
          <t>เสื้อผ้า</t>
        </is>
      </c>
      <c r="C2111" s="1" t="inlineStr">
        <is>
          <t>gf2040121099</t>
        </is>
      </c>
      <c r="D2111" s="1" t="inlineStr">
        <is>
          <t>ADIDAS Originals Archive Stripe Men's Polo (Orange)</t>
        </is>
      </c>
      <c r="E2111" s="1" t="inlineStr">
        <is>
          <t>ADIDAS</t>
        </is>
      </c>
      <c r="F2111" s="1" t="inlineStr">
        <is>
          <t>SHORT SLEEVES</t>
        </is>
      </c>
      <c r="G2111" s="1" t="inlineStr">
        <is>
          <t>GF2040121099XS</t>
        </is>
      </c>
      <c r="H2111" s="1" t="n">
        <v>6</v>
      </c>
      <c r="I2111" s="1" t="inlineStr">
        <is>
          <t>มี</t>
        </is>
      </c>
      <c r="J2111" s="13" t="n">
        <v>139</v>
      </c>
      <c r="K2111" s="1" t="inlineStr"/>
      <c r="L2111" s="13" t="n">
        <v>125</v>
      </c>
      <c r="M2111" s="1">
        <f>IF(L2111="","ไม่พบใน SG",IF(ABS(J2111-L2111)&lt;0.005,"ตรงกัน","ไม่ตรง"))</f>
        <v/>
      </c>
      <c r="N2111" s="14">
        <f>IF(L2111="","",ROUND(L2111*'สรุป'!$C$6,-1))</f>
        <v/>
      </c>
      <c r="O2111" s="15" t="n"/>
      <c r="P2111" s="15" t="n"/>
      <c r="Q2111" s="10" t="n"/>
      <c r="R2111" s="10" t="n"/>
      <c r="S2111" s="16" t="inlineStr">
        <is>
          <t>https://mstgolf.co.th/products/gf2040121099</t>
        </is>
      </c>
      <c r="T2111" s="1">
        <f>IF(B2111="ไม้กอล์ฟ",J2111,"")</f>
        <v/>
      </c>
    </row>
    <row r="2112">
      <c r="A2112" s="1" t="n">
        <v>3</v>
      </c>
      <c r="B2112" s="1" t="inlineStr">
        <is>
          <t>เสื้อผ้า</t>
        </is>
      </c>
      <c r="C2112" s="1" t="inlineStr">
        <is>
          <t>gf2040121100</t>
        </is>
      </c>
      <c r="D2112" s="1" t="inlineStr">
        <is>
          <t>ADIDAS Originals Archive Stripe Men's Polo (Pink)</t>
        </is>
      </c>
      <c r="E2112" s="1" t="inlineStr">
        <is>
          <t>ADIDAS</t>
        </is>
      </c>
      <c r="F2112" s="1" t="inlineStr">
        <is>
          <t>SHORT SLEEVES</t>
        </is>
      </c>
      <c r="G2112" s="1" t="inlineStr">
        <is>
          <t>GF2040121100XS</t>
        </is>
      </c>
      <c r="H2112" s="1" t="n">
        <v>6</v>
      </c>
      <c r="I2112" s="1" t="inlineStr">
        <is>
          <t>มี</t>
        </is>
      </c>
      <c r="J2112" s="13" t="n">
        <v>139</v>
      </c>
      <c r="K2112" s="1" t="inlineStr"/>
      <c r="L2112" s="13" t="n">
        <v>125</v>
      </c>
      <c r="M2112" s="1">
        <f>IF(L2112="","ไม่พบใน SG",IF(ABS(J2112-L2112)&lt;0.005,"ตรงกัน","ไม่ตรง"))</f>
        <v/>
      </c>
      <c r="N2112" s="14">
        <f>IF(L2112="","",ROUND(L2112*'สรุป'!$C$6,-1))</f>
        <v/>
      </c>
      <c r="O2112" s="15" t="n"/>
      <c r="P2112" s="15" t="n"/>
      <c r="Q2112" s="10" t="n"/>
      <c r="R2112" s="10" t="n"/>
      <c r="S2112" s="16" t="inlineStr">
        <is>
          <t>https://mstgolf.co.th/products/gf2040121100</t>
        </is>
      </c>
      <c r="T2112" s="1">
        <f>IF(B2112="ไม้กอล์ฟ",J2112,"")</f>
        <v/>
      </c>
    </row>
    <row r="2113">
      <c r="A2113" s="1" t="n">
        <v>3</v>
      </c>
      <c r="B2113" s="1" t="inlineStr">
        <is>
          <t>เสื้อผ้า</t>
        </is>
      </c>
      <c r="C2113" s="1" t="inlineStr">
        <is>
          <t>gf2020102619</t>
        </is>
      </c>
      <c r="D2113" s="1" t="inlineStr">
        <is>
          <t>ADIDAS Originals Men's Pants (Blue)</t>
        </is>
      </c>
      <c r="E2113" s="1" t="inlineStr">
        <is>
          <t>ADIDAS</t>
        </is>
      </c>
      <c r="F2113" s="1" t="inlineStr">
        <is>
          <t>LONG PANTS</t>
        </is>
      </c>
      <c r="G2113" s="1" t="inlineStr">
        <is>
          <t>GF202010261928</t>
        </is>
      </c>
      <c r="H2113" s="1" t="n">
        <v>5</v>
      </c>
      <c r="I2113" s="1" t="inlineStr">
        <is>
          <t>มี</t>
        </is>
      </c>
      <c r="J2113" s="13" t="n">
        <v>139</v>
      </c>
      <c r="K2113" s="1" t="inlineStr"/>
      <c r="L2113" s="13" t="n">
        <v>99</v>
      </c>
      <c r="M2113" s="1">
        <f>IF(L2113="","ไม่พบใน SG",IF(ABS(J2113-L2113)&lt;0.005,"ตรงกัน","ไม่ตรง"))</f>
        <v/>
      </c>
      <c r="N2113" s="14">
        <f>IF(L2113="","",ROUND(L2113*'สรุป'!$C$6,-1))</f>
        <v/>
      </c>
      <c r="O2113" s="15" t="n"/>
      <c r="P2113" s="15" t="n"/>
      <c r="Q2113" s="10" t="n"/>
      <c r="R2113" s="10" t="n"/>
      <c r="S2113" s="16" t="inlineStr">
        <is>
          <t>https://mstgolf.co.th/products/gf2020102619</t>
        </is>
      </c>
      <c r="T2113" s="1">
        <f>IF(B2113="ไม้กอล์ฟ",J2113,"")</f>
        <v/>
      </c>
    </row>
    <row r="2114">
      <c r="A2114" s="1" t="n">
        <v>3</v>
      </c>
      <c r="B2114" s="1" t="inlineStr">
        <is>
          <t>เสื้อผ้า</t>
        </is>
      </c>
      <c r="C2114" s="1" t="inlineStr">
        <is>
          <t>gf2040120491</t>
        </is>
      </c>
      <c r="D2114" s="1" t="inlineStr">
        <is>
          <t>ADIDAS Originals Stripe Men's Pique Polo (Brown)</t>
        </is>
      </c>
      <c r="E2114" s="1" t="inlineStr">
        <is>
          <t>ADIDAS</t>
        </is>
      </c>
      <c r="F2114" s="1" t="inlineStr">
        <is>
          <t>SHORT SLEEVES</t>
        </is>
      </c>
      <c r="G2114" s="1" t="inlineStr">
        <is>
          <t>GF20401204912XS</t>
        </is>
      </c>
      <c r="H2114" s="1" t="n">
        <v>7</v>
      </c>
      <c r="I2114" s="1" t="inlineStr">
        <is>
          <t>มี</t>
        </is>
      </c>
      <c r="J2114" s="13" t="n">
        <v>139</v>
      </c>
      <c r="K2114" s="1" t="inlineStr"/>
      <c r="L2114" s="13" t="n">
        <v>99</v>
      </c>
      <c r="M2114" s="1">
        <f>IF(L2114="","ไม่พบใน SG",IF(ABS(J2114-L2114)&lt;0.005,"ตรงกัน","ไม่ตรง"))</f>
        <v/>
      </c>
      <c r="N2114" s="14">
        <f>IF(L2114="","",ROUND(L2114*'สรุป'!$C$6,-1))</f>
        <v/>
      </c>
      <c r="O2114" s="15" t="n"/>
      <c r="P2114" s="15" t="n"/>
      <c r="Q2114" s="10" t="n"/>
      <c r="R2114" s="10" t="n"/>
      <c r="S2114" s="16" t="inlineStr">
        <is>
          <t>https://mstgolf.co.th/products/gf2040120491</t>
        </is>
      </c>
      <c r="T2114" s="1">
        <f>IF(B2114="ไม้กอล์ฟ",J2114,"")</f>
        <v/>
      </c>
    </row>
    <row r="2115">
      <c r="A2115" s="1" t="n">
        <v>3</v>
      </c>
      <c r="B2115" s="1" t="inlineStr">
        <is>
          <t>เสื้อผ้า</t>
        </is>
      </c>
      <c r="C2115" s="1" t="inlineStr">
        <is>
          <t>gf2040120487</t>
        </is>
      </c>
      <c r="D2115" s="1" t="inlineStr">
        <is>
          <t>ADIDAS Originals Stripe Men's Pique Polo (Clear Sky)</t>
        </is>
      </c>
      <c r="E2115" s="1" t="inlineStr">
        <is>
          <t>ADIDAS</t>
        </is>
      </c>
      <c r="F2115" s="1" t="inlineStr">
        <is>
          <t>SHORT SLEEVES</t>
        </is>
      </c>
      <c r="G2115" s="1" t="inlineStr">
        <is>
          <t>GF20401204872XS</t>
        </is>
      </c>
      <c r="H2115" s="1" t="n">
        <v>7</v>
      </c>
      <c r="I2115" s="1" t="inlineStr">
        <is>
          <t>มี</t>
        </is>
      </c>
      <c r="J2115" s="13" t="n">
        <v>139</v>
      </c>
      <c r="K2115" s="1" t="inlineStr"/>
      <c r="L2115" s="13" t="n">
        <v>99</v>
      </c>
      <c r="M2115" s="1">
        <f>IF(L2115="","ไม่พบใน SG",IF(ABS(J2115-L2115)&lt;0.005,"ตรงกัน","ไม่ตรง"))</f>
        <v/>
      </c>
      <c r="N2115" s="14">
        <f>IF(L2115="","",ROUND(L2115*'สรุป'!$C$6,-1))</f>
        <v/>
      </c>
      <c r="O2115" s="15" t="n"/>
      <c r="P2115" s="15" t="n"/>
      <c r="Q2115" s="10" t="n"/>
      <c r="R2115" s="10" t="n"/>
      <c r="S2115" s="16" t="inlineStr">
        <is>
          <t>https://mstgolf.co.th/products/gf2040120487</t>
        </is>
      </c>
      <c r="T2115" s="1">
        <f>IF(B2115="ไม้กอล์ฟ",J2115,"")</f>
        <v/>
      </c>
    </row>
    <row r="2116">
      <c r="A2116" s="1" t="n">
        <v>3</v>
      </c>
      <c r="B2116" s="1" t="inlineStr">
        <is>
          <t>เสื้อผ้า</t>
        </is>
      </c>
      <c r="C2116" s="1" t="inlineStr">
        <is>
          <t>gf2040120488</t>
        </is>
      </c>
      <c r="D2116" s="1" t="inlineStr">
        <is>
          <t>ADIDAS Originals Stripe Men's Pique Polo (Indigo)</t>
        </is>
      </c>
      <c r="E2116" s="1" t="inlineStr">
        <is>
          <t>ADIDAS</t>
        </is>
      </c>
      <c r="F2116" s="1" t="inlineStr">
        <is>
          <t>SHORT SLEEVES</t>
        </is>
      </c>
      <c r="G2116" s="1" t="inlineStr">
        <is>
          <t>GF20401204882XS</t>
        </is>
      </c>
      <c r="H2116" s="1" t="n">
        <v>7</v>
      </c>
      <c r="I2116" s="1" t="inlineStr">
        <is>
          <t>มี</t>
        </is>
      </c>
      <c r="J2116" s="13" t="n">
        <v>139</v>
      </c>
      <c r="K2116" s="1" t="inlineStr"/>
      <c r="L2116" s="13" t="n">
        <v>99</v>
      </c>
      <c r="M2116" s="1">
        <f>IF(L2116="","ไม่พบใน SG",IF(ABS(J2116-L2116)&lt;0.005,"ตรงกัน","ไม่ตรง"))</f>
        <v/>
      </c>
      <c r="N2116" s="14">
        <f>IF(L2116="","",ROUND(L2116*'สรุป'!$C$6,-1))</f>
        <v/>
      </c>
      <c r="O2116" s="15" t="n"/>
      <c r="P2116" s="15" t="n"/>
      <c r="Q2116" s="10" t="n"/>
      <c r="R2116" s="10" t="n"/>
      <c r="S2116" s="16" t="inlineStr">
        <is>
          <t>https://mstgolf.co.th/products/gf2040120488</t>
        </is>
      </c>
      <c r="T2116" s="1">
        <f>IF(B2116="ไม้กอล์ฟ",J2116,"")</f>
        <v/>
      </c>
    </row>
    <row r="2117">
      <c r="A2117" s="1" t="n">
        <v>3</v>
      </c>
      <c r="B2117" s="1" t="inlineStr">
        <is>
          <t>เสื้อผ้า</t>
        </is>
      </c>
      <c r="C2117" s="1" t="inlineStr">
        <is>
          <t>gf2040120492</t>
        </is>
      </c>
      <c r="D2117" s="1" t="inlineStr">
        <is>
          <t>ADIDAS Originals Stripe Men's Pique Polo (Lilac)</t>
        </is>
      </c>
      <c r="E2117" s="1" t="inlineStr">
        <is>
          <t>ADIDAS</t>
        </is>
      </c>
      <c r="F2117" s="1" t="inlineStr">
        <is>
          <t>SHORT SLEEVES</t>
        </is>
      </c>
      <c r="G2117" s="1" t="inlineStr">
        <is>
          <t>GF20401204922XS</t>
        </is>
      </c>
      <c r="H2117" s="1" t="n">
        <v>7</v>
      </c>
      <c r="I2117" s="1" t="inlineStr">
        <is>
          <t>มี</t>
        </is>
      </c>
      <c r="J2117" s="13" t="n">
        <v>139</v>
      </c>
      <c r="K2117" s="1" t="inlineStr"/>
      <c r="L2117" s="13" t="n">
        <v>99</v>
      </c>
      <c r="M2117" s="1">
        <f>IF(L2117="","ไม่พบใน SG",IF(ABS(J2117-L2117)&lt;0.005,"ตรงกัน","ไม่ตรง"))</f>
        <v/>
      </c>
      <c r="N2117" s="14">
        <f>IF(L2117="","",ROUND(L2117*'สรุป'!$C$6,-1))</f>
        <v/>
      </c>
      <c r="O2117" s="15" t="n"/>
      <c r="P2117" s="15" t="n"/>
      <c r="Q2117" s="10" t="n"/>
      <c r="R2117" s="10" t="n"/>
      <c r="S2117" s="16" t="inlineStr">
        <is>
          <t>https://mstgolf.co.th/products/gf2040120492</t>
        </is>
      </c>
      <c r="T2117" s="1">
        <f>IF(B2117="ไม้กอล์ฟ",J2117,"")</f>
        <v/>
      </c>
    </row>
    <row r="2118">
      <c r="A2118" s="1" t="n">
        <v>3</v>
      </c>
      <c r="B2118" s="1" t="inlineStr">
        <is>
          <t>เสื้อผ้า</t>
        </is>
      </c>
      <c r="C2118" s="1" t="inlineStr">
        <is>
          <t>gf2040121102</t>
        </is>
      </c>
      <c r="D2118" s="1" t="inlineStr">
        <is>
          <t>ADIDAS Originals Stripe Men's Pique Polo (Orange)</t>
        </is>
      </c>
      <c r="E2118" s="1" t="inlineStr">
        <is>
          <t>ADIDAS</t>
        </is>
      </c>
      <c r="F2118" s="1" t="inlineStr">
        <is>
          <t>SHORT SLEEVES</t>
        </is>
      </c>
      <c r="G2118" s="1" t="inlineStr">
        <is>
          <t>GF2040121102XS</t>
        </is>
      </c>
      <c r="H2118" s="1" t="n">
        <v>6</v>
      </c>
      <c r="I2118" s="1" t="inlineStr">
        <is>
          <t>มี</t>
        </is>
      </c>
      <c r="J2118" s="13" t="n">
        <v>139</v>
      </c>
      <c r="K2118" s="1" t="inlineStr"/>
      <c r="L2118" s="13" t="n">
        <v>125</v>
      </c>
      <c r="M2118" s="1">
        <f>IF(L2118="","ไม่พบใน SG",IF(ABS(J2118-L2118)&lt;0.005,"ตรงกัน","ไม่ตรง"))</f>
        <v/>
      </c>
      <c r="N2118" s="14">
        <f>IF(L2118="","",ROUND(L2118*'สรุป'!$C$6,-1))</f>
        <v/>
      </c>
      <c r="O2118" s="15" t="n"/>
      <c r="P2118" s="15" t="n"/>
      <c r="Q2118" s="10" t="n"/>
      <c r="R2118" s="10" t="n"/>
      <c r="S2118" s="16" t="inlineStr">
        <is>
          <t>https://mstgolf.co.th/products/gf2040121102</t>
        </is>
      </c>
      <c r="T2118" s="1">
        <f>IF(B2118="ไม้กอล์ฟ",J2118,"")</f>
        <v/>
      </c>
    </row>
    <row r="2119">
      <c r="A2119" s="1" t="n">
        <v>3</v>
      </c>
      <c r="B2119" s="1" t="inlineStr">
        <is>
          <t>เสื้อผ้า</t>
        </is>
      </c>
      <c r="C2119" s="1" t="inlineStr">
        <is>
          <t>gf2040121103</t>
        </is>
      </c>
      <c r="D2119" s="1" t="inlineStr">
        <is>
          <t>ADIDAS Originals Stripe Men's Pique Polo (Pink)</t>
        </is>
      </c>
      <c r="E2119" s="1" t="inlineStr">
        <is>
          <t>ADIDAS</t>
        </is>
      </c>
      <c r="F2119" s="1" t="inlineStr">
        <is>
          <t>SHORT SLEEVES</t>
        </is>
      </c>
      <c r="G2119" s="1" t="inlineStr">
        <is>
          <t>GF2040121103XS</t>
        </is>
      </c>
      <c r="H2119" s="1" t="n">
        <v>6</v>
      </c>
      <c r="I2119" s="1" t="inlineStr">
        <is>
          <t>มี</t>
        </is>
      </c>
      <c r="J2119" s="13" t="n">
        <v>139</v>
      </c>
      <c r="K2119" s="1" t="inlineStr"/>
      <c r="L2119" s="13" t="n">
        <v>125</v>
      </c>
      <c r="M2119" s="1">
        <f>IF(L2119="","ไม่พบใน SG",IF(ABS(J2119-L2119)&lt;0.005,"ตรงกัน","ไม่ตรง"))</f>
        <v/>
      </c>
      <c r="N2119" s="14">
        <f>IF(L2119="","",ROUND(L2119*'สรุป'!$C$6,-1))</f>
        <v/>
      </c>
      <c r="O2119" s="15" t="n"/>
      <c r="P2119" s="15" t="n"/>
      <c r="Q2119" s="10" t="n"/>
      <c r="R2119" s="10" t="n"/>
      <c r="S2119" s="16" t="inlineStr">
        <is>
          <t>https://mstgolf.co.th/products/gf2040121103</t>
        </is>
      </c>
      <c r="T2119" s="1">
        <f>IF(B2119="ไม้กอล์ฟ",J2119,"")</f>
        <v/>
      </c>
    </row>
    <row r="2120">
      <c r="A2120" s="1" t="n">
        <v>3</v>
      </c>
      <c r="B2120" s="1" t="inlineStr">
        <is>
          <t>เสื้อผ้า</t>
        </is>
      </c>
      <c r="C2120" s="1" t="inlineStr">
        <is>
          <t>gf2020102620</t>
        </is>
      </c>
      <c r="D2120" s="1" t="inlineStr">
        <is>
          <t>ADIDAS Originals Women's Pants (Brown)</t>
        </is>
      </c>
      <c r="E2120" s="1" t="inlineStr">
        <is>
          <t>ADIDAS</t>
        </is>
      </c>
      <c r="F2120" s="1" t="inlineStr">
        <is>
          <t>LONG PANTS</t>
        </is>
      </c>
      <c r="G2120" s="1" t="inlineStr">
        <is>
          <t>GF202010262028</t>
        </is>
      </c>
      <c r="H2120" s="1" t="n">
        <v>5</v>
      </c>
      <c r="I2120" s="1" t="inlineStr">
        <is>
          <t>มี</t>
        </is>
      </c>
      <c r="J2120" s="13" t="n">
        <v>139</v>
      </c>
      <c r="K2120" s="1" t="inlineStr"/>
      <c r="L2120" s="13" t="n">
        <v>99</v>
      </c>
      <c r="M2120" s="1">
        <f>IF(L2120="","ไม่พบใน SG",IF(ABS(J2120-L2120)&lt;0.005,"ตรงกัน","ไม่ตรง"))</f>
        <v/>
      </c>
      <c r="N2120" s="14">
        <f>IF(L2120="","",ROUND(L2120*'สรุป'!$C$6,-1))</f>
        <v/>
      </c>
      <c r="O2120" s="15" t="n"/>
      <c r="P2120" s="15" t="n"/>
      <c r="Q2120" s="10" t="n"/>
      <c r="R2120" s="10" t="n"/>
      <c r="S2120" s="16" t="inlineStr">
        <is>
          <t>https://mstgolf.co.th/products/gf2020102620</t>
        </is>
      </c>
      <c r="T2120" s="1">
        <f>IF(B2120="ไม้กอล์ฟ",J2120,"")</f>
        <v/>
      </c>
    </row>
    <row r="2121">
      <c r="A2121" s="1" t="n">
        <v>3</v>
      </c>
      <c r="B2121" s="1" t="inlineStr">
        <is>
          <t>เสื้อผ้า</t>
        </is>
      </c>
      <c r="C2121" s="1" t="inlineStr">
        <is>
          <t>gf2020102658</t>
        </is>
      </c>
      <c r="D2121" s="1" t="inlineStr">
        <is>
          <t>ADIDAS Originals Women's Pants (Pink)</t>
        </is>
      </c>
      <c r="E2121" s="1" t="inlineStr">
        <is>
          <t>ADIDAS</t>
        </is>
      </c>
      <c r="F2121" s="1" t="inlineStr">
        <is>
          <t>LONG PANTS</t>
        </is>
      </c>
      <c r="G2121" s="1" t="inlineStr">
        <is>
          <t>GF202010265828</t>
        </is>
      </c>
      <c r="H2121" s="1" t="n">
        <v>5</v>
      </c>
      <c r="I2121" s="1" t="inlineStr">
        <is>
          <t>มี</t>
        </is>
      </c>
      <c r="J2121" s="13" t="n">
        <v>139</v>
      </c>
      <c r="K2121" s="1" t="inlineStr"/>
      <c r="L2121" s="13" t="n">
        <v>125</v>
      </c>
      <c r="M2121" s="1">
        <f>IF(L2121="","ไม่พบใน SG",IF(ABS(J2121-L2121)&lt;0.005,"ตรงกัน","ไม่ตรง"))</f>
        <v/>
      </c>
      <c r="N2121" s="14">
        <f>IF(L2121="","",ROUND(L2121*'สรุป'!$C$6,-1))</f>
        <v/>
      </c>
      <c r="O2121" s="15" t="n"/>
      <c r="P2121" s="15" t="n"/>
      <c r="Q2121" s="10" t="n"/>
      <c r="R2121" s="10" t="n"/>
      <c r="S2121" s="16" t="inlineStr">
        <is>
          <t>https://mstgolf.co.th/products/gf2020102658</t>
        </is>
      </c>
      <c r="T2121" s="1">
        <f>IF(B2121="ไม้กอล์ฟ",J2121,"")</f>
        <v/>
      </c>
    </row>
    <row r="2122">
      <c r="A2122" s="1" t="n">
        <v>3</v>
      </c>
      <c r="B2122" s="1" t="inlineStr">
        <is>
          <t>เสื้อผ้า</t>
        </is>
      </c>
      <c r="C2122" s="1" t="inlineStr">
        <is>
          <t>gf2020102622</t>
        </is>
      </c>
      <c r="D2122" s="1" t="inlineStr">
        <is>
          <t>ADIDAS WIND.RDY Boots Cut 7/8 Women's Pants (White)</t>
        </is>
      </c>
      <c r="E2122" s="1" t="inlineStr">
        <is>
          <t>ADIDAS</t>
        </is>
      </c>
      <c r="F2122" s="1" t="inlineStr">
        <is>
          <t>LONG PANTS</t>
        </is>
      </c>
      <c r="G2122" s="1" t="inlineStr">
        <is>
          <t>GF2020102622XS</t>
        </is>
      </c>
      <c r="H2122" s="1" t="n">
        <v>7</v>
      </c>
      <c r="I2122" s="1" t="inlineStr">
        <is>
          <t>มี</t>
        </is>
      </c>
      <c r="J2122" s="13" t="n">
        <v>139</v>
      </c>
      <c r="K2122" s="1" t="inlineStr"/>
      <c r="L2122" s="13" t="n">
        <v>69</v>
      </c>
      <c r="M2122" s="1">
        <f>IF(L2122="","ไม่พบใน SG",IF(ABS(J2122-L2122)&lt;0.005,"ตรงกัน","ไม่ตรง"))</f>
        <v/>
      </c>
      <c r="N2122" s="14">
        <f>IF(L2122="","",ROUND(L2122*'สรุป'!$C$6,-1))</f>
        <v/>
      </c>
      <c r="O2122" s="15" t="n"/>
      <c r="P2122" s="15" t="n"/>
      <c r="Q2122" s="10" t="n"/>
      <c r="R2122" s="10" t="n"/>
      <c r="S2122" s="16" t="inlineStr">
        <is>
          <t>https://mstgolf.co.th/products/gf2020102622</t>
        </is>
      </c>
      <c r="T2122" s="1">
        <f>IF(B2122="ไม้กอล์ฟ",J2122,"")</f>
        <v/>
      </c>
    </row>
    <row r="2123">
      <c r="A2123" s="1" t="n">
        <v>3</v>
      </c>
      <c r="B2123" s="1" t="inlineStr">
        <is>
          <t>เสื้อผ้า</t>
        </is>
      </c>
      <c r="C2123" s="1" t="inlineStr">
        <is>
          <t>gf2020102067</t>
        </is>
      </c>
      <c r="D2123" s="1" t="inlineStr">
        <is>
          <t>CALVIN KLEIN Farmington Women's Ankle Pants (Birch)</t>
        </is>
      </c>
      <c r="E2123" s="1" t="inlineStr">
        <is>
          <t>CALVIN KLEIN</t>
        </is>
      </c>
      <c r="F2123" s="1" t="inlineStr">
        <is>
          <t>LONG PANTS</t>
        </is>
      </c>
      <c r="G2123" s="1" t="inlineStr">
        <is>
          <t>GF20201020678</t>
        </is>
      </c>
      <c r="H2123" s="1" t="n">
        <v>5</v>
      </c>
      <c r="I2123" s="1" t="inlineStr">
        <is>
          <t>มี</t>
        </is>
      </c>
      <c r="J2123" s="13" t="n">
        <v>139</v>
      </c>
      <c r="K2123" s="1" t="inlineStr"/>
      <c r="L2123" s="13" t="n">
        <v>99</v>
      </c>
      <c r="M2123" s="1">
        <f>IF(L2123="","ไม่พบใน SG",IF(ABS(J2123-L2123)&lt;0.005,"ตรงกัน","ไม่ตรง"))</f>
        <v/>
      </c>
      <c r="N2123" s="14">
        <f>IF(L2123="","",ROUND(L2123*'สรุป'!$C$6,-1))</f>
        <v/>
      </c>
      <c r="O2123" s="15" t="n"/>
      <c r="P2123" s="15" t="n"/>
      <c r="Q2123" s="10" t="n"/>
      <c r="R2123" s="10" t="n"/>
      <c r="S2123" s="16" t="inlineStr">
        <is>
          <t>https://mstgolf.co.th/products/gf2020102067</t>
        </is>
      </c>
      <c r="T2123" s="1">
        <f>IF(B2123="ไม้กอล์ฟ",J2123,"")</f>
        <v/>
      </c>
    </row>
    <row r="2124">
      <c r="A2124" s="1" t="n">
        <v>3</v>
      </c>
      <c r="B2124" s="1" t="inlineStr">
        <is>
          <t>เสื้อผ้า</t>
        </is>
      </c>
      <c r="C2124" s="1" t="inlineStr">
        <is>
          <t>gf2020102068</t>
        </is>
      </c>
      <c r="D2124" s="1" t="inlineStr">
        <is>
          <t>CALVIN KLEIN Farmington Women's Ankle Pants (Navy)</t>
        </is>
      </c>
      <c r="E2124" s="1" t="inlineStr">
        <is>
          <t>CALVIN KLEIN</t>
        </is>
      </c>
      <c r="F2124" s="1" t="inlineStr">
        <is>
          <t>LONG PANTS</t>
        </is>
      </c>
      <c r="G2124" s="1" t="inlineStr">
        <is>
          <t>GF20201020688</t>
        </is>
      </c>
      <c r="H2124" s="1" t="n">
        <v>5</v>
      </c>
      <c r="I2124" s="1" t="inlineStr">
        <is>
          <t>มี</t>
        </is>
      </c>
      <c r="J2124" s="13" t="n">
        <v>139</v>
      </c>
      <c r="K2124" s="1" t="inlineStr"/>
      <c r="L2124" s="13" t="n">
        <v>99</v>
      </c>
      <c r="M2124" s="1">
        <f>IF(L2124="","ไม่พบใน SG",IF(ABS(J2124-L2124)&lt;0.005,"ตรงกัน","ไม่ตรง"))</f>
        <v/>
      </c>
      <c r="N2124" s="14">
        <f>IF(L2124="","",ROUND(L2124*'สรุป'!$C$6,-1))</f>
        <v/>
      </c>
      <c r="O2124" s="15" t="n"/>
      <c r="P2124" s="15" t="n"/>
      <c r="Q2124" s="10" t="n"/>
      <c r="R2124" s="10" t="n"/>
      <c r="S2124" s="16" t="inlineStr">
        <is>
          <t>https://mstgolf.co.th/products/gf2020102068</t>
        </is>
      </c>
      <c r="T2124" s="1">
        <f>IF(B2124="ไม้กอล์ฟ",J2124,"")</f>
        <v/>
      </c>
    </row>
    <row r="2125">
      <c r="A2125" s="1" t="n">
        <v>3</v>
      </c>
      <c r="B2125" s="1" t="inlineStr">
        <is>
          <t>เสื้อผ้า</t>
        </is>
      </c>
      <c r="C2125" s="1" t="inlineStr">
        <is>
          <t>gf2020102063</t>
        </is>
      </c>
      <c r="D2125" s="1" t="inlineStr">
        <is>
          <t>CALVIN KLEIN Raritan Women's Capri Pants (Navy)</t>
        </is>
      </c>
      <c r="E2125" s="1" t="inlineStr">
        <is>
          <t>CALVIN KLEIN</t>
        </is>
      </c>
      <c r="F2125" s="1" t="inlineStr">
        <is>
          <t>LONG PANTS</t>
        </is>
      </c>
      <c r="G2125" s="1" t="inlineStr">
        <is>
          <t>GF20201020638</t>
        </is>
      </c>
      <c r="H2125" s="1" t="n">
        <v>5</v>
      </c>
      <c r="I2125" s="1" t="inlineStr">
        <is>
          <t>มี</t>
        </is>
      </c>
      <c r="J2125" s="13" t="n">
        <v>139</v>
      </c>
      <c r="K2125" s="1" t="inlineStr"/>
      <c r="L2125" s="13" t="n">
        <v>99</v>
      </c>
      <c r="M2125" s="1">
        <f>IF(L2125="","ไม่พบใน SG",IF(ABS(J2125-L2125)&lt;0.005,"ตรงกัน","ไม่ตรง"))</f>
        <v/>
      </c>
      <c r="N2125" s="14">
        <f>IF(L2125="","",ROUND(L2125*'สรุป'!$C$6,-1))</f>
        <v/>
      </c>
      <c r="O2125" s="15" t="n"/>
      <c r="P2125" s="15" t="n"/>
      <c r="Q2125" s="10" t="n"/>
      <c r="R2125" s="10" t="n"/>
      <c r="S2125" s="16" t="inlineStr">
        <is>
          <t>https://mstgolf.co.th/products/gf2020102063</t>
        </is>
      </c>
      <c r="T2125" s="1">
        <f>IF(B2125="ไม้กอล์ฟ",J2125,"")</f>
        <v/>
      </c>
    </row>
    <row r="2126">
      <c r="A2126" s="1" t="n">
        <v>3</v>
      </c>
      <c r="B2126" s="1" t="inlineStr">
        <is>
          <t>เสื้อผ้า</t>
        </is>
      </c>
      <c r="C2126" s="1" t="inlineStr">
        <is>
          <t>gf2020102065</t>
        </is>
      </c>
      <c r="D2126" s="1" t="inlineStr">
        <is>
          <t>CALVIN KLEIN Raritan Women's Capri Pants (Orchid)</t>
        </is>
      </c>
      <c r="E2126" s="1" t="inlineStr">
        <is>
          <t>CALVIN KLEIN</t>
        </is>
      </c>
      <c r="F2126" s="1" t="inlineStr">
        <is>
          <t>LONG PANTS</t>
        </is>
      </c>
      <c r="G2126" s="1" t="inlineStr">
        <is>
          <t>GF20201020658</t>
        </is>
      </c>
      <c r="H2126" s="1" t="n">
        <v>5</v>
      </c>
      <c r="I2126" s="1" t="inlineStr">
        <is>
          <t>มี</t>
        </is>
      </c>
      <c r="J2126" s="13" t="n">
        <v>139</v>
      </c>
      <c r="K2126" s="1" t="inlineStr"/>
      <c r="L2126" s="13" t="n">
        <v>99</v>
      </c>
      <c r="M2126" s="1">
        <f>IF(L2126="","ไม่พบใน SG",IF(ABS(J2126-L2126)&lt;0.005,"ตรงกัน","ไม่ตรง"))</f>
        <v/>
      </c>
      <c r="N2126" s="14">
        <f>IF(L2126="","",ROUND(L2126*'สรุป'!$C$6,-1))</f>
        <v/>
      </c>
      <c r="O2126" s="15" t="n"/>
      <c r="P2126" s="15" t="n"/>
      <c r="Q2126" s="10" t="n"/>
      <c r="R2126" s="10" t="n"/>
      <c r="S2126" s="16" t="inlineStr">
        <is>
          <t>https://mstgolf.co.th/products/gf2020102065</t>
        </is>
      </c>
      <c r="T2126" s="1">
        <f>IF(B2126="ไม้กอล์ฟ",J2126,"")</f>
        <v/>
      </c>
    </row>
    <row r="2127">
      <c r="A2127" s="1" t="n">
        <v>3</v>
      </c>
      <c r="B2127" s="1" t="inlineStr">
        <is>
          <t>เสื้อผ้า</t>
        </is>
      </c>
      <c r="C2127" s="1" t="inlineStr">
        <is>
          <t>gf2020102214</t>
        </is>
      </c>
      <c r="D2127" s="1" t="inlineStr">
        <is>
          <t>GFORE LUXE 4-Way Stretch Twill Men’s Straight Leg Trousers (Twilight)</t>
        </is>
      </c>
      <c r="E2127" s="1" t="inlineStr">
        <is>
          <t>GFORE</t>
        </is>
      </c>
      <c r="F2127" s="1" t="inlineStr">
        <is>
          <t>LONG PANTS</t>
        </is>
      </c>
      <c r="G2127" s="1" t="inlineStr">
        <is>
          <t>GF20201022140</t>
        </is>
      </c>
      <c r="H2127" s="1" t="n">
        <v>7</v>
      </c>
      <c r="I2127" s="1" t="inlineStr">
        <is>
          <t>มี</t>
        </is>
      </c>
      <c r="J2127" s="13" t="n">
        <v>139</v>
      </c>
      <c r="K2127" s="1" t="inlineStr"/>
      <c r="L2127" s="13" t="n">
        <v>139</v>
      </c>
      <c r="M2127" s="1">
        <f>IF(L2127="","ไม่พบใน SG",IF(ABS(J2127-L2127)&lt;0.005,"ตรงกัน","ไม่ตรง"))</f>
        <v/>
      </c>
      <c r="N2127" s="14">
        <f>IF(L2127="","",ROUND(L2127*'สรุป'!$C$6,-1))</f>
        <v/>
      </c>
      <c r="O2127" s="15" t="n"/>
      <c r="P2127" s="15" t="n"/>
      <c r="Q2127" s="10" t="n"/>
      <c r="R2127" s="10" t="n"/>
      <c r="S2127" s="16" t="inlineStr">
        <is>
          <t>https://mstgolf.co.th/products/gf2020102214</t>
        </is>
      </c>
      <c r="T2127" s="1">
        <f>IF(B2127="ไม้กอล์ฟ",J2127,"")</f>
        <v/>
      </c>
    </row>
    <row r="2128">
      <c r="A2128" s="1" t="n">
        <v>3</v>
      </c>
      <c r="B2128" s="1" t="inlineStr">
        <is>
          <t>เสื้อผ้า</t>
        </is>
      </c>
      <c r="C2128" s="1" t="inlineStr">
        <is>
          <t>gf2060101224</t>
        </is>
      </c>
      <c r="D2128" s="1" t="inlineStr">
        <is>
          <t>LE COQ SPORTIF GOLF 30th Anniversary Men's Sweater (Black )</t>
        </is>
      </c>
      <c r="E2128" s="1" t="inlineStr">
        <is>
          <t>LE COQ SPORTIF GOLF</t>
        </is>
      </c>
      <c r="F2128" s="1" t="inlineStr">
        <is>
          <t>TOP</t>
        </is>
      </c>
      <c r="G2128" s="1" t="inlineStr">
        <is>
          <t>GF2060101224S</t>
        </is>
      </c>
      <c r="H2128" s="1" t="n">
        <v>6</v>
      </c>
      <c r="I2128" s="1" t="inlineStr">
        <is>
          <t>มี</t>
        </is>
      </c>
      <c r="J2128" s="13" t="n">
        <v>139</v>
      </c>
      <c r="K2128" s="1" t="inlineStr"/>
      <c r="L2128" s="13" t="n">
        <v>139</v>
      </c>
      <c r="M2128" s="1">
        <f>IF(L2128="","ไม่พบใน SG",IF(ABS(J2128-L2128)&lt;0.005,"ตรงกัน","ไม่ตรง"))</f>
        <v/>
      </c>
      <c r="N2128" s="14">
        <f>IF(L2128="","",ROUND(L2128*'สรุป'!$C$6,-1))</f>
        <v/>
      </c>
      <c r="O2128" s="15" t="n"/>
      <c r="P2128" s="15" t="n"/>
      <c r="Q2128" s="10" t="n"/>
      <c r="R2128" s="10" t="n"/>
      <c r="S2128" s="16" t="inlineStr">
        <is>
          <t>https://mstgolf.co.th/products/gf2060101224</t>
        </is>
      </c>
      <c r="T2128" s="1">
        <f>IF(B2128="ไม้กอล์ฟ",J2128,"")</f>
        <v/>
      </c>
    </row>
    <row r="2129">
      <c r="A2129" s="1" t="n">
        <v>3</v>
      </c>
      <c r="B2129" s="1" t="inlineStr">
        <is>
          <t>เสื้อผ้า</t>
        </is>
      </c>
      <c r="C2129" s="1" t="inlineStr">
        <is>
          <t>gf2060101225</t>
        </is>
      </c>
      <c r="D2129" s="1" t="inlineStr">
        <is>
          <t>LE COQ SPORTIF GOLF 30th Anniversary Men's Sweater (Emerald)</t>
        </is>
      </c>
      <c r="E2129" s="1" t="inlineStr">
        <is>
          <t>LE COQ SPORTIF GOLF</t>
        </is>
      </c>
      <c r="F2129" s="1" t="inlineStr">
        <is>
          <t>TOP</t>
        </is>
      </c>
      <c r="G2129" s="1" t="inlineStr">
        <is>
          <t>GF2060101225S</t>
        </is>
      </c>
      <c r="H2129" s="1" t="n">
        <v>6</v>
      </c>
      <c r="I2129" s="1" t="inlineStr">
        <is>
          <t>มี</t>
        </is>
      </c>
      <c r="J2129" s="13" t="n">
        <v>139</v>
      </c>
      <c r="K2129" s="1" t="inlineStr"/>
      <c r="L2129" s="13" t="n">
        <v>139</v>
      </c>
      <c r="M2129" s="1">
        <f>IF(L2129="","ไม่พบใน SG",IF(ABS(J2129-L2129)&lt;0.005,"ตรงกัน","ไม่ตรง"))</f>
        <v/>
      </c>
      <c r="N2129" s="14">
        <f>IF(L2129="","",ROUND(L2129*'สรุป'!$C$6,-1))</f>
        <v/>
      </c>
      <c r="O2129" s="15" t="n"/>
      <c r="P2129" s="15" t="n"/>
      <c r="Q2129" s="10" t="n"/>
      <c r="R2129" s="10" t="n"/>
      <c r="S2129" s="16" t="inlineStr">
        <is>
          <t>https://mstgolf.co.th/products/gf2060101225</t>
        </is>
      </c>
      <c r="T2129" s="1">
        <f>IF(B2129="ไม้กอล์ฟ",J2129,"")</f>
        <v/>
      </c>
    </row>
    <row r="2130">
      <c r="A2130" s="1" t="n">
        <v>3</v>
      </c>
      <c r="B2130" s="1" t="inlineStr">
        <is>
          <t>เสื้อผ้า</t>
        </is>
      </c>
      <c r="C2130" s="1" t="inlineStr">
        <is>
          <t>gf2060101226</t>
        </is>
      </c>
      <c r="D2130" s="1" t="inlineStr">
        <is>
          <t>LE COQ SPORTIF GOLF 30th Anniversary Men's Sweater (White)</t>
        </is>
      </c>
      <c r="E2130" s="1" t="inlineStr">
        <is>
          <t>LE COQ SPORTIF GOLF</t>
        </is>
      </c>
      <c r="F2130" s="1" t="inlineStr">
        <is>
          <t>TOP</t>
        </is>
      </c>
      <c r="G2130" s="1" t="inlineStr">
        <is>
          <t>GF2060101226S</t>
        </is>
      </c>
      <c r="H2130" s="1" t="n">
        <v>6</v>
      </c>
      <c r="I2130" s="1" t="inlineStr">
        <is>
          <t>มี</t>
        </is>
      </c>
      <c r="J2130" s="13" t="n">
        <v>139</v>
      </c>
      <c r="K2130" s="1" t="inlineStr"/>
      <c r="L2130" s="13" t="n">
        <v>139</v>
      </c>
      <c r="M2130" s="1">
        <f>IF(L2130="","ไม่พบใน SG",IF(ABS(J2130-L2130)&lt;0.005,"ตรงกัน","ไม่ตรง"))</f>
        <v/>
      </c>
      <c r="N2130" s="14">
        <f>IF(L2130="","",ROUND(L2130*'สรุป'!$C$6,-1))</f>
        <v/>
      </c>
      <c r="O2130" s="15" t="n"/>
      <c r="P2130" s="15" t="n"/>
      <c r="Q2130" s="10" t="n"/>
      <c r="R2130" s="10" t="n"/>
      <c r="S2130" s="16" t="inlineStr">
        <is>
          <t>https://mstgolf.co.th/products/gf2060101226</t>
        </is>
      </c>
      <c r="T2130" s="1">
        <f>IF(B2130="ไม้กอล์ฟ",J2130,"")</f>
        <v/>
      </c>
    </row>
    <row r="2131">
      <c r="A2131" s="1" t="n">
        <v>3</v>
      </c>
      <c r="B2131" s="1" t="inlineStr">
        <is>
          <t>เสื้อผ้า</t>
        </is>
      </c>
      <c r="C2131" s="1" t="inlineStr">
        <is>
          <t>gf2060101227</t>
        </is>
      </c>
      <c r="D2131" s="1" t="inlineStr">
        <is>
          <t>LE COQ SPORTIF GOLF Men's 2-Way Blouson (Emerald)</t>
        </is>
      </c>
      <c r="E2131" s="1" t="inlineStr">
        <is>
          <t>LE COQ SPORTIF GOLF</t>
        </is>
      </c>
      <c r="F2131" s="1" t="inlineStr">
        <is>
          <t>TOP</t>
        </is>
      </c>
      <c r="G2131" s="1" t="inlineStr">
        <is>
          <t>GF2060101227S</t>
        </is>
      </c>
      <c r="H2131" s="1" t="n">
        <v>6</v>
      </c>
      <c r="I2131" s="1" t="inlineStr">
        <is>
          <t>มี</t>
        </is>
      </c>
      <c r="J2131" s="13" t="n">
        <v>139</v>
      </c>
      <c r="K2131" s="1" t="inlineStr"/>
      <c r="L2131" s="13" t="n">
        <v>139</v>
      </c>
      <c r="M2131" s="1">
        <f>IF(L2131="","ไม่พบใน SG",IF(ABS(J2131-L2131)&lt;0.005,"ตรงกัน","ไม่ตรง"))</f>
        <v/>
      </c>
      <c r="N2131" s="14">
        <f>IF(L2131="","",ROUND(L2131*'สรุป'!$C$6,-1))</f>
        <v/>
      </c>
      <c r="O2131" s="15" t="n"/>
      <c r="P2131" s="15" t="n"/>
      <c r="Q2131" s="10" t="n"/>
      <c r="R2131" s="10" t="n"/>
      <c r="S2131" s="16" t="inlineStr">
        <is>
          <t>https://mstgolf.co.th/products/gf2060101227</t>
        </is>
      </c>
      <c r="T2131" s="1">
        <f>IF(B2131="ไม้กอล์ฟ",J2131,"")</f>
        <v/>
      </c>
    </row>
    <row r="2132">
      <c r="A2132" s="1" t="n">
        <v>3</v>
      </c>
      <c r="B2132" s="1" t="inlineStr">
        <is>
          <t>เสื้อผ้า</t>
        </is>
      </c>
      <c r="C2132" s="1" t="inlineStr">
        <is>
          <t>gf2060101228</t>
        </is>
      </c>
      <c r="D2132" s="1" t="inlineStr">
        <is>
          <t>LE COQ SPORTIF GOLF Men's 2-Way Blouson (Navy)</t>
        </is>
      </c>
      <c r="E2132" s="1" t="inlineStr">
        <is>
          <t>LE COQ SPORTIF GOLF</t>
        </is>
      </c>
      <c r="F2132" s="1" t="inlineStr">
        <is>
          <t>TOP</t>
        </is>
      </c>
      <c r="G2132" s="1" t="inlineStr">
        <is>
          <t>GF2060101228S</t>
        </is>
      </c>
      <c r="H2132" s="1" t="n">
        <v>6</v>
      </c>
      <c r="I2132" s="1" t="inlineStr">
        <is>
          <t>มี</t>
        </is>
      </c>
      <c r="J2132" s="13" t="n">
        <v>139</v>
      </c>
      <c r="K2132" s="1" t="inlineStr"/>
      <c r="L2132" s="13" t="n">
        <v>139</v>
      </c>
      <c r="M2132" s="1">
        <f>IF(L2132="","ไม่พบใน SG",IF(ABS(J2132-L2132)&lt;0.005,"ตรงกัน","ไม่ตรง"))</f>
        <v/>
      </c>
      <c r="N2132" s="14">
        <f>IF(L2132="","",ROUND(L2132*'สรุป'!$C$6,-1))</f>
        <v/>
      </c>
      <c r="O2132" s="15" t="n"/>
      <c r="P2132" s="15" t="n"/>
      <c r="Q2132" s="10" t="n"/>
      <c r="R2132" s="10" t="n"/>
      <c r="S2132" s="16" t="inlineStr">
        <is>
          <t>https://mstgolf.co.th/products/gf2060101228</t>
        </is>
      </c>
      <c r="T2132" s="1">
        <f>IF(B2132="ไม้กอล์ฟ",J2132,"")</f>
        <v/>
      </c>
    </row>
    <row r="2133">
      <c r="A2133" s="1" t="n">
        <v>3</v>
      </c>
      <c r="B2133" s="1" t="inlineStr">
        <is>
          <t>เสื้อผ้า</t>
        </is>
      </c>
      <c r="C2133" s="1" t="inlineStr">
        <is>
          <t>gf2020300150</t>
        </is>
      </c>
      <c r="D2133" s="1" t="inlineStr">
        <is>
          <t>LE COQ SPORTIF GOLF Women's Pleated Skort (Beige)</t>
        </is>
      </c>
      <c r="E2133" s="1" t="inlineStr">
        <is>
          <t>LE COQ SPORTIF GOLF</t>
        </is>
      </c>
      <c r="F2133" s="1" t="inlineStr">
        <is>
          <t>SKORTS</t>
        </is>
      </c>
      <c r="G2133" s="1" t="inlineStr">
        <is>
          <t>GF2020300150S</t>
        </is>
      </c>
      <c r="H2133" s="1" t="n">
        <v>6</v>
      </c>
      <c r="I2133" s="1" t="inlineStr">
        <is>
          <t>มี</t>
        </is>
      </c>
      <c r="J2133" s="13" t="n">
        <v>139</v>
      </c>
      <c r="K2133" s="1" t="inlineStr"/>
      <c r="L2133" s="13" t="n">
        <v>139</v>
      </c>
      <c r="M2133" s="1">
        <f>IF(L2133="","ไม่พบใน SG",IF(ABS(J2133-L2133)&lt;0.005,"ตรงกัน","ไม่ตรง"))</f>
        <v/>
      </c>
      <c r="N2133" s="14">
        <f>IF(L2133="","",ROUND(L2133*'สรุป'!$C$6,-1))</f>
        <v/>
      </c>
      <c r="O2133" s="15" t="n"/>
      <c r="P2133" s="15" t="n"/>
      <c r="Q2133" s="10" t="n"/>
      <c r="R2133" s="10" t="n"/>
      <c r="S2133" s="16" t="inlineStr">
        <is>
          <t>https://mstgolf.co.th/products/gf2020300150</t>
        </is>
      </c>
      <c r="T2133" s="1">
        <f>IF(B2133="ไม้กอล์ฟ",J2133,"")</f>
        <v/>
      </c>
    </row>
    <row r="2134">
      <c r="A2134" s="1" t="n">
        <v>3</v>
      </c>
      <c r="B2134" s="1" t="inlineStr">
        <is>
          <t>เสื้อผ้า</t>
        </is>
      </c>
      <c r="C2134" s="1" t="inlineStr">
        <is>
          <t>gf2020300151</t>
        </is>
      </c>
      <c r="D2134" s="1" t="inlineStr">
        <is>
          <t>LE COQ SPORTIF GOLF Women's Pleated Skort (Navy)</t>
        </is>
      </c>
      <c r="E2134" s="1" t="inlineStr">
        <is>
          <t>LE COQ SPORTIF GOLF</t>
        </is>
      </c>
      <c r="F2134" s="1" t="inlineStr">
        <is>
          <t>SKORTS</t>
        </is>
      </c>
      <c r="G2134" s="1" t="inlineStr">
        <is>
          <t>GF2020300151S</t>
        </is>
      </c>
      <c r="H2134" s="1" t="n">
        <v>7</v>
      </c>
      <c r="I2134" s="1" t="inlineStr">
        <is>
          <t>มี</t>
        </is>
      </c>
      <c r="J2134" s="13" t="n">
        <v>139</v>
      </c>
      <c r="K2134" s="1" t="inlineStr"/>
      <c r="L2134" s="13" t="n">
        <v>139</v>
      </c>
      <c r="M2134" s="1">
        <f>IF(L2134="","ไม่พบใน SG",IF(ABS(J2134-L2134)&lt;0.005,"ตรงกัน","ไม่ตรง"))</f>
        <v/>
      </c>
      <c r="N2134" s="14">
        <f>IF(L2134="","",ROUND(L2134*'สรุป'!$C$6,-1))</f>
        <v/>
      </c>
      <c r="O2134" s="15" t="n"/>
      <c r="P2134" s="15" t="n"/>
      <c r="Q2134" s="10" t="n"/>
      <c r="R2134" s="10" t="n"/>
      <c r="S2134" s="16" t="inlineStr">
        <is>
          <t>https://mstgolf.co.th/products/gf2020300151</t>
        </is>
      </c>
      <c r="T2134" s="1">
        <f>IF(B2134="ไม้กอล์ฟ",J2134,"")</f>
        <v/>
      </c>
    </row>
    <row r="2135">
      <c r="A2135" s="1" t="n">
        <v>3</v>
      </c>
      <c r="B2135" s="1" t="inlineStr">
        <is>
          <t>เสื้อผ้า</t>
        </is>
      </c>
      <c r="C2135" s="1" t="inlineStr">
        <is>
          <t>gf2020300152</t>
        </is>
      </c>
      <c r="D2135" s="1" t="inlineStr">
        <is>
          <t>LE COQ SPORTIF GOLF Women's Pleated Skort (White)</t>
        </is>
      </c>
      <c r="E2135" s="1" t="inlineStr">
        <is>
          <t>LE COQ SPORTIF GOLF</t>
        </is>
      </c>
      <c r="F2135" s="1" t="inlineStr">
        <is>
          <t>SKORTS</t>
        </is>
      </c>
      <c r="G2135" s="1" t="inlineStr">
        <is>
          <t>GF2020300152S</t>
        </is>
      </c>
      <c r="H2135" s="1" t="n">
        <v>7</v>
      </c>
      <c r="I2135" s="1" t="inlineStr">
        <is>
          <t>มี</t>
        </is>
      </c>
      <c r="J2135" s="13" t="n">
        <v>139</v>
      </c>
      <c r="K2135" s="1" t="inlineStr"/>
      <c r="L2135" s="13" t="n">
        <v>139</v>
      </c>
      <c r="M2135" s="1">
        <f>IF(L2135="","ไม่พบใน SG",IF(ABS(J2135-L2135)&lt;0.005,"ตรงกัน","ไม่ตรง"))</f>
        <v/>
      </c>
      <c r="N2135" s="14">
        <f>IF(L2135="","",ROUND(L2135*'สรุป'!$C$6,-1))</f>
        <v/>
      </c>
      <c r="O2135" s="15" t="n"/>
      <c r="P2135" s="15" t="n"/>
      <c r="Q2135" s="10" t="n"/>
      <c r="R2135" s="10" t="n"/>
      <c r="S2135" s="16" t="inlineStr">
        <is>
          <t>https://mstgolf.co.th/products/gf2020300152</t>
        </is>
      </c>
      <c r="T2135" s="1">
        <f>IF(B2135="ไม้กอล์ฟ",J2135,"")</f>
        <v/>
      </c>
    </row>
    <row r="2136">
      <c r="A2136" s="1" t="n">
        <v>3</v>
      </c>
      <c r="B2136" s="1" t="inlineStr">
        <is>
          <t>เสื้อผ้า</t>
        </is>
      </c>
      <c r="C2136" s="1" t="inlineStr">
        <is>
          <t>gf2040119061</t>
        </is>
      </c>
      <c r="D2136" s="1" t="inlineStr">
        <is>
          <t>OAKLEY Japan Ice Smash Men’s Polo (Bone)</t>
        </is>
      </c>
      <c r="E2136" s="1" t="inlineStr">
        <is>
          <t>OAKLEY</t>
        </is>
      </c>
      <c r="F2136" s="1" t="inlineStr">
        <is>
          <t>SHORT SLEEVES</t>
        </is>
      </c>
      <c r="G2136" s="1" t="inlineStr">
        <is>
          <t>GF2040119061XS</t>
        </is>
      </c>
      <c r="H2136" s="1" t="n">
        <v>5</v>
      </c>
      <c r="I2136" s="1" t="inlineStr">
        <is>
          <t>มี</t>
        </is>
      </c>
      <c r="J2136" s="13" t="n">
        <v>139</v>
      </c>
      <c r="K2136" s="1" t="inlineStr"/>
      <c r="L2136" s="13" t="n">
        <v>99</v>
      </c>
      <c r="M2136" s="1">
        <f>IF(L2136="","ไม่พบใน SG",IF(ABS(J2136-L2136)&lt;0.005,"ตรงกัน","ไม่ตรง"))</f>
        <v/>
      </c>
      <c r="N2136" s="14">
        <f>IF(L2136="","",ROUND(L2136*'สรุป'!$C$6,-1))</f>
        <v/>
      </c>
      <c r="O2136" s="15" t="n"/>
      <c r="P2136" s="15" t="n"/>
      <c r="Q2136" s="10" t="n"/>
      <c r="R2136" s="10" t="n"/>
      <c r="S2136" s="16" t="inlineStr">
        <is>
          <t>https://mstgolf.co.th/products/gf2040119061</t>
        </is>
      </c>
      <c r="T2136" s="1">
        <f>IF(B2136="ไม้กอล์ฟ",J2136,"")</f>
        <v/>
      </c>
    </row>
    <row r="2137">
      <c r="A2137" s="1" t="n">
        <v>3</v>
      </c>
      <c r="B2137" s="1" t="inlineStr">
        <is>
          <t>เสื้อผ้า</t>
        </is>
      </c>
      <c r="C2137" s="1" t="inlineStr">
        <is>
          <t>gf2040119071</t>
        </is>
      </c>
      <c r="D2137" s="1" t="inlineStr">
        <is>
          <t>OAKLEY Japan Ice Smash Men’s Polo (Light Curry)</t>
        </is>
      </c>
      <c r="E2137" s="1" t="inlineStr">
        <is>
          <t>OAKLEY</t>
        </is>
      </c>
      <c r="F2137" s="1" t="inlineStr">
        <is>
          <t>SHORT SLEEVES</t>
        </is>
      </c>
      <c r="G2137" s="1" t="inlineStr">
        <is>
          <t>GF2040119071XS</t>
        </is>
      </c>
      <c r="H2137" s="1" t="n">
        <v>5</v>
      </c>
      <c r="I2137" s="1" t="inlineStr">
        <is>
          <t>มี</t>
        </is>
      </c>
      <c r="J2137" s="13" t="n">
        <v>139</v>
      </c>
      <c r="K2137" s="1" t="inlineStr"/>
      <c r="L2137" s="13" t="n"/>
      <c r="M2137" s="1">
        <f>IF(L2137="","ไม่พบใน SG",IF(ABS(J2137-L2137)&lt;0.005,"ตรงกัน","ไม่ตรง"))</f>
        <v/>
      </c>
      <c r="N2137" s="14">
        <f>IF(L2137="","",ROUND(L2137*'สรุป'!$C$6,-1))</f>
        <v/>
      </c>
      <c r="O2137" s="15" t="n"/>
      <c r="P2137" s="15" t="n"/>
      <c r="Q2137" s="10" t="n"/>
      <c r="R2137" s="10" t="n"/>
      <c r="S2137" s="16" t="inlineStr">
        <is>
          <t>https://mstgolf.co.th/products/gf2040119071</t>
        </is>
      </c>
      <c r="T2137" s="1">
        <f>IF(B2137="ไม้กอล์ฟ",J2137,"")</f>
        <v/>
      </c>
    </row>
    <row r="2138">
      <c r="A2138" s="1" t="n">
        <v>3</v>
      </c>
      <c r="B2138" s="1" t="inlineStr">
        <is>
          <t>เสื้อผ้า</t>
        </is>
      </c>
      <c r="C2138" s="1" t="inlineStr">
        <is>
          <t>gf2040119062</t>
        </is>
      </c>
      <c r="D2138" s="1" t="inlineStr">
        <is>
          <t>OAKLEY Japan Skull Sleek Stripe Men's Polo (Black)</t>
        </is>
      </c>
      <c r="E2138" s="1" t="inlineStr">
        <is>
          <t>OAKLEY</t>
        </is>
      </c>
      <c r="F2138" s="1" t="inlineStr">
        <is>
          <t>SHORT SLEEVES</t>
        </is>
      </c>
      <c r="G2138" s="1" t="inlineStr">
        <is>
          <t>GF2040119062XS</t>
        </is>
      </c>
      <c r="H2138" s="1" t="n">
        <v>5</v>
      </c>
      <c r="I2138" s="1" t="inlineStr">
        <is>
          <t>มี</t>
        </is>
      </c>
      <c r="J2138" s="13" t="n">
        <v>139</v>
      </c>
      <c r="K2138" s="1" t="inlineStr"/>
      <c r="L2138" s="13" t="n">
        <v>99</v>
      </c>
      <c r="M2138" s="1">
        <f>IF(L2138="","ไม่พบใน SG",IF(ABS(J2138-L2138)&lt;0.005,"ตรงกัน","ไม่ตรง"))</f>
        <v/>
      </c>
      <c r="N2138" s="14">
        <f>IF(L2138="","",ROUND(L2138*'สรุป'!$C$6,-1))</f>
        <v/>
      </c>
      <c r="O2138" s="15" t="n"/>
      <c r="P2138" s="15" t="n"/>
      <c r="Q2138" s="10" t="n"/>
      <c r="R2138" s="10" t="n"/>
      <c r="S2138" s="16" t="inlineStr">
        <is>
          <t>https://mstgolf.co.th/products/gf2040119062</t>
        </is>
      </c>
      <c r="T2138" s="1">
        <f>IF(B2138="ไม้กอล์ฟ",J2138,"")</f>
        <v/>
      </c>
    </row>
    <row r="2139">
      <c r="A2139" s="1" t="n">
        <v>3</v>
      </c>
      <c r="B2139" s="1" t="inlineStr">
        <is>
          <t>เสื้อผ้า</t>
        </is>
      </c>
      <c r="C2139" s="1" t="inlineStr">
        <is>
          <t>gf2040119063</t>
        </is>
      </c>
      <c r="D2139" s="1" t="inlineStr">
        <is>
          <t>OAKLEY Japan Skull Sleek Stripe Men's Polo (White)</t>
        </is>
      </c>
      <c r="E2139" s="1" t="inlineStr">
        <is>
          <t>OAKLEY</t>
        </is>
      </c>
      <c r="F2139" s="1" t="inlineStr">
        <is>
          <t>SHORT SLEEVES</t>
        </is>
      </c>
      <c r="G2139" s="1" t="inlineStr">
        <is>
          <t>GF2040119063XS</t>
        </is>
      </c>
      <c r="H2139" s="1" t="n">
        <v>5</v>
      </c>
      <c r="I2139" s="1" t="inlineStr">
        <is>
          <t>มี</t>
        </is>
      </c>
      <c r="J2139" s="13" t="n">
        <v>139</v>
      </c>
      <c r="K2139" s="1" t="inlineStr"/>
      <c r="L2139" s="13" t="n">
        <v>99</v>
      </c>
      <c r="M2139" s="1">
        <f>IF(L2139="","ไม่พบใน SG",IF(ABS(J2139-L2139)&lt;0.005,"ตรงกัน","ไม่ตรง"))</f>
        <v/>
      </c>
      <c r="N2139" s="14">
        <f>IF(L2139="","",ROUND(L2139*'สรุป'!$C$6,-1))</f>
        <v/>
      </c>
      <c r="O2139" s="15" t="n"/>
      <c r="P2139" s="15" t="n"/>
      <c r="Q2139" s="10" t="n"/>
      <c r="R2139" s="10" t="n"/>
      <c r="S2139" s="16" t="inlineStr">
        <is>
          <t>https://mstgolf.co.th/products/gf2040119063</t>
        </is>
      </c>
      <c r="T2139" s="1">
        <f>IF(B2139="ไม้กอล์ฟ",J2139,"")</f>
        <v/>
      </c>
    </row>
    <row r="2140">
      <c r="A2140" s="1" t="n">
        <v>3</v>
      </c>
      <c r="B2140" s="1" t="inlineStr">
        <is>
          <t>เสื้อผ้า</t>
        </is>
      </c>
      <c r="C2140" s="1" t="inlineStr">
        <is>
          <t>gf2040115639</t>
        </is>
      </c>
      <c r="D2140" s="1" t="inlineStr">
        <is>
          <t>PXG Essential Men's Polo (White)</t>
        </is>
      </c>
      <c r="E2140" s="1" t="inlineStr">
        <is>
          <t>PXG</t>
        </is>
      </c>
      <c r="F2140" s="1" t="inlineStr">
        <is>
          <t>SHORT SLEEVES</t>
        </is>
      </c>
      <c r="G2140" s="1" t="inlineStr">
        <is>
          <t>GF2040115639S</t>
        </is>
      </c>
      <c r="H2140" s="1" t="n">
        <v>5</v>
      </c>
      <c r="I2140" s="1" t="inlineStr">
        <is>
          <t>มี</t>
        </is>
      </c>
      <c r="J2140" s="13" t="n">
        <v>139</v>
      </c>
      <c r="K2140" s="1" t="inlineStr"/>
      <c r="L2140" s="13" t="n">
        <v>139</v>
      </c>
      <c r="M2140" s="1">
        <f>IF(L2140="","ไม่พบใน SG",IF(ABS(J2140-L2140)&lt;0.005,"ตรงกัน","ไม่ตรง"))</f>
        <v/>
      </c>
      <c r="N2140" s="14">
        <f>IF(L2140="","",ROUND(L2140*'สรุป'!$C$6,-1))</f>
        <v/>
      </c>
      <c r="O2140" s="15" t="n"/>
      <c r="P2140" s="15" t="n"/>
      <c r="Q2140" s="10" t="n"/>
      <c r="R2140" s="10" t="n"/>
      <c r="S2140" s="16" t="inlineStr">
        <is>
          <t>https://mstgolf.co.th/products/gf2040115639</t>
        </is>
      </c>
      <c r="T2140" s="1">
        <f>IF(B2140="ไม้กอล์ฟ",J2140,"")</f>
        <v/>
      </c>
    </row>
    <row r="2141">
      <c r="A2141" s="1" t="n">
        <v>3</v>
      </c>
      <c r="B2141" s="1" t="inlineStr">
        <is>
          <t>เสื้อผ้า</t>
        </is>
      </c>
      <c r="C2141" s="1" t="inlineStr">
        <is>
          <t>gf2020102304</t>
        </is>
      </c>
      <c r="D2141" s="1" t="inlineStr">
        <is>
          <t>TAYLORMADE Basic Women's Pants (Navy)</t>
        </is>
      </c>
      <c r="E2141" s="1" t="inlineStr">
        <is>
          <t>TAYLORMADE</t>
        </is>
      </c>
      <c r="F2141" s="1" t="inlineStr">
        <is>
          <t>LONG PANTS</t>
        </is>
      </c>
      <c r="G2141" s="1" t="inlineStr">
        <is>
          <t>GF2020102304XS</t>
        </is>
      </c>
      <c r="H2141" s="1" t="n">
        <v>5</v>
      </c>
      <c r="I2141" s="1" t="inlineStr">
        <is>
          <t>มี</t>
        </is>
      </c>
      <c r="J2141" s="13" t="n">
        <v>139</v>
      </c>
      <c r="K2141" s="1" t="inlineStr"/>
      <c r="L2141" s="13" t="n">
        <v>99</v>
      </c>
      <c r="M2141" s="1">
        <f>IF(L2141="","ไม่พบใน SG",IF(ABS(J2141-L2141)&lt;0.005,"ตรงกัน","ไม่ตรง"))</f>
        <v/>
      </c>
      <c r="N2141" s="14">
        <f>IF(L2141="","",ROUND(L2141*'สรุป'!$C$6,-1))</f>
        <v/>
      </c>
      <c r="O2141" s="15" t="n"/>
      <c r="P2141" s="15" t="n"/>
      <c r="Q2141" s="10" t="n"/>
      <c r="R2141" s="10" t="n"/>
      <c r="S2141" s="16" t="inlineStr">
        <is>
          <t>https://mstgolf.co.th/products/gf2020102304</t>
        </is>
      </c>
      <c r="T2141" s="1">
        <f>IF(B2141="ไม้กอล์ฟ",J2141,"")</f>
        <v/>
      </c>
    </row>
    <row r="2142">
      <c r="A2142" s="1" t="n">
        <v>3</v>
      </c>
      <c r="B2142" s="1" t="inlineStr">
        <is>
          <t>เสื้อผ้า</t>
        </is>
      </c>
      <c r="C2142" s="1" t="inlineStr">
        <is>
          <t>gf2020202063</t>
        </is>
      </c>
      <c r="D2142" s="1" t="inlineStr">
        <is>
          <t>TAYLORMADE Block Pleated Skort (Navy)</t>
        </is>
      </c>
      <c r="E2142" s="1" t="inlineStr">
        <is>
          <t>TAYLORMADE</t>
        </is>
      </c>
      <c r="F2142" s="1" t="inlineStr">
        <is>
          <t>SHORT PANTS</t>
        </is>
      </c>
      <c r="G2142" s="1" t="inlineStr">
        <is>
          <t>GF2020202063XS</t>
        </is>
      </c>
      <c r="H2142" s="1" t="n">
        <v>6</v>
      </c>
      <c r="I2142" s="1" t="inlineStr">
        <is>
          <t>มี</t>
        </is>
      </c>
      <c r="J2142" s="13" t="n">
        <v>139</v>
      </c>
      <c r="K2142" s="1" t="inlineStr"/>
      <c r="L2142" s="13" t="n">
        <v>79</v>
      </c>
      <c r="M2142" s="1">
        <f>IF(L2142="","ไม่พบใน SG",IF(ABS(J2142-L2142)&lt;0.005,"ตรงกัน","ไม่ตรง"))</f>
        <v/>
      </c>
      <c r="N2142" s="14">
        <f>IF(L2142="","",ROUND(L2142*'สรุป'!$C$6,-1))</f>
        <v/>
      </c>
      <c r="O2142" s="15" t="n"/>
      <c r="P2142" s="15" t="n"/>
      <c r="Q2142" s="10" t="n"/>
      <c r="R2142" s="10" t="n"/>
      <c r="S2142" s="16" t="inlineStr">
        <is>
          <t>https://mstgolf.co.th/products/gf2020202063</t>
        </is>
      </c>
      <c r="T2142" s="1">
        <f>IF(B2142="ไม้กอล์ฟ",J2142,"")</f>
        <v/>
      </c>
    </row>
    <row r="2143">
      <c r="A2143" s="1" t="n">
        <v>3</v>
      </c>
      <c r="B2143" s="1" t="inlineStr">
        <is>
          <t>เสื้อผ้า</t>
        </is>
      </c>
      <c r="C2143" s="1" t="inlineStr">
        <is>
          <t>gf2040120776</t>
        </is>
      </c>
      <c r="D2143" s="1" t="inlineStr">
        <is>
          <t>TAYLORMADE Edgy Basic Men's Polo (White)</t>
        </is>
      </c>
      <c r="E2143" s="1" t="inlineStr">
        <is>
          <t>TAYLORMADE</t>
        </is>
      </c>
      <c r="F2143" s="1" t="inlineStr">
        <is>
          <t>SHORT SLEEVES</t>
        </is>
      </c>
      <c r="G2143" s="1" t="inlineStr">
        <is>
          <t>GF2040120776M</t>
        </is>
      </c>
      <c r="H2143" s="1" t="n">
        <v>5</v>
      </c>
      <c r="I2143" s="1" t="inlineStr">
        <is>
          <t>มี</t>
        </is>
      </c>
      <c r="J2143" s="13" t="n">
        <v>139</v>
      </c>
      <c r="K2143" s="1" t="inlineStr"/>
      <c r="L2143" s="13" t="n">
        <v>139</v>
      </c>
      <c r="M2143" s="1">
        <f>IF(L2143="","ไม่พบใน SG",IF(ABS(J2143-L2143)&lt;0.005,"ตรงกัน","ไม่ตรง"))</f>
        <v/>
      </c>
      <c r="N2143" s="14">
        <f>IF(L2143="","",ROUND(L2143*'สรุป'!$C$6,-1))</f>
        <v/>
      </c>
      <c r="O2143" s="15" t="n"/>
      <c r="P2143" s="15" t="n"/>
      <c r="Q2143" s="10" t="n"/>
      <c r="R2143" s="10" t="n"/>
      <c r="S2143" s="16" t="inlineStr">
        <is>
          <t>https://mstgolf.co.th/products/gf2040120776</t>
        </is>
      </c>
      <c r="T2143" s="1">
        <f>IF(B2143="ไม้กอล์ฟ",J2143,"")</f>
        <v/>
      </c>
    </row>
    <row r="2144">
      <c r="A2144" s="1" t="n">
        <v>3</v>
      </c>
      <c r="B2144" s="1" t="inlineStr">
        <is>
          <t>เสื้อผ้า</t>
        </is>
      </c>
      <c r="C2144" s="1" t="inlineStr">
        <is>
          <t>gf2040120780</t>
        </is>
      </c>
      <c r="D2144" s="1" t="inlineStr">
        <is>
          <t>TAYLORMADE Edgy Basic Women's Polo (Pink)</t>
        </is>
      </c>
      <c r="E2144" s="1" t="inlineStr">
        <is>
          <t>TAYLORMADE</t>
        </is>
      </c>
      <c r="F2144" s="1" t="inlineStr">
        <is>
          <t>SHORT SLEEVES</t>
        </is>
      </c>
      <c r="G2144" s="1" t="inlineStr">
        <is>
          <t>GF2040120780XS</t>
        </is>
      </c>
      <c r="H2144" s="1" t="n">
        <v>6</v>
      </c>
      <c r="I2144" s="1" t="inlineStr">
        <is>
          <t>มี</t>
        </is>
      </c>
      <c r="J2144" s="13" t="n">
        <v>139</v>
      </c>
      <c r="K2144" s="1" t="inlineStr"/>
      <c r="L2144" s="13" t="n">
        <v>139</v>
      </c>
      <c r="M2144" s="1">
        <f>IF(L2144="","ไม่พบใน SG",IF(ABS(J2144-L2144)&lt;0.005,"ตรงกัน","ไม่ตรง"))</f>
        <v/>
      </c>
      <c r="N2144" s="14">
        <f>IF(L2144="","",ROUND(L2144*'สรุป'!$C$6,-1))</f>
        <v/>
      </c>
      <c r="O2144" s="15" t="n"/>
      <c r="P2144" s="15" t="n"/>
      <c r="Q2144" s="10" t="n"/>
      <c r="R2144" s="10" t="n"/>
      <c r="S2144" s="16" t="inlineStr">
        <is>
          <t>https://mstgolf.co.th/products/gf2040120780</t>
        </is>
      </c>
      <c r="T2144" s="1">
        <f>IF(B2144="ไม้กอล์ฟ",J2144,"")</f>
        <v/>
      </c>
    </row>
    <row r="2145">
      <c r="A2145" s="1" t="n">
        <v>3</v>
      </c>
      <c r="B2145" s="1" t="inlineStr">
        <is>
          <t>เสื้อผ้า</t>
        </is>
      </c>
      <c r="C2145" s="1" t="inlineStr">
        <is>
          <t>gf2020102081</t>
        </is>
      </c>
      <c r="D2145" s="1" t="inlineStr">
        <is>
          <t>TAYLORMADE Link Ankle Women's Pants (Black)</t>
        </is>
      </c>
      <c r="E2145" s="1" t="inlineStr">
        <is>
          <t>TAYLORMADE</t>
        </is>
      </c>
      <c r="F2145" s="1" t="inlineStr">
        <is>
          <t>LONG PANTS</t>
        </is>
      </c>
      <c r="G2145" s="1" t="inlineStr">
        <is>
          <t>GF2020102081XS</t>
        </is>
      </c>
      <c r="H2145" s="1" t="n">
        <v>6</v>
      </c>
      <c r="I2145" s="1" t="inlineStr">
        <is>
          <t>มี</t>
        </is>
      </c>
      <c r="J2145" s="13" t="n">
        <v>139</v>
      </c>
      <c r="K2145" s="1" t="inlineStr"/>
      <c r="L2145" s="13" t="n">
        <v>99</v>
      </c>
      <c r="M2145" s="1">
        <f>IF(L2145="","ไม่พบใน SG",IF(ABS(J2145-L2145)&lt;0.005,"ตรงกัน","ไม่ตรง"))</f>
        <v/>
      </c>
      <c r="N2145" s="14">
        <f>IF(L2145="","",ROUND(L2145*'สรุป'!$C$6,-1))</f>
        <v/>
      </c>
      <c r="O2145" s="15" t="n"/>
      <c r="P2145" s="15" t="n"/>
      <c r="Q2145" s="10" t="n"/>
      <c r="R2145" s="10" t="n"/>
      <c r="S2145" s="16" t="inlineStr">
        <is>
          <t>https://mstgolf.co.th/products/gf2020102081</t>
        </is>
      </c>
      <c r="T2145" s="1">
        <f>IF(B2145="ไม้กอล์ฟ",J2145,"")</f>
        <v/>
      </c>
    </row>
    <row r="2146">
      <c r="A2146" s="1" t="n">
        <v>3</v>
      </c>
      <c r="B2146" s="1" t="inlineStr">
        <is>
          <t>เสื้อผ้า</t>
        </is>
      </c>
      <c r="C2146" s="1" t="inlineStr">
        <is>
          <t>gf2020102161</t>
        </is>
      </c>
      <c r="D2146" s="1" t="inlineStr">
        <is>
          <t>TAYLORMADE Textbird Basic Men's Tapered Pants (White)</t>
        </is>
      </c>
      <c r="E2146" s="1" t="inlineStr">
        <is>
          <t>TAYLORMADE</t>
        </is>
      </c>
      <c r="F2146" s="1" t="inlineStr">
        <is>
          <t>LONG PANTS</t>
        </is>
      </c>
      <c r="G2146" s="1" t="inlineStr">
        <is>
          <t>GF202010216182</t>
        </is>
      </c>
      <c r="H2146" s="1" t="n">
        <v>5</v>
      </c>
      <c r="I2146" s="1" t="inlineStr">
        <is>
          <t>มี</t>
        </is>
      </c>
      <c r="J2146" s="13" t="n">
        <v>139</v>
      </c>
      <c r="K2146" s="1" t="inlineStr"/>
      <c r="L2146" s="13" t="n">
        <v>139</v>
      </c>
      <c r="M2146" s="1">
        <f>IF(L2146="","ไม่พบใน SG",IF(ABS(J2146-L2146)&lt;0.005,"ตรงกัน","ไม่ตรง"))</f>
        <v/>
      </c>
      <c r="N2146" s="14">
        <f>IF(L2146="","",ROUND(L2146*'สรุป'!$C$6,-1))</f>
        <v/>
      </c>
      <c r="O2146" s="15" t="n"/>
      <c r="P2146" s="15" t="n"/>
      <c r="Q2146" s="10" t="n"/>
      <c r="R2146" s="10" t="n"/>
      <c r="S2146" s="16" t="inlineStr">
        <is>
          <t>https://mstgolf.co.th/products/gf2020102161</t>
        </is>
      </c>
      <c r="T2146" s="1">
        <f>IF(B2146="ไม้กอล์ฟ",J2146,"")</f>
        <v/>
      </c>
    </row>
    <row r="2147">
      <c r="A2147" s="1" t="n">
        <v>3</v>
      </c>
      <c r="B2147" s="1" t="inlineStr">
        <is>
          <t>เสื้อผ้า</t>
        </is>
      </c>
      <c r="C2147" s="1" t="inlineStr">
        <is>
          <t>gf2040119915</t>
        </is>
      </c>
      <c r="D2147" s="1" t="inlineStr">
        <is>
          <t>TAYLORMADE x United Arrows Bg Knit Unisex Mock Shirt (Sax)</t>
        </is>
      </c>
      <c r="E2147" s="1" t="inlineStr">
        <is>
          <t>TAYLORMADE</t>
        </is>
      </c>
      <c r="F2147" s="1" t="inlineStr">
        <is>
          <t>SHORT SLEEVES</t>
        </is>
      </c>
      <c r="G2147" s="1" t="inlineStr">
        <is>
          <t>GF2040119915XS</t>
        </is>
      </c>
      <c r="H2147" s="1" t="n">
        <v>7</v>
      </c>
      <c r="I2147" s="1" t="inlineStr">
        <is>
          <t>มี</t>
        </is>
      </c>
      <c r="J2147" s="13" t="n">
        <v>139</v>
      </c>
      <c r="K2147" s="1" t="inlineStr"/>
      <c r="L2147" s="13" t="n">
        <v>139</v>
      </c>
      <c r="M2147" s="1">
        <f>IF(L2147="","ไม่พบใน SG",IF(ABS(J2147-L2147)&lt;0.005,"ตรงกัน","ไม่ตรง"))</f>
        <v/>
      </c>
      <c r="N2147" s="14">
        <f>IF(L2147="","",ROUND(L2147*'สรุป'!$C$6,-1))</f>
        <v/>
      </c>
      <c r="O2147" s="15" t="n"/>
      <c r="P2147" s="15" t="n"/>
      <c r="Q2147" s="10" t="n"/>
      <c r="R2147" s="10" t="n"/>
      <c r="S2147" s="16" t="inlineStr">
        <is>
          <t>https://mstgolf.co.th/products/gf2040119915</t>
        </is>
      </c>
      <c r="T2147" s="1">
        <f>IF(B2147="ไม้กอล์ฟ",J2147,"")</f>
        <v/>
      </c>
    </row>
    <row r="2148">
      <c r="A2148" s="1" t="n">
        <v>3</v>
      </c>
      <c r="B2148" s="1" t="inlineStr">
        <is>
          <t>เสื้อผ้า</t>
        </is>
      </c>
      <c r="C2148" s="1" t="inlineStr">
        <is>
          <t>gf2020101700</t>
        </is>
      </c>
      <c r="D2148" s="1" t="inlineStr">
        <is>
          <t>UNDER ARMOUR Drive Men's Tapered Pants (Black)</t>
        </is>
      </c>
      <c r="E2148" s="1" t="inlineStr">
        <is>
          <t>UNDER ARMOUR</t>
        </is>
      </c>
      <c r="F2148" s="1" t="inlineStr">
        <is>
          <t>LONG PANTS</t>
        </is>
      </c>
      <c r="G2148" s="1" t="inlineStr">
        <is>
          <t>GF202010170028</t>
        </is>
      </c>
      <c r="H2148" s="1" t="n">
        <v>8</v>
      </c>
      <c r="I2148" s="1" t="inlineStr">
        <is>
          <t>มี</t>
        </is>
      </c>
      <c r="J2148" s="13" t="n">
        <v>139</v>
      </c>
      <c r="K2148" s="1" t="inlineStr"/>
      <c r="L2148" s="13" t="n">
        <v>139</v>
      </c>
      <c r="M2148" s="1">
        <f>IF(L2148="","ไม่พบใน SG",IF(ABS(J2148-L2148)&lt;0.005,"ตรงกัน","ไม่ตรง"))</f>
        <v/>
      </c>
      <c r="N2148" s="14">
        <f>IF(L2148="","",ROUND(L2148*'สรุป'!$C$6,-1))</f>
        <v/>
      </c>
      <c r="O2148" s="15" t="n"/>
      <c r="P2148" s="15" t="n"/>
      <c r="Q2148" s="10" t="n"/>
      <c r="R2148" s="10" t="n"/>
      <c r="S2148" s="16" t="inlineStr">
        <is>
          <t>https://mstgolf.co.th/products/gf2020101700</t>
        </is>
      </c>
      <c r="T2148" s="1">
        <f>IF(B2148="ไม้กอล์ฟ",J2148,"")</f>
        <v/>
      </c>
    </row>
    <row r="2149">
      <c r="A2149" s="1" t="n">
        <v>3</v>
      </c>
      <c r="B2149" s="1" t="inlineStr">
        <is>
          <t>เสื้อผ้า</t>
        </is>
      </c>
      <c r="C2149" s="1" t="inlineStr">
        <is>
          <t>gf2020101790</t>
        </is>
      </c>
      <c r="D2149" s="1" t="inlineStr">
        <is>
          <t>UNDER ARMOUR Drive Men's Tapered Pants (Khaki Base)</t>
        </is>
      </c>
      <c r="E2149" s="1" t="inlineStr">
        <is>
          <t>UNDER ARMOUR</t>
        </is>
      </c>
      <c r="F2149" s="1" t="inlineStr">
        <is>
          <t>LONG PANTS</t>
        </is>
      </c>
      <c r="G2149" s="1" t="inlineStr">
        <is>
          <t>GF202010179028</t>
        </is>
      </c>
      <c r="H2149" s="1" t="n">
        <v>7</v>
      </c>
      <c r="I2149" s="1" t="inlineStr">
        <is>
          <t>มี</t>
        </is>
      </c>
      <c r="J2149" s="13" t="n">
        <v>139</v>
      </c>
      <c r="K2149" s="1" t="inlineStr"/>
      <c r="L2149" s="13" t="n">
        <v>139</v>
      </c>
      <c r="M2149" s="1">
        <f>IF(L2149="","ไม่พบใน SG",IF(ABS(J2149-L2149)&lt;0.005,"ตรงกัน","ไม่ตรง"))</f>
        <v/>
      </c>
      <c r="N2149" s="14">
        <f>IF(L2149="","",ROUND(L2149*'สรุป'!$C$6,-1))</f>
        <v/>
      </c>
      <c r="O2149" s="15" t="n"/>
      <c r="P2149" s="15" t="n"/>
      <c r="Q2149" s="10" t="n"/>
      <c r="R2149" s="10" t="n"/>
      <c r="S2149" s="16" t="inlineStr">
        <is>
          <t>https://mstgolf.co.th/products/gf2020101790</t>
        </is>
      </c>
      <c r="T2149" s="1">
        <f>IF(B2149="ไม้กอล์ฟ",J2149,"")</f>
        <v/>
      </c>
    </row>
    <row r="2150">
      <c r="A2150" s="1" t="n">
        <v>3</v>
      </c>
      <c r="B2150" s="1" t="inlineStr">
        <is>
          <t>เสื้อผ้า</t>
        </is>
      </c>
      <c r="C2150" s="1" t="inlineStr">
        <is>
          <t>gf2020102072</t>
        </is>
      </c>
      <c r="D2150" s="1" t="inlineStr">
        <is>
          <t>UNDER ARMOUR Drive Men's Tapered Pants (Midnight Navy)</t>
        </is>
      </c>
      <c r="E2150" s="1" t="inlineStr">
        <is>
          <t>UNDER ARMOUR</t>
        </is>
      </c>
      <c r="F2150" s="1" t="inlineStr">
        <is>
          <t>LONG PANTS</t>
        </is>
      </c>
      <c r="G2150" s="1" t="inlineStr">
        <is>
          <t>GF202010207228</t>
        </is>
      </c>
      <c r="H2150" s="1" t="n">
        <v>7</v>
      </c>
      <c r="I2150" s="1" t="inlineStr">
        <is>
          <t>มี</t>
        </is>
      </c>
      <c r="J2150" s="13" t="n">
        <v>139</v>
      </c>
      <c r="K2150" s="1" t="inlineStr"/>
      <c r="L2150" s="13" t="n">
        <v>139</v>
      </c>
      <c r="M2150" s="1">
        <f>IF(L2150="","ไม่พบใน SG",IF(ABS(J2150-L2150)&lt;0.005,"ตรงกัน","ไม่ตรง"))</f>
        <v/>
      </c>
      <c r="N2150" s="14">
        <f>IF(L2150="","",ROUND(L2150*'สรุป'!$C$6,-1))</f>
        <v/>
      </c>
      <c r="O2150" s="15" t="n"/>
      <c r="P2150" s="15" t="n"/>
      <c r="Q2150" s="10" t="n"/>
      <c r="R2150" s="10" t="n"/>
      <c r="S2150" s="16" t="inlineStr">
        <is>
          <t>https://mstgolf.co.th/products/gf2020102072</t>
        </is>
      </c>
      <c r="T2150" s="1">
        <f>IF(B2150="ไม้กอล์ฟ",J2150,"")</f>
        <v/>
      </c>
    </row>
    <row r="2151">
      <c r="A2151" s="1" t="n">
        <v>3</v>
      </c>
      <c r="B2151" s="1" t="inlineStr">
        <is>
          <t>เสื้อผ้า</t>
        </is>
      </c>
      <c r="C2151" s="1" t="inlineStr">
        <is>
          <t>gf2020101701</t>
        </is>
      </c>
      <c r="D2151" s="1" t="inlineStr">
        <is>
          <t>UNDER ARMOUR Drive Men's Tapered Pants (Steel)</t>
        </is>
      </c>
      <c r="E2151" s="1" t="inlineStr">
        <is>
          <t>UNDER ARMOUR</t>
        </is>
      </c>
      <c r="F2151" s="1" t="inlineStr">
        <is>
          <t>LONG PANTS</t>
        </is>
      </c>
      <c r="G2151" s="1" t="inlineStr">
        <is>
          <t>GF202010170128</t>
        </is>
      </c>
      <c r="H2151" s="1" t="n">
        <v>9</v>
      </c>
      <c r="I2151" s="1" t="inlineStr">
        <is>
          <t>มี</t>
        </is>
      </c>
      <c r="J2151" s="13" t="n">
        <v>139</v>
      </c>
      <c r="K2151" s="1" t="inlineStr"/>
      <c r="L2151" s="13" t="n">
        <v>139</v>
      </c>
      <c r="M2151" s="1">
        <f>IF(L2151="","ไม่พบใน SG",IF(ABS(J2151-L2151)&lt;0.005,"ตรงกัน","ไม่ตรง"))</f>
        <v/>
      </c>
      <c r="N2151" s="14">
        <f>IF(L2151="","",ROUND(L2151*'สรุป'!$C$6,-1))</f>
        <v/>
      </c>
      <c r="O2151" s="15" t="n"/>
      <c r="P2151" s="15" t="n"/>
      <c r="Q2151" s="10" t="n"/>
      <c r="R2151" s="10" t="n"/>
      <c r="S2151" s="16" t="inlineStr">
        <is>
          <t>https://mstgolf.co.th/products/gf2020101701</t>
        </is>
      </c>
      <c r="T2151" s="1">
        <f>IF(B2151="ไม้กอล์ฟ",J2151,"")</f>
        <v/>
      </c>
    </row>
    <row r="2152">
      <c r="A2152" s="1" t="n">
        <v>3</v>
      </c>
      <c r="B2152" s="1" t="inlineStr">
        <is>
          <t>เสื้อผ้า</t>
        </is>
      </c>
      <c r="C2152" s="1" t="inlineStr">
        <is>
          <t>gf2020102174</t>
        </is>
      </c>
      <c r="D2152" s="1" t="inlineStr">
        <is>
          <t>UNDER ARMOUR Drive Tapared Men's Pants (Downpour Grey)</t>
        </is>
      </c>
      <c r="E2152" s="1" t="inlineStr">
        <is>
          <t>UNDER ARMOUR</t>
        </is>
      </c>
      <c r="F2152" s="1" t="inlineStr">
        <is>
          <t>LONG PANTS</t>
        </is>
      </c>
      <c r="G2152" s="1" t="inlineStr">
        <is>
          <t>GF202010217428</t>
        </is>
      </c>
      <c r="H2152" s="1" t="n">
        <v>7</v>
      </c>
      <c r="I2152" s="1" t="inlineStr">
        <is>
          <t>มี</t>
        </is>
      </c>
      <c r="J2152" s="13" t="n">
        <v>139</v>
      </c>
      <c r="K2152" s="1" t="inlineStr"/>
      <c r="L2152" s="13" t="n">
        <v>139</v>
      </c>
      <c r="M2152" s="1">
        <f>IF(L2152="","ไม่พบใน SG",IF(ABS(J2152-L2152)&lt;0.005,"ตรงกัน","ไม่ตรง"))</f>
        <v/>
      </c>
      <c r="N2152" s="14">
        <f>IF(L2152="","",ROUND(L2152*'สรุป'!$C$6,-1))</f>
        <v/>
      </c>
      <c r="O2152" s="15" t="n"/>
      <c r="P2152" s="15" t="n"/>
      <c r="Q2152" s="10" t="n"/>
      <c r="R2152" s="10" t="n"/>
      <c r="S2152" s="16" t="inlineStr">
        <is>
          <t>https://mstgolf.co.th/products/gf2020102174</t>
        </is>
      </c>
      <c r="T2152" s="1">
        <f>IF(B2152="ไม้กอล์ฟ",J2152,"")</f>
        <v/>
      </c>
    </row>
    <row r="2153">
      <c r="A2153" s="1" t="n">
        <v>3</v>
      </c>
      <c r="B2153" s="1" t="inlineStr">
        <is>
          <t>เสื้อผ้า</t>
        </is>
      </c>
      <c r="C2153" s="1" t="inlineStr">
        <is>
          <t>gf2040119213</t>
        </is>
      </c>
      <c r="D2153" s="1" t="inlineStr">
        <is>
          <t>UNDER ARMOUR Tour Tips Men's Polo (Silica Green)</t>
        </is>
      </c>
      <c r="E2153" s="1" t="inlineStr">
        <is>
          <t>UNDER ARMOUR</t>
        </is>
      </c>
      <c r="F2153" s="1" t="inlineStr">
        <is>
          <t>SHORT SLEEVES</t>
        </is>
      </c>
      <c r="G2153" s="1" t="inlineStr">
        <is>
          <t>GF2040119213S</t>
        </is>
      </c>
      <c r="H2153" s="1" t="n">
        <v>5</v>
      </c>
      <c r="I2153" s="1" t="inlineStr">
        <is>
          <t>มี</t>
        </is>
      </c>
      <c r="J2153" s="13" t="n">
        <v>139</v>
      </c>
      <c r="K2153" s="1" t="inlineStr"/>
      <c r="L2153" s="13" t="n">
        <v>99</v>
      </c>
      <c r="M2153" s="1">
        <f>IF(L2153="","ไม่พบใน SG",IF(ABS(J2153-L2153)&lt;0.005,"ตรงกัน","ไม่ตรง"))</f>
        <v/>
      </c>
      <c r="N2153" s="14">
        <f>IF(L2153="","",ROUND(L2153*'สรุป'!$C$6,-1))</f>
        <v/>
      </c>
      <c r="O2153" s="15" t="n"/>
      <c r="P2153" s="15" t="n"/>
      <c r="Q2153" s="10" t="n"/>
      <c r="R2153" s="10" t="n"/>
      <c r="S2153" s="16" t="inlineStr">
        <is>
          <t>https://mstgolf.co.th/products/gf2040119213</t>
        </is>
      </c>
      <c r="T2153" s="1">
        <f>IF(B2153="ไม้กอล์ฟ",J2153,"")</f>
        <v/>
      </c>
    </row>
    <row r="2154">
      <c r="A2154" s="1" t="n">
        <v>3</v>
      </c>
      <c r="B2154" s="1" t="inlineStr">
        <is>
          <t>เสื้อผ้า</t>
        </is>
      </c>
      <c r="C2154" s="1" t="inlineStr">
        <is>
          <t>gf2020202448</t>
        </is>
      </c>
      <c r="D2154" s="1" t="inlineStr">
        <is>
          <t>WAAC Korea Patterned Men's Shorts (Black)</t>
        </is>
      </c>
      <c r="E2154" s="1" t="inlineStr">
        <is>
          <t>WAAC</t>
        </is>
      </c>
      <c r="F2154" s="1" t="inlineStr">
        <is>
          <t>SHORT PANTS</t>
        </is>
      </c>
      <c r="G2154" s="1" t="inlineStr">
        <is>
          <t>GF20202024482XL</t>
        </is>
      </c>
      <c r="H2154" s="1" t="n">
        <v>11</v>
      </c>
      <c r="I2154" s="1" t="inlineStr">
        <is>
          <t>มี</t>
        </is>
      </c>
      <c r="J2154" s="13" t="n">
        <v>139</v>
      </c>
      <c r="K2154" s="1" t="inlineStr"/>
      <c r="L2154" s="13" t="n">
        <v>139</v>
      </c>
      <c r="M2154" s="1">
        <f>IF(L2154="","ไม่พบใน SG",IF(ABS(J2154-L2154)&lt;0.005,"ตรงกัน","ไม่ตรง"))</f>
        <v/>
      </c>
      <c r="N2154" s="14">
        <f>IF(L2154="","",ROUND(L2154*'สรุป'!$C$6,-1))</f>
        <v/>
      </c>
      <c r="O2154" s="15" t="n"/>
      <c r="P2154" s="15" t="n"/>
      <c r="Q2154" s="10" t="n"/>
      <c r="R2154" s="10" t="n"/>
      <c r="S2154" s="16" t="inlineStr">
        <is>
          <t>https://mstgolf.co.th/products/gf2020202448</t>
        </is>
      </c>
      <c r="T2154" s="1">
        <f>IF(B2154="ไม้กอล์ฟ",J2154,"")</f>
        <v/>
      </c>
    </row>
    <row r="2155">
      <c r="A2155" s="1" t="n">
        <v>3</v>
      </c>
      <c r="B2155" s="1" t="inlineStr">
        <is>
          <t>เสื้อผ้า</t>
        </is>
      </c>
      <c r="C2155" s="1" t="inlineStr">
        <is>
          <t>gf2040119075</t>
        </is>
      </c>
      <c r="D2155" s="1" t="inlineStr">
        <is>
          <t>WAAC x Iron Head Essential Men's Polo (Blue Heather)</t>
        </is>
      </c>
      <c r="E2155" s="1" t="inlineStr">
        <is>
          <t>WAAC</t>
        </is>
      </c>
      <c r="F2155" s="1" t="inlineStr">
        <is>
          <t>SHORT SLEEVES</t>
        </is>
      </c>
      <c r="G2155" s="1" t="inlineStr">
        <is>
          <t>GF2040119075S</t>
        </is>
      </c>
      <c r="H2155" s="1" t="n">
        <v>5</v>
      </c>
      <c r="I2155" s="1" t="inlineStr">
        <is>
          <t>มี</t>
        </is>
      </c>
      <c r="J2155" s="13" t="n">
        <v>139</v>
      </c>
      <c r="K2155" s="1" t="inlineStr"/>
      <c r="L2155" s="13" t="n">
        <v>139</v>
      </c>
      <c r="M2155" s="1">
        <f>IF(L2155="","ไม่พบใน SG",IF(ABS(J2155-L2155)&lt;0.005,"ตรงกัน","ไม่ตรง"))</f>
        <v/>
      </c>
      <c r="N2155" s="14">
        <f>IF(L2155="","",ROUND(L2155*'สรุป'!$C$6,-1))</f>
        <v/>
      </c>
      <c r="O2155" s="15" t="n"/>
      <c r="P2155" s="15" t="n"/>
      <c r="Q2155" s="10" t="n"/>
      <c r="R2155" s="10" t="n"/>
      <c r="S2155" s="16" t="inlineStr">
        <is>
          <t>https://mstgolf.co.th/products/gf2040119075</t>
        </is>
      </c>
      <c r="T2155" s="1">
        <f>IF(B2155="ไม้กอล์ฟ",J2155,"")</f>
        <v/>
      </c>
    </row>
    <row r="2156">
      <c r="A2156" s="1" t="n">
        <v>3</v>
      </c>
      <c r="B2156" s="1" t="inlineStr">
        <is>
          <t>เสื้อผ้า</t>
        </is>
      </c>
      <c r="C2156" s="1" t="inlineStr">
        <is>
          <t>gf2040119074</t>
        </is>
      </c>
      <c r="D2156" s="1" t="inlineStr">
        <is>
          <t>WAAC x Iron Head Essential Men's Polo (Grey Heather)</t>
        </is>
      </c>
      <c r="E2156" s="1" t="inlineStr">
        <is>
          <t>WAAC</t>
        </is>
      </c>
      <c r="F2156" s="1" t="inlineStr">
        <is>
          <t>SHORT SLEEVES</t>
        </is>
      </c>
      <c r="G2156" s="1" t="inlineStr">
        <is>
          <t>GF2040119074S</t>
        </is>
      </c>
      <c r="H2156" s="1" t="n">
        <v>5</v>
      </c>
      <c r="I2156" s="1" t="inlineStr">
        <is>
          <t>มี</t>
        </is>
      </c>
      <c r="J2156" s="13" t="n">
        <v>139</v>
      </c>
      <c r="K2156" s="1" t="inlineStr"/>
      <c r="L2156" s="13" t="n">
        <v>139</v>
      </c>
      <c r="M2156" s="1">
        <f>IF(L2156="","ไม่พบใน SG",IF(ABS(J2156-L2156)&lt;0.005,"ตรงกัน","ไม่ตรง"))</f>
        <v/>
      </c>
      <c r="N2156" s="14">
        <f>IF(L2156="","",ROUND(L2156*'สรุป'!$C$6,-1))</f>
        <v/>
      </c>
      <c r="O2156" s="15" t="n"/>
      <c r="P2156" s="15" t="n"/>
      <c r="Q2156" s="10" t="n"/>
      <c r="R2156" s="10" t="n"/>
      <c r="S2156" s="16" t="inlineStr">
        <is>
          <t>https://mstgolf.co.th/products/gf2040119074</t>
        </is>
      </c>
      <c r="T2156" s="1">
        <f>IF(B2156="ไม้กอล์ฟ",J2156,"")</f>
        <v/>
      </c>
    </row>
    <row r="2157">
      <c r="A2157" s="1" t="n">
        <v>3</v>
      </c>
      <c r="B2157" s="1" t="inlineStr">
        <is>
          <t>เสื้อผ้า</t>
        </is>
      </c>
      <c r="C2157" s="1" t="inlineStr">
        <is>
          <t>gf2020101895</t>
        </is>
      </c>
      <c r="D2157" s="1" t="inlineStr">
        <is>
          <t>FOOTJOY Athletic Fit Performance Knit Men's Pants (Black)</t>
        </is>
      </c>
      <c r="E2157" s="1" t="inlineStr">
        <is>
          <t>FOOTJOY</t>
        </is>
      </c>
      <c r="F2157" s="1" t="inlineStr">
        <is>
          <t>LONG PANTS</t>
        </is>
      </c>
      <c r="G2157" s="1" t="inlineStr">
        <is>
          <t>GF202010189530</t>
        </is>
      </c>
      <c r="H2157" s="1" t="n">
        <v>7</v>
      </c>
      <c r="I2157" s="1" t="inlineStr">
        <is>
          <t>มี</t>
        </is>
      </c>
      <c r="J2157" s="13" t="n">
        <v>136</v>
      </c>
      <c r="K2157" s="1" t="inlineStr"/>
      <c r="L2157" s="13" t="n">
        <v>136</v>
      </c>
      <c r="M2157" s="1">
        <f>IF(L2157="","ไม่พบใน SG",IF(ABS(J2157-L2157)&lt;0.005,"ตรงกัน","ไม่ตรง"))</f>
        <v/>
      </c>
      <c r="N2157" s="14">
        <f>IF(L2157="","",ROUND(L2157*'สรุป'!$C$6,-1))</f>
        <v/>
      </c>
      <c r="O2157" s="15" t="n"/>
      <c r="P2157" s="15" t="n"/>
      <c r="Q2157" s="10" t="n"/>
      <c r="R2157" s="10" t="n"/>
      <c r="S2157" s="16" t="inlineStr">
        <is>
          <t>https://mstgolf.co.th/products/gf2020101895</t>
        </is>
      </c>
      <c r="T2157" s="1">
        <f>IF(B2157="ไม้กอล์ฟ",J2157,"")</f>
        <v/>
      </c>
    </row>
    <row r="2158">
      <c r="A2158" s="1" t="n">
        <v>3</v>
      </c>
      <c r="B2158" s="1" t="inlineStr">
        <is>
          <t>เสื้อผ้า</t>
        </is>
      </c>
      <c r="C2158" s="1" t="inlineStr">
        <is>
          <t>gf2020102210</t>
        </is>
      </c>
      <c r="D2158" s="1" t="inlineStr">
        <is>
          <t>FOOTJOY Athletic Fit Performance Knit Men's Pants (Navy)</t>
        </is>
      </c>
      <c r="E2158" s="1" t="inlineStr">
        <is>
          <t>FOOTJOY</t>
        </is>
      </c>
      <c r="F2158" s="1" t="inlineStr">
        <is>
          <t>LONG PANTS</t>
        </is>
      </c>
      <c r="G2158" s="1" t="inlineStr">
        <is>
          <t>GF202010221030</t>
        </is>
      </c>
      <c r="H2158" s="1" t="n">
        <v>6</v>
      </c>
      <c r="I2158" s="1" t="inlineStr">
        <is>
          <t>มี</t>
        </is>
      </c>
      <c r="J2158" s="13" t="n">
        <v>136</v>
      </c>
      <c r="K2158" s="1" t="inlineStr"/>
      <c r="L2158" s="13" t="n">
        <v>136</v>
      </c>
      <c r="M2158" s="1">
        <f>IF(L2158="","ไม่พบใน SG",IF(ABS(J2158-L2158)&lt;0.005,"ตรงกัน","ไม่ตรง"))</f>
        <v/>
      </c>
      <c r="N2158" s="14">
        <f>IF(L2158="","",ROUND(L2158*'สรุป'!$C$6,-1))</f>
        <v/>
      </c>
      <c r="O2158" s="15" t="n"/>
      <c r="P2158" s="15" t="n"/>
      <c r="Q2158" s="10" t="n"/>
      <c r="R2158" s="10" t="n"/>
      <c r="S2158" s="16" t="inlineStr">
        <is>
          <t>https://mstgolf.co.th/products/gf2020102210</t>
        </is>
      </c>
      <c r="T2158" s="1">
        <f>IF(B2158="ไม้กอล์ฟ",J2158,"")</f>
        <v/>
      </c>
    </row>
    <row r="2159">
      <c r="A2159" s="1" t="n">
        <v>3</v>
      </c>
      <c r="B2159" s="1" t="inlineStr">
        <is>
          <t>เสื้อผ้า</t>
        </is>
      </c>
      <c r="C2159" s="1" t="inlineStr">
        <is>
          <t>gf2040120587</t>
        </is>
      </c>
      <c r="D2159" s="1" t="inlineStr">
        <is>
          <t>GFORE G/TAB Essential Men's Tech Jersey Polo (Twilight)</t>
        </is>
      </c>
      <c r="E2159" s="1" t="inlineStr">
        <is>
          <t>GFORE</t>
        </is>
      </c>
      <c r="F2159" s="1" t="inlineStr">
        <is>
          <t>SHORT SLEEVES</t>
        </is>
      </c>
      <c r="G2159" s="1" t="inlineStr">
        <is>
          <t>GF2040120587S</t>
        </is>
      </c>
      <c r="H2159" s="1" t="n">
        <v>5</v>
      </c>
      <c r="I2159" s="1" t="inlineStr">
        <is>
          <t>มี</t>
        </is>
      </c>
      <c r="J2159" s="13" t="n">
        <v>135</v>
      </c>
      <c r="K2159" s="1" t="inlineStr"/>
      <c r="L2159" s="13" t="n">
        <v>95</v>
      </c>
      <c r="M2159" s="1">
        <f>IF(L2159="","ไม่พบใน SG",IF(ABS(J2159-L2159)&lt;0.005,"ตรงกัน","ไม่ตรง"))</f>
        <v/>
      </c>
      <c r="N2159" s="14">
        <f>IF(L2159="","",ROUND(L2159*'สรุป'!$C$6,-1))</f>
        <v/>
      </c>
      <c r="O2159" s="15" t="n"/>
      <c r="P2159" s="15" t="n"/>
      <c r="Q2159" s="10" t="n"/>
      <c r="R2159" s="10" t="n"/>
      <c r="S2159" s="16" t="inlineStr">
        <is>
          <t>https://mstgolf.co.th/products/gf2040120587</t>
        </is>
      </c>
      <c r="T2159" s="1">
        <f>IF(B2159="ไม้กอล์ฟ",J2159,"")</f>
        <v/>
      </c>
    </row>
    <row r="2160">
      <c r="A2160" s="1" t="n">
        <v>3</v>
      </c>
      <c r="B2160" s="1" t="inlineStr">
        <is>
          <t>เสื้อผ้า</t>
        </is>
      </c>
      <c r="C2160" s="1" t="inlineStr">
        <is>
          <t>gf2040401191</t>
        </is>
      </c>
      <c r="D2160" s="1" t="inlineStr">
        <is>
          <t>GFORE Ice-Nylon Men's Long Sleeve Polo (Heather Slate)</t>
        </is>
      </c>
      <c r="E2160" s="1" t="inlineStr">
        <is>
          <t>GFORE</t>
        </is>
      </c>
      <c r="F2160" s="1" t="inlineStr">
        <is>
          <t>LONG SLEEVES</t>
        </is>
      </c>
      <c r="G2160" s="1" t="inlineStr">
        <is>
          <t>GF2040401191XS</t>
        </is>
      </c>
      <c r="H2160" s="1" t="n">
        <v>6</v>
      </c>
      <c r="I2160" s="1" t="inlineStr">
        <is>
          <t>มี</t>
        </is>
      </c>
      <c r="J2160" s="13" t="n">
        <v>135</v>
      </c>
      <c r="K2160" s="1" t="inlineStr"/>
      <c r="L2160" s="13" t="n">
        <v>135</v>
      </c>
      <c r="M2160" s="1">
        <f>IF(L2160="","ไม่พบใน SG",IF(ABS(J2160-L2160)&lt;0.005,"ตรงกัน","ไม่ตรง"))</f>
        <v/>
      </c>
      <c r="N2160" s="14">
        <f>IF(L2160="","",ROUND(L2160*'สรุป'!$C$6,-1))</f>
        <v/>
      </c>
      <c r="O2160" s="15" t="n"/>
      <c r="P2160" s="15" t="n"/>
      <c r="Q2160" s="10" t="n"/>
      <c r="R2160" s="10" t="n"/>
      <c r="S2160" s="16" t="inlineStr">
        <is>
          <t>https://mstgolf.co.th/products/gf2040401191</t>
        </is>
      </c>
      <c r="T2160" s="1">
        <f>IF(B2160="ไม้กอล์ฟ",J2160,"")</f>
        <v/>
      </c>
    </row>
    <row r="2161">
      <c r="A2161" s="1" t="n">
        <v>3</v>
      </c>
      <c r="B2161" s="1" t="inlineStr">
        <is>
          <t>อุปกรณ์เสริม</t>
        </is>
      </c>
      <c r="C2161" s="1" t="inlineStr">
        <is>
          <t>gf2080101226</t>
        </is>
      </c>
      <c r="D2161" s="1" t="inlineStr">
        <is>
          <t>GFORE Killer's T Men's Belt (Onyx)</t>
        </is>
      </c>
      <c r="E2161" s="1" t="inlineStr">
        <is>
          <t>GFORE</t>
        </is>
      </c>
      <c r="F2161" s="1" t="inlineStr">
        <is>
          <t>BELT</t>
        </is>
      </c>
      <c r="G2161" s="1" t="inlineStr">
        <is>
          <t>GF208010122630</t>
        </is>
      </c>
      <c r="H2161" s="1" t="n">
        <v>6</v>
      </c>
      <c r="I2161" s="1" t="inlineStr">
        <is>
          <t>มี</t>
        </is>
      </c>
      <c r="J2161" s="13" t="n">
        <v>135</v>
      </c>
      <c r="K2161" s="1" t="inlineStr"/>
      <c r="L2161" s="13" t="n">
        <v>135</v>
      </c>
      <c r="M2161" s="1">
        <f>IF(L2161="","ไม่พบใน SG",IF(ABS(J2161-L2161)&lt;0.005,"ตรงกัน","ไม่ตรง"))</f>
        <v/>
      </c>
      <c r="N2161" s="14">
        <f>IF(L2161="","",ROUND(L2161*'สรุป'!$C$6,-1))</f>
        <v/>
      </c>
      <c r="O2161" s="15" t="n"/>
      <c r="P2161" s="15" t="n"/>
      <c r="Q2161" s="10" t="n"/>
      <c r="R2161" s="10" t="n"/>
      <c r="S2161" s="16" t="inlineStr">
        <is>
          <t>https://mstgolf.co.th/products/gf2080101226</t>
        </is>
      </c>
      <c r="T2161" s="1">
        <f>IF(B2161="ไม้กอล์ฟ",J2161,"")</f>
        <v/>
      </c>
    </row>
    <row r="2162">
      <c r="A2162" s="1" t="n">
        <v>3</v>
      </c>
      <c r="B2162" s="1" t="inlineStr">
        <is>
          <t>อุปกรณ์เสริม</t>
        </is>
      </c>
      <c r="C2162" s="1" t="inlineStr">
        <is>
          <t>gf2080101227</t>
        </is>
      </c>
      <c r="D2162" s="1" t="inlineStr">
        <is>
          <t>GFORE Killer's T Men's Belt (Snow)</t>
        </is>
      </c>
      <c r="E2162" s="1" t="inlineStr">
        <is>
          <t>GFORE</t>
        </is>
      </c>
      <c r="F2162" s="1" t="inlineStr">
        <is>
          <t>BELT</t>
        </is>
      </c>
      <c r="G2162" s="1" t="inlineStr">
        <is>
          <t>GF208010122730</t>
        </is>
      </c>
      <c r="H2162" s="1" t="n">
        <v>6</v>
      </c>
      <c r="I2162" s="1" t="inlineStr">
        <is>
          <t>มี</t>
        </is>
      </c>
      <c r="J2162" s="13" t="n">
        <v>135</v>
      </c>
      <c r="K2162" s="1" t="inlineStr"/>
      <c r="L2162" s="13" t="n">
        <v>135</v>
      </c>
      <c r="M2162" s="1">
        <f>IF(L2162="","ไม่พบใน SG",IF(ABS(J2162-L2162)&lt;0.005,"ตรงกัน","ไม่ตรง"))</f>
        <v/>
      </c>
      <c r="N2162" s="14">
        <f>IF(L2162="","",ROUND(L2162*'สรุป'!$C$6,-1))</f>
        <v/>
      </c>
      <c r="O2162" s="15" t="n"/>
      <c r="P2162" s="15" t="n"/>
      <c r="Q2162" s="10" t="n"/>
      <c r="R2162" s="10" t="n"/>
      <c r="S2162" s="16" t="inlineStr">
        <is>
          <t>https://mstgolf.co.th/products/gf2080101227</t>
        </is>
      </c>
      <c r="T2162" s="1">
        <f>IF(B2162="ไม้กอล์ฟ",J2162,"")</f>
        <v/>
      </c>
    </row>
    <row r="2163">
      <c r="A2163" s="1" t="n">
        <v>3</v>
      </c>
      <c r="B2163" s="1" t="inlineStr">
        <is>
          <t>อุปกรณ์เสริม</t>
        </is>
      </c>
      <c r="C2163" s="1" t="inlineStr">
        <is>
          <t>gf2080101228</t>
        </is>
      </c>
      <c r="D2163" s="1" t="inlineStr">
        <is>
          <t>GFORE Killer's T Men's Belt (Twilight)</t>
        </is>
      </c>
      <c r="E2163" s="1" t="inlineStr">
        <is>
          <t>GFORE</t>
        </is>
      </c>
      <c r="F2163" s="1" t="inlineStr">
        <is>
          <t>BELT</t>
        </is>
      </c>
      <c r="G2163" s="1" t="inlineStr">
        <is>
          <t>GF208010122830</t>
        </is>
      </c>
      <c r="H2163" s="1" t="n">
        <v>6</v>
      </c>
      <c r="I2163" s="1" t="inlineStr">
        <is>
          <t>มี</t>
        </is>
      </c>
      <c r="J2163" s="13" t="n">
        <v>135</v>
      </c>
      <c r="K2163" s="1" t="inlineStr"/>
      <c r="L2163" s="13" t="n">
        <v>135</v>
      </c>
      <c r="M2163" s="1">
        <f>IF(L2163="","ไม่พบใน SG",IF(ABS(J2163-L2163)&lt;0.005,"ตรงกัน","ไม่ตรง"))</f>
        <v/>
      </c>
      <c r="N2163" s="14">
        <f>IF(L2163="","",ROUND(L2163*'สรุป'!$C$6,-1))</f>
        <v/>
      </c>
      <c r="O2163" s="15" t="n"/>
      <c r="P2163" s="15" t="n"/>
      <c r="Q2163" s="10" t="n"/>
      <c r="R2163" s="10" t="n"/>
      <c r="S2163" s="16" t="inlineStr">
        <is>
          <t>https://mstgolf.co.th/products/gf2080101228</t>
        </is>
      </c>
      <c r="T2163" s="1">
        <f>IF(B2163="ไม้กอล์ฟ",J2163,"")</f>
        <v/>
      </c>
    </row>
    <row r="2164">
      <c r="A2164" s="1" t="n">
        <v>3</v>
      </c>
      <c r="B2164" s="1" t="inlineStr">
        <is>
          <t>เสื้อผ้า</t>
        </is>
      </c>
      <c r="C2164" s="1" t="inlineStr">
        <is>
          <t>gf2020201209</t>
        </is>
      </c>
      <c r="D2164" s="1" t="inlineStr">
        <is>
          <t>GFORE Maverick Hybrid Men's Shorts (Onyx)</t>
        </is>
      </c>
      <c r="E2164" s="1" t="inlineStr">
        <is>
          <t>GFORE</t>
        </is>
      </c>
      <c r="F2164" s="1" t="inlineStr">
        <is>
          <t>SHORT PANTS</t>
        </is>
      </c>
      <c r="G2164" s="1" t="inlineStr">
        <is>
          <t>GF202020120930</t>
        </is>
      </c>
      <c r="H2164" s="1" t="n">
        <v>6</v>
      </c>
      <c r="I2164" s="1" t="inlineStr">
        <is>
          <t>มี</t>
        </is>
      </c>
      <c r="J2164" s="13" t="n">
        <v>135</v>
      </c>
      <c r="K2164" s="1" t="inlineStr"/>
      <c r="L2164" s="13" t="n">
        <v>135</v>
      </c>
      <c r="M2164" s="1">
        <f>IF(L2164="","ไม่พบใน SG",IF(ABS(J2164-L2164)&lt;0.005,"ตรงกัน","ไม่ตรง"))</f>
        <v/>
      </c>
      <c r="N2164" s="14">
        <f>IF(L2164="","",ROUND(L2164*'สรุป'!$C$6,-1))</f>
        <v/>
      </c>
      <c r="O2164" s="15" t="n"/>
      <c r="P2164" s="15" t="n"/>
      <c r="Q2164" s="10" t="n"/>
      <c r="R2164" s="10" t="n"/>
      <c r="S2164" s="16" t="inlineStr">
        <is>
          <t>https://mstgolf.co.th/products/gf2020201209</t>
        </is>
      </c>
      <c r="T2164" s="1">
        <f>IF(B2164="ไม้กอล์ฟ",J2164,"")</f>
        <v/>
      </c>
    </row>
    <row r="2165">
      <c r="A2165" s="1" t="n">
        <v>3</v>
      </c>
      <c r="B2165" s="1" t="inlineStr">
        <is>
          <t>เสื้อผ้า</t>
        </is>
      </c>
      <c r="C2165" s="1" t="inlineStr">
        <is>
          <t>gf2020201659</t>
        </is>
      </c>
      <c r="D2165" s="1" t="inlineStr">
        <is>
          <t>GFORE Maverick Hybrid Men's Shorts (Stone)</t>
        </is>
      </c>
      <c r="E2165" s="1" t="inlineStr">
        <is>
          <t>GFORE</t>
        </is>
      </c>
      <c r="F2165" s="1" t="inlineStr">
        <is>
          <t>SHORT PANTS</t>
        </is>
      </c>
      <c r="G2165" s="1" t="inlineStr">
        <is>
          <t>GF202020165928</t>
        </is>
      </c>
      <c r="H2165" s="1" t="n">
        <v>8</v>
      </c>
      <c r="I2165" s="1" t="inlineStr">
        <is>
          <t>มี</t>
        </is>
      </c>
      <c r="J2165" s="13" t="n">
        <v>135</v>
      </c>
      <c r="K2165" s="1" t="inlineStr"/>
      <c r="L2165" s="13" t="n">
        <v>135</v>
      </c>
      <c r="M2165" s="1">
        <f>IF(L2165="","ไม่พบใน SG",IF(ABS(J2165-L2165)&lt;0.005,"ตรงกัน","ไม่ตรง"))</f>
        <v/>
      </c>
      <c r="N2165" s="14">
        <f>IF(L2165="","",ROUND(L2165*'สรุป'!$C$6,-1))</f>
        <v/>
      </c>
      <c r="O2165" s="15" t="n"/>
      <c r="P2165" s="15" t="n"/>
      <c r="Q2165" s="10" t="n"/>
      <c r="R2165" s="10" t="n"/>
      <c r="S2165" s="16" t="inlineStr">
        <is>
          <t>https://mstgolf.co.th/products/gf2020201659</t>
        </is>
      </c>
      <c r="T2165" s="1">
        <f>IF(B2165="ไม้กอล์ฟ",J2165,"")</f>
        <v/>
      </c>
    </row>
    <row r="2166">
      <c r="A2166" s="1" t="n">
        <v>3</v>
      </c>
      <c r="B2166" s="1" t="inlineStr">
        <is>
          <t>เสื้อผ้า</t>
        </is>
      </c>
      <c r="C2166" s="1" t="inlineStr">
        <is>
          <t>gf2020201850</t>
        </is>
      </c>
      <c r="D2166" s="1" t="inlineStr">
        <is>
          <t>GFORE Maverick Hybrid Men's Shorts (Twilight/Camouflage)</t>
        </is>
      </c>
      <c r="E2166" s="1" t="inlineStr">
        <is>
          <t>GFORE</t>
        </is>
      </c>
      <c r="F2166" s="1" t="inlineStr">
        <is>
          <t>SHORT PANTS</t>
        </is>
      </c>
      <c r="G2166" s="1" t="inlineStr">
        <is>
          <t>GF202020185030</t>
        </is>
      </c>
      <c r="H2166" s="1" t="n">
        <v>7</v>
      </c>
      <c r="I2166" s="1" t="inlineStr">
        <is>
          <t>มี</t>
        </is>
      </c>
      <c r="J2166" s="13" t="n">
        <v>135</v>
      </c>
      <c r="K2166" s="1" t="inlineStr"/>
      <c r="L2166" s="13" t="n">
        <v>135</v>
      </c>
      <c r="M2166" s="1">
        <f>IF(L2166="","ไม่พบใน SG",IF(ABS(J2166-L2166)&lt;0.005,"ตรงกัน","ไม่ตรง"))</f>
        <v/>
      </c>
      <c r="N2166" s="14">
        <f>IF(L2166="","",ROUND(L2166*'สรุป'!$C$6,-1))</f>
        <v/>
      </c>
      <c r="O2166" s="15" t="n"/>
      <c r="P2166" s="15" t="n"/>
      <c r="Q2166" s="10" t="n"/>
      <c r="R2166" s="10" t="n"/>
      <c r="S2166" s="16" t="inlineStr">
        <is>
          <t>https://mstgolf.co.th/products/gf2020201850</t>
        </is>
      </c>
      <c r="T2166" s="1">
        <f>IF(B2166="ไม้กอล์ฟ",J2166,"")</f>
        <v/>
      </c>
    </row>
    <row r="2167">
      <c r="A2167" s="1" t="n">
        <v>3</v>
      </c>
      <c r="B2167" s="1" t="inlineStr">
        <is>
          <t>เสื้อผ้า</t>
        </is>
      </c>
      <c r="C2167" s="1" t="inlineStr">
        <is>
          <t>gf2020201661</t>
        </is>
      </c>
      <c r="D2167" s="1" t="inlineStr">
        <is>
          <t>GFORE Meverick Hybrid Men's Shorts (Charcoal Camo)</t>
        </is>
      </c>
      <c r="E2167" s="1" t="inlineStr">
        <is>
          <t>GFORE</t>
        </is>
      </c>
      <c r="F2167" s="1" t="inlineStr">
        <is>
          <t>SHORT PANTS</t>
        </is>
      </c>
      <c r="G2167" s="1" t="inlineStr">
        <is>
          <t>GF202020166128</t>
        </is>
      </c>
      <c r="H2167" s="1" t="n">
        <v>8</v>
      </c>
      <c r="I2167" s="1" t="inlineStr">
        <is>
          <t>มี</t>
        </is>
      </c>
      <c r="J2167" s="13" t="n">
        <v>135</v>
      </c>
      <c r="K2167" s="1" t="inlineStr"/>
      <c r="L2167" s="13" t="n">
        <v>135</v>
      </c>
      <c r="M2167" s="1">
        <f>IF(L2167="","ไม่พบใน SG",IF(ABS(J2167-L2167)&lt;0.005,"ตรงกัน","ไม่ตรง"))</f>
        <v/>
      </c>
      <c r="N2167" s="14">
        <f>IF(L2167="","",ROUND(L2167*'สรุป'!$C$6,-1))</f>
        <v/>
      </c>
      <c r="O2167" s="15" t="n"/>
      <c r="P2167" s="15" t="n"/>
      <c r="Q2167" s="10" t="n"/>
      <c r="R2167" s="10" t="n"/>
      <c r="S2167" s="16" t="inlineStr">
        <is>
          <t>https://mstgolf.co.th/products/gf2020201661</t>
        </is>
      </c>
      <c r="T2167" s="1">
        <f>IF(B2167="ไม้กอล์ฟ",J2167,"")</f>
        <v/>
      </c>
    </row>
    <row r="2168">
      <c r="A2168" s="1" t="n">
        <v>3</v>
      </c>
      <c r="B2168" s="1" t="inlineStr">
        <is>
          <t>เสื้อผ้า</t>
        </is>
      </c>
      <c r="C2168" s="1" t="inlineStr">
        <is>
          <t>gf2020201662</t>
        </is>
      </c>
      <c r="D2168" s="1" t="inlineStr">
        <is>
          <t>GFORE Meverick Hybrid Men's Shorts (Danube)</t>
        </is>
      </c>
      <c r="E2168" s="1" t="inlineStr">
        <is>
          <t>GFORE</t>
        </is>
      </c>
      <c r="F2168" s="1" t="inlineStr">
        <is>
          <t>SHORT PANTS</t>
        </is>
      </c>
      <c r="G2168" s="1" t="inlineStr">
        <is>
          <t>GF202020166228</t>
        </is>
      </c>
      <c r="H2168" s="1" t="n">
        <v>8</v>
      </c>
      <c r="I2168" s="1" t="inlineStr">
        <is>
          <t>มี</t>
        </is>
      </c>
      <c r="J2168" s="13" t="n">
        <v>135</v>
      </c>
      <c r="K2168" s="1" t="inlineStr"/>
      <c r="L2168" s="13" t="n">
        <v>135</v>
      </c>
      <c r="M2168" s="1">
        <f>IF(L2168="","ไม่พบใน SG",IF(ABS(J2168-L2168)&lt;0.005,"ตรงกัน","ไม่ตรง"))</f>
        <v/>
      </c>
      <c r="N2168" s="14">
        <f>IF(L2168="","",ROUND(L2168*'สรุป'!$C$6,-1))</f>
        <v/>
      </c>
      <c r="O2168" s="15" t="n"/>
      <c r="P2168" s="15" t="n"/>
      <c r="Q2168" s="10" t="n"/>
      <c r="R2168" s="10" t="n"/>
      <c r="S2168" s="16" t="inlineStr">
        <is>
          <t>https://mstgolf.co.th/products/gf2020201662</t>
        </is>
      </c>
      <c r="T2168" s="1">
        <f>IF(B2168="ไม้กอล์ฟ",J2168,"")</f>
        <v/>
      </c>
    </row>
    <row r="2169">
      <c r="A2169" s="1" t="n">
        <v>3</v>
      </c>
      <c r="B2169" s="1" t="inlineStr">
        <is>
          <t>เสื้อผ้า</t>
        </is>
      </c>
      <c r="C2169" s="1" t="inlineStr">
        <is>
          <t>gf2020101908</t>
        </is>
      </c>
      <c r="D2169" s="1" t="inlineStr">
        <is>
          <t>GFORE Tour 5 Men's Pocket Pants (Ultramarine)</t>
        </is>
      </c>
      <c r="E2169" s="1" t="inlineStr">
        <is>
          <t>GFORE</t>
        </is>
      </c>
      <c r="F2169" s="1" t="inlineStr">
        <is>
          <t>LONG PANTS</t>
        </is>
      </c>
      <c r="G2169" s="1" t="inlineStr">
        <is>
          <t>GF202010190830</t>
        </is>
      </c>
      <c r="H2169" s="1" t="n">
        <v>7</v>
      </c>
      <c r="I2169" s="1" t="inlineStr">
        <is>
          <t>มี</t>
        </is>
      </c>
      <c r="J2169" s="13" t="n">
        <v>135</v>
      </c>
      <c r="K2169" s="1" t="inlineStr"/>
      <c r="L2169" s="13" t="n"/>
      <c r="M2169" s="1">
        <f>IF(L2169="","ไม่พบใน SG",IF(ABS(J2169-L2169)&lt;0.005,"ตรงกัน","ไม่ตรง"))</f>
        <v/>
      </c>
      <c r="N2169" s="14">
        <f>IF(L2169="","",ROUND(L2169*'สรุป'!$C$6,-1))</f>
        <v/>
      </c>
      <c r="O2169" s="15" t="n"/>
      <c r="P2169" s="15" t="n"/>
      <c r="Q2169" s="10" t="n"/>
      <c r="R2169" s="10" t="n"/>
      <c r="S2169" s="16" t="inlineStr">
        <is>
          <t>https://mstgolf.co.th/products/gf2020101908</t>
        </is>
      </c>
      <c r="T2169" s="1">
        <f>IF(B2169="ไม้กอล์ฟ",J2169,"")</f>
        <v/>
      </c>
    </row>
    <row r="2170">
      <c r="A2170" s="1" t="n">
        <v>3</v>
      </c>
      <c r="B2170" s="1" t="inlineStr">
        <is>
          <t>เสื้อผ้า</t>
        </is>
      </c>
      <c r="C2170" s="1" t="inlineStr">
        <is>
          <t>gf2020102502</t>
        </is>
      </c>
      <c r="D2170" s="1" t="inlineStr">
        <is>
          <t>PETER MILLAR Charlotte Men's Performance Pants (British Grey)</t>
        </is>
      </c>
      <c r="E2170" s="1" t="inlineStr">
        <is>
          <t>PETER MILLAR</t>
        </is>
      </c>
      <c r="F2170" s="1" t="inlineStr">
        <is>
          <t>LONG PANTS</t>
        </is>
      </c>
      <c r="G2170" s="1" t="inlineStr">
        <is>
          <t>GF202010250230</t>
        </is>
      </c>
      <c r="H2170" s="1" t="n">
        <v>6</v>
      </c>
      <c r="I2170" s="1" t="inlineStr">
        <is>
          <t>มี</t>
        </is>
      </c>
      <c r="J2170" s="13" t="n">
        <v>135</v>
      </c>
      <c r="K2170" s="1" t="inlineStr"/>
      <c r="L2170" s="13" t="n">
        <v>135</v>
      </c>
      <c r="M2170" s="1">
        <f>IF(L2170="","ไม่พบใน SG",IF(ABS(J2170-L2170)&lt;0.005,"ตรงกัน","ไม่ตรง"))</f>
        <v/>
      </c>
      <c r="N2170" s="14">
        <f>IF(L2170="","",ROUND(L2170*'สรุป'!$C$6,-1))</f>
        <v/>
      </c>
      <c r="O2170" s="15" t="n"/>
      <c r="P2170" s="15" t="n"/>
      <c r="Q2170" s="10" t="n"/>
      <c r="R2170" s="10" t="n"/>
      <c r="S2170" s="16" t="inlineStr">
        <is>
          <t>https://mstgolf.co.th/products/gf2020102502</t>
        </is>
      </c>
      <c r="T2170" s="1">
        <f>IF(B2170="ไม้กอล์ฟ",J2170,"")</f>
        <v/>
      </c>
    </row>
    <row r="2171">
      <c r="A2171" s="1" t="n">
        <v>3</v>
      </c>
      <c r="B2171" s="1" t="inlineStr">
        <is>
          <t>เสื้อผ้า</t>
        </is>
      </c>
      <c r="C2171" s="1" t="inlineStr">
        <is>
          <t>gf2040119749</t>
        </is>
      </c>
      <c r="D2171" s="1" t="inlineStr">
        <is>
          <t>PETER MILLAR Solid Men's Performance Polo (White)</t>
        </is>
      </c>
      <c r="E2171" s="1" t="inlineStr">
        <is>
          <t>PETER MILLAR</t>
        </is>
      </c>
      <c r="F2171" s="1" t="inlineStr">
        <is>
          <t>SHORT SLEEVES</t>
        </is>
      </c>
      <c r="G2171" s="1" t="inlineStr">
        <is>
          <t>GF2040119749XS</t>
        </is>
      </c>
      <c r="H2171" s="1" t="n">
        <v>6</v>
      </c>
      <c r="I2171" s="1" t="inlineStr">
        <is>
          <t>มี</t>
        </is>
      </c>
      <c r="J2171" s="13" t="n">
        <v>135</v>
      </c>
      <c r="K2171" s="1" t="inlineStr"/>
      <c r="L2171" s="13" t="n">
        <v>135</v>
      </c>
      <c r="M2171" s="1">
        <f>IF(L2171="","ไม่พบใน SG",IF(ABS(J2171-L2171)&lt;0.005,"ตรงกัน","ไม่ตรง"))</f>
        <v/>
      </c>
      <c r="N2171" s="14">
        <f>IF(L2171="","",ROUND(L2171*'สรุป'!$C$6,-1))</f>
        <v/>
      </c>
      <c r="O2171" s="15" t="n"/>
      <c r="P2171" s="15" t="n"/>
      <c r="Q2171" s="10" t="n"/>
      <c r="R2171" s="10" t="n"/>
      <c r="S2171" s="16" t="inlineStr">
        <is>
          <t>https://mstgolf.co.th/products/gf2040119749</t>
        </is>
      </c>
      <c r="T2171" s="1">
        <f>IF(B2171="ไม้กอล์ฟ",J2171,"")</f>
        <v/>
      </c>
    </row>
    <row r="2172">
      <c r="A2172" s="1" t="n">
        <v>3</v>
      </c>
      <c r="B2172" s="1" t="inlineStr">
        <is>
          <t>อุปกรณ์เสริม</t>
        </is>
      </c>
      <c r="C2172" s="1" t="inlineStr">
        <is>
          <t>gf3500201808</t>
        </is>
      </c>
      <c r="D2172" s="1" t="inlineStr">
        <is>
          <t>TAYLORMADE Dia de los Muertos Blade Putter Headcover</t>
        </is>
      </c>
      <c r="E2172" s="1" t="inlineStr">
        <is>
          <t>TAYLORMADE</t>
        </is>
      </c>
      <c r="F2172" s="1" t="inlineStr">
        <is>
          <t>HEADCOVERS</t>
        </is>
      </c>
      <c r="G2172" s="1" t="inlineStr">
        <is>
          <t>GF3500201808</t>
        </is>
      </c>
      <c r="H2172" s="1" t="n">
        <v>1</v>
      </c>
      <c r="I2172" s="1" t="inlineStr">
        <is>
          <t>มี</t>
        </is>
      </c>
      <c r="J2172" s="13" t="n">
        <v>135</v>
      </c>
      <c r="K2172" s="1" t="inlineStr"/>
      <c r="L2172" s="13" t="n">
        <v>109</v>
      </c>
      <c r="M2172" s="1">
        <f>IF(L2172="","ไม่พบใน SG",IF(ABS(J2172-L2172)&lt;0.005,"ตรงกัน","ไม่ตรง"))</f>
        <v/>
      </c>
      <c r="N2172" s="14">
        <f>IF(L2172="","",ROUND(L2172*'สรุป'!$C$6,-1))</f>
        <v/>
      </c>
      <c r="O2172" s="15" t="n"/>
      <c r="P2172" s="15" t="n"/>
      <c r="Q2172" s="10" t="n"/>
      <c r="R2172" s="10" t="n"/>
      <c r="S2172" s="16" t="inlineStr">
        <is>
          <t>https://mstgolf.co.th/products/gf3500201808</t>
        </is>
      </c>
      <c r="T2172" s="1">
        <f>IF(B2172="ไม้กอล์ฟ",J2172,"")</f>
        <v/>
      </c>
    </row>
    <row r="2173">
      <c r="A2173" s="1" t="n">
        <v>3</v>
      </c>
      <c r="B2173" s="1" t="inlineStr">
        <is>
          <t>เสื้อผ้า</t>
        </is>
      </c>
      <c r="C2173" s="1" t="inlineStr">
        <is>
          <t>gf2040118836</t>
        </is>
      </c>
      <c r="D2173" s="1" t="inlineStr">
        <is>
          <t>WAAC Athletic Forest Stretch Men's Polo (Orange)</t>
        </is>
      </c>
      <c r="E2173" s="1" t="inlineStr">
        <is>
          <t>WAAC</t>
        </is>
      </c>
      <c r="F2173" s="1" t="inlineStr">
        <is>
          <t>SHORT SLEEVES</t>
        </is>
      </c>
      <c r="G2173" s="1" t="inlineStr">
        <is>
          <t>GF2040118836S</t>
        </is>
      </c>
      <c r="H2173" s="1" t="n">
        <v>5</v>
      </c>
      <c r="I2173" s="1" t="inlineStr">
        <is>
          <t>มี</t>
        </is>
      </c>
      <c r="J2173" s="13" t="n">
        <v>135</v>
      </c>
      <c r="K2173" s="1" t="inlineStr"/>
      <c r="L2173" s="13" t="n">
        <v>135</v>
      </c>
      <c r="M2173" s="1">
        <f>IF(L2173="","ไม่พบใน SG",IF(ABS(J2173-L2173)&lt;0.005,"ตรงกัน","ไม่ตรง"))</f>
        <v/>
      </c>
      <c r="N2173" s="14">
        <f>IF(L2173="","",ROUND(L2173*'สรุป'!$C$6,-1))</f>
        <v/>
      </c>
      <c r="O2173" s="15" t="n"/>
      <c r="P2173" s="15" t="n"/>
      <c r="Q2173" s="10" t="n"/>
      <c r="R2173" s="10" t="n"/>
      <c r="S2173" s="16" t="inlineStr">
        <is>
          <t>https://mstgolf.co.th/products/gf2040118836</t>
        </is>
      </c>
      <c r="T2173" s="1">
        <f>IF(B2173="ไม้กอล์ฟ",J2173,"")</f>
        <v/>
      </c>
    </row>
    <row r="2174">
      <c r="A2174" s="1" t="n">
        <v>3</v>
      </c>
      <c r="B2174" s="1" t="inlineStr">
        <is>
          <t>หมวก</t>
        </is>
      </c>
      <c r="C2174" s="1" t="inlineStr">
        <is>
          <t>gf2000300470</t>
        </is>
      </c>
      <c r="D2174" s="1" t="inlineStr">
        <is>
          <t>WAAC Athletic Men's Bucket Hat (Navy)</t>
        </is>
      </c>
      <c r="E2174" s="1" t="inlineStr">
        <is>
          <t>WAAC</t>
        </is>
      </c>
      <c r="F2174" s="1" t="inlineStr">
        <is>
          <t>HAT</t>
        </is>
      </c>
      <c r="G2174" s="1" t="inlineStr">
        <is>
          <t>GF200030047057</t>
        </is>
      </c>
      <c r="H2174" s="1" t="n">
        <v>2</v>
      </c>
      <c r="I2174" s="1" t="inlineStr">
        <is>
          <t>มี</t>
        </is>
      </c>
      <c r="J2174" s="13" t="n">
        <v>135</v>
      </c>
      <c r="K2174" s="1" t="inlineStr"/>
      <c r="L2174" s="13" t="n">
        <v>135</v>
      </c>
      <c r="M2174" s="1">
        <f>IF(L2174="","ไม่พบใน SG",IF(ABS(J2174-L2174)&lt;0.005,"ตรงกัน","ไม่ตรง"))</f>
        <v/>
      </c>
      <c r="N2174" s="14">
        <f>IF(L2174="","",ROUND(L2174*'สรุป'!$C$6,-1))</f>
        <v/>
      </c>
      <c r="O2174" s="15" t="n"/>
      <c r="P2174" s="15" t="n"/>
      <c r="Q2174" s="10" t="n"/>
      <c r="R2174" s="10" t="n"/>
      <c r="S2174" s="16" t="inlineStr">
        <is>
          <t>https://mstgolf.co.th/products/gf2000300470</t>
        </is>
      </c>
      <c r="T2174" s="1">
        <f>IF(B2174="ไม้กอล์ฟ",J2174,"")</f>
        <v/>
      </c>
    </row>
    <row r="2175">
      <c r="A2175" s="1" t="n">
        <v>3</v>
      </c>
      <c r="B2175" s="1" t="inlineStr">
        <is>
          <t>หมวก</t>
        </is>
      </c>
      <c r="C2175" s="1" t="inlineStr">
        <is>
          <t>gf2000300469</t>
        </is>
      </c>
      <c r="D2175" s="1" t="inlineStr">
        <is>
          <t>WAAC Athletic Men's Bucket Hat (White)</t>
        </is>
      </c>
      <c r="E2175" s="1" t="inlineStr">
        <is>
          <t>WAAC</t>
        </is>
      </c>
      <c r="F2175" s="1" t="inlineStr">
        <is>
          <t>HAT</t>
        </is>
      </c>
      <c r="G2175" s="1" t="inlineStr">
        <is>
          <t>GF200030046959</t>
        </is>
      </c>
      <c r="H2175" s="1" t="n">
        <v>1</v>
      </c>
      <c r="I2175" s="1" t="inlineStr">
        <is>
          <t>มี</t>
        </is>
      </c>
      <c r="J2175" s="13" t="n">
        <v>135</v>
      </c>
      <c r="K2175" s="1" t="inlineStr"/>
      <c r="L2175" s="13" t="n">
        <v>135</v>
      </c>
      <c r="M2175" s="1">
        <f>IF(L2175="","ไม่พบใน SG",IF(ABS(J2175-L2175)&lt;0.005,"ตรงกัน","ไม่ตรง"))</f>
        <v/>
      </c>
      <c r="N2175" s="14">
        <f>IF(L2175="","",ROUND(L2175*'สรุป'!$C$6,-1))</f>
        <v/>
      </c>
      <c r="O2175" s="15" t="n"/>
      <c r="P2175" s="15" t="n"/>
      <c r="Q2175" s="10" t="n"/>
      <c r="R2175" s="10" t="n"/>
      <c r="S2175" s="16" t="inlineStr">
        <is>
          <t>https://mstgolf.co.th/products/gf2000300469</t>
        </is>
      </c>
      <c r="T2175" s="1">
        <f>IF(B2175="ไม้กอล์ฟ",J2175,"")</f>
        <v/>
      </c>
    </row>
    <row r="2176">
      <c r="A2176" s="1" t="n">
        <v>3</v>
      </c>
      <c r="B2176" s="1" t="inlineStr">
        <is>
          <t>หมวก</t>
        </is>
      </c>
      <c r="C2176" s="1" t="inlineStr">
        <is>
          <t>gf2000300480</t>
        </is>
      </c>
      <c r="D2176" s="1" t="inlineStr">
        <is>
          <t>WAAC Desert Women's Bucket Hat (White)</t>
        </is>
      </c>
      <c r="E2176" s="1" t="inlineStr">
        <is>
          <t>WAAC</t>
        </is>
      </c>
      <c r="F2176" s="1" t="inlineStr">
        <is>
          <t>HAT</t>
        </is>
      </c>
      <c r="G2176" s="1" t="inlineStr">
        <is>
          <t>GF200030048057</t>
        </is>
      </c>
      <c r="H2176" s="1" t="n">
        <v>1</v>
      </c>
      <c r="I2176" s="1" t="inlineStr">
        <is>
          <t>มี</t>
        </is>
      </c>
      <c r="J2176" s="13" t="n">
        <v>135</v>
      </c>
      <c r="K2176" s="1" t="inlineStr"/>
      <c r="L2176" s="13" t="n">
        <v>135</v>
      </c>
      <c r="M2176" s="1">
        <f>IF(L2176="","ไม่พบใน SG",IF(ABS(J2176-L2176)&lt;0.005,"ตรงกัน","ไม่ตรง"))</f>
        <v/>
      </c>
      <c r="N2176" s="14">
        <f>IF(L2176="","",ROUND(L2176*'สรุป'!$C$6,-1))</f>
        <v/>
      </c>
      <c r="O2176" s="15" t="n"/>
      <c r="P2176" s="15" t="n"/>
      <c r="Q2176" s="10" t="n"/>
      <c r="R2176" s="10" t="n"/>
      <c r="S2176" s="16" t="inlineStr">
        <is>
          <t>https://mstgolf.co.th/products/gf2000300480</t>
        </is>
      </c>
      <c r="T2176" s="1">
        <f>IF(B2176="ไม้กอล์ฟ",J2176,"")</f>
        <v/>
      </c>
    </row>
    <row r="2177">
      <c r="A2177" s="1" t="n">
        <v>3</v>
      </c>
      <c r="B2177" s="1" t="inlineStr">
        <is>
          <t>หมวก</t>
        </is>
      </c>
      <c r="C2177" s="1" t="inlineStr">
        <is>
          <t>gf2000300477</t>
        </is>
      </c>
      <c r="D2177" s="1" t="inlineStr">
        <is>
          <t>WAAC Floppy Women's Hat (Beige)</t>
        </is>
      </c>
      <c r="E2177" s="1" t="inlineStr">
        <is>
          <t>WAAC</t>
        </is>
      </c>
      <c r="F2177" s="1" t="inlineStr">
        <is>
          <t>HAT</t>
        </is>
      </c>
      <c r="G2177" s="1" t="inlineStr">
        <is>
          <t>GF200030047758</t>
        </is>
      </c>
      <c r="H2177" s="1" t="n">
        <v>1</v>
      </c>
      <c r="I2177" s="1" t="inlineStr">
        <is>
          <t>มี</t>
        </is>
      </c>
      <c r="J2177" s="13" t="n">
        <v>135</v>
      </c>
      <c r="K2177" s="1" t="inlineStr"/>
      <c r="L2177" s="13" t="n">
        <v>135</v>
      </c>
      <c r="M2177" s="1">
        <f>IF(L2177="","ไม่พบใน SG",IF(ABS(J2177-L2177)&lt;0.005,"ตรงกัน","ไม่ตรง"))</f>
        <v/>
      </c>
      <c r="N2177" s="14">
        <f>IF(L2177="","",ROUND(L2177*'สรุป'!$C$6,-1))</f>
        <v/>
      </c>
      <c r="O2177" s="15" t="n"/>
      <c r="P2177" s="15" t="n"/>
      <c r="Q2177" s="10" t="n"/>
      <c r="R2177" s="10" t="n"/>
      <c r="S2177" s="16" t="inlineStr">
        <is>
          <t>https://mstgolf.co.th/products/gf2000300477</t>
        </is>
      </c>
      <c r="T2177" s="1">
        <f>IF(B2177="ไม้กอล์ฟ",J2177,"")</f>
        <v/>
      </c>
    </row>
    <row r="2178">
      <c r="A2178" s="1" t="n">
        <v>3</v>
      </c>
      <c r="B2178" s="1" t="inlineStr">
        <is>
          <t>หมวก</t>
        </is>
      </c>
      <c r="C2178" s="1" t="inlineStr">
        <is>
          <t>gf2000300478</t>
        </is>
      </c>
      <c r="D2178" s="1" t="inlineStr">
        <is>
          <t>WAAC Floppy Women's Hat (Navy)</t>
        </is>
      </c>
      <c r="E2178" s="1" t="inlineStr">
        <is>
          <t>WAAC</t>
        </is>
      </c>
      <c r="F2178" s="1" t="inlineStr">
        <is>
          <t>HAT</t>
        </is>
      </c>
      <c r="G2178" s="1" t="inlineStr">
        <is>
          <t>GF200030047858</t>
        </is>
      </c>
      <c r="H2178" s="1" t="n">
        <v>1</v>
      </c>
      <c r="I2178" s="1" t="inlineStr">
        <is>
          <t>มี</t>
        </is>
      </c>
      <c r="J2178" s="13" t="n">
        <v>135</v>
      </c>
      <c r="K2178" s="1" t="inlineStr"/>
      <c r="L2178" s="13" t="n">
        <v>135</v>
      </c>
      <c r="M2178" s="1">
        <f>IF(L2178="","ไม่พบใน SG",IF(ABS(J2178-L2178)&lt;0.005,"ตรงกัน","ไม่ตรง"))</f>
        <v/>
      </c>
      <c r="N2178" s="14">
        <f>IF(L2178="","",ROUND(L2178*'สรุป'!$C$6,-1))</f>
        <v/>
      </c>
      <c r="O2178" s="15" t="n"/>
      <c r="P2178" s="15" t="n"/>
      <c r="Q2178" s="10" t="n"/>
      <c r="R2178" s="10" t="n"/>
      <c r="S2178" s="16" t="inlineStr">
        <is>
          <t>https://mstgolf.co.th/products/gf2000300478</t>
        </is>
      </c>
      <c r="T2178" s="1">
        <f>IF(B2178="ไม้กอล์ฟ",J2178,"")</f>
        <v/>
      </c>
    </row>
    <row r="2179">
      <c r="A2179" s="1" t="n">
        <v>3</v>
      </c>
      <c r="B2179" s="1" t="inlineStr">
        <is>
          <t>หมวก</t>
        </is>
      </c>
      <c r="C2179" s="1" t="inlineStr">
        <is>
          <t>gf2000300476</t>
        </is>
      </c>
      <c r="D2179" s="1" t="inlineStr">
        <is>
          <t>WAAC Slogan Women's Bucket Hat (White)</t>
        </is>
      </c>
      <c r="E2179" s="1" t="inlineStr">
        <is>
          <t>WAAC</t>
        </is>
      </c>
      <c r="F2179" s="1" t="inlineStr">
        <is>
          <t>HAT</t>
        </is>
      </c>
      <c r="G2179" s="1" t="inlineStr">
        <is>
          <t>GF200030047658</t>
        </is>
      </c>
      <c r="H2179" s="1" t="n">
        <v>1</v>
      </c>
      <c r="I2179" s="1" t="inlineStr">
        <is>
          <t>มี</t>
        </is>
      </c>
      <c r="J2179" s="13" t="n">
        <v>135</v>
      </c>
      <c r="K2179" s="1" t="inlineStr"/>
      <c r="L2179" s="13" t="n">
        <v>135</v>
      </c>
      <c r="M2179" s="1">
        <f>IF(L2179="","ไม่พบใน SG",IF(ABS(J2179-L2179)&lt;0.005,"ตรงกัน","ไม่ตรง"))</f>
        <v/>
      </c>
      <c r="N2179" s="14">
        <f>IF(L2179="","",ROUND(L2179*'สรุป'!$C$6,-1))</f>
        <v/>
      </c>
      <c r="O2179" s="15" t="n"/>
      <c r="P2179" s="15" t="n"/>
      <c r="Q2179" s="10" t="n"/>
      <c r="R2179" s="10" t="n"/>
      <c r="S2179" s="16" t="inlineStr">
        <is>
          <t>https://mstgolf.co.th/products/gf2000300476</t>
        </is>
      </c>
      <c r="T2179" s="1">
        <f>IF(B2179="ไม้กอล์ฟ",J2179,"")</f>
        <v/>
      </c>
    </row>
    <row r="2180">
      <c r="A2180" s="1" t="n">
        <v>3</v>
      </c>
      <c r="B2180" s="1" t="inlineStr">
        <is>
          <t>หมวก</t>
        </is>
      </c>
      <c r="C2180" s="1" t="inlineStr">
        <is>
          <t>gf2000300472</t>
        </is>
      </c>
      <c r="D2180" s="1" t="inlineStr">
        <is>
          <t>WAAC Uni Waacky Men's Bucket Hat (Black)</t>
        </is>
      </c>
      <c r="E2180" s="1" t="inlineStr">
        <is>
          <t>WAAC</t>
        </is>
      </c>
      <c r="F2180" s="1" t="inlineStr">
        <is>
          <t>HAT</t>
        </is>
      </c>
      <c r="G2180" s="1" t="inlineStr">
        <is>
          <t>GF200030047259</t>
        </is>
      </c>
      <c r="H2180" s="1" t="n">
        <v>1</v>
      </c>
      <c r="I2180" s="1" t="inlineStr">
        <is>
          <t>มี</t>
        </is>
      </c>
      <c r="J2180" s="13" t="n">
        <v>135</v>
      </c>
      <c r="K2180" s="1" t="inlineStr"/>
      <c r="L2180" s="13" t="n">
        <v>135</v>
      </c>
      <c r="M2180" s="1">
        <f>IF(L2180="","ไม่พบใน SG",IF(ABS(J2180-L2180)&lt;0.005,"ตรงกัน","ไม่ตรง"))</f>
        <v/>
      </c>
      <c r="N2180" s="14">
        <f>IF(L2180="","",ROUND(L2180*'สรุป'!$C$6,-1))</f>
        <v/>
      </c>
      <c r="O2180" s="15" t="n"/>
      <c r="P2180" s="15" t="n"/>
      <c r="Q2180" s="10" t="n"/>
      <c r="R2180" s="10" t="n"/>
      <c r="S2180" s="16" t="inlineStr">
        <is>
          <t>https://mstgolf.co.th/products/gf2000300472</t>
        </is>
      </c>
      <c r="T2180" s="1">
        <f>IF(B2180="ไม้กอล์ฟ",J2180,"")</f>
        <v/>
      </c>
    </row>
    <row r="2181">
      <c r="A2181" s="1" t="n">
        <v>3</v>
      </c>
      <c r="B2181" s="1" t="inlineStr">
        <is>
          <t>หมวก</t>
        </is>
      </c>
      <c r="C2181" s="1" t="inlineStr">
        <is>
          <t>gf2000300473</t>
        </is>
      </c>
      <c r="D2181" s="1" t="inlineStr">
        <is>
          <t>WAAC Uni Waacky Men's Bucket Hat (White)</t>
        </is>
      </c>
      <c r="E2181" s="1" t="inlineStr">
        <is>
          <t>WAAC</t>
        </is>
      </c>
      <c r="F2181" s="1" t="inlineStr">
        <is>
          <t>HAT</t>
        </is>
      </c>
      <c r="G2181" s="1" t="inlineStr">
        <is>
          <t>GF200030047357</t>
        </is>
      </c>
      <c r="H2181" s="1" t="n">
        <v>2</v>
      </c>
      <c r="I2181" s="1" t="inlineStr">
        <is>
          <t>มี</t>
        </is>
      </c>
      <c r="J2181" s="13" t="n">
        <v>135</v>
      </c>
      <c r="K2181" s="1" t="inlineStr"/>
      <c r="L2181" s="13" t="n">
        <v>135</v>
      </c>
      <c r="M2181" s="1">
        <f>IF(L2181="","ไม่พบใน SG",IF(ABS(J2181-L2181)&lt;0.005,"ตรงกัน","ไม่ตรง"))</f>
        <v/>
      </c>
      <c r="N2181" s="14">
        <f>IF(L2181="","",ROUND(L2181*'สรุป'!$C$6,-1))</f>
        <v/>
      </c>
      <c r="O2181" s="15" t="n"/>
      <c r="P2181" s="15" t="n"/>
      <c r="Q2181" s="10" t="n"/>
      <c r="R2181" s="10" t="n"/>
      <c r="S2181" s="16" t="inlineStr">
        <is>
          <t>https://mstgolf.co.th/products/gf2000300473</t>
        </is>
      </c>
      <c r="T2181" s="1">
        <f>IF(B2181="ไม้กอล์ฟ",J2181,"")</f>
        <v/>
      </c>
    </row>
    <row r="2182">
      <c r="A2182" s="1" t="n">
        <v>3</v>
      </c>
      <c r="B2182" s="1" t="inlineStr">
        <is>
          <t>หมวก</t>
        </is>
      </c>
      <c r="C2182" s="1" t="inlineStr">
        <is>
          <t>gf2000300479</t>
        </is>
      </c>
      <c r="D2182" s="1" t="inlineStr">
        <is>
          <t>WAAC Women's Wide Bucket Hat (Black)</t>
        </is>
      </c>
      <c r="E2182" s="1" t="inlineStr">
        <is>
          <t>WAAC</t>
        </is>
      </c>
      <c r="F2182" s="1" t="inlineStr">
        <is>
          <t>HAT</t>
        </is>
      </c>
      <c r="G2182" s="1" t="inlineStr">
        <is>
          <t>GF200030047957</t>
        </is>
      </c>
      <c r="H2182" s="1" t="n">
        <v>1</v>
      </c>
      <c r="I2182" s="1" t="inlineStr">
        <is>
          <t>มี</t>
        </is>
      </c>
      <c r="J2182" s="13" t="n">
        <v>135</v>
      </c>
      <c r="K2182" s="1" t="inlineStr"/>
      <c r="L2182" s="13" t="n">
        <v>135</v>
      </c>
      <c r="M2182" s="1">
        <f>IF(L2182="","ไม่พบใน SG",IF(ABS(J2182-L2182)&lt;0.005,"ตรงกัน","ไม่ตรง"))</f>
        <v/>
      </c>
      <c r="N2182" s="14">
        <f>IF(L2182="","",ROUND(L2182*'สรุป'!$C$6,-1))</f>
        <v/>
      </c>
      <c r="O2182" s="15" t="n"/>
      <c r="P2182" s="15" t="n"/>
      <c r="Q2182" s="10" t="n"/>
      <c r="R2182" s="10" t="n"/>
      <c r="S2182" s="16" t="inlineStr">
        <is>
          <t>https://mstgolf.co.th/products/gf2000300479</t>
        </is>
      </c>
      <c r="T2182" s="1">
        <f>IF(B2182="ไม้กอล์ฟ",J2182,"")</f>
        <v/>
      </c>
    </row>
    <row r="2183">
      <c r="A2183" s="1" t="n">
        <v>3</v>
      </c>
      <c r="B2183" s="1" t="inlineStr">
        <is>
          <t>เสื้อผ้า</t>
        </is>
      </c>
      <c r="C2183" s="1" t="inlineStr">
        <is>
          <t>gf2040119744</t>
        </is>
      </c>
      <c r="D2183" s="1" t="inlineStr">
        <is>
          <t>MANORS Lightweight Men's Polo (White)</t>
        </is>
      </c>
      <c r="E2183" s="1" t="inlineStr">
        <is>
          <t>MANORS</t>
        </is>
      </c>
      <c r="F2183" s="1" t="inlineStr">
        <is>
          <t>SHORT SLEEVES</t>
        </is>
      </c>
      <c r="G2183" s="1" t="inlineStr">
        <is>
          <t>GF2040119744S</t>
        </is>
      </c>
      <c r="H2183" s="1" t="n">
        <v>4</v>
      </c>
      <c r="I2183" s="1" t="inlineStr">
        <is>
          <t>มี</t>
        </is>
      </c>
      <c r="J2183" s="13" t="n">
        <v>130</v>
      </c>
      <c r="K2183" s="1" t="inlineStr"/>
      <c r="L2183" s="13" t="n">
        <v>130</v>
      </c>
      <c r="M2183" s="1">
        <f>IF(L2183="","ไม่พบใน SG",IF(ABS(J2183-L2183)&lt;0.005,"ตรงกัน","ไม่ตรง"))</f>
        <v/>
      </c>
      <c r="N2183" s="14">
        <f>IF(L2183="","",ROUND(L2183*'สรุป'!$C$6,-1))</f>
        <v/>
      </c>
      <c r="O2183" s="15" t="n"/>
      <c r="P2183" s="15" t="n"/>
      <c r="Q2183" s="10" t="n"/>
      <c r="R2183" s="10" t="n"/>
      <c r="S2183" s="16" t="inlineStr">
        <is>
          <t>https://mstgolf.co.th/products/gf2040119744</t>
        </is>
      </c>
      <c r="T2183" s="1">
        <f>IF(B2183="ไม้กอล์ฟ",J2183,"")</f>
        <v/>
      </c>
    </row>
    <row r="2184">
      <c r="A2184" s="1" t="n">
        <v>3</v>
      </c>
      <c r="B2184" s="1" t="inlineStr">
        <is>
          <t>เสื้อผ้า</t>
        </is>
      </c>
      <c r="C2184" s="1" t="inlineStr">
        <is>
          <t>gf2040119745</t>
        </is>
      </c>
      <c r="D2184" s="1" t="inlineStr">
        <is>
          <t>MANORS Lightweight Men's Polo (Yellow)</t>
        </is>
      </c>
      <c r="E2184" s="1" t="inlineStr">
        <is>
          <t>MANORS</t>
        </is>
      </c>
      <c r="F2184" s="1" t="inlineStr">
        <is>
          <t>SHORT SLEEVES</t>
        </is>
      </c>
      <c r="G2184" s="1" t="inlineStr">
        <is>
          <t>GF2040119745S</t>
        </is>
      </c>
      <c r="H2184" s="1" t="n">
        <v>4</v>
      </c>
      <c r="I2184" s="1" t="inlineStr">
        <is>
          <t>มี</t>
        </is>
      </c>
      <c r="J2184" s="13" t="n">
        <v>130</v>
      </c>
      <c r="K2184" s="1" t="inlineStr"/>
      <c r="L2184" s="13" t="n">
        <v>130</v>
      </c>
      <c r="M2184" s="1">
        <f>IF(L2184="","ไม่พบใน SG",IF(ABS(J2184-L2184)&lt;0.005,"ตรงกัน","ไม่ตรง"))</f>
        <v/>
      </c>
      <c r="N2184" s="14">
        <f>IF(L2184="","",ROUND(L2184*'สรุป'!$C$6,-1))</f>
        <v/>
      </c>
      <c r="O2184" s="15" t="n"/>
      <c r="P2184" s="15" t="n"/>
      <c r="Q2184" s="10" t="n"/>
      <c r="R2184" s="10" t="n"/>
      <c r="S2184" s="16" t="inlineStr">
        <is>
          <t>https://mstgolf.co.th/products/gf2040119745</t>
        </is>
      </c>
      <c r="T2184" s="1">
        <f>IF(B2184="ไม้กอล์ฟ",J2184,"")</f>
        <v/>
      </c>
    </row>
    <row r="2185">
      <c r="A2185" s="1" t="n">
        <v>3</v>
      </c>
      <c r="B2185" s="1" t="inlineStr">
        <is>
          <t>เสื้อผ้า</t>
        </is>
      </c>
      <c r="C2185" s="1" t="inlineStr">
        <is>
          <t>gf2040119985</t>
        </is>
      </c>
      <c r="D2185" s="1" t="inlineStr">
        <is>
          <t>WAAC Athletic Essential Women's Pique Polo (Light Blue)</t>
        </is>
      </c>
      <c r="E2185" s="1" t="inlineStr">
        <is>
          <t>WAAC</t>
        </is>
      </c>
      <c r="F2185" s="1" t="inlineStr">
        <is>
          <t>SHORT SLEEVES</t>
        </is>
      </c>
      <c r="G2185" s="1" t="inlineStr">
        <is>
          <t>GF2040119985XS</t>
        </is>
      </c>
      <c r="H2185" s="1" t="n">
        <v>6</v>
      </c>
      <c r="I2185" s="1" t="inlineStr">
        <is>
          <t>มี</t>
        </is>
      </c>
      <c r="J2185" s="13" t="n">
        <v>130</v>
      </c>
      <c r="K2185" s="1" t="inlineStr"/>
      <c r="L2185" s="13" t="n">
        <v>130</v>
      </c>
      <c r="M2185" s="1">
        <f>IF(L2185="","ไม่พบใน SG",IF(ABS(J2185-L2185)&lt;0.005,"ตรงกัน","ไม่ตรง"))</f>
        <v/>
      </c>
      <c r="N2185" s="14">
        <f>IF(L2185="","",ROUND(L2185*'สรุป'!$C$6,-1))</f>
        <v/>
      </c>
      <c r="O2185" s="15" t="n"/>
      <c r="P2185" s="15" t="n"/>
      <c r="Q2185" s="10" t="n"/>
      <c r="R2185" s="10" t="n"/>
      <c r="S2185" s="16" t="inlineStr">
        <is>
          <t>https://mstgolf.co.th/products/gf2040119985</t>
        </is>
      </c>
      <c r="T2185" s="1">
        <f>IF(B2185="ไม้กอล์ฟ",J2185,"")</f>
        <v/>
      </c>
    </row>
    <row r="2186">
      <c r="A2186" s="1" t="n">
        <v>3</v>
      </c>
      <c r="B2186" s="1" t="inlineStr">
        <is>
          <t>เสื้อผ้า</t>
        </is>
      </c>
      <c r="C2186" s="1" t="inlineStr">
        <is>
          <t>gf2040121105</t>
        </is>
      </c>
      <c r="D2186" s="1" t="inlineStr">
        <is>
          <t>ADIDAS Originals All Over Trefoil Men's Polo (White/Indigo)</t>
        </is>
      </c>
      <c r="E2186" s="1" t="inlineStr">
        <is>
          <t>ADIDAS</t>
        </is>
      </c>
      <c r="F2186" s="1" t="inlineStr">
        <is>
          <t>SHORT SLEEVES</t>
        </is>
      </c>
      <c r="G2186" s="1" t="inlineStr">
        <is>
          <t>GF2040121105XS</t>
        </is>
      </c>
      <c r="H2186" s="1" t="n">
        <v>6</v>
      </c>
      <c r="I2186" s="1" t="inlineStr">
        <is>
          <t>มี</t>
        </is>
      </c>
      <c r="J2186" s="13" t="n">
        <v>129</v>
      </c>
      <c r="K2186" s="1" t="inlineStr"/>
      <c r="L2186" s="13" t="n">
        <v>115</v>
      </c>
      <c r="M2186" s="1">
        <f>IF(L2186="","ไม่พบใน SG",IF(ABS(J2186-L2186)&lt;0.005,"ตรงกัน","ไม่ตรง"))</f>
        <v/>
      </c>
      <c r="N2186" s="14">
        <f>IF(L2186="","",ROUND(L2186*'สรุป'!$C$6,-1))</f>
        <v/>
      </c>
      <c r="O2186" s="15" t="n"/>
      <c r="P2186" s="15" t="n"/>
      <c r="Q2186" s="10" t="n"/>
      <c r="R2186" s="10" t="n"/>
      <c r="S2186" s="16" t="inlineStr">
        <is>
          <t>https://mstgolf.co.th/products/gf2040121105</t>
        </is>
      </c>
      <c r="T2186" s="1">
        <f>IF(B2186="ไม้กอล์ฟ",J2186,"")</f>
        <v/>
      </c>
    </row>
    <row r="2187">
      <c r="A2187" s="1" t="n">
        <v>3</v>
      </c>
      <c r="B2187" s="1" t="inlineStr">
        <is>
          <t>เสื้อผ้า</t>
        </is>
      </c>
      <c r="C2187" s="1" t="inlineStr">
        <is>
          <t>gf2040121104</t>
        </is>
      </c>
      <c r="D2187" s="1" t="inlineStr">
        <is>
          <t>ADIDAS Originals All Over Trefoil Men's Polo (White/Orange)</t>
        </is>
      </c>
      <c r="E2187" s="1" t="inlineStr">
        <is>
          <t>ADIDAS</t>
        </is>
      </c>
      <c r="F2187" s="1" t="inlineStr">
        <is>
          <t>SHORT SLEEVES</t>
        </is>
      </c>
      <c r="G2187" s="1" t="inlineStr">
        <is>
          <t>GF2040121104XS</t>
        </is>
      </c>
      <c r="H2187" s="1" t="n">
        <v>6</v>
      </c>
      <c r="I2187" s="1" t="inlineStr">
        <is>
          <t>มี</t>
        </is>
      </c>
      <c r="J2187" s="13" t="n">
        <v>129</v>
      </c>
      <c r="K2187" s="1" t="inlineStr"/>
      <c r="L2187" s="13" t="n">
        <v>115</v>
      </c>
      <c r="M2187" s="1">
        <f>IF(L2187="","ไม่พบใน SG",IF(ABS(J2187-L2187)&lt;0.005,"ตรงกัน","ไม่ตรง"))</f>
        <v/>
      </c>
      <c r="N2187" s="14">
        <f>IF(L2187="","",ROUND(L2187*'สรุป'!$C$6,-1))</f>
        <v/>
      </c>
      <c r="O2187" s="15" t="n"/>
      <c r="P2187" s="15" t="n"/>
      <c r="Q2187" s="10" t="n"/>
      <c r="R2187" s="10" t="n"/>
      <c r="S2187" s="16" t="inlineStr">
        <is>
          <t>https://mstgolf.co.th/products/gf2040121104</t>
        </is>
      </c>
      <c r="T2187" s="1">
        <f>IF(B2187="ไม้กอล์ฟ",J2187,"")</f>
        <v/>
      </c>
    </row>
    <row r="2188">
      <c r="A2188" s="1" t="n">
        <v>3</v>
      </c>
      <c r="B2188" s="1" t="inlineStr">
        <is>
          <t>เสื้อผ้า</t>
        </is>
      </c>
      <c r="C2188" s="1" t="inlineStr">
        <is>
          <t>gf2040120483</t>
        </is>
      </c>
      <c r="D2188" s="1" t="inlineStr">
        <is>
          <t>ADIDAS Originals Archive Pocket Men's Polo (Blue)</t>
        </is>
      </c>
      <c r="E2188" s="1" t="inlineStr">
        <is>
          <t>ADIDAS</t>
        </is>
      </c>
      <c r="F2188" s="1" t="inlineStr">
        <is>
          <t>SHORT SLEEVES</t>
        </is>
      </c>
      <c r="G2188" s="1" t="inlineStr">
        <is>
          <t>GF20401204832XS</t>
        </is>
      </c>
      <c r="H2188" s="1" t="n">
        <v>7</v>
      </c>
      <c r="I2188" s="1" t="inlineStr">
        <is>
          <t>มี</t>
        </is>
      </c>
      <c r="J2188" s="13" t="n">
        <v>129</v>
      </c>
      <c r="K2188" s="1" t="inlineStr"/>
      <c r="L2188" s="13" t="n">
        <v>89</v>
      </c>
      <c r="M2188" s="1">
        <f>IF(L2188="","ไม่พบใน SG",IF(ABS(J2188-L2188)&lt;0.005,"ตรงกัน","ไม่ตรง"))</f>
        <v/>
      </c>
      <c r="N2188" s="14">
        <f>IF(L2188="","",ROUND(L2188*'สรุป'!$C$6,-1))</f>
        <v/>
      </c>
      <c r="O2188" s="15" t="n"/>
      <c r="P2188" s="15" t="n"/>
      <c r="Q2188" s="10" t="n"/>
      <c r="R2188" s="10" t="n"/>
      <c r="S2188" s="16" t="inlineStr">
        <is>
          <t>https://mstgolf.co.th/products/gf2040120483</t>
        </is>
      </c>
      <c r="T2188" s="1">
        <f>IF(B2188="ไม้กอล์ฟ",J2188,"")</f>
        <v/>
      </c>
    </row>
    <row r="2189">
      <c r="A2189" s="1" t="n">
        <v>3</v>
      </c>
      <c r="B2189" s="1" t="inlineStr">
        <is>
          <t>เสื้อผ้า</t>
        </is>
      </c>
      <c r="C2189" s="1" t="inlineStr">
        <is>
          <t>gf2040120486</t>
        </is>
      </c>
      <c r="D2189" s="1" t="inlineStr">
        <is>
          <t>ADIDAS Originals Archive Pocket Men's Polo (Green)</t>
        </is>
      </c>
      <c r="E2189" s="1" t="inlineStr">
        <is>
          <t>ADIDAS</t>
        </is>
      </c>
      <c r="F2189" s="1" t="inlineStr">
        <is>
          <t>SHORT SLEEVES</t>
        </is>
      </c>
      <c r="G2189" s="1" t="inlineStr">
        <is>
          <t>GF20401204862XS</t>
        </is>
      </c>
      <c r="H2189" s="1" t="n">
        <v>7</v>
      </c>
      <c r="I2189" s="1" t="inlineStr">
        <is>
          <t>มี</t>
        </is>
      </c>
      <c r="J2189" s="13" t="n">
        <v>129</v>
      </c>
      <c r="K2189" s="1" t="inlineStr"/>
      <c r="L2189" s="13" t="n">
        <v>89</v>
      </c>
      <c r="M2189" s="1">
        <f>IF(L2189="","ไม่พบใน SG",IF(ABS(J2189-L2189)&lt;0.005,"ตรงกัน","ไม่ตรง"))</f>
        <v/>
      </c>
      <c r="N2189" s="14">
        <f>IF(L2189="","",ROUND(L2189*'สรุป'!$C$6,-1))</f>
        <v/>
      </c>
      <c r="O2189" s="15" t="n"/>
      <c r="P2189" s="15" t="n"/>
      <c r="Q2189" s="10" t="n"/>
      <c r="R2189" s="10" t="n"/>
      <c r="S2189" s="16" t="inlineStr">
        <is>
          <t>https://mstgolf.co.th/products/gf2040120486</t>
        </is>
      </c>
      <c r="T2189" s="1">
        <f>IF(B2189="ไม้กอล์ฟ",J2189,"")</f>
        <v/>
      </c>
    </row>
    <row r="2190">
      <c r="A2190" s="1" t="n">
        <v>3</v>
      </c>
      <c r="B2190" s="1" t="inlineStr">
        <is>
          <t>เสื้อผ้า</t>
        </is>
      </c>
      <c r="C2190" s="1" t="inlineStr">
        <is>
          <t>gf2040120485</t>
        </is>
      </c>
      <c r="D2190" s="1" t="inlineStr">
        <is>
          <t>ADIDAS Originals Archive Pocket Men's Polo (Indigo)</t>
        </is>
      </c>
      <c r="E2190" s="1" t="inlineStr">
        <is>
          <t>ADIDAS</t>
        </is>
      </c>
      <c r="F2190" s="1" t="inlineStr">
        <is>
          <t>SHORT SLEEVES</t>
        </is>
      </c>
      <c r="G2190" s="1" t="inlineStr">
        <is>
          <t>GF20401204852XS</t>
        </is>
      </c>
      <c r="H2190" s="1" t="n">
        <v>7</v>
      </c>
      <c r="I2190" s="1" t="inlineStr">
        <is>
          <t>มี</t>
        </is>
      </c>
      <c r="J2190" s="13" t="n">
        <v>129</v>
      </c>
      <c r="K2190" s="1" t="inlineStr"/>
      <c r="L2190" s="13" t="n">
        <v>89</v>
      </c>
      <c r="M2190" s="1">
        <f>IF(L2190="","ไม่พบใน SG",IF(ABS(J2190-L2190)&lt;0.005,"ตรงกัน","ไม่ตรง"))</f>
        <v/>
      </c>
      <c r="N2190" s="14">
        <f>IF(L2190="","",ROUND(L2190*'สรุป'!$C$6,-1))</f>
        <v/>
      </c>
      <c r="O2190" s="15" t="n"/>
      <c r="P2190" s="15" t="n"/>
      <c r="Q2190" s="10" t="n"/>
      <c r="R2190" s="10" t="n"/>
      <c r="S2190" s="16" t="inlineStr">
        <is>
          <t>https://mstgolf.co.th/products/gf2040120485</t>
        </is>
      </c>
      <c r="T2190" s="1">
        <f>IF(B2190="ไม้กอล์ฟ",J2190,"")</f>
        <v/>
      </c>
    </row>
    <row r="2191">
      <c r="A2191" s="1" t="n">
        <v>3</v>
      </c>
      <c r="B2191" s="1" t="inlineStr">
        <is>
          <t>เสื้อผ้า</t>
        </is>
      </c>
      <c r="C2191" s="1" t="inlineStr">
        <is>
          <t>gf2040120482</t>
        </is>
      </c>
      <c r="D2191" s="1" t="inlineStr">
        <is>
          <t>ADIDAS Originals Archive Pocket Men's Polo (Red)</t>
        </is>
      </c>
      <c r="E2191" s="1" t="inlineStr">
        <is>
          <t>ADIDAS</t>
        </is>
      </c>
      <c r="F2191" s="1" t="inlineStr">
        <is>
          <t>SHORT SLEEVES</t>
        </is>
      </c>
      <c r="G2191" s="1" t="inlineStr">
        <is>
          <t>GF20401204822XS</t>
        </is>
      </c>
      <c r="H2191" s="1" t="n">
        <v>7</v>
      </c>
      <c r="I2191" s="1" t="inlineStr">
        <is>
          <t>มี</t>
        </is>
      </c>
      <c r="J2191" s="13" t="n">
        <v>129</v>
      </c>
      <c r="K2191" s="1" t="inlineStr"/>
      <c r="L2191" s="13" t="n">
        <v>89</v>
      </c>
      <c r="M2191" s="1">
        <f>IF(L2191="","ไม่พบใน SG",IF(ABS(J2191-L2191)&lt;0.005,"ตรงกัน","ไม่ตรง"))</f>
        <v/>
      </c>
      <c r="N2191" s="14">
        <f>IF(L2191="","",ROUND(L2191*'สรุป'!$C$6,-1))</f>
        <v/>
      </c>
      <c r="O2191" s="15" t="n"/>
      <c r="P2191" s="15" t="n"/>
      <c r="Q2191" s="10" t="n"/>
      <c r="R2191" s="10" t="n"/>
      <c r="S2191" s="16" t="inlineStr">
        <is>
          <t>https://mstgolf.co.th/products/gf2040120482</t>
        </is>
      </c>
      <c r="T2191" s="1">
        <f>IF(B2191="ไม้กอล์ฟ",J2191,"")</f>
        <v/>
      </c>
    </row>
    <row r="2192">
      <c r="A2192" s="1" t="n">
        <v>3</v>
      </c>
      <c r="B2192" s="1" t="inlineStr">
        <is>
          <t>เสื้อผ้า</t>
        </is>
      </c>
      <c r="C2192" s="1" t="inlineStr">
        <is>
          <t>gf2040120484</t>
        </is>
      </c>
      <c r="D2192" s="1" t="inlineStr">
        <is>
          <t>ADIDAS Originals Archive Pocket Men's Polo (White)</t>
        </is>
      </c>
      <c r="E2192" s="1" t="inlineStr">
        <is>
          <t>ADIDAS</t>
        </is>
      </c>
      <c r="F2192" s="1" t="inlineStr">
        <is>
          <t>SHORT SLEEVES</t>
        </is>
      </c>
      <c r="G2192" s="1" t="inlineStr">
        <is>
          <t>GF20401204842XS</t>
        </is>
      </c>
      <c r="H2192" s="1" t="n">
        <v>7</v>
      </c>
      <c r="I2192" s="1" t="inlineStr">
        <is>
          <t>มี</t>
        </is>
      </c>
      <c r="J2192" s="13" t="n">
        <v>129</v>
      </c>
      <c r="K2192" s="1" t="inlineStr"/>
      <c r="L2192" s="13" t="n">
        <v>89</v>
      </c>
      <c r="M2192" s="1">
        <f>IF(L2192="","ไม่พบใน SG",IF(ABS(J2192-L2192)&lt;0.005,"ตรงกัน","ไม่ตรง"))</f>
        <v/>
      </c>
      <c r="N2192" s="14">
        <f>IF(L2192="","",ROUND(L2192*'สรุป'!$C$6,-1))</f>
        <v/>
      </c>
      <c r="O2192" s="15" t="n"/>
      <c r="P2192" s="15" t="n"/>
      <c r="Q2192" s="10" t="n"/>
      <c r="R2192" s="10" t="n"/>
      <c r="S2192" s="16" t="inlineStr">
        <is>
          <t>https://mstgolf.co.th/products/gf2040120484</t>
        </is>
      </c>
      <c r="T2192" s="1">
        <f>IF(B2192="ไม้กอล์ฟ",J2192,"")</f>
        <v/>
      </c>
    </row>
    <row r="2193">
      <c r="A2193" s="1" t="n">
        <v>3</v>
      </c>
      <c r="B2193" s="1" t="inlineStr">
        <is>
          <t>อุปกรณ์เสริม</t>
        </is>
      </c>
      <c r="C2193" s="1" t="inlineStr">
        <is>
          <t>gf2080101526</t>
        </is>
      </c>
      <c r="D2193" s="1" t="inlineStr">
        <is>
          <t>ADIDAS Originals Golf Men's Leather Belt (White)</t>
        </is>
      </c>
      <c r="E2193" s="1" t="inlineStr">
        <is>
          <t>ADIDAS</t>
        </is>
      </c>
      <c r="F2193" s="1" t="inlineStr">
        <is>
          <t>BELT</t>
        </is>
      </c>
      <c r="G2193" s="1" t="inlineStr">
        <is>
          <t>GF2080101526M/L</t>
        </is>
      </c>
      <c r="H2193" s="1" t="n">
        <v>2</v>
      </c>
      <c r="I2193" s="1" t="inlineStr">
        <is>
          <t>มี</t>
        </is>
      </c>
      <c r="J2193" s="13" t="n">
        <v>129</v>
      </c>
      <c r="K2193" s="1" t="inlineStr"/>
      <c r="L2193" s="13" t="n">
        <v>115</v>
      </c>
      <c r="M2193" s="1">
        <f>IF(L2193="","ไม่พบใน SG",IF(ABS(J2193-L2193)&lt;0.005,"ตรงกัน","ไม่ตรง"))</f>
        <v/>
      </c>
      <c r="N2193" s="14">
        <f>IF(L2193="","",ROUND(L2193*'สรุป'!$C$6,-1))</f>
        <v/>
      </c>
      <c r="O2193" s="15" t="n"/>
      <c r="P2193" s="15" t="n"/>
      <c r="Q2193" s="10" t="n"/>
      <c r="R2193" s="10" t="n"/>
      <c r="S2193" s="16" t="inlineStr">
        <is>
          <t>https://mstgolf.co.th/products/gf2080101526</t>
        </is>
      </c>
      <c r="T2193" s="1">
        <f>IF(B2193="ไม้กอล์ฟ",J2193,"")</f>
        <v/>
      </c>
    </row>
    <row r="2194">
      <c r="A2194" s="1" t="n">
        <v>3</v>
      </c>
      <c r="B2194" s="1" t="inlineStr">
        <is>
          <t>อุปกรณ์เสริม</t>
        </is>
      </c>
      <c r="C2194" s="1" t="inlineStr">
        <is>
          <t>gf2080101508</t>
        </is>
      </c>
      <c r="D2194" s="1" t="inlineStr">
        <is>
          <t>ADIDAS Originals Men's Belt (Indigo)</t>
        </is>
      </c>
      <c r="E2194" s="1" t="inlineStr">
        <is>
          <t>ADIDAS</t>
        </is>
      </c>
      <c r="F2194" s="1" t="inlineStr">
        <is>
          <t>BELT</t>
        </is>
      </c>
      <c r="G2194" s="1" t="inlineStr">
        <is>
          <t>GF2080101508M/L</t>
        </is>
      </c>
      <c r="H2194" s="1" t="n">
        <v>2</v>
      </c>
      <c r="I2194" s="1" t="inlineStr">
        <is>
          <t>มี</t>
        </is>
      </c>
      <c r="J2194" s="13" t="n">
        <v>129</v>
      </c>
      <c r="K2194" s="1" t="inlineStr"/>
      <c r="L2194" s="13" t="n">
        <v>99</v>
      </c>
      <c r="M2194" s="1">
        <f>IF(L2194="","ไม่พบใน SG",IF(ABS(J2194-L2194)&lt;0.005,"ตรงกัน","ไม่ตรง"))</f>
        <v/>
      </c>
      <c r="N2194" s="14">
        <f>IF(L2194="","",ROUND(L2194*'สรุป'!$C$6,-1))</f>
        <v/>
      </c>
      <c r="O2194" s="15" t="n"/>
      <c r="P2194" s="15" t="n"/>
      <c r="Q2194" s="10" t="n"/>
      <c r="R2194" s="10" t="n"/>
      <c r="S2194" s="16" t="inlineStr">
        <is>
          <t>https://mstgolf.co.th/products/gf2080101508</t>
        </is>
      </c>
      <c r="T2194" s="1">
        <f>IF(B2194="ไม้กอล์ฟ",J2194,"")</f>
        <v/>
      </c>
    </row>
    <row r="2195">
      <c r="A2195" s="1" t="n">
        <v>3</v>
      </c>
      <c r="B2195" s="1" t="inlineStr">
        <is>
          <t>เสื้อผ้า</t>
        </is>
      </c>
      <c r="C2195" s="1" t="inlineStr">
        <is>
          <t>gf2020300131</t>
        </is>
      </c>
      <c r="D2195" s="1" t="inlineStr">
        <is>
          <t>ADIDAS Originals Pleated Skort (Blue)</t>
        </is>
      </c>
      <c r="E2195" s="1" t="inlineStr">
        <is>
          <t>ADIDAS</t>
        </is>
      </c>
      <c r="F2195" s="1" t="inlineStr">
        <is>
          <t>SKORTS</t>
        </is>
      </c>
      <c r="G2195" s="1" t="inlineStr">
        <is>
          <t>GF202030013124</t>
        </is>
      </c>
      <c r="H2195" s="1" t="n">
        <v>6</v>
      </c>
      <c r="I2195" s="1" t="inlineStr">
        <is>
          <t>มี</t>
        </is>
      </c>
      <c r="J2195" s="13" t="n">
        <v>129</v>
      </c>
      <c r="K2195" s="1" t="inlineStr"/>
      <c r="L2195" s="13" t="n">
        <v>89</v>
      </c>
      <c r="M2195" s="1">
        <f>IF(L2195="","ไม่พบใน SG",IF(ABS(J2195-L2195)&lt;0.005,"ตรงกัน","ไม่ตรง"))</f>
        <v/>
      </c>
      <c r="N2195" s="14">
        <f>IF(L2195="","",ROUND(L2195*'สรุป'!$C$6,-1))</f>
        <v/>
      </c>
      <c r="O2195" s="15" t="n"/>
      <c r="P2195" s="15" t="n"/>
      <c r="Q2195" s="10" t="n"/>
      <c r="R2195" s="10" t="n"/>
      <c r="S2195" s="16" t="inlineStr">
        <is>
          <t>https://mstgolf.co.th/products/gf2020300131</t>
        </is>
      </c>
      <c r="T2195" s="1">
        <f>IF(B2195="ไม้กอล์ฟ",J2195,"")</f>
        <v/>
      </c>
    </row>
    <row r="2196">
      <c r="A2196" s="1" t="n">
        <v>3</v>
      </c>
      <c r="B2196" s="1" t="inlineStr">
        <is>
          <t>เสื้อผ้า</t>
        </is>
      </c>
      <c r="C2196" s="1" t="inlineStr">
        <is>
          <t>gf2020300132</t>
        </is>
      </c>
      <c r="D2196" s="1" t="inlineStr">
        <is>
          <t>ADIDAS Originals Pleated Skort (Brown)</t>
        </is>
      </c>
      <c r="E2196" s="1" t="inlineStr">
        <is>
          <t>ADIDAS</t>
        </is>
      </c>
      <c r="F2196" s="1" t="inlineStr">
        <is>
          <t>SKORTS</t>
        </is>
      </c>
      <c r="G2196" s="1" t="inlineStr">
        <is>
          <t>GF202030013228</t>
        </is>
      </c>
      <c r="H2196" s="1" t="n">
        <v>5</v>
      </c>
      <c r="I2196" s="1" t="inlineStr">
        <is>
          <t>มี</t>
        </is>
      </c>
      <c r="J2196" s="13" t="n">
        <v>129</v>
      </c>
      <c r="K2196" s="1" t="inlineStr"/>
      <c r="L2196" s="13" t="n">
        <v>89</v>
      </c>
      <c r="M2196" s="1">
        <f>IF(L2196="","ไม่พบใน SG",IF(ABS(J2196-L2196)&lt;0.005,"ตรงกัน","ไม่ตรง"))</f>
        <v/>
      </c>
      <c r="N2196" s="14">
        <f>IF(L2196="","",ROUND(L2196*'สรุป'!$C$6,-1))</f>
        <v/>
      </c>
      <c r="O2196" s="15" t="n"/>
      <c r="P2196" s="15" t="n"/>
      <c r="Q2196" s="10" t="n"/>
      <c r="R2196" s="10" t="n"/>
      <c r="S2196" s="16" t="inlineStr">
        <is>
          <t>https://mstgolf.co.th/products/gf2020300132</t>
        </is>
      </c>
      <c r="T2196" s="1">
        <f>IF(B2196="ไม้กอล์ฟ",J2196,"")</f>
        <v/>
      </c>
    </row>
    <row r="2197">
      <c r="A2197" s="1" t="n">
        <v>3</v>
      </c>
      <c r="B2197" s="1" t="inlineStr">
        <is>
          <t>เสื้อผ้า</t>
        </is>
      </c>
      <c r="C2197" s="1" t="inlineStr">
        <is>
          <t>gf2020300130</t>
        </is>
      </c>
      <c r="D2197" s="1" t="inlineStr">
        <is>
          <t>ADIDAS Originals Pleated Skort (Hemp)</t>
        </is>
      </c>
      <c r="E2197" s="1" t="inlineStr">
        <is>
          <t>ADIDAS</t>
        </is>
      </c>
      <c r="F2197" s="1" t="inlineStr">
        <is>
          <t>SKORTS</t>
        </is>
      </c>
      <c r="G2197" s="1" t="inlineStr">
        <is>
          <t>GF202030013028</t>
        </is>
      </c>
      <c r="H2197" s="1" t="n">
        <v>5</v>
      </c>
      <c r="I2197" s="1" t="inlineStr">
        <is>
          <t>มี</t>
        </is>
      </c>
      <c r="J2197" s="13" t="n">
        <v>129</v>
      </c>
      <c r="K2197" s="1" t="inlineStr"/>
      <c r="L2197" s="13" t="n">
        <v>89</v>
      </c>
      <c r="M2197" s="1">
        <f>IF(L2197="","ไม่พบใน SG",IF(ABS(J2197-L2197)&lt;0.005,"ตรงกัน","ไม่ตรง"))</f>
        <v/>
      </c>
      <c r="N2197" s="14">
        <f>IF(L2197="","",ROUND(L2197*'สรุป'!$C$6,-1))</f>
        <v/>
      </c>
      <c r="O2197" s="15" t="n"/>
      <c r="P2197" s="15" t="n"/>
      <c r="Q2197" s="10" t="n"/>
      <c r="R2197" s="10" t="n"/>
      <c r="S2197" s="16" t="inlineStr">
        <is>
          <t>https://mstgolf.co.th/products/gf2020300130</t>
        </is>
      </c>
      <c r="T2197" s="1">
        <f>IF(B2197="ไม้กอล์ฟ",J2197,"")</f>
        <v/>
      </c>
    </row>
    <row r="2198">
      <c r="A2198" s="1" t="n">
        <v>3</v>
      </c>
      <c r="B2198" s="1" t="inlineStr">
        <is>
          <t>เสื้อผ้า</t>
        </is>
      </c>
      <c r="C2198" s="1" t="inlineStr">
        <is>
          <t>gf2020300129</t>
        </is>
      </c>
      <c r="D2198" s="1" t="inlineStr">
        <is>
          <t>ADIDAS Originals Pleated Skort (White)</t>
        </is>
      </c>
      <c r="E2198" s="1" t="inlineStr">
        <is>
          <t>ADIDAS</t>
        </is>
      </c>
      <c r="F2198" s="1" t="inlineStr">
        <is>
          <t>SKORTS</t>
        </is>
      </c>
      <c r="G2198" s="1" t="inlineStr">
        <is>
          <t>GF202030012924</t>
        </is>
      </c>
      <c r="H2198" s="1" t="n">
        <v>6</v>
      </c>
      <c r="I2198" s="1" t="inlineStr">
        <is>
          <t>มี</t>
        </is>
      </c>
      <c r="J2198" s="13" t="n">
        <v>129</v>
      </c>
      <c r="K2198" s="1" t="inlineStr"/>
      <c r="L2198" s="13" t="n">
        <v>89</v>
      </c>
      <c r="M2198" s="1">
        <f>IF(L2198="","ไม่พบใน SG",IF(ABS(J2198-L2198)&lt;0.005,"ตรงกัน","ไม่ตรง"))</f>
        <v/>
      </c>
      <c r="N2198" s="14">
        <f>IF(L2198="","",ROUND(L2198*'สรุป'!$C$6,-1))</f>
        <v/>
      </c>
      <c r="O2198" s="15" t="n"/>
      <c r="P2198" s="15" t="n"/>
      <c r="Q2198" s="10" t="n"/>
      <c r="R2198" s="10" t="n"/>
      <c r="S2198" s="16" t="inlineStr">
        <is>
          <t>https://mstgolf.co.th/products/gf2020300129</t>
        </is>
      </c>
      <c r="T2198" s="1">
        <f>IF(B2198="ไม้กอล์ฟ",J2198,"")</f>
        <v/>
      </c>
    </row>
    <row r="2199">
      <c r="A2199" s="1" t="n">
        <v>3</v>
      </c>
      <c r="B2199" s="1" t="inlineStr">
        <is>
          <t>เสื้อผ้า</t>
        </is>
      </c>
      <c r="C2199" s="1" t="inlineStr">
        <is>
          <t>gf2040120495</t>
        </is>
      </c>
      <c r="D2199" s="1" t="inlineStr">
        <is>
          <t>ADIDAS Originals Printed Trefoil Men's Polo (Blue)</t>
        </is>
      </c>
      <c r="E2199" s="1" t="inlineStr">
        <is>
          <t>ADIDAS</t>
        </is>
      </c>
      <c r="F2199" s="1" t="inlineStr">
        <is>
          <t>SHORT SLEEVES</t>
        </is>
      </c>
      <c r="G2199" s="1" t="inlineStr">
        <is>
          <t>GF20401204952XS</t>
        </is>
      </c>
      <c r="H2199" s="1" t="n">
        <v>7</v>
      </c>
      <c r="I2199" s="1" t="inlineStr">
        <is>
          <t>มี</t>
        </is>
      </c>
      <c r="J2199" s="13" t="n">
        <v>129</v>
      </c>
      <c r="K2199" s="1" t="inlineStr"/>
      <c r="L2199" s="13" t="n">
        <v>89</v>
      </c>
      <c r="M2199" s="1">
        <f>IF(L2199="","ไม่พบใน SG",IF(ABS(J2199-L2199)&lt;0.005,"ตรงกัน","ไม่ตรง"))</f>
        <v/>
      </c>
      <c r="N2199" s="14">
        <f>IF(L2199="","",ROUND(L2199*'สรุป'!$C$6,-1))</f>
        <v/>
      </c>
      <c r="O2199" s="15" t="n"/>
      <c r="P2199" s="15" t="n"/>
      <c r="Q2199" s="10" t="n"/>
      <c r="R2199" s="10" t="n"/>
      <c r="S2199" s="16" t="inlineStr">
        <is>
          <t>https://mstgolf.co.th/products/gf2040120495</t>
        </is>
      </c>
      <c r="T2199" s="1">
        <f>IF(B2199="ไม้กอล์ฟ",J2199,"")</f>
        <v/>
      </c>
    </row>
    <row r="2200">
      <c r="A2200" s="1" t="n">
        <v>3</v>
      </c>
      <c r="B2200" s="1" t="inlineStr">
        <is>
          <t>เสื้อผ้า</t>
        </is>
      </c>
      <c r="C2200" s="1" t="inlineStr">
        <is>
          <t>gf2040120497</t>
        </is>
      </c>
      <c r="D2200" s="1" t="inlineStr">
        <is>
          <t>ADIDAS Originals Printed Trefoil Men's Polo (Brown)</t>
        </is>
      </c>
      <c r="E2200" s="1" t="inlineStr">
        <is>
          <t>ADIDAS</t>
        </is>
      </c>
      <c r="F2200" s="1" t="inlineStr">
        <is>
          <t>SHORT SLEEVES</t>
        </is>
      </c>
      <c r="G2200" s="1" t="inlineStr">
        <is>
          <t>GF20401204972XS</t>
        </is>
      </c>
      <c r="H2200" s="1" t="n">
        <v>7</v>
      </c>
      <c r="I2200" s="1" t="inlineStr">
        <is>
          <t>มี</t>
        </is>
      </c>
      <c r="J2200" s="13" t="n">
        <v>129</v>
      </c>
      <c r="K2200" s="1" t="inlineStr"/>
      <c r="L2200" s="13" t="n">
        <v>89</v>
      </c>
      <c r="M2200" s="1">
        <f>IF(L2200="","ไม่พบใน SG",IF(ABS(J2200-L2200)&lt;0.005,"ตรงกัน","ไม่ตรง"))</f>
        <v/>
      </c>
      <c r="N2200" s="14">
        <f>IF(L2200="","",ROUND(L2200*'สรุป'!$C$6,-1))</f>
        <v/>
      </c>
      <c r="O2200" s="15" t="n"/>
      <c r="P2200" s="15" t="n"/>
      <c r="Q2200" s="10" t="n"/>
      <c r="R2200" s="10" t="n"/>
      <c r="S2200" s="16" t="inlineStr">
        <is>
          <t>https://mstgolf.co.th/products/gf2040120497</t>
        </is>
      </c>
      <c r="T2200" s="1">
        <f>IF(B2200="ไม้กอล์ฟ",J2200,"")</f>
        <v/>
      </c>
    </row>
    <row r="2201">
      <c r="A2201" s="1" t="n">
        <v>3</v>
      </c>
      <c r="B2201" s="1" t="inlineStr">
        <is>
          <t>เสื้อผ้า</t>
        </is>
      </c>
      <c r="C2201" s="1" t="inlineStr">
        <is>
          <t>gf2040120496</t>
        </is>
      </c>
      <c r="D2201" s="1" t="inlineStr">
        <is>
          <t>ADIDAS Originals Printed Trefoil Men's Polo (Sky)</t>
        </is>
      </c>
      <c r="E2201" s="1" t="inlineStr">
        <is>
          <t>ADIDAS</t>
        </is>
      </c>
      <c r="F2201" s="1" t="inlineStr">
        <is>
          <t>SHORT SLEEVES</t>
        </is>
      </c>
      <c r="G2201" s="1" t="inlineStr">
        <is>
          <t>GF20401204962XS</t>
        </is>
      </c>
      <c r="H2201" s="1" t="n">
        <v>7</v>
      </c>
      <c r="I2201" s="1" t="inlineStr">
        <is>
          <t>มี</t>
        </is>
      </c>
      <c r="J2201" s="13" t="n">
        <v>129</v>
      </c>
      <c r="K2201" s="1" t="inlineStr"/>
      <c r="L2201" s="13" t="n">
        <v>89</v>
      </c>
      <c r="M2201" s="1">
        <f>IF(L2201="","ไม่พบใน SG",IF(ABS(J2201-L2201)&lt;0.005,"ตรงกัน","ไม่ตรง"))</f>
        <v/>
      </c>
      <c r="N2201" s="14">
        <f>IF(L2201="","",ROUND(L2201*'สรุป'!$C$6,-1))</f>
        <v/>
      </c>
      <c r="O2201" s="15" t="n"/>
      <c r="P2201" s="15" t="n"/>
      <c r="Q2201" s="10" t="n"/>
      <c r="R2201" s="10" t="n"/>
      <c r="S2201" s="16" t="inlineStr">
        <is>
          <t>https://mstgolf.co.th/products/gf2040120496</t>
        </is>
      </c>
      <c r="T2201" s="1">
        <f>IF(B2201="ไม้กอล์ฟ",J2201,"")</f>
        <v/>
      </c>
    </row>
    <row r="2202">
      <c r="A2202" s="1" t="n">
        <v>3</v>
      </c>
      <c r="B2202" s="1" t="inlineStr">
        <is>
          <t>เสื้อผ้า</t>
        </is>
      </c>
      <c r="C2202" s="1" t="inlineStr">
        <is>
          <t>gf2040120494</t>
        </is>
      </c>
      <c r="D2202" s="1" t="inlineStr">
        <is>
          <t>ADIDAS Originals Printed Trefoil Men's Polo (White)</t>
        </is>
      </c>
      <c r="E2202" s="1" t="inlineStr">
        <is>
          <t>ADIDAS</t>
        </is>
      </c>
      <c r="F2202" s="1" t="inlineStr">
        <is>
          <t>SHORT SLEEVES</t>
        </is>
      </c>
      <c r="G2202" s="1" t="inlineStr">
        <is>
          <t>GF20401204942XS</t>
        </is>
      </c>
      <c r="H2202" s="1" t="n">
        <v>7</v>
      </c>
      <c r="I2202" s="1" t="inlineStr">
        <is>
          <t>มี</t>
        </is>
      </c>
      <c r="J2202" s="13" t="n">
        <v>129</v>
      </c>
      <c r="K2202" s="1" t="inlineStr"/>
      <c r="L2202" s="13" t="n">
        <v>89</v>
      </c>
      <c r="M2202" s="1">
        <f>IF(L2202="","ไม่พบใน SG",IF(ABS(J2202-L2202)&lt;0.005,"ตรงกัน","ไม่ตรง"))</f>
        <v/>
      </c>
      <c r="N2202" s="14">
        <f>IF(L2202="","",ROUND(L2202*'สรุป'!$C$6,-1))</f>
        <v/>
      </c>
      <c r="O2202" s="15" t="n"/>
      <c r="P2202" s="15" t="n"/>
      <c r="Q2202" s="10" t="n"/>
      <c r="R2202" s="10" t="n"/>
      <c r="S2202" s="16" t="inlineStr">
        <is>
          <t>https://mstgolf.co.th/products/gf2040120494</t>
        </is>
      </c>
      <c r="T2202" s="1">
        <f>IF(B2202="ไม้กอล์ฟ",J2202,"")</f>
        <v/>
      </c>
    </row>
    <row r="2203">
      <c r="A2203" s="1" t="n">
        <v>3</v>
      </c>
      <c r="B2203" s="1" t="inlineStr">
        <is>
          <t>เสื้อผ้า</t>
        </is>
      </c>
      <c r="C2203" s="1" t="inlineStr">
        <is>
          <t>gf2020300174</t>
        </is>
      </c>
      <c r="D2203" s="1" t="inlineStr">
        <is>
          <t>ADIDAS Originals Skirt (Orange)</t>
        </is>
      </c>
      <c r="E2203" s="1" t="inlineStr">
        <is>
          <t>ADIDAS</t>
        </is>
      </c>
      <c r="F2203" s="1" t="inlineStr">
        <is>
          <t>SKORTS</t>
        </is>
      </c>
      <c r="G2203" s="1" t="inlineStr">
        <is>
          <t>GF202030017424</t>
        </is>
      </c>
      <c r="H2203" s="1" t="n">
        <v>6</v>
      </c>
      <c r="I2203" s="1" t="inlineStr">
        <is>
          <t>มี</t>
        </is>
      </c>
      <c r="J2203" s="13" t="n">
        <v>129</v>
      </c>
      <c r="K2203" s="1" t="inlineStr"/>
      <c r="L2203" s="13" t="n">
        <v>115</v>
      </c>
      <c r="M2203" s="1">
        <f>IF(L2203="","ไม่พบใน SG",IF(ABS(J2203-L2203)&lt;0.005,"ตรงกัน","ไม่ตรง"))</f>
        <v/>
      </c>
      <c r="N2203" s="14">
        <f>IF(L2203="","",ROUND(L2203*'สรุป'!$C$6,-1))</f>
        <v/>
      </c>
      <c r="O2203" s="15" t="n"/>
      <c r="P2203" s="15" t="n"/>
      <c r="Q2203" s="10" t="n"/>
      <c r="R2203" s="10" t="n"/>
      <c r="S2203" s="16" t="inlineStr">
        <is>
          <t>https://mstgolf.co.th/products/gf2020300174</t>
        </is>
      </c>
      <c r="T2203" s="1">
        <f>IF(B2203="ไม้กอล์ฟ",J2203,"")</f>
        <v/>
      </c>
    </row>
    <row r="2204">
      <c r="A2204" s="1" t="n">
        <v>3</v>
      </c>
      <c r="B2204" s="1" t="inlineStr">
        <is>
          <t>เสื้อผ้า</t>
        </is>
      </c>
      <c r="C2204" s="1" t="inlineStr">
        <is>
          <t>gf2020102613</t>
        </is>
      </c>
      <c r="D2204" s="1" t="inlineStr">
        <is>
          <t>ADIDAS Originals Twistknit Men's Pleated Pants (Blue)</t>
        </is>
      </c>
      <c r="E2204" s="1" t="inlineStr">
        <is>
          <t>ADIDAS</t>
        </is>
      </c>
      <c r="F2204" s="1" t="inlineStr">
        <is>
          <t>LONG PANTS</t>
        </is>
      </c>
      <c r="G2204" s="1" t="inlineStr">
        <is>
          <t>GF202010261373</t>
        </is>
      </c>
      <c r="H2204" s="1" t="n">
        <v>7</v>
      </c>
      <c r="I2204" s="1" t="inlineStr">
        <is>
          <t>มี</t>
        </is>
      </c>
      <c r="J2204" s="13" t="n">
        <v>129</v>
      </c>
      <c r="K2204" s="1" t="inlineStr"/>
      <c r="L2204" s="13" t="n">
        <v>89</v>
      </c>
      <c r="M2204" s="1">
        <f>IF(L2204="","ไม่พบใน SG",IF(ABS(J2204-L2204)&lt;0.005,"ตรงกัน","ไม่ตรง"))</f>
        <v/>
      </c>
      <c r="N2204" s="14">
        <f>IF(L2204="","",ROUND(L2204*'สรุป'!$C$6,-1))</f>
        <v/>
      </c>
      <c r="O2204" s="15" t="n"/>
      <c r="P2204" s="15" t="n"/>
      <c r="Q2204" s="10" t="n"/>
      <c r="R2204" s="10" t="n"/>
      <c r="S2204" s="16" t="inlineStr">
        <is>
          <t>https://mstgolf.co.th/products/gf2020102613</t>
        </is>
      </c>
      <c r="T2204" s="1">
        <f>IF(B2204="ไม้กอล์ฟ",J2204,"")</f>
        <v/>
      </c>
    </row>
    <row r="2205">
      <c r="A2205" s="1" t="n">
        <v>3</v>
      </c>
      <c r="B2205" s="1" t="inlineStr">
        <is>
          <t>เสื้อผ้า</t>
        </is>
      </c>
      <c r="C2205" s="1" t="inlineStr">
        <is>
          <t>gf2020102615</t>
        </is>
      </c>
      <c r="D2205" s="1" t="inlineStr">
        <is>
          <t>ADIDAS Originals Twistknit Men's Pleated Pants (Brown)</t>
        </is>
      </c>
      <c r="E2205" s="1" t="inlineStr">
        <is>
          <t>ADIDAS</t>
        </is>
      </c>
      <c r="F2205" s="1" t="inlineStr">
        <is>
          <t>LONG PANTS</t>
        </is>
      </c>
      <c r="G2205" s="1" t="inlineStr">
        <is>
          <t>GF202010261573</t>
        </is>
      </c>
      <c r="H2205" s="1" t="n">
        <v>7</v>
      </c>
      <c r="I2205" s="1" t="inlineStr">
        <is>
          <t>มี</t>
        </is>
      </c>
      <c r="J2205" s="13" t="n">
        <v>129</v>
      </c>
      <c r="K2205" s="1" t="inlineStr"/>
      <c r="L2205" s="13" t="n">
        <v>89</v>
      </c>
      <c r="M2205" s="1">
        <f>IF(L2205="","ไม่พบใน SG",IF(ABS(J2205-L2205)&lt;0.005,"ตรงกัน","ไม่ตรง"))</f>
        <v/>
      </c>
      <c r="N2205" s="14">
        <f>IF(L2205="","",ROUND(L2205*'สรุป'!$C$6,-1))</f>
        <v/>
      </c>
      <c r="O2205" s="15" t="n"/>
      <c r="P2205" s="15" t="n"/>
      <c r="Q2205" s="10" t="n"/>
      <c r="R2205" s="10" t="n"/>
      <c r="S2205" s="16" t="inlineStr">
        <is>
          <t>https://mstgolf.co.th/products/gf2020102615</t>
        </is>
      </c>
      <c r="T2205" s="1">
        <f>IF(B2205="ไม้กอล์ฟ",J2205,"")</f>
        <v/>
      </c>
    </row>
    <row r="2206">
      <c r="A2206" s="1" t="n">
        <v>3</v>
      </c>
      <c r="B2206" s="1" t="inlineStr">
        <is>
          <t>เสื้อผ้า</t>
        </is>
      </c>
      <c r="C2206" s="1" t="inlineStr">
        <is>
          <t>gf2020102614</t>
        </is>
      </c>
      <c r="D2206" s="1" t="inlineStr">
        <is>
          <t>ADIDAS Originals Twistknit Men's Pleated Pants (Grey)</t>
        </is>
      </c>
      <c r="E2206" s="1" t="inlineStr">
        <is>
          <t>ADIDAS</t>
        </is>
      </c>
      <c r="F2206" s="1" t="inlineStr">
        <is>
          <t>LONG PANTS</t>
        </is>
      </c>
      <c r="G2206" s="1" t="inlineStr">
        <is>
          <t>GF202010261473</t>
        </is>
      </c>
      <c r="H2206" s="1" t="n">
        <v>7</v>
      </c>
      <c r="I2206" s="1" t="inlineStr">
        <is>
          <t>มี</t>
        </is>
      </c>
      <c r="J2206" s="13" t="n">
        <v>129</v>
      </c>
      <c r="K2206" s="1" t="inlineStr"/>
      <c r="L2206" s="13" t="n">
        <v>89</v>
      </c>
      <c r="M2206" s="1">
        <f>IF(L2206="","ไม่พบใน SG",IF(ABS(J2206-L2206)&lt;0.005,"ตรงกัน","ไม่ตรง"))</f>
        <v/>
      </c>
      <c r="N2206" s="14">
        <f>IF(L2206="","",ROUND(L2206*'สรุป'!$C$6,-1))</f>
        <v/>
      </c>
      <c r="O2206" s="15" t="n"/>
      <c r="P2206" s="15" t="n"/>
      <c r="Q2206" s="10" t="n"/>
      <c r="R2206" s="10" t="n"/>
      <c r="S2206" s="16" t="inlineStr">
        <is>
          <t>https://mstgolf.co.th/products/gf2020102614</t>
        </is>
      </c>
      <c r="T2206" s="1">
        <f>IF(B2206="ไม้กอล์ฟ",J2206,"")</f>
        <v/>
      </c>
    </row>
    <row r="2207">
      <c r="A2207" s="1" t="n">
        <v>3</v>
      </c>
      <c r="B2207" s="1" t="inlineStr">
        <is>
          <t>เสื้อผ้า</t>
        </is>
      </c>
      <c r="C2207" s="1" t="inlineStr">
        <is>
          <t>gf2020202280</t>
        </is>
      </c>
      <c r="D2207" s="1" t="inlineStr">
        <is>
          <t>GFORE 3D Icon Maverick 8" Men's Shorts (Marine)</t>
        </is>
      </c>
      <c r="E2207" s="1" t="inlineStr">
        <is>
          <t>GFORE</t>
        </is>
      </c>
      <c r="F2207" s="1" t="inlineStr">
        <is>
          <t>SHORT PANTS</t>
        </is>
      </c>
      <c r="G2207" s="1" t="inlineStr">
        <is>
          <t>GF202020228030</t>
        </is>
      </c>
      <c r="H2207" s="1" t="n">
        <v>7</v>
      </c>
      <c r="I2207" s="1" t="inlineStr">
        <is>
          <t>มี</t>
        </is>
      </c>
      <c r="J2207" s="13" t="n">
        <v>129</v>
      </c>
      <c r="K2207" s="1" t="inlineStr"/>
      <c r="L2207" s="13" t="n">
        <v>129</v>
      </c>
      <c r="M2207" s="1">
        <f>IF(L2207="","ไม่พบใน SG",IF(ABS(J2207-L2207)&lt;0.005,"ตรงกัน","ไม่ตรง"))</f>
        <v/>
      </c>
      <c r="N2207" s="14">
        <f>IF(L2207="","",ROUND(L2207*'สรุป'!$C$6,-1))</f>
        <v/>
      </c>
      <c r="O2207" s="15" t="n"/>
      <c r="P2207" s="15" t="n"/>
      <c r="Q2207" s="10" t="n"/>
      <c r="R2207" s="10" t="n"/>
      <c r="S2207" s="16" t="inlineStr">
        <is>
          <t>https://mstgolf.co.th/products/gf2020202280</t>
        </is>
      </c>
      <c r="T2207" s="1">
        <f>IF(B2207="ไม้กอล์ฟ",J2207,"")</f>
        <v/>
      </c>
    </row>
    <row r="2208">
      <c r="A2208" s="1" t="n">
        <v>3</v>
      </c>
      <c r="B2208" s="1" t="inlineStr">
        <is>
          <t>เสื้อผ้า</t>
        </is>
      </c>
      <c r="C2208" s="1" t="inlineStr">
        <is>
          <t>gf2020202281</t>
        </is>
      </c>
      <c r="D2208" s="1" t="inlineStr">
        <is>
          <t>GFORE 3D Icon Maverick 8" Men's Shorts (Twilight)</t>
        </is>
      </c>
      <c r="E2208" s="1" t="inlineStr">
        <is>
          <t>GFORE</t>
        </is>
      </c>
      <c r="F2208" s="1" t="inlineStr">
        <is>
          <t>SHORT PANTS</t>
        </is>
      </c>
      <c r="G2208" s="1" t="inlineStr">
        <is>
          <t>GF202020228130</t>
        </is>
      </c>
      <c r="H2208" s="1" t="n">
        <v>7</v>
      </c>
      <c r="I2208" s="1" t="inlineStr">
        <is>
          <t>มี</t>
        </is>
      </c>
      <c r="J2208" s="13" t="n">
        <v>129</v>
      </c>
      <c r="K2208" s="1" t="inlineStr"/>
      <c r="L2208" s="13" t="n">
        <v>129</v>
      </c>
      <c r="M2208" s="1">
        <f>IF(L2208="","ไม่พบใน SG",IF(ABS(J2208-L2208)&lt;0.005,"ตรงกัน","ไม่ตรง"))</f>
        <v/>
      </c>
      <c r="N2208" s="14">
        <f>IF(L2208="","",ROUND(L2208*'สรุป'!$C$6,-1))</f>
        <v/>
      </c>
      <c r="O2208" s="15" t="n"/>
      <c r="P2208" s="15" t="n"/>
      <c r="Q2208" s="10" t="n"/>
      <c r="R2208" s="10" t="n"/>
      <c r="S2208" s="16" t="inlineStr">
        <is>
          <t>https://mstgolf.co.th/products/gf2020202281</t>
        </is>
      </c>
      <c r="T2208" s="1">
        <f>IF(B2208="ไม้กอล์ฟ",J2208,"")</f>
        <v/>
      </c>
    </row>
    <row r="2209">
      <c r="A2209" s="1" t="n">
        <v>3</v>
      </c>
      <c r="B2209" s="1" t="inlineStr">
        <is>
          <t>เสื้อผ้า</t>
        </is>
      </c>
      <c r="C2209" s="1" t="inlineStr">
        <is>
          <t>gf2020201997</t>
        </is>
      </c>
      <c r="D2209" s="1" t="inlineStr">
        <is>
          <t>GFORE Maverick Hybrid Men's Shorts (Charcoal)</t>
        </is>
      </c>
      <c r="E2209" s="1" t="inlineStr">
        <is>
          <t>GFORE</t>
        </is>
      </c>
      <c r="F2209" s="1" t="inlineStr">
        <is>
          <t>SHORT PANTS</t>
        </is>
      </c>
      <c r="G2209" s="1" t="inlineStr">
        <is>
          <t>GF202020199730</t>
        </is>
      </c>
      <c r="H2209" s="1" t="n">
        <v>9</v>
      </c>
      <c r="I2209" s="1" t="inlineStr">
        <is>
          <t>มี</t>
        </is>
      </c>
      <c r="J2209" s="13" t="n">
        <v>129</v>
      </c>
      <c r="K2209" s="1" t="inlineStr"/>
      <c r="L2209" s="13" t="n">
        <v>129</v>
      </c>
      <c r="M2209" s="1">
        <f>IF(L2209="","ไม่พบใน SG",IF(ABS(J2209-L2209)&lt;0.005,"ตรงกัน","ไม่ตรง"))</f>
        <v/>
      </c>
      <c r="N2209" s="14">
        <f>IF(L2209="","",ROUND(L2209*'สรุป'!$C$6,-1))</f>
        <v/>
      </c>
      <c r="O2209" s="15" t="n"/>
      <c r="P2209" s="15" t="n"/>
      <c r="Q2209" s="10" t="n"/>
      <c r="R2209" s="10" t="n"/>
      <c r="S2209" s="16" t="inlineStr">
        <is>
          <t>https://mstgolf.co.th/products/gf2020201997</t>
        </is>
      </c>
      <c r="T2209" s="1">
        <f>IF(B2209="ไม้กอล์ฟ",J2209,"")</f>
        <v/>
      </c>
    </row>
    <row r="2210">
      <c r="A2210" s="1" t="n">
        <v>3</v>
      </c>
      <c r="B2210" s="1" t="inlineStr">
        <is>
          <t>เสื้อผ้า</t>
        </is>
      </c>
      <c r="C2210" s="1" t="inlineStr">
        <is>
          <t>gf2020202000</t>
        </is>
      </c>
      <c r="D2210" s="1" t="inlineStr">
        <is>
          <t>GFORE Maverick Hybrid Men's Shorts (Twilight)</t>
        </is>
      </c>
      <c r="E2210" s="1" t="inlineStr">
        <is>
          <t>GFORE</t>
        </is>
      </c>
      <c r="F2210" s="1" t="inlineStr">
        <is>
          <t>SHORT PANTS</t>
        </is>
      </c>
      <c r="G2210" s="1" t="inlineStr">
        <is>
          <t>GF202020200030</t>
        </is>
      </c>
      <c r="H2210" s="1" t="n">
        <v>7</v>
      </c>
      <c r="I2210" s="1" t="inlineStr">
        <is>
          <t>มี</t>
        </is>
      </c>
      <c r="J2210" s="13" t="n">
        <v>129</v>
      </c>
      <c r="K2210" s="1" t="inlineStr"/>
      <c r="L2210" s="13" t="n">
        <v>129</v>
      </c>
      <c r="M2210" s="1">
        <f>IF(L2210="","ไม่พบใน SG",IF(ABS(J2210-L2210)&lt;0.005,"ตรงกัน","ไม่ตรง"))</f>
        <v/>
      </c>
      <c r="N2210" s="14">
        <f>IF(L2210="","",ROUND(L2210*'สรุป'!$C$6,-1))</f>
        <v/>
      </c>
      <c r="O2210" s="15" t="n"/>
      <c r="P2210" s="15" t="n"/>
      <c r="Q2210" s="10" t="n"/>
      <c r="R2210" s="10" t="n"/>
      <c r="S2210" s="16" t="inlineStr">
        <is>
          <t>https://mstgolf.co.th/products/gf2020202000</t>
        </is>
      </c>
      <c r="T2210" s="1">
        <f>IF(B2210="ไม้กอล์ฟ",J2210,"")</f>
        <v/>
      </c>
    </row>
    <row r="2211">
      <c r="A2211" s="1" t="n">
        <v>3</v>
      </c>
      <c r="B2211" s="1" t="inlineStr">
        <is>
          <t>เสื้อผ้า</t>
        </is>
      </c>
      <c r="C2211" s="1" t="inlineStr">
        <is>
          <t>gf2060101172</t>
        </is>
      </c>
      <c r="D2211" s="1" t="inlineStr">
        <is>
          <t>GFORE No 1 Cares French Terry Women's Oversized Hoodie (Fountain)</t>
        </is>
      </c>
      <c r="E2211" s="1" t="inlineStr">
        <is>
          <t>GFORE</t>
        </is>
      </c>
      <c r="F2211" s="1" t="inlineStr">
        <is>
          <t>TOP</t>
        </is>
      </c>
      <c r="G2211" s="1" t="inlineStr">
        <is>
          <t>GF2060101172XS</t>
        </is>
      </c>
      <c r="H2211" s="1" t="n">
        <v>5</v>
      </c>
      <c r="I2211" s="1" t="inlineStr">
        <is>
          <t>มี</t>
        </is>
      </c>
      <c r="J2211" s="13" t="n">
        <v>129</v>
      </c>
      <c r="K2211" s="1" t="inlineStr"/>
      <c r="L2211" s="13" t="n">
        <v>129</v>
      </c>
      <c r="M2211" s="1">
        <f>IF(L2211="","ไม่พบใน SG",IF(ABS(J2211-L2211)&lt;0.005,"ตรงกัน","ไม่ตรง"))</f>
        <v/>
      </c>
      <c r="N2211" s="14">
        <f>IF(L2211="","",ROUND(L2211*'สรุป'!$C$6,-1))</f>
        <v/>
      </c>
      <c r="O2211" s="15" t="n"/>
      <c r="P2211" s="15" t="n"/>
      <c r="Q2211" s="10" t="n"/>
      <c r="R2211" s="10" t="n"/>
      <c r="S2211" s="16" t="inlineStr">
        <is>
          <t>https://mstgolf.co.th/products/gf2060101172</t>
        </is>
      </c>
      <c r="T2211" s="1">
        <f>IF(B2211="ไม้กอล์ฟ",J2211,"")</f>
        <v/>
      </c>
    </row>
    <row r="2212">
      <c r="A2212" s="1" t="n">
        <v>3</v>
      </c>
      <c r="B2212" s="1" t="inlineStr">
        <is>
          <t>เสื้อผ้า</t>
        </is>
      </c>
      <c r="C2212" s="1" t="inlineStr">
        <is>
          <t>gf2040120736</t>
        </is>
      </c>
      <c r="D2212" s="1" t="inlineStr">
        <is>
          <t>LE COQ SPORTIF GOLF Men's Shirt With Innerwear (Khaki)</t>
        </is>
      </c>
      <c r="E2212" s="1" t="inlineStr">
        <is>
          <t>LE COQ SPORTIF GOLF</t>
        </is>
      </c>
      <c r="F2212" s="1" t="inlineStr">
        <is>
          <t>SHORT SLEEVES</t>
        </is>
      </c>
      <c r="G2212" s="1" t="inlineStr">
        <is>
          <t>GF2040120736M</t>
        </is>
      </c>
      <c r="H2212" s="1" t="n">
        <v>4</v>
      </c>
      <c r="I2212" s="1" t="inlineStr">
        <is>
          <t>มี</t>
        </is>
      </c>
      <c r="J2212" s="13" t="n">
        <v>129</v>
      </c>
      <c r="K2212" s="1" t="inlineStr"/>
      <c r="L2212" s="13" t="n">
        <v>69</v>
      </c>
      <c r="M2212" s="1">
        <f>IF(L2212="","ไม่พบใน SG",IF(ABS(J2212-L2212)&lt;0.005,"ตรงกัน","ไม่ตรง"))</f>
        <v/>
      </c>
      <c r="N2212" s="14">
        <f>IF(L2212="","",ROUND(L2212*'สรุป'!$C$6,-1))</f>
        <v/>
      </c>
      <c r="O2212" s="15" t="n"/>
      <c r="P2212" s="15" t="n"/>
      <c r="Q2212" s="10" t="n"/>
      <c r="R2212" s="10" t="n"/>
      <c r="S2212" s="16" t="inlineStr">
        <is>
          <t>https://mstgolf.co.th/products/gf2040120736</t>
        </is>
      </c>
      <c r="T2212" s="1">
        <f>IF(B2212="ไม้กอล์ฟ",J2212,"")</f>
        <v/>
      </c>
    </row>
    <row r="2213">
      <c r="A2213" s="1" t="n">
        <v>3</v>
      </c>
      <c r="B2213" s="1" t="inlineStr">
        <is>
          <t>เสื้อผ้า</t>
        </is>
      </c>
      <c r="C2213" s="1" t="inlineStr">
        <is>
          <t>gf2040120737</t>
        </is>
      </c>
      <c r="D2213" s="1" t="inlineStr">
        <is>
          <t>LE COQ SPORTIF GOLF Men's Shirt With Innerwear (Navy)</t>
        </is>
      </c>
      <c r="E2213" s="1" t="inlineStr">
        <is>
          <t>LE COQ SPORTIF GOLF</t>
        </is>
      </c>
      <c r="F2213" s="1" t="inlineStr">
        <is>
          <t>SHORT SLEEVES</t>
        </is>
      </c>
      <c r="G2213" s="1" t="inlineStr">
        <is>
          <t>GF2040120737M</t>
        </is>
      </c>
      <c r="H2213" s="1" t="n">
        <v>4</v>
      </c>
      <c r="I2213" s="1" t="inlineStr">
        <is>
          <t>มี</t>
        </is>
      </c>
      <c r="J2213" s="13" t="n">
        <v>129</v>
      </c>
      <c r="K2213" s="1" t="inlineStr"/>
      <c r="L2213" s="13" t="n">
        <v>89</v>
      </c>
      <c r="M2213" s="1">
        <f>IF(L2213="","ไม่พบใน SG",IF(ABS(J2213-L2213)&lt;0.005,"ตรงกัน","ไม่ตรง"))</f>
        <v/>
      </c>
      <c r="N2213" s="14">
        <f>IF(L2213="","",ROUND(L2213*'สรุป'!$C$6,-1))</f>
        <v/>
      </c>
      <c r="O2213" s="15" t="n"/>
      <c r="P2213" s="15" t="n"/>
      <c r="Q2213" s="10" t="n"/>
      <c r="R2213" s="10" t="n"/>
      <c r="S2213" s="16" t="inlineStr">
        <is>
          <t>https://mstgolf.co.th/products/gf2040120737</t>
        </is>
      </c>
      <c r="T2213" s="1">
        <f>IF(B2213="ไม้กอล์ฟ",J2213,"")</f>
        <v/>
      </c>
    </row>
    <row r="2214">
      <c r="A2214" s="1" t="n">
        <v>3</v>
      </c>
      <c r="B2214" s="1" t="inlineStr">
        <is>
          <t>เสื้อผ้า</t>
        </is>
      </c>
      <c r="C2214" s="1" t="inlineStr">
        <is>
          <t>gf2040120738</t>
        </is>
      </c>
      <c r="D2214" s="1" t="inlineStr">
        <is>
          <t>LE COQ SPORTIF GOLF Men's Shirt With Innerwear (White)</t>
        </is>
      </c>
      <c r="E2214" s="1" t="inlineStr">
        <is>
          <t>LE COQ SPORTIF GOLF</t>
        </is>
      </c>
      <c r="F2214" s="1" t="inlineStr">
        <is>
          <t>SHORT SLEEVES</t>
        </is>
      </c>
      <c r="G2214" s="1" t="inlineStr">
        <is>
          <t>GF2040120738M</t>
        </is>
      </c>
      <c r="H2214" s="1" t="n">
        <v>4</v>
      </c>
      <c r="I2214" s="1" t="inlineStr">
        <is>
          <t>มี</t>
        </is>
      </c>
      <c r="J2214" s="13" t="n">
        <v>129</v>
      </c>
      <c r="K2214" s="1" t="inlineStr"/>
      <c r="L2214" s="13" t="n">
        <v>89</v>
      </c>
      <c r="M2214" s="1">
        <f>IF(L2214="","ไม่พบใน SG",IF(ABS(J2214-L2214)&lt;0.005,"ตรงกัน","ไม่ตรง"))</f>
        <v/>
      </c>
      <c r="N2214" s="14">
        <f>IF(L2214="","",ROUND(L2214*'สรุป'!$C$6,-1))</f>
        <v/>
      </c>
      <c r="O2214" s="15" t="n"/>
      <c r="P2214" s="15" t="n"/>
      <c r="Q2214" s="10" t="n"/>
      <c r="R2214" s="10" t="n"/>
      <c r="S2214" s="16" t="inlineStr">
        <is>
          <t>https://mstgolf.co.th/products/gf2040120738</t>
        </is>
      </c>
      <c r="T2214" s="1">
        <f>IF(B2214="ไม้กอล์ฟ",J2214,"")</f>
        <v/>
      </c>
    </row>
    <row r="2215">
      <c r="A2215" s="1" t="n">
        <v>3</v>
      </c>
      <c r="B2215" s="1" t="inlineStr">
        <is>
          <t>เสื้อผ้า</t>
        </is>
      </c>
      <c r="C2215" s="1" t="inlineStr">
        <is>
          <t>gf2040120739</t>
        </is>
      </c>
      <c r="D2215" s="1" t="inlineStr">
        <is>
          <t>LE COQ SPORTIF GOLF Men's Shirt With Innerwear (Yellow)</t>
        </is>
      </c>
      <c r="E2215" s="1" t="inlineStr">
        <is>
          <t>LE COQ SPORTIF GOLF</t>
        </is>
      </c>
      <c r="F2215" s="1" t="inlineStr">
        <is>
          <t>SHORT SLEEVES</t>
        </is>
      </c>
      <c r="G2215" s="1" t="inlineStr">
        <is>
          <t>GF2040120739M</t>
        </is>
      </c>
      <c r="H2215" s="1" t="n">
        <v>4</v>
      </c>
      <c r="I2215" s="1" t="inlineStr">
        <is>
          <t>มี</t>
        </is>
      </c>
      <c r="J2215" s="13" t="n">
        <v>129</v>
      </c>
      <c r="K2215" s="1" t="inlineStr"/>
      <c r="L2215" s="13" t="n">
        <v>89</v>
      </c>
      <c r="M2215" s="1">
        <f>IF(L2215="","ไม่พบใน SG",IF(ABS(J2215-L2215)&lt;0.005,"ตรงกัน","ไม่ตรง"))</f>
        <v/>
      </c>
      <c r="N2215" s="14">
        <f>IF(L2215="","",ROUND(L2215*'สรุป'!$C$6,-1))</f>
        <v/>
      </c>
      <c r="O2215" s="15" t="n"/>
      <c r="P2215" s="15" t="n"/>
      <c r="Q2215" s="10" t="n"/>
      <c r="R2215" s="10" t="n"/>
      <c r="S2215" s="16" t="inlineStr">
        <is>
          <t>https://mstgolf.co.th/products/gf2040120739</t>
        </is>
      </c>
      <c r="T2215" s="1">
        <f>IF(B2215="ไม้กอล์ฟ",J2215,"")</f>
        <v/>
      </c>
    </row>
    <row r="2216">
      <c r="A2216" s="1" t="n">
        <v>3</v>
      </c>
      <c r="B2216" s="1" t="inlineStr">
        <is>
          <t>เสื้อผ้า</t>
        </is>
      </c>
      <c r="C2216" s="1" t="inlineStr">
        <is>
          <t>gf2020102563</t>
        </is>
      </c>
      <c r="D2216" s="1" t="inlineStr">
        <is>
          <t>LE COQ SPORTIF GOLF Rijoume Wide Women's Pants (Grey)</t>
        </is>
      </c>
      <c r="E2216" s="1" t="inlineStr">
        <is>
          <t>LE COQ SPORTIF GOLF</t>
        </is>
      </c>
      <c r="F2216" s="1" t="inlineStr">
        <is>
          <t>LONG PANTS</t>
        </is>
      </c>
      <c r="G2216" s="1" t="inlineStr">
        <is>
          <t>GF2020102563S</t>
        </is>
      </c>
      <c r="H2216" s="1" t="n">
        <v>4</v>
      </c>
      <c r="I2216" s="1" t="inlineStr">
        <is>
          <t>มี</t>
        </is>
      </c>
      <c r="J2216" s="13" t="n">
        <v>129</v>
      </c>
      <c r="K2216" s="1" t="inlineStr"/>
      <c r="L2216" s="13" t="n">
        <v>99</v>
      </c>
      <c r="M2216" s="1">
        <f>IF(L2216="","ไม่พบใน SG",IF(ABS(J2216-L2216)&lt;0.005,"ตรงกัน","ไม่ตรง"))</f>
        <v/>
      </c>
      <c r="N2216" s="14">
        <f>IF(L2216="","",ROUND(L2216*'สรุป'!$C$6,-1))</f>
        <v/>
      </c>
      <c r="O2216" s="15" t="n"/>
      <c r="P2216" s="15" t="n"/>
      <c r="Q2216" s="10" t="n"/>
      <c r="R2216" s="10" t="n"/>
      <c r="S2216" s="16" t="inlineStr">
        <is>
          <t>https://mstgolf.co.th/products/gf2020102563</t>
        </is>
      </c>
      <c r="T2216" s="1">
        <f>IF(B2216="ไม้กอล์ฟ",J2216,"")</f>
        <v/>
      </c>
    </row>
    <row r="2217">
      <c r="A2217" s="1" t="n">
        <v>3</v>
      </c>
      <c r="B2217" s="1" t="inlineStr">
        <is>
          <t>เสื้อผ้า</t>
        </is>
      </c>
      <c r="C2217" s="1" t="inlineStr">
        <is>
          <t>gf2020102424</t>
        </is>
      </c>
      <c r="D2217" s="1" t="inlineStr">
        <is>
          <t>MALBON GOLF Gianna Women's Pants (Pageant Blue)</t>
        </is>
      </c>
      <c r="E2217" s="1" t="inlineStr">
        <is>
          <t>MALBON GOLF</t>
        </is>
      </c>
      <c r="F2217" s="1" t="inlineStr">
        <is>
          <t>LONG PANTS</t>
        </is>
      </c>
      <c r="G2217" s="1" t="inlineStr">
        <is>
          <t>GF2020102424XS</t>
        </is>
      </c>
      <c r="H2217" s="1" t="n">
        <v>6</v>
      </c>
      <c r="I2217" s="1" t="inlineStr">
        <is>
          <t>มี</t>
        </is>
      </c>
      <c r="J2217" s="13" t="n">
        <v>129</v>
      </c>
      <c r="K2217" s="1" t="inlineStr"/>
      <c r="L2217" s="13" t="n">
        <v>129</v>
      </c>
      <c r="M2217" s="1">
        <f>IF(L2217="","ไม่พบใน SG",IF(ABS(J2217-L2217)&lt;0.005,"ตรงกัน","ไม่ตรง"))</f>
        <v/>
      </c>
      <c r="N2217" s="14">
        <f>IF(L2217="","",ROUND(L2217*'สรุป'!$C$6,-1))</f>
        <v/>
      </c>
      <c r="O2217" s="15" t="n"/>
      <c r="P2217" s="15" t="n"/>
      <c r="Q2217" s="10" t="n"/>
      <c r="R2217" s="10" t="n"/>
      <c r="S2217" s="16" t="inlineStr">
        <is>
          <t>https://mstgolf.co.th/products/gf2020102424</t>
        </is>
      </c>
      <c r="T2217" s="1">
        <f>IF(B2217="ไม้กอล์ฟ",J2217,"")</f>
        <v/>
      </c>
    </row>
    <row r="2218">
      <c r="A2218" s="1" t="n">
        <v>3</v>
      </c>
      <c r="B2218" s="1" t="inlineStr">
        <is>
          <t>เสื้อผ้า</t>
        </is>
      </c>
      <c r="C2218" s="1" t="inlineStr">
        <is>
          <t>gf2040119874</t>
        </is>
      </c>
      <c r="D2218" s="1" t="inlineStr">
        <is>
          <t>MALBON GOLF Grasse Men's Pique Polo (Blue)</t>
        </is>
      </c>
      <c r="E2218" s="1" t="inlineStr">
        <is>
          <t>MALBON GOLF</t>
        </is>
      </c>
      <c r="F2218" s="1" t="inlineStr">
        <is>
          <t>SHORT SLEEVES</t>
        </is>
      </c>
      <c r="G2218" s="1" t="inlineStr">
        <is>
          <t>GF2040119874XS</t>
        </is>
      </c>
      <c r="H2218" s="1" t="n">
        <v>6</v>
      </c>
      <c r="I2218" s="1" t="inlineStr">
        <is>
          <t>มี</t>
        </is>
      </c>
      <c r="J2218" s="13" t="n">
        <v>129</v>
      </c>
      <c r="K2218" s="1" t="inlineStr"/>
      <c r="L2218" s="13" t="n">
        <v>129</v>
      </c>
      <c r="M2218" s="1">
        <f>IF(L2218="","ไม่พบใน SG",IF(ABS(J2218-L2218)&lt;0.005,"ตรงกัน","ไม่ตรง"))</f>
        <v/>
      </c>
      <c r="N2218" s="14">
        <f>IF(L2218="","",ROUND(L2218*'สรุป'!$C$6,-1))</f>
        <v/>
      </c>
      <c r="O2218" s="15" t="n"/>
      <c r="P2218" s="15" t="n"/>
      <c r="Q2218" s="10" t="n"/>
      <c r="R2218" s="10" t="n"/>
      <c r="S2218" s="16" t="inlineStr">
        <is>
          <t>https://mstgolf.co.th/products/gf2040119874</t>
        </is>
      </c>
      <c r="T2218" s="1">
        <f>IF(B2218="ไม้กอล์ฟ",J2218,"")</f>
        <v/>
      </c>
    </row>
    <row r="2219">
      <c r="A2219" s="1" t="n">
        <v>3</v>
      </c>
      <c r="B2219" s="1" t="inlineStr">
        <is>
          <t>เสื้อผ้า</t>
        </is>
      </c>
      <c r="C2219" s="1" t="inlineStr">
        <is>
          <t>gf2020202555</t>
        </is>
      </c>
      <c r="D2219" s="1" t="inlineStr">
        <is>
          <t>MANORS Recycled Greenskeeper Men's Shorts (Olive)</t>
        </is>
      </c>
      <c r="E2219" s="1" t="inlineStr">
        <is>
          <t>MANORS</t>
        </is>
      </c>
      <c r="F2219" s="1" t="inlineStr">
        <is>
          <t>SHORT PANTS</t>
        </is>
      </c>
      <c r="G2219" s="1" t="inlineStr">
        <is>
          <t>GF202020255528</t>
        </is>
      </c>
      <c r="H2219" s="1" t="n">
        <v>5</v>
      </c>
      <c r="I2219" s="1" t="inlineStr">
        <is>
          <t>มี</t>
        </is>
      </c>
      <c r="J2219" s="13" t="n">
        <v>129</v>
      </c>
      <c r="K2219" s="1" t="inlineStr"/>
      <c r="L2219" s="13" t="n">
        <v>129</v>
      </c>
      <c r="M2219" s="1">
        <f>IF(L2219="","ไม่พบใน SG",IF(ABS(J2219-L2219)&lt;0.005,"ตรงกัน","ไม่ตรง"))</f>
        <v/>
      </c>
      <c r="N2219" s="14">
        <f>IF(L2219="","",ROUND(L2219*'สรุป'!$C$6,-1))</f>
        <v/>
      </c>
      <c r="O2219" s="15" t="n"/>
      <c r="P2219" s="15" t="n"/>
      <c r="Q2219" s="10" t="n"/>
      <c r="R2219" s="10" t="n"/>
      <c r="S2219" s="16" t="inlineStr">
        <is>
          <t>https://mstgolf.co.th/products/gf2020202555</t>
        </is>
      </c>
      <c r="T2219" s="1">
        <f>IF(B2219="ไม้กอล์ฟ",J2219,"")</f>
        <v/>
      </c>
    </row>
    <row r="2220">
      <c r="A2220" s="1" t="n">
        <v>3</v>
      </c>
      <c r="B2220" s="1" t="inlineStr">
        <is>
          <t>เสื้อผ้า</t>
        </is>
      </c>
      <c r="C2220" s="1" t="inlineStr">
        <is>
          <t>gf2020202556</t>
        </is>
      </c>
      <c r="D2220" s="1" t="inlineStr">
        <is>
          <t>MANORS Recycled Greenskeeper Men's Shorts (Slate)</t>
        </is>
      </c>
      <c r="E2220" s="1" t="inlineStr">
        <is>
          <t>MANORS</t>
        </is>
      </c>
      <c r="F2220" s="1" t="inlineStr">
        <is>
          <t>SHORT PANTS</t>
        </is>
      </c>
      <c r="G2220" s="1" t="inlineStr">
        <is>
          <t>GF202020255628</t>
        </is>
      </c>
      <c r="H2220" s="1" t="n">
        <v>5</v>
      </c>
      <c r="I2220" s="1" t="inlineStr">
        <is>
          <t>มี</t>
        </is>
      </c>
      <c r="J2220" s="13" t="n">
        <v>129</v>
      </c>
      <c r="K2220" s="1" t="inlineStr"/>
      <c r="L2220" s="13" t="n">
        <v>129</v>
      </c>
      <c r="M2220" s="1">
        <f>IF(L2220="","ไม่พบใน SG",IF(ABS(J2220-L2220)&lt;0.005,"ตรงกัน","ไม่ตรง"))</f>
        <v/>
      </c>
      <c r="N2220" s="14">
        <f>IF(L2220="","",ROUND(L2220*'สรุป'!$C$6,-1))</f>
        <v/>
      </c>
      <c r="O2220" s="15" t="n"/>
      <c r="P2220" s="15" t="n"/>
      <c r="Q2220" s="10" t="n"/>
      <c r="R2220" s="10" t="n"/>
      <c r="S2220" s="16" t="inlineStr">
        <is>
          <t>https://mstgolf.co.th/products/gf2020202556</t>
        </is>
      </c>
      <c r="T2220" s="1">
        <f>IF(B2220="ไม้กอล์ฟ",J2220,"")</f>
        <v/>
      </c>
    </row>
    <row r="2221">
      <c r="A2221" s="1" t="n">
        <v>3</v>
      </c>
      <c r="B2221" s="1" t="inlineStr">
        <is>
          <t>เสื้อผ้า</t>
        </is>
      </c>
      <c r="C2221" s="1" t="inlineStr">
        <is>
          <t>gf2020102310</t>
        </is>
      </c>
      <c r="D2221" s="1" t="inlineStr">
        <is>
          <t>NIKE Tour Repel Flex Men’s Slim Pants (Black)</t>
        </is>
      </c>
      <c r="E2221" s="1" t="inlineStr">
        <is>
          <t>NIKE</t>
        </is>
      </c>
      <c r="F2221" s="1" t="inlineStr">
        <is>
          <t>LONG PANTS</t>
        </is>
      </c>
      <c r="G2221" s="1" t="inlineStr">
        <is>
          <t>GF202010231028</t>
        </is>
      </c>
      <c r="H2221" s="1" t="n">
        <v>7</v>
      </c>
      <c r="I2221" s="1" t="inlineStr">
        <is>
          <t>มี</t>
        </is>
      </c>
      <c r="J2221" s="13" t="n">
        <v>129</v>
      </c>
      <c r="K2221" s="1" t="inlineStr"/>
      <c r="L2221" s="13" t="n">
        <v>129</v>
      </c>
      <c r="M2221" s="1">
        <f>IF(L2221="","ไม่พบใน SG",IF(ABS(J2221-L2221)&lt;0.005,"ตรงกัน","ไม่ตรง"))</f>
        <v/>
      </c>
      <c r="N2221" s="14">
        <f>IF(L2221="","",ROUND(L2221*'สรุป'!$C$6,-1))</f>
        <v/>
      </c>
      <c r="O2221" s="15" t="n"/>
      <c r="P2221" s="15" t="n"/>
      <c r="Q2221" s="10" t="n"/>
      <c r="R2221" s="10" t="n"/>
      <c r="S2221" s="16" t="inlineStr">
        <is>
          <t>https://mstgolf.co.th/products/gf2020102310</t>
        </is>
      </c>
      <c r="T2221" s="1">
        <f>IF(B2221="ไม้กอล์ฟ",J2221,"")</f>
        <v/>
      </c>
    </row>
    <row r="2222">
      <c r="A2222" s="1" t="n">
        <v>3</v>
      </c>
      <c r="B2222" s="1" t="inlineStr">
        <is>
          <t>เสื้อผ้า</t>
        </is>
      </c>
      <c r="C2222" s="1" t="inlineStr">
        <is>
          <t>gf2020102018</t>
        </is>
      </c>
      <c r="D2222" s="1" t="inlineStr">
        <is>
          <t>PUMA Dealer Tailored Men's Pants (Ash Grey)</t>
        </is>
      </c>
      <c r="E2222" s="1" t="inlineStr">
        <is>
          <t>PUMA</t>
        </is>
      </c>
      <c r="F2222" s="1" t="inlineStr">
        <is>
          <t>LONG PANTS</t>
        </is>
      </c>
      <c r="G2222" s="1" t="inlineStr">
        <is>
          <t>GF202010201828</t>
        </is>
      </c>
      <c r="H2222" s="1" t="n">
        <v>9</v>
      </c>
      <c r="I2222" s="1" t="inlineStr">
        <is>
          <t>มี</t>
        </is>
      </c>
      <c r="J2222" s="13" t="n">
        <v>129</v>
      </c>
      <c r="K2222" s="1" t="inlineStr"/>
      <c r="L2222" s="13" t="n">
        <v>129</v>
      </c>
      <c r="M2222" s="1">
        <f>IF(L2222="","ไม่พบใน SG",IF(ABS(J2222-L2222)&lt;0.005,"ตรงกัน","ไม่ตรง"))</f>
        <v/>
      </c>
      <c r="N2222" s="14">
        <f>IF(L2222="","",ROUND(L2222*'สรุป'!$C$6,-1))</f>
        <v/>
      </c>
      <c r="O2222" s="15" t="n"/>
      <c r="P2222" s="15" t="n"/>
      <c r="Q2222" s="10" t="n"/>
      <c r="R2222" s="10" t="n"/>
      <c r="S2222" s="16" t="inlineStr">
        <is>
          <t>https://mstgolf.co.th/products/gf2020102018</t>
        </is>
      </c>
      <c r="T2222" s="1">
        <f>IF(B2222="ไม้กอล์ฟ",J2222,"")</f>
        <v/>
      </c>
    </row>
    <row r="2223">
      <c r="A2223" s="1" t="n">
        <v>3</v>
      </c>
      <c r="B2223" s="1" t="inlineStr">
        <is>
          <t>เสื้อผ้า</t>
        </is>
      </c>
      <c r="C2223" s="1" t="inlineStr">
        <is>
          <t>gf2020102016</t>
        </is>
      </c>
      <c r="D2223" s="1" t="inlineStr">
        <is>
          <t>PUMA Dealer Tailored Men's Pants (Black)</t>
        </is>
      </c>
      <c r="E2223" s="1" t="inlineStr">
        <is>
          <t>PUMA</t>
        </is>
      </c>
      <c r="F2223" s="1" t="inlineStr">
        <is>
          <t>LONG PANTS</t>
        </is>
      </c>
      <c r="G2223" s="1" t="inlineStr">
        <is>
          <t>GF202010201628</t>
        </is>
      </c>
      <c r="H2223" s="1" t="n">
        <v>7</v>
      </c>
      <c r="I2223" s="1" t="inlineStr">
        <is>
          <t>มี</t>
        </is>
      </c>
      <c r="J2223" s="13" t="n">
        <v>129</v>
      </c>
      <c r="K2223" s="1" t="inlineStr"/>
      <c r="L2223" s="13" t="n">
        <v>129</v>
      </c>
      <c r="M2223" s="1">
        <f>IF(L2223="","ไม่พบใน SG",IF(ABS(J2223-L2223)&lt;0.005,"ตรงกัน","ไม่ตรง"))</f>
        <v/>
      </c>
      <c r="N2223" s="14">
        <f>IF(L2223="","",ROUND(L2223*'สรุป'!$C$6,-1))</f>
        <v/>
      </c>
      <c r="O2223" s="15" t="n"/>
      <c r="P2223" s="15" t="n"/>
      <c r="Q2223" s="10" t="n"/>
      <c r="R2223" s="10" t="n"/>
      <c r="S2223" s="16" t="inlineStr">
        <is>
          <t>https://mstgolf.co.th/products/gf2020102016</t>
        </is>
      </c>
      <c r="T2223" s="1">
        <f>IF(B2223="ไม้กอล์ฟ",J2223,"")</f>
        <v/>
      </c>
    </row>
    <row r="2224">
      <c r="A2224" s="1" t="n">
        <v>3</v>
      </c>
      <c r="B2224" s="1" t="inlineStr">
        <is>
          <t>เสื้อผ้า</t>
        </is>
      </c>
      <c r="C2224" s="1" t="inlineStr">
        <is>
          <t>gf2020102020</t>
        </is>
      </c>
      <c r="D2224" s="1" t="inlineStr">
        <is>
          <t>PUMA Dealer Tailored Men's Pants (Coconut Crush)</t>
        </is>
      </c>
      <c r="E2224" s="1" t="inlineStr">
        <is>
          <t>PUMA</t>
        </is>
      </c>
      <c r="F2224" s="1" t="inlineStr">
        <is>
          <t>LONG PANTS</t>
        </is>
      </c>
      <c r="G2224" s="1" t="inlineStr">
        <is>
          <t>GF202010202028</t>
        </is>
      </c>
      <c r="H2224" s="1" t="n">
        <v>7</v>
      </c>
      <c r="I2224" s="1" t="inlineStr">
        <is>
          <t>มี</t>
        </is>
      </c>
      <c r="J2224" s="13" t="n">
        <v>129</v>
      </c>
      <c r="K2224" s="1" t="inlineStr"/>
      <c r="L2224" s="13" t="n">
        <v>129</v>
      </c>
      <c r="M2224" s="1">
        <f>IF(L2224="","ไม่พบใน SG",IF(ABS(J2224-L2224)&lt;0.005,"ตรงกัน","ไม่ตรง"))</f>
        <v/>
      </c>
      <c r="N2224" s="14">
        <f>IF(L2224="","",ROUND(L2224*'สรุป'!$C$6,-1))</f>
        <v/>
      </c>
      <c r="O2224" s="15" t="n"/>
      <c r="P2224" s="15" t="n"/>
      <c r="Q2224" s="10" t="n"/>
      <c r="R2224" s="10" t="n"/>
      <c r="S2224" s="16" t="inlineStr">
        <is>
          <t>https://mstgolf.co.th/products/gf2020102020</t>
        </is>
      </c>
      <c r="T2224" s="1">
        <f>IF(B2224="ไม้กอล์ฟ",J2224,"")</f>
        <v/>
      </c>
    </row>
    <row r="2225">
      <c r="A2225" s="1" t="n">
        <v>3</v>
      </c>
      <c r="B2225" s="1" t="inlineStr">
        <is>
          <t>เสื้อผ้า</t>
        </is>
      </c>
      <c r="C2225" s="1" t="inlineStr">
        <is>
          <t>gf2020102021</t>
        </is>
      </c>
      <c r="D2225" s="1" t="inlineStr">
        <is>
          <t>PUMA Dealer Tailored Men's Pants (Deep Dive)</t>
        </is>
      </c>
      <c r="E2225" s="1" t="inlineStr">
        <is>
          <t>PUMA</t>
        </is>
      </c>
      <c r="F2225" s="1" t="inlineStr">
        <is>
          <t>LONG PANTS</t>
        </is>
      </c>
      <c r="G2225" s="1" t="inlineStr">
        <is>
          <t>GF202010202128</t>
        </is>
      </c>
      <c r="H2225" s="1" t="n">
        <v>7</v>
      </c>
      <c r="I2225" s="1" t="inlineStr">
        <is>
          <t>มี</t>
        </is>
      </c>
      <c r="J2225" s="13" t="n">
        <v>129</v>
      </c>
      <c r="K2225" s="1" t="inlineStr"/>
      <c r="L2225" s="13" t="n">
        <v>129</v>
      </c>
      <c r="M2225" s="1">
        <f>IF(L2225="","ไม่พบใน SG",IF(ABS(J2225-L2225)&lt;0.005,"ตรงกัน","ไม่ตรง"))</f>
        <v/>
      </c>
      <c r="N2225" s="14">
        <f>IF(L2225="","",ROUND(L2225*'สรุป'!$C$6,-1))</f>
        <v/>
      </c>
      <c r="O2225" s="15" t="n"/>
      <c r="P2225" s="15" t="n"/>
      <c r="Q2225" s="10" t="n"/>
      <c r="R2225" s="10" t="n"/>
      <c r="S2225" s="16" t="inlineStr">
        <is>
          <t>https://mstgolf.co.th/products/gf2020102021</t>
        </is>
      </c>
      <c r="T2225" s="1">
        <f>IF(B2225="ไม้กอล์ฟ",J2225,"")</f>
        <v/>
      </c>
    </row>
    <row r="2226">
      <c r="A2226" s="1" t="n">
        <v>3</v>
      </c>
      <c r="B2226" s="1" t="inlineStr">
        <is>
          <t>เสื้อผ้า</t>
        </is>
      </c>
      <c r="C2226" s="1" t="inlineStr">
        <is>
          <t>gf2020102019</t>
        </is>
      </c>
      <c r="D2226" s="1" t="inlineStr">
        <is>
          <t>PUMA Dealer Tailored Men's Pants (Navy Blazer)</t>
        </is>
      </c>
      <c r="E2226" s="1" t="inlineStr">
        <is>
          <t>PUMA</t>
        </is>
      </c>
      <c r="F2226" s="1" t="inlineStr">
        <is>
          <t>LONG PANTS</t>
        </is>
      </c>
      <c r="G2226" s="1" t="inlineStr">
        <is>
          <t>GF202010201928</t>
        </is>
      </c>
      <c r="H2226" s="1" t="n">
        <v>12</v>
      </c>
      <c r="I2226" s="1" t="inlineStr">
        <is>
          <t>มี</t>
        </is>
      </c>
      <c r="J2226" s="13" t="n">
        <v>129</v>
      </c>
      <c r="K2226" s="1" t="inlineStr"/>
      <c r="L2226" s="13" t="n">
        <v>129</v>
      </c>
      <c r="M2226" s="1">
        <f>IF(L2226="","ไม่พบใน SG",IF(ABS(J2226-L2226)&lt;0.005,"ตรงกัน","ไม่ตรง"))</f>
        <v/>
      </c>
      <c r="N2226" s="14">
        <f>IF(L2226="","",ROUND(L2226*'สรุป'!$C$6,-1))</f>
        <v/>
      </c>
      <c r="O2226" s="15" t="n"/>
      <c r="P2226" s="15" t="n"/>
      <c r="Q2226" s="10" t="n"/>
      <c r="R2226" s="10" t="n"/>
      <c r="S2226" s="16" t="inlineStr">
        <is>
          <t>https://mstgolf.co.th/products/gf2020102019</t>
        </is>
      </c>
      <c r="T2226" s="1">
        <f>IF(B2226="ไม้กอล์ฟ",J2226,"")</f>
        <v/>
      </c>
    </row>
    <row r="2227">
      <c r="A2227" s="1" t="n">
        <v>3</v>
      </c>
      <c r="B2227" s="1" t="inlineStr">
        <is>
          <t>เสื้อผ้า</t>
        </is>
      </c>
      <c r="C2227" s="1" t="inlineStr">
        <is>
          <t>gf2020102022</t>
        </is>
      </c>
      <c r="D2227" s="1" t="inlineStr">
        <is>
          <t>PUMA Dealer Tailored Men's Pants (Sedate Grey)</t>
        </is>
      </c>
      <c r="E2227" s="1" t="inlineStr">
        <is>
          <t>PUMA</t>
        </is>
      </c>
      <c r="F2227" s="1" t="inlineStr">
        <is>
          <t>LONG PANTS</t>
        </is>
      </c>
      <c r="G2227" s="1" t="inlineStr">
        <is>
          <t>GF202010202228</t>
        </is>
      </c>
      <c r="H2227" s="1" t="n">
        <v>7</v>
      </c>
      <c r="I2227" s="1" t="inlineStr">
        <is>
          <t>มี</t>
        </is>
      </c>
      <c r="J2227" s="13" t="n">
        <v>129</v>
      </c>
      <c r="K2227" s="1" t="inlineStr"/>
      <c r="L2227" s="13" t="n">
        <v>129</v>
      </c>
      <c r="M2227" s="1">
        <f>IF(L2227="","ไม่พบใน SG",IF(ABS(J2227-L2227)&lt;0.005,"ตรงกัน","ไม่ตรง"))</f>
        <v/>
      </c>
      <c r="N2227" s="14">
        <f>IF(L2227="","",ROUND(L2227*'สรุป'!$C$6,-1))</f>
        <v/>
      </c>
      <c r="O2227" s="15" t="n"/>
      <c r="P2227" s="15" t="n"/>
      <c r="Q2227" s="10" t="n"/>
      <c r="R2227" s="10" t="n"/>
      <c r="S2227" s="16" t="inlineStr">
        <is>
          <t>https://mstgolf.co.th/products/gf2020102022</t>
        </is>
      </c>
      <c r="T2227" s="1">
        <f>IF(B2227="ไม้กอล์ฟ",J2227,"")</f>
        <v/>
      </c>
    </row>
    <row r="2228">
      <c r="A2228" s="1" t="n">
        <v>3</v>
      </c>
      <c r="B2228" s="1" t="inlineStr">
        <is>
          <t>เสื้อผ้า</t>
        </is>
      </c>
      <c r="C2228" s="1" t="inlineStr">
        <is>
          <t>gf2020102017</t>
        </is>
      </c>
      <c r="D2228" s="1" t="inlineStr">
        <is>
          <t>PUMA Dealer Tailored Men's Pants (Slate Sky)</t>
        </is>
      </c>
      <c r="E2228" s="1" t="inlineStr">
        <is>
          <t>PUMA</t>
        </is>
      </c>
      <c r="F2228" s="1" t="inlineStr">
        <is>
          <t>LONG PANTS</t>
        </is>
      </c>
      <c r="G2228" s="1" t="inlineStr">
        <is>
          <t>GF202010201728</t>
        </is>
      </c>
      <c r="H2228" s="1" t="n">
        <v>7</v>
      </c>
      <c r="I2228" s="1" t="inlineStr">
        <is>
          <t>มี</t>
        </is>
      </c>
      <c r="J2228" s="13" t="n">
        <v>129</v>
      </c>
      <c r="K2228" s="1" t="inlineStr"/>
      <c r="L2228" s="13" t="n">
        <v>129</v>
      </c>
      <c r="M2228" s="1">
        <f>IF(L2228="","ไม่พบใน SG",IF(ABS(J2228-L2228)&lt;0.005,"ตรงกัน","ไม่ตรง"))</f>
        <v/>
      </c>
      <c r="N2228" s="14">
        <f>IF(L2228="","",ROUND(L2228*'สรุป'!$C$6,-1))</f>
        <v/>
      </c>
      <c r="O2228" s="15" t="n"/>
      <c r="P2228" s="15" t="n"/>
      <c r="Q2228" s="10" t="n"/>
      <c r="R2228" s="10" t="n"/>
      <c r="S2228" s="16" t="inlineStr">
        <is>
          <t>https://mstgolf.co.th/products/gf2020102017</t>
        </is>
      </c>
      <c r="T2228" s="1">
        <f>IF(B2228="ไม้กอล์ฟ",J2228,"")</f>
        <v/>
      </c>
    </row>
    <row r="2229">
      <c r="A2229" s="1" t="n">
        <v>3</v>
      </c>
      <c r="B2229" s="1" t="inlineStr">
        <is>
          <t>เสื้อผ้า</t>
        </is>
      </c>
      <c r="C2229" s="1" t="inlineStr">
        <is>
          <t>gf2020102015</t>
        </is>
      </c>
      <c r="D2229" s="1" t="inlineStr">
        <is>
          <t>PUMA Dealer Tailored Men's Pants (White Glow)</t>
        </is>
      </c>
      <c r="E2229" s="1" t="inlineStr">
        <is>
          <t>PUMA</t>
        </is>
      </c>
      <c r="F2229" s="1" t="inlineStr">
        <is>
          <t>LONG PANTS</t>
        </is>
      </c>
      <c r="G2229" s="1" t="inlineStr">
        <is>
          <t>GF202010201528</t>
        </is>
      </c>
      <c r="H2229" s="1" t="n">
        <v>7</v>
      </c>
      <c r="I2229" s="1" t="inlineStr">
        <is>
          <t>มี</t>
        </is>
      </c>
      <c r="J2229" s="13" t="n">
        <v>129</v>
      </c>
      <c r="K2229" s="1" t="inlineStr"/>
      <c r="L2229" s="13" t="n">
        <v>129</v>
      </c>
      <c r="M2229" s="1">
        <f>IF(L2229="","ไม่พบใน SG",IF(ABS(J2229-L2229)&lt;0.005,"ตรงกัน","ไม่ตรง"))</f>
        <v/>
      </c>
      <c r="N2229" s="14">
        <f>IF(L2229="","",ROUND(L2229*'สรุป'!$C$6,-1))</f>
        <v/>
      </c>
      <c r="O2229" s="15" t="n"/>
      <c r="P2229" s="15" t="n"/>
      <c r="Q2229" s="10" t="n"/>
      <c r="R2229" s="10" t="n"/>
      <c r="S2229" s="16" t="inlineStr">
        <is>
          <t>https://mstgolf.co.th/products/gf2020102015</t>
        </is>
      </c>
      <c r="T2229" s="1">
        <f>IF(B2229="ไม้กอล์ฟ",J2229,"")</f>
        <v/>
      </c>
    </row>
    <row r="2230">
      <c r="A2230" s="1" t="n">
        <v>3</v>
      </c>
      <c r="B2230" s="1" t="inlineStr">
        <is>
          <t>เสื้อผ้า</t>
        </is>
      </c>
      <c r="C2230" s="1" t="inlineStr">
        <is>
          <t>gf2020102240</t>
        </is>
      </c>
      <c r="D2230" s="1" t="inlineStr">
        <is>
          <t>PUMA S24 Costa Trouser Women's Pants (Black)</t>
        </is>
      </c>
      <c r="E2230" s="1" t="inlineStr">
        <is>
          <t>PUMA</t>
        </is>
      </c>
      <c r="F2230" s="1" t="inlineStr">
        <is>
          <t>LONG PANTS</t>
        </is>
      </c>
      <c r="G2230" s="1" t="inlineStr">
        <is>
          <t>GF2020102240XS</t>
        </is>
      </c>
      <c r="H2230" s="1" t="n">
        <v>6</v>
      </c>
      <c r="I2230" s="1" t="inlineStr">
        <is>
          <t>มี</t>
        </is>
      </c>
      <c r="J2230" s="13" t="n">
        <v>129</v>
      </c>
      <c r="K2230" s="1" t="inlineStr"/>
      <c r="L2230" s="13" t="n">
        <v>129</v>
      </c>
      <c r="M2230" s="1">
        <f>IF(L2230="","ไม่พบใน SG",IF(ABS(J2230-L2230)&lt;0.005,"ตรงกัน","ไม่ตรง"))</f>
        <v/>
      </c>
      <c r="N2230" s="14">
        <f>IF(L2230="","",ROUND(L2230*'สรุป'!$C$6,-1))</f>
        <v/>
      </c>
      <c r="O2230" s="15" t="n"/>
      <c r="P2230" s="15" t="n"/>
      <c r="Q2230" s="10" t="n"/>
      <c r="R2230" s="10" t="n"/>
      <c r="S2230" s="16" t="inlineStr">
        <is>
          <t>https://mstgolf.co.th/products/gf2020102240</t>
        </is>
      </c>
      <c r="T2230" s="1">
        <f>IF(B2230="ไม้กอล์ฟ",J2230,"")</f>
        <v/>
      </c>
    </row>
    <row r="2231">
      <c r="A2231" s="1" t="n">
        <v>3</v>
      </c>
      <c r="B2231" s="1" t="inlineStr">
        <is>
          <t>เสื้อผ้า</t>
        </is>
      </c>
      <c r="C2231" s="1" t="inlineStr">
        <is>
          <t>gf2020202513</t>
        </is>
      </c>
      <c r="D2231" s="1" t="inlineStr">
        <is>
          <t>PUMA x Arnold Palmer Solid Women's Shorts (Warm White)</t>
        </is>
      </c>
      <c r="E2231" s="1" t="inlineStr">
        <is>
          <t>PUMA</t>
        </is>
      </c>
      <c r="F2231" s="1" t="inlineStr">
        <is>
          <t>SHORT PANTS</t>
        </is>
      </c>
      <c r="G2231" s="1" t="inlineStr">
        <is>
          <t>GF2020202513XS</t>
        </is>
      </c>
      <c r="H2231" s="1" t="n">
        <v>6</v>
      </c>
      <c r="I2231" s="1" t="inlineStr">
        <is>
          <t>มี</t>
        </is>
      </c>
      <c r="J2231" s="13" t="n">
        <v>129</v>
      </c>
      <c r="K2231" s="1" t="inlineStr"/>
      <c r="L2231" s="13" t="n">
        <v>129</v>
      </c>
      <c r="M2231" s="1">
        <f>IF(L2231="","ไม่พบใน SG",IF(ABS(J2231-L2231)&lt;0.005,"ตรงกัน","ไม่ตรง"))</f>
        <v/>
      </c>
      <c r="N2231" s="14">
        <f>IF(L2231="","",ROUND(L2231*'สรุป'!$C$6,-1))</f>
        <v/>
      </c>
      <c r="O2231" s="15" t="n"/>
      <c r="P2231" s="15" t="n"/>
      <c r="Q2231" s="10" t="n"/>
      <c r="R2231" s="10" t="n"/>
      <c r="S2231" s="16" t="inlineStr">
        <is>
          <t>https://mstgolf.co.th/products/gf2020202513</t>
        </is>
      </c>
      <c r="T2231" s="1">
        <f>IF(B2231="ไม้กอล์ฟ",J2231,"")</f>
        <v/>
      </c>
    </row>
    <row r="2232">
      <c r="A2232" s="1" t="n">
        <v>3</v>
      </c>
      <c r="B2232" s="1" t="inlineStr">
        <is>
          <t>เสื้อผ้า</t>
        </is>
      </c>
      <c r="C2232" s="1" t="inlineStr">
        <is>
          <t>gf2020101875</t>
        </is>
      </c>
      <c r="D2232" s="1" t="inlineStr">
        <is>
          <t>TAYLORMADE Basic Men's Tapered Pants (Navy)</t>
        </is>
      </c>
      <c r="E2232" s="1" t="inlineStr">
        <is>
          <t>TAYLORMADE</t>
        </is>
      </c>
      <c r="F2232" s="1" t="inlineStr">
        <is>
          <t>LONG PANTS</t>
        </is>
      </c>
      <c r="G2232" s="1" t="inlineStr">
        <is>
          <t>GF202010187582</t>
        </is>
      </c>
      <c r="H2232" s="1" t="n">
        <v>4</v>
      </c>
      <c r="I2232" s="1" t="inlineStr">
        <is>
          <t>มี</t>
        </is>
      </c>
      <c r="J2232" s="13" t="n">
        <v>129</v>
      </c>
      <c r="K2232" s="1" t="inlineStr"/>
      <c r="L2232" s="13" t="n">
        <v>129</v>
      </c>
      <c r="M2232" s="1">
        <f>IF(L2232="","ไม่พบใน SG",IF(ABS(J2232-L2232)&lt;0.005,"ตรงกัน","ไม่ตรง"))</f>
        <v/>
      </c>
      <c r="N2232" s="14">
        <f>IF(L2232="","",ROUND(L2232*'สรุป'!$C$6,-1))</f>
        <v/>
      </c>
      <c r="O2232" s="15" t="n"/>
      <c r="P2232" s="15" t="n"/>
      <c r="Q2232" s="10" t="n"/>
      <c r="R2232" s="10" t="n"/>
      <c r="S2232" s="16" t="inlineStr">
        <is>
          <t>https://mstgolf.co.th/products/gf2020101875</t>
        </is>
      </c>
      <c r="T2232" s="1">
        <f>IF(B2232="ไม้กอล์ฟ",J2232,"")</f>
        <v/>
      </c>
    </row>
    <row r="2233">
      <c r="A2233" s="1" t="n">
        <v>3</v>
      </c>
      <c r="B2233" s="1" t="inlineStr">
        <is>
          <t>เสื้อผ้า</t>
        </is>
      </c>
      <c r="C2233" s="1" t="inlineStr">
        <is>
          <t>gf2040115488</t>
        </is>
      </c>
      <c r="D2233" s="1" t="inlineStr">
        <is>
          <t>TAYLORMADE Flower Jacquard Women's Mock Shirt (Pink)</t>
        </is>
      </c>
      <c r="E2233" s="1" t="inlineStr">
        <is>
          <t>TAYLORMADE</t>
        </is>
      </c>
      <c r="F2233" s="1" t="inlineStr">
        <is>
          <t>SHORT SLEEVES</t>
        </is>
      </c>
      <c r="G2233" s="1" t="inlineStr">
        <is>
          <t>GF2040115488XS</t>
        </is>
      </c>
      <c r="H2233" s="1" t="n">
        <v>5</v>
      </c>
      <c r="I2233" s="1" t="inlineStr">
        <is>
          <t>มี</t>
        </is>
      </c>
      <c r="J2233" s="13" t="n">
        <v>129</v>
      </c>
      <c r="K2233" s="1" t="inlineStr"/>
      <c r="L2233" s="13" t="n">
        <v>75</v>
      </c>
      <c r="M2233" s="1">
        <f>IF(L2233="","ไม่พบใน SG",IF(ABS(J2233-L2233)&lt;0.005,"ตรงกัน","ไม่ตรง"))</f>
        <v/>
      </c>
      <c r="N2233" s="14">
        <f>IF(L2233="","",ROUND(L2233*'สรุป'!$C$6,-1))</f>
        <v/>
      </c>
      <c r="O2233" s="15" t="n"/>
      <c r="P2233" s="15" t="n"/>
      <c r="Q2233" s="10" t="n"/>
      <c r="R2233" s="10" t="n"/>
      <c r="S2233" s="16" t="inlineStr">
        <is>
          <t>https://mstgolf.co.th/products/gf2040115488</t>
        </is>
      </c>
      <c r="T2233" s="1">
        <f>IF(B2233="ไม้กอล์ฟ",J2233,"")</f>
        <v/>
      </c>
    </row>
    <row r="2234">
      <c r="A2234" s="1" t="n">
        <v>3</v>
      </c>
      <c r="B2234" s="1" t="inlineStr">
        <is>
          <t>เสื้อผ้า</t>
        </is>
      </c>
      <c r="C2234" s="1" t="inlineStr">
        <is>
          <t>gf2020102083</t>
        </is>
      </c>
      <c r="D2234" s="1" t="inlineStr">
        <is>
          <t>TAYLORMADE Graphic Men's Pants (Blue)</t>
        </is>
      </c>
      <c r="E2234" s="1" t="inlineStr">
        <is>
          <t>TAYLORMADE</t>
        </is>
      </c>
      <c r="F2234" s="1" t="inlineStr">
        <is>
          <t>LONG PANTS</t>
        </is>
      </c>
      <c r="G2234" s="1" t="inlineStr">
        <is>
          <t>GF202010208382</t>
        </is>
      </c>
      <c r="H2234" s="1" t="n">
        <v>7</v>
      </c>
      <c r="I2234" s="1" t="inlineStr">
        <is>
          <t>มี</t>
        </is>
      </c>
      <c r="J2234" s="13" t="n">
        <v>129</v>
      </c>
      <c r="K2234" s="1" t="inlineStr"/>
      <c r="L2234" s="13" t="n">
        <v>129</v>
      </c>
      <c r="M2234" s="1">
        <f>IF(L2234="","ไม่พบใน SG",IF(ABS(J2234-L2234)&lt;0.005,"ตรงกัน","ไม่ตรง"))</f>
        <v/>
      </c>
      <c r="N2234" s="14">
        <f>IF(L2234="","",ROUND(L2234*'สรุป'!$C$6,-1))</f>
        <v/>
      </c>
      <c r="O2234" s="15" t="n"/>
      <c r="P2234" s="15" t="n"/>
      <c r="Q2234" s="10" t="n"/>
      <c r="R2234" s="10" t="n"/>
      <c r="S2234" s="16" t="inlineStr">
        <is>
          <t>https://mstgolf.co.th/products/gf2020102083</t>
        </is>
      </c>
      <c r="T2234" s="1">
        <f>IF(B2234="ไม้กอล์ฟ",J2234,"")</f>
        <v/>
      </c>
    </row>
    <row r="2235">
      <c r="A2235" s="1" t="n">
        <v>3</v>
      </c>
      <c r="B2235" s="1" t="inlineStr">
        <is>
          <t>เสื้อผ้า</t>
        </is>
      </c>
      <c r="C2235" s="1" t="inlineStr">
        <is>
          <t>gf2020202066</t>
        </is>
      </c>
      <c r="D2235" s="1" t="inlineStr">
        <is>
          <t>TAYLORMADE Met Graphic Women's Shorts (Black)</t>
        </is>
      </c>
      <c r="E2235" s="1" t="inlineStr">
        <is>
          <t>TAYLORMADE</t>
        </is>
      </c>
      <c r="F2235" s="1" t="inlineStr">
        <is>
          <t>SHORT PANTS</t>
        </is>
      </c>
      <c r="G2235" s="1" t="inlineStr">
        <is>
          <t>GF2020202066XS</t>
        </is>
      </c>
      <c r="H2235" s="1" t="n">
        <v>6</v>
      </c>
      <c r="I2235" s="1" t="inlineStr">
        <is>
          <t>มี</t>
        </is>
      </c>
      <c r="J2235" s="13" t="n">
        <v>129</v>
      </c>
      <c r="K2235" s="1" t="inlineStr"/>
      <c r="L2235" s="13" t="n">
        <v>129</v>
      </c>
      <c r="M2235" s="1">
        <f>IF(L2235="","ไม่พบใน SG",IF(ABS(J2235-L2235)&lt;0.005,"ตรงกัน","ไม่ตรง"))</f>
        <v/>
      </c>
      <c r="N2235" s="14">
        <f>IF(L2235="","",ROUND(L2235*'สรุป'!$C$6,-1))</f>
        <v/>
      </c>
      <c r="O2235" s="15" t="n"/>
      <c r="P2235" s="15" t="n"/>
      <c r="Q2235" s="10" t="n"/>
      <c r="R2235" s="10" t="n"/>
      <c r="S2235" s="16" t="inlineStr">
        <is>
          <t>https://mstgolf.co.th/products/gf2020202066</t>
        </is>
      </c>
      <c r="T2235" s="1">
        <f>IF(B2235="ไม้กอล์ฟ",J2235,"")</f>
        <v/>
      </c>
    </row>
    <row r="2236">
      <c r="A2236" s="1" t="n">
        <v>3</v>
      </c>
      <c r="B2236" s="1" t="inlineStr">
        <is>
          <t>เสื้อผ้า</t>
        </is>
      </c>
      <c r="C2236" s="1" t="inlineStr">
        <is>
          <t>gf2040401055</t>
        </is>
      </c>
      <c r="D2236" s="1" t="inlineStr">
        <is>
          <t>TAYLORMADE Seamless Women's Long Sleeve Polo (White)</t>
        </is>
      </c>
      <c r="E2236" s="1" t="inlineStr">
        <is>
          <t>TAYLORMADE</t>
        </is>
      </c>
      <c r="F2236" s="1" t="inlineStr">
        <is>
          <t>LONG SLEEVES</t>
        </is>
      </c>
      <c r="G2236" s="1" t="inlineStr">
        <is>
          <t>GF2040401055M</t>
        </is>
      </c>
      <c r="H2236" s="1" t="n">
        <v>4</v>
      </c>
      <c r="I2236" s="1" t="inlineStr">
        <is>
          <t>มี</t>
        </is>
      </c>
      <c r="J2236" s="13" t="n">
        <v>129</v>
      </c>
      <c r="K2236" s="1" t="inlineStr"/>
      <c r="L2236" s="13" t="n">
        <v>129</v>
      </c>
      <c r="M2236" s="1">
        <f>IF(L2236="","ไม่พบใน SG",IF(ABS(J2236-L2236)&lt;0.005,"ตรงกัน","ไม่ตรง"))</f>
        <v/>
      </c>
      <c r="N2236" s="14">
        <f>IF(L2236="","",ROUND(L2236*'สรุป'!$C$6,-1))</f>
        <v/>
      </c>
      <c r="O2236" s="15" t="n"/>
      <c r="P2236" s="15" t="n"/>
      <c r="Q2236" s="10" t="n"/>
      <c r="R2236" s="10" t="n"/>
      <c r="S2236" s="16" t="inlineStr">
        <is>
          <t>https://mstgolf.co.th/products/gf2040401055</t>
        </is>
      </c>
      <c r="T2236" s="1">
        <f>IF(B2236="ไม้กอล์ฟ",J2236,"")</f>
        <v/>
      </c>
    </row>
    <row r="2237">
      <c r="A2237" s="1" t="n">
        <v>3</v>
      </c>
      <c r="B2237" s="1" t="inlineStr">
        <is>
          <t>เสื้อผ้า</t>
        </is>
      </c>
      <c r="C2237" s="1" t="inlineStr">
        <is>
          <t>gf2040119920</t>
        </is>
      </c>
      <c r="D2237" s="1" t="inlineStr">
        <is>
          <t>TAYLORMADE x United Arrows Women's Polo (Navy)</t>
        </is>
      </c>
      <c r="E2237" s="1" t="inlineStr">
        <is>
          <t>TAYLORMADE</t>
        </is>
      </c>
      <c r="F2237" s="1" t="inlineStr">
        <is>
          <t>SHORT SLEEVES</t>
        </is>
      </c>
      <c r="G2237" s="1" t="inlineStr">
        <is>
          <t>GF2040119920XS</t>
        </is>
      </c>
      <c r="H2237" s="1" t="n">
        <v>4</v>
      </c>
      <c r="I2237" s="1" t="inlineStr">
        <is>
          <t>มี</t>
        </is>
      </c>
      <c r="J2237" s="13" t="n">
        <v>129</v>
      </c>
      <c r="K2237" s="1" t="inlineStr"/>
      <c r="L2237" s="13" t="n">
        <v>129</v>
      </c>
      <c r="M2237" s="1">
        <f>IF(L2237="","ไม่พบใน SG",IF(ABS(J2237-L2237)&lt;0.005,"ตรงกัน","ไม่ตรง"))</f>
        <v/>
      </c>
      <c r="N2237" s="14">
        <f>IF(L2237="","",ROUND(L2237*'สรุป'!$C$6,-1))</f>
        <v/>
      </c>
      <c r="O2237" s="15" t="n"/>
      <c r="P2237" s="15" t="n"/>
      <c r="Q2237" s="10" t="n"/>
      <c r="R2237" s="10" t="n"/>
      <c r="S2237" s="16" t="inlineStr">
        <is>
          <t>https://mstgolf.co.th/products/gf2040119920</t>
        </is>
      </c>
      <c r="T2237" s="1">
        <f>IF(B2237="ไม้กอล์ฟ",J2237,"")</f>
        <v/>
      </c>
    </row>
    <row r="2238">
      <c r="A2238" s="1" t="n">
        <v>3</v>
      </c>
      <c r="B2238" s="1" t="inlineStr">
        <is>
          <t>เสื้อผ้า</t>
        </is>
      </c>
      <c r="C2238" s="1" t="inlineStr">
        <is>
          <t>gf2040119921</t>
        </is>
      </c>
      <c r="D2238" s="1" t="inlineStr">
        <is>
          <t>TAYLORMADE x United Arrows Women's Polo (Navy)</t>
        </is>
      </c>
      <c r="E2238" s="1" t="inlineStr">
        <is>
          <t>TAYLORMADE</t>
        </is>
      </c>
      <c r="F2238" s="1" t="inlineStr">
        <is>
          <t>SHORT SLEEVES</t>
        </is>
      </c>
      <c r="G2238" s="1" t="inlineStr">
        <is>
          <t>GF2040119921XS</t>
        </is>
      </c>
      <c r="H2238" s="1" t="n">
        <v>5</v>
      </c>
      <c r="I2238" s="1" t="inlineStr">
        <is>
          <t>มี</t>
        </is>
      </c>
      <c r="J2238" s="13" t="n">
        <v>129</v>
      </c>
      <c r="K2238" s="1" t="inlineStr"/>
      <c r="L2238" s="13" t="n">
        <v>129</v>
      </c>
      <c r="M2238" s="1">
        <f>IF(L2238="","ไม่พบใน SG",IF(ABS(J2238-L2238)&lt;0.005,"ตรงกัน","ไม่ตรง"))</f>
        <v/>
      </c>
      <c r="N2238" s="14">
        <f>IF(L2238="","",ROUND(L2238*'สรุป'!$C$6,-1))</f>
        <v/>
      </c>
      <c r="O2238" s="15" t="n"/>
      <c r="P2238" s="15" t="n"/>
      <c r="Q2238" s="10" t="n"/>
      <c r="R2238" s="10" t="n"/>
      <c r="S2238" s="16" t="inlineStr">
        <is>
          <t>https://mstgolf.co.th/products/gf2040119921</t>
        </is>
      </c>
      <c r="T2238" s="1">
        <f>IF(B2238="ไม้กอล์ฟ",J2238,"")</f>
        <v/>
      </c>
    </row>
    <row r="2239">
      <c r="A2239" s="1" t="n">
        <v>3</v>
      </c>
      <c r="B2239" s="1" t="inlineStr">
        <is>
          <t>เสื้อผ้า</t>
        </is>
      </c>
      <c r="C2239" s="1" t="inlineStr">
        <is>
          <t>gf2040119922</t>
        </is>
      </c>
      <c r="D2239" s="1" t="inlineStr">
        <is>
          <t>TAYLORMADE x United Arrows Women's Polo (Sax)</t>
        </is>
      </c>
      <c r="E2239" s="1" t="inlineStr">
        <is>
          <t>TAYLORMADE</t>
        </is>
      </c>
      <c r="F2239" s="1" t="inlineStr">
        <is>
          <t>SHORT SLEEVES</t>
        </is>
      </c>
      <c r="G2239" s="1" t="inlineStr">
        <is>
          <t>GF2040119922XS</t>
        </is>
      </c>
      <c r="H2239" s="1" t="n">
        <v>5</v>
      </c>
      <c r="I2239" s="1" t="inlineStr">
        <is>
          <t>มี</t>
        </is>
      </c>
      <c r="J2239" s="13" t="n">
        <v>129</v>
      </c>
      <c r="K2239" s="1" t="inlineStr"/>
      <c r="L2239" s="13" t="n">
        <v>129</v>
      </c>
      <c r="M2239" s="1">
        <f>IF(L2239="","ไม่พบใน SG",IF(ABS(J2239-L2239)&lt;0.005,"ตรงกัน","ไม่ตรง"))</f>
        <v/>
      </c>
      <c r="N2239" s="14">
        <f>IF(L2239="","",ROUND(L2239*'สรุป'!$C$6,-1))</f>
        <v/>
      </c>
      <c r="O2239" s="15" t="n"/>
      <c r="P2239" s="15" t="n"/>
      <c r="Q2239" s="10" t="n"/>
      <c r="R2239" s="10" t="n"/>
      <c r="S2239" s="16" t="inlineStr">
        <is>
          <t>https://mstgolf.co.th/products/gf2040119922</t>
        </is>
      </c>
      <c r="T2239" s="1">
        <f>IF(B2239="ไม้กอล์ฟ",J2239,"")</f>
        <v/>
      </c>
    </row>
    <row r="2240">
      <c r="A2240" s="1" t="n">
        <v>3</v>
      </c>
      <c r="B2240" s="1" t="inlineStr">
        <is>
          <t>เสื้อผ้า</t>
        </is>
      </c>
      <c r="C2240" s="1" t="inlineStr">
        <is>
          <t>gf2040120388</t>
        </is>
      </c>
      <c r="D2240" s="1" t="inlineStr">
        <is>
          <t>UNDER ARMOUR Drive Chill Men's Polo (Blue Calm)</t>
        </is>
      </c>
      <c r="E2240" s="1" t="inlineStr">
        <is>
          <t>UNDER ARMOUR</t>
        </is>
      </c>
      <c r="F2240" s="1" t="inlineStr">
        <is>
          <t>SHORT SLEEVES</t>
        </is>
      </c>
      <c r="G2240" s="1" t="inlineStr">
        <is>
          <t>GF2040120388S</t>
        </is>
      </c>
      <c r="H2240" s="1" t="n">
        <v>5</v>
      </c>
      <c r="I2240" s="1" t="inlineStr">
        <is>
          <t>มี</t>
        </is>
      </c>
      <c r="J2240" s="13" t="n">
        <v>129</v>
      </c>
      <c r="K2240" s="1" t="inlineStr"/>
      <c r="L2240" s="13" t="n">
        <v>129</v>
      </c>
      <c r="M2240" s="1">
        <f>IF(L2240="","ไม่พบใน SG",IF(ABS(J2240-L2240)&lt;0.005,"ตรงกัน","ไม่ตรง"))</f>
        <v/>
      </c>
      <c r="N2240" s="14">
        <f>IF(L2240="","",ROUND(L2240*'สรุป'!$C$6,-1))</f>
        <v/>
      </c>
      <c r="O2240" s="15" t="n"/>
      <c r="P2240" s="15" t="n"/>
      <c r="Q2240" s="10" t="n"/>
      <c r="R2240" s="10" t="n"/>
      <c r="S2240" s="16" t="inlineStr">
        <is>
          <t>https://mstgolf.co.th/products/gf2040120388</t>
        </is>
      </c>
      <c r="T2240" s="1">
        <f>IF(B2240="ไม้กอล์ฟ",J2240,"")</f>
        <v/>
      </c>
    </row>
    <row r="2241">
      <c r="A2241" s="1" t="n">
        <v>3</v>
      </c>
      <c r="B2241" s="1" t="inlineStr">
        <is>
          <t>เสื้อผ้า</t>
        </is>
      </c>
      <c r="C2241" s="1" t="inlineStr">
        <is>
          <t>gf2040120387</t>
        </is>
      </c>
      <c r="D2241" s="1" t="inlineStr">
        <is>
          <t>UNDER ARMOUR Drive Chill Men's Polo (Downpour Grey)</t>
        </is>
      </c>
      <c r="E2241" s="1" t="inlineStr">
        <is>
          <t>UNDER ARMOUR</t>
        </is>
      </c>
      <c r="F2241" s="1" t="inlineStr">
        <is>
          <t>SHORT SLEEVES</t>
        </is>
      </c>
      <c r="G2241" s="1" t="inlineStr">
        <is>
          <t>GF2040120387S</t>
        </is>
      </c>
      <c r="H2241" s="1" t="n">
        <v>5</v>
      </c>
      <c r="I2241" s="1" t="inlineStr">
        <is>
          <t>มี</t>
        </is>
      </c>
      <c r="J2241" s="13" t="n">
        <v>129</v>
      </c>
      <c r="K2241" s="1" t="inlineStr"/>
      <c r="L2241" s="13" t="n">
        <v>95</v>
      </c>
      <c r="M2241" s="1">
        <f>IF(L2241="","ไม่พบใน SG",IF(ABS(J2241-L2241)&lt;0.005,"ตรงกัน","ไม่ตรง"))</f>
        <v/>
      </c>
      <c r="N2241" s="14">
        <f>IF(L2241="","",ROUND(L2241*'สรุป'!$C$6,-1))</f>
        <v/>
      </c>
      <c r="O2241" s="15" t="n"/>
      <c r="P2241" s="15" t="n"/>
      <c r="Q2241" s="10" t="n"/>
      <c r="R2241" s="10" t="n"/>
      <c r="S2241" s="16" t="inlineStr">
        <is>
          <t>https://mstgolf.co.th/products/gf2040120387</t>
        </is>
      </c>
      <c r="T2241" s="1">
        <f>IF(B2241="ไม้กอล์ฟ",J2241,"")</f>
        <v/>
      </c>
    </row>
    <row r="2242">
      <c r="A2242" s="1" t="n">
        <v>3</v>
      </c>
      <c r="B2242" s="1" t="inlineStr">
        <is>
          <t>เสื้อผ้า</t>
        </is>
      </c>
      <c r="C2242" s="1" t="inlineStr">
        <is>
          <t>gf2040119222</t>
        </is>
      </c>
      <c r="D2242" s="1" t="inlineStr">
        <is>
          <t>UNDER ARMOUR Drive Chill Men's Polo (Ether Blue)</t>
        </is>
      </c>
      <c r="E2242" s="1" t="inlineStr">
        <is>
          <t>UNDER ARMOUR</t>
        </is>
      </c>
      <c r="F2242" s="1" t="inlineStr">
        <is>
          <t>SHORT SLEEVES</t>
        </is>
      </c>
      <c r="G2242" s="1" t="inlineStr">
        <is>
          <t>GF2040119222S</t>
        </is>
      </c>
      <c r="H2242" s="1" t="n">
        <v>5</v>
      </c>
      <c r="I2242" s="1" t="inlineStr">
        <is>
          <t>มี</t>
        </is>
      </c>
      <c r="J2242" s="13" t="n">
        <v>129</v>
      </c>
      <c r="K2242" s="1" t="inlineStr"/>
      <c r="L2242" s="13" t="n">
        <v>129</v>
      </c>
      <c r="M2242" s="1">
        <f>IF(L2242="","ไม่พบใน SG",IF(ABS(J2242-L2242)&lt;0.005,"ตรงกัน","ไม่ตรง"))</f>
        <v/>
      </c>
      <c r="N2242" s="14">
        <f>IF(L2242="","",ROUND(L2242*'สรุป'!$C$6,-1))</f>
        <v/>
      </c>
      <c r="O2242" s="15" t="n"/>
      <c r="P2242" s="15" t="n"/>
      <c r="Q2242" s="10" t="n"/>
      <c r="R2242" s="10" t="n"/>
      <c r="S2242" s="16" t="inlineStr">
        <is>
          <t>https://mstgolf.co.th/products/gf2040119222</t>
        </is>
      </c>
      <c r="T2242" s="1">
        <f>IF(B2242="ไม้กอล์ฟ",J2242,"")</f>
        <v/>
      </c>
    </row>
    <row r="2243">
      <c r="A2243" s="1" t="n">
        <v>3</v>
      </c>
      <c r="B2243" s="1" t="inlineStr">
        <is>
          <t>เสื้อผ้า</t>
        </is>
      </c>
      <c r="C2243" s="1" t="inlineStr">
        <is>
          <t>gf2020101791</t>
        </is>
      </c>
      <c r="D2243" s="1" t="inlineStr">
        <is>
          <t>UNDER ARMOUR Drive Men's Tapered Pants (Academy)</t>
        </is>
      </c>
      <c r="E2243" s="1" t="inlineStr">
        <is>
          <t>UNDER ARMOUR</t>
        </is>
      </c>
      <c r="F2243" s="1" t="inlineStr">
        <is>
          <t>LONG PANTS</t>
        </is>
      </c>
      <c r="G2243" s="1" t="inlineStr">
        <is>
          <t>GF202010179130</t>
        </is>
      </c>
      <c r="H2243" s="1" t="n">
        <v>6</v>
      </c>
      <c r="I2243" s="1" t="inlineStr">
        <is>
          <t>มี</t>
        </is>
      </c>
      <c r="J2243" s="13" t="n">
        <v>129</v>
      </c>
      <c r="K2243" s="1" t="inlineStr"/>
      <c r="L2243" s="13" t="n">
        <v>129</v>
      </c>
      <c r="M2243" s="1">
        <f>IF(L2243="","ไม่พบใน SG",IF(ABS(J2243-L2243)&lt;0.005,"ตรงกัน","ไม่ตรง"))</f>
        <v/>
      </c>
      <c r="N2243" s="14">
        <f>IF(L2243="","",ROUND(L2243*'สรุป'!$C$6,-1))</f>
        <v/>
      </c>
      <c r="O2243" s="15" t="n"/>
      <c r="P2243" s="15" t="n"/>
      <c r="Q2243" s="10" t="n"/>
      <c r="R2243" s="10" t="n"/>
      <c r="S2243" s="16" t="inlineStr">
        <is>
          <t>https://mstgolf.co.th/products/gf2020101791</t>
        </is>
      </c>
      <c r="T2243" s="1">
        <f>IF(B2243="ไม้กอล์ฟ",J2243,"")</f>
        <v/>
      </c>
    </row>
    <row r="2244">
      <c r="A2244" s="1" t="n">
        <v>3</v>
      </c>
      <c r="B2244" s="1" t="inlineStr">
        <is>
          <t>เสื้อผ้า</t>
        </is>
      </c>
      <c r="C2244" s="1" t="inlineStr">
        <is>
          <t>gf2020202447</t>
        </is>
      </c>
      <c r="D2244" s="1" t="inlineStr">
        <is>
          <t>WAAC Korea Men's Cargo Shorts (Black)</t>
        </is>
      </c>
      <c r="E2244" s="1" t="inlineStr">
        <is>
          <t>WAAC</t>
        </is>
      </c>
      <c r="F2244" s="1" t="inlineStr">
        <is>
          <t>SHORT PANTS</t>
        </is>
      </c>
      <c r="G2244" s="1" t="inlineStr">
        <is>
          <t>GF202020244730</t>
        </is>
      </c>
      <c r="H2244" s="1" t="n">
        <v>5</v>
      </c>
      <c r="I2244" s="1" t="inlineStr">
        <is>
          <t>มี</t>
        </is>
      </c>
      <c r="J2244" s="13" t="n">
        <v>129</v>
      </c>
      <c r="K2244" s="1" t="inlineStr"/>
      <c r="L2244" s="13" t="n">
        <v>129</v>
      </c>
      <c r="M2244" s="1">
        <f>IF(L2244="","ไม่พบใน SG",IF(ABS(J2244-L2244)&lt;0.005,"ตรงกัน","ไม่ตรง"))</f>
        <v/>
      </c>
      <c r="N2244" s="14">
        <f>IF(L2244="","",ROUND(L2244*'สรุป'!$C$6,-1))</f>
        <v/>
      </c>
      <c r="O2244" s="15" t="n"/>
      <c r="P2244" s="15" t="n"/>
      <c r="Q2244" s="10" t="n"/>
      <c r="R2244" s="10" t="n"/>
      <c r="S2244" s="16" t="inlineStr">
        <is>
          <t>https://mstgolf.co.th/products/gf2020202447</t>
        </is>
      </c>
      <c r="T2244" s="1">
        <f>IF(B2244="ไม้กอล์ฟ",J2244,"")</f>
        <v/>
      </c>
    </row>
    <row r="2245">
      <c r="A2245" s="1" t="n">
        <v>3</v>
      </c>
      <c r="B2245" s="1" t="inlineStr">
        <is>
          <t>อุปกรณ์เสริม</t>
        </is>
      </c>
      <c r="C2245" s="1" t="inlineStr">
        <is>
          <t>gf3500201664</t>
        </is>
      </c>
      <c r="D2245" s="1" t="inlineStr">
        <is>
          <t>WAAC Seasonal Driver Headcover</t>
        </is>
      </c>
      <c r="E2245" s="1" t="inlineStr">
        <is>
          <t>WAAC</t>
        </is>
      </c>
      <c r="F2245" s="1" t="inlineStr">
        <is>
          <t>HEADCOVERS</t>
        </is>
      </c>
      <c r="G2245" s="1" t="inlineStr">
        <is>
          <t>GF3500201664</t>
        </is>
      </c>
      <c r="H2245" s="1" t="n">
        <v>1</v>
      </c>
      <c r="I2245" s="1" t="inlineStr">
        <is>
          <t>มี</t>
        </is>
      </c>
      <c r="J2245" s="13" t="n">
        <v>129</v>
      </c>
      <c r="K2245" s="1" t="inlineStr"/>
      <c r="L2245" s="13" t="n">
        <v>129</v>
      </c>
      <c r="M2245" s="1">
        <f>IF(L2245="","ไม่พบใน SG",IF(ABS(J2245-L2245)&lt;0.005,"ตรงกัน","ไม่ตรง"))</f>
        <v/>
      </c>
      <c r="N2245" s="14">
        <f>IF(L2245="","",ROUND(L2245*'สรุป'!$C$6,-1))</f>
        <v/>
      </c>
      <c r="O2245" s="15" t="n"/>
      <c r="P2245" s="15" t="n"/>
      <c r="Q2245" s="10" t="n"/>
      <c r="R2245" s="10" t="n"/>
      <c r="S2245" s="16" t="inlineStr">
        <is>
          <t>https://mstgolf.co.th/products/gf3500201664</t>
        </is>
      </c>
      <c r="T2245" s="1">
        <f>IF(B2245="ไม้กอล์ฟ",J2245,"")</f>
        <v/>
      </c>
    </row>
    <row r="2246">
      <c r="A2246" s="1" t="n">
        <v>3</v>
      </c>
      <c r="B2246" s="1" t="inlineStr">
        <is>
          <t>เสื้อผ้า</t>
        </is>
      </c>
      <c r="C2246" s="1" t="inlineStr">
        <is>
          <t>gf2040120629</t>
        </is>
      </c>
      <c r="D2246" s="1" t="inlineStr">
        <is>
          <t>FOOTJOY Bracket Print Lisle Men's Polo (Blue)</t>
        </is>
      </c>
      <c r="E2246" s="1" t="inlineStr">
        <is>
          <t>FOOTJOY</t>
        </is>
      </c>
      <c r="F2246" s="1" t="inlineStr">
        <is>
          <t>SHORT SLEEVES</t>
        </is>
      </c>
      <c r="G2246" s="1" t="inlineStr">
        <is>
          <t>GF2040120629XS</t>
        </is>
      </c>
      <c r="H2246" s="1" t="n">
        <v>6</v>
      </c>
      <c r="I2246" s="1" t="inlineStr">
        <is>
          <t>มี</t>
        </is>
      </c>
      <c r="J2246" s="13" t="n">
        <v>127</v>
      </c>
      <c r="K2246" s="1" t="inlineStr"/>
      <c r="L2246" s="13" t="n">
        <v>75</v>
      </c>
      <c r="M2246" s="1">
        <f>IF(L2246="","ไม่พบใน SG",IF(ABS(J2246-L2246)&lt;0.005,"ตรงกัน","ไม่ตรง"))</f>
        <v/>
      </c>
      <c r="N2246" s="14">
        <f>IF(L2246="","",ROUND(L2246*'สรุป'!$C$6,-1))</f>
        <v/>
      </c>
      <c r="O2246" s="15" t="n"/>
      <c r="P2246" s="15" t="n"/>
      <c r="Q2246" s="10" t="n"/>
      <c r="R2246" s="10" t="n"/>
      <c r="S2246" s="16" t="inlineStr">
        <is>
          <t>https://mstgolf.co.th/products/gf2040120629</t>
        </is>
      </c>
      <c r="T2246" s="1">
        <f>IF(B2246="ไม้กอล์ฟ",J2246,"")</f>
        <v/>
      </c>
    </row>
    <row r="2247">
      <c r="A2247" s="1" t="n">
        <v>3</v>
      </c>
      <c r="B2247" s="1" t="inlineStr">
        <is>
          <t>เสื้อผ้า</t>
        </is>
      </c>
      <c r="C2247" s="1" t="inlineStr">
        <is>
          <t>gf2040120635</t>
        </is>
      </c>
      <c r="D2247" s="1" t="inlineStr">
        <is>
          <t>FOOTJOY Gamer Print Men's Pique Polo (White/Blue)</t>
        </is>
      </c>
      <c r="E2247" s="1" t="inlineStr">
        <is>
          <t>FOOTJOY</t>
        </is>
      </c>
      <c r="F2247" s="1" t="inlineStr">
        <is>
          <t>SHORT SLEEVES</t>
        </is>
      </c>
      <c r="G2247" s="1" t="inlineStr">
        <is>
          <t>GF2040120635XS</t>
        </is>
      </c>
      <c r="H2247" s="1" t="n">
        <v>6</v>
      </c>
      <c r="I2247" s="1" t="inlineStr">
        <is>
          <t>มี</t>
        </is>
      </c>
      <c r="J2247" s="13" t="n">
        <v>127</v>
      </c>
      <c r="K2247" s="1" t="inlineStr"/>
      <c r="L2247" s="13" t="n">
        <v>75</v>
      </c>
      <c r="M2247" s="1">
        <f>IF(L2247="","ไม่พบใน SG",IF(ABS(J2247-L2247)&lt;0.005,"ตรงกัน","ไม่ตรง"))</f>
        <v/>
      </c>
      <c r="N2247" s="14">
        <f>IF(L2247="","",ROUND(L2247*'สรุป'!$C$6,-1))</f>
        <v/>
      </c>
      <c r="O2247" s="15" t="n"/>
      <c r="P2247" s="15" t="n"/>
      <c r="Q2247" s="10" t="n"/>
      <c r="R2247" s="10" t="n"/>
      <c r="S2247" s="16" t="inlineStr">
        <is>
          <t>https://mstgolf.co.th/products/gf2040120635</t>
        </is>
      </c>
      <c r="T2247" s="1">
        <f>IF(B2247="ไม้กอล์ฟ",J2247,"")</f>
        <v/>
      </c>
    </row>
    <row r="2248">
      <c r="A2248" s="1" t="n">
        <v>3</v>
      </c>
      <c r="B2248" s="1" t="inlineStr">
        <is>
          <t>เสื้อผ้า</t>
        </is>
      </c>
      <c r="C2248" s="1" t="inlineStr">
        <is>
          <t>gf2020202689</t>
        </is>
      </c>
      <c r="D2248" s="1" t="inlineStr">
        <is>
          <t>FOOTJOY Lightweight Woven Skort (Grey)</t>
        </is>
      </c>
      <c r="E2248" s="1" t="inlineStr">
        <is>
          <t>FOOTJOY</t>
        </is>
      </c>
      <c r="F2248" s="1" t="inlineStr">
        <is>
          <t>SHORT PANTS</t>
        </is>
      </c>
      <c r="G2248" s="1" t="inlineStr">
        <is>
          <t>GF2020202689XS</t>
        </is>
      </c>
      <c r="H2248" s="1" t="n">
        <v>5</v>
      </c>
      <c r="I2248" s="1" t="inlineStr">
        <is>
          <t>มี</t>
        </is>
      </c>
      <c r="J2248" s="13" t="n">
        <v>127</v>
      </c>
      <c r="K2248" s="1" t="inlineStr"/>
      <c r="L2248" s="13" t="n">
        <v>127</v>
      </c>
      <c r="M2248" s="1">
        <f>IF(L2248="","ไม่พบใน SG",IF(ABS(J2248-L2248)&lt;0.005,"ตรงกัน","ไม่ตรง"))</f>
        <v/>
      </c>
      <c r="N2248" s="14">
        <f>IF(L2248="","",ROUND(L2248*'สรุป'!$C$6,-1))</f>
        <v/>
      </c>
      <c r="O2248" s="15" t="n"/>
      <c r="P2248" s="15" t="n"/>
      <c r="Q2248" s="10" t="n"/>
      <c r="R2248" s="10" t="n"/>
      <c r="S2248" s="16" t="inlineStr">
        <is>
          <t>https://mstgolf.co.th/products/gf2020202689</t>
        </is>
      </c>
      <c r="T2248" s="1">
        <f>IF(B2248="ไม้กอล์ฟ",J2248,"")</f>
        <v/>
      </c>
    </row>
    <row r="2249">
      <c r="A2249" s="1" t="n">
        <v>3</v>
      </c>
      <c r="B2249" s="1" t="inlineStr">
        <is>
          <t>เสื้อผ้า</t>
        </is>
      </c>
      <c r="C2249" s="1" t="inlineStr">
        <is>
          <t>gf2020202269</t>
        </is>
      </c>
      <c r="D2249" s="1" t="inlineStr">
        <is>
          <t>FOOTJOY FootJoy Lightweight Woven Women's Skort (Black)</t>
        </is>
      </c>
      <c r="E2249" s="1" t="inlineStr">
        <is>
          <t>FOOTJOY</t>
        </is>
      </c>
      <c r="F2249" s="1" t="inlineStr">
        <is>
          <t>SHORT PANTS</t>
        </is>
      </c>
      <c r="G2249" s="1" t="inlineStr">
        <is>
          <t>GF2020202269XS</t>
        </is>
      </c>
      <c r="H2249" s="1" t="n">
        <v>5</v>
      </c>
      <c r="I2249" s="1" t="inlineStr">
        <is>
          <t>มี</t>
        </is>
      </c>
      <c r="J2249" s="13" t="n">
        <v>126</v>
      </c>
      <c r="K2249" s="1" t="inlineStr"/>
      <c r="L2249" s="13" t="n">
        <v>126</v>
      </c>
      <c r="M2249" s="1">
        <f>IF(L2249="","ไม่พบใน SG",IF(ABS(J2249-L2249)&lt;0.005,"ตรงกัน","ไม่ตรง"))</f>
        <v/>
      </c>
      <c r="N2249" s="14">
        <f>IF(L2249="","",ROUND(L2249*'สรุป'!$C$6,-1))</f>
        <v/>
      </c>
      <c r="O2249" s="15" t="n"/>
      <c r="P2249" s="15" t="n"/>
      <c r="Q2249" s="10" t="n"/>
      <c r="R2249" s="10" t="n"/>
      <c r="S2249" s="16" t="inlineStr">
        <is>
          <t>https://mstgolf.co.th/products/gf2020202269</t>
        </is>
      </c>
      <c r="T2249" s="1">
        <f>IF(B2249="ไม้กอล์ฟ",J2249,"")</f>
        <v/>
      </c>
    </row>
    <row r="2250">
      <c r="A2250" s="1" t="n">
        <v>3</v>
      </c>
      <c r="B2250" s="1" t="inlineStr">
        <is>
          <t>เสื้อผ้า</t>
        </is>
      </c>
      <c r="C2250" s="1" t="inlineStr">
        <is>
          <t>gf2020202268</t>
        </is>
      </c>
      <c r="D2250" s="1" t="inlineStr">
        <is>
          <t>FOOTJOY FootJoy Lightweight Woven Women's Skort (White)</t>
        </is>
      </c>
      <c r="E2250" s="1" t="inlineStr">
        <is>
          <t>FOOTJOY</t>
        </is>
      </c>
      <c r="F2250" s="1" t="inlineStr">
        <is>
          <t>SHORT PANTS</t>
        </is>
      </c>
      <c r="G2250" s="1" t="inlineStr">
        <is>
          <t>GF2020202268XS</t>
        </is>
      </c>
      <c r="H2250" s="1" t="n">
        <v>5</v>
      </c>
      <c r="I2250" s="1" t="inlineStr">
        <is>
          <t>มี</t>
        </is>
      </c>
      <c r="J2250" s="13" t="n">
        <v>126</v>
      </c>
      <c r="K2250" s="1" t="inlineStr"/>
      <c r="L2250" s="13" t="n">
        <v>126</v>
      </c>
      <c r="M2250" s="1">
        <f>IF(L2250="","ไม่พบใน SG",IF(ABS(J2250-L2250)&lt;0.005,"ตรงกัน","ไม่ตรง"))</f>
        <v/>
      </c>
      <c r="N2250" s="14">
        <f>IF(L2250="","",ROUND(L2250*'สรุป'!$C$6,-1))</f>
        <v/>
      </c>
      <c r="O2250" s="15" t="n"/>
      <c r="P2250" s="15" t="n"/>
      <c r="Q2250" s="10" t="n"/>
      <c r="R2250" s="10" t="n"/>
      <c r="S2250" s="16" t="inlineStr">
        <is>
          <t>https://mstgolf.co.th/products/gf2020202268</t>
        </is>
      </c>
      <c r="T2250" s="1">
        <f>IF(B2250="ไม้กอล์ฟ",J2250,"")</f>
        <v/>
      </c>
    </row>
    <row r="2251">
      <c r="A2251" s="1" t="n">
        <v>3</v>
      </c>
      <c r="B2251" s="1" t="inlineStr">
        <is>
          <t>เสื้อผ้า</t>
        </is>
      </c>
      <c r="C2251" s="1" t="inlineStr">
        <is>
          <t>gf2040118246</t>
        </is>
      </c>
      <c r="D2251" s="1" t="inlineStr">
        <is>
          <t>BOSS GOLF Island Men's T-Shirt (Beige)</t>
        </is>
      </c>
      <c r="E2251" s="1" t="inlineStr">
        <is>
          <t>BOSS GOLF</t>
        </is>
      </c>
      <c r="F2251" s="1" t="inlineStr">
        <is>
          <t>SHORT SLEEVES</t>
        </is>
      </c>
      <c r="G2251" s="1" t="inlineStr">
        <is>
          <t>GF2040118246M</t>
        </is>
      </c>
      <c r="H2251" s="1" t="n">
        <v>5</v>
      </c>
      <c r="I2251" s="1" t="inlineStr">
        <is>
          <t>มี</t>
        </is>
      </c>
      <c r="J2251" s="13" t="n">
        <v>125</v>
      </c>
      <c r="K2251" s="1" t="inlineStr"/>
      <c r="L2251" s="13" t="n"/>
      <c r="M2251" s="1">
        <f>IF(L2251="","ไม่พบใน SG",IF(ABS(J2251-L2251)&lt;0.005,"ตรงกัน","ไม่ตรง"))</f>
        <v/>
      </c>
      <c r="N2251" s="14">
        <f>IF(L2251="","",ROUND(L2251*'สรุป'!$C$6,-1))</f>
        <v/>
      </c>
      <c r="O2251" s="15" t="n"/>
      <c r="P2251" s="15" t="n"/>
      <c r="Q2251" s="10" t="n"/>
      <c r="R2251" s="10" t="n"/>
      <c r="S2251" s="16" t="inlineStr">
        <is>
          <t>https://mstgolf.co.th/products/gf2040118246</t>
        </is>
      </c>
      <c r="T2251" s="1">
        <f>IF(B2251="ไม้กอล์ฟ",J2251,"")</f>
        <v/>
      </c>
    </row>
    <row r="2252">
      <c r="A2252" s="1" t="n">
        <v>3</v>
      </c>
      <c r="B2252" s="1" t="inlineStr">
        <is>
          <t>เสื้อผ้า</t>
        </is>
      </c>
      <c r="C2252" s="1" t="inlineStr">
        <is>
          <t>gf2020201934</t>
        </is>
      </c>
      <c r="D2252" s="1" t="inlineStr">
        <is>
          <t>FOOTJOY Knit Skort (Black)</t>
        </is>
      </c>
      <c r="E2252" s="1" t="inlineStr">
        <is>
          <t>FOOTJOY</t>
        </is>
      </c>
      <c r="F2252" s="1" t="inlineStr">
        <is>
          <t>SHORT PANTS</t>
        </is>
      </c>
      <c r="G2252" s="1" t="inlineStr">
        <is>
          <t>GF2020201934XS</t>
        </is>
      </c>
      <c r="H2252" s="1" t="n">
        <v>5</v>
      </c>
      <c r="I2252" s="1" t="inlineStr">
        <is>
          <t>มี</t>
        </is>
      </c>
      <c r="J2252" s="13" t="n">
        <v>125</v>
      </c>
      <c r="K2252" s="1" t="inlineStr"/>
      <c r="L2252" s="13" t="n">
        <v>75</v>
      </c>
      <c r="M2252" s="1">
        <f>IF(L2252="","ไม่พบใน SG",IF(ABS(J2252-L2252)&lt;0.005,"ตรงกัน","ไม่ตรง"))</f>
        <v/>
      </c>
      <c r="N2252" s="14">
        <f>IF(L2252="","",ROUND(L2252*'สรุป'!$C$6,-1))</f>
        <v/>
      </c>
      <c r="O2252" s="15" t="n"/>
      <c r="P2252" s="15" t="n"/>
      <c r="Q2252" s="10" t="n"/>
      <c r="R2252" s="10" t="n"/>
      <c r="S2252" s="16" t="inlineStr">
        <is>
          <t>https://mstgolf.co.th/products/gf2020201934</t>
        </is>
      </c>
      <c r="T2252" s="1">
        <f>IF(B2252="ไม้กอล์ฟ",J2252,"")</f>
        <v/>
      </c>
    </row>
    <row r="2253">
      <c r="A2253" s="1" t="n">
        <v>3</v>
      </c>
      <c r="B2253" s="1" t="inlineStr">
        <is>
          <t>เสื้อผ้า</t>
        </is>
      </c>
      <c r="C2253" s="1" t="inlineStr">
        <is>
          <t>gf2020102217</t>
        </is>
      </c>
      <c r="D2253" s="1" t="inlineStr">
        <is>
          <t>GFORE Stretch Twill Men's Pants (Slate)</t>
        </is>
      </c>
      <c r="E2253" s="1" t="inlineStr">
        <is>
          <t>GFORE</t>
        </is>
      </c>
      <c r="F2253" s="1" t="inlineStr">
        <is>
          <t>LONG PANTS</t>
        </is>
      </c>
      <c r="G2253" s="1" t="inlineStr">
        <is>
          <t>GF202010221730</t>
        </is>
      </c>
      <c r="H2253" s="1" t="n">
        <v>7</v>
      </c>
      <c r="I2253" s="1" t="inlineStr">
        <is>
          <t>มี</t>
        </is>
      </c>
      <c r="J2253" s="13" t="n">
        <v>125</v>
      </c>
      <c r="K2253" s="1" t="inlineStr"/>
      <c r="L2253" s="13" t="n">
        <v>125</v>
      </c>
      <c r="M2253" s="1">
        <f>IF(L2253="","ไม่พบใน SG",IF(ABS(J2253-L2253)&lt;0.005,"ตรงกัน","ไม่ตรง"))</f>
        <v/>
      </c>
      <c r="N2253" s="14">
        <f>IF(L2253="","",ROUND(L2253*'สรุป'!$C$6,-1))</f>
        <v/>
      </c>
      <c r="O2253" s="15" t="n"/>
      <c r="P2253" s="15" t="n"/>
      <c r="Q2253" s="10" t="n"/>
      <c r="R2253" s="10" t="n"/>
      <c r="S2253" s="16" t="inlineStr">
        <is>
          <t>https://mstgolf.co.th/products/gf2020102217</t>
        </is>
      </c>
      <c r="T2253" s="1">
        <f>IF(B2253="ไม้กอล์ฟ",J2253,"")</f>
        <v/>
      </c>
    </row>
    <row r="2254">
      <c r="A2254" s="1" t="n">
        <v>3</v>
      </c>
      <c r="B2254" s="1" t="inlineStr">
        <is>
          <t>เสื้อผ้า</t>
        </is>
      </c>
      <c r="C2254" s="1" t="inlineStr">
        <is>
          <t>gf2040119693</t>
        </is>
      </c>
      <c r="D2254" s="1" t="inlineStr">
        <is>
          <t>MALBON GOLF Evergreen Performance Pique Men's Polo (Black)</t>
        </is>
      </c>
      <c r="E2254" s="1" t="inlineStr">
        <is>
          <t>MALBON GOLF</t>
        </is>
      </c>
      <c r="F2254" s="1" t="inlineStr">
        <is>
          <t>SHORT SLEEVES</t>
        </is>
      </c>
      <c r="G2254" s="1" t="inlineStr">
        <is>
          <t>GF2040119693S</t>
        </is>
      </c>
      <c r="H2254" s="1" t="n">
        <v>5</v>
      </c>
      <c r="I2254" s="1" t="inlineStr">
        <is>
          <t>มี</t>
        </is>
      </c>
      <c r="J2254" s="13" t="n">
        <v>125</v>
      </c>
      <c r="K2254" s="1" t="inlineStr"/>
      <c r="L2254" s="13" t="n">
        <v>125</v>
      </c>
      <c r="M2254" s="1">
        <f>IF(L2254="","ไม่พบใน SG",IF(ABS(J2254-L2254)&lt;0.005,"ตรงกัน","ไม่ตรง"))</f>
        <v/>
      </c>
      <c r="N2254" s="14">
        <f>IF(L2254="","",ROUND(L2254*'สรุป'!$C$6,-1))</f>
        <v/>
      </c>
      <c r="O2254" s="15" t="n"/>
      <c r="P2254" s="15" t="n"/>
      <c r="Q2254" s="10" t="n"/>
      <c r="R2254" s="10" t="n"/>
      <c r="S2254" s="16" t="inlineStr">
        <is>
          <t>https://mstgolf.co.th/products/gf2040119693</t>
        </is>
      </c>
      <c r="T2254" s="1">
        <f>IF(B2254="ไม้กอล์ฟ",J2254,"")</f>
        <v/>
      </c>
    </row>
    <row r="2255">
      <c r="A2255" s="1" t="n">
        <v>3</v>
      </c>
      <c r="B2255" s="1" t="inlineStr">
        <is>
          <t>เสื้อผ้า</t>
        </is>
      </c>
      <c r="C2255" s="1" t="inlineStr">
        <is>
          <t>gf2020102500</t>
        </is>
      </c>
      <c r="D2255" s="1" t="inlineStr">
        <is>
          <t>OAKLEY Decisive Tapered 5.0 Men's Pants (Grey)</t>
        </is>
      </c>
      <c r="E2255" s="1" t="inlineStr">
        <is>
          <t>OAKLEY</t>
        </is>
      </c>
      <c r="F2255" s="1" t="inlineStr">
        <is>
          <t>LONG PANTS</t>
        </is>
      </c>
      <c r="G2255" s="1" t="inlineStr">
        <is>
          <t>GF2020102500S</t>
        </is>
      </c>
      <c r="H2255" s="1" t="n">
        <v>4</v>
      </c>
      <c r="I2255" s="1" t="inlineStr">
        <is>
          <t>มี</t>
        </is>
      </c>
      <c r="J2255" s="13" t="n">
        <v>125</v>
      </c>
      <c r="K2255" s="1" t="inlineStr"/>
      <c r="L2255" s="13" t="n">
        <v>89</v>
      </c>
      <c r="M2255" s="1">
        <f>IF(L2255="","ไม่พบใน SG",IF(ABS(J2255-L2255)&lt;0.005,"ตรงกัน","ไม่ตรง"))</f>
        <v/>
      </c>
      <c r="N2255" s="14">
        <f>IF(L2255="","",ROUND(L2255*'สรุป'!$C$6,-1))</f>
        <v/>
      </c>
      <c r="O2255" s="15" t="n"/>
      <c r="P2255" s="15" t="n"/>
      <c r="Q2255" s="10" t="n"/>
      <c r="R2255" s="10" t="n"/>
      <c r="S2255" s="16" t="inlineStr">
        <is>
          <t>https://mstgolf.co.th/products/gf2020102500</t>
        </is>
      </c>
      <c r="T2255" s="1">
        <f>IF(B2255="ไม้กอล์ฟ",J2255,"")</f>
        <v/>
      </c>
    </row>
    <row r="2256">
      <c r="A2256" s="1" t="n">
        <v>3</v>
      </c>
      <c r="B2256" s="1" t="inlineStr">
        <is>
          <t>เสื้อผ้า</t>
        </is>
      </c>
      <c r="C2256" s="1" t="inlineStr">
        <is>
          <t>gf2020202596</t>
        </is>
      </c>
      <c r="D2256" s="1" t="inlineStr">
        <is>
          <t>OAKLEY Japan Skull Cool Men's Shorts (Black)</t>
        </is>
      </c>
      <c r="E2256" s="1" t="inlineStr">
        <is>
          <t>OAKLEY</t>
        </is>
      </c>
      <c r="F2256" s="1" t="inlineStr">
        <is>
          <t>SHORT PANTS</t>
        </is>
      </c>
      <c r="G2256" s="1" t="inlineStr">
        <is>
          <t>GF2020202596S</t>
        </is>
      </c>
      <c r="H2256" s="1" t="n">
        <v>4</v>
      </c>
      <c r="I2256" s="1" t="inlineStr">
        <is>
          <t>มี</t>
        </is>
      </c>
      <c r="J2256" s="13" t="n">
        <v>125</v>
      </c>
      <c r="K2256" s="1" t="inlineStr"/>
      <c r="L2256" s="13" t="n">
        <v>125</v>
      </c>
      <c r="M2256" s="1">
        <f>IF(L2256="","ไม่พบใน SG",IF(ABS(J2256-L2256)&lt;0.005,"ตรงกัน","ไม่ตรง"))</f>
        <v/>
      </c>
      <c r="N2256" s="14">
        <f>IF(L2256="","",ROUND(L2256*'สรุป'!$C$6,-1))</f>
        <v/>
      </c>
      <c r="O2256" s="15" t="n"/>
      <c r="P2256" s="15" t="n"/>
      <c r="Q2256" s="10" t="n"/>
      <c r="R2256" s="10" t="n"/>
      <c r="S2256" s="16" t="inlineStr">
        <is>
          <t>https://mstgolf.co.th/products/gf2020202596</t>
        </is>
      </c>
      <c r="T2256" s="1">
        <f>IF(B2256="ไม้กอล์ฟ",J2256,"")</f>
        <v/>
      </c>
    </row>
    <row r="2257">
      <c r="A2257" s="1" t="n">
        <v>3</v>
      </c>
      <c r="B2257" s="1" t="inlineStr">
        <is>
          <t>เสื้อผ้า</t>
        </is>
      </c>
      <c r="C2257" s="1" t="inlineStr">
        <is>
          <t>gf2020202597</t>
        </is>
      </c>
      <c r="D2257" s="1" t="inlineStr">
        <is>
          <t>OAKLEY Japan Skull Cool Men's Shorts (White)</t>
        </is>
      </c>
      <c r="E2257" s="1" t="inlineStr">
        <is>
          <t>OAKLEY</t>
        </is>
      </c>
      <c r="F2257" s="1" t="inlineStr">
        <is>
          <t>SHORT PANTS</t>
        </is>
      </c>
      <c r="G2257" s="1" t="inlineStr">
        <is>
          <t>GF2020202597S</t>
        </is>
      </c>
      <c r="H2257" s="1" t="n">
        <v>4</v>
      </c>
      <c r="I2257" s="1" t="inlineStr">
        <is>
          <t>มี</t>
        </is>
      </c>
      <c r="J2257" s="13" t="n">
        <v>125</v>
      </c>
      <c r="K2257" s="1" t="inlineStr"/>
      <c r="L2257" s="13" t="n">
        <v>89</v>
      </c>
      <c r="M2257" s="1">
        <f>IF(L2257="","ไม่พบใน SG",IF(ABS(J2257-L2257)&lt;0.005,"ตรงกัน","ไม่ตรง"))</f>
        <v/>
      </c>
      <c r="N2257" s="14">
        <f>IF(L2257="","",ROUND(L2257*'สรุป'!$C$6,-1))</f>
        <v/>
      </c>
      <c r="O2257" s="15" t="n"/>
      <c r="P2257" s="15" t="n"/>
      <c r="Q2257" s="10" t="n"/>
      <c r="R2257" s="10" t="n"/>
      <c r="S2257" s="16" t="inlineStr">
        <is>
          <t>https://mstgolf.co.th/products/gf2020202597</t>
        </is>
      </c>
      <c r="T2257" s="1">
        <f>IF(B2257="ไม้กอล์ฟ",J2257,"")</f>
        <v/>
      </c>
    </row>
    <row r="2258">
      <c r="A2258" s="1" t="n">
        <v>3</v>
      </c>
      <c r="B2258" s="1" t="inlineStr">
        <is>
          <t>เสื้อผ้า</t>
        </is>
      </c>
      <c r="C2258" s="1" t="inlineStr">
        <is>
          <t>gf2020202178</t>
        </is>
      </c>
      <c r="D2258" s="1" t="inlineStr">
        <is>
          <t>PUMA Woven Pleated Skirt (Vine)</t>
        </is>
      </c>
      <c r="E2258" s="1" t="inlineStr">
        <is>
          <t>PUMA</t>
        </is>
      </c>
      <c r="F2258" s="1" t="inlineStr">
        <is>
          <t>SHORT PANTS</t>
        </is>
      </c>
      <c r="G2258" s="1" t="inlineStr">
        <is>
          <t>GF2020202178S</t>
        </is>
      </c>
      <c r="H2258" s="1" t="n">
        <v>4</v>
      </c>
      <c r="I2258" s="1" t="inlineStr">
        <is>
          <t>มี</t>
        </is>
      </c>
      <c r="J2258" s="13" t="n">
        <v>125</v>
      </c>
      <c r="K2258" s="1" t="inlineStr"/>
      <c r="L2258" s="13" t="n">
        <v>69</v>
      </c>
      <c r="M2258" s="1">
        <f>IF(L2258="","ไม่พบใน SG",IF(ABS(J2258-L2258)&lt;0.005,"ตรงกัน","ไม่ตรง"))</f>
        <v/>
      </c>
      <c r="N2258" s="14">
        <f>IF(L2258="","",ROUND(L2258*'สรุป'!$C$6,-1))</f>
        <v/>
      </c>
      <c r="O2258" s="15" t="n"/>
      <c r="P2258" s="15" t="n"/>
      <c r="Q2258" s="10" t="n"/>
      <c r="R2258" s="10" t="n"/>
      <c r="S2258" s="16" t="inlineStr">
        <is>
          <t>https://mstgolf.co.th/products/gf2020202178</t>
        </is>
      </c>
      <c r="T2258" s="1">
        <f>IF(B2258="ไม้กอล์ฟ",J2258,"")</f>
        <v/>
      </c>
    </row>
    <row r="2259">
      <c r="A2259" s="1" t="n">
        <v>3</v>
      </c>
      <c r="B2259" s="1" t="inlineStr">
        <is>
          <t>เสื้อผ้า</t>
        </is>
      </c>
      <c r="C2259" s="1" t="inlineStr">
        <is>
          <t>gf2040400836</t>
        </is>
      </c>
      <c r="D2259" s="1" t="inlineStr">
        <is>
          <t>TAYLORMADE Seamless Men's Long Sleeve Polo (Black)</t>
        </is>
      </c>
      <c r="E2259" s="1" t="inlineStr">
        <is>
          <t>TAYLORMADE</t>
        </is>
      </c>
      <c r="F2259" s="1" t="inlineStr">
        <is>
          <t>LONG SLEEVES</t>
        </is>
      </c>
      <c r="G2259" s="1" t="inlineStr">
        <is>
          <t>GF2040400836M</t>
        </is>
      </c>
      <c r="H2259" s="1" t="n">
        <v>4</v>
      </c>
      <c r="I2259" s="1" t="inlineStr">
        <is>
          <t>มี</t>
        </is>
      </c>
      <c r="J2259" s="13" t="n">
        <v>125</v>
      </c>
      <c r="K2259" s="1" t="inlineStr"/>
      <c r="L2259" s="13" t="n">
        <v>125</v>
      </c>
      <c r="M2259" s="1">
        <f>IF(L2259="","ไม่พบใน SG",IF(ABS(J2259-L2259)&lt;0.005,"ตรงกัน","ไม่ตรง"))</f>
        <v/>
      </c>
      <c r="N2259" s="14">
        <f>IF(L2259="","",ROUND(L2259*'สรุป'!$C$6,-1))</f>
        <v/>
      </c>
      <c r="O2259" s="15" t="n"/>
      <c r="P2259" s="15" t="n"/>
      <c r="Q2259" s="10" t="n"/>
      <c r="R2259" s="10" t="n"/>
      <c r="S2259" s="16" t="inlineStr">
        <is>
          <t>https://mstgolf.co.th/products/gf2040400836</t>
        </is>
      </c>
      <c r="T2259" s="1">
        <f>IF(B2259="ไม้กอล์ฟ",J2259,"")</f>
        <v/>
      </c>
    </row>
    <row r="2260">
      <c r="A2260" s="1" t="n">
        <v>3</v>
      </c>
      <c r="B2260" s="1" t="inlineStr">
        <is>
          <t>เสื้อผ้า</t>
        </is>
      </c>
      <c r="C2260" s="1" t="inlineStr">
        <is>
          <t>gf2040119917</t>
        </is>
      </c>
      <c r="D2260" s="1" t="inlineStr">
        <is>
          <t>TAYLORMADE x United Arrows Message Unisex Mock Shirt (Off White)</t>
        </is>
      </c>
      <c r="E2260" s="1" t="inlineStr">
        <is>
          <t>TAYLORMADE</t>
        </is>
      </c>
      <c r="F2260" s="1" t="inlineStr">
        <is>
          <t>SHORT SLEEVES</t>
        </is>
      </c>
      <c r="G2260" s="1" t="inlineStr">
        <is>
          <t>GF2040119917XS</t>
        </is>
      </c>
      <c r="H2260" s="1" t="n">
        <v>7</v>
      </c>
      <c r="I2260" s="1" t="inlineStr">
        <is>
          <t>มี</t>
        </is>
      </c>
      <c r="J2260" s="13" t="n">
        <v>125</v>
      </c>
      <c r="K2260" s="1" t="inlineStr"/>
      <c r="L2260" s="13" t="n">
        <v>125</v>
      </c>
      <c r="M2260" s="1">
        <f>IF(L2260="","ไม่พบใน SG",IF(ABS(J2260-L2260)&lt;0.005,"ตรงกัน","ไม่ตรง"))</f>
        <v/>
      </c>
      <c r="N2260" s="14">
        <f>IF(L2260="","",ROUND(L2260*'สรุป'!$C$6,-1))</f>
        <v/>
      </c>
      <c r="O2260" s="15" t="n"/>
      <c r="P2260" s="15" t="n"/>
      <c r="Q2260" s="10" t="n"/>
      <c r="R2260" s="10" t="n"/>
      <c r="S2260" s="16" t="inlineStr">
        <is>
          <t>https://mstgolf.co.th/products/gf2040119917</t>
        </is>
      </c>
      <c r="T2260" s="1">
        <f>IF(B2260="ไม้กอล์ฟ",J2260,"")</f>
        <v/>
      </c>
    </row>
    <row r="2261">
      <c r="A2261" s="1" t="n">
        <v>3</v>
      </c>
      <c r="B2261" s="1" t="inlineStr">
        <is>
          <t>เสื้อผ้า</t>
        </is>
      </c>
      <c r="C2261" s="1" t="inlineStr">
        <is>
          <t>gf2040119918</t>
        </is>
      </c>
      <c r="D2261" s="1" t="inlineStr">
        <is>
          <t>TAYLORMADE x United Arrows Message Unisex Mock Shirt (Sax)</t>
        </is>
      </c>
      <c r="E2261" s="1" t="inlineStr">
        <is>
          <t>TAYLORMADE</t>
        </is>
      </c>
      <c r="F2261" s="1" t="inlineStr">
        <is>
          <t>SHORT SLEEVES</t>
        </is>
      </c>
      <c r="G2261" s="1" t="inlineStr">
        <is>
          <t>GF2040119918XS</t>
        </is>
      </c>
      <c r="H2261" s="1" t="n">
        <v>7</v>
      </c>
      <c r="I2261" s="1" t="inlineStr">
        <is>
          <t>มี</t>
        </is>
      </c>
      <c r="J2261" s="13" t="n">
        <v>125</v>
      </c>
      <c r="K2261" s="1" t="inlineStr"/>
      <c r="L2261" s="13" t="n">
        <v>125</v>
      </c>
      <c r="M2261" s="1">
        <f>IF(L2261="","ไม่พบใน SG",IF(ABS(J2261-L2261)&lt;0.005,"ตรงกัน","ไม่ตรง"))</f>
        <v/>
      </c>
      <c r="N2261" s="14">
        <f>IF(L2261="","",ROUND(L2261*'สรุป'!$C$6,-1))</f>
        <v/>
      </c>
      <c r="O2261" s="15" t="n"/>
      <c r="P2261" s="15" t="n"/>
      <c r="Q2261" s="10" t="n"/>
      <c r="R2261" s="10" t="n"/>
      <c r="S2261" s="16" t="inlineStr">
        <is>
          <t>https://mstgolf.co.th/products/gf2040119918</t>
        </is>
      </c>
      <c r="T2261" s="1">
        <f>IF(B2261="ไม้กอล์ฟ",J2261,"")</f>
        <v/>
      </c>
    </row>
    <row r="2262">
      <c r="A2262" s="1" t="n">
        <v>3</v>
      </c>
      <c r="B2262" s="1" t="inlineStr">
        <is>
          <t>เสื้อผ้า</t>
        </is>
      </c>
      <c r="C2262" s="1" t="inlineStr">
        <is>
          <t>gf2060101024</t>
        </is>
      </c>
      <c r="D2262" s="1" t="inlineStr">
        <is>
          <t>UNDER ARMOUR Tour Tips Full-Zip Men's Bomber Jacket (Black)</t>
        </is>
      </c>
      <c r="E2262" s="1" t="inlineStr">
        <is>
          <t>UNDER ARMOUR</t>
        </is>
      </c>
      <c r="F2262" s="1" t="inlineStr">
        <is>
          <t>TOP</t>
        </is>
      </c>
      <c r="G2262" s="1" t="inlineStr">
        <is>
          <t>GF2060101024S</t>
        </is>
      </c>
      <c r="H2262" s="1" t="n">
        <v>5</v>
      </c>
      <c r="I2262" s="1" t="inlineStr">
        <is>
          <t>มี</t>
        </is>
      </c>
      <c r="J2262" s="13" t="n">
        <v>125</v>
      </c>
      <c r="K2262" s="1" t="inlineStr"/>
      <c r="L2262" s="13" t="n">
        <v>79</v>
      </c>
      <c r="M2262" s="1">
        <f>IF(L2262="","ไม่พบใน SG",IF(ABS(J2262-L2262)&lt;0.005,"ตรงกัน","ไม่ตรง"))</f>
        <v/>
      </c>
      <c r="N2262" s="14">
        <f>IF(L2262="","",ROUND(L2262*'สรุป'!$C$6,-1))</f>
        <v/>
      </c>
      <c r="O2262" s="15" t="n"/>
      <c r="P2262" s="15" t="n"/>
      <c r="Q2262" s="10" t="n"/>
      <c r="R2262" s="10" t="n"/>
      <c r="S2262" s="16" t="inlineStr">
        <is>
          <t>https://mstgolf.co.th/products/gf2060101024</t>
        </is>
      </c>
      <c r="T2262" s="1">
        <f>IF(B2262="ไม้กอล์ฟ",J2262,"")</f>
        <v/>
      </c>
    </row>
    <row r="2263">
      <c r="A2263" s="1" t="n">
        <v>3</v>
      </c>
      <c r="B2263" s="1" t="inlineStr">
        <is>
          <t>เสื้อผ้า</t>
        </is>
      </c>
      <c r="C2263" s="1" t="inlineStr">
        <is>
          <t>gf2040119980</t>
        </is>
      </c>
      <c r="D2263" s="1" t="inlineStr">
        <is>
          <t>WAAC Athletic Squared WAAC Men's Polo (Green)</t>
        </is>
      </c>
      <c r="E2263" s="1" t="inlineStr">
        <is>
          <t>WAAC</t>
        </is>
      </c>
      <c r="F2263" s="1" t="inlineStr">
        <is>
          <t>SHORT SLEEVES</t>
        </is>
      </c>
      <c r="G2263" s="1" t="inlineStr">
        <is>
          <t>GF2040119980S</t>
        </is>
      </c>
      <c r="H2263" s="1" t="n">
        <v>5</v>
      </c>
      <c r="I2263" s="1" t="inlineStr">
        <is>
          <t>มี</t>
        </is>
      </c>
      <c r="J2263" s="13" t="n">
        <v>125</v>
      </c>
      <c r="K2263" s="1" t="inlineStr"/>
      <c r="L2263" s="13" t="n">
        <v>125</v>
      </c>
      <c r="M2263" s="1">
        <f>IF(L2263="","ไม่พบใน SG",IF(ABS(J2263-L2263)&lt;0.005,"ตรงกัน","ไม่ตรง"))</f>
        <v/>
      </c>
      <c r="N2263" s="14">
        <f>IF(L2263="","",ROUND(L2263*'สรุป'!$C$6,-1))</f>
        <v/>
      </c>
      <c r="O2263" s="15" t="n"/>
      <c r="P2263" s="15" t="n"/>
      <c r="Q2263" s="10" t="n"/>
      <c r="R2263" s="10" t="n"/>
      <c r="S2263" s="16" t="inlineStr">
        <is>
          <t>https://mstgolf.co.th/products/gf2040119980</t>
        </is>
      </c>
      <c r="T2263" s="1">
        <f>IF(B2263="ไม้กอล์ฟ",J2263,"")</f>
        <v/>
      </c>
    </row>
    <row r="2264">
      <c r="A2264" s="1" t="n">
        <v>3</v>
      </c>
      <c r="B2264" s="1" t="inlineStr">
        <is>
          <t>อุปกรณ์เสริม</t>
        </is>
      </c>
      <c r="C2264" s="1" t="inlineStr">
        <is>
          <t>test</t>
        </is>
      </c>
      <c r="D2264" s="1" t="inlineStr">
        <is>
          <t>Test Item</t>
        </is>
      </c>
      <c r="E2264" s="1" t="inlineStr">
        <is>
          <t>MST Golf Thailand</t>
        </is>
      </c>
      <c r="F2264" s="1" t="inlineStr"/>
      <c r="G2264" s="1" t="inlineStr"/>
      <c r="H2264" s="1" t="n">
        <v>4</v>
      </c>
      <c r="I2264" s="1" t="inlineStr">
        <is>
          <t>มี</t>
        </is>
      </c>
      <c r="J2264" s="13" t="n">
        <v>122</v>
      </c>
      <c r="K2264" s="1" t="inlineStr"/>
      <c r="L2264" s="13" t="n"/>
      <c r="M2264" s="1">
        <f>IF(L2264="","ไม่พบใน SG",IF(ABS(J2264-L2264)&lt;0.005,"ตรงกัน","ไม่ตรง"))</f>
        <v/>
      </c>
      <c r="N2264" s="14">
        <f>IF(L2264="","",ROUND(L2264*'สรุป'!$C$6,-1))</f>
        <v/>
      </c>
      <c r="O2264" s="15" t="n"/>
      <c r="P2264" s="15" t="n"/>
      <c r="Q2264" s="10" t="n"/>
      <c r="R2264" s="10" t="n"/>
      <c r="S2264" s="16" t="inlineStr">
        <is>
          <t>https://mstgolf.co.th/products/test</t>
        </is>
      </c>
      <c r="T2264" s="1">
        <f>IF(B2264="ไม้กอล์ฟ",J2264,"")</f>
        <v/>
      </c>
    </row>
    <row r="2265">
      <c r="A2265" s="1" t="n">
        <v>3</v>
      </c>
      <c r="B2265" s="1" t="inlineStr">
        <is>
          <t>เสื้อผ้า</t>
        </is>
      </c>
      <c r="C2265" s="1" t="inlineStr">
        <is>
          <t>gf2040120656</t>
        </is>
      </c>
      <c r="D2265" s="1" t="inlineStr">
        <is>
          <t>FOOTJOY Circle Foulard Lisle Men's Polo (Periwinkle)</t>
        </is>
      </c>
      <c r="E2265" s="1" t="inlineStr">
        <is>
          <t>FOOTJOY</t>
        </is>
      </c>
      <c r="F2265" s="1" t="inlineStr">
        <is>
          <t>SHORT SLEEVES</t>
        </is>
      </c>
      <c r="G2265" s="1" t="inlineStr">
        <is>
          <t>GF2040120656XS</t>
        </is>
      </c>
      <c r="H2265" s="1" t="n">
        <v>6</v>
      </c>
      <c r="I2265" s="1" t="inlineStr">
        <is>
          <t>มี</t>
        </is>
      </c>
      <c r="J2265" s="13" t="n">
        <v>121</v>
      </c>
      <c r="K2265" s="1" t="inlineStr"/>
      <c r="L2265" s="13" t="n">
        <v>69</v>
      </c>
      <c r="M2265" s="1">
        <f>IF(L2265="","ไม่พบใน SG",IF(ABS(J2265-L2265)&lt;0.005,"ตรงกัน","ไม่ตรง"))</f>
        <v/>
      </c>
      <c r="N2265" s="14">
        <f>IF(L2265="","",ROUND(L2265*'สรุป'!$C$6,-1))</f>
        <v/>
      </c>
      <c r="O2265" s="15" t="n"/>
      <c r="P2265" s="15" t="n"/>
      <c r="Q2265" s="10" t="n"/>
      <c r="R2265" s="10" t="n"/>
      <c r="S2265" s="16" t="inlineStr">
        <is>
          <t>https://mstgolf.co.th/products/gf2040120656</t>
        </is>
      </c>
      <c r="T2265" s="1">
        <f>IF(B2265="ไม้กอล์ฟ",J2265,"")</f>
        <v/>
      </c>
    </row>
    <row r="2266">
      <c r="A2266" s="1" t="n">
        <v>3</v>
      </c>
      <c r="B2266" s="1" t="inlineStr">
        <is>
          <t>เสื้อผ้า</t>
        </is>
      </c>
      <c r="C2266" s="1" t="inlineStr">
        <is>
          <t>gf2040120657</t>
        </is>
      </c>
      <c r="D2266" s="1" t="inlineStr">
        <is>
          <t>FOOTJOY Garden Print Lisle Men's Polo (Periwinkle)</t>
        </is>
      </c>
      <c r="E2266" s="1" t="inlineStr">
        <is>
          <t>FOOTJOY</t>
        </is>
      </c>
      <c r="F2266" s="1" t="inlineStr">
        <is>
          <t>SHORT SLEEVES</t>
        </is>
      </c>
      <c r="G2266" s="1" t="inlineStr">
        <is>
          <t>GF2040120657XS</t>
        </is>
      </c>
      <c r="H2266" s="1" t="n">
        <v>6</v>
      </c>
      <c r="I2266" s="1" t="inlineStr">
        <is>
          <t>มี</t>
        </is>
      </c>
      <c r="J2266" s="13" t="n">
        <v>121</v>
      </c>
      <c r="K2266" s="1" t="inlineStr"/>
      <c r="L2266" s="13" t="n">
        <v>59</v>
      </c>
      <c r="M2266" s="1">
        <f>IF(L2266="","ไม่พบใน SG",IF(ABS(J2266-L2266)&lt;0.005,"ตรงกัน","ไม่ตรง"))</f>
        <v/>
      </c>
      <c r="N2266" s="14">
        <f>IF(L2266="","",ROUND(L2266*'สรุป'!$C$6,-1))</f>
        <v/>
      </c>
      <c r="O2266" s="15" t="n"/>
      <c r="P2266" s="15" t="n"/>
      <c r="Q2266" s="10" t="n"/>
      <c r="R2266" s="10" t="n"/>
      <c r="S2266" s="16" t="inlineStr">
        <is>
          <t>https://mstgolf.co.th/products/gf2040120657</t>
        </is>
      </c>
      <c r="T2266" s="1">
        <f>IF(B2266="ไม้กอล์ฟ",J2266,"")</f>
        <v/>
      </c>
    </row>
    <row r="2267">
      <c r="A2267" s="1" t="n">
        <v>3</v>
      </c>
      <c r="B2267" s="1" t="inlineStr">
        <is>
          <t>เสื้อผ้า</t>
        </is>
      </c>
      <c r="C2267" s="1" t="inlineStr">
        <is>
          <t>gf2040120638</t>
        </is>
      </c>
      <c r="D2267" s="1" t="inlineStr">
        <is>
          <t>FOOTJOY Ikat Stripe Lisle Men's Polo (Navy)</t>
        </is>
      </c>
      <c r="E2267" s="1" t="inlineStr">
        <is>
          <t>FOOTJOY</t>
        </is>
      </c>
      <c r="F2267" s="1" t="inlineStr">
        <is>
          <t>SHORT SLEEVES</t>
        </is>
      </c>
      <c r="G2267" s="1" t="inlineStr">
        <is>
          <t>GF2040120638XS</t>
        </is>
      </c>
      <c r="H2267" s="1" t="n">
        <v>6</v>
      </c>
      <c r="I2267" s="1" t="inlineStr">
        <is>
          <t>มี</t>
        </is>
      </c>
      <c r="J2267" s="13" t="n">
        <v>121</v>
      </c>
      <c r="K2267" s="1" t="inlineStr"/>
      <c r="L2267" s="13" t="n">
        <v>69</v>
      </c>
      <c r="M2267" s="1">
        <f>IF(L2267="","ไม่พบใน SG",IF(ABS(J2267-L2267)&lt;0.005,"ตรงกัน","ไม่ตรง"))</f>
        <v/>
      </c>
      <c r="N2267" s="14">
        <f>IF(L2267="","",ROUND(L2267*'สรุป'!$C$6,-1))</f>
        <v/>
      </c>
      <c r="O2267" s="15" t="n"/>
      <c r="P2267" s="15" t="n"/>
      <c r="Q2267" s="10" t="n"/>
      <c r="R2267" s="10" t="n"/>
      <c r="S2267" s="16" t="inlineStr">
        <is>
          <t>https://mstgolf.co.th/products/gf2040120638</t>
        </is>
      </c>
      <c r="T2267" s="1">
        <f>IF(B2267="ไม้กอล์ฟ",J2267,"")</f>
        <v/>
      </c>
    </row>
    <row r="2268">
      <c r="A2268" s="1" t="n">
        <v>3</v>
      </c>
      <c r="B2268" s="1" t="inlineStr">
        <is>
          <t>เสื้อผ้า</t>
        </is>
      </c>
      <c r="C2268" s="1" t="inlineStr">
        <is>
          <t>gf2040120658</t>
        </is>
      </c>
      <c r="D2268" s="1" t="inlineStr">
        <is>
          <t>FOOTJOY Modernist Geo Men's Pique Polo (Ice Water)</t>
        </is>
      </c>
      <c r="E2268" s="1" t="inlineStr">
        <is>
          <t>FOOTJOY</t>
        </is>
      </c>
      <c r="F2268" s="1" t="inlineStr">
        <is>
          <t>SHORT SLEEVES</t>
        </is>
      </c>
      <c r="G2268" s="1" t="inlineStr">
        <is>
          <t>GF2040120658XS</t>
        </is>
      </c>
      <c r="H2268" s="1" t="n">
        <v>6</v>
      </c>
      <c r="I2268" s="1" t="inlineStr">
        <is>
          <t>มี</t>
        </is>
      </c>
      <c r="J2268" s="13" t="n">
        <v>121</v>
      </c>
      <c r="K2268" s="1" t="inlineStr"/>
      <c r="L2268" s="13" t="n">
        <v>69</v>
      </c>
      <c r="M2268" s="1">
        <f>IF(L2268="","ไม่พบใน SG",IF(ABS(J2268-L2268)&lt;0.005,"ตรงกัน","ไม่ตรง"))</f>
        <v/>
      </c>
      <c r="N2268" s="14">
        <f>IF(L2268="","",ROUND(L2268*'สรุป'!$C$6,-1))</f>
        <v/>
      </c>
      <c r="O2268" s="15" t="n"/>
      <c r="P2268" s="15" t="n"/>
      <c r="Q2268" s="10" t="n"/>
      <c r="R2268" s="10" t="n"/>
      <c r="S2268" s="16" t="inlineStr">
        <is>
          <t>https://mstgolf.co.th/products/gf2040120658</t>
        </is>
      </c>
      <c r="T2268" s="1">
        <f>IF(B2268="ไม้กอล์ฟ",J2268,"")</f>
        <v/>
      </c>
    </row>
    <row r="2269">
      <c r="A2269" s="1" t="n">
        <v>3</v>
      </c>
      <c r="B2269" s="1" t="inlineStr">
        <is>
          <t>เสื้อผ้า</t>
        </is>
      </c>
      <c r="C2269" s="1" t="inlineStr">
        <is>
          <t>gf2040119404</t>
        </is>
      </c>
      <c r="D2269" s="1" t="inlineStr">
        <is>
          <t>ADIDAS Badge of Sport Jacquard Logo Men's Polo (Black)</t>
        </is>
      </c>
      <c r="E2269" s="1" t="inlineStr">
        <is>
          <t>ADIDAS</t>
        </is>
      </c>
      <c r="F2269" s="1" t="inlineStr">
        <is>
          <t>SHORT SLEEVES</t>
        </is>
      </c>
      <c r="G2269" s="1" t="inlineStr">
        <is>
          <t>GF2040119404XS</t>
        </is>
      </c>
      <c r="H2269" s="1" t="n">
        <v>7</v>
      </c>
      <c r="I2269" s="1" t="inlineStr">
        <is>
          <t>มี</t>
        </is>
      </c>
      <c r="J2269" s="13" t="n">
        <v>120</v>
      </c>
      <c r="K2269" s="1" t="inlineStr"/>
      <c r="L2269" s="13" t="n">
        <v>59</v>
      </c>
      <c r="M2269" s="1">
        <f>IF(L2269="","ไม่พบใน SG",IF(ABS(J2269-L2269)&lt;0.005,"ตรงกัน","ไม่ตรง"))</f>
        <v/>
      </c>
      <c r="N2269" s="14">
        <f>IF(L2269="","",ROUND(L2269*'สรุป'!$C$6,-1))</f>
        <v/>
      </c>
      <c r="O2269" s="15" t="n"/>
      <c r="P2269" s="15" t="n"/>
      <c r="Q2269" s="10" t="n"/>
      <c r="R2269" s="10" t="n"/>
      <c r="S2269" s="16" t="inlineStr">
        <is>
          <t>https://mstgolf.co.th/products/gf2040119404</t>
        </is>
      </c>
      <c r="T2269" s="1">
        <f>IF(B2269="ไม้กอล์ฟ",J2269,"")</f>
        <v/>
      </c>
    </row>
    <row r="2270">
      <c r="A2270" s="1" t="n">
        <v>3</v>
      </c>
      <c r="B2270" s="1" t="inlineStr">
        <is>
          <t>เสื้อผ้า</t>
        </is>
      </c>
      <c r="C2270" s="1" t="inlineStr">
        <is>
          <t>gf2020102498</t>
        </is>
      </c>
      <c r="D2270" s="1" t="inlineStr">
        <is>
          <t>ADIDAS Beyond Golf Men's Joggers (Navy)</t>
        </is>
      </c>
      <c r="E2270" s="1" t="inlineStr">
        <is>
          <t>ADIDAS</t>
        </is>
      </c>
      <c r="F2270" s="1" t="inlineStr">
        <is>
          <t>LONG PANTS</t>
        </is>
      </c>
      <c r="G2270" s="1" t="inlineStr">
        <is>
          <t>GF2020102498M</t>
        </is>
      </c>
      <c r="H2270" s="1" t="n">
        <v>14</v>
      </c>
      <c r="I2270" s="1" t="inlineStr">
        <is>
          <t>มี</t>
        </is>
      </c>
      <c r="J2270" s="13" t="n">
        <v>120</v>
      </c>
      <c r="K2270" s="1" t="inlineStr"/>
      <c r="L2270" s="13" t="n">
        <v>59</v>
      </c>
      <c r="M2270" s="1">
        <f>IF(L2270="","ไม่พบใน SG",IF(ABS(J2270-L2270)&lt;0.005,"ตรงกัน","ไม่ตรง"))</f>
        <v/>
      </c>
      <c r="N2270" s="14">
        <f>IF(L2270="","",ROUND(L2270*'สรุป'!$C$6,-1))</f>
        <v/>
      </c>
      <c r="O2270" s="15" t="n"/>
      <c r="P2270" s="15" t="n"/>
      <c r="Q2270" s="10" t="n"/>
      <c r="R2270" s="10" t="n"/>
      <c r="S2270" s="16" t="inlineStr">
        <is>
          <t>https://mstgolf.co.th/products/gf2020102498</t>
        </is>
      </c>
      <c r="T2270" s="1">
        <f>IF(B2270="ไม้กอล์ฟ",J2270,"")</f>
        <v/>
      </c>
    </row>
    <row r="2271">
      <c r="A2271" s="1" t="n">
        <v>3</v>
      </c>
      <c r="B2271" s="1" t="inlineStr">
        <is>
          <t>เสื้อผ้า</t>
        </is>
      </c>
      <c r="C2271" s="1" t="inlineStr">
        <is>
          <t>gf2040119490</t>
        </is>
      </c>
      <c r="D2271" s="1" t="inlineStr">
        <is>
          <t>ADIDAS PG Allover Print Men's Polo (White)</t>
        </is>
      </c>
      <c r="E2271" s="1" t="inlineStr">
        <is>
          <t>ADIDAS</t>
        </is>
      </c>
      <c r="F2271" s="1" t="inlineStr">
        <is>
          <t>SHORT SLEEVES</t>
        </is>
      </c>
      <c r="G2271" s="1" t="inlineStr">
        <is>
          <t>GF2040119490XS</t>
        </is>
      </c>
      <c r="H2271" s="1" t="n">
        <v>7</v>
      </c>
      <c r="I2271" s="1" t="inlineStr">
        <is>
          <t>มี</t>
        </is>
      </c>
      <c r="J2271" s="13" t="n">
        <v>120</v>
      </c>
      <c r="K2271" s="1" t="inlineStr"/>
      <c r="L2271" s="13" t="n">
        <v>59</v>
      </c>
      <c r="M2271" s="1">
        <f>IF(L2271="","ไม่พบใน SG",IF(ABS(J2271-L2271)&lt;0.005,"ตรงกัน","ไม่ตรง"))</f>
        <v/>
      </c>
      <c r="N2271" s="14">
        <f>IF(L2271="","",ROUND(L2271*'สรุป'!$C$6,-1))</f>
        <v/>
      </c>
      <c r="O2271" s="15" t="n"/>
      <c r="P2271" s="15" t="n"/>
      <c r="Q2271" s="10" t="n"/>
      <c r="R2271" s="10" t="n"/>
      <c r="S2271" s="16" t="inlineStr">
        <is>
          <t>https://mstgolf.co.th/products/gf2040119490</t>
        </is>
      </c>
      <c r="T2271" s="1">
        <f>IF(B2271="ไม้กอล์ฟ",J2271,"")</f>
        <v/>
      </c>
    </row>
    <row r="2272">
      <c r="A2272" s="1" t="n">
        <v>3</v>
      </c>
      <c r="B2272" s="1" t="inlineStr">
        <is>
          <t>เสื้อผ้า</t>
        </is>
      </c>
      <c r="C2272" s="1" t="inlineStr">
        <is>
          <t>gf2040119402</t>
        </is>
      </c>
      <c r="D2272" s="1" t="inlineStr">
        <is>
          <t>ADIDAS Playgreen Manogram Men's Polo (Navy)</t>
        </is>
      </c>
      <c r="E2272" s="1" t="inlineStr">
        <is>
          <t>ADIDAS</t>
        </is>
      </c>
      <c r="F2272" s="1" t="inlineStr">
        <is>
          <t>SHORT SLEEVES</t>
        </is>
      </c>
      <c r="G2272" s="1" t="inlineStr">
        <is>
          <t>GF2040119402XS</t>
        </is>
      </c>
      <c r="H2272" s="1" t="n">
        <v>7</v>
      </c>
      <c r="I2272" s="1" t="inlineStr">
        <is>
          <t>มี</t>
        </is>
      </c>
      <c r="J2272" s="13" t="n">
        <v>120</v>
      </c>
      <c r="K2272" s="1" t="inlineStr"/>
      <c r="L2272" s="13" t="n">
        <v>59</v>
      </c>
      <c r="M2272" s="1">
        <f>IF(L2272="","ไม่พบใน SG",IF(ABS(J2272-L2272)&lt;0.005,"ตรงกัน","ไม่ตรง"))</f>
        <v/>
      </c>
      <c r="N2272" s="14">
        <f>IF(L2272="","",ROUND(L2272*'สรุป'!$C$6,-1))</f>
        <v/>
      </c>
      <c r="O2272" s="15" t="n"/>
      <c r="P2272" s="15" t="n"/>
      <c r="Q2272" s="10" t="n"/>
      <c r="R2272" s="10" t="n"/>
      <c r="S2272" s="16" t="inlineStr">
        <is>
          <t>https://mstgolf.co.th/products/gf2040119402</t>
        </is>
      </c>
      <c r="T2272" s="1">
        <f>IF(B2272="ไม้กอล์ฟ",J2272,"")</f>
        <v/>
      </c>
    </row>
    <row r="2273">
      <c r="A2273" s="1" t="n">
        <v>3</v>
      </c>
      <c r="B2273" s="1" t="inlineStr">
        <is>
          <t>เสื้อผ้า</t>
        </is>
      </c>
      <c r="C2273" s="1" t="inlineStr">
        <is>
          <t>gf2040119401</t>
        </is>
      </c>
      <c r="D2273" s="1" t="inlineStr">
        <is>
          <t>ADIDAS Playgreen Manogram Men's Polo (White)</t>
        </is>
      </c>
      <c r="E2273" s="1" t="inlineStr">
        <is>
          <t>ADIDAS</t>
        </is>
      </c>
      <c r="F2273" s="1" t="inlineStr">
        <is>
          <t>SHORT SLEEVES</t>
        </is>
      </c>
      <c r="G2273" s="1" t="inlineStr">
        <is>
          <t>GF2040119401XS</t>
        </is>
      </c>
      <c r="H2273" s="1" t="n">
        <v>7</v>
      </c>
      <c r="I2273" s="1" t="inlineStr">
        <is>
          <t>มี</t>
        </is>
      </c>
      <c r="J2273" s="13" t="n">
        <v>120</v>
      </c>
      <c r="K2273" s="1" t="inlineStr"/>
      <c r="L2273" s="13" t="n">
        <v>59</v>
      </c>
      <c r="M2273" s="1">
        <f>IF(L2273="","ไม่พบใน SG",IF(ABS(J2273-L2273)&lt;0.005,"ตรงกัน","ไม่ตรง"))</f>
        <v/>
      </c>
      <c r="N2273" s="14">
        <f>IF(L2273="","",ROUND(L2273*'สรุป'!$C$6,-1))</f>
        <v/>
      </c>
      <c r="O2273" s="15" t="n"/>
      <c r="P2273" s="15" t="n"/>
      <c r="Q2273" s="10" t="n"/>
      <c r="R2273" s="10" t="n"/>
      <c r="S2273" s="16" t="inlineStr">
        <is>
          <t>https://mstgolf.co.th/products/gf2040119401</t>
        </is>
      </c>
      <c r="T2273" s="1">
        <f>IF(B2273="ไม้กอล์ฟ",J2273,"")</f>
        <v/>
      </c>
    </row>
    <row r="2274">
      <c r="A2274" s="1" t="n">
        <v>3</v>
      </c>
      <c r="B2274" s="1" t="inlineStr">
        <is>
          <t>เสื้อผ้า</t>
        </is>
      </c>
      <c r="C2274" s="1" t="inlineStr">
        <is>
          <t>gf2040300177</t>
        </is>
      </c>
      <c r="D2274" s="1" t="inlineStr">
        <is>
          <t>ADIDAS Beyond Loose Mock Dress (Aurora)</t>
        </is>
      </c>
      <c r="E2274" s="1" t="inlineStr">
        <is>
          <t>ADIDAS</t>
        </is>
      </c>
      <c r="F2274" s="1" t="inlineStr">
        <is>
          <t>DRESS</t>
        </is>
      </c>
      <c r="G2274" s="1" t="inlineStr">
        <is>
          <t>GF20403001772XS</t>
        </is>
      </c>
      <c r="H2274" s="1" t="n">
        <v>7</v>
      </c>
      <c r="I2274" s="1" t="inlineStr">
        <is>
          <t>มี</t>
        </is>
      </c>
      <c r="J2274" s="13" t="n">
        <v>119</v>
      </c>
      <c r="K2274" s="1" t="inlineStr"/>
      <c r="L2274" s="13" t="n">
        <v>59</v>
      </c>
      <c r="M2274" s="1">
        <f>IF(L2274="","ไม่พบใน SG",IF(ABS(J2274-L2274)&lt;0.005,"ตรงกัน","ไม่ตรง"))</f>
        <v/>
      </c>
      <c r="N2274" s="14">
        <f>IF(L2274="","",ROUND(L2274*'สรุป'!$C$6,-1))</f>
        <v/>
      </c>
      <c r="O2274" s="15" t="n"/>
      <c r="P2274" s="15" t="n"/>
      <c r="Q2274" s="10" t="n"/>
      <c r="R2274" s="10" t="n"/>
      <c r="S2274" s="16" t="inlineStr">
        <is>
          <t>https://mstgolf.co.th/products/gf2040300177</t>
        </is>
      </c>
      <c r="T2274" s="1">
        <f>IF(B2274="ไม้กอล์ฟ",J2274,"")</f>
        <v/>
      </c>
    </row>
    <row r="2275">
      <c r="A2275" s="1" t="n">
        <v>3</v>
      </c>
      <c r="B2275" s="1" t="inlineStr">
        <is>
          <t>เสื้อผ้า</t>
        </is>
      </c>
      <c r="C2275" s="1" t="inlineStr">
        <is>
          <t>gf2040121087</t>
        </is>
      </c>
      <c r="D2275" s="1" t="inlineStr">
        <is>
          <t>ADIDAS Beyond Vent Twistknit Men's Polo (Grey)</t>
        </is>
      </c>
      <c r="E2275" s="1" t="inlineStr">
        <is>
          <t>ADIDAS</t>
        </is>
      </c>
      <c r="F2275" s="1" t="inlineStr">
        <is>
          <t>SHORT SLEEVES</t>
        </is>
      </c>
      <c r="G2275" s="1" t="inlineStr">
        <is>
          <t>GF2040121087XS</t>
        </is>
      </c>
      <c r="H2275" s="1" t="n">
        <v>6</v>
      </c>
      <c r="I2275" s="1" t="inlineStr">
        <is>
          <t>มี</t>
        </is>
      </c>
      <c r="J2275" s="13" t="n">
        <v>119</v>
      </c>
      <c r="K2275" s="1" t="inlineStr"/>
      <c r="L2275" s="13" t="n">
        <v>85</v>
      </c>
      <c r="M2275" s="1">
        <f>IF(L2275="","ไม่พบใน SG",IF(ABS(J2275-L2275)&lt;0.005,"ตรงกัน","ไม่ตรง"))</f>
        <v/>
      </c>
      <c r="N2275" s="14">
        <f>IF(L2275="","",ROUND(L2275*'สรุป'!$C$6,-1))</f>
        <v/>
      </c>
      <c r="O2275" s="15" t="n"/>
      <c r="P2275" s="15" t="n"/>
      <c r="Q2275" s="10" t="n"/>
      <c r="R2275" s="10" t="n"/>
      <c r="S2275" s="16" t="inlineStr">
        <is>
          <t>https://mstgolf.co.th/products/gf2040121087</t>
        </is>
      </c>
      <c r="T2275" s="1">
        <f>IF(B2275="ไม้กอล์ฟ",J2275,"")</f>
        <v/>
      </c>
    </row>
    <row r="2276">
      <c r="A2276" s="1" t="n">
        <v>3</v>
      </c>
      <c r="B2276" s="1" t="inlineStr">
        <is>
          <t>เสื้อผ้า</t>
        </is>
      </c>
      <c r="C2276" s="1" t="inlineStr">
        <is>
          <t>gf2040121084</t>
        </is>
      </c>
      <c r="D2276" s="1" t="inlineStr">
        <is>
          <t>ADIDAS Flagship Men's Polo (Orange)</t>
        </is>
      </c>
      <c r="E2276" s="1" t="inlineStr">
        <is>
          <t>ADIDAS</t>
        </is>
      </c>
      <c r="F2276" s="1" t="inlineStr">
        <is>
          <t>SHORT SLEEVES</t>
        </is>
      </c>
      <c r="G2276" s="1" t="inlineStr">
        <is>
          <t>GF2040121084XS</t>
        </is>
      </c>
      <c r="H2276" s="1" t="n">
        <v>7</v>
      </c>
      <c r="I2276" s="1" t="inlineStr">
        <is>
          <t>มี</t>
        </is>
      </c>
      <c r="J2276" s="13" t="n">
        <v>119</v>
      </c>
      <c r="K2276" s="1" t="inlineStr"/>
      <c r="L2276" s="13" t="n">
        <v>83</v>
      </c>
      <c r="M2276" s="1">
        <f>IF(L2276="","ไม่พบใน SG",IF(ABS(J2276-L2276)&lt;0.005,"ตรงกัน","ไม่ตรง"))</f>
        <v/>
      </c>
      <c r="N2276" s="14">
        <f>IF(L2276="","",ROUND(L2276*'สรุป'!$C$6,-1))</f>
        <v/>
      </c>
      <c r="O2276" s="15" t="n"/>
      <c r="P2276" s="15" t="n"/>
      <c r="Q2276" s="10" t="n"/>
      <c r="R2276" s="10" t="n"/>
      <c r="S2276" s="16" t="inlineStr">
        <is>
          <t>https://mstgolf.co.th/products/gf2040121084</t>
        </is>
      </c>
      <c r="T2276" s="1">
        <f>IF(B2276="ไม้กอล์ฟ",J2276,"")</f>
        <v/>
      </c>
    </row>
    <row r="2277">
      <c r="A2277" s="1" t="n">
        <v>3</v>
      </c>
      <c r="B2277" s="1" t="inlineStr">
        <is>
          <t>เสื้อผ้า</t>
        </is>
      </c>
      <c r="C2277" s="1" t="inlineStr">
        <is>
          <t>gf2040401443</t>
        </is>
      </c>
      <c r="D2277" s="1" t="inlineStr">
        <is>
          <t>ADIDAS HEAT.RDY Women's Long Sleeve Polo (Taupe)</t>
        </is>
      </c>
      <c r="E2277" s="1" t="inlineStr">
        <is>
          <t>ADIDAS</t>
        </is>
      </c>
      <c r="F2277" s="1" t="inlineStr">
        <is>
          <t>LONG SLEEVES</t>
        </is>
      </c>
      <c r="G2277" s="1" t="inlineStr">
        <is>
          <t>GF20404014432XS</t>
        </is>
      </c>
      <c r="H2277" s="1" t="n">
        <v>7</v>
      </c>
      <c r="I2277" s="1" t="inlineStr">
        <is>
          <t>มี</t>
        </is>
      </c>
      <c r="J2277" s="13" t="n">
        <v>119</v>
      </c>
      <c r="K2277" s="1" t="inlineStr"/>
      <c r="L2277" s="13" t="n">
        <v>59</v>
      </c>
      <c r="M2277" s="1">
        <f>IF(L2277="","ไม่พบใน SG",IF(ABS(J2277-L2277)&lt;0.005,"ตรงกัน","ไม่ตรง"))</f>
        <v/>
      </c>
      <c r="N2277" s="14">
        <f>IF(L2277="","",ROUND(L2277*'สรุป'!$C$6,-1))</f>
        <v/>
      </c>
      <c r="O2277" s="15" t="n"/>
      <c r="P2277" s="15" t="n"/>
      <c r="Q2277" s="10" t="n"/>
      <c r="R2277" s="10" t="n"/>
      <c r="S2277" s="16" t="inlineStr">
        <is>
          <t>https://mstgolf.co.th/products/gf2040401443</t>
        </is>
      </c>
      <c r="T2277" s="1">
        <f>IF(B2277="ไม้กอล์ฟ",J2277,"")</f>
        <v/>
      </c>
    </row>
    <row r="2278">
      <c r="A2278" s="1" t="n">
        <v>3</v>
      </c>
      <c r="B2278" s="1" t="inlineStr">
        <is>
          <t>เสื้อผ้า</t>
        </is>
      </c>
      <c r="C2278" s="1" t="inlineStr">
        <is>
          <t>gf2040121135</t>
        </is>
      </c>
      <c r="D2278" s="1" t="inlineStr">
        <is>
          <t>ADIDAS Originals 3-Stripe Women's Polo (Indigo)</t>
        </is>
      </c>
      <c r="E2278" s="1" t="inlineStr">
        <is>
          <t>ADIDAS</t>
        </is>
      </c>
      <c r="F2278" s="1" t="inlineStr">
        <is>
          <t>SHORT SLEEVES</t>
        </is>
      </c>
      <c r="G2278" s="1" t="inlineStr">
        <is>
          <t>GF2040121135XS</t>
        </is>
      </c>
      <c r="H2278" s="1" t="n">
        <v>5</v>
      </c>
      <c r="I2278" s="1" t="inlineStr">
        <is>
          <t>มี</t>
        </is>
      </c>
      <c r="J2278" s="13" t="n">
        <v>119</v>
      </c>
      <c r="K2278" s="1" t="inlineStr"/>
      <c r="L2278" s="13" t="n">
        <v>109</v>
      </c>
      <c r="M2278" s="1">
        <f>IF(L2278="","ไม่พบใน SG",IF(ABS(J2278-L2278)&lt;0.005,"ตรงกัน","ไม่ตรง"))</f>
        <v/>
      </c>
      <c r="N2278" s="14">
        <f>IF(L2278="","",ROUND(L2278*'สรุป'!$C$6,-1))</f>
        <v/>
      </c>
      <c r="O2278" s="15" t="n"/>
      <c r="P2278" s="15" t="n"/>
      <c r="Q2278" s="10" t="n"/>
      <c r="R2278" s="10" t="n"/>
      <c r="S2278" s="16" t="inlineStr">
        <is>
          <t>https://mstgolf.co.th/products/gf2040121135</t>
        </is>
      </c>
      <c r="T2278" s="1">
        <f>IF(B2278="ไม้กอล์ฟ",J2278,"")</f>
        <v/>
      </c>
    </row>
    <row r="2279">
      <c r="A2279" s="1" t="n">
        <v>3</v>
      </c>
      <c r="B2279" s="1" t="inlineStr">
        <is>
          <t>เสื้อผ้า</t>
        </is>
      </c>
      <c r="C2279" s="1" t="inlineStr">
        <is>
          <t>gf2040121134</t>
        </is>
      </c>
      <c r="D2279" s="1" t="inlineStr">
        <is>
          <t>ADIDAS Originals 3-Stripe Women's Polo (White)</t>
        </is>
      </c>
      <c r="E2279" s="1" t="inlineStr">
        <is>
          <t>ADIDAS</t>
        </is>
      </c>
      <c r="F2279" s="1" t="inlineStr">
        <is>
          <t>SHORT SLEEVES</t>
        </is>
      </c>
      <c r="G2279" s="1" t="inlineStr">
        <is>
          <t>GF2040121134XS</t>
        </is>
      </c>
      <c r="H2279" s="1" t="n">
        <v>5</v>
      </c>
      <c r="I2279" s="1" t="inlineStr">
        <is>
          <t>มี</t>
        </is>
      </c>
      <c r="J2279" s="13" t="n">
        <v>119</v>
      </c>
      <c r="K2279" s="1" t="inlineStr"/>
      <c r="L2279" s="13" t="n">
        <v>109</v>
      </c>
      <c r="M2279" s="1">
        <f>IF(L2279="","ไม่พบใน SG",IF(ABS(J2279-L2279)&lt;0.005,"ตรงกัน","ไม่ตรง"))</f>
        <v/>
      </c>
      <c r="N2279" s="14">
        <f>IF(L2279="","",ROUND(L2279*'สรุป'!$C$6,-1))</f>
        <v/>
      </c>
      <c r="O2279" s="15" t="n"/>
      <c r="P2279" s="15" t="n"/>
      <c r="Q2279" s="10" t="n"/>
      <c r="R2279" s="10" t="n"/>
      <c r="S2279" s="16" t="inlineStr">
        <is>
          <t>https://mstgolf.co.th/products/gf2040121134</t>
        </is>
      </c>
      <c r="T2279" s="1">
        <f>IF(B2279="ไม้กอล์ฟ",J2279,"")</f>
        <v/>
      </c>
    </row>
    <row r="2280">
      <c r="A2280" s="1" t="n">
        <v>3</v>
      </c>
      <c r="B2280" s="1" t="inlineStr">
        <is>
          <t>เสื้อผ้า</t>
        </is>
      </c>
      <c r="C2280" s="1" t="inlineStr">
        <is>
          <t>gf2040121132</t>
        </is>
      </c>
      <c r="D2280" s="1" t="inlineStr">
        <is>
          <t>ADIDAS Originals All Over Trefoil Women's Polo (Orange)</t>
        </is>
      </c>
      <c r="E2280" s="1" t="inlineStr">
        <is>
          <t>ADIDAS</t>
        </is>
      </c>
      <c r="F2280" s="1" t="inlineStr">
        <is>
          <t>SHORT SLEEVES</t>
        </is>
      </c>
      <c r="G2280" s="1" t="inlineStr">
        <is>
          <t>GF2040121132XS</t>
        </is>
      </c>
      <c r="H2280" s="1" t="n">
        <v>5</v>
      </c>
      <c r="I2280" s="1" t="inlineStr">
        <is>
          <t>มี</t>
        </is>
      </c>
      <c r="J2280" s="13" t="n">
        <v>119</v>
      </c>
      <c r="K2280" s="1" t="inlineStr"/>
      <c r="L2280" s="13" t="n">
        <v>109</v>
      </c>
      <c r="M2280" s="1">
        <f>IF(L2280="","ไม่พบใน SG",IF(ABS(J2280-L2280)&lt;0.005,"ตรงกัน","ไม่ตรง"))</f>
        <v/>
      </c>
      <c r="N2280" s="14">
        <f>IF(L2280="","",ROUND(L2280*'สรุป'!$C$6,-1))</f>
        <v/>
      </c>
      <c r="O2280" s="15" t="n"/>
      <c r="P2280" s="15" t="n"/>
      <c r="Q2280" s="10" t="n"/>
      <c r="R2280" s="10" t="n"/>
      <c r="S2280" s="16" t="inlineStr">
        <is>
          <t>https://mstgolf.co.th/products/gf2040121132</t>
        </is>
      </c>
      <c r="T2280" s="1">
        <f>IF(B2280="ไม้กอล์ฟ",J2280,"")</f>
        <v/>
      </c>
    </row>
    <row r="2281">
      <c r="A2281" s="1" t="n">
        <v>3</v>
      </c>
      <c r="B2281" s="1" t="inlineStr">
        <is>
          <t>เสื้อผ้า</t>
        </is>
      </c>
      <c r="C2281" s="1" t="inlineStr">
        <is>
          <t>gf2040121133</t>
        </is>
      </c>
      <c r="D2281" s="1" t="inlineStr">
        <is>
          <t>ADIDAS Originals All Over Trefoil Women's Polo (Pink)</t>
        </is>
      </c>
      <c r="E2281" s="1" t="inlineStr">
        <is>
          <t>ADIDAS</t>
        </is>
      </c>
      <c r="F2281" s="1" t="inlineStr">
        <is>
          <t>SHORT SLEEVES</t>
        </is>
      </c>
      <c r="G2281" s="1" t="inlineStr">
        <is>
          <t>GF2040121133XS</t>
        </is>
      </c>
      <c r="H2281" s="1" t="n">
        <v>5</v>
      </c>
      <c r="I2281" s="1" t="inlineStr">
        <is>
          <t>มี</t>
        </is>
      </c>
      <c r="J2281" s="13" t="n">
        <v>119</v>
      </c>
      <c r="K2281" s="1" t="inlineStr"/>
      <c r="L2281" s="13" t="n">
        <v>109</v>
      </c>
      <c r="M2281" s="1">
        <f>IF(L2281="","ไม่พบใน SG",IF(ABS(J2281-L2281)&lt;0.005,"ตรงกัน","ไม่ตรง"))</f>
        <v/>
      </c>
      <c r="N2281" s="14">
        <f>IF(L2281="","",ROUND(L2281*'สรุป'!$C$6,-1))</f>
        <v/>
      </c>
      <c r="O2281" s="15" t="n"/>
      <c r="P2281" s="15" t="n"/>
      <c r="Q2281" s="10" t="n"/>
      <c r="R2281" s="10" t="n"/>
      <c r="S2281" s="16" t="inlineStr">
        <is>
          <t>https://mstgolf.co.th/products/gf2040121133</t>
        </is>
      </c>
      <c r="T2281" s="1">
        <f>IF(B2281="ไม้กอล์ฟ",J2281,"")</f>
        <v/>
      </c>
    </row>
    <row r="2282">
      <c r="A2282" s="1" t="n">
        <v>3</v>
      </c>
      <c r="B2282" s="1" t="inlineStr">
        <is>
          <t>เสื้อผ้า</t>
        </is>
      </c>
      <c r="C2282" s="1" t="inlineStr">
        <is>
          <t>gf2040120540</t>
        </is>
      </c>
      <c r="D2282" s="1" t="inlineStr">
        <is>
          <t>ADIDAS Originals Printed Trefoil Women's Polo (Blue)</t>
        </is>
      </c>
      <c r="E2282" s="1" t="inlineStr">
        <is>
          <t>ADIDAS</t>
        </is>
      </c>
      <c r="F2282" s="1" t="inlineStr">
        <is>
          <t>SHORT SLEEVES</t>
        </is>
      </c>
      <c r="G2282" s="1" t="inlineStr">
        <is>
          <t>GF2040120540XS</t>
        </is>
      </c>
      <c r="H2282" s="1" t="n">
        <v>5</v>
      </c>
      <c r="I2282" s="1" t="inlineStr">
        <is>
          <t>มี</t>
        </is>
      </c>
      <c r="J2282" s="13" t="n">
        <v>119</v>
      </c>
      <c r="K2282" s="1" t="inlineStr"/>
      <c r="L2282" s="13" t="n">
        <v>79</v>
      </c>
      <c r="M2282" s="1">
        <f>IF(L2282="","ไม่พบใน SG",IF(ABS(J2282-L2282)&lt;0.005,"ตรงกัน","ไม่ตรง"))</f>
        <v/>
      </c>
      <c r="N2282" s="14">
        <f>IF(L2282="","",ROUND(L2282*'สรุป'!$C$6,-1))</f>
        <v/>
      </c>
      <c r="O2282" s="15" t="n"/>
      <c r="P2282" s="15" t="n"/>
      <c r="Q2282" s="10" t="n"/>
      <c r="R2282" s="10" t="n"/>
      <c r="S2282" s="16" t="inlineStr">
        <is>
          <t>https://mstgolf.co.th/products/gf2040120540</t>
        </is>
      </c>
      <c r="T2282" s="1">
        <f>IF(B2282="ไม้กอล์ฟ",J2282,"")</f>
        <v/>
      </c>
    </row>
    <row r="2283">
      <c r="A2283" s="1" t="n">
        <v>3</v>
      </c>
      <c r="B2283" s="1" t="inlineStr">
        <is>
          <t>เสื้อผ้า</t>
        </is>
      </c>
      <c r="C2283" s="1" t="inlineStr">
        <is>
          <t>gf2040120542</t>
        </is>
      </c>
      <c r="D2283" s="1" t="inlineStr">
        <is>
          <t>ADIDAS Originals Printed Trefoil Women's Polo (Brown)</t>
        </is>
      </c>
      <c r="E2283" s="1" t="inlineStr">
        <is>
          <t>ADIDAS</t>
        </is>
      </c>
      <c r="F2283" s="1" t="inlineStr">
        <is>
          <t>SHORT SLEEVES</t>
        </is>
      </c>
      <c r="G2283" s="1" t="inlineStr">
        <is>
          <t>GF2040120542XS</t>
        </is>
      </c>
      <c r="H2283" s="1" t="n">
        <v>5</v>
      </c>
      <c r="I2283" s="1" t="inlineStr">
        <is>
          <t>มี</t>
        </is>
      </c>
      <c r="J2283" s="13" t="n">
        <v>119</v>
      </c>
      <c r="K2283" s="1" t="inlineStr"/>
      <c r="L2283" s="13" t="n">
        <v>79</v>
      </c>
      <c r="M2283" s="1">
        <f>IF(L2283="","ไม่พบใน SG",IF(ABS(J2283-L2283)&lt;0.005,"ตรงกัน","ไม่ตรง"))</f>
        <v/>
      </c>
      <c r="N2283" s="14">
        <f>IF(L2283="","",ROUND(L2283*'สรุป'!$C$6,-1))</f>
        <v/>
      </c>
      <c r="O2283" s="15" t="n"/>
      <c r="P2283" s="15" t="n"/>
      <c r="Q2283" s="10" t="n"/>
      <c r="R2283" s="10" t="n"/>
      <c r="S2283" s="16" t="inlineStr">
        <is>
          <t>https://mstgolf.co.th/products/gf2040120542</t>
        </is>
      </c>
      <c r="T2283" s="1">
        <f>IF(B2283="ไม้กอล์ฟ",J2283,"")</f>
        <v/>
      </c>
    </row>
    <row r="2284">
      <c r="A2284" s="1" t="n">
        <v>3</v>
      </c>
      <c r="B2284" s="1" t="inlineStr">
        <is>
          <t>เสื้อผ้า</t>
        </is>
      </c>
      <c r="C2284" s="1" t="inlineStr">
        <is>
          <t>gf2040120543</t>
        </is>
      </c>
      <c r="D2284" s="1" t="inlineStr">
        <is>
          <t>ADIDAS Originals Printed Trefoil Women's Polo (Pink)</t>
        </is>
      </c>
      <c r="E2284" s="1" t="inlineStr">
        <is>
          <t>ADIDAS</t>
        </is>
      </c>
      <c r="F2284" s="1" t="inlineStr">
        <is>
          <t>SHORT SLEEVES</t>
        </is>
      </c>
      <c r="G2284" s="1" t="inlineStr">
        <is>
          <t>GF2040120543XS</t>
        </is>
      </c>
      <c r="H2284" s="1" t="n">
        <v>5</v>
      </c>
      <c r="I2284" s="1" t="inlineStr">
        <is>
          <t>มี</t>
        </is>
      </c>
      <c r="J2284" s="13" t="n">
        <v>119</v>
      </c>
      <c r="K2284" s="1" t="inlineStr"/>
      <c r="L2284" s="13" t="n">
        <v>79</v>
      </c>
      <c r="M2284" s="1">
        <f>IF(L2284="","ไม่พบใน SG",IF(ABS(J2284-L2284)&lt;0.005,"ตรงกัน","ไม่ตรง"))</f>
        <v/>
      </c>
      <c r="N2284" s="14">
        <f>IF(L2284="","",ROUND(L2284*'สรุป'!$C$6,-1))</f>
        <v/>
      </c>
      <c r="O2284" s="15" t="n"/>
      <c r="P2284" s="15" t="n"/>
      <c r="Q2284" s="10" t="n"/>
      <c r="R2284" s="10" t="n"/>
      <c r="S2284" s="16" t="inlineStr">
        <is>
          <t>https://mstgolf.co.th/products/gf2040120543</t>
        </is>
      </c>
      <c r="T2284" s="1">
        <f>IF(B2284="ไม้กอล์ฟ",J2284,"")</f>
        <v/>
      </c>
    </row>
    <row r="2285">
      <c r="A2285" s="1" t="n">
        <v>3</v>
      </c>
      <c r="B2285" s="1" t="inlineStr">
        <is>
          <t>เสื้อผ้า</t>
        </is>
      </c>
      <c r="C2285" s="1" t="inlineStr">
        <is>
          <t>gf2040120541</t>
        </is>
      </c>
      <c r="D2285" s="1" t="inlineStr">
        <is>
          <t>ADIDAS Originals Printed Trefoil Women's Polo (White)</t>
        </is>
      </c>
      <c r="E2285" s="1" t="inlineStr">
        <is>
          <t>ADIDAS</t>
        </is>
      </c>
      <c r="F2285" s="1" t="inlineStr">
        <is>
          <t>SHORT SLEEVES</t>
        </is>
      </c>
      <c r="G2285" s="1" t="inlineStr">
        <is>
          <t>GF2040120541XS</t>
        </is>
      </c>
      <c r="H2285" s="1" t="n">
        <v>6</v>
      </c>
      <c r="I2285" s="1" t="inlineStr">
        <is>
          <t>มี</t>
        </is>
      </c>
      <c r="J2285" s="13" t="n">
        <v>119</v>
      </c>
      <c r="K2285" s="1" t="inlineStr"/>
      <c r="L2285" s="13" t="n">
        <v>79</v>
      </c>
      <c r="M2285" s="1">
        <f>IF(L2285="","ไม่พบใน SG",IF(ABS(J2285-L2285)&lt;0.005,"ตรงกัน","ไม่ตรง"))</f>
        <v/>
      </c>
      <c r="N2285" s="14">
        <f>IF(L2285="","",ROUND(L2285*'สรุป'!$C$6,-1))</f>
        <v/>
      </c>
      <c r="O2285" s="15" t="n"/>
      <c r="P2285" s="15" t="n"/>
      <c r="Q2285" s="10" t="n"/>
      <c r="R2285" s="10" t="n"/>
      <c r="S2285" s="16" t="inlineStr">
        <is>
          <t>https://mstgolf.co.th/products/gf2040120541</t>
        </is>
      </c>
      <c r="T2285" s="1">
        <f>IF(B2285="ไม้กอล์ฟ",J2285,"")</f>
        <v/>
      </c>
    </row>
    <row r="2286">
      <c r="A2286" s="1" t="n">
        <v>3</v>
      </c>
      <c r="B2286" s="1" t="inlineStr">
        <is>
          <t>เสื้อผ้า</t>
        </is>
      </c>
      <c r="C2286" s="1" t="inlineStr">
        <is>
          <t>gf2020202854</t>
        </is>
      </c>
      <c r="D2286" s="1" t="inlineStr">
        <is>
          <t>ADIDAS Originals TWISTWEAVE Men's Shorts (Blue)</t>
        </is>
      </c>
      <c r="E2286" s="1" t="inlineStr">
        <is>
          <t>ADIDAS</t>
        </is>
      </c>
      <c r="F2286" s="1" t="inlineStr">
        <is>
          <t>SHORT PANTS</t>
        </is>
      </c>
      <c r="G2286" s="1" t="inlineStr">
        <is>
          <t>GF202020285473</t>
        </is>
      </c>
      <c r="H2286" s="1" t="n">
        <v>8</v>
      </c>
      <c r="I2286" s="1" t="inlineStr">
        <is>
          <t>มี</t>
        </is>
      </c>
      <c r="J2286" s="13" t="n">
        <v>119</v>
      </c>
      <c r="K2286" s="1" t="inlineStr"/>
      <c r="L2286" s="13" t="n">
        <v>119</v>
      </c>
      <c r="M2286" s="1">
        <f>IF(L2286="","ไม่พบใน SG",IF(ABS(J2286-L2286)&lt;0.005,"ตรงกัน","ไม่ตรง"))</f>
        <v/>
      </c>
      <c r="N2286" s="14">
        <f>IF(L2286="","",ROUND(L2286*'สรุป'!$C$6,-1))</f>
        <v/>
      </c>
      <c r="O2286" s="15" t="n"/>
      <c r="P2286" s="15" t="n"/>
      <c r="Q2286" s="10" t="n"/>
      <c r="R2286" s="10" t="n"/>
      <c r="S2286" s="16" t="inlineStr">
        <is>
          <t>https://mstgolf.co.th/products/gf2020202854</t>
        </is>
      </c>
      <c r="T2286" s="1">
        <f>IF(B2286="ไม้กอล์ฟ",J2286,"")</f>
        <v/>
      </c>
    </row>
    <row r="2287">
      <c r="A2287" s="1" t="n">
        <v>3</v>
      </c>
      <c r="B2287" s="1" t="inlineStr">
        <is>
          <t>เสื้อผ้า</t>
        </is>
      </c>
      <c r="C2287" s="1" t="inlineStr">
        <is>
          <t>gf2020202808</t>
        </is>
      </c>
      <c r="D2287" s="1" t="inlineStr">
        <is>
          <t>ADIDAS Originals Twistknit Men's Pleated Shorts (Blue)</t>
        </is>
      </c>
      <c r="E2287" s="1" t="inlineStr">
        <is>
          <t>ADIDAS</t>
        </is>
      </c>
      <c r="F2287" s="1" t="inlineStr">
        <is>
          <t>SHORT PANTS</t>
        </is>
      </c>
      <c r="G2287" s="1" t="inlineStr">
        <is>
          <t>GF202020280873</t>
        </is>
      </c>
      <c r="H2287" s="1" t="n">
        <v>8</v>
      </c>
      <c r="I2287" s="1" t="inlineStr">
        <is>
          <t>มี</t>
        </is>
      </c>
      <c r="J2287" s="13" t="n">
        <v>119</v>
      </c>
      <c r="K2287" s="1" t="inlineStr"/>
      <c r="L2287" s="13" t="n">
        <v>79</v>
      </c>
      <c r="M2287" s="1">
        <f>IF(L2287="","ไม่พบใน SG",IF(ABS(J2287-L2287)&lt;0.005,"ตรงกัน","ไม่ตรง"))</f>
        <v/>
      </c>
      <c r="N2287" s="14">
        <f>IF(L2287="","",ROUND(L2287*'สรุป'!$C$6,-1))</f>
        <v/>
      </c>
      <c r="O2287" s="15" t="n"/>
      <c r="P2287" s="15" t="n"/>
      <c r="Q2287" s="10" t="n"/>
      <c r="R2287" s="10" t="n"/>
      <c r="S2287" s="16" t="inlineStr">
        <is>
          <t>https://mstgolf.co.th/products/gf2020202808</t>
        </is>
      </c>
      <c r="T2287" s="1">
        <f>IF(B2287="ไม้กอล์ฟ",J2287,"")</f>
        <v/>
      </c>
    </row>
    <row r="2288">
      <c r="A2288" s="1" t="n">
        <v>3</v>
      </c>
      <c r="B2288" s="1" t="inlineStr">
        <is>
          <t>เสื้อผ้า</t>
        </is>
      </c>
      <c r="C2288" s="1" t="inlineStr">
        <is>
          <t>gf2020202806</t>
        </is>
      </c>
      <c r="D2288" s="1" t="inlineStr">
        <is>
          <t>ADIDAS Originals Twistknit Men's Pleated Shorts (Brown)</t>
        </is>
      </c>
      <c r="E2288" s="1" t="inlineStr">
        <is>
          <t>ADIDAS</t>
        </is>
      </c>
      <c r="F2288" s="1" t="inlineStr">
        <is>
          <t>SHORT PANTS</t>
        </is>
      </c>
      <c r="G2288" s="1" t="inlineStr">
        <is>
          <t>GF202020280673</t>
        </is>
      </c>
      <c r="H2288" s="1" t="n">
        <v>8</v>
      </c>
      <c r="I2288" s="1" t="inlineStr">
        <is>
          <t>มี</t>
        </is>
      </c>
      <c r="J2288" s="13" t="n">
        <v>119</v>
      </c>
      <c r="K2288" s="1" t="inlineStr"/>
      <c r="L2288" s="13" t="n">
        <v>79</v>
      </c>
      <c r="M2288" s="1">
        <f>IF(L2288="","ไม่พบใน SG",IF(ABS(J2288-L2288)&lt;0.005,"ตรงกัน","ไม่ตรง"))</f>
        <v/>
      </c>
      <c r="N2288" s="14">
        <f>IF(L2288="","",ROUND(L2288*'สรุป'!$C$6,-1))</f>
        <v/>
      </c>
      <c r="O2288" s="15" t="n"/>
      <c r="P2288" s="15" t="n"/>
      <c r="Q2288" s="10" t="n"/>
      <c r="R2288" s="10" t="n"/>
      <c r="S2288" s="16" t="inlineStr">
        <is>
          <t>https://mstgolf.co.th/products/gf2020202806</t>
        </is>
      </c>
      <c r="T2288" s="1">
        <f>IF(B2288="ไม้กอล์ฟ",J2288,"")</f>
        <v/>
      </c>
    </row>
    <row r="2289">
      <c r="A2289" s="1" t="n">
        <v>3</v>
      </c>
      <c r="B2289" s="1" t="inlineStr">
        <is>
          <t>เสื้อผ้า</t>
        </is>
      </c>
      <c r="C2289" s="1" t="inlineStr">
        <is>
          <t>gf2020202809</t>
        </is>
      </c>
      <c r="D2289" s="1" t="inlineStr">
        <is>
          <t>ADIDAS Originals Twistknit Men's Pleated Shorts (Brown)</t>
        </is>
      </c>
      <c r="E2289" s="1" t="inlineStr">
        <is>
          <t>ADIDAS</t>
        </is>
      </c>
      <c r="F2289" s="1" t="inlineStr">
        <is>
          <t>SHORT PANTS</t>
        </is>
      </c>
      <c r="G2289" s="1" t="inlineStr">
        <is>
          <t>GF202020280973</t>
        </is>
      </c>
      <c r="H2289" s="1" t="n">
        <v>8</v>
      </c>
      <c r="I2289" s="1" t="inlineStr">
        <is>
          <t>มี</t>
        </is>
      </c>
      <c r="J2289" s="13" t="n">
        <v>119</v>
      </c>
      <c r="K2289" s="1" t="inlineStr"/>
      <c r="L2289" s="13" t="n">
        <v>79</v>
      </c>
      <c r="M2289" s="1">
        <f>IF(L2289="","ไม่พบใน SG",IF(ABS(J2289-L2289)&lt;0.005,"ตรงกัน","ไม่ตรง"))</f>
        <v/>
      </c>
      <c r="N2289" s="14">
        <f>IF(L2289="","",ROUND(L2289*'สรุป'!$C$6,-1))</f>
        <v/>
      </c>
      <c r="O2289" s="15" t="n"/>
      <c r="P2289" s="15" t="n"/>
      <c r="Q2289" s="10" t="n"/>
      <c r="R2289" s="10" t="n"/>
      <c r="S2289" s="16" t="inlineStr">
        <is>
          <t>https://mstgolf.co.th/products/gf2020202809</t>
        </is>
      </c>
      <c r="T2289" s="1">
        <f>IF(B2289="ไม้กอล์ฟ",J2289,"")</f>
        <v/>
      </c>
    </row>
    <row r="2290">
      <c r="A2290" s="1" t="n">
        <v>3</v>
      </c>
      <c r="B2290" s="1" t="inlineStr">
        <is>
          <t>เสื้อผ้า</t>
        </is>
      </c>
      <c r="C2290" s="1" t="inlineStr">
        <is>
          <t>gf2020202807</t>
        </is>
      </c>
      <c r="D2290" s="1" t="inlineStr">
        <is>
          <t>ADIDAS Originals Twistknit Men's Pleated Shorts (Green)</t>
        </is>
      </c>
      <c r="E2290" s="1" t="inlineStr">
        <is>
          <t>ADIDAS</t>
        </is>
      </c>
      <c r="F2290" s="1" t="inlineStr">
        <is>
          <t>SHORT PANTS</t>
        </is>
      </c>
      <c r="G2290" s="1" t="inlineStr">
        <is>
          <t>GF202020280773</t>
        </is>
      </c>
      <c r="H2290" s="1" t="n">
        <v>8</v>
      </c>
      <c r="I2290" s="1" t="inlineStr">
        <is>
          <t>มี</t>
        </is>
      </c>
      <c r="J2290" s="13" t="n">
        <v>119</v>
      </c>
      <c r="K2290" s="1" t="inlineStr"/>
      <c r="L2290" s="13" t="n">
        <v>79</v>
      </c>
      <c r="M2290" s="1">
        <f>IF(L2290="","ไม่พบใน SG",IF(ABS(J2290-L2290)&lt;0.005,"ตรงกัน","ไม่ตรง"))</f>
        <v/>
      </c>
      <c r="N2290" s="14">
        <f>IF(L2290="","",ROUND(L2290*'สรุป'!$C$6,-1))</f>
        <v/>
      </c>
      <c r="O2290" s="15" t="n"/>
      <c r="P2290" s="15" t="n"/>
      <c r="Q2290" s="10" t="n"/>
      <c r="R2290" s="10" t="n"/>
      <c r="S2290" s="16" t="inlineStr">
        <is>
          <t>https://mstgolf.co.th/products/gf2020202807</t>
        </is>
      </c>
      <c r="T2290" s="1">
        <f>IF(B2290="ไม้กอล์ฟ",J2290,"")</f>
        <v/>
      </c>
    </row>
    <row r="2291">
      <c r="A2291" s="1" t="n">
        <v>3</v>
      </c>
      <c r="B2291" s="1" t="inlineStr">
        <is>
          <t>เสื้อผ้า</t>
        </is>
      </c>
      <c r="C2291" s="1" t="inlineStr">
        <is>
          <t>gf2020202810</t>
        </is>
      </c>
      <c r="D2291" s="1" t="inlineStr">
        <is>
          <t>ADIDAS Originals Twistknit Men's Pleated Shorts (Pink)</t>
        </is>
      </c>
      <c r="E2291" s="1" t="inlineStr">
        <is>
          <t>ADIDAS</t>
        </is>
      </c>
      <c r="F2291" s="1" t="inlineStr">
        <is>
          <t>SHORT PANTS</t>
        </is>
      </c>
      <c r="G2291" s="1" t="inlineStr">
        <is>
          <t>GF202020281073</t>
        </is>
      </c>
      <c r="H2291" s="1" t="n">
        <v>8</v>
      </c>
      <c r="I2291" s="1" t="inlineStr">
        <is>
          <t>มี</t>
        </is>
      </c>
      <c r="J2291" s="13" t="n">
        <v>119</v>
      </c>
      <c r="K2291" s="1" t="inlineStr"/>
      <c r="L2291" s="13" t="n">
        <v>79</v>
      </c>
      <c r="M2291" s="1">
        <f>IF(L2291="","ไม่พบใน SG",IF(ABS(J2291-L2291)&lt;0.005,"ตรงกัน","ไม่ตรง"))</f>
        <v/>
      </c>
      <c r="N2291" s="14">
        <f>IF(L2291="","",ROUND(L2291*'สรุป'!$C$6,-1))</f>
        <v/>
      </c>
      <c r="O2291" s="15" t="n"/>
      <c r="P2291" s="15" t="n"/>
      <c r="Q2291" s="10" t="n"/>
      <c r="R2291" s="10" t="n"/>
      <c r="S2291" s="16" t="inlineStr">
        <is>
          <t>https://mstgolf.co.th/products/gf2020202810</t>
        </is>
      </c>
      <c r="T2291" s="1">
        <f>IF(B2291="ไม้กอล์ฟ",J2291,"")</f>
        <v/>
      </c>
    </row>
    <row r="2292">
      <c r="A2292" s="1" t="n">
        <v>3</v>
      </c>
      <c r="B2292" s="1" t="inlineStr">
        <is>
          <t>เสื้อผ้า</t>
        </is>
      </c>
      <c r="C2292" s="1" t="inlineStr">
        <is>
          <t>gf2040120499</t>
        </is>
      </c>
      <c r="D2292" s="1" t="inlineStr">
        <is>
          <t>ADIDAS Originals Twistknit Trefoil Men's Polo (Brown)</t>
        </is>
      </c>
      <c r="E2292" s="1" t="inlineStr">
        <is>
          <t>ADIDAS</t>
        </is>
      </c>
      <c r="F2292" s="1" t="inlineStr">
        <is>
          <t>SHORT SLEEVES</t>
        </is>
      </c>
      <c r="G2292" s="1" t="inlineStr">
        <is>
          <t>GF20401204992XS</t>
        </is>
      </c>
      <c r="H2292" s="1" t="n">
        <v>7</v>
      </c>
      <c r="I2292" s="1" t="inlineStr">
        <is>
          <t>มี</t>
        </is>
      </c>
      <c r="J2292" s="13" t="n">
        <v>119</v>
      </c>
      <c r="K2292" s="1" t="inlineStr"/>
      <c r="L2292" s="13" t="n">
        <v>79</v>
      </c>
      <c r="M2292" s="1">
        <f>IF(L2292="","ไม่พบใน SG",IF(ABS(J2292-L2292)&lt;0.005,"ตรงกัน","ไม่ตรง"))</f>
        <v/>
      </c>
      <c r="N2292" s="14">
        <f>IF(L2292="","",ROUND(L2292*'สรุป'!$C$6,-1))</f>
        <v/>
      </c>
      <c r="O2292" s="15" t="n"/>
      <c r="P2292" s="15" t="n"/>
      <c r="Q2292" s="10" t="n"/>
      <c r="R2292" s="10" t="n"/>
      <c r="S2292" s="16" t="inlineStr">
        <is>
          <t>https://mstgolf.co.th/products/gf2040120499</t>
        </is>
      </c>
      <c r="T2292" s="1">
        <f>IF(B2292="ไม้กอล์ฟ",J2292,"")</f>
        <v/>
      </c>
    </row>
    <row r="2293">
      <c r="A2293" s="1" t="n">
        <v>3</v>
      </c>
      <c r="B2293" s="1" t="inlineStr">
        <is>
          <t>เสื้อผ้า</t>
        </is>
      </c>
      <c r="C2293" s="1" t="inlineStr">
        <is>
          <t>gf2040120502</t>
        </is>
      </c>
      <c r="D2293" s="1" t="inlineStr">
        <is>
          <t>ADIDAS Originals Twistknit Trefoil Men's Polo (Green)</t>
        </is>
      </c>
      <c r="E2293" s="1" t="inlineStr">
        <is>
          <t>ADIDAS</t>
        </is>
      </c>
      <c r="F2293" s="1" t="inlineStr">
        <is>
          <t>SHORT SLEEVES</t>
        </is>
      </c>
      <c r="G2293" s="1" t="inlineStr">
        <is>
          <t>GF20401205022XS</t>
        </is>
      </c>
      <c r="H2293" s="1" t="n">
        <v>7</v>
      </c>
      <c r="I2293" s="1" t="inlineStr">
        <is>
          <t>มี</t>
        </is>
      </c>
      <c r="J2293" s="13" t="n">
        <v>119</v>
      </c>
      <c r="K2293" s="1" t="inlineStr"/>
      <c r="L2293" s="13" t="n">
        <v>79</v>
      </c>
      <c r="M2293" s="1">
        <f>IF(L2293="","ไม่พบใน SG",IF(ABS(J2293-L2293)&lt;0.005,"ตรงกัน","ไม่ตรง"))</f>
        <v/>
      </c>
      <c r="N2293" s="14">
        <f>IF(L2293="","",ROUND(L2293*'สรุป'!$C$6,-1))</f>
        <v/>
      </c>
      <c r="O2293" s="15" t="n"/>
      <c r="P2293" s="15" t="n"/>
      <c r="Q2293" s="10" t="n"/>
      <c r="R2293" s="10" t="n"/>
      <c r="S2293" s="16" t="inlineStr">
        <is>
          <t>https://mstgolf.co.th/products/gf2040120502</t>
        </is>
      </c>
      <c r="T2293" s="1">
        <f>IF(B2293="ไม้กอล์ฟ",J2293,"")</f>
        <v/>
      </c>
    </row>
    <row r="2294">
      <c r="A2294" s="1" t="n">
        <v>3</v>
      </c>
      <c r="B2294" s="1" t="inlineStr">
        <is>
          <t>เสื้อผ้า</t>
        </is>
      </c>
      <c r="C2294" s="1" t="inlineStr">
        <is>
          <t>gf2040120500</t>
        </is>
      </c>
      <c r="D2294" s="1" t="inlineStr">
        <is>
          <t>ADIDAS Originals Twistknit Trefoil Men's Polo (Indigo)</t>
        </is>
      </c>
      <c r="E2294" s="1" t="inlineStr">
        <is>
          <t>ADIDAS</t>
        </is>
      </c>
      <c r="F2294" s="1" t="inlineStr">
        <is>
          <t>SHORT SLEEVES</t>
        </is>
      </c>
      <c r="G2294" s="1" t="inlineStr">
        <is>
          <t>GF20401205002XS</t>
        </is>
      </c>
      <c r="H2294" s="1" t="n">
        <v>7</v>
      </c>
      <c r="I2294" s="1" t="inlineStr">
        <is>
          <t>มี</t>
        </is>
      </c>
      <c r="J2294" s="13" t="n">
        <v>119</v>
      </c>
      <c r="K2294" s="1" t="inlineStr"/>
      <c r="L2294" s="13" t="n">
        <v>79</v>
      </c>
      <c r="M2294" s="1">
        <f>IF(L2294="","ไม่พบใน SG",IF(ABS(J2294-L2294)&lt;0.005,"ตรงกัน","ไม่ตรง"))</f>
        <v/>
      </c>
      <c r="N2294" s="14">
        <f>IF(L2294="","",ROUND(L2294*'สรุป'!$C$6,-1))</f>
        <v/>
      </c>
      <c r="O2294" s="15" t="n"/>
      <c r="P2294" s="15" t="n"/>
      <c r="Q2294" s="10" t="n"/>
      <c r="R2294" s="10" t="n"/>
      <c r="S2294" s="16" t="inlineStr">
        <is>
          <t>https://mstgolf.co.th/products/gf2040120500</t>
        </is>
      </c>
      <c r="T2294" s="1">
        <f>IF(B2294="ไม้กอล์ฟ",J2294,"")</f>
        <v/>
      </c>
    </row>
    <row r="2295">
      <c r="A2295" s="1" t="n">
        <v>3</v>
      </c>
      <c r="B2295" s="1" t="inlineStr">
        <is>
          <t>เสื้อผ้า</t>
        </is>
      </c>
      <c r="C2295" s="1" t="inlineStr">
        <is>
          <t>gf2040120498</t>
        </is>
      </c>
      <c r="D2295" s="1" t="inlineStr">
        <is>
          <t>ADIDAS Originals Twistknit Trefoil Men's Polo (Lilac)</t>
        </is>
      </c>
      <c r="E2295" s="1" t="inlineStr">
        <is>
          <t>ADIDAS</t>
        </is>
      </c>
      <c r="F2295" s="1" t="inlineStr">
        <is>
          <t>SHORT SLEEVES</t>
        </is>
      </c>
      <c r="G2295" s="1" t="inlineStr">
        <is>
          <t>GF20401204982XS</t>
        </is>
      </c>
      <c r="H2295" s="1" t="n">
        <v>7</v>
      </c>
      <c r="I2295" s="1" t="inlineStr">
        <is>
          <t>มี</t>
        </is>
      </c>
      <c r="J2295" s="13" t="n">
        <v>119</v>
      </c>
      <c r="K2295" s="1" t="inlineStr"/>
      <c r="L2295" s="13" t="n">
        <v>79</v>
      </c>
      <c r="M2295" s="1">
        <f>IF(L2295="","ไม่พบใน SG",IF(ABS(J2295-L2295)&lt;0.005,"ตรงกัน","ไม่ตรง"))</f>
        <v/>
      </c>
      <c r="N2295" s="14">
        <f>IF(L2295="","",ROUND(L2295*'สรุป'!$C$6,-1))</f>
        <v/>
      </c>
      <c r="O2295" s="15" t="n"/>
      <c r="P2295" s="15" t="n"/>
      <c r="Q2295" s="10" t="n"/>
      <c r="R2295" s="10" t="n"/>
      <c r="S2295" s="16" t="inlineStr">
        <is>
          <t>https://mstgolf.co.th/products/gf2040120498</t>
        </is>
      </c>
      <c r="T2295" s="1">
        <f>IF(B2295="ไม้กอล์ฟ",J2295,"")</f>
        <v/>
      </c>
    </row>
    <row r="2296">
      <c r="A2296" s="1" t="n">
        <v>3</v>
      </c>
      <c r="B2296" s="1" t="inlineStr">
        <is>
          <t>เสื้อผ้า</t>
        </is>
      </c>
      <c r="C2296" s="1" t="inlineStr">
        <is>
          <t>gf2040121093</t>
        </is>
      </c>
      <c r="D2296" s="1" t="inlineStr">
        <is>
          <t>ADIDAS Originals Twistknit Trefoil Men's Polo (Orange)</t>
        </is>
      </c>
      <c r="E2296" s="1" t="inlineStr">
        <is>
          <t>ADIDAS</t>
        </is>
      </c>
      <c r="F2296" s="1" t="inlineStr">
        <is>
          <t>SHORT SLEEVES</t>
        </is>
      </c>
      <c r="G2296" s="1" t="inlineStr">
        <is>
          <t>GF20401210932XS</t>
        </is>
      </c>
      <c r="H2296" s="1" t="n">
        <v>7</v>
      </c>
      <c r="I2296" s="1" t="inlineStr">
        <is>
          <t>มี</t>
        </is>
      </c>
      <c r="J2296" s="13" t="n">
        <v>119</v>
      </c>
      <c r="K2296" s="1" t="inlineStr"/>
      <c r="L2296" s="13" t="n">
        <v>109</v>
      </c>
      <c r="M2296" s="1">
        <f>IF(L2296="","ไม่พบใน SG",IF(ABS(J2296-L2296)&lt;0.005,"ตรงกัน","ไม่ตรง"))</f>
        <v/>
      </c>
      <c r="N2296" s="14">
        <f>IF(L2296="","",ROUND(L2296*'สรุป'!$C$6,-1))</f>
        <v/>
      </c>
      <c r="O2296" s="15" t="n"/>
      <c r="P2296" s="15" t="n"/>
      <c r="Q2296" s="10" t="n"/>
      <c r="R2296" s="10" t="n"/>
      <c r="S2296" s="16" t="inlineStr">
        <is>
          <t>https://mstgolf.co.th/products/gf2040121093</t>
        </is>
      </c>
      <c r="T2296" s="1">
        <f>IF(B2296="ไม้กอล์ฟ",J2296,"")</f>
        <v/>
      </c>
    </row>
    <row r="2297">
      <c r="A2297" s="1" t="n">
        <v>3</v>
      </c>
      <c r="B2297" s="1" t="inlineStr">
        <is>
          <t>เสื้อผ้า</t>
        </is>
      </c>
      <c r="C2297" s="1" t="inlineStr">
        <is>
          <t>gf2040120501</t>
        </is>
      </c>
      <c r="D2297" s="1" t="inlineStr">
        <is>
          <t>ADIDAS Originals Twistknit Trefoil Men's Polo (White)</t>
        </is>
      </c>
      <c r="E2297" s="1" t="inlineStr">
        <is>
          <t>ADIDAS</t>
        </is>
      </c>
      <c r="F2297" s="1" t="inlineStr">
        <is>
          <t>SHORT SLEEVES</t>
        </is>
      </c>
      <c r="G2297" s="1" t="inlineStr">
        <is>
          <t>GF20401205012XS</t>
        </is>
      </c>
      <c r="H2297" s="1" t="n">
        <v>7</v>
      </c>
      <c r="I2297" s="1" t="inlineStr">
        <is>
          <t>มี</t>
        </is>
      </c>
      <c r="J2297" s="13" t="n">
        <v>119</v>
      </c>
      <c r="K2297" s="1" t="inlineStr"/>
      <c r="L2297" s="13" t="n">
        <v>79</v>
      </c>
      <c r="M2297" s="1">
        <f>IF(L2297="","ไม่พบใน SG",IF(ABS(J2297-L2297)&lt;0.005,"ตรงกัน","ไม่ตรง"))</f>
        <v/>
      </c>
      <c r="N2297" s="14">
        <f>IF(L2297="","",ROUND(L2297*'สรุป'!$C$6,-1))</f>
        <v/>
      </c>
      <c r="O2297" s="15" t="n"/>
      <c r="P2297" s="15" t="n"/>
      <c r="Q2297" s="10" t="n"/>
      <c r="R2297" s="10" t="n"/>
      <c r="S2297" s="16" t="inlineStr">
        <is>
          <t>https://mstgolf.co.th/products/gf2040120501</t>
        </is>
      </c>
      <c r="T2297" s="1">
        <f>IF(B2297="ไม้กอล์ฟ",J2297,"")</f>
        <v/>
      </c>
    </row>
    <row r="2298">
      <c r="A2298" s="1" t="n">
        <v>3</v>
      </c>
      <c r="B2298" s="1" t="inlineStr">
        <is>
          <t>เสื้อผ้า</t>
        </is>
      </c>
      <c r="C2298" s="1" t="inlineStr">
        <is>
          <t>gf2020300135</t>
        </is>
      </c>
      <c r="D2298" s="1" t="inlineStr">
        <is>
          <t>ADIDAS Ultimate365 Faux Wrap Skort (Navy)</t>
        </is>
      </c>
      <c r="E2298" s="1" t="inlineStr">
        <is>
          <t>ADIDAS</t>
        </is>
      </c>
      <c r="F2298" s="1" t="inlineStr">
        <is>
          <t>SKORTS</t>
        </is>
      </c>
      <c r="G2298" s="1" t="inlineStr">
        <is>
          <t>GF20203001352XS</t>
        </is>
      </c>
      <c r="H2298" s="1" t="n">
        <v>7</v>
      </c>
      <c r="I2298" s="1" t="inlineStr">
        <is>
          <t>มี</t>
        </is>
      </c>
      <c r="J2298" s="13" t="n">
        <v>119</v>
      </c>
      <c r="K2298" s="1" t="inlineStr"/>
      <c r="L2298" s="13" t="n">
        <v>59</v>
      </c>
      <c r="M2298" s="1">
        <f>IF(L2298="","ไม่พบใน SG",IF(ABS(J2298-L2298)&lt;0.005,"ตรงกัน","ไม่ตรง"))</f>
        <v/>
      </c>
      <c r="N2298" s="14">
        <f>IF(L2298="","",ROUND(L2298*'สรุป'!$C$6,-1))</f>
        <v/>
      </c>
      <c r="O2298" s="15" t="n"/>
      <c r="P2298" s="15" t="n"/>
      <c r="Q2298" s="10" t="n"/>
      <c r="R2298" s="10" t="n"/>
      <c r="S2298" s="16" t="inlineStr">
        <is>
          <t>https://mstgolf.co.th/products/gf2020300135</t>
        </is>
      </c>
      <c r="T2298" s="1">
        <f>IF(B2298="ไม้กอล์ฟ",J2298,"")</f>
        <v/>
      </c>
    </row>
    <row r="2299">
      <c r="A2299" s="1" t="n">
        <v>3</v>
      </c>
      <c r="B2299" s="1" t="inlineStr">
        <is>
          <t>เสื้อผ้า</t>
        </is>
      </c>
      <c r="C2299" s="1" t="inlineStr">
        <is>
          <t>gf2020300134</t>
        </is>
      </c>
      <c r="D2299" s="1" t="inlineStr">
        <is>
          <t>ADIDAS Ultimate365 Faux Wrap Skort (Taupe)</t>
        </is>
      </c>
      <c r="E2299" s="1" t="inlineStr">
        <is>
          <t>ADIDAS</t>
        </is>
      </c>
      <c r="F2299" s="1" t="inlineStr">
        <is>
          <t>SKORTS</t>
        </is>
      </c>
      <c r="G2299" s="1" t="inlineStr">
        <is>
          <t>GF2020300134XS</t>
        </is>
      </c>
      <c r="H2299" s="1" t="n">
        <v>7</v>
      </c>
      <c r="I2299" s="1" t="inlineStr">
        <is>
          <t>มี</t>
        </is>
      </c>
      <c r="J2299" s="13" t="n">
        <v>119</v>
      </c>
      <c r="K2299" s="1" t="inlineStr"/>
      <c r="L2299" s="13" t="n">
        <v>59</v>
      </c>
      <c r="M2299" s="1">
        <f>IF(L2299="","ไม่พบใน SG",IF(ABS(J2299-L2299)&lt;0.005,"ตรงกัน","ไม่ตรง"))</f>
        <v/>
      </c>
      <c r="N2299" s="14">
        <f>IF(L2299="","",ROUND(L2299*'สรุป'!$C$6,-1))</f>
        <v/>
      </c>
      <c r="O2299" s="15" t="n"/>
      <c r="P2299" s="15" t="n"/>
      <c r="Q2299" s="10" t="n"/>
      <c r="R2299" s="10" t="n"/>
      <c r="S2299" s="16" t="inlineStr">
        <is>
          <t>https://mstgolf.co.th/products/gf2020300134</t>
        </is>
      </c>
      <c r="T2299" s="1">
        <f>IF(B2299="ไม้กอล์ฟ",J2299,"")</f>
        <v/>
      </c>
    </row>
    <row r="2300">
      <c r="A2300" s="1" t="n">
        <v>3</v>
      </c>
      <c r="B2300" s="1" t="inlineStr">
        <is>
          <t>เสื้อผ้า</t>
        </is>
      </c>
      <c r="C2300" s="1" t="inlineStr">
        <is>
          <t>gf2040120528</t>
        </is>
      </c>
      <c r="D2300" s="1" t="inlineStr">
        <is>
          <t>ADIDAS Ultimate365 Mesh Radiant Print Men's Polo (Violet)</t>
        </is>
      </c>
      <c r="E2300" s="1" t="inlineStr">
        <is>
          <t>ADIDAS</t>
        </is>
      </c>
      <c r="F2300" s="1" t="inlineStr">
        <is>
          <t>SHORT SLEEVES</t>
        </is>
      </c>
      <c r="G2300" s="1" t="inlineStr">
        <is>
          <t>GF20401205282XS</t>
        </is>
      </c>
      <c r="H2300" s="1" t="n">
        <v>7</v>
      </c>
      <c r="I2300" s="1" t="inlineStr">
        <is>
          <t>มี</t>
        </is>
      </c>
      <c r="J2300" s="13" t="n">
        <v>119</v>
      </c>
      <c r="K2300" s="1" t="inlineStr"/>
      <c r="L2300" s="13" t="n">
        <v>59</v>
      </c>
      <c r="M2300" s="1">
        <f>IF(L2300="","ไม่พบใน SG",IF(ABS(J2300-L2300)&lt;0.005,"ตรงกัน","ไม่ตรง"))</f>
        <v/>
      </c>
      <c r="N2300" s="14">
        <f>IF(L2300="","",ROUND(L2300*'สรุป'!$C$6,-1))</f>
        <v/>
      </c>
      <c r="O2300" s="15" t="n"/>
      <c r="P2300" s="15" t="n"/>
      <c r="Q2300" s="10" t="n"/>
      <c r="R2300" s="10" t="n"/>
      <c r="S2300" s="16" t="inlineStr">
        <is>
          <t>https://mstgolf.co.th/products/gf2040120528</t>
        </is>
      </c>
      <c r="T2300" s="1">
        <f>IF(B2300="ไม้กอล์ฟ",J2300,"")</f>
        <v/>
      </c>
    </row>
    <row r="2301">
      <c r="A2301" s="1" t="n">
        <v>3</v>
      </c>
      <c r="B2301" s="1" t="inlineStr">
        <is>
          <t>เสื้อผ้า</t>
        </is>
      </c>
      <c r="C2301" s="1" t="inlineStr">
        <is>
          <t>gf2020101596</t>
        </is>
      </c>
      <c r="D2301" s="1" t="inlineStr">
        <is>
          <t>CALVIN KLEIN Bullet Men's Pants (Black)</t>
        </is>
      </c>
      <c r="E2301" s="1" t="inlineStr">
        <is>
          <t>CALVIN KLEIN</t>
        </is>
      </c>
      <c r="F2301" s="1" t="inlineStr">
        <is>
          <t>LONG PANTS</t>
        </is>
      </c>
      <c r="G2301" s="1" t="inlineStr">
        <is>
          <t>GF202010159628</t>
        </is>
      </c>
      <c r="H2301" s="1" t="n">
        <v>7</v>
      </c>
      <c r="I2301" s="1" t="inlineStr">
        <is>
          <t>มี</t>
        </is>
      </c>
      <c r="J2301" s="13" t="n">
        <v>119</v>
      </c>
      <c r="K2301" s="1" t="inlineStr"/>
      <c r="L2301" s="13" t="n">
        <v>119</v>
      </c>
      <c r="M2301" s="1">
        <f>IF(L2301="","ไม่พบใน SG",IF(ABS(J2301-L2301)&lt;0.005,"ตรงกัน","ไม่ตรง"))</f>
        <v/>
      </c>
      <c r="N2301" s="14">
        <f>IF(L2301="","",ROUND(L2301*'สรุป'!$C$6,-1))</f>
        <v/>
      </c>
      <c r="O2301" s="15" t="n"/>
      <c r="P2301" s="15" t="n"/>
      <c r="Q2301" s="10" t="n"/>
      <c r="R2301" s="10" t="n"/>
      <c r="S2301" s="16" t="inlineStr">
        <is>
          <t>https://mstgolf.co.th/products/gf2020101596</t>
        </is>
      </c>
      <c r="T2301" s="1">
        <f>IF(B2301="ไม้กอล์ฟ",J2301,"")</f>
        <v/>
      </c>
    </row>
    <row r="2302">
      <c r="A2302" s="1" t="n">
        <v>3</v>
      </c>
      <c r="B2302" s="1" t="inlineStr">
        <is>
          <t>เสื้อผ้า</t>
        </is>
      </c>
      <c r="C2302" s="1" t="inlineStr">
        <is>
          <t>gf2020101597</t>
        </is>
      </c>
      <c r="D2302" s="1" t="inlineStr">
        <is>
          <t>CALVIN KLEIN Bullet Men's Pants (Navy)</t>
        </is>
      </c>
      <c r="E2302" s="1" t="inlineStr">
        <is>
          <t>CALVIN KLEIN</t>
        </is>
      </c>
      <c r="F2302" s="1" t="inlineStr">
        <is>
          <t>LONG PANTS</t>
        </is>
      </c>
      <c r="G2302" s="1" t="inlineStr">
        <is>
          <t>GF202010159728</t>
        </is>
      </c>
      <c r="H2302" s="1" t="n">
        <v>7</v>
      </c>
      <c r="I2302" s="1" t="inlineStr">
        <is>
          <t>มี</t>
        </is>
      </c>
      <c r="J2302" s="13" t="n">
        <v>119</v>
      </c>
      <c r="K2302" s="1" t="inlineStr"/>
      <c r="L2302" s="13" t="n">
        <v>119</v>
      </c>
      <c r="M2302" s="1">
        <f>IF(L2302="","ไม่พบใน SG",IF(ABS(J2302-L2302)&lt;0.005,"ตรงกัน","ไม่ตรง"))</f>
        <v/>
      </c>
      <c r="N2302" s="14">
        <f>IF(L2302="","",ROUND(L2302*'สรุป'!$C$6,-1))</f>
        <v/>
      </c>
      <c r="O2302" s="15" t="n"/>
      <c r="P2302" s="15" t="n"/>
      <c r="Q2302" s="10" t="n"/>
      <c r="R2302" s="10" t="n"/>
      <c r="S2302" s="16" t="inlineStr">
        <is>
          <t>https://mstgolf.co.th/products/gf2020101597</t>
        </is>
      </c>
      <c r="T2302" s="1">
        <f>IF(B2302="ไม้กอล์ฟ",J2302,"")</f>
        <v/>
      </c>
    </row>
    <row r="2303">
      <c r="A2303" s="1" t="n">
        <v>3</v>
      </c>
      <c r="B2303" s="1" t="inlineStr">
        <is>
          <t>เสื้อผ้า</t>
        </is>
      </c>
      <c r="C2303" s="1" t="inlineStr">
        <is>
          <t>gf2020102057</t>
        </is>
      </c>
      <c r="D2303" s="1" t="inlineStr">
        <is>
          <t>CALVIN KLEIN Bullet Men's Pants (Silver)</t>
        </is>
      </c>
      <c r="E2303" s="1" t="inlineStr">
        <is>
          <t>CALVIN KLEIN</t>
        </is>
      </c>
      <c r="F2303" s="1" t="inlineStr">
        <is>
          <t>LONG PANTS</t>
        </is>
      </c>
      <c r="G2303" s="1" t="inlineStr">
        <is>
          <t>GF202010205728</t>
        </is>
      </c>
      <c r="H2303" s="1" t="n">
        <v>8</v>
      </c>
      <c r="I2303" s="1" t="inlineStr">
        <is>
          <t>มี</t>
        </is>
      </c>
      <c r="J2303" s="13" t="n">
        <v>119</v>
      </c>
      <c r="K2303" s="1" t="inlineStr"/>
      <c r="L2303" s="13" t="n">
        <v>119</v>
      </c>
      <c r="M2303" s="1">
        <f>IF(L2303="","ไม่พบใน SG",IF(ABS(J2303-L2303)&lt;0.005,"ตรงกัน","ไม่ตรง"))</f>
        <v/>
      </c>
      <c r="N2303" s="14">
        <f>IF(L2303="","",ROUND(L2303*'สรุป'!$C$6,-1))</f>
        <v/>
      </c>
      <c r="O2303" s="15" t="n"/>
      <c r="P2303" s="15" t="n"/>
      <c r="Q2303" s="10" t="n"/>
      <c r="R2303" s="10" t="n"/>
      <c r="S2303" s="16" t="inlineStr">
        <is>
          <t>https://mstgolf.co.th/products/gf2020102057</t>
        </is>
      </c>
      <c r="T2303" s="1">
        <f>IF(B2303="ไม้กอล์ฟ",J2303,"")</f>
        <v/>
      </c>
    </row>
    <row r="2304">
      <c r="A2304" s="1" t="n">
        <v>3</v>
      </c>
      <c r="B2304" s="1" t="inlineStr">
        <is>
          <t>เสื้อผ้า</t>
        </is>
      </c>
      <c r="C2304" s="1" t="inlineStr">
        <is>
          <t>gf2020101598</t>
        </is>
      </c>
      <c r="D2304" s="1" t="inlineStr">
        <is>
          <t>CALVIN KLEIN Bullet Men's Pants (Steel)</t>
        </is>
      </c>
      <c r="E2304" s="1" t="inlineStr">
        <is>
          <t>CALVIN KLEIN</t>
        </is>
      </c>
      <c r="F2304" s="1" t="inlineStr">
        <is>
          <t>LONG PANTS</t>
        </is>
      </c>
      <c r="G2304" s="1" t="inlineStr">
        <is>
          <t>GF202010159828</t>
        </is>
      </c>
      <c r="H2304" s="1" t="n">
        <v>7</v>
      </c>
      <c r="I2304" s="1" t="inlineStr">
        <is>
          <t>มี</t>
        </is>
      </c>
      <c r="J2304" s="13" t="n">
        <v>119</v>
      </c>
      <c r="K2304" s="1" t="inlineStr"/>
      <c r="L2304" s="13" t="n">
        <v>119</v>
      </c>
      <c r="M2304" s="1">
        <f>IF(L2304="","ไม่พบใน SG",IF(ABS(J2304-L2304)&lt;0.005,"ตรงกัน","ไม่ตรง"))</f>
        <v/>
      </c>
      <c r="N2304" s="14">
        <f>IF(L2304="","",ROUND(L2304*'สรุป'!$C$6,-1))</f>
        <v/>
      </c>
      <c r="O2304" s="15" t="n"/>
      <c r="P2304" s="15" t="n"/>
      <c r="Q2304" s="10" t="n"/>
      <c r="R2304" s="10" t="n"/>
      <c r="S2304" s="16" t="inlineStr">
        <is>
          <t>https://mstgolf.co.th/products/gf2020101598</t>
        </is>
      </c>
      <c r="T2304" s="1">
        <f>IF(B2304="ไม้กอล์ฟ",J2304,"")</f>
        <v/>
      </c>
    </row>
    <row r="2305">
      <c r="A2305" s="1" t="n">
        <v>3</v>
      </c>
      <c r="B2305" s="1" t="inlineStr">
        <is>
          <t>เสื้อผ้า</t>
        </is>
      </c>
      <c r="C2305" s="1" t="inlineStr">
        <is>
          <t>gf2020102058</t>
        </is>
      </c>
      <c r="D2305" s="1" t="inlineStr">
        <is>
          <t>CALVIN KLEIN Bullet Men's Pants (White)</t>
        </is>
      </c>
      <c r="E2305" s="1" t="inlineStr">
        <is>
          <t>CALVIN KLEIN</t>
        </is>
      </c>
      <c r="F2305" s="1" t="inlineStr">
        <is>
          <t>LONG PANTS</t>
        </is>
      </c>
      <c r="G2305" s="1" t="inlineStr">
        <is>
          <t>GF202010205828</t>
        </is>
      </c>
      <c r="H2305" s="1" t="n">
        <v>8</v>
      </c>
      <c r="I2305" s="1" t="inlineStr">
        <is>
          <t>มี</t>
        </is>
      </c>
      <c r="J2305" s="13" t="n">
        <v>119</v>
      </c>
      <c r="K2305" s="1" t="inlineStr"/>
      <c r="L2305" s="13" t="n">
        <v>119</v>
      </c>
      <c r="M2305" s="1">
        <f>IF(L2305="","ไม่พบใน SG",IF(ABS(J2305-L2305)&lt;0.005,"ตรงกัน","ไม่ตรง"))</f>
        <v/>
      </c>
      <c r="N2305" s="14">
        <f>IF(L2305="","",ROUND(L2305*'สรุป'!$C$6,-1))</f>
        <v/>
      </c>
      <c r="O2305" s="15" t="n"/>
      <c r="P2305" s="15" t="n"/>
      <c r="Q2305" s="10" t="n"/>
      <c r="R2305" s="10" t="n"/>
      <c r="S2305" s="16" t="inlineStr">
        <is>
          <t>https://mstgolf.co.th/products/gf2020102058</t>
        </is>
      </c>
      <c r="T2305" s="1">
        <f>IF(B2305="ไม้กอล์ฟ",J2305,"")</f>
        <v/>
      </c>
    </row>
    <row r="2306">
      <c r="A2306" s="1" t="n">
        <v>3</v>
      </c>
      <c r="B2306" s="1" t="inlineStr">
        <is>
          <t>เสื้อผ้า</t>
        </is>
      </c>
      <c r="C2306" s="1" t="inlineStr">
        <is>
          <t>gf2060101043</t>
        </is>
      </c>
      <c r="D2306" s="1" t="inlineStr">
        <is>
          <t>CALVIN KLEIN Canvas Print Women's Windbreaker (Pink)</t>
        </is>
      </c>
      <c r="E2306" s="1" t="inlineStr">
        <is>
          <t>CALVIN KLEIN</t>
        </is>
      </c>
      <c r="F2306" s="1" t="inlineStr">
        <is>
          <t>TOP</t>
        </is>
      </c>
      <c r="G2306" s="1" t="inlineStr">
        <is>
          <t>GF20601010438</t>
        </is>
      </c>
      <c r="H2306" s="1" t="n">
        <v>5</v>
      </c>
      <c r="I2306" s="1" t="inlineStr">
        <is>
          <t>มี</t>
        </is>
      </c>
      <c r="J2306" s="13" t="n">
        <v>119</v>
      </c>
      <c r="K2306" s="1" t="inlineStr"/>
      <c r="L2306" s="13" t="n">
        <v>119</v>
      </c>
      <c r="M2306" s="1">
        <f>IF(L2306="","ไม่พบใน SG",IF(ABS(J2306-L2306)&lt;0.005,"ตรงกัน","ไม่ตรง"))</f>
        <v/>
      </c>
      <c r="N2306" s="14">
        <f>IF(L2306="","",ROUND(L2306*'สรุป'!$C$6,-1))</f>
        <v/>
      </c>
      <c r="O2306" s="15" t="n"/>
      <c r="P2306" s="15" t="n"/>
      <c r="Q2306" s="10" t="n"/>
      <c r="R2306" s="10" t="n"/>
      <c r="S2306" s="16" t="inlineStr">
        <is>
          <t>https://mstgolf.co.th/products/gf2060101043</t>
        </is>
      </c>
      <c r="T2306" s="1">
        <f>IF(B2306="ไม้กอล์ฟ",J2306,"")</f>
        <v/>
      </c>
    </row>
    <row r="2307">
      <c r="A2307" s="1" t="n">
        <v>3</v>
      </c>
      <c r="B2307" s="1" t="inlineStr">
        <is>
          <t>เสื้อผ้า</t>
        </is>
      </c>
      <c r="C2307" s="1" t="inlineStr">
        <is>
          <t>gf2020202639</t>
        </is>
      </c>
      <c r="D2307" s="1" t="inlineStr">
        <is>
          <t>CALVIN KLEIN Impact Men's Shorts (Light Jade)</t>
        </is>
      </c>
      <c r="E2307" s="1" t="inlineStr">
        <is>
          <t>CALVIN KLEIN</t>
        </is>
      </c>
      <c r="F2307" s="1" t="inlineStr">
        <is>
          <t>SHORT PANTS</t>
        </is>
      </c>
      <c r="G2307" s="1" t="inlineStr">
        <is>
          <t>GF202020263930</t>
        </is>
      </c>
      <c r="H2307" s="1" t="n">
        <v>6</v>
      </c>
      <c r="I2307" s="1" t="inlineStr">
        <is>
          <t>มี</t>
        </is>
      </c>
      <c r="J2307" s="13" t="n">
        <v>119</v>
      </c>
      <c r="K2307" s="1" t="inlineStr"/>
      <c r="L2307" s="13" t="n">
        <v>119</v>
      </c>
      <c r="M2307" s="1">
        <f>IF(L2307="","ไม่พบใน SG",IF(ABS(J2307-L2307)&lt;0.005,"ตรงกัน","ไม่ตรง"))</f>
        <v/>
      </c>
      <c r="N2307" s="14">
        <f>IF(L2307="","",ROUND(L2307*'สรุป'!$C$6,-1))</f>
        <v/>
      </c>
      <c r="O2307" s="15" t="n"/>
      <c r="P2307" s="15" t="n"/>
      <c r="Q2307" s="10" t="n"/>
      <c r="R2307" s="10" t="n"/>
      <c r="S2307" s="16" t="inlineStr">
        <is>
          <t>https://mstgolf.co.th/products/gf2020202639</t>
        </is>
      </c>
      <c r="T2307" s="1">
        <f>IF(B2307="ไม้กอล์ฟ",J2307,"")</f>
        <v/>
      </c>
    </row>
    <row r="2308">
      <c r="A2308" s="1" t="n">
        <v>3</v>
      </c>
      <c r="B2308" s="1" t="inlineStr">
        <is>
          <t>เสื้อผ้า</t>
        </is>
      </c>
      <c r="C2308" s="1" t="inlineStr">
        <is>
          <t>gf2020202641</t>
        </is>
      </c>
      <c r="D2308" s="1" t="inlineStr">
        <is>
          <t>CALVIN KLEIN Impact Men's Shorts (Turtledove)</t>
        </is>
      </c>
      <c r="E2308" s="1" t="inlineStr">
        <is>
          <t>CALVIN KLEIN</t>
        </is>
      </c>
      <c r="F2308" s="1" t="inlineStr">
        <is>
          <t>SHORT PANTS</t>
        </is>
      </c>
      <c r="G2308" s="1" t="inlineStr">
        <is>
          <t>GF202020264130</t>
        </is>
      </c>
      <c r="H2308" s="1" t="n">
        <v>6</v>
      </c>
      <c r="I2308" s="1" t="inlineStr">
        <is>
          <t>มี</t>
        </is>
      </c>
      <c r="J2308" s="13" t="n">
        <v>119</v>
      </c>
      <c r="K2308" s="1" t="inlineStr"/>
      <c r="L2308" s="13" t="n">
        <v>119</v>
      </c>
      <c r="M2308" s="1">
        <f>IF(L2308="","ไม่พบใน SG",IF(ABS(J2308-L2308)&lt;0.005,"ตรงกัน","ไม่ตรง"))</f>
        <v/>
      </c>
      <c r="N2308" s="14">
        <f>IF(L2308="","",ROUND(L2308*'สรุป'!$C$6,-1))</f>
        <v/>
      </c>
      <c r="O2308" s="15" t="n"/>
      <c r="P2308" s="15" t="n"/>
      <c r="Q2308" s="10" t="n"/>
      <c r="R2308" s="10" t="n"/>
      <c r="S2308" s="16" t="inlineStr">
        <is>
          <t>https://mstgolf.co.th/products/gf2020202641</t>
        </is>
      </c>
      <c r="T2308" s="1">
        <f>IF(B2308="ไม้กอล์ฟ",J2308,"")</f>
        <v/>
      </c>
    </row>
    <row r="2309">
      <c r="A2309" s="1" t="n">
        <v>3</v>
      </c>
      <c r="B2309" s="1" t="inlineStr">
        <is>
          <t>เสื้อผ้า</t>
        </is>
      </c>
      <c r="C2309" s="1" t="inlineStr">
        <is>
          <t>gf2020202643</t>
        </is>
      </c>
      <c r="D2309" s="1" t="inlineStr">
        <is>
          <t>CALVIN KLEIN Printed Bullet Men's Shorts (Navy)</t>
        </is>
      </c>
      <c r="E2309" s="1" t="inlineStr">
        <is>
          <t>CALVIN KLEIN</t>
        </is>
      </c>
      <c r="F2309" s="1" t="inlineStr">
        <is>
          <t>SHORT PANTS</t>
        </is>
      </c>
      <c r="G2309" s="1" t="inlineStr">
        <is>
          <t>GF202020264330</t>
        </is>
      </c>
      <c r="H2309" s="1" t="n">
        <v>6</v>
      </c>
      <c r="I2309" s="1" t="inlineStr">
        <is>
          <t>มี</t>
        </is>
      </c>
      <c r="J2309" s="13" t="n">
        <v>119</v>
      </c>
      <c r="K2309" s="1" t="inlineStr"/>
      <c r="L2309" s="13" t="n">
        <v>119</v>
      </c>
      <c r="M2309" s="1">
        <f>IF(L2309="","ไม่พบใน SG",IF(ABS(J2309-L2309)&lt;0.005,"ตรงกัน","ไม่ตรง"))</f>
        <v/>
      </c>
      <c r="N2309" s="14">
        <f>IF(L2309="","",ROUND(L2309*'สรุป'!$C$6,-1))</f>
        <v/>
      </c>
      <c r="O2309" s="15" t="n"/>
      <c r="P2309" s="15" t="n"/>
      <c r="Q2309" s="10" t="n"/>
      <c r="R2309" s="10" t="n"/>
      <c r="S2309" s="16" t="inlineStr">
        <is>
          <t>https://mstgolf.co.th/products/gf2020202643</t>
        </is>
      </c>
      <c r="T2309" s="1">
        <f>IF(B2309="ไม้กอล์ฟ",J2309,"")</f>
        <v/>
      </c>
    </row>
    <row r="2310">
      <c r="A2310" s="1" t="n">
        <v>3</v>
      </c>
      <c r="B2310" s="1" t="inlineStr">
        <is>
          <t>เสื้อผ้า</t>
        </is>
      </c>
      <c r="C2310" s="1" t="inlineStr">
        <is>
          <t>gf2020202644</t>
        </is>
      </c>
      <c r="D2310" s="1" t="inlineStr">
        <is>
          <t>CALVIN KLEIN Printed Bullet Men's Shorts (Sea Green)</t>
        </is>
      </c>
      <c r="E2310" s="1" t="inlineStr">
        <is>
          <t>CALVIN KLEIN</t>
        </is>
      </c>
      <c r="F2310" s="1" t="inlineStr">
        <is>
          <t>SHORT PANTS</t>
        </is>
      </c>
      <c r="G2310" s="1" t="inlineStr">
        <is>
          <t>GF202020264430</t>
        </is>
      </c>
      <c r="H2310" s="1" t="n">
        <v>6</v>
      </c>
      <c r="I2310" s="1" t="inlineStr">
        <is>
          <t>มี</t>
        </is>
      </c>
      <c r="J2310" s="13" t="n">
        <v>119</v>
      </c>
      <c r="K2310" s="1" t="inlineStr"/>
      <c r="L2310" s="13" t="n">
        <v>119</v>
      </c>
      <c r="M2310" s="1">
        <f>IF(L2310="","ไม่พบใน SG",IF(ABS(J2310-L2310)&lt;0.005,"ตรงกัน","ไม่ตรง"))</f>
        <v/>
      </c>
      <c r="N2310" s="14">
        <f>IF(L2310="","",ROUND(L2310*'สรุป'!$C$6,-1))</f>
        <v/>
      </c>
      <c r="O2310" s="15" t="n"/>
      <c r="P2310" s="15" t="n"/>
      <c r="Q2310" s="10" t="n"/>
      <c r="R2310" s="10" t="n"/>
      <c r="S2310" s="16" t="inlineStr">
        <is>
          <t>https://mstgolf.co.th/products/gf2020202644</t>
        </is>
      </c>
      <c r="T2310" s="1">
        <f>IF(B2310="ไม้กอล์ฟ",J2310,"")</f>
        <v/>
      </c>
    </row>
    <row r="2311">
      <c r="A2311" s="1" t="n">
        <v>3</v>
      </c>
      <c r="B2311" s="1" t="inlineStr">
        <is>
          <t>เสื้อผ้า</t>
        </is>
      </c>
      <c r="C2311" s="1" t="inlineStr">
        <is>
          <t>gf2020202334</t>
        </is>
      </c>
      <c r="D2311" s="1" t="inlineStr">
        <is>
          <t>CALVIN KLEIN Printed Genius Men's Short (Aqua/Evening Blue)</t>
        </is>
      </c>
      <c r="E2311" s="1" t="inlineStr">
        <is>
          <t>CALVIN KLEIN</t>
        </is>
      </c>
      <c r="F2311" s="1" t="inlineStr">
        <is>
          <t>SHORT PANTS</t>
        </is>
      </c>
      <c r="G2311" s="1" t="inlineStr">
        <is>
          <t>GF202020233428</t>
        </is>
      </c>
      <c r="H2311" s="1" t="n">
        <v>7</v>
      </c>
      <c r="I2311" s="1" t="inlineStr">
        <is>
          <t>มี</t>
        </is>
      </c>
      <c r="J2311" s="13" t="n">
        <v>119</v>
      </c>
      <c r="K2311" s="1" t="inlineStr"/>
      <c r="L2311" s="13" t="n">
        <v>69</v>
      </c>
      <c r="M2311" s="1">
        <f>IF(L2311="","ไม่พบใน SG",IF(ABS(J2311-L2311)&lt;0.005,"ตรงกัน","ไม่ตรง"))</f>
        <v/>
      </c>
      <c r="N2311" s="14">
        <f>IF(L2311="","",ROUND(L2311*'สรุป'!$C$6,-1))</f>
        <v/>
      </c>
      <c r="O2311" s="15" t="n"/>
      <c r="P2311" s="15" t="n"/>
      <c r="Q2311" s="10" t="n"/>
      <c r="R2311" s="10" t="n"/>
      <c r="S2311" s="16" t="inlineStr">
        <is>
          <t>https://mstgolf.co.th/products/gf2020202334</t>
        </is>
      </c>
      <c r="T2311" s="1">
        <f>IF(B2311="ไม้กอล์ฟ",J2311,"")</f>
        <v/>
      </c>
    </row>
    <row r="2312">
      <c r="A2312" s="1" t="n">
        <v>3</v>
      </c>
      <c r="B2312" s="1" t="inlineStr">
        <is>
          <t>เสื้อผ้า</t>
        </is>
      </c>
      <c r="C2312" s="1" t="inlineStr">
        <is>
          <t>gf2020202337</t>
        </is>
      </c>
      <c r="D2312" s="1" t="inlineStr">
        <is>
          <t>CALVIN KLEIN Printed Genius Men's Short (Red/White)</t>
        </is>
      </c>
      <c r="E2312" s="1" t="inlineStr">
        <is>
          <t>CALVIN KLEIN</t>
        </is>
      </c>
      <c r="F2312" s="1" t="inlineStr">
        <is>
          <t>SHORT PANTS</t>
        </is>
      </c>
      <c r="G2312" s="1" t="inlineStr">
        <is>
          <t>GF202020233728</t>
        </is>
      </c>
      <c r="H2312" s="1" t="n">
        <v>7</v>
      </c>
      <c r="I2312" s="1" t="inlineStr">
        <is>
          <t>มี</t>
        </is>
      </c>
      <c r="J2312" s="13" t="n">
        <v>119</v>
      </c>
      <c r="K2312" s="1" t="inlineStr"/>
      <c r="L2312" s="13" t="n">
        <v>69</v>
      </c>
      <c r="M2312" s="1">
        <f>IF(L2312="","ไม่พบใน SG",IF(ABS(J2312-L2312)&lt;0.005,"ตรงกัน","ไม่ตรง"))</f>
        <v/>
      </c>
      <c r="N2312" s="14">
        <f>IF(L2312="","",ROUND(L2312*'สรุป'!$C$6,-1))</f>
        <v/>
      </c>
      <c r="O2312" s="15" t="n"/>
      <c r="P2312" s="15" t="n"/>
      <c r="Q2312" s="10" t="n"/>
      <c r="R2312" s="10" t="n"/>
      <c r="S2312" s="16" t="inlineStr">
        <is>
          <t>https://mstgolf.co.th/products/gf2020202337</t>
        </is>
      </c>
      <c r="T2312" s="1">
        <f>IF(B2312="ไม้กอล์ฟ",J2312,"")</f>
        <v/>
      </c>
    </row>
    <row r="2313">
      <c r="A2313" s="1" t="n">
        <v>3</v>
      </c>
      <c r="B2313" s="1" t="inlineStr">
        <is>
          <t>เสื้อผ้า</t>
        </is>
      </c>
      <c r="C2313" s="1" t="inlineStr">
        <is>
          <t>gf2020202336</t>
        </is>
      </c>
      <c r="D2313" s="1" t="inlineStr">
        <is>
          <t>CALVIN KLEIN Printed Genius Men's Shorts (Evening Blue/Blue)</t>
        </is>
      </c>
      <c r="E2313" s="1" t="inlineStr">
        <is>
          <t>CALVIN KLEIN</t>
        </is>
      </c>
      <c r="F2313" s="1" t="inlineStr">
        <is>
          <t>SHORT PANTS</t>
        </is>
      </c>
      <c r="G2313" s="1" t="inlineStr">
        <is>
          <t>GF202020233628</t>
        </is>
      </c>
      <c r="H2313" s="1" t="n">
        <v>8</v>
      </c>
      <c r="I2313" s="1" t="inlineStr">
        <is>
          <t>มี</t>
        </is>
      </c>
      <c r="J2313" s="13" t="n">
        <v>119</v>
      </c>
      <c r="K2313" s="1" t="inlineStr"/>
      <c r="L2313" s="13" t="n">
        <v>69</v>
      </c>
      <c r="M2313" s="1">
        <f>IF(L2313="","ไม่พบใน SG",IF(ABS(J2313-L2313)&lt;0.005,"ตรงกัน","ไม่ตรง"))</f>
        <v/>
      </c>
      <c r="N2313" s="14">
        <f>IF(L2313="","",ROUND(L2313*'สรุป'!$C$6,-1))</f>
        <v/>
      </c>
      <c r="O2313" s="15" t="n"/>
      <c r="P2313" s="15" t="n"/>
      <c r="Q2313" s="10" t="n"/>
      <c r="R2313" s="10" t="n"/>
      <c r="S2313" s="16" t="inlineStr">
        <is>
          <t>https://mstgolf.co.th/products/gf2020202336</t>
        </is>
      </c>
      <c r="T2313" s="1">
        <f>IF(B2313="ไม้กอล์ฟ",J2313,"")</f>
        <v/>
      </c>
    </row>
    <row r="2314">
      <c r="A2314" s="1" t="n">
        <v>3</v>
      </c>
      <c r="B2314" s="1" t="inlineStr">
        <is>
          <t>เสื้อผ้า</t>
        </is>
      </c>
      <c r="C2314" s="1" t="inlineStr">
        <is>
          <t>gf2020202335</t>
        </is>
      </c>
      <c r="D2314" s="1" t="inlineStr">
        <is>
          <t>CALVIN KLEIN Printed Genius Men's Shorts (Evening Blue/White)</t>
        </is>
      </c>
      <c r="E2314" s="1" t="inlineStr">
        <is>
          <t>CALVIN KLEIN</t>
        </is>
      </c>
      <c r="F2314" s="1" t="inlineStr">
        <is>
          <t>SHORT PANTS</t>
        </is>
      </c>
      <c r="G2314" s="1" t="inlineStr">
        <is>
          <t>GF202020233528</t>
        </is>
      </c>
      <c r="H2314" s="1" t="n">
        <v>7</v>
      </c>
      <c r="I2314" s="1" t="inlineStr">
        <is>
          <t>มี</t>
        </is>
      </c>
      <c r="J2314" s="13" t="n">
        <v>119</v>
      </c>
      <c r="K2314" s="1" t="inlineStr"/>
      <c r="L2314" s="13" t="n">
        <v>69</v>
      </c>
      <c r="M2314" s="1">
        <f>IF(L2314="","ไม่พบใน SG",IF(ABS(J2314-L2314)&lt;0.005,"ตรงกัน","ไม่ตรง"))</f>
        <v/>
      </c>
      <c r="N2314" s="14">
        <f>IF(L2314="","",ROUND(L2314*'สรุป'!$C$6,-1))</f>
        <v/>
      </c>
      <c r="O2314" s="15" t="n"/>
      <c r="P2314" s="15" t="n"/>
      <c r="Q2314" s="10" t="n"/>
      <c r="R2314" s="10" t="n"/>
      <c r="S2314" s="16" t="inlineStr">
        <is>
          <t>https://mstgolf.co.th/products/gf2020202335</t>
        </is>
      </c>
      <c r="T2314" s="1">
        <f>IF(B2314="ไม้กอล์ฟ",J2314,"")</f>
        <v/>
      </c>
    </row>
    <row r="2315">
      <c r="A2315" s="1" t="n">
        <v>3</v>
      </c>
      <c r="B2315" s="1" t="inlineStr">
        <is>
          <t>เสื้อผ้า</t>
        </is>
      </c>
      <c r="C2315" s="1" t="inlineStr">
        <is>
          <t>gf2040119360</t>
        </is>
      </c>
      <c r="D2315" s="1" t="inlineStr">
        <is>
          <t>CALVIN KLEIN Riverton Men's Polo (Navy)</t>
        </is>
      </c>
      <c r="E2315" s="1" t="inlineStr">
        <is>
          <t>CALVIN KLEIN</t>
        </is>
      </c>
      <c r="F2315" s="1" t="inlineStr">
        <is>
          <t>SHORT SLEEVES</t>
        </is>
      </c>
      <c r="G2315" s="1" t="inlineStr">
        <is>
          <t>GF2040119360S</t>
        </is>
      </c>
      <c r="H2315" s="1" t="n">
        <v>5</v>
      </c>
      <c r="I2315" s="1" t="inlineStr">
        <is>
          <t>มี</t>
        </is>
      </c>
      <c r="J2315" s="13" t="n">
        <v>119</v>
      </c>
      <c r="K2315" s="1" t="inlineStr"/>
      <c r="L2315" s="13" t="n">
        <v>119</v>
      </c>
      <c r="M2315" s="1">
        <f>IF(L2315="","ไม่พบใน SG",IF(ABS(J2315-L2315)&lt;0.005,"ตรงกัน","ไม่ตรง"))</f>
        <v/>
      </c>
      <c r="N2315" s="14">
        <f>IF(L2315="","",ROUND(L2315*'สรุป'!$C$6,-1))</f>
        <v/>
      </c>
      <c r="O2315" s="15" t="n"/>
      <c r="P2315" s="15" t="n"/>
      <c r="Q2315" s="10" t="n"/>
      <c r="R2315" s="10" t="n"/>
      <c r="S2315" s="16" t="inlineStr">
        <is>
          <t>https://mstgolf.co.th/products/gf2040119360</t>
        </is>
      </c>
      <c r="T2315" s="1">
        <f>IF(B2315="ไม้กอล์ฟ",J2315,"")</f>
        <v/>
      </c>
    </row>
    <row r="2316">
      <c r="A2316" s="1" t="n">
        <v>3</v>
      </c>
      <c r="B2316" s="1" t="inlineStr">
        <is>
          <t>เสื้อผ้า</t>
        </is>
      </c>
      <c r="C2316" s="1" t="inlineStr">
        <is>
          <t>gf2040119361</t>
        </is>
      </c>
      <c r="D2316" s="1" t="inlineStr">
        <is>
          <t>CALVIN KLEIN Riverton Men's Polo (White)</t>
        </is>
      </c>
      <c r="E2316" s="1" t="inlineStr">
        <is>
          <t>CALVIN KLEIN</t>
        </is>
      </c>
      <c r="F2316" s="1" t="inlineStr">
        <is>
          <t>SHORT SLEEVES</t>
        </is>
      </c>
      <c r="G2316" s="1" t="inlineStr">
        <is>
          <t>GF2040119361S</t>
        </is>
      </c>
      <c r="H2316" s="1" t="n">
        <v>4</v>
      </c>
      <c r="I2316" s="1" t="inlineStr">
        <is>
          <t>มี</t>
        </is>
      </c>
      <c r="J2316" s="13" t="n">
        <v>119</v>
      </c>
      <c r="K2316" s="1" t="inlineStr"/>
      <c r="L2316" s="13" t="n">
        <v>119</v>
      </c>
      <c r="M2316" s="1">
        <f>IF(L2316="","ไม่พบใน SG",IF(ABS(J2316-L2316)&lt;0.005,"ตรงกัน","ไม่ตรง"))</f>
        <v/>
      </c>
      <c r="N2316" s="14">
        <f>IF(L2316="","",ROUND(L2316*'สรุป'!$C$6,-1))</f>
        <v/>
      </c>
      <c r="O2316" s="15" t="n"/>
      <c r="P2316" s="15" t="n"/>
      <c r="Q2316" s="10" t="n"/>
      <c r="R2316" s="10" t="n"/>
      <c r="S2316" s="16" t="inlineStr">
        <is>
          <t>https://mstgolf.co.th/products/gf2040119361</t>
        </is>
      </c>
      <c r="T2316" s="1">
        <f>IF(B2316="ไม้กอล์ฟ",J2316,"")</f>
        <v/>
      </c>
    </row>
    <row r="2317">
      <c r="A2317" s="1" t="n">
        <v>3</v>
      </c>
      <c r="B2317" s="1" t="inlineStr">
        <is>
          <t>เสื้อผ้า</t>
        </is>
      </c>
      <c r="C2317" s="1" t="inlineStr">
        <is>
          <t>gf2040401276</t>
        </is>
      </c>
      <c r="D2317" s="1" t="inlineStr">
        <is>
          <t>GFORE Aye Poppy Tech Jersey Women's Long Sleeve Polo (Snow)</t>
        </is>
      </c>
      <c r="E2317" s="1" t="inlineStr">
        <is>
          <t>GFORE</t>
        </is>
      </c>
      <c r="F2317" s="1" t="inlineStr">
        <is>
          <t>LONG SLEEVES</t>
        </is>
      </c>
      <c r="G2317" s="1" t="inlineStr">
        <is>
          <t>GF2040401276XS</t>
        </is>
      </c>
      <c r="H2317" s="1" t="n">
        <v>5</v>
      </c>
      <c r="I2317" s="1" t="inlineStr">
        <is>
          <t>มี</t>
        </is>
      </c>
      <c r="J2317" s="13" t="n">
        <v>119</v>
      </c>
      <c r="K2317" s="1" t="inlineStr"/>
      <c r="L2317" s="13" t="n">
        <v>119</v>
      </c>
      <c r="M2317" s="1">
        <f>IF(L2317="","ไม่พบใน SG",IF(ABS(J2317-L2317)&lt;0.005,"ตรงกัน","ไม่ตรง"))</f>
        <v/>
      </c>
      <c r="N2317" s="14">
        <f>IF(L2317="","",ROUND(L2317*'สรุป'!$C$6,-1))</f>
        <v/>
      </c>
      <c r="O2317" s="15" t="n"/>
      <c r="P2317" s="15" t="n"/>
      <c r="Q2317" s="10" t="n"/>
      <c r="R2317" s="10" t="n"/>
      <c r="S2317" s="16" t="inlineStr">
        <is>
          <t>https://mstgolf.co.th/products/gf2040401276</t>
        </is>
      </c>
      <c r="T2317" s="1">
        <f>IF(B2317="ไม้กอล์ฟ",J2317,"")</f>
        <v/>
      </c>
    </row>
    <row r="2318">
      <c r="A2318" s="1" t="n">
        <v>3</v>
      </c>
      <c r="B2318" s="1" t="inlineStr">
        <is>
          <t>เสื้อผ้า</t>
        </is>
      </c>
      <c r="C2318" s="1" t="inlineStr">
        <is>
          <t>gf2040118662</t>
        </is>
      </c>
      <c r="D2318" s="1" t="inlineStr">
        <is>
          <t>GFORE Embroidered Skull &amp; Tees Tech Jersey Men's Polo (Rhub)</t>
        </is>
      </c>
      <c r="E2318" s="1" t="inlineStr">
        <is>
          <t>GFORE</t>
        </is>
      </c>
      <c r="F2318" s="1" t="inlineStr">
        <is>
          <t>SHORT SLEEVES</t>
        </is>
      </c>
      <c r="G2318" s="1" t="inlineStr">
        <is>
          <t>GF2040118662XS</t>
        </is>
      </c>
      <c r="H2318" s="1" t="n">
        <v>6</v>
      </c>
      <c r="I2318" s="1" t="inlineStr">
        <is>
          <t>มี</t>
        </is>
      </c>
      <c r="J2318" s="13" t="n">
        <v>119</v>
      </c>
      <c r="K2318" s="1" t="inlineStr"/>
      <c r="L2318" s="13" t="n">
        <v>119</v>
      </c>
      <c r="M2318" s="1">
        <f>IF(L2318="","ไม่พบใน SG",IF(ABS(J2318-L2318)&lt;0.005,"ตรงกัน","ไม่ตรง"))</f>
        <v/>
      </c>
      <c r="N2318" s="14">
        <f>IF(L2318="","",ROUND(L2318*'สรุป'!$C$6,-1))</f>
        <v/>
      </c>
      <c r="O2318" s="15" t="n"/>
      <c r="P2318" s="15" t="n"/>
      <c r="Q2318" s="10" t="n"/>
      <c r="R2318" s="10" t="n"/>
      <c r="S2318" s="16" t="inlineStr">
        <is>
          <t>https://mstgolf.co.th/products/gf2040118662</t>
        </is>
      </c>
      <c r="T2318" s="1">
        <f>IF(B2318="ไม้กอล์ฟ",J2318,"")</f>
        <v/>
      </c>
    </row>
    <row r="2319">
      <c r="A2319" s="1" t="n">
        <v>3</v>
      </c>
      <c r="B2319" s="1" t="inlineStr">
        <is>
          <t>เสื้อผ้า</t>
        </is>
      </c>
      <c r="C2319" s="1" t="inlineStr">
        <is>
          <t>gf2040118663</t>
        </is>
      </c>
      <c r="D2319" s="1" t="inlineStr">
        <is>
          <t>GFORE Feeder Stripe Tech Jersey Button Down Collar Men's Polo (Violet)</t>
        </is>
      </c>
      <c r="E2319" s="1" t="inlineStr">
        <is>
          <t>GFORE</t>
        </is>
      </c>
      <c r="F2319" s="1" t="inlineStr">
        <is>
          <t>SHORT SLEEVES</t>
        </is>
      </c>
      <c r="G2319" s="1" t="inlineStr">
        <is>
          <t>GF2040118663XS</t>
        </is>
      </c>
      <c r="H2319" s="1" t="n">
        <v>6</v>
      </c>
      <c r="I2319" s="1" t="inlineStr">
        <is>
          <t>มี</t>
        </is>
      </c>
      <c r="J2319" s="13" t="n">
        <v>119</v>
      </c>
      <c r="K2319" s="1" t="inlineStr"/>
      <c r="L2319" s="13" t="n">
        <v>119</v>
      </c>
      <c r="M2319" s="1">
        <f>IF(L2319="","ไม่พบใน SG",IF(ABS(J2319-L2319)&lt;0.005,"ตรงกัน","ไม่ตรง"))</f>
        <v/>
      </c>
      <c r="N2319" s="14">
        <f>IF(L2319="","",ROUND(L2319*'สรุป'!$C$6,-1))</f>
        <v/>
      </c>
      <c r="O2319" s="15" t="n"/>
      <c r="P2319" s="15" t="n"/>
      <c r="Q2319" s="10" t="n"/>
      <c r="R2319" s="10" t="n"/>
      <c r="S2319" s="16" t="inlineStr">
        <is>
          <t>https://mstgolf.co.th/products/gf2040118663</t>
        </is>
      </c>
      <c r="T2319" s="1">
        <f>IF(B2319="ไม้กอล์ฟ",J2319,"")</f>
        <v/>
      </c>
    </row>
    <row r="2320">
      <c r="A2320" s="1" t="n">
        <v>3</v>
      </c>
      <c r="B2320" s="1" t="inlineStr">
        <is>
          <t>เสื้อผ้า</t>
        </is>
      </c>
      <c r="C2320" s="1" t="inlineStr">
        <is>
          <t>gf2040119094</t>
        </is>
      </c>
      <c r="D2320" s="1" t="inlineStr">
        <is>
          <t>GFORE Feeder Stripe Tech Pique Men's Polo (Sardinia)</t>
        </is>
      </c>
      <c r="E2320" s="1" t="inlineStr">
        <is>
          <t>GFORE</t>
        </is>
      </c>
      <c r="F2320" s="1" t="inlineStr">
        <is>
          <t>SHORT SLEEVES</t>
        </is>
      </c>
      <c r="G2320" s="1" t="inlineStr">
        <is>
          <t>GF2040119094XS</t>
        </is>
      </c>
      <c r="H2320" s="1" t="n">
        <v>5</v>
      </c>
      <c r="I2320" s="1" t="inlineStr">
        <is>
          <t>มี</t>
        </is>
      </c>
      <c r="J2320" s="13" t="n">
        <v>119</v>
      </c>
      <c r="K2320" s="1" t="inlineStr"/>
      <c r="L2320" s="13" t="n"/>
      <c r="M2320" s="1">
        <f>IF(L2320="","ไม่พบใน SG",IF(ABS(J2320-L2320)&lt;0.005,"ตรงกัน","ไม่ตรง"))</f>
        <v/>
      </c>
      <c r="N2320" s="14">
        <f>IF(L2320="","",ROUND(L2320*'สรุป'!$C$6,-1))</f>
        <v/>
      </c>
      <c r="O2320" s="15" t="n"/>
      <c r="P2320" s="15" t="n"/>
      <c r="Q2320" s="10" t="n"/>
      <c r="R2320" s="10" t="n"/>
      <c r="S2320" s="16" t="inlineStr">
        <is>
          <t>https://mstgolf.co.th/products/gf2040119094</t>
        </is>
      </c>
      <c r="T2320" s="1">
        <f>IF(B2320="ไม้กอล์ฟ",J2320,"")</f>
        <v/>
      </c>
    </row>
    <row r="2321">
      <c r="A2321" s="1" t="n">
        <v>3</v>
      </c>
      <c r="B2321" s="1" t="inlineStr">
        <is>
          <t>เสื้อผ้า</t>
        </is>
      </c>
      <c r="C2321" s="1" t="inlineStr">
        <is>
          <t>gf2040120591</t>
        </is>
      </c>
      <c r="D2321" s="1" t="inlineStr">
        <is>
          <t>GFORE Iris Men's Tech Jersey Polo (Snow)</t>
        </is>
      </c>
      <c r="E2321" s="1" t="inlineStr">
        <is>
          <t>GFORE</t>
        </is>
      </c>
      <c r="F2321" s="1" t="inlineStr">
        <is>
          <t>SHORT SLEEVES</t>
        </is>
      </c>
      <c r="G2321" s="1" t="inlineStr">
        <is>
          <t>GF2040120591S</t>
        </is>
      </c>
      <c r="H2321" s="1" t="n">
        <v>5</v>
      </c>
      <c r="I2321" s="1" t="inlineStr">
        <is>
          <t>มี</t>
        </is>
      </c>
      <c r="J2321" s="13" t="n">
        <v>119</v>
      </c>
      <c r="K2321" s="1" t="inlineStr"/>
      <c r="L2321" s="13" t="n">
        <v>119</v>
      </c>
      <c r="M2321" s="1">
        <f>IF(L2321="","ไม่พบใน SG",IF(ABS(J2321-L2321)&lt;0.005,"ตรงกัน","ไม่ตรง"))</f>
        <v/>
      </c>
      <c r="N2321" s="14">
        <f>IF(L2321="","",ROUND(L2321*'สรุป'!$C$6,-1))</f>
        <v/>
      </c>
      <c r="O2321" s="15" t="n"/>
      <c r="P2321" s="15" t="n"/>
      <c r="Q2321" s="10" t="n"/>
      <c r="R2321" s="10" t="n"/>
      <c r="S2321" s="16" t="inlineStr">
        <is>
          <t>https://mstgolf.co.th/products/gf2040120591</t>
        </is>
      </c>
      <c r="T2321" s="1">
        <f>IF(B2321="ไม้กอล์ฟ",J2321,"")</f>
        <v/>
      </c>
    </row>
    <row r="2322">
      <c r="A2322" s="1" t="n">
        <v>3</v>
      </c>
      <c r="B2322" s="1" t="inlineStr">
        <is>
          <t>เสื้อผ้า</t>
        </is>
      </c>
      <c r="C2322" s="1" t="inlineStr">
        <is>
          <t>gf2020202591</t>
        </is>
      </c>
      <c r="D2322" s="1" t="inlineStr">
        <is>
          <t>GFORE Maverick Women's Shorts (Cabernet)</t>
        </is>
      </c>
      <c r="E2322" s="1" t="inlineStr">
        <is>
          <t>GFORE</t>
        </is>
      </c>
      <c r="F2322" s="1" t="inlineStr">
        <is>
          <t>SHORT PANTS</t>
        </is>
      </c>
      <c r="G2322" s="1" t="inlineStr">
        <is>
          <t>GF202020259130</t>
        </is>
      </c>
      <c r="H2322" s="1" t="n">
        <v>6</v>
      </c>
      <c r="I2322" s="1" t="inlineStr">
        <is>
          <t>มี</t>
        </is>
      </c>
      <c r="J2322" s="13" t="n">
        <v>119</v>
      </c>
      <c r="K2322" s="1" t="inlineStr"/>
      <c r="L2322" s="13" t="n">
        <v>119</v>
      </c>
      <c r="M2322" s="1">
        <f>IF(L2322="","ไม่พบใน SG",IF(ABS(J2322-L2322)&lt;0.005,"ตรงกัน","ไม่ตรง"))</f>
        <v/>
      </c>
      <c r="N2322" s="14">
        <f>IF(L2322="","",ROUND(L2322*'สรุป'!$C$6,-1))</f>
        <v/>
      </c>
      <c r="O2322" s="15" t="n"/>
      <c r="P2322" s="15" t="n"/>
      <c r="Q2322" s="10" t="n"/>
      <c r="R2322" s="10" t="n"/>
      <c r="S2322" s="16" t="inlineStr">
        <is>
          <t>https://mstgolf.co.th/products/gf2020202591</t>
        </is>
      </c>
      <c r="T2322" s="1">
        <f>IF(B2322="ไม้กอล์ฟ",J2322,"")</f>
        <v/>
      </c>
    </row>
    <row r="2323">
      <c r="A2323" s="1" t="n">
        <v>3</v>
      </c>
      <c r="B2323" s="1" t="inlineStr">
        <is>
          <t>เสื้อผ้า</t>
        </is>
      </c>
      <c r="C2323" s="1" t="inlineStr">
        <is>
          <t>gf2040118664</t>
        </is>
      </c>
      <c r="D2323" s="1" t="inlineStr">
        <is>
          <t>GFORE Multi Stripe Tech Jersey Modern Spread Collar Men's Polo (Twilight)</t>
        </is>
      </c>
      <c r="E2323" s="1" t="inlineStr">
        <is>
          <t>GFORE</t>
        </is>
      </c>
      <c r="F2323" s="1" t="inlineStr">
        <is>
          <t>SHORT SLEEVES</t>
        </is>
      </c>
      <c r="G2323" s="1" t="inlineStr">
        <is>
          <t>GF2040118664XS</t>
        </is>
      </c>
      <c r="H2323" s="1" t="n">
        <v>6</v>
      </c>
      <c r="I2323" s="1" t="inlineStr">
        <is>
          <t>มี</t>
        </is>
      </c>
      <c r="J2323" s="13" t="n">
        <v>119</v>
      </c>
      <c r="K2323" s="1" t="inlineStr"/>
      <c r="L2323" s="13" t="n">
        <v>119</v>
      </c>
      <c r="M2323" s="1">
        <f>IF(L2323="","ไม่พบใน SG",IF(ABS(J2323-L2323)&lt;0.005,"ตรงกัน","ไม่ตรง"))</f>
        <v/>
      </c>
      <c r="N2323" s="14">
        <f>IF(L2323="","",ROUND(L2323*'สรุป'!$C$6,-1))</f>
        <v/>
      </c>
      <c r="O2323" s="15" t="n"/>
      <c r="P2323" s="15" t="n"/>
      <c r="Q2323" s="10" t="n"/>
      <c r="R2323" s="10" t="n"/>
      <c r="S2323" s="16" t="inlineStr">
        <is>
          <t>https://mstgolf.co.th/products/gf2040118664</t>
        </is>
      </c>
      <c r="T2323" s="1">
        <f>IF(B2323="ไม้กอล์ฟ",J2323,"")</f>
        <v/>
      </c>
    </row>
    <row r="2324">
      <c r="A2324" s="1" t="n">
        <v>3</v>
      </c>
      <c r="B2324" s="1" t="inlineStr">
        <is>
          <t>เสื้อผ้า</t>
        </is>
      </c>
      <c r="C2324" s="1" t="inlineStr">
        <is>
          <t>gf2040400896</t>
        </is>
      </c>
      <c r="D2324" s="1" t="inlineStr">
        <is>
          <t>GFORE Staple Mid Tech Men's Longsleeve Shirt (Danube)</t>
        </is>
      </c>
      <c r="E2324" s="1" t="inlineStr">
        <is>
          <t>GFORE</t>
        </is>
      </c>
      <c r="F2324" s="1" t="inlineStr">
        <is>
          <t>LONG SLEEVES</t>
        </is>
      </c>
      <c r="G2324" s="1" t="inlineStr">
        <is>
          <t>GF2040400896XS</t>
        </is>
      </c>
      <c r="H2324" s="1" t="n">
        <v>6</v>
      </c>
      <c r="I2324" s="1" t="inlineStr">
        <is>
          <t>มี</t>
        </is>
      </c>
      <c r="J2324" s="13" t="n">
        <v>119</v>
      </c>
      <c r="K2324" s="1" t="inlineStr"/>
      <c r="L2324" s="13" t="n">
        <v>119</v>
      </c>
      <c r="M2324" s="1">
        <f>IF(L2324="","ไม่พบใน SG",IF(ABS(J2324-L2324)&lt;0.005,"ตรงกัน","ไม่ตรง"))</f>
        <v/>
      </c>
      <c r="N2324" s="14">
        <f>IF(L2324="","",ROUND(L2324*'สรุป'!$C$6,-1))</f>
        <v/>
      </c>
      <c r="O2324" s="15" t="n"/>
      <c r="P2324" s="15" t="n"/>
      <c r="Q2324" s="10" t="n"/>
      <c r="R2324" s="10" t="n"/>
      <c r="S2324" s="16" t="inlineStr">
        <is>
          <t>https://mstgolf.co.th/products/gf2040400896</t>
        </is>
      </c>
      <c r="T2324" s="1">
        <f>IF(B2324="ไม้กอล์ฟ",J2324,"")</f>
        <v/>
      </c>
    </row>
    <row r="2325">
      <c r="A2325" s="1" t="n">
        <v>3</v>
      </c>
      <c r="B2325" s="1" t="inlineStr">
        <is>
          <t>เสื้อผ้า</t>
        </is>
      </c>
      <c r="C2325" s="1" t="inlineStr">
        <is>
          <t>gf2020102037</t>
        </is>
      </c>
      <c r="D2325" s="1" t="inlineStr">
        <is>
          <t>GFORE Tour 5-Pocket Men's Pants (Stone)</t>
        </is>
      </c>
      <c r="E2325" s="1" t="inlineStr">
        <is>
          <t>GFORE</t>
        </is>
      </c>
      <c r="F2325" s="1" t="inlineStr">
        <is>
          <t>LONG PANTS</t>
        </is>
      </c>
      <c r="G2325" s="1" t="inlineStr">
        <is>
          <t>GF202010203730</t>
        </is>
      </c>
      <c r="H2325" s="1" t="n">
        <v>7</v>
      </c>
      <c r="I2325" s="1" t="inlineStr">
        <is>
          <t>มี</t>
        </is>
      </c>
      <c r="J2325" s="13" t="n">
        <v>119</v>
      </c>
      <c r="K2325" s="1" t="inlineStr"/>
      <c r="L2325" s="13" t="n">
        <v>119</v>
      </c>
      <c r="M2325" s="1">
        <f>IF(L2325="","ไม่พบใน SG",IF(ABS(J2325-L2325)&lt;0.005,"ตรงกัน","ไม่ตรง"))</f>
        <v/>
      </c>
      <c r="N2325" s="14">
        <f>IF(L2325="","",ROUND(L2325*'สรุป'!$C$6,-1))</f>
        <v/>
      </c>
      <c r="O2325" s="15" t="n"/>
      <c r="P2325" s="15" t="n"/>
      <c r="Q2325" s="10" t="n"/>
      <c r="R2325" s="10" t="n"/>
      <c r="S2325" s="16" t="inlineStr">
        <is>
          <t>https://mstgolf.co.th/products/gf2020102037</t>
        </is>
      </c>
      <c r="T2325" s="1">
        <f>IF(B2325="ไม้กอล์ฟ",J2325,"")</f>
        <v/>
      </c>
    </row>
    <row r="2326">
      <c r="A2326" s="1" t="n">
        <v>3</v>
      </c>
      <c r="B2326" s="1" t="inlineStr">
        <is>
          <t>เสื้อผ้า</t>
        </is>
      </c>
      <c r="C2326" s="1" t="inlineStr">
        <is>
          <t>gf2020102038</t>
        </is>
      </c>
      <c r="D2326" s="1" t="inlineStr">
        <is>
          <t>GFORE Tour 5-Pocket Men's Pants (Twilight)</t>
        </is>
      </c>
      <c r="E2326" s="1" t="inlineStr">
        <is>
          <t>GFORE</t>
        </is>
      </c>
      <c r="F2326" s="1" t="inlineStr">
        <is>
          <t>LONG PANTS</t>
        </is>
      </c>
      <c r="G2326" s="1" t="inlineStr">
        <is>
          <t>GF202010203830</t>
        </is>
      </c>
      <c r="H2326" s="1" t="n">
        <v>7</v>
      </c>
      <c r="I2326" s="1" t="inlineStr">
        <is>
          <t>มี</t>
        </is>
      </c>
      <c r="J2326" s="13" t="n">
        <v>119</v>
      </c>
      <c r="K2326" s="1" t="inlineStr"/>
      <c r="L2326" s="13" t="n">
        <v>119</v>
      </c>
      <c r="M2326" s="1">
        <f>IF(L2326="","ไม่พบใน SG",IF(ABS(J2326-L2326)&lt;0.005,"ตรงกัน","ไม่ตรง"))</f>
        <v/>
      </c>
      <c r="N2326" s="14">
        <f>IF(L2326="","",ROUND(L2326*'สรุป'!$C$6,-1))</f>
        <v/>
      </c>
      <c r="O2326" s="15" t="n"/>
      <c r="P2326" s="15" t="n"/>
      <c r="Q2326" s="10" t="n"/>
      <c r="R2326" s="10" t="n"/>
      <c r="S2326" s="16" t="inlineStr">
        <is>
          <t>https://mstgolf.co.th/products/gf2020102038</t>
        </is>
      </c>
      <c r="T2326" s="1">
        <f>IF(B2326="ไม้กอล์ฟ",J2326,"")</f>
        <v/>
      </c>
    </row>
    <row r="2327">
      <c r="A2327" s="1" t="n">
        <v>3</v>
      </c>
      <c r="B2327" s="1" t="inlineStr">
        <is>
          <t>เสื้อผ้า</t>
        </is>
      </c>
      <c r="C2327" s="1" t="inlineStr">
        <is>
          <t>gf2020102632</t>
        </is>
      </c>
      <c r="D2327" s="1" t="inlineStr">
        <is>
          <t>LE COQ SPORTIF GOLF 2-Tuck Women's Pants (Beige)</t>
        </is>
      </c>
      <c r="E2327" s="1" t="inlineStr">
        <is>
          <t>LE COQ SPORTIF GOLF</t>
        </is>
      </c>
      <c r="F2327" s="1" t="inlineStr">
        <is>
          <t>LONG PANTS</t>
        </is>
      </c>
      <c r="G2327" s="1" t="inlineStr">
        <is>
          <t>GF2020102632M</t>
        </is>
      </c>
      <c r="H2327" s="1" t="n">
        <v>4</v>
      </c>
      <c r="I2327" s="1" t="inlineStr">
        <is>
          <t>มี</t>
        </is>
      </c>
      <c r="J2327" s="13" t="n">
        <v>119</v>
      </c>
      <c r="K2327" s="1" t="inlineStr"/>
      <c r="L2327" s="13" t="n">
        <v>119</v>
      </c>
      <c r="M2327" s="1">
        <f>IF(L2327="","ไม่พบใน SG",IF(ABS(J2327-L2327)&lt;0.005,"ตรงกัน","ไม่ตรง"))</f>
        <v/>
      </c>
      <c r="N2327" s="14">
        <f>IF(L2327="","",ROUND(L2327*'สรุป'!$C$6,-1))</f>
        <v/>
      </c>
      <c r="O2327" s="15" t="n"/>
      <c r="P2327" s="15" t="n"/>
      <c r="Q2327" s="10" t="n"/>
      <c r="R2327" s="10" t="n"/>
      <c r="S2327" s="16" t="inlineStr">
        <is>
          <t>https://mstgolf.co.th/products/gf2020102632</t>
        </is>
      </c>
      <c r="T2327" s="1">
        <f>IF(B2327="ไม้กอล์ฟ",J2327,"")</f>
        <v/>
      </c>
    </row>
    <row r="2328">
      <c r="A2328" s="1" t="n">
        <v>3</v>
      </c>
      <c r="B2328" s="1" t="inlineStr">
        <is>
          <t>เสื้อผ้า</t>
        </is>
      </c>
      <c r="C2328" s="1" t="inlineStr">
        <is>
          <t>gf2020102633</t>
        </is>
      </c>
      <c r="D2328" s="1" t="inlineStr">
        <is>
          <t>LE COQ SPORTIF GOLF 2-Tuck Women's Pants (Black)</t>
        </is>
      </c>
      <c r="E2328" s="1" t="inlineStr">
        <is>
          <t>LE COQ SPORTIF GOLF</t>
        </is>
      </c>
      <c r="F2328" s="1" t="inlineStr">
        <is>
          <t>LONG PANTS</t>
        </is>
      </c>
      <c r="G2328" s="1" t="inlineStr">
        <is>
          <t>GF2020102633M</t>
        </is>
      </c>
      <c r="H2328" s="1" t="n">
        <v>4</v>
      </c>
      <c r="I2328" s="1" t="inlineStr">
        <is>
          <t>มี</t>
        </is>
      </c>
      <c r="J2328" s="13" t="n">
        <v>119</v>
      </c>
      <c r="K2328" s="1" t="inlineStr"/>
      <c r="L2328" s="13" t="n">
        <v>119</v>
      </c>
      <c r="M2328" s="1">
        <f>IF(L2328="","ไม่พบใน SG",IF(ABS(J2328-L2328)&lt;0.005,"ตรงกัน","ไม่ตรง"))</f>
        <v/>
      </c>
      <c r="N2328" s="14">
        <f>IF(L2328="","",ROUND(L2328*'สรุป'!$C$6,-1))</f>
        <v/>
      </c>
      <c r="O2328" s="15" t="n"/>
      <c r="P2328" s="15" t="n"/>
      <c r="Q2328" s="10" t="n"/>
      <c r="R2328" s="10" t="n"/>
      <c r="S2328" s="16" t="inlineStr">
        <is>
          <t>https://mstgolf.co.th/products/gf2020102633</t>
        </is>
      </c>
      <c r="T2328" s="1">
        <f>IF(B2328="ไม้กอล์ฟ",J2328,"")</f>
        <v/>
      </c>
    </row>
    <row r="2329">
      <c r="A2329" s="1" t="n">
        <v>3</v>
      </c>
      <c r="B2329" s="1" t="inlineStr">
        <is>
          <t>เสื้อผ้า</t>
        </is>
      </c>
      <c r="C2329" s="1" t="inlineStr">
        <is>
          <t>gf2020102634</t>
        </is>
      </c>
      <c r="D2329" s="1" t="inlineStr">
        <is>
          <t>LE COQ SPORTIF GOLF 2-Tuck Women's Pants (Grey)</t>
        </is>
      </c>
      <c r="E2329" s="1" t="inlineStr">
        <is>
          <t>LE COQ SPORTIF GOLF</t>
        </is>
      </c>
      <c r="F2329" s="1" t="inlineStr">
        <is>
          <t>LONG PANTS</t>
        </is>
      </c>
      <c r="G2329" s="1" t="inlineStr">
        <is>
          <t>GF2020102634M</t>
        </is>
      </c>
      <c r="H2329" s="1" t="n">
        <v>4</v>
      </c>
      <c r="I2329" s="1" t="inlineStr">
        <is>
          <t>มี</t>
        </is>
      </c>
      <c r="J2329" s="13" t="n">
        <v>119</v>
      </c>
      <c r="K2329" s="1" t="inlineStr"/>
      <c r="L2329" s="13" t="n">
        <v>119</v>
      </c>
      <c r="M2329" s="1">
        <f>IF(L2329="","ไม่พบใน SG",IF(ABS(J2329-L2329)&lt;0.005,"ตรงกัน","ไม่ตรง"))</f>
        <v/>
      </c>
      <c r="N2329" s="14">
        <f>IF(L2329="","",ROUND(L2329*'สรุป'!$C$6,-1))</f>
        <v/>
      </c>
      <c r="O2329" s="15" t="n"/>
      <c r="P2329" s="15" t="n"/>
      <c r="Q2329" s="10" t="n"/>
      <c r="R2329" s="10" t="n"/>
      <c r="S2329" s="16" t="inlineStr">
        <is>
          <t>https://mstgolf.co.th/products/gf2020102634</t>
        </is>
      </c>
      <c r="T2329" s="1">
        <f>IF(B2329="ไม้กอล์ฟ",J2329,"")</f>
        <v/>
      </c>
    </row>
    <row r="2330">
      <c r="A2330" s="1" t="n">
        <v>3</v>
      </c>
      <c r="B2330" s="1" t="inlineStr">
        <is>
          <t>เสื้อผ้า</t>
        </is>
      </c>
      <c r="C2330" s="1" t="inlineStr">
        <is>
          <t>gf2020102635</t>
        </is>
      </c>
      <c r="D2330" s="1" t="inlineStr">
        <is>
          <t>LE COQ SPORTIF GOLF 2-Tuck Women's Pants (Navy)</t>
        </is>
      </c>
      <c r="E2330" s="1" t="inlineStr">
        <is>
          <t>LE COQ SPORTIF GOLF</t>
        </is>
      </c>
      <c r="F2330" s="1" t="inlineStr">
        <is>
          <t>LONG PANTS</t>
        </is>
      </c>
      <c r="G2330" s="1" t="inlineStr">
        <is>
          <t>GF2020102635M</t>
        </is>
      </c>
      <c r="H2330" s="1" t="n">
        <v>4</v>
      </c>
      <c r="I2330" s="1" t="inlineStr">
        <is>
          <t>มี</t>
        </is>
      </c>
      <c r="J2330" s="13" t="n">
        <v>119</v>
      </c>
      <c r="K2330" s="1" t="inlineStr"/>
      <c r="L2330" s="13" t="n">
        <v>119</v>
      </c>
      <c r="M2330" s="1">
        <f>IF(L2330="","ไม่พบใน SG",IF(ABS(J2330-L2330)&lt;0.005,"ตรงกัน","ไม่ตรง"))</f>
        <v/>
      </c>
      <c r="N2330" s="14">
        <f>IF(L2330="","",ROUND(L2330*'สรุป'!$C$6,-1))</f>
        <v/>
      </c>
      <c r="O2330" s="15" t="n"/>
      <c r="P2330" s="15" t="n"/>
      <c r="Q2330" s="10" t="n"/>
      <c r="R2330" s="10" t="n"/>
      <c r="S2330" s="16" t="inlineStr">
        <is>
          <t>https://mstgolf.co.th/products/gf2020102635</t>
        </is>
      </c>
      <c r="T2330" s="1">
        <f>IF(B2330="ไม้กอล์ฟ",J2330,"")</f>
        <v/>
      </c>
    </row>
    <row r="2331">
      <c r="A2331" s="1" t="n">
        <v>3</v>
      </c>
      <c r="B2331" s="1" t="inlineStr">
        <is>
          <t>เสื้อผ้า</t>
        </is>
      </c>
      <c r="C2331" s="1" t="inlineStr">
        <is>
          <t>gf2060101223</t>
        </is>
      </c>
      <c r="D2331" s="1" t="inlineStr">
        <is>
          <t>LE COQ SPORTIF GOLF Men's Pullover Sweater (Grey)</t>
        </is>
      </c>
      <c r="E2331" s="1" t="inlineStr">
        <is>
          <t>LE COQ SPORTIF GOLF</t>
        </is>
      </c>
      <c r="F2331" s="1" t="inlineStr">
        <is>
          <t>TOP</t>
        </is>
      </c>
      <c r="G2331" s="1" t="inlineStr">
        <is>
          <t>GF2060101223S</t>
        </is>
      </c>
      <c r="H2331" s="1" t="n">
        <v>6</v>
      </c>
      <c r="I2331" s="1" t="inlineStr">
        <is>
          <t>มี</t>
        </is>
      </c>
      <c r="J2331" s="13" t="n">
        <v>119</v>
      </c>
      <c r="K2331" s="1" t="inlineStr"/>
      <c r="L2331" s="13" t="n">
        <v>119</v>
      </c>
      <c r="M2331" s="1">
        <f>IF(L2331="","ไม่พบใน SG",IF(ABS(J2331-L2331)&lt;0.005,"ตรงกัน","ไม่ตรง"))</f>
        <v/>
      </c>
      <c r="N2331" s="14">
        <f>IF(L2331="","",ROUND(L2331*'สรุป'!$C$6,-1))</f>
        <v/>
      </c>
      <c r="O2331" s="15" t="n"/>
      <c r="P2331" s="15" t="n"/>
      <c r="Q2331" s="10" t="n"/>
      <c r="R2331" s="10" t="n"/>
      <c r="S2331" s="16" t="inlineStr">
        <is>
          <t>https://mstgolf.co.th/products/gf2060101223</t>
        </is>
      </c>
      <c r="T2331" s="1">
        <f>IF(B2331="ไม้กอล์ฟ",J2331,"")</f>
        <v/>
      </c>
    </row>
    <row r="2332">
      <c r="A2332" s="1" t="n">
        <v>3</v>
      </c>
      <c r="B2332" s="1" t="inlineStr">
        <is>
          <t>เสื้อผ้า</t>
        </is>
      </c>
      <c r="C2332" s="1" t="inlineStr">
        <is>
          <t>gf2060101222</t>
        </is>
      </c>
      <c r="D2332" s="1" t="inlineStr">
        <is>
          <t>LE COQ SPORTIF GOLF Men's Pullover Sweater (Navy)</t>
        </is>
      </c>
      <c r="E2332" s="1" t="inlineStr">
        <is>
          <t>LE COQ SPORTIF GOLF</t>
        </is>
      </c>
      <c r="F2332" s="1" t="inlineStr">
        <is>
          <t>TOP</t>
        </is>
      </c>
      <c r="G2332" s="1" t="inlineStr">
        <is>
          <t>GF2060101222S</t>
        </is>
      </c>
      <c r="H2332" s="1" t="n">
        <v>6</v>
      </c>
      <c r="I2332" s="1" t="inlineStr">
        <is>
          <t>มี</t>
        </is>
      </c>
      <c r="J2332" s="13" t="n">
        <v>119</v>
      </c>
      <c r="K2332" s="1" t="inlineStr"/>
      <c r="L2332" s="13" t="n">
        <v>119</v>
      </c>
      <c r="M2332" s="1">
        <f>IF(L2332="","ไม่พบใน SG",IF(ABS(J2332-L2332)&lt;0.005,"ตรงกัน","ไม่ตรง"))</f>
        <v/>
      </c>
      <c r="N2332" s="14">
        <f>IF(L2332="","",ROUND(L2332*'สรุป'!$C$6,-1))</f>
        <v/>
      </c>
      <c r="O2332" s="15" t="n"/>
      <c r="P2332" s="15" t="n"/>
      <c r="Q2332" s="10" t="n"/>
      <c r="R2332" s="10" t="n"/>
      <c r="S2332" s="16" t="inlineStr">
        <is>
          <t>https://mstgolf.co.th/products/gf2060101222</t>
        </is>
      </c>
      <c r="T2332" s="1">
        <f>IF(B2332="ไม้กอล์ฟ",J2332,"")</f>
        <v/>
      </c>
    </row>
    <row r="2333">
      <c r="A2333" s="1" t="n">
        <v>3</v>
      </c>
      <c r="B2333" s="1" t="inlineStr">
        <is>
          <t>เสื้อผ้า</t>
        </is>
      </c>
      <c r="C2333" s="1" t="inlineStr">
        <is>
          <t>gf2040401389</t>
        </is>
      </c>
      <c r="D2333" s="1" t="inlineStr">
        <is>
          <t>LE COQ SPORTIF GOLF New Basic Knit Women's Mock Shirt (Green)</t>
        </is>
      </c>
      <c r="E2333" s="1" t="inlineStr">
        <is>
          <t>LE COQ SPORTIF GOLF</t>
        </is>
      </c>
      <c r="F2333" s="1" t="inlineStr">
        <is>
          <t>TOP</t>
        </is>
      </c>
      <c r="G2333" s="1" t="inlineStr">
        <is>
          <t>GF2040401389S</t>
        </is>
      </c>
      <c r="H2333" s="1" t="n">
        <v>6</v>
      </c>
      <c r="I2333" s="1" t="inlineStr">
        <is>
          <t>มี</t>
        </is>
      </c>
      <c r="J2333" s="13" t="n">
        <v>119</v>
      </c>
      <c r="K2333" s="1" t="inlineStr"/>
      <c r="L2333" s="13" t="n">
        <v>119</v>
      </c>
      <c r="M2333" s="1">
        <f>IF(L2333="","ไม่พบใน SG",IF(ABS(J2333-L2333)&lt;0.005,"ตรงกัน","ไม่ตรง"))</f>
        <v/>
      </c>
      <c r="N2333" s="14">
        <f>IF(L2333="","",ROUND(L2333*'สรุป'!$C$6,-1))</f>
        <v/>
      </c>
      <c r="O2333" s="15" t="n"/>
      <c r="P2333" s="15" t="n"/>
      <c r="Q2333" s="10" t="n"/>
      <c r="R2333" s="10" t="n"/>
      <c r="S2333" s="16" t="inlineStr">
        <is>
          <t>https://mstgolf.co.th/products/gf2040401389</t>
        </is>
      </c>
      <c r="T2333" s="1">
        <f>IF(B2333="ไม้กอล์ฟ",J2333,"")</f>
        <v/>
      </c>
    </row>
    <row r="2334">
      <c r="A2334" s="1" t="n">
        <v>3</v>
      </c>
      <c r="B2334" s="1" t="inlineStr">
        <is>
          <t>เสื้อผ้า</t>
        </is>
      </c>
      <c r="C2334" s="1" t="inlineStr">
        <is>
          <t>gf2040401460</t>
        </is>
      </c>
      <c r="D2334" s="1" t="inlineStr">
        <is>
          <t>LE COQ SPORTIF GOLF Triangle Long Sleeve Print Men's Polo (Grey)</t>
        </is>
      </c>
      <c r="E2334" s="1" t="inlineStr">
        <is>
          <t>LE COQ SPORTIF GOLF</t>
        </is>
      </c>
      <c r="F2334" s="1" t="inlineStr">
        <is>
          <t>LONG SLEEVES</t>
        </is>
      </c>
      <c r="G2334" s="1" t="inlineStr">
        <is>
          <t>GF2040401460M</t>
        </is>
      </c>
      <c r="H2334" s="1" t="n">
        <v>4</v>
      </c>
      <c r="I2334" s="1" t="inlineStr">
        <is>
          <t>มี</t>
        </is>
      </c>
      <c r="J2334" s="13" t="n">
        <v>119</v>
      </c>
      <c r="K2334" s="1" t="inlineStr"/>
      <c r="L2334" s="13" t="n">
        <v>119</v>
      </c>
      <c r="M2334" s="1">
        <f>IF(L2334="","ไม่พบใน SG",IF(ABS(J2334-L2334)&lt;0.005,"ตรงกัน","ไม่ตรง"))</f>
        <v/>
      </c>
      <c r="N2334" s="14">
        <f>IF(L2334="","",ROUND(L2334*'สรุป'!$C$6,-1))</f>
        <v/>
      </c>
      <c r="O2334" s="15" t="n"/>
      <c r="P2334" s="15" t="n"/>
      <c r="Q2334" s="10" t="n"/>
      <c r="R2334" s="10" t="n"/>
      <c r="S2334" s="16" t="inlineStr">
        <is>
          <t>https://mstgolf.co.th/products/gf2040401460</t>
        </is>
      </c>
      <c r="T2334" s="1">
        <f>IF(B2334="ไม้กอล์ฟ",J2334,"")</f>
        <v/>
      </c>
    </row>
    <row r="2335">
      <c r="A2335" s="1" t="n">
        <v>3</v>
      </c>
      <c r="B2335" s="1" t="inlineStr">
        <is>
          <t>เสื้อผ้า</t>
        </is>
      </c>
      <c r="C2335" s="1" t="inlineStr">
        <is>
          <t>gf2040401462</t>
        </is>
      </c>
      <c r="D2335" s="1" t="inlineStr">
        <is>
          <t>LE COQ SPORTIF GOLF Triangle Print Men's Polo (White)</t>
        </is>
      </c>
      <c r="E2335" s="1" t="inlineStr">
        <is>
          <t>LE COQ SPORTIF GOLF</t>
        </is>
      </c>
      <c r="F2335" s="1" t="inlineStr">
        <is>
          <t>LONG SLEEVES</t>
        </is>
      </c>
      <c r="G2335" s="1" t="inlineStr">
        <is>
          <t>GF2040401462M</t>
        </is>
      </c>
      <c r="H2335" s="1" t="n">
        <v>4</v>
      </c>
      <c r="I2335" s="1" t="inlineStr">
        <is>
          <t>มี</t>
        </is>
      </c>
      <c r="J2335" s="13" t="n">
        <v>119</v>
      </c>
      <c r="K2335" s="1" t="inlineStr"/>
      <c r="L2335" s="13" t="n">
        <v>119</v>
      </c>
      <c r="M2335" s="1">
        <f>IF(L2335="","ไม่พบใน SG",IF(ABS(J2335-L2335)&lt;0.005,"ตรงกัน","ไม่ตรง"))</f>
        <v/>
      </c>
      <c r="N2335" s="14">
        <f>IF(L2335="","",ROUND(L2335*'สรุป'!$C$6,-1))</f>
        <v/>
      </c>
      <c r="O2335" s="15" t="n"/>
      <c r="P2335" s="15" t="n"/>
      <c r="Q2335" s="10" t="n"/>
      <c r="R2335" s="10" t="n"/>
      <c r="S2335" s="16" t="inlineStr">
        <is>
          <t>https://mstgolf.co.th/products/gf2040401462</t>
        </is>
      </c>
      <c r="T2335" s="1">
        <f>IF(B2335="ไม้กอล์ฟ",J2335,"")</f>
        <v/>
      </c>
    </row>
    <row r="2336">
      <c r="A2336" s="1" t="n">
        <v>3</v>
      </c>
      <c r="B2336" s="1" t="inlineStr">
        <is>
          <t>เสื้อผ้า</t>
        </is>
      </c>
      <c r="C2336" s="1" t="inlineStr">
        <is>
          <t>gf2060101242</t>
        </is>
      </c>
      <c r="D2336" s="1" t="inlineStr">
        <is>
          <t>LE COQ SPORTIF GOLF Women's Mock Neck Sweater (Navy)</t>
        </is>
      </c>
      <c r="E2336" s="1" t="inlineStr">
        <is>
          <t>LE COQ SPORTIF GOLF</t>
        </is>
      </c>
      <c r="F2336" s="1" t="inlineStr">
        <is>
          <t>TOP</t>
        </is>
      </c>
      <c r="G2336" s="1" t="inlineStr">
        <is>
          <t>GF2060101242S</t>
        </is>
      </c>
      <c r="H2336" s="1" t="n">
        <v>6</v>
      </c>
      <c r="I2336" s="1" t="inlineStr">
        <is>
          <t>มี</t>
        </is>
      </c>
      <c r="J2336" s="13" t="n">
        <v>119</v>
      </c>
      <c r="K2336" s="1" t="inlineStr"/>
      <c r="L2336" s="13" t="n">
        <v>119</v>
      </c>
      <c r="M2336" s="1">
        <f>IF(L2336="","ไม่พบใน SG",IF(ABS(J2336-L2336)&lt;0.005,"ตรงกัน","ไม่ตรง"))</f>
        <v/>
      </c>
      <c r="N2336" s="14">
        <f>IF(L2336="","",ROUND(L2336*'สรุป'!$C$6,-1))</f>
        <v/>
      </c>
      <c r="O2336" s="15" t="n"/>
      <c r="P2336" s="15" t="n"/>
      <c r="Q2336" s="10" t="n"/>
      <c r="R2336" s="10" t="n"/>
      <c r="S2336" s="16" t="inlineStr">
        <is>
          <t>https://mstgolf.co.th/products/gf2060101242</t>
        </is>
      </c>
      <c r="T2336" s="1">
        <f>IF(B2336="ไม้กอล์ฟ",J2336,"")</f>
        <v/>
      </c>
    </row>
    <row r="2337">
      <c r="A2337" s="1" t="n">
        <v>3</v>
      </c>
      <c r="B2337" s="1" t="inlineStr">
        <is>
          <t>เสื้อผ้า</t>
        </is>
      </c>
      <c r="C2337" s="1" t="inlineStr">
        <is>
          <t>gf2060101241</t>
        </is>
      </c>
      <c r="D2337" s="1" t="inlineStr">
        <is>
          <t>LE COQ SPORTIF GOLF Women's Mock Neck Sweater (White)</t>
        </is>
      </c>
      <c r="E2337" s="1" t="inlineStr">
        <is>
          <t>LE COQ SPORTIF GOLF</t>
        </is>
      </c>
      <c r="F2337" s="1" t="inlineStr">
        <is>
          <t>TOP</t>
        </is>
      </c>
      <c r="G2337" s="1" t="inlineStr">
        <is>
          <t>GF2060101241S</t>
        </is>
      </c>
      <c r="H2337" s="1" t="n">
        <v>6</v>
      </c>
      <c r="I2337" s="1" t="inlineStr">
        <is>
          <t>มี</t>
        </is>
      </c>
      <c r="J2337" s="13" t="n">
        <v>119</v>
      </c>
      <c r="K2337" s="1" t="inlineStr"/>
      <c r="L2337" s="13" t="n">
        <v>119</v>
      </c>
      <c r="M2337" s="1">
        <f>IF(L2337="","ไม่พบใน SG",IF(ABS(J2337-L2337)&lt;0.005,"ตรงกัน","ไม่ตรง"))</f>
        <v/>
      </c>
      <c r="N2337" s="14">
        <f>IF(L2337="","",ROUND(L2337*'สรุป'!$C$6,-1))</f>
        <v/>
      </c>
      <c r="O2337" s="15" t="n"/>
      <c r="P2337" s="15" t="n"/>
      <c r="Q2337" s="10" t="n"/>
      <c r="R2337" s="10" t="n"/>
      <c r="S2337" s="16" t="inlineStr">
        <is>
          <t>https://mstgolf.co.th/products/gf2060101241</t>
        </is>
      </c>
      <c r="T2337" s="1">
        <f>IF(B2337="ไม้กอล์ฟ",J2337,"")</f>
        <v/>
      </c>
    </row>
    <row r="2338">
      <c r="A2338" s="1" t="n">
        <v>3</v>
      </c>
      <c r="B2338" s="1" t="inlineStr">
        <is>
          <t>เสื้อผ้า</t>
        </is>
      </c>
      <c r="C2338" s="1" t="inlineStr">
        <is>
          <t>gf2040118893</t>
        </is>
      </c>
      <c r="D2338" s="1" t="inlineStr">
        <is>
          <t>MALBON GOLF Bille Women's Sweatshirt (Ice)</t>
        </is>
      </c>
      <c r="E2338" s="1" t="inlineStr">
        <is>
          <t>MALBON GOLF</t>
        </is>
      </c>
      <c r="F2338" s="1" t="inlineStr">
        <is>
          <t>SHORT SLEEVES</t>
        </is>
      </c>
      <c r="G2338" s="1" t="inlineStr">
        <is>
          <t>GF2040118893XS</t>
        </is>
      </c>
      <c r="H2338" s="1" t="n">
        <v>6</v>
      </c>
      <c r="I2338" s="1" t="inlineStr">
        <is>
          <t>มี</t>
        </is>
      </c>
      <c r="J2338" s="13" t="n">
        <v>119</v>
      </c>
      <c r="K2338" s="1" t="inlineStr"/>
      <c r="L2338" s="13" t="n">
        <v>119</v>
      </c>
      <c r="M2338" s="1">
        <f>IF(L2338="","ไม่พบใน SG",IF(ABS(J2338-L2338)&lt;0.005,"ตรงกัน","ไม่ตรง"))</f>
        <v/>
      </c>
      <c r="N2338" s="14">
        <f>IF(L2338="","",ROUND(L2338*'สรุป'!$C$6,-1))</f>
        <v/>
      </c>
      <c r="O2338" s="15" t="n"/>
      <c r="P2338" s="15" t="n"/>
      <c r="Q2338" s="10" t="n"/>
      <c r="R2338" s="10" t="n"/>
      <c r="S2338" s="16" t="inlineStr">
        <is>
          <t>https://mstgolf.co.th/products/gf2040118893</t>
        </is>
      </c>
      <c r="T2338" s="1">
        <f>IF(B2338="ไม้กอล์ฟ",J2338,"")</f>
        <v/>
      </c>
    </row>
    <row r="2339">
      <c r="A2339" s="1" t="n">
        <v>3</v>
      </c>
      <c r="B2339" s="1" t="inlineStr">
        <is>
          <t>เสื้อผ้า</t>
        </is>
      </c>
      <c r="C2339" s="1" t="inlineStr">
        <is>
          <t>gf2020202618</t>
        </is>
      </c>
      <c r="D2339" s="1" t="inlineStr">
        <is>
          <t>MALBON GOLF x Keith Haring Nylon Men's Shorts (Black)</t>
        </is>
      </c>
      <c r="E2339" s="1" t="inlineStr">
        <is>
          <t>MALBON GOLF</t>
        </is>
      </c>
      <c r="F2339" s="1" t="inlineStr">
        <is>
          <t>SHORT PANTS</t>
        </is>
      </c>
      <c r="G2339" s="1" t="inlineStr">
        <is>
          <t>GF2020202618S</t>
        </is>
      </c>
      <c r="H2339" s="1" t="n">
        <v>5</v>
      </c>
      <c r="I2339" s="1" t="inlineStr">
        <is>
          <t>มี</t>
        </is>
      </c>
      <c r="J2339" s="13" t="n">
        <v>119</v>
      </c>
      <c r="K2339" s="1" t="inlineStr"/>
      <c r="L2339" s="13" t="n">
        <v>119</v>
      </c>
      <c r="M2339" s="1">
        <f>IF(L2339="","ไม่พบใน SG",IF(ABS(J2339-L2339)&lt;0.005,"ตรงกัน","ไม่ตรง"))</f>
        <v/>
      </c>
      <c r="N2339" s="14">
        <f>IF(L2339="","",ROUND(L2339*'สรุป'!$C$6,-1))</f>
        <v/>
      </c>
      <c r="O2339" s="15" t="n"/>
      <c r="P2339" s="15" t="n"/>
      <c r="Q2339" s="10" t="n"/>
      <c r="R2339" s="10" t="n"/>
      <c r="S2339" s="16" t="inlineStr">
        <is>
          <t>https://mstgolf.co.th/products/gf2020202618</t>
        </is>
      </c>
      <c r="T2339" s="1">
        <f>IF(B2339="ไม้กอล์ฟ",J2339,"")</f>
        <v/>
      </c>
    </row>
    <row r="2340">
      <c r="A2340" s="1" t="n">
        <v>3</v>
      </c>
      <c r="B2340" s="1" t="inlineStr">
        <is>
          <t>เสื้อผ้า</t>
        </is>
      </c>
      <c r="C2340" s="1" t="inlineStr">
        <is>
          <t>gf2040118854</t>
        </is>
      </c>
      <c r="D2340" s="1" t="inlineStr">
        <is>
          <t>MANORS Eighteenth Ranger Men's Polo (Navy)</t>
        </is>
      </c>
      <c r="E2340" s="1" t="inlineStr">
        <is>
          <t>MANORS</t>
        </is>
      </c>
      <c r="F2340" s="1" t="inlineStr">
        <is>
          <t>SHORT SLEEVES</t>
        </is>
      </c>
      <c r="G2340" s="1" t="inlineStr">
        <is>
          <t>GF2040118854S</t>
        </is>
      </c>
      <c r="H2340" s="1" t="n">
        <v>4</v>
      </c>
      <c r="I2340" s="1" t="inlineStr">
        <is>
          <t>มี</t>
        </is>
      </c>
      <c r="J2340" s="13" t="n">
        <v>119</v>
      </c>
      <c r="K2340" s="1" t="inlineStr"/>
      <c r="L2340" s="13" t="n">
        <v>119</v>
      </c>
      <c r="M2340" s="1">
        <f>IF(L2340="","ไม่พบใน SG",IF(ABS(J2340-L2340)&lt;0.005,"ตรงกัน","ไม่ตรง"))</f>
        <v/>
      </c>
      <c r="N2340" s="14">
        <f>IF(L2340="","",ROUND(L2340*'สรุป'!$C$6,-1))</f>
        <v/>
      </c>
      <c r="O2340" s="15" t="n"/>
      <c r="P2340" s="15" t="n"/>
      <c r="Q2340" s="10" t="n"/>
      <c r="R2340" s="10" t="n"/>
      <c r="S2340" s="16" t="inlineStr">
        <is>
          <t>https://mstgolf.co.th/products/gf2040118854</t>
        </is>
      </c>
      <c r="T2340" s="1">
        <f>IF(B2340="ไม้กอล์ฟ",J2340,"")</f>
        <v/>
      </c>
    </row>
    <row r="2341">
      <c r="A2341" s="1" t="n">
        <v>3</v>
      </c>
      <c r="B2341" s="1" t="inlineStr">
        <is>
          <t>เสื้อผ้า</t>
        </is>
      </c>
      <c r="C2341" s="1" t="inlineStr">
        <is>
          <t>gf2040118855</t>
        </is>
      </c>
      <c r="D2341" s="1" t="inlineStr">
        <is>
          <t>MANORS Eighteenth Ranger Men's Polo (Taupe)</t>
        </is>
      </c>
      <c r="E2341" s="1" t="inlineStr">
        <is>
          <t>MANORS</t>
        </is>
      </c>
      <c r="F2341" s="1" t="inlineStr">
        <is>
          <t>SHORT SLEEVES</t>
        </is>
      </c>
      <c r="G2341" s="1" t="inlineStr">
        <is>
          <t>GF2040118855S</t>
        </is>
      </c>
      <c r="H2341" s="1" t="n">
        <v>4</v>
      </c>
      <c r="I2341" s="1" t="inlineStr">
        <is>
          <t>มี</t>
        </is>
      </c>
      <c r="J2341" s="13" t="n">
        <v>119</v>
      </c>
      <c r="K2341" s="1" t="inlineStr"/>
      <c r="L2341" s="13" t="n">
        <v>119</v>
      </c>
      <c r="M2341" s="1">
        <f>IF(L2341="","ไม่พบใน SG",IF(ABS(J2341-L2341)&lt;0.005,"ตรงกัน","ไม่ตรง"))</f>
        <v/>
      </c>
      <c r="N2341" s="14">
        <f>IF(L2341="","",ROUND(L2341*'สรุป'!$C$6,-1))</f>
        <v/>
      </c>
      <c r="O2341" s="15" t="n"/>
      <c r="P2341" s="15" t="n"/>
      <c r="Q2341" s="10" t="n"/>
      <c r="R2341" s="10" t="n"/>
      <c r="S2341" s="16" t="inlineStr">
        <is>
          <t>https://mstgolf.co.th/products/gf2040118855</t>
        </is>
      </c>
      <c r="T2341" s="1">
        <f>IF(B2341="ไม้กอล์ฟ",J2341,"")</f>
        <v/>
      </c>
    </row>
    <row r="2342">
      <c r="A2342" s="1" t="n">
        <v>3</v>
      </c>
      <c r="B2342" s="1" t="inlineStr">
        <is>
          <t>เสื้อผ้า</t>
        </is>
      </c>
      <c r="C2342" s="1" t="inlineStr">
        <is>
          <t>gf2060101131</t>
        </is>
      </c>
      <c r="D2342" s="1" t="inlineStr">
        <is>
          <t>MANORS Organic Eighteenth Men's Hoodie (Sand)</t>
        </is>
      </c>
      <c r="E2342" s="1" t="inlineStr">
        <is>
          <t>MANORS</t>
        </is>
      </c>
      <c r="F2342" s="1" t="inlineStr">
        <is>
          <t>TOP</t>
        </is>
      </c>
      <c r="G2342" s="1" t="inlineStr">
        <is>
          <t>GF2060101131XS</t>
        </is>
      </c>
      <c r="H2342" s="1" t="n">
        <v>5</v>
      </c>
      <c r="I2342" s="1" t="inlineStr">
        <is>
          <t>มี</t>
        </is>
      </c>
      <c r="J2342" s="13" t="n">
        <v>119</v>
      </c>
      <c r="K2342" s="1" t="inlineStr"/>
      <c r="L2342" s="13" t="n">
        <v>85</v>
      </c>
      <c r="M2342" s="1">
        <f>IF(L2342="","ไม่พบใน SG",IF(ABS(J2342-L2342)&lt;0.005,"ตรงกัน","ไม่ตรง"))</f>
        <v/>
      </c>
      <c r="N2342" s="14">
        <f>IF(L2342="","",ROUND(L2342*'สรุป'!$C$6,-1))</f>
        <v/>
      </c>
      <c r="O2342" s="15" t="n"/>
      <c r="P2342" s="15" t="n"/>
      <c r="Q2342" s="10" t="n"/>
      <c r="R2342" s="10" t="n"/>
      <c r="S2342" s="16" t="inlineStr">
        <is>
          <t>https://mstgolf.co.th/products/gf2060101131</t>
        </is>
      </c>
      <c r="T2342" s="1">
        <f>IF(B2342="ไม้กอล์ฟ",J2342,"")</f>
        <v/>
      </c>
    </row>
    <row r="2343">
      <c r="A2343" s="1" t="n">
        <v>3</v>
      </c>
      <c r="B2343" s="1" t="inlineStr">
        <is>
          <t>เสื้อผ้า</t>
        </is>
      </c>
      <c r="C2343" s="1" t="inlineStr">
        <is>
          <t>gf2060101133</t>
        </is>
      </c>
      <c r="D2343" s="1" t="inlineStr">
        <is>
          <t>MANORS Organic Logo Men's Hoodie (Black)</t>
        </is>
      </c>
      <c r="E2343" s="1" t="inlineStr">
        <is>
          <t>MANORS</t>
        </is>
      </c>
      <c r="F2343" s="1" t="inlineStr">
        <is>
          <t>TOP</t>
        </is>
      </c>
      <c r="G2343" s="1" t="inlineStr">
        <is>
          <t>GF2060101133XS</t>
        </is>
      </c>
      <c r="H2343" s="1" t="n">
        <v>5</v>
      </c>
      <c r="I2343" s="1" t="inlineStr">
        <is>
          <t>มี</t>
        </is>
      </c>
      <c r="J2343" s="13" t="n">
        <v>119</v>
      </c>
      <c r="K2343" s="1" t="inlineStr"/>
      <c r="L2343" s="13" t="n">
        <v>85</v>
      </c>
      <c r="M2343" s="1">
        <f>IF(L2343="","ไม่พบใน SG",IF(ABS(J2343-L2343)&lt;0.005,"ตรงกัน","ไม่ตรง"))</f>
        <v/>
      </c>
      <c r="N2343" s="14">
        <f>IF(L2343="","",ROUND(L2343*'สรุป'!$C$6,-1))</f>
        <v/>
      </c>
      <c r="O2343" s="15" t="n"/>
      <c r="P2343" s="15" t="n"/>
      <c r="Q2343" s="10" t="n"/>
      <c r="R2343" s="10" t="n"/>
      <c r="S2343" s="16" t="inlineStr">
        <is>
          <t>https://mstgolf.co.th/products/gf2060101133</t>
        </is>
      </c>
      <c r="T2343" s="1">
        <f>IF(B2343="ไม้กอล์ฟ",J2343,"")</f>
        <v/>
      </c>
    </row>
    <row r="2344">
      <c r="A2344" s="1" t="n">
        <v>3</v>
      </c>
      <c r="B2344" s="1" t="inlineStr">
        <is>
          <t>เสื้อผ้า</t>
        </is>
      </c>
      <c r="C2344" s="1" t="inlineStr">
        <is>
          <t>gf2040120581</t>
        </is>
      </c>
      <c r="D2344" s="1" t="inlineStr">
        <is>
          <t>NIKE Jordan Sport Men's Mock Shirt (Phantom)</t>
        </is>
      </c>
      <c r="E2344" s="1" t="inlineStr">
        <is>
          <t>NIKE</t>
        </is>
      </c>
      <c r="F2344" s="1" t="inlineStr">
        <is>
          <t>SHORT SLEEVES</t>
        </is>
      </c>
      <c r="G2344" s="1" t="inlineStr">
        <is>
          <t>GF2040120581S</t>
        </is>
      </c>
      <c r="H2344" s="1" t="n">
        <v>5</v>
      </c>
      <c r="I2344" s="1" t="inlineStr">
        <is>
          <t>มี</t>
        </is>
      </c>
      <c r="J2344" s="13" t="n">
        <v>119</v>
      </c>
      <c r="K2344" s="1" t="inlineStr"/>
      <c r="L2344" s="13" t="n">
        <v>119</v>
      </c>
      <c r="M2344" s="1">
        <f>IF(L2344="","ไม่พบใน SG",IF(ABS(J2344-L2344)&lt;0.005,"ตรงกัน","ไม่ตรง"))</f>
        <v/>
      </c>
      <c r="N2344" s="14">
        <f>IF(L2344="","",ROUND(L2344*'สรุป'!$C$6,-1))</f>
        <v/>
      </c>
      <c r="O2344" s="15" t="n"/>
      <c r="P2344" s="15" t="n"/>
      <c r="Q2344" s="10" t="n"/>
      <c r="R2344" s="10" t="n"/>
      <c r="S2344" s="16" t="inlineStr">
        <is>
          <t>https://mstgolf.co.th/products/gf2040120581</t>
        </is>
      </c>
      <c r="T2344" s="1">
        <f>IF(B2344="ไม้กอล์ฟ",J2344,"")</f>
        <v/>
      </c>
    </row>
    <row r="2345">
      <c r="A2345" s="1" t="n">
        <v>3</v>
      </c>
      <c r="B2345" s="1" t="inlineStr">
        <is>
          <t>เสื้อผ้า</t>
        </is>
      </c>
      <c r="C2345" s="1" t="inlineStr">
        <is>
          <t>gf2020102689</t>
        </is>
      </c>
      <c r="D2345" s="1" t="inlineStr">
        <is>
          <t>NIKE Velocity Dri-FIT Men's Pants (Black)</t>
        </is>
      </c>
      <c r="E2345" s="1" t="inlineStr">
        <is>
          <t>NIKE</t>
        </is>
      </c>
      <c r="F2345" s="1" t="inlineStr">
        <is>
          <t>LONG PANTS</t>
        </is>
      </c>
      <c r="G2345" s="1" t="inlineStr">
        <is>
          <t>GF202010268928</t>
        </is>
      </c>
      <c r="H2345" s="1" t="n">
        <v>7</v>
      </c>
      <c r="I2345" s="1" t="inlineStr">
        <is>
          <t>มี</t>
        </is>
      </c>
      <c r="J2345" s="13" t="n">
        <v>119</v>
      </c>
      <c r="K2345" s="1" t="inlineStr"/>
      <c r="L2345" s="13" t="n">
        <v>119</v>
      </c>
      <c r="M2345" s="1">
        <f>IF(L2345="","ไม่พบใน SG",IF(ABS(J2345-L2345)&lt;0.005,"ตรงกัน","ไม่ตรง"))</f>
        <v/>
      </c>
      <c r="N2345" s="14">
        <f>IF(L2345="","",ROUND(L2345*'สรุป'!$C$6,-1))</f>
        <v/>
      </c>
      <c r="O2345" s="15" t="n"/>
      <c r="P2345" s="15" t="n"/>
      <c r="Q2345" s="10" t="n"/>
      <c r="R2345" s="10" t="n"/>
      <c r="S2345" s="16" t="inlineStr">
        <is>
          <t>https://mstgolf.co.th/products/gf2020102689</t>
        </is>
      </c>
      <c r="T2345" s="1">
        <f>IF(B2345="ไม้กอล์ฟ",J2345,"")</f>
        <v/>
      </c>
    </row>
    <row r="2346">
      <c r="A2346" s="1" t="n">
        <v>3</v>
      </c>
      <c r="B2346" s="1" t="inlineStr">
        <is>
          <t>เสื้อผ้า</t>
        </is>
      </c>
      <c r="C2346" s="1" t="inlineStr">
        <is>
          <t>gf2020102137</t>
        </is>
      </c>
      <c r="D2346" s="1" t="inlineStr">
        <is>
          <t>PUMA Sweat Rib Men's Jogger (Light Grey)</t>
        </is>
      </c>
      <c r="E2346" s="1" t="inlineStr">
        <is>
          <t>PUMA</t>
        </is>
      </c>
      <c r="F2346" s="1" t="inlineStr">
        <is>
          <t>LONG PANTS</t>
        </is>
      </c>
      <c r="G2346" s="1" t="inlineStr">
        <is>
          <t>GF2020102137S</t>
        </is>
      </c>
      <c r="H2346" s="1" t="n">
        <v>5</v>
      </c>
      <c r="I2346" s="1" t="inlineStr">
        <is>
          <t>มี</t>
        </is>
      </c>
      <c r="J2346" s="13" t="n">
        <v>119</v>
      </c>
      <c r="K2346" s="1" t="inlineStr"/>
      <c r="L2346" s="13" t="n">
        <v>119</v>
      </c>
      <c r="M2346" s="1">
        <f>IF(L2346="","ไม่พบใน SG",IF(ABS(J2346-L2346)&lt;0.005,"ตรงกัน","ไม่ตรง"))</f>
        <v/>
      </c>
      <c r="N2346" s="14">
        <f>IF(L2346="","",ROUND(L2346*'สรุป'!$C$6,-1))</f>
        <v/>
      </c>
      <c r="O2346" s="15" t="n"/>
      <c r="P2346" s="15" t="n"/>
      <c r="Q2346" s="10" t="n"/>
      <c r="R2346" s="10" t="n"/>
      <c r="S2346" s="16" t="inlineStr">
        <is>
          <t>https://mstgolf.co.th/products/gf2020102137</t>
        </is>
      </c>
      <c r="T2346" s="1">
        <f>IF(B2346="ไม้กอล์ฟ",J2346,"")</f>
        <v/>
      </c>
    </row>
    <row r="2347">
      <c r="A2347" s="1" t="n">
        <v>3</v>
      </c>
      <c r="B2347" s="1" t="inlineStr">
        <is>
          <t>เสื้อผ้า</t>
        </is>
      </c>
      <c r="C2347" s="1" t="inlineStr">
        <is>
          <t>gf2040119259</t>
        </is>
      </c>
      <c r="D2347" s="1" t="inlineStr">
        <is>
          <t>PUMA x Arnold Palmer Men's Polo (Deep Navy)</t>
        </is>
      </c>
      <c r="E2347" s="1" t="inlineStr">
        <is>
          <t>PUMA</t>
        </is>
      </c>
      <c r="F2347" s="1" t="inlineStr">
        <is>
          <t>SHORT SLEEVES</t>
        </is>
      </c>
      <c r="G2347" s="1" t="inlineStr">
        <is>
          <t>GF2040119259XS</t>
        </is>
      </c>
      <c r="H2347" s="1" t="n">
        <v>6</v>
      </c>
      <c r="I2347" s="1" t="inlineStr">
        <is>
          <t>มี</t>
        </is>
      </c>
      <c r="J2347" s="13" t="n">
        <v>119</v>
      </c>
      <c r="K2347" s="1" t="inlineStr"/>
      <c r="L2347" s="13" t="n">
        <v>119</v>
      </c>
      <c r="M2347" s="1">
        <f>IF(L2347="","ไม่พบใน SG",IF(ABS(J2347-L2347)&lt;0.005,"ตรงกัน","ไม่ตรง"))</f>
        <v/>
      </c>
      <c r="N2347" s="14">
        <f>IF(L2347="","",ROUND(L2347*'สรุป'!$C$6,-1))</f>
        <v/>
      </c>
      <c r="O2347" s="15" t="n"/>
      <c r="P2347" s="15" t="n"/>
      <c r="Q2347" s="10" t="n"/>
      <c r="R2347" s="10" t="n"/>
      <c r="S2347" s="16" t="inlineStr">
        <is>
          <t>https://mstgolf.co.th/products/gf2040119259</t>
        </is>
      </c>
      <c r="T2347" s="1">
        <f>IF(B2347="ไม้กอล์ฟ",J2347,"")</f>
        <v/>
      </c>
    </row>
    <row r="2348">
      <c r="A2348" s="1" t="n">
        <v>3</v>
      </c>
      <c r="B2348" s="1" t="inlineStr">
        <is>
          <t>เสื้อผ้า</t>
        </is>
      </c>
      <c r="C2348" s="1" t="inlineStr">
        <is>
          <t>gf2040119278</t>
        </is>
      </c>
      <c r="D2348" s="1" t="inlineStr">
        <is>
          <t>PUMA x Arnold Palmer Spring Florals Men's Polo (Navy/Pink)</t>
        </is>
      </c>
      <c r="E2348" s="1" t="inlineStr">
        <is>
          <t>PUMA</t>
        </is>
      </c>
      <c r="F2348" s="1" t="inlineStr">
        <is>
          <t>SHORT SLEEVES</t>
        </is>
      </c>
      <c r="G2348" s="1" t="inlineStr">
        <is>
          <t>GF2040119278XS</t>
        </is>
      </c>
      <c r="H2348" s="1" t="n">
        <v>6</v>
      </c>
      <c r="I2348" s="1" t="inlineStr">
        <is>
          <t>มี</t>
        </is>
      </c>
      <c r="J2348" s="13" t="n">
        <v>119</v>
      </c>
      <c r="K2348" s="1" t="inlineStr"/>
      <c r="L2348" s="13" t="n">
        <v>59</v>
      </c>
      <c r="M2348" s="1">
        <f>IF(L2348="","ไม่พบใน SG",IF(ABS(J2348-L2348)&lt;0.005,"ตรงกัน","ไม่ตรง"))</f>
        <v/>
      </c>
      <c r="N2348" s="14">
        <f>IF(L2348="","",ROUND(L2348*'สรุป'!$C$6,-1))</f>
        <v/>
      </c>
      <c r="O2348" s="15" t="n"/>
      <c r="P2348" s="15" t="n"/>
      <c r="Q2348" s="10" t="n"/>
      <c r="R2348" s="10" t="n"/>
      <c r="S2348" s="16" t="inlineStr">
        <is>
          <t>https://mstgolf.co.th/products/gf2040119278</t>
        </is>
      </c>
      <c r="T2348" s="1">
        <f>IF(B2348="ไม้กอล์ฟ",J2348,"")</f>
        <v/>
      </c>
    </row>
    <row r="2349">
      <c r="A2349" s="1" t="n">
        <v>3</v>
      </c>
      <c r="B2349" s="1" t="inlineStr">
        <is>
          <t>เสื้อผ้า</t>
        </is>
      </c>
      <c r="C2349" s="1" t="inlineStr">
        <is>
          <t>gf2040119277</t>
        </is>
      </c>
      <c r="D2349" s="1" t="inlineStr">
        <is>
          <t>PUMA x Arnold Palmer Spring Florals Men's Polo (Pale Pink)</t>
        </is>
      </c>
      <c r="E2349" s="1" t="inlineStr">
        <is>
          <t>PUMA</t>
        </is>
      </c>
      <c r="F2349" s="1" t="inlineStr">
        <is>
          <t>SHORT SLEEVES</t>
        </is>
      </c>
      <c r="G2349" s="1" t="inlineStr">
        <is>
          <t>GF2040119277XS</t>
        </is>
      </c>
      <c r="H2349" s="1" t="n">
        <v>6</v>
      </c>
      <c r="I2349" s="1" t="inlineStr">
        <is>
          <t>มี</t>
        </is>
      </c>
      <c r="J2349" s="13" t="n">
        <v>119</v>
      </c>
      <c r="K2349" s="1" t="inlineStr"/>
      <c r="L2349" s="13" t="n">
        <v>85</v>
      </c>
      <c r="M2349" s="1">
        <f>IF(L2349="","ไม่พบใน SG",IF(ABS(J2349-L2349)&lt;0.005,"ตรงกัน","ไม่ตรง"))</f>
        <v/>
      </c>
      <c r="N2349" s="14">
        <f>IF(L2349="","",ROUND(L2349*'สรุป'!$C$6,-1))</f>
        <v/>
      </c>
      <c r="O2349" s="15" t="n"/>
      <c r="P2349" s="15" t="n"/>
      <c r="Q2349" s="10" t="n"/>
      <c r="R2349" s="10" t="n"/>
      <c r="S2349" s="16" t="inlineStr">
        <is>
          <t>https://mstgolf.co.th/products/gf2040119277</t>
        </is>
      </c>
      <c r="T2349" s="1">
        <f>IF(B2349="ไม้กอล์ฟ",J2349,"")</f>
        <v/>
      </c>
    </row>
    <row r="2350">
      <c r="A2350" s="1" t="n">
        <v>3</v>
      </c>
      <c r="B2350" s="1" t="inlineStr">
        <is>
          <t>เสื้อผ้า</t>
        </is>
      </c>
      <c r="C2350" s="1" t="inlineStr">
        <is>
          <t>gf2040119271</t>
        </is>
      </c>
      <c r="D2350" s="1" t="inlineStr">
        <is>
          <t>PUMA x Arnold Palmer Tipped Jaquard Men's Polo (Deep Navy)</t>
        </is>
      </c>
      <c r="E2350" s="1" t="inlineStr">
        <is>
          <t>PUMA</t>
        </is>
      </c>
      <c r="F2350" s="1" t="inlineStr">
        <is>
          <t>SHORT SLEEVES</t>
        </is>
      </c>
      <c r="G2350" s="1" t="inlineStr">
        <is>
          <t>GF2040119271XS</t>
        </is>
      </c>
      <c r="H2350" s="1" t="n">
        <v>6</v>
      </c>
      <c r="I2350" s="1" t="inlineStr">
        <is>
          <t>มี</t>
        </is>
      </c>
      <c r="J2350" s="13" t="n">
        <v>119</v>
      </c>
      <c r="K2350" s="1" t="inlineStr"/>
      <c r="L2350" s="13" t="n">
        <v>85</v>
      </c>
      <c r="M2350" s="1">
        <f>IF(L2350="","ไม่พบใน SG",IF(ABS(J2350-L2350)&lt;0.005,"ตรงกัน","ไม่ตรง"))</f>
        <v/>
      </c>
      <c r="N2350" s="14">
        <f>IF(L2350="","",ROUND(L2350*'สรุป'!$C$6,-1))</f>
        <v/>
      </c>
      <c r="O2350" s="15" t="n"/>
      <c r="P2350" s="15" t="n"/>
      <c r="Q2350" s="10" t="n"/>
      <c r="R2350" s="10" t="n"/>
      <c r="S2350" s="16" t="inlineStr">
        <is>
          <t>https://mstgolf.co.th/products/gf2040119271</t>
        </is>
      </c>
      <c r="T2350" s="1">
        <f>IF(B2350="ไม้กอล์ฟ",J2350,"")</f>
        <v/>
      </c>
    </row>
    <row r="2351">
      <c r="A2351" s="1" t="n">
        <v>3</v>
      </c>
      <c r="B2351" s="1" t="inlineStr">
        <is>
          <t>เสื้อผ้า</t>
        </is>
      </c>
      <c r="C2351" s="1" t="inlineStr">
        <is>
          <t>gf2040119270</t>
        </is>
      </c>
      <c r="D2351" s="1" t="inlineStr">
        <is>
          <t>PUMA x Arnold Palmer Tipped Jaquard Men's Polo (Peaceful Blue)</t>
        </is>
      </c>
      <c r="E2351" s="1" t="inlineStr">
        <is>
          <t>PUMA</t>
        </is>
      </c>
      <c r="F2351" s="1" t="inlineStr">
        <is>
          <t>SHORT SLEEVES</t>
        </is>
      </c>
      <c r="G2351" s="1" t="inlineStr">
        <is>
          <t>GF2040119270XS</t>
        </is>
      </c>
      <c r="H2351" s="1" t="n">
        <v>6</v>
      </c>
      <c r="I2351" s="1" t="inlineStr">
        <is>
          <t>มี</t>
        </is>
      </c>
      <c r="J2351" s="13" t="n">
        <v>119</v>
      </c>
      <c r="K2351" s="1" t="inlineStr"/>
      <c r="L2351" s="13" t="n">
        <v>85</v>
      </c>
      <c r="M2351" s="1">
        <f>IF(L2351="","ไม่พบใน SG",IF(ABS(J2351-L2351)&lt;0.005,"ตรงกัน","ไม่ตรง"))</f>
        <v/>
      </c>
      <c r="N2351" s="14">
        <f>IF(L2351="","",ROUND(L2351*'สรุป'!$C$6,-1))</f>
        <v/>
      </c>
      <c r="O2351" s="15" t="n"/>
      <c r="P2351" s="15" t="n"/>
      <c r="Q2351" s="10" t="n"/>
      <c r="R2351" s="10" t="n"/>
      <c r="S2351" s="16" t="inlineStr">
        <is>
          <t>https://mstgolf.co.th/products/gf2040119270</t>
        </is>
      </c>
      <c r="T2351" s="1">
        <f>IF(B2351="ไม้กอล์ฟ",J2351,"")</f>
        <v/>
      </c>
    </row>
    <row r="2352">
      <c r="A2352" s="1" t="n">
        <v>3</v>
      </c>
      <c r="B2352" s="1" t="inlineStr">
        <is>
          <t>เสื้อผ้า</t>
        </is>
      </c>
      <c r="C2352" s="1" t="inlineStr">
        <is>
          <t>gf2040119260</t>
        </is>
      </c>
      <c r="D2352" s="1" t="inlineStr">
        <is>
          <t>PUMA x PTC Floral Men's Polo (Deep Navy)</t>
        </is>
      </c>
      <c r="E2352" s="1" t="inlineStr">
        <is>
          <t>PUMA</t>
        </is>
      </c>
      <c r="F2352" s="1" t="inlineStr">
        <is>
          <t>SHORT SLEEVES</t>
        </is>
      </c>
      <c r="G2352" s="1" t="inlineStr">
        <is>
          <t>GF2040119260XS</t>
        </is>
      </c>
      <c r="H2352" s="1" t="n">
        <v>6</v>
      </c>
      <c r="I2352" s="1" t="inlineStr">
        <is>
          <t>มี</t>
        </is>
      </c>
      <c r="J2352" s="13" t="n">
        <v>119</v>
      </c>
      <c r="K2352" s="1" t="inlineStr"/>
      <c r="L2352" s="13" t="n">
        <v>119</v>
      </c>
      <c r="M2352" s="1">
        <f>IF(L2352="","ไม่พบใน SG",IF(ABS(J2352-L2352)&lt;0.005,"ตรงกัน","ไม่ตรง"))</f>
        <v/>
      </c>
      <c r="N2352" s="14">
        <f>IF(L2352="","",ROUND(L2352*'สรุป'!$C$6,-1))</f>
        <v/>
      </c>
      <c r="O2352" s="15" t="n"/>
      <c r="P2352" s="15" t="n"/>
      <c r="Q2352" s="10" t="n"/>
      <c r="R2352" s="10" t="n"/>
      <c r="S2352" s="16" t="inlineStr">
        <is>
          <t>https://mstgolf.co.th/products/gf2040119260</t>
        </is>
      </c>
      <c r="T2352" s="1">
        <f>IF(B2352="ไม้กอล์ฟ",J2352,"")</f>
        <v/>
      </c>
    </row>
    <row r="2353">
      <c r="A2353" s="1" t="n">
        <v>3</v>
      </c>
      <c r="B2353" s="1" t="inlineStr">
        <is>
          <t>เสื้อผ้า</t>
        </is>
      </c>
      <c r="C2353" s="1" t="inlineStr">
        <is>
          <t>gf2040120275</t>
        </is>
      </c>
      <c r="D2353" s="1" t="inlineStr">
        <is>
          <t>PUMA x PTC Hero Men's Polo (Deep Navy)</t>
        </is>
      </c>
      <c r="E2353" s="1" t="inlineStr">
        <is>
          <t>PUMA</t>
        </is>
      </c>
      <c r="F2353" s="1" t="inlineStr">
        <is>
          <t>SHORT SLEEVES</t>
        </is>
      </c>
      <c r="G2353" s="1" t="inlineStr">
        <is>
          <t>GF2040120275S</t>
        </is>
      </c>
      <c r="H2353" s="1" t="n">
        <v>5</v>
      </c>
      <c r="I2353" s="1" t="inlineStr">
        <is>
          <t>มี</t>
        </is>
      </c>
      <c r="J2353" s="13" t="n">
        <v>119</v>
      </c>
      <c r="K2353" s="1" t="inlineStr"/>
      <c r="L2353" s="13" t="n">
        <v>119</v>
      </c>
      <c r="M2353" s="1">
        <f>IF(L2353="","ไม่พบใน SG",IF(ABS(J2353-L2353)&lt;0.005,"ตรงกัน","ไม่ตรง"))</f>
        <v/>
      </c>
      <c r="N2353" s="14">
        <f>IF(L2353="","",ROUND(L2353*'สรุป'!$C$6,-1))</f>
        <v/>
      </c>
      <c r="O2353" s="15" t="n"/>
      <c r="P2353" s="15" t="n"/>
      <c r="Q2353" s="10" t="n"/>
      <c r="R2353" s="10" t="n"/>
      <c r="S2353" s="16" t="inlineStr">
        <is>
          <t>https://mstgolf.co.th/products/gf2040120275</t>
        </is>
      </c>
      <c r="T2353" s="1">
        <f>IF(B2353="ไม้กอล์ฟ",J2353,"")</f>
        <v/>
      </c>
    </row>
    <row r="2354">
      <c r="A2354" s="1" t="n">
        <v>3</v>
      </c>
      <c r="B2354" s="1" t="inlineStr">
        <is>
          <t>เสื้อผ้า</t>
        </is>
      </c>
      <c r="C2354" s="1" t="inlineStr">
        <is>
          <t>gf2040119266</t>
        </is>
      </c>
      <c r="D2354" s="1" t="inlineStr">
        <is>
          <t>PUMA x PTC Tile Men's Polo (Sunny Yellow)</t>
        </is>
      </c>
      <c r="E2354" s="1" t="inlineStr">
        <is>
          <t>PUMA</t>
        </is>
      </c>
      <c r="F2354" s="1" t="inlineStr">
        <is>
          <t>SHORT SLEEVES</t>
        </is>
      </c>
      <c r="G2354" s="1" t="inlineStr">
        <is>
          <t>GF2040119266XS</t>
        </is>
      </c>
      <c r="H2354" s="1" t="n">
        <v>6</v>
      </c>
      <c r="I2354" s="1" t="inlineStr">
        <is>
          <t>มี</t>
        </is>
      </c>
      <c r="J2354" s="13" t="n">
        <v>119</v>
      </c>
      <c r="K2354" s="1" t="inlineStr"/>
      <c r="L2354" s="13" t="n">
        <v>85</v>
      </c>
      <c r="M2354" s="1">
        <f>IF(L2354="","ไม่พบใน SG",IF(ABS(J2354-L2354)&lt;0.005,"ตรงกัน","ไม่ตรง"))</f>
        <v/>
      </c>
      <c r="N2354" s="14">
        <f>IF(L2354="","",ROUND(L2354*'สรุป'!$C$6,-1))</f>
        <v/>
      </c>
      <c r="O2354" s="15" t="n"/>
      <c r="P2354" s="15" t="n"/>
      <c r="Q2354" s="10" t="n"/>
      <c r="R2354" s="10" t="n"/>
      <c r="S2354" s="16" t="inlineStr">
        <is>
          <t>https://mstgolf.co.th/products/gf2040119266</t>
        </is>
      </c>
      <c r="T2354" s="1">
        <f>IF(B2354="ไม้กอล์ฟ",J2354,"")</f>
        <v/>
      </c>
    </row>
    <row r="2355">
      <c r="A2355" s="1" t="n">
        <v>3</v>
      </c>
      <c r="B2355" s="1" t="inlineStr">
        <is>
          <t>เสื้อผ้า</t>
        </is>
      </c>
      <c r="C2355" s="1" t="inlineStr">
        <is>
          <t>gf2040116417</t>
        </is>
      </c>
      <c r="D2355" s="1" t="inlineStr">
        <is>
          <t>TAYLORMADE Bristish Open Men's Polo (Yellow)</t>
        </is>
      </c>
      <c r="E2355" s="1" t="inlineStr">
        <is>
          <t>TAYLORMADE</t>
        </is>
      </c>
      <c r="F2355" s="1" t="inlineStr">
        <is>
          <t>SHORT SLEEVES</t>
        </is>
      </c>
      <c r="G2355" s="1" t="inlineStr">
        <is>
          <t>GF2040116417M</t>
        </is>
      </c>
      <c r="H2355" s="1" t="n">
        <v>5</v>
      </c>
      <c r="I2355" s="1" t="inlineStr">
        <is>
          <t>มี</t>
        </is>
      </c>
      <c r="J2355" s="13" t="n">
        <v>119</v>
      </c>
      <c r="K2355" s="1" t="inlineStr"/>
      <c r="L2355" s="13" t="n">
        <v>119</v>
      </c>
      <c r="M2355" s="1">
        <f>IF(L2355="","ไม่พบใน SG",IF(ABS(J2355-L2355)&lt;0.005,"ตรงกัน","ไม่ตรง"))</f>
        <v/>
      </c>
      <c r="N2355" s="14">
        <f>IF(L2355="","",ROUND(L2355*'สรุป'!$C$6,-1))</f>
        <v/>
      </c>
      <c r="O2355" s="15" t="n"/>
      <c r="P2355" s="15" t="n"/>
      <c r="Q2355" s="10" t="n"/>
      <c r="R2355" s="10" t="n"/>
      <c r="S2355" s="16" t="inlineStr">
        <is>
          <t>https://mstgolf.co.th/products/gf2040116417</t>
        </is>
      </c>
      <c r="T2355" s="1">
        <f>IF(B2355="ไม้กอล์ฟ",J2355,"")</f>
        <v/>
      </c>
    </row>
    <row r="2356">
      <c r="A2356" s="1" t="n">
        <v>3</v>
      </c>
      <c r="B2356" s="1" t="inlineStr">
        <is>
          <t>เสื้อผ้า</t>
        </is>
      </c>
      <c r="C2356" s="1" t="inlineStr">
        <is>
          <t>gf2040119909</t>
        </is>
      </c>
      <c r="D2356" s="1" t="inlineStr">
        <is>
          <t>TAYLORMADE Diagonal Jacquard Men's Polo (White)</t>
        </is>
      </c>
      <c r="E2356" s="1" t="inlineStr">
        <is>
          <t>TAYLORMADE</t>
        </is>
      </c>
      <c r="F2356" s="1" t="inlineStr">
        <is>
          <t>SHORT SLEEVES</t>
        </is>
      </c>
      <c r="G2356" s="1" t="inlineStr">
        <is>
          <t>GF2040119909M</t>
        </is>
      </c>
      <c r="H2356" s="1" t="n">
        <v>5</v>
      </c>
      <c r="I2356" s="1" t="inlineStr">
        <is>
          <t>มี</t>
        </is>
      </c>
      <c r="J2356" s="13" t="n">
        <v>119</v>
      </c>
      <c r="K2356" s="1" t="inlineStr"/>
      <c r="L2356" s="13" t="n">
        <v>119</v>
      </c>
      <c r="M2356" s="1">
        <f>IF(L2356="","ไม่พบใน SG",IF(ABS(J2356-L2356)&lt;0.005,"ตรงกัน","ไม่ตรง"))</f>
        <v/>
      </c>
      <c r="N2356" s="14">
        <f>IF(L2356="","",ROUND(L2356*'สรุป'!$C$6,-1))</f>
        <v/>
      </c>
      <c r="O2356" s="15" t="n"/>
      <c r="P2356" s="15" t="n"/>
      <c r="Q2356" s="10" t="n"/>
      <c r="R2356" s="10" t="n"/>
      <c r="S2356" s="16" t="inlineStr">
        <is>
          <t>https://mstgolf.co.th/products/gf2040119909</t>
        </is>
      </c>
      <c r="T2356" s="1">
        <f>IF(B2356="ไม้กอล์ฟ",J2356,"")</f>
        <v/>
      </c>
    </row>
    <row r="2357">
      <c r="A2357" s="1" t="n">
        <v>3</v>
      </c>
      <c r="B2357" s="1" t="inlineStr">
        <is>
          <t>เสื้อผ้า</t>
        </is>
      </c>
      <c r="C2357" s="1" t="inlineStr">
        <is>
          <t>gf2020102305</t>
        </is>
      </c>
      <c r="D2357" s="1" t="inlineStr">
        <is>
          <t>TAYLORMADE Flair Women's Pants (Ice Beige)</t>
        </is>
      </c>
      <c r="E2357" s="1" t="inlineStr">
        <is>
          <t>TAYLORMADE</t>
        </is>
      </c>
      <c r="F2357" s="1" t="inlineStr">
        <is>
          <t>LONG PANTS</t>
        </is>
      </c>
      <c r="G2357" s="1" t="inlineStr">
        <is>
          <t>GF2020102305XS</t>
        </is>
      </c>
      <c r="H2357" s="1" t="n">
        <v>5</v>
      </c>
      <c r="I2357" s="1" t="inlineStr">
        <is>
          <t>มี</t>
        </is>
      </c>
      <c r="J2357" s="13" t="n">
        <v>119</v>
      </c>
      <c r="K2357" s="1" t="inlineStr"/>
      <c r="L2357" s="13" t="n">
        <v>85</v>
      </c>
      <c r="M2357" s="1">
        <f>IF(L2357="","ไม่พบใน SG",IF(ABS(J2357-L2357)&lt;0.005,"ตรงกัน","ไม่ตรง"))</f>
        <v/>
      </c>
      <c r="N2357" s="14">
        <f>IF(L2357="","",ROUND(L2357*'สรุป'!$C$6,-1))</f>
        <v/>
      </c>
      <c r="O2357" s="15" t="n"/>
      <c r="P2357" s="15" t="n"/>
      <c r="Q2357" s="10" t="n"/>
      <c r="R2357" s="10" t="n"/>
      <c r="S2357" s="16" t="inlineStr">
        <is>
          <t>https://mstgolf.co.th/products/gf2020102305</t>
        </is>
      </c>
      <c r="T2357" s="1">
        <f>IF(B2357="ไม้กอล์ฟ",J2357,"")</f>
        <v/>
      </c>
    </row>
    <row r="2358">
      <c r="A2358" s="1" t="n">
        <v>3</v>
      </c>
      <c r="B2358" s="1" t="inlineStr">
        <is>
          <t>เสื้อผ้า</t>
        </is>
      </c>
      <c r="C2358" s="1" t="inlineStr">
        <is>
          <t>gf2040118366</t>
        </is>
      </c>
      <c r="D2358" s="1" t="inlineStr">
        <is>
          <t>TAYLORMADE Pro Championship 2024 Women's Polo (Green)</t>
        </is>
      </c>
      <c r="E2358" s="1" t="inlineStr">
        <is>
          <t>TAYLORMADE</t>
        </is>
      </c>
      <c r="F2358" s="1" t="inlineStr">
        <is>
          <t>SHORT SLEEVES</t>
        </is>
      </c>
      <c r="G2358" s="1" t="inlineStr">
        <is>
          <t>GF2040118366XS</t>
        </is>
      </c>
      <c r="H2358" s="1" t="n">
        <v>7</v>
      </c>
      <c r="I2358" s="1" t="inlineStr">
        <is>
          <t>มี</t>
        </is>
      </c>
      <c r="J2358" s="13" t="n">
        <v>119</v>
      </c>
      <c r="K2358" s="1" t="inlineStr"/>
      <c r="L2358" s="13" t="n">
        <v>85</v>
      </c>
      <c r="M2358" s="1">
        <f>IF(L2358="","ไม่พบใน SG",IF(ABS(J2358-L2358)&lt;0.005,"ตรงกัน","ไม่ตรง"))</f>
        <v/>
      </c>
      <c r="N2358" s="14">
        <f>IF(L2358="","",ROUND(L2358*'สรุป'!$C$6,-1))</f>
        <v/>
      </c>
      <c r="O2358" s="15" t="n"/>
      <c r="P2358" s="15" t="n"/>
      <c r="Q2358" s="10" t="n"/>
      <c r="R2358" s="10" t="n"/>
      <c r="S2358" s="16" t="inlineStr">
        <is>
          <t>https://mstgolf.co.th/products/gf2040118366</t>
        </is>
      </c>
      <c r="T2358" s="1">
        <f>IF(B2358="ไม้กอล์ฟ",J2358,"")</f>
        <v/>
      </c>
    </row>
    <row r="2359">
      <c r="A2359" s="1" t="n">
        <v>3</v>
      </c>
      <c r="B2359" s="1" t="inlineStr">
        <is>
          <t>เสื้อผ้า</t>
        </is>
      </c>
      <c r="C2359" s="1" t="inlineStr">
        <is>
          <t>gf2040116415</t>
        </is>
      </c>
      <c r="D2359" s="1" t="inlineStr">
        <is>
          <t>TAYLORMADE Pro Championship Men's Polo (White)</t>
        </is>
      </c>
      <c r="E2359" s="1" t="inlineStr">
        <is>
          <t>TAYLORMADE</t>
        </is>
      </c>
      <c r="F2359" s="1" t="inlineStr">
        <is>
          <t>SHORT SLEEVES</t>
        </is>
      </c>
      <c r="G2359" s="1" t="inlineStr">
        <is>
          <t>GF2040116415M</t>
        </is>
      </c>
      <c r="H2359" s="1" t="n">
        <v>5</v>
      </c>
      <c r="I2359" s="1" t="inlineStr">
        <is>
          <t>มี</t>
        </is>
      </c>
      <c r="J2359" s="13" t="n">
        <v>119</v>
      </c>
      <c r="K2359" s="1" t="inlineStr"/>
      <c r="L2359" s="13" t="n">
        <v>119</v>
      </c>
      <c r="M2359" s="1">
        <f>IF(L2359="","ไม่พบใน SG",IF(ABS(J2359-L2359)&lt;0.005,"ตรงกัน","ไม่ตรง"))</f>
        <v/>
      </c>
      <c r="N2359" s="14">
        <f>IF(L2359="","",ROUND(L2359*'สรุป'!$C$6,-1))</f>
        <v/>
      </c>
      <c r="O2359" s="15" t="n"/>
      <c r="P2359" s="15" t="n"/>
      <c r="Q2359" s="10" t="n"/>
      <c r="R2359" s="10" t="n"/>
      <c r="S2359" s="16" t="inlineStr">
        <is>
          <t>https://mstgolf.co.th/products/gf2040116415</t>
        </is>
      </c>
      <c r="T2359" s="1">
        <f>IF(B2359="ไม้กอล์ฟ",J2359,"")</f>
        <v/>
      </c>
    </row>
    <row r="2360">
      <c r="A2360" s="1" t="n">
        <v>3</v>
      </c>
      <c r="B2360" s="1" t="inlineStr">
        <is>
          <t>เสื้อผ้า</t>
        </is>
      </c>
      <c r="C2360" s="1" t="inlineStr">
        <is>
          <t>gf2040118367</t>
        </is>
      </c>
      <c r="D2360" s="1" t="inlineStr">
        <is>
          <t>TAYLORMADE Summer Commemorative 2024 Women's Polo (Sand/Green)</t>
        </is>
      </c>
      <c r="E2360" s="1" t="inlineStr">
        <is>
          <t>TAYLORMADE</t>
        </is>
      </c>
      <c r="F2360" s="1" t="inlineStr">
        <is>
          <t>SHORT SLEEVES</t>
        </is>
      </c>
      <c r="G2360" s="1" t="inlineStr">
        <is>
          <t>GF2040118367XS</t>
        </is>
      </c>
      <c r="H2360" s="1" t="n">
        <v>7</v>
      </c>
      <c r="I2360" s="1" t="inlineStr">
        <is>
          <t>มี</t>
        </is>
      </c>
      <c r="J2360" s="13" t="n">
        <v>119</v>
      </c>
      <c r="K2360" s="1" t="inlineStr"/>
      <c r="L2360" s="13" t="n">
        <v>119</v>
      </c>
      <c r="M2360" s="1">
        <f>IF(L2360="","ไม่พบใน SG",IF(ABS(J2360-L2360)&lt;0.005,"ตรงกัน","ไม่ตรง"))</f>
        <v/>
      </c>
      <c r="N2360" s="14">
        <f>IF(L2360="","",ROUND(L2360*'สรุป'!$C$6,-1))</f>
        <v/>
      </c>
      <c r="O2360" s="15" t="n"/>
      <c r="P2360" s="15" t="n"/>
      <c r="Q2360" s="10" t="n"/>
      <c r="R2360" s="10" t="n"/>
      <c r="S2360" s="16" t="inlineStr">
        <is>
          <t>https://mstgolf.co.th/products/gf2040118367</t>
        </is>
      </c>
      <c r="T2360" s="1">
        <f>IF(B2360="ไม้กอล์ฟ",J2360,"")</f>
        <v/>
      </c>
    </row>
    <row r="2361">
      <c r="A2361" s="1" t="n">
        <v>3</v>
      </c>
      <c r="B2361" s="1" t="inlineStr">
        <is>
          <t>เสื้อผ้า</t>
        </is>
      </c>
      <c r="C2361" s="1" t="inlineStr">
        <is>
          <t>gf2040116416</t>
        </is>
      </c>
      <c r="D2361" s="1" t="inlineStr">
        <is>
          <t>TAYLORMADE Summer Commemorative Men's Polo (Black)</t>
        </is>
      </c>
      <c r="E2361" s="1" t="inlineStr">
        <is>
          <t>TAYLORMADE</t>
        </is>
      </c>
      <c r="F2361" s="1" t="inlineStr">
        <is>
          <t>SHORT SLEEVES</t>
        </is>
      </c>
      <c r="G2361" s="1" t="inlineStr">
        <is>
          <t>GF2040116416M</t>
        </is>
      </c>
      <c r="H2361" s="1" t="n">
        <v>5</v>
      </c>
      <c r="I2361" s="1" t="inlineStr">
        <is>
          <t>มี</t>
        </is>
      </c>
      <c r="J2361" s="13" t="n">
        <v>119</v>
      </c>
      <c r="K2361" s="1" t="inlineStr"/>
      <c r="L2361" s="13" t="n">
        <v>119</v>
      </c>
      <c r="M2361" s="1">
        <f>IF(L2361="","ไม่พบใน SG",IF(ABS(J2361-L2361)&lt;0.005,"ตรงกัน","ไม่ตรง"))</f>
        <v/>
      </c>
      <c r="N2361" s="14">
        <f>IF(L2361="","",ROUND(L2361*'สรุป'!$C$6,-1))</f>
        <v/>
      </c>
      <c r="O2361" s="15" t="n"/>
      <c r="P2361" s="15" t="n"/>
      <c r="Q2361" s="10" t="n"/>
      <c r="R2361" s="10" t="n"/>
      <c r="S2361" s="16" t="inlineStr">
        <is>
          <t>https://mstgolf.co.th/products/gf2040116416</t>
        </is>
      </c>
      <c r="T2361" s="1">
        <f>IF(B2361="ไม้กอล์ฟ",J2361,"")</f>
        <v/>
      </c>
    </row>
    <row r="2362">
      <c r="A2362" s="1" t="n">
        <v>3</v>
      </c>
      <c r="B2362" s="1" t="inlineStr">
        <is>
          <t>เสื้อผ้า</t>
        </is>
      </c>
      <c r="C2362" s="1" t="inlineStr">
        <is>
          <t>gf2040118378</t>
        </is>
      </c>
      <c r="D2362" s="1" t="inlineStr">
        <is>
          <t>TAYLORMADE T-ICE Women's Polo (Pink)</t>
        </is>
      </c>
      <c r="E2362" s="1" t="inlineStr">
        <is>
          <t>TAYLORMADE</t>
        </is>
      </c>
      <c r="F2362" s="1" t="inlineStr">
        <is>
          <t>SHORT SLEEVES</t>
        </is>
      </c>
      <c r="G2362" s="1" t="inlineStr">
        <is>
          <t>GF2040118378XS</t>
        </is>
      </c>
      <c r="H2362" s="1" t="n">
        <v>7</v>
      </c>
      <c r="I2362" s="1" t="inlineStr">
        <is>
          <t>มี</t>
        </is>
      </c>
      <c r="J2362" s="13" t="n">
        <v>119</v>
      </c>
      <c r="K2362" s="1" t="inlineStr"/>
      <c r="L2362" s="13" t="n">
        <v>119</v>
      </c>
      <c r="M2362" s="1">
        <f>IF(L2362="","ไม่พบใน SG",IF(ABS(J2362-L2362)&lt;0.005,"ตรงกัน","ไม่ตรง"))</f>
        <v/>
      </c>
      <c r="N2362" s="14">
        <f>IF(L2362="","",ROUND(L2362*'สรุป'!$C$6,-1))</f>
        <v/>
      </c>
      <c r="O2362" s="15" t="n"/>
      <c r="P2362" s="15" t="n"/>
      <c r="Q2362" s="10" t="n"/>
      <c r="R2362" s="10" t="n"/>
      <c r="S2362" s="16" t="inlineStr">
        <is>
          <t>https://mstgolf.co.th/products/gf2040118378</t>
        </is>
      </c>
      <c r="T2362" s="1">
        <f>IF(B2362="ไม้กอล์ฟ",J2362,"")</f>
        <v/>
      </c>
    </row>
    <row r="2363">
      <c r="A2363" s="1" t="n">
        <v>3</v>
      </c>
      <c r="B2363" s="1" t="inlineStr">
        <is>
          <t>เสื้อผ้า</t>
        </is>
      </c>
      <c r="C2363" s="1" t="inlineStr">
        <is>
          <t>gf2020102079</t>
        </is>
      </c>
      <c r="D2363" s="1" t="inlineStr">
        <is>
          <t>TAYLORMADE Tex Brid Basic Women's Pants (Light Grey)</t>
        </is>
      </c>
      <c r="E2363" s="1" t="inlineStr">
        <is>
          <t>TAYLORMADE</t>
        </is>
      </c>
      <c r="F2363" s="1" t="inlineStr">
        <is>
          <t>LONG PANTS</t>
        </is>
      </c>
      <c r="G2363" s="1" t="inlineStr">
        <is>
          <t>GF2020102079XS</t>
        </is>
      </c>
      <c r="H2363" s="1" t="n">
        <v>6</v>
      </c>
      <c r="I2363" s="1" t="inlineStr">
        <is>
          <t>มี</t>
        </is>
      </c>
      <c r="J2363" s="13" t="n">
        <v>119</v>
      </c>
      <c r="K2363" s="1" t="inlineStr"/>
      <c r="L2363" s="13" t="n">
        <v>85</v>
      </c>
      <c r="M2363" s="1">
        <f>IF(L2363="","ไม่พบใน SG",IF(ABS(J2363-L2363)&lt;0.005,"ตรงกัน","ไม่ตรง"))</f>
        <v/>
      </c>
      <c r="N2363" s="14">
        <f>IF(L2363="","",ROUND(L2363*'สรุป'!$C$6,-1))</f>
        <v/>
      </c>
      <c r="O2363" s="15" t="n"/>
      <c r="P2363" s="15" t="n"/>
      <c r="Q2363" s="10" t="n"/>
      <c r="R2363" s="10" t="n"/>
      <c r="S2363" s="16" t="inlineStr">
        <is>
          <t>https://mstgolf.co.th/products/gf2020102079</t>
        </is>
      </c>
      <c r="T2363" s="1">
        <f>IF(B2363="ไม้กอล์ฟ",J2363,"")</f>
        <v/>
      </c>
    </row>
    <row r="2364">
      <c r="A2364" s="1" t="n">
        <v>3</v>
      </c>
      <c r="B2364" s="1" t="inlineStr">
        <is>
          <t>เสื้อผ้า</t>
        </is>
      </c>
      <c r="C2364" s="1" t="inlineStr">
        <is>
          <t>gf2020102084</t>
        </is>
      </c>
      <c r="D2364" s="1" t="inlineStr">
        <is>
          <t>TAYLORMADE Tex-Brid Basic Men's Pants (Light Beige)</t>
        </is>
      </c>
      <c r="E2364" s="1" t="inlineStr">
        <is>
          <t>TAYLORMADE</t>
        </is>
      </c>
      <c r="F2364" s="1" t="inlineStr">
        <is>
          <t>LONG PANTS</t>
        </is>
      </c>
      <c r="G2364" s="1" t="inlineStr">
        <is>
          <t>GF202010208482</t>
        </is>
      </c>
      <c r="H2364" s="1" t="n">
        <v>6</v>
      </c>
      <c r="I2364" s="1" t="inlineStr">
        <is>
          <t>มี</t>
        </is>
      </c>
      <c r="J2364" s="13" t="n">
        <v>119</v>
      </c>
      <c r="K2364" s="1" t="inlineStr"/>
      <c r="L2364" s="13" t="n">
        <v>119</v>
      </c>
      <c r="M2364" s="1">
        <f>IF(L2364="","ไม่พบใน SG",IF(ABS(J2364-L2364)&lt;0.005,"ตรงกัน","ไม่ตรง"))</f>
        <v/>
      </c>
      <c r="N2364" s="14">
        <f>IF(L2364="","",ROUND(L2364*'สรุป'!$C$6,-1))</f>
        <v/>
      </c>
      <c r="O2364" s="15" t="n"/>
      <c r="P2364" s="15" t="n"/>
      <c r="Q2364" s="10" t="n"/>
      <c r="R2364" s="10" t="n"/>
      <c r="S2364" s="16" t="inlineStr">
        <is>
          <t>https://mstgolf.co.th/products/gf2020102084</t>
        </is>
      </c>
      <c r="T2364" s="1">
        <f>IF(B2364="ไม้กอล์ฟ",J2364,"")</f>
        <v/>
      </c>
    </row>
    <row r="2365">
      <c r="A2365" s="1" t="n">
        <v>3</v>
      </c>
      <c r="B2365" s="1" t="inlineStr">
        <is>
          <t>เสื้อผ้า</t>
        </is>
      </c>
      <c r="C2365" s="1" t="inlineStr">
        <is>
          <t>gf2020202417</t>
        </is>
      </c>
      <c r="D2365" s="1" t="inlineStr">
        <is>
          <t>TAYLORMADE Tour-Lined Skirt (White)</t>
        </is>
      </c>
      <c r="E2365" s="1" t="inlineStr">
        <is>
          <t>TAYLORMADE</t>
        </is>
      </c>
      <c r="F2365" s="1" t="inlineStr">
        <is>
          <t>SHORT PANTS</t>
        </is>
      </c>
      <c r="G2365" s="1" t="inlineStr">
        <is>
          <t>GF2020202417S</t>
        </is>
      </c>
      <c r="H2365" s="1" t="n">
        <v>5</v>
      </c>
      <c r="I2365" s="1" t="inlineStr">
        <is>
          <t>มี</t>
        </is>
      </c>
      <c r="J2365" s="13" t="n">
        <v>119</v>
      </c>
      <c r="K2365" s="1" t="inlineStr"/>
      <c r="L2365" s="13" t="n">
        <v>119</v>
      </c>
      <c r="M2365" s="1">
        <f>IF(L2365="","ไม่พบใน SG",IF(ABS(J2365-L2365)&lt;0.005,"ตรงกัน","ไม่ตรง"))</f>
        <v/>
      </c>
      <c r="N2365" s="14">
        <f>IF(L2365="","",ROUND(L2365*'สรุป'!$C$6,-1))</f>
        <v/>
      </c>
      <c r="O2365" s="15" t="n"/>
      <c r="P2365" s="15" t="n"/>
      <c r="Q2365" s="10" t="n"/>
      <c r="R2365" s="10" t="n"/>
      <c r="S2365" s="16" t="inlineStr">
        <is>
          <t>https://mstgolf.co.th/products/gf2020202417</t>
        </is>
      </c>
      <c r="T2365" s="1">
        <f>IF(B2365="ไม้กอล์ฟ",J2365,"")</f>
        <v/>
      </c>
    </row>
    <row r="2366">
      <c r="A2366" s="1" t="n">
        <v>3</v>
      </c>
      <c r="B2366" s="1" t="inlineStr">
        <is>
          <t>เสื้อผ้า</t>
        </is>
      </c>
      <c r="C2366" s="1" t="inlineStr">
        <is>
          <t>gf2020300063</t>
        </is>
      </c>
      <c r="D2366" s="1" t="inlineStr">
        <is>
          <t>TAYLORMADE x United Arrows Pleated Skort (Navy/White)</t>
        </is>
      </c>
      <c r="E2366" s="1" t="inlineStr">
        <is>
          <t>TAYLORMADE</t>
        </is>
      </c>
      <c r="F2366" s="1" t="inlineStr">
        <is>
          <t>SKORTS</t>
        </is>
      </c>
      <c r="G2366" s="1" t="inlineStr">
        <is>
          <t>GF2020300063XS</t>
        </is>
      </c>
      <c r="H2366" s="1" t="n">
        <v>5</v>
      </c>
      <c r="I2366" s="1" t="inlineStr">
        <is>
          <t>มี</t>
        </is>
      </c>
      <c r="J2366" s="13" t="n">
        <v>119</v>
      </c>
      <c r="K2366" s="1" t="inlineStr"/>
      <c r="L2366" s="13" t="n">
        <v>69</v>
      </c>
      <c r="M2366" s="1">
        <f>IF(L2366="","ไม่พบใน SG",IF(ABS(J2366-L2366)&lt;0.005,"ตรงกัน","ไม่ตรง"))</f>
        <v/>
      </c>
      <c r="N2366" s="14">
        <f>IF(L2366="","",ROUND(L2366*'สรุป'!$C$6,-1))</f>
        <v/>
      </c>
      <c r="O2366" s="15" t="n"/>
      <c r="P2366" s="15" t="n"/>
      <c r="Q2366" s="10" t="n"/>
      <c r="R2366" s="10" t="n"/>
      <c r="S2366" s="16" t="inlineStr">
        <is>
          <t>https://mstgolf.co.th/products/gf2020300063</t>
        </is>
      </c>
      <c r="T2366" s="1">
        <f>IF(B2366="ไม้กอล์ฟ",J2366,"")</f>
        <v/>
      </c>
    </row>
    <row r="2367">
      <c r="A2367" s="1" t="n">
        <v>3</v>
      </c>
      <c r="B2367" s="1" t="inlineStr">
        <is>
          <t>เสื้อผ้า</t>
        </is>
      </c>
      <c r="C2367" s="1" t="inlineStr">
        <is>
          <t>gf2040300172</t>
        </is>
      </c>
      <c r="D2367" s="1" t="inlineStr">
        <is>
          <t>UNDER ARMOUR Drive Dress (Midnight Navy)</t>
        </is>
      </c>
      <c r="E2367" s="1" t="inlineStr">
        <is>
          <t>UNDER ARMOUR</t>
        </is>
      </c>
      <c r="F2367" s="1" t="inlineStr">
        <is>
          <t>DRESS</t>
        </is>
      </c>
      <c r="G2367" s="1" t="inlineStr">
        <is>
          <t>GF2040300172XS</t>
        </is>
      </c>
      <c r="H2367" s="1" t="n">
        <v>5</v>
      </c>
      <c r="I2367" s="1" t="inlineStr">
        <is>
          <t>มี</t>
        </is>
      </c>
      <c r="J2367" s="13" t="n">
        <v>119</v>
      </c>
      <c r="K2367" s="1" t="inlineStr"/>
      <c r="L2367" s="13" t="n">
        <v>59</v>
      </c>
      <c r="M2367" s="1">
        <f>IF(L2367="","ไม่พบใน SG",IF(ABS(J2367-L2367)&lt;0.005,"ตรงกัน","ไม่ตรง"))</f>
        <v/>
      </c>
      <c r="N2367" s="14">
        <f>IF(L2367="","",ROUND(L2367*'สรุป'!$C$6,-1))</f>
        <v/>
      </c>
      <c r="O2367" s="15" t="n"/>
      <c r="P2367" s="15" t="n"/>
      <c r="Q2367" s="10" t="n"/>
      <c r="R2367" s="10" t="n"/>
      <c r="S2367" s="16" t="inlineStr">
        <is>
          <t>https://mstgolf.co.th/products/gf2040300172</t>
        </is>
      </c>
      <c r="T2367" s="1">
        <f>IF(B2367="ไม้กอล์ฟ",J2367,"")</f>
        <v/>
      </c>
    </row>
    <row r="2368">
      <c r="A2368" s="1" t="n">
        <v>3</v>
      </c>
      <c r="B2368" s="1" t="inlineStr">
        <is>
          <t>เสื้อผ้า</t>
        </is>
      </c>
      <c r="C2368" s="1" t="inlineStr">
        <is>
          <t>gf2020102229</t>
        </is>
      </c>
      <c r="D2368" s="1" t="inlineStr">
        <is>
          <t>UNDER ARMOUR Drive Women's Pants (Black)</t>
        </is>
      </c>
      <c r="E2368" s="1" t="inlineStr">
        <is>
          <t>UNDER ARMOUR</t>
        </is>
      </c>
      <c r="F2368" s="1" t="inlineStr">
        <is>
          <t>LONG PANTS</t>
        </is>
      </c>
      <c r="G2368" s="1" t="inlineStr">
        <is>
          <t>GF20201022290</t>
        </is>
      </c>
      <c r="H2368" s="1" t="n">
        <v>9</v>
      </c>
      <c r="I2368" s="1" t="inlineStr">
        <is>
          <t>มี</t>
        </is>
      </c>
      <c r="J2368" s="13" t="n">
        <v>119</v>
      </c>
      <c r="K2368" s="1" t="inlineStr"/>
      <c r="L2368" s="13" t="n">
        <v>119</v>
      </c>
      <c r="M2368" s="1">
        <f>IF(L2368="","ไม่พบใน SG",IF(ABS(J2368-L2368)&lt;0.005,"ตรงกัน","ไม่ตรง"))</f>
        <v/>
      </c>
      <c r="N2368" s="14">
        <f>IF(L2368="","",ROUND(L2368*'สรุป'!$C$6,-1))</f>
        <v/>
      </c>
      <c r="O2368" s="15" t="n"/>
      <c r="P2368" s="15" t="n"/>
      <c r="Q2368" s="10" t="n"/>
      <c r="R2368" s="10" t="n"/>
      <c r="S2368" s="16" t="inlineStr">
        <is>
          <t>https://mstgolf.co.th/products/gf2020102229</t>
        </is>
      </c>
      <c r="T2368" s="1">
        <f>IF(B2368="ไม้กอล์ฟ",J2368,"")</f>
        <v/>
      </c>
    </row>
    <row r="2369">
      <c r="A2369" s="1" t="n">
        <v>3</v>
      </c>
      <c r="B2369" s="1" t="inlineStr">
        <is>
          <t>เสื้อผ้า</t>
        </is>
      </c>
      <c r="C2369" s="1" t="inlineStr">
        <is>
          <t>gf2060101022</t>
        </is>
      </c>
      <c r="D2369" s="1" t="inlineStr">
        <is>
          <t>UNDER ARMOUR Playoff Men's Hoodie (Black)</t>
        </is>
      </c>
      <c r="E2369" s="1" t="inlineStr">
        <is>
          <t>UNDER ARMOUR</t>
        </is>
      </c>
      <c r="F2369" s="1" t="inlineStr">
        <is>
          <t>TOP</t>
        </is>
      </c>
      <c r="G2369" s="1" t="inlineStr">
        <is>
          <t>GF2060101022S</t>
        </is>
      </c>
      <c r="H2369" s="1" t="n">
        <v>5</v>
      </c>
      <c r="I2369" s="1" t="inlineStr">
        <is>
          <t>มี</t>
        </is>
      </c>
      <c r="J2369" s="13" t="n">
        <v>119</v>
      </c>
      <c r="K2369" s="1" t="inlineStr"/>
      <c r="L2369" s="13" t="n">
        <v>119</v>
      </c>
      <c r="M2369" s="1">
        <f>IF(L2369="","ไม่พบใน SG",IF(ABS(J2369-L2369)&lt;0.005,"ตรงกัน","ไม่ตรง"))</f>
        <v/>
      </c>
      <c r="N2369" s="14">
        <f>IF(L2369="","",ROUND(L2369*'สรุป'!$C$6,-1))</f>
        <v/>
      </c>
      <c r="O2369" s="15" t="n"/>
      <c r="P2369" s="15" t="n"/>
      <c r="Q2369" s="10" t="n"/>
      <c r="R2369" s="10" t="n"/>
      <c r="S2369" s="16" t="inlineStr">
        <is>
          <t>https://mstgolf.co.th/products/gf2060101022</t>
        </is>
      </c>
      <c r="T2369" s="1">
        <f>IF(B2369="ไม้กอล์ฟ",J2369,"")</f>
        <v/>
      </c>
    </row>
    <row r="2370">
      <c r="A2370" s="1" t="n">
        <v>3</v>
      </c>
      <c r="B2370" s="1" t="inlineStr">
        <is>
          <t>เสื้อผ้า</t>
        </is>
      </c>
      <c r="C2370" s="1" t="inlineStr">
        <is>
          <t>gf2040118026</t>
        </is>
      </c>
      <c r="D2370" s="1" t="inlineStr">
        <is>
          <t>WAAC Korea Crew Women's T-Shirt (White/Pink)</t>
        </is>
      </c>
      <c r="E2370" s="1" t="inlineStr">
        <is>
          <t>WAAC</t>
        </is>
      </c>
      <c r="F2370" s="1" t="inlineStr">
        <is>
          <t>SHORT SLEEVES</t>
        </is>
      </c>
      <c r="G2370" s="1" t="inlineStr">
        <is>
          <t>GF2040118026XS</t>
        </is>
      </c>
      <c r="H2370" s="1" t="n">
        <v>6</v>
      </c>
      <c r="I2370" s="1" t="inlineStr">
        <is>
          <t>มี</t>
        </is>
      </c>
      <c r="J2370" s="13" t="n">
        <v>119</v>
      </c>
      <c r="K2370" s="1" t="inlineStr"/>
      <c r="L2370" s="13" t="n">
        <v>119</v>
      </c>
      <c r="M2370" s="1">
        <f>IF(L2370="","ไม่พบใน SG",IF(ABS(J2370-L2370)&lt;0.005,"ตรงกัน","ไม่ตรง"))</f>
        <v/>
      </c>
      <c r="N2370" s="14">
        <f>IF(L2370="","",ROUND(L2370*'สรุป'!$C$6,-1))</f>
        <v/>
      </c>
      <c r="O2370" s="15" t="n"/>
      <c r="P2370" s="15" t="n"/>
      <c r="Q2370" s="10" t="n"/>
      <c r="R2370" s="10" t="n"/>
      <c r="S2370" s="16" t="inlineStr">
        <is>
          <t>https://mstgolf.co.th/products/gf2040118026</t>
        </is>
      </c>
      <c r="T2370" s="1">
        <f>IF(B2370="ไม้กอล์ฟ",J2370,"")</f>
        <v/>
      </c>
    </row>
    <row r="2371">
      <c r="A2371" s="1" t="n">
        <v>3</v>
      </c>
      <c r="B2371" s="1" t="inlineStr">
        <is>
          <t>เสื้อผ้า</t>
        </is>
      </c>
      <c r="C2371" s="1" t="inlineStr">
        <is>
          <t>gf2040120651</t>
        </is>
      </c>
      <c r="D2371" s="1" t="inlineStr">
        <is>
          <t>FOOTJOY Funnel Women's Polo (Black)</t>
        </is>
      </c>
      <c r="E2371" s="1" t="inlineStr">
        <is>
          <t>FOOTJOY</t>
        </is>
      </c>
      <c r="F2371" s="1" t="inlineStr">
        <is>
          <t>SHORT SLEEVES</t>
        </is>
      </c>
      <c r="G2371" s="1" t="inlineStr">
        <is>
          <t>GF2040120651XS</t>
        </is>
      </c>
      <c r="H2371" s="1" t="n">
        <v>6</v>
      </c>
      <c r="I2371" s="1" t="inlineStr">
        <is>
          <t>มี</t>
        </is>
      </c>
      <c r="J2371" s="13" t="n">
        <v>117</v>
      </c>
      <c r="K2371" s="1" t="inlineStr"/>
      <c r="L2371" s="13" t="n">
        <v>117</v>
      </c>
      <c r="M2371" s="1">
        <f>IF(L2371="","ไม่พบใน SG",IF(ABS(J2371-L2371)&lt;0.005,"ตรงกัน","ไม่ตรง"))</f>
        <v/>
      </c>
      <c r="N2371" s="14">
        <f>IF(L2371="","",ROUND(L2371*'สรุป'!$C$6,-1))</f>
        <v/>
      </c>
      <c r="O2371" s="15" t="n"/>
      <c r="P2371" s="15" t="n"/>
      <c r="Q2371" s="10" t="n"/>
      <c r="R2371" s="10" t="n"/>
      <c r="S2371" s="16" t="inlineStr">
        <is>
          <t>https://mstgolf.co.th/products/gf2040120651</t>
        </is>
      </c>
      <c r="T2371" s="1">
        <f>IF(B2371="ไม้กอล์ฟ",J2371,"")</f>
        <v/>
      </c>
    </row>
    <row r="2372">
      <c r="A2372" s="1" t="n">
        <v>3</v>
      </c>
      <c r="B2372" s="1" t="inlineStr">
        <is>
          <t>เสื้อผ้า</t>
        </is>
      </c>
      <c r="C2372" s="1" t="inlineStr">
        <is>
          <t>gf2020102286</t>
        </is>
      </c>
      <c r="D2372" s="1" t="inlineStr">
        <is>
          <t>FOOTJOY Gingham Lightweight Women's Cropped Pants (Lava/Mint)</t>
        </is>
      </c>
      <c r="E2372" s="1" t="inlineStr">
        <is>
          <t>FOOTJOY</t>
        </is>
      </c>
      <c r="F2372" s="1" t="inlineStr">
        <is>
          <t>LONG PANTS</t>
        </is>
      </c>
      <c r="G2372" s="1" t="inlineStr">
        <is>
          <t>GF2020102286XS</t>
        </is>
      </c>
      <c r="H2372" s="1" t="n">
        <v>5</v>
      </c>
      <c r="I2372" s="1" t="inlineStr">
        <is>
          <t>มี</t>
        </is>
      </c>
      <c r="J2372" s="13" t="n">
        <v>115</v>
      </c>
      <c r="K2372" s="1" t="inlineStr"/>
      <c r="L2372" s="13" t="n">
        <v>95</v>
      </c>
      <c r="M2372" s="1">
        <f>IF(L2372="","ไม่พบใน SG",IF(ABS(J2372-L2372)&lt;0.005,"ตรงกัน","ไม่ตรง"))</f>
        <v/>
      </c>
      <c r="N2372" s="14">
        <f>IF(L2372="","",ROUND(L2372*'สรุป'!$C$6,-1))</f>
        <v/>
      </c>
      <c r="O2372" s="15" t="n"/>
      <c r="P2372" s="15" t="n"/>
      <c r="Q2372" s="10" t="n"/>
      <c r="R2372" s="10" t="n"/>
      <c r="S2372" s="16" t="inlineStr">
        <is>
          <t>https://mstgolf.co.th/products/gf2020102286</t>
        </is>
      </c>
      <c r="T2372" s="1">
        <f>IF(B2372="ไม้กอล์ฟ",J2372,"")</f>
        <v/>
      </c>
    </row>
    <row r="2373">
      <c r="A2373" s="1" t="n">
        <v>3</v>
      </c>
      <c r="B2373" s="1" t="inlineStr">
        <is>
          <t>เสื้อผ้า</t>
        </is>
      </c>
      <c r="C2373" s="1" t="inlineStr">
        <is>
          <t>gf2020102391</t>
        </is>
      </c>
      <c r="D2373" s="1" t="inlineStr">
        <is>
          <t>FOOTJOY Japan 4-Way Stretch Men’s Ankle Pants (Beige)</t>
        </is>
      </c>
      <c r="E2373" s="1" t="inlineStr">
        <is>
          <t>FOOTJOY</t>
        </is>
      </c>
      <c r="F2373" s="1" t="inlineStr">
        <is>
          <t>LONG PANTS</t>
        </is>
      </c>
      <c r="G2373" s="1" t="inlineStr">
        <is>
          <t>GF2020102391XS</t>
        </is>
      </c>
      <c r="H2373" s="1" t="n">
        <v>5</v>
      </c>
      <c r="I2373" s="1" t="inlineStr">
        <is>
          <t>มี</t>
        </is>
      </c>
      <c r="J2373" s="13" t="n">
        <v>115</v>
      </c>
      <c r="K2373" s="1" t="inlineStr"/>
      <c r="L2373" s="13" t="n">
        <v>115</v>
      </c>
      <c r="M2373" s="1">
        <f>IF(L2373="","ไม่พบใน SG",IF(ABS(J2373-L2373)&lt;0.005,"ตรงกัน","ไม่ตรง"))</f>
        <v/>
      </c>
      <c r="N2373" s="14">
        <f>IF(L2373="","",ROUND(L2373*'สรุป'!$C$6,-1))</f>
        <v/>
      </c>
      <c r="O2373" s="15" t="n"/>
      <c r="P2373" s="15" t="n"/>
      <c r="Q2373" s="10" t="n"/>
      <c r="R2373" s="10" t="n"/>
      <c r="S2373" s="16" t="inlineStr">
        <is>
          <t>https://mstgolf.co.th/products/gf2020102391</t>
        </is>
      </c>
      <c r="T2373" s="1">
        <f>IF(B2373="ไม้กอล์ฟ",J2373,"")</f>
        <v/>
      </c>
    </row>
    <row r="2374">
      <c r="A2374" s="1" t="n">
        <v>3</v>
      </c>
      <c r="B2374" s="1" t="inlineStr">
        <is>
          <t>เสื้อผ้า</t>
        </is>
      </c>
      <c r="C2374" s="1" t="inlineStr">
        <is>
          <t>gf2020102393</t>
        </is>
      </c>
      <c r="D2374" s="1" t="inlineStr">
        <is>
          <t>FOOTJOY Japan 4-Way Stretch Men’s Ankle Pants (Black)</t>
        </is>
      </c>
      <c r="E2374" s="1" t="inlineStr">
        <is>
          <t>FOOTJOY</t>
        </is>
      </c>
      <c r="F2374" s="1" t="inlineStr">
        <is>
          <t>LONG PANTS</t>
        </is>
      </c>
      <c r="G2374" s="1" t="inlineStr">
        <is>
          <t>GF2020102393XS</t>
        </is>
      </c>
      <c r="H2374" s="1" t="n">
        <v>5</v>
      </c>
      <c r="I2374" s="1" t="inlineStr">
        <is>
          <t>มี</t>
        </is>
      </c>
      <c r="J2374" s="13" t="n">
        <v>115</v>
      </c>
      <c r="K2374" s="1" t="inlineStr"/>
      <c r="L2374" s="13" t="n">
        <v>95</v>
      </c>
      <c r="M2374" s="1">
        <f>IF(L2374="","ไม่พบใน SG",IF(ABS(J2374-L2374)&lt;0.005,"ตรงกัน","ไม่ตรง"))</f>
        <v/>
      </c>
      <c r="N2374" s="14">
        <f>IF(L2374="","",ROUND(L2374*'สรุป'!$C$6,-1))</f>
        <v/>
      </c>
      <c r="O2374" s="15" t="n"/>
      <c r="P2374" s="15" t="n"/>
      <c r="Q2374" s="10" t="n"/>
      <c r="R2374" s="10" t="n"/>
      <c r="S2374" s="16" t="inlineStr">
        <is>
          <t>https://mstgolf.co.th/products/gf2020102393</t>
        </is>
      </c>
      <c r="T2374" s="1">
        <f>IF(B2374="ไม้กอล์ฟ",J2374,"")</f>
        <v/>
      </c>
    </row>
    <row r="2375">
      <c r="A2375" s="1" t="n">
        <v>3</v>
      </c>
      <c r="B2375" s="1" t="inlineStr">
        <is>
          <t>เสื้อผ้า</t>
        </is>
      </c>
      <c r="C2375" s="1" t="inlineStr">
        <is>
          <t>gf2040119653</t>
        </is>
      </c>
      <c r="D2375" s="1" t="inlineStr">
        <is>
          <t>FOOTJOY Japan Checkered Snap Button Men's Polo (Navy)</t>
        </is>
      </c>
      <c r="E2375" s="1" t="inlineStr">
        <is>
          <t>FOOTJOY</t>
        </is>
      </c>
      <c r="F2375" s="1" t="inlineStr">
        <is>
          <t>SHORT SLEEVES</t>
        </is>
      </c>
      <c r="G2375" s="1" t="inlineStr">
        <is>
          <t>GF2040119653S</t>
        </is>
      </c>
      <c r="H2375" s="1" t="n">
        <v>5</v>
      </c>
      <c r="I2375" s="1" t="inlineStr">
        <is>
          <t>มี</t>
        </is>
      </c>
      <c r="J2375" s="13" t="n">
        <v>115</v>
      </c>
      <c r="K2375" s="1" t="inlineStr"/>
      <c r="L2375" s="13" t="n">
        <v>115</v>
      </c>
      <c r="M2375" s="1">
        <f>IF(L2375="","ไม่พบใน SG",IF(ABS(J2375-L2375)&lt;0.005,"ตรงกัน","ไม่ตรง"))</f>
        <v/>
      </c>
      <c r="N2375" s="14">
        <f>IF(L2375="","",ROUND(L2375*'สรุป'!$C$6,-1))</f>
        <v/>
      </c>
      <c r="O2375" s="15" t="n"/>
      <c r="P2375" s="15" t="n"/>
      <c r="Q2375" s="10" t="n"/>
      <c r="R2375" s="10" t="n"/>
      <c r="S2375" s="16" t="inlineStr">
        <is>
          <t>https://mstgolf.co.th/products/gf2040119653</t>
        </is>
      </c>
      <c r="T2375" s="1">
        <f>IF(B2375="ไม้กอล์ฟ",J2375,"")</f>
        <v/>
      </c>
    </row>
    <row r="2376">
      <c r="A2376" s="1" t="n">
        <v>3</v>
      </c>
      <c r="B2376" s="1" t="inlineStr">
        <is>
          <t>เสื้อผ้า</t>
        </is>
      </c>
      <c r="C2376" s="1" t="inlineStr">
        <is>
          <t>gf2040119651</t>
        </is>
      </c>
      <c r="D2376" s="1" t="inlineStr">
        <is>
          <t>FOOTJOY Japan Checkered Snap Button Men's Polo (Pink)</t>
        </is>
      </c>
      <c r="E2376" s="1" t="inlineStr">
        <is>
          <t>FOOTJOY</t>
        </is>
      </c>
      <c r="F2376" s="1" t="inlineStr">
        <is>
          <t>SHORT SLEEVES</t>
        </is>
      </c>
      <c r="G2376" s="1" t="inlineStr">
        <is>
          <t>GF2040119651S</t>
        </is>
      </c>
      <c r="H2376" s="1" t="n">
        <v>5</v>
      </c>
      <c r="I2376" s="1" t="inlineStr">
        <is>
          <t>มี</t>
        </is>
      </c>
      <c r="J2376" s="13" t="n">
        <v>115</v>
      </c>
      <c r="K2376" s="1" t="inlineStr"/>
      <c r="L2376" s="13" t="n">
        <v>115</v>
      </c>
      <c r="M2376" s="1">
        <f>IF(L2376="","ไม่พบใน SG",IF(ABS(J2376-L2376)&lt;0.005,"ตรงกัน","ไม่ตรง"))</f>
        <v/>
      </c>
      <c r="N2376" s="14">
        <f>IF(L2376="","",ROUND(L2376*'สรุป'!$C$6,-1))</f>
        <v/>
      </c>
      <c r="O2376" s="15" t="n"/>
      <c r="P2376" s="15" t="n"/>
      <c r="Q2376" s="10" t="n"/>
      <c r="R2376" s="10" t="n"/>
      <c r="S2376" s="16" t="inlineStr">
        <is>
          <t>https://mstgolf.co.th/products/gf2040119651</t>
        </is>
      </c>
      <c r="T2376" s="1">
        <f>IF(B2376="ไม้กอล์ฟ",J2376,"")</f>
        <v/>
      </c>
    </row>
    <row r="2377">
      <c r="A2377" s="1" t="n">
        <v>3</v>
      </c>
      <c r="B2377" s="1" t="inlineStr">
        <is>
          <t>เสื้อผ้า</t>
        </is>
      </c>
      <c r="C2377" s="1" t="inlineStr">
        <is>
          <t>gf2040119652</t>
        </is>
      </c>
      <c r="D2377" s="1" t="inlineStr">
        <is>
          <t>FOOTJOY Japan Checkered Snap Button Men's Polo (White)</t>
        </is>
      </c>
      <c r="E2377" s="1" t="inlineStr">
        <is>
          <t>FOOTJOY</t>
        </is>
      </c>
      <c r="F2377" s="1" t="inlineStr">
        <is>
          <t>SHORT SLEEVES</t>
        </is>
      </c>
      <c r="G2377" s="1" t="inlineStr">
        <is>
          <t>GF2040119652S</t>
        </is>
      </c>
      <c r="H2377" s="1" t="n">
        <v>5</v>
      </c>
      <c r="I2377" s="1" t="inlineStr">
        <is>
          <t>มี</t>
        </is>
      </c>
      <c r="J2377" s="13" t="n">
        <v>115</v>
      </c>
      <c r="K2377" s="1" t="inlineStr"/>
      <c r="L2377" s="13" t="n">
        <v>115</v>
      </c>
      <c r="M2377" s="1">
        <f>IF(L2377="","ไม่พบใน SG",IF(ABS(J2377-L2377)&lt;0.005,"ตรงกัน","ไม่ตรง"))</f>
        <v/>
      </c>
      <c r="N2377" s="14">
        <f>IF(L2377="","",ROUND(L2377*'สรุป'!$C$6,-1))</f>
        <v/>
      </c>
      <c r="O2377" s="15" t="n"/>
      <c r="P2377" s="15" t="n"/>
      <c r="Q2377" s="10" t="n"/>
      <c r="R2377" s="10" t="n"/>
      <c r="S2377" s="16" t="inlineStr">
        <is>
          <t>https://mstgolf.co.th/products/gf2040119652</t>
        </is>
      </c>
      <c r="T2377" s="1">
        <f>IF(B2377="ไม้กอล์ฟ",J2377,"")</f>
        <v/>
      </c>
    </row>
    <row r="2378">
      <c r="A2378" s="1" t="n">
        <v>3</v>
      </c>
      <c r="B2378" s="1" t="inlineStr">
        <is>
          <t>เสื้อผ้า</t>
        </is>
      </c>
      <c r="C2378" s="1" t="inlineStr">
        <is>
          <t>gf2040119686</t>
        </is>
      </c>
      <c r="D2378" s="1" t="inlineStr">
        <is>
          <t>FOOTJOY Japan Seersucker Women's Polo (Navy)</t>
        </is>
      </c>
      <c r="E2378" s="1" t="inlineStr">
        <is>
          <t>FOOTJOY</t>
        </is>
      </c>
      <c r="F2378" s="1" t="inlineStr">
        <is>
          <t>SHORT SLEEVES</t>
        </is>
      </c>
      <c r="G2378" s="1" t="inlineStr">
        <is>
          <t>GF2040119686XS</t>
        </is>
      </c>
      <c r="H2378" s="1" t="n">
        <v>5</v>
      </c>
      <c r="I2378" s="1" t="inlineStr">
        <is>
          <t>มี</t>
        </is>
      </c>
      <c r="J2378" s="13" t="n">
        <v>115</v>
      </c>
      <c r="K2378" s="1" t="inlineStr"/>
      <c r="L2378" s="13" t="n">
        <v>95</v>
      </c>
      <c r="M2378" s="1">
        <f>IF(L2378="","ไม่พบใน SG",IF(ABS(J2378-L2378)&lt;0.005,"ตรงกัน","ไม่ตรง"))</f>
        <v/>
      </c>
      <c r="N2378" s="14">
        <f>IF(L2378="","",ROUND(L2378*'สรุป'!$C$6,-1))</f>
        <v/>
      </c>
      <c r="O2378" s="15" t="n"/>
      <c r="P2378" s="15" t="n"/>
      <c r="Q2378" s="10" t="n"/>
      <c r="R2378" s="10" t="n"/>
      <c r="S2378" s="16" t="inlineStr">
        <is>
          <t>https://mstgolf.co.th/products/gf2040119686</t>
        </is>
      </c>
      <c r="T2378" s="1">
        <f>IF(B2378="ไม้กอล์ฟ",J2378,"")</f>
        <v/>
      </c>
    </row>
    <row r="2379">
      <c r="A2379" s="1" t="n">
        <v>3</v>
      </c>
      <c r="B2379" s="1" t="inlineStr">
        <is>
          <t>เสื้อผ้า</t>
        </is>
      </c>
      <c r="C2379" s="1" t="inlineStr">
        <is>
          <t>gf2020201670</t>
        </is>
      </c>
      <c r="D2379" s="1" t="inlineStr">
        <is>
          <t>GFORE Chevron Stripe Skort (Twilight)</t>
        </is>
      </c>
      <c r="E2379" s="1" t="inlineStr">
        <is>
          <t>GFORE</t>
        </is>
      </c>
      <c r="F2379" s="1" t="inlineStr">
        <is>
          <t>SHORT PANTS</t>
        </is>
      </c>
      <c r="G2379" s="1" t="inlineStr">
        <is>
          <t>GF2020201670L</t>
        </is>
      </c>
      <c r="H2379" s="1" t="n">
        <v>11</v>
      </c>
      <c r="I2379" s="1" t="inlineStr">
        <is>
          <t>มี</t>
        </is>
      </c>
      <c r="J2379" s="13" t="n">
        <v>115</v>
      </c>
      <c r="K2379" s="1" t="inlineStr"/>
      <c r="L2379" s="13" t="n">
        <v>115</v>
      </c>
      <c r="M2379" s="1">
        <f>IF(L2379="","ไม่พบใน SG",IF(ABS(J2379-L2379)&lt;0.005,"ตรงกัน","ไม่ตรง"))</f>
        <v/>
      </c>
      <c r="N2379" s="14">
        <f>IF(L2379="","",ROUND(L2379*'สรุป'!$C$6,-1))</f>
        <v/>
      </c>
      <c r="O2379" s="15" t="n"/>
      <c r="P2379" s="15" t="n"/>
      <c r="Q2379" s="10" t="n"/>
      <c r="R2379" s="10" t="n"/>
      <c r="S2379" s="16" t="inlineStr">
        <is>
          <t>https://mstgolf.co.th/products/gf2020201670</t>
        </is>
      </c>
      <c r="T2379" s="1">
        <f>IF(B2379="ไม้กอล์ฟ",J2379,"")</f>
        <v/>
      </c>
    </row>
    <row r="2380">
      <c r="A2380" s="1" t="n">
        <v>3</v>
      </c>
      <c r="B2380" s="1" t="inlineStr">
        <is>
          <t>เสื้อผ้า</t>
        </is>
      </c>
      <c r="C2380" s="1" t="inlineStr">
        <is>
          <t>gf2040118058</t>
        </is>
      </c>
      <c r="D2380" s="1" t="inlineStr">
        <is>
          <t>GFORE Mapped Camo Men's Jersey Polo (Baja)</t>
        </is>
      </c>
      <c r="E2380" s="1" t="inlineStr">
        <is>
          <t>GFORE</t>
        </is>
      </c>
      <c r="F2380" s="1" t="inlineStr">
        <is>
          <t>SHORT SLEEVES</t>
        </is>
      </c>
      <c r="G2380" s="1" t="inlineStr">
        <is>
          <t>GF2040118058XS</t>
        </is>
      </c>
      <c r="H2380" s="1" t="n">
        <v>6</v>
      </c>
      <c r="I2380" s="1" t="inlineStr">
        <is>
          <t>มี</t>
        </is>
      </c>
      <c r="J2380" s="13" t="n">
        <v>115</v>
      </c>
      <c r="K2380" s="1" t="inlineStr"/>
      <c r="L2380" s="13" t="n">
        <v>115</v>
      </c>
      <c r="M2380" s="1">
        <f>IF(L2380="","ไม่พบใน SG",IF(ABS(J2380-L2380)&lt;0.005,"ตรงกัน","ไม่ตรง"))</f>
        <v/>
      </c>
      <c r="N2380" s="14">
        <f>IF(L2380="","",ROUND(L2380*'สรุป'!$C$6,-1))</f>
        <v/>
      </c>
      <c r="O2380" s="15" t="n"/>
      <c r="P2380" s="15" t="n"/>
      <c r="Q2380" s="10" t="n"/>
      <c r="R2380" s="10" t="n"/>
      <c r="S2380" s="16" t="inlineStr">
        <is>
          <t>https://mstgolf.co.th/products/gf2040118058</t>
        </is>
      </c>
      <c r="T2380" s="1">
        <f>IF(B2380="ไม้กอล์ฟ",J2380,"")</f>
        <v/>
      </c>
    </row>
    <row r="2381">
      <c r="A2381" s="1" t="n">
        <v>3</v>
      </c>
      <c r="B2381" s="1" t="inlineStr">
        <is>
          <t>เสื้อผ้า</t>
        </is>
      </c>
      <c r="C2381" s="1" t="inlineStr">
        <is>
          <t>gf2040118061</t>
        </is>
      </c>
      <c r="D2381" s="1" t="inlineStr">
        <is>
          <t>GFORE Mapped Camo Men's Jersey Polo (Twilight)</t>
        </is>
      </c>
      <c r="E2381" s="1" t="inlineStr">
        <is>
          <t>GFORE</t>
        </is>
      </c>
      <c r="F2381" s="1" t="inlineStr">
        <is>
          <t>SHORT SLEEVES</t>
        </is>
      </c>
      <c r="G2381" s="1" t="inlineStr">
        <is>
          <t>GF2040118061XS</t>
        </is>
      </c>
      <c r="H2381" s="1" t="n">
        <v>6</v>
      </c>
      <c r="I2381" s="1" t="inlineStr">
        <is>
          <t>มี</t>
        </is>
      </c>
      <c r="J2381" s="13" t="n">
        <v>115</v>
      </c>
      <c r="K2381" s="1" t="inlineStr"/>
      <c r="L2381" s="13" t="n">
        <v>115</v>
      </c>
      <c r="M2381" s="1">
        <f>IF(L2381="","ไม่พบใน SG",IF(ABS(J2381-L2381)&lt;0.005,"ตรงกัน","ไม่ตรง"))</f>
        <v/>
      </c>
      <c r="N2381" s="14">
        <f>IF(L2381="","",ROUND(L2381*'สรุป'!$C$6,-1))</f>
        <v/>
      </c>
      <c r="O2381" s="15" t="n"/>
      <c r="P2381" s="15" t="n"/>
      <c r="Q2381" s="10" t="n"/>
      <c r="R2381" s="10" t="n"/>
      <c r="S2381" s="16" t="inlineStr">
        <is>
          <t>https://mstgolf.co.th/products/gf2040118061</t>
        </is>
      </c>
      <c r="T2381" s="1">
        <f>IF(B2381="ไม้กอล์ฟ",J2381,"")</f>
        <v/>
      </c>
    </row>
    <row r="2382">
      <c r="A2382" s="1" t="n">
        <v>3</v>
      </c>
      <c r="B2382" s="1" t="inlineStr">
        <is>
          <t>เสื้อผ้า</t>
        </is>
      </c>
      <c r="C2382" s="1" t="inlineStr">
        <is>
          <t>gf2020201856</t>
        </is>
      </c>
      <c r="D2382" s="1" t="inlineStr">
        <is>
          <t>GFORE Maverick Hybrid Men's Shorts (Blueprint Multi)</t>
        </is>
      </c>
      <c r="E2382" s="1" t="inlineStr">
        <is>
          <t>GFORE</t>
        </is>
      </c>
      <c r="F2382" s="1" t="inlineStr">
        <is>
          <t>SHORT PANTS</t>
        </is>
      </c>
      <c r="G2382" s="1" t="inlineStr">
        <is>
          <t>GF202020185632</t>
        </is>
      </c>
      <c r="H2382" s="1" t="n">
        <v>6</v>
      </c>
      <c r="I2382" s="1" t="inlineStr">
        <is>
          <t>มี</t>
        </is>
      </c>
      <c r="J2382" s="13" t="n">
        <v>115</v>
      </c>
      <c r="K2382" s="1" t="inlineStr"/>
      <c r="L2382" s="13" t="n">
        <v>115</v>
      </c>
      <c r="M2382" s="1">
        <f>IF(L2382="","ไม่พบใน SG",IF(ABS(J2382-L2382)&lt;0.005,"ตรงกัน","ไม่ตรง"))</f>
        <v/>
      </c>
      <c r="N2382" s="14">
        <f>IF(L2382="","",ROUND(L2382*'สรุป'!$C$6,-1))</f>
        <v/>
      </c>
      <c r="O2382" s="15" t="n"/>
      <c r="P2382" s="15" t="n"/>
      <c r="Q2382" s="10" t="n"/>
      <c r="R2382" s="10" t="n"/>
      <c r="S2382" s="16" t="inlineStr">
        <is>
          <t>https://mstgolf.co.th/products/gf2020201856</t>
        </is>
      </c>
      <c r="T2382" s="1">
        <f>IF(B2382="ไม้กอล์ฟ",J2382,"")</f>
        <v/>
      </c>
    </row>
    <row r="2383">
      <c r="A2383" s="1" t="n">
        <v>3</v>
      </c>
      <c r="B2383" s="1" t="inlineStr">
        <is>
          <t>เสื้อผ้า</t>
        </is>
      </c>
      <c r="C2383" s="1" t="inlineStr">
        <is>
          <t>gf2040401129</t>
        </is>
      </c>
      <c r="D2383" s="1" t="inlineStr">
        <is>
          <t>GFORE Multi V Jersey Women's Long Sleeve Polo (Cameo)</t>
        </is>
      </c>
      <c r="E2383" s="1" t="inlineStr">
        <is>
          <t>GFORE</t>
        </is>
      </c>
      <c r="F2383" s="1" t="inlineStr">
        <is>
          <t>LONG SLEEVES</t>
        </is>
      </c>
      <c r="G2383" s="1" t="inlineStr">
        <is>
          <t>GF2040401129XS</t>
        </is>
      </c>
      <c r="H2383" s="1" t="n">
        <v>5</v>
      </c>
      <c r="I2383" s="1" t="inlineStr">
        <is>
          <t>มี</t>
        </is>
      </c>
      <c r="J2383" s="13" t="n">
        <v>115</v>
      </c>
      <c r="K2383" s="1" t="inlineStr"/>
      <c r="L2383" s="13" t="n">
        <v>115</v>
      </c>
      <c r="M2383" s="1">
        <f>IF(L2383="","ไม่พบใน SG",IF(ABS(J2383-L2383)&lt;0.005,"ตรงกัน","ไม่ตรง"))</f>
        <v/>
      </c>
      <c r="N2383" s="14">
        <f>IF(L2383="","",ROUND(L2383*'สรุป'!$C$6,-1))</f>
        <v/>
      </c>
      <c r="O2383" s="15" t="n"/>
      <c r="P2383" s="15" t="n"/>
      <c r="Q2383" s="10" t="n"/>
      <c r="R2383" s="10" t="n"/>
      <c r="S2383" s="16" t="inlineStr">
        <is>
          <t>https://mstgolf.co.th/products/gf2040401129</t>
        </is>
      </c>
      <c r="T2383" s="1">
        <f>IF(B2383="ไม้กอล์ฟ",J2383,"")</f>
        <v/>
      </c>
    </row>
    <row r="2384">
      <c r="A2384" s="1" t="n">
        <v>3</v>
      </c>
      <c r="B2384" s="1" t="inlineStr">
        <is>
          <t>เสื้อผ้า</t>
        </is>
      </c>
      <c r="C2384" s="1" t="inlineStr">
        <is>
          <t>gf2020101767</t>
        </is>
      </c>
      <c r="D2384" s="1" t="inlineStr">
        <is>
          <t>GFORE Slim Leg Ponte Moto Women's Pants (Onyx)</t>
        </is>
      </c>
      <c r="E2384" s="1" t="inlineStr">
        <is>
          <t>GFORE</t>
        </is>
      </c>
      <c r="F2384" s="1" t="inlineStr">
        <is>
          <t>LONG PANTS</t>
        </is>
      </c>
      <c r="G2384" s="1" t="inlineStr">
        <is>
          <t>GF20201017670</t>
        </is>
      </c>
      <c r="H2384" s="1" t="n">
        <v>6</v>
      </c>
      <c r="I2384" s="1" t="inlineStr">
        <is>
          <t>มี</t>
        </is>
      </c>
      <c r="J2384" s="13" t="n">
        <v>115</v>
      </c>
      <c r="K2384" s="1" t="inlineStr"/>
      <c r="L2384" s="13" t="n">
        <v>115</v>
      </c>
      <c r="M2384" s="1">
        <f>IF(L2384="","ไม่พบใน SG",IF(ABS(J2384-L2384)&lt;0.005,"ตรงกัน","ไม่ตรง"))</f>
        <v/>
      </c>
      <c r="N2384" s="14">
        <f>IF(L2384="","",ROUND(L2384*'สรุป'!$C$6,-1))</f>
        <v/>
      </c>
      <c r="O2384" s="15" t="n"/>
      <c r="P2384" s="15" t="n"/>
      <c r="Q2384" s="10" t="n"/>
      <c r="R2384" s="10" t="n"/>
      <c r="S2384" s="16" t="inlineStr">
        <is>
          <t>https://mstgolf.co.th/products/gf2020101767</t>
        </is>
      </c>
      <c r="T2384" s="1">
        <f>IF(B2384="ไม้กอล์ฟ",J2384,"")</f>
        <v/>
      </c>
    </row>
    <row r="2385">
      <c r="A2385" s="1" t="n">
        <v>3</v>
      </c>
      <c r="B2385" s="1" t="inlineStr">
        <is>
          <t>เสื้อผ้า</t>
        </is>
      </c>
      <c r="C2385" s="1" t="inlineStr">
        <is>
          <t>gf2020101898</t>
        </is>
      </c>
      <c r="D2385" s="1" t="inlineStr">
        <is>
          <t>GFORE Slim Leg Ponte Moto Women's Pants (Twilight)</t>
        </is>
      </c>
      <c r="E2385" s="1" t="inlineStr">
        <is>
          <t>GFORE</t>
        </is>
      </c>
      <c r="F2385" s="1" t="inlineStr">
        <is>
          <t>LONG PANTS</t>
        </is>
      </c>
      <c r="G2385" s="1" t="inlineStr">
        <is>
          <t>GF20201018980</t>
        </is>
      </c>
      <c r="H2385" s="1" t="n">
        <v>6</v>
      </c>
      <c r="I2385" s="1" t="inlineStr">
        <is>
          <t>มี</t>
        </is>
      </c>
      <c r="J2385" s="13" t="n">
        <v>115</v>
      </c>
      <c r="K2385" s="1" t="inlineStr"/>
      <c r="L2385" s="13" t="n">
        <v>115</v>
      </c>
      <c r="M2385" s="1">
        <f>IF(L2385="","ไม่พบใน SG",IF(ABS(J2385-L2385)&lt;0.005,"ตรงกัน","ไม่ตรง"))</f>
        <v/>
      </c>
      <c r="N2385" s="14">
        <f>IF(L2385="","",ROUND(L2385*'สรุป'!$C$6,-1))</f>
        <v/>
      </c>
      <c r="O2385" s="15" t="n"/>
      <c r="P2385" s="15" t="n"/>
      <c r="Q2385" s="10" t="n"/>
      <c r="R2385" s="10" t="n"/>
      <c r="S2385" s="16" t="inlineStr">
        <is>
          <t>https://mstgolf.co.th/products/gf2020101898</t>
        </is>
      </c>
      <c r="T2385" s="1">
        <f>IF(B2385="ไม้กอล์ฟ",J2385,"")</f>
        <v/>
      </c>
    </row>
    <row r="2386">
      <c r="A2386" s="1" t="n">
        <v>3</v>
      </c>
      <c r="B2386" s="1" t="inlineStr">
        <is>
          <t>เสื้อผ้า</t>
        </is>
      </c>
      <c r="C2386" s="1" t="inlineStr">
        <is>
          <t>gf2020101253</t>
        </is>
      </c>
      <c r="D2386" s="1" t="inlineStr">
        <is>
          <t>GFORE Tour 5-Pocket Men's Pants (Nimbus)</t>
        </is>
      </c>
      <c r="E2386" s="1" t="inlineStr">
        <is>
          <t>GFORE</t>
        </is>
      </c>
      <c r="F2386" s="1" t="inlineStr">
        <is>
          <t>LONG PANTS</t>
        </is>
      </c>
      <c r="G2386" s="1" t="inlineStr">
        <is>
          <t>GF202010125330</t>
        </is>
      </c>
      <c r="H2386" s="1" t="n">
        <v>7</v>
      </c>
      <c r="I2386" s="1" t="inlineStr">
        <is>
          <t>มี</t>
        </is>
      </c>
      <c r="J2386" s="13" t="n">
        <v>115</v>
      </c>
      <c r="K2386" s="1" t="inlineStr"/>
      <c r="L2386" s="13" t="n">
        <v>115</v>
      </c>
      <c r="M2386" s="1">
        <f>IF(L2386="","ไม่พบใน SG",IF(ABS(J2386-L2386)&lt;0.005,"ตรงกัน","ไม่ตรง"))</f>
        <v/>
      </c>
      <c r="N2386" s="14">
        <f>IF(L2386="","",ROUND(L2386*'สรุป'!$C$6,-1))</f>
        <v/>
      </c>
      <c r="O2386" s="15" t="n"/>
      <c r="P2386" s="15" t="n"/>
      <c r="Q2386" s="10" t="n"/>
      <c r="R2386" s="10" t="n"/>
      <c r="S2386" s="16" t="inlineStr">
        <is>
          <t>https://mstgolf.co.th/products/gf2020101253</t>
        </is>
      </c>
      <c r="T2386" s="1">
        <f>IF(B2386="ไม้กอล์ฟ",J2386,"")</f>
        <v/>
      </c>
    </row>
    <row r="2387">
      <c r="A2387" s="1" t="n">
        <v>3</v>
      </c>
      <c r="B2387" s="1" t="inlineStr">
        <is>
          <t>หมวก</t>
        </is>
      </c>
      <c r="C2387" s="1" t="inlineStr">
        <is>
          <t>gf2000300456</t>
        </is>
      </c>
      <c r="D2387" s="1" t="inlineStr">
        <is>
          <t>MALBON GOLF Delilah Open Top Women's Bucket Hat (White)</t>
        </is>
      </c>
      <c r="E2387" s="1" t="inlineStr">
        <is>
          <t>MALBON GOLF</t>
        </is>
      </c>
      <c r="F2387" s="1" t="inlineStr">
        <is>
          <t>HAT</t>
        </is>
      </c>
      <c r="G2387" s="1" t="inlineStr">
        <is>
          <t>GF2000300456S/M</t>
        </is>
      </c>
      <c r="H2387" s="1" t="n">
        <v>2</v>
      </c>
      <c r="I2387" s="1" t="inlineStr">
        <is>
          <t>มี</t>
        </is>
      </c>
      <c r="J2387" s="13" t="n">
        <v>115</v>
      </c>
      <c r="K2387" s="1" t="inlineStr"/>
      <c r="L2387" s="13" t="n">
        <v>115</v>
      </c>
      <c r="M2387" s="1">
        <f>IF(L2387="","ไม่พบใน SG",IF(ABS(J2387-L2387)&lt;0.005,"ตรงกัน","ไม่ตรง"))</f>
        <v/>
      </c>
      <c r="N2387" s="14">
        <f>IF(L2387="","",ROUND(L2387*'สรุป'!$C$6,-1))</f>
        <v/>
      </c>
      <c r="O2387" s="15" t="n"/>
      <c r="P2387" s="15" t="n"/>
      <c r="Q2387" s="10" t="n"/>
      <c r="R2387" s="10" t="n"/>
      <c r="S2387" s="16" t="inlineStr">
        <is>
          <t>https://mstgolf.co.th/products/gf2000300456</t>
        </is>
      </c>
      <c r="T2387" s="1">
        <f>IF(B2387="ไม้กอล์ฟ",J2387,"")</f>
        <v/>
      </c>
    </row>
    <row r="2388">
      <c r="A2388" s="1" t="n">
        <v>3</v>
      </c>
      <c r="B2388" s="1" t="inlineStr">
        <is>
          <t>เสื้อผ้า</t>
        </is>
      </c>
      <c r="C2388" s="1" t="inlineStr">
        <is>
          <t>gf2020202822</t>
        </is>
      </c>
      <c r="D2388" s="1" t="inlineStr">
        <is>
          <t>NIKE Jordan Sport Men's Cargo Shorts (Linen)</t>
        </is>
      </c>
      <c r="E2388" s="1" t="inlineStr">
        <is>
          <t>NIKE</t>
        </is>
      </c>
      <c r="F2388" s="1" t="inlineStr">
        <is>
          <t>SHORT PANTS</t>
        </is>
      </c>
      <c r="G2388" s="1" t="inlineStr">
        <is>
          <t>GF202020282228</t>
        </is>
      </c>
      <c r="H2388" s="1" t="n">
        <v>7</v>
      </c>
      <c r="I2388" s="1" t="inlineStr">
        <is>
          <t>มี</t>
        </is>
      </c>
      <c r="J2388" s="13" t="n">
        <v>115</v>
      </c>
      <c r="K2388" s="1" t="inlineStr"/>
      <c r="L2388" s="13" t="n">
        <v>115</v>
      </c>
      <c r="M2388" s="1">
        <f>IF(L2388="","ไม่พบใน SG",IF(ABS(J2388-L2388)&lt;0.005,"ตรงกัน","ไม่ตรง"))</f>
        <v/>
      </c>
      <c r="N2388" s="14">
        <f>IF(L2388="","",ROUND(L2388*'สรุป'!$C$6,-1))</f>
        <v/>
      </c>
      <c r="O2388" s="15" t="n"/>
      <c r="P2388" s="15" t="n"/>
      <c r="Q2388" s="10" t="n"/>
      <c r="R2388" s="10" t="n"/>
      <c r="S2388" s="16" t="inlineStr">
        <is>
          <t>https://mstgolf.co.th/products/gf2020202822</t>
        </is>
      </c>
      <c r="T2388" s="1">
        <f>IF(B2388="ไม้กอล์ฟ",J2388,"")</f>
        <v/>
      </c>
    </row>
    <row r="2389">
      <c r="A2389" s="1" t="n">
        <v>3</v>
      </c>
      <c r="B2389" s="1" t="inlineStr">
        <is>
          <t>เสื้อผ้า</t>
        </is>
      </c>
      <c r="C2389" s="1" t="inlineStr">
        <is>
          <t>gf2040119558</t>
        </is>
      </c>
      <c r="D2389" s="1" t="inlineStr">
        <is>
          <t>NIKE Tour Dri-FIT Women's Polo (White)</t>
        </is>
      </c>
      <c r="E2389" s="1" t="inlineStr">
        <is>
          <t>NIKE</t>
        </is>
      </c>
      <c r="F2389" s="1" t="inlineStr">
        <is>
          <t>SHORT SLEEVES</t>
        </is>
      </c>
      <c r="G2389" s="1" t="inlineStr">
        <is>
          <t>GF2040119558XS</t>
        </is>
      </c>
      <c r="H2389" s="1" t="n">
        <v>6</v>
      </c>
      <c r="I2389" s="1" t="inlineStr">
        <is>
          <t>มี</t>
        </is>
      </c>
      <c r="J2389" s="13" t="n">
        <v>115</v>
      </c>
      <c r="K2389" s="1" t="inlineStr"/>
      <c r="L2389" s="13" t="n">
        <v>79</v>
      </c>
      <c r="M2389" s="1">
        <f>IF(L2389="","ไม่พบใน SG",IF(ABS(J2389-L2389)&lt;0.005,"ตรงกัน","ไม่ตรง"))</f>
        <v/>
      </c>
      <c r="N2389" s="14">
        <f>IF(L2389="","",ROUND(L2389*'สรุป'!$C$6,-1))</f>
        <v/>
      </c>
      <c r="O2389" s="15" t="n"/>
      <c r="P2389" s="15" t="n"/>
      <c r="Q2389" s="10" t="n"/>
      <c r="R2389" s="10" t="n"/>
      <c r="S2389" s="16" t="inlineStr">
        <is>
          <t>https://mstgolf.co.th/products/gf2040119558</t>
        </is>
      </c>
      <c r="T2389" s="1">
        <f>IF(B2389="ไม้กอล์ฟ",J2389,"")</f>
        <v/>
      </c>
    </row>
    <row r="2390">
      <c r="A2390" s="1" t="n">
        <v>3</v>
      </c>
      <c r="B2390" s="1" t="inlineStr">
        <is>
          <t>เสื้อผ้า</t>
        </is>
      </c>
      <c r="C2390" s="1" t="inlineStr">
        <is>
          <t>gf2040113879</t>
        </is>
      </c>
      <c r="D2390" s="1" t="inlineStr">
        <is>
          <t>TAYLORMADE British Open Men's Polo (White/Multi)</t>
        </is>
      </c>
      <c r="E2390" s="1" t="inlineStr">
        <is>
          <t>TAYLORMADE</t>
        </is>
      </c>
      <c r="F2390" s="1" t="inlineStr">
        <is>
          <t>SHORT SLEEVES</t>
        </is>
      </c>
      <c r="G2390" s="1" t="inlineStr">
        <is>
          <t>GF2040113879M</t>
        </is>
      </c>
      <c r="H2390" s="1" t="n">
        <v>4</v>
      </c>
      <c r="I2390" s="1" t="inlineStr">
        <is>
          <t>มี</t>
        </is>
      </c>
      <c r="J2390" s="13" t="n">
        <v>115</v>
      </c>
      <c r="K2390" s="1" t="inlineStr"/>
      <c r="L2390" s="13" t="n">
        <v>115</v>
      </c>
      <c r="M2390" s="1">
        <f>IF(L2390="","ไม่พบใน SG",IF(ABS(J2390-L2390)&lt;0.005,"ตรงกัน","ไม่ตรง"))</f>
        <v/>
      </c>
      <c r="N2390" s="14">
        <f>IF(L2390="","",ROUND(L2390*'สรุป'!$C$6,-1))</f>
        <v/>
      </c>
      <c r="O2390" s="15" t="n"/>
      <c r="P2390" s="15" t="n"/>
      <c r="Q2390" s="10" t="n"/>
      <c r="R2390" s="10" t="n"/>
      <c r="S2390" s="16" t="inlineStr">
        <is>
          <t>https://mstgolf.co.th/products/gf2040113879</t>
        </is>
      </c>
      <c r="T2390" s="1">
        <f>IF(B2390="ไม้กอล์ฟ",J2390,"")</f>
        <v/>
      </c>
    </row>
    <row r="2391">
      <c r="A2391" s="1" t="n">
        <v>3</v>
      </c>
      <c r="B2391" s="1" t="inlineStr">
        <is>
          <t>เสื้อผ้า</t>
        </is>
      </c>
      <c r="C2391" s="1" t="inlineStr">
        <is>
          <t>gf2040400780</t>
        </is>
      </c>
      <c r="D2391" s="1" t="inlineStr">
        <is>
          <t>TAYLORMADE Color Block Men's Long Sleeve Polo (White)</t>
        </is>
      </c>
      <c r="E2391" s="1" t="inlineStr">
        <is>
          <t>TAYLORMADE</t>
        </is>
      </c>
      <c r="F2391" s="1" t="inlineStr">
        <is>
          <t>LONG SLEEVES</t>
        </is>
      </c>
      <c r="G2391" s="1" t="inlineStr">
        <is>
          <t>GF2040400780M</t>
        </is>
      </c>
      <c r="H2391" s="1" t="n">
        <v>4</v>
      </c>
      <c r="I2391" s="1" t="inlineStr">
        <is>
          <t>มี</t>
        </is>
      </c>
      <c r="J2391" s="13" t="n">
        <v>115</v>
      </c>
      <c r="K2391" s="1" t="inlineStr"/>
      <c r="L2391" s="13" t="n">
        <v>115</v>
      </c>
      <c r="M2391" s="1">
        <f>IF(L2391="","ไม่พบใน SG",IF(ABS(J2391-L2391)&lt;0.005,"ตรงกัน","ไม่ตรง"))</f>
        <v/>
      </c>
      <c r="N2391" s="14">
        <f>IF(L2391="","",ROUND(L2391*'สรุป'!$C$6,-1))</f>
        <v/>
      </c>
      <c r="O2391" s="15" t="n"/>
      <c r="P2391" s="15" t="n"/>
      <c r="Q2391" s="10" t="n"/>
      <c r="R2391" s="10" t="n"/>
      <c r="S2391" s="16" t="inlineStr">
        <is>
          <t>https://mstgolf.co.th/products/gf2040400780</t>
        </is>
      </c>
      <c r="T2391" s="1">
        <f>IF(B2391="ไม้กอล์ฟ",J2391,"")</f>
        <v/>
      </c>
    </row>
    <row r="2392">
      <c r="A2392" s="1" t="n">
        <v>3</v>
      </c>
      <c r="B2392" s="1" t="inlineStr">
        <is>
          <t>เสื้อผ้า</t>
        </is>
      </c>
      <c r="C2392" s="1" t="inlineStr">
        <is>
          <t>gf2040113878</t>
        </is>
      </c>
      <c r="D2392" s="1" t="inlineStr">
        <is>
          <t>TAYLORMADE Commemorative Men's Polo (Beige)</t>
        </is>
      </c>
      <c r="E2392" s="1" t="inlineStr">
        <is>
          <t>TAYLORMADE</t>
        </is>
      </c>
      <c r="F2392" s="1" t="inlineStr">
        <is>
          <t>SHORT SLEEVES</t>
        </is>
      </c>
      <c r="G2392" s="1" t="inlineStr">
        <is>
          <t>GF2040113878M</t>
        </is>
      </c>
      <c r="H2392" s="1" t="n">
        <v>4</v>
      </c>
      <c r="I2392" s="1" t="inlineStr">
        <is>
          <t>มี</t>
        </is>
      </c>
      <c r="J2392" s="13" t="n">
        <v>115</v>
      </c>
      <c r="K2392" s="1" t="inlineStr"/>
      <c r="L2392" s="13" t="n">
        <v>115</v>
      </c>
      <c r="M2392" s="1">
        <f>IF(L2392="","ไม่พบใน SG",IF(ABS(J2392-L2392)&lt;0.005,"ตรงกัน","ไม่ตรง"))</f>
        <v/>
      </c>
      <c r="N2392" s="14">
        <f>IF(L2392="","",ROUND(L2392*'สรุป'!$C$6,-1))</f>
        <v/>
      </c>
      <c r="O2392" s="15" t="n"/>
      <c r="P2392" s="15" t="n"/>
      <c r="Q2392" s="10" t="n"/>
      <c r="R2392" s="10" t="n"/>
      <c r="S2392" s="16" t="inlineStr">
        <is>
          <t>https://mstgolf.co.th/products/gf2040113878</t>
        </is>
      </c>
      <c r="T2392" s="1">
        <f>IF(B2392="ไม้กอล์ฟ",J2392,"")</f>
        <v/>
      </c>
    </row>
    <row r="2393">
      <c r="A2393" s="1" t="n">
        <v>3</v>
      </c>
      <c r="B2393" s="1" t="inlineStr">
        <is>
          <t>เสื้อผ้า</t>
        </is>
      </c>
      <c r="C2393" s="1" t="inlineStr">
        <is>
          <t>gf2040113868</t>
        </is>
      </c>
      <c r="D2393" s="1" t="inlineStr">
        <is>
          <t>TAYLORMADE Unite Men's Polo (Azure Blue)</t>
        </is>
      </c>
      <c r="E2393" s="1" t="inlineStr">
        <is>
          <t>TAYLORMADE</t>
        </is>
      </c>
      <c r="F2393" s="1" t="inlineStr">
        <is>
          <t>SHORT SLEEVES</t>
        </is>
      </c>
      <c r="G2393" s="1" t="inlineStr">
        <is>
          <t>GF2040113868M</t>
        </is>
      </c>
      <c r="H2393" s="1" t="n">
        <v>4</v>
      </c>
      <c r="I2393" s="1" t="inlineStr">
        <is>
          <t>มี</t>
        </is>
      </c>
      <c r="J2393" s="13" t="n">
        <v>115</v>
      </c>
      <c r="K2393" s="1" t="inlineStr"/>
      <c r="L2393" s="13" t="n">
        <v>115</v>
      </c>
      <c r="M2393" s="1">
        <f>IF(L2393="","ไม่พบใน SG",IF(ABS(J2393-L2393)&lt;0.005,"ตรงกัน","ไม่ตรง"))</f>
        <v/>
      </c>
      <c r="N2393" s="14">
        <f>IF(L2393="","",ROUND(L2393*'สรุป'!$C$6,-1))</f>
        <v/>
      </c>
      <c r="O2393" s="15" t="n"/>
      <c r="P2393" s="15" t="n"/>
      <c r="Q2393" s="10" t="n"/>
      <c r="R2393" s="10" t="n"/>
      <c r="S2393" s="16" t="inlineStr">
        <is>
          <t>https://mstgolf.co.th/products/gf2040113868</t>
        </is>
      </c>
      <c r="T2393" s="1">
        <f>IF(B2393="ไม้กอล์ฟ",J2393,"")</f>
        <v/>
      </c>
    </row>
    <row r="2394">
      <c r="A2394" s="1" t="n">
        <v>3</v>
      </c>
      <c r="B2394" s="1" t="inlineStr">
        <is>
          <t>อุปกรณ์เสริม</t>
        </is>
      </c>
      <c r="C2394" s="1" t="inlineStr">
        <is>
          <t>gf3500200931</t>
        </is>
      </c>
      <c r="D2394" s="1" t="inlineStr">
        <is>
          <t>TITLEIST Jet Black Leather Driver Headcover (Black/Black/Red)</t>
        </is>
      </c>
      <c r="E2394" s="1" t="inlineStr">
        <is>
          <t>TITLEIST</t>
        </is>
      </c>
      <c r="F2394" s="1" t="inlineStr">
        <is>
          <t>HEADCOVERS</t>
        </is>
      </c>
      <c r="G2394" s="1" t="inlineStr">
        <is>
          <t>GF3500200931</t>
        </is>
      </c>
      <c r="H2394" s="1" t="n">
        <v>1</v>
      </c>
      <c r="I2394" s="1" t="inlineStr">
        <is>
          <t>มี</t>
        </is>
      </c>
      <c r="J2394" s="13" t="n">
        <v>115</v>
      </c>
      <c r="K2394" s="1" t="inlineStr"/>
      <c r="L2394" s="13" t="n">
        <v>115</v>
      </c>
      <c r="M2394" s="1">
        <f>IF(L2394="","ไม่พบใน SG",IF(ABS(J2394-L2394)&lt;0.005,"ตรงกัน","ไม่ตรง"))</f>
        <v/>
      </c>
      <c r="N2394" s="14">
        <f>IF(L2394="","",ROUND(L2394*'สรุป'!$C$6,-1))</f>
        <v/>
      </c>
      <c r="O2394" s="15" t="n"/>
      <c r="P2394" s="15" t="n"/>
      <c r="Q2394" s="10" t="n"/>
      <c r="R2394" s="10" t="n"/>
      <c r="S2394" s="16" t="inlineStr">
        <is>
          <t>https://mstgolf.co.th/products/gf3500200931</t>
        </is>
      </c>
      <c r="T2394" s="1">
        <f>IF(B2394="ไม้กอล์ฟ",J2394,"")</f>
        <v/>
      </c>
    </row>
    <row r="2395">
      <c r="A2395" s="1" t="n">
        <v>3</v>
      </c>
      <c r="B2395" s="1" t="inlineStr">
        <is>
          <t>อุปกรณ์เสริม</t>
        </is>
      </c>
      <c r="C2395" s="1" t="inlineStr">
        <is>
          <t>gf3150100354</t>
        </is>
      </c>
      <c r="D2395" s="1" t="inlineStr">
        <is>
          <t>TITLEIST Tour Double Canopy Umbrella (Black)</t>
        </is>
      </c>
      <c r="E2395" s="1" t="inlineStr">
        <is>
          <t>TITLEIST</t>
        </is>
      </c>
      <c r="F2395" s="1" t="inlineStr">
        <is>
          <t>UMBRELLA</t>
        </is>
      </c>
      <c r="G2395" s="1" t="inlineStr">
        <is>
          <t>GF3150100354</t>
        </is>
      </c>
      <c r="H2395" s="1" t="n">
        <v>1</v>
      </c>
      <c r="I2395" s="1" t="inlineStr">
        <is>
          <t>มี</t>
        </is>
      </c>
      <c r="J2395" s="13" t="n">
        <v>115</v>
      </c>
      <c r="K2395" s="1" t="inlineStr"/>
      <c r="L2395" s="13" t="n">
        <v>115</v>
      </c>
      <c r="M2395" s="1">
        <f>IF(L2395="","ไม่พบใน SG",IF(ABS(J2395-L2395)&lt;0.005,"ตรงกัน","ไม่ตรง"))</f>
        <v/>
      </c>
      <c r="N2395" s="14">
        <f>IF(L2395="","",ROUND(L2395*'สรุป'!$C$6,-1))</f>
        <v/>
      </c>
      <c r="O2395" s="15" t="n"/>
      <c r="P2395" s="15" t="n"/>
      <c r="Q2395" s="10" t="n"/>
      <c r="R2395" s="10" t="n"/>
      <c r="S2395" s="16" t="inlineStr">
        <is>
          <t>https://mstgolf.co.th/products/gf3150100354</t>
        </is>
      </c>
      <c r="T2395" s="1">
        <f>IF(B2395="ไม้กอล์ฟ",J2395,"")</f>
        <v/>
      </c>
    </row>
    <row r="2396">
      <c r="A2396" s="1" t="n">
        <v>3</v>
      </c>
      <c r="B2396" s="1" t="inlineStr">
        <is>
          <t>อุปกรณ์เสริม</t>
        </is>
      </c>
      <c r="C2396" s="1" t="inlineStr">
        <is>
          <t>gf3150100345</t>
        </is>
      </c>
      <c r="D2396" s="1" t="inlineStr">
        <is>
          <t>TITLEIST Tour Single Canopy Umbrella (Black)</t>
        </is>
      </c>
      <c r="E2396" s="1" t="inlineStr">
        <is>
          <t>TITLEIST</t>
        </is>
      </c>
      <c r="F2396" s="1" t="inlineStr">
        <is>
          <t>UMBRELLA</t>
        </is>
      </c>
      <c r="G2396" s="1" t="inlineStr">
        <is>
          <t>GF3150100345</t>
        </is>
      </c>
      <c r="H2396" s="1" t="n">
        <v>1</v>
      </c>
      <c r="I2396" s="1" t="inlineStr">
        <is>
          <t>มี</t>
        </is>
      </c>
      <c r="J2396" s="13" t="n">
        <v>115</v>
      </c>
      <c r="K2396" s="1" t="inlineStr"/>
      <c r="L2396" s="13" t="n">
        <v>115</v>
      </c>
      <c r="M2396" s="1">
        <f>IF(L2396="","ไม่พบใน SG",IF(ABS(J2396-L2396)&lt;0.005,"ตรงกัน","ไม่ตรง"))</f>
        <v/>
      </c>
      <c r="N2396" s="14">
        <f>IF(L2396="","",ROUND(L2396*'สรุป'!$C$6,-1))</f>
        <v/>
      </c>
      <c r="O2396" s="15" t="n"/>
      <c r="P2396" s="15" t="n"/>
      <c r="Q2396" s="10" t="n"/>
      <c r="R2396" s="10" t="n"/>
      <c r="S2396" s="16" t="inlineStr">
        <is>
          <t>https://mstgolf.co.th/products/gf3150100345</t>
        </is>
      </c>
      <c r="T2396" s="1">
        <f>IF(B2396="ไม้กอล์ฟ",J2396,"")</f>
        <v/>
      </c>
    </row>
    <row r="2397">
      <c r="A2397" s="1" t="n">
        <v>3</v>
      </c>
      <c r="B2397" s="1" t="inlineStr">
        <is>
          <t>หมวก</t>
        </is>
      </c>
      <c r="C2397" s="1" t="inlineStr">
        <is>
          <t>gf2000300391</t>
        </is>
      </c>
      <c r="D2397" s="1" t="inlineStr">
        <is>
          <t>WAAC Waacky Women's Hat (White)</t>
        </is>
      </c>
      <c r="E2397" s="1" t="inlineStr">
        <is>
          <t>WAAC</t>
        </is>
      </c>
      <c r="F2397" s="1" t="inlineStr">
        <is>
          <t>HAT</t>
        </is>
      </c>
      <c r="G2397" s="1" t="inlineStr">
        <is>
          <t>GF2000300391FS</t>
        </is>
      </c>
      <c r="H2397" s="1" t="n">
        <v>2</v>
      </c>
      <c r="I2397" s="1" t="inlineStr">
        <is>
          <t>มี</t>
        </is>
      </c>
      <c r="J2397" s="13" t="n">
        <v>115</v>
      </c>
      <c r="K2397" s="1" t="inlineStr"/>
      <c r="L2397" s="13" t="n">
        <v>115</v>
      </c>
      <c r="M2397" s="1">
        <f>IF(L2397="","ไม่พบใน SG",IF(ABS(J2397-L2397)&lt;0.005,"ตรงกัน","ไม่ตรง"))</f>
        <v/>
      </c>
      <c r="N2397" s="14">
        <f>IF(L2397="","",ROUND(L2397*'สรุป'!$C$6,-1))</f>
        <v/>
      </c>
      <c r="O2397" s="15" t="n"/>
      <c r="P2397" s="15" t="n"/>
      <c r="Q2397" s="10" t="n"/>
      <c r="R2397" s="10" t="n"/>
      <c r="S2397" s="16" t="inlineStr">
        <is>
          <t>https://mstgolf.co.th/products/gf2000300391</t>
        </is>
      </c>
      <c r="T2397" s="1">
        <f>IF(B2397="ไม้กอล์ฟ",J2397,"")</f>
        <v/>
      </c>
    </row>
    <row r="2398">
      <c r="A2398" s="1" t="n">
        <v>3</v>
      </c>
      <c r="B2398" s="1" t="inlineStr">
        <is>
          <t>เสื้อผ้า</t>
        </is>
      </c>
      <c r="C2398" s="1" t="inlineStr">
        <is>
          <t>gf2040119451</t>
        </is>
      </c>
      <c r="D2398" s="1" t="inlineStr">
        <is>
          <t>ADIDAS Beyond Textured Men's Polo (Beige)</t>
        </is>
      </c>
      <c r="E2398" s="1" t="inlineStr">
        <is>
          <t>ADIDAS</t>
        </is>
      </c>
      <c r="F2398" s="1" t="inlineStr">
        <is>
          <t>SHORT SLEEVES</t>
        </is>
      </c>
      <c r="G2398" s="1" t="inlineStr">
        <is>
          <t>GF20401194512XS</t>
        </is>
      </c>
      <c r="H2398" s="1" t="n">
        <v>8</v>
      </c>
      <c r="I2398" s="1" t="inlineStr">
        <is>
          <t>มี</t>
        </is>
      </c>
      <c r="J2398" s="13" t="n">
        <v>109</v>
      </c>
      <c r="K2398" s="1" t="inlineStr"/>
      <c r="L2398" s="13" t="n">
        <v>55</v>
      </c>
      <c r="M2398" s="1">
        <f>IF(L2398="","ไม่พบใน SG",IF(ABS(J2398-L2398)&lt;0.005,"ตรงกัน","ไม่ตรง"))</f>
        <v/>
      </c>
      <c r="N2398" s="14">
        <f>IF(L2398="","",ROUND(L2398*'สรุป'!$C$6,-1))</f>
        <v/>
      </c>
      <c r="O2398" s="15" t="n"/>
      <c r="P2398" s="15" t="n"/>
      <c r="Q2398" s="10" t="n"/>
      <c r="R2398" s="10" t="n"/>
      <c r="S2398" s="16" t="inlineStr">
        <is>
          <t>https://mstgolf.co.th/products/gf2040119451</t>
        </is>
      </c>
      <c r="T2398" s="1">
        <f>IF(B2398="ไม้กอล์ฟ",J2398,"")</f>
        <v/>
      </c>
    </row>
    <row r="2399">
      <c r="A2399" s="1" t="n">
        <v>3</v>
      </c>
      <c r="B2399" s="1" t="inlineStr">
        <is>
          <t>เสื้อผ้า</t>
        </is>
      </c>
      <c r="C2399" s="1" t="inlineStr">
        <is>
          <t>gf2040120469</t>
        </is>
      </c>
      <c r="D2399" s="1" t="inlineStr">
        <is>
          <t>ADIDAS Beyond Twisknit Men's Polo (Navy)</t>
        </is>
      </c>
      <c r="E2399" s="1" t="inlineStr">
        <is>
          <t>ADIDAS</t>
        </is>
      </c>
      <c r="F2399" s="1" t="inlineStr">
        <is>
          <t>SHORT SLEEVES</t>
        </is>
      </c>
      <c r="G2399" s="1" t="inlineStr">
        <is>
          <t>GF20401204692XS</t>
        </is>
      </c>
      <c r="H2399" s="1" t="n">
        <v>7</v>
      </c>
      <c r="I2399" s="1" t="inlineStr">
        <is>
          <t>มี</t>
        </is>
      </c>
      <c r="J2399" s="13" t="n">
        <v>109</v>
      </c>
      <c r="K2399" s="1" t="inlineStr"/>
      <c r="L2399" s="13" t="n"/>
      <c r="M2399" s="1">
        <f>IF(L2399="","ไม่พบใน SG",IF(ABS(J2399-L2399)&lt;0.005,"ตรงกัน","ไม่ตรง"))</f>
        <v/>
      </c>
      <c r="N2399" s="14">
        <f>IF(L2399="","",ROUND(L2399*'สรุป'!$C$6,-1))</f>
        <v/>
      </c>
      <c r="O2399" s="15" t="n"/>
      <c r="P2399" s="15" t="n"/>
      <c r="Q2399" s="10" t="n"/>
      <c r="R2399" s="10" t="n"/>
      <c r="S2399" s="16" t="inlineStr">
        <is>
          <t>https://mstgolf.co.th/products/gf2040120469</t>
        </is>
      </c>
      <c r="T2399" s="1">
        <f>IF(B2399="ไม้กอล์ฟ",J2399,"")</f>
        <v/>
      </c>
    </row>
    <row r="2400">
      <c r="A2400" s="1" t="n">
        <v>3</v>
      </c>
      <c r="B2400" s="1" t="inlineStr">
        <is>
          <t>เสื้อผ้า</t>
        </is>
      </c>
      <c r="C2400" s="1" t="inlineStr">
        <is>
          <t>gf2040121129</t>
        </is>
      </c>
      <c r="D2400" s="1" t="inlineStr">
        <is>
          <t>ADIDAS Originals Solid Women's Polo (Orange)</t>
        </is>
      </c>
      <c r="E2400" s="1" t="inlineStr">
        <is>
          <t>ADIDAS</t>
        </is>
      </c>
      <c r="F2400" s="1" t="inlineStr">
        <is>
          <t>SHORT SLEEVES</t>
        </is>
      </c>
      <c r="G2400" s="1" t="inlineStr">
        <is>
          <t>GF2040121129XS</t>
        </is>
      </c>
      <c r="H2400" s="1" t="n">
        <v>5</v>
      </c>
      <c r="I2400" s="1" t="inlineStr">
        <is>
          <t>มี</t>
        </is>
      </c>
      <c r="J2400" s="13" t="n">
        <v>109</v>
      </c>
      <c r="K2400" s="1" t="inlineStr"/>
      <c r="L2400" s="13" t="n">
        <v>98</v>
      </c>
      <c r="M2400" s="1">
        <f>IF(L2400="","ไม่พบใน SG",IF(ABS(J2400-L2400)&lt;0.005,"ตรงกัน","ไม่ตรง"))</f>
        <v/>
      </c>
      <c r="N2400" s="14">
        <f>IF(L2400="","",ROUND(L2400*'สรุป'!$C$6,-1))</f>
        <v/>
      </c>
      <c r="O2400" s="15" t="n"/>
      <c r="P2400" s="15" t="n"/>
      <c r="Q2400" s="10" t="n"/>
      <c r="R2400" s="10" t="n"/>
      <c r="S2400" s="16" t="inlineStr">
        <is>
          <t>https://mstgolf.co.th/products/gf2040121129</t>
        </is>
      </c>
      <c r="T2400" s="1">
        <f>IF(B2400="ไม้กอล์ฟ",J2400,"")</f>
        <v/>
      </c>
    </row>
    <row r="2401">
      <c r="A2401" s="1" t="n">
        <v>3</v>
      </c>
      <c r="B2401" s="1" t="inlineStr">
        <is>
          <t>เสื้อผ้า</t>
        </is>
      </c>
      <c r="C2401" s="1" t="inlineStr">
        <is>
          <t>gf2040121130</t>
        </is>
      </c>
      <c r="D2401" s="1" t="inlineStr">
        <is>
          <t>ADIDAS Originals Solid Women's Polo (Pink)</t>
        </is>
      </c>
      <c r="E2401" s="1" t="inlineStr">
        <is>
          <t>ADIDAS</t>
        </is>
      </c>
      <c r="F2401" s="1" t="inlineStr">
        <is>
          <t>SHORT SLEEVES</t>
        </is>
      </c>
      <c r="G2401" s="1" t="inlineStr">
        <is>
          <t>GF2040121130XS</t>
        </is>
      </c>
      <c r="H2401" s="1" t="n">
        <v>5</v>
      </c>
      <c r="I2401" s="1" t="inlineStr">
        <is>
          <t>มี</t>
        </is>
      </c>
      <c r="J2401" s="13" t="n">
        <v>109</v>
      </c>
      <c r="K2401" s="1" t="inlineStr"/>
      <c r="L2401" s="13" t="n">
        <v>98</v>
      </c>
      <c r="M2401" s="1">
        <f>IF(L2401="","ไม่พบใน SG",IF(ABS(J2401-L2401)&lt;0.005,"ตรงกัน","ไม่ตรง"))</f>
        <v/>
      </c>
      <c r="N2401" s="14">
        <f>IF(L2401="","",ROUND(L2401*'สรุป'!$C$6,-1))</f>
        <v/>
      </c>
      <c r="O2401" s="15" t="n"/>
      <c r="P2401" s="15" t="n"/>
      <c r="Q2401" s="10" t="n"/>
      <c r="R2401" s="10" t="n"/>
      <c r="S2401" s="16" t="inlineStr">
        <is>
          <t>https://mstgolf.co.th/products/gf2040121130</t>
        </is>
      </c>
      <c r="T2401" s="1">
        <f>IF(B2401="ไม้กอล์ฟ",J2401,"")</f>
        <v/>
      </c>
    </row>
    <row r="2402">
      <c r="A2402" s="1" t="n">
        <v>3</v>
      </c>
      <c r="B2402" s="1" t="inlineStr">
        <is>
          <t>เสื้อผ้า</t>
        </is>
      </c>
      <c r="C2402" s="1" t="inlineStr">
        <is>
          <t>gf2040121128</t>
        </is>
      </c>
      <c r="D2402" s="1" t="inlineStr">
        <is>
          <t>ADIDAS Originals Solid Women's Polo (White)</t>
        </is>
      </c>
      <c r="E2402" s="1" t="inlineStr">
        <is>
          <t>ADIDAS</t>
        </is>
      </c>
      <c r="F2402" s="1" t="inlineStr">
        <is>
          <t>SHORT SLEEVES</t>
        </is>
      </c>
      <c r="G2402" s="1" t="inlineStr">
        <is>
          <t>GF2040121128XS</t>
        </is>
      </c>
      <c r="H2402" s="1" t="n">
        <v>5</v>
      </c>
      <c r="I2402" s="1" t="inlineStr">
        <is>
          <t>มี</t>
        </is>
      </c>
      <c r="J2402" s="13" t="n">
        <v>109</v>
      </c>
      <c r="K2402" s="1" t="inlineStr"/>
      <c r="L2402" s="13" t="n">
        <v>109</v>
      </c>
      <c r="M2402" s="1">
        <f>IF(L2402="","ไม่พบใน SG",IF(ABS(J2402-L2402)&lt;0.005,"ตรงกัน","ไม่ตรง"))</f>
        <v/>
      </c>
      <c r="N2402" s="14">
        <f>IF(L2402="","",ROUND(L2402*'สรุป'!$C$6,-1))</f>
        <v/>
      </c>
      <c r="O2402" s="15" t="n"/>
      <c r="P2402" s="15" t="n"/>
      <c r="Q2402" s="10" t="n"/>
      <c r="R2402" s="10" t="n"/>
      <c r="S2402" s="16" t="inlineStr">
        <is>
          <t>https://mstgolf.co.th/products/gf2040121128</t>
        </is>
      </c>
      <c r="T2402" s="1">
        <f>IF(B2402="ไม้กอล์ฟ",J2402,"")</f>
        <v/>
      </c>
    </row>
    <row r="2403">
      <c r="A2403" s="1" t="n">
        <v>3</v>
      </c>
      <c r="B2403" s="1" t="inlineStr">
        <is>
          <t>เสื้อผ้า</t>
        </is>
      </c>
      <c r="C2403" s="1" t="inlineStr">
        <is>
          <t>gf2040120544</t>
        </is>
      </c>
      <c r="D2403" s="1" t="inlineStr">
        <is>
          <t>ADIDAS Originals Twistknit Trefoil Women's Polo (Green)</t>
        </is>
      </c>
      <c r="E2403" s="1" t="inlineStr">
        <is>
          <t>ADIDAS</t>
        </is>
      </c>
      <c r="F2403" s="1" t="inlineStr">
        <is>
          <t>SHORT SLEEVES</t>
        </is>
      </c>
      <c r="G2403" s="1" t="inlineStr">
        <is>
          <t>GF2040120544XS</t>
        </is>
      </c>
      <c r="H2403" s="1" t="n">
        <v>5</v>
      </c>
      <c r="I2403" s="1" t="inlineStr">
        <is>
          <t>มี</t>
        </is>
      </c>
      <c r="J2403" s="13" t="n">
        <v>109</v>
      </c>
      <c r="K2403" s="1" t="inlineStr"/>
      <c r="L2403" s="13" t="n">
        <v>75</v>
      </c>
      <c r="M2403" s="1">
        <f>IF(L2403="","ไม่พบใน SG",IF(ABS(J2403-L2403)&lt;0.005,"ตรงกัน","ไม่ตรง"))</f>
        <v/>
      </c>
      <c r="N2403" s="14">
        <f>IF(L2403="","",ROUND(L2403*'สรุป'!$C$6,-1))</f>
        <v/>
      </c>
      <c r="O2403" s="15" t="n"/>
      <c r="P2403" s="15" t="n"/>
      <c r="Q2403" s="10" t="n"/>
      <c r="R2403" s="10" t="n"/>
      <c r="S2403" s="16" t="inlineStr">
        <is>
          <t>https://mstgolf.co.th/products/gf2040120544</t>
        </is>
      </c>
      <c r="T2403" s="1">
        <f>IF(B2403="ไม้กอล์ฟ",J2403,"")</f>
        <v/>
      </c>
    </row>
    <row r="2404">
      <c r="A2404" s="1" t="n">
        <v>3</v>
      </c>
      <c r="B2404" s="1" t="inlineStr">
        <is>
          <t>เสื้อผ้า</t>
        </is>
      </c>
      <c r="C2404" s="1" t="inlineStr">
        <is>
          <t>gf2040120546</t>
        </is>
      </c>
      <c r="D2404" s="1" t="inlineStr">
        <is>
          <t>ADIDAS Originals Twistknit Trefoil Women's Polo (Indigo)</t>
        </is>
      </c>
      <c r="E2404" s="1" t="inlineStr">
        <is>
          <t>ADIDAS</t>
        </is>
      </c>
      <c r="F2404" s="1" t="inlineStr">
        <is>
          <t>SHORT SLEEVES</t>
        </is>
      </c>
      <c r="G2404" s="1" t="inlineStr">
        <is>
          <t>GF2040120546XS</t>
        </is>
      </c>
      <c r="H2404" s="1" t="n">
        <v>5</v>
      </c>
      <c r="I2404" s="1" t="inlineStr">
        <is>
          <t>มี</t>
        </is>
      </c>
      <c r="J2404" s="13" t="n">
        <v>109</v>
      </c>
      <c r="K2404" s="1" t="inlineStr"/>
      <c r="L2404" s="13" t="n">
        <v>75</v>
      </c>
      <c r="M2404" s="1">
        <f>IF(L2404="","ไม่พบใน SG",IF(ABS(J2404-L2404)&lt;0.005,"ตรงกัน","ไม่ตรง"))</f>
        <v/>
      </c>
      <c r="N2404" s="14">
        <f>IF(L2404="","",ROUND(L2404*'สรุป'!$C$6,-1))</f>
        <v/>
      </c>
      <c r="O2404" s="15" t="n"/>
      <c r="P2404" s="15" t="n"/>
      <c r="Q2404" s="10" t="n"/>
      <c r="R2404" s="10" t="n"/>
      <c r="S2404" s="16" t="inlineStr">
        <is>
          <t>https://mstgolf.co.th/products/gf2040120546</t>
        </is>
      </c>
      <c r="T2404" s="1">
        <f>IF(B2404="ไม้กอล์ฟ",J2404,"")</f>
        <v/>
      </c>
    </row>
    <row r="2405">
      <c r="A2405" s="1" t="n">
        <v>3</v>
      </c>
      <c r="B2405" s="1" t="inlineStr">
        <is>
          <t>เสื้อผ้า</t>
        </is>
      </c>
      <c r="C2405" s="1" t="inlineStr">
        <is>
          <t>gf2040120547</t>
        </is>
      </c>
      <c r="D2405" s="1" t="inlineStr">
        <is>
          <t>ADIDAS Originals Twistknit Trefoil Women's Polo (Sky)</t>
        </is>
      </c>
      <c r="E2405" s="1" t="inlineStr">
        <is>
          <t>ADIDAS</t>
        </is>
      </c>
      <c r="F2405" s="1" t="inlineStr">
        <is>
          <t>SHORT SLEEVES</t>
        </is>
      </c>
      <c r="G2405" s="1" t="inlineStr">
        <is>
          <t>GF2040120547XS</t>
        </is>
      </c>
      <c r="H2405" s="1" t="n">
        <v>5</v>
      </c>
      <c r="I2405" s="1" t="inlineStr">
        <is>
          <t>มี</t>
        </is>
      </c>
      <c r="J2405" s="13" t="n">
        <v>109</v>
      </c>
      <c r="K2405" s="1" t="inlineStr"/>
      <c r="L2405" s="13" t="n">
        <v>75</v>
      </c>
      <c r="M2405" s="1">
        <f>IF(L2405="","ไม่พบใน SG",IF(ABS(J2405-L2405)&lt;0.005,"ตรงกัน","ไม่ตรง"))</f>
        <v/>
      </c>
      <c r="N2405" s="14">
        <f>IF(L2405="","",ROUND(L2405*'สรุป'!$C$6,-1))</f>
        <v/>
      </c>
      <c r="O2405" s="15" t="n"/>
      <c r="P2405" s="15" t="n"/>
      <c r="Q2405" s="10" t="n"/>
      <c r="R2405" s="10" t="n"/>
      <c r="S2405" s="16" t="inlineStr">
        <is>
          <t>https://mstgolf.co.th/products/gf2040120547</t>
        </is>
      </c>
      <c r="T2405" s="1">
        <f>IF(B2405="ไม้กอล์ฟ",J2405,"")</f>
        <v/>
      </c>
    </row>
    <row r="2406">
      <c r="A2406" s="1" t="n">
        <v>3</v>
      </c>
      <c r="B2406" s="1" t="inlineStr">
        <is>
          <t>เสื้อผ้า</t>
        </is>
      </c>
      <c r="C2406" s="1" t="inlineStr">
        <is>
          <t>gf2040120545</t>
        </is>
      </c>
      <c r="D2406" s="1" t="inlineStr">
        <is>
          <t>ADIDAS Originals Twistknit Trefoil Women's Polo (White)</t>
        </is>
      </c>
      <c r="E2406" s="1" t="inlineStr">
        <is>
          <t>ADIDAS</t>
        </is>
      </c>
      <c r="F2406" s="1" t="inlineStr">
        <is>
          <t>SHORT SLEEVES</t>
        </is>
      </c>
      <c r="G2406" s="1" t="inlineStr">
        <is>
          <t>GF2040120545XS</t>
        </is>
      </c>
      <c r="H2406" s="1" t="n">
        <v>5</v>
      </c>
      <c r="I2406" s="1" t="inlineStr">
        <is>
          <t>มี</t>
        </is>
      </c>
      <c r="J2406" s="13" t="n">
        <v>109</v>
      </c>
      <c r="K2406" s="1" t="inlineStr"/>
      <c r="L2406" s="13" t="n">
        <v>75</v>
      </c>
      <c r="M2406" s="1">
        <f>IF(L2406="","ไม่พบใน SG",IF(ABS(J2406-L2406)&lt;0.005,"ตรงกัน","ไม่ตรง"))</f>
        <v/>
      </c>
      <c r="N2406" s="14">
        <f>IF(L2406="","",ROUND(L2406*'สรุป'!$C$6,-1))</f>
        <v/>
      </c>
      <c r="O2406" s="15" t="n"/>
      <c r="P2406" s="15" t="n"/>
      <c r="Q2406" s="10" t="n"/>
      <c r="R2406" s="10" t="n"/>
      <c r="S2406" s="16" t="inlineStr">
        <is>
          <t>https://mstgolf.co.th/products/gf2040120545</t>
        </is>
      </c>
      <c r="T2406" s="1">
        <f>IF(B2406="ไม้กอล์ฟ",J2406,"")</f>
        <v/>
      </c>
    </row>
    <row r="2407">
      <c r="A2407" s="1" t="n">
        <v>3</v>
      </c>
      <c r="B2407" s="1" t="inlineStr">
        <is>
          <t>เสื้อผ้า</t>
        </is>
      </c>
      <c r="C2407" s="1" t="inlineStr">
        <is>
          <t>gf2020102263</t>
        </is>
      </c>
      <c r="D2407" s="1" t="inlineStr">
        <is>
          <t>ADIDAS Ultimate365 Men's Tapered Golf Pants (Navy)</t>
        </is>
      </c>
      <c r="E2407" s="1" t="inlineStr">
        <is>
          <t>ADIDAS</t>
        </is>
      </c>
      <c r="F2407" s="1" t="inlineStr">
        <is>
          <t>LONG PANTS</t>
        </is>
      </c>
      <c r="G2407" s="1" t="inlineStr">
        <is>
          <t>GF20201022632XL</t>
        </is>
      </c>
      <c r="H2407" s="1" t="n">
        <v>15</v>
      </c>
      <c r="I2407" s="1" t="inlineStr">
        <is>
          <t>มี</t>
        </is>
      </c>
      <c r="J2407" s="13" t="n">
        <v>109</v>
      </c>
      <c r="K2407" s="1" t="inlineStr"/>
      <c r="L2407" s="13" t="n">
        <v>109</v>
      </c>
      <c r="M2407" s="1">
        <f>IF(L2407="","ไม่พบใน SG",IF(ABS(J2407-L2407)&lt;0.005,"ตรงกัน","ไม่ตรง"))</f>
        <v/>
      </c>
      <c r="N2407" s="14">
        <f>IF(L2407="","",ROUND(L2407*'สรุป'!$C$6,-1))</f>
        <v/>
      </c>
      <c r="O2407" s="15" t="n"/>
      <c r="P2407" s="15" t="n"/>
      <c r="Q2407" s="10" t="n"/>
      <c r="R2407" s="10" t="n"/>
      <c r="S2407" s="16" t="inlineStr">
        <is>
          <t>https://mstgolf.co.th/products/gf2020102263</t>
        </is>
      </c>
      <c r="T2407" s="1">
        <f>IF(B2407="ไม้กอล์ฟ",J2407,"")</f>
        <v/>
      </c>
    </row>
    <row r="2408">
      <c r="A2408" s="1" t="n">
        <v>3</v>
      </c>
      <c r="B2408" s="1" t="inlineStr">
        <is>
          <t>เสื้อผ้า</t>
        </is>
      </c>
      <c r="C2408" s="1" t="inlineStr">
        <is>
          <t>gf2020102383</t>
        </is>
      </c>
      <c r="D2408" s="1" t="inlineStr">
        <is>
          <t>ADIDAS Ultimate365 Men's Tapered Pants (Black)</t>
        </is>
      </c>
      <c r="E2408" s="1" t="inlineStr">
        <is>
          <t>ADIDAS</t>
        </is>
      </c>
      <c r="F2408" s="1" t="inlineStr">
        <is>
          <t>LONG PANTS</t>
        </is>
      </c>
      <c r="G2408" s="1" t="inlineStr">
        <is>
          <t>GF202010238373</t>
        </is>
      </c>
      <c r="H2408" s="1" t="n">
        <v>9</v>
      </c>
      <c r="I2408" s="1" t="inlineStr">
        <is>
          <t>มี</t>
        </is>
      </c>
      <c r="J2408" s="13" t="n">
        <v>109</v>
      </c>
      <c r="K2408" s="1" t="inlineStr"/>
      <c r="L2408" s="13" t="n">
        <v>39</v>
      </c>
      <c r="M2408" s="1">
        <f>IF(L2408="","ไม่พบใน SG",IF(ABS(J2408-L2408)&lt;0.005,"ตรงกัน","ไม่ตรง"))</f>
        <v/>
      </c>
      <c r="N2408" s="14">
        <f>IF(L2408="","",ROUND(L2408*'สรุป'!$C$6,-1))</f>
        <v/>
      </c>
      <c r="O2408" s="15" t="n"/>
      <c r="P2408" s="15" t="n"/>
      <c r="Q2408" s="10" t="n"/>
      <c r="R2408" s="10" t="n"/>
      <c r="S2408" s="16" t="inlineStr">
        <is>
          <t>https://mstgolf.co.th/products/gf2020102383</t>
        </is>
      </c>
      <c r="T2408" s="1">
        <f>IF(B2408="ไม้กอล์ฟ",J2408,"")</f>
        <v/>
      </c>
    </row>
    <row r="2409">
      <c r="A2409" s="1" t="n">
        <v>3</v>
      </c>
      <c r="B2409" s="1" t="inlineStr">
        <is>
          <t>เสื้อผ้า</t>
        </is>
      </c>
      <c r="C2409" s="1" t="inlineStr">
        <is>
          <t>gf2020102254</t>
        </is>
      </c>
      <c r="D2409" s="1" t="inlineStr">
        <is>
          <t>ADIDAS Ultimate365 Modern Men's Pants (Black)</t>
        </is>
      </c>
      <c r="E2409" s="1" t="inlineStr">
        <is>
          <t>ADIDAS</t>
        </is>
      </c>
      <c r="F2409" s="1" t="inlineStr">
        <is>
          <t>LONG PANTS</t>
        </is>
      </c>
      <c r="G2409" s="1" t="inlineStr">
        <is>
          <t>GF202010225473</t>
        </is>
      </c>
      <c r="H2409" s="1" t="n">
        <v>8</v>
      </c>
      <c r="I2409" s="1" t="inlineStr">
        <is>
          <t>มี</t>
        </is>
      </c>
      <c r="J2409" s="13" t="n">
        <v>109</v>
      </c>
      <c r="K2409" s="1" t="inlineStr"/>
      <c r="L2409" s="13" t="n">
        <v>109</v>
      </c>
      <c r="M2409" s="1">
        <f>IF(L2409="","ไม่พบใน SG",IF(ABS(J2409-L2409)&lt;0.005,"ตรงกัน","ไม่ตรง"))</f>
        <v/>
      </c>
      <c r="N2409" s="14">
        <f>IF(L2409="","",ROUND(L2409*'สรุป'!$C$6,-1))</f>
        <v/>
      </c>
      <c r="O2409" s="15" t="n"/>
      <c r="P2409" s="15" t="n"/>
      <c r="Q2409" s="10" t="n"/>
      <c r="R2409" s="10" t="n"/>
      <c r="S2409" s="16" t="inlineStr">
        <is>
          <t>https://mstgolf.co.th/products/gf2020102254</t>
        </is>
      </c>
      <c r="T2409" s="1">
        <f>IF(B2409="ไม้กอล์ฟ",J2409,"")</f>
        <v/>
      </c>
    </row>
    <row r="2410">
      <c r="A2410" s="1" t="n">
        <v>3</v>
      </c>
      <c r="B2410" s="1" t="inlineStr">
        <is>
          <t>เสื้อผ้า</t>
        </is>
      </c>
      <c r="C2410" s="1" t="inlineStr">
        <is>
          <t>gf2020102255</t>
        </is>
      </c>
      <c r="D2410" s="1" t="inlineStr">
        <is>
          <t>ADIDAS Ultimate365 Modern Men's Pants (Grey)</t>
        </is>
      </c>
      <c r="E2410" s="1" t="inlineStr">
        <is>
          <t>ADIDAS</t>
        </is>
      </c>
      <c r="F2410" s="1" t="inlineStr">
        <is>
          <t>LONG PANTS</t>
        </is>
      </c>
      <c r="G2410" s="1" t="inlineStr">
        <is>
          <t>GF202010225573</t>
        </is>
      </c>
      <c r="H2410" s="1" t="n">
        <v>9</v>
      </c>
      <c r="I2410" s="1" t="inlineStr">
        <is>
          <t>มี</t>
        </is>
      </c>
      <c r="J2410" s="13" t="n">
        <v>109</v>
      </c>
      <c r="K2410" s="1" t="inlineStr"/>
      <c r="L2410" s="13" t="n">
        <v>109</v>
      </c>
      <c r="M2410" s="1">
        <f>IF(L2410="","ไม่พบใน SG",IF(ABS(J2410-L2410)&lt;0.005,"ตรงกัน","ไม่ตรง"))</f>
        <v/>
      </c>
      <c r="N2410" s="14">
        <f>IF(L2410="","",ROUND(L2410*'สรุป'!$C$6,-1))</f>
        <v/>
      </c>
      <c r="O2410" s="15" t="n"/>
      <c r="P2410" s="15" t="n"/>
      <c r="Q2410" s="10" t="n"/>
      <c r="R2410" s="10" t="n"/>
      <c r="S2410" s="16" t="inlineStr">
        <is>
          <t>https://mstgolf.co.th/products/gf2020102255</t>
        </is>
      </c>
      <c r="T2410" s="1">
        <f>IF(B2410="ไม้กอล์ฟ",J2410,"")</f>
        <v/>
      </c>
    </row>
    <row r="2411">
      <c r="A2411" s="1" t="n">
        <v>3</v>
      </c>
      <c r="B2411" s="1" t="inlineStr">
        <is>
          <t>เสื้อผ้า</t>
        </is>
      </c>
      <c r="C2411" s="1" t="inlineStr">
        <is>
          <t>gf2020202652</t>
        </is>
      </c>
      <c r="D2411" s="1" t="inlineStr">
        <is>
          <t>ADIDAS Ultimate365 Textured Men's Shorts (Navy)</t>
        </is>
      </c>
      <c r="E2411" s="1" t="inlineStr">
        <is>
          <t>ADIDAS</t>
        </is>
      </c>
      <c r="F2411" s="1" t="inlineStr">
        <is>
          <t>SHORT PANTS</t>
        </is>
      </c>
      <c r="G2411" s="1" t="inlineStr">
        <is>
          <t>GF202020265273</t>
        </is>
      </c>
      <c r="H2411" s="1" t="n">
        <v>9</v>
      </c>
      <c r="I2411" s="1" t="inlineStr">
        <is>
          <t>มี</t>
        </is>
      </c>
      <c r="J2411" s="13" t="n">
        <v>109</v>
      </c>
      <c r="K2411" s="1" t="inlineStr"/>
      <c r="L2411" s="13" t="n">
        <v>55</v>
      </c>
      <c r="M2411" s="1">
        <f>IF(L2411="","ไม่พบใน SG",IF(ABS(J2411-L2411)&lt;0.005,"ตรงกัน","ไม่ตรง"))</f>
        <v/>
      </c>
      <c r="N2411" s="14">
        <f>IF(L2411="","",ROUND(L2411*'สรุป'!$C$6,-1))</f>
        <v/>
      </c>
      <c r="O2411" s="15" t="n"/>
      <c r="P2411" s="15" t="n"/>
      <c r="Q2411" s="10" t="n"/>
      <c r="R2411" s="10" t="n"/>
      <c r="S2411" s="16" t="inlineStr">
        <is>
          <t>https://mstgolf.co.th/products/gf2020202652</t>
        </is>
      </c>
      <c r="T2411" s="1">
        <f>IF(B2411="ไม้กอล์ฟ",J2411,"")</f>
        <v/>
      </c>
    </row>
    <row r="2412">
      <c r="A2412" s="1" t="n">
        <v>3</v>
      </c>
      <c r="B2412" s="1" t="inlineStr">
        <is>
          <t>เสื้อผ้า</t>
        </is>
      </c>
      <c r="C2412" s="1" t="inlineStr">
        <is>
          <t>gf2040121079</t>
        </is>
      </c>
      <c r="D2412" s="1" t="inlineStr">
        <is>
          <t>ADIDAS Ultimate365+ Soft Print Men's Polo (White)</t>
        </is>
      </c>
      <c r="E2412" s="1" t="inlineStr">
        <is>
          <t>ADIDAS</t>
        </is>
      </c>
      <c r="F2412" s="1" t="inlineStr">
        <is>
          <t>SHORT SLEEVES</t>
        </is>
      </c>
      <c r="G2412" s="1" t="inlineStr">
        <is>
          <t>GF2040121079XS</t>
        </is>
      </c>
      <c r="H2412" s="1" t="n">
        <v>6</v>
      </c>
      <c r="I2412" s="1" t="inlineStr">
        <is>
          <t>มี</t>
        </is>
      </c>
      <c r="J2412" s="13" t="n">
        <v>109</v>
      </c>
      <c r="K2412" s="1" t="inlineStr"/>
      <c r="L2412" s="13" t="n">
        <v>75</v>
      </c>
      <c r="M2412" s="1">
        <f>IF(L2412="","ไม่พบใน SG",IF(ABS(J2412-L2412)&lt;0.005,"ตรงกัน","ไม่ตรง"))</f>
        <v/>
      </c>
      <c r="N2412" s="14">
        <f>IF(L2412="","",ROUND(L2412*'สรุป'!$C$6,-1))</f>
        <v/>
      </c>
      <c r="O2412" s="15" t="n"/>
      <c r="P2412" s="15" t="n"/>
      <c r="Q2412" s="10" t="n"/>
      <c r="R2412" s="10" t="n"/>
      <c r="S2412" s="16" t="inlineStr">
        <is>
          <t>https://mstgolf.co.th/products/gf2040121079</t>
        </is>
      </c>
      <c r="T2412" s="1">
        <f>IF(B2412="ไม้กอล์ฟ",J2412,"")</f>
        <v/>
      </c>
    </row>
    <row r="2413">
      <c r="A2413" s="1" t="n">
        <v>3</v>
      </c>
      <c r="B2413" s="1" t="inlineStr">
        <is>
          <t>เสื้อผ้า</t>
        </is>
      </c>
      <c r="C2413" s="1" t="inlineStr">
        <is>
          <t>gf2040121077</t>
        </is>
      </c>
      <c r="D2413" s="1" t="inlineStr">
        <is>
          <t>ADIDAS Ultimate365+ Soft Print Men's Polo (White)</t>
        </is>
      </c>
      <c r="E2413" s="1" t="inlineStr">
        <is>
          <t>ADIDAS</t>
        </is>
      </c>
      <c r="F2413" s="1" t="inlineStr">
        <is>
          <t>SHORT SLEEVES</t>
        </is>
      </c>
      <c r="G2413" s="1" t="inlineStr">
        <is>
          <t>GF2040121077XS</t>
        </is>
      </c>
      <c r="H2413" s="1" t="n">
        <v>7</v>
      </c>
      <c r="I2413" s="1" t="inlineStr">
        <is>
          <t>มี</t>
        </is>
      </c>
      <c r="J2413" s="13" t="n">
        <v>109</v>
      </c>
      <c r="K2413" s="1" t="inlineStr"/>
      <c r="L2413" s="13" t="n">
        <v>75</v>
      </c>
      <c r="M2413" s="1">
        <f>IF(L2413="","ไม่พบใน SG",IF(ABS(J2413-L2413)&lt;0.005,"ตรงกัน","ไม่ตรง"))</f>
        <v/>
      </c>
      <c r="N2413" s="14">
        <f>IF(L2413="","",ROUND(L2413*'สรุป'!$C$6,-1))</f>
        <v/>
      </c>
      <c r="O2413" s="15" t="n"/>
      <c r="P2413" s="15" t="n"/>
      <c r="Q2413" s="10" t="n"/>
      <c r="R2413" s="10" t="n"/>
      <c r="S2413" s="16" t="inlineStr">
        <is>
          <t>https://mstgolf.co.th/products/gf2040121077</t>
        </is>
      </c>
      <c r="T2413" s="1">
        <f>IF(B2413="ไม้กอล์ฟ",J2413,"")</f>
        <v/>
      </c>
    </row>
    <row r="2414">
      <c r="A2414" s="1" t="n">
        <v>3</v>
      </c>
      <c r="B2414" s="1" t="inlineStr">
        <is>
          <t>เสื้อผ้า</t>
        </is>
      </c>
      <c r="C2414" s="1" t="inlineStr">
        <is>
          <t>gf2040119351</t>
        </is>
      </c>
      <c r="D2414" s="1" t="inlineStr">
        <is>
          <t>CALVIN KLEIN Abstract Watercolour Printed Men's Polo (Lemon)</t>
        </is>
      </c>
      <c r="E2414" s="1" t="inlineStr">
        <is>
          <t>CALVIN KLEIN</t>
        </is>
      </c>
      <c r="F2414" s="1" t="inlineStr">
        <is>
          <t>SHORT SLEEVES</t>
        </is>
      </c>
      <c r="G2414" s="1" t="inlineStr">
        <is>
          <t>GF2040119351S</t>
        </is>
      </c>
      <c r="H2414" s="1" t="n">
        <v>4</v>
      </c>
      <c r="I2414" s="1" t="inlineStr">
        <is>
          <t>มี</t>
        </is>
      </c>
      <c r="J2414" s="13" t="n">
        <v>109</v>
      </c>
      <c r="K2414" s="1" t="inlineStr"/>
      <c r="L2414" s="13" t="n">
        <v>109</v>
      </c>
      <c r="M2414" s="1">
        <f>IF(L2414="","ไม่พบใน SG",IF(ABS(J2414-L2414)&lt;0.005,"ตรงกัน","ไม่ตรง"))</f>
        <v/>
      </c>
      <c r="N2414" s="14">
        <f>IF(L2414="","",ROUND(L2414*'สรุป'!$C$6,-1))</f>
        <v/>
      </c>
      <c r="O2414" s="15" t="n"/>
      <c r="P2414" s="15" t="n"/>
      <c r="Q2414" s="10" t="n"/>
      <c r="R2414" s="10" t="n"/>
      <c r="S2414" s="16" t="inlineStr">
        <is>
          <t>https://mstgolf.co.th/products/gf2040119351</t>
        </is>
      </c>
      <c r="T2414" s="1">
        <f>IF(B2414="ไม้กอล์ฟ",J2414,"")</f>
        <v/>
      </c>
    </row>
    <row r="2415">
      <c r="A2415" s="1" t="n">
        <v>3</v>
      </c>
      <c r="B2415" s="1" t="inlineStr">
        <is>
          <t>เสื้อผ้า</t>
        </is>
      </c>
      <c r="C2415" s="1" t="inlineStr">
        <is>
          <t>gf2040119352</t>
        </is>
      </c>
      <c r="D2415" s="1" t="inlineStr">
        <is>
          <t>CALVIN KLEIN Abstract Watercolour Printed Men's Polo (Navy)</t>
        </is>
      </c>
      <c r="E2415" s="1" t="inlineStr">
        <is>
          <t>CALVIN KLEIN</t>
        </is>
      </c>
      <c r="F2415" s="1" t="inlineStr">
        <is>
          <t>SHORT SLEEVES</t>
        </is>
      </c>
      <c r="G2415" s="1" t="inlineStr">
        <is>
          <t>GF2040119352S</t>
        </is>
      </c>
      <c r="H2415" s="1" t="n">
        <v>5</v>
      </c>
      <c r="I2415" s="1" t="inlineStr">
        <is>
          <t>มี</t>
        </is>
      </c>
      <c r="J2415" s="13" t="n">
        <v>109</v>
      </c>
      <c r="K2415" s="1" t="inlineStr"/>
      <c r="L2415" s="13" t="n">
        <v>109</v>
      </c>
      <c r="M2415" s="1">
        <f>IF(L2415="","ไม่พบใน SG",IF(ABS(J2415-L2415)&lt;0.005,"ตรงกัน","ไม่ตรง"))</f>
        <v/>
      </c>
      <c r="N2415" s="14">
        <f>IF(L2415="","",ROUND(L2415*'สรุป'!$C$6,-1))</f>
        <v/>
      </c>
      <c r="O2415" s="15" t="n"/>
      <c r="P2415" s="15" t="n"/>
      <c r="Q2415" s="10" t="n"/>
      <c r="R2415" s="10" t="n"/>
      <c r="S2415" s="16" t="inlineStr">
        <is>
          <t>https://mstgolf.co.th/products/gf2040119352</t>
        </is>
      </c>
      <c r="T2415" s="1">
        <f>IF(B2415="ไม้กอล์ฟ",J2415,"")</f>
        <v/>
      </c>
    </row>
    <row r="2416">
      <c r="A2416" s="1" t="n">
        <v>3</v>
      </c>
      <c r="B2416" s="1" t="inlineStr">
        <is>
          <t>เสื้อผ้า</t>
        </is>
      </c>
      <c r="C2416" s="1" t="inlineStr">
        <is>
          <t>gf2040119353</t>
        </is>
      </c>
      <c r="D2416" s="1" t="inlineStr">
        <is>
          <t>CALVIN KLEIN Abstract Watercolour Printed Men's Polo (Sea Green)</t>
        </is>
      </c>
      <c r="E2416" s="1" t="inlineStr">
        <is>
          <t>CALVIN KLEIN</t>
        </is>
      </c>
      <c r="F2416" s="1" t="inlineStr">
        <is>
          <t>SHORT SLEEVES</t>
        </is>
      </c>
      <c r="G2416" s="1" t="inlineStr">
        <is>
          <t>GF2040119353S</t>
        </is>
      </c>
      <c r="H2416" s="1" t="n">
        <v>5</v>
      </c>
      <c r="I2416" s="1" t="inlineStr">
        <is>
          <t>มี</t>
        </is>
      </c>
      <c r="J2416" s="13" t="n">
        <v>109</v>
      </c>
      <c r="K2416" s="1" t="inlineStr"/>
      <c r="L2416" s="13" t="n">
        <v>109</v>
      </c>
      <c r="M2416" s="1">
        <f>IF(L2416="","ไม่พบใน SG",IF(ABS(J2416-L2416)&lt;0.005,"ตรงกัน","ไม่ตรง"))</f>
        <v/>
      </c>
      <c r="N2416" s="14">
        <f>IF(L2416="","",ROUND(L2416*'สรุป'!$C$6,-1))</f>
        <v/>
      </c>
      <c r="O2416" s="15" t="n"/>
      <c r="P2416" s="15" t="n"/>
      <c r="Q2416" s="10" t="n"/>
      <c r="R2416" s="10" t="n"/>
      <c r="S2416" s="16" t="inlineStr">
        <is>
          <t>https://mstgolf.co.th/products/gf2040119353</t>
        </is>
      </c>
      <c r="T2416" s="1">
        <f>IF(B2416="ไม้กอล์ฟ",J2416,"")</f>
        <v/>
      </c>
    </row>
    <row r="2417">
      <c r="A2417" s="1" t="n">
        <v>3</v>
      </c>
      <c r="B2417" s="1" t="inlineStr">
        <is>
          <t>เสื้อผ้า</t>
        </is>
      </c>
      <c r="C2417" s="1" t="inlineStr">
        <is>
          <t>gf2040119354</t>
        </is>
      </c>
      <c r="D2417" s="1" t="inlineStr">
        <is>
          <t>CALVIN KLEIN Abstract Watercolour Printed Men's Polo (Turtledove)</t>
        </is>
      </c>
      <c r="E2417" s="1" t="inlineStr">
        <is>
          <t>CALVIN KLEIN</t>
        </is>
      </c>
      <c r="F2417" s="1" t="inlineStr">
        <is>
          <t>SHORT SLEEVES</t>
        </is>
      </c>
      <c r="G2417" s="1" t="inlineStr">
        <is>
          <t>GF2040119354S</t>
        </is>
      </c>
      <c r="H2417" s="1" t="n">
        <v>5</v>
      </c>
      <c r="I2417" s="1" t="inlineStr">
        <is>
          <t>มี</t>
        </is>
      </c>
      <c r="J2417" s="13" t="n">
        <v>109</v>
      </c>
      <c r="K2417" s="1" t="inlineStr"/>
      <c r="L2417" s="13" t="n">
        <v>109</v>
      </c>
      <c r="M2417" s="1">
        <f>IF(L2417="","ไม่พบใน SG",IF(ABS(J2417-L2417)&lt;0.005,"ตรงกัน","ไม่ตรง"))</f>
        <v/>
      </c>
      <c r="N2417" s="14">
        <f>IF(L2417="","",ROUND(L2417*'สรุป'!$C$6,-1))</f>
        <v/>
      </c>
      <c r="O2417" s="15" t="n"/>
      <c r="P2417" s="15" t="n"/>
      <c r="Q2417" s="10" t="n"/>
      <c r="R2417" s="10" t="n"/>
      <c r="S2417" s="16" t="inlineStr">
        <is>
          <t>https://mstgolf.co.th/products/gf2040119354</t>
        </is>
      </c>
      <c r="T2417" s="1">
        <f>IF(B2417="ไม้กอล์ฟ",J2417,"")</f>
        <v/>
      </c>
    </row>
    <row r="2418">
      <c r="A2418" s="1" t="n">
        <v>3</v>
      </c>
      <c r="B2418" s="1" t="inlineStr">
        <is>
          <t>เสื้อผ้า</t>
        </is>
      </c>
      <c r="C2418" s="1" t="inlineStr">
        <is>
          <t>gf2040119355</t>
        </is>
      </c>
      <c r="D2418" s="1" t="inlineStr">
        <is>
          <t>CALVIN KLEIN Abstract Watercolour Printed Men's Polo (White)</t>
        </is>
      </c>
      <c r="E2418" s="1" t="inlineStr">
        <is>
          <t>CALVIN KLEIN</t>
        </is>
      </c>
      <c r="F2418" s="1" t="inlineStr">
        <is>
          <t>SHORT SLEEVES</t>
        </is>
      </c>
      <c r="G2418" s="1" t="inlineStr">
        <is>
          <t>GF2040119355S</t>
        </is>
      </c>
      <c r="H2418" s="1" t="n">
        <v>5</v>
      </c>
      <c r="I2418" s="1" t="inlineStr">
        <is>
          <t>มี</t>
        </is>
      </c>
      <c r="J2418" s="13" t="n">
        <v>109</v>
      </c>
      <c r="K2418" s="1" t="inlineStr"/>
      <c r="L2418" s="13" t="n">
        <v>109</v>
      </c>
      <c r="M2418" s="1">
        <f>IF(L2418="","ไม่พบใน SG",IF(ABS(J2418-L2418)&lt;0.005,"ตรงกัน","ไม่ตรง"))</f>
        <v/>
      </c>
      <c r="N2418" s="14">
        <f>IF(L2418="","",ROUND(L2418*'สรุป'!$C$6,-1))</f>
        <v/>
      </c>
      <c r="O2418" s="15" t="n"/>
      <c r="P2418" s="15" t="n"/>
      <c r="Q2418" s="10" t="n"/>
      <c r="R2418" s="10" t="n"/>
      <c r="S2418" s="16" t="inlineStr">
        <is>
          <t>https://mstgolf.co.th/products/gf2040119355</t>
        </is>
      </c>
      <c r="T2418" s="1">
        <f>IF(B2418="ไม้กอล์ฟ",J2418,"")</f>
        <v/>
      </c>
    </row>
    <row r="2419">
      <c r="A2419" s="1" t="n">
        <v>3</v>
      </c>
      <c r="B2419" s="1" t="inlineStr">
        <is>
          <t>เสื้อผ้า</t>
        </is>
      </c>
      <c r="C2419" s="1" t="inlineStr">
        <is>
          <t>gf2040119358</t>
        </is>
      </c>
      <c r="D2419" s="1" t="inlineStr">
        <is>
          <t>CALVIN KLEIN Cyber Floral Printed Men's Polo (Aquarius)</t>
        </is>
      </c>
      <c r="E2419" s="1" t="inlineStr">
        <is>
          <t>CALVIN KLEIN</t>
        </is>
      </c>
      <c r="F2419" s="1" t="inlineStr">
        <is>
          <t>SHORT SLEEVES</t>
        </is>
      </c>
      <c r="G2419" s="1" t="inlineStr">
        <is>
          <t>GF2040119358S</t>
        </is>
      </c>
      <c r="H2419" s="1" t="n">
        <v>4</v>
      </c>
      <c r="I2419" s="1" t="inlineStr">
        <is>
          <t>มี</t>
        </is>
      </c>
      <c r="J2419" s="13" t="n">
        <v>109</v>
      </c>
      <c r="K2419" s="1" t="inlineStr"/>
      <c r="L2419" s="13" t="n">
        <v>109</v>
      </c>
      <c r="M2419" s="1">
        <f>IF(L2419="","ไม่พบใน SG",IF(ABS(J2419-L2419)&lt;0.005,"ตรงกัน","ไม่ตรง"))</f>
        <v/>
      </c>
      <c r="N2419" s="14">
        <f>IF(L2419="","",ROUND(L2419*'สรุป'!$C$6,-1))</f>
        <v/>
      </c>
      <c r="O2419" s="15" t="n"/>
      <c r="P2419" s="15" t="n"/>
      <c r="Q2419" s="10" t="n"/>
      <c r="R2419" s="10" t="n"/>
      <c r="S2419" s="16" t="inlineStr">
        <is>
          <t>https://mstgolf.co.th/products/gf2040119358</t>
        </is>
      </c>
      <c r="T2419" s="1">
        <f>IF(B2419="ไม้กอล์ฟ",J2419,"")</f>
        <v/>
      </c>
    </row>
    <row r="2420">
      <c r="A2420" s="1" t="n">
        <v>3</v>
      </c>
      <c r="B2420" s="1" t="inlineStr">
        <is>
          <t>เสื้อผ้า</t>
        </is>
      </c>
      <c r="C2420" s="1" t="inlineStr">
        <is>
          <t>gf2040119359</t>
        </is>
      </c>
      <c r="D2420" s="1" t="inlineStr">
        <is>
          <t>CALVIN KLEIN Cyber Floral Printed Men's Polo (Navy)</t>
        </is>
      </c>
      <c r="E2420" s="1" t="inlineStr">
        <is>
          <t>CALVIN KLEIN</t>
        </is>
      </c>
      <c r="F2420" s="1" t="inlineStr">
        <is>
          <t>SHORT SLEEVES</t>
        </is>
      </c>
      <c r="G2420" s="1" t="inlineStr">
        <is>
          <t>GF2040119359S</t>
        </is>
      </c>
      <c r="H2420" s="1" t="n">
        <v>5</v>
      </c>
      <c r="I2420" s="1" t="inlineStr">
        <is>
          <t>มี</t>
        </is>
      </c>
      <c r="J2420" s="13" t="n">
        <v>109</v>
      </c>
      <c r="K2420" s="1" t="inlineStr"/>
      <c r="L2420" s="13" t="n">
        <v>109</v>
      </c>
      <c r="M2420" s="1">
        <f>IF(L2420="","ไม่พบใน SG",IF(ABS(J2420-L2420)&lt;0.005,"ตรงกัน","ไม่ตรง"))</f>
        <v/>
      </c>
      <c r="N2420" s="14">
        <f>IF(L2420="","",ROUND(L2420*'สรุป'!$C$6,-1))</f>
        <v/>
      </c>
      <c r="O2420" s="15" t="n"/>
      <c r="P2420" s="15" t="n"/>
      <c r="Q2420" s="10" t="n"/>
      <c r="R2420" s="10" t="n"/>
      <c r="S2420" s="16" t="inlineStr">
        <is>
          <t>https://mstgolf.co.th/products/gf2040119359</t>
        </is>
      </c>
      <c r="T2420" s="1">
        <f>IF(B2420="ไม้กอล์ฟ",J2420,"")</f>
        <v/>
      </c>
    </row>
    <row r="2421">
      <c r="A2421" s="1" t="n">
        <v>3</v>
      </c>
      <c r="B2421" s="1" t="inlineStr">
        <is>
          <t>เสื้อผ้า</t>
        </is>
      </c>
      <c r="C2421" s="1" t="inlineStr">
        <is>
          <t>gf2020600039</t>
        </is>
      </c>
      <c r="D2421" s="1" t="inlineStr">
        <is>
          <t>CALVIN KLEIN Kisco Women's Legging (Black)</t>
        </is>
      </c>
      <c r="E2421" s="1" t="inlineStr">
        <is>
          <t>CALVIN KLEIN</t>
        </is>
      </c>
      <c r="F2421" s="1" t="inlineStr">
        <is>
          <t>TIGHTS</t>
        </is>
      </c>
      <c r="G2421" s="1" t="inlineStr">
        <is>
          <t>GF2020600039XS</t>
        </is>
      </c>
      <c r="H2421" s="1" t="n">
        <v>6</v>
      </c>
      <c r="I2421" s="1" t="inlineStr">
        <is>
          <t>มี</t>
        </is>
      </c>
      <c r="J2421" s="13" t="n">
        <v>109</v>
      </c>
      <c r="K2421" s="1" t="inlineStr"/>
      <c r="L2421" s="13" t="n">
        <v>75</v>
      </c>
      <c r="M2421" s="1">
        <f>IF(L2421="","ไม่พบใน SG",IF(ABS(J2421-L2421)&lt;0.005,"ตรงกัน","ไม่ตรง"))</f>
        <v/>
      </c>
      <c r="N2421" s="14">
        <f>IF(L2421="","",ROUND(L2421*'สรุป'!$C$6,-1))</f>
        <v/>
      </c>
      <c r="O2421" s="15" t="n"/>
      <c r="P2421" s="15" t="n"/>
      <c r="Q2421" s="10" t="n"/>
      <c r="R2421" s="10" t="n"/>
      <c r="S2421" s="16" t="inlineStr">
        <is>
          <t>https://mstgolf.co.th/products/gf2020600039</t>
        </is>
      </c>
      <c r="T2421" s="1">
        <f>IF(B2421="ไม้กอล์ฟ",J2421,"")</f>
        <v/>
      </c>
    </row>
    <row r="2422">
      <c r="A2422" s="1" t="n">
        <v>3</v>
      </c>
      <c r="B2422" s="1" t="inlineStr">
        <is>
          <t>เสื้อผ้า</t>
        </is>
      </c>
      <c r="C2422" s="1" t="inlineStr">
        <is>
          <t>gf2020600040</t>
        </is>
      </c>
      <c r="D2422" s="1" t="inlineStr">
        <is>
          <t>CALVIN KLEIN Kisco Women's Legging (Navy)</t>
        </is>
      </c>
      <c r="E2422" s="1" t="inlineStr">
        <is>
          <t>CALVIN KLEIN</t>
        </is>
      </c>
      <c r="F2422" s="1" t="inlineStr">
        <is>
          <t>TIGHTS</t>
        </is>
      </c>
      <c r="G2422" s="1" t="inlineStr">
        <is>
          <t>GF2020600040XS</t>
        </is>
      </c>
      <c r="H2422" s="1" t="n">
        <v>5</v>
      </c>
      <c r="I2422" s="1" t="inlineStr">
        <is>
          <t>มี</t>
        </is>
      </c>
      <c r="J2422" s="13" t="n">
        <v>109</v>
      </c>
      <c r="K2422" s="1" t="inlineStr"/>
      <c r="L2422" s="13" t="n">
        <v>75</v>
      </c>
      <c r="M2422" s="1">
        <f>IF(L2422="","ไม่พบใน SG",IF(ABS(J2422-L2422)&lt;0.005,"ตรงกัน","ไม่ตรง"))</f>
        <v/>
      </c>
      <c r="N2422" s="14">
        <f>IF(L2422="","",ROUND(L2422*'สรุป'!$C$6,-1))</f>
        <v/>
      </c>
      <c r="O2422" s="15" t="n"/>
      <c r="P2422" s="15" t="n"/>
      <c r="Q2422" s="10" t="n"/>
      <c r="R2422" s="10" t="n"/>
      <c r="S2422" s="16" t="inlineStr">
        <is>
          <t>https://mstgolf.co.th/products/gf2020600040</t>
        </is>
      </c>
      <c r="T2422" s="1">
        <f>IF(B2422="ไม้กอล์ฟ",J2422,"")</f>
        <v/>
      </c>
    </row>
    <row r="2423">
      <c r="A2423" s="1" t="n">
        <v>3</v>
      </c>
      <c r="B2423" s="1" t="inlineStr">
        <is>
          <t>เสื้อผ้า</t>
        </is>
      </c>
      <c r="C2423" s="1" t="inlineStr">
        <is>
          <t>gf2040401123</t>
        </is>
      </c>
      <c r="D2423" s="1" t="inlineStr">
        <is>
          <t>CALVIN KLEIN Newport Half Zip Men's Long Sleeve Shirt (Spicy Orange)</t>
        </is>
      </c>
      <c r="E2423" s="1" t="inlineStr">
        <is>
          <t>CALVIN KLEIN</t>
        </is>
      </c>
      <c r="F2423" s="1" t="inlineStr">
        <is>
          <t>LONG SLEEVES</t>
        </is>
      </c>
      <c r="G2423" s="1" t="inlineStr">
        <is>
          <t>GF2040401123S</t>
        </is>
      </c>
      <c r="H2423" s="1" t="n">
        <v>5</v>
      </c>
      <c r="I2423" s="1" t="inlineStr">
        <is>
          <t>มี</t>
        </is>
      </c>
      <c r="J2423" s="13" t="n">
        <v>109</v>
      </c>
      <c r="K2423" s="1" t="inlineStr"/>
      <c r="L2423" s="13" t="n">
        <v>49</v>
      </c>
      <c r="M2423" s="1">
        <f>IF(L2423="","ไม่พบใน SG",IF(ABS(J2423-L2423)&lt;0.005,"ตรงกัน","ไม่ตรง"))</f>
        <v/>
      </c>
      <c r="N2423" s="14">
        <f>IF(L2423="","",ROUND(L2423*'สรุป'!$C$6,-1))</f>
        <v/>
      </c>
      <c r="O2423" s="15" t="n"/>
      <c r="P2423" s="15" t="n"/>
      <c r="Q2423" s="10" t="n"/>
      <c r="R2423" s="10" t="n"/>
      <c r="S2423" s="16" t="inlineStr">
        <is>
          <t>https://mstgolf.co.th/products/gf2040401123</t>
        </is>
      </c>
      <c r="T2423" s="1">
        <f>IF(B2423="ไม้กอล์ฟ",J2423,"")</f>
        <v/>
      </c>
    </row>
    <row r="2424">
      <c r="A2424" s="1" t="n">
        <v>3</v>
      </c>
      <c r="B2424" s="1" t="inlineStr">
        <is>
          <t>เสื้อผ้า</t>
        </is>
      </c>
      <c r="C2424" s="1" t="inlineStr">
        <is>
          <t>gf2040401122</t>
        </is>
      </c>
      <c r="D2424" s="1" t="inlineStr">
        <is>
          <t>CALVIN KLEIN Newport Half-Zip Men's Long Sleeve Shirt (Silver Marl)</t>
        </is>
      </c>
      <c r="E2424" s="1" t="inlineStr">
        <is>
          <t>CALVIN KLEIN</t>
        </is>
      </c>
      <c r="F2424" s="1" t="inlineStr">
        <is>
          <t>LONG SLEEVES</t>
        </is>
      </c>
      <c r="G2424" s="1" t="inlineStr">
        <is>
          <t>GF2040401122S</t>
        </is>
      </c>
      <c r="H2424" s="1" t="n">
        <v>5</v>
      </c>
      <c r="I2424" s="1" t="inlineStr">
        <is>
          <t>มี</t>
        </is>
      </c>
      <c r="J2424" s="13" t="n">
        <v>109</v>
      </c>
      <c r="K2424" s="1" t="inlineStr"/>
      <c r="L2424" s="13" t="n">
        <v>75</v>
      </c>
      <c r="M2424" s="1">
        <f>IF(L2424="","ไม่พบใน SG",IF(ABS(J2424-L2424)&lt;0.005,"ตรงกัน","ไม่ตรง"))</f>
        <v/>
      </c>
      <c r="N2424" s="14">
        <f>IF(L2424="","",ROUND(L2424*'สรุป'!$C$6,-1))</f>
        <v/>
      </c>
      <c r="O2424" s="15" t="n"/>
      <c r="P2424" s="15" t="n"/>
      <c r="Q2424" s="10" t="n"/>
      <c r="R2424" s="10" t="n"/>
      <c r="S2424" s="16" t="inlineStr">
        <is>
          <t>https://mstgolf.co.th/products/gf2040401122</t>
        </is>
      </c>
      <c r="T2424" s="1">
        <f>IF(B2424="ไม้กอล์ฟ",J2424,"")</f>
        <v/>
      </c>
    </row>
    <row r="2425">
      <c r="A2425" s="1" t="n">
        <v>3</v>
      </c>
      <c r="B2425" s="1" t="inlineStr">
        <is>
          <t>เสื้อผ้า</t>
        </is>
      </c>
      <c r="C2425" s="1" t="inlineStr">
        <is>
          <t>gf2040401340</t>
        </is>
      </c>
      <c r="D2425" s="1" t="inlineStr">
        <is>
          <t>CALVIN KLEIN San Marcos 1/4 Zip Women's Long Sleeve Shirt (Cornflower)</t>
        </is>
      </c>
      <c r="E2425" s="1" t="inlineStr">
        <is>
          <t>CALVIN KLEIN</t>
        </is>
      </c>
      <c r="F2425" s="1" t="inlineStr">
        <is>
          <t>LONG SLEEVES</t>
        </is>
      </c>
      <c r="G2425" s="1" t="inlineStr">
        <is>
          <t>GF2040401340XS</t>
        </is>
      </c>
      <c r="H2425" s="1" t="n">
        <v>5</v>
      </c>
      <c r="I2425" s="1" t="inlineStr">
        <is>
          <t>มี</t>
        </is>
      </c>
      <c r="J2425" s="13" t="n">
        <v>109</v>
      </c>
      <c r="K2425" s="1" t="inlineStr"/>
      <c r="L2425" s="13" t="n">
        <v>109</v>
      </c>
      <c r="M2425" s="1">
        <f>IF(L2425="","ไม่พบใน SG",IF(ABS(J2425-L2425)&lt;0.005,"ตรงกัน","ไม่ตรง"))</f>
        <v/>
      </c>
      <c r="N2425" s="14">
        <f>IF(L2425="","",ROUND(L2425*'สรุป'!$C$6,-1))</f>
        <v/>
      </c>
      <c r="O2425" s="15" t="n"/>
      <c r="P2425" s="15" t="n"/>
      <c r="Q2425" s="10" t="n"/>
      <c r="R2425" s="10" t="n"/>
      <c r="S2425" s="16" t="inlineStr">
        <is>
          <t>https://mstgolf.co.th/products/gf2040401340</t>
        </is>
      </c>
      <c r="T2425" s="1">
        <f>IF(B2425="ไม้กอล์ฟ",J2425,"")</f>
        <v/>
      </c>
    </row>
    <row r="2426">
      <c r="A2426" s="1" t="n">
        <v>3</v>
      </c>
      <c r="B2426" s="1" t="inlineStr">
        <is>
          <t>เสื้อผ้า</t>
        </is>
      </c>
      <c r="C2426" s="1" t="inlineStr">
        <is>
          <t>gf2040401342</t>
        </is>
      </c>
      <c r="D2426" s="1" t="inlineStr">
        <is>
          <t>CALVIN KLEIN San Marcos 1/4 Zip Women's Long Sleeve Shirt (Shell Pink)</t>
        </is>
      </c>
      <c r="E2426" s="1" t="inlineStr">
        <is>
          <t>CALVIN KLEIN</t>
        </is>
      </c>
      <c r="F2426" s="1" t="inlineStr">
        <is>
          <t>LONG SLEEVES</t>
        </is>
      </c>
      <c r="G2426" s="1" t="inlineStr">
        <is>
          <t>GF2040401342XS</t>
        </is>
      </c>
      <c r="H2426" s="1" t="n">
        <v>5</v>
      </c>
      <c r="I2426" s="1" t="inlineStr">
        <is>
          <t>มี</t>
        </is>
      </c>
      <c r="J2426" s="13" t="n">
        <v>109</v>
      </c>
      <c r="K2426" s="1" t="inlineStr"/>
      <c r="L2426" s="13" t="n">
        <v>109</v>
      </c>
      <c r="M2426" s="1">
        <f>IF(L2426="","ไม่พบใน SG",IF(ABS(J2426-L2426)&lt;0.005,"ตรงกัน","ไม่ตรง"))</f>
        <v/>
      </c>
      <c r="N2426" s="14">
        <f>IF(L2426="","",ROUND(L2426*'สรุป'!$C$6,-1))</f>
        <v/>
      </c>
      <c r="O2426" s="15" t="n"/>
      <c r="P2426" s="15" t="n"/>
      <c r="Q2426" s="10" t="n"/>
      <c r="R2426" s="10" t="n"/>
      <c r="S2426" s="16" t="inlineStr">
        <is>
          <t>https://mstgolf.co.th/products/gf2040401342</t>
        </is>
      </c>
      <c r="T2426" s="1">
        <f>IF(B2426="ไม้กอล์ฟ",J2426,"")</f>
        <v/>
      </c>
    </row>
    <row r="2427">
      <c r="A2427" s="1" t="n">
        <v>3</v>
      </c>
      <c r="B2427" s="1" t="inlineStr">
        <is>
          <t>เสื้อผ้า</t>
        </is>
      </c>
      <c r="C2427" s="1" t="inlineStr">
        <is>
          <t>gf2020202538</t>
        </is>
      </c>
      <c r="D2427" s="1" t="inlineStr">
        <is>
          <t>FOOTJOY JP Stretch Pleated Skort (White)</t>
        </is>
      </c>
      <c r="E2427" s="1" t="inlineStr">
        <is>
          <t>FOOTJOY</t>
        </is>
      </c>
      <c r="F2427" s="1" t="inlineStr">
        <is>
          <t>SHORT PANTS</t>
        </is>
      </c>
      <c r="G2427" s="1" t="inlineStr">
        <is>
          <t>GF2020202538XS</t>
        </is>
      </c>
      <c r="H2427" s="1" t="n">
        <v>5</v>
      </c>
      <c r="I2427" s="1" t="inlineStr">
        <is>
          <t>มี</t>
        </is>
      </c>
      <c r="J2427" s="13" t="n">
        <v>109</v>
      </c>
      <c r="K2427" s="1" t="inlineStr"/>
      <c r="L2427" s="13" t="n">
        <v>75</v>
      </c>
      <c r="M2427" s="1">
        <f>IF(L2427="","ไม่พบใน SG",IF(ABS(J2427-L2427)&lt;0.005,"ตรงกัน","ไม่ตรง"))</f>
        <v/>
      </c>
      <c r="N2427" s="14">
        <f>IF(L2427="","",ROUND(L2427*'สรุป'!$C$6,-1))</f>
        <v/>
      </c>
      <c r="O2427" s="15" t="n"/>
      <c r="P2427" s="15" t="n"/>
      <c r="Q2427" s="10" t="n"/>
      <c r="R2427" s="10" t="n"/>
      <c r="S2427" s="16" t="inlineStr">
        <is>
          <t>https://mstgolf.co.th/products/gf2020202538</t>
        </is>
      </c>
      <c r="T2427" s="1">
        <f>IF(B2427="ไม้กอล์ฟ",J2427,"")</f>
        <v/>
      </c>
    </row>
    <row r="2428">
      <c r="A2428" s="1" t="n">
        <v>3</v>
      </c>
      <c r="B2428" s="1" t="inlineStr">
        <is>
          <t>เสื้อผ้า</t>
        </is>
      </c>
      <c r="C2428" s="1" t="inlineStr">
        <is>
          <t>gf2040400903</t>
        </is>
      </c>
      <c r="D2428" s="1" t="inlineStr">
        <is>
          <t>GFORE Fore Mock Neck Golf Women's Pullover Sweater (Snow)</t>
        </is>
      </c>
      <c r="E2428" s="1" t="inlineStr">
        <is>
          <t>GFORE</t>
        </is>
      </c>
      <c r="F2428" s="1" t="inlineStr">
        <is>
          <t>LONG SLEEVES</t>
        </is>
      </c>
      <c r="G2428" s="1" t="inlineStr">
        <is>
          <t>GF2040400903XS</t>
        </is>
      </c>
      <c r="H2428" s="1" t="n">
        <v>6</v>
      </c>
      <c r="I2428" s="1" t="inlineStr">
        <is>
          <t>มี</t>
        </is>
      </c>
      <c r="J2428" s="13" t="n">
        <v>109</v>
      </c>
      <c r="K2428" s="1" t="inlineStr"/>
      <c r="L2428" s="13" t="n">
        <v>109</v>
      </c>
      <c r="M2428" s="1">
        <f>IF(L2428="","ไม่พบใน SG",IF(ABS(J2428-L2428)&lt;0.005,"ตรงกัน","ไม่ตรง"))</f>
        <v/>
      </c>
      <c r="N2428" s="14">
        <f>IF(L2428="","",ROUND(L2428*'สรุป'!$C$6,-1))</f>
        <v/>
      </c>
      <c r="O2428" s="15" t="n"/>
      <c r="P2428" s="15" t="n"/>
      <c r="Q2428" s="10" t="n"/>
      <c r="R2428" s="10" t="n"/>
      <c r="S2428" s="16" t="inlineStr">
        <is>
          <t>https://mstgolf.co.th/products/gf2040400903</t>
        </is>
      </c>
      <c r="T2428" s="1">
        <f>IF(B2428="ไม้กอล์ฟ",J2428,"")</f>
        <v/>
      </c>
    </row>
    <row r="2429">
      <c r="A2429" s="1" t="n">
        <v>3</v>
      </c>
      <c r="B2429" s="1" t="inlineStr">
        <is>
          <t>เสื้อผ้า</t>
        </is>
      </c>
      <c r="C2429" s="1" t="inlineStr">
        <is>
          <t>gf2040114160</t>
        </is>
      </c>
      <c r="D2429" s="1" t="inlineStr">
        <is>
          <t>GFORE Jersey Stripe Men's Polo (Blueprint)</t>
        </is>
      </c>
      <c r="E2429" s="1" t="inlineStr">
        <is>
          <t>GFORE</t>
        </is>
      </c>
      <c r="F2429" s="1" t="inlineStr">
        <is>
          <t>SHORT SLEEVES</t>
        </is>
      </c>
      <c r="G2429" s="1" t="inlineStr">
        <is>
          <t>GF2040114160XS</t>
        </is>
      </c>
      <c r="H2429" s="1" t="n">
        <v>6</v>
      </c>
      <c r="I2429" s="1" t="inlineStr">
        <is>
          <t>มี</t>
        </is>
      </c>
      <c r="J2429" s="13" t="n">
        <v>109</v>
      </c>
      <c r="K2429" s="1" t="inlineStr"/>
      <c r="L2429" s="13" t="n">
        <v>109</v>
      </c>
      <c r="M2429" s="1">
        <f>IF(L2429="","ไม่พบใน SG",IF(ABS(J2429-L2429)&lt;0.005,"ตรงกัน","ไม่ตรง"))</f>
        <v/>
      </c>
      <c r="N2429" s="14">
        <f>IF(L2429="","",ROUND(L2429*'สรุป'!$C$6,-1))</f>
        <v/>
      </c>
      <c r="O2429" s="15" t="n"/>
      <c r="P2429" s="15" t="n"/>
      <c r="Q2429" s="10" t="n"/>
      <c r="R2429" s="10" t="n"/>
      <c r="S2429" s="16" t="inlineStr">
        <is>
          <t>https://mstgolf.co.th/products/gf2040114160</t>
        </is>
      </c>
      <c r="T2429" s="1">
        <f>IF(B2429="ไม้กอล์ฟ",J2429,"")</f>
        <v/>
      </c>
    </row>
    <row r="2430">
      <c r="A2430" s="1" t="n">
        <v>3</v>
      </c>
      <c r="B2430" s="1" t="inlineStr">
        <is>
          <t>อุปกรณ์เสริม</t>
        </is>
      </c>
      <c r="C2430" s="1" t="inlineStr">
        <is>
          <t>gf2080101229</t>
        </is>
      </c>
      <c r="D2430" s="1" t="inlineStr">
        <is>
          <t>GFORE Killer T's Men's Belt (Onyx)</t>
        </is>
      </c>
      <c r="E2430" s="1" t="inlineStr">
        <is>
          <t>GFORE</t>
        </is>
      </c>
      <c r="F2430" s="1" t="inlineStr">
        <is>
          <t>BELT</t>
        </is>
      </c>
      <c r="G2430" s="1" t="inlineStr">
        <is>
          <t>GF208010122930</t>
        </is>
      </c>
      <c r="H2430" s="1" t="n">
        <v>6</v>
      </c>
      <c r="I2430" s="1" t="inlineStr">
        <is>
          <t>มี</t>
        </is>
      </c>
      <c r="J2430" s="13" t="n">
        <v>109</v>
      </c>
      <c r="K2430" s="1" t="inlineStr"/>
      <c r="L2430" s="13" t="n">
        <v>109</v>
      </c>
      <c r="M2430" s="1">
        <f>IF(L2430="","ไม่พบใน SG",IF(ABS(J2430-L2430)&lt;0.005,"ตรงกัน","ไม่ตรง"))</f>
        <v/>
      </c>
      <c r="N2430" s="14">
        <f>IF(L2430="","",ROUND(L2430*'สรุป'!$C$6,-1))</f>
        <v/>
      </c>
      <c r="O2430" s="15" t="n"/>
      <c r="P2430" s="15" t="n"/>
      <c r="Q2430" s="10" t="n"/>
      <c r="R2430" s="10" t="n"/>
      <c r="S2430" s="16" t="inlineStr">
        <is>
          <t>https://mstgolf.co.th/products/gf2080101229</t>
        </is>
      </c>
      <c r="T2430" s="1">
        <f>IF(B2430="ไม้กอล์ฟ",J2430,"")</f>
        <v/>
      </c>
    </row>
    <row r="2431">
      <c r="A2431" s="1" t="n">
        <v>3</v>
      </c>
      <c r="B2431" s="1" t="inlineStr">
        <is>
          <t>เสื้อผ้า</t>
        </is>
      </c>
      <c r="C2431" s="1" t="inlineStr">
        <is>
          <t>gf2060100793</t>
        </is>
      </c>
      <c r="D2431" s="1" t="inlineStr">
        <is>
          <t>GFORE Luxe Staple Sweater Men's Jacket (Onyx)</t>
        </is>
      </c>
      <c r="E2431" s="1" t="inlineStr">
        <is>
          <t>GFORE</t>
        </is>
      </c>
      <c r="F2431" s="1" t="inlineStr">
        <is>
          <t>TOP</t>
        </is>
      </c>
      <c r="G2431" s="1" t="inlineStr">
        <is>
          <t>GF2060100793XS</t>
        </is>
      </c>
      <c r="H2431" s="1" t="n">
        <v>6</v>
      </c>
      <c r="I2431" s="1" t="inlineStr">
        <is>
          <t>มี</t>
        </is>
      </c>
      <c r="J2431" s="13" t="n">
        <v>109</v>
      </c>
      <c r="K2431" s="1" t="inlineStr"/>
      <c r="L2431" s="13" t="n">
        <v>109</v>
      </c>
      <c r="M2431" s="1">
        <f>IF(L2431="","ไม่พบใน SG",IF(ABS(J2431-L2431)&lt;0.005,"ตรงกัน","ไม่ตรง"))</f>
        <v/>
      </c>
      <c r="N2431" s="14">
        <f>IF(L2431="","",ROUND(L2431*'สรุป'!$C$6,-1))</f>
        <v/>
      </c>
      <c r="O2431" s="15" t="n"/>
      <c r="P2431" s="15" t="n"/>
      <c r="Q2431" s="10" t="n"/>
      <c r="R2431" s="10" t="n"/>
      <c r="S2431" s="16" t="inlineStr">
        <is>
          <t>https://mstgolf.co.th/products/gf2060100793</t>
        </is>
      </c>
      <c r="T2431" s="1">
        <f>IF(B2431="ไม้กอล์ฟ",J2431,"")</f>
        <v/>
      </c>
    </row>
    <row r="2432">
      <c r="A2432" s="1" t="n">
        <v>3</v>
      </c>
      <c r="B2432" s="1" t="inlineStr">
        <is>
          <t>เสื้อผ้า</t>
        </is>
      </c>
      <c r="C2432" s="1" t="inlineStr">
        <is>
          <t>gf2040114159</t>
        </is>
      </c>
      <c r="D2432" s="1" t="inlineStr">
        <is>
          <t>GFORE Mini G Men's Polo (Poppy)</t>
        </is>
      </c>
      <c r="E2432" s="1" t="inlineStr">
        <is>
          <t>GFORE</t>
        </is>
      </c>
      <c r="F2432" s="1" t="inlineStr">
        <is>
          <t>SHORT SLEEVES</t>
        </is>
      </c>
      <c r="G2432" s="1" t="inlineStr">
        <is>
          <t>GF2040114159XS</t>
        </is>
      </c>
      <c r="H2432" s="1" t="n">
        <v>6</v>
      </c>
      <c r="I2432" s="1" t="inlineStr">
        <is>
          <t>มี</t>
        </is>
      </c>
      <c r="J2432" s="13" t="n">
        <v>109</v>
      </c>
      <c r="K2432" s="1" t="inlineStr"/>
      <c r="L2432" s="13" t="n">
        <v>109</v>
      </c>
      <c r="M2432" s="1">
        <f>IF(L2432="","ไม่พบใน SG",IF(ABS(J2432-L2432)&lt;0.005,"ตรงกัน","ไม่ตรง"))</f>
        <v/>
      </c>
      <c r="N2432" s="14">
        <f>IF(L2432="","",ROUND(L2432*'สรุป'!$C$6,-1))</f>
        <v/>
      </c>
      <c r="O2432" s="15" t="n"/>
      <c r="P2432" s="15" t="n"/>
      <c r="Q2432" s="10" t="n"/>
      <c r="R2432" s="10" t="n"/>
      <c r="S2432" s="16" t="inlineStr">
        <is>
          <t>https://mstgolf.co.th/products/gf2040114159</t>
        </is>
      </c>
      <c r="T2432" s="1">
        <f>IF(B2432="ไม้กอล์ฟ",J2432,"")</f>
        <v/>
      </c>
    </row>
    <row r="2433">
      <c r="A2433" s="1" t="n">
        <v>3</v>
      </c>
      <c r="B2433" s="1" t="inlineStr">
        <is>
          <t>เสื้อผ้า</t>
        </is>
      </c>
      <c r="C2433" s="1" t="inlineStr">
        <is>
          <t>gf2040114169</t>
        </is>
      </c>
      <c r="D2433" s="1" t="inlineStr">
        <is>
          <t>GFORE Offset Pique Jersey Men's Polo (Twilight)</t>
        </is>
      </c>
      <c r="E2433" s="1" t="inlineStr">
        <is>
          <t>GFORE</t>
        </is>
      </c>
      <c r="F2433" s="1" t="inlineStr">
        <is>
          <t>SHORT SLEEVES</t>
        </is>
      </c>
      <c r="G2433" s="1" t="inlineStr">
        <is>
          <t>GF2040114169XS</t>
        </is>
      </c>
      <c r="H2433" s="1" t="n">
        <v>6</v>
      </c>
      <c r="I2433" s="1" t="inlineStr">
        <is>
          <t>มี</t>
        </is>
      </c>
      <c r="J2433" s="13" t="n">
        <v>109</v>
      </c>
      <c r="K2433" s="1" t="inlineStr"/>
      <c r="L2433" s="13" t="n">
        <v>109</v>
      </c>
      <c r="M2433" s="1">
        <f>IF(L2433="","ไม่พบใน SG",IF(ABS(J2433-L2433)&lt;0.005,"ตรงกัน","ไม่ตรง"))</f>
        <v/>
      </c>
      <c r="N2433" s="14">
        <f>IF(L2433="","",ROUND(L2433*'สรุป'!$C$6,-1))</f>
        <v/>
      </c>
      <c r="O2433" s="15" t="n"/>
      <c r="P2433" s="15" t="n"/>
      <c r="Q2433" s="10" t="n"/>
      <c r="R2433" s="10" t="n"/>
      <c r="S2433" s="16" t="inlineStr">
        <is>
          <t>https://mstgolf.co.th/products/gf2040114169</t>
        </is>
      </c>
      <c r="T2433" s="1">
        <f>IF(B2433="ไม้กอล์ฟ",J2433,"")</f>
        <v/>
      </c>
    </row>
    <row r="2434">
      <c r="A2434" s="1" t="n">
        <v>3</v>
      </c>
      <c r="B2434" s="1" t="inlineStr">
        <is>
          <t>เสื้อผ้า</t>
        </is>
      </c>
      <c r="C2434" s="1" t="inlineStr">
        <is>
          <t>gf2060100999</t>
        </is>
      </c>
      <c r="D2434" s="1" t="inlineStr">
        <is>
          <t>GFORE Peony Women's Long Sleeve Outerwear (Heather Grey)</t>
        </is>
      </c>
      <c r="E2434" s="1" t="inlineStr">
        <is>
          <t>GFORE</t>
        </is>
      </c>
      <c r="F2434" s="1" t="inlineStr">
        <is>
          <t>TOP</t>
        </is>
      </c>
      <c r="G2434" s="1" t="inlineStr">
        <is>
          <t>GF2060100999XS</t>
        </is>
      </c>
      <c r="H2434" s="1" t="n">
        <v>5</v>
      </c>
      <c r="I2434" s="1" t="inlineStr">
        <is>
          <t>มี</t>
        </is>
      </c>
      <c r="J2434" s="13" t="n">
        <v>109</v>
      </c>
      <c r="K2434" s="1" t="inlineStr"/>
      <c r="L2434" s="13" t="n">
        <v>109</v>
      </c>
      <c r="M2434" s="1">
        <f>IF(L2434="","ไม่พบใน SG",IF(ABS(J2434-L2434)&lt;0.005,"ตรงกัน","ไม่ตรง"))</f>
        <v/>
      </c>
      <c r="N2434" s="14">
        <f>IF(L2434="","",ROUND(L2434*'สรุป'!$C$6,-1))</f>
        <v/>
      </c>
      <c r="O2434" s="15" t="n"/>
      <c r="P2434" s="15" t="n"/>
      <c r="Q2434" s="10" t="n"/>
      <c r="R2434" s="10" t="n"/>
      <c r="S2434" s="16" t="inlineStr">
        <is>
          <t>https://mstgolf.co.th/products/gf2060100999</t>
        </is>
      </c>
      <c r="T2434" s="1">
        <f>IF(B2434="ไม้กอล์ฟ",J2434,"")</f>
        <v/>
      </c>
    </row>
    <row r="2435">
      <c r="A2435" s="1" t="n">
        <v>3</v>
      </c>
      <c r="B2435" s="1" t="inlineStr">
        <is>
          <t>เสื้อผ้า</t>
        </is>
      </c>
      <c r="C2435" s="1" t="inlineStr">
        <is>
          <t>gf2040117876</t>
        </is>
      </c>
      <c r="D2435" s="1" t="inlineStr">
        <is>
          <t>GFORE Ribbed Tech Nylon Women's Polo (Blush)</t>
        </is>
      </c>
      <c r="E2435" s="1" t="inlineStr">
        <is>
          <t>GFORE</t>
        </is>
      </c>
      <c r="F2435" s="1" t="inlineStr">
        <is>
          <t>SHORT SLEEVES</t>
        </is>
      </c>
      <c r="G2435" s="1" t="inlineStr">
        <is>
          <t>GF2040117876XS</t>
        </is>
      </c>
      <c r="H2435" s="1" t="n">
        <v>6</v>
      </c>
      <c r="I2435" s="1" t="inlineStr">
        <is>
          <t>มี</t>
        </is>
      </c>
      <c r="J2435" s="13" t="n">
        <v>109</v>
      </c>
      <c r="K2435" s="1" t="inlineStr"/>
      <c r="L2435" s="13" t="n">
        <v>109</v>
      </c>
      <c r="M2435" s="1">
        <f>IF(L2435="","ไม่พบใน SG",IF(ABS(J2435-L2435)&lt;0.005,"ตรงกัน","ไม่ตรง"))</f>
        <v/>
      </c>
      <c r="N2435" s="14">
        <f>IF(L2435="","",ROUND(L2435*'สรุป'!$C$6,-1))</f>
        <v/>
      </c>
      <c r="O2435" s="15" t="n"/>
      <c r="P2435" s="15" t="n"/>
      <c r="Q2435" s="10" t="n"/>
      <c r="R2435" s="10" t="n"/>
      <c r="S2435" s="16" t="inlineStr">
        <is>
          <t>https://mstgolf.co.th/products/gf2040117876</t>
        </is>
      </c>
      <c r="T2435" s="1">
        <f>IF(B2435="ไม้กอล์ฟ",J2435,"")</f>
        <v/>
      </c>
    </row>
    <row r="2436">
      <c r="A2436" s="1" t="n">
        <v>3</v>
      </c>
      <c r="B2436" s="1" t="inlineStr">
        <is>
          <t>เสื้อผ้า</t>
        </is>
      </c>
      <c r="C2436" s="1" t="inlineStr">
        <is>
          <t>gf2020202272</t>
        </is>
      </c>
      <c r="D2436" s="1" t="inlineStr">
        <is>
          <t>GFORE Silky Tech Nylon Skort (Day Glow Pink)</t>
        </is>
      </c>
      <c r="E2436" s="1" t="inlineStr">
        <is>
          <t>GFORE</t>
        </is>
      </c>
      <c r="F2436" s="1" t="inlineStr">
        <is>
          <t>SHORT PANTS</t>
        </is>
      </c>
      <c r="G2436" s="1" t="inlineStr">
        <is>
          <t>GF2020202272XS</t>
        </is>
      </c>
      <c r="H2436" s="1" t="n">
        <v>10</v>
      </c>
      <c r="I2436" s="1" t="inlineStr">
        <is>
          <t>มี</t>
        </is>
      </c>
      <c r="J2436" s="13" t="n">
        <v>109</v>
      </c>
      <c r="K2436" s="1" t="inlineStr"/>
      <c r="L2436" s="13" t="n">
        <v>109</v>
      </c>
      <c r="M2436" s="1">
        <f>IF(L2436="","ไม่พบใน SG",IF(ABS(J2436-L2436)&lt;0.005,"ตรงกัน","ไม่ตรง"))</f>
        <v/>
      </c>
      <c r="N2436" s="14">
        <f>IF(L2436="","",ROUND(L2436*'สรุป'!$C$6,-1))</f>
        <v/>
      </c>
      <c r="O2436" s="15" t="n"/>
      <c r="P2436" s="15" t="n"/>
      <c r="Q2436" s="10" t="n"/>
      <c r="R2436" s="10" t="n"/>
      <c r="S2436" s="16" t="inlineStr">
        <is>
          <t>https://mstgolf.co.th/products/gf2020202272</t>
        </is>
      </c>
      <c r="T2436" s="1">
        <f>IF(B2436="ไม้กอล์ฟ",J2436,"")</f>
        <v/>
      </c>
    </row>
    <row r="2437">
      <c r="A2437" s="1" t="n">
        <v>3</v>
      </c>
      <c r="B2437" s="1" t="inlineStr">
        <is>
          <t>เสื้อผ้า</t>
        </is>
      </c>
      <c r="C2437" s="1" t="inlineStr">
        <is>
          <t>gf2040114165</t>
        </is>
      </c>
      <c r="D2437" s="1" t="inlineStr">
        <is>
          <t>GFORE Skull &amp; Tee'S Men's Polo (Monument)</t>
        </is>
      </c>
      <c r="E2437" s="1" t="inlineStr">
        <is>
          <t>GFORE</t>
        </is>
      </c>
      <c r="F2437" s="1" t="inlineStr">
        <is>
          <t>SHORT SLEEVES</t>
        </is>
      </c>
      <c r="G2437" s="1" t="inlineStr">
        <is>
          <t>GF2040114165XS</t>
        </is>
      </c>
      <c r="H2437" s="1" t="n">
        <v>6</v>
      </c>
      <c r="I2437" s="1" t="inlineStr">
        <is>
          <t>มี</t>
        </is>
      </c>
      <c r="J2437" s="13" t="n">
        <v>109</v>
      </c>
      <c r="K2437" s="1" t="inlineStr"/>
      <c r="L2437" s="13" t="n">
        <v>109</v>
      </c>
      <c r="M2437" s="1">
        <f>IF(L2437="","ไม่พบใน SG",IF(ABS(J2437-L2437)&lt;0.005,"ตรงกัน","ไม่ตรง"))</f>
        <v/>
      </c>
      <c r="N2437" s="14">
        <f>IF(L2437="","",ROUND(L2437*'สรุป'!$C$6,-1))</f>
        <v/>
      </c>
      <c r="O2437" s="15" t="n"/>
      <c r="P2437" s="15" t="n"/>
      <c r="Q2437" s="10" t="n"/>
      <c r="R2437" s="10" t="n"/>
      <c r="S2437" s="16" t="inlineStr">
        <is>
          <t>https://mstgolf.co.th/products/gf2040114165</t>
        </is>
      </c>
      <c r="T2437" s="1">
        <f>IF(B2437="ไม้กอล์ฟ",J2437,"")</f>
        <v/>
      </c>
    </row>
    <row r="2438">
      <c r="A2438" s="1" t="n">
        <v>3</v>
      </c>
      <c r="B2438" s="1" t="inlineStr">
        <is>
          <t>เสื้อผ้า</t>
        </is>
      </c>
      <c r="C2438" s="1" t="inlineStr">
        <is>
          <t>gf2040114166</t>
        </is>
      </c>
      <c r="D2438" s="1" t="inlineStr">
        <is>
          <t>GFORE Skull &amp; Tee'S Men's Polo (Twilight)</t>
        </is>
      </c>
      <c r="E2438" s="1" t="inlineStr">
        <is>
          <t>GFORE</t>
        </is>
      </c>
      <c r="F2438" s="1" t="inlineStr">
        <is>
          <t>SHORT SLEEVES</t>
        </is>
      </c>
      <c r="G2438" s="1" t="inlineStr">
        <is>
          <t>GF2040114166XS</t>
        </is>
      </c>
      <c r="H2438" s="1" t="n">
        <v>6</v>
      </c>
      <c r="I2438" s="1" t="inlineStr">
        <is>
          <t>มี</t>
        </is>
      </c>
      <c r="J2438" s="13" t="n">
        <v>109</v>
      </c>
      <c r="K2438" s="1" t="inlineStr"/>
      <c r="L2438" s="13" t="n">
        <v>109</v>
      </c>
      <c r="M2438" s="1">
        <f>IF(L2438="","ไม่พบใน SG",IF(ABS(J2438-L2438)&lt;0.005,"ตรงกัน","ไม่ตรง"))</f>
        <v/>
      </c>
      <c r="N2438" s="14">
        <f>IF(L2438="","",ROUND(L2438*'สรุป'!$C$6,-1))</f>
        <v/>
      </c>
      <c r="O2438" s="15" t="n"/>
      <c r="P2438" s="15" t="n"/>
      <c r="Q2438" s="10" t="n"/>
      <c r="R2438" s="10" t="n"/>
      <c r="S2438" s="16" t="inlineStr">
        <is>
          <t>https://mstgolf.co.th/products/gf2040114166</t>
        </is>
      </c>
      <c r="T2438" s="1">
        <f>IF(B2438="ไม้กอล์ฟ",J2438,"")</f>
        <v/>
      </c>
    </row>
    <row r="2439">
      <c r="A2439" s="1" t="n">
        <v>3</v>
      </c>
      <c r="B2439" s="1" t="inlineStr">
        <is>
          <t>เสื้อผ้า</t>
        </is>
      </c>
      <c r="C2439" s="1" t="inlineStr">
        <is>
          <t>gf2020202277</t>
        </is>
      </c>
      <c r="D2439" s="1" t="inlineStr">
        <is>
          <t>GFORE Tonal Floral Women's Skort (Stone)</t>
        </is>
      </c>
      <c r="E2439" s="1" t="inlineStr">
        <is>
          <t>GFORE</t>
        </is>
      </c>
      <c r="F2439" s="1" t="inlineStr">
        <is>
          <t>SHORT PANTS</t>
        </is>
      </c>
      <c r="G2439" s="1" t="inlineStr">
        <is>
          <t>GF20202022774</t>
        </is>
      </c>
      <c r="H2439" s="1" t="n">
        <v>5</v>
      </c>
      <c r="I2439" s="1" t="inlineStr">
        <is>
          <t>มี</t>
        </is>
      </c>
      <c r="J2439" s="13" t="n">
        <v>109</v>
      </c>
      <c r="K2439" s="1" t="inlineStr"/>
      <c r="L2439" s="13" t="n">
        <v>109</v>
      </c>
      <c r="M2439" s="1">
        <f>IF(L2439="","ไม่พบใน SG",IF(ABS(J2439-L2439)&lt;0.005,"ตรงกัน","ไม่ตรง"))</f>
        <v/>
      </c>
      <c r="N2439" s="14">
        <f>IF(L2439="","",ROUND(L2439*'สรุป'!$C$6,-1))</f>
        <v/>
      </c>
      <c r="O2439" s="15" t="n"/>
      <c r="P2439" s="15" t="n"/>
      <c r="Q2439" s="10" t="n"/>
      <c r="R2439" s="10" t="n"/>
      <c r="S2439" s="16" t="inlineStr">
        <is>
          <t>https://mstgolf.co.th/products/gf2020202277</t>
        </is>
      </c>
      <c r="T2439" s="1">
        <f>IF(B2439="ไม้กอล์ฟ",J2439,"")</f>
        <v/>
      </c>
    </row>
    <row r="2440">
      <c r="A2440" s="1" t="n">
        <v>3</v>
      </c>
      <c r="B2440" s="1" t="inlineStr">
        <is>
          <t>เสื้อผ้า</t>
        </is>
      </c>
      <c r="C2440" s="1" t="inlineStr">
        <is>
          <t>gf2020101614</t>
        </is>
      </c>
      <c r="D2440" s="1" t="inlineStr">
        <is>
          <t>GFORE Tour 5-Pocket Men's Pants (Onyx)</t>
        </is>
      </c>
      <c r="E2440" s="1" t="inlineStr">
        <is>
          <t>GFORE</t>
        </is>
      </c>
      <c r="F2440" s="1" t="inlineStr">
        <is>
          <t>LONG PANTS</t>
        </is>
      </c>
      <c r="G2440" s="1" t="inlineStr">
        <is>
          <t>GF202010161430</t>
        </is>
      </c>
      <c r="H2440" s="1" t="n">
        <v>7</v>
      </c>
      <c r="I2440" s="1" t="inlineStr">
        <is>
          <t>มี</t>
        </is>
      </c>
      <c r="J2440" s="13" t="n">
        <v>109</v>
      </c>
      <c r="K2440" s="1" t="inlineStr"/>
      <c r="L2440" s="13" t="n">
        <v>109</v>
      </c>
      <c r="M2440" s="1">
        <f>IF(L2440="","ไม่พบใน SG",IF(ABS(J2440-L2440)&lt;0.005,"ตรงกัน","ไม่ตรง"))</f>
        <v/>
      </c>
      <c r="N2440" s="14">
        <f>IF(L2440="","",ROUND(L2440*'สรุป'!$C$6,-1))</f>
        <v/>
      </c>
      <c r="O2440" s="15" t="n"/>
      <c r="P2440" s="15" t="n"/>
      <c r="Q2440" s="10" t="n"/>
      <c r="R2440" s="10" t="n"/>
      <c r="S2440" s="16" t="inlineStr">
        <is>
          <t>https://mstgolf.co.th/products/gf2020101614</t>
        </is>
      </c>
      <c r="T2440" s="1">
        <f>IF(B2440="ไม้กอล์ฟ",J2440,"")</f>
        <v/>
      </c>
    </row>
    <row r="2441">
      <c r="A2441" s="1" t="n">
        <v>3</v>
      </c>
      <c r="B2441" s="1" t="inlineStr">
        <is>
          <t>เสื้อผ้า</t>
        </is>
      </c>
      <c r="C2441" s="1" t="inlineStr">
        <is>
          <t>gf2020300145</t>
        </is>
      </c>
      <c r="D2441" s="1" t="inlineStr">
        <is>
          <t>LE COQ SPORTIF GOLF Hem Pleated Skort (Beige)</t>
        </is>
      </c>
      <c r="E2441" s="1" t="inlineStr">
        <is>
          <t>LE COQ SPORTIF GOLF</t>
        </is>
      </c>
      <c r="F2441" s="1" t="inlineStr">
        <is>
          <t>SKORTS</t>
        </is>
      </c>
      <c r="G2441" s="1" t="inlineStr">
        <is>
          <t>GF2020300145S</t>
        </is>
      </c>
      <c r="H2441" s="1" t="n">
        <v>6</v>
      </c>
      <c r="I2441" s="1" t="inlineStr">
        <is>
          <t>มี</t>
        </is>
      </c>
      <c r="J2441" s="13" t="n">
        <v>109</v>
      </c>
      <c r="K2441" s="1" t="inlineStr"/>
      <c r="L2441" s="13" t="n">
        <v>109</v>
      </c>
      <c r="M2441" s="1">
        <f>IF(L2441="","ไม่พบใน SG",IF(ABS(J2441-L2441)&lt;0.005,"ตรงกัน","ไม่ตรง"))</f>
        <v/>
      </c>
      <c r="N2441" s="14">
        <f>IF(L2441="","",ROUND(L2441*'สรุป'!$C$6,-1))</f>
        <v/>
      </c>
      <c r="O2441" s="15" t="n"/>
      <c r="P2441" s="15" t="n"/>
      <c r="Q2441" s="10" t="n"/>
      <c r="R2441" s="10" t="n"/>
      <c r="S2441" s="16" t="inlineStr">
        <is>
          <t>https://mstgolf.co.th/products/gf2020300145</t>
        </is>
      </c>
      <c r="T2441" s="1">
        <f>IF(B2441="ไม้กอล์ฟ",J2441,"")</f>
        <v/>
      </c>
    </row>
    <row r="2442">
      <c r="A2442" s="1" t="n">
        <v>3</v>
      </c>
      <c r="B2442" s="1" t="inlineStr">
        <is>
          <t>เสื้อผ้า</t>
        </is>
      </c>
      <c r="C2442" s="1" t="inlineStr">
        <is>
          <t>gf2020300146</t>
        </is>
      </c>
      <c r="D2442" s="1" t="inlineStr">
        <is>
          <t>LE COQ SPORTIF GOLF Hem Pleated Skort (Green)</t>
        </is>
      </c>
      <c r="E2442" s="1" t="inlineStr">
        <is>
          <t>LE COQ SPORTIF GOLF</t>
        </is>
      </c>
      <c r="F2442" s="1" t="inlineStr">
        <is>
          <t>SKORTS</t>
        </is>
      </c>
      <c r="G2442" s="1" t="inlineStr">
        <is>
          <t>GF2020300146S</t>
        </is>
      </c>
      <c r="H2442" s="1" t="n">
        <v>6</v>
      </c>
      <c r="I2442" s="1" t="inlineStr">
        <is>
          <t>มี</t>
        </is>
      </c>
      <c r="J2442" s="13" t="n">
        <v>109</v>
      </c>
      <c r="K2442" s="1" t="inlineStr"/>
      <c r="L2442" s="13" t="n">
        <v>109</v>
      </c>
      <c r="M2442" s="1">
        <f>IF(L2442="","ไม่พบใน SG",IF(ABS(J2442-L2442)&lt;0.005,"ตรงกัน","ไม่ตรง"))</f>
        <v/>
      </c>
      <c r="N2442" s="14">
        <f>IF(L2442="","",ROUND(L2442*'สรุป'!$C$6,-1))</f>
        <v/>
      </c>
      <c r="O2442" s="15" t="n"/>
      <c r="P2442" s="15" t="n"/>
      <c r="Q2442" s="10" t="n"/>
      <c r="R2442" s="10" t="n"/>
      <c r="S2442" s="16" t="inlineStr">
        <is>
          <t>https://mstgolf.co.th/products/gf2020300146</t>
        </is>
      </c>
      <c r="T2442" s="1">
        <f>IF(B2442="ไม้กอล์ฟ",J2442,"")</f>
        <v/>
      </c>
    </row>
    <row r="2443">
      <c r="A2443" s="1" t="n">
        <v>3</v>
      </c>
      <c r="B2443" s="1" t="inlineStr">
        <is>
          <t>เสื้อผ้า</t>
        </is>
      </c>
      <c r="C2443" s="1" t="inlineStr">
        <is>
          <t>gf2020300147</t>
        </is>
      </c>
      <c r="D2443" s="1" t="inlineStr">
        <is>
          <t>LE COQ SPORTIF GOLF Hem Pleated Skort (Khaki)</t>
        </is>
      </c>
      <c r="E2443" s="1" t="inlineStr">
        <is>
          <t>LE COQ SPORTIF GOLF</t>
        </is>
      </c>
      <c r="F2443" s="1" t="inlineStr">
        <is>
          <t>SKORTS</t>
        </is>
      </c>
      <c r="G2443" s="1" t="inlineStr">
        <is>
          <t>GF2020300147S</t>
        </is>
      </c>
      <c r="H2443" s="1" t="n">
        <v>6</v>
      </c>
      <c r="I2443" s="1" t="inlineStr">
        <is>
          <t>มี</t>
        </is>
      </c>
      <c r="J2443" s="13" t="n">
        <v>109</v>
      </c>
      <c r="K2443" s="1" t="inlineStr"/>
      <c r="L2443" s="13" t="n">
        <v>109</v>
      </c>
      <c r="M2443" s="1">
        <f>IF(L2443="","ไม่พบใน SG",IF(ABS(J2443-L2443)&lt;0.005,"ตรงกัน","ไม่ตรง"))</f>
        <v/>
      </c>
      <c r="N2443" s="14">
        <f>IF(L2443="","",ROUND(L2443*'สรุป'!$C$6,-1))</f>
        <v/>
      </c>
      <c r="O2443" s="15" t="n"/>
      <c r="P2443" s="15" t="n"/>
      <c r="Q2443" s="10" t="n"/>
      <c r="R2443" s="10" t="n"/>
      <c r="S2443" s="16" t="inlineStr">
        <is>
          <t>https://mstgolf.co.th/products/gf2020300147</t>
        </is>
      </c>
      <c r="T2443" s="1">
        <f>IF(B2443="ไม้กอล์ฟ",J2443,"")</f>
        <v/>
      </c>
    </row>
    <row r="2444">
      <c r="A2444" s="1" t="n">
        <v>3</v>
      </c>
      <c r="B2444" s="1" t="inlineStr">
        <is>
          <t>เสื้อผ้า</t>
        </is>
      </c>
      <c r="C2444" s="1" t="inlineStr">
        <is>
          <t>gf2020300148</t>
        </is>
      </c>
      <c r="D2444" s="1" t="inlineStr">
        <is>
          <t>LE COQ SPORTIF GOLF Hem Pleated Skort (Navy)</t>
        </is>
      </c>
      <c r="E2444" s="1" t="inlineStr">
        <is>
          <t>LE COQ SPORTIF GOLF</t>
        </is>
      </c>
      <c r="F2444" s="1" t="inlineStr">
        <is>
          <t>SKORTS</t>
        </is>
      </c>
      <c r="G2444" s="1" t="inlineStr">
        <is>
          <t>GF2020300148S</t>
        </is>
      </c>
      <c r="H2444" s="1" t="n">
        <v>6</v>
      </c>
      <c r="I2444" s="1" t="inlineStr">
        <is>
          <t>มี</t>
        </is>
      </c>
      <c r="J2444" s="13" t="n">
        <v>109</v>
      </c>
      <c r="K2444" s="1" t="inlineStr"/>
      <c r="L2444" s="13" t="n">
        <v>109</v>
      </c>
      <c r="M2444" s="1">
        <f>IF(L2444="","ไม่พบใน SG",IF(ABS(J2444-L2444)&lt;0.005,"ตรงกัน","ไม่ตรง"))</f>
        <v/>
      </c>
      <c r="N2444" s="14">
        <f>IF(L2444="","",ROUND(L2444*'สรุป'!$C$6,-1))</f>
        <v/>
      </c>
      <c r="O2444" s="15" t="n"/>
      <c r="P2444" s="15" t="n"/>
      <c r="Q2444" s="10" t="n"/>
      <c r="R2444" s="10" t="n"/>
      <c r="S2444" s="16" t="inlineStr">
        <is>
          <t>https://mstgolf.co.th/products/gf2020300148</t>
        </is>
      </c>
      <c r="T2444" s="1">
        <f>IF(B2444="ไม้กอล์ฟ",J2444,"")</f>
        <v/>
      </c>
    </row>
    <row r="2445">
      <c r="A2445" s="1" t="n">
        <v>3</v>
      </c>
      <c r="B2445" s="1" t="inlineStr">
        <is>
          <t>เสื้อผ้า</t>
        </is>
      </c>
      <c r="C2445" s="1" t="inlineStr">
        <is>
          <t>gf2020300149</t>
        </is>
      </c>
      <c r="D2445" s="1" t="inlineStr">
        <is>
          <t>LE COQ SPORTIF GOLF Hem Pleated Skort (White)</t>
        </is>
      </c>
      <c r="E2445" s="1" t="inlineStr">
        <is>
          <t>LE COQ SPORTIF GOLF</t>
        </is>
      </c>
      <c r="F2445" s="1" t="inlineStr">
        <is>
          <t>SKORTS</t>
        </is>
      </c>
      <c r="G2445" s="1" t="inlineStr">
        <is>
          <t>GF2020300149S</t>
        </is>
      </c>
      <c r="H2445" s="1" t="n">
        <v>6</v>
      </c>
      <c r="I2445" s="1" t="inlineStr">
        <is>
          <t>มี</t>
        </is>
      </c>
      <c r="J2445" s="13" t="n">
        <v>109</v>
      </c>
      <c r="K2445" s="1" t="inlineStr"/>
      <c r="L2445" s="13" t="n">
        <v>109</v>
      </c>
      <c r="M2445" s="1">
        <f>IF(L2445="","ไม่พบใน SG",IF(ABS(J2445-L2445)&lt;0.005,"ตรงกัน","ไม่ตรง"))</f>
        <v/>
      </c>
      <c r="N2445" s="14">
        <f>IF(L2445="","",ROUND(L2445*'สรุป'!$C$6,-1))</f>
        <v/>
      </c>
      <c r="O2445" s="15" t="n"/>
      <c r="P2445" s="15" t="n"/>
      <c r="Q2445" s="10" t="n"/>
      <c r="R2445" s="10" t="n"/>
      <c r="S2445" s="16" t="inlineStr">
        <is>
          <t>https://mstgolf.co.th/products/gf2020300149</t>
        </is>
      </c>
      <c r="T2445" s="1">
        <f>IF(B2445="ไม้กอล์ฟ",J2445,"")</f>
        <v/>
      </c>
    </row>
    <row r="2446">
      <c r="A2446" s="1" t="n">
        <v>3</v>
      </c>
      <c r="B2446" s="1" t="inlineStr">
        <is>
          <t>เสื้อผ้า</t>
        </is>
      </c>
      <c r="C2446" s="1" t="inlineStr">
        <is>
          <t>gf2040120762</t>
        </is>
      </c>
      <c r="D2446" s="1" t="inlineStr">
        <is>
          <t>LE COQ SPORTIF GOLF Stretch All-Over Print Women's Polo</t>
        </is>
      </c>
      <c r="E2446" s="1" t="inlineStr">
        <is>
          <t>LE COQ SPORTIF GOLF</t>
        </is>
      </c>
      <c r="F2446" s="1" t="inlineStr">
        <is>
          <t>SHORT SLEEVES</t>
        </is>
      </c>
      <c r="G2446" s="1" t="inlineStr">
        <is>
          <t>GF2040120762S</t>
        </is>
      </c>
      <c r="H2446" s="1" t="n">
        <v>5</v>
      </c>
      <c r="I2446" s="1" t="inlineStr">
        <is>
          <t>มี</t>
        </is>
      </c>
      <c r="J2446" s="13" t="n">
        <v>109</v>
      </c>
      <c r="K2446" s="1" t="inlineStr"/>
      <c r="L2446" s="13" t="n">
        <v>75</v>
      </c>
      <c r="M2446" s="1">
        <f>IF(L2446="","ไม่พบใน SG",IF(ABS(J2446-L2446)&lt;0.005,"ตรงกัน","ไม่ตรง"))</f>
        <v/>
      </c>
      <c r="N2446" s="14">
        <f>IF(L2446="","",ROUND(L2446*'สรุป'!$C$6,-1))</f>
        <v/>
      </c>
      <c r="O2446" s="15" t="n"/>
      <c r="P2446" s="15" t="n"/>
      <c r="Q2446" s="10" t="n"/>
      <c r="R2446" s="10" t="n"/>
      <c r="S2446" s="16" t="inlineStr">
        <is>
          <t>https://mstgolf.co.th/products/gf2040120762</t>
        </is>
      </c>
      <c r="T2446" s="1">
        <f>IF(B2446="ไม้กอล์ฟ",J2446,"")</f>
        <v/>
      </c>
    </row>
    <row r="2447">
      <c r="A2447" s="1" t="n">
        <v>3</v>
      </c>
      <c r="B2447" s="1" t="inlineStr">
        <is>
          <t>เสื้อผ้า</t>
        </is>
      </c>
      <c r="C2447" s="1" t="inlineStr">
        <is>
          <t>gf2040120760</t>
        </is>
      </c>
      <c r="D2447" s="1" t="inlineStr">
        <is>
          <t>LE COQ SPORTIF GOLF Stretch All-Over Print Women's Polo (Black)</t>
        </is>
      </c>
      <c r="E2447" s="1" t="inlineStr">
        <is>
          <t>LE COQ SPORTIF GOLF</t>
        </is>
      </c>
      <c r="F2447" s="1" t="inlineStr">
        <is>
          <t>SHORT SLEEVES</t>
        </is>
      </c>
      <c r="G2447" s="1" t="inlineStr">
        <is>
          <t>GF2040120760S</t>
        </is>
      </c>
      <c r="H2447" s="1" t="n">
        <v>5</v>
      </c>
      <c r="I2447" s="1" t="inlineStr">
        <is>
          <t>มี</t>
        </is>
      </c>
      <c r="J2447" s="13" t="n">
        <v>109</v>
      </c>
      <c r="K2447" s="1" t="inlineStr"/>
      <c r="L2447" s="13" t="n">
        <v>75</v>
      </c>
      <c r="M2447" s="1">
        <f>IF(L2447="","ไม่พบใน SG",IF(ABS(J2447-L2447)&lt;0.005,"ตรงกัน","ไม่ตรง"))</f>
        <v/>
      </c>
      <c r="N2447" s="14">
        <f>IF(L2447="","",ROUND(L2447*'สรุป'!$C$6,-1))</f>
        <v/>
      </c>
      <c r="O2447" s="15" t="n"/>
      <c r="P2447" s="15" t="n"/>
      <c r="Q2447" s="10" t="n"/>
      <c r="R2447" s="10" t="n"/>
      <c r="S2447" s="16" t="inlineStr">
        <is>
          <t>https://mstgolf.co.th/products/gf2040120760</t>
        </is>
      </c>
      <c r="T2447" s="1">
        <f>IF(B2447="ไม้กอล์ฟ",J2447,"")</f>
        <v/>
      </c>
    </row>
    <row r="2448">
      <c r="A2448" s="1" t="n">
        <v>3</v>
      </c>
      <c r="B2448" s="1" t="inlineStr">
        <is>
          <t>เสื้อผ้า</t>
        </is>
      </c>
      <c r="C2448" s="1" t="inlineStr">
        <is>
          <t>gf2040120767</t>
        </is>
      </c>
      <c r="D2448" s="1" t="inlineStr">
        <is>
          <t>LE COQ SPORTIF GOLF Stretch Asymmetrical Women's Polo (Black)</t>
        </is>
      </c>
      <c r="E2448" s="1" t="inlineStr">
        <is>
          <t>LE COQ SPORTIF GOLF</t>
        </is>
      </c>
      <c r="F2448" s="1" t="inlineStr">
        <is>
          <t>SHORT SLEEVES</t>
        </is>
      </c>
      <c r="G2448" s="1" t="inlineStr">
        <is>
          <t>GF2040120767S</t>
        </is>
      </c>
      <c r="H2448" s="1" t="n">
        <v>5</v>
      </c>
      <c r="I2448" s="1" t="inlineStr">
        <is>
          <t>มี</t>
        </is>
      </c>
      <c r="J2448" s="13" t="n">
        <v>109</v>
      </c>
      <c r="K2448" s="1" t="inlineStr"/>
      <c r="L2448" s="13" t="n">
        <v>75</v>
      </c>
      <c r="M2448" s="1">
        <f>IF(L2448="","ไม่พบใน SG",IF(ABS(J2448-L2448)&lt;0.005,"ตรงกัน","ไม่ตรง"))</f>
        <v/>
      </c>
      <c r="N2448" s="14">
        <f>IF(L2448="","",ROUND(L2448*'สรุป'!$C$6,-1))</f>
        <v/>
      </c>
      <c r="O2448" s="15" t="n"/>
      <c r="P2448" s="15" t="n"/>
      <c r="Q2448" s="10" t="n"/>
      <c r="R2448" s="10" t="n"/>
      <c r="S2448" s="16" t="inlineStr">
        <is>
          <t>https://mstgolf.co.th/products/gf2040120767</t>
        </is>
      </c>
      <c r="T2448" s="1">
        <f>IF(B2448="ไม้กอล์ฟ",J2448,"")</f>
        <v/>
      </c>
    </row>
    <row r="2449">
      <c r="A2449" s="1" t="n">
        <v>3</v>
      </c>
      <c r="B2449" s="1" t="inlineStr">
        <is>
          <t>เสื้อผ้า</t>
        </is>
      </c>
      <c r="C2449" s="1" t="inlineStr">
        <is>
          <t>gf2040120768</t>
        </is>
      </c>
      <c r="D2449" s="1" t="inlineStr">
        <is>
          <t>LE COQ SPORTIF GOLF Stretch Asymmetrical Women's Polo (Green)</t>
        </is>
      </c>
      <c r="E2449" s="1" t="inlineStr">
        <is>
          <t>LE COQ SPORTIF GOLF</t>
        </is>
      </c>
      <c r="F2449" s="1" t="inlineStr">
        <is>
          <t>SHORT SLEEVES</t>
        </is>
      </c>
      <c r="G2449" s="1" t="inlineStr">
        <is>
          <t>GF2040120768S</t>
        </is>
      </c>
      <c r="H2449" s="1" t="n">
        <v>5</v>
      </c>
      <c r="I2449" s="1" t="inlineStr">
        <is>
          <t>มี</t>
        </is>
      </c>
      <c r="J2449" s="13" t="n">
        <v>109</v>
      </c>
      <c r="K2449" s="1" t="inlineStr"/>
      <c r="L2449" s="13" t="n">
        <v>75</v>
      </c>
      <c r="M2449" s="1">
        <f>IF(L2449="","ไม่พบใน SG",IF(ABS(J2449-L2449)&lt;0.005,"ตรงกัน","ไม่ตรง"))</f>
        <v/>
      </c>
      <c r="N2449" s="14">
        <f>IF(L2449="","",ROUND(L2449*'สรุป'!$C$6,-1))</f>
        <v/>
      </c>
      <c r="O2449" s="15" t="n"/>
      <c r="P2449" s="15" t="n"/>
      <c r="Q2449" s="10" t="n"/>
      <c r="R2449" s="10" t="n"/>
      <c r="S2449" s="16" t="inlineStr">
        <is>
          <t>https://mstgolf.co.th/products/gf2040120768</t>
        </is>
      </c>
      <c r="T2449" s="1">
        <f>IF(B2449="ไม้กอล์ฟ",J2449,"")</f>
        <v/>
      </c>
    </row>
    <row r="2450">
      <c r="A2450" s="1" t="n">
        <v>3</v>
      </c>
      <c r="B2450" s="1" t="inlineStr">
        <is>
          <t>เสื้อผ้า</t>
        </is>
      </c>
      <c r="C2450" s="1" t="inlineStr">
        <is>
          <t>gf2040120769</t>
        </is>
      </c>
      <c r="D2450" s="1" t="inlineStr">
        <is>
          <t>LE COQ SPORTIF GOLF Stretch Asymmetrical Women's Polo (Grey)</t>
        </is>
      </c>
      <c r="E2450" s="1" t="inlineStr">
        <is>
          <t>LE COQ SPORTIF GOLF</t>
        </is>
      </c>
      <c r="F2450" s="1" t="inlineStr">
        <is>
          <t>SHORT SLEEVES</t>
        </is>
      </c>
      <c r="G2450" s="1" t="inlineStr">
        <is>
          <t>GF2040120769S</t>
        </is>
      </c>
      <c r="H2450" s="1" t="n">
        <v>5</v>
      </c>
      <c r="I2450" s="1" t="inlineStr">
        <is>
          <t>มี</t>
        </is>
      </c>
      <c r="J2450" s="13" t="n">
        <v>109</v>
      </c>
      <c r="K2450" s="1" t="inlineStr"/>
      <c r="L2450" s="13" t="n">
        <v>75</v>
      </c>
      <c r="M2450" s="1">
        <f>IF(L2450="","ไม่พบใน SG",IF(ABS(J2450-L2450)&lt;0.005,"ตรงกัน","ไม่ตรง"))</f>
        <v/>
      </c>
      <c r="N2450" s="14">
        <f>IF(L2450="","",ROUND(L2450*'สรุป'!$C$6,-1))</f>
        <v/>
      </c>
      <c r="O2450" s="15" t="n"/>
      <c r="P2450" s="15" t="n"/>
      <c r="Q2450" s="10" t="n"/>
      <c r="R2450" s="10" t="n"/>
      <c r="S2450" s="16" t="inlineStr">
        <is>
          <t>https://mstgolf.co.th/products/gf2040120769</t>
        </is>
      </c>
      <c r="T2450" s="1">
        <f>IF(B2450="ไม้กอล์ฟ",J2450,"")</f>
        <v/>
      </c>
    </row>
    <row r="2451">
      <c r="A2451" s="1" t="n">
        <v>3</v>
      </c>
      <c r="B2451" s="1" t="inlineStr">
        <is>
          <t>เสื้อผ้า</t>
        </is>
      </c>
      <c r="C2451" s="1" t="inlineStr">
        <is>
          <t>gf2040120758</t>
        </is>
      </c>
      <c r="D2451" s="1" t="inlineStr">
        <is>
          <t>LE COQ SPORTIF GOLF WMN SS POLO</t>
        </is>
      </c>
      <c r="E2451" s="1" t="inlineStr">
        <is>
          <t>LE COQ SPORTIF GOLF</t>
        </is>
      </c>
      <c r="F2451" s="1" t="inlineStr">
        <is>
          <t>SHORT SLEEVES</t>
        </is>
      </c>
      <c r="G2451" s="1" t="inlineStr">
        <is>
          <t>GF2040120758S</t>
        </is>
      </c>
      <c r="H2451" s="1" t="n">
        <v>5</v>
      </c>
      <c r="I2451" s="1" t="inlineStr">
        <is>
          <t>มี</t>
        </is>
      </c>
      <c r="J2451" s="13" t="n">
        <v>109</v>
      </c>
      <c r="K2451" s="1" t="inlineStr"/>
      <c r="L2451" s="13" t="n">
        <v>75</v>
      </c>
      <c r="M2451" s="1">
        <f>IF(L2451="","ไม่พบใน SG",IF(ABS(J2451-L2451)&lt;0.005,"ตรงกัน","ไม่ตรง"))</f>
        <v/>
      </c>
      <c r="N2451" s="14">
        <f>IF(L2451="","",ROUND(L2451*'สรุป'!$C$6,-1))</f>
        <v/>
      </c>
      <c r="O2451" s="15" t="n"/>
      <c r="P2451" s="15" t="n"/>
      <c r="Q2451" s="10" t="n"/>
      <c r="R2451" s="10" t="n"/>
      <c r="S2451" s="16" t="inlineStr">
        <is>
          <t>https://mstgolf.co.th/products/gf2040120758</t>
        </is>
      </c>
      <c r="T2451" s="1">
        <f>IF(B2451="ไม้กอล์ฟ",J2451,"")</f>
        <v/>
      </c>
    </row>
    <row r="2452">
      <c r="A2452" s="1" t="n">
        <v>3</v>
      </c>
      <c r="B2452" s="1" t="inlineStr">
        <is>
          <t>เสื้อผ้า</t>
        </is>
      </c>
      <c r="C2452" s="1" t="inlineStr">
        <is>
          <t>gf2040120750</t>
        </is>
      </c>
      <c r="D2452" s="1" t="inlineStr">
        <is>
          <t>LE COQ SPORTIF GOLF Women's Polo (Lime)</t>
        </is>
      </c>
      <c r="E2452" s="1" t="inlineStr">
        <is>
          <t>LE COQ SPORTIF GOLF</t>
        </is>
      </c>
      <c r="F2452" s="1" t="inlineStr">
        <is>
          <t>SHORT SLEEVES</t>
        </is>
      </c>
      <c r="G2452" s="1" t="inlineStr">
        <is>
          <t>GF2040120750S</t>
        </is>
      </c>
      <c r="H2452" s="1" t="n">
        <v>5</v>
      </c>
      <c r="I2452" s="1" t="inlineStr">
        <is>
          <t>มี</t>
        </is>
      </c>
      <c r="J2452" s="13" t="n">
        <v>109</v>
      </c>
      <c r="K2452" s="1" t="inlineStr"/>
      <c r="L2452" s="13" t="n">
        <v>75</v>
      </c>
      <c r="M2452" s="1">
        <f>IF(L2452="","ไม่พบใน SG",IF(ABS(J2452-L2452)&lt;0.005,"ตรงกัน","ไม่ตรง"))</f>
        <v/>
      </c>
      <c r="N2452" s="14">
        <f>IF(L2452="","",ROUND(L2452*'สรุป'!$C$6,-1))</f>
        <v/>
      </c>
      <c r="O2452" s="15" t="n"/>
      <c r="P2452" s="15" t="n"/>
      <c r="Q2452" s="10" t="n"/>
      <c r="R2452" s="10" t="n"/>
      <c r="S2452" s="16" t="inlineStr">
        <is>
          <t>https://mstgolf.co.th/products/gf2040120750</t>
        </is>
      </c>
      <c r="T2452" s="1">
        <f>IF(B2452="ไม้กอล์ฟ",J2452,"")</f>
        <v/>
      </c>
    </row>
    <row r="2453">
      <c r="A2453" s="1" t="n">
        <v>3</v>
      </c>
      <c r="B2453" s="1" t="inlineStr">
        <is>
          <t>เสื้อผ้า</t>
        </is>
      </c>
      <c r="C2453" s="1" t="inlineStr">
        <is>
          <t>gf2040120756</t>
        </is>
      </c>
      <c r="D2453" s="1" t="inlineStr">
        <is>
          <t>LE COQ SPORTIF GOLF Women's Polo (Navy)</t>
        </is>
      </c>
      <c r="E2453" s="1" t="inlineStr">
        <is>
          <t>LE COQ SPORTIF GOLF</t>
        </is>
      </c>
      <c r="F2453" s="1" t="inlineStr">
        <is>
          <t>SHORT SLEEVES</t>
        </is>
      </c>
      <c r="G2453" s="1" t="inlineStr">
        <is>
          <t>GF2040120756S</t>
        </is>
      </c>
      <c r="H2453" s="1" t="n">
        <v>5</v>
      </c>
      <c r="I2453" s="1" t="inlineStr">
        <is>
          <t>มี</t>
        </is>
      </c>
      <c r="J2453" s="13" t="n">
        <v>109</v>
      </c>
      <c r="K2453" s="1" t="inlineStr"/>
      <c r="L2453" s="13" t="n">
        <v>75</v>
      </c>
      <c r="M2453" s="1">
        <f>IF(L2453="","ไม่พบใน SG",IF(ABS(J2453-L2453)&lt;0.005,"ตรงกัน","ไม่ตรง"))</f>
        <v/>
      </c>
      <c r="N2453" s="14">
        <f>IF(L2453="","",ROUND(L2453*'สรุป'!$C$6,-1))</f>
        <v/>
      </c>
      <c r="O2453" s="15" t="n"/>
      <c r="P2453" s="15" t="n"/>
      <c r="Q2453" s="10" t="n"/>
      <c r="R2453" s="10" t="n"/>
      <c r="S2453" s="16" t="inlineStr">
        <is>
          <t>https://mstgolf.co.th/products/gf2040120756</t>
        </is>
      </c>
      <c r="T2453" s="1">
        <f>IF(B2453="ไม้กอล์ฟ",J2453,"")</f>
        <v/>
      </c>
    </row>
    <row r="2454">
      <c r="A2454" s="1" t="n">
        <v>3</v>
      </c>
      <c r="B2454" s="1" t="inlineStr">
        <is>
          <t>เสื้อผ้า</t>
        </is>
      </c>
      <c r="C2454" s="1" t="inlineStr">
        <is>
          <t>gf2040120751</t>
        </is>
      </c>
      <c r="D2454" s="1" t="inlineStr">
        <is>
          <t>LE COQ SPORTIF GOLF Women's Polo (Navy)</t>
        </is>
      </c>
      <c r="E2454" s="1" t="inlineStr">
        <is>
          <t>LE COQ SPORTIF GOLF</t>
        </is>
      </c>
      <c r="F2454" s="1" t="inlineStr">
        <is>
          <t>SHORT SLEEVES</t>
        </is>
      </c>
      <c r="G2454" s="1" t="inlineStr">
        <is>
          <t>GF2040120751S</t>
        </is>
      </c>
      <c r="H2454" s="1" t="n">
        <v>5</v>
      </c>
      <c r="I2454" s="1" t="inlineStr">
        <is>
          <t>มี</t>
        </is>
      </c>
      <c r="J2454" s="13" t="n">
        <v>109</v>
      </c>
      <c r="K2454" s="1" t="inlineStr"/>
      <c r="L2454" s="13" t="n">
        <v>75</v>
      </c>
      <c r="M2454" s="1">
        <f>IF(L2454="","ไม่พบใน SG",IF(ABS(J2454-L2454)&lt;0.005,"ตรงกัน","ไม่ตรง"))</f>
        <v/>
      </c>
      <c r="N2454" s="14">
        <f>IF(L2454="","",ROUND(L2454*'สรุป'!$C$6,-1))</f>
        <v/>
      </c>
      <c r="O2454" s="15" t="n"/>
      <c r="P2454" s="15" t="n"/>
      <c r="Q2454" s="10" t="n"/>
      <c r="R2454" s="10" t="n"/>
      <c r="S2454" s="16" t="inlineStr">
        <is>
          <t>https://mstgolf.co.th/products/gf2040120751</t>
        </is>
      </c>
      <c r="T2454" s="1">
        <f>IF(B2454="ไม้กอล์ฟ",J2454,"")</f>
        <v/>
      </c>
    </row>
    <row r="2455">
      <c r="A2455" s="1" t="n">
        <v>3</v>
      </c>
      <c r="B2455" s="1" t="inlineStr">
        <is>
          <t>เสื้อผ้า</t>
        </is>
      </c>
      <c r="C2455" s="1" t="inlineStr">
        <is>
          <t>gf2040120752</t>
        </is>
      </c>
      <c r="D2455" s="1" t="inlineStr">
        <is>
          <t>LE COQ SPORTIF GOLF Women's Polo (Red)</t>
        </is>
      </c>
      <c r="E2455" s="1" t="inlineStr">
        <is>
          <t>LE COQ SPORTIF GOLF</t>
        </is>
      </c>
      <c r="F2455" s="1" t="inlineStr">
        <is>
          <t>SHORT SLEEVES</t>
        </is>
      </c>
      <c r="G2455" s="1" t="inlineStr">
        <is>
          <t>GF2040120752S</t>
        </is>
      </c>
      <c r="H2455" s="1" t="n">
        <v>5</v>
      </c>
      <c r="I2455" s="1" t="inlineStr">
        <is>
          <t>มี</t>
        </is>
      </c>
      <c r="J2455" s="13" t="n">
        <v>109</v>
      </c>
      <c r="K2455" s="1" t="inlineStr"/>
      <c r="L2455" s="13" t="n">
        <v>75</v>
      </c>
      <c r="M2455" s="1">
        <f>IF(L2455="","ไม่พบใน SG",IF(ABS(J2455-L2455)&lt;0.005,"ตรงกัน","ไม่ตรง"))</f>
        <v/>
      </c>
      <c r="N2455" s="14">
        <f>IF(L2455="","",ROUND(L2455*'สรุป'!$C$6,-1))</f>
        <v/>
      </c>
      <c r="O2455" s="15" t="n"/>
      <c r="P2455" s="15" t="n"/>
      <c r="Q2455" s="10" t="n"/>
      <c r="R2455" s="10" t="n"/>
      <c r="S2455" s="16" t="inlineStr">
        <is>
          <t>https://mstgolf.co.th/products/gf2040120752</t>
        </is>
      </c>
      <c r="T2455" s="1">
        <f>IF(B2455="ไม้กอล์ฟ",J2455,"")</f>
        <v/>
      </c>
    </row>
    <row r="2456">
      <c r="A2456" s="1" t="n">
        <v>3</v>
      </c>
      <c r="B2456" s="1" t="inlineStr">
        <is>
          <t>เสื้อผ้า</t>
        </is>
      </c>
      <c r="C2456" s="1" t="inlineStr">
        <is>
          <t>gf2040120753</t>
        </is>
      </c>
      <c r="D2456" s="1" t="inlineStr">
        <is>
          <t>LE COQ SPORTIF GOLF Women's Polo (White)</t>
        </is>
      </c>
      <c r="E2456" s="1" t="inlineStr">
        <is>
          <t>LE COQ SPORTIF GOLF</t>
        </is>
      </c>
      <c r="F2456" s="1" t="inlineStr">
        <is>
          <t>SHORT SLEEVES</t>
        </is>
      </c>
      <c r="G2456" s="1" t="inlineStr">
        <is>
          <t>GF2040120753S</t>
        </is>
      </c>
      <c r="H2456" s="1" t="n">
        <v>5</v>
      </c>
      <c r="I2456" s="1" t="inlineStr">
        <is>
          <t>มี</t>
        </is>
      </c>
      <c r="J2456" s="13" t="n">
        <v>109</v>
      </c>
      <c r="K2456" s="1" t="inlineStr"/>
      <c r="L2456" s="13" t="n">
        <v>75</v>
      </c>
      <c r="M2456" s="1">
        <f>IF(L2456="","ไม่พบใน SG",IF(ABS(J2456-L2456)&lt;0.005,"ตรงกัน","ไม่ตรง"))</f>
        <v/>
      </c>
      <c r="N2456" s="14">
        <f>IF(L2456="","",ROUND(L2456*'สรุป'!$C$6,-1))</f>
        <v/>
      </c>
      <c r="O2456" s="15" t="n"/>
      <c r="P2456" s="15" t="n"/>
      <c r="Q2456" s="10" t="n"/>
      <c r="R2456" s="10" t="n"/>
      <c r="S2456" s="16" t="inlineStr">
        <is>
          <t>https://mstgolf.co.th/products/gf2040120753</t>
        </is>
      </c>
      <c r="T2456" s="1">
        <f>IF(B2456="ไม้กอล์ฟ",J2456,"")</f>
        <v/>
      </c>
    </row>
    <row r="2457">
      <c r="A2457" s="1" t="n">
        <v>3</v>
      </c>
      <c r="B2457" s="1" t="inlineStr">
        <is>
          <t>เสื้อผ้า</t>
        </is>
      </c>
      <c r="C2457" s="1" t="inlineStr">
        <is>
          <t>gf2020202832</t>
        </is>
      </c>
      <c r="D2457" s="1" t="inlineStr">
        <is>
          <t>LE COQ SPORTIF GOLF Women's Shorts (Green)</t>
        </is>
      </c>
      <c r="E2457" s="1" t="inlineStr">
        <is>
          <t>LE COQ SPORTIF GOLF</t>
        </is>
      </c>
      <c r="F2457" s="1" t="inlineStr">
        <is>
          <t>SHORT PANTS</t>
        </is>
      </c>
      <c r="G2457" s="1" t="inlineStr">
        <is>
          <t>GF2020202832S</t>
        </is>
      </c>
      <c r="H2457" s="1" t="n">
        <v>5</v>
      </c>
      <c r="I2457" s="1" t="inlineStr">
        <is>
          <t>มี</t>
        </is>
      </c>
      <c r="J2457" s="13" t="n">
        <v>109</v>
      </c>
      <c r="K2457" s="1" t="inlineStr"/>
      <c r="L2457" s="13" t="n">
        <v>109</v>
      </c>
      <c r="M2457" s="1">
        <f>IF(L2457="","ไม่พบใน SG",IF(ABS(J2457-L2457)&lt;0.005,"ตรงกัน","ไม่ตรง"))</f>
        <v/>
      </c>
      <c r="N2457" s="14">
        <f>IF(L2457="","",ROUND(L2457*'สรุป'!$C$6,-1))</f>
        <v/>
      </c>
      <c r="O2457" s="15" t="n"/>
      <c r="P2457" s="15" t="n"/>
      <c r="Q2457" s="10" t="n"/>
      <c r="R2457" s="10" t="n"/>
      <c r="S2457" s="16" t="inlineStr">
        <is>
          <t>https://mstgolf.co.th/products/gf2020202832</t>
        </is>
      </c>
      <c r="T2457" s="1">
        <f>IF(B2457="ไม้กอล์ฟ",J2457,"")</f>
        <v/>
      </c>
    </row>
    <row r="2458">
      <c r="A2458" s="1" t="n">
        <v>3</v>
      </c>
      <c r="B2458" s="1" t="inlineStr">
        <is>
          <t>เสื้อผ้า</t>
        </is>
      </c>
      <c r="C2458" s="1" t="inlineStr">
        <is>
          <t>gf2020202833</t>
        </is>
      </c>
      <c r="D2458" s="1" t="inlineStr">
        <is>
          <t>LE COQ SPORTIF GOLF Women's Shorts (Navy )</t>
        </is>
      </c>
      <c r="E2458" s="1" t="inlineStr">
        <is>
          <t>LE COQ SPORTIF GOLF</t>
        </is>
      </c>
      <c r="F2458" s="1" t="inlineStr">
        <is>
          <t>SHORT PANTS</t>
        </is>
      </c>
      <c r="G2458" s="1" t="inlineStr">
        <is>
          <t>GF2020202833S</t>
        </is>
      </c>
      <c r="H2458" s="1" t="n">
        <v>5</v>
      </c>
      <c r="I2458" s="1" t="inlineStr">
        <is>
          <t>มี</t>
        </is>
      </c>
      <c r="J2458" s="13" t="n">
        <v>109</v>
      </c>
      <c r="K2458" s="1" t="inlineStr"/>
      <c r="L2458" s="13" t="n">
        <v>109</v>
      </c>
      <c r="M2458" s="1">
        <f>IF(L2458="","ไม่พบใน SG",IF(ABS(J2458-L2458)&lt;0.005,"ตรงกัน","ไม่ตรง"))</f>
        <v/>
      </c>
      <c r="N2458" s="14">
        <f>IF(L2458="","",ROUND(L2458*'สรุป'!$C$6,-1))</f>
        <v/>
      </c>
      <c r="O2458" s="15" t="n"/>
      <c r="P2458" s="15" t="n"/>
      <c r="Q2458" s="10" t="n"/>
      <c r="R2458" s="10" t="n"/>
      <c r="S2458" s="16" t="inlineStr">
        <is>
          <t>https://mstgolf.co.th/products/gf2020202833</t>
        </is>
      </c>
      <c r="T2458" s="1">
        <f>IF(B2458="ไม้กอล์ฟ",J2458,"")</f>
        <v/>
      </c>
    </row>
    <row r="2459">
      <c r="A2459" s="1" t="n">
        <v>3</v>
      </c>
      <c r="B2459" s="1" t="inlineStr">
        <is>
          <t>เสื้อผ้า</t>
        </is>
      </c>
      <c r="C2459" s="1" t="inlineStr">
        <is>
          <t>gf2020202834</t>
        </is>
      </c>
      <c r="D2459" s="1" t="inlineStr">
        <is>
          <t>LE COQ SPORTIF GOLF Women's Shorts (White)</t>
        </is>
      </c>
      <c r="E2459" s="1" t="inlineStr">
        <is>
          <t>LE COQ SPORTIF GOLF</t>
        </is>
      </c>
      <c r="F2459" s="1" t="inlineStr">
        <is>
          <t>SHORT PANTS</t>
        </is>
      </c>
      <c r="G2459" s="1" t="inlineStr">
        <is>
          <t>GF2020202834S</t>
        </is>
      </c>
      <c r="H2459" s="1" t="n">
        <v>5</v>
      </c>
      <c r="I2459" s="1" t="inlineStr">
        <is>
          <t>มี</t>
        </is>
      </c>
      <c r="J2459" s="13" t="n">
        <v>109</v>
      </c>
      <c r="K2459" s="1" t="inlineStr"/>
      <c r="L2459" s="13" t="n">
        <v>109</v>
      </c>
      <c r="M2459" s="1">
        <f>IF(L2459="","ไม่พบใน SG",IF(ABS(J2459-L2459)&lt;0.005,"ตรงกัน","ไม่ตรง"))</f>
        <v/>
      </c>
      <c r="N2459" s="14">
        <f>IF(L2459="","",ROUND(L2459*'สรุป'!$C$6,-1))</f>
        <v/>
      </c>
      <c r="O2459" s="15" t="n"/>
      <c r="P2459" s="15" t="n"/>
      <c r="Q2459" s="10" t="n"/>
      <c r="R2459" s="10" t="n"/>
      <c r="S2459" s="16" t="inlineStr">
        <is>
          <t>https://mstgolf.co.th/products/gf2020202834</t>
        </is>
      </c>
      <c r="T2459" s="1">
        <f>IF(B2459="ไม้กอล์ฟ",J2459,"")</f>
        <v/>
      </c>
    </row>
    <row r="2460">
      <c r="A2460" s="1" t="n">
        <v>3</v>
      </c>
      <c r="B2460" s="1" t="inlineStr">
        <is>
          <t>เสื้อผ้า</t>
        </is>
      </c>
      <c r="C2460" s="1" t="inlineStr">
        <is>
          <t>gf2040119216</t>
        </is>
      </c>
      <c r="D2460" s="1" t="inlineStr">
        <is>
          <t>MALBON GOLF x Keith Haring Printed Men's Polo (Green)</t>
        </is>
      </c>
      <c r="E2460" s="1" t="inlineStr">
        <is>
          <t>MALBON GOLF</t>
        </is>
      </c>
      <c r="F2460" s="1" t="inlineStr">
        <is>
          <t>SHORT SLEEVES</t>
        </is>
      </c>
      <c r="G2460" s="1" t="inlineStr">
        <is>
          <t>GF2040119216S</t>
        </is>
      </c>
      <c r="H2460" s="1" t="n">
        <v>5</v>
      </c>
      <c r="I2460" s="1" t="inlineStr">
        <is>
          <t>มี</t>
        </is>
      </c>
      <c r="J2460" s="13" t="n">
        <v>109</v>
      </c>
      <c r="K2460" s="1" t="inlineStr"/>
      <c r="L2460" s="13" t="n">
        <v>109</v>
      </c>
      <c r="M2460" s="1">
        <f>IF(L2460="","ไม่พบใน SG",IF(ABS(J2460-L2460)&lt;0.005,"ตรงกัน","ไม่ตรง"))</f>
        <v/>
      </c>
      <c r="N2460" s="14">
        <f>IF(L2460="","",ROUND(L2460*'สรุป'!$C$6,-1))</f>
        <v/>
      </c>
      <c r="O2460" s="15" t="n"/>
      <c r="P2460" s="15" t="n"/>
      <c r="Q2460" s="10" t="n"/>
      <c r="R2460" s="10" t="n"/>
      <c r="S2460" s="16" t="inlineStr">
        <is>
          <t>https://mstgolf.co.th/products/gf2040119216</t>
        </is>
      </c>
      <c r="T2460" s="1">
        <f>IF(B2460="ไม้กอล์ฟ",J2460,"")</f>
        <v/>
      </c>
    </row>
    <row r="2461">
      <c r="A2461" s="1" t="n">
        <v>3</v>
      </c>
      <c r="B2461" s="1" t="inlineStr">
        <is>
          <t>เสื้อผ้า</t>
        </is>
      </c>
      <c r="C2461" s="1" t="inlineStr">
        <is>
          <t>gf2020102289</t>
        </is>
      </c>
      <c r="D2461" s="1" t="inlineStr">
        <is>
          <t>PETER MILLAR Blade Ankle Sports Men's Pants (Deep Blue)</t>
        </is>
      </c>
      <c r="E2461" s="1" t="inlineStr">
        <is>
          <t>PETER MILLAR</t>
        </is>
      </c>
      <c r="F2461" s="1" t="inlineStr">
        <is>
          <t>LONG PANTS</t>
        </is>
      </c>
      <c r="G2461" s="1" t="inlineStr">
        <is>
          <t>GF202010228930</t>
        </is>
      </c>
      <c r="H2461" s="1" t="n">
        <v>7</v>
      </c>
      <c r="I2461" s="1" t="inlineStr">
        <is>
          <t>มี</t>
        </is>
      </c>
      <c r="J2461" s="13" t="n">
        <v>109</v>
      </c>
      <c r="K2461" s="1" t="inlineStr"/>
      <c r="L2461" s="13" t="n">
        <v>109</v>
      </c>
      <c r="M2461" s="1">
        <f>IF(L2461="","ไม่พบใน SG",IF(ABS(J2461-L2461)&lt;0.005,"ตรงกัน","ไม่ตรง"))</f>
        <v/>
      </c>
      <c r="N2461" s="14">
        <f>IF(L2461="","",ROUND(L2461*'สรุป'!$C$6,-1))</f>
        <v/>
      </c>
      <c r="O2461" s="15" t="n"/>
      <c r="P2461" s="15" t="n"/>
      <c r="Q2461" s="10" t="n"/>
      <c r="R2461" s="10" t="n"/>
      <c r="S2461" s="16" t="inlineStr">
        <is>
          <t>https://mstgolf.co.th/products/gf2020102289</t>
        </is>
      </c>
      <c r="T2461" s="1">
        <f>IF(B2461="ไม้กอล์ฟ",J2461,"")</f>
        <v/>
      </c>
    </row>
    <row r="2462">
      <c r="A2462" s="1" t="n">
        <v>3</v>
      </c>
      <c r="B2462" s="1" t="inlineStr">
        <is>
          <t>เสื้อผ้า</t>
        </is>
      </c>
      <c r="C2462" s="1" t="inlineStr">
        <is>
          <t>gf2040119253</t>
        </is>
      </c>
      <c r="D2462" s="1" t="inlineStr">
        <is>
          <t>PUMA MATTR Rose Men's Polo (Aquatic)</t>
        </is>
      </c>
      <c r="E2462" s="1" t="inlineStr">
        <is>
          <t>PUMA</t>
        </is>
      </c>
      <c r="F2462" s="1" t="inlineStr">
        <is>
          <t>SHORT SLEEVES</t>
        </is>
      </c>
      <c r="G2462" s="1" t="inlineStr">
        <is>
          <t>GF2040119253XS</t>
        </is>
      </c>
      <c r="H2462" s="1" t="n">
        <v>6</v>
      </c>
      <c r="I2462" s="1" t="inlineStr">
        <is>
          <t>มี</t>
        </is>
      </c>
      <c r="J2462" s="13" t="n">
        <v>109</v>
      </c>
      <c r="K2462" s="1" t="inlineStr"/>
      <c r="L2462" s="13" t="n">
        <v>75</v>
      </c>
      <c r="M2462" s="1">
        <f>IF(L2462="","ไม่พบใน SG",IF(ABS(J2462-L2462)&lt;0.005,"ตรงกัน","ไม่ตรง"))</f>
        <v/>
      </c>
      <c r="N2462" s="14">
        <f>IF(L2462="","",ROUND(L2462*'สรุป'!$C$6,-1))</f>
        <v/>
      </c>
      <c r="O2462" s="15" t="n"/>
      <c r="P2462" s="15" t="n"/>
      <c r="Q2462" s="10" t="n"/>
      <c r="R2462" s="10" t="n"/>
      <c r="S2462" s="16" t="inlineStr">
        <is>
          <t>https://mstgolf.co.th/products/gf2040119253</t>
        </is>
      </c>
      <c r="T2462" s="1">
        <f>IF(B2462="ไม้กอล์ฟ",J2462,"")</f>
        <v/>
      </c>
    </row>
    <row r="2463">
      <c r="A2463" s="1" t="n">
        <v>3</v>
      </c>
      <c r="B2463" s="1" t="inlineStr">
        <is>
          <t>เสื้อผ้า</t>
        </is>
      </c>
      <c r="C2463" s="1" t="inlineStr">
        <is>
          <t>gf2040120278</t>
        </is>
      </c>
      <c r="D2463" s="1" t="inlineStr">
        <is>
          <t>PUMA MATTR Stripe Jacquard Men's Polo (Haute Tropic)</t>
        </is>
      </c>
      <c r="E2463" s="1" t="inlineStr">
        <is>
          <t>PUMA</t>
        </is>
      </c>
      <c r="F2463" s="1" t="inlineStr">
        <is>
          <t>SHORT SLEEVES</t>
        </is>
      </c>
      <c r="G2463" s="1" t="inlineStr">
        <is>
          <t>GF2040120278S</t>
        </is>
      </c>
      <c r="H2463" s="1" t="n">
        <v>5</v>
      </c>
      <c r="I2463" s="1" t="inlineStr">
        <is>
          <t>มี</t>
        </is>
      </c>
      <c r="J2463" s="13" t="n">
        <v>109</v>
      </c>
      <c r="K2463" s="1" t="inlineStr"/>
      <c r="L2463" s="13" t="n">
        <v>109</v>
      </c>
      <c r="M2463" s="1">
        <f>IF(L2463="","ไม่พบใน SG",IF(ABS(J2463-L2463)&lt;0.005,"ตรงกัน","ไม่ตรง"))</f>
        <v/>
      </c>
      <c r="N2463" s="14">
        <f>IF(L2463="","",ROUND(L2463*'สรุป'!$C$6,-1))</f>
        <v/>
      </c>
      <c r="O2463" s="15" t="n"/>
      <c r="P2463" s="15" t="n"/>
      <c r="Q2463" s="10" t="n"/>
      <c r="R2463" s="10" t="n"/>
      <c r="S2463" s="16" t="inlineStr">
        <is>
          <t>https://mstgolf.co.th/products/gf2040120278</t>
        </is>
      </c>
      <c r="T2463" s="1">
        <f>IF(B2463="ไม้กอล์ฟ",J2463,"")</f>
        <v/>
      </c>
    </row>
    <row r="2464">
      <c r="A2464" s="1" t="n">
        <v>3</v>
      </c>
      <c r="B2464" s="1" t="inlineStr">
        <is>
          <t>เสื้อผ้า</t>
        </is>
      </c>
      <c r="C2464" s="1" t="inlineStr">
        <is>
          <t>gf2020101812</t>
        </is>
      </c>
      <c r="D2464" s="1" t="inlineStr">
        <is>
          <t>PUMA PWRSHAPE Women's Pants (Black)</t>
        </is>
      </c>
      <c r="E2464" s="1" t="inlineStr">
        <is>
          <t>PUMA</t>
        </is>
      </c>
      <c r="F2464" s="1" t="inlineStr">
        <is>
          <t>LONG PANTS</t>
        </is>
      </c>
      <c r="G2464" s="1" t="inlineStr">
        <is>
          <t>GF2020101812XS</t>
        </is>
      </c>
      <c r="H2464" s="1" t="n">
        <v>5</v>
      </c>
      <c r="I2464" s="1" t="inlineStr">
        <is>
          <t>มี</t>
        </is>
      </c>
      <c r="J2464" s="13" t="n">
        <v>109</v>
      </c>
      <c r="K2464" s="1" t="inlineStr"/>
      <c r="L2464" s="13" t="n">
        <v>55</v>
      </c>
      <c r="M2464" s="1">
        <f>IF(L2464="","ไม่พบใน SG",IF(ABS(J2464-L2464)&lt;0.005,"ตรงกัน","ไม่ตรง"))</f>
        <v/>
      </c>
      <c r="N2464" s="14">
        <f>IF(L2464="","",ROUND(L2464*'สรุป'!$C$6,-1))</f>
        <v/>
      </c>
      <c r="O2464" s="15" t="n"/>
      <c r="P2464" s="15" t="n"/>
      <c r="Q2464" s="10" t="n"/>
      <c r="R2464" s="10" t="n"/>
      <c r="S2464" s="16" t="inlineStr">
        <is>
          <t>https://mstgolf.co.th/products/gf2020101812</t>
        </is>
      </c>
      <c r="T2464" s="1">
        <f>IF(B2464="ไม้กอล์ฟ",J2464,"")</f>
        <v/>
      </c>
    </row>
    <row r="2465">
      <c r="A2465" s="1" t="n">
        <v>3</v>
      </c>
      <c r="B2465" s="1" t="inlineStr">
        <is>
          <t>เสื้อผ้า</t>
        </is>
      </c>
      <c r="C2465" s="1" t="inlineStr">
        <is>
          <t>gf2020102014</t>
        </is>
      </c>
      <c r="D2465" s="1" t="inlineStr">
        <is>
          <t>PUMA PWRSHAPE Women's Pants (Navy Blazer)</t>
        </is>
      </c>
      <c r="E2465" s="1" t="inlineStr">
        <is>
          <t>PUMA</t>
        </is>
      </c>
      <c r="F2465" s="1" t="inlineStr">
        <is>
          <t>LONG PANTS</t>
        </is>
      </c>
      <c r="G2465" s="1" t="inlineStr">
        <is>
          <t>GF2020102014XS</t>
        </is>
      </c>
      <c r="H2465" s="1" t="n">
        <v>6</v>
      </c>
      <c r="I2465" s="1" t="inlineStr">
        <is>
          <t>มี</t>
        </is>
      </c>
      <c r="J2465" s="13" t="n">
        <v>109</v>
      </c>
      <c r="K2465" s="1" t="inlineStr"/>
      <c r="L2465" s="13" t="n">
        <v>55</v>
      </c>
      <c r="M2465" s="1">
        <f>IF(L2465="","ไม่พบใน SG",IF(ABS(J2465-L2465)&lt;0.005,"ตรงกัน","ไม่ตรง"))</f>
        <v/>
      </c>
      <c r="N2465" s="14">
        <f>IF(L2465="","",ROUND(L2465*'สรุป'!$C$6,-1))</f>
        <v/>
      </c>
      <c r="O2465" s="15" t="n"/>
      <c r="P2465" s="15" t="n"/>
      <c r="Q2465" s="10" t="n"/>
      <c r="R2465" s="10" t="n"/>
      <c r="S2465" s="16" t="inlineStr">
        <is>
          <t>https://mstgolf.co.th/products/gf2020102014</t>
        </is>
      </c>
      <c r="T2465" s="1">
        <f>IF(B2465="ไม้กอล์ฟ",J2465,"")</f>
        <v/>
      </c>
    </row>
    <row r="2466">
      <c r="A2466" s="1" t="n">
        <v>3</v>
      </c>
      <c r="B2466" s="1" t="inlineStr">
        <is>
          <t>เสื้อผ้า</t>
        </is>
      </c>
      <c r="C2466" s="1" t="inlineStr">
        <is>
          <t>gf2020101917</t>
        </is>
      </c>
      <c r="D2466" s="1" t="inlineStr">
        <is>
          <t>PUMA PWRSHAPE Women's Pants (White)</t>
        </is>
      </c>
      <c r="E2466" s="1" t="inlineStr">
        <is>
          <t>PUMA</t>
        </is>
      </c>
      <c r="F2466" s="1" t="inlineStr">
        <is>
          <t>LONG PANTS</t>
        </is>
      </c>
      <c r="G2466" s="1" t="inlineStr">
        <is>
          <t>GF2020101917XS</t>
        </is>
      </c>
      <c r="H2466" s="1" t="n">
        <v>6</v>
      </c>
      <c r="I2466" s="1" t="inlineStr">
        <is>
          <t>มี</t>
        </is>
      </c>
      <c r="J2466" s="13" t="n">
        <v>109</v>
      </c>
      <c r="K2466" s="1" t="inlineStr"/>
      <c r="L2466" s="13" t="n">
        <v>55</v>
      </c>
      <c r="M2466" s="1">
        <f>IF(L2466="","ไม่พบใน SG",IF(ABS(J2466-L2466)&lt;0.005,"ตรงกัน","ไม่ตรง"))</f>
        <v/>
      </c>
      <c r="N2466" s="14">
        <f>IF(L2466="","",ROUND(L2466*'สรุป'!$C$6,-1))</f>
        <v/>
      </c>
      <c r="O2466" s="15" t="n"/>
      <c r="P2466" s="15" t="n"/>
      <c r="Q2466" s="10" t="n"/>
      <c r="R2466" s="10" t="n"/>
      <c r="S2466" s="16" t="inlineStr">
        <is>
          <t>https://mstgolf.co.th/products/gf2020101917</t>
        </is>
      </c>
      <c r="T2466" s="1">
        <f>IF(B2466="ไม้กอล์ฟ",J2466,"")</f>
        <v/>
      </c>
    </row>
    <row r="2467">
      <c r="A2467" s="1" t="n">
        <v>3</v>
      </c>
      <c r="B2467" s="1" t="inlineStr">
        <is>
          <t>เสื้อผ้า</t>
        </is>
      </c>
      <c r="C2467" s="1" t="inlineStr">
        <is>
          <t>gf2060100979</t>
        </is>
      </c>
      <c r="D2467" s="1" t="inlineStr">
        <is>
          <t>PUMA x Duvin Men's Windbreaker (Frosty White)</t>
        </is>
      </c>
      <c r="E2467" s="1" t="inlineStr">
        <is>
          <t>PUMA</t>
        </is>
      </c>
      <c r="F2467" s="1" t="inlineStr">
        <is>
          <t>TOP</t>
        </is>
      </c>
      <c r="G2467" s="1" t="inlineStr">
        <is>
          <t>GF2060100979XS</t>
        </is>
      </c>
      <c r="H2467" s="1" t="n">
        <v>5</v>
      </c>
      <c r="I2467" s="1" t="inlineStr">
        <is>
          <t>มี</t>
        </is>
      </c>
      <c r="J2467" s="13" t="n">
        <v>109</v>
      </c>
      <c r="K2467" s="1" t="inlineStr"/>
      <c r="L2467" s="13" t="n">
        <v>109</v>
      </c>
      <c r="M2467" s="1">
        <f>IF(L2467="","ไม่พบใน SG",IF(ABS(J2467-L2467)&lt;0.005,"ตรงกัน","ไม่ตรง"))</f>
        <v/>
      </c>
      <c r="N2467" s="14">
        <f>IF(L2467="","",ROUND(L2467*'สรุป'!$C$6,-1))</f>
        <v/>
      </c>
      <c r="O2467" s="15" t="n"/>
      <c r="P2467" s="15" t="n"/>
      <c r="Q2467" s="10" t="n"/>
      <c r="R2467" s="10" t="n"/>
      <c r="S2467" s="16" t="inlineStr">
        <is>
          <t>https://mstgolf.co.th/products/gf2060100979</t>
        </is>
      </c>
      <c r="T2467" s="1">
        <f>IF(B2467="ไม้กอล์ฟ",J2467,"")</f>
        <v/>
      </c>
    </row>
    <row r="2468">
      <c r="A2468" s="1" t="n">
        <v>3</v>
      </c>
      <c r="B2468" s="1" t="inlineStr">
        <is>
          <t>เสื้อผ้า</t>
        </is>
      </c>
      <c r="C2468" s="1" t="inlineStr">
        <is>
          <t>gf2070400192</t>
        </is>
      </c>
      <c r="D2468" s="1" t="inlineStr">
        <is>
          <t>SPARMS Men's Round Neck Baselayer (Black)</t>
        </is>
      </c>
      <c r="E2468" s="1" t="inlineStr">
        <is>
          <t>SPARMS</t>
        </is>
      </c>
      <c r="F2468" s="1" t="inlineStr">
        <is>
          <t>SHIRT</t>
        </is>
      </c>
      <c r="G2468" s="1" t="inlineStr">
        <is>
          <t>GF2070400192XS</t>
        </is>
      </c>
      <c r="H2468" s="1" t="n">
        <v>5</v>
      </c>
      <c r="I2468" s="1" t="inlineStr">
        <is>
          <t>มี</t>
        </is>
      </c>
      <c r="J2468" s="13" t="n">
        <v>109</v>
      </c>
      <c r="K2468" s="1" t="inlineStr"/>
      <c r="L2468" s="13" t="n">
        <v>109</v>
      </c>
      <c r="M2468" s="1">
        <f>IF(L2468="","ไม่พบใน SG",IF(ABS(J2468-L2468)&lt;0.005,"ตรงกัน","ไม่ตรง"))</f>
        <v/>
      </c>
      <c r="N2468" s="14">
        <f>IF(L2468="","",ROUND(L2468*'สรุป'!$C$6,-1))</f>
        <v/>
      </c>
      <c r="O2468" s="15" t="n"/>
      <c r="P2468" s="15" t="n"/>
      <c r="Q2468" s="10" t="n"/>
      <c r="R2468" s="10" t="n"/>
      <c r="S2468" s="16" t="inlineStr">
        <is>
          <t>https://mstgolf.co.th/products/gf2070400192</t>
        </is>
      </c>
      <c r="T2468" s="1">
        <f>IF(B2468="ไม้กอล์ฟ",J2468,"")</f>
        <v/>
      </c>
    </row>
    <row r="2469">
      <c r="A2469" s="1" t="n">
        <v>3</v>
      </c>
      <c r="B2469" s="1" t="inlineStr">
        <is>
          <t>เสื้อผ้า</t>
        </is>
      </c>
      <c r="C2469" s="1" t="inlineStr">
        <is>
          <t>gf2070400193</t>
        </is>
      </c>
      <c r="D2469" s="1" t="inlineStr">
        <is>
          <t>SPARMS Men's Round Neck Baselayer (Latte)</t>
        </is>
      </c>
      <c r="E2469" s="1" t="inlineStr">
        <is>
          <t>SPARMS</t>
        </is>
      </c>
      <c r="F2469" s="1" t="inlineStr">
        <is>
          <t>SHIRT</t>
        </is>
      </c>
      <c r="G2469" s="1" t="inlineStr">
        <is>
          <t>GF2070400193S</t>
        </is>
      </c>
      <c r="H2469" s="1" t="n">
        <v>4</v>
      </c>
      <c r="I2469" s="1" t="inlineStr">
        <is>
          <t>มี</t>
        </is>
      </c>
      <c r="J2469" s="13" t="n">
        <v>109</v>
      </c>
      <c r="K2469" s="1" t="inlineStr"/>
      <c r="L2469" s="13" t="n">
        <v>109</v>
      </c>
      <c r="M2469" s="1">
        <f>IF(L2469="","ไม่พบใน SG",IF(ABS(J2469-L2469)&lt;0.005,"ตรงกัน","ไม่ตรง"))</f>
        <v/>
      </c>
      <c r="N2469" s="14">
        <f>IF(L2469="","",ROUND(L2469*'สรุป'!$C$6,-1))</f>
        <v/>
      </c>
      <c r="O2469" s="15" t="n"/>
      <c r="P2469" s="15" t="n"/>
      <c r="Q2469" s="10" t="n"/>
      <c r="R2469" s="10" t="n"/>
      <c r="S2469" s="16" t="inlineStr">
        <is>
          <t>https://mstgolf.co.th/products/gf2070400193</t>
        </is>
      </c>
      <c r="T2469" s="1">
        <f>IF(B2469="ไม้กอล์ฟ",J2469,"")</f>
        <v/>
      </c>
    </row>
    <row r="2470">
      <c r="A2470" s="1" t="n">
        <v>3</v>
      </c>
      <c r="B2470" s="1" t="inlineStr">
        <is>
          <t>เสื้อผ้า</t>
        </is>
      </c>
      <c r="C2470" s="1" t="inlineStr">
        <is>
          <t>gf2070400191</t>
        </is>
      </c>
      <c r="D2470" s="1" t="inlineStr">
        <is>
          <t>SPARMS Men's Round Neck Baselayer (White)</t>
        </is>
      </c>
      <c r="E2470" s="1" t="inlineStr">
        <is>
          <t>SPARMS</t>
        </is>
      </c>
      <c r="F2470" s="1" t="inlineStr">
        <is>
          <t>SHIRT</t>
        </is>
      </c>
      <c r="G2470" s="1" t="inlineStr">
        <is>
          <t>GF2070400191XS</t>
        </is>
      </c>
      <c r="H2470" s="1" t="n">
        <v>5</v>
      </c>
      <c r="I2470" s="1" t="inlineStr">
        <is>
          <t>มี</t>
        </is>
      </c>
      <c r="J2470" s="13" t="n">
        <v>109</v>
      </c>
      <c r="K2470" s="1" t="inlineStr"/>
      <c r="L2470" s="13" t="n">
        <v>109</v>
      </c>
      <c r="M2470" s="1">
        <f>IF(L2470="","ไม่พบใน SG",IF(ABS(J2470-L2470)&lt;0.005,"ตรงกัน","ไม่ตรง"))</f>
        <v/>
      </c>
      <c r="N2470" s="14">
        <f>IF(L2470="","",ROUND(L2470*'สรุป'!$C$6,-1))</f>
        <v/>
      </c>
      <c r="O2470" s="15" t="n"/>
      <c r="P2470" s="15" t="n"/>
      <c r="Q2470" s="10" t="n"/>
      <c r="R2470" s="10" t="n"/>
      <c r="S2470" s="16" t="inlineStr">
        <is>
          <t>https://mstgolf.co.th/products/gf2070400191</t>
        </is>
      </c>
      <c r="T2470" s="1">
        <f>IF(B2470="ไม้กอล์ฟ",J2470,"")</f>
        <v/>
      </c>
    </row>
    <row r="2471">
      <c r="A2471" s="1" t="n">
        <v>3</v>
      </c>
      <c r="B2471" s="1" t="inlineStr">
        <is>
          <t>เสื้อผ้า</t>
        </is>
      </c>
      <c r="C2471" s="1" t="inlineStr">
        <is>
          <t>gf2070600027</t>
        </is>
      </c>
      <c r="D2471" s="1" t="inlineStr">
        <is>
          <t>SPARMS Sun Protection Unisex Leggings (Black)</t>
        </is>
      </c>
      <c r="E2471" s="1" t="inlineStr">
        <is>
          <t>SPARMS</t>
        </is>
      </c>
      <c r="F2471" s="1" t="inlineStr">
        <is>
          <t>PANTS</t>
        </is>
      </c>
      <c r="G2471" s="1" t="inlineStr">
        <is>
          <t>GF2070600027XS</t>
        </is>
      </c>
      <c r="H2471" s="1" t="n">
        <v>5</v>
      </c>
      <c r="I2471" s="1" t="inlineStr">
        <is>
          <t>มี</t>
        </is>
      </c>
      <c r="J2471" s="13" t="n">
        <v>109</v>
      </c>
      <c r="K2471" s="1" t="inlineStr"/>
      <c r="L2471" s="13" t="n">
        <v>109</v>
      </c>
      <c r="M2471" s="1">
        <f>IF(L2471="","ไม่พบใน SG",IF(ABS(J2471-L2471)&lt;0.005,"ตรงกัน","ไม่ตรง"))</f>
        <v/>
      </c>
      <c r="N2471" s="14">
        <f>IF(L2471="","",ROUND(L2471*'สรุป'!$C$6,-1))</f>
        <v/>
      </c>
      <c r="O2471" s="15" t="n"/>
      <c r="P2471" s="15" t="n"/>
      <c r="Q2471" s="10" t="n"/>
      <c r="R2471" s="10" t="n"/>
      <c r="S2471" s="16" t="inlineStr">
        <is>
          <t>https://mstgolf.co.th/products/gf2070600027</t>
        </is>
      </c>
      <c r="T2471" s="1">
        <f>IF(B2471="ไม้กอล์ฟ",J2471,"")</f>
        <v/>
      </c>
    </row>
    <row r="2472">
      <c r="A2472" s="1" t="n">
        <v>3</v>
      </c>
      <c r="B2472" s="1" t="inlineStr">
        <is>
          <t>เสื้อผ้า</t>
        </is>
      </c>
      <c r="C2472" s="1" t="inlineStr">
        <is>
          <t>gf2070600028</t>
        </is>
      </c>
      <c r="D2472" s="1" t="inlineStr">
        <is>
          <t>SPARMS Sun Protection Unisex Leggings (Latte)</t>
        </is>
      </c>
      <c r="E2472" s="1" t="inlineStr">
        <is>
          <t>SPARMS</t>
        </is>
      </c>
      <c r="F2472" s="1" t="inlineStr">
        <is>
          <t>PANTS</t>
        </is>
      </c>
      <c r="G2472" s="1" t="inlineStr">
        <is>
          <t>GF2070600028XS</t>
        </is>
      </c>
      <c r="H2472" s="1" t="n">
        <v>5</v>
      </c>
      <c r="I2472" s="1" t="inlineStr">
        <is>
          <t>มี</t>
        </is>
      </c>
      <c r="J2472" s="13" t="n">
        <v>109</v>
      </c>
      <c r="K2472" s="1" t="inlineStr"/>
      <c r="L2472" s="13" t="n">
        <v>109</v>
      </c>
      <c r="M2472" s="1">
        <f>IF(L2472="","ไม่พบใน SG",IF(ABS(J2472-L2472)&lt;0.005,"ตรงกัน","ไม่ตรง"))</f>
        <v/>
      </c>
      <c r="N2472" s="14">
        <f>IF(L2472="","",ROUND(L2472*'สรุป'!$C$6,-1))</f>
        <v/>
      </c>
      <c r="O2472" s="15" t="n"/>
      <c r="P2472" s="15" t="n"/>
      <c r="Q2472" s="10" t="n"/>
      <c r="R2472" s="10" t="n"/>
      <c r="S2472" s="16" t="inlineStr">
        <is>
          <t>https://mstgolf.co.th/products/gf2070600028</t>
        </is>
      </c>
      <c r="T2472" s="1">
        <f>IF(B2472="ไม้กอล์ฟ",J2472,"")</f>
        <v/>
      </c>
    </row>
    <row r="2473">
      <c r="A2473" s="1" t="n">
        <v>3</v>
      </c>
      <c r="B2473" s="1" t="inlineStr">
        <is>
          <t>เสื้อผ้า</t>
        </is>
      </c>
      <c r="C2473" s="1" t="inlineStr">
        <is>
          <t>gf2070400196</t>
        </is>
      </c>
      <c r="D2473" s="1" t="inlineStr">
        <is>
          <t>SPARMS Women's Baselayer (Black)</t>
        </is>
      </c>
      <c r="E2473" s="1" t="inlineStr">
        <is>
          <t>SPARMS</t>
        </is>
      </c>
      <c r="F2473" s="1" t="inlineStr">
        <is>
          <t>SHIRT</t>
        </is>
      </c>
      <c r="G2473" s="1" t="inlineStr">
        <is>
          <t>GF2070400196XS</t>
        </is>
      </c>
      <c r="H2473" s="1" t="n">
        <v>5</v>
      </c>
      <c r="I2473" s="1" t="inlineStr">
        <is>
          <t>มี</t>
        </is>
      </c>
      <c r="J2473" s="13" t="n">
        <v>109</v>
      </c>
      <c r="K2473" s="1" t="inlineStr"/>
      <c r="L2473" s="13" t="n">
        <v>109</v>
      </c>
      <c r="M2473" s="1">
        <f>IF(L2473="","ไม่พบใน SG",IF(ABS(J2473-L2473)&lt;0.005,"ตรงกัน","ไม่ตรง"))</f>
        <v/>
      </c>
      <c r="N2473" s="14">
        <f>IF(L2473="","",ROUND(L2473*'สรุป'!$C$6,-1))</f>
        <v/>
      </c>
      <c r="O2473" s="15" t="n"/>
      <c r="P2473" s="15" t="n"/>
      <c r="Q2473" s="10" t="n"/>
      <c r="R2473" s="10" t="n"/>
      <c r="S2473" s="16" t="inlineStr">
        <is>
          <t>https://mstgolf.co.th/products/gf2070400196</t>
        </is>
      </c>
      <c r="T2473" s="1">
        <f>IF(B2473="ไม้กอล์ฟ",J2473,"")</f>
        <v/>
      </c>
    </row>
    <row r="2474">
      <c r="A2474" s="1" t="n">
        <v>3</v>
      </c>
      <c r="B2474" s="1" t="inlineStr">
        <is>
          <t>เสื้อผ้า</t>
        </is>
      </c>
      <c r="C2474" s="1" t="inlineStr">
        <is>
          <t>gf2070400194</t>
        </is>
      </c>
      <c r="D2474" s="1" t="inlineStr">
        <is>
          <t>SPARMS Women's Baselayer (Latte)</t>
        </is>
      </c>
      <c r="E2474" s="1" t="inlineStr">
        <is>
          <t>SPARMS</t>
        </is>
      </c>
      <c r="F2474" s="1" t="inlineStr">
        <is>
          <t>SHIRT</t>
        </is>
      </c>
      <c r="G2474" s="1" t="inlineStr">
        <is>
          <t>GF2070400194XS</t>
        </is>
      </c>
      <c r="H2474" s="1" t="n">
        <v>5</v>
      </c>
      <c r="I2474" s="1" t="inlineStr">
        <is>
          <t>มี</t>
        </is>
      </c>
      <c r="J2474" s="13" t="n">
        <v>109</v>
      </c>
      <c r="K2474" s="1" t="inlineStr"/>
      <c r="L2474" s="13" t="n">
        <v>109</v>
      </c>
      <c r="M2474" s="1">
        <f>IF(L2474="","ไม่พบใน SG",IF(ABS(J2474-L2474)&lt;0.005,"ตรงกัน","ไม่ตรง"))</f>
        <v/>
      </c>
      <c r="N2474" s="14">
        <f>IF(L2474="","",ROUND(L2474*'สรุป'!$C$6,-1))</f>
        <v/>
      </c>
      <c r="O2474" s="15" t="n"/>
      <c r="P2474" s="15" t="n"/>
      <c r="Q2474" s="10" t="n"/>
      <c r="R2474" s="10" t="n"/>
      <c r="S2474" s="16" t="inlineStr">
        <is>
          <t>https://mstgolf.co.th/products/gf2070400194</t>
        </is>
      </c>
      <c r="T2474" s="1">
        <f>IF(B2474="ไม้กอล์ฟ",J2474,"")</f>
        <v/>
      </c>
    </row>
    <row r="2475">
      <c r="A2475" s="1" t="n">
        <v>3</v>
      </c>
      <c r="B2475" s="1" t="inlineStr">
        <is>
          <t>เสื้อผ้า</t>
        </is>
      </c>
      <c r="C2475" s="1" t="inlineStr">
        <is>
          <t>gf2070400195</t>
        </is>
      </c>
      <c r="D2475" s="1" t="inlineStr">
        <is>
          <t>SPARMS Women's Baselayer (White)</t>
        </is>
      </c>
      <c r="E2475" s="1" t="inlineStr">
        <is>
          <t>SPARMS</t>
        </is>
      </c>
      <c r="F2475" s="1" t="inlineStr">
        <is>
          <t>SHIRT</t>
        </is>
      </c>
      <c r="G2475" s="1" t="inlineStr">
        <is>
          <t>GF2070400195XS</t>
        </is>
      </c>
      <c r="H2475" s="1" t="n">
        <v>5</v>
      </c>
      <c r="I2475" s="1" t="inlineStr">
        <is>
          <t>มี</t>
        </is>
      </c>
      <c r="J2475" s="13" t="n">
        <v>109</v>
      </c>
      <c r="K2475" s="1" t="inlineStr"/>
      <c r="L2475" s="13" t="n">
        <v>109</v>
      </c>
      <c r="M2475" s="1">
        <f>IF(L2475="","ไม่พบใน SG",IF(ABS(J2475-L2475)&lt;0.005,"ตรงกัน","ไม่ตรง"))</f>
        <v/>
      </c>
      <c r="N2475" s="14">
        <f>IF(L2475="","",ROUND(L2475*'สรุป'!$C$6,-1))</f>
        <v/>
      </c>
      <c r="O2475" s="15" t="n"/>
      <c r="P2475" s="15" t="n"/>
      <c r="Q2475" s="10" t="n"/>
      <c r="R2475" s="10" t="n"/>
      <c r="S2475" s="16" t="inlineStr">
        <is>
          <t>https://mstgolf.co.th/products/gf2070400195</t>
        </is>
      </c>
      <c r="T2475" s="1">
        <f>IF(B2475="ไม้กอล์ฟ",J2475,"")</f>
        <v/>
      </c>
    </row>
    <row r="2476">
      <c r="A2476" s="1" t="n">
        <v>3</v>
      </c>
      <c r="B2476" s="1" t="inlineStr">
        <is>
          <t>เสื้อผ้า</t>
        </is>
      </c>
      <c r="C2476" s="1" t="inlineStr">
        <is>
          <t>gf2040115454</t>
        </is>
      </c>
      <c r="D2476" s="1" t="inlineStr">
        <is>
          <t>TAYLORMADE Band Collar Men's Polo (Green)</t>
        </is>
      </c>
      <c r="E2476" s="1" t="inlineStr">
        <is>
          <t>TAYLORMADE</t>
        </is>
      </c>
      <c r="F2476" s="1" t="inlineStr">
        <is>
          <t>SHORT SLEEVES</t>
        </is>
      </c>
      <c r="G2476" s="1" t="inlineStr">
        <is>
          <t>GF2040115454M</t>
        </is>
      </c>
      <c r="H2476" s="1" t="n">
        <v>5</v>
      </c>
      <c r="I2476" s="1" t="inlineStr">
        <is>
          <t>มี</t>
        </is>
      </c>
      <c r="J2476" s="13" t="n">
        <v>109</v>
      </c>
      <c r="K2476" s="1" t="inlineStr"/>
      <c r="L2476" s="13" t="n">
        <v>89</v>
      </c>
      <c r="M2476" s="1">
        <f>IF(L2476="","ไม่พบใน SG",IF(ABS(J2476-L2476)&lt;0.005,"ตรงกัน","ไม่ตรง"))</f>
        <v/>
      </c>
      <c r="N2476" s="14">
        <f>IF(L2476="","",ROUND(L2476*'สรุป'!$C$6,-1))</f>
        <v/>
      </c>
      <c r="O2476" s="15" t="n"/>
      <c r="P2476" s="15" t="n"/>
      <c r="Q2476" s="10" t="n"/>
      <c r="R2476" s="10" t="n"/>
      <c r="S2476" s="16" t="inlineStr">
        <is>
          <t>https://mstgolf.co.th/products/gf2040115454</t>
        </is>
      </c>
      <c r="T2476" s="1">
        <f>IF(B2476="ไม้กอล์ฟ",J2476,"")</f>
        <v/>
      </c>
    </row>
    <row r="2477">
      <c r="A2477" s="1" t="n">
        <v>3</v>
      </c>
      <c r="B2477" s="1" t="inlineStr">
        <is>
          <t>เสื้อผ้า</t>
        </is>
      </c>
      <c r="C2477" s="1" t="inlineStr">
        <is>
          <t>gf2040115438</t>
        </is>
      </c>
      <c r="D2477" s="1" t="inlineStr">
        <is>
          <t>TAYLORMADE Letter Graphic Men's Polo (Smoke Pink)</t>
        </is>
      </c>
      <c r="E2477" s="1" t="inlineStr">
        <is>
          <t>TAYLORMADE</t>
        </is>
      </c>
      <c r="F2477" s="1" t="inlineStr">
        <is>
          <t>SHORT SLEEVES</t>
        </is>
      </c>
      <c r="G2477" s="1" t="inlineStr">
        <is>
          <t>GF2040115438M</t>
        </is>
      </c>
      <c r="H2477" s="1" t="n">
        <v>5</v>
      </c>
      <c r="I2477" s="1" t="inlineStr">
        <is>
          <t>มี</t>
        </is>
      </c>
      <c r="J2477" s="13" t="n">
        <v>109</v>
      </c>
      <c r="K2477" s="1" t="inlineStr"/>
      <c r="L2477" s="13" t="n">
        <v>87</v>
      </c>
      <c r="M2477" s="1">
        <f>IF(L2477="","ไม่พบใน SG",IF(ABS(J2477-L2477)&lt;0.005,"ตรงกัน","ไม่ตรง"))</f>
        <v/>
      </c>
      <c r="N2477" s="14">
        <f>IF(L2477="","",ROUND(L2477*'สรุป'!$C$6,-1))</f>
        <v/>
      </c>
      <c r="O2477" s="15" t="n"/>
      <c r="P2477" s="15" t="n"/>
      <c r="Q2477" s="10" t="n"/>
      <c r="R2477" s="10" t="n"/>
      <c r="S2477" s="16" t="inlineStr">
        <is>
          <t>https://mstgolf.co.th/products/gf2040115438</t>
        </is>
      </c>
      <c r="T2477" s="1">
        <f>IF(B2477="ไม้กอล์ฟ",J2477,"")</f>
        <v/>
      </c>
    </row>
    <row r="2478">
      <c r="A2478" s="1" t="n">
        <v>3</v>
      </c>
      <c r="B2478" s="1" t="inlineStr">
        <is>
          <t>เสื้อผ้า</t>
        </is>
      </c>
      <c r="C2478" s="1" t="inlineStr">
        <is>
          <t>gf2040115468</t>
        </is>
      </c>
      <c r="D2478" s="1" t="inlineStr">
        <is>
          <t>TAYLORMADE Lost Spider Men's Polo (Black)</t>
        </is>
      </c>
      <c r="E2478" s="1" t="inlineStr">
        <is>
          <t>TAYLORMADE</t>
        </is>
      </c>
      <c r="F2478" s="1" t="inlineStr">
        <is>
          <t>SHORT SLEEVES</t>
        </is>
      </c>
      <c r="G2478" s="1" t="inlineStr">
        <is>
          <t>GF2040115468M</t>
        </is>
      </c>
      <c r="H2478" s="1" t="n">
        <v>5</v>
      </c>
      <c r="I2478" s="1" t="inlineStr">
        <is>
          <t>มี</t>
        </is>
      </c>
      <c r="J2478" s="13" t="n">
        <v>109</v>
      </c>
      <c r="K2478" s="1" t="inlineStr"/>
      <c r="L2478" s="13" t="n">
        <v>109</v>
      </c>
      <c r="M2478" s="1">
        <f>IF(L2478="","ไม่พบใน SG",IF(ABS(J2478-L2478)&lt;0.005,"ตรงกัน","ไม่ตรง"))</f>
        <v/>
      </c>
      <c r="N2478" s="14">
        <f>IF(L2478="","",ROUND(L2478*'สรุป'!$C$6,-1))</f>
        <v/>
      </c>
      <c r="O2478" s="15" t="n"/>
      <c r="P2478" s="15" t="n"/>
      <c r="Q2478" s="10" t="n"/>
      <c r="R2478" s="10" t="n"/>
      <c r="S2478" s="16" t="inlineStr">
        <is>
          <t>https://mstgolf.co.th/products/gf2040115468</t>
        </is>
      </c>
      <c r="T2478" s="1">
        <f>IF(B2478="ไม้กอล์ฟ",J2478,"")</f>
        <v/>
      </c>
    </row>
    <row r="2479">
      <c r="A2479" s="1" t="n">
        <v>3</v>
      </c>
      <c r="B2479" s="1" t="inlineStr">
        <is>
          <t>เสื้อผ้า</t>
        </is>
      </c>
      <c r="C2479" s="1" t="inlineStr">
        <is>
          <t>gf2040119525</t>
        </is>
      </c>
      <c r="D2479" s="1" t="inlineStr">
        <is>
          <t>TAYLORMADE M T-ICE Gradation Men's Polo (Pink)</t>
        </is>
      </c>
      <c r="E2479" s="1" t="inlineStr">
        <is>
          <t>TAYLORMADE</t>
        </is>
      </c>
      <c r="F2479" s="1" t="inlineStr">
        <is>
          <t>SHORT SLEEVES</t>
        </is>
      </c>
      <c r="G2479" s="1" t="inlineStr">
        <is>
          <t>GF2040119525S</t>
        </is>
      </c>
      <c r="H2479" s="1" t="n">
        <v>6</v>
      </c>
      <c r="I2479" s="1" t="inlineStr">
        <is>
          <t>มี</t>
        </is>
      </c>
      <c r="J2479" s="13" t="n">
        <v>109</v>
      </c>
      <c r="K2479" s="1" t="inlineStr"/>
      <c r="L2479" s="13" t="n">
        <v>109</v>
      </c>
      <c r="M2479" s="1">
        <f>IF(L2479="","ไม่พบใน SG",IF(ABS(J2479-L2479)&lt;0.005,"ตรงกัน","ไม่ตรง"))</f>
        <v/>
      </c>
      <c r="N2479" s="14">
        <f>IF(L2479="","",ROUND(L2479*'สรุป'!$C$6,-1))</f>
        <v/>
      </c>
      <c r="O2479" s="15" t="n"/>
      <c r="P2479" s="15" t="n"/>
      <c r="Q2479" s="10" t="n"/>
      <c r="R2479" s="10" t="n"/>
      <c r="S2479" s="16" t="inlineStr">
        <is>
          <t>https://mstgolf.co.th/products/gf2040119525</t>
        </is>
      </c>
      <c r="T2479" s="1">
        <f>IF(B2479="ไม้กอล์ฟ",J2479,"")</f>
        <v/>
      </c>
    </row>
    <row r="2480">
      <c r="A2480" s="1" t="n">
        <v>3</v>
      </c>
      <c r="B2480" s="1" t="inlineStr">
        <is>
          <t>เสื้อผ้า</t>
        </is>
      </c>
      <c r="C2480" s="1" t="inlineStr">
        <is>
          <t>gf2040119523</t>
        </is>
      </c>
      <c r="D2480" s="1" t="inlineStr">
        <is>
          <t>TAYLORMADE M T-ICE Gradation Men's Polo (White)</t>
        </is>
      </c>
      <c r="E2480" s="1" t="inlineStr">
        <is>
          <t>TAYLORMADE</t>
        </is>
      </c>
      <c r="F2480" s="1" t="inlineStr">
        <is>
          <t>SHORT SLEEVES</t>
        </is>
      </c>
      <c r="G2480" s="1" t="inlineStr">
        <is>
          <t>GF2040119523S</t>
        </is>
      </c>
      <c r="H2480" s="1" t="n">
        <v>6</v>
      </c>
      <c r="I2480" s="1" t="inlineStr">
        <is>
          <t>มี</t>
        </is>
      </c>
      <c r="J2480" s="13" t="n">
        <v>109</v>
      </c>
      <c r="K2480" s="1" t="inlineStr"/>
      <c r="L2480" s="13" t="n">
        <v>109</v>
      </c>
      <c r="M2480" s="1">
        <f>IF(L2480="","ไม่พบใน SG",IF(ABS(J2480-L2480)&lt;0.005,"ตรงกัน","ไม่ตรง"))</f>
        <v/>
      </c>
      <c r="N2480" s="14">
        <f>IF(L2480="","",ROUND(L2480*'สรุป'!$C$6,-1))</f>
        <v/>
      </c>
      <c r="O2480" s="15" t="n"/>
      <c r="P2480" s="15" t="n"/>
      <c r="Q2480" s="10" t="n"/>
      <c r="R2480" s="10" t="n"/>
      <c r="S2480" s="16" t="inlineStr">
        <is>
          <t>https://mstgolf.co.th/products/gf2040119523</t>
        </is>
      </c>
      <c r="T2480" s="1">
        <f>IF(B2480="ไม้กอล์ฟ",J2480,"")</f>
        <v/>
      </c>
    </row>
    <row r="2481">
      <c r="A2481" s="1" t="n">
        <v>3</v>
      </c>
      <c r="B2481" s="1" t="inlineStr">
        <is>
          <t>เสื้อผ้า</t>
        </is>
      </c>
      <c r="C2481" s="1" t="inlineStr">
        <is>
          <t>gf2040115463</t>
        </is>
      </c>
      <c r="D2481" s="1" t="inlineStr">
        <is>
          <t>TAYLORMADE T-ICE TAXI ICON POLO</t>
        </is>
      </c>
      <c r="E2481" s="1" t="inlineStr">
        <is>
          <t>TAYLORMADE</t>
        </is>
      </c>
      <c r="F2481" s="1" t="inlineStr">
        <is>
          <t>SHORT SLEEVES</t>
        </is>
      </c>
      <c r="G2481" s="1" t="inlineStr">
        <is>
          <t>GF2040115463M</t>
        </is>
      </c>
      <c r="H2481" s="1" t="n">
        <v>5</v>
      </c>
      <c r="I2481" s="1" t="inlineStr">
        <is>
          <t>มี</t>
        </is>
      </c>
      <c r="J2481" s="13" t="n">
        <v>109</v>
      </c>
      <c r="K2481" s="1" t="inlineStr"/>
      <c r="L2481" s="13" t="n">
        <v>89</v>
      </c>
      <c r="M2481" s="1">
        <f>IF(L2481="","ไม่พบใน SG",IF(ABS(J2481-L2481)&lt;0.005,"ตรงกัน","ไม่ตรง"))</f>
        <v/>
      </c>
      <c r="N2481" s="14">
        <f>IF(L2481="","",ROUND(L2481*'สรุป'!$C$6,-1))</f>
        <v/>
      </c>
      <c r="O2481" s="15" t="n"/>
      <c r="P2481" s="15" t="n"/>
      <c r="Q2481" s="10" t="n"/>
      <c r="R2481" s="10" t="n"/>
      <c r="S2481" s="16" t="inlineStr">
        <is>
          <t>https://mstgolf.co.th/products/gf2040115463</t>
        </is>
      </c>
      <c r="T2481" s="1">
        <f>IF(B2481="ไม้กอล์ฟ",J2481,"")</f>
        <v/>
      </c>
    </row>
    <row r="2482">
      <c r="A2482" s="1" t="n">
        <v>3</v>
      </c>
      <c r="B2482" s="1" t="inlineStr">
        <is>
          <t>เสื้อผ้า</t>
        </is>
      </c>
      <c r="C2482" s="1" t="inlineStr">
        <is>
          <t>gf2020202051</t>
        </is>
      </c>
      <c r="D2482" s="1" t="inlineStr">
        <is>
          <t>TAYLORMADE T-Ice CB Men's Shorts (Black)</t>
        </is>
      </c>
      <c r="E2482" s="1" t="inlineStr">
        <is>
          <t>TAYLORMADE</t>
        </is>
      </c>
      <c r="F2482" s="1" t="inlineStr">
        <is>
          <t>SHORT PANTS</t>
        </is>
      </c>
      <c r="G2482" s="1" t="inlineStr">
        <is>
          <t>GF2020202051M</t>
        </is>
      </c>
      <c r="H2482" s="1" t="n">
        <v>4</v>
      </c>
      <c r="I2482" s="1" t="inlineStr">
        <is>
          <t>มี</t>
        </is>
      </c>
      <c r="J2482" s="13" t="n">
        <v>109</v>
      </c>
      <c r="K2482" s="1" t="inlineStr"/>
      <c r="L2482" s="13" t="n">
        <v>89</v>
      </c>
      <c r="M2482" s="1">
        <f>IF(L2482="","ไม่พบใน SG",IF(ABS(J2482-L2482)&lt;0.005,"ตรงกัน","ไม่ตรง"))</f>
        <v/>
      </c>
      <c r="N2482" s="14">
        <f>IF(L2482="","",ROUND(L2482*'สรุป'!$C$6,-1))</f>
        <v/>
      </c>
      <c r="O2482" s="15" t="n"/>
      <c r="P2482" s="15" t="n"/>
      <c r="Q2482" s="10" t="n"/>
      <c r="R2482" s="10" t="n"/>
      <c r="S2482" s="16" t="inlineStr">
        <is>
          <t>https://mstgolf.co.th/products/gf2020202051</t>
        </is>
      </c>
      <c r="T2482" s="1">
        <f>IF(B2482="ไม้กอล์ฟ",J2482,"")</f>
        <v/>
      </c>
    </row>
    <row r="2483">
      <c r="A2483" s="1" t="n">
        <v>3</v>
      </c>
      <c r="B2483" s="1" t="inlineStr">
        <is>
          <t>เสื้อผ้า</t>
        </is>
      </c>
      <c r="C2483" s="1" t="inlineStr">
        <is>
          <t>gf2020202052</t>
        </is>
      </c>
      <c r="D2483" s="1" t="inlineStr">
        <is>
          <t>TAYLORMADE T-Ice CB Men's Shorts (Blue)</t>
        </is>
      </c>
      <c r="E2483" s="1" t="inlineStr">
        <is>
          <t>TAYLORMADE</t>
        </is>
      </c>
      <c r="F2483" s="1" t="inlineStr">
        <is>
          <t>SHORT PANTS</t>
        </is>
      </c>
      <c r="G2483" s="1" t="inlineStr">
        <is>
          <t>GF2020202052M</t>
        </is>
      </c>
      <c r="H2483" s="1" t="n">
        <v>4</v>
      </c>
      <c r="I2483" s="1" t="inlineStr">
        <is>
          <t>มี</t>
        </is>
      </c>
      <c r="J2483" s="13" t="n">
        <v>109</v>
      </c>
      <c r="K2483" s="1" t="inlineStr"/>
      <c r="L2483" s="13" t="n">
        <v>89</v>
      </c>
      <c r="M2483" s="1">
        <f>IF(L2483="","ไม่พบใน SG",IF(ABS(J2483-L2483)&lt;0.005,"ตรงกัน","ไม่ตรง"))</f>
        <v/>
      </c>
      <c r="N2483" s="14">
        <f>IF(L2483="","",ROUND(L2483*'สรุป'!$C$6,-1))</f>
        <v/>
      </c>
      <c r="O2483" s="15" t="n"/>
      <c r="P2483" s="15" t="n"/>
      <c r="Q2483" s="10" t="n"/>
      <c r="R2483" s="10" t="n"/>
      <c r="S2483" s="16" t="inlineStr">
        <is>
          <t>https://mstgolf.co.th/products/gf2020202052</t>
        </is>
      </c>
      <c r="T2483" s="1">
        <f>IF(B2483="ไม้กอล์ฟ",J2483,"")</f>
        <v/>
      </c>
    </row>
    <row r="2484">
      <c r="A2484" s="1" t="n">
        <v>3</v>
      </c>
      <c r="B2484" s="1" t="inlineStr">
        <is>
          <t>เสื้อผ้า</t>
        </is>
      </c>
      <c r="C2484" s="1" t="inlineStr">
        <is>
          <t>gf2020202050</t>
        </is>
      </c>
      <c r="D2484" s="1" t="inlineStr">
        <is>
          <t>TAYLORMADE T-Ice CB Men's Shorts (Light Grey)</t>
        </is>
      </c>
      <c r="E2484" s="1" t="inlineStr">
        <is>
          <t>TAYLORMADE</t>
        </is>
      </c>
      <c r="F2484" s="1" t="inlineStr">
        <is>
          <t>SHORT PANTS</t>
        </is>
      </c>
      <c r="G2484" s="1" t="inlineStr">
        <is>
          <t>GF2020202050M</t>
        </is>
      </c>
      <c r="H2484" s="1" t="n">
        <v>4</v>
      </c>
      <c r="I2484" s="1" t="inlineStr">
        <is>
          <t>มี</t>
        </is>
      </c>
      <c r="J2484" s="13" t="n">
        <v>109</v>
      </c>
      <c r="K2484" s="1" t="inlineStr"/>
      <c r="L2484" s="13" t="n">
        <v>89</v>
      </c>
      <c r="M2484" s="1">
        <f>IF(L2484="","ไม่พบใน SG",IF(ABS(J2484-L2484)&lt;0.005,"ตรงกัน","ไม่ตรง"))</f>
        <v/>
      </c>
      <c r="N2484" s="14">
        <f>IF(L2484="","",ROUND(L2484*'สรุป'!$C$6,-1))</f>
        <v/>
      </c>
      <c r="O2484" s="15" t="n"/>
      <c r="P2484" s="15" t="n"/>
      <c r="Q2484" s="10" t="n"/>
      <c r="R2484" s="10" t="n"/>
      <c r="S2484" s="16" t="inlineStr">
        <is>
          <t>https://mstgolf.co.th/products/gf2020202050</t>
        </is>
      </c>
      <c r="T2484" s="1">
        <f>IF(B2484="ไม้กอล์ฟ",J2484,"")</f>
        <v/>
      </c>
    </row>
    <row r="2485">
      <c r="A2485" s="1" t="n">
        <v>3</v>
      </c>
      <c r="B2485" s="1" t="inlineStr">
        <is>
          <t>เสื้อผ้า</t>
        </is>
      </c>
      <c r="C2485" s="1" t="inlineStr">
        <is>
          <t>gf2040115469</t>
        </is>
      </c>
      <c r="D2485" s="1" t="inlineStr">
        <is>
          <t>TAYLORMADE T-Ice Taxi Icon Men's Polo (Black)</t>
        </is>
      </c>
      <c r="E2485" s="1" t="inlineStr">
        <is>
          <t>TAYLORMADE</t>
        </is>
      </c>
      <c r="F2485" s="1" t="inlineStr">
        <is>
          <t>SHORT SLEEVES</t>
        </is>
      </c>
      <c r="G2485" s="1" t="inlineStr">
        <is>
          <t>GF2040115469M</t>
        </is>
      </c>
      <c r="H2485" s="1" t="n">
        <v>5</v>
      </c>
      <c r="I2485" s="1" t="inlineStr">
        <is>
          <t>มี</t>
        </is>
      </c>
      <c r="J2485" s="13" t="n">
        <v>109</v>
      </c>
      <c r="K2485" s="1" t="inlineStr"/>
      <c r="L2485" s="13" t="n">
        <v>89</v>
      </c>
      <c r="M2485" s="1">
        <f>IF(L2485="","ไม่พบใน SG",IF(ABS(J2485-L2485)&lt;0.005,"ตรงกัน","ไม่ตรง"))</f>
        <v/>
      </c>
      <c r="N2485" s="14">
        <f>IF(L2485="","",ROUND(L2485*'สรุป'!$C$6,-1))</f>
        <v/>
      </c>
      <c r="O2485" s="15" t="n"/>
      <c r="P2485" s="15" t="n"/>
      <c r="Q2485" s="10" t="n"/>
      <c r="R2485" s="10" t="n"/>
      <c r="S2485" s="16" t="inlineStr">
        <is>
          <t>https://mstgolf.co.th/products/gf2040115469</t>
        </is>
      </c>
      <c r="T2485" s="1">
        <f>IF(B2485="ไม้กอล์ฟ",J2485,"")</f>
        <v/>
      </c>
    </row>
    <row r="2486">
      <c r="A2486" s="1" t="n">
        <v>3</v>
      </c>
      <c r="B2486" s="1" t="inlineStr">
        <is>
          <t>เสื้อผ้า</t>
        </is>
      </c>
      <c r="C2486" s="1" t="inlineStr">
        <is>
          <t>gf2040118027</t>
        </is>
      </c>
      <c r="D2486" s="1" t="inlineStr">
        <is>
          <t>WAAC Korea Print Women's T-Shirt (Yellow)</t>
        </is>
      </c>
      <c r="E2486" s="1" t="inlineStr">
        <is>
          <t>WAAC</t>
        </is>
      </c>
      <c r="F2486" s="1" t="inlineStr">
        <is>
          <t>SHORT SLEEVES</t>
        </is>
      </c>
      <c r="G2486" s="1" t="inlineStr">
        <is>
          <t>GF2040118027XS</t>
        </is>
      </c>
      <c r="H2486" s="1" t="n">
        <v>6</v>
      </c>
      <c r="I2486" s="1" t="inlineStr">
        <is>
          <t>มี</t>
        </is>
      </c>
      <c r="J2486" s="13" t="n">
        <v>109</v>
      </c>
      <c r="K2486" s="1" t="inlineStr"/>
      <c r="L2486" s="13" t="n">
        <v>109</v>
      </c>
      <c r="M2486" s="1">
        <f>IF(L2486="","ไม่พบใน SG",IF(ABS(J2486-L2486)&lt;0.005,"ตรงกัน","ไม่ตรง"))</f>
        <v/>
      </c>
      <c r="N2486" s="14">
        <f>IF(L2486="","",ROUND(L2486*'สรุป'!$C$6,-1))</f>
        <v/>
      </c>
      <c r="O2486" s="15" t="n"/>
      <c r="P2486" s="15" t="n"/>
      <c r="Q2486" s="10" t="n"/>
      <c r="R2486" s="10" t="n"/>
      <c r="S2486" s="16" t="inlineStr">
        <is>
          <t>https://mstgolf.co.th/products/gf2040118027</t>
        </is>
      </c>
      <c r="T2486" s="1">
        <f>IF(B2486="ไม้กอล์ฟ",J2486,"")</f>
        <v/>
      </c>
    </row>
    <row r="2487">
      <c r="A2487" s="1" t="n">
        <v>3</v>
      </c>
      <c r="B2487" s="1" t="inlineStr">
        <is>
          <t>เสื้อผ้า</t>
        </is>
      </c>
      <c r="C2487" s="1" t="inlineStr">
        <is>
          <t>gf2040118040</t>
        </is>
      </c>
      <c r="D2487" s="1" t="inlineStr">
        <is>
          <t>WAAC Korea Waacky Print Men's T-Shirt (Orange)</t>
        </is>
      </c>
      <c r="E2487" s="1" t="inlineStr">
        <is>
          <t>WAAC</t>
        </is>
      </c>
      <c r="F2487" s="1" t="inlineStr">
        <is>
          <t>SHORT SLEEVES</t>
        </is>
      </c>
      <c r="G2487" s="1" t="inlineStr">
        <is>
          <t>GF2040118040XS</t>
        </is>
      </c>
      <c r="H2487" s="1" t="n">
        <v>6</v>
      </c>
      <c r="I2487" s="1" t="inlineStr">
        <is>
          <t>มี</t>
        </is>
      </c>
      <c r="J2487" s="13" t="n">
        <v>109</v>
      </c>
      <c r="K2487" s="1" t="inlineStr"/>
      <c r="L2487" s="13" t="n">
        <v>109</v>
      </c>
      <c r="M2487" s="1">
        <f>IF(L2487="","ไม่พบใน SG",IF(ABS(J2487-L2487)&lt;0.005,"ตรงกัน","ไม่ตรง"))</f>
        <v/>
      </c>
      <c r="N2487" s="14">
        <f>IF(L2487="","",ROUND(L2487*'สรุป'!$C$6,-1))</f>
        <v/>
      </c>
      <c r="O2487" s="15" t="n"/>
      <c r="P2487" s="15" t="n"/>
      <c r="Q2487" s="10" t="n"/>
      <c r="R2487" s="10" t="n"/>
      <c r="S2487" s="16" t="inlineStr">
        <is>
          <t>https://mstgolf.co.th/products/gf2040118040</t>
        </is>
      </c>
      <c r="T2487" s="1">
        <f>IF(B2487="ไม้กอล์ฟ",J2487,"")</f>
        <v/>
      </c>
    </row>
    <row r="2488">
      <c r="A2488" s="1" t="n">
        <v>3</v>
      </c>
      <c r="B2488" s="1" t="inlineStr">
        <is>
          <t>เสื้อผ้า</t>
        </is>
      </c>
      <c r="C2488" s="1" t="inlineStr">
        <is>
          <t>gf2020202688</t>
        </is>
      </c>
      <c r="D2488" s="1" t="inlineStr">
        <is>
          <t>FOOTJOY Lightweight 9" Men's Shorts (Grey)</t>
        </is>
      </c>
      <c r="E2488" s="1" t="inlineStr">
        <is>
          <t>FOOTJOY</t>
        </is>
      </c>
      <c r="F2488" s="1" t="inlineStr">
        <is>
          <t>SHORT PANTS</t>
        </is>
      </c>
      <c r="G2488" s="1" t="inlineStr">
        <is>
          <t>GF202020268830</t>
        </is>
      </c>
      <c r="H2488" s="1" t="n">
        <v>7</v>
      </c>
      <c r="I2488" s="1" t="inlineStr">
        <is>
          <t>มี</t>
        </is>
      </c>
      <c r="J2488" s="13" t="n">
        <v>107</v>
      </c>
      <c r="K2488" s="1" t="inlineStr"/>
      <c r="L2488" s="13" t="n">
        <v>107</v>
      </c>
      <c r="M2488" s="1">
        <f>IF(L2488="","ไม่พบใน SG",IF(ABS(J2488-L2488)&lt;0.005,"ตรงกัน","ไม่ตรง"))</f>
        <v/>
      </c>
      <c r="N2488" s="14">
        <f>IF(L2488="","",ROUND(L2488*'สรุป'!$C$6,-1))</f>
        <v/>
      </c>
      <c r="O2488" s="15" t="n"/>
      <c r="P2488" s="15" t="n"/>
      <c r="Q2488" s="10" t="n"/>
      <c r="R2488" s="10" t="n"/>
      <c r="S2488" s="16" t="inlineStr">
        <is>
          <t>https://mstgolf.co.th/products/gf2020202688</t>
        </is>
      </c>
      <c r="T2488" s="1">
        <f>IF(B2488="ไม้กอล์ฟ",J2488,"")</f>
        <v/>
      </c>
    </row>
    <row r="2489">
      <c r="A2489" s="1" t="n">
        <v>3</v>
      </c>
      <c r="B2489" s="1" t="inlineStr">
        <is>
          <t>เสื้อผ้า</t>
        </is>
      </c>
      <c r="C2489" s="1" t="inlineStr">
        <is>
          <t>gf2040119741</t>
        </is>
      </c>
      <c r="D2489" s="1" t="inlineStr">
        <is>
          <t>MANORS The Course Men's Polo (Black)</t>
        </is>
      </c>
      <c r="E2489" s="1" t="inlineStr">
        <is>
          <t>MANORS</t>
        </is>
      </c>
      <c r="F2489" s="1" t="inlineStr">
        <is>
          <t>SHORT SLEEVES</t>
        </is>
      </c>
      <c r="G2489" s="1" t="inlineStr">
        <is>
          <t>GF2040119741S</t>
        </is>
      </c>
      <c r="H2489" s="1" t="n">
        <v>4</v>
      </c>
      <c r="I2489" s="1" t="inlineStr">
        <is>
          <t>มี</t>
        </is>
      </c>
      <c r="J2489" s="13" t="n">
        <v>106</v>
      </c>
      <c r="K2489" s="1" t="inlineStr"/>
      <c r="L2489" s="13" t="n">
        <v>105</v>
      </c>
      <c r="M2489" s="1">
        <f>IF(L2489="","ไม่พบใน SG",IF(ABS(J2489-L2489)&lt;0.005,"ตรงกัน","ไม่ตรง"))</f>
        <v/>
      </c>
      <c r="N2489" s="14">
        <f>IF(L2489="","",ROUND(L2489*'สรุป'!$C$6,-1))</f>
        <v/>
      </c>
      <c r="O2489" s="15" t="n"/>
      <c r="P2489" s="15" t="n"/>
      <c r="Q2489" s="10" t="n"/>
      <c r="R2489" s="10" t="n"/>
      <c r="S2489" s="16" t="inlineStr">
        <is>
          <t>https://mstgolf.co.th/products/gf2040119741</t>
        </is>
      </c>
      <c r="T2489" s="1">
        <f>IF(B2489="ไม้กอล์ฟ",J2489,"")</f>
        <v/>
      </c>
    </row>
    <row r="2490">
      <c r="A2490" s="1" t="n">
        <v>3</v>
      </c>
      <c r="B2490" s="1" t="inlineStr">
        <is>
          <t>เสื้อผ้า</t>
        </is>
      </c>
      <c r="C2490" s="1" t="inlineStr">
        <is>
          <t>gf2020202655</t>
        </is>
      </c>
      <c r="D2490" s="1" t="inlineStr">
        <is>
          <t>ADIDAS Ultimate365 5-Pocket Men's Shorts (Black)</t>
        </is>
      </c>
      <c r="E2490" s="1" t="inlineStr">
        <is>
          <t>ADIDAS</t>
        </is>
      </c>
      <c r="F2490" s="1" t="inlineStr">
        <is>
          <t>SHORT PANTS</t>
        </is>
      </c>
      <c r="G2490" s="1" t="inlineStr">
        <is>
          <t>GF202020265573</t>
        </is>
      </c>
      <c r="H2490" s="1" t="n">
        <v>9</v>
      </c>
      <c r="I2490" s="1" t="inlineStr">
        <is>
          <t>มี</t>
        </is>
      </c>
      <c r="J2490" s="13" t="n">
        <v>105</v>
      </c>
      <c r="K2490" s="1" t="inlineStr"/>
      <c r="L2490" s="13" t="n">
        <v>49</v>
      </c>
      <c r="M2490" s="1">
        <f>IF(L2490="","ไม่พบใน SG",IF(ABS(J2490-L2490)&lt;0.005,"ตรงกัน","ไม่ตรง"))</f>
        <v/>
      </c>
      <c r="N2490" s="14">
        <f>IF(L2490="","",ROUND(L2490*'สรุป'!$C$6,-1))</f>
        <v/>
      </c>
      <c r="O2490" s="15" t="n"/>
      <c r="P2490" s="15" t="n"/>
      <c r="Q2490" s="10" t="n"/>
      <c r="R2490" s="10" t="n"/>
      <c r="S2490" s="16" t="inlineStr">
        <is>
          <t>https://mstgolf.co.th/products/gf2020202655</t>
        </is>
      </c>
      <c r="T2490" s="1">
        <f>IF(B2490="ไม้กอล์ฟ",J2490,"")</f>
        <v/>
      </c>
    </row>
    <row r="2491">
      <c r="A2491" s="1" t="n">
        <v>3</v>
      </c>
      <c r="B2491" s="1" t="inlineStr">
        <is>
          <t>เสื้อผ้า</t>
        </is>
      </c>
      <c r="C2491" s="1" t="inlineStr">
        <is>
          <t>gf2020102386</t>
        </is>
      </c>
      <c r="D2491" s="1" t="inlineStr">
        <is>
          <t>ADIDAS Ultimate365 Men's Pants (Navy)</t>
        </is>
      </c>
      <c r="E2491" s="1" t="inlineStr">
        <is>
          <t>ADIDAS</t>
        </is>
      </c>
      <c r="F2491" s="1" t="inlineStr">
        <is>
          <t>LONG PANTS</t>
        </is>
      </c>
      <c r="G2491" s="1" t="inlineStr">
        <is>
          <t>GF202010238673</t>
        </is>
      </c>
      <c r="H2491" s="1" t="n">
        <v>9</v>
      </c>
      <c r="I2491" s="1" t="inlineStr">
        <is>
          <t>มี</t>
        </is>
      </c>
      <c r="J2491" s="13" t="n">
        <v>105</v>
      </c>
      <c r="K2491" s="1" t="inlineStr"/>
      <c r="L2491" s="13" t="n">
        <v>75</v>
      </c>
      <c r="M2491" s="1">
        <f>IF(L2491="","ไม่พบใน SG",IF(ABS(J2491-L2491)&lt;0.005,"ตรงกัน","ไม่ตรง"))</f>
        <v/>
      </c>
      <c r="N2491" s="14">
        <f>IF(L2491="","",ROUND(L2491*'สรุป'!$C$6,-1))</f>
        <v/>
      </c>
      <c r="O2491" s="15" t="n"/>
      <c r="P2491" s="15" t="n"/>
      <c r="Q2491" s="10" t="n"/>
      <c r="R2491" s="10" t="n"/>
      <c r="S2491" s="16" t="inlineStr">
        <is>
          <t>https://mstgolf.co.th/products/gf2020102386</t>
        </is>
      </c>
      <c r="T2491" s="1">
        <f>IF(B2491="ไม้กอล์ฟ",J2491,"")</f>
        <v/>
      </c>
    </row>
    <row r="2492">
      <c r="A2492" s="1" t="n">
        <v>3</v>
      </c>
      <c r="B2492" s="1" t="inlineStr">
        <is>
          <t>เสื้อผ้า</t>
        </is>
      </c>
      <c r="C2492" s="1" t="inlineStr">
        <is>
          <t>gf2020102262</t>
        </is>
      </c>
      <c r="D2492" s="1" t="inlineStr">
        <is>
          <t>ADIDAS Ultimate365 Men's Tapered Golf Pants (Grey)</t>
        </is>
      </c>
      <c r="E2492" s="1" t="inlineStr">
        <is>
          <t>ADIDAS</t>
        </is>
      </c>
      <c r="F2492" s="1" t="inlineStr">
        <is>
          <t>LONG PANTS</t>
        </is>
      </c>
      <c r="G2492" s="1" t="inlineStr">
        <is>
          <t>GF20201022622XL</t>
        </is>
      </c>
      <c r="H2492" s="1" t="n">
        <v>15</v>
      </c>
      <c r="I2492" s="1" t="inlineStr">
        <is>
          <t>มี</t>
        </is>
      </c>
      <c r="J2492" s="13" t="n">
        <v>105</v>
      </c>
      <c r="K2492" s="1" t="inlineStr"/>
      <c r="L2492" s="13" t="n">
        <v>105</v>
      </c>
      <c r="M2492" s="1">
        <f>IF(L2492="","ไม่พบใน SG",IF(ABS(J2492-L2492)&lt;0.005,"ตรงกัน","ไม่ตรง"))</f>
        <v/>
      </c>
      <c r="N2492" s="14">
        <f>IF(L2492="","",ROUND(L2492*'สรุป'!$C$6,-1))</f>
        <v/>
      </c>
      <c r="O2492" s="15" t="n"/>
      <c r="P2492" s="15" t="n"/>
      <c r="Q2492" s="10" t="n"/>
      <c r="R2492" s="10" t="n"/>
      <c r="S2492" s="16" t="inlineStr">
        <is>
          <t>https://mstgolf.co.th/products/gf2020102262</t>
        </is>
      </c>
      <c r="T2492" s="1">
        <f>IF(B2492="ไม้กอล์ฟ",J2492,"")</f>
        <v/>
      </c>
    </row>
    <row r="2493">
      <c r="A2493" s="1" t="n">
        <v>3</v>
      </c>
      <c r="B2493" s="1" t="inlineStr">
        <is>
          <t>เสื้อผ้า</t>
        </is>
      </c>
      <c r="C2493" s="1" t="inlineStr">
        <is>
          <t>gf2020202338</t>
        </is>
      </c>
      <c r="D2493" s="1" t="inlineStr">
        <is>
          <t>CALVIN KLEIN Ava Golf Skort (Berry Pink)</t>
        </is>
      </c>
      <c r="E2493" s="1" t="inlineStr">
        <is>
          <t>CALVIN KLEIN</t>
        </is>
      </c>
      <c r="F2493" s="1" t="inlineStr">
        <is>
          <t>SHORT PANTS</t>
        </is>
      </c>
      <c r="G2493" s="1" t="inlineStr">
        <is>
          <t>GF20202023388</t>
        </is>
      </c>
      <c r="H2493" s="1" t="n">
        <v>5</v>
      </c>
      <c r="I2493" s="1" t="inlineStr">
        <is>
          <t>มี</t>
        </is>
      </c>
      <c r="J2493" s="13" t="n">
        <v>105</v>
      </c>
      <c r="K2493" s="1" t="inlineStr"/>
      <c r="L2493" s="13" t="n">
        <v>75</v>
      </c>
      <c r="M2493" s="1">
        <f>IF(L2493="","ไม่พบใน SG",IF(ABS(J2493-L2493)&lt;0.005,"ตรงกัน","ไม่ตรง"))</f>
        <v/>
      </c>
      <c r="N2493" s="14">
        <f>IF(L2493="","",ROUND(L2493*'สรุป'!$C$6,-1))</f>
        <v/>
      </c>
      <c r="O2493" s="15" t="n"/>
      <c r="P2493" s="15" t="n"/>
      <c r="Q2493" s="10" t="n"/>
      <c r="R2493" s="10" t="n"/>
      <c r="S2493" s="16" t="inlineStr">
        <is>
          <t>https://mstgolf.co.th/products/gf2020202338</t>
        </is>
      </c>
      <c r="T2493" s="1">
        <f>IF(B2493="ไม้กอล์ฟ",J2493,"")</f>
        <v/>
      </c>
    </row>
    <row r="2494">
      <c r="A2494" s="1" t="n">
        <v>3</v>
      </c>
      <c r="B2494" s="1" t="inlineStr">
        <is>
          <t>เสื้อผ้า</t>
        </is>
      </c>
      <c r="C2494" s="1" t="inlineStr">
        <is>
          <t>gf2020202339</t>
        </is>
      </c>
      <c r="D2494" s="1" t="inlineStr">
        <is>
          <t>CALVIN KLEIN Ava Golf Skort (Navy)</t>
        </is>
      </c>
      <c r="E2494" s="1" t="inlineStr">
        <is>
          <t>CALVIN KLEIN</t>
        </is>
      </c>
      <c r="F2494" s="1" t="inlineStr">
        <is>
          <t>SHORT PANTS</t>
        </is>
      </c>
      <c r="G2494" s="1" t="inlineStr">
        <is>
          <t>GF20202023398</t>
        </is>
      </c>
      <c r="H2494" s="1" t="n">
        <v>5</v>
      </c>
      <c r="I2494" s="1" t="inlineStr">
        <is>
          <t>มี</t>
        </is>
      </c>
      <c r="J2494" s="13" t="n">
        <v>105</v>
      </c>
      <c r="K2494" s="1" t="inlineStr"/>
      <c r="L2494" s="13" t="n">
        <v>75</v>
      </c>
      <c r="M2494" s="1">
        <f>IF(L2494="","ไม่พบใน SG",IF(ABS(J2494-L2494)&lt;0.005,"ตรงกัน","ไม่ตรง"))</f>
        <v/>
      </c>
      <c r="N2494" s="14">
        <f>IF(L2494="","",ROUND(L2494*'สรุป'!$C$6,-1))</f>
        <v/>
      </c>
      <c r="O2494" s="15" t="n"/>
      <c r="P2494" s="15" t="n"/>
      <c r="Q2494" s="10" t="n"/>
      <c r="R2494" s="10" t="n"/>
      <c r="S2494" s="16" t="inlineStr">
        <is>
          <t>https://mstgolf.co.th/products/gf2020202339</t>
        </is>
      </c>
      <c r="T2494" s="1">
        <f>IF(B2494="ไม้กอล์ฟ",J2494,"")</f>
        <v/>
      </c>
    </row>
    <row r="2495">
      <c r="A2495" s="1" t="n">
        <v>3</v>
      </c>
      <c r="B2495" s="1" t="inlineStr">
        <is>
          <t>เสื้อผ้า</t>
        </is>
      </c>
      <c r="C2495" s="1" t="inlineStr">
        <is>
          <t>gf2020201437</t>
        </is>
      </c>
      <c r="D2495" s="1" t="inlineStr">
        <is>
          <t>CALVIN KLEIN Bullet Men's Shorts (Black)</t>
        </is>
      </c>
      <c r="E2495" s="1" t="inlineStr">
        <is>
          <t>CALVIN KLEIN</t>
        </is>
      </c>
      <c r="F2495" s="1" t="inlineStr">
        <is>
          <t>SHORT PANTS</t>
        </is>
      </c>
      <c r="G2495" s="1" t="inlineStr">
        <is>
          <t>GF202020143728</t>
        </is>
      </c>
      <c r="H2495" s="1" t="n">
        <v>9</v>
      </c>
      <c r="I2495" s="1" t="inlineStr">
        <is>
          <t>มี</t>
        </is>
      </c>
      <c r="J2495" s="13" t="n">
        <v>105</v>
      </c>
      <c r="K2495" s="1" t="inlineStr"/>
      <c r="L2495" s="13" t="n">
        <v>105</v>
      </c>
      <c r="M2495" s="1">
        <f>IF(L2495="","ไม่พบใน SG",IF(ABS(J2495-L2495)&lt;0.005,"ตรงกัน","ไม่ตรง"))</f>
        <v/>
      </c>
      <c r="N2495" s="14">
        <f>IF(L2495="","",ROUND(L2495*'สรุป'!$C$6,-1))</f>
        <v/>
      </c>
      <c r="O2495" s="15" t="n"/>
      <c r="P2495" s="15" t="n"/>
      <c r="Q2495" s="10" t="n"/>
      <c r="R2495" s="10" t="n"/>
      <c r="S2495" s="16" t="inlineStr">
        <is>
          <t>https://mstgolf.co.th/products/gf2020201437</t>
        </is>
      </c>
      <c r="T2495" s="1">
        <f>IF(B2495="ไม้กอล์ฟ",J2495,"")</f>
        <v/>
      </c>
    </row>
    <row r="2496">
      <c r="A2496" s="1" t="n">
        <v>3</v>
      </c>
      <c r="B2496" s="1" t="inlineStr">
        <is>
          <t>เสื้อผ้า</t>
        </is>
      </c>
      <c r="C2496" s="1" t="inlineStr">
        <is>
          <t>gf2020201438</t>
        </is>
      </c>
      <c r="D2496" s="1" t="inlineStr">
        <is>
          <t>CALVIN KLEIN Bullet Men's Shorts (Navy)</t>
        </is>
      </c>
      <c r="E2496" s="1" t="inlineStr">
        <is>
          <t>CALVIN KLEIN</t>
        </is>
      </c>
      <c r="F2496" s="1" t="inlineStr">
        <is>
          <t>SHORT PANTS</t>
        </is>
      </c>
      <c r="G2496" s="1" t="inlineStr">
        <is>
          <t>GF202020143828</t>
        </is>
      </c>
      <c r="H2496" s="1" t="n">
        <v>7</v>
      </c>
      <c r="I2496" s="1" t="inlineStr">
        <is>
          <t>มี</t>
        </is>
      </c>
      <c r="J2496" s="13" t="n">
        <v>105</v>
      </c>
      <c r="K2496" s="1" t="inlineStr"/>
      <c r="L2496" s="13" t="n">
        <v>105</v>
      </c>
      <c r="M2496" s="1">
        <f>IF(L2496="","ไม่พบใน SG",IF(ABS(J2496-L2496)&lt;0.005,"ตรงกัน","ไม่ตรง"))</f>
        <v/>
      </c>
      <c r="N2496" s="14">
        <f>IF(L2496="","",ROUND(L2496*'สรุป'!$C$6,-1))</f>
        <v/>
      </c>
      <c r="O2496" s="15" t="n"/>
      <c r="P2496" s="15" t="n"/>
      <c r="Q2496" s="10" t="n"/>
      <c r="R2496" s="10" t="n"/>
      <c r="S2496" s="16" t="inlineStr">
        <is>
          <t>https://mstgolf.co.th/products/gf2020201438</t>
        </is>
      </c>
      <c r="T2496" s="1">
        <f>IF(B2496="ไม้กอล์ฟ",J2496,"")</f>
        <v/>
      </c>
    </row>
    <row r="2497">
      <c r="A2497" s="1" t="n">
        <v>3</v>
      </c>
      <c r="B2497" s="1" t="inlineStr">
        <is>
          <t>เสื้อผ้า</t>
        </is>
      </c>
      <c r="C2497" s="1" t="inlineStr">
        <is>
          <t>gf2020202023</t>
        </is>
      </c>
      <c r="D2497" s="1" t="inlineStr">
        <is>
          <t>CALVIN KLEIN Bullet Men's Shorts (Silver)</t>
        </is>
      </c>
      <c r="E2497" s="1" t="inlineStr">
        <is>
          <t>CALVIN KLEIN</t>
        </is>
      </c>
      <c r="F2497" s="1" t="inlineStr">
        <is>
          <t>SHORT PANTS</t>
        </is>
      </c>
      <c r="G2497" s="1" t="inlineStr">
        <is>
          <t>GF202020202328</t>
        </is>
      </c>
      <c r="H2497" s="1" t="n">
        <v>8</v>
      </c>
      <c r="I2497" s="1" t="inlineStr">
        <is>
          <t>มี</t>
        </is>
      </c>
      <c r="J2497" s="13" t="n">
        <v>105</v>
      </c>
      <c r="K2497" s="1" t="inlineStr"/>
      <c r="L2497" s="13" t="n">
        <v>105</v>
      </c>
      <c r="M2497" s="1">
        <f>IF(L2497="","ไม่พบใน SG",IF(ABS(J2497-L2497)&lt;0.005,"ตรงกัน","ไม่ตรง"))</f>
        <v/>
      </c>
      <c r="N2497" s="14">
        <f>IF(L2497="","",ROUND(L2497*'สรุป'!$C$6,-1))</f>
        <v/>
      </c>
      <c r="O2497" s="15" t="n"/>
      <c r="P2497" s="15" t="n"/>
      <c r="Q2497" s="10" t="n"/>
      <c r="R2497" s="10" t="n"/>
      <c r="S2497" s="16" t="inlineStr">
        <is>
          <t>https://mstgolf.co.th/products/gf2020202023</t>
        </is>
      </c>
      <c r="T2497" s="1">
        <f>IF(B2497="ไม้กอล์ฟ",J2497,"")</f>
        <v/>
      </c>
    </row>
    <row r="2498">
      <c r="A2498" s="1" t="n">
        <v>3</v>
      </c>
      <c r="B2498" s="1" t="inlineStr">
        <is>
          <t>เสื้อผ้า</t>
        </is>
      </c>
      <c r="C2498" s="1" t="inlineStr">
        <is>
          <t>gf2020201439</t>
        </is>
      </c>
      <c r="D2498" s="1" t="inlineStr">
        <is>
          <t>CALVIN KLEIN Bullet Men's Shorts (Steel)</t>
        </is>
      </c>
      <c r="E2498" s="1" t="inlineStr">
        <is>
          <t>CALVIN KLEIN</t>
        </is>
      </c>
      <c r="F2498" s="1" t="inlineStr">
        <is>
          <t>SHORT PANTS</t>
        </is>
      </c>
      <c r="G2498" s="1" t="inlineStr">
        <is>
          <t>GF202020143928</t>
        </is>
      </c>
      <c r="H2498" s="1" t="n">
        <v>9</v>
      </c>
      <c r="I2498" s="1" t="inlineStr">
        <is>
          <t>มี</t>
        </is>
      </c>
      <c r="J2498" s="13" t="n">
        <v>105</v>
      </c>
      <c r="K2498" s="1" t="inlineStr"/>
      <c r="L2498" s="13" t="n">
        <v>105</v>
      </c>
      <c r="M2498" s="1">
        <f>IF(L2498="","ไม่พบใน SG",IF(ABS(J2498-L2498)&lt;0.005,"ตรงกัน","ไม่ตรง"))</f>
        <v/>
      </c>
      <c r="N2498" s="14">
        <f>IF(L2498="","",ROUND(L2498*'สรุป'!$C$6,-1))</f>
        <v/>
      </c>
      <c r="O2498" s="15" t="n"/>
      <c r="P2498" s="15" t="n"/>
      <c r="Q2498" s="10" t="n"/>
      <c r="R2498" s="10" t="n"/>
      <c r="S2498" s="16" t="inlineStr">
        <is>
          <t>https://mstgolf.co.th/products/gf2020201439</t>
        </is>
      </c>
      <c r="T2498" s="1">
        <f>IF(B2498="ไม้กอล์ฟ",J2498,"")</f>
        <v/>
      </c>
    </row>
    <row r="2499">
      <c r="A2499" s="1" t="n">
        <v>3</v>
      </c>
      <c r="B2499" s="1" t="inlineStr">
        <is>
          <t>เสื้อผ้า</t>
        </is>
      </c>
      <c r="C2499" s="1" t="inlineStr">
        <is>
          <t>gf2020202021</t>
        </is>
      </c>
      <c r="D2499" s="1" t="inlineStr">
        <is>
          <t>CALVIN KLEIN Bullet Men's Shorts (White)</t>
        </is>
      </c>
      <c r="E2499" s="1" t="inlineStr">
        <is>
          <t>CALVIN KLEIN</t>
        </is>
      </c>
      <c r="F2499" s="1" t="inlineStr">
        <is>
          <t>SHORT PANTS</t>
        </is>
      </c>
      <c r="G2499" s="1" t="inlineStr">
        <is>
          <t>GF202020202128</t>
        </is>
      </c>
      <c r="H2499" s="1" t="n">
        <v>8</v>
      </c>
      <c r="I2499" s="1" t="inlineStr">
        <is>
          <t>มี</t>
        </is>
      </c>
      <c r="J2499" s="13" t="n">
        <v>105</v>
      </c>
      <c r="K2499" s="1" t="inlineStr"/>
      <c r="L2499" s="13" t="n">
        <v>105</v>
      </c>
      <c r="M2499" s="1">
        <f>IF(L2499="","ไม่พบใน SG",IF(ABS(J2499-L2499)&lt;0.005,"ตรงกัน","ไม่ตรง"))</f>
        <v/>
      </c>
      <c r="N2499" s="14">
        <f>IF(L2499="","",ROUND(L2499*'สรุป'!$C$6,-1))</f>
        <v/>
      </c>
      <c r="O2499" s="15" t="n"/>
      <c r="P2499" s="15" t="n"/>
      <c r="Q2499" s="10" t="n"/>
      <c r="R2499" s="10" t="n"/>
      <c r="S2499" s="16" t="inlineStr">
        <is>
          <t>https://mstgolf.co.th/products/gf2020202021</t>
        </is>
      </c>
      <c r="T2499" s="1">
        <f>IF(B2499="ไม้กอล์ฟ",J2499,"")</f>
        <v/>
      </c>
    </row>
    <row r="2500">
      <c r="A2500" s="1" t="n">
        <v>3</v>
      </c>
      <c r="B2500" s="1" t="inlineStr">
        <is>
          <t>เสื้อผ้า</t>
        </is>
      </c>
      <c r="C2500" s="1" t="inlineStr">
        <is>
          <t>gf2060101116</t>
        </is>
      </c>
      <c r="D2500" s="1" t="inlineStr">
        <is>
          <t>CALVIN KLEIN Casa Blanca Full Zip Hybrid Men's Sweatshirt (Black)</t>
        </is>
      </c>
      <c r="E2500" s="1" t="inlineStr">
        <is>
          <t>CALVIN KLEIN</t>
        </is>
      </c>
      <c r="F2500" s="1" t="inlineStr">
        <is>
          <t>TOP</t>
        </is>
      </c>
      <c r="G2500" s="1" t="inlineStr">
        <is>
          <t>GF2060101116S</t>
        </is>
      </c>
      <c r="H2500" s="1" t="n">
        <v>5</v>
      </c>
      <c r="I2500" s="1" t="inlineStr">
        <is>
          <t>มี</t>
        </is>
      </c>
      <c r="J2500" s="13" t="n">
        <v>105</v>
      </c>
      <c r="K2500" s="1" t="inlineStr"/>
      <c r="L2500" s="13" t="n">
        <v>59</v>
      </c>
      <c r="M2500" s="1">
        <f>IF(L2500="","ไม่พบใน SG",IF(ABS(J2500-L2500)&lt;0.005,"ตรงกัน","ไม่ตรง"))</f>
        <v/>
      </c>
      <c r="N2500" s="14">
        <f>IF(L2500="","",ROUND(L2500*'สรุป'!$C$6,-1))</f>
        <v/>
      </c>
      <c r="O2500" s="15" t="n"/>
      <c r="P2500" s="15" t="n"/>
      <c r="Q2500" s="10" t="n"/>
      <c r="R2500" s="10" t="n"/>
      <c r="S2500" s="16" t="inlineStr">
        <is>
          <t>https://mstgolf.co.th/products/gf2060101116</t>
        </is>
      </c>
      <c r="T2500" s="1">
        <f>IF(B2500="ไม้กอล์ฟ",J2500,"")</f>
        <v/>
      </c>
    </row>
    <row r="2501">
      <c r="A2501" s="1" t="n">
        <v>3</v>
      </c>
      <c r="B2501" s="1" t="inlineStr">
        <is>
          <t>เสื้อผ้า</t>
        </is>
      </c>
      <c r="C2501" s="1" t="inlineStr">
        <is>
          <t>gf2020102246</t>
        </is>
      </c>
      <c r="D2501" s="1" t="inlineStr">
        <is>
          <t>CALVIN KLEIN Flight Men's Pants (Navy)</t>
        </is>
      </c>
      <c r="E2501" s="1" t="inlineStr">
        <is>
          <t>CALVIN KLEIN</t>
        </is>
      </c>
      <c r="F2501" s="1" t="inlineStr">
        <is>
          <t>LONG PANTS</t>
        </is>
      </c>
      <c r="G2501" s="1" t="inlineStr">
        <is>
          <t>GF2020102246S</t>
        </is>
      </c>
      <c r="H2501" s="1" t="n">
        <v>5</v>
      </c>
      <c r="I2501" s="1" t="inlineStr">
        <is>
          <t>มี</t>
        </is>
      </c>
      <c r="J2501" s="13" t="n">
        <v>105</v>
      </c>
      <c r="K2501" s="1" t="inlineStr"/>
      <c r="L2501" s="13" t="n">
        <v>59</v>
      </c>
      <c r="M2501" s="1">
        <f>IF(L2501="","ไม่พบใน SG",IF(ABS(J2501-L2501)&lt;0.005,"ตรงกัน","ไม่ตรง"))</f>
        <v/>
      </c>
      <c r="N2501" s="14">
        <f>IF(L2501="","",ROUND(L2501*'สรุป'!$C$6,-1))</f>
        <v/>
      </c>
      <c r="O2501" s="15" t="n"/>
      <c r="P2501" s="15" t="n"/>
      <c r="Q2501" s="10" t="n"/>
      <c r="R2501" s="10" t="n"/>
      <c r="S2501" s="16" t="inlineStr">
        <is>
          <t>https://mstgolf.co.th/products/gf2020102246</t>
        </is>
      </c>
      <c r="T2501" s="1">
        <f>IF(B2501="ไม้กอล์ฟ",J2501,"")</f>
        <v/>
      </c>
    </row>
    <row r="2502">
      <c r="A2502" s="1" t="n">
        <v>3</v>
      </c>
      <c r="B2502" s="1" t="inlineStr">
        <is>
          <t>เสื้อผ้า</t>
        </is>
      </c>
      <c r="C2502" s="1" t="inlineStr">
        <is>
          <t>gf2020202340</t>
        </is>
      </c>
      <c r="D2502" s="1" t="inlineStr">
        <is>
          <t>CALVIN KLEIN Rosepoint Golf Skort (Navy/White)</t>
        </is>
      </c>
      <c r="E2502" s="1" t="inlineStr">
        <is>
          <t>CALVIN KLEIN</t>
        </is>
      </c>
      <c r="F2502" s="1" t="inlineStr">
        <is>
          <t>SHORT PANTS</t>
        </is>
      </c>
      <c r="G2502" s="1" t="inlineStr">
        <is>
          <t>GF20202023408</t>
        </is>
      </c>
      <c r="H2502" s="1" t="n">
        <v>5</v>
      </c>
      <c r="I2502" s="1" t="inlineStr">
        <is>
          <t>มี</t>
        </is>
      </c>
      <c r="J2502" s="13" t="n">
        <v>105</v>
      </c>
      <c r="K2502" s="1" t="inlineStr"/>
      <c r="L2502" s="13" t="n">
        <v>105</v>
      </c>
      <c r="M2502" s="1">
        <f>IF(L2502="","ไม่พบใน SG",IF(ABS(J2502-L2502)&lt;0.005,"ตรงกัน","ไม่ตรง"))</f>
        <v/>
      </c>
      <c r="N2502" s="14">
        <f>IF(L2502="","",ROUND(L2502*'สรุป'!$C$6,-1))</f>
        <v/>
      </c>
      <c r="O2502" s="15" t="n"/>
      <c r="P2502" s="15" t="n"/>
      <c r="Q2502" s="10" t="n"/>
      <c r="R2502" s="10" t="n"/>
      <c r="S2502" s="16" t="inlineStr">
        <is>
          <t>https://mstgolf.co.th/products/gf2020202340</t>
        </is>
      </c>
      <c r="T2502" s="1">
        <f>IF(B2502="ไม้กอล์ฟ",J2502,"")</f>
        <v/>
      </c>
    </row>
    <row r="2503">
      <c r="A2503" s="1" t="n">
        <v>3</v>
      </c>
      <c r="B2503" s="1" t="inlineStr">
        <is>
          <t>เสื้อผ้า</t>
        </is>
      </c>
      <c r="C2503" s="1" t="inlineStr">
        <is>
          <t>gf2020202186</t>
        </is>
      </c>
      <c r="D2503" s="1" t="inlineStr">
        <is>
          <t>FOOTJOY Lightweight Men's Shorts (Heather Navy)</t>
        </is>
      </c>
      <c r="E2503" s="1" t="inlineStr">
        <is>
          <t>FOOTJOY</t>
        </is>
      </c>
      <c r="F2503" s="1" t="inlineStr">
        <is>
          <t>SHORT PANTS</t>
        </is>
      </c>
      <c r="G2503" s="1" t="inlineStr">
        <is>
          <t>GF202020218630</t>
        </is>
      </c>
      <c r="H2503" s="1" t="n">
        <v>7</v>
      </c>
      <c r="I2503" s="1" t="inlineStr">
        <is>
          <t>มี</t>
        </is>
      </c>
      <c r="J2503" s="13" t="n">
        <v>105</v>
      </c>
      <c r="K2503" s="1" t="inlineStr"/>
      <c r="L2503" s="13" t="n">
        <v>43</v>
      </c>
      <c r="M2503" s="1">
        <f>IF(L2503="","ไม่พบใน SG",IF(ABS(J2503-L2503)&lt;0.005,"ตรงกัน","ไม่ตรง"))</f>
        <v/>
      </c>
      <c r="N2503" s="14">
        <f>IF(L2503="","",ROUND(L2503*'สรุป'!$C$6,-1))</f>
        <v/>
      </c>
      <c r="O2503" s="15" t="n"/>
      <c r="P2503" s="15" t="n"/>
      <c r="Q2503" s="10" t="n"/>
      <c r="R2503" s="10" t="n"/>
      <c r="S2503" s="16" t="inlineStr">
        <is>
          <t>https://mstgolf.co.th/products/gf2020202186</t>
        </is>
      </c>
      <c r="T2503" s="1">
        <f>IF(B2503="ไม้กอล์ฟ",J2503,"")</f>
        <v/>
      </c>
    </row>
    <row r="2504">
      <c r="A2504" s="1" t="n">
        <v>3</v>
      </c>
      <c r="B2504" s="1" t="inlineStr">
        <is>
          <t>เสื้อผ้า</t>
        </is>
      </c>
      <c r="C2504" s="1" t="inlineStr">
        <is>
          <t>gf2020201918</t>
        </is>
      </c>
      <c r="D2504" s="1" t="inlineStr">
        <is>
          <t>FOOTJOY Washed Twill Performance Men's Shorts (Charcoal)</t>
        </is>
      </c>
      <c r="E2504" s="1" t="inlineStr">
        <is>
          <t>FOOTJOY</t>
        </is>
      </c>
      <c r="F2504" s="1" t="inlineStr">
        <is>
          <t>SHORT PANTS</t>
        </is>
      </c>
      <c r="G2504" s="1" t="inlineStr">
        <is>
          <t>GF202020191830</t>
        </is>
      </c>
      <c r="H2504" s="1" t="n">
        <v>6</v>
      </c>
      <c r="I2504" s="1" t="inlineStr">
        <is>
          <t>มี</t>
        </is>
      </c>
      <c r="J2504" s="13" t="n">
        <v>105</v>
      </c>
      <c r="K2504" s="1" t="inlineStr"/>
      <c r="L2504" s="13" t="n">
        <v>105</v>
      </c>
      <c r="M2504" s="1">
        <f>IF(L2504="","ไม่พบใน SG",IF(ABS(J2504-L2504)&lt;0.005,"ตรงกัน","ไม่ตรง"))</f>
        <v/>
      </c>
      <c r="N2504" s="14">
        <f>IF(L2504="","",ROUND(L2504*'สรุป'!$C$6,-1))</f>
        <v/>
      </c>
      <c r="O2504" s="15" t="n"/>
      <c r="P2504" s="15" t="n"/>
      <c r="Q2504" s="10" t="n"/>
      <c r="R2504" s="10" t="n"/>
      <c r="S2504" s="16" t="inlineStr">
        <is>
          <t>https://mstgolf.co.th/products/gf2020201918</t>
        </is>
      </c>
      <c r="T2504" s="1">
        <f>IF(B2504="ไม้กอล์ฟ",J2504,"")</f>
        <v/>
      </c>
    </row>
    <row r="2505">
      <c r="A2505" s="1" t="n">
        <v>3</v>
      </c>
      <c r="B2505" s="1" t="inlineStr">
        <is>
          <t>เสื้อผ้า</t>
        </is>
      </c>
      <c r="C2505" s="1" t="inlineStr">
        <is>
          <t>gf2040115036</t>
        </is>
      </c>
      <c r="D2505" s="1" t="inlineStr">
        <is>
          <t>GFORE Camo Jersey Men's Polo (Colony Blue Camo)</t>
        </is>
      </c>
      <c r="E2505" s="1" t="inlineStr">
        <is>
          <t>GFORE</t>
        </is>
      </c>
      <c r="F2505" s="1" t="inlineStr">
        <is>
          <t>SHORT SLEEVES</t>
        </is>
      </c>
      <c r="G2505" s="1" t="inlineStr">
        <is>
          <t>GF2040115036XS</t>
        </is>
      </c>
      <c r="H2505" s="1" t="n">
        <v>6</v>
      </c>
      <c r="I2505" s="1" t="inlineStr">
        <is>
          <t>มี</t>
        </is>
      </c>
      <c r="J2505" s="13" t="n">
        <v>105</v>
      </c>
      <c r="K2505" s="1" t="inlineStr"/>
      <c r="L2505" s="13" t="n">
        <v>105</v>
      </c>
      <c r="M2505" s="1">
        <f>IF(L2505="","ไม่พบใน SG",IF(ABS(J2505-L2505)&lt;0.005,"ตรงกัน","ไม่ตรง"))</f>
        <v/>
      </c>
      <c r="N2505" s="14">
        <f>IF(L2505="","",ROUND(L2505*'สรุป'!$C$6,-1))</f>
        <v/>
      </c>
      <c r="O2505" s="15" t="n"/>
      <c r="P2505" s="15" t="n"/>
      <c r="Q2505" s="10" t="n"/>
      <c r="R2505" s="10" t="n"/>
      <c r="S2505" s="16" t="inlineStr">
        <is>
          <t>https://mstgolf.co.th/products/gf2040115036</t>
        </is>
      </c>
      <c r="T2505" s="1">
        <f>IF(B2505="ไม้กอล์ฟ",J2505,"")</f>
        <v/>
      </c>
    </row>
    <row r="2506">
      <c r="A2506" s="1" t="n">
        <v>3</v>
      </c>
      <c r="B2506" s="1" t="inlineStr">
        <is>
          <t>เสื้อผ้า</t>
        </is>
      </c>
      <c r="C2506" s="1" t="inlineStr">
        <is>
          <t>gf2040114192</t>
        </is>
      </c>
      <c r="D2506" s="1" t="inlineStr">
        <is>
          <t>GFORE Camo Printed Jersey Men's Polo (Monument Camo)</t>
        </is>
      </c>
      <c r="E2506" s="1" t="inlineStr">
        <is>
          <t>GFORE</t>
        </is>
      </c>
      <c r="F2506" s="1" t="inlineStr">
        <is>
          <t>SHORT SLEEVES</t>
        </is>
      </c>
      <c r="G2506" s="1" t="inlineStr">
        <is>
          <t>GF2040114192XS</t>
        </is>
      </c>
      <c r="H2506" s="1" t="n">
        <v>6</v>
      </c>
      <c r="I2506" s="1" t="inlineStr">
        <is>
          <t>มี</t>
        </is>
      </c>
      <c r="J2506" s="13" t="n">
        <v>105</v>
      </c>
      <c r="K2506" s="1" t="inlineStr"/>
      <c r="L2506" s="13" t="n">
        <v>105</v>
      </c>
      <c r="M2506" s="1">
        <f>IF(L2506="","ไม่พบใน SG",IF(ABS(J2506-L2506)&lt;0.005,"ตรงกัน","ไม่ตรง"))</f>
        <v/>
      </c>
      <c r="N2506" s="14">
        <f>IF(L2506="","",ROUND(L2506*'สรุป'!$C$6,-1))</f>
        <v/>
      </c>
      <c r="O2506" s="15" t="n"/>
      <c r="P2506" s="15" t="n"/>
      <c r="Q2506" s="10" t="n"/>
      <c r="R2506" s="10" t="n"/>
      <c r="S2506" s="16" t="inlineStr">
        <is>
          <t>https://mstgolf.co.th/products/gf2040114192</t>
        </is>
      </c>
      <c r="T2506" s="1">
        <f>IF(B2506="ไม้กอล์ฟ",J2506,"")</f>
        <v/>
      </c>
    </row>
    <row r="2507">
      <c r="A2507" s="1" t="n">
        <v>3</v>
      </c>
      <c r="B2507" s="1" t="inlineStr">
        <is>
          <t>เสื้อผ้า</t>
        </is>
      </c>
      <c r="C2507" s="1" t="inlineStr">
        <is>
          <t>gf2040114170</t>
        </is>
      </c>
      <c r="D2507" s="1" t="inlineStr">
        <is>
          <t>GFORE Camo Printed Jersey Men's Polo (Starburst Camo)</t>
        </is>
      </c>
      <c r="E2507" s="1" t="inlineStr">
        <is>
          <t>GFORE</t>
        </is>
      </c>
      <c r="F2507" s="1" t="inlineStr">
        <is>
          <t>SHORT SLEEVES</t>
        </is>
      </c>
      <c r="G2507" s="1" t="inlineStr">
        <is>
          <t>GF2040114170XS</t>
        </is>
      </c>
      <c r="H2507" s="1" t="n">
        <v>6</v>
      </c>
      <c r="I2507" s="1" t="inlineStr">
        <is>
          <t>มี</t>
        </is>
      </c>
      <c r="J2507" s="13" t="n">
        <v>105</v>
      </c>
      <c r="K2507" s="1" t="inlineStr"/>
      <c r="L2507" s="13" t="n">
        <v>105</v>
      </c>
      <c r="M2507" s="1">
        <f>IF(L2507="","ไม่พบใน SG",IF(ABS(J2507-L2507)&lt;0.005,"ตรงกัน","ไม่ตรง"))</f>
        <v/>
      </c>
      <c r="N2507" s="14">
        <f>IF(L2507="","",ROUND(L2507*'สรุป'!$C$6,-1))</f>
        <v/>
      </c>
      <c r="O2507" s="15" t="n"/>
      <c r="P2507" s="15" t="n"/>
      <c r="Q2507" s="10" t="n"/>
      <c r="R2507" s="10" t="n"/>
      <c r="S2507" s="16" t="inlineStr">
        <is>
          <t>https://mstgolf.co.th/products/gf2040114170</t>
        </is>
      </c>
      <c r="T2507" s="1">
        <f>IF(B2507="ไม้กอล์ฟ",J2507,"")</f>
        <v/>
      </c>
    </row>
    <row r="2508">
      <c r="A2508" s="1" t="n">
        <v>3</v>
      </c>
      <c r="B2508" s="1" t="inlineStr">
        <is>
          <t>เสื้อผ้า</t>
        </is>
      </c>
      <c r="C2508" s="1" t="inlineStr">
        <is>
          <t>gf2040113221</t>
        </is>
      </c>
      <c r="D2508" s="1" t="inlineStr">
        <is>
          <t>GFORE Daisy Floral Men's Polo (Snow)</t>
        </is>
      </c>
      <c r="E2508" s="1" t="inlineStr">
        <is>
          <t>GFORE</t>
        </is>
      </c>
      <c r="F2508" s="1" t="inlineStr">
        <is>
          <t>SHORT SLEEVES</t>
        </is>
      </c>
      <c r="G2508" s="1" t="inlineStr">
        <is>
          <t>GF2040113221XS</t>
        </is>
      </c>
      <c r="H2508" s="1" t="n">
        <v>6</v>
      </c>
      <c r="I2508" s="1" t="inlineStr">
        <is>
          <t>มี</t>
        </is>
      </c>
      <c r="J2508" s="13" t="n">
        <v>105</v>
      </c>
      <c r="K2508" s="1" t="inlineStr"/>
      <c r="L2508" s="13" t="n">
        <v>105</v>
      </c>
      <c r="M2508" s="1">
        <f>IF(L2508="","ไม่พบใน SG",IF(ABS(J2508-L2508)&lt;0.005,"ตรงกัน","ไม่ตรง"))</f>
        <v/>
      </c>
      <c r="N2508" s="14">
        <f>IF(L2508="","",ROUND(L2508*'สรุป'!$C$6,-1))</f>
        <v/>
      </c>
      <c r="O2508" s="15" t="n"/>
      <c r="P2508" s="15" t="n"/>
      <c r="Q2508" s="10" t="n"/>
      <c r="R2508" s="10" t="n"/>
      <c r="S2508" s="16" t="inlineStr">
        <is>
          <t>https://mstgolf.co.th/products/gf2040113221</t>
        </is>
      </c>
      <c r="T2508" s="1">
        <f>IF(B2508="ไม้กอล์ฟ",J2508,"")</f>
        <v/>
      </c>
    </row>
    <row r="2509">
      <c r="A2509" s="1" t="n">
        <v>3</v>
      </c>
      <c r="B2509" s="1" t="inlineStr">
        <is>
          <t>เสื้อผ้า</t>
        </is>
      </c>
      <c r="C2509" s="1" t="inlineStr">
        <is>
          <t>gf2040113220</t>
        </is>
      </c>
      <c r="D2509" s="1" t="inlineStr">
        <is>
          <t>GFORE Garden Floral Men's Polo (Blueprint)</t>
        </is>
      </c>
      <c r="E2509" s="1" t="inlineStr">
        <is>
          <t>GFORE</t>
        </is>
      </c>
      <c r="F2509" s="1" t="inlineStr">
        <is>
          <t>SHORT SLEEVES</t>
        </is>
      </c>
      <c r="G2509" s="1" t="inlineStr">
        <is>
          <t>GF2040113220XS</t>
        </is>
      </c>
      <c r="H2509" s="1" t="n">
        <v>6</v>
      </c>
      <c r="I2509" s="1" t="inlineStr">
        <is>
          <t>มี</t>
        </is>
      </c>
      <c r="J2509" s="13" t="n">
        <v>105</v>
      </c>
      <c r="K2509" s="1" t="inlineStr"/>
      <c r="L2509" s="13" t="n">
        <v>105</v>
      </c>
      <c r="M2509" s="1">
        <f>IF(L2509="","ไม่พบใน SG",IF(ABS(J2509-L2509)&lt;0.005,"ตรงกัน","ไม่ตรง"))</f>
        <v/>
      </c>
      <c r="N2509" s="14">
        <f>IF(L2509="","",ROUND(L2509*'สรุป'!$C$6,-1))</f>
        <v/>
      </c>
      <c r="O2509" s="15" t="n"/>
      <c r="P2509" s="15" t="n"/>
      <c r="Q2509" s="10" t="n"/>
      <c r="R2509" s="10" t="n"/>
      <c r="S2509" s="16" t="inlineStr">
        <is>
          <t>https://mstgolf.co.th/products/gf2040113220</t>
        </is>
      </c>
      <c r="T2509" s="1">
        <f>IF(B2509="ไม้กอล์ฟ",J2509,"")</f>
        <v/>
      </c>
    </row>
    <row r="2510">
      <c r="A2510" s="1" t="n">
        <v>3</v>
      </c>
      <c r="B2510" s="1" t="inlineStr">
        <is>
          <t>เสื้อผ้า</t>
        </is>
      </c>
      <c r="C2510" s="1" t="inlineStr">
        <is>
          <t>gf2040120590</t>
        </is>
      </c>
      <c r="D2510" s="1" t="inlineStr">
        <is>
          <t>GFORE Garden Men's Tech Polo (Iris)</t>
        </is>
      </c>
      <c r="E2510" s="1" t="inlineStr">
        <is>
          <t>GFORE</t>
        </is>
      </c>
      <c r="F2510" s="1" t="inlineStr">
        <is>
          <t>SHORT SLEEVES</t>
        </is>
      </c>
      <c r="G2510" s="1" t="inlineStr">
        <is>
          <t>GF2040120590S</t>
        </is>
      </c>
      <c r="H2510" s="1" t="n">
        <v>5</v>
      </c>
      <c r="I2510" s="1" t="inlineStr">
        <is>
          <t>มี</t>
        </is>
      </c>
      <c r="J2510" s="13" t="n">
        <v>105</v>
      </c>
      <c r="K2510" s="1" t="inlineStr"/>
      <c r="L2510" s="13" t="n">
        <v>105</v>
      </c>
      <c r="M2510" s="1">
        <f>IF(L2510="","ไม่พบใน SG",IF(ABS(J2510-L2510)&lt;0.005,"ตรงกัน","ไม่ตรง"))</f>
        <v/>
      </c>
      <c r="N2510" s="14">
        <f>IF(L2510="","",ROUND(L2510*'สรุป'!$C$6,-1))</f>
        <v/>
      </c>
      <c r="O2510" s="15" t="n"/>
      <c r="P2510" s="15" t="n"/>
      <c r="Q2510" s="10" t="n"/>
      <c r="R2510" s="10" t="n"/>
      <c r="S2510" s="16" t="inlineStr">
        <is>
          <t>https://mstgolf.co.th/products/gf2040120590</t>
        </is>
      </c>
      <c r="T2510" s="1">
        <f>IF(B2510="ไม้กอล์ฟ",J2510,"")</f>
        <v/>
      </c>
    </row>
    <row r="2511">
      <c r="A2511" s="1" t="n">
        <v>3</v>
      </c>
      <c r="B2511" s="1" t="inlineStr">
        <is>
          <t>เสื้อผ้า</t>
        </is>
      </c>
      <c r="C2511" s="1" t="inlineStr">
        <is>
          <t>gf2040114180</t>
        </is>
      </c>
      <c r="D2511" s="1" t="inlineStr">
        <is>
          <t>GFORE Mini G Men's Polo (Twilight)</t>
        </is>
      </c>
      <c r="E2511" s="1" t="inlineStr">
        <is>
          <t>GFORE</t>
        </is>
      </c>
      <c r="F2511" s="1" t="inlineStr">
        <is>
          <t>SHORT SLEEVES</t>
        </is>
      </c>
      <c r="G2511" s="1" t="inlineStr">
        <is>
          <t>GF2040114180XS</t>
        </is>
      </c>
      <c r="H2511" s="1" t="n">
        <v>6</v>
      </c>
      <c r="I2511" s="1" t="inlineStr">
        <is>
          <t>มี</t>
        </is>
      </c>
      <c r="J2511" s="13" t="n">
        <v>105</v>
      </c>
      <c r="K2511" s="1" t="inlineStr"/>
      <c r="L2511" s="13" t="n">
        <v>105</v>
      </c>
      <c r="M2511" s="1">
        <f>IF(L2511="","ไม่พบใน SG",IF(ABS(J2511-L2511)&lt;0.005,"ตรงกัน","ไม่ตรง"))</f>
        <v/>
      </c>
      <c r="N2511" s="14">
        <f>IF(L2511="","",ROUND(L2511*'สรุป'!$C$6,-1))</f>
        <v/>
      </c>
      <c r="O2511" s="15" t="n"/>
      <c r="P2511" s="15" t="n"/>
      <c r="Q2511" s="10" t="n"/>
      <c r="R2511" s="10" t="n"/>
      <c r="S2511" s="16" t="inlineStr">
        <is>
          <t>https://mstgolf.co.th/products/gf2040114180</t>
        </is>
      </c>
      <c r="T2511" s="1">
        <f>IF(B2511="ไม้กอล์ฟ",J2511,"")</f>
        <v/>
      </c>
    </row>
    <row r="2512">
      <c r="A2512" s="1" t="n">
        <v>3</v>
      </c>
      <c r="B2512" s="1" t="inlineStr">
        <is>
          <t>เสื้อผ้า</t>
        </is>
      </c>
      <c r="C2512" s="1" t="inlineStr">
        <is>
          <t>gf2040114179</t>
        </is>
      </c>
      <c r="D2512" s="1" t="inlineStr">
        <is>
          <t>GFORE Mini Skull Men's Polo (Snow)</t>
        </is>
      </c>
      <c r="E2512" s="1" t="inlineStr">
        <is>
          <t>GFORE</t>
        </is>
      </c>
      <c r="F2512" s="1" t="inlineStr">
        <is>
          <t>SHORT SLEEVES</t>
        </is>
      </c>
      <c r="G2512" s="1" t="inlineStr">
        <is>
          <t>GF2040114179XS</t>
        </is>
      </c>
      <c r="H2512" s="1" t="n">
        <v>6</v>
      </c>
      <c r="I2512" s="1" t="inlineStr">
        <is>
          <t>มี</t>
        </is>
      </c>
      <c r="J2512" s="13" t="n">
        <v>105</v>
      </c>
      <c r="K2512" s="1" t="inlineStr"/>
      <c r="L2512" s="13" t="n">
        <v>105</v>
      </c>
      <c r="M2512" s="1">
        <f>IF(L2512="","ไม่พบใน SG",IF(ABS(J2512-L2512)&lt;0.005,"ตรงกัน","ไม่ตรง"))</f>
        <v/>
      </c>
      <c r="N2512" s="14">
        <f>IF(L2512="","",ROUND(L2512*'สรุป'!$C$6,-1))</f>
        <v/>
      </c>
      <c r="O2512" s="15" t="n"/>
      <c r="P2512" s="15" t="n"/>
      <c r="Q2512" s="10" t="n"/>
      <c r="R2512" s="10" t="n"/>
      <c r="S2512" s="16" t="inlineStr">
        <is>
          <t>https://mstgolf.co.th/products/gf2040114179</t>
        </is>
      </c>
      <c r="T2512" s="1">
        <f>IF(B2512="ไม้กอล์ฟ",J2512,"")</f>
        <v/>
      </c>
    </row>
    <row r="2513">
      <c r="A2513" s="1" t="n">
        <v>3</v>
      </c>
      <c r="B2513" s="1" t="inlineStr">
        <is>
          <t>เสื้อผ้า</t>
        </is>
      </c>
      <c r="C2513" s="1" t="inlineStr">
        <is>
          <t>gf2040114190</t>
        </is>
      </c>
      <c r="D2513" s="1" t="inlineStr">
        <is>
          <t>GFORE Offset Feeder Striped Men's Polo (Blueprint)</t>
        </is>
      </c>
      <c r="E2513" s="1" t="inlineStr">
        <is>
          <t>GFORE</t>
        </is>
      </c>
      <c r="F2513" s="1" t="inlineStr">
        <is>
          <t>SHORT SLEEVES</t>
        </is>
      </c>
      <c r="G2513" s="1" t="inlineStr">
        <is>
          <t>GF2040114190XS</t>
        </is>
      </c>
      <c r="H2513" s="1" t="n">
        <v>6</v>
      </c>
      <c r="I2513" s="1" t="inlineStr">
        <is>
          <t>มี</t>
        </is>
      </c>
      <c r="J2513" s="13" t="n">
        <v>105</v>
      </c>
      <c r="K2513" s="1" t="inlineStr"/>
      <c r="L2513" s="13" t="n">
        <v>105</v>
      </c>
      <c r="M2513" s="1">
        <f>IF(L2513="","ไม่พบใน SG",IF(ABS(J2513-L2513)&lt;0.005,"ตรงกัน","ไม่ตรง"))</f>
        <v/>
      </c>
      <c r="N2513" s="14">
        <f>IF(L2513="","",ROUND(L2513*'สรุป'!$C$6,-1))</f>
        <v/>
      </c>
      <c r="O2513" s="15" t="n"/>
      <c r="P2513" s="15" t="n"/>
      <c r="Q2513" s="10" t="n"/>
      <c r="R2513" s="10" t="n"/>
      <c r="S2513" s="16" t="inlineStr">
        <is>
          <t>https://mstgolf.co.th/products/gf2040114190</t>
        </is>
      </c>
      <c r="T2513" s="1">
        <f>IF(B2513="ไม้กอล์ฟ",J2513,"")</f>
        <v/>
      </c>
    </row>
    <row r="2514">
      <c r="A2514" s="1" t="n">
        <v>3</v>
      </c>
      <c r="B2514" s="1" t="inlineStr">
        <is>
          <t>เสื้อผ้า</t>
        </is>
      </c>
      <c r="C2514" s="1" t="inlineStr">
        <is>
          <t>gf2040114187</t>
        </is>
      </c>
      <c r="D2514" s="1" t="inlineStr">
        <is>
          <t>GFORE Papi Printed Pique Men's Polo (Twilight)</t>
        </is>
      </c>
      <c r="E2514" s="1" t="inlineStr">
        <is>
          <t>GFORE</t>
        </is>
      </c>
      <c r="F2514" s="1" t="inlineStr">
        <is>
          <t>SHORT SLEEVES</t>
        </is>
      </c>
      <c r="G2514" s="1" t="inlineStr">
        <is>
          <t>GF2040114187XS</t>
        </is>
      </c>
      <c r="H2514" s="1" t="n">
        <v>6</v>
      </c>
      <c r="I2514" s="1" t="inlineStr">
        <is>
          <t>มี</t>
        </is>
      </c>
      <c r="J2514" s="13" t="n">
        <v>105</v>
      </c>
      <c r="K2514" s="1" t="inlineStr"/>
      <c r="L2514" s="13" t="n">
        <v>105</v>
      </c>
      <c r="M2514" s="1">
        <f>IF(L2514="","ไม่พบใน SG",IF(ABS(J2514-L2514)&lt;0.005,"ตรงกัน","ไม่ตรง"))</f>
        <v/>
      </c>
      <c r="N2514" s="14">
        <f>IF(L2514="","",ROUND(L2514*'สรุป'!$C$6,-1))</f>
        <v/>
      </c>
      <c r="O2514" s="15" t="n"/>
      <c r="P2514" s="15" t="n"/>
      <c r="Q2514" s="10" t="n"/>
      <c r="R2514" s="10" t="n"/>
      <c r="S2514" s="16" t="inlineStr">
        <is>
          <t>https://mstgolf.co.th/products/gf2040114187</t>
        </is>
      </c>
      <c r="T2514" s="1">
        <f>IF(B2514="ไม้กอล์ฟ",J2514,"")</f>
        <v/>
      </c>
    </row>
    <row r="2515">
      <c r="A2515" s="1" t="n">
        <v>3</v>
      </c>
      <c r="B2515" s="1" t="inlineStr">
        <is>
          <t>เสื้อผ้า</t>
        </is>
      </c>
      <c r="C2515" s="1" t="inlineStr">
        <is>
          <t>gf2040114168</t>
        </is>
      </c>
      <c r="D2515" s="1" t="inlineStr">
        <is>
          <t>GFORE Perforated Stripe Men's Polo (Snow)</t>
        </is>
      </c>
      <c r="E2515" s="1" t="inlineStr">
        <is>
          <t>GFORE</t>
        </is>
      </c>
      <c r="F2515" s="1" t="inlineStr">
        <is>
          <t>SHORT SLEEVES</t>
        </is>
      </c>
      <c r="G2515" s="1" t="inlineStr">
        <is>
          <t>GF2040114168XS</t>
        </is>
      </c>
      <c r="H2515" s="1" t="n">
        <v>6</v>
      </c>
      <c r="I2515" s="1" t="inlineStr">
        <is>
          <t>มี</t>
        </is>
      </c>
      <c r="J2515" s="13" t="n">
        <v>105</v>
      </c>
      <c r="K2515" s="1" t="inlineStr"/>
      <c r="L2515" s="13" t="n">
        <v>105</v>
      </c>
      <c r="M2515" s="1">
        <f>IF(L2515="","ไม่พบใน SG",IF(ABS(J2515-L2515)&lt;0.005,"ตรงกัน","ไม่ตรง"))</f>
        <v/>
      </c>
      <c r="N2515" s="14">
        <f>IF(L2515="","",ROUND(L2515*'สรุป'!$C$6,-1))</f>
        <v/>
      </c>
      <c r="O2515" s="15" t="n"/>
      <c r="P2515" s="15" t="n"/>
      <c r="Q2515" s="10" t="n"/>
      <c r="R2515" s="10" t="n"/>
      <c r="S2515" s="16" t="inlineStr">
        <is>
          <t>https://mstgolf.co.th/products/gf2040114168</t>
        </is>
      </c>
      <c r="T2515" s="1">
        <f>IF(B2515="ไม้กอล์ฟ",J2515,"")</f>
        <v/>
      </c>
    </row>
    <row r="2516">
      <c r="A2516" s="1" t="n">
        <v>3</v>
      </c>
      <c r="B2516" s="1" t="inlineStr">
        <is>
          <t>เสื้อผ้า</t>
        </is>
      </c>
      <c r="C2516" s="1" t="inlineStr">
        <is>
          <t>gf2040114191</t>
        </is>
      </c>
      <c r="D2516" s="1" t="inlineStr">
        <is>
          <t>GFORE Perforated Striped Men's Polo (Twilight)</t>
        </is>
      </c>
      <c r="E2516" s="1" t="inlineStr">
        <is>
          <t>GFORE</t>
        </is>
      </c>
      <c r="F2516" s="1" t="inlineStr">
        <is>
          <t>SHORT SLEEVES</t>
        </is>
      </c>
      <c r="G2516" s="1" t="inlineStr">
        <is>
          <t>GF2040114191XS</t>
        </is>
      </c>
      <c r="H2516" s="1" t="n">
        <v>6</v>
      </c>
      <c r="I2516" s="1" t="inlineStr">
        <is>
          <t>มี</t>
        </is>
      </c>
      <c r="J2516" s="13" t="n">
        <v>105</v>
      </c>
      <c r="K2516" s="1" t="inlineStr"/>
      <c r="L2516" s="13" t="n">
        <v>105</v>
      </c>
      <c r="M2516" s="1">
        <f>IF(L2516="","ไม่พบใน SG",IF(ABS(J2516-L2516)&lt;0.005,"ตรงกัน","ไม่ตรง"))</f>
        <v/>
      </c>
      <c r="N2516" s="14">
        <f>IF(L2516="","",ROUND(L2516*'สรุป'!$C$6,-1))</f>
        <v/>
      </c>
      <c r="O2516" s="15" t="n"/>
      <c r="P2516" s="15" t="n"/>
      <c r="Q2516" s="10" t="n"/>
      <c r="R2516" s="10" t="n"/>
      <c r="S2516" s="16" t="inlineStr">
        <is>
          <t>https://mstgolf.co.th/products/gf2040114191</t>
        </is>
      </c>
      <c r="T2516" s="1">
        <f>IF(B2516="ไม้กอล์ฟ",J2516,"")</f>
        <v/>
      </c>
    </row>
    <row r="2517">
      <c r="A2517" s="1" t="n">
        <v>3</v>
      </c>
      <c r="B2517" s="1" t="inlineStr">
        <is>
          <t>เสื้อผ้า</t>
        </is>
      </c>
      <c r="C2517" s="1" t="inlineStr">
        <is>
          <t>gf2040114161</t>
        </is>
      </c>
      <c r="D2517" s="1" t="inlineStr">
        <is>
          <t>GFORE Photo Floral Men's Polo (Ice Blue)</t>
        </is>
      </c>
      <c r="E2517" s="1" t="inlineStr">
        <is>
          <t>GFORE</t>
        </is>
      </c>
      <c r="F2517" s="1" t="inlineStr">
        <is>
          <t>SHORT SLEEVES</t>
        </is>
      </c>
      <c r="G2517" s="1" t="inlineStr">
        <is>
          <t>GF2040114161XS</t>
        </is>
      </c>
      <c r="H2517" s="1" t="n">
        <v>6</v>
      </c>
      <c r="I2517" s="1" t="inlineStr">
        <is>
          <t>มี</t>
        </is>
      </c>
      <c r="J2517" s="13" t="n">
        <v>105</v>
      </c>
      <c r="K2517" s="1" t="inlineStr"/>
      <c r="L2517" s="13" t="n">
        <v>105</v>
      </c>
      <c r="M2517" s="1">
        <f>IF(L2517="","ไม่พบใน SG",IF(ABS(J2517-L2517)&lt;0.005,"ตรงกัน","ไม่ตรง"))</f>
        <v/>
      </c>
      <c r="N2517" s="14">
        <f>IF(L2517="","",ROUND(L2517*'สรุป'!$C$6,-1))</f>
        <v/>
      </c>
      <c r="O2517" s="15" t="n"/>
      <c r="P2517" s="15" t="n"/>
      <c r="Q2517" s="10" t="n"/>
      <c r="R2517" s="10" t="n"/>
      <c r="S2517" s="16" t="inlineStr">
        <is>
          <t>https://mstgolf.co.th/products/gf2040114161</t>
        </is>
      </c>
      <c r="T2517" s="1">
        <f>IF(B2517="ไม้กอล์ฟ",J2517,"")</f>
        <v/>
      </c>
    </row>
    <row r="2518">
      <c r="A2518" s="1" t="n">
        <v>3</v>
      </c>
      <c r="B2518" s="1" t="inlineStr">
        <is>
          <t>เสื้อผ้า</t>
        </is>
      </c>
      <c r="C2518" s="1" t="inlineStr">
        <is>
          <t>gf2040114162</t>
        </is>
      </c>
      <c r="D2518" s="1" t="inlineStr">
        <is>
          <t>GFORE Photo Floral Men's Polo (Lilac)</t>
        </is>
      </c>
      <c r="E2518" s="1" t="inlineStr">
        <is>
          <t>GFORE</t>
        </is>
      </c>
      <c r="F2518" s="1" t="inlineStr">
        <is>
          <t>SHORT SLEEVES</t>
        </is>
      </c>
      <c r="G2518" s="1" t="inlineStr">
        <is>
          <t>GF2040114162XS</t>
        </is>
      </c>
      <c r="H2518" s="1" t="n">
        <v>6</v>
      </c>
      <c r="I2518" s="1" t="inlineStr">
        <is>
          <t>มี</t>
        </is>
      </c>
      <c r="J2518" s="13" t="n">
        <v>105</v>
      </c>
      <c r="K2518" s="1" t="inlineStr"/>
      <c r="L2518" s="13" t="n">
        <v>105</v>
      </c>
      <c r="M2518" s="1">
        <f>IF(L2518="","ไม่พบใน SG",IF(ABS(J2518-L2518)&lt;0.005,"ตรงกัน","ไม่ตรง"))</f>
        <v/>
      </c>
      <c r="N2518" s="14">
        <f>IF(L2518="","",ROUND(L2518*'สรุป'!$C$6,-1))</f>
        <v/>
      </c>
      <c r="O2518" s="15" t="n"/>
      <c r="P2518" s="15" t="n"/>
      <c r="Q2518" s="10" t="n"/>
      <c r="R2518" s="10" t="n"/>
      <c r="S2518" s="16" t="inlineStr">
        <is>
          <t>https://mstgolf.co.th/products/gf2040114162</t>
        </is>
      </c>
      <c r="T2518" s="1">
        <f>IF(B2518="ไม้กอล์ฟ",J2518,"")</f>
        <v/>
      </c>
    </row>
    <row r="2519">
      <c r="A2519" s="1" t="n">
        <v>3</v>
      </c>
      <c r="B2519" s="1" t="inlineStr">
        <is>
          <t>เสื้อผ้า</t>
        </is>
      </c>
      <c r="C2519" s="1" t="inlineStr">
        <is>
          <t>gf2040114965</t>
        </is>
      </c>
      <c r="D2519" s="1" t="inlineStr">
        <is>
          <t>GFORE Print Mini Floral Men's Polo (Moonlight)</t>
        </is>
      </c>
      <c r="E2519" s="1" t="inlineStr">
        <is>
          <t>GFORE</t>
        </is>
      </c>
      <c r="F2519" s="1" t="inlineStr">
        <is>
          <t>SHORT SLEEVES</t>
        </is>
      </c>
      <c r="G2519" s="1" t="inlineStr">
        <is>
          <t>GF2040114965XS</t>
        </is>
      </c>
      <c r="H2519" s="1" t="n">
        <v>6</v>
      </c>
      <c r="I2519" s="1" t="inlineStr">
        <is>
          <t>มี</t>
        </is>
      </c>
      <c r="J2519" s="13" t="n">
        <v>105</v>
      </c>
      <c r="K2519" s="1" t="inlineStr"/>
      <c r="L2519" s="13" t="n">
        <v>105</v>
      </c>
      <c r="M2519" s="1">
        <f>IF(L2519="","ไม่พบใน SG",IF(ABS(J2519-L2519)&lt;0.005,"ตรงกัน","ไม่ตรง"))</f>
        <v/>
      </c>
      <c r="N2519" s="14">
        <f>IF(L2519="","",ROUND(L2519*'สรุป'!$C$6,-1))</f>
        <v/>
      </c>
      <c r="O2519" s="15" t="n"/>
      <c r="P2519" s="15" t="n"/>
      <c r="Q2519" s="10" t="n"/>
      <c r="R2519" s="10" t="n"/>
      <c r="S2519" s="16" t="inlineStr">
        <is>
          <t>https://mstgolf.co.th/products/gf2040114965</t>
        </is>
      </c>
      <c r="T2519" s="1">
        <f>IF(B2519="ไม้กอล์ฟ",J2519,"")</f>
        <v/>
      </c>
    </row>
    <row r="2520">
      <c r="A2520" s="1" t="n">
        <v>3</v>
      </c>
      <c r="B2520" s="1" t="inlineStr">
        <is>
          <t>เสื้อผ้า</t>
        </is>
      </c>
      <c r="C2520" s="1" t="inlineStr">
        <is>
          <t>gf2040114182</t>
        </is>
      </c>
      <c r="D2520" s="1" t="inlineStr">
        <is>
          <t>GFORE Print Mini Floral Men's Polo (Snow)</t>
        </is>
      </c>
      <c r="E2520" s="1" t="inlineStr">
        <is>
          <t>GFORE</t>
        </is>
      </c>
      <c r="F2520" s="1" t="inlineStr">
        <is>
          <t>SHORT SLEEVES</t>
        </is>
      </c>
      <c r="G2520" s="1" t="inlineStr">
        <is>
          <t>GF2040114182XS</t>
        </is>
      </c>
      <c r="H2520" s="1" t="n">
        <v>6</v>
      </c>
      <c r="I2520" s="1" t="inlineStr">
        <is>
          <t>มี</t>
        </is>
      </c>
      <c r="J2520" s="13" t="n">
        <v>105</v>
      </c>
      <c r="K2520" s="1" t="inlineStr"/>
      <c r="L2520" s="13" t="n">
        <v>105</v>
      </c>
      <c r="M2520" s="1">
        <f>IF(L2520="","ไม่พบใน SG",IF(ABS(J2520-L2520)&lt;0.005,"ตรงกัน","ไม่ตรง"))</f>
        <v/>
      </c>
      <c r="N2520" s="14">
        <f>IF(L2520="","",ROUND(L2520*'สรุป'!$C$6,-1))</f>
        <v/>
      </c>
      <c r="O2520" s="15" t="n"/>
      <c r="P2520" s="15" t="n"/>
      <c r="Q2520" s="10" t="n"/>
      <c r="R2520" s="10" t="n"/>
      <c r="S2520" s="16" t="inlineStr">
        <is>
          <t>https://mstgolf.co.th/products/gf2040114182</t>
        </is>
      </c>
      <c r="T2520" s="1">
        <f>IF(B2520="ไม้กอล์ฟ",J2520,"")</f>
        <v/>
      </c>
    </row>
    <row r="2521">
      <c r="A2521" s="1" t="n">
        <v>3</v>
      </c>
      <c r="B2521" s="1" t="inlineStr">
        <is>
          <t>เสื้อผ้า</t>
        </is>
      </c>
      <c r="C2521" s="1" t="inlineStr">
        <is>
          <t>gf2040114183</t>
        </is>
      </c>
      <c r="D2521" s="1" t="inlineStr">
        <is>
          <t>GFORE Printed Men's Polo (Allure)</t>
        </is>
      </c>
      <c r="E2521" s="1" t="inlineStr">
        <is>
          <t>GFORE</t>
        </is>
      </c>
      <c r="F2521" s="1" t="inlineStr">
        <is>
          <t>SHORT SLEEVES</t>
        </is>
      </c>
      <c r="G2521" s="1" t="inlineStr">
        <is>
          <t>GF2040114183XS</t>
        </is>
      </c>
      <c r="H2521" s="1" t="n">
        <v>6</v>
      </c>
      <c r="I2521" s="1" t="inlineStr">
        <is>
          <t>มี</t>
        </is>
      </c>
      <c r="J2521" s="13" t="n">
        <v>105</v>
      </c>
      <c r="K2521" s="1" t="inlineStr"/>
      <c r="L2521" s="13" t="n">
        <v>105</v>
      </c>
      <c r="M2521" s="1">
        <f>IF(L2521="","ไม่พบใน SG",IF(ABS(J2521-L2521)&lt;0.005,"ตรงกัน","ไม่ตรง"))</f>
        <v/>
      </c>
      <c r="N2521" s="14">
        <f>IF(L2521="","",ROUND(L2521*'สรุป'!$C$6,-1))</f>
        <v/>
      </c>
      <c r="O2521" s="15" t="n"/>
      <c r="P2521" s="15" t="n"/>
      <c r="Q2521" s="10" t="n"/>
      <c r="R2521" s="10" t="n"/>
      <c r="S2521" s="16" t="inlineStr">
        <is>
          <t>https://mstgolf.co.th/products/gf2040114183</t>
        </is>
      </c>
      <c r="T2521" s="1">
        <f>IF(B2521="ไม้กอล์ฟ",J2521,"")</f>
        <v/>
      </c>
    </row>
    <row r="2522">
      <c r="A2522" s="1" t="n">
        <v>3</v>
      </c>
      <c r="B2522" s="1" t="inlineStr">
        <is>
          <t>เสื้อผ้า</t>
        </is>
      </c>
      <c r="C2522" s="1" t="inlineStr">
        <is>
          <t>gf2040114184</t>
        </is>
      </c>
      <c r="D2522" s="1" t="inlineStr">
        <is>
          <t>GFORE Printed Men's Polo (Blush)</t>
        </is>
      </c>
      <c r="E2522" s="1" t="inlineStr">
        <is>
          <t>GFORE</t>
        </is>
      </c>
      <c r="F2522" s="1" t="inlineStr">
        <is>
          <t>SHORT SLEEVES</t>
        </is>
      </c>
      <c r="G2522" s="1" t="inlineStr">
        <is>
          <t>GF2040114184XS</t>
        </is>
      </c>
      <c r="H2522" s="1" t="n">
        <v>6</v>
      </c>
      <c r="I2522" s="1" t="inlineStr">
        <is>
          <t>มี</t>
        </is>
      </c>
      <c r="J2522" s="13" t="n">
        <v>105</v>
      </c>
      <c r="K2522" s="1" t="inlineStr"/>
      <c r="L2522" s="13" t="n">
        <v>105</v>
      </c>
      <c r="M2522" s="1">
        <f>IF(L2522="","ไม่พบใน SG",IF(ABS(J2522-L2522)&lt;0.005,"ตรงกัน","ไม่ตรง"))</f>
        <v/>
      </c>
      <c r="N2522" s="14">
        <f>IF(L2522="","",ROUND(L2522*'สรุป'!$C$6,-1))</f>
        <v/>
      </c>
      <c r="O2522" s="15" t="n"/>
      <c r="P2522" s="15" t="n"/>
      <c r="Q2522" s="10" t="n"/>
      <c r="R2522" s="10" t="n"/>
      <c r="S2522" s="16" t="inlineStr">
        <is>
          <t>https://mstgolf.co.th/products/gf2040114184</t>
        </is>
      </c>
      <c r="T2522" s="1">
        <f>IF(B2522="ไม้กอล์ฟ",J2522,"")</f>
        <v/>
      </c>
    </row>
    <row r="2523">
      <c r="A2523" s="1" t="n">
        <v>3</v>
      </c>
      <c r="B2523" s="1" t="inlineStr">
        <is>
          <t>เสื้อผ้า</t>
        </is>
      </c>
      <c r="C2523" s="1" t="inlineStr">
        <is>
          <t>gf2040114185</t>
        </is>
      </c>
      <c r="D2523" s="1" t="inlineStr">
        <is>
          <t>GFORE Printed Men's Polo (Ultramarine)</t>
        </is>
      </c>
      <c r="E2523" s="1" t="inlineStr">
        <is>
          <t>GFORE</t>
        </is>
      </c>
      <c r="F2523" s="1" t="inlineStr">
        <is>
          <t>SHORT SLEEVES</t>
        </is>
      </c>
      <c r="G2523" s="1" t="inlineStr">
        <is>
          <t>GF2040114185XS</t>
        </is>
      </c>
      <c r="H2523" s="1" t="n">
        <v>6</v>
      </c>
      <c r="I2523" s="1" t="inlineStr">
        <is>
          <t>มี</t>
        </is>
      </c>
      <c r="J2523" s="13" t="n">
        <v>105</v>
      </c>
      <c r="K2523" s="1" t="inlineStr"/>
      <c r="L2523" s="13" t="n">
        <v>105</v>
      </c>
      <c r="M2523" s="1">
        <f>IF(L2523="","ไม่พบใน SG",IF(ABS(J2523-L2523)&lt;0.005,"ตรงกัน","ไม่ตรง"))</f>
        <v/>
      </c>
      <c r="N2523" s="14">
        <f>IF(L2523="","",ROUND(L2523*'สรุป'!$C$6,-1))</f>
        <v/>
      </c>
      <c r="O2523" s="15" t="n"/>
      <c r="P2523" s="15" t="n"/>
      <c r="Q2523" s="10" t="n"/>
      <c r="R2523" s="10" t="n"/>
      <c r="S2523" s="16" t="inlineStr">
        <is>
          <t>https://mstgolf.co.th/products/gf2040114185</t>
        </is>
      </c>
      <c r="T2523" s="1">
        <f>IF(B2523="ไม้กอล์ฟ",J2523,"")</f>
        <v/>
      </c>
    </row>
    <row r="2524">
      <c r="A2524" s="1" t="n">
        <v>3</v>
      </c>
      <c r="B2524" s="1" t="inlineStr">
        <is>
          <t>เสื้อผ้า</t>
        </is>
      </c>
      <c r="C2524" s="1" t="inlineStr">
        <is>
          <t>gf2020202004</t>
        </is>
      </c>
      <c r="D2524" s="1" t="inlineStr">
        <is>
          <t>GFORE Teh Tab Men's Shorts (Charcoal Camo)</t>
        </is>
      </c>
      <c r="E2524" s="1" t="inlineStr">
        <is>
          <t>GFORE</t>
        </is>
      </c>
      <c r="F2524" s="1" t="inlineStr">
        <is>
          <t>SHORT PANTS</t>
        </is>
      </c>
      <c r="G2524" s="1" t="inlineStr">
        <is>
          <t>GF202020200430</t>
        </is>
      </c>
      <c r="H2524" s="1" t="n">
        <v>7</v>
      </c>
      <c r="I2524" s="1" t="inlineStr">
        <is>
          <t>มี</t>
        </is>
      </c>
      <c r="J2524" s="13" t="n">
        <v>105</v>
      </c>
      <c r="K2524" s="1" t="inlineStr"/>
      <c r="L2524" s="13" t="n">
        <v>105</v>
      </c>
      <c r="M2524" s="1">
        <f>IF(L2524="","ไม่พบใน SG",IF(ABS(J2524-L2524)&lt;0.005,"ตรงกัน","ไม่ตรง"))</f>
        <v/>
      </c>
      <c r="N2524" s="14">
        <f>IF(L2524="","",ROUND(L2524*'สรุป'!$C$6,-1))</f>
        <v/>
      </c>
      <c r="O2524" s="15" t="n"/>
      <c r="P2524" s="15" t="n"/>
      <c r="Q2524" s="10" t="n"/>
      <c r="R2524" s="10" t="n"/>
      <c r="S2524" s="16" t="inlineStr">
        <is>
          <t>https://mstgolf.co.th/products/gf2020202004</t>
        </is>
      </c>
      <c r="T2524" s="1">
        <f>IF(B2524="ไม้กอล์ฟ",J2524,"")</f>
        <v/>
      </c>
    </row>
    <row r="2525">
      <c r="A2525" s="1" t="n">
        <v>3</v>
      </c>
      <c r="B2525" s="1" t="inlineStr">
        <is>
          <t>เสื้อผ้า</t>
        </is>
      </c>
      <c r="C2525" s="1" t="inlineStr">
        <is>
          <t>gf2040114188</t>
        </is>
      </c>
      <c r="D2525" s="1" t="inlineStr">
        <is>
          <t>GFORE Variegated Striped Men's Polo (Ibiza Blue)</t>
        </is>
      </c>
      <c r="E2525" s="1" t="inlineStr">
        <is>
          <t>GFORE</t>
        </is>
      </c>
      <c r="F2525" s="1" t="inlineStr">
        <is>
          <t>SHORT SLEEVES</t>
        </is>
      </c>
      <c r="G2525" s="1" t="inlineStr">
        <is>
          <t>GF2040114188XS</t>
        </is>
      </c>
      <c r="H2525" s="1" t="n">
        <v>6</v>
      </c>
      <c r="I2525" s="1" t="inlineStr">
        <is>
          <t>มี</t>
        </is>
      </c>
      <c r="J2525" s="13" t="n">
        <v>105</v>
      </c>
      <c r="K2525" s="1" t="inlineStr"/>
      <c r="L2525" s="13" t="n">
        <v>105</v>
      </c>
      <c r="M2525" s="1">
        <f>IF(L2525="","ไม่พบใน SG",IF(ABS(J2525-L2525)&lt;0.005,"ตรงกัน","ไม่ตรง"))</f>
        <v/>
      </c>
      <c r="N2525" s="14">
        <f>IF(L2525="","",ROUND(L2525*'สรุป'!$C$6,-1))</f>
        <v/>
      </c>
      <c r="O2525" s="15" t="n"/>
      <c r="P2525" s="15" t="n"/>
      <c r="Q2525" s="10" t="n"/>
      <c r="R2525" s="10" t="n"/>
      <c r="S2525" s="16" t="inlineStr">
        <is>
          <t>https://mstgolf.co.th/products/gf2040114188</t>
        </is>
      </c>
      <c r="T2525" s="1">
        <f>IF(B2525="ไม้กอล์ฟ",J2525,"")</f>
        <v/>
      </c>
    </row>
    <row r="2526">
      <c r="A2526" s="1" t="n">
        <v>3</v>
      </c>
      <c r="B2526" s="1" t="inlineStr">
        <is>
          <t>เสื้อผ้า</t>
        </is>
      </c>
      <c r="C2526" s="1" t="inlineStr">
        <is>
          <t>gf2040114189</t>
        </is>
      </c>
      <c r="D2526" s="1" t="inlineStr">
        <is>
          <t>GFORE Variegated Striped Men's Polo (Twilight)</t>
        </is>
      </c>
      <c r="E2526" s="1" t="inlineStr">
        <is>
          <t>GFORE</t>
        </is>
      </c>
      <c r="F2526" s="1" t="inlineStr">
        <is>
          <t>SHORT SLEEVES</t>
        </is>
      </c>
      <c r="G2526" s="1" t="inlineStr">
        <is>
          <t>GF2040114189XS</t>
        </is>
      </c>
      <c r="H2526" s="1" t="n">
        <v>6</v>
      </c>
      <c r="I2526" s="1" t="inlineStr">
        <is>
          <t>มี</t>
        </is>
      </c>
      <c r="J2526" s="13" t="n">
        <v>105</v>
      </c>
      <c r="K2526" s="1" t="inlineStr"/>
      <c r="L2526" s="13" t="n">
        <v>105</v>
      </c>
      <c r="M2526" s="1">
        <f>IF(L2526="","ไม่พบใน SG",IF(ABS(J2526-L2526)&lt;0.005,"ตรงกัน","ไม่ตรง"))</f>
        <v/>
      </c>
      <c r="N2526" s="14">
        <f>IF(L2526="","",ROUND(L2526*'สรุป'!$C$6,-1))</f>
        <v/>
      </c>
      <c r="O2526" s="15" t="n"/>
      <c r="P2526" s="15" t="n"/>
      <c r="Q2526" s="10" t="n"/>
      <c r="R2526" s="10" t="n"/>
      <c r="S2526" s="16" t="inlineStr">
        <is>
          <t>https://mstgolf.co.th/products/gf2040114189</t>
        </is>
      </c>
      <c r="T2526" s="1">
        <f>IF(B2526="ไม้กอล์ฟ",J2526,"")</f>
        <v/>
      </c>
    </row>
    <row r="2527">
      <c r="A2527" s="1" t="n">
        <v>3</v>
      </c>
      <c r="B2527" s="1" t="inlineStr">
        <is>
          <t>เสื้อผ้า</t>
        </is>
      </c>
      <c r="C2527" s="1" t="inlineStr">
        <is>
          <t>gf2040119692</t>
        </is>
      </c>
      <c r="D2527" s="1" t="inlineStr">
        <is>
          <t>MALBON GOLF Claudia Women's Polo (Black)</t>
        </is>
      </c>
      <c r="E2527" s="1" t="inlineStr">
        <is>
          <t>MALBON GOLF</t>
        </is>
      </c>
      <c r="F2527" s="1" t="inlineStr">
        <is>
          <t>SHORT SLEEVES</t>
        </is>
      </c>
      <c r="G2527" s="1" t="inlineStr">
        <is>
          <t>GF2040119692XS</t>
        </is>
      </c>
      <c r="H2527" s="1" t="n">
        <v>5</v>
      </c>
      <c r="I2527" s="1" t="inlineStr">
        <is>
          <t>มี</t>
        </is>
      </c>
      <c r="J2527" s="13" t="n">
        <v>105</v>
      </c>
      <c r="K2527" s="1" t="inlineStr"/>
      <c r="L2527" s="13" t="n">
        <v>105</v>
      </c>
      <c r="M2527" s="1">
        <f>IF(L2527="","ไม่พบใน SG",IF(ABS(J2527-L2527)&lt;0.005,"ตรงกัน","ไม่ตรง"))</f>
        <v/>
      </c>
      <c r="N2527" s="14">
        <f>IF(L2527="","",ROUND(L2527*'สรุป'!$C$6,-1))</f>
        <v/>
      </c>
      <c r="O2527" s="15" t="n"/>
      <c r="P2527" s="15" t="n"/>
      <c r="Q2527" s="10" t="n"/>
      <c r="R2527" s="10" t="n"/>
      <c r="S2527" s="16" t="inlineStr">
        <is>
          <t>https://mstgolf.co.th/products/gf2040119692</t>
        </is>
      </c>
      <c r="T2527" s="1">
        <f>IF(B2527="ไม้กอล์ฟ",J2527,"")</f>
        <v/>
      </c>
    </row>
    <row r="2528">
      <c r="A2528" s="1" t="n">
        <v>3</v>
      </c>
      <c r="B2528" s="1" t="inlineStr">
        <is>
          <t>เสื้อผ้า</t>
        </is>
      </c>
      <c r="C2528" s="1" t="inlineStr">
        <is>
          <t>gf2040119739</t>
        </is>
      </c>
      <c r="D2528" s="1" t="inlineStr">
        <is>
          <t>MANORS Blade Course Men's Polo (Blue)</t>
        </is>
      </c>
      <c r="E2528" s="1" t="inlineStr">
        <is>
          <t>MANORS</t>
        </is>
      </c>
      <c r="F2528" s="1" t="inlineStr">
        <is>
          <t>SHORT SLEEVES</t>
        </is>
      </c>
      <c r="G2528" s="1" t="inlineStr">
        <is>
          <t>GF2040119739S</t>
        </is>
      </c>
      <c r="H2528" s="1" t="n">
        <v>4</v>
      </c>
      <c r="I2528" s="1" t="inlineStr">
        <is>
          <t>มี</t>
        </is>
      </c>
      <c r="J2528" s="13" t="n">
        <v>105</v>
      </c>
      <c r="K2528" s="1" t="inlineStr"/>
      <c r="L2528" s="13" t="n">
        <v>105</v>
      </c>
      <c r="M2528" s="1">
        <f>IF(L2528="","ไม่พบใน SG",IF(ABS(J2528-L2528)&lt;0.005,"ตรงกัน","ไม่ตรง"))</f>
        <v/>
      </c>
      <c r="N2528" s="14">
        <f>IF(L2528="","",ROUND(L2528*'สรุป'!$C$6,-1))</f>
        <v/>
      </c>
      <c r="O2528" s="15" t="n"/>
      <c r="P2528" s="15" t="n"/>
      <c r="Q2528" s="10" t="n"/>
      <c r="R2528" s="10" t="n"/>
      <c r="S2528" s="16" t="inlineStr">
        <is>
          <t>https://mstgolf.co.th/products/gf2040119739</t>
        </is>
      </c>
      <c r="T2528" s="1">
        <f>IF(B2528="ไม้กอล์ฟ",J2528,"")</f>
        <v/>
      </c>
    </row>
    <row r="2529">
      <c r="A2529" s="1" t="n">
        <v>3</v>
      </c>
      <c r="B2529" s="1" t="inlineStr">
        <is>
          <t>เสื้อผ้า</t>
        </is>
      </c>
      <c r="C2529" s="1" t="inlineStr">
        <is>
          <t>gf2040119740</t>
        </is>
      </c>
      <c r="D2529" s="1" t="inlineStr">
        <is>
          <t>MANORS The Course Men's Polo (Sage)</t>
        </is>
      </c>
      <c r="E2529" s="1" t="inlineStr">
        <is>
          <t>MANORS</t>
        </is>
      </c>
      <c r="F2529" s="1" t="inlineStr">
        <is>
          <t>SHORT SLEEVES</t>
        </is>
      </c>
      <c r="G2529" s="1" t="inlineStr">
        <is>
          <t>GF2040119740S</t>
        </is>
      </c>
      <c r="H2529" s="1" t="n">
        <v>4</v>
      </c>
      <c r="I2529" s="1" t="inlineStr">
        <is>
          <t>มี</t>
        </is>
      </c>
      <c r="J2529" s="13" t="n">
        <v>105</v>
      </c>
      <c r="K2529" s="1" t="inlineStr"/>
      <c r="L2529" s="13" t="n">
        <v>105</v>
      </c>
      <c r="M2529" s="1">
        <f>IF(L2529="","ไม่พบใน SG",IF(ABS(J2529-L2529)&lt;0.005,"ตรงกัน","ไม่ตรง"))</f>
        <v/>
      </c>
      <c r="N2529" s="14">
        <f>IF(L2529="","",ROUND(L2529*'สรุป'!$C$6,-1))</f>
        <v/>
      </c>
      <c r="O2529" s="15" t="n"/>
      <c r="P2529" s="15" t="n"/>
      <c r="Q2529" s="10" t="n"/>
      <c r="R2529" s="10" t="n"/>
      <c r="S2529" s="16" t="inlineStr">
        <is>
          <t>https://mstgolf.co.th/products/gf2040119740</t>
        </is>
      </c>
      <c r="T2529" s="1">
        <f>IF(B2529="ไม้กอล์ฟ",J2529,"")</f>
        <v/>
      </c>
    </row>
    <row r="2530">
      <c r="A2530" s="1" t="n">
        <v>3</v>
      </c>
      <c r="B2530" s="1" t="inlineStr">
        <is>
          <t>เสื้อผ้า</t>
        </is>
      </c>
      <c r="C2530" s="1" t="inlineStr">
        <is>
          <t>gf2020202820</t>
        </is>
      </c>
      <c r="D2530" s="1" t="inlineStr">
        <is>
          <t>NIKE Jordan Men's Shorts (Black)</t>
        </is>
      </c>
      <c r="E2530" s="1" t="inlineStr">
        <is>
          <t>NIKE</t>
        </is>
      </c>
      <c r="F2530" s="1" t="inlineStr">
        <is>
          <t>SHORT PANTS</t>
        </is>
      </c>
      <c r="G2530" s="1" t="inlineStr">
        <is>
          <t>GF2020202820XS</t>
        </is>
      </c>
      <c r="H2530" s="1" t="n">
        <v>7</v>
      </c>
      <c r="I2530" s="1" t="inlineStr">
        <is>
          <t>มี</t>
        </is>
      </c>
      <c r="J2530" s="13" t="n">
        <v>105</v>
      </c>
      <c r="K2530" s="1" t="inlineStr"/>
      <c r="L2530" s="13" t="n">
        <v>105</v>
      </c>
      <c r="M2530" s="1">
        <f>IF(L2530="","ไม่พบใน SG",IF(ABS(J2530-L2530)&lt;0.005,"ตรงกัน","ไม่ตรง"))</f>
        <v/>
      </c>
      <c r="N2530" s="14">
        <f>IF(L2530="","",ROUND(L2530*'สรุป'!$C$6,-1))</f>
        <v/>
      </c>
      <c r="O2530" s="15" t="n"/>
      <c r="P2530" s="15" t="n"/>
      <c r="Q2530" s="10" t="n"/>
      <c r="R2530" s="10" t="n"/>
      <c r="S2530" s="16" t="inlineStr">
        <is>
          <t>https://mstgolf.co.th/products/gf2020202820</t>
        </is>
      </c>
      <c r="T2530" s="1">
        <f>IF(B2530="ไม้กอล์ฟ",J2530,"")</f>
        <v/>
      </c>
    </row>
    <row r="2531">
      <c r="A2531" s="1" t="n">
        <v>3</v>
      </c>
      <c r="B2531" s="1" t="inlineStr">
        <is>
          <t>เสื้อผ้า</t>
        </is>
      </c>
      <c r="C2531" s="1" t="inlineStr">
        <is>
          <t>gf2040119733</t>
        </is>
      </c>
      <c r="D2531" s="1" t="inlineStr">
        <is>
          <t>NIKE Tour Dri-FIT Men's Jacquard Polo (White)</t>
        </is>
      </c>
      <c r="E2531" s="1" t="inlineStr">
        <is>
          <t>NIKE</t>
        </is>
      </c>
      <c r="F2531" s="1" t="inlineStr">
        <is>
          <t>SHORT SLEEVES</t>
        </is>
      </c>
      <c r="G2531" s="1" t="inlineStr">
        <is>
          <t>GF2040119733S</t>
        </is>
      </c>
      <c r="H2531" s="1" t="n">
        <v>5</v>
      </c>
      <c r="I2531" s="1" t="inlineStr">
        <is>
          <t>มี</t>
        </is>
      </c>
      <c r="J2531" s="13" t="n">
        <v>105</v>
      </c>
      <c r="K2531" s="1" t="inlineStr"/>
      <c r="L2531" s="13" t="n">
        <v>75</v>
      </c>
      <c r="M2531" s="1">
        <f>IF(L2531="","ไม่พบใน SG",IF(ABS(J2531-L2531)&lt;0.005,"ตรงกัน","ไม่ตรง"))</f>
        <v/>
      </c>
      <c r="N2531" s="14">
        <f>IF(L2531="","",ROUND(L2531*'สรุป'!$C$6,-1))</f>
        <v/>
      </c>
      <c r="O2531" s="15" t="n"/>
      <c r="P2531" s="15" t="n"/>
      <c r="Q2531" s="10" t="n"/>
      <c r="R2531" s="10" t="n"/>
      <c r="S2531" s="16" t="inlineStr">
        <is>
          <t>https://mstgolf.co.th/products/gf2040119733</t>
        </is>
      </c>
      <c r="T2531" s="1">
        <f>IF(B2531="ไม้กอล์ฟ",J2531,"")</f>
        <v/>
      </c>
    </row>
    <row r="2532">
      <c r="A2532" s="1" t="n">
        <v>3</v>
      </c>
      <c r="B2532" s="1" t="inlineStr">
        <is>
          <t>เสื้อผ้า</t>
        </is>
      </c>
      <c r="C2532" s="1" t="inlineStr">
        <is>
          <t>gf2040120576</t>
        </is>
      </c>
      <c r="D2532" s="1" t="inlineStr">
        <is>
          <t>NIKE Tour Dri-FIT Men's Polo (Green)</t>
        </is>
      </c>
      <c r="E2532" s="1" t="inlineStr">
        <is>
          <t>NIKE</t>
        </is>
      </c>
      <c r="F2532" s="1" t="inlineStr">
        <is>
          <t>SHORT SLEEVES</t>
        </is>
      </c>
      <c r="G2532" s="1" t="inlineStr">
        <is>
          <t>GF2040120576S</t>
        </is>
      </c>
      <c r="H2532" s="1" t="n">
        <v>5</v>
      </c>
      <c r="I2532" s="1" t="inlineStr">
        <is>
          <t>มี</t>
        </is>
      </c>
      <c r="J2532" s="13" t="n">
        <v>105</v>
      </c>
      <c r="K2532" s="1" t="inlineStr"/>
      <c r="L2532" s="13" t="n">
        <v>105</v>
      </c>
      <c r="M2532" s="1">
        <f>IF(L2532="","ไม่พบใน SG",IF(ABS(J2532-L2532)&lt;0.005,"ตรงกัน","ไม่ตรง"))</f>
        <v/>
      </c>
      <c r="N2532" s="14">
        <f>IF(L2532="","",ROUND(L2532*'สรุป'!$C$6,-1))</f>
        <v/>
      </c>
      <c r="O2532" s="15" t="n"/>
      <c r="P2532" s="15" t="n"/>
      <c r="Q2532" s="10" t="n"/>
      <c r="R2532" s="10" t="n"/>
      <c r="S2532" s="16" t="inlineStr">
        <is>
          <t>https://mstgolf.co.th/products/gf2040120576</t>
        </is>
      </c>
      <c r="T2532" s="1">
        <f>IF(B2532="ไม้กอล์ฟ",J2532,"")</f>
        <v/>
      </c>
    </row>
    <row r="2533">
      <c r="A2533" s="1" t="n">
        <v>3</v>
      </c>
      <c r="B2533" s="1" t="inlineStr">
        <is>
          <t>เสื้อผ้า</t>
        </is>
      </c>
      <c r="C2533" s="1" t="inlineStr">
        <is>
          <t>gf2040119736</t>
        </is>
      </c>
      <c r="D2533" s="1" t="inlineStr">
        <is>
          <t>NIKE Tour Dri-FIT Men's Polo (Orange)</t>
        </is>
      </c>
      <c r="E2533" s="1" t="inlineStr">
        <is>
          <t>NIKE</t>
        </is>
      </c>
      <c r="F2533" s="1" t="inlineStr">
        <is>
          <t>SHORT SLEEVES</t>
        </is>
      </c>
      <c r="G2533" s="1" t="inlineStr">
        <is>
          <t>GF2040119736S</t>
        </is>
      </c>
      <c r="H2533" s="1" t="n">
        <v>5</v>
      </c>
      <c r="I2533" s="1" t="inlineStr">
        <is>
          <t>มี</t>
        </is>
      </c>
      <c r="J2533" s="13" t="n">
        <v>105</v>
      </c>
      <c r="K2533" s="1" t="inlineStr"/>
      <c r="L2533" s="13" t="n">
        <v>75</v>
      </c>
      <c r="M2533" s="1">
        <f>IF(L2533="","ไม่พบใน SG",IF(ABS(J2533-L2533)&lt;0.005,"ตรงกัน","ไม่ตรง"))</f>
        <v/>
      </c>
      <c r="N2533" s="14">
        <f>IF(L2533="","",ROUND(L2533*'สรุป'!$C$6,-1))</f>
        <v/>
      </c>
      <c r="O2533" s="15" t="n"/>
      <c r="P2533" s="15" t="n"/>
      <c r="Q2533" s="10" t="n"/>
      <c r="R2533" s="10" t="n"/>
      <c r="S2533" s="16" t="inlineStr">
        <is>
          <t>https://mstgolf.co.th/products/gf2040119736</t>
        </is>
      </c>
      <c r="T2533" s="1">
        <f>IF(B2533="ไม้กอล์ฟ",J2533,"")</f>
        <v/>
      </c>
    </row>
    <row r="2534">
      <c r="A2534" s="1" t="n">
        <v>3</v>
      </c>
      <c r="B2534" s="1" t="inlineStr">
        <is>
          <t>เสื้อผ้า</t>
        </is>
      </c>
      <c r="C2534" s="1" t="inlineStr">
        <is>
          <t>gf2020102200</t>
        </is>
      </c>
      <c r="D2534" s="1" t="inlineStr">
        <is>
          <t>PETER MILLAR Raleigh Performance Men's Pants (London)</t>
        </is>
      </c>
      <c r="E2534" s="1" t="inlineStr">
        <is>
          <t>PETER MILLAR</t>
        </is>
      </c>
      <c r="F2534" s="1" t="inlineStr">
        <is>
          <t>LONG PANTS</t>
        </is>
      </c>
      <c r="G2534" s="1" t="inlineStr">
        <is>
          <t>GF202010220030</t>
        </is>
      </c>
      <c r="H2534" s="1" t="n">
        <v>6</v>
      </c>
      <c r="I2534" s="1" t="inlineStr">
        <is>
          <t>มี</t>
        </is>
      </c>
      <c r="J2534" s="13" t="n">
        <v>105</v>
      </c>
      <c r="K2534" s="1" t="inlineStr"/>
      <c r="L2534" s="13" t="n">
        <v>105</v>
      </c>
      <c r="M2534" s="1">
        <f>IF(L2534="","ไม่พบใน SG",IF(ABS(J2534-L2534)&lt;0.005,"ตรงกัน","ไม่ตรง"))</f>
        <v/>
      </c>
      <c r="N2534" s="14">
        <f>IF(L2534="","",ROUND(L2534*'สรุป'!$C$6,-1))</f>
        <v/>
      </c>
      <c r="O2534" s="15" t="n"/>
      <c r="P2534" s="15" t="n"/>
      <c r="Q2534" s="10" t="n"/>
      <c r="R2534" s="10" t="n"/>
      <c r="S2534" s="16" t="inlineStr">
        <is>
          <t>https://mstgolf.co.th/products/gf2020102200</t>
        </is>
      </c>
      <c r="T2534" s="1">
        <f>IF(B2534="ไม้กอล์ฟ",J2534,"")</f>
        <v/>
      </c>
    </row>
    <row r="2535">
      <c r="A2535" s="1" t="n">
        <v>3</v>
      </c>
      <c r="B2535" s="1" t="inlineStr">
        <is>
          <t>เสื้อผ้า</t>
        </is>
      </c>
      <c r="C2535" s="1" t="inlineStr">
        <is>
          <t>gf2020202514</t>
        </is>
      </c>
      <c r="D2535" s="1" t="inlineStr">
        <is>
          <t>PUMA Fair Isle Skirt (Blue Horizon)</t>
        </is>
      </c>
      <c r="E2535" s="1" t="inlineStr">
        <is>
          <t>PUMA</t>
        </is>
      </c>
      <c r="F2535" s="1" t="inlineStr">
        <is>
          <t>SHORT PANTS</t>
        </is>
      </c>
      <c r="G2535" s="1" t="inlineStr">
        <is>
          <t>GF2020202514XS</t>
        </is>
      </c>
      <c r="H2535" s="1" t="n">
        <v>5</v>
      </c>
      <c r="I2535" s="1" t="inlineStr">
        <is>
          <t>มี</t>
        </is>
      </c>
      <c r="J2535" s="13" t="n">
        <v>105</v>
      </c>
      <c r="K2535" s="1" t="inlineStr"/>
      <c r="L2535" s="13" t="n">
        <v>105</v>
      </c>
      <c r="M2535" s="1">
        <f>IF(L2535="","ไม่พบใน SG",IF(ABS(J2535-L2535)&lt;0.005,"ตรงกัน","ไม่ตรง"))</f>
        <v/>
      </c>
      <c r="N2535" s="14">
        <f>IF(L2535="","",ROUND(L2535*'สรุป'!$C$6,-1))</f>
        <v/>
      </c>
      <c r="O2535" s="15" t="n"/>
      <c r="P2535" s="15" t="n"/>
      <c r="Q2535" s="10" t="n"/>
      <c r="R2535" s="10" t="n"/>
      <c r="S2535" s="16" t="inlineStr">
        <is>
          <t>https://mstgolf.co.th/products/gf2020202514</t>
        </is>
      </c>
      <c r="T2535" s="1">
        <f>IF(B2535="ไม้กอล์ฟ",J2535,"")</f>
        <v/>
      </c>
    </row>
    <row r="2536">
      <c r="A2536" s="1" t="n">
        <v>3</v>
      </c>
      <c r="B2536" s="1" t="inlineStr">
        <is>
          <t>อุปกรณ์เสริม</t>
        </is>
      </c>
      <c r="C2536" s="1" t="inlineStr">
        <is>
          <t>gf3130100377</t>
        </is>
      </c>
      <c r="D2536" s="1" t="inlineStr">
        <is>
          <t>PUMA PE0079S Sunglasses (Black/Black/Smoke)</t>
        </is>
      </c>
      <c r="E2536" s="1" t="inlineStr">
        <is>
          <t>PUMA</t>
        </is>
      </c>
      <c r="F2536" s="1" t="inlineStr">
        <is>
          <t>SUNGLASSES</t>
        </is>
      </c>
      <c r="G2536" s="1" t="inlineStr">
        <is>
          <t>GF3130100377</t>
        </is>
      </c>
      <c r="H2536" s="1" t="n">
        <v>1</v>
      </c>
      <c r="I2536" s="1" t="inlineStr">
        <is>
          <t>มี</t>
        </is>
      </c>
      <c r="J2536" s="13" t="n">
        <v>105</v>
      </c>
      <c r="K2536" s="1" t="inlineStr"/>
      <c r="L2536" s="13" t="n">
        <v>105</v>
      </c>
      <c r="M2536" s="1">
        <f>IF(L2536="","ไม่พบใน SG",IF(ABS(J2536-L2536)&lt;0.005,"ตรงกัน","ไม่ตรง"))</f>
        <v/>
      </c>
      <c r="N2536" s="14">
        <f>IF(L2536="","",ROUND(L2536*'สรุป'!$C$6,-1))</f>
        <v/>
      </c>
      <c r="O2536" s="15" t="n"/>
      <c r="P2536" s="15" t="n"/>
      <c r="Q2536" s="10" t="n"/>
      <c r="R2536" s="10" t="n"/>
      <c r="S2536" s="16" t="inlineStr">
        <is>
          <t>https://mstgolf.co.th/products/gf3130100377</t>
        </is>
      </c>
      <c r="T2536" s="1">
        <f>IF(B2536="ไม้กอล์ฟ",J2536,"")</f>
        <v/>
      </c>
    </row>
    <row r="2537">
      <c r="A2537" s="1" t="n">
        <v>3</v>
      </c>
      <c r="B2537" s="1" t="inlineStr">
        <is>
          <t>อุปกรณ์เสริม</t>
        </is>
      </c>
      <c r="C2537" s="1" t="inlineStr">
        <is>
          <t>gf3130100373</t>
        </is>
      </c>
      <c r="D2537" s="1" t="inlineStr">
        <is>
          <t>PUMA PE0109S Havana/Brown Sunglasses</t>
        </is>
      </c>
      <c r="E2537" s="1" t="inlineStr">
        <is>
          <t>PUMA</t>
        </is>
      </c>
      <c r="F2537" s="1" t="inlineStr">
        <is>
          <t>SUNGLASSES</t>
        </is>
      </c>
      <c r="G2537" s="1" t="inlineStr">
        <is>
          <t>GF3130100373</t>
        </is>
      </c>
      <c r="H2537" s="1" t="n">
        <v>1</v>
      </c>
      <c r="I2537" s="1" t="inlineStr">
        <is>
          <t>มี</t>
        </is>
      </c>
      <c r="J2537" s="13" t="n">
        <v>105</v>
      </c>
      <c r="K2537" s="1" t="inlineStr"/>
      <c r="L2537" s="13" t="n">
        <v>105</v>
      </c>
      <c r="M2537" s="1">
        <f>IF(L2537="","ไม่พบใน SG",IF(ABS(J2537-L2537)&lt;0.005,"ตรงกัน","ไม่ตรง"))</f>
        <v/>
      </c>
      <c r="N2537" s="14">
        <f>IF(L2537="","",ROUND(L2537*'สรุป'!$C$6,-1))</f>
        <v/>
      </c>
      <c r="O2537" s="15" t="n"/>
      <c r="P2537" s="15" t="n"/>
      <c r="Q2537" s="10" t="n"/>
      <c r="R2537" s="10" t="n"/>
      <c r="S2537" s="16" t="inlineStr">
        <is>
          <t>https://mstgolf.co.th/products/gf3130100373</t>
        </is>
      </c>
      <c r="T2537" s="1">
        <f>IF(B2537="ไม้กอล์ฟ",J2537,"")</f>
        <v/>
      </c>
    </row>
    <row r="2538">
      <c r="A2538" s="1" t="n">
        <v>3</v>
      </c>
      <c r="B2538" s="1" t="inlineStr">
        <is>
          <t>อุปกรณ์เสริม</t>
        </is>
      </c>
      <c r="C2538" s="1" t="inlineStr">
        <is>
          <t>gf3130100387</t>
        </is>
      </c>
      <c r="D2538" s="1" t="inlineStr">
        <is>
          <t>PUMA PE0176SA Black/Black/Smoke Sunglasses</t>
        </is>
      </c>
      <c r="E2538" s="1" t="inlineStr">
        <is>
          <t>PUMA</t>
        </is>
      </c>
      <c r="F2538" s="1" t="inlineStr">
        <is>
          <t>SUNGLASSES</t>
        </is>
      </c>
      <c r="G2538" s="1" t="inlineStr">
        <is>
          <t>GF3130100387</t>
        </is>
      </c>
      <c r="H2538" s="1" t="n">
        <v>1</v>
      </c>
      <c r="I2538" s="1" t="inlineStr">
        <is>
          <t>มี</t>
        </is>
      </c>
      <c r="J2538" s="13" t="n">
        <v>105</v>
      </c>
      <c r="K2538" s="1" t="inlineStr"/>
      <c r="L2538" s="13" t="n">
        <v>105</v>
      </c>
      <c r="M2538" s="1">
        <f>IF(L2538="","ไม่พบใน SG",IF(ABS(J2538-L2538)&lt;0.005,"ตรงกัน","ไม่ตรง"))</f>
        <v/>
      </c>
      <c r="N2538" s="14">
        <f>IF(L2538="","",ROUND(L2538*'สรุป'!$C$6,-1))</f>
        <v/>
      </c>
      <c r="O2538" s="15" t="n"/>
      <c r="P2538" s="15" t="n"/>
      <c r="Q2538" s="10" t="n"/>
      <c r="R2538" s="10" t="n"/>
      <c r="S2538" s="16" t="inlineStr">
        <is>
          <t>https://mstgolf.co.th/products/gf3130100387</t>
        </is>
      </c>
      <c r="T2538" s="1">
        <f>IF(B2538="ไม้กอล์ฟ",J2538,"")</f>
        <v/>
      </c>
    </row>
    <row r="2539">
      <c r="A2539" s="1" t="n">
        <v>3</v>
      </c>
      <c r="B2539" s="1" t="inlineStr">
        <is>
          <t>อุปกรณ์เสริม</t>
        </is>
      </c>
      <c r="C2539" s="1" t="inlineStr">
        <is>
          <t>gf3130100375</t>
        </is>
      </c>
      <c r="D2539" s="1" t="inlineStr">
        <is>
          <t>PUMA PE0176SA Black/Smoke Sunglasses</t>
        </is>
      </c>
      <c r="E2539" s="1" t="inlineStr">
        <is>
          <t>PUMA</t>
        </is>
      </c>
      <c r="F2539" s="1" t="inlineStr">
        <is>
          <t>SUNGLASSES</t>
        </is>
      </c>
      <c r="G2539" s="1" t="inlineStr">
        <is>
          <t>GF3130100375</t>
        </is>
      </c>
      <c r="H2539" s="1" t="n">
        <v>1</v>
      </c>
      <c r="I2539" s="1" t="inlineStr">
        <is>
          <t>มี</t>
        </is>
      </c>
      <c r="J2539" s="13" t="n">
        <v>105</v>
      </c>
      <c r="K2539" s="1" t="inlineStr"/>
      <c r="L2539" s="13" t="n">
        <v>105</v>
      </c>
      <c r="M2539" s="1">
        <f>IF(L2539="","ไม่พบใน SG",IF(ABS(J2539-L2539)&lt;0.005,"ตรงกัน","ไม่ตรง"))</f>
        <v/>
      </c>
      <c r="N2539" s="14">
        <f>IF(L2539="","",ROUND(L2539*'สรุป'!$C$6,-1))</f>
        <v/>
      </c>
      <c r="O2539" s="15" t="n"/>
      <c r="P2539" s="15" t="n"/>
      <c r="Q2539" s="10" t="n"/>
      <c r="R2539" s="10" t="n"/>
      <c r="S2539" s="16" t="inlineStr">
        <is>
          <t>https://mstgolf.co.th/products/gf3130100375</t>
        </is>
      </c>
      <c r="T2539" s="1">
        <f>IF(B2539="ไม้กอล์ฟ",J2539,"")</f>
        <v/>
      </c>
    </row>
    <row r="2540">
      <c r="A2540" s="1" t="n">
        <v>3</v>
      </c>
      <c r="B2540" s="1" t="inlineStr">
        <is>
          <t>อุปกรณ์เสริม</t>
        </is>
      </c>
      <c r="C2540" s="1" t="inlineStr">
        <is>
          <t>gf3130100388</t>
        </is>
      </c>
      <c r="D2540" s="1" t="inlineStr">
        <is>
          <t>PUMA PE0176SA Blue/Blue Sunglasses</t>
        </is>
      </c>
      <c r="E2540" s="1" t="inlineStr">
        <is>
          <t>PUMA</t>
        </is>
      </c>
      <c r="F2540" s="1" t="inlineStr">
        <is>
          <t>SUNGLASSES</t>
        </is>
      </c>
      <c r="G2540" s="1" t="inlineStr">
        <is>
          <t>GF3130100388</t>
        </is>
      </c>
      <c r="H2540" s="1" t="n">
        <v>1</v>
      </c>
      <c r="I2540" s="1" t="inlineStr">
        <is>
          <t>มี</t>
        </is>
      </c>
      <c r="J2540" s="13" t="n">
        <v>105</v>
      </c>
      <c r="K2540" s="1" t="inlineStr"/>
      <c r="L2540" s="13" t="n">
        <v>105</v>
      </c>
      <c r="M2540" s="1">
        <f>IF(L2540="","ไม่พบใน SG",IF(ABS(J2540-L2540)&lt;0.005,"ตรงกัน","ไม่ตรง"))</f>
        <v/>
      </c>
      <c r="N2540" s="14">
        <f>IF(L2540="","",ROUND(L2540*'สรุป'!$C$6,-1))</f>
        <v/>
      </c>
      <c r="O2540" s="15" t="n"/>
      <c r="P2540" s="15" t="n"/>
      <c r="Q2540" s="10" t="n"/>
      <c r="R2540" s="10" t="n"/>
      <c r="S2540" s="16" t="inlineStr">
        <is>
          <t>https://mstgolf.co.th/products/gf3130100388</t>
        </is>
      </c>
      <c r="T2540" s="1">
        <f>IF(B2540="ไม้กอล์ฟ",J2540,"")</f>
        <v/>
      </c>
    </row>
    <row r="2541">
      <c r="A2541" s="1" t="n">
        <v>3</v>
      </c>
      <c r="B2541" s="1" t="inlineStr">
        <is>
          <t>อุปกรณ์เสริม</t>
        </is>
      </c>
      <c r="C2541" s="1" t="inlineStr">
        <is>
          <t>gf3130100378</t>
        </is>
      </c>
      <c r="D2541" s="1" t="inlineStr">
        <is>
          <t>PUMA PE0187SA Black/Navy Sunglasses</t>
        </is>
      </c>
      <c r="E2541" s="1" t="inlineStr">
        <is>
          <t>PUMA</t>
        </is>
      </c>
      <c r="F2541" s="1" t="inlineStr">
        <is>
          <t>SUNGLASSES</t>
        </is>
      </c>
      <c r="G2541" s="1" t="inlineStr">
        <is>
          <t>GF3130100378</t>
        </is>
      </c>
      <c r="H2541" s="1" t="n">
        <v>1</v>
      </c>
      <c r="I2541" s="1" t="inlineStr">
        <is>
          <t>มี</t>
        </is>
      </c>
      <c r="J2541" s="13" t="n">
        <v>105</v>
      </c>
      <c r="K2541" s="1" t="inlineStr"/>
      <c r="L2541" s="13" t="n">
        <v>105</v>
      </c>
      <c r="M2541" s="1">
        <f>IF(L2541="","ไม่พบใน SG",IF(ABS(J2541-L2541)&lt;0.005,"ตรงกัน","ไม่ตรง"))</f>
        <v/>
      </c>
      <c r="N2541" s="14">
        <f>IF(L2541="","",ROUND(L2541*'สรุป'!$C$6,-1))</f>
        <v/>
      </c>
      <c r="O2541" s="15" t="n"/>
      <c r="P2541" s="15" t="n"/>
      <c r="Q2541" s="10" t="n"/>
      <c r="R2541" s="10" t="n"/>
      <c r="S2541" s="16" t="inlineStr">
        <is>
          <t>https://mstgolf.co.th/products/gf3130100378</t>
        </is>
      </c>
      <c r="T2541" s="1">
        <f>IF(B2541="ไม้กอล์ฟ",J2541,"")</f>
        <v/>
      </c>
    </row>
    <row r="2542">
      <c r="A2542" s="1" t="n">
        <v>3</v>
      </c>
      <c r="B2542" s="1" t="inlineStr">
        <is>
          <t>อุปกรณ์เสริม</t>
        </is>
      </c>
      <c r="C2542" s="1" t="inlineStr">
        <is>
          <t>gf3130100381</t>
        </is>
      </c>
      <c r="D2542" s="1" t="inlineStr">
        <is>
          <t>PUMA PE0189SA Black/Grey/Brown Sunglasses</t>
        </is>
      </c>
      <c r="E2542" s="1" t="inlineStr">
        <is>
          <t>PUMA</t>
        </is>
      </c>
      <c r="F2542" s="1" t="inlineStr">
        <is>
          <t>SUNGLASSES</t>
        </is>
      </c>
      <c r="G2542" s="1" t="inlineStr">
        <is>
          <t>GF3130100381</t>
        </is>
      </c>
      <c r="H2542" s="1" t="n">
        <v>1</v>
      </c>
      <c r="I2542" s="1" t="inlineStr">
        <is>
          <t>มี</t>
        </is>
      </c>
      <c r="J2542" s="13" t="n">
        <v>105</v>
      </c>
      <c r="K2542" s="1" t="inlineStr"/>
      <c r="L2542" s="13" t="n">
        <v>105</v>
      </c>
      <c r="M2542" s="1">
        <f>IF(L2542="","ไม่พบใน SG",IF(ABS(J2542-L2542)&lt;0.005,"ตรงกัน","ไม่ตรง"))</f>
        <v/>
      </c>
      <c r="N2542" s="14">
        <f>IF(L2542="","",ROUND(L2542*'สรุป'!$C$6,-1))</f>
        <v/>
      </c>
      <c r="O2542" s="15" t="n"/>
      <c r="P2542" s="15" t="n"/>
      <c r="Q2542" s="10" t="n"/>
      <c r="R2542" s="10" t="n"/>
      <c r="S2542" s="16" t="inlineStr">
        <is>
          <t>https://mstgolf.co.th/products/gf3130100381</t>
        </is>
      </c>
      <c r="T2542" s="1">
        <f>IF(B2542="ไม้กอล์ฟ",J2542,"")</f>
        <v/>
      </c>
    </row>
    <row r="2543">
      <c r="A2543" s="1" t="n">
        <v>3</v>
      </c>
      <c r="B2543" s="1" t="inlineStr">
        <is>
          <t>อุปกรณ์เสริม</t>
        </is>
      </c>
      <c r="C2543" s="1" t="inlineStr">
        <is>
          <t>gf3130100382</t>
        </is>
      </c>
      <c r="D2543" s="1" t="inlineStr">
        <is>
          <t>PUMA PE0189SA Black/Orange/Black Sunglasses</t>
        </is>
      </c>
      <c r="E2543" s="1" t="inlineStr">
        <is>
          <t>PUMA</t>
        </is>
      </c>
      <c r="F2543" s="1" t="inlineStr">
        <is>
          <t>SUNGLASSES</t>
        </is>
      </c>
      <c r="G2543" s="1" t="inlineStr">
        <is>
          <t>GF3130100382</t>
        </is>
      </c>
      <c r="H2543" s="1" t="n">
        <v>1</v>
      </c>
      <c r="I2543" s="1" t="inlineStr">
        <is>
          <t>มี</t>
        </is>
      </c>
      <c r="J2543" s="13" t="n">
        <v>105</v>
      </c>
      <c r="K2543" s="1" t="inlineStr"/>
      <c r="L2543" s="13" t="n">
        <v>105</v>
      </c>
      <c r="M2543" s="1">
        <f>IF(L2543="","ไม่พบใน SG",IF(ABS(J2543-L2543)&lt;0.005,"ตรงกัน","ไม่ตรง"))</f>
        <v/>
      </c>
      <c r="N2543" s="14">
        <f>IF(L2543="","",ROUND(L2543*'สรุป'!$C$6,-1))</f>
        <v/>
      </c>
      <c r="O2543" s="15" t="n"/>
      <c r="P2543" s="15" t="n"/>
      <c r="Q2543" s="10" t="n"/>
      <c r="R2543" s="10" t="n"/>
      <c r="S2543" s="16" t="inlineStr">
        <is>
          <t>https://mstgolf.co.th/products/gf3130100382</t>
        </is>
      </c>
      <c r="T2543" s="1">
        <f>IF(B2543="ไม้กอล์ฟ",J2543,"")</f>
        <v/>
      </c>
    </row>
    <row r="2544">
      <c r="A2544" s="1" t="n">
        <v>3</v>
      </c>
      <c r="B2544" s="1" t="inlineStr">
        <is>
          <t>เสื้อผ้า</t>
        </is>
      </c>
      <c r="C2544" s="1" t="inlineStr">
        <is>
          <t>gf2040117889</t>
        </is>
      </c>
      <c r="D2544" s="1" t="inlineStr">
        <is>
          <t>TAYLORMADE Basic Men's Polo (Black)</t>
        </is>
      </c>
      <c r="E2544" s="1" t="inlineStr">
        <is>
          <t>TAYLORMADE</t>
        </is>
      </c>
      <c r="F2544" s="1" t="inlineStr">
        <is>
          <t>SHORT SLEEVES</t>
        </is>
      </c>
      <c r="G2544" s="1" t="inlineStr">
        <is>
          <t>GF2040117889S</t>
        </is>
      </c>
      <c r="H2544" s="1" t="n">
        <v>6</v>
      </c>
      <c r="I2544" s="1" t="inlineStr">
        <is>
          <t>มี</t>
        </is>
      </c>
      <c r="J2544" s="13" t="n">
        <v>105</v>
      </c>
      <c r="K2544" s="1" t="inlineStr"/>
      <c r="L2544" s="13" t="n">
        <v>105</v>
      </c>
      <c r="M2544" s="1">
        <f>IF(L2544="","ไม่พบใน SG",IF(ABS(J2544-L2544)&lt;0.005,"ตรงกัน","ไม่ตรง"))</f>
        <v/>
      </c>
      <c r="N2544" s="14">
        <f>IF(L2544="","",ROUND(L2544*'สรุป'!$C$6,-1))</f>
        <v/>
      </c>
      <c r="O2544" s="15" t="n"/>
      <c r="P2544" s="15" t="n"/>
      <c r="Q2544" s="10" t="n"/>
      <c r="R2544" s="10" t="n"/>
      <c r="S2544" s="16" t="inlineStr">
        <is>
          <t>https://mstgolf.co.th/products/gf2040117889</t>
        </is>
      </c>
      <c r="T2544" s="1">
        <f>IF(B2544="ไม้กอล์ฟ",J2544,"")</f>
        <v/>
      </c>
    </row>
    <row r="2545">
      <c r="A2545" s="1" t="n">
        <v>3</v>
      </c>
      <c r="B2545" s="1" t="inlineStr">
        <is>
          <t>เสื้อผ้า</t>
        </is>
      </c>
      <c r="C2545" s="1" t="inlineStr">
        <is>
          <t>gf2040118381</t>
        </is>
      </c>
      <c r="D2545" s="1" t="inlineStr">
        <is>
          <t>TAYLORMADE Flower Women’s Polo (Navy)</t>
        </is>
      </c>
      <c r="E2545" s="1" t="inlineStr">
        <is>
          <t>TAYLORMADE</t>
        </is>
      </c>
      <c r="F2545" s="1" t="inlineStr">
        <is>
          <t>SHORT SLEEVES</t>
        </is>
      </c>
      <c r="G2545" s="1" t="inlineStr">
        <is>
          <t>GF2040118381S</t>
        </is>
      </c>
      <c r="H2545" s="1" t="n">
        <v>6</v>
      </c>
      <c r="I2545" s="1" t="inlineStr">
        <is>
          <t>มี</t>
        </is>
      </c>
      <c r="J2545" s="13" t="n">
        <v>105</v>
      </c>
      <c r="K2545" s="1" t="inlineStr"/>
      <c r="L2545" s="13" t="n">
        <v>105</v>
      </c>
      <c r="M2545" s="1">
        <f>IF(L2545="","ไม่พบใน SG",IF(ABS(J2545-L2545)&lt;0.005,"ตรงกัน","ไม่ตรง"))</f>
        <v/>
      </c>
      <c r="N2545" s="14">
        <f>IF(L2545="","",ROUND(L2545*'สรุป'!$C$6,-1))</f>
        <v/>
      </c>
      <c r="O2545" s="15" t="n"/>
      <c r="P2545" s="15" t="n"/>
      <c r="Q2545" s="10" t="n"/>
      <c r="R2545" s="10" t="n"/>
      <c r="S2545" s="16" t="inlineStr">
        <is>
          <t>https://mstgolf.co.th/products/gf2040118381</t>
        </is>
      </c>
      <c r="T2545" s="1">
        <f>IF(B2545="ไม้กอล์ฟ",J2545,"")</f>
        <v/>
      </c>
    </row>
    <row r="2546">
      <c r="A2546" s="1" t="n">
        <v>3</v>
      </c>
      <c r="B2546" s="1" t="inlineStr">
        <is>
          <t>เสื้อผ้า</t>
        </is>
      </c>
      <c r="C2546" s="1" t="inlineStr">
        <is>
          <t>gf2040117910</t>
        </is>
      </c>
      <c r="D2546" s="1" t="inlineStr">
        <is>
          <t>TAYLORMADE Men's Patterned Polo (Sax)</t>
        </is>
      </c>
      <c r="E2546" s="1" t="inlineStr">
        <is>
          <t>TAYLORMADE</t>
        </is>
      </c>
      <c r="F2546" s="1" t="inlineStr">
        <is>
          <t>SHORT SLEEVES</t>
        </is>
      </c>
      <c r="G2546" s="1" t="inlineStr">
        <is>
          <t>GF2040117910S</t>
        </is>
      </c>
      <c r="H2546" s="1" t="n">
        <v>6</v>
      </c>
      <c r="I2546" s="1" t="inlineStr">
        <is>
          <t>มี</t>
        </is>
      </c>
      <c r="J2546" s="13" t="n">
        <v>105</v>
      </c>
      <c r="K2546" s="1" t="inlineStr"/>
      <c r="L2546" s="13" t="n">
        <v>105</v>
      </c>
      <c r="M2546" s="1">
        <f>IF(L2546="","ไม่พบใน SG",IF(ABS(J2546-L2546)&lt;0.005,"ตรงกัน","ไม่ตรง"))</f>
        <v/>
      </c>
      <c r="N2546" s="14">
        <f>IF(L2546="","",ROUND(L2546*'สรุป'!$C$6,-1))</f>
        <v/>
      </c>
      <c r="O2546" s="15" t="n"/>
      <c r="P2546" s="15" t="n"/>
      <c r="Q2546" s="10" t="n"/>
      <c r="R2546" s="10" t="n"/>
      <c r="S2546" s="16" t="inlineStr">
        <is>
          <t>https://mstgolf.co.th/products/gf2040117910</t>
        </is>
      </c>
      <c r="T2546" s="1">
        <f>IF(B2546="ไม้กอล์ฟ",J2546,"")</f>
        <v/>
      </c>
    </row>
    <row r="2547">
      <c r="A2547" s="1" t="n">
        <v>3</v>
      </c>
      <c r="B2547" s="1" t="inlineStr">
        <is>
          <t>เสื้อผ้า</t>
        </is>
      </c>
      <c r="C2547" s="1" t="inlineStr">
        <is>
          <t>gf2020202308</t>
        </is>
      </c>
      <c r="D2547" s="1" t="inlineStr">
        <is>
          <t>UNDER ARMOUR Curry Icon Women's Shorts (Sky Blue)</t>
        </is>
      </c>
      <c r="E2547" s="1" t="inlineStr">
        <is>
          <t>UNDER ARMOUR</t>
        </is>
      </c>
      <c r="F2547" s="1" t="inlineStr">
        <is>
          <t>SHORT PANTS</t>
        </is>
      </c>
      <c r="G2547" s="1" t="inlineStr">
        <is>
          <t>GF20202023082</t>
        </is>
      </c>
      <c r="H2547" s="1" t="n">
        <v>5</v>
      </c>
      <c r="I2547" s="1" t="inlineStr">
        <is>
          <t>มี</t>
        </is>
      </c>
      <c r="J2547" s="13" t="n">
        <v>105</v>
      </c>
      <c r="K2547" s="1" t="inlineStr"/>
      <c r="L2547" s="13" t="n">
        <v>79</v>
      </c>
      <c r="M2547" s="1">
        <f>IF(L2547="","ไม่พบใน SG",IF(ABS(J2547-L2547)&lt;0.005,"ตรงกัน","ไม่ตรง"))</f>
        <v/>
      </c>
      <c r="N2547" s="14">
        <f>IF(L2547="","",ROUND(L2547*'สรุป'!$C$6,-1))</f>
        <v/>
      </c>
      <c r="O2547" s="15" t="n"/>
      <c r="P2547" s="15" t="n"/>
      <c r="Q2547" s="10" t="n"/>
      <c r="R2547" s="10" t="n"/>
      <c r="S2547" s="16" t="inlineStr">
        <is>
          <t>https://mstgolf.co.th/products/gf2020202308</t>
        </is>
      </c>
      <c r="T2547" s="1">
        <f>IF(B2547="ไม้กอล์ฟ",J2547,"")</f>
        <v/>
      </c>
    </row>
    <row r="2548">
      <c r="A2548" s="1" t="n">
        <v>3</v>
      </c>
      <c r="B2548" s="1" t="inlineStr">
        <is>
          <t>เสื้อผ้า</t>
        </is>
      </c>
      <c r="C2548" s="1" t="inlineStr">
        <is>
          <t>gf2020102178</t>
        </is>
      </c>
      <c r="D2548" s="1" t="inlineStr">
        <is>
          <t>UNDER ARMOUR Curry Tapared Men's Pants (Dark Maroon)</t>
        </is>
      </c>
      <c r="E2548" s="1" t="inlineStr">
        <is>
          <t>UNDER ARMOUR</t>
        </is>
      </c>
      <c r="F2548" s="1" t="inlineStr">
        <is>
          <t>LONG PANTS</t>
        </is>
      </c>
      <c r="G2548" s="1" t="inlineStr">
        <is>
          <t>GF202010217830</t>
        </is>
      </c>
      <c r="H2548" s="1" t="n">
        <v>6</v>
      </c>
      <c r="I2548" s="1" t="inlineStr">
        <is>
          <t>มี</t>
        </is>
      </c>
      <c r="J2548" s="13" t="n">
        <v>105</v>
      </c>
      <c r="K2548" s="1" t="inlineStr"/>
      <c r="L2548" s="13" t="n">
        <v>69</v>
      </c>
      <c r="M2548" s="1">
        <f>IF(L2548="","ไม่พบใน SG",IF(ABS(J2548-L2548)&lt;0.005,"ตรงกัน","ไม่ตรง"))</f>
        <v/>
      </c>
      <c r="N2548" s="14">
        <f>IF(L2548="","",ROUND(L2548*'สรุป'!$C$6,-1))</f>
        <v/>
      </c>
      <c r="O2548" s="15" t="n"/>
      <c r="P2548" s="15" t="n"/>
      <c r="Q2548" s="10" t="n"/>
      <c r="R2548" s="10" t="n"/>
      <c r="S2548" s="16" t="inlineStr">
        <is>
          <t>https://mstgolf.co.th/products/gf2020102178</t>
        </is>
      </c>
      <c r="T2548" s="1">
        <f>IF(B2548="ไม้กอล์ฟ",J2548,"")</f>
        <v/>
      </c>
    </row>
    <row r="2549">
      <c r="A2549" s="1" t="n">
        <v>3</v>
      </c>
      <c r="B2549" s="1" t="inlineStr">
        <is>
          <t>เสื้อผ้า</t>
        </is>
      </c>
      <c r="C2549" s="1" t="inlineStr">
        <is>
          <t>gf2020101823</t>
        </is>
      </c>
      <c r="D2549" s="1" t="inlineStr">
        <is>
          <t>UNDER ARMOUR Drive 5-Pocket Men's Pants (Halo Grey)</t>
        </is>
      </c>
      <c r="E2549" s="1" t="inlineStr">
        <is>
          <t>UNDER ARMOUR</t>
        </is>
      </c>
      <c r="F2549" s="1" t="inlineStr">
        <is>
          <t>LONG PANTS</t>
        </is>
      </c>
      <c r="G2549" s="1" t="inlineStr">
        <is>
          <t>GF202010182330</t>
        </is>
      </c>
      <c r="H2549" s="1" t="n">
        <v>6</v>
      </c>
      <c r="I2549" s="1" t="inlineStr">
        <is>
          <t>มี</t>
        </is>
      </c>
      <c r="J2549" s="13" t="n">
        <v>105</v>
      </c>
      <c r="K2549" s="1" t="inlineStr"/>
      <c r="L2549" s="13" t="n">
        <v>83</v>
      </c>
      <c r="M2549" s="1">
        <f>IF(L2549="","ไม่พบใน SG",IF(ABS(J2549-L2549)&lt;0.005,"ตรงกัน","ไม่ตรง"))</f>
        <v/>
      </c>
      <c r="N2549" s="14">
        <f>IF(L2549="","",ROUND(L2549*'สรุป'!$C$6,-1))</f>
        <v/>
      </c>
      <c r="O2549" s="15" t="n"/>
      <c r="P2549" s="15" t="n"/>
      <c r="Q2549" s="10" t="n"/>
      <c r="R2549" s="10" t="n"/>
      <c r="S2549" s="16" t="inlineStr">
        <is>
          <t>https://mstgolf.co.th/products/gf2020101823</t>
        </is>
      </c>
      <c r="T2549" s="1">
        <f>IF(B2549="ไม้กอล์ฟ",J2549,"")</f>
        <v/>
      </c>
    </row>
    <row r="2550">
      <c r="A2550" s="1" t="n">
        <v>3</v>
      </c>
      <c r="B2550" s="1" t="inlineStr">
        <is>
          <t>เสื้อผ้า</t>
        </is>
      </c>
      <c r="C2550" s="1" t="inlineStr">
        <is>
          <t>gf2040118304</t>
        </is>
      </c>
      <c r="D2550" s="1" t="inlineStr">
        <is>
          <t>UNDER ARMOUR Iso-Chill Edge Men's Polo (Tech Blue/Navy)</t>
        </is>
      </c>
      <c r="E2550" s="1" t="inlineStr">
        <is>
          <t>UNDER ARMOUR</t>
        </is>
      </c>
      <c r="F2550" s="1" t="inlineStr">
        <is>
          <t>SHORT SLEEVES</t>
        </is>
      </c>
      <c r="G2550" s="1" t="inlineStr">
        <is>
          <t>GF2040118304S</t>
        </is>
      </c>
      <c r="H2550" s="1" t="n">
        <v>6</v>
      </c>
      <c r="I2550" s="1" t="inlineStr">
        <is>
          <t>มี</t>
        </is>
      </c>
      <c r="J2550" s="13" t="n">
        <v>105</v>
      </c>
      <c r="K2550" s="1" t="inlineStr"/>
      <c r="L2550" s="13" t="n">
        <v>105</v>
      </c>
      <c r="M2550" s="1">
        <f>IF(L2550="","ไม่พบใน SG",IF(ABS(J2550-L2550)&lt;0.005,"ตรงกัน","ไม่ตรง"))</f>
        <v/>
      </c>
      <c r="N2550" s="14">
        <f>IF(L2550="","",ROUND(L2550*'สรุป'!$C$6,-1))</f>
        <v/>
      </c>
      <c r="O2550" s="15" t="n"/>
      <c r="P2550" s="15" t="n"/>
      <c r="Q2550" s="10" t="n"/>
      <c r="R2550" s="10" t="n"/>
      <c r="S2550" s="16" t="inlineStr">
        <is>
          <t>https://mstgolf.co.th/products/gf2040118304</t>
        </is>
      </c>
      <c r="T2550" s="1">
        <f>IF(B2550="ไม้กอล์ฟ",J2550,"")</f>
        <v/>
      </c>
    </row>
    <row r="2551">
      <c r="A2551" s="1" t="n">
        <v>3</v>
      </c>
      <c r="B2551" s="1" t="inlineStr">
        <is>
          <t>เสื้อผ้า</t>
        </is>
      </c>
      <c r="C2551" s="1" t="inlineStr">
        <is>
          <t>gf2060101023</t>
        </is>
      </c>
      <c r="D2551" s="1" t="inlineStr">
        <is>
          <t>UNDER ARMOUR Storm Midlayer Full-Zip Men's Jacket (Midnight Navy)</t>
        </is>
      </c>
      <c r="E2551" s="1" t="inlineStr">
        <is>
          <t>UNDER ARMOUR</t>
        </is>
      </c>
      <c r="F2551" s="1" t="inlineStr">
        <is>
          <t>TOP</t>
        </is>
      </c>
      <c r="G2551" s="1" t="inlineStr">
        <is>
          <t>GF2060101023S</t>
        </is>
      </c>
      <c r="H2551" s="1" t="n">
        <v>5</v>
      </c>
      <c r="I2551" s="1" t="inlineStr">
        <is>
          <t>มี</t>
        </is>
      </c>
      <c r="J2551" s="13" t="n">
        <v>105</v>
      </c>
      <c r="K2551" s="1" t="inlineStr"/>
      <c r="L2551" s="13" t="n">
        <v>79</v>
      </c>
      <c r="M2551" s="1">
        <f>IF(L2551="","ไม่พบใน SG",IF(ABS(J2551-L2551)&lt;0.005,"ตรงกัน","ไม่ตรง"))</f>
        <v/>
      </c>
      <c r="N2551" s="14">
        <f>IF(L2551="","",ROUND(L2551*'สรุป'!$C$6,-1))</f>
        <v/>
      </c>
      <c r="O2551" s="15" t="n"/>
      <c r="P2551" s="15" t="n"/>
      <c r="Q2551" s="10" t="n"/>
      <c r="R2551" s="10" t="n"/>
      <c r="S2551" s="16" t="inlineStr">
        <is>
          <t>https://mstgolf.co.th/products/gf2060101023</t>
        </is>
      </c>
      <c r="T2551" s="1">
        <f>IF(B2551="ไม้กอล์ฟ",J2551,"")</f>
        <v/>
      </c>
    </row>
    <row r="2552">
      <c r="A2552" s="1" t="n">
        <v>3</v>
      </c>
      <c r="B2552" s="1" t="inlineStr">
        <is>
          <t>อุปกรณ์เสริม</t>
        </is>
      </c>
      <c r="C2552" s="1" t="inlineStr">
        <is>
          <t>gf3150100355</t>
        </is>
      </c>
      <c r="D2552" s="1" t="inlineStr">
        <is>
          <t>TITLEIST StaDry Single Canopy Umbrella (Black)</t>
        </is>
      </c>
      <c r="E2552" s="1" t="inlineStr">
        <is>
          <t>TITLEIST</t>
        </is>
      </c>
      <c r="F2552" s="1" t="inlineStr">
        <is>
          <t>UMBRELLA</t>
        </is>
      </c>
      <c r="G2552" s="1" t="inlineStr">
        <is>
          <t>GF3150100355</t>
        </is>
      </c>
      <c r="H2552" s="1" t="n">
        <v>1</v>
      </c>
      <c r="I2552" s="1" t="inlineStr">
        <is>
          <t>มี</t>
        </is>
      </c>
      <c r="J2552" s="13" t="n">
        <v>102</v>
      </c>
      <c r="K2552" s="1" t="inlineStr"/>
      <c r="L2552" s="13" t="n">
        <v>102</v>
      </c>
      <c r="M2552" s="1">
        <f>IF(L2552="","ไม่พบใน SG",IF(ABS(J2552-L2552)&lt;0.005,"ตรงกัน","ไม่ตรง"))</f>
        <v/>
      </c>
      <c r="N2552" s="14">
        <f>IF(L2552="","",ROUND(L2552*'สรุป'!$C$6,-1))</f>
        <v/>
      </c>
      <c r="O2552" s="15" t="n"/>
      <c r="P2552" s="15" t="n"/>
      <c r="Q2552" s="10" t="n"/>
      <c r="R2552" s="10" t="n"/>
      <c r="S2552" s="16" t="inlineStr">
        <is>
          <t>https://mstgolf.co.th/products/gf3150100355</t>
        </is>
      </c>
      <c r="T2552" s="1">
        <f>IF(B2552="ไม้กอล์ฟ",J2552,"")</f>
        <v/>
      </c>
    </row>
    <row r="2553">
      <c r="A2553" s="1" t="n">
        <v>3</v>
      </c>
      <c r="B2553" s="1" t="inlineStr">
        <is>
          <t>เสื้อผ้า</t>
        </is>
      </c>
      <c r="C2553" s="1" t="inlineStr">
        <is>
          <t>gf2040119448</t>
        </is>
      </c>
      <c r="D2553" s="1" t="inlineStr">
        <is>
          <t>ADIDAS Go-To Printed Men's Polo (Green)</t>
        </is>
      </c>
      <c r="E2553" s="1" t="inlineStr">
        <is>
          <t>ADIDAS</t>
        </is>
      </c>
      <c r="F2553" s="1" t="inlineStr">
        <is>
          <t>SHORT SLEEVES</t>
        </is>
      </c>
      <c r="G2553" s="1" t="inlineStr">
        <is>
          <t>GF20401194482XS</t>
        </is>
      </c>
      <c r="H2553" s="1" t="n">
        <v>8</v>
      </c>
      <c r="I2553" s="1" t="inlineStr">
        <is>
          <t>มี</t>
        </is>
      </c>
      <c r="J2553" s="13" t="n">
        <v>100</v>
      </c>
      <c r="K2553" s="1" t="inlineStr"/>
      <c r="L2553" s="13" t="n">
        <v>49</v>
      </c>
      <c r="M2553" s="1">
        <f>IF(L2553="","ไม่พบใน SG",IF(ABS(J2553-L2553)&lt;0.005,"ตรงกัน","ไม่ตรง"))</f>
        <v/>
      </c>
      <c r="N2553" s="14">
        <f>IF(L2553="","",ROUND(L2553*'สรุป'!$C$6,-1))</f>
        <v/>
      </c>
      <c r="O2553" s="15" t="n"/>
      <c r="P2553" s="15" t="n"/>
      <c r="Q2553" s="10" t="n"/>
      <c r="R2553" s="10" t="n"/>
      <c r="S2553" s="16" t="inlineStr">
        <is>
          <t>https://mstgolf.co.th/products/gf2040119448</t>
        </is>
      </c>
      <c r="T2553" s="1">
        <f>IF(B2553="ไม้กอล์ฟ",J2553,"")</f>
        <v/>
      </c>
    </row>
    <row r="2554">
      <c r="A2554" s="1" t="n">
        <v>3</v>
      </c>
      <c r="B2554" s="1" t="inlineStr">
        <is>
          <t>เสื้อผ้า</t>
        </is>
      </c>
      <c r="C2554" s="1" t="inlineStr">
        <is>
          <t>gf2020102379</t>
        </is>
      </c>
      <c r="D2554" s="1" t="inlineStr">
        <is>
          <t>ADIDAS Solid Women's Ankle Pants (Black)</t>
        </is>
      </c>
      <c r="E2554" s="1" t="inlineStr">
        <is>
          <t>ADIDAS</t>
        </is>
      </c>
      <c r="F2554" s="1" t="inlineStr">
        <is>
          <t>LONG PANTS</t>
        </is>
      </c>
      <c r="G2554" s="1" t="inlineStr">
        <is>
          <t>GF20201023792XS</t>
        </is>
      </c>
      <c r="H2554" s="1" t="n">
        <v>7</v>
      </c>
      <c r="I2554" s="1" t="inlineStr">
        <is>
          <t>มี</t>
        </is>
      </c>
      <c r="J2554" s="13" t="n">
        <v>100</v>
      </c>
      <c r="K2554" s="1" t="inlineStr"/>
      <c r="L2554" s="13" t="n">
        <v>69</v>
      </c>
      <c r="M2554" s="1">
        <f>IF(L2554="","ไม่พบใน SG",IF(ABS(J2554-L2554)&lt;0.005,"ตรงกัน","ไม่ตรง"))</f>
        <v/>
      </c>
      <c r="N2554" s="14">
        <f>IF(L2554="","",ROUND(L2554*'สรุป'!$C$6,-1))</f>
        <v/>
      </c>
      <c r="O2554" s="15" t="n"/>
      <c r="P2554" s="15" t="n"/>
      <c r="Q2554" s="10" t="n"/>
      <c r="R2554" s="10" t="n"/>
      <c r="S2554" s="16" t="inlineStr">
        <is>
          <t>https://mstgolf.co.th/products/gf2020102379</t>
        </is>
      </c>
      <c r="T2554" s="1">
        <f>IF(B2554="ไม้กอล์ฟ",J2554,"")</f>
        <v/>
      </c>
    </row>
    <row r="2555">
      <c r="A2555" s="1" t="n">
        <v>3</v>
      </c>
      <c r="B2555" s="1" t="inlineStr">
        <is>
          <t>เสื้อผ้า</t>
        </is>
      </c>
      <c r="C2555" s="1" t="inlineStr">
        <is>
          <t>gf2020102269</t>
        </is>
      </c>
      <c r="D2555" s="1" t="inlineStr">
        <is>
          <t>ADIDAS Ultimate365 Women's Ankle Pants (White)</t>
        </is>
      </c>
      <c r="E2555" s="1" t="inlineStr">
        <is>
          <t>ADIDAS</t>
        </is>
      </c>
      <c r="F2555" s="1" t="inlineStr">
        <is>
          <t>LONG PANTS</t>
        </is>
      </c>
      <c r="G2555" s="1" t="inlineStr">
        <is>
          <t>GF20201022692XS</t>
        </is>
      </c>
      <c r="H2555" s="1" t="n">
        <v>7</v>
      </c>
      <c r="I2555" s="1" t="inlineStr">
        <is>
          <t>มี</t>
        </is>
      </c>
      <c r="J2555" s="13" t="n">
        <v>100</v>
      </c>
      <c r="K2555" s="1" t="inlineStr"/>
      <c r="L2555" s="13" t="n">
        <v>69</v>
      </c>
      <c r="M2555" s="1">
        <f>IF(L2555="","ไม่พบใน SG",IF(ABS(J2555-L2555)&lt;0.005,"ตรงกัน","ไม่ตรง"))</f>
        <v/>
      </c>
      <c r="N2555" s="14">
        <f>IF(L2555="","",ROUND(L2555*'สรุป'!$C$6,-1))</f>
        <v/>
      </c>
      <c r="O2555" s="15" t="n"/>
      <c r="P2555" s="15" t="n"/>
      <c r="Q2555" s="10" t="n"/>
      <c r="R2555" s="10" t="n"/>
      <c r="S2555" s="16" t="inlineStr">
        <is>
          <t>https://mstgolf.co.th/products/gf2020102269</t>
        </is>
      </c>
      <c r="T2555" s="1">
        <f>IF(B2555="ไม้กอล์ฟ",J2555,"")</f>
        <v/>
      </c>
    </row>
    <row r="2556">
      <c r="A2556" s="1" t="n">
        <v>3</v>
      </c>
      <c r="B2556" s="1" t="inlineStr">
        <is>
          <t>เสื้อผ้า</t>
        </is>
      </c>
      <c r="C2556" s="1" t="inlineStr">
        <is>
          <t>gf2040119446</t>
        </is>
      </c>
      <c r="D2556" s="1" t="inlineStr">
        <is>
          <t>ADIDAS Go-To Printed Men's Polo (Coral)</t>
        </is>
      </c>
      <c r="E2556" s="1" t="inlineStr">
        <is>
          <t>ADIDAS</t>
        </is>
      </c>
      <c r="F2556" s="1" t="inlineStr">
        <is>
          <t>SHORT SLEEVES</t>
        </is>
      </c>
      <c r="G2556" s="1" t="inlineStr">
        <is>
          <t>GF20401194462XS</t>
        </is>
      </c>
      <c r="H2556" s="1" t="n">
        <v>8</v>
      </c>
      <c r="I2556" s="1" t="inlineStr">
        <is>
          <t>มี</t>
        </is>
      </c>
      <c r="J2556" s="13" t="n">
        <v>99</v>
      </c>
      <c r="K2556" s="1" t="inlineStr"/>
      <c r="L2556" s="13" t="n">
        <v>49</v>
      </c>
      <c r="M2556" s="1">
        <f>IF(L2556="","ไม่พบใน SG",IF(ABS(J2556-L2556)&lt;0.005,"ตรงกัน","ไม่ตรง"))</f>
        <v/>
      </c>
      <c r="N2556" s="14">
        <f>IF(L2556="","",ROUND(L2556*'สรุป'!$C$6,-1))</f>
        <v/>
      </c>
      <c r="O2556" s="15" t="n"/>
      <c r="P2556" s="15" t="n"/>
      <c r="Q2556" s="10" t="n"/>
      <c r="R2556" s="10" t="n"/>
      <c r="S2556" s="16" t="inlineStr">
        <is>
          <t>https://mstgolf.co.th/products/gf2040119446</t>
        </is>
      </c>
      <c r="T2556" s="1">
        <f>IF(B2556="ไม้กอล์ฟ",J2556,"")</f>
        <v/>
      </c>
    </row>
    <row r="2557">
      <c r="A2557" s="1" t="n">
        <v>3</v>
      </c>
      <c r="B2557" s="1" t="inlineStr">
        <is>
          <t>เสื้อผ้า</t>
        </is>
      </c>
      <c r="C2557" s="1" t="inlineStr">
        <is>
          <t>gf2040120473</t>
        </is>
      </c>
      <c r="D2557" s="1" t="inlineStr">
        <is>
          <t>ADIDAS Go-To Rise Print Men's Polo (Carbon)</t>
        </is>
      </c>
      <c r="E2557" s="1" t="inlineStr">
        <is>
          <t>ADIDAS</t>
        </is>
      </c>
      <c r="F2557" s="1" t="inlineStr">
        <is>
          <t>SHORT SLEEVES</t>
        </is>
      </c>
      <c r="G2557" s="1" t="inlineStr">
        <is>
          <t>GF20401204732XS</t>
        </is>
      </c>
      <c r="H2557" s="1" t="n">
        <v>7</v>
      </c>
      <c r="I2557" s="1" t="inlineStr">
        <is>
          <t>มี</t>
        </is>
      </c>
      <c r="J2557" s="13" t="n">
        <v>99</v>
      </c>
      <c r="K2557" s="1" t="inlineStr"/>
      <c r="L2557" s="13" t="n">
        <v>49</v>
      </c>
      <c r="M2557" s="1">
        <f>IF(L2557="","ไม่พบใน SG",IF(ABS(J2557-L2557)&lt;0.005,"ตรงกัน","ไม่ตรง"))</f>
        <v/>
      </c>
      <c r="N2557" s="14">
        <f>IF(L2557="","",ROUND(L2557*'สรุป'!$C$6,-1))</f>
        <v/>
      </c>
      <c r="O2557" s="15" t="n"/>
      <c r="P2557" s="15" t="n"/>
      <c r="Q2557" s="10" t="n"/>
      <c r="R2557" s="10" t="n"/>
      <c r="S2557" s="16" t="inlineStr">
        <is>
          <t>https://mstgolf.co.th/products/gf2040120473</t>
        </is>
      </c>
      <c r="T2557" s="1">
        <f>IF(B2557="ไม้กอล์ฟ",J2557,"")</f>
        <v/>
      </c>
    </row>
    <row r="2558">
      <c r="A2558" s="1" t="n">
        <v>3</v>
      </c>
      <c r="B2558" s="1" t="inlineStr">
        <is>
          <t>เสื้อผ้า</t>
        </is>
      </c>
      <c r="C2558" s="1" t="inlineStr">
        <is>
          <t>gf2040120474</t>
        </is>
      </c>
      <c r="D2558" s="1" t="inlineStr">
        <is>
          <t>ADIDAS Go-To Rise Print Men's Polo (Plum)</t>
        </is>
      </c>
      <c r="E2558" s="1" t="inlineStr">
        <is>
          <t>ADIDAS</t>
        </is>
      </c>
      <c r="F2558" s="1" t="inlineStr">
        <is>
          <t>SHORT SLEEVES</t>
        </is>
      </c>
      <c r="G2558" s="1" t="inlineStr">
        <is>
          <t>GF20401204742XS</t>
        </is>
      </c>
      <c r="H2558" s="1" t="n">
        <v>7</v>
      </c>
      <c r="I2558" s="1" t="inlineStr">
        <is>
          <t>มี</t>
        </is>
      </c>
      <c r="J2558" s="13" t="n">
        <v>99</v>
      </c>
      <c r="K2558" s="1" t="inlineStr"/>
      <c r="L2558" s="13" t="n"/>
      <c r="M2558" s="1">
        <f>IF(L2558="","ไม่พบใน SG",IF(ABS(J2558-L2558)&lt;0.005,"ตรงกัน","ไม่ตรง"))</f>
        <v/>
      </c>
      <c r="N2558" s="14">
        <f>IF(L2558="","",ROUND(L2558*'สรุป'!$C$6,-1))</f>
        <v/>
      </c>
      <c r="O2558" s="15" t="n"/>
      <c r="P2558" s="15" t="n"/>
      <c r="Q2558" s="10" t="n"/>
      <c r="R2558" s="10" t="n"/>
      <c r="S2558" s="16" t="inlineStr">
        <is>
          <t>https://mstgolf.co.th/products/gf2040120474</t>
        </is>
      </c>
      <c r="T2558" s="1">
        <f>IF(B2558="ไม้กอล์ฟ",J2558,"")</f>
        <v/>
      </c>
    </row>
    <row r="2559">
      <c r="A2559" s="1" t="n">
        <v>3</v>
      </c>
      <c r="B2559" s="1" t="inlineStr">
        <is>
          <t>เสื้อผ้า</t>
        </is>
      </c>
      <c r="C2559" s="1" t="inlineStr">
        <is>
          <t>gf2040120475</t>
        </is>
      </c>
      <c r="D2559" s="1" t="inlineStr">
        <is>
          <t>ADIDAS Go-To Rise Print Men's Polo (White)</t>
        </is>
      </c>
      <c r="E2559" s="1" t="inlineStr">
        <is>
          <t>ADIDAS</t>
        </is>
      </c>
      <c r="F2559" s="1" t="inlineStr">
        <is>
          <t>SHORT SLEEVES</t>
        </is>
      </c>
      <c r="G2559" s="1" t="inlineStr">
        <is>
          <t>GF20401204752XS</t>
        </is>
      </c>
      <c r="H2559" s="1" t="n">
        <v>7</v>
      </c>
      <c r="I2559" s="1" t="inlineStr">
        <is>
          <t>มี</t>
        </is>
      </c>
      <c r="J2559" s="13" t="n">
        <v>99</v>
      </c>
      <c r="K2559" s="1" t="inlineStr"/>
      <c r="L2559" s="13" t="n"/>
      <c r="M2559" s="1">
        <f>IF(L2559="","ไม่พบใน SG",IF(ABS(J2559-L2559)&lt;0.005,"ตรงกัน","ไม่ตรง"))</f>
        <v/>
      </c>
      <c r="N2559" s="14">
        <f>IF(L2559="","",ROUND(L2559*'สรุป'!$C$6,-1))</f>
        <v/>
      </c>
      <c r="O2559" s="15" t="n"/>
      <c r="P2559" s="15" t="n"/>
      <c r="Q2559" s="10" t="n"/>
      <c r="R2559" s="10" t="n"/>
      <c r="S2559" s="16" t="inlineStr">
        <is>
          <t>https://mstgolf.co.th/products/gf2040120475</t>
        </is>
      </c>
      <c r="T2559" s="1">
        <f>IF(B2559="ไม้กอล์ฟ",J2559,"")</f>
        <v/>
      </c>
    </row>
    <row r="2560">
      <c r="A2560" s="1" t="n">
        <v>3</v>
      </c>
      <c r="B2560" s="1" t="inlineStr">
        <is>
          <t>เสื้อผ้า</t>
        </is>
      </c>
      <c r="C2560" s="1" t="inlineStr">
        <is>
          <t>gf2040120537</t>
        </is>
      </c>
      <c r="D2560" s="1" t="inlineStr">
        <is>
          <t>ADIDAS Go-To Women's Polo (Pink)</t>
        </is>
      </c>
      <c r="E2560" s="1" t="inlineStr">
        <is>
          <t>ADIDAS</t>
        </is>
      </c>
      <c r="F2560" s="1" t="inlineStr">
        <is>
          <t>SHORT SLEEVES</t>
        </is>
      </c>
      <c r="G2560" s="1" t="inlineStr">
        <is>
          <t>GF20401205372XS</t>
        </is>
      </c>
      <c r="H2560" s="1" t="n">
        <v>7</v>
      </c>
      <c r="I2560" s="1" t="inlineStr">
        <is>
          <t>มี</t>
        </is>
      </c>
      <c r="J2560" s="13" t="n">
        <v>99</v>
      </c>
      <c r="K2560" s="1" t="inlineStr"/>
      <c r="L2560" s="13" t="n">
        <v>69</v>
      </c>
      <c r="M2560" s="1">
        <f>IF(L2560="","ไม่พบใน SG",IF(ABS(J2560-L2560)&lt;0.005,"ตรงกัน","ไม่ตรง"))</f>
        <v/>
      </c>
      <c r="N2560" s="14">
        <f>IF(L2560="","",ROUND(L2560*'สรุป'!$C$6,-1))</f>
        <v/>
      </c>
      <c r="O2560" s="15" t="n"/>
      <c r="P2560" s="15" t="n"/>
      <c r="Q2560" s="10" t="n"/>
      <c r="R2560" s="10" t="n"/>
      <c r="S2560" s="16" t="inlineStr">
        <is>
          <t>https://mstgolf.co.th/products/gf2040120537</t>
        </is>
      </c>
      <c r="T2560" s="1">
        <f>IF(B2560="ไม้กอล์ฟ",J2560,"")</f>
        <v/>
      </c>
    </row>
    <row r="2561">
      <c r="A2561" s="1" t="n">
        <v>3</v>
      </c>
      <c r="B2561" s="1" t="inlineStr">
        <is>
          <t>เสื้อผ้า</t>
        </is>
      </c>
      <c r="C2561" s="1" t="inlineStr">
        <is>
          <t>gf2060100975</t>
        </is>
      </c>
      <c r="D2561" s="1" t="inlineStr">
        <is>
          <t>ADIDAS RAIN.RDY Men's Jacket (Black)</t>
        </is>
      </c>
      <c r="E2561" s="1" t="inlineStr">
        <is>
          <t>ADIDAS</t>
        </is>
      </c>
      <c r="F2561" s="1" t="inlineStr">
        <is>
          <t>TOP</t>
        </is>
      </c>
      <c r="G2561" s="1" t="inlineStr">
        <is>
          <t>GF2060100975XS</t>
        </is>
      </c>
      <c r="H2561" s="1" t="n">
        <v>7</v>
      </c>
      <c r="I2561" s="1" t="inlineStr">
        <is>
          <t>มี</t>
        </is>
      </c>
      <c r="J2561" s="13" t="n">
        <v>99</v>
      </c>
      <c r="K2561" s="1" t="inlineStr"/>
      <c r="L2561" s="13" t="n">
        <v>99</v>
      </c>
      <c r="M2561" s="1">
        <f>IF(L2561="","ไม่พบใน SG",IF(ABS(J2561-L2561)&lt;0.005,"ตรงกัน","ไม่ตรง"))</f>
        <v/>
      </c>
      <c r="N2561" s="14">
        <f>IF(L2561="","",ROUND(L2561*'สรุป'!$C$6,-1))</f>
        <v/>
      </c>
      <c r="O2561" s="15" t="n"/>
      <c r="P2561" s="15" t="n"/>
      <c r="Q2561" s="10" t="n"/>
      <c r="R2561" s="10" t="n"/>
      <c r="S2561" s="16" t="inlineStr">
        <is>
          <t>https://mstgolf.co.th/products/gf2060100975</t>
        </is>
      </c>
      <c r="T2561" s="1">
        <f>IF(B2561="ไม้กอล์ฟ",J2561,"")</f>
        <v/>
      </c>
    </row>
    <row r="2562">
      <c r="A2562" s="1" t="n">
        <v>3</v>
      </c>
      <c r="B2562" s="1" t="inlineStr">
        <is>
          <t>เสื้อผ้า</t>
        </is>
      </c>
      <c r="C2562" s="1" t="inlineStr">
        <is>
          <t>gf2020202143</t>
        </is>
      </c>
      <c r="D2562" s="1" t="inlineStr">
        <is>
          <t>ADIDAS Ultimate 8.5 inch Men's Shorts (Grey)</t>
        </is>
      </c>
      <c r="E2562" s="1" t="inlineStr">
        <is>
          <t>ADIDAS</t>
        </is>
      </c>
      <c r="F2562" s="1" t="inlineStr">
        <is>
          <t>SHORT PANTS</t>
        </is>
      </c>
      <c r="G2562" s="1" t="inlineStr">
        <is>
          <t>GF202020214373</t>
        </is>
      </c>
      <c r="H2562" s="1" t="n">
        <v>8</v>
      </c>
      <c r="I2562" s="1" t="inlineStr">
        <is>
          <t>มี</t>
        </is>
      </c>
      <c r="J2562" s="13" t="n">
        <v>99</v>
      </c>
      <c r="K2562" s="1" t="inlineStr"/>
      <c r="L2562" s="13" t="n">
        <v>85</v>
      </c>
      <c r="M2562" s="1">
        <f>IF(L2562="","ไม่พบใน SG",IF(ABS(J2562-L2562)&lt;0.005,"ตรงกัน","ไม่ตรง"))</f>
        <v/>
      </c>
      <c r="N2562" s="14">
        <f>IF(L2562="","",ROUND(L2562*'สรุป'!$C$6,-1))</f>
        <v/>
      </c>
      <c r="O2562" s="15" t="n"/>
      <c r="P2562" s="15" t="n"/>
      <c r="Q2562" s="10" t="n"/>
      <c r="R2562" s="10" t="n"/>
      <c r="S2562" s="16" t="inlineStr">
        <is>
          <t>https://mstgolf.co.th/products/gf2020202143</t>
        </is>
      </c>
      <c r="T2562" s="1">
        <f>IF(B2562="ไม้กอล์ฟ",J2562,"")</f>
        <v/>
      </c>
    </row>
    <row r="2563">
      <c r="A2563" s="1" t="n">
        <v>3</v>
      </c>
      <c r="B2563" s="1" t="inlineStr">
        <is>
          <t>เสื้อผ้า</t>
        </is>
      </c>
      <c r="C2563" s="1" t="inlineStr">
        <is>
          <t>gf2020202141</t>
        </is>
      </c>
      <c r="D2563" s="1" t="inlineStr">
        <is>
          <t>ADIDAS Ultimate 8.5" Men's Shorts (Black)</t>
        </is>
      </c>
      <c r="E2563" s="1" t="inlineStr">
        <is>
          <t>ADIDAS</t>
        </is>
      </c>
      <c r="F2563" s="1" t="inlineStr">
        <is>
          <t>SHORT PANTS</t>
        </is>
      </c>
      <c r="G2563" s="1" t="inlineStr">
        <is>
          <t>GF202020214173</t>
        </is>
      </c>
      <c r="H2563" s="1" t="n">
        <v>10</v>
      </c>
      <c r="I2563" s="1" t="inlineStr">
        <is>
          <t>มี</t>
        </is>
      </c>
      <c r="J2563" s="13" t="n">
        <v>99</v>
      </c>
      <c r="K2563" s="1" t="inlineStr"/>
      <c r="L2563" s="13" t="n">
        <v>85</v>
      </c>
      <c r="M2563" s="1">
        <f>IF(L2563="","ไม่พบใน SG",IF(ABS(J2563-L2563)&lt;0.005,"ตรงกัน","ไม่ตรง"))</f>
        <v/>
      </c>
      <c r="N2563" s="14">
        <f>IF(L2563="","",ROUND(L2563*'สรุป'!$C$6,-1))</f>
        <v/>
      </c>
      <c r="O2563" s="15" t="n"/>
      <c r="P2563" s="15" t="n"/>
      <c r="Q2563" s="10" t="n"/>
      <c r="R2563" s="10" t="n"/>
      <c r="S2563" s="16" t="inlineStr">
        <is>
          <t>https://mstgolf.co.th/products/gf2020202141</t>
        </is>
      </c>
      <c r="T2563" s="1">
        <f>IF(B2563="ไม้กอล์ฟ",J2563,"")</f>
        <v/>
      </c>
    </row>
    <row r="2564">
      <c r="A2564" s="1" t="n">
        <v>3</v>
      </c>
      <c r="B2564" s="1" t="inlineStr">
        <is>
          <t>เสื้อผ้า</t>
        </is>
      </c>
      <c r="C2564" s="1" t="inlineStr">
        <is>
          <t>gf2020202142</t>
        </is>
      </c>
      <c r="D2564" s="1" t="inlineStr">
        <is>
          <t>ADIDAS Ultimate 8.5" Men's Shorts (College Navy)</t>
        </is>
      </c>
      <c r="E2564" s="1" t="inlineStr">
        <is>
          <t>ADIDAS</t>
        </is>
      </c>
      <c r="F2564" s="1" t="inlineStr">
        <is>
          <t>SHORT PANTS</t>
        </is>
      </c>
      <c r="G2564" s="1" t="inlineStr">
        <is>
          <t>GF202020214273</t>
        </is>
      </c>
      <c r="H2564" s="1" t="n">
        <v>8</v>
      </c>
      <c r="I2564" s="1" t="inlineStr">
        <is>
          <t>มี</t>
        </is>
      </c>
      <c r="J2564" s="13" t="n">
        <v>99</v>
      </c>
      <c r="K2564" s="1" t="inlineStr"/>
      <c r="L2564" s="13" t="n">
        <v>69</v>
      </c>
      <c r="M2564" s="1">
        <f>IF(L2564="","ไม่พบใน SG",IF(ABS(J2564-L2564)&lt;0.005,"ตรงกัน","ไม่ตรง"))</f>
        <v/>
      </c>
      <c r="N2564" s="14">
        <f>IF(L2564="","",ROUND(L2564*'สรุป'!$C$6,-1))</f>
        <v/>
      </c>
      <c r="O2564" s="15" t="n"/>
      <c r="P2564" s="15" t="n"/>
      <c r="Q2564" s="10" t="n"/>
      <c r="R2564" s="10" t="n"/>
      <c r="S2564" s="16" t="inlineStr">
        <is>
          <t>https://mstgolf.co.th/products/gf2020202142</t>
        </is>
      </c>
      <c r="T2564" s="1">
        <f>IF(B2564="ไม้กอล์ฟ",J2564,"")</f>
        <v/>
      </c>
    </row>
    <row r="2565">
      <c r="A2565" s="1" t="n">
        <v>3</v>
      </c>
      <c r="B2565" s="1" t="inlineStr">
        <is>
          <t>เสื้อผ้า</t>
        </is>
      </c>
      <c r="C2565" s="1" t="inlineStr">
        <is>
          <t>gf2020202667</t>
        </is>
      </c>
      <c r="D2565" s="1" t="inlineStr">
        <is>
          <t>ADIDAS Ultimate365 5-Pocket Men's Shorts (Alumina)</t>
        </is>
      </c>
      <c r="E2565" s="1" t="inlineStr">
        <is>
          <t>ADIDAS</t>
        </is>
      </c>
      <c r="F2565" s="1" t="inlineStr">
        <is>
          <t>SHORT PANTS</t>
        </is>
      </c>
      <c r="G2565" s="1" t="inlineStr">
        <is>
          <t>GF202020266773</t>
        </is>
      </c>
      <c r="H2565" s="1" t="n">
        <v>9</v>
      </c>
      <c r="I2565" s="1" t="inlineStr">
        <is>
          <t>มี</t>
        </is>
      </c>
      <c r="J2565" s="13" t="n">
        <v>99</v>
      </c>
      <c r="K2565" s="1" t="inlineStr"/>
      <c r="L2565" s="13" t="n">
        <v>49</v>
      </c>
      <c r="M2565" s="1">
        <f>IF(L2565="","ไม่พบใน SG",IF(ABS(J2565-L2565)&lt;0.005,"ตรงกัน","ไม่ตรง"))</f>
        <v/>
      </c>
      <c r="N2565" s="14">
        <f>IF(L2565="","",ROUND(L2565*'สรุป'!$C$6,-1))</f>
        <v/>
      </c>
      <c r="O2565" s="15" t="n"/>
      <c r="P2565" s="15" t="n"/>
      <c r="Q2565" s="10" t="n"/>
      <c r="R2565" s="10" t="n"/>
      <c r="S2565" s="16" t="inlineStr">
        <is>
          <t>https://mstgolf.co.th/products/gf2020202667</t>
        </is>
      </c>
      <c r="T2565" s="1">
        <f>IF(B2565="ไม้กอล์ฟ",J2565,"")</f>
        <v/>
      </c>
    </row>
    <row r="2566">
      <c r="A2566" s="1" t="n">
        <v>3</v>
      </c>
      <c r="B2566" s="1" t="inlineStr">
        <is>
          <t>เสื้อผ้า</t>
        </is>
      </c>
      <c r="C2566" s="1" t="inlineStr">
        <is>
          <t>gf2020202851</t>
        </is>
      </c>
      <c r="D2566" s="1" t="inlineStr">
        <is>
          <t>ADIDAS Ultimate365 9" Meltaway Men's Shorts (Cargo)</t>
        </is>
      </c>
      <c r="E2566" s="1" t="inlineStr">
        <is>
          <t>ADIDAS</t>
        </is>
      </c>
      <c r="F2566" s="1" t="inlineStr">
        <is>
          <t>SHORT PANTS</t>
        </is>
      </c>
      <c r="G2566" s="1" t="inlineStr">
        <is>
          <t>GF202020285173</t>
        </is>
      </c>
      <c r="H2566" s="1" t="n">
        <v>8</v>
      </c>
      <c r="I2566" s="1" t="inlineStr">
        <is>
          <t>มี</t>
        </is>
      </c>
      <c r="J2566" s="13" t="n">
        <v>99</v>
      </c>
      <c r="K2566" s="1" t="inlineStr"/>
      <c r="L2566" s="13" t="n">
        <v>99</v>
      </c>
      <c r="M2566" s="1">
        <f>IF(L2566="","ไม่พบใน SG",IF(ABS(J2566-L2566)&lt;0.005,"ตรงกัน","ไม่ตรง"))</f>
        <v/>
      </c>
      <c r="N2566" s="14">
        <f>IF(L2566="","",ROUND(L2566*'สรุป'!$C$6,-1))</f>
        <v/>
      </c>
      <c r="O2566" s="15" t="n"/>
      <c r="P2566" s="15" t="n"/>
      <c r="Q2566" s="10" t="n"/>
      <c r="R2566" s="10" t="n"/>
      <c r="S2566" s="16" t="inlineStr">
        <is>
          <t>https://mstgolf.co.th/products/gf2020202851</t>
        </is>
      </c>
      <c r="T2566" s="1">
        <f>IF(B2566="ไม้กอล์ฟ",J2566,"")</f>
        <v/>
      </c>
    </row>
    <row r="2567">
      <c r="A2567" s="1" t="n">
        <v>3</v>
      </c>
      <c r="B2567" s="1" t="inlineStr">
        <is>
          <t>เสื้อผ้า</t>
        </is>
      </c>
      <c r="C2567" s="1" t="inlineStr">
        <is>
          <t>gf2040120517</t>
        </is>
      </c>
      <c r="D2567" s="1" t="inlineStr">
        <is>
          <t>ADIDAS Ultimate365 Bunker Men's Polo (Mint)</t>
        </is>
      </c>
      <c r="E2567" s="1" t="inlineStr">
        <is>
          <t>ADIDAS</t>
        </is>
      </c>
      <c r="F2567" s="1" t="inlineStr">
        <is>
          <t>SHORT SLEEVES</t>
        </is>
      </c>
      <c r="G2567" s="1" t="inlineStr">
        <is>
          <t>GF20401205172XS</t>
        </is>
      </c>
      <c r="H2567" s="1" t="n">
        <v>9</v>
      </c>
      <c r="I2567" s="1" t="inlineStr">
        <is>
          <t>มี</t>
        </is>
      </c>
      <c r="J2567" s="13" t="n">
        <v>99</v>
      </c>
      <c r="K2567" s="1" t="inlineStr"/>
      <c r="L2567" s="13" t="n">
        <v>69</v>
      </c>
      <c r="M2567" s="1">
        <f>IF(L2567="","ไม่พบใน SG",IF(ABS(J2567-L2567)&lt;0.005,"ตรงกัน","ไม่ตรง"))</f>
        <v/>
      </c>
      <c r="N2567" s="14">
        <f>IF(L2567="","",ROUND(L2567*'สรุป'!$C$6,-1))</f>
        <v/>
      </c>
      <c r="O2567" s="15" t="n"/>
      <c r="P2567" s="15" t="n"/>
      <c r="Q2567" s="10" t="n"/>
      <c r="R2567" s="10" t="n"/>
      <c r="S2567" s="16" t="inlineStr">
        <is>
          <t>https://mstgolf.co.th/products/gf2040120517</t>
        </is>
      </c>
      <c r="T2567" s="1">
        <f>IF(B2567="ไม้กอล์ฟ",J2567,"")</f>
        <v/>
      </c>
    </row>
    <row r="2568">
      <c r="A2568" s="1" t="n">
        <v>3</v>
      </c>
      <c r="B2568" s="1" t="inlineStr">
        <is>
          <t>เสื้อผ้า</t>
        </is>
      </c>
      <c r="C2568" s="1" t="inlineStr">
        <is>
          <t>gf2040120518</t>
        </is>
      </c>
      <c r="D2568" s="1" t="inlineStr">
        <is>
          <t>ADIDAS Ultimate365 Bunker Men's Polo (Pink)</t>
        </is>
      </c>
      <c r="E2568" s="1" t="inlineStr">
        <is>
          <t>ADIDAS</t>
        </is>
      </c>
      <c r="F2568" s="1" t="inlineStr">
        <is>
          <t>SHORT SLEEVES</t>
        </is>
      </c>
      <c r="G2568" s="1" t="inlineStr">
        <is>
          <t>GF20401205182XS</t>
        </is>
      </c>
      <c r="H2568" s="1" t="n">
        <v>9</v>
      </c>
      <c r="I2568" s="1" t="inlineStr">
        <is>
          <t>มี</t>
        </is>
      </c>
      <c r="J2568" s="13" t="n">
        <v>99</v>
      </c>
      <c r="K2568" s="1" t="inlineStr"/>
      <c r="L2568" s="13" t="n">
        <v>69</v>
      </c>
      <c r="M2568" s="1">
        <f>IF(L2568="","ไม่พบใน SG",IF(ABS(J2568-L2568)&lt;0.005,"ตรงกัน","ไม่ตรง"))</f>
        <v/>
      </c>
      <c r="N2568" s="14">
        <f>IF(L2568="","",ROUND(L2568*'สรุป'!$C$6,-1))</f>
        <v/>
      </c>
      <c r="O2568" s="15" t="n"/>
      <c r="P2568" s="15" t="n"/>
      <c r="Q2568" s="10" t="n"/>
      <c r="R2568" s="10" t="n"/>
      <c r="S2568" s="16" t="inlineStr">
        <is>
          <t>https://mstgolf.co.th/products/gf2040120518</t>
        </is>
      </c>
      <c r="T2568" s="1">
        <f>IF(B2568="ไม้กอล์ฟ",J2568,"")</f>
        <v/>
      </c>
    </row>
    <row r="2569">
      <c r="A2569" s="1" t="n">
        <v>3</v>
      </c>
      <c r="B2569" s="1" t="inlineStr">
        <is>
          <t>เสื้อผ้า</t>
        </is>
      </c>
      <c r="C2569" s="1" t="inlineStr">
        <is>
          <t>gf2040120203</t>
        </is>
      </c>
      <c r="D2569" s="1" t="inlineStr">
        <is>
          <t>ADIDAS Ultimate365 Bunker Men's Polo (Plum)</t>
        </is>
      </c>
      <c r="E2569" s="1" t="inlineStr">
        <is>
          <t>ADIDAS</t>
        </is>
      </c>
      <c r="F2569" s="1" t="inlineStr">
        <is>
          <t>SHORT SLEEVES</t>
        </is>
      </c>
      <c r="G2569" s="1" t="inlineStr">
        <is>
          <t>GF20401202032XS</t>
        </is>
      </c>
      <c r="H2569" s="1" t="n">
        <v>9</v>
      </c>
      <c r="I2569" s="1" t="inlineStr">
        <is>
          <t>มี</t>
        </is>
      </c>
      <c r="J2569" s="13" t="n">
        <v>99</v>
      </c>
      <c r="K2569" s="1" t="inlineStr"/>
      <c r="L2569" s="13" t="n">
        <v>69</v>
      </c>
      <c r="M2569" s="1">
        <f>IF(L2569="","ไม่พบใน SG",IF(ABS(J2569-L2569)&lt;0.005,"ตรงกัน","ไม่ตรง"))</f>
        <v/>
      </c>
      <c r="N2569" s="14">
        <f>IF(L2569="","",ROUND(L2569*'สรุป'!$C$6,-1))</f>
        <v/>
      </c>
      <c r="O2569" s="15" t="n"/>
      <c r="P2569" s="15" t="n"/>
      <c r="Q2569" s="10" t="n"/>
      <c r="R2569" s="10" t="n"/>
      <c r="S2569" s="16" t="inlineStr">
        <is>
          <t>https://mstgolf.co.th/products/gf2040120203</t>
        </is>
      </c>
      <c r="T2569" s="1">
        <f>IF(B2569="ไม้กอล์ฟ",J2569,"")</f>
        <v/>
      </c>
    </row>
    <row r="2570">
      <c r="A2570" s="1" t="n">
        <v>3</v>
      </c>
      <c r="B2570" s="1" t="inlineStr">
        <is>
          <t>เสื้อผ้า</t>
        </is>
      </c>
      <c r="C2570" s="1" t="inlineStr">
        <is>
          <t>gf2040120202</t>
        </is>
      </c>
      <c r="D2570" s="1" t="inlineStr">
        <is>
          <t>ADIDAS Ultimate365 Bunker Men's Polo (Teal)</t>
        </is>
      </c>
      <c r="E2570" s="1" t="inlineStr">
        <is>
          <t>ADIDAS</t>
        </is>
      </c>
      <c r="F2570" s="1" t="inlineStr">
        <is>
          <t>SHORT SLEEVES</t>
        </is>
      </c>
      <c r="G2570" s="1" t="inlineStr">
        <is>
          <t>GF20401202022XS</t>
        </is>
      </c>
      <c r="H2570" s="1" t="n">
        <v>9</v>
      </c>
      <c r="I2570" s="1" t="inlineStr">
        <is>
          <t>มี</t>
        </is>
      </c>
      <c r="J2570" s="13" t="n">
        <v>99</v>
      </c>
      <c r="K2570" s="1" t="inlineStr"/>
      <c r="L2570" s="13" t="n">
        <v>69</v>
      </c>
      <c r="M2570" s="1">
        <f>IF(L2570="","ไม่พบใน SG",IF(ABS(J2570-L2570)&lt;0.005,"ตรงกัน","ไม่ตรง"))</f>
        <v/>
      </c>
      <c r="N2570" s="14">
        <f>IF(L2570="","",ROUND(L2570*'สรุป'!$C$6,-1))</f>
        <v/>
      </c>
      <c r="O2570" s="15" t="n"/>
      <c r="P2570" s="15" t="n"/>
      <c r="Q2570" s="10" t="n"/>
      <c r="R2570" s="10" t="n"/>
      <c r="S2570" s="16" t="inlineStr">
        <is>
          <t>https://mstgolf.co.th/products/gf2040120202</t>
        </is>
      </c>
      <c r="T2570" s="1">
        <f>IF(B2570="ไม้กอล์ฟ",J2570,"")</f>
        <v/>
      </c>
    </row>
    <row r="2571">
      <c r="A2571" s="1" t="n">
        <v>3</v>
      </c>
      <c r="B2571" s="1" t="inlineStr">
        <is>
          <t>เสื้อผ้า</t>
        </is>
      </c>
      <c r="C2571" s="1" t="inlineStr">
        <is>
          <t>gf2020300138</t>
        </is>
      </c>
      <c r="D2571" s="1" t="inlineStr">
        <is>
          <t>ADIDAS Ultimate365 Frilled Skort (Black)</t>
        </is>
      </c>
      <c r="E2571" s="1" t="inlineStr">
        <is>
          <t>ADIDAS</t>
        </is>
      </c>
      <c r="F2571" s="1" t="inlineStr">
        <is>
          <t>SKORTS</t>
        </is>
      </c>
      <c r="G2571" s="1" t="inlineStr">
        <is>
          <t>GF20203001382XS</t>
        </is>
      </c>
      <c r="H2571" s="1" t="n">
        <v>7</v>
      </c>
      <c r="I2571" s="1" t="inlineStr">
        <is>
          <t>มี</t>
        </is>
      </c>
      <c r="J2571" s="13" t="n">
        <v>99</v>
      </c>
      <c r="K2571" s="1" t="inlineStr"/>
      <c r="L2571" s="13" t="n">
        <v>69</v>
      </c>
      <c r="M2571" s="1">
        <f>IF(L2571="","ไม่พบใน SG",IF(ABS(J2571-L2571)&lt;0.005,"ตรงกัน","ไม่ตรง"))</f>
        <v/>
      </c>
      <c r="N2571" s="14">
        <f>IF(L2571="","",ROUND(L2571*'สรุป'!$C$6,-1))</f>
        <v/>
      </c>
      <c r="O2571" s="15" t="n"/>
      <c r="P2571" s="15" t="n"/>
      <c r="Q2571" s="10" t="n"/>
      <c r="R2571" s="10" t="n"/>
      <c r="S2571" s="16" t="inlineStr">
        <is>
          <t>https://mstgolf.co.th/products/gf2020300138</t>
        </is>
      </c>
      <c r="T2571" s="1">
        <f>IF(B2571="ไม้กอล์ฟ",J2571,"")</f>
        <v/>
      </c>
    </row>
    <row r="2572">
      <c r="A2572" s="1" t="n">
        <v>3</v>
      </c>
      <c r="B2572" s="1" t="inlineStr">
        <is>
          <t>เสื้อผ้า</t>
        </is>
      </c>
      <c r="C2572" s="1" t="inlineStr">
        <is>
          <t>gf2020300137</t>
        </is>
      </c>
      <c r="D2572" s="1" t="inlineStr">
        <is>
          <t>ADIDAS Ultimate365 Frilled Skort (Pink)</t>
        </is>
      </c>
      <c r="E2572" s="1" t="inlineStr">
        <is>
          <t>ADIDAS</t>
        </is>
      </c>
      <c r="F2572" s="1" t="inlineStr">
        <is>
          <t>SKORTS</t>
        </is>
      </c>
      <c r="G2572" s="1" t="inlineStr">
        <is>
          <t>GF20203001372XS</t>
        </is>
      </c>
      <c r="H2572" s="1" t="n">
        <v>7</v>
      </c>
      <c r="I2572" s="1" t="inlineStr">
        <is>
          <t>มี</t>
        </is>
      </c>
      <c r="J2572" s="13" t="n">
        <v>99</v>
      </c>
      <c r="K2572" s="1" t="inlineStr"/>
      <c r="L2572" s="13" t="n">
        <v>69</v>
      </c>
      <c r="M2572" s="1">
        <f>IF(L2572="","ไม่พบใน SG",IF(ABS(J2572-L2572)&lt;0.005,"ตรงกัน","ไม่ตรง"))</f>
        <v/>
      </c>
      <c r="N2572" s="14">
        <f>IF(L2572="","",ROUND(L2572*'สรุป'!$C$6,-1))</f>
        <v/>
      </c>
      <c r="O2572" s="15" t="n"/>
      <c r="P2572" s="15" t="n"/>
      <c r="Q2572" s="10" t="n"/>
      <c r="R2572" s="10" t="n"/>
      <c r="S2572" s="16" t="inlineStr">
        <is>
          <t>https://mstgolf.co.th/products/gf2020300137</t>
        </is>
      </c>
      <c r="T2572" s="1">
        <f>IF(B2572="ไม้กอล์ฟ",J2572,"")</f>
        <v/>
      </c>
    </row>
    <row r="2573">
      <c r="A2573" s="1" t="n">
        <v>3</v>
      </c>
      <c r="B2573" s="1" t="inlineStr">
        <is>
          <t>เสื้อผ้า</t>
        </is>
      </c>
      <c r="C2573" s="1" t="inlineStr">
        <is>
          <t>gf2020300136</t>
        </is>
      </c>
      <c r="D2573" s="1" t="inlineStr">
        <is>
          <t>ADIDAS Ultimate365 Frilled Skort (White)</t>
        </is>
      </c>
      <c r="E2573" s="1" t="inlineStr">
        <is>
          <t>ADIDAS</t>
        </is>
      </c>
      <c r="F2573" s="1" t="inlineStr">
        <is>
          <t>SKORTS</t>
        </is>
      </c>
      <c r="G2573" s="1" t="inlineStr">
        <is>
          <t>GF20203001362XS</t>
        </is>
      </c>
      <c r="H2573" s="1" t="n">
        <v>7</v>
      </c>
      <c r="I2573" s="1" t="inlineStr">
        <is>
          <t>มี</t>
        </is>
      </c>
      <c r="J2573" s="13" t="n">
        <v>99</v>
      </c>
      <c r="K2573" s="1" t="inlineStr"/>
      <c r="L2573" s="13" t="n">
        <v>69</v>
      </c>
      <c r="M2573" s="1">
        <f>IF(L2573="","ไม่พบใน SG",IF(ABS(J2573-L2573)&lt;0.005,"ตรงกัน","ไม่ตรง"))</f>
        <v/>
      </c>
      <c r="N2573" s="14">
        <f>IF(L2573="","",ROUND(L2573*'สรุป'!$C$6,-1))</f>
        <v/>
      </c>
      <c r="O2573" s="15" t="n"/>
      <c r="P2573" s="15" t="n"/>
      <c r="Q2573" s="10" t="n"/>
      <c r="R2573" s="10" t="n"/>
      <c r="S2573" s="16" t="inlineStr">
        <is>
          <t>https://mstgolf.co.th/products/gf2020300136</t>
        </is>
      </c>
      <c r="T2573" s="1">
        <f>IF(B2573="ไม้กอล์ฟ",J2573,"")</f>
        <v/>
      </c>
    </row>
    <row r="2574">
      <c r="A2574" s="1" t="n">
        <v>3</v>
      </c>
      <c r="B2574" s="1" t="inlineStr">
        <is>
          <t>เสื้อผ้า</t>
        </is>
      </c>
      <c r="C2574" s="1" t="inlineStr">
        <is>
          <t>gf2020300140</t>
        </is>
      </c>
      <c r="D2574" s="1" t="inlineStr">
        <is>
          <t>ADIDAS Ultimate365 Gradient Skort (Black)</t>
        </is>
      </c>
      <c r="E2574" s="1" t="inlineStr">
        <is>
          <t>ADIDAS</t>
        </is>
      </c>
      <c r="F2574" s="1" t="inlineStr">
        <is>
          <t>SKORTS</t>
        </is>
      </c>
      <c r="G2574" s="1" t="inlineStr">
        <is>
          <t>GF2020300140XS</t>
        </is>
      </c>
      <c r="H2574" s="1" t="n">
        <v>7</v>
      </c>
      <c r="I2574" s="1" t="inlineStr">
        <is>
          <t>มี</t>
        </is>
      </c>
      <c r="J2574" s="13" t="n">
        <v>99</v>
      </c>
      <c r="K2574" s="1" t="inlineStr"/>
      <c r="L2574" s="13" t="n">
        <v>49</v>
      </c>
      <c r="M2574" s="1">
        <f>IF(L2574="","ไม่พบใน SG",IF(ABS(J2574-L2574)&lt;0.005,"ตรงกัน","ไม่ตรง"))</f>
        <v/>
      </c>
      <c r="N2574" s="14">
        <f>IF(L2574="","",ROUND(L2574*'สรุป'!$C$6,-1))</f>
        <v/>
      </c>
      <c r="O2574" s="15" t="n"/>
      <c r="P2574" s="15" t="n"/>
      <c r="Q2574" s="10" t="n"/>
      <c r="R2574" s="10" t="n"/>
      <c r="S2574" s="16" t="inlineStr">
        <is>
          <t>https://mstgolf.co.th/products/gf2020300140</t>
        </is>
      </c>
      <c r="T2574" s="1">
        <f>IF(B2574="ไม้กอล์ฟ",J2574,"")</f>
        <v/>
      </c>
    </row>
    <row r="2575">
      <c r="A2575" s="1" t="n">
        <v>3</v>
      </c>
      <c r="B2575" s="1" t="inlineStr">
        <is>
          <t>เสื้อผ้า</t>
        </is>
      </c>
      <c r="C2575" s="1" t="inlineStr">
        <is>
          <t>gf2040120508</t>
        </is>
      </c>
      <c r="D2575" s="1" t="inlineStr">
        <is>
          <t>ADIDAS Ultimate365 Hounds Jacquard Men's Polo (Aqua)</t>
        </is>
      </c>
      <c r="E2575" s="1" t="inlineStr">
        <is>
          <t>ADIDAS</t>
        </is>
      </c>
      <c r="F2575" s="1" t="inlineStr">
        <is>
          <t>SHORT SLEEVES</t>
        </is>
      </c>
      <c r="G2575" s="1" t="inlineStr">
        <is>
          <t>GF20401205082XS</t>
        </is>
      </c>
      <c r="H2575" s="1" t="n">
        <v>7</v>
      </c>
      <c r="I2575" s="1" t="inlineStr">
        <is>
          <t>มี</t>
        </is>
      </c>
      <c r="J2575" s="13" t="n">
        <v>99</v>
      </c>
      <c r="K2575" s="1" t="inlineStr"/>
      <c r="L2575" s="13" t="n">
        <v>69</v>
      </c>
      <c r="M2575" s="1">
        <f>IF(L2575="","ไม่พบใน SG",IF(ABS(J2575-L2575)&lt;0.005,"ตรงกัน","ไม่ตรง"))</f>
        <v/>
      </c>
      <c r="N2575" s="14">
        <f>IF(L2575="","",ROUND(L2575*'สรุป'!$C$6,-1))</f>
        <v/>
      </c>
      <c r="O2575" s="15" t="n"/>
      <c r="P2575" s="15" t="n"/>
      <c r="Q2575" s="10" t="n"/>
      <c r="R2575" s="10" t="n"/>
      <c r="S2575" s="16" t="inlineStr">
        <is>
          <t>https://mstgolf.co.th/products/gf2040120508</t>
        </is>
      </c>
      <c r="T2575" s="1">
        <f>IF(B2575="ไม้กอล์ฟ",J2575,"")</f>
        <v/>
      </c>
    </row>
    <row r="2576">
      <c r="A2576" s="1" t="n">
        <v>3</v>
      </c>
      <c r="B2576" s="1" t="inlineStr">
        <is>
          <t>เสื้อผ้า</t>
        </is>
      </c>
      <c r="C2576" s="1" t="inlineStr">
        <is>
          <t>gf2040120507</t>
        </is>
      </c>
      <c r="D2576" s="1" t="inlineStr">
        <is>
          <t>ADIDAS Ultimate365 Hounds Jacquard Men's Polo (Navy)</t>
        </is>
      </c>
      <c r="E2576" s="1" t="inlineStr">
        <is>
          <t>ADIDAS</t>
        </is>
      </c>
      <c r="F2576" s="1" t="inlineStr">
        <is>
          <t>SHORT SLEEVES</t>
        </is>
      </c>
      <c r="G2576" s="1" t="inlineStr">
        <is>
          <t>GF20401205072XS</t>
        </is>
      </c>
      <c r="H2576" s="1" t="n">
        <v>7</v>
      </c>
      <c r="I2576" s="1" t="inlineStr">
        <is>
          <t>มี</t>
        </is>
      </c>
      <c r="J2576" s="13" t="n">
        <v>99</v>
      </c>
      <c r="K2576" s="1" t="inlineStr"/>
      <c r="L2576" s="13" t="n">
        <v>69</v>
      </c>
      <c r="M2576" s="1">
        <f>IF(L2576="","ไม่พบใน SG",IF(ABS(J2576-L2576)&lt;0.005,"ตรงกัน","ไม่ตรง"))</f>
        <v/>
      </c>
      <c r="N2576" s="14">
        <f>IF(L2576="","",ROUND(L2576*'สรุป'!$C$6,-1))</f>
        <v/>
      </c>
      <c r="O2576" s="15" t="n"/>
      <c r="P2576" s="15" t="n"/>
      <c r="Q2576" s="10" t="n"/>
      <c r="R2576" s="10" t="n"/>
      <c r="S2576" s="16" t="inlineStr">
        <is>
          <t>https://mstgolf.co.th/products/gf2040120507</t>
        </is>
      </c>
      <c r="T2576" s="1">
        <f>IF(B2576="ไม้กอล์ฟ",J2576,"")</f>
        <v/>
      </c>
    </row>
    <row r="2577">
      <c r="A2577" s="1" t="n">
        <v>3</v>
      </c>
      <c r="B2577" s="1" t="inlineStr">
        <is>
          <t>เสื้อผ้า</t>
        </is>
      </c>
      <c r="C2577" s="1" t="inlineStr">
        <is>
          <t>gf2040120510</t>
        </is>
      </c>
      <c r="D2577" s="1" t="inlineStr">
        <is>
          <t>ADIDAS Ultimate365 Mesh Glimmer Print Men's Polo (Aurora)</t>
        </is>
      </c>
      <c r="E2577" s="1" t="inlineStr">
        <is>
          <t>ADIDAS</t>
        </is>
      </c>
      <c r="F2577" s="1" t="inlineStr">
        <is>
          <t>SHORT SLEEVES</t>
        </is>
      </c>
      <c r="G2577" s="1" t="inlineStr">
        <is>
          <t>GF20401205102XS</t>
        </is>
      </c>
      <c r="H2577" s="1" t="n">
        <v>7</v>
      </c>
      <c r="I2577" s="1" t="inlineStr">
        <is>
          <t>มี</t>
        </is>
      </c>
      <c r="J2577" s="13" t="n">
        <v>99</v>
      </c>
      <c r="K2577" s="1" t="inlineStr"/>
      <c r="L2577" s="13" t="n">
        <v>69</v>
      </c>
      <c r="M2577" s="1">
        <f>IF(L2577="","ไม่พบใน SG",IF(ABS(J2577-L2577)&lt;0.005,"ตรงกัน","ไม่ตรง"))</f>
        <v/>
      </c>
      <c r="N2577" s="14">
        <f>IF(L2577="","",ROUND(L2577*'สรุป'!$C$6,-1))</f>
        <v/>
      </c>
      <c r="O2577" s="15" t="n"/>
      <c r="P2577" s="15" t="n"/>
      <c r="Q2577" s="10" t="n"/>
      <c r="R2577" s="10" t="n"/>
      <c r="S2577" s="16" t="inlineStr">
        <is>
          <t>https://mstgolf.co.th/products/gf2040120510</t>
        </is>
      </c>
      <c r="T2577" s="1">
        <f>IF(B2577="ไม้กอล์ฟ",J2577,"")</f>
        <v/>
      </c>
    </row>
    <row r="2578">
      <c r="A2578" s="1" t="n">
        <v>3</v>
      </c>
      <c r="B2578" s="1" t="inlineStr">
        <is>
          <t>เสื้อผ้า</t>
        </is>
      </c>
      <c r="C2578" s="1" t="inlineStr">
        <is>
          <t>gf2040120509</t>
        </is>
      </c>
      <c r="D2578" s="1" t="inlineStr">
        <is>
          <t>ADIDAS Ultimate365 Mesh Glimmer Print Men's Polo (Navy)</t>
        </is>
      </c>
      <c r="E2578" s="1" t="inlineStr">
        <is>
          <t>ADIDAS</t>
        </is>
      </c>
      <c r="F2578" s="1" t="inlineStr">
        <is>
          <t>SHORT SLEEVES</t>
        </is>
      </c>
      <c r="G2578" s="1" t="inlineStr">
        <is>
          <t>GF20401205092XS</t>
        </is>
      </c>
      <c r="H2578" s="1" t="n">
        <v>7</v>
      </c>
      <c r="I2578" s="1" t="inlineStr">
        <is>
          <t>มี</t>
        </is>
      </c>
      <c r="J2578" s="13" t="n">
        <v>99</v>
      </c>
      <c r="K2578" s="1" t="inlineStr"/>
      <c r="L2578" s="13" t="n">
        <v>69</v>
      </c>
      <c r="M2578" s="1">
        <f>IF(L2578="","ไม่พบใน SG",IF(ABS(J2578-L2578)&lt;0.005,"ตรงกัน","ไม่ตรง"))</f>
        <v/>
      </c>
      <c r="N2578" s="14">
        <f>IF(L2578="","",ROUND(L2578*'สรุป'!$C$6,-1))</f>
        <v/>
      </c>
      <c r="O2578" s="15" t="n"/>
      <c r="P2578" s="15" t="n"/>
      <c r="Q2578" s="10" t="n"/>
      <c r="R2578" s="10" t="n"/>
      <c r="S2578" s="16" t="inlineStr">
        <is>
          <t>https://mstgolf.co.th/products/gf2040120509</t>
        </is>
      </c>
      <c r="T2578" s="1">
        <f>IF(B2578="ไม้กอล์ฟ",J2578,"")</f>
        <v/>
      </c>
    </row>
    <row r="2579">
      <c r="A2579" s="1" t="n">
        <v>3</v>
      </c>
      <c r="B2579" s="1" t="inlineStr">
        <is>
          <t>เสื้อผ้า</t>
        </is>
      </c>
      <c r="C2579" s="1" t="inlineStr">
        <is>
          <t>gf2040120511</t>
        </is>
      </c>
      <c r="D2579" s="1" t="inlineStr">
        <is>
          <t>ADIDAS Ultimate365 Mesh Radiant Print Men's Polo (Teal)</t>
        </is>
      </c>
      <c r="E2579" s="1" t="inlineStr">
        <is>
          <t>ADIDAS</t>
        </is>
      </c>
      <c r="F2579" s="1" t="inlineStr">
        <is>
          <t>SHORT SLEEVES</t>
        </is>
      </c>
      <c r="G2579" s="1" t="inlineStr">
        <is>
          <t>GF20401205112XS</t>
        </is>
      </c>
      <c r="H2579" s="1" t="n">
        <v>7</v>
      </c>
      <c r="I2579" s="1" t="inlineStr">
        <is>
          <t>มี</t>
        </is>
      </c>
      <c r="J2579" s="13" t="n">
        <v>99</v>
      </c>
      <c r="K2579" s="1" t="inlineStr"/>
      <c r="L2579" s="13" t="n"/>
      <c r="M2579" s="1">
        <f>IF(L2579="","ไม่พบใน SG",IF(ABS(J2579-L2579)&lt;0.005,"ตรงกัน","ไม่ตรง"))</f>
        <v/>
      </c>
      <c r="N2579" s="14">
        <f>IF(L2579="","",ROUND(L2579*'สรุป'!$C$6,-1))</f>
        <v/>
      </c>
      <c r="O2579" s="15" t="n"/>
      <c r="P2579" s="15" t="n"/>
      <c r="Q2579" s="10" t="n"/>
      <c r="R2579" s="10" t="n"/>
      <c r="S2579" s="16" t="inlineStr">
        <is>
          <t>https://mstgolf.co.th/products/gf2040120511</t>
        </is>
      </c>
      <c r="T2579" s="1">
        <f>IF(B2579="ไม้กอล์ฟ",J2579,"")</f>
        <v/>
      </c>
    </row>
    <row r="2580">
      <c r="A2580" s="1" t="n">
        <v>3</v>
      </c>
      <c r="B2580" s="1" t="inlineStr">
        <is>
          <t>เสื้อผ้า</t>
        </is>
      </c>
      <c r="C2580" s="1" t="inlineStr">
        <is>
          <t>gf2040120512</t>
        </is>
      </c>
      <c r="D2580" s="1" t="inlineStr">
        <is>
          <t>ADIDAS Ultimate365 Mesh Radiant Print Men's Polo (Violet)</t>
        </is>
      </c>
      <c r="E2580" s="1" t="inlineStr">
        <is>
          <t>ADIDAS</t>
        </is>
      </c>
      <c r="F2580" s="1" t="inlineStr">
        <is>
          <t>SHORT SLEEVES</t>
        </is>
      </c>
      <c r="G2580" s="1" t="inlineStr">
        <is>
          <t>GF20401205122XS</t>
        </is>
      </c>
      <c r="H2580" s="1" t="n">
        <v>7</v>
      </c>
      <c r="I2580" s="1" t="inlineStr">
        <is>
          <t>มี</t>
        </is>
      </c>
      <c r="J2580" s="13" t="n">
        <v>99</v>
      </c>
      <c r="K2580" s="1" t="inlineStr"/>
      <c r="L2580" s="13" t="n">
        <v>49</v>
      </c>
      <c r="M2580" s="1">
        <f>IF(L2580="","ไม่พบใน SG",IF(ABS(J2580-L2580)&lt;0.005,"ตรงกัน","ไม่ตรง"))</f>
        <v/>
      </c>
      <c r="N2580" s="14">
        <f>IF(L2580="","",ROUND(L2580*'สรุป'!$C$6,-1))</f>
        <v/>
      </c>
      <c r="O2580" s="15" t="n"/>
      <c r="P2580" s="15" t="n"/>
      <c r="Q2580" s="10" t="n"/>
      <c r="R2580" s="10" t="n"/>
      <c r="S2580" s="16" t="inlineStr">
        <is>
          <t>https://mstgolf.co.th/products/gf2040120512</t>
        </is>
      </c>
      <c r="T2580" s="1">
        <f>IF(B2580="ไม้กอล์ฟ",J2580,"")</f>
        <v/>
      </c>
    </row>
    <row r="2581">
      <c r="A2581" s="1" t="n">
        <v>3</v>
      </c>
      <c r="B2581" s="1" t="inlineStr">
        <is>
          <t>เสื้อผ้า</t>
        </is>
      </c>
      <c r="C2581" s="1" t="inlineStr">
        <is>
          <t>gf2040120515</t>
        </is>
      </c>
      <c r="D2581" s="1" t="inlineStr">
        <is>
          <t>ADIDAS Ultimate365 Micro Argyle Men's Polo (Black)</t>
        </is>
      </c>
      <c r="E2581" s="1" t="inlineStr">
        <is>
          <t>ADIDAS</t>
        </is>
      </c>
      <c r="F2581" s="1" t="inlineStr">
        <is>
          <t>SHORT SLEEVES</t>
        </is>
      </c>
      <c r="G2581" s="1" t="inlineStr">
        <is>
          <t>GF20401205152XS</t>
        </is>
      </c>
      <c r="H2581" s="1" t="n">
        <v>7</v>
      </c>
      <c r="I2581" s="1" t="inlineStr">
        <is>
          <t>มี</t>
        </is>
      </c>
      <c r="J2581" s="13" t="n">
        <v>99</v>
      </c>
      <c r="K2581" s="1" t="inlineStr"/>
      <c r="L2581" s="13" t="n">
        <v>69</v>
      </c>
      <c r="M2581" s="1">
        <f>IF(L2581="","ไม่พบใน SG",IF(ABS(J2581-L2581)&lt;0.005,"ตรงกัน","ไม่ตรง"))</f>
        <v/>
      </c>
      <c r="N2581" s="14">
        <f>IF(L2581="","",ROUND(L2581*'สรุป'!$C$6,-1))</f>
        <v/>
      </c>
      <c r="O2581" s="15" t="n"/>
      <c r="P2581" s="15" t="n"/>
      <c r="Q2581" s="10" t="n"/>
      <c r="R2581" s="10" t="n"/>
      <c r="S2581" s="16" t="inlineStr">
        <is>
          <t>https://mstgolf.co.th/products/gf2040120515</t>
        </is>
      </c>
      <c r="T2581" s="1">
        <f>IF(B2581="ไม้กอล์ฟ",J2581,"")</f>
        <v/>
      </c>
    </row>
    <row r="2582">
      <c r="A2582" s="1" t="n">
        <v>3</v>
      </c>
      <c r="B2582" s="1" t="inlineStr">
        <is>
          <t>เสื้อผ้า</t>
        </is>
      </c>
      <c r="C2582" s="1" t="inlineStr">
        <is>
          <t>gf2040120513</t>
        </is>
      </c>
      <c r="D2582" s="1" t="inlineStr">
        <is>
          <t>ADIDAS Ultimate365 Micro Argyle Men's Polo (Navy)</t>
        </is>
      </c>
      <c r="E2582" s="1" t="inlineStr">
        <is>
          <t>ADIDAS</t>
        </is>
      </c>
      <c r="F2582" s="1" t="inlineStr">
        <is>
          <t>SHORT SLEEVES</t>
        </is>
      </c>
      <c r="G2582" s="1" t="inlineStr">
        <is>
          <t>GF20401205132XS</t>
        </is>
      </c>
      <c r="H2582" s="1" t="n">
        <v>7</v>
      </c>
      <c r="I2582" s="1" t="inlineStr">
        <is>
          <t>มี</t>
        </is>
      </c>
      <c r="J2582" s="13" t="n">
        <v>99</v>
      </c>
      <c r="K2582" s="1" t="inlineStr"/>
      <c r="L2582" s="13" t="n">
        <v>69</v>
      </c>
      <c r="M2582" s="1">
        <f>IF(L2582="","ไม่พบใน SG",IF(ABS(J2582-L2582)&lt;0.005,"ตรงกัน","ไม่ตรง"))</f>
        <v/>
      </c>
      <c r="N2582" s="14">
        <f>IF(L2582="","",ROUND(L2582*'สรุป'!$C$6,-1))</f>
        <v/>
      </c>
      <c r="O2582" s="15" t="n"/>
      <c r="P2582" s="15" t="n"/>
      <c r="Q2582" s="10" t="n"/>
      <c r="R2582" s="10" t="n"/>
      <c r="S2582" s="16" t="inlineStr">
        <is>
          <t>https://mstgolf.co.th/products/gf2040120513</t>
        </is>
      </c>
      <c r="T2582" s="1">
        <f>IF(B2582="ไม้กอล์ฟ",J2582,"")</f>
        <v/>
      </c>
    </row>
    <row r="2583">
      <c r="A2583" s="1" t="n">
        <v>3</v>
      </c>
      <c r="B2583" s="1" t="inlineStr">
        <is>
          <t>เสื้อผ้า</t>
        </is>
      </c>
      <c r="C2583" s="1" t="inlineStr">
        <is>
          <t>gf2040120516</t>
        </is>
      </c>
      <c r="D2583" s="1" t="inlineStr">
        <is>
          <t>ADIDAS Ultimate365 Micro Argyle Men's Polo (Pink)</t>
        </is>
      </c>
      <c r="E2583" s="1" t="inlineStr">
        <is>
          <t>ADIDAS</t>
        </is>
      </c>
      <c r="F2583" s="1" t="inlineStr">
        <is>
          <t>SHORT SLEEVES</t>
        </is>
      </c>
      <c r="G2583" s="1" t="inlineStr">
        <is>
          <t>GF20401205162XS</t>
        </is>
      </c>
      <c r="H2583" s="1" t="n">
        <v>7</v>
      </c>
      <c r="I2583" s="1" t="inlineStr">
        <is>
          <t>มี</t>
        </is>
      </c>
      <c r="J2583" s="13" t="n">
        <v>99</v>
      </c>
      <c r="K2583" s="1" t="inlineStr"/>
      <c r="L2583" s="13" t="n">
        <v>69</v>
      </c>
      <c r="M2583" s="1">
        <f>IF(L2583="","ไม่พบใน SG",IF(ABS(J2583-L2583)&lt;0.005,"ตรงกัน","ไม่ตรง"))</f>
        <v/>
      </c>
      <c r="N2583" s="14">
        <f>IF(L2583="","",ROUND(L2583*'สรุป'!$C$6,-1))</f>
        <v/>
      </c>
      <c r="O2583" s="15" t="n"/>
      <c r="P2583" s="15" t="n"/>
      <c r="Q2583" s="10" t="n"/>
      <c r="R2583" s="10" t="n"/>
      <c r="S2583" s="16" t="inlineStr">
        <is>
          <t>https://mstgolf.co.th/products/gf2040120516</t>
        </is>
      </c>
      <c r="T2583" s="1">
        <f>IF(B2583="ไม้กอล์ฟ",J2583,"")</f>
        <v/>
      </c>
    </row>
    <row r="2584">
      <c r="A2584" s="1" t="n">
        <v>3</v>
      </c>
      <c r="B2584" s="1" t="inlineStr">
        <is>
          <t>เสื้อผ้า</t>
        </is>
      </c>
      <c r="C2584" s="1" t="inlineStr">
        <is>
          <t>gf2040120514</t>
        </is>
      </c>
      <c r="D2584" s="1" t="inlineStr">
        <is>
          <t>ADIDAS Ultimate365 Micro Argyle Men's Polo (White)</t>
        </is>
      </c>
      <c r="E2584" s="1" t="inlineStr">
        <is>
          <t>ADIDAS</t>
        </is>
      </c>
      <c r="F2584" s="1" t="inlineStr">
        <is>
          <t>SHORT SLEEVES</t>
        </is>
      </c>
      <c r="G2584" s="1" t="inlineStr">
        <is>
          <t>GF20401205142XS</t>
        </is>
      </c>
      <c r="H2584" s="1" t="n">
        <v>7</v>
      </c>
      <c r="I2584" s="1" t="inlineStr">
        <is>
          <t>มี</t>
        </is>
      </c>
      <c r="J2584" s="13" t="n">
        <v>99</v>
      </c>
      <c r="K2584" s="1" t="inlineStr"/>
      <c r="L2584" s="13" t="n">
        <v>69</v>
      </c>
      <c r="M2584" s="1">
        <f>IF(L2584="","ไม่พบใน SG",IF(ABS(J2584-L2584)&lt;0.005,"ตรงกัน","ไม่ตรง"))</f>
        <v/>
      </c>
      <c r="N2584" s="14">
        <f>IF(L2584="","",ROUND(L2584*'สรุป'!$C$6,-1))</f>
        <v/>
      </c>
      <c r="O2584" s="15" t="n"/>
      <c r="P2584" s="15" t="n"/>
      <c r="Q2584" s="10" t="n"/>
      <c r="R2584" s="10" t="n"/>
      <c r="S2584" s="16" t="inlineStr">
        <is>
          <t>https://mstgolf.co.th/products/gf2040120514</t>
        </is>
      </c>
      <c r="T2584" s="1">
        <f>IF(B2584="ไม้กอล์ฟ",J2584,"")</f>
        <v/>
      </c>
    </row>
    <row r="2585">
      <c r="A2585" s="1" t="n">
        <v>3</v>
      </c>
      <c r="B2585" s="1" t="inlineStr">
        <is>
          <t>เสื้อผ้า</t>
        </is>
      </c>
      <c r="C2585" s="1" t="inlineStr">
        <is>
          <t>gf2020102621</t>
        </is>
      </c>
      <c r="D2585" s="1" t="inlineStr">
        <is>
          <t>ADIDAS Ultimate365 Solid WomenÆs Ankle Pants (Navy)</t>
        </is>
      </c>
      <c r="E2585" s="1" t="inlineStr">
        <is>
          <t>ADIDAS</t>
        </is>
      </c>
      <c r="F2585" s="1" t="inlineStr">
        <is>
          <t>LONG PANTS</t>
        </is>
      </c>
      <c r="G2585" s="1" t="inlineStr">
        <is>
          <t>GF20201026212XS</t>
        </is>
      </c>
      <c r="H2585" s="1" t="n">
        <v>7</v>
      </c>
      <c r="I2585" s="1" t="inlineStr">
        <is>
          <t>มี</t>
        </is>
      </c>
      <c r="J2585" s="13" t="n">
        <v>99</v>
      </c>
      <c r="K2585" s="1" t="inlineStr"/>
      <c r="L2585" s="13" t="n">
        <v>69</v>
      </c>
      <c r="M2585" s="1">
        <f>IF(L2585="","ไม่พบใน SG",IF(ABS(J2585-L2585)&lt;0.005,"ตรงกัน","ไม่ตรง"))</f>
        <v/>
      </c>
      <c r="N2585" s="14">
        <f>IF(L2585="","",ROUND(L2585*'สรุป'!$C$6,-1))</f>
        <v/>
      </c>
      <c r="O2585" s="15" t="n"/>
      <c r="P2585" s="15" t="n"/>
      <c r="Q2585" s="10" t="n"/>
      <c r="R2585" s="10" t="n"/>
      <c r="S2585" s="16" t="inlineStr">
        <is>
          <t>https://mstgolf.co.th/products/gf2020102621</t>
        </is>
      </c>
      <c r="T2585" s="1">
        <f>IF(B2585="ไม้กอล์ฟ",J2585,"")</f>
        <v/>
      </c>
    </row>
    <row r="2586">
      <c r="A2586" s="1" t="n">
        <v>3</v>
      </c>
      <c r="B2586" s="1" t="inlineStr">
        <is>
          <t>เสื้อผ้า</t>
        </is>
      </c>
      <c r="C2586" s="1" t="inlineStr">
        <is>
          <t>gf2040120521</t>
        </is>
      </c>
      <c r="D2586" s="1" t="inlineStr">
        <is>
          <t>ADIDAS Ultimate365 Stripe Men's Polo (Aurora)</t>
        </is>
      </c>
      <c r="E2586" s="1" t="inlineStr">
        <is>
          <t>ADIDAS</t>
        </is>
      </c>
      <c r="F2586" s="1" t="inlineStr">
        <is>
          <t>SHORT SLEEVES</t>
        </is>
      </c>
      <c r="G2586" s="1" t="inlineStr">
        <is>
          <t>GF20401205212XS</t>
        </is>
      </c>
      <c r="H2586" s="1" t="n">
        <v>7</v>
      </c>
      <c r="I2586" s="1" t="inlineStr">
        <is>
          <t>มี</t>
        </is>
      </c>
      <c r="J2586" s="13" t="n">
        <v>99</v>
      </c>
      <c r="K2586" s="1" t="inlineStr"/>
      <c r="L2586" s="13" t="n">
        <v>69</v>
      </c>
      <c r="M2586" s="1">
        <f>IF(L2586="","ไม่พบใน SG",IF(ABS(J2586-L2586)&lt;0.005,"ตรงกัน","ไม่ตรง"))</f>
        <v/>
      </c>
      <c r="N2586" s="14">
        <f>IF(L2586="","",ROUND(L2586*'สรุป'!$C$6,-1))</f>
        <v/>
      </c>
      <c r="O2586" s="15" t="n"/>
      <c r="P2586" s="15" t="n"/>
      <c r="Q2586" s="10" t="n"/>
      <c r="R2586" s="10" t="n"/>
      <c r="S2586" s="16" t="inlineStr">
        <is>
          <t>https://mstgolf.co.th/products/gf2040120521</t>
        </is>
      </c>
      <c r="T2586" s="1">
        <f>IF(B2586="ไม้กอล์ฟ",J2586,"")</f>
        <v/>
      </c>
    </row>
    <row r="2587">
      <c r="A2587" s="1" t="n">
        <v>3</v>
      </c>
      <c r="B2587" s="1" t="inlineStr">
        <is>
          <t>เสื้อผ้า</t>
        </is>
      </c>
      <c r="C2587" s="1" t="inlineStr">
        <is>
          <t>gf2040120523</t>
        </is>
      </c>
      <c r="D2587" s="1" t="inlineStr">
        <is>
          <t>ADIDAS Ultimate365 Textured Print Men's Polo (Alumina)</t>
        </is>
      </c>
      <c r="E2587" s="1" t="inlineStr">
        <is>
          <t>ADIDAS</t>
        </is>
      </c>
      <c r="F2587" s="1" t="inlineStr">
        <is>
          <t>SHORT SLEEVES</t>
        </is>
      </c>
      <c r="G2587" s="1" t="inlineStr">
        <is>
          <t>GF20401205232XS</t>
        </is>
      </c>
      <c r="H2587" s="1" t="n">
        <v>7</v>
      </c>
      <c r="I2587" s="1" t="inlineStr">
        <is>
          <t>มี</t>
        </is>
      </c>
      <c r="J2587" s="13" t="n">
        <v>99</v>
      </c>
      <c r="K2587" s="1" t="inlineStr"/>
      <c r="L2587" s="13" t="n">
        <v>49</v>
      </c>
      <c r="M2587" s="1">
        <f>IF(L2587="","ไม่พบใน SG",IF(ABS(J2587-L2587)&lt;0.005,"ตรงกัน","ไม่ตรง"))</f>
        <v/>
      </c>
      <c r="N2587" s="14">
        <f>IF(L2587="","",ROUND(L2587*'สรุป'!$C$6,-1))</f>
        <v/>
      </c>
      <c r="O2587" s="15" t="n"/>
      <c r="P2587" s="15" t="n"/>
      <c r="Q2587" s="10" t="n"/>
      <c r="R2587" s="10" t="n"/>
      <c r="S2587" s="16" t="inlineStr">
        <is>
          <t>https://mstgolf.co.th/products/gf2040120523</t>
        </is>
      </c>
      <c r="T2587" s="1">
        <f>IF(B2587="ไม้กอล์ฟ",J2587,"")</f>
        <v/>
      </c>
    </row>
    <row r="2588">
      <c r="A2588" s="1" t="n">
        <v>3</v>
      </c>
      <c r="B2588" s="1" t="inlineStr">
        <is>
          <t>เสื้อผ้า</t>
        </is>
      </c>
      <c r="C2588" s="1" t="inlineStr">
        <is>
          <t>gf2040120522</t>
        </is>
      </c>
      <c r="D2588" s="1" t="inlineStr">
        <is>
          <t>ADIDAS Ultimate365 Textured Print Men's Polo (Navy)</t>
        </is>
      </c>
      <c r="E2588" s="1" t="inlineStr">
        <is>
          <t>ADIDAS</t>
        </is>
      </c>
      <c r="F2588" s="1" t="inlineStr">
        <is>
          <t>SHORT SLEEVES</t>
        </is>
      </c>
      <c r="G2588" s="1" t="inlineStr">
        <is>
          <t>GF20401205222XS</t>
        </is>
      </c>
      <c r="H2588" s="1" t="n">
        <v>9</v>
      </c>
      <c r="I2588" s="1" t="inlineStr">
        <is>
          <t>มี</t>
        </is>
      </c>
      <c r="J2588" s="13" t="n">
        <v>99</v>
      </c>
      <c r="K2588" s="1" t="inlineStr"/>
      <c r="L2588" s="13" t="n">
        <v>49</v>
      </c>
      <c r="M2588" s="1">
        <f>IF(L2588="","ไม่พบใน SG",IF(ABS(J2588-L2588)&lt;0.005,"ตรงกัน","ไม่ตรง"))</f>
        <v/>
      </c>
      <c r="N2588" s="14">
        <f>IF(L2588="","",ROUND(L2588*'สรุป'!$C$6,-1))</f>
        <v/>
      </c>
      <c r="O2588" s="15" t="n"/>
      <c r="P2588" s="15" t="n"/>
      <c r="Q2588" s="10" t="n"/>
      <c r="R2588" s="10" t="n"/>
      <c r="S2588" s="16" t="inlineStr">
        <is>
          <t>https://mstgolf.co.th/products/gf2040120522</t>
        </is>
      </c>
      <c r="T2588" s="1">
        <f>IF(B2588="ไม้กอล์ฟ",J2588,"")</f>
        <v/>
      </c>
    </row>
    <row r="2589">
      <c r="A2589" s="1" t="n">
        <v>3</v>
      </c>
      <c r="B2589" s="1" t="inlineStr">
        <is>
          <t>เสื้อผ้า</t>
        </is>
      </c>
      <c r="C2589" s="1" t="inlineStr">
        <is>
          <t>gf2040120524</t>
        </is>
      </c>
      <c r="D2589" s="1" t="inlineStr">
        <is>
          <t>ADIDAS Ultimate365 Textured Print Men's Polo (Pink)</t>
        </is>
      </c>
      <c r="E2589" s="1" t="inlineStr">
        <is>
          <t>ADIDAS</t>
        </is>
      </c>
      <c r="F2589" s="1" t="inlineStr">
        <is>
          <t>SHORT SLEEVES</t>
        </is>
      </c>
      <c r="G2589" s="1" t="inlineStr">
        <is>
          <t>GF20401205242XS</t>
        </is>
      </c>
      <c r="H2589" s="1" t="n">
        <v>7</v>
      </c>
      <c r="I2589" s="1" t="inlineStr">
        <is>
          <t>มี</t>
        </is>
      </c>
      <c r="J2589" s="13" t="n">
        <v>99</v>
      </c>
      <c r="K2589" s="1" t="inlineStr"/>
      <c r="L2589" s="13" t="n">
        <v>49</v>
      </c>
      <c r="M2589" s="1">
        <f>IF(L2589="","ไม่พบใน SG",IF(ABS(J2589-L2589)&lt;0.005,"ตรงกัน","ไม่ตรง"))</f>
        <v/>
      </c>
      <c r="N2589" s="14">
        <f>IF(L2589="","",ROUND(L2589*'สรุป'!$C$6,-1))</f>
        <v/>
      </c>
      <c r="O2589" s="15" t="n"/>
      <c r="P2589" s="15" t="n"/>
      <c r="Q2589" s="10" t="n"/>
      <c r="R2589" s="10" t="n"/>
      <c r="S2589" s="16" t="inlineStr">
        <is>
          <t>https://mstgolf.co.th/products/gf2040120524</t>
        </is>
      </c>
      <c r="T2589" s="1">
        <f>IF(B2589="ไม้กอล์ฟ",J2589,"")</f>
        <v/>
      </c>
    </row>
    <row r="2590">
      <c r="A2590" s="1" t="n">
        <v>3</v>
      </c>
      <c r="B2590" s="1" t="inlineStr">
        <is>
          <t>เสื้อผ้า</t>
        </is>
      </c>
      <c r="C2590" s="1" t="inlineStr">
        <is>
          <t>gf2040401444</t>
        </is>
      </c>
      <c r="D2590" s="1" t="inlineStr">
        <is>
          <t>ADIDAS Ultimate365 Tour Engineered Women's Long Sleeve Shirt (White)</t>
        </is>
      </c>
      <c r="E2590" s="1" t="inlineStr">
        <is>
          <t>ADIDAS</t>
        </is>
      </c>
      <c r="F2590" s="1" t="inlineStr">
        <is>
          <t>LONG SLEEVES</t>
        </is>
      </c>
      <c r="G2590" s="1" t="inlineStr">
        <is>
          <t>GF20404014442XS</t>
        </is>
      </c>
      <c r="H2590" s="1" t="n">
        <v>7</v>
      </c>
      <c r="I2590" s="1" t="inlineStr">
        <is>
          <t>มี</t>
        </is>
      </c>
      <c r="J2590" s="13" t="n">
        <v>99</v>
      </c>
      <c r="K2590" s="1" t="inlineStr"/>
      <c r="L2590" s="13" t="n">
        <v>49</v>
      </c>
      <c r="M2590" s="1">
        <f>IF(L2590="","ไม่พบใน SG",IF(ABS(J2590-L2590)&lt;0.005,"ตรงกัน","ไม่ตรง"))</f>
        <v/>
      </c>
      <c r="N2590" s="14">
        <f>IF(L2590="","",ROUND(L2590*'สรุป'!$C$6,-1))</f>
        <v/>
      </c>
      <c r="O2590" s="15" t="n"/>
      <c r="P2590" s="15" t="n"/>
      <c r="Q2590" s="10" t="n"/>
      <c r="R2590" s="10" t="n"/>
      <c r="S2590" s="16" t="inlineStr">
        <is>
          <t>https://mstgolf.co.th/products/gf2040401444</t>
        </is>
      </c>
      <c r="T2590" s="1">
        <f>IF(B2590="ไม้กอล์ฟ",J2590,"")</f>
        <v/>
      </c>
    </row>
    <row r="2591">
      <c r="A2591" s="1" t="n">
        <v>3</v>
      </c>
      <c r="B2591" s="1" t="inlineStr">
        <is>
          <t>เสื้อผ้า</t>
        </is>
      </c>
      <c r="C2591" s="1" t="inlineStr">
        <is>
          <t>gf2040121074</t>
        </is>
      </c>
      <c r="D2591" s="1" t="inlineStr">
        <is>
          <t>ADIDAS Ultimate365+ Jumbo Stripe Climacool Men's Polo (White/Green)</t>
        </is>
      </c>
      <c r="E2591" s="1" t="inlineStr">
        <is>
          <t>ADIDAS</t>
        </is>
      </c>
      <c r="F2591" s="1" t="inlineStr">
        <is>
          <t>SHORT SLEEVES</t>
        </is>
      </c>
      <c r="G2591" s="1" t="inlineStr">
        <is>
          <t>GF2040121074XS</t>
        </is>
      </c>
      <c r="H2591" s="1" t="n">
        <v>7</v>
      </c>
      <c r="I2591" s="1" t="inlineStr">
        <is>
          <t>มี</t>
        </is>
      </c>
      <c r="J2591" s="13" t="n">
        <v>99</v>
      </c>
      <c r="K2591" s="1" t="inlineStr"/>
      <c r="L2591" s="13" t="n">
        <v>69</v>
      </c>
      <c r="M2591" s="1">
        <f>IF(L2591="","ไม่พบใน SG",IF(ABS(J2591-L2591)&lt;0.005,"ตรงกัน","ไม่ตรง"))</f>
        <v/>
      </c>
      <c r="N2591" s="14">
        <f>IF(L2591="","",ROUND(L2591*'สรุป'!$C$6,-1))</f>
        <v/>
      </c>
      <c r="O2591" s="15" t="n"/>
      <c r="P2591" s="15" t="n"/>
      <c r="Q2591" s="10" t="n"/>
      <c r="R2591" s="10" t="n"/>
      <c r="S2591" s="16" t="inlineStr">
        <is>
          <t>https://mstgolf.co.th/products/gf2040121074</t>
        </is>
      </c>
      <c r="T2591" s="1">
        <f>IF(B2591="ไม้กอล์ฟ",J2591,"")</f>
        <v/>
      </c>
    </row>
    <row r="2592">
      <c r="A2592" s="1" t="n">
        <v>3</v>
      </c>
      <c r="B2592" s="1" t="inlineStr">
        <is>
          <t>เสื้อผ้า</t>
        </is>
      </c>
      <c r="C2592" s="1" t="inlineStr">
        <is>
          <t>gf2040121073</t>
        </is>
      </c>
      <c r="D2592" s="1" t="inlineStr">
        <is>
          <t>ADIDAS Ultimate365+ Microprint Men's Polo (White)</t>
        </is>
      </c>
      <c r="E2592" s="1" t="inlineStr">
        <is>
          <t>ADIDAS</t>
        </is>
      </c>
      <c r="F2592" s="1" t="inlineStr">
        <is>
          <t>SHORT SLEEVES</t>
        </is>
      </c>
      <c r="G2592" s="1" t="inlineStr">
        <is>
          <t>GF2040121073XS</t>
        </is>
      </c>
      <c r="H2592" s="1" t="n">
        <v>6</v>
      </c>
      <c r="I2592" s="1" t="inlineStr">
        <is>
          <t>มี</t>
        </is>
      </c>
      <c r="J2592" s="13" t="n">
        <v>99</v>
      </c>
      <c r="K2592" s="1" t="inlineStr"/>
      <c r="L2592" s="13" t="n">
        <v>69</v>
      </c>
      <c r="M2592" s="1">
        <f>IF(L2592="","ไม่พบใน SG",IF(ABS(J2592-L2592)&lt;0.005,"ตรงกัน","ไม่ตรง"))</f>
        <v/>
      </c>
      <c r="N2592" s="14">
        <f>IF(L2592="","",ROUND(L2592*'สรุป'!$C$6,-1))</f>
        <v/>
      </c>
      <c r="O2592" s="15" t="n"/>
      <c r="P2592" s="15" t="n"/>
      <c r="Q2592" s="10" t="n"/>
      <c r="R2592" s="10" t="n"/>
      <c r="S2592" s="16" t="inlineStr">
        <is>
          <t>https://mstgolf.co.th/products/gf2040121073</t>
        </is>
      </c>
      <c r="T2592" s="1">
        <f>IF(B2592="ไม้กอล์ฟ",J2592,"")</f>
        <v/>
      </c>
    </row>
    <row r="2593">
      <c r="A2593" s="1" t="n">
        <v>3</v>
      </c>
      <c r="B2593" s="1" t="inlineStr">
        <is>
          <t>เสื้อผ้า</t>
        </is>
      </c>
      <c r="C2593" s="1" t="inlineStr">
        <is>
          <t>gf2040119349</t>
        </is>
      </c>
      <c r="D2593" s="1" t="inlineStr">
        <is>
          <t>CALVIN KLEIN Cape Club Men's Polo (Light Jade)</t>
        </is>
      </c>
      <c r="E2593" s="1" t="inlineStr">
        <is>
          <t>CALVIN KLEIN</t>
        </is>
      </c>
      <c r="F2593" s="1" t="inlineStr">
        <is>
          <t>SHORT SLEEVES</t>
        </is>
      </c>
      <c r="G2593" s="1" t="inlineStr">
        <is>
          <t>GF2040119349S</t>
        </is>
      </c>
      <c r="H2593" s="1" t="n">
        <v>4</v>
      </c>
      <c r="I2593" s="1" t="inlineStr">
        <is>
          <t>มี</t>
        </is>
      </c>
      <c r="J2593" s="13" t="n">
        <v>99</v>
      </c>
      <c r="K2593" s="1" t="inlineStr"/>
      <c r="L2593" s="13" t="n">
        <v>99</v>
      </c>
      <c r="M2593" s="1">
        <f>IF(L2593="","ไม่พบใน SG",IF(ABS(J2593-L2593)&lt;0.005,"ตรงกัน","ไม่ตรง"))</f>
        <v/>
      </c>
      <c r="N2593" s="14">
        <f>IF(L2593="","",ROUND(L2593*'สรุป'!$C$6,-1))</f>
        <v/>
      </c>
      <c r="O2593" s="15" t="n"/>
      <c r="P2593" s="15" t="n"/>
      <c r="Q2593" s="10" t="n"/>
      <c r="R2593" s="10" t="n"/>
      <c r="S2593" s="16" t="inlineStr">
        <is>
          <t>https://mstgolf.co.th/products/gf2040119349</t>
        </is>
      </c>
      <c r="T2593" s="1">
        <f>IF(B2593="ไม้กอล์ฟ",J2593,"")</f>
        <v/>
      </c>
    </row>
    <row r="2594">
      <c r="A2594" s="1" t="n">
        <v>3</v>
      </c>
      <c r="B2594" s="1" t="inlineStr">
        <is>
          <t>เสื้อผ้า</t>
        </is>
      </c>
      <c r="C2594" s="1" t="inlineStr">
        <is>
          <t>gf2040119350</t>
        </is>
      </c>
      <c r="D2594" s="1" t="inlineStr">
        <is>
          <t>CALVIN KLEIN Cape Club Men's Polo (White)</t>
        </is>
      </c>
      <c r="E2594" s="1" t="inlineStr">
        <is>
          <t>CALVIN KLEIN</t>
        </is>
      </c>
      <c r="F2594" s="1" t="inlineStr">
        <is>
          <t>SHORT SLEEVES</t>
        </is>
      </c>
      <c r="G2594" s="1" t="inlineStr">
        <is>
          <t>GF2040119350S</t>
        </is>
      </c>
      <c r="H2594" s="1" t="n">
        <v>4</v>
      </c>
      <c r="I2594" s="1" t="inlineStr">
        <is>
          <t>มี</t>
        </is>
      </c>
      <c r="J2594" s="13" t="n">
        <v>99</v>
      </c>
      <c r="K2594" s="1" t="inlineStr"/>
      <c r="L2594" s="13" t="n">
        <v>99</v>
      </c>
      <c r="M2594" s="1">
        <f>IF(L2594="","ไม่พบใน SG",IF(ABS(J2594-L2594)&lt;0.005,"ตรงกัน","ไม่ตรง"))</f>
        <v/>
      </c>
      <c r="N2594" s="14">
        <f>IF(L2594="","",ROUND(L2594*'สรุป'!$C$6,-1))</f>
        <v/>
      </c>
      <c r="O2594" s="15" t="n"/>
      <c r="P2594" s="15" t="n"/>
      <c r="Q2594" s="10" t="n"/>
      <c r="R2594" s="10" t="n"/>
      <c r="S2594" s="16" t="inlineStr">
        <is>
          <t>https://mstgolf.co.th/products/gf2040119350</t>
        </is>
      </c>
      <c r="T2594" s="1">
        <f>IF(B2594="ไม้กอล์ฟ",J2594,"")</f>
        <v/>
      </c>
    </row>
    <row r="2595">
      <c r="A2595" s="1" t="n">
        <v>3</v>
      </c>
      <c r="B2595" s="1" t="inlineStr">
        <is>
          <t>เสื้อผ้า</t>
        </is>
      </c>
      <c r="C2595" s="1" t="inlineStr">
        <is>
          <t>gf2040119368</t>
        </is>
      </c>
      <c r="D2595" s="1" t="inlineStr">
        <is>
          <t>CALVIN KLEIN Denton Blade Men's Polo (Light Jade)</t>
        </is>
      </c>
      <c r="E2595" s="1" t="inlineStr">
        <is>
          <t>CALVIN KLEIN</t>
        </is>
      </c>
      <c r="F2595" s="1" t="inlineStr">
        <is>
          <t>SHORT SLEEVES</t>
        </is>
      </c>
      <c r="G2595" s="1" t="inlineStr">
        <is>
          <t>GF2040119368S</t>
        </is>
      </c>
      <c r="H2595" s="1" t="n">
        <v>4</v>
      </c>
      <c r="I2595" s="1" t="inlineStr">
        <is>
          <t>มี</t>
        </is>
      </c>
      <c r="J2595" s="13" t="n">
        <v>99</v>
      </c>
      <c r="K2595" s="1" t="inlineStr"/>
      <c r="L2595" s="13" t="n">
        <v>99</v>
      </c>
      <c r="M2595" s="1">
        <f>IF(L2595="","ไม่พบใน SG",IF(ABS(J2595-L2595)&lt;0.005,"ตรงกัน","ไม่ตรง"))</f>
        <v/>
      </c>
      <c r="N2595" s="14">
        <f>IF(L2595="","",ROUND(L2595*'สรุป'!$C$6,-1))</f>
        <v/>
      </c>
      <c r="O2595" s="15" t="n"/>
      <c r="P2595" s="15" t="n"/>
      <c r="Q2595" s="10" t="n"/>
      <c r="R2595" s="10" t="n"/>
      <c r="S2595" s="16" t="inlineStr">
        <is>
          <t>https://mstgolf.co.th/products/gf2040119368</t>
        </is>
      </c>
      <c r="T2595" s="1">
        <f>IF(B2595="ไม้กอล์ฟ",J2595,"")</f>
        <v/>
      </c>
    </row>
    <row r="2596">
      <c r="A2596" s="1" t="n">
        <v>3</v>
      </c>
      <c r="B2596" s="1" t="inlineStr">
        <is>
          <t>เสื้อผ้า</t>
        </is>
      </c>
      <c r="C2596" s="1" t="inlineStr">
        <is>
          <t>gf2040118640</t>
        </is>
      </c>
      <c r="D2596" s="1" t="inlineStr">
        <is>
          <t>CALVIN KLEIN Georgetown Men's Polo (Evening Blue)</t>
        </is>
      </c>
      <c r="E2596" s="1" t="inlineStr">
        <is>
          <t>CALVIN KLEIN</t>
        </is>
      </c>
      <c r="F2596" s="1" t="inlineStr">
        <is>
          <t>SHORT SLEEVES</t>
        </is>
      </c>
      <c r="G2596" s="1" t="inlineStr">
        <is>
          <t>GF2040118640S</t>
        </is>
      </c>
      <c r="H2596" s="1" t="n">
        <v>5</v>
      </c>
      <c r="I2596" s="1" t="inlineStr">
        <is>
          <t>มี</t>
        </is>
      </c>
      <c r="J2596" s="13" t="n">
        <v>99</v>
      </c>
      <c r="K2596" s="1" t="inlineStr"/>
      <c r="L2596" s="13" t="n">
        <v>69</v>
      </c>
      <c r="M2596" s="1">
        <f>IF(L2596="","ไม่พบใน SG",IF(ABS(J2596-L2596)&lt;0.005,"ตรงกัน","ไม่ตรง"))</f>
        <v/>
      </c>
      <c r="N2596" s="14">
        <f>IF(L2596="","",ROUND(L2596*'สรุป'!$C$6,-1))</f>
        <v/>
      </c>
      <c r="O2596" s="15" t="n"/>
      <c r="P2596" s="15" t="n"/>
      <c r="Q2596" s="10" t="n"/>
      <c r="R2596" s="10" t="n"/>
      <c r="S2596" s="16" t="inlineStr">
        <is>
          <t>https://mstgolf.co.th/products/gf2040118640</t>
        </is>
      </c>
      <c r="T2596" s="1">
        <f>IF(B2596="ไม้กอล์ฟ",J2596,"")</f>
        <v/>
      </c>
    </row>
    <row r="2597">
      <c r="A2597" s="1" t="n">
        <v>3</v>
      </c>
      <c r="B2597" s="1" t="inlineStr">
        <is>
          <t>เสื้อผ้า</t>
        </is>
      </c>
      <c r="C2597" s="1" t="inlineStr">
        <is>
          <t>gf2040117547</t>
        </is>
      </c>
      <c r="D2597" s="1" t="inlineStr">
        <is>
          <t>CALVIN KLEIN Primrose Dress (Berry Pink)</t>
        </is>
      </c>
      <c r="E2597" s="1" t="inlineStr">
        <is>
          <t>CALVIN KLEIN</t>
        </is>
      </c>
      <c r="F2597" s="1" t="inlineStr">
        <is>
          <t>SHORT SLEEVES</t>
        </is>
      </c>
      <c r="G2597" s="1" t="inlineStr">
        <is>
          <t>GF20401175478</t>
        </is>
      </c>
      <c r="H2597" s="1" t="n">
        <v>5</v>
      </c>
      <c r="I2597" s="1" t="inlineStr">
        <is>
          <t>มี</t>
        </is>
      </c>
      <c r="J2597" s="13" t="n">
        <v>99</v>
      </c>
      <c r="K2597" s="1" t="inlineStr"/>
      <c r="L2597" s="13" t="n">
        <v>43</v>
      </c>
      <c r="M2597" s="1">
        <f>IF(L2597="","ไม่พบใน SG",IF(ABS(J2597-L2597)&lt;0.005,"ตรงกัน","ไม่ตรง"))</f>
        <v/>
      </c>
      <c r="N2597" s="14">
        <f>IF(L2597="","",ROUND(L2597*'สรุป'!$C$6,-1))</f>
        <v/>
      </c>
      <c r="O2597" s="15" t="n"/>
      <c r="P2597" s="15" t="n"/>
      <c r="Q2597" s="10" t="n"/>
      <c r="R2597" s="10" t="n"/>
      <c r="S2597" s="16" t="inlineStr">
        <is>
          <t>https://mstgolf.co.th/products/gf2040117547</t>
        </is>
      </c>
      <c r="T2597" s="1">
        <f>IF(B2597="ไม้กอล์ฟ",J2597,"")</f>
        <v/>
      </c>
    </row>
    <row r="2598">
      <c r="A2598" s="1" t="n">
        <v>3</v>
      </c>
      <c r="B2598" s="1" t="inlineStr">
        <is>
          <t>เสื้อผ้า</t>
        </is>
      </c>
      <c r="C2598" s="1" t="inlineStr">
        <is>
          <t>gf2040117549</t>
        </is>
      </c>
      <c r="D2598" s="1" t="inlineStr">
        <is>
          <t>CALVIN KLEIN Primrose Dress (Peach Cobbler)</t>
        </is>
      </c>
      <c r="E2598" s="1" t="inlineStr">
        <is>
          <t>CALVIN KLEIN</t>
        </is>
      </c>
      <c r="F2598" s="1" t="inlineStr">
        <is>
          <t>SHORT SLEEVES</t>
        </is>
      </c>
      <c r="G2598" s="1" t="inlineStr">
        <is>
          <t>GF20401175498</t>
        </is>
      </c>
      <c r="H2598" s="1" t="n">
        <v>5</v>
      </c>
      <c r="I2598" s="1" t="inlineStr">
        <is>
          <t>มี</t>
        </is>
      </c>
      <c r="J2598" s="13" t="n">
        <v>99</v>
      </c>
      <c r="K2598" s="1" t="inlineStr"/>
      <c r="L2598" s="13" t="n">
        <v>43</v>
      </c>
      <c r="M2598" s="1">
        <f>IF(L2598="","ไม่พบใน SG",IF(ABS(J2598-L2598)&lt;0.005,"ตรงกัน","ไม่ตรง"))</f>
        <v/>
      </c>
      <c r="N2598" s="14">
        <f>IF(L2598="","",ROUND(L2598*'สรุป'!$C$6,-1))</f>
        <v/>
      </c>
      <c r="O2598" s="15" t="n"/>
      <c r="P2598" s="15" t="n"/>
      <c r="Q2598" s="10" t="n"/>
      <c r="R2598" s="10" t="n"/>
      <c r="S2598" s="16" t="inlineStr">
        <is>
          <t>https://mstgolf.co.th/products/gf2040117549</t>
        </is>
      </c>
      <c r="T2598" s="1">
        <f>IF(B2598="ไม้กอล์ฟ",J2598,"")</f>
        <v/>
      </c>
    </row>
    <row r="2599">
      <c r="A2599" s="1" t="n">
        <v>3</v>
      </c>
      <c r="B2599" s="1" t="inlineStr">
        <is>
          <t>เสื้อผ้า</t>
        </is>
      </c>
      <c r="C2599" s="1" t="inlineStr">
        <is>
          <t>gf2040119345</t>
        </is>
      </c>
      <c r="D2599" s="1" t="inlineStr">
        <is>
          <t>CALVIN KLEIN San Marcos Men's Polo (Aquarius)</t>
        </is>
      </c>
      <c r="E2599" s="1" t="inlineStr">
        <is>
          <t>CALVIN KLEIN</t>
        </is>
      </c>
      <c r="F2599" s="1" t="inlineStr">
        <is>
          <t>SHORT SLEEVES</t>
        </is>
      </c>
      <c r="G2599" s="1" t="inlineStr">
        <is>
          <t>GF2040119345S</t>
        </is>
      </c>
      <c r="H2599" s="1" t="n">
        <v>4</v>
      </c>
      <c r="I2599" s="1" t="inlineStr">
        <is>
          <t>มี</t>
        </is>
      </c>
      <c r="J2599" s="13" t="n">
        <v>99</v>
      </c>
      <c r="K2599" s="1" t="inlineStr"/>
      <c r="L2599" s="13" t="n">
        <v>99</v>
      </c>
      <c r="M2599" s="1">
        <f>IF(L2599="","ไม่พบใน SG",IF(ABS(J2599-L2599)&lt;0.005,"ตรงกัน","ไม่ตรง"))</f>
        <v/>
      </c>
      <c r="N2599" s="14">
        <f>IF(L2599="","",ROUND(L2599*'สรุป'!$C$6,-1))</f>
        <v/>
      </c>
      <c r="O2599" s="15" t="n"/>
      <c r="P2599" s="15" t="n"/>
      <c r="Q2599" s="10" t="n"/>
      <c r="R2599" s="10" t="n"/>
      <c r="S2599" s="16" t="inlineStr">
        <is>
          <t>https://mstgolf.co.th/products/gf2040119345</t>
        </is>
      </c>
      <c r="T2599" s="1">
        <f>IF(B2599="ไม้กอล์ฟ",J2599,"")</f>
        <v/>
      </c>
    </row>
    <row r="2600">
      <c r="A2600" s="1" t="n">
        <v>3</v>
      </c>
      <c r="B2600" s="1" t="inlineStr">
        <is>
          <t>เสื้อผ้า</t>
        </is>
      </c>
      <c r="C2600" s="1" t="inlineStr">
        <is>
          <t>gf2040119346</t>
        </is>
      </c>
      <c r="D2600" s="1" t="inlineStr">
        <is>
          <t>CALVIN KLEIN San Marcos Men's Polo (Navy)</t>
        </is>
      </c>
      <c r="E2600" s="1" t="inlineStr">
        <is>
          <t>CALVIN KLEIN</t>
        </is>
      </c>
      <c r="F2600" s="1" t="inlineStr">
        <is>
          <t>SHORT SLEEVES</t>
        </is>
      </c>
      <c r="G2600" s="1" t="inlineStr">
        <is>
          <t>GF2040119346S</t>
        </is>
      </c>
      <c r="H2600" s="1" t="n">
        <v>4</v>
      </c>
      <c r="I2600" s="1" t="inlineStr">
        <is>
          <t>มี</t>
        </is>
      </c>
      <c r="J2600" s="13" t="n">
        <v>99</v>
      </c>
      <c r="K2600" s="1" t="inlineStr"/>
      <c r="L2600" s="13" t="n">
        <v>99</v>
      </c>
      <c r="M2600" s="1">
        <f>IF(L2600="","ไม่พบใน SG",IF(ABS(J2600-L2600)&lt;0.005,"ตรงกัน","ไม่ตรง"))</f>
        <v/>
      </c>
      <c r="N2600" s="14">
        <f>IF(L2600="","",ROUND(L2600*'สรุป'!$C$6,-1))</f>
        <v/>
      </c>
      <c r="O2600" s="15" t="n"/>
      <c r="P2600" s="15" t="n"/>
      <c r="Q2600" s="10" t="n"/>
      <c r="R2600" s="10" t="n"/>
      <c r="S2600" s="16" t="inlineStr">
        <is>
          <t>https://mstgolf.co.th/products/gf2040119346</t>
        </is>
      </c>
      <c r="T2600" s="1">
        <f>IF(B2600="ไม้กอล์ฟ",J2600,"")</f>
        <v/>
      </c>
    </row>
    <row r="2601">
      <c r="A2601" s="1" t="n">
        <v>3</v>
      </c>
      <c r="B2601" s="1" t="inlineStr">
        <is>
          <t>เสื้อผ้า</t>
        </is>
      </c>
      <c r="C2601" s="1" t="inlineStr">
        <is>
          <t>gf2040119347</t>
        </is>
      </c>
      <c r="D2601" s="1" t="inlineStr">
        <is>
          <t>CALVIN KLEIN San Marcos Men's Polo (Sea Green)</t>
        </is>
      </c>
      <c r="E2601" s="1" t="inlineStr">
        <is>
          <t>CALVIN KLEIN</t>
        </is>
      </c>
      <c r="F2601" s="1" t="inlineStr">
        <is>
          <t>SHORT SLEEVES</t>
        </is>
      </c>
      <c r="G2601" s="1" t="inlineStr">
        <is>
          <t>GF2040119347S</t>
        </is>
      </c>
      <c r="H2601" s="1" t="n">
        <v>4</v>
      </c>
      <c r="I2601" s="1" t="inlineStr">
        <is>
          <t>มี</t>
        </is>
      </c>
      <c r="J2601" s="13" t="n">
        <v>99</v>
      </c>
      <c r="K2601" s="1" t="inlineStr"/>
      <c r="L2601" s="13" t="n">
        <v>99</v>
      </c>
      <c r="M2601" s="1">
        <f>IF(L2601="","ไม่พบใน SG",IF(ABS(J2601-L2601)&lt;0.005,"ตรงกัน","ไม่ตรง"))</f>
        <v/>
      </c>
      <c r="N2601" s="14">
        <f>IF(L2601="","",ROUND(L2601*'สรุป'!$C$6,-1))</f>
        <v/>
      </c>
      <c r="O2601" s="15" t="n"/>
      <c r="P2601" s="15" t="n"/>
      <c r="Q2601" s="10" t="n"/>
      <c r="R2601" s="10" t="n"/>
      <c r="S2601" s="16" t="inlineStr">
        <is>
          <t>https://mstgolf.co.th/products/gf2040119347</t>
        </is>
      </c>
      <c r="T2601" s="1">
        <f>IF(B2601="ไม้กอล์ฟ",J2601,"")</f>
        <v/>
      </c>
    </row>
    <row r="2602">
      <c r="A2602" s="1" t="n">
        <v>3</v>
      </c>
      <c r="B2602" s="1" t="inlineStr">
        <is>
          <t>เสื้อผ้า</t>
        </is>
      </c>
      <c r="C2602" s="1" t="inlineStr">
        <is>
          <t>gf2040119348</t>
        </is>
      </c>
      <c r="D2602" s="1" t="inlineStr">
        <is>
          <t>CALVIN KLEIN San Marcos Men's Polo (White)</t>
        </is>
      </c>
      <c r="E2602" s="1" t="inlineStr">
        <is>
          <t>CALVIN KLEIN</t>
        </is>
      </c>
      <c r="F2602" s="1" t="inlineStr">
        <is>
          <t>SHORT SLEEVES</t>
        </is>
      </c>
      <c r="G2602" s="1" t="inlineStr">
        <is>
          <t>GF2040119348S</t>
        </is>
      </c>
      <c r="H2602" s="1" t="n">
        <v>4</v>
      </c>
      <c r="I2602" s="1" t="inlineStr">
        <is>
          <t>มี</t>
        </is>
      </c>
      <c r="J2602" s="13" t="n">
        <v>99</v>
      </c>
      <c r="K2602" s="1" t="inlineStr"/>
      <c r="L2602" s="13" t="n">
        <v>99</v>
      </c>
      <c r="M2602" s="1">
        <f>IF(L2602="","ไม่พบใน SG",IF(ABS(J2602-L2602)&lt;0.005,"ตรงกัน","ไม่ตรง"))</f>
        <v/>
      </c>
      <c r="N2602" s="14">
        <f>IF(L2602="","",ROUND(L2602*'สรุป'!$C$6,-1))</f>
        <v/>
      </c>
      <c r="O2602" s="15" t="n"/>
      <c r="P2602" s="15" t="n"/>
      <c r="Q2602" s="10" t="n"/>
      <c r="R2602" s="10" t="n"/>
      <c r="S2602" s="16" t="inlineStr">
        <is>
          <t>https://mstgolf.co.th/products/gf2040119348</t>
        </is>
      </c>
      <c r="T2602" s="1">
        <f>IF(B2602="ไม้กอล์ฟ",J2602,"")</f>
        <v/>
      </c>
    </row>
    <row r="2603">
      <c r="A2603" s="1" t="n">
        <v>3</v>
      </c>
      <c r="B2603" s="1" t="inlineStr">
        <is>
          <t>เสื้อผ้า</t>
        </is>
      </c>
      <c r="C2603" s="1" t="inlineStr">
        <is>
          <t>gf2020102144</t>
        </is>
      </c>
      <c r="D2603" s="1" t="inlineStr">
        <is>
          <t>FOOTJOY Japan Slim Fit Women's Pants (Black)</t>
        </is>
      </c>
      <c r="E2603" s="1" t="inlineStr">
        <is>
          <t>FOOTJOY</t>
        </is>
      </c>
      <c r="F2603" s="1" t="inlineStr">
        <is>
          <t>LONG PANTS</t>
        </is>
      </c>
      <c r="G2603" s="1" t="inlineStr">
        <is>
          <t>GF2020102144XS</t>
        </is>
      </c>
      <c r="H2603" s="1" t="n">
        <v>5</v>
      </c>
      <c r="I2603" s="1" t="inlineStr">
        <is>
          <t>มี</t>
        </is>
      </c>
      <c r="J2603" s="13" t="n">
        <v>99</v>
      </c>
      <c r="K2603" s="1" t="inlineStr"/>
      <c r="L2603" s="13" t="n">
        <v>69</v>
      </c>
      <c r="M2603" s="1">
        <f>IF(L2603="","ไม่พบใน SG",IF(ABS(J2603-L2603)&lt;0.005,"ตรงกัน","ไม่ตรง"))</f>
        <v/>
      </c>
      <c r="N2603" s="14">
        <f>IF(L2603="","",ROUND(L2603*'สรุป'!$C$6,-1))</f>
        <v/>
      </c>
      <c r="O2603" s="15" t="n"/>
      <c r="P2603" s="15" t="n"/>
      <c r="Q2603" s="10" t="n"/>
      <c r="R2603" s="10" t="n"/>
      <c r="S2603" s="16" t="inlineStr">
        <is>
          <t>https://mstgolf.co.th/products/gf2020102144</t>
        </is>
      </c>
      <c r="T2603" s="1">
        <f>IF(B2603="ไม้กอล์ฟ",J2603,"")</f>
        <v/>
      </c>
    </row>
    <row r="2604">
      <c r="A2604" s="1" t="n">
        <v>3</v>
      </c>
      <c r="B2604" s="1" t="inlineStr">
        <is>
          <t>เสื้อผ้า</t>
        </is>
      </c>
      <c r="C2604" s="1" t="inlineStr">
        <is>
          <t>gf2040118990</t>
        </is>
      </c>
      <c r="D2604" s="1" t="inlineStr">
        <is>
          <t>GFORE Blur Icon Camo Tech Piqu‚ Men's Polo (Twilight)</t>
        </is>
      </c>
      <c r="E2604" s="1" t="inlineStr">
        <is>
          <t>GFORE</t>
        </is>
      </c>
      <c r="F2604" s="1" t="inlineStr">
        <is>
          <t>SHORT SLEEVES</t>
        </is>
      </c>
      <c r="G2604" s="1" t="inlineStr">
        <is>
          <t>GF2040118990XS</t>
        </is>
      </c>
      <c r="H2604" s="1" t="n">
        <v>6</v>
      </c>
      <c r="I2604" s="1" t="inlineStr">
        <is>
          <t>มี</t>
        </is>
      </c>
      <c r="J2604" s="13" t="n">
        <v>99</v>
      </c>
      <c r="K2604" s="1" t="inlineStr"/>
      <c r="L2604" s="13" t="n">
        <v>99</v>
      </c>
      <c r="M2604" s="1">
        <f>IF(L2604="","ไม่พบใน SG",IF(ABS(J2604-L2604)&lt;0.005,"ตรงกัน","ไม่ตรง"))</f>
        <v/>
      </c>
      <c r="N2604" s="14">
        <f>IF(L2604="","",ROUND(L2604*'สรุป'!$C$6,-1))</f>
        <v/>
      </c>
      <c r="O2604" s="15" t="n"/>
      <c r="P2604" s="15" t="n"/>
      <c r="Q2604" s="10" t="n"/>
      <c r="R2604" s="10" t="n"/>
      <c r="S2604" s="16" t="inlineStr">
        <is>
          <t>https://mstgolf.co.th/products/gf2040118990</t>
        </is>
      </c>
      <c r="T2604" s="1">
        <f>IF(B2604="ไม้กอล์ฟ",J2604,"")</f>
        <v/>
      </c>
    </row>
    <row r="2605">
      <c r="A2605" s="1" t="n">
        <v>3</v>
      </c>
      <c r="B2605" s="1" t="inlineStr">
        <is>
          <t>อุปกรณ์เสริม</t>
        </is>
      </c>
      <c r="C2605" s="1" t="inlineStr">
        <is>
          <t>gf3500201477</t>
        </is>
      </c>
      <c r="D2605" s="1" t="inlineStr">
        <is>
          <t>GFORE Circle G's Phrase Driver Headcover (Baja)</t>
        </is>
      </c>
      <c r="E2605" s="1" t="inlineStr">
        <is>
          <t>GFORE</t>
        </is>
      </c>
      <c r="F2605" s="1" t="inlineStr">
        <is>
          <t>HEADCOVERS</t>
        </is>
      </c>
      <c r="G2605" s="1" t="inlineStr">
        <is>
          <t>GF3500201477</t>
        </is>
      </c>
      <c r="H2605" s="1" t="n">
        <v>1</v>
      </c>
      <c r="I2605" s="1" t="inlineStr">
        <is>
          <t>มี</t>
        </is>
      </c>
      <c r="J2605" s="13" t="n">
        <v>99</v>
      </c>
      <c r="K2605" s="1" t="inlineStr"/>
      <c r="L2605" s="13" t="n">
        <v>99</v>
      </c>
      <c r="M2605" s="1">
        <f>IF(L2605="","ไม่พบใน SG",IF(ABS(J2605-L2605)&lt;0.005,"ตรงกัน","ไม่ตรง"))</f>
        <v/>
      </c>
      <c r="N2605" s="14">
        <f>IF(L2605="","",ROUND(L2605*'สรุป'!$C$6,-1))</f>
        <v/>
      </c>
      <c r="O2605" s="15" t="n"/>
      <c r="P2605" s="15" t="n"/>
      <c r="Q2605" s="10" t="n"/>
      <c r="R2605" s="10" t="n"/>
      <c r="S2605" s="16" t="inlineStr">
        <is>
          <t>https://mstgolf.co.th/products/gf3500201477</t>
        </is>
      </c>
      <c r="T2605" s="1">
        <f>IF(B2605="ไม้กอล์ฟ",J2605,"")</f>
        <v/>
      </c>
    </row>
    <row r="2606">
      <c r="A2606" s="1" t="n">
        <v>3</v>
      </c>
      <c r="B2606" s="1" t="inlineStr">
        <is>
          <t>อุปกรณ์เสริม</t>
        </is>
      </c>
      <c r="C2606" s="1" t="inlineStr">
        <is>
          <t>gf3500201390</t>
        </is>
      </c>
      <c r="D2606" s="1" t="inlineStr">
        <is>
          <t>GFORE Driver Headcover (Nimbus)</t>
        </is>
      </c>
      <c r="E2606" s="1" t="inlineStr">
        <is>
          <t>GFORE</t>
        </is>
      </c>
      <c r="F2606" s="1" t="inlineStr">
        <is>
          <t>HEADCOVERS</t>
        </is>
      </c>
      <c r="G2606" s="1" t="inlineStr">
        <is>
          <t>GF3500201390</t>
        </is>
      </c>
      <c r="H2606" s="1" t="n">
        <v>1</v>
      </c>
      <c r="I2606" s="1" t="inlineStr">
        <is>
          <t>มี</t>
        </is>
      </c>
      <c r="J2606" s="13" t="n">
        <v>99</v>
      </c>
      <c r="K2606" s="1" t="inlineStr"/>
      <c r="L2606" s="13" t="n">
        <v>99</v>
      </c>
      <c r="M2606" s="1">
        <f>IF(L2606="","ไม่พบใน SG",IF(ABS(J2606-L2606)&lt;0.005,"ตรงกัน","ไม่ตรง"))</f>
        <v/>
      </c>
      <c r="N2606" s="14">
        <f>IF(L2606="","",ROUND(L2606*'สรุป'!$C$6,-1))</f>
        <v/>
      </c>
      <c r="O2606" s="15" t="n"/>
      <c r="P2606" s="15" t="n"/>
      <c r="Q2606" s="10" t="n"/>
      <c r="R2606" s="10" t="n"/>
      <c r="S2606" s="16" t="inlineStr">
        <is>
          <t>https://mstgolf.co.th/products/gf3500201390</t>
        </is>
      </c>
      <c r="T2606" s="1">
        <f>IF(B2606="ไม้กอล์ฟ",J2606,"")</f>
        <v/>
      </c>
    </row>
    <row r="2607">
      <c r="A2607" s="1" t="n">
        <v>3</v>
      </c>
      <c r="B2607" s="1" t="inlineStr">
        <is>
          <t>อุปกรณ์เสริม</t>
        </is>
      </c>
      <c r="C2607" s="1" t="inlineStr">
        <is>
          <t>gf3500201391</t>
        </is>
      </c>
      <c r="D2607" s="1" t="inlineStr">
        <is>
          <t>GFORE Driver Headcover (Stone)</t>
        </is>
      </c>
      <c r="E2607" s="1" t="inlineStr">
        <is>
          <t>GFORE</t>
        </is>
      </c>
      <c r="F2607" s="1" t="inlineStr">
        <is>
          <t>HEADCOVERS</t>
        </is>
      </c>
      <c r="G2607" s="1" t="inlineStr">
        <is>
          <t>GF3500201391</t>
        </is>
      </c>
      <c r="H2607" s="1" t="n">
        <v>1</v>
      </c>
      <c r="I2607" s="1" t="inlineStr">
        <is>
          <t>มี</t>
        </is>
      </c>
      <c r="J2607" s="13" t="n">
        <v>99</v>
      </c>
      <c r="K2607" s="1" t="inlineStr"/>
      <c r="L2607" s="13" t="n">
        <v>99</v>
      </c>
      <c r="M2607" s="1">
        <f>IF(L2607="","ไม่พบใน SG",IF(ABS(J2607-L2607)&lt;0.005,"ตรงกัน","ไม่ตรง"))</f>
        <v/>
      </c>
      <c r="N2607" s="14">
        <f>IF(L2607="","",ROUND(L2607*'สรุป'!$C$6,-1))</f>
        <v/>
      </c>
      <c r="O2607" s="15" t="n"/>
      <c r="P2607" s="15" t="n"/>
      <c r="Q2607" s="10" t="n"/>
      <c r="R2607" s="10" t="n"/>
      <c r="S2607" s="16" t="inlineStr">
        <is>
          <t>https://mstgolf.co.th/products/gf3500201391</t>
        </is>
      </c>
      <c r="T2607" s="1">
        <f>IF(B2607="ไม้กอล์ฟ",J2607,"")</f>
        <v/>
      </c>
    </row>
    <row r="2608">
      <c r="A2608" s="1" t="n">
        <v>3</v>
      </c>
      <c r="B2608" s="1" t="inlineStr">
        <is>
          <t>อุปกรณ์เสริม</t>
        </is>
      </c>
      <c r="C2608" s="1" t="inlineStr">
        <is>
          <t>gf3500201478</t>
        </is>
      </c>
      <c r="D2608" s="1" t="inlineStr">
        <is>
          <t>GFORE Gradient Mallet Headcover (Isle)</t>
        </is>
      </c>
      <c r="E2608" s="1" t="inlineStr">
        <is>
          <t>GFORE</t>
        </is>
      </c>
      <c r="F2608" s="1" t="inlineStr">
        <is>
          <t>HEADCOVERS</t>
        </is>
      </c>
      <c r="G2608" s="1" t="inlineStr">
        <is>
          <t>GF3500201478</t>
        </is>
      </c>
      <c r="H2608" s="1" t="n">
        <v>1</v>
      </c>
      <c r="I2608" s="1" t="inlineStr">
        <is>
          <t>มี</t>
        </is>
      </c>
      <c r="J2608" s="13" t="n">
        <v>99</v>
      </c>
      <c r="K2608" s="1" t="inlineStr"/>
      <c r="L2608" s="13" t="n">
        <v>99</v>
      </c>
      <c r="M2608" s="1">
        <f>IF(L2608="","ไม่พบใน SG",IF(ABS(J2608-L2608)&lt;0.005,"ตรงกัน","ไม่ตรง"))</f>
        <v/>
      </c>
      <c r="N2608" s="14">
        <f>IF(L2608="","",ROUND(L2608*'สรุป'!$C$6,-1))</f>
        <v/>
      </c>
      <c r="O2608" s="15" t="n"/>
      <c r="P2608" s="15" t="n"/>
      <c r="Q2608" s="10" t="n"/>
      <c r="R2608" s="10" t="n"/>
      <c r="S2608" s="16" t="inlineStr">
        <is>
          <t>https://mstgolf.co.th/products/gf3500201478</t>
        </is>
      </c>
      <c r="T2608" s="1">
        <f>IF(B2608="ไม้กอล์ฟ",J2608,"")</f>
        <v/>
      </c>
    </row>
    <row r="2609">
      <c r="A2609" s="1" t="n">
        <v>3</v>
      </c>
      <c r="B2609" s="1" t="inlineStr">
        <is>
          <t>เสื้อผ้า</t>
        </is>
      </c>
      <c r="C2609" s="1" t="inlineStr">
        <is>
          <t>gf2040400897</t>
        </is>
      </c>
      <c r="D2609" s="1" t="inlineStr">
        <is>
          <t>GFORE Luxe Men's Long Sleeve Polo (Snow)</t>
        </is>
      </c>
      <c r="E2609" s="1" t="inlineStr">
        <is>
          <t>GFORE</t>
        </is>
      </c>
      <c r="F2609" s="1" t="inlineStr">
        <is>
          <t>LONG SLEEVES</t>
        </is>
      </c>
      <c r="G2609" s="1" t="inlineStr">
        <is>
          <t>GF2040400897XS</t>
        </is>
      </c>
      <c r="H2609" s="1" t="n">
        <v>6</v>
      </c>
      <c r="I2609" s="1" t="inlineStr">
        <is>
          <t>มี</t>
        </is>
      </c>
      <c r="J2609" s="13" t="n">
        <v>99</v>
      </c>
      <c r="K2609" s="1" t="inlineStr"/>
      <c r="L2609" s="13" t="n">
        <v>99</v>
      </c>
      <c r="M2609" s="1">
        <f>IF(L2609="","ไม่พบใน SG",IF(ABS(J2609-L2609)&lt;0.005,"ตรงกัน","ไม่ตรง"))</f>
        <v/>
      </c>
      <c r="N2609" s="14">
        <f>IF(L2609="","",ROUND(L2609*'สรุป'!$C$6,-1))</f>
        <v/>
      </c>
      <c r="O2609" s="15" t="n"/>
      <c r="P2609" s="15" t="n"/>
      <c r="Q2609" s="10" t="n"/>
      <c r="R2609" s="10" t="n"/>
      <c r="S2609" s="16" t="inlineStr">
        <is>
          <t>https://mstgolf.co.th/products/gf2040400897</t>
        </is>
      </c>
      <c r="T2609" s="1">
        <f>IF(B2609="ไม้กอล์ฟ",J2609,"")</f>
        <v/>
      </c>
    </row>
    <row r="2610">
      <c r="A2610" s="1" t="n">
        <v>3</v>
      </c>
      <c r="B2610" s="1" t="inlineStr">
        <is>
          <t>อุปกรณ์เสริม</t>
        </is>
      </c>
      <c r="C2610" s="1" t="inlineStr">
        <is>
          <t>gf3500201393</t>
        </is>
      </c>
      <c r="D2610" s="1" t="inlineStr">
        <is>
          <t>GFORE Mallet Headcover (Seaglass)</t>
        </is>
      </c>
      <c r="E2610" s="1" t="inlineStr">
        <is>
          <t>GFORE</t>
        </is>
      </c>
      <c r="F2610" s="1" t="inlineStr">
        <is>
          <t>HEADCOVERS</t>
        </is>
      </c>
      <c r="G2610" s="1" t="inlineStr">
        <is>
          <t>GF3500201393</t>
        </is>
      </c>
      <c r="H2610" s="1" t="n">
        <v>1</v>
      </c>
      <c r="I2610" s="1" t="inlineStr">
        <is>
          <t>มี</t>
        </is>
      </c>
      <c r="J2610" s="13" t="n">
        <v>99</v>
      </c>
      <c r="K2610" s="1" t="inlineStr"/>
      <c r="L2610" s="13" t="n">
        <v>99</v>
      </c>
      <c r="M2610" s="1">
        <f>IF(L2610="","ไม่พบใน SG",IF(ABS(J2610-L2610)&lt;0.005,"ตรงกัน","ไม่ตรง"))</f>
        <v/>
      </c>
      <c r="N2610" s="14">
        <f>IF(L2610="","",ROUND(L2610*'สรุป'!$C$6,-1))</f>
        <v/>
      </c>
      <c r="O2610" s="15" t="n"/>
      <c r="P2610" s="15" t="n"/>
      <c r="Q2610" s="10" t="n"/>
      <c r="R2610" s="10" t="n"/>
      <c r="S2610" s="16" t="inlineStr">
        <is>
          <t>https://mstgolf.co.th/products/gf3500201393</t>
        </is>
      </c>
      <c r="T2610" s="1">
        <f>IF(B2610="ไม้กอล์ฟ",J2610,"")</f>
        <v/>
      </c>
    </row>
    <row r="2611">
      <c r="A2611" s="1" t="n">
        <v>3</v>
      </c>
      <c r="B2611" s="1" t="inlineStr">
        <is>
          <t>เสื้อผ้า</t>
        </is>
      </c>
      <c r="C2611" s="1" t="inlineStr">
        <is>
          <t>gf2040400805</t>
        </is>
      </c>
      <c r="D2611" s="1" t="inlineStr">
        <is>
          <t>GFORE Skull &amp; Tees Sun Men's Long Sleeve Polo (Ice Blue)</t>
        </is>
      </c>
      <c r="E2611" s="1" t="inlineStr">
        <is>
          <t>GFORE</t>
        </is>
      </c>
      <c r="F2611" s="1" t="inlineStr">
        <is>
          <t>LONG SLEEVES</t>
        </is>
      </c>
      <c r="G2611" s="1" t="inlineStr">
        <is>
          <t>GF2040400805XS</t>
        </is>
      </c>
      <c r="H2611" s="1" t="n">
        <v>6</v>
      </c>
      <c r="I2611" s="1" t="inlineStr">
        <is>
          <t>มี</t>
        </is>
      </c>
      <c r="J2611" s="13" t="n">
        <v>99</v>
      </c>
      <c r="K2611" s="1" t="inlineStr"/>
      <c r="L2611" s="13" t="n">
        <v>99</v>
      </c>
      <c r="M2611" s="1">
        <f>IF(L2611="","ไม่พบใน SG",IF(ABS(J2611-L2611)&lt;0.005,"ตรงกัน","ไม่ตรง"))</f>
        <v/>
      </c>
      <c r="N2611" s="14">
        <f>IF(L2611="","",ROUND(L2611*'สรุป'!$C$6,-1))</f>
        <v/>
      </c>
      <c r="O2611" s="15" t="n"/>
      <c r="P2611" s="15" t="n"/>
      <c r="Q2611" s="10" t="n"/>
      <c r="R2611" s="10" t="n"/>
      <c r="S2611" s="16" t="inlineStr">
        <is>
          <t>https://mstgolf.co.th/products/gf2040400805</t>
        </is>
      </c>
      <c r="T2611" s="1">
        <f>IF(B2611="ไม้กอล์ฟ",J2611,"")</f>
        <v/>
      </c>
    </row>
    <row r="2612">
      <c r="A2612" s="1" t="n">
        <v>3</v>
      </c>
      <c r="B2612" s="1" t="inlineStr">
        <is>
          <t>เสื้อผ้า</t>
        </is>
      </c>
      <c r="C2612" s="1" t="inlineStr">
        <is>
          <t>gf2060101236</t>
        </is>
      </c>
      <c r="D2612" s="1" t="inlineStr">
        <is>
          <t>LE COQ SPORTIF GOLF 30th Anniversary Women's Short Sleeve Hoodie (Black)</t>
        </is>
      </c>
      <c r="E2612" s="1" t="inlineStr">
        <is>
          <t>LE COQ SPORTIF GOLF</t>
        </is>
      </c>
      <c r="F2612" s="1" t="inlineStr">
        <is>
          <t>TOP</t>
        </is>
      </c>
      <c r="G2612" s="1" t="inlineStr">
        <is>
          <t>GF2060101236XS</t>
        </is>
      </c>
      <c r="H2612" s="1" t="n">
        <v>5</v>
      </c>
      <c r="I2612" s="1" t="inlineStr">
        <is>
          <t>มี</t>
        </is>
      </c>
      <c r="J2612" s="13" t="n">
        <v>99</v>
      </c>
      <c r="K2612" s="1" t="inlineStr"/>
      <c r="L2612" s="13" t="n">
        <v>99</v>
      </c>
      <c r="M2612" s="1">
        <f>IF(L2612="","ไม่พบใน SG",IF(ABS(J2612-L2612)&lt;0.005,"ตรงกัน","ไม่ตรง"))</f>
        <v/>
      </c>
      <c r="N2612" s="14">
        <f>IF(L2612="","",ROUND(L2612*'สรุป'!$C$6,-1))</f>
        <v/>
      </c>
      <c r="O2612" s="15" t="n"/>
      <c r="P2612" s="15" t="n"/>
      <c r="Q2612" s="10" t="n"/>
      <c r="R2612" s="10" t="n"/>
      <c r="S2612" s="16" t="inlineStr">
        <is>
          <t>https://mstgolf.co.th/products/gf2060101236</t>
        </is>
      </c>
      <c r="T2612" s="1">
        <f>IF(B2612="ไม้กอล์ฟ",J2612,"")</f>
        <v/>
      </c>
    </row>
    <row r="2613">
      <c r="A2613" s="1" t="n">
        <v>3</v>
      </c>
      <c r="B2613" s="1" t="inlineStr">
        <is>
          <t>เสื้อผ้า</t>
        </is>
      </c>
      <c r="C2613" s="1" t="inlineStr">
        <is>
          <t>gf2060101235</t>
        </is>
      </c>
      <c r="D2613" s="1" t="inlineStr">
        <is>
          <t>LE COQ SPORTIF GOLF 30th Anniversary Women's Short Sleeve Hoodie (White)</t>
        </is>
      </c>
      <c r="E2613" s="1" t="inlineStr">
        <is>
          <t>LE COQ SPORTIF GOLF</t>
        </is>
      </c>
      <c r="F2613" s="1" t="inlineStr">
        <is>
          <t>TOP</t>
        </is>
      </c>
      <c r="G2613" s="1" t="inlineStr">
        <is>
          <t>GF2060101235XS</t>
        </is>
      </c>
      <c r="H2613" s="1" t="n">
        <v>5</v>
      </c>
      <c r="I2613" s="1" t="inlineStr">
        <is>
          <t>มี</t>
        </is>
      </c>
      <c r="J2613" s="13" t="n">
        <v>99</v>
      </c>
      <c r="K2613" s="1" t="inlineStr"/>
      <c r="L2613" s="13" t="n">
        <v>99</v>
      </c>
      <c r="M2613" s="1">
        <f>IF(L2613="","ไม่พบใน SG",IF(ABS(J2613-L2613)&lt;0.005,"ตรงกัน","ไม่ตรง"))</f>
        <v/>
      </c>
      <c r="N2613" s="14">
        <f>IF(L2613="","",ROUND(L2613*'สรุป'!$C$6,-1))</f>
        <v/>
      </c>
      <c r="O2613" s="15" t="n"/>
      <c r="P2613" s="15" t="n"/>
      <c r="Q2613" s="10" t="n"/>
      <c r="R2613" s="10" t="n"/>
      <c r="S2613" s="16" t="inlineStr">
        <is>
          <t>https://mstgolf.co.th/products/gf2060101235</t>
        </is>
      </c>
      <c r="T2613" s="1">
        <f>IF(B2613="ไม้กอล์ฟ",J2613,"")</f>
        <v/>
      </c>
    </row>
    <row r="2614">
      <c r="A2614" s="1" t="n">
        <v>3</v>
      </c>
      <c r="B2614" s="1" t="inlineStr">
        <is>
          <t>เสื้อผ้า</t>
        </is>
      </c>
      <c r="C2614" s="1" t="inlineStr">
        <is>
          <t>gf2040120706</t>
        </is>
      </c>
      <c r="D2614" s="1" t="inlineStr">
        <is>
          <t>LE COQ SPORTIF GOLF Golf Patterned Men's Polo (Green)</t>
        </is>
      </c>
      <c r="E2614" s="1" t="inlineStr">
        <is>
          <t>LE COQ SPORTIF GOLF</t>
        </is>
      </c>
      <c r="F2614" s="1" t="inlineStr">
        <is>
          <t>SHORT SLEEVES</t>
        </is>
      </c>
      <c r="G2614" s="1" t="inlineStr">
        <is>
          <t>GF2040120706M</t>
        </is>
      </c>
      <c r="H2614" s="1" t="n">
        <v>4</v>
      </c>
      <c r="I2614" s="1" t="inlineStr">
        <is>
          <t>มี</t>
        </is>
      </c>
      <c r="J2614" s="13" t="n">
        <v>99</v>
      </c>
      <c r="K2614" s="1" t="inlineStr"/>
      <c r="L2614" s="13" t="n">
        <v>69</v>
      </c>
      <c r="M2614" s="1">
        <f>IF(L2614="","ไม่พบใน SG",IF(ABS(J2614-L2614)&lt;0.005,"ตรงกัน","ไม่ตรง"))</f>
        <v/>
      </c>
      <c r="N2614" s="14">
        <f>IF(L2614="","",ROUND(L2614*'สรุป'!$C$6,-1))</f>
        <v/>
      </c>
      <c r="O2614" s="15" t="n"/>
      <c r="P2614" s="15" t="n"/>
      <c r="Q2614" s="10" t="n"/>
      <c r="R2614" s="10" t="n"/>
      <c r="S2614" s="16" t="inlineStr">
        <is>
          <t>https://mstgolf.co.th/products/gf2040120706</t>
        </is>
      </c>
      <c r="T2614" s="1">
        <f>IF(B2614="ไม้กอล์ฟ",J2614,"")</f>
        <v/>
      </c>
    </row>
    <row r="2615">
      <c r="A2615" s="1" t="n">
        <v>3</v>
      </c>
      <c r="B2615" s="1" t="inlineStr">
        <is>
          <t>เสื้อผ้า</t>
        </is>
      </c>
      <c r="C2615" s="1" t="inlineStr">
        <is>
          <t>gf2040120708</t>
        </is>
      </c>
      <c r="D2615" s="1" t="inlineStr">
        <is>
          <t>LE COQ SPORTIF GOLF Golf Patterned Men's Polo (White)</t>
        </is>
      </c>
      <c r="E2615" s="1" t="inlineStr">
        <is>
          <t>LE COQ SPORTIF GOLF</t>
        </is>
      </c>
      <c r="F2615" s="1" t="inlineStr">
        <is>
          <t>SHORT SLEEVES</t>
        </is>
      </c>
      <c r="G2615" s="1" t="inlineStr">
        <is>
          <t>GF2040120708M</t>
        </is>
      </c>
      <c r="H2615" s="1" t="n">
        <v>4</v>
      </c>
      <c r="I2615" s="1" t="inlineStr">
        <is>
          <t>มี</t>
        </is>
      </c>
      <c r="J2615" s="13" t="n">
        <v>99</v>
      </c>
      <c r="K2615" s="1" t="inlineStr"/>
      <c r="L2615" s="13" t="n">
        <v>69</v>
      </c>
      <c r="M2615" s="1">
        <f>IF(L2615="","ไม่พบใน SG",IF(ABS(J2615-L2615)&lt;0.005,"ตรงกัน","ไม่ตรง"))</f>
        <v/>
      </c>
      <c r="N2615" s="14">
        <f>IF(L2615="","",ROUND(L2615*'สรุป'!$C$6,-1))</f>
        <v/>
      </c>
      <c r="O2615" s="15" t="n"/>
      <c r="P2615" s="15" t="n"/>
      <c r="Q2615" s="10" t="n"/>
      <c r="R2615" s="10" t="n"/>
      <c r="S2615" s="16" t="inlineStr">
        <is>
          <t>https://mstgolf.co.th/products/gf2040120708</t>
        </is>
      </c>
      <c r="T2615" s="1">
        <f>IF(B2615="ไม้กอล์ฟ",J2615,"")</f>
        <v/>
      </c>
    </row>
    <row r="2616">
      <c r="A2616" s="1" t="n">
        <v>3</v>
      </c>
      <c r="B2616" s="1" t="inlineStr">
        <is>
          <t>เสื้อผ้า</t>
        </is>
      </c>
      <c r="C2616" s="1" t="inlineStr">
        <is>
          <t>gf2060101232</t>
        </is>
      </c>
      <c r="D2616" s="1" t="inlineStr">
        <is>
          <t>LE COQ SPORTIF GOLF Men's Knit Vest (Navy)</t>
        </is>
      </c>
      <c r="E2616" s="1" t="inlineStr">
        <is>
          <t>LE COQ SPORTIF GOLF</t>
        </is>
      </c>
      <c r="F2616" s="1" t="inlineStr">
        <is>
          <t>TOP</t>
        </is>
      </c>
      <c r="G2616" s="1" t="inlineStr">
        <is>
          <t>GF2060101232S</t>
        </is>
      </c>
      <c r="H2616" s="1" t="n">
        <v>6</v>
      </c>
      <c r="I2616" s="1" t="inlineStr">
        <is>
          <t>มี</t>
        </is>
      </c>
      <c r="J2616" s="13" t="n">
        <v>99</v>
      </c>
      <c r="K2616" s="1" t="inlineStr"/>
      <c r="L2616" s="13" t="n">
        <v>99</v>
      </c>
      <c r="M2616" s="1">
        <f>IF(L2616="","ไม่พบใน SG",IF(ABS(J2616-L2616)&lt;0.005,"ตรงกัน","ไม่ตรง"))</f>
        <v/>
      </c>
      <c r="N2616" s="14">
        <f>IF(L2616="","",ROUND(L2616*'สรุป'!$C$6,-1))</f>
        <v/>
      </c>
      <c r="O2616" s="15" t="n"/>
      <c r="P2616" s="15" t="n"/>
      <c r="Q2616" s="10" t="n"/>
      <c r="R2616" s="10" t="n"/>
      <c r="S2616" s="16" t="inlineStr">
        <is>
          <t>https://mstgolf.co.th/products/gf2060101232</t>
        </is>
      </c>
      <c r="T2616" s="1">
        <f>IF(B2616="ไม้กอล์ฟ",J2616,"")</f>
        <v/>
      </c>
    </row>
    <row r="2617">
      <c r="A2617" s="1" t="n">
        <v>3</v>
      </c>
      <c r="B2617" s="1" t="inlineStr">
        <is>
          <t>เสื้อผ้า</t>
        </is>
      </c>
      <c r="C2617" s="1" t="inlineStr">
        <is>
          <t>gf2060101233</t>
        </is>
      </c>
      <c r="D2617" s="1" t="inlineStr">
        <is>
          <t>LE COQ SPORTIF GOLF Men's Knit Vest (White)</t>
        </is>
      </c>
      <c r="E2617" s="1" t="inlineStr">
        <is>
          <t>LE COQ SPORTIF GOLF</t>
        </is>
      </c>
      <c r="F2617" s="1" t="inlineStr">
        <is>
          <t>TOP</t>
        </is>
      </c>
      <c r="G2617" s="1" t="inlineStr">
        <is>
          <t>GF2060101233S</t>
        </is>
      </c>
      <c r="H2617" s="1" t="n">
        <v>6</v>
      </c>
      <c r="I2617" s="1" t="inlineStr">
        <is>
          <t>มี</t>
        </is>
      </c>
      <c r="J2617" s="13" t="n">
        <v>99</v>
      </c>
      <c r="K2617" s="1" t="inlineStr"/>
      <c r="L2617" s="13" t="n">
        <v>99</v>
      </c>
      <c r="M2617" s="1">
        <f>IF(L2617="","ไม่พบใน SG",IF(ABS(J2617-L2617)&lt;0.005,"ตรงกัน","ไม่ตรง"))</f>
        <v/>
      </c>
      <c r="N2617" s="14">
        <f>IF(L2617="","",ROUND(L2617*'สรุป'!$C$6,-1))</f>
        <v/>
      </c>
      <c r="O2617" s="15" t="n"/>
      <c r="P2617" s="15" t="n"/>
      <c r="Q2617" s="10" t="n"/>
      <c r="R2617" s="10" t="n"/>
      <c r="S2617" s="16" t="inlineStr">
        <is>
          <t>https://mstgolf.co.th/products/gf2060101233</t>
        </is>
      </c>
      <c r="T2617" s="1">
        <f>IF(B2617="ไม้กอล์ฟ",J2617,"")</f>
        <v/>
      </c>
    </row>
    <row r="2618">
      <c r="A2618" s="1" t="n">
        <v>3</v>
      </c>
      <c r="B2618" s="1" t="inlineStr">
        <is>
          <t>เสื้อผ้า</t>
        </is>
      </c>
      <c r="C2618" s="1" t="inlineStr">
        <is>
          <t>gf2040120705</t>
        </is>
      </c>
      <c r="D2618" s="1" t="inlineStr">
        <is>
          <t>LE COQ SPORTIF GOLF Patterned Men's Polo (Beige)</t>
        </is>
      </c>
      <c r="E2618" s="1" t="inlineStr">
        <is>
          <t>LE COQ SPORTIF GOLF</t>
        </is>
      </c>
      <c r="F2618" s="1" t="inlineStr">
        <is>
          <t>SHORT SLEEVES</t>
        </is>
      </c>
      <c r="G2618" s="1" t="inlineStr">
        <is>
          <t>GF2040120705M</t>
        </is>
      </c>
      <c r="H2618" s="1" t="n">
        <v>4</v>
      </c>
      <c r="I2618" s="1" t="inlineStr">
        <is>
          <t>มี</t>
        </is>
      </c>
      <c r="J2618" s="13" t="n">
        <v>99</v>
      </c>
      <c r="K2618" s="1" t="inlineStr"/>
      <c r="L2618" s="13" t="n">
        <v>59</v>
      </c>
      <c r="M2618" s="1">
        <f>IF(L2618="","ไม่พบใน SG",IF(ABS(J2618-L2618)&lt;0.005,"ตรงกัน","ไม่ตรง"))</f>
        <v/>
      </c>
      <c r="N2618" s="14">
        <f>IF(L2618="","",ROUND(L2618*'สรุป'!$C$6,-1))</f>
        <v/>
      </c>
      <c r="O2618" s="15" t="n"/>
      <c r="P2618" s="15" t="n"/>
      <c r="Q2618" s="10" t="n"/>
      <c r="R2618" s="10" t="n"/>
      <c r="S2618" s="16" t="inlineStr">
        <is>
          <t>https://mstgolf.co.th/products/gf2040120705</t>
        </is>
      </c>
      <c r="T2618" s="1">
        <f>IF(B2618="ไม้กอล์ฟ",J2618,"")</f>
        <v/>
      </c>
    </row>
    <row r="2619">
      <c r="A2619" s="1" t="n">
        <v>3</v>
      </c>
      <c r="B2619" s="1" t="inlineStr">
        <is>
          <t>เสื้อผ้า</t>
        </is>
      </c>
      <c r="C2619" s="1" t="inlineStr">
        <is>
          <t>gf2020300096</t>
        </is>
      </c>
      <c r="D2619" s="1" t="inlineStr">
        <is>
          <t>LE COQ SPORTIF GOLF Petite Skort (Khaki)</t>
        </is>
      </c>
      <c r="E2619" s="1" t="inlineStr">
        <is>
          <t>LE COQ SPORTIF GOLF</t>
        </is>
      </c>
      <c r="F2619" s="1" t="inlineStr">
        <is>
          <t>SKORTS</t>
        </is>
      </c>
      <c r="G2619" s="1" t="inlineStr">
        <is>
          <t>GF2020300096S</t>
        </is>
      </c>
      <c r="H2619" s="1" t="n">
        <v>5</v>
      </c>
      <c r="I2619" s="1" t="inlineStr">
        <is>
          <t>มี</t>
        </is>
      </c>
      <c r="J2619" s="13" t="n">
        <v>99</v>
      </c>
      <c r="K2619" s="1" t="inlineStr"/>
      <c r="L2619" s="13" t="n">
        <v>99</v>
      </c>
      <c r="M2619" s="1">
        <f>IF(L2619="","ไม่พบใน SG",IF(ABS(J2619-L2619)&lt;0.005,"ตรงกัน","ไม่ตรง"))</f>
        <v/>
      </c>
      <c r="N2619" s="14">
        <f>IF(L2619="","",ROUND(L2619*'สรุป'!$C$6,-1))</f>
        <v/>
      </c>
      <c r="O2619" s="15" t="n"/>
      <c r="P2619" s="15" t="n"/>
      <c r="Q2619" s="10" t="n"/>
      <c r="R2619" s="10" t="n"/>
      <c r="S2619" s="16" t="inlineStr">
        <is>
          <t>https://mstgolf.co.th/products/gf2020300096</t>
        </is>
      </c>
      <c r="T2619" s="1">
        <f>IF(B2619="ไม้กอล์ฟ",J2619,"")</f>
        <v/>
      </c>
    </row>
    <row r="2620">
      <c r="A2620" s="1" t="n">
        <v>3</v>
      </c>
      <c r="B2620" s="1" t="inlineStr">
        <is>
          <t>เสื้อผ้า</t>
        </is>
      </c>
      <c r="C2620" s="1" t="inlineStr">
        <is>
          <t>gf2020300094</t>
        </is>
      </c>
      <c r="D2620" s="1" t="inlineStr">
        <is>
          <t>LE COQ SPORTIF GOLF Petite Skort (White)</t>
        </is>
      </c>
      <c r="E2620" s="1" t="inlineStr">
        <is>
          <t>LE COQ SPORTIF GOLF</t>
        </is>
      </c>
      <c r="F2620" s="1" t="inlineStr">
        <is>
          <t>SKORTS</t>
        </is>
      </c>
      <c r="G2620" s="1" t="inlineStr">
        <is>
          <t>GF2020300094S</t>
        </is>
      </c>
      <c r="H2620" s="1" t="n">
        <v>5</v>
      </c>
      <c r="I2620" s="1" t="inlineStr">
        <is>
          <t>มี</t>
        </is>
      </c>
      <c r="J2620" s="13" t="n">
        <v>99</v>
      </c>
      <c r="K2620" s="1" t="inlineStr"/>
      <c r="L2620" s="13" t="n">
        <v>99</v>
      </c>
      <c r="M2620" s="1">
        <f>IF(L2620="","ไม่พบใน SG",IF(ABS(J2620-L2620)&lt;0.005,"ตรงกัน","ไม่ตรง"))</f>
        <v/>
      </c>
      <c r="N2620" s="14">
        <f>IF(L2620="","",ROUND(L2620*'สรุป'!$C$6,-1))</f>
        <v/>
      </c>
      <c r="O2620" s="15" t="n"/>
      <c r="P2620" s="15" t="n"/>
      <c r="Q2620" s="10" t="n"/>
      <c r="R2620" s="10" t="n"/>
      <c r="S2620" s="16" t="inlineStr">
        <is>
          <t>https://mstgolf.co.th/products/gf2020300094</t>
        </is>
      </c>
      <c r="T2620" s="1">
        <f>IF(B2620="ไม้กอล์ฟ",J2620,"")</f>
        <v/>
      </c>
    </row>
    <row r="2621">
      <c r="A2621" s="1" t="n">
        <v>3</v>
      </c>
      <c r="B2621" s="1" t="inlineStr">
        <is>
          <t>เสื้อผ้า</t>
        </is>
      </c>
      <c r="C2621" s="1" t="inlineStr">
        <is>
          <t>gf2020300088</t>
        </is>
      </c>
      <c r="D2621" s="1" t="inlineStr">
        <is>
          <t>LE COQ SPORTIF GOLF Printed Skirt (Navy)</t>
        </is>
      </c>
      <c r="E2621" s="1" t="inlineStr">
        <is>
          <t>LE COQ SPORTIF GOLF</t>
        </is>
      </c>
      <c r="F2621" s="1" t="inlineStr">
        <is>
          <t>SKORTS</t>
        </is>
      </c>
      <c r="G2621" s="1" t="inlineStr">
        <is>
          <t>GF2020300088S</t>
        </is>
      </c>
      <c r="H2621" s="1" t="n">
        <v>6</v>
      </c>
      <c r="I2621" s="1" t="inlineStr">
        <is>
          <t>มี</t>
        </is>
      </c>
      <c r="J2621" s="13" t="n">
        <v>99</v>
      </c>
      <c r="K2621" s="1" t="inlineStr"/>
      <c r="L2621" s="13" t="n">
        <v>69</v>
      </c>
      <c r="M2621" s="1">
        <f>IF(L2621="","ไม่พบใน SG",IF(ABS(J2621-L2621)&lt;0.005,"ตรงกัน","ไม่ตรง"))</f>
        <v/>
      </c>
      <c r="N2621" s="14">
        <f>IF(L2621="","",ROUND(L2621*'สรุป'!$C$6,-1))</f>
        <v/>
      </c>
      <c r="O2621" s="15" t="n"/>
      <c r="P2621" s="15" t="n"/>
      <c r="Q2621" s="10" t="n"/>
      <c r="R2621" s="10" t="n"/>
      <c r="S2621" s="16" t="inlineStr">
        <is>
          <t>https://mstgolf.co.th/products/gf2020300088</t>
        </is>
      </c>
      <c r="T2621" s="1">
        <f>IF(B2621="ไม้กอล์ฟ",J2621,"")</f>
        <v/>
      </c>
    </row>
    <row r="2622">
      <c r="A2622" s="1" t="n">
        <v>3</v>
      </c>
      <c r="B2622" s="1" t="inlineStr">
        <is>
          <t>เสื้อผ้า</t>
        </is>
      </c>
      <c r="C2622" s="1" t="inlineStr">
        <is>
          <t>gf2020300090</t>
        </is>
      </c>
      <c r="D2622" s="1" t="inlineStr">
        <is>
          <t>LE COQ SPORTIF GOLF Printed Skirt (Pink)</t>
        </is>
      </c>
      <c r="E2622" s="1" t="inlineStr">
        <is>
          <t>LE COQ SPORTIF GOLF</t>
        </is>
      </c>
      <c r="F2622" s="1" t="inlineStr">
        <is>
          <t>SKORTS</t>
        </is>
      </c>
      <c r="G2622" s="1" t="inlineStr">
        <is>
          <t>GF2020300090S</t>
        </is>
      </c>
      <c r="H2622" s="1" t="n">
        <v>6</v>
      </c>
      <c r="I2622" s="1" t="inlineStr">
        <is>
          <t>มี</t>
        </is>
      </c>
      <c r="J2622" s="13" t="n">
        <v>99</v>
      </c>
      <c r="K2622" s="1" t="inlineStr"/>
      <c r="L2622" s="13" t="n">
        <v>69</v>
      </c>
      <c r="M2622" s="1">
        <f>IF(L2622="","ไม่พบใน SG",IF(ABS(J2622-L2622)&lt;0.005,"ตรงกัน","ไม่ตรง"))</f>
        <v/>
      </c>
      <c r="N2622" s="14">
        <f>IF(L2622="","",ROUND(L2622*'สรุป'!$C$6,-1))</f>
        <v/>
      </c>
      <c r="O2622" s="15" t="n"/>
      <c r="P2622" s="15" t="n"/>
      <c r="Q2622" s="10" t="n"/>
      <c r="R2622" s="10" t="n"/>
      <c r="S2622" s="16" t="inlineStr">
        <is>
          <t>https://mstgolf.co.th/products/gf2020300090</t>
        </is>
      </c>
      <c r="T2622" s="1">
        <f>IF(B2622="ไม้กอล์ฟ",J2622,"")</f>
        <v/>
      </c>
    </row>
    <row r="2623">
      <c r="A2623" s="1" t="n">
        <v>3</v>
      </c>
      <c r="B2623" s="1" t="inlineStr">
        <is>
          <t>เสื้อผ้า</t>
        </is>
      </c>
      <c r="C2623" s="1" t="inlineStr">
        <is>
          <t>gf2020300089</t>
        </is>
      </c>
      <c r="D2623" s="1" t="inlineStr">
        <is>
          <t>LE COQ SPORTIF GOLF Printed Skirt (White)</t>
        </is>
      </c>
      <c r="E2623" s="1" t="inlineStr">
        <is>
          <t>LE COQ SPORTIF GOLF</t>
        </is>
      </c>
      <c r="F2623" s="1" t="inlineStr">
        <is>
          <t>SKORTS</t>
        </is>
      </c>
      <c r="G2623" s="1" t="inlineStr">
        <is>
          <t>GF2020300089S</t>
        </is>
      </c>
      <c r="H2623" s="1" t="n">
        <v>6</v>
      </c>
      <c r="I2623" s="1" t="inlineStr">
        <is>
          <t>มี</t>
        </is>
      </c>
      <c r="J2623" s="13" t="n">
        <v>99</v>
      </c>
      <c r="K2623" s="1" t="inlineStr"/>
      <c r="L2623" s="13" t="n">
        <v>69</v>
      </c>
      <c r="M2623" s="1">
        <f>IF(L2623="","ไม่พบใน SG",IF(ABS(J2623-L2623)&lt;0.005,"ตรงกัน","ไม่ตรง"))</f>
        <v/>
      </c>
      <c r="N2623" s="14">
        <f>IF(L2623="","",ROUND(L2623*'สรุป'!$C$6,-1))</f>
        <v/>
      </c>
      <c r="O2623" s="15" t="n"/>
      <c r="P2623" s="15" t="n"/>
      <c r="Q2623" s="10" t="n"/>
      <c r="R2623" s="10" t="n"/>
      <c r="S2623" s="16" t="inlineStr">
        <is>
          <t>https://mstgolf.co.th/products/gf2020300089</t>
        </is>
      </c>
      <c r="T2623" s="1">
        <f>IF(B2623="ไม้กอล์ฟ",J2623,"")</f>
        <v/>
      </c>
    </row>
    <row r="2624">
      <c r="A2624" s="1" t="n">
        <v>3</v>
      </c>
      <c r="B2624" s="1" t="inlineStr">
        <is>
          <t>เสื้อผ้า</t>
        </is>
      </c>
      <c r="C2624" s="1" t="inlineStr">
        <is>
          <t>gf2020300154</t>
        </is>
      </c>
      <c r="D2624" s="1" t="inlineStr">
        <is>
          <t>LE COQ SPORTIF GOLF Skort (Navy)</t>
        </is>
      </c>
      <c r="E2624" s="1" t="inlineStr">
        <is>
          <t>LE COQ SPORTIF GOLF</t>
        </is>
      </c>
      <c r="F2624" s="1" t="inlineStr">
        <is>
          <t>SKORTS</t>
        </is>
      </c>
      <c r="G2624" s="1" t="inlineStr">
        <is>
          <t>GF2020300154S</t>
        </is>
      </c>
      <c r="H2624" s="1" t="n">
        <v>6</v>
      </c>
      <c r="I2624" s="1" t="inlineStr">
        <is>
          <t>มี</t>
        </is>
      </c>
      <c r="J2624" s="13" t="n">
        <v>99</v>
      </c>
      <c r="K2624" s="1" t="inlineStr"/>
      <c r="L2624" s="13" t="n">
        <v>99</v>
      </c>
      <c r="M2624" s="1">
        <f>IF(L2624="","ไม่พบใน SG",IF(ABS(J2624-L2624)&lt;0.005,"ตรงกัน","ไม่ตรง"))</f>
        <v/>
      </c>
      <c r="N2624" s="14">
        <f>IF(L2624="","",ROUND(L2624*'สรุป'!$C$6,-1))</f>
        <v/>
      </c>
      <c r="O2624" s="15" t="n"/>
      <c r="P2624" s="15" t="n"/>
      <c r="Q2624" s="10" t="n"/>
      <c r="R2624" s="10" t="n"/>
      <c r="S2624" s="16" t="inlineStr">
        <is>
          <t>https://mstgolf.co.th/products/gf2020300154</t>
        </is>
      </c>
      <c r="T2624" s="1">
        <f>IF(B2624="ไม้กอล์ฟ",J2624,"")</f>
        <v/>
      </c>
    </row>
    <row r="2625">
      <c r="A2625" s="1" t="n">
        <v>3</v>
      </c>
      <c r="B2625" s="1" t="inlineStr">
        <is>
          <t>เสื้อผ้า</t>
        </is>
      </c>
      <c r="C2625" s="1" t="inlineStr">
        <is>
          <t>gf2020300155</t>
        </is>
      </c>
      <c r="D2625" s="1" t="inlineStr">
        <is>
          <t>LE COQ SPORTIF GOLF Skort (White)</t>
        </is>
      </c>
      <c r="E2625" s="1" t="inlineStr">
        <is>
          <t>LE COQ SPORTIF GOLF</t>
        </is>
      </c>
      <c r="F2625" s="1" t="inlineStr">
        <is>
          <t>SKORTS</t>
        </is>
      </c>
      <c r="G2625" s="1" t="inlineStr">
        <is>
          <t>GF2020300155S</t>
        </is>
      </c>
      <c r="H2625" s="1" t="n">
        <v>6</v>
      </c>
      <c r="I2625" s="1" t="inlineStr">
        <is>
          <t>มี</t>
        </is>
      </c>
      <c r="J2625" s="13" t="n">
        <v>99</v>
      </c>
      <c r="K2625" s="1" t="inlineStr"/>
      <c r="L2625" s="13" t="n">
        <v>99</v>
      </c>
      <c r="M2625" s="1">
        <f>IF(L2625="","ไม่พบใน SG",IF(ABS(J2625-L2625)&lt;0.005,"ตรงกัน","ไม่ตรง"))</f>
        <v/>
      </c>
      <c r="N2625" s="14">
        <f>IF(L2625="","",ROUND(L2625*'สรุป'!$C$6,-1))</f>
        <v/>
      </c>
      <c r="O2625" s="15" t="n"/>
      <c r="P2625" s="15" t="n"/>
      <c r="Q2625" s="10" t="n"/>
      <c r="R2625" s="10" t="n"/>
      <c r="S2625" s="16" t="inlineStr">
        <is>
          <t>https://mstgolf.co.th/products/gf2020300155</t>
        </is>
      </c>
      <c r="T2625" s="1">
        <f>IF(B2625="ไม้กอล์ฟ",J2625,"")</f>
        <v/>
      </c>
    </row>
    <row r="2626">
      <c r="A2626" s="1" t="n">
        <v>3</v>
      </c>
      <c r="B2626" s="1" t="inlineStr">
        <is>
          <t>เสื้อผ้า</t>
        </is>
      </c>
      <c r="C2626" s="1" t="inlineStr">
        <is>
          <t>gf2040120726</t>
        </is>
      </c>
      <c r="D2626" s="1" t="inlineStr">
        <is>
          <t>LE COQ SPORTIF GOLF Triangle Men's Jacquard Polo (Green)</t>
        </is>
      </c>
      <c r="E2626" s="1" t="inlineStr">
        <is>
          <t>LE COQ SPORTIF GOLF</t>
        </is>
      </c>
      <c r="F2626" s="1" t="inlineStr">
        <is>
          <t>SHORT SLEEVES</t>
        </is>
      </c>
      <c r="G2626" s="1" t="inlineStr">
        <is>
          <t>GF2040120726M</t>
        </is>
      </c>
      <c r="H2626" s="1" t="n">
        <v>4</v>
      </c>
      <c r="I2626" s="1" t="inlineStr">
        <is>
          <t>มี</t>
        </is>
      </c>
      <c r="J2626" s="13" t="n">
        <v>99</v>
      </c>
      <c r="K2626" s="1" t="inlineStr"/>
      <c r="L2626" s="13" t="n">
        <v>69</v>
      </c>
      <c r="M2626" s="1">
        <f>IF(L2626="","ไม่พบใน SG",IF(ABS(J2626-L2626)&lt;0.005,"ตรงกัน","ไม่ตรง"))</f>
        <v/>
      </c>
      <c r="N2626" s="14">
        <f>IF(L2626="","",ROUND(L2626*'สรุป'!$C$6,-1))</f>
        <v/>
      </c>
      <c r="O2626" s="15" t="n"/>
      <c r="P2626" s="15" t="n"/>
      <c r="Q2626" s="10" t="n"/>
      <c r="R2626" s="10" t="n"/>
      <c r="S2626" s="16" t="inlineStr">
        <is>
          <t>https://mstgolf.co.th/products/gf2040120726</t>
        </is>
      </c>
      <c r="T2626" s="1">
        <f>IF(B2626="ไม้กอล์ฟ",J2626,"")</f>
        <v/>
      </c>
    </row>
    <row r="2627">
      <c r="A2627" s="1" t="n">
        <v>3</v>
      </c>
      <c r="B2627" s="1" t="inlineStr">
        <is>
          <t>เสื้อผ้า</t>
        </is>
      </c>
      <c r="C2627" s="1" t="inlineStr">
        <is>
          <t>gf2040120728</t>
        </is>
      </c>
      <c r="D2627" s="1" t="inlineStr">
        <is>
          <t>LE COQ SPORTIF GOLF Triangle Men's Jacquard Polo (Red)</t>
        </is>
      </c>
      <c r="E2627" s="1" t="inlineStr">
        <is>
          <t>LE COQ SPORTIF GOLF</t>
        </is>
      </c>
      <c r="F2627" s="1" t="inlineStr">
        <is>
          <t>SHORT SLEEVES</t>
        </is>
      </c>
      <c r="G2627" s="1" t="inlineStr">
        <is>
          <t>GF2040120728M</t>
        </is>
      </c>
      <c r="H2627" s="1" t="n">
        <v>4</v>
      </c>
      <c r="I2627" s="1" t="inlineStr">
        <is>
          <t>มี</t>
        </is>
      </c>
      <c r="J2627" s="13" t="n">
        <v>99</v>
      </c>
      <c r="K2627" s="1" t="inlineStr"/>
      <c r="L2627" s="13" t="n">
        <v>69</v>
      </c>
      <c r="M2627" s="1">
        <f>IF(L2627="","ไม่พบใน SG",IF(ABS(J2627-L2627)&lt;0.005,"ตรงกัน","ไม่ตรง"))</f>
        <v/>
      </c>
      <c r="N2627" s="14">
        <f>IF(L2627="","",ROUND(L2627*'สรุป'!$C$6,-1))</f>
        <v/>
      </c>
      <c r="O2627" s="15" t="n"/>
      <c r="P2627" s="15" t="n"/>
      <c r="Q2627" s="10" t="n"/>
      <c r="R2627" s="10" t="n"/>
      <c r="S2627" s="16" t="inlineStr">
        <is>
          <t>https://mstgolf.co.th/products/gf2040120728</t>
        </is>
      </c>
      <c r="T2627" s="1">
        <f>IF(B2627="ไม้กอล์ฟ",J2627,"")</f>
        <v/>
      </c>
    </row>
    <row r="2628">
      <c r="A2628" s="1" t="n">
        <v>3</v>
      </c>
      <c r="B2628" s="1" t="inlineStr">
        <is>
          <t>เสื้อผ้า</t>
        </is>
      </c>
      <c r="C2628" s="1" t="inlineStr">
        <is>
          <t>gf2040120730</t>
        </is>
      </c>
      <c r="D2628" s="1" t="inlineStr">
        <is>
          <t>LE COQ SPORTIF GOLF Triangle Print Men's Polo (Beige)</t>
        </is>
      </c>
      <c r="E2628" s="1" t="inlineStr">
        <is>
          <t>LE COQ SPORTIF GOLF</t>
        </is>
      </c>
      <c r="F2628" s="1" t="inlineStr">
        <is>
          <t>SHORT SLEEVES</t>
        </is>
      </c>
      <c r="G2628" s="1" t="inlineStr">
        <is>
          <t>GF2040120730M</t>
        </is>
      </c>
      <c r="H2628" s="1" t="n">
        <v>4</v>
      </c>
      <c r="I2628" s="1" t="inlineStr">
        <is>
          <t>มี</t>
        </is>
      </c>
      <c r="J2628" s="13" t="n">
        <v>99</v>
      </c>
      <c r="K2628" s="1" t="inlineStr"/>
      <c r="L2628" s="13" t="n">
        <v>69</v>
      </c>
      <c r="M2628" s="1">
        <f>IF(L2628="","ไม่พบใน SG",IF(ABS(J2628-L2628)&lt;0.005,"ตรงกัน","ไม่ตรง"))</f>
        <v/>
      </c>
      <c r="N2628" s="14">
        <f>IF(L2628="","",ROUND(L2628*'สรุป'!$C$6,-1))</f>
        <v/>
      </c>
      <c r="O2628" s="15" t="n"/>
      <c r="P2628" s="15" t="n"/>
      <c r="Q2628" s="10" t="n"/>
      <c r="R2628" s="10" t="n"/>
      <c r="S2628" s="16" t="inlineStr">
        <is>
          <t>https://mstgolf.co.th/products/gf2040120730</t>
        </is>
      </c>
      <c r="T2628" s="1">
        <f>IF(B2628="ไม้กอล์ฟ",J2628,"")</f>
        <v/>
      </c>
    </row>
    <row r="2629">
      <c r="A2629" s="1" t="n">
        <v>3</v>
      </c>
      <c r="B2629" s="1" t="inlineStr">
        <is>
          <t>เสื้อผ้า</t>
        </is>
      </c>
      <c r="C2629" s="1" t="inlineStr">
        <is>
          <t>gf2040120731</t>
        </is>
      </c>
      <c r="D2629" s="1" t="inlineStr">
        <is>
          <t>LE COQ SPORTIF GOLF Triangle Print Men's Polo (Navy)</t>
        </is>
      </c>
      <c r="E2629" s="1" t="inlineStr">
        <is>
          <t>LE COQ SPORTIF GOLF</t>
        </is>
      </c>
      <c r="F2629" s="1" t="inlineStr">
        <is>
          <t>SHORT SLEEVES</t>
        </is>
      </c>
      <c r="G2629" s="1" t="inlineStr">
        <is>
          <t>GF2040120731M</t>
        </is>
      </c>
      <c r="H2629" s="1" t="n">
        <v>4</v>
      </c>
      <c r="I2629" s="1" t="inlineStr">
        <is>
          <t>มี</t>
        </is>
      </c>
      <c r="J2629" s="13" t="n">
        <v>99</v>
      </c>
      <c r="K2629" s="1" t="inlineStr"/>
      <c r="L2629" s="13" t="n">
        <v>69</v>
      </c>
      <c r="M2629" s="1">
        <f>IF(L2629="","ไม่พบใน SG",IF(ABS(J2629-L2629)&lt;0.005,"ตรงกัน","ไม่ตรง"))</f>
        <v/>
      </c>
      <c r="N2629" s="14">
        <f>IF(L2629="","",ROUND(L2629*'สรุป'!$C$6,-1))</f>
        <v/>
      </c>
      <c r="O2629" s="15" t="n"/>
      <c r="P2629" s="15" t="n"/>
      <c r="Q2629" s="10" t="n"/>
      <c r="R2629" s="10" t="n"/>
      <c r="S2629" s="16" t="inlineStr">
        <is>
          <t>https://mstgolf.co.th/products/gf2040120731</t>
        </is>
      </c>
      <c r="T2629" s="1">
        <f>IF(B2629="ไม้กอล์ฟ",J2629,"")</f>
        <v/>
      </c>
    </row>
    <row r="2630">
      <c r="A2630" s="1" t="n">
        <v>3</v>
      </c>
      <c r="B2630" s="1" t="inlineStr">
        <is>
          <t>เสื้อผ้า</t>
        </is>
      </c>
      <c r="C2630" s="1" t="inlineStr">
        <is>
          <t>gf2040120732</t>
        </is>
      </c>
      <c r="D2630" s="1" t="inlineStr">
        <is>
          <t>LE COQ SPORTIF GOLF Triangle Print Men's Polo (White)</t>
        </is>
      </c>
      <c r="E2630" s="1" t="inlineStr">
        <is>
          <t>LE COQ SPORTIF GOLF</t>
        </is>
      </c>
      <c r="F2630" s="1" t="inlineStr">
        <is>
          <t>SHORT SLEEVES</t>
        </is>
      </c>
      <c r="G2630" s="1" t="inlineStr">
        <is>
          <t>GF2040120732M</t>
        </is>
      </c>
      <c r="H2630" s="1" t="n">
        <v>4</v>
      </c>
      <c r="I2630" s="1" t="inlineStr">
        <is>
          <t>มี</t>
        </is>
      </c>
      <c r="J2630" s="13" t="n">
        <v>99</v>
      </c>
      <c r="K2630" s="1" t="inlineStr"/>
      <c r="L2630" s="13" t="n">
        <v>69</v>
      </c>
      <c r="M2630" s="1">
        <f>IF(L2630="","ไม่พบใน SG",IF(ABS(J2630-L2630)&lt;0.005,"ตรงกัน","ไม่ตรง"))</f>
        <v/>
      </c>
      <c r="N2630" s="14">
        <f>IF(L2630="","",ROUND(L2630*'สรุป'!$C$6,-1))</f>
        <v/>
      </c>
      <c r="O2630" s="15" t="n"/>
      <c r="P2630" s="15" t="n"/>
      <c r="Q2630" s="10" t="n"/>
      <c r="R2630" s="10" t="n"/>
      <c r="S2630" s="16" t="inlineStr">
        <is>
          <t>https://mstgolf.co.th/products/gf2040120732</t>
        </is>
      </c>
      <c r="T2630" s="1">
        <f>IF(B2630="ไม้กอล์ฟ",J2630,"")</f>
        <v/>
      </c>
    </row>
    <row r="2631">
      <c r="A2631" s="1" t="n">
        <v>3</v>
      </c>
      <c r="B2631" s="1" t="inlineStr">
        <is>
          <t>เสื้อผ้า</t>
        </is>
      </c>
      <c r="C2631" s="1" t="inlineStr">
        <is>
          <t>gf2060101237</t>
        </is>
      </c>
      <c r="D2631" s="1" t="inlineStr">
        <is>
          <t>LE COQ SPORTIF GOLF Women's Blouson (Navy)</t>
        </is>
      </c>
      <c r="E2631" s="1" t="inlineStr">
        <is>
          <t>LE COQ SPORTIF GOLF</t>
        </is>
      </c>
      <c r="F2631" s="1" t="inlineStr">
        <is>
          <t>TOP</t>
        </is>
      </c>
      <c r="G2631" s="1" t="inlineStr">
        <is>
          <t>GF2060101237XS</t>
        </is>
      </c>
      <c r="H2631" s="1" t="n">
        <v>6</v>
      </c>
      <c r="I2631" s="1" t="inlineStr">
        <is>
          <t>มี</t>
        </is>
      </c>
      <c r="J2631" s="13" t="n">
        <v>99</v>
      </c>
      <c r="K2631" s="1" t="inlineStr"/>
      <c r="L2631" s="13" t="n">
        <v>99</v>
      </c>
      <c r="M2631" s="1">
        <f>IF(L2631="","ไม่พบใน SG",IF(ABS(J2631-L2631)&lt;0.005,"ตรงกัน","ไม่ตรง"))</f>
        <v/>
      </c>
      <c r="N2631" s="14">
        <f>IF(L2631="","",ROUND(L2631*'สรุป'!$C$6,-1))</f>
        <v/>
      </c>
      <c r="O2631" s="15" t="n"/>
      <c r="P2631" s="15" t="n"/>
      <c r="Q2631" s="10" t="n"/>
      <c r="R2631" s="10" t="n"/>
      <c r="S2631" s="16" t="inlineStr">
        <is>
          <t>https://mstgolf.co.th/products/gf2060101237</t>
        </is>
      </c>
      <c r="T2631" s="1">
        <f>IF(B2631="ไม้กอล์ฟ",J2631,"")</f>
        <v/>
      </c>
    </row>
    <row r="2632">
      <c r="A2632" s="1" t="n">
        <v>3</v>
      </c>
      <c r="B2632" s="1" t="inlineStr">
        <is>
          <t>เสื้อผ้า</t>
        </is>
      </c>
      <c r="C2632" s="1" t="inlineStr">
        <is>
          <t>gf2060101240</t>
        </is>
      </c>
      <c r="D2632" s="1" t="inlineStr">
        <is>
          <t>LE COQ SPORTIF GOLF Women's Hoodie (Navy)</t>
        </is>
      </c>
      <c r="E2632" s="1" t="inlineStr">
        <is>
          <t>LE COQ SPORTIF GOLF</t>
        </is>
      </c>
      <c r="F2632" s="1" t="inlineStr">
        <is>
          <t>TOP</t>
        </is>
      </c>
      <c r="G2632" s="1" t="inlineStr">
        <is>
          <t>GF2060101240XS</t>
        </is>
      </c>
      <c r="H2632" s="1" t="n">
        <v>5</v>
      </c>
      <c r="I2632" s="1" t="inlineStr">
        <is>
          <t>มี</t>
        </is>
      </c>
      <c r="J2632" s="13" t="n">
        <v>99</v>
      </c>
      <c r="K2632" s="1" t="inlineStr"/>
      <c r="L2632" s="13" t="n">
        <v>99</v>
      </c>
      <c r="M2632" s="1">
        <f>IF(L2632="","ไม่พบใน SG",IF(ABS(J2632-L2632)&lt;0.005,"ตรงกัน","ไม่ตรง"))</f>
        <v/>
      </c>
      <c r="N2632" s="14">
        <f>IF(L2632="","",ROUND(L2632*'สรุป'!$C$6,-1))</f>
        <v/>
      </c>
      <c r="O2632" s="15" t="n"/>
      <c r="P2632" s="15" t="n"/>
      <c r="Q2632" s="10" t="n"/>
      <c r="R2632" s="10" t="n"/>
      <c r="S2632" s="16" t="inlineStr">
        <is>
          <t>https://mstgolf.co.th/products/gf2060101240</t>
        </is>
      </c>
      <c r="T2632" s="1">
        <f>IF(B2632="ไม้กอล์ฟ",J2632,"")</f>
        <v/>
      </c>
    </row>
    <row r="2633">
      <c r="A2633" s="1" t="n">
        <v>3</v>
      </c>
      <c r="B2633" s="1" t="inlineStr">
        <is>
          <t>เสื้อผ้า</t>
        </is>
      </c>
      <c r="C2633" s="1" t="inlineStr">
        <is>
          <t>gf2060101239</t>
        </is>
      </c>
      <c r="D2633" s="1" t="inlineStr">
        <is>
          <t>LE COQ SPORTIF GOLF Women's Hoodie (White)</t>
        </is>
      </c>
      <c r="E2633" s="1" t="inlineStr">
        <is>
          <t>LE COQ SPORTIF GOLF</t>
        </is>
      </c>
      <c r="F2633" s="1" t="inlineStr">
        <is>
          <t>TOP</t>
        </is>
      </c>
      <c r="G2633" s="1" t="inlineStr">
        <is>
          <t>GF2060101239XS</t>
        </is>
      </c>
      <c r="H2633" s="1" t="n">
        <v>5</v>
      </c>
      <c r="I2633" s="1" t="inlineStr">
        <is>
          <t>มี</t>
        </is>
      </c>
      <c r="J2633" s="13" t="n">
        <v>99</v>
      </c>
      <c r="K2633" s="1" t="inlineStr"/>
      <c r="L2633" s="13" t="n">
        <v>99</v>
      </c>
      <c r="M2633" s="1">
        <f>IF(L2633="","ไม่พบใน SG",IF(ABS(J2633-L2633)&lt;0.005,"ตรงกัน","ไม่ตรง"))</f>
        <v/>
      </c>
      <c r="N2633" s="14">
        <f>IF(L2633="","",ROUND(L2633*'สรุป'!$C$6,-1))</f>
        <v/>
      </c>
      <c r="O2633" s="15" t="n"/>
      <c r="P2633" s="15" t="n"/>
      <c r="Q2633" s="10" t="n"/>
      <c r="R2633" s="10" t="n"/>
      <c r="S2633" s="16" t="inlineStr">
        <is>
          <t>https://mstgolf.co.th/products/gf2060101239</t>
        </is>
      </c>
      <c r="T2633" s="1">
        <f>IF(B2633="ไม้กอล์ฟ",J2633,"")</f>
        <v/>
      </c>
    </row>
    <row r="2634">
      <c r="A2634" s="1" t="n">
        <v>3</v>
      </c>
      <c r="B2634" s="1" t="inlineStr">
        <is>
          <t>เสื้อผ้า</t>
        </is>
      </c>
      <c r="C2634" s="1" t="inlineStr">
        <is>
          <t>gf2020102636</t>
        </is>
      </c>
      <c r="D2634" s="1" t="inlineStr">
        <is>
          <t>LE COQ SPORTIF GOLF Women's Joggers (Khaki)</t>
        </is>
      </c>
      <c r="E2634" s="1" t="inlineStr">
        <is>
          <t>LE COQ SPORTIF GOLF</t>
        </is>
      </c>
      <c r="F2634" s="1" t="inlineStr">
        <is>
          <t>LONG PANTS</t>
        </is>
      </c>
      <c r="G2634" s="1" t="inlineStr">
        <is>
          <t>GF2020102636M</t>
        </is>
      </c>
      <c r="H2634" s="1" t="n">
        <v>4</v>
      </c>
      <c r="I2634" s="1" t="inlineStr">
        <is>
          <t>มี</t>
        </is>
      </c>
      <c r="J2634" s="13" t="n">
        <v>99</v>
      </c>
      <c r="K2634" s="1" t="inlineStr"/>
      <c r="L2634" s="13" t="n">
        <v>99</v>
      </c>
      <c r="M2634" s="1">
        <f>IF(L2634="","ไม่พบใน SG",IF(ABS(J2634-L2634)&lt;0.005,"ตรงกัน","ไม่ตรง"))</f>
        <v/>
      </c>
      <c r="N2634" s="14">
        <f>IF(L2634="","",ROUND(L2634*'สรุป'!$C$6,-1))</f>
        <v/>
      </c>
      <c r="O2634" s="15" t="n"/>
      <c r="P2634" s="15" t="n"/>
      <c r="Q2634" s="10" t="n"/>
      <c r="R2634" s="10" t="n"/>
      <c r="S2634" s="16" t="inlineStr">
        <is>
          <t>https://mstgolf.co.th/products/gf2020102636</t>
        </is>
      </c>
      <c r="T2634" s="1">
        <f>IF(B2634="ไม้กอล์ฟ",J2634,"")</f>
        <v/>
      </c>
    </row>
    <row r="2635">
      <c r="A2635" s="1" t="n">
        <v>3</v>
      </c>
      <c r="B2635" s="1" t="inlineStr">
        <is>
          <t>หมวก</t>
        </is>
      </c>
      <c r="C2635" s="1" t="inlineStr">
        <is>
          <t>gf2000300455</t>
        </is>
      </c>
      <c r="D2635" s="1" t="inlineStr">
        <is>
          <t>MALBON GOLF Artigianale Men's Bucket Hat (Navy)</t>
        </is>
      </c>
      <c r="E2635" s="1" t="inlineStr">
        <is>
          <t>MALBON GOLF</t>
        </is>
      </c>
      <c r="F2635" s="1" t="inlineStr">
        <is>
          <t>HAT</t>
        </is>
      </c>
      <c r="G2635" s="1" t="inlineStr">
        <is>
          <t>GF2000300455S/M</t>
        </is>
      </c>
      <c r="H2635" s="1" t="n">
        <v>2</v>
      </c>
      <c r="I2635" s="1" t="inlineStr">
        <is>
          <t>มี</t>
        </is>
      </c>
      <c r="J2635" s="13" t="n">
        <v>99</v>
      </c>
      <c r="K2635" s="1" t="inlineStr"/>
      <c r="L2635" s="13" t="n">
        <v>99</v>
      </c>
      <c r="M2635" s="1">
        <f>IF(L2635="","ไม่พบใน SG",IF(ABS(J2635-L2635)&lt;0.005,"ตรงกัน","ไม่ตรง"))</f>
        <v/>
      </c>
      <c r="N2635" s="14">
        <f>IF(L2635="","",ROUND(L2635*'สรุป'!$C$6,-1))</f>
        <v/>
      </c>
      <c r="O2635" s="15" t="n"/>
      <c r="P2635" s="15" t="n"/>
      <c r="Q2635" s="10" t="n"/>
      <c r="R2635" s="10" t="n"/>
      <c r="S2635" s="16" t="inlineStr">
        <is>
          <t>https://mstgolf.co.th/products/gf2000300455</t>
        </is>
      </c>
      <c r="T2635" s="1">
        <f>IF(B2635="ไม้กอล์ฟ",J2635,"")</f>
        <v/>
      </c>
    </row>
    <row r="2636">
      <c r="A2636" s="1" t="n">
        <v>3</v>
      </c>
      <c r="B2636" s="1" t="inlineStr">
        <is>
          <t>เสื้อผ้า</t>
        </is>
      </c>
      <c r="C2636" s="1" t="inlineStr">
        <is>
          <t>gf2040401328</t>
        </is>
      </c>
      <c r="D2636" s="1" t="inlineStr">
        <is>
          <t>MALBON GOLF x Keith Haring Men's Long Sleeve T-Shirt (Black)</t>
        </is>
      </c>
      <c r="E2636" s="1" t="inlineStr">
        <is>
          <t>MALBON GOLF</t>
        </is>
      </c>
      <c r="F2636" s="1" t="inlineStr">
        <is>
          <t>LONG SLEEVES</t>
        </is>
      </c>
      <c r="G2636" s="1" t="inlineStr">
        <is>
          <t>GF2040401328S</t>
        </is>
      </c>
      <c r="H2636" s="1" t="n">
        <v>5</v>
      </c>
      <c r="I2636" s="1" t="inlineStr">
        <is>
          <t>มี</t>
        </is>
      </c>
      <c r="J2636" s="13" t="n">
        <v>99</v>
      </c>
      <c r="K2636" s="1" t="inlineStr"/>
      <c r="L2636" s="13" t="n">
        <v>99</v>
      </c>
      <c r="M2636" s="1">
        <f>IF(L2636="","ไม่พบใน SG",IF(ABS(J2636-L2636)&lt;0.005,"ตรงกัน","ไม่ตรง"))</f>
        <v/>
      </c>
      <c r="N2636" s="14">
        <f>IF(L2636="","",ROUND(L2636*'สรุป'!$C$6,-1))</f>
        <v/>
      </c>
      <c r="O2636" s="15" t="n"/>
      <c r="P2636" s="15" t="n"/>
      <c r="Q2636" s="10" t="n"/>
      <c r="R2636" s="10" t="n"/>
      <c r="S2636" s="16" t="inlineStr">
        <is>
          <t>https://mstgolf.co.th/products/gf2040401328</t>
        </is>
      </c>
      <c r="T2636" s="1">
        <f>IF(B2636="ไม้กอล์ฟ",J2636,"")</f>
        <v/>
      </c>
    </row>
    <row r="2637">
      <c r="A2637" s="1" t="n">
        <v>3</v>
      </c>
      <c r="B2637" s="1" t="inlineStr">
        <is>
          <t>เสื้อผ้า</t>
        </is>
      </c>
      <c r="C2637" s="1" t="inlineStr">
        <is>
          <t>gf2040401329</t>
        </is>
      </c>
      <c r="D2637" s="1" t="inlineStr">
        <is>
          <t>MALBON GOLF x Keith Haring Men's Long Sleeve T-Shirt (Green)</t>
        </is>
      </c>
      <c r="E2637" s="1" t="inlineStr">
        <is>
          <t>MALBON GOLF</t>
        </is>
      </c>
      <c r="F2637" s="1" t="inlineStr">
        <is>
          <t>LONG SLEEVES</t>
        </is>
      </c>
      <c r="G2637" s="1" t="inlineStr">
        <is>
          <t>GF2040401329S</t>
        </is>
      </c>
      <c r="H2637" s="1" t="n">
        <v>5</v>
      </c>
      <c r="I2637" s="1" t="inlineStr">
        <is>
          <t>มี</t>
        </is>
      </c>
      <c r="J2637" s="13" t="n">
        <v>99</v>
      </c>
      <c r="K2637" s="1" t="inlineStr"/>
      <c r="L2637" s="13" t="n">
        <v>99</v>
      </c>
      <c r="M2637" s="1">
        <f>IF(L2637="","ไม่พบใน SG",IF(ABS(J2637-L2637)&lt;0.005,"ตรงกัน","ไม่ตรง"))</f>
        <v/>
      </c>
      <c r="N2637" s="14">
        <f>IF(L2637="","",ROUND(L2637*'สรุป'!$C$6,-1))</f>
        <v/>
      </c>
      <c r="O2637" s="15" t="n"/>
      <c r="P2637" s="15" t="n"/>
      <c r="Q2637" s="10" t="n"/>
      <c r="R2637" s="10" t="n"/>
      <c r="S2637" s="16" t="inlineStr">
        <is>
          <t>https://mstgolf.co.th/products/gf2040401329</t>
        </is>
      </c>
      <c r="T2637" s="1">
        <f>IF(B2637="ไม้กอล์ฟ",J2637,"")</f>
        <v/>
      </c>
    </row>
    <row r="2638">
      <c r="A2638" s="1" t="n">
        <v>3</v>
      </c>
      <c r="B2638" s="1" t="inlineStr">
        <is>
          <t>เสื้อผ้า</t>
        </is>
      </c>
      <c r="C2638" s="1" t="inlineStr">
        <is>
          <t>gf2020202428</t>
        </is>
      </c>
      <c r="D2638" s="1" t="inlineStr">
        <is>
          <t>NIKE Tour 8" Men's Shorts (Black)</t>
        </is>
      </c>
      <c r="E2638" s="1" t="inlineStr">
        <is>
          <t>NIKE</t>
        </is>
      </c>
      <c r="F2638" s="1" t="inlineStr">
        <is>
          <t>SHORT PANTS</t>
        </is>
      </c>
      <c r="G2638" s="1" t="inlineStr">
        <is>
          <t>GF202020242828</t>
        </is>
      </c>
      <c r="H2638" s="1" t="n">
        <v>7</v>
      </c>
      <c r="I2638" s="1" t="inlineStr">
        <is>
          <t>มี</t>
        </is>
      </c>
      <c r="J2638" s="13" t="n">
        <v>99</v>
      </c>
      <c r="K2638" s="1" t="inlineStr"/>
      <c r="L2638" s="13" t="n">
        <v>99</v>
      </c>
      <c r="M2638" s="1">
        <f>IF(L2638="","ไม่พบใน SG",IF(ABS(J2638-L2638)&lt;0.005,"ตรงกัน","ไม่ตรง"))</f>
        <v/>
      </c>
      <c r="N2638" s="14">
        <f>IF(L2638="","",ROUND(L2638*'สรุป'!$C$6,-1))</f>
        <v/>
      </c>
      <c r="O2638" s="15" t="n"/>
      <c r="P2638" s="15" t="n"/>
      <c r="Q2638" s="10" t="n"/>
      <c r="R2638" s="10" t="n"/>
      <c r="S2638" s="16" t="inlineStr">
        <is>
          <t>https://mstgolf.co.th/products/gf2020202428</t>
        </is>
      </c>
      <c r="T2638" s="1">
        <f>IF(B2638="ไม้กอล์ฟ",J2638,"")</f>
        <v/>
      </c>
    </row>
    <row r="2639">
      <c r="A2639" s="1" t="n">
        <v>3</v>
      </c>
      <c r="B2639" s="1" t="inlineStr">
        <is>
          <t>เสื้อผ้า</t>
        </is>
      </c>
      <c r="C2639" s="1" t="inlineStr">
        <is>
          <t>gf2020202314</t>
        </is>
      </c>
      <c r="D2639" s="1" t="inlineStr">
        <is>
          <t>PUMA 10" Dealer Men's Shorts (Alabaster)</t>
        </is>
      </c>
      <c r="E2639" s="1" t="inlineStr">
        <is>
          <t>PUMA</t>
        </is>
      </c>
      <c r="F2639" s="1" t="inlineStr">
        <is>
          <t>SHORT PANTS</t>
        </is>
      </c>
      <c r="G2639" s="1" t="inlineStr">
        <is>
          <t>GF202020231428</t>
        </is>
      </c>
      <c r="H2639" s="1" t="n">
        <v>7</v>
      </c>
      <c r="I2639" s="1" t="inlineStr">
        <is>
          <t>มี</t>
        </is>
      </c>
      <c r="J2639" s="13" t="n">
        <v>99</v>
      </c>
      <c r="K2639" s="1" t="inlineStr"/>
      <c r="L2639" s="13" t="n">
        <v>99</v>
      </c>
      <c r="M2639" s="1">
        <f>IF(L2639="","ไม่พบใน SG",IF(ABS(J2639-L2639)&lt;0.005,"ตรงกัน","ไม่ตรง"))</f>
        <v/>
      </c>
      <c r="N2639" s="14">
        <f>IF(L2639="","",ROUND(L2639*'สรุป'!$C$6,-1))</f>
        <v/>
      </c>
      <c r="O2639" s="15" t="n"/>
      <c r="P2639" s="15" t="n"/>
      <c r="Q2639" s="10" t="n"/>
      <c r="R2639" s="10" t="n"/>
      <c r="S2639" s="16" t="inlineStr">
        <is>
          <t>https://mstgolf.co.th/products/gf2020202314</t>
        </is>
      </c>
      <c r="T2639" s="1">
        <f>IF(B2639="ไม้กอล์ฟ",J2639,"")</f>
        <v/>
      </c>
    </row>
    <row r="2640">
      <c r="A2640" s="1" t="n">
        <v>3</v>
      </c>
      <c r="B2640" s="1" t="inlineStr">
        <is>
          <t>เสื้อผ้า</t>
        </is>
      </c>
      <c r="C2640" s="1" t="inlineStr">
        <is>
          <t>gf2020202316</t>
        </is>
      </c>
      <c r="D2640" s="1" t="inlineStr">
        <is>
          <t>PUMA 10" Dealer Men's Shorts (Aqua Blue)</t>
        </is>
      </c>
      <c r="E2640" s="1" t="inlineStr">
        <is>
          <t>PUMA</t>
        </is>
      </c>
      <c r="F2640" s="1" t="inlineStr">
        <is>
          <t>SHORT PANTS</t>
        </is>
      </c>
      <c r="G2640" s="1" t="inlineStr">
        <is>
          <t>GF202020231628</t>
        </is>
      </c>
      <c r="H2640" s="1" t="n">
        <v>11</v>
      </c>
      <c r="I2640" s="1" t="inlineStr">
        <is>
          <t>มี</t>
        </is>
      </c>
      <c r="J2640" s="13" t="n">
        <v>99</v>
      </c>
      <c r="K2640" s="1" t="inlineStr"/>
      <c r="L2640" s="13" t="n">
        <v>99</v>
      </c>
      <c r="M2640" s="1">
        <f>IF(L2640="","ไม่พบใน SG",IF(ABS(J2640-L2640)&lt;0.005,"ตรงกัน","ไม่ตรง"))</f>
        <v/>
      </c>
      <c r="N2640" s="14">
        <f>IF(L2640="","",ROUND(L2640*'สรุป'!$C$6,-1))</f>
        <v/>
      </c>
      <c r="O2640" s="15" t="n"/>
      <c r="P2640" s="15" t="n"/>
      <c r="Q2640" s="10" t="n"/>
      <c r="R2640" s="10" t="n"/>
      <c r="S2640" s="16" t="inlineStr">
        <is>
          <t>https://mstgolf.co.th/products/gf2020202316</t>
        </is>
      </c>
      <c r="T2640" s="1">
        <f>IF(B2640="ไม้กอล์ฟ",J2640,"")</f>
        <v/>
      </c>
    </row>
    <row r="2641">
      <c r="A2641" s="1" t="n">
        <v>3</v>
      </c>
      <c r="B2641" s="1" t="inlineStr">
        <is>
          <t>เสื้อผ้า</t>
        </is>
      </c>
      <c r="C2641" s="1" t="inlineStr">
        <is>
          <t>gf2020202313</t>
        </is>
      </c>
      <c r="D2641" s="1" t="inlineStr">
        <is>
          <t>PUMA 10" Dealer Men's Shorts (Ash Grey)</t>
        </is>
      </c>
      <c r="E2641" s="1" t="inlineStr">
        <is>
          <t>PUMA</t>
        </is>
      </c>
      <c r="F2641" s="1" t="inlineStr">
        <is>
          <t>SHORT PANTS</t>
        </is>
      </c>
      <c r="G2641" s="1" t="inlineStr">
        <is>
          <t>GF202020231328</t>
        </is>
      </c>
      <c r="H2641" s="1" t="n">
        <v>12</v>
      </c>
      <c r="I2641" s="1" t="inlineStr">
        <is>
          <t>มี</t>
        </is>
      </c>
      <c r="J2641" s="13" t="n">
        <v>99</v>
      </c>
      <c r="K2641" s="1" t="inlineStr"/>
      <c r="L2641" s="13" t="n">
        <v>99</v>
      </c>
      <c r="M2641" s="1">
        <f>IF(L2641="","ไม่พบใน SG",IF(ABS(J2641-L2641)&lt;0.005,"ตรงกัน","ไม่ตรง"))</f>
        <v/>
      </c>
      <c r="N2641" s="14">
        <f>IF(L2641="","",ROUND(L2641*'สรุป'!$C$6,-1))</f>
        <v/>
      </c>
      <c r="O2641" s="15" t="n"/>
      <c r="P2641" s="15" t="n"/>
      <c r="Q2641" s="10" t="n"/>
      <c r="R2641" s="10" t="n"/>
      <c r="S2641" s="16" t="inlineStr">
        <is>
          <t>https://mstgolf.co.th/products/gf2020202313</t>
        </is>
      </c>
      <c r="T2641" s="1">
        <f>IF(B2641="ไม้กอล์ฟ",J2641,"")</f>
        <v/>
      </c>
    </row>
    <row r="2642">
      <c r="A2642" s="1" t="n">
        <v>3</v>
      </c>
      <c r="B2642" s="1" t="inlineStr">
        <is>
          <t>เสื้อผ้า</t>
        </is>
      </c>
      <c r="C2642" s="1" t="inlineStr">
        <is>
          <t>gf2020202315</t>
        </is>
      </c>
      <c r="D2642" s="1" t="inlineStr">
        <is>
          <t>PUMA 10" Dealer Men's Shorts (Turquoise)</t>
        </is>
      </c>
      <c r="E2642" s="1" t="inlineStr">
        <is>
          <t>PUMA</t>
        </is>
      </c>
      <c r="F2642" s="1" t="inlineStr">
        <is>
          <t>SHORT PANTS</t>
        </is>
      </c>
      <c r="G2642" s="1" t="inlineStr">
        <is>
          <t>GF202020231528</t>
        </is>
      </c>
      <c r="H2642" s="1" t="n">
        <v>7</v>
      </c>
      <c r="I2642" s="1" t="inlineStr">
        <is>
          <t>มี</t>
        </is>
      </c>
      <c r="J2642" s="13" t="n">
        <v>99</v>
      </c>
      <c r="K2642" s="1" t="inlineStr"/>
      <c r="L2642" s="13" t="n">
        <v>99</v>
      </c>
      <c r="M2642" s="1">
        <f>IF(L2642="","ไม่พบใน SG",IF(ABS(J2642-L2642)&lt;0.005,"ตรงกัน","ไม่ตรง"))</f>
        <v/>
      </c>
      <c r="N2642" s="14">
        <f>IF(L2642="","",ROUND(L2642*'สรุป'!$C$6,-1))</f>
        <v/>
      </c>
      <c r="O2642" s="15" t="n"/>
      <c r="P2642" s="15" t="n"/>
      <c r="Q2642" s="10" t="n"/>
      <c r="R2642" s="10" t="n"/>
      <c r="S2642" s="16" t="inlineStr">
        <is>
          <t>https://mstgolf.co.th/products/gf2020202315</t>
        </is>
      </c>
      <c r="T2642" s="1">
        <f>IF(B2642="ไม้กอล์ฟ",J2642,"")</f>
        <v/>
      </c>
    </row>
    <row r="2643">
      <c r="A2643" s="1" t="n">
        <v>3</v>
      </c>
      <c r="B2643" s="1" t="inlineStr">
        <is>
          <t>เสื้อผ้า</t>
        </is>
      </c>
      <c r="C2643" s="1" t="inlineStr">
        <is>
          <t>gf2020202512</t>
        </is>
      </c>
      <c r="D2643" s="1" t="inlineStr">
        <is>
          <t>PUMA Dealer Men's Shorts (Blue Horizon)</t>
        </is>
      </c>
      <c r="E2643" s="1" t="inlineStr">
        <is>
          <t>PUMA</t>
        </is>
      </c>
      <c r="F2643" s="1" t="inlineStr">
        <is>
          <t>SHORT PANTS</t>
        </is>
      </c>
      <c r="G2643" s="1" t="inlineStr">
        <is>
          <t>GF202020251228</t>
        </is>
      </c>
      <c r="H2643" s="1" t="n">
        <v>10</v>
      </c>
      <c r="I2643" s="1" t="inlineStr">
        <is>
          <t>มี</t>
        </is>
      </c>
      <c r="J2643" s="13" t="n">
        <v>99</v>
      </c>
      <c r="K2643" s="1" t="inlineStr"/>
      <c r="L2643" s="13" t="n">
        <v>99</v>
      </c>
      <c r="M2643" s="1">
        <f>IF(L2643="","ไม่พบใน SG",IF(ABS(J2643-L2643)&lt;0.005,"ตรงกัน","ไม่ตรง"))</f>
        <v/>
      </c>
      <c r="N2643" s="14">
        <f>IF(L2643="","",ROUND(L2643*'สรุป'!$C$6,-1))</f>
        <v/>
      </c>
      <c r="O2643" s="15" t="n"/>
      <c r="P2643" s="15" t="n"/>
      <c r="Q2643" s="10" t="n"/>
      <c r="R2643" s="10" t="n"/>
      <c r="S2643" s="16" t="inlineStr">
        <is>
          <t>https://mstgolf.co.th/products/gf2020202512</t>
        </is>
      </c>
      <c r="T2643" s="1">
        <f>IF(B2643="ไม้กอล์ฟ",J2643,"")</f>
        <v/>
      </c>
    </row>
    <row r="2644">
      <c r="A2644" s="1" t="n">
        <v>3</v>
      </c>
      <c r="B2644" s="1" t="inlineStr">
        <is>
          <t>เสื้อผ้า</t>
        </is>
      </c>
      <c r="C2644" s="1" t="inlineStr">
        <is>
          <t>gf2020202237</t>
        </is>
      </c>
      <c r="D2644" s="1" t="inlineStr">
        <is>
          <t>PUMA Dealer Men's Shorts (Deep Dive)</t>
        </is>
      </c>
      <c r="E2644" s="1" t="inlineStr">
        <is>
          <t>PUMA</t>
        </is>
      </c>
      <c r="F2644" s="1" t="inlineStr">
        <is>
          <t>SHORT PANTS</t>
        </is>
      </c>
      <c r="G2644" s="1" t="inlineStr">
        <is>
          <t>GF202020223728</t>
        </is>
      </c>
      <c r="H2644" s="1" t="n">
        <v>7</v>
      </c>
      <c r="I2644" s="1" t="inlineStr">
        <is>
          <t>มี</t>
        </is>
      </c>
      <c r="J2644" s="13" t="n">
        <v>99</v>
      </c>
      <c r="K2644" s="1" t="inlineStr"/>
      <c r="L2644" s="13" t="n">
        <v>99</v>
      </c>
      <c r="M2644" s="1">
        <f>IF(L2644="","ไม่พบใน SG",IF(ABS(J2644-L2644)&lt;0.005,"ตรงกัน","ไม่ตรง"))</f>
        <v/>
      </c>
      <c r="N2644" s="14">
        <f>IF(L2644="","",ROUND(L2644*'สรุป'!$C$6,-1))</f>
        <v/>
      </c>
      <c r="O2644" s="15" t="n"/>
      <c r="P2644" s="15" t="n"/>
      <c r="Q2644" s="10" t="n"/>
      <c r="R2644" s="10" t="n"/>
      <c r="S2644" s="16" t="inlineStr">
        <is>
          <t>https://mstgolf.co.th/products/gf2020202237</t>
        </is>
      </c>
      <c r="T2644" s="1">
        <f>IF(B2644="ไม้กอล์ฟ",J2644,"")</f>
        <v/>
      </c>
    </row>
    <row r="2645">
      <c r="A2645" s="1" t="n">
        <v>3</v>
      </c>
      <c r="B2645" s="1" t="inlineStr">
        <is>
          <t>เสื้อผ้า</t>
        </is>
      </c>
      <c r="C2645" s="1" t="inlineStr">
        <is>
          <t>gf2020201980</t>
        </is>
      </c>
      <c r="D2645" s="1" t="inlineStr">
        <is>
          <t>PUMA Dealer Men's Shorts (Navy Blazer)</t>
        </is>
      </c>
      <c r="E2645" s="1" t="inlineStr">
        <is>
          <t>PUMA</t>
        </is>
      </c>
      <c r="F2645" s="1" t="inlineStr">
        <is>
          <t>SHORT PANTS</t>
        </is>
      </c>
      <c r="G2645" s="1" t="inlineStr">
        <is>
          <t>GF202020198028</t>
        </is>
      </c>
      <c r="H2645" s="1" t="n">
        <v>12</v>
      </c>
      <c r="I2645" s="1" t="inlineStr">
        <is>
          <t>มี</t>
        </is>
      </c>
      <c r="J2645" s="13" t="n">
        <v>99</v>
      </c>
      <c r="K2645" s="1" t="inlineStr"/>
      <c r="L2645" s="13" t="n">
        <v>99</v>
      </c>
      <c r="M2645" s="1">
        <f>IF(L2645="","ไม่พบใน SG",IF(ABS(J2645-L2645)&lt;0.005,"ตรงกัน","ไม่ตรง"))</f>
        <v/>
      </c>
      <c r="N2645" s="14">
        <f>IF(L2645="","",ROUND(L2645*'สรุป'!$C$6,-1))</f>
        <v/>
      </c>
      <c r="O2645" s="15" t="n"/>
      <c r="P2645" s="15" t="n"/>
      <c r="Q2645" s="10" t="n"/>
      <c r="R2645" s="10" t="n"/>
      <c r="S2645" s="16" t="inlineStr">
        <is>
          <t>https://mstgolf.co.th/products/gf2020201980</t>
        </is>
      </c>
      <c r="T2645" s="1">
        <f>IF(B2645="ไม้กอล์ฟ",J2645,"")</f>
        <v/>
      </c>
    </row>
    <row r="2646">
      <c r="A2646" s="1" t="n">
        <v>3</v>
      </c>
      <c r="B2646" s="1" t="inlineStr">
        <is>
          <t>เสื้อผ้า</t>
        </is>
      </c>
      <c r="C2646" s="1" t="inlineStr">
        <is>
          <t>gf2020202238</t>
        </is>
      </c>
      <c r="D2646" s="1" t="inlineStr">
        <is>
          <t>PUMA Dealer Men's Shorts (Regal Blue)</t>
        </is>
      </c>
      <c r="E2646" s="1" t="inlineStr">
        <is>
          <t>PUMA</t>
        </is>
      </c>
      <c r="F2646" s="1" t="inlineStr">
        <is>
          <t>SHORT PANTS</t>
        </is>
      </c>
      <c r="G2646" s="1" t="inlineStr">
        <is>
          <t>GF202020223828</t>
        </is>
      </c>
      <c r="H2646" s="1" t="n">
        <v>7</v>
      </c>
      <c r="I2646" s="1" t="inlineStr">
        <is>
          <t>มี</t>
        </is>
      </c>
      <c r="J2646" s="13" t="n">
        <v>99</v>
      </c>
      <c r="K2646" s="1" t="inlineStr"/>
      <c r="L2646" s="13" t="n">
        <v>99</v>
      </c>
      <c r="M2646" s="1">
        <f>IF(L2646="","ไม่พบใน SG",IF(ABS(J2646-L2646)&lt;0.005,"ตรงกัน","ไม่ตรง"))</f>
        <v/>
      </c>
      <c r="N2646" s="14">
        <f>IF(L2646="","",ROUND(L2646*'สรุป'!$C$6,-1))</f>
        <v/>
      </c>
      <c r="O2646" s="15" t="n"/>
      <c r="P2646" s="15" t="n"/>
      <c r="Q2646" s="10" t="n"/>
      <c r="R2646" s="10" t="n"/>
      <c r="S2646" s="16" t="inlineStr">
        <is>
          <t>https://mstgolf.co.th/products/gf2020202238</t>
        </is>
      </c>
      <c r="T2646" s="1">
        <f>IF(B2646="ไม้กอล์ฟ",J2646,"")</f>
        <v/>
      </c>
    </row>
    <row r="2647">
      <c r="A2647" s="1" t="n">
        <v>3</v>
      </c>
      <c r="B2647" s="1" t="inlineStr">
        <is>
          <t>เสื้อผ้า</t>
        </is>
      </c>
      <c r="C2647" s="1" t="inlineStr">
        <is>
          <t>gf2020201977</t>
        </is>
      </c>
      <c r="D2647" s="1" t="inlineStr">
        <is>
          <t>PUMA Dealer Men's Shorts (White)</t>
        </is>
      </c>
      <c r="E2647" s="1" t="inlineStr">
        <is>
          <t>PUMA</t>
        </is>
      </c>
      <c r="F2647" s="1" t="inlineStr">
        <is>
          <t>SHORT PANTS</t>
        </is>
      </c>
      <c r="G2647" s="1" t="inlineStr">
        <is>
          <t>GF202020197728</t>
        </is>
      </c>
      <c r="H2647" s="1" t="n">
        <v>8</v>
      </c>
      <c r="I2647" s="1" t="inlineStr">
        <is>
          <t>มี</t>
        </is>
      </c>
      <c r="J2647" s="13" t="n">
        <v>99</v>
      </c>
      <c r="K2647" s="1" t="inlineStr"/>
      <c r="L2647" s="13" t="n">
        <v>99</v>
      </c>
      <c r="M2647" s="1">
        <f>IF(L2647="","ไม่พบใน SG",IF(ABS(J2647-L2647)&lt;0.005,"ตรงกัน","ไม่ตรง"))</f>
        <v/>
      </c>
      <c r="N2647" s="14">
        <f>IF(L2647="","",ROUND(L2647*'สรุป'!$C$6,-1))</f>
        <v/>
      </c>
      <c r="O2647" s="15" t="n"/>
      <c r="P2647" s="15" t="n"/>
      <c r="Q2647" s="10" t="n"/>
      <c r="R2647" s="10" t="n"/>
      <c r="S2647" s="16" t="inlineStr">
        <is>
          <t>https://mstgolf.co.th/products/gf2020201977</t>
        </is>
      </c>
      <c r="T2647" s="1">
        <f>IF(B2647="ไม้กอล์ฟ",J2647,"")</f>
        <v/>
      </c>
    </row>
    <row r="2648">
      <c r="A2648" s="1" t="n">
        <v>3</v>
      </c>
      <c r="B2648" s="1" t="inlineStr">
        <is>
          <t>เสื้อผ้า</t>
        </is>
      </c>
      <c r="C2648" s="1" t="inlineStr">
        <is>
          <t>gf2020201978</t>
        </is>
      </c>
      <c r="D2648" s="1" t="inlineStr">
        <is>
          <t>PUMA Dealer Men's Shorts - 10 inch (Black)</t>
        </is>
      </c>
      <c r="E2648" s="1" t="inlineStr">
        <is>
          <t>PUMA</t>
        </is>
      </c>
      <c r="F2648" s="1" t="inlineStr">
        <is>
          <t>SHORT PANTS</t>
        </is>
      </c>
      <c r="G2648" s="1" t="inlineStr">
        <is>
          <t>GF202020197828</t>
        </is>
      </c>
      <c r="H2648" s="1" t="n">
        <v>10</v>
      </c>
      <c r="I2648" s="1" t="inlineStr">
        <is>
          <t>มี</t>
        </is>
      </c>
      <c r="J2648" s="13" t="n">
        <v>99</v>
      </c>
      <c r="K2648" s="1" t="inlineStr"/>
      <c r="L2648" s="13" t="n">
        <v>99</v>
      </c>
      <c r="M2648" s="1">
        <f>IF(L2648="","ไม่พบใน SG",IF(ABS(J2648-L2648)&lt;0.005,"ตรงกัน","ไม่ตรง"))</f>
        <v/>
      </c>
      <c r="N2648" s="14">
        <f>IF(L2648="","",ROUND(L2648*'สรุป'!$C$6,-1))</f>
        <v/>
      </c>
      <c r="O2648" s="15" t="n"/>
      <c r="P2648" s="15" t="n"/>
      <c r="Q2648" s="10" t="n"/>
      <c r="R2648" s="10" t="n"/>
      <c r="S2648" s="16" t="inlineStr">
        <is>
          <t>https://mstgolf.co.th/products/gf2020201978</t>
        </is>
      </c>
      <c r="T2648" s="1">
        <f>IF(B2648="ไม้กอล์ฟ",J2648,"")</f>
        <v/>
      </c>
    </row>
    <row r="2649">
      <c r="A2649" s="1" t="n">
        <v>3</v>
      </c>
      <c r="B2649" s="1" t="inlineStr">
        <is>
          <t>เสื้อผ้า</t>
        </is>
      </c>
      <c r="C2649" s="1" t="inlineStr">
        <is>
          <t>gf2020201981</t>
        </is>
      </c>
      <c r="D2649" s="1" t="inlineStr">
        <is>
          <t>PUMA Dealer Men's Shorts - 10 inch (Coconut Crush)</t>
        </is>
      </c>
      <c r="E2649" s="1" t="inlineStr">
        <is>
          <t>PUMA</t>
        </is>
      </c>
      <c r="F2649" s="1" t="inlineStr">
        <is>
          <t>SHORT PANTS</t>
        </is>
      </c>
      <c r="G2649" s="1" t="inlineStr">
        <is>
          <t>GF202020198128</t>
        </is>
      </c>
      <c r="H2649" s="1" t="n">
        <v>7</v>
      </c>
      <c r="I2649" s="1" t="inlineStr">
        <is>
          <t>มี</t>
        </is>
      </c>
      <c r="J2649" s="13" t="n">
        <v>99</v>
      </c>
      <c r="K2649" s="1" t="inlineStr"/>
      <c r="L2649" s="13" t="n">
        <v>99</v>
      </c>
      <c r="M2649" s="1">
        <f>IF(L2649="","ไม่พบใน SG",IF(ABS(J2649-L2649)&lt;0.005,"ตรงกัน","ไม่ตรง"))</f>
        <v/>
      </c>
      <c r="N2649" s="14">
        <f>IF(L2649="","",ROUND(L2649*'สรุป'!$C$6,-1))</f>
        <v/>
      </c>
      <c r="O2649" s="15" t="n"/>
      <c r="P2649" s="15" t="n"/>
      <c r="Q2649" s="10" t="n"/>
      <c r="R2649" s="10" t="n"/>
      <c r="S2649" s="16" t="inlineStr">
        <is>
          <t>https://mstgolf.co.th/products/gf2020201981</t>
        </is>
      </c>
      <c r="T2649" s="1">
        <f>IF(B2649="ไม้กอล์ฟ",J2649,"")</f>
        <v/>
      </c>
    </row>
    <row r="2650">
      <c r="A2650" s="1" t="n">
        <v>3</v>
      </c>
      <c r="B2650" s="1" t="inlineStr">
        <is>
          <t>เสื้อผ้า</t>
        </is>
      </c>
      <c r="C2650" s="1" t="inlineStr">
        <is>
          <t>gf2020201983</t>
        </is>
      </c>
      <c r="D2650" s="1" t="inlineStr">
        <is>
          <t>PUMA Dealer Men's Shorts - 10 inch (Dark Sage)</t>
        </is>
      </c>
      <c r="E2650" s="1" t="inlineStr">
        <is>
          <t>PUMA</t>
        </is>
      </c>
      <c r="F2650" s="1" t="inlineStr">
        <is>
          <t>SHORT PANTS</t>
        </is>
      </c>
      <c r="G2650" s="1" t="inlineStr">
        <is>
          <t>GF202020198328</t>
        </is>
      </c>
      <c r="H2650" s="1" t="n">
        <v>7</v>
      </c>
      <c r="I2650" s="1" t="inlineStr">
        <is>
          <t>มี</t>
        </is>
      </c>
      <c r="J2650" s="13" t="n">
        <v>99</v>
      </c>
      <c r="K2650" s="1" t="inlineStr"/>
      <c r="L2650" s="13" t="n">
        <v>99</v>
      </c>
      <c r="M2650" s="1">
        <f>IF(L2650="","ไม่พบใน SG",IF(ABS(J2650-L2650)&lt;0.005,"ตรงกัน","ไม่ตรง"))</f>
        <v/>
      </c>
      <c r="N2650" s="14">
        <f>IF(L2650="","",ROUND(L2650*'สรุป'!$C$6,-1))</f>
        <v/>
      </c>
      <c r="O2650" s="15" t="n"/>
      <c r="P2650" s="15" t="n"/>
      <c r="Q2650" s="10" t="n"/>
      <c r="R2650" s="10" t="n"/>
      <c r="S2650" s="16" t="inlineStr">
        <is>
          <t>https://mstgolf.co.th/products/gf2020201983</t>
        </is>
      </c>
      <c r="T2650" s="1">
        <f>IF(B2650="ไม้กอล์ฟ",J2650,"")</f>
        <v/>
      </c>
    </row>
    <row r="2651">
      <c r="A2651" s="1" t="n">
        <v>3</v>
      </c>
      <c r="B2651" s="1" t="inlineStr">
        <is>
          <t>เสื้อผ้า</t>
        </is>
      </c>
      <c r="C2651" s="1" t="inlineStr">
        <is>
          <t>gf2020201979</t>
        </is>
      </c>
      <c r="D2651" s="1" t="inlineStr">
        <is>
          <t>PUMA Dealer Men's Shorts - 10 inch (Slate Sky)</t>
        </is>
      </c>
      <c r="E2651" s="1" t="inlineStr">
        <is>
          <t>PUMA</t>
        </is>
      </c>
      <c r="F2651" s="1" t="inlineStr">
        <is>
          <t>SHORT PANTS</t>
        </is>
      </c>
      <c r="G2651" s="1" t="inlineStr">
        <is>
          <t>GF202020197928</t>
        </is>
      </c>
      <c r="H2651" s="1" t="n">
        <v>7</v>
      </c>
      <c r="I2651" s="1" t="inlineStr">
        <is>
          <t>มี</t>
        </is>
      </c>
      <c r="J2651" s="13" t="n">
        <v>99</v>
      </c>
      <c r="K2651" s="1" t="inlineStr"/>
      <c r="L2651" s="13" t="n">
        <v>99</v>
      </c>
      <c r="M2651" s="1">
        <f>IF(L2651="","ไม่พบใน SG",IF(ABS(J2651-L2651)&lt;0.005,"ตรงกัน","ไม่ตรง"))</f>
        <v/>
      </c>
      <c r="N2651" s="14">
        <f>IF(L2651="","",ROUND(L2651*'สรุป'!$C$6,-1))</f>
        <v/>
      </c>
      <c r="O2651" s="15" t="n"/>
      <c r="P2651" s="15" t="n"/>
      <c r="Q2651" s="10" t="n"/>
      <c r="R2651" s="10" t="n"/>
      <c r="S2651" s="16" t="inlineStr">
        <is>
          <t>https://mstgolf.co.th/products/gf2020201979</t>
        </is>
      </c>
      <c r="T2651" s="1">
        <f>IF(B2651="ไม้กอล์ฟ",J2651,"")</f>
        <v/>
      </c>
    </row>
    <row r="2652">
      <c r="A2652" s="1" t="n">
        <v>3</v>
      </c>
      <c r="B2652" s="1" t="inlineStr">
        <is>
          <t>อุปกรณ์เสริม</t>
        </is>
      </c>
      <c r="C2652" s="1" t="inlineStr">
        <is>
          <t>gf2080101413</t>
        </is>
      </c>
      <c r="D2652" s="1" t="inlineStr">
        <is>
          <t>PUMA Leather Belt (Black)</t>
        </is>
      </c>
      <c r="E2652" s="1" t="inlineStr">
        <is>
          <t>PUMA</t>
        </is>
      </c>
      <c r="F2652" s="1" t="inlineStr">
        <is>
          <t>BELT</t>
        </is>
      </c>
      <c r="G2652" s="1" t="inlineStr">
        <is>
          <t>GF2080101413S</t>
        </is>
      </c>
      <c r="H2652" s="1" t="n">
        <v>4</v>
      </c>
      <c r="I2652" s="1" t="inlineStr">
        <is>
          <t>มี</t>
        </is>
      </c>
      <c r="J2652" s="13" t="n">
        <v>99</v>
      </c>
      <c r="K2652" s="1" t="inlineStr"/>
      <c r="L2652" s="13" t="n">
        <v>99</v>
      </c>
      <c r="M2652" s="1">
        <f>IF(L2652="","ไม่พบใน SG",IF(ABS(J2652-L2652)&lt;0.005,"ตรงกัน","ไม่ตรง"))</f>
        <v/>
      </c>
      <c r="N2652" s="14">
        <f>IF(L2652="","",ROUND(L2652*'สรุป'!$C$6,-1))</f>
        <v/>
      </c>
      <c r="O2652" s="15" t="n"/>
      <c r="P2652" s="15" t="n"/>
      <c r="Q2652" s="10" t="n"/>
      <c r="R2652" s="10" t="n"/>
      <c r="S2652" s="16" t="inlineStr">
        <is>
          <t>https://mstgolf.co.th/products/gf2080101413</t>
        </is>
      </c>
      <c r="T2652" s="1">
        <f>IF(B2652="ไม้กอล์ฟ",J2652,"")</f>
        <v/>
      </c>
    </row>
    <row r="2653">
      <c r="A2653" s="1" t="n">
        <v>3</v>
      </c>
      <c r="B2653" s="1" t="inlineStr">
        <is>
          <t>เสื้อผ้า</t>
        </is>
      </c>
      <c r="C2653" s="1" t="inlineStr">
        <is>
          <t>gf2060101029</t>
        </is>
      </c>
      <c r="D2653" s="1" t="inlineStr">
        <is>
          <t>PUMA Monterey Men's Wind Jacket (Navy/Grey)</t>
        </is>
      </c>
      <c r="E2653" s="1" t="inlineStr">
        <is>
          <t>PUMA</t>
        </is>
      </c>
      <c r="F2653" s="1" t="inlineStr">
        <is>
          <t>TOP</t>
        </is>
      </c>
      <c r="G2653" s="1" t="inlineStr">
        <is>
          <t>GF2060101029S</t>
        </is>
      </c>
      <c r="H2653" s="1" t="n">
        <v>4</v>
      </c>
      <c r="I2653" s="1" t="inlineStr">
        <is>
          <t>มี</t>
        </is>
      </c>
      <c r="J2653" s="13" t="n">
        <v>99</v>
      </c>
      <c r="K2653" s="1" t="inlineStr"/>
      <c r="L2653" s="13" t="n">
        <v>99</v>
      </c>
      <c r="M2653" s="1">
        <f>IF(L2653="","ไม่พบใน SG",IF(ABS(J2653-L2653)&lt;0.005,"ตรงกัน","ไม่ตรง"))</f>
        <v/>
      </c>
      <c r="N2653" s="14">
        <f>IF(L2653="","",ROUND(L2653*'สรุป'!$C$6,-1))</f>
        <v/>
      </c>
      <c r="O2653" s="15" t="n"/>
      <c r="P2653" s="15" t="n"/>
      <c r="Q2653" s="10" t="n"/>
      <c r="R2653" s="10" t="n"/>
      <c r="S2653" s="16" t="inlineStr">
        <is>
          <t>https://mstgolf.co.th/products/gf2060101029</t>
        </is>
      </c>
      <c r="T2653" s="1">
        <f>IF(B2653="ไม้กอล์ฟ",J2653,"")</f>
        <v/>
      </c>
    </row>
    <row r="2654">
      <c r="A2654" s="1" t="n">
        <v>3</v>
      </c>
      <c r="B2654" s="1" t="inlineStr">
        <is>
          <t>เสื้อผ้า</t>
        </is>
      </c>
      <c r="C2654" s="1" t="inlineStr">
        <is>
          <t>gf2060100976</t>
        </is>
      </c>
      <c r="D2654" s="1" t="inlineStr">
        <is>
          <t>PUMA Monterey Men's Windbreaker (White/Navy)</t>
        </is>
      </c>
      <c r="E2654" s="1" t="inlineStr">
        <is>
          <t>PUMA</t>
        </is>
      </c>
      <c r="F2654" s="1" t="inlineStr">
        <is>
          <t>TOP</t>
        </is>
      </c>
      <c r="G2654" s="1" t="inlineStr">
        <is>
          <t>GF2060100976S</t>
        </is>
      </c>
      <c r="H2654" s="1" t="n">
        <v>4</v>
      </c>
      <c r="I2654" s="1" t="inlineStr">
        <is>
          <t>มี</t>
        </is>
      </c>
      <c r="J2654" s="13" t="n">
        <v>99</v>
      </c>
      <c r="K2654" s="1" t="inlineStr"/>
      <c r="L2654" s="13" t="n">
        <v>99</v>
      </c>
      <c r="M2654" s="1">
        <f>IF(L2654="","ไม่พบใน SG",IF(ABS(J2654-L2654)&lt;0.005,"ตรงกัน","ไม่ตรง"))</f>
        <v/>
      </c>
      <c r="N2654" s="14">
        <f>IF(L2654="","",ROUND(L2654*'สรุป'!$C$6,-1))</f>
        <v/>
      </c>
      <c r="O2654" s="15" t="n"/>
      <c r="P2654" s="15" t="n"/>
      <c r="Q2654" s="10" t="n"/>
      <c r="R2654" s="10" t="n"/>
      <c r="S2654" s="16" t="inlineStr">
        <is>
          <t>https://mstgolf.co.th/products/gf2060100976</t>
        </is>
      </c>
      <c r="T2654" s="1">
        <f>IF(B2654="ไม้กอล์ฟ",J2654,"")</f>
        <v/>
      </c>
    </row>
    <row r="2655">
      <c r="A2655" s="1" t="n">
        <v>3</v>
      </c>
      <c r="B2655" s="1" t="inlineStr">
        <is>
          <t>เสื้อผ้า</t>
        </is>
      </c>
      <c r="C2655" s="1" t="inlineStr">
        <is>
          <t>gf2040119256</t>
        </is>
      </c>
      <c r="D2655" s="1" t="inlineStr">
        <is>
          <t>PUMA x Volition Camo Men's Polo (Strong Red)</t>
        </is>
      </c>
      <c r="E2655" s="1" t="inlineStr">
        <is>
          <t>PUMA</t>
        </is>
      </c>
      <c r="F2655" s="1" t="inlineStr">
        <is>
          <t>SHORT SLEEVES</t>
        </is>
      </c>
      <c r="G2655" s="1" t="inlineStr">
        <is>
          <t>GF2040119256XS</t>
        </is>
      </c>
      <c r="H2655" s="1" t="n">
        <v>7</v>
      </c>
      <c r="I2655" s="1" t="inlineStr">
        <is>
          <t>มี</t>
        </is>
      </c>
      <c r="J2655" s="13" t="n">
        <v>99</v>
      </c>
      <c r="K2655" s="1" t="inlineStr"/>
      <c r="L2655" s="13" t="n">
        <v>69</v>
      </c>
      <c r="M2655" s="1">
        <f>IF(L2655="","ไม่พบใน SG",IF(ABS(J2655-L2655)&lt;0.005,"ตรงกัน","ไม่ตรง"))</f>
        <v/>
      </c>
      <c r="N2655" s="14">
        <f>IF(L2655="","",ROUND(L2655*'สรุป'!$C$6,-1))</f>
        <v/>
      </c>
      <c r="O2655" s="15" t="n"/>
      <c r="P2655" s="15" t="n"/>
      <c r="Q2655" s="10" t="n"/>
      <c r="R2655" s="10" t="n"/>
      <c r="S2655" s="16" t="inlineStr">
        <is>
          <t>https://mstgolf.co.th/products/gf2040119256</t>
        </is>
      </c>
      <c r="T2655" s="1">
        <f>IF(B2655="ไม้กอล์ฟ",J2655,"")</f>
        <v/>
      </c>
    </row>
    <row r="2656">
      <c r="A2656" s="1" t="n">
        <v>3</v>
      </c>
      <c r="B2656" s="1" t="inlineStr">
        <is>
          <t>เสื้อผ้า</t>
        </is>
      </c>
      <c r="C2656" s="1" t="inlineStr">
        <is>
          <t>gf2020102300</t>
        </is>
      </c>
      <c r="D2656" s="1" t="inlineStr">
        <is>
          <t>TAYLORMADE Basic Men's Pants (Navy)</t>
        </is>
      </c>
      <c r="E2656" s="1" t="inlineStr">
        <is>
          <t>TAYLORMADE</t>
        </is>
      </c>
      <c r="F2656" s="1" t="inlineStr">
        <is>
          <t>LONG PANTS</t>
        </is>
      </c>
      <c r="G2656" s="1" t="inlineStr">
        <is>
          <t>GF2020102300S</t>
        </is>
      </c>
      <c r="H2656" s="1" t="n">
        <v>11</v>
      </c>
      <c r="I2656" s="1" t="inlineStr">
        <is>
          <t>มี</t>
        </is>
      </c>
      <c r="J2656" s="13" t="n">
        <v>99</v>
      </c>
      <c r="K2656" s="1" t="inlineStr"/>
      <c r="L2656" s="13" t="n">
        <v>69</v>
      </c>
      <c r="M2656" s="1">
        <f>IF(L2656="","ไม่พบใน SG",IF(ABS(J2656-L2656)&lt;0.005,"ตรงกัน","ไม่ตรง"))</f>
        <v/>
      </c>
      <c r="N2656" s="14">
        <f>IF(L2656="","",ROUND(L2656*'สรุป'!$C$6,-1))</f>
        <v/>
      </c>
      <c r="O2656" s="15" t="n"/>
      <c r="P2656" s="15" t="n"/>
      <c r="Q2656" s="10" t="n"/>
      <c r="R2656" s="10" t="n"/>
      <c r="S2656" s="16" t="inlineStr">
        <is>
          <t>https://mstgolf.co.th/products/gf2020102300</t>
        </is>
      </c>
      <c r="T2656" s="1">
        <f>IF(B2656="ไม้กอล์ฟ",J2656,"")</f>
        <v/>
      </c>
    </row>
    <row r="2657">
      <c r="A2657" s="1" t="n">
        <v>3</v>
      </c>
      <c r="B2657" s="1" t="inlineStr">
        <is>
          <t>เสื้อผ้า</t>
        </is>
      </c>
      <c r="C2657" s="1" t="inlineStr">
        <is>
          <t>gf2020102301</t>
        </is>
      </c>
      <c r="D2657" s="1" t="inlineStr">
        <is>
          <t>TAYLORMADE Basic Men's Pants (White)</t>
        </is>
      </c>
      <c r="E2657" s="1" t="inlineStr">
        <is>
          <t>TAYLORMADE</t>
        </is>
      </c>
      <c r="F2657" s="1" t="inlineStr">
        <is>
          <t>LONG PANTS</t>
        </is>
      </c>
      <c r="G2657" s="1" t="inlineStr">
        <is>
          <t>GF2020102301L</t>
        </is>
      </c>
      <c r="H2657" s="1" t="n">
        <v>11</v>
      </c>
      <c r="I2657" s="1" t="inlineStr">
        <is>
          <t>มี</t>
        </is>
      </c>
      <c r="J2657" s="13" t="n">
        <v>99</v>
      </c>
      <c r="K2657" s="1" t="inlineStr"/>
      <c r="L2657" s="13" t="n">
        <v>69</v>
      </c>
      <c r="M2657" s="1">
        <f>IF(L2657="","ไม่พบใน SG",IF(ABS(J2657-L2657)&lt;0.005,"ตรงกัน","ไม่ตรง"))</f>
        <v/>
      </c>
      <c r="N2657" s="14">
        <f>IF(L2657="","",ROUND(L2657*'สรุป'!$C$6,-1))</f>
        <v/>
      </c>
      <c r="O2657" s="15" t="n"/>
      <c r="P2657" s="15" t="n"/>
      <c r="Q2657" s="10" t="n"/>
      <c r="R2657" s="10" t="n"/>
      <c r="S2657" s="16" t="inlineStr">
        <is>
          <t>https://mstgolf.co.th/products/gf2020102301</t>
        </is>
      </c>
      <c r="T2657" s="1">
        <f>IF(B2657="ไม้กอล์ฟ",J2657,"")</f>
        <v/>
      </c>
    </row>
    <row r="2658">
      <c r="A2658" s="1" t="n">
        <v>3</v>
      </c>
      <c r="B2658" s="1" t="inlineStr">
        <is>
          <t>เสื้อผ้า</t>
        </is>
      </c>
      <c r="C2658" s="1" t="inlineStr">
        <is>
          <t>gf2040116605</t>
        </is>
      </c>
      <c r="D2658" s="1" t="inlineStr">
        <is>
          <t>TAYLORMADE Big Letter Men's Polo (Smoke Pink)</t>
        </is>
      </c>
      <c r="E2658" s="1" t="inlineStr">
        <is>
          <t>TAYLORMADE</t>
        </is>
      </c>
      <c r="F2658" s="1" t="inlineStr">
        <is>
          <t>SHORT SLEEVES</t>
        </is>
      </c>
      <c r="G2658" s="1" t="inlineStr">
        <is>
          <t>GF2040116605M</t>
        </is>
      </c>
      <c r="H2658" s="1" t="n">
        <v>5</v>
      </c>
      <c r="I2658" s="1" t="inlineStr">
        <is>
          <t>มี</t>
        </is>
      </c>
      <c r="J2658" s="13" t="n">
        <v>99</v>
      </c>
      <c r="K2658" s="1" t="inlineStr"/>
      <c r="L2658" s="13" t="n">
        <v>79</v>
      </c>
      <c r="M2658" s="1">
        <f>IF(L2658="","ไม่พบใน SG",IF(ABS(J2658-L2658)&lt;0.005,"ตรงกัน","ไม่ตรง"))</f>
        <v/>
      </c>
      <c r="N2658" s="14">
        <f>IF(L2658="","",ROUND(L2658*'สรุป'!$C$6,-1))</f>
        <v/>
      </c>
      <c r="O2658" s="15" t="n"/>
      <c r="P2658" s="15" t="n"/>
      <c r="Q2658" s="10" t="n"/>
      <c r="R2658" s="10" t="n"/>
      <c r="S2658" s="16" t="inlineStr">
        <is>
          <t>https://mstgolf.co.th/products/gf2040116605</t>
        </is>
      </c>
      <c r="T2658" s="1">
        <f>IF(B2658="ไม้กอล์ฟ",J2658,"")</f>
        <v/>
      </c>
    </row>
    <row r="2659">
      <c r="A2659" s="1" t="n">
        <v>3</v>
      </c>
      <c r="B2659" s="1" t="inlineStr">
        <is>
          <t>เสื้อผ้า</t>
        </is>
      </c>
      <c r="C2659" s="1" t="inlineStr">
        <is>
          <t>gf2040115441</t>
        </is>
      </c>
      <c r="D2659" s="1" t="inlineStr">
        <is>
          <t>TAYLORMADE Big Letter Men's Polo (White)</t>
        </is>
      </c>
      <c r="E2659" s="1" t="inlineStr">
        <is>
          <t>TAYLORMADE</t>
        </is>
      </c>
      <c r="F2659" s="1" t="inlineStr">
        <is>
          <t>SHORT SLEEVES</t>
        </is>
      </c>
      <c r="G2659" s="1" t="inlineStr">
        <is>
          <t>GF2040115441M</t>
        </is>
      </c>
      <c r="H2659" s="1" t="n">
        <v>5</v>
      </c>
      <c r="I2659" s="1" t="inlineStr">
        <is>
          <t>มี</t>
        </is>
      </c>
      <c r="J2659" s="13" t="n">
        <v>99</v>
      </c>
      <c r="K2659" s="1" t="inlineStr"/>
      <c r="L2659" s="13" t="n">
        <v>99</v>
      </c>
      <c r="M2659" s="1">
        <f>IF(L2659="","ไม่พบใน SG",IF(ABS(J2659-L2659)&lt;0.005,"ตรงกัน","ไม่ตรง"))</f>
        <v/>
      </c>
      <c r="N2659" s="14">
        <f>IF(L2659="","",ROUND(L2659*'สรุป'!$C$6,-1))</f>
        <v/>
      </c>
      <c r="O2659" s="15" t="n"/>
      <c r="P2659" s="15" t="n"/>
      <c r="Q2659" s="10" t="n"/>
      <c r="R2659" s="10" t="n"/>
      <c r="S2659" s="16" t="inlineStr">
        <is>
          <t>https://mstgolf.co.th/products/gf2040115441</t>
        </is>
      </c>
      <c r="T2659" s="1">
        <f>IF(B2659="ไม้กอล์ฟ",J2659,"")</f>
        <v/>
      </c>
    </row>
    <row r="2660">
      <c r="A2660" s="1" t="n">
        <v>3</v>
      </c>
      <c r="B2660" s="1" t="inlineStr">
        <is>
          <t>เสื้อผ้า</t>
        </is>
      </c>
      <c r="C2660" s="1" t="inlineStr">
        <is>
          <t>gf2040115458</t>
        </is>
      </c>
      <c r="D2660" s="1" t="inlineStr">
        <is>
          <t>TAYLORMADE Flower Jacquard Men's Polo (Navy)</t>
        </is>
      </c>
      <c r="E2660" s="1" t="inlineStr">
        <is>
          <t>TAYLORMADE</t>
        </is>
      </c>
      <c r="F2660" s="1" t="inlineStr">
        <is>
          <t>SHORT SLEEVES</t>
        </is>
      </c>
      <c r="G2660" s="1" t="inlineStr">
        <is>
          <t>GF2040115458M</t>
        </is>
      </c>
      <c r="H2660" s="1" t="n">
        <v>5</v>
      </c>
      <c r="I2660" s="1" t="inlineStr">
        <is>
          <t>มี</t>
        </is>
      </c>
      <c r="J2660" s="13" t="n">
        <v>99</v>
      </c>
      <c r="K2660" s="1" t="inlineStr"/>
      <c r="L2660" s="13" t="n">
        <v>79</v>
      </c>
      <c r="M2660" s="1">
        <f>IF(L2660="","ไม่พบใน SG",IF(ABS(J2660-L2660)&lt;0.005,"ตรงกัน","ไม่ตรง"))</f>
        <v/>
      </c>
      <c r="N2660" s="14">
        <f>IF(L2660="","",ROUND(L2660*'สรุป'!$C$6,-1))</f>
        <v/>
      </c>
      <c r="O2660" s="15" t="n"/>
      <c r="P2660" s="15" t="n"/>
      <c r="Q2660" s="10" t="n"/>
      <c r="R2660" s="10" t="n"/>
      <c r="S2660" s="16" t="inlineStr">
        <is>
          <t>https://mstgolf.co.th/products/gf2040115458</t>
        </is>
      </c>
      <c r="T2660" s="1">
        <f>IF(B2660="ไม้กอล์ฟ",J2660,"")</f>
        <v/>
      </c>
    </row>
    <row r="2661">
      <c r="A2661" s="1" t="n">
        <v>3</v>
      </c>
      <c r="B2661" s="1" t="inlineStr">
        <is>
          <t>เสื้อผ้า</t>
        </is>
      </c>
      <c r="C2661" s="1" t="inlineStr">
        <is>
          <t>gf2040115456</t>
        </is>
      </c>
      <c r="D2661" s="1" t="inlineStr">
        <is>
          <t>TAYLORMADE Flower Jacquard Men's Polo (Pink)</t>
        </is>
      </c>
      <c r="E2661" s="1" t="inlineStr">
        <is>
          <t>TAYLORMADE</t>
        </is>
      </c>
      <c r="F2661" s="1" t="inlineStr">
        <is>
          <t>SHORT SLEEVES</t>
        </is>
      </c>
      <c r="G2661" s="1" t="inlineStr">
        <is>
          <t>GF2040115456M</t>
        </is>
      </c>
      <c r="H2661" s="1" t="n">
        <v>5</v>
      </c>
      <c r="I2661" s="1" t="inlineStr">
        <is>
          <t>มี</t>
        </is>
      </c>
      <c r="J2661" s="13" t="n">
        <v>99</v>
      </c>
      <c r="K2661" s="1" t="inlineStr"/>
      <c r="L2661" s="13" t="n">
        <v>79</v>
      </c>
      <c r="M2661" s="1">
        <f>IF(L2661="","ไม่พบใน SG",IF(ABS(J2661-L2661)&lt;0.005,"ตรงกัน","ไม่ตรง"))</f>
        <v/>
      </c>
      <c r="N2661" s="14">
        <f>IF(L2661="","",ROUND(L2661*'สรุป'!$C$6,-1))</f>
        <v/>
      </c>
      <c r="O2661" s="15" t="n"/>
      <c r="P2661" s="15" t="n"/>
      <c r="Q2661" s="10" t="n"/>
      <c r="R2661" s="10" t="n"/>
      <c r="S2661" s="16" t="inlineStr">
        <is>
          <t>https://mstgolf.co.th/products/gf2040115456</t>
        </is>
      </c>
      <c r="T2661" s="1">
        <f>IF(B2661="ไม้กอล์ฟ",J2661,"")</f>
        <v/>
      </c>
    </row>
    <row r="2662">
      <c r="A2662" s="1" t="n">
        <v>3</v>
      </c>
      <c r="B2662" s="1" t="inlineStr">
        <is>
          <t>เสื้อผ้า</t>
        </is>
      </c>
      <c r="C2662" s="1" t="inlineStr">
        <is>
          <t>gf2040115457</t>
        </is>
      </c>
      <c r="D2662" s="1" t="inlineStr">
        <is>
          <t>TAYLORMADE Flower Jacquard Men's Polo (White)</t>
        </is>
      </c>
      <c r="E2662" s="1" t="inlineStr">
        <is>
          <t>TAYLORMADE</t>
        </is>
      </c>
      <c r="F2662" s="1" t="inlineStr">
        <is>
          <t>SHORT SLEEVES</t>
        </is>
      </c>
      <c r="G2662" s="1" t="inlineStr">
        <is>
          <t>GF2040115457M</t>
        </is>
      </c>
      <c r="H2662" s="1" t="n">
        <v>5</v>
      </c>
      <c r="I2662" s="1" t="inlineStr">
        <is>
          <t>มี</t>
        </is>
      </c>
      <c r="J2662" s="13" t="n">
        <v>99</v>
      </c>
      <c r="K2662" s="1" t="inlineStr"/>
      <c r="L2662" s="13" t="n">
        <v>79</v>
      </c>
      <c r="M2662" s="1">
        <f>IF(L2662="","ไม่พบใน SG",IF(ABS(J2662-L2662)&lt;0.005,"ตรงกัน","ไม่ตรง"))</f>
        <v/>
      </c>
      <c r="N2662" s="14">
        <f>IF(L2662="","",ROUND(L2662*'สรุป'!$C$6,-1))</f>
        <v/>
      </c>
      <c r="O2662" s="15" t="n"/>
      <c r="P2662" s="15" t="n"/>
      <c r="Q2662" s="10" t="n"/>
      <c r="R2662" s="10" t="n"/>
      <c r="S2662" s="16" t="inlineStr">
        <is>
          <t>https://mstgolf.co.th/products/gf2040115457</t>
        </is>
      </c>
      <c r="T2662" s="1">
        <f>IF(B2662="ไม้กอล์ฟ",J2662,"")</f>
        <v/>
      </c>
    </row>
    <row r="2663">
      <c r="A2663" s="1" t="n">
        <v>3</v>
      </c>
      <c r="B2663" s="1" t="inlineStr">
        <is>
          <t>เสื้อผ้า</t>
        </is>
      </c>
      <c r="C2663" s="1" t="inlineStr">
        <is>
          <t>gf2040401054</t>
        </is>
      </c>
      <c r="D2663" s="1" t="inlineStr">
        <is>
          <t>TAYLORMADE Graphic Women's Long Sleeve Mock Shirt (Black)</t>
        </is>
      </c>
      <c r="E2663" s="1" t="inlineStr">
        <is>
          <t>TAYLORMADE</t>
        </is>
      </c>
      <c r="F2663" s="1" t="inlineStr">
        <is>
          <t>LONG SLEEVES</t>
        </is>
      </c>
      <c r="G2663" s="1" t="inlineStr">
        <is>
          <t>GF2040401054M</t>
        </is>
      </c>
      <c r="H2663" s="1" t="n">
        <v>4</v>
      </c>
      <c r="I2663" s="1" t="inlineStr">
        <is>
          <t>มี</t>
        </is>
      </c>
      <c r="J2663" s="13" t="n">
        <v>99</v>
      </c>
      <c r="K2663" s="1" t="inlineStr"/>
      <c r="L2663" s="13" t="n">
        <v>79</v>
      </c>
      <c r="M2663" s="1">
        <f>IF(L2663="","ไม่พบใน SG",IF(ABS(J2663-L2663)&lt;0.005,"ตรงกัน","ไม่ตรง"))</f>
        <v/>
      </c>
      <c r="N2663" s="14">
        <f>IF(L2663="","",ROUND(L2663*'สรุป'!$C$6,-1))</f>
        <v/>
      </c>
      <c r="O2663" s="15" t="n"/>
      <c r="P2663" s="15" t="n"/>
      <c r="Q2663" s="10" t="n"/>
      <c r="R2663" s="10" t="n"/>
      <c r="S2663" s="16" t="inlineStr">
        <is>
          <t>https://mstgolf.co.th/products/gf2040401054</t>
        </is>
      </c>
      <c r="T2663" s="1">
        <f>IF(B2663="ไม้กอล์ฟ",J2663,"")</f>
        <v/>
      </c>
    </row>
    <row r="2664">
      <c r="A2664" s="1" t="n">
        <v>3</v>
      </c>
      <c r="B2664" s="1" t="inlineStr">
        <is>
          <t>เสื้อผ้า</t>
        </is>
      </c>
      <c r="C2664" s="1" t="inlineStr">
        <is>
          <t>gf2040115474</t>
        </is>
      </c>
      <c r="D2664" s="1" t="inlineStr">
        <is>
          <t>TAYLORMADE Letter Graphic Women's Polo (Smoke Pink)</t>
        </is>
      </c>
      <c r="E2664" s="1" t="inlineStr">
        <is>
          <t>TAYLORMADE</t>
        </is>
      </c>
      <c r="F2664" s="1" t="inlineStr">
        <is>
          <t>SHORT SLEEVES</t>
        </is>
      </c>
      <c r="G2664" s="1" t="inlineStr">
        <is>
          <t>GF2040115474XS</t>
        </is>
      </c>
      <c r="H2664" s="1" t="n">
        <v>5</v>
      </c>
      <c r="I2664" s="1" t="inlineStr">
        <is>
          <t>มี</t>
        </is>
      </c>
      <c r="J2664" s="13" t="n">
        <v>99</v>
      </c>
      <c r="K2664" s="1" t="inlineStr"/>
      <c r="L2664" s="13" t="n">
        <v>79</v>
      </c>
      <c r="M2664" s="1">
        <f>IF(L2664="","ไม่พบใน SG",IF(ABS(J2664-L2664)&lt;0.005,"ตรงกัน","ไม่ตรง"))</f>
        <v/>
      </c>
      <c r="N2664" s="14">
        <f>IF(L2664="","",ROUND(L2664*'สรุป'!$C$6,-1))</f>
        <v/>
      </c>
      <c r="O2664" s="15" t="n"/>
      <c r="P2664" s="15" t="n"/>
      <c r="Q2664" s="10" t="n"/>
      <c r="R2664" s="10" t="n"/>
      <c r="S2664" s="16" t="inlineStr">
        <is>
          <t>https://mstgolf.co.th/products/gf2040115474</t>
        </is>
      </c>
      <c r="T2664" s="1">
        <f>IF(B2664="ไม้กอล์ฟ",J2664,"")</f>
        <v/>
      </c>
    </row>
    <row r="2665">
      <c r="A2665" s="1" t="n">
        <v>3</v>
      </c>
      <c r="B2665" s="1" t="inlineStr">
        <is>
          <t>เสื้อผ้า</t>
        </is>
      </c>
      <c r="C2665" s="1" t="inlineStr">
        <is>
          <t>gf2040115494</t>
        </is>
      </c>
      <c r="D2665" s="1" t="inlineStr">
        <is>
          <t>TAYLORMADE Ribbon Women's Polo (Beige)</t>
        </is>
      </c>
      <c r="E2665" s="1" t="inlineStr">
        <is>
          <t>TAYLORMADE</t>
        </is>
      </c>
      <c r="F2665" s="1" t="inlineStr">
        <is>
          <t>SHORT SLEEVES</t>
        </is>
      </c>
      <c r="G2665" s="1" t="inlineStr">
        <is>
          <t>GF2040115494XS</t>
        </is>
      </c>
      <c r="H2665" s="1" t="n">
        <v>5</v>
      </c>
      <c r="I2665" s="1" t="inlineStr">
        <is>
          <t>มี</t>
        </is>
      </c>
      <c r="J2665" s="13" t="n">
        <v>99</v>
      </c>
      <c r="K2665" s="1" t="inlineStr"/>
      <c r="L2665" s="13" t="n">
        <v>79</v>
      </c>
      <c r="M2665" s="1">
        <f>IF(L2665="","ไม่พบใน SG",IF(ABS(J2665-L2665)&lt;0.005,"ตรงกัน","ไม่ตรง"))</f>
        <v/>
      </c>
      <c r="N2665" s="14">
        <f>IF(L2665="","",ROUND(L2665*'สรุป'!$C$6,-1))</f>
        <v/>
      </c>
      <c r="O2665" s="15" t="n"/>
      <c r="P2665" s="15" t="n"/>
      <c r="Q2665" s="10" t="n"/>
      <c r="R2665" s="10" t="n"/>
      <c r="S2665" s="16" t="inlineStr">
        <is>
          <t>https://mstgolf.co.th/products/gf2040115494</t>
        </is>
      </c>
      <c r="T2665" s="1">
        <f>IF(B2665="ไม้กอล์ฟ",J2665,"")</f>
        <v/>
      </c>
    </row>
    <row r="2666">
      <c r="A2666" s="1" t="n">
        <v>3</v>
      </c>
      <c r="B2666" s="1" t="inlineStr">
        <is>
          <t>เสื้อผ้า</t>
        </is>
      </c>
      <c r="C2666" s="1" t="inlineStr">
        <is>
          <t>gf2040401056</t>
        </is>
      </c>
      <c r="D2666" s="1" t="inlineStr">
        <is>
          <t>TAYLORMADE Round Logo Women's Long Sleeve Shirt (Pink)</t>
        </is>
      </c>
      <c r="E2666" s="1" t="inlineStr">
        <is>
          <t>TAYLORMADE</t>
        </is>
      </c>
      <c r="F2666" s="1" t="inlineStr">
        <is>
          <t>LONG SLEEVES</t>
        </is>
      </c>
      <c r="G2666" s="1" t="inlineStr">
        <is>
          <t>GF2040401056M</t>
        </is>
      </c>
      <c r="H2666" s="1" t="n">
        <v>4</v>
      </c>
      <c r="I2666" s="1" t="inlineStr">
        <is>
          <t>มี</t>
        </is>
      </c>
      <c r="J2666" s="13" t="n">
        <v>99</v>
      </c>
      <c r="K2666" s="1" t="inlineStr"/>
      <c r="L2666" s="13" t="n">
        <v>79</v>
      </c>
      <c r="M2666" s="1">
        <f>IF(L2666="","ไม่พบใน SG",IF(ABS(J2666-L2666)&lt;0.005,"ตรงกัน","ไม่ตรง"))</f>
        <v/>
      </c>
      <c r="N2666" s="14">
        <f>IF(L2666="","",ROUND(L2666*'สรุป'!$C$6,-1))</f>
        <v/>
      </c>
      <c r="O2666" s="15" t="n"/>
      <c r="P2666" s="15" t="n"/>
      <c r="Q2666" s="10" t="n"/>
      <c r="R2666" s="10" t="n"/>
      <c r="S2666" s="16" t="inlineStr">
        <is>
          <t>https://mstgolf.co.th/products/gf2040401056</t>
        </is>
      </c>
      <c r="T2666" s="1">
        <f>IF(B2666="ไม้กอล์ฟ",J2666,"")</f>
        <v/>
      </c>
    </row>
    <row r="2667">
      <c r="A2667" s="1" t="n">
        <v>3</v>
      </c>
      <c r="B2667" s="1" t="inlineStr">
        <is>
          <t>เสื้อผ้า</t>
        </is>
      </c>
      <c r="C2667" s="1" t="inlineStr">
        <is>
          <t>gf2040115446</t>
        </is>
      </c>
      <c r="D2667" s="1" t="inlineStr">
        <is>
          <t>TAYLORMADE T-Ice Men's Mock Shirt (White)</t>
        </is>
      </c>
      <c r="E2667" s="1" t="inlineStr">
        <is>
          <t>TAYLORMADE</t>
        </is>
      </c>
      <c r="F2667" s="1" t="inlineStr">
        <is>
          <t>SHORT SLEEVES</t>
        </is>
      </c>
      <c r="G2667" s="1" t="inlineStr">
        <is>
          <t>GF2040115446M</t>
        </is>
      </c>
      <c r="H2667" s="1" t="n">
        <v>5</v>
      </c>
      <c r="I2667" s="1" t="inlineStr">
        <is>
          <t>มี</t>
        </is>
      </c>
      <c r="J2667" s="13" t="n">
        <v>99</v>
      </c>
      <c r="K2667" s="1" t="inlineStr"/>
      <c r="L2667" s="13" t="n">
        <v>99</v>
      </c>
      <c r="M2667" s="1">
        <f>IF(L2667="","ไม่พบใน SG",IF(ABS(J2667-L2667)&lt;0.005,"ตรงกัน","ไม่ตรง"))</f>
        <v/>
      </c>
      <c r="N2667" s="14">
        <f>IF(L2667="","",ROUND(L2667*'สรุป'!$C$6,-1))</f>
        <v/>
      </c>
      <c r="O2667" s="15" t="n"/>
      <c r="P2667" s="15" t="n"/>
      <c r="Q2667" s="10" t="n"/>
      <c r="R2667" s="10" t="n"/>
      <c r="S2667" s="16" t="inlineStr">
        <is>
          <t>https://mstgolf.co.th/products/gf2040115446</t>
        </is>
      </c>
      <c r="T2667" s="1">
        <f>IF(B2667="ไม้กอล์ฟ",J2667,"")</f>
        <v/>
      </c>
    </row>
    <row r="2668">
      <c r="A2668" s="1" t="n">
        <v>3</v>
      </c>
      <c r="B2668" s="1" t="inlineStr">
        <is>
          <t>เสื้อผ้า</t>
        </is>
      </c>
      <c r="C2668" s="1" t="inlineStr">
        <is>
          <t>gf2040120411</t>
        </is>
      </c>
      <c r="D2668" s="1" t="inlineStr">
        <is>
          <t>UNDER ARMOUR Birdie Watching Camo Men's Polo (Blue)</t>
        </is>
      </c>
      <c r="E2668" s="1" t="inlineStr">
        <is>
          <t>UNDER ARMOUR</t>
        </is>
      </c>
      <c r="F2668" s="1" t="inlineStr">
        <is>
          <t>SHORT SLEEVES</t>
        </is>
      </c>
      <c r="G2668" s="1" t="inlineStr">
        <is>
          <t>GF2040120411S</t>
        </is>
      </c>
      <c r="H2668" s="1" t="n">
        <v>5</v>
      </c>
      <c r="I2668" s="1" t="inlineStr">
        <is>
          <t>มี</t>
        </is>
      </c>
      <c r="J2668" s="13" t="n">
        <v>99</v>
      </c>
      <c r="K2668" s="1" t="inlineStr"/>
      <c r="L2668" s="13" t="n"/>
      <c r="M2668" s="1">
        <f>IF(L2668="","ไม่พบใน SG",IF(ABS(J2668-L2668)&lt;0.005,"ตรงกัน","ไม่ตรง"))</f>
        <v/>
      </c>
      <c r="N2668" s="14">
        <f>IF(L2668="","",ROUND(L2668*'สรุป'!$C$6,-1))</f>
        <v/>
      </c>
      <c r="O2668" s="15" t="n"/>
      <c r="P2668" s="15" t="n"/>
      <c r="Q2668" s="10" t="n"/>
      <c r="R2668" s="10" t="n"/>
      <c r="S2668" s="16" t="inlineStr">
        <is>
          <t>https://mstgolf.co.th/products/gf2040120411</t>
        </is>
      </c>
      <c r="T2668" s="1">
        <f>IF(B2668="ไม้กอล์ฟ",J2668,"")</f>
        <v/>
      </c>
    </row>
    <row r="2669">
      <c r="A2669" s="1" t="n">
        <v>3</v>
      </c>
      <c r="B2669" s="1" t="inlineStr">
        <is>
          <t>เสื้อผ้า</t>
        </is>
      </c>
      <c r="C2669" s="1" t="inlineStr">
        <is>
          <t>gf2020202489</t>
        </is>
      </c>
      <c r="D2669" s="1" t="inlineStr">
        <is>
          <t>UNDER ARMOUR Drive Men's Tapered Shorts (Black)</t>
        </is>
      </c>
      <c r="E2669" s="1" t="inlineStr">
        <is>
          <t>UNDER ARMOUR</t>
        </is>
      </c>
      <c r="F2669" s="1" t="inlineStr">
        <is>
          <t>SHORT PANTS</t>
        </is>
      </c>
      <c r="G2669" s="1" t="inlineStr">
        <is>
          <t>GF202020248928</t>
        </is>
      </c>
      <c r="H2669" s="1" t="n">
        <v>7</v>
      </c>
      <c r="I2669" s="1" t="inlineStr">
        <is>
          <t>มี</t>
        </is>
      </c>
      <c r="J2669" s="13" t="n">
        <v>99</v>
      </c>
      <c r="K2669" s="1" t="inlineStr"/>
      <c r="L2669" s="13" t="n">
        <v>99</v>
      </c>
      <c r="M2669" s="1">
        <f>IF(L2669="","ไม่พบใน SG",IF(ABS(J2669-L2669)&lt;0.005,"ตรงกัน","ไม่ตรง"))</f>
        <v/>
      </c>
      <c r="N2669" s="14">
        <f>IF(L2669="","",ROUND(L2669*'สรุป'!$C$6,-1))</f>
        <v/>
      </c>
      <c r="O2669" s="15" t="n"/>
      <c r="P2669" s="15" t="n"/>
      <c r="Q2669" s="10" t="n"/>
      <c r="R2669" s="10" t="n"/>
      <c r="S2669" s="16" t="inlineStr">
        <is>
          <t>https://mstgolf.co.th/products/gf2020202489</t>
        </is>
      </c>
      <c r="T2669" s="1">
        <f>IF(B2669="ไม้กอล์ฟ",J2669,"")</f>
        <v/>
      </c>
    </row>
    <row r="2670">
      <c r="A2670" s="1" t="n">
        <v>3</v>
      </c>
      <c r="B2670" s="1" t="inlineStr">
        <is>
          <t>เสื้อผ้า</t>
        </is>
      </c>
      <c r="C2670" s="1" t="inlineStr">
        <is>
          <t>gf2020202299</t>
        </is>
      </c>
      <c r="D2670" s="1" t="inlineStr">
        <is>
          <t>UNDER ARMOUR Drive Men's Tapered Shorts (Photon Blue)</t>
        </is>
      </c>
      <c r="E2670" s="1" t="inlineStr">
        <is>
          <t>UNDER ARMOUR</t>
        </is>
      </c>
      <c r="F2670" s="1" t="inlineStr">
        <is>
          <t>SHORT PANTS</t>
        </is>
      </c>
      <c r="G2670" s="1" t="inlineStr">
        <is>
          <t>GF202020229928</t>
        </is>
      </c>
      <c r="H2670" s="1" t="n">
        <v>7</v>
      </c>
      <c r="I2670" s="1" t="inlineStr">
        <is>
          <t>มี</t>
        </is>
      </c>
      <c r="J2670" s="13" t="n">
        <v>99</v>
      </c>
      <c r="K2670" s="1" t="inlineStr"/>
      <c r="L2670" s="13" t="n">
        <v>99</v>
      </c>
      <c r="M2670" s="1">
        <f>IF(L2670="","ไม่พบใน SG",IF(ABS(J2670-L2670)&lt;0.005,"ตรงกัน","ไม่ตรง"))</f>
        <v/>
      </c>
      <c r="N2670" s="14">
        <f>IF(L2670="","",ROUND(L2670*'สรุป'!$C$6,-1))</f>
        <v/>
      </c>
      <c r="O2670" s="15" t="n"/>
      <c r="P2670" s="15" t="n"/>
      <c r="Q2670" s="10" t="n"/>
      <c r="R2670" s="10" t="n"/>
      <c r="S2670" s="16" t="inlineStr">
        <is>
          <t>https://mstgolf.co.th/products/gf2020202299</t>
        </is>
      </c>
      <c r="T2670" s="1">
        <f>IF(B2670="ไม้กอล์ฟ",J2670,"")</f>
        <v/>
      </c>
    </row>
    <row r="2671">
      <c r="A2671" s="1" t="n">
        <v>3</v>
      </c>
      <c r="B2671" s="1" t="inlineStr">
        <is>
          <t>เสื้อผ้า</t>
        </is>
      </c>
      <c r="C2671" s="1" t="inlineStr">
        <is>
          <t>gf2040120408</t>
        </is>
      </c>
      <c r="D2671" s="1" t="inlineStr">
        <is>
          <t>UNDER ARMOUR Drive Sport Jacquard Men's Polo (Blue/Navy)</t>
        </is>
      </c>
      <c r="E2671" s="1" t="inlineStr">
        <is>
          <t>UNDER ARMOUR</t>
        </is>
      </c>
      <c r="F2671" s="1" t="inlineStr">
        <is>
          <t>SHORT SLEEVES</t>
        </is>
      </c>
      <c r="G2671" s="1" t="inlineStr">
        <is>
          <t>GF2040120408S</t>
        </is>
      </c>
      <c r="H2671" s="1" t="n">
        <v>5</v>
      </c>
      <c r="I2671" s="1" t="inlineStr">
        <is>
          <t>มี</t>
        </is>
      </c>
      <c r="J2671" s="13" t="n">
        <v>99</v>
      </c>
      <c r="K2671" s="1" t="inlineStr"/>
      <c r="L2671" s="13" t="n">
        <v>79</v>
      </c>
      <c r="M2671" s="1">
        <f>IF(L2671="","ไม่พบใน SG",IF(ABS(J2671-L2671)&lt;0.005,"ตรงกัน","ไม่ตรง"))</f>
        <v/>
      </c>
      <c r="N2671" s="14">
        <f>IF(L2671="","",ROUND(L2671*'สรุป'!$C$6,-1))</f>
        <v/>
      </c>
      <c r="O2671" s="15" t="n"/>
      <c r="P2671" s="15" t="n"/>
      <c r="Q2671" s="10" t="n"/>
      <c r="R2671" s="10" t="n"/>
      <c r="S2671" s="16" t="inlineStr">
        <is>
          <t>https://mstgolf.co.th/products/gf2040120408</t>
        </is>
      </c>
      <c r="T2671" s="1">
        <f>IF(B2671="ไม้กอล์ฟ",J2671,"")</f>
        <v/>
      </c>
    </row>
    <row r="2672">
      <c r="A2672" s="1" t="n">
        <v>3</v>
      </c>
      <c r="B2672" s="1" t="inlineStr">
        <is>
          <t>เสื้อผ้า</t>
        </is>
      </c>
      <c r="C2672" s="1" t="inlineStr">
        <is>
          <t>gf2040120410</t>
        </is>
      </c>
      <c r="D2672" s="1" t="inlineStr">
        <is>
          <t>UNDER ARMOUR Drive Sport Jacquard Men's Polo (Jasper Blue)</t>
        </is>
      </c>
      <c r="E2672" s="1" t="inlineStr">
        <is>
          <t>UNDER ARMOUR</t>
        </is>
      </c>
      <c r="F2672" s="1" t="inlineStr">
        <is>
          <t>SHORT SLEEVES</t>
        </is>
      </c>
      <c r="G2672" s="1" t="inlineStr">
        <is>
          <t>GF2040120410S</t>
        </is>
      </c>
      <c r="H2672" s="1" t="n">
        <v>5</v>
      </c>
      <c r="I2672" s="1" t="inlineStr">
        <is>
          <t>มี</t>
        </is>
      </c>
      <c r="J2672" s="13" t="n">
        <v>99</v>
      </c>
      <c r="K2672" s="1" t="inlineStr"/>
      <c r="L2672" s="13" t="n">
        <v>79</v>
      </c>
      <c r="M2672" s="1">
        <f>IF(L2672="","ไม่พบใน SG",IF(ABS(J2672-L2672)&lt;0.005,"ตรงกัน","ไม่ตรง"))</f>
        <v/>
      </c>
      <c r="N2672" s="14">
        <f>IF(L2672="","",ROUND(L2672*'สรุป'!$C$6,-1))</f>
        <v/>
      </c>
      <c r="O2672" s="15" t="n"/>
      <c r="P2672" s="15" t="n"/>
      <c r="Q2672" s="10" t="n"/>
      <c r="R2672" s="10" t="n"/>
      <c r="S2672" s="16" t="inlineStr">
        <is>
          <t>https://mstgolf.co.th/products/gf2040120410</t>
        </is>
      </c>
      <c r="T2672" s="1">
        <f>IF(B2672="ไม้กอล์ฟ",J2672,"")</f>
        <v/>
      </c>
    </row>
    <row r="2673">
      <c r="A2673" s="1" t="n">
        <v>3</v>
      </c>
      <c r="B2673" s="1" t="inlineStr">
        <is>
          <t>เสื้อผ้า</t>
        </is>
      </c>
      <c r="C2673" s="1" t="inlineStr">
        <is>
          <t>gf2040120409</t>
        </is>
      </c>
      <c r="D2673" s="1" t="inlineStr">
        <is>
          <t>UNDER ARMOUR Drive Sport Jacquard Men's Polo (Midnight Navy)</t>
        </is>
      </c>
      <c r="E2673" s="1" t="inlineStr">
        <is>
          <t>UNDER ARMOUR</t>
        </is>
      </c>
      <c r="F2673" s="1" t="inlineStr">
        <is>
          <t>SHORT SLEEVES</t>
        </is>
      </c>
      <c r="G2673" s="1" t="inlineStr">
        <is>
          <t>GF2040120409S</t>
        </is>
      </c>
      <c r="H2673" s="1" t="n">
        <v>5</v>
      </c>
      <c r="I2673" s="1" t="inlineStr">
        <is>
          <t>มี</t>
        </is>
      </c>
      <c r="J2673" s="13" t="n">
        <v>99</v>
      </c>
      <c r="K2673" s="1" t="inlineStr"/>
      <c r="L2673" s="13" t="n">
        <v>79</v>
      </c>
      <c r="M2673" s="1">
        <f>IF(L2673="","ไม่พบใน SG",IF(ABS(J2673-L2673)&lt;0.005,"ตรงกัน","ไม่ตรง"))</f>
        <v/>
      </c>
      <c r="N2673" s="14">
        <f>IF(L2673="","",ROUND(L2673*'สรุป'!$C$6,-1))</f>
        <v/>
      </c>
      <c r="O2673" s="15" t="n"/>
      <c r="P2673" s="15" t="n"/>
      <c r="Q2673" s="10" t="n"/>
      <c r="R2673" s="10" t="n"/>
      <c r="S2673" s="16" t="inlineStr">
        <is>
          <t>https://mstgolf.co.th/products/gf2040120409</t>
        </is>
      </c>
      <c r="T2673" s="1">
        <f>IF(B2673="ไม้กอล์ฟ",J2673,"")</f>
        <v/>
      </c>
    </row>
    <row r="2674">
      <c r="A2674" s="1" t="n">
        <v>3</v>
      </c>
      <c r="B2674" s="1" t="inlineStr">
        <is>
          <t>เสื้อผ้า</t>
        </is>
      </c>
      <c r="C2674" s="1" t="inlineStr">
        <is>
          <t>gf2020202300</t>
        </is>
      </c>
      <c r="D2674" s="1" t="inlineStr">
        <is>
          <t>UNDER ARMOUR Drive Tapered Men's Shorts (Midnight Navy)</t>
        </is>
      </c>
      <c r="E2674" s="1" t="inlineStr">
        <is>
          <t>UNDER ARMOUR</t>
        </is>
      </c>
      <c r="F2674" s="1" t="inlineStr">
        <is>
          <t>SHORT PANTS</t>
        </is>
      </c>
      <c r="G2674" s="1" t="inlineStr">
        <is>
          <t>GF202020230028</t>
        </is>
      </c>
      <c r="H2674" s="1" t="n">
        <v>7</v>
      </c>
      <c r="I2674" s="1" t="inlineStr">
        <is>
          <t>มี</t>
        </is>
      </c>
      <c r="J2674" s="13" t="n">
        <v>99</v>
      </c>
      <c r="K2674" s="1" t="inlineStr"/>
      <c r="L2674" s="13" t="n">
        <v>99</v>
      </c>
      <c r="M2674" s="1">
        <f>IF(L2674="","ไม่พบใน SG",IF(ABS(J2674-L2674)&lt;0.005,"ตรงกัน","ไม่ตรง"))</f>
        <v/>
      </c>
      <c r="N2674" s="14">
        <f>IF(L2674="","",ROUND(L2674*'สรุป'!$C$6,-1))</f>
        <v/>
      </c>
      <c r="O2674" s="15" t="n"/>
      <c r="P2674" s="15" t="n"/>
      <c r="Q2674" s="10" t="n"/>
      <c r="R2674" s="10" t="n"/>
      <c r="S2674" s="16" t="inlineStr">
        <is>
          <t>https://mstgolf.co.th/products/gf2020202300</t>
        </is>
      </c>
      <c r="T2674" s="1">
        <f>IF(B2674="ไม้กอล์ฟ",J2674,"")</f>
        <v/>
      </c>
    </row>
    <row r="2675">
      <c r="A2675" s="1" t="n">
        <v>3</v>
      </c>
      <c r="B2675" s="1" t="inlineStr">
        <is>
          <t>เสื้อผ้า</t>
        </is>
      </c>
      <c r="C2675" s="1" t="inlineStr">
        <is>
          <t>gf2020202297</t>
        </is>
      </c>
      <c r="D2675" s="1" t="inlineStr">
        <is>
          <t>UNDER ARMOUR Drive Tapered Men's Shorts (Steel)</t>
        </is>
      </c>
      <c r="E2675" s="1" t="inlineStr">
        <is>
          <t>UNDER ARMOUR</t>
        </is>
      </c>
      <c r="F2675" s="1" t="inlineStr">
        <is>
          <t>SHORT PANTS</t>
        </is>
      </c>
      <c r="G2675" s="1" t="inlineStr">
        <is>
          <t>GF202020229728</t>
        </is>
      </c>
      <c r="H2675" s="1" t="n">
        <v>7</v>
      </c>
      <c r="I2675" s="1" t="inlineStr">
        <is>
          <t>มี</t>
        </is>
      </c>
      <c r="J2675" s="13" t="n">
        <v>99</v>
      </c>
      <c r="K2675" s="1" t="inlineStr"/>
      <c r="L2675" s="13" t="n">
        <v>99</v>
      </c>
      <c r="M2675" s="1">
        <f>IF(L2675="","ไม่พบใน SG",IF(ABS(J2675-L2675)&lt;0.005,"ตรงกัน","ไม่ตรง"))</f>
        <v/>
      </c>
      <c r="N2675" s="14">
        <f>IF(L2675="","",ROUND(L2675*'สรุป'!$C$6,-1))</f>
        <v/>
      </c>
      <c r="O2675" s="15" t="n"/>
      <c r="P2675" s="15" t="n"/>
      <c r="Q2675" s="10" t="n"/>
      <c r="R2675" s="10" t="n"/>
      <c r="S2675" s="16" t="inlineStr">
        <is>
          <t>https://mstgolf.co.th/products/gf2020202297</t>
        </is>
      </c>
      <c r="T2675" s="1">
        <f>IF(B2675="ไม้กอล์ฟ",J2675,"")</f>
        <v/>
      </c>
    </row>
    <row r="2676">
      <c r="A2676" s="1" t="n">
        <v>3</v>
      </c>
      <c r="B2676" s="1" t="inlineStr">
        <is>
          <t>เสื้อผ้า</t>
        </is>
      </c>
      <c r="C2676" s="1" t="inlineStr">
        <is>
          <t>gf2020202298</t>
        </is>
      </c>
      <c r="D2676" s="1" t="inlineStr">
        <is>
          <t>UNDER ARMOUR Drive Tapered Men's Shorts (Summit White)</t>
        </is>
      </c>
      <c r="E2676" s="1" t="inlineStr">
        <is>
          <t>UNDER ARMOUR</t>
        </is>
      </c>
      <c r="F2676" s="1" t="inlineStr">
        <is>
          <t>SHORT PANTS</t>
        </is>
      </c>
      <c r="G2676" s="1" t="inlineStr">
        <is>
          <t>GF202020229828</t>
        </is>
      </c>
      <c r="H2676" s="1" t="n">
        <v>7</v>
      </c>
      <c r="I2676" s="1" t="inlineStr">
        <is>
          <t>มี</t>
        </is>
      </c>
      <c r="J2676" s="13" t="n">
        <v>99</v>
      </c>
      <c r="K2676" s="1" t="inlineStr"/>
      <c r="L2676" s="13" t="n">
        <v>99</v>
      </c>
      <c r="M2676" s="1">
        <f>IF(L2676="","ไม่พบใน SG",IF(ABS(J2676-L2676)&lt;0.005,"ตรงกัน","ไม่ตรง"))</f>
        <v/>
      </c>
      <c r="N2676" s="14">
        <f>IF(L2676="","",ROUND(L2676*'สรุป'!$C$6,-1))</f>
        <v/>
      </c>
      <c r="O2676" s="15" t="n"/>
      <c r="P2676" s="15" t="n"/>
      <c r="Q2676" s="10" t="n"/>
      <c r="R2676" s="10" t="n"/>
      <c r="S2676" s="16" t="inlineStr">
        <is>
          <t>https://mstgolf.co.th/products/gf2020202298</t>
        </is>
      </c>
      <c r="T2676" s="1">
        <f>IF(B2676="ไม้กอล์ฟ",J2676,"")</f>
        <v/>
      </c>
    </row>
    <row r="2677">
      <c r="A2677" s="1" t="n">
        <v>3</v>
      </c>
      <c r="B2677" s="1" t="inlineStr">
        <is>
          <t>เสื้อผ้า</t>
        </is>
      </c>
      <c r="C2677" s="1" t="inlineStr">
        <is>
          <t>gf2040118339</t>
        </is>
      </c>
      <c r="D2677" s="1" t="inlineStr">
        <is>
          <t>UNDER ARMOUR Playoff 3.0 Line Jacquard Men's Polo (Tetra Grey)</t>
        </is>
      </c>
      <c r="E2677" s="1" t="inlineStr">
        <is>
          <t>UNDER ARMOUR</t>
        </is>
      </c>
      <c r="F2677" s="1" t="inlineStr">
        <is>
          <t>SHORT SLEEVES</t>
        </is>
      </c>
      <c r="G2677" s="1" t="inlineStr">
        <is>
          <t>GF2040118339S</t>
        </is>
      </c>
      <c r="H2677" s="1" t="n">
        <v>5</v>
      </c>
      <c r="I2677" s="1" t="inlineStr">
        <is>
          <t>มี</t>
        </is>
      </c>
      <c r="J2677" s="13" t="n">
        <v>99</v>
      </c>
      <c r="K2677" s="1" t="inlineStr"/>
      <c r="L2677" s="13" t="n">
        <v>99</v>
      </c>
      <c r="M2677" s="1">
        <f>IF(L2677="","ไม่พบใน SG",IF(ABS(J2677-L2677)&lt;0.005,"ตรงกัน","ไม่ตรง"))</f>
        <v/>
      </c>
      <c r="N2677" s="14">
        <f>IF(L2677="","",ROUND(L2677*'สรุป'!$C$6,-1))</f>
        <v/>
      </c>
      <c r="O2677" s="15" t="n"/>
      <c r="P2677" s="15" t="n"/>
      <c r="Q2677" s="10" t="n"/>
      <c r="R2677" s="10" t="n"/>
      <c r="S2677" s="16" t="inlineStr">
        <is>
          <t>https://mstgolf.co.th/products/gf2040118339</t>
        </is>
      </c>
      <c r="T2677" s="1">
        <f>IF(B2677="ไม้กอล์ฟ",J2677,"")</f>
        <v/>
      </c>
    </row>
    <row r="2678">
      <c r="A2678" s="1" t="n">
        <v>3</v>
      </c>
      <c r="B2678" s="1" t="inlineStr">
        <is>
          <t>เสื้อผ้า</t>
        </is>
      </c>
      <c r="C2678" s="1" t="inlineStr">
        <is>
          <t>gf2040200146</t>
        </is>
      </c>
      <c r="D2678" s="1" t="inlineStr">
        <is>
          <t>WAAC The Original Waacky Women's T-Shirt (Light Blue)</t>
        </is>
      </c>
      <c r="E2678" s="1" t="inlineStr">
        <is>
          <t>WAAC</t>
        </is>
      </c>
      <c r="F2678" s="1" t="inlineStr">
        <is>
          <t>TEE SHIRT</t>
        </is>
      </c>
      <c r="G2678" s="1" t="inlineStr">
        <is>
          <t>GF2040200146XS</t>
        </is>
      </c>
      <c r="H2678" s="1" t="n">
        <v>6</v>
      </c>
      <c r="I2678" s="1" t="inlineStr">
        <is>
          <t>มี</t>
        </is>
      </c>
      <c r="J2678" s="13" t="n">
        <v>99</v>
      </c>
      <c r="K2678" s="1" t="inlineStr"/>
      <c r="L2678" s="13" t="n">
        <v>99</v>
      </c>
      <c r="M2678" s="1">
        <f>IF(L2678="","ไม่พบใน SG",IF(ABS(J2678-L2678)&lt;0.005,"ตรงกัน","ไม่ตรง"))</f>
        <v/>
      </c>
      <c r="N2678" s="14">
        <f>IF(L2678="","",ROUND(L2678*'สรุป'!$C$6,-1))</f>
        <v/>
      </c>
      <c r="O2678" s="15" t="n"/>
      <c r="P2678" s="15" t="n"/>
      <c r="Q2678" s="10" t="n"/>
      <c r="R2678" s="10" t="n"/>
      <c r="S2678" s="16" t="inlineStr">
        <is>
          <t>https://mstgolf.co.th/products/gf2040200146</t>
        </is>
      </c>
      <c r="T2678" s="1">
        <f>IF(B2678="ไม้กอล์ฟ",J2678,"")</f>
        <v/>
      </c>
    </row>
    <row r="2679">
      <c r="A2679" s="1" t="n">
        <v>3</v>
      </c>
      <c r="B2679" s="1" t="inlineStr">
        <is>
          <t>เสื้อผ้า</t>
        </is>
      </c>
      <c r="C2679" s="1" t="inlineStr">
        <is>
          <t>gf2040200200</t>
        </is>
      </c>
      <c r="D2679" s="1" t="inlineStr">
        <is>
          <t>TAYLORMADE x PHANTACi Men's Mock Shirt (Green)</t>
        </is>
      </c>
      <c r="E2679" s="1" t="inlineStr">
        <is>
          <t>TAYLORMADE</t>
        </is>
      </c>
      <c r="F2679" s="1" t="inlineStr">
        <is>
          <t>TEE SHIRT</t>
        </is>
      </c>
      <c r="G2679" s="1" t="inlineStr">
        <is>
          <t>GF2040200200S</t>
        </is>
      </c>
      <c r="H2679" s="1" t="n">
        <v>5</v>
      </c>
      <c r="I2679" s="1" t="inlineStr">
        <is>
          <t>มี</t>
        </is>
      </c>
      <c r="J2679" s="13" t="n">
        <v>98</v>
      </c>
      <c r="K2679" s="1" t="inlineStr"/>
      <c r="L2679" s="13" t="n">
        <v>98</v>
      </c>
      <c r="M2679" s="1">
        <f>IF(L2679="","ไม่พบใน SG",IF(ABS(J2679-L2679)&lt;0.005,"ตรงกัน","ไม่ตรง"))</f>
        <v/>
      </c>
      <c r="N2679" s="14">
        <f>IF(L2679="","",ROUND(L2679*'สรุป'!$C$6,-1))</f>
        <v/>
      </c>
      <c r="O2679" s="15" t="n"/>
      <c r="P2679" s="15" t="n"/>
      <c r="Q2679" s="10" t="n"/>
      <c r="R2679" s="10" t="n"/>
      <c r="S2679" s="16" t="inlineStr">
        <is>
          <t>https://mstgolf.co.th/products/gf2040200200</t>
        </is>
      </c>
      <c r="T2679" s="1">
        <f>IF(B2679="ไม้กอล์ฟ",J2679,"")</f>
        <v/>
      </c>
    </row>
    <row r="2680">
      <c r="A2680" s="1" t="n">
        <v>3</v>
      </c>
      <c r="B2680" s="1" t="inlineStr">
        <is>
          <t>เสื้อผ้า</t>
        </is>
      </c>
      <c r="C2680" s="1" t="inlineStr">
        <is>
          <t>gf2020101881</t>
        </is>
      </c>
      <c r="D2680" s="1" t="inlineStr">
        <is>
          <t>CALVIN KLEIN Arkose Capri Women's Pants (Light Opal)</t>
        </is>
      </c>
      <c r="E2680" s="1" t="inlineStr">
        <is>
          <t>CALVIN KLEIN</t>
        </is>
      </c>
      <c r="F2680" s="1" t="inlineStr">
        <is>
          <t>LONG PANTS</t>
        </is>
      </c>
      <c r="G2680" s="1" t="inlineStr">
        <is>
          <t>GF20201018818</t>
        </is>
      </c>
      <c r="H2680" s="1" t="n">
        <v>5</v>
      </c>
      <c r="I2680" s="1" t="inlineStr">
        <is>
          <t>มี</t>
        </is>
      </c>
      <c r="J2680" s="13" t="n">
        <v>97</v>
      </c>
      <c r="K2680" s="1" t="inlineStr"/>
      <c r="L2680" s="13" t="n">
        <v>97</v>
      </c>
      <c r="M2680" s="1">
        <f>IF(L2680="","ไม่พบใน SG",IF(ABS(J2680-L2680)&lt;0.005,"ตรงกัน","ไม่ตรง"))</f>
        <v/>
      </c>
      <c r="N2680" s="14">
        <f>IF(L2680="","",ROUND(L2680*'สรุป'!$C$6,-1))</f>
        <v/>
      </c>
      <c r="O2680" s="15" t="n"/>
      <c r="P2680" s="15" t="n"/>
      <c r="Q2680" s="10" t="n"/>
      <c r="R2680" s="10" t="n"/>
      <c r="S2680" s="16" t="inlineStr">
        <is>
          <t>https://mstgolf.co.th/products/gf2020101881</t>
        </is>
      </c>
      <c r="T2680" s="1">
        <f>IF(B2680="ไม้กอล์ฟ",J2680,"")</f>
        <v/>
      </c>
    </row>
    <row r="2681">
      <c r="A2681" s="1" t="n">
        <v>3</v>
      </c>
      <c r="B2681" s="1" t="inlineStr">
        <is>
          <t>เสื้อผ้า</t>
        </is>
      </c>
      <c r="C2681" s="1" t="inlineStr">
        <is>
          <t>gf2020102064</t>
        </is>
      </c>
      <c r="D2681" s="1" t="inlineStr">
        <is>
          <t>CALVIN KLEIN Capri Women's Pants (Heritage Blue)</t>
        </is>
      </c>
      <c r="E2681" s="1" t="inlineStr">
        <is>
          <t>CALVIN KLEIN</t>
        </is>
      </c>
      <c r="F2681" s="1" t="inlineStr">
        <is>
          <t>LONG PANTS</t>
        </is>
      </c>
      <c r="G2681" s="1" t="inlineStr">
        <is>
          <t>GF20201020648</t>
        </is>
      </c>
      <c r="H2681" s="1" t="n">
        <v>5</v>
      </c>
      <c r="I2681" s="1" t="inlineStr">
        <is>
          <t>มี</t>
        </is>
      </c>
      <c r="J2681" s="13" t="n">
        <v>97</v>
      </c>
      <c r="K2681" s="1" t="inlineStr"/>
      <c r="L2681" s="13" t="n">
        <v>97</v>
      </c>
      <c r="M2681" s="1">
        <f>IF(L2681="","ไม่พบใน SG",IF(ABS(J2681-L2681)&lt;0.005,"ตรงกัน","ไม่ตรง"))</f>
        <v/>
      </c>
      <c r="N2681" s="14">
        <f>IF(L2681="","",ROUND(L2681*'สรุป'!$C$6,-1))</f>
        <v/>
      </c>
      <c r="O2681" s="15" t="n"/>
      <c r="P2681" s="15" t="n"/>
      <c r="Q2681" s="10" t="n"/>
      <c r="R2681" s="10" t="n"/>
      <c r="S2681" s="16" t="inlineStr">
        <is>
          <t>https://mstgolf.co.th/products/gf2020102064</t>
        </is>
      </c>
      <c r="T2681" s="1">
        <f>IF(B2681="ไม้กอล์ฟ",J2681,"")</f>
        <v/>
      </c>
    </row>
    <row r="2682">
      <c r="A2682" s="1" t="n">
        <v>3</v>
      </c>
      <c r="B2682" s="1" t="inlineStr">
        <is>
          <t>เสื้อผ้า</t>
        </is>
      </c>
      <c r="C2682" s="1" t="inlineStr">
        <is>
          <t>gf2020202027</t>
        </is>
      </c>
      <c r="D2682" s="1" t="inlineStr">
        <is>
          <t>CALVIN KLEIN Hackensack Pleated Skort (Birch)</t>
        </is>
      </c>
      <c r="E2682" s="1" t="inlineStr">
        <is>
          <t>CALVIN KLEIN</t>
        </is>
      </c>
      <c r="F2682" s="1" t="inlineStr">
        <is>
          <t>SHORT PANTS</t>
        </is>
      </c>
      <c r="G2682" s="1" t="inlineStr">
        <is>
          <t>GF20202020278</t>
        </is>
      </c>
      <c r="H2682" s="1" t="n">
        <v>5</v>
      </c>
      <c r="I2682" s="1" t="inlineStr">
        <is>
          <t>มี</t>
        </is>
      </c>
      <c r="J2682" s="13" t="n">
        <v>97</v>
      </c>
      <c r="K2682" s="1" t="inlineStr"/>
      <c r="L2682" s="13" t="n">
        <v>55</v>
      </c>
      <c r="M2682" s="1">
        <f>IF(L2682="","ไม่พบใน SG",IF(ABS(J2682-L2682)&lt;0.005,"ตรงกัน","ไม่ตรง"))</f>
        <v/>
      </c>
      <c r="N2682" s="14">
        <f>IF(L2682="","",ROUND(L2682*'สรุป'!$C$6,-1))</f>
        <v/>
      </c>
      <c r="O2682" s="15" t="n"/>
      <c r="P2682" s="15" t="n"/>
      <c r="Q2682" s="10" t="n"/>
      <c r="R2682" s="10" t="n"/>
      <c r="S2682" s="16" t="inlineStr">
        <is>
          <t>https://mstgolf.co.th/products/gf2020202027</t>
        </is>
      </c>
      <c r="T2682" s="1">
        <f>IF(B2682="ไม้กอล์ฟ",J2682,"")</f>
        <v/>
      </c>
    </row>
    <row r="2683">
      <c r="A2683" s="1" t="n">
        <v>3</v>
      </c>
      <c r="B2683" s="1" t="inlineStr">
        <is>
          <t>เสื้อผ้า</t>
        </is>
      </c>
      <c r="C2683" s="1" t="inlineStr">
        <is>
          <t>gf2020202028</t>
        </is>
      </c>
      <c r="D2683" s="1" t="inlineStr">
        <is>
          <t>CALVIN KLEIN Pleated Skort (Heritage Blue)</t>
        </is>
      </c>
      <c r="E2683" s="1" t="inlineStr">
        <is>
          <t>CALVIN KLEIN</t>
        </is>
      </c>
      <c r="F2683" s="1" t="inlineStr">
        <is>
          <t>SHORT PANTS</t>
        </is>
      </c>
      <c r="G2683" s="1" t="inlineStr">
        <is>
          <t>GF20202020288</t>
        </is>
      </c>
      <c r="H2683" s="1" t="n">
        <v>5</v>
      </c>
      <c r="I2683" s="1" t="inlineStr">
        <is>
          <t>มี</t>
        </is>
      </c>
      <c r="J2683" s="13" t="n">
        <v>97</v>
      </c>
      <c r="K2683" s="1" t="inlineStr"/>
      <c r="L2683" s="13" t="n">
        <v>55</v>
      </c>
      <c r="M2683" s="1">
        <f>IF(L2683="","ไม่พบใน SG",IF(ABS(J2683-L2683)&lt;0.005,"ตรงกัน","ไม่ตรง"))</f>
        <v/>
      </c>
      <c r="N2683" s="14">
        <f>IF(L2683="","",ROUND(L2683*'สรุป'!$C$6,-1))</f>
        <v/>
      </c>
      <c r="O2683" s="15" t="n"/>
      <c r="P2683" s="15" t="n"/>
      <c r="Q2683" s="10" t="n"/>
      <c r="R2683" s="10" t="n"/>
      <c r="S2683" s="16" t="inlineStr">
        <is>
          <t>https://mstgolf.co.th/products/gf2020202028</t>
        </is>
      </c>
      <c r="T2683" s="1">
        <f>IF(B2683="ไม้กอล์ฟ",J2683,"")</f>
        <v/>
      </c>
    </row>
    <row r="2684">
      <c r="A2684" s="1" t="n">
        <v>3</v>
      </c>
      <c r="B2684" s="1" t="inlineStr">
        <is>
          <t>เสื้อผ้า</t>
        </is>
      </c>
      <c r="C2684" s="1" t="inlineStr">
        <is>
          <t>gf2020202034</t>
        </is>
      </c>
      <c r="D2684" s="1" t="inlineStr">
        <is>
          <t>CALVIN KLEIN Pleated Skort (Navy)</t>
        </is>
      </c>
      <c r="E2684" s="1" t="inlineStr">
        <is>
          <t>CALVIN KLEIN</t>
        </is>
      </c>
      <c r="F2684" s="1" t="inlineStr">
        <is>
          <t>SHORT PANTS</t>
        </is>
      </c>
      <c r="G2684" s="1" t="inlineStr">
        <is>
          <t>GF20202020348</t>
        </is>
      </c>
      <c r="H2684" s="1" t="n">
        <v>5</v>
      </c>
      <c r="I2684" s="1" t="inlineStr">
        <is>
          <t>มี</t>
        </is>
      </c>
      <c r="J2684" s="13" t="n">
        <v>97</v>
      </c>
      <c r="K2684" s="1" t="inlineStr"/>
      <c r="L2684" s="13" t="n">
        <v>55</v>
      </c>
      <c r="M2684" s="1">
        <f>IF(L2684="","ไม่พบใน SG",IF(ABS(J2684-L2684)&lt;0.005,"ตรงกัน","ไม่ตรง"))</f>
        <v/>
      </c>
      <c r="N2684" s="14">
        <f>IF(L2684="","",ROUND(L2684*'สรุป'!$C$6,-1))</f>
        <v/>
      </c>
      <c r="O2684" s="15" t="n"/>
      <c r="P2684" s="15" t="n"/>
      <c r="Q2684" s="10" t="n"/>
      <c r="R2684" s="10" t="n"/>
      <c r="S2684" s="16" t="inlineStr">
        <is>
          <t>https://mstgolf.co.th/products/gf2020202034</t>
        </is>
      </c>
      <c r="T2684" s="1">
        <f>IF(B2684="ไม้กอล์ฟ",J2684,"")</f>
        <v/>
      </c>
    </row>
    <row r="2685">
      <c r="A2685" s="1" t="n">
        <v>3</v>
      </c>
      <c r="B2685" s="1" t="inlineStr">
        <is>
          <t>เสื้อผ้า</t>
        </is>
      </c>
      <c r="C2685" s="1" t="inlineStr">
        <is>
          <t>gf2020202029</t>
        </is>
      </c>
      <c r="D2685" s="1" t="inlineStr">
        <is>
          <t>CALVIN KLEIN Pleated Skort (Orchid)</t>
        </is>
      </c>
      <c r="E2685" s="1" t="inlineStr">
        <is>
          <t>CALVIN KLEIN</t>
        </is>
      </c>
      <c r="F2685" s="1" t="inlineStr">
        <is>
          <t>SHORT PANTS</t>
        </is>
      </c>
      <c r="G2685" s="1" t="inlineStr">
        <is>
          <t>GF20202020298</t>
        </is>
      </c>
      <c r="H2685" s="1" t="n">
        <v>5</v>
      </c>
      <c r="I2685" s="1" t="inlineStr">
        <is>
          <t>มี</t>
        </is>
      </c>
      <c r="J2685" s="13" t="n">
        <v>97</v>
      </c>
      <c r="K2685" s="1" t="inlineStr"/>
      <c r="L2685" s="13" t="n">
        <v>55</v>
      </c>
      <c r="M2685" s="1">
        <f>IF(L2685="","ไม่พบใน SG",IF(ABS(J2685-L2685)&lt;0.005,"ตรงกัน","ไม่ตรง"))</f>
        <v/>
      </c>
      <c r="N2685" s="14">
        <f>IF(L2685="","",ROUND(L2685*'สรุป'!$C$6,-1))</f>
        <v/>
      </c>
      <c r="O2685" s="15" t="n"/>
      <c r="P2685" s="15" t="n"/>
      <c r="Q2685" s="10" t="n"/>
      <c r="R2685" s="10" t="n"/>
      <c r="S2685" s="16" t="inlineStr">
        <is>
          <t>https://mstgolf.co.th/products/gf2020202029</t>
        </is>
      </c>
      <c r="T2685" s="1">
        <f>IF(B2685="ไม้กอล์ฟ",J2685,"")</f>
        <v/>
      </c>
    </row>
    <row r="2686">
      <c r="A2686" s="1" t="n">
        <v>3</v>
      </c>
      <c r="B2686" s="1" t="inlineStr">
        <is>
          <t>เสื้อผ้า</t>
        </is>
      </c>
      <c r="C2686" s="1" t="inlineStr">
        <is>
          <t>gf2040119647</t>
        </is>
      </c>
      <c r="D2686" s="1" t="inlineStr">
        <is>
          <t>FOOTJOY Checkered Jacquard Men's Mock Shirt (Red)</t>
        </is>
      </c>
      <c r="E2686" s="1" t="inlineStr">
        <is>
          <t>FOOTJOY</t>
        </is>
      </c>
      <c r="F2686" s="1" t="inlineStr">
        <is>
          <t>SHORT SLEEVES</t>
        </is>
      </c>
      <c r="G2686" s="1" t="inlineStr">
        <is>
          <t>GF2040119647S</t>
        </is>
      </c>
      <c r="H2686" s="1" t="n">
        <v>5</v>
      </c>
      <c r="I2686" s="1" t="inlineStr">
        <is>
          <t>มี</t>
        </is>
      </c>
      <c r="J2686" s="13" t="n">
        <v>97</v>
      </c>
      <c r="K2686" s="1" t="inlineStr"/>
      <c r="L2686" s="13" t="n">
        <v>79</v>
      </c>
      <c r="M2686" s="1">
        <f>IF(L2686="","ไม่พบใน SG",IF(ABS(J2686-L2686)&lt;0.005,"ตรงกัน","ไม่ตรง"))</f>
        <v/>
      </c>
      <c r="N2686" s="14">
        <f>IF(L2686="","",ROUND(L2686*'สรุป'!$C$6,-1))</f>
        <v/>
      </c>
      <c r="O2686" s="15" t="n"/>
      <c r="P2686" s="15" t="n"/>
      <c r="Q2686" s="10" t="n"/>
      <c r="R2686" s="10" t="n"/>
      <c r="S2686" s="16" t="inlineStr">
        <is>
          <t>https://mstgolf.co.th/products/gf2040119647</t>
        </is>
      </c>
      <c r="T2686" s="1">
        <f>IF(B2686="ไม้กอล์ฟ",J2686,"")</f>
        <v/>
      </c>
    </row>
    <row r="2687">
      <c r="A2687" s="1" t="n">
        <v>3</v>
      </c>
      <c r="B2687" s="1" t="inlineStr">
        <is>
          <t>เสื้อผ้า</t>
        </is>
      </c>
      <c r="C2687" s="1" t="inlineStr">
        <is>
          <t>gf2040119646</t>
        </is>
      </c>
      <c r="D2687" s="1" t="inlineStr">
        <is>
          <t>FOOTJOY Japan Bicolor Men's Mock Shirt (Black)</t>
        </is>
      </c>
      <c r="E2687" s="1" t="inlineStr">
        <is>
          <t>FOOTJOY</t>
        </is>
      </c>
      <c r="F2687" s="1" t="inlineStr">
        <is>
          <t>SHORT SLEEVES</t>
        </is>
      </c>
      <c r="G2687" s="1" t="inlineStr">
        <is>
          <t>GF2040119646S</t>
        </is>
      </c>
      <c r="H2687" s="1" t="n">
        <v>5</v>
      </c>
      <c r="I2687" s="1" t="inlineStr">
        <is>
          <t>มี</t>
        </is>
      </c>
      <c r="J2687" s="13" t="n">
        <v>97</v>
      </c>
      <c r="K2687" s="1" t="inlineStr"/>
      <c r="L2687" s="13" t="n">
        <v>97</v>
      </c>
      <c r="M2687" s="1">
        <f>IF(L2687="","ไม่พบใน SG",IF(ABS(J2687-L2687)&lt;0.005,"ตรงกัน","ไม่ตรง"))</f>
        <v/>
      </c>
      <c r="N2687" s="14">
        <f>IF(L2687="","",ROUND(L2687*'สรุป'!$C$6,-1))</f>
        <v/>
      </c>
      <c r="O2687" s="15" t="n"/>
      <c r="P2687" s="15" t="n"/>
      <c r="Q2687" s="10" t="n"/>
      <c r="R2687" s="10" t="n"/>
      <c r="S2687" s="16" t="inlineStr">
        <is>
          <t>https://mstgolf.co.th/products/gf2040119646</t>
        </is>
      </c>
      <c r="T2687" s="1">
        <f>IF(B2687="ไม้กอล์ฟ",J2687,"")</f>
        <v/>
      </c>
    </row>
    <row r="2688">
      <c r="A2688" s="1" t="n">
        <v>3</v>
      </c>
      <c r="B2688" s="1" t="inlineStr">
        <is>
          <t>เสื้อผ้า</t>
        </is>
      </c>
      <c r="C2688" s="1" t="inlineStr">
        <is>
          <t>gf2040119688</t>
        </is>
      </c>
      <c r="D2688" s="1" t="inlineStr">
        <is>
          <t>FOOTJOY Japan Checkered Women's Mock Shirt (Pink)</t>
        </is>
      </c>
      <c r="E2688" s="1" t="inlineStr">
        <is>
          <t>FOOTJOY</t>
        </is>
      </c>
      <c r="F2688" s="1" t="inlineStr">
        <is>
          <t>SHORT SLEEVES</t>
        </is>
      </c>
      <c r="G2688" s="1" t="inlineStr">
        <is>
          <t>GF2040119688XS</t>
        </is>
      </c>
      <c r="H2688" s="1" t="n">
        <v>5</v>
      </c>
      <c r="I2688" s="1" t="inlineStr">
        <is>
          <t>มี</t>
        </is>
      </c>
      <c r="J2688" s="13" t="n">
        <v>97</v>
      </c>
      <c r="K2688" s="1" t="inlineStr"/>
      <c r="L2688" s="13" t="n">
        <v>79</v>
      </c>
      <c r="M2688" s="1">
        <f>IF(L2688="","ไม่พบใน SG",IF(ABS(J2688-L2688)&lt;0.005,"ตรงกัน","ไม่ตรง"))</f>
        <v/>
      </c>
      <c r="N2688" s="14">
        <f>IF(L2688="","",ROUND(L2688*'สรุป'!$C$6,-1))</f>
        <v/>
      </c>
      <c r="O2688" s="15" t="n"/>
      <c r="P2688" s="15" t="n"/>
      <c r="Q2688" s="10" t="n"/>
      <c r="R2688" s="10" t="n"/>
      <c r="S2688" s="16" t="inlineStr">
        <is>
          <t>https://mstgolf.co.th/products/gf2040119688</t>
        </is>
      </c>
      <c r="T2688" s="1">
        <f>IF(B2688="ไม้กอล์ฟ",J2688,"")</f>
        <v/>
      </c>
    </row>
    <row r="2689">
      <c r="A2689" s="1" t="n">
        <v>3</v>
      </c>
      <c r="B2689" s="1" t="inlineStr">
        <is>
          <t>เสื้อผ้า</t>
        </is>
      </c>
      <c r="C2689" s="1" t="inlineStr">
        <is>
          <t>gf2040119683</t>
        </is>
      </c>
      <c r="D2689" s="1" t="inlineStr">
        <is>
          <t>FOOTJOY Japan Jacquard Women's Mock Shirt (White)</t>
        </is>
      </c>
      <c r="E2689" s="1" t="inlineStr">
        <is>
          <t>FOOTJOY</t>
        </is>
      </c>
      <c r="F2689" s="1" t="inlineStr">
        <is>
          <t>SHORT SLEEVES</t>
        </is>
      </c>
      <c r="G2689" s="1" t="inlineStr">
        <is>
          <t>GF2040119683XS</t>
        </is>
      </c>
      <c r="H2689" s="1" t="n">
        <v>5</v>
      </c>
      <c r="I2689" s="1" t="inlineStr">
        <is>
          <t>มี</t>
        </is>
      </c>
      <c r="J2689" s="13" t="n">
        <v>97</v>
      </c>
      <c r="K2689" s="1" t="inlineStr"/>
      <c r="L2689" s="13" t="n">
        <v>97</v>
      </c>
      <c r="M2689" s="1">
        <f>IF(L2689="","ไม่พบใน SG",IF(ABS(J2689-L2689)&lt;0.005,"ตรงกัน","ไม่ตรง"))</f>
        <v/>
      </c>
      <c r="N2689" s="14">
        <f>IF(L2689="","",ROUND(L2689*'สรุป'!$C$6,-1))</f>
        <v/>
      </c>
      <c r="O2689" s="15" t="n"/>
      <c r="P2689" s="15" t="n"/>
      <c r="Q2689" s="10" t="n"/>
      <c r="R2689" s="10" t="n"/>
      <c r="S2689" s="16" t="inlineStr">
        <is>
          <t>https://mstgolf.co.th/products/gf2040119683</t>
        </is>
      </c>
      <c r="T2689" s="1">
        <f>IF(B2689="ไม้กอล์ฟ",J2689,"")</f>
        <v/>
      </c>
    </row>
    <row r="2690">
      <c r="A2690" s="1" t="n">
        <v>3</v>
      </c>
      <c r="B2690" s="1" t="inlineStr">
        <is>
          <t>เสื้อผ้า</t>
        </is>
      </c>
      <c r="C2690" s="1" t="inlineStr">
        <is>
          <t>gf2020202394</t>
        </is>
      </c>
      <c r="D2690" s="1" t="inlineStr">
        <is>
          <t>FOOTJOY Japan TWINSOF Men's Shorts (Neo Blue)</t>
        </is>
      </c>
      <c r="E2690" s="1" t="inlineStr">
        <is>
          <t>FOOTJOY</t>
        </is>
      </c>
      <c r="F2690" s="1" t="inlineStr">
        <is>
          <t>SHORT PANTS</t>
        </is>
      </c>
      <c r="G2690" s="1" t="inlineStr">
        <is>
          <t>GF2020202394XS</t>
        </is>
      </c>
      <c r="H2690" s="1" t="n">
        <v>6</v>
      </c>
      <c r="I2690" s="1" t="inlineStr">
        <is>
          <t>มี</t>
        </is>
      </c>
      <c r="J2690" s="13" t="n">
        <v>97</v>
      </c>
      <c r="K2690" s="1" t="inlineStr"/>
      <c r="L2690" s="13" t="n">
        <v>97</v>
      </c>
      <c r="M2690" s="1">
        <f>IF(L2690="","ไม่พบใน SG",IF(ABS(J2690-L2690)&lt;0.005,"ตรงกัน","ไม่ตรง"))</f>
        <v/>
      </c>
      <c r="N2690" s="14">
        <f>IF(L2690="","",ROUND(L2690*'สรุป'!$C$6,-1))</f>
        <v/>
      </c>
      <c r="O2690" s="15" t="n"/>
      <c r="P2690" s="15" t="n"/>
      <c r="Q2690" s="10" t="n"/>
      <c r="R2690" s="10" t="n"/>
      <c r="S2690" s="16" t="inlineStr">
        <is>
          <t>https://mstgolf.co.th/products/gf2020202394</t>
        </is>
      </c>
      <c r="T2690" s="1">
        <f>IF(B2690="ไม้กอล์ฟ",J2690,"")</f>
        <v/>
      </c>
    </row>
    <row r="2691">
      <c r="A2691" s="1" t="n">
        <v>3</v>
      </c>
      <c r="B2691" s="1" t="inlineStr">
        <is>
          <t>เสื้อผ้า</t>
        </is>
      </c>
      <c r="C2691" s="1" t="inlineStr">
        <is>
          <t>gf2020202011</t>
        </is>
      </c>
      <c r="D2691" s="1" t="inlineStr">
        <is>
          <t>GFORE Bandana Maverick Hybrid Men's Shorts (Twilight)</t>
        </is>
      </c>
      <c r="E2691" s="1" t="inlineStr">
        <is>
          <t>GFORE</t>
        </is>
      </c>
      <c r="F2691" s="1" t="inlineStr">
        <is>
          <t>SHORT PANTS</t>
        </is>
      </c>
      <c r="G2691" s="1" t="inlineStr">
        <is>
          <t>GF202020201130</t>
        </is>
      </c>
      <c r="H2691" s="1" t="n">
        <v>7</v>
      </c>
      <c r="I2691" s="1" t="inlineStr">
        <is>
          <t>มี</t>
        </is>
      </c>
      <c r="J2691" s="13" t="n">
        <v>97</v>
      </c>
      <c r="K2691" s="1" t="inlineStr"/>
      <c r="L2691" s="13" t="n">
        <v>97</v>
      </c>
      <c r="M2691" s="1">
        <f>IF(L2691="","ไม่พบใน SG",IF(ABS(J2691-L2691)&lt;0.005,"ตรงกัน","ไม่ตรง"))</f>
        <v/>
      </c>
      <c r="N2691" s="14">
        <f>IF(L2691="","",ROUND(L2691*'สรุป'!$C$6,-1))</f>
        <v/>
      </c>
      <c r="O2691" s="15" t="n"/>
      <c r="P2691" s="15" t="n"/>
      <c r="Q2691" s="10" t="n"/>
      <c r="R2691" s="10" t="n"/>
      <c r="S2691" s="16" t="inlineStr">
        <is>
          <t>https://mstgolf.co.th/products/gf2020202011</t>
        </is>
      </c>
      <c r="T2691" s="1">
        <f>IF(B2691="ไม้กอล์ฟ",J2691,"")</f>
        <v/>
      </c>
    </row>
    <row r="2692">
      <c r="A2692" s="1" t="n">
        <v>3</v>
      </c>
      <c r="B2692" s="1" t="inlineStr">
        <is>
          <t>เสื้อผ้า</t>
        </is>
      </c>
      <c r="C2692" s="1" t="inlineStr">
        <is>
          <t>gf2020101973</t>
        </is>
      </c>
      <c r="D2692" s="1" t="inlineStr">
        <is>
          <t>NIKE Victory Women's Pants (Black)</t>
        </is>
      </c>
      <c r="E2692" s="1" t="inlineStr">
        <is>
          <t>NIKE</t>
        </is>
      </c>
      <c r="F2692" s="1" t="inlineStr">
        <is>
          <t>LONG PANTS</t>
        </is>
      </c>
      <c r="G2692" s="1" t="inlineStr">
        <is>
          <t>GF2020101973S</t>
        </is>
      </c>
      <c r="H2692" s="1" t="n">
        <v>5</v>
      </c>
      <c r="I2692" s="1" t="inlineStr">
        <is>
          <t>มี</t>
        </is>
      </c>
      <c r="J2692" s="13" t="n">
        <v>97</v>
      </c>
      <c r="K2692" s="1" t="inlineStr"/>
      <c r="L2692" s="13" t="n">
        <v>97</v>
      </c>
      <c r="M2692" s="1">
        <f>IF(L2692="","ไม่พบใน SG",IF(ABS(J2692-L2692)&lt;0.005,"ตรงกัน","ไม่ตรง"))</f>
        <v/>
      </c>
      <c r="N2692" s="14">
        <f>IF(L2692="","",ROUND(L2692*'สรุป'!$C$6,-1))</f>
        <v/>
      </c>
      <c r="O2692" s="15" t="n"/>
      <c r="P2692" s="15" t="n"/>
      <c r="Q2692" s="10" t="n"/>
      <c r="R2692" s="10" t="n"/>
      <c r="S2692" s="16" t="inlineStr">
        <is>
          <t>https://mstgolf.co.th/products/gf2020101973</t>
        </is>
      </c>
      <c r="T2692" s="1">
        <f>IF(B2692="ไม้กอล์ฟ",J2692,"")</f>
        <v/>
      </c>
    </row>
    <row r="2693">
      <c r="A2693" s="1" t="n">
        <v>3</v>
      </c>
      <c r="B2693" s="1" t="inlineStr">
        <is>
          <t>เสื้อผ้า</t>
        </is>
      </c>
      <c r="C2693" s="1" t="inlineStr">
        <is>
          <t>gf2020101974</t>
        </is>
      </c>
      <c r="D2693" s="1" t="inlineStr">
        <is>
          <t>NIKE Victory Women's Pants (Obisidian)</t>
        </is>
      </c>
      <c r="E2693" s="1" t="inlineStr">
        <is>
          <t>NIKE</t>
        </is>
      </c>
      <c r="F2693" s="1" t="inlineStr">
        <is>
          <t>LONG PANTS</t>
        </is>
      </c>
      <c r="G2693" s="1" t="inlineStr">
        <is>
          <t>GF2020101974S</t>
        </is>
      </c>
      <c r="H2693" s="1" t="n">
        <v>5</v>
      </c>
      <c r="I2693" s="1" t="inlineStr">
        <is>
          <t>มี</t>
        </is>
      </c>
      <c r="J2693" s="13" t="n">
        <v>97</v>
      </c>
      <c r="K2693" s="1" t="inlineStr"/>
      <c r="L2693" s="13" t="n">
        <v>97</v>
      </c>
      <c r="M2693" s="1">
        <f>IF(L2693="","ไม่พบใน SG",IF(ABS(J2693-L2693)&lt;0.005,"ตรงกัน","ไม่ตรง"))</f>
        <v/>
      </c>
      <c r="N2693" s="14">
        <f>IF(L2693="","",ROUND(L2693*'สรุป'!$C$6,-1))</f>
        <v/>
      </c>
      <c r="O2693" s="15" t="n"/>
      <c r="P2693" s="15" t="n"/>
      <c r="Q2693" s="10" t="n"/>
      <c r="R2693" s="10" t="n"/>
      <c r="S2693" s="16" t="inlineStr">
        <is>
          <t>https://mstgolf.co.th/products/gf2020101974</t>
        </is>
      </c>
      <c r="T2693" s="1">
        <f>IF(B2693="ไม้กอล์ฟ",J2693,"")</f>
        <v/>
      </c>
    </row>
    <row r="2694">
      <c r="A2694" s="1" t="n">
        <v>3</v>
      </c>
      <c r="B2694" s="1" t="inlineStr">
        <is>
          <t>เสื้อผ้า</t>
        </is>
      </c>
      <c r="C2694" s="1" t="inlineStr">
        <is>
          <t>gf2020202301</t>
        </is>
      </c>
      <c r="D2694" s="1" t="inlineStr">
        <is>
          <t>UNDER ARMOUR Iso-Chill 7" Men's Shorts (Black)</t>
        </is>
      </c>
      <c r="E2694" s="1" t="inlineStr">
        <is>
          <t>UNDER ARMOUR</t>
        </is>
      </c>
      <c r="F2694" s="1" t="inlineStr">
        <is>
          <t>SHORT PANTS</t>
        </is>
      </c>
      <c r="G2694" s="1" t="inlineStr">
        <is>
          <t>GF202020230128</t>
        </is>
      </c>
      <c r="H2694" s="1" t="n">
        <v>7</v>
      </c>
      <c r="I2694" s="1" t="inlineStr">
        <is>
          <t>มี</t>
        </is>
      </c>
      <c r="J2694" s="13" t="n">
        <v>97</v>
      </c>
      <c r="K2694" s="1" t="inlineStr"/>
      <c r="L2694" s="13" t="n">
        <v>97</v>
      </c>
      <c r="M2694" s="1">
        <f>IF(L2694="","ไม่พบใน SG",IF(ABS(J2694-L2694)&lt;0.005,"ตรงกัน","ไม่ตรง"))</f>
        <v/>
      </c>
      <c r="N2694" s="14">
        <f>IF(L2694="","",ROUND(L2694*'สรุป'!$C$6,-1))</f>
        <v/>
      </c>
      <c r="O2694" s="15" t="n"/>
      <c r="P2694" s="15" t="n"/>
      <c r="Q2694" s="10" t="n"/>
      <c r="R2694" s="10" t="n"/>
      <c r="S2694" s="16" t="inlineStr">
        <is>
          <t>https://mstgolf.co.th/products/gf2020202301</t>
        </is>
      </c>
      <c r="T2694" s="1">
        <f>IF(B2694="ไม้กอล์ฟ",J2694,"")</f>
        <v/>
      </c>
    </row>
    <row r="2695">
      <c r="A2695" s="1" t="n">
        <v>3</v>
      </c>
      <c r="B2695" s="1" t="inlineStr">
        <is>
          <t>เสื้อผ้า</t>
        </is>
      </c>
      <c r="C2695" s="1" t="inlineStr">
        <is>
          <t>gf2020201696</t>
        </is>
      </c>
      <c r="D2695" s="1" t="inlineStr">
        <is>
          <t>UNDER ARMOUR Iso-Chill Airvent Men's Shorts (Black)</t>
        </is>
      </c>
      <c r="E2695" s="1" t="inlineStr">
        <is>
          <t>UNDER ARMOUR</t>
        </is>
      </c>
      <c r="F2695" s="1" t="inlineStr">
        <is>
          <t>SHORT PANTS</t>
        </is>
      </c>
      <c r="G2695" s="1" t="inlineStr">
        <is>
          <t>GF202020169630</t>
        </is>
      </c>
      <c r="H2695" s="1" t="n">
        <v>7</v>
      </c>
      <c r="I2695" s="1" t="inlineStr">
        <is>
          <t>มี</t>
        </is>
      </c>
      <c r="J2695" s="13" t="n">
        <v>97</v>
      </c>
      <c r="K2695" s="1" t="inlineStr"/>
      <c r="L2695" s="13" t="n">
        <v>97</v>
      </c>
      <c r="M2695" s="1">
        <f>IF(L2695="","ไม่พบใน SG",IF(ABS(J2695-L2695)&lt;0.005,"ตรงกัน","ไม่ตรง"))</f>
        <v/>
      </c>
      <c r="N2695" s="14">
        <f>IF(L2695="","",ROUND(L2695*'สรุป'!$C$6,-1))</f>
        <v/>
      </c>
      <c r="O2695" s="15" t="n"/>
      <c r="P2695" s="15" t="n"/>
      <c r="Q2695" s="10" t="n"/>
      <c r="R2695" s="10" t="n"/>
      <c r="S2695" s="16" t="inlineStr">
        <is>
          <t>https://mstgolf.co.th/products/gf2020201696</t>
        </is>
      </c>
      <c r="T2695" s="1">
        <f>IF(B2695="ไม้กอล์ฟ",J2695,"")</f>
        <v/>
      </c>
    </row>
    <row r="2696">
      <c r="A2696" s="1" t="n">
        <v>3</v>
      </c>
      <c r="B2696" s="1" t="inlineStr">
        <is>
          <t>เสื้อผ้า</t>
        </is>
      </c>
      <c r="C2696" s="1" t="inlineStr">
        <is>
          <t>gf2020201920</t>
        </is>
      </c>
      <c r="D2696" s="1" t="inlineStr">
        <is>
          <t>UNDER ARMOUR Iso-Chill Airvent Men's Shorts (Khaki)</t>
        </is>
      </c>
      <c r="E2696" s="1" t="inlineStr">
        <is>
          <t>UNDER ARMOUR</t>
        </is>
      </c>
      <c r="F2696" s="1" t="inlineStr">
        <is>
          <t>SHORT PANTS</t>
        </is>
      </c>
      <c r="G2696" s="1" t="inlineStr">
        <is>
          <t>GF202020192030</t>
        </is>
      </c>
      <c r="H2696" s="1" t="n">
        <v>6</v>
      </c>
      <c r="I2696" s="1" t="inlineStr">
        <is>
          <t>มี</t>
        </is>
      </c>
      <c r="J2696" s="13" t="n">
        <v>97</v>
      </c>
      <c r="K2696" s="1" t="inlineStr"/>
      <c r="L2696" s="13" t="n">
        <v>97</v>
      </c>
      <c r="M2696" s="1">
        <f>IF(L2696="","ไม่พบใน SG",IF(ABS(J2696-L2696)&lt;0.005,"ตรงกัน","ไม่ตรง"))</f>
        <v/>
      </c>
      <c r="N2696" s="14">
        <f>IF(L2696="","",ROUND(L2696*'สรุป'!$C$6,-1))</f>
        <v/>
      </c>
      <c r="O2696" s="15" t="n"/>
      <c r="P2696" s="15" t="n"/>
      <c r="Q2696" s="10" t="n"/>
      <c r="R2696" s="10" t="n"/>
      <c r="S2696" s="16" t="inlineStr">
        <is>
          <t>https://mstgolf.co.th/products/gf2020201920</t>
        </is>
      </c>
      <c r="T2696" s="1">
        <f>IF(B2696="ไม้กอล์ฟ",J2696,"")</f>
        <v/>
      </c>
    </row>
    <row r="2697">
      <c r="A2697" s="1" t="n">
        <v>3</v>
      </c>
      <c r="B2697" s="1" t="inlineStr">
        <is>
          <t>เสื้อผ้า</t>
        </is>
      </c>
      <c r="C2697" s="1" t="inlineStr">
        <is>
          <t>gf2040200096</t>
        </is>
      </c>
      <c r="D2697" s="1" t="inlineStr">
        <is>
          <t>MALBON GOLF Matchpoint Women's Sleeveless Mock Shirt (Navy)</t>
        </is>
      </c>
      <c r="E2697" s="1" t="inlineStr">
        <is>
          <t>MALBON GOLF</t>
        </is>
      </c>
      <c r="F2697" s="1" t="inlineStr">
        <is>
          <t>TEE SHIRT</t>
        </is>
      </c>
      <c r="G2697" s="1" t="inlineStr">
        <is>
          <t>GF2040200096XS</t>
        </is>
      </c>
      <c r="H2697" s="1" t="n">
        <v>5</v>
      </c>
      <c r="I2697" s="1" t="inlineStr">
        <is>
          <t>มี</t>
        </is>
      </c>
      <c r="J2697" s="13" t="n">
        <v>95</v>
      </c>
      <c r="K2697" s="1" t="inlineStr"/>
      <c r="L2697" s="13" t="n">
        <v>95</v>
      </c>
      <c r="M2697" s="1">
        <f>IF(L2697="","ไม่พบใน SG",IF(ABS(J2697-L2697)&lt;0.005,"ตรงกัน","ไม่ตรง"))</f>
        <v/>
      </c>
      <c r="N2697" s="14">
        <f>IF(L2697="","",ROUND(L2697*'สรุป'!$C$6,-1))</f>
        <v/>
      </c>
      <c r="O2697" s="15" t="n"/>
      <c r="P2697" s="15" t="n"/>
      <c r="Q2697" s="10" t="n"/>
      <c r="R2697" s="10" t="n"/>
      <c r="S2697" s="16" t="inlineStr">
        <is>
          <t>https://mstgolf.co.th/products/gf2040200096</t>
        </is>
      </c>
      <c r="T2697" s="1">
        <f>IF(B2697="ไม้กอล์ฟ",J2697,"")</f>
        <v/>
      </c>
    </row>
    <row r="2698">
      <c r="A2698" s="1" t="n">
        <v>3</v>
      </c>
      <c r="B2698" s="1" t="inlineStr">
        <is>
          <t>เสื้อผ้า</t>
        </is>
      </c>
      <c r="C2698" s="1" t="inlineStr">
        <is>
          <t>gf2040200095</t>
        </is>
      </c>
      <c r="D2698" s="1" t="inlineStr">
        <is>
          <t>MALBON GOLF Matchpoint Women's Sleeveless Mock Shirt (White)</t>
        </is>
      </c>
      <c r="E2698" s="1" t="inlineStr">
        <is>
          <t>MALBON GOLF</t>
        </is>
      </c>
      <c r="F2698" s="1" t="inlineStr">
        <is>
          <t>TEE SHIRT</t>
        </is>
      </c>
      <c r="G2698" s="1" t="inlineStr">
        <is>
          <t>GF2040200095XS</t>
        </is>
      </c>
      <c r="H2698" s="1" t="n">
        <v>5</v>
      </c>
      <c r="I2698" s="1" t="inlineStr">
        <is>
          <t>มี</t>
        </is>
      </c>
      <c r="J2698" s="13" t="n">
        <v>95</v>
      </c>
      <c r="K2698" s="1" t="inlineStr"/>
      <c r="L2698" s="13" t="n">
        <v>95</v>
      </c>
      <c r="M2698" s="1">
        <f>IF(L2698="","ไม่พบใน SG",IF(ABS(J2698-L2698)&lt;0.005,"ตรงกัน","ไม่ตรง"))</f>
        <v/>
      </c>
      <c r="N2698" s="14">
        <f>IF(L2698="","",ROUND(L2698*'สรุป'!$C$6,-1))</f>
        <v/>
      </c>
      <c r="O2698" s="15" t="n"/>
      <c r="P2698" s="15" t="n"/>
      <c r="Q2698" s="10" t="n"/>
      <c r="R2698" s="10" t="n"/>
      <c r="S2698" s="16" t="inlineStr">
        <is>
          <t>https://mstgolf.co.th/products/gf2040200095</t>
        </is>
      </c>
      <c r="T2698" s="1">
        <f>IF(B2698="ไม้กอล์ฟ",J2698,"")</f>
        <v/>
      </c>
    </row>
    <row r="2699">
      <c r="A2699" s="1" t="n">
        <v>3</v>
      </c>
      <c r="B2699" s="1" t="inlineStr">
        <is>
          <t>เสื้อผ้า</t>
        </is>
      </c>
      <c r="C2699" s="1" t="inlineStr">
        <is>
          <t>gf2020102232</t>
        </is>
      </c>
      <c r="D2699" s="1" t="inlineStr">
        <is>
          <t>NIKE Tour Repel Men's Chino Pants (Light Bone)</t>
        </is>
      </c>
      <c r="E2699" s="1" t="inlineStr">
        <is>
          <t>NIKE</t>
        </is>
      </c>
      <c r="F2699" s="1" t="inlineStr">
        <is>
          <t>LONG PANTS</t>
        </is>
      </c>
      <c r="G2699" s="1" t="inlineStr">
        <is>
          <t>GF202010223228</t>
        </is>
      </c>
      <c r="H2699" s="1" t="n">
        <v>7</v>
      </c>
      <c r="I2699" s="1" t="inlineStr">
        <is>
          <t>มี</t>
        </is>
      </c>
      <c r="J2699" s="13" t="n">
        <v>95</v>
      </c>
      <c r="K2699" s="1" t="inlineStr"/>
      <c r="L2699" s="13" t="n">
        <v>95</v>
      </c>
      <c r="M2699" s="1">
        <f>IF(L2699="","ไม่พบใน SG",IF(ABS(J2699-L2699)&lt;0.005,"ตรงกัน","ไม่ตรง"))</f>
        <v/>
      </c>
      <c r="N2699" s="14">
        <f>IF(L2699="","",ROUND(L2699*'สรุป'!$C$6,-1))</f>
        <v/>
      </c>
      <c r="O2699" s="15" t="n"/>
      <c r="P2699" s="15" t="n"/>
      <c r="Q2699" s="10" t="n"/>
      <c r="R2699" s="10" t="n"/>
      <c r="S2699" s="16" t="inlineStr">
        <is>
          <t>https://mstgolf.co.th/products/gf2020102232</t>
        </is>
      </c>
      <c r="T2699" s="1">
        <f>IF(B2699="ไม้กอล์ฟ",J2699,"")</f>
        <v/>
      </c>
    </row>
    <row r="2700">
      <c r="A2700" s="1" t="n">
        <v>3</v>
      </c>
      <c r="B2700" s="1" t="inlineStr">
        <is>
          <t>เสื้อผ้า</t>
        </is>
      </c>
      <c r="C2700" s="1" t="inlineStr">
        <is>
          <t>gf2040119755</t>
        </is>
      </c>
      <c r="D2700" s="1" t="inlineStr">
        <is>
          <t>PETER MILLAR Aurora Performance Men's T-Shirt (White)</t>
        </is>
      </c>
      <c r="E2700" s="1" t="inlineStr">
        <is>
          <t>PETER MILLAR</t>
        </is>
      </c>
      <c r="F2700" s="1" t="inlineStr">
        <is>
          <t>SHORT SLEEVES</t>
        </is>
      </c>
      <c r="G2700" s="1" t="inlineStr">
        <is>
          <t>GF2040119755S</t>
        </is>
      </c>
      <c r="H2700" s="1" t="n">
        <v>5</v>
      </c>
      <c r="I2700" s="1" t="inlineStr">
        <is>
          <t>มี</t>
        </is>
      </c>
      <c r="J2700" s="13" t="n">
        <v>95</v>
      </c>
      <c r="K2700" s="1" t="inlineStr"/>
      <c r="L2700" s="13" t="n">
        <v>95</v>
      </c>
      <c r="M2700" s="1">
        <f>IF(L2700="","ไม่พบใน SG",IF(ABS(J2700-L2700)&lt;0.005,"ตรงกัน","ไม่ตรง"))</f>
        <v/>
      </c>
      <c r="N2700" s="14">
        <f>IF(L2700="","",ROUND(L2700*'สรุป'!$C$6,-1))</f>
        <v/>
      </c>
      <c r="O2700" s="15" t="n"/>
      <c r="P2700" s="15" t="n"/>
      <c r="Q2700" s="10" t="n"/>
      <c r="R2700" s="10" t="n"/>
      <c r="S2700" s="16" t="inlineStr">
        <is>
          <t>https://mstgolf.co.th/products/gf2040119755</t>
        </is>
      </c>
      <c r="T2700" s="1">
        <f>IF(B2700="ไม้กอล์ฟ",J2700,"")</f>
        <v/>
      </c>
    </row>
    <row r="2701">
      <c r="A2701" s="1" t="n">
        <v>3</v>
      </c>
      <c r="B2701" s="1" t="inlineStr">
        <is>
          <t>เสื้อผ้า</t>
        </is>
      </c>
      <c r="C2701" s="1" t="inlineStr">
        <is>
          <t>gf2020202341</t>
        </is>
      </c>
      <c r="D2701" s="1" t="inlineStr">
        <is>
          <t>PETER MILLAR Salem Drape Men's Shorts (British Grey)</t>
        </is>
      </c>
      <c r="E2701" s="1" t="inlineStr">
        <is>
          <t>PETER MILLAR</t>
        </is>
      </c>
      <c r="F2701" s="1" t="inlineStr">
        <is>
          <t>SHORT PANTS</t>
        </is>
      </c>
      <c r="G2701" s="1" t="inlineStr">
        <is>
          <t>GF202020234130</t>
        </is>
      </c>
      <c r="H2701" s="1" t="n">
        <v>6</v>
      </c>
      <c r="I2701" s="1" t="inlineStr">
        <is>
          <t>มี</t>
        </is>
      </c>
      <c r="J2701" s="13" t="n">
        <v>95</v>
      </c>
      <c r="K2701" s="1" t="inlineStr"/>
      <c r="L2701" s="13" t="n">
        <v>95</v>
      </c>
      <c r="M2701" s="1">
        <f>IF(L2701="","ไม่พบใน SG",IF(ABS(J2701-L2701)&lt;0.005,"ตรงกัน","ไม่ตรง"))</f>
        <v/>
      </c>
      <c r="N2701" s="14">
        <f>IF(L2701="","",ROUND(L2701*'สรุป'!$C$6,-1))</f>
        <v/>
      </c>
      <c r="O2701" s="15" t="n"/>
      <c r="P2701" s="15" t="n"/>
      <c r="Q2701" s="10" t="n"/>
      <c r="R2701" s="10" t="n"/>
      <c r="S2701" s="16" t="inlineStr">
        <is>
          <t>https://mstgolf.co.th/products/gf2020202341</t>
        </is>
      </c>
      <c r="T2701" s="1">
        <f>IF(B2701="ไม้กอล์ฟ",J2701,"")</f>
        <v/>
      </c>
    </row>
    <row r="2702">
      <c r="A2702" s="1" t="n">
        <v>3</v>
      </c>
      <c r="B2702" s="1" t="inlineStr">
        <is>
          <t>เสื้อผ้า</t>
        </is>
      </c>
      <c r="C2702" s="1" t="inlineStr">
        <is>
          <t>gf2020201960</t>
        </is>
      </c>
      <c r="D2702" s="1" t="inlineStr">
        <is>
          <t>PETER MILLAR Salem Drape Performance Men's Shorts (Black)</t>
        </is>
      </c>
      <c r="E2702" s="1" t="inlineStr">
        <is>
          <t>PETER MILLAR</t>
        </is>
      </c>
      <c r="F2702" s="1" t="inlineStr">
        <is>
          <t>SHORT PANTS</t>
        </is>
      </c>
      <c r="G2702" s="1" t="inlineStr">
        <is>
          <t>GF202020196030</t>
        </is>
      </c>
      <c r="H2702" s="1" t="n">
        <v>6</v>
      </c>
      <c r="I2702" s="1" t="inlineStr">
        <is>
          <t>มี</t>
        </is>
      </c>
      <c r="J2702" s="13" t="n">
        <v>95</v>
      </c>
      <c r="K2702" s="1" t="inlineStr"/>
      <c r="L2702" s="13" t="n">
        <v>95</v>
      </c>
      <c r="M2702" s="1">
        <f>IF(L2702="","ไม่พบใน SG",IF(ABS(J2702-L2702)&lt;0.005,"ตรงกัน","ไม่ตรง"))</f>
        <v/>
      </c>
      <c r="N2702" s="14">
        <f>IF(L2702="","",ROUND(L2702*'สรุป'!$C$6,-1))</f>
        <v/>
      </c>
      <c r="O2702" s="15" t="n"/>
      <c r="P2702" s="15" t="n"/>
      <c r="Q2702" s="10" t="n"/>
      <c r="R2702" s="10" t="n"/>
      <c r="S2702" s="16" t="inlineStr">
        <is>
          <t>https://mstgolf.co.th/products/gf2020201960</t>
        </is>
      </c>
      <c r="T2702" s="1">
        <f>IF(B2702="ไม้กอล์ฟ",J2702,"")</f>
        <v/>
      </c>
    </row>
    <row r="2703">
      <c r="A2703" s="1" t="n">
        <v>3</v>
      </c>
      <c r="B2703" s="1" t="inlineStr">
        <is>
          <t>เสื้อผ้า</t>
        </is>
      </c>
      <c r="C2703" s="1" t="inlineStr">
        <is>
          <t>gf2040114217</t>
        </is>
      </c>
      <c r="D2703" s="1" t="inlineStr">
        <is>
          <t>PETER MILLAR Solid Performance Men's Polo (Navy)</t>
        </is>
      </c>
      <c r="E2703" s="1" t="inlineStr">
        <is>
          <t>PETER MILLAR</t>
        </is>
      </c>
      <c r="F2703" s="1" t="inlineStr">
        <is>
          <t>SHORT SLEEVES</t>
        </is>
      </c>
      <c r="G2703" s="1" t="inlineStr">
        <is>
          <t>GF2040114217XS</t>
        </is>
      </c>
      <c r="H2703" s="1" t="n">
        <v>7</v>
      </c>
      <c r="I2703" s="1" t="inlineStr">
        <is>
          <t>มี</t>
        </is>
      </c>
      <c r="J2703" s="13" t="n">
        <v>95</v>
      </c>
      <c r="K2703" s="1" t="inlineStr"/>
      <c r="L2703" s="13" t="n">
        <v>95</v>
      </c>
      <c r="M2703" s="1">
        <f>IF(L2703="","ไม่พบใน SG",IF(ABS(J2703-L2703)&lt;0.005,"ตรงกัน","ไม่ตรง"))</f>
        <v/>
      </c>
      <c r="N2703" s="14">
        <f>IF(L2703="","",ROUND(L2703*'สรุป'!$C$6,-1))</f>
        <v/>
      </c>
      <c r="O2703" s="15" t="n"/>
      <c r="P2703" s="15" t="n"/>
      <c r="Q2703" s="10" t="n"/>
      <c r="R2703" s="10" t="n"/>
      <c r="S2703" s="16" t="inlineStr">
        <is>
          <t>https://mstgolf.co.th/products/gf2040114217</t>
        </is>
      </c>
      <c r="T2703" s="1">
        <f>IF(B2703="ไม้กอล์ฟ",J2703,"")</f>
        <v/>
      </c>
    </row>
    <row r="2704">
      <c r="A2704" s="1" t="n">
        <v>3</v>
      </c>
      <c r="B2704" s="1" t="inlineStr">
        <is>
          <t>เสื้อผ้า</t>
        </is>
      </c>
      <c r="C2704" s="1" t="inlineStr">
        <is>
          <t>gf2040114367</t>
        </is>
      </c>
      <c r="D2704" s="1" t="inlineStr">
        <is>
          <t>TAYLORMADE Basic Logo Men's Polo (Orange)</t>
        </is>
      </c>
      <c r="E2704" s="1" t="inlineStr">
        <is>
          <t>TAYLORMADE</t>
        </is>
      </c>
      <c r="F2704" s="1" t="inlineStr">
        <is>
          <t>SHORT SLEEVES</t>
        </is>
      </c>
      <c r="G2704" s="1" t="inlineStr">
        <is>
          <t>GF2040114367M</t>
        </is>
      </c>
      <c r="H2704" s="1" t="n">
        <v>4</v>
      </c>
      <c r="I2704" s="1" t="inlineStr">
        <is>
          <t>มี</t>
        </is>
      </c>
      <c r="J2704" s="13" t="n">
        <v>95</v>
      </c>
      <c r="K2704" s="1" t="inlineStr"/>
      <c r="L2704" s="13" t="n">
        <v>75</v>
      </c>
      <c r="M2704" s="1">
        <f>IF(L2704="","ไม่พบใน SG",IF(ABS(J2704-L2704)&lt;0.005,"ตรงกัน","ไม่ตรง"))</f>
        <v/>
      </c>
      <c r="N2704" s="14">
        <f>IF(L2704="","",ROUND(L2704*'สรุป'!$C$6,-1))</f>
        <v/>
      </c>
      <c r="O2704" s="15" t="n"/>
      <c r="P2704" s="15" t="n"/>
      <c r="Q2704" s="10" t="n"/>
      <c r="R2704" s="10" t="n"/>
      <c r="S2704" s="16" t="inlineStr">
        <is>
          <t>https://mstgolf.co.th/products/gf2040114367</t>
        </is>
      </c>
      <c r="T2704" s="1">
        <f>IF(B2704="ไม้กอล์ฟ",J2704,"")</f>
        <v/>
      </c>
    </row>
    <row r="2705">
      <c r="A2705" s="1" t="n">
        <v>3</v>
      </c>
      <c r="B2705" s="1" t="inlineStr">
        <is>
          <t>เสื้อผ้า</t>
        </is>
      </c>
      <c r="C2705" s="1" t="inlineStr">
        <is>
          <t>gf2040115443</t>
        </is>
      </c>
      <c r="D2705" s="1" t="inlineStr">
        <is>
          <t>TAYLORMADE Basic Men's Polo (Blue)</t>
        </is>
      </c>
      <c r="E2705" s="1" t="inlineStr">
        <is>
          <t>TAYLORMADE</t>
        </is>
      </c>
      <c r="F2705" s="1" t="inlineStr">
        <is>
          <t>SHORT SLEEVES</t>
        </is>
      </c>
      <c r="G2705" s="1" t="inlineStr">
        <is>
          <t>GF2040115443M</t>
        </is>
      </c>
      <c r="H2705" s="1" t="n">
        <v>5</v>
      </c>
      <c r="I2705" s="1" t="inlineStr">
        <is>
          <t>มี</t>
        </is>
      </c>
      <c r="J2705" s="13" t="n">
        <v>95</v>
      </c>
      <c r="K2705" s="1" t="inlineStr"/>
      <c r="L2705" s="13" t="n">
        <v>95</v>
      </c>
      <c r="M2705" s="1">
        <f>IF(L2705="","ไม่พบใน SG",IF(ABS(J2705-L2705)&lt;0.005,"ตรงกัน","ไม่ตรง"))</f>
        <v/>
      </c>
      <c r="N2705" s="14">
        <f>IF(L2705="","",ROUND(L2705*'สรุป'!$C$6,-1))</f>
        <v/>
      </c>
      <c r="O2705" s="15" t="n"/>
      <c r="P2705" s="15" t="n"/>
      <c r="Q2705" s="10" t="n"/>
      <c r="R2705" s="10" t="n"/>
      <c r="S2705" s="16" t="inlineStr">
        <is>
          <t>https://mstgolf.co.th/products/gf2040115443</t>
        </is>
      </c>
      <c r="T2705" s="1">
        <f>IF(B2705="ไม้กอล์ฟ",J2705,"")</f>
        <v/>
      </c>
    </row>
    <row r="2706">
      <c r="A2706" s="1" t="n">
        <v>3</v>
      </c>
      <c r="B2706" s="1" t="inlineStr">
        <is>
          <t>เสื้อผ้า</t>
        </is>
      </c>
      <c r="C2706" s="1" t="inlineStr">
        <is>
          <t>gf2040115444</t>
        </is>
      </c>
      <c r="D2706" s="1" t="inlineStr">
        <is>
          <t>TAYLORMADE Basic Men's Polo (Tour Red)</t>
        </is>
      </c>
      <c r="E2706" s="1" t="inlineStr">
        <is>
          <t>TAYLORMADE</t>
        </is>
      </c>
      <c r="F2706" s="1" t="inlineStr">
        <is>
          <t>SHORT SLEEVES</t>
        </is>
      </c>
      <c r="G2706" s="1" t="inlineStr">
        <is>
          <t>GF2040115444M</t>
        </is>
      </c>
      <c r="H2706" s="1" t="n">
        <v>5</v>
      </c>
      <c r="I2706" s="1" t="inlineStr">
        <is>
          <t>มี</t>
        </is>
      </c>
      <c r="J2706" s="13" t="n">
        <v>95</v>
      </c>
      <c r="K2706" s="1" t="inlineStr"/>
      <c r="L2706" s="13" t="n">
        <v>75</v>
      </c>
      <c r="M2706" s="1">
        <f>IF(L2706="","ไม่พบใน SG",IF(ABS(J2706-L2706)&lt;0.005,"ตรงกัน","ไม่ตรง"))</f>
        <v/>
      </c>
      <c r="N2706" s="14">
        <f>IF(L2706="","",ROUND(L2706*'สรุป'!$C$6,-1))</f>
        <v/>
      </c>
      <c r="O2706" s="15" t="n"/>
      <c r="P2706" s="15" t="n"/>
      <c r="Q2706" s="10" t="n"/>
      <c r="R2706" s="10" t="n"/>
      <c r="S2706" s="16" t="inlineStr">
        <is>
          <t>https://mstgolf.co.th/products/gf2040115444</t>
        </is>
      </c>
      <c r="T2706" s="1">
        <f>IF(B2706="ไม้กอล์ฟ",J2706,"")</f>
        <v/>
      </c>
    </row>
    <row r="2707">
      <c r="A2707" s="1" t="n">
        <v>3</v>
      </c>
      <c r="B2707" s="1" t="inlineStr">
        <is>
          <t>เสื้อผ้า</t>
        </is>
      </c>
      <c r="C2707" s="1" t="inlineStr">
        <is>
          <t>gf2040114369</t>
        </is>
      </c>
      <c r="D2707" s="1" t="inlineStr">
        <is>
          <t>TAYLORMADE Men's Short Sleeve Polo (Navy/Green)</t>
        </is>
      </c>
      <c r="E2707" s="1" t="inlineStr">
        <is>
          <t>TAYLORMADE</t>
        </is>
      </c>
      <c r="F2707" s="1" t="inlineStr">
        <is>
          <t>SHORT SLEEVES</t>
        </is>
      </c>
      <c r="G2707" s="1" t="inlineStr">
        <is>
          <t>GF2040114369M</t>
        </is>
      </c>
      <c r="H2707" s="1" t="n">
        <v>4</v>
      </c>
      <c r="I2707" s="1" t="inlineStr">
        <is>
          <t>มี</t>
        </is>
      </c>
      <c r="J2707" s="13" t="n">
        <v>95</v>
      </c>
      <c r="K2707" s="1" t="inlineStr"/>
      <c r="L2707" s="13" t="n">
        <v>75</v>
      </c>
      <c r="M2707" s="1">
        <f>IF(L2707="","ไม่พบใน SG",IF(ABS(J2707-L2707)&lt;0.005,"ตรงกัน","ไม่ตรง"))</f>
        <v/>
      </c>
      <c r="N2707" s="14">
        <f>IF(L2707="","",ROUND(L2707*'สรุป'!$C$6,-1))</f>
        <v/>
      </c>
      <c r="O2707" s="15" t="n"/>
      <c r="P2707" s="15" t="n"/>
      <c r="Q2707" s="10" t="n"/>
      <c r="R2707" s="10" t="n"/>
      <c r="S2707" s="16" t="inlineStr">
        <is>
          <t>https://mstgolf.co.th/products/gf2040114369</t>
        </is>
      </c>
      <c r="T2707" s="1">
        <f>IF(B2707="ไม้กอล์ฟ",J2707,"")</f>
        <v/>
      </c>
    </row>
    <row r="2708">
      <c r="A2708" s="1" t="n">
        <v>3</v>
      </c>
      <c r="B2708" s="1" t="inlineStr">
        <is>
          <t>เสื้อผ้า</t>
        </is>
      </c>
      <c r="C2708" s="1" t="inlineStr">
        <is>
          <t>gf2040114370</t>
        </is>
      </c>
      <c r="D2708" s="1" t="inlineStr">
        <is>
          <t>TAYLORMADE Men's Short Sleeve Polo (Navy/Red)</t>
        </is>
      </c>
      <c r="E2708" s="1" t="inlineStr">
        <is>
          <t>TAYLORMADE</t>
        </is>
      </c>
      <c r="F2708" s="1" t="inlineStr">
        <is>
          <t>SHORT SLEEVES</t>
        </is>
      </c>
      <c r="G2708" s="1" t="inlineStr">
        <is>
          <t>GF2040114370M</t>
        </is>
      </c>
      <c r="H2708" s="1" t="n">
        <v>4</v>
      </c>
      <c r="I2708" s="1" t="inlineStr">
        <is>
          <t>มี</t>
        </is>
      </c>
      <c r="J2708" s="13" t="n">
        <v>95</v>
      </c>
      <c r="K2708" s="1" t="inlineStr"/>
      <c r="L2708" s="13" t="n">
        <v>75</v>
      </c>
      <c r="M2708" s="1">
        <f>IF(L2708="","ไม่พบใน SG",IF(ABS(J2708-L2708)&lt;0.005,"ตรงกัน","ไม่ตรง"))</f>
        <v/>
      </c>
      <c r="N2708" s="14">
        <f>IF(L2708="","",ROUND(L2708*'สรุป'!$C$6,-1))</f>
        <v/>
      </c>
      <c r="O2708" s="15" t="n"/>
      <c r="P2708" s="15" t="n"/>
      <c r="Q2708" s="10" t="n"/>
      <c r="R2708" s="10" t="n"/>
      <c r="S2708" s="16" t="inlineStr">
        <is>
          <t>https://mstgolf.co.th/products/gf2040114370</t>
        </is>
      </c>
      <c r="T2708" s="1">
        <f>IF(B2708="ไม้กอล์ฟ",J2708,"")</f>
        <v/>
      </c>
    </row>
    <row r="2709">
      <c r="A2709" s="1" t="n">
        <v>3</v>
      </c>
      <c r="B2709" s="1" t="inlineStr">
        <is>
          <t>เสื้อผ้า</t>
        </is>
      </c>
      <c r="C2709" s="1" t="inlineStr">
        <is>
          <t>gf2020202054</t>
        </is>
      </c>
      <c r="D2709" s="1" t="inlineStr">
        <is>
          <t>TAYLORMADE Met Graphic Men's Shorts (Yellow)</t>
        </is>
      </c>
      <c r="E2709" s="1" t="inlineStr">
        <is>
          <t>TAYLORMADE</t>
        </is>
      </c>
      <c r="F2709" s="1" t="inlineStr">
        <is>
          <t>SHORT PANTS</t>
        </is>
      </c>
      <c r="G2709" s="1" t="inlineStr">
        <is>
          <t>GF2020202054M</t>
        </is>
      </c>
      <c r="H2709" s="1" t="n">
        <v>4</v>
      </c>
      <c r="I2709" s="1" t="inlineStr">
        <is>
          <t>มี</t>
        </is>
      </c>
      <c r="J2709" s="13" t="n">
        <v>95</v>
      </c>
      <c r="K2709" s="1" t="inlineStr"/>
      <c r="L2709" s="13" t="n">
        <v>95</v>
      </c>
      <c r="M2709" s="1">
        <f>IF(L2709="","ไม่พบใน SG",IF(ABS(J2709-L2709)&lt;0.005,"ตรงกัน","ไม่ตรง"))</f>
        <v/>
      </c>
      <c r="N2709" s="14">
        <f>IF(L2709="","",ROUND(L2709*'สรุป'!$C$6,-1))</f>
        <v/>
      </c>
      <c r="O2709" s="15" t="n"/>
      <c r="P2709" s="15" t="n"/>
      <c r="Q2709" s="10" t="n"/>
      <c r="R2709" s="10" t="n"/>
      <c r="S2709" s="16" t="inlineStr">
        <is>
          <t>https://mstgolf.co.th/products/gf2020202054</t>
        </is>
      </c>
      <c r="T2709" s="1">
        <f>IF(B2709="ไม้กอล์ฟ",J2709,"")</f>
        <v/>
      </c>
    </row>
    <row r="2710">
      <c r="A2710" s="1" t="n">
        <v>3</v>
      </c>
      <c r="B2710" s="1" t="inlineStr">
        <is>
          <t>เสื้อผ้า</t>
        </is>
      </c>
      <c r="C2710" s="1" t="inlineStr">
        <is>
          <t>gf2020202070</t>
        </is>
      </c>
      <c r="D2710" s="1" t="inlineStr">
        <is>
          <t>TAYLORMADE Met Men's Graphic Shorts (White)</t>
        </is>
      </c>
      <c r="E2710" s="1" t="inlineStr">
        <is>
          <t>TAYLORMADE</t>
        </is>
      </c>
      <c r="F2710" s="1" t="inlineStr">
        <is>
          <t>SHORT PANTS</t>
        </is>
      </c>
      <c r="G2710" s="1" t="inlineStr">
        <is>
          <t>GF2020202070M</t>
        </is>
      </c>
      <c r="H2710" s="1" t="n">
        <v>4</v>
      </c>
      <c r="I2710" s="1" t="inlineStr">
        <is>
          <t>มี</t>
        </is>
      </c>
      <c r="J2710" s="13" t="n">
        <v>95</v>
      </c>
      <c r="K2710" s="1" t="inlineStr"/>
      <c r="L2710" s="13" t="n">
        <v>95</v>
      </c>
      <c r="M2710" s="1">
        <f>IF(L2710="","ไม่พบใน SG",IF(ABS(J2710-L2710)&lt;0.005,"ตรงกัน","ไม่ตรง"))</f>
        <v/>
      </c>
      <c r="N2710" s="14">
        <f>IF(L2710="","",ROUND(L2710*'สรุป'!$C$6,-1))</f>
        <v/>
      </c>
      <c r="O2710" s="15" t="n"/>
      <c r="P2710" s="15" t="n"/>
      <c r="Q2710" s="10" t="n"/>
      <c r="R2710" s="10" t="n"/>
      <c r="S2710" s="16" t="inlineStr">
        <is>
          <t>https://mstgolf.co.th/products/gf2020202070</t>
        </is>
      </c>
      <c r="T2710" s="1">
        <f>IF(B2710="ไม้กอล์ฟ",J2710,"")</f>
        <v/>
      </c>
    </row>
    <row r="2711">
      <c r="A2711" s="1" t="n">
        <v>3</v>
      </c>
      <c r="B2711" s="1" t="inlineStr">
        <is>
          <t>เสื้อผ้า</t>
        </is>
      </c>
      <c r="C2711" s="1" t="inlineStr">
        <is>
          <t>gf2040113871</t>
        </is>
      </c>
      <c r="D2711" s="1" t="inlineStr">
        <is>
          <t>TAYLORMADE TM Basic Men's Polo (Navy)</t>
        </is>
      </c>
      <c r="E2711" s="1" t="inlineStr">
        <is>
          <t>TAYLORMADE</t>
        </is>
      </c>
      <c r="F2711" s="1" t="inlineStr">
        <is>
          <t>SHORT SLEEVES</t>
        </is>
      </c>
      <c r="G2711" s="1" t="inlineStr">
        <is>
          <t>GF2040113871M</t>
        </is>
      </c>
      <c r="H2711" s="1" t="n">
        <v>4</v>
      </c>
      <c r="I2711" s="1" t="inlineStr">
        <is>
          <t>มี</t>
        </is>
      </c>
      <c r="J2711" s="13" t="n">
        <v>95</v>
      </c>
      <c r="K2711" s="1" t="inlineStr"/>
      <c r="L2711" s="13" t="n">
        <v>95</v>
      </c>
      <c r="M2711" s="1">
        <f>IF(L2711="","ไม่พบใน SG",IF(ABS(J2711-L2711)&lt;0.005,"ตรงกัน","ไม่ตรง"))</f>
        <v/>
      </c>
      <c r="N2711" s="14">
        <f>IF(L2711="","",ROUND(L2711*'สรุป'!$C$6,-1))</f>
        <v/>
      </c>
      <c r="O2711" s="15" t="n"/>
      <c r="P2711" s="15" t="n"/>
      <c r="Q2711" s="10" t="n"/>
      <c r="R2711" s="10" t="n"/>
      <c r="S2711" s="16" t="inlineStr">
        <is>
          <t>https://mstgolf.co.th/products/gf2040113871</t>
        </is>
      </c>
      <c r="T2711" s="1">
        <f>IF(B2711="ไม้กอล์ฟ",J2711,"")</f>
        <v/>
      </c>
    </row>
    <row r="2712">
      <c r="A2712" s="1" t="n">
        <v>3</v>
      </c>
      <c r="B2712" s="1" t="inlineStr">
        <is>
          <t>เสื้อผ้า</t>
        </is>
      </c>
      <c r="C2712" s="1" t="inlineStr">
        <is>
          <t>gf2040113872</t>
        </is>
      </c>
      <c r="D2712" s="1" t="inlineStr">
        <is>
          <t>TAYLORMADE TM Basic Men's Polo (Orange)</t>
        </is>
      </c>
      <c r="E2712" s="1" t="inlineStr">
        <is>
          <t>TAYLORMADE</t>
        </is>
      </c>
      <c r="F2712" s="1" t="inlineStr">
        <is>
          <t>SHORT SLEEVES</t>
        </is>
      </c>
      <c r="G2712" s="1" t="inlineStr">
        <is>
          <t>GF2040113872M</t>
        </is>
      </c>
      <c r="H2712" s="1" t="n">
        <v>4</v>
      </c>
      <c r="I2712" s="1" t="inlineStr">
        <is>
          <t>มี</t>
        </is>
      </c>
      <c r="J2712" s="13" t="n">
        <v>95</v>
      </c>
      <c r="K2712" s="1" t="inlineStr"/>
      <c r="L2712" s="13" t="n">
        <v>95</v>
      </c>
      <c r="M2712" s="1">
        <f>IF(L2712="","ไม่พบใน SG",IF(ABS(J2712-L2712)&lt;0.005,"ตรงกัน","ไม่ตรง"))</f>
        <v/>
      </c>
      <c r="N2712" s="14">
        <f>IF(L2712="","",ROUND(L2712*'สรุป'!$C$6,-1))</f>
        <v/>
      </c>
      <c r="O2712" s="15" t="n"/>
      <c r="P2712" s="15" t="n"/>
      <c r="Q2712" s="10" t="n"/>
      <c r="R2712" s="10" t="n"/>
      <c r="S2712" s="16" t="inlineStr">
        <is>
          <t>https://mstgolf.co.th/products/gf2040113872</t>
        </is>
      </c>
      <c r="T2712" s="1">
        <f>IF(B2712="ไม้กอล์ฟ",J2712,"")</f>
        <v/>
      </c>
    </row>
    <row r="2713">
      <c r="A2713" s="1" t="n">
        <v>3</v>
      </c>
      <c r="B2713" s="1" t="inlineStr">
        <is>
          <t>เสื้อผ้า</t>
        </is>
      </c>
      <c r="C2713" s="1" t="inlineStr">
        <is>
          <t>gf2040115475</t>
        </is>
      </c>
      <c r="D2713" s="1" t="inlineStr">
        <is>
          <t>TAYLORMADE Tour Basic Women's Polo (Smoke Pink)</t>
        </is>
      </c>
      <c r="E2713" s="1" t="inlineStr">
        <is>
          <t>TAYLORMADE</t>
        </is>
      </c>
      <c r="F2713" s="1" t="inlineStr">
        <is>
          <t>SHORT SLEEVES</t>
        </is>
      </c>
      <c r="G2713" s="1" t="inlineStr">
        <is>
          <t>GF2040115475XS</t>
        </is>
      </c>
      <c r="H2713" s="1" t="n">
        <v>5</v>
      </c>
      <c r="I2713" s="1" t="inlineStr">
        <is>
          <t>มี</t>
        </is>
      </c>
      <c r="J2713" s="13" t="n">
        <v>95</v>
      </c>
      <c r="K2713" s="1" t="inlineStr"/>
      <c r="L2713" s="13" t="n">
        <v>95</v>
      </c>
      <c r="M2713" s="1">
        <f>IF(L2713="","ไม่พบใน SG",IF(ABS(J2713-L2713)&lt;0.005,"ตรงกัน","ไม่ตรง"))</f>
        <v/>
      </c>
      <c r="N2713" s="14">
        <f>IF(L2713="","",ROUND(L2713*'สรุป'!$C$6,-1))</f>
        <v/>
      </c>
      <c r="O2713" s="15" t="n"/>
      <c r="P2713" s="15" t="n"/>
      <c r="Q2713" s="10" t="n"/>
      <c r="R2713" s="10" t="n"/>
      <c r="S2713" s="16" t="inlineStr">
        <is>
          <t>https://mstgolf.co.th/products/gf2040115475</t>
        </is>
      </c>
      <c r="T2713" s="1">
        <f>IF(B2713="ไม้กอล์ฟ",J2713,"")</f>
        <v/>
      </c>
    </row>
    <row r="2714">
      <c r="A2714" s="1" t="n">
        <v>3</v>
      </c>
      <c r="B2714" s="1" t="inlineStr">
        <is>
          <t>เสื้อผ้า</t>
        </is>
      </c>
      <c r="C2714" s="1" t="inlineStr">
        <is>
          <t>gf2020202048</t>
        </is>
      </c>
      <c r="D2714" s="1" t="inlineStr">
        <is>
          <t>TAYLORMADE Word Graphic Men's Shorts (Black)</t>
        </is>
      </c>
      <c r="E2714" s="1" t="inlineStr">
        <is>
          <t>TAYLORMADE</t>
        </is>
      </c>
      <c r="F2714" s="1" t="inlineStr">
        <is>
          <t>SHORT PANTS</t>
        </is>
      </c>
      <c r="G2714" s="1" t="inlineStr">
        <is>
          <t>GF2020202048M</t>
        </is>
      </c>
      <c r="H2714" s="1" t="n">
        <v>4</v>
      </c>
      <c r="I2714" s="1" t="inlineStr">
        <is>
          <t>มี</t>
        </is>
      </c>
      <c r="J2714" s="13" t="n">
        <v>95</v>
      </c>
      <c r="K2714" s="1" t="inlineStr"/>
      <c r="L2714" s="13" t="n">
        <v>75</v>
      </c>
      <c r="M2714" s="1">
        <f>IF(L2714="","ไม่พบใน SG",IF(ABS(J2714-L2714)&lt;0.005,"ตรงกัน","ไม่ตรง"))</f>
        <v/>
      </c>
      <c r="N2714" s="14">
        <f>IF(L2714="","",ROUND(L2714*'สรุป'!$C$6,-1))</f>
        <v/>
      </c>
      <c r="O2714" s="15" t="n"/>
      <c r="P2714" s="15" t="n"/>
      <c r="Q2714" s="10" t="n"/>
      <c r="R2714" s="10" t="n"/>
      <c r="S2714" s="16" t="inlineStr">
        <is>
          <t>https://mstgolf.co.th/products/gf2020202048</t>
        </is>
      </c>
      <c r="T2714" s="1">
        <f>IF(B2714="ไม้กอล์ฟ",J2714,"")</f>
        <v/>
      </c>
    </row>
    <row r="2715">
      <c r="A2715" s="1" t="n">
        <v>3</v>
      </c>
      <c r="B2715" s="1" t="inlineStr">
        <is>
          <t>เสื้อผ้า</t>
        </is>
      </c>
      <c r="C2715" s="1" t="inlineStr">
        <is>
          <t>gf2020202049</t>
        </is>
      </c>
      <c r="D2715" s="1" t="inlineStr">
        <is>
          <t>TAYLORMADE Word Graphic Men's Shorts (White)</t>
        </is>
      </c>
      <c r="E2715" s="1" t="inlineStr">
        <is>
          <t>TAYLORMADE</t>
        </is>
      </c>
      <c r="F2715" s="1" t="inlineStr">
        <is>
          <t>SHORT PANTS</t>
        </is>
      </c>
      <c r="G2715" s="1" t="inlineStr">
        <is>
          <t>GF2020202049M</t>
        </is>
      </c>
      <c r="H2715" s="1" t="n">
        <v>4</v>
      </c>
      <c r="I2715" s="1" t="inlineStr">
        <is>
          <t>มี</t>
        </is>
      </c>
      <c r="J2715" s="13" t="n">
        <v>95</v>
      </c>
      <c r="K2715" s="1" t="inlineStr"/>
      <c r="L2715" s="13" t="n">
        <v>75</v>
      </c>
      <c r="M2715" s="1">
        <f>IF(L2715="","ไม่พบใน SG",IF(ABS(J2715-L2715)&lt;0.005,"ตรงกัน","ไม่ตรง"))</f>
        <v/>
      </c>
      <c r="N2715" s="14">
        <f>IF(L2715="","",ROUND(L2715*'สรุป'!$C$6,-1))</f>
        <v/>
      </c>
      <c r="O2715" s="15" t="n"/>
      <c r="P2715" s="15" t="n"/>
      <c r="Q2715" s="10" t="n"/>
      <c r="R2715" s="10" t="n"/>
      <c r="S2715" s="16" t="inlineStr">
        <is>
          <t>https://mstgolf.co.th/products/gf2020202049</t>
        </is>
      </c>
      <c r="T2715" s="1">
        <f>IF(B2715="ไม้กอล์ฟ",J2715,"")</f>
        <v/>
      </c>
    </row>
    <row r="2716">
      <c r="A2716" s="1" t="n">
        <v>3</v>
      </c>
      <c r="B2716" s="1" t="inlineStr">
        <is>
          <t>เสื้อผ้า</t>
        </is>
      </c>
      <c r="C2716" s="1" t="inlineStr">
        <is>
          <t>gf2020101835</t>
        </is>
      </c>
      <c r="D2716" s="1" t="inlineStr">
        <is>
          <t>UNDER ARMOUR Iso-Chill Taper Men's Pants (Black)</t>
        </is>
      </c>
      <c r="E2716" s="1" t="inlineStr">
        <is>
          <t>UNDER ARMOUR</t>
        </is>
      </c>
      <c r="F2716" s="1" t="inlineStr">
        <is>
          <t>LONG PANTS</t>
        </is>
      </c>
      <c r="G2716" s="1" t="inlineStr">
        <is>
          <t>GF202010183528</t>
        </is>
      </c>
      <c r="H2716" s="1" t="n">
        <v>7</v>
      </c>
      <c r="I2716" s="1" t="inlineStr">
        <is>
          <t>มี</t>
        </is>
      </c>
      <c r="J2716" s="13" t="n">
        <v>95</v>
      </c>
      <c r="K2716" s="1" t="inlineStr"/>
      <c r="L2716" s="13" t="n">
        <v>79</v>
      </c>
      <c r="M2716" s="1">
        <f>IF(L2716="","ไม่พบใน SG",IF(ABS(J2716-L2716)&lt;0.005,"ตรงกัน","ไม่ตรง"))</f>
        <v/>
      </c>
      <c r="N2716" s="14">
        <f>IF(L2716="","",ROUND(L2716*'สรุป'!$C$6,-1))</f>
        <v/>
      </c>
      <c r="O2716" s="15" t="n"/>
      <c r="P2716" s="15" t="n"/>
      <c r="Q2716" s="10" t="n"/>
      <c r="R2716" s="10" t="n"/>
      <c r="S2716" s="16" t="inlineStr">
        <is>
          <t>https://mstgolf.co.th/products/gf2020101835</t>
        </is>
      </c>
      <c r="T2716" s="1">
        <f>IF(B2716="ไม้กอล์ฟ",J2716,"")</f>
        <v/>
      </c>
    </row>
    <row r="2717">
      <c r="A2717" s="1" t="n">
        <v>3</v>
      </c>
      <c r="B2717" s="1" t="inlineStr">
        <is>
          <t>เสื้อผ้า</t>
        </is>
      </c>
      <c r="C2717" s="1" t="inlineStr">
        <is>
          <t>gf2020101793</t>
        </is>
      </c>
      <c r="D2717" s="1" t="inlineStr">
        <is>
          <t>UNDER ARMOUR Iso-Chill Taper Men's Pants (Halo Grey)</t>
        </is>
      </c>
      <c r="E2717" s="1" t="inlineStr">
        <is>
          <t>UNDER ARMOUR</t>
        </is>
      </c>
      <c r="F2717" s="1" t="inlineStr">
        <is>
          <t>LONG PANTS</t>
        </is>
      </c>
      <c r="G2717" s="1" t="inlineStr">
        <is>
          <t>GF202010179328</t>
        </is>
      </c>
      <c r="H2717" s="1" t="n">
        <v>7</v>
      </c>
      <c r="I2717" s="1" t="inlineStr">
        <is>
          <t>มี</t>
        </is>
      </c>
      <c r="J2717" s="13" t="n">
        <v>95</v>
      </c>
      <c r="K2717" s="1" t="inlineStr"/>
      <c r="L2717" s="13" t="n">
        <v>79</v>
      </c>
      <c r="M2717" s="1">
        <f>IF(L2717="","ไม่พบใน SG",IF(ABS(J2717-L2717)&lt;0.005,"ตรงกัน","ไม่ตรง"))</f>
        <v/>
      </c>
      <c r="N2717" s="14">
        <f>IF(L2717="","",ROUND(L2717*'สรุป'!$C$6,-1))</f>
        <v/>
      </c>
      <c r="O2717" s="15" t="n"/>
      <c r="P2717" s="15" t="n"/>
      <c r="Q2717" s="10" t="n"/>
      <c r="R2717" s="10" t="n"/>
      <c r="S2717" s="16" t="inlineStr">
        <is>
          <t>https://mstgolf.co.th/products/gf2020101793</t>
        </is>
      </c>
      <c r="T2717" s="1">
        <f>IF(B2717="ไม้กอล์ฟ",J2717,"")</f>
        <v/>
      </c>
    </row>
    <row r="2718">
      <c r="A2718" s="1" t="n">
        <v>3</v>
      </c>
      <c r="B2718" s="1" t="inlineStr">
        <is>
          <t>เสื้อผ้า</t>
        </is>
      </c>
      <c r="C2718" s="1" t="inlineStr">
        <is>
          <t>gf2020102090</t>
        </is>
      </c>
      <c r="D2718" s="1" t="inlineStr">
        <is>
          <t>UNDER ARMOUR Iso-Chill Taper Men's Pants (Midnight Navy)</t>
        </is>
      </c>
      <c r="E2718" s="1" t="inlineStr">
        <is>
          <t>UNDER ARMOUR</t>
        </is>
      </c>
      <c r="F2718" s="1" t="inlineStr">
        <is>
          <t>LONG PANTS</t>
        </is>
      </c>
      <c r="G2718" s="1" t="inlineStr">
        <is>
          <t>GF202010209028</t>
        </is>
      </c>
      <c r="H2718" s="1" t="n">
        <v>7</v>
      </c>
      <c r="I2718" s="1" t="inlineStr">
        <is>
          <t>มี</t>
        </is>
      </c>
      <c r="J2718" s="13" t="n">
        <v>95</v>
      </c>
      <c r="K2718" s="1" t="inlineStr"/>
      <c r="L2718" s="13" t="n">
        <v>95</v>
      </c>
      <c r="M2718" s="1">
        <f>IF(L2718="","ไม่พบใน SG",IF(ABS(J2718-L2718)&lt;0.005,"ตรงกัน","ไม่ตรง"))</f>
        <v/>
      </c>
      <c r="N2718" s="14">
        <f>IF(L2718="","",ROUND(L2718*'สรุป'!$C$6,-1))</f>
        <v/>
      </c>
      <c r="O2718" s="15" t="n"/>
      <c r="P2718" s="15" t="n"/>
      <c r="Q2718" s="10" t="n"/>
      <c r="R2718" s="10" t="n"/>
      <c r="S2718" s="16" t="inlineStr">
        <is>
          <t>https://mstgolf.co.th/products/gf2020102090</t>
        </is>
      </c>
      <c r="T2718" s="1">
        <f>IF(B2718="ไม้กอล์ฟ",J2718,"")</f>
        <v/>
      </c>
    </row>
    <row r="2719">
      <c r="A2719" s="1" t="n">
        <v>3</v>
      </c>
      <c r="B2719" s="1" t="inlineStr">
        <is>
          <t>เสื้อผ้า</t>
        </is>
      </c>
      <c r="C2719" s="1" t="inlineStr">
        <is>
          <t>gf2060100917</t>
        </is>
      </c>
      <c r="D2719" s="1" t="inlineStr">
        <is>
          <t>UNDER ARMOUR Storm Windstrike Men's Jacket (Midnight Navy)</t>
        </is>
      </c>
      <c r="E2719" s="1" t="inlineStr">
        <is>
          <t>UNDER ARMOUR</t>
        </is>
      </c>
      <c r="F2719" s="1" t="inlineStr">
        <is>
          <t>TOP</t>
        </is>
      </c>
      <c r="G2719" s="1" t="inlineStr">
        <is>
          <t>GF2060100917S</t>
        </is>
      </c>
      <c r="H2719" s="1" t="n">
        <v>5</v>
      </c>
      <c r="I2719" s="1" t="inlineStr">
        <is>
          <t>มี</t>
        </is>
      </c>
      <c r="J2719" s="13" t="n">
        <v>95</v>
      </c>
      <c r="K2719" s="1" t="inlineStr"/>
      <c r="L2719" s="13" t="n">
        <v>95</v>
      </c>
      <c r="M2719" s="1">
        <f>IF(L2719="","ไม่พบใน SG",IF(ABS(J2719-L2719)&lt;0.005,"ตรงกัน","ไม่ตรง"))</f>
        <v/>
      </c>
      <c r="N2719" s="14">
        <f>IF(L2719="","",ROUND(L2719*'สรุป'!$C$6,-1))</f>
        <v/>
      </c>
      <c r="O2719" s="15" t="n"/>
      <c r="P2719" s="15" t="n"/>
      <c r="Q2719" s="10" t="n"/>
      <c r="R2719" s="10" t="n"/>
      <c r="S2719" s="16" t="inlineStr">
        <is>
          <t>https://mstgolf.co.th/products/gf2060100917</t>
        </is>
      </c>
      <c r="T2719" s="1">
        <f>IF(B2719="ไม้กอล์ฟ",J2719,"")</f>
        <v/>
      </c>
    </row>
    <row r="2720">
      <c r="A2720" s="1" t="n">
        <v>3</v>
      </c>
      <c r="B2720" s="1" t="inlineStr">
        <is>
          <t>หมวก</t>
        </is>
      </c>
      <c r="C2720" s="1" t="inlineStr">
        <is>
          <t>gf2000106296</t>
        </is>
      </c>
      <c r="D2720" s="1" t="inlineStr">
        <is>
          <t>WAAC Athletic Flex Men's Cap (Green)</t>
        </is>
      </c>
      <c r="E2720" s="1" t="inlineStr">
        <is>
          <t>WAAC</t>
        </is>
      </c>
      <c r="F2720" s="1" t="inlineStr">
        <is>
          <t>CAP</t>
        </is>
      </c>
      <c r="G2720" s="1" t="inlineStr">
        <is>
          <t>GF200010629658</t>
        </is>
      </c>
      <c r="H2720" s="1" t="n">
        <v>1</v>
      </c>
      <c r="I2720" s="1" t="inlineStr">
        <is>
          <t>มี</t>
        </is>
      </c>
      <c r="J2720" s="13" t="n">
        <v>95</v>
      </c>
      <c r="K2720" s="1" t="inlineStr"/>
      <c r="L2720" s="13" t="n">
        <v>95</v>
      </c>
      <c r="M2720" s="1">
        <f>IF(L2720="","ไม่พบใน SG",IF(ABS(J2720-L2720)&lt;0.005,"ตรงกัน","ไม่ตรง"))</f>
        <v/>
      </c>
      <c r="N2720" s="14">
        <f>IF(L2720="","",ROUND(L2720*'สรุป'!$C$6,-1))</f>
        <v/>
      </c>
      <c r="O2720" s="15" t="n"/>
      <c r="P2720" s="15" t="n"/>
      <c r="Q2720" s="10" t="n"/>
      <c r="R2720" s="10" t="n"/>
      <c r="S2720" s="16" t="inlineStr">
        <is>
          <t>https://mstgolf.co.th/products/gf2000106296</t>
        </is>
      </c>
      <c r="T2720" s="1">
        <f>IF(B2720="ไม้กอล์ฟ",J2720,"")</f>
        <v/>
      </c>
    </row>
    <row r="2721">
      <c r="A2721" s="1" t="n">
        <v>3</v>
      </c>
      <c r="B2721" s="1" t="inlineStr">
        <is>
          <t>หมวก</t>
        </is>
      </c>
      <c r="C2721" s="1" t="inlineStr">
        <is>
          <t>gf2000106295</t>
        </is>
      </c>
      <c r="D2721" s="1" t="inlineStr">
        <is>
          <t>WAAC Athletic Flex Men's Cap (Navy)</t>
        </is>
      </c>
      <c r="E2721" s="1" t="inlineStr">
        <is>
          <t>WAAC</t>
        </is>
      </c>
      <c r="F2721" s="1" t="inlineStr">
        <is>
          <t>CAP</t>
        </is>
      </c>
      <c r="G2721" s="1" t="inlineStr">
        <is>
          <t>GF200010629558</t>
        </is>
      </c>
      <c r="H2721" s="1" t="n">
        <v>1</v>
      </c>
      <c r="I2721" s="1" t="inlineStr">
        <is>
          <t>มี</t>
        </is>
      </c>
      <c r="J2721" s="13" t="n">
        <v>95</v>
      </c>
      <c r="K2721" s="1" t="inlineStr"/>
      <c r="L2721" s="13" t="n">
        <v>95</v>
      </c>
      <c r="M2721" s="1">
        <f>IF(L2721="","ไม่พบใน SG",IF(ABS(J2721-L2721)&lt;0.005,"ตรงกัน","ไม่ตรง"))</f>
        <v/>
      </c>
      <c r="N2721" s="14">
        <f>IF(L2721="","",ROUND(L2721*'สรุป'!$C$6,-1))</f>
        <v/>
      </c>
      <c r="O2721" s="15" t="n"/>
      <c r="P2721" s="15" t="n"/>
      <c r="Q2721" s="10" t="n"/>
      <c r="R2721" s="10" t="n"/>
      <c r="S2721" s="16" t="inlineStr">
        <is>
          <t>https://mstgolf.co.th/products/gf2000106295</t>
        </is>
      </c>
      <c r="T2721" s="1">
        <f>IF(B2721="ไม้กอล์ฟ",J2721,"")</f>
        <v/>
      </c>
    </row>
    <row r="2722">
      <c r="A2722" s="1" t="n">
        <v>3</v>
      </c>
      <c r="B2722" s="1" t="inlineStr">
        <is>
          <t>หมวก</t>
        </is>
      </c>
      <c r="C2722" s="1" t="inlineStr">
        <is>
          <t>gf2000106294</t>
        </is>
      </c>
      <c r="D2722" s="1" t="inlineStr">
        <is>
          <t>WAAC Athletic Flex Men's Cap (White)</t>
        </is>
      </c>
      <c r="E2722" s="1" t="inlineStr">
        <is>
          <t>WAAC</t>
        </is>
      </c>
      <c r="F2722" s="1" t="inlineStr">
        <is>
          <t>CAP</t>
        </is>
      </c>
      <c r="G2722" s="1" t="inlineStr">
        <is>
          <t>GF200010629458</t>
        </is>
      </c>
      <c r="H2722" s="1" t="n">
        <v>1</v>
      </c>
      <c r="I2722" s="1" t="inlineStr">
        <is>
          <t>มี</t>
        </is>
      </c>
      <c r="J2722" s="13" t="n">
        <v>95</v>
      </c>
      <c r="K2722" s="1" t="inlineStr"/>
      <c r="L2722" s="13" t="n">
        <v>95</v>
      </c>
      <c r="M2722" s="1">
        <f>IF(L2722="","ไม่พบใน SG",IF(ABS(J2722-L2722)&lt;0.005,"ตรงกัน","ไม่ตรง"))</f>
        <v/>
      </c>
      <c r="N2722" s="14">
        <f>IF(L2722="","",ROUND(L2722*'สรุป'!$C$6,-1))</f>
        <v/>
      </c>
      <c r="O2722" s="15" t="n"/>
      <c r="P2722" s="15" t="n"/>
      <c r="Q2722" s="10" t="n"/>
      <c r="R2722" s="10" t="n"/>
      <c r="S2722" s="16" t="inlineStr">
        <is>
          <t>https://mstgolf.co.th/products/gf2000106294</t>
        </is>
      </c>
      <c r="T2722" s="1">
        <f>IF(B2722="ไม้กอล์ฟ",J2722,"")</f>
        <v/>
      </c>
    </row>
    <row r="2723">
      <c r="A2723" s="1" t="n">
        <v>3</v>
      </c>
      <c r="B2723" s="1" t="inlineStr">
        <is>
          <t>หมวก</t>
        </is>
      </c>
      <c r="C2723" s="1" t="inlineStr">
        <is>
          <t>gf2000106297</t>
        </is>
      </c>
      <c r="D2723" s="1" t="inlineStr">
        <is>
          <t>WAAC Gradation Women's Cap (Yellow Multi)</t>
        </is>
      </c>
      <c r="E2723" s="1" t="inlineStr">
        <is>
          <t>WAAC</t>
        </is>
      </c>
      <c r="F2723" s="1" t="inlineStr">
        <is>
          <t>CAP</t>
        </is>
      </c>
      <c r="G2723" s="1" t="inlineStr">
        <is>
          <t>GF200010629756</t>
        </is>
      </c>
      <c r="H2723" s="1" t="n">
        <v>1</v>
      </c>
      <c r="I2723" s="1" t="inlineStr">
        <is>
          <t>มี</t>
        </is>
      </c>
      <c r="J2723" s="13" t="n">
        <v>95</v>
      </c>
      <c r="K2723" s="1" t="inlineStr"/>
      <c r="L2723" s="13" t="n">
        <v>95</v>
      </c>
      <c r="M2723" s="1">
        <f>IF(L2723="","ไม่พบใน SG",IF(ABS(J2723-L2723)&lt;0.005,"ตรงกัน","ไม่ตรง"))</f>
        <v/>
      </c>
      <c r="N2723" s="14">
        <f>IF(L2723="","",ROUND(L2723*'สรุป'!$C$6,-1))</f>
        <v/>
      </c>
      <c r="O2723" s="15" t="n"/>
      <c r="P2723" s="15" t="n"/>
      <c r="Q2723" s="10" t="n"/>
      <c r="R2723" s="10" t="n"/>
      <c r="S2723" s="16" t="inlineStr">
        <is>
          <t>https://mstgolf.co.th/products/gf2000106297</t>
        </is>
      </c>
      <c r="T2723" s="1">
        <f>IF(B2723="ไม้กอล์ฟ",J2723,"")</f>
        <v/>
      </c>
    </row>
    <row r="2724">
      <c r="A2724" s="1" t="n">
        <v>3</v>
      </c>
      <c r="B2724" s="1" t="inlineStr">
        <is>
          <t>หมวก</t>
        </is>
      </c>
      <c r="C2724" s="1" t="inlineStr">
        <is>
          <t>gf2000201049</t>
        </is>
      </c>
      <c r="D2724" s="1" t="inlineStr">
        <is>
          <t>WAAC Slogan Women's Visor (Black)</t>
        </is>
      </c>
      <c r="E2724" s="1" t="inlineStr">
        <is>
          <t>WAAC</t>
        </is>
      </c>
      <c r="F2724" s="1" t="inlineStr">
        <is>
          <t>VISOR</t>
        </is>
      </c>
      <c r="G2724" s="1" t="inlineStr">
        <is>
          <t>GF200020104956</t>
        </is>
      </c>
      <c r="H2724" s="1" t="n">
        <v>2</v>
      </c>
      <c r="I2724" s="1" t="inlineStr">
        <is>
          <t>มี</t>
        </is>
      </c>
      <c r="J2724" s="13" t="n">
        <v>95</v>
      </c>
      <c r="K2724" s="1" t="inlineStr"/>
      <c r="L2724" s="13" t="n">
        <v>95</v>
      </c>
      <c r="M2724" s="1">
        <f>IF(L2724="","ไม่พบใน SG",IF(ABS(J2724-L2724)&lt;0.005,"ตรงกัน","ไม่ตรง"))</f>
        <v/>
      </c>
      <c r="N2724" s="14">
        <f>IF(L2724="","",ROUND(L2724*'สรุป'!$C$6,-1))</f>
        <v/>
      </c>
      <c r="O2724" s="15" t="n"/>
      <c r="P2724" s="15" t="n"/>
      <c r="Q2724" s="10" t="n"/>
      <c r="R2724" s="10" t="n"/>
      <c r="S2724" s="16" t="inlineStr">
        <is>
          <t>https://mstgolf.co.th/products/gf2000201049</t>
        </is>
      </c>
      <c r="T2724" s="1">
        <f>IF(B2724="ไม้กอล์ฟ",J2724,"")</f>
        <v/>
      </c>
    </row>
    <row r="2725">
      <c r="A2725" s="1" t="n">
        <v>3</v>
      </c>
      <c r="B2725" s="1" t="inlineStr">
        <is>
          <t>หมวก</t>
        </is>
      </c>
      <c r="C2725" s="1" t="inlineStr">
        <is>
          <t>gf2000201050</t>
        </is>
      </c>
      <c r="D2725" s="1" t="inlineStr">
        <is>
          <t>WAAC Slogan Women's Visor (White)</t>
        </is>
      </c>
      <c r="E2725" s="1" t="inlineStr">
        <is>
          <t>WAAC</t>
        </is>
      </c>
      <c r="F2725" s="1" t="inlineStr">
        <is>
          <t>VISOR</t>
        </is>
      </c>
      <c r="G2725" s="1" t="inlineStr">
        <is>
          <t>GF200020105056</t>
        </is>
      </c>
      <c r="H2725" s="1" t="n">
        <v>2</v>
      </c>
      <c r="I2725" s="1" t="inlineStr">
        <is>
          <t>มี</t>
        </is>
      </c>
      <c r="J2725" s="13" t="n">
        <v>95</v>
      </c>
      <c r="K2725" s="1" t="inlineStr"/>
      <c r="L2725" s="13" t="n">
        <v>95</v>
      </c>
      <c r="M2725" s="1">
        <f>IF(L2725="","ไม่พบใน SG",IF(ABS(J2725-L2725)&lt;0.005,"ตรงกัน","ไม่ตรง"))</f>
        <v/>
      </c>
      <c r="N2725" s="14">
        <f>IF(L2725="","",ROUND(L2725*'สรุป'!$C$6,-1))</f>
        <v/>
      </c>
      <c r="O2725" s="15" t="n"/>
      <c r="P2725" s="15" t="n"/>
      <c r="Q2725" s="10" t="n"/>
      <c r="R2725" s="10" t="n"/>
      <c r="S2725" s="16" t="inlineStr">
        <is>
          <t>https://mstgolf.co.th/products/gf2000201050</t>
        </is>
      </c>
      <c r="T2725" s="1">
        <f>IF(B2725="ไม้กอล์ฟ",J2725,"")</f>
        <v/>
      </c>
    </row>
    <row r="2726">
      <c r="A2726" s="1" t="n">
        <v>3</v>
      </c>
      <c r="B2726" s="1" t="inlineStr">
        <is>
          <t>เสื้อผ้า</t>
        </is>
      </c>
      <c r="C2726" s="1" t="inlineStr">
        <is>
          <t>gf2020201998</t>
        </is>
      </c>
      <c r="D2726" s="1" t="inlineStr">
        <is>
          <t>GFORE Maverick Hybrid Men's Shorts (Onyx)</t>
        </is>
      </c>
      <c r="E2726" s="1" t="inlineStr">
        <is>
          <t>GFORE</t>
        </is>
      </c>
      <c r="F2726" s="1" t="inlineStr">
        <is>
          <t>SHORT PANTS</t>
        </is>
      </c>
      <c r="G2726" s="1" t="inlineStr">
        <is>
          <t>GF202020199830</t>
        </is>
      </c>
      <c r="H2726" s="1" t="n">
        <v>7</v>
      </c>
      <c r="I2726" s="1" t="inlineStr">
        <is>
          <t>มี</t>
        </is>
      </c>
      <c r="J2726" s="13" t="n">
        <v>93</v>
      </c>
      <c r="K2726" s="1" t="inlineStr"/>
      <c r="L2726" s="13" t="n">
        <v>93</v>
      </c>
      <c r="M2726" s="1">
        <f>IF(L2726="","ไม่พบใน SG",IF(ABS(J2726-L2726)&lt;0.005,"ตรงกัน","ไม่ตรง"))</f>
        <v/>
      </c>
      <c r="N2726" s="14">
        <f>IF(L2726="","",ROUND(L2726*'สรุป'!$C$6,-1))</f>
        <v/>
      </c>
      <c r="O2726" s="15" t="n"/>
      <c r="P2726" s="15" t="n"/>
      <c r="Q2726" s="10" t="n"/>
      <c r="R2726" s="10" t="n"/>
      <c r="S2726" s="16" t="inlineStr">
        <is>
          <t>https://mstgolf.co.th/products/gf2020201998</t>
        </is>
      </c>
      <c r="T2726" s="1">
        <f>IF(B2726="ไม้กอล์ฟ",J2726,"")</f>
        <v/>
      </c>
    </row>
    <row r="2727">
      <c r="A2727" s="1" t="n">
        <v>3</v>
      </c>
      <c r="B2727" s="1" t="inlineStr">
        <is>
          <t>เสื้อผ้า</t>
        </is>
      </c>
      <c r="C2727" s="1" t="inlineStr">
        <is>
          <t>gf2020202001</t>
        </is>
      </c>
      <c r="D2727" s="1" t="inlineStr">
        <is>
          <t>GFORE Maverick Hybrid Men's Shorts (Snow)</t>
        </is>
      </c>
      <c r="E2727" s="1" t="inlineStr">
        <is>
          <t>GFORE</t>
        </is>
      </c>
      <c r="F2727" s="1" t="inlineStr">
        <is>
          <t>SHORT PANTS</t>
        </is>
      </c>
      <c r="G2727" s="1" t="inlineStr">
        <is>
          <t>GF202020200130</t>
        </is>
      </c>
      <c r="H2727" s="1" t="n">
        <v>7</v>
      </c>
      <c r="I2727" s="1" t="inlineStr">
        <is>
          <t>มี</t>
        </is>
      </c>
      <c r="J2727" s="13" t="n">
        <v>93</v>
      </c>
      <c r="K2727" s="1" t="inlineStr"/>
      <c r="L2727" s="13" t="n">
        <v>93</v>
      </c>
      <c r="M2727" s="1">
        <f>IF(L2727="","ไม่พบใน SG",IF(ABS(J2727-L2727)&lt;0.005,"ตรงกัน","ไม่ตรง"))</f>
        <v/>
      </c>
      <c r="N2727" s="14">
        <f>IF(L2727="","",ROUND(L2727*'สรุป'!$C$6,-1))</f>
        <v/>
      </c>
      <c r="O2727" s="15" t="n"/>
      <c r="P2727" s="15" t="n"/>
      <c r="Q2727" s="10" t="n"/>
      <c r="R2727" s="10" t="n"/>
      <c r="S2727" s="16" t="inlineStr">
        <is>
          <t>https://mstgolf.co.th/products/gf2020202001</t>
        </is>
      </c>
      <c r="T2727" s="1">
        <f>IF(B2727="ไม้กอล์ฟ",J2727,"")</f>
        <v/>
      </c>
    </row>
    <row r="2728">
      <c r="A2728" s="1" t="n">
        <v>3</v>
      </c>
      <c r="B2728" s="1" t="inlineStr">
        <is>
          <t>เสื้อผ้า</t>
        </is>
      </c>
      <c r="C2728" s="1" t="inlineStr">
        <is>
          <t>gf2040120593</t>
        </is>
      </c>
      <c r="D2728" s="1" t="inlineStr">
        <is>
          <t>GFORE Melange Ice Nylon Men's Polo (Irism)</t>
        </is>
      </c>
      <c r="E2728" s="1" t="inlineStr">
        <is>
          <t>GFORE</t>
        </is>
      </c>
      <c r="F2728" s="1" t="inlineStr">
        <is>
          <t>SHORT SLEEVES</t>
        </is>
      </c>
      <c r="G2728" s="1" t="inlineStr">
        <is>
          <t>GF2040120593S</t>
        </is>
      </c>
      <c r="H2728" s="1" t="n">
        <v>5</v>
      </c>
      <c r="I2728" s="1" t="inlineStr">
        <is>
          <t>มี</t>
        </is>
      </c>
      <c r="J2728" s="13" t="n">
        <v>93</v>
      </c>
      <c r="K2728" s="1" t="inlineStr"/>
      <c r="L2728" s="13" t="n">
        <v>93</v>
      </c>
      <c r="M2728" s="1">
        <f>IF(L2728="","ไม่พบใน SG",IF(ABS(J2728-L2728)&lt;0.005,"ตรงกัน","ไม่ตรง"))</f>
        <v/>
      </c>
      <c r="N2728" s="14">
        <f>IF(L2728="","",ROUND(L2728*'สรุป'!$C$6,-1))</f>
        <v/>
      </c>
      <c r="O2728" s="15" t="n"/>
      <c r="P2728" s="15" t="n"/>
      <c r="Q2728" s="10" t="n"/>
      <c r="R2728" s="10" t="n"/>
      <c r="S2728" s="16" t="inlineStr">
        <is>
          <t>https://mstgolf.co.th/products/gf2040120593</t>
        </is>
      </c>
      <c r="T2728" s="1">
        <f>IF(B2728="ไม้กอล์ฟ",J2728,"")</f>
        <v/>
      </c>
    </row>
    <row r="2729">
      <c r="A2729" s="1" t="n">
        <v>3</v>
      </c>
      <c r="B2729" s="1" t="inlineStr">
        <is>
          <t>เสื้อผ้า</t>
        </is>
      </c>
      <c r="C2729" s="1" t="inlineStr">
        <is>
          <t>gf2020102616</t>
        </is>
      </c>
      <c r="D2729" s="1" t="inlineStr">
        <is>
          <t>ADIDAS 4-Way Men's Ankle Pants (White)</t>
        </is>
      </c>
      <c r="E2729" s="1" t="inlineStr">
        <is>
          <t>ADIDAS</t>
        </is>
      </c>
      <c r="F2729" s="1" t="inlineStr">
        <is>
          <t>LONG PANTS</t>
        </is>
      </c>
      <c r="G2729" s="1" t="inlineStr">
        <is>
          <t>GF202010261673</t>
        </is>
      </c>
      <c r="H2729" s="1" t="n">
        <v>8</v>
      </c>
      <c r="I2729" s="1" t="inlineStr">
        <is>
          <t>มี</t>
        </is>
      </c>
      <c r="J2729" s="13" t="n">
        <v>89</v>
      </c>
      <c r="K2729" s="1" t="inlineStr"/>
      <c r="L2729" s="13" t="n">
        <v>65</v>
      </c>
      <c r="M2729" s="1">
        <f>IF(L2729="","ไม่พบใน SG",IF(ABS(J2729-L2729)&lt;0.005,"ตรงกัน","ไม่ตรง"))</f>
        <v/>
      </c>
      <c r="N2729" s="14">
        <f>IF(L2729="","",ROUND(L2729*'สรุป'!$C$6,-1))</f>
        <v/>
      </c>
      <c r="O2729" s="15" t="n"/>
      <c r="P2729" s="15" t="n"/>
      <c r="Q2729" s="10" t="n"/>
      <c r="R2729" s="10" t="n"/>
      <c r="S2729" s="16" t="inlineStr">
        <is>
          <t>https://mstgolf.co.th/products/gf2020102616</t>
        </is>
      </c>
      <c r="T2729" s="1">
        <f>IF(B2729="ไม้กอล์ฟ",J2729,"")</f>
        <v/>
      </c>
    </row>
    <row r="2730">
      <c r="A2730" s="1" t="n">
        <v>3</v>
      </c>
      <c r="B2730" s="1" t="inlineStr">
        <is>
          <t>เสื้อผ้า</t>
        </is>
      </c>
      <c r="C2730" s="1" t="inlineStr">
        <is>
          <t>gf2040120471</t>
        </is>
      </c>
      <c r="D2730" s="1" t="inlineStr">
        <is>
          <t>ADIDAS Core Allover Print Men's Polo (Aqua)</t>
        </is>
      </c>
      <c r="E2730" s="1" t="inlineStr">
        <is>
          <t>ADIDAS</t>
        </is>
      </c>
      <c r="F2730" s="1" t="inlineStr">
        <is>
          <t>SHORT SLEEVES</t>
        </is>
      </c>
      <c r="G2730" s="1" t="inlineStr">
        <is>
          <t>GF20401204712XS</t>
        </is>
      </c>
      <c r="H2730" s="1" t="n">
        <v>7</v>
      </c>
      <c r="I2730" s="1" t="inlineStr">
        <is>
          <t>มี</t>
        </is>
      </c>
      <c r="J2730" s="13" t="n">
        <v>89</v>
      </c>
      <c r="K2730" s="1" t="inlineStr"/>
      <c r="L2730" s="13" t="n">
        <v>59</v>
      </c>
      <c r="M2730" s="1">
        <f>IF(L2730="","ไม่พบใน SG",IF(ABS(J2730-L2730)&lt;0.005,"ตรงกัน","ไม่ตรง"))</f>
        <v/>
      </c>
      <c r="N2730" s="14">
        <f>IF(L2730="","",ROUND(L2730*'สรุป'!$C$6,-1))</f>
        <v/>
      </c>
      <c r="O2730" s="15" t="n"/>
      <c r="P2730" s="15" t="n"/>
      <c r="Q2730" s="10" t="n"/>
      <c r="R2730" s="10" t="n"/>
      <c r="S2730" s="16" t="inlineStr">
        <is>
          <t>https://mstgolf.co.th/products/gf2040120471</t>
        </is>
      </c>
      <c r="T2730" s="1">
        <f>IF(B2730="ไม้กอล์ฟ",J2730,"")</f>
        <v/>
      </c>
    </row>
    <row r="2731">
      <c r="A2731" s="1" t="n">
        <v>3</v>
      </c>
      <c r="B2731" s="1" t="inlineStr">
        <is>
          <t>เสื้อผ้า</t>
        </is>
      </c>
      <c r="C2731" s="1" t="inlineStr">
        <is>
          <t>gf2040120470</t>
        </is>
      </c>
      <c r="D2731" s="1" t="inlineStr">
        <is>
          <t>ADIDAS Core Allover Print Men's Polo (Black)</t>
        </is>
      </c>
      <c r="E2731" s="1" t="inlineStr">
        <is>
          <t>ADIDAS</t>
        </is>
      </c>
      <c r="F2731" s="1" t="inlineStr">
        <is>
          <t>SHORT SLEEVES</t>
        </is>
      </c>
      <c r="G2731" s="1" t="inlineStr">
        <is>
          <t>GF20401204702XS</t>
        </is>
      </c>
      <c r="H2731" s="1" t="n">
        <v>7</v>
      </c>
      <c r="I2731" s="1" t="inlineStr">
        <is>
          <t>มี</t>
        </is>
      </c>
      <c r="J2731" s="13" t="n">
        <v>89</v>
      </c>
      <c r="K2731" s="1" t="inlineStr"/>
      <c r="L2731" s="13" t="n">
        <v>59</v>
      </c>
      <c r="M2731" s="1">
        <f>IF(L2731="","ไม่พบใน SG",IF(ABS(J2731-L2731)&lt;0.005,"ตรงกัน","ไม่ตรง"))</f>
        <v/>
      </c>
      <c r="N2731" s="14">
        <f>IF(L2731="","",ROUND(L2731*'สรุป'!$C$6,-1))</f>
        <v/>
      </c>
      <c r="O2731" s="15" t="n"/>
      <c r="P2731" s="15" t="n"/>
      <c r="Q2731" s="10" t="n"/>
      <c r="R2731" s="10" t="n"/>
      <c r="S2731" s="16" t="inlineStr">
        <is>
          <t>https://mstgolf.co.th/products/gf2040120470</t>
        </is>
      </c>
      <c r="T2731" s="1">
        <f>IF(B2731="ไม้กอล์ฟ",J2731,"")</f>
        <v/>
      </c>
    </row>
    <row r="2732">
      <c r="A2732" s="1" t="n">
        <v>3</v>
      </c>
      <c r="B2732" s="1" t="inlineStr">
        <is>
          <t>เสื้อผ้า</t>
        </is>
      </c>
      <c r="C2732" s="1" t="inlineStr">
        <is>
          <t>gf2020202818</t>
        </is>
      </c>
      <c r="D2732" s="1" t="inlineStr">
        <is>
          <t>ADIDAS Go-To Women's Pleated Shorts (Aurora)</t>
        </is>
      </c>
      <c r="E2732" s="1" t="inlineStr">
        <is>
          <t>ADIDAS</t>
        </is>
      </c>
      <c r="F2732" s="1" t="inlineStr">
        <is>
          <t>SHORT PANTS</t>
        </is>
      </c>
      <c r="G2732" s="1" t="inlineStr">
        <is>
          <t>GF20202028182XS</t>
        </is>
      </c>
      <c r="H2732" s="1" t="n">
        <v>7</v>
      </c>
      <c r="I2732" s="1" t="inlineStr">
        <is>
          <t>มี</t>
        </is>
      </c>
      <c r="J2732" s="13" t="n">
        <v>89</v>
      </c>
      <c r="K2732" s="1" t="inlineStr"/>
      <c r="L2732" s="13" t="n">
        <v>59</v>
      </c>
      <c r="M2732" s="1">
        <f>IF(L2732="","ไม่พบใน SG",IF(ABS(J2732-L2732)&lt;0.005,"ตรงกัน","ไม่ตรง"))</f>
        <v/>
      </c>
      <c r="N2732" s="14">
        <f>IF(L2732="","",ROUND(L2732*'สรุป'!$C$6,-1))</f>
        <v/>
      </c>
      <c r="O2732" s="15" t="n"/>
      <c r="P2732" s="15" t="n"/>
      <c r="Q2732" s="10" t="n"/>
      <c r="R2732" s="10" t="n"/>
      <c r="S2732" s="16" t="inlineStr">
        <is>
          <t>https://mstgolf.co.th/products/gf2020202818</t>
        </is>
      </c>
      <c r="T2732" s="1">
        <f>IF(B2732="ไม้กอล์ฟ",J2732,"")</f>
        <v/>
      </c>
    </row>
    <row r="2733">
      <c r="A2733" s="1" t="n">
        <v>3</v>
      </c>
      <c r="B2733" s="1" t="inlineStr">
        <is>
          <t>เสื้อผ้า</t>
        </is>
      </c>
      <c r="C2733" s="1" t="inlineStr">
        <is>
          <t>gf2020202673</t>
        </is>
      </c>
      <c r="D2733" s="1" t="inlineStr">
        <is>
          <t>ADIDAS Go-To Women's Pleated Shorts (Black)</t>
        </is>
      </c>
      <c r="E2733" s="1" t="inlineStr">
        <is>
          <t>ADIDAS</t>
        </is>
      </c>
      <c r="F2733" s="1" t="inlineStr">
        <is>
          <t>SHORT PANTS</t>
        </is>
      </c>
      <c r="G2733" s="1" t="inlineStr">
        <is>
          <t>GF20202026732XS</t>
        </is>
      </c>
      <c r="H2733" s="1" t="n">
        <v>7</v>
      </c>
      <c r="I2733" s="1" t="inlineStr">
        <is>
          <t>มี</t>
        </is>
      </c>
      <c r="J2733" s="13" t="n">
        <v>89</v>
      </c>
      <c r="K2733" s="1" t="inlineStr"/>
      <c r="L2733" s="13" t="n">
        <v>45</v>
      </c>
      <c r="M2733" s="1">
        <f>IF(L2733="","ไม่พบใน SG",IF(ABS(J2733-L2733)&lt;0.005,"ตรงกัน","ไม่ตรง"))</f>
        <v/>
      </c>
      <c r="N2733" s="14">
        <f>IF(L2733="","",ROUND(L2733*'สรุป'!$C$6,-1))</f>
        <v/>
      </c>
      <c r="O2733" s="15" t="n"/>
      <c r="P2733" s="15" t="n"/>
      <c r="Q2733" s="10" t="n"/>
      <c r="R2733" s="10" t="n"/>
      <c r="S2733" s="16" t="inlineStr">
        <is>
          <t>https://mstgolf.co.th/products/gf2020202673</t>
        </is>
      </c>
      <c r="T2733" s="1">
        <f>IF(B2733="ไม้กอล์ฟ",J2733,"")</f>
        <v/>
      </c>
    </row>
    <row r="2734">
      <c r="A2734" s="1" t="n">
        <v>3</v>
      </c>
      <c r="B2734" s="1" t="inlineStr">
        <is>
          <t>เสื้อผ้า</t>
        </is>
      </c>
      <c r="C2734" s="1" t="inlineStr">
        <is>
          <t>gf2020202817</t>
        </is>
      </c>
      <c r="D2734" s="1" t="inlineStr">
        <is>
          <t>ADIDAS Go-To Women's Pleated Shorts (Navy)</t>
        </is>
      </c>
      <c r="E2734" s="1" t="inlineStr">
        <is>
          <t>ADIDAS</t>
        </is>
      </c>
      <c r="F2734" s="1" t="inlineStr">
        <is>
          <t>SHORT PANTS</t>
        </is>
      </c>
      <c r="G2734" s="1" t="inlineStr">
        <is>
          <t>GF20202028172XS</t>
        </is>
      </c>
      <c r="H2734" s="1" t="n">
        <v>7</v>
      </c>
      <c r="I2734" s="1" t="inlineStr">
        <is>
          <t>มี</t>
        </is>
      </c>
      <c r="J2734" s="13" t="n">
        <v>89</v>
      </c>
      <c r="K2734" s="1" t="inlineStr"/>
      <c r="L2734" s="13" t="n">
        <v>43</v>
      </c>
      <c r="M2734" s="1">
        <f>IF(L2734="","ไม่พบใน SG",IF(ABS(J2734-L2734)&lt;0.005,"ตรงกัน","ไม่ตรง"))</f>
        <v/>
      </c>
      <c r="N2734" s="14">
        <f>IF(L2734="","",ROUND(L2734*'สรุป'!$C$6,-1))</f>
        <v/>
      </c>
      <c r="O2734" s="15" t="n"/>
      <c r="P2734" s="15" t="n"/>
      <c r="Q2734" s="10" t="n"/>
      <c r="R2734" s="10" t="n"/>
      <c r="S2734" s="16" t="inlineStr">
        <is>
          <t>https://mstgolf.co.th/products/gf2020202817</t>
        </is>
      </c>
      <c r="T2734" s="1">
        <f>IF(B2734="ไม้กอล์ฟ",J2734,"")</f>
        <v/>
      </c>
    </row>
    <row r="2735">
      <c r="A2735" s="1" t="n">
        <v>3</v>
      </c>
      <c r="B2735" s="1" t="inlineStr">
        <is>
          <t>เสื้อผ้า</t>
        </is>
      </c>
      <c r="C2735" s="1" t="inlineStr">
        <is>
          <t>gf2020202656</t>
        </is>
      </c>
      <c r="D2735" s="1" t="inlineStr">
        <is>
          <t>ADIDAS Go-To Women's Pleated Shorts (Taupe)</t>
        </is>
      </c>
      <c r="E2735" s="1" t="inlineStr">
        <is>
          <t>ADIDAS</t>
        </is>
      </c>
      <c r="F2735" s="1" t="inlineStr">
        <is>
          <t>SHORT PANTS</t>
        </is>
      </c>
      <c r="G2735" s="1" t="inlineStr">
        <is>
          <t>GF20202026562XS</t>
        </is>
      </c>
      <c r="H2735" s="1" t="n">
        <v>7</v>
      </c>
      <c r="I2735" s="1" t="inlineStr">
        <is>
          <t>มี</t>
        </is>
      </c>
      <c r="J2735" s="13" t="n">
        <v>89</v>
      </c>
      <c r="K2735" s="1" t="inlineStr"/>
      <c r="L2735" s="13" t="n">
        <v>45</v>
      </c>
      <c r="M2735" s="1">
        <f>IF(L2735="","ไม่พบใน SG",IF(ABS(J2735-L2735)&lt;0.005,"ตรงกัน","ไม่ตรง"))</f>
        <v/>
      </c>
      <c r="N2735" s="14">
        <f>IF(L2735="","",ROUND(L2735*'สรุป'!$C$6,-1))</f>
        <v/>
      </c>
      <c r="O2735" s="15" t="n"/>
      <c r="P2735" s="15" t="n"/>
      <c r="Q2735" s="10" t="n"/>
      <c r="R2735" s="10" t="n"/>
      <c r="S2735" s="16" t="inlineStr">
        <is>
          <t>https://mstgolf.co.th/products/gf2020202656</t>
        </is>
      </c>
      <c r="T2735" s="1">
        <f>IF(B2735="ไม้กอล์ฟ",J2735,"")</f>
        <v/>
      </c>
    </row>
    <row r="2736">
      <c r="A2736" s="1" t="n">
        <v>3</v>
      </c>
      <c r="B2736" s="1" t="inlineStr">
        <is>
          <t>เสื้อผ้า</t>
        </is>
      </c>
      <c r="C2736" s="1" t="inlineStr">
        <is>
          <t>gf2020202657</t>
        </is>
      </c>
      <c r="D2736" s="1" t="inlineStr">
        <is>
          <t>ADIDAS Go-To Women's Pleated Shorts (White)</t>
        </is>
      </c>
      <c r="E2736" s="1" t="inlineStr">
        <is>
          <t>ADIDAS</t>
        </is>
      </c>
      <c r="F2736" s="1" t="inlineStr">
        <is>
          <t>SHORT PANTS</t>
        </is>
      </c>
      <c r="G2736" s="1" t="inlineStr">
        <is>
          <t>GF20202026572XS</t>
        </is>
      </c>
      <c r="H2736" s="1" t="n">
        <v>7</v>
      </c>
      <c r="I2736" s="1" t="inlineStr">
        <is>
          <t>มี</t>
        </is>
      </c>
      <c r="J2736" s="13" t="n">
        <v>89</v>
      </c>
      <c r="K2736" s="1" t="inlineStr"/>
      <c r="L2736" s="13" t="n">
        <v>45</v>
      </c>
      <c r="M2736" s="1">
        <f>IF(L2736="","ไม่พบใน SG",IF(ABS(J2736-L2736)&lt;0.005,"ตรงกัน","ไม่ตรง"))</f>
        <v/>
      </c>
      <c r="N2736" s="14">
        <f>IF(L2736="","",ROUND(L2736*'สรุป'!$C$6,-1))</f>
        <v/>
      </c>
      <c r="O2736" s="15" t="n"/>
      <c r="P2736" s="15" t="n"/>
      <c r="Q2736" s="10" t="n"/>
      <c r="R2736" s="10" t="n"/>
      <c r="S2736" s="16" t="inlineStr">
        <is>
          <t>https://mstgolf.co.th/products/gf2020202657</t>
        </is>
      </c>
      <c r="T2736" s="1">
        <f>IF(B2736="ไม้กอล์ฟ",J2736,"")</f>
        <v/>
      </c>
    </row>
    <row r="2737">
      <c r="A2737" s="1" t="n">
        <v>3</v>
      </c>
      <c r="B2737" s="1" t="inlineStr">
        <is>
          <t>เสื้อผ้า</t>
        </is>
      </c>
      <c r="C2737" s="1" t="inlineStr">
        <is>
          <t>gf2040401446</t>
        </is>
      </c>
      <c r="D2737" s="1" t="inlineStr">
        <is>
          <t>ADIDAS Printed Quarter-Zip Women's Mock Neck Top (Pink)</t>
        </is>
      </c>
      <c r="E2737" s="1" t="inlineStr">
        <is>
          <t>ADIDAS</t>
        </is>
      </c>
      <c r="F2737" s="1" t="inlineStr">
        <is>
          <t>LONG SLEEVES</t>
        </is>
      </c>
      <c r="G2737" s="1" t="inlineStr">
        <is>
          <t>GF20404014462XS</t>
        </is>
      </c>
      <c r="H2737" s="1" t="n">
        <v>7</v>
      </c>
      <c r="I2737" s="1" t="inlineStr">
        <is>
          <t>มี</t>
        </is>
      </c>
      <c r="J2737" s="13" t="n">
        <v>89</v>
      </c>
      <c r="K2737" s="1" t="inlineStr"/>
      <c r="L2737" s="13" t="n">
        <v>59</v>
      </c>
      <c r="M2737" s="1">
        <f>IF(L2737="","ไม่พบใน SG",IF(ABS(J2737-L2737)&lt;0.005,"ตรงกัน","ไม่ตรง"))</f>
        <v/>
      </c>
      <c r="N2737" s="14">
        <f>IF(L2737="","",ROUND(L2737*'สรุป'!$C$6,-1))</f>
        <v/>
      </c>
      <c r="O2737" s="15" t="n"/>
      <c r="P2737" s="15" t="n"/>
      <c r="Q2737" s="10" t="n"/>
      <c r="R2737" s="10" t="n"/>
      <c r="S2737" s="16" t="inlineStr">
        <is>
          <t>https://mstgolf.co.th/products/gf2040401446</t>
        </is>
      </c>
      <c r="T2737" s="1">
        <f>IF(B2737="ไม้กอล์ฟ",J2737,"")</f>
        <v/>
      </c>
    </row>
    <row r="2738">
      <c r="A2738" s="1" t="n">
        <v>3</v>
      </c>
      <c r="B2738" s="1" t="inlineStr">
        <is>
          <t>เสื้อผ้า</t>
        </is>
      </c>
      <c r="C2738" s="1" t="inlineStr">
        <is>
          <t>gf2040120557</t>
        </is>
      </c>
      <c r="D2738" s="1" t="inlineStr">
        <is>
          <t>ADIDAS Women's Polo (Aqua)</t>
        </is>
      </c>
      <c r="E2738" s="1" t="inlineStr">
        <is>
          <t>ADIDAS</t>
        </is>
      </c>
      <c r="F2738" s="1" t="inlineStr">
        <is>
          <t>SHORT SLEEVES</t>
        </is>
      </c>
      <c r="G2738" s="1" t="inlineStr">
        <is>
          <t>GF20401205572XS</t>
        </is>
      </c>
      <c r="H2738" s="1" t="n">
        <v>7</v>
      </c>
      <c r="I2738" s="1" t="inlineStr">
        <is>
          <t>มี</t>
        </is>
      </c>
      <c r="J2738" s="13" t="n">
        <v>89</v>
      </c>
      <c r="K2738" s="1" t="inlineStr"/>
      <c r="L2738" s="13" t="n">
        <v>43</v>
      </c>
      <c r="M2738" s="1">
        <f>IF(L2738="","ไม่พบใน SG",IF(ABS(J2738-L2738)&lt;0.005,"ตรงกัน","ไม่ตรง"))</f>
        <v/>
      </c>
      <c r="N2738" s="14">
        <f>IF(L2738="","",ROUND(L2738*'สรุป'!$C$6,-1))</f>
        <v/>
      </c>
      <c r="O2738" s="15" t="n"/>
      <c r="P2738" s="15" t="n"/>
      <c r="Q2738" s="10" t="n"/>
      <c r="R2738" s="10" t="n"/>
      <c r="S2738" s="16" t="inlineStr">
        <is>
          <t>https://mstgolf.co.th/products/gf2040120557</t>
        </is>
      </c>
      <c r="T2738" s="1">
        <f>IF(B2738="ไม้กอล์ฟ",J2738,"")</f>
        <v/>
      </c>
    </row>
    <row r="2739">
      <c r="A2739" s="1" t="n">
        <v>3</v>
      </c>
      <c r="B2739" s="1" t="inlineStr">
        <is>
          <t>เสื้อผ้า</t>
        </is>
      </c>
      <c r="C2739" s="1" t="inlineStr">
        <is>
          <t>gf2040120556</t>
        </is>
      </c>
      <c r="D2739" s="1" t="inlineStr">
        <is>
          <t>ADIDAS Women's Polo (Pink)</t>
        </is>
      </c>
      <c r="E2739" s="1" t="inlineStr">
        <is>
          <t>ADIDAS</t>
        </is>
      </c>
      <c r="F2739" s="1" t="inlineStr">
        <is>
          <t>SHORT SLEEVES</t>
        </is>
      </c>
      <c r="G2739" s="1" t="inlineStr">
        <is>
          <t>GF20401205562XS</t>
        </is>
      </c>
      <c r="H2739" s="1" t="n">
        <v>7</v>
      </c>
      <c r="I2739" s="1" t="inlineStr">
        <is>
          <t>มี</t>
        </is>
      </c>
      <c r="J2739" s="13" t="n">
        <v>89</v>
      </c>
      <c r="K2739" s="1" t="inlineStr"/>
      <c r="L2739" s="13" t="n">
        <v>43</v>
      </c>
      <c r="M2739" s="1">
        <f>IF(L2739="","ไม่พบใน SG",IF(ABS(J2739-L2739)&lt;0.005,"ตรงกัน","ไม่ตรง"))</f>
        <v/>
      </c>
      <c r="N2739" s="14">
        <f>IF(L2739="","",ROUND(L2739*'สรุป'!$C$6,-1))</f>
        <v/>
      </c>
      <c r="O2739" s="15" t="n"/>
      <c r="P2739" s="15" t="n"/>
      <c r="Q2739" s="10" t="n"/>
      <c r="R2739" s="10" t="n"/>
      <c r="S2739" s="16" t="inlineStr">
        <is>
          <t>https://mstgolf.co.th/products/gf2040120556</t>
        </is>
      </c>
      <c r="T2739" s="1">
        <f>IF(B2739="ไม้กอล์ฟ",J2739,"")</f>
        <v/>
      </c>
    </row>
    <row r="2740">
      <c r="A2740" s="1" t="n">
        <v>3</v>
      </c>
      <c r="B2740" s="1" t="inlineStr">
        <is>
          <t>เสื้อผ้า</t>
        </is>
      </c>
      <c r="C2740" s="1" t="inlineStr">
        <is>
          <t>gf2060101044</t>
        </is>
      </c>
      <c r="D2740" s="1" t="inlineStr">
        <is>
          <t>CALVIN KLEIN Rangewood Men's Half-Zip Hybrid (Blue)</t>
        </is>
      </c>
      <c r="E2740" s="1" t="inlineStr">
        <is>
          <t>CALVIN KLEIN</t>
        </is>
      </c>
      <c r="F2740" s="1" t="inlineStr">
        <is>
          <t>TOP</t>
        </is>
      </c>
      <c r="G2740" s="1" t="inlineStr">
        <is>
          <t>GF2060101044S</t>
        </is>
      </c>
      <c r="H2740" s="1" t="n">
        <v>5</v>
      </c>
      <c r="I2740" s="1" t="inlineStr">
        <is>
          <t>มี</t>
        </is>
      </c>
      <c r="J2740" s="13" t="n">
        <v>89</v>
      </c>
      <c r="K2740" s="1" t="inlineStr"/>
      <c r="L2740" s="13" t="n">
        <v>65</v>
      </c>
      <c r="M2740" s="1">
        <f>IF(L2740="","ไม่พบใน SG",IF(ABS(J2740-L2740)&lt;0.005,"ตรงกัน","ไม่ตรง"))</f>
        <v/>
      </c>
      <c r="N2740" s="14">
        <f>IF(L2740="","",ROUND(L2740*'สรุป'!$C$6,-1))</f>
        <v/>
      </c>
      <c r="O2740" s="15" t="n"/>
      <c r="P2740" s="15" t="n"/>
      <c r="Q2740" s="10" t="n"/>
      <c r="R2740" s="10" t="n"/>
      <c r="S2740" s="16" t="inlineStr">
        <is>
          <t>https://mstgolf.co.th/products/gf2060101044</t>
        </is>
      </c>
      <c r="T2740" s="1">
        <f>IF(B2740="ไม้กอล์ฟ",J2740,"")</f>
        <v/>
      </c>
    </row>
    <row r="2741">
      <c r="A2741" s="1" t="n">
        <v>3</v>
      </c>
      <c r="B2741" s="1" t="inlineStr">
        <is>
          <t>เสื้อผ้า</t>
        </is>
      </c>
      <c r="C2741" s="1" t="inlineStr">
        <is>
          <t>gf2020102248</t>
        </is>
      </c>
      <c r="D2741" s="1" t="inlineStr">
        <is>
          <t>CALVIN KLEIN Regency Pull-On Women's Pants (Navy)</t>
        </is>
      </c>
      <c r="E2741" s="1" t="inlineStr">
        <is>
          <t>CALVIN KLEIN</t>
        </is>
      </c>
      <c r="F2741" s="1" t="inlineStr">
        <is>
          <t>LONG PANTS</t>
        </is>
      </c>
      <c r="G2741" s="1" t="inlineStr">
        <is>
          <t>GF2020102248XS</t>
        </is>
      </c>
      <c r="H2741" s="1" t="n">
        <v>6</v>
      </c>
      <c r="I2741" s="1" t="inlineStr">
        <is>
          <t>มี</t>
        </is>
      </c>
      <c r="J2741" s="13" t="n">
        <v>89</v>
      </c>
      <c r="K2741" s="1" t="inlineStr"/>
      <c r="L2741" s="13" t="n">
        <v>89</v>
      </c>
      <c r="M2741" s="1">
        <f>IF(L2741="","ไม่พบใน SG",IF(ABS(J2741-L2741)&lt;0.005,"ตรงกัน","ไม่ตรง"))</f>
        <v/>
      </c>
      <c r="N2741" s="14">
        <f>IF(L2741="","",ROUND(L2741*'สรุป'!$C$6,-1))</f>
        <v/>
      </c>
      <c r="O2741" s="15" t="n"/>
      <c r="P2741" s="15" t="n"/>
      <c r="Q2741" s="10" t="n"/>
      <c r="R2741" s="10" t="n"/>
      <c r="S2741" s="16" t="inlineStr">
        <is>
          <t>https://mstgolf.co.th/products/gf2020102248</t>
        </is>
      </c>
      <c r="T2741" s="1">
        <f>IF(B2741="ไม้กอล์ฟ",J2741,"")</f>
        <v/>
      </c>
    </row>
    <row r="2742">
      <c r="A2742" s="1" t="n">
        <v>3</v>
      </c>
      <c r="B2742" s="1" t="inlineStr">
        <is>
          <t>เสื้อผ้า</t>
        </is>
      </c>
      <c r="C2742" s="1" t="inlineStr">
        <is>
          <t>gf2020202188</t>
        </is>
      </c>
      <c r="D2742" s="1" t="inlineStr">
        <is>
          <t>FOOTJOY Japan Lightweight Men's Shorts (Black)</t>
        </is>
      </c>
      <c r="E2742" s="1" t="inlineStr">
        <is>
          <t>FOOTJOY</t>
        </is>
      </c>
      <c r="F2742" s="1" t="inlineStr">
        <is>
          <t>SHORT PANTS</t>
        </is>
      </c>
      <c r="G2742" s="1" t="inlineStr">
        <is>
          <t>GF2020202188XS</t>
        </is>
      </c>
      <c r="H2742" s="1" t="n">
        <v>6</v>
      </c>
      <c r="I2742" s="1" t="inlineStr">
        <is>
          <t>มี</t>
        </is>
      </c>
      <c r="J2742" s="13" t="n">
        <v>89</v>
      </c>
      <c r="K2742" s="1" t="inlineStr"/>
      <c r="L2742" s="13" t="n">
        <v>89</v>
      </c>
      <c r="M2742" s="1">
        <f>IF(L2742="","ไม่พบใน SG",IF(ABS(J2742-L2742)&lt;0.005,"ตรงกัน","ไม่ตรง"))</f>
        <v/>
      </c>
      <c r="N2742" s="14">
        <f>IF(L2742="","",ROUND(L2742*'สรุป'!$C$6,-1))</f>
        <v/>
      </c>
      <c r="O2742" s="15" t="n"/>
      <c r="P2742" s="15" t="n"/>
      <c r="Q2742" s="10" t="n"/>
      <c r="R2742" s="10" t="n"/>
      <c r="S2742" s="16" t="inlineStr">
        <is>
          <t>https://mstgolf.co.th/products/gf2020202188</t>
        </is>
      </c>
      <c r="T2742" s="1">
        <f>IF(B2742="ไม้กอล์ฟ",J2742,"")</f>
        <v/>
      </c>
    </row>
    <row r="2743">
      <c r="A2743" s="1" t="n">
        <v>3</v>
      </c>
      <c r="B2743" s="1" t="inlineStr">
        <is>
          <t>เสื้อผ้า</t>
        </is>
      </c>
      <c r="C2743" s="1" t="inlineStr">
        <is>
          <t>gf2040114155</t>
        </is>
      </c>
      <c r="D2743" s="1" t="inlineStr">
        <is>
          <t>GFORE Clubhouse Cotton Men's Polo (Colony Blue)</t>
        </is>
      </c>
      <c r="E2743" s="1" t="inlineStr">
        <is>
          <t>GFORE</t>
        </is>
      </c>
      <c r="F2743" s="1" t="inlineStr">
        <is>
          <t>SHORT SLEEVES</t>
        </is>
      </c>
      <c r="G2743" s="1" t="inlineStr">
        <is>
          <t>GF2040114155XS</t>
        </is>
      </c>
      <c r="H2743" s="1" t="n">
        <v>6</v>
      </c>
      <c r="I2743" s="1" t="inlineStr">
        <is>
          <t>มี</t>
        </is>
      </c>
      <c r="J2743" s="13" t="n">
        <v>89</v>
      </c>
      <c r="K2743" s="1" t="inlineStr"/>
      <c r="L2743" s="13" t="n">
        <v>89</v>
      </c>
      <c r="M2743" s="1">
        <f>IF(L2743="","ไม่พบใน SG",IF(ABS(J2743-L2743)&lt;0.005,"ตรงกัน","ไม่ตรง"))</f>
        <v/>
      </c>
      <c r="N2743" s="14">
        <f>IF(L2743="","",ROUND(L2743*'สรุป'!$C$6,-1))</f>
        <v/>
      </c>
      <c r="O2743" s="15" t="n"/>
      <c r="P2743" s="15" t="n"/>
      <c r="Q2743" s="10" t="n"/>
      <c r="R2743" s="10" t="n"/>
      <c r="S2743" s="16" t="inlineStr">
        <is>
          <t>https://mstgolf.co.th/products/gf2040114155</t>
        </is>
      </c>
      <c r="T2743" s="1">
        <f>IF(B2743="ไม้กอล์ฟ",J2743,"")</f>
        <v/>
      </c>
    </row>
    <row r="2744">
      <c r="A2744" s="1" t="n">
        <v>3</v>
      </c>
      <c r="B2744" s="1" t="inlineStr">
        <is>
          <t>เสื้อผ้า</t>
        </is>
      </c>
      <c r="C2744" s="1" t="inlineStr">
        <is>
          <t>gf2040114156</t>
        </is>
      </c>
      <c r="D2744" s="1" t="inlineStr">
        <is>
          <t>GFORE Clubhouse Cotton Men's Polo (Onyx)</t>
        </is>
      </c>
      <c r="E2744" s="1" t="inlineStr">
        <is>
          <t>GFORE</t>
        </is>
      </c>
      <c r="F2744" s="1" t="inlineStr">
        <is>
          <t>SHORT SLEEVES</t>
        </is>
      </c>
      <c r="G2744" s="1" t="inlineStr">
        <is>
          <t>GF2040114156XS</t>
        </is>
      </c>
      <c r="H2744" s="1" t="n">
        <v>6</v>
      </c>
      <c r="I2744" s="1" t="inlineStr">
        <is>
          <t>มี</t>
        </is>
      </c>
      <c r="J2744" s="13" t="n">
        <v>89</v>
      </c>
      <c r="K2744" s="1" t="inlineStr"/>
      <c r="L2744" s="13" t="n">
        <v>89</v>
      </c>
      <c r="M2744" s="1">
        <f>IF(L2744="","ไม่พบใน SG",IF(ABS(J2744-L2744)&lt;0.005,"ตรงกัน","ไม่ตรง"))</f>
        <v/>
      </c>
      <c r="N2744" s="14">
        <f>IF(L2744="","",ROUND(L2744*'สรุป'!$C$6,-1))</f>
        <v/>
      </c>
      <c r="O2744" s="15" t="n"/>
      <c r="P2744" s="15" t="n"/>
      <c r="Q2744" s="10" t="n"/>
      <c r="R2744" s="10" t="n"/>
      <c r="S2744" s="16" t="inlineStr">
        <is>
          <t>https://mstgolf.co.th/products/gf2040114156</t>
        </is>
      </c>
      <c r="T2744" s="1">
        <f>IF(B2744="ไม้กอล์ฟ",J2744,"")</f>
        <v/>
      </c>
    </row>
    <row r="2745">
      <c r="A2745" s="1" t="n">
        <v>3</v>
      </c>
      <c r="B2745" s="1" t="inlineStr">
        <is>
          <t>เสื้อผ้า</t>
        </is>
      </c>
      <c r="C2745" s="1" t="inlineStr">
        <is>
          <t>gf2040118174</t>
        </is>
      </c>
      <c r="D2745" s="1" t="inlineStr">
        <is>
          <t>GFORE Floral Jersey Men's Polo (White)</t>
        </is>
      </c>
      <c r="E2745" s="1" t="inlineStr">
        <is>
          <t>GFORE</t>
        </is>
      </c>
      <c r="F2745" s="1" t="inlineStr">
        <is>
          <t>SHORT SLEEVES</t>
        </is>
      </c>
      <c r="G2745" s="1" t="inlineStr">
        <is>
          <t>GF2040118174XS</t>
        </is>
      </c>
      <c r="H2745" s="1" t="n">
        <v>6</v>
      </c>
      <c r="I2745" s="1" t="inlineStr">
        <is>
          <t>มี</t>
        </is>
      </c>
      <c r="J2745" s="13" t="n">
        <v>89</v>
      </c>
      <c r="K2745" s="1" t="inlineStr"/>
      <c r="L2745" s="13" t="n">
        <v>89</v>
      </c>
      <c r="M2745" s="1">
        <f>IF(L2745="","ไม่พบใน SG",IF(ABS(J2745-L2745)&lt;0.005,"ตรงกัน","ไม่ตรง"))</f>
        <v/>
      </c>
      <c r="N2745" s="14">
        <f>IF(L2745="","",ROUND(L2745*'สรุป'!$C$6,-1))</f>
        <v/>
      </c>
      <c r="O2745" s="15" t="n"/>
      <c r="P2745" s="15" t="n"/>
      <c r="Q2745" s="10" t="n"/>
      <c r="R2745" s="10" t="n"/>
      <c r="S2745" s="16" t="inlineStr">
        <is>
          <t>https://mstgolf.co.th/products/gf2040118174</t>
        </is>
      </c>
      <c r="T2745" s="1">
        <f>IF(B2745="ไม้กอล์ฟ",J2745,"")</f>
        <v/>
      </c>
    </row>
    <row r="2746">
      <c r="A2746" s="1" t="n">
        <v>3</v>
      </c>
      <c r="B2746" s="1" t="inlineStr">
        <is>
          <t>เสื้อผ้า</t>
        </is>
      </c>
      <c r="C2746" s="1" t="inlineStr">
        <is>
          <t>gf2040113231</t>
        </is>
      </c>
      <c r="D2746" s="1" t="inlineStr">
        <is>
          <t>GFORE Icon Camo Women's Sleeveless Polo (Danube)</t>
        </is>
      </c>
      <c r="E2746" s="1" t="inlineStr">
        <is>
          <t>GFORE</t>
        </is>
      </c>
      <c r="F2746" s="1" t="inlineStr">
        <is>
          <t>SHORT SLEEVES</t>
        </is>
      </c>
      <c r="G2746" s="1" t="inlineStr">
        <is>
          <t>GF2040113231XS</t>
        </is>
      </c>
      <c r="H2746" s="1" t="n">
        <v>6</v>
      </c>
      <c r="I2746" s="1" t="inlineStr">
        <is>
          <t>มี</t>
        </is>
      </c>
      <c r="J2746" s="13" t="n">
        <v>89</v>
      </c>
      <c r="K2746" s="1" t="inlineStr"/>
      <c r="L2746" s="13" t="n">
        <v>89</v>
      </c>
      <c r="M2746" s="1">
        <f>IF(L2746="","ไม่พบใน SG",IF(ABS(J2746-L2746)&lt;0.005,"ตรงกัน","ไม่ตรง"))</f>
        <v/>
      </c>
      <c r="N2746" s="14">
        <f>IF(L2746="","",ROUND(L2746*'สรุป'!$C$6,-1))</f>
        <v/>
      </c>
      <c r="O2746" s="15" t="n"/>
      <c r="P2746" s="15" t="n"/>
      <c r="Q2746" s="10" t="n"/>
      <c r="R2746" s="10" t="n"/>
      <c r="S2746" s="16" t="inlineStr">
        <is>
          <t>https://mstgolf.co.th/products/gf2040113231</t>
        </is>
      </c>
      <c r="T2746" s="1">
        <f>IF(B2746="ไม้กอล์ฟ",J2746,"")</f>
        <v/>
      </c>
    </row>
    <row r="2747">
      <c r="A2747" s="1" t="n">
        <v>3</v>
      </c>
      <c r="B2747" s="1" t="inlineStr">
        <is>
          <t>เสื้อผ้า</t>
        </is>
      </c>
      <c r="C2747" s="1" t="inlineStr">
        <is>
          <t>gf2040113302</t>
        </is>
      </c>
      <c r="D2747" s="1" t="inlineStr">
        <is>
          <t>GFORE Printed Pique Men's Polo (Vista)</t>
        </is>
      </c>
      <c r="E2747" s="1" t="inlineStr">
        <is>
          <t>GFORE</t>
        </is>
      </c>
      <c r="F2747" s="1" t="inlineStr">
        <is>
          <t>SHORT SLEEVES</t>
        </is>
      </c>
      <c r="G2747" s="1" t="inlineStr">
        <is>
          <t>GF2040113302XS</t>
        </is>
      </c>
      <c r="H2747" s="1" t="n">
        <v>6</v>
      </c>
      <c r="I2747" s="1" t="inlineStr">
        <is>
          <t>มี</t>
        </is>
      </c>
      <c r="J2747" s="13" t="n">
        <v>89</v>
      </c>
      <c r="K2747" s="1" t="inlineStr"/>
      <c r="L2747" s="13" t="n">
        <v>89</v>
      </c>
      <c r="M2747" s="1">
        <f>IF(L2747="","ไม่พบใน SG",IF(ABS(J2747-L2747)&lt;0.005,"ตรงกัน","ไม่ตรง"))</f>
        <v/>
      </c>
      <c r="N2747" s="14">
        <f>IF(L2747="","",ROUND(L2747*'สรุป'!$C$6,-1))</f>
        <v/>
      </c>
      <c r="O2747" s="15" t="n"/>
      <c r="P2747" s="15" t="n"/>
      <c r="Q2747" s="10" t="n"/>
      <c r="R2747" s="10" t="n"/>
      <c r="S2747" s="16" t="inlineStr">
        <is>
          <t>https://mstgolf.co.th/products/gf2040113302</t>
        </is>
      </c>
      <c r="T2747" s="1">
        <f>IF(B2747="ไม้กอล์ฟ",J2747,"")</f>
        <v/>
      </c>
    </row>
    <row r="2748">
      <c r="A2748" s="1" t="n">
        <v>3</v>
      </c>
      <c r="B2748" s="1" t="inlineStr">
        <is>
          <t>เสื้อผ้า</t>
        </is>
      </c>
      <c r="C2748" s="1" t="inlineStr">
        <is>
          <t>gf2040118177</t>
        </is>
      </c>
      <c r="D2748" s="1" t="inlineStr">
        <is>
          <t>GFORE Rib Collar Tech Piqu‚ Modern Spread Collar Men's Polo (Aura)</t>
        </is>
      </c>
      <c r="E2748" s="1" t="inlineStr">
        <is>
          <t>GFORE</t>
        </is>
      </c>
      <c r="F2748" s="1" t="inlineStr">
        <is>
          <t>SHORT SLEEVES</t>
        </is>
      </c>
      <c r="G2748" s="1" t="inlineStr">
        <is>
          <t>GF2040118177XS</t>
        </is>
      </c>
      <c r="H2748" s="1" t="n">
        <v>6</v>
      </c>
      <c r="I2748" s="1" t="inlineStr">
        <is>
          <t>มี</t>
        </is>
      </c>
      <c r="J2748" s="13" t="n">
        <v>89</v>
      </c>
      <c r="K2748" s="1" t="inlineStr"/>
      <c r="L2748" s="13" t="n">
        <v>89</v>
      </c>
      <c r="M2748" s="1">
        <f>IF(L2748="","ไม่พบใน SG",IF(ABS(J2748-L2748)&lt;0.005,"ตรงกัน","ไม่ตรง"))</f>
        <v/>
      </c>
      <c r="N2748" s="14">
        <f>IF(L2748="","",ROUND(L2748*'สรุป'!$C$6,-1))</f>
        <v/>
      </c>
      <c r="O2748" s="15" t="n"/>
      <c r="P2748" s="15" t="n"/>
      <c r="Q2748" s="10" t="n"/>
      <c r="R2748" s="10" t="n"/>
      <c r="S2748" s="16" t="inlineStr">
        <is>
          <t>https://mstgolf.co.th/products/gf2040118177</t>
        </is>
      </c>
      <c r="T2748" s="1">
        <f>IF(B2748="ไม้กอล์ฟ",J2748,"")</f>
        <v/>
      </c>
    </row>
    <row r="2749">
      <c r="A2749" s="1" t="n">
        <v>3</v>
      </c>
      <c r="B2749" s="1" t="inlineStr">
        <is>
          <t>เสื้อผ้า</t>
        </is>
      </c>
      <c r="C2749" s="1" t="inlineStr">
        <is>
          <t>gf2040401454</t>
        </is>
      </c>
      <c r="D2749" s="1" t="inlineStr">
        <is>
          <t>LE COQ SPORTIF GOLF Basic Men's Long Sleeve Polo (Black)</t>
        </is>
      </c>
      <c r="E2749" s="1" t="inlineStr">
        <is>
          <t>LE COQ SPORTIF GOLF</t>
        </is>
      </c>
      <c r="F2749" s="1" t="inlineStr">
        <is>
          <t>LONG SLEEVES</t>
        </is>
      </c>
      <c r="G2749" s="1" t="inlineStr">
        <is>
          <t>GF2040401454M</t>
        </is>
      </c>
      <c r="H2749" s="1" t="n">
        <v>4</v>
      </c>
      <c r="I2749" s="1" t="inlineStr">
        <is>
          <t>มี</t>
        </is>
      </c>
      <c r="J2749" s="13" t="n">
        <v>89</v>
      </c>
      <c r="K2749" s="1" t="inlineStr"/>
      <c r="L2749" s="13" t="n">
        <v>89</v>
      </c>
      <c r="M2749" s="1">
        <f>IF(L2749="","ไม่พบใน SG",IF(ABS(J2749-L2749)&lt;0.005,"ตรงกัน","ไม่ตรง"))</f>
        <v/>
      </c>
      <c r="N2749" s="14">
        <f>IF(L2749="","",ROUND(L2749*'สรุป'!$C$6,-1))</f>
        <v/>
      </c>
      <c r="O2749" s="15" t="n"/>
      <c r="P2749" s="15" t="n"/>
      <c r="Q2749" s="10" t="n"/>
      <c r="R2749" s="10" t="n"/>
      <c r="S2749" s="16" t="inlineStr">
        <is>
          <t>https://mstgolf.co.th/products/gf2040401454</t>
        </is>
      </c>
      <c r="T2749" s="1">
        <f>IF(B2749="ไม้กอล์ฟ",J2749,"")</f>
        <v/>
      </c>
    </row>
    <row r="2750">
      <c r="A2750" s="1" t="n">
        <v>3</v>
      </c>
      <c r="B2750" s="1" t="inlineStr">
        <is>
          <t>เสื้อผ้า</t>
        </is>
      </c>
      <c r="C2750" s="1" t="inlineStr">
        <is>
          <t>gf2040401455</t>
        </is>
      </c>
      <c r="D2750" s="1" t="inlineStr">
        <is>
          <t>LE COQ SPORTIF GOLF Basic Men's Long Sleeve Polo (Khaki)</t>
        </is>
      </c>
      <c r="E2750" s="1" t="inlineStr">
        <is>
          <t>LE COQ SPORTIF GOLF</t>
        </is>
      </c>
      <c r="F2750" s="1" t="inlineStr">
        <is>
          <t>LONG SLEEVES</t>
        </is>
      </c>
      <c r="G2750" s="1" t="inlineStr">
        <is>
          <t>GF2040401455M</t>
        </is>
      </c>
      <c r="H2750" s="1" t="n">
        <v>4</v>
      </c>
      <c r="I2750" s="1" t="inlineStr">
        <is>
          <t>มี</t>
        </is>
      </c>
      <c r="J2750" s="13" t="n">
        <v>89</v>
      </c>
      <c r="K2750" s="1" t="inlineStr"/>
      <c r="L2750" s="13" t="n">
        <v>89</v>
      </c>
      <c r="M2750" s="1">
        <f>IF(L2750="","ไม่พบใน SG",IF(ABS(J2750-L2750)&lt;0.005,"ตรงกัน","ไม่ตรง"))</f>
        <v/>
      </c>
      <c r="N2750" s="14">
        <f>IF(L2750="","",ROUND(L2750*'สรุป'!$C$6,-1))</f>
        <v/>
      </c>
      <c r="O2750" s="15" t="n"/>
      <c r="P2750" s="15" t="n"/>
      <c r="Q2750" s="10" t="n"/>
      <c r="R2750" s="10" t="n"/>
      <c r="S2750" s="16" t="inlineStr">
        <is>
          <t>https://mstgolf.co.th/products/gf2040401455</t>
        </is>
      </c>
      <c r="T2750" s="1">
        <f>IF(B2750="ไม้กอล์ฟ",J2750,"")</f>
        <v/>
      </c>
    </row>
    <row r="2751">
      <c r="A2751" s="1" t="n">
        <v>3</v>
      </c>
      <c r="B2751" s="1" t="inlineStr">
        <is>
          <t>เสื้อผ้า</t>
        </is>
      </c>
      <c r="C2751" s="1" t="inlineStr">
        <is>
          <t>gf2040401456</t>
        </is>
      </c>
      <c r="D2751" s="1" t="inlineStr">
        <is>
          <t>LE COQ SPORTIF GOLF Basic Men's Long Sleeve Polo (Navy)</t>
        </is>
      </c>
      <c r="E2751" s="1" t="inlineStr">
        <is>
          <t>LE COQ SPORTIF GOLF</t>
        </is>
      </c>
      <c r="F2751" s="1" t="inlineStr">
        <is>
          <t>LONG SLEEVES</t>
        </is>
      </c>
      <c r="G2751" s="1" t="inlineStr">
        <is>
          <t>GF2040401456M</t>
        </is>
      </c>
      <c r="H2751" s="1" t="n">
        <v>4</v>
      </c>
      <c r="I2751" s="1" t="inlineStr">
        <is>
          <t>มี</t>
        </is>
      </c>
      <c r="J2751" s="13" t="n">
        <v>89</v>
      </c>
      <c r="K2751" s="1" t="inlineStr"/>
      <c r="L2751" s="13" t="n">
        <v>89</v>
      </c>
      <c r="M2751" s="1">
        <f>IF(L2751="","ไม่พบใน SG",IF(ABS(J2751-L2751)&lt;0.005,"ตรงกัน","ไม่ตรง"))</f>
        <v/>
      </c>
      <c r="N2751" s="14">
        <f>IF(L2751="","",ROUND(L2751*'สรุป'!$C$6,-1))</f>
        <v/>
      </c>
      <c r="O2751" s="15" t="n"/>
      <c r="P2751" s="15" t="n"/>
      <c r="Q2751" s="10" t="n"/>
      <c r="R2751" s="10" t="n"/>
      <c r="S2751" s="16" t="inlineStr">
        <is>
          <t>https://mstgolf.co.th/products/gf2040401456</t>
        </is>
      </c>
      <c r="T2751" s="1">
        <f>IF(B2751="ไม้กอล์ฟ",J2751,"")</f>
        <v/>
      </c>
    </row>
    <row r="2752">
      <c r="A2752" s="1" t="n">
        <v>3</v>
      </c>
      <c r="B2752" s="1" t="inlineStr">
        <is>
          <t>เสื้อผ้า</t>
        </is>
      </c>
      <c r="C2752" s="1" t="inlineStr">
        <is>
          <t>gf2040401457</t>
        </is>
      </c>
      <c r="D2752" s="1" t="inlineStr">
        <is>
          <t>LE COQ SPORTIF GOLF Basic Men's Long Sleeve Polo (White)</t>
        </is>
      </c>
      <c r="E2752" s="1" t="inlineStr">
        <is>
          <t>LE COQ SPORTIF GOLF</t>
        </is>
      </c>
      <c r="F2752" s="1" t="inlineStr">
        <is>
          <t>LONG SLEEVES</t>
        </is>
      </c>
      <c r="G2752" s="1" t="inlineStr">
        <is>
          <t>GF2040401457M</t>
        </is>
      </c>
      <c r="H2752" s="1" t="n">
        <v>4</v>
      </c>
      <c r="I2752" s="1" t="inlineStr">
        <is>
          <t>มี</t>
        </is>
      </c>
      <c r="J2752" s="13" t="n">
        <v>89</v>
      </c>
      <c r="K2752" s="1" t="inlineStr"/>
      <c r="L2752" s="13" t="n">
        <v>89</v>
      </c>
      <c r="M2752" s="1">
        <f>IF(L2752="","ไม่พบใน SG",IF(ABS(J2752-L2752)&lt;0.005,"ตรงกัน","ไม่ตรง"))</f>
        <v/>
      </c>
      <c r="N2752" s="14">
        <f>IF(L2752="","",ROUND(L2752*'สรุป'!$C$6,-1))</f>
        <v/>
      </c>
      <c r="O2752" s="15" t="n"/>
      <c r="P2752" s="15" t="n"/>
      <c r="Q2752" s="10" t="n"/>
      <c r="R2752" s="10" t="n"/>
      <c r="S2752" s="16" t="inlineStr">
        <is>
          <t>https://mstgolf.co.th/products/gf2040401457</t>
        </is>
      </c>
      <c r="T2752" s="1">
        <f>IF(B2752="ไม้กอล์ฟ",J2752,"")</f>
        <v/>
      </c>
    </row>
    <row r="2753">
      <c r="A2753" s="1" t="n">
        <v>3</v>
      </c>
      <c r="B2753" s="1" t="inlineStr">
        <is>
          <t>เสื้อผ้า</t>
        </is>
      </c>
      <c r="C2753" s="1" t="inlineStr">
        <is>
          <t>gf2020202826</t>
        </is>
      </c>
      <c r="D2753" s="1" t="inlineStr">
        <is>
          <t>LE COQ SPORTIF GOLF Men's Shorts (Beige)</t>
        </is>
      </c>
      <c r="E2753" s="1" t="inlineStr">
        <is>
          <t>LE COQ SPORTIF GOLF</t>
        </is>
      </c>
      <c r="F2753" s="1" t="inlineStr">
        <is>
          <t>SHORT PANTS</t>
        </is>
      </c>
      <c r="G2753" s="1" t="inlineStr">
        <is>
          <t>GF2020202826M</t>
        </is>
      </c>
      <c r="H2753" s="1" t="n">
        <v>4</v>
      </c>
      <c r="I2753" s="1" t="inlineStr">
        <is>
          <t>มี</t>
        </is>
      </c>
      <c r="J2753" s="13" t="n">
        <v>89</v>
      </c>
      <c r="K2753" s="1" t="inlineStr"/>
      <c r="L2753" s="13" t="n">
        <v>89</v>
      </c>
      <c r="M2753" s="1">
        <f>IF(L2753="","ไม่พบใน SG",IF(ABS(J2753-L2753)&lt;0.005,"ตรงกัน","ไม่ตรง"))</f>
        <v/>
      </c>
      <c r="N2753" s="14">
        <f>IF(L2753="","",ROUND(L2753*'สรุป'!$C$6,-1))</f>
        <v/>
      </c>
      <c r="O2753" s="15" t="n"/>
      <c r="P2753" s="15" t="n"/>
      <c r="Q2753" s="10" t="n"/>
      <c r="R2753" s="10" t="n"/>
      <c r="S2753" s="16" t="inlineStr">
        <is>
          <t>https://mstgolf.co.th/products/gf2020202826</t>
        </is>
      </c>
      <c r="T2753" s="1">
        <f>IF(B2753="ไม้กอล์ฟ",J2753,"")</f>
        <v/>
      </c>
    </row>
    <row r="2754">
      <c r="A2754" s="1" t="n">
        <v>3</v>
      </c>
      <c r="B2754" s="1" t="inlineStr">
        <is>
          <t>เสื้อผ้า</t>
        </is>
      </c>
      <c r="C2754" s="1" t="inlineStr">
        <is>
          <t>gf2020202827</t>
        </is>
      </c>
      <c r="D2754" s="1" t="inlineStr">
        <is>
          <t>LE COQ SPORTIF GOLF Men's Shorts (Black)</t>
        </is>
      </c>
      <c r="E2754" s="1" t="inlineStr">
        <is>
          <t>LE COQ SPORTIF GOLF</t>
        </is>
      </c>
      <c r="F2754" s="1" t="inlineStr">
        <is>
          <t>SHORT PANTS</t>
        </is>
      </c>
      <c r="G2754" s="1" t="inlineStr">
        <is>
          <t>GF2020202827M</t>
        </is>
      </c>
      <c r="H2754" s="1" t="n">
        <v>4</v>
      </c>
      <c r="I2754" s="1" t="inlineStr">
        <is>
          <t>มี</t>
        </is>
      </c>
      <c r="J2754" s="13" t="n">
        <v>89</v>
      </c>
      <c r="K2754" s="1" t="inlineStr"/>
      <c r="L2754" s="13" t="n">
        <v>89</v>
      </c>
      <c r="M2754" s="1">
        <f>IF(L2754="","ไม่พบใน SG",IF(ABS(J2754-L2754)&lt;0.005,"ตรงกัน","ไม่ตรง"))</f>
        <v/>
      </c>
      <c r="N2754" s="14">
        <f>IF(L2754="","",ROUND(L2754*'สรุป'!$C$6,-1))</f>
        <v/>
      </c>
      <c r="O2754" s="15" t="n"/>
      <c r="P2754" s="15" t="n"/>
      <c r="Q2754" s="10" t="n"/>
      <c r="R2754" s="10" t="n"/>
      <c r="S2754" s="16" t="inlineStr">
        <is>
          <t>https://mstgolf.co.th/products/gf2020202827</t>
        </is>
      </c>
      <c r="T2754" s="1">
        <f>IF(B2754="ไม้กอล์ฟ",J2754,"")</f>
        <v/>
      </c>
    </row>
    <row r="2755">
      <c r="A2755" s="1" t="n">
        <v>3</v>
      </c>
      <c r="B2755" s="1" t="inlineStr">
        <is>
          <t>เสื้อผ้า</t>
        </is>
      </c>
      <c r="C2755" s="1" t="inlineStr">
        <is>
          <t>gf2020202828</t>
        </is>
      </c>
      <c r="D2755" s="1" t="inlineStr">
        <is>
          <t>LE COQ SPORTIF GOLF Men's Shorts (Khaki)</t>
        </is>
      </c>
      <c r="E2755" s="1" t="inlineStr">
        <is>
          <t>LE COQ SPORTIF GOLF</t>
        </is>
      </c>
      <c r="F2755" s="1" t="inlineStr">
        <is>
          <t>SHORT PANTS</t>
        </is>
      </c>
      <c r="G2755" s="1" t="inlineStr">
        <is>
          <t>GF2020202828M</t>
        </is>
      </c>
      <c r="H2755" s="1" t="n">
        <v>4</v>
      </c>
      <c r="I2755" s="1" t="inlineStr">
        <is>
          <t>มี</t>
        </is>
      </c>
      <c r="J2755" s="13" t="n">
        <v>89</v>
      </c>
      <c r="K2755" s="1" t="inlineStr"/>
      <c r="L2755" s="13" t="n">
        <v>89</v>
      </c>
      <c r="M2755" s="1">
        <f>IF(L2755="","ไม่พบใน SG",IF(ABS(J2755-L2755)&lt;0.005,"ตรงกัน","ไม่ตรง"))</f>
        <v/>
      </c>
      <c r="N2755" s="14">
        <f>IF(L2755="","",ROUND(L2755*'สรุป'!$C$6,-1))</f>
        <v/>
      </c>
      <c r="O2755" s="15" t="n"/>
      <c r="P2755" s="15" t="n"/>
      <c r="Q2755" s="10" t="n"/>
      <c r="R2755" s="10" t="n"/>
      <c r="S2755" s="16" t="inlineStr">
        <is>
          <t>https://mstgolf.co.th/products/gf2020202828</t>
        </is>
      </c>
      <c r="T2755" s="1">
        <f>IF(B2755="ไม้กอล์ฟ",J2755,"")</f>
        <v/>
      </c>
    </row>
    <row r="2756">
      <c r="A2756" s="1" t="n">
        <v>3</v>
      </c>
      <c r="B2756" s="1" t="inlineStr">
        <is>
          <t>เสื้อผ้า</t>
        </is>
      </c>
      <c r="C2756" s="1" t="inlineStr">
        <is>
          <t>gf2020202829</t>
        </is>
      </c>
      <c r="D2756" s="1" t="inlineStr">
        <is>
          <t>LE COQ SPORTIF GOLF Men's Shorts (Navy)</t>
        </is>
      </c>
      <c r="E2756" s="1" t="inlineStr">
        <is>
          <t>LE COQ SPORTIF GOLF</t>
        </is>
      </c>
      <c r="F2756" s="1" t="inlineStr">
        <is>
          <t>SHORT PANTS</t>
        </is>
      </c>
      <c r="G2756" s="1" t="inlineStr">
        <is>
          <t>GF2020202829M</t>
        </is>
      </c>
      <c r="H2756" s="1" t="n">
        <v>4</v>
      </c>
      <c r="I2756" s="1" t="inlineStr">
        <is>
          <t>มี</t>
        </is>
      </c>
      <c r="J2756" s="13" t="n">
        <v>89</v>
      </c>
      <c r="K2756" s="1" t="inlineStr"/>
      <c r="L2756" s="13" t="n">
        <v>89</v>
      </c>
      <c r="M2756" s="1">
        <f>IF(L2756="","ไม่พบใน SG",IF(ABS(J2756-L2756)&lt;0.005,"ตรงกัน","ไม่ตรง"))</f>
        <v/>
      </c>
      <c r="N2756" s="14">
        <f>IF(L2756="","",ROUND(L2756*'สรุป'!$C$6,-1))</f>
        <v/>
      </c>
      <c r="O2756" s="15" t="n"/>
      <c r="P2756" s="15" t="n"/>
      <c r="Q2756" s="10" t="n"/>
      <c r="R2756" s="10" t="n"/>
      <c r="S2756" s="16" t="inlineStr">
        <is>
          <t>https://mstgolf.co.th/products/gf2020202829</t>
        </is>
      </c>
      <c r="T2756" s="1">
        <f>IF(B2756="ไม้กอล์ฟ",J2756,"")</f>
        <v/>
      </c>
    </row>
    <row r="2757">
      <c r="A2757" s="1" t="n">
        <v>3</v>
      </c>
      <c r="B2757" s="1" t="inlineStr">
        <is>
          <t>เสื้อผ้า</t>
        </is>
      </c>
      <c r="C2757" s="1" t="inlineStr">
        <is>
          <t>gf2040120692</t>
        </is>
      </c>
      <c r="D2757" s="1" t="inlineStr">
        <is>
          <t>LE COQ SPORTIF GOLF Switch Print Men's Polo (Khaki)</t>
        </is>
      </c>
      <c r="E2757" s="1" t="inlineStr">
        <is>
          <t>LE COQ SPORTIF GOLF</t>
        </is>
      </c>
      <c r="F2757" s="1" t="inlineStr">
        <is>
          <t>SHORT SLEEVES</t>
        </is>
      </c>
      <c r="G2757" s="1" t="inlineStr">
        <is>
          <t>GF2040120692M</t>
        </is>
      </c>
      <c r="H2757" s="1" t="n">
        <v>4</v>
      </c>
      <c r="I2757" s="1" t="inlineStr">
        <is>
          <t>มี</t>
        </is>
      </c>
      <c r="J2757" s="13" t="n">
        <v>89</v>
      </c>
      <c r="K2757" s="1" t="inlineStr"/>
      <c r="L2757" s="13" t="n">
        <v>39</v>
      </c>
      <c r="M2757" s="1">
        <f>IF(L2757="","ไม่พบใน SG",IF(ABS(J2757-L2757)&lt;0.005,"ตรงกัน","ไม่ตรง"))</f>
        <v/>
      </c>
      <c r="N2757" s="14">
        <f>IF(L2757="","",ROUND(L2757*'สรุป'!$C$6,-1))</f>
        <v/>
      </c>
      <c r="O2757" s="15" t="n"/>
      <c r="P2757" s="15" t="n"/>
      <c r="Q2757" s="10" t="n"/>
      <c r="R2757" s="10" t="n"/>
      <c r="S2757" s="16" t="inlineStr">
        <is>
          <t>https://mstgolf.co.th/products/gf2040120692</t>
        </is>
      </c>
      <c r="T2757" s="1">
        <f>IF(B2757="ไม้กอล์ฟ",J2757,"")</f>
        <v/>
      </c>
    </row>
    <row r="2758">
      <c r="A2758" s="1" t="n">
        <v>3</v>
      </c>
      <c r="B2758" s="1" t="inlineStr">
        <is>
          <t>เสื้อผ้า</t>
        </is>
      </c>
      <c r="C2758" s="1" t="inlineStr">
        <is>
          <t>gf2040120694</t>
        </is>
      </c>
      <c r="D2758" s="1" t="inlineStr">
        <is>
          <t>LE COQ SPORTIF GOLF Switch Print Men's Polo (Navy)</t>
        </is>
      </c>
      <c r="E2758" s="1" t="inlineStr">
        <is>
          <t>LE COQ SPORTIF GOLF</t>
        </is>
      </c>
      <c r="F2758" s="1" t="inlineStr">
        <is>
          <t>SHORT SLEEVES</t>
        </is>
      </c>
      <c r="G2758" s="1" t="inlineStr">
        <is>
          <t>GF2040120694M</t>
        </is>
      </c>
      <c r="H2758" s="1" t="n">
        <v>4</v>
      </c>
      <c r="I2758" s="1" t="inlineStr">
        <is>
          <t>มี</t>
        </is>
      </c>
      <c r="J2758" s="13" t="n">
        <v>89</v>
      </c>
      <c r="K2758" s="1" t="inlineStr"/>
      <c r="L2758" s="13" t="n">
        <v>59</v>
      </c>
      <c r="M2758" s="1">
        <f>IF(L2758="","ไม่พบใน SG",IF(ABS(J2758-L2758)&lt;0.005,"ตรงกัน","ไม่ตรง"))</f>
        <v/>
      </c>
      <c r="N2758" s="14">
        <f>IF(L2758="","",ROUND(L2758*'สรุป'!$C$6,-1))</f>
        <v/>
      </c>
      <c r="O2758" s="15" t="n"/>
      <c r="P2758" s="15" t="n"/>
      <c r="Q2758" s="10" t="n"/>
      <c r="R2758" s="10" t="n"/>
      <c r="S2758" s="16" t="inlineStr">
        <is>
          <t>https://mstgolf.co.th/products/gf2040120694</t>
        </is>
      </c>
      <c r="T2758" s="1">
        <f>IF(B2758="ไม้กอล์ฟ",J2758,"")</f>
        <v/>
      </c>
    </row>
    <row r="2759">
      <c r="A2759" s="1" t="n">
        <v>3</v>
      </c>
      <c r="B2759" s="1" t="inlineStr">
        <is>
          <t>เสื้อผ้า</t>
        </is>
      </c>
      <c r="C2759" s="1" t="inlineStr">
        <is>
          <t>gf2040120695</t>
        </is>
      </c>
      <c r="D2759" s="1" t="inlineStr">
        <is>
          <t>LE COQ SPORTIF GOLF Switch Print Men's Polo (White)</t>
        </is>
      </c>
      <c r="E2759" s="1" t="inlineStr">
        <is>
          <t>LE COQ SPORTIF GOLF</t>
        </is>
      </c>
      <c r="F2759" s="1" t="inlineStr">
        <is>
          <t>SHORT SLEEVES</t>
        </is>
      </c>
      <c r="G2759" s="1" t="inlineStr">
        <is>
          <t>GF2040120695M</t>
        </is>
      </c>
      <c r="H2759" s="1" t="n">
        <v>4</v>
      </c>
      <c r="I2759" s="1" t="inlineStr">
        <is>
          <t>มี</t>
        </is>
      </c>
      <c r="J2759" s="13" t="n">
        <v>89</v>
      </c>
      <c r="K2759" s="1" t="inlineStr"/>
      <c r="L2759" s="13" t="n">
        <v>59</v>
      </c>
      <c r="M2759" s="1">
        <f>IF(L2759="","ไม่พบใน SG",IF(ABS(J2759-L2759)&lt;0.005,"ตรงกัน","ไม่ตรง"))</f>
        <v/>
      </c>
      <c r="N2759" s="14">
        <f>IF(L2759="","",ROUND(L2759*'สรุป'!$C$6,-1))</f>
        <v/>
      </c>
      <c r="O2759" s="15" t="n"/>
      <c r="P2759" s="15" t="n"/>
      <c r="Q2759" s="10" t="n"/>
      <c r="R2759" s="10" t="n"/>
      <c r="S2759" s="16" t="inlineStr">
        <is>
          <t>https://mstgolf.co.th/products/gf2040120695</t>
        </is>
      </c>
      <c r="T2759" s="1">
        <f>IF(B2759="ไม้กอล์ฟ",J2759,"")</f>
        <v/>
      </c>
    </row>
    <row r="2760">
      <c r="A2760" s="1" t="n">
        <v>3</v>
      </c>
      <c r="B2760" s="1" t="inlineStr">
        <is>
          <t>เสื้อผ้า</t>
        </is>
      </c>
      <c r="C2760" s="1" t="inlineStr">
        <is>
          <t>gf2040120696</t>
        </is>
      </c>
      <c r="D2760" s="1" t="inlineStr">
        <is>
          <t>LE COQ SPORTIF GOLF Switch Print Men's Polo (Yellow)</t>
        </is>
      </c>
      <c r="E2760" s="1" t="inlineStr">
        <is>
          <t>LE COQ SPORTIF GOLF</t>
        </is>
      </c>
      <c r="F2760" s="1" t="inlineStr">
        <is>
          <t>SHORT SLEEVES</t>
        </is>
      </c>
      <c r="G2760" s="1" t="inlineStr">
        <is>
          <t>GF2040120696M</t>
        </is>
      </c>
      <c r="H2760" s="1" t="n">
        <v>4</v>
      </c>
      <c r="I2760" s="1" t="inlineStr">
        <is>
          <t>มี</t>
        </is>
      </c>
      <c r="J2760" s="13" t="n">
        <v>89</v>
      </c>
      <c r="K2760" s="1" t="inlineStr"/>
      <c r="L2760" s="13" t="n">
        <v>59</v>
      </c>
      <c r="M2760" s="1">
        <f>IF(L2760="","ไม่พบใน SG",IF(ABS(J2760-L2760)&lt;0.005,"ตรงกัน","ไม่ตรง"))</f>
        <v/>
      </c>
      <c r="N2760" s="14">
        <f>IF(L2760="","",ROUND(L2760*'สรุป'!$C$6,-1))</f>
        <v/>
      </c>
      <c r="O2760" s="15" t="n"/>
      <c r="P2760" s="15" t="n"/>
      <c r="Q2760" s="10" t="n"/>
      <c r="R2760" s="10" t="n"/>
      <c r="S2760" s="16" t="inlineStr">
        <is>
          <t>https://mstgolf.co.th/products/gf2040120696</t>
        </is>
      </c>
      <c r="T2760" s="1">
        <f>IF(B2760="ไม้กอล์ฟ",J2760,"")</f>
        <v/>
      </c>
    </row>
    <row r="2761">
      <c r="A2761" s="1" t="n">
        <v>3</v>
      </c>
      <c r="B2761" s="1" t="inlineStr">
        <is>
          <t>เสื้อผ้า</t>
        </is>
      </c>
      <c r="C2761" s="1" t="inlineStr">
        <is>
          <t>gf2040119869</t>
        </is>
      </c>
      <c r="D2761" s="1" t="inlineStr">
        <is>
          <t>MALBON GOLF Elea Rib Women's Knit Polo (Black)</t>
        </is>
      </c>
      <c r="E2761" s="1" t="inlineStr">
        <is>
          <t>MALBON GOLF</t>
        </is>
      </c>
      <c r="F2761" s="1" t="inlineStr">
        <is>
          <t>SHORT SLEEVES</t>
        </is>
      </c>
      <c r="G2761" s="1" t="inlineStr">
        <is>
          <t>GF2040119869XS</t>
        </is>
      </c>
      <c r="H2761" s="1" t="n">
        <v>5</v>
      </c>
      <c r="I2761" s="1" t="inlineStr">
        <is>
          <t>มี</t>
        </is>
      </c>
      <c r="J2761" s="13" t="n">
        <v>89</v>
      </c>
      <c r="K2761" s="1" t="inlineStr"/>
      <c r="L2761" s="13" t="n">
        <v>89</v>
      </c>
      <c r="M2761" s="1">
        <f>IF(L2761="","ไม่พบใน SG",IF(ABS(J2761-L2761)&lt;0.005,"ตรงกัน","ไม่ตรง"))</f>
        <v/>
      </c>
      <c r="N2761" s="14">
        <f>IF(L2761="","",ROUND(L2761*'สรุป'!$C$6,-1))</f>
        <v/>
      </c>
      <c r="O2761" s="15" t="n"/>
      <c r="P2761" s="15" t="n"/>
      <c r="Q2761" s="10" t="n"/>
      <c r="R2761" s="10" t="n"/>
      <c r="S2761" s="16" t="inlineStr">
        <is>
          <t>https://mstgolf.co.th/products/gf2040119869</t>
        </is>
      </c>
      <c r="T2761" s="1">
        <f>IF(B2761="ไม้กอล์ฟ",J2761,"")</f>
        <v/>
      </c>
    </row>
    <row r="2762">
      <c r="A2762" s="1" t="n">
        <v>3</v>
      </c>
      <c r="B2762" s="1" t="inlineStr">
        <is>
          <t>เสื้อผ้า</t>
        </is>
      </c>
      <c r="C2762" s="1" t="inlineStr">
        <is>
          <t>gf2040118864</t>
        </is>
      </c>
      <c r="D2762" s="1" t="inlineStr">
        <is>
          <t>MANORS G.O.A.T Pique Men’s Polo (Greige/Burgundy)</t>
        </is>
      </c>
      <c r="E2762" s="1" t="inlineStr">
        <is>
          <t>MANORS</t>
        </is>
      </c>
      <c r="F2762" s="1" t="inlineStr">
        <is>
          <t>SHORT SLEEVES</t>
        </is>
      </c>
      <c r="G2762" s="1" t="inlineStr">
        <is>
          <t>GF2040118864S</t>
        </is>
      </c>
      <c r="H2762" s="1" t="n">
        <v>4</v>
      </c>
      <c r="I2762" s="1" t="inlineStr">
        <is>
          <t>มี</t>
        </is>
      </c>
      <c r="J2762" s="13" t="n">
        <v>89</v>
      </c>
      <c r="K2762" s="1" t="inlineStr"/>
      <c r="L2762" s="13" t="n">
        <v>65</v>
      </c>
      <c r="M2762" s="1">
        <f>IF(L2762="","ไม่พบใน SG",IF(ABS(J2762-L2762)&lt;0.005,"ตรงกัน","ไม่ตรง"))</f>
        <v/>
      </c>
      <c r="N2762" s="14">
        <f>IF(L2762="","",ROUND(L2762*'สรุป'!$C$6,-1))</f>
        <v/>
      </c>
      <c r="O2762" s="15" t="n"/>
      <c r="P2762" s="15" t="n"/>
      <c r="Q2762" s="10" t="n"/>
      <c r="R2762" s="10" t="n"/>
      <c r="S2762" s="16" t="inlineStr">
        <is>
          <t>https://mstgolf.co.th/products/gf2040118864</t>
        </is>
      </c>
      <c r="T2762" s="1">
        <f>IF(B2762="ไม้กอล์ฟ",J2762,"")</f>
        <v/>
      </c>
    </row>
    <row r="2763">
      <c r="A2763" s="1" t="n">
        <v>3</v>
      </c>
      <c r="B2763" s="1" t="inlineStr">
        <is>
          <t>เสื้อผ้า</t>
        </is>
      </c>
      <c r="C2763" s="1" t="inlineStr">
        <is>
          <t>gf2040118865</t>
        </is>
      </c>
      <c r="D2763" s="1" t="inlineStr">
        <is>
          <t>MANORS G.O.A.T Pique Men’s Polo (Ivory/Blue)</t>
        </is>
      </c>
      <c r="E2763" s="1" t="inlineStr">
        <is>
          <t>MANORS</t>
        </is>
      </c>
      <c r="F2763" s="1" t="inlineStr">
        <is>
          <t>SHORT SLEEVES</t>
        </is>
      </c>
      <c r="G2763" s="1" t="inlineStr">
        <is>
          <t>GF2040118865S</t>
        </is>
      </c>
      <c r="H2763" s="1" t="n">
        <v>4</v>
      </c>
      <c r="I2763" s="1" t="inlineStr">
        <is>
          <t>มี</t>
        </is>
      </c>
      <c r="J2763" s="13" t="n">
        <v>89</v>
      </c>
      <c r="K2763" s="1" t="inlineStr"/>
      <c r="L2763" s="13" t="n">
        <v>130</v>
      </c>
      <c r="M2763" s="1">
        <f>IF(L2763="","ไม่พบใน SG",IF(ABS(J2763-L2763)&lt;0.005,"ตรงกัน","ไม่ตรง"))</f>
        <v/>
      </c>
      <c r="N2763" s="14">
        <f>IF(L2763="","",ROUND(L2763*'สรุป'!$C$6,-1))</f>
        <v/>
      </c>
      <c r="O2763" s="15" t="n"/>
      <c r="P2763" s="15" t="n"/>
      <c r="Q2763" s="10" t="n"/>
      <c r="R2763" s="10" t="n"/>
      <c r="S2763" s="16" t="inlineStr">
        <is>
          <t>https://mstgolf.co.th/products/gf2040118865</t>
        </is>
      </c>
      <c r="T2763" s="1">
        <f>IF(B2763="ไม้กอล์ฟ",J2763,"")</f>
        <v/>
      </c>
    </row>
    <row r="2764">
      <c r="A2764" s="1" t="n">
        <v>3</v>
      </c>
      <c r="B2764" s="1" t="inlineStr">
        <is>
          <t>เสื้อผ้า</t>
        </is>
      </c>
      <c r="C2764" s="1" t="inlineStr">
        <is>
          <t>gf2020102233</t>
        </is>
      </c>
      <c r="D2764" s="1" t="inlineStr">
        <is>
          <t>NIKE Tour Flex Men's Slim Pants (Midnight Navy)</t>
        </is>
      </c>
      <c r="E2764" s="1" t="inlineStr">
        <is>
          <t>NIKE</t>
        </is>
      </c>
      <c r="F2764" s="1" t="inlineStr">
        <is>
          <t>LONG PANTS</t>
        </is>
      </c>
      <c r="G2764" s="1" t="inlineStr">
        <is>
          <t>GF202010223328</t>
        </is>
      </c>
      <c r="H2764" s="1" t="n">
        <v>7</v>
      </c>
      <c r="I2764" s="1" t="inlineStr">
        <is>
          <t>มี</t>
        </is>
      </c>
      <c r="J2764" s="13" t="n">
        <v>89</v>
      </c>
      <c r="K2764" s="1" t="inlineStr"/>
      <c r="L2764" s="13" t="n">
        <v>89</v>
      </c>
      <c r="M2764" s="1">
        <f>IF(L2764="","ไม่พบใน SG",IF(ABS(J2764-L2764)&lt;0.005,"ตรงกัน","ไม่ตรง"))</f>
        <v/>
      </c>
      <c r="N2764" s="14">
        <f>IF(L2764="","",ROUND(L2764*'สรุป'!$C$6,-1))</f>
        <v/>
      </c>
      <c r="O2764" s="15" t="n"/>
      <c r="P2764" s="15" t="n"/>
      <c r="Q2764" s="10" t="n"/>
      <c r="R2764" s="10" t="n"/>
      <c r="S2764" s="16" t="inlineStr">
        <is>
          <t>https://mstgolf.co.th/products/gf2020102233</t>
        </is>
      </c>
      <c r="T2764" s="1">
        <f>IF(B2764="ไม้กอล์ฟ",J2764,"")</f>
        <v/>
      </c>
    </row>
    <row r="2765">
      <c r="A2765" s="1" t="n">
        <v>3</v>
      </c>
      <c r="B2765" s="1" t="inlineStr">
        <is>
          <t>เสื้อผ้า</t>
        </is>
      </c>
      <c r="C2765" s="1" t="inlineStr">
        <is>
          <t>gf2020102433</t>
        </is>
      </c>
      <c r="D2765" s="1" t="inlineStr">
        <is>
          <t>NIKE Tour Repel Flex Men’s Slim Pants (Cargo Khaki)</t>
        </is>
      </c>
      <c r="E2765" s="1" t="inlineStr">
        <is>
          <t>NIKE</t>
        </is>
      </c>
      <c r="F2765" s="1" t="inlineStr">
        <is>
          <t>LONG PANTS</t>
        </is>
      </c>
      <c r="G2765" s="1" t="inlineStr">
        <is>
          <t>GF202010243328</t>
        </is>
      </c>
      <c r="H2765" s="1" t="n">
        <v>7</v>
      </c>
      <c r="I2765" s="1" t="inlineStr">
        <is>
          <t>มี</t>
        </is>
      </c>
      <c r="J2765" s="13" t="n">
        <v>89</v>
      </c>
      <c r="K2765" s="1" t="inlineStr"/>
      <c r="L2765" s="13" t="n">
        <v>89</v>
      </c>
      <c r="M2765" s="1">
        <f>IF(L2765="","ไม่พบใน SG",IF(ABS(J2765-L2765)&lt;0.005,"ตรงกัน","ไม่ตรง"))</f>
        <v/>
      </c>
      <c r="N2765" s="14">
        <f>IF(L2765="","",ROUND(L2765*'สรุป'!$C$6,-1))</f>
        <v/>
      </c>
      <c r="O2765" s="15" t="n"/>
      <c r="P2765" s="15" t="n"/>
      <c r="Q2765" s="10" t="n"/>
      <c r="R2765" s="10" t="n"/>
      <c r="S2765" s="16" t="inlineStr">
        <is>
          <t>https://mstgolf.co.th/products/gf2020102433</t>
        </is>
      </c>
      <c r="T2765" s="1">
        <f>IF(B2765="ไม้กอล์ฟ",J2765,"")</f>
        <v/>
      </c>
    </row>
    <row r="2766">
      <c r="A2766" s="1" t="n">
        <v>3</v>
      </c>
      <c r="B2766" s="1" t="inlineStr">
        <is>
          <t>เสื้อผ้า</t>
        </is>
      </c>
      <c r="C2766" s="1" t="inlineStr">
        <is>
          <t>gf2020102481</t>
        </is>
      </c>
      <c r="D2766" s="1" t="inlineStr">
        <is>
          <t>NIKE Tour Repel Flex Men’s Slim Pants (Light Orewood)</t>
        </is>
      </c>
      <c r="E2766" s="1" t="inlineStr">
        <is>
          <t>NIKE</t>
        </is>
      </c>
      <c r="F2766" s="1" t="inlineStr">
        <is>
          <t>LONG PANTS</t>
        </is>
      </c>
      <c r="G2766" s="1" t="inlineStr">
        <is>
          <t>GF202010248128</t>
        </is>
      </c>
      <c r="H2766" s="1" t="n">
        <v>7</v>
      </c>
      <c r="I2766" s="1" t="inlineStr">
        <is>
          <t>มี</t>
        </is>
      </c>
      <c r="J2766" s="13" t="n">
        <v>89</v>
      </c>
      <c r="K2766" s="1" t="inlineStr"/>
      <c r="L2766" s="13" t="n">
        <v>89</v>
      </c>
      <c r="M2766" s="1">
        <f>IF(L2766="","ไม่พบใน SG",IF(ABS(J2766-L2766)&lt;0.005,"ตรงกัน","ไม่ตรง"))</f>
        <v/>
      </c>
      <c r="N2766" s="14">
        <f>IF(L2766="","",ROUND(L2766*'สรุป'!$C$6,-1))</f>
        <v/>
      </c>
      <c r="O2766" s="15" t="n"/>
      <c r="P2766" s="15" t="n"/>
      <c r="Q2766" s="10" t="n"/>
      <c r="R2766" s="10" t="n"/>
      <c r="S2766" s="16" t="inlineStr">
        <is>
          <t>https://mstgolf.co.th/products/gf2020102481</t>
        </is>
      </c>
      <c r="T2766" s="1">
        <f>IF(B2766="ไม้กอล์ฟ",J2766,"")</f>
        <v/>
      </c>
    </row>
    <row r="2767">
      <c r="A2767" s="1" t="n">
        <v>3</v>
      </c>
      <c r="B2767" s="1" t="inlineStr">
        <is>
          <t>เสื้อผ้า</t>
        </is>
      </c>
      <c r="C2767" s="1" t="inlineStr">
        <is>
          <t>gf2020102480</t>
        </is>
      </c>
      <c r="D2767" s="1" t="inlineStr">
        <is>
          <t>NIKE Tour Repel Men's Chino Pants (Limestone)</t>
        </is>
      </c>
      <c r="E2767" s="1" t="inlineStr">
        <is>
          <t>NIKE</t>
        </is>
      </c>
      <c r="F2767" s="1" t="inlineStr">
        <is>
          <t>LONG PANTS</t>
        </is>
      </c>
      <c r="G2767" s="1" t="inlineStr">
        <is>
          <t>GF202010248028</t>
        </is>
      </c>
      <c r="H2767" s="1" t="n">
        <v>7</v>
      </c>
      <c r="I2767" s="1" t="inlineStr">
        <is>
          <t>มี</t>
        </is>
      </c>
      <c r="J2767" s="13" t="n">
        <v>89</v>
      </c>
      <c r="K2767" s="1" t="inlineStr"/>
      <c r="L2767" s="13" t="n">
        <v>89</v>
      </c>
      <c r="M2767" s="1">
        <f>IF(L2767="","ไม่พบใน SG",IF(ABS(J2767-L2767)&lt;0.005,"ตรงกัน","ไม่ตรง"))</f>
        <v/>
      </c>
      <c r="N2767" s="14">
        <f>IF(L2767="","",ROUND(L2767*'สรุป'!$C$6,-1))</f>
        <v/>
      </c>
      <c r="O2767" s="15" t="n"/>
      <c r="P2767" s="15" t="n"/>
      <c r="Q2767" s="10" t="n"/>
      <c r="R2767" s="10" t="n"/>
      <c r="S2767" s="16" t="inlineStr">
        <is>
          <t>https://mstgolf.co.th/products/gf2020102480</t>
        </is>
      </c>
      <c r="T2767" s="1">
        <f>IF(B2767="ไม้กอล์ฟ",J2767,"")</f>
        <v/>
      </c>
    </row>
    <row r="2768">
      <c r="A2768" s="1" t="n">
        <v>3</v>
      </c>
      <c r="B2768" s="1" t="inlineStr">
        <is>
          <t>เสื้อผ้า</t>
        </is>
      </c>
      <c r="C2768" s="1" t="inlineStr">
        <is>
          <t>gf2040400883</t>
        </is>
      </c>
      <c r="D2768" s="1" t="inlineStr">
        <is>
          <t>NIKE Victory Solid Long Sleeve Men's Polo (Black/White)</t>
        </is>
      </c>
      <c r="E2768" s="1" t="inlineStr">
        <is>
          <t>NIKE</t>
        </is>
      </c>
      <c r="F2768" s="1" t="inlineStr">
        <is>
          <t>LONG SLEEVES</t>
        </is>
      </c>
      <c r="G2768" s="1" t="inlineStr">
        <is>
          <t>GF2040400883S</t>
        </is>
      </c>
      <c r="H2768" s="1" t="n">
        <v>5</v>
      </c>
      <c r="I2768" s="1" t="inlineStr">
        <is>
          <t>มี</t>
        </is>
      </c>
      <c r="J2768" s="13" t="n">
        <v>89</v>
      </c>
      <c r="K2768" s="1" t="inlineStr"/>
      <c r="L2768" s="13" t="n">
        <v>89</v>
      </c>
      <c r="M2768" s="1">
        <f>IF(L2768="","ไม่พบใน SG",IF(ABS(J2768-L2768)&lt;0.005,"ตรงกัน","ไม่ตรง"))</f>
        <v/>
      </c>
      <c r="N2768" s="14">
        <f>IF(L2768="","",ROUND(L2768*'สรุป'!$C$6,-1))</f>
        <v/>
      </c>
      <c r="O2768" s="15" t="n"/>
      <c r="P2768" s="15" t="n"/>
      <c r="Q2768" s="10" t="n"/>
      <c r="R2768" s="10" t="n"/>
      <c r="S2768" s="16" t="inlineStr">
        <is>
          <t>https://mstgolf.co.th/products/gf2040400883</t>
        </is>
      </c>
      <c r="T2768" s="1">
        <f>IF(B2768="ไม้กอล์ฟ",J2768,"")</f>
        <v/>
      </c>
    </row>
    <row r="2769">
      <c r="A2769" s="1" t="n">
        <v>3</v>
      </c>
      <c r="B2769" s="1" t="inlineStr">
        <is>
          <t>เสื้อผ้า</t>
        </is>
      </c>
      <c r="C2769" s="1" t="inlineStr">
        <is>
          <t>gf2040400809</t>
        </is>
      </c>
      <c r="D2769" s="1" t="inlineStr">
        <is>
          <t>NIKE Victory Solid Men's Long Sleeve Polo (White)</t>
        </is>
      </c>
      <c r="E2769" s="1" t="inlineStr">
        <is>
          <t>NIKE</t>
        </is>
      </c>
      <c r="F2769" s="1" t="inlineStr">
        <is>
          <t>LONG SLEEVES</t>
        </is>
      </c>
      <c r="G2769" s="1" t="inlineStr">
        <is>
          <t>GF2040400809S</t>
        </is>
      </c>
      <c r="H2769" s="1" t="n">
        <v>5</v>
      </c>
      <c r="I2769" s="1" t="inlineStr">
        <is>
          <t>มี</t>
        </is>
      </c>
      <c r="J2769" s="13" t="n">
        <v>89</v>
      </c>
      <c r="K2769" s="1" t="inlineStr"/>
      <c r="L2769" s="13" t="n">
        <v>89</v>
      </c>
      <c r="M2769" s="1">
        <f>IF(L2769="","ไม่พบใน SG",IF(ABS(J2769-L2769)&lt;0.005,"ตรงกัน","ไม่ตรง"))</f>
        <v/>
      </c>
      <c r="N2769" s="14">
        <f>IF(L2769="","",ROUND(L2769*'สรุป'!$C$6,-1))</f>
        <v/>
      </c>
      <c r="O2769" s="15" t="n"/>
      <c r="P2769" s="15" t="n"/>
      <c r="Q2769" s="10" t="n"/>
      <c r="R2769" s="10" t="n"/>
      <c r="S2769" s="16" t="inlineStr">
        <is>
          <t>https://mstgolf.co.th/products/gf2040400809</t>
        </is>
      </c>
      <c r="T2769" s="1">
        <f>IF(B2769="ไม้กอล์ฟ",J2769,"")</f>
        <v/>
      </c>
    </row>
    <row r="2770">
      <c r="A2770" s="1" t="n">
        <v>3</v>
      </c>
      <c r="B2770" s="1" t="inlineStr">
        <is>
          <t>เสื้อผ้า</t>
        </is>
      </c>
      <c r="C2770" s="1" t="inlineStr">
        <is>
          <t>gf2040118169</t>
        </is>
      </c>
      <c r="D2770" s="1" t="inlineStr">
        <is>
          <t>PETER MILLAR Solid Performance Jersey Men's Polo (Bonnet)</t>
        </is>
      </c>
      <c r="E2770" s="1" t="inlineStr">
        <is>
          <t>PETER MILLAR</t>
        </is>
      </c>
      <c r="F2770" s="1" t="inlineStr">
        <is>
          <t>SHORT SLEEVES</t>
        </is>
      </c>
      <c r="G2770" s="1" t="inlineStr">
        <is>
          <t>GF2040118169S</t>
        </is>
      </c>
      <c r="H2770" s="1" t="n">
        <v>5</v>
      </c>
      <c r="I2770" s="1" t="inlineStr">
        <is>
          <t>มี</t>
        </is>
      </c>
      <c r="J2770" s="13" t="n">
        <v>89</v>
      </c>
      <c r="K2770" s="1" t="inlineStr"/>
      <c r="L2770" s="13" t="n"/>
      <c r="M2770" s="1">
        <f>IF(L2770="","ไม่พบใน SG",IF(ABS(J2770-L2770)&lt;0.005,"ตรงกัน","ไม่ตรง"))</f>
        <v/>
      </c>
      <c r="N2770" s="14">
        <f>IF(L2770="","",ROUND(L2770*'สรุป'!$C$6,-1))</f>
        <v/>
      </c>
      <c r="O2770" s="15" t="n"/>
      <c r="P2770" s="15" t="n"/>
      <c r="Q2770" s="10" t="n"/>
      <c r="R2770" s="10" t="n"/>
      <c r="S2770" s="16" t="inlineStr">
        <is>
          <t>https://mstgolf.co.th/products/gf2040118169</t>
        </is>
      </c>
      <c r="T2770" s="1">
        <f>IF(B2770="ไม้กอล์ฟ",J2770,"")</f>
        <v/>
      </c>
    </row>
    <row r="2771">
      <c r="A2771" s="1" t="n">
        <v>3</v>
      </c>
      <c r="B2771" s="1" t="inlineStr">
        <is>
          <t>เสื้อผ้า</t>
        </is>
      </c>
      <c r="C2771" s="1" t="inlineStr">
        <is>
          <t>gf2040118170</t>
        </is>
      </c>
      <c r="D2771" s="1" t="inlineStr">
        <is>
          <t>PETER MILLAR Solid Performance Jersey Men's Polo (Orange Nectar)</t>
        </is>
      </c>
      <c r="E2771" s="1" t="inlineStr">
        <is>
          <t>PETER MILLAR</t>
        </is>
      </c>
      <c r="F2771" s="1" t="inlineStr">
        <is>
          <t>SHORT SLEEVES</t>
        </is>
      </c>
      <c r="G2771" s="1" t="inlineStr">
        <is>
          <t>GF2040118170S</t>
        </is>
      </c>
      <c r="H2771" s="1" t="n">
        <v>5</v>
      </c>
      <c r="I2771" s="1" t="inlineStr">
        <is>
          <t>มี</t>
        </is>
      </c>
      <c r="J2771" s="13" t="n">
        <v>89</v>
      </c>
      <c r="K2771" s="1" t="inlineStr"/>
      <c r="L2771" s="13" t="n">
        <v>89</v>
      </c>
      <c r="M2771" s="1">
        <f>IF(L2771="","ไม่พบใน SG",IF(ABS(J2771-L2771)&lt;0.005,"ตรงกัน","ไม่ตรง"))</f>
        <v/>
      </c>
      <c r="N2771" s="14">
        <f>IF(L2771="","",ROUND(L2771*'สรุป'!$C$6,-1))</f>
        <v/>
      </c>
      <c r="O2771" s="15" t="n"/>
      <c r="P2771" s="15" t="n"/>
      <c r="Q2771" s="10" t="n"/>
      <c r="R2771" s="10" t="n"/>
      <c r="S2771" s="16" t="inlineStr">
        <is>
          <t>https://mstgolf.co.th/products/gf2040118170</t>
        </is>
      </c>
      <c r="T2771" s="1">
        <f>IF(B2771="ไม้กอล์ฟ",J2771,"")</f>
        <v/>
      </c>
    </row>
    <row r="2772">
      <c r="A2772" s="1" t="n">
        <v>3</v>
      </c>
      <c r="B2772" s="1" t="inlineStr">
        <is>
          <t>เสื้อผ้า</t>
        </is>
      </c>
      <c r="C2772" s="1" t="inlineStr">
        <is>
          <t>gf2020101842</t>
        </is>
      </c>
      <c r="D2772" s="1" t="inlineStr">
        <is>
          <t>PUMA 101 Men's Pants (Antique)</t>
        </is>
      </c>
      <c r="E2772" s="1" t="inlineStr">
        <is>
          <t>PUMA</t>
        </is>
      </c>
      <c r="F2772" s="1" t="inlineStr">
        <is>
          <t>LONG PANTS</t>
        </is>
      </c>
      <c r="G2772" s="1" t="inlineStr">
        <is>
          <t>GF202010184230</t>
        </is>
      </c>
      <c r="H2772" s="1" t="n">
        <v>6</v>
      </c>
      <c r="I2772" s="1" t="inlineStr">
        <is>
          <t>มี</t>
        </is>
      </c>
      <c r="J2772" s="13" t="n">
        <v>89</v>
      </c>
      <c r="K2772" s="1" t="inlineStr"/>
      <c r="L2772" s="13" t="n">
        <v>89</v>
      </c>
      <c r="M2772" s="1">
        <f>IF(L2772="","ไม่พบใน SG",IF(ABS(J2772-L2772)&lt;0.005,"ตรงกัน","ไม่ตรง"))</f>
        <v/>
      </c>
      <c r="N2772" s="14">
        <f>IF(L2772="","",ROUND(L2772*'สรุป'!$C$6,-1))</f>
        <v/>
      </c>
      <c r="O2772" s="15" t="n"/>
      <c r="P2772" s="15" t="n"/>
      <c r="Q2772" s="10" t="n"/>
      <c r="R2772" s="10" t="n"/>
      <c r="S2772" s="16" t="inlineStr">
        <is>
          <t>https://mstgolf.co.th/products/gf2020101842</t>
        </is>
      </c>
      <c r="T2772" s="1">
        <f>IF(B2772="ไม้กอล์ฟ",J2772,"")</f>
        <v/>
      </c>
    </row>
    <row r="2773">
      <c r="A2773" s="1" t="n">
        <v>3</v>
      </c>
      <c r="B2773" s="1" t="inlineStr">
        <is>
          <t>เสื้อผ้า</t>
        </is>
      </c>
      <c r="C2773" s="1" t="inlineStr">
        <is>
          <t>gf2020101692</t>
        </is>
      </c>
      <c r="D2773" s="1" t="inlineStr">
        <is>
          <t>PUMA 101 Men's Pants (Black)</t>
        </is>
      </c>
      <c r="E2773" s="1" t="inlineStr">
        <is>
          <t>PUMA</t>
        </is>
      </c>
      <c r="F2773" s="1" t="inlineStr">
        <is>
          <t>LONG PANTS</t>
        </is>
      </c>
      <c r="G2773" s="1" t="inlineStr">
        <is>
          <t>GF202010169228</t>
        </is>
      </c>
      <c r="H2773" s="1" t="n">
        <v>7</v>
      </c>
      <c r="I2773" s="1" t="inlineStr">
        <is>
          <t>มี</t>
        </is>
      </c>
      <c r="J2773" s="13" t="n">
        <v>89</v>
      </c>
      <c r="K2773" s="1" t="inlineStr"/>
      <c r="L2773" s="13" t="n">
        <v>89</v>
      </c>
      <c r="M2773" s="1">
        <f>IF(L2773="","ไม่พบใน SG",IF(ABS(J2773-L2773)&lt;0.005,"ตรงกัน","ไม่ตรง"))</f>
        <v/>
      </c>
      <c r="N2773" s="14">
        <f>IF(L2773="","",ROUND(L2773*'สรุป'!$C$6,-1))</f>
        <v/>
      </c>
      <c r="O2773" s="15" t="n"/>
      <c r="P2773" s="15" t="n"/>
      <c r="Q2773" s="10" t="n"/>
      <c r="R2773" s="10" t="n"/>
      <c r="S2773" s="16" t="inlineStr">
        <is>
          <t>https://mstgolf.co.th/products/gf2020101692</t>
        </is>
      </c>
      <c r="T2773" s="1">
        <f>IF(B2773="ไม้กอล์ฟ",J2773,"")</f>
        <v/>
      </c>
    </row>
    <row r="2774">
      <c r="A2774" s="1" t="n">
        <v>3</v>
      </c>
      <c r="B2774" s="1" t="inlineStr">
        <is>
          <t>เสื้อผ้า</t>
        </is>
      </c>
      <c r="C2774" s="1" t="inlineStr">
        <is>
          <t>gf2020101693</t>
        </is>
      </c>
      <c r="D2774" s="1" t="inlineStr">
        <is>
          <t>PUMA 101 Men's Pants (Navy Blazer)</t>
        </is>
      </c>
      <c r="E2774" s="1" t="inlineStr">
        <is>
          <t>PUMA</t>
        </is>
      </c>
      <c r="F2774" s="1" t="inlineStr">
        <is>
          <t>LONG PANTS</t>
        </is>
      </c>
      <c r="G2774" s="1" t="inlineStr">
        <is>
          <t>GF202010169328</t>
        </is>
      </c>
      <c r="H2774" s="1" t="n">
        <v>7</v>
      </c>
      <c r="I2774" s="1" t="inlineStr">
        <is>
          <t>มี</t>
        </is>
      </c>
      <c r="J2774" s="13" t="n">
        <v>89</v>
      </c>
      <c r="K2774" s="1" t="inlineStr"/>
      <c r="L2774" s="13" t="n">
        <v>89</v>
      </c>
      <c r="M2774" s="1">
        <f>IF(L2774="","ไม่พบใน SG",IF(ABS(J2774-L2774)&lt;0.005,"ตรงกัน","ไม่ตรง"))</f>
        <v/>
      </c>
      <c r="N2774" s="14">
        <f>IF(L2774="","",ROUND(L2774*'สรุป'!$C$6,-1))</f>
        <v/>
      </c>
      <c r="O2774" s="15" t="n"/>
      <c r="P2774" s="15" t="n"/>
      <c r="Q2774" s="10" t="n"/>
      <c r="R2774" s="10" t="n"/>
      <c r="S2774" s="16" t="inlineStr">
        <is>
          <t>https://mstgolf.co.th/products/gf2020101693</t>
        </is>
      </c>
      <c r="T2774" s="1">
        <f>IF(B2774="ไม้กอล์ฟ",J2774,"")</f>
        <v/>
      </c>
    </row>
    <row r="2775">
      <c r="A2775" s="1" t="n">
        <v>3</v>
      </c>
      <c r="B2775" s="1" t="inlineStr">
        <is>
          <t>เสื้อผ้า</t>
        </is>
      </c>
      <c r="C2775" s="1" t="inlineStr">
        <is>
          <t>gf2070400107</t>
        </is>
      </c>
      <c r="D2775" s="1" t="inlineStr">
        <is>
          <t>PUMA Baselayer Inner Men's Long Sleeve Shirt (Black)</t>
        </is>
      </c>
      <c r="E2775" s="1" t="inlineStr">
        <is>
          <t>PUMA</t>
        </is>
      </c>
      <c r="F2775" s="1" t="inlineStr">
        <is>
          <t>SHIRT</t>
        </is>
      </c>
      <c r="G2775" s="1" t="inlineStr">
        <is>
          <t>GF2070400107XS</t>
        </is>
      </c>
      <c r="H2775" s="1" t="n">
        <v>8</v>
      </c>
      <c r="I2775" s="1" t="inlineStr">
        <is>
          <t>มี</t>
        </is>
      </c>
      <c r="J2775" s="13" t="n">
        <v>89</v>
      </c>
      <c r="K2775" s="1" t="inlineStr"/>
      <c r="L2775" s="13" t="n">
        <v>89</v>
      </c>
      <c r="M2775" s="1">
        <f>IF(L2775="","ไม่พบใน SG",IF(ABS(J2775-L2775)&lt;0.005,"ตรงกัน","ไม่ตรง"))</f>
        <v/>
      </c>
      <c r="N2775" s="14">
        <f>IF(L2775="","",ROUND(L2775*'สรุป'!$C$6,-1))</f>
        <v/>
      </c>
      <c r="O2775" s="15" t="n"/>
      <c r="P2775" s="15" t="n"/>
      <c r="Q2775" s="10" t="n"/>
      <c r="R2775" s="10" t="n"/>
      <c r="S2775" s="16" t="inlineStr">
        <is>
          <t>https://mstgolf.co.th/products/gf2070400107</t>
        </is>
      </c>
      <c r="T2775" s="1">
        <f>IF(B2775="ไม้กอล์ฟ",J2775,"")</f>
        <v/>
      </c>
    </row>
    <row r="2776">
      <c r="A2776" s="1" t="n">
        <v>3</v>
      </c>
      <c r="B2776" s="1" t="inlineStr">
        <is>
          <t>เสื้อผ้า</t>
        </is>
      </c>
      <c r="C2776" s="1" t="inlineStr">
        <is>
          <t>gf2070400108</t>
        </is>
      </c>
      <c r="D2776" s="1" t="inlineStr">
        <is>
          <t>PUMA Baselayer Inner Men's Long Sleeve Shirt (White)</t>
        </is>
      </c>
      <c r="E2776" s="1" t="inlineStr">
        <is>
          <t>PUMA</t>
        </is>
      </c>
      <c r="F2776" s="1" t="inlineStr">
        <is>
          <t>SHIRT</t>
        </is>
      </c>
      <c r="G2776" s="1" t="inlineStr">
        <is>
          <t>GF2070400108XS</t>
        </is>
      </c>
      <c r="H2776" s="1" t="n">
        <v>8</v>
      </c>
      <c r="I2776" s="1" t="inlineStr">
        <is>
          <t>มี</t>
        </is>
      </c>
      <c r="J2776" s="13" t="n">
        <v>89</v>
      </c>
      <c r="K2776" s="1" t="inlineStr"/>
      <c r="L2776" s="13" t="n">
        <v>89</v>
      </c>
      <c r="M2776" s="1">
        <f>IF(L2776="","ไม่พบใน SG",IF(ABS(J2776-L2776)&lt;0.005,"ตรงกัน","ไม่ตรง"))</f>
        <v/>
      </c>
      <c r="N2776" s="14">
        <f>IF(L2776="","",ROUND(L2776*'สรุป'!$C$6,-1))</f>
        <v/>
      </c>
      <c r="O2776" s="15" t="n"/>
      <c r="P2776" s="15" t="n"/>
      <c r="Q2776" s="10" t="n"/>
      <c r="R2776" s="10" t="n"/>
      <c r="S2776" s="16" t="inlineStr">
        <is>
          <t>https://mstgolf.co.th/products/gf2070400108</t>
        </is>
      </c>
      <c r="T2776" s="1">
        <f>IF(B2776="ไม้กอล์ฟ",J2776,"")</f>
        <v/>
      </c>
    </row>
    <row r="2777">
      <c r="A2777" s="1" t="n">
        <v>3</v>
      </c>
      <c r="B2777" s="1" t="inlineStr">
        <is>
          <t>เสื้อผ้า</t>
        </is>
      </c>
      <c r="C2777" s="1" t="inlineStr">
        <is>
          <t>gf2020202327</t>
        </is>
      </c>
      <c r="D2777" s="1" t="inlineStr">
        <is>
          <t>PUMA Costa 8.5" Women's Shorts (Deep Navy)</t>
        </is>
      </c>
      <c r="E2777" s="1" t="inlineStr">
        <is>
          <t>PUMA</t>
        </is>
      </c>
      <c r="F2777" s="1" t="inlineStr">
        <is>
          <t>SHORT PANTS</t>
        </is>
      </c>
      <c r="G2777" s="1" t="inlineStr">
        <is>
          <t>GF2020202327XS</t>
        </is>
      </c>
      <c r="H2777" s="1" t="n">
        <v>7</v>
      </c>
      <c r="I2777" s="1" t="inlineStr">
        <is>
          <t>มี</t>
        </is>
      </c>
      <c r="J2777" s="13" t="n">
        <v>89</v>
      </c>
      <c r="K2777" s="1" t="inlineStr"/>
      <c r="L2777" s="13" t="n">
        <v>89</v>
      </c>
      <c r="M2777" s="1">
        <f>IF(L2777="","ไม่พบใน SG",IF(ABS(J2777-L2777)&lt;0.005,"ตรงกัน","ไม่ตรง"))</f>
        <v/>
      </c>
      <c r="N2777" s="14">
        <f>IF(L2777="","",ROUND(L2777*'สรุป'!$C$6,-1))</f>
        <v/>
      </c>
      <c r="O2777" s="15" t="n"/>
      <c r="P2777" s="15" t="n"/>
      <c r="Q2777" s="10" t="n"/>
      <c r="R2777" s="10" t="n"/>
      <c r="S2777" s="16" t="inlineStr">
        <is>
          <t>https://mstgolf.co.th/products/gf2020202327</t>
        </is>
      </c>
      <c r="T2777" s="1">
        <f>IF(B2777="ไม้กอล์ฟ",J2777,"")</f>
        <v/>
      </c>
    </row>
    <row r="2778">
      <c r="A2778" s="1" t="n">
        <v>3</v>
      </c>
      <c r="B2778" s="1" t="inlineStr">
        <is>
          <t>เสื้อผ้า</t>
        </is>
      </c>
      <c r="C2778" s="1" t="inlineStr">
        <is>
          <t>gf2040118449</t>
        </is>
      </c>
      <c r="D2778" s="1" t="inlineStr">
        <is>
          <t>PUMA Fair Isle Print Men's Polo (White/Blue)</t>
        </is>
      </c>
      <c r="E2778" s="1" t="inlineStr">
        <is>
          <t>PUMA</t>
        </is>
      </c>
      <c r="F2778" s="1" t="inlineStr">
        <is>
          <t>SHORT SLEEVES</t>
        </is>
      </c>
      <c r="G2778" s="1" t="inlineStr">
        <is>
          <t>GF2040118449S</t>
        </is>
      </c>
      <c r="H2778" s="1" t="n">
        <v>5</v>
      </c>
      <c r="I2778" s="1" t="inlineStr">
        <is>
          <t>มี</t>
        </is>
      </c>
      <c r="J2778" s="13" t="n">
        <v>89</v>
      </c>
      <c r="K2778" s="1" t="inlineStr"/>
      <c r="L2778" s="13" t="n">
        <v>89</v>
      </c>
      <c r="M2778" s="1">
        <f>IF(L2778="","ไม่พบใน SG",IF(ABS(J2778-L2778)&lt;0.005,"ตรงกัน","ไม่ตรง"))</f>
        <v/>
      </c>
      <c r="N2778" s="14">
        <f>IF(L2778="","",ROUND(L2778*'สรุป'!$C$6,-1))</f>
        <v/>
      </c>
      <c r="O2778" s="15" t="n"/>
      <c r="P2778" s="15" t="n"/>
      <c r="Q2778" s="10" t="n"/>
      <c r="R2778" s="10" t="n"/>
      <c r="S2778" s="16" t="inlineStr">
        <is>
          <t>https://mstgolf.co.th/products/gf2040118449</t>
        </is>
      </c>
      <c r="T2778" s="1">
        <f>IF(B2778="ไม้กอล์ฟ",J2778,"")</f>
        <v/>
      </c>
    </row>
    <row r="2779">
      <c r="A2779" s="1" t="n">
        <v>3</v>
      </c>
      <c r="B2779" s="1" t="inlineStr">
        <is>
          <t>เสื้อผ้า</t>
        </is>
      </c>
      <c r="C2779" s="1" t="inlineStr">
        <is>
          <t>gf2040118450</t>
        </is>
      </c>
      <c r="D2779" s="1" t="inlineStr">
        <is>
          <t>PUMA Fair Isle Print Polo (Blue /White)</t>
        </is>
      </c>
      <c r="E2779" s="1" t="inlineStr">
        <is>
          <t>PUMA</t>
        </is>
      </c>
      <c r="F2779" s="1" t="inlineStr">
        <is>
          <t>SHORT SLEEVES</t>
        </is>
      </c>
      <c r="G2779" s="1" t="inlineStr">
        <is>
          <t>GF2040118450XS</t>
        </is>
      </c>
      <c r="H2779" s="1" t="n">
        <v>7</v>
      </c>
      <c r="I2779" s="1" t="inlineStr">
        <is>
          <t>มี</t>
        </is>
      </c>
      <c r="J2779" s="13" t="n">
        <v>89</v>
      </c>
      <c r="K2779" s="1" t="inlineStr"/>
      <c r="L2779" s="13" t="n">
        <v>89</v>
      </c>
      <c r="M2779" s="1">
        <f>IF(L2779="","ไม่พบใน SG",IF(ABS(J2779-L2779)&lt;0.005,"ตรงกัน","ไม่ตรง"))</f>
        <v/>
      </c>
      <c r="N2779" s="14">
        <f>IF(L2779="","",ROUND(L2779*'สรุป'!$C$6,-1))</f>
        <v/>
      </c>
      <c r="O2779" s="15" t="n"/>
      <c r="P2779" s="15" t="n"/>
      <c r="Q2779" s="10" t="n"/>
      <c r="R2779" s="10" t="n"/>
      <c r="S2779" s="16" t="inlineStr">
        <is>
          <t>https://mstgolf.co.th/products/gf2040118450</t>
        </is>
      </c>
      <c r="T2779" s="1">
        <f>IF(B2779="ไม้กอล์ฟ",J2779,"")</f>
        <v/>
      </c>
    </row>
    <row r="2780">
      <c r="A2780" s="1" t="n">
        <v>3</v>
      </c>
      <c r="B2780" s="1" t="inlineStr">
        <is>
          <t>เสื้อผ้า</t>
        </is>
      </c>
      <c r="C2780" s="1" t="inlineStr">
        <is>
          <t>gf2040117461</t>
        </is>
      </c>
      <c r="D2780" s="1" t="inlineStr">
        <is>
          <t>PUMA Japan Stretch Smooth Men's Polo Set (Deep Navy)</t>
        </is>
      </c>
      <c r="E2780" s="1" t="inlineStr">
        <is>
          <t>PUMA</t>
        </is>
      </c>
      <c r="F2780" s="1" t="inlineStr">
        <is>
          <t>SHORT SLEEVES</t>
        </is>
      </c>
      <c r="G2780" s="1" t="inlineStr">
        <is>
          <t>GF2040117461S</t>
        </is>
      </c>
      <c r="H2780" s="1" t="n">
        <v>5</v>
      </c>
      <c r="I2780" s="1" t="inlineStr">
        <is>
          <t>มี</t>
        </is>
      </c>
      <c r="J2780" s="13" t="n">
        <v>89</v>
      </c>
      <c r="K2780" s="1" t="inlineStr"/>
      <c r="L2780" s="13" t="n">
        <v>89</v>
      </c>
      <c r="M2780" s="1">
        <f>IF(L2780="","ไม่พบใน SG",IF(ABS(J2780-L2780)&lt;0.005,"ตรงกัน","ไม่ตรง"))</f>
        <v/>
      </c>
      <c r="N2780" s="14">
        <f>IF(L2780="","",ROUND(L2780*'สรุป'!$C$6,-1))</f>
        <v/>
      </c>
      <c r="O2780" s="15" t="n"/>
      <c r="P2780" s="15" t="n"/>
      <c r="Q2780" s="10" t="n"/>
      <c r="R2780" s="10" t="n"/>
      <c r="S2780" s="16" t="inlineStr">
        <is>
          <t>https://mstgolf.co.th/products/gf2040117461</t>
        </is>
      </c>
      <c r="T2780" s="1">
        <f>IF(B2780="ไม้กอล์ฟ",J2780,"")</f>
        <v/>
      </c>
    </row>
    <row r="2781">
      <c r="A2781" s="1" t="n">
        <v>3</v>
      </c>
      <c r="B2781" s="1" t="inlineStr">
        <is>
          <t>เสื้อผ้า</t>
        </is>
      </c>
      <c r="C2781" s="1" t="inlineStr">
        <is>
          <t>gf2040117447</t>
        </is>
      </c>
      <c r="D2781" s="1" t="inlineStr">
        <is>
          <t>PUMA MATTR Tropic Women's Polo (White/Vine)</t>
        </is>
      </c>
      <c r="E2781" s="1" t="inlineStr">
        <is>
          <t>PUMA</t>
        </is>
      </c>
      <c r="F2781" s="1" t="inlineStr">
        <is>
          <t>SHORT SLEEVES</t>
        </is>
      </c>
      <c r="G2781" s="1" t="inlineStr">
        <is>
          <t>GF2040117447XS</t>
        </is>
      </c>
      <c r="H2781" s="1" t="n">
        <v>5</v>
      </c>
      <c r="I2781" s="1" t="inlineStr">
        <is>
          <t>มี</t>
        </is>
      </c>
      <c r="J2781" s="13" t="n">
        <v>89</v>
      </c>
      <c r="K2781" s="1" t="inlineStr"/>
      <c r="L2781" s="13" t="n">
        <v>59</v>
      </c>
      <c r="M2781" s="1">
        <f>IF(L2781="","ไม่พบใน SG",IF(ABS(J2781-L2781)&lt;0.005,"ตรงกัน","ไม่ตรง"))</f>
        <v/>
      </c>
      <c r="N2781" s="14">
        <f>IF(L2781="","",ROUND(L2781*'สรุป'!$C$6,-1))</f>
        <v/>
      </c>
      <c r="O2781" s="15" t="n"/>
      <c r="P2781" s="15" t="n"/>
      <c r="Q2781" s="10" t="n"/>
      <c r="R2781" s="10" t="n"/>
      <c r="S2781" s="16" t="inlineStr">
        <is>
          <t>https://mstgolf.co.th/products/gf2040117447</t>
        </is>
      </c>
      <c r="T2781" s="1">
        <f>IF(B2781="ไม้กอล์ฟ",J2781,"")</f>
        <v/>
      </c>
    </row>
    <row r="2782">
      <c r="A2782" s="1" t="n">
        <v>3</v>
      </c>
      <c r="B2782" s="1" t="inlineStr">
        <is>
          <t>เสื้อผ้า</t>
        </is>
      </c>
      <c r="C2782" s="1" t="inlineStr">
        <is>
          <t>gf2040118436</t>
        </is>
      </c>
      <c r="D2782" s="1" t="inlineStr">
        <is>
          <t>PUMA x Arnold Palmer Floral Men's Polo (Cold Green)</t>
        </is>
      </c>
      <c r="E2782" s="1" t="inlineStr">
        <is>
          <t>PUMA</t>
        </is>
      </c>
      <c r="F2782" s="1" t="inlineStr">
        <is>
          <t>SHORT SLEEVES</t>
        </is>
      </c>
      <c r="G2782" s="1" t="inlineStr">
        <is>
          <t>GF2040118436XS</t>
        </is>
      </c>
      <c r="H2782" s="1" t="n">
        <v>7</v>
      </c>
      <c r="I2782" s="1" t="inlineStr">
        <is>
          <t>มี</t>
        </is>
      </c>
      <c r="J2782" s="13" t="n">
        <v>89</v>
      </c>
      <c r="K2782" s="1" t="inlineStr"/>
      <c r="L2782" s="13" t="n">
        <v>65</v>
      </c>
      <c r="M2782" s="1">
        <f>IF(L2782="","ไม่พบใน SG",IF(ABS(J2782-L2782)&lt;0.005,"ตรงกัน","ไม่ตรง"))</f>
        <v/>
      </c>
      <c r="N2782" s="14">
        <f>IF(L2782="","",ROUND(L2782*'สรุป'!$C$6,-1))</f>
        <v/>
      </c>
      <c r="O2782" s="15" t="n"/>
      <c r="P2782" s="15" t="n"/>
      <c r="Q2782" s="10" t="n"/>
      <c r="R2782" s="10" t="n"/>
      <c r="S2782" s="16" t="inlineStr">
        <is>
          <t>https://mstgolf.co.th/products/gf2040118436</t>
        </is>
      </c>
      <c r="T2782" s="1">
        <f>IF(B2782="ไม้กอล์ฟ",J2782,"")</f>
        <v/>
      </c>
    </row>
    <row r="2783">
      <c r="A2783" s="1" t="n">
        <v>3</v>
      </c>
      <c r="B2783" s="1" t="inlineStr">
        <is>
          <t>เสื้อผ้า</t>
        </is>
      </c>
      <c r="C2783" s="1" t="inlineStr">
        <is>
          <t>gf2040119296</t>
        </is>
      </c>
      <c r="D2783" s="1" t="inlineStr">
        <is>
          <t>PUMA x Arnold Palmer Women's Pique Polo (Zen Blue)</t>
        </is>
      </c>
      <c r="E2783" s="1" t="inlineStr">
        <is>
          <t>PUMA</t>
        </is>
      </c>
      <c r="F2783" s="1" t="inlineStr">
        <is>
          <t>SHORT SLEEVES</t>
        </is>
      </c>
      <c r="G2783" s="1" t="inlineStr">
        <is>
          <t>GF2040119296XS</t>
        </is>
      </c>
      <c r="H2783" s="1" t="n">
        <v>5</v>
      </c>
      <c r="I2783" s="1" t="inlineStr">
        <is>
          <t>มี</t>
        </is>
      </c>
      <c r="J2783" s="13" t="n">
        <v>89</v>
      </c>
      <c r="K2783" s="1" t="inlineStr"/>
      <c r="L2783" s="13" t="n">
        <v>89</v>
      </c>
      <c r="M2783" s="1">
        <f>IF(L2783="","ไม่พบใน SG",IF(ABS(J2783-L2783)&lt;0.005,"ตรงกัน","ไม่ตรง"))</f>
        <v/>
      </c>
      <c r="N2783" s="14">
        <f>IF(L2783="","",ROUND(L2783*'สรุป'!$C$6,-1))</f>
        <v/>
      </c>
      <c r="O2783" s="15" t="n"/>
      <c r="P2783" s="15" t="n"/>
      <c r="Q2783" s="10" t="n"/>
      <c r="R2783" s="10" t="n"/>
      <c r="S2783" s="16" t="inlineStr">
        <is>
          <t>https://mstgolf.co.th/products/gf2040119296</t>
        </is>
      </c>
      <c r="T2783" s="1">
        <f>IF(B2783="ไม้กอล์ฟ",J2783,"")</f>
        <v/>
      </c>
    </row>
    <row r="2784">
      <c r="A2784" s="1" t="n">
        <v>3</v>
      </c>
      <c r="B2784" s="1" t="inlineStr">
        <is>
          <t>เสื้อผ้า</t>
        </is>
      </c>
      <c r="C2784" s="1" t="inlineStr">
        <is>
          <t>gf2040300141</t>
        </is>
      </c>
      <c r="D2784" s="1" t="inlineStr">
        <is>
          <t>UNDER ARMOUR Drive Dress (Midnight Navy)</t>
        </is>
      </c>
      <c r="E2784" s="1" t="inlineStr">
        <is>
          <t>UNDER ARMOUR</t>
        </is>
      </c>
      <c r="F2784" s="1" t="inlineStr">
        <is>
          <t>DRESS</t>
        </is>
      </c>
      <c r="G2784" s="1" t="inlineStr">
        <is>
          <t>GF2040300141XS</t>
        </is>
      </c>
      <c r="H2784" s="1" t="n">
        <v>5</v>
      </c>
      <c r="I2784" s="1" t="inlineStr">
        <is>
          <t>มี</t>
        </is>
      </c>
      <c r="J2784" s="13" t="n">
        <v>89</v>
      </c>
      <c r="K2784" s="1" t="inlineStr"/>
      <c r="L2784" s="13" t="n">
        <v>59</v>
      </c>
      <c r="M2784" s="1">
        <f>IF(L2784="","ไม่พบใน SG",IF(ABS(J2784-L2784)&lt;0.005,"ตรงกัน","ไม่ตรง"))</f>
        <v/>
      </c>
      <c r="N2784" s="14">
        <f>IF(L2784="","",ROUND(L2784*'สรุป'!$C$6,-1))</f>
        <v/>
      </c>
      <c r="O2784" s="15" t="n"/>
      <c r="P2784" s="15" t="n"/>
      <c r="Q2784" s="10" t="n"/>
      <c r="R2784" s="10" t="n"/>
      <c r="S2784" s="16" t="inlineStr">
        <is>
          <t>https://mstgolf.co.th/products/gf2040300141</t>
        </is>
      </c>
      <c r="T2784" s="1">
        <f>IF(B2784="ไม้กอล์ฟ",J2784,"")</f>
        <v/>
      </c>
    </row>
    <row r="2785">
      <c r="A2785" s="1" t="n">
        <v>3</v>
      </c>
      <c r="B2785" s="1" t="inlineStr">
        <is>
          <t>เสื้อผ้า</t>
        </is>
      </c>
      <c r="C2785" s="1" t="inlineStr">
        <is>
          <t>gf2040300142</t>
        </is>
      </c>
      <c r="D2785" s="1" t="inlineStr">
        <is>
          <t>UNDER ARMOUR Drive Romper (Black)</t>
        </is>
      </c>
      <c r="E2785" s="1" t="inlineStr">
        <is>
          <t>UNDER ARMOUR</t>
        </is>
      </c>
      <c r="F2785" s="1" t="inlineStr">
        <is>
          <t>DRESS</t>
        </is>
      </c>
      <c r="G2785" s="1" t="inlineStr">
        <is>
          <t>GF2040300142XS</t>
        </is>
      </c>
      <c r="H2785" s="1" t="n">
        <v>5</v>
      </c>
      <c r="I2785" s="1" t="inlineStr">
        <is>
          <t>มี</t>
        </is>
      </c>
      <c r="J2785" s="13" t="n">
        <v>89</v>
      </c>
      <c r="K2785" s="1" t="inlineStr"/>
      <c r="L2785" s="13" t="n">
        <v>89</v>
      </c>
      <c r="M2785" s="1">
        <f>IF(L2785="","ไม่พบใน SG",IF(ABS(J2785-L2785)&lt;0.005,"ตรงกัน","ไม่ตรง"))</f>
        <v/>
      </c>
      <c r="N2785" s="14">
        <f>IF(L2785="","",ROUND(L2785*'สรุป'!$C$6,-1))</f>
        <v/>
      </c>
      <c r="O2785" s="15" t="n"/>
      <c r="P2785" s="15" t="n"/>
      <c r="Q2785" s="10" t="n"/>
      <c r="R2785" s="10" t="n"/>
      <c r="S2785" s="16" t="inlineStr">
        <is>
          <t>https://mstgolf.co.th/products/gf2040300142</t>
        </is>
      </c>
      <c r="T2785" s="1">
        <f>IF(B2785="ไม้กอล์ฟ",J2785,"")</f>
        <v/>
      </c>
    </row>
    <row r="2786">
      <c r="A2786" s="1" t="n">
        <v>3</v>
      </c>
      <c r="B2786" s="1" t="inlineStr">
        <is>
          <t>เสื้อผ้า</t>
        </is>
      </c>
      <c r="C2786" s="1" t="inlineStr">
        <is>
          <t>gf2040300143</t>
        </is>
      </c>
      <c r="D2786" s="1" t="inlineStr">
        <is>
          <t>UNDER ARMOUR Drive Romper (Silica Green)</t>
        </is>
      </c>
      <c r="E2786" s="1" t="inlineStr">
        <is>
          <t>UNDER ARMOUR</t>
        </is>
      </c>
      <c r="F2786" s="1" t="inlineStr">
        <is>
          <t>DRESS</t>
        </is>
      </c>
      <c r="G2786" s="1" t="inlineStr">
        <is>
          <t>GF2040300143XS</t>
        </is>
      </c>
      <c r="H2786" s="1" t="n">
        <v>5</v>
      </c>
      <c r="I2786" s="1" t="inlineStr">
        <is>
          <t>มี</t>
        </is>
      </c>
      <c r="J2786" s="13" t="n">
        <v>89</v>
      </c>
      <c r="K2786" s="1" t="inlineStr"/>
      <c r="L2786" s="13" t="n">
        <v>89</v>
      </c>
      <c r="M2786" s="1">
        <f>IF(L2786="","ไม่พบใน SG",IF(ABS(J2786-L2786)&lt;0.005,"ตรงกัน","ไม่ตรง"))</f>
        <v/>
      </c>
      <c r="N2786" s="14">
        <f>IF(L2786="","",ROUND(L2786*'สรุป'!$C$6,-1))</f>
        <v/>
      </c>
      <c r="O2786" s="15" t="n"/>
      <c r="P2786" s="15" t="n"/>
      <c r="Q2786" s="10" t="n"/>
      <c r="R2786" s="10" t="n"/>
      <c r="S2786" s="16" t="inlineStr">
        <is>
          <t>https://mstgolf.co.th/products/gf2040300143</t>
        </is>
      </c>
      <c r="T2786" s="1">
        <f>IF(B2786="ไม้กอล์ฟ",J2786,"")</f>
        <v/>
      </c>
    </row>
    <row r="2787">
      <c r="A2787" s="1" t="n">
        <v>3</v>
      </c>
      <c r="B2787" s="1" t="inlineStr">
        <is>
          <t>เสื้อผ้า</t>
        </is>
      </c>
      <c r="C2787" s="1" t="inlineStr">
        <is>
          <t>gf2040120403</t>
        </is>
      </c>
      <c r="D2787" s="1" t="inlineStr">
        <is>
          <t>UNDER ARMOUR Matchplay Printed Men's Polo (Midnight Navy)</t>
        </is>
      </c>
      <c r="E2787" s="1" t="inlineStr">
        <is>
          <t>UNDER ARMOUR</t>
        </is>
      </c>
      <c r="F2787" s="1" t="inlineStr">
        <is>
          <t>SHORT SLEEVES</t>
        </is>
      </c>
      <c r="G2787" s="1" t="inlineStr">
        <is>
          <t>GF2040120403S</t>
        </is>
      </c>
      <c r="H2787" s="1" t="n">
        <v>5</v>
      </c>
      <c r="I2787" s="1" t="inlineStr">
        <is>
          <t>มี</t>
        </is>
      </c>
      <c r="J2787" s="13" t="n">
        <v>89</v>
      </c>
      <c r="K2787" s="1" t="inlineStr"/>
      <c r="L2787" s="13" t="n">
        <v>65</v>
      </c>
      <c r="M2787" s="1">
        <f>IF(L2787="","ไม่พบใน SG",IF(ABS(J2787-L2787)&lt;0.005,"ตรงกัน","ไม่ตรง"))</f>
        <v/>
      </c>
      <c r="N2787" s="14">
        <f>IF(L2787="","",ROUND(L2787*'สรุป'!$C$6,-1))</f>
        <v/>
      </c>
      <c r="O2787" s="15" t="n"/>
      <c r="P2787" s="15" t="n"/>
      <c r="Q2787" s="10" t="n"/>
      <c r="R2787" s="10" t="n"/>
      <c r="S2787" s="16" t="inlineStr">
        <is>
          <t>https://mstgolf.co.th/products/gf2040120403</t>
        </is>
      </c>
      <c r="T2787" s="1">
        <f>IF(B2787="ไม้กอล์ฟ",J2787,"")</f>
        <v/>
      </c>
    </row>
    <row r="2788">
      <c r="A2788" s="1" t="n">
        <v>3</v>
      </c>
      <c r="B2788" s="1" t="inlineStr">
        <is>
          <t>เสื้อผ้า</t>
        </is>
      </c>
      <c r="C2788" s="1" t="inlineStr">
        <is>
          <t>gf2040117227</t>
        </is>
      </c>
      <c r="D2788" s="1" t="inlineStr">
        <is>
          <t>UNDER ARMOUR Playoff 3.0 Coral Jacquard Men’s Polo (Celeste)</t>
        </is>
      </c>
      <c r="E2788" s="1" t="inlineStr">
        <is>
          <t>UNDER ARMOUR</t>
        </is>
      </c>
      <c r="F2788" s="1" t="inlineStr">
        <is>
          <t>SHORT SLEEVES</t>
        </is>
      </c>
      <c r="G2788" s="1" t="inlineStr">
        <is>
          <t>GF2040117227S</t>
        </is>
      </c>
      <c r="H2788" s="1" t="n">
        <v>5</v>
      </c>
      <c r="I2788" s="1" t="inlineStr">
        <is>
          <t>มี</t>
        </is>
      </c>
      <c r="J2788" s="13" t="n">
        <v>89</v>
      </c>
      <c r="K2788" s="1" t="inlineStr"/>
      <c r="L2788" s="13" t="n">
        <v>89</v>
      </c>
      <c r="M2788" s="1">
        <f>IF(L2788="","ไม่พบใน SG",IF(ABS(J2788-L2788)&lt;0.005,"ตรงกัน","ไม่ตรง"))</f>
        <v/>
      </c>
      <c r="N2788" s="14">
        <f>IF(L2788="","",ROUND(L2788*'สรุป'!$C$6,-1))</f>
        <v/>
      </c>
      <c r="O2788" s="15" t="n"/>
      <c r="P2788" s="15" t="n"/>
      <c r="Q2788" s="10" t="n"/>
      <c r="R2788" s="10" t="n"/>
      <c r="S2788" s="16" t="inlineStr">
        <is>
          <t>https://mstgolf.co.th/products/gf2040117227</t>
        </is>
      </c>
      <c r="T2788" s="1">
        <f>IF(B2788="ไม้กอล์ฟ",J2788,"")</f>
        <v/>
      </c>
    </row>
    <row r="2789">
      <c r="A2789" s="1" t="n">
        <v>3</v>
      </c>
      <c r="B2789" s="1" t="inlineStr">
        <is>
          <t>เสื้อผ้า</t>
        </is>
      </c>
      <c r="C2789" s="1" t="inlineStr">
        <is>
          <t>gf2040120405</t>
        </is>
      </c>
      <c r="D2789" s="1" t="inlineStr">
        <is>
          <t>UNDER ARMOUR Playoff 3.0 Men's Polo (Maroon Mist)</t>
        </is>
      </c>
      <c r="E2789" s="1" t="inlineStr">
        <is>
          <t>UNDER ARMOUR</t>
        </is>
      </c>
      <c r="F2789" s="1" t="inlineStr">
        <is>
          <t>SHORT SLEEVES</t>
        </is>
      </c>
      <c r="G2789" s="1" t="inlineStr">
        <is>
          <t>GF2040120405S</t>
        </is>
      </c>
      <c r="H2789" s="1" t="n">
        <v>5</v>
      </c>
      <c r="I2789" s="1" t="inlineStr">
        <is>
          <t>มี</t>
        </is>
      </c>
      <c r="J2789" s="13" t="n">
        <v>89</v>
      </c>
      <c r="K2789" s="1" t="inlineStr"/>
      <c r="L2789" s="13" t="n">
        <v>89</v>
      </c>
      <c r="M2789" s="1">
        <f>IF(L2789="","ไม่พบใน SG",IF(ABS(J2789-L2789)&lt;0.005,"ตรงกัน","ไม่ตรง"))</f>
        <v/>
      </c>
      <c r="N2789" s="14">
        <f>IF(L2789="","",ROUND(L2789*'สรุป'!$C$6,-1))</f>
        <v/>
      </c>
      <c r="O2789" s="15" t="n"/>
      <c r="P2789" s="15" t="n"/>
      <c r="Q2789" s="10" t="n"/>
      <c r="R2789" s="10" t="n"/>
      <c r="S2789" s="16" t="inlineStr">
        <is>
          <t>https://mstgolf.co.th/products/gf2040120405</t>
        </is>
      </c>
      <c r="T2789" s="1">
        <f>IF(B2789="ไม้กอล์ฟ",J2789,"")</f>
        <v/>
      </c>
    </row>
    <row r="2790">
      <c r="A2790" s="1" t="n">
        <v>3</v>
      </c>
      <c r="B2790" s="1" t="inlineStr">
        <is>
          <t>เสื้อผ้า</t>
        </is>
      </c>
      <c r="C2790" s="1" t="inlineStr">
        <is>
          <t>gf2040120458</t>
        </is>
      </c>
      <c r="D2790" s="1" t="inlineStr">
        <is>
          <t>UNDER ARMOUR Playoff 3.0 Men's Printed Polo (Midnight Navy)</t>
        </is>
      </c>
      <c r="E2790" s="1" t="inlineStr">
        <is>
          <t>UNDER ARMOUR</t>
        </is>
      </c>
      <c r="F2790" s="1" t="inlineStr">
        <is>
          <t>SHORT SLEEVES</t>
        </is>
      </c>
      <c r="G2790" s="1" t="inlineStr">
        <is>
          <t>GF2040120458S</t>
        </is>
      </c>
      <c r="H2790" s="1" t="n">
        <v>5</v>
      </c>
      <c r="I2790" s="1" t="inlineStr">
        <is>
          <t>มี</t>
        </is>
      </c>
      <c r="J2790" s="13" t="n">
        <v>89</v>
      </c>
      <c r="K2790" s="1" t="inlineStr"/>
      <c r="L2790" s="13" t="n">
        <v>89</v>
      </c>
      <c r="M2790" s="1">
        <f>IF(L2790="","ไม่พบใน SG",IF(ABS(J2790-L2790)&lt;0.005,"ตรงกัน","ไม่ตรง"))</f>
        <v/>
      </c>
      <c r="N2790" s="14">
        <f>IF(L2790="","",ROUND(L2790*'สรุป'!$C$6,-1))</f>
        <v/>
      </c>
      <c r="O2790" s="15" t="n"/>
      <c r="P2790" s="15" t="n"/>
      <c r="Q2790" s="10" t="n"/>
      <c r="R2790" s="10" t="n"/>
      <c r="S2790" s="16" t="inlineStr">
        <is>
          <t>https://mstgolf.co.th/products/gf2040120458</t>
        </is>
      </c>
      <c r="T2790" s="1">
        <f>IF(B2790="ไม้กอล์ฟ",J2790,"")</f>
        <v/>
      </c>
    </row>
    <row r="2791">
      <c r="A2791" s="1" t="n">
        <v>3</v>
      </c>
      <c r="B2791" s="1" t="inlineStr">
        <is>
          <t>เสื้อผ้า</t>
        </is>
      </c>
      <c r="C2791" s="1" t="inlineStr">
        <is>
          <t>gf2040120352</t>
        </is>
      </c>
      <c r="D2791" s="1" t="inlineStr">
        <is>
          <t>UNDER ARMOUR Playoff 3.0 Men's Printed Polo (Serpentine)</t>
        </is>
      </c>
      <c r="E2791" s="1" t="inlineStr">
        <is>
          <t>UNDER ARMOUR</t>
        </is>
      </c>
      <c r="F2791" s="1" t="inlineStr">
        <is>
          <t>SHORT SLEEVES</t>
        </is>
      </c>
      <c r="G2791" s="1" t="inlineStr">
        <is>
          <t>GF2040120352S</t>
        </is>
      </c>
      <c r="H2791" s="1" t="n">
        <v>5</v>
      </c>
      <c r="I2791" s="1" t="inlineStr">
        <is>
          <t>มี</t>
        </is>
      </c>
      <c r="J2791" s="13" t="n">
        <v>89</v>
      </c>
      <c r="K2791" s="1" t="inlineStr"/>
      <c r="L2791" s="13" t="n">
        <v>89</v>
      </c>
      <c r="M2791" s="1">
        <f>IF(L2791="","ไม่พบใน SG",IF(ABS(J2791-L2791)&lt;0.005,"ตรงกัน","ไม่ตรง"))</f>
        <v/>
      </c>
      <c r="N2791" s="14">
        <f>IF(L2791="","",ROUND(L2791*'สรุป'!$C$6,-1))</f>
        <v/>
      </c>
      <c r="O2791" s="15" t="n"/>
      <c r="P2791" s="15" t="n"/>
      <c r="Q2791" s="10" t="n"/>
      <c r="R2791" s="10" t="n"/>
      <c r="S2791" s="16" t="inlineStr">
        <is>
          <t>https://mstgolf.co.th/products/gf2040120352</t>
        </is>
      </c>
      <c r="T2791" s="1">
        <f>IF(B2791="ไม้กอล์ฟ",J2791,"")</f>
        <v/>
      </c>
    </row>
    <row r="2792">
      <c r="A2792" s="1" t="n">
        <v>3</v>
      </c>
      <c r="B2792" s="1" t="inlineStr">
        <is>
          <t>เสื้อผ้า</t>
        </is>
      </c>
      <c r="C2792" s="1" t="inlineStr">
        <is>
          <t>gf2040120356</t>
        </is>
      </c>
      <c r="D2792" s="1" t="inlineStr">
        <is>
          <t>UNDER ARMOUR Playoff 3.0 Men's Printed Polo (Transparent)</t>
        </is>
      </c>
      <c r="E2792" s="1" t="inlineStr">
        <is>
          <t>UNDER ARMOUR</t>
        </is>
      </c>
      <c r="F2792" s="1" t="inlineStr">
        <is>
          <t>SHORT SLEEVES</t>
        </is>
      </c>
      <c r="G2792" s="1" t="inlineStr">
        <is>
          <t>GF2040120356S</t>
        </is>
      </c>
      <c r="H2792" s="1" t="n">
        <v>5</v>
      </c>
      <c r="I2792" s="1" t="inlineStr">
        <is>
          <t>มี</t>
        </is>
      </c>
      <c r="J2792" s="13" t="n">
        <v>89</v>
      </c>
      <c r="K2792" s="1" t="inlineStr"/>
      <c r="L2792" s="13" t="n">
        <v>89</v>
      </c>
      <c r="M2792" s="1">
        <f>IF(L2792="","ไม่พบใน SG",IF(ABS(J2792-L2792)&lt;0.005,"ตรงกัน","ไม่ตรง"))</f>
        <v/>
      </c>
      <c r="N2792" s="14">
        <f>IF(L2792="","",ROUND(L2792*'สรุป'!$C$6,-1))</f>
        <v/>
      </c>
      <c r="O2792" s="15" t="n"/>
      <c r="P2792" s="15" t="n"/>
      <c r="Q2792" s="10" t="n"/>
      <c r="R2792" s="10" t="n"/>
      <c r="S2792" s="16" t="inlineStr">
        <is>
          <t>https://mstgolf.co.th/products/gf2040120356</t>
        </is>
      </c>
      <c r="T2792" s="1">
        <f>IF(B2792="ไม้กอล์ฟ",J2792,"")</f>
        <v/>
      </c>
    </row>
    <row r="2793">
      <c r="A2793" s="1" t="n">
        <v>3</v>
      </c>
      <c r="B2793" s="1" t="inlineStr">
        <is>
          <t>เสื้อผ้า</t>
        </is>
      </c>
      <c r="C2793" s="1" t="inlineStr">
        <is>
          <t>gf2040119202</t>
        </is>
      </c>
      <c r="D2793" s="1" t="inlineStr">
        <is>
          <t>UNDER ARMOUR Playoff 3.0 Stripe Men's Polo (White/Steel)</t>
        </is>
      </c>
      <c r="E2793" s="1" t="inlineStr">
        <is>
          <t>UNDER ARMOUR</t>
        </is>
      </c>
      <c r="F2793" s="1" t="inlineStr">
        <is>
          <t>SHORT SLEEVES</t>
        </is>
      </c>
      <c r="G2793" s="1" t="inlineStr">
        <is>
          <t>GF2040119202S</t>
        </is>
      </c>
      <c r="H2793" s="1" t="n">
        <v>5</v>
      </c>
      <c r="I2793" s="1" t="inlineStr">
        <is>
          <t>มี</t>
        </is>
      </c>
      <c r="J2793" s="13" t="n">
        <v>89</v>
      </c>
      <c r="K2793" s="1" t="inlineStr"/>
      <c r="L2793" s="13" t="n">
        <v>89</v>
      </c>
      <c r="M2793" s="1">
        <f>IF(L2793="","ไม่พบใน SG",IF(ABS(J2793-L2793)&lt;0.005,"ตรงกัน","ไม่ตรง"))</f>
        <v/>
      </c>
      <c r="N2793" s="14">
        <f>IF(L2793="","",ROUND(L2793*'สรุป'!$C$6,-1))</f>
        <v/>
      </c>
      <c r="O2793" s="15" t="n"/>
      <c r="P2793" s="15" t="n"/>
      <c r="Q2793" s="10" t="n"/>
      <c r="R2793" s="10" t="n"/>
      <c r="S2793" s="16" t="inlineStr">
        <is>
          <t>https://mstgolf.co.th/products/gf2040119202</t>
        </is>
      </c>
      <c r="T2793" s="1">
        <f>IF(B2793="ไม้กอล์ฟ",J2793,"")</f>
        <v/>
      </c>
    </row>
    <row r="2794">
      <c r="A2794" s="1" t="n">
        <v>3</v>
      </c>
      <c r="B2794" s="1" t="inlineStr">
        <is>
          <t>เสื้อผ้า</t>
        </is>
      </c>
      <c r="C2794" s="1" t="inlineStr">
        <is>
          <t>gf2020101829</t>
        </is>
      </c>
      <c r="D2794" s="1" t="inlineStr">
        <is>
          <t>UNDER ARMOUR Showdown Boy's Pants (Barley)</t>
        </is>
      </c>
      <c r="E2794" s="1" t="inlineStr">
        <is>
          <t>UNDER ARMOUR</t>
        </is>
      </c>
      <c r="F2794" s="1" t="inlineStr">
        <is>
          <t>LONG PANTS</t>
        </is>
      </c>
      <c r="G2794" s="1" t="inlineStr">
        <is>
          <t>GF2020101829XS</t>
        </is>
      </c>
      <c r="H2794" s="1" t="n">
        <v>5</v>
      </c>
      <c r="I2794" s="1" t="inlineStr">
        <is>
          <t>มี</t>
        </is>
      </c>
      <c r="J2794" s="13" t="n">
        <v>89</v>
      </c>
      <c r="K2794" s="1" t="inlineStr"/>
      <c r="L2794" s="13" t="n">
        <v>89</v>
      </c>
      <c r="M2794" s="1">
        <f>IF(L2794="","ไม่พบใน SG",IF(ABS(J2794-L2794)&lt;0.005,"ตรงกัน","ไม่ตรง"))</f>
        <v/>
      </c>
      <c r="N2794" s="14">
        <f>IF(L2794="","",ROUND(L2794*'สรุป'!$C$6,-1))</f>
        <v/>
      </c>
      <c r="O2794" s="15" t="n"/>
      <c r="P2794" s="15" t="n"/>
      <c r="Q2794" s="10" t="n"/>
      <c r="R2794" s="10" t="n"/>
      <c r="S2794" s="16" t="inlineStr">
        <is>
          <t>https://mstgolf.co.th/products/gf2020101829</t>
        </is>
      </c>
      <c r="T2794" s="1">
        <f>IF(B2794="ไม้กอล์ฟ",J2794,"")</f>
        <v/>
      </c>
    </row>
    <row r="2795">
      <c r="A2795" s="1" t="n">
        <v>3</v>
      </c>
      <c r="B2795" s="1" t="inlineStr">
        <is>
          <t>เสื้อผ้า</t>
        </is>
      </c>
      <c r="C2795" s="1" t="inlineStr">
        <is>
          <t>gf2020101622</t>
        </is>
      </c>
      <c r="D2795" s="1" t="inlineStr">
        <is>
          <t>UNDER ARMOUR Showdown Boy's Pants (Black)</t>
        </is>
      </c>
      <c r="E2795" s="1" t="inlineStr">
        <is>
          <t>UNDER ARMOUR</t>
        </is>
      </c>
      <c r="F2795" s="1" t="inlineStr">
        <is>
          <t>LONG PANTS</t>
        </is>
      </c>
      <c r="G2795" s="1" t="inlineStr">
        <is>
          <t>GF2020101622XS</t>
        </is>
      </c>
      <c r="H2795" s="1" t="n">
        <v>5</v>
      </c>
      <c r="I2795" s="1" t="inlineStr">
        <is>
          <t>มี</t>
        </is>
      </c>
      <c r="J2795" s="13" t="n">
        <v>89</v>
      </c>
      <c r="K2795" s="1" t="inlineStr"/>
      <c r="L2795" s="13" t="n">
        <v>89</v>
      </c>
      <c r="M2795" s="1">
        <f>IF(L2795="","ไม่พบใน SG",IF(ABS(J2795-L2795)&lt;0.005,"ตรงกัน","ไม่ตรง"))</f>
        <v/>
      </c>
      <c r="N2795" s="14">
        <f>IF(L2795="","",ROUND(L2795*'สรุป'!$C$6,-1))</f>
        <v/>
      </c>
      <c r="O2795" s="15" t="n"/>
      <c r="P2795" s="15" t="n"/>
      <c r="Q2795" s="10" t="n"/>
      <c r="R2795" s="10" t="n"/>
      <c r="S2795" s="16" t="inlineStr">
        <is>
          <t>https://mstgolf.co.th/products/gf2020101622</t>
        </is>
      </c>
      <c r="T2795" s="1">
        <f>IF(B2795="ไม้กอล์ฟ",J2795,"")</f>
        <v/>
      </c>
    </row>
    <row r="2796">
      <c r="A2796" s="1" t="n">
        <v>3</v>
      </c>
      <c r="B2796" s="1" t="inlineStr">
        <is>
          <t>เสื้อผ้า</t>
        </is>
      </c>
      <c r="C2796" s="1" t="inlineStr">
        <is>
          <t>gf2040118328</t>
        </is>
      </c>
      <c r="D2796" s="1" t="inlineStr">
        <is>
          <t>UNDER ARMOUR Under Armour T2G (2024) Men's Polo (Midnight Navy/Black)</t>
        </is>
      </c>
      <c r="E2796" s="1" t="inlineStr">
        <is>
          <t>UNDER ARMOUR</t>
        </is>
      </c>
      <c r="F2796" s="1" t="inlineStr">
        <is>
          <t>SHORT SLEEVES</t>
        </is>
      </c>
      <c r="G2796" s="1" t="inlineStr">
        <is>
          <t>GF2040118328S</t>
        </is>
      </c>
      <c r="H2796" s="1" t="n">
        <v>5</v>
      </c>
      <c r="I2796" s="1" t="inlineStr">
        <is>
          <t>มี</t>
        </is>
      </c>
      <c r="J2796" s="13" t="n">
        <v>89</v>
      </c>
      <c r="K2796" s="1" t="inlineStr"/>
      <c r="L2796" s="13" t="n">
        <v>89</v>
      </c>
      <c r="M2796" s="1">
        <f>IF(L2796="","ไม่พบใน SG",IF(ABS(J2796-L2796)&lt;0.005,"ตรงกัน","ไม่ตรง"))</f>
        <v/>
      </c>
      <c r="N2796" s="14">
        <f>IF(L2796="","",ROUND(L2796*'สรุป'!$C$6,-1))</f>
        <v/>
      </c>
      <c r="O2796" s="15" t="n"/>
      <c r="P2796" s="15" t="n"/>
      <c r="Q2796" s="10" t="n"/>
      <c r="R2796" s="10" t="n"/>
      <c r="S2796" s="16" t="inlineStr">
        <is>
          <t>https://mstgolf.co.th/products/gf2040118328</t>
        </is>
      </c>
      <c r="T2796" s="1">
        <f>IF(B2796="ไม้กอล์ฟ",J2796,"")</f>
        <v/>
      </c>
    </row>
    <row r="2797">
      <c r="A2797" s="1" t="n">
        <v>3</v>
      </c>
      <c r="B2797" s="1" t="inlineStr">
        <is>
          <t>เสื้อผ้า</t>
        </is>
      </c>
      <c r="C2797" s="1" t="inlineStr">
        <is>
          <t>gf2040119981</t>
        </is>
      </c>
      <c r="D2797" s="1" t="inlineStr">
        <is>
          <t>WAAC Arrow Trap Men's Polo (Navy)</t>
        </is>
      </c>
      <c r="E2797" s="1" t="inlineStr">
        <is>
          <t>WAAC</t>
        </is>
      </c>
      <c r="F2797" s="1" t="inlineStr">
        <is>
          <t>SHORT SLEEVES</t>
        </is>
      </c>
      <c r="G2797" s="1" t="inlineStr">
        <is>
          <t>GF2040119981S</t>
        </is>
      </c>
      <c r="H2797" s="1" t="n">
        <v>5</v>
      </c>
      <c r="I2797" s="1" t="inlineStr">
        <is>
          <t>มี</t>
        </is>
      </c>
      <c r="J2797" s="13" t="n">
        <v>89</v>
      </c>
      <c r="K2797" s="1" t="inlineStr"/>
      <c r="L2797" s="13" t="n">
        <v>89</v>
      </c>
      <c r="M2797" s="1">
        <f>IF(L2797="","ไม่พบใน SG",IF(ABS(J2797-L2797)&lt;0.005,"ตรงกัน","ไม่ตรง"))</f>
        <v/>
      </c>
      <c r="N2797" s="14">
        <f>IF(L2797="","",ROUND(L2797*'สรุป'!$C$6,-1))</f>
        <v/>
      </c>
      <c r="O2797" s="15" t="n"/>
      <c r="P2797" s="15" t="n"/>
      <c r="Q2797" s="10" t="n"/>
      <c r="R2797" s="10" t="n"/>
      <c r="S2797" s="16" t="inlineStr">
        <is>
          <t>https://mstgolf.co.th/products/gf2040119981</t>
        </is>
      </c>
      <c r="T2797" s="1">
        <f>IF(B2797="ไม้กอล์ฟ",J2797,"")</f>
        <v/>
      </c>
    </row>
    <row r="2798">
      <c r="A2798" s="1" t="n">
        <v>3</v>
      </c>
      <c r="B2798" s="1" t="inlineStr">
        <is>
          <t>เสื้อผ้า</t>
        </is>
      </c>
      <c r="C2798" s="1" t="inlineStr">
        <is>
          <t>gf2040119978</t>
        </is>
      </c>
      <c r="D2798" s="1" t="inlineStr">
        <is>
          <t>WAAC Athletic Essential Men's Pique Polo (Light Blue)</t>
        </is>
      </c>
      <c r="E2798" s="1" t="inlineStr">
        <is>
          <t>WAAC</t>
        </is>
      </c>
      <c r="F2798" s="1" t="inlineStr">
        <is>
          <t>SHORT SLEEVES</t>
        </is>
      </c>
      <c r="G2798" s="1" t="inlineStr">
        <is>
          <t>GF2040119978S</t>
        </is>
      </c>
      <c r="H2798" s="1" t="n">
        <v>5</v>
      </c>
      <c r="I2798" s="1" t="inlineStr">
        <is>
          <t>มี</t>
        </is>
      </c>
      <c r="J2798" s="13" t="n">
        <v>89</v>
      </c>
      <c r="K2798" s="1" t="inlineStr"/>
      <c r="L2798" s="13" t="n">
        <v>89</v>
      </c>
      <c r="M2798" s="1">
        <f>IF(L2798="","ไม่พบใน SG",IF(ABS(J2798-L2798)&lt;0.005,"ตรงกัน","ไม่ตรง"))</f>
        <v/>
      </c>
      <c r="N2798" s="14">
        <f>IF(L2798="","",ROUND(L2798*'สรุป'!$C$6,-1))</f>
        <v/>
      </c>
      <c r="O2798" s="15" t="n"/>
      <c r="P2798" s="15" t="n"/>
      <c r="Q2798" s="10" t="n"/>
      <c r="R2798" s="10" t="n"/>
      <c r="S2798" s="16" t="inlineStr">
        <is>
          <t>https://mstgolf.co.th/products/gf2040119978</t>
        </is>
      </c>
      <c r="T2798" s="1">
        <f>IF(B2798="ไม้กอล์ฟ",J2798,"")</f>
        <v/>
      </c>
    </row>
    <row r="2799">
      <c r="A2799" s="1" t="n">
        <v>3</v>
      </c>
      <c r="B2799" s="1" t="inlineStr">
        <is>
          <t>หมวก</t>
        </is>
      </c>
      <c r="C2799" s="1" t="inlineStr">
        <is>
          <t>gf2000300429</t>
        </is>
      </c>
      <c r="D2799" s="1" t="inlineStr">
        <is>
          <t>MANORS Ranger Men's Bucket Hat (Black)</t>
        </is>
      </c>
      <c r="E2799" s="1" t="inlineStr">
        <is>
          <t>MANORS</t>
        </is>
      </c>
      <c r="F2799" s="1" t="inlineStr">
        <is>
          <t>HAT</t>
        </is>
      </c>
      <c r="G2799" s="1" t="inlineStr">
        <is>
          <t>GF2000300429FS</t>
        </is>
      </c>
      <c r="H2799" s="1" t="n">
        <v>1</v>
      </c>
      <c r="I2799" s="1" t="inlineStr">
        <is>
          <t>มี</t>
        </is>
      </c>
      <c r="J2799" s="13" t="n">
        <v>88</v>
      </c>
      <c r="K2799" s="1" t="inlineStr"/>
      <c r="L2799" s="13" t="n">
        <v>88</v>
      </c>
      <c r="M2799" s="1">
        <f>IF(L2799="","ไม่พบใน SG",IF(ABS(J2799-L2799)&lt;0.005,"ตรงกัน","ไม่ตรง"))</f>
        <v/>
      </c>
      <c r="N2799" s="14">
        <f>IF(L2799="","",ROUND(L2799*'สรุป'!$C$6,-1))</f>
        <v/>
      </c>
      <c r="O2799" s="15" t="n"/>
      <c r="P2799" s="15" t="n"/>
      <c r="Q2799" s="10" t="n"/>
      <c r="R2799" s="10" t="n"/>
      <c r="S2799" s="16" t="inlineStr">
        <is>
          <t>https://mstgolf.co.th/products/gf2000300429</t>
        </is>
      </c>
      <c r="T2799" s="1">
        <f>IF(B2799="ไม้กอล์ฟ",J2799,"")</f>
        <v/>
      </c>
    </row>
    <row r="2800">
      <c r="A2800" s="1" t="n">
        <v>3</v>
      </c>
      <c r="B2800" s="1" t="inlineStr">
        <is>
          <t>หมวก</t>
        </is>
      </c>
      <c r="C2800" s="1" t="inlineStr">
        <is>
          <t>gf2000300430</t>
        </is>
      </c>
      <c r="D2800" s="1" t="inlineStr">
        <is>
          <t>MANORS Ranger Men's Bucket Hat (Green)</t>
        </is>
      </c>
      <c r="E2800" s="1" t="inlineStr">
        <is>
          <t>MANORS</t>
        </is>
      </c>
      <c r="F2800" s="1" t="inlineStr">
        <is>
          <t>HAT</t>
        </is>
      </c>
      <c r="G2800" s="1" t="inlineStr">
        <is>
          <t>GF2000300430FS</t>
        </is>
      </c>
      <c r="H2800" s="1" t="n">
        <v>1</v>
      </c>
      <c r="I2800" s="1" t="inlineStr">
        <is>
          <t>มี</t>
        </is>
      </c>
      <c r="J2800" s="13" t="n">
        <v>88</v>
      </c>
      <c r="K2800" s="1" t="inlineStr"/>
      <c r="L2800" s="13" t="n">
        <v>88</v>
      </c>
      <c r="M2800" s="1">
        <f>IF(L2800="","ไม่พบใน SG",IF(ABS(J2800-L2800)&lt;0.005,"ตรงกัน","ไม่ตรง"))</f>
        <v/>
      </c>
      <c r="N2800" s="14">
        <f>IF(L2800="","",ROUND(L2800*'สรุป'!$C$6,-1))</f>
        <v/>
      </c>
      <c r="O2800" s="15" t="n"/>
      <c r="P2800" s="15" t="n"/>
      <c r="Q2800" s="10" t="n"/>
      <c r="R2800" s="10" t="n"/>
      <c r="S2800" s="16" t="inlineStr">
        <is>
          <t>https://mstgolf.co.th/products/gf2000300430</t>
        </is>
      </c>
      <c r="T2800" s="1">
        <f>IF(B2800="ไม้กอล์ฟ",J2800,"")</f>
        <v/>
      </c>
    </row>
    <row r="2801">
      <c r="A2801" s="1" t="n">
        <v>3</v>
      </c>
      <c r="B2801" s="1" t="inlineStr">
        <is>
          <t>หมวก</t>
        </is>
      </c>
      <c r="C2801" s="1" t="inlineStr">
        <is>
          <t>gf2000300428</t>
        </is>
      </c>
      <c r="D2801" s="1" t="inlineStr">
        <is>
          <t>MANORS Ranger Men's Bucket Hat (Navy)</t>
        </is>
      </c>
      <c r="E2801" s="1" t="inlineStr">
        <is>
          <t>MANORS</t>
        </is>
      </c>
      <c r="F2801" s="1" t="inlineStr">
        <is>
          <t>HAT</t>
        </is>
      </c>
      <c r="G2801" s="1" t="inlineStr">
        <is>
          <t>GF2000300428FS</t>
        </is>
      </c>
      <c r="H2801" s="1" t="n">
        <v>1</v>
      </c>
      <c r="I2801" s="1" t="inlineStr">
        <is>
          <t>มี</t>
        </is>
      </c>
      <c r="J2801" s="13" t="n">
        <v>88</v>
      </c>
      <c r="K2801" s="1" t="inlineStr"/>
      <c r="L2801" s="13" t="n">
        <v>88</v>
      </c>
      <c r="M2801" s="1">
        <f>IF(L2801="","ไม่พบใน SG",IF(ABS(J2801-L2801)&lt;0.005,"ตรงกัน","ไม่ตรง"))</f>
        <v/>
      </c>
      <c r="N2801" s="14">
        <f>IF(L2801="","",ROUND(L2801*'สรุป'!$C$6,-1))</f>
        <v/>
      </c>
      <c r="O2801" s="15" t="n"/>
      <c r="P2801" s="15" t="n"/>
      <c r="Q2801" s="10" t="n"/>
      <c r="R2801" s="10" t="n"/>
      <c r="S2801" s="16" t="inlineStr">
        <is>
          <t>https://mstgolf.co.th/products/gf2000300428</t>
        </is>
      </c>
      <c r="T2801" s="1">
        <f>IF(B2801="ไม้กอล์ฟ",J2801,"")</f>
        <v/>
      </c>
    </row>
    <row r="2802">
      <c r="A2802" s="1" t="n">
        <v>3</v>
      </c>
      <c r="B2802" s="1" t="inlineStr">
        <is>
          <t>หมวก</t>
        </is>
      </c>
      <c r="C2802" s="1" t="inlineStr">
        <is>
          <t>gf2000106102</t>
        </is>
      </c>
      <c r="D2802" s="1" t="inlineStr">
        <is>
          <t>MANORS Retro Crown Men's Cap (Black)</t>
        </is>
      </c>
      <c r="E2802" s="1" t="inlineStr">
        <is>
          <t>MANORS</t>
        </is>
      </c>
      <c r="F2802" s="1" t="inlineStr">
        <is>
          <t>CAP</t>
        </is>
      </c>
      <c r="G2802" s="1" t="inlineStr">
        <is>
          <t>GF2000106102FS</t>
        </is>
      </c>
      <c r="H2802" s="1" t="n">
        <v>1</v>
      </c>
      <c r="I2802" s="1" t="inlineStr">
        <is>
          <t>มี</t>
        </is>
      </c>
      <c r="J2802" s="13" t="n">
        <v>88</v>
      </c>
      <c r="K2802" s="1" t="inlineStr"/>
      <c r="L2802" s="13" t="n">
        <v>45</v>
      </c>
      <c r="M2802" s="1">
        <f>IF(L2802="","ไม่พบใน SG",IF(ABS(J2802-L2802)&lt;0.005,"ตรงกัน","ไม่ตรง"))</f>
        <v/>
      </c>
      <c r="N2802" s="14">
        <f>IF(L2802="","",ROUND(L2802*'สรุป'!$C$6,-1))</f>
        <v/>
      </c>
      <c r="O2802" s="15" t="n"/>
      <c r="P2802" s="15" t="n"/>
      <c r="Q2802" s="10" t="n"/>
      <c r="R2802" s="10" t="n"/>
      <c r="S2802" s="16" t="inlineStr">
        <is>
          <t>https://mstgolf.co.th/products/gf2000106102</t>
        </is>
      </c>
      <c r="T2802" s="1">
        <f>IF(B2802="ไม้กอล์ฟ",J2802,"")</f>
        <v/>
      </c>
    </row>
    <row r="2803">
      <c r="A2803" s="1" t="n">
        <v>3</v>
      </c>
      <c r="B2803" s="1" t="inlineStr">
        <is>
          <t>หมวก</t>
        </is>
      </c>
      <c r="C2803" s="1" t="inlineStr">
        <is>
          <t>gf2000106101</t>
        </is>
      </c>
      <c r="D2803" s="1" t="inlineStr">
        <is>
          <t>MANORS Retro Crown Men's Cap (Ivory)</t>
        </is>
      </c>
      <c r="E2803" s="1" t="inlineStr">
        <is>
          <t>MANORS</t>
        </is>
      </c>
      <c r="F2803" s="1" t="inlineStr">
        <is>
          <t>CAP</t>
        </is>
      </c>
      <c r="G2803" s="1" t="inlineStr">
        <is>
          <t>GF2000106101FS</t>
        </is>
      </c>
      <c r="H2803" s="1" t="n">
        <v>1</v>
      </c>
      <c r="I2803" s="1" t="inlineStr">
        <is>
          <t>มี</t>
        </is>
      </c>
      <c r="J2803" s="13" t="n">
        <v>88</v>
      </c>
      <c r="K2803" s="1" t="inlineStr"/>
      <c r="L2803" s="13" t="n">
        <v>45</v>
      </c>
      <c r="M2803" s="1">
        <f>IF(L2803="","ไม่พบใน SG",IF(ABS(J2803-L2803)&lt;0.005,"ตรงกัน","ไม่ตรง"))</f>
        <v/>
      </c>
      <c r="N2803" s="14">
        <f>IF(L2803="","",ROUND(L2803*'สรุป'!$C$6,-1))</f>
        <v/>
      </c>
      <c r="O2803" s="15" t="n"/>
      <c r="P2803" s="15" t="n"/>
      <c r="Q2803" s="10" t="n"/>
      <c r="R2803" s="10" t="n"/>
      <c r="S2803" s="16" t="inlineStr">
        <is>
          <t>https://mstgolf.co.th/products/gf2000106101</t>
        </is>
      </c>
      <c r="T2803" s="1">
        <f>IF(B2803="ไม้กอล์ฟ",J2803,"")</f>
        <v/>
      </c>
    </row>
    <row r="2804">
      <c r="A2804" s="1" t="n">
        <v>3</v>
      </c>
      <c r="B2804" s="1" t="inlineStr">
        <is>
          <t>หมวก</t>
        </is>
      </c>
      <c r="C2804" s="1" t="inlineStr">
        <is>
          <t>gf2000106467</t>
        </is>
      </c>
      <c r="D2804" s="1" t="inlineStr">
        <is>
          <t>MANORS Retro Crown Men's Cap (Ivory)</t>
        </is>
      </c>
      <c r="E2804" s="1" t="inlineStr">
        <is>
          <t>MANORS</t>
        </is>
      </c>
      <c r="F2804" s="1" t="inlineStr">
        <is>
          <t>CAP</t>
        </is>
      </c>
      <c r="G2804" s="1" t="inlineStr">
        <is>
          <t>GF2000106467FS</t>
        </is>
      </c>
      <c r="H2804" s="1" t="n">
        <v>1</v>
      </c>
      <c r="I2804" s="1" t="inlineStr">
        <is>
          <t>มี</t>
        </is>
      </c>
      <c r="J2804" s="13" t="n">
        <v>88</v>
      </c>
      <c r="K2804" s="1" t="inlineStr"/>
      <c r="L2804" s="13" t="n">
        <v>88</v>
      </c>
      <c r="M2804" s="1">
        <f>IF(L2804="","ไม่พบใน SG",IF(ABS(J2804-L2804)&lt;0.005,"ตรงกัน","ไม่ตรง"))</f>
        <v/>
      </c>
      <c r="N2804" s="14">
        <f>IF(L2804="","",ROUND(L2804*'สรุป'!$C$6,-1))</f>
        <v/>
      </c>
      <c r="O2804" s="15" t="n"/>
      <c r="P2804" s="15" t="n"/>
      <c r="Q2804" s="10" t="n"/>
      <c r="R2804" s="10" t="n"/>
      <c r="S2804" s="16" t="inlineStr">
        <is>
          <t>https://mstgolf.co.th/products/gf2000106467</t>
        </is>
      </c>
      <c r="T2804" s="1">
        <f>IF(B2804="ไม้กอล์ฟ",J2804,"")</f>
        <v/>
      </c>
    </row>
    <row r="2805">
      <c r="A2805" s="1" t="n">
        <v>3</v>
      </c>
      <c r="B2805" s="1" t="inlineStr">
        <is>
          <t>หมวก</t>
        </is>
      </c>
      <c r="C2805" s="1" t="inlineStr">
        <is>
          <t>gf2000106466</t>
        </is>
      </c>
      <c r="D2805" s="1" t="inlineStr">
        <is>
          <t>MANORS Retro Crown Men's Cap (Navy)</t>
        </is>
      </c>
      <c r="E2805" s="1" t="inlineStr">
        <is>
          <t>MANORS</t>
        </is>
      </c>
      <c r="F2805" s="1" t="inlineStr">
        <is>
          <t>CAP</t>
        </is>
      </c>
      <c r="G2805" s="1" t="inlineStr">
        <is>
          <t>GF2000106466FS</t>
        </is>
      </c>
      <c r="H2805" s="1" t="n">
        <v>1</v>
      </c>
      <c r="I2805" s="1" t="inlineStr">
        <is>
          <t>มี</t>
        </is>
      </c>
      <c r="J2805" s="13" t="n">
        <v>88</v>
      </c>
      <c r="K2805" s="1" t="inlineStr"/>
      <c r="L2805" s="13" t="n">
        <v>88</v>
      </c>
      <c r="M2805" s="1">
        <f>IF(L2805="","ไม่พบใน SG",IF(ABS(J2805-L2805)&lt;0.005,"ตรงกัน","ไม่ตรง"))</f>
        <v/>
      </c>
      <c r="N2805" s="14">
        <f>IF(L2805="","",ROUND(L2805*'สรุป'!$C$6,-1))</f>
        <v/>
      </c>
      <c r="O2805" s="15" t="n"/>
      <c r="P2805" s="15" t="n"/>
      <c r="Q2805" s="10" t="n"/>
      <c r="R2805" s="10" t="n"/>
      <c r="S2805" s="16" t="inlineStr">
        <is>
          <t>https://mstgolf.co.th/products/gf2000106466</t>
        </is>
      </c>
      <c r="T2805" s="1">
        <f>IF(B2805="ไม้กอล์ฟ",J2805,"")</f>
        <v/>
      </c>
    </row>
    <row r="2806">
      <c r="A2806" s="1" t="n">
        <v>3</v>
      </c>
      <c r="B2806" s="1" t="inlineStr">
        <is>
          <t>หมวก</t>
        </is>
      </c>
      <c r="C2806" s="1" t="inlineStr">
        <is>
          <t>gf2000106468</t>
        </is>
      </c>
      <c r="D2806" s="1" t="inlineStr">
        <is>
          <t>MANORS Two Tone Crown Men's Cap (Dune)</t>
        </is>
      </c>
      <c r="E2806" s="1" t="inlineStr">
        <is>
          <t>MANORS</t>
        </is>
      </c>
      <c r="F2806" s="1" t="inlineStr">
        <is>
          <t>CAP</t>
        </is>
      </c>
      <c r="G2806" s="1" t="inlineStr">
        <is>
          <t>GF2000106468FS</t>
        </is>
      </c>
      <c r="H2806" s="1" t="n">
        <v>1</v>
      </c>
      <c r="I2806" s="1" t="inlineStr">
        <is>
          <t>มี</t>
        </is>
      </c>
      <c r="J2806" s="13" t="n">
        <v>88</v>
      </c>
      <c r="K2806" s="1" t="inlineStr"/>
      <c r="L2806" s="13" t="n">
        <v>88</v>
      </c>
      <c r="M2806" s="1">
        <f>IF(L2806="","ไม่พบใน SG",IF(ABS(J2806-L2806)&lt;0.005,"ตรงกัน","ไม่ตรง"))</f>
        <v/>
      </c>
      <c r="N2806" s="14">
        <f>IF(L2806="","",ROUND(L2806*'สรุป'!$C$6,-1))</f>
        <v/>
      </c>
      <c r="O2806" s="15" t="n"/>
      <c r="P2806" s="15" t="n"/>
      <c r="Q2806" s="10" t="n"/>
      <c r="R2806" s="10" t="n"/>
      <c r="S2806" s="16" t="inlineStr">
        <is>
          <t>https://mstgolf.co.th/products/gf2000106468</t>
        </is>
      </c>
      <c r="T2806" s="1">
        <f>IF(B2806="ไม้กอล์ฟ",J2806,"")</f>
        <v/>
      </c>
    </row>
    <row r="2807">
      <c r="A2807" s="1" t="n">
        <v>3</v>
      </c>
      <c r="B2807" s="1" t="inlineStr">
        <is>
          <t>หมวก</t>
        </is>
      </c>
      <c r="C2807" s="1" t="inlineStr">
        <is>
          <t>gf2000106469</t>
        </is>
      </c>
      <c r="D2807" s="1" t="inlineStr">
        <is>
          <t>MANORS Two Tone Crown Men's Cap (White)</t>
        </is>
      </c>
      <c r="E2807" s="1" t="inlineStr">
        <is>
          <t>MANORS</t>
        </is>
      </c>
      <c r="F2807" s="1" t="inlineStr">
        <is>
          <t>CAP</t>
        </is>
      </c>
      <c r="G2807" s="1" t="inlineStr">
        <is>
          <t>GF2000106469FS</t>
        </is>
      </c>
      <c r="H2807" s="1" t="n">
        <v>1</v>
      </c>
      <c r="I2807" s="1" t="inlineStr">
        <is>
          <t>มี</t>
        </is>
      </c>
      <c r="J2807" s="13" t="n">
        <v>88</v>
      </c>
      <c r="K2807" s="1" t="inlineStr"/>
      <c r="L2807" s="13" t="n">
        <v>88</v>
      </c>
      <c r="M2807" s="1">
        <f>IF(L2807="","ไม่พบใน SG",IF(ABS(J2807-L2807)&lt;0.005,"ตรงกัน","ไม่ตรง"))</f>
        <v/>
      </c>
      <c r="N2807" s="14">
        <f>IF(L2807="","",ROUND(L2807*'สรุป'!$C$6,-1))</f>
        <v/>
      </c>
      <c r="O2807" s="15" t="n"/>
      <c r="P2807" s="15" t="n"/>
      <c r="Q2807" s="10" t="n"/>
      <c r="R2807" s="10" t="n"/>
      <c r="S2807" s="16" t="inlineStr">
        <is>
          <t>https://mstgolf.co.th/products/gf2000106469</t>
        </is>
      </c>
      <c r="T2807" s="1">
        <f>IF(B2807="ไม้กอล์ฟ",J2807,"")</f>
        <v/>
      </c>
    </row>
    <row r="2808">
      <c r="A2808" s="1" t="n">
        <v>3</v>
      </c>
      <c r="B2808" s="1" t="inlineStr">
        <is>
          <t>เสื้อผ้า</t>
        </is>
      </c>
      <c r="C2808" s="1" t="inlineStr">
        <is>
          <t>gf2040113206</t>
        </is>
      </c>
      <c r="D2808" s="1" t="inlineStr">
        <is>
          <t>GFORE Perforated Stripe Men's Polo (Blush)</t>
        </is>
      </c>
      <c r="E2808" s="1" t="inlineStr">
        <is>
          <t>GFORE</t>
        </is>
      </c>
      <c r="F2808" s="1" t="inlineStr">
        <is>
          <t>SHORT SLEEVES</t>
        </is>
      </c>
      <c r="G2808" s="1" t="inlineStr">
        <is>
          <t>GF2040113206XS</t>
        </is>
      </c>
      <c r="H2808" s="1" t="n">
        <v>6</v>
      </c>
      <c r="I2808" s="1" t="inlineStr">
        <is>
          <t>มี</t>
        </is>
      </c>
      <c r="J2808" s="13" t="n">
        <v>87</v>
      </c>
      <c r="K2808" s="1" t="inlineStr"/>
      <c r="L2808" s="13" t="n">
        <v>87</v>
      </c>
      <c r="M2808" s="1">
        <f>IF(L2808="","ไม่พบใน SG",IF(ABS(J2808-L2808)&lt;0.005,"ตรงกัน","ไม่ตรง"))</f>
        <v/>
      </c>
      <c r="N2808" s="14">
        <f>IF(L2808="","",ROUND(L2808*'สรุป'!$C$6,-1))</f>
        <v/>
      </c>
      <c r="O2808" s="15" t="n"/>
      <c r="P2808" s="15" t="n"/>
      <c r="Q2808" s="10" t="n"/>
      <c r="R2808" s="10" t="n"/>
      <c r="S2808" s="16" t="inlineStr">
        <is>
          <t>https://mstgolf.co.th/products/gf2040113206</t>
        </is>
      </c>
      <c r="T2808" s="1">
        <f>IF(B2808="ไม้กอล์ฟ",J2808,"")</f>
        <v/>
      </c>
    </row>
    <row r="2809">
      <c r="A2809" s="1" t="n">
        <v>3</v>
      </c>
      <c r="B2809" s="1" t="inlineStr">
        <is>
          <t>เสื้อผ้า</t>
        </is>
      </c>
      <c r="C2809" s="1" t="inlineStr">
        <is>
          <t>gf2040117366</t>
        </is>
      </c>
      <c r="D2809" s="1" t="inlineStr">
        <is>
          <t>PETER MILLAR Tesseract Performance Jersey Men's Polo (Orange Nectar)</t>
        </is>
      </c>
      <c r="E2809" s="1" t="inlineStr">
        <is>
          <t>PETER MILLAR</t>
        </is>
      </c>
      <c r="F2809" s="1" t="inlineStr">
        <is>
          <t>SHORT SLEEVES</t>
        </is>
      </c>
      <c r="G2809" s="1" t="inlineStr">
        <is>
          <t>GF2040117366S</t>
        </is>
      </c>
      <c r="H2809" s="1" t="n">
        <v>5</v>
      </c>
      <c r="I2809" s="1" t="inlineStr">
        <is>
          <t>มี</t>
        </is>
      </c>
      <c r="J2809" s="13" t="n">
        <v>87</v>
      </c>
      <c r="K2809" s="1" t="inlineStr"/>
      <c r="L2809" s="13" t="n">
        <v>87</v>
      </c>
      <c r="M2809" s="1">
        <f>IF(L2809="","ไม่พบใน SG",IF(ABS(J2809-L2809)&lt;0.005,"ตรงกัน","ไม่ตรง"))</f>
        <v/>
      </c>
      <c r="N2809" s="14">
        <f>IF(L2809="","",ROUND(L2809*'สรุป'!$C$6,-1))</f>
        <v/>
      </c>
      <c r="O2809" s="15" t="n"/>
      <c r="P2809" s="15" t="n"/>
      <c r="Q2809" s="10" t="n"/>
      <c r="R2809" s="10" t="n"/>
      <c r="S2809" s="16" t="inlineStr">
        <is>
          <t>https://mstgolf.co.th/products/gf2040117366</t>
        </is>
      </c>
      <c r="T2809" s="1">
        <f>IF(B2809="ไม้กอล์ฟ",J2809,"")</f>
        <v/>
      </c>
    </row>
    <row r="2810">
      <c r="A2810" s="1" t="n">
        <v>3</v>
      </c>
      <c r="B2810" s="1" t="inlineStr">
        <is>
          <t>เสื้อผ้า</t>
        </is>
      </c>
      <c r="C2810" s="1" t="inlineStr">
        <is>
          <t>gf2020300133</t>
        </is>
      </c>
      <c r="D2810" s="1" t="inlineStr">
        <is>
          <t>ADIDAS 4-Way Skirt (White)</t>
        </is>
      </c>
      <c r="E2810" s="1" t="inlineStr">
        <is>
          <t>ADIDAS</t>
        </is>
      </c>
      <c r="F2810" s="1" t="inlineStr">
        <is>
          <t>SKORTS</t>
        </is>
      </c>
      <c r="G2810" s="1" t="inlineStr">
        <is>
          <t>GF2020300133XS</t>
        </is>
      </c>
      <c r="H2810" s="1" t="n">
        <v>7</v>
      </c>
      <c r="I2810" s="1" t="inlineStr">
        <is>
          <t>มี</t>
        </is>
      </c>
      <c r="J2810" s="13" t="n">
        <v>85</v>
      </c>
      <c r="K2810" s="1" t="inlineStr"/>
      <c r="L2810" s="13" t="n">
        <v>59</v>
      </c>
      <c r="M2810" s="1">
        <f>IF(L2810="","ไม่พบใน SG",IF(ABS(J2810-L2810)&lt;0.005,"ตรงกัน","ไม่ตรง"))</f>
        <v/>
      </c>
      <c r="N2810" s="14">
        <f>IF(L2810="","",ROUND(L2810*'สรุป'!$C$6,-1))</f>
        <v/>
      </c>
      <c r="O2810" s="15" t="n"/>
      <c r="P2810" s="15" t="n"/>
      <c r="Q2810" s="10" t="n"/>
      <c r="R2810" s="10" t="n"/>
      <c r="S2810" s="16" t="inlineStr">
        <is>
          <t>https://mstgolf.co.th/products/gf2020300133</t>
        </is>
      </c>
      <c r="T2810" s="1">
        <f>IF(B2810="ไม้กอล์ฟ",J2810,"")</f>
        <v/>
      </c>
    </row>
    <row r="2811">
      <c r="A2811" s="1" t="n">
        <v>3</v>
      </c>
      <c r="B2811" s="1" t="inlineStr">
        <is>
          <t>เสื้อผ้า</t>
        </is>
      </c>
      <c r="C2811" s="1" t="inlineStr">
        <is>
          <t>gf2020202647</t>
        </is>
      </c>
      <c r="D2811" s="1" t="inlineStr">
        <is>
          <t>ADIDAS Allover Print Men'a Shorts (Black)</t>
        </is>
      </c>
      <c r="E2811" s="1" t="inlineStr">
        <is>
          <t>ADIDAS</t>
        </is>
      </c>
      <c r="F2811" s="1" t="inlineStr">
        <is>
          <t>SHORT PANTS</t>
        </is>
      </c>
      <c r="G2811" s="1" t="inlineStr">
        <is>
          <t>GF202020264773</t>
        </is>
      </c>
      <c r="H2811" s="1" t="n">
        <v>9</v>
      </c>
      <c r="I2811" s="1" t="inlineStr">
        <is>
          <t>มี</t>
        </is>
      </c>
      <c r="J2811" s="13" t="n">
        <v>85</v>
      </c>
      <c r="K2811" s="1" t="inlineStr"/>
      <c r="L2811" s="13" t="n">
        <v>59</v>
      </c>
      <c r="M2811" s="1">
        <f>IF(L2811="","ไม่พบใน SG",IF(ABS(J2811-L2811)&lt;0.005,"ตรงกัน","ไม่ตรง"))</f>
        <v/>
      </c>
      <c r="N2811" s="14">
        <f>IF(L2811="","",ROUND(L2811*'สรุป'!$C$6,-1))</f>
        <v/>
      </c>
      <c r="O2811" s="15" t="n"/>
      <c r="P2811" s="15" t="n"/>
      <c r="Q2811" s="10" t="n"/>
      <c r="R2811" s="10" t="n"/>
      <c r="S2811" s="16" t="inlineStr">
        <is>
          <t>https://mstgolf.co.th/products/gf2020202647</t>
        </is>
      </c>
      <c r="T2811" s="1">
        <f>IF(B2811="ไม้กอล์ฟ",J2811,"")</f>
        <v/>
      </c>
    </row>
    <row r="2812">
      <c r="A2812" s="1" t="n">
        <v>3</v>
      </c>
      <c r="B2812" s="1" t="inlineStr">
        <is>
          <t>เสื้อผ้า</t>
        </is>
      </c>
      <c r="C2812" s="1" t="inlineStr">
        <is>
          <t>gf2020202670</t>
        </is>
      </c>
      <c r="D2812" s="1" t="inlineStr">
        <is>
          <t>ADIDAS Allover Print Men'a Shorts (Navy)</t>
        </is>
      </c>
      <c r="E2812" s="1" t="inlineStr">
        <is>
          <t>ADIDAS</t>
        </is>
      </c>
      <c r="F2812" s="1" t="inlineStr">
        <is>
          <t>SHORT PANTS</t>
        </is>
      </c>
      <c r="G2812" s="1" t="inlineStr">
        <is>
          <t>GF202020267073</t>
        </is>
      </c>
      <c r="H2812" s="1" t="n">
        <v>9</v>
      </c>
      <c r="I2812" s="1" t="inlineStr">
        <is>
          <t>มี</t>
        </is>
      </c>
      <c r="J2812" s="13" t="n">
        <v>85</v>
      </c>
      <c r="K2812" s="1" t="inlineStr"/>
      <c r="L2812" s="13" t="n">
        <v>59</v>
      </c>
      <c r="M2812" s="1">
        <f>IF(L2812="","ไม่พบใน SG",IF(ABS(J2812-L2812)&lt;0.005,"ตรงกัน","ไม่ตรง"))</f>
        <v/>
      </c>
      <c r="N2812" s="14">
        <f>IF(L2812="","",ROUND(L2812*'สรุป'!$C$6,-1))</f>
        <v/>
      </c>
      <c r="O2812" s="15" t="n"/>
      <c r="P2812" s="15" t="n"/>
      <c r="Q2812" s="10" t="n"/>
      <c r="R2812" s="10" t="n"/>
      <c r="S2812" s="16" t="inlineStr">
        <is>
          <t>https://mstgolf.co.th/products/gf2020202670</t>
        </is>
      </c>
      <c r="T2812" s="1">
        <f>IF(B2812="ไม้กอล์ฟ",J2812,"")</f>
        <v/>
      </c>
    </row>
    <row r="2813">
      <c r="A2813" s="1" t="n">
        <v>3</v>
      </c>
      <c r="B2813" s="1" t="inlineStr">
        <is>
          <t>เสื้อผ้า</t>
        </is>
      </c>
      <c r="C2813" s="1" t="inlineStr">
        <is>
          <t>gf2020202659</t>
        </is>
      </c>
      <c r="D2813" s="1" t="inlineStr">
        <is>
          <t>ADIDAS Allover Print Skirt (Navy)</t>
        </is>
      </c>
      <c r="E2813" s="1" t="inlineStr">
        <is>
          <t>ADIDAS</t>
        </is>
      </c>
      <c r="F2813" s="1" t="inlineStr">
        <is>
          <t>SHORT PANTS</t>
        </is>
      </c>
      <c r="G2813" s="1" t="inlineStr">
        <is>
          <t>GF20202026592XS</t>
        </is>
      </c>
      <c r="H2813" s="1" t="n">
        <v>7</v>
      </c>
      <c r="I2813" s="1" t="inlineStr">
        <is>
          <t>มี</t>
        </is>
      </c>
      <c r="J2813" s="13" t="n">
        <v>85</v>
      </c>
      <c r="K2813" s="1" t="inlineStr"/>
      <c r="L2813" s="13" t="n">
        <v>59</v>
      </c>
      <c r="M2813" s="1">
        <f>IF(L2813="","ไม่พบใน SG",IF(ABS(J2813-L2813)&lt;0.005,"ตรงกัน","ไม่ตรง"))</f>
        <v/>
      </c>
      <c r="N2813" s="14">
        <f>IF(L2813="","",ROUND(L2813*'สรุป'!$C$6,-1))</f>
        <v/>
      </c>
      <c r="O2813" s="15" t="n"/>
      <c r="P2813" s="15" t="n"/>
      <c r="Q2813" s="10" t="n"/>
      <c r="R2813" s="10" t="n"/>
      <c r="S2813" s="16" t="inlineStr">
        <is>
          <t>https://mstgolf.co.th/products/gf2020202659</t>
        </is>
      </c>
      <c r="T2813" s="1">
        <f>IF(B2813="ไม้กอล์ฟ",J2813,"")</f>
        <v/>
      </c>
    </row>
    <row r="2814">
      <c r="A2814" s="1" t="n">
        <v>3</v>
      </c>
      <c r="B2814" s="1" t="inlineStr">
        <is>
          <t>เสื้อผ้า</t>
        </is>
      </c>
      <c r="C2814" s="1" t="inlineStr">
        <is>
          <t>gf2020102618</t>
        </is>
      </c>
      <c r="D2814" s="1" t="inlineStr">
        <is>
          <t>ADIDAS Beyond Twistweave Lined Women's Cargo Pants (Brown)</t>
        </is>
      </c>
      <c r="E2814" s="1" t="inlineStr">
        <is>
          <t>ADIDAS</t>
        </is>
      </c>
      <c r="F2814" s="1" t="inlineStr">
        <is>
          <t>LONG PANTS</t>
        </is>
      </c>
      <c r="G2814" s="1" t="inlineStr">
        <is>
          <t>GF20201026182XS</t>
        </is>
      </c>
      <c r="H2814" s="1" t="n">
        <v>7</v>
      </c>
      <c r="I2814" s="1" t="inlineStr">
        <is>
          <t>มี</t>
        </is>
      </c>
      <c r="J2814" s="13" t="n">
        <v>85</v>
      </c>
      <c r="K2814" s="1" t="inlineStr"/>
      <c r="L2814" s="13" t="n">
        <v>59</v>
      </c>
      <c r="M2814" s="1">
        <f>IF(L2814="","ไม่พบใน SG",IF(ABS(J2814-L2814)&lt;0.005,"ตรงกัน","ไม่ตรง"))</f>
        <v/>
      </c>
      <c r="N2814" s="14">
        <f>IF(L2814="","",ROUND(L2814*'สรุป'!$C$6,-1))</f>
        <v/>
      </c>
      <c r="O2814" s="15" t="n"/>
      <c r="P2814" s="15" t="n"/>
      <c r="Q2814" s="10" t="n"/>
      <c r="R2814" s="10" t="n"/>
      <c r="S2814" s="16" t="inlineStr">
        <is>
          <t>https://mstgolf.co.th/products/gf2020102618</t>
        </is>
      </c>
      <c r="T2814" s="1">
        <f>IF(B2814="ไม้กอล์ฟ",J2814,"")</f>
        <v/>
      </c>
    </row>
    <row r="2815">
      <c r="A2815" s="1" t="n">
        <v>3</v>
      </c>
      <c r="B2815" s="1" t="inlineStr">
        <is>
          <t>เสื้อผ้า</t>
        </is>
      </c>
      <c r="C2815" s="1" t="inlineStr">
        <is>
          <t>gf2040300174</t>
        </is>
      </c>
      <c r="D2815" s="1" t="inlineStr">
        <is>
          <t>ADIDAS Go-To Jacquard Dress (Black)</t>
        </is>
      </c>
      <c r="E2815" s="1" t="inlineStr">
        <is>
          <t>ADIDAS</t>
        </is>
      </c>
      <c r="F2815" s="1" t="inlineStr">
        <is>
          <t>DRESS</t>
        </is>
      </c>
      <c r="G2815" s="1" t="inlineStr">
        <is>
          <t>GF20403001742XS</t>
        </is>
      </c>
      <c r="H2815" s="1" t="n">
        <v>7</v>
      </c>
      <c r="I2815" s="1" t="inlineStr">
        <is>
          <t>มี</t>
        </is>
      </c>
      <c r="J2815" s="13" t="n">
        <v>85</v>
      </c>
      <c r="K2815" s="1" t="inlineStr"/>
      <c r="L2815" s="13" t="n">
        <v>59</v>
      </c>
      <c r="M2815" s="1">
        <f>IF(L2815="","ไม่พบใน SG",IF(ABS(J2815-L2815)&lt;0.005,"ตรงกัน","ไม่ตรง"))</f>
        <v/>
      </c>
      <c r="N2815" s="14">
        <f>IF(L2815="","",ROUND(L2815*'สรุป'!$C$6,-1))</f>
        <v/>
      </c>
      <c r="O2815" s="15" t="n"/>
      <c r="P2815" s="15" t="n"/>
      <c r="Q2815" s="10" t="n"/>
      <c r="R2815" s="10" t="n"/>
      <c r="S2815" s="16" t="inlineStr">
        <is>
          <t>https://mstgolf.co.th/products/gf2040300174</t>
        </is>
      </c>
      <c r="T2815" s="1">
        <f>IF(B2815="ไม้กอล์ฟ",J2815,"")</f>
        <v/>
      </c>
    </row>
    <row r="2816">
      <c r="A2816" s="1" t="n">
        <v>3</v>
      </c>
      <c r="B2816" s="1" t="inlineStr">
        <is>
          <t>เสื้อผ้า</t>
        </is>
      </c>
      <c r="C2816" s="1" t="inlineStr">
        <is>
          <t>gf2040119400</t>
        </is>
      </c>
      <c r="D2816" s="1" t="inlineStr">
        <is>
          <t>ADIDAS HEAT.RDY Men's Polo (Navy)</t>
        </is>
      </c>
      <c r="E2816" s="1" t="inlineStr">
        <is>
          <t>ADIDAS</t>
        </is>
      </c>
      <c r="F2816" s="1" t="inlineStr">
        <is>
          <t>SHORT SLEEVES</t>
        </is>
      </c>
      <c r="G2816" s="1" t="inlineStr">
        <is>
          <t>GF2040119400XS</t>
        </is>
      </c>
      <c r="H2816" s="1" t="n">
        <v>7</v>
      </c>
      <c r="I2816" s="1" t="inlineStr">
        <is>
          <t>มี</t>
        </is>
      </c>
      <c r="J2816" s="13" t="n">
        <v>85</v>
      </c>
      <c r="K2816" s="1" t="inlineStr"/>
      <c r="L2816" s="13" t="n">
        <v>59</v>
      </c>
      <c r="M2816" s="1">
        <f>IF(L2816="","ไม่พบใน SG",IF(ABS(J2816-L2816)&lt;0.005,"ตรงกัน","ไม่ตรง"))</f>
        <v/>
      </c>
      <c r="N2816" s="14">
        <f>IF(L2816="","",ROUND(L2816*'สรุป'!$C$6,-1))</f>
        <v/>
      </c>
      <c r="O2816" s="15" t="n"/>
      <c r="P2816" s="15" t="n"/>
      <c r="Q2816" s="10" t="n"/>
      <c r="R2816" s="10" t="n"/>
      <c r="S2816" s="16" t="inlineStr">
        <is>
          <t>https://mstgolf.co.th/products/gf2040119400</t>
        </is>
      </c>
      <c r="T2816" s="1">
        <f>IF(B2816="ไม้กอล์ฟ",J2816,"")</f>
        <v/>
      </c>
    </row>
    <row r="2817">
      <c r="A2817" s="1" t="n">
        <v>3</v>
      </c>
      <c r="B2817" s="1" t="inlineStr">
        <is>
          <t>เสื้อผ้า</t>
        </is>
      </c>
      <c r="C2817" s="1" t="inlineStr">
        <is>
          <t>gf2040119399</t>
        </is>
      </c>
      <c r="D2817" s="1" t="inlineStr">
        <is>
          <t>ADIDAS HEAT.RDY Men's Polo (White)</t>
        </is>
      </c>
      <c r="E2817" s="1" t="inlineStr">
        <is>
          <t>ADIDAS</t>
        </is>
      </c>
      <c r="F2817" s="1" t="inlineStr">
        <is>
          <t>SHORT SLEEVES</t>
        </is>
      </c>
      <c r="G2817" s="1" t="inlineStr">
        <is>
          <t>GF2040119399XS</t>
        </is>
      </c>
      <c r="H2817" s="1" t="n">
        <v>7</v>
      </c>
      <c r="I2817" s="1" t="inlineStr">
        <is>
          <t>มี</t>
        </is>
      </c>
      <c r="J2817" s="13" t="n">
        <v>85</v>
      </c>
      <c r="K2817" s="1" t="inlineStr"/>
      <c r="L2817" s="13" t="n">
        <v>59</v>
      </c>
      <c r="M2817" s="1">
        <f>IF(L2817="","ไม่พบใน SG",IF(ABS(J2817-L2817)&lt;0.005,"ตรงกัน","ไม่ตรง"))</f>
        <v/>
      </c>
      <c r="N2817" s="14">
        <f>IF(L2817="","",ROUND(L2817*'สรุป'!$C$6,-1))</f>
        <v/>
      </c>
      <c r="O2817" s="15" t="n"/>
      <c r="P2817" s="15" t="n"/>
      <c r="Q2817" s="10" t="n"/>
      <c r="R2817" s="10" t="n"/>
      <c r="S2817" s="16" t="inlineStr">
        <is>
          <t>https://mstgolf.co.th/products/gf2040119399</t>
        </is>
      </c>
      <c r="T2817" s="1">
        <f>IF(B2817="ไม้กอล์ฟ",J2817,"")</f>
        <v/>
      </c>
    </row>
    <row r="2818">
      <c r="A2818" s="1" t="n">
        <v>3</v>
      </c>
      <c r="B2818" s="1" t="inlineStr">
        <is>
          <t>เสื้อผ้า</t>
        </is>
      </c>
      <c r="C2818" s="1" t="inlineStr">
        <is>
          <t>gf2040401434</t>
        </is>
      </c>
      <c r="D2818" s="1" t="inlineStr">
        <is>
          <t>ADIDAS Jacquard Men's Long Sleeve Polo (Black)</t>
        </is>
      </c>
      <c r="E2818" s="1" t="inlineStr">
        <is>
          <t>ADIDAS</t>
        </is>
      </c>
      <c r="F2818" s="1" t="inlineStr">
        <is>
          <t>LONG SLEEVES</t>
        </is>
      </c>
      <c r="G2818" s="1" t="inlineStr">
        <is>
          <t>GF2040401434S</t>
        </is>
      </c>
      <c r="H2818" s="1" t="n">
        <v>5</v>
      </c>
      <c r="I2818" s="1" t="inlineStr">
        <is>
          <t>มี</t>
        </is>
      </c>
      <c r="J2818" s="13" t="n">
        <v>85</v>
      </c>
      <c r="K2818" s="1" t="inlineStr"/>
      <c r="L2818" s="13" t="n">
        <v>59</v>
      </c>
      <c r="M2818" s="1">
        <f>IF(L2818="","ไม่พบใน SG",IF(ABS(J2818-L2818)&lt;0.005,"ตรงกัน","ไม่ตรง"))</f>
        <v/>
      </c>
      <c r="N2818" s="14">
        <f>IF(L2818="","",ROUND(L2818*'สรุป'!$C$6,-1))</f>
        <v/>
      </c>
      <c r="O2818" s="15" t="n"/>
      <c r="P2818" s="15" t="n"/>
      <c r="Q2818" s="10" t="n"/>
      <c r="R2818" s="10" t="n"/>
      <c r="S2818" s="16" t="inlineStr">
        <is>
          <t>https://mstgolf.co.th/products/gf2040401434</t>
        </is>
      </c>
      <c r="T2818" s="1">
        <f>IF(B2818="ไม้กอล์ฟ",J2818,"")</f>
        <v/>
      </c>
    </row>
    <row r="2819">
      <c r="A2819" s="1" t="n">
        <v>3</v>
      </c>
      <c r="B2819" s="1" t="inlineStr">
        <is>
          <t>เสื้อผ้า</t>
        </is>
      </c>
      <c r="C2819" s="1" t="inlineStr">
        <is>
          <t>gf2040401432</t>
        </is>
      </c>
      <c r="D2819" s="1" t="inlineStr">
        <is>
          <t>ADIDAS Jacquard Men's Long Sleeve Polo (White)</t>
        </is>
      </c>
      <c r="E2819" s="1" t="inlineStr">
        <is>
          <t>ADIDAS</t>
        </is>
      </c>
      <c r="F2819" s="1" t="inlineStr">
        <is>
          <t>LONG SLEEVES</t>
        </is>
      </c>
      <c r="G2819" s="1" t="inlineStr">
        <is>
          <t>GF2040401432S</t>
        </is>
      </c>
      <c r="H2819" s="1" t="n">
        <v>5</v>
      </c>
      <c r="I2819" s="1" t="inlineStr">
        <is>
          <t>มี</t>
        </is>
      </c>
      <c r="J2819" s="13" t="n">
        <v>85</v>
      </c>
      <c r="K2819" s="1" t="inlineStr"/>
      <c r="L2819" s="13" t="n">
        <v>59</v>
      </c>
      <c r="M2819" s="1">
        <f>IF(L2819="","ไม่พบใน SG",IF(ABS(J2819-L2819)&lt;0.005,"ตรงกัน","ไม่ตรง"))</f>
        <v/>
      </c>
      <c r="N2819" s="14">
        <f>IF(L2819="","",ROUND(L2819*'สรุป'!$C$6,-1))</f>
        <v/>
      </c>
      <c r="O2819" s="15" t="n"/>
      <c r="P2819" s="15" t="n"/>
      <c r="Q2819" s="10" t="n"/>
      <c r="R2819" s="10" t="n"/>
      <c r="S2819" s="16" t="inlineStr">
        <is>
          <t>https://mstgolf.co.th/products/gf2040401432</t>
        </is>
      </c>
      <c r="T2819" s="1">
        <f>IF(B2819="ไม้กอล์ฟ",J2819,"")</f>
        <v/>
      </c>
    </row>
    <row r="2820">
      <c r="A2820" s="1" t="n">
        <v>3</v>
      </c>
      <c r="B2820" s="1" t="inlineStr">
        <is>
          <t>เสื้อผ้า</t>
        </is>
      </c>
      <c r="C2820" s="1" t="inlineStr">
        <is>
          <t>gf2020202678</t>
        </is>
      </c>
      <c r="D2820" s="1" t="inlineStr">
        <is>
          <t>ADIDAS Monogram Skirt (Alumina)</t>
        </is>
      </c>
      <c r="E2820" s="1" t="inlineStr">
        <is>
          <t>ADIDAS</t>
        </is>
      </c>
      <c r="F2820" s="1" t="inlineStr">
        <is>
          <t>SHORT PANTS</t>
        </is>
      </c>
      <c r="G2820" s="1" t="inlineStr">
        <is>
          <t>GF2020202678XS</t>
        </is>
      </c>
      <c r="H2820" s="1" t="n">
        <v>7</v>
      </c>
      <c r="I2820" s="1" t="inlineStr">
        <is>
          <t>มี</t>
        </is>
      </c>
      <c r="J2820" s="13" t="n">
        <v>85</v>
      </c>
      <c r="K2820" s="1" t="inlineStr"/>
      <c r="L2820" s="13" t="n">
        <v>59</v>
      </c>
      <c r="M2820" s="1">
        <f>IF(L2820="","ไม่พบใน SG",IF(ABS(J2820-L2820)&lt;0.005,"ตรงกัน","ไม่ตรง"))</f>
        <v/>
      </c>
      <c r="N2820" s="14">
        <f>IF(L2820="","",ROUND(L2820*'สรุป'!$C$6,-1))</f>
        <v/>
      </c>
      <c r="O2820" s="15" t="n"/>
      <c r="P2820" s="15" t="n"/>
      <c r="Q2820" s="10" t="n"/>
      <c r="R2820" s="10" t="n"/>
      <c r="S2820" s="16" t="inlineStr">
        <is>
          <t>https://mstgolf.co.th/products/gf2020202678</t>
        </is>
      </c>
      <c r="T2820" s="1">
        <f>IF(B2820="ไม้กอล์ฟ",J2820,"")</f>
        <v/>
      </c>
    </row>
    <row r="2821">
      <c r="A2821" s="1" t="n">
        <v>3</v>
      </c>
      <c r="B2821" s="1" t="inlineStr">
        <is>
          <t>เสื้อผ้า</t>
        </is>
      </c>
      <c r="C2821" s="1" t="inlineStr">
        <is>
          <t>gf2020202671</t>
        </is>
      </c>
      <c r="D2821" s="1" t="inlineStr">
        <is>
          <t>ADIDAS PG Men's Shorts (Navy)</t>
        </is>
      </c>
      <c r="E2821" s="1" t="inlineStr">
        <is>
          <t>ADIDAS</t>
        </is>
      </c>
      <c r="F2821" s="1" t="inlineStr">
        <is>
          <t>SHORT PANTS</t>
        </is>
      </c>
      <c r="G2821" s="1" t="inlineStr">
        <is>
          <t>GF202020267173</t>
        </is>
      </c>
      <c r="H2821" s="1" t="n">
        <v>9</v>
      </c>
      <c r="I2821" s="1" t="inlineStr">
        <is>
          <t>มี</t>
        </is>
      </c>
      <c r="J2821" s="13" t="n">
        <v>85</v>
      </c>
      <c r="K2821" s="1" t="inlineStr"/>
      <c r="L2821" s="13" t="n">
        <v>59</v>
      </c>
      <c r="M2821" s="1">
        <f>IF(L2821="","ไม่พบใน SG",IF(ABS(J2821-L2821)&lt;0.005,"ตรงกัน","ไม่ตรง"))</f>
        <v/>
      </c>
      <c r="N2821" s="14">
        <f>IF(L2821="","",ROUND(L2821*'สรุป'!$C$6,-1))</f>
        <v/>
      </c>
      <c r="O2821" s="15" t="n"/>
      <c r="P2821" s="15" t="n"/>
      <c r="Q2821" s="10" t="n"/>
      <c r="R2821" s="10" t="n"/>
      <c r="S2821" s="16" t="inlineStr">
        <is>
          <t>https://mstgolf.co.th/products/gf2020202671</t>
        </is>
      </c>
      <c r="T2821" s="1">
        <f>IF(B2821="ไม้กอล์ฟ",J2821,"")</f>
        <v/>
      </c>
    </row>
    <row r="2822">
      <c r="A2822" s="1" t="n">
        <v>3</v>
      </c>
      <c r="B2822" s="1" t="inlineStr">
        <is>
          <t>เสื้อผ้า</t>
        </is>
      </c>
      <c r="C2822" s="1" t="inlineStr">
        <is>
          <t>gf2020202668</t>
        </is>
      </c>
      <c r="D2822" s="1" t="inlineStr">
        <is>
          <t>ADIDAS PG Men's Shorts (White)</t>
        </is>
      </c>
      <c r="E2822" s="1" t="inlineStr">
        <is>
          <t>ADIDAS</t>
        </is>
      </c>
      <c r="F2822" s="1" t="inlineStr">
        <is>
          <t>SHORT PANTS</t>
        </is>
      </c>
      <c r="G2822" s="1" t="inlineStr">
        <is>
          <t>GF202020266873</t>
        </is>
      </c>
      <c r="H2822" s="1" t="n">
        <v>9</v>
      </c>
      <c r="I2822" s="1" t="inlineStr">
        <is>
          <t>มี</t>
        </is>
      </c>
      <c r="J2822" s="13" t="n">
        <v>85</v>
      </c>
      <c r="K2822" s="1" t="inlineStr"/>
      <c r="L2822" s="13" t="n">
        <v>59</v>
      </c>
      <c r="M2822" s="1">
        <f>IF(L2822="","ไม่พบใน SG",IF(ABS(J2822-L2822)&lt;0.005,"ตรงกัน","ไม่ตรง"))</f>
        <v/>
      </c>
      <c r="N2822" s="14">
        <f>IF(L2822="","",ROUND(L2822*'สรุป'!$C$6,-1))</f>
        <v/>
      </c>
      <c r="O2822" s="15" t="n"/>
      <c r="P2822" s="15" t="n"/>
      <c r="Q2822" s="10" t="n"/>
      <c r="R2822" s="10" t="n"/>
      <c r="S2822" s="16" t="inlineStr">
        <is>
          <t>https://mstgolf.co.th/products/gf2020202668</t>
        </is>
      </c>
      <c r="T2822" s="1">
        <f>IF(B2822="ไม้กอล์ฟ",J2822,"")</f>
        <v/>
      </c>
    </row>
    <row r="2823">
      <c r="A2823" s="1" t="n">
        <v>3</v>
      </c>
      <c r="B2823" s="1" t="inlineStr">
        <is>
          <t>เสื้อผ้า</t>
        </is>
      </c>
      <c r="C2823" s="1" t="inlineStr">
        <is>
          <t>gf2020202676</t>
        </is>
      </c>
      <c r="D2823" s="1" t="inlineStr">
        <is>
          <t>ADIDAS Seersucker 6" Women's Shorts (Blue)</t>
        </is>
      </c>
      <c r="E2823" s="1" t="inlineStr">
        <is>
          <t>ADIDAS</t>
        </is>
      </c>
      <c r="F2823" s="1" t="inlineStr">
        <is>
          <t>SHORT PANTS</t>
        </is>
      </c>
      <c r="G2823" s="1" t="inlineStr">
        <is>
          <t>GF2020202676XS</t>
        </is>
      </c>
      <c r="H2823" s="1" t="n">
        <v>7</v>
      </c>
      <c r="I2823" s="1" t="inlineStr">
        <is>
          <t>มี</t>
        </is>
      </c>
      <c r="J2823" s="13" t="n">
        <v>85</v>
      </c>
      <c r="K2823" s="1" t="inlineStr"/>
      <c r="L2823" s="13" t="n">
        <v>59</v>
      </c>
      <c r="M2823" s="1">
        <f>IF(L2823="","ไม่พบใน SG",IF(ABS(J2823-L2823)&lt;0.005,"ตรงกัน","ไม่ตรง"))</f>
        <v/>
      </c>
      <c r="N2823" s="14">
        <f>IF(L2823="","",ROUND(L2823*'สรุป'!$C$6,-1))</f>
        <v/>
      </c>
      <c r="O2823" s="15" t="n"/>
      <c r="P2823" s="15" t="n"/>
      <c r="Q2823" s="10" t="n"/>
      <c r="R2823" s="10" t="n"/>
      <c r="S2823" s="16" t="inlineStr">
        <is>
          <t>https://mstgolf.co.th/products/gf2020202676</t>
        </is>
      </c>
      <c r="T2823" s="1">
        <f>IF(B2823="ไม้กอล์ฟ",J2823,"")</f>
        <v/>
      </c>
    </row>
    <row r="2824">
      <c r="A2824" s="1" t="n">
        <v>3</v>
      </c>
      <c r="B2824" s="1" t="inlineStr">
        <is>
          <t>เสื้อผ้า</t>
        </is>
      </c>
      <c r="C2824" s="1" t="inlineStr">
        <is>
          <t>gf2040119398</t>
        </is>
      </c>
      <c r="D2824" s="1" t="inlineStr">
        <is>
          <t>ADIDAS Ultimate365 Allover Print Men's Polo (Navy)</t>
        </is>
      </c>
      <c r="E2824" s="1" t="inlineStr">
        <is>
          <t>ADIDAS</t>
        </is>
      </c>
      <c r="F2824" s="1" t="inlineStr">
        <is>
          <t>SHORT SLEEVES</t>
        </is>
      </c>
      <c r="G2824" s="1" t="inlineStr">
        <is>
          <t>GF2040119398XS</t>
        </is>
      </c>
      <c r="H2824" s="1" t="n">
        <v>7</v>
      </c>
      <c r="I2824" s="1" t="inlineStr">
        <is>
          <t>มี</t>
        </is>
      </c>
      <c r="J2824" s="13" t="n">
        <v>85</v>
      </c>
      <c r="K2824" s="1" t="inlineStr"/>
      <c r="L2824" s="13" t="n">
        <v>59</v>
      </c>
      <c r="M2824" s="1">
        <f>IF(L2824="","ไม่พบใน SG",IF(ABS(J2824-L2824)&lt;0.005,"ตรงกัน","ไม่ตรง"))</f>
        <v/>
      </c>
      <c r="N2824" s="14">
        <f>IF(L2824="","",ROUND(L2824*'สรุป'!$C$6,-1))</f>
        <v/>
      </c>
      <c r="O2824" s="15" t="n"/>
      <c r="P2824" s="15" t="n"/>
      <c r="Q2824" s="10" t="n"/>
      <c r="R2824" s="10" t="n"/>
      <c r="S2824" s="16" t="inlineStr">
        <is>
          <t>https://mstgolf.co.th/products/gf2040119398</t>
        </is>
      </c>
      <c r="T2824" s="1">
        <f>IF(B2824="ไม้กอล์ฟ",J2824,"")</f>
        <v/>
      </c>
    </row>
    <row r="2825">
      <c r="A2825" s="1" t="n">
        <v>3</v>
      </c>
      <c r="B2825" s="1" t="inlineStr">
        <is>
          <t>เสื้อผ้า</t>
        </is>
      </c>
      <c r="C2825" s="1" t="inlineStr">
        <is>
          <t>gf2040120525</t>
        </is>
      </c>
      <c r="D2825" s="1" t="inlineStr">
        <is>
          <t>ADIDAS Ultimate365 Tour Twistknit Men's Pique Polo (Black)</t>
        </is>
      </c>
      <c r="E2825" s="1" t="inlineStr">
        <is>
          <t>ADIDAS</t>
        </is>
      </c>
      <c r="F2825" s="1" t="inlineStr">
        <is>
          <t>SHORT SLEEVES</t>
        </is>
      </c>
      <c r="G2825" s="1" t="inlineStr">
        <is>
          <t>GF20401205252XS</t>
        </is>
      </c>
      <c r="H2825" s="1" t="n">
        <v>7</v>
      </c>
      <c r="I2825" s="1" t="inlineStr">
        <is>
          <t>มี</t>
        </is>
      </c>
      <c r="J2825" s="13" t="n">
        <v>85</v>
      </c>
      <c r="K2825" s="1" t="inlineStr"/>
      <c r="L2825" s="13" t="n">
        <v>59</v>
      </c>
      <c r="M2825" s="1">
        <f>IF(L2825="","ไม่พบใน SG",IF(ABS(J2825-L2825)&lt;0.005,"ตรงกัน","ไม่ตรง"))</f>
        <v/>
      </c>
      <c r="N2825" s="14">
        <f>IF(L2825="","",ROUND(L2825*'สรุป'!$C$6,-1))</f>
        <v/>
      </c>
      <c r="O2825" s="15" t="n"/>
      <c r="P2825" s="15" t="n"/>
      <c r="Q2825" s="10" t="n"/>
      <c r="R2825" s="10" t="n"/>
      <c r="S2825" s="16" t="inlineStr">
        <is>
          <t>https://mstgolf.co.th/products/gf2040120525</t>
        </is>
      </c>
      <c r="T2825" s="1">
        <f>IF(B2825="ไม้กอล์ฟ",J2825,"")</f>
        <v/>
      </c>
    </row>
    <row r="2826">
      <c r="A2826" s="1" t="n">
        <v>3</v>
      </c>
      <c r="B2826" s="1" t="inlineStr">
        <is>
          <t>เสื้อผ้า</t>
        </is>
      </c>
      <c r="C2826" s="1" t="inlineStr">
        <is>
          <t>gf2040120526</t>
        </is>
      </c>
      <c r="D2826" s="1" t="inlineStr">
        <is>
          <t>ADIDAS Ultimate365 Tour Twistknit Men's Pique Polo (Violet)</t>
        </is>
      </c>
      <c r="E2826" s="1" t="inlineStr">
        <is>
          <t>ADIDAS</t>
        </is>
      </c>
      <c r="F2826" s="1" t="inlineStr">
        <is>
          <t>SHORT SLEEVES</t>
        </is>
      </c>
      <c r="G2826" s="1" t="inlineStr">
        <is>
          <t>GF20401205262XS</t>
        </is>
      </c>
      <c r="H2826" s="1" t="n">
        <v>7</v>
      </c>
      <c r="I2826" s="1" t="inlineStr">
        <is>
          <t>มี</t>
        </is>
      </c>
      <c r="J2826" s="13" t="n">
        <v>85</v>
      </c>
      <c r="K2826" s="1" t="inlineStr"/>
      <c r="L2826" s="13" t="n">
        <v>59</v>
      </c>
      <c r="M2826" s="1">
        <f>IF(L2826="","ไม่พบใน SG",IF(ABS(J2826-L2826)&lt;0.005,"ตรงกัน","ไม่ตรง"))</f>
        <v/>
      </c>
      <c r="N2826" s="14">
        <f>IF(L2826="","",ROUND(L2826*'สรุป'!$C$6,-1))</f>
        <v/>
      </c>
      <c r="O2826" s="15" t="n"/>
      <c r="P2826" s="15" t="n"/>
      <c r="Q2826" s="10" t="n"/>
      <c r="R2826" s="10" t="n"/>
      <c r="S2826" s="16" t="inlineStr">
        <is>
          <t>https://mstgolf.co.th/products/gf2040120526</t>
        </is>
      </c>
      <c r="T2826" s="1">
        <f>IF(B2826="ไม้กอล์ฟ",J2826,"")</f>
        <v/>
      </c>
    </row>
    <row r="2827">
      <c r="A2827" s="1" t="n">
        <v>3</v>
      </c>
      <c r="B2827" s="1" t="inlineStr">
        <is>
          <t>เสื้อผ้า</t>
        </is>
      </c>
      <c r="C2827" s="1" t="inlineStr">
        <is>
          <t>gf2020200904</t>
        </is>
      </c>
      <c r="D2827" s="1" t="inlineStr">
        <is>
          <t>FOOTJOY Lightweight Performance Men's Shorts (Black)</t>
        </is>
      </c>
      <c r="E2827" s="1" t="inlineStr">
        <is>
          <t>FOOTJOY</t>
        </is>
      </c>
      <c r="F2827" s="1" t="inlineStr">
        <is>
          <t>SHORT PANTS</t>
        </is>
      </c>
      <c r="G2827" s="1" t="inlineStr">
        <is>
          <t>GF202020090430</t>
        </is>
      </c>
      <c r="H2827" s="1" t="n">
        <v>7</v>
      </c>
      <c r="I2827" s="1" t="inlineStr">
        <is>
          <t>มี</t>
        </is>
      </c>
      <c r="J2827" s="13" t="n">
        <v>85</v>
      </c>
      <c r="K2827" s="1" t="inlineStr"/>
      <c r="L2827" s="13" t="n">
        <v>85</v>
      </c>
      <c r="M2827" s="1">
        <f>IF(L2827="","ไม่พบใน SG",IF(ABS(J2827-L2827)&lt;0.005,"ตรงกัน","ไม่ตรง"))</f>
        <v/>
      </c>
      <c r="N2827" s="14">
        <f>IF(L2827="","",ROUND(L2827*'สรุป'!$C$6,-1))</f>
        <v/>
      </c>
      <c r="O2827" s="15" t="n"/>
      <c r="P2827" s="15" t="n"/>
      <c r="Q2827" s="10" t="n"/>
      <c r="R2827" s="10" t="n"/>
      <c r="S2827" s="16" t="inlineStr">
        <is>
          <t>https://mstgolf.co.th/products/gf2020200904</t>
        </is>
      </c>
      <c r="T2827" s="1">
        <f>IF(B2827="ไม้กอล์ฟ",J2827,"")</f>
        <v/>
      </c>
    </row>
    <row r="2828">
      <c r="A2828" s="1" t="n">
        <v>3</v>
      </c>
      <c r="B2828" s="1" t="inlineStr">
        <is>
          <t>เสื้อผ้า</t>
        </is>
      </c>
      <c r="C2828" s="1" t="inlineStr">
        <is>
          <t>gf2040119953</t>
        </is>
      </c>
      <c r="D2828" s="1" t="inlineStr">
        <is>
          <t>LE COQ SPORTIF GOLF New Basic Women's Sleeveless Vest (Navy)</t>
        </is>
      </c>
      <c r="E2828" s="1" t="inlineStr">
        <is>
          <t>LE COQ SPORTIF GOLF</t>
        </is>
      </c>
      <c r="F2828" s="1" t="inlineStr">
        <is>
          <t>TOP</t>
        </is>
      </c>
      <c r="G2828" s="1" t="inlineStr">
        <is>
          <t>GF2040119953S</t>
        </is>
      </c>
      <c r="H2828" s="1" t="n">
        <v>6</v>
      </c>
      <c r="I2828" s="1" t="inlineStr">
        <is>
          <t>มี</t>
        </is>
      </c>
      <c r="J2828" s="13" t="n">
        <v>85</v>
      </c>
      <c r="K2828" s="1" t="inlineStr"/>
      <c r="L2828" s="13" t="n">
        <v>85</v>
      </c>
      <c r="M2828" s="1">
        <f>IF(L2828="","ไม่พบใน SG",IF(ABS(J2828-L2828)&lt;0.005,"ตรงกัน","ไม่ตรง"))</f>
        <v/>
      </c>
      <c r="N2828" s="14">
        <f>IF(L2828="","",ROUND(L2828*'สรุป'!$C$6,-1))</f>
        <v/>
      </c>
      <c r="O2828" s="15" t="n"/>
      <c r="P2828" s="15" t="n"/>
      <c r="Q2828" s="10" t="n"/>
      <c r="R2828" s="10" t="n"/>
      <c r="S2828" s="16" t="inlineStr">
        <is>
          <t>https://mstgolf.co.th/products/gf2040119953</t>
        </is>
      </c>
      <c r="T2828" s="1">
        <f>IF(B2828="ไม้กอล์ฟ",J2828,"")</f>
        <v/>
      </c>
    </row>
    <row r="2829">
      <c r="A2829" s="1" t="n">
        <v>3</v>
      </c>
      <c r="B2829" s="1" t="inlineStr">
        <is>
          <t>หมวก</t>
        </is>
      </c>
      <c r="C2829" s="1" t="inlineStr">
        <is>
          <t>gf2000300420</t>
        </is>
      </c>
      <c r="D2829" s="1" t="inlineStr">
        <is>
          <t>MALBON GOLF x Keith Haring Men's Hat (Black)</t>
        </is>
      </c>
      <c r="E2829" s="1" t="inlineStr">
        <is>
          <t>MALBON GOLF</t>
        </is>
      </c>
      <c r="F2829" s="1" t="inlineStr">
        <is>
          <t>HAT</t>
        </is>
      </c>
      <c r="G2829" s="1" t="inlineStr">
        <is>
          <t>GF2000300420S-M</t>
        </is>
      </c>
      <c r="H2829" s="1" t="n">
        <v>2</v>
      </c>
      <c r="I2829" s="1" t="inlineStr">
        <is>
          <t>มี</t>
        </is>
      </c>
      <c r="J2829" s="13" t="n">
        <v>85</v>
      </c>
      <c r="K2829" s="1" t="inlineStr"/>
      <c r="L2829" s="13" t="n">
        <v>85</v>
      </c>
      <c r="M2829" s="1">
        <f>IF(L2829="","ไม่พบใน SG",IF(ABS(J2829-L2829)&lt;0.005,"ตรงกัน","ไม่ตรง"))</f>
        <v/>
      </c>
      <c r="N2829" s="14">
        <f>IF(L2829="","",ROUND(L2829*'สรุป'!$C$6,-1))</f>
        <v/>
      </c>
      <c r="O2829" s="15" t="n"/>
      <c r="P2829" s="15" t="n"/>
      <c r="Q2829" s="10" t="n"/>
      <c r="R2829" s="10" t="n"/>
      <c r="S2829" s="16" t="inlineStr">
        <is>
          <t>https://mstgolf.co.th/products/gf2000300420</t>
        </is>
      </c>
      <c r="T2829" s="1">
        <f>IF(B2829="ไม้กอล์ฟ",J2829,"")</f>
        <v/>
      </c>
    </row>
    <row r="2830">
      <c r="A2830" s="1" t="n">
        <v>3</v>
      </c>
      <c r="B2830" s="1" t="inlineStr">
        <is>
          <t>เสื้อผ้า</t>
        </is>
      </c>
      <c r="C2830" s="1" t="inlineStr">
        <is>
          <t>gf2040117807</t>
        </is>
      </c>
      <c r="D2830" s="1" t="inlineStr">
        <is>
          <t>PETER MILLAR Colt Striped Men's Short Sleeve Shirt (British Grey)</t>
        </is>
      </c>
      <c r="E2830" s="1" t="inlineStr">
        <is>
          <t>PETER MILLAR</t>
        </is>
      </c>
      <c r="F2830" s="1" t="inlineStr">
        <is>
          <t>SHORT SLEEVES</t>
        </is>
      </c>
      <c r="G2830" s="1" t="inlineStr">
        <is>
          <t>GF2040117807S</t>
        </is>
      </c>
      <c r="H2830" s="1" t="n">
        <v>4</v>
      </c>
      <c r="I2830" s="1" t="inlineStr">
        <is>
          <t>มี</t>
        </is>
      </c>
      <c r="J2830" s="13" t="n">
        <v>85</v>
      </c>
      <c r="K2830" s="1" t="inlineStr"/>
      <c r="L2830" s="13" t="n">
        <v>85</v>
      </c>
      <c r="M2830" s="1">
        <f>IF(L2830="","ไม่พบใน SG",IF(ABS(J2830-L2830)&lt;0.005,"ตรงกัน","ไม่ตรง"))</f>
        <v/>
      </c>
      <c r="N2830" s="14">
        <f>IF(L2830="","",ROUND(L2830*'สรุป'!$C$6,-1))</f>
        <v/>
      </c>
      <c r="O2830" s="15" t="n"/>
      <c r="P2830" s="15" t="n"/>
      <c r="Q2830" s="10" t="n"/>
      <c r="R2830" s="10" t="n"/>
      <c r="S2830" s="16" t="inlineStr">
        <is>
          <t>https://mstgolf.co.th/products/gf2040117807</t>
        </is>
      </c>
      <c r="T2830" s="1">
        <f>IF(B2830="ไม้กอล์ฟ",J2830,"")</f>
        <v/>
      </c>
    </row>
    <row r="2831">
      <c r="A2831" s="1" t="n">
        <v>3</v>
      </c>
      <c r="B2831" s="1" t="inlineStr">
        <is>
          <t>เสื้อผ้า</t>
        </is>
      </c>
      <c r="C2831" s="1" t="inlineStr">
        <is>
          <t>gf2020102140</t>
        </is>
      </c>
      <c r="D2831" s="1" t="inlineStr">
        <is>
          <t>PUMA 4-Way Stretch Print Tapered Men's Pants (Bright White)</t>
        </is>
      </c>
      <c r="E2831" s="1" t="inlineStr">
        <is>
          <t>PUMA</t>
        </is>
      </c>
      <c r="F2831" s="1" t="inlineStr">
        <is>
          <t>LONG PANTS</t>
        </is>
      </c>
      <c r="G2831" s="1" t="inlineStr">
        <is>
          <t>GF2020102140S</t>
        </is>
      </c>
      <c r="H2831" s="1" t="n">
        <v>5</v>
      </c>
      <c r="I2831" s="1" t="inlineStr">
        <is>
          <t>มี</t>
        </is>
      </c>
      <c r="J2831" s="13" t="n">
        <v>85</v>
      </c>
      <c r="K2831" s="1" t="inlineStr"/>
      <c r="L2831" s="13" t="n">
        <v>85</v>
      </c>
      <c r="M2831" s="1">
        <f>IF(L2831="","ไม่พบใน SG",IF(ABS(J2831-L2831)&lt;0.005,"ตรงกัน","ไม่ตรง"))</f>
        <v/>
      </c>
      <c r="N2831" s="14">
        <f>IF(L2831="","",ROUND(L2831*'สรุป'!$C$6,-1))</f>
        <v/>
      </c>
      <c r="O2831" s="15" t="n"/>
      <c r="P2831" s="15" t="n"/>
      <c r="Q2831" s="10" t="n"/>
      <c r="R2831" s="10" t="n"/>
      <c r="S2831" s="16" t="inlineStr">
        <is>
          <t>https://mstgolf.co.th/products/gf2020102140</t>
        </is>
      </c>
      <c r="T2831" s="1">
        <f>IF(B2831="ไม้กอล์ฟ",J2831,"")</f>
        <v/>
      </c>
    </row>
    <row r="2832">
      <c r="A2832" s="1" t="n">
        <v>3</v>
      </c>
      <c r="B2832" s="1" t="inlineStr">
        <is>
          <t>เสื้อผ้า</t>
        </is>
      </c>
      <c r="C2832" s="1" t="inlineStr">
        <is>
          <t>gf2020102139</t>
        </is>
      </c>
      <c r="D2832" s="1" t="inlineStr">
        <is>
          <t>PUMA 4-Way Stretch Print Tapered Men's Pants (Grey)</t>
        </is>
      </c>
      <c r="E2832" s="1" t="inlineStr">
        <is>
          <t>PUMA</t>
        </is>
      </c>
      <c r="F2832" s="1" t="inlineStr">
        <is>
          <t>LONG PANTS</t>
        </is>
      </c>
      <c r="G2832" s="1" t="inlineStr">
        <is>
          <t>GF2020102139S</t>
        </is>
      </c>
      <c r="H2832" s="1" t="n">
        <v>5</v>
      </c>
      <c r="I2832" s="1" t="inlineStr">
        <is>
          <t>มี</t>
        </is>
      </c>
      <c r="J2832" s="13" t="n">
        <v>85</v>
      </c>
      <c r="K2832" s="1" t="inlineStr"/>
      <c r="L2832" s="13" t="n">
        <v>85</v>
      </c>
      <c r="M2832" s="1">
        <f>IF(L2832="","ไม่พบใน SG",IF(ABS(J2832-L2832)&lt;0.005,"ตรงกัน","ไม่ตรง"))</f>
        <v/>
      </c>
      <c r="N2832" s="14">
        <f>IF(L2832="","",ROUND(L2832*'สรุป'!$C$6,-1))</f>
        <v/>
      </c>
      <c r="O2832" s="15" t="n"/>
      <c r="P2832" s="15" t="n"/>
      <c r="Q2832" s="10" t="n"/>
      <c r="R2832" s="10" t="n"/>
      <c r="S2832" s="16" t="inlineStr">
        <is>
          <t>https://mstgolf.co.th/products/gf2020102139</t>
        </is>
      </c>
      <c r="T2832" s="1">
        <f>IF(B2832="ไม้กอล์ฟ",J2832,"")</f>
        <v/>
      </c>
    </row>
    <row r="2833">
      <c r="A2833" s="1" t="n">
        <v>3</v>
      </c>
      <c r="B2833" s="1" t="inlineStr">
        <is>
          <t>เสื้อผ้า</t>
        </is>
      </c>
      <c r="C2833" s="1" t="inlineStr">
        <is>
          <t>gf2020102138</t>
        </is>
      </c>
      <c r="D2833" s="1" t="inlineStr">
        <is>
          <t>PUMA 4-Way Stretch Print Tapered Men's Pants (Navy)</t>
        </is>
      </c>
      <c r="E2833" s="1" t="inlineStr">
        <is>
          <t>PUMA</t>
        </is>
      </c>
      <c r="F2833" s="1" t="inlineStr">
        <is>
          <t>LONG PANTS</t>
        </is>
      </c>
      <c r="G2833" s="1" t="inlineStr">
        <is>
          <t>GF2020102138S</t>
        </is>
      </c>
      <c r="H2833" s="1" t="n">
        <v>5</v>
      </c>
      <c r="I2833" s="1" t="inlineStr">
        <is>
          <t>มี</t>
        </is>
      </c>
      <c r="J2833" s="13" t="n">
        <v>85</v>
      </c>
      <c r="K2833" s="1" t="inlineStr"/>
      <c r="L2833" s="13" t="n">
        <v>85</v>
      </c>
      <c r="M2833" s="1">
        <f>IF(L2833="","ไม่พบใน SG",IF(ABS(J2833-L2833)&lt;0.005,"ตรงกัน","ไม่ตรง"))</f>
        <v/>
      </c>
      <c r="N2833" s="14">
        <f>IF(L2833="","",ROUND(L2833*'สรุป'!$C$6,-1))</f>
        <v/>
      </c>
      <c r="O2833" s="15" t="n"/>
      <c r="P2833" s="15" t="n"/>
      <c r="Q2833" s="10" t="n"/>
      <c r="R2833" s="10" t="n"/>
      <c r="S2833" s="16" t="inlineStr">
        <is>
          <t>https://mstgolf.co.th/products/gf2020102138</t>
        </is>
      </c>
      <c r="T2833" s="1">
        <f>IF(B2833="ไม้กอล์ฟ",J2833,"")</f>
        <v/>
      </c>
    </row>
    <row r="2834">
      <c r="A2834" s="1" t="n">
        <v>3</v>
      </c>
      <c r="B2834" s="1" t="inlineStr">
        <is>
          <t>เสื้อผ้า</t>
        </is>
      </c>
      <c r="C2834" s="1" t="inlineStr">
        <is>
          <t>gf2040115921</t>
        </is>
      </c>
      <c r="D2834" s="1" t="inlineStr">
        <is>
          <t>PUMA Cat Camo Men's Polo (White Pepper)</t>
        </is>
      </c>
      <c r="E2834" s="1" t="inlineStr">
        <is>
          <t>PUMA</t>
        </is>
      </c>
      <c r="F2834" s="1" t="inlineStr">
        <is>
          <t>SHORT SLEEVES</t>
        </is>
      </c>
      <c r="G2834" s="1" t="inlineStr">
        <is>
          <t>GF2040115921S</t>
        </is>
      </c>
      <c r="H2834" s="1" t="n">
        <v>5</v>
      </c>
      <c r="I2834" s="1" t="inlineStr">
        <is>
          <t>มี</t>
        </is>
      </c>
      <c r="J2834" s="13" t="n">
        <v>85</v>
      </c>
      <c r="K2834" s="1" t="inlineStr"/>
      <c r="L2834" s="13" t="n">
        <v>85</v>
      </c>
      <c r="M2834" s="1">
        <f>IF(L2834="","ไม่พบใน SG",IF(ABS(J2834-L2834)&lt;0.005,"ตรงกัน","ไม่ตรง"))</f>
        <v/>
      </c>
      <c r="N2834" s="14">
        <f>IF(L2834="","",ROUND(L2834*'สรุป'!$C$6,-1))</f>
        <v/>
      </c>
      <c r="O2834" s="15" t="n"/>
      <c r="P2834" s="15" t="n"/>
      <c r="Q2834" s="10" t="n"/>
      <c r="R2834" s="10" t="n"/>
      <c r="S2834" s="16" t="inlineStr">
        <is>
          <t>https://mstgolf.co.th/products/gf2040115921</t>
        </is>
      </c>
      <c r="T2834" s="1">
        <f>IF(B2834="ไม้กอล์ฟ",J2834,"")</f>
        <v/>
      </c>
    </row>
    <row r="2835">
      <c r="A2835" s="1" t="n">
        <v>3</v>
      </c>
      <c r="B2835" s="1" t="inlineStr">
        <is>
          <t>เสื้อผ้า</t>
        </is>
      </c>
      <c r="C2835" s="1" t="inlineStr">
        <is>
          <t>gf2020202176</t>
        </is>
      </c>
      <c r="D2835" s="1" t="inlineStr">
        <is>
          <t>PUMA Flag Printed Seersucker Men's Shorts (Light Grey)</t>
        </is>
      </c>
      <c r="E2835" s="1" t="inlineStr">
        <is>
          <t>PUMA</t>
        </is>
      </c>
      <c r="F2835" s="1" t="inlineStr">
        <is>
          <t>SHORT PANTS</t>
        </is>
      </c>
      <c r="G2835" s="1" t="inlineStr">
        <is>
          <t>GF2020202176S</t>
        </is>
      </c>
      <c r="H2835" s="1" t="n">
        <v>5</v>
      </c>
      <c r="I2835" s="1" t="inlineStr">
        <is>
          <t>มี</t>
        </is>
      </c>
      <c r="J2835" s="13" t="n">
        <v>85</v>
      </c>
      <c r="K2835" s="1" t="inlineStr"/>
      <c r="L2835" s="13" t="n">
        <v>69</v>
      </c>
      <c r="M2835" s="1">
        <f>IF(L2835="","ไม่พบใน SG",IF(ABS(J2835-L2835)&lt;0.005,"ตรงกัน","ไม่ตรง"))</f>
        <v/>
      </c>
      <c r="N2835" s="14">
        <f>IF(L2835="","",ROUND(L2835*'สรุป'!$C$6,-1))</f>
        <v/>
      </c>
      <c r="O2835" s="15" t="n"/>
      <c r="P2835" s="15" t="n"/>
      <c r="Q2835" s="10" t="n"/>
      <c r="R2835" s="10" t="n"/>
      <c r="S2835" s="16" t="inlineStr">
        <is>
          <t>https://mstgolf.co.th/products/gf2020202176</t>
        </is>
      </c>
      <c r="T2835" s="1">
        <f>IF(B2835="ไม้กอล์ฟ",J2835,"")</f>
        <v/>
      </c>
    </row>
    <row r="2836">
      <c r="A2836" s="1" t="n">
        <v>3</v>
      </c>
      <c r="B2836" s="1" t="inlineStr">
        <is>
          <t>เสื้อผ้า</t>
        </is>
      </c>
      <c r="C2836" s="1" t="inlineStr">
        <is>
          <t>gf2020202175</t>
        </is>
      </c>
      <c r="D2836" s="1" t="inlineStr">
        <is>
          <t>PUMA Flag Printed Seersucker Men's Shorts (Tropical Aqua)</t>
        </is>
      </c>
      <c r="E2836" s="1" t="inlineStr">
        <is>
          <t>PUMA</t>
        </is>
      </c>
      <c r="F2836" s="1" t="inlineStr">
        <is>
          <t>SHORT PANTS</t>
        </is>
      </c>
      <c r="G2836" s="1" t="inlineStr">
        <is>
          <t>GF2020202175S</t>
        </is>
      </c>
      <c r="H2836" s="1" t="n">
        <v>5</v>
      </c>
      <c r="I2836" s="1" t="inlineStr">
        <is>
          <t>มี</t>
        </is>
      </c>
      <c r="J2836" s="13" t="n">
        <v>85</v>
      </c>
      <c r="K2836" s="1" t="inlineStr"/>
      <c r="L2836" s="13" t="n">
        <v>85</v>
      </c>
      <c r="M2836" s="1">
        <f>IF(L2836="","ไม่พบใน SG",IF(ABS(J2836-L2836)&lt;0.005,"ตรงกัน","ไม่ตรง"))</f>
        <v/>
      </c>
      <c r="N2836" s="14">
        <f>IF(L2836="","",ROUND(L2836*'สรุป'!$C$6,-1))</f>
        <v/>
      </c>
      <c r="O2836" s="15" t="n"/>
      <c r="P2836" s="15" t="n"/>
      <c r="Q2836" s="10" t="n"/>
      <c r="R2836" s="10" t="n"/>
      <c r="S2836" s="16" t="inlineStr">
        <is>
          <t>https://mstgolf.co.th/products/gf2020202175</t>
        </is>
      </c>
      <c r="T2836" s="1">
        <f>IF(B2836="ไม้กอล์ฟ",J2836,"")</f>
        <v/>
      </c>
    </row>
    <row r="2837">
      <c r="A2837" s="1" t="n">
        <v>3</v>
      </c>
      <c r="B2837" s="1" t="inlineStr">
        <is>
          <t>เสื้อผ้า</t>
        </is>
      </c>
      <c r="C2837" s="1" t="inlineStr">
        <is>
          <t>gf2040117458</t>
        </is>
      </c>
      <c r="D2837" s="1" t="inlineStr">
        <is>
          <t>PUMA Japan PF Stretch Hybrid Neck Men's Polo (White)</t>
        </is>
      </c>
      <c r="E2837" s="1" t="inlineStr">
        <is>
          <t>PUMA</t>
        </is>
      </c>
      <c r="F2837" s="1" t="inlineStr">
        <is>
          <t>SHORT SLEEVES</t>
        </is>
      </c>
      <c r="G2837" s="1" t="inlineStr">
        <is>
          <t>GF2040117458S</t>
        </is>
      </c>
      <c r="H2837" s="1" t="n">
        <v>5</v>
      </c>
      <c r="I2837" s="1" t="inlineStr">
        <is>
          <t>มี</t>
        </is>
      </c>
      <c r="J2837" s="13" t="n">
        <v>85</v>
      </c>
      <c r="K2837" s="1" t="inlineStr"/>
      <c r="L2837" s="13" t="n">
        <v>85</v>
      </c>
      <c r="M2837" s="1">
        <f>IF(L2837="","ไม่พบใน SG",IF(ABS(J2837-L2837)&lt;0.005,"ตรงกัน","ไม่ตรง"))</f>
        <v/>
      </c>
      <c r="N2837" s="14">
        <f>IF(L2837="","",ROUND(L2837*'สรุป'!$C$6,-1))</f>
        <v/>
      </c>
      <c r="O2837" s="15" t="n"/>
      <c r="P2837" s="15" t="n"/>
      <c r="Q2837" s="10" t="n"/>
      <c r="R2837" s="10" t="n"/>
      <c r="S2837" s="16" t="inlineStr">
        <is>
          <t>https://mstgolf.co.th/products/gf2040117458</t>
        </is>
      </c>
      <c r="T2837" s="1">
        <f>IF(B2837="ไม้กอล์ฟ",J2837,"")</f>
        <v/>
      </c>
    </row>
    <row r="2838">
      <c r="A2838" s="1" t="n">
        <v>3</v>
      </c>
      <c r="B2838" s="1" t="inlineStr">
        <is>
          <t>เสื้อผ้า</t>
        </is>
      </c>
      <c r="C2838" s="1" t="inlineStr">
        <is>
          <t>gf2040117462</t>
        </is>
      </c>
      <c r="D2838" s="1" t="inlineStr">
        <is>
          <t>PUMA Japan Stretch Pile Jacquard Men's Polo (Black)</t>
        </is>
      </c>
      <c r="E2838" s="1" t="inlineStr">
        <is>
          <t>PUMA</t>
        </is>
      </c>
      <c r="F2838" s="1" t="inlineStr">
        <is>
          <t>SHORT SLEEVES</t>
        </is>
      </c>
      <c r="G2838" s="1" t="inlineStr">
        <is>
          <t>GF2040117462S</t>
        </is>
      </c>
      <c r="H2838" s="1" t="n">
        <v>5</v>
      </c>
      <c r="I2838" s="1" t="inlineStr">
        <is>
          <t>มี</t>
        </is>
      </c>
      <c r="J2838" s="13" t="n">
        <v>85</v>
      </c>
      <c r="K2838" s="1" t="inlineStr"/>
      <c r="L2838" s="13" t="n">
        <v>69</v>
      </c>
      <c r="M2838" s="1">
        <f>IF(L2838="","ไม่พบใน SG",IF(ABS(J2838-L2838)&lt;0.005,"ตรงกัน","ไม่ตรง"))</f>
        <v/>
      </c>
      <c r="N2838" s="14">
        <f>IF(L2838="","",ROUND(L2838*'สรุป'!$C$6,-1))</f>
        <v/>
      </c>
      <c r="O2838" s="15" t="n"/>
      <c r="P2838" s="15" t="n"/>
      <c r="Q2838" s="10" t="n"/>
      <c r="R2838" s="10" t="n"/>
      <c r="S2838" s="16" t="inlineStr">
        <is>
          <t>https://mstgolf.co.th/products/gf2040117462</t>
        </is>
      </c>
      <c r="T2838" s="1">
        <f>IF(B2838="ไม้กอล์ฟ",J2838,"")</f>
        <v/>
      </c>
    </row>
    <row r="2839">
      <c r="A2839" s="1" t="n">
        <v>3</v>
      </c>
      <c r="B2839" s="1" t="inlineStr">
        <is>
          <t>เสื้อผ้า</t>
        </is>
      </c>
      <c r="C2839" s="1" t="inlineStr">
        <is>
          <t>gf2020202072</t>
        </is>
      </c>
      <c r="D2839" s="1" t="inlineStr">
        <is>
          <t>TAYLORMADE Club Basic Skort (Navy)</t>
        </is>
      </c>
      <c r="E2839" s="1" t="inlineStr">
        <is>
          <t>TAYLORMADE</t>
        </is>
      </c>
      <c r="F2839" s="1" t="inlineStr">
        <is>
          <t>SHORT PANTS</t>
        </is>
      </c>
      <c r="G2839" s="1" t="inlineStr">
        <is>
          <t>GF2020202072XS</t>
        </is>
      </c>
      <c r="H2839" s="1" t="n">
        <v>6</v>
      </c>
      <c r="I2839" s="1" t="inlineStr">
        <is>
          <t>มี</t>
        </is>
      </c>
      <c r="J2839" s="13" t="n">
        <v>85</v>
      </c>
      <c r="K2839" s="1" t="inlineStr"/>
      <c r="L2839" s="13" t="n">
        <v>69</v>
      </c>
      <c r="M2839" s="1">
        <f>IF(L2839="","ไม่พบใน SG",IF(ABS(J2839-L2839)&lt;0.005,"ตรงกัน","ไม่ตรง"))</f>
        <v/>
      </c>
      <c r="N2839" s="14">
        <f>IF(L2839="","",ROUND(L2839*'สรุป'!$C$6,-1))</f>
        <v/>
      </c>
      <c r="O2839" s="15" t="n"/>
      <c r="P2839" s="15" t="n"/>
      <c r="Q2839" s="10" t="n"/>
      <c r="R2839" s="10" t="n"/>
      <c r="S2839" s="16" t="inlineStr">
        <is>
          <t>https://mstgolf.co.th/products/gf2020202072</t>
        </is>
      </c>
      <c r="T2839" s="1">
        <f>IF(B2839="ไม้กอล์ฟ",J2839,"")</f>
        <v/>
      </c>
    </row>
    <row r="2840">
      <c r="A2840" s="1" t="n">
        <v>3</v>
      </c>
      <c r="B2840" s="1" t="inlineStr">
        <is>
          <t>เสื้อผ้า</t>
        </is>
      </c>
      <c r="C2840" s="1" t="inlineStr">
        <is>
          <t>gf2020202065</t>
        </is>
      </c>
      <c r="D2840" s="1" t="inlineStr">
        <is>
          <t>TAYLORMADE Club Basic Skort (Pink)</t>
        </is>
      </c>
      <c r="E2840" s="1" t="inlineStr">
        <is>
          <t>TAYLORMADE</t>
        </is>
      </c>
      <c r="F2840" s="1" t="inlineStr">
        <is>
          <t>SHORT PANTS</t>
        </is>
      </c>
      <c r="G2840" s="1" t="inlineStr">
        <is>
          <t>GF2020202065XS</t>
        </is>
      </c>
      <c r="H2840" s="1" t="n">
        <v>6</v>
      </c>
      <c r="I2840" s="1" t="inlineStr">
        <is>
          <t>มี</t>
        </is>
      </c>
      <c r="J2840" s="13" t="n">
        <v>85</v>
      </c>
      <c r="K2840" s="1" t="inlineStr"/>
      <c r="L2840" s="13" t="n">
        <v>69</v>
      </c>
      <c r="M2840" s="1">
        <f>IF(L2840="","ไม่พบใน SG",IF(ABS(J2840-L2840)&lt;0.005,"ตรงกัน","ไม่ตรง"))</f>
        <v/>
      </c>
      <c r="N2840" s="14">
        <f>IF(L2840="","",ROUND(L2840*'สรุป'!$C$6,-1))</f>
        <v/>
      </c>
      <c r="O2840" s="15" t="n"/>
      <c r="P2840" s="15" t="n"/>
      <c r="Q2840" s="10" t="n"/>
      <c r="R2840" s="10" t="n"/>
      <c r="S2840" s="16" t="inlineStr">
        <is>
          <t>https://mstgolf.co.th/products/gf2020202065</t>
        </is>
      </c>
      <c r="T2840" s="1">
        <f>IF(B2840="ไม้กอล์ฟ",J2840,"")</f>
        <v/>
      </c>
    </row>
    <row r="2841">
      <c r="A2841" s="1" t="n">
        <v>3</v>
      </c>
      <c r="B2841" s="1" t="inlineStr">
        <is>
          <t>เสื้อผ้า</t>
        </is>
      </c>
      <c r="C2841" s="1" t="inlineStr">
        <is>
          <t>gf2040116421</t>
        </is>
      </c>
      <c r="D2841" s="1" t="inlineStr">
        <is>
          <t>TAYLORMADE Club Basic Women's Polo (Apricot)</t>
        </is>
      </c>
      <c r="E2841" s="1" t="inlineStr">
        <is>
          <t>TAYLORMADE</t>
        </is>
      </c>
      <c r="F2841" s="1" t="inlineStr">
        <is>
          <t>SHORT SLEEVES</t>
        </is>
      </c>
      <c r="G2841" s="1" t="inlineStr">
        <is>
          <t>GF2040116421S</t>
        </is>
      </c>
      <c r="H2841" s="1" t="n">
        <v>5</v>
      </c>
      <c r="I2841" s="1" t="inlineStr">
        <is>
          <t>มี</t>
        </is>
      </c>
      <c r="J2841" s="13" t="n">
        <v>85</v>
      </c>
      <c r="K2841" s="1" t="inlineStr"/>
      <c r="L2841" s="13" t="n">
        <v>69</v>
      </c>
      <c r="M2841" s="1">
        <f>IF(L2841="","ไม่พบใน SG",IF(ABS(J2841-L2841)&lt;0.005,"ตรงกัน","ไม่ตรง"))</f>
        <v/>
      </c>
      <c r="N2841" s="14">
        <f>IF(L2841="","",ROUND(L2841*'สรุป'!$C$6,-1))</f>
        <v/>
      </c>
      <c r="O2841" s="15" t="n"/>
      <c r="P2841" s="15" t="n"/>
      <c r="Q2841" s="10" t="n"/>
      <c r="R2841" s="10" t="n"/>
      <c r="S2841" s="16" t="inlineStr">
        <is>
          <t>https://mstgolf.co.th/products/gf2040116421</t>
        </is>
      </c>
      <c r="T2841" s="1">
        <f>IF(B2841="ไม้กอล์ฟ",J2841,"")</f>
        <v/>
      </c>
    </row>
    <row r="2842">
      <c r="A2842" s="1" t="n">
        <v>3</v>
      </c>
      <c r="B2842" s="1" t="inlineStr">
        <is>
          <t>เสื้อผ้า</t>
        </is>
      </c>
      <c r="C2842" s="1" t="inlineStr">
        <is>
          <t>gf2040117908</t>
        </is>
      </c>
      <c r="D2842" s="1" t="inlineStr">
        <is>
          <t>TAYLORMADE Graphic Men's Polo (Lemon)</t>
        </is>
      </c>
      <c r="E2842" s="1" t="inlineStr">
        <is>
          <t>TAYLORMADE</t>
        </is>
      </c>
      <c r="F2842" s="1" t="inlineStr">
        <is>
          <t>SHORT SLEEVES</t>
        </is>
      </c>
      <c r="G2842" s="1" t="inlineStr">
        <is>
          <t>GF2040117908S</t>
        </is>
      </c>
      <c r="H2842" s="1" t="n">
        <v>6</v>
      </c>
      <c r="I2842" s="1" t="inlineStr">
        <is>
          <t>มี</t>
        </is>
      </c>
      <c r="J2842" s="13" t="n">
        <v>85</v>
      </c>
      <c r="K2842" s="1" t="inlineStr"/>
      <c r="L2842" s="13" t="n">
        <v>85</v>
      </c>
      <c r="M2842" s="1">
        <f>IF(L2842="","ไม่พบใน SG",IF(ABS(J2842-L2842)&lt;0.005,"ตรงกัน","ไม่ตรง"))</f>
        <v/>
      </c>
      <c r="N2842" s="14">
        <f>IF(L2842="","",ROUND(L2842*'สรุป'!$C$6,-1))</f>
        <v/>
      </c>
      <c r="O2842" s="15" t="n"/>
      <c r="P2842" s="15" t="n"/>
      <c r="Q2842" s="10" t="n"/>
      <c r="R2842" s="10" t="n"/>
      <c r="S2842" s="16" t="inlineStr">
        <is>
          <t>https://mstgolf.co.th/products/gf2040117908</t>
        </is>
      </c>
      <c r="T2842" s="1">
        <f>IF(B2842="ไม้กอล์ฟ",J2842,"")</f>
        <v/>
      </c>
    </row>
    <row r="2843">
      <c r="A2843" s="1" t="n">
        <v>3</v>
      </c>
      <c r="B2843" s="1" t="inlineStr">
        <is>
          <t>เสื้อผ้า</t>
        </is>
      </c>
      <c r="C2843" s="1" t="inlineStr">
        <is>
          <t>gf2020202418</t>
        </is>
      </c>
      <c r="D2843" s="1" t="inlineStr">
        <is>
          <t>TAYLORMADE Pleated Women's Shorts (Ice Beige)</t>
        </is>
      </c>
      <c r="E2843" s="1" t="inlineStr">
        <is>
          <t>TAYLORMADE</t>
        </is>
      </c>
      <c r="F2843" s="1" t="inlineStr">
        <is>
          <t>SHORT PANTS</t>
        </is>
      </c>
      <c r="G2843" s="1" t="inlineStr">
        <is>
          <t>GF2020202418S</t>
        </is>
      </c>
      <c r="H2843" s="1" t="n">
        <v>5</v>
      </c>
      <c r="I2843" s="1" t="inlineStr">
        <is>
          <t>มี</t>
        </is>
      </c>
      <c r="J2843" s="13" t="n">
        <v>85</v>
      </c>
      <c r="K2843" s="1" t="inlineStr"/>
      <c r="L2843" s="13" t="n">
        <v>69</v>
      </c>
      <c r="M2843" s="1">
        <f>IF(L2843="","ไม่พบใน SG",IF(ABS(J2843-L2843)&lt;0.005,"ตรงกัน","ไม่ตรง"))</f>
        <v/>
      </c>
      <c r="N2843" s="14">
        <f>IF(L2843="","",ROUND(L2843*'สรุป'!$C$6,-1))</f>
        <v/>
      </c>
      <c r="O2843" s="15" t="n"/>
      <c r="P2843" s="15" t="n"/>
      <c r="Q2843" s="10" t="n"/>
      <c r="R2843" s="10" t="n"/>
      <c r="S2843" s="16" t="inlineStr">
        <is>
          <t>https://mstgolf.co.th/products/gf2020202418</t>
        </is>
      </c>
      <c r="T2843" s="1">
        <f>IF(B2843="ไม้กอล์ฟ",J2843,"")</f>
        <v/>
      </c>
    </row>
    <row r="2844">
      <c r="A2844" s="1" t="n">
        <v>3</v>
      </c>
      <c r="B2844" s="1" t="inlineStr">
        <is>
          <t>เสื้อผ้า</t>
        </is>
      </c>
      <c r="C2844" s="1" t="inlineStr">
        <is>
          <t>gf2040117917</t>
        </is>
      </c>
      <c r="D2844" s="1" t="inlineStr">
        <is>
          <t>TAYLORMADE T-Ice Graphic Women's Polo (White)</t>
        </is>
      </c>
      <c r="E2844" s="1" t="inlineStr">
        <is>
          <t>TAYLORMADE</t>
        </is>
      </c>
      <c r="F2844" s="1" t="inlineStr">
        <is>
          <t>SHORT SLEEVES</t>
        </is>
      </c>
      <c r="G2844" s="1" t="inlineStr">
        <is>
          <t>GF2040117917S</t>
        </is>
      </c>
      <c r="H2844" s="1" t="n">
        <v>6</v>
      </c>
      <c r="I2844" s="1" t="inlineStr">
        <is>
          <t>มี</t>
        </is>
      </c>
      <c r="J2844" s="13" t="n">
        <v>85</v>
      </c>
      <c r="K2844" s="1" t="inlineStr"/>
      <c r="L2844" s="13" t="n">
        <v>85</v>
      </c>
      <c r="M2844" s="1">
        <f>IF(L2844="","ไม่พบใน SG",IF(ABS(J2844-L2844)&lt;0.005,"ตรงกัน","ไม่ตรง"))</f>
        <v/>
      </c>
      <c r="N2844" s="14">
        <f>IF(L2844="","",ROUND(L2844*'สรุป'!$C$6,-1))</f>
        <v/>
      </c>
      <c r="O2844" s="15" t="n"/>
      <c r="P2844" s="15" t="n"/>
      <c r="Q2844" s="10" t="n"/>
      <c r="R2844" s="10" t="n"/>
      <c r="S2844" s="16" t="inlineStr">
        <is>
          <t>https://mstgolf.co.th/products/gf2040117917</t>
        </is>
      </c>
      <c r="T2844" s="1">
        <f>IF(B2844="ไม้กอล์ฟ",J2844,"")</f>
        <v/>
      </c>
    </row>
    <row r="2845">
      <c r="A2845" s="1" t="n">
        <v>3</v>
      </c>
      <c r="B2845" s="1" t="inlineStr">
        <is>
          <t>เสื้อผ้า</t>
        </is>
      </c>
      <c r="C2845" s="1" t="inlineStr">
        <is>
          <t>gf2020102369</t>
        </is>
      </c>
      <c r="D2845" s="1" t="inlineStr">
        <is>
          <t>TAYLORMADE TM Men's Basic Pants (Light Grey)</t>
        </is>
      </c>
      <c r="E2845" s="1" t="inlineStr">
        <is>
          <t>TAYLORMADE</t>
        </is>
      </c>
      <c r="F2845" s="1" t="inlineStr">
        <is>
          <t>LONG PANTS</t>
        </is>
      </c>
      <c r="G2845" s="1" t="inlineStr">
        <is>
          <t>GF202010236982</t>
        </is>
      </c>
      <c r="H2845" s="1" t="n">
        <v>6</v>
      </c>
      <c r="I2845" s="1" t="inlineStr">
        <is>
          <t>มี</t>
        </is>
      </c>
      <c r="J2845" s="13" t="n">
        <v>85</v>
      </c>
      <c r="K2845" s="1" t="inlineStr"/>
      <c r="L2845" s="13" t="n">
        <v>85</v>
      </c>
      <c r="M2845" s="1">
        <f>IF(L2845="","ไม่พบใน SG",IF(ABS(J2845-L2845)&lt;0.005,"ตรงกัน","ไม่ตรง"))</f>
        <v/>
      </c>
      <c r="N2845" s="14">
        <f>IF(L2845="","",ROUND(L2845*'สรุป'!$C$6,-1))</f>
        <v/>
      </c>
      <c r="O2845" s="15" t="n"/>
      <c r="P2845" s="15" t="n"/>
      <c r="Q2845" s="10" t="n"/>
      <c r="R2845" s="10" t="n"/>
      <c r="S2845" s="16" t="inlineStr">
        <is>
          <t>https://mstgolf.co.th/products/gf2020102369</t>
        </is>
      </c>
      <c r="T2845" s="1">
        <f>IF(B2845="ไม้กอล์ฟ",J2845,"")</f>
        <v/>
      </c>
    </row>
    <row r="2846">
      <c r="A2846" s="1" t="n">
        <v>3</v>
      </c>
      <c r="B2846" s="1" t="inlineStr">
        <is>
          <t>เสื้อผ้า</t>
        </is>
      </c>
      <c r="C2846" s="1" t="inlineStr">
        <is>
          <t>gf2020102420</t>
        </is>
      </c>
      <c r="D2846" s="1" t="inlineStr">
        <is>
          <t>TAYLORMADE TM Men's Basic Pants (White)</t>
        </is>
      </c>
      <c r="E2846" s="1" t="inlineStr">
        <is>
          <t>TAYLORMADE</t>
        </is>
      </c>
      <c r="F2846" s="1" t="inlineStr">
        <is>
          <t>LONG PANTS</t>
        </is>
      </c>
      <c r="G2846" s="1" t="inlineStr">
        <is>
          <t>GF202010242082</t>
        </is>
      </c>
      <c r="H2846" s="1" t="n">
        <v>6</v>
      </c>
      <c r="I2846" s="1" t="inlineStr">
        <is>
          <t>มี</t>
        </is>
      </c>
      <c r="J2846" s="13" t="n">
        <v>85</v>
      </c>
      <c r="K2846" s="1" t="inlineStr"/>
      <c r="L2846" s="13" t="n">
        <v>85</v>
      </c>
      <c r="M2846" s="1">
        <f>IF(L2846="","ไม่พบใน SG",IF(ABS(J2846-L2846)&lt;0.005,"ตรงกัน","ไม่ตรง"))</f>
        <v/>
      </c>
      <c r="N2846" s="14">
        <f>IF(L2846="","",ROUND(L2846*'สรุป'!$C$6,-1))</f>
        <v/>
      </c>
      <c r="O2846" s="15" t="n"/>
      <c r="P2846" s="15" t="n"/>
      <c r="Q2846" s="10" t="n"/>
      <c r="R2846" s="10" t="n"/>
      <c r="S2846" s="16" t="inlineStr">
        <is>
          <t>https://mstgolf.co.th/products/gf2020102420</t>
        </is>
      </c>
      <c r="T2846" s="1">
        <f>IF(B2846="ไม้กอล์ฟ",J2846,"")</f>
        <v/>
      </c>
    </row>
    <row r="2847">
      <c r="A2847" s="1" t="n">
        <v>3</v>
      </c>
      <c r="B2847" s="1" t="inlineStr">
        <is>
          <t>เสื้อผ้า</t>
        </is>
      </c>
      <c r="C2847" s="1" t="inlineStr">
        <is>
          <t>gf2020102085</t>
        </is>
      </c>
      <c r="D2847" s="1" t="inlineStr">
        <is>
          <t>TAYLORMADE Tex-Brid Basic Men's Pants (Black)</t>
        </is>
      </c>
      <c r="E2847" s="1" t="inlineStr">
        <is>
          <t>TAYLORMADE</t>
        </is>
      </c>
      <c r="F2847" s="1" t="inlineStr">
        <is>
          <t>LONG PANTS</t>
        </is>
      </c>
      <c r="G2847" s="1" t="inlineStr">
        <is>
          <t>GF202010208576</t>
        </is>
      </c>
      <c r="H2847" s="1" t="n">
        <v>9</v>
      </c>
      <c r="I2847" s="1" t="inlineStr">
        <is>
          <t>มี</t>
        </is>
      </c>
      <c r="J2847" s="13" t="n">
        <v>85</v>
      </c>
      <c r="K2847" s="1" t="inlineStr"/>
      <c r="L2847" s="13" t="n">
        <v>85</v>
      </c>
      <c r="M2847" s="1">
        <f>IF(L2847="","ไม่พบใน SG",IF(ABS(J2847-L2847)&lt;0.005,"ตรงกัน","ไม่ตรง"))</f>
        <v/>
      </c>
      <c r="N2847" s="14">
        <f>IF(L2847="","",ROUND(L2847*'สรุป'!$C$6,-1))</f>
        <v/>
      </c>
      <c r="O2847" s="15" t="n"/>
      <c r="P2847" s="15" t="n"/>
      <c r="Q2847" s="10" t="n"/>
      <c r="R2847" s="10" t="n"/>
      <c r="S2847" s="16" t="inlineStr">
        <is>
          <t>https://mstgolf.co.th/products/gf2020102085</t>
        </is>
      </c>
      <c r="T2847" s="1">
        <f>IF(B2847="ไม้กอล์ฟ",J2847,"")</f>
        <v/>
      </c>
    </row>
    <row r="2848">
      <c r="A2848" s="1" t="n">
        <v>3</v>
      </c>
      <c r="B2848" s="1" t="inlineStr">
        <is>
          <t>เสื้อผ้า</t>
        </is>
      </c>
      <c r="C2848" s="1" t="inlineStr">
        <is>
          <t>gf2020102086</t>
        </is>
      </c>
      <c r="D2848" s="1" t="inlineStr">
        <is>
          <t>TAYLORMADE Tex-Brid Basic Men's Pants (Navy)</t>
        </is>
      </c>
      <c r="E2848" s="1" t="inlineStr">
        <is>
          <t>TAYLORMADE</t>
        </is>
      </c>
      <c r="F2848" s="1" t="inlineStr">
        <is>
          <t>LONG PANTS</t>
        </is>
      </c>
      <c r="G2848" s="1" t="inlineStr">
        <is>
          <t>GF202010208676</t>
        </is>
      </c>
      <c r="H2848" s="1" t="n">
        <v>9</v>
      </c>
      <c r="I2848" s="1" t="inlineStr">
        <is>
          <t>มี</t>
        </is>
      </c>
      <c r="J2848" s="13" t="n">
        <v>85</v>
      </c>
      <c r="K2848" s="1" t="inlineStr"/>
      <c r="L2848" s="13" t="n">
        <v>85</v>
      </c>
      <c r="M2848" s="1">
        <f>IF(L2848="","ไม่พบใน SG",IF(ABS(J2848-L2848)&lt;0.005,"ตรงกัน","ไม่ตรง"))</f>
        <v/>
      </c>
      <c r="N2848" s="14">
        <f>IF(L2848="","",ROUND(L2848*'สรุป'!$C$6,-1))</f>
        <v/>
      </c>
      <c r="O2848" s="15" t="n"/>
      <c r="P2848" s="15" t="n"/>
      <c r="Q2848" s="10" t="n"/>
      <c r="R2848" s="10" t="n"/>
      <c r="S2848" s="16" t="inlineStr">
        <is>
          <t>https://mstgolf.co.th/products/gf2020102086</t>
        </is>
      </c>
      <c r="T2848" s="1">
        <f>IF(B2848="ไม้กอล์ฟ",J2848,"")</f>
        <v/>
      </c>
    </row>
    <row r="2849">
      <c r="A2849" s="1" t="n">
        <v>3</v>
      </c>
      <c r="B2849" s="1" t="inlineStr">
        <is>
          <t>เสื้อผ้า</t>
        </is>
      </c>
      <c r="C2849" s="1" t="inlineStr">
        <is>
          <t>gf2020102089</t>
        </is>
      </c>
      <c r="D2849" s="1" t="inlineStr">
        <is>
          <t>TAYLORMADE Tex-Brid Basic Men's Pants (White)</t>
        </is>
      </c>
      <c r="E2849" s="1" t="inlineStr">
        <is>
          <t>TAYLORMADE</t>
        </is>
      </c>
      <c r="F2849" s="1" t="inlineStr">
        <is>
          <t>LONG PANTS</t>
        </is>
      </c>
      <c r="G2849" s="1" t="inlineStr">
        <is>
          <t>GF202010208976</t>
        </is>
      </c>
      <c r="H2849" s="1" t="n">
        <v>9</v>
      </c>
      <c r="I2849" s="1" t="inlineStr">
        <is>
          <t>มี</t>
        </is>
      </c>
      <c r="J2849" s="13" t="n">
        <v>85</v>
      </c>
      <c r="K2849" s="1" t="inlineStr"/>
      <c r="L2849" s="13" t="n">
        <v>85</v>
      </c>
      <c r="M2849" s="1">
        <f>IF(L2849="","ไม่พบใน SG",IF(ABS(J2849-L2849)&lt;0.005,"ตรงกัน","ไม่ตรง"))</f>
        <v/>
      </c>
      <c r="N2849" s="14">
        <f>IF(L2849="","",ROUND(L2849*'สรุป'!$C$6,-1))</f>
        <v/>
      </c>
      <c r="O2849" s="15" t="n"/>
      <c r="P2849" s="15" t="n"/>
      <c r="Q2849" s="10" t="n"/>
      <c r="R2849" s="10" t="n"/>
      <c r="S2849" s="16" t="inlineStr">
        <is>
          <t>https://mstgolf.co.th/products/gf2020102089</t>
        </is>
      </c>
      <c r="T2849" s="1">
        <f>IF(B2849="ไม้กอล์ฟ",J2849,"")</f>
        <v/>
      </c>
    </row>
    <row r="2850">
      <c r="A2850" s="1" t="n">
        <v>3</v>
      </c>
      <c r="B2850" s="1" t="inlineStr">
        <is>
          <t>เสื้อผ้า</t>
        </is>
      </c>
      <c r="C2850" s="1" t="inlineStr">
        <is>
          <t>gf2040117335</t>
        </is>
      </c>
      <c r="D2850" s="1" t="inlineStr">
        <is>
          <t>UNDER ARMOUR Curry Jacquard Men's Polo (Black/Taupe Dusk)</t>
        </is>
      </c>
      <c r="E2850" s="1" t="inlineStr">
        <is>
          <t>UNDER ARMOUR</t>
        </is>
      </c>
      <c r="F2850" s="1" t="inlineStr">
        <is>
          <t>SHORT SLEEVES</t>
        </is>
      </c>
      <c r="G2850" s="1" t="inlineStr">
        <is>
          <t>GF2040117335S</t>
        </is>
      </c>
      <c r="H2850" s="1" t="n">
        <v>5</v>
      </c>
      <c r="I2850" s="1" t="inlineStr">
        <is>
          <t>มี</t>
        </is>
      </c>
      <c r="J2850" s="13" t="n">
        <v>85</v>
      </c>
      <c r="K2850" s="1" t="inlineStr"/>
      <c r="L2850" s="13" t="n">
        <v>85</v>
      </c>
      <c r="M2850" s="1">
        <f>IF(L2850="","ไม่พบใน SG",IF(ABS(J2850-L2850)&lt;0.005,"ตรงกัน","ไม่ตรง"))</f>
        <v/>
      </c>
      <c r="N2850" s="14">
        <f>IF(L2850="","",ROUND(L2850*'สรุป'!$C$6,-1))</f>
        <v/>
      </c>
      <c r="O2850" s="15" t="n"/>
      <c r="P2850" s="15" t="n"/>
      <c r="Q2850" s="10" t="n"/>
      <c r="R2850" s="10" t="n"/>
      <c r="S2850" s="16" t="inlineStr">
        <is>
          <t>https://mstgolf.co.th/products/gf2040117335</t>
        </is>
      </c>
      <c r="T2850" s="1">
        <f>IF(B2850="ไม้กอล์ฟ",J2850,"")</f>
        <v/>
      </c>
    </row>
    <row r="2851">
      <c r="A2851" s="1" t="n">
        <v>3</v>
      </c>
      <c r="B2851" s="1" t="inlineStr">
        <is>
          <t>เสื้อผ้า</t>
        </is>
      </c>
      <c r="C2851" s="1" t="inlineStr">
        <is>
          <t>gf2020202044</t>
        </is>
      </c>
      <c r="D2851" s="1" t="inlineStr">
        <is>
          <t>UNDER ARMOUR Curry Limitless Men's Shorts (Harb Blue)</t>
        </is>
      </c>
      <c r="E2851" s="1" t="inlineStr">
        <is>
          <t>UNDER ARMOUR</t>
        </is>
      </c>
      <c r="F2851" s="1" t="inlineStr">
        <is>
          <t>SHORT PANTS</t>
        </is>
      </c>
      <c r="G2851" s="1" t="inlineStr">
        <is>
          <t>GF202020204430</t>
        </is>
      </c>
      <c r="H2851" s="1" t="n">
        <v>6</v>
      </c>
      <c r="I2851" s="1" t="inlineStr">
        <is>
          <t>มี</t>
        </is>
      </c>
      <c r="J2851" s="13" t="n">
        <v>85</v>
      </c>
      <c r="K2851" s="1" t="inlineStr"/>
      <c r="L2851" s="13" t="n">
        <v>55</v>
      </c>
      <c r="M2851" s="1">
        <f>IF(L2851="","ไม่พบใน SG",IF(ABS(J2851-L2851)&lt;0.005,"ตรงกัน","ไม่ตรง"))</f>
        <v/>
      </c>
      <c r="N2851" s="14">
        <f>IF(L2851="","",ROUND(L2851*'สรุป'!$C$6,-1))</f>
        <v/>
      </c>
      <c r="O2851" s="15" t="n"/>
      <c r="P2851" s="15" t="n"/>
      <c r="Q2851" s="10" t="n"/>
      <c r="R2851" s="10" t="n"/>
      <c r="S2851" s="16" t="inlineStr">
        <is>
          <t>https://mstgolf.co.th/products/gf2020202044</t>
        </is>
      </c>
      <c r="T2851" s="1">
        <f>IF(B2851="ไม้กอล์ฟ",J2851,"")</f>
        <v/>
      </c>
    </row>
    <row r="2852">
      <c r="A2852" s="1" t="n">
        <v>3</v>
      </c>
      <c r="B2852" s="1" t="inlineStr">
        <is>
          <t>เสื้อผ้า</t>
        </is>
      </c>
      <c r="C2852" s="1" t="inlineStr">
        <is>
          <t>gf2040116500</t>
        </is>
      </c>
      <c r="D2852" s="1" t="inlineStr">
        <is>
          <t>UNDER ARMOUR Curry Print Men's Polo (Dark Maroon)</t>
        </is>
      </c>
      <c r="E2852" s="1" t="inlineStr">
        <is>
          <t>UNDER ARMOUR</t>
        </is>
      </c>
      <c r="F2852" s="1" t="inlineStr">
        <is>
          <t>SHORT SLEEVES</t>
        </is>
      </c>
      <c r="G2852" s="1" t="inlineStr">
        <is>
          <t>GF2040116500S</t>
        </is>
      </c>
      <c r="H2852" s="1" t="n">
        <v>5</v>
      </c>
      <c r="I2852" s="1" t="inlineStr">
        <is>
          <t>มี</t>
        </is>
      </c>
      <c r="J2852" s="13" t="n">
        <v>85</v>
      </c>
      <c r="K2852" s="1" t="inlineStr"/>
      <c r="L2852" s="13" t="n">
        <v>59</v>
      </c>
      <c r="M2852" s="1">
        <f>IF(L2852="","ไม่พบใน SG",IF(ABS(J2852-L2852)&lt;0.005,"ตรงกัน","ไม่ตรง"))</f>
        <v/>
      </c>
      <c r="N2852" s="14">
        <f>IF(L2852="","",ROUND(L2852*'สรุป'!$C$6,-1))</f>
        <v/>
      </c>
      <c r="O2852" s="15" t="n"/>
      <c r="P2852" s="15" t="n"/>
      <c r="Q2852" s="10" t="n"/>
      <c r="R2852" s="10" t="n"/>
      <c r="S2852" s="16" t="inlineStr">
        <is>
          <t>https://mstgolf.co.th/products/gf2040116500</t>
        </is>
      </c>
      <c r="T2852" s="1">
        <f>IF(B2852="ไม้กอล์ฟ",J2852,"")</f>
        <v/>
      </c>
    </row>
    <row r="2853">
      <c r="A2853" s="1" t="n">
        <v>3</v>
      </c>
      <c r="B2853" s="1" t="inlineStr">
        <is>
          <t>เสื้อผ้า</t>
        </is>
      </c>
      <c r="C2853" s="1" t="inlineStr">
        <is>
          <t>gf2040116501</t>
        </is>
      </c>
      <c r="D2853" s="1" t="inlineStr">
        <is>
          <t>UNDER ARMOUR Curry Print Men's Polo (Pink Elixir)</t>
        </is>
      </c>
      <c r="E2853" s="1" t="inlineStr">
        <is>
          <t>UNDER ARMOUR</t>
        </is>
      </c>
      <c r="F2853" s="1" t="inlineStr">
        <is>
          <t>SHORT SLEEVES</t>
        </is>
      </c>
      <c r="G2853" s="1" t="inlineStr">
        <is>
          <t>GF2040116501S</t>
        </is>
      </c>
      <c r="H2853" s="1" t="n">
        <v>5</v>
      </c>
      <c r="I2853" s="1" t="inlineStr">
        <is>
          <t>มี</t>
        </is>
      </c>
      <c r="J2853" s="13" t="n">
        <v>85</v>
      </c>
      <c r="K2853" s="1" t="inlineStr"/>
      <c r="L2853" s="13" t="n">
        <v>59</v>
      </c>
      <c r="M2853" s="1">
        <f>IF(L2853="","ไม่พบใน SG",IF(ABS(J2853-L2853)&lt;0.005,"ตรงกัน","ไม่ตรง"))</f>
        <v/>
      </c>
      <c r="N2853" s="14">
        <f>IF(L2853="","",ROUND(L2853*'สรุป'!$C$6,-1))</f>
        <v/>
      </c>
      <c r="O2853" s="15" t="n"/>
      <c r="P2853" s="15" t="n"/>
      <c r="Q2853" s="10" t="n"/>
      <c r="R2853" s="10" t="n"/>
      <c r="S2853" s="16" t="inlineStr">
        <is>
          <t>https://mstgolf.co.th/products/gf2040116501</t>
        </is>
      </c>
      <c r="T2853" s="1">
        <f>IF(B2853="ไม้กอล์ฟ",J2853,"")</f>
        <v/>
      </c>
    </row>
    <row r="2854">
      <c r="A2854" s="1" t="n">
        <v>3</v>
      </c>
      <c r="B2854" s="1" t="inlineStr">
        <is>
          <t>เสื้อผ้า</t>
        </is>
      </c>
      <c r="C2854" s="1" t="inlineStr">
        <is>
          <t>gf2040115497</t>
        </is>
      </c>
      <c r="D2854" s="1" t="inlineStr">
        <is>
          <t>UNDER ARMOUR Curry Souvenir Jacquard Men's Polo (Blue)</t>
        </is>
      </c>
      <c r="E2854" s="1" t="inlineStr">
        <is>
          <t>UNDER ARMOUR</t>
        </is>
      </c>
      <c r="F2854" s="1" t="inlineStr">
        <is>
          <t>SHORT SLEEVES</t>
        </is>
      </c>
      <c r="G2854" s="1" t="inlineStr">
        <is>
          <t>GF2040115497S</t>
        </is>
      </c>
      <c r="H2854" s="1" t="n">
        <v>5</v>
      </c>
      <c r="I2854" s="1" t="inlineStr">
        <is>
          <t>มี</t>
        </is>
      </c>
      <c r="J2854" s="13" t="n">
        <v>85</v>
      </c>
      <c r="K2854" s="1" t="inlineStr"/>
      <c r="L2854" s="13" t="n">
        <v>55</v>
      </c>
      <c r="M2854" s="1">
        <f>IF(L2854="","ไม่พบใน SG",IF(ABS(J2854-L2854)&lt;0.005,"ตรงกัน","ไม่ตรง"))</f>
        <v/>
      </c>
      <c r="N2854" s="14">
        <f>IF(L2854="","",ROUND(L2854*'สรุป'!$C$6,-1))</f>
        <v/>
      </c>
      <c r="O2854" s="15" t="n"/>
      <c r="P2854" s="15" t="n"/>
      <c r="Q2854" s="10" t="n"/>
      <c r="R2854" s="10" t="n"/>
      <c r="S2854" s="16" t="inlineStr">
        <is>
          <t>https://mstgolf.co.th/products/gf2040115497</t>
        </is>
      </c>
      <c r="T2854" s="1">
        <f>IF(B2854="ไม้กอล์ฟ",J2854,"")</f>
        <v/>
      </c>
    </row>
    <row r="2855">
      <c r="A2855" s="1" t="n">
        <v>3</v>
      </c>
      <c r="B2855" s="1" t="inlineStr">
        <is>
          <t>เสื้อผ้า</t>
        </is>
      </c>
      <c r="C2855" s="1" t="inlineStr">
        <is>
          <t>gf2040115496</t>
        </is>
      </c>
      <c r="D2855" s="1" t="inlineStr">
        <is>
          <t>UNDER ARMOUR Curry Souvenir Jacquard Men's Polo (Grey)</t>
        </is>
      </c>
      <c r="E2855" s="1" t="inlineStr">
        <is>
          <t>UNDER ARMOUR</t>
        </is>
      </c>
      <c r="F2855" s="1" t="inlineStr">
        <is>
          <t>SHORT SLEEVES</t>
        </is>
      </c>
      <c r="G2855" s="1" t="inlineStr">
        <is>
          <t>GF2040115496S</t>
        </is>
      </c>
      <c r="H2855" s="1" t="n">
        <v>5</v>
      </c>
      <c r="I2855" s="1" t="inlineStr">
        <is>
          <t>มี</t>
        </is>
      </c>
      <c r="J2855" s="13" t="n">
        <v>85</v>
      </c>
      <c r="K2855" s="1" t="inlineStr"/>
      <c r="L2855" s="13" t="n">
        <v>85</v>
      </c>
      <c r="M2855" s="1">
        <f>IF(L2855="","ไม่พบใน SG",IF(ABS(J2855-L2855)&lt;0.005,"ตรงกัน","ไม่ตรง"))</f>
        <v/>
      </c>
      <c r="N2855" s="14">
        <f>IF(L2855="","",ROUND(L2855*'สรุป'!$C$6,-1))</f>
        <v/>
      </c>
      <c r="O2855" s="15" t="n"/>
      <c r="P2855" s="15" t="n"/>
      <c r="Q2855" s="10" t="n"/>
      <c r="R2855" s="10" t="n"/>
      <c r="S2855" s="16" t="inlineStr">
        <is>
          <t>https://mstgolf.co.th/products/gf2040115496</t>
        </is>
      </c>
      <c r="T2855" s="1">
        <f>IF(B2855="ไม้กอล์ฟ",J2855,"")</f>
        <v/>
      </c>
    </row>
    <row r="2856">
      <c r="A2856" s="1" t="n">
        <v>3</v>
      </c>
      <c r="B2856" s="1" t="inlineStr">
        <is>
          <t>เสื้อผ้า</t>
        </is>
      </c>
      <c r="C2856" s="1" t="inlineStr">
        <is>
          <t>gf2040118305</t>
        </is>
      </c>
      <c r="D2856" s="1" t="inlineStr">
        <is>
          <t>UNDER ARMOUR Iso-Chill Edge Men's Polo (Blue/Orange)</t>
        </is>
      </c>
      <c r="E2856" s="1" t="inlineStr">
        <is>
          <t>UNDER ARMOUR</t>
        </is>
      </c>
      <c r="F2856" s="1" t="inlineStr">
        <is>
          <t>SHORT SLEEVES</t>
        </is>
      </c>
      <c r="G2856" s="1" t="inlineStr">
        <is>
          <t>GF2040118305S</t>
        </is>
      </c>
      <c r="H2856" s="1" t="n">
        <v>5</v>
      </c>
      <c r="I2856" s="1" t="inlineStr">
        <is>
          <t>มี</t>
        </is>
      </c>
      <c r="J2856" s="13" t="n">
        <v>85</v>
      </c>
      <c r="K2856" s="1" t="inlineStr"/>
      <c r="L2856" s="13" t="n">
        <v>85</v>
      </c>
      <c r="M2856" s="1">
        <f>IF(L2856="","ไม่พบใน SG",IF(ABS(J2856-L2856)&lt;0.005,"ตรงกัน","ไม่ตรง"))</f>
        <v/>
      </c>
      <c r="N2856" s="14">
        <f>IF(L2856="","",ROUND(L2856*'สรุป'!$C$6,-1))</f>
        <v/>
      </c>
      <c r="O2856" s="15" t="n"/>
      <c r="P2856" s="15" t="n"/>
      <c r="Q2856" s="10" t="n"/>
      <c r="R2856" s="10" t="n"/>
      <c r="S2856" s="16" t="inlineStr">
        <is>
          <t>https://mstgolf.co.th/products/gf2040118305</t>
        </is>
      </c>
      <c r="T2856" s="1">
        <f>IF(B2856="ไม้กอล์ฟ",J2856,"")</f>
        <v/>
      </c>
    </row>
    <row r="2857">
      <c r="A2857" s="1" t="n">
        <v>3</v>
      </c>
      <c r="B2857" s="1" t="inlineStr">
        <is>
          <t>เสื้อผ้า</t>
        </is>
      </c>
      <c r="C2857" s="1" t="inlineStr">
        <is>
          <t>gf2040116503</t>
        </is>
      </c>
      <c r="D2857" s="1" t="inlineStr">
        <is>
          <t>UNDER ARMOUR Tour Tips Bounded Men's Polo (White)</t>
        </is>
      </c>
      <c r="E2857" s="1" t="inlineStr">
        <is>
          <t>UNDER ARMOUR</t>
        </is>
      </c>
      <c r="F2857" s="1" t="inlineStr">
        <is>
          <t>SHORT SLEEVES</t>
        </is>
      </c>
      <c r="G2857" s="1" t="inlineStr">
        <is>
          <t>GF2040116503S</t>
        </is>
      </c>
      <c r="H2857" s="1" t="n">
        <v>5</v>
      </c>
      <c r="I2857" s="1" t="inlineStr">
        <is>
          <t>มี</t>
        </is>
      </c>
      <c r="J2857" s="13" t="n">
        <v>85</v>
      </c>
      <c r="K2857" s="1" t="inlineStr"/>
      <c r="L2857" s="13" t="n">
        <v>59</v>
      </c>
      <c r="M2857" s="1">
        <f>IF(L2857="","ไม่พบใน SG",IF(ABS(J2857-L2857)&lt;0.005,"ตรงกัน","ไม่ตรง"))</f>
        <v/>
      </c>
      <c r="N2857" s="14">
        <f>IF(L2857="","",ROUND(L2857*'สรุป'!$C$6,-1))</f>
        <v/>
      </c>
      <c r="O2857" s="15" t="n"/>
      <c r="P2857" s="15" t="n"/>
      <c r="Q2857" s="10" t="n"/>
      <c r="R2857" s="10" t="n"/>
      <c r="S2857" s="16" t="inlineStr">
        <is>
          <t>https://mstgolf.co.th/products/gf2040116503</t>
        </is>
      </c>
      <c r="T2857" s="1">
        <f>IF(B2857="ไม้กอล์ฟ",J2857,"")</f>
        <v/>
      </c>
    </row>
    <row r="2858">
      <c r="A2858" s="1" t="n">
        <v>3</v>
      </c>
      <c r="B2858" s="1" t="inlineStr">
        <is>
          <t>เสื้อผ้า</t>
        </is>
      </c>
      <c r="C2858" s="1" t="inlineStr">
        <is>
          <t>gf2020102499</t>
        </is>
      </c>
      <c r="D2858" s="1" t="inlineStr">
        <is>
          <t>ADIDAS Beyond Track Men's Pants (Black)</t>
        </is>
      </c>
      <c r="E2858" s="1" t="inlineStr">
        <is>
          <t>ADIDAS</t>
        </is>
      </c>
      <c r="F2858" s="1" t="inlineStr">
        <is>
          <t>LONG PANTS</t>
        </is>
      </c>
      <c r="G2858" s="1" t="inlineStr">
        <is>
          <t>GF2020102499XS</t>
        </is>
      </c>
      <c r="H2858" s="1" t="n">
        <v>6</v>
      </c>
      <c r="I2858" s="1" t="inlineStr">
        <is>
          <t>มี</t>
        </is>
      </c>
      <c r="J2858" s="13" t="n">
        <v>83</v>
      </c>
      <c r="K2858" s="1" t="inlineStr"/>
      <c r="L2858" s="13" t="n">
        <v>59</v>
      </c>
      <c r="M2858" s="1">
        <f>IF(L2858="","ไม่พบใน SG",IF(ABS(J2858-L2858)&lt;0.005,"ตรงกัน","ไม่ตรง"))</f>
        <v/>
      </c>
      <c r="N2858" s="14">
        <f>IF(L2858="","",ROUND(L2858*'สรุป'!$C$6,-1))</f>
        <v/>
      </c>
      <c r="O2858" s="15" t="n"/>
      <c r="P2858" s="15" t="n"/>
      <c r="Q2858" s="10" t="n"/>
      <c r="R2858" s="10" t="n"/>
      <c r="S2858" s="16" t="inlineStr">
        <is>
          <t>https://mstgolf.co.th/products/gf2020102499</t>
        </is>
      </c>
      <c r="T2858" s="1">
        <f>IF(B2858="ไม้กอล์ฟ",J2858,"")</f>
        <v/>
      </c>
    </row>
    <row r="2859">
      <c r="A2859" s="1" t="n">
        <v>3</v>
      </c>
      <c r="B2859" s="1" t="inlineStr">
        <is>
          <t>เสื้อผ้า</t>
        </is>
      </c>
      <c r="C2859" s="1" t="inlineStr">
        <is>
          <t>gf2040119459</t>
        </is>
      </c>
      <c r="D2859" s="1" t="inlineStr">
        <is>
          <t>ADIDAS Ultimate365 Printed Cool Feeling Tour Men's Polo (Blue/White)</t>
        </is>
      </c>
      <c r="E2859" s="1" t="inlineStr">
        <is>
          <t>ADIDAS</t>
        </is>
      </c>
      <c r="F2859" s="1" t="inlineStr">
        <is>
          <t>SHORT SLEEVES</t>
        </is>
      </c>
      <c r="G2859" s="1" t="inlineStr">
        <is>
          <t>GF20401194592XS</t>
        </is>
      </c>
      <c r="H2859" s="1" t="n">
        <v>8</v>
      </c>
      <c r="I2859" s="1" t="inlineStr">
        <is>
          <t>มี</t>
        </is>
      </c>
      <c r="J2859" s="13" t="n">
        <v>83</v>
      </c>
      <c r="K2859" s="1" t="inlineStr"/>
      <c r="L2859" s="13" t="n">
        <v>59</v>
      </c>
      <c r="M2859" s="1">
        <f>IF(L2859="","ไม่พบใน SG",IF(ABS(J2859-L2859)&lt;0.005,"ตรงกัน","ไม่ตรง"))</f>
        <v/>
      </c>
      <c r="N2859" s="14">
        <f>IF(L2859="","",ROUND(L2859*'สรุป'!$C$6,-1))</f>
        <v/>
      </c>
      <c r="O2859" s="15" t="n"/>
      <c r="P2859" s="15" t="n"/>
      <c r="Q2859" s="10" t="n"/>
      <c r="R2859" s="10" t="n"/>
      <c r="S2859" s="16" t="inlineStr">
        <is>
          <t>https://mstgolf.co.th/products/gf2040119459</t>
        </is>
      </c>
      <c r="T2859" s="1">
        <f>IF(B2859="ไม้กอล์ฟ",J2859,"")</f>
        <v/>
      </c>
    </row>
    <row r="2860">
      <c r="A2860" s="1" t="n">
        <v>3</v>
      </c>
      <c r="B2860" s="1" t="inlineStr">
        <is>
          <t>เสื้อผ้า</t>
        </is>
      </c>
      <c r="C2860" s="1" t="inlineStr">
        <is>
          <t>gf2040117497</t>
        </is>
      </c>
      <c r="D2860" s="1" t="inlineStr">
        <is>
          <t>CALVIN KLEIN Abstract Print Men's Polo (Aqua/Evening Blue)</t>
        </is>
      </c>
      <c r="E2860" s="1" t="inlineStr">
        <is>
          <t>CALVIN KLEIN</t>
        </is>
      </c>
      <c r="F2860" s="1" t="inlineStr">
        <is>
          <t>SHORT SLEEVES</t>
        </is>
      </c>
      <c r="G2860" s="1" t="inlineStr">
        <is>
          <t>GF2040117497S</t>
        </is>
      </c>
      <c r="H2860" s="1" t="n">
        <v>5</v>
      </c>
      <c r="I2860" s="1" t="inlineStr">
        <is>
          <t>มี</t>
        </is>
      </c>
      <c r="J2860" s="13" t="n">
        <v>83</v>
      </c>
      <c r="K2860" s="1" t="inlineStr"/>
      <c r="L2860" s="13" t="n">
        <v>59</v>
      </c>
      <c r="M2860" s="1">
        <f>IF(L2860="","ไม่พบใน SG",IF(ABS(J2860-L2860)&lt;0.005,"ตรงกัน","ไม่ตรง"))</f>
        <v/>
      </c>
      <c r="N2860" s="14">
        <f>IF(L2860="","",ROUND(L2860*'สรุป'!$C$6,-1))</f>
        <v/>
      </c>
      <c r="O2860" s="15" t="n"/>
      <c r="P2860" s="15" t="n"/>
      <c r="Q2860" s="10" t="n"/>
      <c r="R2860" s="10" t="n"/>
      <c r="S2860" s="16" t="inlineStr">
        <is>
          <t>https://mstgolf.co.th/products/gf2040117497</t>
        </is>
      </c>
      <c r="T2860" s="1">
        <f>IF(B2860="ไม้กอล์ฟ",J2860,"")</f>
        <v/>
      </c>
    </row>
    <row r="2861">
      <c r="A2861" s="1" t="n">
        <v>3</v>
      </c>
      <c r="B2861" s="1" t="inlineStr">
        <is>
          <t>เสื้อผ้า</t>
        </is>
      </c>
      <c r="C2861" s="1" t="inlineStr">
        <is>
          <t>gf2040117498</t>
        </is>
      </c>
      <c r="D2861" s="1" t="inlineStr">
        <is>
          <t>CALVIN KLEIN Abstract Print Men's Polo (White/Evening Blue)</t>
        </is>
      </c>
      <c r="E2861" s="1" t="inlineStr">
        <is>
          <t>CALVIN KLEIN</t>
        </is>
      </c>
      <c r="F2861" s="1" t="inlineStr">
        <is>
          <t>SHORT SLEEVES</t>
        </is>
      </c>
      <c r="G2861" s="1" t="inlineStr">
        <is>
          <t>GF2040117498S</t>
        </is>
      </c>
      <c r="H2861" s="1" t="n">
        <v>5</v>
      </c>
      <c r="I2861" s="1" t="inlineStr">
        <is>
          <t>มี</t>
        </is>
      </c>
      <c r="J2861" s="13" t="n">
        <v>83</v>
      </c>
      <c r="K2861" s="1" t="inlineStr"/>
      <c r="L2861" s="13" t="n">
        <v>59</v>
      </c>
      <c r="M2861" s="1">
        <f>IF(L2861="","ไม่พบใน SG",IF(ABS(J2861-L2861)&lt;0.005,"ตรงกัน","ไม่ตรง"))</f>
        <v/>
      </c>
      <c r="N2861" s="14">
        <f>IF(L2861="","",ROUND(L2861*'สรุป'!$C$6,-1))</f>
        <v/>
      </c>
      <c r="O2861" s="15" t="n"/>
      <c r="P2861" s="15" t="n"/>
      <c r="Q2861" s="10" t="n"/>
      <c r="R2861" s="10" t="n"/>
      <c r="S2861" s="16" t="inlineStr">
        <is>
          <t>https://mstgolf.co.th/products/gf2040117498</t>
        </is>
      </c>
      <c r="T2861" s="1">
        <f>IF(B2861="ไม้กอล์ฟ",J2861,"")</f>
        <v/>
      </c>
    </row>
    <row r="2862">
      <c r="A2862" s="1" t="n">
        <v>3</v>
      </c>
      <c r="B2862" s="1" t="inlineStr">
        <is>
          <t>เสื้อผ้า</t>
        </is>
      </c>
      <c r="C2862" s="1" t="inlineStr">
        <is>
          <t>gf2020202187</t>
        </is>
      </c>
      <c r="D2862" s="1" t="inlineStr">
        <is>
          <t>FOOTJOY Japan Trees Printed Men's Shorts (Navy)</t>
        </is>
      </c>
      <c r="E2862" s="1" t="inlineStr">
        <is>
          <t>FOOTJOY</t>
        </is>
      </c>
      <c r="F2862" s="1" t="inlineStr">
        <is>
          <t>SHORT PANTS</t>
        </is>
      </c>
      <c r="G2862" s="1" t="inlineStr">
        <is>
          <t>GF2020202187XS</t>
        </is>
      </c>
      <c r="H2862" s="1" t="n">
        <v>6</v>
      </c>
      <c r="I2862" s="1" t="inlineStr">
        <is>
          <t>มี</t>
        </is>
      </c>
      <c r="J2862" s="13" t="n">
        <v>83</v>
      </c>
      <c r="K2862" s="1" t="inlineStr"/>
      <c r="L2862" s="13" t="n">
        <v>83</v>
      </c>
      <c r="M2862" s="1">
        <f>IF(L2862="","ไม่พบใน SG",IF(ABS(J2862-L2862)&lt;0.005,"ตรงกัน","ไม่ตรง"))</f>
        <v/>
      </c>
      <c r="N2862" s="14">
        <f>IF(L2862="","",ROUND(L2862*'สรุป'!$C$6,-1))</f>
        <v/>
      </c>
      <c r="O2862" s="15" t="n"/>
      <c r="P2862" s="15" t="n"/>
      <c r="Q2862" s="10" t="n"/>
      <c r="R2862" s="10" t="n"/>
      <c r="S2862" s="16" t="inlineStr">
        <is>
          <t>https://mstgolf.co.th/products/gf2020202187</t>
        </is>
      </c>
      <c r="T2862" s="1">
        <f>IF(B2862="ไม้กอล์ฟ",J2862,"")</f>
        <v/>
      </c>
    </row>
    <row r="2863">
      <c r="A2863" s="1" t="n">
        <v>3</v>
      </c>
      <c r="B2863" s="1" t="inlineStr">
        <is>
          <t>เสื้อผ้า</t>
        </is>
      </c>
      <c r="C2863" s="1" t="inlineStr">
        <is>
          <t>gf2020200905</t>
        </is>
      </c>
      <c r="D2863" s="1" t="inlineStr">
        <is>
          <t>FOOTJOY Lightweight Performance Men's Shorts (Navy)</t>
        </is>
      </c>
      <c r="E2863" s="1" t="inlineStr">
        <is>
          <t>FOOTJOY</t>
        </is>
      </c>
      <c r="F2863" s="1" t="inlineStr">
        <is>
          <t>SHORT PANTS</t>
        </is>
      </c>
      <c r="G2863" s="1" t="inlineStr">
        <is>
          <t>GF202020090530</t>
        </is>
      </c>
      <c r="H2863" s="1" t="n">
        <v>6</v>
      </c>
      <c r="I2863" s="1" t="inlineStr">
        <is>
          <t>มี</t>
        </is>
      </c>
      <c r="J2863" s="13" t="n">
        <v>83</v>
      </c>
      <c r="K2863" s="1" t="inlineStr"/>
      <c r="L2863" s="13" t="n">
        <v>83</v>
      </c>
      <c r="M2863" s="1">
        <f>IF(L2863="","ไม่พบใน SG",IF(ABS(J2863-L2863)&lt;0.005,"ตรงกัน","ไม่ตรง"))</f>
        <v/>
      </c>
      <c r="N2863" s="14">
        <f>IF(L2863="","",ROUND(L2863*'สรุป'!$C$6,-1))</f>
        <v/>
      </c>
      <c r="O2863" s="15" t="n"/>
      <c r="P2863" s="15" t="n"/>
      <c r="Q2863" s="10" t="n"/>
      <c r="R2863" s="10" t="n"/>
      <c r="S2863" s="16" t="inlineStr">
        <is>
          <t>https://mstgolf.co.th/products/gf2020200905</t>
        </is>
      </c>
      <c r="T2863" s="1">
        <f>IF(B2863="ไม้กอล์ฟ",J2863,"")</f>
        <v/>
      </c>
    </row>
    <row r="2864">
      <c r="A2864" s="1" t="n">
        <v>3</v>
      </c>
      <c r="B2864" s="1" t="inlineStr">
        <is>
          <t>เสื้อผ้า</t>
        </is>
      </c>
      <c r="C2864" s="1" t="inlineStr">
        <is>
          <t>gf2020102545</t>
        </is>
      </c>
      <c r="D2864" s="1" t="inlineStr">
        <is>
          <t>LE COQ SPORTIF GOLF 9/10 Women's Pants (Black)</t>
        </is>
      </c>
      <c r="E2864" s="1" t="inlineStr">
        <is>
          <t>LE COQ SPORTIF GOLF</t>
        </is>
      </c>
      <c r="F2864" s="1" t="inlineStr">
        <is>
          <t>LONG PANTS</t>
        </is>
      </c>
      <c r="G2864" s="1" t="inlineStr">
        <is>
          <t>GF2020102545S</t>
        </is>
      </c>
      <c r="H2864" s="1" t="n">
        <v>6</v>
      </c>
      <c r="I2864" s="1" t="inlineStr">
        <is>
          <t>มี</t>
        </is>
      </c>
      <c r="J2864" s="13" t="n">
        <v>83</v>
      </c>
      <c r="K2864" s="1" t="inlineStr"/>
      <c r="L2864" s="13" t="n">
        <v>83</v>
      </c>
      <c r="M2864" s="1">
        <f>IF(L2864="","ไม่พบใน SG",IF(ABS(J2864-L2864)&lt;0.005,"ตรงกัน","ไม่ตรง"))</f>
        <v/>
      </c>
      <c r="N2864" s="14">
        <f>IF(L2864="","",ROUND(L2864*'สรุป'!$C$6,-1))</f>
        <v/>
      </c>
      <c r="O2864" s="15" t="n"/>
      <c r="P2864" s="15" t="n"/>
      <c r="Q2864" s="10" t="n"/>
      <c r="R2864" s="10" t="n"/>
      <c r="S2864" s="16" t="inlineStr">
        <is>
          <t>https://mstgolf.co.th/products/gf2020102545</t>
        </is>
      </c>
      <c r="T2864" s="1">
        <f>IF(B2864="ไม้กอล์ฟ",J2864,"")</f>
        <v/>
      </c>
    </row>
    <row r="2865">
      <c r="A2865" s="1" t="n">
        <v>3</v>
      </c>
      <c r="B2865" s="1" t="inlineStr">
        <is>
          <t>เสื้อผ้า</t>
        </is>
      </c>
      <c r="C2865" s="1" t="inlineStr">
        <is>
          <t>gf2020102574</t>
        </is>
      </c>
      <c r="D2865" s="1" t="inlineStr">
        <is>
          <t>LE COQ SPORTIF GOLF 9/10 Women's Pants (Khaki)</t>
        </is>
      </c>
      <c r="E2865" s="1" t="inlineStr">
        <is>
          <t>LE COQ SPORTIF GOLF</t>
        </is>
      </c>
      <c r="F2865" s="1" t="inlineStr">
        <is>
          <t>LONG PANTS</t>
        </is>
      </c>
      <c r="G2865" s="1" t="inlineStr">
        <is>
          <t>GF2020102574S</t>
        </is>
      </c>
      <c r="H2865" s="1" t="n">
        <v>6</v>
      </c>
      <c r="I2865" s="1" t="inlineStr">
        <is>
          <t>มี</t>
        </is>
      </c>
      <c r="J2865" s="13" t="n">
        <v>83</v>
      </c>
      <c r="K2865" s="1" t="inlineStr"/>
      <c r="L2865" s="13" t="n">
        <v>83</v>
      </c>
      <c r="M2865" s="1">
        <f>IF(L2865="","ไม่พบใน SG",IF(ABS(J2865-L2865)&lt;0.005,"ตรงกัน","ไม่ตรง"))</f>
        <v/>
      </c>
      <c r="N2865" s="14">
        <f>IF(L2865="","",ROUND(L2865*'สรุป'!$C$6,-1))</f>
        <v/>
      </c>
      <c r="O2865" s="15" t="n"/>
      <c r="P2865" s="15" t="n"/>
      <c r="Q2865" s="10" t="n"/>
      <c r="R2865" s="10" t="n"/>
      <c r="S2865" s="16" t="inlineStr">
        <is>
          <t>https://mstgolf.co.th/products/gf2020102574</t>
        </is>
      </c>
      <c r="T2865" s="1">
        <f>IF(B2865="ไม้กอล์ฟ",J2865,"")</f>
        <v/>
      </c>
    </row>
    <row r="2866">
      <c r="A2866" s="1" t="n">
        <v>3</v>
      </c>
      <c r="B2866" s="1" t="inlineStr">
        <is>
          <t>เสื้อผ้า</t>
        </is>
      </c>
      <c r="C2866" s="1" t="inlineStr">
        <is>
          <t>gf2020102567</t>
        </is>
      </c>
      <c r="D2866" s="1" t="inlineStr">
        <is>
          <t>LE COQ SPORTIF GOLF Gingham Check Men's Pants (Grey)</t>
        </is>
      </c>
      <c r="E2866" s="1" t="inlineStr">
        <is>
          <t>LE COQ SPORTIF GOLF</t>
        </is>
      </c>
      <c r="F2866" s="1" t="inlineStr">
        <is>
          <t>LONG PANTS</t>
        </is>
      </c>
      <c r="G2866" s="1" t="inlineStr">
        <is>
          <t>GF202010256776</t>
        </is>
      </c>
      <c r="H2866" s="1" t="n">
        <v>6</v>
      </c>
      <c r="I2866" s="1" t="inlineStr">
        <is>
          <t>มี</t>
        </is>
      </c>
      <c r="J2866" s="13" t="n">
        <v>83</v>
      </c>
      <c r="K2866" s="1" t="inlineStr"/>
      <c r="L2866" s="13" t="n">
        <v>83</v>
      </c>
      <c r="M2866" s="1">
        <f>IF(L2866="","ไม่พบใน SG",IF(ABS(J2866-L2866)&lt;0.005,"ตรงกัน","ไม่ตรง"))</f>
        <v/>
      </c>
      <c r="N2866" s="14">
        <f>IF(L2866="","",ROUND(L2866*'สรุป'!$C$6,-1))</f>
        <v/>
      </c>
      <c r="O2866" s="15" t="n"/>
      <c r="P2866" s="15" t="n"/>
      <c r="Q2866" s="10" t="n"/>
      <c r="R2866" s="10" t="n"/>
      <c r="S2866" s="16" t="inlineStr">
        <is>
          <t>https://mstgolf.co.th/products/gf2020102567</t>
        </is>
      </c>
      <c r="T2866" s="1">
        <f>IF(B2866="ไม้กอล์ฟ",J2866,"")</f>
        <v/>
      </c>
    </row>
    <row r="2867">
      <c r="A2867" s="1" t="n">
        <v>3</v>
      </c>
      <c r="B2867" s="1" t="inlineStr">
        <is>
          <t>เสื้อผ้า</t>
        </is>
      </c>
      <c r="C2867" s="1" t="inlineStr">
        <is>
          <t>gf2020102568</t>
        </is>
      </c>
      <c r="D2867" s="1" t="inlineStr">
        <is>
          <t>LE COQ SPORTIF GOLF Gingham Check Men's Pants (Khaki)</t>
        </is>
      </c>
      <c r="E2867" s="1" t="inlineStr">
        <is>
          <t>LE COQ SPORTIF GOLF</t>
        </is>
      </c>
      <c r="F2867" s="1" t="inlineStr">
        <is>
          <t>LONG PANTS</t>
        </is>
      </c>
      <c r="G2867" s="1" t="inlineStr">
        <is>
          <t>GF202010256876</t>
        </is>
      </c>
      <c r="H2867" s="1" t="n">
        <v>6</v>
      </c>
      <c r="I2867" s="1" t="inlineStr">
        <is>
          <t>มี</t>
        </is>
      </c>
      <c r="J2867" s="13" t="n">
        <v>83</v>
      </c>
      <c r="K2867" s="1" t="inlineStr"/>
      <c r="L2867" s="13" t="n">
        <v>83</v>
      </c>
      <c r="M2867" s="1">
        <f>IF(L2867="","ไม่พบใน SG",IF(ABS(J2867-L2867)&lt;0.005,"ตรงกัน","ไม่ตรง"))</f>
        <v/>
      </c>
      <c r="N2867" s="14">
        <f>IF(L2867="","",ROUND(L2867*'สรุป'!$C$6,-1))</f>
        <v/>
      </c>
      <c r="O2867" s="15" t="n"/>
      <c r="P2867" s="15" t="n"/>
      <c r="Q2867" s="10" t="n"/>
      <c r="R2867" s="10" t="n"/>
      <c r="S2867" s="16" t="inlineStr">
        <is>
          <t>https://mstgolf.co.th/products/gf2020102568</t>
        </is>
      </c>
      <c r="T2867" s="1">
        <f>IF(B2867="ไม้กอล์ฟ",J2867,"")</f>
        <v/>
      </c>
    </row>
    <row r="2868">
      <c r="A2868" s="1" t="n">
        <v>3</v>
      </c>
      <c r="B2868" s="1" t="inlineStr">
        <is>
          <t>เสื้อผ้า</t>
        </is>
      </c>
      <c r="C2868" s="1" t="inlineStr">
        <is>
          <t>gf2020102542</t>
        </is>
      </c>
      <c r="D2868" s="1" t="inlineStr">
        <is>
          <t>LE COQ SPORTIF GOLF Nylon Tricot 9/10 Men's Pants (Khaki)</t>
        </is>
      </c>
      <c r="E2868" s="1" t="inlineStr">
        <is>
          <t>LE COQ SPORTIF GOLF</t>
        </is>
      </c>
      <c r="F2868" s="1" t="inlineStr">
        <is>
          <t>LONG PANTS</t>
        </is>
      </c>
      <c r="G2868" s="1" t="inlineStr">
        <is>
          <t>GF202010254276</t>
        </is>
      </c>
      <c r="H2868" s="1" t="n">
        <v>9</v>
      </c>
      <c r="I2868" s="1" t="inlineStr">
        <is>
          <t>มี</t>
        </is>
      </c>
      <c r="J2868" s="13" t="n">
        <v>83</v>
      </c>
      <c r="K2868" s="1" t="inlineStr"/>
      <c r="L2868" s="13" t="n">
        <v>83</v>
      </c>
      <c r="M2868" s="1">
        <f>IF(L2868="","ไม่พบใน SG",IF(ABS(J2868-L2868)&lt;0.005,"ตรงกัน","ไม่ตรง"))</f>
        <v/>
      </c>
      <c r="N2868" s="14">
        <f>IF(L2868="","",ROUND(L2868*'สรุป'!$C$6,-1))</f>
        <v/>
      </c>
      <c r="O2868" s="15" t="n"/>
      <c r="P2868" s="15" t="n"/>
      <c r="Q2868" s="10" t="n"/>
      <c r="R2868" s="10" t="n"/>
      <c r="S2868" s="16" t="inlineStr">
        <is>
          <t>https://mstgolf.co.th/products/gf2020102542</t>
        </is>
      </c>
      <c r="T2868" s="1">
        <f>IF(B2868="ไม้กอล์ฟ",J2868,"")</f>
        <v/>
      </c>
    </row>
    <row r="2869">
      <c r="A2869" s="1" t="n">
        <v>3</v>
      </c>
      <c r="B2869" s="1" t="inlineStr">
        <is>
          <t>เสื้อผ้า</t>
        </is>
      </c>
      <c r="C2869" s="1" t="inlineStr">
        <is>
          <t>gf2020202763</t>
        </is>
      </c>
      <c r="D2869" s="1" t="inlineStr">
        <is>
          <t>LE COQ SPORTIF GOLF Women's Shorts (Black)</t>
        </is>
      </c>
      <c r="E2869" s="1" t="inlineStr">
        <is>
          <t>LE COQ SPORTIF GOLF</t>
        </is>
      </c>
      <c r="F2869" s="1" t="inlineStr">
        <is>
          <t>SHORT PANTS</t>
        </is>
      </c>
      <c r="G2869" s="1" t="inlineStr">
        <is>
          <t>GF2020202763S</t>
        </is>
      </c>
      <c r="H2869" s="1" t="n">
        <v>5</v>
      </c>
      <c r="I2869" s="1" t="inlineStr">
        <is>
          <t>มี</t>
        </is>
      </c>
      <c r="J2869" s="13" t="n">
        <v>83</v>
      </c>
      <c r="K2869" s="1" t="inlineStr"/>
      <c r="L2869" s="13" t="n">
        <v>59</v>
      </c>
      <c r="M2869" s="1">
        <f>IF(L2869="","ไม่พบใน SG",IF(ABS(J2869-L2869)&lt;0.005,"ตรงกัน","ไม่ตรง"))</f>
        <v/>
      </c>
      <c r="N2869" s="14">
        <f>IF(L2869="","",ROUND(L2869*'สรุป'!$C$6,-1))</f>
        <v/>
      </c>
      <c r="O2869" s="15" t="n"/>
      <c r="P2869" s="15" t="n"/>
      <c r="Q2869" s="10" t="n"/>
      <c r="R2869" s="10" t="n"/>
      <c r="S2869" s="16" t="inlineStr">
        <is>
          <t>https://mstgolf.co.th/products/gf2020202763</t>
        </is>
      </c>
      <c r="T2869" s="1">
        <f>IF(B2869="ไม้กอล์ฟ",J2869,"")</f>
        <v/>
      </c>
    </row>
    <row r="2870">
      <c r="A2870" s="1" t="n">
        <v>3</v>
      </c>
      <c r="B2870" s="1" t="inlineStr">
        <is>
          <t>เสื้อผ้า</t>
        </is>
      </c>
      <c r="C2870" s="1" t="inlineStr">
        <is>
          <t>gf2020202764</t>
        </is>
      </c>
      <c r="D2870" s="1" t="inlineStr">
        <is>
          <t>LE COQ SPORTIF GOLF Women's Shorts (Khaki)</t>
        </is>
      </c>
      <c r="E2870" s="1" t="inlineStr">
        <is>
          <t>LE COQ SPORTIF GOLF</t>
        </is>
      </c>
      <c r="F2870" s="1" t="inlineStr">
        <is>
          <t>SHORT PANTS</t>
        </is>
      </c>
      <c r="G2870" s="1" t="inlineStr">
        <is>
          <t>GF2020202764S</t>
        </is>
      </c>
      <c r="H2870" s="1" t="n">
        <v>5</v>
      </c>
      <c r="I2870" s="1" t="inlineStr">
        <is>
          <t>มี</t>
        </is>
      </c>
      <c r="J2870" s="13" t="n">
        <v>83</v>
      </c>
      <c r="K2870" s="1" t="inlineStr"/>
      <c r="L2870" s="13" t="n">
        <v>59</v>
      </c>
      <c r="M2870" s="1">
        <f>IF(L2870="","ไม่พบใน SG",IF(ABS(J2870-L2870)&lt;0.005,"ตรงกัน","ไม่ตรง"))</f>
        <v/>
      </c>
      <c r="N2870" s="14">
        <f>IF(L2870="","",ROUND(L2870*'สรุป'!$C$6,-1))</f>
        <v/>
      </c>
      <c r="O2870" s="15" t="n"/>
      <c r="P2870" s="15" t="n"/>
      <c r="Q2870" s="10" t="n"/>
      <c r="R2870" s="10" t="n"/>
      <c r="S2870" s="16" t="inlineStr">
        <is>
          <t>https://mstgolf.co.th/products/gf2020202764</t>
        </is>
      </c>
      <c r="T2870" s="1">
        <f>IF(B2870="ไม้กอล์ฟ",J2870,"")</f>
        <v/>
      </c>
    </row>
    <row r="2871">
      <c r="A2871" s="1" t="n">
        <v>3</v>
      </c>
      <c r="B2871" s="1" t="inlineStr">
        <is>
          <t>เสื้อผ้า</t>
        </is>
      </c>
      <c r="C2871" s="1" t="inlineStr">
        <is>
          <t>gf2040120284</t>
        </is>
      </c>
      <c r="D2871" s="1" t="inlineStr">
        <is>
          <t>PUMA x AC Milan Men's Polo (Dark Sage)</t>
        </is>
      </c>
      <c r="E2871" s="1" t="inlineStr">
        <is>
          <t>PUMA</t>
        </is>
      </c>
      <c r="F2871" s="1" t="inlineStr">
        <is>
          <t>SHORT SLEEVES</t>
        </is>
      </c>
      <c r="G2871" s="1" t="inlineStr">
        <is>
          <t>GF2040120284S</t>
        </is>
      </c>
      <c r="H2871" s="1" t="n">
        <v>5</v>
      </c>
      <c r="I2871" s="1" t="inlineStr">
        <is>
          <t>มี</t>
        </is>
      </c>
      <c r="J2871" s="13" t="n">
        <v>83</v>
      </c>
      <c r="K2871" s="1" t="inlineStr"/>
      <c r="L2871" s="13" t="n">
        <v>83</v>
      </c>
      <c r="M2871" s="1">
        <f>IF(L2871="","ไม่พบใน SG",IF(ABS(J2871-L2871)&lt;0.005,"ตรงกัน","ไม่ตรง"))</f>
        <v/>
      </c>
      <c r="N2871" s="14">
        <f>IF(L2871="","",ROUND(L2871*'สรุป'!$C$6,-1))</f>
        <v/>
      </c>
      <c r="O2871" s="15" t="n"/>
      <c r="P2871" s="15" t="n"/>
      <c r="Q2871" s="10" t="n"/>
      <c r="R2871" s="10" t="n"/>
      <c r="S2871" s="16" t="inlineStr">
        <is>
          <t>https://mstgolf.co.th/products/gf2040120284</t>
        </is>
      </c>
      <c r="T2871" s="1">
        <f>IF(B2871="ไม้กอล์ฟ",J2871,"")</f>
        <v/>
      </c>
    </row>
    <row r="2872">
      <c r="A2872" s="1" t="n">
        <v>3</v>
      </c>
      <c r="B2872" s="1" t="inlineStr">
        <is>
          <t>เสื้อผ้า</t>
        </is>
      </c>
      <c r="C2872" s="1" t="inlineStr">
        <is>
          <t>gf2040116710</t>
        </is>
      </c>
      <c r="D2872" s="1" t="inlineStr">
        <is>
          <t>TAYLORMADE Essential Men's Polo (Navy)</t>
        </is>
      </c>
      <c r="E2872" s="1" t="inlineStr">
        <is>
          <t>TAYLORMADE</t>
        </is>
      </c>
      <c r="F2872" s="1" t="inlineStr">
        <is>
          <t>SHORT SLEEVES</t>
        </is>
      </c>
      <c r="G2872" s="1" t="inlineStr">
        <is>
          <t>GF2040116710S</t>
        </is>
      </c>
      <c r="H2872" s="1" t="n">
        <v>6</v>
      </c>
      <c r="I2872" s="1" t="inlineStr">
        <is>
          <t>มี</t>
        </is>
      </c>
      <c r="J2872" s="13" t="n">
        <v>83</v>
      </c>
      <c r="K2872" s="1" t="inlineStr"/>
      <c r="L2872" s="13" t="n">
        <v>49</v>
      </c>
      <c r="M2872" s="1">
        <f>IF(L2872="","ไม่พบใน SG",IF(ABS(J2872-L2872)&lt;0.005,"ตรงกัน","ไม่ตรง"))</f>
        <v/>
      </c>
      <c r="N2872" s="14">
        <f>IF(L2872="","",ROUND(L2872*'สรุป'!$C$6,-1))</f>
        <v/>
      </c>
      <c r="O2872" s="15" t="n"/>
      <c r="P2872" s="15" t="n"/>
      <c r="Q2872" s="10" t="n"/>
      <c r="R2872" s="10" t="n"/>
      <c r="S2872" s="16" t="inlineStr">
        <is>
          <t>https://mstgolf.co.th/products/gf2040116710</t>
        </is>
      </c>
      <c r="T2872" s="1">
        <f>IF(B2872="ไม้กอล์ฟ",J2872,"")</f>
        <v/>
      </c>
    </row>
    <row r="2873">
      <c r="A2873" s="1" t="n">
        <v>3</v>
      </c>
      <c r="B2873" s="1" t="inlineStr">
        <is>
          <t>เสื้อผ้า</t>
        </is>
      </c>
      <c r="C2873" s="1" t="inlineStr">
        <is>
          <t>gf2040116712</t>
        </is>
      </c>
      <c r="D2873" s="1" t="inlineStr">
        <is>
          <t>TAYLORMADE Essential Men's Polo (Red)</t>
        </is>
      </c>
      <c r="E2873" s="1" t="inlineStr">
        <is>
          <t>TAYLORMADE</t>
        </is>
      </c>
      <c r="F2873" s="1" t="inlineStr">
        <is>
          <t>SHORT SLEEVES</t>
        </is>
      </c>
      <c r="G2873" s="1" t="inlineStr">
        <is>
          <t>GF2040116712S</t>
        </is>
      </c>
      <c r="H2873" s="1" t="n">
        <v>6</v>
      </c>
      <c r="I2873" s="1" t="inlineStr">
        <is>
          <t>มี</t>
        </is>
      </c>
      <c r="J2873" s="13" t="n">
        <v>83</v>
      </c>
      <c r="K2873" s="1" t="inlineStr"/>
      <c r="L2873" s="13" t="n">
        <v>49</v>
      </c>
      <c r="M2873" s="1">
        <f>IF(L2873="","ไม่พบใน SG",IF(ABS(J2873-L2873)&lt;0.005,"ตรงกัน","ไม่ตรง"))</f>
        <v/>
      </c>
      <c r="N2873" s="14">
        <f>IF(L2873="","",ROUND(L2873*'สรุป'!$C$6,-1))</f>
        <v/>
      </c>
      <c r="O2873" s="15" t="n"/>
      <c r="P2873" s="15" t="n"/>
      <c r="Q2873" s="10" t="n"/>
      <c r="R2873" s="10" t="n"/>
      <c r="S2873" s="16" t="inlineStr">
        <is>
          <t>https://mstgolf.co.th/products/gf2040116712</t>
        </is>
      </c>
      <c r="T2873" s="1">
        <f>IF(B2873="ไม้กอล์ฟ",J2873,"")</f>
        <v/>
      </c>
    </row>
    <row r="2874">
      <c r="A2874" s="1" t="n">
        <v>3</v>
      </c>
      <c r="B2874" s="1" t="inlineStr">
        <is>
          <t>เสื้อผ้า</t>
        </is>
      </c>
      <c r="C2874" s="1" t="inlineStr">
        <is>
          <t>gf2040117336</t>
        </is>
      </c>
      <c r="D2874" s="1" t="inlineStr">
        <is>
          <t>UNDER ARMOUR Curry Bomber Men's Polo (Black/Celeste)</t>
        </is>
      </c>
      <c r="E2874" s="1" t="inlineStr">
        <is>
          <t>UNDER ARMOUR</t>
        </is>
      </c>
      <c r="F2874" s="1" t="inlineStr">
        <is>
          <t>SHORT SLEEVES</t>
        </is>
      </c>
      <c r="G2874" s="1" t="inlineStr">
        <is>
          <t>GF2040117336S</t>
        </is>
      </c>
      <c r="H2874" s="1" t="n">
        <v>5</v>
      </c>
      <c r="I2874" s="1" t="inlineStr">
        <is>
          <t>มี</t>
        </is>
      </c>
      <c r="J2874" s="13" t="n">
        <v>83</v>
      </c>
      <c r="K2874" s="1" t="inlineStr"/>
      <c r="L2874" s="13" t="n">
        <v>83</v>
      </c>
      <c r="M2874" s="1">
        <f>IF(L2874="","ไม่พบใน SG",IF(ABS(J2874-L2874)&lt;0.005,"ตรงกัน","ไม่ตรง"))</f>
        <v/>
      </c>
      <c r="N2874" s="14">
        <f>IF(L2874="","",ROUND(L2874*'สรุป'!$C$6,-1))</f>
        <v/>
      </c>
      <c r="O2874" s="15" t="n"/>
      <c r="P2874" s="15" t="n"/>
      <c r="Q2874" s="10" t="n"/>
      <c r="R2874" s="10" t="n"/>
      <c r="S2874" s="16" t="inlineStr">
        <is>
          <t>https://mstgolf.co.th/products/gf2040117336</t>
        </is>
      </c>
      <c r="T2874" s="1">
        <f>IF(B2874="ไม้กอล์ฟ",J2874,"")</f>
        <v/>
      </c>
    </row>
    <row r="2875">
      <c r="A2875" s="1" t="n">
        <v>3</v>
      </c>
      <c r="B2875" s="1" t="inlineStr">
        <is>
          <t>เสื้อผ้า</t>
        </is>
      </c>
      <c r="C2875" s="1" t="inlineStr">
        <is>
          <t>gf2020202295</t>
        </is>
      </c>
      <c r="D2875" s="1" t="inlineStr">
        <is>
          <t>UNDER ARMOUR Curry Splash Men's Shorts (Sky Blue)</t>
        </is>
      </c>
      <c r="E2875" s="1" t="inlineStr">
        <is>
          <t>UNDER ARMOUR</t>
        </is>
      </c>
      <c r="F2875" s="1" t="inlineStr">
        <is>
          <t>SHORT PANTS</t>
        </is>
      </c>
      <c r="G2875" s="1" t="inlineStr">
        <is>
          <t>GF202020229530</t>
        </is>
      </c>
      <c r="H2875" s="1" t="n">
        <v>6</v>
      </c>
      <c r="I2875" s="1" t="inlineStr">
        <is>
          <t>มี</t>
        </is>
      </c>
      <c r="J2875" s="13" t="n">
        <v>83</v>
      </c>
      <c r="K2875" s="1" t="inlineStr"/>
      <c r="L2875" s="13" t="n">
        <v>59</v>
      </c>
      <c r="M2875" s="1">
        <f>IF(L2875="","ไม่พบใน SG",IF(ABS(J2875-L2875)&lt;0.005,"ตรงกัน","ไม่ตรง"))</f>
        <v/>
      </c>
      <c r="N2875" s="14">
        <f>IF(L2875="","",ROUND(L2875*'สรุป'!$C$6,-1))</f>
        <v/>
      </c>
      <c r="O2875" s="15" t="n"/>
      <c r="P2875" s="15" t="n"/>
      <c r="Q2875" s="10" t="n"/>
      <c r="R2875" s="10" t="n"/>
      <c r="S2875" s="16" t="inlineStr">
        <is>
          <t>https://mstgolf.co.th/products/gf2020202295</t>
        </is>
      </c>
      <c r="T2875" s="1">
        <f>IF(B2875="ไม้กอล์ฟ",J2875,"")</f>
        <v/>
      </c>
    </row>
    <row r="2876">
      <c r="A2876" s="1" t="n">
        <v>3</v>
      </c>
      <c r="B2876" s="1" t="inlineStr">
        <is>
          <t>เสื้อผ้า</t>
        </is>
      </c>
      <c r="C2876" s="1" t="inlineStr">
        <is>
          <t>gf2040117327</t>
        </is>
      </c>
      <c r="D2876" s="1" t="inlineStr">
        <is>
          <t>UNDER ARMOUR Iso-Chill Edge Men's Polo (Black/Grey)</t>
        </is>
      </c>
      <c r="E2876" s="1" t="inlineStr">
        <is>
          <t>UNDER ARMOUR</t>
        </is>
      </c>
      <c r="F2876" s="1" t="inlineStr">
        <is>
          <t>SHORT SLEEVES</t>
        </is>
      </c>
      <c r="G2876" s="1" t="inlineStr">
        <is>
          <t>GF2040117327S</t>
        </is>
      </c>
      <c r="H2876" s="1" t="n">
        <v>5</v>
      </c>
      <c r="I2876" s="1" t="inlineStr">
        <is>
          <t>มี</t>
        </is>
      </c>
      <c r="J2876" s="13" t="n">
        <v>83</v>
      </c>
      <c r="K2876" s="1" t="inlineStr"/>
      <c r="L2876" s="13" t="n">
        <v>83</v>
      </c>
      <c r="M2876" s="1">
        <f>IF(L2876="","ไม่พบใน SG",IF(ABS(J2876-L2876)&lt;0.005,"ตรงกัน","ไม่ตรง"))</f>
        <v/>
      </c>
      <c r="N2876" s="14">
        <f>IF(L2876="","",ROUND(L2876*'สรุป'!$C$6,-1))</f>
        <v/>
      </c>
      <c r="O2876" s="15" t="n"/>
      <c r="P2876" s="15" t="n"/>
      <c r="Q2876" s="10" t="n"/>
      <c r="R2876" s="10" t="n"/>
      <c r="S2876" s="16" t="inlineStr">
        <is>
          <t>https://mstgolf.co.th/products/gf2040117327</t>
        </is>
      </c>
      <c r="T2876" s="1">
        <f>IF(B2876="ไม้กอล์ฟ",J2876,"")</f>
        <v/>
      </c>
    </row>
    <row r="2877">
      <c r="A2877" s="1" t="n">
        <v>3</v>
      </c>
      <c r="B2877" s="1" t="inlineStr">
        <is>
          <t>เสื้อผ้า</t>
        </is>
      </c>
      <c r="C2877" s="1" t="inlineStr">
        <is>
          <t>gf2040117331</t>
        </is>
      </c>
      <c r="D2877" s="1" t="inlineStr">
        <is>
          <t>UNDER ARMOUR Iso-Chill Edge Men's Polo (Celeste)</t>
        </is>
      </c>
      <c r="E2877" s="1" t="inlineStr">
        <is>
          <t>UNDER ARMOUR</t>
        </is>
      </c>
      <c r="F2877" s="1" t="inlineStr">
        <is>
          <t>SHORT SLEEVES</t>
        </is>
      </c>
      <c r="G2877" s="1" t="inlineStr">
        <is>
          <t>GF2040117331S</t>
        </is>
      </c>
      <c r="H2877" s="1" t="n">
        <v>5</v>
      </c>
      <c r="I2877" s="1" t="inlineStr">
        <is>
          <t>มี</t>
        </is>
      </c>
      <c r="J2877" s="13" t="n">
        <v>83</v>
      </c>
      <c r="K2877" s="1" t="inlineStr"/>
      <c r="L2877" s="13" t="n">
        <v>83</v>
      </c>
      <c r="M2877" s="1">
        <f>IF(L2877="","ไม่พบใน SG",IF(ABS(J2877-L2877)&lt;0.005,"ตรงกัน","ไม่ตรง"))</f>
        <v/>
      </c>
      <c r="N2877" s="14">
        <f>IF(L2877="","",ROUND(L2877*'สรุป'!$C$6,-1))</f>
        <v/>
      </c>
      <c r="O2877" s="15" t="n"/>
      <c r="P2877" s="15" t="n"/>
      <c r="Q2877" s="10" t="n"/>
      <c r="R2877" s="10" t="n"/>
      <c r="S2877" s="16" t="inlineStr">
        <is>
          <t>https://mstgolf.co.th/products/gf2040117331</t>
        </is>
      </c>
      <c r="T2877" s="1">
        <f>IF(B2877="ไม้กอล์ฟ",J2877,"")</f>
        <v/>
      </c>
    </row>
    <row r="2878">
      <c r="A2878" s="1" t="n">
        <v>3</v>
      </c>
      <c r="B2878" s="1" t="inlineStr">
        <is>
          <t>เสื้อผ้า</t>
        </is>
      </c>
      <c r="C2878" s="1" t="inlineStr">
        <is>
          <t>gf2040117328</t>
        </is>
      </c>
      <c r="D2878" s="1" t="inlineStr">
        <is>
          <t>UNDER ARMOUR Iso-Chill Edge Men's Polo (Downpour Grey)</t>
        </is>
      </c>
      <c r="E2878" s="1" t="inlineStr">
        <is>
          <t>UNDER ARMOUR</t>
        </is>
      </c>
      <c r="F2878" s="1" t="inlineStr">
        <is>
          <t>SHORT SLEEVES</t>
        </is>
      </c>
      <c r="G2878" s="1" t="inlineStr">
        <is>
          <t>GF2040117328S</t>
        </is>
      </c>
      <c r="H2878" s="1" t="n">
        <v>5</v>
      </c>
      <c r="I2878" s="1" t="inlineStr">
        <is>
          <t>มี</t>
        </is>
      </c>
      <c r="J2878" s="13" t="n">
        <v>83</v>
      </c>
      <c r="K2878" s="1" t="inlineStr"/>
      <c r="L2878" s="13" t="n">
        <v>83</v>
      </c>
      <c r="M2878" s="1">
        <f>IF(L2878="","ไม่พบใน SG",IF(ABS(J2878-L2878)&lt;0.005,"ตรงกัน","ไม่ตรง"))</f>
        <v/>
      </c>
      <c r="N2878" s="14">
        <f>IF(L2878="","",ROUND(L2878*'สรุป'!$C$6,-1))</f>
        <v/>
      </c>
      <c r="O2878" s="15" t="n"/>
      <c r="P2878" s="15" t="n"/>
      <c r="Q2878" s="10" t="n"/>
      <c r="R2878" s="10" t="n"/>
      <c r="S2878" s="16" t="inlineStr">
        <is>
          <t>https://mstgolf.co.th/products/gf2040117328</t>
        </is>
      </c>
      <c r="T2878" s="1">
        <f>IF(B2878="ไม้กอล์ฟ",J2878,"")</f>
        <v/>
      </c>
    </row>
    <row r="2879">
      <c r="A2879" s="1" t="n">
        <v>3</v>
      </c>
      <c r="B2879" s="1" t="inlineStr">
        <is>
          <t>เสื้อผ้า</t>
        </is>
      </c>
      <c r="C2879" s="1" t="inlineStr">
        <is>
          <t>gf2040117329</t>
        </is>
      </c>
      <c r="D2879" s="1" t="inlineStr">
        <is>
          <t>UNDER ARMOUR Iso-Chill Edge Men's Polo (Navy/Green)</t>
        </is>
      </c>
      <c r="E2879" s="1" t="inlineStr">
        <is>
          <t>UNDER ARMOUR</t>
        </is>
      </c>
      <c r="F2879" s="1" t="inlineStr">
        <is>
          <t>SHORT SLEEVES</t>
        </is>
      </c>
      <c r="G2879" s="1" t="inlineStr">
        <is>
          <t>GF2040117329S</t>
        </is>
      </c>
      <c r="H2879" s="1" t="n">
        <v>5</v>
      </c>
      <c r="I2879" s="1" t="inlineStr">
        <is>
          <t>มี</t>
        </is>
      </c>
      <c r="J2879" s="13" t="n">
        <v>83</v>
      </c>
      <c r="K2879" s="1" t="inlineStr"/>
      <c r="L2879" s="13" t="n">
        <v>83</v>
      </c>
      <c r="M2879" s="1">
        <f>IF(L2879="","ไม่พบใน SG",IF(ABS(J2879-L2879)&lt;0.005,"ตรงกัน","ไม่ตรง"))</f>
        <v/>
      </c>
      <c r="N2879" s="14">
        <f>IF(L2879="","",ROUND(L2879*'สรุป'!$C$6,-1))</f>
        <v/>
      </c>
      <c r="O2879" s="15" t="n"/>
      <c r="P2879" s="15" t="n"/>
      <c r="Q2879" s="10" t="n"/>
      <c r="R2879" s="10" t="n"/>
      <c r="S2879" s="16" t="inlineStr">
        <is>
          <t>https://mstgolf.co.th/products/gf2040117329</t>
        </is>
      </c>
      <c r="T2879" s="1">
        <f>IF(B2879="ไม้กอล์ฟ",J2879,"")</f>
        <v/>
      </c>
    </row>
    <row r="2880">
      <c r="A2880" s="1" t="n">
        <v>3</v>
      </c>
      <c r="B2880" s="1" t="inlineStr">
        <is>
          <t>เสื้อผ้า</t>
        </is>
      </c>
      <c r="C2880" s="1" t="inlineStr">
        <is>
          <t>gf2040116479</t>
        </is>
      </c>
      <c r="D2880" s="1" t="inlineStr">
        <is>
          <t>UNDER ARMOUR Iso-Chill Men's Polo  (Black)</t>
        </is>
      </c>
      <c r="E2880" s="1" t="inlineStr">
        <is>
          <t>UNDER ARMOUR</t>
        </is>
      </c>
      <c r="F2880" s="1" t="inlineStr">
        <is>
          <t>SHORT SLEEVES</t>
        </is>
      </c>
      <c r="G2880" s="1" t="inlineStr">
        <is>
          <t>GF2040116479S</t>
        </is>
      </c>
      <c r="H2880" s="1" t="n">
        <v>5</v>
      </c>
      <c r="I2880" s="1" t="inlineStr">
        <is>
          <t>มี</t>
        </is>
      </c>
      <c r="J2880" s="13" t="n">
        <v>83</v>
      </c>
      <c r="K2880" s="1" t="inlineStr"/>
      <c r="L2880" s="13" t="n">
        <v>83</v>
      </c>
      <c r="M2880" s="1">
        <f>IF(L2880="","ไม่พบใน SG",IF(ABS(J2880-L2880)&lt;0.005,"ตรงกัน","ไม่ตรง"))</f>
        <v/>
      </c>
      <c r="N2880" s="14">
        <f>IF(L2880="","",ROUND(L2880*'สรุป'!$C$6,-1))</f>
        <v/>
      </c>
      <c r="O2880" s="15" t="n"/>
      <c r="P2880" s="15" t="n"/>
      <c r="Q2880" s="10" t="n"/>
      <c r="R2880" s="10" t="n"/>
      <c r="S2880" s="16" t="inlineStr">
        <is>
          <t>https://mstgolf.co.th/products/gf2040116479</t>
        </is>
      </c>
      <c r="T2880" s="1">
        <f>IF(B2880="ไม้กอล์ฟ",J2880,"")</f>
        <v/>
      </c>
    </row>
    <row r="2881">
      <c r="A2881" s="1" t="n">
        <v>3</v>
      </c>
      <c r="B2881" s="1" t="inlineStr">
        <is>
          <t>เสื้อผ้า</t>
        </is>
      </c>
      <c r="C2881" s="1" t="inlineStr">
        <is>
          <t>gf2040117326</t>
        </is>
      </c>
      <c r="D2881" s="1" t="inlineStr">
        <is>
          <t>UNDER ARMOUR Iso-Chill Men's Polo (Matrix Green)</t>
        </is>
      </c>
      <c r="E2881" s="1" t="inlineStr">
        <is>
          <t>UNDER ARMOUR</t>
        </is>
      </c>
      <c r="F2881" s="1" t="inlineStr">
        <is>
          <t>SHORT SLEEVES</t>
        </is>
      </c>
      <c r="G2881" s="1" t="inlineStr">
        <is>
          <t>GF2040117326S</t>
        </is>
      </c>
      <c r="H2881" s="1" t="n">
        <v>5</v>
      </c>
      <c r="I2881" s="1" t="inlineStr">
        <is>
          <t>มี</t>
        </is>
      </c>
      <c r="J2881" s="13" t="n">
        <v>83</v>
      </c>
      <c r="K2881" s="1" t="inlineStr"/>
      <c r="L2881" s="13" t="n">
        <v>83</v>
      </c>
      <c r="M2881" s="1">
        <f>IF(L2881="","ไม่พบใน SG",IF(ABS(J2881-L2881)&lt;0.005,"ตรงกัน","ไม่ตรง"))</f>
        <v/>
      </c>
      <c r="N2881" s="14">
        <f>IF(L2881="","",ROUND(L2881*'สรุป'!$C$6,-1))</f>
        <v/>
      </c>
      <c r="O2881" s="15" t="n"/>
      <c r="P2881" s="15" t="n"/>
      <c r="Q2881" s="10" t="n"/>
      <c r="R2881" s="10" t="n"/>
      <c r="S2881" s="16" t="inlineStr">
        <is>
          <t>https://mstgolf.co.th/products/gf2040117326</t>
        </is>
      </c>
      <c r="T2881" s="1">
        <f>IF(B2881="ไม้กอล์ฟ",J2881,"")</f>
        <v/>
      </c>
    </row>
    <row r="2882">
      <c r="A2882" s="1" t="n">
        <v>3</v>
      </c>
      <c r="B2882" s="1" t="inlineStr">
        <is>
          <t>เสื้อผ้า</t>
        </is>
      </c>
      <c r="C2882" s="1" t="inlineStr">
        <is>
          <t>gf2040116484</t>
        </is>
      </c>
      <c r="D2882" s="1" t="inlineStr">
        <is>
          <t>UNDER ARMOUR Iso-Chill Verge Men's Polo (Blizzard)</t>
        </is>
      </c>
      <c r="E2882" s="1" t="inlineStr">
        <is>
          <t>UNDER ARMOUR</t>
        </is>
      </c>
      <c r="F2882" s="1" t="inlineStr">
        <is>
          <t>SHORT SLEEVES</t>
        </is>
      </c>
      <c r="G2882" s="1" t="inlineStr">
        <is>
          <t>GF2040116484S</t>
        </is>
      </c>
      <c r="H2882" s="1" t="n">
        <v>5</v>
      </c>
      <c r="I2882" s="1" t="inlineStr">
        <is>
          <t>มี</t>
        </is>
      </c>
      <c r="J2882" s="13" t="n">
        <v>83</v>
      </c>
      <c r="K2882" s="1" t="inlineStr"/>
      <c r="L2882" s="13" t="n">
        <v>83</v>
      </c>
      <c r="M2882" s="1">
        <f>IF(L2882="","ไม่พบใน SG",IF(ABS(J2882-L2882)&lt;0.005,"ตรงกัน","ไม่ตรง"))</f>
        <v/>
      </c>
      <c r="N2882" s="14">
        <f>IF(L2882="","",ROUND(L2882*'สรุป'!$C$6,-1))</f>
        <v/>
      </c>
      <c r="O2882" s="15" t="n"/>
      <c r="P2882" s="15" t="n"/>
      <c r="Q2882" s="10" t="n"/>
      <c r="R2882" s="10" t="n"/>
      <c r="S2882" s="16" t="inlineStr">
        <is>
          <t>https://mstgolf.co.th/products/gf2040116484</t>
        </is>
      </c>
      <c r="T2882" s="1">
        <f>IF(B2882="ไม้กอล์ฟ",J2882,"")</f>
        <v/>
      </c>
    </row>
    <row r="2883">
      <c r="A2883" s="1" t="n">
        <v>3</v>
      </c>
      <c r="B2883" s="1" t="inlineStr">
        <is>
          <t>เสื้อผ้า</t>
        </is>
      </c>
      <c r="C2883" s="1" t="inlineStr">
        <is>
          <t>gf2040115467</t>
        </is>
      </c>
      <c r="D2883" s="1" t="inlineStr">
        <is>
          <t>UNDER ARMOUR Iso-Chill Verge Men's Polo (Midnight Navy)</t>
        </is>
      </c>
      <c r="E2883" s="1" t="inlineStr">
        <is>
          <t>UNDER ARMOUR</t>
        </is>
      </c>
      <c r="F2883" s="1" t="inlineStr">
        <is>
          <t>SHORT SLEEVES</t>
        </is>
      </c>
      <c r="G2883" s="1" t="inlineStr">
        <is>
          <t>GF2040115467S</t>
        </is>
      </c>
      <c r="H2883" s="1" t="n">
        <v>5</v>
      </c>
      <c r="I2883" s="1" t="inlineStr">
        <is>
          <t>มี</t>
        </is>
      </c>
      <c r="J2883" s="13" t="n">
        <v>83</v>
      </c>
      <c r="K2883" s="1" t="inlineStr"/>
      <c r="L2883" s="13" t="n">
        <v>83</v>
      </c>
      <c r="M2883" s="1">
        <f>IF(L2883="","ไม่พบใน SG",IF(ABS(J2883-L2883)&lt;0.005,"ตรงกัน","ไม่ตรง"))</f>
        <v/>
      </c>
      <c r="N2883" s="14">
        <f>IF(L2883="","",ROUND(L2883*'สรุป'!$C$6,-1))</f>
        <v/>
      </c>
      <c r="O2883" s="15" t="n"/>
      <c r="P2883" s="15" t="n"/>
      <c r="Q2883" s="10" t="n"/>
      <c r="R2883" s="10" t="n"/>
      <c r="S2883" s="16" t="inlineStr">
        <is>
          <t>https://mstgolf.co.th/products/gf2040115467</t>
        </is>
      </c>
      <c r="T2883" s="1">
        <f>IF(B2883="ไม้กอล์ฟ",J2883,"")</f>
        <v/>
      </c>
    </row>
    <row r="2884">
      <c r="A2884" s="1" t="n">
        <v>3</v>
      </c>
      <c r="B2884" s="1" t="inlineStr">
        <is>
          <t>เสื้อผ้า</t>
        </is>
      </c>
      <c r="C2884" s="1" t="inlineStr">
        <is>
          <t>gf2040117332</t>
        </is>
      </c>
      <c r="D2884" s="1" t="inlineStr">
        <is>
          <t>UNDER ARMOUR Iso-Chill Verge Men's Polo (White/Green)</t>
        </is>
      </c>
      <c r="E2884" s="1" t="inlineStr">
        <is>
          <t>UNDER ARMOUR</t>
        </is>
      </c>
      <c r="F2884" s="1" t="inlineStr">
        <is>
          <t>SHORT SLEEVES</t>
        </is>
      </c>
      <c r="G2884" s="1" t="inlineStr">
        <is>
          <t>GF2040117332S</t>
        </is>
      </c>
      <c r="H2884" s="1" t="n">
        <v>5</v>
      </c>
      <c r="I2884" s="1" t="inlineStr">
        <is>
          <t>มี</t>
        </is>
      </c>
      <c r="J2884" s="13" t="n">
        <v>83</v>
      </c>
      <c r="K2884" s="1" t="inlineStr"/>
      <c r="L2884" s="13" t="n">
        <v>83</v>
      </c>
      <c r="M2884" s="1">
        <f>IF(L2884="","ไม่พบใน SG",IF(ABS(J2884-L2884)&lt;0.005,"ตรงกัน","ไม่ตรง"))</f>
        <v/>
      </c>
      <c r="N2884" s="14">
        <f>IF(L2884="","",ROUND(L2884*'สรุป'!$C$6,-1))</f>
        <v/>
      </c>
      <c r="O2884" s="15" t="n"/>
      <c r="P2884" s="15" t="n"/>
      <c r="Q2884" s="10" t="n"/>
      <c r="R2884" s="10" t="n"/>
      <c r="S2884" s="16" t="inlineStr">
        <is>
          <t>https://mstgolf.co.th/products/gf2040117332</t>
        </is>
      </c>
      <c r="T2884" s="1">
        <f>IF(B2884="ไม้กอล์ฟ",J2884,"")</f>
        <v/>
      </c>
    </row>
    <row r="2885">
      <c r="A2885" s="1" t="n">
        <v>3</v>
      </c>
      <c r="B2885" s="1" t="inlineStr">
        <is>
          <t>เสื้อผ้า</t>
        </is>
      </c>
      <c r="C2885" s="1" t="inlineStr">
        <is>
          <t>gf2040117338</t>
        </is>
      </c>
      <c r="D2885" s="1" t="inlineStr">
        <is>
          <t>UNDER ARMOUR Tour Tips Jacquard Men's Polo (Black)</t>
        </is>
      </c>
      <c r="E2885" s="1" t="inlineStr">
        <is>
          <t>UNDER ARMOUR</t>
        </is>
      </c>
      <c r="F2885" s="1" t="inlineStr">
        <is>
          <t>SHORT SLEEVES</t>
        </is>
      </c>
      <c r="G2885" s="1" t="inlineStr">
        <is>
          <t>GF2040117338S</t>
        </is>
      </c>
      <c r="H2885" s="1" t="n">
        <v>5</v>
      </c>
      <c r="I2885" s="1" t="inlineStr">
        <is>
          <t>มี</t>
        </is>
      </c>
      <c r="J2885" s="13" t="n">
        <v>83</v>
      </c>
      <c r="K2885" s="1" t="inlineStr"/>
      <c r="L2885" s="13" t="n">
        <v>83</v>
      </c>
      <c r="M2885" s="1">
        <f>IF(L2885="","ไม่พบใน SG",IF(ABS(J2885-L2885)&lt;0.005,"ตรงกัน","ไม่ตรง"))</f>
        <v/>
      </c>
      <c r="N2885" s="14">
        <f>IF(L2885="","",ROUND(L2885*'สรุป'!$C$6,-1))</f>
        <v/>
      </c>
      <c r="O2885" s="15" t="n"/>
      <c r="P2885" s="15" t="n"/>
      <c r="Q2885" s="10" t="n"/>
      <c r="R2885" s="10" t="n"/>
      <c r="S2885" s="16" t="inlineStr">
        <is>
          <t>https://mstgolf.co.th/products/gf2040117338</t>
        </is>
      </c>
      <c r="T2885" s="1">
        <f>IF(B2885="ไม้กอล์ฟ",J2885,"")</f>
        <v/>
      </c>
    </row>
    <row r="2886">
      <c r="A2886" s="1" t="n">
        <v>3</v>
      </c>
      <c r="B2886" s="1" t="inlineStr">
        <is>
          <t>เสื้อผ้า</t>
        </is>
      </c>
      <c r="C2886" s="1" t="inlineStr">
        <is>
          <t>gf2040117339</t>
        </is>
      </c>
      <c r="D2886" s="1" t="inlineStr">
        <is>
          <t>UNDER ARMOUR Tour Tips Jacquard Men's Polo (Midnight Navy)</t>
        </is>
      </c>
      <c r="E2886" s="1" t="inlineStr">
        <is>
          <t>UNDER ARMOUR</t>
        </is>
      </c>
      <c r="F2886" s="1" t="inlineStr">
        <is>
          <t>SHORT SLEEVES</t>
        </is>
      </c>
      <c r="G2886" s="1" t="inlineStr">
        <is>
          <t>GF2040117339S</t>
        </is>
      </c>
      <c r="H2886" s="1" t="n">
        <v>6</v>
      </c>
      <c r="I2886" s="1" t="inlineStr">
        <is>
          <t>มี</t>
        </is>
      </c>
      <c r="J2886" s="13" t="n">
        <v>83</v>
      </c>
      <c r="K2886" s="1" t="inlineStr"/>
      <c r="L2886" s="13" t="n">
        <v>83</v>
      </c>
      <c r="M2886" s="1">
        <f>IF(L2886="","ไม่พบใน SG",IF(ABS(J2886-L2886)&lt;0.005,"ตรงกัน","ไม่ตรง"))</f>
        <v/>
      </c>
      <c r="N2886" s="14">
        <f>IF(L2886="","",ROUND(L2886*'สรุป'!$C$6,-1))</f>
        <v/>
      </c>
      <c r="O2886" s="15" t="n"/>
      <c r="P2886" s="15" t="n"/>
      <c r="Q2886" s="10" t="n"/>
      <c r="R2886" s="10" t="n"/>
      <c r="S2886" s="16" t="inlineStr">
        <is>
          <t>https://mstgolf.co.th/products/gf2040117339</t>
        </is>
      </c>
      <c r="T2886" s="1">
        <f>IF(B2886="ไม้กอล์ฟ",J2886,"")</f>
        <v/>
      </c>
    </row>
    <row r="2887">
      <c r="A2887" s="1" t="n">
        <v>3</v>
      </c>
      <c r="B2887" s="1" t="inlineStr">
        <is>
          <t>อุปกรณ์เสริม</t>
        </is>
      </c>
      <c r="C2887" s="1" t="inlineStr">
        <is>
          <t>gf3500300940</t>
        </is>
      </c>
      <c r="D2887" s="1" t="inlineStr">
        <is>
          <t>HYDRO FLASK Wide Mouth 32oz (Black)</t>
        </is>
      </c>
      <c r="E2887" s="1" t="inlineStr">
        <is>
          <t>HYDRO FLASK</t>
        </is>
      </c>
      <c r="F2887" s="1" t="inlineStr">
        <is>
          <t>GOLF ACCESSORIES</t>
        </is>
      </c>
      <c r="G2887" s="1" t="inlineStr">
        <is>
          <t>GF3500300940</t>
        </is>
      </c>
      <c r="H2887" s="1" t="n">
        <v>1</v>
      </c>
      <c r="I2887" s="1" t="inlineStr">
        <is>
          <t>มี</t>
        </is>
      </c>
      <c r="J2887" s="13" t="n">
        <v>79.90000000000001</v>
      </c>
      <c r="K2887" s="1" t="inlineStr"/>
      <c r="L2887" s="13" t="n">
        <v>79.90000000000001</v>
      </c>
      <c r="M2887" s="1">
        <f>IF(L2887="","ไม่พบใน SG",IF(ABS(J2887-L2887)&lt;0.005,"ตรงกัน","ไม่ตรง"))</f>
        <v/>
      </c>
      <c r="N2887" s="14">
        <f>IF(L2887="","",ROUND(L2887*'สรุป'!$C$6,-1))</f>
        <v/>
      </c>
      <c r="O2887" s="15" t="n"/>
      <c r="P2887" s="15" t="n"/>
      <c r="Q2887" s="10" t="n"/>
      <c r="R2887" s="10" t="n"/>
      <c r="S2887" s="16" t="inlineStr">
        <is>
          <t>https://mstgolf.co.th/products/gf3500300940</t>
        </is>
      </c>
      <c r="T2887" s="1">
        <f>IF(B2887="ไม้กอล์ฟ",J2887,"")</f>
        <v/>
      </c>
    </row>
    <row r="2888">
      <c r="A2888" s="1" t="n">
        <v>3</v>
      </c>
      <c r="B2888" s="1" t="inlineStr">
        <is>
          <t>อุปกรณ์เสริม</t>
        </is>
      </c>
      <c r="C2888" s="1" t="inlineStr">
        <is>
          <t>gf3500300942</t>
        </is>
      </c>
      <c r="D2888" s="1" t="inlineStr">
        <is>
          <t>HYDRO FLASK Wide Mouth 32oz (Indigo)</t>
        </is>
      </c>
      <c r="E2888" s="1" t="inlineStr">
        <is>
          <t>HYDRO FLASK</t>
        </is>
      </c>
      <c r="F2888" s="1" t="inlineStr">
        <is>
          <t>GOLF ACCESSORIES</t>
        </is>
      </c>
      <c r="G2888" s="1" t="inlineStr">
        <is>
          <t>GF3500300942</t>
        </is>
      </c>
      <c r="H2888" s="1" t="n">
        <v>1</v>
      </c>
      <c r="I2888" s="1" t="inlineStr">
        <is>
          <t>มี</t>
        </is>
      </c>
      <c r="J2888" s="13" t="n">
        <v>79.90000000000001</v>
      </c>
      <c r="K2888" s="1" t="inlineStr"/>
      <c r="L2888" s="13" t="n">
        <v>79.90000000000001</v>
      </c>
      <c r="M2888" s="1">
        <f>IF(L2888="","ไม่พบใน SG",IF(ABS(J2888-L2888)&lt;0.005,"ตรงกัน","ไม่ตรง"))</f>
        <v/>
      </c>
      <c r="N2888" s="14">
        <f>IF(L2888="","",ROUND(L2888*'สรุป'!$C$6,-1))</f>
        <v/>
      </c>
      <c r="O2888" s="15" t="n"/>
      <c r="P2888" s="15" t="n"/>
      <c r="Q2888" s="10" t="n"/>
      <c r="R2888" s="10" t="n"/>
      <c r="S2888" s="16" t="inlineStr">
        <is>
          <t>https://mstgolf.co.th/products/gf3500300942</t>
        </is>
      </c>
      <c r="T2888" s="1">
        <f>IF(B2888="ไม้กอล์ฟ",J2888,"")</f>
        <v/>
      </c>
    </row>
    <row r="2889">
      <c r="A2889" s="1" t="n">
        <v>3</v>
      </c>
      <c r="B2889" s="1" t="inlineStr">
        <is>
          <t>อุปกรณ์เสริม</t>
        </is>
      </c>
      <c r="C2889" s="1" t="inlineStr">
        <is>
          <t>gf3500300941</t>
        </is>
      </c>
      <c r="D2889" s="1" t="inlineStr">
        <is>
          <t>HYDRO FLASK Wide Mouth 32oz (White)</t>
        </is>
      </c>
      <c r="E2889" s="1" t="inlineStr">
        <is>
          <t>HYDRO FLASK</t>
        </is>
      </c>
      <c r="F2889" s="1" t="inlineStr">
        <is>
          <t>GOLF ACCESSORIES</t>
        </is>
      </c>
      <c r="G2889" s="1" t="inlineStr">
        <is>
          <t>GF3500300941</t>
        </is>
      </c>
      <c r="H2889" s="1" t="n">
        <v>1</v>
      </c>
      <c r="I2889" s="1" t="inlineStr">
        <is>
          <t>มี</t>
        </is>
      </c>
      <c r="J2889" s="13" t="n">
        <v>79.90000000000001</v>
      </c>
      <c r="K2889" s="1" t="inlineStr"/>
      <c r="L2889" s="13" t="n">
        <v>79.90000000000001</v>
      </c>
      <c r="M2889" s="1">
        <f>IF(L2889="","ไม่พบใน SG",IF(ABS(J2889-L2889)&lt;0.005,"ตรงกัน","ไม่ตรง"))</f>
        <v/>
      </c>
      <c r="N2889" s="14">
        <f>IF(L2889="","",ROUND(L2889*'สรุป'!$C$6,-1))</f>
        <v/>
      </c>
      <c r="O2889" s="15" t="n"/>
      <c r="P2889" s="15" t="n"/>
      <c r="Q2889" s="10" t="n"/>
      <c r="R2889" s="10" t="n"/>
      <c r="S2889" s="16" t="inlineStr">
        <is>
          <t>https://mstgolf.co.th/products/gf3500300941</t>
        </is>
      </c>
      <c r="T2889" s="1">
        <f>IF(B2889="ไม้กอล์ฟ",J2889,"")</f>
        <v/>
      </c>
    </row>
    <row r="2890">
      <c r="A2890" s="1" t="n">
        <v>3</v>
      </c>
      <c r="B2890" s="1" t="inlineStr">
        <is>
          <t>เสื้อผ้า</t>
        </is>
      </c>
      <c r="C2890" s="1" t="inlineStr">
        <is>
          <t>gf2020102497</t>
        </is>
      </c>
      <c r="D2890" s="1" t="inlineStr">
        <is>
          <t>ADIDAS 3-Stripes Men's Ankle-Length Pants (White)</t>
        </is>
      </c>
      <c r="E2890" s="1" t="inlineStr">
        <is>
          <t>ADIDAS</t>
        </is>
      </c>
      <c r="F2890" s="1" t="inlineStr">
        <is>
          <t>LONG PANTS</t>
        </is>
      </c>
      <c r="G2890" s="1" t="inlineStr">
        <is>
          <t>GF202010249773</t>
        </is>
      </c>
      <c r="H2890" s="1" t="n">
        <v>9</v>
      </c>
      <c r="I2890" s="1" t="inlineStr">
        <is>
          <t>มี</t>
        </is>
      </c>
      <c r="J2890" s="13" t="n">
        <v>79</v>
      </c>
      <c r="K2890" s="1" t="inlineStr"/>
      <c r="L2890" s="13" t="n">
        <v>79</v>
      </c>
      <c r="M2890" s="1">
        <f>IF(L2890="","ไม่พบใน SG",IF(ABS(J2890-L2890)&lt;0.005,"ตรงกัน","ไม่ตรง"))</f>
        <v/>
      </c>
      <c r="N2890" s="14">
        <f>IF(L2890="","",ROUND(L2890*'สรุป'!$C$6,-1))</f>
        <v/>
      </c>
      <c r="O2890" s="15" t="n"/>
      <c r="P2890" s="15" t="n"/>
      <c r="Q2890" s="10" t="n"/>
      <c r="R2890" s="10" t="n"/>
      <c r="S2890" s="16" t="inlineStr">
        <is>
          <t>https://mstgolf.co.th/products/gf2020102497</t>
        </is>
      </c>
      <c r="T2890" s="1">
        <f>IF(B2890="ไม้กอล์ฟ",J2890,"")</f>
        <v/>
      </c>
    </row>
    <row r="2891">
      <c r="A2891" s="1" t="n">
        <v>3</v>
      </c>
      <c r="B2891" s="1" t="inlineStr">
        <is>
          <t>เสื้อผ้า</t>
        </is>
      </c>
      <c r="C2891" s="1" t="inlineStr">
        <is>
          <t>gf2040119469</t>
        </is>
      </c>
      <c r="D2891" s="1" t="inlineStr">
        <is>
          <t>ADIDAS Beyond Twistknit Women's Sleeveless Polo (Coral)</t>
        </is>
      </c>
      <c r="E2891" s="1" t="inlineStr">
        <is>
          <t>ADIDAS</t>
        </is>
      </c>
      <c r="F2891" s="1" t="inlineStr">
        <is>
          <t>SHORT SLEEVES</t>
        </is>
      </c>
      <c r="G2891" s="1" t="inlineStr">
        <is>
          <t>GF20401194692XS</t>
        </is>
      </c>
      <c r="H2891" s="1" t="n">
        <v>7</v>
      </c>
      <c r="I2891" s="1" t="inlineStr">
        <is>
          <t>มี</t>
        </is>
      </c>
      <c r="J2891" s="13" t="n">
        <v>79</v>
      </c>
      <c r="K2891" s="1" t="inlineStr"/>
      <c r="L2891" s="13" t="n">
        <v>39</v>
      </c>
      <c r="M2891" s="1">
        <f>IF(L2891="","ไม่พบใน SG",IF(ABS(J2891-L2891)&lt;0.005,"ตรงกัน","ไม่ตรง"))</f>
        <v/>
      </c>
      <c r="N2891" s="14">
        <f>IF(L2891="","",ROUND(L2891*'สรุป'!$C$6,-1))</f>
        <v/>
      </c>
      <c r="O2891" s="15" t="n"/>
      <c r="P2891" s="15" t="n"/>
      <c r="Q2891" s="10" t="n"/>
      <c r="R2891" s="10" t="n"/>
      <c r="S2891" s="16" t="inlineStr">
        <is>
          <t>https://mstgolf.co.th/products/gf2040119469</t>
        </is>
      </c>
      <c r="T2891" s="1">
        <f>IF(B2891="ไม้กอล์ฟ",J2891,"")</f>
        <v/>
      </c>
    </row>
    <row r="2892">
      <c r="A2892" s="1" t="n">
        <v>3</v>
      </c>
      <c r="B2892" s="1" t="inlineStr">
        <is>
          <t>เสื้อผ้า</t>
        </is>
      </c>
      <c r="C2892" s="1" t="inlineStr">
        <is>
          <t>gf2040119468</t>
        </is>
      </c>
      <c r="D2892" s="1" t="inlineStr">
        <is>
          <t>ADIDAS Beyond Twistknit Women's Sleeveless Polo (Navy)</t>
        </is>
      </c>
      <c r="E2892" s="1" t="inlineStr">
        <is>
          <t>ADIDAS</t>
        </is>
      </c>
      <c r="F2892" s="1" t="inlineStr">
        <is>
          <t>SHORT SLEEVES</t>
        </is>
      </c>
      <c r="G2892" s="1" t="inlineStr">
        <is>
          <t>GF20401194682XS</t>
        </is>
      </c>
      <c r="H2892" s="1" t="n">
        <v>7</v>
      </c>
      <c r="I2892" s="1" t="inlineStr">
        <is>
          <t>มี</t>
        </is>
      </c>
      <c r="J2892" s="13" t="n">
        <v>79</v>
      </c>
      <c r="K2892" s="1" t="inlineStr"/>
      <c r="L2892" s="13" t="n">
        <v>39</v>
      </c>
      <c r="M2892" s="1">
        <f>IF(L2892="","ไม่พบใน SG",IF(ABS(J2892-L2892)&lt;0.005,"ตรงกัน","ไม่ตรง"))</f>
        <v/>
      </c>
      <c r="N2892" s="14">
        <f>IF(L2892="","",ROUND(L2892*'สรุป'!$C$6,-1))</f>
        <v/>
      </c>
      <c r="O2892" s="15" t="n"/>
      <c r="P2892" s="15" t="n"/>
      <c r="Q2892" s="10" t="n"/>
      <c r="R2892" s="10" t="n"/>
      <c r="S2892" s="16" t="inlineStr">
        <is>
          <t>https://mstgolf.co.th/products/gf2040119468</t>
        </is>
      </c>
      <c r="T2892" s="1">
        <f>IF(B2892="ไม้กอล์ฟ",J2892,"")</f>
        <v/>
      </c>
    </row>
    <row r="2893">
      <c r="A2893" s="1" t="n">
        <v>3</v>
      </c>
      <c r="B2893" s="1" t="inlineStr">
        <is>
          <t>เสื้อผ้า</t>
        </is>
      </c>
      <c r="C2893" s="1" t="inlineStr">
        <is>
          <t>gf2040120533</t>
        </is>
      </c>
      <c r="D2893" s="1" t="inlineStr">
        <is>
          <t>ADIDAS Beyond Twistknit Women's Sleeveless Polo (White)</t>
        </is>
      </c>
      <c r="E2893" s="1" t="inlineStr">
        <is>
          <t>ADIDAS</t>
        </is>
      </c>
      <c r="F2893" s="1" t="inlineStr">
        <is>
          <t>SHORT SLEEVES</t>
        </is>
      </c>
      <c r="G2893" s="1" t="inlineStr">
        <is>
          <t>GF20401205332XS</t>
        </is>
      </c>
      <c r="H2893" s="1" t="n">
        <v>7</v>
      </c>
      <c r="I2893" s="1" t="inlineStr">
        <is>
          <t>มี</t>
        </is>
      </c>
      <c r="J2893" s="13" t="n">
        <v>79</v>
      </c>
      <c r="K2893" s="1" t="inlineStr"/>
      <c r="L2893" s="13" t="n">
        <v>39</v>
      </c>
      <c r="M2893" s="1">
        <f>IF(L2893="","ไม่พบใน SG",IF(ABS(J2893-L2893)&lt;0.005,"ตรงกัน","ไม่ตรง"))</f>
        <v/>
      </c>
      <c r="N2893" s="14">
        <f>IF(L2893="","",ROUND(L2893*'สรุป'!$C$6,-1))</f>
        <v/>
      </c>
      <c r="O2893" s="15" t="n"/>
      <c r="P2893" s="15" t="n"/>
      <c r="Q2893" s="10" t="n"/>
      <c r="R2893" s="10" t="n"/>
      <c r="S2893" s="16" t="inlineStr">
        <is>
          <t>https://mstgolf.co.th/products/gf2040120533</t>
        </is>
      </c>
      <c r="T2893" s="1">
        <f>IF(B2893="ไม้กอล์ฟ",J2893,"")</f>
        <v/>
      </c>
    </row>
    <row r="2894">
      <c r="A2894" s="1" t="n">
        <v>3</v>
      </c>
      <c r="B2894" s="1" t="inlineStr">
        <is>
          <t>เสื้อผ้า</t>
        </is>
      </c>
      <c r="C2894" s="1" t="inlineStr">
        <is>
          <t>gf2040120472</t>
        </is>
      </c>
      <c r="D2894" s="1" t="inlineStr">
        <is>
          <t>ADIDAS Core Allover Print Men's Polo (Pink)</t>
        </is>
      </c>
      <c r="E2894" s="1" t="inlineStr">
        <is>
          <t>ADIDAS</t>
        </is>
      </c>
      <c r="F2894" s="1" t="inlineStr">
        <is>
          <t>SHORT SLEEVES</t>
        </is>
      </c>
      <c r="G2894" s="1" t="inlineStr">
        <is>
          <t>GF20401204722XS</t>
        </is>
      </c>
      <c r="H2894" s="1" t="n">
        <v>7</v>
      </c>
      <c r="I2894" s="1" t="inlineStr">
        <is>
          <t>มี</t>
        </is>
      </c>
      <c r="J2894" s="13" t="n">
        <v>79</v>
      </c>
      <c r="K2894" s="1" t="inlineStr"/>
      <c r="L2894" s="13" t="n">
        <v>55</v>
      </c>
      <c r="M2894" s="1">
        <f>IF(L2894="","ไม่พบใน SG",IF(ABS(J2894-L2894)&lt;0.005,"ตรงกัน","ไม่ตรง"))</f>
        <v/>
      </c>
      <c r="N2894" s="14">
        <f>IF(L2894="","",ROUND(L2894*'สรุป'!$C$6,-1))</f>
        <v/>
      </c>
      <c r="O2894" s="15" t="n"/>
      <c r="P2894" s="15" t="n"/>
      <c r="Q2894" s="10" t="n"/>
      <c r="R2894" s="10" t="n"/>
      <c r="S2894" s="16" t="inlineStr">
        <is>
          <t>https://mstgolf.co.th/products/gf2040120472</t>
        </is>
      </c>
      <c r="T2894" s="1">
        <f>IF(B2894="ไม้กอล์ฟ",J2894,"")</f>
        <v/>
      </c>
    </row>
    <row r="2895">
      <c r="A2895" s="1" t="n">
        <v>3</v>
      </c>
      <c r="B2895" s="1" t="inlineStr">
        <is>
          <t>อุปกรณ์เสริม</t>
        </is>
      </c>
      <c r="C2895" s="1" t="inlineStr">
        <is>
          <t>gf2100200708</t>
        </is>
      </c>
      <c r="D2895" s="1" t="inlineStr">
        <is>
          <t>ADIDAS Originals Premium Golf Towel (Green)</t>
        </is>
      </c>
      <c r="E2895" s="1" t="inlineStr">
        <is>
          <t>ADIDAS</t>
        </is>
      </c>
      <c r="F2895" s="1" t="inlineStr">
        <is>
          <t>HAND/CLUB TOWEL</t>
        </is>
      </c>
      <c r="G2895" s="1" t="inlineStr">
        <is>
          <t>GF2100200708</t>
        </is>
      </c>
      <c r="H2895" s="1" t="n">
        <v>1</v>
      </c>
      <c r="I2895" s="1" t="inlineStr">
        <is>
          <t>มี</t>
        </is>
      </c>
      <c r="J2895" s="13" t="n">
        <v>79</v>
      </c>
      <c r="K2895" s="1" t="inlineStr"/>
      <c r="L2895" s="13" t="n">
        <v>59</v>
      </c>
      <c r="M2895" s="1">
        <f>IF(L2895="","ไม่พบใน SG",IF(ABS(J2895-L2895)&lt;0.005,"ตรงกัน","ไม่ตรง"))</f>
        <v/>
      </c>
      <c r="N2895" s="14">
        <f>IF(L2895="","",ROUND(L2895*'สรุป'!$C$6,-1))</f>
        <v/>
      </c>
      <c r="O2895" s="15" t="n"/>
      <c r="P2895" s="15" t="n"/>
      <c r="Q2895" s="10" t="n"/>
      <c r="R2895" s="10" t="n"/>
      <c r="S2895" s="16" t="inlineStr">
        <is>
          <t>https://mstgolf.co.th/products/gf2100200708</t>
        </is>
      </c>
      <c r="T2895" s="1">
        <f>IF(B2895="ไม้กอล์ฟ",J2895,"")</f>
        <v/>
      </c>
    </row>
    <row r="2896">
      <c r="A2896" s="1" t="n">
        <v>3</v>
      </c>
      <c r="B2896" s="1" t="inlineStr">
        <is>
          <t>เสื้อผ้า</t>
        </is>
      </c>
      <c r="C2896" s="1" t="inlineStr">
        <is>
          <t>gf2040120554</t>
        </is>
      </c>
      <c r="D2896" s="1" t="inlineStr">
        <is>
          <t>ADIDAS Ultimate365 Jacquard Women's Polo (Aqua)</t>
        </is>
      </c>
      <c r="E2896" s="1" t="inlineStr">
        <is>
          <t>ADIDAS</t>
        </is>
      </c>
      <c r="F2896" s="1" t="inlineStr">
        <is>
          <t>SHORT SLEEVES</t>
        </is>
      </c>
      <c r="G2896" s="1" t="inlineStr">
        <is>
          <t>GF2040120554XS</t>
        </is>
      </c>
      <c r="H2896" s="1" t="n">
        <v>6</v>
      </c>
      <c r="I2896" s="1" t="inlineStr">
        <is>
          <t>มี</t>
        </is>
      </c>
      <c r="J2896" s="13" t="n">
        <v>79</v>
      </c>
      <c r="K2896" s="1" t="inlineStr"/>
      <c r="L2896" s="13" t="n">
        <v>39</v>
      </c>
      <c r="M2896" s="1">
        <f>IF(L2896="","ไม่พบใน SG",IF(ABS(J2896-L2896)&lt;0.005,"ตรงกัน","ไม่ตรง"))</f>
        <v/>
      </c>
      <c r="N2896" s="14">
        <f>IF(L2896="","",ROUND(L2896*'สรุป'!$C$6,-1))</f>
        <v/>
      </c>
      <c r="O2896" s="15" t="n"/>
      <c r="P2896" s="15" t="n"/>
      <c r="Q2896" s="10" t="n"/>
      <c r="R2896" s="10" t="n"/>
      <c r="S2896" s="16" t="inlineStr">
        <is>
          <t>https://mstgolf.co.th/products/gf2040120554</t>
        </is>
      </c>
      <c r="T2896" s="1">
        <f>IF(B2896="ไม้กอล์ฟ",J2896,"")</f>
        <v/>
      </c>
    </row>
    <row r="2897">
      <c r="A2897" s="1" t="n">
        <v>3</v>
      </c>
      <c r="B2897" s="1" t="inlineStr">
        <is>
          <t>เสื้อผ้า</t>
        </is>
      </c>
      <c r="C2897" s="1" t="inlineStr">
        <is>
          <t>gf2040120553</t>
        </is>
      </c>
      <c r="D2897" s="1" t="inlineStr">
        <is>
          <t>ADIDAS Ultimate365 Jacquard Women's Polo (Pink)</t>
        </is>
      </c>
      <c r="E2897" s="1" t="inlineStr">
        <is>
          <t>ADIDAS</t>
        </is>
      </c>
      <c r="F2897" s="1" t="inlineStr">
        <is>
          <t>SHORT SLEEVES</t>
        </is>
      </c>
      <c r="G2897" s="1" t="inlineStr">
        <is>
          <t>GF2040120553XS</t>
        </is>
      </c>
      <c r="H2897" s="1" t="n">
        <v>6</v>
      </c>
      <c r="I2897" s="1" t="inlineStr">
        <is>
          <t>มี</t>
        </is>
      </c>
      <c r="J2897" s="13" t="n">
        <v>79</v>
      </c>
      <c r="K2897" s="1" t="inlineStr"/>
      <c r="L2897" s="13" t="n">
        <v>39</v>
      </c>
      <c r="M2897" s="1">
        <f>IF(L2897="","ไม่พบใน SG",IF(ABS(J2897-L2897)&lt;0.005,"ตรงกัน","ไม่ตรง"))</f>
        <v/>
      </c>
      <c r="N2897" s="14">
        <f>IF(L2897="","",ROUND(L2897*'สรุป'!$C$6,-1))</f>
        <v/>
      </c>
      <c r="O2897" s="15" t="n"/>
      <c r="P2897" s="15" t="n"/>
      <c r="Q2897" s="10" t="n"/>
      <c r="R2897" s="10" t="n"/>
      <c r="S2897" s="16" t="inlineStr">
        <is>
          <t>https://mstgolf.co.th/products/gf2040120553</t>
        </is>
      </c>
      <c r="T2897" s="1">
        <f>IF(B2897="ไม้กอล์ฟ",J2897,"")</f>
        <v/>
      </c>
    </row>
    <row r="2898">
      <c r="A2898" s="1" t="n">
        <v>3</v>
      </c>
      <c r="B2898" s="1" t="inlineStr">
        <is>
          <t>เสื้อผ้า</t>
        </is>
      </c>
      <c r="C2898" s="1" t="inlineStr">
        <is>
          <t>gf2040120558</t>
        </is>
      </c>
      <c r="D2898" s="1" t="inlineStr">
        <is>
          <t>ADIDAS Ultimate365 Women's Polo (Black)</t>
        </is>
      </c>
      <c r="E2898" s="1" t="inlineStr">
        <is>
          <t>ADIDAS</t>
        </is>
      </c>
      <c r="F2898" s="1" t="inlineStr">
        <is>
          <t>SHORT SLEEVES</t>
        </is>
      </c>
      <c r="G2898" s="1" t="inlineStr">
        <is>
          <t>GF2040120558XS</t>
        </is>
      </c>
      <c r="H2898" s="1" t="n">
        <v>6</v>
      </c>
      <c r="I2898" s="1" t="inlineStr">
        <is>
          <t>มี</t>
        </is>
      </c>
      <c r="J2898" s="13" t="n">
        <v>79</v>
      </c>
      <c r="K2898" s="1" t="inlineStr"/>
      <c r="L2898" s="13" t="n">
        <v>55</v>
      </c>
      <c r="M2898" s="1">
        <f>IF(L2898="","ไม่พบใน SG",IF(ABS(J2898-L2898)&lt;0.005,"ตรงกัน","ไม่ตรง"))</f>
        <v/>
      </c>
      <c r="N2898" s="14">
        <f>IF(L2898="","",ROUND(L2898*'สรุป'!$C$6,-1))</f>
        <v/>
      </c>
      <c r="O2898" s="15" t="n"/>
      <c r="P2898" s="15" t="n"/>
      <c r="Q2898" s="10" t="n"/>
      <c r="R2898" s="10" t="n"/>
      <c r="S2898" s="16" t="inlineStr">
        <is>
          <t>https://mstgolf.co.th/products/gf2040120558</t>
        </is>
      </c>
      <c r="T2898" s="1">
        <f>IF(B2898="ไม้กอล์ฟ",J2898,"")</f>
        <v/>
      </c>
    </row>
    <row r="2899">
      <c r="A2899" s="1" t="n">
        <v>3</v>
      </c>
      <c r="B2899" s="1" t="inlineStr">
        <is>
          <t>เสื้อผ้า</t>
        </is>
      </c>
      <c r="C2899" s="1" t="inlineStr">
        <is>
          <t>gf2040120560</t>
        </is>
      </c>
      <c r="D2899" s="1" t="inlineStr">
        <is>
          <t>ADIDAS Ultimate365 Women's Polo (Mint)</t>
        </is>
      </c>
      <c r="E2899" s="1" t="inlineStr">
        <is>
          <t>ADIDAS</t>
        </is>
      </c>
      <c r="F2899" s="1" t="inlineStr">
        <is>
          <t>SHORT SLEEVES</t>
        </is>
      </c>
      <c r="G2899" s="1" t="inlineStr">
        <is>
          <t>GF20401205602XS</t>
        </is>
      </c>
      <c r="H2899" s="1" t="n">
        <v>7</v>
      </c>
      <c r="I2899" s="1" t="inlineStr">
        <is>
          <t>มี</t>
        </is>
      </c>
      <c r="J2899" s="13" t="n">
        <v>79</v>
      </c>
      <c r="K2899" s="1" t="inlineStr"/>
      <c r="L2899" s="13" t="n">
        <v>55</v>
      </c>
      <c r="M2899" s="1">
        <f>IF(L2899="","ไม่พบใน SG",IF(ABS(J2899-L2899)&lt;0.005,"ตรงกัน","ไม่ตรง"))</f>
        <v/>
      </c>
      <c r="N2899" s="14">
        <f>IF(L2899="","",ROUND(L2899*'สรุป'!$C$6,-1))</f>
        <v/>
      </c>
      <c r="O2899" s="15" t="n"/>
      <c r="P2899" s="15" t="n"/>
      <c r="Q2899" s="10" t="n"/>
      <c r="R2899" s="10" t="n"/>
      <c r="S2899" s="16" t="inlineStr">
        <is>
          <t>https://mstgolf.co.th/products/gf2040120560</t>
        </is>
      </c>
      <c r="T2899" s="1">
        <f>IF(B2899="ไม้กอล์ฟ",J2899,"")</f>
        <v/>
      </c>
    </row>
    <row r="2900">
      <c r="A2900" s="1" t="n">
        <v>3</v>
      </c>
      <c r="B2900" s="1" t="inlineStr">
        <is>
          <t>เสื้อผ้า</t>
        </is>
      </c>
      <c r="C2900" s="1" t="inlineStr">
        <is>
          <t>gf2040120559</t>
        </is>
      </c>
      <c r="D2900" s="1" t="inlineStr">
        <is>
          <t>ADIDAS Ultimate365 Women's Polo (White)</t>
        </is>
      </c>
      <c r="E2900" s="1" t="inlineStr">
        <is>
          <t>ADIDAS</t>
        </is>
      </c>
      <c r="F2900" s="1" t="inlineStr">
        <is>
          <t>SHORT SLEEVES</t>
        </is>
      </c>
      <c r="G2900" s="1" t="inlineStr">
        <is>
          <t>GF20401205592XS</t>
        </is>
      </c>
      <c r="H2900" s="1" t="n">
        <v>7</v>
      </c>
      <c r="I2900" s="1" t="inlineStr">
        <is>
          <t>มี</t>
        </is>
      </c>
      <c r="J2900" s="13" t="n">
        <v>79</v>
      </c>
      <c r="K2900" s="1" t="inlineStr"/>
      <c r="L2900" s="13" t="n">
        <v>55</v>
      </c>
      <c r="M2900" s="1">
        <f>IF(L2900="","ไม่พบใน SG",IF(ABS(J2900-L2900)&lt;0.005,"ตรงกัน","ไม่ตรง"))</f>
        <v/>
      </c>
      <c r="N2900" s="14">
        <f>IF(L2900="","",ROUND(L2900*'สรุป'!$C$6,-1))</f>
        <v/>
      </c>
      <c r="O2900" s="15" t="n"/>
      <c r="P2900" s="15" t="n"/>
      <c r="Q2900" s="10" t="n"/>
      <c r="R2900" s="10" t="n"/>
      <c r="S2900" s="16" t="inlineStr">
        <is>
          <t>https://mstgolf.co.th/products/gf2040120559</t>
        </is>
      </c>
      <c r="T2900" s="1">
        <f>IF(B2900="ไม้กอล์ฟ",J2900,"")</f>
        <v/>
      </c>
    </row>
    <row r="2901">
      <c r="A2901" s="1" t="n">
        <v>3</v>
      </c>
      <c r="B2901" s="1" t="inlineStr">
        <is>
          <t>เสื้อผ้า</t>
        </is>
      </c>
      <c r="C2901" s="1" t="inlineStr">
        <is>
          <t>gf2040119343</t>
        </is>
      </c>
      <c r="D2901" s="1" t="inlineStr">
        <is>
          <t>CALVIN KLEIN Club Men's Polo (Turtledove)</t>
        </is>
      </c>
      <c r="E2901" s="1" t="inlineStr">
        <is>
          <t>CALVIN KLEIN</t>
        </is>
      </c>
      <c r="F2901" s="1" t="inlineStr">
        <is>
          <t>SHORT SLEEVES</t>
        </is>
      </c>
      <c r="G2901" s="1" t="inlineStr">
        <is>
          <t>GF2040119343S</t>
        </is>
      </c>
      <c r="H2901" s="1" t="n">
        <v>4</v>
      </c>
      <c r="I2901" s="1" t="inlineStr">
        <is>
          <t>มี</t>
        </is>
      </c>
      <c r="J2901" s="13" t="n">
        <v>79</v>
      </c>
      <c r="K2901" s="1" t="inlineStr"/>
      <c r="L2901" s="13" t="n">
        <v>79</v>
      </c>
      <c r="M2901" s="1">
        <f>IF(L2901="","ไม่พบใน SG",IF(ABS(J2901-L2901)&lt;0.005,"ตรงกัน","ไม่ตรง"))</f>
        <v/>
      </c>
      <c r="N2901" s="14">
        <f>IF(L2901="","",ROUND(L2901*'สรุป'!$C$6,-1))</f>
        <v/>
      </c>
      <c r="O2901" s="15" t="n"/>
      <c r="P2901" s="15" t="n"/>
      <c r="Q2901" s="10" t="n"/>
      <c r="R2901" s="10" t="n"/>
      <c r="S2901" s="16" t="inlineStr">
        <is>
          <t>https://mstgolf.co.th/products/gf2040119343</t>
        </is>
      </c>
      <c r="T2901" s="1">
        <f>IF(B2901="ไม้กอล์ฟ",J2901,"")</f>
        <v/>
      </c>
    </row>
    <row r="2902">
      <c r="A2902" s="1" t="n">
        <v>3</v>
      </c>
      <c r="B2902" s="1" t="inlineStr">
        <is>
          <t>เสื้อผ้า</t>
        </is>
      </c>
      <c r="C2902" s="1" t="inlineStr">
        <is>
          <t>gf2020201795</t>
        </is>
      </c>
      <c r="D2902" s="1" t="inlineStr">
        <is>
          <t>CALVIN KLEIN Genius 4-Way Stretch Men's Shorts (Black)</t>
        </is>
      </c>
      <c r="E2902" s="1" t="inlineStr">
        <is>
          <t>CALVIN KLEIN</t>
        </is>
      </c>
      <c r="F2902" s="1" t="inlineStr">
        <is>
          <t>SHORT PANTS</t>
        </is>
      </c>
      <c r="G2902" s="1" t="inlineStr">
        <is>
          <t>GF202020179530</t>
        </is>
      </c>
      <c r="H2902" s="1" t="n">
        <v>6</v>
      </c>
      <c r="I2902" s="1" t="inlineStr">
        <is>
          <t>มี</t>
        </is>
      </c>
      <c r="J2902" s="13" t="n">
        <v>79</v>
      </c>
      <c r="K2902" s="1" t="inlineStr"/>
      <c r="L2902" s="13" t="n">
        <v>79</v>
      </c>
      <c r="M2902" s="1">
        <f>IF(L2902="","ไม่พบใน SG",IF(ABS(J2902-L2902)&lt;0.005,"ตรงกัน","ไม่ตรง"))</f>
        <v/>
      </c>
      <c r="N2902" s="14">
        <f>IF(L2902="","",ROUND(L2902*'สรุป'!$C$6,-1))</f>
        <v/>
      </c>
      <c r="O2902" s="15" t="n"/>
      <c r="P2902" s="15" t="n"/>
      <c r="Q2902" s="10" t="n"/>
      <c r="R2902" s="10" t="n"/>
      <c r="S2902" s="16" t="inlineStr">
        <is>
          <t>https://mstgolf.co.th/products/gf2020201795</t>
        </is>
      </c>
      <c r="T2902" s="1">
        <f>IF(B2902="ไม้กอล์ฟ",J2902,"")</f>
        <v/>
      </c>
    </row>
    <row r="2903">
      <c r="A2903" s="1" t="n">
        <v>3</v>
      </c>
      <c r="B2903" s="1" t="inlineStr">
        <is>
          <t>เสื้อผ้า</t>
        </is>
      </c>
      <c r="C2903" s="1" t="inlineStr">
        <is>
          <t>gf2020201079</t>
        </is>
      </c>
      <c r="D2903" s="1" t="inlineStr">
        <is>
          <t>CALVIN KLEIN Genius 4-Way Stretch Men's Shorts (Dark Navy)</t>
        </is>
      </c>
      <c r="E2903" s="1" t="inlineStr">
        <is>
          <t>CALVIN KLEIN</t>
        </is>
      </c>
      <c r="F2903" s="1" t="inlineStr">
        <is>
          <t>SHORT PANTS</t>
        </is>
      </c>
      <c r="G2903" s="1" t="inlineStr">
        <is>
          <t>GF202020107930</t>
        </is>
      </c>
      <c r="H2903" s="1" t="n">
        <v>6</v>
      </c>
      <c r="I2903" s="1" t="inlineStr">
        <is>
          <t>มี</t>
        </is>
      </c>
      <c r="J2903" s="13" t="n">
        <v>79</v>
      </c>
      <c r="K2903" s="1" t="inlineStr"/>
      <c r="L2903" s="13" t="n">
        <v>59</v>
      </c>
      <c r="M2903" s="1">
        <f>IF(L2903="","ไม่พบใน SG",IF(ABS(J2903-L2903)&lt;0.005,"ตรงกัน","ไม่ตรง"))</f>
        <v/>
      </c>
      <c r="N2903" s="14">
        <f>IF(L2903="","",ROUND(L2903*'สรุป'!$C$6,-1))</f>
        <v/>
      </c>
      <c r="O2903" s="15" t="n"/>
      <c r="P2903" s="15" t="n"/>
      <c r="Q2903" s="10" t="n"/>
      <c r="R2903" s="10" t="n"/>
      <c r="S2903" s="16" t="inlineStr">
        <is>
          <t>https://mstgolf.co.th/products/gf2020201079</t>
        </is>
      </c>
      <c r="T2903" s="1">
        <f>IF(B2903="ไม้กอล์ฟ",J2903,"")</f>
        <v/>
      </c>
    </row>
    <row r="2904">
      <c r="A2904" s="1" t="n">
        <v>3</v>
      </c>
      <c r="B2904" s="1" t="inlineStr">
        <is>
          <t>เสื้อผ้า</t>
        </is>
      </c>
      <c r="C2904" s="1" t="inlineStr">
        <is>
          <t>gf2020101969</t>
        </is>
      </c>
      <c r="D2904" s="1" t="inlineStr">
        <is>
          <t>FOOTJOY Cropped Women's Trousers (White)</t>
        </is>
      </c>
      <c r="E2904" s="1" t="inlineStr">
        <is>
          <t>FOOTJOY</t>
        </is>
      </c>
      <c r="F2904" s="1" t="inlineStr">
        <is>
          <t>LONG PANTS</t>
        </is>
      </c>
      <c r="G2904" s="1" t="inlineStr">
        <is>
          <t>GF2020101969XS</t>
        </is>
      </c>
      <c r="H2904" s="1" t="n">
        <v>5</v>
      </c>
      <c r="I2904" s="1" t="inlineStr">
        <is>
          <t>มี</t>
        </is>
      </c>
      <c r="J2904" s="13" t="n">
        <v>79</v>
      </c>
      <c r="K2904" s="1" t="inlineStr"/>
      <c r="L2904" s="13" t="n">
        <v>69</v>
      </c>
      <c r="M2904" s="1">
        <f>IF(L2904="","ไม่พบใน SG",IF(ABS(J2904-L2904)&lt;0.005,"ตรงกัน","ไม่ตรง"))</f>
        <v/>
      </c>
      <c r="N2904" s="14">
        <f>IF(L2904="","",ROUND(L2904*'สรุป'!$C$6,-1))</f>
        <v/>
      </c>
      <c r="O2904" s="15" t="n"/>
      <c r="P2904" s="15" t="n"/>
      <c r="Q2904" s="10" t="n"/>
      <c r="R2904" s="10" t="n"/>
      <c r="S2904" s="16" t="inlineStr">
        <is>
          <t>https://mstgolf.co.th/products/gf2020101969</t>
        </is>
      </c>
      <c r="T2904" s="1">
        <f>IF(B2904="ไม้กอล์ฟ",J2904,"")</f>
        <v/>
      </c>
    </row>
    <row r="2905">
      <c r="A2905" s="1" t="n">
        <v>3</v>
      </c>
      <c r="B2905" s="1" t="inlineStr">
        <is>
          <t>เสื้อผ้า</t>
        </is>
      </c>
      <c r="C2905" s="1" t="inlineStr">
        <is>
          <t>gf2020600044</t>
        </is>
      </c>
      <c r="D2905" s="1" t="inlineStr">
        <is>
          <t>FOOTJOY Embossed Women's Legging (Black)</t>
        </is>
      </c>
      <c r="E2905" s="1" t="inlineStr">
        <is>
          <t>FOOTJOY</t>
        </is>
      </c>
      <c r="F2905" s="1" t="inlineStr">
        <is>
          <t>TIGHTS</t>
        </is>
      </c>
      <c r="G2905" s="1" t="inlineStr">
        <is>
          <t>GF2020600044XS</t>
        </is>
      </c>
      <c r="H2905" s="1" t="n">
        <v>5</v>
      </c>
      <c r="I2905" s="1" t="inlineStr">
        <is>
          <t>มี</t>
        </is>
      </c>
      <c r="J2905" s="13" t="n">
        <v>79</v>
      </c>
      <c r="K2905" s="1" t="inlineStr"/>
      <c r="L2905" s="13" t="n">
        <v>79</v>
      </c>
      <c r="M2905" s="1">
        <f>IF(L2905="","ไม่พบใน SG",IF(ABS(J2905-L2905)&lt;0.005,"ตรงกัน","ไม่ตรง"))</f>
        <v/>
      </c>
      <c r="N2905" s="14">
        <f>IF(L2905="","",ROUND(L2905*'สรุป'!$C$6,-1))</f>
        <v/>
      </c>
      <c r="O2905" s="15" t="n"/>
      <c r="P2905" s="15" t="n"/>
      <c r="Q2905" s="10" t="n"/>
      <c r="R2905" s="10" t="n"/>
      <c r="S2905" s="16" t="inlineStr">
        <is>
          <t>https://mstgolf.co.th/products/gf2020600044</t>
        </is>
      </c>
      <c r="T2905" s="1">
        <f>IF(B2905="ไม้กอล์ฟ",J2905,"")</f>
        <v/>
      </c>
    </row>
    <row r="2906">
      <c r="A2906" s="1" t="n">
        <v>3</v>
      </c>
      <c r="B2906" s="1" t="inlineStr">
        <is>
          <t>เสื้อผ้า</t>
        </is>
      </c>
      <c r="C2906" s="1" t="inlineStr">
        <is>
          <t>gf2020101221</t>
        </is>
      </c>
      <c r="D2906" s="1" t="inlineStr">
        <is>
          <t>FOOTJOY Performance Women's Pants (Black)</t>
        </is>
      </c>
      <c r="E2906" s="1" t="inlineStr">
        <is>
          <t>FOOTJOY</t>
        </is>
      </c>
      <c r="F2906" s="1" t="inlineStr">
        <is>
          <t>LONG PANTS</t>
        </is>
      </c>
      <c r="G2906" s="1" t="inlineStr">
        <is>
          <t>GF2020101221XS</t>
        </is>
      </c>
      <c r="H2906" s="1" t="n">
        <v>5</v>
      </c>
      <c r="I2906" s="1" t="inlineStr">
        <is>
          <t>มี</t>
        </is>
      </c>
      <c r="J2906" s="13" t="n">
        <v>79</v>
      </c>
      <c r="K2906" s="1" t="inlineStr"/>
      <c r="L2906" s="13" t="n">
        <v>69</v>
      </c>
      <c r="M2906" s="1">
        <f>IF(L2906="","ไม่พบใน SG",IF(ABS(J2906-L2906)&lt;0.005,"ตรงกัน","ไม่ตรง"))</f>
        <v/>
      </c>
      <c r="N2906" s="14">
        <f>IF(L2906="","",ROUND(L2906*'สรุป'!$C$6,-1))</f>
        <v/>
      </c>
      <c r="O2906" s="15" t="n"/>
      <c r="P2906" s="15" t="n"/>
      <c r="Q2906" s="10" t="n"/>
      <c r="R2906" s="10" t="n"/>
      <c r="S2906" s="16" t="inlineStr">
        <is>
          <t>https://mstgolf.co.th/products/gf2020101221</t>
        </is>
      </c>
      <c r="T2906" s="1">
        <f>IF(B2906="ไม้กอล์ฟ",J2906,"")</f>
        <v/>
      </c>
    </row>
    <row r="2907">
      <c r="A2907" s="1" t="n">
        <v>3</v>
      </c>
      <c r="B2907" s="1" t="inlineStr">
        <is>
          <t>เสื้อผ้า</t>
        </is>
      </c>
      <c r="C2907" s="1" t="inlineStr">
        <is>
          <t>gf2040115181</t>
        </is>
      </c>
      <c r="D2907" s="1" t="inlineStr">
        <is>
          <t>GFORE 1/4 Zip Men's Shirt (Charcoal Heather Grey)</t>
        </is>
      </c>
      <c r="E2907" s="1" t="inlineStr">
        <is>
          <t>GFORE</t>
        </is>
      </c>
      <c r="F2907" s="1" t="inlineStr">
        <is>
          <t>SHORT SLEEVES</t>
        </is>
      </c>
      <c r="G2907" s="1" t="inlineStr">
        <is>
          <t>GF2040115181XS</t>
        </is>
      </c>
      <c r="H2907" s="1" t="n">
        <v>6</v>
      </c>
      <c r="I2907" s="1" t="inlineStr">
        <is>
          <t>มี</t>
        </is>
      </c>
      <c r="J2907" s="13" t="n">
        <v>79</v>
      </c>
      <c r="K2907" s="1" t="inlineStr"/>
      <c r="L2907" s="13" t="n">
        <v>79</v>
      </c>
      <c r="M2907" s="1">
        <f>IF(L2907="","ไม่พบใน SG",IF(ABS(J2907-L2907)&lt;0.005,"ตรงกัน","ไม่ตรง"))</f>
        <v/>
      </c>
      <c r="N2907" s="14">
        <f>IF(L2907="","",ROUND(L2907*'สรุป'!$C$6,-1))</f>
        <v/>
      </c>
      <c r="O2907" s="15" t="n"/>
      <c r="P2907" s="15" t="n"/>
      <c r="Q2907" s="10" t="n"/>
      <c r="R2907" s="10" t="n"/>
      <c r="S2907" s="16" t="inlineStr">
        <is>
          <t>https://mstgolf.co.th/products/gf2040115181</t>
        </is>
      </c>
      <c r="T2907" s="1">
        <f>IF(B2907="ไม้กอล์ฟ",J2907,"")</f>
        <v/>
      </c>
    </row>
    <row r="2908">
      <c r="A2908" s="1" t="n">
        <v>3</v>
      </c>
      <c r="B2908" s="1" t="inlineStr">
        <is>
          <t>เสื้อผ้า</t>
        </is>
      </c>
      <c r="C2908" s="1" t="inlineStr">
        <is>
          <t>gf2040118666</t>
        </is>
      </c>
      <c r="D2908" s="1" t="inlineStr">
        <is>
          <t>GFORE Aye Poppy Tech Jersey WomenÆs Polo (Daybreak)</t>
        </is>
      </c>
      <c r="E2908" s="1" t="inlineStr">
        <is>
          <t>GFORE</t>
        </is>
      </c>
      <c r="F2908" s="1" t="inlineStr">
        <is>
          <t>SHORT SLEEVES</t>
        </is>
      </c>
      <c r="G2908" s="1" t="inlineStr">
        <is>
          <t>GF2040118666XS</t>
        </is>
      </c>
      <c r="H2908" s="1" t="n">
        <v>6</v>
      </c>
      <c r="I2908" s="1" t="inlineStr">
        <is>
          <t>มี</t>
        </is>
      </c>
      <c r="J2908" s="13" t="n">
        <v>79</v>
      </c>
      <c r="K2908" s="1" t="inlineStr"/>
      <c r="L2908" s="13" t="n">
        <v>79</v>
      </c>
      <c r="M2908" s="1">
        <f>IF(L2908="","ไม่พบใน SG",IF(ABS(J2908-L2908)&lt;0.005,"ตรงกัน","ไม่ตรง"))</f>
        <v/>
      </c>
      <c r="N2908" s="14">
        <f>IF(L2908="","",ROUND(L2908*'สรุป'!$C$6,-1))</f>
        <v/>
      </c>
      <c r="O2908" s="15" t="n"/>
      <c r="P2908" s="15" t="n"/>
      <c r="Q2908" s="10" t="n"/>
      <c r="R2908" s="10" t="n"/>
      <c r="S2908" s="16" t="inlineStr">
        <is>
          <t>https://mstgolf.co.th/products/gf2040118666</t>
        </is>
      </c>
      <c r="T2908" s="1">
        <f>IF(B2908="ไม้กอล์ฟ",J2908,"")</f>
        <v/>
      </c>
    </row>
    <row r="2909">
      <c r="A2909" s="1" t="n">
        <v>3</v>
      </c>
      <c r="B2909" s="1" t="inlineStr">
        <is>
          <t>เสื้อผ้า</t>
        </is>
      </c>
      <c r="C2909" s="1" t="inlineStr">
        <is>
          <t>gf2040118060</t>
        </is>
      </c>
      <c r="D2909" s="1" t="inlineStr">
        <is>
          <t>GFORE Ayi Papi Men's Jersey polo (Twilight)</t>
        </is>
      </c>
      <c r="E2909" s="1" t="inlineStr">
        <is>
          <t>GFORE</t>
        </is>
      </c>
      <c r="F2909" s="1" t="inlineStr">
        <is>
          <t>SHORT SLEEVES</t>
        </is>
      </c>
      <c r="G2909" s="1" t="inlineStr">
        <is>
          <t>GF2040118060XS</t>
        </is>
      </c>
      <c r="H2909" s="1" t="n">
        <v>6</v>
      </c>
      <c r="I2909" s="1" t="inlineStr">
        <is>
          <t>มี</t>
        </is>
      </c>
      <c r="J2909" s="13" t="n">
        <v>79</v>
      </c>
      <c r="K2909" s="1" t="inlineStr"/>
      <c r="L2909" s="13" t="n">
        <v>79</v>
      </c>
      <c r="M2909" s="1">
        <f>IF(L2909="","ไม่พบใน SG",IF(ABS(J2909-L2909)&lt;0.005,"ตรงกัน","ไม่ตรง"))</f>
        <v/>
      </c>
      <c r="N2909" s="14">
        <f>IF(L2909="","",ROUND(L2909*'สรุป'!$C$6,-1))</f>
        <v/>
      </c>
      <c r="O2909" s="15" t="n"/>
      <c r="P2909" s="15" t="n"/>
      <c r="Q2909" s="10" t="n"/>
      <c r="R2909" s="10" t="n"/>
      <c r="S2909" s="16" t="inlineStr">
        <is>
          <t>https://mstgolf.co.th/products/gf2040118060</t>
        </is>
      </c>
      <c r="T2909" s="1">
        <f>IF(B2909="ไม้กอล์ฟ",J2909,"")</f>
        <v/>
      </c>
    </row>
    <row r="2910">
      <c r="A2910" s="1" t="n">
        <v>3</v>
      </c>
      <c r="B2910" s="1" t="inlineStr">
        <is>
          <t>เสื้อผ้า</t>
        </is>
      </c>
      <c r="C2910" s="1" t="inlineStr">
        <is>
          <t>gf2040116958</t>
        </is>
      </c>
      <c r="D2910" s="1" t="inlineStr">
        <is>
          <t>GFORE Botanic Garden Jersey Men's  Polo (Ink)</t>
        </is>
      </c>
      <c r="E2910" s="1" t="inlineStr">
        <is>
          <t>GFORE</t>
        </is>
      </c>
      <c r="F2910" s="1" t="inlineStr">
        <is>
          <t>SHORT SLEEVES</t>
        </is>
      </c>
      <c r="G2910" s="1" t="inlineStr">
        <is>
          <t>GF2040116958XS</t>
        </is>
      </c>
      <c r="H2910" s="1" t="n">
        <v>6</v>
      </c>
      <c r="I2910" s="1" t="inlineStr">
        <is>
          <t>มี</t>
        </is>
      </c>
      <c r="J2910" s="13" t="n">
        <v>79</v>
      </c>
      <c r="K2910" s="1" t="inlineStr"/>
      <c r="L2910" s="13" t="n">
        <v>79</v>
      </c>
      <c r="M2910" s="1">
        <f>IF(L2910="","ไม่พบใน SG",IF(ABS(J2910-L2910)&lt;0.005,"ตรงกัน","ไม่ตรง"))</f>
        <v/>
      </c>
      <c r="N2910" s="14">
        <f>IF(L2910="","",ROUND(L2910*'สรุป'!$C$6,-1))</f>
        <v/>
      </c>
      <c r="O2910" s="15" t="n"/>
      <c r="P2910" s="15" t="n"/>
      <c r="Q2910" s="10" t="n"/>
      <c r="R2910" s="10" t="n"/>
      <c r="S2910" s="16" t="inlineStr">
        <is>
          <t>https://mstgolf.co.th/products/gf2040116958</t>
        </is>
      </c>
      <c r="T2910" s="1">
        <f>IF(B2910="ไม้กอล์ฟ",J2910,"")</f>
        <v/>
      </c>
    </row>
    <row r="2911">
      <c r="A2911" s="1" t="n">
        <v>3</v>
      </c>
      <c r="B2911" s="1" t="inlineStr">
        <is>
          <t>เสื้อผ้า</t>
        </is>
      </c>
      <c r="C2911" s="1" t="inlineStr">
        <is>
          <t>gf2040116953</t>
        </is>
      </c>
      <c r="D2911" s="1" t="inlineStr">
        <is>
          <t>GFORE Contrast Jersey Men's Polo (Seaglass)</t>
        </is>
      </c>
      <c r="E2911" s="1" t="inlineStr">
        <is>
          <t>GFORE</t>
        </is>
      </c>
      <c r="F2911" s="1" t="inlineStr">
        <is>
          <t>SHORT SLEEVES</t>
        </is>
      </c>
      <c r="G2911" s="1" t="inlineStr">
        <is>
          <t>GF2040116953XS</t>
        </is>
      </c>
      <c r="H2911" s="1" t="n">
        <v>6</v>
      </c>
      <c r="I2911" s="1" t="inlineStr">
        <is>
          <t>มี</t>
        </is>
      </c>
      <c r="J2911" s="13" t="n">
        <v>79</v>
      </c>
      <c r="K2911" s="1" t="inlineStr"/>
      <c r="L2911" s="13" t="n">
        <v>79</v>
      </c>
      <c r="M2911" s="1">
        <f>IF(L2911="","ไม่พบใน SG",IF(ABS(J2911-L2911)&lt;0.005,"ตรงกัน","ไม่ตรง"))</f>
        <v/>
      </c>
      <c r="N2911" s="14">
        <f>IF(L2911="","",ROUND(L2911*'สรุป'!$C$6,-1))</f>
        <v/>
      </c>
      <c r="O2911" s="15" t="n"/>
      <c r="P2911" s="15" t="n"/>
      <c r="Q2911" s="10" t="n"/>
      <c r="R2911" s="10" t="n"/>
      <c r="S2911" s="16" t="inlineStr">
        <is>
          <t>https://mstgolf.co.th/products/gf2040116953</t>
        </is>
      </c>
      <c r="T2911" s="1">
        <f>IF(B2911="ไม้กอล์ฟ",J2911,"")</f>
        <v/>
      </c>
    </row>
    <row r="2912">
      <c r="A2912" s="1" t="n">
        <v>3</v>
      </c>
      <c r="B2912" s="1" t="inlineStr">
        <is>
          <t>เสื้อผ้า</t>
        </is>
      </c>
      <c r="C2912" s="1" t="inlineStr">
        <is>
          <t>gf2040118065</t>
        </is>
      </c>
      <c r="D2912" s="1" t="inlineStr">
        <is>
          <t>GFORE Contrast Pique Men's Polo (Onyx)</t>
        </is>
      </c>
      <c r="E2912" s="1" t="inlineStr">
        <is>
          <t>GFORE</t>
        </is>
      </c>
      <c r="F2912" s="1" t="inlineStr">
        <is>
          <t>SHORT SLEEVES</t>
        </is>
      </c>
      <c r="G2912" s="1" t="inlineStr">
        <is>
          <t>GF2040118065XS</t>
        </is>
      </c>
      <c r="H2912" s="1" t="n">
        <v>6</v>
      </c>
      <c r="I2912" s="1" t="inlineStr">
        <is>
          <t>มี</t>
        </is>
      </c>
      <c r="J2912" s="13" t="n">
        <v>79</v>
      </c>
      <c r="K2912" s="1" t="inlineStr"/>
      <c r="L2912" s="13" t="n">
        <v>79</v>
      </c>
      <c r="M2912" s="1">
        <f>IF(L2912="","ไม่พบใน SG",IF(ABS(J2912-L2912)&lt;0.005,"ตรงกัน","ไม่ตรง"))</f>
        <v/>
      </c>
      <c r="N2912" s="14">
        <f>IF(L2912="","",ROUND(L2912*'สรุป'!$C$6,-1))</f>
        <v/>
      </c>
      <c r="O2912" s="15" t="n"/>
      <c r="P2912" s="15" t="n"/>
      <c r="Q2912" s="10" t="n"/>
      <c r="R2912" s="10" t="n"/>
      <c r="S2912" s="16" t="inlineStr">
        <is>
          <t>https://mstgolf.co.th/products/gf2040118065</t>
        </is>
      </c>
      <c r="T2912" s="1">
        <f>IF(B2912="ไม้กอล์ฟ",J2912,"")</f>
        <v/>
      </c>
    </row>
    <row r="2913">
      <c r="A2913" s="1" t="n">
        <v>3</v>
      </c>
      <c r="B2913" s="1" t="inlineStr">
        <is>
          <t>เสื้อผ้า</t>
        </is>
      </c>
      <c r="C2913" s="1" t="inlineStr">
        <is>
          <t>gf2040116971</t>
        </is>
      </c>
      <c r="D2913" s="1" t="inlineStr">
        <is>
          <t>GFORE G Link Jersey Men's Polo (Slate)</t>
        </is>
      </c>
      <c r="E2913" s="1" t="inlineStr">
        <is>
          <t>GFORE</t>
        </is>
      </c>
      <c r="F2913" s="1" t="inlineStr">
        <is>
          <t>SHORT SLEEVES</t>
        </is>
      </c>
      <c r="G2913" s="1" t="inlineStr">
        <is>
          <t>GF2040116971XS</t>
        </is>
      </c>
      <c r="H2913" s="1" t="n">
        <v>6</v>
      </c>
      <c r="I2913" s="1" t="inlineStr">
        <is>
          <t>มี</t>
        </is>
      </c>
      <c r="J2913" s="13" t="n">
        <v>79</v>
      </c>
      <c r="K2913" s="1" t="inlineStr"/>
      <c r="L2913" s="13" t="n">
        <v>79</v>
      </c>
      <c r="M2913" s="1">
        <f>IF(L2913="","ไม่พบใน SG",IF(ABS(J2913-L2913)&lt;0.005,"ตรงกัน","ไม่ตรง"))</f>
        <v/>
      </c>
      <c r="N2913" s="14">
        <f>IF(L2913="","",ROUND(L2913*'สรุป'!$C$6,-1))</f>
        <v/>
      </c>
      <c r="O2913" s="15" t="n"/>
      <c r="P2913" s="15" t="n"/>
      <c r="Q2913" s="10" t="n"/>
      <c r="R2913" s="10" t="n"/>
      <c r="S2913" s="16" t="inlineStr">
        <is>
          <t>https://mstgolf.co.th/products/gf2040116971</t>
        </is>
      </c>
      <c r="T2913" s="1">
        <f>IF(B2913="ไม้กอล์ฟ",J2913,"")</f>
        <v/>
      </c>
    </row>
    <row r="2914">
      <c r="A2914" s="1" t="n">
        <v>3</v>
      </c>
      <c r="B2914" s="1" t="inlineStr">
        <is>
          <t>เสื้อผ้า</t>
        </is>
      </c>
      <c r="C2914" s="1" t="inlineStr">
        <is>
          <t>gf2040118661</t>
        </is>
      </c>
      <c r="D2914" s="1" t="inlineStr">
        <is>
          <t>GFORE Mapped Icon Camo Tech Jersey Modern Spread Collar Men’s Polo (Snow)</t>
        </is>
      </c>
      <c r="E2914" s="1" t="inlineStr">
        <is>
          <t>GFORE</t>
        </is>
      </c>
      <c r="F2914" s="1" t="inlineStr">
        <is>
          <t>SHORT SLEEVES</t>
        </is>
      </c>
      <c r="G2914" s="1" t="inlineStr">
        <is>
          <t>GF2040118661XS</t>
        </is>
      </c>
      <c r="H2914" s="1" t="n">
        <v>6</v>
      </c>
      <c r="I2914" s="1" t="inlineStr">
        <is>
          <t>มี</t>
        </is>
      </c>
      <c r="J2914" s="13" t="n">
        <v>79</v>
      </c>
      <c r="K2914" s="1" t="inlineStr"/>
      <c r="L2914" s="13" t="n">
        <v>79</v>
      </c>
      <c r="M2914" s="1">
        <f>IF(L2914="","ไม่พบใน SG",IF(ABS(J2914-L2914)&lt;0.005,"ตรงกัน","ไม่ตรง"))</f>
        <v/>
      </c>
      <c r="N2914" s="14">
        <f>IF(L2914="","",ROUND(L2914*'สรุป'!$C$6,-1))</f>
        <v/>
      </c>
      <c r="O2914" s="15" t="n"/>
      <c r="P2914" s="15" t="n"/>
      <c r="Q2914" s="10" t="n"/>
      <c r="R2914" s="10" t="n"/>
      <c r="S2914" s="16" t="inlineStr">
        <is>
          <t>https://mstgolf.co.th/products/gf2040118661</t>
        </is>
      </c>
      <c r="T2914" s="1">
        <f>IF(B2914="ไม้กอล์ฟ",J2914,"")</f>
        <v/>
      </c>
    </row>
    <row r="2915">
      <c r="A2915" s="1" t="n">
        <v>3</v>
      </c>
      <c r="B2915" s="1" t="inlineStr">
        <is>
          <t>เสื้อผ้า</t>
        </is>
      </c>
      <c r="C2915" s="1" t="inlineStr">
        <is>
          <t>gf2040116970</t>
        </is>
      </c>
      <c r="D2915" s="1" t="inlineStr">
        <is>
          <t>GFORE Melange Jersey Men's Polo (Charcoal Heather Grey)</t>
        </is>
      </c>
      <c r="E2915" s="1" t="inlineStr">
        <is>
          <t>GFORE</t>
        </is>
      </c>
      <c r="F2915" s="1" t="inlineStr">
        <is>
          <t>SHORT SLEEVES</t>
        </is>
      </c>
      <c r="G2915" s="1" t="inlineStr">
        <is>
          <t>GF2040116970XS</t>
        </is>
      </c>
      <c r="H2915" s="1" t="n">
        <v>6</v>
      </c>
      <c r="I2915" s="1" t="inlineStr">
        <is>
          <t>มี</t>
        </is>
      </c>
      <c r="J2915" s="13" t="n">
        <v>79</v>
      </c>
      <c r="K2915" s="1" t="inlineStr"/>
      <c r="L2915" s="13" t="n">
        <v>79</v>
      </c>
      <c r="M2915" s="1">
        <f>IF(L2915="","ไม่พบใน SG",IF(ABS(J2915-L2915)&lt;0.005,"ตรงกัน","ไม่ตรง"))</f>
        <v/>
      </c>
      <c r="N2915" s="14">
        <f>IF(L2915="","",ROUND(L2915*'สรุป'!$C$6,-1))</f>
        <v/>
      </c>
      <c r="O2915" s="15" t="n"/>
      <c r="P2915" s="15" t="n"/>
      <c r="Q2915" s="10" t="n"/>
      <c r="R2915" s="10" t="n"/>
      <c r="S2915" s="16" t="inlineStr">
        <is>
          <t>https://mstgolf.co.th/products/gf2040116970</t>
        </is>
      </c>
      <c r="T2915" s="1">
        <f>IF(B2915="ไม้กอล์ฟ",J2915,"")</f>
        <v/>
      </c>
    </row>
    <row r="2916">
      <c r="A2916" s="1" t="n">
        <v>3</v>
      </c>
      <c r="B2916" s="1" t="inlineStr">
        <is>
          <t>เสื้อผ้า</t>
        </is>
      </c>
      <c r="C2916" s="1" t="inlineStr">
        <is>
          <t>gf2040115184</t>
        </is>
      </c>
      <c r="D2916" s="1" t="inlineStr">
        <is>
          <t>GFORE Multi Color Star Print Men's Polo (Snow)</t>
        </is>
      </c>
      <c r="E2916" s="1" t="inlineStr">
        <is>
          <t>GFORE</t>
        </is>
      </c>
      <c r="F2916" s="1" t="inlineStr">
        <is>
          <t>SHORT SLEEVES</t>
        </is>
      </c>
      <c r="G2916" s="1" t="inlineStr">
        <is>
          <t>GF2040115184XS</t>
        </is>
      </c>
      <c r="H2916" s="1" t="n">
        <v>6</v>
      </c>
      <c r="I2916" s="1" t="inlineStr">
        <is>
          <t>มี</t>
        </is>
      </c>
      <c r="J2916" s="13" t="n">
        <v>79</v>
      </c>
      <c r="K2916" s="1" t="inlineStr"/>
      <c r="L2916" s="13" t="n">
        <v>79</v>
      </c>
      <c r="M2916" s="1">
        <f>IF(L2916="","ไม่พบใน SG",IF(ABS(J2916-L2916)&lt;0.005,"ตรงกัน","ไม่ตรง"))</f>
        <v/>
      </c>
      <c r="N2916" s="14">
        <f>IF(L2916="","",ROUND(L2916*'สรุป'!$C$6,-1))</f>
        <v/>
      </c>
      <c r="O2916" s="15" t="n"/>
      <c r="P2916" s="15" t="n"/>
      <c r="Q2916" s="10" t="n"/>
      <c r="R2916" s="10" t="n"/>
      <c r="S2916" s="16" t="inlineStr">
        <is>
          <t>https://mstgolf.co.th/products/gf2040115184</t>
        </is>
      </c>
      <c r="T2916" s="1">
        <f>IF(B2916="ไม้กอล์ฟ",J2916,"")</f>
        <v/>
      </c>
    </row>
    <row r="2917">
      <c r="A2917" s="1" t="n">
        <v>3</v>
      </c>
      <c r="B2917" s="1" t="inlineStr">
        <is>
          <t>เสื้อผ้า</t>
        </is>
      </c>
      <c r="C2917" s="1" t="inlineStr">
        <is>
          <t>gf2040116979</t>
        </is>
      </c>
      <c r="D2917" s="1" t="inlineStr">
        <is>
          <t>GFORE Outline Pique Men's Polo (Stone)</t>
        </is>
      </c>
      <c r="E2917" s="1" t="inlineStr">
        <is>
          <t>GFORE</t>
        </is>
      </c>
      <c r="F2917" s="1" t="inlineStr">
        <is>
          <t>SHORT SLEEVES</t>
        </is>
      </c>
      <c r="G2917" s="1" t="inlineStr">
        <is>
          <t>GF2040116979XS</t>
        </is>
      </c>
      <c r="H2917" s="1" t="n">
        <v>6</v>
      </c>
      <c r="I2917" s="1" t="inlineStr">
        <is>
          <t>มี</t>
        </is>
      </c>
      <c r="J2917" s="13" t="n">
        <v>79</v>
      </c>
      <c r="K2917" s="1" t="inlineStr"/>
      <c r="L2917" s="13" t="n">
        <v>79</v>
      </c>
      <c r="M2917" s="1">
        <f>IF(L2917="","ไม่พบใน SG",IF(ABS(J2917-L2917)&lt;0.005,"ตรงกัน","ไม่ตรง"))</f>
        <v/>
      </c>
      <c r="N2917" s="14">
        <f>IF(L2917="","",ROUND(L2917*'สรุป'!$C$6,-1))</f>
        <v/>
      </c>
      <c r="O2917" s="15" t="n"/>
      <c r="P2917" s="15" t="n"/>
      <c r="Q2917" s="10" t="n"/>
      <c r="R2917" s="10" t="n"/>
      <c r="S2917" s="16" t="inlineStr">
        <is>
          <t>https://mstgolf.co.th/products/gf2040116979</t>
        </is>
      </c>
      <c r="T2917" s="1">
        <f>IF(B2917="ไม้กอล์ฟ",J2917,"")</f>
        <v/>
      </c>
    </row>
    <row r="2918">
      <c r="A2918" s="1" t="n">
        <v>3</v>
      </c>
      <c r="B2918" s="1" t="inlineStr">
        <is>
          <t>เสื้อผ้า</t>
        </is>
      </c>
      <c r="C2918" s="1" t="inlineStr">
        <is>
          <t>gf2040116961</t>
        </is>
      </c>
      <c r="D2918" s="1" t="inlineStr">
        <is>
          <t>GFORE Photo Floral Jersey Men's Polo (Onyx)</t>
        </is>
      </c>
      <c r="E2918" s="1" t="inlineStr">
        <is>
          <t>GFORE</t>
        </is>
      </c>
      <c r="F2918" s="1" t="inlineStr">
        <is>
          <t>SHORT SLEEVES</t>
        </is>
      </c>
      <c r="G2918" s="1" t="inlineStr">
        <is>
          <t>GF2040116961XS</t>
        </is>
      </c>
      <c r="H2918" s="1" t="n">
        <v>6</v>
      </c>
      <c r="I2918" s="1" t="inlineStr">
        <is>
          <t>มี</t>
        </is>
      </c>
      <c r="J2918" s="13" t="n">
        <v>79</v>
      </c>
      <c r="K2918" s="1" t="inlineStr"/>
      <c r="L2918" s="13" t="n">
        <v>79</v>
      </c>
      <c r="M2918" s="1">
        <f>IF(L2918="","ไม่พบใน SG",IF(ABS(J2918-L2918)&lt;0.005,"ตรงกัน","ไม่ตรง"))</f>
        <v/>
      </c>
      <c r="N2918" s="14">
        <f>IF(L2918="","",ROUND(L2918*'สรุป'!$C$6,-1))</f>
        <v/>
      </c>
      <c r="O2918" s="15" t="n"/>
      <c r="P2918" s="15" t="n"/>
      <c r="Q2918" s="10" t="n"/>
      <c r="R2918" s="10" t="n"/>
      <c r="S2918" s="16" t="inlineStr">
        <is>
          <t>https://mstgolf.co.th/products/gf2040116961</t>
        </is>
      </c>
      <c r="T2918" s="1">
        <f>IF(B2918="ไม้กอล์ฟ",J2918,"")</f>
        <v/>
      </c>
    </row>
    <row r="2919">
      <c r="A2919" s="1" t="n">
        <v>3</v>
      </c>
      <c r="B2919" s="1" t="inlineStr">
        <is>
          <t>เสื้อผ้า</t>
        </is>
      </c>
      <c r="C2919" s="1" t="inlineStr">
        <is>
          <t>gf2040116962</t>
        </is>
      </c>
      <c r="D2919" s="1" t="inlineStr">
        <is>
          <t>GFORE Photo Floral Jersey Men's Polo (Racer)</t>
        </is>
      </c>
      <c r="E2919" s="1" t="inlineStr">
        <is>
          <t>GFORE</t>
        </is>
      </c>
      <c r="F2919" s="1" t="inlineStr">
        <is>
          <t>SHORT SLEEVES</t>
        </is>
      </c>
      <c r="G2919" s="1" t="inlineStr">
        <is>
          <t>GF2040116962XS</t>
        </is>
      </c>
      <c r="H2919" s="1" t="n">
        <v>6</v>
      </c>
      <c r="I2919" s="1" t="inlineStr">
        <is>
          <t>มี</t>
        </is>
      </c>
      <c r="J2919" s="13" t="n">
        <v>79</v>
      </c>
      <c r="K2919" s="1" t="inlineStr"/>
      <c r="L2919" s="13" t="n">
        <v>79</v>
      </c>
      <c r="M2919" s="1">
        <f>IF(L2919="","ไม่พบใน SG",IF(ABS(J2919-L2919)&lt;0.005,"ตรงกัน","ไม่ตรง"))</f>
        <v/>
      </c>
      <c r="N2919" s="14">
        <f>IF(L2919="","",ROUND(L2919*'สรุป'!$C$6,-1))</f>
        <v/>
      </c>
      <c r="O2919" s="15" t="n"/>
      <c r="P2919" s="15" t="n"/>
      <c r="Q2919" s="10" t="n"/>
      <c r="R2919" s="10" t="n"/>
      <c r="S2919" s="16" t="inlineStr">
        <is>
          <t>https://mstgolf.co.th/products/gf2040116962</t>
        </is>
      </c>
      <c r="T2919" s="1">
        <f>IF(B2919="ไม้กอล์ฟ",J2919,"")</f>
        <v/>
      </c>
    </row>
    <row r="2920">
      <c r="A2920" s="1" t="n">
        <v>3</v>
      </c>
      <c r="B2920" s="1" t="inlineStr">
        <is>
          <t>เสื้อผ้า</t>
        </is>
      </c>
      <c r="C2920" s="1" t="inlineStr">
        <is>
          <t>gf2040114240</t>
        </is>
      </c>
      <c r="D2920" s="1" t="inlineStr">
        <is>
          <t>GFORE Pleated Collar Men's Polo (Ultramarine)</t>
        </is>
      </c>
      <c r="E2920" s="1" t="inlineStr">
        <is>
          <t>GFORE</t>
        </is>
      </c>
      <c r="F2920" s="1" t="inlineStr">
        <is>
          <t>SHORT SLEEVES</t>
        </is>
      </c>
      <c r="G2920" s="1" t="inlineStr">
        <is>
          <t>GF2040114240XS</t>
        </is>
      </c>
      <c r="H2920" s="1" t="n">
        <v>6</v>
      </c>
      <c r="I2920" s="1" t="inlineStr">
        <is>
          <t>มี</t>
        </is>
      </c>
      <c r="J2920" s="13" t="n">
        <v>79</v>
      </c>
      <c r="K2920" s="1" t="inlineStr"/>
      <c r="L2920" s="13" t="n">
        <v>79</v>
      </c>
      <c r="M2920" s="1">
        <f>IF(L2920="","ไม่พบใน SG",IF(ABS(J2920-L2920)&lt;0.005,"ตรงกัน","ไม่ตรง"))</f>
        <v/>
      </c>
      <c r="N2920" s="14">
        <f>IF(L2920="","",ROUND(L2920*'สรุป'!$C$6,-1))</f>
        <v/>
      </c>
      <c r="O2920" s="15" t="n"/>
      <c r="P2920" s="15" t="n"/>
      <c r="Q2920" s="10" t="n"/>
      <c r="R2920" s="10" t="n"/>
      <c r="S2920" s="16" t="inlineStr">
        <is>
          <t>https://mstgolf.co.th/products/gf2040114240</t>
        </is>
      </c>
      <c r="T2920" s="1">
        <f>IF(B2920="ไม้กอล์ฟ",J2920,"")</f>
        <v/>
      </c>
    </row>
    <row r="2921">
      <c r="A2921" s="1" t="n">
        <v>3</v>
      </c>
      <c r="B2921" s="1" t="inlineStr">
        <is>
          <t>เสื้อผ้า</t>
        </is>
      </c>
      <c r="C2921" s="1" t="inlineStr">
        <is>
          <t>gf2040116972</t>
        </is>
      </c>
      <c r="D2921" s="1" t="inlineStr">
        <is>
          <t>GFORE RGB Tech Jersey Men's Polo (Lead)</t>
        </is>
      </c>
      <c r="E2921" s="1" t="inlineStr">
        <is>
          <t>GFORE</t>
        </is>
      </c>
      <c r="F2921" s="1" t="inlineStr">
        <is>
          <t>SHORT SLEEVES</t>
        </is>
      </c>
      <c r="G2921" s="1" t="inlineStr">
        <is>
          <t>GF2040116972XS</t>
        </is>
      </c>
      <c r="H2921" s="1" t="n">
        <v>6</v>
      </c>
      <c r="I2921" s="1" t="inlineStr">
        <is>
          <t>มี</t>
        </is>
      </c>
      <c r="J2921" s="13" t="n">
        <v>79</v>
      </c>
      <c r="K2921" s="1" t="inlineStr"/>
      <c r="L2921" s="13" t="n">
        <v>79</v>
      </c>
      <c r="M2921" s="1">
        <f>IF(L2921="","ไม่พบใน SG",IF(ABS(J2921-L2921)&lt;0.005,"ตรงกัน","ไม่ตรง"))</f>
        <v/>
      </c>
      <c r="N2921" s="14">
        <f>IF(L2921="","",ROUND(L2921*'สรุป'!$C$6,-1))</f>
        <v/>
      </c>
      <c r="O2921" s="15" t="n"/>
      <c r="P2921" s="15" t="n"/>
      <c r="Q2921" s="10" t="n"/>
      <c r="R2921" s="10" t="n"/>
      <c r="S2921" s="16" t="inlineStr">
        <is>
          <t>https://mstgolf.co.th/products/gf2040116972</t>
        </is>
      </c>
      <c r="T2921" s="1">
        <f>IF(B2921="ไม้กอล์ฟ",J2921,"")</f>
        <v/>
      </c>
    </row>
    <row r="2922">
      <c r="A2922" s="1" t="n">
        <v>3</v>
      </c>
      <c r="B2922" s="1" t="inlineStr">
        <is>
          <t>เสื้อผ้า</t>
        </is>
      </c>
      <c r="C2922" s="1" t="inlineStr">
        <is>
          <t>gf2040118066</t>
        </is>
      </c>
      <c r="D2922" s="1" t="inlineStr">
        <is>
          <t>GFORE Script Pique Men's Polo (Onyx)</t>
        </is>
      </c>
      <c r="E2922" s="1" t="inlineStr">
        <is>
          <t>GFORE</t>
        </is>
      </c>
      <c r="F2922" s="1" t="inlineStr">
        <is>
          <t>SHORT SLEEVES</t>
        </is>
      </c>
      <c r="G2922" s="1" t="inlineStr">
        <is>
          <t>GF2040118066XS</t>
        </is>
      </c>
      <c r="H2922" s="1" t="n">
        <v>6</v>
      </c>
      <c r="I2922" s="1" t="inlineStr">
        <is>
          <t>มี</t>
        </is>
      </c>
      <c r="J2922" s="13" t="n">
        <v>79</v>
      </c>
      <c r="K2922" s="1" t="inlineStr"/>
      <c r="L2922" s="13" t="n">
        <v>79</v>
      </c>
      <c r="M2922" s="1">
        <f>IF(L2922="","ไม่พบใน SG",IF(ABS(J2922-L2922)&lt;0.005,"ตรงกัน","ไม่ตรง"))</f>
        <v/>
      </c>
      <c r="N2922" s="14">
        <f>IF(L2922="","",ROUND(L2922*'สรุป'!$C$6,-1))</f>
        <v/>
      </c>
      <c r="O2922" s="15" t="n"/>
      <c r="P2922" s="15" t="n"/>
      <c r="Q2922" s="10" t="n"/>
      <c r="R2922" s="10" t="n"/>
      <c r="S2922" s="16" t="inlineStr">
        <is>
          <t>https://mstgolf.co.th/products/gf2040118066</t>
        </is>
      </c>
      <c r="T2922" s="1">
        <f>IF(B2922="ไม้กอล์ฟ",J2922,"")</f>
        <v/>
      </c>
    </row>
    <row r="2923">
      <c r="A2923" s="1" t="n">
        <v>3</v>
      </c>
      <c r="B2923" s="1" t="inlineStr">
        <is>
          <t>เสื้อผ้า</t>
        </is>
      </c>
      <c r="C2923" s="1" t="inlineStr">
        <is>
          <t>gf2040116976</t>
        </is>
      </c>
      <c r="D2923" s="1" t="inlineStr">
        <is>
          <t>GFORE Script Pique Men's Polo (Twilight)</t>
        </is>
      </c>
      <c r="E2923" s="1" t="inlineStr">
        <is>
          <t>GFORE</t>
        </is>
      </c>
      <c r="F2923" s="1" t="inlineStr">
        <is>
          <t>SHORT SLEEVES</t>
        </is>
      </c>
      <c r="G2923" s="1" t="inlineStr">
        <is>
          <t>GF2040116976XS</t>
        </is>
      </c>
      <c r="H2923" s="1" t="n">
        <v>6</v>
      </c>
      <c r="I2923" s="1" t="inlineStr">
        <is>
          <t>มี</t>
        </is>
      </c>
      <c r="J2923" s="13" t="n">
        <v>79</v>
      </c>
      <c r="K2923" s="1" t="inlineStr"/>
      <c r="L2923" s="13" t="n">
        <v>79</v>
      </c>
      <c r="M2923" s="1">
        <f>IF(L2923="","ไม่พบใน SG",IF(ABS(J2923-L2923)&lt;0.005,"ตรงกัน","ไม่ตรง"))</f>
        <v/>
      </c>
      <c r="N2923" s="14">
        <f>IF(L2923="","",ROUND(L2923*'สรุป'!$C$6,-1))</f>
        <v/>
      </c>
      <c r="O2923" s="15" t="n"/>
      <c r="P2923" s="15" t="n"/>
      <c r="Q2923" s="10" t="n"/>
      <c r="R2923" s="10" t="n"/>
      <c r="S2923" s="16" t="inlineStr">
        <is>
          <t>https://mstgolf.co.th/products/gf2040116976</t>
        </is>
      </c>
      <c r="T2923" s="1">
        <f>IF(B2923="ไม้กอล์ฟ",J2923,"")</f>
        <v/>
      </c>
    </row>
    <row r="2924">
      <c r="A2924" s="1" t="n">
        <v>3</v>
      </c>
      <c r="B2924" s="1" t="inlineStr">
        <is>
          <t>เสื้อผ้า</t>
        </is>
      </c>
      <c r="C2924" s="1" t="inlineStr">
        <is>
          <t>gf2040115172</t>
        </is>
      </c>
      <c r="D2924" s="1" t="inlineStr">
        <is>
          <t>GFORE Sketch Floral Jersey Men's Polo (Light Heather Grey)</t>
        </is>
      </c>
      <c r="E2924" s="1" t="inlineStr">
        <is>
          <t>GFORE</t>
        </is>
      </c>
      <c r="F2924" s="1" t="inlineStr">
        <is>
          <t>SHORT SLEEVES</t>
        </is>
      </c>
      <c r="G2924" s="1" t="inlineStr">
        <is>
          <t>GF2040115172XS</t>
        </is>
      </c>
      <c r="H2924" s="1" t="n">
        <v>6</v>
      </c>
      <c r="I2924" s="1" t="inlineStr">
        <is>
          <t>มี</t>
        </is>
      </c>
      <c r="J2924" s="13" t="n">
        <v>79</v>
      </c>
      <c r="K2924" s="1" t="inlineStr"/>
      <c r="L2924" s="13" t="n">
        <v>79</v>
      </c>
      <c r="M2924" s="1">
        <f>IF(L2924="","ไม่พบใน SG",IF(ABS(J2924-L2924)&lt;0.005,"ตรงกัน","ไม่ตรง"))</f>
        <v/>
      </c>
      <c r="N2924" s="14">
        <f>IF(L2924="","",ROUND(L2924*'สรุป'!$C$6,-1))</f>
        <v/>
      </c>
      <c r="O2924" s="15" t="n"/>
      <c r="P2924" s="15" t="n"/>
      <c r="Q2924" s="10" t="n"/>
      <c r="R2924" s="10" t="n"/>
      <c r="S2924" s="16" t="inlineStr">
        <is>
          <t>https://mstgolf.co.th/products/gf2040115172</t>
        </is>
      </c>
      <c r="T2924" s="1">
        <f>IF(B2924="ไม้กอล์ฟ",J2924,"")</f>
        <v/>
      </c>
    </row>
    <row r="2925">
      <c r="A2925" s="1" t="n">
        <v>3</v>
      </c>
      <c r="B2925" s="1" t="inlineStr">
        <is>
          <t>เสื้อผ้า</t>
        </is>
      </c>
      <c r="C2925" s="1" t="inlineStr">
        <is>
          <t>gf2040118062</t>
        </is>
      </c>
      <c r="D2925" s="1" t="inlineStr">
        <is>
          <t>GFORE Star Dust Rib Men's Polo (Snow)</t>
        </is>
      </c>
      <c r="E2925" s="1" t="inlineStr">
        <is>
          <t>GFORE</t>
        </is>
      </c>
      <c r="F2925" s="1" t="inlineStr">
        <is>
          <t>SHORT SLEEVES</t>
        </is>
      </c>
      <c r="G2925" s="1" t="inlineStr">
        <is>
          <t>GF2040118062XS</t>
        </is>
      </c>
      <c r="H2925" s="1" t="n">
        <v>6</v>
      </c>
      <c r="I2925" s="1" t="inlineStr">
        <is>
          <t>มี</t>
        </is>
      </c>
      <c r="J2925" s="13" t="n">
        <v>79</v>
      </c>
      <c r="K2925" s="1" t="inlineStr"/>
      <c r="L2925" s="13" t="n">
        <v>79</v>
      </c>
      <c r="M2925" s="1">
        <f>IF(L2925="","ไม่พบใน SG",IF(ABS(J2925-L2925)&lt;0.005,"ตรงกัน","ไม่ตรง"))</f>
        <v/>
      </c>
      <c r="N2925" s="14">
        <f>IF(L2925="","",ROUND(L2925*'สรุป'!$C$6,-1))</f>
        <v/>
      </c>
      <c r="O2925" s="15" t="n"/>
      <c r="P2925" s="15" t="n"/>
      <c r="Q2925" s="10" t="n"/>
      <c r="R2925" s="10" t="n"/>
      <c r="S2925" s="16" t="inlineStr">
        <is>
          <t>https://mstgolf.co.th/products/gf2040118062</t>
        </is>
      </c>
      <c r="T2925" s="1">
        <f>IF(B2925="ไม้กอล์ฟ",J2925,"")</f>
        <v/>
      </c>
    </row>
    <row r="2926">
      <c r="A2926" s="1" t="n">
        <v>3</v>
      </c>
      <c r="B2926" s="1" t="inlineStr">
        <is>
          <t>เสื้อผ้า</t>
        </is>
      </c>
      <c r="C2926" s="1" t="inlineStr">
        <is>
          <t>gf2040114176</t>
        </is>
      </c>
      <c r="D2926" s="1" t="inlineStr">
        <is>
          <t>GFORE Tech Rib Women's Polo (Onyx)</t>
        </is>
      </c>
      <c r="E2926" s="1" t="inlineStr">
        <is>
          <t>GFORE</t>
        </is>
      </c>
      <c r="F2926" s="1" t="inlineStr">
        <is>
          <t>SHORT SLEEVES</t>
        </is>
      </c>
      <c r="G2926" s="1" t="inlineStr">
        <is>
          <t>GF2040114176XS</t>
        </is>
      </c>
      <c r="H2926" s="1" t="n">
        <v>5</v>
      </c>
      <c r="I2926" s="1" t="inlineStr">
        <is>
          <t>มี</t>
        </is>
      </c>
      <c r="J2926" s="13" t="n">
        <v>79</v>
      </c>
      <c r="K2926" s="1" t="inlineStr"/>
      <c r="L2926" s="13" t="n">
        <v>79</v>
      </c>
      <c r="M2926" s="1">
        <f>IF(L2926="","ไม่พบใน SG",IF(ABS(J2926-L2926)&lt;0.005,"ตรงกัน","ไม่ตรง"))</f>
        <v/>
      </c>
      <c r="N2926" s="14">
        <f>IF(L2926="","",ROUND(L2926*'สรุป'!$C$6,-1))</f>
        <v/>
      </c>
      <c r="O2926" s="15" t="n"/>
      <c r="P2926" s="15" t="n"/>
      <c r="Q2926" s="10" t="n"/>
      <c r="R2926" s="10" t="n"/>
      <c r="S2926" s="16" t="inlineStr">
        <is>
          <t>https://mstgolf.co.th/products/gf2040114176</t>
        </is>
      </c>
      <c r="T2926" s="1">
        <f>IF(B2926="ไม้กอล์ฟ",J2926,"")</f>
        <v/>
      </c>
    </row>
    <row r="2927">
      <c r="A2927" s="1" t="n">
        <v>3</v>
      </c>
      <c r="B2927" s="1" t="inlineStr">
        <is>
          <t>เสื้อผ้า</t>
        </is>
      </c>
      <c r="C2927" s="1" t="inlineStr">
        <is>
          <t>gf2040118064</t>
        </is>
      </c>
      <c r="D2927" s="1" t="inlineStr">
        <is>
          <t>GFORE Tux Men's Jersey Polo (Onyx)</t>
        </is>
      </c>
      <c r="E2927" s="1" t="inlineStr">
        <is>
          <t>GFORE</t>
        </is>
      </c>
      <c r="F2927" s="1" t="inlineStr">
        <is>
          <t>SHORT SLEEVES</t>
        </is>
      </c>
      <c r="G2927" s="1" t="inlineStr">
        <is>
          <t>GF2040118064XS</t>
        </is>
      </c>
      <c r="H2927" s="1" t="n">
        <v>6</v>
      </c>
      <c r="I2927" s="1" t="inlineStr">
        <is>
          <t>มี</t>
        </is>
      </c>
      <c r="J2927" s="13" t="n">
        <v>79</v>
      </c>
      <c r="K2927" s="1" t="inlineStr"/>
      <c r="L2927" s="13" t="n">
        <v>79</v>
      </c>
      <c r="M2927" s="1">
        <f>IF(L2927="","ไม่พบใน SG",IF(ABS(J2927-L2927)&lt;0.005,"ตรงกัน","ไม่ตรง"))</f>
        <v/>
      </c>
      <c r="N2927" s="14">
        <f>IF(L2927="","",ROUND(L2927*'สรุป'!$C$6,-1))</f>
        <v/>
      </c>
      <c r="O2927" s="15" t="n"/>
      <c r="P2927" s="15" t="n"/>
      <c r="Q2927" s="10" t="n"/>
      <c r="R2927" s="10" t="n"/>
      <c r="S2927" s="16" t="inlineStr">
        <is>
          <t>https://mstgolf.co.th/products/gf2040118064</t>
        </is>
      </c>
      <c r="T2927" s="1">
        <f>IF(B2927="ไม้กอล์ฟ",J2927,"")</f>
        <v/>
      </c>
    </row>
    <row r="2928">
      <c r="A2928" s="1" t="n">
        <v>3</v>
      </c>
      <c r="B2928" s="1" t="inlineStr">
        <is>
          <t>เสื้อผ้า</t>
        </is>
      </c>
      <c r="C2928" s="1" t="inlineStr">
        <is>
          <t>gf2040115163</t>
        </is>
      </c>
      <c r="D2928" s="1" t="inlineStr">
        <is>
          <t>GFORE Y/D Performance Jersey Rib Men's Polo (Twilight)</t>
        </is>
      </c>
      <c r="E2928" s="1" t="inlineStr">
        <is>
          <t>GFORE</t>
        </is>
      </c>
      <c r="F2928" s="1" t="inlineStr">
        <is>
          <t>SHORT SLEEVES</t>
        </is>
      </c>
      <c r="G2928" s="1" t="inlineStr">
        <is>
          <t>GF2040115163XS</t>
        </is>
      </c>
      <c r="H2928" s="1" t="n">
        <v>6</v>
      </c>
      <c r="I2928" s="1" t="inlineStr">
        <is>
          <t>มี</t>
        </is>
      </c>
      <c r="J2928" s="13" t="n">
        <v>79</v>
      </c>
      <c r="K2928" s="1" t="inlineStr"/>
      <c r="L2928" s="13" t="n">
        <v>79</v>
      </c>
      <c r="M2928" s="1">
        <f>IF(L2928="","ไม่พบใน SG",IF(ABS(J2928-L2928)&lt;0.005,"ตรงกัน","ไม่ตรง"))</f>
        <v/>
      </c>
      <c r="N2928" s="14">
        <f>IF(L2928="","",ROUND(L2928*'สรุป'!$C$6,-1))</f>
        <v/>
      </c>
      <c r="O2928" s="15" t="n"/>
      <c r="P2928" s="15" t="n"/>
      <c r="Q2928" s="10" t="n"/>
      <c r="R2928" s="10" t="n"/>
      <c r="S2928" s="16" t="inlineStr">
        <is>
          <t>https://mstgolf.co.th/products/gf2040115163</t>
        </is>
      </c>
      <c r="T2928" s="1">
        <f>IF(B2928="ไม้กอล์ฟ",J2928,"")</f>
        <v/>
      </c>
    </row>
    <row r="2929">
      <c r="A2929" s="1" t="n">
        <v>3</v>
      </c>
      <c r="B2929" s="1" t="inlineStr">
        <is>
          <t>เสื้อผ้า</t>
        </is>
      </c>
      <c r="C2929" s="1" t="inlineStr">
        <is>
          <t>gf2040401387</t>
        </is>
      </c>
      <c r="D2929" s="1" t="inlineStr">
        <is>
          <t>LE COQ SPORTIF GOLF Men's Pullover Sweater (Beige)</t>
        </is>
      </c>
      <c r="E2929" s="1" t="inlineStr">
        <is>
          <t>LE COQ SPORTIF GOLF</t>
        </is>
      </c>
      <c r="F2929" s="1" t="inlineStr">
        <is>
          <t>TOP</t>
        </is>
      </c>
      <c r="G2929" s="1" t="inlineStr">
        <is>
          <t>GF2040401387S</t>
        </is>
      </c>
      <c r="H2929" s="1" t="n">
        <v>6</v>
      </c>
      <c r="I2929" s="1" t="inlineStr">
        <is>
          <t>มี</t>
        </is>
      </c>
      <c r="J2929" s="13" t="n">
        <v>79</v>
      </c>
      <c r="K2929" s="1" t="inlineStr"/>
      <c r="L2929" s="13" t="n">
        <v>79</v>
      </c>
      <c r="M2929" s="1">
        <f>IF(L2929="","ไม่พบใน SG",IF(ABS(J2929-L2929)&lt;0.005,"ตรงกัน","ไม่ตรง"))</f>
        <v/>
      </c>
      <c r="N2929" s="14">
        <f>IF(L2929="","",ROUND(L2929*'สรุป'!$C$6,-1))</f>
        <v/>
      </c>
      <c r="O2929" s="15" t="n"/>
      <c r="P2929" s="15" t="n"/>
      <c r="Q2929" s="10" t="n"/>
      <c r="R2929" s="10" t="n"/>
      <c r="S2929" s="16" t="inlineStr">
        <is>
          <t>https://mstgolf.co.th/products/gf2040401387</t>
        </is>
      </c>
      <c r="T2929" s="1">
        <f>IF(B2929="ไม้กอล์ฟ",J2929,"")</f>
        <v/>
      </c>
    </row>
    <row r="2930">
      <c r="A2930" s="1" t="n">
        <v>3</v>
      </c>
      <c r="B2930" s="1" t="inlineStr">
        <is>
          <t>อุปกรณ์เสริม</t>
        </is>
      </c>
      <c r="C2930" s="1" t="inlineStr">
        <is>
          <t>gf2080101517</t>
        </is>
      </c>
      <c r="D2930" s="1" t="inlineStr">
        <is>
          <t>LE COQ SPORTIF GOLF Vented Mesh Men's Belt (Black)</t>
        </is>
      </c>
      <c r="E2930" s="1" t="inlineStr">
        <is>
          <t>LE COQ SPORTIF GOLF</t>
        </is>
      </c>
      <c r="F2930" s="1" t="inlineStr">
        <is>
          <t>BELT</t>
        </is>
      </c>
      <c r="G2930" s="1" t="inlineStr">
        <is>
          <t>GF2080101517FS</t>
        </is>
      </c>
      <c r="H2930" s="1" t="n">
        <v>1</v>
      </c>
      <c r="I2930" s="1" t="inlineStr">
        <is>
          <t>มี</t>
        </is>
      </c>
      <c r="J2930" s="13" t="n">
        <v>79</v>
      </c>
      <c r="K2930" s="1" t="inlineStr"/>
      <c r="L2930" s="13" t="n">
        <v>79</v>
      </c>
      <c r="M2930" s="1">
        <f>IF(L2930="","ไม่พบใน SG",IF(ABS(J2930-L2930)&lt;0.005,"ตรงกัน","ไม่ตรง"))</f>
        <v/>
      </c>
      <c r="N2930" s="14">
        <f>IF(L2930="","",ROUND(L2930*'สรุป'!$C$6,-1))</f>
        <v/>
      </c>
      <c r="O2930" s="15" t="n"/>
      <c r="P2930" s="15" t="n"/>
      <c r="Q2930" s="10" t="n"/>
      <c r="R2930" s="10" t="n"/>
      <c r="S2930" s="16" t="inlineStr">
        <is>
          <t>https://mstgolf.co.th/products/gf2080101517</t>
        </is>
      </c>
      <c r="T2930" s="1">
        <f>IF(B2930="ไม้กอล์ฟ",J2930,"")</f>
        <v/>
      </c>
    </row>
    <row r="2931">
      <c r="A2931" s="1" t="n">
        <v>3</v>
      </c>
      <c r="B2931" s="1" t="inlineStr">
        <is>
          <t>อุปกรณ์เสริม</t>
        </is>
      </c>
      <c r="C2931" s="1" t="inlineStr">
        <is>
          <t>gf2080101518</t>
        </is>
      </c>
      <c r="D2931" s="1" t="inlineStr">
        <is>
          <t>LE COQ SPORTIF GOLF Vented Mesh Men's Belt (Navy)</t>
        </is>
      </c>
      <c r="E2931" s="1" t="inlineStr">
        <is>
          <t>LE COQ SPORTIF GOLF</t>
        </is>
      </c>
      <c r="F2931" s="1" t="inlineStr">
        <is>
          <t>BELT</t>
        </is>
      </c>
      <c r="G2931" s="1" t="inlineStr">
        <is>
          <t>GF2080101518FS</t>
        </is>
      </c>
      <c r="H2931" s="1" t="n">
        <v>1</v>
      </c>
      <c r="I2931" s="1" t="inlineStr">
        <is>
          <t>มี</t>
        </is>
      </c>
      <c r="J2931" s="13" t="n">
        <v>79</v>
      </c>
      <c r="K2931" s="1" t="inlineStr"/>
      <c r="L2931" s="13" t="n">
        <v>79</v>
      </c>
      <c r="M2931" s="1">
        <f>IF(L2931="","ไม่พบใน SG",IF(ABS(J2931-L2931)&lt;0.005,"ตรงกัน","ไม่ตรง"))</f>
        <v/>
      </c>
      <c r="N2931" s="14">
        <f>IF(L2931="","",ROUND(L2931*'สรุป'!$C$6,-1))</f>
        <v/>
      </c>
      <c r="O2931" s="15" t="n"/>
      <c r="P2931" s="15" t="n"/>
      <c r="Q2931" s="10" t="n"/>
      <c r="R2931" s="10" t="n"/>
      <c r="S2931" s="16" t="inlineStr">
        <is>
          <t>https://mstgolf.co.th/products/gf2080101518</t>
        </is>
      </c>
      <c r="T2931" s="1">
        <f>IF(B2931="ไม้กอล์ฟ",J2931,"")</f>
        <v/>
      </c>
    </row>
    <row r="2932">
      <c r="A2932" s="1" t="n">
        <v>3</v>
      </c>
      <c r="B2932" s="1" t="inlineStr">
        <is>
          <t>อุปกรณ์เสริม</t>
        </is>
      </c>
      <c r="C2932" s="1" t="inlineStr">
        <is>
          <t>gf2080101519</t>
        </is>
      </c>
      <c r="D2932" s="1" t="inlineStr">
        <is>
          <t>LE COQ SPORTIF GOLF Women's Belt With Pouch (Black)</t>
        </is>
      </c>
      <c r="E2932" s="1" t="inlineStr">
        <is>
          <t>LE COQ SPORTIF GOLF</t>
        </is>
      </c>
      <c r="F2932" s="1" t="inlineStr">
        <is>
          <t>BELT</t>
        </is>
      </c>
      <c r="G2932" s="1" t="inlineStr">
        <is>
          <t>GF2080101519FS</t>
        </is>
      </c>
      <c r="H2932" s="1" t="n">
        <v>1</v>
      </c>
      <c r="I2932" s="1" t="inlineStr">
        <is>
          <t>มี</t>
        </is>
      </c>
      <c r="J2932" s="13" t="n">
        <v>79</v>
      </c>
      <c r="K2932" s="1" t="inlineStr"/>
      <c r="L2932" s="13" t="n">
        <v>79</v>
      </c>
      <c r="M2932" s="1">
        <f>IF(L2932="","ไม่พบใน SG",IF(ABS(J2932-L2932)&lt;0.005,"ตรงกัน","ไม่ตรง"))</f>
        <v/>
      </c>
      <c r="N2932" s="14">
        <f>IF(L2932="","",ROUND(L2932*'สรุป'!$C$6,-1))</f>
        <v/>
      </c>
      <c r="O2932" s="15" t="n"/>
      <c r="P2932" s="15" t="n"/>
      <c r="Q2932" s="10" t="n"/>
      <c r="R2932" s="10" t="n"/>
      <c r="S2932" s="16" t="inlineStr">
        <is>
          <t>https://mstgolf.co.th/products/gf2080101519</t>
        </is>
      </c>
      <c r="T2932" s="1">
        <f>IF(B2932="ไม้กอล์ฟ",J2932,"")</f>
        <v/>
      </c>
    </row>
    <row r="2933">
      <c r="A2933" s="1" t="n">
        <v>3</v>
      </c>
      <c r="B2933" s="1" t="inlineStr">
        <is>
          <t>อุปกรณ์เสริม</t>
        </is>
      </c>
      <c r="C2933" s="1" t="inlineStr">
        <is>
          <t>gf2080101520</t>
        </is>
      </c>
      <c r="D2933" s="1" t="inlineStr">
        <is>
          <t>LE COQ SPORTIF GOLF Women's Belt With Pouch (Navy)</t>
        </is>
      </c>
      <c r="E2933" s="1" t="inlineStr">
        <is>
          <t>LE COQ SPORTIF GOLF</t>
        </is>
      </c>
      <c r="F2933" s="1" t="inlineStr">
        <is>
          <t>BELT</t>
        </is>
      </c>
      <c r="G2933" s="1" t="inlineStr">
        <is>
          <t>GF2080101520FS</t>
        </is>
      </c>
      <c r="H2933" s="1" t="n">
        <v>1</v>
      </c>
      <c r="I2933" s="1" t="inlineStr">
        <is>
          <t>มี</t>
        </is>
      </c>
      <c r="J2933" s="13" t="n">
        <v>79</v>
      </c>
      <c r="K2933" s="1" t="inlineStr"/>
      <c r="L2933" s="13" t="n">
        <v>79</v>
      </c>
      <c r="M2933" s="1">
        <f>IF(L2933="","ไม่พบใน SG",IF(ABS(J2933-L2933)&lt;0.005,"ตรงกัน","ไม่ตรง"))</f>
        <v/>
      </c>
      <c r="N2933" s="14">
        <f>IF(L2933="","",ROUND(L2933*'สรุป'!$C$6,-1))</f>
        <v/>
      </c>
      <c r="O2933" s="15" t="n"/>
      <c r="P2933" s="15" t="n"/>
      <c r="Q2933" s="10" t="n"/>
      <c r="R2933" s="10" t="n"/>
      <c r="S2933" s="16" t="inlineStr">
        <is>
          <t>https://mstgolf.co.th/products/gf2080101520</t>
        </is>
      </c>
      <c r="T2933" s="1">
        <f>IF(B2933="ไม้กอล์ฟ",J2933,"")</f>
        <v/>
      </c>
    </row>
    <row r="2934">
      <c r="A2934" s="1" t="n">
        <v>3</v>
      </c>
      <c r="B2934" s="1" t="inlineStr">
        <is>
          <t>อุปกรณ์เสริม</t>
        </is>
      </c>
      <c r="C2934" s="1" t="inlineStr">
        <is>
          <t>gf2080101521</t>
        </is>
      </c>
      <c r="D2934" s="1" t="inlineStr">
        <is>
          <t>LE COQ SPORTIF GOLF Women's Belt With Pouch (White)</t>
        </is>
      </c>
      <c r="E2934" s="1" t="inlineStr">
        <is>
          <t>LE COQ SPORTIF GOLF</t>
        </is>
      </c>
      <c r="F2934" s="1" t="inlineStr">
        <is>
          <t>BELT</t>
        </is>
      </c>
      <c r="G2934" s="1" t="inlineStr">
        <is>
          <t>GF2080101521FS</t>
        </is>
      </c>
      <c r="H2934" s="1" t="n">
        <v>1</v>
      </c>
      <c r="I2934" s="1" t="inlineStr">
        <is>
          <t>มี</t>
        </is>
      </c>
      <c r="J2934" s="13" t="n">
        <v>79</v>
      </c>
      <c r="K2934" s="1" t="inlineStr"/>
      <c r="L2934" s="13" t="n">
        <v>79</v>
      </c>
      <c r="M2934" s="1">
        <f>IF(L2934="","ไม่พบใน SG",IF(ABS(J2934-L2934)&lt;0.005,"ตรงกัน","ไม่ตรง"))</f>
        <v/>
      </c>
      <c r="N2934" s="14">
        <f>IF(L2934="","",ROUND(L2934*'สรุป'!$C$6,-1))</f>
        <v/>
      </c>
      <c r="O2934" s="15" t="n"/>
      <c r="P2934" s="15" t="n"/>
      <c r="Q2934" s="10" t="n"/>
      <c r="R2934" s="10" t="n"/>
      <c r="S2934" s="16" t="inlineStr">
        <is>
          <t>https://mstgolf.co.th/products/gf2080101521</t>
        </is>
      </c>
      <c r="T2934" s="1">
        <f>IF(B2934="ไม้กอล์ฟ",J2934,"")</f>
        <v/>
      </c>
    </row>
    <row r="2935">
      <c r="A2935" s="1" t="n">
        <v>3</v>
      </c>
      <c r="B2935" s="1" t="inlineStr">
        <is>
          <t>เสื้อผ้า</t>
        </is>
      </c>
      <c r="C2935" s="1" t="inlineStr">
        <is>
          <t>gf2040401404</t>
        </is>
      </c>
      <c r="D2935" s="1" t="inlineStr">
        <is>
          <t>LE COQ SPORTIF GOLF Women's Long Sleeve Polo (Navy)</t>
        </is>
      </c>
      <c r="E2935" s="1" t="inlineStr">
        <is>
          <t>LE COQ SPORTIF GOLF</t>
        </is>
      </c>
      <c r="F2935" s="1" t="inlineStr">
        <is>
          <t>LONG SLEEVES</t>
        </is>
      </c>
      <c r="G2935" s="1" t="inlineStr">
        <is>
          <t>GF2040401404S</t>
        </is>
      </c>
      <c r="H2935" s="1" t="n">
        <v>6</v>
      </c>
      <c r="I2935" s="1" t="inlineStr">
        <is>
          <t>มี</t>
        </is>
      </c>
      <c r="J2935" s="13" t="n">
        <v>79</v>
      </c>
      <c r="K2935" s="1" t="inlineStr"/>
      <c r="L2935" s="13" t="n">
        <v>79</v>
      </c>
      <c r="M2935" s="1">
        <f>IF(L2935="","ไม่พบใน SG",IF(ABS(J2935-L2935)&lt;0.005,"ตรงกัน","ไม่ตรง"))</f>
        <v/>
      </c>
      <c r="N2935" s="14">
        <f>IF(L2935="","",ROUND(L2935*'สรุป'!$C$6,-1))</f>
        <v/>
      </c>
      <c r="O2935" s="15" t="n"/>
      <c r="P2935" s="15" t="n"/>
      <c r="Q2935" s="10" t="n"/>
      <c r="R2935" s="10" t="n"/>
      <c r="S2935" s="16" t="inlineStr">
        <is>
          <t>https://mstgolf.co.th/products/gf2040401404</t>
        </is>
      </c>
      <c r="T2935" s="1">
        <f>IF(B2935="ไม้กอล์ฟ",J2935,"")</f>
        <v/>
      </c>
    </row>
    <row r="2936">
      <c r="A2936" s="1" t="n">
        <v>3</v>
      </c>
      <c r="B2936" s="1" t="inlineStr">
        <is>
          <t>เสื้อผ้า</t>
        </is>
      </c>
      <c r="C2936" s="1" t="inlineStr">
        <is>
          <t>gf2040200164</t>
        </is>
      </c>
      <c r="D2936" s="1" t="inlineStr">
        <is>
          <t>LE COQ SPORTIF GOLF Women's Mesh Sleeveless Hoodie (Blue)</t>
        </is>
      </c>
      <c r="E2936" s="1" t="inlineStr">
        <is>
          <t>LE COQ SPORTIF GOLF</t>
        </is>
      </c>
      <c r="F2936" s="1" t="inlineStr">
        <is>
          <t>TEE SHIRT</t>
        </is>
      </c>
      <c r="G2936" s="1" t="inlineStr">
        <is>
          <t>GF2040200164S</t>
        </is>
      </c>
      <c r="H2936" s="1" t="n">
        <v>6</v>
      </c>
      <c r="I2936" s="1" t="inlineStr">
        <is>
          <t>มี</t>
        </is>
      </c>
      <c r="J2936" s="13" t="n">
        <v>79</v>
      </c>
      <c r="K2936" s="1" t="inlineStr"/>
      <c r="L2936" s="13" t="n">
        <v>79</v>
      </c>
      <c r="M2936" s="1">
        <f>IF(L2936="","ไม่พบใน SG",IF(ABS(J2936-L2936)&lt;0.005,"ตรงกัน","ไม่ตรง"))</f>
        <v/>
      </c>
      <c r="N2936" s="14">
        <f>IF(L2936="","",ROUND(L2936*'สรุป'!$C$6,-1))</f>
        <v/>
      </c>
      <c r="O2936" s="15" t="n"/>
      <c r="P2936" s="15" t="n"/>
      <c r="Q2936" s="10" t="n"/>
      <c r="R2936" s="10" t="n"/>
      <c r="S2936" s="16" t="inlineStr">
        <is>
          <t>https://mstgolf.co.th/products/gf2040200164</t>
        </is>
      </c>
      <c r="T2936" s="1">
        <f>IF(B2936="ไม้กอล์ฟ",J2936,"")</f>
        <v/>
      </c>
    </row>
    <row r="2937">
      <c r="A2937" s="1" t="n">
        <v>3</v>
      </c>
      <c r="B2937" s="1" t="inlineStr">
        <is>
          <t>เสื้อผ้า</t>
        </is>
      </c>
      <c r="C2937" s="1" t="inlineStr">
        <is>
          <t>gf2040200140</t>
        </is>
      </c>
      <c r="D2937" s="1" t="inlineStr">
        <is>
          <t>LE COQ SPORTIF GOLF Women's Sleeveless Mesh Hoodie (Orange)</t>
        </is>
      </c>
      <c r="E2937" s="1" t="inlineStr">
        <is>
          <t>LE COQ SPORTIF GOLF</t>
        </is>
      </c>
      <c r="F2937" s="1" t="inlineStr">
        <is>
          <t>TEE SHIRT</t>
        </is>
      </c>
      <c r="G2937" s="1" t="inlineStr">
        <is>
          <t>GF2040200140S</t>
        </is>
      </c>
      <c r="H2937" s="1" t="n">
        <v>6</v>
      </c>
      <c r="I2937" s="1" t="inlineStr">
        <is>
          <t>มี</t>
        </is>
      </c>
      <c r="J2937" s="13" t="n">
        <v>79</v>
      </c>
      <c r="K2937" s="1" t="inlineStr"/>
      <c r="L2937" s="13" t="n">
        <v>79</v>
      </c>
      <c r="M2937" s="1">
        <f>IF(L2937="","ไม่พบใน SG",IF(ABS(J2937-L2937)&lt;0.005,"ตรงกัน","ไม่ตรง"))</f>
        <v/>
      </c>
      <c r="N2937" s="14">
        <f>IF(L2937="","",ROUND(L2937*'สรุป'!$C$6,-1))</f>
        <v/>
      </c>
      <c r="O2937" s="15" t="n"/>
      <c r="P2937" s="15" t="n"/>
      <c r="Q2937" s="10" t="n"/>
      <c r="R2937" s="10" t="n"/>
      <c r="S2937" s="16" t="inlineStr">
        <is>
          <t>https://mstgolf.co.th/products/gf2040200140</t>
        </is>
      </c>
      <c r="T2937" s="1">
        <f>IF(B2937="ไม้กอล์ฟ",J2937,"")</f>
        <v/>
      </c>
    </row>
    <row r="2938">
      <c r="A2938" s="1" t="n">
        <v>3</v>
      </c>
      <c r="B2938" s="1" t="inlineStr">
        <is>
          <t>อุปกรณ์เสริม</t>
        </is>
      </c>
      <c r="C2938" s="1" t="inlineStr">
        <is>
          <t>gf3500300865</t>
        </is>
      </c>
      <c r="D2938" s="1" t="inlineStr">
        <is>
          <t>MALBON GOLF Chelsea Coin Purse (Pink)</t>
        </is>
      </c>
      <c r="E2938" s="1" t="inlineStr">
        <is>
          <t>MALBON GOLF</t>
        </is>
      </c>
      <c r="F2938" s="1" t="inlineStr">
        <is>
          <t>GOLF ACCESSORIES</t>
        </is>
      </c>
      <c r="G2938" s="1" t="inlineStr">
        <is>
          <t>GF3500300865</t>
        </is>
      </c>
      <c r="H2938" s="1" t="n">
        <v>1</v>
      </c>
      <c r="I2938" s="1" t="inlineStr">
        <is>
          <t>มี</t>
        </is>
      </c>
      <c r="J2938" s="13" t="n">
        <v>79</v>
      </c>
      <c r="K2938" s="1" t="inlineStr"/>
      <c r="L2938" s="13" t="n">
        <v>79</v>
      </c>
      <c r="M2938" s="1">
        <f>IF(L2938="","ไม่พบใน SG",IF(ABS(J2938-L2938)&lt;0.005,"ตรงกัน","ไม่ตรง"))</f>
        <v/>
      </c>
      <c r="N2938" s="14">
        <f>IF(L2938="","",ROUND(L2938*'สรุป'!$C$6,-1))</f>
        <v/>
      </c>
      <c r="O2938" s="15" t="n"/>
      <c r="P2938" s="15" t="n"/>
      <c r="Q2938" s="10" t="n"/>
      <c r="R2938" s="10" t="n"/>
      <c r="S2938" s="16" t="inlineStr">
        <is>
          <t>https://mstgolf.co.th/products/gf3500300865</t>
        </is>
      </c>
      <c r="T2938" s="1">
        <f>IF(B2938="ไม้กอล์ฟ",J2938,"")</f>
        <v/>
      </c>
    </row>
    <row r="2939">
      <c r="A2939" s="1" t="n">
        <v>3</v>
      </c>
      <c r="B2939" s="1" t="inlineStr">
        <is>
          <t>หมวก</t>
        </is>
      </c>
      <c r="C2939" s="1" t="inlineStr">
        <is>
          <t>gf2000106239</t>
        </is>
      </c>
      <c r="D2939" s="1" t="inlineStr">
        <is>
          <t>MALBON GOLF M Script Chainstitch Men's Cap (Gold)</t>
        </is>
      </c>
      <c r="E2939" s="1" t="inlineStr">
        <is>
          <t>MALBON GOLF</t>
        </is>
      </c>
      <c r="F2939" s="1" t="inlineStr">
        <is>
          <t>CAP</t>
        </is>
      </c>
      <c r="G2939" s="1" t="inlineStr">
        <is>
          <t>GF2000106239FS</t>
        </is>
      </c>
      <c r="H2939" s="1" t="n">
        <v>1</v>
      </c>
      <c r="I2939" s="1" t="inlineStr">
        <is>
          <t>มี</t>
        </is>
      </c>
      <c r="J2939" s="13" t="n">
        <v>79</v>
      </c>
      <c r="K2939" s="1" t="inlineStr"/>
      <c r="L2939" s="13" t="n">
        <v>79</v>
      </c>
      <c r="M2939" s="1">
        <f>IF(L2939="","ไม่พบใน SG",IF(ABS(J2939-L2939)&lt;0.005,"ตรงกัน","ไม่ตรง"))</f>
        <v/>
      </c>
      <c r="N2939" s="14">
        <f>IF(L2939="","",ROUND(L2939*'สรุป'!$C$6,-1))</f>
        <v/>
      </c>
      <c r="O2939" s="15" t="n"/>
      <c r="P2939" s="15" t="n"/>
      <c r="Q2939" s="10" t="n"/>
      <c r="R2939" s="10" t="n"/>
      <c r="S2939" s="16" t="inlineStr">
        <is>
          <t>https://mstgolf.co.th/products/gf2000106239</t>
        </is>
      </c>
      <c r="T2939" s="1">
        <f>IF(B2939="ไม้กอล์ฟ",J2939,"")</f>
        <v/>
      </c>
    </row>
    <row r="2940">
      <c r="A2940" s="1" t="n">
        <v>3</v>
      </c>
      <c r="B2940" s="1" t="inlineStr">
        <is>
          <t>หมวก</t>
        </is>
      </c>
      <c r="C2940" s="1" t="inlineStr">
        <is>
          <t>gf2000106240</t>
        </is>
      </c>
      <c r="D2940" s="1" t="inlineStr">
        <is>
          <t>MALBON GOLF M Script Chainstitch Men's Cap (Ivory)</t>
        </is>
      </c>
      <c r="E2940" s="1" t="inlineStr">
        <is>
          <t>MALBON GOLF</t>
        </is>
      </c>
      <c r="F2940" s="1" t="inlineStr">
        <is>
          <t>CAP</t>
        </is>
      </c>
      <c r="G2940" s="1" t="inlineStr">
        <is>
          <t>GF2000106240FS</t>
        </is>
      </c>
      <c r="H2940" s="1" t="n">
        <v>1</v>
      </c>
      <c r="I2940" s="1" t="inlineStr">
        <is>
          <t>มี</t>
        </is>
      </c>
      <c r="J2940" s="13" t="n">
        <v>79</v>
      </c>
      <c r="K2940" s="1" t="inlineStr"/>
      <c r="L2940" s="13" t="n">
        <v>79</v>
      </c>
      <c r="M2940" s="1">
        <f>IF(L2940="","ไม่พบใน SG",IF(ABS(J2940-L2940)&lt;0.005,"ตรงกัน","ไม่ตรง"))</f>
        <v/>
      </c>
      <c r="N2940" s="14">
        <f>IF(L2940="","",ROUND(L2940*'สรุป'!$C$6,-1))</f>
        <v/>
      </c>
      <c r="O2940" s="15" t="n"/>
      <c r="P2940" s="15" t="n"/>
      <c r="Q2940" s="10" t="n"/>
      <c r="R2940" s="10" t="n"/>
      <c r="S2940" s="16" t="inlineStr">
        <is>
          <t>https://mstgolf.co.th/products/gf2000106240</t>
        </is>
      </c>
      <c r="T2940" s="1">
        <f>IF(B2940="ไม้กอล์ฟ",J2940,"")</f>
        <v/>
      </c>
    </row>
    <row r="2941">
      <c r="A2941" s="1" t="n">
        <v>3</v>
      </c>
      <c r="B2941" s="1" t="inlineStr">
        <is>
          <t>เสื้อผ้า</t>
        </is>
      </c>
      <c r="C2941" s="1" t="inlineStr">
        <is>
          <t>gf2040120856</t>
        </is>
      </c>
      <c r="D2941" s="1" t="inlineStr">
        <is>
          <t>NIKE Dri-FIT Victory Men's Polo (Olive)</t>
        </is>
      </c>
      <c r="E2941" s="1" t="inlineStr">
        <is>
          <t>NIKE</t>
        </is>
      </c>
      <c r="F2941" s="1" t="inlineStr">
        <is>
          <t>SHORT SLEEVES</t>
        </is>
      </c>
      <c r="G2941" s="1" t="inlineStr">
        <is>
          <t>GF2040120856S</t>
        </is>
      </c>
      <c r="H2941" s="1" t="n">
        <v>5</v>
      </c>
      <c r="I2941" s="1" t="inlineStr">
        <is>
          <t>มี</t>
        </is>
      </c>
      <c r="J2941" s="13" t="n">
        <v>79</v>
      </c>
      <c r="K2941" s="1" t="inlineStr"/>
      <c r="L2941" s="13" t="n">
        <v>79</v>
      </c>
      <c r="M2941" s="1">
        <f>IF(L2941="","ไม่พบใน SG",IF(ABS(J2941-L2941)&lt;0.005,"ตรงกัน","ไม่ตรง"))</f>
        <v/>
      </c>
      <c r="N2941" s="14">
        <f>IF(L2941="","",ROUND(L2941*'สรุป'!$C$6,-1))</f>
        <v/>
      </c>
      <c r="O2941" s="15" t="n"/>
      <c r="P2941" s="15" t="n"/>
      <c r="Q2941" s="10" t="n"/>
      <c r="R2941" s="10" t="n"/>
      <c r="S2941" s="16" t="inlineStr">
        <is>
          <t>https://mstgolf.co.th/products/gf2040120856</t>
        </is>
      </c>
      <c r="T2941" s="1">
        <f>IF(B2941="ไม้กอล์ฟ",J2941,"")</f>
        <v/>
      </c>
    </row>
    <row r="2942">
      <c r="A2942" s="1" t="n">
        <v>3</v>
      </c>
      <c r="B2942" s="1" t="inlineStr">
        <is>
          <t>เสื้อผ้า</t>
        </is>
      </c>
      <c r="C2942" s="1" t="inlineStr">
        <is>
          <t>gf2040114975</t>
        </is>
      </c>
      <c r="D2942" s="1" t="inlineStr">
        <is>
          <t>NIKE Dri-Fit Victory Solid Men's Polo (Black)</t>
        </is>
      </c>
      <c r="E2942" s="1" t="inlineStr">
        <is>
          <t>NIKE</t>
        </is>
      </c>
      <c r="F2942" s="1" t="inlineStr">
        <is>
          <t>SHORT SLEEVES</t>
        </is>
      </c>
      <c r="G2942" s="1" t="inlineStr">
        <is>
          <t>GF2040114975S</t>
        </is>
      </c>
      <c r="H2942" s="1" t="n">
        <v>5</v>
      </c>
      <c r="I2942" s="1" t="inlineStr">
        <is>
          <t>มี</t>
        </is>
      </c>
      <c r="J2942" s="13" t="n">
        <v>79</v>
      </c>
      <c r="K2942" s="1" t="inlineStr"/>
      <c r="L2942" s="13" t="n">
        <v>79</v>
      </c>
      <c r="M2942" s="1">
        <f>IF(L2942="","ไม่พบใน SG",IF(ABS(J2942-L2942)&lt;0.005,"ตรงกัน","ไม่ตรง"))</f>
        <v/>
      </c>
      <c r="N2942" s="14">
        <f>IF(L2942="","",ROUND(L2942*'สรุป'!$C$6,-1))</f>
        <v/>
      </c>
      <c r="O2942" s="15" t="n"/>
      <c r="P2942" s="15" t="n"/>
      <c r="Q2942" s="10" t="n"/>
      <c r="R2942" s="10" t="n"/>
      <c r="S2942" s="16" t="inlineStr">
        <is>
          <t>https://mstgolf.co.th/products/gf2040114975</t>
        </is>
      </c>
      <c r="T2942" s="1">
        <f>IF(B2942="ไม้กอล์ฟ",J2942,"")</f>
        <v/>
      </c>
    </row>
    <row r="2943">
      <c r="A2943" s="1" t="n">
        <v>3</v>
      </c>
      <c r="B2943" s="1" t="inlineStr">
        <is>
          <t>เสื้อผ้า</t>
        </is>
      </c>
      <c r="C2943" s="1" t="inlineStr">
        <is>
          <t>gf2040114976</t>
        </is>
      </c>
      <c r="D2943" s="1" t="inlineStr">
        <is>
          <t>NIKE Dri-Fit Victory Solid Men's Polo (White)</t>
        </is>
      </c>
      <c r="E2943" s="1" t="inlineStr">
        <is>
          <t>NIKE</t>
        </is>
      </c>
      <c r="F2943" s="1" t="inlineStr">
        <is>
          <t>SHORT SLEEVES</t>
        </is>
      </c>
      <c r="G2943" s="1" t="inlineStr">
        <is>
          <t>GF2040114976S</t>
        </is>
      </c>
      <c r="H2943" s="1" t="n">
        <v>5</v>
      </c>
      <c r="I2943" s="1" t="inlineStr">
        <is>
          <t>มี</t>
        </is>
      </c>
      <c r="J2943" s="13" t="n">
        <v>79</v>
      </c>
      <c r="K2943" s="1" t="inlineStr"/>
      <c r="L2943" s="13" t="n">
        <v>79</v>
      </c>
      <c r="M2943" s="1">
        <f>IF(L2943="","ไม่พบใน SG",IF(ABS(J2943-L2943)&lt;0.005,"ตรงกัน","ไม่ตรง"))</f>
        <v/>
      </c>
      <c r="N2943" s="14">
        <f>IF(L2943="","",ROUND(L2943*'สรุป'!$C$6,-1))</f>
        <v/>
      </c>
      <c r="O2943" s="15" t="n"/>
      <c r="P2943" s="15" t="n"/>
      <c r="Q2943" s="10" t="n"/>
      <c r="R2943" s="10" t="n"/>
      <c r="S2943" s="16" t="inlineStr">
        <is>
          <t>https://mstgolf.co.th/products/gf2040114976</t>
        </is>
      </c>
      <c r="T2943" s="1">
        <f>IF(B2943="ไม้กอล์ฟ",J2943,"")</f>
        <v/>
      </c>
    </row>
    <row r="2944">
      <c r="A2944" s="1" t="n">
        <v>3</v>
      </c>
      <c r="B2944" s="1" t="inlineStr">
        <is>
          <t>เสื้อผ้า</t>
        </is>
      </c>
      <c r="C2944" s="1" t="inlineStr">
        <is>
          <t>gf2020201471</t>
        </is>
      </c>
      <c r="D2944" s="1" t="inlineStr">
        <is>
          <t>NIKE Hybrid Men's Shorts (Black)</t>
        </is>
      </c>
      <c r="E2944" s="1" t="inlineStr">
        <is>
          <t>NIKE</t>
        </is>
      </c>
      <c r="F2944" s="1" t="inlineStr">
        <is>
          <t>SHORT PANTS</t>
        </is>
      </c>
      <c r="G2944" s="1" t="inlineStr">
        <is>
          <t>GF202020147128</t>
        </is>
      </c>
      <c r="H2944" s="1" t="n">
        <v>12</v>
      </c>
      <c r="I2944" s="1" t="inlineStr">
        <is>
          <t>มี</t>
        </is>
      </c>
      <c r="J2944" s="13" t="n">
        <v>79</v>
      </c>
      <c r="K2944" s="1" t="inlineStr"/>
      <c r="L2944" s="13" t="n">
        <v>79</v>
      </c>
      <c r="M2944" s="1">
        <f>IF(L2944="","ไม่พบใน SG",IF(ABS(J2944-L2944)&lt;0.005,"ตรงกัน","ไม่ตรง"))</f>
        <v/>
      </c>
      <c r="N2944" s="14">
        <f>IF(L2944="","",ROUND(L2944*'สรุป'!$C$6,-1))</f>
        <v/>
      </c>
      <c r="O2944" s="15" t="n"/>
      <c r="P2944" s="15" t="n"/>
      <c r="Q2944" s="10" t="n"/>
      <c r="R2944" s="10" t="n"/>
      <c r="S2944" s="16" t="inlineStr">
        <is>
          <t>https://mstgolf.co.th/products/gf2020201471</t>
        </is>
      </c>
      <c r="T2944" s="1">
        <f>IF(B2944="ไม้กอล์ฟ",J2944,"")</f>
        <v/>
      </c>
    </row>
    <row r="2945">
      <c r="A2945" s="1" t="n">
        <v>3</v>
      </c>
      <c r="B2945" s="1" t="inlineStr">
        <is>
          <t>เสื้อผ้า</t>
        </is>
      </c>
      <c r="C2945" s="1" t="inlineStr">
        <is>
          <t>gf2040120582</t>
        </is>
      </c>
      <c r="D2945" s="1" t="inlineStr">
        <is>
          <t>NIKE Victory Dri-FIT Women's Polo (Cannon)</t>
        </is>
      </c>
      <c r="E2945" s="1" t="inlineStr">
        <is>
          <t>NIKE</t>
        </is>
      </c>
      <c r="F2945" s="1" t="inlineStr">
        <is>
          <t>SHORT SLEEVES</t>
        </is>
      </c>
      <c r="G2945" s="1" t="inlineStr">
        <is>
          <t>GF2040120582XS</t>
        </is>
      </c>
      <c r="H2945" s="1" t="n">
        <v>6</v>
      </c>
      <c r="I2945" s="1" t="inlineStr">
        <is>
          <t>มี</t>
        </is>
      </c>
      <c r="J2945" s="13" t="n">
        <v>79</v>
      </c>
      <c r="K2945" s="1" t="inlineStr"/>
      <c r="L2945" s="13" t="n">
        <v>79</v>
      </c>
      <c r="M2945" s="1">
        <f>IF(L2945="","ไม่พบใน SG",IF(ABS(J2945-L2945)&lt;0.005,"ตรงกัน","ไม่ตรง"))</f>
        <v/>
      </c>
      <c r="N2945" s="14">
        <f>IF(L2945="","",ROUND(L2945*'สรุป'!$C$6,-1))</f>
        <v/>
      </c>
      <c r="O2945" s="15" t="n"/>
      <c r="P2945" s="15" t="n"/>
      <c r="Q2945" s="10" t="n"/>
      <c r="R2945" s="10" t="n"/>
      <c r="S2945" s="16" t="inlineStr">
        <is>
          <t>https://mstgolf.co.th/products/gf2040120582</t>
        </is>
      </c>
      <c r="T2945" s="1">
        <f>IF(B2945="ไม้กอล์ฟ",J2945,"")</f>
        <v/>
      </c>
    </row>
    <row r="2946">
      <c r="A2946" s="1" t="n">
        <v>3</v>
      </c>
      <c r="B2946" s="1" t="inlineStr">
        <is>
          <t>เสื้อผ้า</t>
        </is>
      </c>
      <c r="C2946" s="1" t="inlineStr">
        <is>
          <t>gf2020202407</t>
        </is>
      </c>
      <c r="D2946" s="1" t="inlineStr">
        <is>
          <t>PETER MILLAR Shackleford Performance Hybrid Men's Shorts (Cape Blue)</t>
        </is>
      </c>
      <c r="E2946" s="1" t="inlineStr">
        <is>
          <t>PETER MILLAR</t>
        </is>
      </c>
      <c r="F2946" s="1" t="inlineStr">
        <is>
          <t>SHORT PANTS</t>
        </is>
      </c>
      <c r="G2946" s="1" t="inlineStr">
        <is>
          <t>GF202020240730</t>
        </is>
      </c>
      <c r="H2946" s="1" t="n">
        <v>7</v>
      </c>
      <c r="I2946" s="1" t="inlineStr">
        <is>
          <t>มี</t>
        </is>
      </c>
      <c r="J2946" s="13" t="n">
        <v>79</v>
      </c>
      <c r="K2946" s="1" t="inlineStr"/>
      <c r="L2946" s="13" t="n">
        <v>79</v>
      </c>
      <c r="M2946" s="1">
        <f>IF(L2946="","ไม่พบใน SG",IF(ABS(J2946-L2946)&lt;0.005,"ตรงกัน","ไม่ตรง"))</f>
        <v/>
      </c>
      <c r="N2946" s="14">
        <f>IF(L2946="","",ROUND(L2946*'สรุป'!$C$6,-1))</f>
        <v/>
      </c>
      <c r="O2946" s="15" t="n"/>
      <c r="P2946" s="15" t="n"/>
      <c r="Q2946" s="10" t="n"/>
      <c r="R2946" s="10" t="n"/>
      <c r="S2946" s="16" t="inlineStr">
        <is>
          <t>https://mstgolf.co.th/products/gf2020202407</t>
        </is>
      </c>
      <c r="T2946" s="1">
        <f>IF(B2946="ไม้กอล์ฟ",J2946,"")</f>
        <v/>
      </c>
    </row>
    <row r="2947">
      <c r="A2947" s="1" t="n">
        <v>3</v>
      </c>
      <c r="B2947" s="1" t="inlineStr">
        <is>
          <t>เสื้อผ้า</t>
        </is>
      </c>
      <c r="C2947" s="1" t="inlineStr">
        <is>
          <t>gf2020202406</t>
        </is>
      </c>
      <c r="D2947" s="1" t="inlineStr">
        <is>
          <t>PETER MILLAR Shackleford Performance Hybrid Men's Shorts (Summer Meadow)</t>
        </is>
      </c>
      <c r="E2947" s="1" t="inlineStr">
        <is>
          <t>PETER MILLAR</t>
        </is>
      </c>
      <c r="F2947" s="1" t="inlineStr">
        <is>
          <t>SHORT PANTS</t>
        </is>
      </c>
      <c r="G2947" s="1" t="inlineStr">
        <is>
          <t>GF202020240630</t>
        </is>
      </c>
      <c r="H2947" s="1" t="n">
        <v>7</v>
      </c>
      <c r="I2947" s="1" t="inlineStr">
        <is>
          <t>มี</t>
        </is>
      </c>
      <c r="J2947" s="13" t="n">
        <v>79</v>
      </c>
      <c r="K2947" s="1" t="inlineStr"/>
      <c r="L2947" s="13" t="n">
        <v>79</v>
      </c>
      <c r="M2947" s="1">
        <f>IF(L2947="","ไม่พบใน SG",IF(ABS(J2947-L2947)&lt;0.005,"ตรงกัน","ไม่ตรง"))</f>
        <v/>
      </c>
      <c r="N2947" s="14">
        <f>IF(L2947="","",ROUND(L2947*'สรุป'!$C$6,-1))</f>
        <v/>
      </c>
      <c r="O2947" s="15" t="n"/>
      <c r="P2947" s="15" t="n"/>
      <c r="Q2947" s="10" t="n"/>
      <c r="R2947" s="10" t="n"/>
      <c r="S2947" s="16" t="inlineStr">
        <is>
          <t>https://mstgolf.co.th/products/gf2020202406</t>
        </is>
      </c>
      <c r="T2947" s="1">
        <f>IF(B2947="ไม้กอล์ฟ",J2947,"")</f>
        <v/>
      </c>
    </row>
    <row r="2948">
      <c r="A2948" s="1" t="n">
        <v>3</v>
      </c>
      <c r="B2948" s="1" t="inlineStr">
        <is>
          <t>เสื้อผ้า</t>
        </is>
      </c>
      <c r="C2948" s="1" t="inlineStr">
        <is>
          <t>gf2040114308</t>
        </is>
      </c>
      <c r="D2948" s="1" t="inlineStr">
        <is>
          <t>PUMA Gamer Men's Polo (Bright White)</t>
        </is>
      </c>
      <c r="E2948" s="1" t="inlineStr">
        <is>
          <t>PUMA</t>
        </is>
      </c>
      <c r="F2948" s="1" t="inlineStr">
        <is>
          <t>SHORT SLEEVES</t>
        </is>
      </c>
      <c r="G2948" s="1" t="inlineStr">
        <is>
          <t>GF2040114308XS</t>
        </is>
      </c>
      <c r="H2948" s="1" t="n">
        <v>6</v>
      </c>
      <c r="I2948" s="1" t="inlineStr">
        <is>
          <t>มี</t>
        </is>
      </c>
      <c r="J2948" s="13" t="n">
        <v>79</v>
      </c>
      <c r="K2948" s="1" t="inlineStr"/>
      <c r="L2948" s="13" t="n">
        <v>79</v>
      </c>
      <c r="M2948" s="1">
        <f>IF(L2948="","ไม่พบใน SG",IF(ABS(J2948-L2948)&lt;0.005,"ตรงกัน","ไม่ตรง"))</f>
        <v/>
      </c>
      <c r="N2948" s="14">
        <f>IF(L2948="","",ROUND(L2948*'สรุป'!$C$6,-1))</f>
        <v/>
      </c>
      <c r="O2948" s="15" t="n"/>
      <c r="P2948" s="15" t="n"/>
      <c r="Q2948" s="10" t="n"/>
      <c r="R2948" s="10" t="n"/>
      <c r="S2948" s="16" t="inlineStr">
        <is>
          <t>https://mstgolf.co.th/products/gf2040114308</t>
        </is>
      </c>
      <c r="T2948" s="1">
        <f>IF(B2948="ไม้กอล์ฟ",J2948,"")</f>
        <v/>
      </c>
    </row>
    <row r="2949">
      <c r="A2949" s="1" t="n">
        <v>3</v>
      </c>
      <c r="B2949" s="1" t="inlineStr">
        <is>
          <t>เสื้อผ้า</t>
        </is>
      </c>
      <c r="C2949" s="1" t="inlineStr">
        <is>
          <t>gf2040114305</t>
        </is>
      </c>
      <c r="D2949" s="1" t="inlineStr">
        <is>
          <t>PUMA Gamer Men's Polo (Navy Blazer)</t>
        </is>
      </c>
      <c r="E2949" s="1" t="inlineStr">
        <is>
          <t>PUMA</t>
        </is>
      </c>
      <c r="F2949" s="1" t="inlineStr">
        <is>
          <t>SHORT SLEEVES</t>
        </is>
      </c>
      <c r="G2949" s="1" t="inlineStr">
        <is>
          <t>GF2040114305XS</t>
        </is>
      </c>
      <c r="H2949" s="1" t="n">
        <v>8</v>
      </c>
      <c r="I2949" s="1" t="inlineStr">
        <is>
          <t>มี</t>
        </is>
      </c>
      <c r="J2949" s="13" t="n">
        <v>79</v>
      </c>
      <c r="K2949" s="1" t="inlineStr"/>
      <c r="L2949" s="13" t="n">
        <v>79</v>
      </c>
      <c r="M2949" s="1">
        <f>IF(L2949="","ไม่พบใน SG",IF(ABS(J2949-L2949)&lt;0.005,"ตรงกัน","ไม่ตรง"))</f>
        <v/>
      </c>
      <c r="N2949" s="14">
        <f>IF(L2949="","",ROUND(L2949*'สรุป'!$C$6,-1))</f>
        <v/>
      </c>
      <c r="O2949" s="15" t="n"/>
      <c r="P2949" s="15" t="n"/>
      <c r="Q2949" s="10" t="n"/>
      <c r="R2949" s="10" t="n"/>
      <c r="S2949" s="16" t="inlineStr">
        <is>
          <t>https://mstgolf.co.th/products/gf2040114305</t>
        </is>
      </c>
      <c r="T2949" s="1">
        <f>IF(B2949="ไม้กอล์ฟ",J2949,"")</f>
        <v/>
      </c>
    </row>
    <row r="2950">
      <c r="A2950" s="1" t="n">
        <v>3</v>
      </c>
      <c r="B2950" s="1" t="inlineStr">
        <is>
          <t>เสื้อผ้า</t>
        </is>
      </c>
      <c r="C2950" s="1" t="inlineStr">
        <is>
          <t>gf2040113451</t>
        </is>
      </c>
      <c r="D2950" s="1" t="inlineStr">
        <is>
          <t>PUMA Gamer Women's Polo (Navy Blazer)</t>
        </is>
      </c>
      <c r="E2950" s="1" t="inlineStr">
        <is>
          <t>PUMA</t>
        </is>
      </c>
      <c r="F2950" s="1" t="inlineStr">
        <is>
          <t>SHORT SLEEVES</t>
        </is>
      </c>
      <c r="G2950" s="1" t="inlineStr">
        <is>
          <t>GF2040113451XS</t>
        </is>
      </c>
      <c r="H2950" s="1" t="n">
        <v>7</v>
      </c>
      <c r="I2950" s="1" t="inlineStr">
        <is>
          <t>มี</t>
        </is>
      </c>
      <c r="J2950" s="13" t="n">
        <v>79</v>
      </c>
      <c r="K2950" s="1" t="inlineStr"/>
      <c r="L2950" s="13" t="n">
        <v>79</v>
      </c>
      <c r="M2950" s="1">
        <f>IF(L2950="","ไม่พบใน SG",IF(ABS(J2950-L2950)&lt;0.005,"ตรงกัน","ไม่ตรง"))</f>
        <v/>
      </c>
      <c r="N2950" s="14">
        <f>IF(L2950="","",ROUND(L2950*'สรุป'!$C$6,-1))</f>
        <v/>
      </c>
      <c r="O2950" s="15" t="n"/>
      <c r="P2950" s="15" t="n"/>
      <c r="Q2950" s="10" t="n"/>
      <c r="R2950" s="10" t="n"/>
      <c r="S2950" s="16" t="inlineStr">
        <is>
          <t>https://mstgolf.co.th/products/gf2040113451</t>
        </is>
      </c>
      <c r="T2950" s="1">
        <f>IF(B2950="ไม้กอล์ฟ",J2950,"")</f>
        <v/>
      </c>
    </row>
    <row r="2951">
      <c r="A2951" s="1" t="n">
        <v>3</v>
      </c>
      <c r="B2951" s="1" t="inlineStr">
        <is>
          <t>เสื้อผ้า</t>
        </is>
      </c>
      <c r="C2951" s="1" t="inlineStr">
        <is>
          <t>gf2040119289</t>
        </is>
      </c>
      <c r="D2951" s="1" t="inlineStr">
        <is>
          <t>PUMA Keys Men's Polo (Black/White)</t>
        </is>
      </c>
      <c r="E2951" s="1" t="inlineStr">
        <is>
          <t>PUMA</t>
        </is>
      </c>
      <c r="F2951" s="1" t="inlineStr">
        <is>
          <t>SHORT SLEEVES</t>
        </is>
      </c>
      <c r="G2951" s="1" t="inlineStr">
        <is>
          <t>GF2040119289XS</t>
        </is>
      </c>
      <c r="H2951" s="1" t="n">
        <v>6</v>
      </c>
      <c r="I2951" s="1" t="inlineStr">
        <is>
          <t>มี</t>
        </is>
      </c>
      <c r="J2951" s="13" t="n">
        <v>79</v>
      </c>
      <c r="K2951" s="1" t="inlineStr"/>
      <c r="L2951" s="13" t="n">
        <v>35</v>
      </c>
      <c r="M2951" s="1">
        <f>IF(L2951="","ไม่พบใน SG",IF(ABS(J2951-L2951)&lt;0.005,"ตรงกัน","ไม่ตรง"))</f>
        <v/>
      </c>
      <c r="N2951" s="14">
        <f>IF(L2951="","",ROUND(L2951*'สรุป'!$C$6,-1))</f>
        <v/>
      </c>
      <c r="O2951" s="15" t="n"/>
      <c r="P2951" s="15" t="n"/>
      <c r="Q2951" s="10" t="n"/>
      <c r="R2951" s="10" t="n"/>
      <c r="S2951" s="16" t="inlineStr">
        <is>
          <t>https://mstgolf.co.th/products/gf2040119289</t>
        </is>
      </c>
      <c r="T2951" s="1">
        <f>IF(B2951="ไม้กอล์ฟ",J2951,"")</f>
        <v/>
      </c>
    </row>
    <row r="2952">
      <c r="A2952" s="1" t="n">
        <v>3</v>
      </c>
      <c r="B2952" s="1" t="inlineStr">
        <is>
          <t>เสื้อผ้า</t>
        </is>
      </c>
      <c r="C2952" s="1" t="inlineStr">
        <is>
          <t>gf2040118455</t>
        </is>
      </c>
      <c r="D2952" s="1" t="inlineStr">
        <is>
          <t>PUMA MATTR Bushland Men's Polo (Black/Red)</t>
        </is>
      </c>
      <c r="E2952" s="1" t="inlineStr">
        <is>
          <t>PUMA</t>
        </is>
      </c>
      <c r="F2952" s="1" t="inlineStr">
        <is>
          <t>SHORT SLEEVES</t>
        </is>
      </c>
      <c r="G2952" s="1" t="inlineStr">
        <is>
          <t>GF2040118455XS</t>
        </is>
      </c>
      <c r="H2952" s="1" t="n">
        <v>6</v>
      </c>
      <c r="I2952" s="1" t="inlineStr">
        <is>
          <t>มี</t>
        </is>
      </c>
      <c r="J2952" s="13" t="n">
        <v>79</v>
      </c>
      <c r="K2952" s="1" t="inlineStr"/>
      <c r="L2952" s="13" t="n">
        <v>59</v>
      </c>
      <c r="M2952" s="1">
        <f>IF(L2952="","ไม่พบใน SG",IF(ABS(J2952-L2952)&lt;0.005,"ตรงกัน","ไม่ตรง"))</f>
        <v/>
      </c>
      <c r="N2952" s="14">
        <f>IF(L2952="","",ROUND(L2952*'สรุป'!$C$6,-1))</f>
        <v/>
      </c>
      <c r="O2952" s="15" t="n"/>
      <c r="P2952" s="15" t="n"/>
      <c r="Q2952" s="10" t="n"/>
      <c r="R2952" s="10" t="n"/>
      <c r="S2952" s="16" t="inlineStr">
        <is>
          <t>https://mstgolf.co.th/products/gf2040118455</t>
        </is>
      </c>
      <c r="T2952" s="1">
        <f>IF(B2952="ไม้กอล์ฟ",J2952,"")</f>
        <v/>
      </c>
    </row>
    <row r="2953">
      <c r="A2953" s="1" t="n">
        <v>3</v>
      </c>
      <c r="B2953" s="1" t="inlineStr">
        <is>
          <t>เสื้อผ้า</t>
        </is>
      </c>
      <c r="C2953" s="1" t="inlineStr">
        <is>
          <t>gf2040119265</t>
        </is>
      </c>
      <c r="D2953" s="1" t="inlineStr">
        <is>
          <t>PUMA Pure 2.0 LC Men's Polo (Aquatic)</t>
        </is>
      </c>
      <c r="E2953" s="1" t="inlineStr">
        <is>
          <t>PUMA</t>
        </is>
      </c>
      <c r="F2953" s="1" t="inlineStr">
        <is>
          <t>SHORT SLEEVES</t>
        </is>
      </c>
      <c r="G2953" s="1" t="inlineStr">
        <is>
          <t>GF2040119265XS</t>
        </is>
      </c>
      <c r="H2953" s="1" t="n">
        <v>6</v>
      </c>
      <c r="I2953" s="1" t="inlineStr">
        <is>
          <t>มี</t>
        </is>
      </c>
      <c r="J2953" s="13" t="n">
        <v>79</v>
      </c>
      <c r="K2953" s="1" t="inlineStr"/>
      <c r="L2953" s="13" t="n">
        <v>79</v>
      </c>
      <c r="M2953" s="1">
        <f>IF(L2953="","ไม่พบใน SG",IF(ABS(J2953-L2953)&lt;0.005,"ตรงกัน","ไม่ตรง"))</f>
        <v/>
      </c>
      <c r="N2953" s="14">
        <f>IF(L2953="","",ROUND(L2953*'สรุป'!$C$6,-1))</f>
        <v/>
      </c>
      <c r="O2953" s="15" t="n"/>
      <c r="P2953" s="15" t="n"/>
      <c r="Q2953" s="10" t="n"/>
      <c r="R2953" s="10" t="n"/>
      <c r="S2953" s="16" t="inlineStr">
        <is>
          <t>https://mstgolf.co.th/products/gf2040119265</t>
        </is>
      </c>
      <c r="T2953" s="1">
        <f>IF(B2953="ไม้กอล์ฟ",J2953,"")</f>
        <v/>
      </c>
    </row>
    <row r="2954">
      <c r="A2954" s="1" t="n">
        <v>3</v>
      </c>
      <c r="B2954" s="1" t="inlineStr">
        <is>
          <t>เสื้อผ้า</t>
        </is>
      </c>
      <c r="C2954" s="1" t="inlineStr">
        <is>
          <t>gf2040119262</t>
        </is>
      </c>
      <c r="D2954" s="1" t="inlineStr">
        <is>
          <t>PUMA Pure 2.0 LC Men's Polo (Black)</t>
        </is>
      </c>
      <c r="E2954" s="1" t="inlineStr">
        <is>
          <t>PUMA</t>
        </is>
      </c>
      <c r="F2954" s="1" t="inlineStr">
        <is>
          <t>SHORT SLEEVES</t>
        </is>
      </c>
      <c r="G2954" s="1" t="inlineStr">
        <is>
          <t>GF2040119262XS</t>
        </is>
      </c>
      <c r="H2954" s="1" t="n">
        <v>6</v>
      </c>
      <c r="I2954" s="1" t="inlineStr">
        <is>
          <t>มี</t>
        </is>
      </c>
      <c r="J2954" s="13" t="n">
        <v>79</v>
      </c>
      <c r="K2954" s="1" t="inlineStr"/>
      <c r="L2954" s="13" t="n">
        <v>79</v>
      </c>
      <c r="M2954" s="1">
        <f>IF(L2954="","ไม่พบใน SG",IF(ABS(J2954-L2954)&lt;0.005,"ตรงกัน","ไม่ตรง"))</f>
        <v/>
      </c>
      <c r="N2954" s="14">
        <f>IF(L2954="","",ROUND(L2954*'สรุป'!$C$6,-1))</f>
        <v/>
      </c>
      <c r="O2954" s="15" t="n"/>
      <c r="P2954" s="15" t="n"/>
      <c r="Q2954" s="10" t="n"/>
      <c r="R2954" s="10" t="n"/>
      <c r="S2954" s="16" t="inlineStr">
        <is>
          <t>https://mstgolf.co.th/products/gf2040119262</t>
        </is>
      </c>
      <c r="T2954" s="1">
        <f>IF(B2954="ไม้กอล์ฟ",J2954,"")</f>
        <v/>
      </c>
    </row>
    <row r="2955">
      <c r="A2955" s="1" t="n">
        <v>3</v>
      </c>
      <c r="B2955" s="1" t="inlineStr">
        <is>
          <t>เสื้อผ้า</t>
        </is>
      </c>
      <c r="C2955" s="1" t="inlineStr">
        <is>
          <t>gf2040119264</t>
        </is>
      </c>
      <c r="D2955" s="1" t="inlineStr">
        <is>
          <t>PUMA Pure 2.0 LC Men's Polo (Navy)</t>
        </is>
      </c>
      <c r="E2955" s="1" t="inlineStr">
        <is>
          <t>PUMA</t>
        </is>
      </c>
      <c r="F2955" s="1" t="inlineStr">
        <is>
          <t>SHORT SLEEVES</t>
        </is>
      </c>
      <c r="G2955" s="1" t="inlineStr">
        <is>
          <t>GF2040119264XS</t>
        </is>
      </c>
      <c r="H2955" s="1" t="n">
        <v>6</v>
      </c>
      <c r="I2955" s="1" t="inlineStr">
        <is>
          <t>มี</t>
        </is>
      </c>
      <c r="J2955" s="13" t="n">
        <v>79</v>
      </c>
      <c r="K2955" s="1" t="inlineStr"/>
      <c r="L2955" s="13" t="n">
        <v>79</v>
      </c>
      <c r="M2955" s="1">
        <f>IF(L2955="","ไม่พบใน SG",IF(ABS(J2955-L2955)&lt;0.005,"ตรงกัน","ไม่ตรง"))</f>
        <v/>
      </c>
      <c r="N2955" s="14">
        <f>IF(L2955="","",ROUND(L2955*'สรุป'!$C$6,-1))</f>
        <v/>
      </c>
      <c r="O2955" s="15" t="n"/>
      <c r="P2955" s="15" t="n"/>
      <c r="Q2955" s="10" t="n"/>
      <c r="R2955" s="10" t="n"/>
      <c r="S2955" s="16" t="inlineStr">
        <is>
          <t>https://mstgolf.co.th/products/gf2040119264</t>
        </is>
      </c>
      <c r="T2955" s="1">
        <f>IF(B2955="ไม้กอล์ฟ",J2955,"")</f>
        <v/>
      </c>
    </row>
    <row r="2956">
      <c r="A2956" s="1" t="n">
        <v>3</v>
      </c>
      <c r="B2956" s="1" t="inlineStr">
        <is>
          <t>เสื้อผ้า</t>
        </is>
      </c>
      <c r="C2956" s="1" t="inlineStr">
        <is>
          <t>gf2040119263</t>
        </is>
      </c>
      <c r="D2956" s="1" t="inlineStr">
        <is>
          <t>PUMA Pure 2.0 LC Men's Polo (White Glow)</t>
        </is>
      </c>
      <c r="E2956" s="1" t="inlineStr">
        <is>
          <t>PUMA</t>
        </is>
      </c>
      <c r="F2956" s="1" t="inlineStr">
        <is>
          <t>SHORT SLEEVES</t>
        </is>
      </c>
      <c r="G2956" s="1" t="inlineStr">
        <is>
          <t>GF2040119263XS</t>
        </is>
      </c>
      <c r="H2956" s="1" t="n">
        <v>6</v>
      </c>
      <c r="I2956" s="1" t="inlineStr">
        <is>
          <t>มี</t>
        </is>
      </c>
      <c r="J2956" s="13" t="n">
        <v>79</v>
      </c>
      <c r="K2956" s="1" t="inlineStr"/>
      <c r="L2956" s="13" t="n">
        <v>79</v>
      </c>
      <c r="M2956" s="1">
        <f>IF(L2956="","ไม่พบใน SG",IF(ABS(J2956-L2956)&lt;0.005,"ตรงกัน","ไม่ตรง"))</f>
        <v/>
      </c>
      <c r="N2956" s="14">
        <f>IF(L2956="","",ROUND(L2956*'สรุป'!$C$6,-1))</f>
        <v/>
      </c>
      <c r="O2956" s="15" t="n"/>
      <c r="P2956" s="15" t="n"/>
      <c r="Q2956" s="10" t="n"/>
      <c r="R2956" s="10" t="n"/>
      <c r="S2956" s="16" t="inlineStr">
        <is>
          <t>https://mstgolf.co.th/products/gf2040119263</t>
        </is>
      </c>
      <c r="T2956" s="1">
        <f>IF(B2956="ไม้กอล์ฟ",J2956,"")</f>
        <v/>
      </c>
    </row>
    <row r="2957">
      <c r="A2957" s="1" t="n">
        <v>3</v>
      </c>
      <c r="B2957" s="1" t="inlineStr">
        <is>
          <t>เสื้อผ้า</t>
        </is>
      </c>
      <c r="C2957" s="1" t="inlineStr">
        <is>
          <t>gf2070400130</t>
        </is>
      </c>
      <c r="D2957" s="1" t="inlineStr">
        <is>
          <t>PUMA YouV Women's Crew Long Sleeve T-Shirt (White)</t>
        </is>
      </c>
      <c r="E2957" s="1" t="inlineStr">
        <is>
          <t>PUMA</t>
        </is>
      </c>
      <c r="F2957" s="1" t="inlineStr">
        <is>
          <t>SHIRT</t>
        </is>
      </c>
      <c r="G2957" s="1" t="inlineStr">
        <is>
          <t>GF2070400130XS</t>
        </is>
      </c>
      <c r="H2957" s="1" t="n">
        <v>5</v>
      </c>
      <c r="I2957" s="1" t="inlineStr">
        <is>
          <t>มี</t>
        </is>
      </c>
      <c r="J2957" s="13" t="n">
        <v>79</v>
      </c>
      <c r="K2957" s="1" t="inlineStr"/>
      <c r="L2957" s="13" t="n">
        <v>55</v>
      </c>
      <c r="M2957" s="1">
        <f>IF(L2957="","ไม่พบใน SG",IF(ABS(J2957-L2957)&lt;0.005,"ตรงกัน","ไม่ตรง"))</f>
        <v/>
      </c>
      <c r="N2957" s="14">
        <f>IF(L2957="","",ROUND(L2957*'สรุป'!$C$6,-1))</f>
        <v/>
      </c>
      <c r="O2957" s="15" t="n"/>
      <c r="P2957" s="15" t="n"/>
      <c r="Q2957" s="10" t="n"/>
      <c r="R2957" s="10" t="n"/>
      <c r="S2957" s="16" t="inlineStr">
        <is>
          <t>https://mstgolf.co.th/products/gf2070400130</t>
        </is>
      </c>
      <c r="T2957" s="1">
        <f>IF(B2957="ไม้กอล์ฟ",J2957,"")</f>
        <v/>
      </c>
    </row>
    <row r="2958">
      <c r="A2958" s="1" t="n">
        <v>3</v>
      </c>
      <c r="B2958" s="1" t="inlineStr">
        <is>
          <t>เสื้อผ้า</t>
        </is>
      </c>
      <c r="C2958" s="1" t="inlineStr">
        <is>
          <t>gf2040117401</t>
        </is>
      </c>
      <c r="D2958" s="1" t="inlineStr">
        <is>
          <t>PUMA x PTC Jacquard Men's Polo (Deep Navy)</t>
        </is>
      </c>
      <c r="E2958" s="1" t="inlineStr">
        <is>
          <t>PUMA</t>
        </is>
      </c>
      <c r="F2958" s="1" t="inlineStr">
        <is>
          <t>SHORT SLEEVES</t>
        </is>
      </c>
      <c r="G2958" s="1" t="inlineStr">
        <is>
          <t>GF2040117401XS</t>
        </is>
      </c>
      <c r="H2958" s="1" t="n">
        <v>7</v>
      </c>
      <c r="I2958" s="1" t="inlineStr">
        <is>
          <t>มี</t>
        </is>
      </c>
      <c r="J2958" s="13" t="n">
        <v>79</v>
      </c>
      <c r="K2958" s="1" t="inlineStr"/>
      <c r="L2958" s="13" t="n">
        <v>79</v>
      </c>
      <c r="M2958" s="1">
        <f>IF(L2958="","ไม่พบใน SG",IF(ABS(J2958-L2958)&lt;0.005,"ตรงกัน","ไม่ตรง"))</f>
        <v/>
      </c>
      <c r="N2958" s="14">
        <f>IF(L2958="","",ROUND(L2958*'สรุป'!$C$6,-1))</f>
        <v/>
      </c>
      <c r="O2958" s="15" t="n"/>
      <c r="P2958" s="15" t="n"/>
      <c r="Q2958" s="10" t="n"/>
      <c r="R2958" s="10" t="n"/>
      <c r="S2958" s="16" t="inlineStr">
        <is>
          <t>https://mstgolf.co.th/products/gf2040117401</t>
        </is>
      </c>
      <c r="T2958" s="1">
        <f>IF(B2958="ไม้กอล์ฟ",J2958,"")</f>
        <v/>
      </c>
    </row>
    <row r="2959">
      <c r="A2959" s="1" t="n">
        <v>3</v>
      </c>
      <c r="B2959" s="1" t="inlineStr">
        <is>
          <t>เสื้อผ้า</t>
        </is>
      </c>
      <c r="C2959" s="1" t="inlineStr">
        <is>
          <t>gf2040118439</t>
        </is>
      </c>
      <c r="D2959" s="1" t="inlineStr">
        <is>
          <t>PUMA x PTC Jacquard Men's Polo (Fresh Mint)</t>
        </is>
      </c>
      <c r="E2959" s="1" t="inlineStr">
        <is>
          <t>PUMA</t>
        </is>
      </c>
      <c r="F2959" s="1" t="inlineStr">
        <is>
          <t>SHORT SLEEVES</t>
        </is>
      </c>
      <c r="G2959" s="1" t="inlineStr">
        <is>
          <t>GF2040118439XS</t>
        </is>
      </c>
      <c r="H2959" s="1" t="n">
        <v>7</v>
      </c>
      <c r="I2959" s="1" t="inlineStr">
        <is>
          <t>มี</t>
        </is>
      </c>
      <c r="J2959" s="13" t="n">
        <v>79</v>
      </c>
      <c r="K2959" s="1" t="inlineStr"/>
      <c r="L2959" s="13" t="n">
        <v>59</v>
      </c>
      <c r="M2959" s="1">
        <f>IF(L2959="","ไม่พบใน SG",IF(ABS(J2959-L2959)&lt;0.005,"ตรงกัน","ไม่ตรง"))</f>
        <v/>
      </c>
      <c r="N2959" s="14">
        <f>IF(L2959="","",ROUND(L2959*'สรุป'!$C$6,-1))</f>
        <v/>
      </c>
      <c r="O2959" s="15" t="n"/>
      <c r="P2959" s="15" t="n"/>
      <c r="Q2959" s="10" t="n"/>
      <c r="R2959" s="10" t="n"/>
      <c r="S2959" s="16" t="inlineStr">
        <is>
          <t>https://mstgolf.co.th/products/gf2040118439</t>
        </is>
      </c>
      <c r="T2959" s="1">
        <f>IF(B2959="ไม้กอล์ฟ",J2959,"")</f>
        <v/>
      </c>
    </row>
    <row r="2960">
      <c r="A2960" s="1" t="n">
        <v>3</v>
      </c>
      <c r="B2960" s="1" t="inlineStr">
        <is>
          <t>เสื้อผ้า</t>
        </is>
      </c>
      <c r="C2960" s="1" t="inlineStr">
        <is>
          <t>gf2040117400</t>
        </is>
      </c>
      <c r="D2960" s="1" t="inlineStr">
        <is>
          <t>PUMA x PTC Jacquard Men's Polo (Regal Blue)</t>
        </is>
      </c>
      <c r="E2960" s="1" t="inlineStr">
        <is>
          <t>PUMA</t>
        </is>
      </c>
      <c r="F2960" s="1" t="inlineStr">
        <is>
          <t>SHORT SLEEVES</t>
        </is>
      </c>
      <c r="G2960" s="1" t="inlineStr">
        <is>
          <t>GF2040117400XS</t>
        </is>
      </c>
      <c r="H2960" s="1" t="n">
        <v>7</v>
      </c>
      <c r="I2960" s="1" t="inlineStr">
        <is>
          <t>มี</t>
        </is>
      </c>
      <c r="J2960" s="13" t="n">
        <v>79</v>
      </c>
      <c r="K2960" s="1" t="inlineStr"/>
      <c r="L2960" s="13" t="n">
        <v>79</v>
      </c>
      <c r="M2960" s="1">
        <f>IF(L2960="","ไม่พบใน SG",IF(ABS(J2960-L2960)&lt;0.005,"ตรงกัน","ไม่ตรง"))</f>
        <v/>
      </c>
      <c r="N2960" s="14">
        <f>IF(L2960="","",ROUND(L2960*'สรุป'!$C$6,-1))</f>
        <v/>
      </c>
      <c r="O2960" s="15" t="n"/>
      <c r="P2960" s="15" t="n"/>
      <c r="Q2960" s="10" t="n"/>
      <c r="R2960" s="10" t="n"/>
      <c r="S2960" s="16" t="inlineStr">
        <is>
          <t>https://mstgolf.co.th/products/gf2040117400</t>
        </is>
      </c>
      <c r="T2960" s="1">
        <f>IF(B2960="ไม้กอล์ฟ",J2960,"")</f>
        <v/>
      </c>
    </row>
    <row r="2961">
      <c r="A2961" s="1" t="n">
        <v>3</v>
      </c>
      <c r="B2961" s="1" t="inlineStr">
        <is>
          <t>เสื้อผ้า</t>
        </is>
      </c>
      <c r="C2961" s="1" t="inlineStr">
        <is>
          <t>gf2040117399</t>
        </is>
      </c>
      <c r="D2961" s="1" t="inlineStr">
        <is>
          <t>PUMA x PTC Resort Men's Polo (Regal Blue/White)</t>
        </is>
      </c>
      <c r="E2961" s="1" t="inlineStr">
        <is>
          <t>PUMA</t>
        </is>
      </c>
      <c r="F2961" s="1" t="inlineStr">
        <is>
          <t>SHORT SLEEVES</t>
        </is>
      </c>
      <c r="G2961" s="1" t="inlineStr">
        <is>
          <t>GF2040117399S</t>
        </is>
      </c>
      <c r="H2961" s="1" t="n">
        <v>5</v>
      </c>
      <c r="I2961" s="1" t="inlineStr">
        <is>
          <t>มี</t>
        </is>
      </c>
      <c r="J2961" s="13" t="n">
        <v>79</v>
      </c>
      <c r="K2961" s="1" t="inlineStr"/>
      <c r="L2961" s="13" t="n">
        <v>79</v>
      </c>
      <c r="M2961" s="1">
        <f>IF(L2961="","ไม่พบใน SG",IF(ABS(J2961-L2961)&lt;0.005,"ตรงกัน","ไม่ตรง"))</f>
        <v/>
      </c>
      <c r="N2961" s="14">
        <f>IF(L2961="","",ROUND(L2961*'สรุป'!$C$6,-1))</f>
        <v/>
      </c>
      <c r="O2961" s="15" t="n"/>
      <c r="P2961" s="15" t="n"/>
      <c r="Q2961" s="10" t="n"/>
      <c r="R2961" s="10" t="n"/>
      <c r="S2961" s="16" t="inlineStr">
        <is>
          <t>https://mstgolf.co.th/products/gf2040117399</t>
        </is>
      </c>
      <c r="T2961" s="1">
        <f>IF(B2961="ไม้กอล์ฟ",J2961,"")</f>
        <v/>
      </c>
    </row>
    <row r="2962">
      <c r="A2962" s="1" t="n">
        <v>3</v>
      </c>
      <c r="B2962" s="1" t="inlineStr">
        <is>
          <t>เสื้อผ้า</t>
        </is>
      </c>
      <c r="C2962" s="1" t="inlineStr">
        <is>
          <t>gf2040119268</t>
        </is>
      </c>
      <c r="D2962" s="1" t="inlineStr">
        <is>
          <t>PUMA x PTC Tipped Men's Polo (Deep Navy)</t>
        </is>
      </c>
      <c r="E2962" s="1" t="inlineStr">
        <is>
          <t>PUMA</t>
        </is>
      </c>
      <c r="F2962" s="1" t="inlineStr">
        <is>
          <t>SHORT SLEEVES</t>
        </is>
      </c>
      <c r="G2962" s="1" t="inlineStr">
        <is>
          <t>GF2040119268XS</t>
        </is>
      </c>
      <c r="H2962" s="1" t="n">
        <v>6</v>
      </c>
      <c r="I2962" s="1" t="inlineStr">
        <is>
          <t>มี</t>
        </is>
      </c>
      <c r="J2962" s="13" t="n">
        <v>79</v>
      </c>
      <c r="K2962" s="1" t="inlineStr"/>
      <c r="L2962" s="13" t="n">
        <v>79</v>
      </c>
      <c r="M2962" s="1">
        <f>IF(L2962="","ไม่พบใน SG",IF(ABS(J2962-L2962)&lt;0.005,"ตรงกัน","ไม่ตรง"))</f>
        <v/>
      </c>
      <c r="N2962" s="14">
        <f>IF(L2962="","",ROUND(L2962*'สรุป'!$C$6,-1))</f>
        <v/>
      </c>
      <c r="O2962" s="15" t="n"/>
      <c r="P2962" s="15" t="n"/>
      <c r="Q2962" s="10" t="n"/>
      <c r="R2962" s="10" t="n"/>
      <c r="S2962" s="16" t="inlineStr">
        <is>
          <t>https://mstgolf.co.th/products/gf2040119268</t>
        </is>
      </c>
      <c r="T2962" s="1">
        <f>IF(B2962="ไม้กอล์ฟ",J2962,"")</f>
        <v/>
      </c>
    </row>
    <row r="2963">
      <c r="A2963" s="1" t="n">
        <v>3</v>
      </c>
      <c r="B2963" s="1" t="inlineStr">
        <is>
          <t>เสื้อผ้า</t>
        </is>
      </c>
      <c r="C2963" s="1" t="inlineStr">
        <is>
          <t>gf2040119269</t>
        </is>
      </c>
      <c r="D2963" s="1" t="inlineStr">
        <is>
          <t>PUMA x PTC Tipped Men's Polo (White Glow)</t>
        </is>
      </c>
      <c r="E2963" s="1" t="inlineStr">
        <is>
          <t>PUMA</t>
        </is>
      </c>
      <c r="F2963" s="1" t="inlineStr">
        <is>
          <t>SHORT SLEEVES</t>
        </is>
      </c>
      <c r="G2963" s="1" t="inlineStr">
        <is>
          <t>GF2040119269XS</t>
        </is>
      </c>
      <c r="H2963" s="1" t="n">
        <v>6</v>
      </c>
      <c r="I2963" s="1" t="inlineStr">
        <is>
          <t>มี</t>
        </is>
      </c>
      <c r="J2963" s="13" t="n">
        <v>79</v>
      </c>
      <c r="K2963" s="1" t="inlineStr"/>
      <c r="L2963" s="13" t="n">
        <v>79</v>
      </c>
      <c r="M2963" s="1">
        <f>IF(L2963="","ไม่พบใน SG",IF(ABS(J2963-L2963)&lt;0.005,"ตรงกัน","ไม่ตรง"))</f>
        <v/>
      </c>
      <c r="N2963" s="14">
        <f>IF(L2963="","",ROUND(L2963*'สรุป'!$C$6,-1))</f>
        <v/>
      </c>
      <c r="O2963" s="15" t="n"/>
      <c r="P2963" s="15" t="n"/>
      <c r="Q2963" s="10" t="n"/>
      <c r="R2963" s="10" t="n"/>
      <c r="S2963" s="16" t="inlineStr">
        <is>
          <t>https://mstgolf.co.th/products/gf2040119269</t>
        </is>
      </c>
      <c r="T2963" s="1">
        <f>IF(B2963="ไม้กอล์ฟ",J2963,"")</f>
        <v/>
      </c>
    </row>
    <row r="2964">
      <c r="A2964" s="1" t="n">
        <v>3</v>
      </c>
      <c r="B2964" s="1" t="inlineStr">
        <is>
          <t>หมวก</t>
        </is>
      </c>
      <c r="C2964" s="1" t="inlineStr">
        <is>
          <t>gf2000300313</t>
        </is>
      </c>
      <c r="D2964" s="1" t="inlineStr">
        <is>
          <t>PXG Darkness Skull Bush Men's Hat (Black)</t>
        </is>
      </c>
      <c r="E2964" s="1" t="inlineStr">
        <is>
          <t>PXG</t>
        </is>
      </c>
      <c r="F2964" s="1" t="inlineStr">
        <is>
          <t>HAT</t>
        </is>
      </c>
      <c r="G2964" s="1" t="inlineStr">
        <is>
          <t>GF2000300313FS</t>
        </is>
      </c>
      <c r="H2964" s="1" t="n">
        <v>3</v>
      </c>
      <c r="I2964" s="1" t="inlineStr">
        <is>
          <t>มี</t>
        </is>
      </c>
      <c r="J2964" s="13" t="n">
        <v>79</v>
      </c>
      <c r="K2964" s="1" t="inlineStr"/>
      <c r="L2964" s="13" t="n">
        <v>79</v>
      </c>
      <c r="M2964" s="1">
        <f>IF(L2964="","ไม่พบใน SG",IF(ABS(J2964-L2964)&lt;0.005,"ตรงกัน","ไม่ตรง"))</f>
        <v/>
      </c>
      <c r="N2964" s="14">
        <f>IF(L2964="","",ROUND(L2964*'สรุป'!$C$6,-1))</f>
        <v/>
      </c>
      <c r="O2964" s="15" t="n"/>
      <c r="P2964" s="15" t="n"/>
      <c r="Q2964" s="10" t="n"/>
      <c r="R2964" s="10" t="n"/>
      <c r="S2964" s="16" t="inlineStr">
        <is>
          <t>https://mstgolf.co.th/products/gf2000300313</t>
        </is>
      </c>
      <c r="T2964" s="1">
        <f>IF(B2964="ไม้กอล์ฟ",J2964,"")</f>
        <v/>
      </c>
    </row>
    <row r="2965">
      <c r="A2965" s="1" t="n">
        <v>3</v>
      </c>
      <c r="B2965" s="1" t="inlineStr">
        <is>
          <t>เสื้อผ้า</t>
        </is>
      </c>
      <c r="C2965" s="1" t="inlineStr">
        <is>
          <t>gf2020101696</t>
        </is>
      </c>
      <c r="D2965" s="1" t="inlineStr">
        <is>
          <t>UNDER ARMOUR Drive 5-Pocket Men's Pants (Black)</t>
        </is>
      </c>
      <c r="E2965" s="1" t="inlineStr">
        <is>
          <t>UNDER ARMOUR</t>
        </is>
      </c>
      <c r="F2965" s="1" t="inlineStr">
        <is>
          <t>LONG PANTS</t>
        </is>
      </c>
      <c r="G2965" s="1" t="inlineStr">
        <is>
          <t>GF202010169628</t>
        </is>
      </c>
      <c r="H2965" s="1" t="n">
        <v>7</v>
      </c>
      <c r="I2965" s="1" t="inlineStr">
        <is>
          <t>มี</t>
        </is>
      </c>
      <c r="J2965" s="13" t="n">
        <v>79</v>
      </c>
      <c r="K2965" s="1" t="inlineStr"/>
      <c r="L2965" s="13" t="n">
        <v>79</v>
      </c>
      <c r="M2965" s="1">
        <f>IF(L2965="","ไม่พบใน SG",IF(ABS(J2965-L2965)&lt;0.005,"ตรงกัน","ไม่ตรง"))</f>
        <v/>
      </c>
      <c r="N2965" s="14">
        <f>IF(L2965="","",ROUND(L2965*'สรุป'!$C$6,-1))</f>
        <v/>
      </c>
      <c r="O2965" s="15" t="n"/>
      <c r="P2965" s="15" t="n"/>
      <c r="Q2965" s="10" t="n"/>
      <c r="R2965" s="10" t="n"/>
      <c r="S2965" s="16" t="inlineStr">
        <is>
          <t>https://mstgolf.co.th/products/gf2020101696</t>
        </is>
      </c>
      <c r="T2965" s="1">
        <f>IF(B2965="ไม้กอล์ฟ",J2965,"")</f>
        <v/>
      </c>
    </row>
    <row r="2966">
      <c r="A2966" s="1" t="n">
        <v>3</v>
      </c>
      <c r="B2966" s="1" t="inlineStr">
        <is>
          <t>เสื้อผ้า</t>
        </is>
      </c>
      <c r="C2966" s="1" t="inlineStr">
        <is>
          <t>gf2020101621</t>
        </is>
      </c>
      <c r="D2966" s="1" t="inlineStr">
        <is>
          <t>UNDER ARMOUR Links Women's Pants (Black)</t>
        </is>
      </c>
      <c r="E2966" s="1" t="inlineStr">
        <is>
          <t>UNDER ARMOUR</t>
        </is>
      </c>
      <c r="F2966" s="1" t="inlineStr">
        <is>
          <t>LONG PANTS</t>
        </is>
      </c>
      <c r="G2966" s="1" t="inlineStr">
        <is>
          <t>GF20201016212</t>
        </is>
      </c>
      <c r="H2966" s="1" t="n">
        <v>6</v>
      </c>
      <c r="I2966" s="1" t="inlineStr">
        <is>
          <t>มี</t>
        </is>
      </c>
      <c r="J2966" s="13" t="n">
        <v>79</v>
      </c>
      <c r="K2966" s="1" t="inlineStr"/>
      <c r="L2966" s="13" t="n">
        <v>65</v>
      </c>
      <c r="M2966" s="1">
        <f>IF(L2966="","ไม่พบใน SG",IF(ABS(J2966-L2966)&lt;0.005,"ตรงกัน","ไม่ตรง"))</f>
        <v/>
      </c>
      <c r="N2966" s="14">
        <f>IF(L2966="","",ROUND(L2966*'สรุป'!$C$6,-1))</f>
        <v/>
      </c>
      <c r="O2966" s="15" t="n"/>
      <c r="P2966" s="15" t="n"/>
      <c r="Q2966" s="10" t="n"/>
      <c r="R2966" s="10" t="n"/>
      <c r="S2966" s="16" t="inlineStr">
        <is>
          <t>https://mstgolf.co.th/products/gf2020101621</t>
        </is>
      </c>
      <c r="T2966" s="1">
        <f>IF(B2966="ไม้กอล์ฟ",J2966,"")</f>
        <v/>
      </c>
    </row>
    <row r="2967">
      <c r="A2967" s="1" t="n">
        <v>3</v>
      </c>
      <c r="B2967" s="1" t="inlineStr">
        <is>
          <t>เสื้อผ้า</t>
        </is>
      </c>
      <c r="C2967" s="1" t="inlineStr">
        <is>
          <t>gf2040401155</t>
        </is>
      </c>
      <c r="D2967" s="1" t="inlineStr">
        <is>
          <t>UNDER ARMOUR Playoff 1/4 Zip Women's Long Sleeve Polo (Midnight Navy)</t>
        </is>
      </c>
      <c r="E2967" s="1" t="inlineStr">
        <is>
          <t>UNDER ARMOUR</t>
        </is>
      </c>
      <c r="F2967" s="1" t="inlineStr">
        <is>
          <t>LONG SLEEVES</t>
        </is>
      </c>
      <c r="G2967" s="1" t="inlineStr">
        <is>
          <t>GF2040401155XS</t>
        </is>
      </c>
      <c r="H2967" s="1" t="n">
        <v>5</v>
      </c>
      <c r="I2967" s="1" t="inlineStr">
        <is>
          <t>มี</t>
        </is>
      </c>
      <c r="J2967" s="13" t="n">
        <v>79</v>
      </c>
      <c r="K2967" s="1" t="inlineStr"/>
      <c r="L2967" s="13" t="n">
        <v>79</v>
      </c>
      <c r="M2967" s="1">
        <f>IF(L2967="","ไม่พบใน SG",IF(ABS(J2967-L2967)&lt;0.005,"ตรงกัน","ไม่ตรง"))</f>
        <v/>
      </c>
      <c r="N2967" s="14">
        <f>IF(L2967="","",ROUND(L2967*'สรุป'!$C$6,-1))</f>
        <v/>
      </c>
      <c r="O2967" s="15" t="n"/>
      <c r="P2967" s="15" t="n"/>
      <c r="Q2967" s="10" t="n"/>
      <c r="R2967" s="10" t="n"/>
      <c r="S2967" s="16" t="inlineStr">
        <is>
          <t>https://mstgolf.co.th/products/gf2040401155</t>
        </is>
      </c>
      <c r="T2967" s="1">
        <f>IF(B2967="ไม้กอล์ฟ",J2967,"")</f>
        <v/>
      </c>
    </row>
    <row r="2968">
      <c r="A2968" s="1" t="n">
        <v>3</v>
      </c>
      <c r="B2968" s="1" t="inlineStr">
        <is>
          <t>เสื้อผ้า</t>
        </is>
      </c>
      <c r="C2968" s="1" t="inlineStr">
        <is>
          <t>gf2040401156</t>
        </is>
      </c>
      <c r="D2968" s="1" t="inlineStr">
        <is>
          <t>UNDER ARMOUR Playoff 1/4 Zip Women's Long Sleeve Polo (Red Solstice)</t>
        </is>
      </c>
      <c r="E2968" s="1" t="inlineStr">
        <is>
          <t>UNDER ARMOUR</t>
        </is>
      </c>
      <c r="F2968" s="1" t="inlineStr">
        <is>
          <t>LONG SLEEVES</t>
        </is>
      </c>
      <c r="G2968" s="1" t="inlineStr">
        <is>
          <t>GF2040401156XS</t>
        </is>
      </c>
      <c r="H2968" s="1" t="n">
        <v>5</v>
      </c>
      <c r="I2968" s="1" t="inlineStr">
        <is>
          <t>มี</t>
        </is>
      </c>
      <c r="J2968" s="13" t="n">
        <v>79</v>
      </c>
      <c r="K2968" s="1" t="inlineStr"/>
      <c r="L2968" s="13" t="n">
        <v>79</v>
      </c>
      <c r="M2968" s="1">
        <f>IF(L2968="","ไม่พบใน SG",IF(ABS(J2968-L2968)&lt;0.005,"ตรงกัน","ไม่ตรง"))</f>
        <v/>
      </c>
      <c r="N2968" s="14">
        <f>IF(L2968="","",ROUND(L2968*'สรุป'!$C$6,-1))</f>
        <v/>
      </c>
      <c r="O2968" s="15" t="n"/>
      <c r="P2968" s="15" t="n"/>
      <c r="Q2968" s="10" t="n"/>
      <c r="R2968" s="10" t="n"/>
      <c r="S2968" s="16" t="inlineStr">
        <is>
          <t>https://mstgolf.co.th/products/gf2040401156</t>
        </is>
      </c>
      <c r="T2968" s="1">
        <f>IF(B2968="ไม้กอล์ฟ",J2968,"")</f>
        <v/>
      </c>
    </row>
    <row r="2969">
      <c r="A2969" s="1" t="n">
        <v>3</v>
      </c>
      <c r="B2969" s="1" t="inlineStr">
        <is>
          <t>เสื้อผ้า</t>
        </is>
      </c>
      <c r="C2969" s="1" t="inlineStr">
        <is>
          <t>gf2040117217</t>
        </is>
      </c>
      <c r="D2969" s="1" t="inlineStr">
        <is>
          <t>UNDER ARMOUR T2G (2024) Men's Polo (Black)</t>
        </is>
      </c>
      <c r="E2969" s="1" t="inlineStr">
        <is>
          <t>UNDER ARMOUR</t>
        </is>
      </c>
      <c r="F2969" s="1" t="inlineStr">
        <is>
          <t>SHORT SLEEVES</t>
        </is>
      </c>
      <c r="G2969" s="1" t="inlineStr">
        <is>
          <t>GF2040117217S</t>
        </is>
      </c>
      <c r="H2969" s="1" t="n">
        <v>5</v>
      </c>
      <c r="I2969" s="1" t="inlineStr">
        <is>
          <t>มี</t>
        </is>
      </c>
      <c r="J2969" s="13" t="n">
        <v>79</v>
      </c>
      <c r="K2969" s="1" t="inlineStr"/>
      <c r="L2969" s="13" t="n">
        <v>79</v>
      </c>
      <c r="M2969" s="1">
        <f>IF(L2969="","ไม่พบใน SG",IF(ABS(J2969-L2969)&lt;0.005,"ตรงกัน","ไม่ตรง"))</f>
        <v/>
      </c>
      <c r="N2969" s="14">
        <f>IF(L2969="","",ROUND(L2969*'สรุป'!$C$6,-1))</f>
        <v/>
      </c>
      <c r="O2969" s="15" t="n"/>
      <c r="P2969" s="15" t="n"/>
      <c r="Q2969" s="10" t="n"/>
      <c r="R2969" s="10" t="n"/>
      <c r="S2969" s="16" t="inlineStr">
        <is>
          <t>https://mstgolf.co.th/products/gf2040117217</t>
        </is>
      </c>
      <c r="T2969" s="1">
        <f>IF(B2969="ไม้กอล์ฟ",J2969,"")</f>
        <v/>
      </c>
    </row>
    <row r="2970">
      <c r="A2970" s="1" t="n">
        <v>3</v>
      </c>
      <c r="B2970" s="1" t="inlineStr">
        <is>
          <t>เสื้อผ้า</t>
        </is>
      </c>
      <c r="C2970" s="1" t="inlineStr">
        <is>
          <t>gf2040117218</t>
        </is>
      </c>
      <c r="D2970" s="1" t="inlineStr">
        <is>
          <t>UNDER ARMOUR T2G (2024) Men's Polo (Steel)</t>
        </is>
      </c>
      <c r="E2970" s="1" t="inlineStr">
        <is>
          <t>UNDER ARMOUR</t>
        </is>
      </c>
      <c r="F2970" s="1" t="inlineStr">
        <is>
          <t>SHORT SLEEVES</t>
        </is>
      </c>
      <c r="G2970" s="1" t="inlineStr">
        <is>
          <t>GF2040117218S</t>
        </is>
      </c>
      <c r="H2970" s="1" t="n">
        <v>5</v>
      </c>
      <c r="I2970" s="1" t="inlineStr">
        <is>
          <t>มี</t>
        </is>
      </c>
      <c r="J2970" s="13" t="n">
        <v>79</v>
      </c>
      <c r="K2970" s="1" t="inlineStr"/>
      <c r="L2970" s="13" t="n">
        <v>79</v>
      </c>
      <c r="M2970" s="1">
        <f>IF(L2970="","ไม่พบใน SG",IF(ABS(J2970-L2970)&lt;0.005,"ตรงกัน","ไม่ตรง"))</f>
        <v/>
      </c>
      <c r="N2970" s="14">
        <f>IF(L2970="","",ROUND(L2970*'สรุป'!$C$6,-1))</f>
        <v/>
      </c>
      <c r="O2970" s="15" t="n"/>
      <c r="P2970" s="15" t="n"/>
      <c r="Q2970" s="10" t="n"/>
      <c r="R2970" s="10" t="n"/>
      <c r="S2970" s="16" t="inlineStr">
        <is>
          <t>https://mstgolf.co.th/products/gf2040117218</t>
        </is>
      </c>
      <c r="T2970" s="1">
        <f>IF(B2970="ไม้กอล์ฟ",J2970,"")</f>
        <v/>
      </c>
    </row>
    <row r="2971">
      <c r="A2971" s="1" t="n">
        <v>3</v>
      </c>
      <c r="B2971" s="1" t="inlineStr">
        <is>
          <t>เสื้อผ้า</t>
        </is>
      </c>
      <c r="C2971" s="1" t="inlineStr">
        <is>
          <t>gf2040117219</t>
        </is>
      </c>
      <c r="D2971" s="1" t="inlineStr">
        <is>
          <t>UNDER ARMOUR T2G (2024) Men's Polo (White)</t>
        </is>
      </c>
      <c r="E2971" s="1" t="inlineStr">
        <is>
          <t>UNDER ARMOUR</t>
        </is>
      </c>
      <c r="F2971" s="1" t="inlineStr">
        <is>
          <t>SHORT SLEEVES</t>
        </is>
      </c>
      <c r="G2971" s="1" t="inlineStr">
        <is>
          <t>GF2040117219S</t>
        </is>
      </c>
      <c r="H2971" s="1" t="n">
        <v>5</v>
      </c>
      <c r="I2971" s="1" t="inlineStr">
        <is>
          <t>มี</t>
        </is>
      </c>
      <c r="J2971" s="13" t="n">
        <v>79</v>
      </c>
      <c r="K2971" s="1" t="inlineStr"/>
      <c r="L2971" s="13" t="n">
        <v>79</v>
      </c>
      <c r="M2971" s="1">
        <f>IF(L2971="","ไม่พบใน SG",IF(ABS(J2971-L2971)&lt;0.005,"ตรงกัน","ไม่ตรง"))</f>
        <v/>
      </c>
      <c r="N2971" s="14">
        <f>IF(L2971="","",ROUND(L2971*'สรุป'!$C$6,-1))</f>
        <v/>
      </c>
      <c r="O2971" s="15" t="n"/>
      <c r="P2971" s="15" t="n"/>
      <c r="Q2971" s="10" t="n"/>
      <c r="R2971" s="10" t="n"/>
      <c r="S2971" s="16" t="inlineStr">
        <is>
          <t>https://mstgolf.co.th/products/gf2040117219</t>
        </is>
      </c>
      <c r="T2971" s="1">
        <f>IF(B2971="ไม้กอล์ฟ",J2971,"")</f>
        <v/>
      </c>
    </row>
    <row r="2972">
      <c r="A2972" s="1" t="n">
        <v>3</v>
      </c>
      <c r="B2972" s="1" t="inlineStr">
        <is>
          <t>เสื้อผ้า</t>
        </is>
      </c>
      <c r="C2972" s="1" t="inlineStr">
        <is>
          <t>gf2040120390</t>
        </is>
      </c>
      <c r="D2972" s="1" t="inlineStr">
        <is>
          <t>UNDER ARMOUR T2G (2025) Men's Pique Polo (Black)</t>
        </is>
      </c>
      <c r="E2972" s="1" t="inlineStr">
        <is>
          <t>UNDER ARMOUR</t>
        </is>
      </c>
      <c r="F2972" s="1" t="inlineStr">
        <is>
          <t>SHORT SLEEVES</t>
        </is>
      </c>
      <c r="G2972" s="1" t="inlineStr">
        <is>
          <t>GF2040120390S</t>
        </is>
      </c>
      <c r="H2972" s="1" t="n">
        <v>5</v>
      </c>
      <c r="I2972" s="1" t="inlineStr">
        <is>
          <t>มี</t>
        </is>
      </c>
      <c r="J2972" s="13" t="n">
        <v>79</v>
      </c>
      <c r="K2972" s="1" t="inlineStr"/>
      <c r="L2972" s="13" t="n">
        <v>79</v>
      </c>
      <c r="M2972" s="1">
        <f>IF(L2972="","ไม่พบใน SG",IF(ABS(J2972-L2972)&lt;0.005,"ตรงกัน","ไม่ตรง"))</f>
        <v/>
      </c>
      <c r="N2972" s="14">
        <f>IF(L2972="","",ROUND(L2972*'สรุป'!$C$6,-1))</f>
        <v/>
      </c>
      <c r="O2972" s="15" t="n"/>
      <c r="P2972" s="15" t="n"/>
      <c r="Q2972" s="10" t="n"/>
      <c r="R2972" s="10" t="n"/>
      <c r="S2972" s="16" t="inlineStr">
        <is>
          <t>https://mstgolf.co.th/products/gf2040120390</t>
        </is>
      </c>
      <c r="T2972" s="1">
        <f>IF(B2972="ไม้กอล์ฟ",J2972,"")</f>
        <v/>
      </c>
    </row>
    <row r="2973">
      <c r="A2973" s="1" t="n">
        <v>3</v>
      </c>
      <c r="B2973" s="1" t="inlineStr">
        <is>
          <t>หมวก</t>
        </is>
      </c>
      <c r="C2973" s="1" t="inlineStr">
        <is>
          <t>gf2000106100</t>
        </is>
      </c>
      <c r="D2973" s="1" t="inlineStr">
        <is>
          <t>MANORS Frontier Tech Men's Cap (Black)</t>
        </is>
      </c>
      <c r="E2973" s="1" t="inlineStr">
        <is>
          <t>MANORS</t>
        </is>
      </c>
      <c r="F2973" s="1" t="inlineStr">
        <is>
          <t>CAP</t>
        </is>
      </c>
      <c r="G2973" s="1" t="inlineStr">
        <is>
          <t>GF2000106100FS</t>
        </is>
      </c>
      <c r="H2973" s="1" t="n">
        <v>1</v>
      </c>
      <c r="I2973" s="1" t="inlineStr">
        <is>
          <t>มี</t>
        </is>
      </c>
      <c r="J2973" s="13" t="n">
        <v>78</v>
      </c>
      <c r="K2973" s="1" t="inlineStr"/>
      <c r="L2973" s="13" t="n">
        <v>78</v>
      </c>
      <c r="M2973" s="1">
        <f>IF(L2973="","ไม่พบใน SG",IF(ABS(J2973-L2973)&lt;0.005,"ตรงกัน","ไม่ตรง"))</f>
        <v/>
      </c>
      <c r="N2973" s="14">
        <f>IF(L2973="","",ROUND(L2973*'สรุป'!$C$6,-1))</f>
        <v/>
      </c>
      <c r="O2973" s="15" t="n"/>
      <c r="P2973" s="15" t="n"/>
      <c r="Q2973" s="10" t="n"/>
      <c r="R2973" s="10" t="n"/>
      <c r="S2973" s="16" t="inlineStr">
        <is>
          <t>https://mstgolf.co.th/products/gf2000106100</t>
        </is>
      </c>
      <c r="T2973" s="1">
        <f>IF(B2973="ไม้กอล์ฟ",J2973,"")</f>
        <v/>
      </c>
    </row>
    <row r="2974">
      <c r="A2974" s="1" t="n">
        <v>3</v>
      </c>
      <c r="B2974" s="1" t="inlineStr">
        <is>
          <t>หมวก</t>
        </is>
      </c>
      <c r="C2974" s="1" t="inlineStr">
        <is>
          <t>gf2000106465</t>
        </is>
      </c>
      <c r="D2974" s="1" t="inlineStr">
        <is>
          <t>MANORS Frontier Tech Men's Cap (Black)</t>
        </is>
      </c>
      <c r="E2974" s="1" t="inlineStr">
        <is>
          <t>MANORS</t>
        </is>
      </c>
      <c r="F2974" s="1" t="inlineStr">
        <is>
          <t>CAP</t>
        </is>
      </c>
      <c r="G2974" s="1" t="inlineStr">
        <is>
          <t>GF2000106465FS</t>
        </is>
      </c>
      <c r="H2974" s="1" t="n">
        <v>1</v>
      </c>
      <c r="I2974" s="1" t="inlineStr">
        <is>
          <t>มี</t>
        </is>
      </c>
      <c r="J2974" s="13" t="n">
        <v>78</v>
      </c>
      <c r="K2974" s="1" t="inlineStr"/>
      <c r="L2974" s="13" t="n">
        <v>78</v>
      </c>
      <c r="M2974" s="1">
        <f>IF(L2974="","ไม่พบใน SG",IF(ABS(J2974-L2974)&lt;0.005,"ตรงกัน","ไม่ตรง"))</f>
        <v/>
      </c>
      <c r="N2974" s="14">
        <f>IF(L2974="","",ROUND(L2974*'สรุป'!$C$6,-1))</f>
        <v/>
      </c>
      <c r="O2974" s="15" t="n"/>
      <c r="P2974" s="15" t="n"/>
      <c r="Q2974" s="10" t="n"/>
      <c r="R2974" s="10" t="n"/>
      <c r="S2974" s="16" t="inlineStr">
        <is>
          <t>https://mstgolf.co.th/products/gf2000106465</t>
        </is>
      </c>
      <c r="T2974" s="1">
        <f>IF(B2974="ไม้กอล์ฟ",J2974,"")</f>
        <v/>
      </c>
    </row>
    <row r="2975">
      <c r="A2975" s="1" t="n">
        <v>3</v>
      </c>
      <c r="B2975" s="1" t="inlineStr">
        <is>
          <t>หมวก</t>
        </is>
      </c>
      <c r="C2975" s="1" t="inlineStr">
        <is>
          <t>gf2000106111</t>
        </is>
      </c>
      <c r="D2975" s="1" t="inlineStr">
        <is>
          <t>MANORS Frontier Tech Men's Cap (Green)</t>
        </is>
      </c>
      <c r="E2975" s="1" t="inlineStr">
        <is>
          <t>MANORS</t>
        </is>
      </c>
      <c r="F2975" s="1" t="inlineStr">
        <is>
          <t>CAP</t>
        </is>
      </c>
      <c r="G2975" s="1" t="inlineStr">
        <is>
          <t>GF2000106111FS</t>
        </is>
      </c>
      <c r="H2975" s="1" t="n">
        <v>1</v>
      </c>
      <c r="I2975" s="1" t="inlineStr">
        <is>
          <t>มี</t>
        </is>
      </c>
      <c r="J2975" s="13" t="n">
        <v>78</v>
      </c>
      <c r="K2975" s="1" t="inlineStr"/>
      <c r="L2975" s="13" t="n">
        <v>78</v>
      </c>
      <c r="M2975" s="1">
        <f>IF(L2975="","ไม่พบใน SG",IF(ABS(J2975-L2975)&lt;0.005,"ตรงกัน","ไม่ตรง"))</f>
        <v/>
      </c>
      <c r="N2975" s="14">
        <f>IF(L2975="","",ROUND(L2975*'สรุป'!$C$6,-1))</f>
        <v/>
      </c>
      <c r="O2975" s="15" t="n"/>
      <c r="P2975" s="15" t="n"/>
      <c r="Q2975" s="10" t="n"/>
      <c r="R2975" s="10" t="n"/>
      <c r="S2975" s="16" t="inlineStr">
        <is>
          <t>https://mstgolf.co.th/products/gf2000106111</t>
        </is>
      </c>
      <c r="T2975" s="1">
        <f>IF(B2975="ไม้กอล์ฟ",J2975,"")</f>
        <v/>
      </c>
    </row>
    <row r="2976">
      <c r="A2976" s="1" t="n">
        <v>3</v>
      </c>
      <c r="B2976" s="1" t="inlineStr">
        <is>
          <t>หมวก</t>
        </is>
      </c>
      <c r="C2976" s="1" t="inlineStr">
        <is>
          <t>gf2000106104</t>
        </is>
      </c>
      <c r="D2976" s="1" t="inlineStr">
        <is>
          <t>MANORS Frontier Tech Men's Cap (Navy)</t>
        </is>
      </c>
      <c r="E2976" s="1" t="inlineStr">
        <is>
          <t>MANORS</t>
        </is>
      </c>
      <c r="F2976" s="1" t="inlineStr">
        <is>
          <t>CAP</t>
        </is>
      </c>
      <c r="G2976" s="1" t="inlineStr">
        <is>
          <t>GF2000106104FS</t>
        </is>
      </c>
      <c r="H2976" s="1" t="n">
        <v>1</v>
      </c>
      <c r="I2976" s="1" t="inlineStr">
        <is>
          <t>มี</t>
        </is>
      </c>
      <c r="J2976" s="13" t="n">
        <v>78</v>
      </c>
      <c r="K2976" s="1" t="inlineStr"/>
      <c r="L2976" s="13" t="n">
        <v>78</v>
      </c>
      <c r="M2976" s="1">
        <f>IF(L2976="","ไม่พบใน SG",IF(ABS(J2976-L2976)&lt;0.005,"ตรงกัน","ไม่ตรง"))</f>
        <v/>
      </c>
      <c r="N2976" s="14">
        <f>IF(L2976="","",ROUND(L2976*'สรุป'!$C$6,-1))</f>
        <v/>
      </c>
      <c r="O2976" s="15" t="n"/>
      <c r="P2976" s="15" t="n"/>
      <c r="Q2976" s="10" t="n"/>
      <c r="R2976" s="10" t="n"/>
      <c r="S2976" s="16" t="inlineStr">
        <is>
          <t>https://mstgolf.co.th/products/gf2000106104</t>
        </is>
      </c>
      <c r="T2976" s="1">
        <f>IF(B2976="ไม้กอล์ฟ",J2976,"")</f>
        <v/>
      </c>
    </row>
    <row r="2977">
      <c r="A2977" s="1" t="n">
        <v>3</v>
      </c>
      <c r="B2977" s="1" t="inlineStr">
        <is>
          <t>หมวก</t>
        </is>
      </c>
      <c r="C2977" s="1" t="inlineStr">
        <is>
          <t>gf2000106103</t>
        </is>
      </c>
      <c r="D2977" s="1" t="inlineStr">
        <is>
          <t>MANORS Frontier Tech Men's Cap (White)</t>
        </is>
      </c>
      <c r="E2977" s="1" t="inlineStr">
        <is>
          <t>MANORS</t>
        </is>
      </c>
      <c r="F2977" s="1" t="inlineStr">
        <is>
          <t>CAP</t>
        </is>
      </c>
      <c r="G2977" s="1" t="inlineStr">
        <is>
          <t>GF2000106103FS</t>
        </is>
      </c>
      <c r="H2977" s="1" t="n">
        <v>1</v>
      </c>
      <c r="I2977" s="1" t="inlineStr">
        <is>
          <t>มี</t>
        </is>
      </c>
      <c r="J2977" s="13" t="n">
        <v>78</v>
      </c>
      <c r="K2977" s="1" t="inlineStr"/>
      <c r="L2977" s="13" t="n">
        <v>78</v>
      </c>
      <c r="M2977" s="1">
        <f>IF(L2977="","ไม่พบใน SG",IF(ABS(J2977-L2977)&lt;0.005,"ตรงกัน","ไม่ตรง"))</f>
        <v/>
      </c>
      <c r="N2977" s="14">
        <f>IF(L2977="","",ROUND(L2977*'สรุป'!$C$6,-1))</f>
        <v/>
      </c>
      <c r="O2977" s="15" t="n"/>
      <c r="P2977" s="15" t="n"/>
      <c r="Q2977" s="10" t="n"/>
      <c r="R2977" s="10" t="n"/>
      <c r="S2977" s="16" t="inlineStr">
        <is>
          <t>https://mstgolf.co.th/products/gf2000106103</t>
        </is>
      </c>
      <c r="T2977" s="1">
        <f>IF(B2977="ไม้กอล์ฟ",J2977,"")</f>
        <v/>
      </c>
    </row>
    <row r="2978">
      <c r="A2978" s="1" t="n">
        <v>3</v>
      </c>
      <c r="B2978" s="1" t="inlineStr">
        <is>
          <t>หมวก</t>
        </is>
      </c>
      <c r="C2978" s="1" t="inlineStr">
        <is>
          <t>gf2000106464</t>
        </is>
      </c>
      <c r="D2978" s="1" t="inlineStr">
        <is>
          <t>MANORS Frontier Tech Men's Cap (White)</t>
        </is>
      </c>
      <c r="E2978" s="1" t="inlineStr">
        <is>
          <t>MANORS</t>
        </is>
      </c>
      <c r="F2978" s="1" t="inlineStr">
        <is>
          <t>CAP</t>
        </is>
      </c>
      <c r="G2978" s="1" t="inlineStr">
        <is>
          <t>GF2000106464FS</t>
        </is>
      </c>
      <c r="H2978" s="1" t="n">
        <v>1</v>
      </c>
      <c r="I2978" s="1" t="inlineStr">
        <is>
          <t>มี</t>
        </is>
      </c>
      <c r="J2978" s="13" t="n">
        <v>78</v>
      </c>
      <c r="K2978" s="1" t="inlineStr"/>
      <c r="L2978" s="13" t="n">
        <v>78</v>
      </c>
      <c r="M2978" s="1">
        <f>IF(L2978="","ไม่พบใน SG",IF(ABS(J2978-L2978)&lt;0.005,"ตรงกัน","ไม่ตรง"))</f>
        <v/>
      </c>
      <c r="N2978" s="14">
        <f>IF(L2978="","",ROUND(L2978*'สรุป'!$C$6,-1))</f>
        <v/>
      </c>
      <c r="O2978" s="15" t="n"/>
      <c r="P2978" s="15" t="n"/>
      <c r="Q2978" s="10" t="n"/>
      <c r="R2978" s="10" t="n"/>
      <c r="S2978" s="16" t="inlineStr">
        <is>
          <t>https://mstgolf.co.th/products/gf2000106464</t>
        </is>
      </c>
      <c r="T2978" s="1">
        <f>IF(B2978="ไม้กอล์ฟ",J2978,"")</f>
        <v/>
      </c>
    </row>
    <row r="2979">
      <c r="A2979" s="1" t="n">
        <v>3</v>
      </c>
      <c r="B2979" s="1" t="inlineStr">
        <is>
          <t>หมวก</t>
        </is>
      </c>
      <c r="C2979" s="1" t="inlineStr">
        <is>
          <t>gf2000106106</t>
        </is>
      </c>
      <c r="D2979" s="1" t="inlineStr">
        <is>
          <t>MANORS Two Tone Frontier Tech Men's Cap (Black)</t>
        </is>
      </c>
      <c r="E2979" s="1" t="inlineStr">
        <is>
          <t>MANORS</t>
        </is>
      </c>
      <c r="F2979" s="1" t="inlineStr">
        <is>
          <t>CAP</t>
        </is>
      </c>
      <c r="G2979" s="1" t="inlineStr">
        <is>
          <t>GF2000106106FS</t>
        </is>
      </c>
      <c r="H2979" s="1" t="n">
        <v>1</v>
      </c>
      <c r="I2979" s="1" t="inlineStr">
        <is>
          <t>มี</t>
        </is>
      </c>
      <c r="J2979" s="13" t="n">
        <v>78</v>
      </c>
      <c r="K2979" s="1" t="inlineStr"/>
      <c r="L2979" s="13" t="n">
        <v>78</v>
      </c>
      <c r="M2979" s="1">
        <f>IF(L2979="","ไม่พบใน SG",IF(ABS(J2979-L2979)&lt;0.005,"ตรงกัน","ไม่ตรง"))</f>
        <v/>
      </c>
      <c r="N2979" s="14">
        <f>IF(L2979="","",ROUND(L2979*'สรุป'!$C$6,-1))</f>
        <v/>
      </c>
      <c r="O2979" s="15" t="n"/>
      <c r="P2979" s="15" t="n"/>
      <c r="Q2979" s="10" t="n"/>
      <c r="R2979" s="10" t="n"/>
      <c r="S2979" s="16" t="inlineStr">
        <is>
          <t>https://mstgolf.co.th/products/gf2000106106</t>
        </is>
      </c>
      <c r="T2979" s="1">
        <f>IF(B2979="ไม้กอล์ฟ",J2979,"")</f>
        <v/>
      </c>
    </row>
    <row r="2980">
      <c r="A2980" s="1" t="n">
        <v>3</v>
      </c>
      <c r="B2980" s="1" t="inlineStr">
        <is>
          <t>หมวก</t>
        </is>
      </c>
      <c r="C2980" s="1" t="inlineStr">
        <is>
          <t>gf2000300437</t>
        </is>
      </c>
      <c r="D2980" s="1" t="inlineStr">
        <is>
          <t>TAYLORMADE British Open 2024 Men's Bucket Hat (Navy)</t>
        </is>
      </c>
      <c r="E2980" s="1" t="inlineStr">
        <is>
          <t>TAYLORMADE</t>
        </is>
      </c>
      <c r="F2980" s="1" t="inlineStr">
        <is>
          <t>HAT</t>
        </is>
      </c>
      <c r="G2980" s="1" t="inlineStr">
        <is>
          <t>GF2000300437FS</t>
        </is>
      </c>
      <c r="H2980" s="1" t="n">
        <v>1</v>
      </c>
      <c r="I2980" s="1" t="inlineStr">
        <is>
          <t>มี</t>
        </is>
      </c>
      <c r="J2980" s="13" t="n">
        <v>78</v>
      </c>
      <c r="K2980" s="1" t="inlineStr"/>
      <c r="L2980" s="13" t="n">
        <v>78</v>
      </c>
      <c r="M2980" s="1">
        <f>IF(L2980="","ไม่พบใน SG",IF(ABS(J2980-L2980)&lt;0.005,"ตรงกัน","ไม่ตรง"))</f>
        <v/>
      </c>
      <c r="N2980" s="14">
        <f>IF(L2980="","",ROUND(L2980*'สรุป'!$C$6,-1))</f>
        <v/>
      </c>
      <c r="O2980" s="15" t="n"/>
      <c r="P2980" s="15" t="n"/>
      <c r="Q2980" s="10" t="n"/>
      <c r="R2980" s="10" t="n"/>
      <c r="S2980" s="16" t="inlineStr">
        <is>
          <t>https://mstgolf.co.th/products/gf2000300437</t>
        </is>
      </c>
      <c r="T2980" s="1">
        <f>IF(B2980="ไม้กอล์ฟ",J2980,"")</f>
        <v/>
      </c>
    </row>
    <row r="2981">
      <c r="A2981" s="1" t="n">
        <v>3</v>
      </c>
      <c r="B2981" s="1" t="inlineStr">
        <is>
          <t>หมวก</t>
        </is>
      </c>
      <c r="C2981" s="1" t="inlineStr">
        <is>
          <t>gf2000106124</t>
        </is>
      </c>
      <c r="D2981" s="1" t="inlineStr">
        <is>
          <t>TAYLORMADE Summer Commemorative 2024 Men's Bucket Hat (Ivory)</t>
        </is>
      </c>
      <c r="E2981" s="1" t="inlineStr">
        <is>
          <t>TAYLORMADE</t>
        </is>
      </c>
      <c r="F2981" s="1" t="inlineStr">
        <is>
          <t>HAT</t>
        </is>
      </c>
      <c r="G2981" s="1" t="inlineStr">
        <is>
          <t>GF2000106124FS</t>
        </is>
      </c>
      <c r="H2981" s="1" t="n">
        <v>1</v>
      </c>
      <c r="I2981" s="1" t="inlineStr">
        <is>
          <t>มี</t>
        </is>
      </c>
      <c r="J2981" s="13" t="n">
        <v>78</v>
      </c>
      <c r="K2981" s="1" t="inlineStr"/>
      <c r="L2981" s="13" t="n">
        <v>78</v>
      </c>
      <c r="M2981" s="1">
        <f>IF(L2981="","ไม่พบใน SG",IF(ABS(J2981-L2981)&lt;0.005,"ตรงกัน","ไม่ตรง"))</f>
        <v/>
      </c>
      <c r="N2981" s="14">
        <f>IF(L2981="","",ROUND(L2981*'สรุป'!$C$6,-1))</f>
        <v/>
      </c>
      <c r="O2981" s="15" t="n"/>
      <c r="P2981" s="15" t="n"/>
      <c r="Q2981" s="10" t="n"/>
      <c r="R2981" s="10" t="n"/>
      <c r="S2981" s="16" t="inlineStr">
        <is>
          <t>https://mstgolf.co.th/products/gf2000106124</t>
        </is>
      </c>
      <c r="T2981" s="1">
        <f>IF(B2981="ไม้กอล์ฟ",J2981,"")</f>
        <v/>
      </c>
    </row>
    <row r="2982">
      <c r="A2982" s="1" t="n">
        <v>3</v>
      </c>
      <c r="B2982" s="1" t="inlineStr">
        <is>
          <t>เสื้อผ้า</t>
        </is>
      </c>
      <c r="C2982" s="1" t="inlineStr">
        <is>
          <t>gf2020201770</t>
        </is>
      </c>
      <c r="D2982" s="1" t="inlineStr">
        <is>
          <t>FOOTJOY Women's Shorts (Black)</t>
        </is>
      </c>
      <c r="E2982" s="1" t="inlineStr">
        <is>
          <t>FOOTJOY</t>
        </is>
      </c>
      <c r="F2982" s="1" t="inlineStr">
        <is>
          <t>SHORT PANTS</t>
        </is>
      </c>
      <c r="G2982" s="1" t="inlineStr">
        <is>
          <t>GF2020201770XS</t>
        </is>
      </c>
      <c r="H2982" s="1" t="n">
        <v>5</v>
      </c>
      <c r="I2982" s="1" t="inlineStr">
        <is>
          <t>มี</t>
        </is>
      </c>
      <c r="J2982" s="13" t="n">
        <v>77</v>
      </c>
      <c r="K2982" s="1" t="inlineStr"/>
      <c r="L2982" s="13" t="n">
        <v>77</v>
      </c>
      <c r="M2982" s="1">
        <f>IF(L2982="","ไม่พบใน SG",IF(ABS(J2982-L2982)&lt;0.005,"ตรงกัน","ไม่ตรง"))</f>
        <v/>
      </c>
      <c r="N2982" s="14">
        <f>IF(L2982="","",ROUND(L2982*'สรุป'!$C$6,-1))</f>
        <v/>
      </c>
      <c r="O2982" s="15" t="n"/>
      <c r="P2982" s="15" t="n"/>
      <c r="Q2982" s="10" t="n"/>
      <c r="R2982" s="10" t="n"/>
      <c r="S2982" s="16" t="inlineStr">
        <is>
          <t>https://mstgolf.co.th/products/gf2020201770</t>
        </is>
      </c>
      <c r="T2982" s="1">
        <f>IF(B2982="ไม้กอล์ฟ",J2982,"")</f>
        <v/>
      </c>
    </row>
    <row r="2983">
      <c r="A2983" s="1" t="n">
        <v>3</v>
      </c>
      <c r="B2983" s="1" t="inlineStr">
        <is>
          <t>เสื้อผ้า</t>
        </is>
      </c>
      <c r="C2983" s="1" t="inlineStr">
        <is>
          <t>gf2020201936</t>
        </is>
      </c>
      <c r="D2983" s="1" t="inlineStr">
        <is>
          <t>FOOTJOY Women's Shorts (Navy)</t>
        </is>
      </c>
      <c r="E2983" s="1" t="inlineStr">
        <is>
          <t>FOOTJOY</t>
        </is>
      </c>
      <c r="F2983" s="1" t="inlineStr">
        <is>
          <t>SHORT PANTS</t>
        </is>
      </c>
      <c r="G2983" s="1" t="inlineStr">
        <is>
          <t>GF2020201936XS</t>
        </is>
      </c>
      <c r="H2983" s="1" t="n">
        <v>5</v>
      </c>
      <c r="I2983" s="1" t="inlineStr">
        <is>
          <t>มี</t>
        </is>
      </c>
      <c r="J2983" s="13" t="n">
        <v>77</v>
      </c>
      <c r="K2983" s="1" t="inlineStr"/>
      <c r="L2983" s="13" t="n">
        <v>77</v>
      </c>
      <c r="M2983" s="1">
        <f>IF(L2983="","ไม่พบใน SG",IF(ABS(J2983-L2983)&lt;0.005,"ตรงกัน","ไม่ตรง"))</f>
        <v/>
      </c>
      <c r="N2983" s="14">
        <f>IF(L2983="","",ROUND(L2983*'สรุป'!$C$6,-1))</f>
        <v/>
      </c>
      <c r="O2983" s="15" t="n"/>
      <c r="P2983" s="15" t="n"/>
      <c r="Q2983" s="10" t="n"/>
      <c r="R2983" s="10" t="n"/>
      <c r="S2983" s="16" t="inlineStr">
        <is>
          <t>https://mstgolf.co.th/products/gf2020201936</t>
        </is>
      </c>
      <c r="T2983" s="1">
        <f>IF(B2983="ไม้กอล์ฟ",J2983,"")</f>
        <v/>
      </c>
    </row>
    <row r="2984">
      <c r="A2984" s="1" t="n">
        <v>3</v>
      </c>
      <c r="B2984" s="1" t="inlineStr">
        <is>
          <t>เสื้อผ้า</t>
        </is>
      </c>
      <c r="C2984" s="1" t="inlineStr">
        <is>
          <t>gf2040115129</t>
        </is>
      </c>
      <c r="D2984" s="1" t="inlineStr">
        <is>
          <t>GFORE 3D Icon Logo Men's Polo (Twilight)</t>
        </is>
      </c>
      <c r="E2984" s="1" t="inlineStr">
        <is>
          <t>GFORE</t>
        </is>
      </c>
      <c r="F2984" s="1" t="inlineStr">
        <is>
          <t>SHORT SLEEVES</t>
        </is>
      </c>
      <c r="G2984" s="1" t="inlineStr">
        <is>
          <t>GF2040115129XS</t>
        </is>
      </c>
      <c r="H2984" s="1" t="n">
        <v>6</v>
      </c>
      <c r="I2984" s="1" t="inlineStr">
        <is>
          <t>มี</t>
        </is>
      </c>
      <c r="J2984" s="13" t="n">
        <v>77</v>
      </c>
      <c r="K2984" s="1" t="inlineStr"/>
      <c r="L2984" s="13" t="n">
        <v>77</v>
      </c>
      <c r="M2984" s="1">
        <f>IF(L2984="","ไม่พบใน SG",IF(ABS(J2984-L2984)&lt;0.005,"ตรงกัน","ไม่ตรง"))</f>
        <v/>
      </c>
      <c r="N2984" s="14">
        <f>IF(L2984="","",ROUND(L2984*'สรุป'!$C$6,-1))</f>
        <v/>
      </c>
      <c r="O2984" s="15" t="n"/>
      <c r="P2984" s="15" t="n"/>
      <c r="Q2984" s="10" t="n"/>
      <c r="R2984" s="10" t="n"/>
      <c r="S2984" s="16" t="inlineStr">
        <is>
          <t>https://mstgolf.co.th/products/gf2040115129</t>
        </is>
      </c>
      <c r="T2984" s="1">
        <f>IF(B2984="ไม้กอล์ฟ",J2984,"")</f>
        <v/>
      </c>
    </row>
    <row r="2985">
      <c r="A2985" s="1" t="n">
        <v>3</v>
      </c>
      <c r="B2985" s="1" t="inlineStr">
        <is>
          <t>เสื้อผ้า</t>
        </is>
      </c>
      <c r="C2985" s="1" t="inlineStr">
        <is>
          <t>gf2040400927</t>
        </is>
      </c>
      <c r="D2985" s="1" t="inlineStr">
        <is>
          <t>GFORE Ice Nylon Print Men's Long Sleeve Polo (Snow)</t>
        </is>
      </c>
      <c r="E2985" s="1" t="inlineStr">
        <is>
          <t>GFORE</t>
        </is>
      </c>
      <c r="F2985" s="1" t="inlineStr">
        <is>
          <t>LONG SLEEVES</t>
        </is>
      </c>
      <c r="G2985" s="1" t="inlineStr">
        <is>
          <t>GF2040400927XS</t>
        </is>
      </c>
      <c r="H2985" s="1" t="n">
        <v>6</v>
      </c>
      <c r="I2985" s="1" t="inlineStr">
        <is>
          <t>มี</t>
        </is>
      </c>
      <c r="J2985" s="13" t="n">
        <v>77</v>
      </c>
      <c r="K2985" s="1" t="inlineStr"/>
      <c r="L2985" s="13" t="n">
        <v>77</v>
      </c>
      <c r="M2985" s="1">
        <f>IF(L2985="","ไม่พบใน SG",IF(ABS(J2985-L2985)&lt;0.005,"ตรงกัน","ไม่ตรง"))</f>
        <v/>
      </c>
      <c r="N2985" s="14">
        <f>IF(L2985="","",ROUND(L2985*'สรุป'!$C$6,-1))</f>
        <v/>
      </c>
      <c r="O2985" s="15" t="n"/>
      <c r="P2985" s="15" t="n"/>
      <c r="Q2985" s="10" t="n"/>
      <c r="R2985" s="10" t="n"/>
      <c r="S2985" s="16" t="inlineStr">
        <is>
          <t>https://mstgolf.co.th/products/gf2040400927</t>
        </is>
      </c>
      <c r="T2985" s="1">
        <f>IF(B2985="ไม้กอล์ฟ",J2985,"")</f>
        <v/>
      </c>
    </row>
    <row r="2986">
      <c r="A2986" s="1" t="n">
        <v>3</v>
      </c>
      <c r="B2986" s="1" t="inlineStr">
        <is>
          <t>เสื้อผ้า</t>
        </is>
      </c>
      <c r="C2986" s="1" t="inlineStr">
        <is>
          <t>gf2040116706</t>
        </is>
      </c>
      <c r="D2986" s="1" t="inlineStr">
        <is>
          <t>PETER MILLAR Mayhew Performance Jersey Men's Polo  (Navy)</t>
        </is>
      </c>
      <c r="E2986" s="1" t="inlineStr">
        <is>
          <t>PETER MILLAR</t>
        </is>
      </c>
      <c r="F2986" s="1" t="inlineStr">
        <is>
          <t>SHORT SLEEVES</t>
        </is>
      </c>
      <c r="G2986" s="1" t="inlineStr">
        <is>
          <t>GF2040116706S</t>
        </is>
      </c>
      <c r="H2986" s="1" t="n">
        <v>5</v>
      </c>
      <c r="I2986" s="1" t="inlineStr">
        <is>
          <t>มี</t>
        </is>
      </c>
      <c r="J2986" s="13" t="n">
        <v>77</v>
      </c>
      <c r="K2986" s="1" t="inlineStr"/>
      <c r="L2986" s="13" t="n">
        <v>77</v>
      </c>
      <c r="M2986" s="1">
        <f>IF(L2986="","ไม่พบใน SG",IF(ABS(J2986-L2986)&lt;0.005,"ตรงกัน","ไม่ตรง"))</f>
        <v/>
      </c>
      <c r="N2986" s="14">
        <f>IF(L2986="","",ROUND(L2986*'สรุป'!$C$6,-1))</f>
        <v/>
      </c>
      <c r="O2986" s="15" t="n"/>
      <c r="P2986" s="15" t="n"/>
      <c r="Q2986" s="10" t="n"/>
      <c r="R2986" s="10" t="n"/>
      <c r="S2986" s="16" t="inlineStr">
        <is>
          <t>https://mstgolf.co.th/products/gf2040116706</t>
        </is>
      </c>
      <c r="T2986" s="1">
        <f>IF(B2986="ไม้กอล์ฟ",J2986,"")</f>
        <v/>
      </c>
    </row>
    <row r="2987">
      <c r="A2987" s="1" t="n">
        <v>3</v>
      </c>
      <c r="B2987" s="1" t="inlineStr">
        <is>
          <t>เสื้อผ้า</t>
        </is>
      </c>
      <c r="C2987" s="1" t="inlineStr">
        <is>
          <t>gf2020101834</t>
        </is>
      </c>
      <c r="D2987" s="1" t="inlineStr">
        <is>
          <t>UNDER ARMOUR Drive Men's Pants (Victory Blue)</t>
        </is>
      </c>
      <c r="E2987" s="1" t="inlineStr">
        <is>
          <t>UNDER ARMOUR</t>
        </is>
      </c>
      <c r="F2987" s="1" t="inlineStr">
        <is>
          <t>LONG PANTS</t>
        </is>
      </c>
      <c r="G2987" s="1" t="inlineStr">
        <is>
          <t>GF202010183430</t>
        </is>
      </c>
      <c r="H2987" s="1" t="n">
        <v>8</v>
      </c>
      <c r="I2987" s="1" t="inlineStr">
        <is>
          <t>มี</t>
        </is>
      </c>
      <c r="J2987" s="13" t="n">
        <v>77</v>
      </c>
      <c r="K2987" s="1" t="inlineStr"/>
      <c r="L2987" s="13" t="n">
        <v>49</v>
      </c>
      <c r="M2987" s="1">
        <f>IF(L2987="","ไม่พบใน SG",IF(ABS(J2987-L2987)&lt;0.005,"ตรงกัน","ไม่ตรง"))</f>
        <v/>
      </c>
      <c r="N2987" s="14">
        <f>IF(L2987="","",ROUND(L2987*'สรุป'!$C$6,-1))</f>
        <v/>
      </c>
      <c r="O2987" s="15" t="n"/>
      <c r="P2987" s="15" t="n"/>
      <c r="Q2987" s="10" t="n"/>
      <c r="R2987" s="10" t="n"/>
      <c r="S2987" s="16" t="inlineStr">
        <is>
          <t>https://mstgolf.co.th/products/gf2020101834</t>
        </is>
      </c>
      <c r="T2987" s="1">
        <f>IF(B2987="ไม้กอล์ฟ",J2987,"")</f>
        <v/>
      </c>
    </row>
    <row r="2988">
      <c r="A2988" s="1" t="n">
        <v>3</v>
      </c>
      <c r="B2988" s="1" t="inlineStr">
        <is>
          <t>เสื้อผ้า</t>
        </is>
      </c>
      <c r="C2988" s="1" t="inlineStr">
        <is>
          <t>gf2020202207</t>
        </is>
      </c>
      <c r="D2988" s="1" t="inlineStr">
        <is>
          <t>UNDER ARMOUR Iso-Chill Airvent Men's Short (Blizzard)</t>
        </is>
      </c>
      <c r="E2988" s="1" t="inlineStr">
        <is>
          <t>UNDER ARMOUR</t>
        </is>
      </c>
      <c r="F2988" s="1" t="inlineStr">
        <is>
          <t>SHORT PANTS</t>
        </is>
      </c>
      <c r="G2988" s="1" t="inlineStr">
        <is>
          <t>GF202020220730</t>
        </is>
      </c>
      <c r="H2988" s="1" t="n">
        <v>6</v>
      </c>
      <c r="I2988" s="1" t="inlineStr">
        <is>
          <t>มี</t>
        </is>
      </c>
      <c r="J2988" s="13" t="n">
        <v>77</v>
      </c>
      <c r="K2988" s="1" t="inlineStr"/>
      <c r="L2988" s="13" t="n">
        <v>49</v>
      </c>
      <c r="M2988" s="1">
        <f>IF(L2988="","ไม่พบใน SG",IF(ABS(J2988-L2988)&lt;0.005,"ตรงกัน","ไม่ตรง"))</f>
        <v/>
      </c>
      <c r="N2988" s="14">
        <f>IF(L2988="","",ROUND(L2988*'สรุป'!$C$6,-1))</f>
        <v/>
      </c>
      <c r="O2988" s="15" t="n"/>
      <c r="P2988" s="15" t="n"/>
      <c r="Q2988" s="10" t="n"/>
      <c r="R2988" s="10" t="n"/>
      <c r="S2988" s="16" t="inlineStr">
        <is>
          <t>https://mstgolf.co.th/products/gf2020202207</t>
        </is>
      </c>
      <c r="T2988" s="1">
        <f>IF(B2988="ไม้กอล์ฟ",J2988,"")</f>
        <v/>
      </c>
    </row>
    <row r="2989">
      <c r="A2989" s="1" t="n">
        <v>3</v>
      </c>
      <c r="B2989" s="1" t="inlineStr">
        <is>
          <t>เสื้อผ้า</t>
        </is>
      </c>
      <c r="C2989" s="1" t="inlineStr">
        <is>
          <t>gf2040113396</t>
        </is>
      </c>
      <c r="D2989" s="1" t="inlineStr">
        <is>
          <t>UNDER ARMOUR Iso-Chill Men's Shorta (Summit White)</t>
        </is>
      </c>
      <c r="E2989" s="1" t="inlineStr">
        <is>
          <t>UNDER ARMOUR</t>
        </is>
      </c>
      <c r="F2989" s="1" t="inlineStr">
        <is>
          <t>SHORT PANTS</t>
        </is>
      </c>
      <c r="G2989" s="1" t="inlineStr">
        <is>
          <t>GF204011339630</t>
        </is>
      </c>
      <c r="H2989" s="1" t="n">
        <v>7</v>
      </c>
      <c r="I2989" s="1" t="inlineStr">
        <is>
          <t>มี</t>
        </is>
      </c>
      <c r="J2989" s="13" t="n">
        <v>77</v>
      </c>
      <c r="K2989" s="1" t="inlineStr"/>
      <c r="L2989" s="13" t="n">
        <v>69</v>
      </c>
      <c r="M2989" s="1">
        <f>IF(L2989="","ไม่พบใน SG",IF(ABS(J2989-L2989)&lt;0.005,"ตรงกัน","ไม่ตรง"))</f>
        <v/>
      </c>
      <c r="N2989" s="14">
        <f>IF(L2989="","",ROUND(L2989*'สรุป'!$C$6,-1))</f>
        <v/>
      </c>
      <c r="O2989" s="15" t="n"/>
      <c r="P2989" s="15" t="n"/>
      <c r="Q2989" s="10" t="n"/>
      <c r="R2989" s="10" t="n"/>
      <c r="S2989" s="16" t="inlineStr">
        <is>
          <t>https://mstgolf.co.th/products/gf2040113396</t>
        </is>
      </c>
      <c r="T2989" s="1">
        <f>IF(B2989="ไม้กอล์ฟ",J2989,"")</f>
        <v/>
      </c>
    </row>
    <row r="2990">
      <c r="A2990" s="1" t="n">
        <v>3</v>
      </c>
      <c r="B2990" s="1" t="inlineStr">
        <is>
          <t>เสื้อผ้า</t>
        </is>
      </c>
      <c r="C2990" s="1" t="inlineStr">
        <is>
          <t>gf2040401062</t>
        </is>
      </c>
      <c r="D2990" s="1" t="inlineStr">
        <is>
          <t>UNDER ARMOUR Playoff 3.0 Men's Long Sleeve Polo (Black)</t>
        </is>
      </c>
      <c r="E2990" s="1" t="inlineStr">
        <is>
          <t>UNDER ARMOUR</t>
        </is>
      </c>
      <c r="F2990" s="1" t="inlineStr">
        <is>
          <t>LONG SLEEVES</t>
        </is>
      </c>
      <c r="G2990" s="1" t="inlineStr">
        <is>
          <t>GF2040401062S</t>
        </is>
      </c>
      <c r="H2990" s="1" t="n">
        <v>5</v>
      </c>
      <c r="I2990" s="1" t="inlineStr">
        <is>
          <t>มี</t>
        </is>
      </c>
      <c r="J2990" s="13" t="n">
        <v>77</v>
      </c>
      <c r="K2990" s="1" t="inlineStr"/>
      <c r="L2990" s="13" t="n">
        <v>49</v>
      </c>
      <c r="M2990" s="1">
        <f>IF(L2990="","ไม่พบใน SG",IF(ABS(J2990-L2990)&lt;0.005,"ตรงกัน","ไม่ตรง"))</f>
        <v/>
      </c>
      <c r="N2990" s="14">
        <f>IF(L2990="","",ROUND(L2990*'สรุป'!$C$6,-1))</f>
        <v/>
      </c>
      <c r="O2990" s="15" t="n"/>
      <c r="P2990" s="15" t="n"/>
      <c r="Q2990" s="10" t="n"/>
      <c r="R2990" s="10" t="n"/>
      <c r="S2990" s="16" t="inlineStr">
        <is>
          <t>https://mstgolf.co.th/products/gf2040401062</t>
        </is>
      </c>
      <c r="T2990" s="1">
        <f>IF(B2990="ไม้กอล์ฟ",J2990,"")</f>
        <v/>
      </c>
    </row>
    <row r="2991">
      <c r="A2991" s="1" t="n">
        <v>3</v>
      </c>
      <c r="B2991" s="1" t="inlineStr">
        <is>
          <t>เสื้อผ้า</t>
        </is>
      </c>
      <c r="C2991" s="1" t="inlineStr">
        <is>
          <t>gf2060100824</t>
        </is>
      </c>
      <c r="D2991" s="1" t="inlineStr">
        <is>
          <t>UNDER ARMOUR Storm Mid Layer Men's Jacket (Academy)</t>
        </is>
      </c>
      <c r="E2991" s="1" t="inlineStr">
        <is>
          <t>UNDER ARMOUR</t>
        </is>
      </c>
      <c r="F2991" s="1" t="inlineStr">
        <is>
          <t>TOP</t>
        </is>
      </c>
      <c r="G2991" s="1" t="inlineStr">
        <is>
          <t>GF2060100824XS</t>
        </is>
      </c>
      <c r="H2991" s="1" t="n">
        <v>6</v>
      </c>
      <c r="I2991" s="1" t="inlineStr">
        <is>
          <t>มี</t>
        </is>
      </c>
      <c r="J2991" s="13" t="n">
        <v>77</v>
      </c>
      <c r="K2991" s="1" t="inlineStr"/>
      <c r="L2991" s="13" t="n">
        <v>77</v>
      </c>
      <c r="M2991" s="1">
        <f>IF(L2991="","ไม่พบใน SG",IF(ABS(J2991-L2991)&lt;0.005,"ตรงกัน","ไม่ตรง"))</f>
        <v/>
      </c>
      <c r="N2991" s="14">
        <f>IF(L2991="","",ROUND(L2991*'สรุป'!$C$6,-1))</f>
        <v/>
      </c>
      <c r="O2991" s="15" t="n"/>
      <c r="P2991" s="15" t="n"/>
      <c r="Q2991" s="10" t="n"/>
      <c r="R2991" s="10" t="n"/>
      <c r="S2991" s="16" t="inlineStr">
        <is>
          <t>https://mstgolf.co.th/products/gf2060100824</t>
        </is>
      </c>
      <c r="T2991" s="1">
        <f>IF(B2991="ไม้กอล์ฟ",J2991,"")</f>
        <v/>
      </c>
    </row>
    <row r="2992">
      <c r="A2992" s="1" t="n">
        <v>3</v>
      </c>
      <c r="B2992" s="1" t="inlineStr">
        <is>
          <t>เสื้อผ้า</t>
        </is>
      </c>
      <c r="C2992" s="1" t="inlineStr">
        <is>
          <t>gf2040200105</t>
        </is>
      </c>
      <c r="D2992" s="1" t="inlineStr">
        <is>
          <t>MANORS Logo Men's T-Shirt (Olive)</t>
        </is>
      </c>
      <c r="E2992" s="1" t="inlineStr">
        <is>
          <t>MANORS</t>
        </is>
      </c>
      <c r="F2992" s="1" t="inlineStr">
        <is>
          <t>TEE SHIRT</t>
        </is>
      </c>
      <c r="G2992" s="1" t="inlineStr">
        <is>
          <t>GF2040200105S</t>
        </is>
      </c>
      <c r="H2992" s="1" t="n">
        <v>4</v>
      </c>
      <c r="I2992" s="1" t="inlineStr">
        <is>
          <t>มี</t>
        </is>
      </c>
      <c r="J2992" s="13" t="n">
        <v>76</v>
      </c>
      <c r="K2992" s="1" t="inlineStr"/>
      <c r="L2992" s="13" t="n">
        <v>76</v>
      </c>
      <c r="M2992" s="1">
        <f>IF(L2992="","ไม่พบใน SG",IF(ABS(J2992-L2992)&lt;0.005,"ตรงกัน","ไม่ตรง"))</f>
        <v/>
      </c>
      <c r="N2992" s="14">
        <f>IF(L2992="","",ROUND(L2992*'สรุป'!$C$6,-1))</f>
        <v/>
      </c>
      <c r="O2992" s="15" t="n"/>
      <c r="P2992" s="15" t="n"/>
      <c r="Q2992" s="10" t="n"/>
      <c r="R2992" s="10" t="n"/>
      <c r="S2992" s="16" t="inlineStr">
        <is>
          <t>https://mstgolf.co.th/products/gf2040200105</t>
        </is>
      </c>
      <c r="T2992" s="1">
        <f>IF(B2992="ไม้กอล์ฟ",J2992,"")</f>
        <v/>
      </c>
    </row>
    <row r="2993">
      <c r="A2993" s="1" t="n">
        <v>3</v>
      </c>
      <c r="B2993" s="1" t="inlineStr">
        <is>
          <t>เสื้อผ้า</t>
        </is>
      </c>
      <c r="C2993" s="1" t="inlineStr">
        <is>
          <t>gf2040200106</t>
        </is>
      </c>
      <c r="D2993" s="1" t="inlineStr">
        <is>
          <t>MANORS MGA Men's T-Shirt (Olive)</t>
        </is>
      </c>
      <c r="E2993" s="1" t="inlineStr">
        <is>
          <t>MANORS</t>
        </is>
      </c>
      <c r="F2993" s="1" t="inlineStr">
        <is>
          <t>TEE SHIRT</t>
        </is>
      </c>
      <c r="G2993" s="1" t="inlineStr">
        <is>
          <t>GF2040200106S</t>
        </is>
      </c>
      <c r="H2993" s="1" t="n">
        <v>4</v>
      </c>
      <c r="I2993" s="1" t="inlineStr">
        <is>
          <t>มี</t>
        </is>
      </c>
      <c r="J2993" s="13" t="n">
        <v>76</v>
      </c>
      <c r="K2993" s="1" t="inlineStr"/>
      <c r="L2993" s="13" t="n">
        <v>76</v>
      </c>
      <c r="M2993" s="1">
        <f>IF(L2993="","ไม่พบใน SG",IF(ABS(J2993-L2993)&lt;0.005,"ตรงกัน","ไม่ตรง"))</f>
        <v/>
      </c>
      <c r="N2993" s="14">
        <f>IF(L2993="","",ROUND(L2993*'สรุป'!$C$6,-1))</f>
        <v/>
      </c>
      <c r="O2993" s="15" t="n"/>
      <c r="P2993" s="15" t="n"/>
      <c r="Q2993" s="10" t="n"/>
      <c r="R2993" s="10" t="n"/>
      <c r="S2993" s="16" t="inlineStr">
        <is>
          <t>https://mstgolf.co.th/products/gf2040200106</t>
        </is>
      </c>
      <c r="T2993" s="1">
        <f>IF(B2993="ไม้กอล์ฟ",J2993,"")</f>
        <v/>
      </c>
    </row>
    <row r="2994">
      <c r="A2994" s="1" t="n">
        <v>3</v>
      </c>
      <c r="B2994" s="1" t="inlineStr">
        <is>
          <t>เสื้อผ้า</t>
        </is>
      </c>
      <c r="C2994" s="1" t="inlineStr">
        <is>
          <t>gf2040401347</t>
        </is>
      </c>
      <c r="D2994" s="1" t="inlineStr">
        <is>
          <t>ADIDAS AEROREADY Women's Long Sleeve Polo (Alumina)</t>
        </is>
      </c>
      <c r="E2994" s="1" t="inlineStr">
        <is>
          <t>ADIDAS</t>
        </is>
      </c>
      <c r="F2994" s="1" t="inlineStr">
        <is>
          <t>LONG SLEEVES</t>
        </is>
      </c>
      <c r="G2994" s="1" t="inlineStr">
        <is>
          <t>GF20404013472XS</t>
        </is>
      </c>
      <c r="H2994" s="1" t="n">
        <v>7</v>
      </c>
      <c r="I2994" s="1" t="inlineStr">
        <is>
          <t>มี</t>
        </is>
      </c>
      <c r="J2994" s="13" t="n">
        <v>75</v>
      </c>
      <c r="K2994" s="1" t="inlineStr"/>
      <c r="L2994" s="13" t="n">
        <v>55</v>
      </c>
      <c r="M2994" s="1">
        <f>IF(L2994="","ไม่พบใน SG",IF(ABS(J2994-L2994)&lt;0.005,"ตรงกัน","ไม่ตรง"))</f>
        <v/>
      </c>
      <c r="N2994" s="14">
        <f>IF(L2994="","",ROUND(L2994*'สรุป'!$C$6,-1))</f>
        <v/>
      </c>
      <c r="O2994" s="15" t="n"/>
      <c r="P2994" s="15" t="n"/>
      <c r="Q2994" s="10" t="n"/>
      <c r="R2994" s="10" t="n"/>
      <c r="S2994" s="16" t="inlineStr">
        <is>
          <t>https://mstgolf.co.th/products/gf2040401347</t>
        </is>
      </c>
      <c r="T2994" s="1">
        <f>IF(B2994="ไม้กอล์ฟ",J2994,"")</f>
        <v/>
      </c>
    </row>
    <row r="2995">
      <c r="A2995" s="1" t="n">
        <v>3</v>
      </c>
      <c r="B2995" s="1" t="inlineStr">
        <is>
          <t>เสื้อผ้า</t>
        </is>
      </c>
      <c r="C2995" s="1" t="inlineStr">
        <is>
          <t>gf2040401346</t>
        </is>
      </c>
      <c r="D2995" s="1" t="inlineStr">
        <is>
          <t>ADIDAS AEROREADY Women's Long Sleeve Polo (Black)</t>
        </is>
      </c>
      <c r="E2995" s="1" t="inlineStr">
        <is>
          <t>ADIDAS</t>
        </is>
      </c>
      <c r="F2995" s="1" t="inlineStr">
        <is>
          <t>LONG SLEEVES</t>
        </is>
      </c>
      <c r="G2995" s="1" t="inlineStr">
        <is>
          <t>GF20404013462XS</t>
        </is>
      </c>
      <c r="H2995" s="1" t="n">
        <v>7</v>
      </c>
      <c r="I2995" s="1" t="inlineStr">
        <is>
          <t>มี</t>
        </is>
      </c>
      <c r="J2995" s="13" t="n">
        <v>75</v>
      </c>
      <c r="K2995" s="1" t="inlineStr"/>
      <c r="L2995" s="13" t="n">
        <v>55</v>
      </c>
      <c r="M2995" s="1">
        <f>IF(L2995="","ไม่พบใน SG",IF(ABS(J2995-L2995)&lt;0.005,"ตรงกัน","ไม่ตรง"))</f>
        <v/>
      </c>
      <c r="N2995" s="14">
        <f>IF(L2995="","",ROUND(L2995*'สรุป'!$C$6,-1))</f>
        <v/>
      </c>
      <c r="O2995" s="15" t="n"/>
      <c r="P2995" s="15" t="n"/>
      <c r="Q2995" s="10" t="n"/>
      <c r="R2995" s="10" t="n"/>
      <c r="S2995" s="16" t="inlineStr">
        <is>
          <t>https://mstgolf.co.th/products/gf2040401346</t>
        </is>
      </c>
      <c r="T2995" s="1">
        <f>IF(B2995="ไม้กอล์ฟ",J2995,"")</f>
        <v/>
      </c>
    </row>
    <row r="2996">
      <c r="A2996" s="1" t="n">
        <v>3</v>
      </c>
      <c r="B2996" s="1" t="inlineStr">
        <is>
          <t>เสื้อผ้า</t>
        </is>
      </c>
      <c r="C2996" s="1" t="inlineStr">
        <is>
          <t>gf2060100969</t>
        </is>
      </c>
      <c r="D2996" s="1" t="inlineStr">
        <is>
          <t>ADIDAS Adicross Transitional HEAT.RDY Men's Jacket (Lucid Lemon)</t>
        </is>
      </c>
      <c r="E2996" s="1" t="inlineStr">
        <is>
          <t>ADIDAS</t>
        </is>
      </c>
      <c r="F2996" s="1" t="inlineStr">
        <is>
          <t>TOP</t>
        </is>
      </c>
      <c r="G2996" s="1" t="inlineStr">
        <is>
          <t>GF2060100969XS</t>
        </is>
      </c>
      <c r="H2996" s="1" t="n">
        <v>6</v>
      </c>
      <c r="I2996" s="1" t="inlineStr">
        <is>
          <t>มี</t>
        </is>
      </c>
      <c r="J2996" s="13" t="n">
        <v>75</v>
      </c>
      <c r="K2996" s="1" t="inlineStr"/>
      <c r="L2996" s="13" t="n">
        <v>75</v>
      </c>
      <c r="M2996" s="1">
        <f>IF(L2996="","ไม่พบใน SG",IF(ABS(J2996-L2996)&lt;0.005,"ตรงกัน","ไม่ตรง"))</f>
        <v/>
      </c>
      <c r="N2996" s="14">
        <f>IF(L2996="","",ROUND(L2996*'สรุป'!$C$6,-1))</f>
        <v/>
      </c>
      <c r="O2996" s="15" t="n"/>
      <c r="P2996" s="15" t="n"/>
      <c r="Q2996" s="10" t="n"/>
      <c r="R2996" s="10" t="n"/>
      <c r="S2996" s="16" t="inlineStr">
        <is>
          <t>https://mstgolf.co.th/products/gf2060100969</t>
        </is>
      </c>
      <c r="T2996" s="1">
        <f>IF(B2996="ไม้กอล์ฟ",J2996,"")</f>
        <v/>
      </c>
    </row>
    <row r="2997">
      <c r="A2997" s="1" t="n">
        <v>3</v>
      </c>
      <c r="B2997" s="1" t="inlineStr">
        <is>
          <t>เสื้อผ้า</t>
        </is>
      </c>
      <c r="C2997" s="1" t="inlineStr">
        <is>
          <t>gf2020202661</t>
        </is>
      </c>
      <c r="D2997" s="1" t="inlineStr">
        <is>
          <t>ADIDAS Adizero Pleated Skirt (Black)</t>
        </is>
      </c>
      <c r="E2997" s="1" t="inlineStr">
        <is>
          <t>ADIDAS</t>
        </is>
      </c>
      <c r="F2997" s="1" t="inlineStr">
        <is>
          <t>SHORT PANTS</t>
        </is>
      </c>
      <c r="G2997" s="1" t="inlineStr">
        <is>
          <t>GF20202026612XS</t>
        </is>
      </c>
      <c r="H2997" s="1" t="n">
        <v>7</v>
      </c>
      <c r="I2997" s="1" t="inlineStr">
        <is>
          <t>มี</t>
        </is>
      </c>
      <c r="J2997" s="13" t="n">
        <v>75</v>
      </c>
      <c r="K2997" s="1" t="inlineStr"/>
      <c r="L2997" s="13" t="n">
        <v>75</v>
      </c>
      <c r="M2997" s="1">
        <f>IF(L2997="","ไม่พบใน SG",IF(ABS(J2997-L2997)&lt;0.005,"ตรงกัน","ไม่ตรง"))</f>
        <v/>
      </c>
      <c r="N2997" s="14">
        <f>IF(L2997="","",ROUND(L2997*'สรุป'!$C$6,-1))</f>
        <v/>
      </c>
      <c r="O2997" s="15" t="n"/>
      <c r="P2997" s="15" t="n"/>
      <c r="Q2997" s="10" t="n"/>
      <c r="R2997" s="10" t="n"/>
      <c r="S2997" s="16" t="inlineStr">
        <is>
          <t>https://mstgolf.co.th/products/gf2020202661</t>
        </is>
      </c>
      <c r="T2997" s="1">
        <f>IF(B2997="ไม้กอล์ฟ",J2997,"")</f>
        <v/>
      </c>
    </row>
    <row r="2998">
      <c r="A2998" s="1" t="n">
        <v>3</v>
      </c>
      <c r="B2998" s="1" t="inlineStr">
        <is>
          <t>เสื้อผ้า</t>
        </is>
      </c>
      <c r="C2998" s="1" t="inlineStr">
        <is>
          <t>gf2020202660</t>
        </is>
      </c>
      <c r="D2998" s="1" t="inlineStr">
        <is>
          <t>ADIDAS Adizero Pleated Skirt (Ruby)</t>
        </is>
      </c>
      <c r="E2998" s="1" t="inlineStr">
        <is>
          <t>ADIDAS</t>
        </is>
      </c>
      <c r="F2998" s="1" t="inlineStr">
        <is>
          <t>SHORT PANTS</t>
        </is>
      </c>
      <c r="G2998" s="1" t="inlineStr">
        <is>
          <t>GF20202026602XS</t>
        </is>
      </c>
      <c r="H2998" s="1" t="n">
        <v>7</v>
      </c>
      <c r="I2998" s="1" t="inlineStr">
        <is>
          <t>มี</t>
        </is>
      </c>
      <c r="J2998" s="13" t="n">
        <v>75</v>
      </c>
      <c r="K2998" s="1" t="inlineStr"/>
      <c r="L2998" s="13" t="n">
        <v>75</v>
      </c>
      <c r="M2998" s="1">
        <f>IF(L2998="","ไม่พบใน SG",IF(ABS(J2998-L2998)&lt;0.005,"ตรงกัน","ไม่ตรง"))</f>
        <v/>
      </c>
      <c r="N2998" s="14">
        <f>IF(L2998="","",ROUND(L2998*'สรุป'!$C$6,-1))</f>
        <v/>
      </c>
      <c r="O2998" s="15" t="n"/>
      <c r="P2998" s="15" t="n"/>
      <c r="Q2998" s="10" t="n"/>
      <c r="R2998" s="10" t="n"/>
      <c r="S2998" s="16" t="inlineStr">
        <is>
          <t>https://mstgolf.co.th/products/gf2020202660</t>
        </is>
      </c>
      <c r="T2998" s="1">
        <f>IF(B2998="ไม้กอล์ฟ",J2998,"")</f>
        <v/>
      </c>
    </row>
    <row r="2999">
      <c r="A2999" s="1" t="n">
        <v>3</v>
      </c>
      <c r="B2999" s="1" t="inlineStr">
        <is>
          <t>เสื้อผ้า</t>
        </is>
      </c>
      <c r="C2999" s="1" t="inlineStr">
        <is>
          <t>gf2020202804</t>
        </is>
      </c>
      <c r="D2999" s="1" t="inlineStr">
        <is>
          <t>ADIDAS Go-To Pleated 7" Men's Shorts (Beige)</t>
        </is>
      </c>
      <c r="E2999" s="1" t="inlineStr">
        <is>
          <t>ADIDAS</t>
        </is>
      </c>
      <c r="F2999" s="1" t="inlineStr">
        <is>
          <t>SHORT PANTS</t>
        </is>
      </c>
      <c r="G2999" s="1" t="inlineStr">
        <is>
          <t>GF202020280473</t>
        </is>
      </c>
      <c r="H2999" s="1" t="n">
        <v>8</v>
      </c>
      <c r="I2999" s="1" t="inlineStr">
        <is>
          <t>มี</t>
        </is>
      </c>
      <c r="J2999" s="13" t="n">
        <v>75</v>
      </c>
      <c r="K2999" s="1" t="inlineStr"/>
      <c r="L2999" s="13" t="n">
        <v>55</v>
      </c>
      <c r="M2999" s="1">
        <f>IF(L2999="","ไม่พบใน SG",IF(ABS(J2999-L2999)&lt;0.005,"ตรงกัน","ไม่ตรง"))</f>
        <v/>
      </c>
      <c r="N2999" s="14">
        <f>IF(L2999="","",ROUND(L2999*'สรุป'!$C$6,-1))</f>
        <v/>
      </c>
      <c r="O2999" s="15" t="n"/>
      <c r="P2999" s="15" t="n"/>
      <c r="Q2999" s="10" t="n"/>
      <c r="R2999" s="10" t="n"/>
      <c r="S2999" s="16" t="inlineStr">
        <is>
          <t>https://mstgolf.co.th/products/gf2020202804</t>
        </is>
      </c>
      <c r="T2999" s="1">
        <f>IF(B2999="ไม้กอล์ฟ",J2999,"")</f>
        <v/>
      </c>
    </row>
    <row r="3000">
      <c r="A3000" s="1" t="n">
        <v>3</v>
      </c>
      <c r="B3000" s="1" t="inlineStr">
        <is>
          <t>เสื้อผ้า</t>
        </is>
      </c>
      <c r="C3000" s="1" t="inlineStr">
        <is>
          <t>gf2020202805</t>
        </is>
      </c>
      <c r="D3000" s="1" t="inlineStr">
        <is>
          <t>ADIDAS Go-To Pleated 7" Men's Shorts (White)</t>
        </is>
      </c>
      <c r="E3000" s="1" t="inlineStr">
        <is>
          <t>ADIDAS</t>
        </is>
      </c>
      <c r="F3000" s="1" t="inlineStr">
        <is>
          <t>SHORT PANTS</t>
        </is>
      </c>
      <c r="G3000" s="1" t="inlineStr">
        <is>
          <t>GF202020280573</t>
        </is>
      </c>
      <c r="H3000" s="1" t="n">
        <v>8</v>
      </c>
      <c r="I3000" s="1" t="inlineStr">
        <is>
          <t>มี</t>
        </is>
      </c>
      <c r="J3000" s="13" t="n">
        <v>75</v>
      </c>
      <c r="K3000" s="1" t="inlineStr"/>
      <c r="L3000" s="13" t="n">
        <v>55</v>
      </c>
      <c r="M3000" s="1">
        <f>IF(L3000="","ไม่พบใน SG",IF(ABS(J3000-L3000)&lt;0.005,"ตรงกัน","ไม่ตรง"))</f>
        <v/>
      </c>
      <c r="N3000" s="14">
        <f>IF(L3000="","",ROUND(L3000*'สรุป'!$C$6,-1))</f>
        <v/>
      </c>
      <c r="O3000" s="15" t="n"/>
      <c r="P3000" s="15" t="n"/>
      <c r="Q3000" s="10" t="n"/>
      <c r="R3000" s="10" t="n"/>
      <c r="S3000" s="16" t="inlineStr">
        <is>
          <t>https://mstgolf.co.th/products/gf2020202805</t>
        </is>
      </c>
      <c r="T3000" s="1">
        <f>IF(B3000="ไม้กอล์ฟ",J3000,"")</f>
        <v/>
      </c>
    </row>
    <row r="3001">
      <c r="A3001" s="1" t="n">
        <v>3</v>
      </c>
      <c r="B3001" s="1" t="inlineStr">
        <is>
          <t>เสื้อผ้า</t>
        </is>
      </c>
      <c r="C3001" s="1" t="inlineStr">
        <is>
          <t>gf2040401441</t>
        </is>
      </c>
      <c r="D3001" s="1" t="inlineStr">
        <is>
          <t>ADIDAS Jacquard Women's Long Sleeve Polo (Taupe)</t>
        </is>
      </c>
      <c r="E3001" s="1" t="inlineStr">
        <is>
          <t>ADIDAS</t>
        </is>
      </c>
      <c r="F3001" s="1" t="inlineStr">
        <is>
          <t>LONG SLEEVES</t>
        </is>
      </c>
      <c r="G3001" s="1" t="inlineStr">
        <is>
          <t>GF20404014412XS</t>
        </is>
      </c>
      <c r="H3001" s="1" t="n">
        <v>7</v>
      </c>
      <c r="I3001" s="1" t="inlineStr">
        <is>
          <t>มี</t>
        </is>
      </c>
      <c r="J3001" s="13" t="n">
        <v>75</v>
      </c>
      <c r="K3001" s="1" t="inlineStr"/>
      <c r="L3001" s="13" t="n">
        <v>75</v>
      </c>
      <c r="M3001" s="1">
        <f>IF(L3001="","ไม่พบใน SG",IF(ABS(J3001-L3001)&lt;0.005,"ตรงกัน","ไม่ตรง"))</f>
        <v/>
      </c>
      <c r="N3001" s="14">
        <f>IF(L3001="","",ROUND(L3001*'สรุป'!$C$6,-1))</f>
        <v/>
      </c>
      <c r="O3001" s="15" t="n"/>
      <c r="P3001" s="15" t="n"/>
      <c r="Q3001" s="10" t="n"/>
      <c r="R3001" s="10" t="n"/>
      <c r="S3001" s="16" t="inlineStr">
        <is>
          <t>https://mstgolf.co.th/products/gf2040401441</t>
        </is>
      </c>
      <c r="T3001" s="1">
        <f>IF(B3001="ไม้กอล์ฟ",J3001,"")</f>
        <v/>
      </c>
    </row>
    <row r="3002">
      <c r="A3002" s="1" t="n">
        <v>3</v>
      </c>
      <c r="B3002" s="1" t="inlineStr">
        <is>
          <t>เสื้อผ้า</t>
        </is>
      </c>
      <c r="C3002" s="1" t="inlineStr">
        <is>
          <t>gf2040401440</t>
        </is>
      </c>
      <c r="D3002" s="1" t="inlineStr">
        <is>
          <t>ADIDAS Jacquard Women's Long Sleeve Polo (White)</t>
        </is>
      </c>
      <c r="E3002" s="1" t="inlineStr">
        <is>
          <t>ADIDAS</t>
        </is>
      </c>
      <c r="F3002" s="1" t="inlineStr">
        <is>
          <t>LONG SLEEVES</t>
        </is>
      </c>
      <c r="G3002" s="1" t="inlineStr">
        <is>
          <t>GF20404014402XS</t>
        </is>
      </c>
      <c r="H3002" s="1" t="n">
        <v>7</v>
      </c>
      <c r="I3002" s="1" t="inlineStr">
        <is>
          <t>มี</t>
        </is>
      </c>
      <c r="J3002" s="13" t="n">
        <v>75</v>
      </c>
      <c r="K3002" s="1" t="inlineStr"/>
      <c r="L3002" s="13" t="n">
        <v>75</v>
      </c>
      <c r="M3002" s="1">
        <f>IF(L3002="","ไม่พบใน SG",IF(ABS(J3002-L3002)&lt;0.005,"ตรงกัน","ไม่ตรง"))</f>
        <v/>
      </c>
      <c r="N3002" s="14">
        <f>IF(L3002="","",ROUND(L3002*'สรุป'!$C$6,-1))</f>
        <v/>
      </c>
      <c r="O3002" s="15" t="n"/>
      <c r="P3002" s="15" t="n"/>
      <c r="Q3002" s="10" t="n"/>
      <c r="R3002" s="10" t="n"/>
      <c r="S3002" s="16" t="inlineStr">
        <is>
          <t>https://mstgolf.co.th/products/gf2040401440</t>
        </is>
      </c>
      <c r="T3002" s="1">
        <f>IF(B3002="ไม้กอล์ฟ",J3002,"")</f>
        <v/>
      </c>
    </row>
    <row r="3003">
      <c r="A3003" s="1" t="n">
        <v>3</v>
      </c>
      <c r="B3003" s="1" t="inlineStr">
        <is>
          <t>เสื้อผ้า</t>
        </is>
      </c>
      <c r="C3003" s="1" t="inlineStr">
        <is>
          <t>gf2020102617</t>
        </is>
      </c>
      <c r="D3003" s="1" t="inlineStr">
        <is>
          <t>ADIDAS Ultimate365 Men's Tapered Pants</t>
        </is>
      </c>
      <c r="E3003" s="1" t="inlineStr">
        <is>
          <t>ADIDAS</t>
        </is>
      </c>
      <c r="F3003" s="1" t="inlineStr">
        <is>
          <t>LONG PANTS</t>
        </is>
      </c>
      <c r="G3003" s="1" t="inlineStr">
        <is>
          <t>GF202010261773</t>
        </is>
      </c>
      <c r="H3003" s="1" t="n">
        <v>9</v>
      </c>
      <c r="I3003" s="1" t="inlineStr">
        <is>
          <t>มี</t>
        </is>
      </c>
      <c r="J3003" s="13" t="n">
        <v>75</v>
      </c>
      <c r="K3003" s="1" t="inlineStr"/>
      <c r="L3003" s="13" t="n">
        <v>55</v>
      </c>
      <c r="M3003" s="1">
        <f>IF(L3003="","ไม่พบใน SG",IF(ABS(J3003-L3003)&lt;0.005,"ตรงกัน","ไม่ตรง"))</f>
        <v/>
      </c>
      <c r="N3003" s="14">
        <f>IF(L3003="","",ROUND(L3003*'สรุป'!$C$6,-1))</f>
        <v/>
      </c>
      <c r="O3003" s="15" t="n"/>
      <c r="P3003" s="15" t="n"/>
      <c r="Q3003" s="10" t="n"/>
      <c r="R3003" s="10" t="n"/>
      <c r="S3003" s="16" t="inlineStr">
        <is>
          <t>https://mstgolf.co.th/products/gf2020102617</t>
        </is>
      </c>
      <c r="T3003" s="1">
        <f>IF(B3003="ไม้กอล์ฟ",J3003,"")</f>
        <v/>
      </c>
    </row>
    <row r="3004">
      <c r="A3004" s="1" t="n">
        <v>3</v>
      </c>
      <c r="B3004" s="1" t="inlineStr">
        <is>
          <t>เสื้อผ้า</t>
        </is>
      </c>
      <c r="C3004" s="1" t="inlineStr">
        <is>
          <t>gf2020202669</t>
        </is>
      </c>
      <c r="D3004" s="1" t="inlineStr">
        <is>
          <t>ADIDAS Ultimate365 Textured Men's Shorts (Orange)</t>
        </is>
      </c>
      <c r="E3004" s="1" t="inlineStr">
        <is>
          <t>ADIDAS</t>
        </is>
      </c>
      <c r="F3004" s="1" t="inlineStr">
        <is>
          <t>SHORT PANTS</t>
        </is>
      </c>
      <c r="G3004" s="1" t="inlineStr">
        <is>
          <t>GF202020266973</t>
        </is>
      </c>
      <c r="H3004" s="1" t="n">
        <v>9</v>
      </c>
      <c r="I3004" s="1" t="inlineStr">
        <is>
          <t>มี</t>
        </is>
      </c>
      <c r="J3004" s="13" t="n">
        <v>75</v>
      </c>
      <c r="K3004" s="1" t="inlineStr"/>
      <c r="L3004" s="13" t="n">
        <v>55</v>
      </c>
      <c r="M3004" s="1">
        <f>IF(L3004="","ไม่พบใน SG",IF(ABS(J3004-L3004)&lt;0.005,"ตรงกัน","ไม่ตรง"))</f>
        <v/>
      </c>
      <c r="N3004" s="14">
        <f>IF(L3004="","",ROUND(L3004*'สรุป'!$C$6,-1))</f>
        <v/>
      </c>
      <c r="O3004" s="15" t="n"/>
      <c r="P3004" s="15" t="n"/>
      <c r="Q3004" s="10" t="n"/>
      <c r="R3004" s="10" t="n"/>
      <c r="S3004" s="16" t="inlineStr">
        <is>
          <t>https://mstgolf.co.th/products/gf2020202669</t>
        </is>
      </c>
      <c r="T3004" s="1">
        <f>IF(B3004="ไม้กอล์ฟ",J3004,"")</f>
        <v/>
      </c>
    </row>
    <row r="3005">
      <c r="A3005" s="1" t="n">
        <v>3</v>
      </c>
      <c r="B3005" s="1" t="inlineStr">
        <is>
          <t>เสื้อผ้า</t>
        </is>
      </c>
      <c r="C3005" s="1" t="inlineStr">
        <is>
          <t>gf2020201080</t>
        </is>
      </c>
      <c r="D3005" s="1" t="inlineStr">
        <is>
          <t>CALVIN KLEIN Genius 4-Way Stretch Men's Shorts (Silver)</t>
        </is>
      </c>
      <c r="E3005" s="1" t="inlineStr">
        <is>
          <t>CALVIN KLEIN</t>
        </is>
      </c>
      <c r="F3005" s="1" t="inlineStr">
        <is>
          <t>SHORT PANTS</t>
        </is>
      </c>
      <c r="G3005" s="1" t="inlineStr">
        <is>
          <t>GF202020108030</t>
        </is>
      </c>
      <c r="H3005" s="1" t="n">
        <v>6</v>
      </c>
      <c r="I3005" s="1" t="inlineStr">
        <is>
          <t>มี</t>
        </is>
      </c>
      <c r="J3005" s="13" t="n">
        <v>75</v>
      </c>
      <c r="K3005" s="1" t="inlineStr"/>
      <c r="L3005" s="13" t="n">
        <v>59</v>
      </c>
      <c r="M3005" s="1">
        <f>IF(L3005="","ไม่พบใน SG",IF(ABS(J3005-L3005)&lt;0.005,"ตรงกัน","ไม่ตรง"))</f>
        <v/>
      </c>
      <c r="N3005" s="14">
        <f>IF(L3005="","",ROUND(L3005*'สรุป'!$C$6,-1))</f>
        <v/>
      </c>
      <c r="O3005" s="15" t="n"/>
      <c r="P3005" s="15" t="n"/>
      <c r="Q3005" s="10" t="n"/>
      <c r="R3005" s="10" t="n"/>
      <c r="S3005" s="16" t="inlineStr">
        <is>
          <t>https://mstgolf.co.th/products/gf2020201080</t>
        </is>
      </c>
      <c r="T3005" s="1">
        <f>IF(B3005="ไม้กอล์ฟ",J3005,"")</f>
        <v/>
      </c>
    </row>
    <row r="3006">
      <c r="A3006" s="1" t="n">
        <v>3</v>
      </c>
      <c r="B3006" s="1" t="inlineStr">
        <is>
          <t>เสื้อผ้า</t>
        </is>
      </c>
      <c r="C3006" s="1" t="inlineStr">
        <is>
          <t>gf2020202194</t>
        </is>
      </c>
      <c r="D3006" s="1" t="inlineStr">
        <is>
          <t>CALVIN KLEIN LAKEVILLE SKORT</t>
        </is>
      </c>
      <c r="E3006" s="1" t="inlineStr">
        <is>
          <t>CALVIN KLEIN</t>
        </is>
      </c>
      <c r="F3006" s="1" t="inlineStr">
        <is>
          <t>SHORT PANTS</t>
        </is>
      </c>
      <c r="G3006" s="1" t="inlineStr">
        <is>
          <t>GF20202021948</t>
        </is>
      </c>
      <c r="H3006" s="1" t="n">
        <v>5</v>
      </c>
      <c r="I3006" s="1" t="inlineStr">
        <is>
          <t>มี</t>
        </is>
      </c>
      <c r="J3006" s="13" t="n">
        <v>75</v>
      </c>
      <c r="K3006" s="1" t="inlineStr"/>
      <c r="L3006" s="13" t="n">
        <v>75</v>
      </c>
      <c r="M3006" s="1">
        <f>IF(L3006="","ไม่พบใน SG",IF(ABS(J3006-L3006)&lt;0.005,"ตรงกัน","ไม่ตรง"))</f>
        <v/>
      </c>
      <c r="N3006" s="14">
        <f>IF(L3006="","",ROUND(L3006*'สรุป'!$C$6,-1))</f>
        <v/>
      </c>
      <c r="O3006" s="15" t="n"/>
      <c r="P3006" s="15" t="n"/>
      <c r="Q3006" s="10" t="n"/>
      <c r="R3006" s="10" t="n"/>
      <c r="S3006" s="16" t="inlineStr">
        <is>
          <t>https://mstgolf.co.th/products/gf2020202194</t>
        </is>
      </c>
      <c r="T3006" s="1">
        <f>IF(B3006="ไม้กอล์ฟ",J3006,"")</f>
        <v/>
      </c>
    </row>
    <row r="3007">
      <c r="A3007" s="1" t="n">
        <v>3</v>
      </c>
      <c r="B3007" s="1" t="inlineStr">
        <is>
          <t>เสื้อผ้า</t>
        </is>
      </c>
      <c r="C3007" s="1" t="inlineStr">
        <is>
          <t>gf2020202193</t>
        </is>
      </c>
      <c r="D3007" s="1" t="inlineStr">
        <is>
          <t>CALVIN KLEIN Lakeville Skort (Heritage Blue)</t>
        </is>
      </c>
      <c r="E3007" s="1" t="inlineStr">
        <is>
          <t>CALVIN KLEIN</t>
        </is>
      </c>
      <c r="F3007" s="1" t="inlineStr">
        <is>
          <t>SHORT PANTS</t>
        </is>
      </c>
      <c r="G3007" s="1" t="inlineStr">
        <is>
          <t>GF20202021938</t>
        </is>
      </c>
      <c r="H3007" s="1" t="n">
        <v>5</v>
      </c>
      <c r="I3007" s="1" t="inlineStr">
        <is>
          <t>มี</t>
        </is>
      </c>
      <c r="J3007" s="13" t="n">
        <v>75</v>
      </c>
      <c r="K3007" s="1" t="inlineStr"/>
      <c r="L3007" s="13" t="n">
        <v>75</v>
      </c>
      <c r="M3007" s="1">
        <f>IF(L3007="","ไม่พบใน SG",IF(ABS(J3007-L3007)&lt;0.005,"ตรงกัน","ไม่ตรง"))</f>
        <v/>
      </c>
      <c r="N3007" s="14">
        <f>IF(L3007="","",ROUND(L3007*'สรุป'!$C$6,-1))</f>
        <v/>
      </c>
      <c r="O3007" s="15" t="n"/>
      <c r="P3007" s="15" t="n"/>
      <c r="Q3007" s="10" t="n"/>
      <c r="R3007" s="10" t="n"/>
      <c r="S3007" s="16" t="inlineStr">
        <is>
          <t>https://mstgolf.co.th/products/gf2020202193</t>
        </is>
      </c>
      <c r="T3007" s="1">
        <f>IF(B3007="ไม้กอล์ฟ",J3007,"")</f>
        <v/>
      </c>
    </row>
    <row r="3008">
      <c r="A3008" s="1" t="n">
        <v>3</v>
      </c>
      <c r="B3008" s="1" t="inlineStr">
        <is>
          <t>เสื้อผ้า</t>
        </is>
      </c>
      <c r="C3008" s="1" t="inlineStr">
        <is>
          <t>gf2020202192</t>
        </is>
      </c>
      <c r="D3008" s="1" t="inlineStr">
        <is>
          <t>CALVIN KLEIN Lakeville Skort (Navy/White)</t>
        </is>
      </c>
      <c r="E3008" s="1" t="inlineStr">
        <is>
          <t>CALVIN KLEIN</t>
        </is>
      </c>
      <c r="F3008" s="1" t="inlineStr">
        <is>
          <t>SHORT PANTS</t>
        </is>
      </c>
      <c r="G3008" s="1" t="inlineStr">
        <is>
          <t>GF20202021928</t>
        </is>
      </c>
      <c r="H3008" s="1" t="n">
        <v>5</v>
      </c>
      <c r="I3008" s="1" t="inlineStr">
        <is>
          <t>มี</t>
        </is>
      </c>
      <c r="J3008" s="13" t="n">
        <v>75</v>
      </c>
      <c r="K3008" s="1" t="inlineStr"/>
      <c r="L3008" s="13" t="n">
        <v>75</v>
      </c>
      <c r="M3008" s="1">
        <f>IF(L3008="","ไม่พบใน SG",IF(ABS(J3008-L3008)&lt;0.005,"ตรงกัน","ไม่ตรง"))</f>
        <v/>
      </c>
      <c r="N3008" s="14">
        <f>IF(L3008="","",ROUND(L3008*'สรุป'!$C$6,-1))</f>
        <v/>
      </c>
      <c r="O3008" s="15" t="n"/>
      <c r="P3008" s="15" t="n"/>
      <c r="Q3008" s="10" t="n"/>
      <c r="R3008" s="10" t="n"/>
      <c r="S3008" s="16" t="inlineStr">
        <is>
          <t>https://mstgolf.co.th/products/gf2020202192</t>
        </is>
      </c>
      <c r="T3008" s="1">
        <f>IF(B3008="ไม้กอล์ฟ",J3008,"")</f>
        <v/>
      </c>
    </row>
    <row r="3009">
      <c r="A3009" s="1" t="n">
        <v>3</v>
      </c>
      <c r="B3009" s="1" t="inlineStr">
        <is>
          <t>เสื้อผ้า</t>
        </is>
      </c>
      <c r="C3009" s="1" t="inlineStr">
        <is>
          <t>gf2040401338</t>
        </is>
      </c>
      <c r="D3009" s="1" t="inlineStr">
        <is>
          <t>CALVIN KLEIN Printed Newport 1/4 Zip Men's Long Sleeve Shirt (Navy)</t>
        </is>
      </c>
      <c r="E3009" s="1" t="inlineStr">
        <is>
          <t>CALVIN KLEIN</t>
        </is>
      </c>
      <c r="F3009" s="1" t="inlineStr">
        <is>
          <t>LONG SLEEVES</t>
        </is>
      </c>
      <c r="G3009" s="1" t="inlineStr">
        <is>
          <t>GF2040401338S</t>
        </is>
      </c>
      <c r="H3009" s="1" t="n">
        <v>5</v>
      </c>
      <c r="I3009" s="1" t="inlineStr">
        <is>
          <t>มี</t>
        </is>
      </c>
      <c r="J3009" s="13" t="n">
        <v>75</v>
      </c>
      <c r="K3009" s="1" t="inlineStr"/>
      <c r="L3009" s="13" t="n">
        <v>55</v>
      </c>
      <c r="M3009" s="1">
        <f>IF(L3009="","ไม่พบใน SG",IF(ABS(J3009-L3009)&lt;0.005,"ตรงกัน","ไม่ตรง"))</f>
        <v/>
      </c>
      <c r="N3009" s="14">
        <f>IF(L3009="","",ROUND(L3009*'สรุป'!$C$6,-1))</f>
        <v/>
      </c>
      <c r="O3009" s="15" t="n"/>
      <c r="P3009" s="15" t="n"/>
      <c r="Q3009" s="10" t="n"/>
      <c r="R3009" s="10" t="n"/>
      <c r="S3009" s="16" t="inlineStr">
        <is>
          <t>https://mstgolf.co.th/products/gf2040401338</t>
        </is>
      </c>
      <c r="T3009" s="1">
        <f>IF(B3009="ไม้กอล์ฟ",J3009,"")</f>
        <v/>
      </c>
    </row>
    <row r="3010">
      <c r="A3010" s="1" t="n">
        <v>3</v>
      </c>
      <c r="B3010" s="1" t="inlineStr">
        <is>
          <t>เสื้อผ้า</t>
        </is>
      </c>
      <c r="C3010" s="1" t="inlineStr">
        <is>
          <t>gf2060101039</t>
        </is>
      </c>
      <c r="D3010" s="1" t="inlineStr">
        <is>
          <t>CALVIN KLEIN Westgate Half-Zip Men's Long Sleeve Shirt (White/Evening Blue)</t>
        </is>
      </c>
      <c r="E3010" s="1" t="inlineStr">
        <is>
          <t>CALVIN KLEIN</t>
        </is>
      </c>
      <c r="F3010" s="1" t="inlineStr">
        <is>
          <t>LONG SLEEVES</t>
        </is>
      </c>
      <c r="G3010" s="1" t="inlineStr">
        <is>
          <t>GF2060101039S</t>
        </is>
      </c>
      <c r="H3010" s="1" t="n">
        <v>5</v>
      </c>
      <c r="I3010" s="1" t="inlineStr">
        <is>
          <t>มี</t>
        </is>
      </c>
      <c r="J3010" s="13" t="n">
        <v>75</v>
      </c>
      <c r="K3010" s="1" t="inlineStr"/>
      <c r="L3010" s="13" t="n">
        <v>75</v>
      </c>
      <c r="M3010" s="1">
        <f>IF(L3010="","ไม่พบใน SG",IF(ABS(J3010-L3010)&lt;0.005,"ตรงกัน","ไม่ตรง"))</f>
        <v/>
      </c>
      <c r="N3010" s="14">
        <f>IF(L3010="","",ROUND(L3010*'สรุป'!$C$6,-1))</f>
        <v/>
      </c>
      <c r="O3010" s="15" t="n"/>
      <c r="P3010" s="15" t="n"/>
      <c r="Q3010" s="10" t="n"/>
      <c r="R3010" s="10" t="n"/>
      <c r="S3010" s="16" t="inlineStr">
        <is>
          <t>https://mstgolf.co.th/products/gf2060101039</t>
        </is>
      </c>
      <c r="T3010" s="1">
        <f>IF(B3010="ไม้กอล์ฟ",J3010,"")</f>
        <v/>
      </c>
    </row>
    <row r="3011">
      <c r="A3011" s="1" t="n">
        <v>3</v>
      </c>
      <c r="B3011" s="1" t="inlineStr">
        <is>
          <t>อุปกรณ์เสริม</t>
        </is>
      </c>
      <c r="C3011" s="1" t="inlineStr">
        <is>
          <t>gf3500201272</t>
        </is>
      </c>
      <c r="D3011" s="1" t="inlineStr">
        <is>
          <t>GFORE Gradient Circle G's Velour-Lined Mallet Putter Headcover</t>
        </is>
      </c>
      <c r="E3011" s="1" t="inlineStr">
        <is>
          <t>GFORE</t>
        </is>
      </c>
      <c r="F3011" s="1" t="inlineStr">
        <is>
          <t>HEADCOVERS</t>
        </is>
      </c>
      <c r="G3011" s="1" t="inlineStr">
        <is>
          <t>GF3500201272</t>
        </is>
      </c>
      <c r="H3011" s="1" t="n">
        <v>1</v>
      </c>
      <c r="I3011" s="1" t="inlineStr">
        <is>
          <t>มี</t>
        </is>
      </c>
      <c r="J3011" s="13" t="n">
        <v>75</v>
      </c>
      <c r="K3011" s="1" t="inlineStr"/>
      <c r="L3011" s="13" t="n">
        <v>75</v>
      </c>
      <c r="M3011" s="1">
        <f>IF(L3011="","ไม่พบใน SG",IF(ABS(J3011-L3011)&lt;0.005,"ตรงกัน","ไม่ตรง"))</f>
        <v/>
      </c>
      <c r="N3011" s="14">
        <f>IF(L3011="","",ROUND(L3011*'สรุป'!$C$6,-1))</f>
        <v/>
      </c>
      <c r="O3011" s="15" t="n"/>
      <c r="P3011" s="15" t="n"/>
      <c r="Q3011" s="10" t="n"/>
      <c r="R3011" s="10" t="n"/>
      <c r="S3011" s="16" t="inlineStr">
        <is>
          <t>https://mstgolf.co.th/products/gf3500201272</t>
        </is>
      </c>
      <c r="T3011" s="1">
        <f>IF(B3011="ไม้กอล์ฟ",J3011,"")</f>
        <v/>
      </c>
    </row>
    <row r="3012">
      <c r="A3012" s="1" t="n">
        <v>3</v>
      </c>
      <c r="B3012" s="1" t="inlineStr">
        <is>
          <t>เสื้อผ้า</t>
        </is>
      </c>
      <c r="C3012" s="1" t="inlineStr">
        <is>
          <t>gf2040120763</t>
        </is>
      </c>
      <c r="D3012" s="1" t="inlineStr">
        <is>
          <t>LE COQ SPORTIF GOLF Women's Mock Shirt (Green)</t>
        </is>
      </c>
      <c r="E3012" s="1" t="inlineStr">
        <is>
          <t>LE COQ SPORTIF GOLF</t>
        </is>
      </c>
      <c r="F3012" s="1" t="inlineStr">
        <is>
          <t>SHORT SLEEVES</t>
        </is>
      </c>
      <c r="G3012" s="1" t="inlineStr">
        <is>
          <t>GF2040120763S</t>
        </is>
      </c>
      <c r="H3012" s="1" t="n">
        <v>5</v>
      </c>
      <c r="I3012" s="1" t="inlineStr">
        <is>
          <t>มี</t>
        </is>
      </c>
      <c r="J3012" s="13" t="n">
        <v>75</v>
      </c>
      <c r="K3012" s="1" t="inlineStr"/>
      <c r="L3012" s="13" t="n">
        <v>75</v>
      </c>
      <c r="M3012" s="1">
        <f>IF(L3012="","ไม่พบใน SG",IF(ABS(J3012-L3012)&lt;0.005,"ตรงกัน","ไม่ตรง"))</f>
        <v/>
      </c>
      <c r="N3012" s="14">
        <f>IF(L3012="","",ROUND(L3012*'สรุป'!$C$6,-1))</f>
        <v/>
      </c>
      <c r="O3012" s="15" t="n"/>
      <c r="P3012" s="15" t="n"/>
      <c r="Q3012" s="10" t="n"/>
      <c r="R3012" s="10" t="n"/>
      <c r="S3012" s="16" t="inlineStr">
        <is>
          <t>https://mstgolf.co.th/products/gf2040120763</t>
        </is>
      </c>
      <c r="T3012" s="1">
        <f>IF(B3012="ไม้กอล์ฟ",J3012,"")</f>
        <v/>
      </c>
    </row>
    <row r="3013">
      <c r="A3013" s="1" t="n">
        <v>3</v>
      </c>
      <c r="B3013" s="1" t="inlineStr">
        <is>
          <t>เสื้อผ้า</t>
        </is>
      </c>
      <c r="C3013" s="1" t="inlineStr">
        <is>
          <t>gf2040120764</t>
        </is>
      </c>
      <c r="D3013" s="1" t="inlineStr">
        <is>
          <t>LE COQ SPORTIF GOLF Women's Mock Shirt (Navy)</t>
        </is>
      </c>
      <c r="E3013" s="1" t="inlineStr">
        <is>
          <t>LE COQ SPORTIF GOLF</t>
        </is>
      </c>
      <c r="F3013" s="1" t="inlineStr">
        <is>
          <t>SHORT SLEEVES</t>
        </is>
      </c>
      <c r="G3013" s="1" t="inlineStr">
        <is>
          <t>GF2040120764S</t>
        </is>
      </c>
      <c r="H3013" s="1" t="n">
        <v>5</v>
      </c>
      <c r="I3013" s="1" t="inlineStr">
        <is>
          <t>มี</t>
        </is>
      </c>
      <c r="J3013" s="13" t="n">
        <v>75</v>
      </c>
      <c r="K3013" s="1" t="inlineStr"/>
      <c r="L3013" s="13" t="n">
        <v>75</v>
      </c>
      <c r="M3013" s="1">
        <f>IF(L3013="","ไม่พบใน SG",IF(ABS(J3013-L3013)&lt;0.005,"ตรงกัน","ไม่ตรง"))</f>
        <v/>
      </c>
      <c r="N3013" s="14">
        <f>IF(L3013="","",ROUND(L3013*'สรุป'!$C$6,-1))</f>
        <v/>
      </c>
      <c r="O3013" s="15" t="n"/>
      <c r="P3013" s="15" t="n"/>
      <c r="Q3013" s="10" t="n"/>
      <c r="R3013" s="10" t="n"/>
      <c r="S3013" s="16" t="inlineStr">
        <is>
          <t>https://mstgolf.co.th/products/gf2040120764</t>
        </is>
      </c>
      <c r="T3013" s="1">
        <f>IF(B3013="ไม้กอล์ฟ",J3013,"")</f>
        <v/>
      </c>
    </row>
    <row r="3014">
      <c r="A3014" s="1" t="n">
        <v>3</v>
      </c>
      <c r="B3014" s="1" t="inlineStr">
        <is>
          <t>เสื้อผ้า</t>
        </is>
      </c>
      <c r="C3014" s="1" t="inlineStr">
        <is>
          <t>gf2040120765</t>
        </is>
      </c>
      <c r="D3014" s="1" t="inlineStr">
        <is>
          <t>LE COQ SPORTIF GOLF Women's Mock Shirt (Red)</t>
        </is>
      </c>
      <c r="E3014" s="1" t="inlineStr">
        <is>
          <t>LE COQ SPORTIF GOLF</t>
        </is>
      </c>
      <c r="F3014" s="1" t="inlineStr">
        <is>
          <t>SHORT SLEEVES</t>
        </is>
      </c>
      <c r="G3014" s="1" t="inlineStr">
        <is>
          <t>GF2040120765S</t>
        </is>
      </c>
      <c r="H3014" s="1" t="n">
        <v>5</v>
      </c>
      <c r="I3014" s="1" t="inlineStr">
        <is>
          <t>มี</t>
        </is>
      </c>
      <c r="J3014" s="13" t="n">
        <v>75</v>
      </c>
      <c r="K3014" s="1" t="inlineStr"/>
      <c r="L3014" s="13" t="n">
        <v>75</v>
      </c>
      <c r="M3014" s="1">
        <f>IF(L3014="","ไม่พบใน SG",IF(ABS(J3014-L3014)&lt;0.005,"ตรงกัน","ไม่ตรง"))</f>
        <v/>
      </c>
      <c r="N3014" s="14">
        <f>IF(L3014="","",ROUND(L3014*'สรุป'!$C$6,-1))</f>
        <v/>
      </c>
      <c r="O3014" s="15" t="n"/>
      <c r="P3014" s="15" t="n"/>
      <c r="Q3014" s="10" t="n"/>
      <c r="R3014" s="10" t="n"/>
      <c r="S3014" s="16" t="inlineStr">
        <is>
          <t>https://mstgolf.co.th/products/gf2040120765</t>
        </is>
      </c>
      <c r="T3014" s="1">
        <f>IF(B3014="ไม้กอล์ฟ",J3014,"")</f>
        <v/>
      </c>
    </row>
    <row r="3015">
      <c r="A3015" s="1" t="n">
        <v>3</v>
      </c>
      <c r="B3015" s="1" t="inlineStr">
        <is>
          <t>เสื้อผ้า</t>
        </is>
      </c>
      <c r="C3015" s="1" t="inlineStr">
        <is>
          <t>gf2040120766</t>
        </is>
      </c>
      <c r="D3015" s="1" t="inlineStr">
        <is>
          <t>LE COQ SPORTIF GOLF Women's Mock Shirt (White)</t>
        </is>
      </c>
      <c r="E3015" s="1" t="inlineStr">
        <is>
          <t>LE COQ SPORTIF GOLF</t>
        </is>
      </c>
      <c r="F3015" s="1" t="inlineStr">
        <is>
          <t>SHORT SLEEVES</t>
        </is>
      </c>
      <c r="G3015" s="1" t="inlineStr">
        <is>
          <t>GF2040120766S</t>
        </is>
      </c>
      <c r="H3015" s="1" t="n">
        <v>5</v>
      </c>
      <c r="I3015" s="1" t="inlineStr">
        <is>
          <t>มี</t>
        </is>
      </c>
      <c r="J3015" s="13" t="n">
        <v>75</v>
      </c>
      <c r="K3015" s="1" t="inlineStr"/>
      <c r="L3015" s="13" t="n">
        <v>75</v>
      </c>
      <c r="M3015" s="1">
        <f>IF(L3015="","ไม่พบใน SG",IF(ABS(J3015-L3015)&lt;0.005,"ตรงกัน","ไม่ตรง"))</f>
        <v/>
      </c>
      <c r="N3015" s="14">
        <f>IF(L3015="","",ROUND(L3015*'สรุป'!$C$6,-1))</f>
        <v/>
      </c>
      <c r="O3015" s="15" t="n"/>
      <c r="P3015" s="15" t="n"/>
      <c r="Q3015" s="10" t="n"/>
      <c r="R3015" s="10" t="n"/>
      <c r="S3015" s="16" t="inlineStr">
        <is>
          <t>https://mstgolf.co.th/products/gf2040120766</t>
        </is>
      </c>
      <c r="T3015" s="1">
        <f>IF(B3015="ไม้กอล์ฟ",J3015,"")</f>
        <v/>
      </c>
    </row>
    <row r="3016">
      <c r="A3016" s="1" t="n">
        <v>3</v>
      </c>
      <c r="B3016" s="1" t="inlineStr">
        <is>
          <t>เสื้อผ้า</t>
        </is>
      </c>
      <c r="C3016" s="1" t="inlineStr">
        <is>
          <t>gf2020300068</t>
        </is>
      </c>
      <c r="D3016" s="1" t="inlineStr">
        <is>
          <t>LE COQ SPORTIF GOLF Women's Pleated Shorts (White)</t>
        </is>
      </c>
      <c r="E3016" s="1" t="inlineStr">
        <is>
          <t>LE COQ SPORTIF GOLF</t>
        </is>
      </c>
      <c r="F3016" s="1" t="inlineStr">
        <is>
          <t>SKORTS</t>
        </is>
      </c>
      <c r="G3016" s="1" t="inlineStr">
        <is>
          <t>GF2020300068S</t>
        </is>
      </c>
      <c r="H3016" s="1" t="n">
        <v>6</v>
      </c>
      <c r="I3016" s="1" t="inlineStr">
        <is>
          <t>มี</t>
        </is>
      </c>
      <c r="J3016" s="13" t="n">
        <v>75</v>
      </c>
      <c r="K3016" s="1" t="inlineStr"/>
      <c r="L3016" s="13" t="n">
        <v>75</v>
      </c>
      <c r="M3016" s="1">
        <f>IF(L3016="","ไม่พบใน SG",IF(ABS(J3016-L3016)&lt;0.005,"ตรงกัน","ไม่ตรง"))</f>
        <v/>
      </c>
      <c r="N3016" s="14">
        <f>IF(L3016="","",ROUND(L3016*'สรุป'!$C$6,-1))</f>
        <v/>
      </c>
      <c r="O3016" s="15" t="n"/>
      <c r="P3016" s="15" t="n"/>
      <c r="Q3016" s="10" t="n"/>
      <c r="R3016" s="10" t="n"/>
      <c r="S3016" s="16" t="inlineStr">
        <is>
          <t>https://mstgolf.co.th/products/gf2020300068</t>
        </is>
      </c>
      <c r="T3016" s="1">
        <f>IF(B3016="ไม้กอล์ฟ",J3016,"")</f>
        <v/>
      </c>
    </row>
    <row r="3017">
      <c r="A3017" s="1" t="n">
        <v>3</v>
      </c>
      <c r="B3017" s="1" t="inlineStr">
        <is>
          <t>เสื้อผ้า</t>
        </is>
      </c>
      <c r="C3017" s="1" t="inlineStr">
        <is>
          <t>gf2020102451</t>
        </is>
      </c>
      <c r="D3017" s="1" t="inlineStr">
        <is>
          <t>OAKLEY Terrain Perf Men’s Pants (Black)</t>
        </is>
      </c>
      <c r="E3017" s="1" t="inlineStr">
        <is>
          <t>OAKLEY</t>
        </is>
      </c>
      <c r="F3017" s="1" t="inlineStr">
        <is>
          <t>LONG PANTS</t>
        </is>
      </c>
      <c r="G3017" s="1" t="inlineStr">
        <is>
          <t>GF202010245130</t>
        </is>
      </c>
      <c r="H3017" s="1" t="n">
        <v>6</v>
      </c>
      <c r="I3017" s="1" t="inlineStr">
        <is>
          <t>มี</t>
        </is>
      </c>
      <c r="J3017" s="13" t="n">
        <v>75</v>
      </c>
      <c r="K3017" s="1" t="inlineStr"/>
      <c r="L3017" s="13" t="n">
        <v>55</v>
      </c>
      <c r="M3017" s="1">
        <f>IF(L3017="","ไม่พบใน SG",IF(ABS(J3017-L3017)&lt;0.005,"ตรงกัน","ไม่ตรง"))</f>
        <v/>
      </c>
      <c r="N3017" s="14">
        <f>IF(L3017="","",ROUND(L3017*'สรุป'!$C$6,-1))</f>
        <v/>
      </c>
      <c r="O3017" s="15" t="n"/>
      <c r="P3017" s="15" t="n"/>
      <c r="Q3017" s="10" t="n"/>
      <c r="R3017" s="10" t="n"/>
      <c r="S3017" s="16" t="inlineStr">
        <is>
          <t>https://mstgolf.co.th/products/gf2020102451</t>
        </is>
      </c>
      <c r="T3017" s="1">
        <f>IF(B3017="ไม้กอล์ฟ",J3017,"")</f>
        <v/>
      </c>
    </row>
    <row r="3018">
      <c r="A3018" s="1" t="n">
        <v>3</v>
      </c>
      <c r="B3018" s="1" t="inlineStr">
        <is>
          <t>เสื้อผ้า</t>
        </is>
      </c>
      <c r="C3018" s="1" t="inlineStr">
        <is>
          <t>gf2040115923</t>
        </is>
      </c>
      <c r="D3018" s="1" t="inlineStr">
        <is>
          <t>PUMA Cool Touch Tour Men's Polo (Orange)</t>
        </is>
      </c>
      <c r="E3018" s="1" t="inlineStr">
        <is>
          <t>PUMA</t>
        </is>
      </c>
      <c r="F3018" s="1" t="inlineStr">
        <is>
          <t>SHORT SLEEVES</t>
        </is>
      </c>
      <c r="G3018" s="1" t="inlineStr">
        <is>
          <t>GF2040115923S</t>
        </is>
      </c>
      <c r="H3018" s="1" t="n">
        <v>5</v>
      </c>
      <c r="I3018" s="1" t="inlineStr">
        <is>
          <t>มี</t>
        </is>
      </c>
      <c r="J3018" s="13" t="n">
        <v>75</v>
      </c>
      <c r="K3018" s="1" t="inlineStr"/>
      <c r="L3018" s="13" t="n">
        <v>75</v>
      </c>
      <c r="M3018" s="1">
        <f>IF(L3018="","ไม่พบใน SG",IF(ABS(J3018-L3018)&lt;0.005,"ตรงกัน","ไม่ตรง"))</f>
        <v/>
      </c>
      <c r="N3018" s="14">
        <f>IF(L3018="","",ROUND(L3018*'สรุป'!$C$6,-1))</f>
        <v/>
      </c>
      <c r="O3018" s="15" t="n"/>
      <c r="P3018" s="15" t="n"/>
      <c r="Q3018" s="10" t="n"/>
      <c r="R3018" s="10" t="n"/>
      <c r="S3018" s="16" t="inlineStr">
        <is>
          <t>https://mstgolf.co.th/products/gf2040115923</t>
        </is>
      </c>
      <c r="T3018" s="1">
        <f>IF(B3018="ไม้กอล์ฟ",J3018,"")</f>
        <v/>
      </c>
    </row>
    <row r="3019">
      <c r="A3019" s="1" t="n">
        <v>3</v>
      </c>
      <c r="B3019" s="1" t="inlineStr">
        <is>
          <t>เสื้อผ้า</t>
        </is>
      </c>
      <c r="C3019" s="1" t="inlineStr">
        <is>
          <t>gf2040119255</t>
        </is>
      </c>
      <c r="D3019" s="1" t="inlineStr">
        <is>
          <t>PUMA Modalon Queen City Men's Polo (Deep Navy/White)</t>
        </is>
      </c>
      <c r="E3019" s="1" t="inlineStr">
        <is>
          <t>PUMA</t>
        </is>
      </c>
      <c r="F3019" s="1" t="inlineStr">
        <is>
          <t>SHORT SLEEVES</t>
        </is>
      </c>
      <c r="G3019" s="1" t="inlineStr">
        <is>
          <t>GF2040119255XS</t>
        </is>
      </c>
      <c r="H3019" s="1" t="n">
        <v>6</v>
      </c>
      <c r="I3019" s="1" t="inlineStr">
        <is>
          <t>มี</t>
        </is>
      </c>
      <c r="J3019" s="13" t="n">
        <v>75</v>
      </c>
      <c r="K3019" s="1" t="inlineStr"/>
      <c r="L3019" s="13" t="n">
        <v>75</v>
      </c>
      <c r="M3019" s="1">
        <f>IF(L3019="","ไม่พบใน SG",IF(ABS(J3019-L3019)&lt;0.005,"ตรงกัน","ไม่ตรง"))</f>
        <v/>
      </c>
      <c r="N3019" s="14">
        <f>IF(L3019="","",ROUND(L3019*'สรุป'!$C$6,-1))</f>
        <v/>
      </c>
      <c r="O3019" s="15" t="n"/>
      <c r="P3019" s="15" t="n"/>
      <c r="Q3019" s="10" t="n"/>
      <c r="R3019" s="10" t="n"/>
      <c r="S3019" s="16" t="inlineStr">
        <is>
          <t>https://mstgolf.co.th/products/gf2040119255</t>
        </is>
      </c>
      <c r="T3019" s="1">
        <f>IF(B3019="ไม้กอล์ฟ",J3019,"")</f>
        <v/>
      </c>
    </row>
    <row r="3020">
      <c r="A3020" s="1" t="n">
        <v>3</v>
      </c>
      <c r="B3020" s="1" t="inlineStr">
        <is>
          <t>เสื้อผ้า</t>
        </is>
      </c>
      <c r="C3020" s="1" t="inlineStr">
        <is>
          <t>gf2020202474</t>
        </is>
      </c>
      <c r="D3020" s="1" t="inlineStr">
        <is>
          <t>PUMA Resort Wrap Skirt (Deep Navy)</t>
        </is>
      </c>
      <c r="E3020" s="1" t="inlineStr">
        <is>
          <t>PUMA</t>
        </is>
      </c>
      <c r="F3020" s="1" t="inlineStr">
        <is>
          <t>SHORT PANTS</t>
        </is>
      </c>
      <c r="G3020" s="1" t="inlineStr">
        <is>
          <t>GF2020202474XS</t>
        </is>
      </c>
      <c r="H3020" s="1" t="n">
        <v>7</v>
      </c>
      <c r="I3020" s="1" t="inlineStr">
        <is>
          <t>มี</t>
        </is>
      </c>
      <c r="J3020" s="13" t="n">
        <v>75</v>
      </c>
      <c r="K3020" s="1" t="inlineStr"/>
      <c r="L3020" s="13" t="n">
        <v>45</v>
      </c>
      <c r="M3020" s="1">
        <f>IF(L3020="","ไม่พบใน SG",IF(ABS(J3020-L3020)&lt;0.005,"ตรงกัน","ไม่ตรง"))</f>
        <v/>
      </c>
      <c r="N3020" s="14">
        <f>IF(L3020="","",ROUND(L3020*'สรุป'!$C$6,-1))</f>
        <v/>
      </c>
      <c r="O3020" s="15" t="n"/>
      <c r="P3020" s="15" t="n"/>
      <c r="Q3020" s="10" t="n"/>
      <c r="R3020" s="10" t="n"/>
      <c r="S3020" s="16" t="inlineStr">
        <is>
          <t>https://mstgolf.co.th/products/gf2020202474</t>
        </is>
      </c>
      <c r="T3020" s="1">
        <f>IF(B3020="ไม้กอล์ฟ",J3020,"")</f>
        <v/>
      </c>
    </row>
    <row r="3021">
      <c r="A3021" s="1" t="n">
        <v>3</v>
      </c>
      <c r="B3021" s="1" t="inlineStr">
        <is>
          <t>เสื้อผ้า</t>
        </is>
      </c>
      <c r="C3021" s="1" t="inlineStr">
        <is>
          <t>gf2020202322</t>
        </is>
      </c>
      <c r="D3021" s="1" t="inlineStr">
        <is>
          <t>PUMA x PTC Range Print Men's Shorts (Deep Navy)</t>
        </is>
      </c>
      <c r="E3021" s="1" t="inlineStr">
        <is>
          <t>PUMA</t>
        </is>
      </c>
      <c r="F3021" s="1" t="inlineStr">
        <is>
          <t>SHORT PANTS</t>
        </is>
      </c>
      <c r="G3021" s="1" t="inlineStr">
        <is>
          <t>GF2020202322S</t>
        </is>
      </c>
      <c r="H3021" s="1" t="n">
        <v>5</v>
      </c>
      <c r="I3021" s="1" t="inlineStr">
        <is>
          <t>มี</t>
        </is>
      </c>
      <c r="J3021" s="13" t="n">
        <v>75</v>
      </c>
      <c r="K3021" s="1" t="inlineStr"/>
      <c r="L3021" s="13" t="n">
        <v>45</v>
      </c>
      <c r="M3021" s="1">
        <f>IF(L3021="","ไม่พบใน SG",IF(ABS(J3021-L3021)&lt;0.005,"ตรงกัน","ไม่ตรง"))</f>
        <v/>
      </c>
      <c r="N3021" s="14">
        <f>IF(L3021="","",ROUND(L3021*'สรุป'!$C$6,-1))</f>
        <v/>
      </c>
      <c r="O3021" s="15" t="n"/>
      <c r="P3021" s="15" t="n"/>
      <c r="Q3021" s="10" t="n"/>
      <c r="R3021" s="10" t="n"/>
      <c r="S3021" s="16" t="inlineStr">
        <is>
          <t>https://mstgolf.co.th/products/gf2020202322</t>
        </is>
      </c>
      <c r="T3021" s="1">
        <f>IF(B3021="ไม้กอล์ฟ",J3021,"")</f>
        <v/>
      </c>
    </row>
    <row r="3022">
      <c r="A3022" s="1" t="n">
        <v>3</v>
      </c>
      <c r="B3022" s="1" t="inlineStr">
        <is>
          <t>เสื้อผ้า</t>
        </is>
      </c>
      <c r="C3022" s="1" t="inlineStr">
        <is>
          <t>gf2020202321</t>
        </is>
      </c>
      <c r="D3022" s="1" t="inlineStr">
        <is>
          <t>PUMA x PTC Range Solid Men's Shorts (Deep Navy/White)</t>
        </is>
      </c>
      <c r="E3022" s="1" t="inlineStr">
        <is>
          <t>PUMA</t>
        </is>
      </c>
      <c r="F3022" s="1" t="inlineStr">
        <is>
          <t>SHORT PANTS</t>
        </is>
      </c>
      <c r="G3022" s="1" t="inlineStr">
        <is>
          <t>GF2020202321S</t>
        </is>
      </c>
      <c r="H3022" s="1" t="n">
        <v>5</v>
      </c>
      <c r="I3022" s="1" t="inlineStr">
        <is>
          <t>มี</t>
        </is>
      </c>
      <c r="J3022" s="13" t="n">
        <v>75</v>
      </c>
      <c r="K3022" s="1" t="inlineStr"/>
      <c r="L3022" s="13" t="n">
        <v>75</v>
      </c>
      <c r="M3022" s="1">
        <f>IF(L3022="","ไม่พบใน SG",IF(ABS(J3022-L3022)&lt;0.005,"ตรงกัน","ไม่ตรง"))</f>
        <v/>
      </c>
      <c r="N3022" s="14">
        <f>IF(L3022="","",ROUND(L3022*'สรุป'!$C$6,-1))</f>
        <v/>
      </c>
      <c r="O3022" s="15" t="n"/>
      <c r="P3022" s="15" t="n"/>
      <c r="Q3022" s="10" t="n"/>
      <c r="R3022" s="10" t="n"/>
      <c r="S3022" s="16" t="inlineStr">
        <is>
          <t>https://mstgolf.co.th/products/gf2020202321</t>
        </is>
      </c>
      <c r="T3022" s="1">
        <f>IF(B3022="ไม้กอล์ฟ",J3022,"")</f>
        <v/>
      </c>
    </row>
    <row r="3023">
      <c r="A3023" s="1" t="n">
        <v>3</v>
      </c>
      <c r="B3023" s="1" t="inlineStr">
        <is>
          <t>เสื้อผ้า</t>
        </is>
      </c>
      <c r="C3023" s="1" t="inlineStr">
        <is>
          <t>gf2040120283</t>
        </is>
      </c>
      <c r="D3023" s="1" t="inlineStr">
        <is>
          <t>PUMA x REIGNING CHAMP MATTR Jacquard Men's Polo (Dusky Grey)</t>
        </is>
      </c>
      <c r="E3023" s="1" t="inlineStr">
        <is>
          <t>PUMA</t>
        </is>
      </c>
      <c r="F3023" s="1" t="inlineStr">
        <is>
          <t>SHORT SLEEVES</t>
        </is>
      </c>
      <c r="G3023" s="1" t="inlineStr">
        <is>
          <t>GF2040120283S</t>
        </is>
      </c>
      <c r="H3023" s="1" t="n">
        <v>5</v>
      </c>
      <c r="I3023" s="1" t="inlineStr">
        <is>
          <t>มี</t>
        </is>
      </c>
      <c r="J3023" s="13" t="n">
        <v>75</v>
      </c>
      <c r="K3023" s="1" t="inlineStr"/>
      <c r="L3023" s="13" t="n">
        <v>75</v>
      </c>
      <c r="M3023" s="1">
        <f>IF(L3023="","ไม่พบใน SG",IF(ABS(J3023-L3023)&lt;0.005,"ตรงกัน","ไม่ตรง"))</f>
        <v/>
      </c>
      <c r="N3023" s="14">
        <f>IF(L3023="","",ROUND(L3023*'สรุป'!$C$6,-1))</f>
        <v/>
      </c>
      <c r="O3023" s="15" t="n"/>
      <c r="P3023" s="15" t="n"/>
      <c r="Q3023" s="10" t="n"/>
      <c r="R3023" s="10" t="n"/>
      <c r="S3023" s="16" t="inlineStr">
        <is>
          <t>https://mstgolf.co.th/products/gf2040120283</t>
        </is>
      </c>
      <c r="T3023" s="1">
        <f>IF(B3023="ไม้กอล์ฟ",J3023,"")</f>
        <v/>
      </c>
    </row>
    <row r="3024">
      <c r="A3024" s="1" t="n">
        <v>3</v>
      </c>
      <c r="B3024" s="1" t="inlineStr">
        <is>
          <t>เสื้อผ้า</t>
        </is>
      </c>
      <c r="C3024" s="1" t="inlineStr">
        <is>
          <t>gf2040120281</t>
        </is>
      </c>
      <c r="D3024" s="1" t="inlineStr">
        <is>
          <t>PUMA x REIGNING CHAMP MATTR Men's Polo (White/Green)</t>
        </is>
      </c>
      <c r="E3024" s="1" t="inlineStr">
        <is>
          <t>PUMA</t>
        </is>
      </c>
      <c r="F3024" s="1" t="inlineStr">
        <is>
          <t>SHORT SLEEVES</t>
        </is>
      </c>
      <c r="G3024" s="1" t="inlineStr">
        <is>
          <t>GF2040120281S</t>
        </is>
      </c>
      <c r="H3024" s="1" t="n">
        <v>5</v>
      </c>
      <c r="I3024" s="1" t="inlineStr">
        <is>
          <t>มี</t>
        </is>
      </c>
      <c r="J3024" s="13" t="n">
        <v>75</v>
      </c>
      <c r="K3024" s="1" t="inlineStr"/>
      <c r="L3024" s="13" t="n">
        <v>75</v>
      </c>
      <c r="M3024" s="1">
        <f>IF(L3024="","ไม่พบใน SG",IF(ABS(J3024-L3024)&lt;0.005,"ตรงกัน","ไม่ตรง"))</f>
        <v/>
      </c>
      <c r="N3024" s="14">
        <f>IF(L3024="","",ROUND(L3024*'สรุป'!$C$6,-1))</f>
        <v/>
      </c>
      <c r="O3024" s="15" t="n"/>
      <c r="P3024" s="15" t="n"/>
      <c r="Q3024" s="10" t="n"/>
      <c r="R3024" s="10" t="n"/>
      <c r="S3024" s="16" t="inlineStr">
        <is>
          <t>https://mstgolf.co.th/products/gf2040120281</t>
        </is>
      </c>
      <c r="T3024" s="1">
        <f>IF(B3024="ไม้กอล์ฟ",J3024,"")</f>
        <v/>
      </c>
    </row>
    <row r="3025">
      <c r="A3025" s="1" t="n">
        <v>3</v>
      </c>
      <c r="B3025" s="1" t="inlineStr">
        <is>
          <t>เสื้อผ้า</t>
        </is>
      </c>
      <c r="C3025" s="1" t="inlineStr">
        <is>
          <t>gf2040119280</t>
        </is>
      </c>
      <c r="D3025" s="1" t="inlineStr">
        <is>
          <t>PUMA x Realtree Tipped Men's Polo (Black)</t>
        </is>
      </c>
      <c r="E3025" s="1" t="inlineStr">
        <is>
          <t>PUMA</t>
        </is>
      </c>
      <c r="F3025" s="1" t="inlineStr">
        <is>
          <t>SHORT SLEEVES</t>
        </is>
      </c>
      <c r="G3025" s="1" t="inlineStr">
        <is>
          <t>GF2040119280XS</t>
        </is>
      </c>
      <c r="H3025" s="1" t="n">
        <v>6</v>
      </c>
      <c r="I3025" s="1" t="inlineStr">
        <is>
          <t>มี</t>
        </is>
      </c>
      <c r="J3025" s="13" t="n">
        <v>75</v>
      </c>
      <c r="K3025" s="1" t="inlineStr"/>
      <c r="L3025" s="13" t="n">
        <v>75</v>
      </c>
      <c r="M3025" s="1">
        <f>IF(L3025="","ไม่พบใน SG",IF(ABS(J3025-L3025)&lt;0.005,"ตรงกัน","ไม่ตรง"))</f>
        <v/>
      </c>
      <c r="N3025" s="14">
        <f>IF(L3025="","",ROUND(L3025*'สรุป'!$C$6,-1))</f>
        <v/>
      </c>
      <c r="O3025" s="15" t="n"/>
      <c r="P3025" s="15" t="n"/>
      <c r="Q3025" s="10" t="n"/>
      <c r="R3025" s="10" t="n"/>
      <c r="S3025" s="16" t="inlineStr">
        <is>
          <t>https://mstgolf.co.th/products/gf2040119280</t>
        </is>
      </c>
      <c r="T3025" s="1">
        <f>IF(B3025="ไม้กอล์ฟ",J3025,"")</f>
        <v/>
      </c>
    </row>
    <row r="3026">
      <c r="A3026" s="1" t="n">
        <v>3</v>
      </c>
      <c r="B3026" s="1" t="inlineStr">
        <is>
          <t>เสื้อผ้า</t>
        </is>
      </c>
      <c r="C3026" s="1" t="inlineStr">
        <is>
          <t>gf2040119281</t>
        </is>
      </c>
      <c r="D3026" s="1" t="inlineStr">
        <is>
          <t>PUMA x Realtree Tipped Men's Polo (Rickie Orange)</t>
        </is>
      </c>
      <c r="E3026" s="1" t="inlineStr">
        <is>
          <t>PUMA</t>
        </is>
      </c>
      <c r="F3026" s="1" t="inlineStr">
        <is>
          <t>SHORT SLEEVES</t>
        </is>
      </c>
      <c r="G3026" s="1" t="inlineStr">
        <is>
          <t>GF2040119281XS</t>
        </is>
      </c>
      <c r="H3026" s="1" t="n">
        <v>6</v>
      </c>
      <c r="I3026" s="1" t="inlineStr">
        <is>
          <t>มี</t>
        </is>
      </c>
      <c r="J3026" s="13" t="n">
        <v>75</v>
      </c>
      <c r="K3026" s="1" t="inlineStr"/>
      <c r="L3026" s="13" t="n">
        <v>75</v>
      </c>
      <c r="M3026" s="1">
        <f>IF(L3026="","ไม่พบใน SG",IF(ABS(J3026-L3026)&lt;0.005,"ตรงกัน","ไม่ตรง"))</f>
        <v/>
      </c>
      <c r="N3026" s="14">
        <f>IF(L3026="","",ROUND(L3026*'สรุป'!$C$6,-1))</f>
        <v/>
      </c>
      <c r="O3026" s="15" t="n"/>
      <c r="P3026" s="15" t="n"/>
      <c r="Q3026" s="10" t="n"/>
      <c r="R3026" s="10" t="n"/>
      <c r="S3026" s="16" t="inlineStr">
        <is>
          <t>https://mstgolf.co.th/products/gf2040119281</t>
        </is>
      </c>
      <c r="T3026" s="1">
        <f>IF(B3026="ไม้กอล์ฟ",J3026,"")</f>
        <v/>
      </c>
    </row>
    <row r="3027">
      <c r="A3027" s="1" t="n">
        <v>3</v>
      </c>
      <c r="B3027" s="1" t="inlineStr">
        <is>
          <t>เสื้อผ้า</t>
        </is>
      </c>
      <c r="C3027" s="1" t="inlineStr">
        <is>
          <t>gf2070400113</t>
        </is>
      </c>
      <c r="D3027" s="1" t="inlineStr">
        <is>
          <t>SKINS Series-1 Compression Women's Inner Long Sleeve Shirt (Black)</t>
        </is>
      </c>
      <c r="E3027" s="1" t="inlineStr">
        <is>
          <t>SKINS</t>
        </is>
      </c>
      <c r="F3027" s="1" t="inlineStr">
        <is>
          <t>SHIRT</t>
        </is>
      </c>
      <c r="G3027" s="1" t="inlineStr">
        <is>
          <t>GF2070400113XS</t>
        </is>
      </c>
      <c r="H3027" s="1" t="n">
        <v>7</v>
      </c>
      <c r="I3027" s="1" t="inlineStr">
        <is>
          <t>มี</t>
        </is>
      </c>
      <c r="J3027" s="13" t="n">
        <v>75</v>
      </c>
      <c r="K3027" s="1" t="inlineStr"/>
      <c r="L3027" s="13" t="n">
        <v>75</v>
      </c>
      <c r="M3027" s="1">
        <f>IF(L3027="","ไม่พบใน SG",IF(ABS(J3027-L3027)&lt;0.005,"ตรงกัน","ไม่ตรง"))</f>
        <v/>
      </c>
      <c r="N3027" s="14">
        <f>IF(L3027="","",ROUND(L3027*'สรุป'!$C$6,-1))</f>
        <v/>
      </c>
      <c r="O3027" s="15" t="n"/>
      <c r="P3027" s="15" t="n"/>
      <c r="Q3027" s="10" t="n"/>
      <c r="R3027" s="10" t="n"/>
      <c r="S3027" s="16" t="inlineStr">
        <is>
          <t>https://mstgolf.co.th/products/gf2070400113</t>
        </is>
      </c>
      <c r="T3027" s="1">
        <f>IF(B3027="ไม้กอล์ฟ",J3027,"")</f>
        <v/>
      </c>
    </row>
    <row r="3028">
      <c r="A3028" s="1" t="n">
        <v>3</v>
      </c>
      <c r="B3028" s="1" t="inlineStr">
        <is>
          <t>เสื้อผ้า</t>
        </is>
      </c>
      <c r="C3028" s="1" t="inlineStr">
        <is>
          <t>gf2070400114</t>
        </is>
      </c>
      <c r="D3028" s="1" t="inlineStr">
        <is>
          <t>SKINS Series-1 Compression Women's Inner Long Sleeve Shirt (White)</t>
        </is>
      </c>
      <c r="E3028" s="1" t="inlineStr">
        <is>
          <t>SKINS</t>
        </is>
      </c>
      <c r="F3028" s="1" t="inlineStr">
        <is>
          <t>SHIRT</t>
        </is>
      </c>
      <c r="G3028" s="1" t="inlineStr">
        <is>
          <t>GF2070400114XS</t>
        </is>
      </c>
      <c r="H3028" s="1" t="n">
        <v>7</v>
      </c>
      <c r="I3028" s="1" t="inlineStr">
        <is>
          <t>มี</t>
        </is>
      </c>
      <c r="J3028" s="13" t="n">
        <v>75</v>
      </c>
      <c r="K3028" s="1" t="inlineStr"/>
      <c r="L3028" s="13" t="n">
        <v>75</v>
      </c>
      <c r="M3028" s="1">
        <f>IF(L3028="","ไม่พบใน SG",IF(ABS(J3028-L3028)&lt;0.005,"ตรงกัน","ไม่ตรง"))</f>
        <v/>
      </c>
      <c r="N3028" s="14">
        <f>IF(L3028="","",ROUND(L3028*'สรุป'!$C$6,-1))</f>
        <v/>
      </c>
      <c r="O3028" s="15" t="n"/>
      <c r="P3028" s="15" t="n"/>
      <c r="Q3028" s="10" t="n"/>
      <c r="R3028" s="10" t="n"/>
      <c r="S3028" s="16" t="inlineStr">
        <is>
          <t>https://mstgolf.co.th/products/gf2070400114</t>
        </is>
      </c>
      <c r="T3028" s="1">
        <f>IF(B3028="ไม้กอล์ฟ",J3028,"")</f>
        <v/>
      </c>
    </row>
    <row r="3029">
      <c r="A3029" s="1" t="n">
        <v>3</v>
      </c>
      <c r="B3029" s="1" t="inlineStr">
        <is>
          <t>เสื้อผ้า</t>
        </is>
      </c>
      <c r="C3029" s="1" t="inlineStr">
        <is>
          <t>gf2070400199</t>
        </is>
      </c>
      <c r="D3029" s="1" t="inlineStr">
        <is>
          <t>SPARMS Sun Protection Shoulder Wrap (White)</t>
        </is>
      </c>
      <c r="E3029" s="1" t="inlineStr">
        <is>
          <t>SPARMS</t>
        </is>
      </c>
      <c r="F3029" s="1" t="inlineStr">
        <is>
          <t>SHIRT</t>
        </is>
      </c>
      <c r="G3029" s="1" t="inlineStr">
        <is>
          <t>GF2070400199XS</t>
        </is>
      </c>
      <c r="H3029" s="1" t="n">
        <v>6</v>
      </c>
      <c r="I3029" s="1" t="inlineStr">
        <is>
          <t>มี</t>
        </is>
      </c>
      <c r="J3029" s="13" t="n">
        <v>75</v>
      </c>
      <c r="K3029" s="1" t="inlineStr"/>
      <c r="L3029" s="13" t="n">
        <v>75</v>
      </c>
      <c r="M3029" s="1">
        <f>IF(L3029="","ไม่พบใน SG",IF(ABS(J3029-L3029)&lt;0.005,"ตรงกัน","ไม่ตรง"))</f>
        <v/>
      </c>
      <c r="N3029" s="14">
        <f>IF(L3029="","",ROUND(L3029*'สรุป'!$C$6,-1))</f>
        <v/>
      </c>
      <c r="O3029" s="15" t="n"/>
      <c r="P3029" s="15" t="n"/>
      <c r="Q3029" s="10" t="n"/>
      <c r="R3029" s="10" t="n"/>
      <c r="S3029" s="16" t="inlineStr">
        <is>
          <t>https://mstgolf.co.th/products/gf2070400199</t>
        </is>
      </c>
      <c r="T3029" s="1">
        <f>IF(B3029="ไม้กอล์ฟ",J3029,"")</f>
        <v/>
      </c>
    </row>
    <row r="3030">
      <c r="A3030" s="1" t="n">
        <v>3</v>
      </c>
      <c r="B3030" s="1" t="inlineStr">
        <is>
          <t>เสื้อผ้า</t>
        </is>
      </c>
      <c r="C3030" s="1" t="inlineStr">
        <is>
          <t>gf2040400954</t>
        </is>
      </c>
      <c r="D3030" s="1" t="inlineStr">
        <is>
          <t>TAYLORMADE Basic Men's Long Sleeve Polo (White)</t>
        </is>
      </c>
      <c r="E3030" s="1" t="inlineStr">
        <is>
          <t>TAYLORMADE</t>
        </is>
      </c>
      <c r="F3030" s="1" t="inlineStr">
        <is>
          <t>LONG SLEEVES</t>
        </is>
      </c>
      <c r="G3030" s="1" t="inlineStr">
        <is>
          <t>GF2040400954M</t>
        </is>
      </c>
      <c r="H3030" s="1" t="n">
        <v>5</v>
      </c>
      <c r="I3030" s="1" t="inlineStr">
        <is>
          <t>มี</t>
        </is>
      </c>
      <c r="J3030" s="13" t="n">
        <v>75</v>
      </c>
      <c r="K3030" s="1" t="inlineStr"/>
      <c r="L3030" s="13" t="n">
        <v>75</v>
      </c>
      <c r="M3030" s="1">
        <f>IF(L3030="","ไม่พบใน SG",IF(ABS(J3030-L3030)&lt;0.005,"ตรงกัน","ไม่ตรง"))</f>
        <v/>
      </c>
      <c r="N3030" s="14">
        <f>IF(L3030="","",ROUND(L3030*'สรุป'!$C$6,-1))</f>
        <v/>
      </c>
      <c r="O3030" s="15" t="n"/>
      <c r="P3030" s="15" t="n"/>
      <c r="Q3030" s="10" t="n"/>
      <c r="R3030" s="10" t="n"/>
      <c r="S3030" s="16" t="inlineStr">
        <is>
          <t>https://mstgolf.co.th/products/gf2040400954</t>
        </is>
      </c>
      <c r="T3030" s="1">
        <f>IF(B3030="ไม้กอล์ฟ",J3030,"")</f>
        <v/>
      </c>
    </row>
    <row r="3031">
      <c r="A3031" s="1" t="n">
        <v>3</v>
      </c>
      <c r="B3031" s="1" t="inlineStr">
        <is>
          <t>เสื้อผ้า</t>
        </is>
      </c>
      <c r="C3031" s="1" t="inlineStr">
        <is>
          <t>gf2040115459</t>
        </is>
      </c>
      <c r="D3031" s="1" t="inlineStr">
        <is>
          <t>TAYLORMADE Bd Men's Basic Polo (Navy)</t>
        </is>
      </c>
      <c r="E3031" s="1" t="inlineStr">
        <is>
          <t>TAYLORMADE</t>
        </is>
      </c>
      <c r="F3031" s="1" t="inlineStr">
        <is>
          <t>SHORT SLEEVES</t>
        </is>
      </c>
      <c r="G3031" s="1" t="inlineStr">
        <is>
          <t>GF2040115459M</t>
        </is>
      </c>
      <c r="H3031" s="1" t="n">
        <v>5</v>
      </c>
      <c r="I3031" s="1" t="inlineStr">
        <is>
          <t>มี</t>
        </is>
      </c>
      <c r="J3031" s="13" t="n">
        <v>75</v>
      </c>
      <c r="K3031" s="1" t="inlineStr"/>
      <c r="L3031" s="13" t="n">
        <v>59</v>
      </c>
      <c r="M3031" s="1">
        <f>IF(L3031="","ไม่พบใน SG",IF(ABS(J3031-L3031)&lt;0.005,"ตรงกัน","ไม่ตรง"))</f>
        <v/>
      </c>
      <c r="N3031" s="14">
        <f>IF(L3031="","",ROUND(L3031*'สรุป'!$C$6,-1))</f>
        <v/>
      </c>
      <c r="O3031" s="15" t="n"/>
      <c r="P3031" s="15" t="n"/>
      <c r="Q3031" s="10" t="n"/>
      <c r="R3031" s="10" t="n"/>
      <c r="S3031" s="16" t="inlineStr">
        <is>
          <t>https://mstgolf.co.th/products/gf2040115459</t>
        </is>
      </c>
      <c r="T3031" s="1">
        <f>IF(B3031="ไม้กอล์ฟ",J3031,"")</f>
        <v/>
      </c>
    </row>
    <row r="3032">
      <c r="A3032" s="1" t="n">
        <v>3</v>
      </c>
      <c r="B3032" s="1" t="inlineStr">
        <is>
          <t>หมวก</t>
        </is>
      </c>
      <c r="C3032" s="1" t="inlineStr">
        <is>
          <t>gf2000300300</t>
        </is>
      </c>
      <c r="D3032" s="1" t="inlineStr">
        <is>
          <t>TAYLORMADE Packable Men's Rain Hat (Black)</t>
        </is>
      </c>
      <c r="E3032" s="1" t="inlineStr">
        <is>
          <t>TAYLORMADE</t>
        </is>
      </c>
      <c r="F3032" s="1" t="inlineStr">
        <is>
          <t>HAT</t>
        </is>
      </c>
      <c r="G3032" s="1" t="inlineStr">
        <is>
          <t>GF2000300300FS</t>
        </is>
      </c>
      <c r="H3032" s="1" t="n">
        <v>1</v>
      </c>
      <c r="I3032" s="1" t="inlineStr">
        <is>
          <t>มี</t>
        </is>
      </c>
      <c r="J3032" s="13" t="n">
        <v>75</v>
      </c>
      <c r="K3032" s="1" t="inlineStr"/>
      <c r="L3032" s="13" t="n">
        <v>75</v>
      </c>
      <c r="M3032" s="1">
        <f>IF(L3032="","ไม่พบใน SG",IF(ABS(J3032-L3032)&lt;0.005,"ตรงกัน","ไม่ตรง"))</f>
        <v/>
      </c>
      <c r="N3032" s="14">
        <f>IF(L3032="","",ROUND(L3032*'สรุป'!$C$6,-1))</f>
        <v/>
      </c>
      <c r="O3032" s="15" t="n"/>
      <c r="P3032" s="15" t="n"/>
      <c r="Q3032" s="10" t="n"/>
      <c r="R3032" s="10" t="n"/>
      <c r="S3032" s="16" t="inlineStr">
        <is>
          <t>https://mstgolf.co.th/products/gf2000300300</t>
        </is>
      </c>
      <c r="T3032" s="1">
        <f>IF(B3032="ไม้กอล์ฟ",J3032,"")</f>
        <v/>
      </c>
    </row>
    <row r="3033">
      <c r="A3033" s="1" t="n">
        <v>3</v>
      </c>
      <c r="B3033" s="1" t="inlineStr">
        <is>
          <t>หมวก</t>
        </is>
      </c>
      <c r="C3033" s="1" t="inlineStr">
        <is>
          <t>gf2000300299</t>
        </is>
      </c>
      <c r="D3033" s="1" t="inlineStr">
        <is>
          <t>TAYLORMADE Packable Men's Rain Hat (White)</t>
        </is>
      </c>
      <c r="E3033" s="1" t="inlineStr">
        <is>
          <t>TAYLORMADE</t>
        </is>
      </c>
      <c r="F3033" s="1" t="inlineStr">
        <is>
          <t>HAT</t>
        </is>
      </c>
      <c r="G3033" s="1" t="inlineStr">
        <is>
          <t>GF2000300299FS</t>
        </is>
      </c>
      <c r="H3033" s="1" t="n">
        <v>1</v>
      </c>
      <c r="I3033" s="1" t="inlineStr">
        <is>
          <t>มี</t>
        </is>
      </c>
      <c r="J3033" s="13" t="n">
        <v>75</v>
      </c>
      <c r="K3033" s="1" t="inlineStr"/>
      <c r="L3033" s="13" t="n">
        <v>75</v>
      </c>
      <c r="M3033" s="1">
        <f>IF(L3033="","ไม่พบใน SG",IF(ABS(J3033-L3033)&lt;0.005,"ตรงกัน","ไม่ตรง"))</f>
        <v/>
      </c>
      <c r="N3033" s="14">
        <f>IF(L3033="","",ROUND(L3033*'สรุป'!$C$6,-1))</f>
        <v/>
      </c>
      <c r="O3033" s="15" t="n"/>
      <c r="P3033" s="15" t="n"/>
      <c r="Q3033" s="10" t="n"/>
      <c r="R3033" s="10" t="n"/>
      <c r="S3033" s="16" t="inlineStr">
        <is>
          <t>https://mstgolf.co.th/products/gf2000300299</t>
        </is>
      </c>
      <c r="T3033" s="1">
        <f>IF(B3033="ไม้กอล์ฟ",J3033,"")</f>
        <v/>
      </c>
    </row>
    <row r="3034">
      <c r="A3034" s="1" t="n">
        <v>3</v>
      </c>
      <c r="B3034" s="1" t="inlineStr">
        <is>
          <t>เสื้อผ้า</t>
        </is>
      </c>
      <c r="C3034" s="1" t="inlineStr">
        <is>
          <t>gf2040112539</t>
        </is>
      </c>
      <c r="D3034" s="1" t="inlineStr">
        <is>
          <t>UNDER ARMOUR Curry Icon Men's Polo (Black)</t>
        </is>
      </c>
      <c r="E3034" s="1" t="inlineStr">
        <is>
          <t>UNDER ARMOUR</t>
        </is>
      </c>
      <c r="F3034" s="1" t="inlineStr">
        <is>
          <t>SHORT SLEEVES</t>
        </is>
      </c>
      <c r="G3034" s="1" t="inlineStr">
        <is>
          <t>GF2040112539S</t>
        </is>
      </c>
      <c r="H3034" s="1" t="n">
        <v>4</v>
      </c>
      <c r="I3034" s="1" t="inlineStr">
        <is>
          <t>มี</t>
        </is>
      </c>
      <c r="J3034" s="13" t="n">
        <v>75</v>
      </c>
      <c r="K3034" s="1" t="inlineStr"/>
      <c r="L3034" s="13" t="n">
        <v>75</v>
      </c>
      <c r="M3034" s="1">
        <f>IF(L3034="","ไม่พบใน SG",IF(ABS(J3034-L3034)&lt;0.005,"ตรงกัน","ไม่ตรง"))</f>
        <v/>
      </c>
      <c r="N3034" s="14">
        <f>IF(L3034="","",ROUND(L3034*'สรุป'!$C$6,-1))</f>
        <v/>
      </c>
      <c r="O3034" s="15" t="n"/>
      <c r="P3034" s="15" t="n"/>
      <c r="Q3034" s="10" t="n"/>
      <c r="R3034" s="10" t="n"/>
      <c r="S3034" s="16" t="inlineStr">
        <is>
          <t>https://mstgolf.co.th/products/gf2040112539</t>
        </is>
      </c>
      <c r="T3034" s="1">
        <f>IF(B3034="ไม้กอล์ฟ",J3034,"")</f>
        <v/>
      </c>
    </row>
    <row r="3035">
      <c r="A3035" s="1" t="n">
        <v>3</v>
      </c>
      <c r="B3035" s="1" t="inlineStr">
        <is>
          <t>เสื้อผ้า</t>
        </is>
      </c>
      <c r="C3035" s="1" t="inlineStr">
        <is>
          <t>gf2040114581</t>
        </is>
      </c>
      <c r="D3035" s="1" t="inlineStr">
        <is>
          <t>UNDER ARMOUR Curry Limitless Men's Polo (Black)</t>
        </is>
      </c>
      <c r="E3035" s="1" t="inlineStr">
        <is>
          <t>UNDER ARMOUR</t>
        </is>
      </c>
      <c r="F3035" s="1" t="inlineStr">
        <is>
          <t>SHORT SLEEVES</t>
        </is>
      </c>
      <c r="G3035" s="1" t="inlineStr">
        <is>
          <t>GF2040114581S</t>
        </is>
      </c>
      <c r="H3035" s="1" t="n">
        <v>5</v>
      </c>
      <c r="I3035" s="1" t="inlineStr">
        <is>
          <t>มี</t>
        </is>
      </c>
      <c r="J3035" s="13" t="n">
        <v>75</v>
      </c>
      <c r="K3035" s="1" t="inlineStr"/>
      <c r="L3035" s="13" t="n">
        <v>75</v>
      </c>
      <c r="M3035" s="1">
        <f>IF(L3035="","ไม่พบใน SG",IF(ABS(J3035-L3035)&lt;0.005,"ตรงกัน","ไม่ตรง"))</f>
        <v/>
      </c>
      <c r="N3035" s="14">
        <f>IF(L3035="","",ROUND(L3035*'สรุป'!$C$6,-1))</f>
        <v/>
      </c>
      <c r="O3035" s="15" t="n"/>
      <c r="P3035" s="15" t="n"/>
      <c r="Q3035" s="10" t="n"/>
      <c r="R3035" s="10" t="n"/>
      <c r="S3035" s="16" t="inlineStr">
        <is>
          <t>https://mstgolf.co.th/products/gf2040114581</t>
        </is>
      </c>
      <c r="T3035" s="1">
        <f>IF(B3035="ไม้กอล์ฟ",J3035,"")</f>
        <v/>
      </c>
    </row>
    <row r="3036">
      <c r="A3036" s="1" t="n">
        <v>3</v>
      </c>
      <c r="B3036" s="1" t="inlineStr">
        <is>
          <t>เสื้อผ้า</t>
        </is>
      </c>
      <c r="C3036" s="1" t="inlineStr">
        <is>
          <t>gf2020202306</t>
        </is>
      </c>
      <c r="D3036" s="1" t="inlineStr">
        <is>
          <t>UNDER ARMOUR Drive 7" Women's Shorts (Black)</t>
        </is>
      </c>
      <c r="E3036" s="1" t="inlineStr">
        <is>
          <t>UNDER ARMOUR</t>
        </is>
      </c>
      <c r="F3036" s="1" t="inlineStr">
        <is>
          <t>SHORT PANTS</t>
        </is>
      </c>
      <c r="G3036" s="1" t="inlineStr">
        <is>
          <t>GF20202023062</t>
        </is>
      </c>
      <c r="H3036" s="1" t="n">
        <v>5</v>
      </c>
      <c r="I3036" s="1" t="inlineStr">
        <is>
          <t>มี</t>
        </is>
      </c>
      <c r="J3036" s="13" t="n">
        <v>75</v>
      </c>
      <c r="K3036" s="1" t="inlineStr"/>
      <c r="L3036" s="13" t="n">
        <v>75</v>
      </c>
      <c r="M3036" s="1">
        <f>IF(L3036="","ไม่พบใน SG",IF(ABS(J3036-L3036)&lt;0.005,"ตรงกัน","ไม่ตรง"))</f>
        <v/>
      </c>
      <c r="N3036" s="14">
        <f>IF(L3036="","",ROUND(L3036*'สรุป'!$C$6,-1))</f>
        <v/>
      </c>
      <c r="O3036" s="15" t="n"/>
      <c r="P3036" s="15" t="n"/>
      <c r="Q3036" s="10" t="n"/>
      <c r="R3036" s="10" t="n"/>
      <c r="S3036" s="16" t="inlineStr">
        <is>
          <t>https://mstgolf.co.th/products/gf2020202306</t>
        </is>
      </c>
      <c r="T3036" s="1">
        <f>IF(B3036="ไม้กอล์ฟ",J3036,"")</f>
        <v/>
      </c>
    </row>
    <row r="3037">
      <c r="A3037" s="1" t="n">
        <v>3</v>
      </c>
      <c r="B3037" s="1" t="inlineStr">
        <is>
          <t>เสื้อผ้า</t>
        </is>
      </c>
      <c r="C3037" s="1" t="inlineStr">
        <is>
          <t>gf2040118342</t>
        </is>
      </c>
      <c r="D3037" s="1" t="inlineStr">
        <is>
          <t>UNDER ARMOUR Drive Goin' Under Men's Polo (Retro Green)</t>
        </is>
      </c>
      <c r="E3037" s="1" t="inlineStr">
        <is>
          <t>UNDER ARMOUR</t>
        </is>
      </c>
      <c r="F3037" s="1" t="inlineStr">
        <is>
          <t>SHORT SLEEVES</t>
        </is>
      </c>
      <c r="G3037" s="1" t="inlineStr">
        <is>
          <t>GF2040118342S</t>
        </is>
      </c>
      <c r="H3037" s="1" t="n">
        <v>5</v>
      </c>
      <c r="I3037" s="1" t="inlineStr">
        <is>
          <t>มี</t>
        </is>
      </c>
      <c r="J3037" s="13" t="n">
        <v>75</v>
      </c>
      <c r="K3037" s="1" t="inlineStr"/>
      <c r="L3037" s="13" t="n">
        <v>75</v>
      </c>
      <c r="M3037" s="1">
        <f>IF(L3037="","ไม่พบใน SG",IF(ABS(J3037-L3037)&lt;0.005,"ตรงกัน","ไม่ตรง"))</f>
        <v/>
      </c>
      <c r="N3037" s="14">
        <f>IF(L3037="","",ROUND(L3037*'สรุป'!$C$6,-1))</f>
        <v/>
      </c>
      <c r="O3037" s="15" t="n"/>
      <c r="P3037" s="15" t="n"/>
      <c r="Q3037" s="10" t="n"/>
      <c r="R3037" s="10" t="n"/>
      <c r="S3037" s="16" t="inlineStr">
        <is>
          <t>https://mstgolf.co.th/products/gf2040118342</t>
        </is>
      </c>
      <c r="T3037" s="1">
        <f>IF(B3037="ไม้กอล์ฟ",J3037,"")</f>
        <v/>
      </c>
    </row>
    <row r="3038">
      <c r="A3038" s="1" t="n">
        <v>3</v>
      </c>
      <c r="B3038" s="1" t="inlineStr">
        <is>
          <t>เสื้อผ้า</t>
        </is>
      </c>
      <c r="C3038" s="1" t="inlineStr">
        <is>
          <t>gf2040400877</t>
        </is>
      </c>
      <c r="D3038" s="1" t="inlineStr">
        <is>
          <t>UNDER ARMOUR Playoff 1/4 Men's Longsleeve Shirt (Black)</t>
        </is>
      </c>
      <c r="E3038" s="1" t="inlineStr">
        <is>
          <t>UNDER ARMOUR</t>
        </is>
      </c>
      <c r="F3038" s="1" t="inlineStr">
        <is>
          <t>LONG SLEEVES</t>
        </is>
      </c>
      <c r="G3038" s="1" t="inlineStr">
        <is>
          <t>GF2040400877S</t>
        </is>
      </c>
      <c r="H3038" s="1" t="n">
        <v>5</v>
      </c>
      <c r="I3038" s="1" t="inlineStr">
        <is>
          <t>มี</t>
        </is>
      </c>
      <c r="J3038" s="13" t="n">
        <v>75</v>
      </c>
      <c r="K3038" s="1" t="inlineStr"/>
      <c r="L3038" s="13" t="n">
        <v>75</v>
      </c>
      <c r="M3038" s="1">
        <f>IF(L3038="","ไม่พบใน SG",IF(ABS(J3038-L3038)&lt;0.005,"ตรงกัน","ไม่ตรง"))</f>
        <v/>
      </c>
      <c r="N3038" s="14">
        <f>IF(L3038="","",ROUND(L3038*'สรุป'!$C$6,-1))</f>
        <v/>
      </c>
      <c r="O3038" s="15" t="n"/>
      <c r="P3038" s="15" t="n"/>
      <c r="Q3038" s="10" t="n"/>
      <c r="R3038" s="10" t="n"/>
      <c r="S3038" s="16" t="inlineStr">
        <is>
          <t>https://mstgolf.co.th/products/gf2040400877</t>
        </is>
      </c>
      <c r="T3038" s="1">
        <f>IF(B3038="ไม้กอล์ฟ",J3038,"")</f>
        <v/>
      </c>
    </row>
    <row r="3039">
      <c r="A3039" s="1" t="n">
        <v>3</v>
      </c>
      <c r="B3039" s="1" t="inlineStr">
        <is>
          <t>เสื้อผ้า</t>
        </is>
      </c>
      <c r="C3039" s="1" t="inlineStr">
        <is>
          <t>gf2040400870</t>
        </is>
      </c>
      <c r="D3039" s="1" t="inlineStr">
        <is>
          <t>UNDER ARMOUR Playoff 2.0 Men's Long Sleeve Polo (Black)</t>
        </is>
      </c>
      <c r="E3039" s="1" t="inlineStr">
        <is>
          <t>UNDER ARMOUR</t>
        </is>
      </c>
      <c r="F3039" s="1" t="inlineStr">
        <is>
          <t>LONG SLEEVES</t>
        </is>
      </c>
      <c r="G3039" s="1" t="inlineStr">
        <is>
          <t>GF2040400870S</t>
        </is>
      </c>
      <c r="H3039" s="1" t="n">
        <v>5</v>
      </c>
      <c r="I3039" s="1" t="inlineStr">
        <is>
          <t>มี</t>
        </is>
      </c>
      <c r="J3039" s="13" t="n">
        <v>75</v>
      </c>
      <c r="K3039" s="1" t="inlineStr"/>
      <c r="L3039" s="13" t="n">
        <v>75</v>
      </c>
      <c r="M3039" s="1">
        <f>IF(L3039="","ไม่พบใน SG",IF(ABS(J3039-L3039)&lt;0.005,"ตรงกัน","ไม่ตรง"))</f>
        <v/>
      </c>
      <c r="N3039" s="14">
        <f>IF(L3039="","",ROUND(L3039*'สรุป'!$C$6,-1))</f>
        <v/>
      </c>
      <c r="O3039" s="15" t="n"/>
      <c r="P3039" s="15" t="n"/>
      <c r="Q3039" s="10" t="n"/>
      <c r="R3039" s="10" t="n"/>
      <c r="S3039" s="16" t="inlineStr">
        <is>
          <t>https://mstgolf.co.th/products/gf2040400870</t>
        </is>
      </c>
      <c r="T3039" s="1">
        <f>IF(B3039="ไม้กอล์ฟ",J3039,"")</f>
        <v/>
      </c>
    </row>
    <row r="3040">
      <c r="A3040" s="1" t="n">
        <v>3</v>
      </c>
      <c r="B3040" s="1" t="inlineStr">
        <is>
          <t>เสื้อผ้า</t>
        </is>
      </c>
      <c r="C3040" s="1" t="inlineStr">
        <is>
          <t>gf2040400871</t>
        </is>
      </c>
      <c r="D3040" s="1" t="inlineStr">
        <is>
          <t>UNDER ARMOUR Playoff 2.0 Men's Long Sleeve Polo Polo (Versa Blue)</t>
        </is>
      </c>
      <c r="E3040" s="1" t="inlineStr">
        <is>
          <t>UNDER ARMOUR</t>
        </is>
      </c>
      <c r="F3040" s="1" t="inlineStr">
        <is>
          <t>LONG SLEEVES</t>
        </is>
      </c>
      <c r="G3040" s="1" t="inlineStr">
        <is>
          <t>GF2040400871S</t>
        </is>
      </c>
      <c r="H3040" s="1" t="n">
        <v>5</v>
      </c>
      <c r="I3040" s="1" t="inlineStr">
        <is>
          <t>มี</t>
        </is>
      </c>
      <c r="J3040" s="13" t="n">
        <v>75</v>
      </c>
      <c r="K3040" s="1" t="inlineStr"/>
      <c r="L3040" s="13" t="n">
        <v>49</v>
      </c>
      <c r="M3040" s="1">
        <f>IF(L3040="","ไม่พบใน SG",IF(ABS(J3040-L3040)&lt;0.005,"ตรงกัน","ไม่ตรง"))</f>
        <v/>
      </c>
      <c r="N3040" s="14">
        <f>IF(L3040="","",ROUND(L3040*'สรุป'!$C$6,-1))</f>
        <v/>
      </c>
      <c r="O3040" s="15" t="n"/>
      <c r="P3040" s="15" t="n"/>
      <c r="Q3040" s="10" t="n"/>
      <c r="R3040" s="10" t="n"/>
      <c r="S3040" s="16" t="inlineStr">
        <is>
          <t>https://mstgolf.co.th/products/gf2040400871</t>
        </is>
      </c>
      <c r="T3040" s="1">
        <f>IF(B3040="ไม้กอล์ฟ",J3040,"")</f>
        <v/>
      </c>
    </row>
    <row r="3041">
      <c r="A3041" s="1" t="n">
        <v>3</v>
      </c>
      <c r="B3041" s="1" t="inlineStr">
        <is>
          <t>เสื้อผ้า</t>
        </is>
      </c>
      <c r="C3041" s="1" t="inlineStr">
        <is>
          <t>gf2040118341</t>
        </is>
      </c>
      <c r="D3041" s="1" t="inlineStr">
        <is>
          <t>UNDER ARMOUR Playoff 3.0 Check Jacquard Men's Polo (Retro Green)</t>
        </is>
      </c>
      <c r="E3041" s="1" t="inlineStr">
        <is>
          <t>UNDER ARMOUR</t>
        </is>
      </c>
      <c r="F3041" s="1" t="inlineStr">
        <is>
          <t>SHORT SLEEVES</t>
        </is>
      </c>
      <c r="G3041" s="1" t="inlineStr">
        <is>
          <t>GF2040118341S</t>
        </is>
      </c>
      <c r="H3041" s="1" t="n">
        <v>5</v>
      </c>
      <c r="I3041" s="1" t="inlineStr">
        <is>
          <t>มี</t>
        </is>
      </c>
      <c r="J3041" s="13" t="n">
        <v>75</v>
      </c>
      <c r="K3041" s="1" t="inlineStr"/>
      <c r="L3041" s="13" t="n">
        <v>75</v>
      </c>
      <c r="M3041" s="1">
        <f>IF(L3041="","ไม่พบใน SG",IF(ABS(J3041-L3041)&lt;0.005,"ตรงกัน","ไม่ตรง"))</f>
        <v/>
      </c>
      <c r="N3041" s="14">
        <f>IF(L3041="","",ROUND(L3041*'สรุป'!$C$6,-1))</f>
        <v/>
      </c>
      <c r="O3041" s="15" t="n"/>
      <c r="P3041" s="15" t="n"/>
      <c r="Q3041" s="10" t="n"/>
      <c r="R3041" s="10" t="n"/>
      <c r="S3041" s="16" t="inlineStr">
        <is>
          <t>https://mstgolf.co.th/products/gf2040118341</t>
        </is>
      </c>
      <c r="T3041" s="1">
        <f>IF(B3041="ไม้กอล์ฟ",J3041,"")</f>
        <v/>
      </c>
    </row>
    <row r="3042">
      <c r="A3042" s="1" t="n">
        <v>3</v>
      </c>
      <c r="B3042" s="1" t="inlineStr">
        <is>
          <t>เสื้อผ้า</t>
        </is>
      </c>
      <c r="C3042" s="1" t="inlineStr">
        <is>
          <t>gf2040119224</t>
        </is>
      </c>
      <c r="D3042" s="1" t="inlineStr">
        <is>
          <t>UNDER ARMOUR Playoff Jacquard Men's Polo (Downpour Grey)</t>
        </is>
      </c>
      <c r="E3042" s="1" t="inlineStr">
        <is>
          <t>UNDER ARMOUR</t>
        </is>
      </c>
      <c r="F3042" s="1" t="inlineStr">
        <is>
          <t>SHORT SLEEVES</t>
        </is>
      </c>
      <c r="G3042" s="1" t="inlineStr">
        <is>
          <t>GF2040119224S</t>
        </is>
      </c>
      <c r="H3042" s="1" t="n">
        <v>5</v>
      </c>
      <c r="I3042" s="1" t="inlineStr">
        <is>
          <t>มี</t>
        </is>
      </c>
      <c r="J3042" s="13" t="n">
        <v>75</v>
      </c>
      <c r="K3042" s="1" t="inlineStr"/>
      <c r="L3042" s="13" t="n">
        <v>75</v>
      </c>
      <c r="M3042" s="1">
        <f>IF(L3042="","ไม่พบใน SG",IF(ABS(J3042-L3042)&lt;0.005,"ตรงกัน","ไม่ตรง"))</f>
        <v/>
      </c>
      <c r="N3042" s="14">
        <f>IF(L3042="","",ROUND(L3042*'สรุป'!$C$6,-1))</f>
        <v/>
      </c>
      <c r="O3042" s="15" t="n"/>
      <c r="P3042" s="15" t="n"/>
      <c r="Q3042" s="10" t="n"/>
      <c r="R3042" s="10" t="n"/>
      <c r="S3042" s="16" t="inlineStr">
        <is>
          <t>https://mstgolf.co.th/products/gf2040119224</t>
        </is>
      </c>
      <c r="T3042" s="1">
        <f>IF(B3042="ไม้กอล์ฟ",J3042,"")</f>
        <v/>
      </c>
    </row>
    <row r="3043">
      <c r="A3043" s="1" t="n">
        <v>3</v>
      </c>
      <c r="B3043" s="1" t="inlineStr">
        <is>
          <t>เสื้อผ้า</t>
        </is>
      </c>
      <c r="C3043" s="1" t="inlineStr">
        <is>
          <t>gf2040118674</t>
        </is>
      </c>
      <c r="D3043" s="1" t="inlineStr">
        <is>
          <t>NIKE Tour Dri-FIT Men's Polo (White)</t>
        </is>
      </c>
      <c r="E3043" s="1" t="inlineStr">
        <is>
          <t>NIKE</t>
        </is>
      </c>
      <c r="F3043" s="1" t="inlineStr">
        <is>
          <t>SHORT SLEEVES</t>
        </is>
      </c>
      <c r="G3043" s="1" t="inlineStr">
        <is>
          <t>GF2040118674S</t>
        </is>
      </c>
      <c r="H3043" s="1" t="n">
        <v>5</v>
      </c>
      <c r="I3043" s="1" t="inlineStr">
        <is>
          <t>มี</t>
        </is>
      </c>
      <c r="J3043" s="13" t="n">
        <v>73</v>
      </c>
      <c r="K3043" s="1" t="inlineStr"/>
      <c r="L3043" s="13" t="n">
        <v>73</v>
      </c>
      <c r="M3043" s="1">
        <f>IF(L3043="","ไม่พบใน SG",IF(ABS(J3043-L3043)&lt;0.005,"ตรงกัน","ไม่ตรง"))</f>
        <v/>
      </c>
      <c r="N3043" s="14">
        <f>IF(L3043="","",ROUND(L3043*'สรุป'!$C$6,-1))</f>
        <v/>
      </c>
      <c r="O3043" s="15" t="n"/>
      <c r="P3043" s="15" t="n"/>
      <c r="Q3043" s="10" t="n"/>
      <c r="R3043" s="10" t="n"/>
      <c r="S3043" s="16" t="inlineStr">
        <is>
          <t>https://mstgolf.co.th/products/gf2040118674</t>
        </is>
      </c>
      <c r="T3043" s="1">
        <f>IF(B3043="ไม้กอล์ฟ",J3043,"")</f>
        <v/>
      </c>
    </row>
    <row r="3044">
      <c r="A3044" s="1" t="n">
        <v>3</v>
      </c>
      <c r="B3044" s="1" t="inlineStr">
        <is>
          <t>เสื้อผ้า</t>
        </is>
      </c>
      <c r="C3044" s="1" t="inlineStr">
        <is>
          <t>gf2040118672</t>
        </is>
      </c>
      <c r="D3044" s="1" t="inlineStr">
        <is>
          <t>NIKE Tour Jacquard Men's Polo (Denim Turqoise)</t>
        </is>
      </c>
      <c r="E3044" s="1" t="inlineStr">
        <is>
          <t>NIKE</t>
        </is>
      </c>
      <c r="F3044" s="1" t="inlineStr">
        <is>
          <t>SHORT SLEEVES</t>
        </is>
      </c>
      <c r="G3044" s="1" t="inlineStr">
        <is>
          <t>GF2040118672S</t>
        </is>
      </c>
      <c r="H3044" s="1" t="n">
        <v>5</v>
      </c>
      <c r="I3044" s="1" t="inlineStr">
        <is>
          <t>มี</t>
        </is>
      </c>
      <c r="J3044" s="13" t="n">
        <v>73</v>
      </c>
      <c r="K3044" s="1" t="inlineStr"/>
      <c r="L3044" s="13" t="n">
        <v>73</v>
      </c>
      <c r="M3044" s="1">
        <f>IF(L3044="","ไม่พบใน SG",IF(ABS(J3044-L3044)&lt;0.005,"ตรงกัน","ไม่ตรง"))</f>
        <v/>
      </c>
      <c r="N3044" s="14">
        <f>IF(L3044="","",ROUND(L3044*'สรุป'!$C$6,-1))</f>
        <v/>
      </c>
      <c r="O3044" s="15" t="n"/>
      <c r="P3044" s="15" t="n"/>
      <c r="Q3044" s="10" t="n"/>
      <c r="R3044" s="10" t="n"/>
      <c r="S3044" s="16" t="inlineStr">
        <is>
          <t>https://mstgolf.co.th/products/gf2040118672</t>
        </is>
      </c>
      <c r="T3044" s="1">
        <f>IF(B3044="ไม้กอล์ฟ",J3044,"")</f>
        <v/>
      </c>
    </row>
    <row r="3045">
      <c r="A3045" s="1" t="n">
        <v>3</v>
      </c>
      <c r="B3045" s="1" t="inlineStr">
        <is>
          <t>หมวก</t>
        </is>
      </c>
      <c r="C3045" s="1" t="inlineStr">
        <is>
          <t>gf2000105948</t>
        </is>
      </c>
      <c r="D3045" s="1" t="inlineStr">
        <is>
          <t>OAKLEY Japan Skull Switch Men's Cap (Black)</t>
        </is>
      </c>
      <c r="E3045" s="1" t="inlineStr">
        <is>
          <t>OAKLEY</t>
        </is>
      </c>
      <c r="F3045" s="1" t="inlineStr">
        <is>
          <t>CAP</t>
        </is>
      </c>
      <c r="G3045" s="1" t="inlineStr">
        <is>
          <t>GF2000105948FS</t>
        </is>
      </c>
      <c r="H3045" s="1" t="n">
        <v>1</v>
      </c>
      <c r="I3045" s="1" t="inlineStr">
        <is>
          <t>มี</t>
        </is>
      </c>
      <c r="J3045" s="13" t="n">
        <v>73</v>
      </c>
      <c r="K3045" s="1" t="inlineStr"/>
      <c r="L3045" s="13" t="n">
        <v>73</v>
      </c>
      <c r="M3045" s="1">
        <f>IF(L3045="","ไม่พบใน SG",IF(ABS(J3045-L3045)&lt;0.005,"ตรงกัน","ไม่ตรง"))</f>
        <v/>
      </c>
      <c r="N3045" s="14">
        <f>IF(L3045="","",ROUND(L3045*'สรุป'!$C$6,-1))</f>
        <v/>
      </c>
      <c r="O3045" s="15" t="n"/>
      <c r="P3045" s="15" t="n"/>
      <c r="Q3045" s="10" t="n"/>
      <c r="R3045" s="10" t="n"/>
      <c r="S3045" s="16" t="inlineStr">
        <is>
          <t>https://mstgolf.co.th/products/gf2000105948</t>
        </is>
      </c>
      <c r="T3045" s="1">
        <f>IF(B3045="ไม้กอล์ฟ",J3045,"")</f>
        <v/>
      </c>
    </row>
    <row r="3046">
      <c r="A3046" s="1" t="n">
        <v>3</v>
      </c>
      <c r="B3046" s="1" t="inlineStr">
        <is>
          <t>หมวก</t>
        </is>
      </c>
      <c r="C3046" s="1" t="inlineStr">
        <is>
          <t>gf2000105949</t>
        </is>
      </c>
      <c r="D3046" s="1" t="inlineStr">
        <is>
          <t>OAKLEY Japan Skull Switch Men's Cap (White)</t>
        </is>
      </c>
      <c r="E3046" s="1" t="inlineStr">
        <is>
          <t>OAKLEY</t>
        </is>
      </c>
      <c r="F3046" s="1" t="inlineStr">
        <is>
          <t>CAP</t>
        </is>
      </c>
      <c r="G3046" s="1" t="inlineStr">
        <is>
          <t>GF2000105949FS</t>
        </is>
      </c>
      <c r="H3046" s="1" t="n">
        <v>1</v>
      </c>
      <c r="I3046" s="1" t="inlineStr">
        <is>
          <t>มี</t>
        </is>
      </c>
      <c r="J3046" s="13" t="n">
        <v>73</v>
      </c>
      <c r="K3046" s="1" t="inlineStr"/>
      <c r="L3046" s="13" t="n">
        <v>35</v>
      </c>
      <c r="M3046" s="1">
        <f>IF(L3046="","ไม่พบใน SG",IF(ABS(J3046-L3046)&lt;0.005,"ตรงกัน","ไม่ตรง"))</f>
        <v/>
      </c>
      <c r="N3046" s="14">
        <f>IF(L3046="","",ROUND(L3046*'สรุป'!$C$6,-1))</f>
        <v/>
      </c>
      <c r="O3046" s="15" t="n"/>
      <c r="P3046" s="15" t="n"/>
      <c r="Q3046" s="10" t="n"/>
      <c r="R3046" s="10" t="n"/>
      <c r="S3046" s="16" t="inlineStr">
        <is>
          <t>https://mstgolf.co.th/products/gf2000105949</t>
        </is>
      </c>
      <c r="T3046" s="1">
        <f>IF(B3046="ไม้กอล์ฟ",J3046,"")</f>
        <v/>
      </c>
    </row>
    <row r="3047">
      <c r="A3047" s="1" t="n">
        <v>3</v>
      </c>
      <c r="B3047" s="1" t="inlineStr">
        <is>
          <t>เสื้อผ้า</t>
        </is>
      </c>
      <c r="C3047" s="1" t="inlineStr">
        <is>
          <t>gf2040116692</t>
        </is>
      </c>
      <c r="D3047" s="1" t="inlineStr">
        <is>
          <t>PETER MILLAR Avon Performance Jersey Men's Polo (Navy)</t>
        </is>
      </c>
      <c r="E3047" s="1" t="inlineStr">
        <is>
          <t>PETER MILLAR</t>
        </is>
      </c>
      <c r="F3047" s="1" t="inlineStr">
        <is>
          <t>SHORT SLEEVES</t>
        </is>
      </c>
      <c r="G3047" s="1" t="inlineStr">
        <is>
          <t>GF2040116692S</t>
        </is>
      </c>
      <c r="H3047" s="1" t="n">
        <v>5</v>
      </c>
      <c r="I3047" s="1" t="inlineStr">
        <is>
          <t>มี</t>
        </is>
      </c>
      <c r="J3047" s="13" t="n">
        <v>73</v>
      </c>
      <c r="K3047" s="1" t="inlineStr"/>
      <c r="L3047" s="13" t="n">
        <v>73</v>
      </c>
      <c r="M3047" s="1">
        <f>IF(L3047="","ไม่พบใน SG",IF(ABS(J3047-L3047)&lt;0.005,"ตรงกัน","ไม่ตรง"))</f>
        <v/>
      </c>
      <c r="N3047" s="14">
        <f>IF(L3047="","",ROUND(L3047*'สรุป'!$C$6,-1))</f>
        <v/>
      </c>
      <c r="O3047" s="15" t="n"/>
      <c r="P3047" s="15" t="n"/>
      <c r="Q3047" s="10" t="n"/>
      <c r="R3047" s="10" t="n"/>
      <c r="S3047" s="16" t="inlineStr">
        <is>
          <t>https://mstgolf.co.th/products/gf2040116692</t>
        </is>
      </c>
      <c r="T3047" s="1">
        <f>IF(B3047="ไม้กอล์ฟ",J3047,"")</f>
        <v/>
      </c>
    </row>
    <row r="3048">
      <c r="A3048" s="1" t="n">
        <v>3</v>
      </c>
      <c r="B3048" s="1" t="inlineStr">
        <is>
          <t>เสื้อผ้า</t>
        </is>
      </c>
      <c r="C3048" s="1" t="inlineStr">
        <is>
          <t>gf2040116688</t>
        </is>
      </c>
      <c r="D3048" s="1" t="inlineStr">
        <is>
          <t>PETER MILLAR Drum Performance Jersey Men's Polo (Lemonade)</t>
        </is>
      </c>
      <c r="E3048" s="1" t="inlineStr">
        <is>
          <t>PETER MILLAR</t>
        </is>
      </c>
      <c r="F3048" s="1" t="inlineStr">
        <is>
          <t>SHORT SLEEVES</t>
        </is>
      </c>
      <c r="G3048" s="1" t="inlineStr">
        <is>
          <t>GF2040116688S</t>
        </is>
      </c>
      <c r="H3048" s="1" t="n">
        <v>5</v>
      </c>
      <c r="I3048" s="1" t="inlineStr">
        <is>
          <t>มี</t>
        </is>
      </c>
      <c r="J3048" s="13" t="n">
        <v>73</v>
      </c>
      <c r="K3048" s="1" t="inlineStr"/>
      <c r="L3048" s="13" t="n">
        <v>73</v>
      </c>
      <c r="M3048" s="1">
        <f>IF(L3048="","ไม่พบใน SG",IF(ABS(J3048-L3048)&lt;0.005,"ตรงกัน","ไม่ตรง"))</f>
        <v/>
      </c>
      <c r="N3048" s="14">
        <f>IF(L3048="","",ROUND(L3048*'สรุป'!$C$6,-1))</f>
        <v/>
      </c>
      <c r="O3048" s="15" t="n"/>
      <c r="P3048" s="15" t="n"/>
      <c r="Q3048" s="10" t="n"/>
      <c r="R3048" s="10" t="n"/>
      <c r="S3048" s="16" t="inlineStr">
        <is>
          <t>https://mstgolf.co.th/products/gf2040116688</t>
        </is>
      </c>
      <c r="T3048" s="1">
        <f>IF(B3048="ไม้กอล์ฟ",J3048,"")</f>
        <v/>
      </c>
    </row>
    <row r="3049">
      <c r="A3049" s="1" t="n">
        <v>3</v>
      </c>
      <c r="B3049" s="1" t="inlineStr">
        <is>
          <t>เสื้อผ้า</t>
        </is>
      </c>
      <c r="C3049" s="1" t="inlineStr">
        <is>
          <t>gf2040116699</t>
        </is>
      </c>
      <c r="D3049" s="1" t="inlineStr">
        <is>
          <t>PETER MILLAR Gator Baltik Performance Jersey Men's Polo (Balsam)</t>
        </is>
      </c>
      <c r="E3049" s="1" t="inlineStr">
        <is>
          <t>PETER MILLAR</t>
        </is>
      </c>
      <c r="F3049" s="1" t="inlineStr">
        <is>
          <t>SHORT SLEEVES</t>
        </is>
      </c>
      <c r="G3049" s="1" t="inlineStr">
        <is>
          <t>GF2040116699S</t>
        </is>
      </c>
      <c r="H3049" s="1" t="n">
        <v>5</v>
      </c>
      <c r="I3049" s="1" t="inlineStr">
        <is>
          <t>มี</t>
        </is>
      </c>
      <c r="J3049" s="13" t="n">
        <v>73</v>
      </c>
      <c r="K3049" s="1" t="inlineStr"/>
      <c r="L3049" s="13" t="n">
        <v>73</v>
      </c>
      <c r="M3049" s="1">
        <f>IF(L3049="","ไม่พบใน SG",IF(ABS(J3049-L3049)&lt;0.005,"ตรงกัน","ไม่ตรง"))</f>
        <v/>
      </c>
      <c r="N3049" s="14">
        <f>IF(L3049="","",ROUND(L3049*'สรุป'!$C$6,-1))</f>
        <v/>
      </c>
      <c r="O3049" s="15" t="n"/>
      <c r="P3049" s="15" t="n"/>
      <c r="Q3049" s="10" t="n"/>
      <c r="R3049" s="10" t="n"/>
      <c r="S3049" s="16" t="inlineStr">
        <is>
          <t>https://mstgolf.co.th/products/gf2040116699</t>
        </is>
      </c>
      <c r="T3049" s="1">
        <f>IF(B3049="ไม้กอล์ฟ",J3049,"")</f>
        <v/>
      </c>
    </row>
    <row r="3050">
      <c r="A3050" s="1" t="n">
        <v>3</v>
      </c>
      <c r="B3050" s="1" t="inlineStr">
        <is>
          <t>เสื้อผ้า</t>
        </is>
      </c>
      <c r="C3050" s="1" t="inlineStr">
        <is>
          <t>gf2040117711</t>
        </is>
      </c>
      <c r="D3050" s="1" t="inlineStr">
        <is>
          <t>PETER MILLAR Shirly Performance Mesh Men's Polo (Palmer Pink)</t>
        </is>
      </c>
      <c r="E3050" s="1" t="inlineStr">
        <is>
          <t>PETER MILLAR</t>
        </is>
      </c>
      <c r="F3050" s="1" t="inlineStr">
        <is>
          <t>SHORT SLEEVES</t>
        </is>
      </c>
      <c r="G3050" s="1" t="inlineStr">
        <is>
          <t>GF2040117711S</t>
        </is>
      </c>
      <c r="H3050" s="1" t="n">
        <v>5</v>
      </c>
      <c r="I3050" s="1" t="inlineStr">
        <is>
          <t>มี</t>
        </is>
      </c>
      <c r="J3050" s="13" t="n">
        <v>73</v>
      </c>
      <c r="K3050" s="1" t="inlineStr"/>
      <c r="L3050" s="13" t="n">
        <v>73</v>
      </c>
      <c r="M3050" s="1">
        <f>IF(L3050="","ไม่พบใน SG",IF(ABS(J3050-L3050)&lt;0.005,"ตรงกัน","ไม่ตรง"))</f>
        <v/>
      </c>
      <c r="N3050" s="14">
        <f>IF(L3050="","",ROUND(L3050*'สรุป'!$C$6,-1))</f>
        <v/>
      </c>
      <c r="O3050" s="15" t="n"/>
      <c r="P3050" s="15" t="n"/>
      <c r="Q3050" s="10" t="n"/>
      <c r="R3050" s="10" t="n"/>
      <c r="S3050" s="16" t="inlineStr">
        <is>
          <t>https://mstgolf.co.th/products/gf2040117711</t>
        </is>
      </c>
      <c r="T3050" s="1">
        <f>IF(B3050="ไม้กอล์ฟ",J3050,"")</f>
        <v/>
      </c>
    </row>
    <row r="3051">
      <c r="A3051" s="1" t="n">
        <v>3</v>
      </c>
      <c r="B3051" s="1" t="inlineStr">
        <is>
          <t>เสื้อผ้า</t>
        </is>
      </c>
      <c r="C3051" s="1" t="inlineStr">
        <is>
          <t>gf2040116702</t>
        </is>
      </c>
      <c r="D3051" s="1" t="inlineStr">
        <is>
          <t>PETER MILLAR Sylvan Performance Jersey Men's Polo (Caribbean)</t>
        </is>
      </c>
      <c r="E3051" s="1" t="inlineStr">
        <is>
          <t>PETER MILLAR</t>
        </is>
      </c>
      <c r="F3051" s="1" t="inlineStr">
        <is>
          <t>SHORT SLEEVES</t>
        </is>
      </c>
      <c r="G3051" s="1" t="inlineStr">
        <is>
          <t>GF2040116702S</t>
        </is>
      </c>
      <c r="H3051" s="1" t="n">
        <v>5</v>
      </c>
      <c r="I3051" s="1" t="inlineStr">
        <is>
          <t>มี</t>
        </is>
      </c>
      <c r="J3051" s="13" t="n">
        <v>73</v>
      </c>
      <c r="K3051" s="1" t="inlineStr"/>
      <c r="L3051" s="13" t="n">
        <v>73</v>
      </c>
      <c r="M3051" s="1">
        <f>IF(L3051="","ไม่พบใน SG",IF(ABS(J3051-L3051)&lt;0.005,"ตรงกัน","ไม่ตรง"))</f>
        <v/>
      </c>
      <c r="N3051" s="14">
        <f>IF(L3051="","",ROUND(L3051*'สรุป'!$C$6,-1))</f>
        <v/>
      </c>
      <c r="O3051" s="15" t="n"/>
      <c r="P3051" s="15" t="n"/>
      <c r="Q3051" s="10" t="n"/>
      <c r="R3051" s="10" t="n"/>
      <c r="S3051" s="16" t="inlineStr">
        <is>
          <t>https://mstgolf.co.th/products/gf2040116702</t>
        </is>
      </c>
      <c r="T3051" s="1">
        <f>IF(B3051="ไม้กอล์ฟ",J3051,"")</f>
        <v/>
      </c>
    </row>
    <row r="3052">
      <c r="A3052" s="1" t="n">
        <v>3</v>
      </c>
      <c r="B3052" s="1" t="inlineStr">
        <is>
          <t>หมวก</t>
        </is>
      </c>
      <c r="C3052" s="1" t="inlineStr">
        <is>
          <t>gf2000300305</t>
        </is>
      </c>
      <c r="D3052" s="1" t="inlineStr">
        <is>
          <t>PING Boonie 214 Men's Hat (Grey)</t>
        </is>
      </c>
      <c r="E3052" s="1" t="inlineStr">
        <is>
          <t>PING</t>
        </is>
      </c>
      <c r="F3052" s="1" t="inlineStr">
        <is>
          <t>HAT</t>
        </is>
      </c>
      <c r="G3052" s="1" t="inlineStr">
        <is>
          <t>GF2000300305FS</t>
        </is>
      </c>
      <c r="H3052" s="1" t="n">
        <v>1</v>
      </c>
      <c r="I3052" s="1" t="inlineStr">
        <is>
          <t>มี</t>
        </is>
      </c>
      <c r="J3052" s="13" t="n">
        <v>72</v>
      </c>
      <c r="K3052" s="1" t="inlineStr"/>
      <c r="L3052" s="13" t="n">
        <v>72</v>
      </c>
      <c r="M3052" s="1">
        <f>IF(L3052="","ไม่พบใน SG",IF(ABS(J3052-L3052)&lt;0.005,"ตรงกัน","ไม่ตรง"))</f>
        <v/>
      </c>
      <c r="N3052" s="14">
        <f>IF(L3052="","",ROUND(L3052*'สรุป'!$C$6,-1))</f>
        <v/>
      </c>
      <c r="O3052" s="15" t="n"/>
      <c r="P3052" s="15" t="n"/>
      <c r="Q3052" s="10" t="n"/>
      <c r="R3052" s="10" t="n"/>
      <c r="S3052" s="16" t="inlineStr">
        <is>
          <t>https://mstgolf.co.th/products/gf2000300305</t>
        </is>
      </c>
      <c r="T3052" s="1">
        <f>IF(B3052="ไม้กอล์ฟ",J3052,"")</f>
        <v/>
      </c>
    </row>
    <row r="3053">
      <c r="A3053" s="1" t="n">
        <v>3</v>
      </c>
      <c r="B3053" s="1" t="inlineStr">
        <is>
          <t>หมวก</t>
        </is>
      </c>
      <c r="C3053" s="1" t="inlineStr">
        <is>
          <t>gf2000300304</t>
        </is>
      </c>
      <c r="D3053" s="1" t="inlineStr">
        <is>
          <t>PING Boonie 214 Men's Hat (White)</t>
        </is>
      </c>
      <c r="E3053" s="1" t="inlineStr">
        <is>
          <t>PING</t>
        </is>
      </c>
      <c r="F3053" s="1" t="inlineStr">
        <is>
          <t>HAT</t>
        </is>
      </c>
      <c r="G3053" s="1" t="inlineStr">
        <is>
          <t>GF2000300304FS</t>
        </is>
      </c>
      <c r="H3053" s="1" t="n">
        <v>1</v>
      </c>
      <c r="I3053" s="1" t="inlineStr">
        <is>
          <t>มี</t>
        </is>
      </c>
      <c r="J3053" s="13" t="n">
        <v>72</v>
      </c>
      <c r="K3053" s="1" t="inlineStr"/>
      <c r="L3053" s="13" t="n">
        <v>72</v>
      </c>
      <c r="M3053" s="1">
        <f>IF(L3053="","ไม่พบใน SG",IF(ABS(J3053-L3053)&lt;0.005,"ตรงกัน","ไม่ตรง"))</f>
        <v/>
      </c>
      <c r="N3053" s="14">
        <f>IF(L3053="","",ROUND(L3053*'สรุป'!$C$6,-1))</f>
        <v/>
      </c>
      <c r="O3053" s="15" t="n"/>
      <c r="P3053" s="15" t="n"/>
      <c r="Q3053" s="10" t="n"/>
      <c r="R3053" s="10" t="n"/>
      <c r="S3053" s="16" t="inlineStr">
        <is>
          <t>https://mstgolf.co.th/products/gf2000300304</t>
        </is>
      </c>
      <c r="T3053" s="1">
        <f>IF(B3053="ไม้กอล์ฟ",J3053,"")</f>
        <v/>
      </c>
    </row>
    <row r="3054">
      <c r="A3054" s="1" t="n">
        <v>3</v>
      </c>
      <c r="B3054" s="1" t="inlineStr">
        <is>
          <t>เสื้อผ้า</t>
        </is>
      </c>
      <c r="C3054" s="1" t="inlineStr">
        <is>
          <t>gf2040116596</t>
        </is>
      </c>
      <c r="D3054" s="1" t="inlineStr">
        <is>
          <t>ADIDAS 3-Striped Basic Women's Polo (College Navy)</t>
        </is>
      </c>
      <c r="E3054" s="1" t="inlineStr">
        <is>
          <t>ADIDAS</t>
        </is>
      </c>
      <c r="F3054" s="1" t="inlineStr">
        <is>
          <t>SHORT SLEEVES</t>
        </is>
      </c>
      <c r="G3054" s="1" t="inlineStr">
        <is>
          <t>GF2040116596XS</t>
        </is>
      </c>
      <c r="H3054" s="1" t="n">
        <v>6</v>
      </c>
      <c r="I3054" s="1" t="inlineStr">
        <is>
          <t>มี</t>
        </is>
      </c>
      <c r="J3054" s="13" t="n">
        <v>70</v>
      </c>
      <c r="K3054" s="1" t="inlineStr"/>
      <c r="L3054" s="13" t="n">
        <v>70</v>
      </c>
      <c r="M3054" s="1">
        <f>IF(L3054="","ไม่พบใน SG",IF(ABS(J3054-L3054)&lt;0.005,"ตรงกัน","ไม่ตรง"))</f>
        <v/>
      </c>
      <c r="N3054" s="14">
        <f>IF(L3054="","",ROUND(L3054*'สรุป'!$C$6,-1))</f>
        <v/>
      </c>
      <c r="O3054" s="15" t="n"/>
      <c r="P3054" s="15" t="n"/>
      <c r="Q3054" s="10" t="n"/>
      <c r="R3054" s="10" t="n"/>
      <c r="S3054" s="16" t="inlineStr">
        <is>
          <t>https://mstgolf.co.th/products/gf2040116596</t>
        </is>
      </c>
      <c r="T3054" s="1">
        <f>IF(B3054="ไม้กอล์ฟ",J3054,"")</f>
        <v/>
      </c>
    </row>
    <row r="3055">
      <c r="A3055" s="1" t="n">
        <v>3</v>
      </c>
      <c r="B3055" s="1" t="inlineStr">
        <is>
          <t>เสื้อผ้า</t>
        </is>
      </c>
      <c r="C3055" s="1" t="inlineStr">
        <is>
          <t>gf2040114359</t>
        </is>
      </c>
      <c r="D3055" s="1" t="inlineStr">
        <is>
          <t>ADIDAS 3-Stripes Basic Women's Polo (Navy)</t>
        </is>
      </c>
      <c r="E3055" s="1" t="inlineStr">
        <is>
          <t>ADIDAS</t>
        </is>
      </c>
      <c r="F3055" s="1" t="inlineStr">
        <is>
          <t>SHORT SLEEVES</t>
        </is>
      </c>
      <c r="G3055" s="1" t="inlineStr">
        <is>
          <t>GF2040114359XS</t>
        </is>
      </c>
      <c r="H3055" s="1" t="n">
        <v>7</v>
      </c>
      <c r="I3055" s="1" t="inlineStr">
        <is>
          <t>มี</t>
        </is>
      </c>
      <c r="J3055" s="13" t="n">
        <v>70</v>
      </c>
      <c r="K3055" s="1" t="inlineStr"/>
      <c r="L3055" s="13" t="n">
        <v>29</v>
      </c>
      <c r="M3055" s="1">
        <f>IF(L3055="","ไม่พบใน SG",IF(ABS(J3055-L3055)&lt;0.005,"ตรงกัน","ไม่ตรง"))</f>
        <v/>
      </c>
      <c r="N3055" s="14">
        <f>IF(L3055="","",ROUND(L3055*'สรุป'!$C$6,-1))</f>
        <v/>
      </c>
      <c r="O3055" s="15" t="n"/>
      <c r="P3055" s="15" t="n"/>
      <c r="Q3055" s="10" t="n"/>
      <c r="R3055" s="10" t="n"/>
      <c r="S3055" s="16" t="inlineStr">
        <is>
          <t>https://mstgolf.co.th/products/gf2040114359</t>
        </is>
      </c>
      <c r="T3055" s="1">
        <f>IF(B3055="ไม้กอล์ฟ",J3055,"")</f>
        <v/>
      </c>
    </row>
    <row r="3056">
      <c r="A3056" s="1" t="n">
        <v>3</v>
      </c>
      <c r="B3056" s="1" t="inlineStr">
        <is>
          <t>อุปกรณ์เสริม</t>
        </is>
      </c>
      <c r="C3056" s="1" t="inlineStr">
        <is>
          <t>gf2080101476</t>
        </is>
      </c>
      <c r="D3056" s="1" t="inlineStr">
        <is>
          <t>ADIDAS 3-Stripes Tour Men's Belt (Black)</t>
        </is>
      </c>
      <c r="E3056" s="1" t="inlineStr">
        <is>
          <t>ADIDAS</t>
        </is>
      </c>
      <c r="F3056" s="1" t="inlineStr">
        <is>
          <t>BELT</t>
        </is>
      </c>
      <c r="G3056" s="1" t="inlineStr">
        <is>
          <t>GF2080101476FS</t>
        </is>
      </c>
      <c r="H3056" s="1" t="n">
        <v>1</v>
      </c>
      <c r="I3056" s="1" t="inlineStr">
        <is>
          <t>มี</t>
        </is>
      </c>
      <c r="J3056" s="13" t="n">
        <v>69</v>
      </c>
      <c r="K3056" s="1" t="inlineStr"/>
      <c r="L3056" s="13" t="n">
        <v>69</v>
      </c>
      <c r="M3056" s="1">
        <f>IF(L3056="","ไม่พบใน SG",IF(ABS(J3056-L3056)&lt;0.005,"ตรงกัน","ไม่ตรง"))</f>
        <v/>
      </c>
      <c r="N3056" s="14">
        <f>IF(L3056="","",ROUND(L3056*'สรุป'!$C$6,-1))</f>
        <v/>
      </c>
      <c r="O3056" s="15" t="n"/>
      <c r="P3056" s="15" t="n"/>
      <c r="Q3056" s="10" t="n"/>
      <c r="R3056" s="10" t="n"/>
      <c r="S3056" s="16" t="inlineStr">
        <is>
          <t>https://mstgolf.co.th/products/gf2080101476</t>
        </is>
      </c>
      <c r="T3056" s="1">
        <f>IF(B3056="ไม้กอล์ฟ",J3056,"")</f>
        <v/>
      </c>
    </row>
    <row r="3057">
      <c r="A3057" s="1" t="n">
        <v>3</v>
      </c>
      <c r="B3057" s="1" t="inlineStr">
        <is>
          <t>เสื้อผ้า</t>
        </is>
      </c>
      <c r="C3057" s="1" t="inlineStr">
        <is>
          <t>gf2040119411</t>
        </is>
      </c>
      <c r="D3057" s="1" t="inlineStr">
        <is>
          <t>ADIDAS Allover Print Women's Polo (Blue/Navy)</t>
        </is>
      </c>
      <c r="E3057" s="1" t="inlineStr">
        <is>
          <t>ADIDAS</t>
        </is>
      </c>
      <c r="F3057" s="1" t="inlineStr">
        <is>
          <t>SHORT SLEEVES</t>
        </is>
      </c>
      <c r="G3057" s="1" t="inlineStr">
        <is>
          <t>GF20401194112XS</t>
        </is>
      </c>
      <c r="H3057" s="1" t="n">
        <v>7</v>
      </c>
      <c r="I3057" s="1" t="inlineStr">
        <is>
          <t>มี</t>
        </is>
      </c>
      <c r="J3057" s="13" t="n">
        <v>69</v>
      </c>
      <c r="K3057" s="1" t="inlineStr"/>
      <c r="L3057" s="13" t="n">
        <v>49</v>
      </c>
      <c r="M3057" s="1">
        <f>IF(L3057="","ไม่พบใน SG",IF(ABS(J3057-L3057)&lt;0.005,"ตรงกัน","ไม่ตรง"))</f>
        <v/>
      </c>
      <c r="N3057" s="14">
        <f>IF(L3057="","",ROUND(L3057*'สรุป'!$C$6,-1))</f>
        <v/>
      </c>
      <c r="O3057" s="15" t="n"/>
      <c r="P3057" s="15" t="n"/>
      <c r="Q3057" s="10" t="n"/>
      <c r="R3057" s="10" t="n"/>
      <c r="S3057" s="16" t="inlineStr">
        <is>
          <t>https://mstgolf.co.th/products/gf2040119411</t>
        </is>
      </c>
      <c r="T3057" s="1">
        <f>IF(B3057="ไม้กอล์ฟ",J3057,"")</f>
        <v/>
      </c>
    </row>
    <row r="3058">
      <c r="A3058" s="1" t="n">
        <v>3</v>
      </c>
      <c r="B3058" s="1" t="inlineStr">
        <is>
          <t>เสื้อผ้า</t>
        </is>
      </c>
      <c r="C3058" s="1" t="inlineStr">
        <is>
          <t>gf2040119410</t>
        </is>
      </c>
      <c r="D3058" s="1" t="inlineStr">
        <is>
          <t>ADIDAS Allover Print Women's Polo (White/Grey)</t>
        </is>
      </c>
      <c r="E3058" s="1" t="inlineStr">
        <is>
          <t>ADIDAS</t>
        </is>
      </c>
      <c r="F3058" s="1" t="inlineStr">
        <is>
          <t>SHORT SLEEVES</t>
        </is>
      </c>
      <c r="G3058" s="1" t="inlineStr">
        <is>
          <t>GF20401194102XS</t>
        </is>
      </c>
      <c r="H3058" s="1" t="n">
        <v>7</v>
      </c>
      <c r="I3058" s="1" t="inlineStr">
        <is>
          <t>มี</t>
        </is>
      </c>
      <c r="J3058" s="13" t="n">
        <v>69</v>
      </c>
      <c r="K3058" s="1" t="inlineStr"/>
      <c r="L3058" s="13" t="n">
        <v>49</v>
      </c>
      <c r="M3058" s="1">
        <f>IF(L3058="","ไม่พบใน SG",IF(ABS(J3058-L3058)&lt;0.005,"ตรงกัน","ไม่ตรง"))</f>
        <v/>
      </c>
      <c r="N3058" s="14">
        <f>IF(L3058="","",ROUND(L3058*'สรุป'!$C$6,-1))</f>
        <v/>
      </c>
      <c r="O3058" s="15" t="n"/>
      <c r="P3058" s="15" t="n"/>
      <c r="Q3058" s="10" t="n"/>
      <c r="R3058" s="10" t="n"/>
      <c r="S3058" s="16" t="inlineStr">
        <is>
          <t>https://mstgolf.co.th/products/gf2040119410</t>
        </is>
      </c>
      <c r="T3058" s="1">
        <f>IF(B3058="ไม้กอล์ฟ",J3058,"")</f>
        <v/>
      </c>
    </row>
    <row r="3059">
      <c r="A3059" s="1" t="n">
        <v>3</v>
      </c>
      <c r="B3059" s="1" t="inlineStr">
        <is>
          <t>เสื้อผ้า</t>
        </is>
      </c>
      <c r="C3059" s="1" t="inlineStr">
        <is>
          <t>gf2040119464</t>
        </is>
      </c>
      <c r="D3059" s="1" t="inlineStr">
        <is>
          <t>ADIDAS Go-To Printed Women's Polo (White)</t>
        </is>
      </c>
      <c r="E3059" s="1" t="inlineStr">
        <is>
          <t>ADIDAS</t>
        </is>
      </c>
      <c r="F3059" s="1" t="inlineStr">
        <is>
          <t>SHORT SLEEVES</t>
        </is>
      </c>
      <c r="G3059" s="1" t="inlineStr">
        <is>
          <t>GF20401194642XS</t>
        </is>
      </c>
      <c r="H3059" s="1" t="n">
        <v>7</v>
      </c>
      <c r="I3059" s="1" t="inlineStr">
        <is>
          <t>มี</t>
        </is>
      </c>
      <c r="J3059" s="13" t="n">
        <v>69</v>
      </c>
      <c r="K3059" s="1" t="inlineStr"/>
      <c r="L3059" s="13" t="n">
        <v>49</v>
      </c>
      <c r="M3059" s="1">
        <f>IF(L3059="","ไม่พบใน SG",IF(ABS(J3059-L3059)&lt;0.005,"ตรงกัน","ไม่ตรง"))</f>
        <v/>
      </c>
      <c r="N3059" s="14">
        <f>IF(L3059="","",ROUND(L3059*'สรุป'!$C$6,-1))</f>
        <v/>
      </c>
      <c r="O3059" s="15" t="n"/>
      <c r="P3059" s="15" t="n"/>
      <c r="Q3059" s="10" t="n"/>
      <c r="R3059" s="10" t="n"/>
      <c r="S3059" s="16" t="inlineStr">
        <is>
          <t>https://mstgolf.co.th/products/gf2040119464</t>
        </is>
      </c>
      <c r="T3059" s="1">
        <f>IF(B3059="ไม้กอล์ฟ",J3059,"")</f>
        <v/>
      </c>
    </row>
    <row r="3060">
      <c r="A3060" s="1" t="n">
        <v>3</v>
      </c>
      <c r="B3060" s="1" t="inlineStr">
        <is>
          <t>เสื้อผ้า</t>
        </is>
      </c>
      <c r="C3060" s="1" t="inlineStr">
        <is>
          <t>gf2040120479</t>
        </is>
      </c>
      <c r="D3060" s="1" t="inlineStr">
        <is>
          <t>ADIDAS Go-To Textured Men's Polo (Black)</t>
        </is>
      </c>
      <c r="E3060" s="1" t="inlineStr">
        <is>
          <t>ADIDAS</t>
        </is>
      </c>
      <c r="F3060" s="1" t="inlineStr">
        <is>
          <t>SHORT SLEEVES</t>
        </is>
      </c>
      <c r="G3060" s="1" t="inlineStr">
        <is>
          <t>GF20401204792XS</t>
        </is>
      </c>
      <c r="H3060" s="1" t="n">
        <v>7</v>
      </c>
      <c r="I3060" s="1" t="inlineStr">
        <is>
          <t>มี</t>
        </is>
      </c>
      <c r="J3060" s="13" t="n">
        <v>69</v>
      </c>
      <c r="K3060" s="1" t="inlineStr"/>
      <c r="L3060" s="13" t="n">
        <v>49</v>
      </c>
      <c r="M3060" s="1">
        <f>IF(L3060="","ไม่พบใน SG",IF(ABS(J3060-L3060)&lt;0.005,"ตรงกัน","ไม่ตรง"))</f>
        <v/>
      </c>
      <c r="N3060" s="14">
        <f>IF(L3060="","",ROUND(L3060*'สรุป'!$C$6,-1))</f>
        <v/>
      </c>
      <c r="O3060" s="15" t="n"/>
      <c r="P3060" s="15" t="n"/>
      <c r="Q3060" s="10" t="n"/>
      <c r="R3060" s="10" t="n"/>
      <c r="S3060" s="16" t="inlineStr">
        <is>
          <t>https://mstgolf.co.th/products/gf2040120479</t>
        </is>
      </c>
      <c r="T3060" s="1">
        <f>IF(B3060="ไม้กอล์ฟ",J3060,"")</f>
        <v/>
      </c>
    </row>
    <row r="3061">
      <c r="A3061" s="1" t="n">
        <v>3</v>
      </c>
      <c r="B3061" s="1" t="inlineStr">
        <is>
          <t>เสื้อผ้า</t>
        </is>
      </c>
      <c r="C3061" s="1" t="inlineStr">
        <is>
          <t>gf2040120476</t>
        </is>
      </c>
      <c r="D3061" s="1" t="inlineStr">
        <is>
          <t>ADIDAS Go-To Textured Men's Polo (Blue)</t>
        </is>
      </c>
      <c r="E3061" s="1" t="inlineStr">
        <is>
          <t>ADIDAS</t>
        </is>
      </c>
      <c r="F3061" s="1" t="inlineStr">
        <is>
          <t>SHORT SLEEVES</t>
        </is>
      </c>
      <c r="G3061" s="1" t="inlineStr">
        <is>
          <t>GF20401204762XS</t>
        </is>
      </c>
      <c r="H3061" s="1" t="n">
        <v>7</v>
      </c>
      <c r="I3061" s="1" t="inlineStr">
        <is>
          <t>มี</t>
        </is>
      </c>
      <c r="J3061" s="13" t="n">
        <v>69</v>
      </c>
      <c r="K3061" s="1" t="inlineStr"/>
      <c r="L3061" s="13" t="n">
        <v>49</v>
      </c>
      <c r="M3061" s="1">
        <f>IF(L3061="","ไม่พบใน SG",IF(ABS(J3061-L3061)&lt;0.005,"ตรงกัน","ไม่ตรง"))</f>
        <v/>
      </c>
      <c r="N3061" s="14">
        <f>IF(L3061="","",ROUND(L3061*'สรุป'!$C$6,-1))</f>
        <v/>
      </c>
      <c r="O3061" s="15" t="n"/>
      <c r="P3061" s="15" t="n"/>
      <c r="Q3061" s="10" t="n"/>
      <c r="R3061" s="10" t="n"/>
      <c r="S3061" s="16" t="inlineStr">
        <is>
          <t>https://mstgolf.co.th/products/gf2040120476</t>
        </is>
      </c>
      <c r="T3061" s="1">
        <f>IF(B3061="ไม้กอล์ฟ",J3061,"")</f>
        <v/>
      </c>
    </row>
    <row r="3062">
      <c r="A3062" s="1" t="n">
        <v>3</v>
      </c>
      <c r="B3062" s="1" t="inlineStr">
        <is>
          <t>เสื้อผ้า</t>
        </is>
      </c>
      <c r="C3062" s="1" t="inlineStr">
        <is>
          <t>gf2040120478</t>
        </is>
      </c>
      <c r="D3062" s="1" t="inlineStr">
        <is>
          <t>ADIDAS Go-To Textured Men's Polo (Green)</t>
        </is>
      </c>
      <c r="E3062" s="1" t="inlineStr">
        <is>
          <t>ADIDAS</t>
        </is>
      </c>
      <c r="F3062" s="1" t="inlineStr">
        <is>
          <t>SHORT SLEEVES</t>
        </is>
      </c>
      <c r="G3062" s="1" t="inlineStr">
        <is>
          <t>GF20401204782XS</t>
        </is>
      </c>
      <c r="H3062" s="1" t="n">
        <v>7</v>
      </c>
      <c r="I3062" s="1" t="inlineStr">
        <is>
          <t>มี</t>
        </is>
      </c>
      <c r="J3062" s="13" t="n">
        <v>69</v>
      </c>
      <c r="K3062" s="1" t="inlineStr"/>
      <c r="L3062" s="13" t="n">
        <v>49</v>
      </c>
      <c r="M3062" s="1">
        <f>IF(L3062="","ไม่พบใน SG",IF(ABS(J3062-L3062)&lt;0.005,"ตรงกัน","ไม่ตรง"))</f>
        <v/>
      </c>
      <c r="N3062" s="14">
        <f>IF(L3062="","",ROUND(L3062*'สรุป'!$C$6,-1))</f>
        <v/>
      </c>
      <c r="O3062" s="15" t="n"/>
      <c r="P3062" s="15" t="n"/>
      <c r="Q3062" s="10" t="n"/>
      <c r="R3062" s="10" t="n"/>
      <c r="S3062" s="16" t="inlineStr">
        <is>
          <t>https://mstgolf.co.th/products/gf2040120478</t>
        </is>
      </c>
      <c r="T3062" s="1">
        <f>IF(B3062="ไม้กอล์ฟ",J3062,"")</f>
        <v/>
      </c>
    </row>
    <row r="3063">
      <c r="A3063" s="1" t="n">
        <v>3</v>
      </c>
      <c r="B3063" s="1" t="inlineStr">
        <is>
          <t>เสื้อผ้า</t>
        </is>
      </c>
      <c r="C3063" s="1" t="inlineStr">
        <is>
          <t>gf2040120480</t>
        </is>
      </c>
      <c r="D3063" s="1" t="inlineStr">
        <is>
          <t>ADIDAS Go-To Textured Men's Polo (Red)</t>
        </is>
      </c>
      <c r="E3063" s="1" t="inlineStr">
        <is>
          <t>ADIDAS</t>
        </is>
      </c>
      <c r="F3063" s="1" t="inlineStr">
        <is>
          <t>SHORT SLEEVES</t>
        </is>
      </c>
      <c r="G3063" s="1" t="inlineStr">
        <is>
          <t>GF20401204802XS</t>
        </is>
      </c>
      <c r="H3063" s="1" t="n">
        <v>7</v>
      </c>
      <c r="I3063" s="1" t="inlineStr">
        <is>
          <t>มี</t>
        </is>
      </c>
      <c r="J3063" s="13" t="n">
        <v>69</v>
      </c>
      <c r="K3063" s="1" t="inlineStr"/>
      <c r="L3063" s="13" t="n">
        <v>49</v>
      </c>
      <c r="M3063" s="1">
        <f>IF(L3063="","ไม่พบใน SG",IF(ABS(J3063-L3063)&lt;0.005,"ตรงกัน","ไม่ตรง"))</f>
        <v/>
      </c>
      <c r="N3063" s="14">
        <f>IF(L3063="","",ROUND(L3063*'สรุป'!$C$6,-1))</f>
        <v/>
      </c>
      <c r="O3063" s="15" t="n"/>
      <c r="P3063" s="15" t="n"/>
      <c r="Q3063" s="10" t="n"/>
      <c r="R3063" s="10" t="n"/>
      <c r="S3063" s="16" t="inlineStr">
        <is>
          <t>https://mstgolf.co.th/products/gf2040120480</t>
        </is>
      </c>
      <c r="T3063" s="1">
        <f>IF(B3063="ไม้กอล์ฟ",J3063,"")</f>
        <v/>
      </c>
    </row>
    <row r="3064">
      <c r="A3064" s="1" t="n">
        <v>3</v>
      </c>
      <c r="B3064" s="1" t="inlineStr">
        <is>
          <t>เสื้อผ้า</t>
        </is>
      </c>
      <c r="C3064" s="1" t="inlineStr">
        <is>
          <t>gf2040120481</t>
        </is>
      </c>
      <c r="D3064" s="1" t="inlineStr">
        <is>
          <t>ADIDAS Go-To Textured Men's Polo (Violet)</t>
        </is>
      </c>
      <c r="E3064" s="1" t="inlineStr">
        <is>
          <t>ADIDAS</t>
        </is>
      </c>
      <c r="F3064" s="1" t="inlineStr">
        <is>
          <t>SHORT SLEEVES</t>
        </is>
      </c>
      <c r="G3064" s="1" t="inlineStr">
        <is>
          <t>GF20401204812XS</t>
        </is>
      </c>
      <c r="H3064" s="1" t="n">
        <v>7</v>
      </c>
      <c r="I3064" s="1" t="inlineStr">
        <is>
          <t>มี</t>
        </is>
      </c>
      <c r="J3064" s="13" t="n">
        <v>69</v>
      </c>
      <c r="K3064" s="1" t="inlineStr"/>
      <c r="L3064" s="13" t="n">
        <v>49</v>
      </c>
      <c r="M3064" s="1">
        <f>IF(L3064="","ไม่พบใน SG",IF(ABS(J3064-L3064)&lt;0.005,"ตรงกัน","ไม่ตรง"))</f>
        <v/>
      </c>
      <c r="N3064" s="14">
        <f>IF(L3064="","",ROUND(L3064*'สรุป'!$C$6,-1))</f>
        <v/>
      </c>
      <c r="O3064" s="15" t="n"/>
      <c r="P3064" s="15" t="n"/>
      <c r="Q3064" s="10" t="n"/>
      <c r="R3064" s="10" t="n"/>
      <c r="S3064" s="16" t="inlineStr">
        <is>
          <t>https://mstgolf.co.th/products/gf2040120481</t>
        </is>
      </c>
      <c r="T3064" s="1">
        <f>IF(B3064="ไม้กอล์ฟ",J3064,"")</f>
        <v/>
      </c>
    </row>
    <row r="3065">
      <c r="A3065" s="1" t="n">
        <v>3</v>
      </c>
      <c r="B3065" s="1" t="inlineStr">
        <is>
          <t>เสื้อผ้า</t>
        </is>
      </c>
      <c r="C3065" s="1" t="inlineStr">
        <is>
          <t>gf2040120477</t>
        </is>
      </c>
      <c r="D3065" s="1" t="inlineStr">
        <is>
          <t>ADIDAS Go-To Textured Men's Polo (White)</t>
        </is>
      </c>
      <c r="E3065" s="1" t="inlineStr">
        <is>
          <t>ADIDAS</t>
        </is>
      </c>
      <c r="F3065" s="1" t="inlineStr">
        <is>
          <t>SHORT SLEEVES</t>
        </is>
      </c>
      <c r="G3065" s="1" t="inlineStr">
        <is>
          <t>GF20401204772XS</t>
        </is>
      </c>
      <c r="H3065" s="1" t="n">
        <v>7</v>
      </c>
      <c r="I3065" s="1" t="inlineStr">
        <is>
          <t>มี</t>
        </is>
      </c>
      <c r="J3065" s="13" t="n">
        <v>69</v>
      </c>
      <c r="K3065" s="1" t="inlineStr"/>
      <c r="L3065" s="13" t="n">
        <v>49</v>
      </c>
      <c r="M3065" s="1">
        <f>IF(L3065="","ไม่พบใน SG",IF(ABS(J3065-L3065)&lt;0.005,"ตรงกัน","ไม่ตรง"))</f>
        <v/>
      </c>
      <c r="N3065" s="14">
        <f>IF(L3065="","",ROUND(L3065*'สรุป'!$C$6,-1))</f>
        <v/>
      </c>
      <c r="O3065" s="15" t="n"/>
      <c r="P3065" s="15" t="n"/>
      <c r="Q3065" s="10" t="n"/>
      <c r="R3065" s="10" t="n"/>
      <c r="S3065" s="16" t="inlineStr">
        <is>
          <t>https://mstgolf.co.th/products/gf2040120477</t>
        </is>
      </c>
      <c r="T3065" s="1">
        <f>IF(B3065="ไม้กอล์ฟ",J3065,"")</f>
        <v/>
      </c>
    </row>
    <row r="3066">
      <c r="A3066" s="1" t="n">
        <v>3</v>
      </c>
      <c r="B3066" s="1" t="inlineStr">
        <is>
          <t>เสื้อผ้า</t>
        </is>
      </c>
      <c r="C3066" s="1" t="inlineStr">
        <is>
          <t>gf2040120504</t>
        </is>
      </c>
      <c r="D3066" s="1" t="inlineStr">
        <is>
          <t>ADIDAS Graphic Aop Men's Polo (Aurora)</t>
        </is>
      </c>
      <c r="E3066" s="1" t="inlineStr">
        <is>
          <t>ADIDAS</t>
        </is>
      </c>
      <c r="F3066" s="1" t="inlineStr">
        <is>
          <t>SHORT SLEEVES</t>
        </is>
      </c>
      <c r="G3066" s="1" t="inlineStr">
        <is>
          <t>GF20401205042XS</t>
        </is>
      </c>
      <c r="H3066" s="1" t="n">
        <v>7</v>
      </c>
      <c r="I3066" s="1" t="inlineStr">
        <is>
          <t>มี</t>
        </is>
      </c>
      <c r="J3066" s="13" t="n">
        <v>69</v>
      </c>
      <c r="K3066" s="1" t="inlineStr"/>
      <c r="L3066" s="13" t="n">
        <v>49</v>
      </c>
      <c r="M3066" s="1">
        <f>IF(L3066="","ไม่พบใน SG",IF(ABS(J3066-L3066)&lt;0.005,"ตรงกัน","ไม่ตรง"))</f>
        <v/>
      </c>
      <c r="N3066" s="14">
        <f>IF(L3066="","",ROUND(L3066*'สรุป'!$C$6,-1))</f>
        <v/>
      </c>
      <c r="O3066" s="15" t="n"/>
      <c r="P3066" s="15" t="n"/>
      <c r="Q3066" s="10" t="n"/>
      <c r="R3066" s="10" t="n"/>
      <c r="S3066" s="16" t="inlineStr">
        <is>
          <t>https://mstgolf.co.th/products/gf2040120504</t>
        </is>
      </c>
      <c r="T3066" s="1">
        <f>IF(B3066="ไม้กอล์ฟ",J3066,"")</f>
        <v/>
      </c>
    </row>
    <row r="3067">
      <c r="A3067" s="1" t="n">
        <v>3</v>
      </c>
      <c r="B3067" s="1" t="inlineStr">
        <is>
          <t>เสื้อผ้า</t>
        </is>
      </c>
      <c r="C3067" s="1" t="inlineStr">
        <is>
          <t>gf2040120506</t>
        </is>
      </c>
      <c r="D3067" s="1" t="inlineStr">
        <is>
          <t>ADIDAS Graphic Aop Men's Polo (Black)</t>
        </is>
      </c>
      <c r="E3067" s="1" t="inlineStr">
        <is>
          <t>ADIDAS</t>
        </is>
      </c>
      <c r="F3067" s="1" t="inlineStr">
        <is>
          <t>SHORT SLEEVES</t>
        </is>
      </c>
      <c r="G3067" s="1" t="inlineStr">
        <is>
          <t>GF20401205062XS</t>
        </is>
      </c>
      <c r="H3067" s="1" t="n">
        <v>7</v>
      </c>
      <c r="I3067" s="1" t="inlineStr">
        <is>
          <t>มี</t>
        </is>
      </c>
      <c r="J3067" s="13" t="n">
        <v>69</v>
      </c>
      <c r="K3067" s="1" t="inlineStr"/>
      <c r="L3067" s="13" t="n">
        <v>49</v>
      </c>
      <c r="M3067" s="1">
        <f>IF(L3067="","ไม่พบใน SG",IF(ABS(J3067-L3067)&lt;0.005,"ตรงกัน","ไม่ตรง"))</f>
        <v/>
      </c>
      <c r="N3067" s="14">
        <f>IF(L3067="","",ROUND(L3067*'สรุป'!$C$6,-1))</f>
        <v/>
      </c>
      <c r="O3067" s="15" t="n"/>
      <c r="P3067" s="15" t="n"/>
      <c r="Q3067" s="10" t="n"/>
      <c r="R3067" s="10" t="n"/>
      <c r="S3067" s="16" t="inlineStr">
        <is>
          <t>https://mstgolf.co.th/products/gf2040120506</t>
        </is>
      </c>
      <c r="T3067" s="1">
        <f>IF(B3067="ไม้กอล์ฟ",J3067,"")</f>
        <v/>
      </c>
    </row>
    <row r="3068">
      <c r="A3068" s="1" t="n">
        <v>3</v>
      </c>
      <c r="B3068" s="1" t="inlineStr">
        <is>
          <t>เสื้อผ้า</t>
        </is>
      </c>
      <c r="C3068" s="1" t="inlineStr">
        <is>
          <t>gf2040120505</t>
        </is>
      </c>
      <c r="D3068" s="1" t="inlineStr">
        <is>
          <t>ADIDAS Graphic Aop Men's Polo (Grey)</t>
        </is>
      </c>
      <c r="E3068" s="1" t="inlineStr">
        <is>
          <t>ADIDAS</t>
        </is>
      </c>
      <c r="F3068" s="1" t="inlineStr">
        <is>
          <t>SHORT SLEEVES</t>
        </is>
      </c>
      <c r="G3068" s="1" t="inlineStr">
        <is>
          <t>GF20401205052XS</t>
        </is>
      </c>
      <c r="H3068" s="1" t="n">
        <v>7</v>
      </c>
      <c r="I3068" s="1" t="inlineStr">
        <is>
          <t>มี</t>
        </is>
      </c>
      <c r="J3068" s="13" t="n">
        <v>69</v>
      </c>
      <c r="K3068" s="1" t="inlineStr"/>
      <c r="L3068" s="13" t="n">
        <v>49</v>
      </c>
      <c r="M3068" s="1">
        <f>IF(L3068="","ไม่พบใน SG",IF(ABS(J3068-L3068)&lt;0.005,"ตรงกัน","ไม่ตรง"))</f>
        <v/>
      </c>
      <c r="N3068" s="14">
        <f>IF(L3068="","",ROUND(L3068*'สรุป'!$C$6,-1))</f>
        <v/>
      </c>
      <c r="O3068" s="15" t="n"/>
      <c r="P3068" s="15" t="n"/>
      <c r="Q3068" s="10" t="n"/>
      <c r="R3068" s="10" t="n"/>
      <c r="S3068" s="16" t="inlineStr">
        <is>
          <t>https://mstgolf.co.th/products/gf2040120505</t>
        </is>
      </c>
      <c r="T3068" s="1">
        <f>IF(B3068="ไม้กอล์ฟ",J3068,"")</f>
        <v/>
      </c>
    </row>
    <row r="3069">
      <c r="A3069" s="1" t="n">
        <v>3</v>
      </c>
      <c r="B3069" s="1" t="inlineStr">
        <is>
          <t>เสื้อผ้า</t>
        </is>
      </c>
      <c r="C3069" s="1" t="inlineStr">
        <is>
          <t>gf2020202675</t>
        </is>
      </c>
      <c r="D3069" s="1" t="inlineStr">
        <is>
          <t>ADIDAS HEAT.RDY 5" Women's Shorts (Alumina)</t>
        </is>
      </c>
      <c r="E3069" s="1" t="inlineStr">
        <is>
          <t>ADIDAS</t>
        </is>
      </c>
      <c r="F3069" s="1" t="inlineStr">
        <is>
          <t>SHORT PANTS</t>
        </is>
      </c>
      <c r="G3069" s="1" t="inlineStr">
        <is>
          <t>GF20202026752XS</t>
        </is>
      </c>
      <c r="H3069" s="1" t="n">
        <v>7</v>
      </c>
      <c r="I3069" s="1" t="inlineStr">
        <is>
          <t>มี</t>
        </is>
      </c>
      <c r="J3069" s="13" t="n">
        <v>69</v>
      </c>
      <c r="K3069" s="1" t="inlineStr"/>
      <c r="L3069" s="13" t="n">
        <v>49</v>
      </c>
      <c r="M3069" s="1">
        <f>IF(L3069="","ไม่พบใน SG",IF(ABS(J3069-L3069)&lt;0.005,"ตรงกัน","ไม่ตรง"))</f>
        <v/>
      </c>
      <c r="N3069" s="14">
        <f>IF(L3069="","",ROUND(L3069*'สรุป'!$C$6,-1))</f>
        <v/>
      </c>
      <c r="O3069" s="15" t="n"/>
      <c r="P3069" s="15" t="n"/>
      <c r="Q3069" s="10" t="n"/>
      <c r="R3069" s="10" t="n"/>
      <c r="S3069" s="16" t="inlineStr">
        <is>
          <t>https://mstgolf.co.th/products/gf2020202675</t>
        </is>
      </c>
      <c r="T3069" s="1">
        <f>IF(B3069="ไม้กอล์ฟ",J3069,"")</f>
        <v/>
      </c>
    </row>
    <row r="3070">
      <c r="A3070" s="1" t="n">
        <v>3</v>
      </c>
      <c r="B3070" s="1" t="inlineStr">
        <is>
          <t>เสื้อผ้า</t>
        </is>
      </c>
      <c r="C3070" s="1" t="inlineStr">
        <is>
          <t>gf2040119498</t>
        </is>
      </c>
      <c r="D3070" s="1" t="inlineStr">
        <is>
          <t>ADIDAS Monogram Women's Polo (Navy)</t>
        </is>
      </c>
      <c r="E3070" s="1" t="inlineStr">
        <is>
          <t>ADIDAS</t>
        </is>
      </c>
      <c r="F3070" s="1" t="inlineStr">
        <is>
          <t>SHORT SLEEVES</t>
        </is>
      </c>
      <c r="G3070" s="1" t="inlineStr">
        <is>
          <t>GF20401194982XS</t>
        </is>
      </c>
      <c r="H3070" s="1" t="n">
        <v>7</v>
      </c>
      <c r="I3070" s="1" t="inlineStr">
        <is>
          <t>มี</t>
        </is>
      </c>
      <c r="J3070" s="13" t="n">
        <v>69</v>
      </c>
      <c r="K3070" s="1" t="inlineStr"/>
      <c r="L3070" s="13" t="n">
        <v>49</v>
      </c>
      <c r="M3070" s="1">
        <f>IF(L3070="","ไม่พบใน SG",IF(ABS(J3070-L3070)&lt;0.005,"ตรงกัน","ไม่ตรง"))</f>
        <v/>
      </c>
      <c r="N3070" s="14">
        <f>IF(L3070="","",ROUND(L3070*'สรุป'!$C$6,-1))</f>
        <v/>
      </c>
      <c r="O3070" s="15" t="n"/>
      <c r="P3070" s="15" t="n"/>
      <c r="Q3070" s="10" t="n"/>
      <c r="R3070" s="10" t="n"/>
      <c r="S3070" s="16" t="inlineStr">
        <is>
          <t>https://mstgolf.co.th/products/gf2040119498</t>
        </is>
      </c>
      <c r="T3070" s="1">
        <f>IF(B3070="ไม้กอล์ฟ",J3070,"")</f>
        <v/>
      </c>
    </row>
    <row r="3071">
      <c r="A3071" s="1" t="n">
        <v>3</v>
      </c>
      <c r="B3071" s="1" t="inlineStr">
        <is>
          <t>เสื้อผ้า</t>
        </is>
      </c>
      <c r="C3071" s="1" t="inlineStr">
        <is>
          <t>gf2040300147</t>
        </is>
      </c>
      <c r="D3071" s="1" t="inlineStr">
        <is>
          <t>ADIDAS Pique Club Junior Dress (Navy)</t>
        </is>
      </c>
      <c r="E3071" s="1" t="inlineStr">
        <is>
          <t>ADIDAS</t>
        </is>
      </c>
      <c r="F3071" s="1" t="inlineStr">
        <is>
          <t>DRESS</t>
        </is>
      </c>
      <c r="G3071" s="1" t="inlineStr">
        <is>
          <t>GF2040300147128</t>
        </is>
      </c>
      <c r="H3071" s="1" t="n">
        <v>6</v>
      </c>
      <c r="I3071" s="1" t="inlineStr">
        <is>
          <t>มี</t>
        </is>
      </c>
      <c r="J3071" s="13" t="n">
        <v>69</v>
      </c>
      <c r="K3071" s="1" t="inlineStr"/>
      <c r="L3071" s="13" t="n">
        <v>34</v>
      </c>
      <c r="M3071" s="1">
        <f>IF(L3071="","ไม่พบใน SG",IF(ABS(J3071-L3071)&lt;0.005,"ตรงกัน","ไม่ตรง"))</f>
        <v/>
      </c>
      <c r="N3071" s="14">
        <f>IF(L3071="","",ROUND(L3071*'สรุป'!$C$6,-1))</f>
        <v/>
      </c>
      <c r="O3071" s="15" t="n"/>
      <c r="P3071" s="15" t="n"/>
      <c r="Q3071" s="10" t="n"/>
      <c r="R3071" s="10" t="n"/>
      <c r="S3071" s="16" t="inlineStr">
        <is>
          <t>https://mstgolf.co.th/products/gf2040300147</t>
        </is>
      </c>
      <c r="T3071" s="1">
        <f>IF(B3071="ไม้กอล์ฟ",J3071,"")</f>
        <v/>
      </c>
    </row>
    <row r="3072">
      <c r="A3072" s="1" t="n">
        <v>3</v>
      </c>
      <c r="B3072" s="1" t="inlineStr">
        <is>
          <t>เสื้อผ้า</t>
        </is>
      </c>
      <c r="C3072" s="1" t="inlineStr">
        <is>
          <t>gf2040119496</t>
        </is>
      </c>
      <c r="D3072" s="1" t="inlineStr">
        <is>
          <t>ADIDAS Seersucker Women's Polo (Blue)</t>
        </is>
      </c>
      <c r="E3072" s="1" t="inlineStr">
        <is>
          <t>ADIDAS</t>
        </is>
      </c>
      <c r="F3072" s="1" t="inlineStr">
        <is>
          <t>SHORT SLEEVES</t>
        </is>
      </c>
      <c r="G3072" s="1" t="inlineStr">
        <is>
          <t>GF20401194962XS</t>
        </is>
      </c>
      <c r="H3072" s="1" t="n">
        <v>7</v>
      </c>
      <c r="I3072" s="1" t="inlineStr">
        <is>
          <t>มี</t>
        </is>
      </c>
      <c r="J3072" s="13" t="n">
        <v>69</v>
      </c>
      <c r="K3072" s="1" t="inlineStr"/>
      <c r="L3072" s="13" t="n">
        <v>49</v>
      </c>
      <c r="M3072" s="1">
        <f>IF(L3072="","ไม่พบใน SG",IF(ABS(J3072-L3072)&lt;0.005,"ตรงกัน","ไม่ตรง"))</f>
        <v/>
      </c>
      <c r="N3072" s="14">
        <f>IF(L3072="","",ROUND(L3072*'สรุป'!$C$6,-1))</f>
        <v/>
      </c>
      <c r="O3072" s="15" t="n"/>
      <c r="P3072" s="15" t="n"/>
      <c r="Q3072" s="10" t="n"/>
      <c r="R3072" s="10" t="n"/>
      <c r="S3072" s="16" t="inlineStr">
        <is>
          <t>https://mstgolf.co.th/products/gf2040119496</t>
        </is>
      </c>
      <c r="T3072" s="1">
        <f>IF(B3072="ไม้กอล์ฟ",J3072,"")</f>
        <v/>
      </c>
    </row>
    <row r="3073">
      <c r="A3073" s="1" t="n">
        <v>3</v>
      </c>
      <c r="B3073" s="1" t="inlineStr">
        <is>
          <t>เสื้อผ้า</t>
        </is>
      </c>
      <c r="C3073" s="1" t="inlineStr">
        <is>
          <t>gf2040119412</t>
        </is>
      </c>
      <c r="D3073" s="1" t="inlineStr">
        <is>
          <t>ADIDAS TWISTKNIT Men's Polo (Silver)</t>
        </is>
      </c>
      <c r="E3073" s="1" t="inlineStr">
        <is>
          <t>ADIDAS</t>
        </is>
      </c>
      <c r="F3073" s="1" t="inlineStr">
        <is>
          <t>SHORT SLEEVES</t>
        </is>
      </c>
      <c r="G3073" s="1" t="inlineStr">
        <is>
          <t>GF20401194122XS</t>
        </is>
      </c>
      <c r="H3073" s="1" t="n">
        <v>7</v>
      </c>
      <c r="I3073" s="1" t="inlineStr">
        <is>
          <t>มี</t>
        </is>
      </c>
      <c r="J3073" s="13" t="n">
        <v>69</v>
      </c>
      <c r="K3073" s="1" t="inlineStr"/>
      <c r="L3073" s="13" t="n">
        <v>49</v>
      </c>
      <c r="M3073" s="1">
        <f>IF(L3073="","ไม่พบใน SG",IF(ABS(J3073-L3073)&lt;0.005,"ตรงกัน","ไม่ตรง"))</f>
        <v/>
      </c>
      <c r="N3073" s="14">
        <f>IF(L3073="","",ROUND(L3073*'สรุป'!$C$6,-1))</f>
        <v/>
      </c>
      <c r="O3073" s="15" t="n"/>
      <c r="P3073" s="15" t="n"/>
      <c r="Q3073" s="10" t="n"/>
      <c r="R3073" s="10" t="n"/>
      <c r="S3073" s="16" t="inlineStr">
        <is>
          <t>https://mstgolf.co.th/products/gf2040119412</t>
        </is>
      </c>
      <c r="T3073" s="1">
        <f>IF(B3073="ไม้กอล์ฟ",J3073,"")</f>
        <v/>
      </c>
    </row>
    <row r="3074">
      <c r="A3074" s="1" t="n">
        <v>3</v>
      </c>
      <c r="B3074" s="1" t="inlineStr">
        <is>
          <t>เสื้อผ้า</t>
        </is>
      </c>
      <c r="C3074" s="1" t="inlineStr">
        <is>
          <t>gf2040119499</t>
        </is>
      </c>
      <c r="D3074" s="1" t="inlineStr">
        <is>
          <t>ADIDAS Twisknit Women's Polo (Navy )</t>
        </is>
      </c>
      <c r="E3074" s="1" t="inlineStr">
        <is>
          <t>ADIDAS</t>
        </is>
      </c>
      <c r="F3074" s="1" t="inlineStr">
        <is>
          <t>SHORT SLEEVES</t>
        </is>
      </c>
      <c r="G3074" s="1" t="inlineStr">
        <is>
          <t>GF20401194992XS</t>
        </is>
      </c>
      <c r="H3074" s="1" t="n">
        <v>7</v>
      </c>
      <c r="I3074" s="1" t="inlineStr">
        <is>
          <t>มี</t>
        </is>
      </c>
      <c r="J3074" s="13" t="n">
        <v>69</v>
      </c>
      <c r="K3074" s="1" t="inlineStr"/>
      <c r="L3074" s="13" t="n">
        <v>49</v>
      </c>
      <c r="M3074" s="1">
        <f>IF(L3074="","ไม่พบใน SG",IF(ABS(J3074-L3074)&lt;0.005,"ตรงกัน","ไม่ตรง"))</f>
        <v/>
      </c>
      <c r="N3074" s="14">
        <f>IF(L3074="","",ROUND(L3074*'สรุป'!$C$6,-1))</f>
        <v/>
      </c>
      <c r="O3074" s="15" t="n"/>
      <c r="P3074" s="15" t="n"/>
      <c r="Q3074" s="10" t="n"/>
      <c r="R3074" s="10" t="n"/>
      <c r="S3074" s="16" t="inlineStr">
        <is>
          <t>https://mstgolf.co.th/products/gf2040119499</t>
        </is>
      </c>
      <c r="T3074" s="1">
        <f>IF(B3074="ไม้กอล์ฟ",J3074,"")</f>
        <v/>
      </c>
    </row>
    <row r="3075">
      <c r="A3075" s="1" t="n">
        <v>3</v>
      </c>
      <c r="B3075" s="1" t="inlineStr">
        <is>
          <t>เสื้อผ้า</t>
        </is>
      </c>
      <c r="C3075" s="1" t="inlineStr">
        <is>
          <t>gf2040401344</t>
        </is>
      </c>
      <c r="D3075" s="1" t="inlineStr">
        <is>
          <t>ADIDAS Ultimate365 3-Stripes Men's Long Sleeve Polo (Black)</t>
        </is>
      </c>
      <c r="E3075" s="1" t="inlineStr">
        <is>
          <t>ADIDAS</t>
        </is>
      </c>
      <c r="F3075" s="1" t="inlineStr">
        <is>
          <t>LONG SLEEVES</t>
        </is>
      </c>
      <c r="G3075" s="1" t="inlineStr">
        <is>
          <t>GF2040401344XS</t>
        </is>
      </c>
      <c r="H3075" s="1" t="n">
        <v>7</v>
      </c>
      <c r="I3075" s="1" t="inlineStr">
        <is>
          <t>มี</t>
        </is>
      </c>
      <c r="J3075" s="13" t="n">
        <v>69</v>
      </c>
      <c r="K3075" s="1" t="inlineStr"/>
      <c r="L3075" s="13" t="n">
        <v>49</v>
      </c>
      <c r="M3075" s="1">
        <f>IF(L3075="","ไม่พบใน SG",IF(ABS(J3075-L3075)&lt;0.005,"ตรงกัน","ไม่ตรง"))</f>
        <v/>
      </c>
      <c r="N3075" s="14">
        <f>IF(L3075="","",ROUND(L3075*'สรุป'!$C$6,-1))</f>
        <v/>
      </c>
      <c r="O3075" s="15" t="n"/>
      <c r="P3075" s="15" t="n"/>
      <c r="Q3075" s="10" t="n"/>
      <c r="R3075" s="10" t="n"/>
      <c r="S3075" s="16" t="inlineStr">
        <is>
          <t>https://mstgolf.co.th/products/gf2040401344</t>
        </is>
      </c>
      <c r="T3075" s="1">
        <f>IF(B3075="ไม้กอล์ฟ",J3075,"")</f>
        <v/>
      </c>
    </row>
    <row r="3076">
      <c r="A3076" s="1" t="n">
        <v>3</v>
      </c>
      <c r="B3076" s="1" t="inlineStr">
        <is>
          <t>เสื้อผ้า</t>
        </is>
      </c>
      <c r="C3076" s="1" t="inlineStr">
        <is>
          <t>gf2040401343</t>
        </is>
      </c>
      <c r="D3076" s="1" t="inlineStr">
        <is>
          <t>ADIDAS Ultimate365 3-Stripes Men's Long Sleeve Polo (White)</t>
        </is>
      </c>
      <c r="E3076" s="1" t="inlineStr">
        <is>
          <t>ADIDAS</t>
        </is>
      </c>
      <c r="F3076" s="1" t="inlineStr">
        <is>
          <t>LONG SLEEVES</t>
        </is>
      </c>
      <c r="G3076" s="1" t="inlineStr">
        <is>
          <t>GF2040401343XS</t>
        </is>
      </c>
      <c r="H3076" s="1" t="n">
        <v>7</v>
      </c>
      <c r="I3076" s="1" t="inlineStr">
        <is>
          <t>มี</t>
        </is>
      </c>
      <c r="J3076" s="13" t="n">
        <v>69</v>
      </c>
      <c r="K3076" s="1" t="inlineStr"/>
      <c r="L3076" s="13" t="n">
        <v>49</v>
      </c>
      <c r="M3076" s="1">
        <f>IF(L3076="","ไม่พบใน SG",IF(ABS(J3076-L3076)&lt;0.005,"ตรงกัน","ไม่ตรง"))</f>
        <v/>
      </c>
      <c r="N3076" s="14">
        <f>IF(L3076="","",ROUND(L3076*'สรุป'!$C$6,-1))</f>
        <v/>
      </c>
      <c r="O3076" s="15" t="n"/>
      <c r="P3076" s="15" t="n"/>
      <c r="Q3076" s="10" t="n"/>
      <c r="R3076" s="10" t="n"/>
      <c r="S3076" s="16" t="inlineStr">
        <is>
          <t>https://mstgolf.co.th/products/gf2040401343</t>
        </is>
      </c>
      <c r="T3076" s="1">
        <f>IF(B3076="ไม้กอล์ฟ",J3076,"")</f>
        <v/>
      </c>
    </row>
    <row r="3077">
      <c r="A3077" s="1" t="n">
        <v>3</v>
      </c>
      <c r="B3077" s="1" t="inlineStr">
        <is>
          <t>เสื้อผ้า</t>
        </is>
      </c>
      <c r="C3077" s="1" t="inlineStr">
        <is>
          <t>gf2020202664</t>
        </is>
      </c>
      <c r="D3077" s="1" t="inlineStr">
        <is>
          <t>ADIDAS Ultimate365 Gingham Skort (Navy)</t>
        </is>
      </c>
      <c r="E3077" s="1" t="inlineStr">
        <is>
          <t>ADIDAS</t>
        </is>
      </c>
      <c r="F3077" s="1" t="inlineStr">
        <is>
          <t>SHORT PANTS</t>
        </is>
      </c>
      <c r="G3077" s="1" t="inlineStr">
        <is>
          <t>GF2020202664XS</t>
        </is>
      </c>
      <c r="H3077" s="1" t="n">
        <v>7</v>
      </c>
      <c r="I3077" s="1" t="inlineStr">
        <is>
          <t>มี</t>
        </is>
      </c>
      <c r="J3077" s="13" t="n">
        <v>69</v>
      </c>
      <c r="K3077" s="1" t="inlineStr"/>
      <c r="L3077" s="13" t="n">
        <v>49</v>
      </c>
      <c r="M3077" s="1">
        <f>IF(L3077="","ไม่พบใน SG",IF(ABS(J3077-L3077)&lt;0.005,"ตรงกัน","ไม่ตรง"))</f>
        <v/>
      </c>
      <c r="N3077" s="14">
        <f>IF(L3077="","",ROUND(L3077*'สรุป'!$C$6,-1))</f>
        <v/>
      </c>
      <c r="O3077" s="15" t="n"/>
      <c r="P3077" s="15" t="n"/>
      <c r="Q3077" s="10" t="n"/>
      <c r="R3077" s="10" t="n"/>
      <c r="S3077" s="16" t="inlineStr">
        <is>
          <t>https://mstgolf.co.th/products/gf2020202664</t>
        </is>
      </c>
      <c r="T3077" s="1">
        <f>IF(B3077="ไม้กอล์ฟ",J3077,"")</f>
        <v/>
      </c>
    </row>
    <row r="3078">
      <c r="A3078" s="1" t="n">
        <v>3</v>
      </c>
      <c r="B3078" s="1" t="inlineStr">
        <is>
          <t>เสื้อผ้า</t>
        </is>
      </c>
      <c r="C3078" s="1" t="inlineStr">
        <is>
          <t>gf2060101031</t>
        </is>
      </c>
      <c r="D3078" s="1" t="inlineStr">
        <is>
          <t>ADIDAS Ultimate365 RAIN.RDY Men's Jacket (Grey)</t>
        </is>
      </c>
      <c r="E3078" s="1" t="inlineStr">
        <is>
          <t>ADIDAS</t>
        </is>
      </c>
      <c r="F3078" s="1" t="inlineStr">
        <is>
          <t>TOP</t>
        </is>
      </c>
      <c r="G3078" s="1" t="inlineStr">
        <is>
          <t>GF2060101031XS</t>
        </is>
      </c>
      <c r="H3078" s="1" t="n">
        <v>7</v>
      </c>
      <c r="I3078" s="1" t="inlineStr">
        <is>
          <t>มี</t>
        </is>
      </c>
      <c r="J3078" s="13" t="n">
        <v>69</v>
      </c>
      <c r="K3078" s="1" t="inlineStr"/>
      <c r="L3078" s="13" t="n">
        <v>69</v>
      </c>
      <c r="M3078" s="1">
        <f>IF(L3078="","ไม่พบใน SG",IF(ABS(J3078-L3078)&lt;0.005,"ตรงกัน","ไม่ตรง"))</f>
        <v/>
      </c>
      <c r="N3078" s="14">
        <f>IF(L3078="","",ROUND(L3078*'สรุป'!$C$6,-1))</f>
        <v/>
      </c>
      <c r="O3078" s="15" t="n"/>
      <c r="P3078" s="15" t="n"/>
      <c r="Q3078" s="10" t="n"/>
      <c r="R3078" s="10" t="n"/>
      <c r="S3078" s="16" t="inlineStr">
        <is>
          <t>https://mstgolf.co.th/products/gf2060101031</t>
        </is>
      </c>
      <c r="T3078" s="1">
        <f>IF(B3078="ไม้กอล์ฟ",J3078,"")</f>
        <v/>
      </c>
    </row>
    <row r="3079">
      <c r="A3079" s="1" t="n">
        <v>3</v>
      </c>
      <c r="B3079" s="1" t="inlineStr">
        <is>
          <t>เสื้อผ้า</t>
        </is>
      </c>
      <c r="C3079" s="1" t="inlineStr">
        <is>
          <t>gf2020202519</t>
        </is>
      </c>
      <c r="D3079" s="1" t="inlineStr">
        <is>
          <t>ADIDAS Ultimate365 Tour Pleated Skort (Black)</t>
        </is>
      </c>
      <c r="E3079" s="1" t="inlineStr">
        <is>
          <t>ADIDAS</t>
        </is>
      </c>
      <c r="F3079" s="1" t="inlineStr">
        <is>
          <t>SKORTS</t>
        </is>
      </c>
      <c r="G3079" s="1" t="inlineStr">
        <is>
          <t>GF20202025192XS</t>
        </is>
      </c>
      <c r="H3079" s="1" t="n">
        <v>7</v>
      </c>
      <c r="I3079" s="1" t="inlineStr">
        <is>
          <t>มี</t>
        </is>
      </c>
      <c r="J3079" s="13" t="n">
        <v>69</v>
      </c>
      <c r="K3079" s="1" t="inlineStr"/>
      <c r="L3079" s="13" t="n">
        <v>49</v>
      </c>
      <c r="M3079" s="1">
        <f>IF(L3079="","ไม่พบใน SG",IF(ABS(J3079-L3079)&lt;0.005,"ตรงกัน","ไม่ตรง"))</f>
        <v/>
      </c>
      <c r="N3079" s="14">
        <f>IF(L3079="","",ROUND(L3079*'สรุป'!$C$6,-1))</f>
        <v/>
      </c>
      <c r="O3079" s="15" t="n"/>
      <c r="P3079" s="15" t="n"/>
      <c r="Q3079" s="10" t="n"/>
      <c r="R3079" s="10" t="n"/>
      <c r="S3079" s="16" t="inlineStr">
        <is>
          <t>https://mstgolf.co.th/products/gf2020202519</t>
        </is>
      </c>
      <c r="T3079" s="1">
        <f>IF(B3079="ไม้กอล์ฟ",J3079,"")</f>
        <v/>
      </c>
    </row>
    <row r="3080">
      <c r="A3080" s="1" t="n">
        <v>3</v>
      </c>
      <c r="B3080" s="1" t="inlineStr">
        <is>
          <t>เสื้อผ้า</t>
        </is>
      </c>
      <c r="C3080" s="1" t="inlineStr">
        <is>
          <t>gf2020300141</t>
        </is>
      </c>
      <c r="D3080" s="1" t="inlineStr">
        <is>
          <t>ADIDAS Ultimate365 Tour Pleated Skort (Teal)</t>
        </is>
      </c>
      <c r="E3080" s="1" t="inlineStr">
        <is>
          <t>ADIDAS</t>
        </is>
      </c>
      <c r="F3080" s="1" t="inlineStr">
        <is>
          <t>SKORTS</t>
        </is>
      </c>
      <c r="G3080" s="1" t="inlineStr">
        <is>
          <t>GF20203001412XS</t>
        </is>
      </c>
      <c r="H3080" s="1" t="n">
        <v>7</v>
      </c>
      <c r="I3080" s="1" t="inlineStr">
        <is>
          <t>มี</t>
        </is>
      </c>
      <c r="J3080" s="13" t="n">
        <v>69</v>
      </c>
      <c r="K3080" s="1" t="inlineStr"/>
      <c r="L3080" s="13" t="n">
        <v>49</v>
      </c>
      <c r="M3080" s="1">
        <f>IF(L3080="","ไม่พบใน SG",IF(ABS(J3080-L3080)&lt;0.005,"ตรงกัน","ไม่ตรง"))</f>
        <v/>
      </c>
      <c r="N3080" s="14">
        <f>IF(L3080="","",ROUND(L3080*'สรุป'!$C$6,-1))</f>
        <v/>
      </c>
      <c r="O3080" s="15" t="n"/>
      <c r="P3080" s="15" t="n"/>
      <c r="Q3080" s="10" t="n"/>
      <c r="R3080" s="10" t="n"/>
      <c r="S3080" s="16" t="inlineStr">
        <is>
          <t>https://mstgolf.co.th/products/gf2020300141</t>
        </is>
      </c>
      <c r="T3080" s="1">
        <f>IF(B3080="ไม้กอล์ฟ",J3080,"")</f>
        <v/>
      </c>
    </row>
    <row r="3081">
      <c r="A3081" s="1" t="n">
        <v>3</v>
      </c>
      <c r="B3081" s="1" t="inlineStr">
        <is>
          <t>เสื้อผ้า</t>
        </is>
      </c>
      <c r="C3081" s="1" t="inlineStr">
        <is>
          <t>gf2020300142</t>
        </is>
      </c>
      <c r="D3081" s="1" t="inlineStr">
        <is>
          <t>ADIDAS Ultimate365 Tour Pleated Skort (Violet)</t>
        </is>
      </c>
      <c r="E3081" s="1" t="inlineStr">
        <is>
          <t>ADIDAS</t>
        </is>
      </c>
      <c r="F3081" s="1" t="inlineStr">
        <is>
          <t>SKORTS</t>
        </is>
      </c>
      <c r="G3081" s="1" t="inlineStr">
        <is>
          <t>GF20203001422XS</t>
        </is>
      </c>
      <c r="H3081" s="1" t="n">
        <v>7</v>
      </c>
      <c r="I3081" s="1" t="inlineStr">
        <is>
          <t>มี</t>
        </is>
      </c>
      <c r="J3081" s="13" t="n">
        <v>69</v>
      </c>
      <c r="K3081" s="1" t="inlineStr"/>
      <c r="L3081" s="13" t="n">
        <v>49</v>
      </c>
      <c r="M3081" s="1">
        <f>IF(L3081="","ไม่พบใน SG",IF(ABS(J3081-L3081)&lt;0.005,"ตรงกัน","ไม่ตรง"))</f>
        <v/>
      </c>
      <c r="N3081" s="14">
        <f>IF(L3081="","",ROUND(L3081*'สรุป'!$C$6,-1))</f>
        <v/>
      </c>
      <c r="O3081" s="15" t="n"/>
      <c r="P3081" s="15" t="n"/>
      <c r="Q3081" s="10" t="n"/>
      <c r="R3081" s="10" t="n"/>
      <c r="S3081" s="16" t="inlineStr">
        <is>
          <t>https://mstgolf.co.th/products/gf2020300142</t>
        </is>
      </c>
      <c r="T3081" s="1">
        <f>IF(B3081="ไม้กอล์ฟ",J3081,"")</f>
        <v/>
      </c>
    </row>
    <row r="3082">
      <c r="A3082" s="1" t="n">
        <v>3</v>
      </c>
      <c r="B3082" s="1" t="inlineStr">
        <is>
          <t>เสื้อผ้า</t>
        </is>
      </c>
      <c r="C3082" s="1" t="inlineStr">
        <is>
          <t>gf2020202526</t>
        </is>
      </c>
      <c r="D3082" s="1" t="inlineStr">
        <is>
          <t>ADIDAS Ultimate365 Tour Pleated Skort (White)</t>
        </is>
      </c>
      <c r="E3082" s="1" t="inlineStr">
        <is>
          <t>ADIDAS</t>
        </is>
      </c>
      <c r="F3082" s="1" t="inlineStr">
        <is>
          <t>SKORTS</t>
        </is>
      </c>
      <c r="G3082" s="1" t="inlineStr">
        <is>
          <t>GF20202025262XS</t>
        </is>
      </c>
      <c r="H3082" s="1" t="n">
        <v>7</v>
      </c>
      <c r="I3082" s="1" t="inlineStr">
        <is>
          <t>มี</t>
        </is>
      </c>
      <c r="J3082" s="13" t="n">
        <v>69</v>
      </c>
      <c r="K3082" s="1" t="inlineStr"/>
      <c r="L3082" s="13" t="n">
        <v>49</v>
      </c>
      <c r="M3082" s="1">
        <f>IF(L3082="","ไม่พบใน SG",IF(ABS(J3082-L3082)&lt;0.005,"ตรงกัน","ไม่ตรง"))</f>
        <v/>
      </c>
      <c r="N3082" s="14">
        <f>IF(L3082="","",ROUND(L3082*'สรุป'!$C$6,-1))</f>
        <v/>
      </c>
      <c r="O3082" s="15" t="n"/>
      <c r="P3082" s="15" t="n"/>
      <c r="Q3082" s="10" t="n"/>
      <c r="R3082" s="10" t="n"/>
      <c r="S3082" s="16" t="inlineStr">
        <is>
          <t>https://mstgolf.co.th/products/gf2020202526</t>
        </is>
      </c>
      <c r="T3082" s="1">
        <f>IF(B3082="ไม้กอล์ฟ",J3082,"")</f>
        <v/>
      </c>
    </row>
    <row r="3083">
      <c r="A3083" s="1" t="n">
        <v>3</v>
      </c>
      <c r="B3083" s="1" t="inlineStr">
        <is>
          <t>เสื้อผ้า</t>
        </is>
      </c>
      <c r="C3083" s="1" t="inlineStr">
        <is>
          <t>gf2020202213</t>
        </is>
      </c>
      <c r="D3083" s="1" t="inlineStr">
        <is>
          <t>ADIDAS Ultimate365 Tour Skort (Clay)</t>
        </is>
      </c>
      <c r="E3083" s="1" t="inlineStr">
        <is>
          <t>ADIDAS</t>
        </is>
      </c>
      <c r="F3083" s="1" t="inlineStr">
        <is>
          <t>SHORT PANTS</t>
        </is>
      </c>
      <c r="G3083" s="1" t="inlineStr">
        <is>
          <t>GF2020202213XS</t>
        </is>
      </c>
      <c r="H3083" s="1" t="n">
        <v>6</v>
      </c>
      <c r="I3083" s="1" t="inlineStr">
        <is>
          <t>มี</t>
        </is>
      </c>
      <c r="J3083" s="13" t="n">
        <v>69</v>
      </c>
      <c r="K3083" s="1" t="inlineStr"/>
      <c r="L3083" s="13" t="n">
        <v>69</v>
      </c>
      <c r="M3083" s="1">
        <f>IF(L3083="","ไม่พบใน SG",IF(ABS(J3083-L3083)&lt;0.005,"ตรงกัน","ไม่ตรง"))</f>
        <v/>
      </c>
      <c r="N3083" s="14">
        <f>IF(L3083="","",ROUND(L3083*'สรุป'!$C$6,-1))</f>
        <v/>
      </c>
      <c r="O3083" s="15" t="n"/>
      <c r="P3083" s="15" t="n"/>
      <c r="Q3083" s="10" t="n"/>
      <c r="R3083" s="10" t="n"/>
      <c r="S3083" s="16" t="inlineStr">
        <is>
          <t>https://mstgolf.co.th/products/gf2020202213</t>
        </is>
      </c>
      <c r="T3083" s="1">
        <f>IF(B3083="ไม้กอล์ฟ",J3083,"")</f>
        <v/>
      </c>
    </row>
    <row r="3084">
      <c r="A3084" s="1" t="n">
        <v>3</v>
      </c>
      <c r="B3084" s="1" t="inlineStr">
        <is>
          <t>เสื้อผ้า</t>
        </is>
      </c>
      <c r="C3084" s="1" t="inlineStr">
        <is>
          <t>gf2040120568</t>
        </is>
      </c>
      <c r="D3084" s="1" t="inlineStr">
        <is>
          <t>ADIDAS Ultimate365 Tour Twistknit Women's Polo (Aurora)</t>
        </is>
      </c>
      <c r="E3084" s="1" t="inlineStr">
        <is>
          <t>ADIDAS</t>
        </is>
      </c>
      <c r="F3084" s="1" t="inlineStr">
        <is>
          <t>SHORT SLEEVES</t>
        </is>
      </c>
      <c r="G3084" s="1" t="inlineStr">
        <is>
          <t>GF20401205682XS</t>
        </is>
      </c>
      <c r="H3084" s="1" t="n">
        <v>7</v>
      </c>
      <c r="I3084" s="1" t="inlineStr">
        <is>
          <t>มี</t>
        </is>
      </c>
      <c r="J3084" s="13" t="n">
        <v>69</v>
      </c>
      <c r="K3084" s="1" t="inlineStr"/>
      <c r="L3084" s="13" t="n">
        <v>49</v>
      </c>
      <c r="M3084" s="1">
        <f>IF(L3084="","ไม่พบใน SG",IF(ABS(J3084-L3084)&lt;0.005,"ตรงกัน","ไม่ตรง"))</f>
        <v/>
      </c>
      <c r="N3084" s="14">
        <f>IF(L3084="","",ROUND(L3084*'สรุป'!$C$6,-1))</f>
        <v/>
      </c>
      <c r="O3084" s="15" t="n"/>
      <c r="P3084" s="15" t="n"/>
      <c r="Q3084" s="10" t="n"/>
      <c r="R3084" s="10" t="n"/>
      <c r="S3084" s="16" t="inlineStr">
        <is>
          <t>https://mstgolf.co.th/products/gf2040120568</t>
        </is>
      </c>
      <c r="T3084" s="1">
        <f>IF(B3084="ไม้กอล์ฟ",J3084,"")</f>
        <v/>
      </c>
    </row>
    <row r="3085">
      <c r="A3085" s="1" t="n">
        <v>3</v>
      </c>
      <c r="B3085" s="1" t="inlineStr">
        <is>
          <t>เสื้อผ้า</t>
        </is>
      </c>
      <c r="C3085" s="1" t="inlineStr">
        <is>
          <t>gf2040120569</t>
        </is>
      </c>
      <c r="D3085" s="1" t="inlineStr">
        <is>
          <t>ADIDAS Ultimate365 Tour Twistknit Women's Polo (Green)</t>
        </is>
      </c>
      <c r="E3085" s="1" t="inlineStr">
        <is>
          <t>ADIDAS</t>
        </is>
      </c>
      <c r="F3085" s="1" t="inlineStr">
        <is>
          <t>SHORT SLEEVES</t>
        </is>
      </c>
      <c r="G3085" s="1" t="inlineStr">
        <is>
          <t>GF20401205692XS</t>
        </is>
      </c>
      <c r="H3085" s="1" t="n">
        <v>7</v>
      </c>
      <c r="I3085" s="1" t="inlineStr">
        <is>
          <t>มี</t>
        </is>
      </c>
      <c r="J3085" s="13" t="n">
        <v>69</v>
      </c>
      <c r="K3085" s="1" t="inlineStr"/>
      <c r="L3085" s="13" t="n">
        <v>69</v>
      </c>
      <c r="M3085" s="1">
        <f>IF(L3085="","ไม่พบใน SG",IF(ABS(J3085-L3085)&lt;0.005,"ตรงกัน","ไม่ตรง"))</f>
        <v/>
      </c>
      <c r="N3085" s="14">
        <f>IF(L3085="","",ROUND(L3085*'สรุป'!$C$6,-1))</f>
        <v/>
      </c>
      <c r="O3085" s="15" t="n"/>
      <c r="P3085" s="15" t="n"/>
      <c r="Q3085" s="10" t="n"/>
      <c r="R3085" s="10" t="n"/>
      <c r="S3085" s="16" t="inlineStr">
        <is>
          <t>https://mstgolf.co.th/products/gf2040120569</t>
        </is>
      </c>
      <c r="T3085" s="1">
        <f>IF(B3085="ไม้กอล์ฟ",J3085,"")</f>
        <v/>
      </c>
    </row>
    <row r="3086">
      <c r="A3086" s="1" t="n">
        <v>3</v>
      </c>
      <c r="B3086" s="1" t="inlineStr">
        <is>
          <t>เสื้อผ้า</t>
        </is>
      </c>
      <c r="C3086" s="1" t="inlineStr">
        <is>
          <t>gf2020600046</t>
        </is>
      </c>
      <c r="D3086" s="1" t="inlineStr">
        <is>
          <t>CALVIN KLEIN Cyrus Women's Leggings (Black)</t>
        </is>
      </c>
      <c r="E3086" s="1" t="inlineStr">
        <is>
          <t>CALVIN KLEIN</t>
        </is>
      </c>
      <c r="F3086" s="1" t="inlineStr">
        <is>
          <t>TIGHTS</t>
        </is>
      </c>
      <c r="G3086" s="1" t="inlineStr">
        <is>
          <t>GF2020600046S</t>
        </is>
      </c>
      <c r="H3086" s="1" t="n">
        <v>5</v>
      </c>
      <c r="I3086" s="1" t="inlineStr">
        <is>
          <t>มี</t>
        </is>
      </c>
      <c r="J3086" s="13" t="n">
        <v>69</v>
      </c>
      <c r="K3086" s="1" t="inlineStr"/>
      <c r="L3086" s="13" t="n">
        <v>69</v>
      </c>
      <c r="M3086" s="1">
        <f>IF(L3086="","ไม่พบใน SG",IF(ABS(J3086-L3086)&lt;0.005,"ตรงกัน","ไม่ตรง"))</f>
        <v/>
      </c>
      <c r="N3086" s="14">
        <f>IF(L3086="","",ROUND(L3086*'สรุป'!$C$6,-1))</f>
        <v/>
      </c>
      <c r="O3086" s="15" t="n"/>
      <c r="P3086" s="15" t="n"/>
      <c r="Q3086" s="10" t="n"/>
      <c r="R3086" s="10" t="n"/>
      <c r="S3086" s="16" t="inlineStr">
        <is>
          <t>https://mstgolf.co.th/products/gf2020600046</t>
        </is>
      </c>
      <c r="T3086" s="1">
        <f>IF(B3086="ไม้กอล์ฟ",J3086,"")</f>
        <v/>
      </c>
    </row>
    <row r="3087">
      <c r="A3087" s="1" t="n">
        <v>3</v>
      </c>
      <c r="B3087" s="1" t="inlineStr">
        <is>
          <t>เสื้อผ้า</t>
        </is>
      </c>
      <c r="C3087" s="1" t="inlineStr">
        <is>
          <t>gf2040117528</t>
        </is>
      </c>
      <c r="D3087" s="1" t="inlineStr">
        <is>
          <t>CALVIN KLEIN Dayton Women's Polo (Peach Cobbler)</t>
        </is>
      </c>
      <c r="E3087" s="1" t="inlineStr">
        <is>
          <t>CALVIN KLEIN</t>
        </is>
      </c>
      <c r="F3087" s="1" t="inlineStr">
        <is>
          <t>SHORT SLEEVES</t>
        </is>
      </c>
      <c r="G3087" s="1" t="inlineStr">
        <is>
          <t>GF20401175288</t>
        </is>
      </c>
      <c r="H3087" s="1" t="n">
        <v>6</v>
      </c>
      <c r="I3087" s="1" t="inlineStr">
        <is>
          <t>มี</t>
        </is>
      </c>
      <c r="J3087" s="13" t="n">
        <v>69</v>
      </c>
      <c r="K3087" s="1" t="inlineStr"/>
      <c r="L3087" s="13" t="n">
        <v>39</v>
      </c>
      <c r="M3087" s="1">
        <f>IF(L3087="","ไม่พบใน SG",IF(ABS(J3087-L3087)&lt;0.005,"ตรงกัน","ไม่ตรง"))</f>
        <v/>
      </c>
      <c r="N3087" s="14">
        <f>IF(L3087="","",ROUND(L3087*'สรุป'!$C$6,-1))</f>
        <v/>
      </c>
      <c r="O3087" s="15" t="n"/>
      <c r="P3087" s="15" t="n"/>
      <c r="Q3087" s="10" t="n"/>
      <c r="R3087" s="10" t="n"/>
      <c r="S3087" s="16" t="inlineStr">
        <is>
          <t>https://mstgolf.co.th/products/gf2040117528</t>
        </is>
      </c>
      <c r="T3087" s="1">
        <f>IF(B3087="ไม้กอล์ฟ",J3087,"")</f>
        <v/>
      </c>
    </row>
    <row r="3088">
      <c r="A3088" s="1" t="n">
        <v>3</v>
      </c>
      <c r="B3088" s="1" t="inlineStr">
        <is>
          <t>เสื้อผ้า</t>
        </is>
      </c>
      <c r="C3088" s="1" t="inlineStr">
        <is>
          <t>gf2040118641</t>
        </is>
      </c>
      <c r="D3088" s="1" t="inlineStr">
        <is>
          <t>CALVIN KLEIN Georgetown Men's Polo (Sand Marl)</t>
        </is>
      </c>
      <c r="E3088" s="1" t="inlineStr">
        <is>
          <t>CALVIN KLEIN</t>
        </is>
      </c>
      <c r="F3088" s="1" t="inlineStr">
        <is>
          <t>SHORT SLEEVES</t>
        </is>
      </c>
      <c r="G3088" s="1" t="inlineStr">
        <is>
          <t>GF2040118641S</t>
        </is>
      </c>
      <c r="H3088" s="1" t="n">
        <v>5</v>
      </c>
      <c r="I3088" s="1" t="inlineStr">
        <is>
          <t>มี</t>
        </is>
      </c>
      <c r="J3088" s="13" t="n">
        <v>69</v>
      </c>
      <c r="K3088" s="1" t="inlineStr"/>
      <c r="L3088" s="13" t="n">
        <v>69</v>
      </c>
      <c r="M3088" s="1">
        <f>IF(L3088="","ไม่พบใน SG",IF(ABS(J3088-L3088)&lt;0.005,"ตรงกัน","ไม่ตรง"))</f>
        <v/>
      </c>
      <c r="N3088" s="14">
        <f>IF(L3088="","",ROUND(L3088*'สรุป'!$C$6,-1))</f>
        <v/>
      </c>
      <c r="O3088" s="15" t="n"/>
      <c r="P3088" s="15" t="n"/>
      <c r="Q3088" s="10" t="n"/>
      <c r="R3088" s="10" t="n"/>
      <c r="S3088" s="16" t="inlineStr">
        <is>
          <t>https://mstgolf.co.th/products/gf2040118641</t>
        </is>
      </c>
      <c r="T3088" s="1">
        <f>IF(B3088="ไม้กอล์ฟ",J3088,"")</f>
        <v/>
      </c>
    </row>
    <row r="3089">
      <c r="A3089" s="1" t="n">
        <v>3</v>
      </c>
      <c r="B3089" s="1" t="inlineStr">
        <is>
          <t>เสื้อผ้า</t>
        </is>
      </c>
      <c r="C3089" s="1" t="inlineStr">
        <is>
          <t>gf2040300145</t>
        </is>
      </c>
      <c r="D3089" s="1" t="inlineStr">
        <is>
          <t>CALVIN KLEIN Monroe Dress (Navy)</t>
        </is>
      </c>
      <c r="E3089" s="1" t="inlineStr">
        <is>
          <t>CALVIN KLEIN</t>
        </is>
      </c>
      <c r="F3089" s="1" t="inlineStr">
        <is>
          <t>DRESS</t>
        </is>
      </c>
      <c r="G3089" s="1" t="inlineStr">
        <is>
          <t>GF20403001458</t>
        </is>
      </c>
      <c r="H3089" s="1" t="n">
        <v>5</v>
      </c>
      <c r="I3089" s="1" t="inlineStr">
        <is>
          <t>มี</t>
        </is>
      </c>
      <c r="J3089" s="13" t="n">
        <v>69</v>
      </c>
      <c r="K3089" s="1" t="inlineStr"/>
      <c r="L3089" s="13" t="n">
        <v>49</v>
      </c>
      <c r="M3089" s="1">
        <f>IF(L3089="","ไม่พบใน SG",IF(ABS(J3089-L3089)&lt;0.005,"ตรงกัน","ไม่ตรง"))</f>
        <v/>
      </c>
      <c r="N3089" s="14">
        <f>IF(L3089="","",ROUND(L3089*'สรุป'!$C$6,-1))</f>
        <v/>
      </c>
      <c r="O3089" s="15" t="n"/>
      <c r="P3089" s="15" t="n"/>
      <c r="Q3089" s="10" t="n"/>
      <c r="R3089" s="10" t="n"/>
      <c r="S3089" s="16" t="inlineStr">
        <is>
          <t>https://mstgolf.co.th/products/gf2040300145</t>
        </is>
      </c>
      <c r="T3089" s="1">
        <f>IF(B3089="ไม้กอล์ฟ",J3089,"")</f>
        <v/>
      </c>
    </row>
    <row r="3090">
      <c r="A3090" s="1" t="n">
        <v>3</v>
      </c>
      <c r="B3090" s="1" t="inlineStr">
        <is>
          <t>เสื้อผ้า</t>
        </is>
      </c>
      <c r="C3090" s="1" t="inlineStr">
        <is>
          <t>gf2040118642</t>
        </is>
      </c>
      <c r="D3090" s="1" t="inlineStr">
        <is>
          <t>CALVIN KLEIN Textured Slate Men's Polo (Evening Blue)</t>
        </is>
      </c>
      <c r="E3090" s="1" t="inlineStr">
        <is>
          <t>CALVIN KLEIN</t>
        </is>
      </c>
      <c r="F3090" s="1" t="inlineStr">
        <is>
          <t>SHORT SLEEVES</t>
        </is>
      </c>
      <c r="G3090" s="1" t="inlineStr">
        <is>
          <t>GF2040118642S</t>
        </is>
      </c>
      <c r="H3090" s="1" t="n">
        <v>5</v>
      </c>
      <c r="I3090" s="1" t="inlineStr">
        <is>
          <t>มี</t>
        </is>
      </c>
      <c r="J3090" s="13" t="n">
        <v>69</v>
      </c>
      <c r="K3090" s="1" t="inlineStr"/>
      <c r="L3090" s="13" t="n">
        <v>49</v>
      </c>
      <c r="M3090" s="1">
        <f>IF(L3090="","ไม่พบใน SG",IF(ABS(J3090-L3090)&lt;0.005,"ตรงกัน","ไม่ตรง"))</f>
        <v/>
      </c>
      <c r="N3090" s="14">
        <f>IF(L3090="","",ROUND(L3090*'สรุป'!$C$6,-1))</f>
        <v/>
      </c>
      <c r="O3090" s="15" t="n"/>
      <c r="P3090" s="15" t="n"/>
      <c r="Q3090" s="10" t="n"/>
      <c r="R3090" s="10" t="n"/>
      <c r="S3090" s="16" t="inlineStr">
        <is>
          <t>https://mstgolf.co.th/products/gf2040118642</t>
        </is>
      </c>
      <c r="T3090" s="1">
        <f>IF(B3090="ไม้กอล์ฟ",J3090,"")</f>
        <v/>
      </c>
    </row>
    <row r="3091">
      <c r="A3091" s="1" t="n">
        <v>3</v>
      </c>
      <c r="B3091" s="1" t="inlineStr">
        <is>
          <t>เสื้อผ้า</t>
        </is>
      </c>
      <c r="C3091" s="1" t="inlineStr">
        <is>
          <t>gf2020201947</t>
        </is>
      </c>
      <c r="D3091" s="1" t="inlineStr">
        <is>
          <t>CUTTER &amp; BUCK Bainbridge Men's Shorts (Black)</t>
        </is>
      </c>
      <c r="E3091" s="1" t="inlineStr">
        <is>
          <t>CUTTER &amp; BUCK</t>
        </is>
      </c>
      <c r="F3091" s="1" t="inlineStr">
        <is>
          <t>SHORT PANTS</t>
        </is>
      </c>
      <c r="G3091" s="1" t="inlineStr">
        <is>
          <t>GF202020194728</t>
        </is>
      </c>
      <c r="H3091" s="1" t="n">
        <v>7</v>
      </c>
      <c r="I3091" s="1" t="inlineStr">
        <is>
          <t>มี</t>
        </is>
      </c>
      <c r="J3091" s="13" t="n">
        <v>69</v>
      </c>
      <c r="K3091" s="1" t="inlineStr"/>
      <c r="L3091" s="13" t="n">
        <v>69</v>
      </c>
      <c r="M3091" s="1">
        <f>IF(L3091="","ไม่พบใน SG",IF(ABS(J3091-L3091)&lt;0.005,"ตรงกัน","ไม่ตรง"))</f>
        <v/>
      </c>
      <c r="N3091" s="14">
        <f>IF(L3091="","",ROUND(L3091*'สรุป'!$C$6,-1))</f>
        <v/>
      </c>
      <c r="O3091" s="15" t="n"/>
      <c r="P3091" s="15" t="n"/>
      <c r="Q3091" s="10" t="n"/>
      <c r="R3091" s="10" t="n"/>
      <c r="S3091" s="16" t="inlineStr">
        <is>
          <t>https://mstgolf.co.th/products/gf2020201947</t>
        </is>
      </c>
      <c r="T3091" s="1">
        <f>IF(B3091="ไม้กอล์ฟ",J3091,"")</f>
        <v/>
      </c>
    </row>
    <row r="3092">
      <c r="A3092" s="1" t="n">
        <v>3</v>
      </c>
      <c r="B3092" s="1" t="inlineStr">
        <is>
          <t>เสื้อผ้า</t>
        </is>
      </c>
      <c r="C3092" s="1" t="inlineStr">
        <is>
          <t>gf2020201949</t>
        </is>
      </c>
      <c r="D3092" s="1" t="inlineStr">
        <is>
          <t>CUTTER &amp; BUCK Bainbridge Men's Shorts (Iron)</t>
        </is>
      </c>
      <c r="E3092" s="1" t="inlineStr">
        <is>
          <t>CUTTER &amp; BUCK</t>
        </is>
      </c>
      <c r="F3092" s="1" t="inlineStr">
        <is>
          <t>SHORT PANTS</t>
        </is>
      </c>
      <c r="G3092" s="1" t="inlineStr">
        <is>
          <t>GF202020194928</t>
        </is>
      </c>
      <c r="H3092" s="1" t="n">
        <v>8</v>
      </c>
      <c r="I3092" s="1" t="inlineStr">
        <is>
          <t>มี</t>
        </is>
      </c>
      <c r="J3092" s="13" t="n">
        <v>69</v>
      </c>
      <c r="K3092" s="1" t="inlineStr"/>
      <c r="L3092" s="13" t="n">
        <v>69</v>
      </c>
      <c r="M3092" s="1">
        <f>IF(L3092="","ไม่พบใน SG",IF(ABS(J3092-L3092)&lt;0.005,"ตรงกัน","ไม่ตรง"))</f>
        <v/>
      </c>
      <c r="N3092" s="14">
        <f>IF(L3092="","",ROUND(L3092*'สรุป'!$C$6,-1))</f>
        <v/>
      </c>
      <c r="O3092" s="15" t="n"/>
      <c r="P3092" s="15" t="n"/>
      <c r="Q3092" s="10" t="n"/>
      <c r="R3092" s="10" t="n"/>
      <c r="S3092" s="16" t="inlineStr">
        <is>
          <t>https://mstgolf.co.th/products/gf2020201949</t>
        </is>
      </c>
      <c r="T3092" s="1">
        <f>IF(B3092="ไม้กอล์ฟ",J3092,"")</f>
        <v/>
      </c>
    </row>
    <row r="3093">
      <c r="A3093" s="1" t="n">
        <v>3</v>
      </c>
      <c r="B3093" s="1" t="inlineStr">
        <is>
          <t>เสื้อผ้า</t>
        </is>
      </c>
      <c r="C3093" s="1" t="inlineStr">
        <is>
          <t>gf2020201948</t>
        </is>
      </c>
      <c r="D3093" s="1" t="inlineStr">
        <is>
          <t>CUTTER &amp; BUCK Brainbridge Men's Shorts (Castle)</t>
        </is>
      </c>
      <c r="E3093" s="1" t="inlineStr">
        <is>
          <t>CUTTER &amp; BUCK</t>
        </is>
      </c>
      <c r="F3093" s="1" t="inlineStr">
        <is>
          <t>SHORT PANTS</t>
        </is>
      </c>
      <c r="G3093" s="1" t="inlineStr">
        <is>
          <t>GF202020194828</t>
        </is>
      </c>
      <c r="H3093" s="1" t="n">
        <v>8</v>
      </c>
      <c r="I3093" s="1" t="inlineStr">
        <is>
          <t>มี</t>
        </is>
      </c>
      <c r="J3093" s="13" t="n">
        <v>69</v>
      </c>
      <c r="K3093" s="1" t="inlineStr"/>
      <c r="L3093" s="13" t="n">
        <v>69</v>
      </c>
      <c r="M3093" s="1">
        <f>IF(L3093="","ไม่พบใน SG",IF(ABS(J3093-L3093)&lt;0.005,"ตรงกัน","ไม่ตรง"))</f>
        <v/>
      </c>
      <c r="N3093" s="14">
        <f>IF(L3093="","",ROUND(L3093*'สรุป'!$C$6,-1))</f>
        <v/>
      </c>
      <c r="O3093" s="15" t="n"/>
      <c r="P3093" s="15" t="n"/>
      <c r="Q3093" s="10" t="n"/>
      <c r="R3093" s="10" t="n"/>
      <c r="S3093" s="16" t="inlineStr">
        <is>
          <t>https://mstgolf.co.th/products/gf2020201948</t>
        </is>
      </c>
      <c r="T3093" s="1">
        <f>IF(B3093="ไม้กอล์ฟ",J3093,"")</f>
        <v/>
      </c>
    </row>
    <row r="3094">
      <c r="A3094" s="1" t="n">
        <v>3</v>
      </c>
      <c r="B3094" s="1" t="inlineStr">
        <is>
          <t>เสื้อผ้า</t>
        </is>
      </c>
      <c r="C3094" s="1" t="inlineStr">
        <is>
          <t>gf2040119614</t>
        </is>
      </c>
      <c r="D3094" s="1" t="inlineStr">
        <is>
          <t>FOOTJOY Figure Print Lisle Men's Polo (Green)</t>
        </is>
      </c>
      <c r="E3094" s="1" t="inlineStr">
        <is>
          <t>FOOTJOY</t>
        </is>
      </c>
      <c r="F3094" s="1" t="inlineStr">
        <is>
          <t>SHORT SLEEVES</t>
        </is>
      </c>
      <c r="G3094" s="1" t="inlineStr">
        <is>
          <t>GF2040119614S</t>
        </is>
      </c>
      <c r="H3094" s="1" t="n">
        <v>5</v>
      </c>
      <c r="I3094" s="1" t="inlineStr">
        <is>
          <t>มี</t>
        </is>
      </c>
      <c r="J3094" s="13" t="n">
        <v>69</v>
      </c>
      <c r="K3094" s="1" t="inlineStr"/>
      <c r="L3094" s="13" t="n">
        <v>69</v>
      </c>
      <c r="M3094" s="1">
        <f>IF(L3094="","ไม่พบใน SG",IF(ABS(J3094-L3094)&lt;0.005,"ตรงกัน","ไม่ตรง"))</f>
        <v/>
      </c>
      <c r="N3094" s="14">
        <f>IF(L3094="","",ROUND(L3094*'สรุป'!$C$6,-1))</f>
        <v/>
      </c>
      <c r="O3094" s="15" t="n"/>
      <c r="P3094" s="15" t="n"/>
      <c r="Q3094" s="10" t="n"/>
      <c r="R3094" s="10" t="n"/>
      <c r="S3094" s="16" t="inlineStr">
        <is>
          <t>https://mstgolf.co.th/products/gf2040119614</t>
        </is>
      </c>
      <c r="T3094" s="1">
        <f>IF(B3094="ไม้กอล์ฟ",J3094,"")</f>
        <v/>
      </c>
    </row>
    <row r="3095">
      <c r="A3095" s="1" t="n">
        <v>3</v>
      </c>
      <c r="B3095" s="1" t="inlineStr">
        <is>
          <t>เสื้อผ้า</t>
        </is>
      </c>
      <c r="C3095" s="1" t="inlineStr">
        <is>
          <t>gf2040115900</t>
        </is>
      </c>
      <c r="D3095" s="1" t="inlineStr">
        <is>
          <t>FOOTJOY Japan Deboss Men's FJ Polo (Yellow)</t>
        </is>
      </c>
      <c r="E3095" s="1" t="inlineStr">
        <is>
          <t>FOOTJOY</t>
        </is>
      </c>
      <c r="F3095" s="1" t="inlineStr">
        <is>
          <t>SHORT SLEEVES</t>
        </is>
      </c>
      <c r="G3095" s="1" t="inlineStr">
        <is>
          <t>GF2040115900S</t>
        </is>
      </c>
      <c r="H3095" s="1" t="n">
        <v>5</v>
      </c>
      <c r="I3095" s="1" t="inlineStr">
        <is>
          <t>มี</t>
        </is>
      </c>
      <c r="J3095" s="13" t="n">
        <v>69</v>
      </c>
      <c r="K3095" s="1" t="inlineStr"/>
      <c r="L3095" s="13" t="n">
        <v>69</v>
      </c>
      <c r="M3095" s="1">
        <f>IF(L3095="","ไม่พบใน SG",IF(ABS(J3095-L3095)&lt;0.005,"ตรงกัน","ไม่ตรง"))</f>
        <v/>
      </c>
      <c r="N3095" s="14">
        <f>IF(L3095="","",ROUND(L3095*'สรุป'!$C$6,-1))</f>
        <v/>
      </c>
      <c r="O3095" s="15" t="n"/>
      <c r="P3095" s="15" t="n"/>
      <c r="Q3095" s="10" t="n"/>
      <c r="R3095" s="10" t="n"/>
      <c r="S3095" s="16" t="inlineStr">
        <is>
          <t>https://mstgolf.co.th/products/gf2040115900</t>
        </is>
      </c>
      <c r="T3095" s="1">
        <f>IF(B3095="ไม้กอล์ฟ",J3095,"")</f>
        <v/>
      </c>
    </row>
    <row r="3096">
      <c r="A3096" s="1" t="n">
        <v>3</v>
      </c>
      <c r="B3096" s="1" t="inlineStr">
        <is>
          <t>เสื้อผ้า</t>
        </is>
      </c>
      <c r="C3096" s="1" t="inlineStr">
        <is>
          <t>gf2040115904</t>
        </is>
      </c>
      <c r="D3096" s="1" t="inlineStr">
        <is>
          <t>FOOTJOY Jp Trees Men's Jacquard Polo (Sand)</t>
        </is>
      </c>
      <c r="E3096" s="1" t="inlineStr">
        <is>
          <t>FOOTJOY</t>
        </is>
      </c>
      <c r="F3096" s="1" t="inlineStr">
        <is>
          <t>SHORT SLEEVES</t>
        </is>
      </c>
      <c r="G3096" s="1" t="inlineStr">
        <is>
          <t>GF2040115904S</t>
        </is>
      </c>
      <c r="H3096" s="1" t="n">
        <v>5</v>
      </c>
      <c r="I3096" s="1" t="inlineStr">
        <is>
          <t>มี</t>
        </is>
      </c>
      <c r="J3096" s="13" t="n">
        <v>69</v>
      </c>
      <c r="K3096" s="1" t="inlineStr"/>
      <c r="L3096" s="13" t="n">
        <v>69</v>
      </c>
      <c r="M3096" s="1">
        <f>IF(L3096="","ไม่พบใน SG",IF(ABS(J3096-L3096)&lt;0.005,"ตรงกัน","ไม่ตรง"))</f>
        <v/>
      </c>
      <c r="N3096" s="14">
        <f>IF(L3096="","",ROUND(L3096*'สรุป'!$C$6,-1))</f>
        <v/>
      </c>
      <c r="O3096" s="15" t="n"/>
      <c r="P3096" s="15" t="n"/>
      <c r="Q3096" s="10" t="n"/>
      <c r="R3096" s="10" t="n"/>
      <c r="S3096" s="16" t="inlineStr">
        <is>
          <t>https://mstgolf.co.th/products/gf2040115904</t>
        </is>
      </c>
      <c r="T3096" s="1">
        <f>IF(B3096="ไม้กอล์ฟ",J3096,"")</f>
        <v/>
      </c>
    </row>
    <row r="3097">
      <c r="A3097" s="1" t="n">
        <v>3</v>
      </c>
      <c r="B3097" s="1" t="inlineStr">
        <is>
          <t>เสื้อผ้า</t>
        </is>
      </c>
      <c r="C3097" s="1" t="inlineStr">
        <is>
          <t>gf2020600047</t>
        </is>
      </c>
      <c r="D3097" s="1" t="inlineStr">
        <is>
          <t>FOOTJOY Rib Block Women's Legging (Black)</t>
        </is>
      </c>
      <c r="E3097" s="1" t="inlineStr">
        <is>
          <t>FOOTJOY</t>
        </is>
      </c>
      <c r="F3097" s="1" t="inlineStr">
        <is>
          <t>TIGHTS</t>
        </is>
      </c>
      <c r="G3097" s="1" t="inlineStr">
        <is>
          <t>GF2020600047XS</t>
        </is>
      </c>
      <c r="H3097" s="1" t="n">
        <v>5</v>
      </c>
      <c r="I3097" s="1" t="inlineStr">
        <is>
          <t>มี</t>
        </is>
      </c>
      <c r="J3097" s="13" t="n">
        <v>69</v>
      </c>
      <c r="K3097" s="1" t="inlineStr"/>
      <c r="L3097" s="13" t="n">
        <v>69</v>
      </c>
      <c r="M3097" s="1">
        <f>IF(L3097="","ไม่พบใน SG",IF(ABS(J3097-L3097)&lt;0.005,"ตรงกัน","ไม่ตรง"))</f>
        <v/>
      </c>
      <c r="N3097" s="14">
        <f>IF(L3097="","",ROUND(L3097*'สรุป'!$C$6,-1))</f>
        <v/>
      </c>
      <c r="O3097" s="15" t="n"/>
      <c r="P3097" s="15" t="n"/>
      <c r="Q3097" s="10" t="n"/>
      <c r="R3097" s="10" t="n"/>
      <c r="S3097" s="16" t="inlineStr">
        <is>
          <t>https://mstgolf.co.th/products/gf2020600047</t>
        </is>
      </c>
      <c r="T3097" s="1">
        <f>IF(B3097="ไม้กอล์ฟ",J3097,"")</f>
        <v/>
      </c>
    </row>
    <row r="3098">
      <c r="A3098" s="1" t="n">
        <v>3</v>
      </c>
      <c r="B3098" s="1" t="inlineStr">
        <is>
          <t>เสื้อผ้า</t>
        </is>
      </c>
      <c r="C3098" s="1" t="inlineStr">
        <is>
          <t>gf2040119678</t>
        </is>
      </c>
      <c r="D3098" s="1" t="inlineStr">
        <is>
          <t>FOOTJOY Tipped Collar Women's Polo (Pink)</t>
        </is>
      </c>
      <c r="E3098" s="1" t="inlineStr">
        <is>
          <t>FOOTJOY</t>
        </is>
      </c>
      <c r="F3098" s="1" t="inlineStr">
        <is>
          <t>SHORT SLEEVES</t>
        </is>
      </c>
      <c r="G3098" s="1" t="inlineStr">
        <is>
          <t>GF2040119678XS</t>
        </is>
      </c>
      <c r="H3098" s="1" t="n">
        <v>6</v>
      </c>
      <c r="I3098" s="1" t="inlineStr">
        <is>
          <t>มี</t>
        </is>
      </c>
      <c r="J3098" s="13" t="n">
        <v>69</v>
      </c>
      <c r="K3098" s="1" t="inlineStr"/>
      <c r="L3098" s="13" t="n">
        <v>59</v>
      </c>
      <c r="M3098" s="1">
        <f>IF(L3098="","ไม่พบใน SG",IF(ABS(J3098-L3098)&lt;0.005,"ตรงกัน","ไม่ตรง"))</f>
        <v/>
      </c>
      <c r="N3098" s="14">
        <f>IF(L3098="","",ROUND(L3098*'สรุป'!$C$6,-1))</f>
        <v/>
      </c>
      <c r="O3098" s="15" t="n"/>
      <c r="P3098" s="15" t="n"/>
      <c r="Q3098" s="10" t="n"/>
      <c r="R3098" s="10" t="n"/>
      <c r="S3098" s="16" t="inlineStr">
        <is>
          <t>https://mstgolf.co.th/products/gf2040119678</t>
        </is>
      </c>
      <c r="T3098" s="1">
        <f>IF(B3098="ไม้กอล์ฟ",J3098,"")</f>
        <v/>
      </c>
    </row>
    <row r="3099">
      <c r="A3099" s="1" t="n">
        <v>3</v>
      </c>
      <c r="B3099" s="1" t="inlineStr">
        <is>
          <t>เสื้อผ้า</t>
        </is>
      </c>
      <c r="C3099" s="1" t="inlineStr">
        <is>
          <t>gf2020202189</t>
        </is>
      </c>
      <c r="D3099" s="1" t="inlineStr">
        <is>
          <t>FOOTJOY Women's Shorts (White)</t>
        </is>
      </c>
      <c r="E3099" s="1" t="inlineStr">
        <is>
          <t>FOOTJOY</t>
        </is>
      </c>
      <c r="F3099" s="1" t="inlineStr">
        <is>
          <t>SHORT PANTS</t>
        </is>
      </c>
      <c r="G3099" s="1" t="inlineStr">
        <is>
          <t>GF2020202189XS</t>
        </is>
      </c>
      <c r="H3099" s="1" t="n">
        <v>5</v>
      </c>
      <c r="I3099" s="1" t="inlineStr">
        <is>
          <t>มี</t>
        </is>
      </c>
      <c r="J3099" s="13" t="n">
        <v>69</v>
      </c>
      <c r="K3099" s="1" t="inlineStr"/>
      <c r="L3099" s="13" t="n">
        <v>69</v>
      </c>
      <c r="M3099" s="1">
        <f>IF(L3099="","ไม่พบใน SG",IF(ABS(J3099-L3099)&lt;0.005,"ตรงกัน","ไม่ตรง"))</f>
        <v/>
      </c>
      <c r="N3099" s="14">
        <f>IF(L3099="","",ROUND(L3099*'สรุป'!$C$6,-1))</f>
        <v/>
      </c>
      <c r="O3099" s="15" t="n"/>
      <c r="P3099" s="15" t="n"/>
      <c r="Q3099" s="10" t="n"/>
      <c r="R3099" s="10" t="n"/>
      <c r="S3099" s="16" t="inlineStr">
        <is>
          <t>https://mstgolf.co.th/products/gf2020202189</t>
        </is>
      </c>
      <c r="T3099" s="1">
        <f>IF(B3099="ไม้กอล์ฟ",J3099,"")</f>
        <v/>
      </c>
    </row>
    <row r="3100">
      <c r="A3100" s="1" t="n">
        <v>3</v>
      </c>
      <c r="B3100" s="1" t="inlineStr">
        <is>
          <t>อุปกรณ์เสริม</t>
        </is>
      </c>
      <c r="C3100" s="1" t="inlineStr">
        <is>
          <t>gf3500201644</t>
        </is>
      </c>
      <c r="D3100" s="1" t="inlineStr">
        <is>
          <t>GENERAL ITEM Barudan American Football Iron Headcover (10pcs)</t>
        </is>
      </c>
      <c r="E3100" s="1" t="inlineStr">
        <is>
          <t>GENERAL ITEM</t>
        </is>
      </c>
      <c r="F3100" s="1" t="inlineStr">
        <is>
          <t>HEADCOVERS</t>
        </is>
      </c>
      <c r="G3100" s="1" t="inlineStr">
        <is>
          <t>GF3500201644</t>
        </is>
      </c>
      <c r="H3100" s="1" t="n">
        <v>1</v>
      </c>
      <c r="I3100" s="1" t="inlineStr">
        <is>
          <t>มี</t>
        </is>
      </c>
      <c r="J3100" s="13" t="n">
        <v>69</v>
      </c>
      <c r="K3100" s="1" t="inlineStr"/>
      <c r="L3100" s="13" t="n">
        <v>69</v>
      </c>
      <c r="M3100" s="1">
        <f>IF(L3100="","ไม่พบใน SG",IF(ABS(J3100-L3100)&lt;0.005,"ตรงกัน","ไม่ตรง"))</f>
        <v/>
      </c>
      <c r="N3100" s="14">
        <f>IF(L3100="","",ROUND(L3100*'สรุป'!$C$6,-1))</f>
        <v/>
      </c>
      <c r="O3100" s="15" t="n"/>
      <c r="P3100" s="15" t="n"/>
      <c r="Q3100" s="10" t="n"/>
      <c r="R3100" s="10" t="n"/>
      <c r="S3100" s="16" t="inlineStr">
        <is>
          <t>https://mstgolf.co.th/products/gf3500201644</t>
        </is>
      </c>
      <c r="T3100" s="1">
        <f>IF(B3100="ไม้กอล์ฟ",J3100,"")</f>
        <v/>
      </c>
    </row>
    <row r="3101">
      <c r="A3101" s="1" t="n">
        <v>3</v>
      </c>
      <c r="B3101" s="1" t="inlineStr">
        <is>
          <t>อุปกรณ์เสริม</t>
        </is>
      </c>
      <c r="C3101" s="1" t="inlineStr">
        <is>
          <t>gf3500201645</t>
        </is>
      </c>
      <c r="D3101" s="1" t="inlineStr">
        <is>
          <t>GENERAL ITEM Barudan Bomb Iron Headcover (10pcs)</t>
        </is>
      </c>
      <c r="E3101" s="1" t="inlineStr">
        <is>
          <t>GENERAL ITEM</t>
        </is>
      </c>
      <c r="F3101" s="1" t="inlineStr">
        <is>
          <t>HEADCOVERS</t>
        </is>
      </c>
      <c r="G3101" s="1" t="inlineStr">
        <is>
          <t>GF3500201645</t>
        </is>
      </c>
      <c r="H3101" s="1" t="n">
        <v>1</v>
      </c>
      <c r="I3101" s="1" t="inlineStr">
        <is>
          <t>มี</t>
        </is>
      </c>
      <c r="J3101" s="13" t="n">
        <v>69</v>
      </c>
      <c r="K3101" s="1" t="inlineStr"/>
      <c r="L3101" s="13" t="n">
        <v>69</v>
      </c>
      <c r="M3101" s="1">
        <f>IF(L3101="","ไม่พบใน SG",IF(ABS(J3101-L3101)&lt;0.005,"ตรงกัน","ไม่ตรง"))</f>
        <v/>
      </c>
      <c r="N3101" s="14">
        <f>IF(L3101="","",ROUND(L3101*'สรุป'!$C$6,-1))</f>
        <v/>
      </c>
      <c r="O3101" s="15" t="n"/>
      <c r="P3101" s="15" t="n"/>
      <c r="Q3101" s="10" t="n"/>
      <c r="R3101" s="10" t="n"/>
      <c r="S3101" s="16" t="inlineStr">
        <is>
          <t>https://mstgolf.co.th/products/gf3500201645</t>
        </is>
      </c>
      <c r="T3101" s="1">
        <f>IF(B3101="ไม้กอล์ฟ",J3101,"")</f>
        <v/>
      </c>
    </row>
    <row r="3102">
      <c r="A3102" s="1" t="n">
        <v>3</v>
      </c>
      <c r="B3102" s="1" t="inlineStr">
        <is>
          <t>อุปกรณ์เสริม</t>
        </is>
      </c>
      <c r="C3102" s="1" t="inlineStr">
        <is>
          <t>gf3500201646</t>
        </is>
      </c>
      <c r="D3102" s="1" t="inlineStr">
        <is>
          <t>GENERAL ITEM Barudan Color Digit Black Iron Headcover (10pcs)</t>
        </is>
      </c>
      <c r="E3102" s="1" t="inlineStr">
        <is>
          <t>GENERAL ITEM</t>
        </is>
      </c>
      <c r="F3102" s="1" t="inlineStr">
        <is>
          <t>HEADCOVERS</t>
        </is>
      </c>
      <c r="G3102" s="1" t="inlineStr">
        <is>
          <t>GF3500201646</t>
        </is>
      </c>
      <c r="H3102" s="1" t="n">
        <v>1</v>
      </c>
      <c r="I3102" s="1" t="inlineStr">
        <is>
          <t>มี</t>
        </is>
      </c>
      <c r="J3102" s="13" t="n">
        <v>69</v>
      </c>
      <c r="K3102" s="1" t="inlineStr"/>
      <c r="L3102" s="13" t="n">
        <v>69</v>
      </c>
      <c r="M3102" s="1">
        <f>IF(L3102="","ไม่พบใน SG",IF(ABS(J3102-L3102)&lt;0.005,"ตรงกัน","ไม่ตรง"))</f>
        <v/>
      </c>
      <c r="N3102" s="14">
        <f>IF(L3102="","",ROUND(L3102*'สรุป'!$C$6,-1))</f>
        <v/>
      </c>
      <c r="O3102" s="15" t="n"/>
      <c r="P3102" s="15" t="n"/>
      <c r="Q3102" s="10" t="n"/>
      <c r="R3102" s="10" t="n"/>
      <c r="S3102" s="16" t="inlineStr">
        <is>
          <t>https://mstgolf.co.th/products/gf3500201646</t>
        </is>
      </c>
      <c r="T3102" s="1">
        <f>IF(B3102="ไม้กอล์ฟ",J3102,"")</f>
        <v/>
      </c>
    </row>
    <row r="3103">
      <c r="A3103" s="1" t="n">
        <v>3</v>
      </c>
      <c r="B3103" s="1" t="inlineStr">
        <is>
          <t>อุปกรณ์เสริม</t>
        </is>
      </c>
      <c r="C3103" s="1" t="inlineStr">
        <is>
          <t>gf3500201642</t>
        </is>
      </c>
      <c r="D3103" s="1" t="inlineStr">
        <is>
          <t>GENERAL ITEM Barudan Color Digit White Iron Headcover (10pcs)</t>
        </is>
      </c>
      <c r="E3103" s="1" t="inlineStr">
        <is>
          <t>GENERAL ITEM</t>
        </is>
      </c>
      <c r="F3103" s="1" t="inlineStr">
        <is>
          <t>HEADCOVERS</t>
        </is>
      </c>
      <c r="G3103" s="1" t="inlineStr">
        <is>
          <t>GF3500201642</t>
        </is>
      </c>
      <c r="H3103" s="1" t="n">
        <v>1</v>
      </c>
      <c r="I3103" s="1" t="inlineStr">
        <is>
          <t>มี</t>
        </is>
      </c>
      <c r="J3103" s="13" t="n">
        <v>69</v>
      </c>
      <c r="K3103" s="1" t="inlineStr"/>
      <c r="L3103" s="13" t="n">
        <v>69</v>
      </c>
      <c r="M3103" s="1">
        <f>IF(L3103="","ไม่พบใน SG",IF(ABS(J3103-L3103)&lt;0.005,"ตรงกัน","ไม่ตรง"))</f>
        <v/>
      </c>
      <c r="N3103" s="14">
        <f>IF(L3103="","",ROUND(L3103*'สรุป'!$C$6,-1))</f>
        <v/>
      </c>
      <c r="O3103" s="15" t="n"/>
      <c r="P3103" s="15" t="n"/>
      <c r="Q3103" s="10" t="n"/>
      <c r="R3103" s="10" t="n"/>
      <c r="S3103" s="16" t="inlineStr">
        <is>
          <t>https://mstgolf.co.th/products/gf3500201642</t>
        </is>
      </c>
      <c r="T3103" s="1">
        <f>IF(B3103="ไม้กอล์ฟ",J3103,"")</f>
        <v/>
      </c>
    </row>
    <row r="3104">
      <c r="A3104" s="1" t="n">
        <v>3</v>
      </c>
      <c r="B3104" s="1" t="inlineStr">
        <is>
          <t>อุปกรณ์เสริม</t>
        </is>
      </c>
      <c r="C3104" s="1" t="inlineStr">
        <is>
          <t>gf3500201811</t>
        </is>
      </c>
      <c r="D3104" s="1" t="inlineStr">
        <is>
          <t>GENERAL ITEM Barudan Digit Iron Headcover (10 Pcs)</t>
        </is>
      </c>
      <c r="E3104" s="1" t="inlineStr">
        <is>
          <t>GENERAL ITEM</t>
        </is>
      </c>
      <c r="F3104" s="1" t="inlineStr">
        <is>
          <t>HEADCOVERS</t>
        </is>
      </c>
      <c r="G3104" s="1" t="inlineStr">
        <is>
          <t>GF3500201811</t>
        </is>
      </c>
      <c r="H3104" s="1" t="n">
        <v>1</v>
      </c>
      <c r="I3104" s="1" t="inlineStr">
        <is>
          <t>มี</t>
        </is>
      </c>
      <c r="J3104" s="13" t="n">
        <v>69</v>
      </c>
      <c r="K3104" s="1" t="inlineStr"/>
      <c r="L3104" s="13" t="n">
        <v>69</v>
      </c>
      <c r="M3104" s="1">
        <f>IF(L3104="","ไม่พบใน SG",IF(ABS(J3104-L3104)&lt;0.005,"ตรงกัน","ไม่ตรง"))</f>
        <v/>
      </c>
      <c r="N3104" s="14">
        <f>IF(L3104="","",ROUND(L3104*'สรุป'!$C$6,-1))</f>
        <v/>
      </c>
      <c r="O3104" s="15" t="n"/>
      <c r="P3104" s="15" t="n"/>
      <c r="Q3104" s="10" t="n"/>
      <c r="R3104" s="10" t="n"/>
      <c r="S3104" s="16" t="inlineStr">
        <is>
          <t>https://mstgolf.co.th/products/gf3500201811</t>
        </is>
      </c>
      <c r="T3104" s="1">
        <f>IF(B3104="ไม้กอล์ฟ",J3104,"")</f>
        <v/>
      </c>
    </row>
    <row r="3105">
      <c r="A3105" s="1" t="n">
        <v>3</v>
      </c>
      <c r="B3105" s="1" t="inlineStr">
        <is>
          <t>อุปกรณ์เสริม</t>
        </is>
      </c>
      <c r="C3105" s="1" t="inlineStr">
        <is>
          <t>gf3500201643</t>
        </is>
      </c>
      <c r="D3105" s="1" t="inlineStr">
        <is>
          <t>GENERAL ITEM Barudan Ninja Iron Headcover (10pcs)</t>
        </is>
      </c>
      <c r="E3105" s="1" t="inlineStr">
        <is>
          <t>GENERAL ITEM</t>
        </is>
      </c>
      <c r="F3105" s="1" t="inlineStr">
        <is>
          <t>HEADCOVERS</t>
        </is>
      </c>
      <c r="G3105" s="1" t="inlineStr">
        <is>
          <t>GF3500201643</t>
        </is>
      </c>
      <c r="H3105" s="1" t="n">
        <v>1</v>
      </c>
      <c r="I3105" s="1" t="inlineStr">
        <is>
          <t>มี</t>
        </is>
      </c>
      <c r="J3105" s="13" t="n">
        <v>69</v>
      </c>
      <c r="K3105" s="1" t="inlineStr"/>
      <c r="L3105" s="13" t="n">
        <v>69</v>
      </c>
      <c r="M3105" s="1">
        <f>IF(L3105="","ไม่พบใน SG",IF(ABS(J3105-L3105)&lt;0.005,"ตรงกัน","ไม่ตรง"))</f>
        <v/>
      </c>
      <c r="N3105" s="14">
        <f>IF(L3105="","",ROUND(L3105*'สรุป'!$C$6,-1))</f>
        <v/>
      </c>
      <c r="O3105" s="15" t="n"/>
      <c r="P3105" s="15" t="n"/>
      <c r="Q3105" s="10" t="n"/>
      <c r="R3105" s="10" t="n"/>
      <c r="S3105" s="16" t="inlineStr">
        <is>
          <t>https://mstgolf.co.th/products/gf3500201643</t>
        </is>
      </c>
      <c r="T3105" s="1">
        <f>IF(B3105="ไม้กอล์ฟ",J3105,"")</f>
        <v/>
      </c>
    </row>
    <row r="3106">
      <c r="A3106" s="1" t="n">
        <v>3</v>
      </c>
      <c r="B3106" s="1" t="inlineStr">
        <is>
          <t>อุปกรณ์เสริม</t>
        </is>
      </c>
      <c r="C3106" s="1" t="inlineStr">
        <is>
          <t>gf3500201810</t>
        </is>
      </c>
      <c r="D3106" s="1" t="inlineStr">
        <is>
          <t>GENERAL ITEM Barudan Sushi Iron Headcover (10 Pcs)</t>
        </is>
      </c>
      <c r="E3106" s="1" t="inlineStr">
        <is>
          <t>GENERAL ITEM</t>
        </is>
      </c>
      <c r="F3106" s="1" t="inlineStr">
        <is>
          <t>HEADCOVERS</t>
        </is>
      </c>
      <c r="G3106" s="1" t="inlineStr">
        <is>
          <t>GF3500201810</t>
        </is>
      </c>
      <c r="H3106" s="1" t="n">
        <v>1</v>
      </c>
      <c r="I3106" s="1" t="inlineStr">
        <is>
          <t>มี</t>
        </is>
      </c>
      <c r="J3106" s="13" t="n">
        <v>69</v>
      </c>
      <c r="K3106" s="1" t="inlineStr"/>
      <c r="L3106" s="13" t="n">
        <v>69</v>
      </c>
      <c r="M3106" s="1">
        <f>IF(L3106="","ไม่พบใน SG",IF(ABS(J3106-L3106)&lt;0.005,"ตรงกัน","ไม่ตรง"))</f>
        <v/>
      </c>
      <c r="N3106" s="14">
        <f>IF(L3106="","",ROUND(L3106*'สรุป'!$C$6,-1))</f>
        <v/>
      </c>
      <c r="O3106" s="15" t="n"/>
      <c r="P3106" s="15" t="n"/>
      <c r="Q3106" s="10" t="n"/>
      <c r="R3106" s="10" t="n"/>
      <c r="S3106" s="16" t="inlineStr">
        <is>
          <t>https://mstgolf.co.th/products/gf3500201810</t>
        </is>
      </c>
      <c r="T3106" s="1">
        <f>IF(B3106="ไม้กอล์ฟ",J3106,"")</f>
        <v/>
      </c>
    </row>
    <row r="3107">
      <c r="A3107" s="1" t="n">
        <v>3</v>
      </c>
      <c r="B3107" s="1" t="inlineStr">
        <is>
          <t>หมวก</t>
        </is>
      </c>
      <c r="C3107" s="1" t="inlineStr">
        <is>
          <t>gf2000105463</t>
        </is>
      </c>
      <c r="D3107" s="1" t="inlineStr">
        <is>
          <t>GFORE 3D Skull &amp; T's Men's Cap (Drizzle)</t>
        </is>
      </c>
      <c r="E3107" s="1" t="inlineStr">
        <is>
          <t>GFORE</t>
        </is>
      </c>
      <c r="F3107" s="1" t="inlineStr">
        <is>
          <t>CAP</t>
        </is>
      </c>
      <c r="G3107" s="1" t="inlineStr">
        <is>
          <t>GF2000105463FS</t>
        </is>
      </c>
      <c r="H3107" s="1" t="n">
        <v>1</v>
      </c>
      <c r="I3107" s="1" t="inlineStr">
        <is>
          <t>มี</t>
        </is>
      </c>
      <c r="J3107" s="13" t="n">
        <v>69</v>
      </c>
      <c r="K3107" s="1" t="inlineStr"/>
      <c r="L3107" s="13" t="n">
        <v>69</v>
      </c>
      <c r="M3107" s="1">
        <f>IF(L3107="","ไม่พบใน SG",IF(ABS(J3107-L3107)&lt;0.005,"ตรงกัน","ไม่ตรง"))</f>
        <v/>
      </c>
      <c r="N3107" s="14">
        <f>IF(L3107="","",ROUND(L3107*'สรุป'!$C$6,-1))</f>
        <v/>
      </c>
      <c r="O3107" s="15" t="n"/>
      <c r="P3107" s="15" t="n"/>
      <c r="Q3107" s="10" t="n"/>
      <c r="R3107" s="10" t="n"/>
      <c r="S3107" s="16" t="inlineStr">
        <is>
          <t>https://mstgolf.co.th/products/gf2000105463</t>
        </is>
      </c>
      <c r="T3107" s="1">
        <f>IF(B3107="ไม้กอล์ฟ",J3107,"")</f>
        <v/>
      </c>
    </row>
    <row r="3108">
      <c r="A3108" s="1" t="n">
        <v>3</v>
      </c>
      <c r="B3108" s="1" t="inlineStr">
        <is>
          <t>หมวก</t>
        </is>
      </c>
      <c r="C3108" s="1" t="inlineStr">
        <is>
          <t>gf2000105052</t>
        </is>
      </c>
      <c r="D3108" s="1" t="inlineStr">
        <is>
          <t>GFORE All We Need Is Golf Men's Cap (Petrol)</t>
        </is>
      </c>
      <c r="E3108" s="1" t="inlineStr">
        <is>
          <t>GFORE</t>
        </is>
      </c>
      <c r="F3108" s="1" t="inlineStr">
        <is>
          <t>CAP</t>
        </is>
      </c>
      <c r="G3108" s="1" t="inlineStr">
        <is>
          <t>GF2000105052FS</t>
        </is>
      </c>
      <c r="H3108" s="1" t="n">
        <v>1</v>
      </c>
      <c r="I3108" s="1" t="inlineStr">
        <is>
          <t>มี</t>
        </is>
      </c>
      <c r="J3108" s="13" t="n">
        <v>69</v>
      </c>
      <c r="K3108" s="1" t="inlineStr"/>
      <c r="L3108" s="13" t="n">
        <v>69</v>
      </c>
      <c r="M3108" s="1">
        <f>IF(L3108="","ไม่พบใน SG",IF(ABS(J3108-L3108)&lt;0.005,"ตรงกัน","ไม่ตรง"))</f>
        <v/>
      </c>
      <c r="N3108" s="14">
        <f>IF(L3108="","",ROUND(L3108*'สรุป'!$C$6,-1))</f>
        <v/>
      </c>
      <c r="O3108" s="15" t="n"/>
      <c r="P3108" s="15" t="n"/>
      <c r="Q3108" s="10" t="n"/>
      <c r="R3108" s="10" t="n"/>
      <c r="S3108" s="16" t="inlineStr">
        <is>
          <t>https://mstgolf.co.th/products/gf2000105052</t>
        </is>
      </c>
      <c r="T3108" s="1">
        <f>IF(B3108="ไม้กอล์ฟ",J3108,"")</f>
        <v/>
      </c>
    </row>
    <row r="3109">
      <c r="A3109" s="1" t="n">
        <v>3</v>
      </c>
      <c r="B3109" s="1" t="inlineStr">
        <is>
          <t>หมวก</t>
        </is>
      </c>
      <c r="C3109" s="1" t="inlineStr">
        <is>
          <t>gf2000105053</t>
        </is>
      </c>
      <c r="D3109" s="1" t="inlineStr">
        <is>
          <t>GFORE All We Need Is Golf Men's Cap (White)</t>
        </is>
      </c>
      <c r="E3109" s="1" t="inlineStr">
        <is>
          <t>GFORE</t>
        </is>
      </c>
      <c r="F3109" s="1" t="inlineStr">
        <is>
          <t>CAP</t>
        </is>
      </c>
      <c r="G3109" s="1" t="inlineStr">
        <is>
          <t>GF2000105053FS</t>
        </is>
      </c>
      <c r="H3109" s="1" t="n">
        <v>1</v>
      </c>
      <c r="I3109" s="1" t="inlineStr">
        <is>
          <t>มี</t>
        </is>
      </c>
      <c r="J3109" s="13" t="n">
        <v>69</v>
      </c>
      <c r="K3109" s="1" t="inlineStr"/>
      <c r="L3109" s="13" t="n">
        <v>69</v>
      </c>
      <c r="M3109" s="1">
        <f>IF(L3109="","ไม่พบใน SG",IF(ABS(J3109-L3109)&lt;0.005,"ตรงกัน","ไม่ตรง"))</f>
        <v/>
      </c>
      <c r="N3109" s="14">
        <f>IF(L3109="","",ROUND(L3109*'สรุป'!$C$6,-1))</f>
        <v/>
      </c>
      <c r="O3109" s="15" t="n"/>
      <c r="P3109" s="15" t="n"/>
      <c r="Q3109" s="10" t="n"/>
      <c r="R3109" s="10" t="n"/>
      <c r="S3109" s="16" t="inlineStr">
        <is>
          <t>https://mstgolf.co.th/products/gf2000105053</t>
        </is>
      </c>
      <c r="T3109" s="1">
        <f>IF(B3109="ไม้กอล์ฟ",J3109,"")</f>
        <v/>
      </c>
    </row>
    <row r="3110">
      <c r="A3110" s="1" t="n">
        <v>3</v>
      </c>
      <c r="B3110" s="1" t="inlineStr">
        <is>
          <t>หมวก</t>
        </is>
      </c>
      <c r="C3110" s="1" t="inlineStr">
        <is>
          <t>gf2000300341</t>
        </is>
      </c>
      <c r="D3110" s="1" t="inlineStr">
        <is>
          <t>GFORE Apres Golf Men's Bucket Hat (Snow)</t>
        </is>
      </c>
      <c r="E3110" s="1" t="inlineStr">
        <is>
          <t>GFORE</t>
        </is>
      </c>
      <c r="F3110" s="1" t="inlineStr">
        <is>
          <t>HAT</t>
        </is>
      </c>
      <c r="G3110" s="1" t="inlineStr">
        <is>
          <t>GF2000300341FS</t>
        </is>
      </c>
      <c r="H3110" s="1" t="n">
        <v>3</v>
      </c>
      <c r="I3110" s="1" t="inlineStr">
        <is>
          <t>มี</t>
        </is>
      </c>
      <c r="J3110" s="13" t="n">
        <v>69</v>
      </c>
      <c r="K3110" s="1" t="inlineStr"/>
      <c r="L3110" s="13" t="n">
        <v>69</v>
      </c>
      <c r="M3110" s="1">
        <f>IF(L3110="","ไม่พบใน SG",IF(ABS(J3110-L3110)&lt;0.005,"ตรงกัน","ไม่ตรง"))</f>
        <v/>
      </c>
      <c r="N3110" s="14">
        <f>IF(L3110="","",ROUND(L3110*'สรุป'!$C$6,-1))</f>
        <v/>
      </c>
      <c r="O3110" s="15" t="n"/>
      <c r="P3110" s="15" t="n"/>
      <c r="Q3110" s="10" t="n"/>
      <c r="R3110" s="10" t="n"/>
      <c r="S3110" s="16" t="inlineStr">
        <is>
          <t>https://mstgolf.co.th/products/gf2000300341</t>
        </is>
      </c>
      <c r="T3110" s="1">
        <f>IF(B3110="ไม้กอล์ฟ",J3110,"")</f>
        <v/>
      </c>
    </row>
    <row r="3111">
      <c r="A3111" s="1" t="n">
        <v>3</v>
      </c>
      <c r="B3111" s="1" t="inlineStr">
        <is>
          <t>หมวก</t>
        </is>
      </c>
      <c r="C3111" s="1" t="inlineStr">
        <is>
          <t>gf2000105546</t>
        </is>
      </c>
      <c r="D3111" s="1" t="inlineStr">
        <is>
          <t>GFORE Apres Golf Twill Snapback Men’s Cap (Twilight)</t>
        </is>
      </c>
      <c r="E3111" s="1" t="inlineStr">
        <is>
          <t>GFORE</t>
        </is>
      </c>
      <c r="F3111" s="1" t="inlineStr">
        <is>
          <t>CAP</t>
        </is>
      </c>
      <c r="G3111" s="1" t="inlineStr">
        <is>
          <t>GF2000105546FS</t>
        </is>
      </c>
      <c r="H3111" s="1" t="n">
        <v>1</v>
      </c>
      <c r="I3111" s="1" t="inlineStr">
        <is>
          <t>มี</t>
        </is>
      </c>
      <c r="J3111" s="13" t="n">
        <v>69</v>
      </c>
      <c r="K3111" s="1" t="inlineStr"/>
      <c r="L3111" s="13" t="n">
        <v>69</v>
      </c>
      <c r="M3111" s="1">
        <f>IF(L3111="","ไม่พบใน SG",IF(ABS(J3111-L3111)&lt;0.005,"ตรงกัน","ไม่ตรง"))</f>
        <v/>
      </c>
      <c r="N3111" s="14">
        <f>IF(L3111="","",ROUND(L3111*'สรุป'!$C$6,-1))</f>
        <v/>
      </c>
      <c r="O3111" s="15" t="n"/>
      <c r="P3111" s="15" t="n"/>
      <c r="Q3111" s="10" t="n"/>
      <c r="R3111" s="10" t="n"/>
      <c r="S3111" s="16" t="inlineStr">
        <is>
          <t>https://mstgolf.co.th/products/gf2000105546</t>
        </is>
      </c>
      <c r="T3111" s="1">
        <f>IF(B3111="ไม้กอล์ฟ",J3111,"")</f>
        <v/>
      </c>
    </row>
    <row r="3112">
      <c r="A3112" s="1" t="n">
        <v>3</v>
      </c>
      <c r="B3112" s="1" t="inlineStr">
        <is>
          <t>หมวก</t>
        </is>
      </c>
      <c r="C3112" s="1" t="inlineStr">
        <is>
          <t>gf2000105453</t>
        </is>
      </c>
      <c r="D3112" s="1" t="inlineStr">
        <is>
          <t>GFORE Chenille Women's Snapback Cap (Baja)</t>
        </is>
      </c>
      <c r="E3112" s="1" t="inlineStr">
        <is>
          <t>GFORE</t>
        </is>
      </c>
      <c r="F3112" s="1" t="inlineStr">
        <is>
          <t>CAP</t>
        </is>
      </c>
      <c r="G3112" s="1" t="inlineStr">
        <is>
          <t>GF2000105453FS</t>
        </is>
      </c>
      <c r="H3112" s="1" t="n">
        <v>1</v>
      </c>
      <c r="I3112" s="1" t="inlineStr">
        <is>
          <t>มี</t>
        </is>
      </c>
      <c r="J3112" s="13" t="n">
        <v>69</v>
      </c>
      <c r="K3112" s="1" t="inlineStr"/>
      <c r="L3112" s="13" t="n">
        <v>69</v>
      </c>
      <c r="M3112" s="1">
        <f>IF(L3112="","ไม่พบใน SG",IF(ABS(J3112-L3112)&lt;0.005,"ตรงกัน","ไม่ตรง"))</f>
        <v/>
      </c>
      <c r="N3112" s="14">
        <f>IF(L3112="","",ROUND(L3112*'สรุป'!$C$6,-1))</f>
        <v/>
      </c>
      <c r="O3112" s="15" t="n"/>
      <c r="P3112" s="15" t="n"/>
      <c r="Q3112" s="10" t="n"/>
      <c r="R3112" s="10" t="n"/>
      <c r="S3112" s="16" t="inlineStr">
        <is>
          <t>https://mstgolf.co.th/products/gf2000105453</t>
        </is>
      </c>
      <c r="T3112" s="1">
        <f>IF(B3112="ไม้กอล์ฟ",J3112,"")</f>
        <v/>
      </c>
    </row>
    <row r="3113">
      <c r="A3113" s="1" t="n">
        <v>3</v>
      </c>
      <c r="B3113" s="1" t="inlineStr">
        <is>
          <t>หมวก</t>
        </is>
      </c>
      <c r="C3113" s="1" t="inlineStr">
        <is>
          <t>gf2000105461</t>
        </is>
      </c>
      <c r="D3113" s="1" t="inlineStr">
        <is>
          <t>GFORE Circle G Nylon Women's Visor (Onyx)</t>
        </is>
      </c>
      <c r="E3113" s="1" t="inlineStr">
        <is>
          <t>GFORE</t>
        </is>
      </c>
      <c r="F3113" s="1" t="inlineStr">
        <is>
          <t>CAP</t>
        </is>
      </c>
      <c r="G3113" s="1" t="inlineStr">
        <is>
          <t>GF2000105461FS</t>
        </is>
      </c>
      <c r="H3113" s="1" t="n">
        <v>1</v>
      </c>
      <c r="I3113" s="1" t="inlineStr">
        <is>
          <t>มี</t>
        </is>
      </c>
      <c r="J3113" s="13" t="n">
        <v>69</v>
      </c>
      <c r="K3113" s="1" t="inlineStr"/>
      <c r="L3113" s="13" t="n">
        <v>49</v>
      </c>
      <c r="M3113" s="1">
        <f>IF(L3113="","ไม่พบใน SG",IF(ABS(J3113-L3113)&lt;0.005,"ตรงกัน","ไม่ตรง"))</f>
        <v/>
      </c>
      <c r="N3113" s="14">
        <f>IF(L3113="","",ROUND(L3113*'สรุป'!$C$6,-1))</f>
        <v/>
      </c>
      <c r="O3113" s="15" t="n"/>
      <c r="P3113" s="15" t="n"/>
      <c r="Q3113" s="10" t="n"/>
      <c r="R3113" s="10" t="n"/>
      <c r="S3113" s="16" t="inlineStr">
        <is>
          <t>https://mstgolf.co.th/products/gf2000105461</t>
        </is>
      </c>
      <c r="T3113" s="1">
        <f>IF(B3113="ไม้กอล์ฟ",J3113,"")</f>
        <v/>
      </c>
    </row>
    <row r="3114">
      <c r="A3114" s="1" t="n">
        <v>3</v>
      </c>
      <c r="B3114" s="1" t="inlineStr">
        <is>
          <t>หมวก</t>
        </is>
      </c>
      <c r="C3114" s="1" t="inlineStr">
        <is>
          <t>gf2000106184</t>
        </is>
      </c>
      <c r="D3114" s="1" t="inlineStr">
        <is>
          <t>GFORE Circle G Trucker Men's Cap (Onyx)</t>
        </is>
      </c>
      <c r="E3114" s="1" t="inlineStr">
        <is>
          <t>GFORE</t>
        </is>
      </c>
      <c r="F3114" s="1" t="inlineStr">
        <is>
          <t>CAP</t>
        </is>
      </c>
      <c r="G3114" s="1" t="inlineStr">
        <is>
          <t>GF2000106184FS</t>
        </is>
      </c>
      <c r="H3114" s="1" t="n">
        <v>1</v>
      </c>
      <c r="I3114" s="1" t="inlineStr">
        <is>
          <t>มี</t>
        </is>
      </c>
      <c r="J3114" s="13" t="n">
        <v>69</v>
      </c>
      <c r="K3114" s="1" t="inlineStr"/>
      <c r="L3114" s="13" t="n">
        <v>69</v>
      </c>
      <c r="M3114" s="1">
        <f>IF(L3114="","ไม่พบใน SG",IF(ABS(J3114-L3114)&lt;0.005,"ตรงกัน","ไม่ตรง"))</f>
        <v/>
      </c>
      <c r="N3114" s="14">
        <f>IF(L3114="","",ROUND(L3114*'สรุป'!$C$6,-1))</f>
        <v/>
      </c>
      <c r="O3114" s="15" t="n"/>
      <c r="P3114" s="15" t="n"/>
      <c r="Q3114" s="10" t="n"/>
      <c r="R3114" s="10" t="n"/>
      <c r="S3114" s="16" t="inlineStr">
        <is>
          <t>https://mstgolf.co.th/products/gf2000106184</t>
        </is>
      </c>
      <c r="T3114" s="1">
        <f>IF(B3114="ไม้กอล์ฟ",J3114,"")</f>
        <v/>
      </c>
    </row>
    <row r="3115">
      <c r="A3115" s="1" t="n">
        <v>3</v>
      </c>
      <c r="B3115" s="1" t="inlineStr">
        <is>
          <t>หมวก</t>
        </is>
      </c>
      <c r="C3115" s="1" t="inlineStr">
        <is>
          <t>gf2000106183</t>
        </is>
      </c>
      <c r="D3115" s="1" t="inlineStr">
        <is>
          <t>GFORE Circle G Trucker Men's Cap (Snow)</t>
        </is>
      </c>
      <c r="E3115" s="1" t="inlineStr">
        <is>
          <t>GFORE</t>
        </is>
      </c>
      <c r="F3115" s="1" t="inlineStr">
        <is>
          <t>CAP</t>
        </is>
      </c>
      <c r="G3115" s="1" t="inlineStr">
        <is>
          <t>GF2000106183FS</t>
        </is>
      </c>
      <c r="H3115" s="1" t="n">
        <v>1</v>
      </c>
      <c r="I3115" s="1" t="inlineStr">
        <is>
          <t>มี</t>
        </is>
      </c>
      <c r="J3115" s="13" t="n">
        <v>69</v>
      </c>
      <c r="K3115" s="1" t="inlineStr"/>
      <c r="L3115" s="13" t="n">
        <v>69</v>
      </c>
      <c r="M3115" s="1">
        <f>IF(L3115="","ไม่พบใน SG",IF(ABS(J3115-L3115)&lt;0.005,"ตรงกัน","ไม่ตรง"))</f>
        <v/>
      </c>
      <c r="N3115" s="14">
        <f>IF(L3115="","",ROUND(L3115*'สรุป'!$C$6,-1))</f>
        <v/>
      </c>
      <c r="O3115" s="15" t="n"/>
      <c r="P3115" s="15" t="n"/>
      <c r="Q3115" s="10" t="n"/>
      <c r="R3115" s="10" t="n"/>
      <c r="S3115" s="16" t="inlineStr">
        <is>
          <t>https://mstgolf.co.th/products/gf2000106183</t>
        </is>
      </c>
      <c r="T3115" s="1">
        <f>IF(B3115="ไม้กอล์ฟ",J3115,"")</f>
        <v/>
      </c>
    </row>
    <row r="3116">
      <c r="A3116" s="1" t="n">
        <v>3</v>
      </c>
      <c r="B3116" s="1" t="inlineStr">
        <is>
          <t>หมวก</t>
        </is>
      </c>
      <c r="C3116" s="1" t="inlineStr">
        <is>
          <t>gf2000105460</t>
        </is>
      </c>
      <c r="D3116" s="1" t="inlineStr">
        <is>
          <t>GFORE Circle G Women's Snapback Cap (Snow)</t>
        </is>
      </c>
      <c r="E3116" s="1" t="inlineStr">
        <is>
          <t>GFORE</t>
        </is>
      </c>
      <c r="F3116" s="1" t="inlineStr">
        <is>
          <t>CAP</t>
        </is>
      </c>
      <c r="G3116" s="1" t="inlineStr">
        <is>
          <t>GF2000105460FS</t>
        </is>
      </c>
      <c r="H3116" s="1" t="n">
        <v>1</v>
      </c>
      <c r="I3116" s="1" t="inlineStr">
        <is>
          <t>มี</t>
        </is>
      </c>
      <c r="J3116" s="13" t="n">
        <v>69</v>
      </c>
      <c r="K3116" s="1" t="inlineStr"/>
      <c r="L3116" s="13" t="n">
        <v>69</v>
      </c>
      <c r="M3116" s="1">
        <f>IF(L3116="","ไม่พบใน SG",IF(ABS(J3116-L3116)&lt;0.005,"ตรงกัน","ไม่ตรง"))</f>
        <v/>
      </c>
      <c r="N3116" s="14">
        <f>IF(L3116="","",ROUND(L3116*'สรุป'!$C$6,-1))</f>
        <v/>
      </c>
      <c r="O3116" s="15" t="n"/>
      <c r="P3116" s="15" t="n"/>
      <c r="Q3116" s="10" t="n"/>
      <c r="R3116" s="10" t="n"/>
      <c r="S3116" s="16" t="inlineStr">
        <is>
          <t>https://mstgolf.co.th/products/gf2000105460</t>
        </is>
      </c>
      <c r="T3116" s="1">
        <f>IF(B3116="ไม้กอล์ฟ",J3116,"")</f>
        <v/>
      </c>
    </row>
    <row r="3117">
      <c r="A3117" s="1" t="n">
        <v>3</v>
      </c>
      <c r="B3117" s="1" t="inlineStr">
        <is>
          <t>หมวก</t>
        </is>
      </c>
      <c r="C3117" s="1" t="inlineStr">
        <is>
          <t>gf2000105438</t>
        </is>
      </c>
      <c r="D3117" s="1" t="inlineStr">
        <is>
          <t>GFORE Circle G's Camo Ripstop Snapback Men's Cap (Slate)</t>
        </is>
      </c>
      <c r="E3117" s="1" t="inlineStr">
        <is>
          <t>GFORE</t>
        </is>
      </c>
      <c r="F3117" s="1" t="inlineStr">
        <is>
          <t>CAP</t>
        </is>
      </c>
      <c r="G3117" s="1" t="inlineStr">
        <is>
          <t>GF2000105438FS</t>
        </is>
      </c>
      <c r="H3117" s="1" t="n">
        <v>1</v>
      </c>
      <c r="I3117" s="1" t="inlineStr">
        <is>
          <t>มี</t>
        </is>
      </c>
      <c r="J3117" s="13" t="n">
        <v>69</v>
      </c>
      <c r="K3117" s="1" t="inlineStr"/>
      <c r="L3117" s="13" t="n">
        <v>69</v>
      </c>
      <c r="M3117" s="1">
        <f>IF(L3117="","ไม่พบใน SG",IF(ABS(J3117-L3117)&lt;0.005,"ตรงกัน","ไม่ตรง"))</f>
        <v/>
      </c>
      <c r="N3117" s="14">
        <f>IF(L3117="","",ROUND(L3117*'สรุป'!$C$6,-1))</f>
        <v/>
      </c>
      <c r="O3117" s="15" t="n"/>
      <c r="P3117" s="15" t="n"/>
      <c r="Q3117" s="10" t="n"/>
      <c r="R3117" s="10" t="n"/>
      <c r="S3117" s="16" t="inlineStr">
        <is>
          <t>https://mstgolf.co.th/products/gf2000105438</t>
        </is>
      </c>
      <c r="T3117" s="1">
        <f>IF(B3117="ไม้กอล์ฟ",J3117,"")</f>
        <v/>
      </c>
    </row>
    <row r="3118">
      <c r="A3118" s="1" t="n">
        <v>3</v>
      </c>
      <c r="B3118" s="1" t="inlineStr">
        <is>
          <t>หมวก</t>
        </is>
      </c>
      <c r="C3118" s="1" t="inlineStr">
        <is>
          <t>gf2000105465</t>
        </is>
      </c>
      <c r="D3118" s="1" t="inlineStr">
        <is>
          <t>GFORE Circle G's Knit Trucker Men's Cap (Onyx)</t>
        </is>
      </c>
      <c r="E3118" s="1" t="inlineStr">
        <is>
          <t>GFORE</t>
        </is>
      </c>
      <c r="F3118" s="1" t="inlineStr">
        <is>
          <t>CAP</t>
        </is>
      </c>
      <c r="G3118" s="1" t="inlineStr">
        <is>
          <t>GF2000105465FS</t>
        </is>
      </c>
      <c r="H3118" s="1" t="n">
        <v>1</v>
      </c>
      <c r="I3118" s="1" t="inlineStr">
        <is>
          <t>มี</t>
        </is>
      </c>
      <c r="J3118" s="13" t="n">
        <v>69</v>
      </c>
      <c r="K3118" s="1" t="inlineStr"/>
      <c r="L3118" s="13" t="n">
        <v>69</v>
      </c>
      <c r="M3118" s="1">
        <f>IF(L3118="","ไม่พบใน SG",IF(ABS(J3118-L3118)&lt;0.005,"ตรงกัน","ไม่ตรง"))</f>
        <v/>
      </c>
      <c r="N3118" s="14">
        <f>IF(L3118="","",ROUND(L3118*'สรุป'!$C$6,-1))</f>
        <v/>
      </c>
      <c r="O3118" s="15" t="n"/>
      <c r="P3118" s="15" t="n"/>
      <c r="Q3118" s="10" t="n"/>
      <c r="R3118" s="10" t="n"/>
      <c r="S3118" s="16" t="inlineStr">
        <is>
          <t>https://mstgolf.co.th/products/gf2000105465</t>
        </is>
      </c>
      <c r="T3118" s="1">
        <f>IF(B3118="ไม้กอล์ฟ",J3118,"")</f>
        <v/>
      </c>
    </row>
    <row r="3119">
      <c r="A3119" s="1" t="n">
        <v>3</v>
      </c>
      <c r="B3119" s="1" t="inlineStr">
        <is>
          <t>หมวก</t>
        </is>
      </c>
      <c r="C3119" s="1" t="inlineStr">
        <is>
          <t>gf2000300283</t>
        </is>
      </c>
      <c r="D3119" s="1" t="inlineStr">
        <is>
          <t>GFORE Circle G's Men's Bucket Hat (White)</t>
        </is>
      </c>
      <c r="E3119" s="1" t="inlineStr">
        <is>
          <t>GFORE</t>
        </is>
      </c>
      <c r="F3119" s="1" t="inlineStr">
        <is>
          <t>HAT</t>
        </is>
      </c>
      <c r="G3119" s="1" t="inlineStr">
        <is>
          <t>GF2000300283S/M</t>
        </is>
      </c>
      <c r="H3119" s="1" t="n">
        <v>3</v>
      </c>
      <c r="I3119" s="1" t="inlineStr">
        <is>
          <t>มี</t>
        </is>
      </c>
      <c r="J3119" s="13" t="n">
        <v>69</v>
      </c>
      <c r="K3119" s="1" t="inlineStr"/>
      <c r="L3119" s="13" t="n">
        <v>69</v>
      </c>
      <c r="M3119" s="1">
        <f>IF(L3119="","ไม่พบใน SG",IF(ABS(J3119-L3119)&lt;0.005,"ตรงกัน","ไม่ตรง"))</f>
        <v/>
      </c>
      <c r="N3119" s="14">
        <f>IF(L3119="","",ROUND(L3119*'สรุป'!$C$6,-1))</f>
        <v/>
      </c>
      <c r="O3119" s="15" t="n"/>
      <c r="P3119" s="15" t="n"/>
      <c r="Q3119" s="10" t="n"/>
      <c r="R3119" s="10" t="n"/>
      <c r="S3119" s="16" t="inlineStr">
        <is>
          <t>https://mstgolf.co.th/products/gf2000300283</t>
        </is>
      </c>
      <c r="T3119" s="1">
        <f>IF(B3119="ไม้กอล์ฟ",J3119,"")</f>
        <v/>
      </c>
    </row>
    <row r="3120">
      <c r="A3120" s="1" t="n">
        <v>3</v>
      </c>
      <c r="B3120" s="1" t="inlineStr">
        <is>
          <t>หมวก</t>
        </is>
      </c>
      <c r="C3120" s="1" t="inlineStr">
        <is>
          <t>gf2000105055</t>
        </is>
      </c>
      <c r="D3120" s="1" t="inlineStr">
        <is>
          <t>GFORE Circle G's Men's Snapback (Multi)</t>
        </is>
      </c>
      <c r="E3120" s="1" t="inlineStr">
        <is>
          <t>GFORE</t>
        </is>
      </c>
      <c r="F3120" s="1" t="inlineStr">
        <is>
          <t>CAP</t>
        </is>
      </c>
      <c r="G3120" s="1" t="inlineStr">
        <is>
          <t>GF2000105055FS</t>
        </is>
      </c>
      <c r="H3120" s="1" t="n">
        <v>1</v>
      </c>
      <c r="I3120" s="1" t="inlineStr">
        <is>
          <t>มี</t>
        </is>
      </c>
      <c r="J3120" s="13" t="n">
        <v>69</v>
      </c>
      <c r="K3120" s="1" t="inlineStr"/>
      <c r="L3120" s="13" t="n">
        <v>69</v>
      </c>
      <c r="M3120" s="1">
        <f>IF(L3120="","ไม่พบใน SG",IF(ABS(J3120-L3120)&lt;0.005,"ตรงกัน","ไม่ตรง"))</f>
        <v/>
      </c>
      <c r="N3120" s="14">
        <f>IF(L3120="","",ROUND(L3120*'สรุป'!$C$6,-1))</f>
        <v/>
      </c>
      <c r="O3120" s="15" t="n"/>
      <c r="P3120" s="15" t="n"/>
      <c r="Q3120" s="10" t="n"/>
      <c r="R3120" s="10" t="n"/>
      <c r="S3120" s="16" t="inlineStr">
        <is>
          <t>https://mstgolf.co.th/products/gf2000105055</t>
        </is>
      </c>
      <c r="T3120" s="1">
        <f>IF(B3120="ไม้กอล์ฟ",J3120,"")</f>
        <v/>
      </c>
    </row>
    <row r="3121">
      <c r="A3121" s="1" t="n">
        <v>3</v>
      </c>
      <c r="B3121" s="1" t="inlineStr">
        <is>
          <t>หมวก</t>
        </is>
      </c>
      <c r="C3121" s="1" t="inlineStr">
        <is>
          <t>gf2000105499</t>
        </is>
      </c>
      <c r="D3121" s="1" t="inlineStr">
        <is>
          <t>GFORE Circle G's Ombre Trucker Women's Cap (Day Glow Pink)</t>
        </is>
      </c>
      <c r="E3121" s="1" t="inlineStr">
        <is>
          <t>GFORE</t>
        </is>
      </c>
      <c r="F3121" s="1" t="inlineStr">
        <is>
          <t>CAP</t>
        </is>
      </c>
      <c r="G3121" s="1" t="inlineStr">
        <is>
          <t>GF2000105499FS</t>
        </is>
      </c>
      <c r="H3121" s="1" t="n">
        <v>1</v>
      </c>
      <c r="I3121" s="1" t="inlineStr">
        <is>
          <t>มี</t>
        </is>
      </c>
      <c r="J3121" s="13" t="n">
        <v>69</v>
      </c>
      <c r="K3121" s="1" t="inlineStr"/>
      <c r="L3121" s="13" t="n">
        <v>69</v>
      </c>
      <c r="M3121" s="1">
        <f>IF(L3121="","ไม่พบใน SG",IF(ABS(J3121-L3121)&lt;0.005,"ตรงกัน","ไม่ตรง"))</f>
        <v/>
      </c>
      <c r="N3121" s="14">
        <f>IF(L3121="","",ROUND(L3121*'สรุป'!$C$6,-1))</f>
        <v/>
      </c>
      <c r="O3121" s="15" t="n"/>
      <c r="P3121" s="15" t="n"/>
      <c r="Q3121" s="10" t="n"/>
      <c r="R3121" s="10" t="n"/>
      <c r="S3121" s="16" t="inlineStr">
        <is>
          <t>https://mstgolf.co.th/products/gf2000105499</t>
        </is>
      </c>
      <c r="T3121" s="1">
        <f>IF(B3121="ไม้กอล์ฟ",J3121,"")</f>
        <v/>
      </c>
    </row>
    <row r="3122">
      <c r="A3122" s="1" t="n">
        <v>3</v>
      </c>
      <c r="B3122" s="1" t="inlineStr">
        <is>
          <t>หมวก</t>
        </is>
      </c>
      <c r="C3122" s="1" t="inlineStr">
        <is>
          <t>gf2000105442</t>
        </is>
      </c>
      <c r="D3122" s="1" t="inlineStr">
        <is>
          <t>GFORE Colour Block Circle Gs Men's Snapback Cap (Racer)</t>
        </is>
      </c>
      <c r="E3122" s="1" t="inlineStr">
        <is>
          <t>GFORE</t>
        </is>
      </c>
      <c r="F3122" s="1" t="inlineStr">
        <is>
          <t>CAP</t>
        </is>
      </c>
      <c r="G3122" s="1" t="inlineStr">
        <is>
          <t>GF2000105442FS</t>
        </is>
      </c>
      <c r="H3122" s="1" t="n">
        <v>1</v>
      </c>
      <c r="I3122" s="1" t="inlineStr">
        <is>
          <t>มี</t>
        </is>
      </c>
      <c r="J3122" s="13" t="n">
        <v>69</v>
      </c>
      <c r="K3122" s="1" t="inlineStr"/>
      <c r="L3122" s="13" t="n">
        <v>69</v>
      </c>
      <c r="M3122" s="1">
        <f>IF(L3122="","ไม่พบใน SG",IF(ABS(J3122-L3122)&lt;0.005,"ตรงกัน","ไม่ตรง"))</f>
        <v/>
      </c>
      <c r="N3122" s="14">
        <f>IF(L3122="","",ROUND(L3122*'สรุป'!$C$6,-1))</f>
        <v/>
      </c>
      <c r="O3122" s="15" t="n"/>
      <c r="P3122" s="15" t="n"/>
      <c r="Q3122" s="10" t="n"/>
      <c r="R3122" s="10" t="n"/>
      <c r="S3122" s="16" t="inlineStr">
        <is>
          <t>https://mstgolf.co.th/products/gf2000105442</t>
        </is>
      </c>
      <c r="T3122" s="1">
        <f>IF(B3122="ไม้กอล์ฟ",J3122,"")</f>
        <v/>
      </c>
    </row>
    <row r="3123">
      <c r="A3123" s="1" t="n">
        <v>3</v>
      </c>
      <c r="B3123" s="1" t="inlineStr">
        <is>
          <t>หมวก</t>
        </is>
      </c>
      <c r="C3123" s="1" t="inlineStr">
        <is>
          <t>gf2000105056</t>
        </is>
      </c>
      <c r="D3123" s="1" t="inlineStr">
        <is>
          <t>GFORE Country Club Men's Hack Cap (White)</t>
        </is>
      </c>
      <c r="E3123" s="1" t="inlineStr">
        <is>
          <t>GFORE</t>
        </is>
      </c>
      <c r="F3123" s="1" t="inlineStr">
        <is>
          <t>CAP</t>
        </is>
      </c>
      <c r="G3123" s="1" t="inlineStr">
        <is>
          <t>GF2000105056FS</t>
        </is>
      </c>
      <c r="H3123" s="1" t="n">
        <v>1</v>
      </c>
      <c r="I3123" s="1" t="inlineStr">
        <is>
          <t>มี</t>
        </is>
      </c>
      <c r="J3123" s="13" t="n">
        <v>69</v>
      </c>
      <c r="K3123" s="1" t="inlineStr"/>
      <c r="L3123" s="13" t="n">
        <v>69</v>
      </c>
      <c r="M3123" s="1">
        <f>IF(L3123="","ไม่พบใน SG",IF(ABS(J3123-L3123)&lt;0.005,"ตรงกัน","ไม่ตรง"))</f>
        <v/>
      </c>
      <c r="N3123" s="14">
        <f>IF(L3123="","",ROUND(L3123*'สรุป'!$C$6,-1))</f>
        <v/>
      </c>
      <c r="O3123" s="15" t="n"/>
      <c r="P3123" s="15" t="n"/>
      <c r="Q3123" s="10" t="n"/>
      <c r="R3123" s="10" t="n"/>
      <c r="S3123" s="16" t="inlineStr">
        <is>
          <t>https://mstgolf.co.th/products/gf2000105056</t>
        </is>
      </c>
      <c r="T3123" s="1">
        <f>IF(B3123="ไม้กอล์ฟ",J3123,"")</f>
        <v/>
      </c>
    </row>
    <row r="3124">
      <c r="A3124" s="1" t="n">
        <v>3</v>
      </c>
      <c r="B3124" s="1" t="inlineStr">
        <is>
          <t>หมวก</t>
        </is>
      </c>
      <c r="C3124" s="1" t="inlineStr">
        <is>
          <t>gf2000105457</t>
        </is>
      </c>
      <c r="D3124" s="1" t="inlineStr">
        <is>
          <t>GFORE Distorted Stretch Twill Women's Visor (Twilight)</t>
        </is>
      </c>
      <c r="E3124" s="1" t="inlineStr">
        <is>
          <t>GFORE</t>
        </is>
      </c>
      <c r="F3124" s="1" t="inlineStr">
        <is>
          <t>CAP</t>
        </is>
      </c>
      <c r="G3124" s="1" t="inlineStr">
        <is>
          <t>GF2000105457FS</t>
        </is>
      </c>
      <c r="H3124" s="1" t="n">
        <v>1</v>
      </c>
      <c r="I3124" s="1" t="inlineStr">
        <is>
          <t>มี</t>
        </is>
      </c>
      <c r="J3124" s="13" t="n">
        <v>69</v>
      </c>
      <c r="K3124" s="1" t="inlineStr"/>
      <c r="L3124" s="13" t="n">
        <v>69</v>
      </c>
      <c r="M3124" s="1">
        <f>IF(L3124="","ไม่พบใน SG",IF(ABS(J3124-L3124)&lt;0.005,"ตรงกัน","ไม่ตรง"))</f>
        <v/>
      </c>
      <c r="N3124" s="14">
        <f>IF(L3124="","",ROUND(L3124*'สรุป'!$C$6,-1))</f>
        <v/>
      </c>
      <c r="O3124" s="15" t="n"/>
      <c r="P3124" s="15" t="n"/>
      <c r="Q3124" s="10" t="n"/>
      <c r="R3124" s="10" t="n"/>
      <c r="S3124" s="16" t="inlineStr">
        <is>
          <t>https://mstgolf.co.th/products/gf2000105457</t>
        </is>
      </c>
      <c r="T3124" s="1">
        <f>IF(B3124="ไม้กอล์ฟ",J3124,"")</f>
        <v/>
      </c>
    </row>
    <row r="3125">
      <c r="A3125" s="1" t="n">
        <v>3</v>
      </c>
      <c r="B3125" s="1" t="inlineStr">
        <is>
          <t>หมวก</t>
        </is>
      </c>
      <c r="C3125" s="1" t="inlineStr">
        <is>
          <t>gf2000105057</t>
        </is>
      </c>
      <c r="D3125" s="1" t="inlineStr">
        <is>
          <t>GFORE G Link Trucker Women's Cap (Pink)</t>
        </is>
      </c>
      <c r="E3125" s="1" t="inlineStr">
        <is>
          <t>GFORE</t>
        </is>
      </c>
      <c r="F3125" s="1" t="inlineStr">
        <is>
          <t>CAP</t>
        </is>
      </c>
      <c r="G3125" s="1" t="inlineStr">
        <is>
          <t>GF2000105057FS</t>
        </is>
      </c>
      <c r="H3125" s="1" t="n">
        <v>1</v>
      </c>
      <c r="I3125" s="1" t="inlineStr">
        <is>
          <t>มี</t>
        </is>
      </c>
      <c r="J3125" s="13" t="n">
        <v>69</v>
      </c>
      <c r="K3125" s="1" t="inlineStr"/>
      <c r="L3125" s="13" t="n">
        <v>69</v>
      </c>
      <c r="M3125" s="1">
        <f>IF(L3125="","ไม่พบใน SG",IF(ABS(J3125-L3125)&lt;0.005,"ตรงกัน","ไม่ตรง"))</f>
        <v/>
      </c>
      <c r="N3125" s="14">
        <f>IF(L3125="","",ROUND(L3125*'สรุป'!$C$6,-1))</f>
        <v/>
      </c>
      <c r="O3125" s="15" t="n"/>
      <c r="P3125" s="15" t="n"/>
      <c r="Q3125" s="10" t="n"/>
      <c r="R3125" s="10" t="n"/>
      <c r="S3125" s="16" t="inlineStr">
        <is>
          <t>https://mstgolf.co.th/products/gf2000105057</t>
        </is>
      </c>
      <c r="T3125" s="1">
        <f>IF(B3125="ไม้กอล์ฟ",J3125,"")</f>
        <v/>
      </c>
    </row>
    <row r="3126">
      <c r="A3126" s="1" t="n">
        <v>3</v>
      </c>
      <c r="B3126" s="1" t="inlineStr">
        <is>
          <t>หมวก</t>
        </is>
      </c>
      <c r="C3126" s="1" t="inlineStr">
        <is>
          <t>gf2000105447</t>
        </is>
      </c>
      <c r="D3126" s="1" t="inlineStr">
        <is>
          <t>GFORE Golf Stretch Twill Snapback Men's Cap (Snow)</t>
        </is>
      </c>
      <c r="E3126" s="1" t="inlineStr">
        <is>
          <t>GFORE</t>
        </is>
      </c>
      <c r="F3126" s="1" t="inlineStr">
        <is>
          <t>CAP</t>
        </is>
      </c>
      <c r="G3126" s="1" t="inlineStr">
        <is>
          <t>GF2000105447FS</t>
        </is>
      </c>
      <c r="H3126" s="1" t="n">
        <v>1</v>
      </c>
      <c r="I3126" s="1" t="inlineStr">
        <is>
          <t>มี</t>
        </is>
      </c>
      <c r="J3126" s="13" t="n">
        <v>69</v>
      </c>
      <c r="K3126" s="1" t="inlineStr"/>
      <c r="L3126" s="13" t="n">
        <v>69</v>
      </c>
      <c r="M3126" s="1">
        <f>IF(L3126="","ไม่พบใน SG",IF(ABS(J3126-L3126)&lt;0.005,"ตรงกัน","ไม่ตรง"))</f>
        <v/>
      </c>
      <c r="N3126" s="14">
        <f>IF(L3126="","",ROUND(L3126*'สรุป'!$C$6,-1))</f>
        <v/>
      </c>
      <c r="O3126" s="15" t="n"/>
      <c r="P3126" s="15" t="n"/>
      <c r="Q3126" s="10" t="n"/>
      <c r="R3126" s="10" t="n"/>
      <c r="S3126" s="16" t="inlineStr">
        <is>
          <t>https://mstgolf.co.th/products/gf2000105447</t>
        </is>
      </c>
      <c r="T3126" s="1">
        <f>IF(B3126="ไม้กอล์ฟ",J3126,"")</f>
        <v/>
      </c>
    </row>
    <row r="3127">
      <c r="A3127" s="1" t="n">
        <v>3</v>
      </c>
      <c r="B3127" s="1" t="inlineStr">
        <is>
          <t>หมวก</t>
        </is>
      </c>
      <c r="C3127" s="1" t="inlineStr">
        <is>
          <t>gf2000105496</t>
        </is>
      </c>
      <c r="D3127" s="1" t="inlineStr">
        <is>
          <t>GFORE Goloha Ripstop Men's Snapback Cap (Nimbus)</t>
        </is>
      </c>
      <c r="E3127" s="1" t="inlineStr">
        <is>
          <t>GFORE</t>
        </is>
      </c>
      <c r="F3127" s="1" t="inlineStr">
        <is>
          <t>CAP</t>
        </is>
      </c>
      <c r="G3127" s="1" t="inlineStr">
        <is>
          <t>GF2000105496FS</t>
        </is>
      </c>
      <c r="H3127" s="1" t="n">
        <v>1</v>
      </c>
      <c r="I3127" s="1" t="inlineStr">
        <is>
          <t>มี</t>
        </is>
      </c>
      <c r="J3127" s="13" t="n">
        <v>69</v>
      </c>
      <c r="K3127" s="1" t="inlineStr"/>
      <c r="L3127" s="13" t="n">
        <v>69</v>
      </c>
      <c r="M3127" s="1">
        <f>IF(L3127="","ไม่พบใน SG",IF(ABS(J3127-L3127)&lt;0.005,"ตรงกัน","ไม่ตรง"))</f>
        <v/>
      </c>
      <c r="N3127" s="14">
        <f>IF(L3127="","",ROUND(L3127*'สรุป'!$C$6,-1))</f>
        <v/>
      </c>
      <c r="O3127" s="15" t="n"/>
      <c r="P3127" s="15" t="n"/>
      <c r="Q3127" s="10" t="n"/>
      <c r="R3127" s="10" t="n"/>
      <c r="S3127" s="16" t="inlineStr">
        <is>
          <t>https://mstgolf.co.th/products/gf2000105496</t>
        </is>
      </c>
      <c r="T3127" s="1">
        <f>IF(B3127="ไม้กอล์ฟ",J3127,"")</f>
        <v/>
      </c>
    </row>
    <row r="3128">
      <c r="A3128" s="1" t="n">
        <v>3</v>
      </c>
      <c r="B3128" s="1" t="inlineStr">
        <is>
          <t>หมวก</t>
        </is>
      </c>
      <c r="C3128" s="1" t="inlineStr">
        <is>
          <t>gf2000105494</t>
        </is>
      </c>
      <c r="D3128" s="1" t="inlineStr">
        <is>
          <t>GFORE Mini Skull &amp; Tees Cotton Twill Men’s Cap (Twilight)</t>
        </is>
      </c>
      <c r="E3128" s="1" t="inlineStr">
        <is>
          <t>GFORE</t>
        </is>
      </c>
      <c r="F3128" s="1" t="inlineStr">
        <is>
          <t>CAP</t>
        </is>
      </c>
      <c r="G3128" s="1" t="inlineStr">
        <is>
          <t>GF2000105494FS</t>
        </is>
      </c>
      <c r="H3128" s="1" t="n">
        <v>1</v>
      </c>
      <c r="I3128" s="1" t="inlineStr">
        <is>
          <t>มี</t>
        </is>
      </c>
      <c r="J3128" s="13" t="n">
        <v>69</v>
      </c>
      <c r="K3128" s="1" t="inlineStr"/>
      <c r="L3128" s="13" t="n">
        <v>69</v>
      </c>
      <c r="M3128" s="1">
        <f>IF(L3128="","ไม่พบใน SG",IF(ABS(J3128-L3128)&lt;0.005,"ตรงกัน","ไม่ตรง"))</f>
        <v/>
      </c>
      <c r="N3128" s="14">
        <f>IF(L3128="","",ROUND(L3128*'สรุป'!$C$6,-1))</f>
        <v/>
      </c>
      <c r="O3128" s="15" t="n"/>
      <c r="P3128" s="15" t="n"/>
      <c r="Q3128" s="10" t="n"/>
      <c r="R3128" s="10" t="n"/>
      <c r="S3128" s="16" t="inlineStr">
        <is>
          <t>https://mstgolf.co.th/products/gf2000105494</t>
        </is>
      </c>
      <c r="T3128" s="1">
        <f>IF(B3128="ไม้กอล์ฟ",J3128,"")</f>
        <v/>
      </c>
    </row>
    <row r="3129">
      <c r="A3129" s="1" t="n">
        <v>3</v>
      </c>
      <c r="B3129" s="1" t="inlineStr">
        <is>
          <t>หมวก</t>
        </is>
      </c>
      <c r="C3129" s="1" t="inlineStr">
        <is>
          <t>gf2000105443</t>
        </is>
      </c>
      <c r="D3129" s="1" t="inlineStr">
        <is>
          <t>GFORE No 1 Cares What You Shot Men's Cap (Poppy)</t>
        </is>
      </c>
      <c r="E3129" s="1" t="inlineStr">
        <is>
          <t>GFORE</t>
        </is>
      </c>
      <c r="F3129" s="1" t="inlineStr">
        <is>
          <t>CAP</t>
        </is>
      </c>
      <c r="G3129" s="1" t="inlineStr">
        <is>
          <t>GF2000105443FS</t>
        </is>
      </c>
      <c r="H3129" s="1" t="n">
        <v>1</v>
      </c>
      <c r="I3129" s="1" t="inlineStr">
        <is>
          <t>มี</t>
        </is>
      </c>
      <c r="J3129" s="13" t="n">
        <v>69</v>
      </c>
      <c r="K3129" s="1" t="inlineStr"/>
      <c r="L3129" s="13" t="n">
        <v>69</v>
      </c>
      <c r="M3129" s="1">
        <f>IF(L3129="","ไม่พบใน SG",IF(ABS(J3129-L3129)&lt;0.005,"ตรงกัน","ไม่ตรง"))</f>
        <v/>
      </c>
      <c r="N3129" s="14">
        <f>IF(L3129="","",ROUND(L3129*'สรุป'!$C$6,-1))</f>
        <v/>
      </c>
      <c r="O3129" s="15" t="n"/>
      <c r="P3129" s="15" t="n"/>
      <c r="Q3129" s="10" t="n"/>
      <c r="R3129" s="10" t="n"/>
      <c r="S3129" s="16" t="inlineStr">
        <is>
          <t>https://mstgolf.co.th/products/gf2000105443</t>
        </is>
      </c>
      <c r="T3129" s="1">
        <f>IF(B3129="ไม้กอล์ฟ",J3129,"")</f>
        <v/>
      </c>
    </row>
    <row r="3130">
      <c r="A3130" s="1" t="n">
        <v>3</v>
      </c>
      <c r="B3130" s="1" t="inlineStr">
        <is>
          <t>หมวก</t>
        </is>
      </c>
      <c r="C3130" s="1" t="inlineStr">
        <is>
          <t>gf2000300342</t>
        </is>
      </c>
      <c r="D3130" s="1" t="inlineStr">
        <is>
          <t>GFORE Pray For Birdies Men's Bucket Hat (Twilight)</t>
        </is>
      </c>
      <c r="E3130" s="1" t="inlineStr">
        <is>
          <t>GFORE</t>
        </is>
      </c>
      <c r="F3130" s="1" t="inlineStr">
        <is>
          <t>HAT</t>
        </is>
      </c>
      <c r="G3130" s="1" t="inlineStr">
        <is>
          <t>GF2000300342FS</t>
        </is>
      </c>
      <c r="H3130" s="1" t="n">
        <v>3</v>
      </c>
      <c r="I3130" s="1" t="inlineStr">
        <is>
          <t>มี</t>
        </is>
      </c>
      <c r="J3130" s="13" t="n">
        <v>69</v>
      </c>
      <c r="K3130" s="1" t="inlineStr"/>
      <c r="L3130" s="13" t="n">
        <v>69</v>
      </c>
      <c r="M3130" s="1">
        <f>IF(L3130="","ไม่พบใน SG",IF(ABS(J3130-L3130)&lt;0.005,"ตรงกัน","ไม่ตรง"))</f>
        <v/>
      </c>
      <c r="N3130" s="14">
        <f>IF(L3130="","",ROUND(L3130*'สรุป'!$C$6,-1))</f>
        <v/>
      </c>
      <c r="O3130" s="15" t="n"/>
      <c r="P3130" s="15" t="n"/>
      <c r="Q3130" s="10" t="n"/>
      <c r="R3130" s="10" t="n"/>
      <c r="S3130" s="16" t="inlineStr">
        <is>
          <t>https://mstgolf.co.th/products/gf2000300342</t>
        </is>
      </c>
      <c r="T3130" s="1">
        <f>IF(B3130="ไม้กอล์ฟ",J3130,"")</f>
        <v/>
      </c>
    </row>
    <row r="3131">
      <c r="A3131" s="1" t="n">
        <v>3</v>
      </c>
      <c r="B3131" s="1" t="inlineStr">
        <is>
          <t>หมวก</t>
        </is>
      </c>
      <c r="C3131" s="1" t="inlineStr">
        <is>
          <t>gf2000105058</t>
        </is>
      </c>
      <c r="D3131" s="1" t="inlineStr">
        <is>
          <t>GFORE Pray For Birdies Men's Snapback (Nimbus)</t>
        </is>
      </c>
      <c r="E3131" s="1" t="inlineStr">
        <is>
          <t>GFORE</t>
        </is>
      </c>
      <c r="F3131" s="1" t="inlineStr">
        <is>
          <t>CAP</t>
        </is>
      </c>
      <c r="G3131" s="1" t="inlineStr">
        <is>
          <t>GF2000105058FS</t>
        </is>
      </c>
      <c r="H3131" s="1" t="n">
        <v>1</v>
      </c>
      <c r="I3131" s="1" t="inlineStr">
        <is>
          <t>มี</t>
        </is>
      </c>
      <c r="J3131" s="13" t="n">
        <v>69</v>
      </c>
      <c r="K3131" s="1" t="inlineStr"/>
      <c r="L3131" s="13" t="n">
        <v>69</v>
      </c>
      <c r="M3131" s="1">
        <f>IF(L3131="","ไม่พบใน SG",IF(ABS(J3131-L3131)&lt;0.005,"ตรงกัน","ไม่ตรง"))</f>
        <v/>
      </c>
      <c r="N3131" s="14">
        <f>IF(L3131="","",ROUND(L3131*'สรุป'!$C$6,-1))</f>
        <v/>
      </c>
      <c r="O3131" s="15" t="n"/>
      <c r="P3131" s="15" t="n"/>
      <c r="Q3131" s="10" t="n"/>
      <c r="R3131" s="10" t="n"/>
      <c r="S3131" s="16" t="inlineStr">
        <is>
          <t>https://mstgolf.co.th/products/gf2000105058</t>
        </is>
      </c>
      <c r="T3131" s="1">
        <f>IF(B3131="ไม้กอล์ฟ",J3131,"")</f>
        <v/>
      </c>
    </row>
    <row r="3132">
      <c r="A3132" s="1" t="n">
        <v>3</v>
      </c>
      <c r="B3132" s="1" t="inlineStr">
        <is>
          <t>หมวก</t>
        </is>
      </c>
      <c r="C3132" s="1" t="inlineStr">
        <is>
          <t>gf2000300343</t>
        </is>
      </c>
      <c r="D3132" s="1" t="inlineStr">
        <is>
          <t>GFORE Reversible Men's Bucket Hat (Stone)</t>
        </is>
      </c>
      <c r="E3132" s="1" t="inlineStr">
        <is>
          <t>GFORE</t>
        </is>
      </c>
      <c r="F3132" s="1" t="inlineStr">
        <is>
          <t>HAT</t>
        </is>
      </c>
      <c r="G3132" s="1" t="inlineStr">
        <is>
          <t>GF2000300343FS</t>
        </is>
      </c>
      <c r="H3132" s="1" t="n">
        <v>3</v>
      </c>
      <c r="I3132" s="1" t="inlineStr">
        <is>
          <t>มี</t>
        </is>
      </c>
      <c r="J3132" s="13" t="n">
        <v>69</v>
      </c>
      <c r="K3132" s="1" t="inlineStr"/>
      <c r="L3132" s="13" t="n">
        <v>69</v>
      </c>
      <c r="M3132" s="1">
        <f>IF(L3132="","ไม่พบใน SG",IF(ABS(J3132-L3132)&lt;0.005,"ตรงกัน","ไม่ตรง"))</f>
        <v/>
      </c>
      <c r="N3132" s="14">
        <f>IF(L3132="","",ROUND(L3132*'สรุป'!$C$6,-1))</f>
        <v/>
      </c>
      <c r="O3132" s="15" t="n"/>
      <c r="P3132" s="15" t="n"/>
      <c r="Q3132" s="10" t="n"/>
      <c r="R3132" s="10" t="n"/>
      <c r="S3132" s="16" t="inlineStr">
        <is>
          <t>https://mstgolf.co.th/products/gf2000300343</t>
        </is>
      </c>
      <c r="T3132" s="1">
        <f>IF(B3132="ไม้กอล์ฟ",J3132,"")</f>
        <v/>
      </c>
    </row>
    <row r="3133">
      <c r="A3133" s="1" t="n">
        <v>3</v>
      </c>
      <c r="B3133" s="1" t="inlineStr">
        <is>
          <t>หมวก</t>
        </is>
      </c>
      <c r="C3133" s="1" t="inlineStr">
        <is>
          <t>gf2000105497</t>
        </is>
      </c>
      <c r="D3133" s="1" t="inlineStr">
        <is>
          <t>GFORE Shots Ripstop Men's Snapback Cap (Navy)</t>
        </is>
      </c>
      <c r="E3133" s="1" t="inlineStr">
        <is>
          <t>GFORE</t>
        </is>
      </c>
      <c r="F3133" s="1" t="inlineStr">
        <is>
          <t>CAP</t>
        </is>
      </c>
      <c r="G3133" s="1" t="inlineStr">
        <is>
          <t>GF2000105497FS</t>
        </is>
      </c>
      <c r="H3133" s="1" t="n">
        <v>1</v>
      </c>
      <c r="I3133" s="1" t="inlineStr">
        <is>
          <t>มี</t>
        </is>
      </c>
      <c r="J3133" s="13" t="n">
        <v>69</v>
      </c>
      <c r="K3133" s="1" t="inlineStr"/>
      <c r="L3133" s="13" t="n"/>
      <c r="M3133" s="1">
        <f>IF(L3133="","ไม่พบใน SG",IF(ABS(J3133-L3133)&lt;0.005,"ตรงกัน","ไม่ตรง"))</f>
        <v/>
      </c>
      <c r="N3133" s="14">
        <f>IF(L3133="","",ROUND(L3133*'สรุป'!$C$6,-1))</f>
        <v/>
      </c>
      <c r="O3133" s="15" t="n"/>
      <c r="P3133" s="15" t="n"/>
      <c r="Q3133" s="10" t="n"/>
      <c r="R3133" s="10" t="n"/>
      <c r="S3133" s="16" t="inlineStr">
        <is>
          <t>https://mstgolf.co.th/products/gf2000105497</t>
        </is>
      </c>
      <c r="T3133" s="1">
        <f>IF(B3133="ไม้กอล์ฟ",J3133,"")</f>
        <v/>
      </c>
    </row>
    <row r="3134">
      <c r="A3134" s="1" t="n">
        <v>3</v>
      </c>
      <c r="B3134" s="1" t="inlineStr">
        <is>
          <t>หมวก</t>
        </is>
      </c>
      <c r="C3134" s="1" t="inlineStr">
        <is>
          <t>gf2000105054</t>
        </is>
      </c>
      <c r="D3134" s="1" t="inlineStr">
        <is>
          <t>GFORE Shut Your Face Men's Cap (White)</t>
        </is>
      </c>
      <c r="E3134" s="1" t="inlineStr">
        <is>
          <t>GFORE</t>
        </is>
      </c>
      <c r="F3134" s="1" t="inlineStr">
        <is>
          <t>CAP</t>
        </is>
      </c>
      <c r="G3134" s="1" t="inlineStr">
        <is>
          <t>GF2000105054FS</t>
        </is>
      </c>
      <c r="H3134" s="1" t="n">
        <v>1</v>
      </c>
      <c r="I3134" s="1" t="inlineStr">
        <is>
          <t>มี</t>
        </is>
      </c>
      <c r="J3134" s="13" t="n">
        <v>69</v>
      </c>
      <c r="K3134" s="1" t="inlineStr"/>
      <c r="L3134" s="13" t="n">
        <v>69</v>
      </c>
      <c r="M3134" s="1">
        <f>IF(L3134="","ไม่พบใน SG",IF(ABS(J3134-L3134)&lt;0.005,"ตรงกัน","ไม่ตรง"))</f>
        <v/>
      </c>
      <c r="N3134" s="14">
        <f>IF(L3134="","",ROUND(L3134*'สรุป'!$C$6,-1))</f>
        <v/>
      </c>
      <c r="O3134" s="15" t="n"/>
      <c r="P3134" s="15" t="n"/>
      <c r="Q3134" s="10" t="n"/>
      <c r="R3134" s="10" t="n"/>
      <c r="S3134" s="16" t="inlineStr">
        <is>
          <t>https://mstgolf.co.th/products/gf2000105054</t>
        </is>
      </c>
      <c r="T3134" s="1">
        <f>IF(B3134="ไม้กอล์ฟ",J3134,"")</f>
        <v/>
      </c>
    </row>
    <row r="3135">
      <c r="A3135" s="1" t="n">
        <v>3</v>
      </c>
      <c r="B3135" s="1" t="inlineStr">
        <is>
          <t>หมวก</t>
        </is>
      </c>
      <c r="C3135" s="1" t="inlineStr">
        <is>
          <t>gf2000105456</t>
        </is>
      </c>
      <c r="D3135" s="1" t="inlineStr">
        <is>
          <t>GFORE Skull &amp; T's Stretch Twill Women's Visor (Cameo)</t>
        </is>
      </c>
      <c r="E3135" s="1" t="inlineStr">
        <is>
          <t>GFORE</t>
        </is>
      </c>
      <c r="F3135" s="1" t="inlineStr">
        <is>
          <t>CAP</t>
        </is>
      </c>
      <c r="G3135" s="1" t="inlineStr">
        <is>
          <t>GF2000105456FS</t>
        </is>
      </c>
      <c r="H3135" s="1" t="n">
        <v>1</v>
      </c>
      <c r="I3135" s="1" t="inlineStr">
        <is>
          <t>มี</t>
        </is>
      </c>
      <c r="J3135" s="13" t="n">
        <v>69</v>
      </c>
      <c r="K3135" s="1" t="inlineStr"/>
      <c r="L3135" s="13" t="n">
        <v>69</v>
      </c>
      <c r="M3135" s="1">
        <f>IF(L3135="","ไม่พบใน SG",IF(ABS(J3135-L3135)&lt;0.005,"ตรงกัน","ไม่ตรง"))</f>
        <v/>
      </c>
      <c r="N3135" s="14">
        <f>IF(L3135="","",ROUND(L3135*'สรุป'!$C$6,-1))</f>
        <v/>
      </c>
      <c r="O3135" s="15" t="n"/>
      <c r="P3135" s="15" t="n"/>
      <c r="Q3135" s="10" t="n"/>
      <c r="R3135" s="10" t="n"/>
      <c r="S3135" s="16" t="inlineStr">
        <is>
          <t>https://mstgolf.co.th/products/gf2000105456</t>
        </is>
      </c>
      <c r="T3135" s="1">
        <f>IF(B3135="ไม้กอล์ฟ",J3135,"")</f>
        <v/>
      </c>
    </row>
    <row r="3136">
      <c r="A3136" s="1" t="n">
        <v>3</v>
      </c>
      <c r="B3136" s="1" t="inlineStr">
        <is>
          <t>เสื้อผ้า</t>
        </is>
      </c>
      <c r="C3136" s="1" t="inlineStr">
        <is>
          <t>gf2020300087</t>
        </is>
      </c>
      <c r="D3136" s="1" t="inlineStr">
        <is>
          <t>LE COQ SPORTIF GOLF 30th Anniversary Skirt (Red)</t>
        </is>
      </c>
      <c r="E3136" s="1" t="inlineStr">
        <is>
          <t>LE COQ SPORTIF GOLF</t>
        </is>
      </c>
      <c r="F3136" s="1" t="inlineStr">
        <is>
          <t>SKORTS</t>
        </is>
      </c>
      <c r="G3136" s="1" t="inlineStr">
        <is>
          <t>GF2020300087S</t>
        </is>
      </c>
      <c r="H3136" s="1" t="n">
        <v>6</v>
      </c>
      <c r="I3136" s="1" t="inlineStr">
        <is>
          <t>มี</t>
        </is>
      </c>
      <c r="J3136" s="13" t="n">
        <v>69</v>
      </c>
      <c r="K3136" s="1" t="inlineStr"/>
      <c r="L3136" s="13" t="n">
        <v>69</v>
      </c>
      <c r="M3136" s="1">
        <f>IF(L3136="","ไม่พบใน SG",IF(ABS(J3136-L3136)&lt;0.005,"ตรงกัน","ไม่ตรง"))</f>
        <v/>
      </c>
      <c r="N3136" s="14">
        <f>IF(L3136="","",ROUND(L3136*'สรุป'!$C$6,-1))</f>
        <v/>
      </c>
      <c r="O3136" s="15" t="n"/>
      <c r="P3136" s="15" t="n"/>
      <c r="Q3136" s="10" t="n"/>
      <c r="R3136" s="10" t="n"/>
      <c r="S3136" s="16" t="inlineStr">
        <is>
          <t>https://mstgolf.co.th/products/gf2020300087</t>
        </is>
      </c>
      <c r="T3136" s="1">
        <f>IF(B3136="ไม้กอล์ฟ",J3136,"")</f>
        <v/>
      </c>
    </row>
    <row r="3137">
      <c r="A3137" s="1" t="n">
        <v>3</v>
      </c>
      <c r="B3137" s="1" t="inlineStr">
        <is>
          <t>เสื้อผ้า</t>
        </is>
      </c>
      <c r="C3137" s="1" t="inlineStr">
        <is>
          <t>gf2040120714</t>
        </is>
      </c>
      <c r="D3137" s="1" t="inlineStr">
        <is>
          <t>LE COQ SPORTIF GOLF Logo Print Men's Polo (Lime)</t>
        </is>
      </c>
      <c r="E3137" s="1" t="inlineStr">
        <is>
          <t>LE COQ SPORTIF GOLF</t>
        </is>
      </c>
      <c r="F3137" s="1" t="inlineStr">
        <is>
          <t>SHORT SLEEVES</t>
        </is>
      </c>
      <c r="G3137" s="1" t="inlineStr">
        <is>
          <t>GF2040120714M</t>
        </is>
      </c>
      <c r="H3137" s="1" t="n">
        <v>4</v>
      </c>
      <c r="I3137" s="1" t="inlineStr">
        <is>
          <t>มี</t>
        </is>
      </c>
      <c r="J3137" s="13" t="n">
        <v>69</v>
      </c>
      <c r="K3137" s="1" t="inlineStr"/>
      <c r="L3137" s="13" t="n">
        <v>69</v>
      </c>
      <c r="M3137" s="1">
        <f>IF(L3137="","ไม่พบใน SG",IF(ABS(J3137-L3137)&lt;0.005,"ตรงกัน","ไม่ตรง"))</f>
        <v/>
      </c>
      <c r="N3137" s="14">
        <f>IF(L3137="","",ROUND(L3137*'สรุป'!$C$6,-1))</f>
        <v/>
      </c>
      <c r="O3137" s="15" t="n"/>
      <c r="P3137" s="15" t="n"/>
      <c r="Q3137" s="10" t="n"/>
      <c r="R3137" s="10" t="n"/>
      <c r="S3137" s="16" t="inlineStr">
        <is>
          <t>https://mstgolf.co.th/products/gf2040120714</t>
        </is>
      </c>
      <c r="T3137" s="1">
        <f>IF(B3137="ไม้กอล์ฟ",J3137,"")</f>
        <v/>
      </c>
    </row>
    <row r="3138">
      <c r="A3138" s="1" t="n">
        <v>3</v>
      </c>
      <c r="B3138" s="1" t="inlineStr">
        <is>
          <t>เสื้อผ้า</t>
        </is>
      </c>
      <c r="C3138" s="1" t="inlineStr">
        <is>
          <t>gf2040120715</t>
        </is>
      </c>
      <c r="D3138" s="1" t="inlineStr">
        <is>
          <t>LE COQ SPORTIF GOLF Logo Print Men's Polo (Navy)</t>
        </is>
      </c>
      <c r="E3138" s="1" t="inlineStr">
        <is>
          <t>LE COQ SPORTIF GOLF</t>
        </is>
      </c>
      <c r="F3138" s="1" t="inlineStr">
        <is>
          <t>SHORT SLEEVES</t>
        </is>
      </c>
      <c r="G3138" s="1" t="inlineStr">
        <is>
          <t>GF2040120715M</t>
        </is>
      </c>
      <c r="H3138" s="1" t="n">
        <v>4</v>
      </c>
      <c r="I3138" s="1" t="inlineStr">
        <is>
          <t>มี</t>
        </is>
      </c>
      <c r="J3138" s="13" t="n">
        <v>69</v>
      </c>
      <c r="K3138" s="1" t="inlineStr"/>
      <c r="L3138" s="13" t="n">
        <v>69</v>
      </c>
      <c r="M3138" s="1">
        <f>IF(L3138="","ไม่พบใน SG",IF(ABS(J3138-L3138)&lt;0.005,"ตรงกัน","ไม่ตรง"))</f>
        <v/>
      </c>
      <c r="N3138" s="14">
        <f>IF(L3138="","",ROUND(L3138*'สรุป'!$C$6,-1))</f>
        <v/>
      </c>
      <c r="O3138" s="15" t="n"/>
      <c r="P3138" s="15" t="n"/>
      <c r="Q3138" s="10" t="n"/>
      <c r="R3138" s="10" t="n"/>
      <c r="S3138" s="16" t="inlineStr">
        <is>
          <t>https://mstgolf.co.th/products/gf2040120715</t>
        </is>
      </c>
      <c r="T3138" s="1">
        <f>IF(B3138="ไม้กอล์ฟ",J3138,"")</f>
        <v/>
      </c>
    </row>
    <row r="3139">
      <c r="A3139" s="1" t="n">
        <v>3</v>
      </c>
      <c r="B3139" s="1" t="inlineStr">
        <is>
          <t>เสื้อผ้า</t>
        </is>
      </c>
      <c r="C3139" s="1" t="inlineStr">
        <is>
          <t>gf2040120716</t>
        </is>
      </c>
      <c r="D3139" s="1" t="inlineStr">
        <is>
          <t>LE COQ SPORTIF GOLF Logo Print Men's Polo (White)</t>
        </is>
      </c>
      <c r="E3139" s="1" t="inlineStr">
        <is>
          <t>LE COQ SPORTIF GOLF</t>
        </is>
      </c>
      <c r="F3139" s="1" t="inlineStr">
        <is>
          <t>SHORT SLEEVES</t>
        </is>
      </c>
      <c r="G3139" s="1" t="inlineStr">
        <is>
          <t>GF2040120716M</t>
        </is>
      </c>
      <c r="H3139" s="1" t="n">
        <v>4</v>
      </c>
      <c r="I3139" s="1" t="inlineStr">
        <is>
          <t>มี</t>
        </is>
      </c>
      <c r="J3139" s="13" t="n">
        <v>69</v>
      </c>
      <c r="K3139" s="1" t="inlineStr"/>
      <c r="L3139" s="13" t="n">
        <v>69</v>
      </c>
      <c r="M3139" s="1">
        <f>IF(L3139="","ไม่พบใน SG",IF(ABS(J3139-L3139)&lt;0.005,"ตรงกัน","ไม่ตรง"))</f>
        <v/>
      </c>
      <c r="N3139" s="14">
        <f>IF(L3139="","",ROUND(L3139*'สรุป'!$C$6,-1))</f>
        <v/>
      </c>
      <c r="O3139" s="15" t="n"/>
      <c r="P3139" s="15" t="n"/>
      <c r="Q3139" s="10" t="n"/>
      <c r="R3139" s="10" t="n"/>
      <c r="S3139" s="16" t="inlineStr">
        <is>
          <t>https://mstgolf.co.th/products/gf2040120716</t>
        </is>
      </c>
      <c r="T3139" s="1">
        <f>IF(B3139="ไม้กอล์ฟ",J3139,"")</f>
        <v/>
      </c>
    </row>
    <row r="3140">
      <c r="A3140" s="1" t="n">
        <v>3</v>
      </c>
      <c r="B3140" s="1" t="inlineStr">
        <is>
          <t>เสื้อผ้า</t>
        </is>
      </c>
      <c r="C3140" s="1" t="inlineStr">
        <is>
          <t>gf2020102546</t>
        </is>
      </c>
      <c r="D3140" s="1" t="inlineStr">
        <is>
          <t>LE COQ SPORTIF GOLF Men's Slack Pants (Black)</t>
        </is>
      </c>
      <c r="E3140" s="1" t="inlineStr">
        <is>
          <t>LE COQ SPORTIF GOLF</t>
        </is>
      </c>
      <c r="F3140" s="1" t="inlineStr">
        <is>
          <t>LONG PANTS</t>
        </is>
      </c>
      <c r="G3140" s="1" t="inlineStr">
        <is>
          <t>GF202010254676</t>
        </is>
      </c>
      <c r="H3140" s="1" t="n">
        <v>7</v>
      </c>
      <c r="I3140" s="1" t="inlineStr">
        <is>
          <t>มี</t>
        </is>
      </c>
      <c r="J3140" s="13" t="n">
        <v>69</v>
      </c>
      <c r="K3140" s="1" t="inlineStr"/>
      <c r="L3140" s="13" t="n">
        <v>69</v>
      </c>
      <c r="M3140" s="1">
        <f>IF(L3140="","ไม่พบใน SG",IF(ABS(J3140-L3140)&lt;0.005,"ตรงกัน","ไม่ตรง"))</f>
        <v/>
      </c>
      <c r="N3140" s="14">
        <f>IF(L3140="","",ROUND(L3140*'สรุป'!$C$6,-1))</f>
        <v/>
      </c>
      <c r="O3140" s="15" t="n"/>
      <c r="P3140" s="15" t="n"/>
      <c r="Q3140" s="10" t="n"/>
      <c r="R3140" s="10" t="n"/>
      <c r="S3140" s="16" t="inlineStr">
        <is>
          <t>https://mstgolf.co.th/products/gf2020102546</t>
        </is>
      </c>
      <c r="T3140" s="1">
        <f>IF(B3140="ไม้กอล์ฟ",J3140,"")</f>
        <v/>
      </c>
    </row>
    <row r="3141">
      <c r="A3141" s="1" t="n">
        <v>3</v>
      </c>
      <c r="B3141" s="1" t="inlineStr">
        <is>
          <t>เสื้อผ้า</t>
        </is>
      </c>
      <c r="C3141" s="1" t="inlineStr">
        <is>
          <t>gf2020102565</t>
        </is>
      </c>
      <c r="D3141" s="1" t="inlineStr">
        <is>
          <t>LE COQ SPORTIF GOLF Men's Slack Pants (Grey )</t>
        </is>
      </c>
      <c r="E3141" s="1" t="inlineStr">
        <is>
          <t>LE COQ SPORTIF GOLF</t>
        </is>
      </c>
      <c r="F3141" s="1" t="inlineStr">
        <is>
          <t>LONG PANTS</t>
        </is>
      </c>
      <c r="G3141" s="1" t="inlineStr">
        <is>
          <t>GF202010256576</t>
        </is>
      </c>
      <c r="H3141" s="1" t="n">
        <v>7</v>
      </c>
      <c r="I3141" s="1" t="inlineStr">
        <is>
          <t>มี</t>
        </is>
      </c>
      <c r="J3141" s="13" t="n">
        <v>69</v>
      </c>
      <c r="K3141" s="1" t="inlineStr"/>
      <c r="L3141" s="13" t="n">
        <v>69</v>
      </c>
      <c r="M3141" s="1">
        <f>IF(L3141="","ไม่พบใน SG",IF(ABS(J3141-L3141)&lt;0.005,"ตรงกัน","ไม่ตรง"))</f>
        <v/>
      </c>
      <c r="N3141" s="14">
        <f>IF(L3141="","",ROUND(L3141*'สรุป'!$C$6,-1))</f>
        <v/>
      </c>
      <c r="O3141" s="15" t="n"/>
      <c r="P3141" s="15" t="n"/>
      <c r="Q3141" s="10" t="n"/>
      <c r="R3141" s="10" t="n"/>
      <c r="S3141" s="16" t="inlineStr">
        <is>
          <t>https://mstgolf.co.th/products/gf2020102565</t>
        </is>
      </c>
      <c r="T3141" s="1">
        <f>IF(B3141="ไม้กอล์ฟ",J3141,"")</f>
        <v/>
      </c>
    </row>
    <row r="3142">
      <c r="A3142" s="1" t="n">
        <v>3</v>
      </c>
      <c r="B3142" s="1" t="inlineStr">
        <is>
          <t>เสื้อผ้า</t>
        </is>
      </c>
      <c r="C3142" s="1" t="inlineStr">
        <is>
          <t>gf2040120721</t>
        </is>
      </c>
      <c r="D3142" s="1" t="inlineStr">
        <is>
          <t>LE COQ SPORTIF GOLF Nylon Stretch Men's Polo (Green)</t>
        </is>
      </c>
      <c r="E3142" s="1" t="inlineStr">
        <is>
          <t>LE COQ SPORTIF GOLF</t>
        </is>
      </c>
      <c r="F3142" s="1" t="inlineStr">
        <is>
          <t>SHORT SLEEVES</t>
        </is>
      </c>
      <c r="G3142" s="1" t="inlineStr">
        <is>
          <t>GF2040120721M</t>
        </is>
      </c>
      <c r="H3142" s="1" t="n">
        <v>4</v>
      </c>
      <c r="I3142" s="1" t="inlineStr">
        <is>
          <t>มี</t>
        </is>
      </c>
      <c r="J3142" s="13" t="n">
        <v>69</v>
      </c>
      <c r="K3142" s="1" t="inlineStr"/>
      <c r="L3142" s="13" t="n">
        <v>69</v>
      </c>
      <c r="M3142" s="1">
        <f>IF(L3142="","ไม่พบใน SG",IF(ABS(J3142-L3142)&lt;0.005,"ตรงกัน","ไม่ตรง"))</f>
        <v/>
      </c>
      <c r="N3142" s="14">
        <f>IF(L3142="","",ROUND(L3142*'สรุป'!$C$6,-1))</f>
        <v/>
      </c>
      <c r="O3142" s="15" t="n"/>
      <c r="P3142" s="15" t="n"/>
      <c r="Q3142" s="10" t="n"/>
      <c r="R3142" s="10" t="n"/>
      <c r="S3142" s="16" t="inlineStr">
        <is>
          <t>https://mstgolf.co.th/products/gf2040120721</t>
        </is>
      </c>
      <c r="T3142" s="1">
        <f>IF(B3142="ไม้กอล์ฟ",J3142,"")</f>
        <v/>
      </c>
    </row>
    <row r="3143">
      <c r="A3143" s="1" t="n">
        <v>3</v>
      </c>
      <c r="B3143" s="1" t="inlineStr">
        <is>
          <t>เสื้อผ้า</t>
        </is>
      </c>
      <c r="C3143" s="1" t="inlineStr">
        <is>
          <t>gf2040120722</t>
        </is>
      </c>
      <c r="D3143" s="1" t="inlineStr">
        <is>
          <t>LE COQ SPORTIF GOLF Nylon Stretch Men's Polo (Grey)</t>
        </is>
      </c>
      <c r="E3143" s="1" t="inlineStr">
        <is>
          <t>LE COQ SPORTIF GOLF</t>
        </is>
      </c>
      <c r="F3143" s="1" t="inlineStr">
        <is>
          <t>SHORT SLEEVES</t>
        </is>
      </c>
      <c r="G3143" s="1" t="inlineStr">
        <is>
          <t>GF2040120722M</t>
        </is>
      </c>
      <c r="H3143" s="1" t="n">
        <v>4</v>
      </c>
      <c r="I3143" s="1" t="inlineStr">
        <is>
          <t>มี</t>
        </is>
      </c>
      <c r="J3143" s="13" t="n">
        <v>69</v>
      </c>
      <c r="K3143" s="1" t="inlineStr"/>
      <c r="L3143" s="13" t="n">
        <v>69</v>
      </c>
      <c r="M3143" s="1">
        <f>IF(L3143="","ไม่พบใน SG",IF(ABS(J3143-L3143)&lt;0.005,"ตรงกัน","ไม่ตรง"))</f>
        <v/>
      </c>
      <c r="N3143" s="14">
        <f>IF(L3143="","",ROUND(L3143*'สรุป'!$C$6,-1))</f>
        <v/>
      </c>
      <c r="O3143" s="15" t="n"/>
      <c r="P3143" s="15" t="n"/>
      <c r="Q3143" s="10" t="n"/>
      <c r="R3143" s="10" t="n"/>
      <c r="S3143" s="16" t="inlineStr">
        <is>
          <t>https://mstgolf.co.th/products/gf2040120722</t>
        </is>
      </c>
      <c r="T3143" s="1">
        <f>IF(B3143="ไม้กอล์ฟ",J3143,"")</f>
        <v/>
      </c>
    </row>
    <row r="3144">
      <c r="A3144" s="1" t="n">
        <v>3</v>
      </c>
      <c r="B3144" s="1" t="inlineStr">
        <is>
          <t>เสื้อผ้า</t>
        </is>
      </c>
      <c r="C3144" s="1" t="inlineStr">
        <is>
          <t>gf2040120723</t>
        </is>
      </c>
      <c r="D3144" s="1" t="inlineStr">
        <is>
          <t>LE COQ SPORTIF GOLF Nylon Stretch Men's Polo (Lime)</t>
        </is>
      </c>
      <c r="E3144" s="1" t="inlineStr">
        <is>
          <t>LE COQ SPORTIF GOLF</t>
        </is>
      </c>
      <c r="F3144" s="1" t="inlineStr">
        <is>
          <t>SHORT SLEEVES</t>
        </is>
      </c>
      <c r="G3144" s="1" t="inlineStr">
        <is>
          <t>GF2040120723M</t>
        </is>
      </c>
      <c r="H3144" s="1" t="n">
        <v>4</v>
      </c>
      <c r="I3144" s="1" t="inlineStr">
        <is>
          <t>มี</t>
        </is>
      </c>
      <c r="J3144" s="13" t="n">
        <v>69</v>
      </c>
      <c r="K3144" s="1" t="inlineStr"/>
      <c r="L3144" s="13" t="n">
        <v>69</v>
      </c>
      <c r="M3144" s="1">
        <f>IF(L3144="","ไม่พบใน SG",IF(ABS(J3144-L3144)&lt;0.005,"ตรงกัน","ไม่ตรง"))</f>
        <v/>
      </c>
      <c r="N3144" s="14">
        <f>IF(L3144="","",ROUND(L3144*'สรุป'!$C$6,-1))</f>
        <v/>
      </c>
      <c r="O3144" s="15" t="n"/>
      <c r="P3144" s="15" t="n"/>
      <c r="Q3144" s="10" t="n"/>
      <c r="R3144" s="10" t="n"/>
      <c r="S3144" s="16" t="inlineStr">
        <is>
          <t>https://mstgolf.co.th/products/gf2040120723</t>
        </is>
      </c>
      <c r="T3144" s="1">
        <f>IF(B3144="ไม้กอล์ฟ",J3144,"")</f>
        <v/>
      </c>
    </row>
    <row r="3145">
      <c r="A3145" s="1" t="n">
        <v>3</v>
      </c>
      <c r="B3145" s="1" t="inlineStr">
        <is>
          <t>เสื้อผ้า</t>
        </is>
      </c>
      <c r="C3145" s="1" t="inlineStr">
        <is>
          <t>gf2040120724</t>
        </is>
      </c>
      <c r="D3145" s="1" t="inlineStr">
        <is>
          <t>LE COQ SPORTIF GOLF Nylon Stretch Men's Polo (Navy)</t>
        </is>
      </c>
      <c r="E3145" s="1" t="inlineStr">
        <is>
          <t>LE COQ SPORTIF GOLF</t>
        </is>
      </c>
      <c r="F3145" s="1" t="inlineStr">
        <is>
          <t>SHORT SLEEVES</t>
        </is>
      </c>
      <c r="G3145" s="1" t="inlineStr">
        <is>
          <t>GF2040120724M</t>
        </is>
      </c>
      <c r="H3145" s="1" t="n">
        <v>4</v>
      </c>
      <c r="I3145" s="1" t="inlineStr">
        <is>
          <t>มี</t>
        </is>
      </c>
      <c r="J3145" s="13" t="n">
        <v>69</v>
      </c>
      <c r="K3145" s="1" t="inlineStr"/>
      <c r="L3145" s="13" t="n">
        <v>69</v>
      </c>
      <c r="M3145" s="1">
        <f>IF(L3145="","ไม่พบใน SG",IF(ABS(J3145-L3145)&lt;0.005,"ตรงกัน","ไม่ตรง"))</f>
        <v/>
      </c>
      <c r="N3145" s="14">
        <f>IF(L3145="","",ROUND(L3145*'สรุป'!$C$6,-1))</f>
        <v/>
      </c>
      <c r="O3145" s="15" t="n"/>
      <c r="P3145" s="15" t="n"/>
      <c r="Q3145" s="10" t="n"/>
      <c r="R3145" s="10" t="n"/>
      <c r="S3145" s="16" t="inlineStr">
        <is>
          <t>https://mstgolf.co.th/products/gf2040120724</t>
        </is>
      </c>
      <c r="T3145" s="1">
        <f>IF(B3145="ไม้กอล์ฟ",J3145,"")</f>
        <v/>
      </c>
    </row>
    <row r="3146">
      <c r="A3146" s="1" t="n">
        <v>3</v>
      </c>
      <c r="B3146" s="1" t="inlineStr">
        <is>
          <t>เสื้อผ้า</t>
        </is>
      </c>
      <c r="C3146" s="1" t="inlineStr">
        <is>
          <t>gf2040120725</t>
        </is>
      </c>
      <c r="D3146" s="1" t="inlineStr">
        <is>
          <t>LE COQ SPORTIF GOLF Nylon Stretch Men's Polo (Yellow)</t>
        </is>
      </c>
      <c r="E3146" s="1" t="inlineStr">
        <is>
          <t>LE COQ SPORTIF GOLF</t>
        </is>
      </c>
      <c r="F3146" s="1" t="inlineStr">
        <is>
          <t>SHORT SLEEVES</t>
        </is>
      </c>
      <c r="G3146" s="1" t="inlineStr">
        <is>
          <t>GF2040120725M</t>
        </is>
      </c>
      <c r="H3146" s="1" t="n">
        <v>4</v>
      </c>
      <c r="I3146" s="1" t="inlineStr">
        <is>
          <t>มี</t>
        </is>
      </c>
      <c r="J3146" s="13" t="n">
        <v>69</v>
      </c>
      <c r="K3146" s="1" t="inlineStr"/>
      <c r="L3146" s="13" t="n">
        <v>69</v>
      </c>
      <c r="M3146" s="1">
        <f>IF(L3146="","ไม่พบใน SG",IF(ABS(J3146-L3146)&lt;0.005,"ตรงกัน","ไม่ตรง"))</f>
        <v/>
      </c>
      <c r="N3146" s="14">
        <f>IF(L3146="","",ROUND(L3146*'สรุป'!$C$6,-1))</f>
        <v/>
      </c>
      <c r="O3146" s="15" t="n"/>
      <c r="P3146" s="15" t="n"/>
      <c r="Q3146" s="10" t="n"/>
      <c r="R3146" s="10" t="n"/>
      <c r="S3146" s="16" t="inlineStr">
        <is>
          <t>https://mstgolf.co.th/products/gf2040120725</t>
        </is>
      </c>
      <c r="T3146" s="1">
        <f>IF(B3146="ไม้กอล์ฟ",J3146,"")</f>
        <v/>
      </c>
    </row>
    <row r="3147">
      <c r="A3147" s="1" t="n">
        <v>3</v>
      </c>
      <c r="B3147" s="1" t="inlineStr">
        <is>
          <t>เสื้อผ้า</t>
        </is>
      </c>
      <c r="C3147" s="1" t="inlineStr">
        <is>
          <t>gf2020300092</t>
        </is>
      </c>
      <c r="D3147" s="1" t="inlineStr">
        <is>
          <t>LE COQ SPORTIF GOLF Pattern Pleated Skort (Black)</t>
        </is>
      </c>
      <c r="E3147" s="1" t="inlineStr">
        <is>
          <t>LE COQ SPORTIF GOLF</t>
        </is>
      </c>
      <c r="F3147" s="1" t="inlineStr">
        <is>
          <t>SKORTS</t>
        </is>
      </c>
      <c r="G3147" s="1" t="inlineStr">
        <is>
          <t>GF2020300092S</t>
        </is>
      </c>
      <c r="H3147" s="1" t="n">
        <v>5</v>
      </c>
      <c r="I3147" s="1" t="inlineStr">
        <is>
          <t>มี</t>
        </is>
      </c>
      <c r="J3147" s="13" t="n">
        <v>69</v>
      </c>
      <c r="K3147" s="1" t="inlineStr"/>
      <c r="L3147" s="13" t="n">
        <v>69</v>
      </c>
      <c r="M3147" s="1">
        <f>IF(L3147="","ไม่พบใน SG",IF(ABS(J3147-L3147)&lt;0.005,"ตรงกัน","ไม่ตรง"))</f>
        <v/>
      </c>
      <c r="N3147" s="14">
        <f>IF(L3147="","",ROUND(L3147*'สรุป'!$C$6,-1))</f>
        <v/>
      </c>
      <c r="O3147" s="15" t="n"/>
      <c r="P3147" s="15" t="n"/>
      <c r="Q3147" s="10" t="n"/>
      <c r="R3147" s="10" t="n"/>
      <c r="S3147" s="16" t="inlineStr">
        <is>
          <t>https://mstgolf.co.th/products/gf2020300092</t>
        </is>
      </c>
      <c r="T3147" s="1">
        <f>IF(B3147="ไม้กอล์ฟ",J3147,"")</f>
        <v/>
      </c>
    </row>
    <row r="3148">
      <c r="A3148" s="1" t="n">
        <v>3</v>
      </c>
      <c r="B3148" s="1" t="inlineStr">
        <is>
          <t>เสื้อผ้า</t>
        </is>
      </c>
      <c r="C3148" s="1" t="inlineStr">
        <is>
          <t>gf2020300093</t>
        </is>
      </c>
      <c r="D3148" s="1" t="inlineStr">
        <is>
          <t>LE COQ SPORTIF GOLF Pattern Pleated Skort (Khaki)</t>
        </is>
      </c>
      <c r="E3148" s="1" t="inlineStr">
        <is>
          <t>LE COQ SPORTIF GOLF</t>
        </is>
      </c>
      <c r="F3148" s="1" t="inlineStr">
        <is>
          <t>SKORTS</t>
        </is>
      </c>
      <c r="G3148" s="1" t="inlineStr">
        <is>
          <t>GF2020300093S</t>
        </is>
      </c>
      <c r="H3148" s="1" t="n">
        <v>5</v>
      </c>
      <c r="I3148" s="1" t="inlineStr">
        <is>
          <t>มี</t>
        </is>
      </c>
      <c r="J3148" s="13" t="n">
        <v>69</v>
      </c>
      <c r="K3148" s="1" t="inlineStr"/>
      <c r="L3148" s="13" t="n">
        <v>69</v>
      </c>
      <c r="M3148" s="1">
        <f>IF(L3148="","ไม่พบใน SG",IF(ABS(J3148-L3148)&lt;0.005,"ตรงกัน","ไม่ตรง"))</f>
        <v/>
      </c>
      <c r="N3148" s="14">
        <f>IF(L3148="","",ROUND(L3148*'สรุป'!$C$6,-1))</f>
        <v/>
      </c>
      <c r="O3148" s="15" t="n"/>
      <c r="P3148" s="15" t="n"/>
      <c r="Q3148" s="10" t="n"/>
      <c r="R3148" s="10" t="n"/>
      <c r="S3148" s="16" t="inlineStr">
        <is>
          <t>https://mstgolf.co.th/products/gf2020300093</t>
        </is>
      </c>
      <c r="T3148" s="1">
        <f>IF(B3148="ไม้กอล์ฟ",J3148,"")</f>
        <v/>
      </c>
    </row>
    <row r="3149">
      <c r="A3149" s="1" t="n">
        <v>3</v>
      </c>
      <c r="B3149" s="1" t="inlineStr">
        <is>
          <t>เสื้อผ้า</t>
        </is>
      </c>
      <c r="C3149" s="1" t="inlineStr">
        <is>
          <t>gf2020300091</t>
        </is>
      </c>
      <c r="D3149" s="1" t="inlineStr">
        <is>
          <t>LE COQ SPORTIF GOLF Pattern Pleated Skort (White)</t>
        </is>
      </c>
      <c r="E3149" s="1" t="inlineStr">
        <is>
          <t>LE COQ SPORTIF GOLF</t>
        </is>
      </c>
      <c r="F3149" s="1" t="inlineStr">
        <is>
          <t>SKORTS</t>
        </is>
      </c>
      <c r="G3149" s="1" t="inlineStr">
        <is>
          <t>GF2020300091S</t>
        </is>
      </c>
      <c r="H3149" s="1" t="n">
        <v>5</v>
      </c>
      <c r="I3149" s="1" t="inlineStr">
        <is>
          <t>มี</t>
        </is>
      </c>
      <c r="J3149" s="13" t="n">
        <v>69</v>
      </c>
      <c r="K3149" s="1" t="inlineStr"/>
      <c r="L3149" s="13" t="n"/>
      <c r="M3149" s="1">
        <f>IF(L3149="","ไม่พบใน SG",IF(ABS(J3149-L3149)&lt;0.005,"ตรงกัน","ไม่ตรง"))</f>
        <v/>
      </c>
      <c r="N3149" s="14">
        <f>IF(L3149="","",ROUND(L3149*'สรุป'!$C$6,-1))</f>
        <v/>
      </c>
      <c r="O3149" s="15" t="n"/>
      <c r="P3149" s="15" t="n"/>
      <c r="Q3149" s="10" t="n"/>
      <c r="R3149" s="10" t="n"/>
      <c r="S3149" s="16" t="inlineStr">
        <is>
          <t>https://mstgolf.co.th/products/gf2020300091</t>
        </is>
      </c>
      <c r="T3149" s="1">
        <f>IF(B3149="ไม้กอล์ฟ",J3149,"")</f>
        <v/>
      </c>
    </row>
    <row r="3150">
      <c r="A3150" s="1" t="n">
        <v>3</v>
      </c>
      <c r="B3150" s="1" t="inlineStr">
        <is>
          <t>เสื้อผ้า</t>
        </is>
      </c>
      <c r="C3150" s="1" t="inlineStr">
        <is>
          <t>gf2040120717</t>
        </is>
      </c>
      <c r="D3150" s="1" t="inlineStr">
        <is>
          <t>LE COQ SPORTIF GOLF Seasonal Print Men's Polo (Blue)</t>
        </is>
      </c>
      <c r="E3150" s="1" t="inlineStr">
        <is>
          <t>LE COQ SPORTIF GOLF</t>
        </is>
      </c>
      <c r="F3150" s="1" t="inlineStr">
        <is>
          <t>SHORT SLEEVES</t>
        </is>
      </c>
      <c r="G3150" s="1" t="inlineStr">
        <is>
          <t>GF2040120717M</t>
        </is>
      </c>
      <c r="H3150" s="1" t="n">
        <v>4</v>
      </c>
      <c r="I3150" s="1" t="inlineStr">
        <is>
          <t>มี</t>
        </is>
      </c>
      <c r="J3150" s="13" t="n">
        <v>69</v>
      </c>
      <c r="K3150" s="1" t="inlineStr"/>
      <c r="L3150" s="13" t="n">
        <v>69</v>
      </c>
      <c r="M3150" s="1">
        <f>IF(L3150="","ไม่พบใน SG",IF(ABS(J3150-L3150)&lt;0.005,"ตรงกัน","ไม่ตรง"))</f>
        <v/>
      </c>
      <c r="N3150" s="14">
        <f>IF(L3150="","",ROUND(L3150*'สรุป'!$C$6,-1))</f>
        <v/>
      </c>
      <c r="O3150" s="15" t="n"/>
      <c r="P3150" s="15" t="n"/>
      <c r="Q3150" s="10" t="n"/>
      <c r="R3150" s="10" t="n"/>
      <c r="S3150" s="16" t="inlineStr">
        <is>
          <t>https://mstgolf.co.th/products/gf2040120717</t>
        </is>
      </c>
      <c r="T3150" s="1">
        <f>IF(B3150="ไม้กอล์ฟ",J3150,"")</f>
        <v/>
      </c>
    </row>
    <row r="3151">
      <c r="A3151" s="1" t="n">
        <v>3</v>
      </c>
      <c r="B3151" s="1" t="inlineStr">
        <is>
          <t>เสื้อผ้า</t>
        </is>
      </c>
      <c r="C3151" s="1" t="inlineStr">
        <is>
          <t>gf2040120718</t>
        </is>
      </c>
      <c r="D3151" s="1" t="inlineStr">
        <is>
          <t>LE COQ SPORTIF GOLF Seasonal Print Men's Polo (Navy)</t>
        </is>
      </c>
      <c r="E3151" s="1" t="inlineStr">
        <is>
          <t>LE COQ SPORTIF GOLF</t>
        </is>
      </c>
      <c r="F3151" s="1" t="inlineStr">
        <is>
          <t>SHORT SLEEVES</t>
        </is>
      </c>
      <c r="G3151" s="1" t="inlineStr">
        <is>
          <t>GF2040120718M</t>
        </is>
      </c>
      <c r="H3151" s="1" t="n">
        <v>4</v>
      </c>
      <c r="I3151" s="1" t="inlineStr">
        <is>
          <t>มี</t>
        </is>
      </c>
      <c r="J3151" s="13" t="n">
        <v>69</v>
      </c>
      <c r="K3151" s="1" t="inlineStr"/>
      <c r="L3151" s="13" t="n">
        <v>69</v>
      </c>
      <c r="M3151" s="1">
        <f>IF(L3151="","ไม่พบใน SG",IF(ABS(J3151-L3151)&lt;0.005,"ตรงกัน","ไม่ตรง"))</f>
        <v/>
      </c>
      <c r="N3151" s="14">
        <f>IF(L3151="","",ROUND(L3151*'สรุป'!$C$6,-1))</f>
        <v/>
      </c>
      <c r="O3151" s="15" t="n"/>
      <c r="P3151" s="15" t="n"/>
      <c r="Q3151" s="10" t="n"/>
      <c r="R3151" s="10" t="n"/>
      <c r="S3151" s="16" t="inlineStr">
        <is>
          <t>https://mstgolf.co.th/products/gf2040120718</t>
        </is>
      </c>
      <c r="T3151" s="1">
        <f>IF(B3151="ไม้กอล์ฟ",J3151,"")</f>
        <v/>
      </c>
    </row>
    <row r="3152">
      <c r="A3152" s="1" t="n">
        <v>3</v>
      </c>
      <c r="B3152" s="1" t="inlineStr">
        <is>
          <t>เสื้อผ้า</t>
        </is>
      </c>
      <c r="C3152" s="1" t="inlineStr">
        <is>
          <t>gf2040120719</t>
        </is>
      </c>
      <c r="D3152" s="1" t="inlineStr">
        <is>
          <t>LE COQ SPORTIF GOLF Seasonal Print Men's Polo (White)</t>
        </is>
      </c>
      <c r="E3152" s="1" t="inlineStr">
        <is>
          <t>LE COQ SPORTIF GOLF</t>
        </is>
      </c>
      <c r="F3152" s="1" t="inlineStr">
        <is>
          <t>SHORT SLEEVES</t>
        </is>
      </c>
      <c r="G3152" s="1" t="inlineStr">
        <is>
          <t>GF2040120719M</t>
        </is>
      </c>
      <c r="H3152" s="1" t="n">
        <v>4</v>
      </c>
      <c r="I3152" s="1" t="inlineStr">
        <is>
          <t>มี</t>
        </is>
      </c>
      <c r="J3152" s="13" t="n">
        <v>69</v>
      </c>
      <c r="K3152" s="1" t="inlineStr"/>
      <c r="L3152" s="13" t="n">
        <v>69</v>
      </c>
      <c r="M3152" s="1">
        <f>IF(L3152="","ไม่พบใน SG",IF(ABS(J3152-L3152)&lt;0.005,"ตรงกัน","ไม่ตรง"))</f>
        <v/>
      </c>
      <c r="N3152" s="14">
        <f>IF(L3152="","",ROUND(L3152*'สรุป'!$C$6,-1))</f>
        <v/>
      </c>
      <c r="O3152" s="15" t="n"/>
      <c r="P3152" s="15" t="n"/>
      <c r="Q3152" s="10" t="n"/>
      <c r="R3152" s="10" t="n"/>
      <c r="S3152" s="16" t="inlineStr">
        <is>
          <t>https://mstgolf.co.th/products/gf2040120719</t>
        </is>
      </c>
      <c r="T3152" s="1">
        <f>IF(B3152="ไม้กอล์ฟ",J3152,"")</f>
        <v/>
      </c>
    </row>
    <row r="3153">
      <c r="A3153" s="1" t="n">
        <v>3</v>
      </c>
      <c r="B3153" s="1" t="inlineStr">
        <is>
          <t>เสื้อผ้า</t>
        </is>
      </c>
      <c r="C3153" s="1" t="inlineStr">
        <is>
          <t>gf2040120700</t>
        </is>
      </c>
      <c r="D3153" s="1" t="inlineStr">
        <is>
          <t>LE COQ SPORTIF GOLF Small Print Men's Polo (Khaki)</t>
        </is>
      </c>
      <c r="E3153" s="1" t="inlineStr">
        <is>
          <t>LE COQ SPORTIF GOLF</t>
        </is>
      </c>
      <c r="F3153" s="1" t="inlineStr">
        <is>
          <t>SHORT SLEEVES</t>
        </is>
      </c>
      <c r="G3153" s="1" t="inlineStr">
        <is>
          <t>GF2040120700M</t>
        </is>
      </c>
      <c r="H3153" s="1" t="n">
        <v>4</v>
      </c>
      <c r="I3153" s="1" t="inlineStr">
        <is>
          <t>มี</t>
        </is>
      </c>
      <c r="J3153" s="13" t="n">
        <v>69</v>
      </c>
      <c r="K3153" s="1" t="inlineStr"/>
      <c r="L3153" s="13" t="n">
        <v>69</v>
      </c>
      <c r="M3153" s="1">
        <f>IF(L3153="","ไม่พบใน SG",IF(ABS(J3153-L3153)&lt;0.005,"ตรงกัน","ไม่ตรง"))</f>
        <v/>
      </c>
      <c r="N3153" s="14">
        <f>IF(L3153="","",ROUND(L3153*'สรุป'!$C$6,-1))</f>
        <v/>
      </c>
      <c r="O3153" s="15" t="n"/>
      <c r="P3153" s="15" t="n"/>
      <c r="Q3153" s="10" t="n"/>
      <c r="R3153" s="10" t="n"/>
      <c r="S3153" s="16" t="inlineStr">
        <is>
          <t>https://mstgolf.co.th/products/gf2040120700</t>
        </is>
      </c>
      <c r="T3153" s="1">
        <f>IF(B3153="ไม้กอล์ฟ",J3153,"")</f>
        <v/>
      </c>
    </row>
    <row r="3154">
      <c r="A3154" s="1" t="n">
        <v>3</v>
      </c>
      <c r="B3154" s="1" t="inlineStr">
        <is>
          <t>เสื้อผ้า</t>
        </is>
      </c>
      <c r="C3154" s="1" t="inlineStr">
        <is>
          <t>gf2040120702</t>
        </is>
      </c>
      <c r="D3154" s="1" t="inlineStr">
        <is>
          <t>LE COQ SPORTIF GOLF Small Print Men's Polo (Navy)</t>
        </is>
      </c>
      <c r="E3154" s="1" t="inlineStr">
        <is>
          <t>LE COQ SPORTIF GOLF</t>
        </is>
      </c>
      <c r="F3154" s="1" t="inlineStr">
        <is>
          <t>SHORT SLEEVES</t>
        </is>
      </c>
      <c r="G3154" s="1" t="inlineStr">
        <is>
          <t>GF2040120702M</t>
        </is>
      </c>
      <c r="H3154" s="1" t="n">
        <v>4</v>
      </c>
      <c r="I3154" s="1" t="inlineStr">
        <is>
          <t>มี</t>
        </is>
      </c>
      <c r="J3154" s="13" t="n">
        <v>69</v>
      </c>
      <c r="K3154" s="1" t="inlineStr"/>
      <c r="L3154" s="13" t="n">
        <v>69</v>
      </c>
      <c r="M3154" s="1">
        <f>IF(L3154="","ไม่พบใน SG",IF(ABS(J3154-L3154)&lt;0.005,"ตรงกัน","ไม่ตรง"))</f>
        <v/>
      </c>
      <c r="N3154" s="14">
        <f>IF(L3154="","",ROUND(L3154*'สรุป'!$C$6,-1))</f>
        <v/>
      </c>
      <c r="O3154" s="15" t="n"/>
      <c r="P3154" s="15" t="n"/>
      <c r="Q3154" s="10" t="n"/>
      <c r="R3154" s="10" t="n"/>
      <c r="S3154" s="16" t="inlineStr">
        <is>
          <t>https://mstgolf.co.th/products/gf2040120702</t>
        </is>
      </c>
      <c r="T3154" s="1">
        <f>IF(B3154="ไม้กอล์ฟ",J3154,"")</f>
        <v/>
      </c>
    </row>
    <row r="3155">
      <c r="A3155" s="1" t="n">
        <v>3</v>
      </c>
      <c r="B3155" s="1" t="inlineStr">
        <is>
          <t>เสื้อผ้า</t>
        </is>
      </c>
      <c r="C3155" s="1" t="inlineStr">
        <is>
          <t>gf2040120703</t>
        </is>
      </c>
      <c r="D3155" s="1" t="inlineStr">
        <is>
          <t>LE COQ SPORTIF GOLF Small Print Men's Polo (Red)</t>
        </is>
      </c>
      <c r="E3155" s="1" t="inlineStr">
        <is>
          <t>LE COQ SPORTIF GOLF</t>
        </is>
      </c>
      <c r="F3155" s="1" t="inlineStr">
        <is>
          <t>SHORT SLEEVES</t>
        </is>
      </c>
      <c r="G3155" s="1" t="inlineStr">
        <is>
          <t>GF2040120703M</t>
        </is>
      </c>
      <c r="H3155" s="1" t="n">
        <v>4</v>
      </c>
      <c r="I3155" s="1" t="inlineStr">
        <is>
          <t>มี</t>
        </is>
      </c>
      <c r="J3155" s="13" t="n">
        <v>69</v>
      </c>
      <c r="K3155" s="1" t="inlineStr"/>
      <c r="L3155" s="13" t="n">
        <v>69</v>
      </c>
      <c r="M3155" s="1">
        <f>IF(L3155="","ไม่พบใน SG",IF(ABS(J3155-L3155)&lt;0.005,"ตรงกัน","ไม่ตรง"))</f>
        <v/>
      </c>
      <c r="N3155" s="14">
        <f>IF(L3155="","",ROUND(L3155*'สรุป'!$C$6,-1))</f>
        <v/>
      </c>
      <c r="O3155" s="15" t="n"/>
      <c r="P3155" s="15" t="n"/>
      <c r="Q3155" s="10" t="n"/>
      <c r="R3155" s="10" t="n"/>
      <c r="S3155" s="16" t="inlineStr">
        <is>
          <t>https://mstgolf.co.th/products/gf2040120703</t>
        </is>
      </c>
      <c r="T3155" s="1">
        <f>IF(B3155="ไม้กอล์ฟ",J3155,"")</f>
        <v/>
      </c>
    </row>
    <row r="3156">
      <c r="A3156" s="1" t="n">
        <v>3</v>
      </c>
      <c r="B3156" s="1" t="inlineStr">
        <is>
          <t>เสื้อผ้า</t>
        </is>
      </c>
      <c r="C3156" s="1" t="inlineStr">
        <is>
          <t>gf2020202760</t>
        </is>
      </c>
      <c r="D3156" s="1" t="inlineStr">
        <is>
          <t>LE COQ SPORTIF GOLF Striped Men's Shorts (Grey)</t>
        </is>
      </c>
      <c r="E3156" s="1" t="inlineStr">
        <is>
          <t>LE COQ SPORTIF GOLF</t>
        </is>
      </c>
      <c r="F3156" s="1" t="inlineStr">
        <is>
          <t>SHORT PANTS</t>
        </is>
      </c>
      <c r="G3156" s="1" t="inlineStr">
        <is>
          <t>GF2020202760S</t>
        </is>
      </c>
      <c r="H3156" s="1" t="n">
        <v>6</v>
      </c>
      <c r="I3156" s="1" t="inlineStr">
        <is>
          <t>มี</t>
        </is>
      </c>
      <c r="J3156" s="13" t="n">
        <v>69</v>
      </c>
      <c r="K3156" s="1" t="inlineStr"/>
      <c r="L3156" s="13" t="n">
        <v>69</v>
      </c>
      <c r="M3156" s="1">
        <f>IF(L3156="","ไม่พบใน SG",IF(ABS(J3156-L3156)&lt;0.005,"ตรงกัน","ไม่ตรง"))</f>
        <v/>
      </c>
      <c r="N3156" s="14">
        <f>IF(L3156="","",ROUND(L3156*'สรุป'!$C$6,-1))</f>
        <v/>
      </c>
      <c r="O3156" s="15" t="n"/>
      <c r="P3156" s="15" t="n"/>
      <c r="Q3156" s="10" t="n"/>
      <c r="R3156" s="10" t="n"/>
      <c r="S3156" s="16" t="inlineStr">
        <is>
          <t>https://mstgolf.co.th/products/gf2020202760</t>
        </is>
      </c>
      <c r="T3156" s="1">
        <f>IF(B3156="ไม้กอล์ฟ",J3156,"")</f>
        <v/>
      </c>
    </row>
    <row r="3157">
      <c r="A3157" s="1" t="n">
        <v>3</v>
      </c>
      <c r="B3157" s="1" t="inlineStr">
        <is>
          <t>เสื้อผ้า</t>
        </is>
      </c>
      <c r="C3157" s="1" t="inlineStr">
        <is>
          <t>gf2020202761</t>
        </is>
      </c>
      <c r="D3157" s="1" t="inlineStr">
        <is>
          <t>LE COQ SPORTIF GOLF Striped Men's Shorts (Navy)</t>
        </is>
      </c>
      <c r="E3157" s="1" t="inlineStr">
        <is>
          <t>LE COQ SPORTIF GOLF</t>
        </is>
      </c>
      <c r="F3157" s="1" t="inlineStr">
        <is>
          <t>SHORT PANTS</t>
        </is>
      </c>
      <c r="G3157" s="1" t="inlineStr">
        <is>
          <t>GF2020202761S</t>
        </is>
      </c>
      <c r="H3157" s="1" t="n">
        <v>6</v>
      </c>
      <c r="I3157" s="1" t="inlineStr">
        <is>
          <t>มี</t>
        </is>
      </c>
      <c r="J3157" s="13" t="n">
        <v>69</v>
      </c>
      <c r="K3157" s="1" t="inlineStr"/>
      <c r="L3157" s="13" t="n">
        <v>69</v>
      </c>
      <c r="M3157" s="1">
        <f>IF(L3157="","ไม่พบใน SG",IF(ABS(J3157-L3157)&lt;0.005,"ตรงกัน","ไม่ตรง"))</f>
        <v/>
      </c>
      <c r="N3157" s="14">
        <f>IF(L3157="","",ROUND(L3157*'สรุป'!$C$6,-1))</f>
        <v/>
      </c>
      <c r="O3157" s="15" t="n"/>
      <c r="P3157" s="15" t="n"/>
      <c r="Q3157" s="10" t="n"/>
      <c r="R3157" s="10" t="n"/>
      <c r="S3157" s="16" t="inlineStr">
        <is>
          <t>https://mstgolf.co.th/products/gf2020202761</t>
        </is>
      </c>
      <c r="T3157" s="1">
        <f>IF(B3157="ไม้กอล์ฟ",J3157,"")</f>
        <v/>
      </c>
    </row>
    <row r="3158">
      <c r="A3158" s="1" t="n">
        <v>3</v>
      </c>
      <c r="B3158" s="1" t="inlineStr">
        <is>
          <t>เสื้อผ้า</t>
        </is>
      </c>
      <c r="C3158" s="1" t="inlineStr">
        <is>
          <t>gf2020202759</t>
        </is>
      </c>
      <c r="D3158" s="1" t="inlineStr">
        <is>
          <t>LE COQ SPORTIF GOLF Sunscreen Men's Shorts (Black)</t>
        </is>
      </c>
      <c r="E3158" s="1" t="inlineStr">
        <is>
          <t>LE COQ SPORTIF GOLF</t>
        </is>
      </c>
      <c r="F3158" s="1" t="inlineStr">
        <is>
          <t>SHORT PANTS</t>
        </is>
      </c>
      <c r="G3158" s="1" t="inlineStr">
        <is>
          <t>GF2020202759S</t>
        </is>
      </c>
      <c r="H3158" s="1" t="n">
        <v>6</v>
      </c>
      <c r="I3158" s="1" t="inlineStr">
        <is>
          <t>มี</t>
        </is>
      </c>
      <c r="J3158" s="13" t="n">
        <v>69</v>
      </c>
      <c r="K3158" s="1" t="inlineStr"/>
      <c r="L3158" s="13" t="n">
        <v>69</v>
      </c>
      <c r="M3158" s="1">
        <f>IF(L3158="","ไม่พบใน SG",IF(ABS(J3158-L3158)&lt;0.005,"ตรงกัน","ไม่ตรง"))</f>
        <v/>
      </c>
      <c r="N3158" s="14">
        <f>IF(L3158="","",ROUND(L3158*'สรุป'!$C$6,-1))</f>
        <v/>
      </c>
      <c r="O3158" s="15" t="n"/>
      <c r="P3158" s="15" t="n"/>
      <c r="Q3158" s="10" t="n"/>
      <c r="R3158" s="10" t="n"/>
      <c r="S3158" s="16" t="inlineStr">
        <is>
          <t>https://mstgolf.co.th/products/gf2020202759</t>
        </is>
      </c>
      <c r="T3158" s="1">
        <f>IF(B3158="ไม้กอล์ฟ",J3158,"")</f>
        <v/>
      </c>
    </row>
    <row r="3159">
      <c r="A3159" s="1" t="n">
        <v>3</v>
      </c>
      <c r="B3159" s="1" t="inlineStr">
        <is>
          <t>เสื้อผ้า</t>
        </is>
      </c>
      <c r="C3159" s="1" t="inlineStr">
        <is>
          <t>gf2020202729</t>
        </is>
      </c>
      <c r="D3159" s="1" t="inlineStr">
        <is>
          <t>LE COQ SPORTIF GOLF Sunscreen Men's Shorts (Navy)</t>
        </is>
      </c>
      <c r="E3159" s="1" t="inlineStr">
        <is>
          <t>LE COQ SPORTIF GOLF</t>
        </is>
      </c>
      <c r="F3159" s="1" t="inlineStr">
        <is>
          <t>SHORT PANTS</t>
        </is>
      </c>
      <c r="G3159" s="1" t="inlineStr">
        <is>
          <t>GF2020202729S</t>
        </is>
      </c>
      <c r="H3159" s="1" t="n">
        <v>6</v>
      </c>
      <c r="I3159" s="1" t="inlineStr">
        <is>
          <t>มี</t>
        </is>
      </c>
      <c r="J3159" s="13" t="n">
        <v>69</v>
      </c>
      <c r="K3159" s="1" t="inlineStr"/>
      <c r="L3159" s="13" t="n">
        <v>69</v>
      </c>
      <c r="M3159" s="1">
        <f>IF(L3159="","ไม่พบใน SG",IF(ABS(J3159-L3159)&lt;0.005,"ตรงกัน","ไม่ตรง"))</f>
        <v/>
      </c>
      <c r="N3159" s="14">
        <f>IF(L3159="","",ROUND(L3159*'สรุป'!$C$6,-1))</f>
        <v/>
      </c>
      <c r="O3159" s="15" t="n"/>
      <c r="P3159" s="15" t="n"/>
      <c r="Q3159" s="10" t="n"/>
      <c r="R3159" s="10" t="n"/>
      <c r="S3159" s="16" t="inlineStr">
        <is>
          <t>https://mstgolf.co.th/products/gf2020202729</t>
        </is>
      </c>
      <c r="T3159" s="1">
        <f>IF(B3159="ไม้กอล์ฟ",J3159,"")</f>
        <v/>
      </c>
    </row>
    <row r="3160">
      <c r="A3160" s="1" t="n">
        <v>3</v>
      </c>
      <c r="B3160" s="1" t="inlineStr">
        <is>
          <t>เสื้อผ้า</t>
        </is>
      </c>
      <c r="C3160" s="1" t="inlineStr">
        <is>
          <t>gf2040200075</t>
        </is>
      </c>
      <c r="D3160" s="1" t="inlineStr">
        <is>
          <t>MALBON GOLF Follow Thru Pocket Men's T-Shirt (Ivory)</t>
        </is>
      </c>
      <c r="E3160" s="1" t="inlineStr">
        <is>
          <t>MALBON GOLF</t>
        </is>
      </c>
      <c r="F3160" s="1" t="inlineStr">
        <is>
          <t>TEE SHIRT</t>
        </is>
      </c>
      <c r="G3160" s="1" t="inlineStr">
        <is>
          <t>GF2040200075S</t>
        </is>
      </c>
      <c r="H3160" s="1" t="n">
        <v>5</v>
      </c>
      <c r="I3160" s="1" t="inlineStr">
        <is>
          <t>มี</t>
        </is>
      </c>
      <c r="J3160" s="13" t="n">
        <v>69</v>
      </c>
      <c r="K3160" s="1" t="inlineStr"/>
      <c r="L3160" s="13" t="n">
        <v>69</v>
      </c>
      <c r="M3160" s="1">
        <f>IF(L3160="","ไม่พบใน SG",IF(ABS(J3160-L3160)&lt;0.005,"ตรงกัน","ไม่ตรง"))</f>
        <v/>
      </c>
      <c r="N3160" s="14">
        <f>IF(L3160="","",ROUND(L3160*'สรุป'!$C$6,-1))</f>
        <v/>
      </c>
      <c r="O3160" s="15" t="n"/>
      <c r="P3160" s="15" t="n"/>
      <c r="Q3160" s="10" t="n"/>
      <c r="R3160" s="10" t="n"/>
      <c r="S3160" s="16" t="inlineStr">
        <is>
          <t>https://mstgolf.co.th/products/gf2040200075</t>
        </is>
      </c>
      <c r="T3160" s="1">
        <f>IF(B3160="ไม้กอล์ฟ",J3160,"")</f>
        <v/>
      </c>
    </row>
    <row r="3161">
      <c r="A3161" s="1" t="n">
        <v>3</v>
      </c>
      <c r="B3161" s="1" t="inlineStr">
        <is>
          <t>เสื้อผ้า</t>
        </is>
      </c>
      <c r="C3161" s="1" t="inlineStr">
        <is>
          <t>gf2040200110</t>
        </is>
      </c>
      <c r="D3161" s="1" t="inlineStr">
        <is>
          <t>MALBON GOLF Matisse Men's T-Shirt (Blue)</t>
        </is>
      </c>
      <c r="E3161" s="1" t="inlineStr">
        <is>
          <t>MALBON GOLF</t>
        </is>
      </c>
      <c r="F3161" s="1" t="inlineStr">
        <is>
          <t>TEE SHIRT</t>
        </is>
      </c>
      <c r="G3161" s="1" t="inlineStr">
        <is>
          <t>GF2040200110S</t>
        </is>
      </c>
      <c r="H3161" s="1" t="n">
        <v>5</v>
      </c>
      <c r="I3161" s="1" t="inlineStr">
        <is>
          <t>มี</t>
        </is>
      </c>
      <c r="J3161" s="13" t="n">
        <v>69</v>
      </c>
      <c r="K3161" s="1" t="inlineStr"/>
      <c r="L3161" s="13" t="n">
        <v>69</v>
      </c>
      <c r="M3161" s="1">
        <f>IF(L3161="","ไม่พบใน SG",IF(ABS(J3161-L3161)&lt;0.005,"ตรงกัน","ไม่ตรง"))</f>
        <v/>
      </c>
      <c r="N3161" s="14">
        <f>IF(L3161="","",ROUND(L3161*'สรุป'!$C$6,-1))</f>
        <v/>
      </c>
      <c r="O3161" s="15" t="n"/>
      <c r="P3161" s="15" t="n"/>
      <c r="Q3161" s="10" t="n"/>
      <c r="R3161" s="10" t="n"/>
      <c r="S3161" s="16" t="inlineStr">
        <is>
          <t>https://mstgolf.co.th/products/gf2040200110</t>
        </is>
      </c>
      <c r="T3161" s="1">
        <f>IF(B3161="ไม้กอล์ฟ",J3161,"")</f>
        <v/>
      </c>
    </row>
    <row r="3162">
      <c r="A3162" s="1" t="n">
        <v>3</v>
      </c>
      <c r="B3162" s="1" t="inlineStr">
        <is>
          <t>เสื้อผ้า</t>
        </is>
      </c>
      <c r="C3162" s="1" t="inlineStr">
        <is>
          <t>gf2040200076</t>
        </is>
      </c>
      <c r="D3162" s="1" t="inlineStr">
        <is>
          <t>MALBON GOLF Trophy Pocket Men's T-Shirt (Black)</t>
        </is>
      </c>
      <c r="E3162" s="1" t="inlineStr">
        <is>
          <t>MALBON GOLF</t>
        </is>
      </c>
      <c r="F3162" s="1" t="inlineStr">
        <is>
          <t>TEE SHIRT</t>
        </is>
      </c>
      <c r="G3162" s="1" t="inlineStr">
        <is>
          <t>GF2040200076S</t>
        </is>
      </c>
      <c r="H3162" s="1" t="n">
        <v>5</v>
      </c>
      <c r="I3162" s="1" t="inlineStr">
        <is>
          <t>มี</t>
        </is>
      </c>
      <c r="J3162" s="13" t="n">
        <v>69</v>
      </c>
      <c r="K3162" s="1" t="inlineStr"/>
      <c r="L3162" s="13" t="n">
        <v>69</v>
      </c>
      <c r="M3162" s="1">
        <f>IF(L3162="","ไม่พบใน SG",IF(ABS(J3162-L3162)&lt;0.005,"ตรงกัน","ไม่ตรง"))</f>
        <v/>
      </c>
      <c r="N3162" s="14">
        <f>IF(L3162="","",ROUND(L3162*'สรุป'!$C$6,-1))</f>
        <v/>
      </c>
      <c r="O3162" s="15" t="n"/>
      <c r="P3162" s="15" t="n"/>
      <c r="Q3162" s="10" t="n"/>
      <c r="R3162" s="10" t="n"/>
      <c r="S3162" s="16" t="inlineStr">
        <is>
          <t>https://mstgolf.co.th/products/gf2040200076</t>
        </is>
      </c>
      <c r="T3162" s="1">
        <f>IF(B3162="ไม้กอล์ฟ",J3162,"")</f>
        <v/>
      </c>
    </row>
    <row r="3163">
      <c r="A3163" s="1" t="n">
        <v>3</v>
      </c>
      <c r="B3163" s="1" t="inlineStr">
        <is>
          <t>เสื้อผ้า</t>
        </is>
      </c>
      <c r="C3163" s="1" t="inlineStr">
        <is>
          <t>gf2040119881</t>
        </is>
      </c>
      <c r="D3163" s="1" t="inlineStr">
        <is>
          <t>MALBON GOLF Vacation Club Men's T-Shirt (White)</t>
        </is>
      </c>
      <c r="E3163" s="1" t="inlineStr">
        <is>
          <t>MALBON GOLF</t>
        </is>
      </c>
      <c r="F3163" s="1" t="inlineStr">
        <is>
          <t>SHORT SLEEVES</t>
        </is>
      </c>
      <c r="G3163" s="1" t="inlineStr">
        <is>
          <t>GF2040119881S</t>
        </is>
      </c>
      <c r="H3163" s="1" t="n">
        <v>5</v>
      </c>
      <c r="I3163" s="1" t="inlineStr">
        <is>
          <t>มี</t>
        </is>
      </c>
      <c r="J3163" s="13" t="n">
        <v>69</v>
      </c>
      <c r="K3163" s="1" t="inlineStr"/>
      <c r="L3163" s="13" t="n">
        <v>69</v>
      </c>
      <c r="M3163" s="1">
        <f>IF(L3163="","ไม่พบใน SG",IF(ABS(J3163-L3163)&lt;0.005,"ตรงกัน","ไม่ตรง"))</f>
        <v/>
      </c>
      <c r="N3163" s="14">
        <f>IF(L3163="","",ROUND(L3163*'สรุป'!$C$6,-1))</f>
        <v/>
      </c>
      <c r="O3163" s="15" t="n"/>
      <c r="P3163" s="15" t="n"/>
      <c r="Q3163" s="10" t="n"/>
      <c r="R3163" s="10" t="n"/>
      <c r="S3163" s="16" t="inlineStr">
        <is>
          <t>https://mstgolf.co.th/products/gf2040119881</t>
        </is>
      </c>
      <c r="T3163" s="1">
        <f>IF(B3163="ไม้กอล์ฟ",J3163,"")</f>
        <v/>
      </c>
    </row>
    <row r="3164">
      <c r="A3164" s="1" t="n">
        <v>3</v>
      </c>
      <c r="B3164" s="1" t="inlineStr">
        <is>
          <t>เสื้อผ้า</t>
        </is>
      </c>
      <c r="C3164" s="1" t="inlineStr">
        <is>
          <t>gf2040118873</t>
        </is>
      </c>
      <c r="D3164" s="1" t="inlineStr">
        <is>
          <t>MANORS Course Men's Polo (Green)</t>
        </is>
      </c>
      <c r="E3164" s="1" t="inlineStr">
        <is>
          <t>MANORS</t>
        </is>
      </c>
      <c r="F3164" s="1" t="inlineStr">
        <is>
          <t>SHORT SLEEVES</t>
        </is>
      </c>
      <c r="G3164" s="1" t="inlineStr">
        <is>
          <t>GF2040118873S</t>
        </is>
      </c>
      <c r="H3164" s="1" t="n">
        <v>4</v>
      </c>
      <c r="I3164" s="1" t="inlineStr">
        <is>
          <t>มี</t>
        </is>
      </c>
      <c r="J3164" s="13" t="n">
        <v>69</v>
      </c>
      <c r="K3164" s="1" t="inlineStr"/>
      <c r="L3164" s="13" t="n">
        <v>69</v>
      </c>
      <c r="M3164" s="1">
        <f>IF(L3164="","ไม่พบใน SG",IF(ABS(J3164-L3164)&lt;0.005,"ตรงกัน","ไม่ตรง"))</f>
        <v/>
      </c>
      <c r="N3164" s="14">
        <f>IF(L3164="","",ROUND(L3164*'สรุป'!$C$6,-1))</f>
        <v/>
      </c>
      <c r="O3164" s="15" t="n"/>
      <c r="P3164" s="15" t="n"/>
      <c r="Q3164" s="10" t="n"/>
      <c r="R3164" s="10" t="n"/>
      <c r="S3164" s="16" t="inlineStr">
        <is>
          <t>https://mstgolf.co.th/products/gf2040118873</t>
        </is>
      </c>
      <c r="T3164" s="1">
        <f>IF(B3164="ไม้กอล์ฟ",J3164,"")</f>
        <v/>
      </c>
    </row>
    <row r="3165">
      <c r="A3165" s="1" t="n">
        <v>3</v>
      </c>
      <c r="B3165" s="1" t="inlineStr">
        <is>
          <t>เสื้อผ้า</t>
        </is>
      </c>
      <c r="C3165" s="1" t="inlineStr">
        <is>
          <t>gf2040118874</t>
        </is>
      </c>
      <c r="D3165" s="1" t="inlineStr">
        <is>
          <t>MANORS Course Men's Polo (White)</t>
        </is>
      </c>
      <c r="E3165" s="1" t="inlineStr">
        <is>
          <t>MANORS</t>
        </is>
      </c>
      <c r="F3165" s="1" t="inlineStr">
        <is>
          <t>SHORT SLEEVES</t>
        </is>
      </c>
      <c r="G3165" s="1" t="inlineStr">
        <is>
          <t>GF2040118874S</t>
        </is>
      </c>
      <c r="H3165" s="1" t="n">
        <v>4</v>
      </c>
      <c r="I3165" s="1" t="inlineStr">
        <is>
          <t>มี</t>
        </is>
      </c>
      <c r="J3165" s="13" t="n">
        <v>69</v>
      </c>
      <c r="K3165" s="1" t="inlineStr"/>
      <c r="L3165" s="13" t="n">
        <v>49</v>
      </c>
      <c r="M3165" s="1">
        <f>IF(L3165="","ไม่พบใน SG",IF(ABS(J3165-L3165)&lt;0.005,"ตรงกัน","ไม่ตรง"))</f>
        <v/>
      </c>
      <c r="N3165" s="14">
        <f>IF(L3165="","",ROUND(L3165*'สรุป'!$C$6,-1))</f>
        <v/>
      </c>
      <c r="O3165" s="15" t="n"/>
      <c r="P3165" s="15" t="n"/>
      <c r="Q3165" s="10" t="n"/>
      <c r="R3165" s="10" t="n"/>
      <c r="S3165" s="16" t="inlineStr">
        <is>
          <t>https://mstgolf.co.th/products/gf2040118874</t>
        </is>
      </c>
      <c r="T3165" s="1">
        <f>IF(B3165="ไม้กอล์ฟ",J3165,"")</f>
        <v/>
      </c>
    </row>
    <row r="3166">
      <c r="A3166" s="1" t="n">
        <v>3</v>
      </c>
      <c r="B3166" s="1" t="inlineStr">
        <is>
          <t>เสื้อผ้า</t>
        </is>
      </c>
      <c r="C3166" s="1" t="inlineStr">
        <is>
          <t>gf2040119309</t>
        </is>
      </c>
      <c r="D3166" s="1" t="inlineStr">
        <is>
          <t>MANORS The Course Men's Polo (Taupe)</t>
        </is>
      </c>
      <c r="E3166" s="1" t="inlineStr">
        <is>
          <t>MANORS</t>
        </is>
      </c>
      <c r="F3166" s="1" t="inlineStr">
        <is>
          <t>SHORT SLEEVES</t>
        </is>
      </c>
      <c r="G3166" s="1" t="inlineStr">
        <is>
          <t>GF2040119309S</t>
        </is>
      </c>
      <c r="H3166" s="1" t="n">
        <v>4</v>
      </c>
      <c r="I3166" s="1" t="inlineStr">
        <is>
          <t>มี</t>
        </is>
      </c>
      <c r="J3166" s="13" t="n">
        <v>69</v>
      </c>
      <c r="K3166" s="1" t="inlineStr"/>
      <c r="L3166" s="13" t="n">
        <v>55</v>
      </c>
      <c r="M3166" s="1">
        <f>IF(L3166="","ไม่พบใน SG",IF(ABS(J3166-L3166)&lt;0.005,"ตรงกัน","ไม่ตรง"))</f>
        <v/>
      </c>
      <c r="N3166" s="14">
        <f>IF(L3166="","",ROUND(L3166*'สรุป'!$C$6,-1))</f>
        <v/>
      </c>
      <c r="O3166" s="15" t="n"/>
      <c r="P3166" s="15" t="n"/>
      <c r="Q3166" s="10" t="n"/>
      <c r="R3166" s="10" t="n"/>
      <c r="S3166" s="16" t="inlineStr">
        <is>
          <t>https://mstgolf.co.th/products/gf2040119309</t>
        </is>
      </c>
      <c r="T3166" s="1">
        <f>IF(B3166="ไม้กอล์ฟ",J3166,"")</f>
        <v/>
      </c>
    </row>
    <row r="3167">
      <c r="A3167" s="1" t="n">
        <v>3</v>
      </c>
      <c r="B3167" s="1" t="inlineStr">
        <is>
          <t>เสื้อผ้า</t>
        </is>
      </c>
      <c r="C3167" s="1" t="inlineStr">
        <is>
          <t>gf2040118913</t>
        </is>
      </c>
      <c r="D3167" s="1" t="inlineStr">
        <is>
          <t>NIKE Dri-FIT Tour Solid Men’s Polo (Stadium Green)</t>
        </is>
      </c>
      <c r="E3167" s="1" t="inlineStr">
        <is>
          <t>NIKE</t>
        </is>
      </c>
      <c r="F3167" s="1" t="inlineStr">
        <is>
          <t>SHORT SLEEVES</t>
        </is>
      </c>
      <c r="G3167" s="1" t="inlineStr">
        <is>
          <t>GF2040118913S</t>
        </is>
      </c>
      <c r="H3167" s="1" t="n">
        <v>5</v>
      </c>
      <c r="I3167" s="1" t="inlineStr">
        <is>
          <t>มี</t>
        </is>
      </c>
      <c r="J3167" s="13" t="n">
        <v>69</v>
      </c>
      <c r="K3167" s="1" t="inlineStr"/>
      <c r="L3167" s="13" t="n">
        <v>69</v>
      </c>
      <c r="M3167" s="1">
        <f>IF(L3167="","ไม่พบใน SG",IF(ABS(J3167-L3167)&lt;0.005,"ตรงกัน","ไม่ตรง"))</f>
        <v/>
      </c>
      <c r="N3167" s="14">
        <f>IF(L3167="","",ROUND(L3167*'สรุป'!$C$6,-1))</f>
        <v/>
      </c>
      <c r="O3167" s="15" t="n"/>
      <c r="P3167" s="15" t="n"/>
      <c r="Q3167" s="10" t="n"/>
      <c r="R3167" s="10" t="n"/>
      <c r="S3167" s="16" t="inlineStr">
        <is>
          <t>https://mstgolf.co.th/products/gf2040118913</t>
        </is>
      </c>
      <c r="T3167" s="1">
        <f>IF(B3167="ไม้กอล์ฟ",J3167,"")</f>
        <v/>
      </c>
    </row>
    <row r="3168">
      <c r="A3168" s="1" t="n">
        <v>3</v>
      </c>
      <c r="B3168" s="1" t="inlineStr">
        <is>
          <t>เสื้อผ้า</t>
        </is>
      </c>
      <c r="C3168" s="1" t="inlineStr">
        <is>
          <t>gf2020101971</t>
        </is>
      </c>
      <c r="D3168" s="1" t="inlineStr">
        <is>
          <t>NIKE Dri-FIT Victory Men's Pants (Black)</t>
        </is>
      </c>
      <c r="E3168" s="1" t="inlineStr">
        <is>
          <t>NIKE</t>
        </is>
      </c>
      <c r="F3168" s="1" t="inlineStr">
        <is>
          <t>LONG PANTS</t>
        </is>
      </c>
      <c r="G3168" s="1" t="inlineStr">
        <is>
          <t>GF202010197128</t>
        </is>
      </c>
      <c r="H3168" s="1" t="n">
        <v>7</v>
      </c>
      <c r="I3168" s="1" t="inlineStr">
        <is>
          <t>มี</t>
        </is>
      </c>
      <c r="J3168" s="13" t="n">
        <v>69</v>
      </c>
      <c r="K3168" s="1" t="inlineStr"/>
      <c r="L3168" s="13" t="n"/>
      <c r="M3168" s="1">
        <f>IF(L3168="","ไม่พบใน SG",IF(ABS(J3168-L3168)&lt;0.005,"ตรงกัน","ไม่ตรง"))</f>
        <v/>
      </c>
      <c r="N3168" s="14">
        <f>IF(L3168="","",ROUND(L3168*'สรุป'!$C$6,-1))</f>
        <v/>
      </c>
      <c r="O3168" s="15" t="n"/>
      <c r="P3168" s="15" t="n"/>
      <c r="Q3168" s="10" t="n"/>
      <c r="R3168" s="10" t="n"/>
      <c r="S3168" s="16" t="inlineStr">
        <is>
          <t>https://mstgolf.co.th/products/gf2020101971</t>
        </is>
      </c>
      <c r="T3168" s="1">
        <f>IF(B3168="ไม้กอล์ฟ",J3168,"")</f>
        <v/>
      </c>
    </row>
    <row r="3169">
      <c r="A3169" s="1" t="n">
        <v>3</v>
      </c>
      <c r="B3169" s="1" t="inlineStr">
        <is>
          <t>เสื้อผ้า</t>
        </is>
      </c>
      <c r="C3169" s="1" t="inlineStr">
        <is>
          <t>gf2020202427</t>
        </is>
      </c>
      <c r="D3169" s="1" t="inlineStr">
        <is>
          <t>NIKE Tour 8" Men's Shorts (Light Bone)</t>
        </is>
      </c>
      <c r="E3169" s="1" t="inlineStr">
        <is>
          <t>NIKE</t>
        </is>
      </c>
      <c r="F3169" s="1" t="inlineStr">
        <is>
          <t>SHORT PANTS</t>
        </is>
      </c>
      <c r="G3169" s="1" t="inlineStr">
        <is>
          <t>GF202020242728</t>
        </is>
      </c>
      <c r="H3169" s="1" t="n">
        <v>7</v>
      </c>
      <c r="I3169" s="1" t="inlineStr">
        <is>
          <t>มี</t>
        </is>
      </c>
      <c r="J3169" s="13" t="n">
        <v>69</v>
      </c>
      <c r="K3169" s="1" t="inlineStr"/>
      <c r="L3169" s="13" t="n">
        <v>69</v>
      </c>
      <c r="M3169" s="1">
        <f>IF(L3169="","ไม่พบใน SG",IF(ABS(J3169-L3169)&lt;0.005,"ตรงกัน","ไม่ตรง"))</f>
        <v/>
      </c>
      <c r="N3169" s="14">
        <f>IF(L3169="","",ROUND(L3169*'สรุป'!$C$6,-1))</f>
        <v/>
      </c>
      <c r="O3169" s="15" t="n"/>
      <c r="P3169" s="15" t="n"/>
      <c r="Q3169" s="10" t="n"/>
      <c r="R3169" s="10" t="n"/>
      <c r="S3169" s="16" t="inlineStr">
        <is>
          <t>https://mstgolf.co.th/products/gf2020202427</t>
        </is>
      </c>
      <c r="T3169" s="1">
        <f>IF(B3169="ไม้กอล์ฟ",J3169,"")</f>
        <v/>
      </c>
    </row>
    <row r="3170">
      <c r="A3170" s="1" t="n">
        <v>3</v>
      </c>
      <c r="B3170" s="1" t="inlineStr">
        <is>
          <t>เสื้อผ้า</t>
        </is>
      </c>
      <c r="C3170" s="1" t="inlineStr">
        <is>
          <t>gf2040117944</t>
        </is>
      </c>
      <c r="D3170" s="1" t="inlineStr">
        <is>
          <t>NIKE Tour Confetti Men's Polo (Light Photo Blue)</t>
        </is>
      </c>
      <c r="E3170" s="1" t="inlineStr">
        <is>
          <t>NIKE</t>
        </is>
      </c>
      <c r="F3170" s="1" t="inlineStr">
        <is>
          <t>SHORT SLEEVES</t>
        </is>
      </c>
      <c r="G3170" s="1" t="inlineStr">
        <is>
          <t>GF2040117944S</t>
        </is>
      </c>
      <c r="H3170" s="1" t="n">
        <v>5</v>
      </c>
      <c r="I3170" s="1" t="inlineStr">
        <is>
          <t>มี</t>
        </is>
      </c>
      <c r="J3170" s="13" t="n">
        <v>69</v>
      </c>
      <c r="K3170" s="1" t="inlineStr"/>
      <c r="L3170" s="13" t="n">
        <v>69</v>
      </c>
      <c r="M3170" s="1">
        <f>IF(L3170="","ไม่พบใน SG",IF(ABS(J3170-L3170)&lt;0.005,"ตรงกัน","ไม่ตรง"))</f>
        <v/>
      </c>
      <c r="N3170" s="14">
        <f>IF(L3170="","",ROUND(L3170*'สรุป'!$C$6,-1))</f>
        <v/>
      </c>
      <c r="O3170" s="15" t="n"/>
      <c r="P3170" s="15" t="n"/>
      <c r="Q3170" s="10" t="n"/>
      <c r="R3170" s="10" t="n"/>
      <c r="S3170" s="16" t="inlineStr">
        <is>
          <t>https://mstgolf.co.th/products/gf2040117944</t>
        </is>
      </c>
      <c r="T3170" s="1">
        <f>IF(B3170="ไม้กอล์ฟ",J3170,"")</f>
        <v/>
      </c>
    </row>
    <row r="3171">
      <c r="A3171" s="1" t="n">
        <v>3</v>
      </c>
      <c r="B3171" s="1" t="inlineStr">
        <is>
          <t>เสื้อผ้า</t>
        </is>
      </c>
      <c r="C3171" s="1" t="inlineStr">
        <is>
          <t>gf2040115954</t>
        </is>
      </c>
      <c r="D3171" s="1" t="inlineStr">
        <is>
          <t>NIKE Tour Heather Men's Polo (Light Smoke Grey)</t>
        </is>
      </c>
      <c r="E3171" s="1" t="inlineStr">
        <is>
          <t>NIKE</t>
        </is>
      </c>
      <c r="F3171" s="1" t="inlineStr">
        <is>
          <t>SHORT SLEEVES</t>
        </is>
      </c>
      <c r="G3171" s="1" t="inlineStr">
        <is>
          <t>GF2040115954S</t>
        </is>
      </c>
      <c r="H3171" s="1" t="n">
        <v>5</v>
      </c>
      <c r="I3171" s="1" t="inlineStr">
        <is>
          <t>มี</t>
        </is>
      </c>
      <c r="J3171" s="13" t="n">
        <v>69</v>
      </c>
      <c r="K3171" s="1" t="inlineStr"/>
      <c r="L3171" s="13" t="n">
        <v>49</v>
      </c>
      <c r="M3171" s="1">
        <f>IF(L3171="","ไม่พบใน SG",IF(ABS(J3171-L3171)&lt;0.005,"ตรงกัน","ไม่ตรง"))</f>
        <v/>
      </c>
      <c r="N3171" s="14">
        <f>IF(L3171="","",ROUND(L3171*'สรุป'!$C$6,-1))</f>
        <v/>
      </c>
      <c r="O3171" s="15" t="n"/>
      <c r="P3171" s="15" t="n"/>
      <c r="Q3171" s="10" t="n"/>
      <c r="R3171" s="10" t="n"/>
      <c r="S3171" s="16" t="inlineStr">
        <is>
          <t>https://mstgolf.co.th/products/gf2040115954</t>
        </is>
      </c>
      <c r="T3171" s="1">
        <f>IF(B3171="ไม้กอล์ฟ",J3171,"")</f>
        <v/>
      </c>
    </row>
    <row r="3172">
      <c r="A3172" s="1" t="n">
        <v>3</v>
      </c>
      <c r="B3172" s="1" t="inlineStr">
        <is>
          <t>เสื้อผ้า</t>
        </is>
      </c>
      <c r="C3172" s="1" t="inlineStr">
        <is>
          <t>gf2040119055</t>
        </is>
      </c>
      <c r="D3172" s="1" t="inlineStr">
        <is>
          <t>OAKLEY Duality Jacquard Men’s Polo (Black/Grey)</t>
        </is>
      </c>
      <c r="E3172" s="1" t="inlineStr">
        <is>
          <t>OAKLEY</t>
        </is>
      </c>
      <c r="F3172" s="1" t="inlineStr">
        <is>
          <t>SHORT SLEEVES</t>
        </is>
      </c>
      <c r="G3172" s="1" t="inlineStr">
        <is>
          <t>GF2040119055XS</t>
        </is>
      </c>
      <c r="H3172" s="1" t="n">
        <v>5</v>
      </c>
      <c r="I3172" s="1" t="inlineStr">
        <is>
          <t>มี</t>
        </is>
      </c>
      <c r="J3172" s="13" t="n">
        <v>69</v>
      </c>
      <c r="K3172" s="1" t="inlineStr"/>
      <c r="L3172" s="13" t="n">
        <v>69</v>
      </c>
      <c r="M3172" s="1">
        <f>IF(L3172="","ไม่พบใน SG",IF(ABS(J3172-L3172)&lt;0.005,"ตรงกัน","ไม่ตรง"))</f>
        <v/>
      </c>
      <c r="N3172" s="14">
        <f>IF(L3172="","",ROUND(L3172*'สรุป'!$C$6,-1))</f>
        <v/>
      </c>
      <c r="O3172" s="15" t="n"/>
      <c r="P3172" s="15" t="n"/>
      <c r="Q3172" s="10" t="n"/>
      <c r="R3172" s="10" t="n"/>
      <c r="S3172" s="16" t="inlineStr">
        <is>
          <t>https://mstgolf.co.th/products/gf2040119055</t>
        </is>
      </c>
      <c r="T3172" s="1">
        <f>IF(B3172="ไม้กอล์ฟ",J3172,"")</f>
        <v/>
      </c>
    </row>
    <row r="3173">
      <c r="A3173" s="1" t="n">
        <v>3</v>
      </c>
      <c r="B3173" s="1" t="inlineStr">
        <is>
          <t>เสื้อผ้า</t>
        </is>
      </c>
      <c r="C3173" s="1" t="inlineStr">
        <is>
          <t>gf2020201730</t>
        </is>
      </c>
      <c r="D3173" s="1" t="inlineStr">
        <is>
          <t>PUMA 5 Stretch Boy's Shorts (Black)</t>
        </is>
      </c>
      <c r="E3173" s="1" t="inlineStr">
        <is>
          <t>PUMA</t>
        </is>
      </c>
      <c r="F3173" s="1" t="inlineStr">
        <is>
          <t>SHORT PANTS</t>
        </is>
      </c>
      <c r="G3173" s="1" t="inlineStr">
        <is>
          <t>GF2020201730116</t>
        </is>
      </c>
      <c r="H3173" s="1" t="n">
        <v>6</v>
      </c>
      <c r="I3173" s="1" t="inlineStr">
        <is>
          <t>มี</t>
        </is>
      </c>
      <c r="J3173" s="13" t="n">
        <v>69</v>
      </c>
      <c r="K3173" s="1" t="inlineStr"/>
      <c r="L3173" s="13" t="n">
        <v>69</v>
      </c>
      <c r="M3173" s="1">
        <f>IF(L3173="","ไม่พบใน SG",IF(ABS(J3173-L3173)&lt;0.005,"ตรงกัน","ไม่ตรง"))</f>
        <v/>
      </c>
      <c r="N3173" s="14">
        <f>IF(L3173="","",ROUND(L3173*'สรุป'!$C$6,-1))</f>
        <v/>
      </c>
      <c r="O3173" s="15" t="n"/>
      <c r="P3173" s="15" t="n"/>
      <c r="Q3173" s="10" t="n"/>
      <c r="R3173" s="10" t="n"/>
      <c r="S3173" s="16" t="inlineStr">
        <is>
          <t>https://mstgolf.co.th/products/gf2020201730</t>
        </is>
      </c>
      <c r="T3173" s="1">
        <f>IF(B3173="ไม้กอล์ฟ",J3173,"")</f>
        <v/>
      </c>
    </row>
    <row r="3174">
      <c r="A3174" s="1" t="n">
        <v>3</v>
      </c>
      <c r="B3174" s="1" t="inlineStr">
        <is>
          <t>เสื้อผ้า</t>
        </is>
      </c>
      <c r="C3174" s="1" t="inlineStr">
        <is>
          <t>gf2020201731</t>
        </is>
      </c>
      <c r="D3174" s="1" t="inlineStr">
        <is>
          <t>PUMA 5 Stretch Boy's Shorts (High Rise)</t>
        </is>
      </c>
      <c r="E3174" s="1" t="inlineStr">
        <is>
          <t>PUMA</t>
        </is>
      </c>
      <c r="F3174" s="1" t="inlineStr">
        <is>
          <t>SHORT PANTS</t>
        </is>
      </c>
      <c r="G3174" s="1" t="inlineStr">
        <is>
          <t>GF2020201731116</t>
        </is>
      </c>
      <c r="H3174" s="1" t="n">
        <v>6</v>
      </c>
      <c r="I3174" s="1" t="inlineStr">
        <is>
          <t>มี</t>
        </is>
      </c>
      <c r="J3174" s="13" t="n">
        <v>69</v>
      </c>
      <c r="K3174" s="1" t="inlineStr"/>
      <c r="L3174" s="13" t="n">
        <v>69</v>
      </c>
      <c r="M3174" s="1">
        <f>IF(L3174="","ไม่พบใน SG",IF(ABS(J3174-L3174)&lt;0.005,"ตรงกัน","ไม่ตรง"))</f>
        <v/>
      </c>
      <c r="N3174" s="14">
        <f>IF(L3174="","",ROUND(L3174*'สรุป'!$C$6,-1))</f>
        <v/>
      </c>
      <c r="O3174" s="15" t="n"/>
      <c r="P3174" s="15" t="n"/>
      <c r="Q3174" s="10" t="n"/>
      <c r="R3174" s="10" t="n"/>
      <c r="S3174" s="16" t="inlineStr">
        <is>
          <t>https://mstgolf.co.th/products/gf2020201731</t>
        </is>
      </c>
      <c r="T3174" s="1">
        <f>IF(B3174="ไม้กอล์ฟ",J3174,"")</f>
        <v/>
      </c>
    </row>
    <row r="3175">
      <c r="A3175" s="1" t="n">
        <v>3</v>
      </c>
      <c r="B3175" s="1" t="inlineStr">
        <is>
          <t>เสื้อผ้า</t>
        </is>
      </c>
      <c r="C3175" s="1" t="inlineStr">
        <is>
          <t>gf2020202008</t>
        </is>
      </c>
      <c r="D3175" s="1" t="inlineStr">
        <is>
          <t>PUMA 5 Stretch Junior Shorts (Evening Sky)</t>
        </is>
      </c>
      <c r="E3175" s="1" t="inlineStr">
        <is>
          <t>PUMA</t>
        </is>
      </c>
      <c r="F3175" s="1" t="inlineStr">
        <is>
          <t>SHORT PANTS</t>
        </is>
      </c>
      <c r="G3175" s="1" t="inlineStr">
        <is>
          <t>GF2020202008116</t>
        </is>
      </c>
      <c r="H3175" s="1" t="n">
        <v>6</v>
      </c>
      <c r="I3175" s="1" t="inlineStr">
        <is>
          <t>มี</t>
        </is>
      </c>
      <c r="J3175" s="13" t="n">
        <v>69</v>
      </c>
      <c r="K3175" s="1" t="inlineStr"/>
      <c r="L3175" s="13" t="n">
        <v>49</v>
      </c>
      <c r="M3175" s="1">
        <f>IF(L3175="","ไม่พบใน SG",IF(ABS(J3175-L3175)&lt;0.005,"ตรงกัน","ไม่ตรง"))</f>
        <v/>
      </c>
      <c r="N3175" s="14">
        <f>IF(L3175="","",ROUND(L3175*'สรุป'!$C$6,-1))</f>
        <v/>
      </c>
      <c r="O3175" s="15" t="n"/>
      <c r="P3175" s="15" t="n"/>
      <c r="Q3175" s="10" t="n"/>
      <c r="R3175" s="10" t="n"/>
      <c r="S3175" s="16" t="inlineStr">
        <is>
          <t>https://mstgolf.co.th/products/gf2020202008</t>
        </is>
      </c>
      <c r="T3175" s="1">
        <f>IF(B3175="ไม้กอล์ฟ",J3175,"")</f>
        <v/>
      </c>
    </row>
    <row r="3176">
      <c r="A3176" s="1" t="n">
        <v>3</v>
      </c>
      <c r="B3176" s="1" t="inlineStr">
        <is>
          <t>เสื้อผ้า</t>
        </is>
      </c>
      <c r="C3176" s="1" t="inlineStr">
        <is>
          <t>gf2020101809</t>
        </is>
      </c>
      <c r="D3176" s="1" t="inlineStr">
        <is>
          <t>PUMA 5-Pocket Boy's Pants (Black)</t>
        </is>
      </c>
      <c r="E3176" s="1" t="inlineStr">
        <is>
          <t>PUMA</t>
        </is>
      </c>
      <c r="F3176" s="1" t="inlineStr">
        <is>
          <t>LONG PANTS</t>
        </is>
      </c>
      <c r="G3176" s="1" t="inlineStr">
        <is>
          <t>GF2020101809116</t>
        </is>
      </c>
      <c r="H3176" s="1" t="n">
        <v>6</v>
      </c>
      <c r="I3176" s="1" t="inlineStr">
        <is>
          <t>มี</t>
        </is>
      </c>
      <c r="J3176" s="13" t="n">
        <v>69</v>
      </c>
      <c r="K3176" s="1" t="inlineStr"/>
      <c r="L3176" s="13" t="n">
        <v>69</v>
      </c>
      <c r="M3176" s="1">
        <f>IF(L3176="","ไม่พบใน SG",IF(ABS(J3176-L3176)&lt;0.005,"ตรงกัน","ไม่ตรง"))</f>
        <v/>
      </c>
      <c r="N3176" s="14">
        <f>IF(L3176="","",ROUND(L3176*'สรุป'!$C$6,-1))</f>
        <v/>
      </c>
      <c r="O3176" s="15" t="n"/>
      <c r="P3176" s="15" t="n"/>
      <c r="Q3176" s="10" t="n"/>
      <c r="R3176" s="10" t="n"/>
      <c r="S3176" s="16" t="inlineStr">
        <is>
          <t>https://mstgolf.co.th/products/gf2020101809</t>
        </is>
      </c>
      <c r="T3176" s="1">
        <f>IF(B3176="ไม้กอล์ฟ",J3176,"")</f>
        <v/>
      </c>
    </row>
    <row r="3177">
      <c r="A3177" s="1" t="n">
        <v>3</v>
      </c>
      <c r="B3177" s="1" t="inlineStr">
        <is>
          <t>เสื้อผ้า</t>
        </is>
      </c>
      <c r="C3177" s="1" t="inlineStr">
        <is>
          <t>gf2020101694</t>
        </is>
      </c>
      <c r="D3177" s="1" t="inlineStr">
        <is>
          <t>PUMA 5-Pocket Boy's Pants (High Rise)</t>
        </is>
      </c>
      <c r="E3177" s="1" t="inlineStr">
        <is>
          <t>PUMA</t>
        </is>
      </c>
      <c r="F3177" s="1" t="inlineStr">
        <is>
          <t>LONG PANTS</t>
        </is>
      </c>
      <c r="G3177" s="1" t="inlineStr">
        <is>
          <t>GF2020101694116</t>
        </is>
      </c>
      <c r="H3177" s="1" t="n">
        <v>6</v>
      </c>
      <c r="I3177" s="1" t="inlineStr">
        <is>
          <t>มี</t>
        </is>
      </c>
      <c r="J3177" s="13" t="n">
        <v>69</v>
      </c>
      <c r="K3177" s="1" t="inlineStr"/>
      <c r="L3177" s="13" t="n">
        <v>69</v>
      </c>
      <c r="M3177" s="1">
        <f>IF(L3177="","ไม่พบใน SG",IF(ABS(J3177-L3177)&lt;0.005,"ตรงกัน","ไม่ตรง"))</f>
        <v/>
      </c>
      <c r="N3177" s="14">
        <f>IF(L3177="","",ROUND(L3177*'สรุป'!$C$6,-1))</f>
        <v/>
      </c>
      <c r="O3177" s="15" t="n"/>
      <c r="P3177" s="15" t="n"/>
      <c r="Q3177" s="10" t="n"/>
      <c r="R3177" s="10" t="n"/>
      <c r="S3177" s="16" t="inlineStr">
        <is>
          <t>https://mstgolf.co.th/products/gf2020101694</t>
        </is>
      </c>
      <c r="T3177" s="1">
        <f>IF(B3177="ไม้กอล์ฟ",J3177,"")</f>
        <v/>
      </c>
    </row>
    <row r="3178">
      <c r="A3178" s="1" t="n">
        <v>3</v>
      </c>
      <c r="B3178" s="1" t="inlineStr">
        <is>
          <t>เสื้อผ้า</t>
        </is>
      </c>
      <c r="C3178" s="1" t="inlineStr">
        <is>
          <t>gf2020101916</t>
        </is>
      </c>
      <c r="D3178" s="1" t="inlineStr">
        <is>
          <t>PUMA 5-Pocket Boy's Pants (Navy Blazer)</t>
        </is>
      </c>
      <c r="E3178" s="1" t="inlineStr">
        <is>
          <t>PUMA</t>
        </is>
      </c>
      <c r="F3178" s="1" t="inlineStr">
        <is>
          <t>LONG PANTS</t>
        </is>
      </c>
      <c r="G3178" s="1" t="inlineStr">
        <is>
          <t>GF2020101916116</t>
        </is>
      </c>
      <c r="H3178" s="1" t="n">
        <v>6</v>
      </c>
      <c r="I3178" s="1" t="inlineStr">
        <is>
          <t>มี</t>
        </is>
      </c>
      <c r="J3178" s="13" t="n">
        <v>69</v>
      </c>
      <c r="K3178" s="1" t="inlineStr"/>
      <c r="L3178" s="13" t="n">
        <v>69</v>
      </c>
      <c r="M3178" s="1">
        <f>IF(L3178="","ไม่พบใน SG",IF(ABS(J3178-L3178)&lt;0.005,"ตรงกัน","ไม่ตรง"))</f>
        <v/>
      </c>
      <c r="N3178" s="14">
        <f>IF(L3178="","",ROUND(L3178*'สรุป'!$C$6,-1))</f>
        <v/>
      </c>
      <c r="O3178" s="15" t="n"/>
      <c r="P3178" s="15" t="n"/>
      <c r="Q3178" s="10" t="n"/>
      <c r="R3178" s="10" t="n"/>
      <c r="S3178" s="16" t="inlineStr">
        <is>
          <t>https://mstgolf.co.th/products/gf2020101916</t>
        </is>
      </c>
      <c r="T3178" s="1">
        <f>IF(B3178="ไม้กอล์ฟ",J3178,"")</f>
        <v/>
      </c>
    </row>
    <row r="3179">
      <c r="A3179" s="1" t="n">
        <v>3</v>
      </c>
      <c r="B3179" s="1" t="inlineStr">
        <is>
          <t>เสื้อผ้า</t>
        </is>
      </c>
      <c r="C3179" s="1" t="inlineStr">
        <is>
          <t>gf2040114711</t>
        </is>
      </c>
      <c r="D3179" s="1" t="inlineStr">
        <is>
          <t>PUMA Gamer Men's Polo (Black)</t>
        </is>
      </c>
      <c r="E3179" s="1" t="inlineStr">
        <is>
          <t>PUMA</t>
        </is>
      </c>
      <c r="F3179" s="1" t="inlineStr">
        <is>
          <t>SHORT SLEEVES</t>
        </is>
      </c>
      <c r="G3179" s="1" t="inlineStr">
        <is>
          <t>GF2040114711XS</t>
        </is>
      </c>
      <c r="H3179" s="1" t="n">
        <v>6</v>
      </c>
      <c r="I3179" s="1" t="inlineStr">
        <is>
          <t>มี</t>
        </is>
      </c>
      <c r="J3179" s="13" t="n">
        <v>69</v>
      </c>
      <c r="K3179" s="1" t="inlineStr"/>
      <c r="L3179" s="13" t="n"/>
      <c r="M3179" s="1">
        <f>IF(L3179="","ไม่พบใน SG",IF(ABS(J3179-L3179)&lt;0.005,"ตรงกัน","ไม่ตรง"))</f>
        <v/>
      </c>
      <c r="N3179" s="14">
        <f>IF(L3179="","",ROUND(L3179*'สรุป'!$C$6,-1))</f>
        <v/>
      </c>
      <c r="O3179" s="15" t="n"/>
      <c r="P3179" s="15" t="n"/>
      <c r="Q3179" s="10" t="n"/>
      <c r="R3179" s="10" t="n"/>
      <c r="S3179" s="16" t="inlineStr">
        <is>
          <t>https://mstgolf.co.th/products/gf2040114711</t>
        </is>
      </c>
      <c r="T3179" s="1">
        <f>IF(B3179="ไม้กอล์ฟ",J3179,"")</f>
        <v/>
      </c>
    </row>
    <row r="3180">
      <c r="A3180" s="1" t="n">
        <v>3</v>
      </c>
      <c r="B3180" s="1" t="inlineStr">
        <is>
          <t>เสื้อผ้า</t>
        </is>
      </c>
      <c r="C3180" s="1" t="inlineStr">
        <is>
          <t>gf2040116777</t>
        </is>
      </c>
      <c r="D3180" s="1" t="inlineStr">
        <is>
          <t>PUMA Gamer Men's Polo (Bold Blue)</t>
        </is>
      </c>
      <c r="E3180" s="1" t="inlineStr">
        <is>
          <t>PUMA</t>
        </is>
      </c>
      <c r="F3180" s="1" t="inlineStr">
        <is>
          <t>SHORT SLEEVES</t>
        </is>
      </c>
      <c r="G3180" s="1" t="inlineStr">
        <is>
          <t>GF2040116777XS</t>
        </is>
      </c>
      <c r="H3180" s="1" t="n">
        <v>6</v>
      </c>
      <c r="I3180" s="1" t="inlineStr">
        <is>
          <t>มี</t>
        </is>
      </c>
      <c r="J3180" s="13" t="n">
        <v>69</v>
      </c>
      <c r="K3180" s="1" t="inlineStr"/>
      <c r="L3180" s="13" t="n">
        <v>69</v>
      </c>
      <c r="M3180" s="1">
        <f>IF(L3180="","ไม่พบใน SG",IF(ABS(J3180-L3180)&lt;0.005,"ตรงกัน","ไม่ตรง"))</f>
        <v/>
      </c>
      <c r="N3180" s="14">
        <f>IF(L3180="","",ROUND(L3180*'สรุป'!$C$6,-1))</f>
        <v/>
      </c>
      <c r="O3180" s="15" t="n"/>
      <c r="P3180" s="15" t="n"/>
      <c r="Q3180" s="10" t="n"/>
      <c r="R3180" s="10" t="n"/>
      <c r="S3180" s="16" t="inlineStr">
        <is>
          <t>https://mstgolf.co.th/products/gf2040116777</t>
        </is>
      </c>
      <c r="T3180" s="1">
        <f>IF(B3180="ไม้กอล์ฟ",J3180,"")</f>
        <v/>
      </c>
    </row>
    <row r="3181">
      <c r="A3181" s="1" t="n">
        <v>3</v>
      </c>
      <c r="B3181" s="1" t="inlineStr">
        <is>
          <t>เสื้อผ้า</t>
        </is>
      </c>
      <c r="C3181" s="1" t="inlineStr">
        <is>
          <t>gf2040115155</t>
        </is>
      </c>
      <c r="D3181" s="1" t="inlineStr">
        <is>
          <t>PUMA Gamer Men's Polo (Evening Grey)</t>
        </is>
      </c>
      <c r="E3181" s="1" t="inlineStr">
        <is>
          <t>PUMA</t>
        </is>
      </c>
      <c r="F3181" s="1" t="inlineStr">
        <is>
          <t>SHORT SLEEVES</t>
        </is>
      </c>
      <c r="G3181" s="1" t="inlineStr">
        <is>
          <t>GF2040115155XS</t>
        </is>
      </c>
      <c r="H3181" s="1" t="n">
        <v>6</v>
      </c>
      <c r="I3181" s="1" t="inlineStr">
        <is>
          <t>มี</t>
        </is>
      </c>
      <c r="J3181" s="13" t="n">
        <v>69</v>
      </c>
      <c r="K3181" s="1" t="inlineStr"/>
      <c r="L3181" s="13" t="n">
        <v>49</v>
      </c>
      <c r="M3181" s="1">
        <f>IF(L3181="","ไม่พบใน SG",IF(ABS(J3181-L3181)&lt;0.005,"ตรงกัน","ไม่ตรง"))</f>
        <v/>
      </c>
      <c r="N3181" s="14">
        <f>IF(L3181="","",ROUND(L3181*'สรุป'!$C$6,-1))</f>
        <v/>
      </c>
      <c r="O3181" s="15" t="n"/>
      <c r="P3181" s="15" t="n"/>
      <c r="Q3181" s="10" t="n"/>
      <c r="R3181" s="10" t="n"/>
      <c r="S3181" s="16" t="inlineStr">
        <is>
          <t>https://mstgolf.co.th/products/gf2040115155</t>
        </is>
      </c>
      <c r="T3181" s="1">
        <f>IF(B3181="ไม้กอล์ฟ",J3181,"")</f>
        <v/>
      </c>
    </row>
    <row r="3182">
      <c r="A3182" s="1" t="n">
        <v>3</v>
      </c>
      <c r="B3182" s="1" t="inlineStr">
        <is>
          <t>เสื้อผ้า</t>
        </is>
      </c>
      <c r="C3182" s="1" t="inlineStr">
        <is>
          <t>gf2040115153</t>
        </is>
      </c>
      <c r="D3182" s="1" t="inlineStr">
        <is>
          <t>PUMA Gamer Men's Polo (High Rise)</t>
        </is>
      </c>
      <c r="E3182" s="1" t="inlineStr">
        <is>
          <t>PUMA</t>
        </is>
      </c>
      <c r="F3182" s="1" t="inlineStr">
        <is>
          <t>SHORT SLEEVES</t>
        </is>
      </c>
      <c r="G3182" s="1" t="inlineStr">
        <is>
          <t>GF2040115153XS</t>
        </is>
      </c>
      <c r="H3182" s="1" t="n">
        <v>6</v>
      </c>
      <c r="I3182" s="1" t="inlineStr">
        <is>
          <t>มี</t>
        </is>
      </c>
      <c r="J3182" s="13" t="n">
        <v>69</v>
      </c>
      <c r="K3182" s="1" t="inlineStr"/>
      <c r="L3182" s="13" t="n">
        <v>69</v>
      </c>
      <c r="M3182" s="1">
        <f>IF(L3182="","ไม่พบใน SG",IF(ABS(J3182-L3182)&lt;0.005,"ตรงกัน","ไม่ตรง"))</f>
        <v/>
      </c>
      <c r="N3182" s="14">
        <f>IF(L3182="","",ROUND(L3182*'สรุป'!$C$6,-1))</f>
        <v/>
      </c>
      <c r="O3182" s="15" t="n"/>
      <c r="P3182" s="15" t="n"/>
      <c r="Q3182" s="10" t="n"/>
      <c r="R3182" s="10" t="n"/>
      <c r="S3182" s="16" t="inlineStr">
        <is>
          <t>https://mstgolf.co.th/products/gf2040115153</t>
        </is>
      </c>
      <c r="T3182" s="1">
        <f>IF(B3182="ไม้กอล์ฟ",J3182,"")</f>
        <v/>
      </c>
    </row>
    <row r="3183">
      <c r="A3183" s="1" t="n">
        <v>3</v>
      </c>
      <c r="B3183" s="1" t="inlineStr">
        <is>
          <t>เสื้อผ้า</t>
        </is>
      </c>
      <c r="C3183" s="1" t="inlineStr">
        <is>
          <t>gf2040115157</t>
        </is>
      </c>
      <c r="D3183" s="1" t="inlineStr">
        <is>
          <t>PUMA Gamer Men's Polo (Lake Blue)</t>
        </is>
      </c>
      <c r="E3183" s="1" t="inlineStr">
        <is>
          <t>PUMA</t>
        </is>
      </c>
      <c r="F3183" s="1" t="inlineStr">
        <is>
          <t>SHORT SLEEVES</t>
        </is>
      </c>
      <c r="G3183" s="1" t="inlineStr">
        <is>
          <t>GF2040115157XS</t>
        </is>
      </c>
      <c r="H3183" s="1" t="n">
        <v>6</v>
      </c>
      <c r="I3183" s="1" t="inlineStr">
        <is>
          <t>มี</t>
        </is>
      </c>
      <c r="J3183" s="13" t="n">
        <v>69</v>
      </c>
      <c r="K3183" s="1" t="inlineStr"/>
      <c r="L3183" s="13" t="n">
        <v>69</v>
      </c>
      <c r="M3183" s="1">
        <f>IF(L3183="","ไม่พบใน SG",IF(ABS(J3183-L3183)&lt;0.005,"ตรงกัน","ไม่ตรง"))</f>
        <v/>
      </c>
      <c r="N3183" s="14">
        <f>IF(L3183="","",ROUND(L3183*'สรุป'!$C$6,-1))</f>
        <v/>
      </c>
      <c r="O3183" s="15" t="n"/>
      <c r="P3183" s="15" t="n"/>
      <c r="Q3183" s="10" t="n"/>
      <c r="R3183" s="10" t="n"/>
      <c r="S3183" s="16" t="inlineStr">
        <is>
          <t>https://mstgolf.co.th/products/gf2040115157</t>
        </is>
      </c>
      <c r="T3183" s="1">
        <f>IF(B3183="ไม้กอล์ฟ",J3183,"")</f>
        <v/>
      </c>
    </row>
    <row r="3184">
      <c r="A3184" s="1" t="n">
        <v>3</v>
      </c>
      <c r="B3184" s="1" t="inlineStr">
        <is>
          <t>เสื้อผ้า</t>
        </is>
      </c>
      <c r="C3184" s="1" t="inlineStr">
        <is>
          <t>gf2040115154</t>
        </is>
      </c>
      <c r="D3184" s="1" t="inlineStr">
        <is>
          <t>PUMA Gamer Men's Polo (Quiet Shade)</t>
        </is>
      </c>
      <c r="E3184" s="1" t="inlineStr">
        <is>
          <t>PUMA</t>
        </is>
      </c>
      <c r="F3184" s="1" t="inlineStr">
        <is>
          <t>SHORT SLEEVES</t>
        </is>
      </c>
      <c r="G3184" s="1" t="inlineStr">
        <is>
          <t>GF2040115154XS</t>
        </is>
      </c>
      <c r="H3184" s="1" t="n">
        <v>6</v>
      </c>
      <c r="I3184" s="1" t="inlineStr">
        <is>
          <t>มี</t>
        </is>
      </c>
      <c r="J3184" s="13" t="n">
        <v>69</v>
      </c>
      <c r="K3184" s="1" t="inlineStr"/>
      <c r="L3184" s="13" t="n">
        <v>69</v>
      </c>
      <c r="M3184" s="1">
        <f>IF(L3184="","ไม่พบใน SG",IF(ABS(J3184-L3184)&lt;0.005,"ตรงกัน","ไม่ตรง"))</f>
        <v/>
      </c>
      <c r="N3184" s="14">
        <f>IF(L3184="","",ROUND(L3184*'สรุป'!$C$6,-1))</f>
        <v/>
      </c>
      <c r="O3184" s="15" t="n"/>
      <c r="P3184" s="15" t="n"/>
      <c r="Q3184" s="10" t="n"/>
      <c r="R3184" s="10" t="n"/>
      <c r="S3184" s="16" t="inlineStr">
        <is>
          <t>https://mstgolf.co.th/products/gf2040115154</t>
        </is>
      </c>
      <c r="T3184" s="1">
        <f>IF(B3184="ไม้กอล์ฟ",J3184,"")</f>
        <v/>
      </c>
    </row>
    <row r="3185">
      <c r="A3185" s="1" t="n">
        <v>3</v>
      </c>
      <c r="B3185" s="1" t="inlineStr">
        <is>
          <t>เสื้อผ้า</t>
        </is>
      </c>
      <c r="C3185" s="1" t="inlineStr">
        <is>
          <t>gf2040116647</t>
        </is>
      </c>
      <c r="D3185" s="1" t="inlineStr">
        <is>
          <t>PUMA Gamer Men's Polo (Regal Blue)</t>
        </is>
      </c>
      <c r="E3185" s="1" t="inlineStr">
        <is>
          <t>PUMA</t>
        </is>
      </c>
      <c r="F3185" s="1" t="inlineStr">
        <is>
          <t>SHORT SLEEVES</t>
        </is>
      </c>
      <c r="G3185" s="1" t="inlineStr">
        <is>
          <t>GF2040116647XS</t>
        </is>
      </c>
      <c r="H3185" s="1" t="n">
        <v>6</v>
      </c>
      <c r="I3185" s="1" t="inlineStr">
        <is>
          <t>มี</t>
        </is>
      </c>
      <c r="J3185" s="13" t="n">
        <v>69</v>
      </c>
      <c r="K3185" s="1" t="inlineStr"/>
      <c r="L3185" s="13" t="n">
        <v>49</v>
      </c>
      <c r="M3185" s="1">
        <f>IF(L3185="","ไม่พบใน SG",IF(ABS(J3185-L3185)&lt;0.005,"ตรงกัน","ไม่ตรง"))</f>
        <v/>
      </c>
      <c r="N3185" s="14">
        <f>IF(L3185="","",ROUND(L3185*'สรุป'!$C$6,-1))</f>
        <v/>
      </c>
      <c r="O3185" s="15" t="n"/>
      <c r="P3185" s="15" t="n"/>
      <c r="Q3185" s="10" t="n"/>
      <c r="R3185" s="10" t="n"/>
      <c r="S3185" s="16" t="inlineStr">
        <is>
          <t>https://mstgolf.co.th/products/gf2040116647</t>
        </is>
      </c>
      <c r="T3185" s="1">
        <f>IF(B3185="ไม้กอล์ฟ",J3185,"")</f>
        <v/>
      </c>
    </row>
    <row r="3186">
      <c r="A3186" s="1" t="n">
        <v>3</v>
      </c>
      <c r="B3186" s="1" t="inlineStr">
        <is>
          <t>เสื้อผ้า</t>
        </is>
      </c>
      <c r="C3186" s="1" t="inlineStr">
        <is>
          <t>gf2020102194</t>
        </is>
      </c>
      <c r="D3186" s="1" t="inlineStr">
        <is>
          <t>PUMA Hoops Golf Men's Jogger (Black)</t>
        </is>
      </c>
      <c r="E3186" s="1" t="inlineStr">
        <is>
          <t>PUMA</t>
        </is>
      </c>
      <c r="F3186" s="1" t="inlineStr">
        <is>
          <t>LONG PANTS</t>
        </is>
      </c>
      <c r="G3186" s="1" t="inlineStr">
        <is>
          <t>GF202010219428</t>
        </is>
      </c>
      <c r="H3186" s="1" t="n">
        <v>7</v>
      </c>
      <c r="I3186" s="1" t="inlineStr">
        <is>
          <t>มี</t>
        </is>
      </c>
      <c r="J3186" s="13" t="n">
        <v>69</v>
      </c>
      <c r="K3186" s="1" t="inlineStr"/>
      <c r="L3186" s="13" t="n">
        <v>69</v>
      </c>
      <c r="M3186" s="1">
        <f>IF(L3186="","ไม่พบใน SG",IF(ABS(J3186-L3186)&lt;0.005,"ตรงกัน","ไม่ตรง"))</f>
        <v/>
      </c>
      <c r="N3186" s="14">
        <f>IF(L3186="","",ROUND(L3186*'สรุป'!$C$6,-1))</f>
        <v/>
      </c>
      <c r="O3186" s="15" t="n"/>
      <c r="P3186" s="15" t="n"/>
      <c r="Q3186" s="10" t="n"/>
      <c r="R3186" s="10" t="n"/>
      <c r="S3186" s="16" t="inlineStr">
        <is>
          <t>https://mstgolf.co.th/products/gf2020102194</t>
        </is>
      </c>
      <c r="T3186" s="1">
        <f>IF(B3186="ไม้กอล์ฟ",J3186,"")</f>
        <v/>
      </c>
    </row>
    <row r="3187">
      <c r="A3187" s="1" t="n">
        <v>3</v>
      </c>
      <c r="B3187" s="1" t="inlineStr">
        <is>
          <t>เสื้อผ้า</t>
        </is>
      </c>
      <c r="C3187" s="1" t="inlineStr">
        <is>
          <t>gf2020202332</t>
        </is>
      </c>
      <c r="D3187" s="1" t="inlineStr">
        <is>
          <t>PUMA Japan Stretch Basic Men's Shorts (Deep Navy)</t>
        </is>
      </c>
      <c r="E3187" s="1" t="inlineStr">
        <is>
          <t>PUMA</t>
        </is>
      </c>
      <c r="F3187" s="1" t="inlineStr">
        <is>
          <t>SHORT PANTS</t>
        </is>
      </c>
      <c r="G3187" s="1" t="inlineStr">
        <is>
          <t>GF2020202332S</t>
        </is>
      </c>
      <c r="H3187" s="1" t="n">
        <v>5</v>
      </c>
      <c r="I3187" s="1" t="inlineStr">
        <is>
          <t>มี</t>
        </is>
      </c>
      <c r="J3187" s="13" t="n">
        <v>69</v>
      </c>
      <c r="K3187" s="1" t="inlineStr"/>
      <c r="L3187" s="13" t="n">
        <v>69</v>
      </c>
      <c r="M3187" s="1">
        <f>IF(L3187="","ไม่พบใน SG",IF(ABS(J3187-L3187)&lt;0.005,"ตรงกัน","ไม่ตรง"))</f>
        <v/>
      </c>
      <c r="N3187" s="14">
        <f>IF(L3187="","",ROUND(L3187*'สรุป'!$C$6,-1))</f>
        <v/>
      </c>
      <c r="O3187" s="15" t="n"/>
      <c r="P3187" s="15" t="n"/>
      <c r="Q3187" s="10" t="n"/>
      <c r="R3187" s="10" t="n"/>
      <c r="S3187" s="16" t="inlineStr">
        <is>
          <t>https://mstgolf.co.th/products/gf2020202332</t>
        </is>
      </c>
      <c r="T3187" s="1">
        <f>IF(B3187="ไม้กอล์ฟ",J3187,"")</f>
        <v/>
      </c>
    </row>
    <row r="3188">
      <c r="A3188" s="1" t="n">
        <v>3</v>
      </c>
      <c r="B3188" s="1" t="inlineStr">
        <is>
          <t>เสื้อผ้า</t>
        </is>
      </c>
      <c r="C3188" s="1" t="inlineStr">
        <is>
          <t>gf2020202244</t>
        </is>
      </c>
      <c r="D3188" s="1" t="inlineStr">
        <is>
          <t>PUMA Knit Junior Skirt (Navy Blazer)</t>
        </is>
      </c>
      <c r="E3188" s="1" t="inlineStr">
        <is>
          <t>PUMA</t>
        </is>
      </c>
      <c r="F3188" s="1" t="inlineStr">
        <is>
          <t>SHORT PANTS</t>
        </is>
      </c>
      <c r="G3188" s="1" t="inlineStr">
        <is>
          <t>GF2020202244128</t>
        </is>
      </c>
      <c r="H3188" s="1" t="n">
        <v>5</v>
      </c>
      <c r="I3188" s="1" t="inlineStr">
        <is>
          <t>มี</t>
        </is>
      </c>
      <c r="J3188" s="13" t="n">
        <v>69</v>
      </c>
      <c r="K3188" s="1" t="inlineStr"/>
      <c r="L3188" s="13" t="n">
        <v>49</v>
      </c>
      <c r="M3188" s="1">
        <f>IF(L3188="","ไม่พบใน SG",IF(ABS(J3188-L3188)&lt;0.005,"ตรงกัน","ไม่ตรง"))</f>
        <v/>
      </c>
      <c r="N3188" s="14">
        <f>IF(L3188="","",ROUND(L3188*'สรุป'!$C$6,-1))</f>
        <v/>
      </c>
      <c r="O3188" s="15" t="n"/>
      <c r="P3188" s="15" t="n"/>
      <c r="Q3188" s="10" t="n"/>
      <c r="R3188" s="10" t="n"/>
      <c r="S3188" s="16" t="inlineStr">
        <is>
          <t>https://mstgolf.co.th/products/gf2020202244</t>
        </is>
      </c>
      <c r="T3188" s="1">
        <f>IF(B3188="ไม้กอล์ฟ",J3188,"")</f>
        <v/>
      </c>
    </row>
    <row r="3189">
      <c r="A3189" s="1" t="n">
        <v>3</v>
      </c>
      <c r="B3189" s="1" t="inlineStr">
        <is>
          <t>เสื้อผ้า</t>
        </is>
      </c>
      <c r="C3189" s="1" t="inlineStr">
        <is>
          <t>gf2040119246</t>
        </is>
      </c>
      <c r="D3189" s="1" t="inlineStr">
        <is>
          <t>PUMA MATTR Micro Florals Boy's Polo (Mint)</t>
        </is>
      </c>
      <c r="E3189" s="1" t="inlineStr">
        <is>
          <t>PUMA</t>
        </is>
      </c>
      <c r="F3189" s="1" t="inlineStr">
        <is>
          <t>SHORT SLEEVES</t>
        </is>
      </c>
      <c r="G3189" s="1" t="inlineStr">
        <is>
          <t>GF2040119246128</t>
        </is>
      </c>
      <c r="H3189" s="1" t="n">
        <v>5</v>
      </c>
      <c r="I3189" s="1" t="inlineStr">
        <is>
          <t>มี</t>
        </is>
      </c>
      <c r="J3189" s="13" t="n">
        <v>69</v>
      </c>
      <c r="K3189" s="1" t="inlineStr"/>
      <c r="L3189" s="13" t="n">
        <v>69</v>
      </c>
      <c r="M3189" s="1">
        <f>IF(L3189="","ไม่พบใน SG",IF(ABS(J3189-L3189)&lt;0.005,"ตรงกัน","ไม่ตรง"))</f>
        <v/>
      </c>
      <c r="N3189" s="14">
        <f>IF(L3189="","",ROUND(L3189*'สรุป'!$C$6,-1))</f>
        <v/>
      </c>
      <c r="O3189" s="15" t="n"/>
      <c r="P3189" s="15" t="n"/>
      <c r="Q3189" s="10" t="n"/>
      <c r="R3189" s="10" t="n"/>
      <c r="S3189" s="16" t="inlineStr">
        <is>
          <t>https://mstgolf.co.th/products/gf2040119246</t>
        </is>
      </c>
      <c r="T3189" s="1">
        <f>IF(B3189="ไม้กอล์ฟ",J3189,"")</f>
        <v/>
      </c>
    </row>
    <row r="3190">
      <c r="A3190" s="1" t="n">
        <v>3</v>
      </c>
      <c r="B3190" s="1" t="inlineStr">
        <is>
          <t>เสื้อผ้า</t>
        </is>
      </c>
      <c r="C3190" s="1" t="inlineStr">
        <is>
          <t>gf2040119248</t>
        </is>
      </c>
      <c r="D3190" s="1" t="inlineStr">
        <is>
          <t>PUMA MATTR Micro Florals Boy's Polo (Red Fire)</t>
        </is>
      </c>
      <c r="E3190" s="1" t="inlineStr">
        <is>
          <t>PUMA</t>
        </is>
      </c>
      <c r="F3190" s="1" t="inlineStr">
        <is>
          <t>SHORT SLEEVES</t>
        </is>
      </c>
      <c r="G3190" s="1" t="inlineStr">
        <is>
          <t>GF2040119248128</t>
        </is>
      </c>
      <c r="H3190" s="1" t="n">
        <v>5</v>
      </c>
      <c r="I3190" s="1" t="inlineStr">
        <is>
          <t>มี</t>
        </is>
      </c>
      <c r="J3190" s="13" t="n">
        <v>69</v>
      </c>
      <c r="K3190" s="1" t="inlineStr"/>
      <c r="L3190" s="13" t="n">
        <v>69</v>
      </c>
      <c r="M3190" s="1">
        <f>IF(L3190="","ไม่พบใน SG",IF(ABS(J3190-L3190)&lt;0.005,"ตรงกัน","ไม่ตรง"))</f>
        <v/>
      </c>
      <c r="N3190" s="14">
        <f>IF(L3190="","",ROUND(L3190*'สรุป'!$C$6,-1))</f>
        <v/>
      </c>
      <c r="O3190" s="15" t="n"/>
      <c r="P3190" s="15" t="n"/>
      <c r="Q3190" s="10" t="n"/>
      <c r="R3190" s="10" t="n"/>
      <c r="S3190" s="16" t="inlineStr">
        <is>
          <t>https://mstgolf.co.th/products/gf2040119248</t>
        </is>
      </c>
      <c r="T3190" s="1">
        <f>IF(B3190="ไม้กอล์ฟ",J3190,"")</f>
        <v/>
      </c>
    </row>
    <row r="3191">
      <c r="A3191" s="1" t="n">
        <v>3</v>
      </c>
      <c r="B3191" s="1" t="inlineStr">
        <is>
          <t>เสื้อผ้า</t>
        </is>
      </c>
      <c r="C3191" s="1" t="inlineStr">
        <is>
          <t>gf2040119244</t>
        </is>
      </c>
      <c r="D3191" s="1" t="inlineStr">
        <is>
          <t>PUMA MATTR Safari Boy's Polo (White/Mint)</t>
        </is>
      </c>
      <c r="E3191" s="1" t="inlineStr">
        <is>
          <t>PUMA</t>
        </is>
      </c>
      <c r="F3191" s="1" t="inlineStr">
        <is>
          <t>SHORT SLEEVES</t>
        </is>
      </c>
      <c r="G3191" s="1" t="inlineStr">
        <is>
          <t>GF2040119244128</t>
        </is>
      </c>
      <c r="H3191" s="1" t="n">
        <v>5</v>
      </c>
      <c r="I3191" s="1" t="inlineStr">
        <is>
          <t>มี</t>
        </is>
      </c>
      <c r="J3191" s="13" t="n">
        <v>69</v>
      </c>
      <c r="K3191" s="1" t="inlineStr"/>
      <c r="L3191" s="13" t="n">
        <v>69</v>
      </c>
      <c r="M3191" s="1">
        <f>IF(L3191="","ไม่พบใน SG",IF(ABS(J3191-L3191)&lt;0.005,"ตรงกัน","ไม่ตรง"))</f>
        <v/>
      </c>
      <c r="N3191" s="14">
        <f>IF(L3191="","",ROUND(L3191*'สรุป'!$C$6,-1))</f>
        <v/>
      </c>
      <c r="O3191" s="15" t="n"/>
      <c r="P3191" s="15" t="n"/>
      <c r="Q3191" s="10" t="n"/>
      <c r="R3191" s="10" t="n"/>
      <c r="S3191" s="16" t="inlineStr">
        <is>
          <t>https://mstgolf.co.th/products/gf2040119244</t>
        </is>
      </c>
      <c r="T3191" s="1">
        <f>IF(B3191="ไม้กอล์ฟ",J3191,"")</f>
        <v/>
      </c>
    </row>
    <row r="3192">
      <c r="A3192" s="1" t="n">
        <v>3</v>
      </c>
      <c r="B3192" s="1" t="inlineStr">
        <is>
          <t>เสื้อผ้า</t>
        </is>
      </c>
      <c r="C3192" s="1" t="inlineStr">
        <is>
          <t>gf2020102029</t>
        </is>
      </c>
      <c r="D3192" s="1" t="inlineStr">
        <is>
          <t>PUMA Palm Tree Crew Men's Jogger (Black)</t>
        </is>
      </c>
      <c r="E3192" s="1" t="inlineStr">
        <is>
          <t>PUMA</t>
        </is>
      </c>
      <c r="F3192" s="1" t="inlineStr">
        <is>
          <t>LONG PANTS</t>
        </is>
      </c>
      <c r="G3192" s="1" t="inlineStr">
        <is>
          <t>GF2020102029XS</t>
        </is>
      </c>
      <c r="H3192" s="1" t="n">
        <v>6</v>
      </c>
      <c r="I3192" s="1" t="inlineStr">
        <is>
          <t>มี</t>
        </is>
      </c>
      <c r="J3192" s="13" t="n">
        <v>69</v>
      </c>
      <c r="K3192" s="1" t="inlineStr"/>
      <c r="L3192" s="13" t="n">
        <v>69</v>
      </c>
      <c r="M3192" s="1">
        <f>IF(L3192="","ไม่พบใน SG",IF(ABS(J3192-L3192)&lt;0.005,"ตรงกัน","ไม่ตรง"))</f>
        <v/>
      </c>
      <c r="N3192" s="14">
        <f>IF(L3192="","",ROUND(L3192*'สรุป'!$C$6,-1))</f>
        <v/>
      </c>
      <c r="O3192" s="15" t="n"/>
      <c r="P3192" s="15" t="n"/>
      <c r="Q3192" s="10" t="n"/>
      <c r="R3192" s="10" t="n"/>
      <c r="S3192" s="16" t="inlineStr">
        <is>
          <t>https://mstgolf.co.th/products/gf2020102029</t>
        </is>
      </c>
      <c r="T3192" s="1">
        <f>IF(B3192="ไม้กอล์ฟ",J3192,"")</f>
        <v/>
      </c>
    </row>
    <row r="3193">
      <c r="A3193" s="1" t="n">
        <v>3</v>
      </c>
      <c r="B3193" s="1" t="inlineStr">
        <is>
          <t>เสื้อผ้า</t>
        </is>
      </c>
      <c r="C3193" s="1" t="inlineStr">
        <is>
          <t>gf2040117427</t>
        </is>
      </c>
      <c r="D3193" s="1" t="inlineStr">
        <is>
          <t>PUMA Pure Geo Men's Polo (White/Navy)</t>
        </is>
      </c>
      <c r="E3193" s="1" t="inlineStr">
        <is>
          <t>PUMA</t>
        </is>
      </c>
      <c r="F3193" s="1" t="inlineStr">
        <is>
          <t>SHORT SLEEVES</t>
        </is>
      </c>
      <c r="G3193" s="1" t="inlineStr">
        <is>
          <t>GF2040117427XS</t>
        </is>
      </c>
      <c r="H3193" s="1" t="n">
        <v>6</v>
      </c>
      <c r="I3193" s="1" t="inlineStr">
        <is>
          <t>มี</t>
        </is>
      </c>
      <c r="J3193" s="13" t="n">
        <v>69</v>
      </c>
      <c r="K3193" s="1" t="inlineStr"/>
      <c r="L3193" s="13" t="n">
        <v>69</v>
      </c>
      <c r="M3193" s="1">
        <f>IF(L3193="","ไม่พบใน SG",IF(ABS(J3193-L3193)&lt;0.005,"ตรงกัน","ไม่ตรง"))</f>
        <v/>
      </c>
      <c r="N3193" s="14">
        <f>IF(L3193="","",ROUND(L3193*'สรุป'!$C$6,-1))</f>
        <v/>
      </c>
      <c r="O3193" s="15" t="n"/>
      <c r="P3193" s="15" t="n"/>
      <c r="Q3193" s="10" t="n"/>
      <c r="R3193" s="10" t="n"/>
      <c r="S3193" s="16" t="inlineStr">
        <is>
          <t>https://mstgolf.co.th/products/gf2040117427</t>
        </is>
      </c>
      <c r="T3193" s="1">
        <f>IF(B3193="ไม้กอล์ฟ",J3193,"")</f>
        <v/>
      </c>
    </row>
    <row r="3194">
      <c r="A3194" s="1" t="n">
        <v>3</v>
      </c>
      <c r="B3194" s="1" t="inlineStr">
        <is>
          <t>เสื้อผ้า</t>
        </is>
      </c>
      <c r="C3194" s="1" t="inlineStr">
        <is>
          <t>gf2040118457</t>
        </is>
      </c>
      <c r="D3194" s="1" t="inlineStr">
        <is>
          <t>PUMA Pure Love Birdies Men's Polo (Deep Navy/White)</t>
        </is>
      </c>
      <c r="E3194" s="1" t="inlineStr">
        <is>
          <t>PUMA</t>
        </is>
      </c>
      <c r="F3194" s="1" t="inlineStr">
        <is>
          <t>SHORT SLEEVES</t>
        </is>
      </c>
      <c r="G3194" s="1" t="inlineStr">
        <is>
          <t>GF2040118457XS</t>
        </is>
      </c>
      <c r="H3194" s="1" t="n">
        <v>7</v>
      </c>
      <c r="I3194" s="1" t="inlineStr">
        <is>
          <t>มี</t>
        </is>
      </c>
      <c r="J3194" s="13" t="n">
        <v>69</v>
      </c>
      <c r="K3194" s="1" t="inlineStr"/>
      <c r="L3194" s="13" t="n">
        <v>69</v>
      </c>
      <c r="M3194" s="1">
        <f>IF(L3194="","ไม่พบใน SG",IF(ABS(J3194-L3194)&lt;0.005,"ตรงกัน","ไม่ตรง"))</f>
        <v/>
      </c>
      <c r="N3194" s="14">
        <f>IF(L3194="","",ROUND(L3194*'สรุป'!$C$6,-1))</f>
        <v/>
      </c>
      <c r="O3194" s="15" t="n"/>
      <c r="P3194" s="15" t="n"/>
      <c r="Q3194" s="10" t="n"/>
      <c r="R3194" s="10" t="n"/>
      <c r="S3194" s="16" t="inlineStr">
        <is>
          <t>https://mstgolf.co.th/products/gf2040118457</t>
        </is>
      </c>
      <c r="T3194" s="1">
        <f>IF(B3194="ไม้กอล์ฟ",J3194,"")</f>
        <v/>
      </c>
    </row>
    <row r="3195">
      <c r="A3195" s="1" t="n">
        <v>3</v>
      </c>
      <c r="B3195" s="1" t="inlineStr">
        <is>
          <t>หมวก</t>
        </is>
      </c>
      <c r="C3195" s="1" t="inlineStr">
        <is>
          <t>gf2000106216</t>
        </is>
      </c>
      <c r="D3195" s="1" t="inlineStr">
        <is>
          <t>PUMA x PTC Ripstop Men's Cap (White)</t>
        </is>
      </c>
      <c r="E3195" s="1" t="inlineStr">
        <is>
          <t>PUMA</t>
        </is>
      </c>
      <c r="F3195" s="1" t="inlineStr">
        <is>
          <t>CAP</t>
        </is>
      </c>
      <c r="G3195" s="1" t="inlineStr">
        <is>
          <t>GF2000106216FS</t>
        </is>
      </c>
      <c r="H3195" s="1" t="n">
        <v>1</v>
      </c>
      <c r="I3195" s="1" t="inlineStr">
        <is>
          <t>มี</t>
        </is>
      </c>
      <c r="J3195" s="13" t="n">
        <v>69</v>
      </c>
      <c r="K3195" s="1" t="inlineStr"/>
      <c r="L3195" s="13" t="n">
        <v>69</v>
      </c>
      <c r="M3195" s="1">
        <f>IF(L3195="","ไม่พบใน SG",IF(ABS(J3195-L3195)&lt;0.005,"ตรงกัน","ไม่ตรง"))</f>
        <v/>
      </c>
      <c r="N3195" s="14">
        <f>IF(L3195="","",ROUND(L3195*'สรุป'!$C$6,-1))</f>
        <v/>
      </c>
      <c r="O3195" s="15" t="n"/>
      <c r="P3195" s="15" t="n"/>
      <c r="Q3195" s="10" t="n"/>
      <c r="R3195" s="10" t="n"/>
      <c r="S3195" s="16" t="inlineStr">
        <is>
          <t>https://mstgolf.co.th/products/gf2000106216</t>
        </is>
      </c>
      <c r="T3195" s="1">
        <f>IF(B3195="ไม้กอล์ฟ",J3195,"")</f>
        <v/>
      </c>
    </row>
    <row r="3196">
      <c r="A3196" s="1" t="n">
        <v>3</v>
      </c>
      <c r="B3196" s="1" t="inlineStr">
        <is>
          <t>เสื้อผ้า</t>
        </is>
      </c>
      <c r="C3196" s="1" t="inlineStr">
        <is>
          <t>gf2020202726</t>
        </is>
      </c>
      <c r="D3196" s="1" t="inlineStr">
        <is>
          <t>TAYLORMADE Basic Men's Shorts (Cool Matcha)</t>
        </is>
      </c>
      <c r="E3196" s="1" t="inlineStr">
        <is>
          <t>TAYLORMADE</t>
        </is>
      </c>
      <c r="F3196" s="1" t="inlineStr">
        <is>
          <t>SHORT PANTS</t>
        </is>
      </c>
      <c r="G3196" s="1" t="inlineStr">
        <is>
          <t>GF2020202726M</t>
        </is>
      </c>
      <c r="H3196" s="1" t="n">
        <v>4</v>
      </c>
      <c r="I3196" s="1" t="inlineStr">
        <is>
          <t>มี</t>
        </is>
      </c>
      <c r="J3196" s="13" t="n">
        <v>69</v>
      </c>
      <c r="K3196" s="1" t="inlineStr"/>
      <c r="L3196" s="13" t="n">
        <v>69</v>
      </c>
      <c r="M3196" s="1">
        <f>IF(L3196="","ไม่พบใน SG",IF(ABS(J3196-L3196)&lt;0.005,"ตรงกัน","ไม่ตรง"))</f>
        <v/>
      </c>
      <c r="N3196" s="14">
        <f>IF(L3196="","",ROUND(L3196*'สรุป'!$C$6,-1))</f>
        <v/>
      </c>
      <c r="O3196" s="15" t="n"/>
      <c r="P3196" s="15" t="n"/>
      <c r="Q3196" s="10" t="n"/>
      <c r="R3196" s="10" t="n"/>
      <c r="S3196" s="16" t="inlineStr">
        <is>
          <t>https://mstgolf.co.th/products/gf2020202726</t>
        </is>
      </c>
      <c r="T3196" s="1">
        <f>IF(B3196="ไม้กอล์ฟ",J3196,"")</f>
        <v/>
      </c>
    </row>
    <row r="3197">
      <c r="A3197" s="1" t="n">
        <v>3</v>
      </c>
      <c r="B3197" s="1" t="inlineStr">
        <is>
          <t>อุปกรณ์เสริม</t>
        </is>
      </c>
      <c r="C3197" s="1" t="inlineStr">
        <is>
          <t>gf3150100258</t>
        </is>
      </c>
      <c r="D3197" s="1" t="inlineStr">
        <is>
          <t>TAYLORMADE Double Layer UV Umbrella (Black/White)</t>
        </is>
      </c>
      <c r="E3197" s="1" t="inlineStr">
        <is>
          <t>TAYLORMADE</t>
        </is>
      </c>
      <c r="F3197" s="1" t="inlineStr">
        <is>
          <t>UMBRELLA</t>
        </is>
      </c>
      <c r="G3197" s="1" t="inlineStr">
        <is>
          <t>GF3150100258</t>
        </is>
      </c>
      <c r="H3197" s="1" t="n">
        <v>1</v>
      </c>
      <c r="I3197" s="1" t="inlineStr">
        <is>
          <t>มี</t>
        </is>
      </c>
      <c r="J3197" s="13" t="n">
        <v>69</v>
      </c>
      <c r="K3197" s="1" t="inlineStr"/>
      <c r="L3197" s="13" t="n">
        <v>69</v>
      </c>
      <c r="M3197" s="1">
        <f>IF(L3197="","ไม่พบใน SG",IF(ABS(J3197-L3197)&lt;0.005,"ตรงกัน","ไม่ตรง"))</f>
        <v/>
      </c>
      <c r="N3197" s="14">
        <f>IF(L3197="","",ROUND(L3197*'สรุป'!$C$6,-1))</f>
        <v/>
      </c>
      <c r="O3197" s="15" t="n"/>
      <c r="P3197" s="15" t="n"/>
      <c r="Q3197" s="10" t="n"/>
      <c r="R3197" s="10" t="n"/>
      <c r="S3197" s="16" t="inlineStr">
        <is>
          <t>https://mstgolf.co.th/products/gf3150100258</t>
        </is>
      </c>
      <c r="T3197" s="1">
        <f>IF(B3197="ไม้กอล์ฟ",J3197,"")</f>
        <v/>
      </c>
    </row>
    <row r="3198">
      <c r="A3198" s="1" t="n">
        <v>3</v>
      </c>
      <c r="B3198" s="1" t="inlineStr">
        <is>
          <t>เสื้อผ้า</t>
        </is>
      </c>
      <c r="C3198" s="1" t="inlineStr">
        <is>
          <t>gf2040118383</t>
        </is>
      </c>
      <c r="D3198" s="1" t="inlineStr">
        <is>
          <t>TAYLORMADE Logo Graphic Women’s Mock Shirt (Cream)</t>
        </is>
      </c>
      <c r="E3198" s="1" t="inlineStr">
        <is>
          <t>TAYLORMADE</t>
        </is>
      </c>
      <c r="F3198" s="1" t="inlineStr">
        <is>
          <t>SHORT SLEEVES</t>
        </is>
      </c>
      <c r="G3198" s="1" t="inlineStr">
        <is>
          <t>GF2040118383S</t>
        </is>
      </c>
      <c r="H3198" s="1" t="n">
        <v>6</v>
      </c>
      <c r="I3198" s="1" t="inlineStr">
        <is>
          <t>มี</t>
        </is>
      </c>
      <c r="J3198" s="13" t="n">
        <v>69</v>
      </c>
      <c r="K3198" s="1" t="inlineStr"/>
      <c r="L3198" s="13" t="n">
        <v>69</v>
      </c>
      <c r="M3198" s="1">
        <f>IF(L3198="","ไม่พบใน SG",IF(ABS(J3198-L3198)&lt;0.005,"ตรงกัน","ไม่ตรง"))</f>
        <v/>
      </c>
      <c r="N3198" s="14">
        <f>IF(L3198="","",ROUND(L3198*'สรุป'!$C$6,-1))</f>
        <v/>
      </c>
      <c r="O3198" s="15" t="n"/>
      <c r="P3198" s="15" t="n"/>
      <c r="Q3198" s="10" t="n"/>
      <c r="R3198" s="10" t="n"/>
      <c r="S3198" s="16" t="inlineStr">
        <is>
          <t>https://mstgolf.co.th/products/gf2040118383</t>
        </is>
      </c>
      <c r="T3198" s="1">
        <f>IF(B3198="ไม้กอล์ฟ",J3198,"")</f>
        <v/>
      </c>
    </row>
    <row r="3199">
      <c r="A3199" s="1" t="n">
        <v>3</v>
      </c>
      <c r="B3199" s="1" t="inlineStr">
        <is>
          <t>อุปกรณ์เสริม</t>
        </is>
      </c>
      <c r="C3199" s="1" t="inlineStr">
        <is>
          <t>gf3500201381</t>
        </is>
      </c>
      <c r="D3199" s="1" t="inlineStr">
        <is>
          <t>TAYLORMADE Summer Commemorative Rescue Headcover</t>
        </is>
      </c>
      <c r="E3199" s="1" t="inlineStr">
        <is>
          <t>TAYLORMADE</t>
        </is>
      </c>
      <c r="F3199" s="1" t="inlineStr">
        <is>
          <t>HEADCOVERS</t>
        </is>
      </c>
      <c r="G3199" s="1" t="inlineStr">
        <is>
          <t>GF3500201381</t>
        </is>
      </c>
      <c r="H3199" s="1" t="n">
        <v>1</v>
      </c>
      <c r="I3199" s="1" t="inlineStr">
        <is>
          <t>มี</t>
        </is>
      </c>
      <c r="J3199" s="13" t="n">
        <v>69</v>
      </c>
      <c r="K3199" s="1" t="inlineStr"/>
      <c r="L3199" s="13" t="n"/>
      <c r="M3199" s="1">
        <f>IF(L3199="","ไม่พบใน SG",IF(ABS(J3199-L3199)&lt;0.005,"ตรงกัน","ไม่ตรง"))</f>
        <v/>
      </c>
      <c r="N3199" s="14">
        <f>IF(L3199="","",ROUND(L3199*'สรุป'!$C$6,-1))</f>
        <v/>
      </c>
      <c r="O3199" s="15" t="n"/>
      <c r="P3199" s="15" t="n"/>
      <c r="Q3199" s="10" t="n"/>
      <c r="R3199" s="10" t="n"/>
      <c r="S3199" s="16" t="inlineStr">
        <is>
          <t>https://mstgolf.co.th/products/gf3500201381</t>
        </is>
      </c>
      <c r="T3199" s="1">
        <f>IF(B3199="ไม้กอล์ฟ",J3199,"")</f>
        <v/>
      </c>
    </row>
    <row r="3200">
      <c r="A3200" s="1" t="n">
        <v>3</v>
      </c>
      <c r="B3200" s="1" t="inlineStr">
        <is>
          <t>เสื้อผ้า</t>
        </is>
      </c>
      <c r="C3200" s="1" t="inlineStr">
        <is>
          <t>gf2020202057</t>
        </is>
      </c>
      <c r="D3200" s="1" t="inlineStr">
        <is>
          <t>TAYLORMADE Textbird Basic Men's Shorts (Green)</t>
        </is>
      </c>
      <c r="E3200" s="1" t="inlineStr">
        <is>
          <t>TAYLORMADE</t>
        </is>
      </c>
      <c r="F3200" s="1" t="inlineStr">
        <is>
          <t>SHORT PANTS</t>
        </is>
      </c>
      <c r="G3200" s="1" t="inlineStr">
        <is>
          <t>GF2020202057M</t>
        </is>
      </c>
      <c r="H3200" s="1" t="n">
        <v>4</v>
      </c>
      <c r="I3200" s="1" t="inlineStr">
        <is>
          <t>มี</t>
        </is>
      </c>
      <c r="J3200" s="13" t="n">
        <v>69</v>
      </c>
      <c r="K3200" s="1" t="inlineStr"/>
      <c r="L3200" s="13" t="n">
        <v>69</v>
      </c>
      <c r="M3200" s="1">
        <f>IF(L3200="","ไม่พบใน SG",IF(ABS(J3200-L3200)&lt;0.005,"ตรงกัน","ไม่ตรง"))</f>
        <v/>
      </c>
      <c r="N3200" s="14">
        <f>IF(L3200="","",ROUND(L3200*'สรุป'!$C$6,-1))</f>
        <v/>
      </c>
      <c r="O3200" s="15" t="n"/>
      <c r="P3200" s="15" t="n"/>
      <c r="Q3200" s="10" t="n"/>
      <c r="R3200" s="10" t="n"/>
      <c r="S3200" s="16" t="inlineStr">
        <is>
          <t>https://mstgolf.co.th/products/gf2020202057</t>
        </is>
      </c>
      <c r="T3200" s="1">
        <f>IF(B3200="ไม้กอล์ฟ",J3200,"")</f>
        <v/>
      </c>
    </row>
    <row r="3201">
      <c r="A3201" s="1" t="n">
        <v>3</v>
      </c>
      <c r="B3201" s="1" t="inlineStr">
        <is>
          <t>เสื้อผ้า</t>
        </is>
      </c>
      <c r="C3201" s="1" t="inlineStr">
        <is>
          <t>gf2020202056</t>
        </is>
      </c>
      <c r="D3201" s="1" t="inlineStr">
        <is>
          <t>TAYLORMADE Textbird Basic Men's Shorts (Navy)</t>
        </is>
      </c>
      <c r="E3201" s="1" t="inlineStr">
        <is>
          <t>TAYLORMADE</t>
        </is>
      </c>
      <c r="F3201" s="1" t="inlineStr">
        <is>
          <t>SHORT PANTS</t>
        </is>
      </c>
      <c r="G3201" s="1" t="inlineStr">
        <is>
          <t>GF2020202056M</t>
        </is>
      </c>
      <c r="H3201" s="1" t="n">
        <v>4</v>
      </c>
      <c r="I3201" s="1" t="inlineStr">
        <is>
          <t>มี</t>
        </is>
      </c>
      <c r="J3201" s="13" t="n">
        <v>69</v>
      </c>
      <c r="K3201" s="1" t="inlineStr"/>
      <c r="L3201" s="13" t="n">
        <v>69</v>
      </c>
      <c r="M3201" s="1">
        <f>IF(L3201="","ไม่พบใน SG",IF(ABS(J3201-L3201)&lt;0.005,"ตรงกัน","ไม่ตรง"))</f>
        <v/>
      </c>
      <c r="N3201" s="14">
        <f>IF(L3201="","",ROUND(L3201*'สรุป'!$C$6,-1))</f>
        <v/>
      </c>
      <c r="O3201" s="15" t="n"/>
      <c r="P3201" s="15" t="n"/>
      <c r="Q3201" s="10" t="n"/>
      <c r="R3201" s="10" t="n"/>
      <c r="S3201" s="16" t="inlineStr">
        <is>
          <t>https://mstgolf.co.th/products/gf2020202056</t>
        </is>
      </c>
      <c r="T3201" s="1">
        <f>IF(B3201="ไม้กอล์ฟ",J3201,"")</f>
        <v/>
      </c>
    </row>
    <row r="3202">
      <c r="A3202" s="1" t="n">
        <v>3</v>
      </c>
      <c r="B3202" s="1" t="inlineStr">
        <is>
          <t>อุปกรณ์เสริม</t>
        </is>
      </c>
      <c r="C3202" s="1" t="inlineStr">
        <is>
          <t>gf2080101401</t>
        </is>
      </c>
      <c r="D3202" s="1" t="inlineStr">
        <is>
          <t>UNDER ARMOUR Braided Men's Golf Belt (Black)</t>
        </is>
      </c>
      <c r="E3202" s="1" t="inlineStr">
        <is>
          <t>UNDER ARMOUR</t>
        </is>
      </c>
      <c r="F3202" s="1" t="inlineStr">
        <is>
          <t>BELT</t>
        </is>
      </c>
      <c r="G3202" s="1" t="inlineStr">
        <is>
          <t>GF2080101401S</t>
        </is>
      </c>
      <c r="H3202" s="1" t="n">
        <v>5</v>
      </c>
      <c r="I3202" s="1" t="inlineStr">
        <is>
          <t>มี</t>
        </is>
      </c>
      <c r="J3202" s="13" t="n">
        <v>69</v>
      </c>
      <c r="K3202" s="1" t="inlineStr"/>
      <c r="L3202" s="13" t="n">
        <v>69</v>
      </c>
      <c r="M3202" s="1">
        <f>IF(L3202="","ไม่พบใน SG",IF(ABS(J3202-L3202)&lt;0.005,"ตรงกัน","ไม่ตรง"))</f>
        <v/>
      </c>
      <c r="N3202" s="14">
        <f>IF(L3202="","",ROUND(L3202*'สรุป'!$C$6,-1))</f>
        <v/>
      </c>
      <c r="O3202" s="15" t="n"/>
      <c r="P3202" s="15" t="n"/>
      <c r="Q3202" s="10" t="n"/>
      <c r="R3202" s="10" t="n"/>
      <c r="S3202" s="16" t="inlineStr">
        <is>
          <t>https://mstgolf.co.th/products/gf2080101401</t>
        </is>
      </c>
      <c r="T3202" s="1">
        <f>IF(B3202="ไม้กอล์ฟ",J3202,"")</f>
        <v/>
      </c>
    </row>
    <row r="3203">
      <c r="A3203" s="1" t="n">
        <v>3</v>
      </c>
      <c r="B3203" s="1" t="inlineStr">
        <is>
          <t>อุปกรณ์เสริม</t>
        </is>
      </c>
      <c r="C3203" s="1" t="inlineStr">
        <is>
          <t>gf2080101402</t>
        </is>
      </c>
      <c r="D3203" s="1" t="inlineStr">
        <is>
          <t>UNDER ARMOUR Braided Men's Golf Belt (Grey)</t>
        </is>
      </c>
      <c r="E3203" s="1" t="inlineStr">
        <is>
          <t>UNDER ARMOUR</t>
        </is>
      </c>
      <c r="F3203" s="1" t="inlineStr">
        <is>
          <t>BELT</t>
        </is>
      </c>
      <c r="G3203" s="1" t="inlineStr">
        <is>
          <t>GF2080101402S</t>
        </is>
      </c>
      <c r="H3203" s="1" t="n">
        <v>5</v>
      </c>
      <c r="I3203" s="1" t="inlineStr">
        <is>
          <t>มี</t>
        </is>
      </c>
      <c r="J3203" s="13" t="n">
        <v>69</v>
      </c>
      <c r="K3203" s="1" t="inlineStr"/>
      <c r="L3203" s="13" t="n">
        <v>69</v>
      </c>
      <c r="M3203" s="1">
        <f>IF(L3203="","ไม่พบใน SG",IF(ABS(J3203-L3203)&lt;0.005,"ตรงกัน","ไม่ตรง"))</f>
        <v/>
      </c>
      <c r="N3203" s="14">
        <f>IF(L3203="","",ROUND(L3203*'สรุป'!$C$6,-1))</f>
        <v/>
      </c>
      <c r="O3203" s="15" t="n"/>
      <c r="P3203" s="15" t="n"/>
      <c r="Q3203" s="10" t="n"/>
      <c r="R3203" s="10" t="n"/>
      <c r="S3203" s="16" t="inlineStr">
        <is>
          <t>https://mstgolf.co.th/products/gf2080101402</t>
        </is>
      </c>
      <c r="T3203" s="1">
        <f>IF(B3203="ไม้กอล์ฟ",J3203,"")</f>
        <v/>
      </c>
    </row>
    <row r="3204">
      <c r="A3204" s="1" t="n">
        <v>3</v>
      </c>
      <c r="B3204" s="1" t="inlineStr">
        <is>
          <t>อุปกรณ์เสริม</t>
        </is>
      </c>
      <c r="C3204" s="1" t="inlineStr">
        <is>
          <t>gf2080101403</t>
        </is>
      </c>
      <c r="D3204" s="1" t="inlineStr">
        <is>
          <t>UNDER ARMOUR Braided Men's Golf Belt (Navy)</t>
        </is>
      </c>
      <c r="E3204" s="1" t="inlineStr">
        <is>
          <t>UNDER ARMOUR</t>
        </is>
      </c>
      <c r="F3204" s="1" t="inlineStr">
        <is>
          <t>BELT</t>
        </is>
      </c>
      <c r="G3204" s="1" t="inlineStr">
        <is>
          <t>GF2080101403S</t>
        </is>
      </c>
      <c r="H3204" s="1" t="n">
        <v>4</v>
      </c>
      <c r="I3204" s="1" t="inlineStr">
        <is>
          <t>มี</t>
        </is>
      </c>
      <c r="J3204" s="13" t="n">
        <v>69</v>
      </c>
      <c r="K3204" s="1" t="inlineStr"/>
      <c r="L3204" s="13" t="n">
        <v>69</v>
      </c>
      <c r="M3204" s="1">
        <f>IF(L3204="","ไม่พบใน SG",IF(ABS(J3204-L3204)&lt;0.005,"ตรงกัน","ไม่ตรง"))</f>
        <v/>
      </c>
      <c r="N3204" s="14">
        <f>IF(L3204="","",ROUND(L3204*'สรุป'!$C$6,-1))</f>
        <v/>
      </c>
      <c r="O3204" s="15" t="n"/>
      <c r="P3204" s="15" t="n"/>
      <c r="Q3204" s="10" t="n"/>
      <c r="R3204" s="10" t="n"/>
      <c r="S3204" s="16" t="inlineStr">
        <is>
          <t>https://mstgolf.co.th/products/gf2080101403</t>
        </is>
      </c>
      <c r="T3204" s="1">
        <f>IF(B3204="ไม้กอล์ฟ",J3204,"")</f>
        <v/>
      </c>
    </row>
    <row r="3205">
      <c r="A3205" s="1" t="n">
        <v>3</v>
      </c>
      <c r="B3205" s="1" t="inlineStr">
        <is>
          <t>เสื้อผ้า</t>
        </is>
      </c>
      <c r="C3205" s="1" t="inlineStr">
        <is>
          <t>gf2040117355</t>
        </is>
      </c>
      <c r="D3205" s="1" t="inlineStr">
        <is>
          <t>UNDER ARMOUR Curry Plash Women's Polo (Sky Blue)</t>
        </is>
      </c>
      <c r="E3205" s="1" t="inlineStr">
        <is>
          <t>UNDER ARMOUR</t>
        </is>
      </c>
      <c r="F3205" s="1" t="inlineStr">
        <is>
          <t>SHORT SLEEVES</t>
        </is>
      </c>
      <c r="G3205" s="1" t="inlineStr">
        <is>
          <t>GF2040117355XS</t>
        </is>
      </c>
      <c r="H3205" s="1" t="n">
        <v>5</v>
      </c>
      <c r="I3205" s="1" t="inlineStr">
        <is>
          <t>มี</t>
        </is>
      </c>
      <c r="J3205" s="13" t="n">
        <v>69</v>
      </c>
      <c r="K3205" s="1" t="inlineStr"/>
      <c r="L3205" s="13" t="n">
        <v>69</v>
      </c>
      <c r="M3205" s="1">
        <f>IF(L3205="","ไม่พบใน SG",IF(ABS(J3205-L3205)&lt;0.005,"ตรงกัน","ไม่ตรง"))</f>
        <v/>
      </c>
      <c r="N3205" s="14">
        <f>IF(L3205="","",ROUND(L3205*'สรุป'!$C$6,-1))</f>
        <v/>
      </c>
      <c r="O3205" s="15" t="n"/>
      <c r="P3205" s="15" t="n"/>
      <c r="Q3205" s="10" t="n"/>
      <c r="R3205" s="10" t="n"/>
      <c r="S3205" s="16" t="inlineStr">
        <is>
          <t>https://mstgolf.co.th/products/gf2040117355</t>
        </is>
      </c>
      <c r="T3205" s="1">
        <f>IF(B3205="ไม้กอล์ฟ",J3205,"")</f>
        <v/>
      </c>
    </row>
    <row r="3206">
      <c r="A3206" s="1" t="n">
        <v>3</v>
      </c>
      <c r="B3206" s="1" t="inlineStr">
        <is>
          <t>เสื้อผ้า</t>
        </is>
      </c>
      <c r="C3206" s="1" t="inlineStr">
        <is>
          <t>gf2020202293</t>
        </is>
      </c>
      <c r="D3206" s="1" t="inlineStr">
        <is>
          <t>UNDER ARMOUR Drive Deuces Men's Shorts (Slit)</t>
        </is>
      </c>
      <c r="E3206" s="1" t="inlineStr">
        <is>
          <t>UNDER ARMOUR</t>
        </is>
      </c>
      <c r="F3206" s="1" t="inlineStr">
        <is>
          <t>SHORT PANTS</t>
        </is>
      </c>
      <c r="G3206" s="1" t="inlineStr">
        <is>
          <t>GF202020229330</t>
        </is>
      </c>
      <c r="H3206" s="1" t="n">
        <v>6</v>
      </c>
      <c r="I3206" s="1" t="inlineStr">
        <is>
          <t>มี</t>
        </is>
      </c>
      <c r="J3206" s="13" t="n">
        <v>69</v>
      </c>
      <c r="K3206" s="1" t="inlineStr"/>
      <c r="L3206" s="13" t="n">
        <v>49</v>
      </c>
      <c r="M3206" s="1">
        <f>IF(L3206="","ไม่พบใน SG",IF(ABS(J3206-L3206)&lt;0.005,"ตรงกัน","ไม่ตรง"))</f>
        <v/>
      </c>
      <c r="N3206" s="14">
        <f>IF(L3206="","",ROUND(L3206*'สรุป'!$C$6,-1))</f>
        <v/>
      </c>
      <c r="O3206" s="15" t="n"/>
      <c r="P3206" s="15" t="n"/>
      <c r="Q3206" s="10" t="n"/>
      <c r="R3206" s="10" t="n"/>
      <c r="S3206" s="16" t="inlineStr">
        <is>
          <t>https://mstgolf.co.th/products/gf2020202293</t>
        </is>
      </c>
      <c r="T3206" s="1">
        <f>IF(B3206="ไม้กอล์ฟ",J3206,"")</f>
        <v/>
      </c>
    </row>
    <row r="3207">
      <c r="A3207" s="1" t="n">
        <v>3</v>
      </c>
      <c r="B3207" s="1" t="inlineStr">
        <is>
          <t>เสื้อผ้า</t>
        </is>
      </c>
      <c r="C3207" s="1" t="inlineStr">
        <is>
          <t>gf2020202215</t>
        </is>
      </c>
      <c r="D3207" s="1" t="inlineStr">
        <is>
          <t>UNDER ARMOUR Drive Printed Men's 10" Shorts (Black/Blizzard)</t>
        </is>
      </c>
      <c r="E3207" s="1" t="inlineStr">
        <is>
          <t>UNDER ARMOUR</t>
        </is>
      </c>
      <c r="F3207" s="1" t="inlineStr">
        <is>
          <t>SHORT PANTS</t>
        </is>
      </c>
      <c r="G3207" s="1" t="inlineStr">
        <is>
          <t>GF202020221530</t>
        </is>
      </c>
      <c r="H3207" s="1" t="n">
        <v>6</v>
      </c>
      <c r="I3207" s="1" t="inlineStr">
        <is>
          <t>มี</t>
        </is>
      </c>
      <c r="J3207" s="13" t="n">
        <v>69</v>
      </c>
      <c r="K3207" s="1" t="inlineStr"/>
      <c r="L3207" s="13" t="n">
        <v>69</v>
      </c>
      <c r="M3207" s="1">
        <f>IF(L3207="","ไม่พบใน SG",IF(ABS(J3207-L3207)&lt;0.005,"ตรงกัน","ไม่ตรง"))</f>
        <v/>
      </c>
      <c r="N3207" s="14">
        <f>IF(L3207="","",ROUND(L3207*'สรุป'!$C$6,-1))</f>
        <v/>
      </c>
      <c r="O3207" s="15" t="n"/>
      <c r="P3207" s="15" t="n"/>
      <c r="Q3207" s="10" t="n"/>
      <c r="R3207" s="10" t="n"/>
      <c r="S3207" s="16" t="inlineStr">
        <is>
          <t>https://mstgolf.co.th/products/gf2020202215</t>
        </is>
      </c>
      <c r="T3207" s="1">
        <f>IF(B3207="ไม้กอล์ฟ",J3207,"")</f>
        <v/>
      </c>
    </row>
    <row r="3208">
      <c r="A3208" s="1" t="n">
        <v>3</v>
      </c>
      <c r="B3208" s="1" t="inlineStr">
        <is>
          <t>เสื้อผ้า</t>
        </is>
      </c>
      <c r="C3208" s="1" t="inlineStr">
        <is>
          <t>gf2020202307</t>
        </is>
      </c>
      <c r="D3208" s="1" t="inlineStr">
        <is>
          <t>UNDER ARMOUR Drive Woven Skort (Midnight Navy)</t>
        </is>
      </c>
      <c r="E3208" s="1" t="inlineStr">
        <is>
          <t>UNDER ARMOUR</t>
        </is>
      </c>
      <c r="F3208" s="1" t="inlineStr">
        <is>
          <t>SHORT PANTS</t>
        </is>
      </c>
      <c r="G3208" s="1" t="inlineStr">
        <is>
          <t>GF20202023072</t>
        </is>
      </c>
      <c r="H3208" s="1" t="n">
        <v>5</v>
      </c>
      <c r="I3208" s="1" t="inlineStr">
        <is>
          <t>มี</t>
        </is>
      </c>
      <c r="J3208" s="13" t="n">
        <v>69</v>
      </c>
      <c r="K3208" s="1" t="inlineStr"/>
      <c r="L3208" s="13" t="n">
        <v>59</v>
      </c>
      <c r="M3208" s="1">
        <f>IF(L3208="","ไม่พบใน SG",IF(ABS(J3208-L3208)&lt;0.005,"ตรงกัน","ไม่ตรง"))</f>
        <v/>
      </c>
      <c r="N3208" s="14">
        <f>IF(L3208="","",ROUND(L3208*'สรุป'!$C$6,-1))</f>
        <v/>
      </c>
      <c r="O3208" s="15" t="n"/>
      <c r="P3208" s="15" t="n"/>
      <c r="Q3208" s="10" t="n"/>
      <c r="R3208" s="10" t="n"/>
      <c r="S3208" s="16" t="inlineStr">
        <is>
          <t>https://mstgolf.co.th/products/gf2020202307</t>
        </is>
      </c>
      <c r="T3208" s="1">
        <f>IF(B3208="ไม้กอล์ฟ",J3208,"")</f>
        <v/>
      </c>
    </row>
    <row r="3209">
      <c r="A3209" s="1" t="n">
        <v>3</v>
      </c>
      <c r="B3209" s="1" t="inlineStr">
        <is>
          <t>เสื้อผ้า</t>
        </is>
      </c>
      <c r="C3209" s="1" t="inlineStr">
        <is>
          <t>gf2040401154</t>
        </is>
      </c>
      <c r="D3209" s="1" t="inlineStr">
        <is>
          <t>UNDER ARMOUR Playoff Printed 1/4 Men's Long Sleeve Zip Shirt (Downpour Grey)</t>
        </is>
      </c>
      <c r="E3209" s="1" t="inlineStr">
        <is>
          <t>UNDER ARMOUR</t>
        </is>
      </c>
      <c r="F3209" s="1" t="inlineStr">
        <is>
          <t>LONG SLEEVES</t>
        </is>
      </c>
      <c r="G3209" s="1" t="inlineStr">
        <is>
          <t>GF2040401154S</t>
        </is>
      </c>
      <c r="H3209" s="1" t="n">
        <v>5</v>
      </c>
      <c r="I3209" s="1" t="inlineStr">
        <is>
          <t>มี</t>
        </is>
      </c>
      <c r="J3209" s="13" t="n">
        <v>69</v>
      </c>
      <c r="K3209" s="1" t="inlineStr"/>
      <c r="L3209" s="13" t="n">
        <v>69</v>
      </c>
      <c r="M3209" s="1">
        <f>IF(L3209="","ไม่พบใน SG",IF(ABS(J3209-L3209)&lt;0.005,"ตรงกัน","ไม่ตรง"))</f>
        <v/>
      </c>
      <c r="N3209" s="14">
        <f>IF(L3209="","",ROUND(L3209*'สรุป'!$C$6,-1))</f>
        <v/>
      </c>
      <c r="O3209" s="15" t="n"/>
      <c r="P3209" s="15" t="n"/>
      <c r="Q3209" s="10" t="n"/>
      <c r="R3209" s="10" t="n"/>
      <c r="S3209" s="16" t="inlineStr">
        <is>
          <t>https://mstgolf.co.th/products/gf2040401154</t>
        </is>
      </c>
      <c r="T3209" s="1">
        <f>IF(B3209="ไม้กอล์ฟ",J3209,"")</f>
        <v/>
      </c>
    </row>
    <row r="3210">
      <c r="A3210" s="1" t="n">
        <v>3</v>
      </c>
      <c r="B3210" s="1" t="inlineStr">
        <is>
          <t>เสื้อผ้า</t>
        </is>
      </c>
      <c r="C3210" s="1" t="inlineStr">
        <is>
          <t>gf2040400956</t>
        </is>
      </c>
      <c r="D3210" s="1" t="inlineStr">
        <is>
          <t>UNDER ARMOUR Playoff Printed 1/4 Zip Men's Long-Sleeve Shirt (Black)</t>
        </is>
      </c>
      <c r="E3210" s="1" t="inlineStr">
        <is>
          <t>UNDER ARMOUR</t>
        </is>
      </c>
      <c r="F3210" s="1" t="inlineStr">
        <is>
          <t>LONG SLEEVES</t>
        </is>
      </c>
      <c r="G3210" s="1" t="inlineStr">
        <is>
          <t>GF2040400956S</t>
        </is>
      </c>
      <c r="H3210" s="1" t="n">
        <v>5</v>
      </c>
      <c r="I3210" s="1" t="inlineStr">
        <is>
          <t>มี</t>
        </is>
      </c>
      <c r="J3210" s="13" t="n">
        <v>69</v>
      </c>
      <c r="K3210" s="1" t="inlineStr"/>
      <c r="L3210" s="13" t="n">
        <v>69</v>
      </c>
      <c r="M3210" s="1">
        <f>IF(L3210="","ไม่พบใน SG",IF(ABS(J3210-L3210)&lt;0.005,"ตรงกัน","ไม่ตรง"))</f>
        <v/>
      </c>
      <c r="N3210" s="14">
        <f>IF(L3210="","",ROUND(L3210*'สรุป'!$C$6,-1))</f>
        <v/>
      </c>
      <c r="O3210" s="15" t="n"/>
      <c r="P3210" s="15" t="n"/>
      <c r="Q3210" s="10" t="n"/>
      <c r="R3210" s="10" t="n"/>
      <c r="S3210" s="16" t="inlineStr">
        <is>
          <t>https://mstgolf.co.th/products/gf2040400956</t>
        </is>
      </c>
      <c r="T3210" s="1">
        <f>IF(B3210="ไม้กอล์ฟ",J3210,"")</f>
        <v/>
      </c>
    </row>
    <row r="3211">
      <c r="A3211" s="1" t="n">
        <v>3</v>
      </c>
      <c r="B3211" s="1" t="inlineStr">
        <is>
          <t>อุปกรณ์เสริม</t>
        </is>
      </c>
      <c r="C3211" s="1" t="inlineStr">
        <is>
          <t>gf3150100190</t>
        </is>
      </c>
      <c r="D3211" s="1" t="inlineStr">
        <is>
          <t>UNDER ARMOUR Single Canopy Umbrella (Black/Yellow/White)</t>
        </is>
      </c>
      <c r="E3211" s="1" t="inlineStr">
        <is>
          <t>UNDER ARMOUR</t>
        </is>
      </c>
      <c r="F3211" s="1" t="inlineStr">
        <is>
          <t>UMBRELLA</t>
        </is>
      </c>
      <c r="G3211" s="1" t="inlineStr">
        <is>
          <t>GF3150100190</t>
        </is>
      </c>
      <c r="H3211" s="1" t="n">
        <v>1</v>
      </c>
      <c r="I3211" s="1" t="inlineStr">
        <is>
          <t>มี</t>
        </is>
      </c>
      <c r="J3211" s="13" t="n">
        <v>69</v>
      </c>
      <c r="K3211" s="1" t="inlineStr"/>
      <c r="L3211" s="13" t="n">
        <v>69</v>
      </c>
      <c r="M3211" s="1">
        <f>IF(L3211="","ไม่พบใน SG",IF(ABS(J3211-L3211)&lt;0.005,"ตรงกัน","ไม่ตรง"))</f>
        <v/>
      </c>
      <c r="N3211" s="14">
        <f>IF(L3211="","",ROUND(L3211*'สรุป'!$C$6,-1))</f>
        <v/>
      </c>
      <c r="O3211" s="15" t="n"/>
      <c r="P3211" s="15" t="n"/>
      <c r="Q3211" s="10" t="n"/>
      <c r="R3211" s="10" t="n"/>
      <c r="S3211" s="16" t="inlineStr">
        <is>
          <t>https://mstgolf.co.th/products/gf3150100190</t>
        </is>
      </c>
      <c r="T3211" s="1">
        <f>IF(B3211="ไม้กอล์ฟ",J3211,"")</f>
        <v/>
      </c>
    </row>
    <row r="3212">
      <c r="A3212" s="1" t="n">
        <v>3</v>
      </c>
      <c r="B3212" s="1" t="inlineStr">
        <is>
          <t>หมวก</t>
        </is>
      </c>
      <c r="C3212" s="1" t="inlineStr">
        <is>
          <t>gf2000106471</t>
        </is>
      </c>
      <c r="D3212" s="1" t="inlineStr">
        <is>
          <t>MANORS Chino Men's Cap (Navy)</t>
        </is>
      </c>
      <c r="E3212" s="1" t="inlineStr">
        <is>
          <t>MANORS</t>
        </is>
      </c>
      <c r="F3212" s="1" t="inlineStr">
        <is>
          <t>CAP</t>
        </is>
      </c>
      <c r="G3212" s="1" t="inlineStr">
        <is>
          <t>GF2000106471FS</t>
        </is>
      </c>
      <c r="H3212" s="1" t="n">
        <v>1</v>
      </c>
      <c r="I3212" s="1" t="inlineStr">
        <is>
          <t>มี</t>
        </is>
      </c>
      <c r="J3212" s="13" t="n">
        <v>68</v>
      </c>
      <c r="K3212" s="1" t="inlineStr"/>
      <c r="L3212" s="13" t="n">
        <v>68</v>
      </c>
      <c r="M3212" s="1">
        <f>IF(L3212="","ไม่พบใน SG",IF(ABS(J3212-L3212)&lt;0.005,"ตรงกัน","ไม่ตรง"))</f>
        <v/>
      </c>
      <c r="N3212" s="14">
        <f>IF(L3212="","",ROUND(L3212*'สรุป'!$C$6,-1))</f>
        <v/>
      </c>
      <c r="O3212" s="15" t="n"/>
      <c r="P3212" s="15" t="n"/>
      <c r="Q3212" s="10" t="n"/>
      <c r="R3212" s="10" t="n"/>
      <c r="S3212" s="16" t="inlineStr">
        <is>
          <t>https://mstgolf.co.th/products/gf2000106471</t>
        </is>
      </c>
      <c r="T3212" s="1">
        <f>IF(B3212="ไม้กอล์ฟ",J3212,"")</f>
        <v/>
      </c>
    </row>
    <row r="3213">
      <c r="A3213" s="1" t="n">
        <v>3</v>
      </c>
      <c r="B3213" s="1" t="inlineStr">
        <is>
          <t>หมวก</t>
        </is>
      </c>
      <c r="C3213" s="1" t="inlineStr">
        <is>
          <t>gf2000106470</t>
        </is>
      </c>
      <c r="D3213" s="1" t="inlineStr">
        <is>
          <t>MANORS Chino Men's Cap (Sand)</t>
        </is>
      </c>
      <c r="E3213" s="1" t="inlineStr">
        <is>
          <t>MANORS</t>
        </is>
      </c>
      <c r="F3213" s="1" t="inlineStr">
        <is>
          <t>CAP</t>
        </is>
      </c>
      <c r="G3213" s="1" t="inlineStr">
        <is>
          <t>GF2000106470FS</t>
        </is>
      </c>
      <c r="H3213" s="1" t="n">
        <v>1</v>
      </c>
      <c r="I3213" s="1" t="inlineStr">
        <is>
          <t>มี</t>
        </is>
      </c>
      <c r="J3213" s="13" t="n">
        <v>68</v>
      </c>
      <c r="K3213" s="1" t="inlineStr"/>
      <c r="L3213" s="13" t="n">
        <v>68</v>
      </c>
      <c r="M3213" s="1">
        <f>IF(L3213="","ไม่พบใน SG",IF(ABS(J3213-L3213)&lt;0.005,"ตรงกัน","ไม่ตรง"))</f>
        <v/>
      </c>
      <c r="N3213" s="14">
        <f>IF(L3213="","",ROUND(L3213*'สรุป'!$C$6,-1))</f>
        <v/>
      </c>
      <c r="O3213" s="15" t="n"/>
      <c r="P3213" s="15" t="n"/>
      <c r="Q3213" s="10" t="n"/>
      <c r="R3213" s="10" t="n"/>
      <c r="S3213" s="16" t="inlineStr">
        <is>
          <t>https://mstgolf.co.th/products/gf2000106470</t>
        </is>
      </c>
      <c r="T3213" s="1">
        <f>IF(B3213="ไม้กอล์ฟ",J3213,"")</f>
        <v/>
      </c>
    </row>
    <row r="3214">
      <c r="A3214" s="1" t="n">
        <v>3</v>
      </c>
      <c r="B3214" s="1" t="inlineStr">
        <is>
          <t>หมวก</t>
        </is>
      </c>
      <c r="C3214" s="1" t="inlineStr">
        <is>
          <t>gf2000106110</t>
        </is>
      </c>
      <c r="D3214" s="1" t="inlineStr">
        <is>
          <t>MANORS Dad Men's Chino Cap (Black)</t>
        </is>
      </c>
      <c r="E3214" s="1" t="inlineStr">
        <is>
          <t>MANORS</t>
        </is>
      </c>
      <c r="F3214" s="1" t="inlineStr">
        <is>
          <t>CAP</t>
        </is>
      </c>
      <c r="G3214" s="1" t="inlineStr">
        <is>
          <t>GF2000106110FS</t>
        </is>
      </c>
      <c r="H3214" s="1" t="n">
        <v>1</v>
      </c>
      <c r="I3214" s="1" t="inlineStr">
        <is>
          <t>มี</t>
        </is>
      </c>
      <c r="J3214" s="13" t="n">
        <v>68</v>
      </c>
      <c r="K3214" s="1" t="inlineStr"/>
      <c r="L3214" s="13" t="n">
        <v>35</v>
      </c>
      <c r="M3214" s="1">
        <f>IF(L3214="","ไม่พบใน SG",IF(ABS(J3214-L3214)&lt;0.005,"ตรงกัน","ไม่ตรง"))</f>
        <v/>
      </c>
      <c r="N3214" s="14">
        <f>IF(L3214="","",ROUND(L3214*'สรุป'!$C$6,-1))</f>
        <v/>
      </c>
      <c r="O3214" s="15" t="n"/>
      <c r="P3214" s="15" t="n"/>
      <c r="Q3214" s="10" t="n"/>
      <c r="R3214" s="10" t="n"/>
      <c r="S3214" s="16" t="inlineStr">
        <is>
          <t>https://mstgolf.co.th/products/gf2000106110</t>
        </is>
      </c>
      <c r="T3214" s="1">
        <f>IF(B3214="ไม้กอล์ฟ",J3214,"")</f>
        <v/>
      </c>
    </row>
    <row r="3215">
      <c r="A3215" s="1" t="n">
        <v>3</v>
      </c>
      <c r="B3215" s="1" t="inlineStr">
        <is>
          <t>หมวก</t>
        </is>
      </c>
      <c r="C3215" s="1" t="inlineStr">
        <is>
          <t>gf2000106107</t>
        </is>
      </c>
      <c r="D3215" s="1" t="inlineStr">
        <is>
          <t>MANORS Dad Men's Chino Cap (Cream)</t>
        </is>
      </c>
      <c r="E3215" s="1" t="inlineStr">
        <is>
          <t>MANORS</t>
        </is>
      </c>
      <c r="F3215" s="1" t="inlineStr">
        <is>
          <t>CAP</t>
        </is>
      </c>
      <c r="G3215" s="1" t="inlineStr">
        <is>
          <t>GF2000106107FS</t>
        </is>
      </c>
      <c r="H3215" s="1" t="n">
        <v>1</v>
      </c>
      <c r="I3215" s="1" t="inlineStr">
        <is>
          <t>มี</t>
        </is>
      </c>
      <c r="J3215" s="13" t="n">
        <v>68</v>
      </c>
      <c r="K3215" s="1" t="inlineStr"/>
      <c r="L3215" s="13" t="n">
        <v>35</v>
      </c>
      <c r="M3215" s="1">
        <f>IF(L3215="","ไม่พบใน SG",IF(ABS(J3215-L3215)&lt;0.005,"ตรงกัน","ไม่ตรง"))</f>
        <v/>
      </c>
      <c r="N3215" s="14">
        <f>IF(L3215="","",ROUND(L3215*'สรุป'!$C$6,-1))</f>
        <v/>
      </c>
      <c r="O3215" s="15" t="n"/>
      <c r="P3215" s="15" t="n"/>
      <c r="Q3215" s="10" t="n"/>
      <c r="R3215" s="10" t="n"/>
      <c r="S3215" s="16" t="inlineStr">
        <is>
          <t>https://mstgolf.co.th/products/gf2000106107</t>
        </is>
      </c>
      <c r="T3215" s="1">
        <f>IF(B3215="ไม้กอล์ฟ",J3215,"")</f>
        <v/>
      </c>
    </row>
    <row r="3216">
      <c r="A3216" s="1" t="n">
        <v>3</v>
      </c>
      <c r="B3216" s="1" t="inlineStr">
        <is>
          <t>หมวก</t>
        </is>
      </c>
      <c r="C3216" s="1" t="inlineStr">
        <is>
          <t>gf2000106109</t>
        </is>
      </c>
      <c r="D3216" s="1" t="inlineStr">
        <is>
          <t>MANORS Dad Men's Chino Cap (Green)</t>
        </is>
      </c>
      <c r="E3216" s="1" t="inlineStr">
        <is>
          <t>MANORS</t>
        </is>
      </c>
      <c r="F3216" s="1" t="inlineStr">
        <is>
          <t>CAP</t>
        </is>
      </c>
      <c r="G3216" s="1" t="inlineStr">
        <is>
          <t>GF2000106109FS</t>
        </is>
      </c>
      <c r="H3216" s="1" t="n">
        <v>1</v>
      </c>
      <c r="I3216" s="1" t="inlineStr">
        <is>
          <t>มี</t>
        </is>
      </c>
      <c r="J3216" s="13" t="n">
        <v>68</v>
      </c>
      <c r="K3216" s="1" t="inlineStr"/>
      <c r="L3216" s="13" t="n">
        <v>35</v>
      </c>
      <c r="M3216" s="1">
        <f>IF(L3216="","ไม่พบใน SG",IF(ABS(J3216-L3216)&lt;0.005,"ตรงกัน","ไม่ตรง"))</f>
        <v/>
      </c>
      <c r="N3216" s="14">
        <f>IF(L3216="","",ROUND(L3216*'สรุป'!$C$6,-1))</f>
        <v/>
      </c>
      <c r="O3216" s="15" t="n"/>
      <c r="P3216" s="15" t="n"/>
      <c r="Q3216" s="10" t="n"/>
      <c r="R3216" s="10" t="n"/>
      <c r="S3216" s="16" t="inlineStr">
        <is>
          <t>https://mstgolf.co.th/products/gf2000106109</t>
        </is>
      </c>
      <c r="T3216" s="1">
        <f>IF(B3216="ไม้กอล์ฟ",J3216,"")</f>
        <v/>
      </c>
    </row>
    <row r="3217">
      <c r="A3217" s="1" t="n">
        <v>3</v>
      </c>
      <c r="B3217" s="1" t="inlineStr">
        <is>
          <t>หมวก</t>
        </is>
      </c>
      <c r="C3217" s="1" t="inlineStr">
        <is>
          <t>gf2000105952</t>
        </is>
      </c>
      <c r="D3217" s="1" t="inlineStr">
        <is>
          <t>OAKLEY Japan Fixed Men's Cap (Black Camo)</t>
        </is>
      </c>
      <c r="E3217" s="1" t="inlineStr">
        <is>
          <t>OAKLEY</t>
        </is>
      </c>
      <c r="F3217" s="1" t="inlineStr">
        <is>
          <t>CAP</t>
        </is>
      </c>
      <c r="G3217" s="1" t="inlineStr">
        <is>
          <t>GF2000105952FS</t>
        </is>
      </c>
      <c r="H3217" s="1" t="n">
        <v>1</v>
      </c>
      <c r="I3217" s="1" t="inlineStr">
        <is>
          <t>มี</t>
        </is>
      </c>
      <c r="J3217" s="13" t="n">
        <v>68</v>
      </c>
      <c r="K3217" s="1" t="inlineStr"/>
      <c r="L3217" s="13" t="n">
        <v>68</v>
      </c>
      <c r="M3217" s="1">
        <f>IF(L3217="","ไม่พบใน SG",IF(ABS(J3217-L3217)&lt;0.005,"ตรงกัน","ไม่ตรง"))</f>
        <v/>
      </c>
      <c r="N3217" s="14">
        <f>IF(L3217="","",ROUND(L3217*'สรุป'!$C$6,-1))</f>
        <v/>
      </c>
      <c r="O3217" s="15" t="n"/>
      <c r="P3217" s="15" t="n"/>
      <c r="Q3217" s="10" t="n"/>
      <c r="R3217" s="10" t="n"/>
      <c r="S3217" s="16" t="inlineStr">
        <is>
          <t>https://mstgolf.co.th/products/gf2000105952</t>
        </is>
      </c>
      <c r="T3217" s="1">
        <f>IF(B3217="ไม้กอล์ฟ",J3217,"")</f>
        <v/>
      </c>
    </row>
    <row r="3218">
      <c r="A3218" s="1" t="n">
        <v>3</v>
      </c>
      <c r="B3218" s="1" t="inlineStr">
        <is>
          <t>หมวก</t>
        </is>
      </c>
      <c r="C3218" s="1" t="inlineStr">
        <is>
          <t>gf2000105951</t>
        </is>
      </c>
      <c r="D3218" s="1" t="inlineStr">
        <is>
          <t>OAKLEY Japan Fixed Men's Cap (Black)</t>
        </is>
      </c>
      <c r="E3218" s="1" t="inlineStr">
        <is>
          <t>OAKLEY</t>
        </is>
      </c>
      <c r="F3218" s="1" t="inlineStr">
        <is>
          <t>CAP</t>
        </is>
      </c>
      <c r="G3218" s="1" t="inlineStr">
        <is>
          <t>GF2000105951FS</t>
        </is>
      </c>
      <c r="H3218" s="1" t="n">
        <v>1</v>
      </c>
      <c r="I3218" s="1" t="inlineStr">
        <is>
          <t>มี</t>
        </is>
      </c>
      <c r="J3218" s="13" t="n">
        <v>68</v>
      </c>
      <c r="K3218" s="1" t="inlineStr"/>
      <c r="L3218" s="13" t="n">
        <v>68</v>
      </c>
      <c r="M3218" s="1">
        <f>IF(L3218="","ไม่พบใน SG",IF(ABS(J3218-L3218)&lt;0.005,"ตรงกัน","ไม่ตรง"))</f>
        <v/>
      </c>
      <c r="N3218" s="14">
        <f>IF(L3218="","",ROUND(L3218*'สรุป'!$C$6,-1))</f>
        <v/>
      </c>
      <c r="O3218" s="15" t="n"/>
      <c r="P3218" s="15" t="n"/>
      <c r="Q3218" s="10" t="n"/>
      <c r="R3218" s="10" t="n"/>
      <c r="S3218" s="16" t="inlineStr">
        <is>
          <t>https://mstgolf.co.th/products/gf2000105951</t>
        </is>
      </c>
      <c r="T3218" s="1">
        <f>IF(B3218="ไม้กอล์ฟ",J3218,"")</f>
        <v/>
      </c>
    </row>
    <row r="3219">
      <c r="A3219" s="1" t="n">
        <v>3</v>
      </c>
      <c r="B3219" s="1" t="inlineStr">
        <is>
          <t>เสื้อผ้า</t>
        </is>
      </c>
      <c r="C3219" s="1" t="inlineStr">
        <is>
          <t>gf2020102644</t>
        </is>
      </c>
      <c r="D3219" s="1" t="inlineStr">
        <is>
          <t>DISNEY Men's Performance Pants (Black)</t>
        </is>
      </c>
      <c r="E3219" s="1" t="inlineStr">
        <is>
          <t>DISNEY</t>
        </is>
      </c>
      <c r="F3219" s="1" t="inlineStr">
        <is>
          <t>LONG PANTS</t>
        </is>
      </c>
      <c r="G3219" s="1" t="inlineStr">
        <is>
          <t>GF202010264430</t>
        </is>
      </c>
      <c r="H3219" s="1" t="n">
        <v>7</v>
      </c>
      <c r="I3219" s="1" t="inlineStr">
        <is>
          <t>มี</t>
        </is>
      </c>
      <c r="J3219" s="13" t="n">
        <v>67</v>
      </c>
      <c r="K3219" s="1" t="inlineStr"/>
      <c r="L3219" s="13" t="n">
        <v>67</v>
      </c>
      <c r="M3219" s="1">
        <f>IF(L3219="","ไม่พบใน SG",IF(ABS(J3219-L3219)&lt;0.005,"ตรงกัน","ไม่ตรง"))</f>
        <v/>
      </c>
      <c r="N3219" s="14">
        <f>IF(L3219="","",ROUND(L3219*'สรุป'!$C$6,-1))</f>
        <v/>
      </c>
      <c r="O3219" s="15" t="n"/>
      <c r="P3219" s="15" t="n"/>
      <c r="Q3219" s="10" t="n"/>
      <c r="R3219" s="10" t="n"/>
      <c r="S3219" s="16" t="inlineStr">
        <is>
          <t>https://mstgolf.co.th/products/gf2020102644</t>
        </is>
      </c>
      <c r="T3219" s="1">
        <f>IF(B3219="ไม้กอล์ฟ",J3219,"")</f>
        <v/>
      </c>
    </row>
    <row r="3220">
      <c r="A3220" s="1" t="n">
        <v>3</v>
      </c>
      <c r="B3220" s="1" t="inlineStr">
        <is>
          <t>เสื้อผ้า</t>
        </is>
      </c>
      <c r="C3220" s="1" t="inlineStr">
        <is>
          <t>gf2020102643</t>
        </is>
      </c>
      <c r="D3220" s="1" t="inlineStr">
        <is>
          <t>DISNEY Men's Performance Pants (Ink Blue)</t>
        </is>
      </c>
      <c r="E3220" s="1" t="inlineStr">
        <is>
          <t>DISNEY</t>
        </is>
      </c>
      <c r="F3220" s="1" t="inlineStr">
        <is>
          <t>LONG PANTS</t>
        </is>
      </c>
      <c r="G3220" s="1" t="inlineStr">
        <is>
          <t>GF202010264330</t>
        </is>
      </c>
      <c r="H3220" s="1" t="n">
        <v>7</v>
      </c>
      <c r="I3220" s="1" t="inlineStr">
        <is>
          <t>มี</t>
        </is>
      </c>
      <c r="J3220" s="13" t="n">
        <v>67</v>
      </c>
      <c r="K3220" s="1" t="inlineStr"/>
      <c r="L3220" s="13" t="n">
        <v>67</v>
      </c>
      <c r="M3220" s="1">
        <f>IF(L3220="","ไม่พบใน SG",IF(ABS(J3220-L3220)&lt;0.005,"ตรงกัน","ไม่ตรง"))</f>
        <v/>
      </c>
      <c r="N3220" s="14">
        <f>IF(L3220="","",ROUND(L3220*'สรุป'!$C$6,-1))</f>
        <v/>
      </c>
      <c r="O3220" s="15" t="n"/>
      <c r="P3220" s="15" t="n"/>
      <c r="Q3220" s="10" t="n"/>
      <c r="R3220" s="10" t="n"/>
      <c r="S3220" s="16" t="inlineStr">
        <is>
          <t>https://mstgolf.co.th/products/gf2020102643</t>
        </is>
      </c>
      <c r="T3220" s="1">
        <f>IF(B3220="ไม้กอล์ฟ",J3220,"")</f>
        <v/>
      </c>
    </row>
    <row r="3221">
      <c r="A3221" s="1" t="n">
        <v>3</v>
      </c>
      <c r="B3221" s="1" t="inlineStr">
        <is>
          <t>เสื้อผ้า</t>
        </is>
      </c>
      <c r="C3221" s="1" t="inlineStr">
        <is>
          <t>gf2020102645</t>
        </is>
      </c>
      <c r="D3221" s="1" t="inlineStr">
        <is>
          <t>DISNEY Women's Performance Pants (Black)</t>
        </is>
      </c>
      <c r="E3221" s="1" t="inlineStr">
        <is>
          <t>DISNEY</t>
        </is>
      </c>
      <c r="F3221" s="1" t="inlineStr">
        <is>
          <t>LONG PANTS</t>
        </is>
      </c>
      <c r="G3221" s="1" t="inlineStr">
        <is>
          <t>GF202010264524</t>
        </is>
      </c>
      <c r="H3221" s="1" t="n">
        <v>6</v>
      </c>
      <c r="I3221" s="1" t="inlineStr">
        <is>
          <t>มี</t>
        </is>
      </c>
      <c r="J3221" s="13" t="n">
        <v>67</v>
      </c>
      <c r="K3221" s="1" t="inlineStr"/>
      <c r="L3221" s="13" t="n">
        <v>67</v>
      </c>
      <c r="M3221" s="1">
        <f>IF(L3221="","ไม่พบใน SG",IF(ABS(J3221-L3221)&lt;0.005,"ตรงกัน","ไม่ตรง"))</f>
        <v/>
      </c>
      <c r="N3221" s="14">
        <f>IF(L3221="","",ROUND(L3221*'สรุป'!$C$6,-1))</f>
        <v/>
      </c>
      <c r="O3221" s="15" t="n"/>
      <c r="P3221" s="15" t="n"/>
      <c r="Q3221" s="10" t="n"/>
      <c r="R3221" s="10" t="n"/>
      <c r="S3221" s="16" t="inlineStr">
        <is>
          <t>https://mstgolf.co.th/products/gf2020102645</t>
        </is>
      </c>
      <c r="T3221" s="1">
        <f>IF(B3221="ไม้กอล์ฟ",J3221,"")</f>
        <v/>
      </c>
    </row>
    <row r="3222">
      <c r="A3222" s="1" t="n">
        <v>3</v>
      </c>
      <c r="B3222" s="1" t="inlineStr">
        <is>
          <t>เสื้อผ้า</t>
        </is>
      </c>
      <c r="C3222" s="1" t="inlineStr">
        <is>
          <t>gf2040114698</t>
        </is>
      </c>
      <c r="D3222" s="1" t="inlineStr">
        <is>
          <t>GFORE Feeder Stripe Men's Polo (Blue Print)</t>
        </is>
      </c>
      <c r="E3222" s="1" t="inlineStr">
        <is>
          <t>GFORE</t>
        </is>
      </c>
      <c r="F3222" s="1" t="inlineStr">
        <is>
          <t>SHORT SLEEVES</t>
        </is>
      </c>
      <c r="G3222" s="1" t="inlineStr">
        <is>
          <t>GF2040114698S</t>
        </is>
      </c>
      <c r="H3222" s="1" t="n">
        <v>5</v>
      </c>
      <c r="I3222" s="1" t="inlineStr">
        <is>
          <t>มี</t>
        </is>
      </c>
      <c r="J3222" s="13" t="n">
        <v>67</v>
      </c>
      <c r="K3222" s="1" t="inlineStr"/>
      <c r="L3222" s="13" t="n">
        <v>67</v>
      </c>
      <c r="M3222" s="1">
        <f>IF(L3222="","ไม่พบใน SG",IF(ABS(J3222-L3222)&lt;0.005,"ตรงกัน","ไม่ตรง"))</f>
        <v/>
      </c>
      <c r="N3222" s="14">
        <f>IF(L3222="","",ROUND(L3222*'สรุป'!$C$6,-1))</f>
        <v/>
      </c>
      <c r="O3222" s="15" t="n"/>
      <c r="P3222" s="15" t="n"/>
      <c r="Q3222" s="10" t="n"/>
      <c r="R3222" s="10" t="n"/>
      <c r="S3222" s="16" t="inlineStr">
        <is>
          <t>https://mstgolf.co.th/products/gf2040114698</t>
        </is>
      </c>
      <c r="T3222" s="1">
        <f>IF(B3222="ไม้กอล์ฟ",J3222,"")</f>
        <v/>
      </c>
    </row>
    <row r="3223">
      <c r="A3223" s="1" t="n">
        <v>3</v>
      </c>
      <c r="B3223" s="1" t="inlineStr">
        <is>
          <t>เสื้อผ้า</t>
        </is>
      </c>
      <c r="C3223" s="1" t="inlineStr">
        <is>
          <t>gf2040117359</t>
        </is>
      </c>
      <c r="D3223" s="1" t="inlineStr">
        <is>
          <t>PETER MILLAR Octave Performance Men's Jersey (Blue Frost)</t>
        </is>
      </c>
      <c r="E3223" s="1" t="inlineStr">
        <is>
          <t>PETER MILLAR</t>
        </is>
      </c>
      <c r="F3223" s="1" t="inlineStr">
        <is>
          <t>SHORT SLEEVES</t>
        </is>
      </c>
      <c r="G3223" s="1" t="inlineStr">
        <is>
          <t>GF2040117359S</t>
        </is>
      </c>
      <c r="H3223" s="1" t="n">
        <v>5</v>
      </c>
      <c r="I3223" s="1" t="inlineStr">
        <is>
          <t>มี</t>
        </is>
      </c>
      <c r="J3223" s="13" t="n">
        <v>67</v>
      </c>
      <c r="K3223" s="1" t="inlineStr"/>
      <c r="L3223" s="13" t="n">
        <v>67</v>
      </c>
      <c r="M3223" s="1">
        <f>IF(L3223="","ไม่พบใน SG",IF(ABS(J3223-L3223)&lt;0.005,"ตรงกัน","ไม่ตรง"))</f>
        <v/>
      </c>
      <c r="N3223" s="14">
        <f>IF(L3223="","",ROUND(L3223*'สรุป'!$C$6,-1))</f>
        <v/>
      </c>
      <c r="O3223" s="15" t="n"/>
      <c r="P3223" s="15" t="n"/>
      <c r="Q3223" s="10" t="n"/>
      <c r="R3223" s="10" t="n"/>
      <c r="S3223" s="16" t="inlineStr">
        <is>
          <t>https://mstgolf.co.th/products/gf2040117359</t>
        </is>
      </c>
      <c r="T3223" s="1">
        <f>IF(B3223="ไม้กอล์ฟ",J3223,"")</f>
        <v/>
      </c>
    </row>
    <row r="3224">
      <c r="A3224" s="1" t="n">
        <v>3</v>
      </c>
      <c r="B3224" s="1" t="inlineStr">
        <is>
          <t>เสื้อผ้า</t>
        </is>
      </c>
      <c r="C3224" s="1" t="inlineStr">
        <is>
          <t>gf2020201861</t>
        </is>
      </c>
      <c r="D3224" s="1" t="inlineStr">
        <is>
          <t>PETER MILLAR Shackleford Men's Shorts (Iron)</t>
        </is>
      </c>
      <c r="E3224" s="1" t="inlineStr">
        <is>
          <t>PETER MILLAR</t>
        </is>
      </c>
      <c r="F3224" s="1" t="inlineStr">
        <is>
          <t>SHORT PANTS</t>
        </is>
      </c>
      <c r="G3224" s="1" t="inlineStr">
        <is>
          <t>GF202020186130</t>
        </is>
      </c>
      <c r="H3224" s="1" t="n">
        <v>6</v>
      </c>
      <c r="I3224" s="1" t="inlineStr">
        <is>
          <t>มี</t>
        </is>
      </c>
      <c r="J3224" s="13" t="n">
        <v>67</v>
      </c>
      <c r="K3224" s="1" t="inlineStr"/>
      <c r="L3224" s="13" t="n">
        <v>67</v>
      </c>
      <c r="M3224" s="1">
        <f>IF(L3224="","ไม่พบใน SG",IF(ABS(J3224-L3224)&lt;0.005,"ตรงกัน","ไม่ตรง"))</f>
        <v/>
      </c>
      <c r="N3224" s="14">
        <f>IF(L3224="","",ROUND(L3224*'สรุป'!$C$6,-1))</f>
        <v/>
      </c>
      <c r="O3224" s="15" t="n"/>
      <c r="P3224" s="15" t="n"/>
      <c r="Q3224" s="10" t="n"/>
      <c r="R3224" s="10" t="n"/>
      <c r="S3224" s="16" t="inlineStr">
        <is>
          <t>https://mstgolf.co.th/products/gf2020201861</t>
        </is>
      </c>
      <c r="T3224" s="1">
        <f>IF(B3224="ไม้กอล์ฟ",J3224,"")</f>
        <v/>
      </c>
    </row>
    <row r="3225">
      <c r="A3225" s="1" t="n">
        <v>3</v>
      </c>
      <c r="B3225" s="1" t="inlineStr">
        <is>
          <t>เสื้อผ้า</t>
        </is>
      </c>
      <c r="C3225" s="1" t="inlineStr">
        <is>
          <t>gf2040113287</t>
        </is>
      </c>
      <c r="D3225" s="1" t="inlineStr">
        <is>
          <t>PETER MILLAR Solid Jersey Men's Polo (Navy)</t>
        </is>
      </c>
      <c r="E3225" s="1" t="inlineStr">
        <is>
          <t>PETER MILLAR</t>
        </is>
      </c>
      <c r="F3225" s="1" t="inlineStr">
        <is>
          <t>SHORT SLEEVES</t>
        </is>
      </c>
      <c r="G3225" s="1" t="inlineStr">
        <is>
          <t>GF2040113287XS</t>
        </is>
      </c>
      <c r="H3225" s="1" t="n">
        <v>7</v>
      </c>
      <c r="I3225" s="1" t="inlineStr">
        <is>
          <t>มี</t>
        </is>
      </c>
      <c r="J3225" s="13" t="n">
        <v>67</v>
      </c>
      <c r="K3225" s="1" t="inlineStr"/>
      <c r="L3225" s="13" t="n">
        <v>67</v>
      </c>
      <c r="M3225" s="1">
        <f>IF(L3225="","ไม่พบใน SG",IF(ABS(J3225-L3225)&lt;0.005,"ตรงกัน","ไม่ตรง"))</f>
        <v/>
      </c>
      <c r="N3225" s="14">
        <f>IF(L3225="","",ROUND(L3225*'สรุป'!$C$6,-1))</f>
        <v/>
      </c>
      <c r="O3225" s="15" t="n"/>
      <c r="P3225" s="15" t="n"/>
      <c r="Q3225" s="10" t="n"/>
      <c r="R3225" s="10" t="n"/>
      <c r="S3225" s="16" t="inlineStr">
        <is>
          <t>https://mstgolf.co.th/products/gf2040113287</t>
        </is>
      </c>
      <c r="T3225" s="1">
        <f>IF(B3225="ไม้กอล์ฟ",J3225,"")</f>
        <v/>
      </c>
    </row>
    <row r="3226">
      <c r="A3226" s="1" t="n">
        <v>3</v>
      </c>
      <c r="B3226" s="1" t="inlineStr">
        <is>
          <t>เสื้อผ้า</t>
        </is>
      </c>
      <c r="C3226" s="1" t="inlineStr">
        <is>
          <t>gf2040114198</t>
        </is>
      </c>
      <c r="D3226" s="1" t="inlineStr">
        <is>
          <t>PETER MILLAR Solid Jersey Men's Polo (White)</t>
        </is>
      </c>
      <c r="E3226" s="1" t="inlineStr">
        <is>
          <t>PETER MILLAR</t>
        </is>
      </c>
      <c r="F3226" s="1" t="inlineStr">
        <is>
          <t>SHORT SLEEVES</t>
        </is>
      </c>
      <c r="G3226" s="1" t="inlineStr">
        <is>
          <t>GF2040114198XS</t>
        </is>
      </c>
      <c r="H3226" s="1" t="n">
        <v>7</v>
      </c>
      <c r="I3226" s="1" t="inlineStr">
        <is>
          <t>มี</t>
        </is>
      </c>
      <c r="J3226" s="13" t="n">
        <v>67</v>
      </c>
      <c r="K3226" s="1" t="inlineStr"/>
      <c r="L3226" s="13" t="n">
        <v>67</v>
      </c>
      <c r="M3226" s="1">
        <f>IF(L3226="","ไม่พบใน SG",IF(ABS(J3226-L3226)&lt;0.005,"ตรงกัน","ไม่ตรง"))</f>
        <v/>
      </c>
      <c r="N3226" s="14">
        <f>IF(L3226="","",ROUND(L3226*'สรุป'!$C$6,-1))</f>
        <v/>
      </c>
      <c r="O3226" s="15" t="n"/>
      <c r="P3226" s="15" t="n"/>
      <c r="Q3226" s="10" t="n"/>
      <c r="R3226" s="10" t="n"/>
      <c r="S3226" s="16" t="inlineStr">
        <is>
          <t>https://mstgolf.co.th/products/gf2040114198</t>
        </is>
      </c>
      <c r="T3226" s="1">
        <f>IF(B3226="ไม้กอล์ฟ",J3226,"")</f>
        <v/>
      </c>
    </row>
    <row r="3227">
      <c r="A3227" s="1" t="n">
        <v>3</v>
      </c>
      <c r="B3227" s="1" t="inlineStr">
        <is>
          <t>อุปกรณ์เสริม</t>
        </is>
      </c>
      <c r="C3227" s="1" t="inlineStr">
        <is>
          <t>gf3500201370</t>
        </is>
      </c>
      <c r="D3227" s="1" t="inlineStr">
        <is>
          <t>TAYLORMADE British Open Driver Headcover</t>
        </is>
      </c>
      <c r="E3227" s="1" t="inlineStr">
        <is>
          <t>TAYLORMADE</t>
        </is>
      </c>
      <c r="F3227" s="1" t="inlineStr">
        <is>
          <t>HEADCOVERS</t>
        </is>
      </c>
      <c r="G3227" s="1" t="inlineStr">
        <is>
          <t>GF3500201370</t>
        </is>
      </c>
      <c r="H3227" s="1" t="n">
        <v>1</v>
      </c>
      <c r="I3227" s="1" t="inlineStr">
        <is>
          <t>มี</t>
        </is>
      </c>
      <c r="J3227" s="13" t="n">
        <v>67</v>
      </c>
      <c r="K3227" s="1" t="inlineStr"/>
      <c r="L3227" s="13" t="n">
        <v>67</v>
      </c>
      <c r="M3227" s="1">
        <f>IF(L3227="","ไม่พบใน SG",IF(ABS(J3227-L3227)&lt;0.005,"ตรงกัน","ไม่ตรง"))</f>
        <v/>
      </c>
      <c r="N3227" s="14">
        <f>IF(L3227="","",ROUND(L3227*'สรุป'!$C$6,-1))</f>
        <v/>
      </c>
      <c r="O3227" s="15" t="n"/>
      <c r="P3227" s="15" t="n"/>
      <c r="Q3227" s="10" t="n"/>
      <c r="R3227" s="10" t="n"/>
      <c r="S3227" s="16" t="inlineStr">
        <is>
          <t>https://mstgolf.co.th/products/gf3500201370</t>
        </is>
      </c>
      <c r="T3227" s="1">
        <f>IF(B3227="ไม้กอล์ฟ",J3227,"")</f>
        <v/>
      </c>
    </row>
    <row r="3228">
      <c r="A3228" s="1" t="n">
        <v>3</v>
      </c>
      <c r="B3228" s="1" t="inlineStr">
        <is>
          <t>อุปกรณ์เสริม</t>
        </is>
      </c>
      <c r="C3228" s="1" t="inlineStr">
        <is>
          <t>gf3500201519</t>
        </is>
      </c>
      <c r="D3228" s="1" t="inlineStr">
        <is>
          <t>TAYLORMADE Women's Open Championship Blade Putter Headcover</t>
        </is>
      </c>
      <c r="E3228" s="1" t="inlineStr">
        <is>
          <t>TAYLORMADE</t>
        </is>
      </c>
      <c r="F3228" s="1" t="inlineStr">
        <is>
          <t>HEADCOVERS</t>
        </is>
      </c>
      <c r="G3228" s="1" t="inlineStr">
        <is>
          <t>GF3500201519</t>
        </is>
      </c>
      <c r="H3228" s="1" t="n">
        <v>1</v>
      </c>
      <c r="I3228" s="1" t="inlineStr">
        <is>
          <t>มี</t>
        </is>
      </c>
      <c r="J3228" s="13" t="n">
        <v>67</v>
      </c>
      <c r="K3228" s="1" t="inlineStr"/>
      <c r="L3228" s="13" t="n">
        <v>67</v>
      </c>
      <c r="M3228" s="1">
        <f>IF(L3228="","ไม่พบใน SG",IF(ABS(J3228-L3228)&lt;0.005,"ตรงกัน","ไม่ตรง"))</f>
        <v/>
      </c>
      <c r="N3228" s="14">
        <f>IF(L3228="","",ROUND(L3228*'สรุป'!$C$6,-1))</f>
        <v/>
      </c>
      <c r="O3228" s="15" t="n"/>
      <c r="P3228" s="15" t="n"/>
      <c r="Q3228" s="10" t="n"/>
      <c r="R3228" s="10" t="n"/>
      <c r="S3228" s="16" t="inlineStr">
        <is>
          <t>https://mstgolf.co.th/products/gf3500201519</t>
        </is>
      </c>
      <c r="T3228" s="1">
        <f>IF(B3228="ไม้กอล์ฟ",J3228,"")</f>
        <v/>
      </c>
    </row>
    <row r="3229">
      <c r="A3229" s="1" t="n">
        <v>3</v>
      </c>
      <c r="B3229" s="1" t="inlineStr">
        <is>
          <t>อุปกรณ์เสริม</t>
        </is>
      </c>
      <c r="C3229" s="1" t="inlineStr">
        <is>
          <t>gf3500201518</t>
        </is>
      </c>
      <c r="D3229" s="1" t="inlineStr">
        <is>
          <t>TAYLORMADE Women's Open Championship Fairway Headcover</t>
        </is>
      </c>
      <c r="E3229" s="1" t="inlineStr">
        <is>
          <t>TAYLORMADE</t>
        </is>
      </c>
      <c r="F3229" s="1" t="inlineStr">
        <is>
          <t>HEADCOVERS</t>
        </is>
      </c>
      <c r="G3229" s="1" t="inlineStr">
        <is>
          <t>GF3500201518</t>
        </is>
      </c>
      <c r="H3229" s="1" t="n">
        <v>1</v>
      </c>
      <c r="I3229" s="1" t="inlineStr">
        <is>
          <t>มี</t>
        </is>
      </c>
      <c r="J3229" s="13" t="n">
        <v>67</v>
      </c>
      <c r="K3229" s="1" t="inlineStr"/>
      <c r="L3229" s="13" t="n">
        <v>67</v>
      </c>
      <c r="M3229" s="1">
        <f>IF(L3229="","ไม่พบใน SG",IF(ABS(J3229-L3229)&lt;0.005,"ตรงกัน","ไม่ตรง"))</f>
        <v/>
      </c>
      <c r="N3229" s="14">
        <f>IF(L3229="","",ROUND(L3229*'สรุป'!$C$6,-1))</f>
        <v/>
      </c>
      <c r="O3229" s="15" t="n"/>
      <c r="P3229" s="15" t="n"/>
      <c r="Q3229" s="10" t="n"/>
      <c r="R3229" s="10" t="n"/>
      <c r="S3229" s="16" t="inlineStr">
        <is>
          <t>https://mstgolf.co.th/products/gf3500201518</t>
        </is>
      </c>
      <c r="T3229" s="1">
        <f>IF(B3229="ไม้กอล์ฟ",J3229,"")</f>
        <v/>
      </c>
    </row>
    <row r="3230">
      <c r="A3230" s="1" t="n">
        <v>3</v>
      </c>
      <c r="B3230" s="1" t="inlineStr">
        <is>
          <t>อุปกรณ์เสริม</t>
        </is>
      </c>
      <c r="C3230" s="1" t="inlineStr">
        <is>
          <t>gf3500201520</t>
        </is>
      </c>
      <c r="D3230" s="1" t="inlineStr">
        <is>
          <t>TAYLORMADE Women's Open Championship Utility Headcover</t>
        </is>
      </c>
      <c r="E3230" s="1" t="inlineStr">
        <is>
          <t>TAYLORMADE</t>
        </is>
      </c>
      <c r="F3230" s="1" t="inlineStr">
        <is>
          <t>HEADCOVERS</t>
        </is>
      </c>
      <c r="G3230" s="1" t="inlineStr">
        <is>
          <t>GF3500201520</t>
        </is>
      </c>
      <c r="H3230" s="1" t="n">
        <v>1</v>
      </c>
      <c r="I3230" s="1" t="inlineStr">
        <is>
          <t>มี</t>
        </is>
      </c>
      <c r="J3230" s="13" t="n">
        <v>67</v>
      </c>
      <c r="K3230" s="1" t="inlineStr"/>
      <c r="L3230" s="13" t="n">
        <v>67</v>
      </c>
      <c r="M3230" s="1">
        <f>IF(L3230="","ไม่พบใน SG",IF(ABS(J3230-L3230)&lt;0.005,"ตรงกัน","ไม่ตรง"))</f>
        <v/>
      </c>
      <c r="N3230" s="14">
        <f>IF(L3230="","",ROUND(L3230*'สรุป'!$C$6,-1))</f>
        <v/>
      </c>
      <c r="O3230" s="15" t="n"/>
      <c r="P3230" s="15" t="n"/>
      <c r="Q3230" s="10" t="n"/>
      <c r="R3230" s="10" t="n"/>
      <c r="S3230" s="16" t="inlineStr">
        <is>
          <t>https://mstgolf.co.th/products/gf3500201520</t>
        </is>
      </c>
      <c r="T3230" s="1">
        <f>IF(B3230="ไม้กอล์ฟ",J3230,"")</f>
        <v/>
      </c>
    </row>
    <row r="3231">
      <c r="A3231" s="1" t="n">
        <v>3</v>
      </c>
      <c r="B3231" s="1" t="inlineStr">
        <is>
          <t>เสื้อผ้า</t>
        </is>
      </c>
      <c r="C3231" s="1" t="inlineStr">
        <is>
          <t>gf2020102190</t>
        </is>
      </c>
      <c r="D3231" s="1" t="inlineStr">
        <is>
          <t>ADIDAS Houndstooth Men's Pants (Black)</t>
        </is>
      </c>
      <c r="E3231" s="1" t="inlineStr">
        <is>
          <t>ADIDAS</t>
        </is>
      </c>
      <c r="F3231" s="1" t="inlineStr">
        <is>
          <t>LONG PANTS</t>
        </is>
      </c>
      <c r="G3231" s="1" t="inlineStr">
        <is>
          <t>GF202010219073</t>
        </is>
      </c>
      <c r="H3231" s="1" t="n">
        <v>8</v>
      </c>
      <c r="I3231" s="1" t="inlineStr">
        <is>
          <t>มี</t>
        </is>
      </c>
      <c r="J3231" s="13" t="n">
        <v>65</v>
      </c>
      <c r="K3231" s="1" t="inlineStr"/>
      <c r="L3231" s="13" t="n">
        <v>65</v>
      </c>
      <c r="M3231" s="1">
        <f>IF(L3231="","ไม่พบใน SG",IF(ABS(J3231-L3231)&lt;0.005,"ตรงกัน","ไม่ตรง"))</f>
        <v/>
      </c>
      <c r="N3231" s="14">
        <f>IF(L3231="","",ROUND(L3231*'สรุป'!$C$6,-1))</f>
        <v/>
      </c>
      <c r="O3231" s="15" t="n"/>
      <c r="P3231" s="15" t="n"/>
      <c r="Q3231" s="10" t="n"/>
      <c r="R3231" s="10" t="n"/>
      <c r="S3231" s="16" t="inlineStr">
        <is>
          <t>https://mstgolf.co.th/products/gf2020102190</t>
        </is>
      </c>
      <c r="T3231" s="1">
        <f>IF(B3231="ไม้กอล์ฟ",J3231,"")</f>
        <v/>
      </c>
    </row>
    <row r="3232">
      <c r="A3232" s="1" t="n">
        <v>3</v>
      </c>
      <c r="B3232" s="1" t="inlineStr">
        <is>
          <t>เสื้อผ้า</t>
        </is>
      </c>
      <c r="C3232" s="1" t="inlineStr">
        <is>
          <t>gf2040119445</t>
        </is>
      </c>
      <c r="D3232" s="1" t="inlineStr">
        <is>
          <t>ADIDAS Ultimate365 Micro Texture Men's Polo (Blue)</t>
        </is>
      </c>
      <c r="E3232" s="1" t="inlineStr">
        <is>
          <t>ADIDAS</t>
        </is>
      </c>
      <c r="F3232" s="1" t="inlineStr">
        <is>
          <t>SHORT SLEEVES</t>
        </is>
      </c>
      <c r="G3232" s="1" t="inlineStr">
        <is>
          <t>GF20401194452XS</t>
        </is>
      </c>
      <c r="H3232" s="1" t="n">
        <v>8</v>
      </c>
      <c r="I3232" s="1" t="inlineStr">
        <is>
          <t>มี</t>
        </is>
      </c>
      <c r="J3232" s="13" t="n">
        <v>65</v>
      </c>
      <c r="K3232" s="1" t="inlineStr"/>
      <c r="L3232" s="13" t="n">
        <v>47</v>
      </c>
      <c r="M3232" s="1">
        <f>IF(L3232="","ไม่พบใน SG",IF(ABS(J3232-L3232)&lt;0.005,"ตรงกัน","ไม่ตรง"))</f>
        <v/>
      </c>
      <c r="N3232" s="14">
        <f>IF(L3232="","",ROUND(L3232*'สรุป'!$C$6,-1))</f>
        <v/>
      </c>
      <c r="O3232" s="15" t="n"/>
      <c r="P3232" s="15" t="n"/>
      <c r="Q3232" s="10" t="n"/>
      <c r="R3232" s="10" t="n"/>
      <c r="S3232" s="16" t="inlineStr">
        <is>
          <t>https://mstgolf.co.th/products/gf2040119445</t>
        </is>
      </c>
      <c r="T3232" s="1">
        <f>IF(B3232="ไม้กอล์ฟ",J3232,"")</f>
        <v/>
      </c>
    </row>
    <row r="3233">
      <c r="A3233" s="1" t="n">
        <v>3</v>
      </c>
      <c r="B3233" s="1" t="inlineStr">
        <is>
          <t>เสื้อผ้า</t>
        </is>
      </c>
      <c r="C3233" s="1" t="inlineStr">
        <is>
          <t>gf2040119443</t>
        </is>
      </c>
      <c r="D3233" s="1" t="inlineStr">
        <is>
          <t>ADIDAS Ultimate365 Micro Texture Men's Polo (White)</t>
        </is>
      </c>
      <c r="E3233" s="1" t="inlineStr">
        <is>
          <t>ADIDAS</t>
        </is>
      </c>
      <c r="F3233" s="1" t="inlineStr">
        <is>
          <t>SHORT SLEEVES</t>
        </is>
      </c>
      <c r="G3233" s="1" t="inlineStr">
        <is>
          <t>GF20401194432XS</t>
        </is>
      </c>
      <c r="H3233" s="1" t="n">
        <v>8</v>
      </c>
      <c r="I3233" s="1" t="inlineStr">
        <is>
          <t>มี</t>
        </is>
      </c>
      <c r="J3233" s="13" t="n">
        <v>65</v>
      </c>
      <c r="K3233" s="1" t="inlineStr"/>
      <c r="L3233" s="13" t="n">
        <v>47</v>
      </c>
      <c r="M3233" s="1">
        <f>IF(L3233="","ไม่พบใน SG",IF(ABS(J3233-L3233)&lt;0.005,"ตรงกัน","ไม่ตรง"))</f>
        <v/>
      </c>
      <c r="N3233" s="14">
        <f>IF(L3233="","",ROUND(L3233*'สรุป'!$C$6,-1))</f>
        <v/>
      </c>
      <c r="O3233" s="15" t="n"/>
      <c r="P3233" s="15" t="n"/>
      <c r="Q3233" s="10" t="n"/>
      <c r="R3233" s="10" t="n"/>
      <c r="S3233" s="16" t="inlineStr">
        <is>
          <t>https://mstgolf.co.th/products/gf2040119443</t>
        </is>
      </c>
      <c r="T3233" s="1">
        <f>IF(B3233="ไม้กอล์ฟ",J3233,"")</f>
        <v/>
      </c>
    </row>
    <row r="3234">
      <c r="A3234" s="1" t="n">
        <v>3</v>
      </c>
      <c r="B3234" s="1" t="inlineStr">
        <is>
          <t>เสื้อผ้า</t>
        </is>
      </c>
      <c r="C3234" s="1" t="inlineStr">
        <is>
          <t>gf2040119429</t>
        </is>
      </c>
      <c r="D3234" s="1" t="inlineStr">
        <is>
          <t>ADIDAS Ultimate365 Printed Mesh Men's Polo (Blue)</t>
        </is>
      </c>
      <c r="E3234" s="1" t="inlineStr">
        <is>
          <t>ADIDAS</t>
        </is>
      </c>
      <c r="F3234" s="1" t="inlineStr">
        <is>
          <t>SHORT SLEEVES</t>
        </is>
      </c>
      <c r="G3234" s="1" t="inlineStr">
        <is>
          <t>GF20401194292XS</t>
        </is>
      </c>
      <c r="H3234" s="1" t="n">
        <v>8</v>
      </c>
      <c r="I3234" s="1" t="inlineStr">
        <is>
          <t>มี</t>
        </is>
      </c>
      <c r="J3234" s="13" t="n">
        <v>65</v>
      </c>
      <c r="K3234" s="1" t="inlineStr"/>
      <c r="L3234" s="13" t="n">
        <v>47</v>
      </c>
      <c r="M3234" s="1">
        <f>IF(L3234="","ไม่พบใน SG",IF(ABS(J3234-L3234)&lt;0.005,"ตรงกัน","ไม่ตรง"))</f>
        <v/>
      </c>
      <c r="N3234" s="14">
        <f>IF(L3234="","",ROUND(L3234*'สรุป'!$C$6,-1))</f>
        <v/>
      </c>
      <c r="O3234" s="15" t="n"/>
      <c r="P3234" s="15" t="n"/>
      <c r="Q3234" s="10" t="n"/>
      <c r="R3234" s="10" t="n"/>
      <c r="S3234" s="16" t="inlineStr">
        <is>
          <t>https://mstgolf.co.th/products/gf2040119429</t>
        </is>
      </c>
      <c r="T3234" s="1">
        <f>IF(B3234="ไม้กอล์ฟ",J3234,"")</f>
        <v/>
      </c>
    </row>
    <row r="3235">
      <c r="A3235" s="1" t="n">
        <v>3</v>
      </c>
      <c r="B3235" s="1" t="inlineStr">
        <is>
          <t>เสื้อผ้า</t>
        </is>
      </c>
      <c r="C3235" s="1" t="inlineStr">
        <is>
          <t>gf2040119433</t>
        </is>
      </c>
      <c r="D3235" s="1" t="inlineStr">
        <is>
          <t>ADIDAS Ultimate365 Printed Mesh Men's Polo (Navy)</t>
        </is>
      </c>
      <c r="E3235" s="1" t="inlineStr">
        <is>
          <t>ADIDAS</t>
        </is>
      </c>
      <c r="F3235" s="1" t="inlineStr">
        <is>
          <t>SHORT SLEEVES</t>
        </is>
      </c>
      <c r="G3235" s="1" t="inlineStr">
        <is>
          <t>GF20401194332XS</t>
        </is>
      </c>
      <c r="H3235" s="1" t="n">
        <v>8</v>
      </c>
      <c r="I3235" s="1" t="inlineStr">
        <is>
          <t>มี</t>
        </is>
      </c>
      <c r="J3235" s="13" t="n">
        <v>65</v>
      </c>
      <c r="K3235" s="1" t="inlineStr"/>
      <c r="L3235" s="13" t="n">
        <v>49</v>
      </c>
      <c r="M3235" s="1">
        <f>IF(L3235="","ไม่พบใน SG",IF(ABS(J3235-L3235)&lt;0.005,"ตรงกัน","ไม่ตรง"))</f>
        <v/>
      </c>
      <c r="N3235" s="14">
        <f>IF(L3235="","",ROUND(L3235*'สรุป'!$C$6,-1))</f>
        <v/>
      </c>
      <c r="O3235" s="15" t="n"/>
      <c r="P3235" s="15" t="n"/>
      <c r="Q3235" s="10" t="n"/>
      <c r="R3235" s="10" t="n"/>
      <c r="S3235" s="16" t="inlineStr">
        <is>
          <t>https://mstgolf.co.th/products/gf2040119433</t>
        </is>
      </c>
      <c r="T3235" s="1">
        <f>IF(B3235="ไม้กอล์ฟ",J3235,"")</f>
        <v/>
      </c>
    </row>
    <row r="3236">
      <c r="A3236" s="1" t="n">
        <v>3</v>
      </c>
      <c r="B3236" s="1" t="inlineStr">
        <is>
          <t>เสื้อผ้า</t>
        </is>
      </c>
      <c r="C3236" s="1" t="inlineStr">
        <is>
          <t>gf2040119430</t>
        </is>
      </c>
      <c r="D3236" s="1" t="inlineStr">
        <is>
          <t>ADIDAS Ultimate365 Printed Mesh Men's Polo (Silver)</t>
        </is>
      </c>
      <c r="E3236" s="1" t="inlineStr">
        <is>
          <t>ADIDAS</t>
        </is>
      </c>
      <c r="F3236" s="1" t="inlineStr">
        <is>
          <t>SHORT SLEEVES</t>
        </is>
      </c>
      <c r="G3236" s="1" t="inlineStr">
        <is>
          <t>GF20401194302XS</t>
        </is>
      </c>
      <c r="H3236" s="1" t="n">
        <v>8</v>
      </c>
      <c r="I3236" s="1" t="inlineStr">
        <is>
          <t>มี</t>
        </is>
      </c>
      <c r="J3236" s="13" t="n">
        <v>65</v>
      </c>
      <c r="K3236" s="1" t="inlineStr"/>
      <c r="L3236" s="13" t="n">
        <v>47</v>
      </c>
      <c r="M3236" s="1">
        <f>IF(L3236="","ไม่พบใน SG",IF(ABS(J3236-L3236)&lt;0.005,"ตรงกัน","ไม่ตรง"))</f>
        <v/>
      </c>
      <c r="N3236" s="14">
        <f>IF(L3236="","",ROUND(L3236*'สรุป'!$C$6,-1))</f>
        <v/>
      </c>
      <c r="O3236" s="15" t="n"/>
      <c r="P3236" s="15" t="n"/>
      <c r="Q3236" s="10" t="n"/>
      <c r="R3236" s="10" t="n"/>
      <c r="S3236" s="16" t="inlineStr">
        <is>
          <t>https://mstgolf.co.th/products/gf2040119430</t>
        </is>
      </c>
      <c r="T3236" s="1">
        <f>IF(B3236="ไม้กอล์ฟ",J3236,"")</f>
        <v/>
      </c>
    </row>
    <row r="3237">
      <c r="A3237" s="1" t="n">
        <v>3</v>
      </c>
      <c r="B3237" s="1" t="inlineStr">
        <is>
          <t>เสื้อผ้า</t>
        </is>
      </c>
      <c r="C3237" s="1" t="inlineStr">
        <is>
          <t>gf2040119432</t>
        </is>
      </c>
      <c r="D3237" s="1" t="inlineStr">
        <is>
          <t>ADIDAS Ultimate365 Printed Mesh Men's Polo (White)</t>
        </is>
      </c>
      <c r="E3237" s="1" t="inlineStr">
        <is>
          <t>ADIDAS</t>
        </is>
      </c>
      <c r="F3237" s="1" t="inlineStr">
        <is>
          <t>SHORT SLEEVES</t>
        </is>
      </c>
      <c r="G3237" s="1" t="inlineStr">
        <is>
          <t>GF20401194322XS</t>
        </is>
      </c>
      <c r="H3237" s="1" t="n">
        <v>8</v>
      </c>
      <c r="I3237" s="1" t="inlineStr">
        <is>
          <t>มี</t>
        </is>
      </c>
      <c r="J3237" s="13" t="n">
        <v>65</v>
      </c>
      <c r="K3237" s="1" t="inlineStr"/>
      <c r="L3237" s="13" t="n">
        <v>49</v>
      </c>
      <c r="M3237" s="1">
        <f>IF(L3237="","ไม่พบใน SG",IF(ABS(J3237-L3237)&lt;0.005,"ตรงกัน","ไม่ตรง"))</f>
        <v/>
      </c>
      <c r="N3237" s="14">
        <f>IF(L3237="","",ROUND(L3237*'สรุป'!$C$6,-1))</f>
        <v/>
      </c>
      <c r="O3237" s="15" t="n"/>
      <c r="P3237" s="15" t="n"/>
      <c r="Q3237" s="10" t="n"/>
      <c r="R3237" s="10" t="n"/>
      <c r="S3237" s="16" t="inlineStr">
        <is>
          <t>https://mstgolf.co.th/products/gf2040119432</t>
        </is>
      </c>
      <c r="T3237" s="1">
        <f>IF(B3237="ไม้กอล์ฟ",J3237,"")</f>
        <v/>
      </c>
    </row>
    <row r="3238">
      <c r="A3238" s="1" t="n">
        <v>3</v>
      </c>
      <c r="B3238" s="1" t="inlineStr">
        <is>
          <t>เสื้อผ้า</t>
        </is>
      </c>
      <c r="C3238" s="1" t="inlineStr">
        <is>
          <t>gf2040119428</t>
        </is>
      </c>
      <c r="D3238" s="1" t="inlineStr">
        <is>
          <t>ADIDAS Ultimate365 Printed Mesh Men's Polo (Yellow)</t>
        </is>
      </c>
      <c r="E3238" s="1" t="inlineStr">
        <is>
          <t>ADIDAS</t>
        </is>
      </c>
      <c r="F3238" s="1" t="inlineStr">
        <is>
          <t>SHORT SLEEVES</t>
        </is>
      </c>
      <c r="G3238" s="1" t="inlineStr">
        <is>
          <t>GF20401194282XS</t>
        </is>
      </c>
      <c r="H3238" s="1" t="n">
        <v>8</v>
      </c>
      <c r="I3238" s="1" t="inlineStr">
        <is>
          <t>มี</t>
        </is>
      </c>
      <c r="J3238" s="13" t="n">
        <v>65</v>
      </c>
      <c r="K3238" s="1" t="inlineStr"/>
      <c r="L3238" s="13" t="n">
        <v>47</v>
      </c>
      <c r="M3238" s="1">
        <f>IF(L3238="","ไม่พบใน SG",IF(ABS(J3238-L3238)&lt;0.005,"ตรงกัน","ไม่ตรง"))</f>
        <v/>
      </c>
      <c r="N3238" s="14">
        <f>IF(L3238="","",ROUND(L3238*'สรุป'!$C$6,-1))</f>
        <v/>
      </c>
      <c r="O3238" s="15" t="n"/>
      <c r="P3238" s="15" t="n"/>
      <c r="Q3238" s="10" t="n"/>
      <c r="R3238" s="10" t="n"/>
      <c r="S3238" s="16" t="inlineStr">
        <is>
          <t>https://mstgolf.co.th/products/gf2040119428</t>
        </is>
      </c>
      <c r="T3238" s="1">
        <f>IF(B3238="ไม้กอล์ฟ",J3238,"")</f>
        <v/>
      </c>
    </row>
    <row r="3239">
      <c r="A3239" s="1" t="n">
        <v>3</v>
      </c>
      <c r="B3239" s="1" t="inlineStr">
        <is>
          <t>เสื้อผ้า</t>
        </is>
      </c>
      <c r="C3239" s="1" t="inlineStr">
        <is>
          <t>gf2040119440</t>
        </is>
      </c>
      <c r="D3239" s="1" t="inlineStr">
        <is>
          <t>ADIDAS Ultimate365 Speed Stripe Men's Polo (Silver)</t>
        </is>
      </c>
      <c r="E3239" s="1" t="inlineStr">
        <is>
          <t>ADIDAS</t>
        </is>
      </c>
      <c r="F3239" s="1" t="inlineStr">
        <is>
          <t>SHORT SLEEVES</t>
        </is>
      </c>
      <c r="G3239" s="1" t="inlineStr">
        <is>
          <t>GF20401194402XS</t>
        </is>
      </c>
      <c r="H3239" s="1" t="n">
        <v>8</v>
      </c>
      <c r="I3239" s="1" t="inlineStr">
        <is>
          <t>มี</t>
        </is>
      </c>
      <c r="J3239" s="13" t="n">
        <v>65</v>
      </c>
      <c r="K3239" s="1" t="inlineStr"/>
      <c r="L3239" s="13" t="n">
        <v>49</v>
      </c>
      <c r="M3239" s="1">
        <f>IF(L3239="","ไม่พบใน SG",IF(ABS(J3239-L3239)&lt;0.005,"ตรงกัน","ไม่ตรง"))</f>
        <v/>
      </c>
      <c r="N3239" s="14">
        <f>IF(L3239="","",ROUND(L3239*'สรุป'!$C$6,-1))</f>
        <v/>
      </c>
      <c r="O3239" s="15" t="n"/>
      <c r="P3239" s="15" t="n"/>
      <c r="Q3239" s="10" t="n"/>
      <c r="R3239" s="10" t="n"/>
      <c r="S3239" s="16" t="inlineStr">
        <is>
          <t>https://mstgolf.co.th/products/gf2040119440</t>
        </is>
      </c>
      <c r="T3239" s="1">
        <f>IF(B3239="ไม้กอล์ฟ",J3239,"")</f>
        <v/>
      </c>
    </row>
    <row r="3240">
      <c r="A3240" s="1" t="n">
        <v>3</v>
      </c>
      <c r="B3240" s="1" t="inlineStr">
        <is>
          <t>เสื้อผ้า</t>
        </is>
      </c>
      <c r="C3240" s="1" t="inlineStr">
        <is>
          <t>gf2020102189</t>
        </is>
      </c>
      <c r="D3240" s="1" t="inlineStr">
        <is>
          <t>ADIDAS WIND.RDY Four-Way Men's Ankle Pants (Collegiate Navy)</t>
        </is>
      </c>
      <c r="E3240" s="1" t="inlineStr">
        <is>
          <t>ADIDAS</t>
        </is>
      </c>
      <c r="F3240" s="1" t="inlineStr">
        <is>
          <t>LONG PANTS</t>
        </is>
      </c>
      <c r="G3240" s="1" t="inlineStr">
        <is>
          <t>GF202010218973</t>
        </is>
      </c>
      <c r="H3240" s="1" t="n">
        <v>8</v>
      </c>
      <c r="I3240" s="1" t="inlineStr">
        <is>
          <t>มี</t>
        </is>
      </c>
      <c r="J3240" s="13" t="n">
        <v>65</v>
      </c>
      <c r="K3240" s="1" t="inlineStr"/>
      <c r="L3240" s="13" t="n">
        <v>65</v>
      </c>
      <c r="M3240" s="1">
        <f>IF(L3240="","ไม่พบใน SG",IF(ABS(J3240-L3240)&lt;0.005,"ตรงกัน","ไม่ตรง"))</f>
        <v/>
      </c>
      <c r="N3240" s="14">
        <f>IF(L3240="","",ROUND(L3240*'สรุป'!$C$6,-1))</f>
        <v/>
      </c>
      <c r="O3240" s="15" t="n"/>
      <c r="P3240" s="15" t="n"/>
      <c r="Q3240" s="10" t="n"/>
      <c r="R3240" s="10" t="n"/>
      <c r="S3240" s="16" t="inlineStr">
        <is>
          <t>https://mstgolf.co.th/products/gf2020102189</t>
        </is>
      </c>
      <c r="T3240" s="1">
        <f>IF(B3240="ไม้กอล์ฟ",J3240,"")</f>
        <v/>
      </c>
    </row>
    <row r="3241">
      <c r="A3241" s="1" t="n">
        <v>3</v>
      </c>
      <c r="B3241" s="1" t="inlineStr">
        <is>
          <t>เสื้อผ้า</t>
        </is>
      </c>
      <c r="C3241" s="1" t="inlineStr">
        <is>
          <t>gf2020202038</t>
        </is>
      </c>
      <c r="D3241" s="1" t="inlineStr">
        <is>
          <t>CALVIN KLEIN Bullet Men's Shorts (Orange)</t>
        </is>
      </c>
      <c r="E3241" s="1" t="inlineStr">
        <is>
          <t>CALVIN KLEIN</t>
        </is>
      </c>
      <c r="F3241" s="1" t="inlineStr">
        <is>
          <t>SHORT PANTS</t>
        </is>
      </c>
      <c r="G3241" s="1" t="inlineStr">
        <is>
          <t>GF202020203830</t>
        </is>
      </c>
      <c r="H3241" s="1" t="n">
        <v>7</v>
      </c>
      <c r="I3241" s="1" t="inlineStr">
        <is>
          <t>มี</t>
        </is>
      </c>
      <c r="J3241" s="13" t="n">
        <v>65</v>
      </c>
      <c r="K3241" s="1" t="inlineStr"/>
      <c r="L3241" s="13" t="n">
        <v>65</v>
      </c>
      <c r="M3241" s="1">
        <f>IF(L3241="","ไม่พบใน SG",IF(ABS(J3241-L3241)&lt;0.005,"ตรงกัน","ไม่ตรง"))</f>
        <v/>
      </c>
      <c r="N3241" s="14">
        <f>IF(L3241="","",ROUND(L3241*'สรุป'!$C$6,-1))</f>
        <v/>
      </c>
      <c r="O3241" s="15" t="n"/>
      <c r="P3241" s="15" t="n"/>
      <c r="Q3241" s="10" t="n"/>
      <c r="R3241" s="10" t="n"/>
      <c r="S3241" s="16" t="inlineStr">
        <is>
          <t>https://mstgolf.co.th/products/gf2020202038</t>
        </is>
      </c>
      <c r="T3241" s="1">
        <f>IF(B3241="ไม้กอล์ฟ",J3241,"")</f>
        <v/>
      </c>
    </row>
    <row r="3242">
      <c r="A3242" s="1" t="n">
        <v>3</v>
      </c>
      <c r="B3242" s="1" t="inlineStr">
        <is>
          <t>เสื้อผ้า</t>
        </is>
      </c>
      <c r="C3242" s="1" t="inlineStr">
        <is>
          <t>gf2040117501</t>
        </is>
      </c>
      <c r="D3242" s="1" t="inlineStr">
        <is>
          <t>CALVIN KLEIN Fort Jackson Men's Polo (Aqua)</t>
        </is>
      </c>
      <c r="E3242" s="1" t="inlineStr">
        <is>
          <t>CALVIN KLEIN</t>
        </is>
      </c>
      <c r="F3242" s="1" t="inlineStr">
        <is>
          <t>SHORT SLEEVES</t>
        </is>
      </c>
      <c r="G3242" s="1" t="inlineStr">
        <is>
          <t>GF2040117501S</t>
        </is>
      </c>
      <c r="H3242" s="1" t="n">
        <v>5</v>
      </c>
      <c r="I3242" s="1" t="inlineStr">
        <is>
          <t>มี</t>
        </is>
      </c>
      <c r="J3242" s="13" t="n">
        <v>65</v>
      </c>
      <c r="K3242" s="1" t="inlineStr"/>
      <c r="L3242" s="13" t="n">
        <v>45</v>
      </c>
      <c r="M3242" s="1">
        <f>IF(L3242="","ไม่พบใน SG",IF(ABS(J3242-L3242)&lt;0.005,"ตรงกัน","ไม่ตรง"))</f>
        <v/>
      </c>
      <c r="N3242" s="14">
        <f>IF(L3242="","",ROUND(L3242*'สรุป'!$C$6,-1))</f>
        <v/>
      </c>
      <c r="O3242" s="15" t="n"/>
      <c r="P3242" s="15" t="n"/>
      <c r="Q3242" s="10" t="n"/>
      <c r="R3242" s="10" t="n"/>
      <c r="S3242" s="16" t="inlineStr">
        <is>
          <t>https://mstgolf.co.th/products/gf2040117501</t>
        </is>
      </c>
      <c r="T3242" s="1">
        <f>IF(B3242="ไม้กอล์ฟ",J3242,"")</f>
        <v/>
      </c>
    </row>
    <row r="3243">
      <c r="A3243" s="1" t="n">
        <v>3</v>
      </c>
      <c r="B3243" s="1" t="inlineStr">
        <is>
          <t>เสื้อผ้า</t>
        </is>
      </c>
      <c r="C3243" s="1" t="inlineStr">
        <is>
          <t>gf2040117502</t>
        </is>
      </c>
      <c r="D3243" s="1" t="inlineStr">
        <is>
          <t>CALVIN KLEIN Fort Jackson Men's Polo (Evening Blue)</t>
        </is>
      </c>
      <c r="E3243" s="1" t="inlineStr">
        <is>
          <t>CALVIN KLEIN</t>
        </is>
      </c>
      <c r="F3243" s="1" t="inlineStr">
        <is>
          <t>SHORT SLEEVES</t>
        </is>
      </c>
      <c r="G3243" s="1" t="inlineStr">
        <is>
          <t>GF2040117502S</t>
        </is>
      </c>
      <c r="H3243" s="1" t="n">
        <v>5</v>
      </c>
      <c r="I3243" s="1" t="inlineStr">
        <is>
          <t>มี</t>
        </is>
      </c>
      <c r="J3243" s="13" t="n">
        <v>65</v>
      </c>
      <c r="K3243" s="1" t="inlineStr"/>
      <c r="L3243" s="13" t="n">
        <v>45</v>
      </c>
      <c r="M3243" s="1">
        <f>IF(L3243="","ไม่พบใน SG",IF(ABS(J3243-L3243)&lt;0.005,"ตรงกัน","ไม่ตรง"))</f>
        <v/>
      </c>
      <c r="N3243" s="14">
        <f>IF(L3243="","",ROUND(L3243*'สรุป'!$C$6,-1))</f>
        <v/>
      </c>
      <c r="O3243" s="15" t="n"/>
      <c r="P3243" s="15" t="n"/>
      <c r="Q3243" s="10" t="n"/>
      <c r="R3243" s="10" t="n"/>
      <c r="S3243" s="16" t="inlineStr">
        <is>
          <t>https://mstgolf.co.th/products/gf2040117502</t>
        </is>
      </c>
      <c r="T3243" s="1">
        <f>IF(B3243="ไม้กอล์ฟ",J3243,"")</f>
        <v/>
      </c>
    </row>
    <row r="3244">
      <c r="A3244" s="1" t="n">
        <v>3</v>
      </c>
      <c r="B3244" s="1" t="inlineStr">
        <is>
          <t>เสื้อผ้า</t>
        </is>
      </c>
      <c r="C3244" s="1" t="inlineStr">
        <is>
          <t>gf2020201798</t>
        </is>
      </c>
      <c r="D3244" s="1" t="inlineStr">
        <is>
          <t>CALVIN KLEIN Lakeville Skort (Light Opal)</t>
        </is>
      </c>
      <c r="E3244" s="1" t="inlineStr">
        <is>
          <t>CALVIN KLEIN</t>
        </is>
      </c>
      <c r="F3244" s="1" t="inlineStr">
        <is>
          <t>SHORT PANTS</t>
        </is>
      </c>
      <c r="G3244" s="1" t="inlineStr">
        <is>
          <t>GF20202017988</t>
        </is>
      </c>
      <c r="H3244" s="1" t="n">
        <v>5</v>
      </c>
      <c r="I3244" s="1" t="inlineStr">
        <is>
          <t>มี</t>
        </is>
      </c>
      <c r="J3244" s="13" t="n">
        <v>65</v>
      </c>
      <c r="K3244" s="1" t="inlineStr"/>
      <c r="L3244" s="13" t="n">
        <v>65</v>
      </c>
      <c r="M3244" s="1">
        <f>IF(L3244="","ไม่พบใน SG",IF(ABS(J3244-L3244)&lt;0.005,"ตรงกัน","ไม่ตรง"))</f>
        <v/>
      </c>
      <c r="N3244" s="14">
        <f>IF(L3244="","",ROUND(L3244*'สรุป'!$C$6,-1))</f>
        <v/>
      </c>
      <c r="O3244" s="15" t="n"/>
      <c r="P3244" s="15" t="n"/>
      <c r="Q3244" s="10" t="n"/>
      <c r="R3244" s="10" t="n"/>
      <c r="S3244" s="16" t="inlineStr">
        <is>
          <t>https://mstgolf.co.th/products/gf2020201798</t>
        </is>
      </c>
      <c r="T3244" s="1">
        <f>IF(B3244="ไม้กอล์ฟ",J3244,"")</f>
        <v/>
      </c>
    </row>
    <row r="3245">
      <c r="A3245" s="1" t="n">
        <v>3</v>
      </c>
      <c r="B3245" s="1" t="inlineStr">
        <is>
          <t>เสื้อผ้า</t>
        </is>
      </c>
      <c r="C3245" s="1" t="inlineStr">
        <is>
          <t>gf2020101063</t>
        </is>
      </c>
      <c r="D3245" s="1" t="inlineStr">
        <is>
          <t>CUTTER &amp; BUCK Bainbridge Sport Men's Pants (Black)</t>
        </is>
      </c>
      <c r="E3245" s="1" t="inlineStr">
        <is>
          <t>CUTTER &amp; BUCK</t>
        </is>
      </c>
      <c r="F3245" s="1" t="inlineStr">
        <is>
          <t>LONG PANTS</t>
        </is>
      </c>
      <c r="G3245" s="1" t="inlineStr">
        <is>
          <t>GF202010106328</t>
        </is>
      </c>
      <c r="H3245" s="1" t="n">
        <v>8</v>
      </c>
      <c r="I3245" s="1" t="inlineStr">
        <is>
          <t>มี</t>
        </is>
      </c>
      <c r="J3245" s="13" t="n">
        <v>65</v>
      </c>
      <c r="K3245" s="1" t="inlineStr"/>
      <c r="L3245" s="13" t="n">
        <v>65</v>
      </c>
      <c r="M3245" s="1">
        <f>IF(L3245="","ไม่พบใน SG",IF(ABS(J3245-L3245)&lt;0.005,"ตรงกัน","ไม่ตรง"))</f>
        <v/>
      </c>
      <c r="N3245" s="14">
        <f>IF(L3245="","",ROUND(L3245*'สรุป'!$C$6,-1))</f>
        <v/>
      </c>
      <c r="O3245" s="15" t="n"/>
      <c r="P3245" s="15" t="n"/>
      <c r="Q3245" s="10" t="n"/>
      <c r="R3245" s="10" t="n"/>
      <c r="S3245" s="16" t="inlineStr">
        <is>
          <t>https://mstgolf.co.th/products/gf2020101063</t>
        </is>
      </c>
      <c r="T3245" s="1">
        <f>IF(B3245="ไม้กอล์ฟ",J3245,"")</f>
        <v/>
      </c>
    </row>
    <row r="3246">
      <c r="A3246" s="1" t="n">
        <v>3</v>
      </c>
      <c r="B3246" s="1" t="inlineStr">
        <is>
          <t>เสื้อผ้า</t>
        </is>
      </c>
      <c r="C3246" s="1" t="inlineStr">
        <is>
          <t>gf2020101984</t>
        </is>
      </c>
      <c r="D3246" s="1" t="inlineStr">
        <is>
          <t>CUTTER &amp; BUCK Bainbridge Sport Men's Pants (Castle)</t>
        </is>
      </c>
      <c r="E3246" s="1" t="inlineStr">
        <is>
          <t>CUTTER &amp; BUCK</t>
        </is>
      </c>
      <c r="F3246" s="1" t="inlineStr">
        <is>
          <t>LONG PANTS</t>
        </is>
      </c>
      <c r="G3246" s="1" t="inlineStr">
        <is>
          <t>GF202010198428</t>
        </is>
      </c>
      <c r="H3246" s="1" t="n">
        <v>8</v>
      </c>
      <c r="I3246" s="1" t="inlineStr">
        <is>
          <t>มี</t>
        </is>
      </c>
      <c r="J3246" s="13" t="n">
        <v>65</v>
      </c>
      <c r="K3246" s="1" t="inlineStr"/>
      <c r="L3246" s="13" t="n">
        <v>65</v>
      </c>
      <c r="M3246" s="1">
        <f>IF(L3246="","ไม่พบใน SG",IF(ABS(J3246-L3246)&lt;0.005,"ตรงกัน","ไม่ตรง"))</f>
        <v/>
      </c>
      <c r="N3246" s="14">
        <f>IF(L3246="","",ROUND(L3246*'สรุป'!$C$6,-1))</f>
        <v/>
      </c>
      <c r="O3246" s="15" t="n"/>
      <c r="P3246" s="15" t="n"/>
      <c r="Q3246" s="10" t="n"/>
      <c r="R3246" s="10" t="n"/>
      <c r="S3246" s="16" t="inlineStr">
        <is>
          <t>https://mstgolf.co.th/products/gf2020101984</t>
        </is>
      </c>
      <c r="T3246" s="1">
        <f>IF(B3246="ไม้กอล์ฟ",J3246,"")</f>
        <v/>
      </c>
    </row>
    <row r="3247">
      <c r="A3247" s="1" t="n">
        <v>3</v>
      </c>
      <c r="B3247" s="1" t="inlineStr">
        <is>
          <t>เสื้อผ้า</t>
        </is>
      </c>
      <c r="C3247" s="1" t="inlineStr">
        <is>
          <t>gf2020101798</t>
        </is>
      </c>
      <c r="D3247" s="1" t="inlineStr">
        <is>
          <t>CUTTER &amp; BUCK Bainbridge Sport Men's Pants (Iron)</t>
        </is>
      </c>
      <c r="E3247" s="1" t="inlineStr">
        <is>
          <t>CUTTER &amp; BUCK</t>
        </is>
      </c>
      <c r="F3247" s="1" t="inlineStr">
        <is>
          <t>LONG PANTS</t>
        </is>
      </c>
      <c r="G3247" s="1" t="inlineStr">
        <is>
          <t>GF202010179828</t>
        </is>
      </c>
      <c r="H3247" s="1" t="n">
        <v>8</v>
      </c>
      <c r="I3247" s="1" t="inlineStr">
        <is>
          <t>มี</t>
        </is>
      </c>
      <c r="J3247" s="13" t="n">
        <v>65</v>
      </c>
      <c r="K3247" s="1" t="inlineStr"/>
      <c r="L3247" s="13" t="n">
        <v>65</v>
      </c>
      <c r="M3247" s="1">
        <f>IF(L3247="","ไม่พบใน SG",IF(ABS(J3247-L3247)&lt;0.005,"ตรงกัน","ไม่ตรง"))</f>
        <v/>
      </c>
      <c r="N3247" s="14">
        <f>IF(L3247="","",ROUND(L3247*'สรุป'!$C$6,-1))</f>
        <v/>
      </c>
      <c r="O3247" s="15" t="n"/>
      <c r="P3247" s="15" t="n"/>
      <c r="Q3247" s="10" t="n"/>
      <c r="R3247" s="10" t="n"/>
      <c r="S3247" s="16" t="inlineStr">
        <is>
          <t>https://mstgolf.co.th/products/gf2020101798</t>
        </is>
      </c>
      <c r="T3247" s="1">
        <f>IF(B3247="ไม้กอล์ฟ",J3247,"")</f>
        <v/>
      </c>
    </row>
    <row r="3248">
      <c r="A3248" s="1" t="n">
        <v>3</v>
      </c>
      <c r="B3248" s="1" t="inlineStr">
        <is>
          <t>เสื้อผ้า</t>
        </is>
      </c>
      <c r="C3248" s="1" t="inlineStr">
        <is>
          <t>gf2020101985</t>
        </is>
      </c>
      <c r="D3248" s="1" t="inlineStr">
        <is>
          <t>CUTTER &amp; BUCK Bainbridge Sport Men's Pants (Navy Blue)</t>
        </is>
      </c>
      <c r="E3248" s="1" t="inlineStr">
        <is>
          <t>CUTTER &amp; BUCK</t>
        </is>
      </c>
      <c r="F3248" s="1" t="inlineStr">
        <is>
          <t>LONG PANTS</t>
        </is>
      </c>
      <c r="G3248" s="1" t="inlineStr">
        <is>
          <t>GF202010198528</t>
        </is>
      </c>
      <c r="H3248" s="1" t="n">
        <v>8</v>
      </c>
      <c r="I3248" s="1" t="inlineStr">
        <is>
          <t>มี</t>
        </is>
      </c>
      <c r="J3248" s="13" t="n">
        <v>65</v>
      </c>
      <c r="K3248" s="1" t="inlineStr"/>
      <c r="L3248" s="13" t="n">
        <v>65</v>
      </c>
      <c r="M3248" s="1">
        <f>IF(L3248="","ไม่พบใน SG",IF(ABS(J3248-L3248)&lt;0.005,"ตรงกัน","ไม่ตรง"))</f>
        <v/>
      </c>
      <c r="N3248" s="14">
        <f>IF(L3248="","",ROUND(L3248*'สรุป'!$C$6,-1))</f>
        <v/>
      </c>
      <c r="O3248" s="15" t="n"/>
      <c r="P3248" s="15" t="n"/>
      <c r="Q3248" s="10" t="n"/>
      <c r="R3248" s="10" t="n"/>
      <c r="S3248" s="16" t="inlineStr">
        <is>
          <t>https://mstgolf.co.th/products/gf2020101985</t>
        </is>
      </c>
      <c r="T3248" s="1">
        <f>IF(B3248="ไม้กอล์ฟ",J3248,"")</f>
        <v/>
      </c>
    </row>
    <row r="3249">
      <c r="A3249" s="1" t="n">
        <v>3</v>
      </c>
      <c r="B3249" s="1" t="inlineStr">
        <is>
          <t>เสื้อผ้า</t>
        </is>
      </c>
      <c r="C3249" s="1" t="inlineStr">
        <is>
          <t>gf2060101015</t>
        </is>
      </c>
      <c r="D3249" s="1" t="inlineStr">
        <is>
          <t>CUTTER &amp; BUCK Charter Eco Knit Men's Jacket (Navy Blue)</t>
        </is>
      </c>
      <c r="E3249" s="1" t="inlineStr">
        <is>
          <t>CUTTER &amp; BUCK</t>
        </is>
      </c>
      <c r="F3249" s="1" t="inlineStr">
        <is>
          <t>TOP</t>
        </is>
      </c>
      <c r="G3249" s="1" t="inlineStr">
        <is>
          <t>GF2060101015S</t>
        </is>
      </c>
      <c r="H3249" s="1" t="n">
        <v>5</v>
      </c>
      <c r="I3249" s="1" t="inlineStr">
        <is>
          <t>มี</t>
        </is>
      </c>
      <c r="J3249" s="13" t="n">
        <v>65</v>
      </c>
      <c r="K3249" s="1" t="inlineStr"/>
      <c r="L3249" s="13" t="n">
        <v>55</v>
      </c>
      <c r="M3249" s="1">
        <f>IF(L3249="","ไม่พบใน SG",IF(ABS(J3249-L3249)&lt;0.005,"ตรงกัน","ไม่ตรง"))</f>
        <v/>
      </c>
      <c r="N3249" s="14">
        <f>IF(L3249="","",ROUND(L3249*'สรุป'!$C$6,-1))</f>
        <v/>
      </c>
      <c r="O3249" s="15" t="n"/>
      <c r="P3249" s="15" t="n"/>
      <c r="Q3249" s="10" t="n"/>
      <c r="R3249" s="10" t="n"/>
      <c r="S3249" s="16" t="inlineStr">
        <is>
          <t>https://mstgolf.co.th/products/gf2060101015</t>
        </is>
      </c>
      <c r="T3249" s="1">
        <f>IF(B3249="ไม้กอล์ฟ",J3249,"")</f>
        <v/>
      </c>
    </row>
    <row r="3250">
      <c r="A3250" s="1" t="n">
        <v>3</v>
      </c>
      <c r="B3250" s="1" t="inlineStr">
        <is>
          <t>เสื้อผ้า</t>
        </is>
      </c>
      <c r="C3250" s="1" t="inlineStr">
        <is>
          <t>gf2040120942</t>
        </is>
      </c>
      <c r="D3250" s="1" t="inlineStr">
        <is>
          <t>DISNEY Golf Accesories Print Men's Polo (Black)</t>
        </is>
      </c>
      <c r="E3250" s="1" t="inlineStr">
        <is>
          <t>DISNEY</t>
        </is>
      </c>
      <c r="F3250" s="1" t="inlineStr">
        <is>
          <t>SHORT SLEEVES</t>
        </is>
      </c>
      <c r="G3250" s="1" t="inlineStr">
        <is>
          <t>GF2040120942S</t>
        </is>
      </c>
      <c r="H3250" s="1" t="n">
        <v>6</v>
      </c>
      <c r="I3250" s="1" t="inlineStr">
        <is>
          <t>มี</t>
        </is>
      </c>
      <c r="J3250" s="13" t="n">
        <v>65</v>
      </c>
      <c r="K3250" s="1" t="inlineStr"/>
      <c r="L3250" s="13" t="n"/>
      <c r="M3250" s="1">
        <f>IF(L3250="","ไม่พบใน SG",IF(ABS(J3250-L3250)&lt;0.005,"ตรงกัน","ไม่ตรง"))</f>
        <v/>
      </c>
      <c r="N3250" s="14">
        <f>IF(L3250="","",ROUND(L3250*'สรุป'!$C$6,-1))</f>
        <v/>
      </c>
      <c r="O3250" s="15" t="n"/>
      <c r="P3250" s="15" t="n"/>
      <c r="Q3250" s="10" t="n"/>
      <c r="R3250" s="10" t="n"/>
      <c r="S3250" s="16" t="inlineStr">
        <is>
          <t>https://mstgolf.co.th/products/gf2040120942</t>
        </is>
      </c>
      <c r="T3250" s="1">
        <f>IF(B3250="ไม้กอล์ฟ",J3250,"")</f>
        <v/>
      </c>
    </row>
    <row r="3251">
      <c r="A3251" s="1" t="n">
        <v>3</v>
      </c>
      <c r="B3251" s="1" t="inlineStr">
        <is>
          <t>เสื้อผ้า</t>
        </is>
      </c>
      <c r="C3251" s="1" t="inlineStr">
        <is>
          <t>gf2040120941</t>
        </is>
      </c>
      <c r="D3251" s="1" t="inlineStr">
        <is>
          <t>DISNEY Golf Accesories Print Men's Polo (Jadesheen Green)</t>
        </is>
      </c>
      <c r="E3251" s="1" t="inlineStr">
        <is>
          <t>DISNEY</t>
        </is>
      </c>
      <c r="F3251" s="1" t="inlineStr">
        <is>
          <t>SHORT SLEEVES</t>
        </is>
      </c>
      <c r="G3251" s="1" t="inlineStr">
        <is>
          <t>GF2040120941S</t>
        </is>
      </c>
      <c r="H3251" s="1" t="n">
        <v>6</v>
      </c>
      <c r="I3251" s="1" t="inlineStr">
        <is>
          <t>มี</t>
        </is>
      </c>
      <c r="J3251" s="13" t="n">
        <v>65</v>
      </c>
      <c r="K3251" s="1" t="inlineStr"/>
      <c r="L3251" s="13" t="n"/>
      <c r="M3251" s="1">
        <f>IF(L3251="","ไม่พบใน SG",IF(ABS(J3251-L3251)&lt;0.005,"ตรงกัน","ไม่ตรง"))</f>
        <v/>
      </c>
      <c r="N3251" s="14">
        <f>IF(L3251="","",ROUND(L3251*'สรุป'!$C$6,-1))</f>
        <v/>
      </c>
      <c r="O3251" s="15" t="n"/>
      <c r="P3251" s="15" t="n"/>
      <c r="Q3251" s="10" t="n"/>
      <c r="R3251" s="10" t="n"/>
      <c r="S3251" s="16" t="inlineStr">
        <is>
          <t>https://mstgolf.co.th/products/gf2040120941</t>
        </is>
      </c>
      <c r="T3251" s="1">
        <f>IF(B3251="ไม้กอล์ฟ",J3251,"")</f>
        <v/>
      </c>
    </row>
    <row r="3252">
      <c r="A3252" s="1" t="n">
        <v>3</v>
      </c>
      <c r="B3252" s="1" t="inlineStr">
        <is>
          <t>เสื้อผ้า</t>
        </is>
      </c>
      <c r="C3252" s="1" t="inlineStr">
        <is>
          <t>gf2040120940</t>
        </is>
      </c>
      <c r="D3252" s="1" t="inlineStr">
        <is>
          <t>DISNEY Mickey Mouse Honeycomb Print Men's Polo (Black/White)</t>
        </is>
      </c>
      <c r="E3252" s="1" t="inlineStr">
        <is>
          <t>DISNEY</t>
        </is>
      </c>
      <c r="F3252" s="1" t="inlineStr">
        <is>
          <t>SHORT SLEEVES</t>
        </is>
      </c>
      <c r="G3252" s="1" t="inlineStr">
        <is>
          <t>GF2040120940S</t>
        </is>
      </c>
      <c r="H3252" s="1" t="n">
        <v>6</v>
      </c>
      <c r="I3252" s="1" t="inlineStr">
        <is>
          <t>มี</t>
        </is>
      </c>
      <c r="J3252" s="13" t="n">
        <v>65</v>
      </c>
      <c r="K3252" s="1" t="inlineStr"/>
      <c r="L3252" s="13" t="n">
        <v>65</v>
      </c>
      <c r="M3252" s="1">
        <f>IF(L3252="","ไม่พบใน SG",IF(ABS(J3252-L3252)&lt;0.005,"ตรงกัน","ไม่ตรง"))</f>
        <v/>
      </c>
      <c r="N3252" s="14">
        <f>IF(L3252="","",ROUND(L3252*'สรุป'!$C$6,-1))</f>
        <v/>
      </c>
      <c r="O3252" s="15" t="n"/>
      <c r="P3252" s="15" t="n"/>
      <c r="Q3252" s="10" t="n"/>
      <c r="R3252" s="10" t="n"/>
      <c r="S3252" s="16" t="inlineStr">
        <is>
          <t>https://mstgolf.co.th/products/gf2040120940</t>
        </is>
      </c>
      <c r="T3252" s="1">
        <f>IF(B3252="ไม้กอล์ฟ",J3252,"")</f>
        <v/>
      </c>
    </row>
    <row r="3253">
      <c r="A3253" s="1" t="n">
        <v>3</v>
      </c>
      <c r="B3253" s="1" t="inlineStr">
        <is>
          <t>เสื้อผ้า</t>
        </is>
      </c>
      <c r="C3253" s="1" t="inlineStr">
        <is>
          <t>gf2040120939</t>
        </is>
      </c>
      <c r="D3253" s="1" t="inlineStr">
        <is>
          <t>DISNEY Mickey Mouse Honeycomb Print Men's Polo (Blue/White)</t>
        </is>
      </c>
      <c r="E3253" s="1" t="inlineStr">
        <is>
          <t>DISNEY</t>
        </is>
      </c>
      <c r="F3253" s="1" t="inlineStr">
        <is>
          <t>SHORT SLEEVES</t>
        </is>
      </c>
      <c r="G3253" s="1" t="inlineStr">
        <is>
          <t>GF2040120939S</t>
        </is>
      </c>
      <c r="H3253" s="1" t="n">
        <v>6</v>
      </c>
      <c r="I3253" s="1" t="inlineStr">
        <is>
          <t>มี</t>
        </is>
      </c>
      <c r="J3253" s="13" t="n">
        <v>65</v>
      </c>
      <c r="K3253" s="1" t="inlineStr"/>
      <c r="L3253" s="13" t="n">
        <v>65</v>
      </c>
      <c r="M3253" s="1">
        <f>IF(L3253="","ไม่พบใน SG",IF(ABS(J3253-L3253)&lt;0.005,"ตรงกัน","ไม่ตรง"))</f>
        <v/>
      </c>
      <c r="N3253" s="14">
        <f>IF(L3253="","",ROUND(L3253*'สรุป'!$C$6,-1))</f>
        <v/>
      </c>
      <c r="O3253" s="15" t="n"/>
      <c r="P3253" s="15" t="n"/>
      <c r="Q3253" s="10" t="n"/>
      <c r="R3253" s="10" t="n"/>
      <c r="S3253" s="16" t="inlineStr">
        <is>
          <t>https://mstgolf.co.th/products/gf2040120939</t>
        </is>
      </c>
      <c r="T3253" s="1">
        <f>IF(B3253="ไม้กอล์ฟ",J3253,"")</f>
        <v/>
      </c>
    </row>
    <row r="3254">
      <c r="A3254" s="1" t="n">
        <v>3</v>
      </c>
      <c r="B3254" s="1" t="inlineStr">
        <is>
          <t>เสื้อผ้า</t>
        </is>
      </c>
      <c r="C3254" s="1" t="inlineStr">
        <is>
          <t>gf2040120945</t>
        </is>
      </c>
      <c r="D3254" s="1" t="inlineStr">
        <is>
          <t>DISNEY Mickey Mouse Plaid Print Women's Polo (White/Blue)</t>
        </is>
      </c>
      <c r="E3254" s="1" t="inlineStr">
        <is>
          <t>DISNEY</t>
        </is>
      </c>
      <c r="F3254" s="1" t="inlineStr">
        <is>
          <t>SHORT SLEEVES</t>
        </is>
      </c>
      <c r="G3254" s="1" t="inlineStr">
        <is>
          <t>GF2040120945S</t>
        </is>
      </c>
      <c r="H3254" s="1" t="n">
        <v>6</v>
      </c>
      <c r="I3254" s="1" t="inlineStr">
        <is>
          <t>มี</t>
        </is>
      </c>
      <c r="J3254" s="13" t="n">
        <v>65</v>
      </c>
      <c r="K3254" s="1" t="inlineStr"/>
      <c r="L3254" s="13" t="n"/>
      <c r="M3254" s="1">
        <f>IF(L3254="","ไม่พบใน SG",IF(ABS(J3254-L3254)&lt;0.005,"ตรงกัน","ไม่ตรง"))</f>
        <v/>
      </c>
      <c r="N3254" s="14">
        <f>IF(L3254="","",ROUND(L3254*'สรุป'!$C$6,-1))</f>
        <v/>
      </c>
      <c r="O3254" s="15" t="n"/>
      <c r="P3254" s="15" t="n"/>
      <c r="Q3254" s="10" t="n"/>
      <c r="R3254" s="10" t="n"/>
      <c r="S3254" s="16" t="inlineStr">
        <is>
          <t>https://mstgolf.co.th/products/gf2040120945</t>
        </is>
      </c>
      <c r="T3254" s="1">
        <f>IF(B3254="ไม้กอล์ฟ",J3254,"")</f>
        <v/>
      </c>
    </row>
    <row r="3255">
      <c r="A3255" s="1" t="n">
        <v>3</v>
      </c>
      <c r="B3255" s="1" t="inlineStr">
        <is>
          <t>เสื้อผ้า</t>
        </is>
      </c>
      <c r="C3255" s="1" t="inlineStr">
        <is>
          <t>gf2040115913</t>
        </is>
      </c>
      <c r="D3255" s="1" t="inlineStr">
        <is>
          <t>FOOTJOY Women's Mock Neck Polo (Navy)</t>
        </is>
      </c>
      <c r="E3255" s="1" t="inlineStr">
        <is>
          <t>FOOTJOY</t>
        </is>
      </c>
      <c r="F3255" s="1" t="inlineStr">
        <is>
          <t>SHORT SLEEVES</t>
        </is>
      </c>
      <c r="G3255" s="1" t="inlineStr">
        <is>
          <t>GF2040115913XS</t>
        </is>
      </c>
      <c r="H3255" s="1" t="n">
        <v>5</v>
      </c>
      <c r="I3255" s="1" t="inlineStr">
        <is>
          <t>มี</t>
        </is>
      </c>
      <c r="J3255" s="13" t="n">
        <v>65</v>
      </c>
      <c r="K3255" s="1" t="inlineStr"/>
      <c r="L3255" s="13" t="n">
        <v>49</v>
      </c>
      <c r="M3255" s="1">
        <f>IF(L3255="","ไม่พบใน SG",IF(ABS(J3255-L3255)&lt;0.005,"ตรงกัน","ไม่ตรง"))</f>
        <v/>
      </c>
      <c r="N3255" s="14">
        <f>IF(L3255="","",ROUND(L3255*'สรุป'!$C$6,-1))</f>
        <v/>
      </c>
      <c r="O3255" s="15" t="n"/>
      <c r="P3255" s="15" t="n"/>
      <c r="Q3255" s="10" t="n"/>
      <c r="R3255" s="10" t="n"/>
      <c r="S3255" s="16" t="inlineStr">
        <is>
          <t>https://mstgolf.co.th/products/gf2040115913</t>
        </is>
      </c>
      <c r="T3255" s="1">
        <f>IF(B3255="ไม้กอล์ฟ",J3255,"")</f>
        <v/>
      </c>
    </row>
    <row r="3256">
      <c r="A3256" s="1" t="n">
        <v>3</v>
      </c>
      <c r="B3256" s="1" t="inlineStr">
        <is>
          <t>เสื้อผ้า</t>
        </is>
      </c>
      <c r="C3256" s="1" t="inlineStr">
        <is>
          <t>gf2040114195</t>
        </is>
      </c>
      <c r="D3256" s="1" t="inlineStr">
        <is>
          <t>GFORE Essential Pique Men's Polo (Poppy)</t>
        </is>
      </c>
      <c r="E3256" s="1" t="inlineStr">
        <is>
          <t>GFORE</t>
        </is>
      </c>
      <c r="F3256" s="1" t="inlineStr">
        <is>
          <t>SHORT SLEEVES</t>
        </is>
      </c>
      <c r="G3256" s="1" t="inlineStr">
        <is>
          <t>GF2040114195XS</t>
        </is>
      </c>
      <c r="H3256" s="1" t="n">
        <v>6</v>
      </c>
      <c r="I3256" s="1" t="inlineStr">
        <is>
          <t>มี</t>
        </is>
      </c>
      <c r="J3256" s="13" t="n">
        <v>65</v>
      </c>
      <c r="K3256" s="1" t="inlineStr"/>
      <c r="L3256" s="13" t="n">
        <v>65</v>
      </c>
      <c r="M3256" s="1">
        <f>IF(L3256="","ไม่พบใน SG",IF(ABS(J3256-L3256)&lt;0.005,"ตรงกัน","ไม่ตรง"))</f>
        <v/>
      </c>
      <c r="N3256" s="14">
        <f>IF(L3256="","",ROUND(L3256*'สรุป'!$C$6,-1))</f>
        <v/>
      </c>
      <c r="O3256" s="15" t="n"/>
      <c r="P3256" s="15" t="n"/>
      <c r="Q3256" s="10" t="n"/>
      <c r="R3256" s="10" t="n"/>
      <c r="S3256" s="16" t="inlineStr">
        <is>
          <t>https://mstgolf.co.th/products/gf2040114195</t>
        </is>
      </c>
      <c r="T3256" s="1">
        <f>IF(B3256="ไม้กอล์ฟ",J3256,"")</f>
        <v/>
      </c>
    </row>
    <row r="3257">
      <c r="A3257" s="1" t="n">
        <v>3</v>
      </c>
      <c r="B3257" s="1" t="inlineStr">
        <is>
          <t>เสื้อผ้า</t>
        </is>
      </c>
      <c r="C3257" s="1" t="inlineStr">
        <is>
          <t>gf2020102577</t>
        </is>
      </c>
      <c r="D3257" s="1" t="inlineStr">
        <is>
          <t>LE COQ SPORTIF GOLF TWILL TAPERED PANTS</t>
        </is>
      </c>
      <c r="E3257" s="1" t="inlineStr">
        <is>
          <t>LE COQ SPORTIF GOLF</t>
        </is>
      </c>
      <c r="F3257" s="1" t="inlineStr">
        <is>
          <t>LONG PANTS</t>
        </is>
      </c>
      <c r="G3257" s="1" t="inlineStr">
        <is>
          <t>GF202010257776</t>
        </is>
      </c>
      <c r="H3257" s="1" t="n">
        <v>6</v>
      </c>
      <c r="I3257" s="1" t="inlineStr">
        <is>
          <t>มี</t>
        </is>
      </c>
      <c r="J3257" s="13" t="n">
        <v>65</v>
      </c>
      <c r="K3257" s="1" t="inlineStr"/>
      <c r="L3257" s="13" t="n">
        <v>65</v>
      </c>
      <c r="M3257" s="1">
        <f>IF(L3257="","ไม่พบใน SG",IF(ABS(J3257-L3257)&lt;0.005,"ตรงกัน","ไม่ตรง"))</f>
        <v/>
      </c>
      <c r="N3257" s="14">
        <f>IF(L3257="","",ROUND(L3257*'สรุป'!$C$6,-1))</f>
        <v/>
      </c>
      <c r="O3257" s="15" t="n"/>
      <c r="P3257" s="15" t="n"/>
      <c r="Q3257" s="10" t="n"/>
      <c r="R3257" s="10" t="n"/>
      <c r="S3257" s="16" t="inlineStr">
        <is>
          <t>https://mstgolf.co.th/products/gf2020102577</t>
        </is>
      </c>
      <c r="T3257" s="1">
        <f>IF(B3257="ไม้กอล์ฟ",J3257,"")</f>
        <v/>
      </c>
    </row>
    <row r="3258">
      <c r="A3258" s="1" t="n">
        <v>3</v>
      </c>
      <c r="B3258" s="1" t="inlineStr">
        <is>
          <t>เสื้อผ้า</t>
        </is>
      </c>
      <c r="C3258" s="1" t="inlineStr">
        <is>
          <t>gf2040115248</t>
        </is>
      </c>
      <c r="D3258" s="1" t="inlineStr">
        <is>
          <t>PETER MILLAR Aurora Performance Men's T-Shirt (Iron)</t>
        </is>
      </c>
      <c r="E3258" s="1" t="inlineStr">
        <is>
          <t>PETER MILLAR</t>
        </is>
      </c>
      <c r="F3258" s="1" t="inlineStr">
        <is>
          <t>SHORT SLEEVES</t>
        </is>
      </c>
      <c r="G3258" s="1" t="inlineStr">
        <is>
          <t>GF2040115248S</t>
        </is>
      </c>
      <c r="H3258" s="1" t="n">
        <v>5</v>
      </c>
      <c r="I3258" s="1" t="inlineStr">
        <is>
          <t>มี</t>
        </is>
      </c>
      <c r="J3258" s="13" t="n">
        <v>65</v>
      </c>
      <c r="K3258" s="1" t="inlineStr"/>
      <c r="L3258" s="13" t="n">
        <v>65</v>
      </c>
      <c r="M3258" s="1">
        <f>IF(L3258="","ไม่พบใน SG",IF(ABS(J3258-L3258)&lt;0.005,"ตรงกัน","ไม่ตรง"))</f>
        <v/>
      </c>
      <c r="N3258" s="14">
        <f>IF(L3258="","",ROUND(L3258*'สรุป'!$C$6,-1))</f>
        <v/>
      </c>
      <c r="O3258" s="15" t="n"/>
      <c r="P3258" s="15" t="n"/>
      <c r="Q3258" s="10" t="n"/>
      <c r="R3258" s="10" t="n"/>
      <c r="S3258" s="16" t="inlineStr">
        <is>
          <t>https://mstgolf.co.th/products/gf2040115248</t>
        </is>
      </c>
      <c r="T3258" s="1">
        <f>IF(B3258="ไม้กอล์ฟ",J3258,"")</f>
        <v/>
      </c>
    </row>
    <row r="3259">
      <c r="A3259" s="1" t="n">
        <v>3</v>
      </c>
      <c r="B3259" s="1" t="inlineStr">
        <is>
          <t>อุปกรณ์เสริม</t>
        </is>
      </c>
      <c r="C3259" s="1" t="inlineStr">
        <is>
          <t>gf2100200547</t>
        </is>
      </c>
      <c r="D3259" s="1" t="inlineStr">
        <is>
          <t>PING Tri-Fold Towel (Navy/Red)</t>
        </is>
      </c>
      <c r="E3259" s="1" t="inlineStr">
        <is>
          <t>PING</t>
        </is>
      </c>
      <c r="F3259" s="1" t="inlineStr">
        <is>
          <t>HAND/CLUB TOWEL</t>
        </is>
      </c>
      <c r="G3259" s="1" t="inlineStr">
        <is>
          <t>GF2100200547</t>
        </is>
      </c>
      <c r="H3259" s="1" t="n">
        <v>1</v>
      </c>
      <c r="I3259" s="1" t="inlineStr">
        <is>
          <t>มี</t>
        </is>
      </c>
      <c r="J3259" s="13" t="n">
        <v>65</v>
      </c>
      <c r="K3259" s="1" t="inlineStr"/>
      <c r="L3259" s="13" t="n">
        <v>65</v>
      </c>
      <c r="M3259" s="1">
        <f>IF(L3259="","ไม่พบใน SG",IF(ABS(J3259-L3259)&lt;0.005,"ตรงกัน","ไม่ตรง"))</f>
        <v/>
      </c>
      <c r="N3259" s="14">
        <f>IF(L3259="","",ROUND(L3259*'สรุป'!$C$6,-1))</f>
        <v/>
      </c>
      <c r="O3259" s="15" t="n"/>
      <c r="P3259" s="15" t="n"/>
      <c r="Q3259" s="10" t="n"/>
      <c r="R3259" s="10" t="n"/>
      <c r="S3259" s="16" t="inlineStr">
        <is>
          <t>https://mstgolf.co.th/products/gf2100200547</t>
        </is>
      </c>
      <c r="T3259" s="1">
        <f>IF(B3259="ไม้กอล์ฟ",J3259,"")</f>
        <v/>
      </c>
    </row>
    <row r="3260">
      <c r="A3260" s="1" t="n">
        <v>3</v>
      </c>
      <c r="B3260" s="1" t="inlineStr">
        <is>
          <t>เสื้อผ้า</t>
        </is>
      </c>
      <c r="C3260" s="1" t="inlineStr">
        <is>
          <t>gf2020202172</t>
        </is>
      </c>
      <c r="D3260" s="1" t="inlineStr">
        <is>
          <t>PUMA 4-Way Stretch Men's Shorts (Navy Blazer)</t>
        </is>
      </c>
      <c r="E3260" s="1" t="inlineStr">
        <is>
          <t>PUMA</t>
        </is>
      </c>
      <c r="F3260" s="1" t="inlineStr">
        <is>
          <t>SHORT PANTS</t>
        </is>
      </c>
      <c r="G3260" s="1" t="inlineStr">
        <is>
          <t>GF2020202172S</t>
        </is>
      </c>
      <c r="H3260" s="1" t="n">
        <v>5</v>
      </c>
      <c r="I3260" s="1" t="inlineStr">
        <is>
          <t>มี</t>
        </is>
      </c>
      <c r="J3260" s="13" t="n">
        <v>65</v>
      </c>
      <c r="K3260" s="1" t="inlineStr"/>
      <c r="L3260" s="13" t="n">
        <v>65</v>
      </c>
      <c r="M3260" s="1">
        <f>IF(L3260="","ไม่พบใน SG",IF(ABS(J3260-L3260)&lt;0.005,"ตรงกัน","ไม่ตรง"))</f>
        <v/>
      </c>
      <c r="N3260" s="14">
        <f>IF(L3260="","",ROUND(L3260*'สรุป'!$C$6,-1))</f>
        <v/>
      </c>
      <c r="O3260" s="15" t="n"/>
      <c r="P3260" s="15" t="n"/>
      <c r="Q3260" s="10" t="n"/>
      <c r="R3260" s="10" t="n"/>
      <c r="S3260" s="16" t="inlineStr">
        <is>
          <t>https://mstgolf.co.th/products/gf2020202172</t>
        </is>
      </c>
      <c r="T3260" s="1">
        <f>IF(B3260="ไม้กอล์ฟ",J3260,"")</f>
        <v/>
      </c>
    </row>
    <row r="3261">
      <c r="A3261" s="1" t="n">
        <v>3</v>
      </c>
      <c r="B3261" s="1" t="inlineStr">
        <is>
          <t>เสื้อผ้า</t>
        </is>
      </c>
      <c r="C3261" s="1" t="inlineStr">
        <is>
          <t>gf2020102024</t>
        </is>
      </c>
      <c r="D3261" s="1" t="inlineStr">
        <is>
          <t>PUMA Dealer 5-Pocket Men's Pants (Black)</t>
        </is>
      </c>
      <c r="E3261" s="1" t="inlineStr">
        <is>
          <t>PUMA</t>
        </is>
      </c>
      <c r="F3261" s="1" t="inlineStr">
        <is>
          <t>LONG PANTS</t>
        </is>
      </c>
      <c r="G3261" s="1" t="inlineStr">
        <is>
          <t>GF202010202428</t>
        </is>
      </c>
      <c r="H3261" s="1" t="n">
        <v>7</v>
      </c>
      <c r="I3261" s="1" t="inlineStr">
        <is>
          <t>มี</t>
        </is>
      </c>
      <c r="J3261" s="13" t="n">
        <v>65</v>
      </c>
      <c r="K3261" s="1" t="inlineStr"/>
      <c r="L3261" s="13" t="n">
        <v>65</v>
      </c>
      <c r="M3261" s="1">
        <f>IF(L3261="","ไม่พบใน SG",IF(ABS(J3261-L3261)&lt;0.005,"ตรงกัน","ไม่ตรง"))</f>
        <v/>
      </c>
      <c r="N3261" s="14">
        <f>IF(L3261="","",ROUND(L3261*'สรุป'!$C$6,-1))</f>
        <v/>
      </c>
      <c r="O3261" s="15" t="n"/>
      <c r="P3261" s="15" t="n"/>
      <c r="Q3261" s="10" t="n"/>
      <c r="R3261" s="10" t="n"/>
      <c r="S3261" s="16" t="inlineStr">
        <is>
          <t>https://mstgolf.co.th/products/gf2020102024</t>
        </is>
      </c>
      <c r="T3261" s="1">
        <f>IF(B3261="ไม้กอล์ฟ",J3261,"")</f>
        <v/>
      </c>
    </row>
    <row r="3262">
      <c r="A3262" s="1" t="n">
        <v>3</v>
      </c>
      <c r="B3262" s="1" t="inlineStr">
        <is>
          <t>เสื้อผ้า</t>
        </is>
      </c>
      <c r="C3262" s="1" t="inlineStr">
        <is>
          <t>gf2020102025</t>
        </is>
      </c>
      <c r="D3262" s="1" t="inlineStr">
        <is>
          <t>PUMA Dealer 5-Pocket Men's Pants (Slate Sky)</t>
        </is>
      </c>
      <c r="E3262" s="1" t="inlineStr">
        <is>
          <t>PUMA</t>
        </is>
      </c>
      <c r="F3262" s="1" t="inlineStr">
        <is>
          <t>LONG PANTS</t>
        </is>
      </c>
      <c r="G3262" s="1" t="inlineStr">
        <is>
          <t>GF202010202528</t>
        </is>
      </c>
      <c r="H3262" s="1" t="n">
        <v>7</v>
      </c>
      <c r="I3262" s="1" t="inlineStr">
        <is>
          <t>มี</t>
        </is>
      </c>
      <c r="J3262" s="13" t="n">
        <v>65</v>
      </c>
      <c r="K3262" s="1" t="inlineStr"/>
      <c r="L3262" s="13" t="n">
        <v>65</v>
      </c>
      <c r="M3262" s="1">
        <f>IF(L3262="","ไม่พบใน SG",IF(ABS(J3262-L3262)&lt;0.005,"ตรงกัน","ไม่ตรง"))</f>
        <v/>
      </c>
      <c r="N3262" s="14">
        <f>IF(L3262="","",ROUND(L3262*'สรุป'!$C$6,-1))</f>
        <v/>
      </c>
      <c r="O3262" s="15" t="n"/>
      <c r="P3262" s="15" t="n"/>
      <c r="Q3262" s="10" t="n"/>
      <c r="R3262" s="10" t="n"/>
      <c r="S3262" s="16" t="inlineStr">
        <is>
          <t>https://mstgolf.co.th/products/gf2020102025</t>
        </is>
      </c>
      <c r="T3262" s="1">
        <f>IF(B3262="ไม้กอล์ฟ",J3262,"")</f>
        <v/>
      </c>
    </row>
    <row r="3263">
      <c r="A3263" s="1" t="n">
        <v>3</v>
      </c>
      <c r="B3263" s="1" t="inlineStr">
        <is>
          <t>เสื้อผ้า</t>
        </is>
      </c>
      <c r="C3263" s="1" t="inlineStr">
        <is>
          <t>gf2040117459</t>
        </is>
      </c>
      <c r="D3263" s="1" t="inlineStr">
        <is>
          <t>PUMA Japan Stretch Pique Monogram Men's Polo (Alabaster)</t>
        </is>
      </c>
      <c r="E3263" s="1" t="inlineStr">
        <is>
          <t>PUMA</t>
        </is>
      </c>
      <c r="F3263" s="1" t="inlineStr">
        <is>
          <t>SHORT SLEEVES</t>
        </is>
      </c>
      <c r="G3263" s="1" t="inlineStr">
        <is>
          <t>GF2040117459S</t>
        </is>
      </c>
      <c r="H3263" s="1" t="n">
        <v>5</v>
      </c>
      <c r="I3263" s="1" t="inlineStr">
        <is>
          <t>มี</t>
        </is>
      </c>
      <c r="J3263" s="13" t="n">
        <v>65</v>
      </c>
      <c r="K3263" s="1" t="inlineStr"/>
      <c r="L3263" s="13" t="n">
        <v>65</v>
      </c>
      <c r="M3263" s="1">
        <f>IF(L3263="","ไม่พบใน SG",IF(ABS(J3263-L3263)&lt;0.005,"ตรงกัน","ไม่ตรง"))</f>
        <v/>
      </c>
      <c r="N3263" s="14">
        <f>IF(L3263="","",ROUND(L3263*'สรุป'!$C$6,-1))</f>
        <v/>
      </c>
      <c r="O3263" s="15" t="n"/>
      <c r="P3263" s="15" t="n"/>
      <c r="Q3263" s="10" t="n"/>
      <c r="R3263" s="10" t="n"/>
      <c r="S3263" s="16" t="inlineStr">
        <is>
          <t>https://mstgolf.co.th/products/gf2040117459</t>
        </is>
      </c>
      <c r="T3263" s="1">
        <f>IF(B3263="ไม้กอล์ฟ",J3263,"")</f>
        <v/>
      </c>
    </row>
    <row r="3264">
      <c r="A3264" s="1" t="n">
        <v>3</v>
      </c>
      <c r="B3264" s="1" t="inlineStr">
        <is>
          <t>เสื้อผ้า</t>
        </is>
      </c>
      <c r="C3264" s="1" t="inlineStr">
        <is>
          <t>gf2040117460</t>
        </is>
      </c>
      <c r="D3264" s="1" t="inlineStr">
        <is>
          <t>PUMA Japan Stretch Pique Monogram Men's Polo (Dew Drop)</t>
        </is>
      </c>
      <c r="E3264" s="1" t="inlineStr">
        <is>
          <t>PUMA</t>
        </is>
      </c>
      <c r="F3264" s="1" t="inlineStr">
        <is>
          <t>SHORT SLEEVES</t>
        </is>
      </c>
      <c r="G3264" s="1" t="inlineStr">
        <is>
          <t>GF2040117460S</t>
        </is>
      </c>
      <c r="H3264" s="1" t="n">
        <v>5</v>
      </c>
      <c r="I3264" s="1" t="inlineStr">
        <is>
          <t>มี</t>
        </is>
      </c>
      <c r="J3264" s="13" t="n">
        <v>65</v>
      </c>
      <c r="K3264" s="1" t="inlineStr"/>
      <c r="L3264" s="13" t="n">
        <v>65</v>
      </c>
      <c r="M3264" s="1">
        <f>IF(L3264="","ไม่พบใน SG",IF(ABS(J3264-L3264)&lt;0.005,"ตรงกัน","ไม่ตรง"))</f>
        <v/>
      </c>
      <c r="N3264" s="14">
        <f>IF(L3264="","",ROUND(L3264*'สรุป'!$C$6,-1))</f>
        <v/>
      </c>
      <c r="O3264" s="15" t="n"/>
      <c r="P3264" s="15" t="n"/>
      <c r="Q3264" s="10" t="n"/>
      <c r="R3264" s="10" t="n"/>
      <c r="S3264" s="16" t="inlineStr">
        <is>
          <t>https://mstgolf.co.th/products/gf2040117460</t>
        </is>
      </c>
      <c r="T3264" s="1">
        <f>IF(B3264="ไม้กอล์ฟ",J3264,"")</f>
        <v/>
      </c>
    </row>
    <row r="3265">
      <c r="A3265" s="1" t="n">
        <v>3</v>
      </c>
      <c r="B3265" s="1" t="inlineStr">
        <is>
          <t>เสื้อผ้า</t>
        </is>
      </c>
      <c r="C3265" s="1" t="inlineStr">
        <is>
          <t>gf2040115908</t>
        </is>
      </c>
      <c r="D3265" s="1" t="inlineStr">
        <is>
          <t>PUMA Random Graphic Men's Polo (Vine)</t>
        </is>
      </c>
      <c r="E3265" s="1" t="inlineStr">
        <is>
          <t>PUMA</t>
        </is>
      </c>
      <c r="F3265" s="1" t="inlineStr">
        <is>
          <t>SHORT SLEEVES</t>
        </is>
      </c>
      <c r="G3265" s="1" t="inlineStr">
        <is>
          <t>GF2040115908S</t>
        </is>
      </c>
      <c r="H3265" s="1" t="n">
        <v>5</v>
      </c>
      <c r="I3265" s="1" t="inlineStr">
        <is>
          <t>มี</t>
        </is>
      </c>
      <c r="J3265" s="13" t="n">
        <v>65</v>
      </c>
      <c r="K3265" s="1" t="inlineStr"/>
      <c r="L3265" s="13" t="n">
        <v>65</v>
      </c>
      <c r="M3265" s="1">
        <f>IF(L3265="","ไม่พบใน SG",IF(ABS(J3265-L3265)&lt;0.005,"ตรงกัน","ไม่ตรง"))</f>
        <v/>
      </c>
      <c r="N3265" s="14">
        <f>IF(L3265="","",ROUND(L3265*'สรุป'!$C$6,-1))</f>
        <v/>
      </c>
      <c r="O3265" s="15" t="n"/>
      <c r="P3265" s="15" t="n"/>
      <c r="Q3265" s="10" t="n"/>
      <c r="R3265" s="10" t="n"/>
      <c r="S3265" s="16" t="inlineStr">
        <is>
          <t>https://mstgolf.co.th/products/gf2040115908</t>
        </is>
      </c>
      <c r="T3265" s="1">
        <f>IF(B3265="ไม้กอล์ฟ",J3265,"")</f>
        <v/>
      </c>
    </row>
    <row r="3266">
      <c r="A3266" s="1" t="n">
        <v>3</v>
      </c>
      <c r="B3266" s="1" t="inlineStr">
        <is>
          <t>เสื้อผ้า</t>
        </is>
      </c>
      <c r="C3266" s="1" t="inlineStr">
        <is>
          <t>gf2040115895</t>
        </is>
      </c>
      <c r="D3266" s="1" t="inlineStr">
        <is>
          <t>PUMA Rib Mock Neck Men's Shirt (Tropcial Aqua)</t>
        </is>
      </c>
      <c r="E3266" s="1" t="inlineStr">
        <is>
          <t>PUMA</t>
        </is>
      </c>
      <c r="F3266" s="1" t="inlineStr">
        <is>
          <t>SHORT SLEEVES</t>
        </is>
      </c>
      <c r="G3266" s="1" t="inlineStr">
        <is>
          <t>GF2040115895S</t>
        </is>
      </c>
      <c r="H3266" s="1" t="n">
        <v>5</v>
      </c>
      <c r="I3266" s="1" t="inlineStr">
        <is>
          <t>มี</t>
        </is>
      </c>
      <c r="J3266" s="13" t="n">
        <v>65</v>
      </c>
      <c r="K3266" s="1" t="inlineStr"/>
      <c r="L3266" s="13" t="n">
        <v>65</v>
      </c>
      <c r="M3266" s="1">
        <f>IF(L3266="","ไม่พบใน SG",IF(ABS(J3266-L3266)&lt;0.005,"ตรงกัน","ไม่ตรง"))</f>
        <v/>
      </c>
      <c r="N3266" s="14">
        <f>IF(L3266="","",ROUND(L3266*'สรุป'!$C$6,-1))</f>
        <v/>
      </c>
      <c r="O3266" s="15" t="n"/>
      <c r="P3266" s="15" t="n"/>
      <c r="Q3266" s="10" t="n"/>
      <c r="R3266" s="10" t="n"/>
      <c r="S3266" s="16" t="inlineStr">
        <is>
          <t>https://mstgolf.co.th/products/gf2040115895</t>
        </is>
      </c>
      <c r="T3266" s="1">
        <f>IF(B3266="ไม้กอล์ฟ",J3266,"")</f>
        <v/>
      </c>
    </row>
    <row r="3267">
      <c r="A3267" s="1" t="n">
        <v>3</v>
      </c>
      <c r="B3267" s="1" t="inlineStr">
        <is>
          <t>เสื้อผ้า</t>
        </is>
      </c>
      <c r="C3267" s="1" t="inlineStr">
        <is>
          <t>gf2070400189</t>
        </is>
      </c>
      <c r="D3267" s="1" t="inlineStr">
        <is>
          <t>SPARMS Sun Protection Shoulder Wrap (Black)</t>
        </is>
      </c>
      <c r="E3267" s="1" t="inlineStr">
        <is>
          <t>SPARMS</t>
        </is>
      </c>
      <c r="F3267" s="1" t="inlineStr">
        <is>
          <t>SHIRT</t>
        </is>
      </c>
      <c r="G3267" s="1" t="inlineStr">
        <is>
          <t>GF2070400189XS</t>
        </is>
      </c>
      <c r="H3267" s="1" t="n">
        <v>6</v>
      </c>
      <c r="I3267" s="1" t="inlineStr">
        <is>
          <t>มี</t>
        </is>
      </c>
      <c r="J3267" s="13" t="n">
        <v>65</v>
      </c>
      <c r="K3267" s="1" t="inlineStr"/>
      <c r="L3267" s="13" t="n">
        <v>65</v>
      </c>
      <c r="M3267" s="1">
        <f>IF(L3267="","ไม่พบใน SG",IF(ABS(J3267-L3267)&lt;0.005,"ตรงกัน","ไม่ตรง"))</f>
        <v/>
      </c>
      <c r="N3267" s="14">
        <f>IF(L3267="","",ROUND(L3267*'สรุป'!$C$6,-1))</f>
        <v/>
      </c>
      <c r="O3267" s="15" t="n"/>
      <c r="P3267" s="15" t="n"/>
      <c r="Q3267" s="10" t="n"/>
      <c r="R3267" s="10" t="n"/>
      <c r="S3267" s="16" t="inlineStr">
        <is>
          <t>https://mstgolf.co.th/products/gf2070400189</t>
        </is>
      </c>
      <c r="T3267" s="1">
        <f>IF(B3267="ไม้กอล์ฟ",J3267,"")</f>
        <v/>
      </c>
    </row>
    <row r="3268">
      <c r="A3268" s="1" t="n">
        <v>3</v>
      </c>
      <c r="B3268" s="1" t="inlineStr">
        <is>
          <t>เสื้อผ้า</t>
        </is>
      </c>
      <c r="C3268" s="1" t="inlineStr">
        <is>
          <t>gf2070400190</t>
        </is>
      </c>
      <c r="D3268" s="1" t="inlineStr">
        <is>
          <t>SPARMS Sun Protection Shoulder Wrap (Latte)</t>
        </is>
      </c>
      <c r="E3268" s="1" t="inlineStr">
        <is>
          <t>SPARMS</t>
        </is>
      </c>
      <c r="F3268" s="1" t="inlineStr">
        <is>
          <t>SHIRT</t>
        </is>
      </c>
      <c r="G3268" s="1" t="inlineStr">
        <is>
          <t>GF2070400190XS</t>
        </is>
      </c>
      <c r="H3268" s="1" t="n">
        <v>6</v>
      </c>
      <c r="I3268" s="1" t="inlineStr">
        <is>
          <t>มี</t>
        </is>
      </c>
      <c r="J3268" s="13" t="n">
        <v>65</v>
      </c>
      <c r="K3268" s="1" t="inlineStr"/>
      <c r="L3268" s="13" t="n">
        <v>65</v>
      </c>
      <c r="M3268" s="1">
        <f>IF(L3268="","ไม่พบใน SG",IF(ABS(J3268-L3268)&lt;0.005,"ตรงกัน","ไม่ตรง"))</f>
        <v/>
      </c>
      <c r="N3268" s="14">
        <f>IF(L3268="","",ROUND(L3268*'สรุป'!$C$6,-1))</f>
        <v/>
      </c>
      <c r="O3268" s="15" t="n"/>
      <c r="P3268" s="15" t="n"/>
      <c r="Q3268" s="10" t="n"/>
      <c r="R3268" s="10" t="n"/>
      <c r="S3268" s="16" t="inlineStr">
        <is>
          <t>https://mstgolf.co.th/products/gf2070400190</t>
        </is>
      </c>
      <c r="T3268" s="1">
        <f>IF(B3268="ไม้กอล์ฟ",J3268,"")</f>
        <v/>
      </c>
    </row>
    <row r="3269">
      <c r="A3269" s="1" t="n">
        <v>3</v>
      </c>
      <c r="B3269" s="1" t="inlineStr">
        <is>
          <t>เสื้อผ้า</t>
        </is>
      </c>
      <c r="C3269" s="1" t="inlineStr">
        <is>
          <t>gf2070400188</t>
        </is>
      </c>
      <c r="D3269" s="1" t="inlineStr">
        <is>
          <t>SPARMS Sun Protection Shoulder Wrap (White)</t>
        </is>
      </c>
      <c r="E3269" s="1" t="inlineStr">
        <is>
          <t>SPARMS</t>
        </is>
      </c>
      <c r="F3269" s="1" t="inlineStr">
        <is>
          <t>SHIRT</t>
        </is>
      </c>
      <c r="G3269" s="1" t="inlineStr">
        <is>
          <t>GF2070400188XS</t>
        </is>
      </c>
      <c r="H3269" s="1" t="n">
        <v>6</v>
      </c>
      <c r="I3269" s="1" t="inlineStr">
        <is>
          <t>มี</t>
        </is>
      </c>
      <c r="J3269" s="13" t="n">
        <v>65</v>
      </c>
      <c r="K3269" s="1" t="inlineStr"/>
      <c r="L3269" s="13" t="n">
        <v>65</v>
      </c>
      <c r="M3269" s="1">
        <f>IF(L3269="","ไม่พบใน SG",IF(ABS(J3269-L3269)&lt;0.005,"ตรงกัน","ไม่ตรง"))</f>
        <v/>
      </c>
      <c r="N3269" s="14">
        <f>IF(L3269="","",ROUND(L3269*'สรุป'!$C$6,-1))</f>
        <v/>
      </c>
      <c r="O3269" s="15" t="n"/>
      <c r="P3269" s="15" t="n"/>
      <c r="Q3269" s="10" t="n"/>
      <c r="R3269" s="10" t="n"/>
      <c r="S3269" s="16" t="inlineStr">
        <is>
          <t>https://mstgolf.co.th/products/gf2070400188</t>
        </is>
      </c>
      <c r="T3269" s="1">
        <f>IF(B3269="ไม้กอล์ฟ",J3269,"")</f>
        <v/>
      </c>
    </row>
    <row r="3270">
      <c r="A3270" s="1" t="n">
        <v>3</v>
      </c>
      <c r="B3270" s="1" t="inlineStr">
        <is>
          <t>เสื้อผ้า</t>
        </is>
      </c>
      <c r="C3270" s="1" t="inlineStr">
        <is>
          <t>gf2020201775</t>
        </is>
      </c>
      <c r="D3270" s="1" t="inlineStr">
        <is>
          <t>UNDER ARMOUR LINKS Printed Skort (Pink Sands)</t>
        </is>
      </c>
      <c r="E3270" s="1" t="inlineStr">
        <is>
          <t>UNDER ARMOUR</t>
        </is>
      </c>
      <c r="F3270" s="1" t="inlineStr">
        <is>
          <t>SHORT PANTS</t>
        </is>
      </c>
      <c r="G3270" s="1" t="inlineStr">
        <is>
          <t>GF20202017752</t>
        </is>
      </c>
      <c r="H3270" s="1" t="n">
        <v>6</v>
      </c>
      <c r="I3270" s="1" t="inlineStr">
        <is>
          <t>มี</t>
        </is>
      </c>
      <c r="J3270" s="13" t="n">
        <v>65</v>
      </c>
      <c r="K3270" s="1" t="inlineStr"/>
      <c r="L3270" s="13" t="n">
        <v>45</v>
      </c>
      <c r="M3270" s="1">
        <f>IF(L3270="","ไม่พบใน SG",IF(ABS(J3270-L3270)&lt;0.005,"ตรงกัน","ไม่ตรง"))</f>
        <v/>
      </c>
      <c r="N3270" s="14">
        <f>IF(L3270="","",ROUND(L3270*'สรุป'!$C$6,-1))</f>
        <v/>
      </c>
      <c r="O3270" s="15" t="n"/>
      <c r="P3270" s="15" t="n"/>
      <c r="Q3270" s="10" t="n"/>
      <c r="R3270" s="10" t="n"/>
      <c r="S3270" s="16" t="inlineStr">
        <is>
          <t>https://mstgolf.co.th/products/gf2020201775</t>
        </is>
      </c>
      <c r="T3270" s="1">
        <f>IF(B3270="ไม้กอล์ฟ",J3270,"")</f>
        <v/>
      </c>
    </row>
    <row r="3271">
      <c r="A3271" s="1" t="n">
        <v>3</v>
      </c>
      <c r="B3271" s="1" t="inlineStr">
        <is>
          <t>เสื้อผ้า</t>
        </is>
      </c>
      <c r="C3271" s="1" t="inlineStr">
        <is>
          <t>gf2020201774</t>
        </is>
      </c>
      <c r="D3271" s="1" t="inlineStr">
        <is>
          <t>UNDER ARMOUR LINKS Printed Skort (Sea Mist)</t>
        </is>
      </c>
      <c r="E3271" s="1" t="inlineStr">
        <is>
          <t>UNDER ARMOUR</t>
        </is>
      </c>
      <c r="F3271" s="1" t="inlineStr">
        <is>
          <t>SHORT PANTS</t>
        </is>
      </c>
      <c r="G3271" s="1" t="inlineStr">
        <is>
          <t>GF20202017742</t>
        </is>
      </c>
      <c r="H3271" s="1" t="n">
        <v>6</v>
      </c>
      <c r="I3271" s="1" t="inlineStr">
        <is>
          <t>มี</t>
        </is>
      </c>
      <c r="J3271" s="13" t="n">
        <v>65</v>
      </c>
      <c r="K3271" s="1" t="inlineStr"/>
      <c r="L3271" s="13" t="n">
        <v>45</v>
      </c>
      <c r="M3271" s="1">
        <f>IF(L3271="","ไม่พบใน SG",IF(ABS(J3271-L3271)&lt;0.005,"ตรงกัน","ไม่ตรง"))</f>
        <v/>
      </c>
      <c r="N3271" s="14">
        <f>IF(L3271="","",ROUND(L3271*'สรุป'!$C$6,-1))</f>
        <v/>
      </c>
      <c r="O3271" s="15" t="n"/>
      <c r="P3271" s="15" t="n"/>
      <c r="Q3271" s="10" t="n"/>
      <c r="R3271" s="10" t="n"/>
      <c r="S3271" s="16" t="inlineStr">
        <is>
          <t>https://mstgolf.co.th/products/gf2020201774</t>
        </is>
      </c>
      <c r="T3271" s="1">
        <f>IF(B3271="ไม้กอล์ฟ",J3271,"")</f>
        <v/>
      </c>
    </row>
    <row r="3272">
      <c r="A3272" s="1" t="n">
        <v>3</v>
      </c>
      <c r="B3272" s="1" t="inlineStr">
        <is>
          <t>เสื้อผ้า</t>
        </is>
      </c>
      <c r="C3272" s="1" t="inlineStr">
        <is>
          <t>gf2020101794</t>
        </is>
      </c>
      <c r="D3272" s="1" t="inlineStr">
        <is>
          <t>UNDER ARMOUR Links Women's Pants (Midnight Navy)</t>
        </is>
      </c>
      <c r="E3272" s="1" t="inlineStr">
        <is>
          <t>UNDER ARMOUR</t>
        </is>
      </c>
      <c r="F3272" s="1" t="inlineStr">
        <is>
          <t>LONG PANTS</t>
        </is>
      </c>
      <c r="G3272" s="1" t="inlineStr">
        <is>
          <t>GF20201017942</t>
        </is>
      </c>
      <c r="H3272" s="1" t="n">
        <v>5</v>
      </c>
      <c r="I3272" s="1" t="inlineStr">
        <is>
          <t>มี</t>
        </is>
      </c>
      <c r="J3272" s="13" t="n">
        <v>65</v>
      </c>
      <c r="K3272" s="1" t="inlineStr"/>
      <c r="L3272" s="13" t="n">
        <v>45</v>
      </c>
      <c r="M3272" s="1">
        <f>IF(L3272="","ไม่พบใน SG",IF(ABS(J3272-L3272)&lt;0.005,"ตรงกัน","ไม่ตรง"))</f>
        <v/>
      </c>
      <c r="N3272" s="14">
        <f>IF(L3272="","",ROUND(L3272*'สรุป'!$C$6,-1))</f>
        <v/>
      </c>
      <c r="O3272" s="15" t="n"/>
      <c r="P3272" s="15" t="n"/>
      <c r="Q3272" s="10" t="n"/>
      <c r="R3272" s="10" t="n"/>
      <c r="S3272" s="16" t="inlineStr">
        <is>
          <t>https://mstgolf.co.th/products/gf2020101794</t>
        </is>
      </c>
      <c r="T3272" s="1">
        <f>IF(B3272="ไม้กอล์ฟ",J3272,"")</f>
        <v/>
      </c>
    </row>
    <row r="3273">
      <c r="A3273" s="1" t="n">
        <v>3</v>
      </c>
      <c r="B3273" s="1" t="inlineStr">
        <is>
          <t>เสื้อผ้า</t>
        </is>
      </c>
      <c r="C3273" s="1" t="inlineStr">
        <is>
          <t>gf2040115877</t>
        </is>
      </c>
      <c r="D3273" s="1" t="inlineStr">
        <is>
          <t>UNDER ARMOUR Performance 3.0 Deuces Men's Polo (Static Blue)</t>
        </is>
      </c>
      <c r="E3273" s="1" t="inlineStr">
        <is>
          <t>UNDER ARMOUR</t>
        </is>
      </c>
      <c r="F3273" s="1" t="inlineStr">
        <is>
          <t>SHORT SLEEVES</t>
        </is>
      </c>
      <c r="G3273" s="1" t="inlineStr">
        <is>
          <t>GF2040115877S</t>
        </is>
      </c>
      <c r="H3273" s="1" t="n">
        <v>5</v>
      </c>
      <c r="I3273" s="1" t="inlineStr">
        <is>
          <t>มี</t>
        </is>
      </c>
      <c r="J3273" s="13" t="n">
        <v>65</v>
      </c>
      <c r="K3273" s="1" t="inlineStr"/>
      <c r="L3273" s="13" t="n">
        <v>35</v>
      </c>
      <c r="M3273" s="1">
        <f>IF(L3273="","ไม่พบใน SG",IF(ABS(J3273-L3273)&lt;0.005,"ตรงกัน","ไม่ตรง"))</f>
        <v/>
      </c>
      <c r="N3273" s="14">
        <f>IF(L3273="","",ROUND(L3273*'สรุป'!$C$6,-1))</f>
        <v/>
      </c>
      <c r="O3273" s="15" t="n"/>
      <c r="P3273" s="15" t="n"/>
      <c r="Q3273" s="10" t="n"/>
      <c r="R3273" s="10" t="n"/>
      <c r="S3273" s="16" t="inlineStr">
        <is>
          <t>https://mstgolf.co.th/products/gf2040115877</t>
        </is>
      </c>
      <c r="T3273" s="1">
        <f>IF(B3273="ไม้กอล์ฟ",J3273,"")</f>
        <v/>
      </c>
    </row>
    <row r="3274">
      <c r="A3274" s="1" t="n">
        <v>3</v>
      </c>
      <c r="B3274" s="1" t="inlineStr">
        <is>
          <t>เสื้อผ้า</t>
        </is>
      </c>
      <c r="C3274" s="1" t="inlineStr">
        <is>
          <t>gf2040117226</t>
        </is>
      </c>
      <c r="D3274" s="1" t="inlineStr">
        <is>
          <t>UNDER ARMOUR Playoff 3.0 Coral Jacquard Men's Polo (Matrix Green)</t>
        </is>
      </c>
      <c r="E3274" s="1" t="inlineStr">
        <is>
          <t>UNDER ARMOUR</t>
        </is>
      </c>
      <c r="F3274" s="1" t="inlineStr">
        <is>
          <t>SHORT SLEEVES</t>
        </is>
      </c>
      <c r="G3274" s="1" t="inlineStr">
        <is>
          <t>GF2040117226S</t>
        </is>
      </c>
      <c r="H3274" s="1" t="n">
        <v>5</v>
      </c>
      <c r="I3274" s="1" t="inlineStr">
        <is>
          <t>มี</t>
        </is>
      </c>
      <c r="J3274" s="13" t="n">
        <v>65</v>
      </c>
      <c r="K3274" s="1" t="inlineStr"/>
      <c r="L3274" s="13" t="n">
        <v>65</v>
      </c>
      <c r="M3274" s="1">
        <f>IF(L3274="","ไม่พบใน SG",IF(ABS(J3274-L3274)&lt;0.005,"ตรงกัน","ไม่ตรง"))</f>
        <v/>
      </c>
      <c r="N3274" s="14">
        <f>IF(L3274="","",ROUND(L3274*'สรุป'!$C$6,-1))</f>
        <v/>
      </c>
      <c r="O3274" s="15" t="n"/>
      <c r="P3274" s="15" t="n"/>
      <c r="Q3274" s="10" t="n"/>
      <c r="R3274" s="10" t="n"/>
      <c r="S3274" s="16" t="inlineStr">
        <is>
          <t>https://mstgolf.co.th/products/gf2040117226</t>
        </is>
      </c>
      <c r="T3274" s="1">
        <f>IF(B3274="ไม้กอล์ฟ",J3274,"")</f>
        <v/>
      </c>
    </row>
    <row r="3275">
      <c r="A3275" s="1" t="n">
        <v>3</v>
      </c>
      <c r="B3275" s="1" t="inlineStr">
        <is>
          <t>เสื้อผ้า</t>
        </is>
      </c>
      <c r="C3275" s="1" t="inlineStr">
        <is>
          <t>gf2040117228</t>
        </is>
      </c>
      <c r="D3275" s="1" t="inlineStr">
        <is>
          <t>UNDER ARMOUR Playoff 3.0 Coral Jacquard Men's Polo (Red)</t>
        </is>
      </c>
      <c r="E3275" s="1" t="inlineStr">
        <is>
          <t>UNDER ARMOUR</t>
        </is>
      </c>
      <c r="F3275" s="1" t="inlineStr">
        <is>
          <t>SHORT SLEEVES</t>
        </is>
      </c>
      <c r="G3275" s="1" t="inlineStr">
        <is>
          <t>GF2040117228S</t>
        </is>
      </c>
      <c r="H3275" s="1" t="n">
        <v>5</v>
      </c>
      <c r="I3275" s="1" t="inlineStr">
        <is>
          <t>มี</t>
        </is>
      </c>
      <c r="J3275" s="13" t="n">
        <v>65</v>
      </c>
      <c r="K3275" s="1" t="inlineStr"/>
      <c r="L3275" s="13" t="n">
        <v>65</v>
      </c>
      <c r="M3275" s="1">
        <f>IF(L3275="","ไม่พบใน SG",IF(ABS(J3275-L3275)&lt;0.005,"ตรงกัน","ไม่ตรง"))</f>
        <v/>
      </c>
      <c r="N3275" s="14">
        <f>IF(L3275="","",ROUND(L3275*'สรุป'!$C$6,-1))</f>
        <v/>
      </c>
      <c r="O3275" s="15" t="n"/>
      <c r="P3275" s="15" t="n"/>
      <c r="Q3275" s="10" t="n"/>
      <c r="R3275" s="10" t="n"/>
      <c r="S3275" s="16" t="inlineStr">
        <is>
          <t>https://mstgolf.co.th/products/gf2040117228</t>
        </is>
      </c>
      <c r="T3275" s="1">
        <f>IF(B3275="ไม้กอล์ฟ",J3275,"")</f>
        <v/>
      </c>
    </row>
    <row r="3276">
      <c r="A3276" s="1" t="n">
        <v>3</v>
      </c>
      <c r="B3276" s="1" t="inlineStr">
        <is>
          <t>เสื้อผ้า</t>
        </is>
      </c>
      <c r="C3276" s="1" t="inlineStr">
        <is>
          <t>gf2040118384</t>
        </is>
      </c>
      <c r="D3276" s="1" t="inlineStr">
        <is>
          <t>UNDER ARMOUR Playoff 3.0 Digi Jacquard Women's Polo (Navy)</t>
        </is>
      </c>
      <c r="E3276" s="1" t="inlineStr">
        <is>
          <t>UNDER ARMOUR</t>
        </is>
      </c>
      <c r="F3276" s="1" t="inlineStr">
        <is>
          <t>SHORT SLEEVES</t>
        </is>
      </c>
      <c r="G3276" s="1" t="inlineStr">
        <is>
          <t>GF2040118384XS</t>
        </is>
      </c>
      <c r="H3276" s="1" t="n">
        <v>5</v>
      </c>
      <c r="I3276" s="1" t="inlineStr">
        <is>
          <t>มี</t>
        </is>
      </c>
      <c r="J3276" s="13" t="n">
        <v>65</v>
      </c>
      <c r="K3276" s="1" t="inlineStr"/>
      <c r="L3276" s="13" t="n">
        <v>65</v>
      </c>
      <c r="M3276" s="1">
        <f>IF(L3276="","ไม่พบใน SG",IF(ABS(J3276-L3276)&lt;0.005,"ตรงกัน","ไม่ตรง"))</f>
        <v/>
      </c>
      <c r="N3276" s="14">
        <f>IF(L3276="","",ROUND(L3276*'สรุป'!$C$6,-1))</f>
        <v/>
      </c>
      <c r="O3276" s="15" t="n"/>
      <c r="P3276" s="15" t="n"/>
      <c r="Q3276" s="10" t="n"/>
      <c r="R3276" s="10" t="n"/>
      <c r="S3276" s="16" t="inlineStr">
        <is>
          <t>https://mstgolf.co.th/products/gf2040118384</t>
        </is>
      </c>
      <c r="T3276" s="1">
        <f>IF(B3276="ไม้กอล์ฟ",J3276,"")</f>
        <v/>
      </c>
    </row>
    <row r="3277">
      <c r="A3277" s="1" t="n">
        <v>3</v>
      </c>
      <c r="B3277" s="1" t="inlineStr">
        <is>
          <t>เสื้อผ้า</t>
        </is>
      </c>
      <c r="C3277" s="1" t="inlineStr">
        <is>
          <t>gf2040118385</t>
        </is>
      </c>
      <c r="D3277" s="1" t="inlineStr">
        <is>
          <t>UNDER ARMOUR Playoff 3.0 Printed Women's Polo (Tech Blue)</t>
        </is>
      </c>
      <c r="E3277" s="1" t="inlineStr">
        <is>
          <t>UNDER ARMOUR</t>
        </is>
      </c>
      <c r="F3277" s="1" t="inlineStr">
        <is>
          <t>SHORT SLEEVES</t>
        </is>
      </c>
      <c r="G3277" s="1" t="inlineStr">
        <is>
          <t>GF2040118385XS</t>
        </is>
      </c>
      <c r="H3277" s="1" t="n">
        <v>5</v>
      </c>
      <c r="I3277" s="1" t="inlineStr">
        <is>
          <t>มี</t>
        </is>
      </c>
      <c r="J3277" s="13" t="n">
        <v>65</v>
      </c>
      <c r="K3277" s="1" t="inlineStr"/>
      <c r="L3277" s="13" t="n">
        <v>65</v>
      </c>
      <c r="M3277" s="1">
        <f>IF(L3277="","ไม่พบใน SG",IF(ABS(J3277-L3277)&lt;0.005,"ตรงกัน","ไม่ตรง"))</f>
        <v/>
      </c>
      <c r="N3277" s="14">
        <f>IF(L3277="","",ROUND(L3277*'สรุป'!$C$6,-1))</f>
        <v/>
      </c>
      <c r="O3277" s="15" t="n"/>
      <c r="P3277" s="15" t="n"/>
      <c r="Q3277" s="10" t="n"/>
      <c r="R3277" s="10" t="n"/>
      <c r="S3277" s="16" t="inlineStr">
        <is>
          <t>https://mstgolf.co.th/products/gf2040118385</t>
        </is>
      </c>
      <c r="T3277" s="1">
        <f>IF(B3277="ไม้กอล์ฟ",J3277,"")</f>
        <v/>
      </c>
    </row>
    <row r="3278">
      <c r="A3278" s="1" t="n">
        <v>3</v>
      </c>
      <c r="B3278" s="1" t="inlineStr">
        <is>
          <t>เสื้อผ้า</t>
        </is>
      </c>
      <c r="C3278" s="1" t="inlineStr">
        <is>
          <t>gf2040119203</t>
        </is>
      </c>
      <c r="D3278" s="1" t="inlineStr">
        <is>
          <t>UNDER ARMOUR Playoff 3.0 Stripe Men's Polo (Green/Navy)</t>
        </is>
      </c>
      <c r="E3278" s="1" t="inlineStr">
        <is>
          <t>UNDER ARMOUR</t>
        </is>
      </c>
      <c r="F3278" s="1" t="inlineStr">
        <is>
          <t>SHORT SLEEVES</t>
        </is>
      </c>
      <c r="G3278" s="1" t="inlineStr">
        <is>
          <t>GF2040119203XS</t>
        </is>
      </c>
      <c r="H3278" s="1" t="n">
        <v>7</v>
      </c>
      <c r="I3278" s="1" t="inlineStr">
        <is>
          <t>มี</t>
        </is>
      </c>
      <c r="J3278" s="13" t="n">
        <v>65</v>
      </c>
      <c r="K3278" s="1" t="inlineStr"/>
      <c r="L3278" s="13" t="n">
        <v>65</v>
      </c>
      <c r="M3278" s="1">
        <f>IF(L3278="","ไม่พบใน SG",IF(ABS(J3278-L3278)&lt;0.005,"ตรงกัน","ไม่ตรง"))</f>
        <v/>
      </c>
      <c r="N3278" s="14">
        <f>IF(L3278="","",ROUND(L3278*'สรุป'!$C$6,-1))</f>
        <v/>
      </c>
      <c r="O3278" s="15" t="n"/>
      <c r="P3278" s="15" t="n"/>
      <c r="Q3278" s="10" t="n"/>
      <c r="R3278" s="10" t="n"/>
      <c r="S3278" s="16" t="inlineStr">
        <is>
          <t>https://mstgolf.co.th/products/gf2040119203</t>
        </is>
      </c>
      <c r="T3278" s="1">
        <f>IF(B3278="ไม้กอล์ฟ",J3278,"")</f>
        <v/>
      </c>
    </row>
    <row r="3279">
      <c r="A3279" s="1" t="n">
        <v>3</v>
      </c>
      <c r="B3279" s="1" t="inlineStr">
        <is>
          <t>เสื้อผ้า</t>
        </is>
      </c>
      <c r="C3279" s="1" t="inlineStr">
        <is>
          <t>gf2020102133</t>
        </is>
      </c>
      <c r="D3279" s="1" t="inlineStr">
        <is>
          <t>UNDER ARMOUR Showdown Boy's Pants (Midnight Navy)</t>
        </is>
      </c>
      <c r="E3279" s="1" t="inlineStr">
        <is>
          <t>UNDER ARMOUR</t>
        </is>
      </c>
      <c r="F3279" s="1" t="inlineStr">
        <is>
          <t>LONG PANTS</t>
        </is>
      </c>
      <c r="G3279" s="1" t="inlineStr">
        <is>
          <t>GF2020102133XS</t>
        </is>
      </c>
      <c r="H3279" s="1" t="n">
        <v>5</v>
      </c>
      <c r="I3279" s="1" t="inlineStr">
        <is>
          <t>มี</t>
        </is>
      </c>
      <c r="J3279" s="13" t="n">
        <v>65</v>
      </c>
      <c r="K3279" s="1" t="inlineStr"/>
      <c r="L3279" s="13" t="n">
        <v>65</v>
      </c>
      <c r="M3279" s="1">
        <f>IF(L3279="","ไม่พบใน SG",IF(ABS(J3279-L3279)&lt;0.005,"ตรงกัน","ไม่ตรง"))</f>
        <v/>
      </c>
      <c r="N3279" s="14">
        <f>IF(L3279="","",ROUND(L3279*'สรุป'!$C$6,-1))</f>
        <v/>
      </c>
      <c r="O3279" s="15" t="n"/>
      <c r="P3279" s="15" t="n"/>
      <c r="Q3279" s="10" t="n"/>
      <c r="R3279" s="10" t="n"/>
      <c r="S3279" s="16" t="inlineStr">
        <is>
          <t>https://mstgolf.co.th/products/gf2020102133</t>
        </is>
      </c>
      <c r="T3279" s="1">
        <f>IF(B3279="ไม้กอล์ฟ",J3279,"")</f>
        <v/>
      </c>
    </row>
    <row r="3280">
      <c r="A3280" s="1" t="n">
        <v>3</v>
      </c>
      <c r="B3280" s="1" t="inlineStr">
        <is>
          <t>เสื้อผ้า</t>
        </is>
      </c>
      <c r="C3280" s="1" t="inlineStr">
        <is>
          <t>gf2060100890</t>
        </is>
      </c>
      <c r="D3280" s="1" t="inlineStr">
        <is>
          <t>UNDER ARMOUR Storm Midlayer 1/2 Zip Women's Long Sleeve Shirt (Pink Sands)</t>
        </is>
      </c>
      <c r="E3280" s="1" t="inlineStr">
        <is>
          <t>UNDER ARMOUR</t>
        </is>
      </c>
      <c r="F3280" s="1" t="inlineStr">
        <is>
          <t>TOP</t>
        </is>
      </c>
      <c r="G3280" s="1" t="inlineStr">
        <is>
          <t>GF2060100890XS</t>
        </is>
      </c>
      <c r="H3280" s="1" t="n">
        <v>5</v>
      </c>
      <c r="I3280" s="1" t="inlineStr">
        <is>
          <t>มี</t>
        </is>
      </c>
      <c r="J3280" s="13" t="n">
        <v>65</v>
      </c>
      <c r="K3280" s="1" t="inlineStr"/>
      <c r="L3280" s="13" t="n">
        <v>65</v>
      </c>
      <c r="M3280" s="1">
        <f>IF(L3280="","ไม่พบใน SG",IF(ABS(J3280-L3280)&lt;0.005,"ตรงกัน","ไม่ตรง"))</f>
        <v/>
      </c>
      <c r="N3280" s="14">
        <f>IF(L3280="","",ROUND(L3280*'สรุป'!$C$6,-1))</f>
        <v/>
      </c>
      <c r="O3280" s="15" t="n"/>
      <c r="P3280" s="15" t="n"/>
      <c r="Q3280" s="10" t="n"/>
      <c r="R3280" s="10" t="n"/>
      <c r="S3280" s="16" t="inlineStr">
        <is>
          <t>https://mstgolf.co.th/products/gf2060100890</t>
        </is>
      </c>
      <c r="T3280" s="1">
        <f>IF(B3280="ไม้กอล์ฟ",J3280,"")</f>
        <v/>
      </c>
    </row>
    <row r="3281">
      <c r="A3281" s="1" t="n">
        <v>3</v>
      </c>
      <c r="B3281" s="1" t="inlineStr">
        <is>
          <t>เสื้อผ้า</t>
        </is>
      </c>
      <c r="C3281" s="1" t="inlineStr">
        <is>
          <t>gf2040118329</t>
        </is>
      </c>
      <c r="D3281" s="1" t="inlineStr">
        <is>
          <t>UNDER ARMOUR T2G Print Men's Polo (Orange/Tech Blue)</t>
        </is>
      </c>
      <c r="E3281" s="1" t="inlineStr">
        <is>
          <t>UNDER ARMOUR</t>
        </is>
      </c>
      <c r="F3281" s="1" t="inlineStr">
        <is>
          <t>SHORT SLEEVES</t>
        </is>
      </c>
      <c r="G3281" s="1" t="inlineStr">
        <is>
          <t>GF2040118329S</t>
        </is>
      </c>
      <c r="H3281" s="1" t="n">
        <v>5</v>
      </c>
      <c r="I3281" s="1" t="inlineStr">
        <is>
          <t>มี</t>
        </is>
      </c>
      <c r="J3281" s="13" t="n">
        <v>65</v>
      </c>
      <c r="K3281" s="1" t="inlineStr"/>
      <c r="L3281" s="13" t="n">
        <v>65</v>
      </c>
      <c r="M3281" s="1">
        <f>IF(L3281="","ไม่พบใน SG",IF(ABS(J3281-L3281)&lt;0.005,"ตรงกัน","ไม่ตรง"))</f>
        <v/>
      </c>
      <c r="N3281" s="14">
        <f>IF(L3281="","",ROUND(L3281*'สรุป'!$C$6,-1))</f>
        <v/>
      </c>
      <c r="O3281" s="15" t="n"/>
      <c r="P3281" s="15" t="n"/>
      <c r="Q3281" s="10" t="n"/>
      <c r="R3281" s="10" t="n"/>
      <c r="S3281" s="16" t="inlineStr">
        <is>
          <t>https://mstgolf.co.th/products/gf2040118329</t>
        </is>
      </c>
      <c r="T3281" s="1">
        <f>IF(B3281="ไม้กอล์ฟ",J3281,"")</f>
        <v/>
      </c>
    </row>
    <row r="3282">
      <c r="A3282" s="1" t="n">
        <v>3</v>
      </c>
      <c r="B3282" s="1" t="inlineStr">
        <is>
          <t>อุปกรณ์เสริม</t>
        </is>
      </c>
      <c r="C3282" s="1" t="inlineStr">
        <is>
          <t>gf3500400396</t>
        </is>
      </c>
      <c r="D3282" s="1" t="inlineStr">
        <is>
          <t>DISNEY Hat Clip &amp; 4Pcs Marker Set</t>
        </is>
      </c>
      <c r="E3282" s="1" t="inlineStr">
        <is>
          <t>DISNEY</t>
        </is>
      </c>
      <c r="F3282" s="1" t="inlineStr">
        <is>
          <t>MARKERS &amp; DIVOTS</t>
        </is>
      </c>
      <c r="G3282" s="1" t="inlineStr">
        <is>
          <t>GF3500400396</t>
        </is>
      </c>
      <c r="H3282" s="1" t="n">
        <v>1</v>
      </c>
      <c r="I3282" s="1" t="inlineStr">
        <is>
          <t>มี</t>
        </is>
      </c>
      <c r="J3282" s="13" t="n">
        <v>63</v>
      </c>
      <c r="K3282" s="1" t="inlineStr"/>
      <c r="L3282" s="13" t="n">
        <v>63</v>
      </c>
      <c r="M3282" s="1">
        <f>IF(L3282="","ไม่พบใน SG",IF(ABS(J3282-L3282)&lt;0.005,"ตรงกัน","ไม่ตรง"))</f>
        <v/>
      </c>
      <c r="N3282" s="14">
        <f>IF(L3282="","",ROUND(L3282*'สรุป'!$C$6,-1))</f>
        <v/>
      </c>
      <c r="O3282" s="15" t="n"/>
      <c r="P3282" s="15" t="n"/>
      <c r="Q3282" s="10" t="n"/>
      <c r="R3282" s="10" t="n"/>
      <c r="S3282" s="16" t="inlineStr">
        <is>
          <t>https://mstgolf.co.th/products/gf3500400396</t>
        </is>
      </c>
      <c r="T3282" s="1">
        <f>IF(B3282="ไม้กอล์ฟ",J3282,"")</f>
        <v/>
      </c>
    </row>
    <row r="3283">
      <c r="A3283" s="1" t="n">
        <v>3</v>
      </c>
      <c r="B3283" s="1" t="inlineStr">
        <is>
          <t>เสื้อผ้า</t>
        </is>
      </c>
      <c r="C3283" s="1" t="inlineStr">
        <is>
          <t>gf2020201919</t>
        </is>
      </c>
      <c r="D3283" s="1" t="inlineStr">
        <is>
          <t>FOOTJOY Performance Knit Men's Shorts (Black)</t>
        </is>
      </c>
      <c r="E3283" s="1" t="inlineStr">
        <is>
          <t>FOOTJOY</t>
        </is>
      </c>
      <c r="F3283" s="1" t="inlineStr">
        <is>
          <t>SHORT PANTS</t>
        </is>
      </c>
      <c r="G3283" s="1" t="inlineStr">
        <is>
          <t>GF202020191930</t>
        </is>
      </c>
      <c r="H3283" s="1" t="n">
        <v>6</v>
      </c>
      <c r="I3283" s="1" t="inlineStr">
        <is>
          <t>มี</t>
        </is>
      </c>
      <c r="J3283" s="13" t="n">
        <v>63</v>
      </c>
      <c r="K3283" s="1" t="inlineStr"/>
      <c r="L3283" s="13" t="n">
        <v>43</v>
      </c>
      <c r="M3283" s="1">
        <f>IF(L3283="","ไม่พบใน SG",IF(ABS(J3283-L3283)&lt;0.005,"ตรงกัน","ไม่ตรง"))</f>
        <v/>
      </c>
      <c r="N3283" s="14">
        <f>IF(L3283="","",ROUND(L3283*'สรุป'!$C$6,-1))</f>
        <v/>
      </c>
      <c r="O3283" s="15" t="n"/>
      <c r="P3283" s="15" t="n"/>
      <c r="Q3283" s="10" t="n"/>
      <c r="R3283" s="10" t="n"/>
      <c r="S3283" s="16" t="inlineStr">
        <is>
          <t>https://mstgolf.co.th/products/gf2020201919</t>
        </is>
      </c>
      <c r="T3283" s="1">
        <f>IF(B3283="ไม้กอล์ฟ",J3283,"")</f>
        <v/>
      </c>
    </row>
    <row r="3284">
      <c r="A3284" s="1" t="n">
        <v>3</v>
      </c>
      <c r="B3284" s="1" t="inlineStr">
        <is>
          <t>อุปกรณ์เสริม</t>
        </is>
      </c>
      <c r="C3284" s="1" t="inlineStr">
        <is>
          <t>gf3150100324</t>
        </is>
      </c>
      <c r="D3284" s="1" t="inlineStr">
        <is>
          <t>SUN MOUNTAIN 68" Double Canopy Umbrella (Silver/Red)</t>
        </is>
      </c>
      <c r="E3284" s="1" t="inlineStr">
        <is>
          <t>SUN MOUNTAIN</t>
        </is>
      </c>
      <c r="F3284" s="1" t="inlineStr">
        <is>
          <t>UMBRELLA</t>
        </is>
      </c>
      <c r="G3284" s="1" t="inlineStr">
        <is>
          <t>GF3150100324</t>
        </is>
      </c>
      <c r="H3284" s="1" t="n">
        <v>1</v>
      </c>
      <c r="I3284" s="1" t="inlineStr">
        <is>
          <t>มี</t>
        </is>
      </c>
      <c r="J3284" s="13" t="n">
        <v>63</v>
      </c>
      <c r="K3284" s="1" t="inlineStr"/>
      <c r="L3284" s="13" t="n">
        <v>63</v>
      </c>
      <c r="M3284" s="1">
        <f>IF(L3284="","ไม่พบใน SG",IF(ABS(J3284-L3284)&lt;0.005,"ตรงกัน","ไม่ตรง"))</f>
        <v/>
      </c>
      <c r="N3284" s="14">
        <f>IF(L3284="","",ROUND(L3284*'สรุป'!$C$6,-1))</f>
        <v/>
      </c>
      <c r="O3284" s="15" t="n"/>
      <c r="P3284" s="15" t="n"/>
      <c r="Q3284" s="10" t="n"/>
      <c r="R3284" s="10" t="n"/>
      <c r="S3284" s="16" t="inlineStr">
        <is>
          <t>https://mstgolf.co.th/products/gf3150100324</t>
        </is>
      </c>
      <c r="T3284" s="1">
        <f>IF(B3284="ไม้กอล์ฟ",J3284,"")</f>
        <v/>
      </c>
    </row>
    <row r="3285">
      <c r="A3285" s="1" t="n">
        <v>3</v>
      </c>
      <c r="B3285" s="1" t="inlineStr">
        <is>
          <t>เสื้อผ้า</t>
        </is>
      </c>
      <c r="C3285" s="1" t="inlineStr">
        <is>
          <t>gf2020202046</t>
        </is>
      </c>
      <c r="D3285" s="1" t="inlineStr">
        <is>
          <t>UNDER ARMOUR Links Printed Women's Shorts (Sonar Blue)</t>
        </is>
      </c>
      <c r="E3285" s="1" t="inlineStr">
        <is>
          <t>UNDER ARMOUR</t>
        </is>
      </c>
      <c r="F3285" s="1" t="inlineStr">
        <is>
          <t>SHORT PANTS</t>
        </is>
      </c>
      <c r="G3285" s="1" t="inlineStr">
        <is>
          <t>GF20202020462</t>
        </is>
      </c>
      <c r="H3285" s="1" t="n">
        <v>5</v>
      </c>
      <c r="I3285" s="1" t="inlineStr">
        <is>
          <t>มี</t>
        </is>
      </c>
      <c r="J3285" s="13" t="n">
        <v>63</v>
      </c>
      <c r="K3285" s="1" t="inlineStr"/>
      <c r="L3285" s="13" t="n">
        <v>63</v>
      </c>
      <c r="M3285" s="1">
        <f>IF(L3285="","ไม่พบใน SG",IF(ABS(J3285-L3285)&lt;0.005,"ตรงกัน","ไม่ตรง"))</f>
        <v/>
      </c>
      <c r="N3285" s="14">
        <f>IF(L3285="","",ROUND(L3285*'สรุป'!$C$6,-1))</f>
        <v/>
      </c>
      <c r="O3285" s="15" t="n"/>
      <c r="P3285" s="15" t="n"/>
      <c r="Q3285" s="10" t="n"/>
      <c r="R3285" s="10" t="n"/>
      <c r="S3285" s="16" t="inlineStr">
        <is>
          <t>https://mstgolf.co.th/products/gf2020202046</t>
        </is>
      </c>
      <c r="T3285" s="1">
        <f>IF(B3285="ไม้กอล์ฟ",J3285,"")</f>
        <v/>
      </c>
    </row>
    <row r="3286">
      <c r="A3286" s="1" t="n">
        <v>3</v>
      </c>
      <c r="B3286" s="1" t="inlineStr">
        <is>
          <t>เสื้อผ้า</t>
        </is>
      </c>
      <c r="C3286" s="1" t="inlineStr">
        <is>
          <t>gf2020202045</t>
        </is>
      </c>
      <c r="D3286" s="1" t="inlineStr">
        <is>
          <t>UNDER ARMOUR Links Printed Women's Shorts (White/Orange)</t>
        </is>
      </c>
      <c r="E3286" s="1" t="inlineStr">
        <is>
          <t>UNDER ARMOUR</t>
        </is>
      </c>
      <c r="F3286" s="1" t="inlineStr">
        <is>
          <t>SHORT PANTS</t>
        </is>
      </c>
      <c r="G3286" s="1" t="inlineStr">
        <is>
          <t>GF20202020452</t>
        </is>
      </c>
      <c r="H3286" s="1" t="n">
        <v>5</v>
      </c>
      <c r="I3286" s="1" t="inlineStr">
        <is>
          <t>มี</t>
        </is>
      </c>
      <c r="J3286" s="13" t="n">
        <v>63</v>
      </c>
      <c r="K3286" s="1" t="inlineStr"/>
      <c r="L3286" s="13" t="n">
        <v>63</v>
      </c>
      <c r="M3286" s="1">
        <f>IF(L3286="","ไม่พบใน SG",IF(ABS(J3286-L3286)&lt;0.005,"ตรงกัน","ไม่ตรง"))</f>
        <v/>
      </c>
      <c r="N3286" s="14">
        <f>IF(L3286="","",ROUND(L3286*'สรุป'!$C$6,-1))</f>
        <v/>
      </c>
      <c r="O3286" s="15" t="n"/>
      <c r="P3286" s="15" t="n"/>
      <c r="Q3286" s="10" t="n"/>
      <c r="R3286" s="10" t="n"/>
      <c r="S3286" s="16" t="inlineStr">
        <is>
          <t>https://mstgolf.co.th/products/gf2020202045</t>
        </is>
      </c>
      <c r="T3286" s="1">
        <f>IF(B3286="ไม้กอล์ฟ",J3286,"")</f>
        <v/>
      </c>
    </row>
    <row r="3287">
      <c r="A3287" s="1" t="n">
        <v>3</v>
      </c>
      <c r="B3287" s="1" t="inlineStr">
        <is>
          <t>เสื้อผ้า</t>
        </is>
      </c>
      <c r="C3287" s="1" t="inlineStr">
        <is>
          <t>gf2040120938</t>
        </is>
      </c>
      <c r="D3287" s="1" t="inlineStr">
        <is>
          <t>DISNEY Mickey Mouse Men's Mesh Polo (Blue)</t>
        </is>
      </c>
      <c r="E3287" s="1" t="inlineStr">
        <is>
          <t>DISNEY</t>
        </is>
      </c>
      <c r="F3287" s="1" t="inlineStr">
        <is>
          <t>SHORT SLEEVES</t>
        </is>
      </c>
      <c r="G3287" s="1" t="inlineStr">
        <is>
          <t>GF2040120938S</t>
        </is>
      </c>
      <c r="H3287" s="1" t="n">
        <v>6</v>
      </c>
      <c r="I3287" s="1" t="inlineStr">
        <is>
          <t>มี</t>
        </is>
      </c>
      <c r="J3287" s="13" t="n">
        <v>62</v>
      </c>
      <c r="K3287" s="1" t="inlineStr"/>
      <c r="L3287" s="13" t="n"/>
      <c r="M3287" s="1">
        <f>IF(L3287="","ไม่พบใน SG",IF(ABS(J3287-L3287)&lt;0.005,"ตรงกัน","ไม่ตรง"))</f>
        <v/>
      </c>
      <c r="N3287" s="14">
        <f>IF(L3287="","",ROUND(L3287*'สรุป'!$C$6,-1))</f>
        <v/>
      </c>
      <c r="O3287" s="15" t="n"/>
      <c r="P3287" s="15" t="n"/>
      <c r="Q3287" s="10" t="n"/>
      <c r="R3287" s="10" t="n"/>
      <c r="S3287" s="16" t="inlineStr">
        <is>
          <t>https://mstgolf.co.th/products/gf2040120938</t>
        </is>
      </c>
      <c r="T3287" s="1">
        <f>IF(B3287="ไม้กอล์ฟ",J3287,"")</f>
        <v/>
      </c>
    </row>
    <row r="3288">
      <c r="A3288" s="1" t="n">
        <v>3</v>
      </c>
      <c r="B3288" s="1" t="inlineStr">
        <is>
          <t>เสื้อผ้า</t>
        </is>
      </c>
      <c r="C3288" s="1" t="inlineStr">
        <is>
          <t>gf2040120937</t>
        </is>
      </c>
      <c r="D3288" s="1" t="inlineStr">
        <is>
          <t>DISNEY Mickey Mouse Men's Mesh Polo (White)</t>
        </is>
      </c>
      <c r="E3288" s="1" t="inlineStr">
        <is>
          <t>DISNEY</t>
        </is>
      </c>
      <c r="F3288" s="1" t="inlineStr">
        <is>
          <t>SHORT SLEEVES</t>
        </is>
      </c>
      <c r="G3288" s="1" t="inlineStr">
        <is>
          <t>GF2040120937S</t>
        </is>
      </c>
      <c r="H3288" s="1" t="n">
        <v>6</v>
      </c>
      <c r="I3288" s="1" t="inlineStr">
        <is>
          <t>มี</t>
        </is>
      </c>
      <c r="J3288" s="13" t="n">
        <v>62</v>
      </c>
      <c r="K3288" s="1" t="inlineStr"/>
      <c r="L3288" s="13" t="n">
        <v>62</v>
      </c>
      <c r="M3288" s="1">
        <f>IF(L3288="","ไม่พบใน SG",IF(ABS(J3288-L3288)&lt;0.005,"ตรงกัน","ไม่ตรง"))</f>
        <v/>
      </c>
      <c r="N3288" s="14">
        <f>IF(L3288="","",ROUND(L3288*'สรุป'!$C$6,-1))</f>
        <v/>
      </c>
      <c r="O3288" s="15" t="n"/>
      <c r="P3288" s="15" t="n"/>
      <c r="Q3288" s="10" t="n"/>
      <c r="R3288" s="10" t="n"/>
      <c r="S3288" s="16" t="inlineStr">
        <is>
          <t>https://mstgolf.co.th/products/gf2040120937</t>
        </is>
      </c>
      <c r="T3288" s="1">
        <f>IF(B3288="ไม้กอล์ฟ",J3288,"")</f>
        <v/>
      </c>
    </row>
    <row r="3289">
      <c r="A3289" s="1" t="n">
        <v>3</v>
      </c>
      <c r="B3289" s="1" t="inlineStr">
        <is>
          <t>เสื้อผ้า</t>
        </is>
      </c>
      <c r="C3289" s="1" t="inlineStr">
        <is>
          <t>gf2040120935</t>
        </is>
      </c>
      <c r="D3289" s="1" t="inlineStr">
        <is>
          <t>DISNEY Mickey Mouse Men's Performance Polo (Cameo Green)</t>
        </is>
      </c>
      <c r="E3289" s="1" t="inlineStr">
        <is>
          <t>DISNEY</t>
        </is>
      </c>
      <c r="F3289" s="1" t="inlineStr">
        <is>
          <t>SHORT SLEEVES</t>
        </is>
      </c>
      <c r="G3289" s="1" t="inlineStr">
        <is>
          <t>GF2040120935S</t>
        </is>
      </c>
      <c r="H3289" s="1" t="n">
        <v>6</v>
      </c>
      <c r="I3289" s="1" t="inlineStr">
        <is>
          <t>มี</t>
        </is>
      </c>
      <c r="J3289" s="13" t="n">
        <v>62</v>
      </c>
      <c r="K3289" s="1" t="inlineStr"/>
      <c r="L3289" s="13" t="n">
        <v>62</v>
      </c>
      <c r="M3289" s="1">
        <f>IF(L3289="","ไม่พบใน SG",IF(ABS(J3289-L3289)&lt;0.005,"ตรงกัน","ไม่ตรง"))</f>
        <v/>
      </c>
      <c r="N3289" s="14">
        <f>IF(L3289="","",ROUND(L3289*'สรุป'!$C$6,-1))</f>
        <v/>
      </c>
      <c r="O3289" s="15" t="n"/>
      <c r="P3289" s="15" t="n"/>
      <c r="Q3289" s="10" t="n"/>
      <c r="R3289" s="10" t="n"/>
      <c r="S3289" s="16" t="inlineStr">
        <is>
          <t>https://mstgolf.co.th/products/gf2040120935</t>
        </is>
      </c>
      <c r="T3289" s="1">
        <f>IF(B3289="ไม้กอล์ฟ",J3289,"")</f>
        <v/>
      </c>
    </row>
    <row r="3290">
      <c r="A3290" s="1" t="n">
        <v>3</v>
      </c>
      <c r="B3290" s="1" t="inlineStr">
        <is>
          <t>เสื้อผ้า</t>
        </is>
      </c>
      <c r="C3290" s="1" t="inlineStr">
        <is>
          <t>gf2040120936</t>
        </is>
      </c>
      <c r="D3290" s="1" t="inlineStr">
        <is>
          <t>DISNEY Mickey Mouse Men's Performance Polo (Legion Blue)</t>
        </is>
      </c>
      <c r="E3290" s="1" t="inlineStr">
        <is>
          <t>DISNEY</t>
        </is>
      </c>
      <c r="F3290" s="1" t="inlineStr">
        <is>
          <t>SHORT SLEEVES</t>
        </is>
      </c>
      <c r="G3290" s="1" t="inlineStr">
        <is>
          <t>GF2040120936S</t>
        </is>
      </c>
      <c r="H3290" s="1" t="n">
        <v>6</v>
      </c>
      <c r="I3290" s="1" t="inlineStr">
        <is>
          <t>มี</t>
        </is>
      </c>
      <c r="J3290" s="13" t="n">
        <v>62</v>
      </c>
      <c r="K3290" s="1" t="inlineStr"/>
      <c r="L3290" s="13" t="n">
        <v>62</v>
      </c>
      <c r="M3290" s="1">
        <f>IF(L3290="","ไม่พบใน SG",IF(ABS(J3290-L3290)&lt;0.005,"ตรงกัน","ไม่ตรง"))</f>
        <v/>
      </c>
      <c r="N3290" s="14">
        <f>IF(L3290="","",ROUND(L3290*'สรุป'!$C$6,-1))</f>
        <v/>
      </c>
      <c r="O3290" s="15" t="n"/>
      <c r="P3290" s="15" t="n"/>
      <c r="Q3290" s="10" t="n"/>
      <c r="R3290" s="10" t="n"/>
      <c r="S3290" s="16" t="inlineStr">
        <is>
          <t>https://mstgolf.co.th/products/gf2040120936</t>
        </is>
      </c>
      <c r="T3290" s="1">
        <f>IF(B3290="ไม้กอล์ฟ",J3290,"")</f>
        <v/>
      </c>
    </row>
    <row r="3291">
      <c r="A3291" s="1" t="n">
        <v>3</v>
      </c>
      <c r="B3291" s="1" t="inlineStr">
        <is>
          <t>เสื้อผ้า</t>
        </is>
      </c>
      <c r="C3291" s="1" t="inlineStr">
        <is>
          <t>gf2040120934</t>
        </is>
      </c>
      <c r="D3291" s="1" t="inlineStr">
        <is>
          <t>DISNEY Mickey Mouse Men's Performance Polo (Seedpearl)</t>
        </is>
      </c>
      <c r="E3291" s="1" t="inlineStr">
        <is>
          <t>DISNEY</t>
        </is>
      </c>
      <c r="F3291" s="1" t="inlineStr">
        <is>
          <t>SHORT SLEEVES</t>
        </is>
      </c>
      <c r="G3291" s="1" t="inlineStr">
        <is>
          <t>GF2040120934S</t>
        </is>
      </c>
      <c r="H3291" s="1" t="n">
        <v>6</v>
      </c>
      <c r="I3291" s="1" t="inlineStr">
        <is>
          <t>มี</t>
        </is>
      </c>
      <c r="J3291" s="13" t="n">
        <v>62</v>
      </c>
      <c r="K3291" s="1" t="inlineStr"/>
      <c r="L3291" s="13" t="n">
        <v>62</v>
      </c>
      <c r="M3291" s="1">
        <f>IF(L3291="","ไม่พบใน SG",IF(ABS(J3291-L3291)&lt;0.005,"ตรงกัน","ไม่ตรง"))</f>
        <v/>
      </c>
      <c r="N3291" s="14">
        <f>IF(L3291="","",ROUND(L3291*'สรุป'!$C$6,-1))</f>
        <v/>
      </c>
      <c r="O3291" s="15" t="n"/>
      <c r="P3291" s="15" t="n"/>
      <c r="Q3291" s="10" t="n"/>
      <c r="R3291" s="10" t="n"/>
      <c r="S3291" s="16" t="inlineStr">
        <is>
          <t>https://mstgolf.co.th/products/gf2040120934</t>
        </is>
      </c>
      <c r="T3291" s="1">
        <f>IF(B3291="ไม้กอล์ฟ",J3291,"")</f>
        <v/>
      </c>
    </row>
    <row r="3292">
      <c r="A3292" s="1" t="n">
        <v>3</v>
      </c>
      <c r="B3292" s="1" t="inlineStr">
        <is>
          <t>เสื้อผ้า</t>
        </is>
      </c>
      <c r="C3292" s="1" t="inlineStr">
        <is>
          <t>gf2040120946</t>
        </is>
      </c>
      <c r="D3292" s="1" t="inlineStr">
        <is>
          <t>DISNEY Mickey Mouse Women's Polo (Legion Blue/White)</t>
        </is>
      </c>
      <c r="E3292" s="1" t="inlineStr">
        <is>
          <t>DISNEY</t>
        </is>
      </c>
      <c r="F3292" s="1" t="inlineStr">
        <is>
          <t>SHORT SLEEVES</t>
        </is>
      </c>
      <c r="G3292" s="1" t="inlineStr">
        <is>
          <t>GF2040120946S</t>
        </is>
      </c>
      <c r="H3292" s="1" t="n">
        <v>6</v>
      </c>
      <c r="I3292" s="1" t="inlineStr">
        <is>
          <t>มี</t>
        </is>
      </c>
      <c r="J3292" s="13" t="n">
        <v>62</v>
      </c>
      <c r="K3292" s="1" t="inlineStr"/>
      <c r="L3292" s="13" t="n"/>
      <c r="M3292" s="1">
        <f>IF(L3292="","ไม่พบใน SG",IF(ABS(J3292-L3292)&lt;0.005,"ตรงกัน","ไม่ตรง"))</f>
        <v/>
      </c>
      <c r="N3292" s="14">
        <f>IF(L3292="","",ROUND(L3292*'สรุป'!$C$6,-1))</f>
        <v/>
      </c>
      <c r="O3292" s="15" t="n"/>
      <c r="P3292" s="15" t="n"/>
      <c r="Q3292" s="10" t="n"/>
      <c r="R3292" s="10" t="n"/>
      <c r="S3292" s="16" t="inlineStr">
        <is>
          <t>https://mstgolf.co.th/products/gf2040120946</t>
        </is>
      </c>
      <c r="T3292" s="1">
        <f>IF(B3292="ไม้กอล์ฟ",J3292,"")</f>
        <v/>
      </c>
    </row>
    <row r="3293">
      <c r="A3293" s="1" t="n">
        <v>3</v>
      </c>
      <c r="B3293" s="1" t="inlineStr">
        <is>
          <t>เสื้อผ้า</t>
        </is>
      </c>
      <c r="C3293" s="1" t="inlineStr">
        <is>
          <t>gf2040120944</t>
        </is>
      </c>
      <c r="D3293" s="1" t="inlineStr">
        <is>
          <t>DISNEY Micky Mouse Women's Stripe Rib Polo (Black)</t>
        </is>
      </c>
      <c r="E3293" s="1" t="inlineStr">
        <is>
          <t>DISNEY</t>
        </is>
      </c>
      <c r="F3293" s="1" t="inlineStr">
        <is>
          <t>SHORT SLEEVES</t>
        </is>
      </c>
      <c r="G3293" s="1" t="inlineStr">
        <is>
          <t>GF2040120944S</t>
        </is>
      </c>
      <c r="H3293" s="1" t="n">
        <v>6</v>
      </c>
      <c r="I3293" s="1" t="inlineStr">
        <is>
          <t>มี</t>
        </is>
      </c>
      <c r="J3293" s="13" t="n">
        <v>62</v>
      </c>
      <c r="K3293" s="1" t="inlineStr"/>
      <c r="L3293" s="13" t="n"/>
      <c r="M3293" s="1">
        <f>IF(L3293="","ไม่พบใน SG",IF(ABS(J3293-L3293)&lt;0.005,"ตรงกัน","ไม่ตรง"))</f>
        <v/>
      </c>
      <c r="N3293" s="14">
        <f>IF(L3293="","",ROUND(L3293*'สรุป'!$C$6,-1))</f>
        <v/>
      </c>
      <c r="O3293" s="15" t="n"/>
      <c r="P3293" s="15" t="n"/>
      <c r="Q3293" s="10" t="n"/>
      <c r="R3293" s="10" t="n"/>
      <c r="S3293" s="16" t="inlineStr">
        <is>
          <t>https://mstgolf.co.th/products/gf2040120944</t>
        </is>
      </c>
      <c r="T3293" s="1">
        <f>IF(B3293="ไม้กอล์ฟ",J3293,"")</f>
        <v/>
      </c>
    </row>
    <row r="3294">
      <c r="A3294" s="1" t="n">
        <v>3</v>
      </c>
      <c r="B3294" s="1" t="inlineStr">
        <is>
          <t>เสื้อผ้า</t>
        </is>
      </c>
      <c r="C3294" s="1" t="inlineStr">
        <is>
          <t>gf2040120943</t>
        </is>
      </c>
      <c r="D3294" s="1" t="inlineStr">
        <is>
          <t>DISNEY Micky Mouse Women's Stripe Rib Polo (White)</t>
        </is>
      </c>
      <c r="E3294" s="1" t="inlineStr">
        <is>
          <t>DISNEY</t>
        </is>
      </c>
      <c r="F3294" s="1" t="inlineStr">
        <is>
          <t>SHORT SLEEVES</t>
        </is>
      </c>
      <c r="G3294" s="1" t="inlineStr">
        <is>
          <t>GF2040120943S</t>
        </is>
      </c>
      <c r="H3294" s="1" t="n">
        <v>6</v>
      </c>
      <c r="I3294" s="1" t="inlineStr">
        <is>
          <t>มี</t>
        </is>
      </c>
      <c r="J3294" s="13" t="n">
        <v>62</v>
      </c>
      <c r="K3294" s="1" t="inlineStr"/>
      <c r="L3294" s="13" t="n"/>
      <c r="M3294" s="1">
        <f>IF(L3294="","ไม่พบใน SG",IF(ABS(J3294-L3294)&lt;0.005,"ตรงกัน","ไม่ตรง"))</f>
        <v/>
      </c>
      <c r="N3294" s="14">
        <f>IF(L3294="","",ROUND(L3294*'สรุป'!$C$6,-1))</f>
        <v/>
      </c>
      <c r="O3294" s="15" t="n"/>
      <c r="P3294" s="15" t="n"/>
      <c r="Q3294" s="10" t="n"/>
      <c r="R3294" s="10" t="n"/>
      <c r="S3294" s="16" t="inlineStr">
        <is>
          <t>https://mstgolf.co.th/products/gf2040120943</t>
        </is>
      </c>
      <c r="T3294" s="1">
        <f>IF(B3294="ไม้กอล์ฟ",J3294,"")</f>
        <v/>
      </c>
    </row>
    <row r="3295">
      <c r="A3295" s="1" t="n">
        <v>3</v>
      </c>
      <c r="B3295" s="1" t="inlineStr">
        <is>
          <t>เสื้อผ้า</t>
        </is>
      </c>
      <c r="C3295" s="1" t="inlineStr">
        <is>
          <t>gf2020202650</t>
        </is>
      </c>
      <c r="D3295" s="1" t="inlineStr">
        <is>
          <t>ADIDAS AEROREADY Graphics Boy's Shorts (Silver)</t>
        </is>
      </c>
      <c r="E3295" s="1" t="inlineStr">
        <is>
          <t>ADIDAS</t>
        </is>
      </c>
      <c r="F3295" s="1" t="inlineStr">
        <is>
          <t>SHORT PANTS</t>
        </is>
      </c>
      <c r="G3295" s="1" t="inlineStr">
        <is>
          <t>GF2020202650128</t>
        </is>
      </c>
      <c r="H3295" s="1" t="n">
        <v>5</v>
      </c>
      <c r="I3295" s="1" t="inlineStr">
        <is>
          <t>มี</t>
        </is>
      </c>
      <c r="J3295" s="13" t="n">
        <v>60</v>
      </c>
      <c r="K3295" s="1" t="inlineStr"/>
      <c r="L3295" s="13" t="n">
        <v>29</v>
      </c>
      <c r="M3295" s="1">
        <f>IF(L3295="","ไม่พบใน SG",IF(ABS(J3295-L3295)&lt;0.005,"ตรงกัน","ไม่ตรง"))</f>
        <v/>
      </c>
      <c r="N3295" s="14">
        <f>IF(L3295="","",ROUND(L3295*'สรุป'!$C$6,-1))</f>
        <v/>
      </c>
      <c r="O3295" s="15" t="n"/>
      <c r="P3295" s="15" t="n"/>
      <c r="Q3295" s="10" t="n"/>
      <c r="R3295" s="10" t="n"/>
      <c r="S3295" s="16" t="inlineStr">
        <is>
          <t>https://mstgolf.co.th/products/gf2020202650</t>
        </is>
      </c>
      <c r="T3295" s="1">
        <f>IF(B3295="ไม้กอล์ฟ",J3295,"")</f>
        <v/>
      </c>
    </row>
    <row r="3296">
      <c r="A3296" s="1" t="n">
        <v>3</v>
      </c>
      <c r="B3296" s="1" t="inlineStr">
        <is>
          <t>เสื้อผ้า</t>
        </is>
      </c>
      <c r="C3296" s="1" t="inlineStr">
        <is>
          <t>gf2020202663</t>
        </is>
      </c>
      <c r="D3296" s="1" t="inlineStr">
        <is>
          <t>ADIDAS AEROREADY Graphics Junior Skirt (Ruby)</t>
        </is>
      </c>
      <c r="E3296" s="1" t="inlineStr">
        <is>
          <t>ADIDAS</t>
        </is>
      </c>
      <c r="F3296" s="1" t="inlineStr">
        <is>
          <t>SHORT PANTS</t>
        </is>
      </c>
      <c r="G3296" s="1" t="inlineStr">
        <is>
          <t>GF2020202663128</t>
        </is>
      </c>
      <c r="H3296" s="1" t="n">
        <v>6</v>
      </c>
      <c r="I3296" s="1" t="inlineStr">
        <is>
          <t>มี</t>
        </is>
      </c>
      <c r="J3296" s="13" t="n">
        <v>60</v>
      </c>
      <c r="K3296" s="1" t="inlineStr"/>
      <c r="L3296" s="13" t="n">
        <v>29</v>
      </c>
      <c r="M3296" s="1">
        <f>IF(L3296="","ไม่พบใน SG",IF(ABS(J3296-L3296)&lt;0.005,"ตรงกัน","ไม่ตรง"))</f>
        <v/>
      </c>
      <c r="N3296" s="14">
        <f>IF(L3296="","",ROUND(L3296*'สรุป'!$C$6,-1))</f>
        <v/>
      </c>
      <c r="O3296" s="15" t="n"/>
      <c r="P3296" s="15" t="n"/>
      <c r="Q3296" s="10" t="n"/>
      <c r="R3296" s="10" t="n"/>
      <c r="S3296" s="16" t="inlineStr">
        <is>
          <t>https://mstgolf.co.th/products/gf2020202663</t>
        </is>
      </c>
      <c r="T3296" s="1">
        <f>IF(B3296="ไม้กอล์ฟ",J3296,"")</f>
        <v/>
      </c>
    </row>
    <row r="3297">
      <c r="A3297" s="1" t="n">
        <v>3</v>
      </c>
      <c r="B3297" s="1" t="inlineStr">
        <is>
          <t>เสื้อผ้า</t>
        </is>
      </c>
      <c r="C3297" s="1" t="inlineStr">
        <is>
          <t>gf2040119395</t>
        </is>
      </c>
      <c r="D3297" s="1" t="inlineStr">
        <is>
          <t>ADIDAS 3-Stripes Ribbed Men's Polo (Navy)</t>
        </is>
      </c>
      <c r="E3297" s="1" t="inlineStr">
        <is>
          <t>ADIDAS</t>
        </is>
      </c>
      <c r="F3297" s="1" t="inlineStr">
        <is>
          <t>SHORT SLEEVES</t>
        </is>
      </c>
      <c r="G3297" s="1" t="inlineStr">
        <is>
          <t>GF2040119395XS</t>
        </is>
      </c>
      <c r="H3297" s="1" t="n">
        <v>7</v>
      </c>
      <c r="I3297" s="1" t="inlineStr">
        <is>
          <t>มี</t>
        </is>
      </c>
      <c r="J3297" s="13" t="n">
        <v>59</v>
      </c>
      <c r="K3297" s="1" t="inlineStr"/>
      <c r="L3297" s="13" t="n">
        <v>59</v>
      </c>
      <c r="M3297" s="1">
        <f>IF(L3297="","ไม่พบใน SG",IF(ABS(J3297-L3297)&lt;0.005,"ตรงกัน","ไม่ตรง"))</f>
        <v/>
      </c>
      <c r="N3297" s="14">
        <f>IF(L3297="","",ROUND(L3297*'สรุป'!$C$6,-1))</f>
        <v/>
      </c>
      <c r="O3297" s="15" t="n"/>
      <c r="P3297" s="15" t="n"/>
      <c r="Q3297" s="10" t="n"/>
      <c r="R3297" s="10" t="n"/>
      <c r="S3297" s="16" t="inlineStr">
        <is>
          <t>https://mstgolf.co.th/products/gf2040119395</t>
        </is>
      </c>
      <c r="T3297" s="1">
        <f>IF(B3297="ไม้กอล์ฟ",J3297,"")</f>
        <v/>
      </c>
    </row>
    <row r="3298">
      <c r="A3298" s="1" t="n">
        <v>3</v>
      </c>
      <c r="B3298" s="1" t="inlineStr">
        <is>
          <t>เสื้อผ้า</t>
        </is>
      </c>
      <c r="C3298" s="1" t="inlineStr">
        <is>
          <t>gf2040119489</t>
        </is>
      </c>
      <c r="D3298" s="1" t="inlineStr">
        <is>
          <t>ADIDAS 3-Stripes Ribbed Men's Polo (White)</t>
        </is>
      </c>
      <c r="E3298" s="1" t="inlineStr">
        <is>
          <t>ADIDAS</t>
        </is>
      </c>
      <c r="F3298" s="1" t="inlineStr">
        <is>
          <t>SHORT SLEEVES</t>
        </is>
      </c>
      <c r="G3298" s="1" t="inlineStr">
        <is>
          <t>GF2040119489XS</t>
        </is>
      </c>
      <c r="H3298" s="1" t="n">
        <v>7</v>
      </c>
      <c r="I3298" s="1" t="inlineStr">
        <is>
          <t>มี</t>
        </is>
      </c>
      <c r="J3298" s="13" t="n">
        <v>59</v>
      </c>
      <c r="K3298" s="1" t="inlineStr"/>
      <c r="L3298" s="13" t="n">
        <v>59</v>
      </c>
      <c r="M3298" s="1">
        <f>IF(L3298="","ไม่พบใน SG",IF(ABS(J3298-L3298)&lt;0.005,"ตรงกัน","ไม่ตรง"))</f>
        <v/>
      </c>
      <c r="N3298" s="14">
        <f>IF(L3298="","",ROUND(L3298*'สรุป'!$C$6,-1))</f>
        <v/>
      </c>
      <c r="O3298" s="15" t="n"/>
      <c r="P3298" s="15" t="n"/>
      <c r="Q3298" s="10" t="n"/>
      <c r="R3298" s="10" t="n"/>
      <c r="S3298" s="16" t="inlineStr">
        <is>
          <t>https://mstgolf.co.th/products/gf2040119489</t>
        </is>
      </c>
      <c r="T3298" s="1">
        <f>IF(B3298="ไม้กอล์ฟ",J3298,"")</f>
        <v/>
      </c>
    </row>
    <row r="3299">
      <c r="A3299" s="1" t="n">
        <v>3</v>
      </c>
      <c r="B3299" s="1" t="inlineStr">
        <is>
          <t>เสื้อผ้า</t>
        </is>
      </c>
      <c r="C3299" s="1" t="inlineStr">
        <is>
          <t>gf2040119388</t>
        </is>
      </c>
      <c r="D3299" s="1" t="inlineStr">
        <is>
          <t>ADIDAS AEROREADY Adizero Bodymapping Women's Mock Shirt (Ruby)</t>
        </is>
      </c>
      <c r="E3299" s="1" t="inlineStr">
        <is>
          <t>ADIDAS</t>
        </is>
      </c>
      <c r="F3299" s="1" t="inlineStr">
        <is>
          <t>SHORT SLEEVES</t>
        </is>
      </c>
      <c r="G3299" s="1" t="inlineStr">
        <is>
          <t>GF20401193882XS</t>
        </is>
      </c>
      <c r="H3299" s="1" t="n">
        <v>7</v>
      </c>
      <c r="I3299" s="1" t="inlineStr">
        <is>
          <t>มี</t>
        </is>
      </c>
      <c r="J3299" s="13" t="n">
        <v>59</v>
      </c>
      <c r="K3299" s="1" t="inlineStr"/>
      <c r="L3299" s="13" t="n">
        <v>59</v>
      </c>
      <c r="M3299" s="1">
        <f>IF(L3299="","ไม่พบใน SG",IF(ABS(J3299-L3299)&lt;0.005,"ตรงกัน","ไม่ตรง"))</f>
        <v/>
      </c>
      <c r="N3299" s="14">
        <f>IF(L3299="","",ROUND(L3299*'สรุป'!$C$6,-1))</f>
        <v/>
      </c>
      <c r="O3299" s="15" t="n"/>
      <c r="P3299" s="15" t="n"/>
      <c r="Q3299" s="10" t="n"/>
      <c r="R3299" s="10" t="n"/>
      <c r="S3299" s="16" t="inlineStr">
        <is>
          <t>https://mstgolf.co.th/products/gf2040119388</t>
        </is>
      </c>
      <c r="T3299" s="1">
        <f>IF(B3299="ไม้กอล์ฟ",J3299,"")</f>
        <v/>
      </c>
    </row>
    <row r="3300">
      <c r="A3300" s="1" t="n">
        <v>3</v>
      </c>
      <c r="B3300" s="1" t="inlineStr">
        <is>
          <t>เสื้อผ้า</t>
        </is>
      </c>
      <c r="C3300" s="1" t="inlineStr">
        <is>
          <t>gf2040119493</t>
        </is>
      </c>
      <c r="D3300" s="1" t="inlineStr">
        <is>
          <t>ADIDAS AEROREADY Adizero Bodymapping Women's Mock Shirt (White)</t>
        </is>
      </c>
      <c r="E3300" s="1" t="inlineStr">
        <is>
          <t>ADIDAS</t>
        </is>
      </c>
      <c r="F3300" s="1" t="inlineStr">
        <is>
          <t>SHORT SLEEVES</t>
        </is>
      </c>
      <c r="G3300" s="1" t="inlineStr">
        <is>
          <t>GF20401194932XS</t>
        </is>
      </c>
      <c r="H3300" s="1" t="n">
        <v>7</v>
      </c>
      <c r="I3300" s="1" t="inlineStr">
        <is>
          <t>มี</t>
        </is>
      </c>
      <c r="J3300" s="13" t="n">
        <v>59</v>
      </c>
      <c r="K3300" s="1" t="inlineStr"/>
      <c r="L3300" s="13" t="n">
        <v>59</v>
      </c>
      <c r="M3300" s="1">
        <f>IF(L3300="","ไม่พบใน SG",IF(ABS(J3300-L3300)&lt;0.005,"ตรงกัน","ไม่ตรง"))</f>
        <v/>
      </c>
      <c r="N3300" s="14">
        <f>IF(L3300="","",ROUND(L3300*'สรุป'!$C$6,-1))</f>
        <v/>
      </c>
      <c r="O3300" s="15" t="n"/>
      <c r="P3300" s="15" t="n"/>
      <c r="Q3300" s="10" t="n"/>
      <c r="R3300" s="10" t="n"/>
      <c r="S3300" s="16" t="inlineStr">
        <is>
          <t>https://mstgolf.co.th/products/gf2040119493</t>
        </is>
      </c>
      <c r="T3300" s="1">
        <f>IF(B3300="ไม้กอล์ฟ",J3300,"")</f>
        <v/>
      </c>
    </row>
    <row r="3301">
      <c r="A3301" s="1" t="n">
        <v>3</v>
      </c>
      <c r="B3301" s="1" t="inlineStr">
        <is>
          <t>เสื้อผ้า</t>
        </is>
      </c>
      <c r="C3301" s="1" t="inlineStr">
        <is>
          <t>gf2040400865</t>
        </is>
      </c>
      <c r="D3301" s="1" t="inlineStr">
        <is>
          <t>ADIDAS Adicross Men's Long Sleeve Polo (White/Orange)</t>
        </is>
      </c>
      <c r="E3301" s="1" t="inlineStr">
        <is>
          <t>ADIDAS</t>
        </is>
      </c>
      <c r="F3301" s="1" t="inlineStr">
        <is>
          <t>LONG SLEEVES</t>
        </is>
      </c>
      <c r="G3301" s="1" t="inlineStr">
        <is>
          <t>GF2040400865S</t>
        </is>
      </c>
      <c r="H3301" s="1" t="n">
        <v>6</v>
      </c>
      <c r="I3301" s="1" t="inlineStr">
        <is>
          <t>มี</t>
        </is>
      </c>
      <c r="J3301" s="13" t="n">
        <v>59</v>
      </c>
      <c r="K3301" s="1" t="inlineStr"/>
      <c r="L3301" s="13" t="n">
        <v>59</v>
      </c>
      <c r="M3301" s="1">
        <f>IF(L3301="","ไม่พบใน SG",IF(ABS(J3301-L3301)&lt;0.005,"ตรงกัน","ไม่ตรง"))</f>
        <v/>
      </c>
      <c r="N3301" s="14">
        <f>IF(L3301="","",ROUND(L3301*'สรุป'!$C$6,-1))</f>
        <v/>
      </c>
      <c r="O3301" s="15" t="n"/>
      <c r="P3301" s="15" t="n"/>
      <c r="Q3301" s="10" t="n"/>
      <c r="R3301" s="10" t="n"/>
      <c r="S3301" s="16" t="inlineStr">
        <is>
          <t>https://mstgolf.co.th/products/gf2040400865</t>
        </is>
      </c>
      <c r="T3301" s="1">
        <f>IF(B3301="ไม้กอล์ฟ",J3301,"")</f>
        <v/>
      </c>
    </row>
    <row r="3302">
      <c r="A3302" s="1" t="n">
        <v>3</v>
      </c>
      <c r="B3302" s="1" t="inlineStr">
        <is>
          <t>เสื้อผ้า</t>
        </is>
      </c>
      <c r="C3302" s="1" t="inlineStr">
        <is>
          <t>gf2020202649</t>
        </is>
      </c>
      <c r="D3302" s="1" t="inlineStr">
        <is>
          <t>ADIDAS Adjustable Boy's Shorts (Black)</t>
        </is>
      </c>
      <c r="E3302" s="1" t="inlineStr">
        <is>
          <t>ADIDAS</t>
        </is>
      </c>
      <c r="F3302" s="1" t="inlineStr">
        <is>
          <t>SHORT PANTS</t>
        </is>
      </c>
      <c r="G3302" s="1" t="inlineStr">
        <is>
          <t>GF2020202649128</t>
        </is>
      </c>
      <c r="H3302" s="1" t="n">
        <v>5</v>
      </c>
      <c r="I3302" s="1" t="inlineStr">
        <is>
          <t>มี</t>
        </is>
      </c>
      <c r="J3302" s="13" t="n">
        <v>59</v>
      </c>
      <c r="K3302" s="1" t="inlineStr"/>
      <c r="L3302" s="13" t="n">
        <v>29</v>
      </c>
      <c r="M3302" s="1">
        <f>IF(L3302="","ไม่พบใน SG",IF(ABS(J3302-L3302)&lt;0.005,"ตรงกัน","ไม่ตรง"))</f>
        <v/>
      </c>
      <c r="N3302" s="14">
        <f>IF(L3302="","",ROUND(L3302*'สรุป'!$C$6,-1))</f>
        <v/>
      </c>
      <c r="O3302" s="15" t="n"/>
      <c r="P3302" s="15" t="n"/>
      <c r="Q3302" s="10" t="n"/>
      <c r="R3302" s="10" t="n"/>
      <c r="S3302" s="16" t="inlineStr">
        <is>
          <t>https://mstgolf.co.th/products/gf2020202649</t>
        </is>
      </c>
      <c r="T3302" s="1">
        <f>IF(B3302="ไม้กอล์ฟ",J3302,"")</f>
        <v/>
      </c>
    </row>
    <row r="3303">
      <c r="A3303" s="1" t="n">
        <v>3</v>
      </c>
      <c r="B3303" s="1" t="inlineStr">
        <is>
          <t>อุปกรณ์เสริม</t>
        </is>
      </c>
      <c r="C3303" s="1" t="inlineStr">
        <is>
          <t>gf2080101312</t>
        </is>
      </c>
      <c r="D3303" s="1" t="inlineStr">
        <is>
          <t>ADIDAS Braided Stretch Belt (Navy)</t>
        </is>
      </c>
      <c r="E3303" s="1" t="inlineStr">
        <is>
          <t>ADIDAS</t>
        </is>
      </c>
      <c r="F3303" s="1" t="inlineStr">
        <is>
          <t>BELT</t>
        </is>
      </c>
      <c r="G3303" s="1" t="inlineStr">
        <is>
          <t>GF2080101312M/L</t>
        </is>
      </c>
      <c r="H3303" s="1" t="n">
        <v>2</v>
      </c>
      <c r="I3303" s="1" t="inlineStr">
        <is>
          <t>มี</t>
        </is>
      </c>
      <c r="J3303" s="13" t="n">
        <v>59</v>
      </c>
      <c r="K3303" s="1" t="inlineStr"/>
      <c r="L3303" s="13" t="n">
        <v>29</v>
      </c>
      <c r="M3303" s="1">
        <f>IF(L3303="","ไม่พบใน SG",IF(ABS(J3303-L3303)&lt;0.005,"ตรงกัน","ไม่ตรง"))</f>
        <v/>
      </c>
      <c r="N3303" s="14">
        <f>IF(L3303="","",ROUND(L3303*'สรุป'!$C$6,-1))</f>
        <v/>
      </c>
      <c r="O3303" s="15" t="n"/>
      <c r="P3303" s="15" t="n"/>
      <c r="Q3303" s="10" t="n"/>
      <c r="R3303" s="10" t="n"/>
      <c r="S3303" s="16" t="inlineStr">
        <is>
          <t>https://mstgolf.co.th/products/gf2080101312</t>
        </is>
      </c>
      <c r="T3303" s="1">
        <f>IF(B3303="ไม้กอล์ฟ",J3303,"")</f>
        <v/>
      </c>
    </row>
    <row r="3304">
      <c r="A3304" s="1" t="n">
        <v>3</v>
      </c>
      <c r="B3304" s="1" t="inlineStr">
        <is>
          <t>เสื้อผ้า</t>
        </is>
      </c>
      <c r="C3304" s="1" t="inlineStr">
        <is>
          <t>gf2020202383</t>
        </is>
      </c>
      <c r="D3304" s="1" t="inlineStr">
        <is>
          <t>ADIDAS Essential Flared Skort (Mauve)</t>
        </is>
      </c>
      <c r="E3304" s="1" t="inlineStr">
        <is>
          <t>ADIDAS</t>
        </is>
      </c>
      <c r="F3304" s="1" t="inlineStr">
        <is>
          <t>SHORT PANTS</t>
        </is>
      </c>
      <c r="G3304" s="1" t="inlineStr">
        <is>
          <t>GF2020202383XS</t>
        </is>
      </c>
      <c r="H3304" s="1" t="n">
        <v>6</v>
      </c>
      <c r="I3304" s="1" t="inlineStr">
        <is>
          <t>มี</t>
        </is>
      </c>
      <c r="J3304" s="13" t="n">
        <v>59</v>
      </c>
      <c r="K3304" s="1" t="inlineStr"/>
      <c r="L3304" s="13" t="n">
        <v>59</v>
      </c>
      <c r="M3304" s="1">
        <f>IF(L3304="","ไม่พบใน SG",IF(ABS(J3304-L3304)&lt;0.005,"ตรงกัน","ไม่ตรง"))</f>
        <v/>
      </c>
      <c r="N3304" s="14">
        <f>IF(L3304="","",ROUND(L3304*'สรุป'!$C$6,-1))</f>
        <v/>
      </c>
      <c r="O3304" s="15" t="n"/>
      <c r="P3304" s="15" t="n"/>
      <c r="Q3304" s="10" t="n"/>
      <c r="R3304" s="10" t="n"/>
      <c r="S3304" s="16" t="inlineStr">
        <is>
          <t>https://mstgolf.co.th/products/gf2020202383</t>
        </is>
      </c>
      <c r="T3304" s="1">
        <f>IF(B3304="ไม้กอล์ฟ",J3304,"")</f>
        <v/>
      </c>
    </row>
    <row r="3305">
      <c r="A3305" s="1" t="n">
        <v>3</v>
      </c>
      <c r="B3305" s="1" t="inlineStr">
        <is>
          <t>เสื้อผ้า</t>
        </is>
      </c>
      <c r="C3305" s="1" t="inlineStr">
        <is>
          <t>gf2040120536</t>
        </is>
      </c>
      <c r="D3305" s="1" t="inlineStr">
        <is>
          <t>ADIDAS Go-To Jacquard Women's Polo (Aurora)</t>
        </is>
      </c>
      <c r="E3305" s="1" t="inlineStr">
        <is>
          <t>ADIDAS</t>
        </is>
      </c>
      <c r="F3305" s="1" t="inlineStr">
        <is>
          <t>SHORT SLEEVES</t>
        </is>
      </c>
      <c r="G3305" s="1" t="inlineStr">
        <is>
          <t>GF20401205362XS</t>
        </is>
      </c>
      <c r="H3305" s="1" t="n">
        <v>7</v>
      </c>
      <c r="I3305" s="1" t="inlineStr">
        <is>
          <t>มี</t>
        </is>
      </c>
      <c r="J3305" s="13" t="n">
        <v>59</v>
      </c>
      <c r="K3305" s="1" t="inlineStr"/>
      <c r="L3305" s="13" t="n">
        <v>43</v>
      </c>
      <c r="M3305" s="1">
        <f>IF(L3305="","ไม่พบใน SG",IF(ABS(J3305-L3305)&lt;0.005,"ตรงกัน","ไม่ตรง"))</f>
        <v/>
      </c>
      <c r="N3305" s="14">
        <f>IF(L3305="","",ROUND(L3305*'สรุป'!$C$6,-1))</f>
        <v/>
      </c>
      <c r="O3305" s="15" t="n"/>
      <c r="P3305" s="15" t="n"/>
      <c r="Q3305" s="10" t="n"/>
      <c r="R3305" s="10" t="n"/>
      <c r="S3305" s="16" t="inlineStr">
        <is>
          <t>https://mstgolf.co.th/products/gf2040120536</t>
        </is>
      </c>
      <c r="T3305" s="1">
        <f>IF(B3305="ไม้กอล์ฟ",J3305,"")</f>
        <v/>
      </c>
    </row>
    <row r="3306">
      <c r="A3306" s="1" t="n">
        <v>3</v>
      </c>
      <c r="B3306" s="1" t="inlineStr">
        <is>
          <t>เสื้อผ้า</t>
        </is>
      </c>
      <c r="C3306" s="1" t="inlineStr">
        <is>
          <t>gf2040120535</t>
        </is>
      </c>
      <c r="D3306" s="1" t="inlineStr">
        <is>
          <t>ADIDAS Go-To Jacquard Women's Polo (Pink)</t>
        </is>
      </c>
      <c r="E3306" s="1" t="inlineStr">
        <is>
          <t>ADIDAS</t>
        </is>
      </c>
      <c r="F3306" s="1" t="inlineStr">
        <is>
          <t>SHORT SLEEVES</t>
        </is>
      </c>
      <c r="G3306" s="1" t="inlineStr">
        <is>
          <t>GF20401205352XS</t>
        </is>
      </c>
      <c r="H3306" s="1" t="n">
        <v>7</v>
      </c>
      <c r="I3306" s="1" t="inlineStr">
        <is>
          <t>มี</t>
        </is>
      </c>
      <c r="J3306" s="13" t="n">
        <v>59</v>
      </c>
      <c r="K3306" s="1" t="inlineStr"/>
      <c r="L3306" s="13" t="n">
        <v>43</v>
      </c>
      <c r="M3306" s="1">
        <f>IF(L3306="","ไม่พบใน SG",IF(ABS(J3306-L3306)&lt;0.005,"ตรงกัน","ไม่ตรง"))</f>
        <v/>
      </c>
      <c r="N3306" s="14">
        <f>IF(L3306="","",ROUND(L3306*'สรุป'!$C$6,-1))</f>
        <v/>
      </c>
      <c r="O3306" s="15" t="n"/>
      <c r="P3306" s="15" t="n"/>
      <c r="Q3306" s="10" t="n"/>
      <c r="R3306" s="10" t="n"/>
      <c r="S3306" s="16" t="inlineStr">
        <is>
          <t>https://mstgolf.co.th/products/gf2040120535</t>
        </is>
      </c>
      <c r="T3306" s="1">
        <f>IF(B3306="ไม้กอล์ฟ",J3306,"")</f>
        <v/>
      </c>
    </row>
    <row r="3307">
      <c r="A3307" s="1" t="n">
        <v>3</v>
      </c>
      <c r="B3307" s="1" t="inlineStr">
        <is>
          <t>เสื้อผ้า</t>
        </is>
      </c>
      <c r="C3307" s="1" t="inlineStr">
        <is>
          <t>gf2040120534</t>
        </is>
      </c>
      <c r="D3307" s="1" t="inlineStr">
        <is>
          <t>ADIDAS Go-To Women's Jacquard Polo (Black)</t>
        </is>
      </c>
      <c r="E3307" s="1" t="inlineStr">
        <is>
          <t>ADIDAS</t>
        </is>
      </c>
      <c r="F3307" s="1" t="inlineStr">
        <is>
          <t>SHORT SLEEVES</t>
        </is>
      </c>
      <c r="G3307" s="1" t="inlineStr">
        <is>
          <t>GF20401205342XS</t>
        </is>
      </c>
      <c r="H3307" s="1" t="n">
        <v>7</v>
      </c>
      <c r="I3307" s="1" t="inlineStr">
        <is>
          <t>มี</t>
        </is>
      </c>
      <c r="J3307" s="13" t="n">
        <v>59</v>
      </c>
      <c r="K3307" s="1" t="inlineStr"/>
      <c r="L3307" s="13" t="n"/>
      <c r="M3307" s="1">
        <f>IF(L3307="","ไม่พบใน SG",IF(ABS(J3307-L3307)&lt;0.005,"ตรงกัน","ไม่ตรง"))</f>
        <v/>
      </c>
      <c r="N3307" s="14">
        <f>IF(L3307="","",ROUND(L3307*'สรุป'!$C$6,-1))</f>
        <v/>
      </c>
      <c r="O3307" s="15" t="n"/>
      <c r="P3307" s="15" t="n"/>
      <c r="Q3307" s="10" t="n"/>
      <c r="R3307" s="10" t="n"/>
      <c r="S3307" s="16" t="inlineStr">
        <is>
          <t>https://mstgolf.co.th/products/gf2040120534</t>
        </is>
      </c>
      <c r="T3307" s="1">
        <f>IF(B3307="ไม้กอล์ฟ",J3307,"")</f>
        <v/>
      </c>
    </row>
    <row r="3308">
      <c r="A3308" s="1" t="n">
        <v>3</v>
      </c>
      <c r="B3308" s="1" t="inlineStr">
        <is>
          <t>เสื้อผ้า</t>
        </is>
      </c>
      <c r="C3308" s="1" t="inlineStr">
        <is>
          <t>gf2020202674</t>
        </is>
      </c>
      <c r="D3308" s="1" t="inlineStr">
        <is>
          <t>ADIDAS Go-To Women's Pleated Shorts (Beige)</t>
        </is>
      </c>
      <c r="E3308" s="1" t="inlineStr">
        <is>
          <t>ADIDAS</t>
        </is>
      </c>
      <c r="F3308" s="1" t="inlineStr">
        <is>
          <t>SHORT PANTS</t>
        </is>
      </c>
      <c r="G3308" s="1" t="inlineStr">
        <is>
          <t>GF20202026742XS</t>
        </is>
      </c>
      <c r="H3308" s="1" t="n">
        <v>7</v>
      </c>
      <c r="I3308" s="1" t="inlineStr">
        <is>
          <t>มี</t>
        </is>
      </c>
      <c r="J3308" s="13" t="n">
        <v>59</v>
      </c>
      <c r="K3308" s="1" t="inlineStr"/>
      <c r="L3308" s="13" t="n">
        <v>59</v>
      </c>
      <c r="M3308" s="1">
        <f>IF(L3308="","ไม่พบใน SG",IF(ABS(J3308-L3308)&lt;0.005,"ตรงกัน","ไม่ตรง"))</f>
        <v/>
      </c>
      <c r="N3308" s="14">
        <f>IF(L3308="","",ROUND(L3308*'สรุป'!$C$6,-1))</f>
        <v/>
      </c>
      <c r="O3308" s="15" t="n"/>
      <c r="P3308" s="15" t="n"/>
      <c r="Q3308" s="10" t="n"/>
      <c r="R3308" s="10" t="n"/>
      <c r="S3308" s="16" t="inlineStr">
        <is>
          <t>https://mstgolf.co.th/products/gf2020202674</t>
        </is>
      </c>
      <c r="T3308" s="1">
        <f>IF(B3308="ไม้กอล์ฟ",J3308,"")</f>
        <v/>
      </c>
    </row>
    <row r="3309">
      <c r="A3309" s="1" t="n">
        <v>3</v>
      </c>
      <c r="B3309" s="1" t="inlineStr">
        <is>
          <t>เสื้อผ้า</t>
        </is>
      </c>
      <c r="C3309" s="1" t="inlineStr">
        <is>
          <t>gf2040119396</t>
        </is>
      </c>
      <c r="D3309" s="1" t="inlineStr">
        <is>
          <t>ADIDAS Golf Emboss Men's Polo (Black)</t>
        </is>
      </c>
      <c r="E3309" s="1" t="inlineStr">
        <is>
          <t>ADIDAS</t>
        </is>
      </c>
      <c r="F3309" s="1" t="inlineStr">
        <is>
          <t>SHORT SLEEVES</t>
        </is>
      </c>
      <c r="G3309" s="1" t="inlineStr">
        <is>
          <t>GF2040119396XS</t>
        </is>
      </c>
      <c r="H3309" s="1" t="n">
        <v>7</v>
      </c>
      <c r="I3309" s="1" t="inlineStr">
        <is>
          <t>มี</t>
        </is>
      </c>
      <c r="J3309" s="13" t="n">
        <v>59</v>
      </c>
      <c r="K3309" s="1" t="inlineStr"/>
      <c r="L3309" s="13" t="n">
        <v>39</v>
      </c>
      <c r="M3309" s="1">
        <f>IF(L3309="","ไม่พบใน SG",IF(ABS(J3309-L3309)&lt;0.005,"ตรงกัน","ไม่ตรง"))</f>
        <v/>
      </c>
      <c r="N3309" s="14">
        <f>IF(L3309="","",ROUND(L3309*'สรุป'!$C$6,-1))</f>
        <v/>
      </c>
      <c r="O3309" s="15" t="n"/>
      <c r="P3309" s="15" t="n"/>
      <c r="Q3309" s="10" t="n"/>
      <c r="R3309" s="10" t="n"/>
      <c r="S3309" s="16" t="inlineStr">
        <is>
          <t>https://mstgolf.co.th/products/gf2040119396</t>
        </is>
      </c>
      <c r="T3309" s="1">
        <f>IF(B3309="ไม้กอล์ฟ",J3309,"")</f>
        <v/>
      </c>
    </row>
    <row r="3310">
      <c r="A3310" s="1" t="n">
        <v>3</v>
      </c>
      <c r="B3310" s="1" t="inlineStr">
        <is>
          <t>เสื้อผ้า</t>
        </is>
      </c>
      <c r="C3310" s="1" t="inlineStr">
        <is>
          <t>gf2040119397</t>
        </is>
      </c>
      <c r="D3310" s="1" t="inlineStr">
        <is>
          <t>ADIDAS Golf Emboss Men's Polo (Olive)</t>
        </is>
      </c>
      <c r="E3310" s="1" t="inlineStr">
        <is>
          <t>ADIDAS</t>
        </is>
      </c>
      <c r="F3310" s="1" t="inlineStr">
        <is>
          <t>SHORT SLEEVES</t>
        </is>
      </c>
      <c r="G3310" s="1" t="inlineStr">
        <is>
          <t>GF2040119397XS</t>
        </is>
      </c>
      <c r="H3310" s="1" t="n">
        <v>7</v>
      </c>
      <c r="I3310" s="1" t="inlineStr">
        <is>
          <t>มี</t>
        </is>
      </c>
      <c r="J3310" s="13" t="n">
        <v>59</v>
      </c>
      <c r="K3310" s="1" t="inlineStr"/>
      <c r="L3310" s="13" t="n">
        <v>39</v>
      </c>
      <c r="M3310" s="1">
        <f>IF(L3310="","ไม่พบใน SG",IF(ABS(J3310-L3310)&lt;0.005,"ตรงกัน","ไม่ตรง"))</f>
        <v/>
      </c>
      <c r="N3310" s="14">
        <f>IF(L3310="","",ROUND(L3310*'สรุป'!$C$6,-1))</f>
        <v/>
      </c>
      <c r="O3310" s="15" t="n"/>
      <c r="P3310" s="15" t="n"/>
      <c r="Q3310" s="10" t="n"/>
      <c r="R3310" s="10" t="n"/>
      <c r="S3310" s="16" t="inlineStr">
        <is>
          <t>https://mstgolf.co.th/products/gf2040119397</t>
        </is>
      </c>
      <c r="T3310" s="1">
        <f>IF(B3310="ไม้กอล์ฟ",J3310,"")</f>
        <v/>
      </c>
    </row>
    <row r="3311">
      <c r="A3311" s="1" t="n">
        <v>3</v>
      </c>
      <c r="B3311" s="1" t="inlineStr">
        <is>
          <t>หมวก</t>
        </is>
      </c>
      <c r="C3311" s="1" t="inlineStr">
        <is>
          <t>gf2000300518</t>
        </is>
      </c>
      <c r="D3311" s="1" t="inlineStr">
        <is>
          <t>ADIDAS Hydrochromic Camo Women's Bucket Hat (Grey)</t>
        </is>
      </c>
      <c r="E3311" s="1" t="inlineStr">
        <is>
          <t>ADIDAS</t>
        </is>
      </c>
      <c r="F3311" s="1" t="inlineStr">
        <is>
          <t>HAT</t>
        </is>
      </c>
      <c r="G3311" s="1" t="inlineStr">
        <is>
          <t>GF2000300518FS</t>
        </is>
      </c>
      <c r="H3311" s="1" t="n">
        <v>1</v>
      </c>
      <c r="I3311" s="1" t="inlineStr">
        <is>
          <t>มี</t>
        </is>
      </c>
      <c r="J3311" s="13" t="n">
        <v>59</v>
      </c>
      <c r="K3311" s="1" t="inlineStr"/>
      <c r="L3311" s="13" t="n">
        <v>29</v>
      </c>
      <c r="M3311" s="1">
        <f>IF(L3311="","ไม่พบใน SG",IF(ABS(J3311-L3311)&lt;0.005,"ตรงกัน","ไม่ตรง"))</f>
        <v/>
      </c>
      <c r="N3311" s="14">
        <f>IF(L3311="","",ROUND(L3311*'สรุป'!$C$6,-1))</f>
        <v/>
      </c>
      <c r="O3311" s="15" t="n"/>
      <c r="P3311" s="15" t="n"/>
      <c r="Q3311" s="10" t="n"/>
      <c r="R3311" s="10" t="n"/>
      <c r="S3311" s="16" t="inlineStr">
        <is>
          <t>https://mstgolf.co.th/products/gf2000300518</t>
        </is>
      </c>
      <c r="T3311" s="1">
        <f>IF(B3311="ไม้กอล์ฟ",J3311,"")</f>
        <v/>
      </c>
    </row>
    <row r="3312">
      <c r="A3312" s="1" t="n">
        <v>3</v>
      </c>
      <c r="B3312" s="1" t="inlineStr">
        <is>
          <t>หมวก</t>
        </is>
      </c>
      <c r="C3312" s="1" t="inlineStr">
        <is>
          <t>gf2000300519</t>
        </is>
      </c>
      <c r="D3312" s="1" t="inlineStr">
        <is>
          <t>ADIDAS Hydrochromic Camo Women's Bucket Hat (Purple)</t>
        </is>
      </c>
      <c r="E3312" s="1" t="inlineStr">
        <is>
          <t>ADIDAS</t>
        </is>
      </c>
      <c r="F3312" s="1" t="inlineStr">
        <is>
          <t>HAT</t>
        </is>
      </c>
      <c r="G3312" s="1" t="inlineStr">
        <is>
          <t>GF2000300519FS</t>
        </is>
      </c>
      <c r="H3312" s="1" t="n">
        <v>1</v>
      </c>
      <c r="I3312" s="1" t="inlineStr">
        <is>
          <t>มี</t>
        </is>
      </c>
      <c r="J3312" s="13" t="n">
        <v>59</v>
      </c>
      <c r="K3312" s="1" t="inlineStr"/>
      <c r="L3312" s="13" t="n">
        <v>29</v>
      </c>
      <c r="M3312" s="1">
        <f>IF(L3312="","ไม่พบใน SG",IF(ABS(J3312-L3312)&lt;0.005,"ตรงกัน","ไม่ตรง"))</f>
        <v/>
      </c>
      <c r="N3312" s="14">
        <f>IF(L3312="","",ROUND(L3312*'สรุป'!$C$6,-1))</f>
        <v/>
      </c>
      <c r="O3312" s="15" t="n"/>
      <c r="P3312" s="15" t="n"/>
      <c r="Q3312" s="10" t="n"/>
      <c r="R3312" s="10" t="n"/>
      <c r="S3312" s="16" t="inlineStr">
        <is>
          <t>https://mstgolf.co.th/products/gf2000300519</t>
        </is>
      </c>
      <c r="T3312" s="1">
        <f>IF(B3312="ไม้กอล์ฟ",J3312,"")</f>
        <v/>
      </c>
    </row>
    <row r="3313">
      <c r="A3313" s="1" t="n">
        <v>3</v>
      </c>
      <c r="B3313" s="1" t="inlineStr">
        <is>
          <t>เสื้อผ้า</t>
        </is>
      </c>
      <c r="C3313" s="1" t="inlineStr">
        <is>
          <t>gf2020102114</t>
        </is>
      </c>
      <c r="D3313" s="1" t="inlineStr">
        <is>
          <t>ADIDAS Statement 3-Stripes Pants (Black)</t>
        </is>
      </c>
      <c r="E3313" s="1" t="inlineStr">
        <is>
          <t>ADIDAS</t>
        </is>
      </c>
      <c r="F3313" s="1" t="inlineStr">
        <is>
          <t>LONG PANTS</t>
        </is>
      </c>
      <c r="G3313" s="1" t="inlineStr">
        <is>
          <t>GF202010211473</t>
        </is>
      </c>
      <c r="H3313" s="1" t="n">
        <v>6</v>
      </c>
      <c r="I3313" s="1" t="inlineStr">
        <is>
          <t>มี</t>
        </is>
      </c>
      <c r="J3313" s="13" t="n">
        <v>59</v>
      </c>
      <c r="K3313" s="1" t="inlineStr"/>
      <c r="L3313" s="13" t="n">
        <v>59</v>
      </c>
      <c r="M3313" s="1">
        <f>IF(L3313="","ไม่พบใน SG",IF(ABS(J3313-L3313)&lt;0.005,"ตรงกัน","ไม่ตรง"))</f>
        <v/>
      </c>
      <c r="N3313" s="14">
        <f>IF(L3313="","",ROUND(L3313*'สรุป'!$C$6,-1))</f>
        <v/>
      </c>
      <c r="O3313" s="15" t="n"/>
      <c r="P3313" s="15" t="n"/>
      <c r="Q3313" s="10" t="n"/>
      <c r="R3313" s="10" t="n"/>
      <c r="S3313" s="16" t="inlineStr">
        <is>
          <t>https://mstgolf.co.th/products/gf2020102114</t>
        </is>
      </c>
      <c r="T3313" s="1">
        <f>IF(B3313="ไม้กอล์ฟ",J3313,"")</f>
        <v/>
      </c>
    </row>
    <row r="3314">
      <c r="A3314" s="1" t="n">
        <v>3</v>
      </c>
      <c r="B3314" s="1" t="inlineStr">
        <is>
          <t>เสื้อผ้า</t>
        </is>
      </c>
      <c r="C3314" s="1" t="inlineStr">
        <is>
          <t>gf2020102492</t>
        </is>
      </c>
      <c r="D3314" s="1" t="inlineStr">
        <is>
          <t>ADIDAS TWISTWEAVE Boot Cut Women's Pants (Black)</t>
        </is>
      </c>
      <c r="E3314" s="1" t="inlineStr">
        <is>
          <t>ADIDAS</t>
        </is>
      </c>
      <c r="F3314" s="1" t="inlineStr">
        <is>
          <t>LONG PANTS</t>
        </is>
      </c>
      <c r="G3314" s="1" t="inlineStr">
        <is>
          <t>GF2020102492XS</t>
        </is>
      </c>
      <c r="H3314" s="1" t="n">
        <v>6</v>
      </c>
      <c r="I3314" s="1" t="inlineStr">
        <is>
          <t>มี</t>
        </is>
      </c>
      <c r="J3314" s="13" t="n">
        <v>59</v>
      </c>
      <c r="K3314" s="1" t="inlineStr"/>
      <c r="L3314" s="13" t="n">
        <v>59</v>
      </c>
      <c r="M3314" s="1">
        <f>IF(L3314="","ไม่พบใน SG",IF(ABS(J3314-L3314)&lt;0.005,"ตรงกัน","ไม่ตรง"))</f>
        <v/>
      </c>
      <c r="N3314" s="14">
        <f>IF(L3314="","",ROUND(L3314*'สรุป'!$C$6,-1))</f>
        <v/>
      </c>
      <c r="O3314" s="15" t="n"/>
      <c r="P3314" s="15" t="n"/>
      <c r="Q3314" s="10" t="n"/>
      <c r="R3314" s="10" t="n"/>
      <c r="S3314" s="16" t="inlineStr">
        <is>
          <t>https://mstgolf.co.th/products/gf2020102492</t>
        </is>
      </c>
      <c r="T3314" s="1">
        <f>IF(B3314="ไม้กอล์ฟ",J3314,"")</f>
        <v/>
      </c>
    </row>
    <row r="3315">
      <c r="A3315" s="1" t="n">
        <v>3</v>
      </c>
      <c r="B3315" s="1" t="inlineStr">
        <is>
          <t>เสื้อผ้า</t>
        </is>
      </c>
      <c r="C3315" s="1" t="inlineStr">
        <is>
          <t>gf2020102491</t>
        </is>
      </c>
      <c r="D3315" s="1" t="inlineStr">
        <is>
          <t>ADIDAS TWISTWEAVE Boot Cut Women's Pants (White)</t>
        </is>
      </c>
      <c r="E3315" s="1" t="inlineStr">
        <is>
          <t>ADIDAS</t>
        </is>
      </c>
      <c r="F3315" s="1" t="inlineStr">
        <is>
          <t>LONG PANTS</t>
        </is>
      </c>
      <c r="G3315" s="1" t="inlineStr">
        <is>
          <t>GF2020102491XS</t>
        </is>
      </c>
      <c r="H3315" s="1" t="n">
        <v>6</v>
      </c>
      <c r="I3315" s="1" t="inlineStr">
        <is>
          <t>มี</t>
        </is>
      </c>
      <c r="J3315" s="13" t="n">
        <v>59</v>
      </c>
      <c r="K3315" s="1" t="inlineStr"/>
      <c r="L3315" s="13" t="n">
        <v>49</v>
      </c>
      <c r="M3315" s="1">
        <f>IF(L3315="","ไม่พบใน SG",IF(ABS(J3315-L3315)&lt;0.005,"ตรงกัน","ไม่ตรง"))</f>
        <v/>
      </c>
      <c r="N3315" s="14">
        <f>IF(L3315="","",ROUND(L3315*'สรุป'!$C$6,-1))</f>
        <v/>
      </c>
      <c r="O3315" s="15" t="n"/>
      <c r="P3315" s="15" t="n"/>
      <c r="Q3315" s="10" t="n"/>
      <c r="R3315" s="10" t="n"/>
      <c r="S3315" s="16" t="inlineStr">
        <is>
          <t>https://mstgolf.co.th/products/gf2020102491</t>
        </is>
      </c>
      <c r="T3315" s="1">
        <f>IF(B3315="ไม้กอล์ฟ",J3315,"")</f>
        <v/>
      </c>
    </row>
    <row r="3316">
      <c r="A3316" s="1" t="n">
        <v>3</v>
      </c>
      <c r="B3316" s="1" t="inlineStr">
        <is>
          <t>เสื้อผ้า</t>
        </is>
      </c>
      <c r="C3316" s="1" t="inlineStr">
        <is>
          <t>gf2040401442</t>
        </is>
      </c>
      <c r="D3316" s="1" t="inlineStr">
        <is>
          <t>ADIDAS Ultimate365 Jacquard Long Sleeve Mock Shirt (Taupe)</t>
        </is>
      </c>
      <c r="E3316" s="1" t="inlineStr">
        <is>
          <t>ADIDAS</t>
        </is>
      </c>
      <c r="F3316" s="1" t="inlineStr">
        <is>
          <t>LONG SLEEVES</t>
        </is>
      </c>
      <c r="G3316" s="1" t="inlineStr">
        <is>
          <t>GF20404014422XS</t>
        </is>
      </c>
      <c r="H3316" s="1" t="n">
        <v>7</v>
      </c>
      <c r="I3316" s="1" t="inlineStr">
        <is>
          <t>มี</t>
        </is>
      </c>
      <c r="J3316" s="13" t="n">
        <v>59</v>
      </c>
      <c r="K3316" s="1" t="inlineStr"/>
      <c r="L3316" s="13" t="n">
        <v>59</v>
      </c>
      <c r="M3316" s="1">
        <f>IF(L3316="","ไม่พบใน SG",IF(ABS(J3316-L3316)&lt;0.005,"ตรงกัน","ไม่ตรง"))</f>
        <v/>
      </c>
      <c r="N3316" s="14">
        <f>IF(L3316="","",ROUND(L3316*'สรุป'!$C$6,-1))</f>
        <v/>
      </c>
      <c r="O3316" s="15" t="n"/>
      <c r="P3316" s="15" t="n"/>
      <c r="Q3316" s="10" t="n"/>
      <c r="R3316" s="10" t="n"/>
      <c r="S3316" s="16" t="inlineStr">
        <is>
          <t>https://mstgolf.co.th/products/gf2040401442</t>
        </is>
      </c>
      <c r="T3316" s="1">
        <f>IF(B3316="ไม้กอล์ฟ",J3316,"")</f>
        <v/>
      </c>
    </row>
    <row r="3317">
      <c r="A3317" s="1" t="n">
        <v>3</v>
      </c>
      <c r="B3317" s="1" t="inlineStr">
        <is>
          <t>เสื้อผ้า</t>
        </is>
      </c>
      <c r="C3317" s="1" t="inlineStr">
        <is>
          <t>gf2040119460</t>
        </is>
      </c>
      <c r="D3317" s="1" t="inlineStr">
        <is>
          <t>ADIDAS Ultimate365 Printed Cool Feeling Tour Men's Polo (Black/Grey)</t>
        </is>
      </c>
      <c r="E3317" s="1" t="inlineStr">
        <is>
          <t>ADIDAS</t>
        </is>
      </c>
      <c r="F3317" s="1" t="inlineStr">
        <is>
          <t>SHORT SLEEVES</t>
        </is>
      </c>
      <c r="G3317" s="1" t="inlineStr">
        <is>
          <t>GF20401194602XS</t>
        </is>
      </c>
      <c r="H3317" s="1" t="n">
        <v>8</v>
      </c>
      <c r="I3317" s="1" t="inlineStr">
        <is>
          <t>มี</t>
        </is>
      </c>
      <c r="J3317" s="13" t="n">
        <v>59</v>
      </c>
      <c r="K3317" s="1" t="inlineStr"/>
      <c r="L3317" s="13" t="n">
        <v>59</v>
      </c>
      <c r="M3317" s="1">
        <f>IF(L3317="","ไม่พบใน SG",IF(ABS(J3317-L3317)&lt;0.005,"ตรงกัน","ไม่ตรง"))</f>
        <v/>
      </c>
      <c r="N3317" s="14">
        <f>IF(L3317="","",ROUND(L3317*'สรุป'!$C$6,-1))</f>
        <v/>
      </c>
      <c r="O3317" s="15" t="n"/>
      <c r="P3317" s="15" t="n"/>
      <c r="Q3317" s="10" t="n"/>
      <c r="R3317" s="10" t="n"/>
      <c r="S3317" s="16" t="inlineStr">
        <is>
          <t>https://mstgolf.co.th/products/gf2040119460</t>
        </is>
      </c>
      <c r="T3317" s="1">
        <f>IF(B3317="ไม้กอล์ฟ",J3317,"")</f>
        <v/>
      </c>
    </row>
    <row r="3318">
      <c r="A3318" s="1" t="n">
        <v>3</v>
      </c>
      <c r="B3318" s="1" t="inlineStr">
        <is>
          <t>เสื้อผ้า</t>
        </is>
      </c>
      <c r="C3318" s="1" t="inlineStr">
        <is>
          <t>gf2040119458</t>
        </is>
      </c>
      <c r="D3318" s="1" t="inlineStr">
        <is>
          <t>ADIDAS Ultimate365 Printed Cool Feeling Tour Men's Polo (Grey/White)</t>
        </is>
      </c>
      <c r="E3318" s="1" t="inlineStr">
        <is>
          <t>ADIDAS</t>
        </is>
      </c>
      <c r="F3318" s="1" t="inlineStr">
        <is>
          <t>SHORT SLEEVES</t>
        </is>
      </c>
      <c r="G3318" s="1" t="inlineStr">
        <is>
          <t>GF20401194582XS</t>
        </is>
      </c>
      <c r="H3318" s="1" t="n">
        <v>8</v>
      </c>
      <c r="I3318" s="1" t="inlineStr">
        <is>
          <t>มี</t>
        </is>
      </c>
      <c r="J3318" s="13" t="n">
        <v>59</v>
      </c>
      <c r="K3318" s="1" t="inlineStr"/>
      <c r="L3318" s="13" t="n">
        <v>59</v>
      </c>
      <c r="M3318" s="1">
        <f>IF(L3318="","ไม่พบใน SG",IF(ABS(J3318-L3318)&lt;0.005,"ตรงกัน","ไม่ตรง"))</f>
        <v/>
      </c>
      <c r="N3318" s="14">
        <f>IF(L3318="","",ROUND(L3318*'สรุป'!$C$6,-1))</f>
        <v/>
      </c>
      <c r="O3318" s="15" t="n"/>
      <c r="P3318" s="15" t="n"/>
      <c r="Q3318" s="10" t="n"/>
      <c r="R3318" s="10" t="n"/>
      <c r="S3318" s="16" t="inlineStr">
        <is>
          <t>https://mstgolf.co.th/products/gf2040119458</t>
        </is>
      </c>
      <c r="T3318" s="1">
        <f>IF(B3318="ไม้กอล์ฟ",J3318,"")</f>
        <v/>
      </c>
    </row>
    <row r="3319">
      <c r="A3319" s="1" t="n">
        <v>3</v>
      </c>
      <c r="B3319" s="1" t="inlineStr">
        <is>
          <t>เสื้อผ้า</t>
        </is>
      </c>
      <c r="C3319" s="1" t="inlineStr">
        <is>
          <t>gf2040300148</t>
        </is>
      </c>
      <c r="D3319" s="1" t="inlineStr">
        <is>
          <t>ADIDAS Ultimate365 Solid Dress (Navy)</t>
        </is>
      </c>
      <c r="E3319" s="1" t="inlineStr">
        <is>
          <t>ADIDAS</t>
        </is>
      </c>
      <c r="F3319" s="1" t="inlineStr">
        <is>
          <t>DRESS</t>
        </is>
      </c>
      <c r="G3319" s="1" t="inlineStr">
        <is>
          <t>GF20403001482XS</t>
        </is>
      </c>
      <c r="H3319" s="1" t="n">
        <v>7</v>
      </c>
      <c r="I3319" s="1" t="inlineStr">
        <is>
          <t>มี</t>
        </is>
      </c>
      <c r="J3319" s="13" t="n">
        <v>59</v>
      </c>
      <c r="K3319" s="1" t="inlineStr"/>
      <c r="L3319" s="13" t="n">
        <v>59</v>
      </c>
      <c r="M3319" s="1">
        <f>IF(L3319="","ไม่พบใน SG",IF(ABS(J3319-L3319)&lt;0.005,"ตรงกัน","ไม่ตรง"))</f>
        <v/>
      </c>
      <c r="N3319" s="14">
        <f>IF(L3319="","",ROUND(L3319*'สรุป'!$C$6,-1))</f>
        <v/>
      </c>
      <c r="O3319" s="15" t="n"/>
      <c r="P3319" s="15" t="n"/>
      <c r="Q3319" s="10" t="n"/>
      <c r="R3319" s="10" t="n"/>
      <c r="S3319" s="16" t="inlineStr">
        <is>
          <t>https://mstgolf.co.th/products/gf2040300148</t>
        </is>
      </c>
      <c r="T3319" s="1">
        <f>IF(B3319="ไม้กอล์ฟ",J3319,"")</f>
        <v/>
      </c>
    </row>
    <row r="3320">
      <c r="A3320" s="1" t="n">
        <v>3</v>
      </c>
      <c r="B3320" s="1" t="inlineStr">
        <is>
          <t>เสื้อผ้า</t>
        </is>
      </c>
      <c r="C3320" s="1" t="inlineStr">
        <is>
          <t>gf2040120555</t>
        </is>
      </c>
      <c r="D3320" s="1" t="inlineStr">
        <is>
          <t>ADIDAS Ultimate365 Tour Engineered Women's T-Shirt (White)</t>
        </is>
      </c>
      <c r="E3320" s="1" t="inlineStr">
        <is>
          <t>ADIDAS</t>
        </is>
      </c>
      <c r="F3320" s="1" t="inlineStr">
        <is>
          <t>SHORT SLEEVES</t>
        </is>
      </c>
      <c r="G3320" s="1" t="inlineStr">
        <is>
          <t>GF2040120555XS</t>
        </is>
      </c>
      <c r="H3320" s="1" t="n">
        <v>6</v>
      </c>
      <c r="I3320" s="1" t="inlineStr">
        <is>
          <t>มี</t>
        </is>
      </c>
      <c r="J3320" s="13" t="n">
        <v>59</v>
      </c>
      <c r="K3320" s="1" t="inlineStr"/>
      <c r="L3320" s="13" t="n">
        <v>43</v>
      </c>
      <c r="M3320" s="1">
        <f>IF(L3320="","ไม่พบใน SG",IF(ABS(J3320-L3320)&lt;0.005,"ตรงกัน","ไม่ตรง"))</f>
        <v/>
      </c>
      <c r="N3320" s="14">
        <f>IF(L3320="","",ROUND(L3320*'สรุป'!$C$6,-1))</f>
        <v/>
      </c>
      <c r="O3320" s="15" t="n"/>
      <c r="P3320" s="15" t="n"/>
      <c r="Q3320" s="10" t="n"/>
      <c r="R3320" s="10" t="n"/>
      <c r="S3320" s="16" t="inlineStr">
        <is>
          <t>https://mstgolf.co.th/products/gf2040120555</t>
        </is>
      </c>
      <c r="T3320" s="1">
        <f>IF(B3320="ไม้กอล์ฟ",J3320,"")</f>
        <v/>
      </c>
    </row>
    <row r="3321">
      <c r="A3321" s="1" t="n">
        <v>3</v>
      </c>
      <c r="B3321" s="1" t="inlineStr">
        <is>
          <t>เสื้อผ้า</t>
        </is>
      </c>
      <c r="C3321" s="1" t="inlineStr">
        <is>
          <t>gf2060100960</t>
        </is>
      </c>
      <c r="D3321" s="1" t="inlineStr">
        <is>
          <t>ADIDAS WIND.RDY Women's Jacket (Clay)</t>
        </is>
      </c>
      <c r="E3321" s="1" t="inlineStr">
        <is>
          <t>ADIDAS</t>
        </is>
      </c>
      <c r="F3321" s="1" t="inlineStr">
        <is>
          <t>TOP</t>
        </is>
      </c>
      <c r="G3321" s="1" t="inlineStr">
        <is>
          <t>GF20601009602XS</t>
        </is>
      </c>
      <c r="H3321" s="1" t="n">
        <v>7</v>
      </c>
      <c r="I3321" s="1" t="inlineStr">
        <is>
          <t>มี</t>
        </is>
      </c>
      <c r="J3321" s="13" t="n">
        <v>59</v>
      </c>
      <c r="K3321" s="1" t="inlineStr"/>
      <c r="L3321" s="13" t="n">
        <v>59</v>
      </c>
      <c r="M3321" s="1">
        <f>IF(L3321="","ไม่พบใน SG",IF(ABS(J3321-L3321)&lt;0.005,"ตรงกัน","ไม่ตรง"))</f>
        <v/>
      </c>
      <c r="N3321" s="14">
        <f>IF(L3321="","",ROUND(L3321*'สรุป'!$C$6,-1))</f>
        <v/>
      </c>
      <c r="O3321" s="15" t="n"/>
      <c r="P3321" s="15" t="n"/>
      <c r="Q3321" s="10" t="n"/>
      <c r="R3321" s="10" t="n"/>
      <c r="S3321" s="16" t="inlineStr">
        <is>
          <t>https://mstgolf.co.th/products/gf2060100960</t>
        </is>
      </c>
      <c r="T3321" s="1">
        <f>IF(B3321="ไม้กอล์ฟ",J3321,"")</f>
        <v/>
      </c>
    </row>
    <row r="3322">
      <c r="A3322" s="1" t="n">
        <v>3</v>
      </c>
      <c r="B3322" s="1" t="inlineStr">
        <is>
          <t>เสื้อผ้า</t>
        </is>
      </c>
      <c r="C3322" s="1" t="inlineStr">
        <is>
          <t>gf2040117552</t>
        </is>
      </c>
      <c r="D3322" s="1" t="inlineStr">
        <is>
          <t>CALVIN KLEIN Canvas Print Women's Polo (Berry Pink)</t>
        </is>
      </c>
      <c r="E3322" s="1" t="inlineStr">
        <is>
          <t>CALVIN KLEIN</t>
        </is>
      </c>
      <c r="F3322" s="1" t="inlineStr">
        <is>
          <t>SHORT SLEEVES</t>
        </is>
      </c>
      <c r="G3322" s="1" t="inlineStr">
        <is>
          <t>GF2040117552XS</t>
        </is>
      </c>
      <c r="H3322" s="1" t="n">
        <v>5</v>
      </c>
      <c r="I3322" s="1" t="inlineStr">
        <is>
          <t>มี</t>
        </is>
      </c>
      <c r="J3322" s="13" t="n">
        <v>59</v>
      </c>
      <c r="K3322" s="1" t="inlineStr"/>
      <c r="L3322" s="13" t="n">
        <v>59</v>
      </c>
      <c r="M3322" s="1">
        <f>IF(L3322="","ไม่พบใน SG",IF(ABS(J3322-L3322)&lt;0.005,"ตรงกัน","ไม่ตรง"))</f>
        <v/>
      </c>
      <c r="N3322" s="14">
        <f>IF(L3322="","",ROUND(L3322*'สรุป'!$C$6,-1))</f>
        <v/>
      </c>
      <c r="O3322" s="15" t="n"/>
      <c r="P3322" s="15" t="n"/>
      <c r="Q3322" s="10" t="n"/>
      <c r="R3322" s="10" t="n"/>
      <c r="S3322" s="16" t="inlineStr">
        <is>
          <t>https://mstgolf.co.th/products/gf2040117552</t>
        </is>
      </c>
      <c r="T3322" s="1">
        <f>IF(B3322="ไม้กอล์ฟ",J3322,"")</f>
        <v/>
      </c>
    </row>
    <row r="3323">
      <c r="A3323" s="1" t="n">
        <v>3</v>
      </c>
      <c r="B3323" s="1" t="inlineStr">
        <is>
          <t>เสื้อผ้า</t>
        </is>
      </c>
      <c r="C3323" s="1" t="inlineStr">
        <is>
          <t>gf2040117553</t>
        </is>
      </c>
      <c r="D3323" s="1" t="inlineStr">
        <is>
          <t>CALVIN KLEIN Canvas Print Women's Polo (Peach Cobbler)</t>
        </is>
      </c>
      <c r="E3323" s="1" t="inlineStr">
        <is>
          <t>CALVIN KLEIN</t>
        </is>
      </c>
      <c r="F3323" s="1" t="inlineStr">
        <is>
          <t>SHORT SLEEVES</t>
        </is>
      </c>
      <c r="G3323" s="1" t="inlineStr">
        <is>
          <t>GF2040117553XS</t>
        </is>
      </c>
      <c r="H3323" s="1" t="n">
        <v>5</v>
      </c>
      <c r="I3323" s="1" t="inlineStr">
        <is>
          <t>มี</t>
        </is>
      </c>
      <c r="J3323" s="13" t="n">
        <v>59</v>
      </c>
      <c r="K3323" s="1" t="inlineStr"/>
      <c r="L3323" s="13" t="n">
        <v>59</v>
      </c>
      <c r="M3323" s="1">
        <f>IF(L3323="","ไม่พบใน SG",IF(ABS(J3323-L3323)&lt;0.005,"ตรงกัน","ไม่ตรง"))</f>
        <v/>
      </c>
      <c r="N3323" s="14">
        <f>IF(L3323="","",ROUND(L3323*'สรุป'!$C$6,-1))</f>
        <v/>
      </c>
      <c r="O3323" s="15" t="n"/>
      <c r="P3323" s="15" t="n"/>
      <c r="Q3323" s="10" t="n"/>
      <c r="R3323" s="10" t="n"/>
      <c r="S3323" s="16" t="inlineStr">
        <is>
          <t>https://mstgolf.co.th/products/gf2040117553</t>
        </is>
      </c>
      <c r="T3323" s="1">
        <f>IF(B3323="ไม้กอล์ฟ",J3323,"")</f>
        <v/>
      </c>
    </row>
    <row r="3324">
      <c r="A3324" s="1" t="n">
        <v>3</v>
      </c>
      <c r="B3324" s="1" t="inlineStr">
        <is>
          <t>เสื้อผ้า</t>
        </is>
      </c>
      <c r="C3324" s="1" t="inlineStr">
        <is>
          <t>gf2040115357</t>
        </is>
      </c>
      <c r="D3324" s="1" t="inlineStr">
        <is>
          <t>CALVIN KLEIN Fracture Print Men's Polo (Boy Blue)</t>
        </is>
      </c>
      <c r="E3324" s="1" t="inlineStr">
        <is>
          <t>CALVIN KLEIN</t>
        </is>
      </c>
      <c r="F3324" s="1" t="inlineStr">
        <is>
          <t>SHORT SLEEVES</t>
        </is>
      </c>
      <c r="G3324" s="1" t="inlineStr">
        <is>
          <t>GF2040115357S</t>
        </is>
      </c>
      <c r="H3324" s="1" t="n">
        <v>5</v>
      </c>
      <c r="I3324" s="1" t="inlineStr">
        <is>
          <t>มี</t>
        </is>
      </c>
      <c r="J3324" s="13" t="n">
        <v>59</v>
      </c>
      <c r="K3324" s="1" t="inlineStr"/>
      <c r="L3324" s="13" t="n">
        <v>59</v>
      </c>
      <c r="M3324" s="1">
        <f>IF(L3324="","ไม่พบใน SG",IF(ABS(J3324-L3324)&lt;0.005,"ตรงกัน","ไม่ตรง"))</f>
        <v/>
      </c>
      <c r="N3324" s="14">
        <f>IF(L3324="","",ROUND(L3324*'สรุป'!$C$6,-1))</f>
        <v/>
      </c>
      <c r="O3324" s="15" t="n"/>
      <c r="P3324" s="15" t="n"/>
      <c r="Q3324" s="10" t="n"/>
      <c r="R3324" s="10" t="n"/>
      <c r="S3324" s="16" t="inlineStr">
        <is>
          <t>https://mstgolf.co.th/products/gf2040115357</t>
        </is>
      </c>
      <c r="T3324" s="1">
        <f>IF(B3324="ไม้กอล์ฟ",J3324,"")</f>
        <v/>
      </c>
    </row>
    <row r="3325">
      <c r="A3325" s="1" t="n">
        <v>3</v>
      </c>
      <c r="B3325" s="1" t="inlineStr">
        <is>
          <t>เสื้อผ้า</t>
        </is>
      </c>
      <c r="C3325" s="1" t="inlineStr">
        <is>
          <t>gf2020202020</t>
        </is>
      </c>
      <c r="D3325" s="1" t="inlineStr">
        <is>
          <t>CALVIN KLEIN Genius 4-Way Stretch Men's Shorts (Black)</t>
        </is>
      </c>
      <c r="E3325" s="1" t="inlineStr">
        <is>
          <t>CALVIN KLEIN</t>
        </is>
      </c>
      <c r="F3325" s="1" t="inlineStr">
        <is>
          <t>SHORT PANTS</t>
        </is>
      </c>
      <c r="G3325" s="1" t="inlineStr">
        <is>
          <t>GF202020202030</t>
        </is>
      </c>
      <c r="H3325" s="1" t="n">
        <v>7</v>
      </c>
      <c r="I3325" s="1" t="inlineStr">
        <is>
          <t>มี</t>
        </is>
      </c>
      <c r="J3325" s="13" t="n">
        <v>59</v>
      </c>
      <c r="K3325" s="1" t="inlineStr"/>
      <c r="L3325" s="13" t="n">
        <v>59</v>
      </c>
      <c r="M3325" s="1">
        <f>IF(L3325="","ไม่พบใน SG",IF(ABS(J3325-L3325)&lt;0.005,"ตรงกัน","ไม่ตรง"))</f>
        <v/>
      </c>
      <c r="N3325" s="14">
        <f>IF(L3325="","",ROUND(L3325*'สรุป'!$C$6,-1))</f>
        <v/>
      </c>
      <c r="O3325" s="15" t="n"/>
      <c r="P3325" s="15" t="n"/>
      <c r="Q3325" s="10" t="n"/>
      <c r="R3325" s="10" t="n"/>
      <c r="S3325" s="16" t="inlineStr">
        <is>
          <t>https://mstgolf.co.th/products/gf2020202020</t>
        </is>
      </c>
      <c r="T3325" s="1">
        <f>IF(B3325="ไม้กอล์ฟ",J3325,"")</f>
        <v/>
      </c>
    </row>
    <row r="3326">
      <c r="A3326" s="1" t="n">
        <v>3</v>
      </c>
      <c r="B3326" s="1" t="inlineStr">
        <is>
          <t>เสื้อผ้า</t>
        </is>
      </c>
      <c r="C3326" s="1" t="inlineStr">
        <is>
          <t>gf2040116603</t>
        </is>
      </c>
      <c r="D3326" s="1" t="inlineStr">
        <is>
          <t>CALVIN KLEIN NYC Jersey Men's Polo (Black)</t>
        </is>
      </c>
      <c r="E3326" s="1" t="inlineStr">
        <is>
          <t>CALVIN KLEIN</t>
        </is>
      </c>
      <c r="F3326" s="1" t="inlineStr">
        <is>
          <t>SHORT SLEEVES</t>
        </is>
      </c>
      <c r="G3326" s="1" t="inlineStr">
        <is>
          <t>GF2040116603S</t>
        </is>
      </c>
      <c r="H3326" s="1" t="n">
        <v>5</v>
      </c>
      <c r="I3326" s="1" t="inlineStr">
        <is>
          <t>มี</t>
        </is>
      </c>
      <c r="J3326" s="13" t="n">
        <v>59</v>
      </c>
      <c r="K3326" s="1" t="inlineStr"/>
      <c r="L3326" s="13" t="n">
        <v>59</v>
      </c>
      <c r="M3326" s="1">
        <f>IF(L3326="","ไม่พบใน SG",IF(ABS(J3326-L3326)&lt;0.005,"ตรงกัน","ไม่ตรง"))</f>
        <v/>
      </c>
      <c r="N3326" s="14">
        <f>IF(L3326="","",ROUND(L3326*'สรุป'!$C$6,-1))</f>
        <v/>
      </c>
      <c r="O3326" s="15" t="n"/>
      <c r="P3326" s="15" t="n"/>
      <c r="Q3326" s="10" t="n"/>
      <c r="R3326" s="10" t="n"/>
      <c r="S3326" s="16" t="inlineStr">
        <is>
          <t>https://mstgolf.co.th/products/gf2040116603</t>
        </is>
      </c>
      <c r="T3326" s="1">
        <f>IF(B3326="ไม้กอล์ฟ",J3326,"")</f>
        <v/>
      </c>
    </row>
    <row r="3327">
      <c r="A3327" s="1" t="n">
        <v>3</v>
      </c>
      <c r="B3327" s="1" t="inlineStr">
        <is>
          <t>เสื้อผ้า</t>
        </is>
      </c>
      <c r="C3327" s="1" t="inlineStr">
        <is>
          <t>gf2040116604</t>
        </is>
      </c>
      <c r="D3327" s="1" t="inlineStr">
        <is>
          <t>CALVIN KLEIN NYC Jersey Men's Polo (Peacot)</t>
        </is>
      </c>
      <c r="E3327" s="1" t="inlineStr">
        <is>
          <t>CALVIN KLEIN</t>
        </is>
      </c>
      <c r="F3327" s="1" t="inlineStr">
        <is>
          <t>SHORT SLEEVES</t>
        </is>
      </c>
      <c r="G3327" s="1" t="inlineStr">
        <is>
          <t>GF2040116604S</t>
        </is>
      </c>
      <c r="H3327" s="1" t="n">
        <v>5</v>
      </c>
      <c r="I3327" s="1" t="inlineStr">
        <is>
          <t>มี</t>
        </is>
      </c>
      <c r="J3327" s="13" t="n">
        <v>59</v>
      </c>
      <c r="K3327" s="1" t="inlineStr"/>
      <c r="L3327" s="13" t="n">
        <v>49</v>
      </c>
      <c r="M3327" s="1">
        <f>IF(L3327="","ไม่พบใน SG",IF(ABS(J3327-L3327)&lt;0.005,"ตรงกัน","ไม่ตรง"))</f>
        <v/>
      </c>
      <c r="N3327" s="14">
        <f>IF(L3327="","",ROUND(L3327*'สรุป'!$C$6,-1))</f>
        <v/>
      </c>
      <c r="O3327" s="15" t="n"/>
      <c r="P3327" s="15" t="n"/>
      <c r="Q3327" s="10" t="n"/>
      <c r="R3327" s="10" t="n"/>
      <c r="S3327" s="16" t="inlineStr">
        <is>
          <t>https://mstgolf.co.th/products/gf2040116604</t>
        </is>
      </c>
      <c r="T3327" s="1">
        <f>IF(B3327="ไม้กอล์ฟ",J3327,"")</f>
        <v/>
      </c>
    </row>
    <row r="3328">
      <c r="A3328" s="1" t="n">
        <v>3</v>
      </c>
      <c r="B3328" s="1" t="inlineStr">
        <is>
          <t>เสื้อผ้า</t>
        </is>
      </c>
      <c r="C3328" s="1" t="inlineStr">
        <is>
          <t>gf2040200090</t>
        </is>
      </c>
      <c r="D3328" s="1" t="inlineStr">
        <is>
          <t>CALVIN KLEIN Newport Men's T-Shirt (Aquarius)</t>
        </is>
      </c>
      <c r="E3328" s="1" t="inlineStr">
        <is>
          <t>CALVIN KLEIN</t>
        </is>
      </c>
      <c r="F3328" s="1" t="inlineStr">
        <is>
          <t>TEE SHIRT</t>
        </is>
      </c>
      <c r="G3328" s="1" t="inlineStr">
        <is>
          <t>GF2040200090S</t>
        </is>
      </c>
      <c r="H3328" s="1" t="n">
        <v>4</v>
      </c>
      <c r="I3328" s="1" t="inlineStr">
        <is>
          <t>มี</t>
        </is>
      </c>
      <c r="J3328" s="13" t="n">
        <v>59</v>
      </c>
      <c r="K3328" s="1" t="inlineStr"/>
      <c r="L3328" s="13" t="n">
        <v>59</v>
      </c>
      <c r="M3328" s="1">
        <f>IF(L3328="","ไม่พบใน SG",IF(ABS(J3328-L3328)&lt;0.005,"ตรงกัน","ไม่ตรง"))</f>
        <v/>
      </c>
      <c r="N3328" s="14">
        <f>IF(L3328="","",ROUND(L3328*'สรุป'!$C$6,-1))</f>
        <v/>
      </c>
      <c r="O3328" s="15" t="n"/>
      <c r="P3328" s="15" t="n"/>
      <c r="Q3328" s="10" t="n"/>
      <c r="R3328" s="10" t="n"/>
      <c r="S3328" s="16" t="inlineStr">
        <is>
          <t>https://mstgolf.co.th/products/gf2040200090</t>
        </is>
      </c>
      <c r="T3328" s="1">
        <f>IF(B3328="ไม้กอล์ฟ",J3328,"")</f>
        <v/>
      </c>
    </row>
    <row r="3329">
      <c r="A3329" s="1" t="n">
        <v>3</v>
      </c>
      <c r="B3329" s="1" t="inlineStr">
        <is>
          <t>เสื้อผ้า</t>
        </is>
      </c>
      <c r="C3329" s="1" t="inlineStr">
        <is>
          <t>gf2040118643</t>
        </is>
      </c>
      <c r="D3329" s="1" t="inlineStr">
        <is>
          <t>CALVIN KLEIN Newport Men's T-Shirt (Engine Blue)</t>
        </is>
      </c>
      <c r="E3329" s="1" t="inlineStr">
        <is>
          <t>CALVIN KLEIN</t>
        </is>
      </c>
      <c r="F3329" s="1" t="inlineStr">
        <is>
          <t>SHORT SLEEVES</t>
        </is>
      </c>
      <c r="G3329" s="1" t="inlineStr">
        <is>
          <t>GF2040118643S</t>
        </is>
      </c>
      <c r="H3329" s="1" t="n">
        <v>5</v>
      </c>
      <c r="I3329" s="1" t="inlineStr">
        <is>
          <t>มี</t>
        </is>
      </c>
      <c r="J3329" s="13" t="n">
        <v>59</v>
      </c>
      <c r="K3329" s="1" t="inlineStr"/>
      <c r="L3329" s="13" t="n">
        <v>29</v>
      </c>
      <c r="M3329" s="1">
        <f>IF(L3329="","ไม่พบใน SG",IF(ABS(J3329-L3329)&lt;0.005,"ตรงกัน","ไม่ตรง"))</f>
        <v/>
      </c>
      <c r="N3329" s="14">
        <f>IF(L3329="","",ROUND(L3329*'สรุป'!$C$6,-1))</f>
        <v/>
      </c>
      <c r="O3329" s="15" t="n"/>
      <c r="P3329" s="15" t="n"/>
      <c r="Q3329" s="10" t="n"/>
      <c r="R3329" s="10" t="n"/>
      <c r="S3329" s="16" t="inlineStr">
        <is>
          <t>https://mstgolf.co.th/products/gf2040118643</t>
        </is>
      </c>
      <c r="T3329" s="1">
        <f>IF(B3329="ไม้กอล์ฟ",J3329,"")</f>
        <v/>
      </c>
    </row>
    <row r="3330">
      <c r="A3330" s="1" t="n">
        <v>3</v>
      </c>
      <c r="B3330" s="1" t="inlineStr">
        <is>
          <t>เสื้อผ้า</t>
        </is>
      </c>
      <c r="C3330" s="1" t="inlineStr">
        <is>
          <t>gf2040200091</t>
        </is>
      </c>
      <c r="D3330" s="1" t="inlineStr">
        <is>
          <t>CALVIN KLEIN Newport Men's T-Shirt (Lemon)</t>
        </is>
      </c>
      <c r="E3330" s="1" t="inlineStr">
        <is>
          <t>CALVIN KLEIN</t>
        </is>
      </c>
      <c r="F3330" s="1" t="inlineStr">
        <is>
          <t>TEE SHIRT</t>
        </is>
      </c>
      <c r="G3330" s="1" t="inlineStr">
        <is>
          <t>GF2040200091S</t>
        </is>
      </c>
      <c r="H3330" s="1" t="n">
        <v>4</v>
      </c>
      <c r="I3330" s="1" t="inlineStr">
        <is>
          <t>มี</t>
        </is>
      </c>
      <c r="J3330" s="13" t="n">
        <v>59</v>
      </c>
      <c r="K3330" s="1" t="inlineStr"/>
      <c r="L3330" s="13" t="n">
        <v>59</v>
      </c>
      <c r="M3330" s="1">
        <f>IF(L3330="","ไม่พบใน SG",IF(ABS(J3330-L3330)&lt;0.005,"ตรงกัน","ไม่ตรง"))</f>
        <v/>
      </c>
      <c r="N3330" s="14">
        <f>IF(L3330="","",ROUND(L3330*'สรุป'!$C$6,-1))</f>
        <v/>
      </c>
      <c r="O3330" s="15" t="n"/>
      <c r="P3330" s="15" t="n"/>
      <c r="Q3330" s="10" t="n"/>
      <c r="R3330" s="10" t="n"/>
      <c r="S3330" s="16" t="inlineStr">
        <is>
          <t>https://mstgolf.co.th/products/gf2040200091</t>
        </is>
      </c>
      <c r="T3330" s="1">
        <f>IF(B3330="ไม้กอล์ฟ",J3330,"")</f>
        <v/>
      </c>
    </row>
    <row r="3331">
      <c r="A3331" s="1" t="n">
        <v>3</v>
      </c>
      <c r="B3331" s="1" t="inlineStr">
        <is>
          <t>เสื้อผ้า</t>
        </is>
      </c>
      <c r="C3331" s="1" t="inlineStr">
        <is>
          <t>gf2040200092</t>
        </is>
      </c>
      <c r="D3331" s="1" t="inlineStr">
        <is>
          <t>CALVIN KLEIN Newport Men's T-Shirt (Sea Green)</t>
        </is>
      </c>
      <c r="E3331" s="1" t="inlineStr">
        <is>
          <t>CALVIN KLEIN</t>
        </is>
      </c>
      <c r="F3331" s="1" t="inlineStr">
        <is>
          <t>TEE SHIRT</t>
        </is>
      </c>
      <c r="G3331" s="1" t="inlineStr">
        <is>
          <t>GF2040200092S</t>
        </is>
      </c>
      <c r="H3331" s="1" t="n">
        <v>4</v>
      </c>
      <c r="I3331" s="1" t="inlineStr">
        <is>
          <t>มี</t>
        </is>
      </c>
      <c r="J3331" s="13" t="n">
        <v>59</v>
      </c>
      <c r="K3331" s="1" t="inlineStr"/>
      <c r="L3331" s="13" t="n">
        <v>59</v>
      </c>
      <c r="M3331" s="1">
        <f>IF(L3331="","ไม่พบใน SG",IF(ABS(J3331-L3331)&lt;0.005,"ตรงกัน","ไม่ตรง"))</f>
        <v/>
      </c>
      <c r="N3331" s="14">
        <f>IF(L3331="","",ROUND(L3331*'สรุป'!$C$6,-1))</f>
        <v/>
      </c>
      <c r="O3331" s="15" t="n"/>
      <c r="P3331" s="15" t="n"/>
      <c r="Q3331" s="10" t="n"/>
      <c r="R3331" s="10" t="n"/>
      <c r="S3331" s="16" t="inlineStr">
        <is>
          <t>https://mstgolf.co.th/products/gf2040200092</t>
        </is>
      </c>
      <c r="T3331" s="1">
        <f>IF(B3331="ไม้กอล์ฟ",J3331,"")</f>
        <v/>
      </c>
    </row>
    <row r="3332">
      <c r="A3332" s="1" t="n">
        <v>3</v>
      </c>
      <c r="B3332" s="1" t="inlineStr">
        <is>
          <t>เสื้อผ้า</t>
        </is>
      </c>
      <c r="C3332" s="1" t="inlineStr">
        <is>
          <t>gf2040400393</t>
        </is>
      </c>
      <c r="D3332" s="1" t="inlineStr">
        <is>
          <t>CUTTER &amp; BUCK Oxford Button Men's Long Sleeve Shirt (Charcoal)</t>
        </is>
      </c>
      <c r="E3332" s="1" t="inlineStr">
        <is>
          <t>CUTTER &amp; BUCK</t>
        </is>
      </c>
      <c r="F3332" s="1" t="inlineStr">
        <is>
          <t>LONG SLEEVES</t>
        </is>
      </c>
      <c r="G3332" s="1" t="inlineStr">
        <is>
          <t>GF2040400393S</t>
        </is>
      </c>
      <c r="H3332" s="1" t="n">
        <v>5</v>
      </c>
      <c r="I3332" s="1" t="inlineStr">
        <is>
          <t>มี</t>
        </is>
      </c>
      <c r="J3332" s="13" t="n">
        <v>59</v>
      </c>
      <c r="K3332" s="1" t="inlineStr"/>
      <c r="L3332" s="13" t="n">
        <v>59</v>
      </c>
      <c r="M3332" s="1">
        <f>IF(L3332="","ไม่พบใน SG",IF(ABS(J3332-L3332)&lt;0.005,"ตรงกัน","ไม่ตรง"))</f>
        <v/>
      </c>
      <c r="N3332" s="14">
        <f>IF(L3332="","",ROUND(L3332*'สรุป'!$C$6,-1))</f>
        <v/>
      </c>
      <c r="O3332" s="15" t="n"/>
      <c r="P3332" s="15" t="n"/>
      <c r="Q3332" s="10" t="n"/>
      <c r="R3332" s="10" t="n"/>
      <c r="S3332" s="16" t="inlineStr">
        <is>
          <t>https://mstgolf.co.th/products/gf2040400393</t>
        </is>
      </c>
      <c r="T3332" s="1">
        <f>IF(B3332="ไม้กอล์ฟ",J3332,"")</f>
        <v/>
      </c>
    </row>
    <row r="3333">
      <c r="A3333" s="1" t="n">
        <v>3</v>
      </c>
      <c r="B3333" s="1" t="inlineStr">
        <is>
          <t>เสื้อผ้า</t>
        </is>
      </c>
      <c r="C3333" s="1" t="inlineStr">
        <is>
          <t>gf2040400348</t>
        </is>
      </c>
      <c r="D3333" s="1" t="inlineStr">
        <is>
          <t>CUTTER &amp; BUCK Oxford Button Men's Long Sleeve Shirt (Lakeshore)</t>
        </is>
      </c>
      <c r="E3333" s="1" t="inlineStr">
        <is>
          <t>CUTTER &amp; BUCK</t>
        </is>
      </c>
      <c r="F3333" s="1" t="inlineStr">
        <is>
          <t>LONG SLEEVES</t>
        </is>
      </c>
      <c r="G3333" s="1" t="inlineStr">
        <is>
          <t>GF2040400348S</t>
        </is>
      </c>
      <c r="H3333" s="1" t="n">
        <v>4</v>
      </c>
      <c r="I3333" s="1" t="inlineStr">
        <is>
          <t>มี</t>
        </is>
      </c>
      <c r="J3333" s="13" t="n">
        <v>59</v>
      </c>
      <c r="K3333" s="1" t="inlineStr"/>
      <c r="L3333" s="13" t="n">
        <v>59</v>
      </c>
      <c r="M3333" s="1">
        <f>IF(L3333="","ไม่พบใน SG",IF(ABS(J3333-L3333)&lt;0.005,"ตรงกัน","ไม่ตรง"))</f>
        <v/>
      </c>
      <c r="N3333" s="14">
        <f>IF(L3333="","",ROUND(L3333*'สรุป'!$C$6,-1))</f>
        <v/>
      </c>
      <c r="O3333" s="15" t="n"/>
      <c r="P3333" s="15" t="n"/>
      <c r="Q3333" s="10" t="n"/>
      <c r="R3333" s="10" t="n"/>
      <c r="S3333" s="16" t="inlineStr">
        <is>
          <t>https://mstgolf.co.th/products/gf2040400348</t>
        </is>
      </c>
      <c r="T3333" s="1">
        <f>IF(B3333="ไม้กอล์ฟ",J3333,"")</f>
        <v/>
      </c>
    </row>
    <row r="3334">
      <c r="A3334" s="1" t="n">
        <v>3</v>
      </c>
      <c r="B3334" s="1" t="inlineStr">
        <is>
          <t>เสื้อผ้า</t>
        </is>
      </c>
      <c r="C3334" s="1" t="inlineStr">
        <is>
          <t>gf2040400347</t>
        </is>
      </c>
      <c r="D3334" s="1" t="inlineStr">
        <is>
          <t>CUTTER &amp; BUCK Oxford Button Men's Long Sleeve Shirt (Polished)</t>
        </is>
      </c>
      <c r="E3334" s="1" t="inlineStr">
        <is>
          <t>CUTTER &amp; BUCK</t>
        </is>
      </c>
      <c r="F3334" s="1" t="inlineStr">
        <is>
          <t>LONG SLEEVES</t>
        </is>
      </c>
      <c r="G3334" s="1" t="inlineStr">
        <is>
          <t>GF2040400347S</t>
        </is>
      </c>
      <c r="H3334" s="1" t="n">
        <v>4</v>
      </c>
      <c r="I3334" s="1" t="inlineStr">
        <is>
          <t>มี</t>
        </is>
      </c>
      <c r="J3334" s="13" t="n">
        <v>59</v>
      </c>
      <c r="K3334" s="1" t="inlineStr"/>
      <c r="L3334" s="13" t="n">
        <v>59</v>
      </c>
      <c r="M3334" s="1">
        <f>IF(L3334="","ไม่พบใน SG",IF(ABS(J3334-L3334)&lt;0.005,"ตรงกัน","ไม่ตรง"))</f>
        <v/>
      </c>
      <c r="N3334" s="14">
        <f>IF(L3334="","",ROUND(L3334*'สรุป'!$C$6,-1))</f>
        <v/>
      </c>
      <c r="O3334" s="15" t="n"/>
      <c r="P3334" s="15" t="n"/>
      <c r="Q3334" s="10" t="n"/>
      <c r="R3334" s="10" t="n"/>
      <c r="S3334" s="16" t="inlineStr">
        <is>
          <t>https://mstgolf.co.th/products/gf2040400347</t>
        </is>
      </c>
      <c r="T3334" s="1">
        <f>IF(B3334="ไม้กอล์ฟ",J3334,"")</f>
        <v/>
      </c>
    </row>
    <row r="3335">
      <c r="A3335" s="1" t="n">
        <v>3</v>
      </c>
      <c r="B3335" s="1" t="inlineStr">
        <is>
          <t>เสื้อผ้า</t>
        </is>
      </c>
      <c r="C3335" s="1" t="inlineStr">
        <is>
          <t>gf2040400349</t>
        </is>
      </c>
      <c r="D3335" s="1" t="inlineStr">
        <is>
          <t>CUTTER &amp; BUCK Oxford Button Men's Long Sleeve Shirt (White)</t>
        </is>
      </c>
      <c r="E3335" s="1" t="inlineStr">
        <is>
          <t>CUTTER &amp; BUCK</t>
        </is>
      </c>
      <c r="F3335" s="1" t="inlineStr">
        <is>
          <t>LONG SLEEVES</t>
        </is>
      </c>
      <c r="G3335" s="1" t="inlineStr">
        <is>
          <t>GF2040400349S</t>
        </is>
      </c>
      <c r="H3335" s="1" t="n">
        <v>4</v>
      </c>
      <c r="I3335" s="1" t="inlineStr">
        <is>
          <t>มี</t>
        </is>
      </c>
      <c r="J3335" s="13" t="n">
        <v>59</v>
      </c>
      <c r="K3335" s="1" t="inlineStr"/>
      <c r="L3335" s="13" t="n">
        <v>59</v>
      </c>
      <c r="M3335" s="1">
        <f>IF(L3335="","ไม่พบใน SG",IF(ABS(J3335-L3335)&lt;0.005,"ตรงกัน","ไม่ตรง"))</f>
        <v/>
      </c>
      <c r="N3335" s="14">
        <f>IF(L3335="","",ROUND(L3335*'สรุป'!$C$6,-1))</f>
        <v/>
      </c>
      <c r="O3335" s="15" t="n"/>
      <c r="P3335" s="15" t="n"/>
      <c r="Q3335" s="10" t="n"/>
      <c r="R3335" s="10" t="n"/>
      <c r="S3335" s="16" t="inlineStr">
        <is>
          <t>https://mstgolf.co.th/products/gf2040400349</t>
        </is>
      </c>
      <c r="T3335" s="1">
        <f>IF(B3335="ไม้กอล์ฟ",J3335,"")</f>
        <v/>
      </c>
    </row>
    <row r="3336">
      <c r="A3336" s="1" t="n">
        <v>3</v>
      </c>
      <c r="B3336" s="1" t="inlineStr">
        <is>
          <t>เสื้อผ้า</t>
        </is>
      </c>
      <c r="C3336" s="1" t="inlineStr">
        <is>
          <t>gf2040116918</t>
        </is>
      </c>
      <c r="D3336" s="1" t="inlineStr">
        <is>
          <t>FOOTJOY Jungle Leaves Lisle Men's Polo (Black/White/Pool)</t>
        </is>
      </c>
      <c r="E3336" s="1" t="inlineStr">
        <is>
          <t>FOOTJOY</t>
        </is>
      </c>
      <c r="F3336" s="1" t="inlineStr">
        <is>
          <t>SHORT SLEEVES</t>
        </is>
      </c>
      <c r="G3336" s="1" t="inlineStr">
        <is>
          <t>GF2040116918S</t>
        </is>
      </c>
      <c r="H3336" s="1" t="n">
        <v>5</v>
      </c>
      <c r="I3336" s="1" t="inlineStr">
        <is>
          <t>มี</t>
        </is>
      </c>
      <c r="J3336" s="13" t="n">
        <v>59</v>
      </c>
      <c r="K3336" s="1" t="inlineStr"/>
      <c r="L3336" s="13" t="n">
        <v>49</v>
      </c>
      <c r="M3336" s="1">
        <f>IF(L3336="","ไม่พบใน SG",IF(ABS(J3336-L3336)&lt;0.005,"ตรงกัน","ไม่ตรง"))</f>
        <v/>
      </c>
      <c r="N3336" s="14">
        <f>IF(L3336="","",ROUND(L3336*'สรุป'!$C$6,-1))</f>
        <v/>
      </c>
      <c r="O3336" s="15" t="n"/>
      <c r="P3336" s="15" t="n"/>
      <c r="Q3336" s="10" t="n"/>
      <c r="R3336" s="10" t="n"/>
      <c r="S3336" s="16" t="inlineStr">
        <is>
          <t>https://mstgolf.co.th/products/gf2040116918</t>
        </is>
      </c>
      <c r="T3336" s="1">
        <f>IF(B3336="ไม้กอล์ฟ",J3336,"")</f>
        <v/>
      </c>
    </row>
    <row r="3337">
      <c r="A3337" s="1" t="n">
        <v>3</v>
      </c>
      <c r="B3337" s="1" t="inlineStr">
        <is>
          <t>หมวก</t>
        </is>
      </c>
      <c r="C3337" s="1" t="inlineStr">
        <is>
          <t>gf2000105714</t>
        </is>
      </c>
      <c r="D3337" s="1" t="inlineStr">
        <is>
          <t>GFORE Circle G's Stretch Twill Men's Cap (Twilight)</t>
        </is>
      </c>
      <c r="E3337" s="1" t="inlineStr">
        <is>
          <t>GFORE</t>
        </is>
      </c>
      <c r="F3337" s="1" t="inlineStr">
        <is>
          <t>CAP</t>
        </is>
      </c>
      <c r="G3337" s="1" t="inlineStr">
        <is>
          <t>GF2000105714FS</t>
        </is>
      </c>
      <c r="H3337" s="1" t="n">
        <v>1</v>
      </c>
      <c r="I3337" s="1" t="inlineStr">
        <is>
          <t>มี</t>
        </is>
      </c>
      <c r="J3337" s="13" t="n">
        <v>59</v>
      </c>
      <c r="K3337" s="1" t="inlineStr"/>
      <c r="L3337" s="13" t="n">
        <v>59</v>
      </c>
      <c r="M3337" s="1">
        <f>IF(L3337="","ไม่พบใน SG",IF(ABS(J3337-L3337)&lt;0.005,"ตรงกัน","ไม่ตรง"))</f>
        <v/>
      </c>
      <c r="N3337" s="14">
        <f>IF(L3337="","",ROUND(L3337*'สรุป'!$C$6,-1))</f>
        <v/>
      </c>
      <c r="O3337" s="15" t="n"/>
      <c r="P3337" s="15" t="n"/>
      <c r="Q3337" s="10" t="n"/>
      <c r="R3337" s="10" t="n"/>
      <c r="S3337" s="16" t="inlineStr">
        <is>
          <t>https://mstgolf.co.th/products/gf2000105714</t>
        </is>
      </c>
      <c r="T3337" s="1">
        <f>IF(B3337="ไม้กอล์ฟ",J3337,"")</f>
        <v/>
      </c>
    </row>
    <row r="3338">
      <c r="A3338" s="1" t="n">
        <v>3</v>
      </c>
      <c r="B3338" s="1" t="inlineStr">
        <is>
          <t>หมวก</t>
        </is>
      </c>
      <c r="C3338" s="1" t="inlineStr">
        <is>
          <t>gf2000105051</t>
        </is>
      </c>
      <c r="D3338" s="1" t="inlineStr">
        <is>
          <t>GFORE Girls Golf Too Women's Cap (Blue)</t>
        </is>
      </c>
      <c r="E3338" s="1" t="inlineStr">
        <is>
          <t>GFORE</t>
        </is>
      </c>
      <c r="F3338" s="1" t="inlineStr">
        <is>
          <t>CAP</t>
        </is>
      </c>
      <c r="G3338" s="1" t="inlineStr">
        <is>
          <t>GF2000105051FS</t>
        </is>
      </c>
      <c r="H3338" s="1" t="n">
        <v>1</v>
      </c>
      <c r="I3338" s="1" t="inlineStr">
        <is>
          <t>มี</t>
        </is>
      </c>
      <c r="J3338" s="13" t="n">
        <v>59</v>
      </c>
      <c r="K3338" s="1" t="inlineStr"/>
      <c r="L3338" s="13" t="n">
        <v>59</v>
      </c>
      <c r="M3338" s="1">
        <f>IF(L3338="","ไม่พบใน SG",IF(ABS(J3338-L3338)&lt;0.005,"ตรงกัน","ไม่ตรง"))</f>
        <v/>
      </c>
      <c r="N3338" s="14">
        <f>IF(L3338="","",ROUND(L3338*'สรุป'!$C$6,-1))</f>
        <v/>
      </c>
      <c r="O3338" s="15" t="n"/>
      <c r="P3338" s="15" t="n"/>
      <c r="Q3338" s="10" t="n"/>
      <c r="R3338" s="10" t="n"/>
      <c r="S3338" s="16" t="inlineStr">
        <is>
          <t>https://mstgolf.co.th/products/gf2000105051</t>
        </is>
      </c>
      <c r="T3338" s="1">
        <f>IF(B3338="ไม้กอล์ฟ",J3338,"")</f>
        <v/>
      </c>
    </row>
    <row r="3339">
      <c r="A3339" s="1" t="n">
        <v>3</v>
      </c>
      <c r="B3339" s="1" t="inlineStr">
        <is>
          <t>หมวก</t>
        </is>
      </c>
      <c r="C3339" s="1" t="inlineStr">
        <is>
          <t>gf2000105695</t>
        </is>
      </c>
      <c r="D3339" s="1" t="inlineStr">
        <is>
          <t>GFORE Knit Trucker Men's Cap (Surf)</t>
        </is>
      </c>
      <c r="E3339" s="1" t="inlineStr">
        <is>
          <t>GFORE</t>
        </is>
      </c>
      <c r="F3339" s="1" t="inlineStr">
        <is>
          <t>CAP</t>
        </is>
      </c>
      <c r="G3339" s="1" t="inlineStr">
        <is>
          <t>GF2000105695FS</t>
        </is>
      </c>
      <c r="H3339" s="1" t="n">
        <v>1</v>
      </c>
      <c r="I3339" s="1" t="inlineStr">
        <is>
          <t>มี</t>
        </is>
      </c>
      <c r="J3339" s="13" t="n">
        <v>59</v>
      </c>
      <c r="K3339" s="1" t="inlineStr"/>
      <c r="L3339" s="13" t="n">
        <v>59</v>
      </c>
      <c r="M3339" s="1">
        <f>IF(L3339="","ไม่พบใน SG",IF(ABS(J3339-L3339)&lt;0.005,"ตรงกัน","ไม่ตรง"))</f>
        <v/>
      </c>
      <c r="N3339" s="14">
        <f>IF(L3339="","",ROUND(L3339*'สรุป'!$C$6,-1))</f>
        <v/>
      </c>
      <c r="O3339" s="15" t="n"/>
      <c r="P3339" s="15" t="n"/>
      <c r="Q3339" s="10" t="n"/>
      <c r="R3339" s="10" t="n"/>
      <c r="S3339" s="16" t="inlineStr">
        <is>
          <t>https://mstgolf.co.th/products/gf2000105695</t>
        </is>
      </c>
      <c r="T3339" s="1">
        <f>IF(B3339="ไม้กอล์ฟ",J3339,"")</f>
        <v/>
      </c>
    </row>
    <row r="3340">
      <c r="A3340" s="1" t="n">
        <v>3</v>
      </c>
      <c r="B3340" s="1" t="inlineStr">
        <is>
          <t>หมวก</t>
        </is>
      </c>
      <c r="C3340" s="1" t="inlineStr">
        <is>
          <t>gf2000105693</t>
        </is>
      </c>
      <c r="D3340" s="1" t="inlineStr">
        <is>
          <t>GFORE Monochrome Skull &amp; Tees Trucker Men's Cap (Snow)</t>
        </is>
      </c>
      <c r="E3340" s="1" t="inlineStr">
        <is>
          <t>GFORE</t>
        </is>
      </c>
      <c r="F3340" s="1" t="inlineStr">
        <is>
          <t>CAP</t>
        </is>
      </c>
      <c r="G3340" s="1" t="inlineStr">
        <is>
          <t>GF2000105693FS</t>
        </is>
      </c>
      <c r="H3340" s="1" t="n">
        <v>1</v>
      </c>
      <c r="I3340" s="1" t="inlineStr">
        <is>
          <t>มี</t>
        </is>
      </c>
      <c r="J3340" s="13" t="n">
        <v>59</v>
      </c>
      <c r="K3340" s="1" t="inlineStr"/>
      <c r="L3340" s="13" t="n">
        <v>59</v>
      </c>
      <c r="M3340" s="1">
        <f>IF(L3340="","ไม่พบใน SG",IF(ABS(J3340-L3340)&lt;0.005,"ตรงกัน","ไม่ตรง"))</f>
        <v/>
      </c>
      <c r="N3340" s="14">
        <f>IF(L3340="","",ROUND(L3340*'สรุป'!$C$6,-1))</f>
        <v/>
      </c>
      <c r="O3340" s="15" t="n"/>
      <c r="P3340" s="15" t="n"/>
      <c r="Q3340" s="10" t="n"/>
      <c r="R3340" s="10" t="n"/>
      <c r="S3340" s="16" t="inlineStr">
        <is>
          <t>https://mstgolf.co.th/products/gf2000105693</t>
        </is>
      </c>
      <c r="T3340" s="1">
        <f>IF(B3340="ไม้กอล์ฟ",J3340,"")</f>
        <v/>
      </c>
    </row>
    <row r="3341">
      <c r="A3341" s="1" t="n">
        <v>3</v>
      </c>
      <c r="B3341" s="1" t="inlineStr">
        <is>
          <t>หมวก</t>
        </is>
      </c>
      <c r="C3341" s="1" t="inlineStr">
        <is>
          <t>gf2000105688</t>
        </is>
      </c>
      <c r="D3341" s="1" t="inlineStr">
        <is>
          <t>GFORE Stretch Twill Men's Cap (Onyx)</t>
        </is>
      </c>
      <c r="E3341" s="1" t="inlineStr">
        <is>
          <t>GFORE</t>
        </is>
      </c>
      <c r="F3341" s="1" t="inlineStr">
        <is>
          <t>CAP</t>
        </is>
      </c>
      <c r="G3341" s="1" t="inlineStr">
        <is>
          <t>GF2000105688FS</t>
        </is>
      </c>
      <c r="H3341" s="1" t="n">
        <v>1</v>
      </c>
      <c r="I3341" s="1" t="inlineStr">
        <is>
          <t>มี</t>
        </is>
      </c>
      <c r="J3341" s="13" t="n">
        <v>59</v>
      </c>
      <c r="K3341" s="1" t="inlineStr"/>
      <c r="L3341" s="13" t="n">
        <v>39</v>
      </c>
      <c r="M3341" s="1">
        <f>IF(L3341="","ไม่พบใน SG",IF(ABS(J3341-L3341)&lt;0.005,"ตรงกัน","ไม่ตรง"))</f>
        <v/>
      </c>
      <c r="N3341" s="14">
        <f>IF(L3341="","",ROUND(L3341*'สรุป'!$C$6,-1))</f>
        <v/>
      </c>
      <c r="O3341" s="15" t="n"/>
      <c r="P3341" s="15" t="n"/>
      <c r="Q3341" s="10" t="n"/>
      <c r="R3341" s="10" t="n"/>
      <c r="S3341" s="16" t="inlineStr">
        <is>
          <t>https://mstgolf.co.th/products/gf2000105688</t>
        </is>
      </c>
      <c r="T3341" s="1">
        <f>IF(B3341="ไม้กอล์ฟ",J3341,"")</f>
        <v/>
      </c>
    </row>
    <row r="3342">
      <c r="A3342" s="1" t="n">
        <v>3</v>
      </c>
      <c r="B3342" s="1" t="inlineStr">
        <is>
          <t>หมวก</t>
        </is>
      </c>
      <c r="C3342" s="1" t="inlineStr">
        <is>
          <t>gf2000105686</t>
        </is>
      </c>
      <c r="D3342" s="1" t="inlineStr">
        <is>
          <t>GFORE Stretch Twill Men's Cap (Snow)</t>
        </is>
      </c>
      <c r="E3342" s="1" t="inlineStr">
        <is>
          <t>GFORE</t>
        </is>
      </c>
      <c r="F3342" s="1" t="inlineStr">
        <is>
          <t>CAP</t>
        </is>
      </c>
      <c r="G3342" s="1" t="inlineStr">
        <is>
          <t>GF2000105686FS</t>
        </is>
      </c>
      <c r="H3342" s="1" t="n">
        <v>1</v>
      </c>
      <c r="I3342" s="1" t="inlineStr">
        <is>
          <t>มี</t>
        </is>
      </c>
      <c r="J3342" s="13" t="n">
        <v>59</v>
      </c>
      <c r="K3342" s="1" t="inlineStr"/>
      <c r="L3342" s="13" t="n">
        <v>59</v>
      </c>
      <c r="M3342" s="1">
        <f>IF(L3342="","ไม่พบใน SG",IF(ABS(J3342-L3342)&lt;0.005,"ตรงกัน","ไม่ตรง"))</f>
        <v/>
      </c>
      <c r="N3342" s="14">
        <f>IF(L3342="","",ROUND(L3342*'สรุป'!$C$6,-1))</f>
        <v/>
      </c>
      <c r="O3342" s="15" t="n"/>
      <c r="P3342" s="15" t="n"/>
      <c r="Q3342" s="10" t="n"/>
      <c r="R3342" s="10" t="n"/>
      <c r="S3342" s="16" t="inlineStr">
        <is>
          <t>https://mstgolf.co.th/products/gf2000105686</t>
        </is>
      </c>
      <c r="T3342" s="1">
        <f>IF(B3342="ไม้กอล์ฟ",J3342,"")</f>
        <v/>
      </c>
    </row>
    <row r="3343">
      <c r="A3343" s="1" t="n">
        <v>3</v>
      </c>
      <c r="B3343" s="1" t="inlineStr">
        <is>
          <t>หมวก</t>
        </is>
      </c>
      <c r="C3343" s="1" t="inlineStr">
        <is>
          <t>gf2000105685</t>
        </is>
      </c>
      <c r="D3343" s="1" t="inlineStr">
        <is>
          <t>GFORE Stretch Twill Men's Cap (Snow)</t>
        </is>
      </c>
      <c r="E3343" s="1" t="inlineStr">
        <is>
          <t>GFORE</t>
        </is>
      </c>
      <c r="F3343" s="1" t="inlineStr">
        <is>
          <t>CAP</t>
        </is>
      </c>
      <c r="G3343" s="1" t="inlineStr">
        <is>
          <t>GF2000105685FS</t>
        </is>
      </c>
      <c r="H3343" s="1" t="n">
        <v>1</v>
      </c>
      <c r="I3343" s="1" t="inlineStr">
        <is>
          <t>มี</t>
        </is>
      </c>
      <c r="J3343" s="13" t="n">
        <v>59</v>
      </c>
      <c r="K3343" s="1" t="inlineStr"/>
      <c r="L3343" s="13" t="n">
        <v>59</v>
      </c>
      <c r="M3343" s="1">
        <f>IF(L3343="","ไม่พบใน SG",IF(ABS(J3343-L3343)&lt;0.005,"ตรงกัน","ไม่ตรง"))</f>
        <v/>
      </c>
      <c r="N3343" s="14">
        <f>IF(L3343="","",ROUND(L3343*'สรุป'!$C$6,-1))</f>
        <v/>
      </c>
      <c r="O3343" s="15" t="n"/>
      <c r="P3343" s="15" t="n"/>
      <c r="Q3343" s="10" t="n"/>
      <c r="R3343" s="10" t="n"/>
      <c r="S3343" s="16" t="inlineStr">
        <is>
          <t>https://mstgolf.co.th/products/gf2000105685</t>
        </is>
      </c>
      <c r="T3343" s="1">
        <f>IF(B3343="ไม้กอล์ฟ",J3343,"")</f>
        <v/>
      </c>
    </row>
    <row r="3344">
      <c r="A3344" s="1" t="n">
        <v>3</v>
      </c>
      <c r="B3344" s="1" t="inlineStr">
        <is>
          <t>หมวก</t>
        </is>
      </c>
      <c r="C3344" s="1" t="inlineStr">
        <is>
          <t>gf2000105683</t>
        </is>
      </c>
      <c r="D3344" s="1" t="inlineStr">
        <is>
          <t>GFORE Stretch Twill Women's Cap (Snow)</t>
        </is>
      </c>
      <c r="E3344" s="1" t="inlineStr">
        <is>
          <t>GFORE</t>
        </is>
      </c>
      <c r="F3344" s="1" t="inlineStr">
        <is>
          <t>CAP</t>
        </is>
      </c>
      <c r="G3344" s="1" t="inlineStr">
        <is>
          <t>GF2000105683FS</t>
        </is>
      </c>
      <c r="H3344" s="1" t="n">
        <v>1</v>
      </c>
      <c r="I3344" s="1" t="inlineStr">
        <is>
          <t>มี</t>
        </is>
      </c>
      <c r="J3344" s="13" t="n">
        <v>59</v>
      </c>
      <c r="K3344" s="1" t="inlineStr"/>
      <c r="L3344" s="13" t="n">
        <v>59</v>
      </c>
      <c r="M3344" s="1">
        <f>IF(L3344="","ไม่พบใน SG",IF(ABS(J3344-L3344)&lt;0.005,"ตรงกัน","ไม่ตรง"))</f>
        <v/>
      </c>
      <c r="N3344" s="14">
        <f>IF(L3344="","",ROUND(L3344*'สรุป'!$C$6,-1))</f>
        <v/>
      </c>
      <c r="O3344" s="15" t="n"/>
      <c r="P3344" s="15" t="n"/>
      <c r="Q3344" s="10" t="n"/>
      <c r="R3344" s="10" t="n"/>
      <c r="S3344" s="16" t="inlineStr">
        <is>
          <t>https://mstgolf.co.th/products/gf2000105683</t>
        </is>
      </c>
      <c r="T3344" s="1">
        <f>IF(B3344="ไม้กอล์ฟ",J3344,"")</f>
        <v/>
      </c>
    </row>
    <row r="3345">
      <c r="A3345" s="1" t="n">
        <v>3</v>
      </c>
      <c r="B3345" s="1" t="inlineStr">
        <is>
          <t>หมวก</t>
        </is>
      </c>
      <c r="C3345" s="1" t="inlineStr">
        <is>
          <t>gf2000105708</t>
        </is>
      </c>
      <c r="D3345" s="1" t="inlineStr">
        <is>
          <t>GFORE Wreath Cotton Twill Tall Trucker Men's Cap (Rhubarb)</t>
        </is>
      </c>
      <c r="E3345" s="1" t="inlineStr">
        <is>
          <t>GFORE</t>
        </is>
      </c>
      <c r="F3345" s="1" t="inlineStr">
        <is>
          <t>CAP</t>
        </is>
      </c>
      <c r="G3345" s="1" t="inlineStr">
        <is>
          <t>GF2000105708FS</t>
        </is>
      </c>
      <c r="H3345" s="1" t="n">
        <v>1</v>
      </c>
      <c r="I3345" s="1" t="inlineStr">
        <is>
          <t>มี</t>
        </is>
      </c>
      <c r="J3345" s="13" t="n">
        <v>59</v>
      </c>
      <c r="K3345" s="1" t="inlineStr"/>
      <c r="L3345" s="13" t="n">
        <v>59</v>
      </c>
      <c r="M3345" s="1">
        <f>IF(L3345="","ไม่พบใน SG",IF(ABS(J3345-L3345)&lt;0.005,"ตรงกัน","ไม่ตรง"))</f>
        <v/>
      </c>
      <c r="N3345" s="14">
        <f>IF(L3345="","",ROUND(L3345*'สรุป'!$C$6,-1))</f>
        <v/>
      </c>
      <c r="O3345" s="15" t="n"/>
      <c r="P3345" s="15" t="n"/>
      <c r="Q3345" s="10" t="n"/>
      <c r="R3345" s="10" t="n"/>
      <c r="S3345" s="16" t="inlineStr">
        <is>
          <t>https://mstgolf.co.th/products/gf2000105708</t>
        </is>
      </c>
      <c r="T3345" s="1">
        <f>IF(B3345="ไม้กอล์ฟ",J3345,"")</f>
        <v/>
      </c>
    </row>
    <row r="3346">
      <c r="A3346" s="1" t="n">
        <v>3</v>
      </c>
      <c r="B3346" s="1" t="inlineStr">
        <is>
          <t>อุปกรณ์เสริม</t>
        </is>
      </c>
      <c r="C3346" s="1" t="inlineStr">
        <is>
          <t>gf3500201801</t>
        </is>
      </c>
      <c r="D3346" s="1" t="inlineStr">
        <is>
          <t>GOLF LITE Gachapin Driver Headcover</t>
        </is>
      </c>
      <c r="E3346" s="1" t="inlineStr">
        <is>
          <t>GOLF LITE</t>
        </is>
      </c>
      <c r="F3346" s="1" t="inlineStr">
        <is>
          <t>HEADCOVERS</t>
        </is>
      </c>
      <c r="G3346" s="1" t="inlineStr">
        <is>
          <t>GF3500201801</t>
        </is>
      </c>
      <c r="H3346" s="1" t="n">
        <v>1</v>
      </c>
      <c r="I3346" s="1" t="inlineStr">
        <is>
          <t>มี</t>
        </is>
      </c>
      <c r="J3346" s="13" t="n">
        <v>59</v>
      </c>
      <c r="K3346" s="1" t="inlineStr"/>
      <c r="L3346" s="13" t="n">
        <v>59</v>
      </c>
      <c r="M3346" s="1">
        <f>IF(L3346="","ไม่พบใน SG",IF(ABS(J3346-L3346)&lt;0.005,"ตรงกัน","ไม่ตรง"))</f>
        <v/>
      </c>
      <c r="N3346" s="14">
        <f>IF(L3346="","",ROUND(L3346*'สรุป'!$C$6,-1))</f>
        <v/>
      </c>
      <c r="O3346" s="15" t="n"/>
      <c r="P3346" s="15" t="n"/>
      <c r="Q3346" s="10" t="n"/>
      <c r="R3346" s="10" t="n"/>
      <c r="S3346" s="16" t="inlineStr">
        <is>
          <t>https://mstgolf.co.th/products/gf3500201801</t>
        </is>
      </c>
      <c r="T3346" s="1">
        <f>IF(B3346="ไม้กอล์ฟ",J3346,"")</f>
        <v/>
      </c>
    </row>
    <row r="3347">
      <c r="A3347" s="1" t="n">
        <v>3</v>
      </c>
      <c r="B3347" s="1" t="inlineStr">
        <is>
          <t>อุปกรณ์เสริม</t>
        </is>
      </c>
      <c r="C3347" s="1" t="inlineStr">
        <is>
          <t>gf3500201742</t>
        </is>
      </c>
      <c r="D3347" s="1" t="inlineStr">
        <is>
          <t>GOLF LITE H-323 Baby Natsu Sunvisor Driver Headcover</t>
        </is>
      </c>
      <c r="E3347" s="1" t="inlineStr">
        <is>
          <t>GOLF LITE</t>
        </is>
      </c>
      <c r="F3347" s="1" t="inlineStr">
        <is>
          <t>HEADCOVERS</t>
        </is>
      </c>
      <c r="G3347" s="1" t="inlineStr">
        <is>
          <t>GF3500201742</t>
        </is>
      </c>
      <c r="H3347" s="1" t="n">
        <v>1</v>
      </c>
      <c r="I3347" s="1" t="inlineStr">
        <is>
          <t>มี</t>
        </is>
      </c>
      <c r="J3347" s="13" t="n">
        <v>59</v>
      </c>
      <c r="K3347" s="1" t="inlineStr"/>
      <c r="L3347" s="13" t="n">
        <v>59</v>
      </c>
      <c r="M3347" s="1">
        <f>IF(L3347="","ไม่พบใน SG",IF(ABS(J3347-L3347)&lt;0.005,"ตรงกัน","ไม่ตรง"))</f>
        <v/>
      </c>
      <c r="N3347" s="14">
        <f>IF(L3347="","",ROUND(L3347*'สรุป'!$C$6,-1))</f>
        <v/>
      </c>
      <c r="O3347" s="15" t="n"/>
      <c r="P3347" s="15" t="n"/>
      <c r="Q3347" s="10" t="n"/>
      <c r="R3347" s="10" t="n"/>
      <c r="S3347" s="16" t="inlineStr">
        <is>
          <t>https://mstgolf.co.th/products/gf3500201742</t>
        </is>
      </c>
      <c r="T3347" s="1">
        <f>IF(B3347="ไม้กอล์ฟ",J3347,"")</f>
        <v/>
      </c>
    </row>
    <row r="3348">
      <c r="A3348" s="1" t="n">
        <v>3</v>
      </c>
      <c r="B3348" s="1" t="inlineStr">
        <is>
          <t>อุปกรณ์เสริม</t>
        </is>
      </c>
      <c r="C3348" s="1" t="inlineStr">
        <is>
          <t>gf3500201744</t>
        </is>
      </c>
      <c r="D3348" s="1" t="inlineStr">
        <is>
          <t>GOLF LITE H-462 Shoebill Driver Headcover</t>
        </is>
      </c>
      <c r="E3348" s="1" t="inlineStr">
        <is>
          <t>GOLF LITE</t>
        </is>
      </c>
      <c r="F3348" s="1" t="inlineStr">
        <is>
          <t>HEADCOVERS</t>
        </is>
      </c>
      <c r="G3348" s="1" t="inlineStr">
        <is>
          <t>GF3500201744</t>
        </is>
      </c>
      <c r="H3348" s="1" t="n">
        <v>1</v>
      </c>
      <c r="I3348" s="1" t="inlineStr">
        <is>
          <t>มี</t>
        </is>
      </c>
      <c r="J3348" s="13" t="n">
        <v>59</v>
      </c>
      <c r="K3348" s="1" t="inlineStr"/>
      <c r="L3348" s="13" t="n">
        <v>59</v>
      </c>
      <c r="M3348" s="1">
        <f>IF(L3348="","ไม่พบใน SG",IF(ABS(J3348-L3348)&lt;0.005,"ตรงกัน","ไม่ตรง"))</f>
        <v/>
      </c>
      <c r="N3348" s="14">
        <f>IF(L3348="","",ROUND(L3348*'สรุป'!$C$6,-1))</f>
        <v/>
      </c>
      <c r="O3348" s="15" t="n"/>
      <c r="P3348" s="15" t="n"/>
      <c r="Q3348" s="10" t="n"/>
      <c r="R3348" s="10" t="n"/>
      <c r="S3348" s="16" t="inlineStr">
        <is>
          <t>https://mstgolf.co.th/products/gf3500201744</t>
        </is>
      </c>
      <c r="T3348" s="1">
        <f>IF(B3348="ไม้กอล์ฟ",J3348,"")</f>
        <v/>
      </c>
    </row>
    <row r="3349">
      <c r="A3349" s="1" t="n">
        <v>3</v>
      </c>
      <c r="B3349" s="1" t="inlineStr">
        <is>
          <t>อุปกรณ์เสริม</t>
        </is>
      </c>
      <c r="C3349" s="1" t="inlineStr">
        <is>
          <t>gf3500201745</t>
        </is>
      </c>
      <c r="D3349" s="1" t="inlineStr">
        <is>
          <t>GOLF LITE H-480 Spongebob Driver Headcover</t>
        </is>
      </c>
      <c r="E3349" s="1" t="inlineStr">
        <is>
          <t>GOLF LITE</t>
        </is>
      </c>
      <c r="F3349" s="1" t="inlineStr">
        <is>
          <t>HEADCOVERS</t>
        </is>
      </c>
      <c r="G3349" s="1" t="inlineStr">
        <is>
          <t>GF3500201745</t>
        </is>
      </c>
      <c r="H3349" s="1" t="n">
        <v>1</v>
      </c>
      <c r="I3349" s="1" t="inlineStr">
        <is>
          <t>มี</t>
        </is>
      </c>
      <c r="J3349" s="13" t="n">
        <v>59</v>
      </c>
      <c r="K3349" s="1" t="inlineStr"/>
      <c r="L3349" s="13" t="n">
        <v>59</v>
      </c>
      <c r="M3349" s="1">
        <f>IF(L3349="","ไม่พบใน SG",IF(ABS(J3349-L3349)&lt;0.005,"ตรงกัน","ไม่ตรง"))</f>
        <v/>
      </c>
      <c r="N3349" s="14">
        <f>IF(L3349="","",ROUND(L3349*'สรุป'!$C$6,-1))</f>
        <v/>
      </c>
      <c r="O3349" s="15" t="n"/>
      <c r="P3349" s="15" t="n"/>
      <c r="Q3349" s="10" t="n"/>
      <c r="R3349" s="10" t="n"/>
      <c r="S3349" s="16" t="inlineStr">
        <is>
          <t>https://mstgolf.co.th/products/gf3500201745</t>
        </is>
      </c>
      <c r="T3349" s="1">
        <f>IF(B3349="ไม้กอล์ฟ",J3349,"")</f>
        <v/>
      </c>
    </row>
    <row r="3350">
      <c r="A3350" s="1" t="n">
        <v>3</v>
      </c>
      <c r="B3350" s="1" t="inlineStr">
        <is>
          <t>อุปกรณ์เสริม</t>
        </is>
      </c>
      <c r="C3350" s="1" t="inlineStr">
        <is>
          <t>gf3500201802</t>
        </is>
      </c>
      <c r="D3350" s="1" t="inlineStr">
        <is>
          <t>GOLF LITE Mukku Driver Headcover</t>
        </is>
      </c>
      <c r="E3350" s="1" t="inlineStr">
        <is>
          <t>GOLF LITE</t>
        </is>
      </c>
      <c r="F3350" s="1" t="inlineStr">
        <is>
          <t>HEADCOVERS</t>
        </is>
      </c>
      <c r="G3350" s="1" t="inlineStr">
        <is>
          <t>GF3500201802</t>
        </is>
      </c>
      <c r="H3350" s="1" t="n">
        <v>1</v>
      </c>
      <c r="I3350" s="1" t="inlineStr">
        <is>
          <t>มี</t>
        </is>
      </c>
      <c r="J3350" s="13" t="n">
        <v>59</v>
      </c>
      <c r="K3350" s="1" t="inlineStr"/>
      <c r="L3350" s="13" t="n">
        <v>59</v>
      </c>
      <c r="M3350" s="1">
        <f>IF(L3350="","ไม่พบใน SG",IF(ABS(J3350-L3350)&lt;0.005,"ตรงกัน","ไม่ตรง"))</f>
        <v/>
      </c>
      <c r="N3350" s="14">
        <f>IF(L3350="","",ROUND(L3350*'สรุป'!$C$6,-1))</f>
        <v/>
      </c>
      <c r="O3350" s="15" t="n"/>
      <c r="P3350" s="15" t="n"/>
      <c r="Q3350" s="10" t="n"/>
      <c r="R3350" s="10" t="n"/>
      <c r="S3350" s="16" t="inlineStr">
        <is>
          <t>https://mstgolf.co.th/products/gf3500201802</t>
        </is>
      </c>
      <c r="T3350" s="1">
        <f>IF(B3350="ไม้กอล์ฟ",J3350,"")</f>
        <v/>
      </c>
    </row>
    <row r="3351">
      <c r="A3351" s="1" t="n">
        <v>3</v>
      </c>
      <c r="B3351" s="1" t="inlineStr">
        <is>
          <t>เสื้อผ้า</t>
        </is>
      </c>
      <c r="C3351" s="1" t="inlineStr">
        <is>
          <t>gf2040120159</t>
        </is>
      </c>
      <c r="D3351" s="1" t="inlineStr">
        <is>
          <t>LE COQ SPORTIF GOLF 30th Anniversary All-Over Print Men's Polo (Emerald)</t>
        </is>
      </c>
      <c r="E3351" s="1" t="inlineStr">
        <is>
          <t>LE COQ SPORTIF GOLF</t>
        </is>
      </c>
      <c r="F3351" s="1" t="inlineStr">
        <is>
          <t>SHORT SLEEVES</t>
        </is>
      </c>
      <c r="G3351" s="1" t="inlineStr">
        <is>
          <t>GF2040120159S</t>
        </is>
      </c>
      <c r="H3351" s="1" t="n">
        <v>6</v>
      </c>
      <c r="I3351" s="1" t="inlineStr">
        <is>
          <t>มี</t>
        </is>
      </c>
      <c r="J3351" s="13" t="n">
        <v>59</v>
      </c>
      <c r="K3351" s="1" t="inlineStr"/>
      <c r="L3351" s="13" t="n">
        <v>59</v>
      </c>
      <c r="M3351" s="1">
        <f>IF(L3351="","ไม่พบใน SG",IF(ABS(J3351-L3351)&lt;0.005,"ตรงกัน","ไม่ตรง"))</f>
        <v/>
      </c>
      <c r="N3351" s="14">
        <f>IF(L3351="","",ROUND(L3351*'สรุป'!$C$6,-1))</f>
        <v/>
      </c>
      <c r="O3351" s="15" t="n"/>
      <c r="P3351" s="15" t="n"/>
      <c r="Q3351" s="10" t="n"/>
      <c r="R3351" s="10" t="n"/>
      <c r="S3351" s="16" t="inlineStr">
        <is>
          <t>https://mstgolf.co.th/products/gf2040120159</t>
        </is>
      </c>
      <c r="T3351" s="1">
        <f>IF(B3351="ไม้กอล์ฟ",J3351,"")</f>
        <v/>
      </c>
    </row>
    <row r="3352">
      <c r="A3352" s="1" t="n">
        <v>3</v>
      </c>
      <c r="B3352" s="1" t="inlineStr">
        <is>
          <t>เสื้อผ้า</t>
        </is>
      </c>
      <c r="C3352" s="1" t="inlineStr">
        <is>
          <t>gf2040120198</t>
        </is>
      </c>
      <c r="D3352" s="1" t="inlineStr">
        <is>
          <t>LE COQ SPORTIF GOLF Basic Knit Men's Polo (Blue)</t>
        </is>
      </c>
      <c r="E3352" s="1" t="inlineStr">
        <is>
          <t>LE COQ SPORTIF GOLF</t>
        </is>
      </c>
      <c r="F3352" s="1" t="inlineStr">
        <is>
          <t>SHORT SLEEVES</t>
        </is>
      </c>
      <c r="G3352" s="1" t="inlineStr">
        <is>
          <t>GF2040120198S</t>
        </is>
      </c>
      <c r="H3352" s="1" t="n">
        <v>6</v>
      </c>
      <c r="I3352" s="1" t="inlineStr">
        <is>
          <t>มี</t>
        </is>
      </c>
      <c r="J3352" s="13" t="n">
        <v>59</v>
      </c>
      <c r="K3352" s="1" t="inlineStr"/>
      <c r="L3352" s="13" t="n">
        <v>59</v>
      </c>
      <c r="M3352" s="1">
        <f>IF(L3352="","ไม่พบใน SG",IF(ABS(J3352-L3352)&lt;0.005,"ตรงกัน","ไม่ตรง"))</f>
        <v/>
      </c>
      <c r="N3352" s="14">
        <f>IF(L3352="","",ROUND(L3352*'สรุป'!$C$6,-1))</f>
        <v/>
      </c>
      <c r="O3352" s="15" t="n"/>
      <c r="P3352" s="15" t="n"/>
      <c r="Q3352" s="10" t="n"/>
      <c r="R3352" s="10" t="n"/>
      <c r="S3352" s="16" t="inlineStr">
        <is>
          <t>https://mstgolf.co.th/products/gf2040120198</t>
        </is>
      </c>
      <c r="T3352" s="1">
        <f>IF(B3352="ไม้กอล์ฟ",J3352,"")</f>
        <v/>
      </c>
    </row>
    <row r="3353">
      <c r="A3353" s="1" t="n">
        <v>3</v>
      </c>
      <c r="B3353" s="1" t="inlineStr">
        <is>
          <t>เสื้อผ้า</t>
        </is>
      </c>
      <c r="C3353" s="1" t="inlineStr">
        <is>
          <t>gf2040119937</t>
        </is>
      </c>
      <c r="D3353" s="1" t="inlineStr">
        <is>
          <t>LE COQ SPORTIF GOLF Basic Knit Men's Polo (Navy)</t>
        </is>
      </c>
      <c r="E3353" s="1" t="inlineStr">
        <is>
          <t>LE COQ SPORTIF GOLF</t>
        </is>
      </c>
      <c r="F3353" s="1" t="inlineStr">
        <is>
          <t>SHORT SLEEVES</t>
        </is>
      </c>
      <c r="G3353" s="1" t="inlineStr">
        <is>
          <t>GF2040119937S</t>
        </is>
      </c>
      <c r="H3353" s="1" t="n">
        <v>6</v>
      </c>
      <c r="I3353" s="1" t="inlineStr">
        <is>
          <t>มี</t>
        </is>
      </c>
      <c r="J3353" s="13" t="n">
        <v>59</v>
      </c>
      <c r="K3353" s="1" t="inlineStr"/>
      <c r="L3353" s="13" t="n">
        <v>59</v>
      </c>
      <c r="M3353" s="1">
        <f>IF(L3353="","ไม่พบใน SG",IF(ABS(J3353-L3353)&lt;0.005,"ตรงกัน","ไม่ตรง"))</f>
        <v/>
      </c>
      <c r="N3353" s="14">
        <f>IF(L3353="","",ROUND(L3353*'สรุป'!$C$6,-1))</f>
        <v/>
      </c>
      <c r="O3353" s="15" t="n"/>
      <c r="P3353" s="15" t="n"/>
      <c r="Q3353" s="10" t="n"/>
      <c r="R3353" s="10" t="n"/>
      <c r="S3353" s="16" t="inlineStr">
        <is>
          <t>https://mstgolf.co.th/products/gf2040119937</t>
        </is>
      </c>
      <c r="T3353" s="1">
        <f>IF(B3353="ไม้กอล์ฟ",J3353,"")</f>
        <v/>
      </c>
    </row>
    <row r="3354">
      <c r="A3354" s="1" t="n">
        <v>3</v>
      </c>
      <c r="B3354" s="1" t="inlineStr">
        <is>
          <t>เสื้อผ้า</t>
        </is>
      </c>
      <c r="C3354" s="1" t="inlineStr">
        <is>
          <t>gf2040119938</t>
        </is>
      </c>
      <c r="D3354" s="1" t="inlineStr">
        <is>
          <t>LE COQ SPORTIF GOLF Basic Knit Men's Polo (White)</t>
        </is>
      </c>
      <c r="E3354" s="1" t="inlineStr">
        <is>
          <t>LE COQ SPORTIF GOLF</t>
        </is>
      </c>
      <c r="F3354" s="1" t="inlineStr">
        <is>
          <t>SHORT SLEEVES</t>
        </is>
      </c>
      <c r="G3354" s="1" t="inlineStr">
        <is>
          <t>GF2040119938S</t>
        </is>
      </c>
      <c r="H3354" s="1" t="n">
        <v>6</v>
      </c>
      <c r="I3354" s="1" t="inlineStr">
        <is>
          <t>มี</t>
        </is>
      </c>
      <c r="J3354" s="13" t="n">
        <v>59</v>
      </c>
      <c r="K3354" s="1" t="inlineStr"/>
      <c r="L3354" s="13" t="n">
        <v>59</v>
      </c>
      <c r="M3354" s="1">
        <f>IF(L3354="","ไม่พบใน SG",IF(ABS(J3354-L3354)&lt;0.005,"ตรงกัน","ไม่ตรง"))</f>
        <v/>
      </c>
      <c r="N3354" s="14">
        <f>IF(L3354="","",ROUND(L3354*'สรุป'!$C$6,-1))</f>
        <v/>
      </c>
      <c r="O3354" s="15" t="n"/>
      <c r="P3354" s="15" t="n"/>
      <c r="Q3354" s="10" t="n"/>
      <c r="R3354" s="10" t="n"/>
      <c r="S3354" s="16" t="inlineStr">
        <is>
          <t>https://mstgolf.co.th/products/gf2040119938</t>
        </is>
      </c>
      <c r="T3354" s="1">
        <f>IF(B3354="ไม้กอล์ฟ",J3354,"")</f>
        <v/>
      </c>
    </row>
    <row r="3355">
      <c r="A3355" s="1" t="n">
        <v>3</v>
      </c>
      <c r="B3355" s="1" t="inlineStr">
        <is>
          <t>เสื้อผ้า</t>
        </is>
      </c>
      <c r="C3355" s="1" t="inlineStr">
        <is>
          <t>gf2090700102</t>
        </is>
      </c>
      <c r="D3355" s="1" t="inlineStr">
        <is>
          <t>LE COQ SPORTIF GOLF Classic Women's Knee Socks (Grey)</t>
        </is>
      </c>
      <c r="E3355" s="1" t="inlineStr">
        <is>
          <t>LE COQ SPORTIF GOLF</t>
        </is>
      </c>
      <c r="F3355" s="1" t="inlineStr">
        <is>
          <t>KNEE</t>
        </is>
      </c>
      <c r="G3355" s="1" t="inlineStr">
        <is>
          <t>GF209070010222-24</t>
        </is>
      </c>
      <c r="H3355" s="1" t="n">
        <v>1</v>
      </c>
      <c r="I3355" s="1" t="inlineStr">
        <is>
          <t>มี</t>
        </is>
      </c>
      <c r="J3355" s="13" t="n">
        <v>59</v>
      </c>
      <c r="K3355" s="1" t="inlineStr"/>
      <c r="L3355" s="13" t="n">
        <v>59</v>
      </c>
      <c r="M3355" s="1">
        <f>IF(L3355="","ไม่พบใน SG",IF(ABS(J3355-L3355)&lt;0.005,"ตรงกัน","ไม่ตรง"))</f>
        <v/>
      </c>
      <c r="N3355" s="14">
        <f>IF(L3355="","",ROUND(L3355*'สรุป'!$C$6,-1))</f>
        <v/>
      </c>
      <c r="O3355" s="15" t="n"/>
      <c r="P3355" s="15" t="n"/>
      <c r="Q3355" s="10" t="n"/>
      <c r="R3355" s="10" t="n"/>
      <c r="S3355" s="16" t="inlineStr">
        <is>
          <t>https://mstgolf.co.th/products/gf2090700102</t>
        </is>
      </c>
      <c r="T3355" s="1">
        <f>IF(B3355="ไม้กอล์ฟ",J3355,"")</f>
        <v/>
      </c>
    </row>
    <row r="3356">
      <c r="A3356" s="1" t="n">
        <v>3</v>
      </c>
      <c r="B3356" s="1" t="inlineStr">
        <is>
          <t>เสื้อผ้า</t>
        </is>
      </c>
      <c r="C3356" s="1" t="inlineStr">
        <is>
          <t>gf2090700103</t>
        </is>
      </c>
      <c r="D3356" s="1" t="inlineStr">
        <is>
          <t>LE COQ SPORTIF GOLF Classic Women's Knee Socks (Navy)</t>
        </is>
      </c>
      <c r="E3356" s="1" t="inlineStr">
        <is>
          <t>LE COQ SPORTIF GOLF</t>
        </is>
      </c>
      <c r="F3356" s="1" t="inlineStr">
        <is>
          <t>KNEE</t>
        </is>
      </c>
      <c r="G3356" s="1" t="inlineStr">
        <is>
          <t>GF209070010322-24</t>
        </is>
      </c>
      <c r="H3356" s="1" t="n">
        <v>1</v>
      </c>
      <c r="I3356" s="1" t="inlineStr">
        <is>
          <t>มี</t>
        </is>
      </c>
      <c r="J3356" s="13" t="n">
        <v>59</v>
      </c>
      <c r="K3356" s="1" t="inlineStr"/>
      <c r="L3356" s="13" t="n">
        <v>59</v>
      </c>
      <c r="M3356" s="1">
        <f>IF(L3356="","ไม่พบใน SG",IF(ABS(J3356-L3356)&lt;0.005,"ตรงกัน","ไม่ตรง"))</f>
        <v/>
      </c>
      <c r="N3356" s="14">
        <f>IF(L3356="","",ROUND(L3356*'สรุป'!$C$6,-1))</f>
        <v/>
      </c>
      <c r="O3356" s="15" t="n"/>
      <c r="P3356" s="15" t="n"/>
      <c r="Q3356" s="10" t="n"/>
      <c r="R3356" s="10" t="n"/>
      <c r="S3356" s="16" t="inlineStr">
        <is>
          <t>https://mstgolf.co.th/products/gf2090700103</t>
        </is>
      </c>
      <c r="T3356" s="1">
        <f>IF(B3356="ไม้กอล์ฟ",J3356,"")</f>
        <v/>
      </c>
    </row>
    <row r="3357">
      <c r="A3357" s="1" t="n">
        <v>3</v>
      </c>
      <c r="B3357" s="1" t="inlineStr">
        <is>
          <t>เสื้อผ้า</t>
        </is>
      </c>
      <c r="C3357" s="1" t="inlineStr">
        <is>
          <t>gf2040120743</t>
        </is>
      </c>
      <c r="D3357" s="1" t="inlineStr">
        <is>
          <t>LE COQ SPORTIF GOLF Flared Sleeve Women's Mock Shirt (Black)</t>
        </is>
      </c>
      <c r="E3357" s="1" t="inlineStr">
        <is>
          <t>LE COQ SPORTIF GOLF</t>
        </is>
      </c>
      <c r="F3357" s="1" t="inlineStr">
        <is>
          <t>SHORT SLEEVES</t>
        </is>
      </c>
      <c r="G3357" s="1" t="inlineStr">
        <is>
          <t>GF2040120743S</t>
        </is>
      </c>
      <c r="H3357" s="1" t="n">
        <v>4</v>
      </c>
      <c r="I3357" s="1" t="inlineStr">
        <is>
          <t>มี</t>
        </is>
      </c>
      <c r="J3357" s="13" t="n">
        <v>59</v>
      </c>
      <c r="K3357" s="1" t="inlineStr"/>
      <c r="L3357" s="13" t="n">
        <v>59</v>
      </c>
      <c r="M3357" s="1">
        <f>IF(L3357="","ไม่พบใน SG",IF(ABS(J3357-L3357)&lt;0.005,"ตรงกัน","ไม่ตรง"))</f>
        <v/>
      </c>
      <c r="N3357" s="14">
        <f>IF(L3357="","",ROUND(L3357*'สรุป'!$C$6,-1))</f>
        <v/>
      </c>
      <c r="O3357" s="15" t="n"/>
      <c r="P3357" s="15" t="n"/>
      <c r="Q3357" s="10" t="n"/>
      <c r="R3357" s="10" t="n"/>
      <c r="S3357" s="16" t="inlineStr">
        <is>
          <t>https://mstgolf.co.th/products/gf2040120743</t>
        </is>
      </c>
      <c r="T3357" s="1">
        <f>IF(B3357="ไม้กอล์ฟ",J3357,"")</f>
        <v/>
      </c>
    </row>
    <row r="3358">
      <c r="A3358" s="1" t="n">
        <v>3</v>
      </c>
      <c r="B3358" s="1" t="inlineStr">
        <is>
          <t>เสื้อผ้า</t>
        </is>
      </c>
      <c r="C3358" s="1" t="inlineStr">
        <is>
          <t>gf2040120744</t>
        </is>
      </c>
      <c r="D3358" s="1" t="inlineStr">
        <is>
          <t>LE COQ SPORTIF GOLF Flared Sleeve Women's Mock Shirt (White)</t>
        </is>
      </c>
      <c r="E3358" s="1" t="inlineStr">
        <is>
          <t>LE COQ SPORTIF GOLF</t>
        </is>
      </c>
      <c r="F3358" s="1" t="inlineStr">
        <is>
          <t>SHORT SLEEVES</t>
        </is>
      </c>
      <c r="G3358" s="1" t="inlineStr">
        <is>
          <t>GF2040120744S</t>
        </is>
      </c>
      <c r="H3358" s="1" t="n">
        <v>4</v>
      </c>
      <c r="I3358" s="1" t="inlineStr">
        <is>
          <t>มี</t>
        </is>
      </c>
      <c r="J3358" s="13" t="n">
        <v>59</v>
      </c>
      <c r="K3358" s="1" t="inlineStr"/>
      <c r="L3358" s="13" t="n">
        <v>59</v>
      </c>
      <c r="M3358" s="1">
        <f>IF(L3358="","ไม่พบใน SG",IF(ABS(J3358-L3358)&lt;0.005,"ตรงกัน","ไม่ตรง"))</f>
        <v/>
      </c>
      <c r="N3358" s="14">
        <f>IF(L3358="","",ROUND(L3358*'สรุป'!$C$6,-1))</f>
        <v/>
      </c>
      <c r="O3358" s="15" t="n"/>
      <c r="P3358" s="15" t="n"/>
      <c r="Q3358" s="10" t="n"/>
      <c r="R3358" s="10" t="n"/>
      <c r="S3358" s="16" t="inlineStr">
        <is>
          <t>https://mstgolf.co.th/products/gf2040120744</t>
        </is>
      </c>
      <c r="T3358" s="1">
        <f>IF(B3358="ไม้กอล์ฟ",J3358,"")</f>
        <v/>
      </c>
    </row>
    <row r="3359">
      <c r="A3359" s="1" t="n">
        <v>3</v>
      </c>
      <c r="B3359" s="1" t="inlineStr">
        <is>
          <t>เสื้อผ้า</t>
        </is>
      </c>
      <c r="C3359" s="1" t="inlineStr">
        <is>
          <t>gf2020102558</t>
        </is>
      </c>
      <c r="D3359" s="1" t="inlineStr">
        <is>
          <t>LE COQ SPORTIF GOLF Golf Men's Joggers (Navy)</t>
        </is>
      </c>
      <c r="E3359" s="1" t="inlineStr">
        <is>
          <t>LE COQ SPORTIF GOLF</t>
        </is>
      </c>
      <c r="F3359" s="1" t="inlineStr">
        <is>
          <t>LONG PANTS</t>
        </is>
      </c>
      <c r="G3359" s="1" t="inlineStr">
        <is>
          <t>GF2020102558M</t>
        </is>
      </c>
      <c r="H3359" s="1" t="n">
        <v>3</v>
      </c>
      <c r="I3359" s="1" t="inlineStr">
        <is>
          <t>มี</t>
        </is>
      </c>
      <c r="J3359" s="13" t="n">
        <v>59</v>
      </c>
      <c r="K3359" s="1" t="inlineStr"/>
      <c r="L3359" s="13" t="n">
        <v>49</v>
      </c>
      <c r="M3359" s="1">
        <f>IF(L3359="","ไม่พบใน SG",IF(ABS(J3359-L3359)&lt;0.005,"ตรงกัน","ไม่ตรง"))</f>
        <v/>
      </c>
      <c r="N3359" s="14">
        <f>IF(L3359="","",ROUND(L3359*'สรุป'!$C$6,-1))</f>
        <v/>
      </c>
      <c r="O3359" s="15" t="n"/>
      <c r="P3359" s="15" t="n"/>
      <c r="Q3359" s="10" t="n"/>
      <c r="R3359" s="10" t="n"/>
      <c r="S3359" s="16" t="inlineStr">
        <is>
          <t>https://mstgolf.co.th/products/gf2020102558</t>
        </is>
      </c>
      <c r="T3359" s="1">
        <f>IF(B3359="ไม้กอล์ฟ",J3359,"")</f>
        <v/>
      </c>
    </row>
    <row r="3360">
      <c r="A3360" s="1" t="n">
        <v>3</v>
      </c>
      <c r="B3360" s="1" t="inlineStr">
        <is>
          <t>เสื้อผ้า</t>
        </is>
      </c>
      <c r="C3360" s="1" t="inlineStr">
        <is>
          <t>gf2020102557</t>
        </is>
      </c>
      <c r="D3360" s="1" t="inlineStr">
        <is>
          <t>LE COQ SPORTIF GOLF JOGGER PANTS</t>
        </is>
      </c>
      <c r="E3360" s="1" t="inlineStr">
        <is>
          <t>LE COQ SPORTIF GOLF</t>
        </is>
      </c>
      <c r="F3360" s="1" t="inlineStr">
        <is>
          <t>LONG PANTS</t>
        </is>
      </c>
      <c r="G3360" s="1" t="inlineStr">
        <is>
          <t>GF2020102557M</t>
        </is>
      </c>
      <c r="H3360" s="1" t="n">
        <v>3</v>
      </c>
      <c r="I3360" s="1" t="inlineStr">
        <is>
          <t>มี</t>
        </is>
      </c>
      <c r="J3360" s="13" t="n">
        <v>59</v>
      </c>
      <c r="K3360" s="1" t="inlineStr"/>
      <c r="L3360" s="13" t="n">
        <v>49</v>
      </c>
      <c r="M3360" s="1">
        <f>IF(L3360="","ไม่พบใน SG",IF(ABS(J3360-L3360)&lt;0.005,"ตรงกัน","ไม่ตรง"))</f>
        <v/>
      </c>
      <c r="N3360" s="14">
        <f>IF(L3360="","",ROUND(L3360*'สรุป'!$C$6,-1))</f>
        <v/>
      </c>
      <c r="O3360" s="15" t="n"/>
      <c r="P3360" s="15" t="n"/>
      <c r="Q3360" s="10" t="n"/>
      <c r="R3360" s="10" t="n"/>
      <c r="S3360" s="16" t="inlineStr">
        <is>
          <t>https://mstgolf.co.th/products/gf2020102557</t>
        </is>
      </c>
      <c r="T3360" s="1">
        <f>IF(B3360="ไม้กอล์ฟ",J3360,"")</f>
        <v/>
      </c>
    </row>
    <row r="3361">
      <c r="A3361" s="1" t="n">
        <v>3</v>
      </c>
      <c r="B3361" s="1" t="inlineStr">
        <is>
          <t>อุปกรณ์เสริม</t>
        </is>
      </c>
      <c r="C3361" s="1" t="inlineStr">
        <is>
          <t>gf2080101522</t>
        </is>
      </c>
      <c r="D3361" s="1" t="inlineStr">
        <is>
          <t>LE COQ SPORTIF GOLF Logo Mesh Women's Belt (Beige)</t>
        </is>
      </c>
      <c r="E3361" s="1" t="inlineStr">
        <is>
          <t>LE COQ SPORTIF GOLF</t>
        </is>
      </c>
      <c r="F3361" s="1" t="inlineStr">
        <is>
          <t>BELT</t>
        </is>
      </c>
      <c r="G3361" s="1" t="inlineStr">
        <is>
          <t>GF2080101522FS</t>
        </is>
      </c>
      <c r="H3361" s="1" t="n">
        <v>1</v>
      </c>
      <c r="I3361" s="1" t="inlineStr">
        <is>
          <t>มี</t>
        </is>
      </c>
      <c r="J3361" s="13" t="n">
        <v>59</v>
      </c>
      <c r="K3361" s="1" t="inlineStr"/>
      <c r="L3361" s="13" t="n">
        <v>59</v>
      </c>
      <c r="M3361" s="1">
        <f>IF(L3361="","ไม่พบใน SG",IF(ABS(J3361-L3361)&lt;0.005,"ตรงกัน","ไม่ตรง"))</f>
        <v/>
      </c>
      <c r="N3361" s="14">
        <f>IF(L3361="","",ROUND(L3361*'สรุป'!$C$6,-1))</f>
        <v/>
      </c>
      <c r="O3361" s="15" t="n"/>
      <c r="P3361" s="15" t="n"/>
      <c r="Q3361" s="10" t="n"/>
      <c r="R3361" s="10" t="n"/>
      <c r="S3361" s="16" t="inlineStr">
        <is>
          <t>https://mstgolf.co.th/products/gf2080101522</t>
        </is>
      </c>
      <c r="T3361" s="1">
        <f>IF(B3361="ไม้กอล์ฟ",J3361,"")</f>
        <v/>
      </c>
    </row>
    <row r="3362">
      <c r="A3362" s="1" t="n">
        <v>3</v>
      </c>
      <c r="B3362" s="1" t="inlineStr">
        <is>
          <t>อุปกรณ์เสริม</t>
        </is>
      </c>
      <c r="C3362" s="1" t="inlineStr">
        <is>
          <t>gf2080101523</t>
        </is>
      </c>
      <c r="D3362" s="1" t="inlineStr">
        <is>
          <t>LE COQ SPORTIF GOLF Logo Mesh Women's Belt (Navy)</t>
        </is>
      </c>
      <c r="E3362" s="1" t="inlineStr">
        <is>
          <t>LE COQ SPORTIF GOLF</t>
        </is>
      </c>
      <c r="F3362" s="1" t="inlineStr">
        <is>
          <t>BELT</t>
        </is>
      </c>
      <c r="G3362" s="1" t="inlineStr">
        <is>
          <t>GF2080101523FS</t>
        </is>
      </c>
      <c r="H3362" s="1" t="n">
        <v>1</v>
      </c>
      <c r="I3362" s="1" t="inlineStr">
        <is>
          <t>มี</t>
        </is>
      </c>
      <c r="J3362" s="13" t="n">
        <v>59</v>
      </c>
      <c r="K3362" s="1" t="inlineStr"/>
      <c r="L3362" s="13" t="n">
        <v>59</v>
      </c>
      <c r="M3362" s="1">
        <f>IF(L3362="","ไม่พบใน SG",IF(ABS(J3362-L3362)&lt;0.005,"ตรงกัน","ไม่ตรง"))</f>
        <v/>
      </c>
      <c r="N3362" s="14">
        <f>IF(L3362="","",ROUND(L3362*'สรุป'!$C$6,-1))</f>
        <v/>
      </c>
      <c r="O3362" s="15" t="n"/>
      <c r="P3362" s="15" t="n"/>
      <c r="Q3362" s="10" t="n"/>
      <c r="R3362" s="10" t="n"/>
      <c r="S3362" s="16" t="inlineStr">
        <is>
          <t>https://mstgolf.co.th/products/gf2080101523</t>
        </is>
      </c>
      <c r="T3362" s="1">
        <f>IF(B3362="ไม้กอล์ฟ",J3362,"")</f>
        <v/>
      </c>
    </row>
    <row r="3363">
      <c r="A3363" s="1" t="n">
        <v>3</v>
      </c>
      <c r="B3363" s="1" t="inlineStr">
        <is>
          <t>อุปกรณ์เสริม</t>
        </is>
      </c>
      <c r="C3363" s="1" t="inlineStr">
        <is>
          <t>gf2080101524</t>
        </is>
      </c>
      <c r="D3363" s="1" t="inlineStr">
        <is>
          <t>LE COQ SPORTIF GOLF Logo Mesh Women's Belt (White)</t>
        </is>
      </c>
      <c r="E3363" s="1" t="inlineStr">
        <is>
          <t>LE COQ SPORTIF GOLF</t>
        </is>
      </c>
      <c r="F3363" s="1" t="inlineStr">
        <is>
          <t>BELT</t>
        </is>
      </c>
      <c r="G3363" s="1" t="inlineStr">
        <is>
          <t>GF2080101524FS</t>
        </is>
      </c>
      <c r="H3363" s="1" t="n">
        <v>1</v>
      </c>
      <c r="I3363" s="1" t="inlineStr">
        <is>
          <t>มี</t>
        </is>
      </c>
      <c r="J3363" s="13" t="n">
        <v>59</v>
      </c>
      <c r="K3363" s="1" t="inlineStr"/>
      <c r="L3363" s="13" t="n">
        <v>59</v>
      </c>
      <c r="M3363" s="1">
        <f>IF(L3363="","ไม่พบใน SG",IF(ABS(J3363-L3363)&lt;0.005,"ตรงกัน","ไม่ตรง"))</f>
        <v/>
      </c>
      <c r="N3363" s="14">
        <f>IF(L3363="","",ROUND(L3363*'สรุป'!$C$6,-1))</f>
        <v/>
      </c>
      <c r="O3363" s="15" t="n"/>
      <c r="P3363" s="15" t="n"/>
      <c r="Q3363" s="10" t="n"/>
      <c r="R3363" s="10" t="n"/>
      <c r="S3363" s="16" t="inlineStr">
        <is>
          <t>https://mstgolf.co.th/products/gf2080101524</t>
        </is>
      </c>
      <c r="T3363" s="1">
        <f>IF(B3363="ไม้กอล์ฟ",J3363,"")</f>
        <v/>
      </c>
    </row>
    <row r="3364">
      <c r="A3364" s="1" t="n">
        <v>3</v>
      </c>
      <c r="B3364" s="1" t="inlineStr">
        <is>
          <t>เสื้อผ้า</t>
        </is>
      </c>
      <c r="C3364" s="1" t="inlineStr">
        <is>
          <t>gf2040120162</t>
        </is>
      </c>
      <c r="D3364" s="1" t="inlineStr">
        <is>
          <t>LE COQ SPORTIF GOLF Men's Shirt With Innerwear Set (Pink)</t>
        </is>
      </c>
      <c r="E3364" s="1" t="inlineStr">
        <is>
          <t>LE COQ SPORTIF GOLF</t>
        </is>
      </c>
      <c r="F3364" s="1" t="inlineStr">
        <is>
          <t>SHORT SLEEVES</t>
        </is>
      </c>
      <c r="G3364" s="1" t="inlineStr">
        <is>
          <t>GF2040120162S</t>
        </is>
      </c>
      <c r="H3364" s="1" t="n">
        <v>6</v>
      </c>
      <c r="I3364" s="1" t="inlineStr">
        <is>
          <t>มี</t>
        </is>
      </c>
      <c r="J3364" s="13" t="n">
        <v>59</v>
      </c>
      <c r="K3364" s="1" t="inlineStr"/>
      <c r="L3364" s="13" t="n">
        <v>59</v>
      </c>
      <c r="M3364" s="1">
        <f>IF(L3364="","ไม่พบใน SG",IF(ABS(J3364-L3364)&lt;0.005,"ตรงกัน","ไม่ตรง"))</f>
        <v/>
      </c>
      <c r="N3364" s="14">
        <f>IF(L3364="","",ROUND(L3364*'สรุป'!$C$6,-1))</f>
        <v/>
      </c>
      <c r="O3364" s="15" t="n"/>
      <c r="P3364" s="15" t="n"/>
      <c r="Q3364" s="10" t="n"/>
      <c r="R3364" s="10" t="n"/>
      <c r="S3364" s="16" t="inlineStr">
        <is>
          <t>https://mstgolf.co.th/products/gf2040120162</t>
        </is>
      </c>
      <c r="T3364" s="1">
        <f>IF(B3364="ไม้กอล์ฟ",J3364,"")</f>
        <v/>
      </c>
    </row>
    <row r="3365">
      <c r="A3365" s="1" t="n">
        <v>3</v>
      </c>
      <c r="B3365" s="1" t="inlineStr">
        <is>
          <t>เสื้อผ้า</t>
        </is>
      </c>
      <c r="C3365" s="1" t="inlineStr">
        <is>
          <t>gf2040120164</t>
        </is>
      </c>
      <c r="D3365" s="1" t="inlineStr">
        <is>
          <t>LE COQ SPORTIF GOLF Men's Shirt With Innerwear Set (Yellow )</t>
        </is>
      </c>
      <c r="E3365" s="1" t="inlineStr">
        <is>
          <t>LE COQ SPORTIF GOLF</t>
        </is>
      </c>
      <c r="F3365" s="1" t="inlineStr">
        <is>
          <t>SHORT SLEEVES</t>
        </is>
      </c>
      <c r="G3365" s="1" t="inlineStr">
        <is>
          <t>GF2040120164S</t>
        </is>
      </c>
      <c r="H3365" s="1" t="n">
        <v>6</v>
      </c>
      <c r="I3365" s="1" t="inlineStr">
        <is>
          <t>มี</t>
        </is>
      </c>
      <c r="J3365" s="13" t="n">
        <v>59</v>
      </c>
      <c r="K3365" s="1" t="inlineStr"/>
      <c r="L3365" s="13" t="n">
        <v>59</v>
      </c>
      <c r="M3365" s="1">
        <f>IF(L3365="","ไม่พบใน SG",IF(ABS(J3365-L3365)&lt;0.005,"ตรงกัน","ไม่ตรง"))</f>
        <v/>
      </c>
      <c r="N3365" s="14">
        <f>IF(L3365="","",ROUND(L3365*'สรุป'!$C$6,-1))</f>
        <v/>
      </c>
      <c r="O3365" s="15" t="n"/>
      <c r="P3365" s="15" t="n"/>
      <c r="Q3365" s="10" t="n"/>
      <c r="R3365" s="10" t="n"/>
      <c r="S3365" s="16" t="inlineStr">
        <is>
          <t>https://mstgolf.co.th/products/gf2040120164</t>
        </is>
      </c>
      <c r="T3365" s="1">
        <f>IF(B3365="ไม้กอล์ฟ",J3365,"")</f>
        <v/>
      </c>
    </row>
    <row r="3366">
      <c r="A3366" s="1" t="n">
        <v>3</v>
      </c>
      <c r="B3366" s="1" t="inlineStr">
        <is>
          <t>เสื้อผ้า</t>
        </is>
      </c>
      <c r="C3366" s="1" t="inlineStr">
        <is>
          <t>gf2040200136</t>
        </is>
      </c>
      <c r="D3366" s="1" t="inlineStr">
        <is>
          <t>LE COQ SPORTIF GOLF Mondarian Men's Mock Shirt (White)</t>
        </is>
      </c>
      <c r="E3366" s="1" t="inlineStr">
        <is>
          <t>LE COQ SPORTIF GOLF</t>
        </is>
      </c>
      <c r="F3366" s="1" t="inlineStr">
        <is>
          <t>TEE SHIRT</t>
        </is>
      </c>
      <c r="G3366" s="1" t="inlineStr">
        <is>
          <t>GF2040200136S</t>
        </is>
      </c>
      <c r="H3366" s="1" t="n">
        <v>6</v>
      </c>
      <c r="I3366" s="1" t="inlineStr">
        <is>
          <t>มี</t>
        </is>
      </c>
      <c r="J3366" s="13" t="n">
        <v>59</v>
      </c>
      <c r="K3366" s="1" t="inlineStr"/>
      <c r="L3366" s="13" t="n">
        <v>59</v>
      </c>
      <c r="M3366" s="1">
        <f>IF(L3366="","ไม่พบใน SG",IF(ABS(J3366-L3366)&lt;0.005,"ตรงกัน","ไม่ตรง"))</f>
        <v/>
      </c>
      <c r="N3366" s="14">
        <f>IF(L3366="","",ROUND(L3366*'สรุป'!$C$6,-1))</f>
        <v/>
      </c>
      <c r="O3366" s="15" t="n"/>
      <c r="P3366" s="15" t="n"/>
      <c r="Q3366" s="10" t="n"/>
      <c r="R3366" s="10" t="n"/>
      <c r="S3366" s="16" t="inlineStr">
        <is>
          <t>https://mstgolf.co.th/products/gf2040200136</t>
        </is>
      </c>
      <c r="T3366" s="1">
        <f>IF(B3366="ไม้กอล์ฟ",J3366,"")</f>
        <v/>
      </c>
    </row>
    <row r="3367">
      <c r="A3367" s="1" t="n">
        <v>3</v>
      </c>
      <c r="B3367" s="1" t="inlineStr">
        <is>
          <t>เสื้อผ้า</t>
        </is>
      </c>
      <c r="C3367" s="1" t="inlineStr">
        <is>
          <t>gf2040120169</t>
        </is>
      </c>
      <c r="D3367" s="1" t="inlineStr">
        <is>
          <t>LE COQ SPORTIF GOLF Mondrian Large Print Men's Polo (White)</t>
        </is>
      </c>
      <c r="E3367" s="1" t="inlineStr">
        <is>
          <t>LE COQ SPORTIF GOLF</t>
        </is>
      </c>
      <c r="F3367" s="1" t="inlineStr">
        <is>
          <t>SHORT SLEEVES</t>
        </is>
      </c>
      <c r="G3367" s="1" t="inlineStr">
        <is>
          <t>GF2040120169S</t>
        </is>
      </c>
      <c r="H3367" s="1" t="n">
        <v>6</v>
      </c>
      <c r="I3367" s="1" t="inlineStr">
        <is>
          <t>มี</t>
        </is>
      </c>
      <c r="J3367" s="13" t="n">
        <v>59</v>
      </c>
      <c r="K3367" s="1" t="inlineStr"/>
      <c r="L3367" s="13" t="n">
        <v>59</v>
      </c>
      <c r="M3367" s="1">
        <f>IF(L3367="","ไม่พบใน SG",IF(ABS(J3367-L3367)&lt;0.005,"ตรงกัน","ไม่ตรง"))</f>
        <v/>
      </c>
      <c r="N3367" s="14">
        <f>IF(L3367="","",ROUND(L3367*'สรุป'!$C$6,-1))</f>
        <v/>
      </c>
      <c r="O3367" s="15" t="n"/>
      <c r="P3367" s="15" t="n"/>
      <c r="Q3367" s="10" t="n"/>
      <c r="R3367" s="10" t="n"/>
      <c r="S3367" s="16" t="inlineStr">
        <is>
          <t>https://mstgolf.co.th/products/gf2040120169</t>
        </is>
      </c>
      <c r="T3367" s="1">
        <f>IF(B3367="ไม้กอล์ฟ",J3367,"")</f>
        <v/>
      </c>
    </row>
    <row r="3368">
      <c r="A3368" s="1" t="n">
        <v>3</v>
      </c>
      <c r="B3368" s="1" t="inlineStr">
        <is>
          <t>เสื้อผ้า</t>
        </is>
      </c>
      <c r="C3368" s="1" t="inlineStr">
        <is>
          <t>gf2040119934</t>
        </is>
      </c>
      <c r="D3368" s="1" t="inlineStr">
        <is>
          <t>LE COQ SPORTIF GOLF Multi-Colour Logo Men's Polo (Black)</t>
        </is>
      </c>
      <c r="E3368" s="1" t="inlineStr">
        <is>
          <t>LE COQ SPORTIF GOLF</t>
        </is>
      </c>
      <c r="F3368" s="1" t="inlineStr">
        <is>
          <t>SHORT SLEEVES</t>
        </is>
      </c>
      <c r="G3368" s="1" t="inlineStr">
        <is>
          <t>GF2040119934S</t>
        </is>
      </c>
      <c r="H3368" s="1" t="n">
        <v>6</v>
      </c>
      <c r="I3368" s="1" t="inlineStr">
        <is>
          <t>มี</t>
        </is>
      </c>
      <c r="J3368" s="13" t="n">
        <v>59</v>
      </c>
      <c r="K3368" s="1" t="inlineStr"/>
      <c r="L3368" s="13" t="n">
        <v>59</v>
      </c>
      <c r="M3368" s="1">
        <f>IF(L3368="","ไม่พบใน SG",IF(ABS(J3368-L3368)&lt;0.005,"ตรงกัน","ไม่ตรง"))</f>
        <v/>
      </c>
      <c r="N3368" s="14">
        <f>IF(L3368="","",ROUND(L3368*'สรุป'!$C$6,-1))</f>
        <v/>
      </c>
      <c r="O3368" s="15" t="n"/>
      <c r="P3368" s="15" t="n"/>
      <c r="Q3368" s="10" t="n"/>
      <c r="R3368" s="10" t="n"/>
      <c r="S3368" s="16" t="inlineStr">
        <is>
          <t>https://mstgolf.co.th/products/gf2040119934</t>
        </is>
      </c>
      <c r="T3368" s="1">
        <f>IF(B3368="ไม้กอล์ฟ",J3368,"")</f>
        <v/>
      </c>
    </row>
    <row r="3369">
      <c r="A3369" s="1" t="n">
        <v>3</v>
      </c>
      <c r="B3369" s="1" t="inlineStr">
        <is>
          <t>เสื้อผ้า</t>
        </is>
      </c>
      <c r="C3369" s="1" t="inlineStr">
        <is>
          <t>gf2040120172</t>
        </is>
      </c>
      <c r="D3369" s="1" t="inlineStr">
        <is>
          <t>LE COQ SPORTIF GOLF Multicolor Logo Men's Polo (Blue)</t>
        </is>
      </c>
      <c r="E3369" s="1" t="inlineStr">
        <is>
          <t>LE COQ SPORTIF GOLF</t>
        </is>
      </c>
      <c r="F3369" s="1" t="inlineStr">
        <is>
          <t>SHORT SLEEVES</t>
        </is>
      </c>
      <c r="G3369" s="1" t="inlineStr">
        <is>
          <t>GF2040120172S</t>
        </is>
      </c>
      <c r="H3369" s="1" t="n">
        <v>6</v>
      </c>
      <c r="I3369" s="1" t="inlineStr">
        <is>
          <t>มี</t>
        </is>
      </c>
      <c r="J3369" s="13" t="n">
        <v>59</v>
      </c>
      <c r="K3369" s="1" t="inlineStr"/>
      <c r="L3369" s="13" t="n">
        <v>59</v>
      </c>
      <c r="M3369" s="1">
        <f>IF(L3369="","ไม่พบใน SG",IF(ABS(J3369-L3369)&lt;0.005,"ตรงกัน","ไม่ตรง"))</f>
        <v/>
      </c>
      <c r="N3369" s="14">
        <f>IF(L3369="","",ROUND(L3369*'สรุป'!$C$6,-1))</f>
        <v/>
      </c>
      <c r="O3369" s="15" t="n"/>
      <c r="P3369" s="15" t="n"/>
      <c r="Q3369" s="10" t="n"/>
      <c r="R3369" s="10" t="n"/>
      <c r="S3369" s="16" t="inlineStr">
        <is>
          <t>https://mstgolf.co.th/products/gf2040120172</t>
        </is>
      </c>
      <c r="T3369" s="1">
        <f>IF(B3369="ไม้กอล์ฟ",J3369,"")</f>
        <v/>
      </c>
    </row>
    <row r="3370">
      <c r="A3370" s="1" t="n">
        <v>3</v>
      </c>
      <c r="B3370" s="1" t="inlineStr">
        <is>
          <t>เสื้อผ้า</t>
        </is>
      </c>
      <c r="C3370" s="1" t="inlineStr">
        <is>
          <t>gf2040120173</t>
        </is>
      </c>
      <c r="D3370" s="1" t="inlineStr">
        <is>
          <t>LE COQ SPORTIF GOLF Multicolor Logo Men's Polo (WHite)</t>
        </is>
      </c>
      <c r="E3370" s="1" t="inlineStr">
        <is>
          <t>LE COQ SPORTIF GOLF</t>
        </is>
      </c>
      <c r="F3370" s="1" t="inlineStr">
        <is>
          <t>SHORT SLEEVES</t>
        </is>
      </c>
      <c r="G3370" s="1" t="inlineStr">
        <is>
          <t>GF2040120173S</t>
        </is>
      </c>
      <c r="H3370" s="1" t="n">
        <v>6</v>
      </c>
      <c r="I3370" s="1" t="inlineStr">
        <is>
          <t>มี</t>
        </is>
      </c>
      <c r="J3370" s="13" t="n">
        <v>59</v>
      </c>
      <c r="K3370" s="1" t="inlineStr"/>
      <c r="L3370" s="13" t="n">
        <v>59</v>
      </c>
      <c r="M3370" s="1">
        <f>IF(L3370="","ไม่พบใน SG",IF(ABS(J3370-L3370)&lt;0.005,"ตรงกัน","ไม่ตรง"))</f>
        <v/>
      </c>
      <c r="N3370" s="14">
        <f>IF(L3370="","",ROUND(L3370*'สรุป'!$C$6,-1))</f>
        <v/>
      </c>
      <c r="O3370" s="15" t="n"/>
      <c r="P3370" s="15" t="n"/>
      <c r="Q3370" s="10" t="n"/>
      <c r="R3370" s="10" t="n"/>
      <c r="S3370" s="16" t="inlineStr">
        <is>
          <t>https://mstgolf.co.th/products/gf2040120173</t>
        </is>
      </c>
      <c r="T3370" s="1">
        <f>IF(B3370="ไม้กอล์ฟ",J3370,"")</f>
        <v/>
      </c>
    </row>
    <row r="3371">
      <c r="A3371" s="1" t="n">
        <v>3</v>
      </c>
      <c r="B3371" s="1" t="inlineStr">
        <is>
          <t>เสื้อผ้า</t>
        </is>
      </c>
      <c r="C3371" s="1" t="inlineStr">
        <is>
          <t>gf2040120181</t>
        </is>
      </c>
      <c r="D3371" s="1" t="inlineStr">
        <is>
          <t>LE COQ SPORTIF GOLF New Basic Knit Women's Polo (Green)</t>
        </is>
      </c>
      <c r="E3371" s="1" t="inlineStr">
        <is>
          <t>LE COQ SPORTIF GOLF</t>
        </is>
      </c>
      <c r="F3371" s="1" t="inlineStr">
        <is>
          <t>SHORT SLEEVES</t>
        </is>
      </c>
      <c r="G3371" s="1" t="inlineStr">
        <is>
          <t>GF2040120181S</t>
        </is>
      </c>
      <c r="H3371" s="1" t="n">
        <v>6</v>
      </c>
      <c r="I3371" s="1" t="inlineStr">
        <is>
          <t>มี</t>
        </is>
      </c>
      <c r="J3371" s="13" t="n">
        <v>59</v>
      </c>
      <c r="K3371" s="1" t="inlineStr"/>
      <c r="L3371" s="13" t="n">
        <v>59</v>
      </c>
      <c r="M3371" s="1">
        <f>IF(L3371="","ไม่พบใน SG",IF(ABS(J3371-L3371)&lt;0.005,"ตรงกัน","ไม่ตรง"))</f>
        <v/>
      </c>
      <c r="N3371" s="14">
        <f>IF(L3371="","",ROUND(L3371*'สรุป'!$C$6,-1))</f>
        <v/>
      </c>
      <c r="O3371" s="15" t="n"/>
      <c r="P3371" s="15" t="n"/>
      <c r="Q3371" s="10" t="n"/>
      <c r="R3371" s="10" t="n"/>
      <c r="S3371" s="16" t="inlineStr">
        <is>
          <t>https://mstgolf.co.th/products/gf2040120181</t>
        </is>
      </c>
      <c r="T3371" s="1">
        <f>IF(B3371="ไม้กอล์ฟ",J3371,"")</f>
        <v/>
      </c>
    </row>
    <row r="3372">
      <c r="A3372" s="1" t="n">
        <v>3</v>
      </c>
      <c r="B3372" s="1" t="inlineStr">
        <is>
          <t>เสื้อผ้า</t>
        </is>
      </c>
      <c r="C3372" s="1" t="inlineStr">
        <is>
          <t>gf2040120180</t>
        </is>
      </c>
      <c r="D3372" s="1" t="inlineStr">
        <is>
          <t>LE COQ SPORTIF GOLF New Basic Knit Women's Polo (Navy)</t>
        </is>
      </c>
      <c r="E3372" s="1" t="inlineStr">
        <is>
          <t>LE COQ SPORTIF GOLF</t>
        </is>
      </c>
      <c r="F3372" s="1" t="inlineStr">
        <is>
          <t>SHORT SLEEVES</t>
        </is>
      </c>
      <c r="G3372" s="1" t="inlineStr">
        <is>
          <t>GF2040120180S</t>
        </is>
      </c>
      <c r="H3372" s="1" t="n">
        <v>6</v>
      </c>
      <c r="I3372" s="1" t="inlineStr">
        <is>
          <t>มี</t>
        </is>
      </c>
      <c r="J3372" s="13" t="n">
        <v>59</v>
      </c>
      <c r="K3372" s="1" t="inlineStr"/>
      <c r="L3372" s="13" t="n">
        <v>59</v>
      </c>
      <c r="M3372" s="1">
        <f>IF(L3372="","ไม่พบใน SG",IF(ABS(J3372-L3372)&lt;0.005,"ตรงกัน","ไม่ตรง"))</f>
        <v/>
      </c>
      <c r="N3372" s="14">
        <f>IF(L3372="","",ROUND(L3372*'สรุป'!$C$6,-1))</f>
        <v/>
      </c>
      <c r="O3372" s="15" t="n"/>
      <c r="P3372" s="15" t="n"/>
      <c r="Q3372" s="10" t="n"/>
      <c r="R3372" s="10" t="n"/>
      <c r="S3372" s="16" t="inlineStr">
        <is>
          <t>https://mstgolf.co.th/products/gf2040120180</t>
        </is>
      </c>
      <c r="T3372" s="1">
        <f>IF(B3372="ไม้กอล์ฟ",J3372,"")</f>
        <v/>
      </c>
    </row>
    <row r="3373">
      <c r="A3373" s="1" t="n">
        <v>3</v>
      </c>
      <c r="B3373" s="1" t="inlineStr">
        <is>
          <t>เสื้อผ้า</t>
        </is>
      </c>
      <c r="C3373" s="1" t="inlineStr">
        <is>
          <t>gf2040119950</t>
        </is>
      </c>
      <c r="D3373" s="1" t="inlineStr">
        <is>
          <t>LE COQ SPORTIF GOLF New Basic Knit Women's Polo (White)</t>
        </is>
      </c>
      <c r="E3373" s="1" t="inlineStr">
        <is>
          <t>LE COQ SPORTIF GOLF</t>
        </is>
      </c>
      <c r="F3373" s="1" t="inlineStr">
        <is>
          <t>SHORT SLEEVES</t>
        </is>
      </c>
      <c r="G3373" s="1" t="inlineStr">
        <is>
          <t>GF2040119950S</t>
        </is>
      </c>
      <c r="H3373" s="1" t="n">
        <v>6</v>
      </c>
      <c r="I3373" s="1" t="inlineStr">
        <is>
          <t>มี</t>
        </is>
      </c>
      <c r="J3373" s="13" t="n">
        <v>59</v>
      </c>
      <c r="K3373" s="1" t="inlineStr"/>
      <c r="L3373" s="13" t="n">
        <v>59</v>
      </c>
      <c r="M3373" s="1">
        <f>IF(L3373="","ไม่พบใน SG",IF(ABS(J3373-L3373)&lt;0.005,"ตรงกัน","ไม่ตรง"))</f>
        <v/>
      </c>
      <c r="N3373" s="14">
        <f>IF(L3373="","",ROUND(L3373*'สรุป'!$C$6,-1))</f>
        <v/>
      </c>
      <c r="O3373" s="15" t="n"/>
      <c r="P3373" s="15" t="n"/>
      <c r="Q3373" s="10" t="n"/>
      <c r="R3373" s="10" t="n"/>
      <c r="S3373" s="16" t="inlineStr">
        <is>
          <t>https://mstgolf.co.th/products/gf2040119950</t>
        </is>
      </c>
      <c r="T3373" s="1">
        <f>IF(B3373="ไม้กอล์ฟ",J3373,"")</f>
        <v/>
      </c>
    </row>
    <row r="3374">
      <c r="A3374" s="1" t="n">
        <v>3</v>
      </c>
      <c r="B3374" s="1" t="inlineStr">
        <is>
          <t>เสื้อผ้า</t>
        </is>
      </c>
      <c r="C3374" s="1" t="inlineStr">
        <is>
          <t>gf2040120165</t>
        </is>
      </c>
      <c r="D3374" s="1" t="inlineStr">
        <is>
          <t>LE COQ SPORTIF GOLF New Basic Men's Polo (Navy )</t>
        </is>
      </c>
      <c r="E3374" s="1" t="inlineStr">
        <is>
          <t>LE COQ SPORTIF GOLF</t>
        </is>
      </c>
      <c r="F3374" s="1" t="inlineStr">
        <is>
          <t>SHORT SLEEVES</t>
        </is>
      </c>
      <c r="G3374" s="1" t="inlineStr">
        <is>
          <t>GF2040120165S</t>
        </is>
      </c>
      <c r="H3374" s="1" t="n">
        <v>6</v>
      </c>
      <c r="I3374" s="1" t="inlineStr">
        <is>
          <t>มี</t>
        </is>
      </c>
      <c r="J3374" s="13" t="n">
        <v>59</v>
      </c>
      <c r="K3374" s="1" t="inlineStr"/>
      <c r="L3374" s="13" t="n">
        <v>59</v>
      </c>
      <c r="M3374" s="1">
        <f>IF(L3374="","ไม่พบใน SG",IF(ABS(J3374-L3374)&lt;0.005,"ตรงกัน","ไม่ตรง"))</f>
        <v/>
      </c>
      <c r="N3374" s="14">
        <f>IF(L3374="","",ROUND(L3374*'สรุป'!$C$6,-1))</f>
        <v/>
      </c>
      <c r="O3374" s="15" t="n"/>
      <c r="P3374" s="15" t="n"/>
      <c r="Q3374" s="10" t="n"/>
      <c r="R3374" s="10" t="n"/>
      <c r="S3374" s="16" t="inlineStr">
        <is>
          <t>https://mstgolf.co.th/products/gf2040120165</t>
        </is>
      </c>
      <c r="T3374" s="1">
        <f>IF(B3374="ไม้กอล์ฟ",J3374,"")</f>
        <v/>
      </c>
    </row>
    <row r="3375">
      <c r="A3375" s="1" t="n">
        <v>3</v>
      </c>
      <c r="B3375" s="1" t="inlineStr">
        <is>
          <t>เสื้อผ้า</t>
        </is>
      </c>
      <c r="C3375" s="1" t="inlineStr">
        <is>
          <t>gf2040200142</t>
        </is>
      </c>
      <c r="D3375" s="1" t="inlineStr">
        <is>
          <t>LE COQ SPORTIF GOLF Petite Men's Jacquard Polo (Lime)</t>
        </is>
      </c>
      <c r="E3375" s="1" t="inlineStr">
        <is>
          <t>LE COQ SPORTIF GOLF</t>
        </is>
      </c>
      <c r="F3375" s="1" t="inlineStr">
        <is>
          <t>TEE SHIRT</t>
        </is>
      </c>
      <c r="G3375" s="1" t="inlineStr">
        <is>
          <t>GF2040200142S</t>
        </is>
      </c>
      <c r="H3375" s="1" t="n">
        <v>6</v>
      </c>
      <c r="I3375" s="1" t="inlineStr">
        <is>
          <t>มี</t>
        </is>
      </c>
      <c r="J3375" s="13" t="n">
        <v>59</v>
      </c>
      <c r="K3375" s="1" t="inlineStr"/>
      <c r="L3375" s="13" t="n">
        <v>59</v>
      </c>
      <c r="M3375" s="1">
        <f>IF(L3375="","ไม่พบใน SG",IF(ABS(J3375-L3375)&lt;0.005,"ตรงกัน","ไม่ตรง"))</f>
        <v/>
      </c>
      <c r="N3375" s="14">
        <f>IF(L3375="","",ROUND(L3375*'สรุป'!$C$6,-1))</f>
        <v/>
      </c>
      <c r="O3375" s="15" t="n"/>
      <c r="P3375" s="15" t="n"/>
      <c r="Q3375" s="10" t="n"/>
      <c r="R3375" s="10" t="n"/>
      <c r="S3375" s="16" t="inlineStr">
        <is>
          <t>https://mstgolf.co.th/products/gf2040200142</t>
        </is>
      </c>
      <c r="T3375" s="1">
        <f>IF(B3375="ไม้กอล์ฟ",J3375,"")</f>
        <v/>
      </c>
    </row>
    <row r="3376">
      <c r="A3376" s="1" t="n">
        <v>3</v>
      </c>
      <c r="B3376" s="1" t="inlineStr">
        <is>
          <t>เสื้อผ้า</t>
        </is>
      </c>
      <c r="C3376" s="1" t="inlineStr">
        <is>
          <t>gf2040200162</t>
        </is>
      </c>
      <c r="D3376" s="1" t="inlineStr">
        <is>
          <t>LE COQ SPORTIF GOLF Petite Men's Jacquard Polo (Navy)</t>
        </is>
      </c>
      <c r="E3376" s="1" t="inlineStr">
        <is>
          <t>LE COQ SPORTIF GOLF</t>
        </is>
      </c>
      <c r="F3376" s="1" t="inlineStr">
        <is>
          <t>TEE SHIRT</t>
        </is>
      </c>
      <c r="G3376" s="1" t="inlineStr">
        <is>
          <t>GF2040200162S</t>
        </is>
      </c>
      <c r="H3376" s="1" t="n">
        <v>6</v>
      </c>
      <c r="I3376" s="1" t="inlineStr">
        <is>
          <t>มี</t>
        </is>
      </c>
      <c r="J3376" s="13" t="n">
        <v>59</v>
      </c>
      <c r="K3376" s="1" t="inlineStr"/>
      <c r="L3376" s="13" t="n">
        <v>59</v>
      </c>
      <c r="M3376" s="1">
        <f>IF(L3376="","ไม่พบใน SG",IF(ABS(J3376-L3376)&lt;0.005,"ตรงกัน","ไม่ตรง"))</f>
        <v/>
      </c>
      <c r="N3376" s="14">
        <f>IF(L3376="","",ROUND(L3376*'สรุป'!$C$6,-1))</f>
        <v/>
      </c>
      <c r="O3376" s="15" t="n"/>
      <c r="P3376" s="15" t="n"/>
      <c r="Q3376" s="10" t="n"/>
      <c r="R3376" s="10" t="n"/>
      <c r="S3376" s="16" t="inlineStr">
        <is>
          <t>https://mstgolf.co.th/products/gf2040200162</t>
        </is>
      </c>
      <c r="T3376" s="1">
        <f>IF(B3376="ไม้กอล์ฟ",J3376,"")</f>
        <v/>
      </c>
    </row>
    <row r="3377">
      <c r="A3377" s="1" t="n">
        <v>3</v>
      </c>
      <c r="B3377" s="1" t="inlineStr">
        <is>
          <t>เสื้อผ้า</t>
        </is>
      </c>
      <c r="C3377" s="1" t="inlineStr">
        <is>
          <t>gf2040200161</t>
        </is>
      </c>
      <c r="D3377" s="1" t="inlineStr">
        <is>
          <t>LE COQ SPORTIF GOLF Petite Men's Jacquard Polo (White)</t>
        </is>
      </c>
      <c r="E3377" s="1" t="inlineStr">
        <is>
          <t>LE COQ SPORTIF GOLF</t>
        </is>
      </c>
      <c r="F3377" s="1" t="inlineStr">
        <is>
          <t>TEE SHIRT</t>
        </is>
      </c>
      <c r="G3377" s="1" t="inlineStr">
        <is>
          <t>GF2040200161S</t>
        </is>
      </c>
      <c r="H3377" s="1" t="n">
        <v>6</v>
      </c>
      <c r="I3377" s="1" t="inlineStr">
        <is>
          <t>มี</t>
        </is>
      </c>
      <c r="J3377" s="13" t="n">
        <v>59</v>
      </c>
      <c r="K3377" s="1" t="inlineStr"/>
      <c r="L3377" s="13" t="n">
        <v>59</v>
      </c>
      <c r="M3377" s="1">
        <f>IF(L3377="","ไม่พบใน SG",IF(ABS(J3377-L3377)&lt;0.005,"ตรงกัน","ไม่ตรง"))</f>
        <v/>
      </c>
      <c r="N3377" s="14">
        <f>IF(L3377="","",ROUND(L3377*'สรุป'!$C$6,-1))</f>
        <v/>
      </c>
      <c r="O3377" s="15" t="n"/>
      <c r="P3377" s="15" t="n"/>
      <c r="Q3377" s="10" t="n"/>
      <c r="R3377" s="10" t="n"/>
      <c r="S3377" s="16" t="inlineStr">
        <is>
          <t>https://mstgolf.co.th/products/gf2040200161</t>
        </is>
      </c>
      <c r="T3377" s="1">
        <f>IF(B3377="ไม้กอล์ฟ",J3377,"")</f>
        <v/>
      </c>
    </row>
    <row r="3378">
      <c r="A3378" s="1" t="n">
        <v>3</v>
      </c>
      <c r="B3378" s="1" t="inlineStr">
        <is>
          <t>หมวก</t>
        </is>
      </c>
      <c r="C3378" s="1" t="inlineStr">
        <is>
          <t>gf2000300520</t>
        </is>
      </c>
      <c r="D3378" s="1" t="inlineStr">
        <is>
          <t>LE COQ SPORTIF GOLF Reversible Men's Hat (Beige/Black)</t>
        </is>
      </c>
      <c r="E3378" s="1" t="inlineStr">
        <is>
          <t>LE COQ SPORTIF GOLF</t>
        </is>
      </c>
      <c r="F3378" s="1" t="inlineStr">
        <is>
          <t>HAT</t>
        </is>
      </c>
      <c r="G3378" s="1" t="inlineStr">
        <is>
          <t>GF2000300520FS</t>
        </is>
      </c>
      <c r="H3378" s="1" t="n">
        <v>1</v>
      </c>
      <c r="I3378" s="1" t="inlineStr">
        <is>
          <t>มี</t>
        </is>
      </c>
      <c r="J3378" s="13" t="n">
        <v>59</v>
      </c>
      <c r="K3378" s="1" t="inlineStr"/>
      <c r="L3378" s="13" t="n">
        <v>39</v>
      </c>
      <c r="M3378" s="1">
        <f>IF(L3378="","ไม่พบใน SG",IF(ABS(J3378-L3378)&lt;0.005,"ตรงกัน","ไม่ตรง"))</f>
        <v/>
      </c>
      <c r="N3378" s="14">
        <f>IF(L3378="","",ROUND(L3378*'สรุป'!$C$6,-1))</f>
        <v/>
      </c>
      <c r="O3378" s="15" t="n"/>
      <c r="P3378" s="15" t="n"/>
      <c r="Q3378" s="10" t="n"/>
      <c r="R3378" s="10" t="n"/>
      <c r="S3378" s="16" t="inlineStr">
        <is>
          <t>https://mstgolf.co.th/products/gf2000300520</t>
        </is>
      </c>
      <c r="T3378" s="1">
        <f>IF(B3378="ไม้กอล์ฟ",J3378,"")</f>
        <v/>
      </c>
    </row>
    <row r="3379">
      <c r="A3379" s="1" t="n">
        <v>3</v>
      </c>
      <c r="B3379" s="1" t="inlineStr">
        <is>
          <t>หมวก</t>
        </is>
      </c>
      <c r="C3379" s="1" t="inlineStr">
        <is>
          <t>gf2000300522</t>
        </is>
      </c>
      <c r="D3379" s="1" t="inlineStr">
        <is>
          <t>LE COQ SPORTIF GOLF Reversible Men's Hat (Navy)</t>
        </is>
      </c>
      <c r="E3379" s="1" t="inlineStr">
        <is>
          <t>LE COQ SPORTIF GOLF</t>
        </is>
      </c>
      <c r="F3379" s="1" t="inlineStr">
        <is>
          <t>HAT</t>
        </is>
      </c>
      <c r="G3379" s="1" t="inlineStr">
        <is>
          <t>GF2000300522FS</t>
        </is>
      </c>
      <c r="H3379" s="1" t="n">
        <v>1</v>
      </c>
      <c r="I3379" s="1" t="inlineStr">
        <is>
          <t>มี</t>
        </is>
      </c>
      <c r="J3379" s="13" t="n">
        <v>59</v>
      </c>
      <c r="K3379" s="1" t="inlineStr"/>
      <c r="L3379" s="13" t="n">
        <v>39</v>
      </c>
      <c r="M3379" s="1">
        <f>IF(L3379="","ไม่พบใน SG",IF(ABS(J3379-L3379)&lt;0.005,"ตรงกัน","ไม่ตรง"))</f>
        <v/>
      </c>
      <c r="N3379" s="14">
        <f>IF(L3379="","",ROUND(L3379*'สรุป'!$C$6,-1))</f>
        <v/>
      </c>
      <c r="O3379" s="15" t="n"/>
      <c r="P3379" s="15" t="n"/>
      <c r="Q3379" s="10" t="n"/>
      <c r="R3379" s="10" t="n"/>
      <c r="S3379" s="16" t="inlineStr">
        <is>
          <t>https://mstgolf.co.th/products/gf2000300522</t>
        </is>
      </c>
      <c r="T3379" s="1">
        <f>IF(B3379="ไม้กอล์ฟ",J3379,"")</f>
        <v/>
      </c>
    </row>
    <row r="3380">
      <c r="A3380" s="1" t="n">
        <v>3</v>
      </c>
      <c r="B3380" s="1" t="inlineStr">
        <is>
          <t>หมวก</t>
        </is>
      </c>
      <c r="C3380" s="1" t="inlineStr">
        <is>
          <t>gf2000300526</t>
        </is>
      </c>
      <c r="D3380" s="1" t="inlineStr">
        <is>
          <t>LE COQ SPORTIF GOLF Reversible Women's BOA Hat (Black/Grey)</t>
        </is>
      </c>
      <c r="E3380" s="1" t="inlineStr">
        <is>
          <t>LE COQ SPORTIF GOLF</t>
        </is>
      </c>
      <c r="F3380" s="1" t="inlineStr">
        <is>
          <t>HAT</t>
        </is>
      </c>
      <c r="G3380" s="1" t="inlineStr">
        <is>
          <t>GF2000300526FS</t>
        </is>
      </c>
      <c r="H3380" s="1" t="n">
        <v>1</v>
      </c>
      <c r="I3380" s="1" t="inlineStr">
        <is>
          <t>มี</t>
        </is>
      </c>
      <c r="J3380" s="13" t="n">
        <v>59</v>
      </c>
      <c r="K3380" s="1" t="inlineStr"/>
      <c r="L3380" s="13" t="n">
        <v>39</v>
      </c>
      <c r="M3380" s="1">
        <f>IF(L3380="","ไม่พบใน SG",IF(ABS(J3380-L3380)&lt;0.005,"ตรงกัน","ไม่ตรง"))</f>
        <v/>
      </c>
      <c r="N3380" s="14">
        <f>IF(L3380="","",ROUND(L3380*'สรุป'!$C$6,-1))</f>
        <v/>
      </c>
      <c r="O3380" s="15" t="n"/>
      <c r="P3380" s="15" t="n"/>
      <c r="Q3380" s="10" t="n"/>
      <c r="R3380" s="10" t="n"/>
      <c r="S3380" s="16" t="inlineStr">
        <is>
          <t>https://mstgolf.co.th/products/gf2000300526</t>
        </is>
      </c>
      <c r="T3380" s="1">
        <f>IF(B3380="ไม้กอล์ฟ",J3380,"")</f>
        <v/>
      </c>
    </row>
    <row r="3381">
      <c r="A3381" s="1" t="n">
        <v>3</v>
      </c>
      <c r="B3381" s="1" t="inlineStr">
        <is>
          <t>หมวก</t>
        </is>
      </c>
      <c r="C3381" s="1" t="inlineStr">
        <is>
          <t>gf2000300527</t>
        </is>
      </c>
      <c r="D3381" s="1" t="inlineStr">
        <is>
          <t>LE COQ SPORTIF GOLF Reversible Women's BOA Hat (White/Black)</t>
        </is>
      </c>
      <c r="E3381" s="1" t="inlineStr">
        <is>
          <t>LE COQ SPORTIF GOLF</t>
        </is>
      </c>
      <c r="F3381" s="1" t="inlineStr">
        <is>
          <t>HAT</t>
        </is>
      </c>
      <c r="G3381" s="1" t="inlineStr">
        <is>
          <t>GF2000300527FS</t>
        </is>
      </c>
      <c r="H3381" s="1" t="n">
        <v>1</v>
      </c>
      <c r="I3381" s="1" t="inlineStr">
        <is>
          <t>มี</t>
        </is>
      </c>
      <c r="J3381" s="13" t="n">
        <v>59</v>
      </c>
      <c r="K3381" s="1" t="inlineStr"/>
      <c r="L3381" s="13" t="n">
        <v>39</v>
      </c>
      <c r="M3381" s="1">
        <f>IF(L3381="","ไม่พบใน SG",IF(ABS(J3381-L3381)&lt;0.005,"ตรงกัน","ไม่ตรง"))</f>
        <v/>
      </c>
      <c r="N3381" s="14">
        <f>IF(L3381="","",ROUND(L3381*'สรุป'!$C$6,-1))</f>
        <v/>
      </c>
      <c r="O3381" s="15" t="n"/>
      <c r="P3381" s="15" t="n"/>
      <c r="Q3381" s="10" t="n"/>
      <c r="R3381" s="10" t="n"/>
      <c r="S3381" s="16" t="inlineStr">
        <is>
          <t>https://mstgolf.co.th/products/gf2000300527</t>
        </is>
      </c>
      <c r="T3381" s="1">
        <f>IF(B3381="ไม้กอล์ฟ",J3381,"")</f>
        <v/>
      </c>
    </row>
    <row r="3382">
      <c r="A3382" s="1" t="n">
        <v>3</v>
      </c>
      <c r="B3382" s="1" t="inlineStr">
        <is>
          <t>หมวก</t>
        </is>
      </c>
      <c r="C3382" s="1" t="inlineStr">
        <is>
          <t>gf2000300523</t>
        </is>
      </c>
      <c r="D3382" s="1" t="inlineStr">
        <is>
          <t>LE COQ SPORTIF GOLF Reversible Women's Hat (Beige/Khaki)</t>
        </is>
      </c>
      <c r="E3382" s="1" t="inlineStr">
        <is>
          <t>LE COQ SPORTIF GOLF</t>
        </is>
      </c>
      <c r="F3382" s="1" t="inlineStr">
        <is>
          <t>HAT</t>
        </is>
      </c>
      <c r="G3382" s="1" t="inlineStr">
        <is>
          <t>GF2000300523FS</t>
        </is>
      </c>
      <c r="H3382" s="1" t="n">
        <v>1</v>
      </c>
      <c r="I3382" s="1" t="inlineStr">
        <is>
          <t>มี</t>
        </is>
      </c>
      <c r="J3382" s="13" t="n">
        <v>59</v>
      </c>
      <c r="K3382" s="1" t="inlineStr"/>
      <c r="L3382" s="13" t="n">
        <v>39</v>
      </c>
      <c r="M3382" s="1">
        <f>IF(L3382="","ไม่พบใน SG",IF(ABS(J3382-L3382)&lt;0.005,"ตรงกัน","ไม่ตรง"))</f>
        <v/>
      </c>
      <c r="N3382" s="14">
        <f>IF(L3382="","",ROUND(L3382*'สรุป'!$C$6,-1))</f>
        <v/>
      </c>
      <c r="O3382" s="15" t="n"/>
      <c r="P3382" s="15" t="n"/>
      <c r="Q3382" s="10" t="n"/>
      <c r="R3382" s="10" t="n"/>
      <c r="S3382" s="16" t="inlineStr">
        <is>
          <t>https://mstgolf.co.th/products/gf2000300523</t>
        </is>
      </c>
      <c r="T3382" s="1">
        <f>IF(B3382="ไม้กอล์ฟ",J3382,"")</f>
        <v/>
      </c>
    </row>
    <row r="3383">
      <c r="A3383" s="1" t="n">
        <v>3</v>
      </c>
      <c r="B3383" s="1" t="inlineStr">
        <is>
          <t>หมวก</t>
        </is>
      </c>
      <c r="C3383" s="1" t="inlineStr">
        <is>
          <t>gf2000300524</t>
        </is>
      </c>
      <c r="D3383" s="1" t="inlineStr">
        <is>
          <t>LE COQ SPORTIF GOLF Reversible Women's Hat (Navy/Green)</t>
        </is>
      </c>
      <c r="E3383" s="1" t="inlineStr">
        <is>
          <t>LE COQ SPORTIF GOLF</t>
        </is>
      </c>
      <c r="F3383" s="1" t="inlineStr">
        <is>
          <t>HAT</t>
        </is>
      </c>
      <c r="G3383" s="1" t="inlineStr">
        <is>
          <t>GF2000300524FS</t>
        </is>
      </c>
      <c r="H3383" s="1" t="n">
        <v>1</v>
      </c>
      <c r="I3383" s="1" t="inlineStr">
        <is>
          <t>มี</t>
        </is>
      </c>
      <c r="J3383" s="13" t="n">
        <v>59</v>
      </c>
      <c r="K3383" s="1" t="inlineStr"/>
      <c r="L3383" s="13" t="n">
        <v>39</v>
      </c>
      <c r="M3383" s="1">
        <f>IF(L3383="","ไม่พบใน SG",IF(ABS(J3383-L3383)&lt;0.005,"ตรงกัน","ไม่ตรง"))</f>
        <v/>
      </c>
      <c r="N3383" s="14">
        <f>IF(L3383="","",ROUND(L3383*'สรุป'!$C$6,-1))</f>
        <v/>
      </c>
      <c r="O3383" s="15" t="n"/>
      <c r="P3383" s="15" t="n"/>
      <c r="Q3383" s="10" t="n"/>
      <c r="R3383" s="10" t="n"/>
      <c r="S3383" s="16" t="inlineStr">
        <is>
          <t>https://mstgolf.co.th/products/gf2000300524</t>
        </is>
      </c>
      <c r="T3383" s="1">
        <f>IF(B3383="ไม้กอล์ฟ",J3383,"")</f>
        <v/>
      </c>
    </row>
    <row r="3384">
      <c r="A3384" s="1" t="n">
        <v>3</v>
      </c>
      <c r="B3384" s="1" t="inlineStr">
        <is>
          <t>หมวก</t>
        </is>
      </c>
      <c r="C3384" s="1" t="inlineStr">
        <is>
          <t>gf2000300525</t>
        </is>
      </c>
      <c r="D3384" s="1" t="inlineStr">
        <is>
          <t>LE COQ SPORTIF GOLF Reversible Women's Hat (Red/White)</t>
        </is>
      </c>
      <c r="E3384" s="1" t="inlineStr">
        <is>
          <t>LE COQ SPORTIF GOLF</t>
        </is>
      </c>
      <c r="F3384" s="1" t="inlineStr">
        <is>
          <t>HAT</t>
        </is>
      </c>
      <c r="G3384" s="1" t="inlineStr">
        <is>
          <t>GF2000300525FS</t>
        </is>
      </c>
      <c r="H3384" s="1" t="n">
        <v>1</v>
      </c>
      <c r="I3384" s="1" t="inlineStr">
        <is>
          <t>มี</t>
        </is>
      </c>
      <c r="J3384" s="13" t="n">
        <v>59</v>
      </c>
      <c r="K3384" s="1" t="inlineStr"/>
      <c r="L3384" s="13" t="n">
        <v>39</v>
      </c>
      <c r="M3384" s="1">
        <f>IF(L3384="","ไม่พบใน SG",IF(ABS(J3384-L3384)&lt;0.005,"ตรงกัน","ไม่ตรง"))</f>
        <v/>
      </c>
      <c r="N3384" s="14">
        <f>IF(L3384="","",ROUND(L3384*'สรุป'!$C$6,-1))</f>
        <v/>
      </c>
      <c r="O3384" s="15" t="n"/>
      <c r="P3384" s="15" t="n"/>
      <c r="Q3384" s="10" t="n"/>
      <c r="R3384" s="10" t="n"/>
      <c r="S3384" s="16" t="inlineStr">
        <is>
          <t>https://mstgolf.co.th/products/gf2000300525</t>
        </is>
      </c>
      <c r="T3384" s="1">
        <f>IF(B3384="ไม้กอล์ฟ",J3384,"")</f>
        <v/>
      </c>
    </row>
    <row r="3385">
      <c r="A3385" s="1" t="n">
        <v>3</v>
      </c>
      <c r="B3385" s="1" t="inlineStr">
        <is>
          <t>อุปกรณ์เสริม</t>
        </is>
      </c>
      <c r="C3385" s="1" t="inlineStr">
        <is>
          <t>gf2080101514</t>
        </is>
      </c>
      <c r="D3385" s="1" t="inlineStr">
        <is>
          <t>LE COQ SPORTIF GOLF Smart Lock Men's Belt (Black)</t>
        </is>
      </c>
      <c r="E3385" s="1" t="inlineStr">
        <is>
          <t>LE COQ SPORTIF GOLF</t>
        </is>
      </c>
      <c r="F3385" s="1" t="inlineStr">
        <is>
          <t>BELT</t>
        </is>
      </c>
      <c r="G3385" s="1" t="inlineStr">
        <is>
          <t>GF2080101514FS</t>
        </is>
      </c>
      <c r="H3385" s="1" t="n">
        <v>1</v>
      </c>
      <c r="I3385" s="1" t="inlineStr">
        <is>
          <t>มี</t>
        </is>
      </c>
      <c r="J3385" s="13" t="n">
        <v>59</v>
      </c>
      <c r="K3385" s="1" t="inlineStr"/>
      <c r="L3385" s="13" t="n">
        <v>59</v>
      </c>
      <c r="M3385" s="1">
        <f>IF(L3385="","ไม่พบใน SG",IF(ABS(J3385-L3385)&lt;0.005,"ตรงกัน","ไม่ตรง"))</f>
        <v/>
      </c>
      <c r="N3385" s="14">
        <f>IF(L3385="","",ROUND(L3385*'สรุป'!$C$6,-1))</f>
        <v/>
      </c>
      <c r="O3385" s="15" t="n"/>
      <c r="P3385" s="15" t="n"/>
      <c r="Q3385" s="10" t="n"/>
      <c r="R3385" s="10" t="n"/>
      <c r="S3385" s="16" t="inlineStr">
        <is>
          <t>https://mstgolf.co.th/products/gf2080101514</t>
        </is>
      </c>
      <c r="T3385" s="1">
        <f>IF(B3385="ไม้กอล์ฟ",J3385,"")</f>
        <v/>
      </c>
    </row>
    <row r="3386">
      <c r="A3386" s="1" t="n">
        <v>3</v>
      </c>
      <c r="B3386" s="1" t="inlineStr">
        <is>
          <t>อุปกรณ์เสริม</t>
        </is>
      </c>
      <c r="C3386" s="1" t="inlineStr">
        <is>
          <t>gf2080101515</t>
        </is>
      </c>
      <c r="D3386" s="1" t="inlineStr">
        <is>
          <t>LE COQ SPORTIF GOLF Smart Lock Men's Belt (Navy)</t>
        </is>
      </c>
      <c r="E3386" s="1" t="inlineStr">
        <is>
          <t>LE COQ SPORTIF GOLF</t>
        </is>
      </c>
      <c r="F3386" s="1" t="inlineStr">
        <is>
          <t>BELT</t>
        </is>
      </c>
      <c r="G3386" s="1" t="inlineStr">
        <is>
          <t>GF2080101515FS</t>
        </is>
      </c>
      <c r="H3386" s="1" t="n">
        <v>1</v>
      </c>
      <c r="I3386" s="1" t="inlineStr">
        <is>
          <t>มี</t>
        </is>
      </c>
      <c r="J3386" s="13" t="n">
        <v>59</v>
      </c>
      <c r="K3386" s="1" t="inlineStr"/>
      <c r="L3386" s="13" t="n">
        <v>59</v>
      </c>
      <c r="M3386" s="1">
        <f>IF(L3386="","ไม่พบใน SG",IF(ABS(J3386-L3386)&lt;0.005,"ตรงกัน","ไม่ตรง"))</f>
        <v/>
      </c>
      <c r="N3386" s="14">
        <f>IF(L3386="","",ROUND(L3386*'สรุป'!$C$6,-1))</f>
        <v/>
      </c>
      <c r="O3386" s="15" t="n"/>
      <c r="P3386" s="15" t="n"/>
      <c r="Q3386" s="10" t="n"/>
      <c r="R3386" s="10" t="n"/>
      <c r="S3386" s="16" t="inlineStr">
        <is>
          <t>https://mstgolf.co.th/products/gf2080101515</t>
        </is>
      </c>
      <c r="T3386" s="1">
        <f>IF(B3386="ไม้กอล์ฟ",J3386,"")</f>
        <v/>
      </c>
    </row>
    <row r="3387">
      <c r="A3387" s="1" t="n">
        <v>3</v>
      </c>
      <c r="B3387" s="1" t="inlineStr">
        <is>
          <t>อุปกรณ์เสริม</t>
        </is>
      </c>
      <c r="C3387" s="1" t="inlineStr">
        <is>
          <t>gf2080101516</t>
        </is>
      </c>
      <c r="D3387" s="1" t="inlineStr">
        <is>
          <t>LE COQ SPORTIF GOLF Smart Lock Men's Belt (White)</t>
        </is>
      </c>
      <c r="E3387" s="1" t="inlineStr">
        <is>
          <t>LE COQ SPORTIF GOLF</t>
        </is>
      </c>
      <c r="F3387" s="1" t="inlineStr">
        <is>
          <t>BELT</t>
        </is>
      </c>
      <c r="G3387" s="1" t="inlineStr">
        <is>
          <t>GF2080101516FS</t>
        </is>
      </c>
      <c r="H3387" s="1" t="n">
        <v>1</v>
      </c>
      <c r="I3387" s="1" t="inlineStr">
        <is>
          <t>มี</t>
        </is>
      </c>
      <c r="J3387" s="13" t="n">
        <v>59</v>
      </c>
      <c r="K3387" s="1" t="inlineStr"/>
      <c r="L3387" s="13" t="n">
        <v>59</v>
      </c>
      <c r="M3387" s="1">
        <f>IF(L3387="","ไม่พบใน SG",IF(ABS(J3387-L3387)&lt;0.005,"ตรงกัน","ไม่ตรง"))</f>
        <v/>
      </c>
      <c r="N3387" s="14">
        <f>IF(L3387="","",ROUND(L3387*'สรุป'!$C$6,-1))</f>
        <v/>
      </c>
      <c r="O3387" s="15" t="n"/>
      <c r="P3387" s="15" t="n"/>
      <c r="Q3387" s="10" t="n"/>
      <c r="R3387" s="10" t="n"/>
      <c r="S3387" s="16" t="inlineStr">
        <is>
          <t>https://mstgolf.co.th/products/gf2080101516</t>
        </is>
      </c>
      <c r="T3387" s="1">
        <f>IF(B3387="ไม้กอล์ฟ",J3387,"")</f>
        <v/>
      </c>
    </row>
    <row r="3388">
      <c r="A3388" s="1" t="n">
        <v>3</v>
      </c>
      <c r="B3388" s="1" t="inlineStr">
        <is>
          <t>เสื้อผ้า</t>
        </is>
      </c>
      <c r="C3388" s="1" t="inlineStr">
        <is>
          <t>gf2040120188</t>
        </is>
      </c>
      <c r="D3388" s="1" t="inlineStr">
        <is>
          <t>LE COQ SPORTIF GOLF Wide Fit Women's Polo (Black)</t>
        </is>
      </c>
      <c r="E3388" s="1" t="inlineStr">
        <is>
          <t>LE COQ SPORTIF GOLF</t>
        </is>
      </c>
      <c r="F3388" s="1" t="inlineStr">
        <is>
          <t>SHORT SLEEVES</t>
        </is>
      </c>
      <c r="G3388" s="1" t="inlineStr">
        <is>
          <t>GF2040120188S</t>
        </is>
      </c>
      <c r="H3388" s="1" t="n">
        <v>6</v>
      </c>
      <c r="I3388" s="1" t="inlineStr">
        <is>
          <t>มี</t>
        </is>
      </c>
      <c r="J3388" s="13" t="n">
        <v>59</v>
      </c>
      <c r="K3388" s="1" t="inlineStr"/>
      <c r="L3388" s="13" t="n">
        <v>59</v>
      </c>
      <c r="M3388" s="1">
        <f>IF(L3388="","ไม่พบใน SG",IF(ABS(J3388-L3388)&lt;0.005,"ตรงกัน","ไม่ตรง"))</f>
        <v/>
      </c>
      <c r="N3388" s="14">
        <f>IF(L3388="","",ROUND(L3388*'สรุป'!$C$6,-1))</f>
        <v/>
      </c>
      <c r="O3388" s="15" t="n"/>
      <c r="P3388" s="15" t="n"/>
      <c r="Q3388" s="10" t="n"/>
      <c r="R3388" s="10" t="n"/>
      <c r="S3388" s="16" t="inlineStr">
        <is>
          <t>https://mstgolf.co.th/products/gf2040120188</t>
        </is>
      </c>
      <c r="T3388" s="1">
        <f>IF(B3388="ไม้กอล์ฟ",J3388,"")</f>
        <v/>
      </c>
    </row>
    <row r="3389">
      <c r="A3389" s="1" t="n">
        <v>3</v>
      </c>
      <c r="B3389" s="1" t="inlineStr">
        <is>
          <t>เสื้อผ้า</t>
        </is>
      </c>
      <c r="C3389" s="1" t="inlineStr">
        <is>
          <t>gf2040119957</t>
        </is>
      </c>
      <c r="D3389" s="1" t="inlineStr">
        <is>
          <t>LE COQ SPORTIF GOLF Wide Fit Women's Polo (Khaki)</t>
        </is>
      </c>
      <c r="E3389" s="1" t="inlineStr">
        <is>
          <t>LE COQ SPORTIF GOLF</t>
        </is>
      </c>
      <c r="F3389" s="1" t="inlineStr">
        <is>
          <t>SHORT SLEEVES</t>
        </is>
      </c>
      <c r="G3389" s="1" t="inlineStr">
        <is>
          <t>GF2040119957S</t>
        </is>
      </c>
      <c r="H3389" s="1" t="n">
        <v>6</v>
      </c>
      <c r="I3389" s="1" t="inlineStr">
        <is>
          <t>มี</t>
        </is>
      </c>
      <c r="J3389" s="13" t="n">
        <v>59</v>
      </c>
      <c r="K3389" s="1" t="inlineStr"/>
      <c r="L3389" s="13" t="n">
        <v>59</v>
      </c>
      <c r="M3389" s="1">
        <f>IF(L3389="","ไม่พบใน SG",IF(ABS(J3389-L3389)&lt;0.005,"ตรงกัน","ไม่ตรง"))</f>
        <v/>
      </c>
      <c r="N3389" s="14">
        <f>IF(L3389="","",ROUND(L3389*'สรุป'!$C$6,-1))</f>
        <v/>
      </c>
      <c r="O3389" s="15" t="n"/>
      <c r="P3389" s="15" t="n"/>
      <c r="Q3389" s="10" t="n"/>
      <c r="R3389" s="10" t="n"/>
      <c r="S3389" s="16" t="inlineStr">
        <is>
          <t>https://mstgolf.co.th/products/gf2040119957</t>
        </is>
      </c>
      <c r="T3389" s="1">
        <f>IF(B3389="ไม้กอล์ฟ",J3389,"")</f>
        <v/>
      </c>
    </row>
    <row r="3390">
      <c r="A3390" s="1" t="n">
        <v>3</v>
      </c>
      <c r="B3390" s="1" t="inlineStr">
        <is>
          <t>เสื้อผ้า</t>
        </is>
      </c>
      <c r="C3390" s="1" t="inlineStr">
        <is>
          <t>gf2040120187</t>
        </is>
      </c>
      <c r="D3390" s="1" t="inlineStr">
        <is>
          <t>LE COQ SPORTIF GOLF Wide Fit Women's Polo (White)</t>
        </is>
      </c>
      <c r="E3390" s="1" t="inlineStr">
        <is>
          <t>LE COQ SPORTIF GOLF</t>
        </is>
      </c>
      <c r="F3390" s="1" t="inlineStr">
        <is>
          <t>SHORT SLEEVES</t>
        </is>
      </c>
      <c r="G3390" s="1" t="inlineStr">
        <is>
          <t>GF2040120187S</t>
        </is>
      </c>
      <c r="H3390" s="1" t="n">
        <v>6</v>
      </c>
      <c r="I3390" s="1" t="inlineStr">
        <is>
          <t>มี</t>
        </is>
      </c>
      <c r="J3390" s="13" t="n">
        <v>59</v>
      </c>
      <c r="K3390" s="1" t="inlineStr"/>
      <c r="L3390" s="13" t="n">
        <v>59</v>
      </c>
      <c r="M3390" s="1">
        <f>IF(L3390="","ไม่พบใน SG",IF(ABS(J3390-L3390)&lt;0.005,"ตรงกัน","ไม่ตรง"))</f>
        <v/>
      </c>
      <c r="N3390" s="14">
        <f>IF(L3390="","",ROUND(L3390*'สรุป'!$C$6,-1))</f>
        <v/>
      </c>
      <c r="O3390" s="15" t="n"/>
      <c r="P3390" s="15" t="n"/>
      <c r="Q3390" s="10" t="n"/>
      <c r="R3390" s="10" t="n"/>
      <c r="S3390" s="16" t="inlineStr">
        <is>
          <t>https://mstgolf.co.th/products/gf2040120187</t>
        </is>
      </c>
      <c r="T3390" s="1">
        <f>IF(B3390="ไม้กอล์ฟ",J3390,"")</f>
        <v/>
      </c>
    </row>
    <row r="3391">
      <c r="A3391" s="1" t="n">
        <v>3</v>
      </c>
      <c r="B3391" s="1" t="inlineStr">
        <is>
          <t>เสื้อผ้า</t>
        </is>
      </c>
      <c r="C3391" s="1" t="inlineStr">
        <is>
          <t>gf2040120745</t>
        </is>
      </c>
      <c r="D3391" s="1" t="inlineStr">
        <is>
          <t>LE COQ SPORTIF GOLF Women's Mock Shirt (Beige)</t>
        </is>
      </c>
      <c r="E3391" s="1" t="inlineStr">
        <is>
          <t>LE COQ SPORTIF GOLF</t>
        </is>
      </c>
      <c r="F3391" s="1" t="inlineStr">
        <is>
          <t>SHORT SLEEVES</t>
        </is>
      </c>
      <c r="G3391" s="1" t="inlineStr">
        <is>
          <t>GF2040120745S</t>
        </is>
      </c>
      <c r="H3391" s="1" t="n">
        <v>5</v>
      </c>
      <c r="I3391" s="1" t="inlineStr">
        <is>
          <t>มี</t>
        </is>
      </c>
      <c r="J3391" s="13" t="n">
        <v>59</v>
      </c>
      <c r="K3391" s="1" t="inlineStr"/>
      <c r="L3391" s="13" t="n">
        <v>59</v>
      </c>
      <c r="M3391" s="1">
        <f>IF(L3391="","ไม่พบใน SG",IF(ABS(J3391-L3391)&lt;0.005,"ตรงกัน","ไม่ตรง"))</f>
        <v/>
      </c>
      <c r="N3391" s="14">
        <f>IF(L3391="","",ROUND(L3391*'สรุป'!$C$6,-1))</f>
        <v/>
      </c>
      <c r="O3391" s="15" t="n"/>
      <c r="P3391" s="15" t="n"/>
      <c r="Q3391" s="10" t="n"/>
      <c r="R3391" s="10" t="n"/>
      <c r="S3391" s="16" t="inlineStr">
        <is>
          <t>https://mstgolf.co.th/products/gf2040120745</t>
        </is>
      </c>
      <c r="T3391" s="1">
        <f>IF(B3391="ไม้กอล์ฟ",J3391,"")</f>
        <v/>
      </c>
    </row>
    <row r="3392">
      <c r="A3392" s="1" t="n">
        <v>3</v>
      </c>
      <c r="B3392" s="1" t="inlineStr">
        <is>
          <t>เสื้อผ้า</t>
        </is>
      </c>
      <c r="C3392" s="1" t="inlineStr">
        <is>
          <t>gf2040200134</t>
        </is>
      </c>
      <c r="D3392" s="1" t="inlineStr">
        <is>
          <t>LE COQ SPORTIF GOLF Women's Mock Shirt (Pink)</t>
        </is>
      </c>
      <c r="E3392" s="1" t="inlineStr">
        <is>
          <t>LE COQ SPORTIF GOLF</t>
        </is>
      </c>
      <c r="F3392" s="1" t="inlineStr">
        <is>
          <t>TEE SHIRT</t>
        </is>
      </c>
      <c r="G3392" s="1" t="inlineStr">
        <is>
          <t>GF2040200134S</t>
        </is>
      </c>
      <c r="H3392" s="1" t="n">
        <v>4</v>
      </c>
      <c r="I3392" s="1" t="inlineStr">
        <is>
          <t>มี</t>
        </is>
      </c>
      <c r="J3392" s="13" t="n">
        <v>59</v>
      </c>
      <c r="K3392" s="1" t="inlineStr"/>
      <c r="L3392" s="13" t="n">
        <v>59</v>
      </c>
      <c r="M3392" s="1">
        <f>IF(L3392="","ไม่พบใน SG",IF(ABS(J3392-L3392)&lt;0.005,"ตรงกัน","ไม่ตรง"))</f>
        <v/>
      </c>
      <c r="N3392" s="14">
        <f>IF(L3392="","",ROUND(L3392*'สรุป'!$C$6,-1))</f>
        <v/>
      </c>
      <c r="O3392" s="15" t="n"/>
      <c r="P3392" s="15" t="n"/>
      <c r="Q3392" s="10" t="n"/>
      <c r="R3392" s="10" t="n"/>
      <c r="S3392" s="16" t="inlineStr">
        <is>
          <t>https://mstgolf.co.th/products/gf2040200134</t>
        </is>
      </c>
      <c r="T3392" s="1">
        <f>IF(B3392="ไม้กอล์ฟ",J3392,"")</f>
        <v/>
      </c>
    </row>
    <row r="3393">
      <c r="A3393" s="1" t="n">
        <v>3</v>
      </c>
      <c r="B3393" s="1" t="inlineStr">
        <is>
          <t>เสื้อผ้า</t>
        </is>
      </c>
      <c r="C3393" s="1" t="inlineStr">
        <is>
          <t>gf2040120746</t>
        </is>
      </c>
      <c r="D3393" s="1" t="inlineStr">
        <is>
          <t>LE COQ SPORTIF GOLF Women's Mock Shirt (White)</t>
        </is>
      </c>
      <c r="E3393" s="1" t="inlineStr">
        <is>
          <t>LE COQ SPORTIF GOLF</t>
        </is>
      </c>
      <c r="F3393" s="1" t="inlineStr">
        <is>
          <t>SHORT SLEEVES</t>
        </is>
      </c>
      <c r="G3393" s="1" t="inlineStr">
        <is>
          <t>GF2040120746S</t>
        </is>
      </c>
      <c r="H3393" s="1" t="n">
        <v>5</v>
      </c>
      <c r="I3393" s="1" t="inlineStr">
        <is>
          <t>มี</t>
        </is>
      </c>
      <c r="J3393" s="13" t="n">
        <v>59</v>
      </c>
      <c r="K3393" s="1" t="inlineStr"/>
      <c r="L3393" s="13" t="n">
        <v>59</v>
      </c>
      <c r="M3393" s="1">
        <f>IF(L3393="","ไม่พบใน SG",IF(ABS(J3393-L3393)&lt;0.005,"ตรงกัน","ไม่ตรง"))</f>
        <v/>
      </c>
      <c r="N3393" s="14">
        <f>IF(L3393="","",ROUND(L3393*'สรุป'!$C$6,-1))</f>
        <v/>
      </c>
      <c r="O3393" s="15" t="n"/>
      <c r="P3393" s="15" t="n"/>
      <c r="Q3393" s="10" t="n"/>
      <c r="R3393" s="10" t="n"/>
      <c r="S3393" s="16" t="inlineStr">
        <is>
          <t>https://mstgolf.co.th/products/gf2040120746</t>
        </is>
      </c>
      <c r="T3393" s="1">
        <f>IF(B3393="ไม้กอล์ฟ",J3393,"")</f>
        <v/>
      </c>
    </row>
    <row r="3394">
      <c r="A3394" s="1" t="n">
        <v>3</v>
      </c>
      <c r="B3394" s="1" t="inlineStr">
        <is>
          <t>เสื้อผ้า</t>
        </is>
      </c>
      <c r="C3394" s="1" t="inlineStr">
        <is>
          <t>gf2040200163</t>
        </is>
      </c>
      <c r="D3394" s="1" t="inlineStr">
        <is>
          <t>LE COQ SPORTIF GOLF Women's Mock Shirt (White)</t>
        </is>
      </c>
      <c r="E3394" s="1" t="inlineStr">
        <is>
          <t>LE COQ SPORTIF GOLF</t>
        </is>
      </c>
      <c r="F3394" s="1" t="inlineStr">
        <is>
          <t>TEE SHIRT</t>
        </is>
      </c>
      <c r="G3394" s="1" t="inlineStr">
        <is>
          <t>GF2040200163S</t>
        </is>
      </c>
      <c r="H3394" s="1" t="n">
        <v>4</v>
      </c>
      <c r="I3394" s="1" t="inlineStr">
        <is>
          <t>มี</t>
        </is>
      </c>
      <c r="J3394" s="13" t="n">
        <v>59</v>
      </c>
      <c r="K3394" s="1" t="inlineStr"/>
      <c r="L3394" s="13" t="n">
        <v>59</v>
      </c>
      <c r="M3394" s="1">
        <f>IF(L3394="","ไม่พบใน SG",IF(ABS(J3394-L3394)&lt;0.005,"ตรงกัน","ไม่ตรง"))</f>
        <v/>
      </c>
      <c r="N3394" s="14">
        <f>IF(L3394="","",ROUND(L3394*'สรุป'!$C$6,-1))</f>
        <v/>
      </c>
      <c r="O3394" s="15" t="n"/>
      <c r="P3394" s="15" t="n"/>
      <c r="Q3394" s="10" t="n"/>
      <c r="R3394" s="10" t="n"/>
      <c r="S3394" s="16" t="inlineStr">
        <is>
          <t>https://mstgolf.co.th/products/gf2040200163</t>
        </is>
      </c>
      <c r="T3394" s="1">
        <f>IF(B3394="ไม้กอล์ฟ",J3394,"")</f>
        <v/>
      </c>
    </row>
    <row r="3395">
      <c r="A3395" s="1" t="n">
        <v>3</v>
      </c>
      <c r="B3395" s="1" t="inlineStr">
        <is>
          <t>เสื้อผ้า</t>
        </is>
      </c>
      <c r="C3395" s="1" t="inlineStr">
        <is>
          <t>gf2040200061</t>
        </is>
      </c>
      <c r="D3395" s="1" t="inlineStr">
        <is>
          <t>MALBON GOLF Golf &amp; Cycle Club Pocket Men’s T-Shirt (Red)</t>
        </is>
      </c>
      <c r="E3395" s="1" t="inlineStr">
        <is>
          <t>MALBON GOLF</t>
        </is>
      </c>
      <c r="F3395" s="1" t="inlineStr">
        <is>
          <t>TEE SHIRT</t>
        </is>
      </c>
      <c r="G3395" s="1" t="inlineStr">
        <is>
          <t>GF2040200061S</t>
        </is>
      </c>
      <c r="H3395" s="1" t="n">
        <v>5</v>
      </c>
      <c r="I3395" s="1" t="inlineStr">
        <is>
          <t>มี</t>
        </is>
      </c>
      <c r="J3395" s="13" t="n">
        <v>59</v>
      </c>
      <c r="K3395" s="1" t="inlineStr"/>
      <c r="L3395" s="13" t="n">
        <v>59</v>
      </c>
      <c r="M3395" s="1">
        <f>IF(L3395="","ไม่พบใน SG",IF(ABS(J3395-L3395)&lt;0.005,"ตรงกัน","ไม่ตรง"))</f>
        <v/>
      </c>
      <c r="N3395" s="14">
        <f>IF(L3395="","",ROUND(L3395*'สรุป'!$C$6,-1))</f>
        <v/>
      </c>
      <c r="O3395" s="15" t="n"/>
      <c r="P3395" s="15" t="n"/>
      <c r="Q3395" s="10" t="n"/>
      <c r="R3395" s="10" t="n"/>
      <c r="S3395" s="16" t="inlineStr">
        <is>
          <t>https://mstgolf.co.th/products/gf2040200061</t>
        </is>
      </c>
      <c r="T3395" s="1">
        <f>IF(B3395="ไม้กอล์ฟ",J3395,"")</f>
        <v/>
      </c>
    </row>
    <row r="3396">
      <c r="A3396" s="1" t="n">
        <v>3</v>
      </c>
      <c r="B3396" s="1" t="inlineStr">
        <is>
          <t>เสื้อผ้า</t>
        </is>
      </c>
      <c r="C3396" s="1" t="inlineStr">
        <is>
          <t>gf2040200071</t>
        </is>
      </c>
      <c r="D3396" s="1" t="inlineStr">
        <is>
          <t>MALBON GOLF x Coca Cola Special Delivery Men's T-Shirt (Powder Blue)</t>
        </is>
      </c>
      <c r="E3396" s="1" t="inlineStr">
        <is>
          <t>MALBON GOLF</t>
        </is>
      </c>
      <c r="F3396" s="1" t="inlineStr">
        <is>
          <t>TEE SHIRT</t>
        </is>
      </c>
      <c r="G3396" s="1" t="inlineStr">
        <is>
          <t>GF2040200071S</t>
        </is>
      </c>
      <c r="H3396" s="1" t="n">
        <v>5</v>
      </c>
      <c r="I3396" s="1" t="inlineStr">
        <is>
          <t>มี</t>
        </is>
      </c>
      <c r="J3396" s="13" t="n">
        <v>59</v>
      </c>
      <c r="K3396" s="1" t="inlineStr"/>
      <c r="L3396" s="13" t="n">
        <v>59</v>
      </c>
      <c r="M3396" s="1">
        <f>IF(L3396="","ไม่พบใน SG",IF(ABS(J3396-L3396)&lt;0.005,"ตรงกัน","ไม่ตรง"))</f>
        <v/>
      </c>
      <c r="N3396" s="14">
        <f>IF(L3396="","",ROUND(L3396*'สรุป'!$C$6,-1))</f>
        <v/>
      </c>
      <c r="O3396" s="15" t="n"/>
      <c r="P3396" s="15" t="n"/>
      <c r="Q3396" s="10" t="n"/>
      <c r="R3396" s="10" t="n"/>
      <c r="S3396" s="16" t="inlineStr">
        <is>
          <t>https://mstgolf.co.th/products/gf2040200071</t>
        </is>
      </c>
      <c r="T3396" s="1">
        <f>IF(B3396="ไม้กอล์ฟ",J3396,"")</f>
        <v/>
      </c>
    </row>
    <row r="3397">
      <c r="A3397" s="1" t="n">
        <v>3</v>
      </c>
      <c r="B3397" s="1" t="inlineStr">
        <is>
          <t>เสื้อผ้า</t>
        </is>
      </c>
      <c r="C3397" s="1" t="inlineStr">
        <is>
          <t>gf2040200068</t>
        </is>
      </c>
      <c r="D3397" s="1" t="inlineStr">
        <is>
          <t>MALBON GOLF x Coca Cola Spencerian Block Men's T-Shirt (Mauve)</t>
        </is>
      </c>
      <c r="E3397" s="1" t="inlineStr">
        <is>
          <t>MALBON GOLF</t>
        </is>
      </c>
      <c r="F3397" s="1" t="inlineStr">
        <is>
          <t>TEE SHIRT</t>
        </is>
      </c>
      <c r="G3397" s="1" t="inlineStr">
        <is>
          <t>GF2040200068S</t>
        </is>
      </c>
      <c r="H3397" s="1" t="n">
        <v>5</v>
      </c>
      <c r="I3397" s="1" t="inlineStr">
        <is>
          <t>มี</t>
        </is>
      </c>
      <c r="J3397" s="13" t="n">
        <v>59</v>
      </c>
      <c r="K3397" s="1" t="inlineStr"/>
      <c r="L3397" s="13" t="n">
        <v>59</v>
      </c>
      <c r="M3397" s="1">
        <f>IF(L3397="","ไม่พบใน SG",IF(ABS(J3397-L3397)&lt;0.005,"ตรงกัน","ไม่ตรง"))</f>
        <v/>
      </c>
      <c r="N3397" s="14">
        <f>IF(L3397="","",ROUND(L3397*'สรุป'!$C$6,-1))</f>
        <v/>
      </c>
      <c r="O3397" s="15" t="n"/>
      <c r="P3397" s="15" t="n"/>
      <c r="Q3397" s="10" t="n"/>
      <c r="R3397" s="10" t="n"/>
      <c r="S3397" s="16" t="inlineStr">
        <is>
          <t>https://mstgolf.co.th/products/gf2040200068</t>
        </is>
      </c>
      <c r="T3397" s="1">
        <f>IF(B3397="ไม้กอล์ฟ",J3397,"")</f>
        <v/>
      </c>
    </row>
    <row r="3398">
      <c r="A3398" s="1" t="n">
        <v>3</v>
      </c>
      <c r="B3398" s="1" t="inlineStr">
        <is>
          <t>เสื้อผ้า</t>
        </is>
      </c>
      <c r="C3398" s="1" t="inlineStr">
        <is>
          <t>gf2040200084</t>
        </is>
      </c>
      <c r="D3398" s="1" t="inlineStr">
        <is>
          <t>MALBON GOLF x Keith Haring Men's T-Shirt (Yellow)</t>
        </is>
      </c>
      <c r="E3398" s="1" t="inlineStr">
        <is>
          <t>MALBON GOLF</t>
        </is>
      </c>
      <c r="F3398" s="1" t="inlineStr">
        <is>
          <t>TEE SHIRT</t>
        </is>
      </c>
      <c r="G3398" s="1" t="inlineStr">
        <is>
          <t>GF2040200084S</t>
        </is>
      </c>
      <c r="H3398" s="1" t="n">
        <v>5</v>
      </c>
      <c r="I3398" s="1" t="inlineStr">
        <is>
          <t>มี</t>
        </is>
      </c>
      <c r="J3398" s="13" t="n">
        <v>59</v>
      </c>
      <c r="K3398" s="1" t="inlineStr"/>
      <c r="L3398" s="13" t="n">
        <v>59</v>
      </c>
      <c r="M3398" s="1">
        <f>IF(L3398="","ไม่พบใน SG",IF(ABS(J3398-L3398)&lt;0.005,"ตรงกัน","ไม่ตรง"))</f>
        <v/>
      </c>
      <c r="N3398" s="14">
        <f>IF(L3398="","",ROUND(L3398*'สรุป'!$C$6,-1))</f>
        <v/>
      </c>
      <c r="O3398" s="15" t="n"/>
      <c r="P3398" s="15" t="n"/>
      <c r="Q3398" s="10" t="n"/>
      <c r="R3398" s="10" t="n"/>
      <c r="S3398" s="16" t="inlineStr">
        <is>
          <t>https://mstgolf.co.th/products/gf2040200084</t>
        </is>
      </c>
      <c r="T3398" s="1">
        <f>IF(B3398="ไม้กอล์ฟ",J3398,"")</f>
        <v/>
      </c>
    </row>
    <row r="3399">
      <c r="A3399" s="1" t="n">
        <v>3</v>
      </c>
      <c r="B3399" s="1" t="inlineStr">
        <is>
          <t>เสื้อผ้า</t>
        </is>
      </c>
      <c r="C3399" s="1" t="inlineStr">
        <is>
          <t>gf2040200081</t>
        </is>
      </c>
      <c r="D3399" s="1" t="inlineStr">
        <is>
          <t>MALBON GOLF x Keith Haring Pocket Men's T-Shirt (Green)</t>
        </is>
      </c>
      <c r="E3399" s="1" t="inlineStr">
        <is>
          <t>MALBON GOLF</t>
        </is>
      </c>
      <c r="F3399" s="1" t="inlineStr">
        <is>
          <t>TEE SHIRT</t>
        </is>
      </c>
      <c r="G3399" s="1" t="inlineStr">
        <is>
          <t>GF2040200081S</t>
        </is>
      </c>
      <c r="H3399" s="1" t="n">
        <v>5</v>
      </c>
      <c r="I3399" s="1" t="inlineStr">
        <is>
          <t>มี</t>
        </is>
      </c>
      <c r="J3399" s="13" t="n">
        <v>59</v>
      </c>
      <c r="K3399" s="1" t="inlineStr"/>
      <c r="L3399" s="13" t="n">
        <v>59</v>
      </c>
      <c r="M3399" s="1">
        <f>IF(L3399="","ไม่พบใน SG",IF(ABS(J3399-L3399)&lt;0.005,"ตรงกัน","ไม่ตรง"))</f>
        <v/>
      </c>
      <c r="N3399" s="14">
        <f>IF(L3399="","",ROUND(L3399*'สรุป'!$C$6,-1))</f>
        <v/>
      </c>
      <c r="O3399" s="15" t="n"/>
      <c r="P3399" s="15" t="n"/>
      <c r="Q3399" s="10" t="n"/>
      <c r="R3399" s="10" t="n"/>
      <c r="S3399" s="16" t="inlineStr">
        <is>
          <t>https://mstgolf.co.th/products/gf2040200081</t>
        </is>
      </c>
      <c r="T3399" s="1">
        <f>IF(B3399="ไม้กอล์ฟ",J3399,"")</f>
        <v/>
      </c>
    </row>
    <row r="3400">
      <c r="A3400" s="1" t="n">
        <v>3</v>
      </c>
      <c r="B3400" s="1" t="inlineStr">
        <is>
          <t>เสื้อผ้า</t>
        </is>
      </c>
      <c r="C3400" s="1" t="inlineStr">
        <is>
          <t>gf2040200080</t>
        </is>
      </c>
      <c r="D3400" s="1" t="inlineStr">
        <is>
          <t>MALBON GOLF x Keith Haring Pocket Men's T-Shirt (White)</t>
        </is>
      </c>
      <c r="E3400" s="1" t="inlineStr">
        <is>
          <t>MALBON GOLF</t>
        </is>
      </c>
      <c r="F3400" s="1" t="inlineStr">
        <is>
          <t>TEE SHIRT</t>
        </is>
      </c>
      <c r="G3400" s="1" t="inlineStr">
        <is>
          <t>GF2040200080S</t>
        </is>
      </c>
      <c r="H3400" s="1" t="n">
        <v>5</v>
      </c>
      <c r="I3400" s="1" t="inlineStr">
        <is>
          <t>มี</t>
        </is>
      </c>
      <c r="J3400" s="13" t="n">
        <v>59</v>
      </c>
      <c r="K3400" s="1" t="inlineStr"/>
      <c r="L3400" s="13" t="n">
        <v>59</v>
      </c>
      <c r="M3400" s="1">
        <f>IF(L3400="","ไม่พบใน SG",IF(ABS(J3400-L3400)&lt;0.005,"ตรงกัน","ไม่ตรง"))</f>
        <v/>
      </c>
      <c r="N3400" s="14">
        <f>IF(L3400="","",ROUND(L3400*'สรุป'!$C$6,-1))</f>
        <v/>
      </c>
      <c r="O3400" s="15" t="n"/>
      <c r="P3400" s="15" t="n"/>
      <c r="Q3400" s="10" t="n"/>
      <c r="R3400" s="10" t="n"/>
      <c r="S3400" s="16" t="inlineStr">
        <is>
          <t>https://mstgolf.co.th/products/gf2040200080</t>
        </is>
      </c>
      <c r="T3400" s="1">
        <f>IF(B3400="ไม้กอล์ฟ",J3400,"")</f>
        <v/>
      </c>
    </row>
    <row r="3401">
      <c r="A3401" s="1" t="n">
        <v>3</v>
      </c>
      <c r="B3401" s="1" t="inlineStr">
        <is>
          <t>เสื้อผ้า</t>
        </is>
      </c>
      <c r="C3401" s="1" t="inlineStr">
        <is>
          <t>gf2040117073</t>
        </is>
      </c>
      <c r="D3401" s="1" t="inlineStr">
        <is>
          <t>NIKE Dri-FIT Victory Solid Men's Polo (University Blue)</t>
        </is>
      </c>
      <c r="E3401" s="1" t="inlineStr">
        <is>
          <t>NIKE</t>
        </is>
      </c>
      <c r="F3401" s="1" t="inlineStr">
        <is>
          <t>SHORT SLEEVES</t>
        </is>
      </c>
      <c r="G3401" s="1" t="inlineStr">
        <is>
          <t>GF2040117073S</t>
        </is>
      </c>
      <c r="H3401" s="1" t="n">
        <v>5</v>
      </c>
      <c r="I3401" s="1" t="inlineStr">
        <is>
          <t>มี</t>
        </is>
      </c>
      <c r="J3401" s="13" t="n">
        <v>59</v>
      </c>
      <c r="K3401" s="1" t="inlineStr"/>
      <c r="L3401" s="13" t="n">
        <v>59</v>
      </c>
      <c r="M3401" s="1">
        <f>IF(L3401="","ไม่พบใน SG",IF(ABS(J3401-L3401)&lt;0.005,"ตรงกัน","ไม่ตรง"))</f>
        <v/>
      </c>
      <c r="N3401" s="14">
        <f>IF(L3401="","",ROUND(L3401*'สรุป'!$C$6,-1))</f>
        <v/>
      </c>
      <c r="O3401" s="15" t="n"/>
      <c r="P3401" s="15" t="n"/>
      <c r="Q3401" s="10" t="n"/>
      <c r="R3401" s="10" t="n"/>
      <c r="S3401" s="16" t="inlineStr">
        <is>
          <t>https://mstgolf.co.th/products/gf2040117073</t>
        </is>
      </c>
      <c r="T3401" s="1">
        <f>IF(B3401="ไม้กอล์ฟ",J3401,"")</f>
        <v/>
      </c>
    </row>
    <row r="3402">
      <c r="A3402" s="1" t="n">
        <v>3</v>
      </c>
      <c r="B3402" s="1" t="inlineStr">
        <is>
          <t>เสื้อผ้า</t>
        </is>
      </c>
      <c r="C3402" s="1" t="inlineStr">
        <is>
          <t>gf2020201780</t>
        </is>
      </c>
      <c r="D3402" s="1" t="inlineStr">
        <is>
          <t>NIKE Dri-FIT Victory Women's Shorts (Black)</t>
        </is>
      </c>
      <c r="E3402" s="1" t="inlineStr">
        <is>
          <t>NIKE</t>
        </is>
      </c>
      <c r="F3402" s="1" t="inlineStr">
        <is>
          <t>SHORT PANTS</t>
        </is>
      </c>
      <c r="G3402" s="1" t="inlineStr">
        <is>
          <t>GF2020201780XS</t>
        </is>
      </c>
      <c r="H3402" s="1" t="n">
        <v>6</v>
      </c>
      <c r="I3402" s="1" t="inlineStr">
        <is>
          <t>มี</t>
        </is>
      </c>
      <c r="J3402" s="13" t="n">
        <v>59</v>
      </c>
      <c r="K3402" s="1" t="inlineStr"/>
      <c r="L3402" s="13" t="n">
        <v>59</v>
      </c>
      <c r="M3402" s="1">
        <f>IF(L3402="","ไม่พบใน SG",IF(ABS(J3402-L3402)&lt;0.005,"ตรงกัน","ไม่ตรง"))</f>
        <v/>
      </c>
      <c r="N3402" s="14">
        <f>IF(L3402="","",ROUND(L3402*'สรุป'!$C$6,-1))</f>
        <v/>
      </c>
      <c r="O3402" s="15" t="n"/>
      <c r="P3402" s="15" t="n"/>
      <c r="Q3402" s="10" t="n"/>
      <c r="R3402" s="10" t="n"/>
      <c r="S3402" s="16" t="inlineStr">
        <is>
          <t>https://mstgolf.co.th/products/gf2020201780</t>
        </is>
      </c>
      <c r="T3402" s="1">
        <f>IF(B3402="ไม้กอล์ฟ",J3402,"")</f>
        <v/>
      </c>
    </row>
    <row r="3403">
      <c r="A3403" s="1" t="n">
        <v>3</v>
      </c>
      <c r="B3403" s="1" t="inlineStr">
        <is>
          <t>เสื้อผ้า</t>
        </is>
      </c>
      <c r="C3403" s="1" t="inlineStr">
        <is>
          <t>gf2040200094</t>
        </is>
      </c>
      <c r="D3403" s="1" t="inlineStr">
        <is>
          <t>NIKE Max90 Men's Golf T-Shirt (Diffused Blue)</t>
        </is>
      </c>
      <c r="E3403" s="1" t="inlineStr">
        <is>
          <t>NIKE</t>
        </is>
      </c>
      <c r="F3403" s="1" t="inlineStr">
        <is>
          <t>TEE SHIRT</t>
        </is>
      </c>
      <c r="G3403" s="1" t="inlineStr">
        <is>
          <t>GF2040200094S</t>
        </is>
      </c>
      <c r="H3403" s="1" t="n">
        <v>5</v>
      </c>
      <c r="I3403" s="1" t="inlineStr">
        <is>
          <t>มี</t>
        </is>
      </c>
      <c r="J3403" s="13" t="n">
        <v>59</v>
      </c>
      <c r="K3403" s="1" t="inlineStr"/>
      <c r="L3403" s="13" t="n">
        <v>59</v>
      </c>
      <c r="M3403" s="1">
        <f>IF(L3403="","ไม่พบใน SG",IF(ABS(J3403-L3403)&lt;0.005,"ตรงกัน","ไม่ตรง"))</f>
        <v/>
      </c>
      <c r="N3403" s="14">
        <f>IF(L3403="","",ROUND(L3403*'สรุป'!$C$6,-1))</f>
        <v/>
      </c>
      <c r="O3403" s="15" t="n"/>
      <c r="P3403" s="15" t="n"/>
      <c r="Q3403" s="10" t="n"/>
      <c r="R3403" s="10" t="n"/>
      <c r="S3403" s="16" t="inlineStr">
        <is>
          <t>https://mstgolf.co.th/products/gf2040200094</t>
        </is>
      </c>
      <c r="T3403" s="1">
        <f>IF(B3403="ไม้กอล์ฟ",J3403,"")</f>
        <v/>
      </c>
    </row>
    <row r="3404">
      <c r="A3404" s="1" t="n">
        <v>3</v>
      </c>
      <c r="B3404" s="1" t="inlineStr">
        <is>
          <t>เสื้อผ้า</t>
        </is>
      </c>
      <c r="C3404" s="1" t="inlineStr">
        <is>
          <t>gf2020101970</t>
        </is>
      </c>
      <c r="D3404" s="1" t="inlineStr">
        <is>
          <t>NIKE Vapor Men's Pants (Khaki)</t>
        </is>
      </c>
      <c r="E3404" s="1" t="inlineStr">
        <is>
          <t>NIKE</t>
        </is>
      </c>
      <c r="F3404" s="1" t="inlineStr">
        <is>
          <t>LONG PANTS</t>
        </is>
      </c>
      <c r="G3404" s="1" t="inlineStr">
        <is>
          <t>GF202010197030</t>
        </is>
      </c>
      <c r="H3404" s="1" t="n">
        <v>8</v>
      </c>
      <c r="I3404" s="1" t="inlineStr">
        <is>
          <t>มี</t>
        </is>
      </c>
      <c r="J3404" s="13" t="n">
        <v>59</v>
      </c>
      <c r="K3404" s="1" t="inlineStr"/>
      <c r="L3404" s="13" t="n">
        <v>59</v>
      </c>
      <c r="M3404" s="1">
        <f>IF(L3404="","ไม่พบใน SG",IF(ABS(J3404-L3404)&lt;0.005,"ตรงกัน","ไม่ตรง"))</f>
        <v/>
      </c>
      <c r="N3404" s="14">
        <f>IF(L3404="","",ROUND(L3404*'สรุป'!$C$6,-1))</f>
        <v/>
      </c>
      <c r="O3404" s="15" t="n"/>
      <c r="P3404" s="15" t="n"/>
      <c r="Q3404" s="10" t="n"/>
      <c r="R3404" s="10" t="n"/>
      <c r="S3404" s="16" t="inlineStr">
        <is>
          <t>https://mstgolf.co.th/products/gf2020101970</t>
        </is>
      </c>
      <c r="T3404" s="1">
        <f>IF(B3404="ไม้กอล์ฟ",J3404,"")</f>
        <v/>
      </c>
    </row>
    <row r="3405">
      <c r="A3405" s="1" t="n">
        <v>3</v>
      </c>
      <c r="B3405" s="1" t="inlineStr">
        <is>
          <t>เสื้อผ้า</t>
        </is>
      </c>
      <c r="C3405" s="1" t="inlineStr">
        <is>
          <t>gf2040117940</t>
        </is>
      </c>
      <c r="D3405" s="1" t="inlineStr">
        <is>
          <t>NIKE Victory+ Men's Polo (Orange Trance)</t>
        </is>
      </c>
      <c r="E3405" s="1" t="inlineStr">
        <is>
          <t>NIKE</t>
        </is>
      </c>
      <c r="F3405" s="1" t="inlineStr">
        <is>
          <t>SHORT SLEEVES</t>
        </is>
      </c>
      <c r="G3405" s="1" t="inlineStr">
        <is>
          <t>GF2040117940S</t>
        </is>
      </c>
      <c r="H3405" s="1" t="n">
        <v>5</v>
      </c>
      <c r="I3405" s="1" t="inlineStr">
        <is>
          <t>มี</t>
        </is>
      </c>
      <c r="J3405" s="13" t="n">
        <v>59</v>
      </c>
      <c r="K3405" s="1" t="inlineStr"/>
      <c r="L3405" s="13" t="n">
        <v>59</v>
      </c>
      <c r="M3405" s="1">
        <f>IF(L3405="","ไม่พบใน SG",IF(ABS(J3405-L3405)&lt;0.005,"ตรงกัน","ไม่ตรง"))</f>
        <v/>
      </c>
      <c r="N3405" s="14">
        <f>IF(L3405="","",ROUND(L3405*'สรุป'!$C$6,-1))</f>
        <v/>
      </c>
      <c r="O3405" s="15" t="n"/>
      <c r="P3405" s="15" t="n"/>
      <c r="Q3405" s="10" t="n"/>
      <c r="R3405" s="10" t="n"/>
      <c r="S3405" s="16" t="inlineStr">
        <is>
          <t>https://mstgolf.co.th/products/gf2040117940</t>
        </is>
      </c>
      <c r="T3405" s="1">
        <f>IF(B3405="ไม้กอล์ฟ",J3405,"")</f>
        <v/>
      </c>
    </row>
    <row r="3406">
      <c r="A3406" s="1" t="n">
        <v>3</v>
      </c>
      <c r="B3406" s="1" t="inlineStr">
        <is>
          <t>เสื้อผ้า</t>
        </is>
      </c>
      <c r="C3406" s="1" t="inlineStr">
        <is>
          <t>gf2040117797</t>
        </is>
      </c>
      <c r="D3406" s="1" t="inlineStr">
        <is>
          <t>PETER MILLAR Feather Stripe Men's Polo (Summer Meadow)</t>
        </is>
      </c>
      <c r="E3406" s="1" t="inlineStr">
        <is>
          <t>PETER MILLAR</t>
        </is>
      </c>
      <c r="F3406" s="1" t="inlineStr">
        <is>
          <t>SHORT SLEEVES</t>
        </is>
      </c>
      <c r="G3406" s="1" t="inlineStr">
        <is>
          <t>GF2040117797S</t>
        </is>
      </c>
      <c r="H3406" s="1" t="n">
        <v>5</v>
      </c>
      <c r="I3406" s="1" t="inlineStr">
        <is>
          <t>มี</t>
        </is>
      </c>
      <c r="J3406" s="13" t="n">
        <v>59</v>
      </c>
      <c r="K3406" s="1" t="inlineStr"/>
      <c r="L3406" s="13" t="n">
        <v>59</v>
      </c>
      <c r="M3406" s="1">
        <f>IF(L3406="","ไม่พบใน SG",IF(ABS(J3406-L3406)&lt;0.005,"ตรงกัน","ไม่ตรง"))</f>
        <v/>
      </c>
      <c r="N3406" s="14">
        <f>IF(L3406="","",ROUND(L3406*'สรุป'!$C$6,-1))</f>
        <v/>
      </c>
      <c r="O3406" s="15" t="n"/>
      <c r="P3406" s="15" t="n"/>
      <c r="Q3406" s="10" t="n"/>
      <c r="R3406" s="10" t="n"/>
      <c r="S3406" s="16" t="inlineStr">
        <is>
          <t>https://mstgolf.co.th/products/gf2040117797</t>
        </is>
      </c>
      <c r="T3406" s="1">
        <f>IF(B3406="ไม้กอล์ฟ",J3406,"")</f>
        <v/>
      </c>
    </row>
    <row r="3407">
      <c r="A3407" s="1" t="n">
        <v>3</v>
      </c>
      <c r="B3407" s="1" t="inlineStr">
        <is>
          <t>เสื้อผ้า</t>
        </is>
      </c>
      <c r="C3407" s="1" t="inlineStr">
        <is>
          <t>gf2040117367</t>
        </is>
      </c>
      <c r="D3407" s="1" t="inlineStr">
        <is>
          <t>PETER MILLAR Soriano Performance Jersey Men's Polo (Lavender Fog)</t>
        </is>
      </c>
      <c r="E3407" s="1" t="inlineStr">
        <is>
          <t>PETER MILLAR</t>
        </is>
      </c>
      <c r="F3407" s="1" t="inlineStr">
        <is>
          <t>SHORT SLEEVES</t>
        </is>
      </c>
      <c r="G3407" s="1" t="inlineStr">
        <is>
          <t>GF2040117367S</t>
        </is>
      </c>
      <c r="H3407" s="1" t="n">
        <v>5</v>
      </c>
      <c r="I3407" s="1" t="inlineStr">
        <is>
          <t>มี</t>
        </is>
      </c>
      <c r="J3407" s="13" t="n">
        <v>59</v>
      </c>
      <c r="K3407" s="1" t="inlineStr"/>
      <c r="L3407" s="13" t="n">
        <v>59</v>
      </c>
      <c r="M3407" s="1">
        <f>IF(L3407="","ไม่พบใน SG",IF(ABS(J3407-L3407)&lt;0.005,"ตรงกัน","ไม่ตรง"))</f>
        <v/>
      </c>
      <c r="N3407" s="14">
        <f>IF(L3407="","",ROUND(L3407*'สรุป'!$C$6,-1))</f>
        <v/>
      </c>
      <c r="O3407" s="15" t="n"/>
      <c r="P3407" s="15" t="n"/>
      <c r="Q3407" s="10" t="n"/>
      <c r="R3407" s="10" t="n"/>
      <c r="S3407" s="16" t="inlineStr">
        <is>
          <t>https://mstgolf.co.th/products/gf2040117367</t>
        </is>
      </c>
      <c r="T3407" s="1">
        <f>IF(B3407="ไม้กอล์ฟ",J3407,"")</f>
        <v/>
      </c>
    </row>
    <row r="3408">
      <c r="A3408" s="1" t="n">
        <v>3</v>
      </c>
      <c r="B3408" s="1" t="inlineStr">
        <is>
          <t>หมวก</t>
        </is>
      </c>
      <c r="C3408" s="1" t="inlineStr">
        <is>
          <t>gf2000106208</t>
        </is>
      </c>
      <c r="D3408" s="1" t="inlineStr">
        <is>
          <t>PING Performance 251 Men's Cap (Black)</t>
        </is>
      </c>
      <c r="E3408" s="1" t="inlineStr">
        <is>
          <t>PING</t>
        </is>
      </c>
      <c r="F3408" s="1" t="inlineStr">
        <is>
          <t>CAP</t>
        </is>
      </c>
      <c r="G3408" s="1" t="inlineStr">
        <is>
          <t>GF2000106208FS</t>
        </is>
      </c>
      <c r="H3408" s="1" t="n">
        <v>1</v>
      </c>
      <c r="I3408" s="1" t="inlineStr">
        <is>
          <t>มี</t>
        </is>
      </c>
      <c r="J3408" s="13" t="n">
        <v>59</v>
      </c>
      <c r="K3408" s="1" t="inlineStr"/>
      <c r="L3408" s="13" t="n">
        <v>59</v>
      </c>
      <c r="M3408" s="1">
        <f>IF(L3408="","ไม่พบใน SG",IF(ABS(J3408-L3408)&lt;0.005,"ตรงกัน","ไม่ตรง"))</f>
        <v/>
      </c>
      <c r="N3408" s="14">
        <f>IF(L3408="","",ROUND(L3408*'สรุป'!$C$6,-1))</f>
        <v/>
      </c>
      <c r="O3408" s="15" t="n"/>
      <c r="P3408" s="15" t="n"/>
      <c r="Q3408" s="10" t="n"/>
      <c r="R3408" s="10" t="n"/>
      <c r="S3408" s="16" t="inlineStr">
        <is>
          <t>https://mstgolf.co.th/products/gf2000106208</t>
        </is>
      </c>
      <c r="T3408" s="1">
        <f>IF(B3408="ไม้กอล์ฟ",J3408,"")</f>
        <v/>
      </c>
    </row>
    <row r="3409">
      <c r="A3409" s="1" t="n">
        <v>3</v>
      </c>
      <c r="B3409" s="1" t="inlineStr">
        <is>
          <t>หมวก</t>
        </is>
      </c>
      <c r="C3409" s="1" t="inlineStr">
        <is>
          <t>gf2000106210</t>
        </is>
      </c>
      <c r="D3409" s="1" t="inlineStr">
        <is>
          <t>PING Performance 251 Men's Cap (Grey)</t>
        </is>
      </c>
      <c r="E3409" s="1" t="inlineStr">
        <is>
          <t>PING</t>
        </is>
      </c>
      <c r="F3409" s="1" t="inlineStr">
        <is>
          <t>CAP</t>
        </is>
      </c>
      <c r="G3409" s="1" t="inlineStr">
        <is>
          <t>GF2000106210FS</t>
        </is>
      </c>
      <c r="H3409" s="1" t="n">
        <v>1</v>
      </c>
      <c r="I3409" s="1" t="inlineStr">
        <is>
          <t>มี</t>
        </is>
      </c>
      <c r="J3409" s="13" t="n">
        <v>59</v>
      </c>
      <c r="K3409" s="1" t="inlineStr"/>
      <c r="L3409" s="13" t="n">
        <v>59</v>
      </c>
      <c r="M3409" s="1">
        <f>IF(L3409="","ไม่พบใน SG",IF(ABS(J3409-L3409)&lt;0.005,"ตรงกัน","ไม่ตรง"))</f>
        <v/>
      </c>
      <c r="N3409" s="14">
        <f>IF(L3409="","",ROUND(L3409*'สรุป'!$C$6,-1))</f>
        <v/>
      </c>
      <c r="O3409" s="15" t="n"/>
      <c r="P3409" s="15" t="n"/>
      <c r="Q3409" s="10" t="n"/>
      <c r="R3409" s="10" t="n"/>
      <c r="S3409" s="16" t="inlineStr">
        <is>
          <t>https://mstgolf.co.th/products/gf2000106210</t>
        </is>
      </c>
      <c r="T3409" s="1">
        <f>IF(B3409="ไม้กอล์ฟ",J3409,"")</f>
        <v/>
      </c>
    </row>
    <row r="3410">
      <c r="A3410" s="1" t="n">
        <v>3</v>
      </c>
      <c r="B3410" s="1" t="inlineStr">
        <is>
          <t>หมวก</t>
        </is>
      </c>
      <c r="C3410" s="1" t="inlineStr">
        <is>
          <t>gf2000106207</t>
        </is>
      </c>
      <c r="D3410" s="1" t="inlineStr">
        <is>
          <t>PING Performance 251 Men's Cap (White)</t>
        </is>
      </c>
      <c r="E3410" s="1" t="inlineStr">
        <is>
          <t>PING</t>
        </is>
      </c>
      <c r="F3410" s="1" t="inlineStr">
        <is>
          <t>CAP</t>
        </is>
      </c>
      <c r="G3410" s="1" t="inlineStr">
        <is>
          <t>GF2000106207FS</t>
        </is>
      </c>
      <c r="H3410" s="1" t="n">
        <v>1</v>
      </c>
      <c r="I3410" s="1" t="inlineStr">
        <is>
          <t>มี</t>
        </is>
      </c>
      <c r="J3410" s="13" t="n">
        <v>59</v>
      </c>
      <c r="K3410" s="1" t="inlineStr"/>
      <c r="L3410" s="13" t="n">
        <v>59</v>
      </c>
      <c r="M3410" s="1">
        <f>IF(L3410="","ไม่พบใน SG",IF(ABS(J3410-L3410)&lt;0.005,"ตรงกัน","ไม่ตรง"))</f>
        <v/>
      </c>
      <c r="N3410" s="14">
        <f>IF(L3410="","",ROUND(L3410*'สรุป'!$C$6,-1))</f>
        <v/>
      </c>
      <c r="O3410" s="15" t="n"/>
      <c r="P3410" s="15" t="n"/>
      <c r="Q3410" s="10" t="n"/>
      <c r="R3410" s="10" t="n"/>
      <c r="S3410" s="16" t="inlineStr">
        <is>
          <t>https://mstgolf.co.th/products/gf2000106207</t>
        </is>
      </c>
      <c r="T3410" s="1">
        <f>IF(B3410="ไม้กอล์ฟ",J3410,"")</f>
        <v/>
      </c>
    </row>
    <row r="3411">
      <c r="A3411" s="1" t="n">
        <v>3</v>
      </c>
      <c r="B3411" s="1" t="inlineStr">
        <is>
          <t>เสื้อผ้า</t>
        </is>
      </c>
      <c r="C3411" s="1" t="inlineStr">
        <is>
          <t>gf2040118469</t>
        </is>
      </c>
      <c r="D3411" s="1" t="inlineStr">
        <is>
          <t>PUMA CLOUDSPUN Piped Golf Women's Polo (Black)</t>
        </is>
      </c>
      <c r="E3411" s="1" t="inlineStr">
        <is>
          <t>PUMA</t>
        </is>
      </c>
      <c r="F3411" s="1" t="inlineStr">
        <is>
          <t>SHORT SLEEVES</t>
        </is>
      </c>
      <c r="G3411" s="1" t="inlineStr">
        <is>
          <t>GF2040118469XS</t>
        </is>
      </c>
      <c r="H3411" s="1" t="n">
        <v>6</v>
      </c>
      <c r="I3411" s="1" t="inlineStr">
        <is>
          <t>มี</t>
        </is>
      </c>
      <c r="J3411" s="13" t="n">
        <v>59</v>
      </c>
      <c r="K3411" s="1" t="inlineStr"/>
      <c r="L3411" s="13" t="n">
        <v>59</v>
      </c>
      <c r="M3411" s="1">
        <f>IF(L3411="","ไม่พบใน SG",IF(ABS(J3411-L3411)&lt;0.005,"ตรงกัน","ไม่ตรง"))</f>
        <v/>
      </c>
      <c r="N3411" s="14">
        <f>IF(L3411="","",ROUND(L3411*'สรุป'!$C$6,-1))</f>
        <v/>
      </c>
      <c r="O3411" s="15" t="n"/>
      <c r="P3411" s="15" t="n"/>
      <c r="Q3411" s="10" t="n"/>
      <c r="R3411" s="10" t="n"/>
      <c r="S3411" s="16" t="inlineStr">
        <is>
          <t>https://mstgolf.co.th/products/gf2040118469</t>
        </is>
      </c>
      <c r="T3411" s="1">
        <f>IF(B3411="ไม้กอล์ฟ",J3411,"")</f>
        <v/>
      </c>
    </row>
    <row r="3412">
      <c r="A3412" s="1" t="n">
        <v>3</v>
      </c>
      <c r="B3412" s="1" t="inlineStr">
        <is>
          <t>เสื้อผ้า</t>
        </is>
      </c>
      <c r="C3412" s="1" t="inlineStr">
        <is>
          <t>gf2040110559</t>
        </is>
      </c>
      <c r="D3412" s="1" t="inlineStr">
        <is>
          <t>PUMA Cloudspun Men's Shirt (Milky Blue)</t>
        </is>
      </c>
      <c r="E3412" s="1" t="inlineStr">
        <is>
          <t>PUMA</t>
        </is>
      </c>
      <c r="F3412" s="1" t="inlineStr">
        <is>
          <t>SHORT SLEEVES</t>
        </is>
      </c>
      <c r="G3412" s="1" t="inlineStr">
        <is>
          <t>GF2040110559XS</t>
        </is>
      </c>
      <c r="H3412" s="1" t="n">
        <v>6</v>
      </c>
      <c r="I3412" s="1" t="inlineStr">
        <is>
          <t>มี</t>
        </is>
      </c>
      <c r="J3412" s="13" t="n">
        <v>59</v>
      </c>
      <c r="K3412" s="1" t="inlineStr"/>
      <c r="L3412" s="13" t="n">
        <v>59</v>
      </c>
      <c r="M3412" s="1">
        <f>IF(L3412="","ไม่พบใน SG",IF(ABS(J3412-L3412)&lt;0.005,"ตรงกัน","ไม่ตรง"))</f>
        <v/>
      </c>
      <c r="N3412" s="14">
        <f>IF(L3412="","",ROUND(L3412*'สรุป'!$C$6,-1))</f>
        <v/>
      </c>
      <c r="O3412" s="15" t="n"/>
      <c r="P3412" s="15" t="n"/>
      <c r="Q3412" s="10" t="n"/>
      <c r="R3412" s="10" t="n"/>
      <c r="S3412" s="16" t="inlineStr">
        <is>
          <t>https://mstgolf.co.th/products/gf2040110559</t>
        </is>
      </c>
      <c r="T3412" s="1">
        <f>IF(B3412="ไม้กอล์ฟ",J3412,"")</f>
        <v/>
      </c>
    </row>
    <row r="3413">
      <c r="A3413" s="1" t="n">
        <v>3</v>
      </c>
      <c r="B3413" s="1" t="inlineStr">
        <is>
          <t>หมวก</t>
        </is>
      </c>
      <c r="C3413" s="1" t="inlineStr">
        <is>
          <t>gf2000106225</t>
        </is>
      </c>
      <c r="D3413" s="1" t="inlineStr">
        <is>
          <t>PUMA Looper Men's Cap (White)</t>
        </is>
      </c>
      <c r="E3413" s="1" t="inlineStr">
        <is>
          <t>PUMA</t>
        </is>
      </c>
      <c r="F3413" s="1" t="inlineStr">
        <is>
          <t>CAP</t>
        </is>
      </c>
      <c r="G3413" s="1" t="inlineStr">
        <is>
          <t>GF2000106225FS</t>
        </is>
      </c>
      <c r="H3413" s="1" t="n">
        <v>1</v>
      </c>
      <c r="I3413" s="1" t="inlineStr">
        <is>
          <t>มี</t>
        </is>
      </c>
      <c r="J3413" s="13" t="n">
        <v>59</v>
      </c>
      <c r="K3413" s="1" t="inlineStr"/>
      <c r="L3413" s="13" t="n">
        <v>59</v>
      </c>
      <c r="M3413" s="1">
        <f>IF(L3413="","ไม่พบใน SG",IF(ABS(J3413-L3413)&lt;0.005,"ตรงกัน","ไม่ตรง"))</f>
        <v/>
      </c>
      <c r="N3413" s="14">
        <f>IF(L3413="","",ROUND(L3413*'สรุป'!$C$6,-1))</f>
        <v/>
      </c>
      <c r="O3413" s="15" t="n"/>
      <c r="P3413" s="15" t="n"/>
      <c r="Q3413" s="10" t="n"/>
      <c r="R3413" s="10" t="n"/>
      <c r="S3413" s="16" t="inlineStr">
        <is>
          <t>https://mstgolf.co.th/products/gf2000106225</t>
        </is>
      </c>
      <c r="T3413" s="1">
        <f>IF(B3413="ไม้กอล์ฟ",J3413,"")</f>
        <v/>
      </c>
    </row>
    <row r="3414">
      <c r="A3414" s="1" t="n">
        <v>3</v>
      </c>
      <c r="B3414" s="1" t="inlineStr">
        <is>
          <t>หมวก</t>
        </is>
      </c>
      <c r="C3414" s="1" t="inlineStr">
        <is>
          <t>gf2000106223</t>
        </is>
      </c>
      <c r="D3414" s="1" t="inlineStr">
        <is>
          <t>PUMA Queen City Men's Cap (Navy/Red)</t>
        </is>
      </c>
      <c r="E3414" s="1" t="inlineStr">
        <is>
          <t>PUMA</t>
        </is>
      </c>
      <c r="F3414" s="1" t="inlineStr">
        <is>
          <t>CAP</t>
        </is>
      </c>
      <c r="G3414" s="1" t="inlineStr">
        <is>
          <t>GF2000106223FS</t>
        </is>
      </c>
      <c r="H3414" s="1" t="n">
        <v>1</v>
      </c>
      <c r="I3414" s="1" t="inlineStr">
        <is>
          <t>มี</t>
        </is>
      </c>
      <c r="J3414" s="13" t="n">
        <v>59</v>
      </c>
      <c r="K3414" s="1" t="inlineStr"/>
      <c r="L3414" s="13" t="n">
        <v>59</v>
      </c>
      <c r="M3414" s="1">
        <f>IF(L3414="","ไม่พบใน SG",IF(ABS(J3414-L3414)&lt;0.005,"ตรงกัน","ไม่ตรง"))</f>
        <v/>
      </c>
      <c r="N3414" s="14">
        <f>IF(L3414="","",ROUND(L3414*'สรุป'!$C$6,-1))</f>
        <v/>
      </c>
      <c r="O3414" s="15" t="n"/>
      <c r="P3414" s="15" t="n"/>
      <c r="Q3414" s="10" t="n"/>
      <c r="R3414" s="10" t="n"/>
      <c r="S3414" s="16" t="inlineStr">
        <is>
          <t>https://mstgolf.co.th/products/gf2000106223</t>
        </is>
      </c>
      <c r="T3414" s="1">
        <f>IF(B3414="ไม้กอล์ฟ",J3414,"")</f>
        <v/>
      </c>
    </row>
    <row r="3415">
      <c r="A3415" s="1" t="n">
        <v>3</v>
      </c>
      <c r="B3415" s="1" t="inlineStr">
        <is>
          <t>หมวก</t>
        </is>
      </c>
      <c r="C3415" s="1" t="inlineStr">
        <is>
          <t>gf2000106224</t>
        </is>
      </c>
      <c r="D3415" s="1" t="inlineStr">
        <is>
          <t>PUMA Queen City Men's Cap (White/Blue)</t>
        </is>
      </c>
      <c r="E3415" s="1" t="inlineStr">
        <is>
          <t>PUMA</t>
        </is>
      </c>
      <c r="F3415" s="1" t="inlineStr">
        <is>
          <t>CAP</t>
        </is>
      </c>
      <c r="G3415" s="1" t="inlineStr">
        <is>
          <t>GF2000106224FS</t>
        </is>
      </c>
      <c r="H3415" s="1" t="n">
        <v>1</v>
      </c>
      <c r="I3415" s="1" t="inlineStr">
        <is>
          <t>มี</t>
        </is>
      </c>
      <c r="J3415" s="13" t="n">
        <v>59</v>
      </c>
      <c r="K3415" s="1" t="inlineStr"/>
      <c r="L3415" s="13" t="n">
        <v>59</v>
      </c>
      <c r="M3415" s="1">
        <f>IF(L3415="","ไม่พบใน SG",IF(ABS(J3415-L3415)&lt;0.005,"ตรงกัน","ไม่ตรง"))</f>
        <v/>
      </c>
      <c r="N3415" s="14">
        <f>IF(L3415="","",ROUND(L3415*'สรุป'!$C$6,-1))</f>
        <v/>
      </c>
      <c r="O3415" s="15" t="n"/>
      <c r="P3415" s="15" t="n"/>
      <c r="Q3415" s="10" t="n"/>
      <c r="R3415" s="10" t="n"/>
      <c r="S3415" s="16" t="inlineStr">
        <is>
          <t>https://mstgolf.co.th/products/gf2000106224</t>
        </is>
      </c>
      <c r="T3415" s="1">
        <f>IF(B3415="ไม้กอล์ฟ",J3415,"")</f>
        <v/>
      </c>
    </row>
    <row r="3416">
      <c r="A3416" s="1" t="n">
        <v>3</v>
      </c>
      <c r="B3416" s="1" t="inlineStr">
        <is>
          <t>เสื้อผ้า</t>
        </is>
      </c>
      <c r="C3416" s="1" t="inlineStr">
        <is>
          <t>gf2020202317</t>
        </is>
      </c>
      <c r="D3416" s="1" t="inlineStr">
        <is>
          <t>PUMA x Arnold Palmer Pleated Men's Shorts (Deep Navy)</t>
        </is>
      </c>
      <c r="E3416" s="1" t="inlineStr">
        <is>
          <t>PUMA</t>
        </is>
      </c>
      <c r="F3416" s="1" t="inlineStr">
        <is>
          <t>SHORT PANTS</t>
        </is>
      </c>
      <c r="G3416" s="1" t="inlineStr">
        <is>
          <t>GF202020231728</t>
        </is>
      </c>
      <c r="H3416" s="1" t="n">
        <v>7</v>
      </c>
      <c r="I3416" s="1" t="inlineStr">
        <is>
          <t>มี</t>
        </is>
      </c>
      <c r="J3416" s="13" t="n">
        <v>59</v>
      </c>
      <c r="K3416" s="1" t="inlineStr"/>
      <c r="L3416" s="13" t="n">
        <v>49</v>
      </c>
      <c r="M3416" s="1">
        <f>IF(L3416="","ไม่พบใน SG",IF(ABS(J3416-L3416)&lt;0.005,"ตรงกัน","ไม่ตรง"))</f>
        <v/>
      </c>
      <c r="N3416" s="14">
        <f>IF(L3416="","",ROUND(L3416*'สรุป'!$C$6,-1))</f>
        <v/>
      </c>
      <c r="O3416" s="15" t="n"/>
      <c r="P3416" s="15" t="n"/>
      <c r="Q3416" s="10" t="n"/>
      <c r="R3416" s="10" t="n"/>
      <c r="S3416" s="16" t="inlineStr">
        <is>
          <t>https://mstgolf.co.th/products/gf2020202317</t>
        </is>
      </c>
      <c r="T3416" s="1">
        <f>IF(B3416="ไม้กอล์ฟ",J3416,"")</f>
        <v/>
      </c>
    </row>
    <row r="3417">
      <c r="A3417" s="1" t="n">
        <v>3</v>
      </c>
      <c r="B3417" s="1" t="inlineStr">
        <is>
          <t>หมวก</t>
        </is>
      </c>
      <c r="C3417" s="1" t="inlineStr">
        <is>
          <t>gf2000106217</t>
        </is>
      </c>
      <c r="D3417" s="1" t="inlineStr">
        <is>
          <t>PUMA x Arnold Palmer Umbrella Dad Men's Cap (Navy)</t>
        </is>
      </c>
      <c r="E3417" s="1" t="inlineStr">
        <is>
          <t>PUMA</t>
        </is>
      </c>
      <c r="F3417" s="1" t="inlineStr">
        <is>
          <t>CAP</t>
        </is>
      </c>
      <c r="G3417" s="1" t="inlineStr">
        <is>
          <t>GF2000106217FS</t>
        </is>
      </c>
      <c r="H3417" s="1" t="n">
        <v>1</v>
      </c>
      <c r="I3417" s="1" t="inlineStr">
        <is>
          <t>มี</t>
        </is>
      </c>
      <c r="J3417" s="13" t="n">
        <v>59</v>
      </c>
      <c r="K3417" s="1" t="inlineStr"/>
      <c r="L3417" s="13" t="n">
        <v>59</v>
      </c>
      <c r="M3417" s="1">
        <f>IF(L3417="","ไม่พบใน SG",IF(ABS(J3417-L3417)&lt;0.005,"ตรงกัน","ไม่ตรง"))</f>
        <v/>
      </c>
      <c r="N3417" s="14">
        <f>IF(L3417="","",ROUND(L3417*'สรุป'!$C$6,-1))</f>
        <v/>
      </c>
      <c r="O3417" s="15" t="n"/>
      <c r="P3417" s="15" t="n"/>
      <c r="Q3417" s="10" t="n"/>
      <c r="R3417" s="10" t="n"/>
      <c r="S3417" s="16" t="inlineStr">
        <is>
          <t>https://mstgolf.co.th/products/gf2000106217</t>
        </is>
      </c>
      <c r="T3417" s="1">
        <f>IF(B3417="ไม้กอล์ฟ",J3417,"")</f>
        <v/>
      </c>
    </row>
    <row r="3418">
      <c r="A3418" s="1" t="n">
        <v>3</v>
      </c>
      <c r="B3418" s="1" t="inlineStr">
        <is>
          <t>หมวก</t>
        </is>
      </c>
      <c r="C3418" s="1" t="inlineStr">
        <is>
          <t>gf2000300347</t>
        </is>
      </c>
      <c r="D3418" s="1" t="inlineStr">
        <is>
          <t>PUMA x Duvin Men's Bucket Hat (White)</t>
        </is>
      </c>
      <c r="E3418" s="1" t="inlineStr">
        <is>
          <t>PUMA</t>
        </is>
      </c>
      <c r="F3418" s="1" t="inlineStr">
        <is>
          <t>HAT</t>
        </is>
      </c>
      <c r="G3418" s="1" t="inlineStr">
        <is>
          <t>GF2000300347S/M</t>
        </is>
      </c>
      <c r="H3418" s="1" t="n">
        <v>2</v>
      </c>
      <c r="I3418" s="1" t="inlineStr">
        <is>
          <t>มี</t>
        </is>
      </c>
      <c r="J3418" s="13" t="n">
        <v>59</v>
      </c>
      <c r="K3418" s="1" t="inlineStr"/>
      <c r="L3418" s="13" t="n">
        <v>59</v>
      </c>
      <c r="M3418" s="1">
        <f>IF(L3418="","ไม่พบใน SG",IF(ABS(J3418-L3418)&lt;0.005,"ตรงกัน","ไม่ตรง"))</f>
        <v/>
      </c>
      <c r="N3418" s="14">
        <f>IF(L3418="","",ROUND(L3418*'สรุป'!$C$6,-1))</f>
        <v/>
      </c>
      <c r="O3418" s="15" t="n"/>
      <c r="P3418" s="15" t="n"/>
      <c r="Q3418" s="10" t="n"/>
      <c r="R3418" s="10" t="n"/>
      <c r="S3418" s="16" t="inlineStr">
        <is>
          <t>https://mstgolf.co.th/products/gf2000300347</t>
        </is>
      </c>
      <c r="T3418" s="1">
        <f>IF(B3418="ไม้กอล์ฟ",J3418,"")</f>
        <v/>
      </c>
    </row>
    <row r="3419">
      <c r="A3419" s="1" t="n">
        <v>3</v>
      </c>
      <c r="B3419" s="1" t="inlineStr">
        <is>
          <t>หมวก</t>
        </is>
      </c>
      <c r="C3419" s="1" t="inlineStr">
        <is>
          <t>gf2000106227</t>
        </is>
      </c>
      <c r="D3419" s="1" t="inlineStr">
        <is>
          <t>PUMA x Realtree Men's Cap (Forest)</t>
        </is>
      </c>
      <c r="E3419" s="1" t="inlineStr">
        <is>
          <t>PUMA</t>
        </is>
      </c>
      <c r="F3419" s="1" t="inlineStr">
        <is>
          <t>CAP</t>
        </is>
      </c>
      <c r="G3419" s="1" t="inlineStr">
        <is>
          <t>GF2000106227FS</t>
        </is>
      </c>
      <c r="H3419" s="1" t="n">
        <v>1</v>
      </c>
      <c r="I3419" s="1" t="inlineStr">
        <is>
          <t>มี</t>
        </is>
      </c>
      <c r="J3419" s="13" t="n">
        <v>59</v>
      </c>
      <c r="K3419" s="1" t="inlineStr"/>
      <c r="L3419" s="13" t="n">
        <v>59</v>
      </c>
      <c r="M3419" s="1">
        <f>IF(L3419="","ไม่พบใน SG",IF(ABS(J3419-L3419)&lt;0.005,"ตรงกัน","ไม่ตรง"))</f>
        <v/>
      </c>
      <c r="N3419" s="14">
        <f>IF(L3419="","",ROUND(L3419*'สรุป'!$C$6,-1))</f>
        <v/>
      </c>
      <c r="O3419" s="15" t="n"/>
      <c r="P3419" s="15" t="n"/>
      <c r="Q3419" s="10" t="n"/>
      <c r="R3419" s="10" t="n"/>
      <c r="S3419" s="16" t="inlineStr">
        <is>
          <t>https://mstgolf.co.th/products/gf2000106227</t>
        </is>
      </c>
      <c r="T3419" s="1">
        <f>IF(B3419="ไม้กอล์ฟ",J3419,"")</f>
        <v/>
      </c>
    </row>
    <row r="3420">
      <c r="A3420" s="1" t="n">
        <v>3</v>
      </c>
      <c r="B3420" s="1" t="inlineStr">
        <is>
          <t>เสื้อผ้า</t>
        </is>
      </c>
      <c r="C3420" s="1" t="inlineStr">
        <is>
          <t>gf2110200037</t>
        </is>
      </c>
      <c r="D3420" s="1" t="inlineStr">
        <is>
          <t>SPARMS Palmless Glove (Black)</t>
        </is>
      </c>
      <c r="E3420" s="1" t="inlineStr">
        <is>
          <t>SPARMS</t>
        </is>
      </c>
      <c r="F3420" s="1" t="inlineStr">
        <is>
          <t>PROTECTION GEAR</t>
        </is>
      </c>
      <c r="G3420" s="1" t="inlineStr">
        <is>
          <t>GF2110200037XS</t>
        </is>
      </c>
      <c r="H3420" s="1" t="n">
        <v>4</v>
      </c>
      <c r="I3420" s="1" t="inlineStr">
        <is>
          <t>มี</t>
        </is>
      </c>
      <c r="J3420" s="13" t="n">
        <v>59</v>
      </c>
      <c r="K3420" s="1" t="inlineStr"/>
      <c r="L3420" s="13" t="n">
        <v>59</v>
      </c>
      <c r="M3420" s="1">
        <f>IF(L3420="","ไม่พบใน SG",IF(ABS(J3420-L3420)&lt;0.005,"ตรงกัน","ไม่ตรง"))</f>
        <v/>
      </c>
      <c r="N3420" s="14">
        <f>IF(L3420="","",ROUND(L3420*'สรุป'!$C$6,-1))</f>
        <v/>
      </c>
      <c r="O3420" s="15" t="n"/>
      <c r="P3420" s="15" t="n"/>
      <c r="Q3420" s="10" t="n"/>
      <c r="R3420" s="10" t="n"/>
      <c r="S3420" s="16" t="inlineStr">
        <is>
          <t>https://mstgolf.co.th/products/gf2110200037</t>
        </is>
      </c>
      <c r="T3420" s="1">
        <f>IF(B3420="ไม้กอล์ฟ",J3420,"")</f>
        <v/>
      </c>
    </row>
    <row r="3421">
      <c r="A3421" s="1" t="n">
        <v>3</v>
      </c>
      <c r="B3421" s="1" t="inlineStr">
        <is>
          <t>เสื้อผ้า</t>
        </is>
      </c>
      <c r="C3421" s="1" t="inlineStr">
        <is>
          <t>gf2110200038</t>
        </is>
      </c>
      <c r="D3421" s="1" t="inlineStr">
        <is>
          <t>SPARMS Palmless Glove (Latte)</t>
        </is>
      </c>
      <c r="E3421" s="1" t="inlineStr">
        <is>
          <t>SPARMS</t>
        </is>
      </c>
      <c r="F3421" s="1" t="inlineStr">
        <is>
          <t>PROTECTION GEAR</t>
        </is>
      </c>
      <c r="G3421" s="1" t="inlineStr">
        <is>
          <t>GF2110200038XS</t>
        </is>
      </c>
      <c r="H3421" s="1" t="n">
        <v>4</v>
      </c>
      <c r="I3421" s="1" t="inlineStr">
        <is>
          <t>มี</t>
        </is>
      </c>
      <c r="J3421" s="13" t="n">
        <v>59</v>
      </c>
      <c r="K3421" s="1" t="inlineStr"/>
      <c r="L3421" s="13" t="n">
        <v>59</v>
      </c>
      <c r="M3421" s="1">
        <f>IF(L3421="","ไม่พบใน SG",IF(ABS(J3421-L3421)&lt;0.005,"ตรงกัน","ไม่ตรง"))</f>
        <v/>
      </c>
      <c r="N3421" s="14">
        <f>IF(L3421="","",ROUND(L3421*'สรุป'!$C$6,-1))</f>
        <v/>
      </c>
      <c r="O3421" s="15" t="n"/>
      <c r="P3421" s="15" t="n"/>
      <c r="Q3421" s="10" t="n"/>
      <c r="R3421" s="10" t="n"/>
      <c r="S3421" s="16" t="inlineStr">
        <is>
          <t>https://mstgolf.co.th/products/gf2110200038</t>
        </is>
      </c>
      <c r="T3421" s="1">
        <f>IF(B3421="ไม้กอล์ฟ",J3421,"")</f>
        <v/>
      </c>
    </row>
    <row r="3422">
      <c r="A3422" s="1" t="n">
        <v>3</v>
      </c>
      <c r="B3422" s="1" t="inlineStr">
        <is>
          <t>เสื้อผ้า</t>
        </is>
      </c>
      <c r="C3422" s="1" t="inlineStr">
        <is>
          <t>gf2110200036</t>
        </is>
      </c>
      <c r="D3422" s="1" t="inlineStr">
        <is>
          <t>SPARMS Palmless Glove (White)</t>
        </is>
      </c>
      <c r="E3422" s="1" t="inlineStr">
        <is>
          <t>SPARMS</t>
        </is>
      </c>
      <c r="F3422" s="1" t="inlineStr">
        <is>
          <t>PROTECTION GEAR</t>
        </is>
      </c>
      <c r="G3422" s="1" t="inlineStr">
        <is>
          <t>GF2110200036XS</t>
        </is>
      </c>
      <c r="H3422" s="1" t="n">
        <v>4</v>
      </c>
      <c r="I3422" s="1" t="inlineStr">
        <is>
          <t>มี</t>
        </is>
      </c>
      <c r="J3422" s="13" t="n">
        <v>59</v>
      </c>
      <c r="K3422" s="1" t="inlineStr"/>
      <c r="L3422" s="13" t="n">
        <v>59</v>
      </c>
      <c r="M3422" s="1">
        <f>IF(L3422="","ไม่พบใน SG",IF(ABS(J3422-L3422)&lt;0.005,"ตรงกัน","ไม่ตรง"))</f>
        <v/>
      </c>
      <c r="N3422" s="14">
        <f>IF(L3422="","",ROUND(L3422*'สรุป'!$C$6,-1))</f>
        <v/>
      </c>
      <c r="O3422" s="15" t="n"/>
      <c r="P3422" s="15" t="n"/>
      <c r="Q3422" s="10" t="n"/>
      <c r="R3422" s="10" t="n"/>
      <c r="S3422" s="16" t="inlineStr">
        <is>
          <t>https://mstgolf.co.th/products/gf2110200036</t>
        </is>
      </c>
      <c r="T3422" s="1">
        <f>IF(B3422="ไม้กอล์ฟ",J3422,"")</f>
        <v/>
      </c>
    </row>
    <row r="3423">
      <c r="A3423" s="1" t="n">
        <v>3</v>
      </c>
      <c r="B3423" s="1" t="inlineStr">
        <is>
          <t>เสื้อผ้า</t>
        </is>
      </c>
      <c r="C3423" s="1" t="inlineStr">
        <is>
          <t>gf2110200034</t>
        </is>
      </c>
      <c r="D3423" s="1" t="inlineStr">
        <is>
          <t>SPARMS UV Face Shield (Black)</t>
        </is>
      </c>
      <c r="E3423" s="1" t="inlineStr">
        <is>
          <t>SPARMS</t>
        </is>
      </c>
      <c r="F3423" s="1" t="inlineStr">
        <is>
          <t>PROTECTION GEAR</t>
        </is>
      </c>
      <c r="G3423" s="1" t="inlineStr">
        <is>
          <t>GF2110200034S</t>
        </is>
      </c>
      <c r="H3423" s="1" t="n">
        <v>2</v>
      </c>
      <c r="I3423" s="1" t="inlineStr">
        <is>
          <t>มี</t>
        </is>
      </c>
      <c r="J3423" s="13" t="n">
        <v>59</v>
      </c>
      <c r="K3423" s="1" t="inlineStr"/>
      <c r="L3423" s="13" t="n">
        <v>59</v>
      </c>
      <c r="M3423" s="1">
        <f>IF(L3423="","ไม่พบใน SG",IF(ABS(J3423-L3423)&lt;0.005,"ตรงกัน","ไม่ตรง"))</f>
        <v/>
      </c>
      <c r="N3423" s="14">
        <f>IF(L3423="","",ROUND(L3423*'สรุป'!$C$6,-1))</f>
        <v/>
      </c>
      <c r="O3423" s="15" t="n"/>
      <c r="P3423" s="15" t="n"/>
      <c r="Q3423" s="10" t="n"/>
      <c r="R3423" s="10" t="n"/>
      <c r="S3423" s="16" t="inlineStr">
        <is>
          <t>https://mstgolf.co.th/products/gf2110200034</t>
        </is>
      </c>
      <c r="T3423" s="1">
        <f>IF(B3423="ไม้กอล์ฟ",J3423,"")</f>
        <v/>
      </c>
    </row>
    <row r="3424">
      <c r="A3424" s="1" t="n">
        <v>3</v>
      </c>
      <c r="B3424" s="1" t="inlineStr">
        <is>
          <t>อุปกรณ์เสริม</t>
        </is>
      </c>
      <c r="C3424" s="1" t="inlineStr">
        <is>
          <t>gf3150100326</t>
        </is>
      </c>
      <c r="D3424" s="1" t="inlineStr">
        <is>
          <t>SUN MOUNTAIN 68" Double Canopy Umbrella (Navy/White/Red)</t>
        </is>
      </c>
      <c r="E3424" s="1" t="inlineStr">
        <is>
          <t>SUN MOUNTAIN</t>
        </is>
      </c>
      <c r="F3424" s="1" t="inlineStr">
        <is>
          <t>UMBRELLA</t>
        </is>
      </c>
      <c r="G3424" s="1" t="inlineStr">
        <is>
          <t>GF3150100326</t>
        </is>
      </c>
      <c r="H3424" s="1" t="n">
        <v>1</v>
      </c>
      <c r="I3424" s="1" t="inlineStr">
        <is>
          <t>มี</t>
        </is>
      </c>
      <c r="J3424" s="13" t="n">
        <v>59</v>
      </c>
      <c r="K3424" s="1" t="inlineStr"/>
      <c r="L3424" s="13" t="n">
        <v>59</v>
      </c>
      <c r="M3424" s="1">
        <f>IF(L3424="","ไม่พบใน SG",IF(ABS(J3424-L3424)&lt;0.005,"ตรงกัน","ไม่ตรง"))</f>
        <v/>
      </c>
      <c r="N3424" s="14">
        <f>IF(L3424="","",ROUND(L3424*'สรุป'!$C$6,-1))</f>
        <v/>
      </c>
      <c r="O3424" s="15" t="n"/>
      <c r="P3424" s="15" t="n"/>
      <c r="Q3424" s="10" t="n"/>
      <c r="R3424" s="10" t="n"/>
      <c r="S3424" s="16" t="inlineStr">
        <is>
          <t>https://mstgolf.co.th/products/gf3150100326</t>
        </is>
      </c>
      <c r="T3424" s="1">
        <f>IF(B3424="ไม้กอล์ฟ",J3424,"")</f>
        <v/>
      </c>
    </row>
    <row r="3425">
      <c r="A3425" s="1" t="n">
        <v>3</v>
      </c>
      <c r="B3425" s="1" t="inlineStr">
        <is>
          <t>หมวก</t>
        </is>
      </c>
      <c r="C3425" s="1" t="inlineStr">
        <is>
          <t>gf2000106126</t>
        </is>
      </c>
      <c r="D3425" s="1" t="inlineStr">
        <is>
          <t>TAYLORMADE British Open 2024 LP9FIFTY Men's Cap (Navy)</t>
        </is>
      </c>
      <c r="E3425" s="1" t="inlineStr">
        <is>
          <t>TAYLORMADE</t>
        </is>
      </c>
      <c r="F3425" s="1" t="inlineStr">
        <is>
          <t>CAP</t>
        </is>
      </c>
      <c r="G3425" s="1" t="inlineStr">
        <is>
          <t>GF2000106126FS</t>
        </is>
      </c>
      <c r="H3425" s="1" t="n">
        <v>1</v>
      </c>
      <c r="I3425" s="1" t="inlineStr">
        <is>
          <t>มี</t>
        </is>
      </c>
      <c r="J3425" s="13" t="n">
        <v>59</v>
      </c>
      <c r="K3425" s="1" t="inlineStr"/>
      <c r="L3425" s="13" t="n">
        <v>39</v>
      </c>
      <c r="M3425" s="1">
        <f>IF(L3425="","ไม่พบใน SG",IF(ABS(J3425-L3425)&lt;0.005,"ตรงกัน","ไม่ตรง"))</f>
        <v/>
      </c>
      <c r="N3425" s="14">
        <f>IF(L3425="","",ROUND(L3425*'สรุป'!$C$6,-1))</f>
        <v/>
      </c>
      <c r="O3425" s="15" t="n"/>
      <c r="P3425" s="15" t="n"/>
      <c r="Q3425" s="10" t="n"/>
      <c r="R3425" s="10" t="n"/>
      <c r="S3425" s="16" t="inlineStr">
        <is>
          <t>https://mstgolf.co.th/products/gf2000106126</t>
        </is>
      </c>
      <c r="T3425" s="1">
        <f>IF(B3425="ไม้กอล์ฟ",J3425,"")</f>
        <v/>
      </c>
    </row>
    <row r="3426">
      <c r="A3426" s="1" t="n">
        <v>3</v>
      </c>
      <c r="B3426" s="1" t="inlineStr">
        <is>
          <t>เสื้อผ้า</t>
        </is>
      </c>
      <c r="C3426" s="1" t="inlineStr">
        <is>
          <t>gf2040118375</t>
        </is>
      </c>
      <c r="D3426" s="1" t="inlineStr">
        <is>
          <t>TAYLORMADE Color Block Men’s Polo (Cream)</t>
        </is>
      </c>
      <c r="E3426" s="1" t="inlineStr">
        <is>
          <t>TAYLORMADE</t>
        </is>
      </c>
      <c r="F3426" s="1" t="inlineStr">
        <is>
          <t>SHORT SLEEVES</t>
        </is>
      </c>
      <c r="G3426" s="1" t="inlineStr">
        <is>
          <t>GF2040118375S</t>
        </is>
      </c>
      <c r="H3426" s="1" t="n">
        <v>6</v>
      </c>
      <c r="I3426" s="1" t="inlineStr">
        <is>
          <t>มี</t>
        </is>
      </c>
      <c r="J3426" s="13" t="n">
        <v>59</v>
      </c>
      <c r="K3426" s="1" t="inlineStr"/>
      <c r="L3426" s="13" t="n">
        <v>59</v>
      </c>
      <c r="M3426" s="1">
        <f>IF(L3426="","ไม่พบใน SG",IF(ABS(J3426-L3426)&lt;0.005,"ตรงกัน","ไม่ตรง"))</f>
        <v/>
      </c>
      <c r="N3426" s="14">
        <f>IF(L3426="","",ROUND(L3426*'สรุป'!$C$6,-1))</f>
        <v/>
      </c>
      <c r="O3426" s="15" t="n"/>
      <c r="P3426" s="15" t="n"/>
      <c r="Q3426" s="10" t="n"/>
      <c r="R3426" s="10" t="n"/>
      <c r="S3426" s="16" t="inlineStr">
        <is>
          <t>https://mstgolf.co.th/products/gf2040118375</t>
        </is>
      </c>
      <c r="T3426" s="1">
        <f>IF(B3426="ไม้กอล์ฟ",J3426,"")</f>
        <v/>
      </c>
    </row>
    <row r="3427">
      <c r="A3427" s="1" t="n">
        <v>3</v>
      </c>
      <c r="B3427" s="1" t="inlineStr">
        <is>
          <t>หมวก</t>
        </is>
      </c>
      <c r="C3427" s="1" t="inlineStr">
        <is>
          <t>gf2000300264</t>
        </is>
      </c>
      <c r="D3427" s="1" t="inlineStr">
        <is>
          <t>TAYLORMADE Metal Eyelit Printed Pattern Men's Bucket Hat (Black)</t>
        </is>
      </c>
      <c r="E3427" s="1" t="inlineStr">
        <is>
          <t>TAYLORMADE</t>
        </is>
      </c>
      <c r="F3427" s="1" t="inlineStr">
        <is>
          <t>HAT</t>
        </is>
      </c>
      <c r="G3427" s="1" t="inlineStr">
        <is>
          <t>GF2000300264S/M</t>
        </is>
      </c>
      <c r="H3427" s="1" t="n">
        <v>2</v>
      </c>
      <c r="I3427" s="1" t="inlineStr">
        <is>
          <t>มี</t>
        </is>
      </c>
      <c r="J3427" s="13" t="n">
        <v>59</v>
      </c>
      <c r="K3427" s="1" t="inlineStr"/>
      <c r="L3427" s="13" t="n">
        <v>59</v>
      </c>
      <c r="M3427" s="1">
        <f>IF(L3427="","ไม่พบใน SG",IF(ABS(J3427-L3427)&lt;0.005,"ตรงกัน","ไม่ตรง"))</f>
        <v/>
      </c>
      <c r="N3427" s="14">
        <f>IF(L3427="","",ROUND(L3427*'สรุป'!$C$6,-1))</f>
        <v/>
      </c>
      <c r="O3427" s="15" t="n"/>
      <c r="P3427" s="15" t="n"/>
      <c r="Q3427" s="10" t="n"/>
      <c r="R3427" s="10" t="n"/>
      <c r="S3427" s="16" t="inlineStr">
        <is>
          <t>https://mstgolf.co.th/products/gf2000300264</t>
        </is>
      </c>
      <c r="T3427" s="1">
        <f>IF(B3427="ไม้กอล์ฟ",J3427,"")</f>
        <v/>
      </c>
    </row>
    <row r="3428">
      <c r="A3428" s="1" t="n">
        <v>3</v>
      </c>
      <c r="B3428" s="1" t="inlineStr">
        <is>
          <t>หมวก</t>
        </is>
      </c>
      <c r="C3428" s="1" t="inlineStr">
        <is>
          <t>gf2000300458</t>
        </is>
      </c>
      <c r="D3428" s="1" t="inlineStr">
        <is>
          <t>TAYLORMADE Packable Men's Rain Hat (Beige)</t>
        </is>
      </c>
      <c r="E3428" s="1" t="inlineStr">
        <is>
          <t>TAYLORMADE</t>
        </is>
      </c>
      <c r="F3428" s="1" t="inlineStr">
        <is>
          <t>HAT</t>
        </is>
      </c>
      <c r="G3428" s="1" t="inlineStr">
        <is>
          <t>GF2000300458FS</t>
        </is>
      </c>
      <c r="H3428" s="1" t="n">
        <v>1</v>
      </c>
      <c r="I3428" s="1" t="inlineStr">
        <is>
          <t>มี</t>
        </is>
      </c>
      <c r="J3428" s="13" t="n">
        <v>59</v>
      </c>
      <c r="K3428" s="1" t="inlineStr"/>
      <c r="L3428" s="13" t="n">
        <v>59</v>
      </c>
      <c r="M3428" s="1">
        <f>IF(L3428="","ไม่พบใน SG",IF(ABS(J3428-L3428)&lt;0.005,"ตรงกัน","ไม่ตรง"))</f>
        <v/>
      </c>
      <c r="N3428" s="14">
        <f>IF(L3428="","",ROUND(L3428*'สรุป'!$C$6,-1))</f>
        <v/>
      </c>
      <c r="O3428" s="15" t="n"/>
      <c r="P3428" s="15" t="n"/>
      <c r="Q3428" s="10" t="n"/>
      <c r="R3428" s="10" t="n"/>
      <c r="S3428" s="16" t="inlineStr">
        <is>
          <t>https://mstgolf.co.th/products/gf2000300458</t>
        </is>
      </c>
      <c r="T3428" s="1">
        <f>IF(B3428="ไม้กอล์ฟ",J3428,"")</f>
        <v/>
      </c>
    </row>
    <row r="3429">
      <c r="A3429" s="1" t="n">
        <v>3</v>
      </c>
      <c r="B3429" s="1" t="inlineStr">
        <is>
          <t>หมวก</t>
        </is>
      </c>
      <c r="C3429" s="1" t="inlineStr">
        <is>
          <t>gf2000300462</t>
        </is>
      </c>
      <c r="D3429" s="1" t="inlineStr">
        <is>
          <t>TAYLORMADE Women's Reversible Bucket Hat (Navy)</t>
        </is>
      </c>
      <c r="E3429" s="1" t="inlineStr">
        <is>
          <t>TAYLORMADE</t>
        </is>
      </c>
      <c r="F3429" s="1" t="inlineStr">
        <is>
          <t>HAT</t>
        </is>
      </c>
      <c r="G3429" s="1" t="inlineStr">
        <is>
          <t>GF2000300462FS</t>
        </is>
      </c>
      <c r="H3429" s="1" t="n">
        <v>1</v>
      </c>
      <c r="I3429" s="1" t="inlineStr">
        <is>
          <t>มี</t>
        </is>
      </c>
      <c r="J3429" s="13" t="n">
        <v>59</v>
      </c>
      <c r="K3429" s="1" t="inlineStr"/>
      <c r="L3429" s="13" t="n">
        <v>59</v>
      </c>
      <c r="M3429" s="1">
        <f>IF(L3429="","ไม่พบใน SG",IF(ABS(J3429-L3429)&lt;0.005,"ตรงกัน","ไม่ตรง"))</f>
        <v/>
      </c>
      <c r="N3429" s="14">
        <f>IF(L3429="","",ROUND(L3429*'สรุป'!$C$6,-1))</f>
        <v/>
      </c>
      <c r="O3429" s="15" t="n"/>
      <c r="P3429" s="15" t="n"/>
      <c r="Q3429" s="10" t="n"/>
      <c r="R3429" s="10" t="n"/>
      <c r="S3429" s="16" t="inlineStr">
        <is>
          <t>https://mstgolf.co.th/products/gf2000300462</t>
        </is>
      </c>
      <c r="T3429" s="1">
        <f>IF(B3429="ไม้กอล์ฟ",J3429,"")</f>
        <v/>
      </c>
    </row>
    <row r="3430">
      <c r="A3430" s="1" t="n">
        <v>3</v>
      </c>
      <c r="B3430" s="1" t="inlineStr">
        <is>
          <t>เสื้อผ้า</t>
        </is>
      </c>
      <c r="C3430" s="1" t="inlineStr">
        <is>
          <t>gf2020201699</t>
        </is>
      </c>
      <c r="D3430" s="1" t="inlineStr">
        <is>
          <t>UNDER ARMOUR Drive Men's Tapered Shorts (Academy)</t>
        </is>
      </c>
      <c r="E3430" s="1" t="inlineStr">
        <is>
          <t>UNDER ARMOUR</t>
        </is>
      </c>
      <c r="F3430" s="1" t="inlineStr">
        <is>
          <t>SHORT PANTS</t>
        </is>
      </c>
      <c r="G3430" s="1" t="inlineStr">
        <is>
          <t>GF202020169930</t>
        </is>
      </c>
      <c r="H3430" s="1" t="n">
        <v>6</v>
      </c>
      <c r="I3430" s="1" t="inlineStr">
        <is>
          <t>มี</t>
        </is>
      </c>
      <c r="J3430" s="13" t="n">
        <v>59</v>
      </c>
      <c r="K3430" s="1" t="inlineStr"/>
      <c r="L3430" s="13" t="n">
        <v>59</v>
      </c>
      <c r="M3430" s="1">
        <f>IF(L3430="","ไม่พบใน SG",IF(ABS(J3430-L3430)&lt;0.005,"ตรงกัน","ไม่ตรง"))</f>
        <v/>
      </c>
      <c r="N3430" s="14">
        <f>IF(L3430="","",ROUND(L3430*'สรุป'!$C$6,-1))</f>
        <v/>
      </c>
      <c r="O3430" s="15" t="n"/>
      <c r="P3430" s="15" t="n"/>
      <c r="Q3430" s="10" t="n"/>
      <c r="R3430" s="10" t="n"/>
      <c r="S3430" s="16" t="inlineStr">
        <is>
          <t>https://mstgolf.co.th/products/gf2020201699</t>
        </is>
      </c>
      <c r="T3430" s="1">
        <f>IF(B3430="ไม้กอล์ฟ",J3430,"")</f>
        <v/>
      </c>
    </row>
    <row r="3431">
      <c r="A3431" s="1" t="n">
        <v>3</v>
      </c>
      <c r="B3431" s="1" t="inlineStr">
        <is>
          <t>เสื้อผ้า</t>
        </is>
      </c>
      <c r="C3431" s="1" t="inlineStr">
        <is>
          <t>gf2020201698</t>
        </is>
      </c>
      <c r="D3431" s="1" t="inlineStr">
        <is>
          <t>UNDER ARMOUR Drive Men's Tapered Shorts (Summit White)</t>
        </is>
      </c>
      <c r="E3431" s="1" t="inlineStr">
        <is>
          <t>UNDER ARMOUR</t>
        </is>
      </c>
      <c r="F3431" s="1" t="inlineStr">
        <is>
          <t>SHORT PANTS</t>
        </is>
      </c>
      <c r="G3431" s="1" t="inlineStr">
        <is>
          <t>GF202020169830</t>
        </is>
      </c>
      <c r="H3431" s="1" t="n">
        <v>6</v>
      </c>
      <c r="I3431" s="1" t="inlineStr">
        <is>
          <t>มี</t>
        </is>
      </c>
      <c r="J3431" s="13" t="n">
        <v>59</v>
      </c>
      <c r="K3431" s="1" t="inlineStr"/>
      <c r="L3431" s="13" t="n">
        <v>59</v>
      </c>
      <c r="M3431" s="1">
        <f>IF(L3431="","ไม่พบใน SG",IF(ABS(J3431-L3431)&lt;0.005,"ตรงกัน","ไม่ตรง"))</f>
        <v/>
      </c>
      <c r="N3431" s="14">
        <f>IF(L3431="","",ROUND(L3431*'สรุป'!$C$6,-1))</f>
        <v/>
      </c>
      <c r="O3431" s="15" t="n"/>
      <c r="P3431" s="15" t="n"/>
      <c r="Q3431" s="10" t="n"/>
      <c r="R3431" s="10" t="n"/>
      <c r="S3431" s="16" t="inlineStr">
        <is>
          <t>https://mstgolf.co.th/products/gf2020201698</t>
        </is>
      </c>
      <c r="T3431" s="1">
        <f>IF(B3431="ไม้กอล์ฟ",J3431,"")</f>
        <v/>
      </c>
    </row>
    <row r="3432">
      <c r="A3432" s="1" t="n">
        <v>3</v>
      </c>
      <c r="B3432" s="1" t="inlineStr">
        <is>
          <t>เสื้อผ้า</t>
        </is>
      </c>
      <c r="C3432" s="1" t="inlineStr">
        <is>
          <t>gf2020201694</t>
        </is>
      </c>
      <c r="D3432" s="1" t="inlineStr">
        <is>
          <t>UNDER ARMOUR Golf Boy's Shorts (Barley/Grey)</t>
        </is>
      </c>
      <c r="E3432" s="1" t="inlineStr">
        <is>
          <t>UNDER ARMOUR</t>
        </is>
      </c>
      <c r="F3432" s="1" t="inlineStr">
        <is>
          <t>SHORT PANTS</t>
        </is>
      </c>
      <c r="G3432" s="1" t="inlineStr">
        <is>
          <t>GF2020201694XS</t>
        </is>
      </c>
      <c r="H3432" s="1" t="n">
        <v>5</v>
      </c>
      <c r="I3432" s="1" t="inlineStr">
        <is>
          <t>มี</t>
        </is>
      </c>
      <c r="J3432" s="13" t="n">
        <v>59</v>
      </c>
      <c r="K3432" s="1" t="inlineStr"/>
      <c r="L3432" s="13" t="n">
        <v>59</v>
      </c>
      <c r="M3432" s="1">
        <f>IF(L3432="","ไม่พบใน SG",IF(ABS(J3432-L3432)&lt;0.005,"ตรงกัน","ไม่ตรง"))</f>
        <v/>
      </c>
      <c r="N3432" s="14">
        <f>IF(L3432="","",ROUND(L3432*'สรุป'!$C$6,-1))</f>
        <v/>
      </c>
      <c r="O3432" s="15" t="n"/>
      <c r="P3432" s="15" t="n"/>
      <c r="Q3432" s="10" t="n"/>
      <c r="R3432" s="10" t="n"/>
      <c r="S3432" s="16" t="inlineStr">
        <is>
          <t>https://mstgolf.co.th/products/gf2020201694</t>
        </is>
      </c>
      <c r="T3432" s="1">
        <f>IF(B3432="ไม้กอล์ฟ",J3432,"")</f>
        <v/>
      </c>
    </row>
    <row r="3433">
      <c r="A3433" s="1" t="n">
        <v>3</v>
      </c>
      <c r="B3433" s="1" t="inlineStr">
        <is>
          <t>เสื้อผ้า</t>
        </is>
      </c>
      <c r="C3433" s="1" t="inlineStr">
        <is>
          <t>gf2020201581</t>
        </is>
      </c>
      <c r="D3433" s="1" t="inlineStr">
        <is>
          <t>UNDER ARMOUR Golf Boy's Shorts (Black)</t>
        </is>
      </c>
      <c r="E3433" s="1" t="inlineStr">
        <is>
          <t>UNDER ARMOUR</t>
        </is>
      </c>
      <c r="F3433" s="1" t="inlineStr">
        <is>
          <t>SHORT PANTS</t>
        </is>
      </c>
      <c r="G3433" s="1" t="inlineStr">
        <is>
          <t>GF2020201581XS</t>
        </is>
      </c>
      <c r="H3433" s="1" t="n">
        <v>5</v>
      </c>
      <c r="I3433" s="1" t="inlineStr">
        <is>
          <t>มี</t>
        </is>
      </c>
      <c r="J3433" s="13" t="n">
        <v>59</v>
      </c>
      <c r="K3433" s="1" t="inlineStr"/>
      <c r="L3433" s="13" t="n">
        <v>59</v>
      </c>
      <c r="M3433" s="1">
        <f>IF(L3433="","ไม่พบใน SG",IF(ABS(J3433-L3433)&lt;0.005,"ตรงกัน","ไม่ตรง"))</f>
        <v/>
      </c>
      <c r="N3433" s="14">
        <f>IF(L3433="","",ROUND(L3433*'สรุป'!$C$6,-1))</f>
        <v/>
      </c>
      <c r="O3433" s="15" t="n"/>
      <c r="P3433" s="15" t="n"/>
      <c r="Q3433" s="10" t="n"/>
      <c r="R3433" s="10" t="n"/>
      <c r="S3433" s="16" t="inlineStr">
        <is>
          <t>https://mstgolf.co.th/products/gf2020201581</t>
        </is>
      </c>
      <c r="T3433" s="1">
        <f>IF(B3433="ไม้กอล์ฟ",J3433,"")</f>
        <v/>
      </c>
    </row>
    <row r="3434">
      <c r="A3434" s="1" t="n">
        <v>3</v>
      </c>
      <c r="B3434" s="1" t="inlineStr">
        <is>
          <t>เสื้อผ้า</t>
        </is>
      </c>
      <c r="C3434" s="1" t="inlineStr">
        <is>
          <t>gf2020201773</t>
        </is>
      </c>
      <c r="D3434" s="1" t="inlineStr">
        <is>
          <t>UNDER ARMOUR Links Printed Women's Shorts (Sea Mist)</t>
        </is>
      </c>
      <c r="E3434" s="1" t="inlineStr">
        <is>
          <t>UNDER ARMOUR</t>
        </is>
      </c>
      <c r="F3434" s="1" t="inlineStr">
        <is>
          <t>SHORT PANTS</t>
        </is>
      </c>
      <c r="G3434" s="1" t="inlineStr">
        <is>
          <t>GF202020177314</t>
        </is>
      </c>
      <c r="H3434" s="1" t="n">
        <v>7</v>
      </c>
      <c r="I3434" s="1" t="inlineStr">
        <is>
          <t>มี</t>
        </is>
      </c>
      <c r="J3434" s="13" t="n">
        <v>59</v>
      </c>
      <c r="K3434" s="1" t="inlineStr"/>
      <c r="L3434" s="13" t="n">
        <v>43</v>
      </c>
      <c r="M3434" s="1">
        <f>IF(L3434="","ไม่พบใน SG",IF(ABS(J3434-L3434)&lt;0.005,"ตรงกัน","ไม่ตรง"))</f>
        <v/>
      </c>
      <c r="N3434" s="14">
        <f>IF(L3434="","",ROUND(L3434*'สรุป'!$C$6,-1))</f>
        <v/>
      </c>
      <c r="O3434" s="15" t="n"/>
      <c r="P3434" s="15" t="n"/>
      <c r="Q3434" s="10" t="n"/>
      <c r="R3434" s="10" t="n"/>
      <c r="S3434" s="16" t="inlineStr">
        <is>
          <t>https://mstgolf.co.th/products/gf2020201773</t>
        </is>
      </c>
      <c r="T3434" s="1">
        <f>IF(B3434="ไม้กอล์ฟ",J3434,"")</f>
        <v/>
      </c>
    </row>
    <row r="3435">
      <c r="A3435" s="1" t="n">
        <v>3</v>
      </c>
      <c r="B3435" s="1" t="inlineStr">
        <is>
          <t>เสื้อผ้า</t>
        </is>
      </c>
      <c r="C3435" s="1" t="inlineStr">
        <is>
          <t>gf2040401153</t>
        </is>
      </c>
      <c r="D3435" s="1" t="inlineStr">
        <is>
          <t>UNDER ARMOUR Playoff 1/4 Men's Long Sleeve Shirt (Photon Blue)</t>
        </is>
      </c>
      <c r="E3435" s="1" t="inlineStr">
        <is>
          <t>UNDER ARMOUR</t>
        </is>
      </c>
      <c r="F3435" s="1" t="inlineStr">
        <is>
          <t>LONG SLEEVES</t>
        </is>
      </c>
      <c r="G3435" s="1" t="inlineStr">
        <is>
          <t>GF2040401153S</t>
        </is>
      </c>
      <c r="H3435" s="1" t="n">
        <v>5</v>
      </c>
      <c r="I3435" s="1" t="inlineStr">
        <is>
          <t>มี</t>
        </is>
      </c>
      <c r="J3435" s="13" t="n">
        <v>59</v>
      </c>
      <c r="K3435" s="1" t="inlineStr"/>
      <c r="L3435" s="13" t="n">
        <v>59</v>
      </c>
      <c r="M3435" s="1">
        <f>IF(L3435="","ไม่พบใน SG",IF(ABS(J3435-L3435)&lt;0.005,"ตรงกัน","ไม่ตรง"))</f>
        <v/>
      </c>
      <c r="N3435" s="14">
        <f>IF(L3435="","",ROUND(L3435*'สรุป'!$C$6,-1))</f>
        <v/>
      </c>
      <c r="O3435" s="15" t="n"/>
      <c r="P3435" s="15" t="n"/>
      <c r="Q3435" s="10" t="n"/>
      <c r="R3435" s="10" t="n"/>
      <c r="S3435" s="16" t="inlineStr">
        <is>
          <t>https://mstgolf.co.th/products/gf2040401153</t>
        </is>
      </c>
      <c r="T3435" s="1">
        <f>IF(B3435="ไม้กอล์ฟ",J3435,"")</f>
        <v/>
      </c>
    </row>
    <row r="3436">
      <c r="A3436" s="1" t="n">
        <v>3</v>
      </c>
      <c r="B3436" s="1" t="inlineStr">
        <is>
          <t>เสื้อผ้า</t>
        </is>
      </c>
      <c r="C3436" s="1" t="inlineStr">
        <is>
          <t>gf2040117340</t>
        </is>
      </c>
      <c r="D3436" s="1" t="inlineStr">
        <is>
          <t>UNDER ARMOUR Playoff 3.0 Patrons Men's Polo (White)</t>
        </is>
      </c>
      <c r="E3436" s="1" t="inlineStr">
        <is>
          <t>UNDER ARMOUR</t>
        </is>
      </c>
      <c r="F3436" s="1" t="inlineStr">
        <is>
          <t>SHORT SLEEVES</t>
        </is>
      </c>
      <c r="G3436" s="1" t="inlineStr">
        <is>
          <t>GF2040117340S</t>
        </is>
      </c>
      <c r="H3436" s="1" t="n">
        <v>5</v>
      </c>
      <c r="I3436" s="1" t="inlineStr">
        <is>
          <t>มี</t>
        </is>
      </c>
      <c r="J3436" s="13" t="n">
        <v>59</v>
      </c>
      <c r="K3436" s="1" t="inlineStr"/>
      <c r="L3436" s="13" t="n">
        <v>59</v>
      </c>
      <c r="M3436" s="1">
        <f>IF(L3436="","ไม่พบใน SG",IF(ABS(J3436-L3436)&lt;0.005,"ตรงกัน","ไม่ตรง"))</f>
        <v/>
      </c>
      <c r="N3436" s="14">
        <f>IF(L3436="","",ROUND(L3436*'สรุป'!$C$6,-1))</f>
        <v/>
      </c>
      <c r="O3436" s="15" t="n"/>
      <c r="P3436" s="15" t="n"/>
      <c r="Q3436" s="10" t="n"/>
      <c r="R3436" s="10" t="n"/>
      <c r="S3436" s="16" t="inlineStr">
        <is>
          <t>https://mstgolf.co.th/products/gf2040117340</t>
        </is>
      </c>
      <c r="T3436" s="1">
        <f>IF(B3436="ไม้กอล์ฟ",J3436,"")</f>
        <v/>
      </c>
    </row>
    <row r="3437">
      <c r="A3437" s="1" t="n">
        <v>3</v>
      </c>
      <c r="B3437" s="1" t="inlineStr">
        <is>
          <t>เสื้อผ้า</t>
        </is>
      </c>
      <c r="C3437" s="1" t="inlineStr">
        <is>
          <t>gf2040117345</t>
        </is>
      </c>
      <c r="D3437" s="1" t="inlineStr">
        <is>
          <t>UNDER ARMOUR Playoff 3.0 Striker Men's Polo (Midnight Navy)</t>
        </is>
      </c>
      <c r="E3437" s="1" t="inlineStr">
        <is>
          <t>UNDER ARMOUR</t>
        </is>
      </c>
      <c r="F3437" s="1" t="inlineStr">
        <is>
          <t>SHORT SLEEVES</t>
        </is>
      </c>
      <c r="G3437" s="1" t="inlineStr">
        <is>
          <t>GF2040117345S</t>
        </is>
      </c>
      <c r="H3437" s="1" t="n">
        <v>5</v>
      </c>
      <c r="I3437" s="1" t="inlineStr">
        <is>
          <t>มี</t>
        </is>
      </c>
      <c r="J3437" s="13" t="n">
        <v>59</v>
      </c>
      <c r="K3437" s="1" t="inlineStr"/>
      <c r="L3437" s="13" t="n">
        <v>59</v>
      </c>
      <c r="M3437" s="1">
        <f>IF(L3437="","ไม่พบใน SG",IF(ABS(J3437-L3437)&lt;0.005,"ตรงกัน","ไม่ตรง"))</f>
        <v/>
      </c>
      <c r="N3437" s="14">
        <f>IF(L3437="","",ROUND(L3437*'สรุป'!$C$6,-1))</f>
        <v/>
      </c>
      <c r="O3437" s="15" t="n"/>
      <c r="P3437" s="15" t="n"/>
      <c r="Q3437" s="10" t="n"/>
      <c r="R3437" s="10" t="n"/>
      <c r="S3437" s="16" t="inlineStr">
        <is>
          <t>https://mstgolf.co.th/products/gf2040117345</t>
        </is>
      </c>
      <c r="T3437" s="1">
        <f>IF(B3437="ไม้กอล์ฟ",J3437,"")</f>
        <v/>
      </c>
    </row>
    <row r="3438">
      <c r="A3438" s="1" t="n">
        <v>3</v>
      </c>
      <c r="B3438" s="1" t="inlineStr">
        <is>
          <t>เสื้อผ้า</t>
        </is>
      </c>
      <c r="C3438" s="1" t="inlineStr">
        <is>
          <t>gf2040117343</t>
        </is>
      </c>
      <c r="D3438" s="1" t="inlineStr">
        <is>
          <t>UNDER ARMOUR Playoff 3.0 Striker Men's Polo (White)</t>
        </is>
      </c>
      <c r="E3438" s="1" t="inlineStr">
        <is>
          <t>UNDER ARMOUR</t>
        </is>
      </c>
      <c r="F3438" s="1" t="inlineStr">
        <is>
          <t>SHORT SLEEVES</t>
        </is>
      </c>
      <c r="G3438" s="1" t="inlineStr">
        <is>
          <t>GF2040117343S</t>
        </is>
      </c>
      <c r="H3438" s="1" t="n">
        <v>5</v>
      </c>
      <c r="I3438" s="1" t="inlineStr">
        <is>
          <t>มี</t>
        </is>
      </c>
      <c r="J3438" s="13" t="n">
        <v>59</v>
      </c>
      <c r="K3438" s="1" t="inlineStr"/>
      <c r="L3438" s="13" t="n">
        <v>59</v>
      </c>
      <c r="M3438" s="1">
        <f>IF(L3438="","ไม่พบใน SG",IF(ABS(J3438-L3438)&lt;0.005,"ตรงกัน","ไม่ตรง"))</f>
        <v/>
      </c>
      <c r="N3438" s="14">
        <f>IF(L3438="","",ROUND(L3438*'สรุป'!$C$6,-1))</f>
        <v/>
      </c>
      <c r="O3438" s="15" t="n"/>
      <c r="P3438" s="15" t="n"/>
      <c r="Q3438" s="10" t="n"/>
      <c r="R3438" s="10" t="n"/>
      <c r="S3438" s="16" t="inlineStr">
        <is>
          <t>https://mstgolf.co.th/products/gf2040117343</t>
        </is>
      </c>
      <c r="T3438" s="1">
        <f>IF(B3438="ไม้กอล์ฟ",J3438,"")</f>
        <v/>
      </c>
    </row>
    <row r="3439">
      <c r="A3439" s="1" t="n">
        <v>3</v>
      </c>
      <c r="B3439" s="1" t="inlineStr">
        <is>
          <t>เสื้อผ้า</t>
        </is>
      </c>
      <c r="C3439" s="1" t="inlineStr">
        <is>
          <t>gf2040116498</t>
        </is>
      </c>
      <c r="D3439" s="1" t="inlineStr">
        <is>
          <t>UNDER ARMOUR Playoff Birdie Jacquard Men's Polo (Downpour Grey)</t>
        </is>
      </c>
      <c r="E3439" s="1" t="inlineStr">
        <is>
          <t>UNDER ARMOUR</t>
        </is>
      </c>
      <c r="F3439" s="1" t="inlineStr">
        <is>
          <t>SHORT SLEEVES</t>
        </is>
      </c>
      <c r="G3439" s="1" t="inlineStr">
        <is>
          <t>GF2040116498S</t>
        </is>
      </c>
      <c r="H3439" s="1" t="n">
        <v>5</v>
      </c>
      <c r="I3439" s="1" t="inlineStr">
        <is>
          <t>มี</t>
        </is>
      </c>
      <c r="J3439" s="13" t="n">
        <v>59</v>
      </c>
      <c r="K3439" s="1" t="inlineStr"/>
      <c r="L3439" s="13" t="n">
        <v>59</v>
      </c>
      <c r="M3439" s="1">
        <f>IF(L3439="","ไม่พบใน SG",IF(ABS(J3439-L3439)&lt;0.005,"ตรงกัน","ไม่ตรง"))</f>
        <v/>
      </c>
      <c r="N3439" s="14">
        <f>IF(L3439="","",ROUND(L3439*'สรุป'!$C$6,-1))</f>
        <v/>
      </c>
      <c r="O3439" s="15" t="n"/>
      <c r="P3439" s="15" t="n"/>
      <c r="Q3439" s="10" t="n"/>
      <c r="R3439" s="10" t="n"/>
      <c r="S3439" s="16" t="inlineStr">
        <is>
          <t>https://mstgolf.co.th/products/gf2040116498</t>
        </is>
      </c>
      <c r="T3439" s="1">
        <f>IF(B3439="ไม้กอล์ฟ",J3439,"")</f>
        <v/>
      </c>
    </row>
    <row r="3440">
      <c r="A3440" s="1" t="n">
        <v>3</v>
      </c>
      <c r="B3440" s="1" t="inlineStr">
        <is>
          <t>เสื้อผ้า</t>
        </is>
      </c>
      <c r="C3440" s="1" t="inlineStr">
        <is>
          <t>gf2040117334</t>
        </is>
      </c>
      <c r="D3440" s="1" t="inlineStr">
        <is>
          <t>UNDER ARMOUR Playoff Geo Jacquard Men's Polo (Nova Orange)</t>
        </is>
      </c>
      <c r="E3440" s="1" t="inlineStr">
        <is>
          <t>UNDER ARMOUR</t>
        </is>
      </c>
      <c r="F3440" s="1" t="inlineStr">
        <is>
          <t>SHORT SLEEVES</t>
        </is>
      </c>
      <c r="G3440" s="1" t="inlineStr">
        <is>
          <t>GF2040117334S</t>
        </is>
      </c>
      <c r="H3440" s="1" t="n">
        <v>5</v>
      </c>
      <c r="I3440" s="1" t="inlineStr">
        <is>
          <t>มี</t>
        </is>
      </c>
      <c r="J3440" s="13" t="n">
        <v>59</v>
      </c>
      <c r="K3440" s="1" t="inlineStr"/>
      <c r="L3440" s="13" t="n">
        <v>59</v>
      </c>
      <c r="M3440" s="1">
        <f>IF(L3440="","ไม่พบใน SG",IF(ABS(J3440-L3440)&lt;0.005,"ตรงกัน","ไม่ตรง"))</f>
        <v/>
      </c>
      <c r="N3440" s="14">
        <f>IF(L3440="","",ROUND(L3440*'สรุป'!$C$6,-1))</f>
        <v/>
      </c>
      <c r="O3440" s="15" t="n"/>
      <c r="P3440" s="15" t="n"/>
      <c r="Q3440" s="10" t="n"/>
      <c r="R3440" s="10" t="n"/>
      <c r="S3440" s="16" t="inlineStr">
        <is>
          <t>https://mstgolf.co.th/products/gf2040117334</t>
        </is>
      </c>
      <c r="T3440" s="1">
        <f>IF(B3440="ไม้กอล์ฟ",J3440,"")</f>
        <v/>
      </c>
    </row>
    <row r="3441">
      <c r="A3441" s="1" t="n">
        <v>3</v>
      </c>
      <c r="B3441" s="1" t="inlineStr">
        <is>
          <t>เสื้อผ้า</t>
        </is>
      </c>
      <c r="C3441" s="1" t="inlineStr">
        <is>
          <t>gf2040117221</t>
        </is>
      </c>
      <c r="D3441" s="1" t="inlineStr">
        <is>
          <t>UNDER ARMOUR T2G (2024) Men's Polo (Midnight Navy)</t>
        </is>
      </c>
      <c r="E3441" s="1" t="inlineStr">
        <is>
          <t>UNDER ARMOUR</t>
        </is>
      </c>
      <c r="F3441" s="1" t="inlineStr">
        <is>
          <t>SHORT SLEEVES</t>
        </is>
      </c>
      <c r="G3441" s="1" t="inlineStr">
        <is>
          <t>GF2040117221S</t>
        </is>
      </c>
      <c r="H3441" s="1" t="n">
        <v>5</v>
      </c>
      <c r="I3441" s="1" t="inlineStr">
        <is>
          <t>มี</t>
        </is>
      </c>
      <c r="J3441" s="13" t="n">
        <v>59</v>
      </c>
      <c r="K3441" s="1" t="inlineStr"/>
      <c r="L3441" s="13" t="n">
        <v>59</v>
      </c>
      <c r="M3441" s="1">
        <f>IF(L3441="","ไม่พบใน SG",IF(ABS(J3441-L3441)&lt;0.005,"ตรงกัน","ไม่ตรง"))</f>
        <v/>
      </c>
      <c r="N3441" s="14">
        <f>IF(L3441="","",ROUND(L3441*'สรุป'!$C$6,-1))</f>
        <v/>
      </c>
      <c r="O3441" s="15" t="n"/>
      <c r="P3441" s="15" t="n"/>
      <c r="Q3441" s="10" t="n"/>
      <c r="R3441" s="10" t="n"/>
      <c r="S3441" s="16" t="inlineStr">
        <is>
          <t>https://mstgolf.co.th/products/gf2040117221</t>
        </is>
      </c>
      <c r="T3441" s="1">
        <f>IF(B3441="ไม้กอล์ฟ",J3441,"")</f>
        <v/>
      </c>
    </row>
    <row r="3442">
      <c r="A3442" s="1" t="n">
        <v>3</v>
      </c>
      <c r="B3442" s="1" t="inlineStr">
        <is>
          <t>เสื้อผ้า</t>
        </is>
      </c>
      <c r="C3442" s="1" t="inlineStr">
        <is>
          <t>gf2040116158</t>
        </is>
      </c>
      <c r="D3442" s="1" t="inlineStr">
        <is>
          <t>UNDER ARMOUR Tee-2-Green Men's Polo (Static Blue)</t>
        </is>
      </c>
      <c r="E3442" s="1" t="inlineStr">
        <is>
          <t>UNDER ARMOUR</t>
        </is>
      </c>
      <c r="F3442" s="1" t="inlineStr">
        <is>
          <t>SHORT SLEEVES</t>
        </is>
      </c>
      <c r="G3442" s="1" t="inlineStr">
        <is>
          <t>GF2040116158S</t>
        </is>
      </c>
      <c r="H3442" s="1" t="n">
        <v>5</v>
      </c>
      <c r="I3442" s="1" t="inlineStr">
        <is>
          <t>มี</t>
        </is>
      </c>
      <c r="J3442" s="13" t="n">
        <v>59</v>
      </c>
      <c r="K3442" s="1" t="inlineStr"/>
      <c r="L3442" s="13" t="n">
        <v>59</v>
      </c>
      <c r="M3442" s="1">
        <f>IF(L3442="","ไม่พบใน SG",IF(ABS(J3442-L3442)&lt;0.005,"ตรงกัน","ไม่ตรง"))</f>
        <v/>
      </c>
      <c r="N3442" s="14">
        <f>IF(L3442="","",ROUND(L3442*'สรุป'!$C$6,-1))</f>
        <v/>
      </c>
      <c r="O3442" s="15" t="n"/>
      <c r="P3442" s="15" t="n"/>
      <c r="Q3442" s="10" t="n"/>
      <c r="R3442" s="10" t="n"/>
      <c r="S3442" s="16" t="inlineStr">
        <is>
          <t>https://mstgolf.co.th/products/gf2040116158</t>
        </is>
      </c>
      <c r="T3442" s="1">
        <f>IF(B3442="ไม้กอล์ฟ",J3442,"")</f>
        <v/>
      </c>
    </row>
    <row r="3443">
      <c r="A3443" s="1" t="n">
        <v>3</v>
      </c>
      <c r="B3443" s="1" t="inlineStr">
        <is>
          <t>เสื้อผ้า</t>
        </is>
      </c>
      <c r="C3443" s="1" t="inlineStr">
        <is>
          <t>gf2040115428</t>
        </is>
      </c>
      <c r="D3443" s="1" t="inlineStr">
        <is>
          <t>UNDER ARMOUR Tee-To-Green Men's Polo (Midnight Navy)</t>
        </is>
      </c>
      <c r="E3443" s="1" t="inlineStr">
        <is>
          <t>UNDER ARMOUR</t>
        </is>
      </c>
      <c r="F3443" s="1" t="inlineStr">
        <is>
          <t>SHORT SLEEVES</t>
        </is>
      </c>
      <c r="G3443" s="1" t="inlineStr">
        <is>
          <t>GF2040115428XS</t>
        </is>
      </c>
      <c r="H3443" s="1" t="n">
        <v>6</v>
      </c>
      <c r="I3443" s="1" t="inlineStr">
        <is>
          <t>มี</t>
        </is>
      </c>
      <c r="J3443" s="13" t="n">
        <v>59</v>
      </c>
      <c r="K3443" s="1" t="inlineStr"/>
      <c r="L3443" s="13" t="n">
        <v>59</v>
      </c>
      <c r="M3443" s="1">
        <f>IF(L3443="","ไม่พบใน SG",IF(ABS(J3443-L3443)&lt;0.005,"ตรงกัน","ไม่ตรง"))</f>
        <v/>
      </c>
      <c r="N3443" s="14">
        <f>IF(L3443="","",ROUND(L3443*'สรุป'!$C$6,-1))</f>
        <v/>
      </c>
      <c r="O3443" s="15" t="n"/>
      <c r="P3443" s="15" t="n"/>
      <c r="Q3443" s="10" t="n"/>
      <c r="R3443" s="10" t="n"/>
      <c r="S3443" s="16" t="inlineStr">
        <is>
          <t>https://mstgolf.co.th/products/gf2040115428</t>
        </is>
      </c>
      <c r="T3443" s="1">
        <f>IF(B3443="ไม้กอล์ฟ",J3443,"")</f>
        <v/>
      </c>
    </row>
    <row r="3444">
      <c r="A3444" s="1" t="n">
        <v>3</v>
      </c>
      <c r="B3444" s="1" t="inlineStr">
        <is>
          <t>เสื้อผ้า</t>
        </is>
      </c>
      <c r="C3444" s="1" t="inlineStr">
        <is>
          <t>gf2110100173</t>
        </is>
      </c>
      <c r="D3444" s="1" t="inlineStr">
        <is>
          <t>WAAC UV Arm Sleeves (Black)</t>
        </is>
      </c>
      <c r="E3444" s="1" t="inlineStr">
        <is>
          <t>WAAC</t>
        </is>
      </c>
      <c r="F3444" s="1" t="inlineStr">
        <is>
          <t>ARM GLOVE</t>
        </is>
      </c>
      <c r="G3444" s="1" t="inlineStr">
        <is>
          <t>GF2110100173M</t>
        </is>
      </c>
      <c r="H3444" s="1" t="n">
        <v>2</v>
      </c>
      <c r="I3444" s="1" t="inlineStr">
        <is>
          <t>มี</t>
        </is>
      </c>
      <c r="J3444" s="13" t="n">
        <v>59</v>
      </c>
      <c r="K3444" s="1" t="inlineStr"/>
      <c r="L3444" s="13" t="n">
        <v>59</v>
      </c>
      <c r="M3444" s="1">
        <f>IF(L3444="","ไม่พบใน SG",IF(ABS(J3444-L3444)&lt;0.005,"ตรงกัน","ไม่ตรง"))</f>
        <v/>
      </c>
      <c r="N3444" s="14">
        <f>IF(L3444="","",ROUND(L3444*'สรุป'!$C$6,-1))</f>
        <v/>
      </c>
      <c r="O3444" s="15" t="n"/>
      <c r="P3444" s="15" t="n"/>
      <c r="Q3444" s="10" t="n"/>
      <c r="R3444" s="10" t="n"/>
      <c r="S3444" s="16" t="inlineStr">
        <is>
          <t>https://mstgolf.co.th/products/gf2110100173</t>
        </is>
      </c>
      <c r="T3444" s="1">
        <f>IF(B3444="ไม้กอล์ฟ",J3444,"")</f>
        <v/>
      </c>
    </row>
    <row r="3445">
      <c r="A3445" s="1" t="n">
        <v>3</v>
      </c>
      <c r="B3445" s="1" t="inlineStr">
        <is>
          <t>เสื้อผ้า</t>
        </is>
      </c>
      <c r="C3445" s="1" t="inlineStr">
        <is>
          <t>gf2040117809</t>
        </is>
      </c>
      <c r="D3445" s="1" t="inlineStr">
        <is>
          <t>PETER MILLAR Aurora Camo Performance Men's Shirt (Navy Blue)</t>
        </is>
      </c>
      <c r="E3445" s="1" t="inlineStr">
        <is>
          <t>PETER MILLAR</t>
        </is>
      </c>
      <c r="F3445" s="1" t="inlineStr">
        <is>
          <t>SHORT SLEEVES</t>
        </is>
      </c>
      <c r="G3445" s="1" t="inlineStr">
        <is>
          <t>GF2040117809S</t>
        </is>
      </c>
      <c r="H3445" s="1" t="n">
        <v>5</v>
      </c>
      <c r="I3445" s="1" t="inlineStr">
        <is>
          <t>มี</t>
        </is>
      </c>
      <c r="J3445" s="13" t="n">
        <v>57</v>
      </c>
      <c r="K3445" s="1" t="inlineStr"/>
      <c r="L3445" s="13" t="n">
        <v>57</v>
      </c>
      <c r="M3445" s="1">
        <f>IF(L3445="","ไม่พบใน SG",IF(ABS(J3445-L3445)&lt;0.005,"ตรงกัน","ไม่ตรง"))</f>
        <v/>
      </c>
      <c r="N3445" s="14">
        <f>IF(L3445="","",ROUND(L3445*'สรุป'!$C$6,-1))</f>
        <v/>
      </c>
      <c r="O3445" s="15" t="n"/>
      <c r="P3445" s="15" t="n"/>
      <c r="Q3445" s="10" t="n"/>
      <c r="R3445" s="10" t="n"/>
      <c r="S3445" s="16" t="inlineStr">
        <is>
          <t>https://mstgolf.co.th/products/gf2040117809</t>
        </is>
      </c>
      <c r="T3445" s="1">
        <f>IF(B3445="ไม้กอล์ฟ",J3445,"")</f>
        <v/>
      </c>
    </row>
    <row r="3446">
      <c r="A3446" s="1" t="n">
        <v>3</v>
      </c>
      <c r="B3446" s="1" t="inlineStr">
        <is>
          <t>อุปกรณ์เสริม</t>
        </is>
      </c>
      <c r="C3446" s="1" t="inlineStr">
        <is>
          <t>gf3500201383</t>
        </is>
      </c>
      <c r="D3446" s="1" t="inlineStr">
        <is>
          <t>TAYLORMADE British Open Fairway Headcover</t>
        </is>
      </c>
      <c r="E3446" s="1" t="inlineStr">
        <is>
          <t>TAYLORMADE</t>
        </is>
      </c>
      <c r="F3446" s="1" t="inlineStr">
        <is>
          <t>HEADCOVERS</t>
        </is>
      </c>
      <c r="G3446" s="1" t="inlineStr">
        <is>
          <t>GF3500201383</t>
        </is>
      </c>
      <c r="H3446" s="1" t="n">
        <v>1</v>
      </c>
      <c r="I3446" s="1" t="inlineStr">
        <is>
          <t>มี</t>
        </is>
      </c>
      <c r="J3446" s="13" t="n">
        <v>57</v>
      </c>
      <c r="K3446" s="1" t="inlineStr"/>
      <c r="L3446" s="13" t="n">
        <v>57</v>
      </c>
      <c r="M3446" s="1">
        <f>IF(L3446="","ไม่พบใน SG",IF(ABS(J3446-L3446)&lt;0.005,"ตรงกัน","ไม่ตรง"))</f>
        <v/>
      </c>
      <c r="N3446" s="14">
        <f>IF(L3446="","",ROUND(L3446*'สรุป'!$C$6,-1))</f>
        <v/>
      </c>
      <c r="O3446" s="15" t="n"/>
      <c r="P3446" s="15" t="n"/>
      <c r="Q3446" s="10" t="n"/>
      <c r="R3446" s="10" t="n"/>
      <c r="S3446" s="16" t="inlineStr">
        <is>
          <t>https://mstgolf.co.th/products/gf3500201383</t>
        </is>
      </c>
      <c r="T3446" s="1">
        <f>IF(B3446="ไม้กอล์ฟ",J3446,"")</f>
        <v/>
      </c>
    </row>
    <row r="3447">
      <c r="A3447" s="1" t="n">
        <v>3</v>
      </c>
      <c r="B3447" s="1" t="inlineStr">
        <is>
          <t>อุปกรณ์เสริม</t>
        </is>
      </c>
      <c r="C3447" s="1" t="inlineStr">
        <is>
          <t>gf3500201384</t>
        </is>
      </c>
      <c r="D3447" s="1" t="inlineStr">
        <is>
          <t>TAYLORMADE British Open Putter Headcover</t>
        </is>
      </c>
      <c r="E3447" s="1" t="inlineStr">
        <is>
          <t>TAYLORMADE</t>
        </is>
      </c>
      <c r="F3447" s="1" t="inlineStr">
        <is>
          <t>HEADCOVERS</t>
        </is>
      </c>
      <c r="G3447" s="1" t="inlineStr">
        <is>
          <t>GF3500201384</t>
        </is>
      </c>
      <c r="H3447" s="1" t="n">
        <v>1</v>
      </c>
      <c r="I3447" s="1" t="inlineStr">
        <is>
          <t>มี</t>
        </is>
      </c>
      <c r="J3447" s="13" t="n">
        <v>57</v>
      </c>
      <c r="K3447" s="1" t="inlineStr"/>
      <c r="L3447" s="13" t="n">
        <v>57</v>
      </c>
      <c r="M3447" s="1">
        <f>IF(L3447="","ไม่พบใน SG",IF(ABS(J3447-L3447)&lt;0.005,"ตรงกัน","ไม่ตรง"))</f>
        <v/>
      </c>
      <c r="N3447" s="14">
        <f>IF(L3447="","",ROUND(L3447*'สรุป'!$C$6,-1))</f>
        <v/>
      </c>
      <c r="O3447" s="15" t="n"/>
      <c r="P3447" s="15" t="n"/>
      <c r="Q3447" s="10" t="n"/>
      <c r="R3447" s="10" t="n"/>
      <c r="S3447" s="16" t="inlineStr">
        <is>
          <t>https://mstgolf.co.th/products/gf3500201384</t>
        </is>
      </c>
      <c r="T3447" s="1">
        <f>IF(B3447="ไม้กอล์ฟ",J3447,"")</f>
        <v/>
      </c>
    </row>
    <row r="3448">
      <c r="A3448" s="1" t="n">
        <v>3</v>
      </c>
      <c r="B3448" s="1" t="inlineStr">
        <is>
          <t>อุปกรณ์เสริม</t>
        </is>
      </c>
      <c r="C3448" s="1" t="inlineStr">
        <is>
          <t>gf3500201385</t>
        </is>
      </c>
      <c r="D3448" s="1" t="inlineStr">
        <is>
          <t>TAYLORMADE British Open Rescue Headcover</t>
        </is>
      </c>
      <c r="E3448" s="1" t="inlineStr">
        <is>
          <t>TAYLORMADE</t>
        </is>
      </c>
      <c r="F3448" s="1" t="inlineStr">
        <is>
          <t>HEADCOVERS</t>
        </is>
      </c>
      <c r="G3448" s="1" t="inlineStr">
        <is>
          <t>GF3500201385</t>
        </is>
      </c>
      <c r="H3448" s="1" t="n">
        <v>1</v>
      </c>
      <c r="I3448" s="1" t="inlineStr">
        <is>
          <t>มี</t>
        </is>
      </c>
      <c r="J3448" s="13" t="n">
        <v>57</v>
      </c>
      <c r="K3448" s="1" t="inlineStr"/>
      <c r="L3448" s="13" t="n">
        <v>57</v>
      </c>
      <c r="M3448" s="1">
        <f>IF(L3448="","ไม่พบใน SG",IF(ABS(J3448-L3448)&lt;0.005,"ตรงกัน","ไม่ตรง"))</f>
        <v/>
      </c>
      <c r="N3448" s="14">
        <f>IF(L3448="","",ROUND(L3448*'สรุป'!$C$6,-1))</f>
        <v/>
      </c>
      <c r="O3448" s="15" t="n"/>
      <c r="P3448" s="15" t="n"/>
      <c r="Q3448" s="10" t="n"/>
      <c r="R3448" s="10" t="n"/>
      <c r="S3448" s="16" t="inlineStr">
        <is>
          <t>https://mstgolf.co.th/products/gf3500201385</t>
        </is>
      </c>
      <c r="T3448" s="1">
        <f>IF(B3448="ไม้กอล์ฟ",J3448,"")</f>
        <v/>
      </c>
    </row>
    <row r="3449">
      <c r="A3449" s="1" t="n">
        <v>3</v>
      </c>
      <c r="B3449" s="1" t="inlineStr">
        <is>
          <t>อุปกรณ์เสริม</t>
        </is>
      </c>
      <c r="C3449" s="1" t="inlineStr">
        <is>
          <t>gf3500201386</t>
        </is>
      </c>
      <c r="D3449" s="1" t="inlineStr">
        <is>
          <t>TAYLORMADE British Open Spider Putter Headcover</t>
        </is>
      </c>
      <c r="E3449" s="1" t="inlineStr">
        <is>
          <t>TAYLORMADE</t>
        </is>
      </c>
      <c r="F3449" s="1" t="inlineStr">
        <is>
          <t>HEADCOVERS</t>
        </is>
      </c>
      <c r="G3449" s="1" t="inlineStr">
        <is>
          <t>GF3500201386</t>
        </is>
      </c>
      <c r="H3449" s="1" t="n">
        <v>1</v>
      </c>
      <c r="I3449" s="1" t="inlineStr">
        <is>
          <t>มี</t>
        </is>
      </c>
      <c r="J3449" s="13" t="n">
        <v>57</v>
      </c>
      <c r="K3449" s="1" t="inlineStr"/>
      <c r="L3449" s="13" t="n">
        <v>57</v>
      </c>
      <c r="M3449" s="1">
        <f>IF(L3449="","ไม่พบใน SG",IF(ABS(J3449-L3449)&lt;0.005,"ตรงกัน","ไม่ตรง"))</f>
        <v/>
      </c>
      <c r="N3449" s="14">
        <f>IF(L3449="","",ROUND(L3449*'สรุป'!$C$6,-1))</f>
        <v/>
      </c>
      <c r="O3449" s="15" t="n"/>
      <c r="P3449" s="15" t="n"/>
      <c r="Q3449" s="10" t="n"/>
      <c r="R3449" s="10" t="n"/>
      <c r="S3449" s="16" t="inlineStr">
        <is>
          <t>https://mstgolf.co.th/products/gf3500201386</t>
        </is>
      </c>
      <c r="T3449" s="1">
        <f>IF(B3449="ไม้กอล์ฟ",J3449,"")</f>
        <v/>
      </c>
    </row>
    <row r="3450">
      <c r="A3450" s="1" t="n">
        <v>3</v>
      </c>
      <c r="B3450" s="1" t="inlineStr">
        <is>
          <t>อุปกรณ์เสริม</t>
        </is>
      </c>
      <c r="C3450" s="1" t="inlineStr">
        <is>
          <t>gf3500201375</t>
        </is>
      </c>
      <c r="D3450" s="1" t="inlineStr">
        <is>
          <t>TAYLORMADE PGA Championship Fairway Headcover</t>
        </is>
      </c>
      <c r="E3450" s="1" t="inlineStr">
        <is>
          <t>TAYLORMADE</t>
        </is>
      </c>
      <c r="F3450" s="1" t="inlineStr">
        <is>
          <t>HEADCOVERS</t>
        </is>
      </c>
      <c r="G3450" s="1" t="inlineStr">
        <is>
          <t>GF3500201375</t>
        </is>
      </c>
      <c r="H3450" s="1" t="n">
        <v>1</v>
      </c>
      <c r="I3450" s="1" t="inlineStr">
        <is>
          <t>มี</t>
        </is>
      </c>
      <c r="J3450" s="13" t="n">
        <v>57</v>
      </c>
      <c r="K3450" s="1" t="inlineStr"/>
      <c r="L3450" s="13" t="n">
        <v>57</v>
      </c>
      <c r="M3450" s="1">
        <f>IF(L3450="","ไม่พบใน SG",IF(ABS(J3450-L3450)&lt;0.005,"ตรงกัน","ไม่ตรง"))</f>
        <v/>
      </c>
      <c r="N3450" s="14">
        <f>IF(L3450="","",ROUND(L3450*'สรุป'!$C$6,-1))</f>
        <v/>
      </c>
      <c r="O3450" s="15" t="n"/>
      <c r="P3450" s="15" t="n"/>
      <c r="Q3450" s="10" t="n"/>
      <c r="R3450" s="10" t="n"/>
      <c r="S3450" s="16" t="inlineStr">
        <is>
          <t>https://mstgolf.co.th/products/gf3500201375</t>
        </is>
      </c>
      <c r="T3450" s="1">
        <f>IF(B3450="ไม้กอล์ฟ",J3450,"")</f>
        <v/>
      </c>
    </row>
    <row r="3451">
      <c r="A3451" s="1" t="n">
        <v>3</v>
      </c>
      <c r="B3451" s="1" t="inlineStr">
        <is>
          <t>อุปกรณ์เสริม</t>
        </is>
      </c>
      <c r="C3451" s="1" t="inlineStr">
        <is>
          <t>gf3500201377</t>
        </is>
      </c>
      <c r="D3451" s="1" t="inlineStr">
        <is>
          <t>TAYLORMADE PGA Championship Rescue Headcover</t>
        </is>
      </c>
      <c r="E3451" s="1" t="inlineStr">
        <is>
          <t>TAYLORMADE</t>
        </is>
      </c>
      <c r="F3451" s="1" t="inlineStr">
        <is>
          <t>HEADCOVERS</t>
        </is>
      </c>
      <c r="G3451" s="1" t="inlineStr">
        <is>
          <t>GF3500201377</t>
        </is>
      </c>
      <c r="H3451" s="1" t="n">
        <v>1</v>
      </c>
      <c r="I3451" s="1" t="inlineStr">
        <is>
          <t>มี</t>
        </is>
      </c>
      <c r="J3451" s="13" t="n">
        <v>57</v>
      </c>
      <c r="K3451" s="1" t="inlineStr"/>
      <c r="L3451" s="13" t="n">
        <v>57</v>
      </c>
      <c r="M3451" s="1">
        <f>IF(L3451="","ไม่พบใน SG",IF(ABS(J3451-L3451)&lt;0.005,"ตรงกัน","ไม่ตรง"))</f>
        <v/>
      </c>
      <c r="N3451" s="14">
        <f>IF(L3451="","",ROUND(L3451*'สรุป'!$C$6,-1))</f>
        <v/>
      </c>
      <c r="O3451" s="15" t="n"/>
      <c r="P3451" s="15" t="n"/>
      <c r="Q3451" s="10" t="n"/>
      <c r="R3451" s="10" t="n"/>
      <c r="S3451" s="16" t="inlineStr">
        <is>
          <t>https://mstgolf.co.th/products/gf3500201377</t>
        </is>
      </c>
      <c r="T3451" s="1">
        <f>IF(B3451="ไม้กอล์ฟ",J3451,"")</f>
        <v/>
      </c>
    </row>
    <row r="3452">
      <c r="A3452" s="1" t="n">
        <v>3</v>
      </c>
      <c r="B3452" s="1" t="inlineStr">
        <is>
          <t>อุปกรณ์เสริม</t>
        </is>
      </c>
      <c r="C3452" s="1" t="inlineStr">
        <is>
          <t>gf3500201371</t>
        </is>
      </c>
      <c r="D3452" s="1" t="inlineStr">
        <is>
          <t>TAYLORMADE Season Opener Fairway Headcover</t>
        </is>
      </c>
      <c r="E3452" s="1" t="inlineStr">
        <is>
          <t>TAYLORMADE</t>
        </is>
      </c>
      <c r="F3452" s="1" t="inlineStr">
        <is>
          <t>HEADCOVERS</t>
        </is>
      </c>
      <c r="G3452" s="1" t="inlineStr">
        <is>
          <t>GF3500201371</t>
        </is>
      </c>
      <c r="H3452" s="1" t="n">
        <v>1</v>
      </c>
      <c r="I3452" s="1" t="inlineStr">
        <is>
          <t>มี</t>
        </is>
      </c>
      <c r="J3452" s="13" t="n">
        <v>57</v>
      </c>
      <c r="K3452" s="1" t="inlineStr"/>
      <c r="L3452" s="13" t="n">
        <v>57</v>
      </c>
      <c r="M3452" s="1">
        <f>IF(L3452="","ไม่พบใน SG",IF(ABS(J3452-L3452)&lt;0.005,"ตรงกัน","ไม่ตรง"))</f>
        <v/>
      </c>
      <c r="N3452" s="14">
        <f>IF(L3452="","",ROUND(L3452*'สรุป'!$C$6,-1))</f>
        <v/>
      </c>
      <c r="O3452" s="15" t="n"/>
      <c r="P3452" s="15" t="n"/>
      <c r="Q3452" s="10" t="n"/>
      <c r="R3452" s="10" t="n"/>
      <c r="S3452" s="16" t="inlineStr">
        <is>
          <t>https://mstgolf.co.th/products/gf3500201371</t>
        </is>
      </c>
      <c r="T3452" s="1">
        <f>IF(B3452="ไม้กอล์ฟ",J3452,"")</f>
        <v/>
      </c>
    </row>
    <row r="3453">
      <c r="A3453" s="1" t="n">
        <v>3</v>
      </c>
      <c r="B3453" s="1" t="inlineStr">
        <is>
          <t>อุปกรณ์เสริม</t>
        </is>
      </c>
      <c r="C3453" s="1" t="inlineStr">
        <is>
          <t>gf3500201372</t>
        </is>
      </c>
      <c r="D3453" s="1" t="inlineStr">
        <is>
          <t>TAYLORMADE Season Opener Putter Headcover</t>
        </is>
      </c>
      <c r="E3453" s="1" t="inlineStr">
        <is>
          <t>TAYLORMADE</t>
        </is>
      </c>
      <c r="F3453" s="1" t="inlineStr">
        <is>
          <t>HEADCOVERS</t>
        </is>
      </c>
      <c r="G3453" s="1" t="inlineStr">
        <is>
          <t>GF3500201372</t>
        </is>
      </c>
      <c r="H3453" s="1" t="n">
        <v>1</v>
      </c>
      <c r="I3453" s="1" t="inlineStr">
        <is>
          <t>มี</t>
        </is>
      </c>
      <c r="J3453" s="13" t="n">
        <v>57</v>
      </c>
      <c r="K3453" s="1" t="inlineStr"/>
      <c r="L3453" s="13" t="n">
        <v>57</v>
      </c>
      <c r="M3453" s="1">
        <f>IF(L3453="","ไม่พบใน SG",IF(ABS(J3453-L3453)&lt;0.005,"ตรงกัน","ไม่ตรง"))</f>
        <v/>
      </c>
      <c r="N3453" s="14">
        <f>IF(L3453="","",ROUND(L3453*'สรุป'!$C$6,-1))</f>
        <v/>
      </c>
      <c r="O3453" s="15" t="n"/>
      <c r="P3453" s="15" t="n"/>
      <c r="Q3453" s="10" t="n"/>
      <c r="R3453" s="10" t="n"/>
      <c r="S3453" s="16" t="inlineStr">
        <is>
          <t>https://mstgolf.co.th/products/gf3500201372</t>
        </is>
      </c>
      <c r="T3453" s="1">
        <f>IF(B3453="ไม้กอล์ฟ",J3453,"")</f>
        <v/>
      </c>
    </row>
    <row r="3454">
      <c r="A3454" s="1" t="n">
        <v>3</v>
      </c>
      <c r="B3454" s="1" t="inlineStr">
        <is>
          <t>อุปกรณ์เสริม</t>
        </is>
      </c>
      <c r="C3454" s="1" t="inlineStr">
        <is>
          <t>gf3500201350</t>
        </is>
      </c>
      <c r="D3454" s="1" t="inlineStr">
        <is>
          <t>TAYLORMADE Stretch Bore Iron Cover (Black/Red)</t>
        </is>
      </c>
      <c r="E3454" s="1" t="inlineStr">
        <is>
          <t>TAYLORMADE</t>
        </is>
      </c>
      <c r="F3454" s="1" t="inlineStr">
        <is>
          <t>HEADCOVERS</t>
        </is>
      </c>
      <c r="G3454" s="1" t="inlineStr">
        <is>
          <t>GF3500201350</t>
        </is>
      </c>
      <c r="H3454" s="1" t="n">
        <v>1</v>
      </c>
      <c r="I3454" s="1" t="inlineStr">
        <is>
          <t>มี</t>
        </is>
      </c>
      <c r="J3454" s="13" t="n">
        <v>57</v>
      </c>
      <c r="K3454" s="1" t="inlineStr"/>
      <c r="L3454" s="13" t="n">
        <v>57</v>
      </c>
      <c r="M3454" s="1">
        <f>IF(L3454="","ไม่พบใน SG",IF(ABS(J3454-L3454)&lt;0.005,"ตรงกัน","ไม่ตรง"))</f>
        <v/>
      </c>
      <c r="N3454" s="14">
        <f>IF(L3454="","",ROUND(L3454*'สรุป'!$C$6,-1))</f>
        <v/>
      </c>
      <c r="O3454" s="15" t="n"/>
      <c r="P3454" s="15" t="n"/>
      <c r="Q3454" s="10" t="n"/>
      <c r="R3454" s="10" t="n"/>
      <c r="S3454" s="16" t="inlineStr">
        <is>
          <t>https://mstgolf.co.th/products/gf3500201350</t>
        </is>
      </c>
      <c r="T3454" s="1">
        <f>IF(B3454="ไม้กอล์ฟ",J3454,"")</f>
        <v/>
      </c>
    </row>
    <row r="3455">
      <c r="A3455" s="1" t="n">
        <v>3</v>
      </c>
      <c r="B3455" s="1" t="inlineStr">
        <is>
          <t>อุปกรณ์เสริม</t>
        </is>
      </c>
      <c r="C3455" s="1" t="inlineStr">
        <is>
          <t>gf3500201379</t>
        </is>
      </c>
      <c r="D3455" s="1" t="inlineStr">
        <is>
          <t>TAYLORMADE Summer Commemorative Fairway Headcover</t>
        </is>
      </c>
      <c r="E3455" s="1" t="inlineStr">
        <is>
          <t>TAYLORMADE</t>
        </is>
      </c>
      <c r="F3455" s="1" t="inlineStr">
        <is>
          <t>HEADCOVERS</t>
        </is>
      </c>
      <c r="G3455" s="1" t="inlineStr">
        <is>
          <t>GF3500201379</t>
        </is>
      </c>
      <c r="H3455" s="1" t="n">
        <v>1</v>
      </c>
      <c r="I3455" s="1" t="inlineStr">
        <is>
          <t>มี</t>
        </is>
      </c>
      <c r="J3455" s="13" t="n">
        <v>57</v>
      </c>
      <c r="K3455" s="1" t="inlineStr"/>
      <c r="L3455" s="13" t="n"/>
      <c r="M3455" s="1">
        <f>IF(L3455="","ไม่พบใน SG",IF(ABS(J3455-L3455)&lt;0.005,"ตรงกัน","ไม่ตรง"))</f>
        <v/>
      </c>
      <c r="N3455" s="14">
        <f>IF(L3455="","",ROUND(L3455*'สรุป'!$C$6,-1))</f>
        <v/>
      </c>
      <c r="O3455" s="15" t="n"/>
      <c r="P3455" s="15" t="n"/>
      <c r="Q3455" s="10" t="n"/>
      <c r="R3455" s="10" t="n"/>
      <c r="S3455" s="16" t="inlineStr">
        <is>
          <t>https://mstgolf.co.th/products/gf3500201379</t>
        </is>
      </c>
      <c r="T3455" s="1">
        <f>IF(B3455="ไม้กอล์ฟ",J3455,"")</f>
        <v/>
      </c>
    </row>
    <row r="3456">
      <c r="A3456" s="1" t="n">
        <v>3</v>
      </c>
      <c r="B3456" s="1" t="inlineStr">
        <is>
          <t>อุปกรณ์เสริม</t>
        </is>
      </c>
      <c r="C3456" s="1" t="inlineStr">
        <is>
          <t>gf3500201380</t>
        </is>
      </c>
      <c r="D3456" s="1" t="inlineStr">
        <is>
          <t>TAYLORMADE Summer Commemorative Putter Headcover</t>
        </is>
      </c>
      <c r="E3456" s="1" t="inlineStr">
        <is>
          <t>TAYLORMADE</t>
        </is>
      </c>
      <c r="F3456" s="1" t="inlineStr">
        <is>
          <t>HEADCOVERS</t>
        </is>
      </c>
      <c r="G3456" s="1" t="inlineStr">
        <is>
          <t>GF3500201380</t>
        </is>
      </c>
      <c r="H3456" s="1" t="n">
        <v>1</v>
      </c>
      <c r="I3456" s="1" t="inlineStr">
        <is>
          <t>มี</t>
        </is>
      </c>
      <c r="J3456" s="13" t="n">
        <v>57</v>
      </c>
      <c r="K3456" s="1" t="inlineStr"/>
      <c r="L3456" s="13" t="n">
        <v>57</v>
      </c>
      <c r="M3456" s="1">
        <f>IF(L3456="","ไม่พบใน SG",IF(ABS(J3456-L3456)&lt;0.005,"ตรงกัน","ไม่ตรง"))</f>
        <v/>
      </c>
      <c r="N3456" s="14">
        <f>IF(L3456="","",ROUND(L3456*'สรุป'!$C$6,-1))</f>
        <v/>
      </c>
      <c r="O3456" s="15" t="n"/>
      <c r="P3456" s="15" t="n"/>
      <c r="Q3456" s="10" t="n"/>
      <c r="R3456" s="10" t="n"/>
      <c r="S3456" s="16" t="inlineStr">
        <is>
          <t>https://mstgolf.co.th/products/gf3500201380</t>
        </is>
      </c>
      <c r="T3456" s="1">
        <f>IF(B3456="ไม้กอล์ฟ",J3456,"")</f>
        <v/>
      </c>
    </row>
    <row r="3457">
      <c r="A3457" s="1" t="n">
        <v>3</v>
      </c>
      <c r="B3457" s="1" t="inlineStr">
        <is>
          <t>เสื้อผ้า</t>
        </is>
      </c>
      <c r="C3457" s="1" t="inlineStr">
        <is>
          <t>gf2040117350</t>
        </is>
      </c>
      <c r="D3457" s="1" t="inlineStr">
        <is>
          <t>UNDER ARMOUR Iso-Chill Women's Sleeveless Polo (Red Solstice)</t>
        </is>
      </c>
      <c r="E3457" s="1" t="inlineStr">
        <is>
          <t>UNDER ARMOUR</t>
        </is>
      </c>
      <c r="F3457" s="1" t="inlineStr">
        <is>
          <t>SHORT SLEEVES</t>
        </is>
      </c>
      <c r="G3457" s="1" t="inlineStr">
        <is>
          <t>GF2040117350XS</t>
        </is>
      </c>
      <c r="H3457" s="1" t="n">
        <v>5</v>
      </c>
      <c r="I3457" s="1" t="inlineStr">
        <is>
          <t>มี</t>
        </is>
      </c>
      <c r="J3457" s="13" t="n">
        <v>57</v>
      </c>
      <c r="K3457" s="1" t="inlineStr"/>
      <c r="L3457" s="13" t="n">
        <v>57</v>
      </c>
      <c r="M3457" s="1">
        <f>IF(L3457="","ไม่พบใน SG",IF(ABS(J3457-L3457)&lt;0.005,"ตรงกัน","ไม่ตรง"))</f>
        <v/>
      </c>
      <c r="N3457" s="14">
        <f>IF(L3457="","",ROUND(L3457*'สรุป'!$C$6,-1))</f>
        <v/>
      </c>
      <c r="O3457" s="15" t="n"/>
      <c r="P3457" s="15" t="n"/>
      <c r="Q3457" s="10" t="n"/>
      <c r="R3457" s="10" t="n"/>
      <c r="S3457" s="16" t="inlineStr">
        <is>
          <t>https://mstgolf.co.th/products/gf2040117350</t>
        </is>
      </c>
      <c r="T3457" s="1">
        <f>IF(B3457="ไม้กอล์ฟ",J3457,"")</f>
        <v/>
      </c>
    </row>
    <row r="3458">
      <c r="A3458" s="1" t="n">
        <v>3</v>
      </c>
      <c r="B3458" s="1" t="inlineStr">
        <is>
          <t>เสื้อผ้า</t>
        </is>
      </c>
      <c r="C3458" s="1" t="inlineStr">
        <is>
          <t>gf2020102168</t>
        </is>
      </c>
      <c r="D3458" s="1" t="inlineStr">
        <is>
          <t>ADIDAS 4-Way Stretch Women's Pants (Black)</t>
        </is>
      </c>
      <c r="E3458" s="1" t="inlineStr">
        <is>
          <t>ADIDAS</t>
        </is>
      </c>
      <c r="F3458" s="1" t="inlineStr">
        <is>
          <t>LONG PANTS</t>
        </is>
      </c>
      <c r="G3458" s="1" t="inlineStr">
        <is>
          <t>GF2020102168XS</t>
        </is>
      </c>
      <c r="H3458" s="1" t="n">
        <v>6</v>
      </c>
      <c r="I3458" s="1" t="inlineStr">
        <is>
          <t>มี</t>
        </is>
      </c>
      <c r="J3458" s="13" t="n">
        <v>55</v>
      </c>
      <c r="K3458" s="1" t="inlineStr"/>
      <c r="L3458" s="13" t="n">
        <v>55</v>
      </c>
      <c r="M3458" s="1">
        <f>IF(L3458="","ไม่พบใน SG",IF(ABS(J3458-L3458)&lt;0.005,"ตรงกัน","ไม่ตรง"))</f>
        <v/>
      </c>
      <c r="N3458" s="14">
        <f>IF(L3458="","",ROUND(L3458*'สรุป'!$C$6,-1))</f>
        <v/>
      </c>
      <c r="O3458" s="15" t="n"/>
      <c r="P3458" s="15" t="n"/>
      <c r="Q3458" s="10" t="n"/>
      <c r="R3458" s="10" t="n"/>
      <c r="S3458" s="16" t="inlineStr">
        <is>
          <t>https://mstgolf.co.th/products/gf2020102168</t>
        </is>
      </c>
      <c r="T3458" s="1">
        <f>IF(B3458="ไม้กอล์ฟ",J3458,"")</f>
        <v/>
      </c>
    </row>
    <row r="3459">
      <c r="A3459" s="1" t="n">
        <v>3</v>
      </c>
      <c r="B3459" s="1" t="inlineStr">
        <is>
          <t>เสื้อผ้า</t>
        </is>
      </c>
      <c r="C3459" s="1" t="inlineStr">
        <is>
          <t>gf2020102183</t>
        </is>
      </c>
      <c r="D3459" s="1" t="inlineStr">
        <is>
          <t>ADIDAS Adicross Men's Golf Pants (Yellow)</t>
        </is>
      </c>
      <c r="E3459" s="1" t="inlineStr">
        <is>
          <t>ADIDAS</t>
        </is>
      </c>
      <c r="F3459" s="1" t="inlineStr">
        <is>
          <t>LONG PANTS</t>
        </is>
      </c>
      <c r="G3459" s="1" t="inlineStr">
        <is>
          <t>GF2020102183XS</t>
        </is>
      </c>
      <c r="H3459" s="1" t="n">
        <v>6</v>
      </c>
      <c r="I3459" s="1" t="inlineStr">
        <is>
          <t>มี</t>
        </is>
      </c>
      <c r="J3459" s="13" t="n">
        <v>55</v>
      </c>
      <c r="K3459" s="1" t="inlineStr"/>
      <c r="L3459" s="13" t="n">
        <v>55</v>
      </c>
      <c r="M3459" s="1">
        <f>IF(L3459="","ไม่พบใน SG",IF(ABS(J3459-L3459)&lt;0.005,"ตรงกัน","ไม่ตรง"))</f>
        <v/>
      </c>
      <c r="N3459" s="14">
        <f>IF(L3459="","",ROUND(L3459*'สรุป'!$C$6,-1))</f>
        <v/>
      </c>
      <c r="O3459" s="15" t="n"/>
      <c r="P3459" s="15" t="n"/>
      <c r="Q3459" s="10" t="n"/>
      <c r="R3459" s="10" t="n"/>
      <c r="S3459" s="16" t="inlineStr">
        <is>
          <t>https://mstgolf.co.th/products/gf2020102183</t>
        </is>
      </c>
      <c r="T3459" s="1">
        <f>IF(B3459="ไม้กอล์ฟ",J3459,"")</f>
        <v/>
      </c>
    </row>
    <row r="3460">
      <c r="A3460" s="1" t="n">
        <v>3</v>
      </c>
      <c r="B3460" s="1" t="inlineStr">
        <is>
          <t>เสื้อผ้า</t>
        </is>
      </c>
      <c r="C3460" s="1" t="inlineStr">
        <is>
          <t>gf2040120551</t>
        </is>
      </c>
      <c r="D3460" s="1" t="inlineStr">
        <is>
          <t>ADIDAS HEAT. RDY Women's Mock Shirt (Navy)</t>
        </is>
      </c>
      <c r="E3460" s="1" t="inlineStr">
        <is>
          <t>ADIDAS</t>
        </is>
      </c>
      <c r="F3460" s="1" t="inlineStr">
        <is>
          <t>SHORT SLEEVES</t>
        </is>
      </c>
      <c r="G3460" s="1" t="inlineStr">
        <is>
          <t>GF2040120551XS</t>
        </is>
      </c>
      <c r="H3460" s="1" t="n">
        <v>6</v>
      </c>
      <c r="I3460" s="1" t="inlineStr">
        <is>
          <t>มี</t>
        </is>
      </c>
      <c r="J3460" s="13" t="n">
        <v>55</v>
      </c>
      <c r="K3460" s="1" t="inlineStr"/>
      <c r="L3460" s="13" t="n">
        <v>39</v>
      </c>
      <c r="M3460" s="1">
        <f>IF(L3460="","ไม่พบใน SG",IF(ABS(J3460-L3460)&lt;0.005,"ตรงกัน","ไม่ตรง"))</f>
        <v/>
      </c>
      <c r="N3460" s="14">
        <f>IF(L3460="","",ROUND(L3460*'สรุป'!$C$6,-1))</f>
        <v/>
      </c>
      <c r="O3460" s="15" t="n"/>
      <c r="P3460" s="15" t="n"/>
      <c r="Q3460" s="10" t="n"/>
      <c r="R3460" s="10" t="n"/>
      <c r="S3460" s="16" t="inlineStr">
        <is>
          <t>https://mstgolf.co.th/products/gf2040120551</t>
        </is>
      </c>
      <c r="T3460" s="1">
        <f>IF(B3460="ไม้กอล์ฟ",J3460,"")</f>
        <v/>
      </c>
    </row>
    <row r="3461">
      <c r="A3461" s="1" t="n">
        <v>3</v>
      </c>
      <c r="B3461" s="1" t="inlineStr">
        <is>
          <t>เสื้อผ้า</t>
        </is>
      </c>
      <c r="C3461" s="1" t="inlineStr">
        <is>
          <t>gf2040115774</t>
        </is>
      </c>
      <c r="D3461" s="1" t="inlineStr">
        <is>
          <t>ADIDAS HEAT.RDY Women's Polo (White)</t>
        </is>
      </c>
      <c r="E3461" s="1" t="inlineStr">
        <is>
          <t>ADIDAS</t>
        </is>
      </c>
      <c r="F3461" s="1" t="inlineStr">
        <is>
          <t>SHORT SLEEVES</t>
        </is>
      </c>
      <c r="G3461" s="1" t="inlineStr">
        <is>
          <t>GF20401157742XS</t>
        </is>
      </c>
      <c r="H3461" s="1" t="n">
        <v>7</v>
      </c>
      <c r="I3461" s="1" t="inlineStr">
        <is>
          <t>มี</t>
        </is>
      </c>
      <c r="J3461" s="13" t="n">
        <v>55</v>
      </c>
      <c r="K3461" s="1" t="inlineStr"/>
      <c r="L3461" s="13" t="n">
        <v>55</v>
      </c>
      <c r="M3461" s="1">
        <f>IF(L3461="","ไม่พบใน SG",IF(ABS(J3461-L3461)&lt;0.005,"ตรงกัน","ไม่ตรง"))</f>
        <v/>
      </c>
      <c r="N3461" s="14">
        <f>IF(L3461="","",ROUND(L3461*'สรุป'!$C$6,-1))</f>
        <v/>
      </c>
      <c r="O3461" s="15" t="n"/>
      <c r="P3461" s="15" t="n"/>
      <c r="Q3461" s="10" t="n"/>
      <c r="R3461" s="10" t="n"/>
      <c r="S3461" s="16" t="inlineStr">
        <is>
          <t>https://mstgolf.co.th/products/gf2040115774</t>
        </is>
      </c>
      <c r="T3461" s="1">
        <f>IF(B3461="ไม้กอล์ฟ",J3461,"")</f>
        <v/>
      </c>
    </row>
    <row r="3462">
      <c r="A3462" s="1" t="n">
        <v>3</v>
      </c>
      <c r="B3462" s="1" t="inlineStr">
        <is>
          <t>เสื้อผ้า</t>
        </is>
      </c>
      <c r="C3462" s="1" t="inlineStr">
        <is>
          <t>gf2020102261</t>
        </is>
      </c>
      <c r="D3462" s="1" t="inlineStr">
        <is>
          <t>ADIDAS HEAT.RDY Woven 9/10 Men's Jogger Pants (Ink)</t>
        </is>
      </c>
      <c r="E3462" s="1" t="inlineStr">
        <is>
          <t>ADIDAS</t>
        </is>
      </c>
      <c r="F3462" s="1" t="inlineStr">
        <is>
          <t>LONG PANTS</t>
        </is>
      </c>
      <c r="G3462" s="1" t="inlineStr">
        <is>
          <t>GF20201022612XL</t>
        </is>
      </c>
      <c r="H3462" s="1" t="n">
        <v>15</v>
      </c>
      <c r="I3462" s="1" t="inlineStr">
        <is>
          <t>มี</t>
        </is>
      </c>
      <c r="J3462" s="13" t="n">
        <v>55</v>
      </c>
      <c r="K3462" s="1" t="inlineStr"/>
      <c r="L3462" s="13" t="n">
        <v>55</v>
      </c>
      <c r="M3462" s="1">
        <f>IF(L3462="","ไม่พบใน SG",IF(ABS(J3462-L3462)&lt;0.005,"ตรงกัน","ไม่ตรง"))</f>
        <v/>
      </c>
      <c r="N3462" s="14">
        <f>IF(L3462="","",ROUND(L3462*'สรุป'!$C$6,-1))</f>
        <v/>
      </c>
      <c r="O3462" s="15" t="n"/>
      <c r="P3462" s="15" t="n"/>
      <c r="Q3462" s="10" t="n"/>
      <c r="R3462" s="10" t="n"/>
      <c r="S3462" s="16" t="inlineStr">
        <is>
          <t>https://mstgolf.co.th/products/gf2020102261</t>
        </is>
      </c>
      <c r="T3462" s="1">
        <f>IF(B3462="ไม้กอล์ฟ",J3462,"")</f>
        <v/>
      </c>
    </row>
    <row r="3463">
      <c r="A3463" s="1" t="n">
        <v>3</v>
      </c>
      <c r="B3463" s="1" t="inlineStr">
        <is>
          <t>เสื้อผ้า</t>
        </is>
      </c>
      <c r="C3463" s="1" t="inlineStr">
        <is>
          <t>gf2020102172</t>
        </is>
      </c>
      <c r="D3463" s="1" t="inlineStr">
        <is>
          <t>ADIDAS PLAY GREEN LOGO PANTS</t>
        </is>
      </c>
      <c r="E3463" s="1" t="inlineStr">
        <is>
          <t>ADIDAS</t>
        </is>
      </c>
      <c r="F3463" s="1" t="inlineStr">
        <is>
          <t>LONG PANTS</t>
        </is>
      </c>
      <c r="G3463" s="1" t="inlineStr">
        <is>
          <t>GF202010217273</t>
        </is>
      </c>
      <c r="H3463" s="1" t="n">
        <v>7</v>
      </c>
      <c r="I3463" s="1" t="inlineStr">
        <is>
          <t>มี</t>
        </is>
      </c>
      <c r="J3463" s="13" t="n">
        <v>55</v>
      </c>
      <c r="K3463" s="1" t="inlineStr"/>
      <c r="L3463" s="13" t="n">
        <v>55</v>
      </c>
      <c r="M3463" s="1">
        <f>IF(L3463="","ไม่พบใน SG",IF(ABS(J3463-L3463)&lt;0.005,"ตรงกัน","ไม่ตรง"))</f>
        <v/>
      </c>
      <c r="N3463" s="14">
        <f>IF(L3463="","",ROUND(L3463*'สรุป'!$C$6,-1))</f>
        <v/>
      </c>
      <c r="O3463" s="15" t="n"/>
      <c r="P3463" s="15" t="n"/>
      <c r="Q3463" s="10" t="n"/>
      <c r="R3463" s="10" t="n"/>
      <c r="S3463" s="16" t="inlineStr">
        <is>
          <t>https://mstgolf.co.th/products/gf2020102172</t>
        </is>
      </c>
      <c r="T3463" s="1">
        <f>IF(B3463="ไม้กอล์ฟ",J3463,"")</f>
        <v/>
      </c>
    </row>
    <row r="3464">
      <c r="A3464" s="1" t="n">
        <v>3</v>
      </c>
      <c r="B3464" s="1" t="inlineStr">
        <is>
          <t>เสื้อผ้า</t>
        </is>
      </c>
      <c r="C3464" s="1" t="inlineStr">
        <is>
          <t>gf2020102274</t>
        </is>
      </c>
      <c r="D3464" s="1" t="inlineStr">
        <is>
          <t>ADIDAS Stretch Boot Cut Women's Pants (Black)</t>
        </is>
      </c>
      <c r="E3464" s="1" t="inlineStr">
        <is>
          <t>ADIDAS</t>
        </is>
      </c>
      <c r="F3464" s="1" t="inlineStr">
        <is>
          <t>LONG PANTS</t>
        </is>
      </c>
      <c r="G3464" s="1" t="inlineStr">
        <is>
          <t>GF2020102274XS</t>
        </is>
      </c>
      <c r="H3464" s="1" t="n">
        <v>6</v>
      </c>
      <c r="I3464" s="1" t="inlineStr">
        <is>
          <t>มี</t>
        </is>
      </c>
      <c r="J3464" s="13" t="n">
        <v>55</v>
      </c>
      <c r="K3464" s="1" t="inlineStr"/>
      <c r="L3464" s="13" t="n">
        <v>55</v>
      </c>
      <c r="M3464" s="1">
        <f>IF(L3464="","ไม่พบใน SG",IF(ABS(J3464-L3464)&lt;0.005,"ตรงกัน","ไม่ตรง"))</f>
        <v/>
      </c>
      <c r="N3464" s="14">
        <f>IF(L3464="","",ROUND(L3464*'สรุป'!$C$6,-1))</f>
        <v/>
      </c>
      <c r="O3464" s="15" t="n"/>
      <c r="P3464" s="15" t="n"/>
      <c r="Q3464" s="10" t="n"/>
      <c r="R3464" s="10" t="n"/>
      <c r="S3464" s="16" t="inlineStr">
        <is>
          <t>https://mstgolf.co.th/products/gf2020102274</t>
        </is>
      </c>
      <c r="T3464" s="1">
        <f>IF(B3464="ไม้กอล์ฟ",J3464,"")</f>
        <v/>
      </c>
    </row>
    <row r="3465">
      <c r="A3465" s="1" t="n">
        <v>3</v>
      </c>
      <c r="B3465" s="1" t="inlineStr">
        <is>
          <t>เสื้อผ้า</t>
        </is>
      </c>
      <c r="C3465" s="1" t="inlineStr">
        <is>
          <t>gf2040119465</t>
        </is>
      </c>
      <c r="D3465" s="1" t="inlineStr">
        <is>
          <t>ADIDAS Ultimate365 Diamond Jacquard Men's Polo (Navy)</t>
        </is>
      </c>
      <c r="E3465" s="1" t="inlineStr">
        <is>
          <t>ADIDAS</t>
        </is>
      </c>
      <c r="F3465" s="1" t="inlineStr">
        <is>
          <t>SHORT SLEEVES</t>
        </is>
      </c>
      <c r="G3465" s="1" t="inlineStr">
        <is>
          <t>GF20401194652XS</t>
        </is>
      </c>
      <c r="H3465" s="1" t="n">
        <v>7</v>
      </c>
      <c r="I3465" s="1" t="inlineStr">
        <is>
          <t>มี</t>
        </is>
      </c>
      <c r="J3465" s="13" t="n">
        <v>55</v>
      </c>
      <c r="K3465" s="1" t="inlineStr"/>
      <c r="L3465" s="13" t="n">
        <v>39</v>
      </c>
      <c r="M3465" s="1">
        <f>IF(L3465="","ไม่พบใน SG",IF(ABS(J3465-L3465)&lt;0.005,"ตรงกัน","ไม่ตรง"))</f>
        <v/>
      </c>
      <c r="N3465" s="14">
        <f>IF(L3465="","",ROUND(L3465*'สรุป'!$C$6,-1))</f>
        <v/>
      </c>
      <c r="O3465" s="15" t="n"/>
      <c r="P3465" s="15" t="n"/>
      <c r="Q3465" s="10" t="n"/>
      <c r="R3465" s="10" t="n"/>
      <c r="S3465" s="16" t="inlineStr">
        <is>
          <t>https://mstgolf.co.th/products/gf2040119465</t>
        </is>
      </c>
      <c r="T3465" s="1">
        <f>IF(B3465="ไม้กอล์ฟ",J3465,"")</f>
        <v/>
      </c>
    </row>
    <row r="3466">
      <c r="A3466" s="1" t="n">
        <v>3</v>
      </c>
      <c r="B3466" s="1" t="inlineStr">
        <is>
          <t>เสื้อผ้า</t>
        </is>
      </c>
      <c r="C3466" s="1" t="inlineStr">
        <is>
          <t>gf2020202654</t>
        </is>
      </c>
      <c r="D3466" s="1" t="inlineStr">
        <is>
          <t>ADIDAS Ultimate365 Novelty Men's Shorts (Navy)</t>
        </is>
      </c>
      <c r="E3466" s="1" t="inlineStr">
        <is>
          <t>ADIDAS</t>
        </is>
      </c>
      <c r="F3466" s="1" t="inlineStr">
        <is>
          <t>SHORT PANTS</t>
        </is>
      </c>
      <c r="G3466" s="1" t="inlineStr">
        <is>
          <t>GF202020265473</t>
        </is>
      </c>
      <c r="H3466" s="1" t="n">
        <v>9</v>
      </c>
      <c r="I3466" s="1" t="inlineStr">
        <is>
          <t>มี</t>
        </is>
      </c>
      <c r="J3466" s="13" t="n">
        <v>55</v>
      </c>
      <c r="K3466" s="1" t="inlineStr"/>
      <c r="L3466" s="13" t="n">
        <v>55</v>
      </c>
      <c r="M3466" s="1">
        <f>IF(L3466="","ไม่พบใน SG",IF(ABS(J3466-L3466)&lt;0.005,"ตรงกัน","ไม่ตรง"))</f>
        <v/>
      </c>
      <c r="N3466" s="14">
        <f>IF(L3466="","",ROUND(L3466*'สรุป'!$C$6,-1))</f>
        <v/>
      </c>
      <c r="O3466" s="15" t="n"/>
      <c r="P3466" s="15" t="n"/>
      <c r="Q3466" s="10" t="n"/>
      <c r="R3466" s="10" t="n"/>
      <c r="S3466" s="16" t="inlineStr">
        <is>
          <t>https://mstgolf.co.th/products/gf2020202654</t>
        </is>
      </c>
      <c r="T3466" s="1">
        <f>IF(B3466="ไม้กอล์ฟ",J3466,"")</f>
        <v/>
      </c>
    </row>
    <row r="3467">
      <c r="A3467" s="1" t="n">
        <v>3</v>
      </c>
      <c r="B3467" s="1" t="inlineStr">
        <is>
          <t>เสื้อผ้า</t>
        </is>
      </c>
      <c r="C3467" s="1" t="inlineStr">
        <is>
          <t>gf2040119466</t>
        </is>
      </c>
      <c r="D3467" s="1" t="inlineStr">
        <is>
          <t>ADIDAS Ultimate365 Printed Women's Polo (Silver)</t>
        </is>
      </c>
      <c r="E3467" s="1" t="inlineStr">
        <is>
          <t>ADIDAS</t>
        </is>
      </c>
      <c r="F3467" s="1" t="inlineStr">
        <is>
          <t>SHORT SLEEVES</t>
        </is>
      </c>
      <c r="G3467" s="1" t="inlineStr">
        <is>
          <t>GF20401194662XS</t>
        </is>
      </c>
      <c r="H3467" s="1" t="n">
        <v>7</v>
      </c>
      <c r="I3467" s="1" t="inlineStr">
        <is>
          <t>มี</t>
        </is>
      </c>
      <c r="J3467" s="13" t="n">
        <v>55</v>
      </c>
      <c r="K3467" s="1" t="inlineStr"/>
      <c r="L3467" s="13" t="n">
        <v>39</v>
      </c>
      <c r="M3467" s="1">
        <f>IF(L3467="","ไม่พบใน SG",IF(ABS(J3467-L3467)&lt;0.005,"ตรงกัน","ไม่ตรง"))</f>
        <v/>
      </c>
      <c r="N3467" s="14">
        <f>IF(L3467="","",ROUND(L3467*'สรุป'!$C$6,-1))</f>
        <v/>
      </c>
      <c r="O3467" s="15" t="n"/>
      <c r="P3467" s="15" t="n"/>
      <c r="Q3467" s="10" t="n"/>
      <c r="R3467" s="10" t="n"/>
      <c r="S3467" s="16" t="inlineStr">
        <is>
          <t>https://mstgolf.co.th/products/gf2040119466</t>
        </is>
      </c>
      <c r="T3467" s="1">
        <f>IF(B3467="ไม้กอล์ฟ",J3467,"")</f>
        <v/>
      </c>
    </row>
    <row r="3468">
      <c r="A3468" s="1" t="n">
        <v>3</v>
      </c>
      <c r="B3468" s="1" t="inlineStr">
        <is>
          <t>เสื้อผ้า</t>
        </is>
      </c>
      <c r="C3468" s="1" t="inlineStr">
        <is>
          <t>gf2040120520</t>
        </is>
      </c>
      <c r="D3468" s="1" t="inlineStr">
        <is>
          <t>ADIDAS Ultimate365 Solid Men's Polo (Aqua)</t>
        </is>
      </c>
      <c r="E3468" s="1" t="inlineStr">
        <is>
          <t>ADIDAS</t>
        </is>
      </c>
      <c r="F3468" s="1" t="inlineStr">
        <is>
          <t>SHORT SLEEVES</t>
        </is>
      </c>
      <c r="G3468" s="1" t="inlineStr">
        <is>
          <t>GF20401205202XS</t>
        </is>
      </c>
      <c r="H3468" s="1" t="n">
        <v>7</v>
      </c>
      <c r="I3468" s="1" t="inlineStr">
        <is>
          <t>มี</t>
        </is>
      </c>
      <c r="J3468" s="13" t="n">
        <v>55</v>
      </c>
      <c r="K3468" s="1" t="inlineStr"/>
      <c r="L3468" s="13" t="n">
        <v>39</v>
      </c>
      <c r="M3468" s="1">
        <f>IF(L3468="","ไม่พบใน SG",IF(ABS(J3468-L3468)&lt;0.005,"ตรงกัน","ไม่ตรง"))</f>
        <v/>
      </c>
      <c r="N3468" s="14">
        <f>IF(L3468="","",ROUND(L3468*'สรุป'!$C$6,-1))</f>
        <v/>
      </c>
      <c r="O3468" s="15" t="n"/>
      <c r="P3468" s="15" t="n"/>
      <c r="Q3468" s="10" t="n"/>
      <c r="R3468" s="10" t="n"/>
      <c r="S3468" s="16" t="inlineStr">
        <is>
          <t>https://mstgolf.co.th/products/gf2040120520</t>
        </is>
      </c>
      <c r="T3468" s="1">
        <f>IF(B3468="ไม้กอล์ฟ",J3468,"")</f>
        <v/>
      </c>
    </row>
    <row r="3469">
      <c r="A3469" s="1" t="n">
        <v>3</v>
      </c>
      <c r="B3469" s="1" t="inlineStr">
        <is>
          <t>เสื้อผ้า</t>
        </is>
      </c>
      <c r="C3469" s="1" t="inlineStr">
        <is>
          <t>gf2020202653</t>
        </is>
      </c>
      <c r="D3469" s="1" t="inlineStr">
        <is>
          <t>ADIDAS Ultimate365 Textured Men's Shorts (Grey)</t>
        </is>
      </c>
      <c r="E3469" s="1" t="inlineStr">
        <is>
          <t>ADIDAS</t>
        </is>
      </c>
      <c r="F3469" s="1" t="inlineStr">
        <is>
          <t>SHORT PANTS</t>
        </is>
      </c>
      <c r="G3469" s="1" t="inlineStr">
        <is>
          <t>GF202020265373</t>
        </is>
      </c>
      <c r="H3469" s="1" t="n">
        <v>9</v>
      </c>
      <c r="I3469" s="1" t="inlineStr">
        <is>
          <t>มี</t>
        </is>
      </c>
      <c r="J3469" s="13" t="n">
        <v>55</v>
      </c>
      <c r="K3469" s="1" t="inlineStr"/>
      <c r="L3469" s="13" t="n">
        <v>55</v>
      </c>
      <c r="M3469" s="1">
        <f>IF(L3469="","ไม่พบใน SG",IF(ABS(J3469-L3469)&lt;0.005,"ตรงกัน","ไม่ตรง"))</f>
        <v/>
      </c>
      <c r="N3469" s="14">
        <f>IF(L3469="","",ROUND(L3469*'สรุป'!$C$6,-1))</f>
        <v/>
      </c>
      <c r="O3469" s="15" t="n"/>
      <c r="P3469" s="15" t="n"/>
      <c r="Q3469" s="10" t="n"/>
      <c r="R3469" s="10" t="n"/>
      <c r="S3469" s="16" t="inlineStr">
        <is>
          <t>https://mstgolf.co.th/products/gf2020202653</t>
        </is>
      </c>
      <c r="T3469" s="1">
        <f>IF(B3469="ไม้กอล์ฟ",J3469,"")</f>
        <v/>
      </c>
    </row>
    <row r="3470">
      <c r="A3470" s="1" t="n">
        <v>3</v>
      </c>
      <c r="B3470" s="1" t="inlineStr">
        <is>
          <t>เสื้อผ้า</t>
        </is>
      </c>
      <c r="C3470" s="1" t="inlineStr">
        <is>
          <t>gf2020102125</t>
        </is>
      </c>
      <c r="D3470" s="1" t="inlineStr">
        <is>
          <t>ADIDAS Ultimate365 Tour Nylon Tapered Fit Men's Pants (Black)</t>
        </is>
      </c>
      <c r="E3470" s="1" t="inlineStr">
        <is>
          <t>ADIDAS</t>
        </is>
      </c>
      <c r="F3470" s="1" t="inlineStr">
        <is>
          <t>LONG PANTS</t>
        </is>
      </c>
      <c r="G3470" s="1" t="inlineStr">
        <is>
          <t>GF202010212573</t>
        </is>
      </c>
      <c r="H3470" s="1" t="n">
        <v>7</v>
      </c>
      <c r="I3470" s="1" t="inlineStr">
        <is>
          <t>มี</t>
        </is>
      </c>
      <c r="J3470" s="13" t="n">
        <v>55</v>
      </c>
      <c r="K3470" s="1" t="inlineStr"/>
      <c r="L3470" s="13" t="n">
        <v>55</v>
      </c>
      <c r="M3470" s="1">
        <f>IF(L3470="","ไม่พบใน SG",IF(ABS(J3470-L3470)&lt;0.005,"ตรงกัน","ไม่ตรง"))</f>
        <v/>
      </c>
      <c r="N3470" s="14">
        <f>IF(L3470="","",ROUND(L3470*'สรุป'!$C$6,-1))</f>
        <v/>
      </c>
      <c r="O3470" s="15" t="n"/>
      <c r="P3470" s="15" t="n"/>
      <c r="Q3470" s="10" t="n"/>
      <c r="R3470" s="10" t="n"/>
      <c r="S3470" s="16" t="inlineStr">
        <is>
          <t>https://mstgolf.co.th/products/gf2020102125</t>
        </is>
      </c>
      <c r="T3470" s="1">
        <f>IF(B3470="ไม้กอล์ฟ",J3470,"")</f>
        <v/>
      </c>
    </row>
    <row r="3471">
      <c r="A3471" s="1" t="n">
        <v>3</v>
      </c>
      <c r="B3471" s="1" t="inlineStr">
        <is>
          <t>เสื้อผ้า</t>
        </is>
      </c>
      <c r="C3471" s="1" t="inlineStr">
        <is>
          <t>gf2020102124</t>
        </is>
      </c>
      <c r="D3471" s="1" t="inlineStr">
        <is>
          <t>ADIDAS Ultimate365 Tour Nylon Tapered Fit Men's Pants (Collegiate Navy)</t>
        </is>
      </c>
      <c r="E3471" s="1" t="inlineStr">
        <is>
          <t>ADIDAS</t>
        </is>
      </c>
      <c r="F3471" s="1" t="inlineStr">
        <is>
          <t>LONG PANTS</t>
        </is>
      </c>
      <c r="G3471" s="1" t="inlineStr">
        <is>
          <t>GF202010212473</t>
        </is>
      </c>
      <c r="H3471" s="1" t="n">
        <v>7</v>
      </c>
      <c r="I3471" s="1" t="inlineStr">
        <is>
          <t>มี</t>
        </is>
      </c>
      <c r="J3471" s="13" t="n">
        <v>55</v>
      </c>
      <c r="K3471" s="1" t="inlineStr"/>
      <c r="L3471" s="13" t="n">
        <v>55</v>
      </c>
      <c r="M3471" s="1">
        <f>IF(L3471="","ไม่พบใน SG",IF(ABS(J3471-L3471)&lt;0.005,"ตรงกัน","ไม่ตรง"))</f>
        <v/>
      </c>
      <c r="N3471" s="14">
        <f>IF(L3471="","",ROUND(L3471*'สรุป'!$C$6,-1))</f>
        <v/>
      </c>
      <c r="O3471" s="15" t="n"/>
      <c r="P3471" s="15" t="n"/>
      <c r="Q3471" s="10" t="n"/>
      <c r="R3471" s="10" t="n"/>
      <c r="S3471" s="16" t="inlineStr">
        <is>
          <t>https://mstgolf.co.th/products/gf2020102124</t>
        </is>
      </c>
      <c r="T3471" s="1">
        <f>IF(B3471="ไม้กอล์ฟ",J3471,"")</f>
        <v/>
      </c>
    </row>
    <row r="3472">
      <c r="A3472" s="1" t="n">
        <v>3</v>
      </c>
      <c r="B3472" s="1" t="inlineStr">
        <is>
          <t>หมวก</t>
        </is>
      </c>
      <c r="C3472" s="1" t="inlineStr">
        <is>
          <t>gf2000300290</t>
        </is>
      </c>
      <c r="D3472" s="1" t="inlineStr">
        <is>
          <t>ADIDAS Wide Brim Men's Hat (White)</t>
        </is>
      </c>
      <c r="E3472" s="1" t="inlineStr">
        <is>
          <t>ADIDAS</t>
        </is>
      </c>
      <c r="F3472" s="1" t="inlineStr">
        <is>
          <t>HAT</t>
        </is>
      </c>
      <c r="G3472" s="1" t="inlineStr">
        <is>
          <t>GF2000300290S/M</t>
        </is>
      </c>
      <c r="H3472" s="1" t="n">
        <v>2</v>
      </c>
      <c r="I3472" s="1" t="inlineStr">
        <is>
          <t>มี</t>
        </is>
      </c>
      <c r="J3472" s="13" t="n">
        <v>55</v>
      </c>
      <c r="K3472" s="1" t="inlineStr"/>
      <c r="L3472" s="13" t="n">
        <v>29</v>
      </c>
      <c r="M3472" s="1">
        <f>IF(L3472="","ไม่พบใน SG",IF(ABS(J3472-L3472)&lt;0.005,"ตรงกัน","ไม่ตรง"))</f>
        <v/>
      </c>
      <c r="N3472" s="14">
        <f>IF(L3472="","",ROUND(L3472*'สรุป'!$C$6,-1))</f>
        <v/>
      </c>
      <c r="O3472" s="15" t="n"/>
      <c r="P3472" s="15" t="n"/>
      <c r="Q3472" s="10" t="n"/>
      <c r="R3472" s="10" t="n"/>
      <c r="S3472" s="16" t="inlineStr">
        <is>
          <t>https://mstgolf.co.th/products/gf2000300290</t>
        </is>
      </c>
      <c r="T3472" s="1">
        <f>IF(B3472="ไม้กอล์ฟ",J3472,"")</f>
        <v/>
      </c>
    </row>
    <row r="3473">
      <c r="A3473" s="1" t="n">
        <v>3</v>
      </c>
      <c r="B3473" s="1" t="inlineStr">
        <is>
          <t>เสื้อผ้า</t>
        </is>
      </c>
      <c r="C3473" s="1" t="inlineStr">
        <is>
          <t>gf2020102169</t>
        </is>
      </c>
      <c r="D3473" s="1" t="inlineStr">
        <is>
          <t>ADIDAS Women's Stretch Pants (White)</t>
        </is>
      </c>
      <c r="E3473" s="1" t="inlineStr">
        <is>
          <t>ADIDAS</t>
        </is>
      </c>
      <c r="F3473" s="1" t="inlineStr">
        <is>
          <t>LONG PANTS</t>
        </is>
      </c>
      <c r="G3473" s="1" t="inlineStr">
        <is>
          <t>GF2020102169XS</t>
        </is>
      </c>
      <c r="H3473" s="1" t="n">
        <v>6</v>
      </c>
      <c r="I3473" s="1" t="inlineStr">
        <is>
          <t>มี</t>
        </is>
      </c>
      <c r="J3473" s="13" t="n">
        <v>55</v>
      </c>
      <c r="K3473" s="1" t="inlineStr"/>
      <c r="L3473" s="13" t="n">
        <v>55</v>
      </c>
      <c r="M3473" s="1">
        <f>IF(L3473="","ไม่พบใน SG",IF(ABS(J3473-L3473)&lt;0.005,"ตรงกัน","ไม่ตรง"))</f>
        <v/>
      </c>
      <c r="N3473" s="14">
        <f>IF(L3473="","",ROUND(L3473*'สรุป'!$C$6,-1))</f>
        <v/>
      </c>
      <c r="O3473" s="15" t="n"/>
      <c r="P3473" s="15" t="n"/>
      <c r="Q3473" s="10" t="n"/>
      <c r="R3473" s="10" t="n"/>
      <c r="S3473" s="16" t="inlineStr">
        <is>
          <t>https://mstgolf.co.th/products/gf2020102169</t>
        </is>
      </c>
      <c r="T3473" s="1">
        <f>IF(B3473="ไม้กอล์ฟ",J3473,"")</f>
        <v/>
      </c>
    </row>
    <row r="3474">
      <c r="A3474" s="1" t="n">
        <v>3</v>
      </c>
      <c r="B3474" s="1" t="inlineStr">
        <is>
          <t>เสื้อผ้า</t>
        </is>
      </c>
      <c r="C3474" s="1" t="inlineStr">
        <is>
          <t>gf2040115413</t>
        </is>
      </c>
      <c r="D3474" s="1" t="inlineStr">
        <is>
          <t>CALVIN KLEIN Canisteo Women's Polo (Heritage Blue)</t>
        </is>
      </c>
      <c r="E3474" s="1" t="inlineStr">
        <is>
          <t>CALVIN KLEIN</t>
        </is>
      </c>
      <c r="F3474" s="1" t="inlineStr">
        <is>
          <t>SHORT SLEEVES</t>
        </is>
      </c>
      <c r="G3474" s="1" t="inlineStr">
        <is>
          <t>GF20401154138</t>
        </is>
      </c>
      <c r="H3474" s="1" t="n">
        <v>6</v>
      </c>
      <c r="I3474" s="1" t="inlineStr">
        <is>
          <t>มี</t>
        </is>
      </c>
      <c r="J3474" s="13" t="n">
        <v>55</v>
      </c>
      <c r="K3474" s="1" t="inlineStr"/>
      <c r="L3474" s="13" t="n">
        <v>45</v>
      </c>
      <c r="M3474" s="1">
        <f>IF(L3474="","ไม่พบใน SG",IF(ABS(J3474-L3474)&lt;0.005,"ตรงกัน","ไม่ตรง"))</f>
        <v/>
      </c>
      <c r="N3474" s="14">
        <f>IF(L3474="","",ROUND(L3474*'สรุป'!$C$6,-1))</f>
        <v/>
      </c>
      <c r="O3474" s="15" t="n"/>
      <c r="P3474" s="15" t="n"/>
      <c r="Q3474" s="10" t="n"/>
      <c r="R3474" s="10" t="n"/>
      <c r="S3474" s="16" t="inlineStr">
        <is>
          <t>https://mstgolf.co.th/products/gf2040115413</t>
        </is>
      </c>
      <c r="T3474" s="1">
        <f>IF(B3474="ไม้กอล์ฟ",J3474,"")</f>
        <v/>
      </c>
    </row>
    <row r="3475">
      <c r="A3475" s="1" t="n">
        <v>3</v>
      </c>
      <c r="B3475" s="1" t="inlineStr">
        <is>
          <t>เสื้อผ้า</t>
        </is>
      </c>
      <c r="C3475" s="1" t="inlineStr">
        <is>
          <t>gf2040117590</t>
        </is>
      </c>
      <c r="D3475" s="1" t="inlineStr">
        <is>
          <t>CALVIN KLEIN Canvas Print Women's Sleeveless Polo (Peach)</t>
        </is>
      </c>
      <c r="E3475" s="1" t="inlineStr">
        <is>
          <t>CALVIN KLEIN</t>
        </is>
      </c>
      <c r="F3475" s="1" t="inlineStr">
        <is>
          <t>SHORT SLEEVES</t>
        </is>
      </c>
      <c r="G3475" s="1" t="inlineStr">
        <is>
          <t>GF2040117590XS</t>
        </is>
      </c>
      <c r="H3475" s="1" t="n">
        <v>5</v>
      </c>
      <c r="I3475" s="1" t="inlineStr">
        <is>
          <t>มี</t>
        </is>
      </c>
      <c r="J3475" s="13" t="n">
        <v>55</v>
      </c>
      <c r="K3475" s="1" t="inlineStr"/>
      <c r="L3475" s="13" t="n">
        <v>39</v>
      </c>
      <c r="M3475" s="1">
        <f>IF(L3475="","ไม่พบใน SG",IF(ABS(J3475-L3475)&lt;0.005,"ตรงกัน","ไม่ตรง"))</f>
        <v/>
      </c>
      <c r="N3475" s="14">
        <f>IF(L3475="","",ROUND(L3475*'สรุป'!$C$6,-1))</f>
        <v/>
      </c>
      <c r="O3475" s="15" t="n"/>
      <c r="P3475" s="15" t="n"/>
      <c r="Q3475" s="10" t="n"/>
      <c r="R3475" s="10" t="n"/>
      <c r="S3475" s="16" t="inlineStr">
        <is>
          <t>https://mstgolf.co.th/products/gf2040117590</t>
        </is>
      </c>
      <c r="T3475" s="1">
        <f>IF(B3475="ไม้กอล์ฟ",J3475,"")</f>
        <v/>
      </c>
    </row>
    <row r="3476">
      <c r="A3476" s="1" t="n">
        <v>3</v>
      </c>
      <c r="B3476" s="1" t="inlineStr">
        <is>
          <t>เสื้อผ้า</t>
        </is>
      </c>
      <c r="C3476" s="1" t="inlineStr">
        <is>
          <t>gf2040115417</t>
        </is>
      </c>
      <c r="D3476" s="1" t="inlineStr">
        <is>
          <t>CALVIN KLEIN Crackle Women's Polo (Heritage Blue)</t>
        </is>
      </c>
      <c r="E3476" s="1" t="inlineStr">
        <is>
          <t>CALVIN KLEIN</t>
        </is>
      </c>
      <c r="F3476" s="1" t="inlineStr">
        <is>
          <t>SHORT SLEEVES</t>
        </is>
      </c>
      <c r="G3476" s="1" t="inlineStr">
        <is>
          <t>GF20401154178</t>
        </is>
      </c>
      <c r="H3476" s="1" t="n">
        <v>6</v>
      </c>
      <c r="I3476" s="1" t="inlineStr">
        <is>
          <t>มี</t>
        </is>
      </c>
      <c r="J3476" s="13" t="n">
        <v>55</v>
      </c>
      <c r="K3476" s="1" t="inlineStr"/>
      <c r="L3476" s="13" t="n">
        <v>45</v>
      </c>
      <c r="M3476" s="1">
        <f>IF(L3476="","ไม่พบใน SG",IF(ABS(J3476-L3476)&lt;0.005,"ตรงกัน","ไม่ตรง"))</f>
        <v/>
      </c>
      <c r="N3476" s="14">
        <f>IF(L3476="","",ROUND(L3476*'สรุป'!$C$6,-1))</f>
        <v/>
      </c>
      <c r="O3476" s="15" t="n"/>
      <c r="P3476" s="15" t="n"/>
      <c r="Q3476" s="10" t="n"/>
      <c r="R3476" s="10" t="n"/>
      <c r="S3476" s="16" t="inlineStr">
        <is>
          <t>https://mstgolf.co.th/products/gf2040115417</t>
        </is>
      </c>
      <c r="T3476" s="1">
        <f>IF(B3476="ไม้กอล์ฟ",J3476,"")</f>
        <v/>
      </c>
    </row>
    <row r="3477">
      <c r="A3477" s="1" t="n">
        <v>3</v>
      </c>
      <c r="B3477" s="1" t="inlineStr">
        <is>
          <t>เสื้อผ้า</t>
        </is>
      </c>
      <c r="C3477" s="1" t="inlineStr">
        <is>
          <t>gf2040115418</t>
        </is>
      </c>
      <c r="D3477" s="1" t="inlineStr">
        <is>
          <t>CALVIN KLEIN Crackle Women's Polo (Orchid)</t>
        </is>
      </c>
      <c r="E3477" s="1" t="inlineStr">
        <is>
          <t>CALVIN KLEIN</t>
        </is>
      </c>
      <c r="F3477" s="1" t="inlineStr">
        <is>
          <t>SHORT SLEEVES</t>
        </is>
      </c>
      <c r="G3477" s="1" t="inlineStr">
        <is>
          <t>GF20401154188</t>
        </is>
      </c>
      <c r="H3477" s="1" t="n">
        <v>6</v>
      </c>
      <c r="I3477" s="1" t="inlineStr">
        <is>
          <t>มี</t>
        </is>
      </c>
      <c r="J3477" s="13" t="n">
        <v>55</v>
      </c>
      <c r="K3477" s="1" t="inlineStr"/>
      <c r="L3477" s="13" t="n">
        <v>55</v>
      </c>
      <c r="M3477" s="1">
        <f>IF(L3477="","ไม่พบใน SG",IF(ABS(J3477-L3477)&lt;0.005,"ตรงกัน","ไม่ตรง"))</f>
        <v/>
      </c>
      <c r="N3477" s="14">
        <f>IF(L3477="","",ROUND(L3477*'สรุป'!$C$6,-1))</f>
        <v/>
      </c>
      <c r="O3477" s="15" t="n"/>
      <c r="P3477" s="15" t="n"/>
      <c r="Q3477" s="10" t="n"/>
      <c r="R3477" s="10" t="n"/>
      <c r="S3477" s="16" t="inlineStr">
        <is>
          <t>https://mstgolf.co.th/products/gf2040115418</t>
        </is>
      </c>
      <c r="T3477" s="1">
        <f>IF(B3477="ไม้กอล์ฟ",J3477,"")</f>
        <v/>
      </c>
    </row>
    <row r="3478">
      <c r="A3478" s="1" t="n">
        <v>3</v>
      </c>
      <c r="B3478" s="1" t="inlineStr">
        <is>
          <t>เสื้อผ้า</t>
        </is>
      </c>
      <c r="C3478" s="1" t="inlineStr">
        <is>
          <t>gf2040117525</t>
        </is>
      </c>
      <c r="D3478" s="1" t="inlineStr">
        <is>
          <t>CALVIN KLEIN Delaware Women's Sleeveless Polo (Berry Pink)</t>
        </is>
      </c>
      <c r="E3478" s="1" t="inlineStr">
        <is>
          <t>CALVIN KLEIN</t>
        </is>
      </c>
      <c r="F3478" s="1" t="inlineStr">
        <is>
          <t>SHORT SLEEVES</t>
        </is>
      </c>
      <c r="G3478" s="1" t="inlineStr">
        <is>
          <t>GF20401175258</t>
        </is>
      </c>
      <c r="H3478" s="1" t="n">
        <v>6</v>
      </c>
      <c r="I3478" s="1" t="inlineStr">
        <is>
          <t>มี</t>
        </is>
      </c>
      <c r="J3478" s="13" t="n">
        <v>55</v>
      </c>
      <c r="K3478" s="1" t="inlineStr"/>
      <c r="L3478" s="13" t="n">
        <v>39</v>
      </c>
      <c r="M3478" s="1">
        <f>IF(L3478="","ไม่พบใน SG",IF(ABS(J3478-L3478)&lt;0.005,"ตรงกัน","ไม่ตรง"))</f>
        <v/>
      </c>
      <c r="N3478" s="14">
        <f>IF(L3478="","",ROUND(L3478*'สรุป'!$C$6,-1))</f>
        <v/>
      </c>
      <c r="O3478" s="15" t="n"/>
      <c r="P3478" s="15" t="n"/>
      <c r="Q3478" s="10" t="n"/>
      <c r="R3478" s="10" t="n"/>
      <c r="S3478" s="16" t="inlineStr">
        <is>
          <t>https://mstgolf.co.th/products/gf2040117525</t>
        </is>
      </c>
      <c r="T3478" s="1">
        <f>IF(B3478="ไม้กอล์ฟ",J3478,"")</f>
        <v/>
      </c>
    </row>
    <row r="3479">
      <c r="A3479" s="1" t="n">
        <v>3</v>
      </c>
      <c r="B3479" s="1" t="inlineStr">
        <is>
          <t>เสื้อผ้า</t>
        </is>
      </c>
      <c r="C3479" s="1" t="inlineStr">
        <is>
          <t>gf2040119380</t>
        </is>
      </c>
      <c r="D3479" s="1" t="inlineStr">
        <is>
          <t>CALVIN KLEIN Harmony Printed Women's Polo (Cornflower Blue)</t>
        </is>
      </c>
      <c r="E3479" s="1" t="inlineStr">
        <is>
          <t>CALVIN KLEIN</t>
        </is>
      </c>
      <c r="F3479" s="1" t="inlineStr">
        <is>
          <t>SHORT SLEEVES</t>
        </is>
      </c>
      <c r="G3479" s="1" t="inlineStr">
        <is>
          <t>GF2040119380XS</t>
        </is>
      </c>
      <c r="H3479" s="1" t="n">
        <v>5</v>
      </c>
      <c r="I3479" s="1" t="inlineStr">
        <is>
          <t>มี</t>
        </is>
      </c>
      <c r="J3479" s="13" t="n">
        <v>55</v>
      </c>
      <c r="K3479" s="1" t="inlineStr"/>
      <c r="L3479" s="13" t="n">
        <v>39</v>
      </c>
      <c r="M3479" s="1">
        <f>IF(L3479="","ไม่พบใน SG",IF(ABS(J3479-L3479)&lt;0.005,"ตรงกัน","ไม่ตรง"))</f>
        <v/>
      </c>
      <c r="N3479" s="14">
        <f>IF(L3479="","",ROUND(L3479*'สรุป'!$C$6,-1))</f>
        <v/>
      </c>
      <c r="O3479" s="15" t="n"/>
      <c r="P3479" s="15" t="n"/>
      <c r="Q3479" s="10" t="n"/>
      <c r="R3479" s="10" t="n"/>
      <c r="S3479" s="16" t="inlineStr">
        <is>
          <t>https://mstgolf.co.th/products/gf2040119380</t>
        </is>
      </c>
      <c r="T3479" s="1">
        <f>IF(B3479="ไม้กอล์ฟ",J3479,"")</f>
        <v/>
      </c>
    </row>
    <row r="3480">
      <c r="A3480" s="1" t="n">
        <v>3</v>
      </c>
      <c r="B3480" s="1" t="inlineStr">
        <is>
          <t>เสื้อผ้า</t>
        </is>
      </c>
      <c r="C3480" s="1" t="inlineStr">
        <is>
          <t>gf2040119381</t>
        </is>
      </c>
      <c r="D3480" s="1" t="inlineStr">
        <is>
          <t>CALVIN KLEIN Harmony Printed Women's Polo (Shell Pink)</t>
        </is>
      </c>
      <c r="E3480" s="1" t="inlineStr">
        <is>
          <t>CALVIN KLEIN</t>
        </is>
      </c>
      <c r="F3480" s="1" t="inlineStr">
        <is>
          <t>SHORT SLEEVES</t>
        </is>
      </c>
      <c r="G3480" s="1" t="inlineStr">
        <is>
          <t>GF2040119381XS</t>
        </is>
      </c>
      <c r="H3480" s="1" t="n">
        <v>5</v>
      </c>
      <c r="I3480" s="1" t="inlineStr">
        <is>
          <t>มี</t>
        </is>
      </c>
      <c r="J3480" s="13" t="n">
        <v>55</v>
      </c>
      <c r="K3480" s="1" t="inlineStr"/>
      <c r="L3480" s="13" t="n">
        <v>39</v>
      </c>
      <c r="M3480" s="1">
        <f>IF(L3480="","ไม่พบใน SG",IF(ABS(J3480-L3480)&lt;0.005,"ตรงกัน","ไม่ตรง"))</f>
        <v/>
      </c>
      <c r="N3480" s="14">
        <f>IF(L3480="","",ROUND(L3480*'สรุป'!$C$6,-1))</f>
        <v/>
      </c>
      <c r="O3480" s="15" t="n"/>
      <c r="P3480" s="15" t="n"/>
      <c r="Q3480" s="10" t="n"/>
      <c r="R3480" s="10" t="n"/>
      <c r="S3480" s="16" t="inlineStr">
        <is>
          <t>https://mstgolf.co.th/products/gf2040119381</t>
        </is>
      </c>
      <c r="T3480" s="1">
        <f>IF(B3480="ไม้กอล์ฟ",J3480,"")</f>
        <v/>
      </c>
    </row>
    <row r="3481">
      <c r="A3481" s="1" t="n">
        <v>3</v>
      </c>
      <c r="B3481" s="1" t="inlineStr">
        <is>
          <t>เสื้อผ้า</t>
        </is>
      </c>
      <c r="C3481" s="1" t="inlineStr">
        <is>
          <t>gf2040115394</t>
        </is>
      </c>
      <c r="D3481" s="1" t="inlineStr">
        <is>
          <t>CALVIN KLEIN Signature Men's Polo (Black/Cameo Green)</t>
        </is>
      </c>
      <c r="E3481" s="1" t="inlineStr">
        <is>
          <t>CALVIN KLEIN</t>
        </is>
      </c>
      <c r="F3481" s="1" t="inlineStr">
        <is>
          <t>SHORT SLEEVES</t>
        </is>
      </c>
      <c r="G3481" s="1" t="inlineStr">
        <is>
          <t>GF2040115394S</t>
        </is>
      </c>
      <c r="H3481" s="1" t="n">
        <v>5</v>
      </c>
      <c r="I3481" s="1" t="inlineStr">
        <is>
          <t>มี</t>
        </is>
      </c>
      <c r="J3481" s="13" t="n">
        <v>55</v>
      </c>
      <c r="K3481" s="1" t="inlineStr"/>
      <c r="L3481" s="13" t="n">
        <v>49</v>
      </c>
      <c r="M3481" s="1">
        <f>IF(L3481="","ไม่พบใน SG",IF(ABS(J3481-L3481)&lt;0.005,"ตรงกัน","ไม่ตรง"))</f>
        <v/>
      </c>
      <c r="N3481" s="14">
        <f>IF(L3481="","",ROUND(L3481*'สรุป'!$C$6,-1))</f>
        <v/>
      </c>
      <c r="O3481" s="15" t="n"/>
      <c r="P3481" s="15" t="n"/>
      <c r="Q3481" s="10" t="n"/>
      <c r="R3481" s="10" t="n"/>
      <c r="S3481" s="16" t="inlineStr">
        <is>
          <t>https://mstgolf.co.th/products/gf2040115394</t>
        </is>
      </c>
      <c r="T3481" s="1">
        <f>IF(B3481="ไม้กอล์ฟ",J3481,"")</f>
        <v/>
      </c>
    </row>
    <row r="3482">
      <c r="A3482" s="1" t="n">
        <v>3</v>
      </c>
      <c r="B3482" s="1" t="inlineStr">
        <is>
          <t>เสื้อผ้า</t>
        </is>
      </c>
      <c r="C3482" s="1" t="inlineStr">
        <is>
          <t>gf2040115395</t>
        </is>
      </c>
      <c r="D3482" s="1" t="inlineStr">
        <is>
          <t>CALVIN KLEIN Signature Men's Polo (Navy/Boy Blue)</t>
        </is>
      </c>
      <c r="E3482" s="1" t="inlineStr">
        <is>
          <t>CALVIN KLEIN</t>
        </is>
      </c>
      <c r="F3482" s="1" t="inlineStr">
        <is>
          <t>SHORT SLEEVES</t>
        </is>
      </c>
      <c r="G3482" s="1" t="inlineStr">
        <is>
          <t>GF2040115395S</t>
        </is>
      </c>
      <c r="H3482" s="1" t="n">
        <v>5</v>
      </c>
      <c r="I3482" s="1" t="inlineStr">
        <is>
          <t>มี</t>
        </is>
      </c>
      <c r="J3482" s="13" t="n">
        <v>55</v>
      </c>
      <c r="K3482" s="1" t="inlineStr"/>
      <c r="L3482" s="13" t="n">
        <v>49</v>
      </c>
      <c r="M3482" s="1">
        <f>IF(L3482="","ไม่พบใน SG",IF(ABS(J3482-L3482)&lt;0.005,"ตรงกัน","ไม่ตรง"))</f>
        <v/>
      </c>
      <c r="N3482" s="14">
        <f>IF(L3482="","",ROUND(L3482*'สรุป'!$C$6,-1))</f>
        <v/>
      </c>
      <c r="O3482" s="15" t="n"/>
      <c r="P3482" s="15" t="n"/>
      <c r="Q3482" s="10" t="n"/>
      <c r="R3482" s="10" t="n"/>
      <c r="S3482" s="16" t="inlineStr">
        <is>
          <t>https://mstgolf.co.th/products/gf2040115395</t>
        </is>
      </c>
      <c r="T3482" s="1">
        <f>IF(B3482="ไม้กอล์ฟ",J3482,"")</f>
        <v/>
      </c>
    </row>
    <row r="3483">
      <c r="A3483" s="1" t="n">
        <v>3</v>
      </c>
      <c r="B3483" s="1" t="inlineStr">
        <is>
          <t>เสื้อผ้า</t>
        </is>
      </c>
      <c r="C3483" s="1" t="inlineStr">
        <is>
          <t>gf2040401337</t>
        </is>
      </c>
      <c r="D3483" s="1" t="inlineStr">
        <is>
          <t>CALVIN KLEIN Westgate Half Zip Men's Long Sleeve Shirt (Aquarius)</t>
        </is>
      </c>
      <c r="E3483" s="1" t="inlineStr">
        <is>
          <t>CALVIN KLEIN</t>
        </is>
      </c>
      <c r="F3483" s="1" t="inlineStr">
        <is>
          <t>LONG SLEEVES</t>
        </is>
      </c>
      <c r="G3483" s="1" t="inlineStr">
        <is>
          <t>GF2040401337S</t>
        </is>
      </c>
      <c r="H3483" s="1" t="n">
        <v>5</v>
      </c>
      <c r="I3483" s="1" t="inlineStr">
        <is>
          <t>มี</t>
        </is>
      </c>
      <c r="J3483" s="13" t="n">
        <v>55</v>
      </c>
      <c r="K3483" s="1" t="inlineStr"/>
      <c r="L3483" s="13" t="n">
        <v>39</v>
      </c>
      <c r="M3483" s="1">
        <f>IF(L3483="","ไม่พบใน SG",IF(ABS(J3483-L3483)&lt;0.005,"ตรงกัน","ไม่ตรง"))</f>
        <v/>
      </c>
      <c r="N3483" s="14">
        <f>IF(L3483="","",ROUND(L3483*'สรุป'!$C$6,-1))</f>
        <v/>
      </c>
      <c r="O3483" s="15" t="n"/>
      <c r="P3483" s="15" t="n"/>
      <c r="Q3483" s="10" t="n"/>
      <c r="R3483" s="10" t="n"/>
      <c r="S3483" s="16" t="inlineStr">
        <is>
          <t>https://mstgolf.co.th/products/gf2040401337</t>
        </is>
      </c>
      <c r="T3483" s="1">
        <f>IF(B3483="ไม้กอล์ฟ",J3483,"")</f>
        <v/>
      </c>
    </row>
    <row r="3484">
      <c r="A3484" s="1" t="n">
        <v>3</v>
      </c>
      <c r="B3484" s="1" t="inlineStr">
        <is>
          <t>เสื้อผ้า</t>
        </is>
      </c>
      <c r="C3484" s="1" t="inlineStr">
        <is>
          <t>gf2020201952</t>
        </is>
      </c>
      <c r="D3484" s="1" t="inlineStr">
        <is>
          <t>CUTTER &amp; BUCK Pacific Pull On Women's Shorts (Castle)</t>
        </is>
      </c>
      <c r="E3484" s="1" t="inlineStr">
        <is>
          <t>CUTTER &amp; BUCK</t>
        </is>
      </c>
      <c r="F3484" s="1" t="inlineStr">
        <is>
          <t>SHORT PANTS</t>
        </is>
      </c>
      <c r="G3484" s="1" t="inlineStr">
        <is>
          <t>GF2020201952XS</t>
        </is>
      </c>
      <c r="H3484" s="1" t="n">
        <v>5</v>
      </c>
      <c r="I3484" s="1" t="inlineStr">
        <is>
          <t>มี</t>
        </is>
      </c>
      <c r="J3484" s="13" t="n">
        <v>55</v>
      </c>
      <c r="K3484" s="1" t="inlineStr"/>
      <c r="L3484" s="13" t="n">
        <v>55</v>
      </c>
      <c r="M3484" s="1">
        <f>IF(L3484="","ไม่พบใน SG",IF(ABS(J3484-L3484)&lt;0.005,"ตรงกัน","ไม่ตรง"))</f>
        <v/>
      </c>
      <c r="N3484" s="14">
        <f>IF(L3484="","",ROUND(L3484*'สรุป'!$C$6,-1))</f>
        <v/>
      </c>
      <c r="O3484" s="15" t="n"/>
      <c r="P3484" s="15" t="n"/>
      <c r="Q3484" s="10" t="n"/>
      <c r="R3484" s="10" t="n"/>
      <c r="S3484" s="16" t="inlineStr">
        <is>
          <t>https://mstgolf.co.th/products/gf2020201952</t>
        </is>
      </c>
      <c r="T3484" s="1">
        <f>IF(B3484="ไม้กอล์ฟ",J3484,"")</f>
        <v/>
      </c>
    </row>
    <row r="3485">
      <c r="A3485" s="1" t="n">
        <v>3</v>
      </c>
      <c r="B3485" s="1" t="inlineStr">
        <is>
          <t>เสื้อผ้า</t>
        </is>
      </c>
      <c r="C3485" s="1" t="inlineStr">
        <is>
          <t>gf2040118844</t>
        </is>
      </c>
      <c r="D3485" s="1" t="inlineStr">
        <is>
          <t>CUTTER &amp; BUCK Pike Eco Diamond Dot Print Recycled Men's Polo (Black)</t>
        </is>
      </c>
      <c r="E3485" s="1" t="inlineStr">
        <is>
          <t>CUTTER &amp; BUCK</t>
        </is>
      </c>
      <c r="F3485" s="1" t="inlineStr">
        <is>
          <t>SHORT SLEEVES</t>
        </is>
      </c>
      <c r="G3485" s="1" t="inlineStr">
        <is>
          <t>GF2040118844XS</t>
        </is>
      </c>
      <c r="H3485" s="1" t="n">
        <v>6</v>
      </c>
      <c r="I3485" s="1" t="inlineStr">
        <is>
          <t>มี</t>
        </is>
      </c>
      <c r="J3485" s="13" t="n">
        <v>55</v>
      </c>
      <c r="K3485" s="1" t="inlineStr"/>
      <c r="L3485" s="13" t="n">
        <v>55</v>
      </c>
      <c r="M3485" s="1">
        <f>IF(L3485="","ไม่พบใน SG",IF(ABS(J3485-L3485)&lt;0.005,"ตรงกัน","ไม่ตรง"))</f>
        <v/>
      </c>
      <c r="N3485" s="14">
        <f>IF(L3485="","",ROUND(L3485*'สรุป'!$C$6,-1))</f>
        <v/>
      </c>
      <c r="O3485" s="15" t="n"/>
      <c r="P3485" s="15" t="n"/>
      <c r="Q3485" s="10" t="n"/>
      <c r="R3485" s="10" t="n"/>
      <c r="S3485" s="16" t="inlineStr">
        <is>
          <t>https://mstgolf.co.th/products/gf2040118844</t>
        </is>
      </c>
      <c r="T3485" s="1">
        <f>IF(B3485="ไม้กอล์ฟ",J3485,"")</f>
        <v/>
      </c>
    </row>
    <row r="3486">
      <c r="A3486" s="1" t="n">
        <v>3</v>
      </c>
      <c r="B3486" s="1" t="inlineStr">
        <is>
          <t>เสื้อผ้า</t>
        </is>
      </c>
      <c r="C3486" s="1" t="inlineStr">
        <is>
          <t>gf2020202843</t>
        </is>
      </c>
      <c r="D3486" s="1" t="inlineStr">
        <is>
          <t>DISNEY Men's Performance Shorts (Black)</t>
        </is>
      </c>
      <c r="E3486" s="1" t="inlineStr">
        <is>
          <t>DISNEY</t>
        </is>
      </c>
      <c r="F3486" s="1" t="inlineStr">
        <is>
          <t>SHORT PANTS</t>
        </is>
      </c>
      <c r="G3486" s="1" t="inlineStr">
        <is>
          <t>GF202020284330</t>
        </is>
      </c>
      <c r="H3486" s="1" t="n">
        <v>7</v>
      </c>
      <c r="I3486" s="1" t="inlineStr">
        <is>
          <t>มี</t>
        </is>
      </c>
      <c r="J3486" s="13" t="n">
        <v>55</v>
      </c>
      <c r="K3486" s="1" t="inlineStr"/>
      <c r="L3486" s="13" t="n">
        <v>55</v>
      </c>
      <c r="M3486" s="1">
        <f>IF(L3486="","ไม่พบใน SG",IF(ABS(J3486-L3486)&lt;0.005,"ตรงกัน","ไม่ตรง"))</f>
        <v/>
      </c>
      <c r="N3486" s="14">
        <f>IF(L3486="","",ROUND(L3486*'สรุป'!$C$6,-1))</f>
        <v/>
      </c>
      <c r="O3486" s="15" t="n"/>
      <c r="P3486" s="15" t="n"/>
      <c r="Q3486" s="10" t="n"/>
      <c r="R3486" s="10" t="n"/>
      <c r="S3486" s="16" t="inlineStr">
        <is>
          <t>https://mstgolf.co.th/products/gf2020202843</t>
        </is>
      </c>
      <c r="T3486" s="1">
        <f>IF(B3486="ไม้กอล์ฟ",J3486,"")</f>
        <v/>
      </c>
    </row>
    <row r="3487">
      <c r="A3487" s="1" t="n">
        <v>3</v>
      </c>
      <c r="B3487" s="1" t="inlineStr">
        <is>
          <t>เสื้อผ้า</t>
        </is>
      </c>
      <c r="C3487" s="1" t="inlineStr">
        <is>
          <t>gf2020202842</t>
        </is>
      </c>
      <c r="D3487" s="1" t="inlineStr">
        <is>
          <t>DISNEY Men's Performance Shorts (Ink Blue)</t>
        </is>
      </c>
      <c r="E3487" s="1" t="inlineStr">
        <is>
          <t>DISNEY</t>
        </is>
      </c>
      <c r="F3487" s="1" t="inlineStr">
        <is>
          <t>SHORT PANTS</t>
        </is>
      </c>
      <c r="G3487" s="1" t="inlineStr">
        <is>
          <t>GF202020284230</t>
        </is>
      </c>
      <c r="H3487" s="1" t="n">
        <v>7</v>
      </c>
      <c r="I3487" s="1" t="inlineStr">
        <is>
          <t>มี</t>
        </is>
      </c>
      <c r="J3487" s="13" t="n">
        <v>55</v>
      </c>
      <c r="K3487" s="1" t="inlineStr"/>
      <c r="L3487" s="13" t="n">
        <v>55</v>
      </c>
      <c r="M3487" s="1">
        <f>IF(L3487="","ไม่พบใน SG",IF(ABS(J3487-L3487)&lt;0.005,"ตรงกัน","ไม่ตรง"))</f>
        <v/>
      </c>
      <c r="N3487" s="14">
        <f>IF(L3487="","",ROUND(L3487*'สรุป'!$C$6,-1))</f>
        <v/>
      </c>
      <c r="O3487" s="15" t="n"/>
      <c r="P3487" s="15" t="n"/>
      <c r="Q3487" s="10" t="n"/>
      <c r="R3487" s="10" t="n"/>
      <c r="S3487" s="16" t="inlineStr">
        <is>
          <t>https://mstgolf.co.th/products/gf2020202842</t>
        </is>
      </c>
      <c r="T3487" s="1">
        <f>IF(B3487="ไม้กอล์ฟ",J3487,"")</f>
        <v/>
      </c>
    </row>
    <row r="3488">
      <c r="A3488" s="1" t="n">
        <v>3</v>
      </c>
      <c r="B3488" s="1" t="inlineStr">
        <is>
          <t>เสื้อผ้า</t>
        </is>
      </c>
      <c r="C3488" s="1" t="inlineStr">
        <is>
          <t>gf2020300160</t>
        </is>
      </c>
      <c r="D3488" s="1" t="inlineStr">
        <is>
          <t>DISNEY Mickey &amp; Friends High Rise Skort (Ink Blue)</t>
        </is>
      </c>
      <c r="E3488" s="1" t="inlineStr">
        <is>
          <t>DISNEY</t>
        </is>
      </c>
      <c r="F3488" s="1" t="inlineStr">
        <is>
          <t>SKORTS</t>
        </is>
      </c>
      <c r="G3488" s="1" t="inlineStr">
        <is>
          <t>GF2020300160XS</t>
        </is>
      </c>
      <c r="H3488" s="1" t="n">
        <v>7</v>
      </c>
      <c r="I3488" s="1" t="inlineStr">
        <is>
          <t>มี</t>
        </is>
      </c>
      <c r="J3488" s="13" t="n">
        <v>55</v>
      </c>
      <c r="K3488" s="1" t="inlineStr"/>
      <c r="L3488" s="13" t="n">
        <v>55</v>
      </c>
      <c r="M3488" s="1">
        <f>IF(L3488="","ไม่พบใน SG",IF(ABS(J3488-L3488)&lt;0.005,"ตรงกัน","ไม่ตรง"))</f>
        <v/>
      </c>
      <c r="N3488" s="14">
        <f>IF(L3488="","",ROUND(L3488*'สรุป'!$C$6,-1))</f>
        <v/>
      </c>
      <c r="O3488" s="15" t="n"/>
      <c r="P3488" s="15" t="n"/>
      <c r="Q3488" s="10" t="n"/>
      <c r="R3488" s="10" t="n"/>
      <c r="S3488" s="16" t="inlineStr">
        <is>
          <t>https://mstgolf.co.th/products/gf2020300160</t>
        </is>
      </c>
      <c r="T3488" s="1">
        <f>IF(B3488="ไม้กอล์ฟ",J3488,"")</f>
        <v/>
      </c>
    </row>
    <row r="3489">
      <c r="A3489" s="1" t="n">
        <v>3</v>
      </c>
      <c r="B3489" s="1" t="inlineStr">
        <is>
          <t>เสื้อผ้า</t>
        </is>
      </c>
      <c r="C3489" s="1" t="inlineStr">
        <is>
          <t>gf2020300159</t>
        </is>
      </c>
      <c r="D3489" s="1" t="inlineStr">
        <is>
          <t>DISNEY Mickey &amp; Friends High Rise Skort (Light Pink)</t>
        </is>
      </c>
      <c r="E3489" s="1" t="inlineStr">
        <is>
          <t>DISNEY</t>
        </is>
      </c>
      <c r="F3489" s="1" t="inlineStr">
        <is>
          <t>SKORTS</t>
        </is>
      </c>
      <c r="G3489" s="1" t="inlineStr">
        <is>
          <t>GF2020300159XS</t>
        </is>
      </c>
      <c r="H3489" s="1" t="n">
        <v>7</v>
      </c>
      <c r="I3489" s="1" t="inlineStr">
        <is>
          <t>มี</t>
        </is>
      </c>
      <c r="J3489" s="13" t="n">
        <v>55</v>
      </c>
      <c r="K3489" s="1" t="inlineStr"/>
      <c r="L3489" s="13" t="n">
        <v>55</v>
      </c>
      <c r="M3489" s="1">
        <f>IF(L3489="","ไม่พบใน SG",IF(ABS(J3489-L3489)&lt;0.005,"ตรงกัน","ไม่ตรง"))</f>
        <v/>
      </c>
      <c r="N3489" s="14">
        <f>IF(L3489="","",ROUND(L3489*'สรุป'!$C$6,-1))</f>
        <v/>
      </c>
      <c r="O3489" s="15" t="n"/>
      <c r="P3489" s="15" t="n"/>
      <c r="Q3489" s="10" t="n"/>
      <c r="R3489" s="10" t="n"/>
      <c r="S3489" s="16" t="inlineStr">
        <is>
          <t>https://mstgolf.co.th/products/gf2020300159</t>
        </is>
      </c>
      <c r="T3489" s="1">
        <f>IF(B3489="ไม้กอล์ฟ",J3489,"")</f>
        <v/>
      </c>
    </row>
    <row r="3490">
      <c r="A3490" s="1" t="n">
        <v>3</v>
      </c>
      <c r="B3490" s="1" t="inlineStr">
        <is>
          <t>เสื้อผ้า</t>
        </is>
      </c>
      <c r="C3490" s="1" t="inlineStr">
        <is>
          <t>gf2020300161</t>
        </is>
      </c>
      <c r="D3490" s="1" t="inlineStr">
        <is>
          <t>DISNEY Mickey &amp; Friends Wrap Skort (White)</t>
        </is>
      </c>
      <c r="E3490" s="1" t="inlineStr">
        <is>
          <t>DISNEY</t>
        </is>
      </c>
      <c r="F3490" s="1" t="inlineStr">
        <is>
          <t>SKORTS</t>
        </is>
      </c>
      <c r="G3490" s="1" t="inlineStr">
        <is>
          <t>GF2020300161XS</t>
        </is>
      </c>
      <c r="H3490" s="1" t="n">
        <v>7</v>
      </c>
      <c r="I3490" s="1" t="inlineStr">
        <is>
          <t>มี</t>
        </is>
      </c>
      <c r="J3490" s="13" t="n">
        <v>55</v>
      </c>
      <c r="K3490" s="1" t="inlineStr"/>
      <c r="L3490" s="13" t="n">
        <v>55</v>
      </c>
      <c r="M3490" s="1">
        <f>IF(L3490="","ไม่พบใน SG",IF(ABS(J3490-L3490)&lt;0.005,"ตรงกัน","ไม่ตรง"))</f>
        <v/>
      </c>
      <c r="N3490" s="14">
        <f>IF(L3490="","",ROUND(L3490*'สรุป'!$C$6,-1))</f>
        <v/>
      </c>
      <c r="O3490" s="15" t="n"/>
      <c r="P3490" s="15" t="n"/>
      <c r="Q3490" s="10" t="n"/>
      <c r="R3490" s="10" t="n"/>
      <c r="S3490" s="16" t="inlineStr">
        <is>
          <t>https://mstgolf.co.th/products/gf2020300161</t>
        </is>
      </c>
      <c r="T3490" s="1">
        <f>IF(B3490="ไม้กอล์ฟ",J3490,"")</f>
        <v/>
      </c>
    </row>
    <row r="3491">
      <c r="A3491" s="1" t="n">
        <v>3</v>
      </c>
      <c r="B3491" s="1" t="inlineStr">
        <is>
          <t>เสื้อผ้า</t>
        </is>
      </c>
      <c r="C3491" s="1" t="inlineStr">
        <is>
          <t>gf2020300162</t>
        </is>
      </c>
      <c r="D3491" s="1" t="inlineStr">
        <is>
          <t>DISNEY Relaxed Women's Shorts (Black)</t>
        </is>
      </c>
      <c r="E3491" s="1" t="inlineStr">
        <is>
          <t>DISNEY</t>
        </is>
      </c>
      <c r="F3491" s="1" t="inlineStr">
        <is>
          <t>SKORTS</t>
        </is>
      </c>
      <c r="G3491" s="1" t="inlineStr">
        <is>
          <t>GF202030016224</t>
        </is>
      </c>
      <c r="H3491" s="1" t="n">
        <v>5</v>
      </c>
      <c r="I3491" s="1" t="inlineStr">
        <is>
          <t>มี</t>
        </is>
      </c>
      <c r="J3491" s="13" t="n">
        <v>55</v>
      </c>
      <c r="K3491" s="1" t="inlineStr"/>
      <c r="L3491" s="13" t="n">
        <v>55</v>
      </c>
      <c r="M3491" s="1">
        <f>IF(L3491="","ไม่พบใน SG",IF(ABS(J3491-L3491)&lt;0.005,"ตรงกัน","ไม่ตรง"))</f>
        <v/>
      </c>
      <c r="N3491" s="14">
        <f>IF(L3491="","",ROUND(L3491*'สรุป'!$C$6,-1))</f>
        <v/>
      </c>
      <c r="O3491" s="15" t="n"/>
      <c r="P3491" s="15" t="n"/>
      <c r="Q3491" s="10" t="n"/>
      <c r="R3491" s="10" t="n"/>
      <c r="S3491" s="16" t="inlineStr">
        <is>
          <t>https://mstgolf.co.th/products/gf2020300162</t>
        </is>
      </c>
      <c r="T3491" s="1">
        <f>IF(B3491="ไม้กอล์ฟ",J3491,"")</f>
        <v/>
      </c>
    </row>
    <row r="3492">
      <c r="A3492" s="1" t="n">
        <v>3</v>
      </c>
      <c r="B3492" s="1" t="inlineStr">
        <is>
          <t>เสื้อผ้า</t>
        </is>
      </c>
      <c r="C3492" s="1" t="inlineStr">
        <is>
          <t>gf2040114140</t>
        </is>
      </c>
      <c r="D3492" s="1" t="inlineStr">
        <is>
          <t>GFORE How Did That Not Go In Men's T-Shirt (Danube)</t>
        </is>
      </c>
      <c r="E3492" s="1" t="inlineStr">
        <is>
          <t>GFORE</t>
        </is>
      </c>
      <c r="F3492" s="1" t="inlineStr">
        <is>
          <t>SHORT SLEEVES</t>
        </is>
      </c>
      <c r="G3492" s="1" t="inlineStr">
        <is>
          <t>GF2040114140XS</t>
        </is>
      </c>
      <c r="H3492" s="1" t="n">
        <v>6</v>
      </c>
      <c r="I3492" s="1" t="inlineStr">
        <is>
          <t>มี</t>
        </is>
      </c>
      <c r="J3492" s="13" t="n">
        <v>55</v>
      </c>
      <c r="K3492" s="1" t="inlineStr"/>
      <c r="L3492" s="13" t="n">
        <v>55</v>
      </c>
      <c r="M3492" s="1">
        <f>IF(L3492="","ไม่พบใน SG",IF(ABS(J3492-L3492)&lt;0.005,"ตรงกัน","ไม่ตรง"))</f>
        <v/>
      </c>
      <c r="N3492" s="14">
        <f>IF(L3492="","",ROUND(L3492*'สรุป'!$C$6,-1))</f>
        <v/>
      </c>
      <c r="O3492" s="15" t="n"/>
      <c r="P3492" s="15" t="n"/>
      <c r="Q3492" s="10" t="n"/>
      <c r="R3492" s="10" t="n"/>
      <c r="S3492" s="16" t="inlineStr">
        <is>
          <t>https://mstgolf.co.th/products/gf2040114140</t>
        </is>
      </c>
      <c r="T3492" s="1">
        <f>IF(B3492="ไม้กอล์ฟ",J3492,"")</f>
        <v/>
      </c>
    </row>
    <row r="3493">
      <c r="A3493" s="1" t="n">
        <v>3</v>
      </c>
      <c r="B3493" s="1" t="inlineStr">
        <is>
          <t>เสื้อผ้า</t>
        </is>
      </c>
      <c r="C3493" s="1" t="inlineStr">
        <is>
          <t>gf2040114141</t>
        </is>
      </c>
      <c r="D3493" s="1" t="inlineStr">
        <is>
          <t>GFORE Printed Men's T-Shirt (Onyx)</t>
        </is>
      </c>
      <c r="E3493" s="1" t="inlineStr">
        <is>
          <t>GFORE</t>
        </is>
      </c>
      <c r="F3493" s="1" t="inlineStr">
        <is>
          <t>SHORT SLEEVES</t>
        </is>
      </c>
      <c r="G3493" s="1" t="inlineStr">
        <is>
          <t>GF2040114141XS</t>
        </is>
      </c>
      <c r="H3493" s="1" t="n">
        <v>6</v>
      </c>
      <c r="I3493" s="1" t="inlineStr">
        <is>
          <t>มี</t>
        </is>
      </c>
      <c r="J3493" s="13" t="n">
        <v>55</v>
      </c>
      <c r="K3493" s="1" t="inlineStr"/>
      <c r="L3493" s="13" t="n">
        <v>55</v>
      </c>
      <c r="M3493" s="1">
        <f>IF(L3493="","ไม่พบใน SG",IF(ABS(J3493-L3493)&lt;0.005,"ตรงกัน","ไม่ตรง"))</f>
        <v/>
      </c>
      <c r="N3493" s="14">
        <f>IF(L3493="","",ROUND(L3493*'สรุป'!$C$6,-1))</f>
        <v/>
      </c>
      <c r="O3493" s="15" t="n"/>
      <c r="P3493" s="15" t="n"/>
      <c r="Q3493" s="10" t="n"/>
      <c r="R3493" s="10" t="n"/>
      <c r="S3493" s="16" t="inlineStr">
        <is>
          <t>https://mstgolf.co.th/products/gf2040114141</t>
        </is>
      </c>
      <c r="T3493" s="1">
        <f>IF(B3493="ไม้กอล์ฟ",J3493,"")</f>
        <v/>
      </c>
    </row>
    <row r="3494">
      <c r="A3494" s="1" t="n">
        <v>3</v>
      </c>
      <c r="B3494" s="1" t="inlineStr">
        <is>
          <t>เสื้อผ้า</t>
        </is>
      </c>
      <c r="C3494" s="1" t="inlineStr">
        <is>
          <t>gf2040120184</t>
        </is>
      </c>
      <c r="D3494" s="1" t="inlineStr">
        <is>
          <t>LE COQ SPORTIF GOLF A-Line Women's Polo (Black)</t>
        </is>
      </c>
      <c r="E3494" s="1" t="inlineStr">
        <is>
          <t>LE COQ SPORTIF GOLF</t>
        </is>
      </c>
      <c r="F3494" s="1" t="inlineStr">
        <is>
          <t>SHORT SLEEVES</t>
        </is>
      </c>
      <c r="G3494" s="1" t="inlineStr">
        <is>
          <t>GF2040120184S</t>
        </is>
      </c>
      <c r="H3494" s="1" t="n">
        <v>5</v>
      </c>
      <c r="I3494" s="1" t="inlineStr">
        <is>
          <t>มี</t>
        </is>
      </c>
      <c r="J3494" s="13" t="n">
        <v>55</v>
      </c>
      <c r="K3494" s="1" t="inlineStr"/>
      <c r="L3494" s="13" t="n">
        <v>55</v>
      </c>
      <c r="M3494" s="1">
        <f>IF(L3494="","ไม่พบใน SG",IF(ABS(J3494-L3494)&lt;0.005,"ตรงกัน","ไม่ตรง"))</f>
        <v/>
      </c>
      <c r="N3494" s="14">
        <f>IF(L3494="","",ROUND(L3494*'สรุป'!$C$6,-1))</f>
        <v/>
      </c>
      <c r="O3494" s="15" t="n"/>
      <c r="P3494" s="15" t="n"/>
      <c r="Q3494" s="10" t="n"/>
      <c r="R3494" s="10" t="n"/>
      <c r="S3494" s="16" t="inlineStr">
        <is>
          <t>https://mstgolf.co.th/products/gf2040120184</t>
        </is>
      </c>
      <c r="T3494" s="1">
        <f>IF(B3494="ไม้กอล์ฟ",J3494,"")</f>
        <v/>
      </c>
    </row>
    <row r="3495">
      <c r="A3495" s="1" t="n">
        <v>3</v>
      </c>
      <c r="B3495" s="1" t="inlineStr">
        <is>
          <t>เสื้อผ้า</t>
        </is>
      </c>
      <c r="C3495" s="1" t="inlineStr">
        <is>
          <t>gf2040120183</t>
        </is>
      </c>
      <c r="D3495" s="1" t="inlineStr">
        <is>
          <t>LE COQ SPORTIF GOLF A-Line Women's Polo (White)</t>
        </is>
      </c>
      <c r="E3495" s="1" t="inlineStr">
        <is>
          <t>LE COQ SPORTIF GOLF</t>
        </is>
      </c>
      <c r="F3495" s="1" t="inlineStr">
        <is>
          <t>SHORT SLEEVES</t>
        </is>
      </c>
      <c r="G3495" s="1" t="inlineStr">
        <is>
          <t>GF2040120183S</t>
        </is>
      </c>
      <c r="H3495" s="1" t="n">
        <v>5</v>
      </c>
      <c r="I3495" s="1" t="inlineStr">
        <is>
          <t>มี</t>
        </is>
      </c>
      <c r="J3495" s="13" t="n">
        <v>55</v>
      </c>
      <c r="K3495" s="1" t="inlineStr"/>
      <c r="L3495" s="13" t="n">
        <v>55</v>
      </c>
      <c r="M3495" s="1">
        <f>IF(L3495="","ไม่พบใน SG",IF(ABS(J3495-L3495)&lt;0.005,"ตรงกัน","ไม่ตรง"))</f>
        <v/>
      </c>
      <c r="N3495" s="14">
        <f>IF(L3495="","",ROUND(L3495*'สรุป'!$C$6,-1))</f>
        <v/>
      </c>
      <c r="O3495" s="15" t="n"/>
      <c r="P3495" s="15" t="n"/>
      <c r="Q3495" s="10" t="n"/>
      <c r="R3495" s="10" t="n"/>
      <c r="S3495" s="16" t="inlineStr">
        <is>
          <t>https://mstgolf.co.th/products/gf2040120183</t>
        </is>
      </c>
      <c r="T3495" s="1">
        <f>IF(B3495="ไม้กอล์ฟ",J3495,"")</f>
        <v/>
      </c>
    </row>
    <row r="3496">
      <c r="A3496" s="1" t="n">
        <v>3</v>
      </c>
      <c r="B3496" s="1" t="inlineStr">
        <is>
          <t>เสื้อผ้า</t>
        </is>
      </c>
      <c r="C3496" s="1" t="inlineStr">
        <is>
          <t>gf2040120189</t>
        </is>
      </c>
      <c r="D3496" s="1" t="inlineStr">
        <is>
          <t>LE COQ SPORTIF GOLF Cap Sleeve Women's Polo (White)</t>
        </is>
      </c>
      <c r="E3496" s="1" t="inlineStr">
        <is>
          <t>LE COQ SPORTIF GOLF</t>
        </is>
      </c>
      <c r="F3496" s="1" t="inlineStr">
        <is>
          <t>SHORT SLEEVES</t>
        </is>
      </c>
      <c r="G3496" s="1" t="inlineStr">
        <is>
          <t>GF2040120189S</t>
        </is>
      </c>
      <c r="H3496" s="1" t="n">
        <v>6</v>
      </c>
      <c r="I3496" s="1" t="inlineStr">
        <is>
          <t>มี</t>
        </is>
      </c>
      <c r="J3496" s="13" t="n">
        <v>55</v>
      </c>
      <c r="K3496" s="1" t="inlineStr"/>
      <c r="L3496" s="13" t="n">
        <v>55</v>
      </c>
      <c r="M3496" s="1">
        <f>IF(L3496="","ไม่พบใน SG",IF(ABS(J3496-L3496)&lt;0.005,"ตรงกัน","ไม่ตรง"))</f>
        <v/>
      </c>
      <c r="N3496" s="14">
        <f>IF(L3496="","",ROUND(L3496*'สรุป'!$C$6,-1))</f>
        <v/>
      </c>
      <c r="O3496" s="15" t="n"/>
      <c r="P3496" s="15" t="n"/>
      <c r="Q3496" s="10" t="n"/>
      <c r="R3496" s="10" t="n"/>
      <c r="S3496" s="16" t="inlineStr">
        <is>
          <t>https://mstgolf.co.th/products/gf2040120189</t>
        </is>
      </c>
      <c r="T3496" s="1">
        <f>IF(B3496="ไม้กอล์ฟ",J3496,"")</f>
        <v/>
      </c>
    </row>
    <row r="3497">
      <c r="A3497" s="1" t="n">
        <v>3</v>
      </c>
      <c r="B3497" s="1" t="inlineStr">
        <is>
          <t>เสื้อผ้า</t>
        </is>
      </c>
      <c r="C3497" s="1" t="inlineStr">
        <is>
          <t>gf2040120182</t>
        </is>
      </c>
      <c r="D3497" s="1" t="inlineStr">
        <is>
          <t>LE COQ SPORTIF GOLF Chicken Heart Women's Polo (Emerald)</t>
        </is>
      </c>
      <c r="E3497" s="1" t="inlineStr">
        <is>
          <t>LE COQ SPORTIF GOLF</t>
        </is>
      </c>
      <c r="F3497" s="1" t="inlineStr">
        <is>
          <t>SHORT SLEEVES</t>
        </is>
      </c>
      <c r="G3497" s="1" t="inlineStr">
        <is>
          <t>GF2040120182S</t>
        </is>
      </c>
      <c r="H3497" s="1" t="n">
        <v>5</v>
      </c>
      <c r="I3497" s="1" t="inlineStr">
        <is>
          <t>มี</t>
        </is>
      </c>
      <c r="J3497" s="13" t="n">
        <v>55</v>
      </c>
      <c r="K3497" s="1" t="inlineStr"/>
      <c r="L3497" s="13" t="n">
        <v>55</v>
      </c>
      <c r="M3497" s="1">
        <f>IF(L3497="","ไม่พบใน SG",IF(ABS(J3497-L3497)&lt;0.005,"ตรงกัน","ไม่ตรง"))</f>
        <v/>
      </c>
      <c r="N3497" s="14">
        <f>IF(L3497="","",ROUND(L3497*'สรุป'!$C$6,-1))</f>
        <v/>
      </c>
      <c r="O3497" s="15" t="n"/>
      <c r="P3497" s="15" t="n"/>
      <c r="Q3497" s="10" t="n"/>
      <c r="R3497" s="10" t="n"/>
      <c r="S3497" s="16" t="inlineStr">
        <is>
          <t>https://mstgolf.co.th/products/gf2040120182</t>
        </is>
      </c>
      <c r="T3497" s="1">
        <f>IF(B3497="ไม้กอล์ฟ",J3497,"")</f>
        <v/>
      </c>
    </row>
    <row r="3498">
      <c r="A3498" s="1" t="n">
        <v>3</v>
      </c>
      <c r="B3498" s="1" t="inlineStr">
        <is>
          <t>เสื้อผ้า</t>
        </is>
      </c>
      <c r="C3498" s="1" t="inlineStr">
        <is>
          <t>gf2040120186</t>
        </is>
      </c>
      <c r="D3498" s="1" t="inlineStr">
        <is>
          <t>LE COQ SPORTIF GOLF Mondrian Women's Polo (Black)</t>
        </is>
      </c>
      <c r="E3498" s="1" t="inlineStr">
        <is>
          <t>LE COQ SPORTIF GOLF</t>
        </is>
      </c>
      <c r="F3498" s="1" t="inlineStr">
        <is>
          <t>SHORT SLEEVES</t>
        </is>
      </c>
      <c r="G3498" s="1" t="inlineStr">
        <is>
          <t>GF2040120186S</t>
        </is>
      </c>
      <c r="H3498" s="1" t="n">
        <v>5</v>
      </c>
      <c r="I3498" s="1" t="inlineStr">
        <is>
          <t>มี</t>
        </is>
      </c>
      <c r="J3498" s="13" t="n">
        <v>55</v>
      </c>
      <c r="K3498" s="1" t="inlineStr"/>
      <c r="L3498" s="13" t="n">
        <v>55</v>
      </c>
      <c r="M3498" s="1">
        <f>IF(L3498="","ไม่พบใน SG",IF(ABS(J3498-L3498)&lt;0.005,"ตรงกัน","ไม่ตรง"))</f>
        <v/>
      </c>
      <c r="N3498" s="14">
        <f>IF(L3498="","",ROUND(L3498*'สรุป'!$C$6,-1))</f>
        <v/>
      </c>
      <c r="O3498" s="15" t="n"/>
      <c r="P3498" s="15" t="n"/>
      <c r="Q3498" s="10" t="n"/>
      <c r="R3498" s="10" t="n"/>
      <c r="S3498" s="16" t="inlineStr">
        <is>
          <t>https://mstgolf.co.th/products/gf2040120186</t>
        </is>
      </c>
      <c r="T3498" s="1">
        <f>IF(B3498="ไม้กอล์ฟ",J3498,"")</f>
        <v/>
      </c>
    </row>
    <row r="3499">
      <c r="A3499" s="1" t="n">
        <v>3</v>
      </c>
      <c r="B3499" s="1" t="inlineStr">
        <is>
          <t>เสื้อผ้า</t>
        </is>
      </c>
      <c r="C3499" s="1" t="inlineStr">
        <is>
          <t>gf2040120185</t>
        </is>
      </c>
      <c r="D3499" s="1" t="inlineStr">
        <is>
          <t>LE COQ SPORTIF GOLF Mondrian Women's Polo (White)</t>
        </is>
      </c>
      <c r="E3499" s="1" t="inlineStr">
        <is>
          <t>LE COQ SPORTIF GOLF</t>
        </is>
      </c>
      <c r="F3499" s="1" t="inlineStr">
        <is>
          <t>SHORT SLEEVES</t>
        </is>
      </c>
      <c r="G3499" s="1" t="inlineStr">
        <is>
          <t>GF2040120185S</t>
        </is>
      </c>
      <c r="H3499" s="1" t="n">
        <v>5</v>
      </c>
      <c r="I3499" s="1" t="inlineStr">
        <is>
          <t>มี</t>
        </is>
      </c>
      <c r="J3499" s="13" t="n">
        <v>55</v>
      </c>
      <c r="K3499" s="1" t="inlineStr"/>
      <c r="L3499" s="13" t="n">
        <v>55</v>
      </c>
      <c r="M3499" s="1">
        <f>IF(L3499="","ไม่พบใน SG",IF(ABS(J3499-L3499)&lt;0.005,"ตรงกัน","ไม่ตรง"))</f>
        <v/>
      </c>
      <c r="N3499" s="14">
        <f>IF(L3499="","",ROUND(L3499*'สรุป'!$C$6,-1))</f>
        <v/>
      </c>
      <c r="O3499" s="15" t="n"/>
      <c r="P3499" s="15" t="n"/>
      <c r="Q3499" s="10" t="n"/>
      <c r="R3499" s="10" t="n"/>
      <c r="S3499" s="16" t="inlineStr">
        <is>
          <t>https://mstgolf.co.th/products/gf2040120185</t>
        </is>
      </c>
      <c r="T3499" s="1">
        <f>IF(B3499="ไม้กอล์ฟ",J3499,"")</f>
        <v/>
      </c>
    </row>
    <row r="3500">
      <c r="A3500" s="1" t="n">
        <v>3</v>
      </c>
      <c r="B3500" s="1" t="inlineStr">
        <is>
          <t>เสื้อผ้า</t>
        </is>
      </c>
      <c r="C3500" s="1" t="inlineStr">
        <is>
          <t>gf2040120197</t>
        </is>
      </c>
      <c r="D3500" s="1" t="inlineStr">
        <is>
          <t>LE COQ SPORTIF GOLF Wide Women's Mock Shirt (Lime)</t>
        </is>
      </c>
      <c r="E3500" s="1" t="inlineStr">
        <is>
          <t>LE COQ SPORTIF GOLF</t>
        </is>
      </c>
      <c r="F3500" s="1" t="inlineStr">
        <is>
          <t>SHORT SLEEVES</t>
        </is>
      </c>
      <c r="G3500" s="1" t="inlineStr">
        <is>
          <t>GF2040120197S</t>
        </is>
      </c>
      <c r="H3500" s="1" t="n">
        <v>6</v>
      </c>
      <c r="I3500" s="1" t="inlineStr">
        <is>
          <t>มี</t>
        </is>
      </c>
      <c r="J3500" s="13" t="n">
        <v>55</v>
      </c>
      <c r="K3500" s="1" t="inlineStr"/>
      <c r="L3500" s="13" t="n">
        <v>55</v>
      </c>
      <c r="M3500" s="1">
        <f>IF(L3500="","ไม่พบใน SG",IF(ABS(J3500-L3500)&lt;0.005,"ตรงกัน","ไม่ตรง"))</f>
        <v/>
      </c>
      <c r="N3500" s="14">
        <f>IF(L3500="","",ROUND(L3500*'สรุป'!$C$6,-1))</f>
        <v/>
      </c>
      <c r="O3500" s="15" t="n"/>
      <c r="P3500" s="15" t="n"/>
      <c r="Q3500" s="10" t="n"/>
      <c r="R3500" s="10" t="n"/>
      <c r="S3500" s="16" t="inlineStr">
        <is>
          <t>https://mstgolf.co.th/products/gf2040120197</t>
        </is>
      </c>
      <c r="T3500" s="1">
        <f>IF(B3500="ไม้กอล์ฟ",J3500,"")</f>
        <v/>
      </c>
    </row>
    <row r="3501">
      <c r="A3501" s="1" t="n">
        <v>3</v>
      </c>
      <c r="B3501" s="1" t="inlineStr">
        <is>
          <t>เสื้อผ้า</t>
        </is>
      </c>
      <c r="C3501" s="1" t="inlineStr">
        <is>
          <t>gf2040119968</t>
        </is>
      </c>
      <c r="D3501" s="1" t="inlineStr">
        <is>
          <t>LE COQ SPORTIF GOLF Wide Women's Mock Shirt (Navy)</t>
        </is>
      </c>
      <c r="E3501" s="1" t="inlineStr">
        <is>
          <t>LE COQ SPORTIF GOLF</t>
        </is>
      </c>
      <c r="F3501" s="1" t="inlineStr">
        <is>
          <t>SHORT SLEEVES</t>
        </is>
      </c>
      <c r="G3501" s="1" t="inlineStr">
        <is>
          <t>GF2040119968S</t>
        </is>
      </c>
      <c r="H3501" s="1" t="n">
        <v>6</v>
      </c>
      <c r="I3501" s="1" t="inlineStr">
        <is>
          <t>มี</t>
        </is>
      </c>
      <c r="J3501" s="13" t="n">
        <v>55</v>
      </c>
      <c r="K3501" s="1" t="inlineStr"/>
      <c r="L3501" s="13" t="n">
        <v>55</v>
      </c>
      <c r="M3501" s="1">
        <f>IF(L3501="","ไม่พบใน SG",IF(ABS(J3501-L3501)&lt;0.005,"ตรงกัน","ไม่ตรง"))</f>
        <v/>
      </c>
      <c r="N3501" s="14">
        <f>IF(L3501="","",ROUND(L3501*'สรุป'!$C$6,-1))</f>
        <v/>
      </c>
      <c r="O3501" s="15" t="n"/>
      <c r="P3501" s="15" t="n"/>
      <c r="Q3501" s="10" t="n"/>
      <c r="R3501" s="10" t="n"/>
      <c r="S3501" s="16" t="inlineStr">
        <is>
          <t>https://mstgolf.co.th/products/gf2040119968</t>
        </is>
      </c>
      <c r="T3501" s="1">
        <f>IF(B3501="ไม้กอล์ฟ",J3501,"")</f>
        <v/>
      </c>
    </row>
    <row r="3502">
      <c r="A3502" s="1" t="n">
        <v>3</v>
      </c>
      <c r="B3502" s="1" t="inlineStr">
        <is>
          <t>เสื้อผ้า</t>
        </is>
      </c>
      <c r="C3502" s="1" t="inlineStr">
        <is>
          <t>gf2040120195</t>
        </is>
      </c>
      <c r="D3502" s="1" t="inlineStr">
        <is>
          <t>LE COQ SPORTIF GOLF Wide Women's Mock Shirt (Orange)</t>
        </is>
      </c>
      <c r="E3502" s="1" t="inlineStr">
        <is>
          <t>LE COQ SPORTIF GOLF</t>
        </is>
      </c>
      <c r="F3502" s="1" t="inlineStr">
        <is>
          <t>SHORT SLEEVES</t>
        </is>
      </c>
      <c r="G3502" s="1" t="inlineStr">
        <is>
          <t>GF2040120195S</t>
        </is>
      </c>
      <c r="H3502" s="1" t="n">
        <v>6</v>
      </c>
      <c r="I3502" s="1" t="inlineStr">
        <is>
          <t>มี</t>
        </is>
      </c>
      <c r="J3502" s="13" t="n">
        <v>55</v>
      </c>
      <c r="K3502" s="1" t="inlineStr"/>
      <c r="L3502" s="13" t="n">
        <v>55</v>
      </c>
      <c r="M3502" s="1">
        <f>IF(L3502="","ไม่พบใน SG",IF(ABS(J3502-L3502)&lt;0.005,"ตรงกัน","ไม่ตรง"))</f>
        <v/>
      </c>
      <c r="N3502" s="14">
        <f>IF(L3502="","",ROUND(L3502*'สรุป'!$C$6,-1))</f>
        <v/>
      </c>
      <c r="O3502" s="15" t="n"/>
      <c r="P3502" s="15" t="n"/>
      <c r="Q3502" s="10" t="n"/>
      <c r="R3502" s="10" t="n"/>
      <c r="S3502" s="16" t="inlineStr">
        <is>
          <t>https://mstgolf.co.th/products/gf2040120195</t>
        </is>
      </c>
      <c r="T3502" s="1">
        <f>IF(B3502="ไม้กอล์ฟ",J3502,"")</f>
        <v/>
      </c>
    </row>
    <row r="3503">
      <c r="A3503" s="1" t="n">
        <v>3</v>
      </c>
      <c r="B3503" s="1" t="inlineStr">
        <is>
          <t>เสื้อผ้า</t>
        </is>
      </c>
      <c r="C3503" s="1" t="inlineStr">
        <is>
          <t>gf2040118870</t>
        </is>
      </c>
      <c r="D3503" s="1" t="inlineStr">
        <is>
          <t>MANORS MGA Men's T-Shirt (Green)</t>
        </is>
      </c>
      <c r="E3503" s="1" t="inlineStr">
        <is>
          <t>MANORS</t>
        </is>
      </c>
      <c r="F3503" s="1" t="inlineStr">
        <is>
          <t>SHORT SLEEVES</t>
        </is>
      </c>
      <c r="G3503" s="1" t="inlineStr">
        <is>
          <t>GF2040118870S</t>
        </is>
      </c>
      <c r="H3503" s="1" t="n">
        <v>4</v>
      </c>
      <c r="I3503" s="1" t="inlineStr">
        <is>
          <t>มี</t>
        </is>
      </c>
      <c r="J3503" s="13" t="n">
        <v>55</v>
      </c>
      <c r="K3503" s="1" t="inlineStr"/>
      <c r="L3503" s="13" t="n">
        <v>39</v>
      </c>
      <c r="M3503" s="1">
        <f>IF(L3503="","ไม่พบใน SG",IF(ABS(J3503-L3503)&lt;0.005,"ตรงกัน","ไม่ตรง"))</f>
        <v/>
      </c>
      <c r="N3503" s="14">
        <f>IF(L3503="","",ROUND(L3503*'สรุป'!$C$6,-1))</f>
        <v/>
      </c>
      <c r="O3503" s="15" t="n"/>
      <c r="P3503" s="15" t="n"/>
      <c r="Q3503" s="10" t="n"/>
      <c r="R3503" s="10" t="n"/>
      <c r="S3503" s="16" t="inlineStr">
        <is>
          <t>https://mstgolf.co.th/products/gf2040118870</t>
        </is>
      </c>
      <c r="T3503" s="1">
        <f>IF(B3503="ไม้กอล์ฟ",J3503,"")</f>
        <v/>
      </c>
    </row>
    <row r="3504">
      <c r="A3504" s="1" t="n">
        <v>3</v>
      </c>
      <c r="B3504" s="1" t="inlineStr">
        <is>
          <t>เสื้อผ้า</t>
        </is>
      </c>
      <c r="C3504" s="1" t="inlineStr">
        <is>
          <t>gf2040118871</t>
        </is>
      </c>
      <c r="D3504" s="1" t="inlineStr">
        <is>
          <t>MANORS MGA Men's T-Shirt (White)</t>
        </is>
      </c>
      <c r="E3504" s="1" t="inlineStr">
        <is>
          <t>MANORS</t>
        </is>
      </c>
      <c r="F3504" s="1" t="inlineStr">
        <is>
          <t>SHORT SLEEVES</t>
        </is>
      </c>
      <c r="G3504" s="1" t="inlineStr">
        <is>
          <t>GF2040118871S</t>
        </is>
      </c>
      <c r="H3504" s="1" t="n">
        <v>4</v>
      </c>
      <c r="I3504" s="1" t="inlineStr">
        <is>
          <t>มี</t>
        </is>
      </c>
      <c r="J3504" s="13" t="n">
        <v>55</v>
      </c>
      <c r="K3504" s="1" t="inlineStr"/>
      <c r="L3504" s="13" t="n">
        <v>55</v>
      </c>
      <c r="M3504" s="1">
        <f>IF(L3504="","ไม่พบใน SG",IF(ABS(J3504-L3504)&lt;0.005,"ตรงกัน","ไม่ตรง"))</f>
        <v/>
      </c>
      <c r="N3504" s="14">
        <f>IF(L3504="","",ROUND(L3504*'สรุป'!$C$6,-1))</f>
        <v/>
      </c>
      <c r="O3504" s="15" t="n"/>
      <c r="P3504" s="15" t="n"/>
      <c r="Q3504" s="10" t="n"/>
      <c r="R3504" s="10" t="n"/>
      <c r="S3504" s="16" t="inlineStr">
        <is>
          <t>https://mstgolf.co.th/products/gf2040118871</t>
        </is>
      </c>
      <c r="T3504" s="1">
        <f>IF(B3504="ไม้กอล์ฟ",J3504,"")</f>
        <v/>
      </c>
    </row>
    <row r="3505">
      <c r="A3505" s="1" t="n">
        <v>3</v>
      </c>
      <c r="B3505" s="1" t="inlineStr">
        <is>
          <t>เสื้อผ้า</t>
        </is>
      </c>
      <c r="C3505" s="1" t="inlineStr">
        <is>
          <t>gf2020201969</t>
        </is>
      </c>
      <c r="D3505" s="1" t="inlineStr">
        <is>
          <t>NIKE Chino 10.5 Men's Shorts (Phonton Dust)</t>
        </is>
      </c>
      <c r="E3505" s="1" t="inlineStr">
        <is>
          <t>NIKE</t>
        </is>
      </c>
      <c r="F3505" s="1" t="inlineStr">
        <is>
          <t>SHORT PANTS</t>
        </is>
      </c>
      <c r="G3505" s="1" t="inlineStr">
        <is>
          <t>GF202020196928</t>
        </is>
      </c>
      <c r="H3505" s="1" t="n">
        <v>7</v>
      </c>
      <c r="I3505" s="1" t="inlineStr">
        <is>
          <t>มี</t>
        </is>
      </c>
      <c r="J3505" s="13" t="n">
        <v>55</v>
      </c>
      <c r="K3505" s="1" t="inlineStr"/>
      <c r="L3505" s="13" t="n">
        <v>55</v>
      </c>
      <c r="M3505" s="1">
        <f>IF(L3505="","ไม่พบใน SG",IF(ABS(J3505-L3505)&lt;0.005,"ตรงกัน","ไม่ตรง"))</f>
        <v/>
      </c>
      <c r="N3505" s="14">
        <f>IF(L3505="","",ROUND(L3505*'สรุป'!$C$6,-1))</f>
        <v/>
      </c>
      <c r="O3505" s="15" t="n"/>
      <c r="P3505" s="15" t="n"/>
      <c r="Q3505" s="10" t="n"/>
      <c r="R3505" s="10" t="n"/>
      <c r="S3505" s="16" t="inlineStr">
        <is>
          <t>https://mstgolf.co.th/products/gf2020201969</t>
        </is>
      </c>
      <c r="T3505" s="1">
        <f>IF(B3505="ไม้กอล์ฟ",J3505,"")</f>
        <v/>
      </c>
    </row>
    <row r="3506">
      <c r="A3506" s="1" t="n">
        <v>3</v>
      </c>
      <c r="B3506" s="1" t="inlineStr">
        <is>
          <t>เสื้อผ้า</t>
        </is>
      </c>
      <c r="C3506" s="1" t="inlineStr">
        <is>
          <t>gf2040118912</t>
        </is>
      </c>
      <c r="D3506" s="1" t="inlineStr">
        <is>
          <t>NIKE Dri-FIT Victory Men’s Polo (Cargo Khaki)</t>
        </is>
      </c>
      <c r="E3506" s="1" t="inlineStr">
        <is>
          <t>NIKE</t>
        </is>
      </c>
      <c r="F3506" s="1" t="inlineStr">
        <is>
          <t>SHORT SLEEVES</t>
        </is>
      </c>
      <c r="G3506" s="1" t="inlineStr">
        <is>
          <t>GF2040118912S</t>
        </is>
      </c>
      <c r="H3506" s="1" t="n">
        <v>5</v>
      </c>
      <c r="I3506" s="1" t="inlineStr">
        <is>
          <t>มี</t>
        </is>
      </c>
      <c r="J3506" s="13" t="n">
        <v>55</v>
      </c>
      <c r="K3506" s="1" t="inlineStr"/>
      <c r="L3506" s="13" t="n">
        <v>55</v>
      </c>
      <c r="M3506" s="1">
        <f>IF(L3506="","ไม่พบใน SG",IF(ABS(J3506-L3506)&lt;0.005,"ตรงกัน","ไม่ตรง"))</f>
        <v/>
      </c>
      <c r="N3506" s="14">
        <f>IF(L3506="","",ROUND(L3506*'สรุป'!$C$6,-1))</f>
        <v/>
      </c>
      <c r="O3506" s="15" t="n"/>
      <c r="P3506" s="15" t="n"/>
      <c r="Q3506" s="10" t="n"/>
      <c r="R3506" s="10" t="n"/>
      <c r="S3506" s="16" t="inlineStr">
        <is>
          <t>https://mstgolf.co.th/products/gf2040118912</t>
        </is>
      </c>
      <c r="T3506" s="1">
        <f>IF(B3506="ไม้กอล์ฟ",J3506,"")</f>
        <v/>
      </c>
    </row>
    <row r="3507">
      <c r="A3507" s="1" t="n">
        <v>3</v>
      </c>
      <c r="B3507" s="1" t="inlineStr">
        <is>
          <t>เสื้อผ้า</t>
        </is>
      </c>
      <c r="C3507" s="1" t="inlineStr">
        <is>
          <t>gf2020201666</t>
        </is>
      </c>
      <c r="D3507" s="1" t="inlineStr">
        <is>
          <t>NIKE Hybrid Men's Shorts (Dust)</t>
        </is>
      </c>
      <c r="E3507" s="1" t="inlineStr">
        <is>
          <t>NIKE</t>
        </is>
      </c>
      <c r="F3507" s="1" t="inlineStr">
        <is>
          <t>SHORT PANTS</t>
        </is>
      </c>
      <c r="G3507" s="1" t="inlineStr">
        <is>
          <t>GF202020166628</t>
        </is>
      </c>
      <c r="H3507" s="1" t="n">
        <v>12</v>
      </c>
      <c r="I3507" s="1" t="inlineStr">
        <is>
          <t>มี</t>
        </is>
      </c>
      <c r="J3507" s="13" t="n">
        <v>55</v>
      </c>
      <c r="K3507" s="1" t="inlineStr"/>
      <c r="L3507" s="13" t="n">
        <v>55</v>
      </c>
      <c r="M3507" s="1">
        <f>IF(L3507="","ไม่พบใน SG",IF(ABS(J3507-L3507)&lt;0.005,"ตรงกัน","ไม่ตรง"))</f>
        <v/>
      </c>
      <c r="N3507" s="14">
        <f>IF(L3507="","",ROUND(L3507*'สรุป'!$C$6,-1))</f>
        <v/>
      </c>
      <c r="O3507" s="15" t="n"/>
      <c r="P3507" s="15" t="n"/>
      <c r="Q3507" s="10" t="n"/>
      <c r="R3507" s="10" t="n"/>
      <c r="S3507" s="16" t="inlineStr">
        <is>
          <t>https://mstgolf.co.th/products/gf2020201666</t>
        </is>
      </c>
      <c r="T3507" s="1">
        <f>IF(B3507="ไม้กอล์ฟ",J3507,"")</f>
        <v/>
      </c>
    </row>
    <row r="3508">
      <c r="A3508" s="1" t="n">
        <v>3</v>
      </c>
      <c r="B3508" s="1" t="inlineStr">
        <is>
          <t>เสื้อผ้า</t>
        </is>
      </c>
      <c r="C3508" s="1" t="inlineStr">
        <is>
          <t>gf2040119053</t>
        </is>
      </c>
      <c r="D3508" s="1" t="inlineStr">
        <is>
          <t>OAKLEY All Day Rc Men’s Shirt (Black)</t>
        </is>
      </c>
      <c r="E3508" s="1" t="inlineStr">
        <is>
          <t>OAKLEY</t>
        </is>
      </c>
      <c r="F3508" s="1" t="inlineStr">
        <is>
          <t>SHORT SLEEVES</t>
        </is>
      </c>
      <c r="G3508" s="1" t="inlineStr">
        <is>
          <t>GF2040119053XS</t>
        </is>
      </c>
      <c r="H3508" s="1" t="n">
        <v>5</v>
      </c>
      <c r="I3508" s="1" t="inlineStr">
        <is>
          <t>มี</t>
        </is>
      </c>
      <c r="J3508" s="13" t="n">
        <v>55</v>
      </c>
      <c r="K3508" s="1" t="inlineStr"/>
      <c r="L3508" s="13" t="n">
        <v>55</v>
      </c>
      <c r="M3508" s="1">
        <f>IF(L3508="","ไม่พบใน SG",IF(ABS(J3508-L3508)&lt;0.005,"ตรงกัน","ไม่ตรง"))</f>
        <v/>
      </c>
      <c r="N3508" s="14">
        <f>IF(L3508="","",ROUND(L3508*'สรุป'!$C$6,-1))</f>
        <v/>
      </c>
      <c r="O3508" s="15" t="n"/>
      <c r="P3508" s="15" t="n"/>
      <c r="Q3508" s="10" t="n"/>
      <c r="R3508" s="10" t="n"/>
      <c r="S3508" s="16" t="inlineStr">
        <is>
          <t>https://mstgolf.co.th/products/gf2040119053</t>
        </is>
      </c>
      <c r="T3508" s="1">
        <f>IF(B3508="ไม้กอล์ฟ",J3508,"")</f>
        <v/>
      </c>
    </row>
    <row r="3509">
      <c r="A3509" s="1" t="n">
        <v>3</v>
      </c>
      <c r="B3509" s="1" t="inlineStr">
        <is>
          <t>เสื้อผ้า</t>
        </is>
      </c>
      <c r="C3509" s="1" t="inlineStr">
        <is>
          <t>gf2040116646</t>
        </is>
      </c>
      <c r="D3509" s="1" t="inlineStr">
        <is>
          <t>PUMA Palm Tree Crew Men's Polo (Black)</t>
        </is>
      </c>
      <c r="E3509" s="1" t="inlineStr">
        <is>
          <t>PUMA</t>
        </is>
      </c>
      <c r="F3509" s="1" t="inlineStr">
        <is>
          <t>SHORT SLEEVES</t>
        </is>
      </c>
      <c r="G3509" s="1" t="inlineStr">
        <is>
          <t>GF2040116646XS</t>
        </is>
      </c>
      <c r="H3509" s="1" t="n">
        <v>6</v>
      </c>
      <c r="I3509" s="1" t="inlineStr">
        <is>
          <t>มี</t>
        </is>
      </c>
      <c r="J3509" s="13" t="n">
        <v>55</v>
      </c>
      <c r="K3509" s="1" t="inlineStr"/>
      <c r="L3509" s="13" t="n">
        <v>45</v>
      </c>
      <c r="M3509" s="1">
        <f>IF(L3509="","ไม่พบใน SG",IF(ABS(J3509-L3509)&lt;0.005,"ตรงกัน","ไม่ตรง"))</f>
        <v/>
      </c>
      <c r="N3509" s="14">
        <f>IF(L3509="","",ROUND(L3509*'สรุป'!$C$6,-1))</f>
        <v/>
      </c>
      <c r="O3509" s="15" t="n"/>
      <c r="P3509" s="15" t="n"/>
      <c r="Q3509" s="10" t="n"/>
      <c r="R3509" s="10" t="n"/>
      <c r="S3509" s="16" t="inlineStr">
        <is>
          <t>https://mstgolf.co.th/products/gf2040116646</t>
        </is>
      </c>
      <c r="T3509" s="1">
        <f>IF(B3509="ไม้กอล์ฟ",J3509,"")</f>
        <v/>
      </c>
    </row>
    <row r="3510">
      <c r="A3510" s="1" t="n">
        <v>3</v>
      </c>
      <c r="B3510" s="1" t="inlineStr">
        <is>
          <t>เสื้อผ้า</t>
        </is>
      </c>
      <c r="C3510" s="1" t="inlineStr">
        <is>
          <t>gf2040115113</t>
        </is>
      </c>
      <c r="D3510" s="1" t="inlineStr">
        <is>
          <t>PUMA Palm Tree Crew Paradise Men's Polo (Bright White)</t>
        </is>
      </c>
      <c r="E3510" s="1" t="inlineStr">
        <is>
          <t>PUMA</t>
        </is>
      </c>
      <c r="F3510" s="1" t="inlineStr">
        <is>
          <t>SHORT SLEEVES</t>
        </is>
      </c>
      <c r="G3510" s="1" t="inlineStr">
        <is>
          <t>GF2040115113XS</t>
        </is>
      </c>
      <c r="H3510" s="1" t="n">
        <v>6</v>
      </c>
      <c r="I3510" s="1" t="inlineStr">
        <is>
          <t>มี</t>
        </is>
      </c>
      <c r="J3510" s="13" t="n">
        <v>55</v>
      </c>
      <c r="K3510" s="1" t="inlineStr"/>
      <c r="L3510" s="13" t="n">
        <v>55</v>
      </c>
      <c r="M3510" s="1">
        <f>IF(L3510="","ไม่พบใน SG",IF(ABS(J3510-L3510)&lt;0.005,"ตรงกัน","ไม่ตรง"))</f>
        <v/>
      </c>
      <c r="N3510" s="14">
        <f>IF(L3510="","",ROUND(L3510*'สรุป'!$C$6,-1))</f>
        <v/>
      </c>
      <c r="O3510" s="15" t="n"/>
      <c r="P3510" s="15" t="n"/>
      <c r="Q3510" s="10" t="n"/>
      <c r="R3510" s="10" t="n"/>
      <c r="S3510" s="16" t="inlineStr">
        <is>
          <t>https://mstgolf.co.th/products/gf2040115113</t>
        </is>
      </c>
      <c r="T3510" s="1">
        <f>IF(B3510="ไม้กอล์ฟ",J3510,"")</f>
        <v/>
      </c>
    </row>
    <row r="3511">
      <c r="A3511" s="1" t="n">
        <v>3</v>
      </c>
      <c r="B3511" s="1" t="inlineStr">
        <is>
          <t>เสื้อผ้า</t>
        </is>
      </c>
      <c r="C3511" s="1" t="inlineStr">
        <is>
          <t>gf2040117432</t>
        </is>
      </c>
      <c r="D3511" s="1" t="inlineStr">
        <is>
          <t>PUMA Pique Garden Men's Polo (Vine/Navy)</t>
        </is>
      </c>
      <c r="E3511" s="1" t="inlineStr">
        <is>
          <t>PUMA</t>
        </is>
      </c>
      <c r="F3511" s="1" t="inlineStr">
        <is>
          <t>SHORT SLEEVES</t>
        </is>
      </c>
      <c r="G3511" s="1" t="inlineStr">
        <is>
          <t>GF2040117432S</t>
        </is>
      </c>
      <c r="H3511" s="1" t="n">
        <v>5</v>
      </c>
      <c r="I3511" s="1" t="inlineStr">
        <is>
          <t>มี</t>
        </is>
      </c>
      <c r="J3511" s="13" t="n">
        <v>55</v>
      </c>
      <c r="K3511" s="1" t="inlineStr"/>
      <c r="L3511" s="13" t="n">
        <v>55</v>
      </c>
      <c r="M3511" s="1">
        <f>IF(L3511="","ไม่พบใน SG",IF(ABS(J3511-L3511)&lt;0.005,"ตรงกัน","ไม่ตรง"))</f>
        <v/>
      </c>
      <c r="N3511" s="14">
        <f>IF(L3511="","",ROUND(L3511*'สรุป'!$C$6,-1))</f>
        <v/>
      </c>
      <c r="O3511" s="15" t="n"/>
      <c r="P3511" s="15" t="n"/>
      <c r="Q3511" s="10" t="n"/>
      <c r="R3511" s="10" t="n"/>
      <c r="S3511" s="16" t="inlineStr">
        <is>
          <t>https://mstgolf.co.th/products/gf2040117432</t>
        </is>
      </c>
      <c r="T3511" s="1">
        <f>IF(B3511="ไม้กอล์ฟ",J3511,"")</f>
        <v/>
      </c>
    </row>
    <row r="3512">
      <c r="A3512" s="1" t="n">
        <v>3</v>
      </c>
      <c r="B3512" s="1" t="inlineStr">
        <is>
          <t>เสื้อผ้า</t>
        </is>
      </c>
      <c r="C3512" s="1" t="inlineStr">
        <is>
          <t>gf2040117443</t>
        </is>
      </c>
      <c r="D3512" s="1" t="inlineStr">
        <is>
          <t>PUMA Pique Gingham Solid Men's Polo (Deep Navy)</t>
        </is>
      </c>
      <c r="E3512" s="1" t="inlineStr">
        <is>
          <t>PUMA</t>
        </is>
      </c>
      <c r="F3512" s="1" t="inlineStr">
        <is>
          <t>SHORT SLEEVES</t>
        </is>
      </c>
      <c r="G3512" s="1" t="inlineStr">
        <is>
          <t>GF2040117443XS</t>
        </is>
      </c>
      <c r="H3512" s="1" t="n">
        <v>6</v>
      </c>
      <c r="I3512" s="1" t="inlineStr">
        <is>
          <t>มี</t>
        </is>
      </c>
      <c r="J3512" s="13" t="n">
        <v>55</v>
      </c>
      <c r="K3512" s="1" t="inlineStr"/>
      <c r="L3512" s="13" t="n">
        <v>55</v>
      </c>
      <c r="M3512" s="1">
        <f>IF(L3512="","ไม่พบใน SG",IF(ABS(J3512-L3512)&lt;0.005,"ตรงกัน","ไม่ตรง"))</f>
        <v/>
      </c>
      <c r="N3512" s="14">
        <f>IF(L3512="","",ROUND(L3512*'สรุป'!$C$6,-1))</f>
        <v/>
      </c>
      <c r="O3512" s="15" t="n"/>
      <c r="P3512" s="15" t="n"/>
      <c r="Q3512" s="10" t="n"/>
      <c r="R3512" s="10" t="n"/>
      <c r="S3512" s="16" t="inlineStr">
        <is>
          <t>https://mstgolf.co.th/products/gf2040117443</t>
        </is>
      </c>
      <c r="T3512" s="1">
        <f>IF(B3512="ไม้กอล์ฟ",J3512,"")</f>
        <v/>
      </c>
    </row>
    <row r="3513">
      <c r="A3513" s="1" t="n">
        <v>3</v>
      </c>
      <c r="B3513" s="1" t="inlineStr">
        <is>
          <t>เสื้อผ้า</t>
        </is>
      </c>
      <c r="C3513" s="1" t="inlineStr">
        <is>
          <t>gf2040116670</t>
        </is>
      </c>
      <c r="D3513" s="1" t="inlineStr">
        <is>
          <t>PUMA x Liberty Men's Solid Polo (Navy Blazer)</t>
        </is>
      </c>
      <c r="E3513" s="1" t="inlineStr">
        <is>
          <t>PUMA</t>
        </is>
      </c>
      <c r="F3513" s="1" t="inlineStr">
        <is>
          <t>SHORT SLEEVES</t>
        </is>
      </c>
      <c r="G3513" s="1" t="inlineStr">
        <is>
          <t>GF2040116670XS</t>
        </is>
      </c>
      <c r="H3513" s="1" t="n">
        <v>6</v>
      </c>
      <c r="I3513" s="1" t="inlineStr">
        <is>
          <t>มี</t>
        </is>
      </c>
      <c r="J3513" s="13" t="n">
        <v>55</v>
      </c>
      <c r="K3513" s="1" t="inlineStr"/>
      <c r="L3513" s="13" t="n">
        <v>55</v>
      </c>
      <c r="M3513" s="1">
        <f>IF(L3513="","ไม่พบใน SG",IF(ABS(J3513-L3513)&lt;0.005,"ตรงกัน","ไม่ตรง"))</f>
        <v/>
      </c>
      <c r="N3513" s="14">
        <f>IF(L3513="","",ROUND(L3513*'สรุป'!$C$6,-1))</f>
        <v/>
      </c>
      <c r="O3513" s="15" t="n"/>
      <c r="P3513" s="15" t="n"/>
      <c r="Q3513" s="10" t="n"/>
      <c r="R3513" s="10" t="n"/>
      <c r="S3513" s="16" t="inlineStr">
        <is>
          <t>https://mstgolf.co.th/products/gf2040116670</t>
        </is>
      </c>
      <c r="T3513" s="1">
        <f>IF(B3513="ไม้กอล์ฟ",J3513,"")</f>
        <v/>
      </c>
    </row>
    <row r="3514">
      <c r="A3514" s="1" t="n">
        <v>3</v>
      </c>
      <c r="B3514" s="1" t="inlineStr">
        <is>
          <t>เสื้อผ้า</t>
        </is>
      </c>
      <c r="C3514" s="1" t="inlineStr">
        <is>
          <t>gf2040116668</t>
        </is>
      </c>
      <c r="D3514" s="1" t="inlineStr">
        <is>
          <t>PUMA x Liberty Paisley Men's Polo (Navy/Green Fog)</t>
        </is>
      </c>
      <c r="E3514" s="1" t="inlineStr">
        <is>
          <t>PUMA</t>
        </is>
      </c>
      <c r="F3514" s="1" t="inlineStr">
        <is>
          <t>SHORT SLEEVES</t>
        </is>
      </c>
      <c r="G3514" s="1" t="inlineStr">
        <is>
          <t>GF2040116668XS</t>
        </is>
      </c>
      <c r="H3514" s="1" t="n">
        <v>6</v>
      </c>
      <c r="I3514" s="1" t="inlineStr">
        <is>
          <t>มี</t>
        </is>
      </c>
      <c r="J3514" s="13" t="n">
        <v>55</v>
      </c>
      <c r="K3514" s="1" t="inlineStr"/>
      <c r="L3514" s="13" t="n">
        <v>55</v>
      </c>
      <c r="M3514" s="1">
        <f>IF(L3514="","ไม่พบใน SG",IF(ABS(J3514-L3514)&lt;0.005,"ตรงกัน","ไม่ตรง"))</f>
        <v/>
      </c>
      <c r="N3514" s="14">
        <f>IF(L3514="","",ROUND(L3514*'สรุป'!$C$6,-1))</f>
        <v/>
      </c>
      <c r="O3514" s="15" t="n"/>
      <c r="P3514" s="15" t="n"/>
      <c r="Q3514" s="10" t="n"/>
      <c r="R3514" s="10" t="n"/>
      <c r="S3514" s="16" t="inlineStr">
        <is>
          <t>https://mstgolf.co.th/products/gf2040116668</t>
        </is>
      </c>
      <c r="T3514" s="1">
        <f>IF(B3514="ไม้กอล์ฟ",J3514,"")</f>
        <v/>
      </c>
    </row>
    <row r="3515">
      <c r="A3515" s="1" t="n">
        <v>3</v>
      </c>
      <c r="B3515" s="1" t="inlineStr">
        <is>
          <t>เสื้อผ้า</t>
        </is>
      </c>
      <c r="C3515" s="1" t="inlineStr">
        <is>
          <t>gf2040120280</t>
        </is>
      </c>
      <c r="D3515" s="1" t="inlineStr">
        <is>
          <t>PUMA x REIGNING CHAMP Modalon Men's T-Shirt (Warm White)</t>
        </is>
      </c>
      <c r="E3515" s="1" t="inlineStr">
        <is>
          <t>PUMA</t>
        </is>
      </c>
      <c r="F3515" s="1" t="inlineStr">
        <is>
          <t>SHORT SLEEVES</t>
        </is>
      </c>
      <c r="G3515" s="1" t="inlineStr">
        <is>
          <t>GF2040120280S</t>
        </is>
      </c>
      <c r="H3515" s="1" t="n">
        <v>5</v>
      </c>
      <c r="I3515" s="1" t="inlineStr">
        <is>
          <t>มี</t>
        </is>
      </c>
      <c r="J3515" s="13" t="n">
        <v>55</v>
      </c>
      <c r="K3515" s="1" t="inlineStr"/>
      <c r="L3515" s="13" t="n">
        <v>55</v>
      </c>
      <c r="M3515" s="1">
        <f>IF(L3515="","ไม่พบใน SG",IF(ABS(J3515-L3515)&lt;0.005,"ตรงกัน","ไม่ตรง"))</f>
        <v/>
      </c>
      <c r="N3515" s="14">
        <f>IF(L3515="","",ROUND(L3515*'สรุป'!$C$6,-1))</f>
        <v/>
      </c>
      <c r="O3515" s="15" t="n"/>
      <c r="P3515" s="15" t="n"/>
      <c r="Q3515" s="10" t="n"/>
      <c r="R3515" s="10" t="n"/>
      <c r="S3515" s="16" t="inlineStr">
        <is>
          <t>https://mstgolf.co.th/products/gf2040120280</t>
        </is>
      </c>
      <c r="T3515" s="1">
        <f>IF(B3515="ไม้กอล์ฟ",J3515,"")</f>
        <v/>
      </c>
    </row>
    <row r="3516">
      <c r="A3516" s="1" t="n">
        <v>3</v>
      </c>
      <c r="B3516" s="1" t="inlineStr">
        <is>
          <t>เสื้อผ้า</t>
        </is>
      </c>
      <c r="C3516" s="1" t="inlineStr">
        <is>
          <t>gf2110100220</t>
        </is>
      </c>
      <c r="D3516" s="1" t="inlineStr">
        <is>
          <t>SPARMS Crystal Women's Sun Sleeves (Black)</t>
        </is>
      </c>
      <c r="E3516" s="1" t="inlineStr">
        <is>
          <t>SPARMS</t>
        </is>
      </c>
      <c r="F3516" s="1" t="inlineStr">
        <is>
          <t>ARM GLOVE</t>
        </is>
      </c>
      <c r="G3516" s="1" t="inlineStr">
        <is>
          <t>GF2110100220XS</t>
        </is>
      </c>
      <c r="H3516" s="1" t="n">
        <v>4</v>
      </c>
      <c r="I3516" s="1" t="inlineStr">
        <is>
          <t>มี</t>
        </is>
      </c>
      <c r="J3516" s="13" t="n">
        <v>55</v>
      </c>
      <c r="K3516" s="1" t="inlineStr"/>
      <c r="L3516" s="13" t="n">
        <v>55</v>
      </c>
      <c r="M3516" s="1">
        <f>IF(L3516="","ไม่พบใน SG",IF(ABS(J3516-L3516)&lt;0.005,"ตรงกัน","ไม่ตรง"))</f>
        <v/>
      </c>
      <c r="N3516" s="14">
        <f>IF(L3516="","",ROUND(L3516*'สรุป'!$C$6,-1))</f>
        <v/>
      </c>
      <c r="O3516" s="15" t="n"/>
      <c r="P3516" s="15" t="n"/>
      <c r="Q3516" s="10" t="n"/>
      <c r="R3516" s="10" t="n"/>
      <c r="S3516" s="16" t="inlineStr">
        <is>
          <t>https://mstgolf.co.th/products/gf2110100220</t>
        </is>
      </c>
      <c r="T3516" s="1">
        <f>IF(B3516="ไม้กอล์ฟ",J3516,"")</f>
        <v/>
      </c>
    </row>
    <row r="3517">
      <c r="A3517" s="1" t="n">
        <v>3</v>
      </c>
      <c r="B3517" s="1" t="inlineStr">
        <is>
          <t>เสื้อผ้า</t>
        </is>
      </c>
      <c r="C3517" s="1" t="inlineStr">
        <is>
          <t>gf2110100219</t>
        </is>
      </c>
      <c r="D3517" s="1" t="inlineStr">
        <is>
          <t>SPARMS Crystal Women's Sun Sleeves (White)</t>
        </is>
      </c>
      <c r="E3517" s="1" t="inlineStr">
        <is>
          <t>SPARMS</t>
        </is>
      </c>
      <c r="F3517" s="1" t="inlineStr">
        <is>
          <t>ARM GLOVE</t>
        </is>
      </c>
      <c r="G3517" s="1" t="inlineStr">
        <is>
          <t>GF2110100219XS</t>
        </is>
      </c>
      <c r="H3517" s="1" t="n">
        <v>4</v>
      </c>
      <c r="I3517" s="1" t="inlineStr">
        <is>
          <t>มี</t>
        </is>
      </c>
      <c r="J3517" s="13" t="n">
        <v>55</v>
      </c>
      <c r="K3517" s="1" t="inlineStr"/>
      <c r="L3517" s="13" t="n">
        <v>55</v>
      </c>
      <c r="M3517" s="1">
        <f>IF(L3517="","ไม่พบใน SG",IF(ABS(J3517-L3517)&lt;0.005,"ตรงกัน","ไม่ตรง"))</f>
        <v/>
      </c>
      <c r="N3517" s="14">
        <f>IF(L3517="","",ROUND(L3517*'สรุป'!$C$6,-1))</f>
        <v/>
      </c>
      <c r="O3517" s="15" t="n"/>
      <c r="P3517" s="15" t="n"/>
      <c r="Q3517" s="10" t="n"/>
      <c r="R3517" s="10" t="n"/>
      <c r="S3517" s="16" t="inlineStr">
        <is>
          <t>https://mstgolf.co.th/products/gf2110100219</t>
        </is>
      </c>
      <c r="T3517" s="1">
        <f>IF(B3517="ไม้กอล์ฟ",J3517,"")</f>
        <v/>
      </c>
    </row>
    <row r="3518">
      <c r="A3518" s="1" t="n">
        <v>3</v>
      </c>
      <c r="B3518" s="1" t="inlineStr">
        <is>
          <t>เสื้อผ้า</t>
        </is>
      </c>
      <c r="C3518" s="1" t="inlineStr">
        <is>
          <t>gf2110100217</t>
        </is>
      </c>
      <c r="D3518" s="1" t="inlineStr">
        <is>
          <t>SPARMS Digital Camo Arm Sleeves (Green)</t>
        </is>
      </c>
      <c r="E3518" s="1" t="inlineStr">
        <is>
          <t>SPARMS</t>
        </is>
      </c>
      <c r="F3518" s="1" t="inlineStr">
        <is>
          <t>ARM GLOVE</t>
        </is>
      </c>
      <c r="G3518" s="1" t="inlineStr">
        <is>
          <t>GF2110100217XS</t>
        </is>
      </c>
      <c r="H3518" s="1" t="n">
        <v>5</v>
      </c>
      <c r="I3518" s="1" t="inlineStr">
        <is>
          <t>มี</t>
        </is>
      </c>
      <c r="J3518" s="13" t="n">
        <v>55</v>
      </c>
      <c r="K3518" s="1" t="inlineStr"/>
      <c r="L3518" s="13" t="n">
        <v>55</v>
      </c>
      <c r="M3518" s="1">
        <f>IF(L3518="","ไม่พบใน SG",IF(ABS(J3518-L3518)&lt;0.005,"ตรงกัน","ไม่ตรง"))</f>
        <v/>
      </c>
      <c r="N3518" s="14">
        <f>IF(L3518="","",ROUND(L3518*'สรุป'!$C$6,-1))</f>
        <v/>
      </c>
      <c r="O3518" s="15" t="n"/>
      <c r="P3518" s="15" t="n"/>
      <c r="Q3518" s="10" t="n"/>
      <c r="R3518" s="10" t="n"/>
      <c r="S3518" s="16" t="inlineStr">
        <is>
          <t>https://mstgolf.co.th/products/gf2110100217</t>
        </is>
      </c>
      <c r="T3518" s="1">
        <f>IF(B3518="ไม้กอล์ฟ",J3518,"")</f>
        <v/>
      </c>
    </row>
    <row r="3519">
      <c r="A3519" s="1" t="n">
        <v>3</v>
      </c>
      <c r="B3519" s="1" t="inlineStr">
        <is>
          <t>หมวก</t>
        </is>
      </c>
      <c r="C3519" s="1" t="inlineStr">
        <is>
          <t>gf2000105302</t>
        </is>
      </c>
      <c r="D3519" s="1" t="inlineStr">
        <is>
          <t>TAYLORMADE Circle Patch Radar Men's Cap (White)</t>
        </is>
      </c>
      <c r="E3519" s="1" t="inlineStr">
        <is>
          <t>TAYLORMADE</t>
        </is>
      </c>
      <c r="F3519" s="1" t="inlineStr">
        <is>
          <t>CAP</t>
        </is>
      </c>
      <c r="G3519" s="1" t="inlineStr">
        <is>
          <t>GF2000105302FS</t>
        </is>
      </c>
      <c r="H3519" s="1" t="n">
        <v>1</v>
      </c>
      <c r="I3519" s="1" t="inlineStr">
        <is>
          <t>มี</t>
        </is>
      </c>
      <c r="J3519" s="13" t="n">
        <v>55</v>
      </c>
      <c r="K3519" s="1" t="inlineStr"/>
      <c r="L3519" s="13" t="n">
        <v>55</v>
      </c>
      <c r="M3519" s="1">
        <f>IF(L3519="","ไม่พบใน SG",IF(ABS(J3519-L3519)&lt;0.005,"ตรงกัน","ไม่ตรง"))</f>
        <v/>
      </c>
      <c r="N3519" s="14">
        <f>IF(L3519="","",ROUND(L3519*'สรุป'!$C$6,-1))</f>
        <v/>
      </c>
      <c r="O3519" s="15" t="n"/>
      <c r="P3519" s="15" t="n"/>
      <c r="Q3519" s="10" t="n"/>
      <c r="R3519" s="10" t="n"/>
      <c r="S3519" s="16" t="inlineStr">
        <is>
          <t>https://mstgolf.co.th/products/gf2000105302</t>
        </is>
      </c>
      <c r="T3519" s="1">
        <f>IF(B3519="ไม้กอล์ฟ",J3519,"")</f>
        <v/>
      </c>
    </row>
    <row r="3520">
      <c r="A3520" s="1" t="n">
        <v>3</v>
      </c>
      <c r="B3520" s="1" t="inlineStr">
        <is>
          <t>เสื้อผ้า</t>
        </is>
      </c>
      <c r="C3520" s="1" t="inlineStr">
        <is>
          <t>gf2040115528</t>
        </is>
      </c>
      <c r="D3520" s="1" t="inlineStr">
        <is>
          <t>TAYLORMADE Club Basic Men's Mock Shirt (White)</t>
        </is>
      </c>
      <c r="E3520" s="1" t="inlineStr">
        <is>
          <t>TAYLORMADE</t>
        </is>
      </c>
      <c r="F3520" s="1" t="inlineStr">
        <is>
          <t>SHORT SLEEVES</t>
        </is>
      </c>
      <c r="G3520" s="1" t="inlineStr">
        <is>
          <t>GF2040115528M</t>
        </is>
      </c>
      <c r="H3520" s="1" t="n">
        <v>5</v>
      </c>
      <c r="I3520" s="1" t="inlineStr">
        <is>
          <t>มี</t>
        </is>
      </c>
      <c r="J3520" s="13" t="n">
        <v>55</v>
      </c>
      <c r="K3520" s="1" t="inlineStr"/>
      <c r="L3520" s="13" t="n">
        <v>55</v>
      </c>
      <c r="M3520" s="1">
        <f>IF(L3520="","ไม่พบใน SG",IF(ABS(J3520-L3520)&lt;0.005,"ตรงกัน","ไม่ตรง"))</f>
        <v/>
      </c>
      <c r="N3520" s="14">
        <f>IF(L3520="","",ROUND(L3520*'สรุป'!$C$6,-1))</f>
        <v/>
      </c>
      <c r="O3520" s="15" t="n"/>
      <c r="P3520" s="15" t="n"/>
      <c r="Q3520" s="10" t="n"/>
      <c r="R3520" s="10" t="n"/>
      <c r="S3520" s="16" t="inlineStr">
        <is>
          <t>https://mstgolf.co.th/products/gf2040115528</t>
        </is>
      </c>
      <c r="T3520" s="1">
        <f>IF(B3520="ไม้กอล์ฟ",J3520,"")</f>
        <v/>
      </c>
    </row>
    <row r="3521">
      <c r="A3521" s="1" t="n">
        <v>3</v>
      </c>
      <c r="B3521" s="1" t="inlineStr">
        <is>
          <t>หมวก</t>
        </is>
      </c>
      <c r="C3521" s="1" t="inlineStr">
        <is>
          <t>gf2000105317</t>
        </is>
      </c>
      <c r="D3521" s="1" t="inlineStr">
        <is>
          <t>TAYLORMADE GWP TM23 Iron Promo Cap (Black)</t>
        </is>
      </c>
      <c r="E3521" s="1" t="inlineStr">
        <is>
          <t>TAYLORMADE</t>
        </is>
      </c>
      <c r="F3521" s="1" t="inlineStr">
        <is>
          <t>CAP</t>
        </is>
      </c>
      <c r="G3521" s="1" t="inlineStr">
        <is>
          <t>GF2000105317FS</t>
        </is>
      </c>
      <c r="H3521" s="1" t="n">
        <v>1</v>
      </c>
      <c r="I3521" s="1" t="inlineStr">
        <is>
          <t>มี</t>
        </is>
      </c>
      <c r="J3521" s="13" t="n">
        <v>55</v>
      </c>
      <c r="K3521" s="1" t="inlineStr"/>
      <c r="L3521" s="13" t="n"/>
      <c r="M3521" s="1">
        <f>IF(L3521="","ไม่พบใน SG",IF(ABS(J3521-L3521)&lt;0.005,"ตรงกัน","ไม่ตรง"))</f>
        <v/>
      </c>
      <c r="N3521" s="14">
        <f>IF(L3521="","",ROUND(L3521*'สรุป'!$C$6,-1))</f>
        <v/>
      </c>
      <c r="O3521" s="15" t="n"/>
      <c r="P3521" s="15" t="n"/>
      <c r="Q3521" s="10" t="n"/>
      <c r="R3521" s="10" t="n"/>
      <c r="S3521" s="16" t="inlineStr">
        <is>
          <t>https://mstgolf.co.th/products/gf2000105317</t>
        </is>
      </c>
      <c r="T3521" s="1">
        <f>IF(B3521="ไม้กอล์ฟ",J3521,"")</f>
        <v/>
      </c>
    </row>
    <row r="3522">
      <c r="A3522" s="1" t="n">
        <v>3</v>
      </c>
      <c r="B3522" s="1" t="inlineStr">
        <is>
          <t>หมวก</t>
        </is>
      </c>
      <c r="C3522" s="1" t="inlineStr">
        <is>
          <t>gf2000105167</t>
        </is>
      </c>
      <c r="D3522" s="1" t="inlineStr">
        <is>
          <t>TAYLORMADE Golf Logo Men's Cap (Black)</t>
        </is>
      </c>
      <c r="E3522" s="1" t="inlineStr">
        <is>
          <t>TAYLORMADE</t>
        </is>
      </c>
      <c r="F3522" s="1" t="inlineStr">
        <is>
          <t>CAP</t>
        </is>
      </c>
      <c r="G3522" s="1" t="inlineStr">
        <is>
          <t>GF2000105167FS</t>
        </is>
      </c>
      <c r="H3522" s="1" t="n">
        <v>1</v>
      </c>
      <c r="I3522" s="1" t="inlineStr">
        <is>
          <t>มี</t>
        </is>
      </c>
      <c r="J3522" s="13" t="n">
        <v>55</v>
      </c>
      <c r="K3522" s="1" t="inlineStr"/>
      <c r="L3522" s="13" t="n">
        <v>55</v>
      </c>
      <c r="M3522" s="1">
        <f>IF(L3522="","ไม่พบใน SG",IF(ABS(J3522-L3522)&lt;0.005,"ตรงกัน","ไม่ตรง"))</f>
        <v/>
      </c>
      <c r="N3522" s="14">
        <f>IF(L3522="","",ROUND(L3522*'สรุป'!$C$6,-1))</f>
        <v/>
      </c>
      <c r="O3522" s="15" t="n"/>
      <c r="P3522" s="15" t="n"/>
      <c r="Q3522" s="10" t="n"/>
      <c r="R3522" s="10" t="n"/>
      <c r="S3522" s="16" t="inlineStr">
        <is>
          <t>https://mstgolf.co.th/products/gf2000105167</t>
        </is>
      </c>
      <c r="T3522" s="1">
        <f>IF(B3522="ไม้กอล์ฟ",J3522,"")</f>
        <v/>
      </c>
    </row>
    <row r="3523">
      <c r="A3523" s="1" t="n">
        <v>3</v>
      </c>
      <c r="B3523" s="1" t="inlineStr">
        <is>
          <t>หมวก</t>
        </is>
      </c>
      <c r="C3523" s="1" t="inlineStr">
        <is>
          <t>gf2000105292</t>
        </is>
      </c>
      <c r="D3523" s="1" t="inlineStr">
        <is>
          <t>TAYLORMADE Golf Logo Men's Cap (Navy)</t>
        </is>
      </c>
      <c r="E3523" s="1" t="inlineStr">
        <is>
          <t>TAYLORMADE</t>
        </is>
      </c>
      <c r="F3523" s="1" t="inlineStr">
        <is>
          <t>CAP</t>
        </is>
      </c>
      <c r="G3523" s="1" t="inlineStr">
        <is>
          <t>GF2000105292FS</t>
        </is>
      </c>
      <c r="H3523" s="1" t="n">
        <v>1</v>
      </c>
      <c r="I3523" s="1" t="inlineStr">
        <is>
          <t>มี</t>
        </is>
      </c>
      <c r="J3523" s="13" t="n">
        <v>55</v>
      </c>
      <c r="K3523" s="1" t="inlineStr"/>
      <c r="L3523" s="13" t="n">
        <v>39</v>
      </c>
      <c r="M3523" s="1">
        <f>IF(L3523="","ไม่พบใน SG",IF(ABS(J3523-L3523)&lt;0.005,"ตรงกัน","ไม่ตรง"))</f>
        <v/>
      </c>
      <c r="N3523" s="14">
        <f>IF(L3523="","",ROUND(L3523*'สรุป'!$C$6,-1))</f>
        <v/>
      </c>
      <c r="O3523" s="15" t="n"/>
      <c r="P3523" s="15" t="n"/>
      <c r="Q3523" s="10" t="n"/>
      <c r="R3523" s="10" t="n"/>
      <c r="S3523" s="16" t="inlineStr">
        <is>
          <t>https://mstgolf.co.th/products/gf2000105292</t>
        </is>
      </c>
      <c r="T3523" s="1">
        <f>IF(B3523="ไม้กอล์ฟ",J3523,"")</f>
        <v/>
      </c>
    </row>
    <row r="3524">
      <c r="A3524" s="1" t="n">
        <v>3</v>
      </c>
      <c r="B3524" s="1" t="inlineStr">
        <is>
          <t>หมวก</t>
        </is>
      </c>
      <c r="C3524" s="1" t="inlineStr">
        <is>
          <t>gf2000105311</t>
        </is>
      </c>
      <c r="D3524" s="1" t="inlineStr">
        <is>
          <t>TAYLORMADE Heritage Deboss Men's Cap (Black)</t>
        </is>
      </c>
      <c r="E3524" s="1" t="inlineStr">
        <is>
          <t>TAYLORMADE</t>
        </is>
      </c>
      <c r="F3524" s="1" t="inlineStr">
        <is>
          <t>CAP</t>
        </is>
      </c>
      <c r="G3524" s="1" t="inlineStr">
        <is>
          <t>GF2000105311FS</t>
        </is>
      </c>
      <c r="H3524" s="1" t="n">
        <v>1</v>
      </c>
      <c r="I3524" s="1" t="inlineStr">
        <is>
          <t>มี</t>
        </is>
      </c>
      <c r="J3524" s="13" t="n">
        <v>55</v>
      </c>
      <c r="K3524" s="1" t="inlineStr"/>
      <c r="L3524" s="13" t="n">
        <v>55</v>
      </c>
      <c r="M3524" s="1">
        <f>IF(L3524="","ไม่พบใน SG",IF(ABS(J3524-L3524)&lt;0.005,"ตรงกัน","ไม่ตรง"))</f>
        <v/>
      </c>
      <c r="N3524" s="14">
        <f>IF(L3524="","",ROUND(L3524*'สรุป'!$C$6,-1))</f>
        <v/>
      </c>
      <c r="O3524" s="15" t="n"/>
      <c r="P3524" s="15" t="n"/>
      <c r="Q3524" s="10" t="n"/>
      <c r="R3524" s="10" t="n"/>
      <c r="S3524" s="16" t="inlineStr">
        <is>
          <t>https://mstgolf.co.th/products/gf2000105311</t>
        </is>
      </c>
      <c r="T3524" s="1">
        <f>IF(B3524="ไม้กอล์ฟ",J3524,"")</f>
        <v/>
      </c>
    </row>
    <row r="3525">
      <c r="A3525" s="1" t="n">
        <v>3</v>
      </c>
      <c r="B3525" s="1" t="inlineStr">
        <is>
          <t>หมวก</t>
        </is>
      </c>
      <c r="C3525" s="1" t="inlineStr">
        <is>
          <t>gf2000105307</t>
        </is>
      </c>
      <c r="D3525" s="1" t="inlineStr">
        <is>
          <t>TAYLORMADE Heritage Deboss Men's Cap (Red)</t>
        </is>
      </c>
      <c r="E3525" s="1" t="inlineStr">
        <is>
          <t>TAYLORMADE</t>
        </is>
      </c>
      <c r="F3525" s="1" t="inlineStr">
        <is>
          <t>CAP</t>
        </is>
      </c>
      <c r="G3525" s="1" t="inlineStr">
        <is>
          <t>GF2000105307FS</t>
        </is>
      </c>
      <c r="H3525" s="1" t="n">
        <v>1</v>
      </c>
      <c r="I3525" s="1" t="inlineStr">
        <is>
          <t>มี</t>
        </is>
      </c>
      <c r="J3525" s="13" t="n">
        <v>55</v>
      </c>
      <c r="K3525" s="1" t="inlineStr"/>
      <c r="L3525" s="13" t="n">
        <v>55</v>
      </c>
      <c r="M3525" s="1">
        <f>IF(L3525="","ไม่พบใน SG",IF(ABS(J3525-L3525)&lt;0.005,"ตรงกัน","ไม่ตรง"))</f>
        <v/>
      </c>
      <c r="N3525" s="14">
        <f>IF(L3525="","",ROUND(L3525*'สรุป'!$C$6,-1))</f>
        <v/>
      </c>
      <c r="O3525" s="15" t="n"/>
      <c r="P3525" s="15" t="n"/>
      <c r="Q3525" s="10" t="n"/>
      <c r="R3525" s="10" t="n"/>
      <c r="S3525" s="16" t="inlineStr">
        <is>
          <t>https://mstgolf.co.th/products/gf2000105307</t>
        </is>
      </c>
      <c r="T3525" s="1">
        <f>IF(B3525="ไม้กอล์ฟ",J3525,"")</f>
        <v/>
      </c>
    </row>
    <row r="3526">
      <c r="A3526" s="1" t="n">
        <v>3</v>
      </c>
      <c r="B3526" s="1" t="inlineStr">
        <is>
          <t>หมวก</t>
        </is>
      </c>
      <c r="C3526" s="1" t="inlineStr">
        <is>
          <t>gf2000300408</t>
        </is>
      </c>
      <c r="D3526" s="1" t="inlineStr">
        <is>
          <t>TAYLORMADE Japan Packable Men's Rain Hat (Black)</t>
        </is>
      </c>
      <c r="E3526" s="1" t="inlineStr">
        <is>
          <t>TAYLORMADE</t>
        </is>
      </c>
      <c r="F3526" s="1" t="inlineStr">
        <is>
          <t>HAT</t>
        </is>
      </c>
      <c r="G3526" s="1" t="inlineStr">
        <is>
          <t>GF2000300408FS</t>
        </is>
      </c>
      <c r="H3526" s="1" t="n">
        <v>1</v>
      </c>
      <c r="I3526" s="1" t="inlineStr">
        <is>
          <t>มี</t>
        </is>
      </c>
      <c r="J3526" s="13" t="n">
        <v>55</v>
      </c>
      <c r="K3526" s="1" t="inlineStr"/>
      <c r="L3526" s="13" t="n">
        <v>55</v>
      </c>
      <c r="M3526" s="1">
        <f>IF(L3526="","ไม่พบใน SG",IF(ABS(J3526-L3526)&lt;0.005,"ตรงกัน","ไม่ตรง"))</f>
        <v/>
      </c>
      <c r="N3526" s="14">
        <f>IF(L3526="","",ROUND(L3526*'สรุป'!$C$6,-1))</f>
        <v/>
      </c>
      <c r="O3526" s="15" t="n"/>
      <c r="P3526" s="15" t="n"/>
      <c r="Q3526" s="10" t="n"/>
      <c r="R3526" s="10" t="n"/>
      <c r="S3526" s="16" t="inlineStr">
        <is>
          <t>https://mstgolf.co.th/products/gf2000300408</t>
        </is>
      </c>
      <c r="T3526" s="1">
        <f>IF(B3526="ไม้กอล์ฟ",J3526,"")</f>
        <v/>
      </c>
    </row>
    <row r="3527">
      <c r="A3527" s="1" t="n">
        <v>3</v>
      </c>
      <c r="B3527" s="1" t="inlineStr">
        <is>
          <t>หมวก</t>
        </is>
      </c>
      <c r="C3527" s="1" t="inlineStr">
        <is>
          <t>gf2000105294</t>
        </is>
      </c>
      <c r="D3527" s="1" t="inlineStr">
        <is>
          <t>TAYLORMADE Lifestyle Camo Patch Flatbill Men's Cap (Navy)</t>
        </is>
      </c>
      <c r="E3527" s="1" t="inlineStr">
        <is>
          <t>TAYLORMADE</t>
        </is>
      </c>
      <c r="F3527" s="1" t="inlineStr">
        <is>
          <t>CAP</t>
        </is>
      </c>
      <c r="G3527" s="1" t="inlineStr">
        <is>
          <t>GF2000105294FS</t>
        </is>
      </c>
      <c r="H3527" s="1" t="n">
        <v>1</v>
      </c>
      <c r="I3527" s="1" t="inlineStr">
        <is>
          <t>มี</t>
        </is>
      </c>
      <c r="J3527" s="13" t="n">
        <v>55</v>
      </c>
      <c r="K3527" s="1" t="inlineStr"/>
      <c r="L3527" s="13" t="n">
        <v>55</v>
      </c>
      <c r="M3527" s="1">
        <f>IF(L3527="","ไม่พบใน SG",IF(ABS(J3527-L3527)&lt;0.005,"ตรงกัน","ไม่ตรง"))</f>
        <v/>
      </c>
      <c r="N3527" s="14">
        <f>IF(L3527="","",ROUND(L3527*'สรุป'!$C$6,-1))</f>
        <v/>
      </c>
      <c r="O3527" s="15" t="n"/>
      <c r="P3527" s="15" t="n"/>
      <c r="Q3527" s="10" t="n"/>
      <c r="R3527" s="10" t="n"/>
      <c r="S3527" s="16" t="inlineStr">
        <is>
          <t>https://mstgolf.co.th/products/gf2000105294</t>
        </is>
      </c>
      <c r="T3527" s="1">
        <f>IF(B3527="ไม้กอล์ฟ",J3527,"")</f>
        <v/>
      </c>
    </row>
    <row r="3528">
      <c r="A3528" s="1" t="n">
        <v>3</v>
      </c>
      <c r="B3528" s="1" t="inlineStr">
        <is>
          <t>หมวก</t>
        </is>
      </c>
      <c r="C3528" s="1" t="inlineStr">
        <is>
          <t>gf2000105293</t>
        </is>
      </c>
      <c r="D3528" s="1" t="inlineStr">
        <is>
          <t>TAYLORMADE Lifestyle Camo Patch Flatbill Men's Cap (White)</t>
        </is>
      </c>
      <c r="E3528" s="1" t="inlineStr">
        <is>
          <t>TAYLORMADE</t>
        </is>
      </c>
      <c r="F3528" s="1" t="inlineStr">
        <is>
          <t>CAP</t>
        </is>
      </c>
      <c r="G3528" s="1" t="inlineStr">
        <is>
          <t>GF2000105293FS</t>
        </is>
      </c>
      <c r="H3528" s="1" t="n">
        <v>1</v>
      </c>
      <c r="I3528" s="1" t="inlineStr">
        <is>
          <t>มี</t>
        </is>
      </c>
      <c r="J3528" s="13" t="n">
        <v>55</v>
      </c>
      <c r="K3528" s="1" t="inlineStr"/>
      <c r="L3528" s="13" t="n">
        <v>55</v>
      </c>
      <c r="M3528" s="1">
        <f>IF(L3528="","ไม่พบใน SG",IF(ABS(J3528-L3528)&lt;0.005,"ตรงกัน","ไม่ตรง"))</f>
        <v/>
      </c>
      <c r="N3528" s="14">
        <f>IF(L3528="","",ROUND(L3528*'สรุป'!$C$6,-1))</f>
        <v/>
      </c>
      <c r="O3528" s="15" t="n"/>
      <c r="P3528" s="15" t="n"/>
      <c r="Q3528" s="10" t="n"/>
      <c r="R3528" s="10" t="n"/>
      <c r="S3528" s="16" t="inlineStr">
        <is>
          <t>https://mstgolf.co.th/products/gf2000105293</t>
        </is>
      </c>
      <c r="T3528" s="1">
        <f>IF(B3528="ไม้กอล์ฟ",J3528,"")</f>
        <v/>
      </c>
    </row>
    <row r="3529">
      <c r="A3529" s="1" t="n">
        <v>3</v>
      </c>
      <c r="B3529" s="1" t="inlineStr">
        <is>
          <t>หมวก</t>
        </is>
      </c>
      <c r="C3529" s="1" t="inlineStr">
        <is>
          <t>gf2000105296</t>
        </is>
      </c>
      <c r="D3529" s="1" t="inlineStr">
        <is>
          <t>TAYLORMADE Lifestyle Stretch Flatbill Men's Cap (Royal)</t>
        </is>
      </c>
      <c r="E3529" s="1" t="inlineStr">
        <is>
          <t>TAYLORMADE</t>
        </is>
      </c>
      <c r="F3529" s="1" t="inlineStr">
        <is>
          <t>CAP</t>
        </is>
      </c>
      <c r="G3529" s="1" t="inlineStr">
        <is>
          <t>GF2000105296FS</t>
        </is>
      </c>
      <c r="H3529" s="1" t="n">
        <v>1</v>
      </c>
      <c r="I3529" s="1" t="inlineStr">
        <is>
          <t>มี</t>
        </is>
      </c>
      <c r="J3529" s="13" t="n">
        <v>55</v>
      </c>
      <c r="K3529" s="1" t="inlineStr"/>
      <c r="L3529" s="13" t="n">
        <v>39</v>
      </c>
      <c r="M3529" s="1">
        <f>IF(L3529="","ไม่พบใน SG",IF(ABS(J3529-L3529)&lt;0.005,"ตรงกัน","ไม่ตรง"))</f>
        <v/>
      </c>
      <c r="N3529" s="14">
        <f>IF(L3529="","",ROUND(L3529*'สรุป'!$C$6,-1))</f>
        <v/>
      </c>
      <c r="O3529" s="15" t="n"/>
      <c r="P3529" s="15" t="n"/>
      <c r="Q3529" s="10" t="n"/>
      <c r="R3529" s="10" t="n"/>
      <c r="S3529" s="16" t="inlineStr">
        <is>
          <t>https://mstgolf.co.th/products/gf2000105296</t>
        </is>
      </c>
      <c r="T3529" s="1">
        <f>IF(B3529="ไม้กอล์ฟ",J3529,"")</f>
        <v/>
      </c>
    </row>
    <row r="3530">
      <c r="A3530" s="1" t="n">
        <v>3</v>
      </c>
      <c r="B3530" s="1" t="inlineStr">
        <is>
          <t>หมวก</t>
        </is>
      </c>
      <c r="C3530" s="1" t="inlineStr">
        <is>
          <t>gf2000105310</t>
        </is>
      </c>
      <c r="D3530" s="1" t="inlineStr">
        <is>
          <t>TAYLORMADE Metal T Men's Cap (Black)</t>
        </is>
      </c>
      <c r="E3530" s="1" t="inlineStr">
        <is>
          <t>TAYLORMADE</t>
        </is>
      </c>
      <c r="F3530" s="1" t="inlineStr">
        <is>
          <t>CAP</t>
        </is>
      </c>
      <c r="G3530" s="1" t="inlineStr">
        <is>
          <t>GF2000105310FS</t>
        </is>
      </c>
      <c r="H3530" s="1" t="n">
        <v>1</v>
      </c>
      <c r="I3530" s="1" t="inlineStr">
        <is>
          <t>มี</t>
        </is>
      </c>
      <c r="J3530" s="13" t="n">
        <v>55</v>
      </c>
      <c r="K3530" s="1" t="inlineStr"/>
      <c r="L3530" s="13" t="n">
        <v>55</v>
      </c>
      <c r="M3530" s="1">
        <f>IF(L3530="","ไม่พบใน SG",IF(ABS(J3530-L3530)&lt;0.005,"ตรงกัน","ไม่ตรง"))</f>
        <v/>
      </c>
      <c r="N3530" s="14">
        <f>IF(L3530="","",ROUND(L3530*'สรุป'!$C$6,-1))</f>
        <v/>
      </c>
      <c r="O3530" s="15" t="n"/>
      <c r="P3530" s="15" t="n"/>
      <c r="Q3530" s="10" t="n"/>
      <c r="R3530" s="10" t="n"/>
      <c r="S3530" s="16" t="inlineStr">
        <is>
          <t>https://mstgolf.co.th/products/gf2000105310</t>
        </is>
      </c>
      <c r="T3530" s="1">
        <f>IF(B3530="ไม้กอล์ฟ",J3530,"")</f>
        <v/>
      </c>
    </row>
    <row r="3531">
      <c r="A3531" s="1" t="n">
        <v>3</v>
      </c>
      <c r="B3531" s="1" t="inlineStr">
        <is>
          <t>หมวก</t>
        </is>
      </c>
      <c r="C3531" s="1" t="inlineStr">
        <is>
          <t>gf2000105309</t>
        </is>
      </c>
      <c r="D3531" s="1" t="inlineStr">
        <is>
          <t>TAYLORMADE Metal T Men's Cap (Navy)</t>
        </is>
      </c>
      <c r="E3531" s="1" t="inlineStr">
        <is>
          <t>TAYLORMADE</t>
        </is>
      </c>
      <c r="F3531" s="1" t="inlineStr">
        <is>
          <t>CAP</t>
        </is>
      </c>
      <c r="G3531" s="1" t="inlineStr">
        <is>
          <t>GF2000105309FS</t>
        </is>
      </c>
      <c r="H3531" s="1" t="n">
        <v>1</v>
      </c>
      <c r="I3531" s="1" t="inlineStr">
        <is>
          <t>มี</t>
        </is>
      </c>
      <c r="J3531" s="13" t="n">
        <v>55</v>
      </c>
      <c r="K3531" s="1" t="inlineStr"/>
      <c r="L3531" s="13" t="n">
        <v>55</v>
      </c>
      <c r="M3531" s="1">
        <f>IF(L3531="","ไม่พบใน SG",IF(ABS(J3531-L3531)&lt;0.005,"ตรงกัน","ไม่ตรง"))</f>
        <v/>
      </c>
      <c r="N3531" s="14">
        <f>IF(L3531="","",ROUND(L3531*'สรุป'!$C$6,-1))</f>
        <v/>
      </c>
      <c r="O3531" s="15" t="n"/>
      <c r="P3531" s="15" t="n"/>
      <c r="Q3531" s="10" t="n"/>
      <c r="R3531" s="10" t="n"/>
      <c r="S3531" s="16" t="inlineStr">
        <is>
          <t>https://mstgolf.co.th/products/gf2000105309</t>
        </is>
      </c>
      <c r="T3531" s="1">
        <f>IF(B3531="ไม้กอล์ฟ",J3531,"")</f>
        <v/>
      </c>
    </row>
    <row r="3532">
      <c r="A3532" s="1" t="n">
        <v>3</v>
      </c>
      <c r="B3532" s="1" t="inlineStr">
        <is>
          <t>หมวก</t>
        </is>
      </c>
      <c r="C3532" s="1" t="inlineStr">
        <is>
          <t>gf2000105308</t>
        </is>
      </c>
      <c r="D3532" s="1" t="inlineStr">
        <is>
          <t>TAYLORMADE Metal T Men's Cap (White)</t>
        </is>
      </c>
      <c r="E3532" s="1" t="inlineStr">
        <is>
          <t>TAYLORMADE</t>
        </is>
      </c>
      <c r="F3532" s="1" t="inlineStr">
        <is>
          <t>CAP</t>
        </is>
      </c>
      <c r="G3532" s="1" t="inlineStr">
        <is>
          <t>GF2000105308FS</t>
        </is>
      </c>
      <c r="H3532" s="1" t="n">
        <v>1</v>
      </c>
      <c r="I3532" s="1" t="inlineStr">
        <is>
          <t>มี</t>
        </is>
      </c>
      <c r="J3532" s="13" t="n">
        <v>55</v>
      </c>
      <c r="K3532" s="1" t="inlineStr"/>
      <c r="L3532" s="13" t="n">
        <v>55</v>
      </c>
      <c r="M3532" s="1">
        <f>IF(L3532="","ไม่พบใน SG",IF(ABS(J3532-L3532)&lt;0.005,"ตรงกัน","ไม่ตรง"))</f>
        <v/>
      </c>
      <c r="N3532" s="14">
        <f>IF(L3532="","",ROUND(L3532*'สรุป'!$C$6,-1))</f>
        <v/>
      </c>
      <c r="O3532" s="15" t="n"/>
      <c r="P3532" s="15" t="n"/>
      <c r="Q3532" s="10" t="n"/>
      <c r="R3532" s="10" t="n"/>
      <c r="S3532" s="16" t="inlineStr">
        <is>
          <t>https://mstgolf.co.th/products/gf2000105308</t>
        </is>
      </c>
      <c r="T3532" s="1">
        <f>IF(B3532="ไม้กอล์ฟ",J3532,"")</f>
        <v/>
      </c>
    </row>
    <row r="3533">
      <c r="A3533" s="1" t="n">
        <v>3</v>
      </c>
      <c r="B3533" s="1" t="inlineStr">
        <is>
          <t>หมวก</t>
        </is>
      </c>
      <c r="C3533" s="1" t="inlineStr">
        <is>
          <t>gf2000105306</t>
        </is>
      </c>
      <c r="D3533" s="1" t="inlineStr">
        <is>
          <t>TAYLORMADE Storm Men's Cap (Black)</t>
        </is>
      </c>
      <c r="E3533" s="1" t="inlineStr">
        <is>
          <t>TAYLORMADE</t>
        </is>
      </c>
      <c r="F3533" s="1" t="inlineStr">
        <is>
          <t>CAP</t>
        </is>
      </c>
      <c r="G3533" s="1" t="inlineStr">
        <is>
          <t>GF2000105306FS</t>
        </is>
      </c>
      <c r="H3533" s="1" t="n">
        <v>1</v>
      </c>
      <c r="I3533" s="1" t="inlineStr">
        <is>
          <t>มี</t>
        </is>
      </c>
      <c r="J3533" s="13" t="n">
        <v>55</v>
      </c>
      <c r="K3533" s="1" t="inlineStr"/>
      <c r="L3533" s="13" t="n">
        <v>55</v>
      </c>
      <c r="M3533" s="1">
        <f>IF(L3533="","ไม่พบใน SG",IF(ABS(J3533-L3533)&lt;0.005,"ตรงกัน","ไม่ตรง"))</f>
        <v/>
      </c>
      <c r="N3533" s="14">
        <f>IF(L3533="","",ROUND(L3533*'สรุป'!$C$6,-1))</f>
        <v/>
      </c>
      <c r="O3533" s="15" t="n"/>
      <c r="P3533" s="15" t="n"/>
      <c r="Q3533" s="10" t="n"/>
      <c r="R3533" s="10" t="n"/>
      <c r="S3533" s="16" t="inlineStr">
        <is>
          <t>https://mstgolf.co.th/products/gf2000105306</t>
        </is>
      </c>
      <c r="T3533" s="1">
        <f>IF(B3533="ไม้กอล์ฟ",J3533,"")</f>
        <v/>
      </c>
    </row>
    <row r="3534">
      <c r="A3534" s="1" t="n">
        <v>3</v>
      </c>
      <c r="B3534" s="1" t="inlineStr">
        <is>
          <t>หมวก</t>
        </is>
      </c>
      <c r="C3534" s="1" t="inlineStr">
        <is>
          <t>gf2000105330</t>
        </is>
      </c>
      <c r="D3534" s="1" t="inlineStr">
        <is>
          <t>TAYLORMADE Tour LiteTech Men's Cap (Navy)</t>
        </is>
      </c>
      <c r="E3534" s="1" t="inlineStr">
        <is>
          <t>TAYLORMADE</t>
        </is>
      </c>
      <c r="F3534" s="1" t="inlineStr">
        <is>
          <t>CAP</t>
        </is>
      </c>
      <c r="G3534" s="1" t="inlineStr">
        <is>
          <t>GF2000105330FS</t>
        </is>
      </c>
      <c r="H3534" s="1" t="n">
        <v>1</v>
      </c>
      <c r="I3534" s="1" t="inlineStr">
        <is>
          <t>มี</t>
        </is>
      </c>
      <c r="J3534" s="13" t="n">
        <v>55</v>
      </c>
      <c r="K3534" s="1" t="inlineStr"/>
      <c r="L3534" s="13" t="n">
        <v>55</v>
      </c>
      <c r="M3534" s="1">
        <f>IF(L3534="","ไม่พบใน SG",IF(ABS(J3534-L3534)&lt;0.005,"ตรงกัน","ไม่ตรง"))</f>
        <v/>
      </c>
      <c r="N3534" s="14">
        <f>IF(L3534="","",ROUND(L3534*'สรุป'!$C$6,-1))</f>
        <v/>
      </c>
      <c r="O3534" s="15" t="n"/>
      <c r="P3534" s="15" t="n"/>
      <c r="Q3534" s="10" t="n"/>
      <c r="R3534" s="10" t="n"/>
      <c r="S3534" s="16" t="inlineStr">
        <is>
          <t>https://mstgolf.co.th/products/gf2000105330</t>
        </is>
      </c>
      <c r="T3534" s="1">
        <f>IF(B3534="ไม้กอล์ฟ",J3534,"")</f>
        <v/>
      </c>
    </row>
    <row r="3535">
      <c r="A3535" s="1" t="n">
        <v>3</v>
      </c>
      <c r="B3535" s="1" t="inlineStr">
        <is>
          <t>หมวก</t>
        </is>
      </c>
      <c r="C3535" s="1" t="inlineStr">
        <is>
          <t>gf2000105329</t>
        </is>
      </c>
      <c r="D3535" s="1" t="inlineStr">
        <is>
          <t>TAYLORMADE Tour LiteTech Men's Cap (Red)</t>
        </is>
      </c>
      <c r="E3535" s="1" t="inlineStr">
        <is>
          <t>TAYLORMADE</t>
        </is>
      </c>
      <c r="F3535" s="1" t="inlineStr">
        <is>
          <t>CAP</t>
        </is>
      </c>
      <c r="G3535" s="1" t="inlineStr">
        <is>
          <t>GF2000105329FS</t>
        </is>
      </c>
      <c r="H3535" s="1" t="n">
        <v>1</v>
      </c>
      <c r="I3535" s="1" t="inlineStr">
        <is>
          <t>มี</t>
        </is>
      </c>
      <c r="J3535" s="13" t="n">
        <v>55</v>
      </c>
      <c r="K3535" s="1" t="inlineStr"/>
      <c r="L3535" s="13" t="n">
        <v>55</v>
      </c>
      <c r="M3535" s="1">
        <f>IF(L3535="","ไม่พบใน SG",IF(ABS(J3535-L3535)&lt;0.005,"ตรงกัน","ไม่ตรง"))</f>
        <v/>
      </c>
      <c r="N3535" s="14">
        <f>IF(L3535="","",ROUND(L3535*'สรุป'!$C$6,-1))</f>
        <v/>
      </c>
      <c r="O3535" s="15" t="n"/>
      <c r="P3535" s="15" t="n"/>
      <c r="Q3535" s="10" t="n"/>
      <c r="R3535" s="10" t="n"/>
      <c r="S3535" s="16" t="inlineStr">
        <is>
          <t>https://mstgolf.co.th/products/gf2000105329</t>
        </is>
      </c>
      <c r="T3535" s="1">
        <f>IF(B3535="ไม้กอล์ฟ",J3535,"")</f>
        <v/>
      </c>
    </row>
    <row r="3536">
      <c r="A3536" s="1" t="n">
        <v>3</v>
      </c>
      <c r="B3536" s="1" t="inlineStr">
        <is>
          <t>หมวก</t>
        </is>
      </c>
      <c r="C3536" s="1" t="inlineStr">
        <is>
          <t>gf2000105313</t>
        </is>
      </c>
      <c r="D3536" s="1" t="inlineStr">
        <is>
          <t>TAYLORMADE Vintage 5 Panel Rope Men's Cap (Khaki)</t>
        </is>
      </c>
      <c r="E3536" s="1" t="inlineStr">
        <is>
          <t>TAYLORMADE</t>
        </is>
      </c>
      <c r="F3536" s="1" t="inlineStr">
        <is>
          <t>CAP</t>
        </is>
      </c>
      <c r="G3536" s="1" t="inlineStr">
        <is>
          <t>GF2000105313FS</t>
        </is>
      </c>
      <c r="H3536" s="1" t="n">
        <v>1</v>
      </c>
      <c r="I3536" s="1" t="inlineStr">
        <is>
          <t>มี</t>
        </is>
      </c>
      <c r="J3536" s="13" t="n">
        <v>55</v>
      </c>
      <c r="K3536" s="1" t="inlineStr"/>
      <c r="L3536" s="13" t="n">
        <v>27</v>
      </c>
      <c r="M3536" s="1">
        <f>IF(L3536="","ไม่พบใน SG",IF(ABS(J3536-L3536)&lt;0.005,"ตรงกัน","ไม่ตรง"))</f>
        <v/>
      </c>
      <c r="N3536" s="14">
        <f>IF(L3536="","",ROUND(L3536*'สรุป'!$C$6,-1))</f>
        <v/>
      </c>
      <c r="O3536" s="15" t="n"/>
      <c r="P3536" s="15" t="n"/>
      <c r="Q3536" s="10" t="n"/>
      <c r="R3536" s="10" t="n"/>
      <c r="S3536" s="16" t="inlineStr">
        <is>
          <t>https://mstgolf.co.th/products/gf2000105313</t>
        </is>
      </c>
      <c r="T3536" s="1">
        <f>IF(B3536="ไม้กอล์ฟ",J3536,"")</f>
        <v/>
      </c>
    </row>
    <row r="3537">
      <c r="A3537" s="1" t="n">
        <v>3</v>
      </c>
      <c r="B3537" s="1" t="inlineStr">
        <is>
          <t>หมวก</t>
        </is>
      </c>
      <c r="C3537" s="1" t="inlineStr">
        <is>
          <t>gf2000105312</t>
        </is>
      </c>
      <c r="D3537" s="1" t="inlineStr">
        <is>
          <t>TAYLORMADE Vintage 5 Panel Rope Men's Cap (Navy)</t>
        </is>
      </c>
      <c r="E3537" s="1" t="inlineStr">
        <is>
          <t>TAYLORMADE</t>
        </is>
      </c>
      <c r="F3537" s="1" t="inlineStr">
        <is>
          <t>CAP</t>
        </is>
      </c>
      <c r="G3537" s="1" t="inlineStr">
        <is>
          <t>GF2000105312FS</t>
        </is>
      </c>
      <c r="H3537" s="1" t="n">
        <v>1</v>
      </c>
      <c r="I3537" s="1" t="inlineStr">
        <is>
          <t>มี</t>
        </is>
      </c>
      <c r="J3537" s="13" t="n">
        <v>55</v>
      </c>
      <c r="K3537" s="1" t="inlineStr"/>
      <c r="L3537" s="13" t="n">
        <v>27</v>
      </c>
      <c r="M3537" s="1">
        <f>IF(L3537="","ไม่พบใน SG",IF(ABS(J3537-L3537)&lt;0.005,"ตรงกัน","ไม่ตรง"))</f>
        <v/>
      </c>
      <c r="N3537" s="14">
        <f>IF(L3537="","",ROUND(L3537*'สรุป'!$C$6,-1))</f>
        <v/>
      </c>
      <c r="O3537" s="15" t="n"/>
      <c r="P3537" s="15" t="n"/>
      <c r="Q3537" s="10" t="n"/>
      <c r="R3537" s="10" t="n"/>
      <c r="S3537" s="16" t="inlineStr">
        <is>
          <t>https://mstgolf.co.th/products/gf2000105312</t>
        </is>
      </c>
      <c r="T3537" s="1">
        <f>IF(B3537="ไม้กอล์ฟ",J3537,"")</f>
        <v/>
      </c>
    </row>
    <row r="3538">
      <c r="A3538" s="1" t="n">
        <v>3</v>
      </c>
      <c r="B3538" s="1" t="inlineStr">
        <is>
          <t>หมวก</t>
        </is>
      </c>
      <c r="C3538" s="1" t="inlineStr">
        <is>
          <t>gf2000106052</t>
        </is>
      </c>
      <c r="D3538" s="1" t="inlineStr">
        <is>
          <t>TITLEIST Charleston Oxford Rope Men's Cap (Red)</t>
        </is>
      </c>
      <c r="E3538" s="1" t="inlineStr">
        <is>
          <t>TITLEIST</t>
        </is>
      </c>
      <c r="F3538" s="1" t="inlineStr">
        <is>
          <t>CAP</t>
        </is>
      </c>
      <c r="G3538" s="1" t="inlineStr">
        <is>
          <t>GF2000106052FS</t>
        </is>
      </c>
      <c r="H3538" s="1" t="n">
        <v>1</v>
      </c>
      <c r="I3538" s="1" t="inlineStr">
        <is>
          <t>มี</t>
        </is>
      </c>
      <c r="J3538" s="13" t="n">
        <v>55</v>
      </c>
      <c r="K3538" s="1" t="inlineStr"/>
      <c r="L3538" s="13" t="n">
        <v>35</v>
      </c>
      <c r="M3538" s="1">
        <f>IF(L3538="","ไม่พบใน SG",IF(ABS(J3538-L3538)&lt;0.005,"ตรงกัน","ไม่ตรง"))</f>
        <v/>
      </c>
      <c r="N3538" s="14">
        <f>IF(L3538="","",ROUND(L3538*'สรุป'!$C$6,-1))</f>
        <v/>
      </c>
      <c r="O3538" s="15" t="n"/>
      <c r="P3538" s="15" t="n"/>
      <c r="Q3538" s="10" t="n"/>
      <c r="R3538" s="10" t="n"/>
      <c r="S3538" s="16" t="inlineStr">
        <is>
          <t>https://mstgolf.co.th/products/gf2000106052</t>
        </is>
      </c>
      <c r="T3538" s="1">
        <f>IF(B3538="ไม้กอล์ฟ",J3538,"")</f>
        <v/>
      </c>
    </row>
    <row r="3539">
      <c r="A3539" s="1" t="n">
        <v>3</v>
      </c>
      <c r="B3539" s="1" t="inlineStr">
        <is>
          <t>เสื้อผ้า</t>
        </is>
      </c>
      <c r="C3539" s="1" t="inlineStr">
        <is>
          <t>gf2040116468</t>
        </is>
      </c>
      <c r="D3539" s="1" t="inlineStr">
        <is>
          <t>UNDER ARMOUR Playoff Printed Women's Polo (Black)</t>
        </is>
      </c>
      <c r="E3539" s="1" t="inlineStr">
        <is>
          <t>UNDER ARMOUR</t>
        </is>
      </c>
      <c r="F3539" s="1" t="inlineStr">
        <is>
          <t>SHORT SLEEVES</t>
        </is>
      </c>
      <c r="G3539" s="1" t="inlineStr">
        <is>
          <t>GF2040116468XS</t>
        </is>
      </c>
      <c r="H3539" s="1" t="n">
        <v>5</v>
      </c>
      <c r="I3539" s="1" t="inlineStr">
        <is>
          <t>มี</t>
        </is>
      </c>
      <c r="J3539" s="13" t="n">
        <v>55</v>
      </c>
      <c r="K3539" s="1" t="inlineStr"/>
      <c r="L3539" s="13" t="n">
        <v>45</v>
      </c>
      <c r="M3539" s="1">
        <f>IF(L3539="","ไม่พบใน SG",IF(ABS(J3539-L3539)&lt;0.005,"ตรงกัน","ไม่ตรง"))</f>
        <v/>
      </c>
      <c r="N3539" s="14">
        <f>IF(L3539="","",ROUND(L3539*'สรุป'!$C$6,-1))</f>
        <v/>
      </c>
      <c r="O3539" s="15" t="n"/>
      <c r="P3539" s="15" t="n"/>
      <c r="Q3539" s="10" t="n"/>
      <c r="R3539" s="10" t="n"/>
      <c r="S3539" s="16" t="inlineStr">
        <is>
          <t>https://mstgolf.co.th/products/gf2040116468</t>
        </is>
      </c>
      <c r="T3539" s="1">
        <f>IF(B3539="ไม้กอล์ฟ",J3539,"")</f>
        <v/>
      </c>
    </row>
    <row r="3540">
      <c r="A3540" s="1" t="n">
        <v>3</v>
      </c>
      <c r="B3540" s="1" t="inlineStr">
        <is>
          <t>เสื้อผ้า</t>
        </is>
      </c>
      <c r="C3540" s="1" t="inlineStr">
        <is>
          <t>gf2040117236</t>
        </is>
      </c>
      <c r="D3540" s="1" t="inlineStr">
        <is>
          <t>UNDER ARMOUR Playoff Women's Polo (Black)</t>
        </is>
      </c>
      <c r="E3540" s="1" t="inlineStr">
        <is>
          <t>UNDER ARMOUR</t>
        </is>
      </c>
      <c r="F3540" s="1" t="inlineStr">
        <is>
          <t>SHORT SLEEVES</t>
        </is>
      </c>
      <c r="G3540" s="1" t="inlineStr">
        <is>
          <t>GF2040117236XS</t>
        </is>
      </c>
      <c r="H3540" s="1" t="n">
        <v>5</v>
      </c>
      <c r="I3540" s="1" t="inlineStr">
        <is>
          <t>มี</t>
        </is>
      </c>
      <c r="J3540" s="13" t="n">
        <v>55</v>
      </c>
      <c r="K3540" s="1" t="inlineStr"/>
      <c r="L3540" s="13" t="n">
        <v>55</v>
      </c>
      <c r="M3540" s="1">
        <f>IF(L3540="","ไม่พบใน SG",IF(ABS(J3540-L3540)&lt;0.005,"ตรงกัน","ไม่ตรง"))</f>
        <v/>
      </c>
      <c r="N3540" s="14">
        <f>IF(L3540="","",ROUND(L3540*'สรุป'!$C$6,-1))</f>
        <v/>
      </c>
      <c r="O3540" s="15" t="n"/>
      <c r="P3540" s="15" t="n"/>
      <c r="Q3540" s="10" t="n"/>
      <c r="R3540" s="10" t="n"/>
      <c r="S3540" s="16" t="inlineStr">
        <is>
          <t>https://mstgolf.co.th/products/gf2040117236</t>
        </is>
      </c>
      <c r="T3540" s="1">
        <f>IF(B3540="ไม้กอล์ฟ",J3540,"")</f>
        <v/>
      </c>
    </row>
    <row r="3541">
      <c r="A3541" s="1" t="n">
        <v>3</v>
      </c>
      <c r="B3541" s="1" t="inlineStr">
        <is>
          <t>เสื้อผ้า</t>
        </is>
      </c>
      <c r="C3541" s="1" t="inlineStr">
        <is>
          <t>gf2040110764</t>
        </is>
      </c>
      <c r="D3541" s="1" t="inlineStr">
        <is>
          <t>CUTTER &amp; BUCK Forge Men's Polo (Chelan)</t>
        </is>
      </c>
      <c r="E3541" s="1" t="inlineStr">
        <is>
          <t>CUTTER &amp; BUCK</t>
        </is>
      </c>
      <c r="F3541" s="1" t="inlineStr">
        <is>
          <t>SHORT SLEEVES</t>
        </is>
      </c>
      <c r="G3541" s="1" t="inlineStr">
        <is>
          <t>GF2040110764S</t>
        </is>
      </c>
      <c r="H3541" s="1" t="n">
        <v>5</v>
      </c>
      <c r="I3541" s="1" t="inlineStr">
        <is>
          <t>มี</t>
        </is>
      </c>
      <c r="J3541" s="13" t="n">
        <v>53</v>
      </c>
      <c r="K3541" s="1" t="inlineStr"/>
      <c r="L3541" s="13" t="n">
        <v>53</v>
      </c>
      <c r="M3541" s="1">
        <f>IF(L3541="","ไม่พบใน SG",IF(ABS(J3541-L3541)&lt;0.005,"ตรงกัน","ไม่ตรง"))</f>
        <v/>
      </c>
      <c r="N3541" s="14">
        <f>IF(L3541="","",ROUND(L3541*'สรุป'!$C$6,-1))</f>
        <v/>
      </c>
      <c r="O3541" s="15" t="n"/>
      <c r="P3541" s="15" t="n"/>
      <c r="Q3541" s="10" t="n"/>
      <c r="R3541" s="10" t="n"/>
      <c r="S3541" s="16" t="inlineStr">
        <is>
          <t>https://mstgolf.co.th/products/gf2040110764</t>
        </is>
      </c>
      <c r="T3541" s="1">
        <f>IF(B3541="ไม้กอล์ฟ",J3541,"")</f>
        <v/>
      </c>
    </row>
    <row r="3542">
      <c r="A3542" s="1" t="n">
        <v>3</v>
      </c>
      <c r="B3542" s="1" t="inlineStr">
        <is>
          <t>เสื้อผ้า</t>
        </is>
      </c>
      <c r="C3542" s="1" t="inlineStr">
        <is>
          <t>gf2040116752</t>
        </is>
      </c>
      <c r="D3542" s="1" t="inlineStr">
        <is>
          <t>CUTTER &amp; BUCK Men's Forge Polo (Black)</t>
        </is>
      </c>
      <c r="E3542" s="1" t="inlineStr">
        <is>
          <t>CUTTER &amp; BUCK</t>
        </is>
      </c>
      <c r="F3542" s="1" t="inlineStr">
        <is>
          <t>SHORT SLEEVES</t>
        </is>
      </c>
      <c r="G3542" s="1" t="inlineStr">
        <is>
          <t>GF2040116752S</t>
        </is>
      </c>
      <c r="H3542" s="1" t="n">
        <v>5</v>
      </c>
      <c r="I3542" s="1" t="inlineStr">
        <is>
          <t>มี</t>
        </is>
      </c>
      <c r="J3542" s="13" t="n">
        <v>53</v>
      </c>
      <c r="K3542" s="1" t="inlineStr"/>
      <c r="L3542" s="13" t="n">
        <v>53</v>
      </c>
      <c r="M3542" s="1">
        <f>IF(L3542="","ไม่พบใน SG",IF(ABS(J3542-L3542)&lt;0.005,"ตรงกัน","ไม่ตรง"))</f>
        <v/>
      </c>
      <c r="N3542" s="14">
        <f>IF(L3542="","",ROUND(L3542*'สรุป'!$C$6,-1))</f>
        <v/>
      </c>
      <c r="O3542" s="15" t="n"/>
      <c r="P3542" s="15" t="n"/>
      <c r="Q3542" s="10" t="n"/>
      <c r="R3542" s="10" t="n"/>
      <c r="S3542" s="16" t="inlineStr">
        <is>
          <t>https://mstgolf.co.th/products/gf2040116752</t>
        </is>
      </c>
      <c r="T3542" s="1">
        <f>IF(B3542="ไม้กอล์ฟ",J3542,"")</f>
        <v/>
      </c>
    </row>
    <row r="3543">
      <c r="A3543" s="1" t="n">
        <v>3</v>
      </c>
      <c r="B3543" s="1" t="inlineStr">
        <is>
          <t>เสื้อผ้า</t>
        </is>
      </c>
      <c r="C3543" s="1" t="inlineStr">
        <is>
          <t>gf2020201942</t>
        </is>
      </c>
      <c r="D3543" s="1" t="inlineStr">
        <is>
          <t>CUTTER &amp; BUCK Performance Men's Shorts (Green/White)</t>
        </is>
      </c>
      <c r="E3543" s="1" t="inlineStr">
        <is>
          <t>CUTTER &amp; BUCK</t>
        </is>
      </c>
      <c r="F3543" s="1" t="inlineStr">
        <is>
          <t>SHORT PANTS</t>
        </is>
      </c>
      <c r="G3543" s="1" t="inlineStr">
        <is>
          <t>GF202020194228</t>
        </is>
      </c>
      <c r="H3543" s="1" t="n">
        <v>7</v>
      </c>
      <c r="I3543" s="1" t="inlineStr">
        <is>
          <t>มี</t>
        </is>
      </c>
      <c r="J3543" s="13" t="n">
        <v>53</v>
      </c>
      <c r="K3543" s="1" t="inlineStr"/>
      <c r="L3543" s="13" t="n">
        <v>53</v>
      </c>
      <c r="M3543" s="1">
        <f>IF(L3543="","ไม่พบใน SG",IF(ABS(J3543-L3543)&lt;0.005,"ตรงกัน","ไม่ตรง"))</f>
        <v/>
      </c>
      <c r="N3543" s="14">
        <f>IF(L3543="","",ROUND(L3543*'สรุป'!$C$6,-1))</f>
        <v/>
      </c>
      <c r="O3543" s="15" t="n"/>
      <c r="P3543" s="15" t="n"/>
      <c r="Q3543" s="10" t="n"/>
      <c r="R3543" s="10" t="n"/>
      <c r="S3543" s="16" t="inlineStr">
        <is>
          <t>https://mstgolf.co.th/products/gf2020201942</t>
        </is>
      </c>
      <c r="T3543" s="1">
        <f>IF(B3543="ไม้กอล์ฟ",J3543,"")</f>
        <v/>
      </c>
    </row>
    <row r="3544">
      <c r="A3544" s="1" t="n">
        <v>3</v>
      </c>
      <c r="B3544" s="1" t="inlineStr">
        <is>
          <t>เสื้อผ้า</t>
        </is>
      </c>
      <c r="C3544" s="1" t="inlineStr">
        <is>
          <t>gf2020201954</t>
        </is>
      </c>
      <c r="D3544" s="1" t="inlineStr">
        <is>
          <t>CUTTER &amp; BUCK Pull On Women's Shorts (Liberty Navy)</t>
        </is>
      </c>
      <c r="E3544" s="1" t="inlineStr">
        <is>
          <t>CUTTER &amp; BUCK</t>
        </is>
      </c>
      <c r="F3544" s="1" t="inlineStr">
        <is>
          <t>SHORT PANTS</t>
        </is>
      </c>
      <c r="G3544" s="1" t="inlineStr">
        <is>
          <t>GF2020201954XS</t>
        </is>
      </c>
      <c r="H3544" s="1" t="n">
        <v>5</v>
      </c>
      <c r="I3544" s="1" t="inlineStr">
        <is>
          <t>มี</t>
        </is>
      </c>
      <c r="J3544" s="13" t="n">
        <v>53</v>
      </c>
      <c r="K3544" s="1" t="inlineStr"/>
      <c r="L3544" s="13" t="n">
        <v>53</v>
      </c>
      <c r="M3544" s="1">
        <f>IF(L3544="","ไม่พบใน SG",IF(ABS(J3544-L3544)&lt;0.005,"ตรงกัน","ไม่ตรง"))</f>
        <v/>
      </c>
      <c r="N3544" s="14">
        <f>IF(L3544="","",ROUND(L3544*'สรุป'!$C$6,-1))</f>
        <v/>
      </c>
      <c r="O3544" s="15" t="n"/>
      <c r="P3544" s="15" t="n"/>
      <c r="Q3544" s="10" t="n"/>
      <c r="R3544" s="10" t="n"/>
      <c r="S3544" s="16" t="inlineStr">
        <is>
          <t>https://mstgolf.co.th/products/gf2020201954</t>
        </is>
      </c>
      <c r="T3544" s="1">
        <f>IF(B3544="ไม้กอล์ฟ",J3544,"")</f>
        <v/>
      </c>
    </row>
    <row r="3545">
      <c r="A3545" s="1" t="n">
        <v>3</v>
      </c>
      <c r="B3545" s="1" t="inlineStr">
        <is>
          <t>อุปกรณ์เสริม</t>
        </is>
      </c>
      <c r="C3545" s="1" t="inlineStr">
        <is>
          <t>gf3500201469</t>
        </is>
      </c>
      <c r="D3545" s="1" t="inlineStr">
        <is>
          <t>TAYLORMADE Auth-Tech Fairway Headcover (Black)</t>
        </is>
      </c>
      <c r="E3545" s="1" t="inlineStr">
        <is>
          <t>TAYLORMADE</t>
        </is>
      </c>
      <c r="F3545" s="1" t="inlineStr">
        <is>
          <t>HEADCOVERS</t>
        </is>
      </c>
      <c r="G3545" s="1" t="inlineStr">
        <is>
          <t>GF3500201469</t>
        </is>
      </c>
      <c r="H3545" s="1" t="n">
        <v>1</v>
      </c>
      <c r="I3545" s="1" t="inlineStr">
        <is>
          <t>มี</t>
        </is>
      </c>
      <c r="J3545" s="13" t="n">
        <v>53</v>
      </c>
      <c r="K3545" s="1" t="inlineStr"/>
      <c r="L3545" s="13" t="n">
        <v>53</v>
      </c>
      <c r="M3545" s="1">
        <f>IF(L3545="","ไม่พบใน SG",IF(ABS(J3545-L3545)&lt;0.005,"ตรงกัน","ไม่ตรง"))</f>
        <v/>
      </c>
      <c r="N3545" s="14">
        <f>IF(L3545="","",ROUND(L3545*'สรุป'!$C$6,-1))</f>
        <v/>
      </c>
      <c r="O3545" s="15" t="n"/>
      <c r="P3545" s="15" t="n"/>
      <c r="Q3545" s="10" t="n"/>
      <c r="R3545" s="10" t="n"/>
      <c r="S3545" s="16" t="inlineStr">
        <is>
          <t>https://mstgolf.co.th/products/gf3500201469</t>
        </is>
      </c>
      <c r="T3545" s="1">
        <f>IF(B3545="ไม้กอล์ฟ",J3545,"")</f>
        <v/>
      </c>
    </row>
    <row r="3546">
      <c r="A3546" s="1" t="n">
        <v>3</v>
      </c>
      <c r="B3546" s="1" t="inlineStr">
        <is>
          <t>อุปกรณ์เสริม</t>
        </is>
      </c>
      <c r="C3546" s="1" t="inlineStr">
        <is>
          <t>gf3500201470</t>
        </is>
      </c>
      <c r="D3546" s="1" t="inlineStr">
        <is>
          <t>TAYLORMADE Auth-Tech Fairway Headcover (Blue/Black)</t>
        </is>
      </c>
      <c r="E3546" s="1" t="inlineStr">
        <is>
          <t>TAYLORMADE</t>
        </is>
      </c>
      <c r="F3546" s="1" t="inlineStr">
        <is>
          <t>HEADCOVERS</t>
        </is>
      </c>
      <c r="G3546" s="1" t="inlineStr">
        <is>
          <t>GF3500201470</t>
        </is>
      </c>
      <c r="H3546" s="1" t="n">
        <v>1</v>
      </c>
      <c r="I3546" s="1" t="inlineStr">
        <is>
          <t>มี</t>
        </is>
      </c>
      <c r="J3546" s="13" t="n">
        <v>53</v>
      </c>
      <c r="K3546" s="1" t="inlineStr"/>
      <c r="L3546" s="13" t="n">
        <v>53</v>
      </c>
      <c r="M3546" s="1">
        <f>IF(L3546="","ไม่พบใน SG",IF(ABS(J3546-L3546)&lt;0.005,"ตรงกัน","ไม่ตรง"))</f>
        <v/>
      </c>
      <c r="N3546" s="14">
        <f>IF(L3546="","",ROUND(L3546*'สรุป'!$C$6,-1))</f>
        <v/>
      </c>
      <c r="O3546" s="15" t="n"/>
      <c r="P3546" s="15" t="n"/>
      <c r="Q3546" s="10" t="n"/>
      <c r="R3546" s="10" t="n"/>
      <c r="S3546" s="16" t="inlineStr">
        <is>
          <t>https://mstgolf.co.th/products/gf3500201470</t>
        </is>
      </c>
      <c r="T3546" s="1">
        <f>IF(B3546="ไม้กอล์ฟ",J3546,"")</f>
        <v/>
      </c>
    </row>
    <row r="3547">
      <c r="A3547" s="1" t="n">
        <v>3</v>
      </c>
      <c r="B3547" s="1" t="inlineStr">
        <is>
          <t>อุปกรณ์เสริม</t>
        </is>
      </c>
      <c r="C3547" s="1" t="inlineStr">
        <is>
          <t>gf3500201472</t>
        </is>
      </c>
      <c r="D3547" s="1" t="inlineStr">
        <is>
          <t>TAYLORMADE Auth-Tech Utility Headcover (Blue/Black)</t>
        </is>
      </c>
      <c r="E3547" s="1" t="inlineStr">
        <is>
          <t>TAYLORMADE</t>
        </is>
      </c>
      <c r="F3547" s="1" t="inlineStr">
        <is>
          <t>HEADCOVERS</t>
        </is>
      </c>
      <c r="G3547" s="1" t="inlineStr">
        <is>
          <t>GF3500201472</t>
        </is>
      </c>
      <c r="H3547" s="1" t="n">
        <v>1</v>
      </c>
      <c r="I3547" s="1" t="inlineStr">
        <is>
          <t>มี</t>
        </is>
      </c>
      <c r="J3547" s="13" t="n">
        <v>53</v>
      </c>
      <c r="K3547" s="1" t="inlineStr"/>
      <c r="L3547" s="13" t="n">
        <v>53</v>
      </c>
      <c r="M3547" s="1">
        <f>IF(L3547="","ไม่พบใน SG",IF(ABS(J3547-L3547)&lt;0.005,"ตรงกัน","ไม่ตรง"))</f>
        <v/>
      </c>
      <c r="N3547" s="14">
        <f>IF(L3547="","",ROUND(L3547*'สรุป'!$C$6,-1))</f>
        <v/>
      </c>
      <c r="O3547" s="15" t="n"/>
      <c r="P3547" s="15" t="n"/>
      <c r="Q3547" s="10" t="n"/>
      <c r="R3547" s="10" t="n"/>
      <c r="S3547" s="16" t="inlineStr">
        <is>
          <t>https://mstgolf.co.th/products/gf3500201472</t>
        </is>
      </c>
      <c r="T3547" s="1">
        <f>IF(B3547="ไม้กอล์ฟ",J3547,"")</f>
        <v/>
      </c>
    </row>
    <row r="3548">
      <c r="A3548" s="1" t="n">
        <v>3</v>
      </c>
      <c r="B3548" s="1" t="inlineStr">
        <is>
          <t>หมวก</t>
        </is>
      </c>
      <c r="C3548" s="1" t="inlineStr">
        <is>
          <t>gf2000106277</t>
        </is>
      </c>
      <c r="D3548" s="1" t="inlineStr">
        <is>
          <t>TITLEIST Performance Ball Marker Men's Cap (Blue/White)</t>
        </is>
      </c>
      <c r="E3548" s="1" t="inlineStr">
        <is>
          <t>TITLEIST</t>
        </is>
      </c>
      <c r="F3548" s="1" t="inlineStr">
        <is>
          <t>CAP</t>
        </is>
      </c>
      <c r="G3548" s="1" t="inlineStr">
        <is>
          <t>GF2000106277FS</t>
        </is>
      </c>
      <c r="H3548" s="1" t="n">
        <v>1</v>
      </c>
      <c r="I3548" s="1" t="inlineStr">
        <is>
          <t>มี</t>
        </is>
      </c>
      <c r="J3548" s="13" t="n">
        <v>53</v>
      </c>
      <c r="K3548" s="1" t="inlineStr"/>
      <c r="L3548" s="13" t="n">
        <v>53</v>
      </c>
      <c r="M3548" s="1">
        <f>IF(L3548="","ไม่พบใน SG",IF(ABS(J3548-L3548)&lt;0.005,"ตรงกัน","ไม่ตรง"))</f>
        <v/>
      </c>
      <c r="N3548" s="14">
        <f>IF(L3548="","",ROUND(L3548*'สรุป'!$C$6,-1))</f>
        <v/>
      </c>
      <c r="O3548" s="15" t="n"/>
      <c r="P3548" s="15" t="n"/>
      <c r="Q3548" s="10" t="n"/>
      <c r="R3548" s="10" t="n"/>
      <c r="S3548" s="16" t="inlineStr">
        <is>
          <t>https://mstgolf.co.th/products/gf2000106277</t>
        </is>
      </c>
      <c r="T3548" s="1">
        <f>IF(B3548="ไม้กอล์ฟ",J3548,"")</f>
        <v/>
      </c>
    </row>
    <row r="3549">
      <c r="A3549" s="1" t="n">
        <v>3</v>
      </c>
      <c r="B3549" s="1" t="inlineStr">
        <is>
          <t>หมวก</t>
        </is>
      </c>
      <c r="C3549" s="1" t="inlineStr">
        <is>
          <t>gf2000106273</t>
        </is>
      </c>
      <c r="D3549" s="1" t="inlineStr">
        <is>
          <t>TITLEIST Performance Ball Marker Men's Cap (Grey/White)</t>
        </is>
      </c>
      <c r="E3549" s="1" t="inlineStr">
        <is>
          <t>TITLEIST</t>
        </is>
      </c>
      <c r="F3549" s="1" t="inlineStr">
        <is>
          <t>CAP</t>
        </is>
      </c>
      <c r="G3549" s="1" t="inlineStr">
        <is>
          <t>GF2000106273FS</t>
        </is>
      </c>
      <c r="H3549" s="1" t="n">
        <v>1</v>
      </c>
      <c r="I3549" s="1" t="inlineStr">
        <is>
          <t>มี</t>
        </is>
      </c>
      <c r="J3549" s="13" t="n">
        <v>53</v>
      </c>
      <c r="K3549" s="1" t="inlineStr"/>
      <c r="L3549" s="13" t="n">
        <v>53</v>
      </c>
      <c r="M3549" s="1">
        <f>IF(L3549="","ไม่พบใน SG",IF(ABS(J3549-L3549)&lt;0.005,"ตรงกัน","ไม่ตรง"))</f>
        <v/>
      </c>
      <c r="N3549" s="14">
        <f>IF(L3549="","",ROUND(L3549*'สรุป'!$C$6,-1))</f>
        <v/>
      </c>
      <c r="O3549" s="15" t="n"/>
      <c r="P3549" s="15" t="n"/>
      <c r="Q3549" s="10" t="n"/>
      <c r="R3549" s="10" t="n"/>
      <c r="S3549" s="16" t="inlineStr">
        <is>
          <t>https://mstgolf.co.th/products/gf2000106273</t>
        </is>
      </c>
      <c r="T3549" s="1">
        <f>IF(B3549="ไม้กอล์ฟ",J3549,"")</f>
        <v/>
      </c>
    </row>
    <row r="3550">
      <c r="A3550" s="1" t="n">
        <v>3</v>
      </c>
      <c r="B3550" s="1" t="inlineStr">
        <is>
          <t>หมวก</t>
        </is>
      </c>
      <c r="C3550" s="1" t="inlineStr">
        <is>
          <t>gf2000106275</t>
        </is>
      </c>
      <c r="D3550" s="1" t="inlineStr">
        <is>
          <t>TITLEIST Performance Ball Marker Men's Cap (Hunter/White)</t>
        </is>
      </c>
      <c r="E3550" s="1" t="inlineStr">
        <is>
          <t>TITLEIST</t>
        </is>
      </c>
      <c r="F3550" s="1" t="inlineStr">
        <is>
          <t>CAP</t>
        </is>
      </c>
      <c r="G3550" s="1" t="inlineStr">
        <is>
          <t>GF2000106275FS</t>
        </is>
      </c>
      <c r="H3550" s="1" t="n">
        <v>1</v>
      </c>
      <c r="I3550" s="1" t="inlineStr">
        <is>
          <t>มี</t>
        </is>
      </c>
      <c r="J3550" s="13" t="n">
        <v>53</v>
      </c>
      <c r="K3550" s="1" t="inlineStr"/>
      <c r="L3550" s="13" t="n">
        <v>53</v>
      </c>
      <c r="M3550" s="1">
        <f>IF(L3550="","ไม่พบใน SG",IF(ABS(J3550-L3550)&lt;0.005,"ตรงกัน","ไม่ตรง"))</f>
        <v/>
      </c>
      <c r="N3550" s="14">
        <f>IF(L3550="","",ROUND(L3550*'สรุป'!$C$6,-1))</f>
        <v/>
      </c>
      <c r="O3550" s="15" t="n"/>
      <c r="P3550" s="15" t="n"/>
      <c r="Q3550" s="10" t="n"/>
      <c r="R3550" s="10" t="n"/>
      <c r="S3550" s="16" t="inlineStr">
        <is>
          <t>https://mstgolf.co.th/products/gf2000106275</t>
        </is>
      </c>
      <c r="T3550" s="1">
        <f>IF(B3550="ไม้กอล์ฟ",J3550,"")</f>
        <v/>
      </c>
    </row>
    <row r="3551">
      <c r="A3551" s="1" t="n">
        <v>3</v>
      </c>
      <c r="B3551" s="1" t="inlineStr">
        <is>
          <t>หมวก</t>
        </is>
      </c>
      <c r="C3551" s="1" t="inlineStr">
        <is>
          <t>gf2000106276</t>
        </is>
      </c>
      <c r="D3551" s="1" t="inlineStr">
        <is>
          <t>TITLEIST Performance Ball Marker Men's Cap (Navy/White)</t>
        </is>
      </c>
      <c r="E3551" s="1" t="inlineStr">
        <is>
          <t>TITLEIST</t>
        </is>
      </c>
      <c r="F3551" s="1" t="inlineStr">
        <is>
          <t>CAP</t>
        </is>
      </c>
      <c r="G3551" s="1" t="inlineStr">
        <is>
          <t>GF2000106276FS</t>
        </is>
      </c>
      <c r="H3551" s="1" t="n">
        <v>1</v>
      </c>
      <c r="I3551" s="1" t="inlineStr">
        <is>
          <t>มี</t>
        </is>
      </c>
      <c r="J3551" s="13" t="n">
        <v>53</v>
      </c>
      <c r="K3551" s="1" t="inlineStr"/>
      <c r="L3551" s="13" t="n">
        <v>53</v>
      </c>
      <c r="M3551" s="1">
        <f>IF(L3551="","ไม่พบใน SG",IF(ABS(J3551-L3551)&lt;0.005,"ตรงกัน","ไม่ตรง"))</f>
        <v/>
      </c>
      <c r="N3551" s="14">
        <f>IF(L3551="","",ROUND(L3551*'สรุป'!$C$6,-1))</f>
        <v/>
      </c>
      <c r="O3551" s="15" t="n"/>
      <c r="P3551" s="15" t="n"/>
      <c r="Q3551" s="10" t="n"/>
      <c r="R3551" s="10" t="n"/>
      <c r="S3551" s="16" t="inlineStr">
        <is>
          <t>https://mstgolf.co.th/products/gf2000106276</t>
        </is>
      </c>
      <c r="T3551" s="1">
        <f>IF(B3551="ไม้กอล์ฟ",J3551,"")</f>
        <v/>
      </c>
    </row>
    <row r="3552">
      <c r="A3552" s="1" t="n">
        <v>3</v>
      </c>
      <c r="B3552" s="1" t="inlineStr">
        <is>
          <t>เสื้อผ้า</t>
        </is>
      </c>
      <c r="C3552" s="1" t="inlineStr">
        <is>
          <t>gf2040113375</t>
        </is>
      </c>
      <c r="D3552" s="1" t="inlineStr">
        <is>
          <t>UNDER ARMOUR Iso-Chill Women's Polo (Pink Sand)</t>
        </is>
      </c>
      <c r="E3552" s="1" t="inlineStr">
        <is>
          <t>UNDER ARMOUR</t>
        </is>
      </c>
      <c r="F3552" s="1" t="inlineStr">
        <is>
          <t>SHORT SLEEVES</t>
        </is>
      </c>
      <c r="G3552" s="1" t="inlineStr">
        <is>
          <t>GF2040113375XS</t>
        </is>
      </c>
      <c r="H3552" s="1" t="n">
        <v>6</v>
      </c>
      <c r="I3552" s="1" t="inlineStr">
        <is>
          <t>มี</t>
        </is>
      </c>
      <c r="J3552" s="13" t="n">
        <v>53</v>
      </c>
      <c r="K3552" s="1" t="inlineStr"/>
      <c r="L3552" s="13" t="n">
        <v>53</v>
      </c>
      <c r="M3552" s="1">
        <f>IF(L3552="","ไม่พบใน SG",IF(ABS(J3552-L3552)&lt;0.005,"ตรงกัน","ไม่ตรง"))</f>
        <v/>
      </c>
      <c r="N3552" s="14">
        <f>IF(L3552="","",ROUND(L3552*'สรุป'!$C$6,-1))</f>
        <v/>
      </c>
      <c r="O3552" s="15" t="n"/>
      <c r="P3552" s="15" t="n"/>
      <c r="Q3552" s="10" t="n"/>
      <c r="R3552" s="10" t="n"/>
      <c r="S3552" s="16" t="inlineStr">
        <is>
          <t>https://mstgolf.co.th/products/gf2040113375</t>
        </is>
      </c>
      <c r="T3552" s="1">
        <f>IF(B3552="ไม้กอล์ฟ",J3552,"")</f>
        <v/>
      </c>
    </row>
    <row r="3553">
      <c r="A3553" s="1" t="n">
        <v>3</v>
      </c>
      <c r="B3553" s="1" t="inlineStr">
        <is>
          <t>เสื้อผ้า</t>
        </is>
      </c>
      <c r="C3553" s="1" t="inlineStr">
        <is>
          <t>gf2020102171</t>
        </is>
      </c>
      <c r="D3553" s="1" t="inlineStr">
        <is>
          <t>UNDER ARMOUR Junior Golf Pants (Mood Grey)</t>
        </is>
      </c>
      <c r="E3553" s="1" t="inlineStr">
        <is>
          <t>UNDER ARMOUR</t>
        </is>
      </c>
      <c r="F3553" s="1" t="inlineStr">
        <is>
          <t>LONG PANTS</t>
        </is>
      </c>
      <c r="G3553" s="1" t="inlineStr">
        <is>
          <t>GF2020102171XS</t>
        </is>
      </c>
      <c r="H3553" s="1" t="n">
        <v>5</v>
      </c>
      <c r="I3553" s="1" t="inlineStr">
        <is>
          <t>มี</t>
        </is>
      </c>
      <c r="J3553" s="13" t="n">
        <v>53</v>
      </c>
      <c r="K3553" s="1" t="inlineStr"/>
      <c r="L3553" s="13" t="n">
        <v>53</v>
      </c>
      <c r="M3553" s="1">
        <f>IF(L3553="","ไม่พบใน SG",IF(ABS(J3553-L3553)&lt;0.005,"ตรงกัน","ไม่ตรง"))</f>
        <v/>
      </c>
      <c r="N3553" s="14">
        <f>IF(L3553="","",ROUND(L3553*'สรุป'!$C$6,-1))</f>
        <v/>
      </c>
      <c r="O3553" s="15" t="n"/>
      <c r="P3553" s="15" t="n"/>
      <c r="Q3553" s="10" t="n"/>
      <c r="R3553" s="10" t="n"/>
      <c r="S3553" s="16" t="inlineStr">
        <is>
          <t>https://mstgolf.co.th/products/gf2020102171</t>
        </is>
      </c>
      <c r="T3553" s="1">
        <f>IF(B3553="ไม้กอล์ฟ",J3553,"")</f>
        <v/>
      </c>
    </row>
    <row r="3554">
      <c r="A3554" s="1" t="n">
        <v>3</v>
      </c>
      <c r="B3554" s="1" t="inlineStr">
        <is>
          <t>เสื้อผ้า</t>
        </is>
      </c>
      <c r="C3554" s="1" t="inlineStr">
        <is>
          <t>gf2020201580</t>
        </is>
      </c>
      <c r="D3554" s="1" t="inlineStr">
        <is>
          <t>UNDER ARMOUR Links Women's Shorts (Black)</t>
        </is>
      </c>
      <c r="E3554" s="1" t="inlineStr">
        <is>
          <t>UNDER ARMOUR</t>
        </is>
      </c>
      <c r="F3554" s="1" t="inlineStr">
        <is>
          <t>SHORT PANTS</t>
        </is>
      </c>
      <c r="G3554" s="1" t="inlineStr">
        <is>
          <t>GF20202015802</t>
        </is>
      </c>
      <c r="H3554" s="1" t="n">
        <v>6</v>
      </c>
      <c r="I3554" s="1" t="inlineStr">
        <is>
          <t>มี</t>
        </is>
      </c>
      <c r="J3554" s="13" t="n">
        <v>53</v>
      </c>
      <c r="K3554" s="1" t="inlineStr"/>
      <c r="L3554" s="13" t="n">
        <v>53</v>
      </c>
      <c r="M3554" s="1">
        <f>IF(L3554="","ไม่พบใน SG",IF(ABS(J3554-L3554)&lt;0.005,"ตรงกัน","ไม่ตรง"))</f>
        <v/>
      </c>
      <c r="N3554" s="14">
        <f>IF(L3554="","",ROUND(L3554*'สรุป'!$C$6,-1))</f>
        <v/>
      </c>
      <c r="O3554" s="15" t="n"/>
      <c r="P3554" s="15" t="n"/>
      <c r="Q3554" s="10" t="n"/>
      <c r="R3554" s="10" t="n"/>
      <c r="S3554" s="16" t="inlineStr">
        <is>
          <t>https://mstgolf.co.th/products/gf2020201580</t>
        </is>
      </c>
      <c r="T3554" s="1">
        <f>IF(B3554="ไม้กอล์ฟ",J3554,"")</f>
        <v/>
      </c>
    </row>
    <row r="3555">
      <c r="A3555" s="1" t="n">
        <v>3</v>
      </c>
      <c r="B3555" s="1" t="inlineStr">
        <is>
          <t>เสื้อผ้า</t>
        </is>
      </c>
      <c r="C3555" s="1" t="inlineStr">
        <is>
          <t>gf2020201707</t>
        </is>
      </c>
      <c r="D3555" s="1" t="inlineStr">
        <is>
          <t>UNDER ARMOUR Links Women's Shorts (Midnight Navy)</t>
        </is>
      </c>
      <c r="E3555" s="1" t="inlineStr">
        <is>
          <t>UNDER ARMOUR</t>
        </is>
      </c>
      <c r="F3555" s="1" t="inlineStr">
        <is>
          <t>SHORT PANTS</t>
        </is>
      </c>
      <c r="G3555" s="1" t="inlineStr">
        <is>
          <t>GF20202017072</t>
        </is>
      </c>
      <c r="H3555" s="1" t="n">
        <v>6</v>
      </c>
      <c r="I3555" s="1" t="inlineStr">
        <is>
          <t>มี</t>
        </is>
      </c>
      <c r="J3555" s="13" t="n">
        <v>53</v>
      </c>
      <c r="K3555" s="1" t="inlineStr"/>
      <c r="L3555" s="13" t="n">
        <v>53</v>
      </c>
      <c r="M3555" s="1">
        <f>IF(L3555="","ไม่พบใน SG",IF(ABS(J3555-L3555)&lt;0.005,"ตรงกัน","ไม่ตรง"))</f>
        <v/>
      </c>
      <c r="N3555" s="14">
        <f>IF(L3555="","",ROUND(L3555*'สรุป'!$C$6,-1))</f>
        <v/>
      </c>
      <c r="O3555" s="15" t="n"/>
      <c r="P3555" s="15" t="n"/>
      <c r="Q3555" s="10" t="n"/>
      <c r="R3555" s="10" t="n"/>
      <c r="S3555" s="16" t="inlineStr">
        <is>
          <t>https://mstgolf.co.th/products/gf2020201707</t>
        </is>
      </c>
      <c r="T3555" s="1">
        <f>IF(B3555="ไม้กอล์ฟ",J3555,"")</f>
        <v/>
      </c>
    </row>
    <row r="3556">
      <c r="A3556" s="1" t="n">
        <v>3</v>
      </c>
      <c r="B3556" s="1" t="inlineStr">
        <is>
          <t>เสื้อผ้า</t>
        </is>
      </c>
      <c r="C3556" s="1" t="inlineStr">
        <is>
          <t>gf2020201927</t>
        </is>
      </c>
      <c r="D3556" s="1" t="inlineStr">
        <is>
          <t>UNDER ARMOUR Links Women's Shorts (Versa Blue)</t>
        </is>
      </c>
      <c r="E3556" s="1" t="inlineStr">
        <is>
          <t>UNDER ARMOUR</t>
        </is>
      </c>
      <c r="F3556" s="1" t="inlineStr">
        <is>
          <t>SHORT PANTS</t>
        </is>
      </c>
      <c r="G3556" s="1" t="inlineStr">
        <is>
          <t>GF20202019272</t>
        </is>
      </c>
      <c r="H3556" s="1" t="n">
        <v>6</v>
      </c>
      <c r="I3556" s="1" t="inlineStr">
        <is>
          <t>มี</t>
        </is>
      </c>
      <c r="J3556" s="13" t="n">
        <v>53</v>
      </c>
      <c r="K3556" s="1" t="inlineStr"/>
      <c r="L3556" s="13" t="n">
        <v>53</v>
      </c>
      <c r="M3556" s="1">
        <f>IF(L3556="","ไม่พบใน SG",IF(ABS(J3556-L3556)&lt;0.005,"ตรงกัน","ไม่ตรง"))</f>
        <v/>
      </c>
      <c r="N3556" s="14">
        <f>IF(L3556="","",ROUND(L3556*'สรุป'!$C$6,-1))</f>
        <v/>
      </c>
      <c r="O3556" s="15" t="n"/>
      <c r="P3556" s="15" t="n"/>
      <c r="Q3556" s="10" t="n"/>
      <c r="R3556" s="10" t="n"/>
      <c r="S3556" s="16" t="inlineStr">
        <is>
          <t>https://mstgolf.co.th/products/gf2020201927</t>
        </is>
      </c>
      <c r="T3556" s="1">
        <f>IF(B3556="ไม้กอล์ฟ",J3556,"")</f>
        <v/>
      </c>
    </row>
    <row r="3557">
      <c r="A3557" s="1" t="n">
        <v>3</v>
      </c>
      <c r="B3557" s="1" t="inlineStr">
        <is>
          <t>เสื้อผ้า</t>
        </is>
      </c>
      <c r="C3557" s="1" t="inlineStr">
        <is>
          <t>gf2040115506</t>
        </is>
      </c>
      <c r="D3557" s="1" t="inlineStr">
        <is>
          <t>UNDER ARMOUR PLAYOFF 3.0 STRIPE</t>
        </is>
      </c>
      <c r="E3557" s="1" t="inlineStr">
        <is>
          <t>UNDER ARMOUR</t>
        </is>
      </c>
      <c r="F3557" s="1" t="inlineStr">
        <is>
          <t>SHORT SLEEVES</t>
        </is>
      </c>
      <c r="G3557" s="1" t="inlineStr">
        <is>
          <t>GF2040115506S</t>
        </is>
      </c>
      <c r="H3557" s="1" t="n">
        <v>5</v>
      </c>
      <c r="I3557" s="1" t="inlineStr">
        <is>
          <t>มี</t>
        </is>
      </c>
      <c r="J3557" s="13" t="n">
        <v>53</v>
      </c>
      <c r="K3557" s="1" t="inlineStr"/>
      <c r="L3557" s="13" t="n">
        <v>53</v>
      </c>
      <c r="M3557" s="1">
        <f>IF(L3557="","ไม่พบใน SG",IF(ABS(J3557-L3557)&lt;0.005,"ตรงกัน","ไม่ตรง"))</f>
        <v/>
      </c>
      <c r="N3557" s="14">
        <f>IF(L3557="","",ROUND(L3557*'สรุป'!$C$6,-1))</f>
        <v/>
      </c>
      <c r="O3557" s="15" t="n"/>
      <c r="P3557" s="15" t="n"/>
      <c r="Q3557" s="10" t="n"/>
      <c r="R3557" s="10" t="n"/>
      <c r="S3557" s="16" t="inlineStr">
        <is>
          <t>https://mstgolf.co.th/products/gf2040115506</t>
        </is>
      </c>
      <c r="T3557" s="1">
        <f>IF(B3557="ไม้กอล์ฟ",J3557,"")</f>
        <v/>
      </c>
    </row>
    <row r="3558">
      <c r="A3558" s="1" t="n">
        <v>3</v>
      </c>
      <c r="B3558" s="1" t="inlineStr">
        <is>
          <t>เสื้อผ้า</t>
        </is>
      </c>
      <c r="C3558" s="1" t="inlineStr">
        <is>
          <t>gf2040115449</t>
        </is>
      </c>
      <c r="D3558" s="1" t="inlineStr">
        <is>
          <t>UNDER ARMOUR PlayOff Women's Polo (Blue Foam)</t>
        </is>
      </c>
      <c r="E3558" s="1" t="inlineStr">
        <is>
          <t>UNDER ARMOUR</t>
        </is>
      </c>
      <c r="F3558" s="1" t="inlineStr">
        <is>
          <t>SHORT SLEEVES</t>
        </is>
      </c>
      <c r="G3558" s="1" t="inlineStr">
        <is>
          <t>GF2040115449XS</t>
        </is>
      </c>
      <c r="H3558" s="1" t="n">
        <v>5</v>
      </c>
      <c r="I3558" s="1" t="inlineStr">
        <is>
          <t>มี</t>
        </is>
      </c>
      <c r="J3558" s="13" t="n">
        <v>53</v>
      </c>
      <c r="K3558" s="1" t="inlineStr"/>
      <c r="L3558" s="13" t="n">
        <v>45</v>
      </c>
      <c r="M3558" s="1">
        <f>IF(L3558="","ไม่พบใน SG",IF(ABS(J3558-L3558)&lt;0.005,"ตรงกัน","ไม่ตรง"))</f>
        <v/>
      </c>
      <c r="N3558" s="14">
        <f>IF(L3558="","",ROUND(L3558*'สรุป'!$C$6,-1))</f>
        <v/>
      </c>
      <c r="O3558" s="15" t="n"/>
      <c r="P3558" s="15" t="n"/>
      <c r="Q3558" s="10" t="n"/>
      <c r="R3558" s="10" t="n"/>
      <c r="S3558" s="16" t="inlineStr">
        <is>
          <t>https://mstgolf.co.th/products/gf2040115449</t>
        </is>
      </c>
      <c r="T3558" s="1">
        <f>IF(B3558="ไม้กอล์ฟ",J3558,"")</f>
        <v/>
      </c>
    </row>
    <row r="3559">
      <c r="A3559" s="1" t="n">
        <v>3</v>
      </c>
      <c r="B3559" s="1" t="inlineStr">
        <is>
          <t>เสื้อผ้า</t>
        </is>
      </c>
      <c r="C3559" s="1" t="inlineStr">
        <is>
          <t>gf2040109130</t>
        </is>
      </c>
      <c r="D3559" s="1" t="inlineStr">
        <is>
          <t>UNDER ARMOUR Playoff 2.0 Men's Polo (Lime/Pitch Grey)</t>
        </is>
      </c>
      <c r="E3559" s="1" t="inlineStr">
        <is>
          <t>UNDER ARMOUR</t>
        </is>
      </c>
      <c r="F3559" s="1" t="inlineStr">
        <is>
          <t>SHORT SLEEVES</t>
        </is>
      </c>
      <c r="G3559" s="1" t="inlineStr">
        <is>
          <t>GF2040109130S</t>
        </is>
      </c>
      <c r="H3559" s="1" t="n">
        <v>5</v>
      </c>
      <c r="I3559" s="1" t="inlineStr">
        <is>
          <t>มี</t>
        </is>
      </c>
      <c r="J3559" s="13" t="n">
        <v>53</v>
      </c>
      <c r="K3559" s="1" t="inlineStr"/>
      <c r="L3559" s="13" t="n">
        <v>53</v>
      </c>
      <c r="M3559" s="1">
        <f>IF(L3559="","ไม่พบใน SG",IF(ABS(J3559-L3559)&lt;0.005,"ตรงกัน","ไม่ตรง"))</f>
        <v/>
      </c>
      <c r="N3559" s="14">
        <f>IF(L3559="","",ROUND(L3559*'สรุป'!$C$6,-1))</f>
        <v/>
      </c>
      <c r="O3559" s="15" t="n"/>
      <c r="P3559" s="15" t="n"/>
      <c r="Q3559" s="10" t="n"/>
      <c r="R3559" s="10" t="n"/>
      <c r="S3559" s="16" t="inlineStr">
        <is>
          <t>https://mstgolf.co.th/products/gf2040109130</t>
        </is>
      </c>
      <c r="T3559" s="1">
        <f>IF(B3559="ไม้กอล์ฟ",J3559,"")</f>
        <v/>
      </c>
    </row>
    <row r="3560">
      <c r="A3560" s="1" t="n">
        <v>3</v>
      </c>
      <c r="B3560" s="1" t="inlineStr">
        <is>
          <t>เสื้อผ้า</t>
        </is>
      </c>
      <c r="C3560" s="1" t="inlineStr">
        <is>
          <t>gf2040115500</t>
        </is>
      </c>
      <c r="D3560" s="1" t="inlineStr">
        <is>
          <t>UNDER ARMOUR Playoff 3.0 Men's Polo (Black)</t>
        </is>
      </c>
      <c r="E3560" s="1" t="inlineStr">
        <is>
          <t>UNDER ARMOUR</t>
        </is>
      </c>
      <c r="F3560" s="1" t="inlineStr">
        <is>
          <t>SHORT SLEEVES</t>
        </is>
      </c>
      <c r="G3560" s="1" t="inlineStr">
        <is>
          <t>GF2040115500S</t>
        </is>
      </c>
      <c r="H3560" s="1" t="n">
        <v>5</v>
      </c>
      <c r="I3560" s="1" t="inlineStr">
        <is>
          <t>มี</t>
        </is>
      </c>
      <c r="J3560" s="13" t="n">
        <v>53</v>
      </c>
      <c r="K3560" s="1" t="inlineStr"/>
      <c r="L3560" s="13" t="n">
        <v>53</v>
      </c>
      <c r="M3560" s="1">
        <f>IF(L3560="","ไม่พบใน SG",IF(ABS(J3560-L3560)&lt;0.005,"ตรงกัน","ไม่ตรง"))</f>
        <v/>
      </c>
      <c r="N3560" s="14">
        <f>IF(L3560="","",ROUND(L3560*'สรุป'!$C$6,-1))</f>
        <v/>
      </c>
      <c r="O3560" s="15" t="n"/>
      <c r="P3560" s="15" t="n"/>
      <c r="Q3560" s="10" t="n"/>
      <c r="R3560" s="10" t="n"/>
      <c r="S3560" s="16" t="inlineStr">
        <is>
          <t>https://mstgolf.co.th/products/gf2040115500</t>
        </is>
      </c>
      <c r="T3560" s="1">
        <f>IF(B3560="ไม้กอล์ฟ",J3560,"")</f>
        <v/>
      </c>
    </row>
    <row r="3561">
      <c r="A3561" s="1" t="n">
        <v>3</v>
      </c>
      <c r="B3561" s="1" t="inlineStr">
        <is>
          <t>เสื้อผ้า</t>
        </is>
      </c>
      <c r="C3561" s="1" t="inlineStr">
        <is>
          <t>gf2040115878</t>
        </is>
      </c>
      <c r="D3561" s="1" t="inlineStr">
        <is>
          <t>UNDER ARMOUR Playoff 3.0 Men's Polo (Black/White)</t>
        </is>
      </c>
      <c r="E3561" s="1" t="inlineStr">
        <is>
          <t>UNDER ARMOUR</t>
        </is>
      </c>
      <c r="F3561" s="1" t="inlineStr">
        <is>
          <t>SHORT SLEEVES</t>
        </is>
      </c>
      <c r="G3561" s="1" t="inlineStr">
        <is>
          <t>GF2040115878XS</t>
        </is>
      </c>
      <c r="H3561" s="1" t="n">
        <v>6</v>
      </c>
      <c r="I3561" s="1" t="inlineStr">
        <is>
          <t>มี</t>
        </is>
      </c>
      <c r="J3561" s="13" t="n">
        <v>53</v>
      </c>
      <c r="K3561" s="1" t="inlineStr"/>
      <c r="L3561" s="13" t="n">
        <v>53</v>
      </c>
      <c r="M3561" s="1">
        <f>IF(L3561="","ไม่พบใน SG",IF(ABS(J3561-L3561)&lt;0.005,"ตรงกัน","ไม่ตรง"))</f>
        <v/>
      </c>
      <c r="N3561" s="14">
        <f>IF(L3561="","",ROUND(L3561*'สรุป'!$C$6,-1))</f>
        <v/>
      </c>
      <c r="O3561" s="15" t="n"/>
      <c r="P3561" s="15" t="n"/>
      <c r="Q3561" s="10" t="n"/>
      <c r="R3561" s="10" t="n"/>
      <c r="S3561" s="16" t="inlineStr">
        <is>
          <t>https://mstgolf.co.th/products/gf2040115878</t>
        </is>
      </c>
      <c r="T3561" s="1">
        <f>IF(B3561="ไม้กอล์ฟ",J3561,"")</f>
        <v/>
      </c>
    </row>
    <row r="3562">
      <c r="A3562" s="1" t="n">
        <v>3</v>
      </c>
      <c r="B3562" s="1" t="inlineStr">
        <is>
          <t>เสื้อผ้า</t>
        </is>
      </c>
      <c r="C3562" s="1" t="inlineStr">
        <is>
          <t>gf2040115507</t>
        </is>
      </c>
      <c r="D3562" s="1" t="inlineStr">
        <is>
          <t>UNDER ARMOUR Playoff 3.0 Men's Striped Shirt (Static Blue)</t>
        </is>
      </c>
      <c r="E3562" s="1" t="inlineStr">
        <is>
          <t>UNDER ARMOUR</t>
        </is>
      </c>
      <c r="F3562" s="1" t="inlineStr">
        <is>
          <t>SHORT SLEEVES</t>
        </is>
      </c>
      <c r="G3562" s="1" t="inlineStr">
        <is>
          <t>GF2040115507S</t>
        </is>
      </c>
      <c r="H3562" s="1" t="n">
        <v>5</v>
      </c>
      <c r="I3562" s="1" t="inlineStr">
        <is>
          <t>มี</t>
        </is>
      </c>
      <c r="J3562" s="13" t="n">
        <v>53</v>
      </c>
      <c r="K3562" s="1" t="inlineStr"/>
      <c r="L3562" s="13" t="n">
        <v>53</v>
      </c>
      <c r="M3562" s="1">
        <f>IF(L3562="","ไม่พบใน SG",IF(ABS(J3562-L3562)&lt;0.005,"ตรงกัน","ไม่ตรง"))</f>
        <v/>
      </c>
      <c r="N3562" s="14">
        <f>IF(L3562="","",ROUND(L3562*'สรุป'!$C$6,-1))</f>
        <v/>
      </c>
      <c r="O3562" s="15" t="n"/>
      <c r="P3562" s="15" t="n"/>
      <c r="Q3562" s="10" t="n"/>
      <c r="R3562" s="10" t="n"/>
      <c r="S3562" s="16" t="inlineStr">
        <is>
          <t>https://mstgolf.co.th/products/gf2040115507</t>
        </is>
      </c>
      <c r="T3562" s="1">
        <f>IF(B3562="ไม้กอล์ฟ",J3562,"")</f>
        <v/>
      </c>
    </row>
    <row r="3563">
      <c r="A3563" s="1" t="n">
        <v>3</v>
      </c>
      <c r="B3563" s="1" t="inlineStr">
        <is>
          <t>เสื้อผ้า</t>
        </is>
      </c>
      <c r="C3563" s="1" t="inlineStr">
        <is>
          <t>gf2040116489</t>
        </is>
      </c>
      <c r="D3563" s="1" t="inlineStr">
        <is>
          <t>UNDER ARMOUR Playoff 3.0 Printed Men's Polo (Black/Pink)</t>
        </is>
      </c>
      <c r="E3563" s="1" t="inlineStr">
        <is>
          <t>UNDER ARMOUR</t>
        </is>
      </c>
      <c r="F3563" s="1" t="inlineStr">
        <is>
          <t>SHORT SLEEVES</t>
        </is>
      </c>
      <c r="G3563" s="1" t="inlineStr">
        <is>
          <t>GF2040116489S</t>
        </is>
      </c>
      <c r="H3563" s="1" t="n">
        <v>5</v>
      </c>
      <c r="I3563" s="1" t="inlineStr">
        <is>
          <t>มี</t>
        </is>
      </c>
      <c r="J3563" s="13" t="n">
        <v>53</v>
      </c>
      <c r="K3563" s="1" t="inlineStr"/>
      <c r="L3563" s="13" t="n">
        <v>53</v>
      </c>
      <c r="M3563" s="1">
        <f>IF(L3563="","ไม่พบใน SG",IF(ABS(J3563-L3563)&lt;0.005,"ตรงกัน","ไม่ตรง"))</f>
        <v/>
      </c>
      <c r="N3563" s="14">
        <f>IF(L3563="","",ROUND(L3563*'สรุป'!$C$6,-1))</f>
        <v/>
      </c>
      <c r="O3563" s="15" t="n"/>
      <c r="P3563" s="15" t="n"/>
      <c r="Q3563" s="10" t="n"/>
      <c r="R3563" s="10" t="n"/>
      <c r="S3563" s="16" t="inlineStr">
        <is>
          <t>https://mstgolf.co.th/products/gf2040116489</t>
        </is>
      </c>
      <c r="T3563" s="1">
        <f>IF(B3563="ไม้กอล์ฟ",J3563,"")</f>
        <v/>
      </c>
    </row>
    <row r="3564">
      <c r="A3564" s="1" t="n">
        <v>3</v>
      </c>
      <c r="B3564" s="1" t="inlineStr">
        <is>
          <t>เสื้อผ้า</t>
        </is>
      </c>
      <c r="C3564" s="1" t="inlineStr">
        <is>
          <t>gf2040117231</t>
        </is>
      </c>
      <c r="D3564" s="1" t="inlineStr">
        <is>
          <t>UNDER ARMOUR Playoff 3.0 Printed Men's Polo (Green/Navy)</t>
        </is>
      </c>
      <c r="E3564" s="1" t="inlineStr">
        <is>
          <t>UNDER ARMOUR</t>
        </is>
      </c>
      <c r="F3564" s="1" t="inlineStr">
        <is>
          <t>SHORT SLEEVES</t>
        </is>
      </c>
      <c r="G3564" s="1" t="inlineStr">
        <is>
          <t>GF2040117231S</t>
        </is>
      </c>
      <c r="H3564" s="1" t="n">
        <v>5</v>
      </c>
      <c r="I3564" s="1" t="inlineStr">
        <is>
          <t>มี</t>
        </is>
      </c>
      <c r="J3564" s="13" t="n">
        <v>53</v>
      </c>
      <c r="K3564" s="1" t="inlineStr"/>
      <c r="L3564" s="13" t="n">
        <v>53</v>
      </c>
      <c r="M3564" s="1">
        <f>IF(L3564="","ไม่พบใน SG",IF(ABS(J3564-L3564)&lt;0.005,"ตรงกัน","ไม่ตรง"))</f>
        <v/>
      </c>
      <c r="N3564" s="14">
        <f>IF(L3564="","",ROUND(L3564*'สรุป'!$C$6,-1))</f>
        <v/>
      </c>
      <c r="O3564" s="15" t="n"/>
      <c r="P3564" s="15" t="n"/>
      <c r="Q3564" s="10" t="n"/>
      <c r="R3564" s="10" t="n"/>
      <c r="S3564" s="16" t="inlineStr">
        <is>
          <t>https://mstgolf.co.th/products/gf2040117231</t>
        </is>
      </c>
      <c r="T3564" s="1">
        <f>IF(B3564="ไม้กอล์ฟ",J3564,"")</f>
        <v/>
      </c>
    </row>
    <row r="3565">
      <c r="A3565" s="1" t="n">
        <v>3</v>
      </c>
      <c r="B3565" s="1" t="inlineStr">
        <is>
          <t>เสื้อผ้า</t>
        </is>
      </c>
      <c r="C3565" s="1" t="inlineStr">
        <is>
          <t>gf2040117232</t>
        </is>
      </c>
      <c r="D3565" s="1" t="inlineStr">
        <is>
          <t>UNDER ARMOUR Playoff 3.0 Printed Men's Polo (Green/Navy)</t>
        </is>
      </c>
      <c r="E3565" s="1" t="inlineStr">
        <is>
          <t>UNDER ARMOUR</t>
        </is>
      </c>
      <c r="F3565" s="1" t="inlineStr">
        <is>
          <t>SHORT SLEEVES</t>
        </is>
      </c>
      <c r="G3565" s="1" t="inlineStr">
        <is>
          <t>GF2040117232S</t>
        </is>
      </c>
      <c r="H3565" s="1" t="n">
        <v>5</v>
      </c>
      <c r="I3565" s="1" t="inlineStr">
        <is>
          <t>มี</t>
        </is>
      </c>
      <c r="J3565" s="13" t="n">
        <v>53</v>
      </c>
      <c r="K3565" s="1" t="inlineStr"/>
      <c r="L3565" s="13" t="n">
        <v>53</v>
      </c>
      <c r="M3565" s="1">
        <f>IF(L3565="","ไม่พบใน SG",IF(ABS(J3565-L3565)&lt;0.005,"ตรงกัน","ไม่ตรง"))</f>
        <v/>
      </c>
      <c r="N3565" s="14">
        <f>IF(L3565="","",ROUND(L3565*'สรุป'!$C$6,-1))</f>
        <v/>
      </c>
      <c r="O3565" s="15" t="n"/>
      <c r="P3565" s="15" t="n"/>
      <c r="Q3565" s="10" t="n"/>
      <c r="R3565" s="10" t="n"/>
      <c r="S3565" s="16" t="inlineStr">
        <is>
          <t>https://mstgolf.co.th/products/gf2040117232</t>
        </is>
      </c>
      <c r="T3565" s="1">
        <f>IF(B3565="ไม้กอล์ฟ",J3565,"")</f>
        <v/>
      </c>
    </row>
    <row r="3566">
      <c r="A3566" s="1" t="n">
        <v>3</v>
      </c>
      <c r="B3566" s="1" t="inlineStr">
        <is>
          <t>เสื้อผ้า</t>
        </is>
      </c>
      <c r="C3566" s="1" t="inlineStr">
        <is>
          <t>gf2040116494</t>
        </is>
      </c>
      <c r="D3566" s="1" t="inlineStr">
        <is>
          <t>UNDER ARMOUR Playoff 3.0 Printed Men's Polo (Mesa Yellow)</t>
        </is>
      </c>
      <c r="E3566" s="1" t="inlineStr">
        <is>
          <t>UNDER ARMOUR</t>
        </is>
      </c>
      <c r="F3566" s="1" t="inlineStr">
        <is>
          <t>SHORT SLEEVES</t>
        </is>
      </c>
      <c r="G3566" s="1" t="inlineStr">
        <is>
          <t>GF2040116494S</t>
        </is>
      </c>
      <c r="H3566" s="1" t="n">
        <v>5</v>
      </c>
      <c r="I3566" s="1" t="inlineStr">
        <is>
          <t>มี</t>
        </is>
      </c>
      <c r="J3566" s="13" t="n">
        <v>53</v>
      </c>
      <c r="K3566" s="1" t="inlineStr"/>
      <c r="L3566" s="13" t="n">
        <v>53</v>
      </c>
      <c r="M3566" s="1">
        <f>IF(L3566="","ไม่พบใน SG",IF(ABS(J3566-L3566)&lt;0.005,"ตรงกัน","ไม่ตรง"))</f>
        <v/>
      </c>
      <c r="N3566" s="14">
        <f>IF(L3566="","",ROUND(L3566*'สรุป'!$C$6,-1))</f>
        <v/>
      </c>
      <c r="O3566" s="15" t="n"/>
      <c r="P3566" s="15" t="n"/>
      <c r="Q3566" s="10" t="n"/>
      <c r="R3566" s="10" t="n"/>
      <c r="S3566" s="16" t="inlineStr">
        <is>
          <t>https://mstgolf.co.th/products/gf2040116494</t>
        </is>
      </c>
      <c r="T3566" s="1">
        <f>IF(B3566="ไม้กอล์ฟ",J3566,"")</f>
        <v/>
      </c>
    </row>
    <row r="3567">
      <c r="A3567" s="1" t="n">
        <v>3</v>
      </c>
      <c r="B3567" s="1" t="inlineStr">
        <is>
          <t>เสื้อผ้า</t>
        </is>
      </c>
      <c r="C3567" s="1" t="inlineStr">
        <is>
          <t>gf2040117352</t>
        </is>
      </c>
      <c r="D3567" s="1" t="inlineStr">
        <is>
          <t>UNDER ARMOUR Playoff Jacquard Women's Sleeveless Polo (Green)</t>
        </is>
      </c>
      <c r="E3567" s="1" t="inlineStr">
        <is>
          <t>UNDER ARMOUR</t>
        </is>
      </c>
      <c r="F3567" s="1" t="inlineStr">
        <is>
          <t>SHORT SLEEVES</t>
        </is>
      </c>
      <c r="G3567" s="1" t="inlineStr">
        <is>
          <t>GF2040117352XS</t>
        </is>
      </c>
      <c r="H3567" s="1" t="n">
        <v>5</v>
      </c>
      <c r="I3567" s="1" t="inlineStr">
        <is>
          <t>มี</t>
        </is>
      </c>
      <c r="J3567" s="13" t="n">
        <v>53</v>
      </c>
      <c r="K3567" s="1" t="inlineStr"/>
      <c r="L3567" s="13" t="n">
        <v>53</v>
      </c>
      <c r="M3567" s="1">
        <f>IF(L3567="","ไม่พบใน SG",IF(ABS(J3567-L3567)&lt;0.005,"ตรงกัน","ไม่ตรง"))</f>
        <v/>
      </c>
      <c r="N3567" s="14">
        <f>IF(L3567="","",ROUND(L3567*'สรุป'!$C$6,-1))</f>
        <v/>
      </c>
      <c r="O3567" s="15" t="n"/>
      <c r="P3567" s="15" t="n"/>
      <c r="Q3567" s="10" t="n"/>
      <c r="R3567" s="10" t="n"/>
      <c r="S3567" s="16" t="inlineStr">
        <is>
          <t>https://mstgolf.co.th/products/gf2040117352</t>
        </is>
      </c>
      <c r="T3567" s="1">
        <f>IF(B3567="ไม้กอล์ฟ",J3567,"")</f>
        <v/>
      </c>
    </row>
    <row r="3568">
      <c r="A3568" s="1" t="n">
        <v>3</v>
      </c>
      <c r="B3568" s="1" t="inlineStr">
        <is>
          <t>เสื้อผ้า</t>
        </is>
      </c>
      <c r="C3568" s="1" t="inlineStr">
        <is>
          <t>gf2040117351</t>
        </is>
      </c>
      <c r="D3568" s="1" t="inlineStr">
        <is>
          <t>UNDER ARMOUR Playoff Pitch Women's Polo (Starlight)</t>
        </is>
      </c>
      <c r="E3568" s="1" t="inlineStr">
        <is>
          <t>UNDER ARMOUR</t>
        </is>
      </c>
      <c r="F3568" s="1" t="inlineStr">
        <is>
          <t>SHORT SLEEVES</t>
        </is>
      </c>
      <c r="G3568" s="1" t="inlineStr">
        <is>
          <t>GF2040117351XS</t>
        </is>
      </c>
      <c r="H3568" s="1" t="n">
        <v>5</v>
      </c>
      <c r="I3568" s="1" t="inlineStr">
        <is>
          <t>มี</t>
        </is>
      </c>
      <c r="J3568" s="13" t="n">
        <v>53</v>
      </c>
      <c r="K3568" s="1" t="inlineStr"/>
      <c r="L3568" s="13" t="n">
        <v>53</v>
      </c>
      <c r="M3568" s="1">
        <f>IF(L3568="","ไม่พบใน SG",IF(ABS(J3568-L3568)&lt;0.005,"ตรงกัน","ไม่ตรง"))</f>
        <v/>
      </c>
      <c r="N3568" s="14">
        <f>IF(L3568="","",ROUND(L3568*'สรุป'!$C$6,-1))</f>
        <v/>
      </c>
      <c r="O3568" s="15" t="n"/>
      <c r="P3568" s="15" t="n"/>
      <c r="Q3568" s="10" t="n"/>
      <c r="R3568" s="10" t="n"/>
      <c r="S3568" s="16" t="inlineStr">
        <is>
          <t>https://mstgolf.co.th/products/gf2040117351</t>
        </is>
      </c>
      <c r="T3568" s="1">
        <f>IF(B3568="ไม้กอล์ฟ",J3568,"")</f>
        <v/>
      </c>
    </row>
    <row r="3569">
      <c r="A3569" s="1" t="n">
        <v>3</v>
      </c>
      <c r="B3569" s="1" t="inlineStr">
        <is>
          <t>เสื้อผ้า</t>
        </is>
      </c>
      <c r="C3569" s="1" t="inlineStr">
        <is>
          <t>gf2040115460</t>
        </is>
      </c>
      <c r="D3569" s="1" t="inlineStr">
        <is>
          <t>UNDER ARMOUR Playoff Wild Fields Women's Polo (Orange Blast)</t>
        </is>
      </c>
      <c r="E3569" s="1" t="inlineStr">
        <is>
          <t>UNDER ARMOUR</t>
        </is>
      </c>
      <c r="F3569" s="1" t="inlineStr">
        <is>
          <t>SHORT SLEEVES</t>
        </is>
      </c>
      <c r="G3569" s="1" t="inlineStr">
        <is>
          <t>GF2040115460XS</t>
        </is>
      </c>
      <c r="H3569" s="1" t="n">
        <v>5</v>
      </c>
      <c r="I3569" s="1" t="inlineStr">
        <is>
          <t>มี</t>
        </is>
      </c>
      <c r="J3569" s="13" t="n">
        <v>53</v>
      </c>
      <c r="K3569" s="1" t="inlineStr"/>
      <c r="L3569" s="13" t="n">
        <v>45</v>
      </c>
      <c r="M3569" s="1">
        <f>IF(L3569="","ไม่พบใน SG",IF(ABS(J3569-L3569)&lt;0.005,"ตรงกัน","ไม่ตรง"))</f>
        <v/>
      </c>
      <c r="N3569" s="14">
        <f>IF(L3569="","",ROUND(L3569*'สรุป'!$C$6,-1))</f>
        <v/>
      </c>
      <c r="O3569" s="15" t="n"/>
      <c r="P3569" s="15" t="n"/>
      <c r="Q3569" s="10" t="n"/>
      <c r="R3569" s="10" t="n"/>
      <c r="S3569" s="16" t="inlineStr">
        <is>
          <t>https://mstgolf.co.th/products/gf2040115460</t>
        </is>
      </c>
      <c r="T3569" s="1">
        <f>IF(B3569="ไม้กอล์ฟ",J3569,"")</f>
        <v/>
      </c>
    </row>
    <row r="3570">
      <c r="A3570" s="1" t="n">
        <v>3</v>
      </c>
      <c r="B3570" s="1" t="inlineStr">
        <is>
          <t>เสื้อผ้า</t>
        </is>
      </c>
      <c r="C3570" s="1" t="inlineStr">
        <is>
          <t>gf2040117238</t>
        </is>
      </c>
      <c r="D3570" s="1" t="inlineStr">
        <is>
          <t>UNDER ARMOUR Playoff Women's Polo (Celeste)</t>
        </is>
      </c>
      <c r="E3570" s="1" t="inlineStr">
        <is>
          <t>UNDER ARMOUR</t>
        </is>
      </c>
      <c r="F3570" s="1" t="inlineStr">
        <is>
          <t>SHORT SLEEVES</t>
        </is>
      </c>
      <c r="G3570" s="1" t="inlineStr">
        <is>
          <t>GF2040117238XS</t>
        </is>
      </c>
      <c r="H3570" s="1" t="n">
        <v>5</v>
      </c>
      <c r="I3570" s="1" t="inlineStr">
        <is>
          <t>มี</t>
        </is>
      </c>
      <c r="J3570" s="13" t="n">
        <v>53</v>
      </c>
      <c r="K3570" s="1" t="inlineStr"/>
      <c r="L3570" s="13" t="n"/>
      <c r="M3570" s="1">
        <f>IF(L3570="","ไม่พบใน SG",IF(ABS(J3570-L3570)&lt;0.005,"ตรงกัน","ไม่ตรง"))</f>
        <v/>
      </c>
      <c r="N3570" s="14">
        <f>IF(L3570="","",ROUND(L3570*'สรุป'!$C$6,-1))</f>
        <v/>
      </c>
      <c r="O3570" s="15" t="n"/>
      <c r="P3570" s="15" t="n"/>
      <c r="Q3570" s="10" t="n"/>
      <c r="R3570" s="10" t="n"/>
      <c r="S3570" s="16" t="inlineStr">
        <is>
          <t>https://mstgolf.co.th/products/gf2040117238</t>
        </is>
      </c>
      <c r="T3570" s="1">
        <f>IF(B3570="ไม้กอล์ฟ",J3570,"")</f>
        <v/>
      </c>
    </row>
    <row r="3571">
      <c r="A3571" s="1" t="n">
        <v>3</v>
      </c>
      <c r="B3571" s="1" t="inlineStr">
        <is>
          <t>เสื้อผ้า</t>
        </is>
      </c>
      <c r="C3571" s="1" t="inlineStr">
        <is>
          <t>gf2040115447</t>
        </is>
      </c>
      <c r="D3571" s="1" t="inlineStr">
        <is>
          <t>UNDER ARMOUR Playoff Women's Polo (Midnight Navy)</t>
        </is>
      </c>
      <c r="E3571" s="1" t="inlineStr">
        <is>
          <t>UNDER ARMOUR</t>
        </is>
      </c>
      <c r="F3571" s="1" t="inlineStr">
        <is>
          <t>SHORT SLEEVES</t>
        </is>
      </c>
      <c r="G3571" s="1" t="inlineStr">
        <is>
          <t>GF2040115447XS</t>
        </is>
      </c>
      <c r="H3571" s="1" t="n">
        <v>6</v>
      </c>
      <c r="I3571" s="1" t="inlineStr">
        <is>
          <t>มี</t>
        </is>
      </c>
      <c r="J3571" s="13" t="n">
        <v>53</v>
      </c>
      <c r="K3571" s="1" t="inlineStr"/>
      <c r="L3571" s="13" t="n">
        <v>45</v>
      </c>
      <c r="M3571" s="1">
        <f>IF(L3571="","ไม่พบใน SG",IF(ABS(J3571-L3571)&lt;0.005,"ตรงกัน","ไม่ตรง"))</f>
        <v/>
      </c>
      <c r="N3571" s="14">
        <f>IF(L3571="","",ROUND(L3571*'สรุป'!$C$6,-1))</f>
        <v/>
      </c>
      <c r="O3571" s="15" t="n"/>
      <c r="P3571" s="15" t="n"/>
      <c r="Q3571" s="10" t="n"/>
      <c r="R3571" s="10" t="n"/>
      <c r="S3571" s="16" t="inlineStr">
        <is>
          <t>https://mstgolf.co.th/products/gf2040115447</t>
        </is>
      </c>
      <c r="T3571" s="1">
        <f>IF(B3571="ไม้กอล์ฟ",J3571,"")</f>
        <v/>
      </c>
    </row>
    <row r="3572">
      <c r="A3572" s="1" t="n">
        <v>3</v>
      </c>
      <c r="B3572" s="1" t="inlineStr">
        <is>
          <t>เสื้อผ้า</t>
        </is>
      </c>
      <c r="C3572" s="1" t="inlineStr">
        <is>
          <t>gf2040116464</t>
        </is>
      </c>
      <c r="D3572" s="1" t="inlineStr">
        <is>
          <t>UNDER ARMOUR Playoff Women's Polo (Neo Turquoise)</t>
        </is>
      </c>
      <c r="E3572" s="1" t="inlineStr">
        <is>
          <t>UNDER ARMOUR</t>
        </is>
      </c>
      <c r="F3572" s="1" t="inlineStr">
        <is>
          <t>SHORT SLEEVES</t>
        </is>
      </c>
      <c r="G3572" s="1" t="inlineStr">
        <is>
          <t>GF2040116464XS</t>
        </is>
      </c>
      <c r="H3572" s="1" t="n">
        <v>5</v>
      </c>
      <c r="I3572" s="1" t="inlineStr">
        <is>
          <t>มี</t>
        </is>
      </c>
      <c r="J3572" s="13" t="n">
        <v>53</v>
      </c>
      <c r="K3572" s="1" t="inlineStr"/>
      <c r="L3572" s="13" t="n">
        <v>39</v>
      </c>
      <c r="M3572" s="1">
        <f>IF(L3572="","ไม่พบใน SG",IF(ABS(J3572-L3572)&lt;0.005,"ตรงกัน","ไม่ตรง"))</f>
        <v/>
      </c>
      <c r="N3572" s="14">
        <f>IF(L3572="","",ROUND(L3572*'สรุป'!$C$6,-1))</f>
        <v/>
      </c>
      <c r="O3572" s="15" t="n"/>
      <c r="P3572" s="15" t="n"/>
      <c r="Q3572" s="10" t="n"/>
      <c r="R3572" s="10" t="n"/>
      <c r="S3572" s="16" t="inlineStr">
        <is>
          <t>https://mstgolf.co.th/products/gf2040116464</t>
        </is>
      </c>
      <c r="T3572" s="1">
        <f>IF(B3572="ไม้กอล์ฟ",J3572,"")</f>
        <v/>
      </c>
    </row>
    <row r="3573">
      <c r="A3573" s="1" t="n">
        <v>3</v>
      </c>
      <c r="B3573" s="1" t="inlineStr">
        <is>
          <t>เสื้อผ้า</t>
        </is>
      </c>
      <c r="C3573" s="1" t="inlineStr">
        <is>
          <t>gf2040115451</t>
        </is>
      </c>
      <c r="D3573" s="1" t="inlineStr">
        <is>
          <t>UNDER ARMOUR Playoff Women's Polo (Perfection)</t>
        </is>
      </c>
      <c r="E3573" s="1" t="inlineStr">
        <is>
          <t>UNDER ARMOUR</t>
        </is>
      </c>
      <c r="F3573" s="1" t="inlineStr">
        <is>
          <t>SHORT SLEEVES</t>
        </is>
      </c>
      <c r="G3573" s="1" t="inlineStr">
        <is>
          <t>GF2040115451XS</t>
        </is>
      </c>
      <c r="H3573" s="1" t="n">
        <v>5</v>
      </c>
      <c r="I3573" s="1" t="inlineStr">
        <is>
          <t>มี</t>
        </is>
      </c>
      <c r="J3573" s="13" t="n">
        <v>53</v>
      </c>
      <c r="K3573" s="1" t="inlineStr"/>
      <c r="L3573" s="13" t="n">
        <v>45</v>
      </c>
      <c r="M3573" s="1">
        <f>IF(L3573="","ไม่พบใน SG",IF(ABS(J3573-L3573)&lt;0.005,"ตรงกัน","ไม่ตรง"))</f>
        <v/>
      </c>
      <c r="N3573" s="14">
        <f>IF(L3573="","",ROUND(L3573*'สรุป'!$C$6,-1))</f>
        <v/>
      </c>
      <c r="O3573" s="15" t="n"/>
      <c r="P3573" s="15" t="n"/>
      <c r="Q3573" s="10" t="n"/>
      <c r="R3573" s="10" t="n"/>
      <c r="S3573" s="16" t="inlineStr">
        <is>
          <t>https://mstgolf.co.th/products/gf2040115451</t>
        </is>
      </c>
      <c r="T3573" s="1">
        <f>IF(B3573="ไม้กอล์ฟ",J3573,"")</f>
        <v/>
      </c>
    </row>
    <row r="3574">
      <c r="A3574" s="1" t="n">
        <v>3</v>
      </c>
      <c r="B3574" s="1" t="inlineStr">
        <is>
          <t>เสื้อผ้า</t>
        </is>
      </c>
      <c r="C3574" s="1" t="inlineStr">
        <is>
          <t>gf2040117239</t>
        </is>
      </c>
      <c r="D3574" s="1" t="inlineStr">
        <is>
          <t>UNDER ARMOUR Playoff Women's Polo (Red Solstice)</t>
        </is>
      </c>
      <c r="E3574" s="1" t="inlineStr">
        <is>
          <t>UNDER ARMOUR</t>
        </is>
      </c>
      <c r="F3574" s="1" t="inlineStr">
        <is>
          <t>SHORT SLEEVES</t>
        </is>
      </c>
      <c r="G3574" s="1" t="inlineStr">
        <is>
          <t>GF2040117239XS</t>
        </is>
      </c>
      <c r="H3574" s="1" t="n">
        <v>5</v>
      </c>
      <c r="I3574" s="1" t="inlineStr">
        <is>
          <t>มี</t>
        </is>
      </c>
      <c r="J3574" s="13" t="n">
        <v>53</v>
      </c>
      <c r="K3574" s="1" t="inlineStr"/>
      <c r="L3574" s="13" t="n">
        <v>39</v>
      </c>
      <c r="M3574" s="1">
        <f>IF(L3574="","ไม่พบใน SG",IF(ABS(J3574-L3574)&lt;0.005,"ตรงกัน","ไม่ตรง"))</f>
        <v/>
      </c>
      <c r="N3574" s="14">
        <f>IF(L3574="","",ROUND(L3574*'สรุป'!$C$6,-1))</f>
        <v/>
      </c>
      <c r="O3574" s="15" t="n"/>
      <c r="P3574" s="15" t="n"/>
      <c r="Q3574" s="10" t="n"/>
      <c r="R3574" s="10" t="n"/>
      <c r="S3574" s="16" t="inlineStr">
        <is>
          <t>https://mstgolf.co.th/products/gf2040117239</t>
        </is>
      </c>
      <c r="T3574" s="1">
        <f>IF(B3574="ไม้กอล์ฟ",J3574,"")</f>
        <v/>
      </c>
    </row>
    <row r="3575">
      <c r="A3575" s="1" t="n">
        <v>3</v>
      </c>
      <c r="B3575" s="1" t="inlineStr">
        <is>
          <t>เสื้อผ้า</t>
        </is>
      </c>
      <c r="C3575" s="1" t="inlineStr">
        <is>
          <t>gf2040116463</t>
        </is>
      </c>
      <c r="D3575" s="1" t="inlineStr">
        <is>
          <t>UNDER ARMOUR Playoff Women's Polo (White)</t>
        </is>
      </c>
      <c r="E3575" s="1" t="inlineStr">
        <is>
          <t>UNDER ARMOUR</t>
        </is>
      </c>
      <c r="F3575" s="1" t="inlineStr">
        <is>
          <t>SHORT SLEEVES</t>
        </is>
      </c>
      <c r="G3575" s="1" t="inlineStr">
        <is>
          <t>GF2040116463XS</t>
        </is>
      </c>
      <c r="H3575" s="1" t="n">
        <v>6</v>
      </c>
      <c r="I3575" s="1" t="inlineStr">
        <is>
          <t>มี</t>
        </is>
      </c>
      <c r="J3575" s="13" t="n">
        <v>53</v>
      </c>
      <c r="K3575" s="1" t="inlineStr"/>
      <c r="L3575" s="13" t="n">
        <v>39</v>
      </c>
      <c r="M3575" s="1">
        <f>IF(L3575="","ไม่พบใน SG",IF(ABS(J3575-L3575)&lt;0.005,"ตรงกัน","ไม่ตรง"))</f>
        <v/>
      </c>
      <c r="N3575" s="14">
        <f>IF(L3575="","",ROUND(L3575*'สรุป'!$C$6,-1))</f>
        <v/>
      </c>
      <c r="O3575" s="15" t="n"/>
      <c r="P3575" s="15" t="n"/>
      <c r="Q3575" s="10" t="n"/>
      <c r="R3575" s="10" t="n"/>
      <c r="S3575" s="16" t="inlineStr">
        <is>
          <t>https://mstgolf.co.th/products/gf2040116463</t>
        </is>
      </c>
      <c r="T3575" s="1">
        <f>IF(B3575="ไม้กอล์ฟ",J3575,"")</f>
        <v/>
      </c>
    </row>
    <row r="3576">
      <c r="A3576" s="1" t="n">
        <v>3</v>
      </c>
      <c r="B3576" s="1" t="inlineStr">
        <is>
          <t>เสื้อผ้า</t>
        </is>
      </c>
      <c r="C3576" s="1" t="inlineStr">
        <is>
          <t>gf2040113379</t>
        </is>
      </c>
      <c r="D3576" s="1" t="inlineStr">
        <is>
          <t>UNDER ARMOUR Zinger Point Women's Polo (Pink Sands)</t>
        </is>
      </c>
      <c r="E3576" s="1" t="inlineStr">
        <is>
          <t>UNDER ARMOUR</t>
        </is>
      </c>
      <c r="F3576" s="1" t="inlineStr">
        <is>
          <t>SHORT SLEEVES</t>
        </is>
      </c>
      <c r="G3576" s="1" t="inlineStr">
        <is>
          <t>GF2040113379XS</t>
        </is>
      </c>
      <c r="H3576" s="1" t="n">
        <v>6</v>
      </c>
      <c r="I3576" s="1" t="inlineStr">
        <is>
          <t>มี</t>
        </is>
      </c>
      <c r="J3576" s="13" t="n">
        <v>53</v>
      </c>
      <c r="K3576" s="1" t="inlineStr"/>
      <c r="L3576" s="13" t="n">
        <v>53</v>
      </c>
      <c r="M3576" s="1">
        <f>IF(L3576="","ไม่พบใน SG",IF(ABS(J3576-L3576)&lt;0.005,"ตรงกัน","ไม่ตรง"))</f>
        <v/>
      </c>
      <c r="N3576" s="14">
        <f>IF(L3576="","",ROUND(L3576*'สรุป'!$C$6,-1))</f>
        <v/>
      </c>
      <c r="O3576" s="15" t="n"/>
      <c r="P3576" s="15" t="n"/>
      <c r="Q3576" s="10" t="n"/>
      <c r="R3576" s="10" t="n"/>
      <c r="S3576" s="16" t="inlineStr">
        <is>
          <t>https://mstgolf.co.th/products/gf2040113379</t>
        </is>
      </c>
      <c r="T3576" s="1">
        <f>IF(B3576="ไม้กอล์ฟ",J3576,"")</f>
        <v/>
      </c>
    </row>
    <row r="3577">
      <c r="A3577" s="1" t="n">
        <v>3</v>
      </c>
      <c r="B3577" s="1" t="inlineStr">
        <is>
          <t>เสื้อผ้า</t>
        </is>
      </c>
      <c r="C3577" s="1" t="inlineStr">
        <is>
          <t>gf2040114587</t>
        </is>
      </c>
      <c r="D3577" s="1" t="inlineStr">
        <is>
          <t>UNDER ARMOUR Zinger Women's Polo (Afterglow)</t>
        </is>
      </c>
      <c r="E3577" s="1" t="inlineStr">
        <is>
          <t>UNDER ARMOUR</t>
        </is>
      </c>
      <c r="F3577" s="1" t="inlineStr">
        <is>
          <t>SHORT SLEEVES</t>
        </is>
      </c>
      <c r="G3577" s="1" t="inlineStr">
        <is>
          <t>GF2040114587XS</t>
        </is>
      </c>
      <c r="H3577" s="1" t="n">
        <v>6</v>
      </c>
      <c r="I3577" s="1" t="inlineStr">
        <is>
          <t>มี</t>
        </is>
      </c>
      <c r="J3577" s="13" t="n">
        <v>53</v>
      </c>
      <c r="K3577" s="1" t="inlineStr"/>
      <c r="L3577" s="13" t="n">
        <v>45</v>
      </c>
      <c r="M3577" s="1">
        <f>IF(L3577="","ไม่พบใน SG",IF(ABS(J3577-L3577)&lt;0.005,"ตรงกัน","ไม่ตรง"))</f>
        <v/>
      </c>
      <c r="N3577" s="14">
        <f>IF(L3577="","",ROUND(L3577*'สรุป'!$C$6,-1))</f>
        <v/>
      </c>
      <c r="O3577" s="15" t="n"/>
      <c r="P3577" s="15" t="n"/>
      <c r="Q3577" s="10" t="n"/>
      <c r="R3577" s="10" t="n"/>
      <c r="S3577" s="16" t="inlineStr">
        <is>
          <t>https://mstgolf.co.th/products/gf2040114587</t>
        </is>
      </c>
      <c r="T3577" s="1">
        <f>IF(B3577="ไม้กอล์ฟ",J3577,"")</f>
        <v/>
      </c>
    </row>
    <row r="3578">
      <c r="A3578" s="1" t="n">
        <v>3</v>
      </c>
      <c r="B3578" s="1" t="inlineStr">
        <is>
          <t>เสื้อผ้า</t>
        </is>
      </c>
      <c r="C3578" s="1" t="inlineStr">
        <is>
          <t>gf2040113980</t>
        </is>
      </c>
      <c r="D3578" s="1" t="inlineStr">
        <is>
          <t>UNDER ARMOUR Zinger Women's Polo (Pink)</t>
        </is>
      </c>
      <c r="E3578" s="1" t="inlineStr">
        <is>
          <t>UNDER ARMOUR</t>
        </is>
      </c>
      <c r="F3578" s="1" t="inlineStr">
        <is>
          <t>SHORT SLEEVES</t>
        </is>
      </c>
      <c r="G3578" s="1" t="inlineStr">
        <is>
          <t>GF2040113980XS</t>
        </is>
      </c>
      <c r="H3578" s="1" t="n">
        <v>6</v>
      </c>
      <c r="I3578" s="1" t="inlineStr">
        <is>
          <t>มี</t>
        </is>
      </c>
      <c r="J3578" s="13" t="n">
        <v>53</v>
      </c>
      <c r="K3578" s="1" t="inlineStr"/>
      <c r="L3578" s="13" t="n">
        <v>53</v>
      </c>
      <c r="M3578" s="1">
        <f>IF(L3578="","ไม่พบใน SG",IF(ABS(J3578-L3578)&lt;0.005,"ตรงกัน","ไม่ตรง"))</f>
        <v/>
      </c>
      <c r="N3578" s="14">
        <f>IF(L3578="","",ROUND(L3578*'สรุป'!$C$6,-1))</f>
        <v/>
      </c>
      <c r="O3578" s="15" t="n"/>
      <c r="P3578" s="15" t="n"/>
      <c r="Q3578" s="10" t="n"/>
      <c r="R3578" s="10" t="n"/>
      <c r="S3578" s="16" t="inlineStr">
        <is>
          <t>https://mstgolf.co.th/products/gf2040113980</t>
        </is>
      </c>
      <c r="T3578" s="1">
        <f>IF(B3578="ไม้กอล์ฟ",J3578,"")</f>
        <v/>
      </c>
    </row>
    <row r="3579">
      <c r="A3579" s="1" t="n">
        <v>3</v>
      </c>
      <c r="B3579" s="1" t="inlineStr">
        <is>
          <t>อุปกรณ์เสริม</t>
        </is>
      </c>
      <c r="C3579" s="1" t="inlineStr">
        <is>
          <t>gf3500201812</t>
        </is>
      </c>
      <c r="D3579" s="1" t="inlineStr">
        <is>
          <t>DISNEY Darth Vader Driver Headcover</t>
        </is>
      </c>
      <c r="E3579" s="1" t="inlineStr">
        <is>
          <t>DISNEY</t>
        </is>
      </c>
      <c r="F3579" s="1" t="inlineStr">
        <is>
          <t>HEADCOVERS</t>
        </is>
      </c>
      <c r="G3579" s="1" t="inlineStr">
        <is>
          <t>GF3500201812</t>
        </is>
      </c>
      <c r="H3579" s="1" t="n">
        <v>1</v>
      </c>
      <c r="I3579" s="1" t="inlineStr">
        <is>
          <t>มี</t>
        </is>
      </c>
      <c r="J3579" s="13" t="n">
        <v>52</v>
      </c>
      <c r="K3579" s="1" t="inlineStr"/>
      <c r="L3579" s="13" t="n">
        <v>52</v>
      </c>
      <c r="M3579" s="1">
        <f>IF(L3579="","ไม่พบใน SG",IF(ABS(J3579-L3579)&lt;0.005,"ตรงกัน","ไม่ตรง"))</f>
        <v/>
      </c>
      <c r="N3579" s="14">
        <f>IF(L3579="","",ROUND(L3579*'สรุป'!$C$6,-1))</f>
        <v/>
      </c>
      <c r="O3579" s="15" t="n"/>
      <c r="P3579" s="15" t="n"/>
      <c r="Q3579" s="10" t="n"/>
      <c r="R3579" s="10" t="n"/>
      <c r="S3579" s="16" t="inlineStr">
        <is>
          <t>https://mstgolf.co.th/products/gf3500201812</t>
        </is>
      </c>
      <c r="T3579" s="1">
        <f>IF(B3579="ไม้กอล์ฟ",J3579,"")</f>
        <v/>
      </c>
    </row>
    <row r="3580">
      <c r="A3580" s="1" t="n">
        <v>3</v>
      </c>
      <c r="B3580" s="1" t="inlineStr">
        <is>
          <t>อุปกรณ์เสริม</t>
        </is>
      </c>
      <c r="C3580" s="1" t="inlineStr">
        <is>
          <t>gf3500201814</t>
        </is>
      </c>
      <c r="D3580" s="1" t="inlineStr">
        <is>
          <t>DISNEY Darth Vader Fairway Headcover</t>
        </is>
      </c>
      <c r="E3580" s="1" t="inlineStr">
        <is>
          <t>DISNEY</t>
        </is>
      </c>
      <c r="F3580" s="1" t="inlineStr">
        <is>
          <t>HEADCOVERS</t>
        </is>
      </c>
      <c r="G3580" s="1" t="inlineStr">
        <is>
          <t>GF3500201814</t>
        </is>
      </c>
      <c r="H3580" s="1" t="n">
        <v>1</v>
      </c>
      <c r="I3580" s="1" t="inlineStr">
        <is>
          <t>มี</t>
        </is>
      </c>
      <c r="J3580" s="13" t="n">
        <v>52</v>
      </c>
      <c r="K3580" s="1" t="inlineStr"/>
      <c r="L3580" s="13" t="n">
        <v>52</v>
      </c>
      <c r="M3580" s="1">
        <f>IF(L3580="","ไม่พบใน SG",IF(ABS(J3580-L3580)&lt;0.005,"ตรงกัน","ไม่ตรง"))</f>
        <v/>
      </c>
      <c r="N3580" s="14">
        <f>IF(L3580="","",ROUND(L3580*'สรุป'!$C$6,-1))</f>
        <v/>
      </c>
      <c r="O3580" s="15" t="n"/>
      <c r="P3580" s="15" t="n"/>
      <c r="Q3580" s="10" t="n"/>
      <c r="R3580" s="10" t="n"/>
      <c r="S3580" s="16" t="inlineStr">
        <is>
          <t>https://mstgolf.co.th/products/gf3500201814</t>
        </is>
      </c>
      <c r="T3580" s="1">
        <f>IF(B3580="ไม้กอล์ฟ",J3580,"")</f>
        <v/>
      </c>
    </row>
    <row r="3581">
      <c r="A3581" s="1" t="n">
        <v>3</v>
      </c>
      <c r="B3581" s="1" t="inlineStr">
        <is>
          <t>อุปกรณ์เสริม</t>
        </is>
      </c>
      <c r="C3581" s="1" t="inlineStr">
        <is>
          <t>gf3500201816</t>
        </is>
      </c>
      <c r="D3581" s="1" t="inlineStr">
        <is>
          <t>DISNEY Darth Vader Utility Headcover</t>
        </is>
      </c>
      <c r="E3581" s="1" t="inlineStr">
        <is>
          <t>DISNEY</t>
        </is>
      </c>
      <c r="F3581" s="1" t="inlineStr">
        <is>
          <t>HEADCOVERS</t>
        </is>
      </c>
      <c r="G3581" s="1" t="inlineStr">
        <is>
          <t>GF3500201816</t>
        </is>
      </c>
      <c r="H3581" s="1" t="n">
        <v>1</v>
      </c>
      <c r="I3581" s="1" t="inlineStr">
        <is>
          <t>มี</t>
        </is>
      </c>
      <c r="J3581" s="13" t="n">
        <v>52</v>
      </c>
      <c r="K3581" s="1" t="inlineStr"/>
      <c r="L3581" s="13" t="n">
        <v>52</v>
      </c>
      <c r="M3581" s="1">
        <f>IF(L3581="","ไม่พบใน SG",IF(ABS(J3581-L3581)&lt;0.005,"ตรงกัน","ไม่ตรง"))</f>
        <v/>
      </c>
      <c r="N3581" s="14">
        <f>IF(L3581="","",ROUND(L3581*'สรุป'!$C$6,-1))</f>
        <v/>
      </c>
      <c r="O3581" s="15" t="n"/>
      <c r="P3581" s="15" t="n"/>
      <c r="Q3581" s="10" t="n"/>
      <c r="R3581" s="10" t="n"/>
      <c r="S3581" s="16" t="inlineStr">
        <is>
          <t>https://mstgolf.co.th/products/gf3500201816</t>
        </is>
      </c>
      <c r="T3581" s="1">
        <f>IF(B3581="ไม้กอล์ฟ",J3581,"")</f>
        <v/>
      </c>
    </row>
    <row r="3582">
      <c r="A3582" s="1" t="n">
        <v>3</v>
      </c>
      <c r="B3582" s="1" t="inlineStr">
        <is>
          <t>อุปกรณ์เสริม</t>
        </is>
      </c>
      <c r="C3582" s="1" t="inlineStr">
        <is>
          <t>gf3500201813</t>
        </is>
      </c>
      <c r="D3582" s="1" t="inlineStr">
        <is>
          <t>DISNEY R2-D2 Driver Headcover</t>
        </is>
      </c>
      <c r="E3582" s="1" t="inlineStr">
        <is>
          <t>DISNEY</t>
        </is>
      </c>
      <c r="F3582" s="1" t="inlineStr">
        <is>
          <t>HEADCOVERS</t>
        </is>
      </c>
      <c r="G3582" s="1" t="inlineStr">
        <is>
          <t>GF3500201813</t>
        </is>
      </c>
      <c r="H3582" s="1" t="n">
        <v>1</v>
      </c>
      <c r="I3582" s="1" t="inlineStr">
        <is>
          <t>มี</t>
        </is>
      </c>
      <c r="J3582" s="13" t="n">
        <v>52</v>
      </c>
      <c r="K3582" s="1" t="inlineStr"/>
      <c r="L3582" s="13" t="n">
        <v>52</v>
      </c>
      <c r="M3582" s="1">
        <f>IF(L3582="","ไม่พบใน SG",IF(ABS(J3582-L3582)&lt;0.005,"ตรงกัน","ไม่ตรง"))</f>
        <v/>
      </c>
      <c r="N3582" s="14">
        <f>IF(L3582="","",ROUND(L3582*'สรุป'!$C$6,-1))</f>
        <v/>
      </c>
      <c r="O3582" s="15" t="n"/>
      <c r="P3582" s="15" t="n"/>
      <c r="Q3582" s="10" t="n"/>
      <c r="R3582" s="10" t="n"/>
      <c r="S3582" s="16" t="inlineStr">
        <is>
          <t>https://mstgolf.co.th/products/gf3500201813</t>
        </is>
      </c>
      <c r="T3582" s="1">
        <f>IF(B3582="ไม้กอล์ฟ",J3582,"")</f>
        <v/>
      </c>
    </row>
    <row r="3583">
      <c r="A3583" s="1" t="n">
        <v>3</v>
      </c>
      <c r="B3583" s="1" t="inlineStr">
        <is>
          <t>อุปกรณ์เสริม</t>
        </is>
      </c>
      <c r="C3583" s="1" t="inlineStr">
        <is>
          <t>gf3500201815</t>
        </is>
      </c>
      <c r="D3583" s="1" t="inlineStr">
        <is>
          <t>DISNEY R2-D2 Fairway Headcover</t>
        </is>
      </c>
      <c r="E3583" s="1" t="inlineStr">
        <is>
          <t>DISNEY</t>
        </is>
      </c>
      <c r="F3583" s="1" t="inlineStr">
        <is>
          <t>HEADCOVERS</t>
        </is>
      </c>
      <c r="G3583" s="1" t="inlineStr">
        <is>
          <t>GF3500201815</t>
        </is>
      </c>
      <c r="H3583" s="1" t="n">
        <v>1</v>
      </c>
      <c r="I3583" s="1" t="inlineStr">
        <is>
          <t>มี</t>
        </is>
      </c>
      <c r="J3583" s="13" t="n">
        <v>52</v>
      </c>
      <c r="K3583" s="1" t="inlineStr"/>
      <c r="L3583" s="13" t="n">
        <v>52</v>
      </c>
      <c r="M3583" s="1">
        <f>IF(L3583="","ไม่พบใน SG",IF(ABS(J3583-L3583)&lt;0.005,"ตรงกัน","ไม่ตรง"))</f>
        <v/>
      </c>
      <c r="N3583" s="14">
        <f>IF(L3583="","",ROUND(L3583*'สรุป'!$C$6,-1))</f>
        <v/>
      </c>
      <c r="O3583" s="15" t="n"/>
      <c r="P3583" s="15" t="n"/>
      <c r="Q3583" s="10" t="n"/>
      <c r="R3583" s="10" t="n"/>
      <c r="S3583" s="16" t="inlineStr">
        <is>
          <t>https://mstgolf.co.th/products/gf3500201815</t>
        </is>
      </c>
      <c r="T3583" s="1">
        <f>IF(B3583="ไม้กอล์ฟ",J3583,"")</f>
        <v/>
      </c>
    </row>
    <row r="3584">
      <c r="A3584" s="1" t="n">
        <v>3</v>
      </c>
      <c r="B3584" s="1" t="inlineStr">
        <is>
          <t>อุปกรณ์เสริม</t>
        </is>
      </c>
      <c r="C3584" s="1" t="inlineStr">
        <is>
          <t>gf3500201817</t>
        </is>
      </c>
      <c r="D3584" s="1" t="inlineStr">
        <is>
          <t>DISNEY R2-D2 Utility Headcover</t>
        </is>
      </c>
      <c r="E3584" s="1" t="inlineStr">
        <is>
          <t>DISNEY</t>
        </is>
      </c>
      <c r="F3584" s="1" t="inlineStr">
        <is>
          <t>HEADCOVERS</t>
        </is>
      </c>
      <c r="G3584" s="1" t="inlineStr">
        <is>
          <t>GF3500201817</t>
        </is>
      </c>
      <c r="H3584" s="1" t="n">
        <v>1</v>
      </c>
      <c r="I3584" s="1" t="inlineStr">
        <is>
          <t>มี</t>
        </is>
      </c>
      <c r="J3584" s="13" t="n">
        <v>52</v>
      </c>
      <c r="K3584" s="1" t="inlineStr"/>
      <c r="L3584" s="13" t="n">
        <v>52</v>
      </c>
      <c r="M3584" s="1">
        <f>IF(L3584="","ไม่พบใน SG",IF(ABS(J3584-L3584)&lt;0.005,"ตรงกัน","ไม่ตรง"))</f>
        <v/>
      </c>
      <c r="N3584" s="14">
        <f>IF(L3584="","",ROUND(L3584*'สรุป'!$C$6,-1))</f>
        <v/>
      </c>
      <c r="O3584" s="15" t="n"/>
      <c r="P3584" s="15" t="n"/>
      <c r="Q3584" s="10" t="n"/>
      <c r="R3584" s="10" t="n"/>
      <c r="S3584" s="16" t="inlineStr">
        <is>
          <t>https://mstgolf.co.th/products/gf3500201817</t>
        </is>
      </c>
      <c r="T3584" s="1">
        <f>IF(B3584="ไม้กอล์ฟ",J3584,"")</f>
        <v/>
      </c>
    </row>
    <row r="3585">
      <c r="A3585" s="1" t="n">
        <v>3</v>
      </c>
      <c r="B3585" s="1" t="inlineStr">
        <is>
          <t>หมวก</t>
        </is>
      </c>
      <c r="C3585" s="1" t="inlineStr">
        <is>
          <t>gf2000105316</t>
        </is>
      </c>
      <c r="D3585" s="1" t="inlineStr">
        <is>
          <t>TAYLORMADE Perfomance Lite Patch Men's Cap (Black)</t>
        </is>
      </c>
      <c r="E3585" s="1" t="inlineStr">
        <is>
          <t>TAYLORMADE</t>
        </is>
      </c>
      <c r="F3585" s="1" t="inlineStr">
        <is>
          <t>CAP</t>
        </is>
      </c>
      <c r="G3585" s="1" t="inlineStr">
        <is>
          <t>GF2000105316FS</t>
        </is>
      </c>
      <c r="H3585" s="1" t="n">
        <v>1</v>
      </c>
      <c r="I3585" s="1" t="inlineStr">
        <is>
          <t>มี</t>
        </is>
      </c>
      <c r="J3585" s="13" t="n">
        <v>52</v>
      </c>
      <c r="K3585" s="1" t="inlineStr"/>
      <c r="L3585" s="13" t="n">
        <v>52</v>
      </c>
      <c r="M3585" s="1">
        <f>IF(L3585="","ไม่พบใน SG",IF(ABS(J3585-L3585)&lt;0.005,"ตรงกัน","ไม่ตรง"))</f>
        <v/>
      </c>
      <c r="N3585" s="14">
        <f>IF(L3585="","",ROUND(L3585*'สรุป'!$C$6,-1))</f>
        <v/>
      </c>
      <c r="O3585" s="15" t="n"/>
      <c r="P3585" s="15" t="n"/>
      <c r="Q3585" s="10" t="n"/>
      <c r="R3585" s="10" t="n"/>
      <c r="S3585" s="16" t="inlineStr">
        <is>
          <t>https://mstgolf.co.th/products/gf2000105316</t>
        </is>
      </c>
      <c r="T3585" s="1">
        <f>IF(B3585="ไม้กอล์ฟ",J3585,"")</f>
        <v/>
      </c>
    </row>
    <row r="3586">
      <c r="A3586" s="1" t="n">
        <v>3</v>
      </c>
      <c r="B3586" s="1" t="inlineStr">
        <is>
          <t>หมวก</t>
        </is>
      </c>
      <c r="C3586" s="1" t="inlineStr">
        <is>
          <t>gf2000105315</t>
        </is>
      </c>
      <c r="D3586" s="1" t="inlineStr">
        <is>
          <t>TAYLORMADE Perfomance Lite Patch Men's Cap (Red)</t>
        </is>
      </c>
      <c r="E3586" s="1" t="inlineStr">
        <is>
          <t>TAYLORMADE</t>
        </is>
      </c>
      <c r="F3586" s="1" t="inlineStr">
        <is>
          <t>CAP</t>
        </is>
      </c>
      <c r="G3586" s="1" t="inlineStr">
        <is>
          <t>GF2000105315FS</t>
        </is>
      </c>
      <c r="H3586" s="1" t="n">
        <v>1</v>
      </c>
      <c r="I3586" s="1" t="inlineStr">
        <is>
          <t>มี</t>
        </is>
      </c>
      <c r="J3586" s="13" t="n">
        <v>52</v>
      </c>
      <c r="K3586" s="1" t="inlineStr"/>
      <c r="L3586" s="13" t="n">
        <v>52</v>
      </c>
      <c r="M3586" s="1">
        <f>IF(L3586="","ไม่พบใน SG",IF(ABS(J3586-L3586)&lt;0.005,"ตรงกัน","ไม่ตรง"))</f>
        <v/>
      </c>
      <c r="N3586" s="14">
        <f>IF(L3586="","",ROUND(L3586*'สรุป'!$C$6,-1))</f>
        <v/>
      </c>
      <c r="O3586" s="15" t="n"/>
      <c r="P3586" s="15" t="n"/>
      <c r="Q3586" s="10" t="n"/>
      <c r="R3586" s="10" t="n"/>
      <c r="S3586" s="16" t="inlineStr">
        <is>
          <t>https://mstgolf.co.th/products/gf2000105315</t>
        </is>
      </c>
      <c r="T3586" s="1">
        <f>IF(B3586="ไม้กอล์ฟ",J3586,"")</f>
        <v/>
      </c>
    </row>
    <row r="3587">
      <c r="A3587" s="1" t="n">
        <v>3</v>
      </c>
      <c r="B3587" s="1" t="inlineStr">
        <is>
          <t>หมวก</t>
        </is>
      </c>
      <c r="C3587" s="1" t="inlineStr">
        <is>
          <t>gf2000105295</t>
        </is>
      </c>
      <c r="D3587" s="1" t="inlineStr">
        <is>
          <t>TAYLORMADE Performance Lite Patch Men's Cap (White)</t>
        </is>
      </c>
      <c r="E3587" s="1" t="inlineStr">
        <is>
          <t>TAYLORMADE</t>
        </is>
      </c>
      <c r="F3587" s="1" t="inlineStr">
        <is>
          <t>CAP</t>
        </is>
      </c>
      <c r="G3587" s="1" t="inlineStr">
        <is>
          <t>GF2000105295FS</t>
        </is>
      </c>
      <c r="H3587" s="1" t="n">
        <v>1</v>
      </c>
      <c r="I3587" s="1" t="inlineStr">
        <is>
          <t>มี</t>
        </is>
      </c>
      <c r="J3587" s="13" t="n">
        <v>52</v>
      </c>
      <c r="K3587" s="1" t="inlineStr"/>
      <c r="L3587" s="13" t="n">
        <v>35</v>
      </c>
      <c r="M3587" s="1">
        <f>IF(L3587="","ไม่พบใน SG",IF(ABS(J3587-L3587)&lt;0.005,"ตรงกัน","ไม่ตรง"))</f>
        <v/>
      </c>
      <c r="N3587" s="14">
        <f>IF(L3587="","",ROUND(L3587*'สรุป'!$C$6,-1))</f>
        <v/>
      </c>
      <c r="O3587" s="15" t="n"/>
      <c r="P3587" s="15" t="n"/>
      <c r="Q3587" s="10" t="n"/>
      <c r="R3587" s="10" t="n"/>
      <c r="S3587" s="16" t="inlineStr">
        <is>
          <t>https://mstgolf.co.th/products/gf2000105295</t>
        </is>
      </c>
      <c r="T3587" s="1">
        <f>IF(B3587="ไม้กอล์ฟ",J3587,"")</f>
        <v/>
      </c>
    </row>
    <row r="3588">
      <c r="A3588" s="1" t="n">
        <v>3</v>
      </c>
      <c r="B3588" s="1" t="inlineStr">
        <is>
          <t>หมวก</t>
        </is>
      </c>
      <c r="C3588" s="1" t="inlineStr">
        <is>
          <t>gf2000105314</t>
        </is>
      </c>
      <c r="D3588" s="1" t="inlineStr">
        <is>
          <t>TAYLORMADE Performance Patch Lite Men's Cap (White)</t>
        </is>
      </c>
      <c r="E3588" s="1" t="inlineStr">
        <is>
          <t>TAYLORMADE</t>
        </is>
      </c>
      <c r="F3588" s="1" t="inlineStr">
        <is>
          <t>CAP</t>
        </is>
      </c>
      <c r="G3588" s="1" t="inlineStr">
        <is>
          <t>GF2000105314FS</t>
        </is>
      </c>
      <c r="H3588" s="1" t="n">
        <v>1</v>
      </c>
      <c r="I3588" s="1" t="inlineStr">
        <is>
          <t>มี</t>
        </is>
      </c>
      <c r="J3588" s="13" t="n">
        <v>52</v>
      </c>
      <c r="K3588" s="1" t="inlineStr"/>
      <c r="L3588" s="13" t="n">
        <v>35</v>
      </c>
      <c r="M3588" s="1">
        <f>IF(L3588="","ไม่พบใน SG",IF(ABS(J3588-L3588)&lt;0.005,"ตรงกัน","ไม่ตรง"))</f>
        <v/>
      </c>
      <c r="N3588" s="14">
        <f>IF(L3588="","",ROUND(L3588*'สรุป'!$C$6,-1))</f>
        <v/>
      </c>
      <c r="O3588" s="15" t="n"/>
      <c r="P3588" s="15" t="n"/>
      <c r="Q3588" s="10" t="n"/>
      <c r="R3588" s="10" t="n"/>
      <c r="S3588" s="16" t="inlineStr">
        <is>
          <t>https://mstgolf.co.th/products/gf2000105314</t>
        </is>
      </c>
      <c r="T3588" s="1">
        <f>IF(B3588="ไม้กอล์ฟ",J3588,"")</f>
        <v/>
      </c>
    </row>
    <row r="3589">
      <c r="A3589" s="1" t="n">
        <v>3</v>
      </c>
      <c r="B3589" s="1" t="inlineStr">
        <is>
          <t>หมวก</t>
        </is>
      </c>
      <c r="C3589" s="1" t="inlineStr">
        <is>
          <t>gf2000300373</t>
        </is>
      </c>
      <c r="D3589" s="1" t="inlineStr">
        <is>
          <t>TITLEIST Player StaDry Men's Hat (Navy/Charcoal)</t>
        </is>
      </c>
      <c r="E3589" s="1" t="inlineStr">
        <is>
          <t>TITLEIST</t>
        </is>
      </c>
      <c r="F3589" s="1" t="inlineStr">
        <is>
          <t>HAT</t>
        </is>
      </c>
      <c r="G3589" s="1" t="inlineStr">
        <is>
          <t>GF2000300373FS</t>
        </is>
      </c>
      <c r="H3589" s="1" t="n">
        <v>1</v>
      </c>
      <c r="I3589" s="1" t="inlineStr">
        <is>
          <t>มี</t>
        </is>
      </c>
      <c r="J3589" s="13" t="n">
        <v>51</v>
      </c>
      <c r="K3589" s="1" t="inlineStr"/>
      <c r="L3589" s="13" t="n">
        <v>51</v>
      </c>
      <c r="M3589" s="1">
        <f>IF(L3589="","ไม่พบใน SG",IF(ABS(J3589-L3589)&lt;0.005,"ตรงกัน","ไม่ตรง"))</f>
        <v/>
      </c>
      <c r="N3589" s="14">
        <f>IF(L3589="","",ROUND(L3589*'สรุป'!$C$6,-1))</f>
        <v/>
      </c>
      <c r="O3589" s="15" t="n"/>
      <c r="P3589" s="15" t="n"/>
      <c r="Q3589" s="10" t="n"/>
      <c r="R3589" s="10" t="n"/>
      <c r="S3589" s="16" t="inlineStr">
        <is>
          <t>https://mstgolf.co.th/products/gf2000300373</t>
        </is>
      </c>
      <c r="T3589" s="1">
        <f>IF(B3589="ไม้กอล์ฟ",J3589,"")</f>
        <v/>
      </c>
    </row>
    <row r="3590">
      <c r="A3590" s="1" t="n">
        <v>3</v>
      </c>
      <c r="B3590" s="1" t="inlineStr">
        <is>
          <t>เสื้อผ้า</t>
        </is>
      </c>
      <c r="C3590" s="1" t="inlineStr">
        <is>
          <t>gf2040119471</t>
        </is>
      </c>
      <c r="D3590" s="1" t="inlineStr">
        <is>
          <t>ADIDAS Classic Chip Graphic Men's T-Shirt (Sky)</t>
        </is>
      </c>
      <c r="E3590" s="1" t="inlineStr">
        <is>
          <t>ADIDAS</t>
        </is>
      </c>
      <c r="F3590" s="1" t="inlineStr">
        <is>
          <t>SHORT SLEEVES</t>
        </is>
      </c>
      <c r="G3590" s="1" t="inlineStr">
        <is>
          <t>GF2040119471XS</t>
        </is>
      </c>
      <c r="H3590" s="1" t="n">
        <v>8</v>
      </c>
      <c r="I3590" s="1" t="inlineStr">
        <is>
          <t>มี</t>
        </is>
      </c>
      <c r="J3590" s="13" t="n">
        <v>50</v>
      </c>
      <c r="K3590" s="1" t="inlineStr"/>
      <c r="L3590" s="13" t="n">
        <v>25</v>
      </c>
      <c r="M3590" s="1">
        <f>IF(L3590="","ไม่พบใน SG",IF(ABS(J3590-L3590)&lt;0.005,"ตรงกัน","ไม่ตรง"))</f>
        <v/>
      </c>
      <c r="N3590" s="14">
        <f>IF(L3590="","",ROUND(L3590*'สรุป'!$C$6,-1))</f>
        <v/>
      </c>
      <c r="O3590" s="15" t="n"/>
      <c r="P3590" s="15" t="n"/>
      <c r="Q3590" s="10" t="n"/>
      <c r="R3590" s="10" t="n"/>
      <c r="S3590" s="16" t="inlineStr">
        <is>
          <t>https://mstgolf.co.th/products/gf2040119471</t>
        </is>
      </c>
      <c r="T3590" s="1">
        <f>IF(B3590="ไม้กอล์ฟ",J3590,"")</f>
        <v/>
      </c>
    </row>
    <row r="3591">
      <c r="A3591" s="1" t="n">
        <v>3</v>
      </c>
      <c r="B3591" s="1" t="inlineStr">
        <is>
          <t>เสื้อผ้า</t>
        </is>
      </c>
      <c r="C3591" s="1" t="inlineStr">
        <is>
          <t>gf2040119472</t>
        </is>
      </c>
      <c r="D3591" s="1" t="inlineStr">
        <is>
          <t>ADIDAS Classic Chip Graphic Men's T-Shirt (White)</t>
        </is>
      </c>
      <c r="E3591" s="1" t="inlineStr">
        <is>
          <t>ADIDAS</t>
        </is>
      </c>
      <c r="F3591" s="1" t="inlineStr">
        <is>
          <t>SHORT SLEEVES</t>
        </is>
      </c>
      <c r="G3591" s="1" t="inlineStr">
        <is>
          <t>GF2040119472XS</t>
        </is>
      </c>
      <c r="H3591" s="1" t="n">
        <v>8</v>
      </c>
      <c r="I3591" s="1" t="inlineStr">
        <is>
          <t>มี</t>
        </is>
      </c>
      <c r="J3591" s="13" t="n">
        <v>50</v>
      </c>
      <c r="K3591" s="1" t="inlineStr"/>
      <c r="L3591" s="13" t="n">
        <v>25</v>
      </c>
      <c r="M3591" s="1">
        <f>IF(L3591="","ไม่พบใน SG",IF(ABS(J3591-L3591)&lt;0.005,"ตรงกัน","ไม่ตรง"))</f>
        <v/>
      </c>
      <c r="N3591" s="14">
        <f>IF(L3591="","",ROUND(L3591*'สรุป'!$C$6,-1))</f>
        <v/>
      </c>
      <c r="O3591" s="15" t="n"/>
      <c r="P3591" s="15" t="n"/>
      <c r="Q3591" s="10" t="n"/>
      <c r="R3591" s="10" t="n"/>
      <c r="S3591" s="16" t="inlineStr">
        <is>
          <t>https://mstgolf.co.th/products/gf2040119472</t>
        </is>
      </c>
      <c r="T3591" s="1">
        <f>IF(B3591="ไม้กอล์ฟ",J3591,"")</f>
        <v/>
      </c>
    </row>
    <row r="3592">
      <c r="A3592" s="1" t="n">
        <v>3</v>
      </c>
      <c r="B3592" s="1" t="inlineStr">
        <is>
          <t>เสื้อผ้า</t>
        </is>
      </c>
      <c r="C3592" s="1" t="inlineStr">
        <is>
          <t>gf2040200192</t>
        </is>
      </c>
      <c r="D3592" s="1" t="inlineStr">
        <is>
          <t>ADIDAS Golf Chip In Paradise Graphic Men's T-Shirt (White)</t>
        </is>
      </c>
      <c r="E3592" s="1" t="inlineStr">
        <is>
          <t>ADIDAS</t>
        </is>
      </c>
      <c r="F3592" s="1" t="inlineStr">
        <is>
          <t>TEE SHIRT</t>
        </is>
      </c>
      <c r="G3592" s="1" t="inlineStr">
        <is>
          <t>GF2040200192XS</t>
        </is>
      </c>
      <c r="H3592" s="1" t="n">
        <v>6</v>
      </c>
      <c r="I3592" s="1" t="inlineStr">
        <is>
          <t>มี</t>
        </is>
      </c>
      <c r="J3592" s="13" t="n">
        <v>50</v>
      </c>
      <c r="K3592" s="1" t="inlineStr"/>
      <c r="L3592" s="13" t="n">
        <v>35</v>
      </c>
      <c r="M3592" s="1">
        <f>IF(L3592="","ไม่พบใน SG",IF(ABS(J3592-L3592)&lt;0.005,"ตรงกัน","ไม่ตรง"))</f>
        <v/>
      </c>
      <c r="N3592" s="14">
        <f>IF(L3592="","",ROUND(L3592*'สรุป'!$C$6,-1))</f>
        <v/>
      </c>
      <c r="O3592" s="15" t="n"/>
      <c r="P3592" s="15" t="n"/>
      <c r="Q3592" s="10" t="n"/>
      <c r="R3592" s="10" t="n"/>
      <c r="S3592" s="16" t="inlineStr">
        <is>
          <t>https://mstgolf.co.th/products/gf2040200192</t>
        </is>
      </c>
      <c r="T3592" s="1">
        <f>IF(B3592="ไม้กอล์ฟ",J3592,"")</f>
        <v/>
      </c>
    </row>
    <row r="3593">
      <c r="A3593" s="1" t="n">
        <v>3</v>
      </c>
      <c r="B3593" s="1" t="inlineStr">
        <is>
          <t>เสื้อผ้า</t>
        </is>
      </c>
      <c r="C3593" s="1" t="inlineStr">
        <is>
          <t>gf2040200176</t>
        </is>
      </c>
      <c r="D3593" s="1" t="inlineStr">
        <is>
          <t>ADIDAS Golf Tour Men's Graphic T-Shirt (Black)</t>
        </is>
      </c>
      <c r="E3593" s="1" t="inlineStr">
        <is>
          <t>ADIDAS</t>
        </is>
      </c>
      <c r="F3593" s="1" t="inlineStr">
        <is>
          <t>TEE SHIRT</t>
        </is>
      </c>
      <c r="G3593" s="1" t="inlineStr">
        <is>
          <t>GF2040200176XS</t>
        </is>
      </c>
      <c r="H3593" s="1" t="n">
        <v>6</v>
      </c>
      <c r="I3593" s="1" t="inlineStr">
        <is>
          <t>มี</t>
        </is>
      </c>
      <c r="J3593" s="13" t="n">
        <v>50</v>
      </c>
      <c r="K3593" s="1" t="inlineStr"/>
      <c r="L3593" s="13" t="n">
        <v>25</v>
      </c>
      <c r="M3593" s="1">
        <f>IF(L3593="","ไม่พบใน SG",IF(ABS(J3593-L3593)&lt;0.005,"ตรงกัน","ไม่ตรง"))</f>
        <v/>
      </c>
      <c r="N3593" s="14">
        <f>IF(L3593="","",ROUND(L3593*'สรุป'!$C$6,-1))</f>
        <v/>
      </c>
      <c r="O3593" s="15" t="n"/>
      <c r="P3593" s="15" t="n"/>
      <c r="Q3593" s="10" t="n"/>
      <c r="R3593" s="10" t="n"/>
      <c r="S3593" s="16" t="inlineStr">
        <is>
          <t>https://mstgolf.co.th/products/gf2040200176</t>
        </is>
      </c>
      <c r="T3593" s="1">
        <f>IF(B3593="ไม้กอล์ฟ",J3593,"")</f>
        <v/>
      </c>
    </row>
    <row r="3594">
      <c r="A3594" s="1" t="n">
        <v>3</v>
      </c>
      <c r="B3594" s="1" t="inlineStr">
        <is>
          <t>เสื้อผ้า</t>
        </is>
      </c>
      <c r="C3594" s="1" t="inlineStr">
        <is>
          <t>gf2040200175</t>
        </is>
      </c>
      <c r="D3594" s="1" t="inlineStr">
        <is>
          <t>ADIDAS Golf Tour Men's Graphic T-Shirt (White)</t>
        </is>
      </c>
      <c r="E3594" s="1" t="inlineStr">
        <is>
          <t>ADIDAS</t>
        </is>
      </c>
      <c r="F3594" s="1" t="inlineStr">
        <is>
          <t>TEE SHIRT</t>
        </is>
      </c>
      <c r="G3594" s="1" t="inlineStr">
        <is>
          <t>GF2040200175XS</t>
        </is>
      </c>
      <c r="H3594" s="1" t="n">
        <v>6</v>
      </c>
      <c r="I3594" s="1" t="inlineStr">
        <is>
          <t>มี</t>
        </is>
      </c>
      <c r="J3594" s="13" t="n">
        <v>50</v>
      </c>
      <c r="K3594" s="1" t="inlineStr"/>
      <c r="L3594" s="13" t="n"/>
      <c r="M3594" s="1">
        <f>IF(L3594="","ไม่พบใน SG",IF(ABS(J3594-L3594)&lt;0.005,"ตรงกัน","ไม่ตรง"))</f>
        <v/>
      </c>
      <c r="N3594" s="14">
        <f>IF(L3594="","",ROUND(L3594*'สรุป'!$C$6,-1))</f>
        <v/>
      </c>
      <c r="O3594" s="15" t="n"/>
      <c r="P3594" s="15" t="n"/>
      <c r="Q3594" s="10" t="n"/>
      <c r="R3594" s="10" t="n"/>
      <c r="S3594" s="16" t="inlineStr">
        <is>
          <t>https://mstgolf.co.th/products/gf2040200175</t>
        </is>
      </c>
      <c r="T3594" s="1">
        <f>IF(B3594="ไม้กอล์ฟ",J3594,"")</f>
        <v/>
      </c>
    </row>
    <row r="3595">
      <c r="A3595" s="1" t="n">
        <v>3</v>
      </c>
      <c r="B3595" s="1" t="inlineStr">
        <is>
          <t>หมวก</t>
        </is>
      </c>
      <c r="C3595" s="1" t="inlineStr">
        <is>
          <t>gf2000106608</t>
        </is>
      </c>
      <c r="D3595" s="1" t="inlineStr">
        <is>
          <t>ADIDAS Originals Golf 5-Panel Patch Men's Cap (Blue)</t>
        </is>
      </c>
      <c r="E3595" s="1" t="inlineStr">
        <is>
          <t>ADIDAS</t>
        </is>
      </c>
      <c r="F3595" s="1" t="inlineStr">
        <is>
          <t>CAP</t>
        </is>
      </c>
      <c r="G3595" s="1" t="inlineStr">
        <is>
          <t>GF2000106608FS</t>
        </is>
      </c>
      <c r="H3595" s="1" t="n">
        <v>1</v>
      </c>
      <c r="I3595" s="1" t="inlineStr">
        <is>
          <t>มี</t>
        </is>
      </c>
      <c r="J3595" s="13" t="n">
        <v>50</v>
      </c>
      <c r="K3595" s="1" t="inlineStr"/>
      <c r="L3595" s="13" t="n">
        <v>39</v>
      </c>
      <c r="M3595" s="1">
        <f>IF(L3595="","ไม่พบใน SG",IF(ABS(J3595-L3595)&lt;0.005,"ตรงกัน","ไม่ตรง"))</f>
        <v/>
      </c>
      <c r="N3595" s="14">
        <f>IF(L3595="","",ROUND(L3595*'สรุป'!$C$6,-1))</f>
        <v/>
      </c>
      <c r="O3595" s="15" t="n"/>
      <c r="P3595" s="15" t="n"/>
      <c r="Q3595" s="10" t="n"/>
      <c r="R3595" s="10" t="n"/>
      <c r="S3595" s="16" t="inlineStr">
        <is>
          <t>https://mstgolf.co.th/products/gf2000106608</t>
        </is>
      </c>
      <c r="T3595" s="1">
        <f>IF(B3595="ไม้กอล์ฟ",J3595,"")</f>
        <v/>
      </c>
    </row>
    <row r="3596">
      <c r="A3596" s="1" t="n">
        <v>3</v>
      </c>
      <c r="B3596" s="1" t="inlineStr">
        <is>
          <t>หมวก</t>
        </is>
      </c>
      <c r="C3596" s="1" t="inlineStr">
        <is>
          <t>gf2000106574</t>
        </is>
      </c>
      <c r="D3596" s="1" t="inlineStr">
        <is>
          <t>ADIDAS Originals Golf 5-Panel Patch Men's Cap (Indigo)</t>
        </is>
      </c>
      <c r="E3596" s="1" t="inlineStr">
        <is>
          <t>ADIDAS</t>
        </is>
      </c>
      <c r="F3596" s="1" t="inlineStr">
        <is>
          <t>CAP</t>
        </is>
      </c>
      <c r="G3596" s="1" t="inlineStr">
        <is>
          <t>GF2000106574FS</t>
        </is>
      </c>
      <c r="H3596" s="1" t="n">
        <v>1</v>
      </c>
      <c r="I3596" s="1" t="inlineStr">
        <is>
          <t>มี</t>
        </is>
      </c>
      <c r="J3596" s="13" t="n">
        <v>50</v>
      </c>
      <c r="K3596" s="1" t="inlineStr"/>
      <c r="L3596" s="13" t="n">
        <v>39</v>
      </c>
      <c r="M3596" s="1">
        <f>IF(L3596="","ไม่พบใน SG",IF(ABS(J3596-L3596)&lt;0.005,"ตรงกัน","ไม่ตรง"))</f>
        <v/>
      </c>
      <c r="N3596" s="14">
        <f>IF(L3596="","",ROUND(L3596*'สรุป'!$C$6,-1))</f>
        <v/>
      </c>
      <c r="O3596" s="15" t="n"/>
      <c r="P3596" s="15" t="n"/>
      <c r="Q3596" s="10" t="n"/>
      <c r="R3596" s="10" t="n"/>
      <c r="S3596" s="16" t="inlineStr">
        <is>
          <t>https://mstgolf.co.th/products/gf2000106574</t>
        </is>
      </c>
      <c r="T3596" s="1">
        <f>IF(B3596="ไม้กอล์ฟ",J3596,"")</f>
        <v/>
      </c>
    </row>
    <row r="3597">
      <c r="A3597" s="1" t="n">
        <v>3</v>
      </c>
      <c r="B3597" s="1" t="inlineStr">
        <is>
          <t>หมวก</t>
        </is>
      </c>
      <c r="C3597" s="1" t="inlineStr">
        <is>
          <t>gf2000106575</t>
        </is>
      </c>
      <c r="D3597" s="1" t="inlineStr">
        <is>
          <t>ADIDAS Originals Golf 5-Panel Patch Men's Cap (White)</t>
        </is>
      </c>
      <c r="E3597" s="1" t="inlineStr">
        <is>
          <t>ADIDAS</t>
        </is>
      </c>
      <c r="F3597" s="1" t="inlineStr">
        <is>
          <t>CAP</t>
        </is>
      </c>
      <c r="G3597" s="1" t="inlineStr">
        <is>
          <t>GF2000106575FS</t>
        </is>
      </c>
      <c r="H3597" s="1" t="n">
        <v>1</v>
      </c>
      <c r="I3597" s="1" t="inlineStr">
        <is>
          <t>มี</t>
        </is>
      </c>
      <c r="J3597" s="13" t="n">
        <v>50</v>
      </c>
      <c r="K3597" s="1" t="inlineStr"/>
      <c r="L3597" s="13" t="n">
        <v>39</v>
      </c>
      <c r="M3597" s="1">
        <f>IF(L3597="","ไม่พบใน SG",IF(ABS(J3597-L3597)&lt;0.005,"ตรงกัน","ไม่ตรง"))</f>
        <v/>
      </c>
      <c r="N3597" s="14">
        <f>IF(L3597="","",ROUND(L3597*'สรุป'!$C$6,-1))</f>
        <v/>
      </c>
      <c r="O3597" s="15" t="n"/>
      <c r="P3597" s="15" t="n"/>
      <c r="Q3597" s="10" t="n"/>
      <c r="R3597" s="10" t="n"/>
      <c r="S3597" s="16" t="inlineStr">
        <is>
          <t>https://mstgolf.co.th/products/gf2000106575</t>
        </is>
      </c>
      <c r="T3597" s="1">
        <f>IF(B3597="ไม้กอล์ฟ",J3597,"")</f>
        <v/>
      </c>
    </row>
    <row r="3598">
      <c r="A3598" s="1" t="n">
        <v>3</v>
      </c>
      <c r="B3598" s="1" t="inlineStr">
        <is>
          <t>หมวก</t>
        </is>
      </c>
      <c r="C3598" s="1" t="inlineStr">
        <is>
          <t>gf2000106576</t>
        </is>
      </c>
      <c r="D3598" s="1" t="inlineStr">
        <is>
          <t>ADIDAS Originals Golf Club Men's Cap (Indigo)</t>
        </is>
      </c>
      <c r="E3598" s="1" t="inlineStr">
        <is>
          <t>ADIDAS</t>
        </is>
      </c>
      <c r="F3598" s="1" t="inlineStr">
        <is>
          <t>CAP</t>
        </is>
      </c>
      <c r="G3598" s="1" t="inlineStr">
        <is>
          <t>GF2000106576FS</t>
        </is>
      </c>
      <c r="H3598" s="1" t="n">
        <v>1</v>
      </c>
      <c r="I3598" s="1" t="inlineStr">
        <is>
          <t>มี</t>
        </is>
      </c>
      <c r="J3598" s="13" t="n">
        <v>50</v>
      </c>
      <c r="K3598" s="1" t="inlineStr"/>
      <c r="L3598" s="13" t="n">
        <v>39</v>
      </c>
      <c r="M3598" s="1">
        <f>IF(L3598="","ไม่พบใน SG",IF(ABS(J3598-L3598)&lt;0.005,"ตรงกัน","ไม่ตรง"))</f>
        <v/>
      </c>
      <c r="N3598" s="14">
        <f>IF(L3598="","",ROUND(L3598*'สรุป'!$C$6,-1))</f>
        <v/>
      </c>
      <c r="O3598" s="15" t="n"/>
      <c r="P3598" s="15" t="n"/>
      <c r="Q3598" s="10" t="n"/>
      <c r="R3598" s="10" t="n"/>
      <c r="S3598" s="16" t="inlineStr">
        <is>
          <t>https://mstgolf.co.th/products/gf2000106576</t>
        </is>
      </c>
      <c r="T3598" s="1">
        <f>IF(B3598="ไม้กอล์ฟ",J3598,"")</f>
        <v/>
      </c>
    </row>
    <row r="3599">
      <c r="A3599" s="1" t="n">
        <v>3</v>
      </c>
      <c r="B3599" s="1" t="inlineStr">
        <is>
          <t>หมวก</t>
        </is>
      </c>
      <c r="C3599" s="1" t="inlineStr">
        <is>
          <t>gf2000201140</t>
        </is>
      </c>
      <c r="D3599" s="1" t="inlineStr">
        <is>
          <t>ADIDAS Originals Golf Tour High-Crown Men's Visor (White)</t>
        </is>
      </c>
      <c r="E3599" s="1" t="inlineStr">
        <is>
          <t>ADIDAS</t>
        </is>
      </c>
      <c r="F3599" s="1" t="inlineStr">
        <is>
          <t>VISOR</t>
        </is>
      </c>
      <c r="G3599" s="1" t="inlineStr">
        <is>
          <t>GF2000201140FS</t>
        </is>
      </c>
      <c r="H3599" s="1" t="n">
        <v>1</v>
      </c>
      <c r="I3599" s="1" t="inlineStr">
        <is>
          <t>มี</t>
        </is>
      </c>
      <c r="J3599" s="13" t="n">
        <v>50</v>
      </c>
      <c r="K3599" s="1" t="inlineStr"/>
      <c r="L3599" s="13" t="n">
        <v>50</v>
      </c>
      <c r="M3599" s="1">
        <f>IF(L3599="","ไม่พบใน SG",IF(ABS(J3599-L3599)&lt;0.005,"ตรงกัน","ไม่ตรง"))</f>
        <v/>
      </c>
      <c r="N3599" s="14">
        <f>IF(L3599="","",ROUND(L3599*'สรุป'!$C$6,-1))</f>
        <v/>
      </c>
      <c r="O3599" s="15" t="n"/>
      <c r="P3599" s="15" t="n"/>
      <c r="Q3599" s="10" t="n"/>
      <c r="R3599" s="10" t="n"/>
      <c r="S3599" s="16" t="inlineStr">
        <is>
          <t>https://mstgolf.co.th/products/gf2000201140</t>
        </is>
      </c>
      <c r="T3599" s="1">
        <f>IF(B3599="ไม้กอล์ฟ",J3599,"")</f>
        <v/>
      </c>
    </row>
    <row r="3600">
      <c r="A3600" s="1" t="n">
        <v>3</v>
      </c>
      <c r="B3600" s="1" t="inlineStr">
        <is>
          <t>หมวก</t>
        </is>
      </c>
      <c r="C3600" s="1" t="inlineStr">
        <is>
          <t>gf2000106748</t>
        </is>
      </c>
      <c r="D3600" s="1" t="inlineStr">
        <is>
          <t>ADIDAS Originals Patch Men's Cap (Pink)</t>
        </is>
      </c>
      <c r="E3600" s="1" t="inlineStr">
        <is>
          <t>ADIDAS</t>
        </is>
      </c>
      <c r="F3600" s="1" t="inlineStr">
        <is>
          <t>CAP</t>
        </is>
      </c>
      <c r="G3600" s="1" t="inlineStr">
        <is>
          <t>GF2000106748FS</t>
        </is>
      </c>
      <c r="H3600" s="1" t="n">
        <v>1</v>
      </c>
      <c r="I3600" s="1" t="inlineStr">
        <is>
          <t>มี</t>
        </is>
      </c>
      <c r="J3600" s="13" t="n">
        <v>50</v>
      </c>
      <c r="K3600" s="1" t="inlineStr"/>
      <c r="L3600" s="13" t="n">
        <v>45</v>
      </c>
      <c r="M3600" s="1">
        <f>IF(L3600="","ไม่พบใน SG",IF(ABS(J3600-L3600)&lt;0.005,"ตรงกัน","ไม่ตรง"))</f>
        <v/>
      </c>
      <c r="N3600" s="14">
        <f>IF(L3600="","",ROUND(L3600*'สรุป'!$C$6,-1))</f>
        <v/>
      </c>
      <c r="O3600" s="15" t="n"/>
      <c r="P3600" s="15" t="n"/>
      <c r="Q3600" s="10" t="n"/>
      <c r="R3600" s="10" t="n"/>
      <c r="S3600" s="16" t="inlineStr">
        <is>
          <t>https://mstgolf.co.th/products/gf2000106748</t>
        </is>
      </c>
      <c r="T3600" s="1">
        <f>IF(B3600="ไม้กอล์ฟ",J3600,"")</f>
        <v/>
      </c>
    </row>
    <row r="3601">
      <c r="A3601" s="1" t="n">
        <v>3</v>
      </c>
      <c r="B3601" s="1" t="inlineStr">
        <is>
          <t>หมวก</t>
        </is>
      </c>
      <c r="C3601" s="1" t="inlineStr">
        <is>
          <t>gf2000106757</t>
        </is>
      </c>
      <c r="D3601" s="1" t="inlineStr">
        <is>
          <t>ADIDAS Originals Relaxed Unisex Cap (Indigo)</t>
        </is>
      </c>
      <c r="E3601" s="1" t="inlineStr">
        <is>
          <t>ADIDAS</t>
        </is>
      </c>
      <c r="F3601" s="1" t="inlineStr">
        <is>
          <t>CAP</t>
        </is>
      </c>
      <c r="G3601" s="1" t="inlineStr">
        <is>
          <t>GF2000106757FS</t>
        </is>
      </c>
      <c r="H3601" s="1" t="n">
        <v>1</v>
      </c>
      <c r="I3601" s="1" t="inlineStr">
        <is>
          <t>มี</t>
        </is>
      </c>
      <c r="J3601" s="13" t="n">
        <v>50</v>
      </c>
      <c r="K3601" s="1" t="inlineStr"/>
      <c r="L3601" s="13" t="n">
        <v>50</v>
      </c>
      <c r="M3601" s="1">
        <f>IF(L3601="","ไม่พบใน SG",IF(ABS(J3601-L3601)&lt;0.005,"ตรงกัน","ไม่ตรง"))</f>
        <v/>
      </c>
      <c r="N3601" s="14">
        <f>IF(L3601="","",ROUND(L3601*'สรุป'!$C$6,-1))</f>
        <v/>
      </c>
      <c r="O3601" s="15" t="n"/>
      <c r="P3601" s="15" t="n"/>
      <c r="Q3601" s="10" t="n"/>
      <c r="R3601" s="10" t="n"/>
      <c r="S3601" s="16" t="inlineStr">
        <is>
          <t>https://mstgolf.co.th/products/gf2000106757</t>
        </is>
      </c>
      <c r="T3601" s="1">
        <f>IF(B3601="ไม้กอล์ฟ",J3601,"")</f>
        <v/>
      </c>
    </row>
    <row r="3602">
      <c r="A3602" s="1" t="n">
        <v>3</v>
      </c>
      <c r="B3602" s="1" t="inlineStr">
        <is>
          <t>หมวก</t>
        </is>
      </c>
      <c r="C3602" s="1" t="inlineStr">
        <is>
          <t>gf2000106756</t>
        </is>
      </c>
      <c r="D3602" s="1" t="inlineStr">
        <is>
          <t>ADIDAS Originals Relaxed Unisex Cap (White)</t>
        </is>
      </c>
      <c r="E3602" s="1" t="inlineStr">
        <is>
          <t>ADIDAS</t>
        </is>
      </c>
      <c r="F3602" s="1" t="inlineStr">
        <is>
          <t>CAP</t>
        </is>
      </c>
      <c r="G3602" s="1" t="inlineStr">
        <is>
          <t>GF2000106756FS</t>
        </is>
      </c>
      <c r="H3602" s="1" t="n">
        <v>1</v>
      </c>
      <c r="I3602" s="1" t="inlineStr">
        <is>
          <t>มี</t>
        </is>
      </c>
      <c r="J3602" s="13" t="n">
        <v>50</v>
      </c>
      <c r="K3602" s="1" t="inlineStr"/>
      <c r="L3602" s="13" t="n">
        <v>50</v>
      </c>
      <c r="M3602" s="1">
        <f>IF(L3602="","ไม่พบใน SG",IF(ABS(J3602-L3602)&lt;0.005,"ตรงกัน","ไม่ตรง"))</f>
        <v/>
      </c>
      <c r="N3602" s="14">
        <f>IF(L3602="","",ROUND(L3602*'สรุป'!$C$6,-1))</f>
        <v/>
      </c>
      <c r="O3602" s="15" t="n"/>
      <c r="P3602" s="15" t="n"/>
      <c r="Q3602" s="10" t="n"/>
      <c r="R3602" s="10" t="n"/>
      <c r="S3602" s="16" t="inlineStr">
        <is>
          <t>https://mstgolf.co.th/products/gf2000106756</t>
        </is>
      </c>
      <c r="T3602" s="1">
        <f>IF(B3602="ไม้กอล์ฟ",J3602,"")</f>
        <v/>
      </c>
    </row>
    <row r="3603">
      <c r="A3603" s="1" t="n">
        <v>3</v>
      </c>
      <c r="B3603" s="1" t="inlineStr">
        <is>
          <t>เสื้อผ้า</t>
        </is>
      </c>
      <c r="C3603" s="1" t="inlineStr">
        <is>
          <t>gf2040119420</t>
        </is>
      </c>
      <c r="D3603" s="1" t="inlineStr">
        <is>
          <t>ADIDAS Ottoman Printed Girl's Polo (Ruby)</t>
        </is>
      </c>
      <c r="E3603" s="1" t="inlineStr">
        <is>
          <t>ADIDAS</t>
        </is>
      </c>
      <c r="F3603" s="1" t="inlineStr">
        <is>
          <t>SHORT SLEEVES</t>
        </is>
      </c>
      <c r="G3603" s="1" t="inlineStr">
        <is>
          <t>GF2040119420128</t>
        </is>
      </c>
      <c r="H3603" s="1" t="n">
        <v>6</v>
      </c>
      <c r="I3603" s="1" t="inlineStr">
        <is>
          <t>มี</t>
        </is>
      </c>
      <c r="J3603" s="13" t="n">
        <v>50</v>
      </c>
      <c r="K3603" s="1" t="inlineStr"/>
      <c r="L3603" s="13" t="n">
        <v>25</v>
      </c>
      <c r="M3603" s="1">
        <f>IF(L3603="","ไม่พบใน SG",IF(ABS(J3603-L3603)&lt;0.005,"ตรงกัน","ไม่ตรง"))</f>
        <v/>
      </c>
      <c r="N3603" s="14">
        <f>IF(L3603="","",ROUND(L3603*'สรุป'!$C$6,-1))</f>
        <v/>
      </c>
      <c r="O3603" s="15" t="n"/>
      <c r="P3603" s="15" t="n"/>
      <c r="Q3603" s="10" t="n"/>
      <c r="R3603" s="10" t="n"/>
      <c r="S3603" s="16" t="inlineStr">
        <is>
          <t>https://mstgolf.co.th/products/gf2040119420</t>
        </is>
      </c>
      <c r="T3603" s="1">
        <f>IF(B3603="ไม้กอล์ฟ",J3603,"")</f>
        <v/>
      </c>
    </row>
    <row r="3604">
      <c r="A3604" s="1" t="n">
        <v>3</v>
      </c>
      <c r="B3604" s="1" t="inlineStr">
        <is>
          <t>เสื้อผ้า</t>
        </is>
      </c>
      <c r="C3604" s="1" t="inlineStr">
        <is>
          <t>gf2040119415</t>
        </is>
      </c>
      <c r="D3604" s="1" t="inlineStr">
        <is>
          <t>ADIDAS Ottoman Striped Boy's Polo (Red)</t>
        </is>
      </c>
      <c r="E3604" s="1" t="inlineStr">
        <is>
          <t>ADIDAS</t>
        </is>
      </c>
      <c r="F3604" s="1" t="inlineStr">
        <is>
          <t>SHORT SLEEVES</t>
        </is>
      </c>
      <c r="G3604" s="1" t="inlineStr">
        <is>
          <t>GF2040119415128</t>
        </is>
      </c>
      <c r="H3604" s="1" t="n">
        <v>5</v>
      </c>
      <c r="I3604" s="1" t="inlineStr">
        <is>
          <t>มี</t>
        </is>
      </c>
      <c r="J3604" s="13" t="n">
        <v>50</v>
      </c>
      <c r="K3604" s="1" t="inlineStr"/>
      <c r="L3604" s="13" t="n">
        <v>25</v>
      </c>
      <c r="M3604" s="1">
        <f>IF(L3604="","ไม่พบใน SG",IF(ABS(J3604-L3604)&lt;0.005,"ตรงกัน","ไม่ตรง"))</f>
        <v/>
      </c>
      <c r="N3604" s="14">
        <f>IF(L3604="","",ROUND(L3604*'สรุป'!$C$6,-1))</f>
        <v/>
      </c>
      <c r="O3604" s="15" t="n"/>
      <c r="P3604" s="15" t="n"/>
      <c r="Q3604" s="10" t="n"/>
      <c r="R3604" s="10" t="n"/>
      <c r="S3604" s="16" t="inlineStr">
        <is>
          <t>https://mstgolf.co.th/products/gf2040119415</t>
        </is>
      </c>
      <c r="T3604" s="1">
        <f>IF(B3604="ไม้กอล์ฟ",J3604,"")</f>
        <v/>
      </c>
    </row>
    <row r="3605">
      <c r="A3605" s="1" t="n">
        <v>3</v>
      </c>
      <c r="B3605" s="1" t="inlineStr">
        <is>
          <t>เสื้อผ้า</t>
        </is>
      </c>
      <c r="C3605" s="1" t="inlineStr">
        <is>
          <t>gf2040119487</t>
        </is>
      </c>
      <c r="D3605" s="1" t="inlineStr">
        <is>
          <t>ADIDAS Pique Club Boy's Polo (Navy)</t>
        </is>
      </c>
      <c r="E3605" s="1" t="inlineStr">
        <is>
          <t>ADIDAS</t>
        </is>
      </c>
      <c r="F3605" s="1" t="inlineStr">
        <is>
          <t>SHORT SLEEVES</t>
        </is>
      </c>
      <c r="G3605" s="1" t="inlineStr">
        <is>
          <t>GF2040119487128</t>
        </is>
      </c>
      <c r="H3605" s="1" t="n">
        <v>6</v>
      </c>
      <c r="I3605" s="1" t="inlineStr">
        <is>
          <t>มี</t>
        </is>
      </c>
      <c r="J3605" s="13" t="n">
        <v>50</v>
      </c>
      <c r="K3605" s="1" t="inlineStr"/>
      <c r="L3605" s="13" t="n">
        <v>25</v>
      </c>
      <c r="M3605" s="1">
        <f>IF(L3605="","ไม่พบใน SG",IF(ABS(J3605-L3605)&lt;0.005,"ตรงกัน","ไม่ตรง"))</f>
        <v/>
      </c>
      <c r="N3605" s="14">
        <f>IF(L3605="","",ROUND(L3605*'สรุป'!$C$6,-1))</f>
        <v/>
      </c>
      <c r="O3605" s="15" t="n"/>
      <c r="P3605" s="15" t="n"/>
      <c r="Q3605" s="10" t="n"/>
      <c r="R3605" s="10" t="n"/>
      <c r="S3605" s="16" t="inlineStr">
        <is>
          <t>https://mstgolf.co.th/products/gf2040119487</t>
        </is>
      </c>
      <c r="T3605" s="1">
        <f>IF(B3605="ไม้กอล์ฟ",J3605,"")</f>
        <v/>
      </c>
    </row>
    <row r="3606">
      <c r="A3606" s="1" t="n">
        <v>3</v>
      </c>
      <c r="B3606" s="1" t="inlineStr">
        <is>
          <t>เสื้อผ้า</t>
        </is>
      </c>
      <c r="C3606" s="1" t="inlineStr">
        <is>
          <t>gf2040119418</t>
        </is>
      </c>
      <c r="D3606" s="1" t="inlineStr">
        <is>
          <t>ADIDAS Printed Scripted Boy's Polo (Carbon/Black)</t>
        </is>
      </c>
      <c r="E3606" s="1" t="inlineStr">
        <is>
          <t>ADIDAS</t>
        </is>
      </c>
      <c r="F3606" s="1" t="inlineStr">
        <is>
          <t>SHORT SLEEVES</t>
        </is>
      </c>
      <c r="G3606" s="1" t="inlineStr">
        <is>
          <t>GF2040119418128</t>
        </is>
      </c>
      <c r="H3606" s="1" t="n">
        <v>6</v>
      </c>
      <c r="I3606" s="1" t="inlineStr">
        <is>
          <t>มี</t>
        </is>
      </c>
      <c r="J3606" s="13" t="n">
        <v>50</v>
      </c>
      <c r="K3606" s="1" t="inlineStr"/>
      <c r="L3606" s="13" t="n">
        <v>25</v>
      </c>
      <c r="M3606" s="1">
        <f>IF(L3606="","ไม่พบใน SG",IF(ABS(J3606-L3606)&lt;0.005,"ตรงกัน","ไม่ตรง"))</f>
        <v/>
      </c>
      <c r="N3606" s="14">
        <f>IF(L3606="","",ROUND(L3606*'สรุป'!$C$6,-1))</f>
        <v/>
      </c>
      <c r="O3606" s="15" t="n"/>
      <c r="P3606" s="15" t="n"/>
      <c r="Q3606" s="10" t="n"/>
      <c r="R3606" s="10" t="n"/>
      <c r="S3606" s="16" t="inlineStr">
        <is>
          <t>https://mstgolf.co.th/products/gf2040119418</t>
        </is>
      </c>
      <c r="T3606" s="1">
        <f>IF(B3606="ไม้กอล์ฟ",J3606,"")</f>
        <v/>
      </c>
    </row>
    <row r="3607">
      <c r="A3607" s="1" t="n">
        <v>3</v>
      </c>
      <c r="B3607" s="1" t="inlineStr">
        <is>
          <t>เสื้อผ้า</t>
        </is>
      </c>
      <c r="C3607" s="1" t="inlineStr">
        <is>
          <t>gf2040115666</t>
        </is>
      </c>
      <c r="D3607" s="1" t="inlineStr">
        <is>
          <t>ADIDAS 3-Stripes Dress (Clear Aqua)</t>
        </is>
      </c>
      <c r="E3607" s="1" t="inlineStr">
        <is>
          <t>ADIDAS</t>
        </is>
      </c>
      <c r="F3607" s="1" t="inlineStr">
        <is>
          <t>SHORT SLEEVES</t>
        </is>
      </c>
      <c r="G3607" s="1" t="inlineStr">
        <is>
          <t>GF20401156662XS</t>
        </is>
      </c>
      <c r="H3607" s="1" t="n">
        <v>7</v>
      </c>
      <c r="I3607" s="1" t="inlineStr">
        <is>
          <t>มี</t>
        </is>
      </c>
      <c r="J3607" s="13" t="n">
        <v>49</v>
      </c>
      <c r="K3607" s="1" t="inlineStr"/>
      <c r="L3607" s="13" t="n"/>
      <c r="M3607" s="1">
        <f>IF(L3607="","ไม่พบใน SG",IF(ABS(J3607-L3607)&lt;0.005,"ตรงกัน","ไม่ตรง"))</f>
        <v/>
      </c>
      <c r="N3607" s="14">
        <f>IF(L3607="","",ROUND(L3607*'สรุป'!$C$6,-1))</f>
        <v/>
      </c>
      <c r="O3607" s="15" t="n"/>
      <c r="P3607" s="15" t="n"/>
      <c r="Q3607" s="10" t="n"/>
      <c r="R3607" s="10" t="n"/>
      <c r="S3607" s="16" t="inlineStr">
        <is>
          <t>https://mstgolf.co.th/products/gf2040115666</t>
        </is>
      </c>
      <c r="T3607" s="1">
        <f>IF(B3607="ไม้กอล์ฟ",J3607,"")</f>
        <v/>
      </c>
    </row>
    <row r="3608">
      <c r="A3608" s="1" t="n">
        <v>3</v>
      </c>
      <c r="B3608" s="1" t="inlineStr">
        <is>
          <t>เสื้อผ้า</t>
        </is>
      </c>
      <c r="C3608" s="1" t="inlineStr">
        <is>
          <t>gf2040115664</t>
        </is>
      </c>
      <c r="D3608" s="1" t="inlineStr">
        <is>
          <t>ADIDAS 3-Stripes Dress (White)</t>
        </is>
      </c>
      <c r="E3608" s="1" t="inlineStr">
        <is>
          <t>ADIDAS</t>
        </is>
      </c>
      <c r="F3608" s="1" t="inlineStr">
        <is>
          <t>SHORT SLEEVES</t>
        </is>
      </c>
      <c r="G3608" s="1" t="inlineStr">
        <is>
          <t>GF20401156642XS</t>
        </is>
      </c>
      <c r="H3608" s="1" t="n">
        <v>7</v>
      </c>
      <c r="I3608" s="1" t="inlineStr">
        <is>
          <t>มี</t>
        </is>
      </c>
      <c r="J3608" s="13" t="n">
        <v>49</v>
      </c>
      <c r="K3608" s="1" t="inlineStr"/>
      <c r="L3608" s="13" t="n"/>
      <c r="M3608" s="1">
        <f>IF(L3608="","ไม่พบใน SG",IF(ABS(J3608-L3608)&lt;0.005,"ตรงกัน","ไม่ตรง"))</f>
        <v/>
      </c>
      <c r="N3608" s="14">
        <f>IF(L3608="","",ROUND(L3608*'สรุป'!$C$6,-1))</f>
        <v/>
      </c>
      <c r="O3608" s="15" t="n"/>
      <c r="P3608" s="15" t="n"/>
      <c r="Q3608" s="10" t="n"/>
      <c r="R3608" s="10" t="n"/>
      <c r="S3608" s="16" t="inlineStr">
        <is>
          <t>https://mstgolf.co.th/products/gf2040115664</t>
        </is>
      </c>
      <c r="T3608" s="1">
        <f>IF(B3608="ไม้กอล์ฟ",J3608,"")</f>
        <v/>
      </c>
    </row>
    <row r="3609">
      <c r="A3609" s="1" t="n">
        <v>3</v>
      </c>
      <c r="B3609" s="1" t="inlineStr">
        <is>
          <t>เสื้อผ้า</t>
        </is>
      </c>
      <c r="C3609" s="1" t="inlineStr">
        <is>
          <t>gf2020102272</t>
        </is>
      </c>
      <c r="D3609" s="1" t="inlineStr">
        <is>
          <t>ADIDAS 3-Stripes Dry Women's Ankle Pants</t>
        </is>
      </c>
      <c r="E3609" s="1" t="inlineStr">
        <is>
          <t>ADIDAS</t>
        </is>
      </c>
      <c r="F3609" s="1" t="inlineStr">
        <is>
          <t>LONG PANTS</t>
        </is>
      </c>
      <c r="G3609" s="1" t="inlineStr">
        <is>
          <t>GF2020102272XS</t>
        </is>
      </c>
      <c r="H3609" s="1" t="n">
        <v>6</v>
      </c>
      <c r="I3609" s="1" t="inlineStr">
        <is>
          <t>มี</t>
        </is>
      </c>
      <c r="J3609" s="13" t="n">
        <v>49</v>
      </c>
      <c r="K3609" s="1" t="inlineStr"/>
      <c r="L3609" s="13" t="n"/>
      <c r="M3609" s="1">
        <f>IF(L3609="","ไม่พบใน SG",IF(ABS(J3609-L3609)&lt;0.005,"ตรงกัน","ไม่ตรง"))</f>
        <v/>
      </c>
      <c r="N3609" s="14">
        <f>IF(L3609="","",ROUND(L3609*'สรุป'!$C$6,-1))</f>
        <v/>
      </c>
      <c r="O3609" s="15" t="n"/>
      <c r="P3609" s="15" t="n"/>
      <c r="Q3609" s="10" t="n"/>
      <c r="R3609" s="10" t="n"/>
      <c r="S3609" s="16" t="inlineStr">
        <is>
          <t>https://mstgolf.co.th/products/gf2020102272</t>
        </is>
      </c>
      <c r="T3609" s="1">
        <f>IF(B3609="ไม้กอล์ฟ",J3609,"")</f>
        <v/>
      </c>
    </row>
    <row r="3610">
      <c r="A3610" s="1" t="n">
        <v>3</v>
      </c>
      <c r="B3610" s="1" t="inlineStr">
        <is>
          <t>เสื้อผ้า</t>
        </is>
      </c>
      <c r="C3610" s="1" t="inlineStr">
        <is>
          <t>gf2020102271</t>
        </is>
      </c>
      <c r="D3610" s="1" t="inlineStr">
        <is>
          <t>ADIDAS 3-Stripes Dry Women's Ankle Pants (White)</t>
        </is>
      </c>
      <c r="E3610" s="1" t="inlineStr">
        <is>
          <t>ADIDAS</t>
        </is>
      </c>
      <c r="F3610" s="1" t="inlineStr">
        <is>
          <t>LONG PANTS</t>
        </is>
      </c>
      <c r="G3610" s="1" t="inlineStr">
        <is>
          <t>GF2020102271XS</t>
        </is>
      </c>
      <c r="H3610" s="1" t="n">
        <v>6</v>
      </c>
      <c r="I3610" s="1" t="inlineStr">
        <is>
          <t>มี</t>
        </is>
      </c>
      <c r="J3610" s="13" t="n">
        <v>49</v>
      </c>
      <c r="K3610" s="1" t="inlineStr"/>
      <c r="L3610" s="13" t="n">
        <v>49</v>
      </c>
      <c r="M3610" s="1">
        <f>IF(L3610="","ไม่พบใน SG",IF(ABS(J3610-L3610)&lt;0.005,"ตรงกัน","ไม่ตรง"))</f>
        <v/>
      </c>
      <c r="N3610" s="14">
        <f>IF(L3610="","",ROUND(L3610*'สรุป'!$C$6,-1))</f>
        <v/>
      </c>
      <c r="O3610" s="15" t="n"/>
      <c r="P3610" s="15" t="n"/>
      <c r="Q3610" s="10" t="n"/>
      <c r="R3610" s="10" t="n"/>
      <c r="S3610" s="16" t="inlineStr">
        <is>
          <t>https://mstgolf.co.th/products/gf2020102271</t>
        </is>
      </c>
      <c r="T3610" s="1">
        <f>IF(B3610="ไม้กอล์ฟ",J3610,"")</f>
        <v/>
      </c>
    </row>
    <row r="3611">
      <c r="A3611" s="1" t="n">
        <v>3</v>
      </c>
      <c r="B3611" s="1" t="inlineStr">
        <is>
          <t>เสื้อผ้า</t>
        </is>
      </c>
      <c r="C3611" s="1" t="inlineStr">
        <is>
          <t>gf2060100961</t>
        </is>
      </c>
      <c r="D3611" s="1" t="inlineStr">
        <is>
          <t>ADIDAS 3D Deboss Knit Women's Hoodie (Blue)</t>
        </is>
      </c>
      <c r="E3611" s="1" t="inlineStr">
        <is>
          <t>ADIDAS</t>
        </is>
      </c>
      <c r="F3611" s="1" t="inlineStr">
        <is>
          <t>TOP</t>
        </is>
      </c>
      <c r="G3611" s="1" t="inlineStr">
        <is>
          <t>GF20601009612XS</t>
        </is>
      </c>
      <c r="H3611" s="1" t="n">
        <v>7</v>
      </c>
      <c r="I3611" s="1" t="inlineStr">
        <is>
          <t>มี</t>
        </is>
      </c>
      <c r="J3611" s="13" t="n">
        <v>49</v>
      </c>
      <c r="K3611" s="1" t="inlineStr"/>
      <c r="L3611" s="13" t="n">
        <v>49</v>
      </c>
      <c r="M3611" s="1">
        <f>IF(L3611="","ไม่พบใน SG",IF(ABS(J3611-L3611)&lt;0.005,"ตรงกัน","ไม่ตรง"))</f>
        <v/>
      </c>
      <c r="N3611" s="14">
        <f>IF(L3611="","",ROUND(L3611*'สรุป'!$C$6,-1))</f>
        <v/>
      </c>
      <c r="O3611" s="15" t="n"/>
      <c r="P3611" s="15" t="n"/>
      <c r="Q3611" s="10" t="n"/>
      <c r="R3611" s="10" t="n"/>
      <c r="S3611" s="16" t="inlineStr">
        <is>
          <t>https://mstgolf.co.th/products/gf2060100961</t>
        </is>
      </c>
      <c r="T3611" s="1">
        <f>IF(B3611="ไม้กอล์ฟ",J3611,"")</f>
        <v/>
      </c>
    </row>
    <row r="3612">
      <c r="A3612" s="1" t="n">
        <v>3</v>
      </c>
      <c r="B3612" s="1" t="inlineStr">
        <is>
          <t>เสื้อผ้า</t>
        </is>
      </c>
      <c r="C3612" s="1" t="inlineStr">
        <is>
          <t>gf2020202377</t>
        </is>
      </c>
      <c r="D3612" s="1" t="inlineStr">
        <is>
          <t>ADIDAS 4-Way Stretch Skirt (Red)</t>
        </is>
      </c>
      <c r="E3612" s="1" t="inlineStr">
        <is>
          <t>ADIDAS</t>
        </is>
      </c>
      <c r="F3612" s="1" t="inlineStr">
        <is>
          <t>SHORT PANTS</t>
        </is>
      </c>
      <c r="G3612" s="1" t="inlineStr">
        <is>
          <t>GF2020202377XS</t>
        </is>
      </c>
      <c r="H3612" s="1" t="n">
        <v>6</v>
      </c>
      <c r="I3612" s="1" t="inlineStr">
        <is>
          <t>มี</t>
        </is>
      </c>
      <c r="J3612" s="13" t="n">
        <v>49</v>
      </c>
      <c r="K3612" s="1" t="inlineStr"/>
      <c r="L3612" s="13" t="n">
        <v>49</v>
      </c>
      <c r="M3612" s="1">
        <f>IF(L3612="","ไม่พบใน SG",IF(ABS(J3612-L3612)&lt;0.005,"ตรงกัน","ไม่ตรง"))</f>
        <v/>
      </c>
      <c r="N3612" s="14">
        <f>IF(L3612="","",ROUND(L3612*'สรุป'!$C$6,-1))</f>
        <v/>
      </c>
      <c r="O3612" s="15" t="n"/>
      <c r="P3612" s="15" t="n"/>
      <c r="Q3612" s="10" t="n"/>
      <c r="R3612" s="10" t="n"/>
      <c r="S3612" s="16" t="inlineStr">
        <is>
          <t>https://mstgolf.co.th/products/gf2020202377</t>
        </is>
      </c>
      <c r="T3612" s="1">
        <f>IF(B3612="ไม้กอล์ฟ",J3612,"")</f>
        <v/>
      </c>
    </row>
    <row r="3613">
      <c r="A3613" s="1" t="n">
        <v>3</v>
      </c>
      <c r="B3613" s="1" t="inlineStr">
        <is>
          <t>เสื้อผ้า</t>
        </is>
      </c>
      <c r="C3613" s="1" t="inlineStr">
        <is>
          <t>gf2020202376</t>
        </is>
      </c>
      <c r="D3613" s="1" t="inlineStr">
        <is>
          <t>ADIDAS 4-Way Stretch Skirt (White)</t>
        </is>
      </c>
      <c r="E3613" s="1" t="inlineStr">
        <is>
          <t>ADIDAS</t>
        </is>
      </c>
      <c r="F3613" s="1" t="inlineStr">
        <is>
          <t>SHORT PANTS</t>
        </is>
      </c>
      <c r="G3613" s="1" t="inlineStr">
        <is>
          <t>GF2020202376XS</t>
        </is>
      </c>
      <c r="H3613" s="1" t="n">
        <v>6</v>
      </c>
      <c r="I3613" s="1" t="inlineStr">
        <is>
          <t>มี</t>
        </is>
      </c>
      <c r="J3613" s="13" t="n">
        <v>49</v>
      </c>
      <c r="K3613" s="1" t="inlineStr"/>
      <c r="L3613" s="13" t="n">
        <v>49</v>
      </c>
      <c r="M3613" s="1">
        <f>IF(L3613="","ไม่พบใน SG",IF(ABS(J3613-L3613)&lt;0.005,"ตรงกัน","ไม่ตรง"))</f>
        <v/>
      </c>
      <c r="N3613" s="14">
        <f>IF(L3613="","",ROUND(L3613*'สรุป'!$C$6,-1))</f>
        <v/>
      </c>
      <c r="O3613" s="15" t="n"/>
      <c r="P3613" s="15" t="n"/>
      <c r="Q3613" s="10" t="n"/>
      <c r="R3613" s="10" t="n"/>
      <c r="S3613" s="16" t="inlineStr">
        <is>
          <t>https://mstgolf.co.th/products/gf2020202376</t>
        </is>
      </c>
      <c r="T3613" s="1">
        <f>IF(B3613="ไม้กอล์ฟ",J3613,"")</f>
        <v/>
      </c>
    </row>
    <row r="3614">
      <c r="A3614" s="1" t="n">
        <v>3</v>
      </c>
      <c r="B3614" s="1" t="inlineStr">
        <is>
          <t>เสื้อผ้า</t>
        </is>
      </c>
      <c r="C3614" s="1" t="inlineStr">
        <is>
          <t>gf2020202212</t>
        </is>
      </c>
      <c r="D3614" s="1" t="inlineStr">
        <is>
          <t>ADIDAS 4-Way Stretch Women’s Skort (Black)</t>
        </is>
      </c>
      <c r="E3614" s="1" t="inlineStr">
        <is>
          <t>ADIDAS</t>
        </is>
      </c>
      <c r="F3614" s="1" t="inlineStr">
        <is>
          <t>SHORT PANTS</t>
        </is>
      </c>
      <c r="G3614" s="1" t="inlineStr">
        <is>
          <t>GF2020202212XS</t>
        </is>
      </c>
      <c r="H3614" s="1" t="n">
        <v>6</v>
      </c>
      <c r="I3614" s="1" t="inlineStr">
        <is>
          <t>มี</t>
        </is>
      </c>
      <c r="J3614" s="13" t="n">
        <v>49</v>
      </c>
      <c r="K3614" s="1" t="inlineStr"/>
      <c r="L3614" s="13" t="n">
        <v>49</v>
      </c>
      <c r="M3614" s="1">
        <f>IF(L3614="","ไม่พบใน SG",IF(ABS(J3614-L3614)&lt;0.005,"ตรงกัน","ไม่ตรง"))</f>
        <v/>
      </c>
      <c r="N3614" s="14">
        <f>IF(L3614="","",ROUND(L3614*'สรุป'!$C$6,-1))</f>
        <v/>
      </c>
      <c r="O3614" s="15" t="n"/>
      <c r="P3614" s="15" t="n"/>
      <c r="Q3614" s="10" t="n"/>
      <c r="R3614" s="10" t="n"/>
      <c r="S3614" s="16" t="inlineStr">
        <is>
          <t>https://mstgolf.co.th/products/gf2020202212</t>
        </is>
      </c>
      <c r="T3614" s="1">
        <f>IF(B3614="ไม้กอล์ฟ",J3614,"")</f>
        <v/>
      </c>
    </row>
    <row r="3615">
      <c r="A3615" s="1" t="n">
        <v>3</v>
      </c>
      <c r="B3615" s="1" t="inlineStr">
        <is>
          <t>เสื้อผ้า</t>
        </is>
      </c>
      <c r="C3615" s="1" t="inlineStr">
        <is>
          <t>gf2020202203</t>
        </is>
      </c>
      <c r="D3615" s="1" t="inlineStr">
        <is>
          <t>ADIDAS 4-Way Stretch Women’s Skort (Clay)</t>
        </is>
      </c>
      <c r="E3615" s="1" t="inlineStr">
        <is>
          <t>ADIDAS</t>
        </is>
      </c>
      <c r="F3615" s="1" t="inlineStr">
        <is>
          <t>SHORT PANTS</t>
        </is>
      </c>
      <c r="G3615" s="1" t="inlineStr">
        <is>
          <t>GF2020202203XS</t>
        </is>
      </c>
      <c r="H3615" s="1" t="n">
        <v>6</v>
      </c>
      <c r="I3615" s="1" t="inlineStr">
        <is>
          <t>มี</t>
        </is>
      </c>
      <c r="J3615" s="13" t="n">
        <v>49</v>
      </c>
      <c r="K3615" s="1" t="inlineStr"/>
      <c r="L3615" s="13" t="n">
        <v>49</v>
      </c>
      <c r="M3615" s="1">
        <f>IF(L3615="","ไม่พบใน SG",IF(ABS(J3615-L3615)&lt;0.005,"ตรงกัน","ไม่ตรง"))</f>
        <v/>
      </c>
      <c r="N3615" s="14">
        <f>IF(L3615="","",ROUND(L3615*'สรุป'!$C$6,-1))</f>
        <v/>
      </c>
      <c r="O3615" s="15" t="n"/>
      <c r="P3615" s="15" t="n"/>
      <c r="Q3615" s="10" t="n"/>
      <c r="R3615" s="10" t="n"/>
      <c r="S3615" s="16" t="inlineStr">
        <is>
          <t>https://mstgolf.co.th/products/gf2020202203</t>
        </is>
      </c>
      <c r="T3615" s="1">
        <f>IF(B3615="ไม้กอล์ฟ",J3615,"")</f>
        <v/>
      </c>
    </row>
    <row r="3616">
      <c r="A3616" s="1" t="n">
        <v>3</v>
      </c>
      <c r="B3616" s="1" t="inlineStr">
        <is>
          <t>เสื้อผ้า</t>
        </is>
      </c>
      <c r="C3616" s="1" t="inlineStr">
        <is>
          <t>gf2020202363</t>
        </is>
      </c>
      <c r="D3616" s="1" t="inlineStr">
        <is>
          <t>ADIDAS AEROREADY 10" Men's Shorts (Alumina)</t>
        </is>
      </c>
      <c r="E3616" s="1" t="inlineStr">
        <is>
          <t>ADIDAS</t>
        </is>
      </c>
      <c r="F3616" s="1" t="inlineStr">
        <is>
          <t>SHORT PANTS</t>
        </is>
      </c>
      <c r="G3616" s="1" t="inlineStr">
        <is>
          <t>GF202020236373</t>
        </is>
      </c>
      <c r="H3616" s="1" t="n">
        <v>9</v>
      </c>
      <c r="I3616" s="1" t="inlineStr">
        <is>
          <t>มี</t>
        </is>
      </c>
      <c r="J3616" s="13" t="n">
        <v>49</v>
      </c>
      <c r="K3616" s="1" t="inlineStr"/>
      <c r="L3616" s="13" t="n">
        <v>49</v>
      </c>
      <c r="M3616" s="1">
        <f>IF(L3616="","ไม่พบใน SG",IF(ABS(J3616-L3616)&lt;0.005,"ตรงกัน","ไม่ตรง"))</f>
        <v/>
      </c>
      <c r="N3616" s="14">
        <f>IF(L3616="","",ROUND(L3616*'สรุป'!$C$6,-1))</f>
        <v/>
      </c>
      <c r="O3616" s="15" t="n"/>
      <c r="P3616" s="15" t="n"/>
      <c r="Q3616" s="10" t="n"/>
      <c r="R3616" s="10" t="n"/>
      <c r="S3616" s="16" t="inlineStr">
        <is>
          <t>https://mstgolf.co.th/products/gf2020202363</t>
        </is>
      </c>
      <c r="T3616" s="1">
        <f>IF(B3616="ไม้กอล์ฟ",J3616,"")</f>
        <v/>
      </c>
    </row>
    <row r="3617">
      <c r="A3617" s="1" t="n">
        <v>3</v>
      </c>
      <c r="B3617" s="1" t="inlineStr">
        <is>
          <t>เสื้อผ้า</t>
        </is>
      </c>
      <c r="C3617" s="1" t="inlineStr">
        <is>
          <t>gf2020202362</t>
        </is>
      </c>
      <c r="D3617" s="1" t="inlineStr">
        <is>
          <t>ADIDAS AEROREADY 10" Men's Shorts (White)</t>
        </is>
      </c>
      <c r="E3617" s="1" t="inlineStr">
        <is>
          <t>ADIDAS</t>
        </is>
      </c>
      <c r="F3617" s="1" t="inlineStr">
        <is>
          <t>SHORT PANTS</t>
        </is>
      </c>
      <c r="G3617" s="1" t="inlineStr">
        <is>
          <t>GF202020236273</t>
        </is>
      </c>
      <c r="H3617" s="1" t="n">
        <v>9</v>
      </c>
      <c r="I3617" s="1" t="inlineStr">
        <is>
          <t>มี</t>
        </is>
      </c>
      <c r="J3617" s="13" t="n">
        <v>49</v>
      </c>
      <c r="K3617" s="1" t="inlineStr"/>
      <c r="L3617" s="13" t="n">
        <v>49</v>
      </c>
      <c r="M3617" s="1">
        <f>IF(L3617="","ไม่พบใน SG",IF(ABS(J3617-L3617)&lt;0.005,"ตรงกัน","ไม่ตรง"))</f>
        <v/>
      </c>
      <c r="N3617" s="14">
        <f>IF(L3617="","",ROUND(L3617*'สรุป'!$C$6,-1))</f>
        <v/>
      </c>
      <c r="O3617" s="15" t="n"/>
      <c r="P3617" s="15" t="n"/>
      <c r="Q3617" s="10" t="n"/>
      <c r="R3617" s="10" t="n"/>
      <c r="S3617" s="16" t="inlineStr">
        <is>
          <t>https://mstgolf.co.th/products/gf2020202362</t>
        </is>
      </c>
      <c r="T3617" s="1">
        <f>IF(B3617="ไม้กอล์ฟ",J3617,"")</f>
        <v/>
      </c>
    </row>
    <row r="3618">
      <c r="A3618" s="1" t="n">
        <v>3</v>
      </c>
      <c r="B3618" s="1" t="inlineStr">
        <is>
          <t>เสื้อผ้า</t>
        </is>
      </c>
      <c r="C3618" s="1" t="inlineStr">
        <is>
          <t>gf2040119387</t>
        </is>
      </c>
      <c r="D3618" s="1" t="inlineStr">
        <is>
          <t>ADIDAS AEROREADY Debossed  Women's Mock Shirt (Navy)</t>
        </is>
      </c>
      <c r="E3618" s="1" t="inlineStr">
        <is>
          <t>ADIDAS</t>
        </is>
      </c>
      <c r="F3618" s="1" t="inlineStr">
        <is>
          <t>SHORT SLEEVES</t>
        </is>
      </c>
      <c r="G3618" s="1" t="inlineStr">
        <is>
          <t>GF2040119387XS</t>
        </is>
      </c>
      <c r="H3618" s="1" t="n">
        <v>7</v>
      </c>
      <c r="I3618" s="1" t="inlineStr">
        <is>
          <t>มี</t>
        </is>
      </c>
      <c r="J3618" s="13" t="n">
        <v>49</v>
      </c>
      <c r="K3618" s="1" t="inlineStr"/>
      <c r="L3618" s="13" t="n">
        <v>35</v>
      </c>
      <c r="M3618" s="1">
        <f>IF(L3618="","ไม่พบใน SG",IF(ABS(J3618-L3618)&lt;0.005,"ตรงกัน","ไม่ตรง"))</f>
        <v/>
      </c>
      <c r="N3618" s="14">
        <f>IF(L3618="","",ROUND(L3618*'สรุป'!$C$6,-1))</f>
        <v/>
      </c>
      <c r="O3618" s="15" t="n"/>
      <c r="P3618" s="15" t="n"/>
      <c r="Q3618" s="10" t="n"/>
      <c r="R3618" s="10" t="n"/>
      <c r="S3618" s="16" t="inlineStr">
        <is>
          <t>https://mstgolf.co.th/products/gf2040119387</t>
        </is>
      </c>
      <c r="T3618" s="1">
        <f>IF(B3618="ไม้กอล์ฟ",J3618,"")</f>
        <v/>
      </c>
    </row>
    <row r="3619">
      <c r="A3619" s="1" t="n">
        <v>3</v>
      </c>
      <c r="B3619" s="1" t="inlineStr">
        <is>
          <t>เสื้อผ้า</t>
        </is>
      </c>
      <c r="C3619" s="1" t="inlineStr">
        <is>
          <t>gf2040119385</t>
        </is>
      </c>
      <c r="D3619" s="1" t="inlineStr">
        <is>
          <t>ADIDAS AEROREADY Debossed  Women's Mock Shirt (White)</t>
        </is>
      </c>
      <c r="E3619" s="1" t="inlineStr">
        <is>
          <t>ADIDAS</t>
        </is>
      </c>
      <c r="F3619" s="1" t="inlineStr">
        <is>
          <t>SHORT SLEEVES</t>
        </is>
      </c>
      <c r="G3619" s="1" t="inlineStr">
        <is>
          <t>GF2040119385XS</t>
        </is>
      </c>
      <c r="H3619" s="1" t="n">
        <v>7</v>
      </c>
      <c r="I3619" s="1" t="inlineStr">
        <is>
          <t>มี</t>
        </is>
      </c>
      <c r="J3619" s="13" t="n">
        <v>49</v>
      </c>
      <c r="K3619" s="1" t="inlineStr"/>
      <c r="L3619" s="13" t="n">
        <v>35</v>
      </c>
      <c r="M3619" s="1">
        <f>IF(L3619="","ไม่พบใน SG",IF(ABS(J3619-L3619)&lt;0.005,"ตรงกัน","ไม่ตรง"))</f>
        <v/>
      </c>
      <c r="N3619" s="14">
        <f>IF(L3619="","",ROUND(L3619*'สรุป'!$C$6,-1))</f>
        <v/>
      </c>
      <c r="O3619" s="15" t="n"/>
      <c r="P3619" s="15" t="n"/>
      <c r="Q3619" s="10" t="n"/>
      <c r="R3619" s="10" t="n"/>
      <c r="S3619" s="16" t="inlineStr">
        <is>
          <t>https://mstgolf.co.th/products/gf2040119385</t>
        </is>
      </c>
      <c r="T3619" s="1">
        <f>IF(B3619="ไม้กอล์ฟ",J3619,"")</f>
        <v/>
      </c>
    </row>
    <row r="3620">
      <c r="A3620" s="1" t="n">
        <v>3</v>
      </c>
      <c r="B3620" s="1" t="inlineStr">
        <is>
          <t>เสื้อผ้า</t>
        </is>
      </c>
      <c r="C3620" s="1" t="inlineStr">
        <is>
          <t>gf2040119386</t>
        </is>
      </c>
      <c r="D3620" s="1" t="inlineStr">
        <is>
          <t>ADIDAS AEROREADY Debossed  Women's Mock Shirt (Yellow)</t>
        </is>
      </c>
      <c r="E3620" s="1" t="inlineStr">
        <is>
          <t>ADIDAS</t>
        </is>
      </c>
      <c r="F3620" s="1" t="inlineStr">
        <is>
          <t>SHORT SLEEVES</t>
        </is>
      </c>
      <c r="G3620" s="1" t="inlineStr">
        <is>
          <t>GF20401193862XS</t>
        </is>
      </c>
      <c r="H3620" s="1" t="n">
        <v>7</v>
      </c>
      <c r="I3620" s="1" t="inlineStr">
        <is>
          <t>มี</t>
        </is>
      </c>
      <c r="J3620" s="13" t="n">
        <v>49</v>
      </c>
      <c r="K3620" s="1" t="inlineStr"/>
      <c r="L3620" s="13" t="n">
        <v>35</v>
      </c>
      <c r="M3620" s="1">
        <f>IF(L3620="","ไม่พบใน SG",IF(ABS(J3620-L3620)&lt;0.005,"ตรงกัน","ไม่ตรง"))</f>
        <v/>
      </c>
      <c r="N3620" s="14">
        <f>IF(L3620="","",ROUND(L3620*'สรุป'!$C$6,-1))</f>
        <v/>
      </c>
      <c r="O3620" s="15" t="n"/>
      <c r="P3620" s="15" t="n"/>
      <c r="Q3620" s="10" t="n"/>
      <c r="R3620" s="10" t="n"/>
      <c r="S3620" s="16" t="inlineStr">
        <is>
          <t>https://mstgolf.co.th/products/gf2040119386</t>
        </is>
      </c>
      <c r="T3620" s="1">
        <f>IF(B3620="ไม้กอล์ฟ",J3620,"")</f>
        <v/>
      </c>
    </row>
    <row r="3621">
      <c r="A3621" s="1" t="n">
        <v>3</v>
      </c>
      <c r="B3621" s="1" t="inlineStr">
        <is>
          <t>เสื้อผ้า</t>
        </is>
      </c>
      <c r="C3621" s="1" t="inlineStr">
        <is>
          <t>gf2020202384</t>
        </is>
      </c>
      <c r="D3621" s="1" t="inlineStr">
        <is>
          <t>ADIDAS AEROREADY High-Waist Pleated Skirt (Ink)</t>
        </is>
      </c>
      <c r="E3621" s="1" t="inlineStr">
        <is>
          <t>ADIDAS</t>
        </is>
      </c>
      <c r="F3621" s="1" t="inlineStr">
        <is>
          <t>SHORT PANTS</t>
        </is>
      </c>
      <c r="G3621" s="1" t="inlineStr">
        <is>
          <t>GF2020202384XS</t>
        </is>
      </c>
      <c r="H3621" s="1" t="n">
        <v>6</v>
      </c>
      <c r="I3621" s="1" t="inlineStr">
        <is>
          <t>มี</t>
        </is>
      </c>
      <c r="J3621" s="13" t="n">
        <v>49</v>
      </c>
      <c r="K3621" s="1" t="inlineStr"/>
      <c r="L3621" s="13" t="n">
        <v>49</v>
      </c>
      <c r="M3621" s="1">
        <f>IF(L3621="","ไม่พบใน SG",IF(ABS(J3621-L3621)&lt;0.005,"ตรงกัน","ไม่ตรง"))</f>
        <v/>
      </c>
      <c r="N3621" s="14">
        <f>IF(L3621="","",ROUND(L3621*'สรุป'!$C$6,-1))</f>
        <v/>
      </c>
      <c r="O3621" s="15" t="n"/>
      <c r="P3621" s="15" t="n"/>
      <c r="Q3621" s="10" t="n"/>
      <c r="R3621" s="10" t="n"/>
      <c r="S3621" s="16" t="inlineStr">
        <is>
          <t>https://mstgolf.co.th/products/gf2020202384</t>
        </is>
      </c>
      <c r="T3621" s="1">
        <f>IF(B3621="ไม้กอล์ฟ",J3621,"")</f>
        <v/>
      </c>
    </row>
    <row r="3622">
      <c r="A3622" s="1" t="n">
        <v>3</v>
      </c>
      <c r="B3622" s="1" t="inlineStr">
        <is>
          <t>เสื้อผ้า</t>
        </is>
      </c>
      <c r="C3622" s="1" t="inlineStr">
        <is>
          <t>gf2040400976</t>
        </is>
      </c>
      <c r="D3622" s="1" t="inlineStr">
        <is>
          <t>ADIDAS AEROREADY Lightweight Men's Long Sleeve Polo  (White)</t>
        </is>
      </c>
      <c r="E3622" s="1" t="inlineStr">
        <is>
          <t>ADIDAS</t>
        </is>
      </c>
      <c r="F3622" s="1" t="inlineStr">
        <is>
          <t>LONG SLEEVES</t>
        </is>
      </c>
      <c r="G3622" s="1" t="inlineStr">
        <is>
          <t>GF2040400976XS</t>
        </is>
      </c>
      <c r="H3622" s="1" t="n">
        <v>7</v>
      </c>
      <c r="I3622" s="1" t="inlineStr">
        <is>
          <t>มี</t>
        </is>
      </c>
      <c r="J3622" s="13" t="n">
        <v>49</v>
      </c>
      <c r="K3622" s="1" t="inlineStr"/>
      <c r="L3622" s="13" t="n"/>
      <c r="M3622" s="1">
        <f>IF(L3622="","ไม่พบใน SG",IF(ABS(J3622-L3622)&lt;0.005,"ตรงกัน","ไม่ตรง"))</f>
        <v/>
      </c>
      <c r="N3622" s="14">
        <f>IF(L3622="","",ROUND(L3622*'สรุป'!$C$6,-1))</f>
        <v/>
      </c>
      <c r="O3622" s="15" t="n"/>
      <c r="P3622" s="15" t="n"/>
      <c r="Q3622" s="10" t="n"/>
      <c r="R3622" s="10" t="n"/>
      <c r="S3622" s="16" t="inlineStr">
        <is>
          <t>https://mstgolf.co.th/products/gf2040400976</t>
        </is>
      </c>
      <c r="T3622" s="1">
        <f>IF(B3622="ไม้กอล์ฟ",J3622,"")</f>
        <v/>
      </c>
    </row>
    <row r="3623">
      <c r="A3623" s="1" t="n">
        <v>3</v>
      </c>
      <c r="B3623" s="1" t="inlineStr">
        <is>
          <t>เสื้อผ้า</t>
        </is>
      </c>
      <c r="C3623" s="1" t="inlineStr">
        <is>
          <t>gf2040401166</t>
        </is>
      </c>
      <c r="D3623" s="1" t="inlineStr">
        <is>
          <t>ADIDAS AEROREADY Men's Long Sleeve Polo (White)</t>
        </is>
      </c>
      <c r="E3623" s="1" t="inlineStr">
        <is>
          <t>ADIDAS</t>
        </is>
      </c>
      <c r="F3623" s="1" t="inlineStr">
        <is>
          <t>LONG SLEEVES</t>
        </is>
      </c>
      <c r="G3623" s="1" t="inlineStr">
        <is>
          <t>GF2040401166XS</t>
        </is>
      </c>
      <c r="H3623" s="1" t="n">
        <v>7</v>
      </c>
      <c r="I3623" s="1" t="inlineStr">
        <is>
          <t>มี</t>
        </is>
      </c>
      <c r="J3623" s="13" t="n">
        <v>49</v>
      </c>
      <c r="K3623" s="1" t="inlineStr"/>
      <c r="L3623" s="13" t="n"/>
      <c r="M3623" s="1">
        <f>IF(L3623="","ไม่พบใน SG",IF(ABS(J3623-L3623)&lt;0.005,"ตรงกัน","ไม่ตรง"))</f>
        <v/>
      </c>
      <c r="N3623" s="14">
        <f>IF(L3623="","",ROUND(L3623*'สรุป'!$C$6,-1))</f>
        <v/>
      </c>
      <c r="O3623" s="15" t="n"/>
      <c r="P3623" s="15" t="n"/>
      <c r="Q3623" s="10" t="n"/>
      <c r="R3623" s="10" t="n"/>
      <c r="S3623" s="16" t="inlineStr">
        <is>
          <t>https://mstgolf.co.th/products/gf2040401166</t>
        </is>
      </c>
      <c r="T3623" s="1">
        <f>IF(B3623="ไม้กอล์ฟ",J3623,"")</f>
        <v/>
      </c>
    </row>
    <row r="3624">
      <c r="A3624" s="1" t="n">
        <v>3</v>
      </c>
      <c r="B3624" s="1" t="inlineStr">
        <is>
          <t>เสื้อผ้า</t>
        </is>
      </c>
      <c r="C3624" s="1" t="inlineStr">
        <is>
          <t>gf2040401067</t>
        </is>
      </c>
      <c r="D3624" s="1" t="inlineStr">
        <is>
          <t>ADIDAS Adicross Turtle Neck Men's Long Sleeve Polo (Artic)</t>
        </is>
      </c>
      <c r="E3624" s="1" t="inlineStr">
        <is>
          <t>ADIDAS</t>
        </is>
      </c>
      <c r="F3624" s="1" t="inlineStr">
        <is>
          <t>LONG SLEEVES</t>
        </is>
      </c>
      <c r="G3624" s="1" t="inlineStr">
        <is>
          <t>GF2040401067XS</t>
        </is>
      </c>
      <c r="H3624" s="1" t="n">
        <v>7</v>
      </c>
      <c r="I3624" s="1" t="inlineStr">
        <is>
          <t>มี</t>
        </is>
      </c>
      <c r="J3624" s="13" t="n">
        <v>49</v>
      </c>
      <c r="K3624" s="1" t="inlineStr"/>
      <c r="L3624" s="13" t="n">
        <v>49</v>
      </c>
      <c r="M3624" s="1">
        <f>IF(L3624="","ไม่พบใน SG",IF(ABS(J3624-L3624)&lt;0.005,"ตรงกัน","ไม่ตรง"))</f>
        <v/>
      </c>
      <c r="N3624" s="14">
        <f>IF(L3624="","",ROUND(L3624*'สรุป'!$C$6,-1))</f>
        <v/>
      </c>
      <c r="O3624" s="15" t="n"/>
      <c r="P3624" s="15" t="n"/>
      <c r="Q3624" s="10" t="n"/>
      <c r="R3624" s="10" t="n"/>
      <c r="S3624" s="16" t="inlineStr">
        <is>
          <t>https://mstgolf.co.th/products/gf2040401067</t>
        </is>
      </c>
      <c r="T3624" s="1">
        <f>IF(B3624="ไม้กอล์ฟ",J3624,"")</f>
        <v/>
      </c>
    </row>
    <row r="3625">
      <c r="A3625" s="1" t="n">
        <v>3</v>
      </c>
      <c r="B3625" s="1" t="inlineStr">
        <is>
          <t>เสื้อผ้า</t>
        </is>
      </c>
      <c r="C3625" s="1" t="inlineStr">
        <is>
          <t>gf2040401066</t>
        </is>
      </c>
      <c r="D3625" s="1" t="inlineStr">
        <is>
          <t>ADIDAS Adicross Turtle Neck Men's Long Sleeve Polo (Black)</t>
        </is>
      </c>
      <c r="E3625" s="1" t="inlineStr">
        <is>
          <t>ADIDAS</t>
        </is>
      </c>
      <c r="F3625" s="1" t="inlineStr">
        <is>
          <t>LONG SLEEVES</t>
        </is>
      </c>
      <c r="G3625" s="1" t="inlineStr">
        <is>
          <t>GF2040401066XS</t>
        </is>
      </c>
      <c r="H3625" s="1" t="n">
        <v>7</v>
      </c>
      <c r="I3625" s="1" t="inlineStr">
        <is>
          <t>มี</t>
        </is>
      </c>
      <c r="J3625" s="13" t="n">
        <v>49</v>
      </c>
      <c r="K3625" s="1" t="inlineStr"/>
      <c r="L3625" s="13" t="n">
        <v>49</v>
      </c>
      <c r="M3625" s="1">
        <f>IF(L3625="","ไม่พบใน SG",IF(ABS(J3625-L3625)&lt;0.005,"ตรงกัน","ไม่ตรง"))</f>
        <v/>
      </c>
      <c r="N3625" s="14">
        <f>IF(L3625="","",ROUND(L3625*'สรุป'!$C$6,-1))</f>
        <v/>
      </c>
      <c r="O3625" s="15" t="n"/>
      <c r="P3625" s="15" t="n"/>
      <c r="Q3625" s="10" t="n"/>
      <c r="R3625" s="10" t="n"/>
      <c r="S3625" s="16" t="inlineStr">
        <is>
          <t>https://mstgolf.co.th/products/gf2040401066</t>
        </is>
      </c>
      <c r="T3625" s="1">
        <f>IF(B3625="ไม้กอล์ฟ",J3625,"")</f>
        <v/>
      </c>
    </row>
    <row r="3626">
      <c r="A3626" s="1" t="n">
        <v>3</v>
      </c>
      <c r="B3626" s="1" t="inlineStr">
        <is>
          <t>เสื้อผ้า</t>
        </is>
      </c>
      <c r="C3626" s="1" t="inlineStr">
        <is>
          <t>gf2060100970</t>
        </is>
      </c>
      <c r="D3626" s="1" t="inlineStr">
        <is>
          <t>ADIDAS Adicross WIND.RDY Crew Men's Sweatshirt (Artic Night)</t>
        </is>
      </c>
      <c r="E3626" s="1" t="inlineStr">
        <is>
          <t>ADIDAS</t>
        </is>
      </c>
      <c r="F3626" s="1" t="inlineStr">
        <is>
          <t>TOP</t>
        </is>
      </c>
      <c r="G3626" s="1" t="inlineStr">
        <is>
          <t>GF2060100970XS</t>
        </is>
      </c>
      <c r="H3626" s="1" t="n">
        <v>6</v>
      </c>
      <c r="I3626" s="1" t="inlineStr">
        <is>
          <t>มี</t>
        </is>
      </c>
      <c r="J3626" s="13" t="n">
        <v>49</v>
      </c>
      <c r="K3626" s="1" t="inlineStr"/>
      <c r="L3626" s="13" t="n">
        <v>49</v>
      </c>
      <c r="M3626" s="1">
        <f>IF(L3626="","ไม่พบใน SG",IF(ABS(J3626-L3626)&lt;0.005,"ตรงกัน","ไม่ตรง"))</f>
        <v/>
      </c>
      <c r="N3626" s="14">
        <f>IF(L3626="","",ROUND(L3626*'สรุป'!$C$6,-1))</f>
        <v/>
      </c>
      <c r="O3626" s="15" t="n"/>
      <c r="P3626" s="15" t="n"/>
      <c r="Q3626" s="10" t="n"/>
      <c r="R3626" s="10" t="n"/>
      <c r="S3626" s="16" t="inlineStr">
        <is>
          <t>https://mstgolf.co.th/products/gf2060100970</t>
        </is>
      </c>
      <c r="T3626" s="1">
        <f>IF(B3626="ไม้กอล์ฟ",J3626,"")</f>
        <v/>
      </c>
    </row>
    <row r="3627">
      <c r="A3627" s="1" t="n">
        <v>3</v>
      </c>
      <c r="B3627" s="1" t="inlineStr">
        <is>
          <t>เสื้อผ้า</t>
        </is>
      </c>
      <c r="C3627" s="1" t="inlineStr">
        <is>
          <t>gf2020102249</t>
        </is>
      </c>
      <c r="D3627" s="1" t="inlineStr">
        <is>
          <t>ADIDAS Adjustable Boy's Pants (Black)</t>
        </is>
      </c>
      <c r="E3627" s="1" t="inlineStr">
        <is>
          <t>ADIDAS</t>
        </is>
      </c>
      <c r="F3627" s="1" t="inlineStr">
        <is>
          <t>LONG PANTS</t>
        </is>
      </c>
      <c r="G3627" s="1" t="inlineStr">
        <is>
          <t>GF2020102249128</t>
        </is>
      </c>
      <c r="H3627" s="1" t="n">
        <v>5</v>
      </c>
      <c r="I3627" s="1" t="inlineStr">
        <is>
          <t>มี</t>
        </is>
      </c>
      <c r="J3627" s="13" t="n">
        <v>49</v>
      </c>
      <c r="K3627" s="1" t="inlineStr"/>
      <c r="L3627" s="13" t="n">
        <v>34</v>
      </c>
      <c r="M3627" s="1">
        <f>IF(L3627="","ไม่พบใน SG",IF(ABS(J3627-L3627)&lt;0.005,"ตรงกัน","ไม่ตรง"))</f>
        <v/>
      </c>
      <c r="N3627" s="14">
        <f>IF(L3627="","",ROUND(L3627*'สรุป'!$C$6,-1))</f>
        <v/>
      </c>
      <c r="O3627" s="15" t="n"/>
      <c r="P3627" s="15" t="n"/>
      <c r="Q3627" s="10" t="n"/>
      <c r="R3627" s="10" t="n"/>
      <c r="S3627" s="16" t="inlineStr">
        <is>
          <t>https://mstgolf.co.th/products/gf2020102249</t>
        </is>
      </c>
      <c r="T3627" s="1">
        <f>IF(B3627="ไม้กอล์ฟ",J3627,"")</f>
        <v/>
      </c>
    </row>
    <row r="3628">
      <c r="A3628" s="1" t="n">
        <v>3</v>
      </c>
      <c r="B3628" s="1" t="inlineStr">
        <is>
          <t>เสื้อผ้า</t>
        </is>
      </c>
      <c r="C3628" s="1" t="inlineStr">
        <is>
          <t>gf2020202358</t>
        </is>
      </c>
      <c r="D3628" s="1" t="inlineStr">
        <is>
          <t>ADIDAS Allover Print 9" Men's Shorts (Navy)</t>
        </is>
      </c>
      <c r="E3628" s="1" t="inlineStr">
        <is>
          <t>ADIDAS</t>
        </is>
      </c>
      <c r="F3628" s="1" t="inlineStr">
        <is>
          <t>SHORT PANTS</t>
        </is>
      </c>
      <c r="G3628" s="1" t="inlineStr">
        <is>
          <t>GF202020235873</t>
        </is>
      </c>
      <c r="H3628" s="1" t="n">
        <v>9</v>
      </c>
      <c r="I3628" s="1" t="inlineStr">
        <is>
          <t>มี</t>
        </is>
      </c>
      <c r="J3628" s="13" t="n">
        <v>49</v>
      </c>
      <c r="K3628" s="1" t="inlineStr"/>
      <c r="L3628" s="13" t="n">
        <v>49</v>
      </c>
      <c r="M3628" s="1">
        <f>IF(L3628="","ไม่พบใน SG",IF(ABS(J3628-L3628)&lt;0.005,"ตรงกัน","ไม่ตรง"))</f>
        <v/>
      </c>
      <c r="N3628" s="14">
        <f>IF(L3628="","",ROUND(L3628*'สรุป'!$C$6,-1))</f>
        <v/>
      </c>
      <c r="O3628" s="15" t="n"/>
      <c r="P3628" s="15" t="n"/>
      <c r="Q3628" s="10" t="n"/>
      <c r="R3628" s="10" t="n"/>
      <c r="S3628" s="16" t="inlineStr">
        <is>
          <t>https://mstgolf.co.th/products/gf2020202358</t>
        </is>
      </c>
      <c r="T3628" s="1">
        <f>IF(B3628="ไม้กอล์ฟ",J3628,"")</f>
        <v/>
      </c>
    </row>
    <row r="3629">
      <c r="A3629" s="1" t="n">
        <v>3</v>
      </c>
      <c r="B3629" s="1" t="inlineStr">
        <is>
          <t>เสื้อผ้า</t>
        </is>
      </c>
      <c r="C3629" s="1" t="inlineStr">
        <is>
          <t>gf2060100972</t>
        </is>
      </c>
      <c r="D3629" s="1" t="inlineStr">
        <is>
          <t>ADIDAS Anti 3 Putt Men's Hoodie (Black)</t>
        </is>
      </c>
      <c r="E3629" s="1" t="inlineStr">
        <is>
          <t>ADIDAS</t>
        </is>
      </c>
      <c r="F3629" s="1" t="inlineStr">
        <is>
          <t>TOP</t>
        </is>
      </c>
      <c r="G3629" s="1" t="inlineStr">
        <is>
          <t>GF2060100972XS</t>
        </is>
      </c>
      <c r="H3629" s="1" t="n">
        <v>6</v>
      </c>
      <c r="I3629" s="1" t="inlineStr">
        <is>
          <t>มี</t>
        </is>
      </c>
      <c r="J3629" s="13" t="n">
        <v>49</v>
      </c>
      <c r="K3629" s="1" t="inlineStr"/>
      <c r="L3629" s="13" t="n">
        <v>49</v>
      </c>
      <c r="M3629" s="1">
        <f>IF(L3629="","ไม่พบใน SG",IF(ABS(J3629-L3629)&lt;0.005,"ตรงกัน","ไม่ตรง"))</f>
        <v/>
      </c>
      <c r="N3629" s="14">
        <f>IF(L3629="","",ROUND(L3629*'สรุป'!$C$6,-1))</f>
        <v/>
      </c>
      <c r="O3629" s="15" t="n"/>
      <c r="P3629" s="15" t="n"/>
      <c r="Q3629" s="10" t="n"/>
      <c r="R3629" s="10" t="n"/>
      <c r="S3629" s="16" t="inlineStr">
        <is>
          <t>https://mstgolf.co.th/products/gf2060100972</t>
        </is>
      </c>
      <c r="T3629" s="1">
        <f>IF(B3629="ไม้กอล์ฟ",J3629,"")</f>
        <v/>
      </c>
    </row>
    <row r="3630">
      <c r="A3630" s="1" t="n">
        <v>3</v>
      </c>
      <c r="B3630" s="1" t="inlineStr">
        <is>
          <t>เสื้อผ้า</t>
        </is>
      </c>
      <c r="C3630" s="1" t="inlineStr">
        <is>
          <t>gf2020202366</t>
        </is>
      </c>
      <c r="D3630" s="1" t="inlineStr">
        <is>
          <t>ADIDAS Checked Pattern 5" Men's Shorts (Grey)</t>
        </is>
      </c>
      <c r="E3630" s="1" t="inlineStr">
        <is>
          <t>ADIDAS</t>
        </is>
      </c>
      <c r="F3630" s="1" t="inlineStr">
        <is>
          <t>SHORT PANTS</t>
        </is>
      </c>
      <c r="G3630" s="1" t="inlineStr">
        <is>
          <t>GF2020202366XS</t>
        </is>
      </c>
      <c r="H3630" s="1" t="n">
        <v>6</v>
      </c>
      <c r="I3630" s="1" t="inlineStr">
        <is>
          <t>มี</t>
        </is>
      </c>
      <c r="J3630" s="13" t="n">
        <v>49</v>
      </c>
      <c r="K3630" s="1" t="inlineStr"/>
      <c r="L3630" s="13" t="n">
        <v>49</v>
      </c>
      <c r="M3630" s="1">
        <f>IF(L3630="","ไม่พบใน SG",IF(ABS(J3630-L3630)&lt;0.005,"ตรงกัน","ไม่ตรง"))</f>
        <v/>
      </c>
      <c r="N3630" s="14">
        <f>IF(L3630="","",ROUND(L3630*'สรุป'!$C$6,-1))</f>
        <v/>
      </c>
      <c r="O3630" s="15" t="n"/>
      <c r="P3630" s="15" t="n"/>
      <c r="Q3630" s="10" t="n"/>
      <c r="R3630" s="10" t="n"/>
      <c r="S3630" s="16" t="inlineStr">
        <is>
          <t>https://mstgolf.co.th/products/gf2020202366</t>
        </is>
      </c>
      <c r="T3630" s="1">
        <f>IF(B3630="ไม้กอล์ฟ",J3630,"")</f>
        <v/>
      </c>
    </row>
    <row r="3631">
      <c r="A3631" s="1" t="n">
        <v>3</v>
      </c>
      <c r="B3631" s="1" t="inlineStr">
        <is>
          <t>เสื้อผ้า</t>
        </is>
      </c>
      <c r="C3631" s="1" t="inlineStr">
        <is>
          <t>gf2040117597</t>
        </is>
      </c>
      <c r="D3631" s="1" t="inlineStr">
        <is>
          <t>ADIDAS Deboss Men's Polo (College Navy)</t>
        </is>
      </c>
      <c r="E3631" s="1" t="inlineStr">
        <is>
          <t>ADIDAS</t>
        </is>
      </c>
      <c r="F3631" s="1" t="inlineStr">
        <is>
          <t>SHORT SLEEVES</t>
        </is>
      </c>
      <c r="G3631" s="1" t="inlineStr">
        <is>
          <t>GF2040117597XS</t>
        </is>
      </c>
      <c r="H3631" s="1" t="n">
        <v>7</v>
      </c>
      <c r="I3631" s="1" t="inlineStr">
        <is>
          <t>มี</t>
        </is>
      </c>
      <c r="J3631" s="13" t="n">
        <v>49</v>
      </c>
      <c r="K3631" s="1" t="inlineStr"/>
      <c r="L3631" s="13" t="n">
        <v>49</v>
      </c>
      <c r="M3631" s="1">
        <f>IF(L3631="","ไม่พบใน SG",IF(ABS(J3631-L3631)&lt;0.005,"ตรงกัน","ไม่ตรง"))</f>
        <v/>
      </c>
      <c r="N3631" s="14">
        <f>IF(L3631="","",ROUND(L3631*'สรุป'!$C$6,-1))</f>
        <v/>
      </c>
      <c r="O3631" s="15" t="n"/>
      <c r="P3631" s="15" t="n"/>
      <c r="Q3631" s="10" t="n"/>
      <c r="R3631" s="10" t="n"/>
      <c r="S3631" s="16" t="inlineStr">
        <is>
          <t>https://mstgolf.co.th/products/gf2040117597</t>
        </is>
      </c>
      <c r="T3631" s="1">
        <f>IF(B3631="ไม้กอล์ฟ",J3631,"")</f>
        <v/>
      </c>
    </row>
    <row r="3632">
      <c r="A3632" s="1" t="n">
        <v>3</v>
      </c>
      <c r="B3632" s="1" t="inlineStr">
        <is>
          <t>เสื้อผ้า</t>
        </is>
      </c>
      <c r="C3632" s="1" t="inlineStr">
        <is>
          <t>gf2040117610</t>
        </is>
      </c>
      <c r="D3632" s="1" t="inlineStr">
        <is>
          <t>ADIDAS Essential Graphic Men's Polo (Carbon)</t>
        </is>
      </c>
      <c r="E3632" s="1" t="inlineStr">
        <is>
          <t>ADIDAS</t>
        </is>
      </c>
      <c r="F3632" s="1" t="inlineStr">
        <is>
          <t>SHORT SLEEVES</t>
        </is>
      </c>
      <c r="G3632" s="1" t="inlineStr">
        <is>
          <t>GF2040117610XS</t>
        </is>
      </c>
      <c r="H3632" s="1" t="n">
        <v>7</v>
      </c>
      <c r="I3632" s="1" t="inlineStr">
        <is>
          <t>มี</t>
        </is>
      </c>
      <c r="J3632" s="13" t="n">
        <v>49</v>
      </c>
      <c r="K3632" s="1" t="inlineStr"/>
      <c r="L3632" s="13" t="n">
        <v>49</v>
      </c>
      <c r="M3632" s="1">
        <f>IF(L3632="","ไม่พบใน SG",IF(ABS(J3632-L3632)&lt;0.005,"ตรงกัน","ไม่ตรง"))</f>
        <v/>
      </c>
      <c r="N3632" s="14">
        <f>IF(L3632="","",ROUND(L3632*'สรุป'!$C$6,-1))</f>
        <v/>
      </c>
      <c r="O3632" s="15" t="n"/>
      <c r="P3632" s="15" t="n"/>
      <c r="Q3632" s="10" t="n"/>
      <c r="R3632" s="10" t="n"/>
      <c r="S3632" s="16" t="inlineStr">
        <is>
          <t>https://mstgolf.co.th/products/gf2040117610</t>
        </is>
      </c>
      <c r="T3632" s="1">
        <f>IF(B3632="ไม้กอล์ฟ",J3632,"")</f>
        <v/>
      </c>
    </row>
    <row r="3633">
      <c r="A3633" s="1" t="n">
        <v>3</v>
      </c>
      <c r="B3633" s="1" t="inlineStr">
        <is>
          <t>เสื้อผ้า</t>
        </is>
      </c>
      <c r="C3633" s="1" t="inlineStr">
        <is>
          <t>gf2040117611</t>
        </is>
      </c>
      <c r="D3633" s="1" t="inlineStr">
        <is>
          <t>ADIDAS Essential Graphic Men's Polo (Green)</t>
        </is>
      </c>
      <c r="E3633" s="1" t="inlineStr">
        <is>
          <t>ADIDAS</t>
        </is>
      </c>
      <c r="F3633" s="1" t="inlineStr">
        <is>
          <t>SHORT SLEEVES</t>
        </is>
      </c>
      <c r="G3633" s="1" t="inlineStr">
        <is>
          <t>GF2040117611XS</t>
        </is>
      </c>
      <c r="H3633" s="1" t="n">
        <v>7</v>
      </c>
      <c r="I3633" s="1" t="inlineStr">
        <is>
          <t>มี</t>
        </is>
      </c>
      <c r="J3633" s="13" t="n">
        <v>49</v>
      </c>
      <c r="K3633" s="1" t="inlineStr"/>
      <c r="L3633" s="13" t="n">
        <v>49</v>
      </c>
      <c r="M3633" s="1">
        <f>IF(L3633="","ไม่พบใน SG",IF(ABS(J3633-L3633)&lt;0.005,"ตรงกัน","ไม่ตรง"))</f>
        <v/>
      </c>
      <c r="N3633" s="14">
        <f>IF(L3633="","",ROUND(L3633*'สรุป'!$C$6,-1))</f>
        <v/>
      </c>
      <c r="O3633" s="15" t="n"/>
      <c r="P3633" s="15" t="n"/>
      <c r="Q3633" s="10" t="n"/>
      <c r="R3633" s="10" t="n"/>
      <c r="S3633" s="16" t="inlineStr">
        <is>
          <t>https://mstgolf.co.th/products/gf2040117611</t>
        </is>
      </c>
      <c r="T3633" s="1">
        <f>IF(B3633="ไม้กอล์ฟ",J3633,"")</f>
        <v/>
      </c>
    </row>
    <row r="3634">
      <c r="A3634" s="1" t="n">
        <v>3</v>
      </c>
      <c r="B3634" s="1" t="inlineStr">
        <is>
          <t>เสื้อผ้า</t>
        </is>
      </c>
      <c r="C3634" s="1" t="inlineStr">
        <is>
          <t>gf2040115667</t>
        </is>
      </c>
      <c r="D3634" s="1" t="inlineStr">
        <is>
          <t>ADIDAS Floral Golf Dress (Coral Fusion)</t>
        </is>
      </c>
      <c r="E3634" s="1" t="inlineStr">
        <is>
          <t>ADIDAS</t>
        </is>
      </c>
      <c r="F3634" s="1" t="inlineStr">
        <is>
          <t>SHORT SLEEVES</t>
        </is>
      </c>
      <c r="G3634" s="1" t="inlineStr">
        <is>
          <t>GF20401156672XS</t>
        </is>
      </c>
      <c r="H3634" s="1" t="n">
        <v>7</v>
      </c>
      <c r="I3634" s="1" t="inlineStr">
        <is>
          <t>มี</t>
        </is>
      </c>
      <c r="J3634" s="13" t="n">
        <v>49</v>
      </c>
      <c r="K3634" s="1" t="inlineStr"/>
      <c r="L3634" s="13" t="n">
        <v>49</v>
      </c>
      <c r="M3634" s="1">
        <f>IF(L3634="","ไม่พบใน SG",IF(ABS(J3634-L3634)&lt;0.005,"ตรงกัน","ไม่ตรง"))</f>
        <v/>
      </c>
      <c r="N3634" s="14">
        <f>IF(L3634="","",ROUND(L3634*'สรุป'!$C$6,-1))</f>
        <v/>
      </c>
      <c r="O3634" s="15" t="n"/>
      <c r="P3634" s="15" t="n"/>
      <c r="Q3634" s="10" t="n"/>
      <c r="R3634" s="10" t="n"/>
      <c r="S3634" s="16" t="inlineStr">
        <is>
          <t>https://mstgolf.co.th/products/gf2040115667</t>
        </is>
      </c>
      <c r="T3634" s="1">
        <f>IF(B3634="ไม้กอล์ฟ",J3634,"")</f>
        <v/>
      </c>
    </row>
    <row r="3635">
      <c r="A3635" s="1" t="n">
        <v>3</v>
      </c>
      <c r="B3635" s="1" t="inlineStr">
        <is>
          <t>เสื้อผ้า</t>
        </is>
      </c>
      <c r="C3635" s="1" t="inlineStr">
        <is>
          <t>gf2020102252</t>
        </is>
      </c>
      <c r="D3635" s="1" t="inlineStr">
        <is>
          <t>ADIDAS Go-To 5 Pocket Men's Pants (Alumina)</t>
        </is>
      </c>
      <c r="E3635" s="1" t="inlineStr">
        <is>
          <t>ADIDAS</t>
        </is>
      </c>
      <c r="F3635" s="1" t="inlineStr">
        <is>
          <t>LONG PANTS</t>
        </is>
      </c>
      <c r="G3635" s="1" t="inlineStr">
        <is>
          <t>GF202010225273</t>
        </is>
      </c>
      <c r="H3635" s="1" t="n">
        <v>9</v>
      </c>
      <c r="I3635" s="1" t="inlineStr">
        <is>
          <t>มี</t>
        </is>
      </c>
      <c r="J3635" s="13" t="n">
        <v>49</v>
      </c>
      <c r="K3635" s="1" t="inlineStr"/>
      <c r="L3635" s="13" t="n">
        <v>49</v>
      </c>
      <c r="M3635" s="1">
        <f>IF(L3635="","ไม่พบใน SG",IF(ABS(J3635-L3635)&lt;0.005,"ตรงกัน","ไม่ตรง"))</f>
        <v/>
      </c>
      <c r="N3635" s="14">
        <f>IF(L3635="","",ROUND(L3635*'สรุป'!$C$6,-1))</f>
        <v/>
      </c>
      <c r="O3635" s="15" t="n"/>
      <c r="P3635" s="15" t="n"/>
      <c r="Q3635" s="10" t="n"/>
      <c r="R3635" s="10" t="n"/>
      <c r="S3635" s="16" t="inlineStr">
        <is>
          <t>https://mstgolf.co.th/products/gf2020102252</t>
        </is>
      </c>
      <c r="T3635" s="1">
        <f>IF(B3635="ไม้กอล์ฟ",J3635,"")</f>
        <v/>
      </c>
    </row>
    <row r="3636">
      <c r="A3636" s="1" t="n">
        <v>3</v>
      </c>
      <c r="B3636" s="1" t="inlineStr">
        <is>
          <t>เสื้อผ้า</t>
        </is>
      </c>
      <c r="C3636" s="1" t="inlineStr">
        <is>
          <t>gf2020102123</t>
        </is>
      </c>
      <c r="D3636" s="1" t="inlineStr">
        <is>
          <t>ADIDAS Go-To 5 Pocket Men's Pants (Brown)</t>
        </is>
      </c>
      <c r="E3636" s="1" t="inlineStr">
        <is>
          <t>ADIDAS</t>
        </is>
      </c>
      <c r="F3636" s="1" t="inlineStr">
        <is>
          <t>LONG PANTS</t>
        </is>
      </c>
      <c r="G3636" s="1" t="inlineStr">
        <is>
          <t>GF202010212373</t>
        </is>
      </c>
      <c r="H3636" s="1" t="n">
        <v>7</v>
      </c>
      <c r="I3636" s="1" t="inlineStr">
        <is>
          <t>มี</t>
        </is>
      </c>
      <c r="J3636" s="13" t="n">
        <v>49</v>
      </c>
      <c r="K3636" s="1" t="inlineStr"/>
      <c r="L3636" s="13" t="n">
        <v>49</v>
      </c>
      <c r="M3636" s="1">
        <f>IF(L3636="","ไม่พบใน SG",IF(ABS(J3636-L3636)&lt;0.005,"ตรงกัน","ไม่ตรง"))</f>
        <v/>
      </c>
      <c r="N3636" s="14">
        <f>IF(L3636="","",ROUND(L3636*'สรุป'!$C$6,-1))</f>
        <v/>
      </c>
      <c r="O3636" s="15" t="n"/>
      <c r="P3636" s="15" t="n"/>
      <c r="Q3636" s="10" t="n"/>
      <c r="R3636" s="10" t="n"/>
      <c r="S3636" s="16" t="inlineStr">
        <is>
          <t>https://mstgolf.co.th/products/gf2020102123</t>
        </is>
      </c>
      <c r="T3636" s="1">
        <f>IF(B3636="ไม้กอล์ฟ",J3636,"")</f>
        <v/>
      </c>
    </row>
    <row r="3637">
      <c r="A3637" s="1" t="n">
        <v>3</v>
      </c>
      <c r="B3637" s="1" t="inlineStr">
        <is>
          <t>เสื้อผ้า</t>
        </is>
      </c>
      <c r="C3637" s="1" t="inlineStr">
        <is>
          <t>gf2020102253</t>
        </is>
      </c>
      <c r="D3637" s="1" t="inlineStr">
        <is>
          <t>ADIDAS Go-To Progressive Men's Pants (Black)</t>
        </is>
      </c>
      <c r="E3637" s="1" t="inlineStr">
        <is>
          <t>ADIDAS</t>
        </is>
      </c>
      <c r="F3637" s="1" t="inlineStr">
        <is>
          <t>LONG PANTS</t>
        </is>
      </c>
      <c r="G3637" s="1" t="inlineStr">
        <is>
          <t>GF202010225373</t>
        </is>
      </c>
      <c r="H3637" s="1" t="n">
        <v>9</v>
      </c>
      <c r="I3637" s="1" t="inlineStr">
        <is>
          <t>มี</t>
        </is>
      </c>
      <c r="J3637" s="13" t="n">
        <v>49</v>
      </c>
      <c r="K3637" s="1" t="inlineStr"/>
      <c r="L3637" s="13" t="n">
        <v>49</v>
      </c>
      <c r="M3637" s="1">
        <f>IF(L3637="","ไม่พบใน SG",IF(ABS(J3637-L3637)&lt;0.005,"ตรงกัน","ไม่ตรง"))</f>
        <v/>
      </c>
      <c r="N3637" s="14">
        <f>IF(L3637="","",ROUND(L3637*'สรุป'!$C$6,-1))</f>
        <v/>
      </c>
      <c r="O3637" s="15" t="n"/>
      <c r="P3637" s="15" t="n"/>
      <c r="Q3637" s="10" t="n"/>
      <c r="R3637" s="10" t="n"/>
      <c r="S3637" s="16" t="inlineStr">
        <is>
          <t>https://mstgolf.co.th/products/gf2020102253</t>
        </is>
      </c>
      <c r="T3637" s="1">
        <f>IF(B3637="ไม้กอล์ฟ",J3637,"")</f>
        <v/>
      </c>
    </row>
    <row r="3638">
      <c r="A3638" s="1" t="n">
        <v>3</v>
      </c>
      <c r="B3638" s="1" t="inlineStr">
        <is>
          <t>เสื้อผ้า</t>
        </is>
      </c>
      <c r="C3638" s="1" t="inlineStr">
        <is>
          <t>gf2020202388</t>
        </is>
      </c>
      <c r="D3638" s="1" t="inlineStr">
        <is>
          <t>ADIDAS Graphic Skirt (Black)</t>
        </is>
      </c>
      <c r="E3638" s="1" t="inlineStr">
        <is>
          <t>ADIDAS</t>
        </is>
      </c>
      <c r="F3638" s="1" t="inlineStr">
        <is>
          <t>SHORT PANTS</t>
        </is>
      </c>
      <c r="G3638" s="1" t="inlineStr">
        <is>
          <t>GF2020202388XS</t>
        </is>
      </c>
      <c r="H3638" s="1" t="n">
        <v>6</v>
      </c>
      <c r="I3638" s="1" t="inlineStr">
        <is>
          <t>มี</t>
        </is>
      </c>
      <c r="J3638" s="13" t="n">
        <v>49</v>
      </c>
      <c r="K3638" s="1" t="inlineStr"/>
      <c r="L3638" s="13" t="n"/>
      <c r="M3638" s="1">
        <f>IF(L3638="","ไม่พบใน SG",IF(ABS(J3638-L3638)&lt;0.005,"ตรงกัน","ไม่ตรง"))</f>
        <v/>
      </c>
      <c r="N3638" s="14">
        <f>IF(L3638="","",ROUND(L3638*'สรุป'!$C$6,-1))</f>
        <v/>
      </c>
      <c r="O3638" s="15" t="n"/>
      <c r="P3638" s="15" t="n"/>
      <c r="Q3638" s="10" t="n"/>
      <c r="R3638" s="10" t="n"/>
      <c r="S3638" s="16" t="inlineStr">
        <is>
          <t>https://mstgolf.co.th/products/gf2020202388</t>
        </is>
      </c>
      <c r="T3638" s="1">
        <f>IF(B3638="ไม้กอล์ฟ",J3638,"")</f>
        <v/>
      </c>
    </row>
    <row r="3639">
      <c r="A3639" s="1" t="n">
        <v>3</v>
      </c>
      <c r="B3639" s="1" t="inlineStr">
        <is>
          <t>เสื้อผ้า</t>
        </is>
      </c>
      <c r="C3639" s="1" t="inlineStr">
        <is>
          <t>gf2020202387</t>
        </is>
      </c>
      <c r="D3639" s="1" t="inlineStr">
        <is>
          <t>ADIDAS Graphic Skirt (Red)</t>
        </is>
      </c>
      <c r="E3639" s="1" t="inlineStr">
        <is>
          <t>ADIDAS</t>
        </is>
      </c>
      <c r="F3639" s="1" t="inlineStr">
        <is>
          <t>SHORT PANTS</t>
        </is>
      </c>
      <c r="G3639" s="1" t="inlineStr">
        <is>
          <t>GF2020202387XS</t>
        </is>
      </c>
      <c r="H3639" s="1" t="n">
        <v>6</v>
      </c>
      <c r="I3639" s="1" t="inlineStr">
        <is>
          <t>มี</t>
        </is>
      </c>
      <c r="J3639" s="13" t="n">
        <v>49</v>
      </c>
      <c r="K3639" s="1" t="inlineStr"/>
      <c r="L3639" s="13" t="n"/>
      <c r="M3639" s="1">
        <f>IF(L3639="","ไม่พบใน SG",IF(ABS(J3639-L3639)&lt;0.005,"ตรงกัน","ไม่ตรง"))</f>
        <v/>
      </c>
      <c r="N3639" s="14">
        <f>IF(L3639="","",ROUND(L3639*'สรุป'!$C$6,-1))</f>
        <v/>
      </c>
      <c r="O3639" s="15" t="n"/>
      <c r="P3639" s="15" t="n"/>
      <c r="Q3639" s="10" t="n"/>
      <c r="R3639" s="10" t="n"/>
      <c r="S3639" s="16" t="inlineStr">
        <is>
          <t>https://mstgolf.co.th/products/gf2020202387</t>
        </is>
      </c>
      <c r="T3639" s="1">
        <f>IF(B3639="ไม้กอล์ฟ",J3639,"")</f>
        <v/>
      </c>
    </row>
    <row r="3640">
      <c r="A3640" s="1" t="n">
        <v>3</v>
      </c>
      <c r="B3640" s="1" t="inlineStr">
        <is>
          <t>เสื้อผ้า</t>
        </is>
      </c>
      <c r="C3640" s="1" t="inlineStr">
        <is>
          <t>gf2040401061</t>
        </is>
      </c>
      <c r="D3640" s="1" t="inlineStr">
        <is>
          <t>ADIDAS Long Sleeve Golf Dress (Aqua)</t>
        </is>
      </c>
      <c r="E3640" s="1" t="inlineStr">
        <is>
          <t>ADIDAS</t>
        </is>
      </c>
      <c r="F3640" s="1" t="inlineStr">
        <is>
          <t>LONG SLEEVES</t>
        </is>
      </c>
      <c r="G3640" s="1" t="inlineStr">
        <is>
          <t>GF20404010612XS</t>
        </is>
      </c>
      <c r="H3640" s="1" t="n">
        <v>7</v>
      </c>
      <c r="I3640" s="1" t="inlineStr">
        <is>
          <t>มี</t>
        </is>
      </c>
      <c r="J3640" s="13" t="n">
        <v>49</v>
      </c>
      <c r="K3640" s="1" t="inlineStr"/>
      <c r="L3640" s="13" t="n">
        <v>49</v>
      </c>
      <c r="M3640" s="1">
        <f>IF(L3640="","ไม่พบใน SG",IF(ABS(J3640-L3640)&lt;0.005,"ตรงกัน","ไม่ตรง"))</f>
        <v/>
      </c>
      <c r="N3640" s="14">
        <f>IF(L3640="","",ROUND(L3640*'สรุป'!$C$6,-1))</f>
        <v/>
      </c>
      <c r="O3640" s="15" t="n"/>
      <c r="P3640" s="15" t="n"/>
      <c r="Q3640" s="10" t="n"/>
      <c r="R3640" s="10" t="n"/>
      <c r="S3640" s="16" t="inlineStr">
        <is>
          <t>https://mstgolf.co.th/products/gf2040401061</t>
        </is>
      </c>
      <c r="T3640" s="1">
        <f>IF(B3640="ไม้กอล์ฟ",J3640,"")</f>
        <v/>
      </c>
    </row>
    <row r="3641">
      <c r="A3641" s="1" t="n">
        <v>3</v>
      </c>
      <c r="B3641" s="1" t="inlineStr">
        <is>
          <t>เสื้อผ้า</t>
        </is>
      </c>
      <c r="C3641" s="1" t="inlineStr">
        <is>
          <t>gf2040115668</t>
        </is>
      </c>
      <c r="D3641" s="1" t="inlineStr">
        <is>
          <t>ADIDAS Marimekko Golf Dress (Black)</t>
        </is>
      </c>
      <c r="E3641" s="1" t="inlineStr">
        <is>
          <t>ADIDAS</t>
        </is>
      </c>
      <c r="F3641" s="1" t="inlineStr">
        <is>
          <t>SHORT SLEEVES</t>
        </is>
      </c>
      <c r="G3641" s="1" t="inlineStr">
        <is>
          <t>GF20401156682XS</t>
        </is>
      </c>
      <c r="H3641" s="1" t="n">
        <v>7</v>
      </c>
      <c r="I3641" s="1" t="inlineStr">
        <is>
          <t>มี</t>
        </is>
      </c>
      <c r="J3641" s="13" t="n">
        <v>49</v>
      </c>
      <c r="K3641" s="1" t="inlineStr"/>
      <c r="L3641" s="13" t="n">
        <v>49</v>
      </c>
      <c r="M3641" s="1">
        <f>IF(L3641="","ไม่พบใน SG",IF(ABS(J3641-L3641)&lt;0.005,"ตรงกัน","ไม่ตรง"))</f>
        <v/>
      </c>
      <c r="N3641" s="14">
        <f>IF(L3641="","",ROUND(L3641*'สรุป'!$C$6,-1))</f>
        <v/>
      </c>
      <c r="O3641" s="15" t="n"/>
      <c r="P3641" s="15" t="n"/>
      <c r="Q3641" s="10" t="n"/>
      <c r="R3641" s="10" t="n"/>
      <c r="S3641" s="16" t="inlineStr">
        <is>
          <t>https://mstgolf.co.th/products/gf2040115668</t>
        </is>
      </c>
      <c r="T3641" s="1">
        <f>IF(B3641="ไม้กอล์ฟ",J3641,"")</f>
        <v/>
      </c>
    </row>
    <row r="3642">
      <c r="A3642" s="1" t="n">
        <v>3</v>
      </c>
      <c r="B3642" s="1" t="inlineStr">
        <is>
          <t>เสื้อผ้า</t>
        </is>
      </c>
      <c r="C3642" s="1" t="inlineStr">
        <is>
          <t>gf2020102121</t>
        </is>
      </c>
      <c r="D3642" s="1" t="inlineStr">
        <is>
          <t>ADIDAS Men's Golf Pants (Black)</t>
        </is>
      </c>
      <c r="E3642" s="1" t="inlineStr">
        <is>
          <t>ADIDAS</t>
        </is>
      </c>
      <c r="F3642" s="1" t="inlineStr">
        <is>
          <t>LONG PANTS</t>
        </is>
      </c>
      <c r="G3642" s="1" t="inlineStr">
        <is>
          <t>GF2020102121XS</t>
        </is>
      </c>
      <c r="H3642" s="1" t="n">
        <v>5</v>
      </c>
      <c r="I3642" s="1" t="inlineStr">
        <is>
          <t>มี</t>
        </is>
      </c>
      <c r="J3642" s="13" t="n">
        <v>49</v>
      </c>
      <c r="K3642" s="1" t="inlineStr"/>
      <c r="L3642" s="13" t="n">
        <v>49</v>
      </c>
      <c r="M3642" s="1">
        <f>IF(L3642="","ไม่พบใน SG",IF(ABS(J3642-L3642)&lt;0.005,"ตรงกัน","ไม่ตรง"))</f>
        <v/>
      </c>
      <c r="N3642" s="14">
        <f>IF(L3642="","",ROUND(L3642*'สรุป'!$C$6,-1))</f>
        <v/>
      </c>
      <c r="O3642" s="15" t="n"/>
      <c r="P3642" s="15" t="n"/>
      <c r="Q3642" s="10" t="n"/>
      <c r="R3642" s="10" t="n"/>
      <c r="S3642" s="16" t="inlineStr">
        <is>
          <t>https://mstgolf.co.th/products/gf2020102121</t>
        </is>
      </c>
      <c r="T3642" s="1">
        <f>IF(B3642="ไม้กอล์ฟ",J3642,"")</f>
        <v/>
      </c>
    </row>
    <row r="3643">
      <c r="A3643" s="1" t="n">
        <v>3</v>
      </c>
      <c r="B3643" s="1" t="inlineStr">
        <is>
          <t>เสื้อผ้า</t>
        </is>
      </c>
      <c r="C3643" s="1" t="inlineStr">
        <is>
          <t>gf2020102377</t>
        </is>
      </c>
      <c r="D3643" s="1" t="inlineStr">
        <is>
          <t>ADIDAS Men's Twill Pants (White)</t>
        </is>
      </c>
      <c r="E3643" s="1" t="inlineStr">
        <is>
          <t>ADIDAS</t>
        </is>
      </c>
      <c r="F3643" s="1" t="inlineStr">
        <is>
          <t>LONG PANTS</t>
        </is>
      </c>
      <c r="G3643" s="1" t="inlineStr">
        <is>
          <t>GF202010237773</t>
        </is>
      </c>
      <c r="H3643" s="1" t="n">
        <v>8</v>
      </c>
      <c r="I3643" s="1" t="inlineStr">
        <is>
          <t>มี</t>
        </is>
      </c>
      <c r="J3643" s="13" t="n">
        <v>49</v>
      </c>
      <c r="K3643" s="1" t="inlineStr"/>
      <c r="L3643" s="13" t="n"/>
      <c r="M3643" s="1">
        <f>IF(L3643="","ไม่พบใน SG",IF(ABS(J3643-L3643)&lt;0.005,"ตรงกัน","ไม่ตรง"))</f>
        <v/>
      </c>
      <c r="N3643" s="14">
        <f>IF(L3643="","",ROUND(L3643*'สรุป'!$C$6,-1))</f>
        <v/>
      </c>
      <c r="O3643" s="15" t="n"/>
      <c r="P3643" s="15" t="n"/>
      <c r="Q3643" s="10" t="n"/>
      <c r="R3643" s="10" t="n"/>
      <c r="S3643" s="16" t="inlineStr">
        <is>
          <t>https://mstgolf.co.th/products/gf2020102377</t>
        </is>
      </c>
      <c r="T3643" s="1">
        <f>IF(B3643="ไม้กอล์ฟ",J3643,"")</f>
        <v/>
      </c>
    </row>
    <row r="3644">
      <c r="A3644" s="1" t="n">
        <v>3</v>
      </c>
      <c r="B3644" s="1" t="inlineStr">
        <is>
          <t>เสื้อผ้า</t>
        </is>
      </c>
      <c r="C3644" s="1" t="inlineStr">
        <is>
          <t>gf2070400101</t>
        </is>
      </c>
      <c r="D3644" s="1" t="inlineStr">
        <is>
          <t>ADIDAS Mock Neck Baselayer Inner Men's Long Sleeve Shirt (Black)</t>
        </is>
      </c>
      <c r="E3644" s="1" t="inlineStr">
        <is>
          <t>ADIDAS</t>
        </is>
      </c>
      <c r="F3644" s="1" t="inlineStr">
        <is>
          <t>SHIRT</t>
        </is>
      </c>
      <c r="G3644" s="1" t="inlineStr">
        <is>
          <t>GF2070400101S</t>
        </is>
      </c>
      <c r="H3644" s="1" t="n">
        <v>6</v>
      </c>
      <c r="I3644" s="1" t="inlineStr">
        <is>
          <t>มี</t>
        </is>
      </c>
      <c r="J3644" s="13" t="n">
        <v>49</v>
      </c>
      <c r="K3644" s="1" t="inlineStr"/>
      <c r="L3644" s="13" t="n">
        <v>49</v>
      </c>
      <c r="M3644" s="1">
        <f>IF(L3644="","ไม่พบใน SG",IF(ABS(J3644-L3644)&lt;0.005,"ตรงกัน","ไม่ตรง"))</f>
        <v/>
      </c>
      <c r="N3644" s="14">
        <f>IF(L3644="","",ROUND(L3644*'สรุป'!$C$6,-1))</f>
        <v/>
      </c>
      <c r="O3644" s="15" t="n"/>
      <c r="P3644" s="15" t="n"/>
      <c r="Q3644" s="10" t="n"/>
      <c r="R3644" s="10" t="n"/>
      <c r="S3644" s="16" t="inlineStr">
        <is>
          <t>https://mstgolf.co.th/products/gf2070400101</t>
        </is>
      </c>
      <c r="T3644" s="1">
        <f>IF(B3644="ไม้กอล์ฟ",J3644,"")</f>
        <v/>
      </c>
    </row>
    <row r="3645">
      <c r="A3645" s="1" t="n">
        <v>3</v>
      </c>
      <c r="B3645" s="1" t="inlineStr">
        <is>
          <t>เสื้อผ้า</t>
        </is>
      </c>
      <c r="C3645" s="1" t="inlineStr">
        <is>
          <t>gf2040300173</t>
        </is>
      </c>
      <c r="D3645" s="1" t="inlineStr">
        <is>
          <t>ADIDAS Pique Club Junior Dress (Pink)</t>
        </is>
      </c>
      <c r="E3645" s="1" t="inlineStr">
        <is>
          <t>ADIDAS</t>
        </is>
      </c>
      <c r="F3645" s="1" t="inlineStr">
        <is>
          <t>DRESS</t>
        </is>
      </c>
      <c r="G3645" s="1" t="inlineStr">
        <is>
          <t>GF2040300173128</t>
        </is>
      </c>
      <c r="H3645" s="1" t="n">
        <v>5</v>
      </c>
      <c r="I3645" s="1" t="inlineStr">
        <is>
          <t>มี</t>
        </is>
      </c>
      <c r="J3645" s="13" t="n">
        <v>49</v>
      </c>
      <c r="K3645" s="1" t="inlineStr"/>
      <c r="L3645" s="13" t="n">
        <v>49</v>
      </c>
      <c r="M3645" s="1">
        <f>IF(L3645="","ไม่พบใน SG",IF(ABS(J3645-L3645)&lt;0.005,"ตรงกัน","ไม่ตรง"))</f>
        <v/>
      </c>
      <c r="N3645" s="14">
        <f>IF(L3645="","",ROUND(L3645*'สรุป'!$C$6,-1))</f>
        <v/>
      </c>
      <c r="O3645" s="15" t="n"/>
      <c r="P3645" s="15" t="n"/>
      <c r="Q3645" s="10" t="n"/>
      <c r="R3645" s="10" t="n"/>
      <c r="S3645" s="16" t="inlineStr">
        <is>
          <t>https://mstgolf.co.th/products/gf2040300173</t>
        </is>
      </c>
      <c r="T3645" s="1">
        <f>IF(B3645="ไม้กอล์ฟ",J3645,"")</f>
        <v/>
      </c>
    </row>
    <row r="3646">
      <c r="A3646" s="1" t="n">
        <v>3</v>
      </c>
      <c r="B3646" s="1" t="inlineStr">
        <is>
          <t>เสื้อผ้า</t>
        </is>
      </c>
      <c r="C3646" s="1" t="inlineStr">
        <is>
          <t>gf2040115761</t>
        </is>
      </c>
      <c r="D3646" s="1" t="inlineStr">
        <is>
          <t>ADIDAS Play Green Monogram Men's Polo (Green)</t>
        </is>
      </c>
      <c r="E3646" s="1" t="inlineStr">
        <is>
          <t>ADIDAS</t>
        </is>
      </c>
      <c r="F3646" s="1" t="inlineStr">
        <is>
          <t>SHORT SLEEVES</t>
        </is>
      </c>
      <c r="G3646" s="1" t="inlineStr">
        <is>
          <t>GF2040115761XS</t>
        </is>
      </c>
      <c r="H3646" s="1" t="n">
        <v>6</v>
      </c>
      <c r="I3646" s="1" t="inlineStr">
        <is>
          <t>มี</t>
        </is>
      </c>
      <c r="J3646" s="13" t="n">
        <v>49</v>
      </c>
      <c r="K3646" s="1" t="inlineStr"/>
      <c r="L3646" s="13" t="n">
        <v>49</v>
      </c>
      <c r="M3646" s="1">
        <f>IF(L3646="","ไม่พบใน SG",IF(ABS(J3646-L3646)&lt;0.005,"ตรงกัน","ไม่ตรง"))</f>
        <v/>
      </c>
      <c r="N3646" s="14">
        <f>IF(L3646="","",ROUND(L3646*'สรุป'!$C$6,-1))</f>
        <v/>
      </c>
      <c r="O3646" s="15" t="n"/>
      <c r="P3646" s="15" t="n"/>
      <c r="Q3646" s="10" t="n"/>
      <c r="R3646" s="10" t="n"/>
      <c r="S3646" s="16" t="inlineStr">
        <is>
          <t>https://mstgolf.co.th/products/gf2040115761</t>
        </is>
      </c>
      <c r="T3646" s="1">
        <f>IF(B3646="ไม้กอล์ฟ",J3646,"")</f>
        <v/>
      </c>
    </row>
    <row r="3647">
      <c r="A3647" s="1" t="n">
        <v>3</v>
      </c>
      <c r="B3647" s="1" t="inlineStr">
        <is>
          <t>เสื้อผ้า</t>
        </is>
      </c>
      <c r="C3647" s="1" t="inlineStr">
        <is>
          <t>gf2040115760</t>
        </is>
      </c>
      <c r="D3647" s="1" t="inlineStr">
        <is>
          <t>ADIDAS Play Green Monogram Men's Polo (White)</t>
        </is>
      </c>
      <c r="E3647" s="1" t="inlineStr">
        <is>
          <t>ADIDAS</t>
        </is>
      </c>
      <c r="F3647" s="1" t="inlineStr">
        <is>
          <t>SHORT SLEEVES</t>
        </is>
      </c>
      <c r="G3647" s="1" t="inlineStr">
        <is>
          <t>GF2040115760XS</t>
        </is>
      </c>
      <c r="H3647" s="1" t="n">
        <v>6</v>
      </c>
      <c r="I3647" s="1" t="inlineStr">
        <is>
          <t>มี</t>
        </is>
      </c>
      <c r="J3647" s="13" t="n">
        <v>49</v>
      </c>
      <c r="K3647" s="1" t="inlineStr"/>
      <c r="L3647" s="13" t="n">
        <v>49</v>
      </c>
      <c r="M3647" s="1">
        <f>IF(L3647="","ไม่พบใน SG",IF(ABS(J3647-L3647)&lt;0.005,"ตรงกัน","ไม่ตรง"))</f>
        <v/>
      </c>
      <c r="N3647" s="14">
        <f>IF(L3647="","",ROUND(L3647*'สรุป'!$C$6,-1))</f>
        <v/>
      </c>
      <c r="O3647" s="15" t="n"/>
      <c r="P3647" s="15" t="n"/>
      <c r="Q3647" s="10" t="n"/>
      <c r="R3647" s="10" t="n"/>
      <c r="S3647" s="16" t="inlineStr">
        <is>
          <t>https://mstgolf.co.th/products/gf2040115760</t>
        </is>
      </c>
      <c r="T3647" s="1">
        <f>IF(B3647="ไม้กอล์ฟ",J3647,"")</f>
        <v/>
      </c>
    </row>
    <row r="3648">
      <c r="A3648" s="1" t="n">
        <v>3</v>
      </c>
      <c r="B3648" s="1" t="inlineStr">
        <is>
          <t>เสื้อผ้า</t>
        </is>
      </c>
      <c r="C3648" s="1" t="inlineStr">
        <is>
          <t>gf2020202360</t>
        </is>
      </c>
      <c r="D3648" s="1" t="inlineStr">
        <is>
          <t>ADIDAS Playgreen Allover Print Men's Shorts (Blue)</t>
        </is>
      </c>
      <c r="E3648" s="1" t="inlineStr">
        <is>
          <t>ADIDAS</t>
        </is>
      </c>
      <c r="F3648" s="1" t="inlineStr">
        <is>
          <t>SHORT PANTS</t>
        </is>
      </c>
      <c r="G3648" s="1" t="inlineStr">
        <is>
          <t>GF202020236073</t>
        </is>
      </c>
      <c r="H3648" s="1" t="n">
        <v>9</v>
      </c>
      <c r="I3648" s="1" t="inlineStr">
        <is>
          <t>มี</t>
        </is>
      </c>
      <c r="J3648" s="13" t="n">
        <v>49</v>
      </c>
      <c r="K3648" s="1" t="inlineStr"/>
      <c r="L3648" s="13" t="n">
        <v>49</v>
      </c>
      <c r="M3648" s="1">
        <f>IF(L3648="","ไม่พบใน SG",IF(ABS(J3648-L3648)&lt;0.005,"ตรงกัน","ไม่ตรง"))</f>
        <v/>
      </c>
      <c r="N3648" s="14">
        <f>IF(L3648="","",ROUND(L3648*'สรุป'!$C$6,-1))</f>
        <v/>
      </c>
      <c r="O3648" s="15" t="n"/>
      <c r="P3648" s="15" t="n"/>
      <c r="Q3648" s="10" t="n"/>
      <c r="R3648" s="10" t="n"/>
      <c r="S3648" s="16" t="inlineStr">
        <is>
          <t>https://mstgolf.co.th/products/gf2020202360</t>
        </is>
      </c>
      <c r="T3648" s="1">
        <f>IF(B3648="ไม้กอล์ฟ",J3648,"")</f>
        <v/>
      </c>
    </row>
    <row r="3649">
      <c r="A3649" s="1" t="n">
        <v>3</v>
      </c>
      <c r="B3649" s="1" t="inlineStr">
        <is>
          <t>เสื้อผ้า</t>
        </is>
      </c>
      <c r="C3649" s="1" t="inlineStr">
        <is>
          <t>gf2020202361</t>
        </is>
      </c>
      <c r="D3649" s="1" t="inlineStr">
        <is>
          <t>ADIDAS Playgreen Allover Print Men's Shorts (Navy)</t>
        </is>
      </c>
      <c r="E3649" s="1" t="inlineStr">
        <is>
          <t>ADIDAS</t>
        </is>
      </c>
      <c r="F3649" s="1" t="inlineStr">
        <is>
          <t>SHORT PANTS</t>
        </is>
      </c>
      <c r="G3649" s="1" t="inlineStr">
        <is>
          <t>GF202020236173</t>
        </is>
      </c>
      <c r="H3649" s="1" t="n">
        <v>9</v>
      </c>
      <c r="I3649" s="1" t="inlineStr">
        <is>
          <t>มี</t>
        </is>
      </c>
      <c r="J3649" s="13" t="n">
        <v>49</v>
      </c>
      <c r="K3649" s="1" t="inlineStr"/>
      <c r="L3649" s="13" t="n">
        <v>49</v>
      </c>
      <c r="M3649" s="1">
        <f>IF(L3649="","ไม่พบใน SG",IF(ABS(J3649-L3649)&lt;0.005,"ตรงกัน","ไม่ตรง"))</f>
        <v/>
      </c>
      <c r="N3649" s="14">
        <f>IF(L3649="","",ROUND(L3649*'สรุป'!$C$6,-1))</f>
        <v/>
      </c>
      <c r="O3649" s="15" t="n"/>
      <c r="P3649" s="15" t="n"/>
      <c r="Q3649" s="10" t="n"/>
      <c r="R3649" s="10" t="n"/>
      <c r="S3649" s="16" t="inlineStr">
        <is>
          <t>https://mstgolf.co.th/products/gf2020202361</t>
        </is>
      </c>
      <c r="T3649" s="1">
        <f>IF(B3649="ไม้กอล์ฟ",J3649,"")</f>
        <v/>
      </c>
    </row>
    <row r="3650">
      <c r="A3650" s="1" t="n">
        <v>3</v>
      </c>
      <c r="B3650" s="1" t="inlineStr">
        <is>
          <t>เสื้อผ้า</t>
        </is>
      </c>
      <c r="C3650" s="1" t="inlineStr">
        <is>
          <t>gf2020202389</t>
        </is>
      </c>
      <c r="D3650" s="1" t="inlineStr">
        <is>
          <t>ADIDAS Playgreen Graphic Skirt (Blue)</t>
        </is>
      </c>
      <c r="E3650" s="1" t="inlineStr">
        <is>
          <t>ADIDAS</t>
        </is>
      </c>
      <c r="F3650" s="1" t="inlineStr">
        <is>
          <t>SHORT PANTS</t>
        </is>
      </c>
      <c r="G3650" s="1" t="inlineStr">
        <is>
          <t>GF2020202389XS</t>
        </is>
      </c>
      <c r="H3650" s="1" t="n">
        <v>6</v>
      </c>
      <c r="I3650" s="1" t="inlineStr">
        <is>
          <t>มี</t>
        </is>
      </c>
      <c r="J3650" s="13" t="n">
        <v>49</v>
      </c>
      <c r="K3650" s="1" t="inlineStr"/>
      <c r="L3650" s="13" t="n"/>
      <c r="M3650" s="1">
        <f>IF(L3650="","ไม่พบใน SG",IF(ABS(J3650-L3650)&lt;0.005,"ตรงกัน","ไม่ตรง"))</f>
        <v/>
      </c>
      <c r="N3650" s="14">
        <f>IF(L3650="","",ROUND(L3650*'สรุป'!$C$6,-1))</f>
        <v/>
      </c>
      <c r="O3650" s="15" t="n"/>
      <c r="P3650" s="15" t="n"/>
      <c r="Q3650" s="10" t="n"/>
      <c r="R3650" s="10" t="n"/>
      <c r="S3650" s="16" t="inlineStr">
        <is>
          <t>https://mstgolf.co.th/products/gf2020202389</t>
        </is>
      </c>
      <c r="T3650" s="1">
        <f>IF(B3650="ไม้กอล์ฟ",J3650,"")</f>
        <v/>
      </c>
    </row>
    <row r="3651">
      <c r="A3651" s="1" t="n">
        <v>3</v>
      </c>
      <c r="B3651" s="1" t="inlineStr">
        <is>
          <t>เสื้อผ้า</t>
        </is>
      </c>
      <c r="C3651" s="1" t="inlineStr">
        <is>
          <t>gf2040120562</t>
        </is>
      </c>
      <c r="D3651" s="1" t="inlineStr">
        <is>
          <t>ADIDAS Ultimate365 Printed Women's Sleeveless Polo (White)</t>
        </is>
      </c>
      <c r="E3651" s="1" t="inlineStr">
        <is>
          <t>ADIDAS</t>
        </is>
      </c>
      <c r="F3651" s="1" t="inlineStr">
        <is>
          <t>SHORT SLEEVES</t>
        </is>
      </c>
      <c r="G3651" s="1" t="inlineStr">
        <is>
          <t>GF20401205622XS</t>
        </is>
      </c>
      <c r="H3651" s="1" t="n">
        <v>6</v>
      </c>
      <c r="I3651" s="1" t="inlineStr">
        <is>
          <t>มี</t>
        </is>
      </c>
      <c r="J3651" s="13" t="n">
        <v>49</v>
      </c>
      <c r="K3651" s="1" t="inlineStr"/>
      <c r="L3651" s="13" t="n">
        <v>34</v>
      </c>
      <c r="M3651" s="1">
        <f>IF(L3651="","ไม่พบใน SG",IF(ABS(J3651-L3651)&lt;0.005,"ตรงกัน","ไม่ตรง"))</f>
        <v/>
      </c>
      <c r="N3651" s="14">
        <f>IF(L3651="","",ROUND(L3651*'สรุป'!$C$6,-1))</f>
        <v/>
      </c>
      <c r="O3651" s="15" t="n"/>
      <c r="P3651" s="15" t="n"/>
      <c r="Q3651" s="10" t="n"/>
      <c r="R3651" s="10" t="n"/>
      <c r="S3651" s="16" t="inlineStr">
        <is>
          <t>https://mstgolf.co.th/products/gf2040120562</t>
        </is>
      </c>
      <c r="T3651" s="1">
        <f>IF(B3651="ไม้กอล์ฟ",J3651,"")</f>
        <v/>
      </c>
    </row>
    <row r="3652">
      <c r="A3652" s="1" t="n">
        <v>3</v>
      </c>
      <c r="B3652" s="1" t="inlineStr">
        <is>
          <t>เสื้อผ้า</t>
        </is>
      </c>
      <c r="C3652" s="1" t="inlineStr">
        <is>
          <t>gf2040116591</t>
        </is>
      </c>
      <c r="D3652" s="1" t="inlineStr">
        <is>
          <t>ADIDAS Ultimate365 Tapered HEAT.RDY Men's Polo (Blue)</t>
        </is>
      </c>
      <c r="E3652" s="1" t="inlineStr">
        <is>
          <t>ADIDAS</t>
        </is>
      </c>
      <c r="F3652" s="1" t="inlineStr">
        <is>
          <t>SHORT SLEEVES</t>
        </is>
      </c>
      <c r="G3652" s="1" t="inlineStr">
        <is>
          <t>GF2040116591XS</t>
        </is>
      </c>
      <c r="H3652" s="1" t="n">
        <v>7</v>
      </c>
      <c r="I3652" s="1" t="inlineStr">
        <is>
          <t>มี</t>
        </is>
      </c>
      <c r="J3652" s="13" t="n">
        <v>49</v>
      </c>
      <c r="K3652" s="1" t="inlineStr"/>
      <c r="L3652" s="13" t="n">
        <v>49</v>
      </c>
      <c r="M3652" s="1">
        <f>IF(L3652="","ไม่พบใน SG",IF(ABS(J3652-L3652)&lt;0.005,"ตรงกัน","ไม่ตรง"))</f>
        <v/>
      </c>
      <c r="N3652" s="14">
        <f>IF(L3652="","",ROUND(L3652*'สรุป'!$C$6,-1))</f>
        <v/>
      </c>
      <c r="O3652" s="15" t="n"/>
      <c r="P3652" s="15" t="n"/>
      <c r="Q3652" s="10" t="n"/>
      <c r="R3652" s="10" t="n"/>
      <c r="S3652" s="16" t="inlineStr">
        <is>
          <t>https://mstgolf.co.th/products/gf2040116591</t>
        </is>
      </c>
      <c r="T3652" s="1">
        <f>IF(B3652="ไม้กอล์ฟ",J3652,"")</f>
        <v/>
      </c>
    </row>
    <row r="3653">
      <c r="A3653" s="1" t="n">
        <v>3</v>
      </c>
      <c r="B3653" s="1" t="inlineStr">
        <is>
          <t>เสื้อผ้า</t>
        </is>
      </c>
      <c r="C3653" s="1" t="inlineStr">
        <is>
          <t>gf2040118589</t>
        </is>
      </c>
      <c r="D3653" s="1" t="inlineStr">
        <is>
          <t>ADIDAS Ultimate365 Tour HEAT.RDY Men's Jacquard Polo</t>
        </is>
      </c>
      <c r="E3653" s="1" t="inlineStr">
        <is>
          <t>ADIDAS</t>
        </is>
      </c>
      <c r="F3653" s="1" t="inlineStr">
        <is>
          <t>SHORT SLEEVES</t>
        </is>
      </c>
      <c r="G3653" s="1" t="inlineStr">
        <is>
          <t>GF2040118589XS</t>
        </is>
      </c>
      <c r="H3653" s="1" t="n">
        <v>7</v>
      </c>
      <c r="I3653" s="1" t="inlineStr">
        <is>
          <t>มี</t>
        </is>
      </c>
      <c r="J3653" s="13" t="n">
        <v>49</v>
      </c>
      <c r="K3653" s="1" t="inlineStr"/>
      <c r="L3653" s="13" t="n">
        <v>49</v>
      </c>
      <c r="M3653" s="1">
        <f>IF(L3653="","ไม่พบใน SG",IF(ABS(J3653-L3653)&lt;0.005,"ตรงกัน","ไม่ตรง"))</f>
        <v/>
      </c>
      <c r="N3653" s="14">
        <f>IF(L3653="","",ROUND(L3653*'สรุป'!$C$6,-1))</f>
        <v/>
      </c>
      <c r="O3653" s="15" t="n"/>
      <c r="P3653" s="15" t="n"/>
      <c r="Q3653" s="10" t="n"/>
      <c r="R3653" s="10" t="n"/>
      <c r="S3653" s="16" t="inlineStr">
        <is>
          <t>https://mstgolf.co.th/products/gf2040118589</t>
        </is>
      </c>
      <c r="T3653" s="1">
        <f>IF(B3653="ไม้กอล์ฟ",J3653,"")</f>
        <v/>
      </c>
    </row>
    <row r="3654">
      <c r="A3654" s="1" t="n">
        <v>3</v>
      </c>
      <c r="B3654" s="1" t="inlineStr">
        <is>
          <t>เสื้อผ้า</t>
        </is>
      </c>
      <c r="C3654" s="1" t="inlineStr">
        <is>
          <t>gf2040118415</t>
        </is>
      </c>
      <c r="D3654" s="1" t="inlineStr">
        <is>
          <t>ADIDAS Ultimate365 Tour HEAT.RDY Men's Jacquard Polo  (White)</t>
        </is>
      </c>
      <c r="E3654" s="1" t="inlineStr">
        <is>
          <t>ADIDAS</t>
        </is>
      </c>
      <c r="F3654" s="1" t="inlineStr">
        <is>
          <t>SHORT SLEEVES</t>
        </is>
      </c>
      <c r="G3654" s="1" t="inlineStr">
        <is>
          <t>GF2040118415XS</t>
        </is>
      </c>
      <c r="H3654" s="1" t="n">
        <v>7</v>
      </c>
      <c r="I3654" s="1" t="inlineStr">
        <is>
          <t>มี</t>
        </is>
      </c>
      <c r="J3654" s="13" t="n">
        <v>49</v>
      </c>
      <c r="K3654" s="1" t="inlineStr"/>
      <c r="L3654" s="13" t="n"/>
      <c r="M3654" s="1">
        <f>IF(L3654="","ไม่พบใน SG",IF(ABS(J3654-L3654)&lt;0.005,"ตรงกัน","ไม่ตรง"))</f>
        <v/>
      </c>
      <c r="N3654" s="14">
        <f>IF(L3654="","",ROUND(L3654*'สรุป'!$C$6,-1))</f>
        <v/>
      </c>
      <c r="O3654" s="15" t="n"/>
      <c r="P3654" s="15" t="n"/>
      <c r="Q3654" s="10" t="n"/>
      <c r="R3654" s="10" t="n"/>
      <c r="S3654" s="16" t="inlineStr">
        <is>
          <t>https://mstgolf.co.th/products/gf2040118415</t>
        </is>
      </c>
      <c r="T3654" s="1">
        <f>IF(B3654="ไม้กอล์ฟ",J3654,"")</f>
        <v/>
      </c>
    </row>
    <row r="3655">
      <c r="A3655" s="1" t="n">
        <v>3</v>
      </c>
      <c r="B3655" s="1" t="inlineStr">
        <is>
          <t>เสื้อผ้า</t>
        </is>
      </c>
      <c r="C3655" s="1" t="inlineStr">
        <is>
          <t>gf2020102260</t>
        </is>
      </c>
      <c r="D3655" s="1" t="inlineStr">
        <is>
          <t>ADIDAS Ultimate365 Tour Men's Pants (Black)</t>
        </is>
      </c>
      <c r="E3655" s="1" t="inlineStr">
        <is>
          <t>ADIDAS</t>
        </is>
      </c>
      <c r="F3655" s="1" t="inlineStr">
        <is>
          <t>LONG PANTS</t>
        </is>
      </c>
      <c r="G3655" s="1" t="inlineStr">
        <is>
          <t>GF2020102260L</t>
        </is>
      </c>
      <c r="H3655" s="1" t="n">
        <v>15</v>
      </c>
      <c r="I3655" s="1" t="inlineStr">
        <is>
          <t>มี</t>
        </is>
      </c>
      <c r="J3655" s="13" t="n">
        <v>49</v>
      </c>
      <c r="K3655" s="1" t="inlineStr"/>
      <c r="L3655" s="13" t="n">
        <v>49</v>
      </c>
      <c r="M3655" s="1">
        <f>IF(L3655="","ไม่พบใน SG",IF(ABS(J3655-L3655)&lt;0.005,"ตรงกัน","ไม่ตรง"))</f>
        <v/>
      </c>
      <c r="N3655" s="14">
        <f>IF(L3655="","",ROUND(L3655*'สรุป'!$C$6,-1))</f>
        <v/>
      </c>
      <c r="O3655" s="15" t="n"/>
      <c r="P3655" s="15" t="n"/>
      <c r="Q3655" s="10" t="n"/>
      <c r="R3655" s="10" t="n"/>
      <c r="S3655" s="16" t="inlineStr">
        <is>
          <t>https://mstgolf.co.th/products/gf2020102260</t>
        </is>
      </c>
      <c r="T3655" s="1">
        <f>IF(B3655="ไม้กอล์ฟ",J3655,"")</f>
        <v/>
      </c>
    </row>
    <row r="3656">
      <c r="A3656" s="1" t="n">
        <v>3</v>
      </c>
      <c r="B3656" s="1" t="inlineStr">
        <is>
          <t>เสื้อผ้า</t>
        </is>
      </c>
      <c r="C3656" s="1" t="inlineStr">
        <is>
          <t>gf2020102378</t>
        </is>
      </c>
      <c r="D3656" s="1" t="inlineStr">
        <is>
          <t>ADIDAS Ultimate365 Tour Men's Pants (Navy)</t>
        </is>
      </c>
      <c r="E3656" s="1" t="inlineStr">
        <is>
          <t>ADIDAS</t>
        </is>
      </c>
      <c r="F3656" s="1" t="inlineStr">
        <is>
          <t>LONG PANTS</t>
        </is>
      </c>
      <c r="G3656" s="1" t="inlineStr">
        <is>
          <t>GF202010237873</t>
        </is>
      </c>
      <c r="H3656" s="1" t="n">
        <v>9</v>
      </c>
      <c r="I3656" s="1" t="inlineStr">
        <is>
          <t>มี</t>
        </is>
      </c>
      <c r="J3656" s="13" t="n">
        <v>49</v>
      </c>
      <c r="K3656" s="1" t="inlineStr"/>
      <c r="L3656" s="13" t="n">
        <v>49</v>
      </c>
      <c r="M3656" s="1">
        <f>IF(L3656="","ไม่พบใน SG",IF(ABS(J3656-L3656)&lt;0.005,"ตรงกัน","ไม่ตรง"))</f>
        <v/>
      </c>
      <c r="N3656" s="14">
        <f>IF(L3656="","",ROUND(L3656*'สรุป'!$C$6,-1))</f>
        <v/>
      </c>
      <c r="O3656" s="15" t="n"/>
      <c r="P3656" s="15" t="n"/>
      <c r="Q3656" s="10" t="n"/>
      <c r="R3656" s="10" t="n"/>
      <c r="S3656" s="16" t="inlineStr">
        <is>
          <t>https://mstgolf.co.th/products/gf2020102378</t>
        </is>
      </c>
      <c r="T3656" s="1">
        <f>IF(B3656="ไม้กอล์ฟ",J3656,"")</f>
        <v/>
      </c>
    </row>
    <row r="3657">
      <c r="A3657" s="1" t="n">
        <v>3</v>
      </c>
      <c r="B3657" s="1" t="inlineStr">
        <is>
          <t>เสื้อผ้า</t>
        </is>
      </c>
      <c r="C3657" s="1" t="inlineStr">
        <is>
          <t>gf2040117601</t>
        </is>
      </c>
      <c r="D3657" s="1" t="inlineStr">
        <is>
          <t>ADIDAS Ultimate365 Tour Men's Polo (Jade)</t>
        </is>
      </c>
      <c r="E3657" s="1" t="inlineStr">
        <is>
          <t>ADIDAS</t>
        </is>
      </c>
      <c r="F3657" s="1" t="inlineStr">
        <is>
          <t>SHORT SLEEVES</t>
        </is>
      </c>
      <c r="G3657" s="1" t="inlineStr">
        <is>
          <t>GF2040117601XS</t>
        </is>
      </c>
      <c r="H3657" s="1" t="n">
        <v>7</v>
      </c>
      <c r="I3657" s="1" t="inlineStr">
        <is>
          <t>มี</t>
        </is>
      </c>
      <c r="J3657" s="13" t="n">
        <v>49</v>
      </c>
      <c r="K3657" s="1" t="inlineStr"/>
      <c r="L3657" s="13" t="n">
        <v>49</v>
      </c>
      <c r="M3657" s="1">
        <f>IF(L3657="","ไม่พบใน SG",IF(ABS(J3657-L3657)&lt;0.005,"ตรงกัน","ไม่ตรง"))</f>
        <v/>
      </c>
      <c r="N3657" s="14">
        <f>IF(L3657="","",ROUND(L3657*'สรุป'!$C$6,-1))</f>
        <v/>
      </c>
      <c r="O3657" s="15" t="n"/>
      <c r="P3657" s="15" t="n"/>
      <c r="Q3657" s="10" t="n"/>
      <c r="R3657" s="10" t="n"/>
      <c r="S3657" s="16" t="inlineStr">
        <is>
          <t>https://mstgolf.co.th/products/gf2040117601</t>
        </is>
      </c>
      <c r="T3657" s="1">
        <f>IF(B3657="ไม้กอล์ฟ",J3657,"")</f>
        <v/>
      </c>
    </row>
    <row r="3658">
      <c r="A3658" s="1" t="n">
        <v>3</v>
      </c>
      <c r="B3658" s="1" t="inlineStr">
        <is>
          <t>เสื้อผ้า</t>
        </is>
      </c>
      <c r="C3658" s="1" t="inlineStr">
        <is>
          <t>gf2040118437</t>
        </is>
      </c>
      <c r="D3658" s="1" t="inlineStr">
        <is>
          <t>ADIDAS Ultimate365 Tour TWISKNIT Men's Polo (Navy)</t>
        </is>
      </c>
      <c r="E3658" s="1" t="inlineStr">
        <is>
          <t>ADIDAS</t>
        </is>
      </c>
      <c r="F3658" s="1" t="inlineStr">
        <is>
          <t>SHORT SLEEVES</t>
        </is>
      </c>
      <c r="G3658" s="1" t="inlineStr">
        <is>
          <t>GF2040118437XS</t>
        </is>
      </c>
      <c r="H3658" s="1" t="n">
        <v>7</v>
      </c>
      <c r="I3658" s="1" t="inlineStr">
        <is>
          <t>มี</t>
        </is>
      </c>
      <c r="J3658" s="13" t="n">
        <v>49</v>
      </c>
      <c r="K3658" s="1" t="inlineStr"/>
      <c r="L3658" s="13" t="n">
        <v>49</v>
      </c>
      <c r="M3658" s="1">
        <f>IF(L3658="","ไม่พบใน SG",IF(ABS(J3658-L3658)&lt;0.005,"ตรงกัน","ไม่ตรง"))</f>
        <v/>
      </c>
      <c r="N3658" s="14">
        <f>IF(L3658="","",ROUND(L3658*'สรุป'!$C$6,-1))</f>
        <v/>
      </c>
      <c r="O3658" s="15" t="n"/>
      <c r="P3658" s="15" t="n"/>
      <c r="Q3658" s="10" t="n"/>
      <c r="R3658" s="10" t="n"/>
      <c r="S3658" s="16" t="inlineStr">
        <is>
          <t>https://mstgolf.co.th/products/gf2040118437</t>
        </is>
      </c>
      <c r="T3658" s="1">
        <f>IF(B3658="ไม้กอล์ฟ",J3658,"")</f>
        <v/>
      </c>
    </row>
    <row r="3659">
      <c r="A3659" s="1" t="n">
        <v>3</v>
      </c>
      <c r="B3659" s="1" t="inlineStr">
        <is>
          <t>เสื้อผ้า</t>
        </is>
      </c>
      <c r="C3659" s="1" t="inlineStr">
        <is>
          <t>gf2040118566</t>
        </is>
      </c>
      <c r="D3659" s="1" t="inlineStr">
        <is>
          <t>ADIDAS Ultimate365 Tour TWISKNIT Men's Polo (White)</t>
        </is>
      </c>
      <c r="E3659" s="1" t="inlineStr">
        <is>
          <t>ADIDAS</t>
        </is>
      </c>
      <c r="F3659" s="1" t="inlineStr">
        <is>
          <t>SHORT SLEEVES</t>
        </is>
      </c>
      <c r="G3659" s="1" t="inlineStr">
        <is>
          <t>GF2040118566XS</t>
        </is>
      </c>
      <c r="H3659" s="1" t="n">
        <v>7</v>
      </c>
      <c r="I3659" s="1" t="inlineStr">
        <is>
          <t>มี</t>
        </is>
      </c>
      <c r="J3659" s="13" t="n">
        <v>49</v>
      </c>
      <c r="K3659" s="1" t="inlineStr"/>
      <c r="L3659" s="13" t="n">
        <v>49</v>
      </c>
      <c r="M3659" s="1">
        <f>IF(L3659="","ไม่พบใน SG",IF(ABS(J3659-L3659)&lt;0.005,"ตรงกัน","ไม่ตรง"))</f>
        <v/>
      </c>
      <c r="N3659" s="14">
        <f>IF(L3659="","",ROUND(L3659*'สรุป'!$C$6,-1))</f>
        <v/>
      </c>
      <c r="O3659" s="15" t="n"/>
      <c r="P3659" s="15" t="n"/>
      <c r="Q3659" s="10" t="n"/>
      <c r="R3659" s="10" t="n"/>
      <c r="S3659" s="16" t="inlineStr">
        <is>
          <t>https://mstgolf.co.th/products/gf2040118566</t>
        </is>
      </c>
      <c r="T3659" s="1">
        <f>IF(B3659="ไม้กอล์ฟ",J3659,"")</f>
        <v/>
      </c>
    </row>
    <row r="3660">
      <c r="A3660" s="1" t="n">
        <v>3</v>
      </c>
      <c r="B3660" s="1" t="inlineStr">
        <is>
          <t>เสื้อผ้า</t>
        </is>
      </c>
      <c r="C3660" s="1" t="inlineStr">
        <is>
          <t>gf2020102388</t>
        </is>
      </c>
      <c r="D3660" s="1" t="inlineStr">
        <is>
          <t>ADIDAS Ultimate365 WRPKNT Men's Pants (Black)</t>
        </is>
      </c>
      <c r="E3660" s="1" t="inlineStr">
        <is>
          <t>ADIDAS</t>
        </is>
      </c>
      <c r="F3660" s="1" t="inlineStr">
        <is>
          <t>LONG PANTS</t>
        </is>
      </c>
      <c r="G3660" s="1" t="inlineStr">
        <is>
          <t>GF2020102388XS</t>
        </is>
      </c>
      <c r="H3660" s="1" t="n">
        <v>6</v>
      </c>
      <c r="I3660" s="1" t="inlineStr">
        <is>
          <t>มี</t>
        </is>
      </c>
      <c r="J3660" s="13" t="n">
        <v>49</v>
      </c>
      <c r="K3660" s="1" t="inlineStr"/>
      <c r="L3660" s="13" t="n">
        <v>49</v>
      </c>
      <c r="M3660" s="1">
        <f>IF(L3660="","ไม่พบใน SG",IF(ABS(J3660-L3660)&lt;0.005,"ตรงกัน","ไม่ตรง"))</f>
        <v/>
      </c>
      <c r="N3660" s="14">
        <f>IF(L3660="","",ROUND(L3660*'สรุป'!$C$6,-1))</f>
        <v/>
      </c>
      <c r="O3660" s="15" t="n"/>
      <c r="P3660" s="15" t="n"/>
      <c r="Q3660" s="10" t="n"/>
      <c r="R3660" s="10" t="n"/>
      <c r="S3660" s="16" t="inlineStr">
        <is>
          <t>https://mstgolf.co.th/products/gf2020102388</t>
        </is>
      </c>
      <c r="T3660" s="1">
        <f>IF(B3660="ไม้กอล์ฟ",J3660,"")</f>
        <v/>
      </c>
    </row>
    <row r="3661">
      <c r="A3661" s="1" t="n">
        <v>3</v>
      </c>
      <c r="B3661" s="1" t="inlineStr">
        <is>
          <t>เสื้อผ้า</t>
        </is>
      </c>
      <c r="C3661" s="1" t="inlineStr">
        <is>
          <t>gf2040120566</t>
        </is>
      </c>
      <c r="D3661" s="1" t="inlineStr">
        <is>
          <t>ADIDAS Ultimate365 Women's Sleeveless Mock Neck Top (Aurora)</t>
        </is>
      </c>
      <c r="E3661" s="1" t="inlineStr">
        <is>
          <t>ADIDAS</t>
        </is>
      </c>
      <c r="F3661" s="1" t="inlineStr">
        <is>
          <t>SHORT SLEEVES</t>
        </is>
      </c>
      <c r="G3661" s="1" t="inlineStr">
        <is>
          <t>GF20401205662XS</t>
        </is>
      </c>
      <c r="H3661" s="1" t="n">
        <v>7</v>
      </c>
      <c r="I3661" s="1" t="inlineStr">
        <is>
          <t>มี</t>
        </is>
      </c>
      <c r="J3661" s="13" t="n">
        <v>49</v>
      </c>
      <c r="K3661" s="1" t="inlineStr"/>
      <c r="L3661" s="13" t="n">
        <v>35</v>
      </c>
      <c r="M3661" s="1">
        <f>IF(L3661="","ไม่พบใน SG",IF(ABS(J3661-L3661)&lt;0.005,"ตรงกัน","ไม่ตรง"))</f>
        <v/>
      </c>
      <c r="N3661" s="14">
        <f>IF(L3661="","",ROUND(L3661*'สรุป'!$C$6,-1))</f>
        <v/>
      </c>
      <c r="O3661" s="15" t="n"/>
      <c r="P3661" s="15" t="n"/>
      <c r="Q3661" s="10" t="n"/>
      <c r="R3661" s="10" t="n"/>
      <c r="S3661" s="16" t="inlineStr">
        <is>
          <t>https://mstgolf.co.th/products/gf2040120566</t>
        </is>
      </c>
      <c r="T3661" s="1">
        <f>IF(B3661="ไม้กอล์ฟ",J3661,"")</f>
        <v/>
      </c>
    </row>
    <row r="3662">
      <c r="A3662" s="1" t="n">
        <v>3</v>
      </c>
      <c r="B3662" s="1" t="inlineStr">
        <is>
          <t>เสื้อผ้า</t>
        </is>
      </c>
      <c r="C3662" s="1" t="inlineStr">
        <is>
          <t>gf2040120563</t>
        </is>
      </c>
      <c r="D3662" s="1" t="inlineStr">
        <is>
          <t>ADIDAS Ultimate365 Women's Sleeveless Mock Neck Top (Black)</t>
        </is>
      </c>
      <c r="E3662" s="1" t="inlineStr">
        <is>
          <t>ADIDAS</t>
        </is>
      </c>
      <c r="F3662" s="1" t="inlineStr">
        <is>
          <t>SHORT SLEEVES</t>
        </is>
      </c>
      <c r="G3662" s="1" t="inlineStr">
        <is>
          <t>GF2040120563XS</t>
        </is>
      </c>
      <c r="H3662" s="1" t="n">
        <v>6</v>
      </c>
      <c r="I3662" s="1" t="inlineStr">
        <is>
          <t>มี</t>
        </is>
      </c>
      <c r="J3662" s="13" t="n">
        <v>49</v>
      </c>
      <c r="K3662" s="1" t="inlineStr"/>
      <c r="L3662" s="13" t="n">
        <v>34</v>
      </c>
      <c r="M3662" s="1">
        <f>IF(L3662="","ไม่พบใน SG",IF(ABS(J3662-L3662)&lt;0.005,"ตรงกัน","ไม่ตรง"))</f>
        <v/>
      </c>
      <c r="N3662" s="14">
        <f>IF(L3662="","",ROUND(L3662*'สรุป'!$C$6,-1))</f>
        <v/>
      </c>
      <c r="O3662" s="15" t="n"/>
      <c r="P3662" s="15" t="n"/>
      <c r="Q3662" s="10" t="n"/>
      <c r="R3662" s="10" t="n"/>
      <c r="S3662" s="16" t="inlineStr">
        <is>
          <t>https://mstgolf.co.th/products/gf2040120563</t>
        </is>
      </c>
      <c r="T3662" s="1">
        <f>IF(B3662="ไม้กอล์ฟ",J3662,"")</f>
        <v/>
      </c>
    </row>
    <row r="3663">
      <c r="A3663" s="1" t="n">
        <v>3</v>
      </c>
      <c r="B3663" s="1" t="inlineStr">
        <is>
          <t>เสื้อผ้า</t>
        </is>
      </c>
      <c r="C3663" s="1" t="inlineStr">
        <is>
          <t>gf2040120564</t>
        </is>
      </c>
      <c r="D3663" s="1" t="inlineStr">
        <is>
          <t>ADIDAS Ultimate365 Women's Sleeveless Mock Neck Top (White)</t>
        </is>
      </c>
      <c r="E3663" s="1" t="inlineStr">
        <is>
          <t>ADIDAS</t>
        </is>
      </c>
      <c r="F3663" s="1" t="inlineStr">
        <is>
          <t>SHORT SLEEVES</t>
        </is>
      </c>
      <c r="G3663" s="1" t="inlineStr">
        <is>
          <t>GF2040120564XS</t>
        </is>
      </c>
      <c r="H3663" s="1" t="n">
        <v>6</v>
      </c>
      <c r="I3663" s="1" t="inlineStr">
        <is>
          <t>มี</t>
        </is>
      </c>
      <c r="J3663" s="13" t="n">
        <v>49</v>
      </c>
      <c r="K3663" s="1" t="inlineStr"/>
      <c r="L3663" s="13" t="n">
        <v>34</v>
      </c>
      <c r="M3663" s="1">
        <f>IF(L3663="","ไม่พบใน SG",IF(ABS(J3663-L3663)&lt;0.005,"ตรงกัน","ไม่ตรง"))</f>
        <v/>
      </c>
      <c r="N3663" s="14">
        <f>IF(L3663="","",ROUND(L3663*'สรุป'!$C$6,-1))</f>
        <v/>
      </c>
      <c r="O3663" s="15" t="n"/>
      <c r="P3663" s="15" t="n"/>
      <c r="Q3663" s="10" t="n"/>
      <c r="R3663" s="10" t="n"/>
      <c r="S3663" s="16" t="inlineStr">
        <is>
          <t>https://mstgolf.co.th/products/gf2040120564</t>
        </is>
      </c>
      <c r="T3663" s="1">
        <f>IF(B3663="ไม้กอล์ฟ",J3663,"")</f>
        <v/>
      </c>
    </row>
    <row r="3664">
      <c r="A3664" s="1" t="n">
        <v>3</v>
      </c>
      <c r="B3664" s="1" t="inlineStr">
        <is>
          <t>เสื้อผ้า</t>
        </is>
      </c>
      <c r="C3664" s="1" t="inlineStr">
        <is>
          <t>gf2040119467</t>
        </is>
      </c>
      <c r="D3664" s="1" t="inlineStr">
        <is>
          <t>ADIDAS Ultimate365 Women's Zip Polo (White)</t>
        </is>
      </c>
      <c r="E3664" s="1" t="inlineStr">
        <is>
          <t>ADIDAS</t>
        </is>
      </c>
      <c r="F3664" s="1" t="inlineStr">
        <is>
          <t>SHORT SLEEVES</t>
        </is>
      </c>
      <c r="G3664" s="1" t="inlineStr">
        <is>
          <t>GF20401194672XS</t>
        </is>
      </c>
      <c r="H3664" s="1" t="n">
        <v>7</v>
      </c>
      <c r="I3664" s="1" t="inlineStr">
        <is>
          <t>มี</t>
        </is>
      </c>
      <c r="J3664" s="13" t="n">
        <v>49</v>
      </c>
      <c r="K3664" s="1" t="inlineStr"/>
      <c r="L3664" s="13" t="n">
        <v>35</v>
      </c>
      <c r="M3664" s="1">
        <f>IF(L3664="","ไม่พบใน SG",IF(ABS(J3664-L3664)&lt;0.005,"ตรงกัน","ไม่ตรง"))</f>
        <v/>
      </c>
      <c r="N3664" s="14">
        <f>IF(L3664="","",ROUND(L3664*'สรุป'!$C$6,-1))</f>
        <v/>
      </c>
      <c r="O3664" s="15" t="n"/>
      <c r="P3664" s="15" t="n"/>
      <c r="Q3664" s="10" t="n"/>
      <c r="R3664" s="10" t="n"/>
      <c r="S3664" s="16" t="inlineStr">
        <is>
          <t>https://mstgolf.co.th/products/gf2040119467</t>
        </is>
      </c>
      <c r="T3664" s="1">
        <f>IF(B3664="ไม้กอล์ฟ",J3664,"")</f>
        <v/>
      </c>
    </row>
    <row r="3665">
      <c r="A3665" s="1" t="n">
        <v>3</v>
      </c>
      <c r="B3665" s="1" t="inlineStr">
        <is>
          <t>หมวก</t>
        </is>
      </c>
      <c r="C3665" s="1" t="inlineStr">
        <is>
          <t>gf2000300442</t>
        </is>
      </c>
      <c r="D3665" s="1" t="inlineStr">
        <is>
          <t>ADIDAS Wide-Brim Women's Cap (Black)</t>
        </is>
      </c>
      <c r="E3665" s="1" t="inlineStr">
        <is>
          <t>ADIDAS</t>
        </is>
      </c>
      <c r="F3665" s="1" t="inlineStr">
        <is>
          <t>HAT</t>
        </is>
      </c>
      <c r="G3665" s="1" t="inlineStr">
        <is>
          <t>GF2000300442FS</t>
        </is>
      </c>
      <c r="H3665" s="1" t="n">
        <v>1</v>
      </c>
      <c r="I3665" s="1" t="inlineStr">
        <is>
          <t>มี</t>
        </is>
      </c>
      <c r="J3665" s="13" t="n">
        <v>49</v>
      </c>
      <c r="K3665" s="1" t="inlineStr"/>
      <c r="L3665" s="13" t="n">
        <v>25</v>
      </c>
      <c r="M3665" s="1">
        <f>IF(L3665="","ไม่พบใน SG",IF(ABS(J3665-L3665)&lt;0.005,"ตรงกัน","ไม่ตรง"))</f>
        <v/>
      </c>
      <c r="N3665" s="14">
        <f>IF(L3665="","",ROUND(L3665*'สรุป'!$C$6,-1))</f>
        <v/>
      </c>
      <c r="O3665" s="15" t="n"/>
      <c r="P3665" s="15" t="n"/>
      <c r="Q3665" s="10" t="n"/>
      <c r="R3665" s="10" t="n"/>
      <c r="S3665" s="16" t="inlineStr">
        <is>
          <t>https://mstgolf.co.th/products/gf2000300442</t>
        </is>
      </c>
      <c r="T3665" s="1">
        <f>IF(B3665="ไม้กอล์ฟ",J3665,"")</f>
        <v/>
      </c>
    </row>
    <row r="3666">
      <c r="A3666" s="1" t="n">
        <v>3</v>
      </c>
      <c r="B3666" s="1" t="inlineStr">
        <is>
          <t>หมวก</t>
        </is>
      </c>
      <c r="C3666" s="1" t="inlineStr">
        <is>
          <t>gf2000300441</t>
        </is>
      </c>
      <c r="D3666" s="1" t="inlineStr">
        <is>
          <t>ADIDAS Wide-Brim Women's Cap (White)</t>
        </is>
      </c>
      <c r="E3666" s="1" t="inlineStr">
        <is>
          <t>ADIDAS</t>
        </is>
      </c>
      <c r="F3666" s="1" t="inlineStr">
        <is>
          <t>HAT</t>
        </is>
      </c>
      <c r="G3666" s="1" t="inlineStr">
        <is>
          <t>GF2000300441FS</t>
        </is>
      </c>
      <c r="H3666" s="1" t="n">
        <v>1</v>
      </c>
      <c r="I3666" s="1" t="inlineStr">
        <is>
          <t>มี</t>
        </is>
      </c>
      <c r="J3666" s="13" t="n">
        <v>49</v>
      </c>
      <c r="K3666" s="1" t="inlineStr"/>
      <c r="L3666" s="13" t="n">
        <v>25</v>
      </c>
      <c r="M3666" s="1">
        <f>IF(L3666="","ไม่พบใน SG",IF(ABS(J3666-L3666)&lt;0.005,"ตรงกัน","ไม่ตรง"))</f>
        <v/>
      </c>
      <c r="N3666" s="14">
        <f>IF(L3666="","",ROUND(L3666*'สรุป'!$C$6,-1))</f>
        <v/>
      </c>
      <c r="O3666" s="15" t="n"/>
      <c r="P3666" s="15" t="n"/>
      <c r="Q3666" s="10" t="n"/>
      <c r="R3666" s="10" t="n"/>
      <c r="S3666" s="16" t="inlineStr">
        <is>
          <t>https://mstgolf.co.th/products/gf2000300441</t>
        </is>
      </c>
      <c r="T3666" s="1">
        <f>IF(B3666="ไม้กอล์ฟ",J3666,"")</f>
        <v/>
      </c>
    </row>
    <row r="3667">
      <c r="A3667" s="1" t="n">
        <v>3</v>
      </c>
      <c r="B3667" s="1" t="inlineStr">
        <is>
          <t>เสื้อผ้า</t>
        </is>
      </c>
      <c r="C3667" s="1" t="inlineStr">
        <is>
          <t>gf2020202236</t>
        </is>
      </c>
      <c r="D3667" s="1" t="inlineStr">
        <is>
          <t>ADIDAS Woolblended Front-Pleated Skirt (White)</t>
        </is>
      </c>
      <c r="E3667" s="1" t="inlineStr">
        <is>
          <t>ADIDAS</t>
        </is>
      </c>
      <c r="F3667" s="1" t="inlineStr">
        <is>
          <t>SHORT PANTS</t>
        </is>
      </c>
      <c r="G3667" s="1" t="inlineStr">
        <is>
          <t>GF2020202236XS</t>
        </is>
      </c>
      <c r="H3667" s="1" t="n">
        <v>6</v>
      </c>
      <c r="I3667" s="1" t="inlineStr">
        <is>
          <t>มี</t>
        </is>
      </c>
      <c r="J3667" s="13" t="n">
        <v>49</v>
      </c>
      <c r="K3667" s="1" t="inlineStr"/>
      <c r="L3667" s="13" t="n">
        <v>49</v>
      </c>
      <c r="M3667" s="1">
        <f>IF(L3667="","ไม่พบใน SG",IF(ABS(J3667-L3667)&lt;0.005,"ตรงกัน","ไม่ตรง"))</f>
        <v/>
      </c>
      <c r="N3667" s="14">
        <f>IF(L3667="","",ROUND(L3667*'สรุป'!$C$6,-1))</f>
        <v/>
      </c>
      <c r="O3667" s="15" t="n"/>
      <c r="P3667" s="15" t="n"/>
      <c r="Q3667" s="10" t="n"/>
      <c r="R3667" s="10" t="n"/>
      <c r="S3667" s="16" t="inlineStr">
        <is>
          <t>https://mstgolf.co.th/products/gf2020202236</t>
        </is>
      </c>
      <c r="T3667" s="1">
        <f>IF(B3667="ไม้กอล์ฟ",J3667,"")</f>
        <v/>
      </c>
    </row>
    <row r="3668">
      <c r="A3668" s="1" t="n">
        <v>3</v>
      </c>
      <c r="B3668" s="1" t="inlineStr">
        <is>
          <t>อุปกรณ์เสริม</t>
        </is>
      </c>
      <c r="C3668" s="1" t="inlineStr">
        <is>
          <t>gf3500200811</t>
        </is>
      </c>
      <c r="D3668" s="1" t="inlineStr">
        <is>
          <t>BETTINARDI Limited Edition 2019 Masters Mallet Putter Headcover</t>
        </is>
      </c>
      <c r="E3668" s="1" t="inlineStr">
        <is>
          <t>BETTINARDI</t>
        </is>
      </c>
      <c r="F3668" s="1" t="inlineStr">
        <is>
          <t>HEADCOVERS</t>
        </is>
      </c>
      <c r="G3668" s="1" t="inlineStr">
        <is>
          <t>GF3500200811</t>
        </is>
      </c>
      <c r="H3668" s="1" t="n">
        <v>1</v>
      </c>
      <c r="I3668" s="1" t="inlineStr">
        <is>
          <t>มี</t>
        </is>
      </c>
      <c r="J3668" s="13" t="n">
        <v>49</v>
      </c>
      <c r="K3668" s="1" t="inlineStr"/>
      <c r="L3668" s="13" t="n">
        <v>49</v>
      </c>
      <c r="M3668" s="1">
        <f>IF(L3668="","ไม่พบใน SG",IF(ABS(J3668-L3668)&lt;0.005,"ตรงกัน","ไม่ตรง"))</f>
        <v/>
      </c>
      <c r="N3668" s="14">
        <f>IF(L3668="","",ROUND(L3668*'สรุป'!$C$6,-1))</f>
        <v/>
      </c>
      <c r="O3668" s="15" t="n"/>
      <c r="P3668" s="15" t="n"/>
      <c r="Q3668" s="10" t="n"/>
      <c r="R3668" s="10" t="n"/>
      <c r="S3668" s="16" t="inlineStr">
        <is>
          <t>https://mstgolf.co.th/products/gf3500200811</t>
        </is>
      </c>
      <c r="T3668" s="1">
        <f>IF(B3668="ไม้กอล์ฟ",J3668,"")</f>
        <v/>
      </c>
    </row>
    <row r="3669">
      <c r="A3669" s="1" t="n">
        <v>3</v>
      </c>
      <c r="B3669" s="1" t="inlineStr">
        <is>
          <t>เสื้อผ้า</t>
        </is>
      </c>
      <c r="C3669" s="1" t="inlineStr">
        <is>
          <t>gf2040115388</t>
        </is>
      </c>
      <c r="D3669" s="1" t="inlineStr">
        <is>
          <t>CALVIN KLEIN Blackwater Men's Polo (Orange)</t>
        </is>
      </c>
      <c r="E3669" s="1" t="inlineStr">
        <is>
          <t>CALVIN KLEIN</t>
        </is>
      </c>
      <c r="F3669" s="1" t="inlineStr">
        <is>
          <t>SHORT SLEEVES</t>
        </is>
      </c>
      <c r="G3669" s="1" t="inlineStr">
        <is>
          <t>GF2040115388S</t>
        </is>
      </c>
      <c r="H3669" s="1" t="n">
        <v>5</v>
      </c>
      <c r="I3669" s="1" t="inlineStr">
        <is>
          <t>มี</t>
        </is>
      </c>
      <c r="J3669" s="13" t="n">
        <v>49</v>
      </c>
      <c r="K3669" s="1" t="inlineStr"/>
      <c r="L3669" s="13" t="n">
        <v>49</v>
      </c>
      <c r="M3669" s="1">
        <f>IF(L3669="","ไม่พบใน SG",IF(ABS(J3669-L3669)&lt;0.005,"ตรงกัน","ไม่ตรง"))</f>
        <v/>
      </c>
      <c r="N3669" s="14">
        <f>IF(L3669="","",ROUND(L3669*'สรุป'!$C$6,-1))</f>
        <v/>
      </c>
      <c r="O3669" s="15" t="n"/>
      <c r="P3669" s="15" t="n"/>
      <c r="Q3669" s="10" t="n"/>
      <c r="R3669" s="10" t="n"/>
      <c r="S3669" s="16" t="inlineStr">
        <is>
          <t>https://mstgolf.co.th/products/gf2040115388</t>
        </is>
      </c>
      <c r="T3669" s="1">
        <f>IF(B3669="ไม้กอล์ฟ",J3669,"")</f>
        <v/>
      </c>
    </row>
    <row r="3670">
      <c r="A3670" s="1" t="n">
        <v>3</v>
      </c>
      <c r="B3670" s="1" t="inlineStr">
        <is>
          <t>เสื้อผ้า</t>
        </is>
      </c>
      <c r="C3670" s="1" t="inlineStr">
        <is>
          <t>gf2040401162</t>
        </is>
      </c>
      <c r="D3670" s="1" t="inlineStr">
        <is>
          <t>CALVIN KLEIN Canvas Printed 1/2 Zip Women's Long Sleeve Polo (Navy)</t>
        </is>
      </c>
      <c r="E3670" s="1" t="inlineStr">
        <is>
          <t>CALVIN KLEIN</t>
        </is>
      </c>
      <c r="F3670" s="1" t="inlineStr">
        <is>
          <t>LONG SLEEVES</t>
        </is>
      </c>
      <c r="G3670" s="1" t="inlineStr">
        <is>
          <t>GF2040401162XS</t>
        </is>
      </c>
      <c r="H3670" s="1" t="n">
        <v>5</v>
      </c>
      <c r="I3670" s="1" t="inlineStr">
        <is>
          <t>มี</t>
        </is>
      </c>
      <c r="J3670" s="13" t="n">
        <v>49</v>
      </c>
      <c r="K3670" s="1" t="inlineStr"/>
      <c r="L3670" s="13" t="n">
        <v>43</v>
      </c>
      <c r="M3670" s="1">
        <f>IF(L3670="","ไม่พบใน SG",IF(ABS(J3670-L3670)&lt;0.005,"ตรงกัน","ไม่ตรง"))</f>
        <v/>
      </c>
      <c r="N3670" s="14">
        <f>IF(L3670="","",ROUND(L3670*'สรุป'!$C$6,-1))</f>
        <v/>
      </c>
      <c r="O3670" s="15" t="n"/>
      <c r="P3670" s="15" t="n"/>
      <c r="Q3670" s="10" t="n"/>
      <c r="R3670" s="10" t="n"/>
      <c r="S3670" s="16" t="inlineStr">
        <is>
          <t>https://mstgolf.co.th/products/gf2040401162</t>
        </is>
      </c>
      <c r="T3670" s="1">
        <f>IF(B3670="ไม้กอล์ฟ",J3670,"")</f>
        <v/>
      </c>
    </row>
    <row r="3671">
      <c r="A3671" s="1" t="n">
        <v>3</v>
      </c>
      <c r="B3671" s="1" t="inlineStr">
        <is>
          <t>เสื้อผ้า</t>
        </is>
      </c>
      <c r="C3671" s="1" t="inlineStr">
        <is>
          <t>gf2040401161</t>
        </is>
      </c>
      <c r="D3671" s="1" t="inlineStr">
        <is>
          <t>CALVIN KLEIN Canvas Printed 1/2 Zip Women's Long Sleeve Polo (Pink)</t>
        </is>
      </c>
      <c r="E3671" s="1" t="inlineStr">
        <is>
          <t>CALVIN KLEIN</t>
        </is>
      </c>
      <c r="F3671" s="1" t="inlineStr">
        <is>
          <t>LONG SLEEVES</t>
        </is>
      </c>
      <c r="G3671" s="1" t="inlineStr">
        <is>
          <t>GF2040401161XS</t>
        </is>
      </c>
      <c r="H3671" s="1" t="n">
        <v>5</v>
      </c>
      <c r="I3671" s="1" t="inlineStr">
        <is>
          <t>มี</t>
        </is>
      </c>
      <c r="J3671" s="13" t="n">
        <v>49</v>
      </c>
      <c r="K3671" s="1" t="inlineStr"/>
      <c r="L3671" s="13" t="n">
        <v>49</v>
      </c>
      <c r="M3671" s="1">
        <f>IF(L3671="","ไม่พบใน SG",IF(ABS(J3671-L3671)&lt;0.005,"ตรงกัน","ไม่ตรง"))</f>
        <v/>
      </c>
      <c r="N3671" s="14">
        <f>IF(L3671="","",ROUND(L3671*'สรุป'!$C$6,-1))</f>
        <v/>
      </c>
      <c r="O3671" s="15" t="n"/>
      <c r="P3671" s="15" t="n"/>
      <c r="Q3671" s="10" t="n"/>
      <c r="R3671" s="10" t="n"/>
      <c r="S3671" s="16" t="inlineStr">
        <is>
          <t>https://mstgolf.co.th/products/gf2040401161</t>
        </is>
      </c>
      <c r="T3671" s="1">
        <f>IF(B3671="ไม้กอล์ฟ",J3671,"")</f>
        <v/>
      </c>
    </row>
    <row r="3672">
      <c r="A3672" s="1" t="n">
        <v>3</v>
      </c>
      <c r="B3672" s="1" t="inlineStr">
        <is>
          <t>เสื้อผ้า</t>
        </is>
      </c>
      <c r="C3672" s="1" t="inlineStr">
        <is>
          <t>gf2040115360</t>
        </is>
      </c>
      <c r="D3672" s="1" t="inlineStr">
        <is>
          <t>CALVIN KLEIN Concord Men's Polo (Boy Blue Marl)</t>
        </is>
      </c>
      <c r="E3672" s="1" t="inlineStr">
        <is>
          <t>CALVIN KLEIN</t>
        </is>
      </c>
      <c r="F3672" s="1" t="inlineStr">
        <is>
          <t>SHORT SLEEVES</t>
        </is>
      </c>
      <c r="G3672" s="1" t="inlineStr">
        <is>
          <t>GF2040115360S</t>
        </is>
      </c>
      <c r="H3672" s="1" t="n">
        <v>5</v>
      </c>
      <c r="I3672" s="1" t="inlineStr">
        <is>
          <t>มี</t>
        </is>
      </c>
      <c r="J3672" s="13" t="n">
        <v>49</v>
      </c>
      <c r="K3672" s="1" t="inlineStr"/>
      <c r="L3672" s="13" t="n">
        <v>49</v>
      </c>
      <c r="M3672" s="1">
        <f>IF(L3672="","ไม่พบใน SG",IF(ABS(J3672-L3672)&lt;0.005,"ตรงกัน","ไม่ตรง"))</f>
        <v/>
      </c>
      <c r="N3672" s="14">
        <f>IF(L3672="","",ROUND(L3672*'สรุป'!$C$6,-1))</f>
        <v/>
      </c>
      <c r="O3672" s="15" t="n"/>
      <c r="P3672" s="15" t="n"/>
      <c r="Q3672" s="10" t="n"/>
      <c r="R3672" s="10" t="n"/>
      <c r="S3672" s="16" t="inlineStr">
        <is>
          <t>https://mstgolf.co.th/products/gf2040115360</t>
        </is>
      </c>
      <c r="T3672" s="1">
        <f>IF(B3672="ไม้กอล์ฟ",J3672,"")</f>
        <v/>
      </c>
    </row>
    <row r="3673">
      <c r="A3673" s="1" t="n">
        <v>3</v>
      </c>
      <c r="B3673" s="1" t="inlineStr">
        <is>
          <t>เสื้อผ้า</t>
        </is>
      </c>
      <c r="C3673" s="1" t="inlineStr">
        <is>
          <t>gf2070400096</t>
        </is>
      </c>
      <c r="D3673" s="1" t="inlineStr">
        <is>
          <t>CALVIN KLEIN Inner Men's Baselayer (Black)</t>
        </is>
      </c>
      <c r="E3673" s="1" t="inlineStr">
        <is>
          <t>CALVIN KLEIN</t>
        </is>
      </c>
      <c r="F3673" s="1" t="inlineStr">
        <is>
          <t>SHIRT</t>
        </is>
      </c>
      <c r="G3673" s="1" t="inlineStr">
        <is>
          <t>GF2070400096S</t>
        </is>
      </c>
      <c r="H3673" s="1" t="n">
        <v>5</v>
      </c>
      <c r="I3673" s="1" t="inlineStr">
        <is>
          <t>มี</t>
        </is>
      </c>
      <c r="J3673" s="13" t="n">
        <v>49</v>
      </c>
      <c r="K3673" s="1" t="inlineStr"/>
      <c r="L3673" s="13" t="n">
        <v>49</v>
      </c>
      <c r="M3673" s="1">
        <f>IF(L3673="","ไม่พบใน SG",IF(ABS(J3673-L3673)&lt;0.005,"ตรงกัน","ไม่ตรง"))</f>
        <v/>
      </c>
      <c r="N3673" s="14">
        <f>IF(L3673="","",ROUND(L3673*'สรุป'!$C$6,-1))</f>
        <v/>
      </c>
      <c r="O3673" s="15" t="n"/>
      <c r="P3673" s="15" t="n"/>
      <c r="Q3673" s="10" t="n"/>
      <c r="R3673" s="10" t="n"/>
      <c r="S3673" s="16" t="inlineStr">
        <is>
          <t>https://mstgolf.co.th/products/gf2070400096</t>
        </is>
      </c>
      <c r="T3673" s="1">
        <f>IF(B3673="ไม้กอล์ฟ",J3673,"")</f>
        <v/>
      </c>
    </row>
    <row r="3674">
      <c r="A3674" s="1" t="n">
        <v>3</v>
      </c>
      <c r="B3674" s="1" t="inlineStr">
        <is>
          <t>เสื้อผ้า</t>
        </is>
      </c>
      <c r="C3674" s="1" t="inlineStr">
        <is>
          <t>gf2070400095</t>
        </is>
      </c>
      <c r="D3674" s="1" t="inlineStr">
        <is>
          <t>CALVIN KLEIN Inner Men's Baselayer (White)</t>
        </is>
      </c>
      <c r="E3674" s="1" t="inlineStr">
        <is>
          <t>CALVIN KLEIN</t>
        </is>
      </c>
      <c r="F3674" s="1" t="inlineStr">
        <is>
          <t>SHIRT</t>
        </is>
      </c>
      <c r="G3674" s="1" t="inlineStr">
        <is>
          <t>GF2070400095S</t>
        </is>
      </c>
      <c r="H3674" s="1" t="n">
        <v>5</v>
      </c>
      <c r="I3674" s="1" t="inlineStr">
        <is>
          <t>มี</t>
        </is>
      </c>
      <c r="J3674" s="13" t="n">
        <v>49</v>
      </c>
      <c r="K3674" s="1" t="inlineStr"/>
      <c r="L3674" s="13" t="n">
        <v>49</v>
      </c>
      <c r="M3674" s="1">
        <f>IF(L3674="","ไม่พบใน SG",IF(ABS(J3674-L3674)&lt;0.005,"ตรงกัน","ไม่ตรง"))</f>
        <v/>
      </c>
      <c r="N3674" s="14">
        <f>IF(L3674="","",ROUND(L3674*'สรุป'!$C$6,-1))</f>
        <v/>
      </c>
      <c r="O3674" s="15" t="n"/>
      <c r="P3674" s="15" t="n"/>
      <c r="Q3674" s="10" t="n"/>
      <c r="R3674" s="10" t="n"/>
      <c r="S3674" s="16" t="inlineStr">
        <is>
          <t>https://mstgolf.co.th/products/gf2070400095</t>
        </is>
      </c>
      <c r="T3674" s="1">
        <f>IF(B3674="ไม้กอล์ฟ",J3674,"")</f>
        <v/>
      </c>
    </row>
    <row r="3675">
      <c r="A3675" s="1" t="n">
        <v>3</v>
      </c>
      <c r="B3675" s="1" t="inlineStr">
        <is>
          <t>เสื้อผ้า</t>
        </is>
      </c>
      <c r="C3675" s="1" t="inlineStr">
        <is>
          <t>gf2040117505</t>
        </is>
      </c>
      <c r="D3675" s="1" t="inlineStr">
        <is>
          <t>CALVIN KLEIN Monogram Men's Polo (Evening Blue)</t>
        </is>
      </c>
      <c r="E3675" s="1" t="inlineStr">
        <is>
          <t>CALVIN KLEIN</t>
        </is>
      </c>
      <c r="F3675" s="1" t="inlineStr">
        <is>
          <t>SHORT SLEEVES</t>
        </is>
      </c>
      <c r="G3675" s="1" t="inlineStr">
        <is>
          <t>GF2040117505S</t>
        </is>
      </c>
      <c r="H3675" s="1" t="n">
        <v>5</v>
      </c>
      <c r="I3675" s="1" t="inlineStr">
        <is>
          <t>มี</t>
        </is>
      </c>
      <c r="J3675" s="13" t="n">
        <v>49</v>
      </c>
      <c r="K3675" s="1" t="inlineStr"/>
      <c r="L3675" s="13" t="n">
        <v>43</v>
      </c>
      <c r="M3675" s="1">
        <f>IF(L3675="","ไม่พบใน SG",IF(ABS(J3675-L3675)&lt;0.005,"ตรงกัน","ไม่ตรง"))</f>
        <v/>
      </c>
      <c r="N3675" s="14">
        <f>IF(L3675="","",ROUND(L3675*'สรุป'!$C$6,-1))</f>
        <v/>
      </c>
      <c r="O3675" s="15" t="n"/>
      <c r="P3675" s="15" t="n"/>
      <c r="Q3675" s="10" t="n"/>
      <c r="R3675" s="10" t="n"/>
      <c r="S3675" s="16" t="inlineStr">
        <is>
          <t>https://mstgolf.co.th/products/gf2040117505</t>
        </is>
      </c>
      <c r="T3675" s="1">
        <f>IF(B3675="ไม้กอล์ฟ",J3675,"")</f>
        <v/>
      </c>
    </row>
    <row r="3676">
      <c r="A3676" s="1" t="n">
        <v>3</v>
      </c>
      <c r="B3676" s="1" t="inlineStr">
        <is>
          <t>เสื้อผ้า</t>
        </is>
      </c>
      <c r="C3676" s="1" t="inlineStr">
        <is>
          <t>gf2040115371</t>
        </is>
      </c>
      <c r="D3676" s="1" t="inlineStr">
        <is>
          <t>CALVIN KLEIN Parker Men's Polo (White/Blue)</t>
        </is>
      </c>
      <c r="E3676" s="1" t="inlineStr">
        <is>
          <t>CALVIN KLEIN</t>
        </is>
      </c>
      <c r="F3676" s="1" t="inlineStr">
        <is>
          <t>SHORT SLEEVES</t>
        </is>
      </c>
      <c r="G3676" s="1" t="inlineStr">
        <is>
          <t>GF2040115371S</t>
        </is>
      </c>
      <c r="H3676" s="1" t="n">
        <v>5</v>
      </c>
      <c r="I3676" s="1" t="inlineStr">
        <is>
          <t>มี</t>
        </is>
      </c>
      <c r="J3676" s="13" t="n">
        <v>49</v>
      </c>
      <c r="K3676" s="1" t="inlineStr"/>
      <c r="L3676" s="13" t="n">
        <v>43</v>
      </c>
      <c r="M3676" s="1">
        <f>IF(L3676="","ไม่พบใน SG",IF(ABS(J3676-L3676)&lt;0.005,"ตรงกัน","ไม่ตรง"))</f>
        <v/>
      </c>
      <c r="N3676" s="14">
        <f>IF(L3676="","",ROUND(L3676*'สรุป'!$C$6,-1))</f>
        <v/>
      </c>
      <c r="O3676" s="15" t="n"/>
      <c r="P3676" s="15" t="n"/>
      <c r="Q3676" s="10" t="n"/>
      <c r="R3676" s="10" t="n"/>
      <c r="S3676" s="16" t="inlineStr">
        <is>
          <t>https://mstgolf.co.th/products/gf2040115371</t>
        </is>
      </c>
      <c r="T3676" s="1">
        <f>IF(B3676="ไม้กอล์ฟ",J3676,"")</f>
        <v/>
      </c>
    </row>
    <row r="3677">
      <c r="A3677" s="1" t="n">
        <v>3</v>
      </c>
      <c r="B3677" s="1" t="inlineStr">
        <is>
          <t>เสื้อผ้า</t>
        </is>
      </c>
      <c r="C3677" s="1" t="inlineStr">
        <is>
          <t>gf2040109925</t>
        </is>
      </c>
      <c r="D3677" s="1" t="inlineStr">
        <is>
          <t>CALVIN KLEIN Performance Cotton Women's Polo (Limelight)</t>
        </is>
      </c>
      <c r="E3677" s="1" t="inlineStr">
        <is>
          <t>CALVIN KLEIN</t>
        </is>
      </c>
      <c r="F3677" s="1" t="inlineStr">
        <is>
          <t>SHORT SLEEVES</t>
        </is>
      </c>
      <c r="G3677" s="1" t="inlineStr">
        <is>
          <t>GF2040109925XS</t>
        </is>
      </c>
      <c r="H3677" s="1" t="n">
        <v>5</v>
      </c>
      <c r="I3677" s="1" t="inlineStr">
        <is>
          <t>มี</t>
        </is>
      </c>
      <c r="J3677" s="13" t="n">
        <v>49</v>
      </c>
      <c r="K3677" s="1" t="inlineStr"/>
      <c r="L3677" s="13" t="n">
        <v>49</v>
      </c>
      <c r="M3677" s="1">
        <f>IF(L3677="","ไม่พบใน SG",IF(ABS(J3677-L3677)&lt;0.005,"ตรงกัน","ไม่ตรง"))</f>
        <v/>
      </c>
      <c r="N3677" s="14">
        <f>IF(L3677="","",ROUND(L3677*'สรุป'!$C$6,-1))</f>
        <v/>
      </c>
      <c r="O3677" s="15" t="n"/>
      <c r="P3677" s="15" t="n"/>
      <c r="Q3677" s="10" t="n"/>
      <c r="R3677" s="10" t="n"/>
      <c r="S3677" s="16" t="inlineStr">
        <is>
          <t>https://mstgolf.co.th/products/gf2040109925</t>
        </is>
      </c>
      <c r="T3677" s="1">
        <f>IF(B3677="ไม้กอล์ฟ",J3677,"")</f>
        <v/>
      </c>
    </row>
    <row r="3678">
      <c r="A3678" s="1" t="n">
        <v>3</v>
      </c>
      <c r="B3678" s="1" t="inlineStr">
        <is>
          <t>เสื้อผ้า</t>
        </is>
      </c>
      <c r="C3678" s="1" t="inlineStr">
        <is>
          <t>gf2040117508</t>
        </is>
      </c>
      <c r="D3678" s="1" t="inlineStr">
        <is>
          <t>CALVIN KLEIN Treble Strike Print Men's Polo (Evening Blue)</t>
        </is>
      </c>
      <c r="E3678" s="1" t="inlineStr">
        <is>
          <t>CALVIN KLEIN</t>
        </is>
      </c>
      <c r="F3678" s="1" t="inlineStr">
        <is>
          <t>SHORT SLEEVES</t>
        </is>
      </c>
      <c r="G3678" s="1" t="inlineStr">
        <is>
          <t>GF2040117508S</t>
        </is>
      </c>
      <c r="H3678" s="1" t="n">
        <v>5</v>
      </c>
      <c r="I3678" s="1" t="inlineStr">
        <is>
          <t>มี</t>
        </is>
      </c>
      <c r="J3678" s="13" t="n">
        <v>49</v>
      </c>
      <c r="K3678" s="1" t="inlineStr"/>
      <c r="L3678" s="13" t="n">
        <v>43</v>
      </c>
      <c r="M3678" s="1">
        <f>IF(L3678="","ไม่พบใน SG",IF(ABS(J3678-L3678)&lt;0.005,"ตรงกัน","ไม่ตรง"))</f>
        <v/>
      </c>
      <c r="N3678" s="14">
        <f>IF(L3678="","",ROUND(L3678*'สรุป'!$C$6,-1))</f>
        <v/>
      </c>
      <c r="O3678" s="15" t="n"/>
      <c r="P3678" s="15" t="n"/>
      <c r="Q3678" s="10" t="n"/>
      <c r="R3678" s="10" t="n"/>
      <c r="S3678" s="16" t="inlineStr">
        <is>
          <t>https://mstgolf.co.th/products/gf2040117508</t>
        </is>
      </c>
      <c r="T3678" s="1">
        <f>IF(B3678="ไม้กอล์ฟ",J3678,"")</f>
        <v/>
      </c>
    </row>
    <row r="3679">
      <c r="A3679" s="1" t="n">
        <v>3</v>
      </c>
      <c r="B3679" s="1" t="inlineStr">
        <is>
          <t>เสื้อผ้า</t>
        </is>
      </c>
      <c r="C3679" s="1" t="inlineStr">
        <is>
          <t>gf2040116362</t>
        </is>
      </c>
      <c r="D3679" s="1" t="inlineStr">
        <is>
          <t>CUTTER &amp; BUCK Forge Eco Recycle Men's Polo (Black)</t>
        </is>
      </c>
      <c r="E3679" s="1" t="inlineStr">
        <is>
          <t>CUTTER &amp; BUCK</t>
        </is>
      </c>
      <c r="F3679" s="1" t="inlineStr">
        <is>
          <t>SHORT SLEEVES</t>
        </is>
      </c>
      <c r="G3679" s="1" t="inlineStr">
        <is>
          <t>GF2040116362S</t>
        </is>
      </c>
      <c r="H3679" s="1" t="n">
        <v>5</v>
      </c>
      <c r="I3679" s="1" t="inlineStr">
        <is>
          <t>มี</t>
        </is>
      </c>
      <c r="J3679" s="13" t="n">
        <v>49</v>
      </c>
      <c r="K3679" s="1" t="inlineStr"/>
      <c r="L3679" s="13" t="n">
        <v>49</v>
      </c>
      <c r="M3679" s="1">
        <f>IF(L3679="","ไม่พบใน SG",IF(ABS(J3679-L3679)&lt;0.005,"ตรงกัน","ไม่ตรง"))</f>
        <v/>
      </c>
      <c r="N3679" s="14">
        <f>IF(L3679="","",ROUND(L3679*'สรุป'!$C$6,-1))</f>
        <v/>
      </c>
      <c r="O3679" s="15" t="n"/>
      <c r="P3679" s="15" t="n"/>
      <c r="Q3679" s="10" t="n"/>
      <c r="R3679" s="10" t="n"/>
      <c r="S3679" s="16" t="inlineStr">
        <is>
          <t>https://mstgolf.co.th/products/gf2040116362</t>
        </is>
      </c>
      <c r="T3679" s="1">
        <f>IF(B3679="ไม้กอล์ฟ",J3679,"")</f>
        <v/>
      </c>
    </row>
    <row r="3680">
      <c r="A3680" s="1" t="n">
        <v>3</v>
      </c>
      <c r="B3680" s="1" t="inlineStr">
        <is>
          <t>เสื้อผ้า</t>
        </is>
      </c>
      <c r="C3680" s="1" t="inlineStr">
        <is>
          <t>gf2040118345</t>
        </is>
      </c>
      <c r="D3680" s="1" t="inlineStr">
        <is>
          <t>CUTTER &amp; BUCK Forge Eco Recycle Men's Polo (Element Grey)</t>
        </is>
      </c>
      <c r="E3680" s="1" t="inlineStr">
        <is>
          <t>CUTTER &amp; BUCK</t>
        </is>
      </c>
      <c r="F3680" s="1" t="inlineStr">
        <is>
          <t>SHORT SLEEVES</t>
        </is>
      </c>
      <c r="G3680" s="1" t="inlineStr">
        <is>
          <t>GF2040118345S</t>
        </is>
      </c>
      <c r="H3680" s="1" t="n">
        <v>5</v>
      </c>
      <c r="I3680" s="1" t="inlineStr">
        <is>
          <t>มี</t>
        </is>
      </c>
      <c r="J3680" s="13" t="n">
        <v>49</v>
      </c>
      <c r="K3680" s="1" t="inlineStr"/>
      <c r="L3680" s="13" t="n">
        <v>49</v>
      </c>
      <c r="M3680" s="1">
        <f>IF(L3680="","ไม่พบใน SG",IF(ABS(J3680-L3680)&lt;0.005,"ตรงกัน","ไม่ตรง"))</f>
        <v/>
      </c>
      <c r="N3680" s="14">
        <f>IF(L3680="","",ROUND(L3680*'สรุป'!$C$6,-1))</f>
        <v/>
      </c>
      <c r="O3680" s="15" t="n"/>
      <c r="P3680" s="15" t="n"/>
      <c r="Q3680" s="10" t="n"/>
      <c r="R3680" s="10" t="n"/>
      <c r="S3680" s="16" t="inlineStr">
        <is>
          <t>https://mstgolf.co.th/products/gf2040118345</t>
        </is>
      </c>
      <c r="T3680" s="1">
        <f>IF(B3680="ไม้กอล์ฟ",J3680,"")</f>
        <v/>
      </c>
    </row>
    <row r="3681">
      <c r="A3681" s="1" t="n">
        <v>3</v>
      </c>
      <c r="B3681" s="1" t="inlineStr">
        <is>
          <t>เสื้อผ้า</t>
        </is>
      </c>
      <c r="C3681" s="1" t="inlineStr">
        <is>
          <t>gf2040117321</t>
        </is>
      </c>
      <c r="D3681" s="1" t="inlineStr">
        <is>
          <t>CUTTER &amp; BUCK Forge Eco Recycle Men's Polo (Navy Blue)</t>
        </is>
      </c>
      <c r="E3681" s="1" t="inlineStr">
        <is>
          <t>CUTTER &amp; BUCK</t>
        </is>
      </c>
      <c r="F3681" s="1" t="inlineStr">
        <is>
          <t>SHORT SLEEVES</t>
        </is>
      </c>
      <c r="G3681" s="1" t="inlineStr">
        <is>
          <t>GF2040117321S</t>
        </is>
      </c>
      <c r="H3681" s="1" t="n">
        <v>6</v>
      </c>
      <c r="I3681" s="1" t="inlineStr">
        <is>
          <t>มี</t>
        </is>
      </c>
      <c r="J3681" s="13" t="n">
        <v>49</v>
      </c>
      <c r="K3681" s="1" t="inlineStr"/>
      <c r="L3681" s="13" t="n">
        <v>49</v>
      </c>
      <c r="M3681" s="1">
        <f>IF(L3681="","ไม่พบใน SG",IF(ABS(J3681-L3681)&lt;0.005,"ตรงกัน","ไม่ตรง"))</f>
        <v/>
      </c>
      <c r="N3681" s="14">
        <f>IF(L3681="","",ROUND(L3681*'สรุป'!$C$6,-1))</f>
        <v/>
      </c>
      <c r="O3681" s="15" t="n"/>
      <c r="P3681" s="15" t="n"/>
      <c r="Q3681" s="10" t="n"/>
      <c r="R3681" s="10" t="n"/>
      <c r="S3681" s="16" t="inlineStr">
        <is>
          <t>https://mstgolf.co.th/products/gf2040117321</t>
        </is>
      </c>
      <c r="T3681" s="1">
        <f>IF(B3681="ไม้กอล์ฟ",J3681,"")</f>
        <v/>
      </c>
    </row>
    <row r="3682">
      <c r="A3682" s="1" t="n">
        <v>3</v>
      </c>
      <c r="B3682" s="1" t="inlineStr">
        <is>
          <t>เสื้อผ้า</t>
        </is>
      </c>
      <c r="C3682" s="1" t="inlineStr">
        <is>
          <t>gf2040116386</t>
        </is>
      </c>
      <c r="D3682" s="1" t="inlineStr">
        <is>
          <t>CUTTER &amp; BUCK Forge Eco Recycle Men's Polo (Red)</t>
        </is>
      </c>
      <c r="E3682" s="1" t="inlineStr">
        <is>
          <t>CUTTER &amp; BUCK</t>
        </is>
      </c>
      <c r="F3682" s="1" t="inlineStr">
        <is>
          <t>SHORT SLEEVES</t>
        </is>
      </c>
      <c r="G3682" s="1" t="inlineStr">
        <is>
          <t>GF2040116386S</t>
        </is>
      </c>
      <c r="H3682" s="1" t="n">
        <v>6</v>
      </c>
      <c r="I3682" s="1" t="inlineStr">
        <is>
          <t>มี</t>
        </is>
      </c>
      <c r="J3682" s="13" t="n">
        <v>49</v>
      </c>
      <c r="K3682" s="1" t="inlineStr"/>
      <c r="L3682" s="13" t="n">
        <v>49</v>
      </c>
      <c r="M3682" s="1">
        <f>IF(L3682="","ไม่พบใน SG",IF(ABS(J3682-L3682)&lt;0.005,"ตรงกัน","ไม่ตรง"))</f>
        <v/>
      </c>
      <c r="N3682" s="14">
        <f>IF(L3682="","",ROUND(L3682*'สรุป'!$C$6,-1))</f>
        <v/>
      </c>
      <c r="O3682" s="15" t="n"/>
      <c r="P3682" s="15" t="n"/>
      <c r="Q3682" s="10" t="n"/>
      <c r="R3682" s="10" t="n"/>
      <c r="S3682" s="16" t="inlineStr">
        <is>
          <t>https://mstgolf.co.th/products/gf2040116386</t>
        </is>
      </c>
      <c r="T3682" s="1">
        <f>IF(B3682="ไม้กอล์ฟ",J3682,"")</f>
        <v/>
      </c>
    </row>
    <row r="3683">
      <c r="A3683" s="1" t="n">
        <v>3</v>
      </c>
      <c r="B3683" s="1" t="inlineStr">
        <is>
          <t>เสื้อผ้า</t>
        </is>
      </c>
      <c r="C3683" s="1" t="inlineStr">
        <is>
          <t>gf2040115082</t>
        </is>
      </c>
      <c r="D3683" s="1" t="inlineStr">
        <is>
          <t>CUTTER &amp; BUCK Forged Heather Men's Polo (Cardinal Red Heather)</t>
        </is>
      </c>
      <c r="E3683" s="1" t="inlineStr">
        <is>
          <t>CUTTER &amp; BUCK</t>
        </is>
      </c>
      <c r="F3683" s="1" t="inlineStr">
        <is>
          <t>SHORT SLEEVES</t>
        </is>
      </c>
      <c r="G3683" s="1" t="inlineStr">
        <is>
          <t>GF2040115082XS</t>
        </is>
      </c>
      <c r="H3683" s="1" t="n">
        <v>6</v>
      </c>
      <c r="I3683" s="1" t="inlineStr">
        <is>
          <t>มี</t>
        </is>
      </c>
      <c r="J3683" s="13" t="n">
        <v>49</v>
      </c>
      <c r="K3683" s="1" t="inlineStr"/>
      <c r="L3683" s="13" t="n">
        <v>49</v>
      </c>
      <c r="M3683" s="1">
        <f>IF(L3683="","ไม่พบใน SG",IF(ABS(J3683-L3683)&lt;0.005,"ตรงกัน","ไม่ตรง"))</f>
        <v/>
      </c>
      <c r="N3683" s="14">
        <f>IF(L3683="","",ROUND(L3683*'สรุป'!$C$6,-1))</f>
        <v/>
      </c>
      <c r="O3683" s="15" t="n"/>
      <c r="P3683" s="15" t="n"/>
      <c r="Q3683" s="10" t="n"/>
      <c r="R3683" s="10" t="n"/>
      <c r="S3683" s="16" t="inlineStr">
        <is>
          <t>https://mstgolf.co.th/products/gf2040115082</t>
        </is>
      </c>
      <c r="T3683" s="1">
        <f>IF(B3683="ไม้กอล์ฟ",J3683,"")</f>
        <v/>
      </c>
    </row>
    <row r="3684">
      <c r="A3684" s="1" t="n">
        <v>3</v>
      </c>
      <c r="B3684" s="1" t="inlineStr">
        <is>
          <t>เสื้อผ้า</t>
        </is>
      </c>
      <c r="C3684" s="1" t="inlineStr">
        <is>
          <t>gf2020201946</t>
        </is>
      </c>
      <c r="D3684" s="1" t="inlineStr">
        <is>
          <t>CUTTER &amp; BUCK Pacific Pull On Skort (Liberty Navy)</t>
        </is>
      </c>
      <c r="E3684" s="1" t="inlineStr">
        <is>
          <t>CUTTER &amp; BUCK</t>
        </is>
      </c>
      <c r="F3684" s="1" t="inlineStr">
        <is>
          <t>SHORT PANTS</t>
        </is>
      </c>
      <c r="G3684" s="1" t="inlineStr">
        <is>
          <t>GF2020201946XS</t>
        </is>
      </c>
      <c r="H3684" s="1" t="n">
        <v>5</v>
      </c>
      <c r="I3684" s="1" t="inlineStr">
        <is>
          <t>มี</t>
        </is>
      </c>
      <c r="J3684" s="13" t="n">
        <v>49</v>
      </c>
      <c r="K3684" s="1" t="inlineStr"/>
      <c r="L3684" s="13" t="n">
        <v>49</v>
      </c>
      <c r="M3684" s="1">
        <f>IF(L3684="","ไม่พบใน SG",IF(ABS(J3684-L3684)&lt;0.005,"ตรงกัน","ไม่ตรง"))</f>
        <v/>
      </c>
      <c r="N3684" s="14">
        <f>IF(L3684="","",ROUND(L3684*'สรุป'!$C$6,-1))</f>
        <v/>
      </c>
      <c r="O3684" s="15" t="n"/>
      <c r="P3684" s="15" t="n"/>
      <c r="Q3684" s="10" t="n"/>
      <c r="R3684" s="10" t="n"/>
      <c r="S3684" s="16" t="inlineStr">
        <is>
          <t>https://mstgolf.co.th/products/gf2020201946</t>
        </is>
      </c>
      <c r="T3684" s="1">
        <f>IF(B3684="ไม้กอล์ฟ",J3684,"")</f>
        <v/>
      </c>
    </row>
    <row r="3685">
      <c r="A3685" s="1" t="n">
        <v>3</v>
      </c>
      <c r="B3685" s="1" t="inlineStr">
        <is>
          <t>เสื้อผ้า</t>
        </is>
      </c>
      <c r="C3685" s="1" t="inlineStr">
        <is>
          <t>gf2020200790</t>
        </is>
      </c>
      <c r="D3685" s="1" t="inlineStr">
        <is>
          <t>CUTTER &amp; BUCK Pacific Pull On Women's Skort (Black)</t>
        </is>
      </c>
      <c r="E3685" s="1" t="inlineStr">
        <is>
          <t>CUTTER &amp; BUCK</t>
        </is>
      </c>
      <c r="F3685" s="1" t="inlineStr">
        <is>
          <t>SHORT PANTS</t>
        </is>
      </c>
      <c r="G3685" s="1" t="inlineStr">
        <is>
          <t>GF2020200790XS</t>
        </is>
      </c>
      <c r="H3685" s="1" t="n">
        <v>6</v>
      </c>
      <c r="I3685" s="1" t="inlineStr">
        <is>
          <t>มี</t>
        </is>
      </c>
      <c r="J3685" s="13" t="n">
        <v>49</v>
      </c>
      <c r="K3685" s="1" t="inlineStr"/>
      <c r="L3685" s="13" t="n">
        <v>49</v>
      </c>
      <c r="M3685" s="1">
        <f>IF(L3685="","ไม่พบใน SG",IF(ABS(J3685-L3685)&lt;0.005,"ตรงกัน","ไม่ตรง"))</f>
        <v/>
      </c>
      <c r="N3685" s="14">
        <f>IF(L3685="","",ROUND(L3685*'สรุป'!$C$6,-1))</f>
        <v/>
      </c>
      <c r="O3685" s="15" t="n"/>
      <c r="P3685" s="15" t="n"/>
      <c r="Q3685" s="10" t="n"/>
      <c r="R3685" s="10" t="n"/>
      <c r="S3685" s="16" t="inlineStr">
        <is>
          <t>https://mstgolf.co.th/products/gf2020200790</t>
        </is>
      </c>
      <c r="T3685" s="1">
        <f>IF(B3685="ไม้กอล์ฟ",J3685,"")</f>
        <v/>
      </c>
    </row>
    <row r="3686">
      <c r="A3686" s="1" t="n">
        <v>3</v>
      </c>
      <c r="B3686" s="1" t="inlineStr">
        <is>
          <t>เสื้อผ้า</t>
        </is>
      </c>
      <c r="C3686" s="1" t="inlineStr">
        <is>
          <t>gf2020200993</t>
        </is>
      </c>
      <c r="D3686" s="1" t="inlineStr">
        <is>
          <t>CUTTER &amp; BUCK Pacific Pull-On Women's Skort (White)</t>
        </is>
      </c>
      <c r="E3686" s="1" t="inlineStr">
        <is>
          <t>CUTTER &amp; BUCK</t>
        </is>
      </c>
      <c r="F3686" s="1" t="inlineStr">
        <is>
          <t>SHORT PANTS</t>
        </is>
      </c>
      <c r="G3686" s="1" t="inlineStr">
        <is>
          <t>GF2020200993XS</t>
        </is>
      </c>
      <c r="H3686" s="1" t="n">
        <v>5</v>
      </c>
      <c r="I3686" s="1" t="inlineStr">
        <is>
          <t>มี</t>
        </is>
      </c>
      <c r="J3686" s="13" t="n">
        <v>49</v>
      </c>
      <c r="K3686" s="1" t="inlineStr"/>
      <c r="L3686" s="13" t="n">
        <v>49</v>
      </c>
      <c r="M3686" s="1">
        <f>IF(L3686="","ไม่พบใน SG",IF(ABS(J3686-L3686)&lt;0.005,"ตรงกัน","ไม่ตรง"))</f>
        <v/>
      </c>
      <c r="N3686" s="14">
        <f>IF(L3686="","",ROUND(L3686*'สรุป'!$C$6,-1))</f>
        <v/>
      </c>
      <c r="O3686" s="15" t="n"/>
      <c r="P3686" s="15" t="n"/>
      <c r="Q3686" s="10" t="n"/>
      <c r="R3686" s="10" t="n"/>
      <c r="S3686" s="16" t="inlineStr">
        <is>
          <t>https://mstgolf.co.th/products/gf2020200993</t>
        </is>
      </c>
      <c r="T3686" s="1">
        <f>IF(B3686="ไม้กอล์ฟ",J3686,"")</f>
        <v/>
      </c>
    </row>
    <row r="3687">
      <c r="A3687" s="1" t="n">
        <v>3</v>
      </c>
      <c r="B3687" s="1" t="inlineStr">
        <is>
          <t>เสื้อผ้า</t>
        </is>
      </c>
      <c r="C3687" s="1" t="inlineStr">
        <is>
          <t>gf2040112841</t>
        </is>
      </c>
      <c r="D3687" s="1" t="inlineStr">
        <is>
          <t>CUTTER &amp; BUCK Virtue Ecopique Women's Polo (Atlas)</t>
        </is>
      </c>
      <c r="E3687" s="1" t="inlineStr">
        <is>
          <t>CUTTER &amp; BUCK</t>
        </is>
      </c>
      <c r="F3687" s="1" t="inlineStr">
        <is>
          <t>SHORT SLEEVES</t>
        </is>
      </c>
      <c r="G3687" s="1" t="inlineStr">
        <is>
          <t>GF2040112841XS</t>
        </is>
      </c>
      <c r="H3687" s="1" t="n">
        <v>6</v>
      </c>
      <c r="I3687" s="1" t="inlineStr">
        <is>
          <t>มี</t>
        </is>
      </c>
      <c r="J3687" s="13" t="n">
        <v>49</v>
      </c>
      <c r="K3687" s="1" t="inlineStr"/>
      <c r="L3687" s="13" t="n">
        <v>49</v>
      </c>
      <c r="M3687" s="1">
        <f>IF(L3687="","ไม่พบใน SG",IF(ABS(J3687-L3687)&lt;0.005,"ตรงกัน","ไม่ตรง"))</f>
        <v/>
      </c>
      <c r="N3687" s="14">
        <f>IF(L3687="","",ROUND(L3687*'สรุป'!$C$6,-1))</f>
        <v/>
      </c>
      <c r="O3687" s="15" t="n"/>
      <c r="P3687" s="15" t="n"/>
      <c r="Q3687" s="10" t="n"/>
      <c r="R3687" s="10" t="n"/>
      <c r="S3687" s="16" t="inlineStr">
        <is>
          <t>https://mstgolf.co.th/products/gf2040112841</t>
        </is>
      </c>
      <c r="T3687" s="1">
        <f>IF(B3687="ไม้กอล์ฟ",J3687,"")</f>
        <v/>
      </c>
    </row>
    <row r="3688">
      <c r="A3688" s="1" t="n">
        <v>3</v>
      </c>
      <c r="B3688" s="1" t="inlineStr">
        <is>
          <t>หมวก</t>
        </is>
      </c>
      <c r="C3688" s="1" t="inlineStr">
        <is>
          <t>gf2000200862</t>
        </is>
      </c>
      <c r="D3688" s="1" t="inlineStr">
        <is>
          <t>GFORE Camo Skull Men's Visor (White)</t>
        </is>
      </c>
      <c r="E3688" s="1" t="inlineStr">
        <is>
          <t>GFORE</t>
        </is>
      </c>
      <c r="F3688" s="1" t="inlineStr">
        <is>
          <t>VISOR</t>
        </is>
      </c>
      <c r="G3688" s="1" t="inlineStr">
        <is>
          <t>GF2000200862FS</t>
        </is>
      </c>
      <c r="H3688" s="1" t="n">
        <v>1</v>
      </c>
      <c r="I3688" s="1" t="inlineStr">
        <is>
          <t>มี</t>
        </is>
      </c>
      <c r="J3688" s="13" t="n">
        <v>49</v>
      </c>
      <c r="K3688" s="1" t="inlineStr"/>
      <c r="L3688" s="13" t="n">
        <v>49</v>
      </c>
      <c r="M3688" s="1">
        <f>IF(L3688="","ไม่พบใน SG",IF(ABS(J3688-L3688)&lt;0.005,"ตรงกัน","ไม่ตรง"))</f>
        <v/>
      </c>
      <c r="N3688" s="14">
        <f>IF(L3688="","",ROUND(L3688*'สรุป'!$C$6,-1))</f>
        <v/>
      </c>
      <c r="O3688" s="15" t="n"/>
      <c r="P3688" s="15" t="n"/>
      <c r="Q3688" s="10" t="n"/>
      <c r="R3688" s="10" t="n"/>
      <c r="S3688" s="16" t="inlineStr">
        <is>
          <t>https://mstgolf.co.th/products/gf2000200862</t>
        </is>
      </c>
      <c r="T3688" s="1">
        <f>IF(B3688="ไม้กอล์ฟ",J3688,"")</f>
        <v/>
      </c>
    </row>
    <row r="3689">
      <c r="A3689" s="1" t="n">
        <v>3</v>
      </c>
      <c r="B3689" s="1" t="inlineStr">
        <is>
          <t>หมวก</t>
        </is>
      </c>
      <c r="C3689" s="1" t="inlineStr">
        <is>
          <t>gf2000300355</t>
        </is>
      </c>
      <c r="D3689" s="1" t="inlineStr">
        <is>
          <t>GFORE Camouflage Reversible Tech Men's Hat (Camo/Exo)</t>
        </is>
      </c>
      <c r="E3689" s="1" t="inlineStr">
        <is>
          <t>GFORE</t>
        </is>
      </c>
      <c r="F3689" s="1" t="inlineStr">
        <is>
          <t>HAT</t>
        </is>
      </c>
      <c r="G3689" s="1" t="inlineStr">
        <is>
          <t>GF2000300355FS</t>
        </is>
      </c>
      <c r="H3689" s="1" t="n">
        <v>1</v>
      </c>
      <c r="I3689" s="1" t="inlineStr">
        <is>
          <t>มี</t>
        </is>
      </c>
      <c r="J3689" s="13" t="n">
        <v>49</v>
      </c>
      <c r="K3689" s="1" t="inlineStr"/>
      <c r="L3689" s="13" t="n">
        <v>49</v>
      </c>
      <c r="M3689" s="1">
        <f>IF(L3689="","ไม่พบใน SG",IF(ABS(J3689-L3689)&lt;0.005,"ตรงกัน","ไม่ตรง"))</f>
        <v/>
      </c>
      <c r="N3689" s="14">
        <f>IF(L3689="","",ROUND(L3689*'สรุป'!$C$6,-1))</f>
        <v/>
      </c>
      <c r="O3689" s="15" t="n"/>
      <c r="P3689" s="15" t="n"/>
      <c r="Q3689" s="10" t="n"/>
      <c r="R3689" s="10" t="n"/>
      <c r="S3689" s="16" t="inlineStr">
        <is>
          <t>https://mstgolf.co.th/products/gf2000300355</t>
        </is>
      </c>
      <c r="T3689" s="1">
        <f>IF(B3689="ไม้กอล์ฟ",J3689,"")</f>
        <v/>
      </c>
    </row>
    <row r="3690">
      <c r="A3690" s="1" t="n">
        <v>3</v>
      </c>
      <c r="B3690" s="1" t="inlineStr">
        <is>
          <t>หมวก</t>
        </is>
      </c>
      <c r="C3690" s="1" t="inlineStr">
        <is>
          <t>gf2000105459</t>
        </is>
      </c>
      <c r="D3690" s="1" t="inlineStr">
        <is>
          <t>GFORE Circle G Women's Snapback Cap (Twilight)</t>
        </is>
      </c>
      <c r="E3690" s="1" t="inlineStr">
        <is>
          <t>GFORE</t>
        </is>
      </c>
      <c r="F3690" s="1" t="inlineStr">
        <is>
          <t>CAP</t>
        </is>
      </c>
      <c r="G3690" s="1" t="inlineStr">
        <is>
          <t>GF2000105459FS</t>
        </is>
      </c>
      <c r="H3690" s="1" t="n">
        <v>1</v>
      </c>
      <c r="I3690" s="1" t="inlineStr">
        <is>
          <t>มี</t>
        </is>
      </c>
      <c r="J3690" s="13" t="n">
        <v>49</v>
      </c>
      <c r="K3690" s="1" t="inlineStr"/>
      <c r="L3690" s="13" t="n">
        <v>49</v>
      </c>
      <c r="M3690" s="1">
        <f>IF(L3690="","ไม่พบใน SG",IF(ABS(J3690-L3690)&lt;0.005,"ตรงกัน","ไม่ตรง"))</f>
        <v/>
      </c>
      <c r="N3690" s="14">
        <f>IF(L3690="","",ROUND(L3690*'สรุป'!$C$6,-1))</f>
        <v/>
      </c>
      <c r="O3690" s="15" t="n"/>
      <c r="P3690" s="15" t="n"/>
      <c r="Q3690" s="10" t="n"/>
      <c r="R3690" s="10" t="n"/>
      <c r="S3690" s="16" t="inlineStr">
        <is>
          <t>https://mstgolf.co.th/products/gf2000105459</t>
        </is>
      </c>
      <c r="T3690" s="1">
        <f>IF(B3690="ไม้กอล์ฟ",J3690,"")</f>
        <v/>
      </c>
    </row>
    <row r="3691">
      <c r="A3691" s="1" t="n">
        <v>3</v>
      </c>
      <c r="B3691" s="1" t="inlineStr">
        <is>
          <t>หมวก</t>
        </is>
      </c>
      <c r="C3691" s="1" t="inlineStr">
        <is>
          <t>gf2000300282</t>
        </is>
      </c>
      <c r="D3691" s="1" t="inlineStr">
        <is>
          <t>GFORE Circle G's Men's Bucket Hat (Blue)</t>
        </is>
      </c>
      <c r="E3691" s="1" t="inlineStr">
        <is>
          <t>GFORE</t>
        </is>
      </c>
      <c r="F3691" s="1" t="inlineStr">
        <is>
          <t>HAT</t>
        </is>
      </c>
      <c r="G3691" s="1" t="inlineStr">
        <is>
          <t>GF2000300282S/M</t>
        </is>
      </c>
      <c r="H3691" s="1" t="n">
        <v>3</v>
      </c>
      <c r="I3691" s="1" t="inlineStr">
        <is>
          <t>มี</t>
        </is>
      </c>
      <c r="J3691" s="13" t="n">
        <v>49</v>
      </c>
      <c r="K3691" s="1" t="inlineStr"/>
      <c r="L3691" s="13" t="n">
        <v>49</v>
      </c>
      <c r="M3691" s="1">
        <f>IF(L3691="","ไม่พบใน SG",IF(ABS(J3691-L3691)&lt;0.005,"ตรงกัน","ไม่ตรง"))</f>
        <v/>
      </c>
      <c r="N3691" s="14">
        <f>IF(L3691="","",ROUND(L3691*'สรุป'!$C$6,-1))</f>
        <v/>
      </c>
      <c r="O3691" s="15" t="n"/>
      <c r="P3691" s="15" t="n"/>
      <c r="Q3691" s="10" t="n"/>
      <c r="R3691" s="10" t="n"/>
      <c r="S3691" s="16" t="inlineStr">
        <is>
          <t>https://mstgolf.co.th/products/gf2000300282</t>
        </is>
      </c>
      <c r="T3691" s="1">
        <f>IF(B3691="ไม้กอล์ฟ",J3691,"")</f>
        <v/>
      </c>
    </row>
    <row r="3692">
      <c r="A3692" s="1" t="n">
        <v>3</v>
      </c>
      <c r="B3692" s="1" t="inlineStr">
        <is>
          <t>หมวก</t>
        </is>
      </c>
      <c r="C3692" s="1" t="inlineStr">
        <is>
          <t>gf2000200845</t>
        </is>
      </c>
      <c r="D3692" s="1" t="inlineStr">
        <is>
          <t>GFORE Circle G's Men's Visor (Charcoal)</t>
        </is>
      </c>
      <c r="E3692" s="1" t="inlineStr">
        <is>
          <t>GFORE</t>
        </is>
      </c>
      <c r="F3692" s="1" t="inlineStr">
        <is>
          <t>VISOR</t>
        </is>
      </c>
      <c r="G3692" s="1" t="inlineStr">
        <is>
          <t>GF2000200845FS</t>
        </is>
      </c>
      <c r="H3692" s="1" t="n">
        <v>1</v>
      </c>
      <c r="I3692" s="1" t="inlineStr">
        <is>
          <t>มี</t>
        </is>
      </c>
      <c r="J3692" s="13" t="n">
        <v>49</v>
      </c>
      <c r="K3692" s="1" t="inlineStr"/>
      <c r="L3692" s="13" t="n">
        <v>49</v>
      </c>
      <c r="M3692" s="1">
        <f>IF(L3692="","ไม่พบใน SG",IF(ABS(J3692-L3692)&lt;0.005,"ตรงกัน","ไม่ตรง"))</f>
        <v/>
      </c>
      <c r="N3692" s="14">
        <f>IF(L3692="","",ROUND(L3692*'สรุป'!$C$6,-1))</f>
        <v/>
      </c>
      <c r="O3692" s="15" t="n"/>
      <c r="P3692" s="15" t="n"/>
      <c r="Q3692" s="10" t="n"/>
      <c r="R3692" s="10" t="n"/>
      <c r="S3692" s="16" t="inlineStr">
        <is>
          <t>https://mstgolf.co.th/products/gf2000200845</t>
        </is>
      </c>
      <c r="T3692" s="1">
        <f>IF(B3692="ไม้กอล์ฟ",J3692,"")</f>
        <v/>
      </c>
    </row>
    <row r="3693">
      <c r="A3693" s="1" t="n">
        <v>3</v>
      </c>
      <c r="B3693" s="1" t="inlineStr">
        <is>
          <t>หมวก</t>
        </is>
      </c>
      <c r="C3693" s="1" t="inlineStr">
        <is>
          <t>gf2000200844</t>
        </is>
      </c>
      <c r="D3693" s="1" t="inlineStr">
        <is>
          <t>GFORE Circle G's Men's Visor (Charcoal)</t>
        </is>
      </c>
      <c r="E3693" s="1" t="inlineStr">
        <is>
          <t>GFORE</t>
        </is>
      </c>
      <c r="F3693" s="1" t="inlineStr">
        <is>
          <t>VISOR</t>
        </is>
      </c>
      <c r="G3693" s="1" t="inlineStr">
        <is>
          <t>GF2000200844FS</t>
        </is>
      </c>
      <c r="H3693" s="1" t="n">
        <v>1</v>
      </c>
      <c r="I3693" s="1" t="inlineStr">
        <is>
          <t>มี</t>
        </is>
      </c>
      <c r="J3693" s="13" t="n">
        <v>49</v>
      </c>
      <c r="K3693" s="1" t="inlineStr"/>
      <c r="L3693" s="13" t="n">
        <v>49</v>
      </c>
      <c r="M3693" s="1">
        <f>IF(L3693="","ไม่พบใน SG",IF(ABS(J3693-L3693)&lt;0.005,"ตรงกัน","ไม่ตรง"))</f>
        <v/>
      </c>
      <c r="N3693" s="14">
        <f>IF(L3693="","",ROUND(L3693*'สรุป'!$C$6,-1))</f>
        <v/>
      </c>
      <c r="O3693" s="15" t="n"/>
      <c r="P3693" s="15" t="n"/>
      <c r="Q3693" s="10" t="n"/>
      <c r="R3693" s="10" t="n"/>
      <c r="S3693" s="16" t="inlineStr">
        <is>
          <t>https://mstgolf.co.th/products/gf2000200844</t>
        </is>
      </c>
      <c r="T3693" s="1">
        <f>IF(B3693="ไม้กอล์ฟ",J3693,"")</f>
        <v/>
      </c>
    </row>
    <row r="3694">
      <c r="A3694" s="1" t="n">
        <v>3</v>
      </c>
      <c r="B3694" s="1" t="inlineStr">
        <is>
          <t>หมวก</t>
        </is>
      </c>
      <c r="C3694" s="1" t="inlineStr">
        <is>
          <t>gf2000200861</t>
        </is>
      </c>
      <c r="D3694" s="1" t="inlineStr">
        <is>
          <t>GFORE Circle G's Men's Visor (Twilight)</t>
        </is>
      </c>
      <c r="E3694" s="1" t="inlineStr">
        <is>
          <t>GFORE</t>
        </is>
      </c>
      <c r="F3694" s="1" t="inlineStr">
        <is>
          <t>VISOR</t>
        </is>
      </c>
      <c r="G3694" s="1" t="inlineStr">
        <is>
          <t>GF2000200861FS</t>
        </is>
      </c>
      <c r="H3694" s="1" t="n">
        <v>1</v>
      </c>
      <c r="I3694" s="1" t="inlineStr">
        <is>
          <t>มี</t>
        </is>
      </c>
      <c r="J3694" s="13" t="n">
        <v>49</v>
      </c>
      <c r="K3694" s="1" t="inlineStr"/>
      <c r="L3694" s="13" t="n">
        <v>49</v>
      </c>
      <c r="M3694" s="1">
        <f>IF(L3694="","ไม่พบใน SG",IF(ABS(J3694-L3694)&lt;0.005,"ตรงกัน","ไม่ตรง"))</f>
        <v/>
      </c>
      <c r="N3694" s="14">
        <f>IF(L3694="","",ROUND(L3694*'สรุป'!$C$6,-1))</f>
        <v/>
      </c>
      <c r="O3694" s="15" t="n"/>
      <c r="P3694" s="15" t="n"/>
      <c r="Q3694" s="10" t="n"/>
      <c r="R3694" s="10" t="n"/>
      <c r="S3694" s="16" t="inlineStr">
        <is>
          <t>https://mstgolf.co.th/products/gf2000200861</t>
        </is>
      </c>
      <c r="T3694" s="1">
        <f>IF(B3694="ไม้กอล์ฟ",J3694,"")</f>
        <v/>
      </c>
    </row>
    <row r="3695">
      <c r="A3695" s="1" t="n">
        <v>3</v>
      </c>
      <c r="B3695" s="1" t="inlineStr">
        <is>
          <t>หมวก</t>
        </is>
      </c>
      <c r="C3695" s="1" t="inlineStr">
        <is>
          <t>gf2000105042</t>
        </is>
      </c>
      <c r="D3695" s="1" t="inlineStr">
        <is>
          <t>GFORE Circle G's Snapback Men's Cap (Blue)</t>
        </is>
      </c>
      <c r="E3695" s="1" t="inlineStr">
        <is>
          <t>GFORE</t>
        </is>
      </c>
      <c r="F3695" s="1" t="inlineStr">
        <is>
          <t>CAP</t>
        </is>
      </c>
      <c r="G3695" s="1" t="inlineStr">
        <is>
          <t>GF2000105042FS</t>
        </is>
      </c>
      <c r="H3695" s="1" t="n">
        <v>1</v>
      </c>
      <c r="I3695" s="1" t="inlineStr">
        <is>
          <t>มี</t>
        </is>
      </c>
      <c r="J3695" s="13" t="n">
        <v>49</v>
      </c>
      <c r="K3695" s="1" t="inlineStr"/>
      <c r="L3695" s="13" t="n">
        <v>49</v>
      </c>
      <c r="M3695" s="1">
        <f>IF(L3695="","ไม่พบใน SG",IF(ABS(J3695-L3695)&lt;0.005,"ตรงกัน","ไม่ตรง"))</f>
        <v/>
      </c>
      <c r="N3695" s="14">
        <f>IF(L3695="","",ROUND(L3695*'สรุป'!$C$6,-1))</f>
        <v/>
      </c>
      <c r="O3695" s="15" t="n"/>
      <c r="P3695" s="15" t="n"/>
      <c r="Q3695" s="10" t="n"/>
      <c r="R3695" s="10" t="n"/>
      <c r="S3695" s="16" t="inlineStr">
        <is>
          <t>https://mstgolf.co.th/products/gf2000105042</t>
        </is>
      </c>
      <c r="T3695" s="1">
        <f>IF(B3695="ไม้กอล์ฟ",J3695,"")</f>
        <v/>
      </c>
    </row>
    <row r="3696">
      <c r="A3696" s="1" t="n">
        <v>3</v>
      </c>
      <c r="B3696" s="1" t="inlineStr">
        <is>
          <t>หมวก</t>
        </is>
      </c>
      <c r="C3696" s="1" t="inlineStr">
        <is>
          <t>gf2000105044</t>
        </is>
      </c>
      <c r="D3696" s="1" t="inlineStr">
        <is>
          <t>GFORE Circle G's Snapback Men's Cap (Navy)</t>
        </is>
      </c>
      <c r="E3696" s="1" t="inlineStr">
        <is>
          <t>GFORE</t>
        </is>
      </c>
      <c r="F3696" s="1" t="inlineStr">
        <is>
          <t>CAP</t>
        </is>
      </c>
      <c r="G3696" s="1" t="inlineStr">
        <is>
          <t>GF2000105044FS</t>
        </is>
      </c>
      <c r="H3696" s="1" t="n">
        <v>1</v>
      </c>
      <c r="I3696" s="1" t="inlineStr">
        <is>
          <t>มี</t>
        </is>
      </c>
      <c r="J3696" s="13" t="n">
        <v>49</v>
      </c>
      <c r="K3696" s="1" t="inlineStr"/>
      <c r="L3696" s="13" t="n">
        <v>49</v>
      </c>
      <c r="M3696" s="1">
        <f>IF(L3696="","ไม่พบใน SG",IF(ABS(J3696-L3696)&lt;0.005,"ตรงกัน","ไม่ตรง"))</f>
        <v/>
      </c>
      <c r="N3696" s="14">
        <f>IF(L3696="","",ROUND(L3696*'สรุป'!$C$6,-1))</f>
        <v/>
      </c>
      <c r="O3696" s="15" t="n"/>
      <c r="P3696" s="15" t="n"/>
      <c r="Q3696" s="10" t="n"/>
      <c r="R3696" s="10" t="n"/>
      <c r="S3696" s="16" t="inlineStr">
        <is>
          <t>https://mstgolf.co.th/products/gf2000105044</t>
        </is>
      </c>
      <c r="T3696" s="1">
        <f>IF(B3696="ไม้กอล์ฟ",J3696,"")</f>
        <v/>
      </c>
    </row>
    <row r="3697">
      <c r="A3697" s="1" t="n">
        <v>3</v>
      </c>
      <c r="B3697" s="1" t="inlineStr">
        <is>
          <t>หมวก</t>
        </is>
      </c>
      <c r="C3697" s="1" t="inlineStr">
        <is>
          <t>gf2000105043</t>
        </is>
      </c>
      <c r="D3697" s="1" t="inlineStr">
        <is>
          <t>GFORE Circle G's Snapback Men's Cap (White)</t>
        </is>
      </c>
      <c r="E3697" s="1" t="inlineStr">
        <is>
          <t>GFORE</t>
        </is>
      </c>
      <c r="F3697" s="1" t="inlineStr">
        <is>
          <t>CAP</t>
        </is>
      </c>
      <c r="G3697" s="1" t="inlineStr">
        <is>
          <t>GF2000105043FS</t>
        </is>
      </c>
      <c r="H3697" s="1" t="n">
        <v>1</v>
      </c>
      <c r="I3697" s="1" t="inlineStr">
        <is>
          <t>มี</t>
        </is>
      </c>
      <c r="J3697" s="13" t="n">
        <v>49</v>
      </c>
      <c r="K3697" s="1" t="inlineStr"/>
      <c r="L3697" s="13" t="n">
        <v>49</v>
      </c>
      <c r="M3697" s="1">
        <f>IF(L3697="","ไม่พบใน SG",IF(ABS(J3697-L3697)&lt;0.005,"ตรงกัน","ไม่ตรง"))</f>
        <v/>
      </c>
      <c r="N3697" s="14">
        <f>IF(L3697="","",ROUND(L3697*'สรุป'!$C$6,-1))</f>
        <v/>
      </c>
      <c r="O3697" s="15" t="n"/>
      <c r="P3697" s="15" t="n"/>
      <c r="Q3697" s="10" t="n"/>
      <c r="R3697" s="10" t="n"/>
      <c r="S3697" s="16" t="inlineStr">
        <is>
          <t>https://mstgolf.co.th/products/gf2000105043</t>
        </is>
      </c>
      <c r="T3697" s="1">
        <f>IF(B3697="ไม้กอล์ฟ",J3697,"")</f>
        <v/>
      </c>
    </row>
    <row r="3698">
      <c r="A3698" s="1" t="n">
        <v>3</v>
      </c>
      <c r="B3698" s="1" t="inlineStr">
        <is>
          <t>หมวก</t>
        </is>
      </c>
      <c r="C3698" s="1" t="inlineStr">
        <is>
          <t>gf2000105040</t>
        </is>
      </c>
      <c r="D3698" s="1" t="inlineStr">
        <is>
          <t>GFORE Circle G's Snapback Men's Cap (Yellow)</t>
        </is>
      </c>
      <c r="E3698" s="1" t="inlineStr">
        <is>
          <t>GFORE</t>
        </is>
      </c>
      <c r="F3698" s="1" t="inlineStr">
        <is>
          <t>CAP</t>
        </is>
      </c>
      <c r="G3698" s="1" t="inlineStr">
        <is>
          <t>GF2000105040FS</t>
        </is>
      </c>
      <c r="H3698" s="1" t="n">
        <v>1</v>
      </c>
      <c r="I3698" s="1" t="inlineStr">
        <is>
          <t>มี</t>
        </is>
      </c>
      <c r="J3698" s="13" t="n">
        <v>49</v>
      </c>
      <c r="K3698" s="1" t="inlineStr"/>
      <c r="L3698" s="13" t="n">
        <v>49</v>
      </c>
      <c r="M3698" s="1">
        <f>IF(L3698="","ไม่พบใน SG",IF(ABS(J3698-L3698)&lt;0.005,"ตรงกัน","ไม่ตรง"))</f>
        <v/>
      </c>
      <c r="N3698" s="14">
        <f>IF(L3698="","",ROUND(L3698*'สรุป'!$C$6,-1))</f>
        <v/>
      </c>
      <c r="O3698" s="15" t="n"/>
      <c r="P3698" s="15" t="n"/>
      <c r="Q3698" s="10" t="n"/>
      <c r="R3698" s="10" t="n"/>
      <c r="S3698" s="16" t="inlineStr">
        <is>
          <t>https://mstgolf.co.th/products/gf2000105040</t>
        </is>
      </c>
      <c r="T3698" s="1">
        <f>IF(B3698="ไม้กอล์ฟ",J3698,"")</f>
        <v/>
      </c>
    </row>
    <row r="3699">
      <c r="A3699" s="1" t="n">
        <v>3</v>
      </c>
      <c r="B3699" s="1" t="inlineStr">
        <is>
          <t>หมวก</t>
        </is>
      </c>
      <c r="C3699" s="1" t="inlineStr">
        <is>
          <t>gf2000105507</t>
        </is>
      </c>
      <c r="D3699" s="1" t="inlineStr">
        <is>
          <t>GFORE Circle G's Stretch Twill Men's Snapback Cap (Onyx)</t>
        </is>
      </c>
      <c r="E3699" s="1" t="inlineStr">
        <is>
          <t>GFORE</t>
        </is>
      </c>
      <c r="F3699" s="1" t="inlineStr">
        <is>
          <t>CAP</t>
        </is>
      </c>
      <c r="G3699" s="1" t="inlineStr">
        <is>
          <t>GF2000105507FS</t>
        </is>
      </c>
      <c r="H3699" s="1" t="n">
        <v>1</v>
      </c>
      <c r="I3699" s="1" t="inlineStr">
        <is>
          <t>มี</t>
        </is>
      </c>
      <c r="J3699" s="13" t="n">
        <v>49</v>
      </c>
      <c r="K3699" s="1" t="inlineStr"/>
      <c r="L3699" s="13" t="n">
        <v>49</v>
      </c>
      <c r="M3699" s="1">
        <f>IF(L3699="","ไม่พบใน SG",IF(ABS(J3699-L3699)&lt;0.005,"ตรงกัน","ไม่ตรง"))</f>
        <v/>
      </c>
      <c r="N3699" s="14">
        <f>IF(L3699="","",ROUND(L3699*'สรุป'!$C$6,-1))</f>
        <v/>
      </c>
      <c r="O3699" s="15" t="n"/>
      <c r="P3699" s="15" t="n"/>
      <c r="Q3699" s="10" t="n"/>
      <c r="R3699" s="10" t="n"/>
      <c r="S3699" s="16" t="inlineStr">
        <is>
          <t>https://mstgolf.co.th/products/gf2000105507</t>
        </is>
      </c>
      <c r="T3699" s="1">
        <f>IF(B3699="ไม้กอล์ฟ",J3699,"")</f>
        <v/>
      </c>
    </row>
    <row r="3700">
      <c r="A3700" s="1" t="n">
        <v>3</v>
      </c>
      <c r="B3700" s="1" t="inlineStr">
        <is>
          <t>หมวก</t>
        </is>
      </c>
      <c r="C3700" s="1" t="inlineStr">
        <is>
          <t>gf2000105455</t>
        </is>
      </c>
      <c r="D3700" s="1" t="inlineStr">
        <is>
          <t>GFORE Circle G's Stretch Twill Women's Visor (Snow)</t>
        </is>
      </c>
      <c r="E3700" s="1" t="inlineStr">
        <is>
          <t>GFORE</t>
        </is>
      </c>
      <c r="F3700" s="1" t="inlineStr">
        <is>
          <t>CAP</t>
        </is>
      </c>
      <c r="G3700" s="1" t="inlineStr">
        <is>
          <t>GF2000105455FS</t>
        </is>
      </c>
      <c r="H3700" s="1" t="n">
        <v>1</v>
      </c>
      <c r="I3700" s="1" t="inlineStr">
        <is>
          <t>มี</t>
        </is>
      </c>
      <c r="J3700" s="13" t="n">
        <v>49</v>
      </c>
      <c r="K3700" s="1" t="inlineStr"/>
      <c r="L3700" s="13" t="n">
        <v>49</v>
      </c>
      <c r="M3700" s="1">
        <f>IF(L3700="","ไม่พบใน SG",IF(ABS(J3700-L3700)&lt;0.005,"ตรงกัน","ไม่ตรง"))</f>
        <v/>
      </c>
      <c r="N3700" s="14">
        <f>IF(L3700="","",ROUND(L3700*'สรุป'!$C$6,-1))</f>
        <v/>
      </c>
      <c r="O3700" s="15" t="n"/>
      <c r="P3700" s="15" t="n"/>
      <c r="Q3700" s="10" t="n"/>
      <c r="R3700" s="10" t="n"/>
      <c r="S3700" s="16" t="inlineStr">
        <is>
          <t>https://mstgolf.co.th/products/gf2000105455</t>
        </is>
      </c>
      <c r="T3700" s="1">
        <f>IF(B3700="ไม้กอล์ฟ",J3700,"")</f>
        <v/>
      </c>
    </row>
    <row r="3701">
      <c r="A3701" s="1" t="n">
        <v>3</v>
      </c>
      <c r="B3701" s="1" t="inlineStr">
        <is>
          <t>หมวก</t>
        </is>
      </c>
      <c r="C3701" s="1" t="inlineStr">
        <is>
          <t>gf2000105454</t>
        </is>
      </c>
      <c r="D3701" s="1" t="inlineStr">
        <is>
          <t>GFORE Circle G's Stretch Twill Women's Visor (Twilight)</t>
        </is>
      </c>
      <c r="E3701" s="1" t="inlineStr">
        <is>
          <t>GFORE</t>
        </is>
      </c>
      <c r="F3701" s="1" t="inlineStr">
        <is>
          <t>CAP</t>
        </is>
      </c>
      <c r="G3701" s="1" t="inlineStr">
        <is>
          <t>GF2000105454FS</t>
        </is>
      </c>
      <c r="H3701" s="1" t="n">
        <v>1</v>
      </c>
      <c r="I3701" s="1" t="inlineStr">
        <is>
          <t>มี</t>
        </is>
      </c>
      <c r="J3701" s="13" t="n">
        <v>49</v>
      </c>
      <c r="K3701" s="1" t="inlineStr"/>
      <c r="L3701" s="13" t="n">
        <v>49</v>
      </c>
      <c r="M3701" s="1">
        <f>IF(L3701="","ไม่พบใน SG",IF(ABS(J3701-L3701)&lt;0.005,"ตรงกัน","ไม่ตรง"))</f>
        <v/>
      </c>
      <c r="N3701" s="14">
        <f>IF(L3701="","",ROUND(L3701*'สรุป'!$C$6,-1))</f>
        <v/>
      </c>
      <c r="O3701" s="15" t="n"/>
      <c r="P3701" s="15" t="n"/>
      <c r="Q3701" s="10" t="n"/>
      <c r="R3701" s="10" t="n"/>
      <c r="S3701" s="16" t="inlineStr">
        <is>
          <t>https://mstgolf.co.th/products/gf2000105454</t>
        </is>
      </c>
      <c r="T3701" s="1">
        <f>IF(B3701="ไม้กอล์ฟ",J3701,"")</f>
        <v/>
      </c>
    </row>
    <row r="3702">
      <c r="A3702" s="1" t="n">
        <v>3</v>
      </c>
      <c r="B3702" s="1" t="inlineStr">
        <is>
          <t>หมวก</t>
        </is>
      </c>
      <c r="C3702" s="1" t="inlineStr">
        <is>
          <t>gf2000105439</t>
        </is>
      </c>
      <c r="D3702" s="1" t="inlineStr">
        <is>
          <t>GFORE Country Club Hack Stretch Twill Men's Snapback (Onyx)</t>
        </is>
      </c>
      <c r="E3702" s="1" t="inlineStr">
        <is>
          <t>GFORE</t>
        </is>
      </c>
      <c r="F3702" s="1" t="inlineStr">
        <is>
          <t>CAP</t>
        </is>
      </c>
      <c r="G3702" s="1" t="inlineStr">
        <is>
          <t>GF2000105439FS</t>
        </is>
      </c>
      <c r="H3702" s="1" t="n">
        <v>1</v>
      </c>
      <c r="I3702" s="1" t="inlineStr">
        <is>
          <t>มี</t>
        </is>
      </c>
      <c r="J3702" s="13" t="n">
        <v>49</v>
      </c>
      <c r="K3702" s="1" t="inlineStr"/>
      <c r="L3702" s="13" t="n">
        <v>49</v>
      </c>
      <c r="M3702" s="1">
        <f>IF(L3702="","ไม่พบใน SG",IF(ABS(J3702-L3702)&lt;0.005,"ตรงกัน","ไม่ตรง"))</f>
        <v/>
      </c>
      <c r="N3702" s="14">
        <f>IF(L3702="","",ROUND(L3702*'สรุป'!$C$6,-1))</f>
        <v/>
      </c>
      <c r="O3702" s="15" t="n"/>
      <c r="P3702" s="15" t="n"/>
      <c r="Q3702" s="10" t="n"/>
      <c r="R3702" s="10" t="n"/>
      <c r="S3702" s="16" t="inlineStr">
        <is>
          <t>https://mstgolf.co.th/products/gf2000105439</t>
        </is>
      </c>
      <c r="T3702" s="1">
        <f>IF(B3702="ไม้กอล์ฟ",J3702,"")</f>
        <v/>
      </c>
    </row>
    <row r="3703">
      <c r="A3703" s="1" t="n">
        <v>3</v>
      </c>
      <c r="B3703" s="1" t="inlineStr">
        <is>
          <t>หมวก</t>
        </is>
      </c>
      <c r="C3703" s="1" t="inlineStr">
        <is>
          <t>gf2000105045</t>
        </is>
      </c>
      <c r="D3703" s="1" t="inlineStr">
        <is>
          <t>GFORE Funking Up The Fairways Men's Cap (Blue)</t>
        </is>
      </c>
      <c r="E3703" s="1" t="inlineStr">
        <is>
          <t>GFORE</t>
        </is>
      </c>
      <c r="F3703" s="1" t="inlineStr">
        <is>
          <t>CAP</t>
        </is>
      </c>
      <c r="G3703" s="1" t="inlineStr">
        <is>
          <t>GF2000105045FS</t>
        </is>
      </c>
      <c r="H3703" s="1" t="n">
        <v>1</v>
      </c>
      <c r="I3703" s="1" t="inlineStr">
        <is>
          <t>มี</t>
        </is>
      </c>
      <c r="J3703" s="13" t="n">
        <v>49</v>
      </c>
      <c r="K3703" s="1" t="inlineStr"/>
      <c r="L3703" s="13" t="n">
        <v>49</v>
      </c>
      <c r="M3703" s="1">
        <f>IF(L3703="","ไม่พบใน SG",IF(ABS(J3703-L3703)&lt;0.005,"ตรงกัน","ไม่ตรง"))</f>
        <v/>
      </c>
      <c r="N3703" s="14">
        <f>IF(L3703="","",ROUND(L3703*'สรุป'!$C$6,-1))</f>
        <v/>
      </c>
      <c r="O3703" s="15" t="n"/>
      <c r="P3703" s="15" t="n"/>
      <c r="Q3703" s="10" t="n"/>
      <c r="R3703" s="10" t="n"/>
      <c r="S3703" s="16" t="inlineStr">
        <is>
          <t>https://mstgolf.co.th/products/gf2000105045</t>
        </is>
      </c>
      <c r="T3703" s="1">
        <f>IF(B3703="ไม้กอล์ฟ",J3703,"")</f>
        <v/>
      </c>
    </row>
    <row r="3704">
      <c r="A3704" s="1" t="n">
        <v>3</v>
      </c>
      <c r="B3704" s="1" t="inlineStr">
        <is>
          <t>หมวก</t>
        </is>
      </c>
      <c r="C3704" s="1" t="inlineStr">
        <is>
          <t>gf2000200843</t>
        </is>
      </c>
      <c r="D3704" s="1" t="inlineStr">
        <is>
          <t>GFORE Girls Golf Too Women's Visor (Snow)</t>
        </is>
      </c>
      <c r="E3704" s="1" t="inlineStr">
        <is>
          <t>GFORE</t>
        </is>
      </c>
      <c r="F3704" s="1" t="inlineStr">
        <is>
          <t>VISOR</t>
        </is>
      </c>
      <c r="G3704" s="1" t="inlineStr">
        <is>
          <t>GF2000200843FS</t>
        </is>
      </c>
      <c r="H3704" s="1" t="n">
        <v>1</v>
      </c>
      <c r="I3704" s="1" t="inlineStr">
        <is>
          <t>มี</t>
        </is>
      </c>
      <c r="J3704" s="13" t="n">
        <v>49</v>
      </c>
      <c r="K3704" s="1" t="inlineStr"/>
      <c r="L3704" s="13" t="n">
        <v>29</v>
      </c>
      <c r="M3704" s="1">
        <f>IF(L3704="","ไม่พบใน SG",IF(ABS(J3704-L3704)&lt;0.005,"ตรงกัน","ไม่ตรง"))</f>
        <v/>
      </c>
      <c r="N3704" s="14">
        <f>IF(L3704="","",ROUND(L3704*'สรุป'!$C$6,-1))</f>
        <v/>
      </c>
      <c r="O3704" s="15" t="n"/>
      <c r="P3704" s="15" t="n"/>
      <c r="Q3704" s="10" t="n"/>
      <c r="R3704" s="10" t="n"/>
      <c r="S3704" s="16" t="inlineStr">
        <is>
          <t>https://mstgolf.co.th/products/gf2000200843</t>
        </is>
      </c>
      <c r="T3704" s="1">
        <f>IF(B3704="ไม้กอล์ฟ",J3704,"")</f>
        <v/>
      </c>
    </row>
    <row r="3705">
      <c r="A3705" s="1" t="n">
        <v>3</v>
      </c>
      <c r="B3705" s="1" t="inlineStr">
        <is>
          <t>หมวก</t>
        </is>
      </c>
      <c r="C3705" s="1" t="inlineStr">
        <is>
          <t>gf2000105050</t>
        </is>
      </c>
      <c r="D3705" s="1" t="inlineStr">
        <is>
          <t>GFORE Golfing Is Snapback Men's Cap (Blue)</t>
        </is>
      </c>
      <c r="E3705" s="1" t="inlineStr">
        <is>
          <t>GFORE</t>
        </is>
      </c>
      <c r="F3705" s="1" t="inlineStr">
        <is>
          <t>CAP</t>
        </is>
      </c>
      <c r="G3705" s="1" t="inlineStr">
        <is>
          <t>GF2000105050FS</t>
        </is>
      </c>
      <c r="H3705" s="1" t="n">
        <v>1</v>
      </c>
      <c r="I3705" s="1" t="inlineStr">
        <is>
          <t>มี</t>
        </is>
      </c>
      <c r="J3705" s="13" t="n">
        <v>49</v>
      </c>
      <c r="K3705" s="1" t="inlineStr"/>
      <c r="L3705" s="13" t="n">
        <v>49</v>
      </c>
      <c r="M3705" s="1">
        <f>IF(L3705="","ไม่พบใน SG",IF(ABS(J3705-L3705)&lt;0.005,"ตรงกัน","ไม่ตรง"))</f>
        <v/>
      </c>
      <c r="N3705" s="14">
        <f>IF(L3705="","",ROUND(L3705*'สรุป'!$C$6,-1))</f>
        <v/>
      </c>
      <c r="O3705" s="15" t="n"/>
      <c r="P3705" s="15" t="n"/>
      <c r="Q3705" s="10" t="n"/>
      <c r="R3705" s="10" t="n"/>
      <c r="S3705" s="16" t="inlineStr">
        <is>
          <t>https://mstgolf.co.th/products/gf2000105050</t>
        </is>
      </c>
      <c r="T3705" s="1">
        <f>IF(B3705="ไม้กอล์ฟ",J3705,"")</f>
        <v/>
      </c>
    </row>
    <row r="3706">
      <c r="A3706" s="1" t="n">
        <v>3</v>
      </c>
      <c r="B3706" s="1" t="inlineStr">
        <is>
          <t>หมวก</t>
        </is>
      </c>
      <c r="C3706" s="1" t="inlineStr">
        <is>
          <t>gf2000105049</t>
        </is>
      </c>
      <c r="D3706" s="1" t="inlineStr">
        <is>
          <t>GFORE Golfing Is Snapback Men's Cap (Orange)</t>
        </is>
      </c>
      <c r="E3706" s="1" t="inlineStr">
        <is>
          <t>GFORE</t>
        </is>
      </c>
      <c r="F3706" s="1" t="inlineStr">
        <is>
          <t>CAP</t>
        </is>
      </c>
      <c r="G3706" s="1" t="inlineStr">
        <is>
          <t>GF2000105049FS</t>
        </is>
      </c>
      <c r="H3706" s="1" t="n">
        <v>1</v>
      </c>
      <c r="I3706" s="1" t="inlineStr">
        <is>
          <t>มี</t>
        </is>
      </c>
      <c r="J3706" s="13" t="n">
        <v>49</v>
      </c>
      <c r="K3706" s="1" t="inlineStr"/>
      <c r="L3706" s="13" t="n">
        <v>35</v>
      </c>
      <c r="M3706" s="1">
        <f>IF(L3706="","ไม่พบใน SG",IF(ABS(J3706-L3706)&lt;0.005,"ตรงกัน","ไม่ตรง"))</f>
        <v/>
      </c>
      <c r="N3706" s="14">
        <f>IF(L3706="","",ROUND(L3706*'สรุป'!$C$6,-1))</f>
        <v/>
      </c>
      <c r="O3706" s="15" t="n"/>
      <c r="P3706" s="15" t="n"/>
      <c r="Q3706" s="10" t="n"/>
      <c r="R3706" s="10" t="n"/>
      <c r="S3706" s="16" t="inlineStr">
        <is>
          <t>https://mstgolf.co.th/products/gf2000105049</t>
        </is>
      </c>
      <c r="T3706" s="1">
        <f>IF(B3706="ไม้กอล์ฟ",J3706,"")</f>
        <v/>
      </c>
    </row>
    <row r="3707">
      <c r="A3707" s="1" t="n">
        <v>3</v>
      </c>
      <c r="B3707" s="1" t="inlineStr">
        <is>
          <t>หมวก</t>
        </is>
      </c>
      <c r="C3707" s="1" t="inlineStr">
        <is>
          <t>gf2000300266</t>
        </is>
      </c>
      <c r="D3707" s="1" t="inlineStr">
        <is>
          <t>GFORE Quarter G Men's Bucket Hat (Snow)</t>
        </is>
      </c>
      <c r="E3707" s="1" t="inlineStr">
        <is>
          <t>GFORE</t>
        </is>
      </c>
      <c r="F3707" s="1" t="inlineStr">
        <is>
          <t>HAT</t>
        </is>
      </c>
      <c r="G3707" s="1" t="inlineStr">
        <is>
          <t>GF2000300266FS</t>
        </is>
      </c>
      <c r="H3707" s="1" t="n">
        <v>3</v>
      </c>
      <c r="I3707" s="1" t="inlineStr">
        <is>
          <t>มี</t>
        </is>
      </c>
      <c r="J3707" s="13" t="n">
        <v>49</v>
      </c>
      <c r="K3707" s="1" t="inlineStr"/>
      <c r="L3707" s="13" t="n">
        <v>49</v>
      </c>
      <c r="M3707" s="1">
        <f>IF(L3707="","ไม่พบใน SG",IF(ABS(J3707-L3707)&lt;0.005,"ตรงกัน","ไม่ตรง"))</f>
        <v/>
      </c>
      <c r="N3707" s="14">
        <f>IF(L3707="","",ROUND(L3707*'สรุป'!$C$6,-1))</f>
        <v/>
      </c>
      <c r="O3707" s="15" t="n"/>
      <c r="P3707" s="15" t="n"/>
      <c r="Q3707" s="10" t="n"/>
      <c r="R3707" s="10" t="n"/>
      <c r="S3707" s="16" t="inlineStr">
        <is>
          <t>https://mstgolf.co.th/products/gf2000300266</t>
        </is>
      </c>
      <c r="T3707" s="1">
        <f>IF(B3707="ไม้กอล์ฟ",J3707,"")</f>
        <v/>
      </c>
    </row>
    <row r="3708">
      <c r="A3708" s="1" t="n">
        <v>3</v>
      </c>
      <c r="B3708" s="1" t="inlineStr">
        <is>
          <t>หมวก</t>
        </is>
      </c>
      <c r="C3708" s="1" t="inlineStr">
        <is>
          <t>gf2000300267</t>
        </is>
      </c>
      <c r="D3708" s="1" t="inlineStr">
        <is>
          <t>GFORE Wide Brim Women's Hat (Twilight)</t>
        </is>
      </c>
      <c r="E3708" s="1" t="inlineStr">
        <is>
          <t>GFORE</t>
        </is>
      </c>
      <c r="F3708" s="1" t="inlineStr">
        <is>
          <t>HAT</t>
        </is>
      </c>
      <c r="G3708" s="1" t="inlineStr">
        <is>
          <t>GF2000300267FS</t>
        </is>
      </c>
      <c r="H3708" s="1" t="n">
        <v>3</v>
      </c>
      <c r="I3708" s="1" t="inlineStr">
        <is>
          <t>มี</t>
        </is>
      </c>
      <c r="J3708" s="13" t="n">
        <v>49</v>
      </c>
      <c r="K3708" s="1" t="inlineStr"/>
      <c r="L3708" s="13" t="n">
        <v>49</v>
      </c>
      <c r="M3708" s="1">
        <f>IF(L3708="","ไม่พบใน SG",IF(ABS(J3708-L3708)&lt;0.005,"ตรงกัน","ไม่ตรง"))</f>
        <v/>
      </c>
      <c r="N3708" s="14">
        <f>IF(L3708="","",ROUND(L3708*'สรุป'!$C$6,-1))</f>
        <v/>
      </c>
      <c r="O3708" s="15" t="n"/>
      <c r="P3708" s="15" t="n"/>
      <c r="Q3708" s="10" t="n"/>
      <c r="R3708" s="10" t="n"/>
      <c r="S3708" s="16" t="inlineStr">
        <is>
          <t>https://mstgolf.co.th/products/gf2000300267</t>
        </is>
      </c>
      <c r="T3708" s="1">
        <f>IF(B3708="ไม้กอล์ฟ",J3708,"")</f>
        <v/>
      </c>
    </row>
    <row r="3709">
      <c r="A3709" s="1" t="n">
        <v>3</v>
      </c>
      <c r="B3709" s="1" t="inlineStr">
        <is>
          <t>หมวก</t>
        </is>
      </c>
      <c r="C3709" s="1" t="inlineStr">
        <is>
          <t>gf2000106626</t>
        </is>
      </c>
      <c r="D3709" s="1" t="inlineStr">
        <is>
          <t>LE COQ SPORTIF GOLF Comfy Fit Women's Cap (Grey)</t>
        </is>
      </c>
      <c r="E3709" s="1" t="inlineStr">
        <is>
          <t>LE COQ SPORTIF GOLF</t>
        </is>
      </c>
      <c r="F3709" s="1" t="inlineStr">
        <is>
          <t>CAP</t>
        </is>
      </c>
      <c r="G3709" s="1" t="inlineStr">
        <is>
          <t>GF2000106626FS</t>
        </is>
      </c>
      <c r="H3709" s="1" t="n">
        <v>1</v>
      </c>
      <c r="I3709" s="1" t="inlineStr">
        <is>
          <t>มี</t>
        </is>
      </c>
      <c r="J3709" s="13" t="n">
        <v>49</v>
      </c>
      <c r="K3709" s="1" t="inlineStr"/>
      <c r="L3709" s="13" t="n">
        <v>49</v>
      </c>
      <c r="M3709" s="1">
        <f>IF(L3709="","ไม่พบใน SG",IF(ABS(J3709-L3709)&lt;0.005,"ตรงกัน","ไม่ตรง"))</f>
        <v/>
      </c>
      <c r="N3709" s="14">
        <f>IF(L3709="","",ROUND(L3709*'สรุป'!$C$6,-1))</f>
        <v/>
      </c>
      <c r="O3709" s="15" t="n"/>
      <c r="P3709" s="15" t="n"/>
      <c r="Q3709" s="10" t="n"/>
      <c r="R3709" s="10" t="n"/>
      <c r="S3709" s="16" t="inlineStr">
        <is>
          <t>https://mstgolf.co.th/products/gf2000106626</t>
        </is>
      </c>
      <c r="T3709" s="1">
        <f>IF(B3709="ไม้กอล์ฟ",J3709,"")</f>
        <v/>
      </c>
    </row>
    <row r="3710">
      <c r="A3710" s="1" t="n">
        <v>3</v>
      </c>
      <c r="B3710" s="1" t="inlineStr">
        <is>
          <t>หมวก</t>
        </is>
      </c>
      <c r="C3710" s="1" t="inlineStr">
        <is>
          <t>gf2000106627</t>
        </is>
      </c>
      <c r="D3710" s="1" t="inlineStr">
        <is>
          <t>LE COQ SPORTIF GOLF Comfy Fit Women's Cap (White)</t>
        </is>
      </c>
      <c r="E3710" s="1" t="inlineStr">
        <is>
          <t>LE COQ SPORTIF GOLF</t>
        </is>
      </c>
      <c r="F3710" s="1" t="inlineStr">
        <is>
          <t>CAP</t>
        </is>
      </c>
      <c r="G3710" s="1" t="inlineStr">
        <is>
          <t>GF2000106627FS</t>
        </is>
      </c>
      <c r="H3710" s="1" t="n">
        <v>1</v>
      </c>
      <c r="I3710" s="1" t="inlineStr">
        <is>
          <t>มี</t>
        </is>
      </c>
      <c r="J3710" s="13" t="n">
        <v>49</v>
      </c>
      <c r="K3710" s="1" t="inlineStr"/>
      <c r="L3710" s="13" t="n">
        <v>49</v>
      </c>
      <c r="M3710" s="1">
        <f>IF(L3710="","ไม่พบใน SG",IF(ABS(J3710-L3710)&lt;0.005,"ตรงกัน","ไม่ตรง"))</f>
        <v/>
      </c>
      <c r="N3710" s="14">
        <f>IF(L3710="","",ROUND(L3710*'สรุป'!$C$6,-1))</f>
        <v/>
      </c>
      <c r="O3710" s="15" t="n"/>
      <c r="P3710" s="15" t="n"/>
      <c r="Q3710" s="10" t="n"/>
      <c r="R3710" s="10" t="n"/>
      <c r="S3710" s="16" t="inlineStr">
        <is>
          <t>https://mstgolf.co.th/products/gf2000106627</t>
        </is>
      </c>
      <c r="T3710" s="1">
        <f>IF(B3710="ไม้กอล์ฟ",J3710,"")</f>
        <v/>
      </c>
    </row>
    <row r="3711">
      <c r="A3711" s="1" t="n">
        <v>3</v>
      </c>
      <c r="B3711" s="1" t="inlineStr">
        <is>
          <t>หมวก</t>
        </is>
      </c>
      <c r="C3711" s="1" t="inlineStr">
        <is>
          <t>gf2000106659</t>
        </is>
      </c>
      <c r="D3711" s="1" t="inlineStr">
        <is>
          <t>LE COQ SPORTIF GOLF Satin Women's Cap (Black)</t>
        </is>
      </c>
      <c r="E3711" s="1" t="inlineStr">
        <is>
          <t>LE COQ SPORTIF GOLF</t>
        </is>
      </c>
      <c r="F3711" s="1" t="inlineStr">
        <is>
          <t>CAP</t>
        </is>
      </c>
      <c r="G3711" s="1" t="inlineStr">
        <is>
          <t>GF2000106659FS</t>
        </is>
      </c>
      <c r="H3711" s="1" t="n">
        <v>1</v>
      </c>
      <c r="I3711" s="1" t="inlineStr">
        <is>
          <t>มี</t>
        </is>
      </c>
      <c r="J3711" s="13" t="n">
        <v>49</v>
      </c>
      <c r="K3711" s="1" t="inlineStr"/>
      <c r="L3711" s="13" t="n">
        <v>49</v>
      </c>
      <c r="M3711" s="1">
        <f>IF(L3711="","ไม่พบใน SG",IF(ABS(J3711-L3711)&lt;0.005,"ตรงกัน","ไม่ตรง"))</f>
        <v/>
      </c>
      <c r="N3711" s="14">
        <f>IF(L3711="","",ROUND(L3711*'สรุป'!$C$6,-1))</f>
        <v/>
      </c>
      <c r="O3711" s="15" t="n"/>
      <c r="P3711" s="15" t="n"/>
      <c r="Q3711" s="10" t="n"/>
      <c r="R3711" s="10" t="n"/>
      <c r="S3711" s="16" t="inlineStr">
        <is>
          <t>https://mstgolf.co.th/products/gf2000106659</t>
        </is>
      </c>
      <c r="T3711" s="1">
        <f>IF(B3711="ไม้กอล์ฟ",J3711,"")</f>
        <v/>
      </c>
    </row>
    <row r="3712">
      <c r="A3712" s="1" t="n">
        <v>3</v>
      </c>
      <c r="B3712" s="1" t="inlineStr">
        <is>
          <t>หมวก</t>
        </is>
      </c>
      <c r="C3712" s="1" t="inlineStr">
        <is>
          <t>gf2000106628</t>
        </is>
      </c>
      <c r="D3712" s="1" t="inlineStr">
        <is>
          <t>LE COQ SPORTIF GOLF Satin Women's Cap (Purple)</t>
        </is>
      </c>
      <c r="E3712" s="1" t="inlineStr">
        <is>
          <t>LE COQ SPORTIF GOLF</t>
        </is>
      </c>
      <c r="F3712" s="1" t="inlineStr">
        <is>
          <t>CAP</t>
        </is>
      </c>
      <c r="G3712" s="1" t="inlineStr">
        <is>
          <t>GF2000106628FS</t>
        </is>
      </c>
      <c r="H3712" s="1" t="n">
        <v>1</v>
      </c>
      <c r="I3712" s="1" t="inlineStr">
        <is>
          <t>มี</t>
        </is>
      </c>
      <c r="J3712" s="13" t="n">
        <v>49</v>
      </c>
      <c r="K3712" s="1" t="inlineStr"/>
      <c r="L3712" s="13" t="n">
        <v>49</v>
      </c>
      <c r="M3712" s="1">
        <f>IF(L3712="","ไม่พบใน SG",IF(ABS(J3712-L3712)&lt;0.005,"ตรงกัน","ไม่ตรง"))</f>
        <v/>
      </c>
      <c r="N3712" s="14">
        <f>IF(L3712="","",ROUND(L3712*'สรุป'!$C$6,-1))</f>
        <v/>
      </c>
      <c r="O3712" s="15" t="n"/>
      <c r="P3712" s="15" t="n"/>
      <c r="Q3712" s="10" t="n"/>
      <c r="R3712" s="10" t="n"/>
      <c r="S3712" s="16" t="inlineStr">
        <is>
          <t>https://mstgolf.co.th/products/gf2000106628</t>
        </is>
      </c>
      <c r="T3712" s="1">
        <f>IF(B3712="ไม้กอล์ฟ",J3712,"")</f>
        <v/>
      </c>
    </row>
    <row r="3713">
      <c r="A3713" s="1" t="n">
        <v>3</v>
      </c>
      <c r="B3713" s="1" t="inlineStr">
        <is>
          <t>เสื้อผ้า</t>
        </is>
      </c>
      <c r="C3713" s="1" t="inlineStr">
        <is>
          <t>gf2040113046</t>
        </is>
      </c>
      <c r="D3713" s="1" t="inlineStr">
        <is>
          <t>NIKE Ace Women's Long Sleeve Shirt (Seafoam)</t>
        </is>
      </c>
      <c r="E3713" s="1" t="inlineStr">
        <is>
          <t>NIKE</t>
        </is>
      </c>
      <c r="F3713" s="1" t="inlineStr">
        <is>
          <t>SHORT SLEEVES</t>
        </is>
      </c>
      <c r="G3713" s="1" t="inlineStr">
        <is>
          <t>GF2040113046XS</t>
        </is>
      </c>
      <c r="H3713" s="1" t="n">
        <v>6</v>
      </c>
      <c r="I3713" s="1" t="inlineStr">
        <is>
          <t>มี</t>
        </is>
      </c>
      <c r="J3713" s="13" t="n">
        <v>49</v>
      </c>
      <c r="K3713" s="1" t="inlineStr"/>
      <c r="L3713" s="13" t="n"/>
      <c r="M3713" s="1">
        <f>IF(L3713="","ไม่พบใน SG",IF(ABS(J3713-L3713)&lt;0.005,"ตรงกัน","ไม่ตรง"))</f>
        <v/>
      </c>
      <c r="N3713" s="14">
        <f>IF(L3713="","",ROUND(L3713*'สรุป'!$C$6,-1))</f>
        <v/>
      </c>
      <c r="O3713" s="15" t="n"/>
      <c r="P3713" s="15" t="n"/>
      <c r="Q3713" s="10" t="n"/>
      <c r="R3713" s="10" t="n"/>
      <c r="S3713" s="16" t="inlineStr">
        <is>
          <t>https://mstgolf.co.th/products/gf2040113046</t>
        </is>
      </c>
      <c r="T3713" s="1">
        <f>IF(B3713="ไม้กอล์ฟ",J3713,"")</f>
        <v/>
      </c>
    </row>
    <row r="3714">
      <c r="A3714" s="1" t="n">
        <v>3</v>
      </c>
      <c r="B3714" s="1" t="inlineStr">
        <is>
          <t>เสื้อผ้า</t>
        </is>
      </c>
      <c r="C3714" s="1" t="inlineStr">
        <is>
          <t>gf2070400100</t>
        </is>
      </c>
      <c r="D3714" s="1" t="inlineStr">
        <is>
          <t>NIKE Dri-FIT UV Victory Crew Women's Inner Long Sleeve Shirt (Black)</t>
        </is>
      </c>
      <c r="E3714" s="1" t="inlineStr">
        <is>
          <t>NIKE</t>
        </is>
      </c>
      <c r="F3714" s="1" t="inlineStr">
        <is>
          <t>SHIRT</t>
        </is>
      </c>
      <c r="G3714" s="1" t="inlineStr">
        <is>
          <t>GF2070400100XS</t>
        </is>
      </c>
      <c r="H3714" s="1" t="n">
        <v>6</v>
      </c>
      <c r="I3714" s="1" t="inlineStr">
        <is>
          <t>มี</t>
        </is>
      </c>
      <c r="J3714" s="13" t="n">
        <v>49</v>
      </c>
      <c r="K3714" s="1" t="inlineStr"/>
      <c r="L3714" s="13" t="n">
        <v>39</v>
      </c>
      <c r="M3714" s="1">
        <f>IF(L3714="","ไม่พบใน SG",IF(ABS(J3714-L3714)&lt;0.005,"ตรงกัน","ไม่ตรง"))</f>
        <v/>
      </c>
      <c r="N3714" s="14">
        <f>IF(L3714="","",ROUND(L3714*'สรุป'!$C$6,-1))</f>
        <v/>
      </c>
      <c r="O3714" s="15" t="n"/>
      <c r="P3714" s="15" t="n"/>
      <c r="Q3714" s="10" t="n"/>
      <c r="R3714" s="10" t="n"/>
      <c r="S3714" s="16" t="inlineStr">
        <is>
          <t>https://mstgolf.co.th/products/gf2070400100</t>
        </is>
      </c>
      <c r="T3714" s="1">
        <f>IF(B3714="ไม้กอล์ฟ",J3714,"")</f>
        <v/>
      </c>
    </row>
    <row r="3715">
      <c r="A3715" s="1" t="n">
        <v>3</v>
      </c>
      <c r="B3715" s="1" t="inlineStr">
        <is>
          <t>หมวก</t>
        </is>
      </c>
      <c r="C3715" s="1" t="inlineStr">
        <is>
          <t>gf2000105932</t>
        </is>
      </c>
      <c r="D3715" s="1" t="inlineStr">
        <is>
          <t>NIKE Pro Structured Dri-FIT Unisex Cap (Black)</t>
        </is>
      </c>
      <c r="E3715" s="1" t="inlineStr">
        <is>
          <t>NIKE</t>
        </is>
      </c>
      <c r="F3715" s="1" t="inlineStr">
        <is>
          <t>CAP</t>
        </is>
      </c>
      <c r="G3715" s="1" t="inlineStr">
        <is>
          <t>GF2000105932S/M</t>
        </is>
      </c>
      <c r="H3715" s="1" t="n">
        <v>3</v>
      </c>
      <c r="I3715" s="1" t="inlineStr">
        <is>
          <t>มี</t>
        </is>
      </c>
      <c r="J3715" s="13" t="n">
        <v>49</v>
      </c>
      <c r="K3715" s="1" t="inlineStr"/>
      <c r="L3715" s="13" t="n">
        <v>49</v>
      </c>
      <c r="M3715" s="1">
        <f>IF(L3715="","ไม่พบใน SG",IF(ABS(J3715-L3715)&lt;0.005,"ตรงกัน","ไม่ตรง"))</f>
        <v/>
      </c>
      <c r="N3715" s="14">
        <f>IF(L3715="","",ROUND(L3715*'สรุป'!$C$6,-1))</f>
        <v/>
      </c>
      <c r="O3715" s="15" t="n"/>
      <c r="P3715" s="15" t="n"/>
      <c r="Q3715" s="10" t="n"/>
      <c r="R3715" s="10" t="n"/>
      <c r="S3715" s="16" t="inlineStr">
        <is>
          <t>https://mstgolf.co.th/products/gf2000105932</t>
        </is>
      </c>
      <c r="T3715" s="1">
        <f>IF(B3715="ไม้กอล์ฟ",J3715,"")</f>
        <v/>
      </c>
    </row>
    <row r="3716">
      <c r="A3716" s="1" t="n">
        <v>3</v>
      </c>
      <c r="B3716" s="1" t="inlineStr">
        <is>
          <t>หมวก</t>
        </is>
      </c>
      <c r="C3716" s="1" t="inlineStr">
        <is>
          <t>gf2000105155</t>
        </is>
      </c>
      <c r="D3716" s="1" t="inlineStr">
        <is>
          <t>NIKE Tiger Wood AeroBill L91 Men's Cap (Red/White)</t>
        </is>
      </c>
      <c r="E3716" s="1" t="inlineStr">
        <is>
          <t>NIKE</t>
        </is>
      </c>
      <c r="F3716" s="1" t="inlineStr">
        <is>
          <t>CAP</t>
        </is>
      </c>
      <c r="G3716" s="1" t="inlineStr">
        <is>
          <t>GF2000105155XS/S</t>
        </is>
      </c>
      <c r="H3716" s="1" t="n">
        <v>4</v>
      </c>
      <c r="I3716" s="1" t="inlineStr">
        <is>
          <t>มี</t>
        </is>
      </c>
      <c r="J3716" s="13" t="n">
        <v>49</v>
      </c>
      <c r="K3716" s="1" t="inlineStr"/>
      <c r="L3716" s="13" t="n">
        <v>25</v>
      </c>
      <c r="M3716" s="1">
        <f>IF(L3716="","ไม่พบใน SG",IF(ABS(J3716-L3716)&lt;0.005,"ตรงกัน","ไม่ตรง"))</f>
        <v/>
      </c>
      <c r="N3716" s="14">
        <f>IF(L3716="","",ROUND(L3716*'สรุป'!$C$6,-1))</f>
        <v/>
      </c>
      <c r="O3716" s="15" t="n"/>
      <c r="P3716" s="15" t="n"/>
      <c r="Q3716" s="10" t="n"/>
      <c r="R3716" s="10" t="n"/>
      <c r="S3716" s="16" t="inlineStr">
        <is>
          <t>https://mstgolf.co.th/products/gf2000105155</t>
        </is>
      </c>
      <c r="T3716" s="1">
        <f>IF(B3716="ไม้กอล์ฟ",J3716,"")</f>
        <v/>
      </c>
    </row>
    <row r="3717">
      <c r="A3717" s="1" t="n">
        <v>3</v>
      </c>
      <c r="B3717" s="1" t="inlineStr">
        <is>
          <t>หมวก</t>
        </is>
      </c>
      <c r="C3717" s="1" t="inlineStr">
        <is>
          <t>gf2000105207</t>
        </is>
      </c>
      <c r="D3717" s="1" t="inlineStr">
        <is>
          <t>PING Classic Lite 214 Men's Cap (Blue/White)</t>
        </is>
      </c>
      <c r="E3717" s="1" t="inlineStr">
        <is>
          <t>PING</t>
        </is>
      </c>
      <c r="F3717" s="1" t="inlineStr">
        <is>
          <t>CAP</t>
        </is>
      </c>
      <c r="G3717" s="1" t="inlineStr">
        <is>
          <t>GF2000105207FS</t>
        </is>
      </c>
      <c r="H3717" s="1" t="n">
        <v>1</v>
      </c>
      <c r="I3717" s="1" t="inlineStr">
        <is>
          <t>มี</t>
        </is>
      </c>
      <c r="J3717" s="13" t="n">
        <v>49</v>
      </c>
      <c r="K3717" s="1" t="inlineStr"/>
      <c r="L3717" s="13" t="n">
        <v>49</v>
      </c>
      <c r="M3717" s="1">
        <f>IF(L3717="","ไม่พบใน SG",IF(ABS(J3717-L3717)&lt;0.005,"ตรงกัน","ไม่ตรง"))</f>
        <v/>
      </c>
      <c r="N3717" s="14">
        <f>IF(L3717="","",ROUND(L3717*'สรุป'!$C$6,-1))</f>
        <v/>
      </c>
      <c r="O3717" s="15" t="n"/>
      <c r="P3717" s="15" t="n"/>
      <c r="Q3717" s="10" t="n"/>
      <c r="R3717" s="10" t="n"/>
      <c r="S3717" s="16" t="inlineStr">
        <is>
          <t>https://mstgolf.co.th/products/gf2000105207</t>
        </is>
      </c>
      <c r="T3717" s="1">
        <f>IF(B3717="ไม้กอล์ฟ",J3717,"")</f>
        <v/>
      </c>
    </row>
    <row r="3718">
      <c r="A3718" s="1" t="n">
        <v>3</v>
      </c>
      <c r="B3718" s="1" t="inlineStr">
        <is>
          <t>หมวก</t>
        </is>
      </c>
      <c r="C3718" s="1" t="inlineStr">
        <is>
          <t>gf2000105206</t>
        </is>
      </c>
      <c r="D3718" s="1" t="inlineStr">
        <is>
          <t>PING Classic Lite 214 Men's Cap (Red/White)</t>
        </is>
      </c>
      <c r="E3718" s="1" t="inlineStr">
        <is>
          <t>PING</t>
        </is>
      </c>
      <c r="F3718" s="1" t="inlineStr">
        <is>
          <t>CAP</t>
        </is>
      </c>
      <c r="G3718" s="1" t="inlineStr">
        <is>
          <t>GF2000105206FS</t>
        </is>
      </c>
      <c r="H3718" s="1" t="n">
        <v>1</v>
      </c>
      <c r="I3718" s="1" t="inlineStr">
        <is>
          <t>มี</t>
        </is>
      </c>
      <c r="J3718" s="13" t="n">
        <v>49</v>
      </c>
      <c r="K3718" s="1" t="inlineStr"/>
      <c r="L3718" s="13" t="n">
        <v>49</v>
      </c>
      <c r="M3718" s="1">
        <f>IF(L3718="","ไม่พบใน SG",IF(ABS(J3718-L3718)&lt;0.005,"ตรงกัน","ไม่ตรง"))</f>
        <v/>
      </c>
      <c r="N3718" s="14">
        <f>IF(L3718="","",ROUND(L3718*'สรุป'!$C$6,-1))</f>
        <v/>
      </c>
      <c r="O3718" s="15" t="n"/>
      <c r="P3718" s="15" t="n"/>
      <c r="Q3718" s="10" t="n"/>
      <c r="R3718" s="10" t="n"/>
      <c r="S3718" s="16" t="inlineStr">
        <is>
          <t>https://mstgolf.co.th/products/gf2000105206</t>
        </is>
      </c>
      <c r="T3718" s="1">
        <f>IF(B3718="ไม้กอล์ฟ",J3718,"")</f>
        <v/>
      </c>
    </row>
    <row r="3719">
      <c r="A3719" s="1" t="n">
        <v>3</v>
      </c>
      <c r="B3719" s="1" t="inlineStr">
        <is>
          <t>เสื้อผ้า</t>
        </is>
      </c>
      <c r="C3719" s="1" t="inlineStr">
        <is>
          <t>gf2020201986</t>
        </is>
      </c>
      <c r="D3719" s="1" t="inlineStr">
        <is>
          <t>PUMA 10" Men's Dealer Shorts (Evening Sky)</t>
        </is>
      </c>
      <c r="E3719" s="1" t="inlineStr">
        <is>
          <t>PUMA</t>
        </is>
      </c>
      <c r="F3719" s="1" t="inlineStr">
        <is>
          <t>SHORT PANTS</t>
        </is>
      </c>
      <c r="G3719" s="1" t="inlineStr">
        <is>
          <t>GF202020198628</t>
        </is>
      </c>
      <c r="H3719" s="1" t="n">
        <v>7</v>
      </c>
      <c r="I3719" s="1" t="inlineStr">
        <is>
          <t>มี</t>
        </is>
      </c>
      <c r="J3719" s="13" t="n">
        <v>49</v>
      </c>
      <c r="K3719" s="1" t="inlineStr"/>
      <c r="L3719" s="13" t="n">
        <v>49</v>
      </c>
      <c r="M3719" s="1">
        <f>IF(L3719="","ไม่พบใน SG",IF(ABS(J3719-L3719)&lt;0.005,"ตรงกัน","ไม่ตรง"))</f>
        <v/>
      </c>
      <c r="N3719" s="14">
        <f>IF(L3719="","",ROUND(L3719*'สรุป'!$C$6,-1))</f>
        <v/>
      </c>
      <c r="O3719" s="15" t="n"/>
      <c r="P3719" s="15" t="n"/>
      <c r="Q3719" s="10" t="n"/>
      <c r="R3719" s="10" t="n"/>
      <c r="S3719" s="16" t="inlineStr">
        <is>
          <t>https://mstgolf.co.th/products/gf2020201986</t>
        </is>
      </c>
      <c r="T3719" s="1">
        <f>IF(B3719="ไม้กอล์ฟ",J3719,"")</f>
        <v/>
      </c>
    </row>
    <row r="3720">
      <c r="A3720" s="1" t="n">
        <v>3</v>
      </c>
      <c r="B3720" s="1" t="inlineStr">
        <is>
          <t>เสื้อผ้า</t>
        </is>
      </c>
      <c r="C3720" s="1" t="inlineStr">
        <is>
          <t>gf2040113880</t>
        </is>
      </c>
      <c r="D3720" s="1" t="inlineStr">
        <is>
          <t>PUMA Cloudspun Oasis Men's Polo (White/Navy)</t>
        </is>
      </c>
      <c r="E3720" s="1" t="inlineStr">
        <is>
          <t>PUMA</t>
        </is>
      </c>
      <c r="F3720" s="1" t="inlineStr">
        <is>
          <t>SHORT SLEEVES</t>
        </is>
      </c>
      <c r="G3720" s="1" t="inlineStr">
        <is>
          <t>GF2040113880XS</t>
        </is>
      </c>
      <c r="H3720" s="1" t="n">
        <v>6</v>
      </c>
      <c r="I3720" s="1" t="inlineStr">
        <is>
          <t>มี</t>
        </is>
      </c>
      <c r="J3720" s="13" t="n">
        <v>49</v>
      </c>
      <c r="K3720" s="1" t="inlineStr"/>
      <c r="L3720" s="13" t="n">
        <v>49</v>
      </c>
      <c r="M3720" s="1">
        <f>IF(L3720="","ไม่พบใน SG",IF(ABS(J3720-L3720)&lt;0.005,"ตรงกัน","ไม่ตรง"))</f>
        <v/>
      </c>
      <c r="N3720" s="14">
        <f>IF(L3720="","",ROUND(L3720*'สรุป'!$C$6,-1))</f>
        <v/>
      </c>
      <c r="O3720" s="15" t="n"/>
      <c r="P3720" s="15" t="n"/>
      <c r="Q3720" s="10" t="n"/>
      <c r="R3720" s="10" t="n"/>
      <c r="S3720" s="16" t="inlineStr">
        <is>
          <t>https://mstgolf.co.th/products/gf2040113880</t>
        </is>
      </c>
      <c r="T3720" s="1">
        <f>IF(B3720="ไม้กอล์ฟ",J3720,"")</f>
        <v/>
      </c>
    </row>
    <row r="3721">
      <c r="A3721" s="1" t="n">
        <v>3</v>
      </c>
      <c r="B3721" s="1" t="inlineStr">
        <is>
          <t>เสื้อผ้า</t>
        </is>
      </c>
      <c r="C3721" s="1" t="inlineStr">
        <is>
          <t>gf2040116643</t>
        </is>
      </c>
      <c r="D3721" s="1" t="inlineStr">
        <is>
          <t>PUMA Cloudspun Primary Men's Polo (Green Fog)</t>
        </is>
      </c>
      <c r="E3721" s="1" t="inlineStr">
        <is>
          <t>PUMA</t>
        </is>
      </c>
      <c r="F3721" s="1" t="inlineStr">
        <is>
          <t>SHORT SLEEVES</t>
        </is>
      </c>
      <c r="G3721" s="1" t="inlineStr">
        <is>
          <t>GF2040116643XS</t>
        </is>
      </c>
      <c r="H3721" s="1" t="n">
        <v>6</v>
      </c>
      <c r="I3721" s="1" t="inlineStr">
        <is>
          <t>มี</t>
        </is>
      </c>
      <c r="J3721" s="13" t="n">
        <v>49</v>
      </c>
      <c r="K3721" s="1" t="inlineStr"/>
      <c r="L3721" s="13" t="n">
        <v>49</v>
      </c>
      <c r="M3721" s="1">
        <f>IF(L3721="","ไม่พบใน SG",IF(ABS(J3721-L3721)&lt;0.005,"ตรงกัน","ไม่ตรง"))</f>
        <v/>
      </c>
      <c r="N3721" s="14">
        <f>IF(L3721="","",ROUND(L3721*'สรุป'!$C$6,-1))</f>
        <v/>
      </c>
      <c r="O3721" s="15" t="n"/>
      <c r="P3721" s="15" t="n"/>
      <c r="Q3721" s="10" t="n"/>
      <c r="R3721" s="10" t="n"/>
      <c r="S3721" s="16" t="inlineStr">
        <is>
          <t>https://mstgolf.co.th/products/gf2040116643</t>
        </is>
      </c>
      <c r="T3721" s="1">
        <f>IF(B3721="ไม้กอล์ฟ",J3721,"")</f>
        <v/>
      </c>
    </row>
    <row r="3722">
      <c r="A3722" s="1" t="n">
        <v>3</v>
      </c>
      <c r="B3722" s="1" t="inlineStr">
        <is>
          <t>เสื้อผ้า</t>
        </is>
      </c>
      <c r="C3722" s="1" t="inlineStr">
        <is>
          <t>gf2020201987</t>
        </is>
      </c>
      <c r="D3722" s="1" t="inlineStr">
        <is>
          <t>PUMA Dealer Men's Shorts (Heartfelt)</t>
        </is>
      </c>
      <c r="E3722" s="1" t="inlineStr">
        <is>
          <t>PUMA</t>
        </is>
      </c>
      <c r="F3722" s="1" t="inlineStr">
        <is>
          <t>SHORT PANTS</t>
        </is>
      </c>
      <c r="G3722" s="1" t="inlineStr">
        <is>
          <t>GF202020198728</t>
        </is>
      </c>
      <c r="H3722" s="1" t="n">
        <v>7</v>
      </c>
      <c r="I3722" s="1" t="inlineStr">
        <is>
          <t>มี</t>
        </is>
      </c>
      <c r="J3722" s="13" t="n">
        <v>49</v>
      </c>
      <c r="K3722" s="1" t="inlineStr"/>
      <c r="L3722" s="13" t="n">
        <v>43</v>
      </c>
      <c r="M3722" s="1">
        <f>IF(L3722="","ไม่พบใน SG",IF(ABS(J3722-L3722)&lt;0.005,"ตรงกัน","ไม่ตรง"))</f>
        <v/>
      </c>
      <c r="N3722" s="14">
        <f>IF(L3722="","",ROUND(L3722*'สรุป'!$C$6,-1))</f>
        <v/>
      </c>
      <c r="O3722" s="15" t="n"/>
      <c r="P3722" s="15" t="n"/>
      <c r="Q3722" s="10" t="n"/>
      <c r="R3722" s="10" t="n"/>
      <c r="S3722" s="16" t="inlineStr">
        <is>
          <t>https://mstgolf.co.th/products/gf2020201987</t>
        </is>
      </c>
      <c r="T3722" s="1">
        <f>IF(B3722="ไม้กอล์ฟ",J3722,"")</f>
        <v/>
      </c>
    </row>
    <row r="3723">
      <c r="A3723" s="1" t="n">
        <v>3</v>
      </c>
      <c r="B3723" s="1" t="inlineStr">
        <is>
          <t>เสื้อผ้า</t>
        </is>
      </c>
      <c r="C3723" s="1" t="inlineStr">
        <is>
          <t>gf2020201984</t>
        </is>
      </c>
      <c r="D3723" s="1" t="inlineStr">
        <is>
          <t>PUMA Dealer Men's Shorts (Ice Pink)</t>
        </is>
      </c>
      <c r="E3723" s="1" t="inlineStr">
        <is>
          <t>PUMA</t>
        </is>
      </c>
      <c r="F3723" s="1" t="inlineStr">
        <is>
          <t>SHORT PANTS</t>
        </is>
      </c>
      <c r="G3723" s="1" t="inlineStr">
        <is>
          <t>GF202020198428</t>
        </is>
      </c>
      <c r="H3723" s="1" t="n">
        <v>7</v>
      </c>
      <c r="I3723" s="1" t="inlineStr">
        <is>
          <t>มี</t>
        </is>
      </c>
      <c r="J3723" s="13" t="n">
        <v>49</v>
      </c>
      <c r="K3723" s="1" t="inlineStr"/>
      <c r="L3723" s="13" t="n">
        <v>43</v>
      </c>
      <c r="M3723" s="1">
        <f>IF(L3723="","ไม่พบใน SG",IF(ABS(J3723-L3723)&lt;0.005,"ตรงกัน","ไม่ตรง"))</f>
        <v/>
      </c>
      <c r="N3723" s="14">
        <f>IF(L3723="","",ROUND(L3723*'สรุป'!$C$6,-1))</f>
        <v/>
      </c>
      <c r="O3723" s="15" t="n"/>
      <c r="P3723" s="15" t="n"/>
      <c r="Q3723" s="10" t="n"/>
      <c r="R3723" s="10" t="n"/>
      <c r="S3723" s="16" t="inlineStr">
        <is>
          <t>https://mstgolf.co.th/products/gf2020201984</t>
        </is>
      </c>
      <c r="T3723" s="1">
        <f>IF(B3723="ไม้กอล์ฟ",J3723,"")</f>
        <v/>
      </c>
    </row>
    <row r="3724">
      <c r="A3724" s="1" t="n">
        <v>3</v>
      </c>
      <c r="B3724" s="1" t="inlineStr">
        <is>
          <t>เสื้อผ้า</t>
        </is>
      </c>
      <c r="C3724" s="1" t="inlineStr">
        <is>
          <t>gf2020201982</t>
        </is>
      </c>
      <c r="D3724" s="1" t="inlineStr">
        <is>
          <t>PUMA Dealer Men's Shorts (Strong Grey)</t>
        </is>
      </c>
      <c r="E3724" s="1" t="inlineStr">
        <is>
          <t>PUMA</t>
        </is>
      </c>
      <c r="F3724" s="1" t="inlineStr">
        <is>
          <t>SHORT PANTS</t>
        </is>
      </c>
      <c r="G3724" s="1" t="inlineStr">
        <is>
          <t>GF202020198228</t>
        </is>
      </c>
      <c r="H3724" s="1" t="n">
        <v>7</v>
      </c>
      <c r="I3724" s="1" t="inlineStr">
        <is>
          <t>มี</t>
        </is>
      </c>
      <c r="J3724" s="13" t="n">
        <v>49</v>
      </c>
      <c r="K3724" s="1" t="inlineStr"/>
      <c r="L3724" s="13" t="n">
        <v>43</v>
      </c>
      <c r="M3724" s="1">
        <f>IF(L3724="","ไม่พบใน SG",IF(ABS(J3724-L3724)&lt;0.005,"ตรงกัน","ไม่ตรง"))</f>
        <v/>
      </c>
      <c r="N3724" s="14">
        <f>IF(L3724="","",ROUND(L3724*'สรุป'!$C$6,-1))</f>
        <v/>
      </c>
      <c r="O3724" s="15" t="n"/>
      <c r="P3724" s="15" t="n"/>
      <c r="Q3724" s="10" t="n"/>
      <c r="R3724" s="10" t="n"/>
      <c r="S3724" s="16" t="inlineStr">
        <is>
          <t>https://mstgolf.co.th/products/gf2020201982</t>
        </is>
      </c>
      <c r="T3724" s="1">
        <f>IF(B3724="ไม้กอล์ฟ",J3724,"")</f>
        <v/>
      </c>
    </row>
    <row r="3725">
      <c r="A3725" s="1" t="n">
        <v>3</v>
      </c>
      <c r="B3725" s="1" t="inlineStr">
        <is>
          <t>เสื้อผ้า</t>
        </is>
      </c>
      <c r="C3725" s="1" t="inlineStr">
        <is>
          <t>gf2040116667</t>
        </is>
      </c>
      <c r="D3725" s="1" t="inlineStr">
        <is>
          <t>PUMA Duvin Men's Polo (Frosty White)</t>
        </is>
      </c>
      <c r="E3725" s="1" t="inlineStr">
        <is>
          <t>PUMA</t>
        </is>
      </c>
      <c r="F3725" s="1" t="inlineStr">
        <is>
          <t>SHORT SLEEVES</t>
        </is>
      </c>
      <c r="G3725" s="1" t="inlineStr">
        <is>
          <t>GF2040116667XS</t>
        </is>
      </c>
      <c r="H3725" s="1" t="n">
        <v>6</v>
      </c>
      <c r="I3725" s="1" t="inlineStr">
        <is>
          <t>มี</t>
        </is>
      </c>
      <c r="J3725" s="13" t="n">
        <v>49</v>
      </c>
      <c r="K3725" s="1" t="inlineStr"/>
      <c r="L3725" s="13" t="n">
        <v>49</v>
      </c>
      <c r="M3725" s="1">
        <f>IF(L3725="","ไม่พบใน SG",IF(ABS(J3725-L3725)&lt;0.005,"ตรงกัน","ไม่ตรง"))</f>
        <v/>
      </c>
      <c r="N3725" s="14">
        <f>IF(L3725="","",ROUND(L3725*'สรุป'!$C$6,-1))</f>
        <v/>
      </c>
      <c r="O3725" s="15" t="n"/>
      <c r="P3725" s="15" t="n"/>
      <c r="Q3725" s="10" t="n"/>
      <c r="R3725" s="10" t="n"/>
      <c r="S3725" s="16" t="inlineStr">
        <is>
          <t>https://mstgolf.co.th/products/gf2040116667</t>
        </is>
      </c>
      <c r="T3725" s="1">
        <f>IF(B3725="ไม้กอล์ฟ",J3725,"")</f>
        <v/>
      </c>
    </row>
    <row r="3726">
      <c r="A3726" s="1" t="n">
        <v>3</v>
      </c>
      <c r="B3726" s="1" t="inlineStr">
        <is>
          <t>เสื้อผ้า</t>
        </is>
      </c>
      <c r="C3726" s="1" t="inlineStr">
        <is>
          <t>gf2020101265</t>
        </is>
      </c>
      <c r="D3726" s="1" t="inlineStr">
        <is>
          <t>PUMA Floral Dye Women's Tight (Black)</t>
        </is>
      </c>
      <c r="E3726" s="1" t="inlineStr">
        <is>
          <t>PUMA</t>
        </is>
      </c>
      <c r="F3726" s="1" t="inlineStr">
        <is>
          <t>LONG PANTS</t>
        </is>
      </c>
      <c r="G3726" s="1" t="inlineStr">
        <is>
          <t>GF2020101265XS</t>
        </is>
      </c>
      <c r="H3726" s="1" t="n">
        <v>6</v>
      </c>
      <c r="I3726" s="1" t="inlineStr">
        <is>
          <t>มี</t>
        </is>
      </c>
      <c r="J3726" s="13" t="n">
        <v>49</v>
      </c>
      <c r="K3726" s="1" t="inlineStr"/>
      <c r="L3726" s="13" t="n">
        <v>49</v>
      </c>
      <c r="M3726" s="1">
        <f>IF(L3726="","ไม่พบใน SG",IF(ABS(J3726-L3726)&lt;0.005,"ตรงกัน","ไม่ตรง"))</f>
        <v/>
      </c>
      <c r="N3726" s="14">
        <f>IF(L3726="","",ROUND(L3726*'สรุป'!$C$6,-1))</f>
        <v/>
      </c>
      <c r="O3726" s="15" t="n"/>
      <c r="P3726" s="15" t="n"/>
      <c r="Q3726" s="10" t="n"/>
      <c r="R3726" s="10" t="n"/>
      <c r="S3726" s="16" t="inlineStr">
        <is>
          <t>https://mstgolf.co.th/products/gf2020101265</t>
        </is>
      </c>
      <c r="T3726" s="1">
        <f>IF(B3726="ไม้กอล์ฟ",J3726,"")</f>
        <v/>
      </c>
    </row>
    <row r="3727">
      <c r="A3727" s="1" t="n">
        <v>3</v>
      </c>
      <c r="B3727" s="1" t="inlineStr">
        <is>
          <t>หมวก</t>
        </is>
      </c>
      <c r="C3727" s="1" t="inlineStr">
        <is>
          <t>gf2000105567</t>
        </is>
      </c>
      <c r="D3727" s="1" t="inlineStr">
        <is>
          <t>PUMA Hoops x Golf Tourney Men's Cap (White/Royal)</t>
        </is>
      </c>
      <c r="E3727" s="1" t="inlineStr">
        <is>
          <t>PUMA</t>
        </is>
      </c>
      <c r="F3727" s="1" t="inlineStr">
        <is>
          <t>CAP</t>
        </is>
      </c>
      <c r="G3727" s="1" t="inlineStr">
        <is>
          <t>GF2000105567FS</t>
        </is>
      </c>
      <c r="H3727" s="1" t="n">
        <v>1</v>
      </c>
      <c r="I3727" s="1" t="inlineStr">
        <is>
          <t>มี</t>
        </is>
      </c>
      <c r="J3727" s="13" t="n">
        <v>49</v>
      </c>
      <c r="K3727" s="1" t="inlineStr"/>
      <c r="L3727" s="13" t="n">
        <v>19</v>
      </c>
      <c r="M3727" s="1">
        <f>IF(L3727="","ไม่พบใน SG",IF(ABS(J3727-L3727)&lt;0.005,"ตรงกัน","ไม่ตรง"))</f>
        <v/>
      </c>
      <c r="N3727" s="14">
        <f>IF(L3727="","",ROUND(L3727*'สรุป'!$C$6,-1))</f>
        <v/>
      </c>
      <c r="O3727" s="15" t="n"/>
      <c r="P3727" s="15" t="n"/>
      <c r="Q3727" s="10" t="n"/>
      <c r="R3727" s="10" t="n"/>
      <c r="S3727" s="16" t="inlineStr">
        <is>
          <t>https://mstgolf.co.th/products/gf2000105567</t>
        </is>
      </c>
      <c r="T3727" s="1">
        <f>IF(B3727="ไม้กอล์ฟ",J3727,"")</f>
        <v/>
      </c>
    </row>
    <row r="3728">
      <c r="A3728" s="1" t="n">
        <v>3</v>
      </c>
      <c r="B3728" s="1" t="inlineStr">
        <is>
          <t>เสื้อผ้า</t>
        </is>
      </c>
      <c r="C3728" s="1" t="inlineStr">
        <is>
          <t>gf2040115108</t>
        </is>
      </c>
      <c r="D3728" s="1" t="inlineStr">
        <is>
          <t>PUMA MATTR Grind Men's Polo (Dark Sage)</t>
        </is>
      </c>
      <c r="E3728" s="1" t="inlineStr">
        <is>
          <t>PUMA</t>
        </is>
      </c>
      <c r="F3728" s="1" t="inlineStr">
        <is>
          <t>SHORT SLEEVES</t>
        </is>
      </c>
      <c r="G3728" s="1" t="inlineStr">
        <is>
          <t>GF2040115108XS</t>
        </is>
      </c>
      <c r="H3728" s="1" t="n">
        <v>6</v>
      </c>
      <c r="I3728" s="1" t="inlineStr">
        <is>
          <t>มี</t>
        </is>
      </c>
      <c r="J3728" s="13" t="n">
        <v>49</v>
      </c>
      <c r="K3728" s="1" t="inlineStr"/>
      <c r="L3728" s="13" t="n">
        <v>49</v>
      </c>
      <c r="M3728" s="1">
        <f>IF(L3728="","ไม่พบใน SG",IF(ABS(J3728-L3728)&lt;0.005,"ตรงกัน","ไม่ตรง"))</f>
        <v/>
      </c>
      <c r="N3728" s="14">
        <f>IF(L3728="","",ROUND(L3728*'สรุป'!$C$6,-1))</f>
        <v/>
      </c>
      <c r="O3728" s="15" t="n"/>
      <c r="P3728" s="15" t="n"/>
      <c r="Q3728" s="10" t="n"/>
      <c r="R3728" s="10" t="n"/>
      <c r="S3728" s="16" t="inlineStr">
        <is>
          <t>https://mstgolf.co.th/products/gf2040115108</t>
        </is>
      </c>
      <c r="T3728" s="1">
        <f>IF(B3728="ไม้กอล์ฟ",J3728,"")</f>
        <v/>
      </c>
    </row>
    <row r="3729">
      <c r="A3729" s="1" t="n">
        <v>3</v>
      </c>
      <c r="B3729" s="1" t="inlineStr">
        <is>
          <t>เสื้อผ้า</t>
        </is>
      </c>
      <c r="C3729" s="1" t="inlineStr">
        <is>
          <t>gf2040116661</t>
        </is>
      </c>
      <c r="D3729" s="1" t="inlineStr">
        <is>
          <t>PUMA MATTR Mirage Men's Polo (Navy/Blue)</t>
        </is>
      </c>
      <c r="E3729" s="1" t="inlineStr">
        <is>
          <t>PUMA</t>
        </is>
      </c>
      <c r="F3729" s="1" t="inlineStr">
        <is>
          <t>SHORT SLEEVES</t>
        </is>
      </c>
      <c r="G3729" s="1" t="inlineStr">
        <is>
          <t>GF2040116661S</t>
        </is>
      </c>
      <c r="H3729" s="1" t="n">
        <v>5</v>
      </c>
      <c r="I3729" s="1" t="inlineStr">
        <is>
          <t>มี</t>
        </is>
      </c>
      <c r="J3729" s="13" t="n">
        <v>49</v>
      </c>
      <c r="K3729" s="1" t="inlineStr"/>
      <c r="L3729" s="13" t="n">
        <v>43</v>
      </c>
      <c r="M3729" s="1">
        <f>IF(L3729="","ไม่พบใน SG",IF(ABS(J3729-L3729)&lt;0.005,"ตรงกัน","ไม่ตรง"))</f>
        <v/>
      </c>
      <c r="N3729" s="14">
        <f>IF(L3729="","",ROUND(L3729*'สรุป'!$C$6,-1))</f>
        <v/>
      </c>
      <c r="O3729" s="15" t="n"/>
      <c r="P3729" s="15" t="n"/>
      <c r="Q3729" s="10" t="n"/>
      <c r="R3729" s="10" t="n"/>
      <c r="S3729" s="16" t="inlineStr">
        <is>
          <t>https://mstgolf.co.th/products/gf2040116661</t>
        </is>
      </c>
      <c r="T3729" s="1">
        <f>IF(B3729="ไม้กอล์ฟ",J3729,"")</f>
        <v/>
      </c>
    </row>
    <row r="3730">
      <c r="A3730" s="1" t="n">
        <v>3</v>
      </c>
      <c r="B3730" s="1" t="inlineStr">
        <is>
          <t>เสื้อผ้า</t>
        </is>
      </c>
      <c r="C3730" s="1" t="inlineStr">
        <is>
          <t>gf2040116660</t>
        </is>
      </c>
      <c r="D3730" s="1" t="inlineStr">
        <is>
          <t>PUMA MATTR Mirage Men's Polo (White/Blue)</t>
        </is>
      </c>
      <c r="E3730" s="1" t="inlineStr">
        <is>
          <t>PUMA</t>
        </is>
      </c>
      <c r="F3730" s="1" t="inlineStr">
        <is>
          <t>SHORT SLEEVES</t>
        </is>
      </c>
      <c r="G3730" s="1" t="inlineStr">
        <is>
          <t>GF2040116660XS</t>
        </is>
      </c>
      <c r="H3730" s="1" t="n">
        <v>6</v>
      </c>
      <c r="I3730" s="1" t="inlineStr">
        <is>
          <t>มี</t>
        </is>
      </c>
      <c r="J3730" s="13" t="n">
        <v>49</v>
      </c>
      <c r="K3730" s="1" t="inlineStr"/>
      <c r="L3730" s="13" t="n">
        <v>49</v>
      </c>
      <c r="M3730" s="1">
        <f>IF(L3730="","ไม่พบใน SG",IF(ABS(J3730-L3730)&lt;0.005,"ตรงกัน","ไม่ตรง"))</f>
        <v/>
      </c>
      <c r="N3730" s="14">
        <f>IF(L3730="","",ROUND(L3730*'สรุป'!$C$6,-1))</f>
        <v/>
      </c>
      <c r="O3730" s="15" t="n"/>
      <c r="P3730" s="15" t="n"/>
      <c r="Q3730" s="10" t="n"/>
      <c r="R3730" s="10" t="n"/>
      <c r="S3730" s="16" t="inlineStr">
        <is>
          <t>https://mstgolf.co.th/products/gf2040116660</t>
        </is>
      </c>
      <c r="T3730" s="1">
        <f>IF(B3730="ไม้กอล์ฟ",J3730,"")</f>
        <v/>
      </c>
    </row>
    <row r="3731">
      <c r="A3731" s="1" t="n">
        <v>3</v>
      </c>
      <c r="B3731" s="1" t="inlineStr">
        <is>
          <t>เสื้อผ้า</t>
        </is>
      </c>
      <c r="C3731" s="1" t="inlineStr">
        <is>
          <t>gf2040120267</t>
        </is>
      </c>
      <c r="D3731" s="1" t="inlineStr">
        <is>
          <t>PUMA MATTR Ornamental Boy's Polo (White)</t>
        </is>
      </c>
      <c r="E3731" s="1" t="inlineStr">
        <is>
          <t>PUMA</t>
        </is>
      </c>
      <c r="F3731" s="1" t="inlineStr">
        <is>
          <t>SHORT SLEEVES</t>
        </is>
      </c>
      <c r="G3731" s="1" t="inlineStr">
        <is>
          <t>GF2040120267128</t>
        </is>
      </c>
      <c r="H3731" s="1" t="n">
        <v>5</v>
      </c>
      <c r="I3731" s="1" t="inlineStr">
        <is>
          <t>มี</t>
        </is>
      </c>
      <c r="J3731" s="13" t="n">
        <v>49</v>
      </c>
      <c r="K3731" s="1" t="inlineStr"/>
      <c r="L3731" s="13" t="n">
        <v>49</v>
      </c>
      <c r="M3731" s="1">
        <f>IF(L3731="","ไม่พบใน SG",IF(ABS(J3731-L3731)&lt;0.005,"ตรงกัน","ไม่ตรง"))</f>
        <v/>
      </c>
      <c r="N3731" s="14">
        <f>IF(L3731="","",ROUND(L3731*'สรุป'!$C$6,-1))</f>
        <v/>
      </c>
      <c r="O3731" s="15" t="n"/>
      <c r="P3731" s="15" t="n"/>
      <c r="Q3731" s="10" t="n"/>
      <c r="R3731" s="10" t="n"/>
      <c r="S3731" s="16" t="inlineStr">
        <is>
          <t>https://mstgolf.co.th/products/gf2040120267</t>
        </is>
      </c>
      <c r="T3731" s="1">
        <f>IF(B3731="ไม้กอล์ฟ",J3731,"")</f>
        <v/>
      </c>
    </row>
    <row r="3732">
      <c r="A3732" s="1" t="n">
        <v>3</v>
      </c>
      <c r="B3732" s="1" t="inlineStr">
        <is>
          <t>เสื้อผ้า</t>
        </is>
      </c>
      <c r="C3732" s="1" t="inlineStr">
        <is>
          <t>gf2040116653</t>
        </is>
      </c>
      <c r="D3732" s="1" t="inlineStr">
        <is>
          <t>PUMA MATTR Palms Men's Polo (Regal Blue)</t>
        </is>
      </c>
      <c r="E3732" s="1" t="inlineStr">
        <is>
          <t>PUMA</t>
        </is>
      </c>
      <c r="F3732" s="1" t="inlineStr">
        <is>
          <t>SHORT SLEEVES</t>
        </is>
      </c>
      <c r="G3732" s="1" t="inlineStr">
        <is>
          <t>GF2040116653XS</t>
        </is>
      </c>
      <c r="H3732" s="1" t="n">
        <v>6</v>
      </c>
      <c r="I3732" s="1" t="inlineStr">
        <is>
          <t>มี</t>
        </is>
      </c>
      <c r="J3732" s="13" t="n">
        <v>49</v>
      </c>
      <c r="K3732" s="1" t="inlineStr"/>
      <c r="L3732" s="13" t="n">
        <v>49</v>
      </c>
      <c r="M3732" s="1">
        <f>IF(L3732="","ไม่พบใน SG",IF(ABS(J3732-L3732)&lt;0.005,"ตรงกัน","ไม่ตรง"))</f>
        <v/>
      </c>
      <c r="N3732" s="14">
        <f>IF(L3732="","",ROUND(L3732*'สรุป'!$C$6,-1))</f>
        <v/>
      </c>
      <c r="O3732" s="15" t="n"/>
      <c r="P3732" s="15" t="n"/>
      <c r="Q3732" s="10" t="n"/>
      <c r="R3732" s="10" t="n"/>
      <c r="S3732" s="16" t="inlineStr">
        <is>
          <t>https://mstgolf.co.th/products/gf2040116653</t>
        </is>
      </c>
      <c r="T3732" s="1">
        <f>IF(B3732="ไม้กอล์ฟ",J3732,"")</f>
        <v/>
      </c>
    </row>
    <row r="3733">
      <c r="A3733" s="1" t="n">
        <v>3</v>
      </c>
      <c r="B3733" s="1" t="inlineStr">
        <is>
          <t>หมวก</t>
        </is>
      </c>
      <c r="C3733" s="1" t="inlineStr">
        <is>
          <t>gf2000105769</t>
        </is>
      </c>
      <c r="D3733" s="1" t="inlineStr">
        <is>
          <t>PUMA Men's P Cap (Aqua Blue)</t>
        </is>
      </c>
      <c r="E3733" s="1" t="inlineStr">
        <is>
          <t>PUMA</t>
        </is>
      </c>
      <c r="F3733" s="1" t="inlineStr">
        <is>
          <t>CAP</t>
        </is>
      </c>
      <c r="G3733" s="1" t="inlineStr">
        <is>
          <t>GF2000105769FS</t>
        </is>
      </c>
      <c r="H3733" s="1" t="n">
        <v>1</v>
      </c>
      <c r="I3733" s="1" t="inlineStr">
        <is>
          <t>มี</t>
        </is>
      </c>
      <c r="J3733" s="13" t="n">
        <v>49</v>
      </c>
      <c r="K3733" s="1" t="inlineStr"/>
      <c r="L3733" s="13" t="n">
        <v>49</v>
      </c>
      <c r="M3733" s="1">
        <f>IF(L3733="","ไม่พบใน SG",IF(ABS(J3733-L3733)&lt;0.005,"ตรงกัน","ไม่ตรง"))</f>
        <v/>
      </c>
      <c r="N3733" s="14">
        <f>IF(L3733="","",ROUND(L3733*'สรุป'!$C$6,-1))</f>
        <v/>
      </c>
      <c r="O3733" s="15" t="n"/>
      <c r="P3733" s="15" t="n"/>
      <c r="Q3733" s="10" t="n"/>
      <c r="R3733" s="10" t="n"/>
      <c r="S3733" s="16" t="inlineStr">
        <is>
          <t>https://mstgolf.co.th/products/gf2000105769</t>
        </is>
      </c>
      <c r="T3733" s="1">
        <f>IF(B3733="ไม้กอล์ฟ",J3733,"")</f>
        <v/>
      </c>
    </row>
    <row r="3734">
      <c r="A3734" s="1" t="n">
        <v>3</v>
      </c>
      <c r="B3734" s="1" t="inlineStr">
        <is>
          <t>หมวก</t>
        </is>
      </c>
      <c r="C3734" s="1" t="inlineStr">
        <is>
          <t>gf2000105771</t>
        </is>
      </c>
      <c r="D3734" s="1" t="inlineStr">
        <is>
          <t>PUMA Men's P Cap (Blue)</t>
        </is>
      </c>
      <c r="E3734" s="1" t="inlineStr">
        <is>
          <t>PUMA</t>
        </is>
      </c>
      <c r="F3734" s="1" t="inlineStr">
        <is>
          <t>CAP</t>
        </is>
      </c>
      <c r="G3734" s="1" t="inlineStr">
        <is>
          <t>GF2000105771FS</t>
        </is>
      </c>
      <c r="H3734" s="1" t="n">
        <v>1</v>
      </c>
      <c r="I3734" s="1" t="inlineStr">
        <is>
          <t>มี</t>
        </is>
      </c>
      <c r="J3734" s="13" t="n">
        <v>49</v>
      </c>
      <c r="K3734" s="1" t="inlineStr"/>
      <c r="L3734" s="13" t="n">
        <v>49</v>
      </c>
      <c r="M3734" s="1">
        <f>IF(L3734="","ไม่พบใน SG",IF(ABS(J3734-L3734)&lt;0.005,"ตรงกัน","ไม่ตรง"))</f>
        <v/>
      </c>
      <c r="N3734" s="14">
        <f>IF(L3734="","",ROUND(L3734*'สรุป'!$C$6,-1))</f>
        <v/>
      </c>
      <c r="O3734" s="15" t="n"/>
      <c r="P3734" s="15" t="n"/>
      <c r="Q3734" s="10" t="n"/>
      <c r="R3734" s="10" t="n"/>
      <c r="S3734" s="16" t="inlineStr">
        <is>
          <t>https://mstgolf.co.th/products/gf2000105771</t>
        </is>
      </c>
      <c r="T3734" s="1">
        <f>IF(B3734="ไม้กอล์ฟ",J3734,"")</f>
        <v/>
      </c>
    </row>
    <row r="3735">
      <c r="A3735" s="1" t="n">
        <v>3</v>
      </c>
      <c r="B3735" s="1" t="inlineStr">
        <is>
          <t>หมวก</t>
        </is>
      </c>
      <c r="C3735" s="1" t="inlineStr">
        <is>
          <t>gf2000105768</t>
        </is>
      </c>
      <c r="D3735" s="1" t="inlineStr">
        <is>
          <t>PUMA Men's P Cap (Green)</t>
        </is>
      </c>
      <c r="E3735" s="1" t="inlineStr">
        <is>
          <t>PUMA</t>
        </is>
      </c>
      <c r="F3735" s="1" t="inlineStr">
        <is>
          <t>CAP</t>
        </is>
      </c>
      <c r="G3735" s="1" t="inlineStr">
        <is>
          <t>GF2000105768FS</t>
        </is>
      </c>
      <c r="H3735" s="1" t="n">
        <v>1</v>
      </c>
      <c r="I3735" s="1" t="inlineStr">
        <is>
          <t>มี</t>
        </is>
      </c>
      <c r="J3735" s="13" t="n">
        <v>49</v>
      </c>
      <c r="K3735" s="1" t="inlineStr"/>
      <c r="L3735" s="13" t="n">
        <v>49</v>
      </c>
      <c r="M3735" s="1">
        <f>IF(L3735="","ไม่พบใน SG",IF(ABS(J3735-L3735)&lt;0.005,"ตรงกัน","ไม่ตรง"))</f>
        <v/>
      </c>
      <c r="N3735" s="14">
        <f>IF(L3735="","",ROUND(L3735*'สรุป'!$C$6,-1))</f>
        <v/>
      </c>
      <c r="O3735" s="15" t="n"/>
      <c r="P3735" s="15" t="n"/>
      <c r="Q3735" s="10" t="n"/>
      <c r="R3735" s="10" t="n"/>
      <c r="S3735" s="16" t="inlineStr">
        <is>
          <t>https://mstgolf.co.th/products/gf2000105768</t>
        </is>
      </c>
      <c r="T3735" s="1">
        <f>IF(B3735="ไม้กอล์ฟ",J3735,"")</f>
        <v/>
      </c>
    </row>
    <row r="3736">
      <c r="A3736" s="1" t="n">
        <v>3</v>
      </c>
      <c r="B3736" s="1" t="inlineStr">
        <is>
          <t>เสื้อผ้า</t>
        </is>
      </c>
      <c r="C3736" s="1" t="inlineStr">
        <is>
          <t>gf2020202022</t>
        </is>
      </c>
      <c r="D3736" s="1" t="inlineStr">
        <is>
          <t>PUMA Nassau Men's Shorts (Bright White/Hot Carol)</t>
        </is>
      </c>
      <c r="E3736" s="1" t="inlineStr">
        <is>
          <t>PUMA</t>
        </is>
      </c>
      <c r="F3736" s="1" t="inlineStr">
        <is>
          <t>SHORT PANTS</t>
        </is>
      </c>
      <c r="G3736" s="1" t="inlineStr">
        <is>
          <t>GF2020202022XS</t>
        </is>
      </c>
      <c r="H3736" s="1" t="n">
        <v>5</v>
      </c>
      <c r="I3736" s="1" t="inlineStr">
        <is>
          <t>มี</t>
        </is>
      </c>
      <c r="J3736" s="13" t="n">
        <v>49</v>
      </c>
      <c r="K3736" s="1" t="inlineStr"/>
      <c r="L3736" s="13" t="n">
        <v>43</v>
      </c>
      <c r="M3736" s="1">
        <f>IF(L3736="","ไม่พบใน SG",IF(ABS(J3736-L3736)&lt;0.005,"ตรงกัน","ไม่ตรง"))</f>
        <v/>
      </c>
      <c r="N3736" s="14">
        <f>IF(L3736="","",ROUND(L3736*'สรุป'!$C$6,-1))</f>
        <v/>
      </c>
      <c r="O3736" s="15" t="n"/>
      <c r="P3736" s="15" t="n"/>
      <c r="Q3736" s="10" t="n"/>
      <c r="R3736" s="10" t="n"/>
      <c r="S3736" s="16" t="inlineStr">
        <is>
          <t>https://mstgolf.co.th/products/gf2020202022</t>
        </is>
      </c>
      <c r="T3736" s="1">
        <f>IF(B3736="ไม้กอล์ฟ",J3736,"")</f>
        <v/>
      </c>
    </row>
    <row r="3737">
      <c r="A3737" s="1" t="n">
        <v>3</v>
      </c>
      <c r="B3737" s="1" t="inlineStr">
        <is>
          <t>หมวก</t>
        </is>
      </c>
      <c r="C3737" s="1" t="inlineStr">
        <is>
          <t>gf2000300339</t>
        </is>
      </c>
      <c r="D3737" s="1" t="inlineStr">
        <is>
          <t>PUMA P Men's Bucket Hat (White)</t>
        </is>
      </c>
      <c r="E3737" s="1" t="inlineStr">
        <is>
          <t>PUMA</t>
        </is>
      </c>
      <c r="F3737" s="1" t="inlineStr">
        <is>
          <t>HAT</t>
        </is>
      </c>
      <c r="G3737" s="1" t="inlineStr">
        <is>
          <t>GF2000300339S/M</t>
        </is>
      </c>
      <c r="H3737" s="1" t="n">
        <v>2</v>
      </c>
      <c r="I3737" s="1" t="inlineStr">
        <is>
          <t>มี</t>
        </is>
      </c>
      <c r="J3737" s="13" t="n">
        <v>49</v>
      </c>
      <c r="K3737" s="1" t="inlineStr"/>
      <c r="L3737" s="13" t="n">
        <v>49</v>
      </c>
      <c r="M3737" s="1">
        <f>IF(L3737="","ไม่พบใน SG",IF(ABS(J3737-L3737)&lt;0.005,"ตรงกัน","ไม่ตรง"))</f>
        <v/>
      </c>
      <c r="N3737" s="14">
        <f>IF(L3737="","",ROUND(L3737*'สรุป'!$C$6,-1))</f>
        <v/>
      </c>
      <c r="O3737" s="15" t="n"/>
      <c r="P3737" s="15" t="n"/>
      <c r="Q3737" s="10" t="n"/>
      <c r="R3737" s="10" t="n"/>
      <c r="S3737" s="16" t="inlineStr">
        <is>
          <t>https://mstgolf.co.th/products/gf2000300339</t>
        </is>
      </c>
      <c r="T3737" s="1">
        <f>IF(B3737="ไม้กอล์ฟ",J3737,"")</f>
        <v/>
      </c>
    </row>
    <row r="3738">
      <c r="A3738" s="1" t="n">
        <v>3</v>
      </c>
      <c r="B3738" s="1" t="inlineStr">
        <is>
          <t>เสื้อผ้า</t>
        </is>
      </c>
      <c r="C3738" s="1" t="inlineStr">
        <is>
          <t>gf2020202243</t>
        </is>
      </c>
      <c r="D3738" s="1" t="inlineStr">
        <is>
          <t>PUMA PWRMesh Plumeria Skorts (Vivid Violet)</t>
        </is>
      </c>
      <c r="E3738" s="1" t="inlineStr">
        <is>
          <t>PUMA</t>
        </is>
      </c>
      <c r="F3738" s="1" t="inlineStr">
        <is>
          <t>SHORT PANTS</t>
        </is>
      </c>
      <c r="G3738" s="1" t="inlineStr">
        <is>
          <t>GF2020202243XS</t>
        </is>
      </c>
      <c r="H3738" s="1" t="n">
        <v>5</v>
      </c>
      <c r="I3738" s="1" t="inlineStr">
        <is>
          <t>มี</t>
        </is>
      </c>
      <c r="J3738" s="13" t="n">
        <v>49</v>
      </c>
      <c r="K3738" s="1" t="inlineStr"/>
      <c r="L3738" s="13" t="n">
        <v>49</v>
      </c>
      <c r="M3738" s="1">
        <f>IF(L3738="","ไม่พบใน SG",IF(ABS(J3738-L3738)&lt;0.005,"ตรงกัน","ไม่ตรง"))</f>
        <v/>
      </c>
      <c r="N3738" s="14">
        <f>IF(L3738="","",ROUND(L3738*'สรุป'!$C$6,-1))</f>
        <v/>
      </c>
      <c r="O3738" s="15" t="n"/>
      <c r="P3738" s="15" t="n"/>
      <c r="Q3738" s="10" t="n"/>
      <c r="R3738" s="10" t="n"/>
      <c r="S3738" s="16" t="inlineStr">
        <is>
          <t>https://mstgolf.co.th/products/gf2020202243</t>
        </is>
      </c>
      <c r="T3738" s="1">
        <f>IF(B3738="ไม้กอล์ฟ",J3738,"")</f>
        <v/>
      </c>
    </row>
    <row r="3739">
      <c r="A3739" s="1" t="n">
        <v>3</v>
      </c>
      <c r="B3739" s="1" t="inlineStr">
        <is>
          <t>หมวก</t>
        </is>
      </c>
      <c r="C3739" s="1" t="inlineStr">
        <is>
          <t>gf2000105098</t>
        </is>
      </c>
      <c r="D3739" s="1" t="inlineStr">
        <is>
          <t>PUMA Pars &amp; Stripes P Men's Cap (Navy)</t>
        </is>
      </c>
      <c r="E3739" s="1" t="inlineStr">
        <is>
          <t>PUMA</t>
        </is>
      </c>
      <c r="F3739" s="1" t="inlineStr">
        <is>
          <t>CAP</t>
        </is>
      </c>
      <c r="G3739" s="1" t="inlineStr">
        <is>
          <t>GF2000105098FS</t>
        </is>
      </c>
      <c r="H3739" s="1" t="n">
        <v>1</v>
      </c>
      <c r="I3739" s="1" t="inlineStr">
        <is>
          <t>มี</t>
        </is>
      </c>
      <c r="J3739" s="13" t="n">
        <v>49</v>
      </c>
      <c r="K3739" s="1" t="inlineStr"/>
      <c r="L3739" s="13" t="n">
        <v>19</v>
      </c>
      <c r="M3739" s="1">
        <f>IF(L3739="","ไม่พบใน SG",IF(ABS(J3739-L3739)&lt;0.005,"ตรงกัน","ไม่ตรง"))</f>
        <v/>
      </c>
      <c r="N3739" s="14">
        <f>IF(L3739="","",ROUND(L3739*'สรุป'!$C$6,-1))</f>
        <v/>
      </c>
      <c r="O3739" s="15" t="n"/>
      <c r="P3739" s="15" t="n"/>
      <c r="Q3739" s="10" t="n"/>
      <c r="R3739" s="10" t="n"/>
      <c r="S3739" s="16" t="inlineStr">
        <is>
          <t>https://mstgolf.co.th/products/gf2000105098</t>
        </is>
      </c>
      <c r="T3739" s="1">
        <f>IF(B3739="ไม้กอล์ฟ",J3739,"")</f>
        <v/>
      </c>
    </row>
    <row r="3740">
      <c r="A3740" s="1" t="n">
        <v>3</v>
      </c>
      <c r="B3740" s="1" t="inlineStr">
        <is>
          <t>เสื้อผ้า</t>
        </is>
      </c>
      <c r="C3740" s="1" t="inlineStr">
        <is>
          <t>gf2020201873</t>
        </is>
      </c>
      <c r="D3740" s="1" t="inlineStr">
        <is>
          <t>PUMA Puma Fancy Plants Women's Skorts (Pale Grape)</t>
        </is>
      </c>
      <c r="E3740" s="1" t="inlineStr">
        <is>
          <t>PUMA</t>
        </is>
      </c>
      <c r="F3740" s="1" t="inlineStr">
        <is>
          <t>SHORT PANTS</t>
        </is>
      </c>
      <c r="G3740" s="1" t="inlineStr">
        <is>
          <t>GF2020201873XS</t>
        </is>
      </c>
      <c r="H3740" s="1" t="n">
        <v>6</v>
      </c>
      <c r="I3740" s="1" t="inlineStr">
        <is>
          <t>มี</t>
        </is>
      </c>
      <c r="J3740" s="13" t="n">
        <v>49</v>
      </c>
      <c r="K3740" s="1" t="inlineStr"/>
      <c r="L3740" s="13" t="n">
        <v>49</v>
      </c>
      <c r="M3740" s="1">
        <f>IF(L3740="","ไม่พบใน SG",IF(ABS(J3740-L3740)&lt;0.005,"ตรงกัน","ไม่ตรง"))</f>
        <v/>
      </c>
      <c r="N3740" s="14">
        <f>IF(L3740="","",ROUND(L3740*'สรุป'!$C$6,-1))</f>
        <v/>
      </c>
      <c r="O3740" s="15" t="n"/>
      <c r="P3740" s="15" t="n"/>
      <c r="Q3740" s="10" t="n"/>
      <c r="R3740" s="10" t="n"/>
      <c r="S3740" s="16" t="inlineStr">
        <is>
          <t>https://mstgolf.co.th/products/gf2020201873</t>
        </is>
      </c>
      <c r="T3740" s="1">
        <f>IF(B3740="ไม้กอล์ฟ",J3740,"")</f>
        <v/>
      </c>
    </row>
    <row r="3741">
      <c r="A3741" s="1" t="n">
        <v>3</v>
      </c>
      <c r="B3741" s="1" t="inlineStr">
        <is>
          <t>เสื้อผ้า</t>
        </is>
      </c>
      <c r="C3741" s="1" t="inlineStr">
        <is>
          <t>gf2040119251</t>
        </is>
      </c>
      <c r="D3741" s="1" t="inlineStr">
        <is>
          <t>PUMA Pure Girl's Polo (Red Fire)</t>
        </is>
      </c>
      <c r="E3741" s="1" t="inlineStr">
        <is>
          <t>PUMA</t>
        </is>
      </c>
      <c r="F3741" s="1" t="inlineStr">
        <is>
          <t>SHORT SLEEVES</t>
        </is>
      </c>
      <c r="G3741" s="1" t="inlineStr">
        <is>
          <t>GF2040119251128</t>
        </is>
      </c>
      <c r="H3741" s="1" t="n">
        <v>5</v>
      </c>
      <c r="I3741" s="1" t="inlineStr">
        <is>
          <t>มี</t>
        </is>
      </c>
      <c r="J3741" s="13" t="n">
        <v>49</v>
      </c>
      <c r="K3741" s="1" t="inlineStr"/>
      <c r="L3741" s="13" t="n">
        <v>35</v>
      </c>
      <c r="M3741" s="1">
        <f>IF(L3741="","ไม่พบใน SG",IF(ABS(J3741-L3741)&lt;0.005,"ตรงกัน","ไม่ตรง"))</f>
        <v/>
      </c>
      <c r="N3741" s="14">
        <f>IF(L3741="","",ROUND(L3741*'สรุป'!$C$6,-1))</f>
        <v/>
      </c>
      <c r="O3741" s="15" t="n"/>
      <c r="P3741" s="15" t="n"/>
      <c r="Q3741" s="10" t="n"/>
      <c r="R3741" s="10" t="n"/>
      <c r="S3741" s="16" t="inlineStr">
        <is>
          <t>https://mstgolf.co.th/products/gf2040119251</t>
        </is>
      </c>
      <c r="T3741" s="1">
        <f>IF(B3741="ไม้กอล์ฟ",J3741,"")</f>
        <v/>
      </c>
    </row>
    <row r="3742">
      <c r="A3742" s="1" t="n">
        <v>3</v>
      </c>
      <c r="B3742" s="1" t="inlineStr">
        <is>
          <t>หมวก</t>
        </is>
      </c>
      <c r="C3742" s="1" t="inlineStr">
        <is>
          <t>gf2000105113</t>
        </is>
      </c>
      <c r="D3742" s="1" t="inlineStr">
        <is>
          <t>PUMA Semi-Flat Men's Cap (Green)</t>
        </is>
      </c>
      <c r="E3742" s="1" t="inlineStr">
        <is>
          <t>PUMA</t>
        </is>
      </c>
      <c r="F3742" s="1" t="inlineStr">
        <is>
          <t>CAP</t>
        </is>
      </c>
      <c r="G3742" s="1" t="inlineStr">
        <is>
          <t>GF2000105113FS</t>
        </is>
      </c>
      <c r="H3742" s="1" t="n">
        <v>1</v>
      </c>
      <c r="I3742" s="1" t="inlineStr">
        <is>
          <t>มี</t>
        </is>
      </c>
      <c r="J3742" s="13" t="n">
        <v>49</v>
      </c>
      <c r="K3742" s="1" t="inlineStr"/>
      <c r="L3742" s="13" t="n">
        <v>19</v>
      </c>
      <c r="M3742" s="1">
        <f>IF(L3742="","ไม่พบใน SG",IF(ABS(J3742-L3742)&lt;0.005,"ตรงกัน","ไม่ตรง"))</f>
        <v/>
      </c>
      <c r="N3742" s="14">
        <f>IF(L3742="","",ROUND(L3742*'สรุป'!$C$6,-1))</f>
        <v/>
      </c>
      <c r="O3742" s="15" t="n"/>
      <c r="P3742" s="15" t="n"/>
      <c r="Q3742" s="10" t="n"/>
      <c r="R3742" s="10" t="n"/>
      <c r="S3742" s="16" t="inlineStr">
        <is>
          <t>https://mstgolf.co.th/products/gf2000105113</t>
        </is>
      </c>
      <c r="T3742" s="1">
        <f>IF(B3742="ไม้กอล์ฟ",J3742,"")</f>
        <v/>
      </c>
    </row>
    <row r="3743">
      <c r="A3743" s="1" t="n">
        <v>3</v>
      </c>
      <c r="B3743" s="1" t="inlineStr">
        <is>
          <t>หมวก</t>
        </is>
      </c>
      <c r="C3743" s="1" t="inlineStr">
        <is>
          <t>gf2000105112</t>
        </is>
      </c>
      <c r="D3743" s="1" t="inlineStr">
        <is>
          <t>PUMA Semi-Flat Men's Cap (Navy)</t>
        </is>
      </c>
      <c r="E3743" s="1" t="inlineStr">
        <is>
          <t>PUMA</t>
        </is>
      </c>
      <c r="F3743" s="1" t="inlineStr">
        <is>
          <t>CAP</t>
        </is>
      </c>
      <c r="G3743" s="1" t="inlineStr">
        <is>
          <t>GF2000105112FS</t>
        </is>
      </c>
      <c r="H3743" s="1" t="n">
        <v>1</v>
      </c>
      <c r="I3743" s="1" t="inlineStr">
        <is>
          <t>มี</t>
        </is>
      </c>
      <c r="J3743" s="13" t="n">
        <v>49</v>
      </c>
      <c r="K3743" s="1" t="inlineStr"/>
      <c r="L3743" s="13" t="n">
        <v>19</v>
      </c>
      <c r="M3743" s="1">
        <f>IF(L3743="","ไม่พบใน SG",IF(ABS(J3743-L3743)&lt;0.005,"ตรงกัน","ไม่ตรง"))</f>
        <v/>
      </c>
      <c r="N3743" s="14">
        <f>IF(L3743="","",ROUND(L3743*'สรุป'!$C$6,-1))</f>
        <v/>
      </c>
      <c r="O3743" s="15" t="n"/>
      <c r="P3743" s="15" t="n"/>
      <c r="Q3743" s="10" t="n"/>
      <c r="R3743" s="10" t="n"/>
      <c r="S3743" s="16" t="inlineStr">
        <is>
          <t>https://mstgolf.co.th/products/gf2000105112</t>
        </is>
      </c>
      <c r="T3743" s="1">
        <f>IF(B3743="ไม้กอล์ฟ",J3743,"")</f>
        <v/>
      </c>
    </row>
    <row r="3744">
      <c r="A3744" s="1" t="n">
        <v>3</v>
      </c>
      <c r="B3744" s="1" t="inlineStr">
        <is>
          <t>หมวก</t>
        </is>
      </c>
      <c r="C3744" s="1" t="inlineStr">
        <is>
          <t>gf2000105114</t>
        </is>
      </c>
      <c r="D3744" s="1" t="inlineStr">
        <is>
          <t>PUMA Semi-Flat Men's Cap (White)</t>
        </is>
      </c>
      <c r="E3744" s="1" t="inlineStr">
        <is>
          <t>PUMA</t>
        </is>
      </c>
      <c r="F3744" s="1" t="inlineStr">
        <is>
          <t>CAP</t>
        </is>
      </c>
      <c r="G3744" s="1" t="inlineStr">
        <is>
          <t>GF2000105114FS</t>
        </is>
      </c>
      <c r="H3744" s="1" t="n">
        <v>1</v>
      </c>
      <c r="I3744" s="1" t="inlineStr">
        <is>
          <t>มี</t>
        </is>
      </c>
      <c r="J3744" s="13" t="n">
        <v>49</v>
      </c>
      <c r="K3744" s="1" t="inlineStr"/>
      <c r="L3744" s="13" t="n">
        <v>19</v>
      </c>
      <c r="M3744" s="1">
        <f>IF(L3744="","ไม่พบใน SG",IF(ABS(J3744-L3744)&lt;0.005,"ตรงกัน","ไม่ตรง"))</f>
        <v/>
      </c>
      <c r="N3744" s="14">
        <f>IF(L3744="","",ROUND(L3744*'สรุป'!$C$6,-1))</f>
        <v/>
      </c>
      <c r="O3744" s="15" t="n"/>
      <c r="P3744" s="15" t="n"/>
      <c r="Q3744" s="10" t="n"/>
      <c r="R3744" s="10" t="n"/>
      <c r="S3744" s="16" t="inlineStr">
        <is>
          <t>https://mstgolf.co.th/products/gf2000105114</t>
        </is>
      </c>
      <c r="T3744" s="1">
        <f>IF(B3744="ไม้กอล์ฟ",J3744,"")</f>
        <v/>
      </c>
    </row>
    <row r="3745">
      <c r="A3745" s="1" t="n">
        <v>3</v>
      </c>
      <c r="B3745" s="1" t="inlineStr">
        <is>
          <t>หมวก</t>
        </is>
      </c>
      <c r="C3745" s="1" t="inlineStr">
        <is>
          <t>gf2000106229</t>
        </is>
      </c>
      <c r="D3745" s="1" t="inlineStr">
        <is>
          <t>PUMA Shield Unstructured P Men's Cap (Navy/White)</t>
        </is>
      </c>
      <c r="E3745" s="1" t="inlineStr">
        <is>
          <t>PUMA</t>
        </is>
      </c>
      <c r="F3745" s="1" t="inlineStr">
        <is>
          <t>CAP</t>
        </is>
      </c>
      <c r="G3745" s="1" t="inlineStr">
        <is>
          <t>GF2000106229FS</t>
        </is>
      </c>
      <c r="H3745" s="1" t="n">
        <v>1</v>
      </c>
      <c r="I3745" s="1" t="inlineStr">
        <is>
          <t>มี</t>
        </is>
      </c>
      <c r="J3745" s="13" t="n">
        <v>49</v>
      </c>
      <c r="K3745" s="1" t="inlineStr"/>
      <c r="L3745" s="13" t="n">
        <v>49</v>
      </c>
      <c r="M3745" s="1">
        <f>IF(L3745="","ไม่พบใน SG",IF(ABS(J3745-L3745)&lt;0.005,"ตรงกัน","ไม่ตรง"))</f>
        <v/>
      </c>
      <c r="N3745" s="14">
        <f>IF(L3745="","",ROUND(L3745*'สรุป'!$C$6,-1))</f>
        <v/>
      </c>
      <c r="O3745" s="15" t="n"/>
      <c r="P3745" s="15" t="n"/>
      <c r="Q3745" s="10" t="n"/>
      <c r="R3745" s="10" t="n"/>
      <c r="S3745" s="16" t="inlineStr">
        <is>
          <t>https://mstgolf.co.th/products/gf2000106229</t>
        </is>
      </c>
      <c r="T3745" s="1">
        <f>IF(B3745="ไม้กอล์ฟ",J3745,"")</f>
        <v/>
      </c>
    </row>
    <row r="3746">
      <c r="A3746" s="1" t="n">
        <v>3</v>
      </c>
      <c r="B3746" s="1" t="inlineStr">
        <is>
          <t>หมวก</t>
        </is>
      </c>
      <c r="C3746" s="1" t="inlineStr">
        <is>
          <t>gf2000106230</t>
        </is>
      </c>
      <c r="D3746" s="1" t="inlineStr">
        <is>
          <t>PUMA Shield Unstructured P Men's Cap (White/Black)</t>
        </is>
      </c>
      <c r="E3746" s="1" t="inlineStr">
        <is>
          <t>PUMA</t>
        </is>
      </c>
      <c r="F3746" s="1" t="inlineStr">
        <is>
          <t>CAP</t>
        </is>
      </c>
      <c r="G3746" s="1" t="inlineStr">
        <is>
          <t>GF2000106230FS</t>
        </is>
      </c>
      <c r="H3746" s="1" t="n">
        <v>1</v>
      </c>
      <c r="I3746" s="1" t="inlineStr">
        <is>
          <t>มี</t>
        </is>
      </c>
      <c r="J3746" s="13" t="n">
        <v>49</v>
      </c>
      <c r="K3746" s="1" t="inlineStr"/>
      <c r="L3746" s="13" t="n">
        <v>49</v>
      </c>
      <c r="M3746" s="1">
        <f>IF(L3746="","ไม่พบใน SG",IF(ABS(J3746-L3746)&lt;0.005,"ตรงกัน","ไม่ตรง"))</f>
        <v/>
      </c>
      <c r="N3746" s="14">
        <f>IF(L3746="","",ROUND(L3746*'สรุป'!$C$6,-1))</f>
        <v/>
      </c>
      <c r="O3746" s="15" t="n"/>
      <c r="P3746" s="15" t="n"/>
      <c r="Q3746" s="10" t="n"/>
      <c r="R3746" s="10" t="n"/>
      <c r="S3746" s="16" t="inlineStr">
        <is>
          <t>https://mstgolf.co.th/products/gf2000106230</t>
        </is>
      </c>
      <c r="T3746" s="1">
        <f>IF(B3746="ไม้กอล์ฟ",J3746,"")</f>
        <v/>
      </c>
    </row>
    <row r="3747">
      <c r="A3747" s="1" t="n">
        <v>3</v>
      </c>
      <c r="B3747" s="1" t="inlineStr">
        <is>
          <t>หมวก</t>
        </is>
      </c>
      <c r="C3747" s="1" t="inlineStr">
        <is>
          <t>gf2000200974</t>
        </is>
      </c>
      <c r="D3747" s="1" t="inlineStr">
        <is>
          <t>PUMA Tech P Men's Visor (White)</t>
        </is>
      </c>
      <c r="E3747" s="1" t="inlineStr">
        <is>
          <t>PUMA</t>
        </is>
      </c>
      <c r="F3747" s="1" t="inlineStr">
        <is>
          <t>VISOR</t>
        </is>
      </c>
      <c r="G3747" s="1" t="inlineStr">
        <is>
          <t>GF2000200974FS</t>
        </is>
      </c>
      <c r="H3747" s="1" t="n">
        <v>1</v>
      </c>
      <c r="I3747" s="1" t="inlineStr">
        <is>
          <t>มี</t>
        </is>
      </c>
      <c r="J3747" s="13" t="n">
        <v>49</v>
      </c>
      <c r="K3747" s="1" t="inlineStr"/>
      <c r="L3747" s="13" t="n">
        <v>49</v>
      </c>
      <c r="M3747" s="1">
        <f>IF(L3747="","ไม่พบใน SG",IF(ABS(J3747-L3747)&lt;0.005,"ตรงกัน","ไม่ตรง"))</f>
        <v/>
      </c>
      <c r="N3747" s="14">
        <f>IF(L3747="","",ROUND(L3747*'สรุป'!$C$6,-1))</f>
        <v/>
      </c>
      <c r="O3747" s="15" t="n"/>
      <c r="P3747" s="15" t="n"/>
      <c r="Q3747" s="10" t="n"/>
      <c r="R3747" s="10" t="n"/>
      <c r="S3747" s="16" t="inlineStr">
        <is>
          <t>https://mstgolf.co.th/products/gf2000200974</t>
        </is>
      </c>
      <c r="T3747" s="1">
        <f>IF(B3747="ไม้กอล์ฟ",J3747,"")</f>
        <v/>
      </c>
    </row>
    <row r="3748">
      <c r="A3748" s="1" t="n">
        <v>3</v>
      </c>
      <c r="B3748" s="1" t="inlineStr">
        <is>
          <t>หมวก</t>
        </is>
      </c>
      <c r="C3748" s="1" t="inlineStr">
        <is>
          <t>gf2000105111</t>
        </is>
      </c>
      <c r="D3748" s="1" t="inlineStr">
        <is>
          <t>PUMA Twill Circle Patch Men's Cap (Green)</t>
        </is>
      </c>
      <c r="E3748" s="1" t="inlineStr">
        <is>
          <t>PUMA</t>
        </is>
      </c>
      <c r="F3748" s="1" t="inlineStr">
        <is>
          <t>CAP</t>
        </is>
      </c>
      <c r="G3748" s="1" t="inlineStr">
        <is>
          <t>GF2000105111FS</t>
        </is>
      </c>
      <c r="H3748" s="1" t="n">
        <v>1</v>
      </c>
      <c r="I3748" s="1" t="inlineStr">
        <is>
          <t>มี</t>
        </is>
      </c>
      <c r="J3748" s="13" t="n">
        <v>49</v>
      </c>
      <c r="K3748" s="1" t="inlineStr"/>
      <c r="L3748" s="13" t="n">
        <v>19</v>
      </c>
      <c r="M3748" s="1">
        <f>IF(L3748="","ไม่พบใน SG",IF(ABS(J3748-L3748)&lt;0.005,"ตรงกัน","ไม่ตรง"))</f>
        <v/>
      </c>
      <c r="N3748" s="14">
        <f>IF(L3748="","",ROUND(L3748*'สรุป'!$C$6,-1))</f>
        <v/>
      </c>
      <c r="O3748" s="15" t="n"/>
      <c r="P3748" s="15" t="n"/>
      <c r="Q3748" s="10" t="n"/>
      <c r="R3748" s="10" t="n"/>
      <c r="S3748" s="16" t="inlineStr">
        <is>
          <t>https://mstgolf.co.th/products/gf2000105111</t>
        </is>
      </c>
      <c r="T3748" s="1">
        <f>IF(B3748="ไม้กอล์ฟ",J3748,"")</f>
        <v/>
      </c>
    </row>
    <row r="3749">
      <c r="A3749" s="1" t="n">
        <v>3</v>
      </c>
      <c r="B3749" s="1" t="inlineStr">
        <is>
          <t>หมวก</t>
        </is>
      </c>
      <c r="C3749" s="1" t="inlineStr">
        <is>
          <t>gf2000105110</t>
        </is>
      </c>
      <c r="D3749" s="1" t="inlineStr">
        <is>
          <t>PUMA Twill Circle Patch Men's Cap (Navy)</t>
        </is>
      </c>
      <c r="E3749" s="1" t="inlineStr">
        <is>
          <t>PUMA</t>
        </is>
      </c>
      <c r="F3749" s="1" t="inlineStr">
        <is>
          <t>CAP</t>
        </is>
      </c>
      <c r="G3749" s="1" t="inlineStr">
        <is>
          <t>GF2000105110FS</t>
        </is>
      </c>
      <c r="H3749" s="1" t="n">
        <v>1</v>
      </c>
      <c r="I3749" s="1" t="inlineStr">
        <is>
          <t>มี</t>
        </is>
      </c>
      <c r="J3749" s="13" t="n">
        <v>49</v>
      </c>
      <c r="K3749" s="1" t="inlineStr"/>
      <c r="L3749" s="13" t="n">
        <v>19</v>
      </c>
      <c r="M3749" s="1">
        <f>IF(L3749="","ไม่พบใน SG",IF(ABS(J3749-L3749)&lt;0.005,"ตรงกัน","ไม่ตรง"))</f>
        <v/>
      </c>
      <c r="N3749" s="14">
        <f>IF(L3749="","",ROUND(L3749*'สรุป'!$C$6,-1))</f>
        <v/>
      </c>
      <c r="O3749" s="15" t="n"/>
      <c r="P3749" s="15" t="n"/>
      <c r="Q3749" s="10" t="n"/>
      <c r="R3749" s="10" t="n"/>
      <c r="S3749" s="16" t="inlineStr">
        <is>
          <t>https://mstgolf.co.th/products/gf2000105110</t>
        </is>
      </c>
      <c r="T3749" s="1">
        <f>IF(B3749="ไม้กอล์ฟ",J3749,"")</f>
        <v/>
      </c>
    </row>
    <row r="3750">
      <c r="A3750" s="1" t="n">
        <v>3</v>
      </c>
      <c r="B3750" s="1" t="inlineStr">
        <is>
          <t>หมวก</t>
        </is>
      </c>
      <c r="C3750" s="1" t="inlineStr">
        <is>
          <t>gf2000105117</t>
        </is>
      </c>
      <c r="D3750" s="1" t="inlineStr">
        <is>
          <t>PUMA Twill Graphic Men's Cap (Pink)</t>
        </is>
      </c>
      <c r="E3750" s="1" t="inlineStr">
        <is>
          <t>PUMA</t>
        </is>
      </c>
      <c r="F3750" s="1" t="inlineStr">
        <is>
          <t>CAP</t>
        </is>
      </c>
      <c r="G3750" s="1" t="inlineStr">
        <is>
          <t>GF2000105117FS</t>
        </is>
      </c>
      <c r="H3750" s="1" t="n">
        <v>1</v>
      </c>
      <c r="I3750" s="1" t="inlineStr">
        <is>
          <t>มี</t>
        </is>
      </c>
      <c r="J3750" s="13" t="n">
        <v>49</v>
      </c>
      <c r="K3750" s="1" t="inlineStr"/>
      <c r="L3750" s="13" t="n">
        <v>49</v>
      </c>
      <c r="M3750" s="1">
        <f>IF(L3750="","ไม่พบใน SG",IF(ABS(J3750-L3750)&lt;0.005,"ตรงกัน","ไม่ตรง"))</f>
        <v/>
      </c>
      <c r="N3750" s="14">
        <f>IF(L3750="","",ROUND(L3750*'สรุป'!$C$6,-1))</f>
        <v/>
      </c>
      <c r="O3750" s="15" t="n"/>
      <c r="P3750" s="15" t="n"/>
      <c r="Q3750" s="10" t="n"/>
      <c r="R3750" s="10" t="n"/>
      <c r="S3750" s="16" t="inlineStr">
        <is>
          <t>https://mstgolf.co.th/products/gf2000105117</t>
        </is>
      </c>
      <c r="T3750" s="1">
        <f>IF(B3750="ไม้กอล์ฟ",J3750,"")</f>
        <v/>
      </c>
    </row>
    <row r="3751">
      <c r="A3751" s="1" t="n">
        <v>3</v>
      </c>
      <c r="B3751" s="1" t="inlineStr">
        <is>
          <t>เสื้อผ้า</t>
        </is>
      </c>
      <c r="C3751" s="1" t="inlineStr">
        <is>
          <t>gf2040116640</t>
        </is>
      </c>
      <c r="D3751" s="1" t="inlineStr">
        <is>
          <t>PUMA x Hoops Women's Raceback Polo (Clyde Royal)</t>
        </is>
      </c>
      <c r="E3751" s="1" t="inlineStr">
        <is>
          <t>PUMA</t>
        </is>
      </c>
      <c r="F3751" s="1" t="inlineStr">
        <is>
          <t>SHORT SLEEVES</t>
        </is>
      </c>
      <c r="G3751" s="1" t="inlineStr">
        <is>
          <t>GF2040116640XS</t>
        </is>
      </c>
      <c r="H3751" s="1" t="n">
        <v>5</v>
      </c>
      <c r="I3751" s="1" t="inlineStr">
        <is>
          <t>มี</t>
        </is>
      </c>
      <c r="J3751" s="13" t="n">
        <v>49</v>
      </c>
      <c r="K3751" s="1" t="inlineStr"/>
      <c r="L3751" s="13" t="n">
        <v>49</v>
      </c>
      <c r="M3751" s="1">
        <f>IF(L3751="","ไม่พบใน SG",IF(ABS(J3751-L3751)&lt;0.005,"ตรงกัน","ไม่ตรง"))</f>
        <v/>
      </c>
      <c r="N3751" s="14">
        <f>IF(L3751="","",ROUND(L3751*'สรุป'!$C$6,-1))</f>
        <v/>
      </c>
      <c r="O3751" s="15" t="n"/>
      <c r="P3751" s="15" t="n"/>
      <c r="Q3751" s="10" t="n"/>
      <c r="R3751" s="10" t="n"/>
      <c r="S3751" s="16" t="inlineStr">
        <is>
          <t>https://mstgolf.co.th/products/gf2040116640</t>
        </is>
      </c>
      <c r="T3751" s="1">
        <f>IF(B3751="ไม้กอล์ฟ",J3751,"")</f>
        <v/>
      </c>
    </row>
    <row r="3752">
      <c r="A3752" s="1" t="n">
        <v>3</v>
      </c>
      <c r="B3752" s="1" t="inlineStr">
        <is>
          <t>เสื้อผ้า</t>
        </is>
      </c>
      <c r="C3752" s="1" t="inlineStr">
        <is>
          <t>gf2020202241</t>
        </is>
      </c>
      <c r="D3752" s="1" t="inlineStr">
        <is>
          <t>PUMA x Liberty Skirt (Navy Blazer)</t>
        </is>
      </c>
      <c r="E3752" s="1" t="inlineStr">
        <is>
          <t>PUMA</t>
        </is>
      </c>
      <c r="F3752" s="1" t="inlineStr">
        <is>
          <t>SHORT PANTS</t>
        </is>
      </c>
      <c r="G3752" s="1" t="inlineStr">
        <is>
          <t>GF2020202241XS</t>
        </is>
      </c>
      <c r="H3752" s="1" t="n">
        <v>5</v>
      </c>
      <c r="I3752" s="1" t="inlineStr">
        <is>
          <t>มี</t>
        </is>
      </c>
      <c r="J3752" s="13" t="n">
        <v>49</v>
      </c>
      <c r="K3752" s="1" t="inlineStr"/>
      <c r="L3752" s="13" t="n">
        <v>49</v>
      </c>
      <c r="M3752" s="1">
        <f>IF(L3752="","ไม่พบใน SG",IF(ABS(J3752-L3752)&lt;0.005,"ตรงกัน","ไม่ตรง"))</f>
        <v/>
      </c>
      <c r="N3752" s="14">
        <f>IF(L3752="","",ROUND(L3752*'สรุป'!$C$6,-1))</f>
        <v/>
      </c>
      <c r="O3752" s="15" t="n"/>
      <c r="P3752" s="15" t="n"/>
      <c r="Q3752" s="10" t="n"/>
      <c r="R3752" s="10" t="n"/>
      <c r="S3752" s="16" t="inlineStr">
        <is>
          <t>https://mstgolf.co.th/products/gf2020202241</t>
        </is>
      </c>
      <c r="T3752" s="1">
        <f>IF(B3752="ไม้กอล์ฟ",J3752,"")</f>
        <v/>
      </c>
    </row>
    <row r="3753">
      <c r="A3753" s="1" t="n">
        <v>3</v>
      </c>
      <c r="B3753" s="1" t="inlineStr">
        <is>
          <t>เสื้อผ้า</t>
        </is>
      </c>
      <c r="C3753" s="1" t="inlineStr">
        <is>
          <t>gf2040117410</t>
        </is>
      </c>
      <c r="D3753" s="1" t="inlineStr">
        <is>
          <t>PUMA x PTC Island Men's Shirt (White Glow)</t>
        </is>
      </c>
      <c r="E3753" s="1" t="inlineStr">
        <is>
          <t>PUMA</t>
        </is>
      </c>
      <c r="F3753" s="1" t="inlineStr">
        <is>
          <t>SHORT SLEEVES</t>
        </is>
      </c>
      <c r="G3753" s="1" t="inlineStr">
        <is>
          <t>GF2040117410S</t>
        </is>
      </c>
      <c r="H3753" s="1" t="n">
        <v>5</v>
      </c>
      <c r="I3753" s="1" t="inlineStr">
        <is>
          <t>มี</t>
        </is>
      </c>
      <c r="J3753" s="13" t="n">
        <v>49</v>
      </c>
      <c r="K3753" s="1" t="inlineStr"/>
      <c r="L3753" s="13" t="n">
        <v>49</v>
      </c>
      <c r="M3753" s="1">
        <f>IF(L3753="","ไม่พบใน SG",IF(ABS(J3753-L3753)&lt;0.005,"ตรงกัน","ไม่ตรง"))</f>
        <v/>
      </c>
      <c r="N3753" s="14">
        <f>IF(L3753="","",ROUND(L3753*'สรุป'!$C$6,-1))</f>
        <v/>
      </c>
      <c r="O3753" s="15" t="n"/>
      <c r="P3753" s="15" t="n"/>
      <c r="Q3753" s="10" t="n"/>
      <c r="R3753" s="10" t="n"/>
      <c r="S3753" s="16" t="inlineStr">
        <is>
          <t>https://mstgolf.co.th/products/gf2040117410</t>
        </is>
      </c>
      <c r="T3753" s="1">
        <f>IF(B3753="ไม้กอล์ฟ",J3753,"")</f>
        <v/>
      </c>
    </row>
    <row r="3754">
      <c r="A3754" s="1" t="n">
        <v>3</v>
      </c>
      <c r="B3754" s="1" t="inlineStr">
        <is>
          <t>หมวก</t>
        </is>
      </c>
      <c r="C3754" s="1" t="inlineStr">
        <is>
          <t>gf2000105226</t>
        </is>
      </c>
      <c r="D3754" s="1" t="inlineStr">
        <is>
          <t>PXG Darkness Skull Men's Cap (Black/Multi)</t>
        </is>
      </c>
      <c r="E3754" s="1" t="inlineStr">
        <is>
          <t>PXG</t>
        </is>
      </c>
      <c r="F3754" s="1" t="inlineStr">
        <is>
          <t>CAP</t>
        </is>
      </c>
      <c r="G3754" s="1" t="inlineStr">
        <is>
          <t>GF2000105226FS</t>
        </is>
      </c>
      <c r="H3754" s="1" t="n">
        <v>1</v>
      </c>
      <c r="I3754" s="1" t="inlineStr">
        <is>
          <t>มี</t>
        </is>
      </c>
      <c r="J3754" s="13" t="n">
        <v>49</v>
      </c>
      <c r="K3754" s="1" t="inlineStr"/>
      <c r="L3754" s="13" t="n">
        <v>39</v>
      </c>
      <c r="M3754" s="1">
        <f>IF(L3754="","ไม่พบใน SG",IF(ABS(J3754-L3754)&lt;0.005,"ตรงกัน","ไม่ตรง"))</f>
        <v/>
      </c>
      <c r="N3754" s="14">
        <f>IF(L3754="","",ROUND(L3754*'สรุป'!$C$6,-1))</f>
        <v/>
      </c>
      <c r="O3754" s="15" t="n"/>
      <c r="P3754" s="15" t="n"/>
      <c r="Q3754" s="10" t="n"/>
      <c r="R3754" s="10" t="n"/>
      <c r="S3754" s="16" t="inlineStr">
        <is>
          <t>https://mstgolf.co.th/products/gf2000105226</t>
        </is>
      </c>
      <c r="T3754" s="1">
        <f>IF(B3754="ไม้กอล์ฟ",J3754,"")</f>
        <v/>
      </c>
    </row>
    <row r="3755">
      <c r="A3755" s="1" t="n">
        <v>3</v>
      </c>
      <c r="B3755" s="1" t="inlineStr">
        <is>
          <t>หมวก</t>
        </is>
      </c>
      <c r="C3755" s="1" t="inlineStr">
        <is>
          <t>gf2000300200</t>
        </is>
      </c>
      <c r="D3755" s="1" t="inlineStr">
        <is>
          <t>PXG Prolight Collection Bush Men's Hat (Black)</t>
        </is>
      </c>
      <c r="E3755" s="1" t="inlineStr">
        <is>
          <t>PXG</t>
        </is>
      </c>
      <c r="F3755" s="1" t="inlineStr">
        <is>
          <t>HAT</t>
        </is>
      </c>
      <c r="G3755" s="1" t="inlineStr">
        <is>
          <t>GF2000300200FS</t>
        </is>
      </c>
      <c r="H3755" s="1" t="n">
        <v>1</v>
      </c>
      <c r="I3755" s="1" t="inlineStr">
        <is>
          <t>มี</t>
        </is>
      </c>
      <c r="J3755" s="13" t="n">
        <v>49</v>
      </c>
      <c r="K3755" s="1" t="inlineStr"/>
      <c r="L3755" s="13" t="n">
        <v>49</v>
      </c>
      <c r="M3755" s="1">
        <f>IF(L3755="","ไม่พบใน SG",IF(ABS(J3755-L3755)&lt;0.005,"ตรงกัน","ไม่ตรง"))</f>
        <v/>
      </c>
      <c r="N3755" s="14">
        <f>IF(L3755="","",ROUND(L3755*'สรุป'!$C$6,-1))</f>
        <v/>
      </c>
      <c r="O3755" s="15" t="n"/>
      <c r="P3755" s="15" t="n"/>
      <c r="Q3755" s="10" t="n"/>
      <c r="R3755" s="10" t="n"/>
      <c r="S3755" s="16" t="inlineStr">
        <is>
          <t>https://mstgolf.co.th/products/gf2000300200</t>
        </is>
      </c>
      <c r="T3755" s="1">
        <f>IF(B3755="ไม้กอล์ฟ",J3755,"")</f>
        <v/>
      </c>
    </row>
    <row r="3756">
      <c r="A3756" s="1" t="n">
        <v>3</v>
      </c>
      <c r="B3756" s="1" t="inlineStr">
        <is>
          <t>อุปกรณ์เสริม</t>
        </is>
      </c>
      <c r="C3756" s="1" t="inlineStr">
        <is>
          <t>gf3500201228</t>
        </is>
      </c>
      <c r="D3756" s="1" t="inlineStr">
        <is>
          <t>TAYLORMADE Auth-Tech Blade Putter Headcover (Red/Black)</t>
        </is>
      </c>
      <c r="E3756" s="1" t="inlineStr">
        <is>
          <t>TAYLORMADE</t>
        </is>
      </c>
      <c r="F3756" s="1" t="inlineStr">
        <is>
          <t>HEADCOVERS</t>
        </is>
      </c>
      <c r="G3756" s="1" t="inlineStr">
        <is>
          <t>GF3500201228</t>
        </is>
      </c>
      <c r="H3756" s="1" t="n">
        <v>1</v>
      </c>
      <c r="I3756" s="1" t="inlineStr">
        <is>
          <t>มี</t>
        </is>
      </c>
      <c r="J3756" s="13" t="n">
        <v>49</v>
      </c>
      <c r="K3756" s="1" t="inlineStr"/>
      <c r="L3756" s="13" t="n">
        <v>49</v>
      </c>
      <c r="M3756" s="1">
        <f>IF(L3756="","ไม่พบใน SG",IF(ABS(J3756-L3756)&lt;0.005,"ตรงกัน","ไม่ตรง"))</f>
        <v/>
      </c>
      <c r="N3756" s="14">
        <f>IF(L3756="","",ROUND(L3756*'สรุป'!$C$6,-1))</f>
        <v/>
      </c>
      <c r="O3756" s="15" t="n"/>
      <c r="P3756" s="15" t="n"/>
      <c r="Q3756" s="10" t="n"/>
      <c r="R3756" s="10" t="n"/>
      <c r="S3756" s="16" t="inlineStr">
        <is>
          <t>https://mstgolf.co.th/products/gf3500201228</t>
        </is>
      </c>
      <c r="T3756" s="1">
        <f>IF(B3756="ไม้กอล์ฟ",J3756,"")</f>
        <v/>
      </c>
    </row>
    <row r="3757">
      <c r="A3757" s="1" t="n">
        <v>3</v>
      </c>
      <c r="B3757" s="1" t="inlineStr">
        <is>
          <t>หมวก</t>
        </is>
      </c>
      <c r="C3757" s="1" t="inlineStr">
        <is>
          <t>gf2000105286</t>
        </is>
      </c>
      <c r="D3757" s="1" t="inlineStr">
        <is>
          <t>TAYLORMADE GWP Driver Launch Men's Cap (Black)</t>
        </is>
      </c>
      <c r="E3757" s="1" t="inlineStr">
        <is>
          <t>TAYLORMADE</t>
        </is>
      </c>
      <c r="F3757" s="1" t="inlineStr">
        <is>
          <t>CAP</t>
        </is>
      </c>
      <c r="G3757" s="1" t="inlineStr">
        <is>
          <t>GF2000105286FS</t>
        </is>
      </c>
      <c r="H3757" s="1" t="n">
        <v>1</v>
      </c>
      <c r="I3757" s="1" t="inlineStr">
        <is>
          <t>มี</t>
        </is>
      </c>
      <c r="J3757" s="13" t="n">
        <v>49</v>
      </c>
      <c r="K3757" s="1" t="inlineStr"/>
      <c r="L3757" s="13" t="n"/>
      <c r="M3757" s="1">
        <f>IF(L3757="","ไม่พบใน SG",IF(ABS(J3757-L3757)&lt;0.005,"ตรงกัน","ไม่ตรง"))</f>
        <v/>
      </c>
      <c r="N3757" s="14">
        <f>IF(L3757="","",ROUND(L3757*'สรุป'!$C$6,-1))</f>
        <v/>
      </c>
      <c r="O3757" s="15" t="n"/>
      <c r="P3757" s="15" t="n"/>
      <c r="Q3757" s="10" t="n"/>
      <c r="R3757" s="10" t="n"/>
      <c r="S3757" s="16" t="inlineStr">
        <is>
          <t>https://mstgolf.co.th/products/gf2000105286</t>
        </is>
      </c>
      <c r="T3757" s="1">
        <f>IF(B3757="ไม้กอล์ฟ",J3757,"")</f>
        <v/>
      </c>
    </row>
    <row r="3758">
      <c r="A3758" s="1" t="n">
        <v>3</v>
      </c>
      <c r="B3758" s="1" t="inlineStr">
        <is>
          <t>หมวก</t>
        </is>
      </c>
      <c r="C3758" s="1" t="inlineStr">
        <is>
          <t>gf2000105285</t>
        </is>
      </c>
      <c r="D3758" s="1" t="inlineStr">
        <is>
          <t>TAYLORMADE GWP Driver Launch Men's Cap (White)</t>
        </is>
      </c>
      <c r="E3758" s="1" t="inlineStr">
        <is>
          <t>TAYLORMADE</t>
        </is>
      </c>
      <c r="F3758" s="1" t="inlineStr">
        <is>
          <t>CAP</t>
        </is>
      </c>
      <c r="G3758" s="1" t="inlineStr">
        <is>
          <t>GF2000105285FS</t>
        </is>
      </c>
      <c r="H3758" s="1" t="n">
        <v>1</v>
      </c>
      <c r="I3758" s="1" t="inlineStr">
        <is>
          <t>มี</t>
        </is>
      </c>
      <c r="J3758" s="13" t="n">
        <v>49</v>
      </c>
      <c r="K3758" s="1" t="inlineStr"/>
      <c r="L3758" s="13" t="n"/>
      <c r="M3758" s="1">
        <f>IF(L3758="","ไม่พบใน SG",IF(ABS(J3758-L3758)&lt;0.005,"ตรงกัน","ไม่ตรง"))</f>
        <v/>
      </c>
      <c r="N3758" s="14">
        <f>IF(L3758="","",ROUND(L3758*'สรุป'!$C$6,-1))</f>
        <v/>
      </c>
      <c r="O3758" s="15" t="n"/>
      <c r="P3758" s="15" t="n"/>
      <c r="Q3758" s="10" t="n"/>
      <c r="R3758" s="10" t="n"/>
      <c r="S3758" s="16" t="inlineStr">
        <is>
          <t>https://mstgolf.co.th/products/gf2000105285</t>
        </is>
      </c>
      <c r="T3758" s="1">
        <f>IF(B3758="ไม้กอล์ฟ",J3758,"")</f>
        <v/>
      </c>
    </row>
    <row r="3759">
      <c r="A3759" s="1" t="n">
        <v>3</v>
      </c>
      <c r="B3759" s="1" t="inlineStr">
        <is>
          <t>อุปกรณ์เสริม</t>
        </is>
      </c>
      <c r="C3759" s="1" t="inlineStr">
        <is>
          <t>gf3500201568</t>
        </is>
      </c>
      <c r="D3759" s="1" t="inlineStr">
        <is>
          <t>TAYLORMADE Icon Graphic Fairway Headcover</t>
        </is>
      </c>
      <c r="E3759" s="1" t="inlineStr">
        <is>
          <t>TAYLORMADE</t>
        </is>
      </c>
      <c r="F3759" s="1" t="inlineStr">
        <is>
          <t>HEADCOVERS</t>
        </is>
      </c>
      <c r="G3759" s="1" t="inlineStr">
        <is>
          <t>GF3500201568</t>
        </is>
      </c>
      <c r="H3759" s="1" t="n">
        <v>1</v>
      </c>
      <c r="I3759" s="1" t="inlineStr">
        <is>
          <t>มี</t>
        </is>
      </c>
      <c r="J3759" s="13" t="n">
        <v>49</v>
      </c>
      <c r="K3759" s="1" t="inlineStr"/>
      <c r="L3759" s="13" t="n"/>
      <c r="M3759" s="1">
        <f>IF(L3759="","ไม่พบใน SG",IF(ABS(J3759-L3759)&lt;0.005,"ตรงกัน","ไม่ตรง"))</f>
        <v/>
      </c>
      <c r="N3759" s="14">
        <f>IF(L3759="","",ROUND(L3759*'สรุป'!$C$6,-1))</f>
        <v/>
      </c>
      <c r="O3759" s="15" t="n"/>
      <c r="P3759" s="15" t="n"/>
      <c r="Q3759" s="10" t="n"/>
      <c r="R3759" s="10" t="n"/>
      <c r="S3759" s="16" t="inlineStr">
        <is>
          <t>https://mstgolf.co.th/products/gf3500201568</t>
        </is>
      </c>
      <c r="T3759" s="1">
        <f>IF(B3759="ไม้กอล์ฟ",J3759,"")</f>
        <v/>
      </c>
    </row>
    <row r="3760">
      <c r="A3760" s="1" t="n">
        <v>3</v>
      </c>
      <c r="B3760" s="1" t="inlineStr">
        <is>
          <t>อุปกรณ์เสริม</t>
        </is>
      </c>
      <c r="C3760" s="1" t="inlineStr">
        <is>
          <t>gf3500201571</t>
        </is>
      </c>
      <c r="D3760" s="1" t="inlineStr">
        <is>
          <t>TAYLORMADE Icon Graphic Mallet Putter Headcover</t>
        </is>
      </c>
      <c r="E3760" s="1" t="inlineStr">
        <is>
          <t>TAYLORMADE</t>
        </is>
      </c>
      <c r="F3760" s="1" t="inlineStr">
        <is>
          <t>HEADCOVERS</t>
        </is>
      </c>
      <c r="G3760" s="1" t="inlineStr">
        <is>
          <t>GF3500201571</t>
        </is>
      </c>
      <c r="H3760" s="1" t="n">
        <v>1</v>
      </c>
      <c r="I3760" s="1" t="inlineStr">
        <is>
          <t>มี</t>
        </is>
      </c>
      <c r="J3760" s="13" t="n">
        <v>49</v>
      </c>
      <c r="K3760" s="1" t="inlineStr"/>
      <c r="L3760" s="13" t="n"/>
      <c r="M3760" s="1">
        <f>IF(L3760="","ไม่พบใน SG",IF(ABS(J3760-L3760)&lt;0.005,"ตรงกัน","ไม่ตรง"))</f>
        <v/>
      </c>
      <c r="N3760" s="14">
        <f>IF(L3760="","",ROUND(L3760*'สรุป'!$C$6,-1))</f>
        <v/>
      </c>
      <c r="O3760" s="15" t="n"/>
      <c r="P3760" s="15" t="n"/>
      <c r="Q3760" s="10" t="n"/>
      <c r="R3760" s="10" t="n"/>
      <c r="S3760" s="16" t="inlineStr">
        <is>
          <t>https://mstgolf.co.th/products/gf3500201571</t>
        </is>
      </c>
      <c r="T3760" s="1">
        <f>IF(B3760="ไม้กอล์ฟ",J3760,"")</f>
        <v/>
      </c>
    </row>
    <row r="3761">
      <c r="A3761" s="1" t="n">
        <v>3</v>
      </c>
      <c r="B3761" s="1" t="inlineStr">
        <is>
          <t>หมวก</t>
        </is>
      </c>
      <c r="C3761" s="1" t="inlineStr">
        <is>
          <t>gf2000300298</t>
        </is>
      </c>
      <c r="D3761" s="1" t="inlineStr">
        <is>
          <t>TAYLORMADE Men's Bucket Hat (Blue)</t>
        </is>
      </c>
      <c r="E3761" s="1" t="inlineStr">
        <is>
          <t>TAYLORMADE</t>
        </is>
      </c>
      <c r="F3761" s="1" t="inlineStr">
        <is>
          <t>HAT</t>
        </is>
      </c>
      <c r="G3761" s="1" t="inlineStr">
        <is>
          <t>GF2000300298FS</t>
        </is>
      </c>
      <c r="H3761" s="1" t="n">
        <v>1</v>
      </c>
      <c r="I3761" s="1" t="inlineStr">
        <is>
          <t>มี</t>
        </is>
      </c>
      <c r="J3761" s="13" t="n">
        <v>49</v>
      </c>
      <c r="K3761" s="1" t="inlineStr"/>
      <c r="L3761" s="13" t="n">
        <v>49</v>
      </c>
      <c r="M3761" s="1">
        <f>IF(L3761="","ไม่พบใน SG",IF(ABS(J3761-L3761)&lt;0.005,"ตรงกัน","ไม่ตรง"))</f>
        <v/>
      </c>
      <c r="N3761" s="14">
        <f>IF(L3761="","",ROUND(L3761*'สรุป'!$C$6,-1))</f>
        <v/>
      </c>
      <c r="O3761" s="15" t="n"/>
      <c r="P3761" s="15" t="n"/>
      <c r="Q3761" s="10" t="n"/>
      <c r="R3761" s="10" t="n"/>
      <c r="S3761" s="16" t="inlineStr">
        <is>
          <t>https://mstgolf.co.th/products/gf2000300298</t>
        </is>
      </c>
      <c r="T3761" s="1">
        <f>IF(B3761="ไม้กอล์ฟ",J3761,"")</f>
        <v/>
      </c>
    </row>
    <row r="3762">
      <c r="A3762" s="1" t="n">
        <v>3</v>
      </c>
      <c r="B3762" s="1" t="inlineStr">
        <is>
          <t>หมวก</t>
        </is>
      </c>
      <c r="C3762" s="1" t="inlineStr">
        <is>
          <t>gf2000300296</t>
        </is>
      </c>
      <c r="D3762" s="1" t="inlineStr">
        <is>
          <t>TAYLORMADE Men's Bucket Hat (White)</t>
        </is>
      </c>
      <c r="E3762" s="1" t="inlineStr">
        <is>
          <t>TAYLORMADE</t>
        </is>
      </c>
      <c r="F3762" s="1" t="inlineStr">
        <is>
          <t>HAT</t>
        </is>
      </c>
      <c r="G3762" s="1" t="inlineStr">
        <is>
          <t>GF2000300296FS</t>
        </is>
      </c>
      <c r="H3762" s="1" t="n">
        <v>1</v>
      </c>
      <c r="I3762" s="1" t="inlineStr">
        <is>
          <t>มี</t>
        </is>
      </c>
      <c r="J3762" s="13" t="n">
        <v>49</v>
      </c>
      <c r="K3762" s="1" t="inlineStr"/>
      <c r="L3762" s="13" t="n">
        <v>49</v>
      </c>
      <c r="M3762" s="1">
        <f>IF(L3762="","ไม่พบใน SG",IF(ABS(J3762-L3762)&lt;0.005,"ตรงกัน","ไม่ตรง"))</f>
        <v/>
      </c>
      <c r="N3762" s="14">
        <f>IF(L3762="","",ROUND(L3762*'สรุป'!$C$6,-1))</f>
        <v/>
      </c>
      <c r="O3762" s="15" t="n"/>
      <c r="P3762" s="15" t="n"/>
      <c r="Q3762" s="10" t="n"/>
      <c r="R3762" s="10" t="n"/>
      <c r="S3762" s="16" t="inlineStr">
        <is>
          <t>https://mstgolf.co.th/products/gf2000300296</t>
        </is>
      </c>
      <c r="T3762" s="1">
        <f>IF(B3762="ไม้กอล์ฟ",J3762,"")</f>
        <v/>
      </c>
    </row>
    <row r="3763">
      <c r="A3763" s="1" t="n">
        <v>3</v>
      </c>
      <c r="B3763" s="1" t="inlineStr">
        <is>
          <t>หมวก</t>
        </is>
      </c>
      <c r="C3763" s="1" t="inlineStr">
        <is>
          <t>gf2000106318</t>
        </is>
      </c>
      <c r="D3763" s="1" t="inlineStr">
        <is>
          <t>TAYLORMADE Radar Men's Cap (Green)</t>
        </is>
      </c>
      <c r="E3763" s="1" t="inlineStr">
        <is>
          <t>TAYLORMADE</t>
        </is>
      </c>
      <c r="F3763" s="1" t="inlineStr">
        <is>
          <t>CAP</t>
        </is>
      </c>
      <c r="G3763" s="1" t="inlineStr">
        <is>
          <t>GF2000106318FS</t>
        </is>
      </c>
      <c r="H3763" s="1" t="n">
        <v>1</v>
      </c>
      <c r="I3763" s="1" t="inlineStr">
        <is>
          <t>มี</t>
        </is>
      </c>
      <c r="J3763" s="13" t="n">
        <v>49</v>
      </c>
      <c r="K3763" s="1" t="inlineStr"/>
      <c r="L3763" s="13" t="n">
        <v>49</v>
      </c>
      <c r="M3763" s="1">
        <f>IF(L3763="","ไม่พบใน SG",IF(ABS(J3763-L3763)&lt;0.005,"ตรงกัน","ไม่ตรง"))</f>
        <v/>
      </c>
      <c r="N3763" s="14">
        <f>IF(L3763="","",ROUND(L3763*'สรุป'!$C$6,-1))</f>
        <v/>
      </c>
      <c r="O3763" s="15" t="n"/>
      <c r="P3763" s="15" t="n"/>
      <c r="Q3763" s="10" t="n"/>
      <c r="R3763" s="10" t="n"/>
      <c r="S3763" s="16" t="inlineStr">
        <is>
          <t>https://mstgolf.co.th/products/gf2000106318</t>
        </is>
      </c>
      <c r="T3763" s="1">
        <f>IF(B3763="ไม้กอล์ฟ",J3763,"")</f>
        <v/>
      </c>
    </row>
    <row r="3764">
      <c r="A3764" s="1" t="n">
        <v>3</v>
      </c>
      <c r="B3764" s="1" t="inlineStr">
        <is>
          <t>หมวก</t>
        </is>
      </c>
      <c r="C3764" s="1" t="inlineStr">
        <is>
          <t>gf2000106315</t>
        </is>
      </c>
      <c r="D3764" s="1" t="inlineStr">
        <is>
          <t>TAYLORMADE Radar Men's Cap (Navy)</t>
        </is>
      </c>
      <c r="E3764" s="1" t="inlineStr">
        <is>
          <t>TAYLORMADE</t>
        </is>
      </c>
      <c r="F3764" s="1" t="inlineStr">
        <is>
          <t>CAP</t>
        </is>
      </c>
      <c r="G3764" s="1" t="inlineStr">
        <is>
          <t>GF2000106315FS</t>
        </is>
      </c>
      <c r="H3764" s="1" t="n">
        <v>1</v>
      </c>
      <c r="I3764" s="1" t="inlineStr">
        <is>
          <t>มี</t>
        </is>
      </c>
      <c r="J3764" s="13" t="n">
        <v>49</v>
      </c>
      <c r="K3764" s="1" t="inlineStr"/>
      <c r="L3764" s="13" t="n">
        <v>49</v>
      </c>
      <c r="M3764" s="1">
        <f>IF(L3764="","ไม่พบใน SG",IF(ABS(J3764-L3764)&lt;0.005,"ตรงกัน","ไม่ตรง"))</f>
        <v/>
      </c>
      <c r="N3764" s="14">
        <f>IF(L3764="","",ROUND(L3764*'สรุป'!$C$6,-1))</f>
        <v/>
      </c>
      <c r="O3764" s="15" t="n"/>
      <c r="P3764" s="15" t="n"/>
      <c r="Q3764" s="10" t="n"/>
      <c r="R3764" s="10" t="n"/>
      <c r="S3764" s="16" t="inlineStr">
        <is>
          <t>https://mstgolf.co.th/products/gf2000106315</t>
        </is>
      </c>
      <c r="T3764" s="1">
        <f>IF(B3764="ไม้กอล์ฟ",J3764,"")</f>
        <v/>
      </c>
    </row>
    <row r="3765">
      <c r="A3765" s="1" t="n">
        <v>3</v>
      </c>
      <c r="B3765" s="1" t="inlineStr">
        <is>
          <t>หมวก</t>
        </is>
      </c>
      <c r="C3765" s="1" t="inlineStr">
        <is>
          <t>gf2000106319</t>
        </is>
      </c>
      <c r="D3765" s="1" t="inlineStr">
        <is>
          <t>TAYLORMADE Radar Men's Cap (Red)</t>
        </is>
      </c>
      <c r="E3765" s="1" t="inlineStr">
        <is>
          <t>TAYLORMADE</t>
        </is>
      </c>
      <c r="F3765" s="1" t="inlineStr">
        <is>
          <t>CAP</t>
        </is>
      </c>
      <c r="G3765" s="1" t="inlineStr">
        <is>
          <t>GF2000106319FS</t>
        </is>
      </c>
      <c r="H3765" s="1" t="n">
        <v>1</v>
      </c>
      <c r="I3765" s="1" t="inlineStr">
        <is>
          <t>มี</t>
        </is>
      </c>
      <c r="J3765" s="13" t="n">
        <v>49</v>
      </c>
      <c r="K3765" s="1" t="inlineStr"/>
      <c r="L3765" s="13" t="n">
        <v>49</v>
      </c>
      <c r="M3765" s="1">
        <f>IF(L3765="","ไม่พบใน SG",IF(ABS(J3765-L3765)&lt;0.005,"ตรงกัน","ไม่ตรง"))</f>
        <v/>
      </c>
      <c r="N3765" s="14">
        <f>IF(L3765="","",ROUND(L3765*'สรุป'!$C$6,-1))</f>
        <v/>
      </c>
      <c r="O3765" s="15" t="n"/>
      <c r="P3765" s="15" t="n"/>
      <c r="Q3765" s="10" t="n"/>
      <c r="R3765" s="10" t="n"/>
      <c r="S3765" s="16" t="inlineStr">
        <is>
          <t>https://mstgolf.co.th/products/gf2000106319</t>
        </is>
      </c>
      <c r="T3765" s="1">
        <f>IF(B3765="ไม้กอล์ฟ",J3765,"")</f>
        <v/>
      </c>
    </row>
    <row r="3766">
      <c r="A3766" s="1" t="n">
        <v>3</v>
      </c>
      <c r="B3766" s="1" t="inlineStr">
        <is>
          <t>หมวก</t>
        </is>
      </c>
      <c r="C3766" s="1" t="inlineStr">
        <is>
          <t>gf2000106317</t>
        </is>
      </c>
      <c r="D3766" s="1" t="inlineStr">
        <is>
          <t>TAYLORMADE Radar Men's Cap (Royal)</t>
        </is>
      </c>
      <c r="E3766" s="1" t="inlineStr">
        <is>
          <t>TAYLORMADE</t>
        </is>
      </c>
      <c r="F3766" s="1" t="inlineStr">
        <is>
          <t>CAP</t>
        </is>
      </c>
      <c r="G3766" s="1" t="inlineStr">
        <is>
          <t>GF2000106317FS</t>
        </is>
      </c>
      <c r="H3766" s="1" t="n">
        <v>1</v>
      </c>
      <c r="I3766" s="1" t="inlineStr">
        <is>
          <t>มี</t>
        </is>
      </c>
      <c r="J3766" s="13" t="n">
        <v>49</v>
      </c>
      <c r="K3766" s="1" t="inlineStr"/>
      <c r="L3766" s="13" t="n">
        <v>49</v>
      </c>
      <c r="M3766" s="1">
        <f>IF(L3766="","ไม่พบใน SG",IF(ABS(J3766-L3766)&lt;0.005,"ตรงกัน","ไม่ตรง"))</f>
        <v/>
      </c>
      <c r="N3766" s="14">
        <f>IF(L3766="","",ROUND(L3766*'สรุป'!$C$6,-1))</f>
        <v/>
      </c>
      <c r="O3766" s="15" t="n"/>
      <c r="P3766" s="15" t="n"/>
      <c r="Q3766" s="10" t="n"/>
      <c r="R3766" s="10" t="n"/>
      <c r="S3766" s="16" t="inlineStr">
        <is>
          <t>https://mstgolf.co.th/products/gf2000106317</t>
        </is>
      </c>
      <c r="T3766" s="1">
        <f>IF(B3766="ไม้กอล์ฟ",J3766,"")</f>
        <v/>
      </c>
    </row>
    <row r="3767">
      <c r="A3767" s="1" t="n">
        <v>3</v>
      </c>
      <c r="B3767" s="1" t="inlineStr">
        <is>
          <t>หมวก</t>
        </is>
      </c>
      <c r="C3767" s="1" t="inlineStr">
        <is>
          <t>gf2000105301</t>
        </is>
      </c>
      <c r="D3767" s="1" t="inlineStr">
        <is>
          <t>TAYLORMADE Radar Script Seeker Men's Cap (Black)</t>
        </is>
      </c>
      <c r="E3767" s="1" t="inlineStr">
        <is>
          <t>TAYLORMADE</t>
        </is>
      </c>
      <c r="F3767" s="1" t="inlineStr">
        <is>
          <t>CAP</t>
        </is>
      </c>
      <c r="G3767" s="1" t="inlineStr">
        <is>
          <t>GF2000105301FS</t>
        </is>
      </c>
      <c r="H3767" s="1" t="n">
        <v>1</v>
      </c>
      <c r="I3767" s="1" t="inlineStr">
        <is>
          <t>มี</t>
        </is>
      </c>
      <c r="J3767" s="13" t="n">
        <v>49</v>
      </c>
      <c r="K3767" s="1" t="inlineStr"/>
      <c r="L3767" s="13" t="n">
        <v>49</v>
      </c>
      <c r="M3767" s="1">
        <f>IF(L3767="","ไม่พบใน SG",IF(ABS(J3767-L3767)&lt;0.005,"ตรงกัน","ไม่ตรง"))</f>
        <v/>
      </c>
      <c r="N3767" s="14">
        <f>IF(L3767="","",ROUND(L3767*'สรุป'!$C$6,-1))</f>
        <v/>
      </c>
      <c r="O3767" s="15" t="n"/>
      <c r="P3767" s="15" t="n"/>
      <c r="Q3767" s="10" t="n"/>
      <c r="R3767" s="10" t="n"/>
      <c r="S3767" s="16" t="inlineStr">
        <is>
          <t>https://mstgolf.co.th/products/gf2000105301</t>
        </is>
      </c>
      <c r="T3767" s="1">
        <f>IF(B3767="ไม้กอล์ฟ",J3767,"")</f>
        <v/>
      </c>
    </row>
    <row r="3768">
      <c r="A3768" s="1" t="n">
        <v>3</v>
      </c>
      <c r="B3768" s="1" t="inlineStr">
        <is>
          <t>หมวก</t>
        </is>
      </c>
      <c r="C3768" s="1" t="inlineStr">
        <is>
          <t>gf2000105299</t>
        </is>
      </c>
      <c r="D3768" s="1" t="inlineStr">
        <is>
          <t>TAYLORMADE Script 2023 Women's Cap (White/Pink)</t>
        </is>
      </c>
      <c r="E3768" s="1" t="inlineStr">
        <is>
          <t>TAYLORMADE</t>
        </is>
      </c>
      <c r="F3768" s="1" t="inlineStr">
        <is>
          <t>CAP</t>
        </is>
      </c>
      <c r="G3768" s="1" t="inlineStr">
        <is>
          <t>GF2000105299FS</t>
        </is>
      </c>
      <c r="H3768" s="1" t="n">
        <v>1</v>
      </c>
      <c r="I3768" s="1" t="inlineStr">
        <is>
          <t>มี</t>
        </is>
      </c>
      <c r="J3768" s="13" t="n">
        <v>49</v>
      </c>
      <c r="K3768" s="1" t="inlineStr"/>
      <c r="L3768" s="13" t="n">
        <v>49</v>
      </c>
      <c r="M3768" s="1">
        <f>IF(L3768="","ไม่พบใน SG",IF(ABS(J3768-L3768)&lt;0.005,"ตรงกัน","ไม่ตรง"))</f>
        <v/>
      </c>
      <c r="N3768" s="14">
        <f>IF(L3768="","",ROUND(L3768*'สรุป'!$C$6,-1))</f>
        <v/>
      </c>
      <c r="O3768" s="15" t="n"/>
      <c r="P3768" s="15" t="n"/>
      <c r="Q3768" s="10" t="n"/>
      <c r="R3768" s="10" t="n"/>
      <c r="S3768" s="16" t="inlineStr">
        <is>
          <t>https://mstgolf.co.th/products/gf2000105299</t>
        </is>
      </c>
      <c r="T3768" s="1">
        <f>IF(B3768="ไม้กอล์ฟ",J3768,"")</f>
        <v/>
      </c>
    </row>
    <row r="3769">
      <c r="A3769" s="1" t="n">
        <v>3</v>
      </c>
      <c r="B3769" s="1" t="inlineStr">
        <is>
          <t>อุปกรณ์เสริม</t>
        </is>
      </c>
      <c r="C3769" s="1" t="inlineStr">
        <is>
          <t>gf3500300778</t>
        </is>
      </c>
      <c r="D3769" s="1" t="inlineStr">
        <is>
          <t>TAYLORMADE TM Design Pouch &amp; Holder</t>
        </is>
      </c>
      <c r="E3769" s="1" t="inlineStr">
        <is>
          <t>TAYLORMADE</t>
        </is>
      </c>
      <c r="F3769" s="1" t="inlineStr">
        <is>
          <t>GOLF ACCESSORIES</t>
        </is>
      </c>
      <c r="G3769" s="1" t="inlineStr">
        <is>
          <t>GF3500300778</t>
        </is>
      </c>
      <c r="H3769" s="1" t="n">
        <v>1</v>
      </c>
      <c r="I3769" s="1" t="inlineStr">
        <is>
          <t>มี</t>
        </is>
      </c>
      <c r="J3769" s="13" t="n">
        <v>49</v>
      </c>
      <c r="K3769" s="1" t="inlineStr"/>
      <c r="L3769" s="13" t="n">
        <v>49</v>
      </c>
      <c r="M3769" s="1">
        <f>IF(L3769="","ไม่พบใน SG",IF(ABS(J3769-L3769)&lt;0.005,"ตรงกัน","ไม่ตรง"))</f>
        <v/>
      </c>
      <c r="N3769" s="14">
        <f>IF(L3769="","",ROUND(L3769*'สรุป'!$C$6,-1))</f>
        <v/>
      </c>
      <c r="O3769" s="15" t="n"/>
      <c r="P3769" s="15" t="n"/>
      <c r="Q3769" s="10" t="n"/>
      <c r="R3769" s="10" t="n"/>
      <c r="S3769" s="16" t="inlineStr">
        <is>
          <t>https://mstgolf.co.th/products/gf3500300778</t>
        </is>
      </c>
      <c r="T3769" s="1">
        <f>IF(B3769="ไม้กอล์ฟ",J3769,"")</f>
        <v/>
      </c>
    </row>
    <row r="3770">
      <c r="A3770" s="1" t="n">
        <v>3</v>
      </c>
      <c r="B3770" s="1" t="inlineStr">
        <is>
          <t>หมวก</t>
        </is>
      </c>
      <c r="C3770" s="1" t="inlineStr">
        <is>
          <t>gf2000105291</t>
        </is>
      </c>
      <c r="D3770" s="1" t="inlineStr">
        <is>
          <t>TAYLORMADE Tour Radar Women's Visor (White/Mint)</t>
        </is>
      </c>
      <c r="E3770" s="1" t="inlineStr">
        <is>
          <t>TAYLORMADE</t>
        </is>
      </c>
      <c r="F3770" s="1" t="inlineStr">
        <is>
          <t>CAP</t>
        </is>
      </c>
      <c r="G3770" s="1" t="inlineStr">
        <is>
          <t>GF2000105291FS</t>
        </is>
      </c>
      <c r="H3770" s="1" t="n">
        <v>1</v>
      </c>
      <c r="I3770" s="1" t="inlineStr">
        <is>
          <t>มี</t>
        </is>
      </c>
      <c r="J3770" s="13" t="n">
        <v>49</v>
      </c>
      <c r="K3770" s="1" t="inlineStr"/>
      <c r="L3770" s="13" t="n">
        <v>49</v>
      </c>
      <c r="M3770" s="1">
        <f>IF(L3770="","ไม่พบใน SG",IF(ABS(J3770-L3770)&lt;0.005,"ตรงกัน","ไม่ตรง"))</f>
        <v/>
      </c>
      <c r="N3770" s="14">
        <f>IF(L3770="","",ROUND(L3770*'สรุป'!$C$6,-1))</f>
        <v/>
      </c>
      <c r="O3770" s="15" t="n"/>
      <c r="P3770" s="15" t="n"/>
      <c r="Q3770" s="10" t="n"/>
      <c r="R3770" s="10" t="n"/>
      <c r="S3770" s="16" t="inlineStr">
        <is>
          <t>https://mstgolf.co.th/products/gf2000105291</t>
        </is>
      </c>
      <c r="T3770" s="1">
        <f>IF(B3770="ไม้กอล์ฟ",J3770,"")</f>
        <v/>
      </c>
    </row>
    <row r="3771">
      <c r="A3771" s="1" t="n">
        <v>3</v>
      </c>
      <c r="B3771" s="1" t="inlineStr">
        <is>
          <t>หมวก</t>
        </is>
      </c>
      <c r="C3771" s="1" t="inlineStr">
        <is>
          <t>gf2000106323</t>
        </is>
      </c>
      <c r="D3771" s="1" t="inlineStr">
        <is>
          <t>TAYLORMADE Ventura Sunset Snapback Men's Cap (Aqua)</t>
        </is>
      </c>
      <c r="E3771" s="1" t="inlineStr">
        <is>
          <t>TAYLORMADE</t>
        </is>
      </c>
      <c r="F3771" s="1" t="inlineStr">
        <is>
          <t>CAP</t>
        </is>
      </c>
      <c r="G3771" s="1" t="inlineStr">
        <is>
          <t>GF2000106323FS</t>
        </is>
      </c>
      <c r="H3771" s="1" t="n">
        <v>1</v>
      </c>
      <c r="I3771" s="1" t="inlineStr">
        <is>
          <t>มี</t>
        </is>
      </c>
      <c r="J3771" s="13" t="n">
        <v>49</v>
      </c>
      <c r="K3771" s="1" t="inlineStr"/>
      <c r="L3771" s="13" t="n">
        <v>49</v>
      </c>
      <c r="M3771" s="1">
        <f>IF(L3771="","ไม่พบใน SG",IF(ABS(J3771-L3771)&lt;0.005,"ตรงกัน","ไม่ตรง"))</f>
        <v/>
      </c>
      <c r="N3771" s="14">
        <f>IF(L3771="","",ROUND(L3771*'สรุป'!$C$6,-1))</f>
        <v/>
      </c>
      <c r="O3771" s="15" t="n"/>
      <c r="P3771" s="15" t="n"/>
      <c r="Q3771" s="10" t="n"/>
      <c r="R3771" s="10" t="n"/>
      <c r="S3771" s="16" t="inlineStr">
        <is>
          <t>https://mstgolf.co.th/products/gf2000106323</t>
        </is>
      </c>
      <c r="T3771" s="1">
        <f>IF(B3771="ไม้กอล์ฟ",J3771,"")</f>
        <v/>
      </c>
    </row>
    <row r="3772">
      <c r="A3772" s="1" t="n">
        <v>3</v>
      </c>
      <c r="B3772" s="1" t="inlineStr">
        <is>
          <t>หมวก</t>
        </is>
      </c>
      <c r="C3772" s="1" t="inlineStr">
        <is>
          <t>gf2000106322</t>
        </is>
      </c>
      <c r="D3772" s="1" t="inlineStr">
        <is>
          <t>TAYLORMADE Ventura Sunset Snapback Men's Cap (Olive)</t>
        </is>
      </c>
      <c r="E3772" s="1" t="inlineStr">
        <is>
          <t>TAYLORMADE</t>
        </is>
      </c>
      <c r="F3772" s="1" t="inlineStr">
        <is>
          <t>CAP</t>
        </is>
      </c>
      <c r="G3772" s="1" t="inlineStr">
        <is>
          <t>GF2000106322FS</t>
        </is>
      </c>
      <c r="H3772" s="1" t="n">
        <v>1</v>
      </c>
      <c r="I3772" s="1" t="inlineStr">
        <is>
          <t>มี</t>
        </is>
      </c>
      <c r="J3772" s="13" t="n">
        <v>49</v>
      </c>
      <c r="K3772" s="1" t="inlineStr"/>
      <c r="L3772" s="13" t="n">
        <v>49</v>
      </c>
      <c r="M3772" s="1">
        <f>IF(L3772="","ไม่พบใน SG",IF(ABS(J3772-L3772)&lt;0.005,"ตรงกัน","ไม่ตรง"))</f>
        <v/>
      </c>
      <c r="N3772" s="14">
        <f>IF(L3772="","",ROUND(L3772*'สรุป'!$C$6,-1))</f>
        <v/>
      </c>
      <c r="O3772" s="15" t="n"/>
      <c r="P3772" s="15" t="n"/>
      <c r="Q3772" s="10" t="n"/>
      <c r="R3772" s="10" t="n"/>
      <c r="S3772" s="16" t="inlineStr">
        <is>
          <t>https://mstgolf.co.th/products/gf2000106322</t>
        </is>
      </c>
      <c r="T3772" s="1">
        <f>IF(B3772="ไม้กอล์ฟ",J3772,"")</f>
        <v/>
      </c>
    </row>
    <row r="3773">
      <c r="A3773" s="1" t="n">
        <v>3</v>
      </c>
      <c r="B3773" s="1" t="inlineStr">
        <is>
          <t>เสื้อผ้า</t>
        </is>
      </c>
      <c r="C3773" s="1" t="inlineStr">
        <is>
          <t>gf2040120412</t>
        </is>
      </c>
      <c r="D3773" s="1" t="inlineStr">
        <is>
          <t>UNDER ARMOUR Birdie Watching Men's T-Shirt (Stone)</t>
        </is>
      </c>
      <c r="E3773" s="1" t="inlineStr">
        <is>
          <t>UNDER ARMOUR</t>
        </is>
      </c>
      <c r="F3773" s="1" t="inlineStr">
        <is>
          <t>TEE SHIRT</t>
        </is>
      </c>
      <c r="G3773" s="1" t="inlineStr">
        <is>
          <t>GF2040120412S</t>
        </is>
      </c>
      <c r="H3773" s="1" t="n">
        <v>5</v>
      </c>
      <c r="I3773" s="1" t="inlineStr">
        <is>
          <t>มี</t>
        </is>
      </c>
      <c r="J3773" s="13" t="n">
        <v>49</v>
      </c>
      <c r="K3773" s="1" t="inlineStr"/>
      <c r="L3773" s="13" t="n"/>
      <c r="M3773" s="1">
        <f>IF(L3773="","ไม่พบใน SG",IF(ABS(J3773-L3773)&lt;0.005,"ตรงกัน","ไม่ตรง"))</f>
        <v/>
      </c>
      <c r="N3773" s="14">
        <f>IF(L3773="","",ROUND(L3773*'สรุป'!$C$6,-1))</f>
        <v/>
      </c>
      <c r="O3773" s="15" t="n"/>
      <c r="P3773" s="15" t="n"/>
      <c r="Q3773" s="10" t="n"/>
      <c r="R3773" s="10" t="n"/>
      <c r="S3773" s="16" t="inlineStr">
        <is>
          <t>https://mstgolf.co.th/products/gf2040120412</t>
        </is>
      </c>
      <c r="T3773" s="1">
        <f>IF(B3773="ไม้กอล์ฟ",J3773,"")</f>
        <v/>
      </c>
    </row>
    <row r="3774">
      <c r="A3774" s="1" t="n">
        <v>3</v>
      </c>
      <c r="B3774" s="1" t="inlineStr">
        <is>
          <t>เสื้อผ้า</t>
        </is>
      </c>
      <c r="C3774" s="1" t="inlineStr">
        <is>
          <t>gf2040118387</t>
        </is>
      </c>
      <c r="D3774" s="1" t="inlineStr">
        <is>
          <t>UNDER ARMOUR Drive Goin' Under Women's T-Shirt (Green)</t>
        </is>
      </c>
      <c r="E3774" s="1" t="inlineStr">
        <is>
          <t>UNDER ARMOUR</t>
        </is>
      </c>
      <c r="F3774" s="1" t="inlineStr">
        <is>
          <t>SHORT SLEEVES</t>
        </is>
      </c>
      <c r="G3774" s="1" t="inlineStr">
        <is>
          <t>GF2040118387XS</t>
        </is>
      </c>
      <c r="H3774" s="1" t="n">
        <v>5</v>
      </c>
      <c r="I3774" s="1" t="inlineStr">
        <is>
          <t>มี</t>
        </is>
      </c>
      <c r="J3774" s="13" t="n">
        <v>49</v>
      </c>
      <c r="K3774" s="1" t="inlineStr"/>
      <c r="L3774" s="13" t="n">
        <v>49</v>
      </c>
      <c r="M3774" s="1">
        <f>IF(L3774="","ไม่พบใน SG",IF(ABS(J3774-L3774)&lt;0.005,"ตรงกัน","ไม่ตรง"))</f>
        <v/>
      </c>
      <c r="N3774" s="14">
        <f>IF(L3774="","",ROUND(L3774*'สรุป'!$C$6,-1))</f>
        <v/>
      </c>
      <c r="O3774" s="15" t="n"/>
      <c r="P3774" s="15" t="n"/>
      <c r="Q3774" s="10" t="n"/>
      <c r="R3774" s="10" t="n"/>
      <c r="S3774" s="16" t="inlineStr">
        <is>
          <t>https://mstgolf.co.th/products/gf2040118387</t>
        </is>
      </c>
      <c r="T3774" s="1">
        <f>IF(B3774="ไม้กอล์ฟ",J3774,"")</f>
        <v/>
      </c>
    </row>
    <row r="3775">
      <c r="A3775" s="1" t="n">
        <v>3</v>
      </c>
      <c r="B3775" s="1" t="inlineStr">
        <is>
          <t>หมวก</t>
        </is>
      </c>
      <c r="C3775" s="1" t="inlineStr">
        <is>
          <t>gf2000106266</t>
        </is>
      </c>
      <c r="D3775" s="1" t="inlineStr">
        <is>
          <t>UNDER ARMOUR Jordan Spieth Drive Rope Men's Snapback Cap (Black/White)</t>
        </is>
      </c>
      <c r="E3775" s="1" t="inlineStr">
        <is>
          <t>UNDER ARMOUR</t>
        </is>
      </c>
      <c r="F3775" s="1" t="inlineStr">
        <is>
          <t>CAP</t>
        </is>
      </c>
      <c r="G3775" s="1" t="inlineStr">
        <is>
          <t>GF2000106266FS</t>
        </is>
      </c>
      <c r="H3775" s="1" t="n">
        <v>1</v>
      </c>
      <c r="I3775" s="1" t="inlineStr">
        <is>
          <t>มี</t>
        </is>
      </c>
      <c r="J3775" s="13" t="n">
        <v>49</v>
      </c>
      <c r="K3775" s="1" t="inlineStr"/>
      <c r="L3775" s="13" t="n">
        <v>49</v>
      </c>
      <c r="M3775" s="1">
        <f>IF(L3775="","ไม่พบใน SG",IF(ABS(J3775-L3775)&lt;0.005,"ตรงกัน","ไม่ตรง"))</f>
        <v/>
      </c>
      <c r="N3775" s="14">
        <f>IF(L3775="","",ROUND(L3775*'สรุป'!$C$6,-1))</f>
        <v/>
      </c>
      <c r="O3775" s="15" t="n"/>
      <c r="P3775" s="15" t="n"/>
      <c r="Q3775" s="10" t="n"/>
      <c r="R3775" s="10" t="n"/>
      <c r="S3775" s="16" t="inlineStr">
        <is>
          <t>https://mstgolf.co.th/products/gf2000106266</t>
        </is>
      </c>
      <c r="T3775" s="1">
        <f>IF(B3775="ไม้กอล์ฟ",J3775,"")</f>
        <v/>
      </c>
    </row>
    <row r="3776">
      <c r="A3776" s="1" t="n">
        <v>3</v>
      </c>
      <c r="B3776" s="1" t="inlineStr">
        <is>
          <t>หมวก</t>
        </is>
      </c>
      <c r="C3776" s="1" t="inlineStr">
        <is>
          <t>gf2000105060</t>
        </is>
      </c>
      <c r="D3776" s="1" t="inlineStr">
        <is>
          <t>UNDER ARMOUR Jordan Spieth Tour Men's Adjustable Cap (Navy/White)</t>
        </is>
      </c>
      <c r="E3776" s="1" t="inlineStr">
        <is>
          <t>UNDER ARMOUR</t>
        </is>
      </c>
      <c r="F3776" s="1" t="inlineStr">
        <is>
          <t>CAP</t>
        </is>
      </c>
      <c r="G3776" s="1" t="inlineStr">
        <is>
          <t>GF2000105060FS</t>
        </is>
      </c>
      <c r="H3776" s="1" t="n">
        <v>1</v>
      </c>
      <c r="I3776" s="1" t="inlineStr">
        <is>
          <t>มี</t>
        </is>
      </c>
      <c r="J3776" s="13" t="n">
        <v>49</v>
      </c>
      <c r="K3776" s="1" t="inlineStr"/>
      <c r="L3776" s="13" t="n">
        <v>49</v>
      </c>
      <c r="M3776" s="1">
        <f>IF(L3776="","ไม่พบใน SG",IF(ABS(J3776-L3776)&lt;0.005,"ตรงกัน","ไม่ตรง"))</f>
        <v/>
      </c>
      <c r="N3776" s="14">
        <f>IF(L3776="","",ROUND(L3776*'สรุป'!$C$6,-1))</f>
        <v/>
      </c>
      <c r="O3776" s="15" t="n"/>
      <c r="P3776" s="15" t="n"/>
      <c r="Q3776" s="10" t="n"/>
      <c r="R3776" s="10" t="n"/>
      <c r="S3776" s="16" t="inlineStr">
        <is>
          <t>https://mstgolf.co.th/products/gf2000105060</t>
        </is>
      </c>
      <c r="T3776" s="1">
        <f>IF(B3776="ไม้กอล์ฟ",J3776,"")</f>
        <v/>
      </c>
    </row>
    <row r="3777">
      <c r="A3777" s="1" t="n">
        <v>3</v>
      </c>
      <c r="B3777" s="1" t="inlineStr">
        <is>
          <t>หมวก</t>
        </is>
      </c>
      <c r="C3777" s="1" t="inlineStr">
        <is>
          <t>gf2000105604</t>
        </is>
      </c>
      <c r="D3777" s="1" t="inlineStr">
        <is>
          <t>UNDER ARMOUR Jordan Tour Adjustable Men's Cap (Black/White)</t>
        </is>
      </c>
      <c r="E3777" s="1" t="inlineStr">
        <is>
          <t>UNDER ARMOUR</t>
        </is>
      </c>
      <c r="F3777" s="1" t="inlineStr">
        <is>
          <t>CAP</t>
        </is>
      </c>
      <c r="G3777" s="1" t="inlineStr">
        <is>
          <t>GF2000105604FS</t>
        </is>
      </c>
      <c r="H3777" s="1" t="n">
        <v>1</v>
      </c>
      <c r="I3777" s="1" t="inlineStr">
        <is>
          <t>มี</t>
        </is>
      </c>
      <c r="J3777" s="13" t="n">
        <v>49</v>
      </c>
      <c r="K3777" s="1" t="inlineStr"/>
      <c r="L3777" s="13" t="n">
        <v>49</v>
      </c>
      <c r="M3777" s="1">
        <f>IF(L3777="","ไม่พบใน SG",IF(ABS(J3777-L3777)&lt;0.005,"ตรงกัน","ไม่ตรง"))</f>
        <v/>
      </c>
      <c r="N3777" s="14">
        <f>IF(L3777="","",ROUND(L3777*'สรุป'!$C$6,-1))</f>
        <v/>
      </c>
      <c r="O3777" s="15" t="n"/>
      <c r="P3777" s="15" t="n"/>
      <c r="Q3777" s="10" t="n"/>
      <c r="R3777" s="10" t="n"/>
      <c r="S3777" s="16" t="inlineStr">
        <is>
          <t>https://mstgolf.co.th/products/gf2000105604</t>
        </is>
      </c>
      <c r="T3777" s="1">
        <f>IF(B3777="ไม้กอล์ฟ",J3777,"")</f>
        <v/>
      </c>
    </row>
    <row r="3778">
      <c r="A3778" s="1" t="n">
        <v>3</v>
      </c>
      <c r="B3778" s="1" t="inlineStr">
        <is>
          <t>หมวก</t>
        </is>
      </c>
      <c r="C3778" s="1" t="inlineStr">
        <is>
          <t>gf2000105059</t>
        </is>
      </c>
      <c r="D3778" s="1" t="inlineStr">
        <is>
          <t>UNDER ARMOUR Jordan Tour Adjustable Men's Cap (White/Navy)</t>
        </is>
      </c>
      <c r="E3778" s="1" t="inlineStr">
        <is>
          <t>UNDER ARMOUR</t>
        </is>
      </c>
      <c r="F3778" s="1" t="inlineStr">
        <is>
          <t>CAP</t>
        </is>
      </c>
      <c r="G3778" s="1" t="inlineStr">
        <is>
          <t>GF2000105059FS</t>
        </is>
      </c>
      <c r="H3778" s="1" t="n">
        <v>1</v>
      </c>
      <c r="I3778" s="1" t="inlineStr">
        <is>
          <t>มี</t>
        </is>
      </c>
      <c r="J3778" s="13" t="n">
        <v>49</v>
      </c>
      <c r="K3778" s="1" t="inlineStr"/>
      <c r="L3778" s="13" t="n">
        <v>49</v>
      </c>
      <c r="M3778" s="1">
        <f>IF(L3778="","ไม่พบใน SG",IF(ABS(J3778-L3778)&lt;0.005,"ตรงกัน","ไม่ตรง"))</f>
        <v/>
      </c>
      <c r="N3778" s="14">
        <f>IF(L3778="","",ROUND(L3778*'สรุป'!$C$6,-1))</f>
        <v/>
      </c>
      <c r="O3778" s="15" t="n"/>
      <c r="P3778" s="15" t="n"/>
      <c r="Q3778" s="10" t="n"/>
      <c r="R3778" s="10" t="n"/>
      <c r="S3778" s="16" t="inlineStr">
        <is>
          <t>https://mstgolf.co.th/products/gf2000105059</t>
        </is>
      </c>
      <c r="T3778" s="1">
        <f>IF(B3778="ไม้กอล์ฟ",J3778,"")</f>
        <v/>
      </c>
    </row>
    <row r="3779">
      <c r="A3779" s="1" t="n">
        <v>3</v>
      </c>
      <c r="B3779" s="1" t="inlineStr">
        <is>
          <t>เสื้อผ้า</t>
        </is>
      </c>
      <c r="C3779" s="1" t="inlineStr">
        <is>
          <t>gf2040120396</t>
        </is>
      </c>
      <c r="D3779" s="1" t="inlineStr">
        <is>
          <t>UNDER ARMOUR Matchplay Boy's Printed Polo (Black/Grey)</t>
        </is>
      </c>
      <c r="E3779" s="1" t="inlineStr">
        <is>
          <t>UNDER ARMOUR</t>
        </is>
      </c>
      <c r="F3779" s="1" t="inlineStr">
        <is>
          <t>SHORT SLEEVES</t>
        </is>
      </c>
      <c r="G3779" s="1" t="inlineStr">
        <is>
          <t>GF2040120396XS</t>
        </is>
      </c>
      <c r="H3779" s="1" t="n">
        <v>5</v>
      </c>
      <c r="I3779" s="1" t="inlineStr">
        <is>
          <t>มี</t>
        </is>
      </c>
      <c r="J3779" s="13" t="n">
        <v>49</v>
      </c>
      <c r="K3779" s="1" t="inlineStr"/>
      <c r="L3779" s="13" t="n">
        <v>49</v>
      </c>
      <c r="M3779" s="1">
        <f>IF(L3779="","ไม่พบใน SG",IF(ABS(J3779-L3779)&lt;0.005,"ตรงกัน","ไม่ตรง"))</f>
        <v/>
      </c>
      <c r="N3779" s="14">
        <f>IF(L3779="","",ROUND(L3779*'สรุป'!$C$6,-1))</f>
        <v/>
      </c>
      <c r="O3779" s="15" t="n"/>
      <c r="P3779" s="15" t="n"/>
      <c r="Q3779" s="10" t="n"/>
      <c r="R3779" s="10" t="n"/>
      <c r="S3779" s="16" t="inlineStr">
        <is>
          <t>https://mstgolf.co.th/products/gf2040120396</t>
        </is>
      </c>
      <c r="T3779" s="1">
        <f>IF(B3779="ไม้กอล์ฟ",J3779,"")</f>
        <v/>
      </c>
    </row>
    <row r="3780">
      <c r="A3780" s="1" t="n">
        <v>3</v>
      </c>
      <c r="B3780" s="1" t="inlineStr">
        <is>
          <t>เสื้อผ้า</t>
        </is>
      </c>
      <c r="C3780" s="1" t="inlineStr">
        <is>
          <t>gf2040117223</t>
        </is>
      </c>
      <c r="D3780" s="1" t="inlineStr">
        <is>
          <t>UNDER ARMOUR T2G (2024) Men's Polo (Starlight)</t>
        </is>
      </c>
      <c r="E3780" s="1" t="inlineStr">
        <is>
          <t>UNDER ARMOUR</t>
        </is>
      </c>
      <c r="F3780" s="1" t="inlineStr">
        <is>
          <t>SHORT SLEEVES</t>
        </is>
      </c>
      <c r="G3780" s="1" t="inlineStr">
        <is>
          <t>GF2040117223S</t>
        </is>
      </c>
      <c r="H3780" s="1" t="n">
        <v>6</v>
      </c>
      <c r="I3780" s="1" t="inlineStr">
        <is>
          <t>มี</t>
        </is>
      </c>
      <c r="J3780" s="13" t="n">
        <v>49</v>
      </c>
      <c r="K3780" s="1" t="inlineStr"/>
      <c r="L3780" s="13" t="n">
        <v>49</v>
      </c>
      <c r="M3780" s="1">
        <f>IF(L3780="","ไม่พบใน SG",IF(ABS(J3780-L3780)&lt;0.005,"ตรงกัน","ไม่ตรง"))</f>
        <v/>
      </c>
      <c r="N3780" s="14">
        <f>IF(L3780="","",ROUND(L3780*'สรุป'!$C$6,-1))</f>
        <v/>
      </c>
      <c r="O3780" s="15" t="n"/>
      <c r="P3780" s="15" t="n"/>
      <c r="Q3780" s="10" t="n"/>
      <c r="R3780" s="10" t="n"/>
      <c r="S3780" s="16" t="inlineStr">
        <is>
          <t>https://mstgolf.co.th/products/gf2040117223</t>
        </is>
      </c>
      <c r="T3780" s="1">
        <f>IF(B3780="ไม้กอล์ฟ",J3780,"")</f>
        <v/>
      </c>
    </row>
    <row r="3781">
      <c r="A3781" s="1" t="n">
        <v>3</v>
      </c>
      <c r="B3781" s="1" t="inlineStr">
        <is>
          <t>หมวก</t>
        </is>
      </c>
      <c r="C3781" s="1" t="inlineStr">
        <is>
          <t>gf2000300371</t>
        </is>
      </c>
      <c r="D3781" s="1" t="inlineStr">
        <is>
          <t>UNDER ARMOUR Unisex Drive Bucket Hat (Green)</t>
        </is>
      </c>
      <c r="E3781" s="1" t="inlineStr">
        <is>
          <t>UNDER ARMOUR</t>
        </is>
      </c>
      <c r="F3781" s="1" t="inlineStr">
        <is>
          <t>HAT</t>
        </is>
      </c>
      <c r="G3781" s="1" t="inlineStr">
        <is>
          <t>GF2000300371S-M</t>
        </is>
      </c>
      <c r="H3781" s="1" t="n">
        <v>3</v>
      </c>
      <c r="I3781" s="1" t="inlineStr">
        <is>
          <t>มี</t>
        </is>
      </c>
      <c r="J3781" s="13" t="n">
        <v>49</v>
      </c>
      <c r="K3781" s="1" t="inlineStr"/>
      <c r="L3781" s="13" t="n">
        <v>49</v>
      </c>
      <c r="M3781" s="1">
        <f>IF(L3781="","ไม่พบใน SG",IF(ABS(J3781-L3781)&lt;0.005,"ตรงกัน","ไม่ตรง"))</f>
        <v/>
      </c>
      <c r="N3781" s="14">
        <f>IF(L3781="","",ROUND(L3781*'สรุป'!$C$6,-1))</f>
        <v/>
      </c>
      <c r="O3781" s="15" t="n"/>
      <c r="P3781" s="15" t="n"/>
      <c r="Q3781" s="10" t="n"/>
      <c r="R3781" s="10" t="n"/>
      <c r="S3781" s="16" t="inlineStr">
        <is>
          <t>https://mstgolf.co.th/products/gf2000300371</t>
        </is>
      </c>
      <c r="T3781" s="1">
        <f>IF(B3781="ไม้กอล์ฟ",J3781,"")</f>
        <v/>
      </c>
    </row>
    <row r="3782">
      <c r="A3782" s="1" t="n">
        <v>3</v>
      </c>
      <c r="B3782" s="1" t="inlineStr">
        <is>
          <t>หมวก</t>
        </is>
      </c>
      <c r="C3782" s="1" t="inlineStr">
        <is>
          <t>gf2000300370</t>
        </is>
      </c>
      <c r="D3782" s="1" t="inlineStr">
        <is>
          <t>UNDER ARMOUR Unisex Drive Bucket Hat (Grey/Grey)</t>
        </is>
      </c>
      <c r="E3782" s="1" t="inlineStr">
        <is>
          <t>UNDER ARMOUR</t>
        </is>
      </c>
      <c r="F3782" s="1" t="inlineStr">
        <is>
          <t>HAT</t>
        </is>
      </c>
      <c r="G3782" s="1" t="inlineStr">
        <is>
          <t>GF2000300370S-M</t>
        </is>
      </c>
      <c r="H3782" s="1" t="n">
        <v>3</v>
      </c>
      <c r="I3782" s="1" t="inlineStr">
        <is>
          <t>มี</t>
        </is>
      </c>
      <c r="J3782" s="13" t="n">
        <v>49</v>
      </c>
      <c r="K3782" s="1" t="inlineStr"/>
      <c r="L3782" s="13" t="n">
        <v>49</v>
      </c>
      <c r="M3782" s="1">
        <f>IF(L3782="","ไม่พบใน SG",IF(ABS(J3782-L3782)&lt;0.005,"ตรงกัน","ไม่ตรง"))</f>
        <v/>
      </c>
      <c r="N3782" s="14">
        <f>IF(L3782="","",ROUND(L3782*'สรุป'!$C$6,-1))</f>
        <v/>
      </c>
      <c r="O3782" s="15" t="n"/>
      <c r="P3782" s="15" t="n"/>
      <c r="Q3782" s="10" t="n"/>
      <c r="R3782" s="10" t="n"/>
      <c r="S3782" s="16" t="inlineStr">
        <is>
          <t>https://mstgolf.co.th/products/gf2000300370</t>
        </is>
      </c>
      <c r="T3782" s="1">
        <f>IF(B3782="ไม้กอล์ฟ",J3782,"")</f>
        <v/>
      </c>
    </row>
    <row r="3783">
      <c r="A3783" s="1" t="n">
        <v>3</v>
      </c>
      <c r="B3783" s="1" t="inlineStr">
        <is>
          <t>เสื้อผ้า</t>
        </is>
      </c>
      <c r="C3783" s="1" t="inlineStr">
        <is>
          <t>gf2040113373</t>
        </is>
      </c>
      <c r="D3783" s="1" t="inlineStr">
        <is>
          <t>UNDER ARMOUR Zinger Women's Polo (Vermillion)</t>
        </is>
      </c>
      <c r="E3783" s="1" t="inlineStr">
        <is>
          <t>UNDER ARMOUR</t>
        </is>
      </c>
      <c r="F3783" s="1" t="inlineStr">
        <is>
          <t>SHORT SLEEVES</t>
        </is>
      </c>
      <c r="G3783" s="1" t="inlineStr">
        <is>
          <t>GF2040113373XS</t>
        </is>
      </c>
      <c r="H3783" s="1" t="n">
        <v>6</v>
      </c>
      <c r="I3783" s="1" t="inlineStr">
        <is>
          <t>มี</t>
        </is>
      </c>
      <c r="J3783" s="13" t="n">
        <v>49</v>
      </c>
      <c r="K3783" s="1" t="inlineStr"/>
      <c r="L3783" s="13" t="n">
        <v>49</v>
      </c>
      <c r="M3783" s="1">
        <f>IF(L3783="","ไม่พบใน SG",IF(ABS(J3783-L3783)&lt;0.005,"ตรงกัน","ไม่ตรง"))</f>
        <v/>
      </c>
      <c r="N3783" s="14">
        <f>IF(L3783="","",ROUND(L3783*'สรุป'!$C$6,-1))</f>
        <v/>
      </c>
      <c r="O3783" s="15" t="n"/>
      <c r="P3783" s="15" t="n"/>
      <c r="Q3783" s="10" t="n"/>
      <c r="R3783" s="10" t="n"/>
      <c r="S3783" s="16" t="inlineStr">
        <is>
          <t>https://mstgolf.co.th/products/gf2040113373</t>
        </is>
      </c>
      <c r="T3783" s="1">
        <f>IF(B3783="ไม้กอล์ฟ",J3783,"")</f>
        <v/>
      </c>
    </row>
    <row r="3784">
      <c r="A3784" s="1" t="n">
        <v>3</v>
      </c>
      <c r="B3784" s="1" t="inlineStr">
        <is>
          <t>เสื้อผ้า</t>
        </is>
      </c>
      <c r="C3784" s="1" t="inlineStr">
        <is>
          <t>gf2040112563</t>
        </is>
      </c>
      <c r="D3784" s="1" t="inlineStr">
        <is>
          <t>UNDER ARMOUR Zinger Women's Polo (White)</t>
        </is>
      </c>
      <c r="E3784" s="1" t="inlineStr">
        <is>
          <t>UNDER ARMOUR</t>
        </is>
      </c>
      <c r="F3784" s="1" t="inlineStr">
        <is>
          <t>SHORT SLEEVES</t>
        </is>
      </c>
      <c r="G3784" s="1" t="inlineStr">
        <is>
          <t>GF2040112563XS</t>
        </is>
      </c>
      <c r="H3784" s="1" t="n">
        <v>5</v>
      </c>
      <c r="I3784" s="1" t="inlineStr">
        <is>
          <t>มี</t>
        </is>
      </c>
      <c r="J3784" s="13" t="n">
        <v>49</v>
      </c>
      <c r="K3784" s="1" t="inlineStr"/>
      <c r="L3784" s="13" t="n">
        <v>45</v>
      </c>
      <c r="M3784" s="1">
        <f>IF(L3784="","ไม่พบใน SG",IF(ABS(J3784-L3784)&lt;0.005,"ตรงกัน","ไม่ตรง"))</f>
        <v/>
      </c>
      <c r="N3784" s="14">
        <f>IF(L3784="","",ROUND(L3784*'สรุป'!$C$6,-1))</f>
        <v/>
      </c>
      <c r="O3784" s="15" t="n"/>
      <c r="P3784" s="15" t="n"/>
      <c r="Q3784" s="10" t="n"/>
      <c r="R3784" s="10" t="n"/>
      <c r="S3784" s="16" t="inlineStr">
        <is>
          <t>https://mstgolf.co.th/products/gf2040112563</t>
        </is>
      </c>
      <c r="T3784" s="1">
        <f>IF(B3784="ไม้กอล์ฟ",J3784,"")</f>
        <v/>
      </c>
    </row>
    <row r="3785">
      <c r="A3785" s="1" t="n">
        <v>3</v>
      </c>
      <c r="B3785" s="1" t="inlineStr">
        <is>
          <t>หมวก</t>
        </is>
      </c>
      <c r="C3785" s="1" t="inlineStr">
        <is>
          <t>gf2000106281</t>
        </is>
      </c>
      <c r="D3785" s="1" t="inlineStr">
        <is>
          <t>TITLEIST Tour Performance Men's Cap (Black/White)</t>
        </is>
      </c>
      <c r="E3785" s="1" t="inlineStr">
        <is>
          <t>TITLEIST</t>
        </is>
      </c>
      <c r="F3785" s="1" t="inlineStr">
        <is>
          <t>CAP</t>
        </is>
      </c>
      <c r="G3785" s="1" t="inlineStr">
        <is>
          <t>GF2000106281FS</t>
        </is>
      </c>
      <c r="H3785" s="1" t="n">
        <v>1</v>
      </c>
      <c r="I3785" s="1" t="inlineStr">
        <is>
          <t>มี</t>
        </is>
      </c>
      <c r="J3785" s="13" t="n">
        <v>48</v>
      </c>
      <c r="K3785" s="1" t="inlineStr"/>
      <c r="L3785" s="13" t="n">
        <v>48</v>
      </c>
      <c r="M3785" s="1">
        <f>IF(L3785="","ไม่พบใน SG",IF(ABS(J3785-L3785)&lt;0.005,"ตรงกัน","ไม่ตรง"))</f>
        <v/>
      </c>
      <c r="N3785" s="14">
        <f>IF(L3785="","",ROUND(L3785*'สรุป'!$C$6,-1))</f>
        <v/>
      </c>
      <c r="O3785" s="15" t="n"/>
      <c r="P3785" s="15" t="n"/>
      <c r="Q3785" s="10" t="n"/>
      <c r="R3785" s="10" t="n"/>
      <c r="S3785" s="16" t="inlineStr">
        <is>
          <t>https://mstgolf.co.th/products/gf2000106281</t>
        </is>
      </c>
      <c r="T3785" s="1">
        <f>IF(B3785="ไม้กอล์ฟ",J3785,"")</f>
        <v/>
      </c>
    </row>
    <row r="3786">
      <c r="A3786" s="1" t="n">
        <v>3</v>
      </c>
      <c r="B3786" s="1" t="inlineStr">
        <is>
          <t>หมวก</t>
        </is>
      </c>
      <c r="C3786" s="1" t="inlineStr">
        <is>
          <t>gf2000106282</t>
        </is>
      </c>
      <c r="D3786" s="1" t="inlineStr">
        <is>
          <t>TITLEIST Tour Performance Men's Cap (Grey/White)</t>
        </is>
      </c>
      <c r="E3786" s="1" t="inlineStr">
        <is>
          <t>TITLEIST</t>
        </is>
      </c>
      <c r="F3786" s="1" t="inlineStr">
        <is>
          <t>CAP</t>
        </is>
      </c>
      <c r="G3786" s="1" t="inlineStr">
        <is>
          <t>GF2000106282FS</t>
        </is>
      </c>
      <c r="H3786" s="1" t="n">
        <v>1</v>
      </c>
      <c r="I3786" s="1" t="inlineStr">
        <is>
          <t>มี</t>
        </is>
      </c>
      <c r="J3786" s="13" t="n">
        <v>48</v>
      </c>
      <c r="K3786" s="1" t="inlineStr"/>
      <c r="L3786" s="13" t="n">
        <v>48</v>
      </c>
      <c r="M3786" s="1">
        <f>IF(L3786="","ไม่พบใน SG",IF(ABS(J3786-L3786)&lt;0.005,"ตรงกัน","ไม่ตรง"))</f>
        <v/>
      </c>
      <c r="N3786" s="14">
        <f>IF(L3786="","",ROUND(L3786*'สรุป'!$C$6,-1))</f>
        <v/>
      </c>
      <c r="O3786" s="15" t="n"/>
      <c r="P3786" s="15" t="n"/>
      <c r="Q3786" s="10" t="n"/>
      <c r="R3786" s="10" t="n"/>
      <c r="S3786" s="16" t="inlineStr">
        <is>
          <t>https://mstgolf.co.th/products/gf2000106282</t>
        </is>
      </c>
      <c r="T3786" s="1">
        <f>IF(B3786="ไม้กอล์ฟ",J3786,"")</f>
        <v/>
      </c>
    </row>
    <row r="3787">
      <c r="A3787" s="1" t="n">
        <v>3</v>
      </c>
      <c r="B3787" s="1" t="inlineStr">
        <is>
          <t>หมวก</t>
        </is>
      </c>
      <c r="C3787" s="1" t="inlineStr">
        <is>
          <t>gf2000106283</t>
        </is>
      </c>
      <c r="D3787" s="1" t="inlineStr">
        <is>
          <t>TITLEIST Tour Performance Men's Cap (White/Black)</t>
        </is>
      </c>
      <c r="E3787" s="1" t="inlineStr">
        <is>
          <t>TITLEIST</t>
        </is>
      </c>
      <c r="F3787" s="1" t="inlineStr">
        <is>
          <t>CAP</t>
        </is>
      </c>
      <c r="G3787" s="1" t="inlineStr">
        <is>
          <t>GF2000106283FS</t>
        </is>
      </c>
      <c r="H3787" s="1" t="n">
        <v>1</v>
      </c>
      <c r="I3787" s="1" t="inlineStr">
        <is>
          <t>มี</t>
        </is>
      </c>
      <c r="J3787" s="13" t="n">
        <v>48</v>
      </c>
      <c r="K3787" s="1" t="inlineStr"/>
      <c r="L3787" s="13" t="n">
        <v>48</v>
      </c>
      <c r="M3787" s="1">
        <f>IF(L3787="","ไม่พบใน SG",IF(ABS(J3787-L3787)&lt;0.005,"ตรงกัน","ไม่ตรง"))</f>
        <v/>
      </c>
      <c r="N3787" s="14">
        <f>IF(L3787="","",ROUND(L3787*'สรุป'!$C$6,-1))</f>
        <v/>
      </c>
      <c r="O3787" s="15" t="n"/>
      <c r="P3787" s="15" t="n"/>
      <c r="Q3787" s="10" t="n"/>
      <c r="R3787" s="10" t="n"/>
      <c r="S3787" s="16" t="inlineStr">
        <is>
          <t>https://mstgolf.co.th/products/gf2000106283</t>
        </is>
      </c>
      <c r="T3787" s="1">
        <f>IF(B3787="ไม้กอล์ฟ",J3787,"")</f>
        <v/>
      </c>
    </row>
    <row r="3788">
      <c r="A3788" s="1" t="n">
        <v>3</v>
      </c>
      <c r="B3788" s="1" t="inlineStr">
        <is>
          <t>หมวก</t>
        </is>
      </c>
      <c r="C3788" s="1" t="inlineStr">
        <is>
          <t>gf2000106284</t>
        </is>
      </c>
      <c r="D3788" s="1" t="inlineStr">
        <is>
          <t>TITLEIST Tour Performance Men's Cap (White/Grey)</t>
        </is>
      </c>
      <c r="E3788" s="1" t="inlineStr">
        <is>
          <t>TITLEIST</t>
        </is>
      </c>
      <c r="F3788" s="1" t="inlineStr">
        <is>
          <t>CAP</t>
        </is>
      </c>
      <c r="G3788" s="1" t="inlineStr">
        <is>
          <t>GF2000106284FS</t>
        </is>
      </c>
      <c r="H3788" s="1" t="n">
        <v>1</v>
      </c>
      <c r="I3788" s="1" t="inlineStr">
        <is>
          <t>มี</t>
        </is>
      </c>
      <c r="J3788" s="13" t="n">
        <v>48</v>
      </c>
      <c r="K3788" s="1" t="inlineStr"/>
      <c r="L3788" s="13" t="n">
        <v>48</v>
      </c>
      <c r="M3788" s="1">
        <f>IF(L3788="","ไม่พบใน SG",IF(ABS(J3788-L3788)&lt;0.005,"ตรงกัน","ไม่ตรง"))</f>
        <v/>
      </c>
      <c r="N3788" s="14">
        <f>IF(L3788="","",ROUND(L3788*'สรุป'!$C$6,-1))</f>
        <v/>
      </c>
      <c r="O3788" s="15" t="n"/>
      <c r="P3788" s="15" t="n"/>
      <c r="Q3788" s="10" t="n"/>
      <c r="R3788" s="10" t="n"/>
      <c r="S3788" s="16" t="inlineStr">
        <is>
          <t>https://mstgolf.co.th/products/gf2000106284</t>
        </is>
      </c>
      <c r="T3788" s="1">
        <f>IF(B3788="ไม้กอล์ฟ",J3788,"")</f>
        <v/>
      </c>
    </row>
    <row r="3789">
      <c r="A3789" s="1" t="n">
        <v>3</v>
      </c>
      <c r="B3789" s="1" t="inlineStr">
        <is>
          <t>หมวก</t>
        </is>
      </c>
      <c r="C3789" s="1" t="inlineStr">
        <is>
          <t>gf2000201044</t>
        </is>
      </c>
      <c r="D3789" s="1" t="inlineStr">
        <is>
          <t>TITLEIST Tour Performance Men's Visor (Black/White)</t>
        </is>
      </c>
      <c r="E3789" s="1" t="inlineStr">
        <is>
          <t>TITLEIST</t>
        </is>
      </c>
      <c r="F3789" s="1" t="inlineStr">
        <is>
          <t>VISOR</t>
        </is>
      </c>
      <c r="G3789" s="1" t="inlineStr">
        <is>
          <t>GF2000201044FS</t>
        </is>
      </c>
      <c r="H3789" s="1" t="n">
        <v>1</v>
      </c>
      <c r="I3789" s="1" t="inlineStr">
        <is>
          <t>มี</t>
        </is>
      </c>
      <c r="J3789" s="13" t="n">
        <v>48</v>
      </c>
      <c r="K3789" s="1" t="inlineStr"/>
      <c r="L3789" s="13" t="n">
        <v>48</v>
      </c>
      <c r="M3789" s="1">
        <f>IF(L3789="","ไม่พบใน SG",IF(ABS(J3789-L3789)&lt;0.005,"ตรงกัน","ไม่ตรง"))</f>
        <v/>
      </c>
      <c r="N3789" s="14">
        <f>IF(L3789="","",ROUND(L3789*'สรุป'!$C$6,-1))</f>
        <v/>
      </c>
      <c r="O3789" s="15" t="n"/>
      <c r="P3789" s="15" t="n"/>
      <c r="Q3789" s="10" t="n"/>
      <c r="R3789" s="10" t="n"/>
      <c r="S3789" s="16" t="inlineStr">
        <is>
          <t>https://mstgolf.co.th/products/gf2000201044</t>
        </is>
      </c>
      <c r="T3789" s="1">
        <f>IF(B3789="ไม้กอล์ฟ",J3789,"")</f>
        <v/>
      </c>
    </row>
    <row r="3790">
      <c r="A3790" s="1" t="n">
        <v>3</v>
      </c>
      <c r="B3790" s="1" t="inlineStr">
        <is>
          <t>หมวก</t>
        </is>
      </c>
      <c r="C3790" s="1" t="inlineStr">
        <is>
          <t>gf2000201045</t>
        </is>
      </c>
      <c r="D3790" s="1" t="inlineStr">
        <is>
          <t>TITLEIST Tour Performance Men's Visor (White/Black)</t>
        </is>
      </c>
      <c r="E3790" s="1" t="inlineStr">
        <is>
          <t>TITLEIST</t>
        </is>
      </c>
      <c r="F3790" s="1" t="inlineStr">
        <is>
          <t>VISOR</t>
        </is>
      </c>
      <c r="G3790" s="1" t="inlineStr">
        <is>
          <t>GF2000201045FS</t>
        </is>
      </c>
      <c r="H3790" s="1" t="n">
        <v>1</v>
      </c>
      <c r="I3790" s="1" t="inlineStr">
        <is>
          <t>มี</t>
        </is>
      </c>
      <c r="J3790" s="13" t="n">
        <v>48</v>
      </c>
      <c r="K3790" s="1" t="inlineStr"/>
      <c r="L3790" s="13" t="n">
        <v>48</v>
      </c>
      <c r="M3790" s="1">
        <f>IF(L3790="","ไม่พบใน SG",IF(ABS(J3790-L3790)&lt;0.005,"ตรงกัน","ไม่ตรง"))</f>
        <v/>
      </c>
      <c r="N3790" s="14">
        <f>IF(L3790="","",ROUND(L3790*'สรุป'!$C$6,-1))</f>
        <v/>
      </c>
      <c r="O3790" s="15" t="n"/>
      <c r="P3790" s="15" t="n"/>
      <c r="Q3790" s="10" t="n"/>
      <c r="R3790" s="10" t="n"/>
      <c r="S3790" s="16" t="inlineStr">
        <is>
          <t>https://mstgolf.co.th/products/gf2000201045</t>
        </is>
      </c>
      <c r="T3790" s="1">
        <f>IF(B3790="ไม้กอล์ฟ",J3790,"")</f>
        <v/>
      </c>
    </row>
    <row r="3791">
      <c r="A3791" s="1" t="n">
        <v>3</v>
      </c>
      <c r="B3791" s="1" t="inlineStr">
        <is>
          <t>หมวก</t>
        </is>
      </c>
      <c r="C3791" s="1" t="inlineStr">
        <is>
          <t>gf2000201046</t>
        </is>
      </c>
      <c r="D3791" s="1" t="inlineStr">
        <is>
          <t>TITLEIST Tour Performance Men's Visor (White/Grey)</t>
        </is>
      </c>
      <c r="E3791" s="1" t="inlineStr">
        <is>
          <t>TITLEIST</t>
        </is>
      </c>
      <c r="F3791" s="1" t="inlineStr">
        <is>
          <t>VISOR</t>
        </is>
      </c>
      <c r="G3791" s="1" t="inlineStr">
        <is>
          <t>GF2000201046FS</t>
        </is>
      </c>
      <c r="H3791" s="1" t="n">
        <v>1</v>
      </c>
      <c r="I3791" s="1" t="inlineStr">
        <is>
          <t>มี</t>
        </is>
      </c>
      <c r="J3791" s="13" t="n">
        <v>48</v>
      </c>
      <c r="K3791" s="1" t="inlineStr"/>
      <c r="L3791" s="13" t="n">
        <v>48</v>
      </c>
      <c r="M3791" s="1">
        <f>IF(L3791="","ไม่พบใน SG",IF(ABS(J3791-L3791)&lt;0.005,"ตรงกัน","ไม่ตรง"))</f>
        <v/>
      </c>
      <c r="N3791" s="14">
        <f>IF(L3791="","",ROUND(L3791*'สรุป'!$C$6,-1))</f>
        <v/>
      </c>
      <c r="O3791" s="15" t="n"/>
      <c r="P3791" s="15" t="n"/>
      <c r="Q3791" s="10" t="n"/>
      <c r="R3791" s="10" t="n"/>
      <c r="S3791" s="16" t="inlineStr">
        <is>
          <t>https://mstgolf.co.th/products/gf2000201046</t>
        </is>
      </c>
      <c r="T3791" s="1">
        <f>IF(B3791="ไม้กอล์ฟ",J3791,"")</f>
        <v/>
      </c>
    </row>
    <row r="3792">
      <c r="A3792" s="1" t="n">
        <v>3</v>
      </c>
      <c r="B3792" s="1" t="inlineStr">
        <is>
          <t>หมวก</t>
        </is>
      </c>
      <c r="C3792" s="1" t="inlineStr">
        <is>
          <t>gf2000106287</t>
        </is>
      </c>
      <c r="D3792" s="1" t="inlineStr">
        <is>
          <t>TITLEIST Tour Performance Mesh Men's Cap (Black/White)</t>
        </is>
      </c>
      <c r="E3792" s="1" t="inlineStr">
        <is>
          <t>TITLEIST</t>
        </is>
      </c>
      <c r="F3792" s="1" t="inlineStr">
        <is>
          <t>CAP</t>
        </is>
      </c>
      <c r="G3792" s="1" t="inlineStr">
        <is>
          <t>GF2000106287FS</t>
        </is>
      </c>
      <c r="H3792" s="1" t="n">
        <v>1</v>
      </c>
      <c r="I3792" s="1" t="inlineStr">
        <is>
          <t>มี</t>
        </is>
      </c>
      <c r="J3792" s="13" t="n">
        <v>48</v>
      </c>
      <c r="K3792" s="1" t="inlineStr"/>
      <c r="L3792" s="13" t="n">
        <v>48</v>
      </c>
      <c r="M3792" s="1">
        <f>IF(L3792="","ไม่พบใน SG",IF(ABS(J3792-L3792)&lt;0.005,"ตรงกัน","ไม่ตรง"))</f>
        <v/>
      </c>
      <c r="N3792" s="14">
        <f>IF(L3792="","",ROUND(L3792*'สรุป'!$C$6,-1))</f>
        <v/>
      </c>
      <c r="O3792" s="15" t="n"/>
      <c r="P3792" s="15" t="n"/>
      <c r="Q3792" s="10" t="n"/>
      <c r="R3792" s="10" t="n"/>
      <c r="S3792" s="16" t="inlineStr">
        <is>
          <t>https://mstgolf.co.th/products/gf2000106287</t>
        </is>
      </c>
      <c r="T3792" s="1">
        <f>IF(B3792="ไม้กอล์ฟ",J3792,"")</f>
        <v/>
      </c>
    </row>
    <row r="3793">
      <c r="A3793" s="1" t="n">
        <v>3</v>
      </c>
      <c r="B3793" s="1" t="inlineStr">
        <is>
          <t>เสื้อผ้า</t>
        </is>
      </c>
      <c r="C3793" s="1" t="inlineStr">
        <is>
          <t>gf2040119434</t>
        </is>
      </c>
      <c r="D3793" s="1" t="inlineStr">
        <is>
          <t>ADIDAS Ultimate365 Bunker Men's Polo (Coral)</t>
        </is>
      </c>
      <c r="E3793" s="1" t="inlineStr">
        <is>
          <t>ADIDAS</t>
        </is>
      </c>
      <c r="F3793" s="1" t="inlineStr">
        <is>
          <t>SHORT SLEEVES</t>
        </is>
      </c>
      <c r="G3793" s="1" t="inlineStr">
        <is>
          <t>GF20401194342XS</t>
        </is>
      </c>
      <c r="H3793" s="1" t="n">
        <v>9</v>
      </c>
      <c r="I3793" s="1" t="inlineStr">
        <is>
          <t>มี</t>
        </is>
      </c>
      <c r="J3793" s="13" t="n">
        <v>47</v>
      </c>
      <c r="K3793" s="1" t="inlineStr"/>
      <c r="L3793" s="13" t="n">
        <v>47</v>
      </c>
      <c r="M3793" s="1">
        <f>IF(L3793="","ไม่พบใน SG",IF(ABS(J3793-L3793)&lt;0.005,"ตรงกัน","ไม่ตรง"))</f>
        <v/>
      </c>
      <c r="N3793" s="14">
        <f>IF(L3793="","",ROUND(L3793*'สรุป'!$C$6,-1))</f>
        <v/>
      </c>
      <c r="O3793" s="15" t="n"/>
      <c r="P3793" s="15" t="n"/>
      <c r="Q3793" s="10" t="n"/>
      <c r="R3793" s="10" t="n"/>
      <c r="S3793" s="16" t="inlineStr">
        <is>
          <t>https://mstgolf.co.th/products/gf2040119434</t>
        </is>
      </c>
      <c r="T3793" s="1">
        <f>IF(B3793="ไม้กอล์ฟ",J3793,"")</f>
        <v/>
      </c>
    </row>
    <row r="3794">
      <c r="A3794" s="1" t="n">
        <v>3</v>
      </c>
      <c r="B3794" s="1" t="inlineStr">
        <is>
          <t>เสื้อผ้า</t>
        </is>
      </c>
      <c r="C3794" s="1" t="inlineStr">
        <is>
          <t>gf2040119437</t>
        </is>
      </c>
      <c r="D3794" s="1" t="inlineStr">
        <is>
          <t>ADIDAS Ultimate365 Bunker Men's Polo (Navy)</t>
        </is>
      </c>
      <c r="E3794" s="1" t="inlineStr">
        <is>
          <t>ADIDAS</t>
        </is>
      </c>
      <c r="F3794" s="1" t="inlineStr">
        <is>
          <t>SHORT SLEEVES</t>
        </is>
      </c>
      <c r="G3794" s="1" t="inlineStr">
        <is>
          <t>GF20401194372XS</t>
        </is>
      </c>
      <c r="H3794" s="1" t="n">
        <v>8</v>
      </c>
      <c r="I3794" s="1" t="inlineStr">
        <is>
          <t>มี</t>
        </is>
      </c>
      <c r="J3794" s="13" t="n">
        <v>47</v>
      </c>
      <c r="K3794" s="1" t="inlineStr"/>
      <c r="L3794" s="13" t="n">
        <v>47</v>
      </c>
      <c r="M3794" s="1">
        <f>IF(L3794="","ไม่พบใน SG",IF(ABS(J3794-L3794)&lt;0.005,"ตรงกัน","ไม่ตรง"))</f>
        <v/>
      </c>
      <c r="N3794" s="14">
        <f>IF(L3794="","",ROUND(L3794*'สรุป'!$C$6,-1))</f>
        <v/>
      </c>
      <c r="O3794" s="15" t="n"/>
      <c r="P3794" s="15" t="n"/>
      <c r="Q3794" s="10" t="n"/>
      <c r="R3794" s="10" t="n"/>
      <c r="S3794" s="16" t="inlineStr">
        <is>
          <t>https://mstgolf.co.th/products/gf2040119437</t>
        </is>
      </c>
      <c r="T3794" s="1">
        <f>IF(B3794="ไม้กอล์ฟ",J3794,"")</f>
        <v/>
      </c>
    </row>
    <row r="3795">
      <c r="A3795" s="1" t="n">
        <v>3</v>
      </c>
      <c r="B3795" s="1" t="inlineStr">
        <is>
          <t>เสื้อผ้า</t>
        </is>
      </c>
      <c r="C3795" s="1" t="inlineStr">
        <is>
          <t>gf2040119452</t>
        </is>
      </c>
      <c r="D3795" s="1" t="inlineStr">
        <is>
          <t>ADIDAS Ultimate365 Hybrid Men's Polo (Ruby)</t>
        </is>
      </c>
      <c r="E3795" s="1" t="inlineStr">
        <is>
          <t>ADIDAS</t>
        </is>
      </c>
      <c r="F3795" s="1" t="inlineStr">
        <is>
          <t>SHORT SLEEVES</t>
        </is>
      </c>
      <c r="G3795" s="1" t="inlineStr">
        <is>
          <t>GF20401194522XS</t>
        </is>
      </c>
      <c r="H3795" s="1" t="n">
        <v>8</v>
      </c>
      <c r="I3795" s="1" t="inlineStr">
        <is>
          <t>มี</t>
        </is>
      </c>
      <c r="J3795" s="13" t="n">
        <v>47</v>
      </c>
      <c r="K3795" s="1" t="inlineStr"/>
      <c r="L3795" s="13" t="n">
        <v>47</v>
      </c>
      <c r="M3795" s="1">
        <f>IF(L3795="","ไม่พบใน SG",IF(ABS(J3795-L3795)&lt;0.005,"ตรงกัน","ไม่ตรง"))</f>
        <v/>
      </c>
      <c r="N3795" s="14">
        <f>IF(L3795="","",ROUND(L3795*'สรุป'!$C$6,-1))</f>
        <v/>
      </c>
      <c r="O3795" s="15" t="n"/>
      <c r="P3795" s="15" t="n"/>
      <c r="Q3795" s="10" t="n"/>
      <c r="R3795" s="10" t="n"/>
      <c r="S3795" s="16" t="inlineStr">
        <is>
          <t>https://mstgolf.co.th/products/gf2040119452</t>
        </is>
      </c>
      <c r="T3795" s="1">
        <f>IF(B3795="ไม้กอล์ฟ",J3795,"")</f>
        <v/>
      </c>
    </row>
    <row r="3796">
      <c r="A3796" s="1" t="n">
        <v>3</v>
      </c>
      <c r="B3796" s="1" t="inlineStr">
        <is>
          <t>เสื้อผ้า</t>
        </is>
      </c>
      <c r="C3796" s="1" t="inlineStr">
        <is>
          <t>gf2040119442</t>
        </is>
      </c>
      <c r="D3796" s="1" t="inlineStr">
        <is>
          <t>ADIDAS Ultimate365 Micro Texture Men's Polo (Ruby)</t>
        </is>
      </c>
      <c r="E3796" s="1" t="inlineStr">
        <is>
          <t>ADIDAS</t>
        </is>
      </c>
      <c r="F3796" s="1" t="inlineStr">
        <is>
          <t>SHORT SLEEVES</t>
        </is>
      </c>
      <c r="G3796" s="1" t="inlineStr">
        <is>
          <t>GF20401194422XS</t>
        </is>
      </c>
      <c r="H3796" s="1" t="n">
        <v>8</v>
      </c>
      <c r="I3796" s="1" t="inlineStr">
        <is>
          <t>มี</t>
        </is>
      </c>
      <c r="J3796" s="13" t="n">
        <v>47</v>
      </c>
      <c r="K3796" s="1" t="inlineStr"/>
      <c r="L3796" s="13" t="n">
        <v>47</v>
      </c>
      <c r="M3796" s="1">
        <f>IF(L3796="","ไม่พบใน SG",IF(ABS(J3796-L3796)&lt;0.005,"ตรงกัน","ไม่ตรง"))</f>
        <v/>
      </c>
      <c r="N3796" s="14">
        <f>IF(L3796="","",ROUND(L3796*'สรุป'!$C$6,-1))</f>
        <v/>
      </c>
      <c r="O3796" s="15" t="n"/>
      <c r="P3796" s="15" t="n"/>
      <c r="Q3796" s="10" t="n"/>
      <c r="R3796" s="10" t="n"/>
      <c r="S3796" s="16" t="inlineStr">
        <is>
          <t>https://mstgolf.co.th/products/gf2040119442</t>
        </is>
      </c>
      <c r="T3796" s="1">
        <f>IF(B3796="ไม้กอล์ฟ",J3796,"")</f>
        <v/>
      </c>
    </row>
    <row r="3797">
      <c r="A3797" s="1" t="n">
        <v>3</v>
      </c>
      <c r="B3797" s="1" t="inlineStr">
        <is>
          <t>เสื้อผ้า</t>
        </is>
      </c>
      <c r="C3797" s="1" t="inlineStr">
        <is>
          <t>gf2040119427</t>
        </is>
      </c>
      <c r="D3797" s="1" t="inlineStr">
        <is>
          <t>ADIDAS Ultimate365 Printed Mesh Men's Polo (Navy)</t>
        </is>
      </c>
      <c r="E3797" s="1" t="inlineStr">
        <is>
          <t>ADIDAS</t>
        </is>
      </c>
      <c r="F3797" s="1" t="inlineStr">
        <is>
          <t>SHORT SLEEVES</t>
        </is>
      </c>
      <c r="G3797" s="1" t="inlineStr">
        <is>
          <t>GF20401194272XS</t>
        </is>
      </c>
      <c r="H3797" s="1" t="n">
        <v>7</v>
      </c>
      <c r="I3797" s="1" t="inlineStr">
        <is>
          <t>มี</t>
        </is>
      </c>
      <c r="J3797" s="13" t="n">
        <v>47</v>
      </c>
      <c r="K3797" s="1" t="inlineStr"/>
      <c r="L3797" s="13" t="n">
        <v>47</v>
      </c>
      <c r="M3797" s="1">
        <f>IF(L3797="","ไม่พบใน SG",IF(ABS(J3797-L3797)&lt;0.005,"ตรงกัน","ไม่ตรง"))</f>
        <v/>
      </c>
      <c r="N3797" s="14">
        <f>IF(L3797="","",ROUND(L3797*'สรุป'!$C$6,-1))</f>
        <v/>
      </c>
      <c r="O3797" s="15" t="n"/>
      <c r="P3797" s="15" t="n"/>
      <c r="Q3797" s="10" t="n"/>
      <c r="R3797" s="10" t="n"/>
      <c r="S3797" s="16" t="inlineStr">
        <is>
          <t>https://mstgolf.co.th/products/gf2040119427</t>
        </is>
      </c>
      <c r="T3797" s="1">
        <f>IF(B3797="ไม้กอล์ฟ",J3797,"")</f>
        <v/>
      </c>
    </row>
    <row r="3798">
      <c r="A3798" s="1" t="n">
        <v>3</v>
      </c>
      <c r="B3798" s="1" t="inlineStr">
        <is>
          <t>เสื้อผ้า</t>
        </is>
      </c>
      <c r="C3798" s="1" t="inlineStr">
        <is>
          <t>gf2040119426</t>
        </is>
      </c>
      <c r="D3798" s="1" t="inlineStr">
        <is>
          <t>ADIDAS Ultimate365 Printed Mesh Men's Polo (White)</t>
        </is>
      </c>
      <c r="E3798" s="1" t="inlineStr">
        <is>
          <t>ADIDAS</t>
        </is>
      </c>
      <c r="F3798" s="1" t="inlineStr">
        <is>
          <t>SHORT SLEEVES</t>
        </is>
      </c>
      <c r="G3798" s="1" t="inlineStr">
        <is>
          <t>GF20401194262XS</t>
        </is>
      </c>
      <c r="H3798" s="1" t="n">
        <v>8</v>
      </c>
      <c r="I3798" s="1" t="inlineStr">
        <is>
          <t>มี</t>
        </is>
      </c>
      <c r="J3798" s="13" t="n">
        <v>47</v>
      </c>
      <c r="K3798" s="1" t="inlineStr"/>
      <c r="L3798" s="13" t="n">
        <v>47</v>
      </c>
      <c r="M3798" s="1">
        <f>IF(L3798="","ไม่พบใน SG",IF(ABS(J3798-L3798)&lt;0.005,"ตรงกัน","ไม่ตรง"))</f>
        <v/>
      </c>
      <c r="N3798" s="14">
        <f>IF(L3798="","",ROUND(L3798*'สรุป'!$C$6,-1))</f>
        <v/>
      </c>
      <c r="O3798" s="15" t="n"/>
      <c r="P3798" s="15" t="n"/>
      <c r="Q3798" s="10" t="n"/>
      <c r="R3798" s="10" t="n"/>
      <c r="S3798" s="16" t="inlineStr">
        <is>
          <t>https://mstgolf.co.th/products/gf2040119426</t>
        </is>
      </c>
      <c r="T3798" s="1">
        <f>IF(B3798="ไม้กอล์ฟ",J3798,"")</f>
        <v/>
      </c>
    </row>
    <row r="3799">
      <c r="A3799" s="1" t="n">
        <v>3</v>
      </c>
      <c r="B3799" s="1" t="inlineStr">
        <is>
          <t>เสื้อผ้า</t>
        </is>
      </c>
      <c r="C3799" s="1" t="inlineStr">
        <is>
          <t>gf2040119438</t>
        </is>
      </c>
      <c r="D3799" s="1" t="inlineStr">
        <is>
          <t>ADIDAS Ultimate365 Speed Stripe Men's Polo (Ruby)</t>
        </is>
      </c>
      <c r="E3799" s="1" t="inlineStr">
        <is>
          <t>ADIDAS</t>
        </is>
      </c>
      <c r="F3799" s="1" t="inlineStr">
        <is>
          <t>SHORT SLEEVES</t>
        </is>
      </c>
      <c r="G3799" s="1" t="inlineStr">
        <is>
          <t>GF20401194382XS</t>
        </is>
      </c>
      <c r="H3799" s="1" t="n">
        <v>9</v>
      </c>
      <c r="I3799" s="1" t="inlineStr">
        <is>
          <t>มี</t>
        </is>
      </c>
      <c r="J3799" s="13" t="n">
        <v>47</v>
      </c>
      <c r="K3799" s="1" t="inlineStr"/>
      <c r="L3799" s="13" t="n">
        <v>47</v>
      </c>
      <c r="M3799" s="1">
        <f>IF(L3799="","ไม่พบใน SG",IF(ABS(J3799-L3799)&lt;0.005,"ตรงกัน","ไม่ตรง"))</f>
        <v/>
      </c>
      <c r="N3799" s="14">
        <f>IF(L3799="","",ROUND(L3799*'สรุป'!$C$6,-1))</f>
        <v/>
      </c>
      <c r="O3799" s="15" t="n"/>
      <c r="P3799" s="15" t="n"/>
      <c r="Q3799" s="10" t="n"/>
      <c r="R3799" s="10" t="n"/>
      <c r="S3799" s="16" t="inlineStr">
        <is>
          <t>https://mstgolf.co.th/products/gf2040119438</t>
        </is>
      </c>
      <c r="T3799" s="1">
        <f>IF(B3799="ไม้กอล์ฟ",J3799,"")</f>
        <v/>
      </c>
    </row>
    <row r="3800">
      <c r="A3800" s="1" t="n">
        <v>3</v>
      </c>
      <c r="B3800" s="1" t="inlineStr">
        <is>
          <t>เสื้อผ้า</t>
        </is>
      </c>
      <c r="C3800" s="1" t="inlineStr">
        <is>
          <t>gf2040115015</t>
        </is>
      </c>
      <c r="D3800" s="1" t="inlineStr">
        <is>
          <t>PETER MILLAR Aurora Performance Men's T-Shirt (Bordeaux)</t>
        </is>
      </c>
      <c r="E3800" s="1" t="inlineStr">
        <is>
          <t>PETER MILLAR</t>
        </is>
      </c>
      <c r="F3800" s="1" t="inlineStr">
        <is>
          <t>SHORT SLEEVES</t>
        </is>
      </c>
      <c r="G3800" s="1" t="inlineStr">
        <is>
          <t>GF2040115015S</t>
        </is>
      </c>
      <c r="H3800" s="1" t="n">
        <v>5</v>
      </c>
      <c r="I3800" s="1" t="inlineStr">
        <is>
          <t>มี</t>
        </is>
      </c>
      <c r="J3800" s="13" t="n">
        <v>47</v>
      </c>
      <c r="K3800" s="1" t="inlineStr"/>
      <c r="L3800" s="13" t="n">
        <v>47</v>
      </c>
      <c r="M3800" s="1">
        <f>IF(L3800="","ไม่พบใน SG",IF(ABS(J3800-L3800)&lt;0.005,"ตรงกัน","ไม่ตรง"))</f>
        <v/>
      </c>
      <c r="N3800" s="14">
        <f>IF(L3800="","",ROUND(L3800*'สรุป'!$C$6,-1))</f>
        <v/>
      </c>
      <c r="O3800" s="15" t="n"/>
      <c r="P3800" s="15" t="n"/>
      <c r="Q3800" s="10" t="n"/>
      <c r="R3800" s="10" t="n"/>
      <c r="S3800" s="16" t="inlineStr">
        <is>
          <t>https://mstgolf.co.th/products/gf2040115015</t>
        </is>
      </c>
      <c r="T3800" s="1">
        <f>IF(B3800="ไม้กอล์ฟ",J3800,"")</f>
        <v/>
      </c>
    </row>
    <row r="3801">
      <c r="A3801" s="1" t="n">
        <v>3</v>
      </c>
      <c r="B3801" s="1" t="inlineStr">
        <is>
          <t>หมวก</t>
        </is>
      </c>
      <c r="C3801" s="1" t="inlineStr">
        <is>
          <t>gf2000201041</t>
        </is>
      </c>
      <c r="D3801" s="1" t="inlineStr">
        <is>
          <t>TAYLORMADE Women's Ribbon Visor (White/Turquoise)</t>
        </is>
      </c>
      <c r="E3801" s="1" t="inlineStr">
        <is>
          <t>TAYLORMADE</t>
        </is>
      </c>
      <c r="F3801" s="1" t="inlineStr">
        <is>
          <t>VISOR</t>
        </is>
      </c>
      <c r="G3801" s="1" t="inlineStr">
        <is>
          <t>GF2000201041FS</t>
        </is>
      </c>
      <c r="H3801" s="1" t="n">
        <v>1</v>
      </c>
      <c r="I3801" s="1" t="inlineStr">
        <is>
          <t>มี</t>
        </is>
      </c>
      <c r="J3801" s="13" t="n">
        <v>47</v>
      </c>
      <c r="K3801" s="1" t="inlineStr"/>
      <c r="L3801" s="13" t="n">
        <v>47</v>
      </c>
      <c r="M3801" s="1">
        <f>IF(L3801="","ไม่พบใน SG",IF(ABS(J3801-L3801)&lt;0.005,"ตรงกัน","ไม่ตรง"))</f>
        <v/>
      </c>
      <c r="N3801" s="14">
        <f>IF(L3801="","",ROUND(L3801*'สรุป'!$C$6,-1))</f>
        <v/>
      </c>
      <c r="O3801" s="15" t="n"/>
      <c r="P3801" s="15" t="n"/>
      <c r="Q3801" s="10" t="n"/>
      <c r="R3801" s="10" t="n"/>
      <c r="S3801" s="16" t="inlineStr">
        <is>
          <t>https://mstgolf.co.th/products/gf2000201041</t>
        </is>
      </c>
      <c r="T3801" s="1">
        <f>IF(B3801="ไม้กอล์ฟ",J3801,"")</f>
        <v/>
      </c>
    </row>
    <row r="3802">
      <c r="A3802" s="1" t="n">
        <v>3</v>
      </c>
      <c r="B3802" s="1" t="inlineStr">
        <is>
          <t>เสื้อผ้า</t>
        </is>
      </c>
      <c r="C3802" s="1" t="inlineStr">
        <is>
          <t>gf2040115491</t>
        </is>
      </c>
      <c r="D3802" s="1" t="inlineStr">
        <is>
          <t>UNDER ARMOUR Performance 3.0 Men's Polo (Rebel Pink)</t>
        </is>
      </c>
      <c r="E3802" s="1" t="inlineStr">
        <is>
          <t>UNDER ARMOUR</t>
        </is>
      </c>
      <c r="F3802" s="1" t="inlineStr">
        <is>
          <t>SHORT SLEEVES</t>
        </is>
      </c>
      <c r="G3802" s="1" t="inlineStr">
        <is>
          <t>GF2040115491XS</t>
        </is>
      </c>
      <c r="H3802" s="1" t="n">
        <v>6</v>
      </c>
      <c r="I3802" s="1" t="inlineStr">
        <is>
          <t>มี</t>
        </is>
      </c>
      <c r="J3802" s="13" t="n">
        <v>47</v>
      </c>
      <c r="K3802" s="1" t="inlineStr"/>
      <c r="L3802" s="13" t="n">
        <v>39</v>
      </c>
      <c r="M3802" s="1">
        <f>IF(L3802="","ไม่พบใน SG",IF(ABS(J3802-L3802)&lt;0.005,"ตรงกัน","ไม่ตรง"))</f>
        <v/>
      </c>
      <c r="N3802" s="14">
        <f>IF(L3802="","",ROUND(L3802*'สรุป'!$C$6,-1))</f>
        <v/>
      </c>
      <c r="O3802" s="15" t="n"/>
      <c r="P3802" s="15" t="n"/>
      <c r="Q3802" s="10" t="n"/>
      <c r="R3802" s="10" t="n"/>
      <c r="S3802" s="16" t="inlineStr">
        <is>
          <t>https://mstgolf.co.th/products/gf2040115491</t>
        </is>
      </c>
      <c r="T3802" s="1">
        <f>IF(B3802="ไม้กอล์ฟ",J3802,"")</f>
        <v/>
      </c>
    </row>
    <row r="3803">
      <c r="A3803" s="1" t="n">
        <v>3</v>
      </c>
      <c r="B3803" s="1" t="inlineStr">
        <is>
          <t>เสื้อผ้า</t>
        </is>
      </c>
      <c r="C3803" s="1" t="inlineStr">
        <is>
          <t>gf2040117222</t>
        </is>
      </c>
      <c r="D3803" s="1" t="inlineStr">
        <is>
          <t>UNDER ARMOUR T2G (2024) Men's Polo (Capri)</t>
        </is>
      </c>
      <c r="E3803" s="1" t="inlineStr">
        <is>
          <t>UNDER ARMOUR</t>
        </is>
      </c>
      <c r="F3803" s="1" t="inlineStr">
        <is>
          <t>SHORT SLEEVES</t>
        </is>
      </c>
      <c r="G3803" s="1" t="inlineStr">
        <is>
          <t>GF2040117222S</t>
        </is>
      </c>
      <c r="H3803" s="1" t="n">
        <v>5</v>
      </c>
      <c r="I3803" s="1" t="inlineStr">
        <is>
          <t>มี</t>
        </is>
      </c>
      <c r="J3803" s="13" t="n">
        <v>47</v>
      </c>
      <c r="K3803" s="1" t="inlineStr"/>
      <c r="L3803" s="13" t="n">
        <v>47</v>
      </c>
      <c r="M3803" s="1">
        <f>IF(L3803="","ไม่พบใน SG",IF(ABS(J3803-L3803)&lt;0.005,"ตรงกัน","ไม่ตรง"))</f>
        <v/>
      </c>
      <c r="N3803" s="14">
        <f>IF(L3803="","",ROUND(L3803*'สรุป'!$C$6,-1))</f>
        <v/>
      </c>
      <c r="O3803" s="15" t="n"/>
      <c r="P3803" s="15" t="n"/>
      <c r="Q3803" s="10" t="n"/>
      <c r="R3803" s="10" t="n"/>
      <c r="S3803" s="16" t="inlineStr">
        <is>
          <t>https://mstgolf.co.th/products/gf2040117222</t>
        </is>
      </c>
      <c r="T3803" s="1">
        <f>IF(B3803="ไม้กอล์ฟ",J3803,"")</f>
        <v/>
      </c>
    </row>
    <row r="3804">
      <c r="A3804" s="1" t="n">
        <v>3</v>
      </c>
      <c r="B3804" s="1" t="inlineStr">
        <is>
          <t>เสื้อผ้า</t>
        </is>
      </c>
      <c r="C3804" s="1" t="inlineStr">
        <is>
          <t>gf2040112084</t>
        </is>
      </c>
      <c r="D3804" s="1" t="inlineStr">
        <is>
          <t>UNDER ARMOUR Tee-2-Green Men's Polo (Black)</t>
        </is>
      </c>
      <c r="E3804" s="1" t="inlineStr">
        <is>
          <t>UNDER ARMOUR</t>
        </is>
      </c>
      <c r="F3804" s="1" t="inlineStr">
        <is>
          <t>SHORT SLEEVES</t>
        </is>
      </c>
      <c r="G3804" s="1" t="inlineStr">
        <is>
          <t>GF2040112084S</t>
        </is>
      </c>
      <c r="H3804" s="1" t="n">
        <v>5</v>
      </c>
      <c r="I3804" s="1" t="inlineStr">
        <is>
          <t>มี</t>
        </is>
      </c>
      <c r="J3804" s="13" t="n">
        <v>47</v>
      </c>
      <c r="K3804" s="1" t="inlineStr"/>
      <c r="L3804" s="13" t="n">
        <v>39</v>
      </c>
      <c r="M3804" s="1">
        <f>IF(L3804="","ไม่พบใน SG",IF(ABS(J3804-L3804)&lt;0.005,"ตรงกัน","ไม่ตรง"))</f>
        <v/>
      </c>
      <c r="N3804" s="14">
        <f>IF(L3804="","",ROUND(L3804*'สรุป'!$C$6,-1))</f>
        <v/>
      </c>
      <c r="O3804" s="15" t="n"/>
      <c r="P3804" s="15" t="n"/>
      <c r="Q3804" s="10" t="n"/>
      <c r="R3804" s="10" t="n"/>
      <c r="S3804" s="16" t="inlineStr">
        <is>
          <t>https://mstgolf.co.th/products/gf2040112084</t>
        </is>
      </c>
      <c r="T3804" s="1">
        <f>IF(B3804="ไม้กอล์ฟ",J3804,"")</f>
        <v/>
      </c>
    </row>
    <row r="3805">
      <c r="A3805" s="1" t="n">
        <v>3</v>
      </c>
      <c r="B3805" s="1" t="inlineStr">
        <is>
          <t>เสื้อผ้า</t>
        </is>
      </c>
      <c r="C3805" s="1" t="inlineStr">
        <is>
          <t>gf2040113357</t>
        </is>
      </c>
      <c r="D3805" s="1" t="inlineStr">
        <is>
          <t>UNDER ARMOUR Tee-2-Green Men's Polo (White/Grey)</t>
        </is>
      </c>
      <c r="E3805" s="1" t="inlineStr">
        <is>
          <t>UNDER ARMOUR</t>
        </is>
      </c>
      <c r="F3805" s="1" t="inlineStr">
        <is>
          <t>SHORT SLEEVES</t>
        </is>
      </c>
      <c r="G3805" s="1" t="inlineStr">
        <is>
          <t>GF2040113357S</t>
        </is>
      </c>
      <c r="H3805" s="1" t="n">
        <v>5</v>
      </c>
      <c r="I3805" s="1" t="inlineStr">
        <is>
          <t>มี</t>
        </is>
      </c>
      <c r="J3805" s="13" t="n">
        <v>47</v>
      </c>
      <c r="K3805" s="1" t="inlineStr"/>
      <c r="L3805" s="13" t="n">
        <v>47</v>
      </c>
      <c r="M3805" s="1">
        <f>IF(L3805="","ไม่พบใน SG",IF(ABS(J3805-L3805)&lt;0.005,"ตรงกัน","ไม่ตรง"))</f>
        <v/>
      </c>
      <c r="N3805" s="14">
        <f>IF(L3805="","",ROUND(L3805*'สรุป'!$C$6,-1))</f>
        <v/>
      </c>
      <c r="O3805" s="15" t="n"/>
      <c r="P3805" s="15" t="n"/>
      <c r="Q3805" s="10" t="n"/>
      <c r="R3805" s="10" t="n"/>
      <c r="S3805" s="16" t="inlineStr">
        <is>
          <t>https://mstgolf.co.th/products/gf2040113357</t>
        </is>
      </c>
      <c r="T3805" s="1">
        <f>IF(B3805="ไม้กอล์ฟ",J3805,"")</f>
        <v/>
      </c>
    </row>
    <row r="3806">
      <c r="A3806" s="1" t="n">
        <v>3</v>
      </c>
      <c r="B3806" s="1" t="inlineStr">
        <is>
          <t>เสื้อผ้า</t>
        </is>
      </c>
      <c r="C3806" s="1" t="inlineStr">
        <is>
          <t>gf2040115429</t>
        </is>
      </c>
      <c r="D3806" s="1" t="inlineStr">
        <is>
          <t>UNDER ARMOUR Tee-To-Green Men's Polo (Blue Mirage)</t>
        </is>
      </c>
      <c r="E3806" s="1" t="inlineStr">
        <is>
          <t>UNDER ARMOUR</t>
        </is>
      </c>
      <c r="F3806" s="1" t="inlineStr">
        <is>
          <t>SHORT SLEEVES</t>
        </is>
      </c>
      <c r="G3806" s="1" t="inlineStr">
        <is>
          <t>GF2040115429XS</t>
        </is>
      </c>
      <c r="H3806" s="1" t="n">
        <v>6</v>
      </c>
      <c r="I3806" s="1" t="inlineStr">
        <is>
          <t>มี</t>
        </is>
      </c>
      <c r="J3806" s="13" t="n">
        <v>47</v>
      </c>
      <c r="K3806" s="1" t="inlineStr"/>
      <c r="L3806" s="13" t="n">
        <v>47</v>
      </c>
      <c r="M3806" s="1">
        <f>IF(L3806="","ไม่พบใน SG",IF(ABS(J3806-L3806)&lt;0.005,"ตรงกัน","ไม่ตรง"))</f>
        <v/>
      </c>
      <c r="N3806" s="14">
        <f>IF(L3806="","",ROUND(L3806*'สรุป'!$C$6,-1))</f>
        <v/>
      </c>
      <c r="O3806" s="15" t="n"/>
      <c r="P3806" s="15" t="n"/>
      <c r="Q3806" s="10" t="n"/>
      <c r="R3806" s="10" t="n"/>
      <c r="S3806" s="16" t="inlineStr">
        <is>
          <t>https://mstgolf.co.th/products/gf2040115429</t>
        </is>
      </c>
      <c r="T3806" s="1">
        <f>IF(B3806="ไม้กอล์ฟ",J3806,"")</f>
        <v/>
      </c>
    </row>
    <row r="3807">
      <c r="A3807" s="1" t="n">
        <v>3</v>
      </c>
      <c r="B3807" s="1" t="inlineStr">
        <is>
          <t>เสื้อผ้า</t>
        </is>
      </c>
      <c r="C3807" s="1" t="inlineStr">
        <is>
          <t>gf2040113978</t>
        </is>
      </c>
      <c r="D3807" s="1" t="inlineStr">
        <is>
          <t>UNDER ARMOUR Tee-2-Green Men's Polo (Fuse Teal)</t>
        </is>
      </c>
      <c r="E3807" s="1" t="inlineStr">
        <is>
          <t>UNDER ARMOUR</t>
        </is>
      </c>
      <c r="F3807" s="1" t="inlineStr">
        <is>
          <t>SHORT SLEEVES</t>
        </is>
      </c>
      <c r="G3807" s="1" t="inlineStr">
        <is>
          <t>GF2040113978XS</t>
        </is>
      </c>
      <c r="H3807" s="1" t="n">
        <v>6</v>
      </c>
      <c r="I3807" s="1" t="inlineStr">
        <is>
          <t>มี</t>
        </is>
      </c>
      <c r="J3807" s="13" t="n">
        <v>46</v>
      </c>
      <c r="K3807" s="1" t="inlineStr"/>
      <c r="L3807" s="13" t="n">
        <v>46</v>
      </c>
      <c r="M3807" s="1">
        <f>IF(L3807="","ไม่พบใน SG",IF(ABS(J3807-L3807)&lt;0.005,"ตรงกัน","ไม่ตรง"))</f>
        <v/>
      </c>
      <c r="N3807" s="14">
        <f>IF(L3807="","",ROUND(L3807*'สรุป'!$C$6,-1))</f>
        <v/>
      </c>
      <c r="O3807" s="15" t="n"/>
      <c r="P3807" s="15" t="n"/>
      <c r="Q3807" s="10" t="n"/>
      <c r="R3807" s="10" t="n"/>
      <c r="S3807" s="16" t="inlineStr">
        <is>
          <t>https://mstgolf.co.th/products/gf2040113978</t>
        </is>
      </c>
      <c r="T3807" s="1">
        <f>IF(B3807="ไม้กอล์ฟ",J3807,"")</f>
        <v/>
      </c>
    </row>
    <row r="3808">
      <c r="A3808" s="1" t="n">
        <v>3</v>
      </c>
      <c r="B3808" s="1" t="inlineStr">
        <is>
          <t>หมวก</t>
        </is>
      </c>
      <c r="C3808" s="1" t="inlineStr">
        <is>
          <t>gf2000106583</t>
        </is>
      </c>
      <c r="D3808" s="1" t="inlineStr">
        <is>
          <t>ADIDAS 2025 Summer Commemorative Men's Cap (Black)</t>
        </is>
      </c>
      <c r="E3808" s="1" t="inlineStr">
        <is>
          <t>ADIDAS</t>
        </is>
      </c>
      <c r="F3808" s="1" t="inlineStr">
        <is>
          <t>CAP</t>
        </is>
      </c>
      <c r="G3808" s="1" t="inlineStr">
        <is>
          <t>GF2000106583FS</t>
        </is>
      </c>
      <c r="H3808" s="1" t="n">
        <v>1</v>
      </c>
      <c r="I3808" s="1" t="inlineStr">
        <is>
          <t>มี</t>
        </is>
      </c>
      <c r="J3808" s="13" t="n">
        <v>45</v>
      </c>
      <c r="K3808" s="1" t="inlineStr"/>
      <c r="L3808" s="13" t="n">
        <v>22</v>
      </c>
      <c r="M3808" s="1">
        <f>IF(L3808="","ไม่พบใน SG",IF(ABS(J3808-L3808)&lt;0.005,"ตรงกัน","ไม่ตรง"))</f>
        <v/>
      </c>
      <c r="N3808" s="14">
        <f>IF(L3808="","",ROUND(L3808*'สรุป'!$C$6,-1))</f>
        <v/>
      </c>
      <c r="O3808" s="15" t="n"/>
      <c r="P3808" s="15" t="n"/>
      <c r="Q3808" s="10" t="n"/>
      <c r="R3808" s="10" t="n"/>
      <c r="S3808" s="16" t="inlineStr">
        <is>
          <t>https://mstgolf.co.th/products/gf2000106583</t>
        </is>
      </c>
      <c r="T3808" s="1">
        <f>IF(B3808="ไม้กอล์ฟ",J3808,"")</f>
        <v/>
      </c>
    </row>
    <row r="3809">
      <c r="A3809" s="1" t="n">
        <v>3</v>
      </c>
      <c r="B3809" s="1" t="inlineStr">
        <is>
          <t>เสื้อผ้า</t>
        </is>
      </c>
      <c r="C3809" s="1" t="inlineStr">
        <is>
          <t>gf2040118424</t>
        </is>
      </c>
      <c r="D3809" s="1" t="inlineStr">
        <is>
          <t>ADIDAS 3-Stripes AEROREADY Men's Polo (Navy)</t>
        </is>
      </c>
      <c r="E3809" s="1" t="inlineStr">
        <is>
          <t>ADIDAS</t>
        </is>
      </c>
      <c r="F3809" s="1" t="inlineStr">
        <is>
          <t>SHORT SLEEVES</t>
        </is>
      </c>
      <c r="G3809" s="1" t="inlineStr">
        <is>
          <t>GF2040118424XS</t>
        </is>
      </c>
      <c r="H3809" s="1" t="n">
        <v>7</v>
      </c>
      <c r="I3809" s="1" t="inlineStr">
        <is>
          <t>มี</t>
        </is>
      </c>
      <c r="J3809" s="13" t="n">
        <v>45</v>
      </c>
      <c r="K3809" s="1" t="inlineStr"/>
      <c r="L3809" s="13" t="n"/>
      <c r="M3809" s="1">
        <f>IF(L3809="","ไม่พบใน SG",IF(ABS(J3809-L3809)&lt;0.005,"ตรงกัน","ไม่ตรง"))</f>
        <v/>
      </c>
      <c r="N3809" s="14">
        <f>IF(L3809="","",ROUND(L3809*'สรุป'!$C$6,-1))</f>
        <v/>
      </c>
      <c r="O3809" s="15" t="n"/>
      <c r="P3809" s="15" t="n"/>
      <c r="Q3809" s="10" t="n"/>
      <c r="R3809" s="10" t="n"/>
      <c r="S3809" s="16" t="inlineStr">
        <is>
          <t>https://mstgolf.co.th/products/gf2040118424</t>
        </is>
      </c>
      <c r="T3809" s="1">
        <f>IF(B3809="ไม้กอล์ฟ",J3809,"")</f>
        <v/>
      </c>
    </row>
    <row r="3810">
      <c r="A3810" s="1" t="n">
        <v>3</v>
      </c>
      <c r="B3810" s="1" t="inlineStr">
        <is>
          <t>เสื้อผ้า</t>
        </is>
      </c>
      <c r="C3810" s="1" t="inlineStr">
        <is>
          <t>gf2040114325</t>
        </is>
      </c>
      <c r="D3810" s="1" t="inlineStr">
        <is>
          <t>ADIDAS 3-Stripes Golf Dress (White)</t>
        </is>
      </c>
      <c r="E3810" s="1" t="inlineStr">
        <is>
          <t>ADIDAS</t>
        </is>
      </c>
      <c r="F3810" s="1" t="inlineStr">
        <is>
          <t>SHORT SLEEVES</t>
        </is>
      </c>
      <c r="G3810" s="1" t="inlineStr">
        <is>
          <t>GF2040114325XS</t>
        </is>
      </c>
      <c r="H3810" s="1" t="n">
        <v>6</v>
      </c>
      <c r="I3810" s="1" t="inlineStr">
        <is>
          <t>มี</t>
        </is>
      </c>
      <c r="J3810" s="13" t="n">
        <v>45</v>
      </c>
      <c r="K3810" s="1" t="inlineStr"/>
      <c r="L3810" s="13" t="n">
        <v>45</v>
      </c>
      <c r="M3810" s="1">
        <f>IF(L3810="","ไม่พบใน SG",IF(ABS(J3810-L3810)&lt;0.005,"ตรงกัน","ไม่ตรง"))</f>
        <v/>
      </c>
      <c r="N3810" s="14">
        <f>IF(L3810="","",ROUND(L3810*'สรุป'!$C$6,-1))</f>
        <v/>
      </c>
      <c r="O3810" s="15" t="n"/>
      <c r="P3810" s="15" t="n"/>
      <c r="Q3810" s="10" t="n"/>
      <c r="R3810" s="10" t="n"/>
      <c r="S3810" s="16" t="inlineStr">
        <is>
          <t>https://mstgolf.co.th/products/gf2040114325</t>
        </is>
      </c>
      <c r="T3810" s="1">
        <f>IF(B3810="ไม้กอล์ฟ",J3810,"")</f>
        <v/>
      </c>
    </row>
    <row r="3811">
      <c r="A3811" s="1" t="n">
        <v>3</v>
      </c>
      <c r="B3811" s="1" t="inlineStr">
        <is>
          <t>เสื้อผ้า</t>
        </is>
      </c>
      <c r="C3811" s="1" t="inlineStr">
        <is>
          <t>gf2040115735</t>
        </is>
      </c>
      <c r="D3811" s="1" t="inlineStr">
        <is>
          <t>ADIDAS 3-Stripes Men's Polo (Blue Fusion)</t>
        </is>
      </c>
      <c r="E3811" s="1" t="inlineStr">
        <is>
          <t>ADIDAS</t>
        </is>
      </c>
      <c r="F3811" s="1" t="inlineStr">
        <is>
          <t>SHORT SLEEVES</t>
        </is>
      </c>
      <c r="G3811" s="1" t="inlineStr">
        <is>
          <t>GF2040115735XS</t>
        </is>
      </c>
      <c r="H3811" s="1" t="n">
        <v>6</v>
      </c>
      <c r="I3811" s="1" t="inlineStr">
        <is>
          <t>มี</t>
        </is>
      </c>
      <c r="J3811" s="13" t="n">
        <v>45</v>
      </c>
      <c r="K3811" s="1" t="inlineStr"/>
      <c r="L3811" s="13" t="n">
        <v>45</v>
      </c>
      <c r="M3811" s="1">
        <f>IF(L3811="","ไม่พบใน SG",IF(ABS(J3811-L3811)&lt;0.005,"ตรงกัน","ไม่ตรง"))</f>
        <v/>
      </c>
      <c r="N3811" s="14">
        <f>IF(L3811="","",ROUND(L3811*'สรุป'!$C$6,-1))</f>
        <v/>
      </c>
      <c r="O3811" s="15" t="n"/>
      <c r="P3811" s="15" t="n"/>
      <c r="Q3811" s="10" t="n"/>
      <c r="R3811" s="10" t="n"/>
      <c r="S3811" s="16" t="inlineStr">
        <is>
          <t>https://mstgolf.co.th/products/gf2040115735</t>
        </is>
      </c>
      <c r="T3811" s="1">
        <f>IF(B3811="ไม้กอล์ฟ",J3811,"")</f>
        <v/>
      </c>
    </row>
    <row r="3812">
      <c r="A3812" s="1" t="n">
        <v>3</v>
      </c>
      <c r="B3812" s="1" t="inlineStr">
        <is>
          <t>เสื้อผ้า</t>
        </is>
      </c>
      <c r="C3812" s="1" t="inlineStr">
        <is>
          <t>gf2040115734</t>
        </is>
      </c>
      <c r="D3812" s="1" t="inlineStr">
        <is>
          <t>ADIDAS 3-Stripes Men's Polo (White)</t>
        </is>
      </c>
      <c r="E3812" s="1" t="inlineStr">
        <is>
          <t>ADIDAS</t>
        </is>
      </c>
      <c r="F3812" s="1" t="inlineStr">
        <is>
          <t>SHORT SLEEVES</t>
        </is>
      </c>
      <c r="G3812" s="1" t="inlineStr">
        <is>
          <t>GF2040115734XS</t>
        </is>
      </c>
      <c r="H3812" s="1" t="n">
        <v>6</v>
      </c>
      <c r="I3812" s="1" t="inlineStr">
        <is>
          <t>มี</t>
        </is>
      </c>
      <c r="J3812" s="13" t="n">
        <v>45</v>
      </c>
      <c r="K3812" s="1" t="inlineStr"/>
      <c r="L3812" s="13" t="n">
        <v>45</v>
      </c>
      <c r="M3812" s="1">
        <f>IF(L3812="","ไม่พบใน SG",IF(ABS(J3812-L3812)&lt;0.005,"ตรงกัน","ไม่ตรง"))</f>
        <v/>
      </c>
      <c r="N3812" s="14">
        <f>IF(L3812="","",ROUND(L3812*'สรุป'!$C$6,-1))</f>
        <v/>
      </c>
      <c r="O3812" s="15" t="n"/>
      <c r="P3812" s="15" t="n"/>
      <c r="Q3812" s="10" t="n"/>
      <c r="R3812" s="10" t="n"/>
      <c r="S3812" s="16" t="inlineStr">
        <is>
          <t>https://mstgolf.co.th/products/gf2040115734</t>
        </is>
      </c>
      <c r="T3812" s="1">
        <f>IF(B3812="ไม้กอล์ฟ",J3812,"")</f>
        <v/>
      </c>
    </row>
    <row r="3813">
      <c r="A3813" s="1" t="n">
        <v>3</v>
      </c>
      <c r="B3813" s="1" t="inlineStr">
        <is>
          <t>หมวก</t>
        </is>
      </c>
      <c r="C3813" s="1" t="inlineStr">
        <is>
          <t>gf2000106581</t>
        </is>
      </c>
      <c r="D3813" s="1" t="inlineStr">
        <is>
          <t>ADIDAS 3-Stripes Tour Houndstooth Men's Cap (Alumina)</t>
        </is>
      </c>
      <c r="E3813" s="1" t="inlineStr">
        <is>
          <t>ADIDAS</t>
        </is>
      </c>
      <c r="F3813" s="1" t="inlineStr">
        <is>
          <t>CAP</t>
        </is>
      </c>
      <c r="G3813" s="1" t="inlineStr">
        <is>
          <t>GF2000106581FS</t>
        </is>
      </c>
      <c r="H3813" s="1" t="n">
        <v>1</v>
      </c>
      <c r="I3813" s="1" t="inlineStr">
        <is>
          <t>มี</t>
        </is>
      </c>
      <c r="J3813" s="13" t="n">
        <v>45</v>
      </c>
      <c r="K3813" s="1" t="inlineStr"/>
      <c r="L3813" s="13" t="n">
        <v>22</v>
      </c>
      <c r="M3813" s="1">
        <f>IF(L3813="","ไม่พบใน SG",IF(ABS(J3813-L3813)&lt;0.005,"ตรงกัน","ไม่ตรง"))</f>
        <v/>
      </c>
      <c r="N3813" s="14">
        <f>IF(L3813="","",ROUND(L3813*'สรุป'!$C$6,-1))</f>
        <v/>
      </c>
      <c r="O3813" s="15" t="n"/>
      <c r="P3813" s="15" t="n"/>
      <c r="Q3813" s="10" t="n"/>
      <c r="R3813" s="10" t="n"/>
      <c r="S3813" s="16" t="inlineStr">
        <is>
          <t>https://mstgolf.co.th/products/gf2000106581</t>
        </is>
      </c>
      <c r="T3813" s="1">
        <f>IF(B3813="ไม้กอล์ฟ",J3813,"")</f>
        <v/>
      </c>
    </row>
    <row r="3814">
      <c r="A3814" s="1" t="n">
        <v>3</v>
      </c>
      <c r="B3814" s="1" t="inlineStr">
        <is>
          <t>หมวก</t>
        </is>
      </c>
      <c r="C3814" s="1" t="inlineStr">
        <is>
          <t>gf2000106580</t>
        </is>
      </c>
      <c r="D3814" s="1" t="inlineStr">
        <is>
          <t>ADIDAS 3-Stripes Tour Houndstooth Men's Cap (Black)</t>
        </is>
      </c>
      <c r="E3814" s="1" t="inlineStr">
        <is>
          <t>ADIDAS</t>
        </is>
      </c>
      <c r="F3814" s="1" t="inlineStr">
        <is>
          <t>CAP</t>
        </is>
      </c>
      <c r="G3814" s="1" t="inlineStr">
        <is>
          <t>GF2000106580FS</t>
        </is>
      </c>
      <c r="H3814" s="1" t="n">
        <v>1</v>
      </c>
      <c r="I3814" s="1" t="inlineStr">
        <is>
          <t>มี</t>
        </is>
      </c>
      <c r="J3814" s="13" t="n">
        <v>45</v>
      </c>
      <c r="K3814" s="1" t="inlineStr"/>
      <c r="L3814" s="13" t="n">
        <v>22</v>
      </c>
      <c r="M3814" s="1">
        <f>IF(L3814="","ไม่พบใน SG",IF(ABS(J3814-L3814)&lt;0.005,"ตรงกัน","ไม่ตรง"))</f>
        <v/>
      </c>
      <c r="N3814" s="14">
        <f>IF(L3814="","",ROUND(L3814*'สรุป'!$C$6,-1))</f>
        <v/>
      </c>
      <c r="O3814" s="15" t="n"/>
      <c r="P3814" s="15" t="n"/>
      <c r="Q3814" s="10" t="n"/>
      <c r="R3814" s="10" t="n"/>
      <c r="S3814" s="16" t="inlineStr">
        <is>
          <t>https://mstgolf.co.th/products/gf2000106580</t>
        </is>
      </c>
      <c r="T3814" s="1">
        <f>IF(B3814="ไม้กอล์ฟ",J3814,"")</f>
        <v/>
      </c>
    </row>
    <row r="3815">
      <c r="A3815" s="1" t="n">
        <v>3</v>
      </c>
      <c r="B3815" s="1" t="inlineStr">
        <is>
          <t>หมวก</t>
        </is>
      </c>
      <c r="C3815" s="1" t="inlineStr">
        <is>
          <t>gf2000106582</t>
        </is>
      </c>
      <c r="D3815" s="1" t="inlineStr">
        <is>
          <t>ADIDAS 3-Stripes Tour Houndstooth Men's Cap (Navy)</t>
        </is>
      </c>
      <c r="E3815" s="1" t="inlineStr">
        <is>
          <t>ADIDAS</t>
        </is>
      </c>
      <c r="F3815" s="1" t="inlineStr">
        <is>
          <t>CAP</t>
        </is>
      </c>
      <c r="G3815" s="1" t="inlineStr">
        <is>
          <t>GF2000106582FS</t>
        </is>
      </c>
      <c r="H3815" s="1" t="n">
        <v>1</v>
      </c>
      <c r="I3815" s="1" t="inlineStr">
        <is>
          <t>มี</t>
        </is>
      </c>
      <c r="J3815" s="13" t="n">
        <v>45</v>
      </c>
      <c r="K3815" s="1" t="inlineStr"/>
      <c r="L3815" s="13" t="n">
        <v>22</v>
      </c>
      <c r="M3815" s="1">
        <f>IF(L3815="","ไม่พบใน SG",IF(ABS(J3815-L3815)&lt;0.005,"ตรงกัน","ไม่ตรง"))</f>
        <v/>
      </c>
      <c r="N3815" s="14">
        <f>IF(L3815="","",ROUND(L3815*'สรุป'!$C$6,-1))</f>
        <v/>
      </c>
      <c r="O3815" s="15" t="n"/>
      <c r="P3815" s="15" t="n"/>
      <c r="Q3815" s="10" t="n"/>
      <c r="R3815" s="10" t="n"/>
      <c r="S3815" s="16" t="inlineStr">
        <is>
          <t>https://mstgolf.co.th/products/gf2000106582</t>
        </is>
      </c>
      <c r="T3815" s="1">
        <f>IF(B3815="ไม้กอล์ฟ",J3815,"")</f>
        <v/>
      </c>
    </row>
    <row r="3816">
      <c r="A3816" s="1" t="n">
        <v>3</v>
      </c>
      <c r="B3816" s="1" t="inlineStr">
        <is>
          <t>หมวก</t>
        </is>
      </c>
      <c r="C3816" s="1" t="inlineStr">
        <is>
          <t>gf2000106745</t>
        </is>
      </c>
      <c r="D3816" s="1" t="inlineStr">
        <is>
          <t>ADIDAS 3-Stripes Tour Print Men's Cap (White)</t>
        </is>
      </c>
      <c r="E3816" s="1" t="inlineStr">
        <is>
          <t>ADIDAS</t>
        </is>
      </c>
      <c r="F3816" s="1" t="inlineStr">
        <is>
          <t>CAP</t>
        </is>
      </c>
      <c r="G3816" s="1" t="inlineStr">
        <is>
          <t>GF2000106745FS</t>
        </is>
      </c>
      <c r="H3816" s="1" t="n">
        <v>1</v>
      </c>
      <c r="I3816" s="1" t="inlineStr">
        <is>
          <t>มี</t>
        </is>
      </c>
      <c r="J3816" s="13" t="n">
        <v>45</v>
      </c>
      <c r="K3816" s="1" t="inlineStr"/>
      <c r="L3816" s="13" t="n">
        <v>31</v>
      </c>
      <c r="M3816" s="1">
        <f>IF(L3816="","ไม่พบใน SG",IF(ABS(J3816-L3816)&lt;0.005,"ตรงกัน","ไม่ตรง"))</f>
        <v/>
      </c>
      <c r="N3816" s="14">
        <f>IF(L3816="","",ROUND(L3816*'สรุป'!$C$6,-1))</f>
        <v/>
      </c>
      <c r="O3816" s="15" t="n"/>
      <c r="P3816" s="15" t="n"/>
      <c r="Q3816" s="10" t="n"/>
      <c r="R3816" s="10" t="n"/>
      <c r="S3816" s="16" t="inlineStr">
        <is>
          <t>https://mstgolf.co.th/products/gf2000106745</t>
        </is>
      </c>
      <c r="T3816" s="1">
        <f>IF(B3816="ไม้กอล์ฟ",J3816,"")</f>
        <v/>
      </c>
    </row>
    <row r="3817">
      <c r="A3817" s="1" t="n">
        <v>3</v>
      </c>
      <c r="B3817" s="1" t="inlineStr">
        <is>
          <t>เสื้อผ้า</t>
        </is>
      </c>
      <c r="C3817" s="1" t="inlineStr">
        <is>
          <t>gf2020102389</t>
        </is>
      </c>
      <c r="D3817" s="1" t="inlineStr">
        <is>
          <t>ADIDAS 4-Way 7/8 Stretch Women's Pants (Black)</t>
        </is>
      </c>
      <c r="E3817" s="1" t="inlineStr">
        <is>
          <t>ADIDAS</t>
        </is>
      </c>
      <c r="F3817" s="1" t="inlineStr">
        <is>
          <t>LONG PANTS</t>
        </is>
      </c>
      <c r="G3817" s="1" t="inlineStr">
        <is>
          <t>GF20201023892XS</t>
        </is>
      </c>
      <c r="H3817" s="1" t="n">
        <v>7</v>
      </c>
      <c r="I3817" s="1" t="inlineStr">
        <is>
          <t>มี</t>
        </is>
      </c>
      <c r="J3817" s="13" t="n">
        <v>45</v>
      </c>
      <c r="K3817" s="1" t="inlineStr"/>
      <c r="L3817" s="13" t="n">
        <v>45</v>
      </c>
      <c r="M3817" s="1">
        <f>IF(L3817="","ไม่พบใน SG",IF(ABS(J3817-L3817)&lt;0.005,"ตรงกัน","ไม่ตรง"))</f>
        <v/>
      </c>
      <c r="N3817" s="14">
        <f>IF(L3817="","",ROUND(L3817*'สรุป'!$C$6,-1))</f>
        <v/>
      </c>
      <c r="O3817" s="15" t="n"/>
      <c r="P3817" s="15" t="n"/>
      <c r="Q3817" s="10" t="n"/>
      <c r="R3817" s="10" t="n"/>
      <c r="S3817" s="16" t="inlineStr">
        <is>
          <t>https://mstgolf.co.th/products/gf2020102389</t>
        </is>
      </c>
      <c r="T3817" s="1">
        <f>IF(B3817="ไม้กอล์ฟ",J3817,"")</f>
        <v/>
      </c>
    </row>
    <row r="3818">
      <c r="A3818" s="1" t="n">
        <v>3</v>
      </c>
      <c r="B3818" s="1" t="inlineStr">
        <is>
          <t>เสื้อผ้า</t>
        </is>
      </c>
      <c r="C3818" s="1" t="inlineStr">
        <is>
          <t>gf2040117614</t>
        </is>
      </c>
      <c r="D3818" s="1" t="inlineStr">
        <is>
          <t>ADIDAS AEROREADY 3-Stripes Men's Short Sleeve Polo (Ink)</t>
        </is>
      </c>
      <c r="E3818" s="1" t="inlineStr">
        <is>
          <t>ADIDAS</t>
        </is>
      </c>
      <c r="F3818" s="1" t="inlineStr">
        <is>
          <t>SHORT SLEEVES</t>
        </is>
      </c>
      <c r="G3818" s="1" t="inlineStr">
        <is>
          <t>GF2040117614XS</t>
        </is>
      </c>
      <c r="H3818" s="1" t="n">
        <v>7</v>
      </c>
      <c r="I3818" s="1" t="inlineStr">
        <is>
          <t>มี</t>
        </is>
      </c>
      <c r="J3818" s="13" t="n">
        <v>45</v>
      </c>
      <c r="K3818" s="1" t="inlineStr"/>
      <c r="L3818" s="13" t="n"/>
      <c r="M3818" s="1">
        <f>IF(L3818="","ไม่พบใน SG",IF(ABS(J3818-L3818)&lt;0.005,"ตรงกัน","ไม่ตรง"))</f>
        <v/>
      </c>
      <c r="N3818" s="14">
        <f>IF(L3818="","",ROUND(L3818*'สรุป'!$C$6,-1))</f>
        <v/>
      </c>
      <c r="O3818" s="15" t="n"/>
      <c r="P3818" s="15" t="n"/>
      <c r="Q3818" s="10" t="n"/>
      <c r="R3818" s="10" t="n"/>
      <c r="S3818" s="16" t="inlineStr">
        <is>
          <t>https://mstgolf.co.th/products/gf2040117614</t>
        </is>
      </c>
      <c r="T3818" s="1">
        <f>IF(B3818="ไม้กอล์ฟ",J3818,"")</f>
        <v/>
      </c>
    </row>
    <row r="3819">
      <c r="A3819" s="1" t="n">
        <v>3</v>
      </c>
      <c r="B3819" s="1" t="inlineStr">
        <is>
          <t>เสื้อผ้า</t>
        </is>
      </c>
      <c r="C3819" s="1" t="inlineStr">
        <is>
          <t>gf2040117628</t>
        </is>
      </c>
      <c r="D3819" s="1" t="inlineStr">
        <is>
          <t>ADIDAS AEROREADY 3-Stripes Men's Short Sleeve Polo (White)</t>
        </is>
      </c>
      <c r="E3819" s="1" t="inlineStr">
        <is>
          <t>ADIDAS</t>
        </is>
      </c>
      <c r="F3819" s="1" t="inlineStr">
        <is>
          <t>SHORT SLEEVES</t>
        </is>
      </c>
      <c r="G3819" s="1" t="inlineStr">
        <is>
          <t>GF2040117628XS</t>
        </is>
      </c>
      <c r="H3819" s="1" t="n">
        <v>7</v>
      </c>
      <c r="I3819" s="1" t="inlineStr">
        <is>
          <t>มี</t>
        </is>
      </c>
      <c r="J3819" s="13" t="n">
        <v>45</v>
      </c>
      <c r="K3819" s="1" t="inlineStr"/>
      <c r="L3819" s="13" t="n">
        <v>45</v>
      </c>
      <c r="M3819" s="1">
        <f>IF(L3819="","ไม่พบใน SG",IF(ABS(J3819-L3819)&lt;0.005,"ตรงกัน","ไม่ตรง"))</f>
        <v/>
      </c>
      <c r="N3819" s="14">
        <f>IF(L3819="","",ROUND(L3819*'สรุป'!$C$6,-1))</f>
        <v/>
      </c>
      <c r="O3819" s="15" t="n"/>
      <c r="P3819" s="15" t="n"/>
      <c r="Q3819" s="10" t="n"/>
      <c r="R3819" s="10" t="n"/>
      <c r="S3819" s="16" t="inlineStr">
        <is>
          <t>https://mstgolf.co.th/products/gf2040117628</t>
        </is>
      </c>
      <c r="T3819" s="1">
        <f>IF(B3819="ไม้กอล์ฟ",J3819,"")</f>
        <v/>
      </c>
    </row>
    <row r="3820">
      <c r="A3820" s="1" t="n">
        <v>3</v>
      </c>
      <c r="B3820" s="1" t="inlineStr">
        <is>
          <t>เสื้อผ้า</t>
        </is>
      </c>
      <c r="C3820" s="1" t="inlineStr">
        <is>
          <t>gf2020202369</t>
        </is>
      </c>
      <c r="D3820" s="1" t="inlineStr">
        <is>
          <t>ADIDAS AEROREADY High-Waist 6" Women's Shorts (White)</t>
        </is>
      </c>
      <c r="E3820" s="1" t="inlineStr">
        <is>
          <t>ADIDAS</t>
        </is>
      </c>
      <c r="F3820" s="1" t="inlineStr">
        <is>
          <t>SHORT PANTS</t>
        </is>
      </c>
      <c r="G3820" s="1" t="inlineStr">
        <is>
          <t>GF2020202369XS</t>
        </is>
      </c>
      <c r="H3820" s="1" t="n">
        <v>6</v>
      </c>
      <c r="I3820" s="1" t="inlineStr">
        <is>
          <t>มี</t>
        </is>
      </c>
      <c r="J3820" s="13" t="n">
        <v>45</v>
      </c>
      <c r="K3820" s="1" t="inlineStr"/>
      <c r="L3820" s="13" t="n"/>
      <c r="M3820" s="1">
        <f>IF(L3820="","ไม่พบใน SG",IF(ABS(J3820-L3820)&lt;0.005,"ตรงกัน","ไม่ตรง"))</f>
        <v/>
      </c>
      <c r="N3820" s="14">
        <f>IF(L3820="","",ROUND(L3820*'สรุป'!$C$6,-1))</f>
        <v/>
      </c>
      <c r="O3820" s="15" t="n"/>
      <c r="P3820" s="15" t="n"/>
      <c r="Q3820" s="10" t="n"/>
      <c r="R3820" s="10" t="n"/>
      <c r="S3820" s="16" t="inlineStr">
        <is>
          <t>https://mstgolf.co.th/products/gf2020202369</t>
        </is>
      </c>
      <c r="T3820" s="1">
        <f>IF(B3820="ไม้กอล์ฟ",J3820,"")</f>
        <v/>
      </c>
    </row>
    <row r="3821">
      <c r="A3821" s="1" t="n">
        <v>3</v>
      </c>
      <c r="B3821" s="1" t="inlineStr">
        <is>
          <t>เสื้อผ้า</t>
        </is>
      </c>
      <c r="C3821" s="1" t="inlineStr">
        <is>
          <t>gf2040117647</t>
        </is>
      </c>
      <c r="D3821" s="1" t="inlineStr">
        <is>
          <t>ADIDAS AEROREADY Playgreen Monogram Women's Polo (Navy)</t>
        </is>
      </c>
      <c r="E3821" s="1" t="inlineStr">
        <is>
          <t>ADIDAS</t>
        </is>
      </c>
      <c r="F3821" s="1" t="inlineStr">
        <is>
          <t>SHORT SLEEVES</t>
        </is>
      </c>
      <c r="G3821" s="1" t="inlineStr">
        <is>
          <t>GF2040117647XS</t>
        </is>
      </c>
      <c r="H3821" s="1" t="n">
        <v>6</v>
      </c>
      <c r="I3821" s="1" t="inlineStr">
        <is>
          <t>มี</t>
        </is>
      </c>
      <c r="J3821" s="13" t="n">
        <v>45</v>
      </c>
      <c r="K3821" s="1" t="inlineStr"/>
      <c r="L3821" s="13" t="n">
        <v>45</v>
      </c>
      <c r="M3821" s="1">
        <f>IF(L3821="","ไม่พบใน SG",IF(ABS(J3821-L3821)&lt;0.005,"ตรงกัน","ไม่ตรง"))</f>
        <v/>
      </c>
      <c r="N3821" s="14">
        <f>IF(L3821="","",ROUND(L3821*'สรุป'!$C$6,-1))</f>
        <v/>
      </c>
      <c r="O3821" s="15" t="n"/>
      <c r="P3821" s="15" t="n"/>
      <c r="Q3821" s="10" t="n"/>
      <c r="R3821" s="10" t="n"/>
      <c r="S3821" s="16" t="inlineStr">
        <is>
          <t>https://mstgolf.co.th/products/gf2040117647</t>
        </is>
      </c>
      <c r="T3821" s="1">
        <f>IF(B3821="ไม้กอล์ฟ",J3821,"")</f>
        <v/>
      </c>
    </row>
    <row r="3822">
      <c r="A3822" s="1" t="n">
        <v>3</v>
      </c>
      <c r="B3822" s="1" t="inlineStr">
        <is>
          <t>เสื้อผ้า</t>
        </is>
      </c>
      <c r="C3822" s="1" t="inlineStr">
        <is>
          <t>gf2040117646</t>
        </is>
      </c>
      <c r="D3822" s="1" t="inlineStr">
        <is>
          <t>ADIDAS AEROREADY Playgreen Monogram Women's Polo (White)</t>
        </is>
      </c>
      <c r="E3822" s="1" t="inlineStr">
        <is>
          <t>ADIDAS</t>
        </is>
      </c>
      <c r="F3822" s="1" t="inlineStr">
        <is>
          <t>SHORT SLEEVES</t>
        </is>
      </c>
      <c r="G3822" s="1" t="inlineStr">
        <is>
          <t>GF2040117646XS</t>
        </is>
      </c>
      <c r="H3822" s="1" t="n">
        <v>6</v>
      </c>
      <c r="I3822" s="1" t="inlineStr">
        <is>
          <t>มี</t>
        </is>
      </c>
      <c r="J3822" s="13" t="n">
        <v>45</v>
      </c>
      <c r="K3822" s="1" t="inlineStr"/>
      <c r="L3822" s="13" t="n"/>
      <c r="M3822" s="1">
        <f>IF(L3822="","ไม่พบใน SG",IF(ABS(J3822-L3822)&lt;0.005,"ตรงกัน","ไม่ตรง"))</f>
        <v/>
      </c>
      <c r="N3822" s="14">
        <f>IF(L3822="","",ROUND(L3822*'สรุป'!$C$6,-1))</f>
        <v/>
      </c>
      <c r="O3822" s="15" t="n"/>
      <c r="P3822" s="15" t="n"/>
      <c r="Q3822" s="10" t="n"/>
      <c r="R3822" s="10" t="n"/>
      <c r="S3822" s="16" t="inlineStr">
        <is>
          <t>https://mstgolf.co.th/products/gf2040117646</t>
        </is>
      </c>
      <c r="T3822" s="1">
        <f>IF(B3822="ไม้กอล์ฟ",J3822,"")</f>
        <v/>
      </c>
    </row>
    <row r="3823">
      <c r="A3823" s="1" t="n">
        <v>3</v>
      </c>
      <c r="B3823" s="1" t="inlineStr">
        <is>
          <t>เสื้อผ้า</t>
        </is>
      </c>
      <c r="C3823" s="1" t="inlineStr">
        <is>
          <t>gf2040401169</t>
        </is>
      </c>
      <c r="D3823" s="1" t="inlineStr">
        <is>
          <t>ADIDAS AEROREADY Women’s Long Sleeve Polo (Black)</t>
        </is>
      </c>
      <c r="E3823" s="1" t="inlineStr">
        <is>
          <t>ADIDAS</t>
        </is>
      </c>
      <c r="F3823" s="1" t="inlineStr">
        <is>
          <t>LONG SLEEVES</t>
        </is>
      </c>
      <c r="G3823" s="1" t="inlineStr">
        <is>
          <t>GF2040401169XS</t>
        </is>
      </c>
      <c r="H3823" s="1" t="n">
        <v>7</v>
      </c>
      <c r="I3823" s="1" t="inlineStr">
        <is>
          <t>มี</t>
        </is>
      </c>
      <c r="J3823" s="13" t="n">
        <v>45</v>
      </c>
      <c r="K3823" s="1" t="inlineStr"/>
      <c r="L3823" s="13" t="n"/>
      <c r="M3823" s="1">
        <f>IF(L3823="","ไม่พบใน SG",IF(ABS(J3823-L3823)&lt;0.005,"ตรงกัน","ไม่ตรง"))</f>
        <v/>
      </c>
      <c r="N3823" s="14">
        <f>IF(L3823="","",ROUND(L3823*'สรุป'!$C$6,-1))</f>
        <v/>
      </c>
      <c r="O3823" s="15" t="n"/>
      <c r="P3823" s="15" t="n"/>
      <c r="Q3823" s="10" t="n"/>
      <c r="R3823" s="10" t="n"/>
      <c r="S3823" s="16" t="inlineStr">
        <is>
          <t>https://mstgolf.co.th/products/gf2040401169</t>
        </is>
      </c>
      <c r="T3823" s="1">
        <f>IF(B3823="ไม้กอล์ฟ",J3823,"")</f>
        <v/>
      </c>
    </row>
    <row r="3824">
      <c r="A3824" s="1" t="n">
        <v>3</v>
      </c>
      <c r="B3824" s="1" t="inlineStr">
        <is>
          <t>เสื้อผ้า</t>
        </is>
      </c>
      <c r="C3824" s="1" t="inlineStr">
        <is>
          <t>gf2040401170</t>
        </is>
      </c>
      <c r="D3824" s="1" t="inlineStr">
        <is>
          <t>ADIDAS AEROREADY Women’s Long Sleeve Polo (Mauve)</t>
        </is>
      </c>
      <c r="E3824" s="1" t="inlineStr">
        <is>
          <t>ADIDAS</t>
        </is>
      </c>
      <c r="F3824" s="1" t="inlineStr">
        <is>
          <t>LONG SLEEVES</t>
        </is>
      </c>
      <c r="G3824" s="1" t="inlineStr">
        <is>
          <t>GF20404011702XS</t>
        </is>
      </c>
      <c r="H3824" s="1" t="n">
        <v>7</v>
      </c>
      <c r="I3824" s="1" t="inlineStr">
        <is>
          <t>มี</t>
        </is>
      </c>
      <c r="J3824" s="13" t="n">
        <v>45</v>
      </c>
      <c r="K3824" s="1" t="inlineStr"/>
      <c r="L3824" s="13" t="n">
        <v>45</v>
      </c>
      <c r="M3824" s="1">
        <f>IF(L3824="","ไม่พบใน SG",IF(ABS(J3824-L3824)&lt;0.005,"ตรงกัน","ไม่ตรง"))</f>
        <v/>
      </c>
      <c r="N3824" s="14">
        <f>IF(L3824="","",ROUND(L3824*'สรุป'!$C$6,-1))</f>
        <v/>
      </c>
      <c r="O3824" s="15" t="n"/>
      <c r="P3824" s="15" t="n"/>
      <c r="Q3824" s="10" t="n"/>
      <c r="R3824" s="10" t="n"/>
      <c r="S3824" s="16" t="inlineStr">
        <is>
          <t>https://mstgolf.co.th/products/gf2040401170</t>
        </is>
      </c>
      <c r="T3824" s="1">
        <f>IF(B3824="ไม้กอล์ฟ",J3824,"")</f>
        <v/>
      </c>
    </row>
    <row r="3825">
      <c r="A3825" s="1" t="n">
        <v>3</v>
      </c>
      <c r="B3825" s="1" t="inlineStr">
        <is>
          <t>เสื้อผ้า</t>
        </is>
      </c>
      <c r="C3825" s="1" t="inlineStr">
        <is>
          <t>gf2040117642</t>
        </is>
      </c>
      <c r="D3825" s="1" t="inlineStr">
        <is>
          <t>ADIDAS Essential Women's Graphic Polo (Green)</t>
        </is>
      </c>
      <c r="E3825" s="1" t="inlineStr">
        <is>
          <t>ADIDAS</t>
        </is>
      </c>
      <c r="F3825" s="1" t="inlineStr">
        <is>
          <t>SHORT SLEEVES</t>
        </is>
      </c>
      <c r="G3825" s="1" t="inlineStr">
        <is>
          <t>GF2040117642XS</t>
        </is>
      </c>
      <c r="H3825" s="1" t="n">
        <v>6</v>
      </c>
      <c r="I3825" s="1" t="inlineStr">
        <is>
          <t>มี</t>
        </is>
      </c>
      <c r="J3825" s="13" t="n">
        <v>45</v>
      </c>
      <c r="K3825" s="1" t="inlineStr"/>
      <c r="L3825" s="13" t="n">
        <v>45</v>
      </c>
      <c r="M3825" s="1">
        <f>IF(L3825="","ไม่พบใน SG",IF(ABS(J3825-L3825)&lt;0.005,"ตรงกัน","ไม่ตรง"))</f>
        <v/>
      </c>
      <c r="N3825" s="14">
        <f>IF(L3825="","",ROUND(L3825*'สรุป'!$C$6,-1))</f>
        <v/>
      </c>
      <c r="O3825" s="15" t="n"/>
      <c r="P3825" s="15" t="n"/>
      <c r="Q3825" s="10" t="n"/>
      <c r="R3825" s="10" t="n"/>
      <c r="S3825" s="16" t="inlineStr">
        <is>
          <t>https://mstgolf.co.th/products/gf2040117642</t>
        </is>
      </c>
      <c r="T3825" s="1">
        <f>IF(B3825="ไม้กอล์ฟ",J3825,"")</f>
        <v/>
      </c>
    </row>
    <row r="3826">
      <c r="A3826" s="1" t="n">
        <v>3</v>
      </c>
      <c r="B3826" s="1" t="inlineStr">
        <is>
          <t>เสื้อผ้า</t>
        </is>
      </c>
      <c r="C3826" s="1" t="inlineStr">
        <is>
          <t>gf2040117641</t>
        </is>
      </c>
      <c r="D3826" s="1" t="inlineStr">
        <is>
          <t>ADIDAS Essential Women's Graphic Polo (White)</t>
        </is>
      </c>
      <c r="E3826" s="1" t="inlineStr">
        <is>
          <t>ADIDAS</t>
        </is>
      </c>
      <c r="F3826" s="1" t="inlineStr">
        <is>
          <t>SHORT SLEEVES</t>
        </is>
      </c>
      <c r="G3826" s="1" t="inlineStr">
        <is>
          <t>GF2040117641XS</t>
        </is>
      </c>
      <c r="H3826" s="1" t="n">
        <v>6</v>
      </c>
      <c r="I3826" s="1" t="inlineStr">
        <is>
          <t>มี</t>
        </is>
      </c>
      <c r="J3826" s="13" t="n">
        <v>45</v>
      </c>
      <c r="K3826" s="1" t="inlineStr"/>
      <c r="L3826" s="13" t="n">
        <v>45</v>
      </c>
      <c r="M3826" s="1">
        <f>IF(L3826="","ไม่พบใน SG",IF(ABS(J3826-L3826)&lt;0.005,"ตรงกัน","ไม่ตรง"))</f>
        <v/>
      </c>
      <c r="N3826" s="14">
        <f>IF(L3826="","",ROUND(L3826*'สรุป'!$C$6,-1))</f>
        <v/>
      </c>
      <c r="O3826" s="15" t="n"/>
      <c r="P3826" s="15" t="n"/>
      <c r="Q3826" s="10" t="n"/>
      <c r="R3826" s="10" t="n"/>
      <c r="S3826" s="16" t="inlineStr">
        <is>
          <t>https://mstgolf.co.th/products/gf2040117641</t>
        </is>
      </c>
      <c r="T3826" s="1">
        <f>IF(B3826="ไม้กอล์ฟ",J3826,"")</f>
        <v/>
      </c>
    </row>
    <row r="3827">
      <c r="A3827" s="1" t="n">
        <v>3</v>
      </c>
      <c r="B3827" s="1" t="inlineStr">
        <is>
          <t>เสื้อผ้า</t>
        </is>
      </c>
      <c r="C3827" s="1" t="inlineStr">
        <is>
          <t>gf2040115840</t>
        </is>
      </c>
      <c r="D3827" s="1" t="inlineStr">
        <is>
          <t>ADIDAS Go-To Camp Men's Shirt (College Navy)</t>
        </is>
      </c>
      <c r="E3827" s="1" t="inlineStr">
        <is>
          <t>ADIDAS</t>
        </is>
      </c>
      <c r="F3827" s="1" t="inlineStr">
        <is>
          <t>SHORT SLEEVES</t>
        </is>
      </c>
      <c r="G3827" s="1" t="inlineStr">
        <is>
          <t>GF2040115840XS</t>
        </is>
      </c>
      <c r="H3827" s="1" t="n">
        <v>7</v>
      </c>
      <c r="I3827" s="1" t="inlineStr">
        <is>
          <t>มี</t>
        </is>
      </c>
      <c r="J3827" s="13" t="n">
        <v>45</v>
      </c>
      <c r="K3827" s="1" t="inlineStr"/>
      <c r="L3827" s="13" t="n">
        <v>45</v>
      </c>
      <c r="M3827" s="1">
        <f>IF(L3827="","ไม่พบใน SG",IF(ABS(J3827-L3827)&lt;0.005,"ตรงกัน","ไม่ตรง"))</f>
        <v/>
      </c>
      <c r="N3827" s="14">
        <f>IF(L3827="","",ROUND(L3827*'สรุป'!$C$6,-1))</f>
        <v/>
      </c>
      <c r="O3827" s="15" t="n"/>
      <c r="P3827" s="15" t="n"/>
      <c r="Q3827" s="10" t="n"/>
      <c r="R3827" s="10" t="n"/>
      <c r="S3827" s="16" t="inlineStr">
        <is>
          <t>https://mstgolf.co.th/products/gf2040115840</t>
        </is>
      </c>
      <c r="T3827" s="1">
        <f>IF(B3827="ไม้กอล์ฟ",J3827,"")</f>
        <v/>
      </c>
    </row>
    <row r="3828">
      <c r="A3828" s="1" t="n">
        <v>3</v>
      </c>
      <c r="B3828" s="1" t="inlineStr">
        <is>
          <t>เสื้อผ้า</t>
        </is>
      </c>
      <c r="C3828" s="1" t="inlineStr">
        <is>
          <t>gf2040118571</t>
        </is>
      </c>
      <c r="D3828" s="1" t="inlineStr">
        <is>
          <t>ADIDAS Go-To Resort Button Down Men’s Polo (Pink)</t>
        </is>
      </c>
      <c r="E3828" s="1" t="inlineStr">
        <is>
          <t>ADIDAS</t>
        </is>
      </c>
      <c r="F3828" s="1" t="inlineStr">
        <is>
          <t>SHORT SLEEVES</t>
        </is>
      </c>
      <c r="G3828" s="1" t="inlineStr">
        <is>
          <t>GF2040118571XS</t>
        </is>
      </c>
      <c r="H3828" s="1" t="n">
        <v>7</v>
      </c>
      <c r="I3828" s="1" t="inlineStr">
        <is>
          <t>มี</t>
        </is>
      </c>
      <c r="J3828" s="13" t="n">
        <v>45</v>
      </c>
      <c r="K3828" s="1" t="inlineStr"/>
      <c r="L3828" s="13" t="n">
        <v>45</v>
      </c>
      <c r="M3828" s="1">
        <f>IF(L3828="","ไม่พบใน SG",IF(ABS(J3828-L3828)&lt;0.005,"ตรงกัน","ไม่ตรง"))</f>
        <v/>
      </c>
      <c r="N3828" s="14">
        <f>IF(L3828="","",ROUND(L3828*'สรุป'!$C$6,-1))</f>
        <v/>
      </c>
      <c r="O3828" s="15" t="n"/>
      <c r="P3828" s="15" t="n"/>
      <c r="Q3828" s="10" t="n"/>
      <c r="R3828" s="10" t="n"/>
      <c r="S3828" s="16" t="inlineStr">
        <is>
          <t>https://mstgolf.co.th/products/gf2040118571</t>
        </is>
      </c>
      <c r="T3828" s="1">
        <f>IF(B3828="ไม้กอล์ฟ",J3828,"")</f>
        <v/>
      </c>
    </row>
    <row r="3829">
      <c r="A3829" s="1" t="n">
        <v>3</v>
      </c>
      <c r="B3829" s="1" t="inlineStr">
        <is>
          <t>เสื้อผ้า</t>
        </is>
      </c>
      <c r="C3829" s="1" t="inlineStr">
        <is>
          <t>gf2040118422</t>
        </is>
      </c>
      <c r="D3829" s="1" t="inlineStr">
        <is>
          <t>ADIDAS Go-To Resort Button Down Men’s Polo (White)</t>
        </is>
      </c>
      <c r="E3829" s="1" t="inlineStr">
        <is>
          <t>ADIDAS</t>
        </is>
      </c>
      <c r="F3829" s="1" t="inlineStr">
        <is>
          <t>SHORT SLEEVES</t>
        </is>
      </c>
      <c r="G3829" s="1" t="inlineStr">
        <is>
          <t>GF2040118422XS</t>
        </is>
      </c>
      <c r="H3829" s="1" t="n">
        <v>7</v>
      </c>
      <c r="I3829" s="1" t="inlineStr">
        <is>
          <t>มี</t>
        </is>
      </c>
      <c r="J3829" s="13" t="n">
        <v>45</v>
      </c>
      <c r="K3829" s="1" t="inlineStr"/>
      <c r="L3829" s="13" t="n">
        <v>45</v>
      </c>
      <c r="M3829" s="1">
        <f>IF(L3829="","ไม่พบใน SG",IF(ABS(J3829-L3829)&lt;0.005,"ตรงกัน","ไม่ตรง"))</f>
        <v/>
      </c>
      <c r="N3829" s="14">
        <f>IF(L3829="","",ROUND(L3829*'สรุป'!$C$6,-1))</f>
        <v/>
      </c>
      <c r="O3829" s="15" t="n"/>
      <c r="P3829" s="15" t="n"/>
      <c r="Q3829" s="10" t="n"/>
      <c r="R3829" s="10" t="n"/>
      <c r="S3829" s="16" t="inlineStr">
        <is>
          <t>https://mstgolf.co.th/products/gf2040118422</t>
        </is>
      </c>
      <c r="T3829" s="1">
        <f>IF(B3829="ไม้กอล์ฟ",J3829,"")</f>
        <v/>
      </c>
    </row>
    <row r="3830">
      <c r="A3830" s="1" t="n">
        <v>3</v>
      </c>
      <c r="B3830" s="1" t="inlineStr">
        <is>
          <t>หมวก</t>
        </is>
      </c>
      <c r="C3830" s="1" t="inlineStr">
        <is>
          <t>gf2000106164</t>
        </is>
      </c>
      <c r="D3830" s="1" t="inlineStr">
        <is>
          <t>ADIDAS Graphic Flat-Brim Men's Cap (Navy)</t>
        </is>
      </c>
      <c r="E3830" s="1" t="inlineStr">
        <is>
          <t>ADIDAS</t>
        </is>
      </c>
      <c r="F3830" s="1" t="inlineStr">
        <is>
          <t>CAP</t>
        </is>
      </c>
      <c r="G3830" s="1" t="inlineStr">
        <is>
          <t>GF2000106164FS</t>
        </is>
      </c>
      <c r="H3830" s="1" t="n">
        <v>1</v>
      </c>
      <c r="I3830" s="1" t="inlineStr">
        <is>
          <t>มี</t>
        </is>
      </c>
      <c r="J3830" s="13" t="n">
        <v>45</v>
      </c>
      <c r="K3830" s="1" t="inlineStr"/>
      <c r="L3830" s="13" t="n">
        <v>21</v>
      </c>
      <c r="M3830" s="1">
        <f>IF(L3830="","ไม่พบใน SG",IF(ABS(J3830-L3830)&lt;0.005,"ตรงกัน","ไม่ตรง"))</f>
        <v/>
      </c>
      <c r="N3830" s="14">
        <f>IF(L3830="","",ROUND(L3830*'สรุป'!$C$6,-1))</f>
        <v/>
      </c>
      <c r="O3830" s="15" t="n"/>
      <c r="P3830" s="15" t="n"/>
      <c r="Q3830" s="10" t="n"/>
      <c r="R3830" s="10" t="n"/>
      <c r="S3830" s="16" t="inlineStr">
        <is>
          <t>https://mstgolf.co.th/products/gf2000106164</t>
        </is>
      </c>
      <c r="T3830" s="1">
        <f>IF(B3830="ไม้กอล์ฟ",J3830,"")</f>
        <v/>
      </c>
    </row>
    <row r="3831">
      <c r="A3831" s="1" t="n">
        <v>3</v>
      </c>
      <c r="B3831" s="1" t="inlineStr">
        <is>
          <t>หมวก</t>
        </is>
      </c>
      <c r="C3831" s="1" t="inlineStr">
        <is>
          <t>gf2000106163</t>
        </is>
      </c>
      <c r="D3831" s="1" t="inlineStr">
        <is>
          <t>ADIDAS Graphic Men's Cap (Black)</t>
        </is>
      </c>
      <c r="E3831" s="1" t="inlineStr">
        <is>
          <t>ADIDAS</t>
        </is>
      </c>
      <c r="F3831" s="1" t="inlineStr">
        <is>
          <t>CAP</t>
        </is>
      </c>
      <c r="G3831" s="1" t="inlineStr">
        <is>
          <t>GF2000106163FS</t>
        </is>
      </c>
      <c r="H3831" s="1" t="n">
        <v>1</v>
      </c>
      <c r="I3831" s="1" t="inlineStr">
        <is>
          <t>มี</t>
        </is>
      </c>
      <c r="J3831" s="13" t="n">
        <v>45</v>
      </c>
      <c r="K3831" s="1" t="inlineStr"/>
      <c r="L3831" s="13" t="n">
        <v>21</v>
      </c>
      <c r="M3831" s="1">
        <f>IF(L3831="","ไม่พบใน SG",IF(ABS(J3831-L3831)&lt;0.005,"ตรงกัน","ไม่ตรง"))</f>
        <v/>
      </c>
      <c r="N3831" s="14">
        <f>IF(L3831="","",ROUND(L3831*'สรุป'!$C$6,-1))</f>
        <v/>
      </c>
      <c r="O3831" s="15" t="n"/>
      <c r="P3831" s="15" t="n"/>
      <c r="Q3831" s="10" t="n"/>
      <c r="R3831" s="10" t="n"/>
      <c r="S3831" s="16" t="inlineStr">
        <is>
          <t>https://mstgolf.co.th/products/gf2000106163</t>
        </is>
      </c>
      <c r="T3831" s="1">
        <f>IF(B3831="ไม้กอล์ฟ",J3831,"")</f>
        <v/>
      </c>
    </row>
    <row r="3832">
      <c r="A3832" s="1" t="n">
        <v>3</v>
      </c>
      <c r="B3832" s="1" t="inlineStr">
        <is>
          <t>หมวก</t>
        </is>
      </c>
      <c r="C3832" s="1" t="inlineStr">
        <is>
          <t>gf2000106162</t>
        </is>
      </c>
      <c r="D3832" s="1" t="inlineStr">
        <is>
          <t>ADIDAS Graphic Men's Cap (White)</t>
        </is>
      </c>
      <c r="E3832" s="1" t="inlineStr">
        <is>
          <t>ADIDAS</t>
        </is>
      </c>
      <c r="F3832" s="1" t="inlineStr">
        <is>
          <t>CAP</t>
        </is>
      </c>
      <c r="G3832" s="1" t="inlineStr">
        <is>
          <t>GF2000106162FS</t>
        </is>
      </c>
      <c r="H3832" s="1" t="n">
        <v>1</v>
      </c>
      <c r="I3832" s="1" t="inlineStr">
        <is>
          <t>มี</t>
        </is>
      </c>
      <c r="J3832" s="13" t="n">
        <v>45</v>
      </c>
      <c r="K3832" s="1" t="inlineStr"/>
      <c r="L3832" s="13" t="n">
        <v>21</v>
      </c>
      <c r="M3832" s="1">
        <f>IF(L3832="","ไม่พบใน SG",IF(ABS(J3832-L3832)&lt;0.005,"ตรงกัน","ไม่ตรง"))</f>
        <v/>
      </c>
      <c r="N3832" s="14">
        <f>IF(L3832="","",ROUND(L3832*'สรุป'!$C$6,-1))</f>
        <v/>
      </c>
      <c r="O3832" s="15" t="n"/>
      <c r="P3832" s="15" t="n"/>
      <c r="Q3832" s="10" t="n"/>
      <c r="R3832" s="10" t="n"/>
      <c r="S3832" s="16" t="inlineStr">
        <is>
          <t>https://mstgolf.co.th/products/gf2000106162</t>
        </is>
      </c>
      <c r="T3832" s="1">
        <f>IF(B3832="ไม้กอล์ฟ",J3832,"")</f>
        <v/>
      </c>
    </row>
    <row r="3833">
      <c r="A3833" s="1" t="n">
        <v>3</v>
      </c>
      <c r="B3833" s="1" t="inlineStr">
        <is>
          <t>เสื้อผ้า</t>
        </is>
      </c>
      <c r="C3833" s="1" t="inlineStr">
        <is>
          <t>gf2040116570</t>
        </is>
      </c>
      <c r="D3833" s="1" t="inlineStr">
        <is>
          <t>ADIDAS HEAT.RDY 3-STRP POLO</t>
        </is>
      </c>
      <c r="E3833" s="1" t="inlineStr">
        <is>
          <t>ADIDAS</t>
        </is>
      </c>
      <c r="F3833" s="1" t="inlineStr">
        <is>
          <t>SHORT SLEEVES</t>
        </is>
      </c>
      <c r="G3833" s="1" t="inlineStr">
        <is>
          <t>GF2040116570XS</t>
        </is>
      </c>
      <c r="H3833" s="1" t="n">
        <v>7</v>
      </c>
      <c r="I3833" s="1" t="inlineStr">
        <is>
          <t>มี</t>
        </is>
      </c>
      <c r="J3833" s="13" t="n">
        <v>45</v>
      </c>
      <c r="K3833" s="1" t="inlineStr"/>
      <c r="L3833" s="13" t="n">
        <v>45</v>
      </c>
      <c r="M3833" s="1">
        <f>IF(L3833="","ไม่พบใน SG",IF(ABS(J3833-L3833)&lt;0.005,"ตรงกัน","ไม่ตรง"))</f>
        <v/>
      </c>
      <c r="N3833" s="14">
        <f>IF(L3833="","",ROUND(L3833*'สรุป'!$C$6,-1))</f>
        <v/>
      </c>
      <c r="O3833" s="15" t="n"/>
      <c r="P3833" s="15" t="n"/>
      <c r="Q3833" s="10" t="n"/>
      <c r="R3833" s="10" t="n"/>
      <c r="S3833" s="16" t="inlineStr">
        <is>
          <t>https://mstgolf.co.th/products/gf2040116570</t>
        </is>
      </c>
      <c r="T3833" s="1">
        <f>IF(B3833="ไม้กอล์ฟ",J3833,"")</f>
        <v/>
      </c>
    </row>
    <row r="3834">
      <c r="A3834" s="1" t="n">
        <v>3</v>
      </c>
      <c r="B3834" s="1" t="inlineStr">
        <is>
          <t>เสื้อผ้า</t>
        </is>
      </c>
      <c r="C3834" s="1" t="inlineStr">
        <is>
          <t>gf2040116432</t>
        </is>
      </c>
      <c r="D3834" s="1" t="inlineStr">
        <is>
          <t>ADIDAS HEAT.RDY 3-Stripes Men's Polo (Clay)</t>
        </is>
      </c>
      <c r="E3834" s="1" t="inlineStr">
        <is>
          <t>ADIDAS</t>
        </is>
      </c>
      <c r="F3834" s="1" t="inlineStr">
        <is>
          <t>SHORT SLEEVES</t>
        </is>
      </c>
      <c r="G3834" s="1" t="inlineStr">
        <is>
          <t>GF2040116432XS</t>
        </is>
      </c>
      <c r="H3834" s="1" t="n">
        <v>7</v>
      </c>
      <c r="I3834" s="1" t="inlineStr">
        <is>
          <t>มี</t>
        </is>
      </c>
      <c r="J3834" s="13" t="n">
        <v>45</v>
      </c>
      <c r="K3834" s="1" t="inlineStr"/>
      <c r="L3834" s="13" t="n">
        <v>45</v>
      </c>
      <c r="M3834" s="1">
        <f>IF(L3834="","ไม่พบใน SG",IF(ABS(J3834-L3834)&lt;0.005,"ตรงกัน","ไม่ตรง"))</f>
        <v/>
      </c>
      <c r="N3834" s="14">
        <f>IF(L3834="","",ROUND(L3834*'สรุป'!$C$6,-1))</f>
        <v/>
      </c>
      <c r="O3834" s="15" t="n"/>
      <c r="P3834" s="15" t="n"/>
      <c r="Q3834" s="10" t="n"/>
      <c r="R3834" s="10" t="n"/>
      <c r="S3834" s="16" t="inlineStr">
        <is>
          <t>https://mstgolf.co.th/products/gf2040116432</t>
        </is>
      </c>
      <c r="T3834" s="1">
        <f>IF(B3834="ไม้กอล์ฟ",J3834,"")</f>
        <v/>
      </c>
    </row>
    <row r="3835">
      <c r="A3835" s="1" t="n">
        <v>3</v>
      </c>
      <c r="B3835" s="1" t="inlineStr">
        <is>
          <t>เสื้อผ้า</t>
        </is>
      </c>
      <c r="C3835" s="1" t="inlineStr">
        <is>
          <t>gf2020202224</t>
        </is>
      </c>
      <c r="D3835" s="1" t="inlineStr">
        <is>
          <t>ADIDAS HEAT.RDY Golf Men's Shorts (Artic)</t>
        </is>
      </c>
      <c r="E3835" s="1" t="inlineStr">
        <is>
          <t>ADIDAS</t>
        </is>
      </c>
      <c r="F3835" s="1" t="inlineStr">
        <is>
          <t>SHORT PANTS</t>
        </is>
      </c>
      <c r="G3835" s="1" t="inlineStr">
        <is>
          <t>GF2020202224XS</t>
        </is>
      </c>
      <c r="H3835" s="1" t="n">
        <v>6</v>
      </c>
      <c r="I3835" s="1" t="inlineStr">
        <is>
          <t>มี</t>
        </is>
      </c>
      <c r="J3835" s="13" t="n">
        <v>45</v>
      </c>
      <c r="K3835" s="1" t="inlineStr"/>
      <c r="L3835" s="13" t="n">
        <v>45</v>
      </c>
      <c r="M3835" s="1">
        <f>IF(L3835="","ไม่พบใน SG",IF(ABS(J3835-L3835)&lt;0.005,"ตรงกัน","ไม่ตรง"))</f>
        <v/>
      </c>
      <c r="N3835" s="14">
        <f>IF(L3835="","",ROUND(L3835*'สรุป'!$C$6,-1))</f>
        <v/>
      </c>
      <c r="O3835" s="15" t="n"/>
      <c r="P3835" s="15" t="n"/>
      <c r="Q3835" s="10" t="n"/>
      <c r="R3835" s="10" t="n"/>
      <c r="S3835" s="16" t="inlineStr">
        <is>
          <t>https://mstgolf.co.th/products/gf2020202224</t>
        </is>
      </c>
      <c r="T3835" s="1">
        <f>IF(B3835="ไม้กอล์ฟ",J3835,"")</f>
        <v/>
      </c>
    </row>
    <row r="3836">
      <c r="A3836" s="1" t="n">
        <v>3</v>
      </c>
      <c r="B3836" s="1" t="inlineStr">
        <is>
          <t>เสื้อผ้า</t>
        </is>
      </c>
      <c r="C3836" s="1" t="inlineStr">
        <is>
          <t>gf2020202225</t>
        </is>
      </c>
      <c r="D3836" s="1" t="inlineStr">
        <is>
          <t>ADIDAS HEAT.RDY Golf Men's Shorts (Base Green)</t>
        </is>
      </c>
      <c r="E3836" s="1" t="inlineStr">
        <is>
          <t>ADIDAS</t>
        </is>
      </c>
      <c r="F3836" s="1" t="inlineStr">
        <is>
          <t>SHORT PANTS</t>
        </is>
      </c>
      <c r="G3836" s="1" t="inlineStr">
        <is>
          <t>GF2020202225XS</t>
        </is>
      </c>
      <c r="H3836" s="1" t="n">
        <v>6</v>
      </c>
      <c r="I3836" s="1" t="inlineStr">
        <is>
          <t>มี</t>
        </is>
      </c>
      <c r="J3836" s="13" t="n">
        <v>45</v>
      </c>
      <c r="K3836" s="1" t="inlineStr"/>
      <c r="L3836" s="13" t="n">
        <v>45</v>
      </c>
      <c r="M3836" s="1">
        <f>IF(L3836="","ไม่พบใน SG",IF(ABS(J3836-L3836)&lt;0.005,"ตรงกัน","ไม่ตรง"))</f>
        <v/>
      </c>
      <c r="N3836" s="14">
        <f>IF(L3836="","",ROUND(L3836*'สรุป'!$C$6,-1))</f>
        <v/>
      </c>
      <c r="O3836" s="15" t="n"/>
      <c r="P3836" s="15" t="n"/>
      <c r="Q3836" s="10" t="n"/>
      <c r="R3836" s="10" t="n"/>
      <c r="S3836" s="16" t="inlineStr">
        <is>
          <t>https://mstgolf.co.th/products/gf2020202225</t>
        </is>
      </c>
      <c r="T3836" s="1">
        <f>IF(B3836="ไม้กอล์ฟ",J3836,"")</f>
        <v/>
      </c>
    </row>
    <row r="3837">
      <c r="A3837" s="1" t="n">
        <v>3</v>
      </c>
      <c r="B3837" s="1" t="inlineStr">
        <is>
          <t>เสื้อผ้า</t>
        </is>
      </c>
      <c r="C3837" s="1" t="inlineStr">
        <is>
          <t>gf2040116512</t>
        </is>
      </c>
      <c r="D3837" s="1" t="inlineStr">
        <is>
          <t>ADIDAS HEAT.RDY Men's Polo (White)</t>
        </is>
      </c>
      <c r="E3837" s="1" t="inlineStr">
        <is>
          <t>ADIDAS</t>
        </is>
      </c>
      <c r="F3837" s="1" t="inlineStr">
        <is>
          <t>SHORT SLEEVES</t>
        </is>
      </c>
      <c r="G3837" s="1" t="inlineStr">
        <is>
          <t>GF2040116512XS</t>
        </is>
      </c>
      <c r="H3837" s="1" t="n">
        <v>7</v>
      </c>
      <c r="I3837" s="1" t="inlineStr">
        <is>
          <t>มี</t>
        </is>
      </c>
      <c r="J3837" s="13" t="n">
        <v>45</v>
      </c>
      <c r="K3837" s="1" t="inlineStr"/>
      <c r="L3837" s="13" t="n">
        <v>45</v>
      </c>
      <c r="M3837" s="1">
        <f>IF(L3837="","ไม่พบใน SG",IF(ABS(J3837-L3837)&lt;0.005,"ตรงกัน","ไม่ตรง"))</f>
        <v/>
      </c>
      <c r="N3837" s="14">
        <f>IF(L3837="","",ROUND(L3837*'สรุป'!$C$6,-1))</f>
        <v/>
      </c>
      <c r="O3837" s="15" t="n"/>
      <c r="P3837" s="15" t="n"/>
      <c r="Q3837" s="10" t="n"/>
      <c r="R3837" s="10" t="n"/>
      <c r="S3837" s="16" t="inlineStr">
        <is>
          <t>https://mstgolf.co.th/products/gf2040116512</t>
        </is>
      </c>
      <c r="T3837" s="1">
        <f>IF(B3837="ไม้กอล์ฟ",J3837,"")</f>
        <v/>
      </c>
    </row>
    <row r="3838">
      <c r="A3838" s="1" t="n">
        <v>3</v>
      </c>
      <c r="B3838" s="1" t="inlineStr">
        <is>
          <t>หมวก</t>
        </is>
      </c>
      <c r="C3838" s="1" t="inlineStr">
        <is>
          <t>gf2000106578</t>
        </is>
      </c>
      <c r="D3838" s="1" t="inlineStr">
        <is>
          <t>ADIDAS Hydrophobic 2.0 Tour Men's Cap (Beige)</t>
        </is>
      </c>
      <c r="E3838" s="1" t="inlineStr">
        <is>
          <t>ADIDAS</t>
        </is>
      </c>
      <c r="F3838" s="1" t="inlineStr">
        <is>
          <t>CAP</t>
        </is>
      </c>
      <c r="G3838" s="1" t="inlineStr">
        <is>
          <t>GF2000106578FS</t>
        </is>
      </c>
      <c r="H3838" s="1" t="n">
        <v>1</v>
      </c>
      <c r="I3838" s="1" t="inlineStr">
        <is>
          <t>มี</t>
        </is>
      </c>
      <c r="J3838" s="13" t="n">
        <v>45</v>
      </c>
      <c r="K3838" s="1" t="inlineStr"/>
      <c r="L3838" s="13" t="n">
        <v>22</v>
      </c>
      <c r="M3838" s="1">
        <f>IF(L3838="","ไม่พบใน SG",IF(ABS(J3838-L3838)&lt;0.005,"ตรงกัน","ไม่ตรง"))</f>
        <v/>
      </c>
      <c r="N3838" s="14">
        <f>IF(L3838="","",ROUND(L3838*'สรุป'!$C$6,-1))</f>
        <v/>
      </c>
      <c r="O3838" s="15" t="n"/>
      <c r="P3838" s="15" t="n"/>
      <c r="Q3838" s="10" t="n"/>
      <c r="R3838" s="10" t="n"/>
      <c r="S3838" s="16" t="inlineStr">
        <is>
          <t>https://mstgolf.co.th/products/gf2000106578</t>
        </is>
      </c>
      <c r="T3838" s="1">
        <f>IF(B3838="ไม้กอล์ฟ",J3838,"")</f>
        <v/>
      </c>
    </row>
    <row r="3839">
      <c r="A3839" s="1" t="n">
        <v>3</v>
      </c>
      <c r="B3839" s="1" t="inlineStr">
        <is>
          <t>หมวก</t>
        </is>
      </c>
      <c r="C3839" s="1" t="inlineStr">
        <is>
          <t>gf2000106157</t>
        </is>
      </c>
      <c r="D3839" s="1" t="inlineStr">
        <is>
          <t>ADIDAS Hydrophobic 2.0 Tour Men's Cap (Black)</t>
        </is>
      </c>
      <c r="E3839" s="1" t="inlineStr">
        <is>
          <t>ADIDAS</t>
        </is>
      </c>
      <c r="F3839" s="1" t="inlineStr">
        <is>
          <t>CAP</t>
        </is>
      </c>
      <c r="G3839" s="1" t="inlineStr">
        <is>
          <t>GF2000106157FS</t>
        </is>
      </c>
      <c r="H3839" s="1" t="n">
        <v>1</v>
      </c>
      <c r="I3839" s="1" t="inlineStr">
        <is>
          <t>มี</t>
        </is>
      </c>
      <c r="J3839" s="13" t="n">
        <v>45</v>
      </c>
      <c r="K3839" s="1" t="inlineStr"/>
      <c r="L3839" s="13" t="n"/>
      <c r="M3839" s="1">
        <f>IF(L3839="","ไม่พบใน SG",IF(ABS(J3839-L3839)&lt;0.005,"ตรงกัน","ไม่ตรง"))</f>
        <v/>
      </c>
      <c r="N3839" s="14">
        <f>IF(L3839="","",ROUND(L3839*'สรุป'!$C$6,-1))</f>
        <v/>
      </c>
      <c r="O3839" s="15" t="n"/>
      <c r="P3839" s="15" t="n"/>
      <c r="Q3839" s="10" t="n"/>
      <c r="R3839" s="10" t="n"/>
      <c r="S3839" s="16" t="inlineStr">
        <is>
          <t>https://mstgolf.co.th/products/gf2000106157</t>
        </is>
      </c>
      <c r="T3839" s="1">
        <f>IF(B3839="ไม้กอล์ฟ",J3839,"")</f>
        <v/>
      </c>
    </row>
    <row r="3840">
      <c r="A3840" s="1" t="n">
        <v>3</v>
      </c>
      <c r="B3840" s="1" t="inlineStr">
        <is>
          <t>หมวก</t>
        </is>
      </c>
      <c r="C3840" s="1" t="inlineStr">
        <is>
          <t>gf2000106577</t>
        </is>
      </c>
      <c r="D3840" s="1" t="inlineStr">
        <is>
          <t>ADIDAS Hydrophobic 2.0 Tour Men's Cap (Navy)</t>
        </is>
      </c>
      <c r="E3840" s="1" t="inlineStr">
        <is>
          <t>ADIDAS</t>
        </is>
      </c>
      <c r="F3840" s="1" t="inlineStr">
        <is>
          <t>CAP</t>
        </is>
      </c>
      <c r="G3840" s="1" t="inlineStr">
        <is>
          <t>GF2000106577FS</t>
        </is>
      </c>
      <c r="H3840" s="1" t="n">
        <v>1</v>
      </c>
      <c r="I3840" s="1" t="inlineStr">
        <is>
          <t>มี</t>
        </is>
      </c>
      <c r="J3840" s="13" t="n">
        <v>45</v>
      </c>
      <c r="K3840" s="1" t="inlineStr"/>
      <c r="L3840" s="13" t="n">
        <v>22</v>
      </c>
      <c r="M3840" s="1">
        <f>IF(L3840="","ไม่พบใน SG",IF(ABS(J3840-L3840)&lt;0.005,"ตรงกัน","ไม่ตรง"))</f>
        <v/>
      </c>
      <c r="N3840" s="14">
        <f>IF(L3840="","",ROUND(L3840*'สรุป'!$C$6,-1))</f>
        <v/>
      </c>
      <c r="O3840" s="15" t="n"/>
      <c r="P3840" s="15" t="n"/>
      <c r="Q3840" s="10" t="n"/>
      <c r="R3840" s="10" t="n"/>
      <c r="S3840" s="16" t="inlineStr">
        <is>
          <t>https://mstgolf.co.th/products/gf2000106577</t>
        </is>
      </c>
      <c r="T3840" s="1">
        <f>IF(B3840="ไม้กอล์ฟ",J3840,"")</f>
        <v/>
      </c>
    </row>
    <row r="3841">
      <c r="A3841" s="1" t="n">
        <v>3</v>
      </c>
      <c r="B3841" s="1" t="inlineStr">
        <is>
          <t>หมวก</t>
        </is>
      </c>
      <c r="C3841" s="1" t="inlineStr">
        <is>
          <t>gf2000106579</t>
        </is>
      </c>
      <c r="D3841" s="1" t="inlineStr">
        <is>
          <t>ADIDAS Hydrophobic 2.0 Tour Men's Cap (White)</t>
        </is>
      </c>
      <c r="E3841" s="1" t="inlineStr">
        <is>
          <t>ADIDAS</t>
        </is>
      </c>
      <c r="F3841" s="1" t="inlineStr">
        <is>
          <t>CAP</t>
        </is>
      </c>
      <c r="G3841" s="1" t="inlineStr">
        <is>
          <t>GF2000106579FS</t>
        </is>
      </c>
      <c r="H3841" s="1" t="n">
        <v>1</v>
      </c>
      <c r="I3841" s="1" t="inlineStr">
        <is>
          <t>มี</t>
        </is>
      </c>
      <c r="J3841" s="13" t="n">
        <v>45</v>
      </c>
      <c r="K3841" s="1" t="inlineStr"/>
      <c r="L3841" s="13" t="n">
        <v>29</v>
      </c>
      <c r="M3841" s="1">
        <f>IF(L3841="","ไม่พบใน SG",IF(ABS(J3841-L3841)&lt;0.005,"ตรงกัน","ไม่ตรง"))</f>
        <v/>
      </c>
      <c r="N3841" s="14">
        <f>IF(L3841="","",ROUND(L3841*'สรุป'!$C$6,-1))</f>
        <v/>
      </c>
      <c r="O3841" s="15" t="n"/>
      <c r="P3841" s="15" t="n"/>
      <c r="Q3841" s="10" t="n"/>
      <c r="R3841" s="10" t="n"/>
      <c r="S3841" s="16" t="inlineStr">
        <is>
          <t>https://mstgolf.co.th/products/gf2000106579</t>
        </is>
      </c>
      <c r="T3841" s="1">
        <f>IF(B3841="ไม้กอล์ฟ",J3841,"")</f>
        <v/>
      </c>
    </row>
    <row r="3842">
      <c r="A3842" s="1" t="n">
        <v>3</v>
      </c>
      <c r="B3842" s="1" t="inlineStr">
        <is>
          <t>เสื้อผ้า</t>
        </is>
      </c>
      <c r="C3842" s="1" t="inlineStr">
        <is>
          <t>gf2020202151</t>
        </is>
      </c>
      <c r="D3842" s="1" t="inlineStr">
        <is>
          <t>ADIDAS PLAY GRN WMN SKORT</t>
        </is>
      </c>
      <c r="E3842" s="1" t="inlineStr">
        <is>
          <t>ADIDAS</t>
        </is>
      </c>
      <c r="F3842" s="1" t="inlineStr">
        <is>
          <t>SHORT PANTS</t>
        </is>
      </c>
      <c r="G3842" s="1" t="inlineStr">
        <is>
          <t>GF2020202151XS</t>
        </is>
      </c>
      <c r="H3842" s="1" t="n">
        <v>6</v>
      </c>
      <c r="I3842" s="1" t="inlineStr">
        <is>
          <t>มี</t>
        </is>
      </c>
      <c r="J3842" s="13" t="n">
        <v>45</v>
      </c>
      <c r="K3842" s="1" t="inlineStr"/>
      <c r="L3842" s="13" t="n">
        <v>45</v>
      </c>
      <c r="M3842" s="1">
        <f>IF(L3842="","ไม่พบใน SG",IF(ABS(J3842-L3842)&lt;0.005,"ตรงกัน","ไม่ตรง"))</f>
        <v/>
      </c>
      <c r="N3842" s="14">
        <f>IF(L3842="","",ROUND(L3842*'สรุป'!$C$6,-1))</f>
        <v/>
      </c>
      <c r="O3842" s="15" t="n"/>
      <c r="P3842" s="15" t="n"/>
      <c r="Q3842" s="10" t="n"/>
      <c r="R3842" s="10" t="n"/>
      <c r="S3842" s="16" t="inlineStr">
        <is>
          <t>https://mstgolf.co.th/products/gf2020202151</t>
        </is>
      </c>
      <c r="T3842" s="1">
        <f>IF(B3842="ไม้กอล์ฟ",J3842,"")</f>
        <v/>
      </c>
    </row>
    <row r="3843">
      <c r="A3843" s="1" t="n">
        <v>3</v>
      </c>
      <c r="B3843" s="1" t="inlineStr">
        <is>
          <t>หมวก</t>
        </is>
      </c>
      <c r="C3843" s="1" t="inlineStr">
        <is>
          <t>gf2000106178</t>
        </is>
      </c>
      <c r="D3843" s="1" t="inlineStr">
        <is>
          <t>ADIDAS Ribbon Women's Cap (White)</t>
        </is>
      </c>
      <c r="E3843" s="1" t="inlineStr">
        <is>
          <t>ADIDAS</t>
        </is>
      </c>
      <c r="F3843" s="1" t="inlineStr">
        <is>
          <t>CAP</t>
        </is>
      </c>
      <c r="G3843" s="1" t="inlineStr">
        <is>
          <t>GF2000106178FS</t>
        </is>
      </c>
      <c r="H3843" s="1" t="n">
        <v>1</v>
      </c>
      <c r="I3843" s="1" t="inlineStr">
        <is>
          <t>มี</t>
        </is>
      </c>
      <c r="J3843" s="13" t="n">
        <v>45</v>
      </c>
      <c r="K3843" s="1" t="inlineStr"/>
      <c r="L3843" s="13" t="n">
        <v>21</v>
      </c>
      <c r="M3843" s="1">
        <f>IF(L3843="","ไม่พบใน SG",IF(ABS(J3843-L3843)&lt;0.005,"ตรงกัน","ไม่ตรง"))</f>
        <v/>
      </c>
      <c r="N3843" s="14">
        <f>IF(L3843="","",ROUND(L3843*'สรุป'!$C$6,-1))</f>
        <v/>
      </c>
      <c r="O3843" s="15" t="n"/>
      <c r="P3843" s="15" t="n"/>
      <c r="Q3843" s="10" t="n"/>
      <c r="R3843" s="10" t="n"/>
      <c r="S3843" s="16" t="inlineStr">
        <is>
          <t>https://mstgolf.co.th/products/gf2000106178</t>
        </is>
      </c>
      <c r="T3843" s="1">
        <f>IF(B3843="ไม้กอล์ฟ",J3843,"")</f>
        <v/>
      </c>
    </row>
    <row r="3844">
      <c r="A3844" s="1" t="n">
        <v>3</v>
      </c>
      <c r="B3844" s="1" t="inlineStr">
        <is>
          <t>หมวก</t>
        </is>
      </c>
      <c r="C3844" s="1" t="inlineStr">
        <is>
          <t>gf2000201028</t>
        </is>
      </c>
      <c r="D3844" s="1" t="inlineStr">
        <is>
          <t>ADIDAS Ribbon Women's Visor (Powder Coral)</t>
        </is>
      </c>
      <c r="E3844" s="1" t="inlineStr">
        <is>
          <t>ADIDAS</t>
        </is>
      </c>
      <c r="F3844" s="1" t="inlineStr">
        <is>
          <t>VISOR</t>
        </is>
      </c>
      <c r="G3844" s="1" t="inlineStr">
        <is>
          <t>GF2000201028FS</t>
        </is>
      </c>
      <c r="H3844" s="1" t="n">
        <v>1</v>
      </c>
      <c r="I3844" s="1" t="inlineStr">
        <is>
          <t>มี</t>
        </is>
      </c>
      <c r="J3844" s="13" t="n">
        <v>45</v>
      </c>
      <c r="K3844" s="1" t="inlineStr"/>
      <c r="L3844" s="13" t="n">
        <v>21</v>
      </c>
      <c r="M3844" s="1">
        <f>IF(L3844="","ไม่พบใน SG",IF(ABS(J3844-L3844)&lt;0.005,"ตรงกัน","ไม่ตรง"))</f>
        <v/>
      </c>
      <c r="N3844" s="14">
        <f>IF(L3844="","",ROUND(L3844*'สรุป'!$C$6,-1))</f>
        <v/>
      </c>
      <c r="O3844" s="15" t="n"/>
      <c r="P3844" s="15" t="n"/>
      <c r="Q3844" s="10" t="n"/>
      <c r="R3844" s="10" t="n"/>
      <c r="S3844" s="16" t="inlineStr">
        <is>
          <t>https://mstgolf.co.th/products/gf2000201028</t>
        </is>
      </c>
      <c r="T3844" s="1">
        <f>IF(B3844="ไม้กอล์ฟ",J3844,"")</f>
        <v/>
      </c>
    </row>
    <row r="3845">
      <c r="A3845" s="1" t="n">
        <v>3</v>
      </c>
      <c r="B3845" s="1" t="inlineStr">
        <is>
          <t>หมวก</t>
        </is>
      </c>
      <c r="C3845" s="1" t="inlineStr">
        <is>
          <t>gf2000106161</t>
        </is>
      </c>
      <c r="D3845" s="1" t="inlineStr">
        <is>
          <t>ADIDAS Tour 3-Stripes Print Men's Cap (Black)</t>
        </is>
      </c>
      <c r="E3845" s="1" t="inlineStr">
        <is>
          <t>ADIDAS</t>
        </is>
      </c>
      <c r="F3845" s="1" t="inlineStr">
        <is>
          <t>CAP</t>
        </is>
      </c>
      <c r="G3845" s="1" t="inlineStr">
        <is>
          <t>GF2000106161FS</t>
        </is>
      </c>
      <c r="H3845" s="1" t="n">
        <v>1</v>
      </c>
      <c r="I3845" s="1" t="inlineStr">
        <is>
          <t>มี</t>
        </is>
      </c>
      <c r="J3845" s="13" t="n">
        <v>45</v>
      </c>
      <c r="K3845" s="1" t="inlineStr"/>
      <c r="L3845" s="13" t="n">
        <v>21</v>
      </c>
      <c r="M3845" s="1">
        <f>IF(L3845="","ไม่พบใน SG",IF(ABS(J3845-L3845)&lt;0.005,"ตรงกัน","ไม่ตรง"))</f>
        <v/>
      </c>
      <c r="N3845" s="14">
        <f>IF(L3845="","",ROUND(L3845*'สรุป'!$C$6,-1))</f>
        <v/>
      </c>
      <c r="O3845" s="15" t="n"/>
      <c r="P3845" s="15" t="n"/>
      <c r="Q3845" s="10" t="n"/>
      <c r="R3845" s="10" t="n"/>
      <c r="S3845" s="16" t="inlineStr">
        <is>
          <t>https://mstgolf.co.th/products/gf2000106161</t>
        </is>
      </c>
      <c r="T3845" s="1">
        <f>IF(B3845="ไม้กอล์ฟ",J3845,"")</f>
        <v/>
      </c>
    </row>
    <row r="3846">
      <c r="A3846" s="1" t="n">
        <v>3</v>
      </c>
      <c r="B3846" s="1" t="inlineStr">
        <is>
          <t>หมวก</t>
        </is>
      </c>
      <c r="C3846" s="1" t="inlineStr">
        <is>
          <t>gf2000106166</t>
        </is>
      </c>
      <c r="D3846" s="1" t="inlineStr">
        <is>
          <t>ADIDAS Tour 3-Stripes Print Men's Cap (Navy)</t>
        </is>
      </c>
      <c r="E3846" s="1" t="inlineStr">
        <is>
          <t>ADIDAS</t>
        </is>
      </c>
      <c r="F3846" s="1" t="inlineStr">
        <is>
          <t>CAP</t>
        </is>
      </c>
      <c r="G3846" s="1" t="inlineStr">
        <is>
          <t>GF2000106166FS</t>
        </is>
      </c>
      <c r="H3846" s="1" t="n">
        <v>1</v>
      </c>
      <c r="I3846" s="1" t="inlineStr">
        <is>
          <t>มี</t>
        </is>
      </c>
      <c r="J3846" s="13" t="n">
        <v>45</v>
      </c>
      <c r="K3846" s="1" t="inlineStr"/>
      <c r="L3846" s="13" t="n">
        <v>21</v>
      </c>
      <c r="M3846" s="1">
        <f>IF(L3846="","ไม่พบใน SG",IF(ABS(J3846-L3846)&lt;0.005,"ตรงกัน","ไม่ตรง"))</f>
        <v/>
      </c>
      <c r="N3846" s="14">
        <f>IF(L3846="","",ROUND(L3846*'สรุป'!$C$6,-1))</f>
        <v/>
      </c>
      <c r="O3846" s="15" t="n"/>
      <c r="P3846" s="15" t="n"/>
      <c r="Q3846" s="10" t="n"/>
      <c r="R3846" s="10" t="n"/>
      <c r="S3846" s="16" t="inlineStr">
        <is>
          <t>https://mstgolf.co.th/products/gf2000106166</t>
        </is>
      </c>
      <c r="T3846" s="1">
        <f>IF(B3846="ไม้กอล์ฟ",J3846,"")</f>
        <v/>
      </c>
    </row>
    <row r="3847">
      <c r="A3847" s="1" t="n">
        <v>3</v>
      </c>
      <c r="B3847" s="1" t="inlineStr">
        <is>
          <t>หมวก</t>
        </is>
      </c>
      <c r="C3847" s="1" t="inlineStr">
        <is>
          <t>gf2000106152</t>
        </is>
      </c>
      <c r="D3847" s="1" t="inlineStr">
        <is>
          <t>ADIDAS Tour Men's Cap (White)</t>
        </is>
      </c>
      <c r="E3847" s="1" t="inlineStr">
        <is>
          <t>ADIDAS</t>
        </is>
      </c>
      <c r="F3847" s="1" t="inlineStr">
        <is>
          <t>CAP</t>
        </is>
      </c>
      <c r="G3847" s="1" t="inlineStr">
        <is>
          <t>GF2000106152FS</t>
        </is>
      </c>
      <c r="H3847" s="1" t="n">
        <v>1</v>
      </c>
      <c r="I3847" s="1" t="inlineStr">
        <is>
          <t>มี</t>
        </is>
      </c>
      <c r="J3847" s="13" t="n">
        <v>45</v>
      </c>
      <c r="K3847" s="1" t="inlineStr"/>
      <c r="L3847" s="13" t="n">
        <v>22</v>
      </c>
      <c r="M3847" s="1">
        <f>IF(L3847="","ไม่พบใน SG",IF(ABS(J3847-L3847)&lt;0.005,"ตรงกัน","ไม่ตรง"))</f>
        <v/>
      </c>
      <c r="N3847" s="14">
        <f>IF(L3847="","",ROUND(L3847*'สรุป'!$C$6,-1))</f>
        <v/>
      </c>
      <c r="O3847" s="15" t="n"/>
      <c r="P3847" s="15" t="n"/>
      <c r="Q3847" s="10" t="n"/>
      <c r="R3847" s="10" t="n"/>
      <c r="S3847" s="16" t="inlineStr">
        <is>
          <t>https://mstgolf.co.th/products/gf2000106152</t>
        </is>
      </c>
      <c r="T3847" s="1">
        <f>IF(B3847="ไม้กอล์ฟ",J3847,"")</f>
        <v/>
      </c>
    </row>
    <row r="3848">
      <c r="A3848" s="1" t="n">
        <v>3</v>
      </c>
      <c r="B3848" s="1" t="inlineStr">
        <is>
          <t>หมวก</t>
        </is>
      </c>
      <c r="C3848" s="1" t="inlineStr">
        <is>
          <t>gf2000106586</t>
        </is>
      </c>
      <c r="D3848" s="1" t="inlineStr">
        <is>
          <t>ADIDAS Tour Print Men's Snapback Cap (White/Blue)</t>
        </is>
      </c>
      <c r="E3848" s="1" t="inlineStr">
        <is>
          <t>ADIDAS</t>
        </is>
      </c>
      <c r="F3848" s="1" t="inlineStr">
        <is>
          <t>CAP</t>
        </is>
      </c>
      <c r="G3848" s="1" t="inlineStr">
        <is>
          <t>GF2000106586FS</t>
        </is>
      </c>
      <c r="H3848" s="1" t="n">
        <v>1</v>
      </c>
      <c r="I3848" s="1" t="inlineStr">
        <is>
          <t>มี</t>
        </is>
      </c>
      <c r="J3848" s="13" t="n">
        <v>45</v>
      </c>
      <c r="K3848" s="1" t="inlineStr"/>
      <c r="L3848" s="13" t="n">
        <v>31</v>
      </c>
      <c r="M3848" s="1">
        <f>IF(L3848="","ไม่พบใน SG",IF(ABS(J3848-L3848)&lt;0.005,"ตรงกัน","ไม่ตรง"))</f>
        <v/>
      </c>
      <c r="N3848" s="14">
        <f>IF(L3848="","",ROUND(L3848*'สรุป'!$C$6,-1))</f>
        <v/>
      </c>
      <c r="O3848" s="15" t="n"/>
      <c r="P3848" s="15" t="n"/>
      <c r="Q3848" s="10" t="n"/>
      <c r="R3848" s="10" t="n"/>
      <c r="S3848" s="16" t="inlineStr">
        <is>
          <t>https://mstgolf.co.th/products/gf2000106586</t>
        </is>
      </c>
      <c r="T3848" s="1">
        <f>IF(B3848="ไม้กอล์ฟ",J3848,"")</f>
        <v/>
      </c>
    </row>
    <row r="3849">
      <c r="A3849" s="1" t="n">
        <v>3</v>
      </c>
      <c r="B3849" s="1" t="inlineStr">
        <is>
          <t>หมวก</t>
        </is>
      </c>
      <c r="C3849" s="1" t="inlineStr">
        <is>
          <t>gf2000106160</t>
        </is>
      </c>
      <c r="D3849" s="1" t="inlineStr">
        <is>
          <t>ADIDAS Waxed Canvas Men's Cap (Navy)</t>
        </is>
      </c>
      <c r="E3849" s="1" t="inlineStr">
        <is>
          <t>ADIDAS</t>
        </is>
      </c>
      <c r="F3849" s="1" t="inlineStr">
        <is>
          <t>CAP</t>
        </is>
      </c>
      <c r="G3849" s="1" t="inlineStr">
        <is>
          <t>GF2000106160FS</t>
        </is>
      </c>
      <c r="H3849" s="1" t="n">
        <v>1</v>
      </c>
      <c r="I3849" s="1" t="inlineStr">
        <is>
          <t>มี</t>
        </is>
      </c>
      <c r="J3849" s="13" t="n">
        <v>45</v>
      </c>
      <c r="K3849" s="1" t="inlineStr"/>
      <c r="L3849" s="13" t="n">
        <v>21</v>
      </c>
      <c r="M3849" s="1">
        <f>IF(L3849="","ไม่พบใน SG",IF(ABS(J3849-L3849)&lt;0.005,"ตรงกัน","ไม่ตรง"))</f>
        <v/>
      </c>
      <c r="N3849" s="14">
        <f>IF(L3849="","",ROUND(L3849*'สรุป'!$C$6,-1))</f>
        <v/>
      </c>
      <c r="O3849" s="15" t="n"/>
      <c r="P3849" s="15" t="n"/>
      <c r="Q3849" s="10" t="n"/>
      <c r="R3849" s="10" t="n"/>
      <c r="S3849" s="16" t="inlineStr">
        <is>
          <t>https://mstgolf.co.th/products/gf2000106160</t>
        </is>
      </c>
      <c r="T3849" s="1">
        <f>IF(B3849="ไม้กอล์ฟ",J3849,"")</f>
        <v/>
      </c>
    </row>
    <row r="3850">
      <c r="A3850" s="1" t="n">
        <v>3</v>
      </c>
      <c r="B3850" s="1" t="inlineStr">
        <is>
          <t>อุปกรณ์เสริม</t>
        </is>
      </c>
      <c r="C3850" s="1" t="inlineStr">
        <is>
          <t>gf3500300800</t>
        </is>
      </c>
      <c r="D3850" s="1" t="inlineStr">
        <is>
          <t>BLUE TEES GOLF Magnetic Hub (Black)</t>
        </is>
      </c>
      <c r="E3850" s="1" t="inlineStr">
        <is>
          <t>BLUE TEES GOLF</t>
        </is>
      </c>
      <c r="F3850" s="1" t="inlineStr">
        <is>
          <t>GOLF ACCESSORIES</t>
        </is>
      </c>
      <c r="G3850" s="1" t="inlineStr">
        <is>
          <t>GF3500300800</t>
        </is>
      </c>
      <c r="H3850" s="1" t="n">
        <v>1</v>
      </c>
      <c r="I3850" s="1" t="inlineStr">
        <is>
          <t>มี</t>
        </is>
      </c>
      <c r="J3850" s="13" t="n">
        <v>45</v>
      </c>
      <c r="K3850" s="1" t="inlineStr"/>
      <c r="L3850" s="13" t="n">
        <v>45</v>
      </c>
      <c r="M3850" s="1">
        <f>IF(L3850="","ไม่พบใน SG",IF(ABS(J3850-L3850)&lt;0.005,"ตรงกัน","ไม่ตรง"))</f>
        <v/>
      </c>
      <c r="N3850" s="14">
        <f>IF(L3850="","",ROUND(L3850*'สรุป'!$C$6,-1))</f>
        <v/>
      </c>
      <c r="O3850" s="15" t="n"/>
      <c r="P3850" s="15" t="n"/>
      <c r="Q3850" s="10" t="n"/>
      <c r="R3850" s="10" t="n"/>
      <c r="S3850" s="16" t="inlineStr">
        <is>
          <t>https://mstgolf.co.th/products/gf3500300800</t>
        </is>
      </c>
      <c r="T3850" s="1">
        <f>IF(B3850="ไม้กอล์ฟ",J3850,"")</f>
        <v/>
      </c>
    </row>
    <row r="3851">
      <c r="A3851" s="1" t="n">
        <v>3</v>
      </c>
      <c r="B3851" s="1" t="inlineStr">
        <is>
          <t>เสื้อผ้า</t>
        </is>
      </c>
      <c r="C3851" s="1" t="inlineStr">
        <is>
          <t>gf2040401100</t>
        </is>
      </c>
      <c r="D3851" s="1" t="inlineStr">
        <is>
          <t>CALVIN KLEIN Evan Long Sleeve Men's Polo (Peacoat)</t>
        </is>
      </c>
      <c r="E3851" s="1" t="inlineStr">
        <is>
          <t>CALVIN KLEIN</t>
        </is>
      </c>
      <c r="F3851" s="1" t="inlineStr">
        <is>
          <t>LONG SLEEVES</t>
        </is>
      </c>
      <c r="G3851" s="1" t="inlineStr">
        <is>
          <t>GF2040401100S</t>
        </is>
      </c>
      <c r="H3851" s="1" t="n">
        <v>5</v>
      </c>
      <c r="I3851" s="1" t="inlineStr">
        <is>
          <t>มี</t>
        </is>
      </c>
      <c r="J3851" s="13" t="n">
        <v>45</v>
      </c>
      <c r="K3851" s="1" t="inlineStr"/>
      <c r="L3851" s="13" t="n">
        <v>45</v>
      </c>
      <c r="M3851" s="1">
        <f>IF(L3851="","ไม่พบใน SG",IF(ABS(J3851-L3851)&lt;0.005,"ตรงกัน","ไม่ตรง"))</f>
        <v/>
      </c>
      <c r="N3851" s="14">
        <f>IF(L3851="","",ROUND(L3851*'สรุป'!$C$6,-1))</f>
        <v/>
      </c>
      <c r="O3851" s="15" t="n"/>
      <c r="P3851" s="15" t="n"/>
      <c r="Q3851" s="10" t="n"/>
      <c r="R3851" s="10" t="n"/>
      <c r="S3851" s="16" t="inlineStr">
        <is>
          <t>https://mstgolf.co.th/products/gf2040401100</t>
        </is>
      </c>
      <c r="T3851" s="1">
        <f>IF(B3851="ไม้กอล์ฟ",J3851,"")</f>
        <v/>
      </c>
    </row>
    <row r="3852">
      <c r="A3852" s="1" t="n">
        <v>3</v>
      </c>
      <c r="B3852" s="1" t="inlineStr">
        <is>
          <t>อุปกรณ์เสริม</t>
        </is>
      </c>
      <c r="C3852" s="1" t="inlineStr">
        <is>
          <t>gf2080101389</t>
        </is>
      </c>
      <c r="D3852" s="1" t="inlineStr">
        <is>
          <t>CALVIN KLEIN Men's Webbing Belt (Black)</t>
        </is>
      </c>
      <c r="E3852" s="1" t="inlineStr">
        <is>
          <t>CALVIN KLEIN</t>
        </is>
      </c>
      <c r="F3852" s="1" t="inlineStr">
        <is>
          <t>BELT</t>
        </is>
      </c>
      <c r="G3852" s="1" t="inlineStr">
        <is>
          <t>GF2080101389FS</t>
        </is>
      </c>
      <c r="H3852" s="1" t="n">
        <v>1</v>
      </c>
      <c r="I3852" s="1" t="inlineStr">
        <is>
          <t>มี</t>
        </is>
      </c>
      <c r="J3852" s="13" t="n">
        <v>45</v>
      </c>
      <c r="K3852" s="1" t="inlineStr"/>
      <c r="L3852" s="13" t="n">
        <v>45</v>
      </c>
      <c r="M3852" s="1">
        <f>IF(L3852="","ไม่พบใน SG",IF(ABS(J3852-L3852)&lt;0.005,"ตรงกัน","ไม่ตรง"))</f>
        <v/>
      </c>
      <c r="N3852" s="14">
        <f>IF(L3852="","",ROUND(L3852*'สรุป'!$C$6,-1))</f>
        <v/>
      </c>
      <c r="O3852" s="15" t="n"/>
      <c r="P3852" s="15" t="n"/>
      <c r="Q3852" s="10" t="n"/>
      <c r="R3852" s="10" t="n"/>
      <c r="S3852" s="16" t="inlineStr">
        <is>
          <t>https://mstgolf.co.th/products/gf2080101389</t>
        </is>
      </c>
      <c r="T3852" s="1">
        <f>IF(B3852="ไม้กอล์ฟ",J3852,"")</f>
        <v/>
      </c>
    </row>
    <row r="3853">
      <c r="A3853" s="1" t="n">
        <v>3</v>
      </c>
      <c r="B3853" s="1" t="inlineStr">
        <is>
          <t>เสื้อผ้า</t>
        </is>
      </c>
      <c r="C3853" s="1" t="inlineStr">
        <is>
          <t>gf2040115383</t>
        </is>
      </c>
      <c r="D3853" s="1" t="inlineStr">
        <is>
          <t>CALVIN KLEIN Sudbury Men's Polo (Black)</t>
        </is>
      </c>
      <c r="E3853" s="1" t="inlineStr">
        <is>
          <t>CALVIN KLEIN</t>
        </is>
      </c>
      <c r="F3853" s="1" t="inlineStr">
        <is>
          <t>SHORT SLEEVES</t>
        </is>
      </c>
      <c r="G3853" s="1" t="inlineStr">
        <is>
          <t>GF2040115383S</t>
        </is>
      </c>
      <c r="H3853" s="1" t="n">
        <v>5</v>
      </c>
      <c r="I3853" s="1" t="inlineStr">
        <is>
          <t>มี</t>
        </is>
      </c>
      <c r="J3853" s="13" t="n">
        <v>45</v>
      </c>
      <c r="K3853" s="1" t="inlineStr"/>
      <c r="L3853" s="13" t="n">
        <v>45</v>
      </c>
      <c r="M3853" s="1">
        <f>IF(L3853="","ไม่พบใน SG",IF(ABS(J3853-L3853)&lt;0.005,"ตรงกัน","ไม่ตรง"))</f>
        <v/>
      </c>
      <c r="N3853" s="14">
        <f>IF(L3853="","",ROUND(L3853*'สรุป'!$C$6,-1))</f>
        <v/>
      </c>
      <c r="O3853" s="15" t="n"/>
      <c r="P3853" s="15" t="n"/>
      <c r="Q3853" s="10" t="n"/>
      <c r="R3853" s="10" t="n"/>
      <c r="S3853" s="16" t="inlineStr">
        <is>
          <t>https://mstgolf.co.th/products/gf2040115383</t>
        </is>
      </c>
      <c r="T3853" s="1">
        <f>IF(B3853="ไม้กอล์ฟ",J3853,"")</f>
        <v/>
      </c>
    </row>
    <row r="3854">
      <c r="A3854" s="1" t="n">
        <v>3</v>
      </c>
      <c r="B3854" s="1" t="inlineStr">
        <is>
          <t>เสื้อผ้า</t>
        </is>
      </c>
      <c r="C3854" s="1" t="inlineStr">
        <is>
          <t>gf2040116899</t>
        </is>
      </c>
      <c r="D3854" s="1" t="inlineStr">
        <is>
          <t>CALVIN KLEIN Uni Pique Men's Polo (White)</t>
        </is>
      </c>
      <c r="E3854" s="1" t="inlineStr">
        <is>
          <t>CALVIN KLEIN</t>
        </is>
      </c>
      <c r="F3854" s="1" t="inlineStr">
        <is>
          <t>SHORT SLEEVES</t>
        </is>
      </c>
      <c r="G3854" s="1" t="inlineStr">
        <is>
          <t>GF2040116899S</t>
        </is>
      </c>
      <c r="H3854" s="1" t="n">
        <v>5</v>
      </c>
      <c r="I3854" s="1" t="inlineStr">
        <is>
          <t>มี</t>
        </is>
      </c>
      <c r="J3854" s="13" t="n">
        <v>45</v>
      </c>
      <c r="K3854" s="1" t="inlineStr"/>
      <c r="L3854" s="13" t="n">
        <v>45</v>
      </c>
      <c r="M3854" s="1">
        <f>IF(L3854="","ไม่พบใน SG",IF(ABS(J3854-L3854)&lt;0.005,"ตรงกัน","ไม่ตรง"))</f>
        <v/>
      </c>
      <c r="N3854" s="14">
        <f>IF(L3854="","",ROUND(L3854*'สรุป'!$C$6,-1))</f>
        <v/>
      </c>
      <c r="O3854" s="15" t="n"/>
      <c r="P3854" s="15" t="n"/>
      <c r="Q3854" s="10" t="n"/>
      <c r="R3854" s="10" t="n"/>
      <c r="S3854" s="16" t="inlineStr">
        <is>
          <t>https://mstgolf.co.th/products/gf2040116899</t>
        </is>
      </c>
      <c r="T3854" s="1">
        <f>IF(B3854="ไม้กอล์ฟ",J3854,"")</f>
        <v/>
      </c>
    </row>
    <row r="3855">
      <c r="A3855" s="1" t="n">
        <v>3</v>
      </c>
      <c r="B3855" s="1" t="inlineStr">
        <is>
          <t>อุปกรณ์เสริม</t>
        </is>
      </c>
      <c r="C3855" s="1" t="inlineStr">
        <is>
          <t>gf2080100787</t>
        </is>
      </c>
      <c r="D3855" s="1" t="inlineStr">
        <is>
          <t>CALVIN KLEIN Webbing Men's Belt (Black)</t>
        </is>
      </c>
      <c r="E3855" s="1" t="inlineStr">
        <is>
          <t>CALVIN KLEIN</t>
        </is>
      </c>
      <c r="F3855" s="1" t="inlineStr">
        <is>
          <t>BELT</t>
        </is>
      </c>
      <c r="G3855" s="1" t="inlineStr">
        <is>
          <t>GF2080100787FS</t>
        </is>
      </c>
      <c r="H3855" s="1" t="n">
        <v>1</v>
      </c>
      <c r="I3855" s="1" t="inlineStr">
        <is>
          <t>มี</t>
        </is>
      </c>
      <c r="J3855" s="13" t="n">
        <v>45</v>
      </c>
      <c r="K3855" s="1" t="inlineStr"/>
      <c r="L3855" s="13" t="n">
        <v>45</v>
      </c>
      <c r="M3855" s="1">
        <f>IF(L3855="","ไม่พบใน SG",IF(ABS(J3855-L3855)&lt;0.005,"ตรงกัน","ไม่ตรง"))</f>
        <v/>
      </c>
      <c r="N3855" s="14">
        <f>IF(L3855="","",ROUND(L3855*'สรุป'!$C$6,-1))</f>
        <v/>
      </c>
      <c r="O3855" s="15" t="n"/>
      <c r="P3855" s="15" t="n"/>
      <c r="Q3855" s="10" t="n"/>
      <c r="R3855" s="10" t="n"/>
      <c r="S3855" s="16" t="inlineStr">
        <is>
          <t>https://mstgolf.co.th/products/gf2080100787</t>
        </is>
      </c>
      <c r="T3855" s="1">
        <f>IF(B3855="ไม้กอล์ฟ",J3855,"")</f>
        <v/>
      </c>
    </row>
    <row r="3856">
      <c r="A3856" s="1" t="n">
        <v>3</v>
      </c>
      <c r="B3856" s="1" t="inlineStr">
        <is>
          <t>เสื้อผ้า</t>
        </is>
      </c>
      <c r="C3856" s="1" t="inlineStr">
        <is>
          <t>gf2040110263</t>
        </is>
      </c>
      <c r="D3856" s="1" t="inlineStr">
        <is>
          <t>CUTTER &amp; BUCK Forge Stretch Men's Polo (Atlas)</t>
        </is>
      </c>
      <c r="E3856" s="1" t="inlineStr">
        <is>
          <t>CUTTER &amp; BUCK</t>
        </is>
      </c>
      <c r="F3856" s="1" t="inlineStr">
        <is>
          <t>SHORT SLEEVES</t>
        </is>
      </c>
      <c r="G3856" s="1" t="inlineStr">
        <is>
          <t>GF2040110263S</t>
        </is>
      </c>
      <c r="H3856" s="1" t="n">
        <v>6</v>
      </c>
      <c r="I3856" s="1" t="inlineStr">
        <is>
          <t>มี</t>
        </is>
      </c>
      <c r="J3856" s="13" t="n">
        <v>45</v>
      </c>
      <c r="K3856" s="1" t="inlineStr"/>
      <c r="L3856" s="13" t="n">
        <v>45</v>
      </c>
      <c r="M3856" s="1">
        <f>IF(L3856="","ไม่พบใน SG",IF(ABS(J3856-L3856)&lt;0.005,"ตรงกัน","ไม่ตรง"))</f>
        <v/>
      </c>
      <c r="N3856" s="14">
        <f>IF(L3856="","",ROUND(L3856*'สรุป'!$C$6,-1))</f>
        <v/>
      </c>
      <c r="O3856" s="15" t="n"/>
      <c r="P3856" s="15" t="n"/>
      <c r="Q3856" s="10" t="n"/>
      <c r="R3856" s="10" t="n"/>
      <c r="S3856" s="16" t="inlineStr">
        <is>
          <t>https://mstgolf.co.th/products/gf2040110263</t>
        </is>
      </c>
      <c r="T3856" s="1">
        <f>IF(B3856="ไม้กอล์ฟ",J3856,"")</f>
        <v/>
      </c>
    </row>
    <row r="3857">
      <c r="A3857" s="1" t="n">
        <v>3</v>
      </c>
      <c r="B3857" s="1" t="inlineStr">
        <is>
          <t>เสื้อผ้า</t>
        </is>
      </c>
      <c r="C3857" s="1" t="inlineStr">
        <is>
          <t>gf2040109571</t>
        </is>
      </c>
      <c r="D3857" s="1" t="inlineStr">
        <is>
          <t>CUTTER &amp; BUCK Forge Stretch Men's Polo (Liberty Navy)</t>
        </is>
      </c>
      <c r="E3857" s="1" t="inlineStr">
        <is>
          <t>CUTTER &amp; BUCK</t>
        </is>
      </c>
      <c r="F3857" s="1" t="inlineStr">
        <is>
          <t>SHORT SLEEVES</t>
        </is>
      </c>
      <c r="G3857" s="1" t="inlineStr">
        <is>
          <t>GF2040109571XS</t>
        </is>
      </c>
      <c r="H3857" s="1" t="n">
        <v>6</v>
      </c>
      <c r="I3857" s="1" t="inlineStr">
        <is>
          <t>มี</t>
        </is>
      </c>
      <c r="J3857" s="13" t="n">
        <v>45</v>
      </c>
      <c r="K3857" s="1" t="inlineStr"/>
      <c r="L3857" s="13" t="n">
        <v>45</v>
      </c>
      <c r="M3857" s="1">
        <f>IF(L3857="","ไม่พบใน SG",IF(ABS(J3857-L3857)&lt;0.005,"ตรงกัน","ไม่ตรง"))</f>
        <v/>
      </c>
      <c r="N3857" s="14">
        <f>IF(L3857="","",ROUND(L3857*'สรุป'!$C$6,-1))</f>
        <v/>
      </c>
      <c r="O3857" s="15" t="n"/>
      <c r="P3857" s="15" t="n"/>
      <c r="Q3857" s="10" t="n"/>
      <c r="R3857" s="10" t="n"/>
      <c r="S3857" s="16" t="inlineStr">
        <is>
          <t>https://mstgolf.co.th/products/gf2040109571</t>
        </is>
      </c>
      <c r="T3857" s="1">
        <f>IF(B3857="ไม้กอล์ฟ",J3857,"")</f>
        <v/>
      </c>
    </row>
    <row r="3858">
      <c r="A3858" s="1" t="n">
        <v>3</v>
      </c>
      <c r="B3858" s="1" t="inlineStr">
        <is>
          <t>เสื้อผ้า</t>
        </is>
      </c>
      <c r="C3858" s="1" t="inlineStr">
        <is>
          <t>gf2040114248</t>
        </is>
      </c>
      <c r="D3858" s="1" t="inlineStr">
        <is>
          <t>CUTTER &amp; BUCK Pike Constellation Print Men's Polo (Black)</t>
        </is>
      </c>
      <c r="E3858" s="1" t="inlineStr">
        <is>
          <t>CUTTER &amp; BUCK</t>
        </is>
      </c>
      <c r="F3858" s="1" t="inlineStr">
        <is>
          <t>SHORT SLEEVES</t>
        </is>
      </c>
      <c r="G3858" s="1" t="inlineStr">
        <is>
          <t>GF2040114248S</t>
        </is>
      </c>
      <c r="H3858" s="1" t="n">
        <v>4</v>
      </c>
      <c r="I3858" s="1" t="inlineStr">
        <is>
          <t>มี</t>
        </is>
      </c>
      <c r="J3858" s="13" t="n">
        <v>45</v>
      </c>
      <c r="K3858" s="1" t="inlineStr"/>
      <c r="L3858" s="13" t="n">
        <v>45</v>
      </c>
      <c r="M3858" s="1">
        <f>IF(L3858="","ไม่พบใน SG",IF(ABS(J3858-L3858)&lt;0.005,"ตรงกัน","ไม่ตรง"))</f>
        <v/>
      </c>
      <c r="N3858" s="14">
        <f>IF(L3858="","",ROUND(L3858*'สรุป'!$C$6,-1))</f>
        <v/>
      </c>
      <c r="O3858" s="15" t="n"/>
      <c r="P3858" s="15" t="n"/>
      <c r="Q3858" s="10" t="n"/>
      <c r="R3858" s="10" t="n"/>
      <c r="S3858" s="16" t="inlineStr">
        <is>
          <t>https://mstgolf.co.th/products/gf2040114248</t>
        </is>
      </c>
      <c r="T3858" s="1">
        <f>IF(B3858="ไม้กอล์ฟ",J3858,"")</f>
        <v/>
      </c>
    </row>
    <row r="3859">
      <c r="A3859" s="1" t="n">
        <v>3</v>
      </c>
      <c r="B3859" s="1" t="inlineStr">
        <is>
          <t>อุปกรณ์เสริม</t>
        </is>
      </c>
      <c r="C3859" s="1" t="inlineStr">
        <is>
          <t>gf3500200785</t>
        </is>
      </c>
      <c r="D3859" s="1" t="inlineStr">
        <is>
          <t>DAPHNE Aligator Wood Headcover</t>
        </is>
      </c>
      <c r="E3859" s="1" t="inlineStr">
        <is>
          <t>DAPHNE</t>
        </is>
      </c>
      <c r="F3859" s="1" t="inlineStr">
        <is>
          <t>HEADCOVERS</t>
        </is>
      </c>
      <c r="G3859" s="1" t="inlineStr">
        <is>
          <t>GF3500200785</t>
        </is>
      </c>
      <c r="H3859" s="1" t="n">
        <v>1</v>
      </c>
      <c r="I3859" s="1" t="inlineStr">
        <is>
          <t>มี</t>
        </is>
      </c>
      <c r="J3859" s="13" t="n">
        <v>45</v>
      </c>
      <c r="K3859" s="1" t="inlineStr"/>
      <c r="L3859" s="13" t="n">
        <v>45</v>
      </c>
      <c r="M3859" s="1">
        <f>IF(L3859="","ไม่พบใน SG",IF(ABS(J3859-L3859)&lt;0.005,"ตรงกัน","ไม่ตรง"))</f>
        <v/>
      </c>
      <c r="N3859" s="14">
        <f>IF(L3859="","",ROUND(L3859*'สรุป'!$C$6,-1))</f>
        <v/>
      </c>
      <c r="O3859" s="15" t="n"/>
      <c r="P3859" s="15" t="n"/>
      <c r="Q3859" s="10" t="n"/>
      <c r="R3859" s="10" t="n"/>
      <c r="S3859" s="16" t="inlineStr">
        <is>
          <t>https://mstgolf.co.th/products/gf3500200785</t>
        </is>
      </c>
      <c r="T3859" s="1">
        <f>IF(B3859="ไม้กอล์ฟ",J3859,"")</f>
        <v/>
      </c>
    </row>
    <row r="3860">
      <c r="A3860" s="1" t="n">
        <v>3</v>
      </c>
      <c r="B3860" s="1" t="inlineStr">
        <is>
          <t>อุปกรณ์เสริม</t>
        </is>
      </c>
      <c r="C3860" s="1" t="inlineStr">
        <is>
          <t>gf3500201574</t>
        </is>
      </c>
      <c r="D3860" s="1" t="inlineStr">
        <is>
          <t>DAPHNE Chicken Wood Headcover (Multi)</t>
        </is>
      </c>
      <c r="E3860" s="1" t="inlineStr">
        <is>
          <t>DAPHNE</t>
        </is>
      </c>
      <c r="F3860" s="1" t="inlineStr">
        <is>
          <t>HEADCOVERS</t>
        </is>
      </c>
      <c r="G3860" s="1" t="inlineStr">
        <is>
          <t>GF3500201574</t>
        </is>
      </c>
      <c r="H3860" s="1" t="n">
        <v>1</v>
      </c>
      <c r="I3860" s="1" t="inlineStr">
        <is>
          <t>มี</t>
        </is>
      </c>
      <c r="J3860" s="13" t="n">
        <v>45</v>
      </c>
      <c r="K3860" s="1" t="inlineStr"/>
      <c r="L3860" s="13" t="n">
        <v>45</v>
      </c>
      <c r="M3860" s="1">
        <f>IF(L3860="","ไม่พบใน SG",IF(ABS(J3860-L3860)&lt;0.005,"ตรงกัน","ไม่ตรง"))</f>
        <v/>
      </c>
      <c r="N3860" s="14">
        <f>IF(L3860="","",ROUND(L3860*'สรุป'!$C$6,-1))</f>
        <v/>
      </c>
      <c r="O3860" s="15" t="n"/>
      <c r="P3860" s="15" t="n"/>
      <c r="Q3860" s="10" t="n"/>
      <c r="R3860" s="10" t="n"/>
      <c r="S3860" s="16" t="inlineStr">
        <is>
          <t>https://mstgolf.co.th/products/gf3500201574</t>
        </is>
      </c>
      <c r="T3860" s="1">
        <f>IF(B3860="ไม้กอล์ฟ",J3860,"")</f>
        <v/>
      </c>
    </row>
    <row r="3861">
      <c r="A3861" s="1" t="n">
        <v>3</v>
      </c>
      <c r="B3861" s="1" t="inlineStr">
        <is>
          <t>อุปกรณ์เสริม</t>
        </is>
      </c>
      <c r="C3861" s="1" t="inlineStr">
        <is>
          <t>gf3500201764</t>
        </is>
      </c>
      <c r="D3861" s="1" t="inlineStr">
        <is>
          <t>DAPHNE Daphne Cow Blade Putter Headcover</t>
        </is>
      </c>
      <c r="E3861" s="1" t="inlineStr">
        <is>
          <t>DAPHNE</t>
        </is>
      </c>
      <c r="F3861" s="1" t="inlineStr">
        <is>
          <t>HEADCOVERS</t>
        </is>
      </c>
      <c r="G3861" s="1" t="inlineStr">
        <is>
          <t>GF3500201764</t>
        </is>
      </c>
      <c r="H3861" s="1" t="n">
        <v>1</v>
      </c>
      <c r="I3861" s="1" t="inlineStr">
        <is>
          <t>มี</t>
        </is>
      </c>
      <c r="J3861" s="13" t="n">
        <v>45</v>
      </c>
      <c r="K3861" s="1" t="inlineStr"/>
      <c r="L3861" s="13" t="n">
        <v>45</v>
      </c>
      <c r="M3861" s="1">
        <f>IF(L3861="","ไม่พบใน SG",IF(ABS(J3861-L3861)&lt;0.005,"ตรงกัน","ไม่ตรง"))</f>
        <v/>
      </c>
      <c r="N3861" s="14">
        <f>IF(L3861="","",ROUND(L3861*'สรุป'!$C$6,-1))</f>
        <v/>
      </c>
      <c r="O3861" s="15" t="n"/>
      <c r="P3861" s="15" t="n"/>
      <c r="Q3861" s="10" t="n"/>
      <c r="R3861" s="10" t="n"/>
      <c r="S3861" s="16" t="inlineStr">
        <is>
          <t>https://mstgolf.co.th/products/gf3500201764</t>
        </is>
      </c>
      <c r="T3861" s="1">
        <f>IF(B3861="ไม้กอล์ฟ",J3861,"")</f>
        <v/>
      </c>
    </row>
    <row r="3862">
      <c r="A3862" s="1" t="n">
        <v>3</v>
      </c>
      <c r="B3862" s="1" t="inlineStr">
        <is>
          <t>อุปกรณ์เสริม</t>
        </is>
      </c>
      <c r="C3862" s="1" t="inlineStr">
        <is>
          <t>gf3500201763</t>
        </is>
      </c>
      <c r="D3862" s="1" t="inlineStr">
        <is>
          <t>DAPHNE Daphne Giraffe Blade Putter Headcover</t>
        </is>
      </c>
      <c r="E3862" s="1" t="inlineStr">
        <is>
          <t>DAPHNE</t>
        </is>
      </c>
      <c r="F3862" s="1" t="inlineStr">
        <is>
          <t>HEADCOVERS</t>
        </is>
      </c>
      <c r="G3862" s="1" t="inlineStr">
        <is>
          <t>GF3500201763</t>
        </is>
      </c>
      <c r="H3862" s="1" t="n">
        <v>1</v>
      </c>
      <c r="I3862" s="1" t="inlineStr">
        <is>
          <t>มี</t>
        </is>
      </c>
      <c r="J3862" s="13" t="n">
        <v>45</v>
      </c>
      <c r="K3862" s="1" t="inlineStr"/>
      <c r="L3862" s="13" t="n">
        <v>45</v>
      </c>
      <c r="M3862" s="1">
        <f>IF(L3862="","ไม่พบใน SG",IF(ABS(J3862-L3862)&lt;0.005,"ตรงกัน","ไม่ตรง"))</f>
        <v/>
      </c>
      <c r="N3862" s="14">
        <f>IF(L3862="","",ROUND(L3862*'สรุป'!$C$6,-1))</f>
        <v/>
      </c>
      <c r="O3862" s="15" t="n"/>
      <c r="P3862" s="15" t="n"/>
      <c r="Q3862" s="10" t="n"/>
      <c r="R3862" s="10" t="n"/>
      <c r="S3862" s="16" t="inlineStr">
        <is>
          <t>https://mstgolf.co.th/products/gf3500201763</t>
        </is>
      </c>
      <c r="T3862" s="1">
        <f>IF(B3862="ไม้กอล์ฟ",J3862,"")</f>
        <v/>
      </c>
    </row>
    <row r="3863">
      <c r="A3863" s="1" t="n">
        <v>3</v>
      </c>
      <c r="B3863" s="1" t="inlineStr">
        <is>
          <t>อุปกรณ์เสริม</t>
        </is>
      </c>
      <c r="C3863" s="1" t="inlineStr">
        <is>
          <t>gf3500201760</t>
        </is>
      </c>
      <c r="D3863" s="1" t="inlineStr">
        <is>
          <t>DAPHNE Daphne Lamb Blade Putter Headcover</t>
        </is>
      </c>
      <c r="E3863" s="1" t="inlineStr">
        <is>
          <t>DAPHNE</t>
        </is>
      </c>
      <c r="F3863" s="1" t="inlineStr">
        <is>
          <t>HEADCOVERS</t>
        </is>
      </c>
      <c r="G3863" s="1" t="inlineStr">
        <is>
          <t>GF3500201760</t>
        </is>
      </c>
      <c r="H3863" s="1" t="n">
        <v>1</v>
      </c>
      <c r="I3863" s="1" t="inlineStr">
        <is>
          <t>มี</t>
        </is>
      </c>
      <c r="J3863" s="13" t="n">
        <v>45</v>
      </c>
      <c r="K3863" s="1" t="inlineStr"/>
      <c r="L3863" s="13" t="n">
        <v>45</v>
      </c>
      <c r="M3863" s="1">
        <f>IF(L3863="","ไม่พบใน SG",IF(ABS(J3863-L3863)&lt;0.005,"ตรงกัน","ไม่ตรง"))</f>
        <v/>
      </c>
      <c r="N3863" s="14">
        <f>IF(L3863="","",ROUND(L3863*'สรุป'!$C$6,-1))</f>
        <v/>
      </c>
      <c r="O3863" s="15" t="n"/>
      <c r="P3863" s="15" t="n"/>
      <c r="Q3863" s="10" t="n"/>
      <c r="R3863" s="10" t="n"/>
      <c r="S3863" s="16" t="inlineStr">
        <is>
          <t>https://mstgolf.co.th/products/gf3500201760</t>
        </is>
      </c>
      <c r="T3863" s="1">
        <f>IF(B3863="ไม้กอล์ฟ",J3863,"")</f>
        <v/>
      </c>
    </row>
    <row r="3864">
      <c r="A3864" s="1" t="n">
        <v>3</v>
      </c>
      <c r="B3864" s="1" t="inlineStr">
        <is>
          <t>อุปกรณ์เสริม</t>
        </is>
      </c>
      <c r="C3864" s="1" t="inlineStr">
        <is>
          <t>gf3500201762</t>
        </is>
      </c>
      <c r="D3864" s="1" t="inlineStr">
        <is>
          <t>DAPHNE Daphne Zebra Blade Putter Headcover</t>
        </is>
      </c>
      <c r="E3864" s="1" t="inlineStr">
        <is>
          <t>DAPHNE</t>
        </is>
      </c>
      <c r="F3864" s="1" t="inlineStr">
        <is>
          <t>HEADCOVERS</t>
        </is>
      </c>
      <c r="G3864" s="1" t="inlineStr">
        <is>
          <t>GF3500201762</t>
        </is>
      </c>
      <c r="H3864" s="1" t="n">
        <v>1</v>
      </c>
      <c r="I3864" s="1" t="inlineStr">
        <is>
          <t>มี</t>
        </is>
      </c>
      <c r="J3864" s="13" t="n">
        <v>45</v>
      </c>
      <c r="K3864" s="1" t="inlineStr"/>
      <c r="L3864" s="13" t="n">
        <v>45</v>
      </c>
      <c r="M3864" s="1">
        <f>IF(L3864="","ไม่พบใน SG",IF(ABS(J3864-L3864)&lt;0.005,"ตรงกัน","ไม่ตรง"))</f>
        <v/>
      </c>
      <c r="N3864" s="14">
        <f>IF(L3864="","",ROUND(L3864*'สรุป'!$C$6,-1))</f>
        <v/>
      </c>
      <c r="O3864" s="15" t="n"/>
      <c r="P3864" s="15" t="n"/>
      <c r="Q3864" s="10" t="n"/>
      <c r="R3864" s="10" t="n"/>
      <c r="S3864" s="16" t="inlineStr">
        <is>
          <t>https://mstgolf.co.th/products/gf3500201762</t>
        </is>
      </c>
      <c r="T3864" s="1">
        <f>IF(B3864="ไม้กอล์ฟ",J3864,"")</f>
        <v/>
      </c>
    </row>
    <row r="3865">
      <c r="A3865" s="1" t="n">
        <v>3</v>
      </c>
      <c r="B3865" s="1" t="inlineStr">
        <is>
          <t>อุปกรณ์เสริม</t>
        </is>
      </c>
      <c r="C3865" s="1" t="inlineStr">
        <is>
          <t>gf3500200787</t>
        </is>
      </c>
      <c r="D3865" s="1" t="inlineStr">
        <is>
          <t>DAPHNE Eagle Wood Headcover</t>
        </is>
      </c>
      <c r="E3865" s="1" t="inlineStr">
        <is>
          <t>DAPHNE</t>
        </is>
      </c>
      <c r="F3865" s="1" t="inlineStr">
        <is>
          <t>HEADCOVERS</t>
        </is>
      </c>
      <c r="G3865" s="1" t="inlineStr">
        <is>
          <t>GF3500200787</t>
        </is>
      </c>
      <c r="H3865" s="1" t="n">
        <v>1</v>
      </c>
      <c r="I3865" s="1" t="inlineStr">
        <is>
          <t>มี</t>
        </is>
      </c>
      <c r="J3865" s="13" t="n">
        <v>45</v>
      </c>
      <c r="K3865" s="1" t="inlineStr"/>
      <c r="L3865" s="13" t="n"/>
      <c r="M3865" s="1">
        <f>IF(L3865="","ไม่พบใน SG",IF(ABS(J3865-L3865)&lt;0.005,"ตรงกัน","ไม่ตรง"))</f>
        <v/>
      </c>
      <c r="N3865" s="14">
        <f>IF(L3865="","",ROUND(L3865*'สรุป'!$C$6,-1))</f>
        <v/>
      </c>
      <c r="O3865" s="15" t="n"/>
      <c r="P3865" s="15" t="n"/>
      <c r="Q3865" s="10" t="n"/>
      <c r="R3865" s="10" t="n"/>
      <c r="S3865" s="16" t="inlineStr">
        <is>
          <t>https://mstgolf.co.th/products/gf3500200787</t>
        </is>
      </c>
      <c r="T3865" s="1">
        <f>IF(B3865="ไม้กอล์ฟ",J3865,"")</f>
        <v/>
      </c>
    </row>
    <row r="3866">
      <c r="A3866" s="1" t="n">
        <v>3</v>
      </c>
      <c r="B3866" s="1" t="inlineStr">
        <is>
          <t>อุปกรณ์เสริม</t>
        </is>
      </c>
      <c r="C3866" s="1" t="inlineStr">
        <is>
          <t>gf3500201576</t>
        </is>
      </c>
      <c r="D3866" s="1" t="inlineStr">
        <is>
          <t>DAPHNE Fox Wood Headcover (Multi)</t>
        </is>
      </c>
      <c r="E3866" s="1" t="inlineStr">
        <is>
          <t>DAPHNE</t>
        </is>
      </c>
      <c r="F3866" s="1" t="inlineStr">
        <is>
          <t>HEADCOVERS</t>
        </is>
      </c>
      <c r="G3866" s="1" t="inlineStr">
        <is>
          <t>GF3500201576</t>
        </is>
      </c>
      <c r="H3866" s="1" t="n">
        <v>1</v>
      </c>
      <c r="I3866" s="1" t="inlineStr">
        <is>
          <t>มี</t>
        </is>
      </c>
      <c r="J3866" s="13" t="n">
        <v>45</v>
      </c>
      <c r="K3866" s="1" t="inlineStr"/>
      <c r="L3866" s="13" t="n">
        <v>45</v>
      </c>
      <c r="M3866" s="1">
        <f>IF(L3866="","ไม่พบใน SG",IF(ABS(J3866-L3866)&lt;0.005,"ตรงกัน","ไม่ตรง"))</f>
        <v/>
      </c>
      <c r="N3866" s="14">
        <f>IF(L3866="","",ROUND(L3866*'สรุป'!$C$6,-1))</f>
        <v/>
      </c>
      <c r="O3866" s="15" t="n"/>
      <c r="P3866" s="15" t="n"/>
      <c r="Q3866" s="10" t="n"/>
      <c r="R3866" s="10" t="n"/>
      <c r="S3866" s="16" t="inlineStr">
        <is>
          <t>https://mstgolf.co.th/products/gf3500201576</t>
        </is>
      </c>
      <c r="T3866" s="1">
        <f>IF(B3866="ไม้กอล์ฟ",J3866,"")</f>
        <v/>
      </c>
    </row>
    <row r="3867">
      <c r="A3867" s="1" t="n">
        <v>3</v>
      </c>
      <c r="B3867" s="1" t="inlineStr">
        <is>
          <t>อุปกรณ์เสริม</t>
        </is>
      </c>
      <c r="C3867" s="1" t="inlineStr">
        <is>
          <t>gf3500200789</t>
        </is>
      </c>
      <c r="D3867" s="1" t="inlineStr">
        <is>
          <t>DAPHNE Gopher Wood Headcover</t>
        </is>
      </c>
      <c r="E3867" s="1" t="inlineStr">
        <is>
          <t>DAPHNE</t>
        </is>
      </c>
      <c r="F3867" s="1" t="inlineStr">
        <is>
          <t>HEADCOVERS</t>
        </is>
      </c>
      <c r="G3867" s="1" t="inlineStr">
        <is>
          <t>GF3500200789</t>
        </is>
      </c>
      <c r="H3867" s="1" t="n">
        <v>1</v>
      </c>
      <c r="I3867" s="1" t="inlineStr">
        <is>
          <t>มี</t>
        </is>
      </c>
      <c r="J3867" s="13" t="n">
        <v>45</v>
      </c>
      <c r="K3867" s="1" t="inlineStr"/>
      <c r="L3867" s="13" t="n">
        <v>45</v>
      </c>
      <c r="M3867" s="1">
        <f>IF(L3867="","ไม่พบใน SG",IF(ABS(J3867-L3867)&lt;0.005,"ตรงกัน","ไม่ตรง"))</f>
        <v/>
      </c>
      <c r="N3867" s="14">
        <f>IF(L3867="","",ROUND(L3867*'สรุป'!$C$6,-1))</f>
        <v/>
      </c>
      <c r="O3867" s="15" t="n"/>
      <c r="P3867" s="15" t="n"/>
      <c r="Q3867" s="10" t="n"/>
      <c r="R3867" s="10" t="n"/>
      <c r="S3867" s="16" t="inlineStr">
        <is>
          <t>https://mstgolf.co.th/products/gf3500200789</t>
        </is>
      </c>
      <c r="T3867" s="1">
        <f>IF(B3867="ไม้กอล์ฟ",J3867,"")</f>
        <v/>
      </c>
    </row>
    <row r="3868">
      <c r="A3868" s="1" t="n">
        <v>3</v>
      </c>
      <c r="B3868" s="1" t="inlineStr">
        <is>
          <t>อุปกรณ์เสริม</t>
        </is>
      </c>
      <c r="C3868" s="1" t="inlineStr">
        <is>
          <t>gf3500200790</t>
        </is>
      </c>
      <c r="D3868" s="1" t="inlineStr">
        <is>
          <t>DAPHNE Gorilla Wood Headcover</t>
        </is>
      </c>
      <c r="E3868" s="1" t="inlineStr">
        <is>
          <t>DAPHNE</t>
        </is>
      </c>
      <c r="F3868" s="1" t="inlineStr">
        <is>
          <t>HEADCOVERS</t>
        </is>
      </c>
      <c r="G3868" s="1" t="inlineStr">
        <is>
          <t>GF3500200790</t>
        </is>
      </c>
      <c r="H3868" s="1" t="n">
        <v>1</v>
      </c>
      <c r="I3868" s="1" t="inlineStr">
        <is>
          <t>มี</t>
        </is>
      </c>
      <c r="J3868" s="13" t="n">
        <v>45</v>
      </c>
      <c r="K3868" s="1" t="inlineStr"/>
      <c r="L3868" s="13" t="n"/>
      <c r="M3868" s="1">
        <f>IF(L3868="","ไม่พบใน SG",IF(ABS(J3868-L3868)&lt;0.005,"ตรงกัน","ไม่ตรง"))</f>
        <v/>
      </c>
      <c r="N3868" s="14">
        <f>IF(L3868="","",ROUND(L3868*'สรุป'!$C$6,-1))</f>
        <v/>
      </c>
      <c r="O3868" s="15" t="n"/>
      <c r="P3868" s="15" t="n"/>
      <c r="Q3868" s="10" t="n"/>
      <c r="R3868" s="10" t="n"/>
      <c r="S3868" s="16" t="inlineStr">
        <is>
          <t>https://mstgolf.co.th/products/gf3500200790</t>
        </is>
      </c>
      <c r="T3868" s="1">
        <f>IF(B3868="ไม้กอล์ฟ",J3868,"")</f>
        <v/>
      </c>
    </row>
    <row r="3869">
      <c r="A3869" s="1" t="n">
        <v>3</v>
      </c>
      <c r="B3869" s="1" t="inlineStr">
        <is>
          <t>อุปกรณ์เสริม</t>
        </is>
      </c>
      <c r="C3869" s="1" t="inlineStr">
        <is>
          <t>gf3500201575</t>
        </is>
      </c>
      <c r="D3869" s="1" t="inlineStr">
        <is>
          <t>DAPHNE Pink Dragon Wood Headcover (Pink)</t>
        </is>
      </c>
      <c r="E3869" s="1" t="inlineStr">
        <is>
          <t>DAPHNE</t>
        </is>
      </c>
      <c r="F3869" s="1" t="inlineStr">
        <is>
          <t>HEADCOVERS</t>
        </is>
      </c>
      <c r="G3869" s="1" t="inlineStr">
        <is>
          <t>GF3500201575</t>
        </is>
      </c>
      <c r="H3869" s="1" t="n">
        <v>1</v>
      </c>
      <c r="I3869" s="1" t="inlineStr">
        <is>
          <t>มี</t>
        </is>
      </c>
      <c r="J3869" s="13" t="n">
        <v>45</v>
      </c>
      <c r="K3869" s="1" t="inlineStr"/>
      <c r="L3869" s="13" t="n">
        <v>45</v>
      </c>
      <c r="M3869" s="1">
        <f>IF(L3869="","ไม่พบใน SG",IF(ABS(J3869-L3869)&lt;0.005,"ตรงกัน","ไม่ตรง"))</f>
        <v/>
      </c>
      <c r="N3869" s="14">
        <f>IF(L3869="","",ROUND(L3869*'สรุป'!$C$6,-1))</f>
        <v/>
      </c>
      <c r="O3869" s="15" t="n"/>
      <c r="P3869" s="15" t="n"/>
      <c r="Q3869" s="10" t="n"/>
      <c r="R3869" s="10" t="n"/>
      <c r="S3869" s="16" t="inlineStr">
        <is>
          <t>https://mstgolf.co.th/products/gf3500201575</t>
        </is>
      </c>
      <c r="T3869" s="1">
        <f>IF(B3869="ไม้กอล์ฟ",J3869,"")</f>
        <v/>
      </c>
    </row>
    <row r="3870">
      <c r="A3870" s="1" t="n">
        <v>3</v>
      </c>
      <c r="B3870" s="1" t="inlineStr">
        <is>
          <t>อุปกรณ์เสริม</t>
        </is>
      </c>
      <c r="C3870" s="1" t="inlineStr">
        <is>
          <t>gf3500200795</t>
        </is>
      </c>
      <c r="D3870" s="1" t="inlineStr">
        <is>
          <t>DAPHNE Raccoon Wood Headcover</t>
        </is>
      </c>
      <c r="E3870" s="1" t="inlineStr">
        <is>
          <t>DAPHNE</t>
        </is>
      </c>
      <c r="F3870" s="1" t="inlineStr">
        <is>
          <t>HEADCOVERS</t>
        </is>
      </c>
      <c r="G3870" s="1" t="inlineStr">
        <is>
          <t>GF3500200795</t>
        </is>
      </c>
      <c r="H3870" s="1" t="n">
        <v>1</v>
      </c>
      <c r="I3870" s="1" t="inlineStr">
        <is>
          <t>มี</t>
        </is>
      </c>
      <c r="J3870" s="13" t="n">
        <v>45</v>
      </c>
      <c r="K3870" s="1" t="inlineStr"/>
      <c r="L3870" s="13" t="n">
        <v>45</v>
      </c>
      <c r="M3870" s="1">
        <f>IF(L3870="","ไม่พบใน SG",IF(ABS(J3870-L3870)&lt;0.005,"ตรงกัน","ไม่ตรง"))</f>
        <v/>
      </c>
      <c r="N3870" s="14">
        <f>IF(L3870="","",ROUND(L3870*'สรุป'!$C$6,-1))</f>
        <v/>
      </c>
      <c r="O3870" s="15" t="n"/>
      <c r="P3870" s="15" t="n"/>
      <c r="Q3870" s="10" t="n"/>
      <c r="R3870" s="10" t="n"/>
      <c r="S3870" s="16" t="inlineStr">
        <is>
          <t>https://mstgolf.co.th/products/gf3500200795</t>
        </is>
      </c>
      <c r="T3870" s="1">
        <f>IF(B3870="ไม้กอล์ฟ",J3870,"")</f>
        <v/>
      </c>
    </row>
    <row r="3871">
      <c r="A3871" s="1" t="n">
        <v>3</v>
      </c>
      <c r="B3871" s="1" t="inlineStr">
        <is>
          <t>อุปกรณ์เสริม</t>
        </is>
      </c>
      <c r="C3871" s="1" t="inlineStr">
        <is>
          <t>gf3500201579</t>
        </is>
      </c>
      <c r="D3871" s="1" t="inlineStr">
        <is>
          <t>DAPHNE Squirrel Wood Headcover (Multi)</t>
        </is>
      </c>
      <c r="E3871" s="1" t="inlineStr">
        <is>
          <t>DAPHNE</t>
        </is>
      </c>
      <c r="F3871" s="1" t="inlineStr">
        <is>
          <t>HEADCOVERS</t>
        </is>
      </c>
      <c r="G3871" s="1" t="inlineStr">
        <is>
          <t>GF3500201579</t>
        </is>
      </c>
      <c r="H3871" s="1" t="n">
        <v>1</v>
      </c>
      <c r="I3871" s="1" t="inlineStr">
        <is>
          <t>มี</t>
        </is>
      </c>
      <c r="J3871" s="13" t="n">
        <v>45</v>
      </c>
      <c r="K3871" s="1" t="inlineStr"/>
      <c r="L3871" s="13" t="n">
        <v>45</v>
      </c>
      <c r="M3871" s="1">
        <f>IF(L3871="","ไม่พบใน SG",IF(ABS(J3871-L3871)&lt;0.005,"ตรงกัน","ไม่ตรง"))</f>
        <v/>
      </c>
      <c r="N3871" s="14">
        <f>IF(L3871="","",ROUND(L3871*'สรุป'!$C$6,-1))</f>
        <v/>
      </c>
      <c r="O3871" s="15" t="n"/>
      <c r="P3871" s="15" t="n"/>
      <c r="Q3871" s="10" t="n"/>
      <c r="R3871" s="10" t="n"/>
      <c r="S3871" s="16" t="inlineStr">
        <is>
          <t>https://mstgolf.co.th/products/gf3500201579</t>
        </is>
      </c>
      <c r="T3871" s="1">
        <f>IF(B3871="ไม้กอล์ฟ",J3871,"")</f>
        <v/>
      </c>
    </row>
    <row r="3872">
      <c r="A3872" s="1" t="n">
        <v>3</v>
      </c>
      <c r="B3872" s="1" t="inlineStr">
        <is>
          <t>อุปกรณ์เสริม</t>
        </is>
      </c>
      <c r="C3872" s="1" t="inlineStr">
        <is>
          <t>gf3500200800</t>
        </is>
      </c>
      <c r="D3872" s="1" t="inlineStr">
        <is>
          <t>DAPHNE Tiger Wood Headcover</t>
        </is>
      </c>
      <c r="E3872" s="1" t="inlineStr">
        <is>
          <t>DAPHNE</t>
        </is>
      </c>
      <c r="F3872" s="1" t="inlineStr">
        <is>
          <t>HEADCOVERS</t>
        </is>
      </c>
      <c r="G3872" s="1" t="inlineStr">
        <is>
          <t>GF3500200800</t>
        </is>
      </c>
      <c r="H3872" s="1" t="n">
        <v>1</v>
      </c>
      <c r="I3872" s="1" t="inlineStr">
        <is>
          <t>มี</t>
        </is>
      </c>
      <c r="J3872" s="13" t="n">
        <v>45</v>
      </c>
      <c r="K3872" s="1" t="inlineStr"/>
      <c r="L3872" s="13" t="n">
        <v>45</v>
      </c>
      <c r="M3872" s="1">
        <f>IF(L3872="","ไม่พบใน SG",IF(ABS(J3872-L3872)&lt;0.005,"ตรงกัน","ไม่ตรง"))</f>
        <v/>
      </c>
      <c r="N3872" s="14">
        <f>IF(L3872="","",ROUND(L3872*'สรุป'!$C$6,-1))</f>
        <v/>
      </c>
      <c r="O3872" s="15" t="n"/>
      <c r="P3872" s="15" t="n"/>
      <c r="Q3872" s="10" t="n"/>
      <c r="R3872" s="10" t="n"/>
      <c r="S3872" s="16" t="inlineStr">
        <is>
          <t>https://mstgolf.co.th/products/gf3500200800</t>
        </is>
      </c>
      <c r="T3872" s="1">
        <f>IF(B3872="ไม้กอล์ฟ",J3872,"")</f>
        <v/>
      </c>
    </row>
    <row r="3873">
      <c r="A3873" s="1" t="n">
        <v>3</v>
      </c>
      <c r="B3873" s="1" t="inlineStr">
        <is>
          <t>เสื้อผ้า</t>
        </is>
      </c>
      <c r="C3873" s="1" t="inlineStr">
        <is>
          <t>gf2040200189</t>
        </is>
      </c>
      <c r="D3873" s="1" t="inlineStr">
        <is>
          <t>DISNEY Best Pals By Par Men's T-Shirt (White)</t>
        </is>
      </c>
      <c r="E3873" s="1" t="inlineStr">
        <is>
          <t>DISNEY</t>
        </is>
      </c>
      <c r="F3873" s="1" t="inlineStr">
        <is>
          <t>TEE SHIRT</t>
        </is>
      </c>
      <c r="G3873" s="1" t="inlineStr">
        <is>
          <t>GF2040200189XS</t>
        </is>
      </c>
      <c r="H3873" s="1" t="n">
        <v>7</v>
      </c>
      <c r="I3873" s="1" t="inlineStr">
        <is>
          <t>มี</t>
        </is>
      </c>
      <c r="J3873" s="13" t="n">
        <v>45</v>
      </c>
      <c r="K3873" s="1" t="inlineStr"/>
      <c r="L3873" s="13" t="n">
        <v>45</v>
      </c>
      <c r="M3873" s="1">
        <f>IF(L3873="","ไม่พบใน SG",IF(ABS(J3873-L3873)&lt;0.005,"ตรงกัน","ไม่ตรง"))</f>
        <v/>
      </c>
      <c r="N3873" s="14">
        <f>IF(L3873="","",ROUND(L3873*'สรุป'!$C$6,-1))</f>
        <v/>
      </c>
      <c r="O3873" s="15" t="n"/>
      <c r="P3873" s="15" t="n"/>
      <c r="Q3873" s="10" t="n"/>
      <c r="R3873" s="10" t="n"/>
      <c r="S3873" s="16" t="inlineStr">
        <is>
          <t>https://mstgolf.co.th/products/gf2040200189</t>
        </is>
      </c>
      <c r="T3873" s="1">
        <f>IF(B3873="ไม้กอล์ฟ",J3873,"")</f>
        <v/>
      </c>
    </row>
    <row r="3874">
      <c r="A3874" s="1" t="n">
        <v>3</v>
      </c>
      <c r="B3874" s="1" t="inlineStr">
        <is>
          <t>เสื้อผ้า</t>
        </is>
      </c>
      <c r="C3874" s="1" t="inlineStr">
        <is>
          <t>gf2040200191</t>
        </is>
      </c>
      <c r="D3874" s="1" t="inlineStr">
        <is>
          <t>DISNEY Daisy Golf Women's T-Shirt (Pink)</t>
        </is>
      </c>
      <c r="E3874" s="1" t="inlineStr">
        <is>
          <t>DISNEY</t>
        </is>
      </c>
      <c r="F3874" s="1" t="inlineStr">
        <is>
          <t>TEE SHIRT</t>
        </is>
      </c>
      <c r="G3874" s="1" t="inlineStr">
        <is>
          <t>GF2040200191S</t>
        </is>
      </c>
      <c r="H3874" s="1" t="n">
        <v>7</v>
      </c>
      <c r="I3874" s="1" t="inlineStr">
        <is>
          <t>มี</t>
        </is>
      </c>
      <c r="J3874" s="13" t="n">
        <v>45</v>
      </c>
      <c r="K3874" s="1" t="inlineStr"/>
      <c r="L3874" s="13" t="n">
        <v>45</v>
      </c>
      <c r="M3874" s="1">
        <f>IF(L3874="","ไม่พบใน SG",IF(ABS(J3874-L3874)&lt;0.005,"ตรงกัน","ไม่ตรง"))</f>
        <v/>
      </c>
      <c r="N3874" s="14">
        <f>IF(L3874="","",ROUND(L3874*'สรุป'!$C$6,-1))</f>
        <v/>
      </c>
      <c r="O3874" s="15" t="n"/>
      <c r="P3874" s="15" t="n"/>
      <c r="Q3874" s="10" t="n"/>
      <c r="R3874" s="10" t="n"/>
      <c r="S3874" s="16" t="inlineStr">
        <is>
          <t>https://mstgolf.co.th/products/gf2040200191</t>
        </is>
      </c>
      <c r="T3874" s="1">
        <f>IF(B3874="ไม้กอล์ฟ",J3874,"")</f>
        <v/>
      </c>
    </row>
    <row r="3875">
      <c r="A3875" s="1" t="n">
        <v>3</v>
      </c>
      <c r="B3875" s="1" t="inlineStr">
        <is>
          <t>เสื้อผ้า</t>
        </is>
      </c>
      <c r="C3875" s="1" t="inlineStr">
        <is>
          <t>gf2040200187</t>
        </is>
      </c>
      <c r="D3875" s="1" t="inlineStr">
        <is>
          <t>DISNEY Donald Men's T-Shirt (Black)</t>
        </is>
      </c>
      <c r="E3875" s="1" t="inlineStr">
        <is>
          <t>DISNEY</t>
        </is>
      </c>
      <c r="F3875" s="1" t="inlineStr">
        <is>
          <t>TEE SHIRT</t>
        </is>
      </c>
      <c r="G3875" s="1" t="inlineStr">
        <is>
          <t>GF2040200187XS</t>
        </is>
      </c>
      <c r="H3875" s="1" t="n">
        <v>7</v>
      </c>
      <c r="I3875" s="1" t="inlineStr">
        <is>
          <t>มี</t>
        </is>
      </c>
      <c r="J3875" s="13" t="n">
        <v>45</v>
      </c>
      <c r="K3875" s="1" t="inlineStr"/>
      <c r="L3875" s="13" t="n">
        <v>45</v>
      </c>
      <c r="M3875" s="1">
        <f>IF(L3875="","ไม่พบใน SG",IF(ABS(J3875-L3875)&lt;0.005,"ตรงกัน","ไม่ตรง"))</f>
        <v/>
      </c>
      <c r="N3875" s="14">
        <f>IF(L3875="","",ROUND(L3875*'สรุป'!$C$6,-1))</f>
        <v/>
      </c>
      <c r="O3875" s="15" t="n"/>
      <c r="P3875" s="15" t="n"/>
      <c r="Q3875" s="10" t="n"/>
      <c r="R3875" s="10" t="n"/>
      <c r="S3875" s="16" t="inlineStr">
        <is>
          <t>https://mstgolf.co.th/products/gf2040200187</t>
        </is>
      </c>
      <c r="T3875" s="1">
        <f>IF(B3875="ไม้กอล์ฟ",J3875,"")</f>
        <v/>
      </c>
    </row>
    <row r="3876">
      <c r="A3876" s="1" t="n">
        <v>3</v>
      </c>
      <c r="B3876" s="1" t="inlineStr">
        <is>
          <t>เสื้อผ้า</t>
        </is>
      </c>
      <c r="C3876" s="1" t="inlineStr">
        <is>
          <t>gf2040200188</t>
        </is>
      </c>
      <c r="D3876" s="1" t="inlineStr">
        <is>
          <t>DISNEY Mickey Men's T-Shirt (Pastel Yellow)</t>
        </is>
      </c>
      <c r="E3876" s="1" t="inlineStr">
        <is>
          <t>DISNEY</t>
        </is>
      </c>
      <c r="F3876" s="1" t="inlineStr">
        <is>
          <t>TEE SHIRT</t>
        </is>
      </c>
      <c r="G3876" s="1" t="inlineStr">
        <is>
          <t>GF2040200188XS</t>
        </is>
      </c>
      <c r="H3876" s="1" t="n">
        <v>7</v>
      </c>
      <c r="I3876" s="1" t="inlineStr">
        <is>
          <t>มี</t>
        </is>
      </c>
      <c r="J3876" s="13" t="n">
        <v>45</v>
      </c>
      <c r="K3876" s="1" t="inlineStr"/>
      <c r="L3876" s="13" t="n">
        <v>45</v>
      </c>
      <c r="M3876" s="1">
        <f>IF(L3876="","ไม่พบใน SG",IF(ABS(J3876-L3876)&lt;0.005,"ตรงกัน","ไม่ตรง"))</f>
        <v/>
      </c>
      <c r="N3876" s="14">
        <f>IF(L3876="","",ROUND(L3876*'สรุป'!$C$6,-1))</f>
        <v/>
      </c>
      <c r="O3876" s="15" t="n"/>
      <c r="P3876" s="15" t="n"/>
      <c r="Q3876" s="10" t="n"/>
      <c r="R3876" s="10" t="n"/>
      <c r="S3876" s="16" t="inlineStr">
        <is>
          <t>https://mstgolf.co.th/products/gf2040200188</t>
        </is>
      </c>
      <c r="T3876" s="1">
        <f>IF(B3876="ไม้กอล์ฟ",J3876,"")</f>
        <v/>
      </c>
    </row>
    <row r="3877">
      <c r="A3877" s="1" t="n">
        <v>3</v>
      </c>
      <c r="B3877" s="1" t="inlineStr">
        <is>
          <t>เสื้อผ้า</t>
        </is>
      </c>
      <c r="C3877" s="1" t="inlineStr">
        <is>
          <t>gf2040200190</t>
        </is>
      </c>
      <c r="D3877" s="1" t="inlineStr">
        <is>
          <t>DISNEY Minnie Golf Women's T-Shirt (Orchid Tin)</t>
        </is>
      </c>
      <c r="E3877" s="1" t="inlineStr">
        <is>
          <t>DISNEY</t>
        </is>
      </c>
      <c r="F3877" s="1" t="inlineStr">
        <is>
          <t>TEE SHIRT</t>
        </is>
      </c>
      <c r="G3877" s="1" t="inlineStr">
        <is>
          <t>GF2040200190S</t>
        </is>
      </c>
      <c r="H3877" s="1" t="n">
        <v>7</v>
      </c>
      <c r="I3877" s="1" t="inlineStr">
        <is>
          <t>มี</t>
        </is>
      </c>
      <c r="J3877" s="13" t="n">
        <v>45</v>
      </c>
      <c r="K3877" s="1" t="inlineStr"/>
      <c r="L3877" s="13" t="n">
        <v>45</v>
      </c>
      <c r="M3877" s="1">
        <f>IF(L3877="","ไม่พบใน SG",IF(ABS(J3877-L3877)&lt;0.005,"ตรงกัน","ไม่ตรง"))</f>
        <v/>
      </c>
      <c r="N3877" s="14">
        <f>IF(L3877="","",ROUND(L3877*'สรุป'!$C$6,-1))</f>
        <v/>
      </c>
      <c r="O3877" s="15" t="n"/>
      <c r="P3877" s="15" t="n"/>
      <c r="Q3877" s="10" t="n"/>
      <c r="R3877" s="10" t="n"/>
      <c r="S3877" s="16" t="inlineStr">
        <is>
          <t>https://mstgolf.co.th/products/gf2040200190</t>
        </is>
      </c>
      <c r="T3877" s="1">
        <f>IF(B3877="ไม้กอล์ฟ",J3877,"")</f>
        <v/>
      </c>
    </row>
    <row r="3878">
      <c r="A3878" s="1" t="n">
        <v>3</v>
      </c>
      <c r="B3878" s="1" t="inlineStr">
        <is>
          <t>อุปกรณ์เสริม</t>
        </is>
      </c>
      <c r="C3878" s="1" t="inlineStr">
        <is>
          <t>gf3500201627</t>
        </is>
      </c>
      <c r="D3878" s="1" t="inlineStr">
        <is>
          <t>GENERAL ITEM Barudan Color Skull Ice-Cream Driver Headcover</t>
        </is>
      </c>
      <c r="E3878" s="1" t="inlineStr">
        <is>
          <t>GENERAL ITEM</t>
        </is>
      </c>
      <c r="F3878" s="1" t="inlineStr">
        <is>
          <t>HEADCOVERS</t>
        </is>
      </c>
      <c r="G3878" s="1" t="inlineStr">
        <is>
          <t>GF3500201627</t>
        </is>
      </c>
      <c r="H3878" s="1" t="n">
        <v>1</v>
      </c>
      <c r="I3878" s="1" t="inlineStr">
        <is>
          <t>มี</t>
        </is>
      </c>
      <c r="J3878" s="13" t="n">
        <v>45</v>
      </c>
      <c r="K3878" s="1" t="inlineStr"/>
      <c r="L3878" s="13" t="n">
        <v>45</v>
      </c>
      <c r="M3878" s="1">
        <f>IF(L3878="","ไม่พบใน SG",IF(ABS(J3878-L3878)&lt;0.005,"ตรงกัน","ไม่ตรง"))</f>
        <v/>
      </c>
      <c r="N3878" s="14">
        <f>IF(L3878="","",ROUND(L3878*'สรุป'!$C$6,-1))</f>
        <v/>
      </c>
      <c r="O3878" s="15" t="n"/>
      <c r="P3878" s="15" t="n"/>
      <c r="Q3878" s="10" t="n"/>
      <c r="R3878" s="10" t="n"/>
      <c r="S3878" s="16" t="inlineStr">
        <is>
          <t>https://mstgolf.co.th/products/gf3500201627</t>
        </is>
      </c>
      <c r="T3878" s="1">
        <f>IF(B3878="ไม้กอล์ฟ",J3878,"")</f>
        <v/>
      </c>
    </row>
    <row r="3879">
      <c r="A3879" s="1" t="n">
        <v>3</v>
      </c>
      <c r="B3879" s="1" t="inlineStr">
        <is>
          <t>อุปกรณ์เสริม</t>
        </is>
      </c>
      <c r="C3879" s="1" t="inlineStr">
        <is>
          <t>gf3500201632</t>
        </is>
      </c>
      <c r="D3879" s="1" t="inlineStr">
        <is>
          <t>GENERAL ITEM Barudan Color Skull Ice-Cream Fairway Headcover</t>
        </is>
      </c>
      <c r="E3879" s="1" t="inlineStr">
        <is>
          <t>GENERAL ITEM</t>
        </is>
      </c>
      <c r="F3879" s="1" t="inlineStr">
        <is>
          <t>HEADCOVERS</t>
        </is>
      </c>
      <c r="G3879" s="1" t="inlineStr">
        <is>
          <t>GF3500201632</t>
        </is>
      </c>
      <c r="H3879" s="1" t="n">
        <v>1</v>
      </c>
      <c r="I3879" s="1" t="inlineStr">
        <is>
          <t>มี</t>
        </is>
      </c>
      <c r="J3879" s="13" t="n">
        <v>45</v>
      </c>
      <c r="K3879" s="1" t="inlineStr"/>
      <c r="L3879" s="13" t="n">
        <v>45</v>
      </c>
      <c r="M3879" s="1">
        <f>IF(L3879="","ไม่พบใน SG",IF(ABS(J3879-L3879)&lt;0.005,"ตรงกัน","ไม่ตรง"))</f>
        <v/>
      </c>
      <c r="N3879" s="14">
        <f>IF(L3879="","",ROUND(L3879*'สรุป'!$C$6,-1))</f>
        <v/>
      </c>
      <c r="O3879" s="15" t="n"/>
      <c r="P3879" s="15" t="n"/>
      <c r="Q3879" s="10" t="n"/>
      <c r="R3879" s="10" t="n"/>
      <c r="S3879" s="16" t="inlineStr">
        <is>
          <t>https://mstgolf.co.th/products/gf3500201632</t>
        </is>
      </c>
      <c r="T3879" s="1">
        <f>IF(B3879="ไม้กอล์ฟ",J3879,"")</f>
        <v/>
      </c>
    </row>
    <row r="3880">
      <c r="A3880" s="1" t="n">
        <v>3</v>
      </c>
      <c r="B3880" s="1" t="inlineStr">
        <is>
          <t>อุปกรณ์เสริม</t>
        </is>
      </c>
      <c r="C3880" s="1" t="inlineStr">
        <is>
          <t>gf3500201630</t>
        </is>
      </c>
      <c r="D3880" s="1" t="inlineStr">
        <is>
          <t>GENERAL ITEM Barudan Go Home Ball Driver Headcover</t>
        </is>
      </c>
      <c r="E3880" s="1" t="inlineStr">
        <is>
          <t>GENERAL ITEM</t>
        </is>
      </c>
      <c r="F3880" s="1" t="inlineStr">
        <is>
          <t>HEADCOVERS</t>
        </is>
      </c>
      <c r="G3880" s="1" t="inlineStr">
        <is>
          <t>GF3500201630</t>
        </is>
      </c>
      <c r="H3880" s="1" t="n">
        <v>1</v>
      </c>
      <c r="I3880" s="1" t="inlineStr">
        <is>
          <t>มี</t>
        </is>
      </c>
      <c r="J3880" s="13" t="n">
        <v>45</v>
      </c>
      <c r="K3880" s="1" t="inlineStr"/>
      <c r="L3880" s="13" t="n">
        <v>45</v>
      </c>
      <c r="M3880" s="1">
        <f>IF(L3880="","ไม่พบใน SG",IF(ABS(J3880-L3880)&lt;0.005,"ตรงกัน","ไม่ตรง"))</f>
        <v/>
      </c>
      <c r="N3880" s="14">
        <f>IF(L3880="","",ROUND(L3880*'สรุป'!$C$6,-1))</f>
        <v/>
      </c>
      <c r="O3880" s="15" t="n"/>
      <c r="P3880" s="15" t="n"/>
      <c r="Q3880" s="10" t="n"/>
      <c r="R3880" s="10" t="n"/>
      <c r="S3880" s="16" t="inlineStr">
        <is>
          <t>https://mstgolf.co.th/products/gf3500201630</t>
        </is>
      </c>
      <c r="T3880" s="1">
        <f>IF(B3880="ไม้กอล์ฟ",J3880,"")</f>
        <v/>
      </c>
    </row>
    <row r="3881">
      <c r="A3881" s="1" t="n">
        <v>3</v>
      </c>
      <c r="B3881" s="1" t="inlineStr">
        <is>
          <t>อุปกรณ์เสริม</t>
        </is>
      </c>
      <c r="C3881" s="1" t="inlineStr">
        <is>
          <t>gf3500201635</t>
        </is>
      </c>
      <c r="D3881" s="1" t="inlineStr">
        <is>
          <t>GENERAL ITEM Barudan Go Home Ball Fairway Headcover</t>
        </is>
      </c>
      <c r="E3881" s="1" t="inlineStr">
        <is>
          <t>GENERAL ITEM</t>
        </is>
      </c>
      <c r="F3881" s="1" t="inlineStr">
        <is>
          <t>HEADCOVERS</t>
        </is>
      </c>
      <c r="G3881" s="1" t="inlineStr">
        <is>
          <t>GF3500201635</t>
        </is>
      </c>
      <c r="H3881" s="1" t="n">
        <v>1</v>
      </c>
      <c r="I3881" s="1" t="inlineStr">
        <is>
          <t>มี</t>
        </is>
      </c>
      <c r="J3881" s="13" t="n">
        <v>45</v>
      </c>
      <c r="K3881" s="1" t="inlineStr"/>
      <c r="L3881" s="13" t="n">
        <v>45</v>
      </c>
      <c r="M3881" s="1">
        <f>IF(L3881="","ไม่พบใน SG",IF(ABS(J3881-L3881)&lt;0.005,"ตรงกัน","ไม่ตรง"))</f>
        <v/>
      </c>
      <c r="N3881" s="14">
        <f>IF(L3881="","",ROUND(L3881*'สรุป'!$C$6,-1))</f>
        <v/>
      </c>
      <c r="O3881" s="15" t="n"/>
      <c r="P3881" s="15" t="n"/>
      <c r="Q3881" s="10" t="n"/>
      <c r="R3881" s="10" t="n"/>
      <c r="S3881" s="16" t="inlineStr">
        <is>
          <t>https://mstgolf.co.th/products/gf3500201635</t>
        </is>
      </c>
      <c r="T3881" s="1">
        <f>IF(B3881="ไม้กอล์ฟ",J3881,"")</f>
        <v/>
      </c>
    </row>
    <row r="3882">
      <c r="A3882" s="1" t="n">
        <v>3</v>
      </c>
      <c r="B3882" s="1" t="inlineStr">
        <is>
          <t>อุปกรณ์เสริม</t>
        </is>
      </c>
      <c r="C3882" s="1" t="inlineStr">
        <is>
          <t>gf3500201628</t>
        </is>
      </c>
      <c r="D3882" s="1" t="inlineStr">
        <is>
          <t>GENERAL ITEM Barudan Maxico Calavera Skull Driver Headcover</t>
        </is>
      </c>
      <c r="E3882" s="1" t="inlineStr">
        <is>
          <t>GENERAL ITEM</t>
        </is>
      </c>
      <c r="F3882" s="1" t="inlineStr">
        <is>
          <t>HEADCOVERS</t>
        </is>
      </c>
      <c r="G3882" s="1" t="inlineStr">
        <is>
          <t>GF3500201628</t>
        </is>
      </c>
      <c r="H3882" s="1" t="n">
        <v>1</v>
      </c>
      <c r="I3882" s="1" t="inlineStr">
        <is>
          <t>มี</t>
        </is>
      </c>
      <c r="J3882" s="13" t="n">
        <v>45</v>
      </c>
      <c r="K3882" s="1" t="inlineStr"/>
      <c r="L3882" s="13" t="n">
        <v>45</v>
      </c>
      <c r="M3882" s="1">
        <f>IF(L3882="","ไม่พบใน SG",IF(ABS(J3882-L3882)&lt;0.005,"ตรงกัน","ไม่ตรง"))</f>
        <v/>
      </c>
      <c r="N3882" s="14">
        <f>IF(L3882="","",ROUND(L3882*'สรุป'!$C$6,-1))</f>
        <v/>
      </c>
      <c r="O3882" s="15" t="n"/>
      <c r="P3882" s="15" t="n"/>
      <c r="Q3882" s="10" t="n"/>
      <c r="R3882" s="10" t="n"/>
      <c r="S3882" s="16" t="inlineStr">
        <is>
          <t>https://mstgolf.co.th/products/gf3500201628</t>
        </is>
      </c>
      <c r="T3882" s="1">
        <f>IF(B3882="ไม้กอล์ฟ",J3882,"")</f>
        <v/>
      </c>
    </row>
    <row r="3883">
      <c r="A3883" s="1" t="n">
        <v>3</v>
      </c>
      <c r="B3883" s="1" t="inlineStr">
        <is>
          <t>อุปกรณ์เสริม</t>
        </is>
      </c>
      <c r="C3883" s="1" t="inlineStr">
        <is>
          <t>gf3500201633</t>
        </is>
      </c>
      <c r="D3883" s="1" t="inlineStr">
        <is>
          <t>GENERAL ITEM Barudan Maxico Calavera Skull Fairway Headcover</t>
        </is>
      </c>
      <c r="E3883" s="1" t="inlineStr">
        <is>
          <t>GENERAL ITEM</t>
        </is>
      </c>
      <c r="F3883" s="1" t="inlineStr">
        <is>
          <t>HEADCOVERS</t>
        </is>
      </c>
      <c r="G3883" s="1" t="inlineStr">
        <is>
          <t>GF3500201633</t>
        </is>
      </c>
      <c r="H3883" s="1" t="n">
        <v>1</v>
      </c>
      <c r="I3883" s="1" t="inlineStr">
        <is>
          <t>มี</t>
        </is>
      </c>
      <c r="J3883" s="13" t="n">
        <v>45</v>
      </c>
      <c r="K3883" s="1" t="inlineStr"/>
      <c r="L3883" s="13" t="n">
        <v>45</v>
      </c>
      <c r="M3883" s="1">
        <f>IF(L3883="","ไม่พบใน SG",IF(ABS(J3883-L3883)&lt;0.005,"ตรงกัน","ไม่ตรง"))</f>
        <v/>
      </c>
      <c r="N3883" s="14">
        <f>IF(L3883="","",ROUND(L3883*'สรุป'!$C$6,-1))</f>
        <v/>
      </c>
      <c r="O3883" s="15" t="n"/>
      <c r="P3883" s="15" t="n"/>
      <c r="Q3883" s="10" t="n"/>
      <c r="R3883" s="10" t="n"/>
      <c r="S3883" s="16" t="inlineStr">
        <is>
          <t>https://mstgolf.co.th/products/gf3500201633</t>
        </is>
      </c>
      <c r="T3883" s="1">
        <f>IF(B3883="ไม้กอล์ฟ",J3883,"")</f>
        <v/>
      </c>
    </row>
    <row r="3884">
      <c r="A3884" s="1" t="n">
        <v>3</v>
      </c>
      <c r="B3884" s="1" t="inlineStr">
        <is>
          <t>อุปกรณ์เสริม</t>
        </is>
      </c>
      <c r="C3884" s="1" t="inlineStr">
        <is>
          <t>gf3500201638</t>
        </is>
      </c>
      <c r="D3884" s="1" t="inlineStr">
        <is>
          <t>GENERAL ITEM Barudan Maxico Calavera Skull Utility Headcover</t>
        </is>
      </c>
      <c r="E3884" s="1" t="inlineStr">
        <is>
          <t>GENERAL ITEM</t>
        </is>
      </c>
      <c r="F3884" s="1" t="inlineStr">
        <is>
          <t>HEADCOVERS</t>
        </is>
      </c>
      <c r="G3884" s="1" t="inlineStr">
        <is>
          <t>GF3500201638</t>
        </is>
      </c>
      <c r="H3884" s="1" t="n">
        <v>1</v>
      </c>
      <c r="I3884" s="1" t="inlineStr">
        <is>
          <t>มี</t>
        </is>
      </c>
      <c r="J3884" s="13" t="n">
        <v>45</v>
      </c>
      <c r="K3884" s="1" t="inlineStr"/>
      <c r="L3884" s="13" t="n">
        <v>45</v>
      </c>
      <c r="M3884" s="1">
        <f>IF(L3884="","ไม่พบใน SG",IF(ABS(J3884-L3884)&lt;0.005,"ตรงกัน","ไม่ตรง"))</f>
        <v/>
      </c>
      <c r="N3884" s="14">
        <f>IF(L3884="","",ROUND(L3884*'สรุป'!$C$6,-1))</f>
        <v/>
      </c>
      <c r="O3884" s="15" t="n"/>
      <c r="P3884" s="15" t="n"/>
      <c r="Q3884" s="10" t="n"/>
      <c r="R3884" s="10" t="n"/>
      <c r="S3884" s="16" t="inlineStr">
        <is>
          <t>https://mstgolf.co.th/products/gf3500201638</t>
        </is>
      </c>
      <c r="T3884" s="1">
        <f>IF(B3884="ไม้กอล์ฟ",J3884,"")</f>
        <v/>
      </c>
    </row>
    <row r="3885">
      <c r="A3885" s="1" t="n">
        <v>3</v>
      </c>
      <c r="B3885" s="1" t="inlineStr">
        <is>
          <t>อุปกรณ์เสริม</t>
        </is>
      </c>
      <c r="C3885" s="1" t="inlineStr">
        <is>
          <t>gf3500201629</t>
        </is>
      </c>
      <c r="D3885" s="1" t="inlineStr">
        <is>
          <t>GENERAL ITEM Barudan Ninja Driver Headcover</t>
        </is>
      </c>
      <c r="E3885" s="1" t="inlineStr">
        <is>
          <t>GENERAL ITEM</t>
        </is>
      </c>
      <c r="F3885" s="1" t="inlineStr">
        <is>
          <t>HEADCOVERS</t>
        </is>
      </c>
      <c r="G3885" s="1" t="inlineStr">
        <is>
          <t>GF3500201629</t>
        </is>
      </c>
      <c r="H3885" s="1" t="n">
        <v>1</v>
      </c>
      <c r="I3885" s="1" t="inlineStr">
        <is>
          <t>มี</t>
        </is>
      </c>
      <c r="J3885" s="13" t="n">
        <v>45</v>
      </c>
      <c r="K3885" s="1" t="inlineStr"/>
      <c r="L3885" s="13" t="n">
        <v>45</v>
      </c>
      <c r="M3885" s="1">
        <f>IF(L3885="","ไม่พบใน SG",IF(ABS(J3885-L3885)&lt;0.005,"ตรงกัน","ไม่ตรง"))</f>
        <v/>
      </c>
      <c r="N3885" s="14">
        <f>IF(L3885="","",ROUND(L3885*'สรุป'!$C$6,-1))</f>
        <v/>
      </c>
      <c r="O3885" s="15" t="n"/>
      <c r="P3885" s="15" t="n"/>
      <c r="Q3885" s="10" t="n"/>
      <c r="R3885" s="10" t="n"/>
      <c r="S3885" s="16" t="inlineStr">
        <is>
          <t>https://mstgolf.co.th/products/gf3500201629</t>
        </is>
      </c>
      <c r="T3885" s="1">
        <f>IF(B3885="ไม้กอล์ฟ",J3885,"")</f>
        <v/>
      </c>
    </row>
    <row r="3886">
      <c r="A3886" s="1" t="n">
        <v>3</v>
      </c>
      <c r="B3886" s="1" t="inlineStr">
        <is>
          <t>อุปกรณ์เสริม</t>
        </is>
      </c>
      <c r="C3886" s="1" t="inlineStr">
        <is>
          <t>gf3500201634</t>
        </is>
      </c>
      <c r="D3886" s="1" t="inlineStr">
        <is>
          <t>GENERAL ITEM Barudan Ninja Fairway Headcover</t>
        </is>
      </c>
      <c r="E3886" s="1" t="inlineStr">
        <is>
          <t>GENERAL ITEM</t>
        </is>
      </c>
      <c r="F3886" s="1" t="inlineStr">
        <is>
          <t>HEADCOVERS</t>
        </is>
      </c>
      <c r="G3886" s="1" t="inlineStr">
        <is>
          <t>GF3500201634</t>
        </is>
      </c>
      <c r="H3886" s="1" t="n">
        <v>1</v>
      </c>
      <c r="I3886" s="1" t="inlineStr">
        <is>
          <t>มี</t>
        </is>
      </c>
      <c r="J3886" s="13" t="n">
        <v>45</v>
      </c>
      <c r="K3886" s="1" t="inlineStr"/>
      <c r="L3886" s="13" t="n">
        <v>45</v>
      </c>
      <c r="M3886" s="1">
        <f>IF(L3886="","ไม่พบใน SG",IF(ABS(J3886-L3886)&lt;0.005,"ตรงกัน","ไม่ตรง"))</f>
        <v/>
      </c>
      <c r="N3886" s="14">
        <f>IF(L3886="","",ROUND(L3886*'สรุป'!$C$6,-1))</f>
        <v/>
      </c>
      <c r="O3886" s="15" t="n"/>
      <c r="P3886" s="15" t="n"/>
      <c r="Q3886" s="10" t="n"/>
      <c r="R3886" s="10" t="n"/>
      <c r="S3886" s="16" t="inlineStr">
        <is>
          <t>https://mstgolf.co.th/products/gf3500201634</t>
        </is>
      </c>
      <c r="T3886" s="1">
        <f>IF(B3886="ไม้กอล์ฟ",J3886,"")</f>
        <v/>
      </c>
    </row>
    <row r="3887">
      <c r="A3887" s="1" t="n">
        <v>3</v>
      </c>
      <c r="B3887" s="1" t="inlineStr">
        <is>
          <t>อุปกรณ์เสริม</t>
        </is>
      </c>
      <c r="C3887" s="1" t="inlineStr">
        <is>
          <t>gf3500201639</t>
        </is>
      </c>
      <c r="D3887" s="1" t="inlineStr">
        <is>
          <t>GENERAL ITEM Barudan Ninja Utility Headcover</t>
        </is>
      </c>
      <c r="E3887" s="1" t="inlineStr">
        <is>
          <t>GENERAL ITEM</t>
        </is>
      </c>
      <c r="F3887" s="1" t="inlineStr">
        <is>
          <t>HEADCOVERS</t>
        </is>
      </c>
      <c r="G3887" s="1" t="inlineStr">
        <is>
          <t>GF3500201639</t>
        </is>
      </c>
      <c r="H3887" s="1" t="n">
        <v>1</v>
      </c>
      <c r="I3887" s="1" t="inlineStr">
        <is>
          <t>มี</t>
        </is>
      </c>
      <c r="J3887" s="13" t="n">
        <v>45</v>
      </c>
      <c r="K3887" s="1" t="inlineStr"/>
      <c r="L3887" s="13" t="n">
        <v>45</v>
      </c>
      <c r="M3887" s="1">
        <f>IF(L3887="","ไม่พบใน SG",IF(ABS(J3887-L3887)&lt;0.005,"ตรงกัน","ไม่ตรง"))</f>
        <v/>
      </c>
      <c r="N3887" s="14">
        <f>IF(L3887="","",ROUND(L3887*'สรุป'!$C$6,-1))</f>
        <v/>
      </c>
      <c r="O3887" s="15" t="n"/>
      <c r="P3887" s="15" t="n"/>
      <c r="Q3887" s="10" t="n"/>
      <c r="R3887" s="10" t="n"/>
      <c r="S3887" s="16" t="inlineStr">
        <is>
          <t>https://mstgolf.co.th/products/gf3500201639</t>
        </is>
      </c>
      <c r="T3887" s="1">
        <f>IF(B3887="ไม้กอล์ฟ",J3887,"")</f>
        <v/>
      </c>
    </row>
    <row r="3888">
      <c r="A3888" s="1" t="n">
        <v>3</v>
      </c>
      <c r="B3888" s="1" t="inlineStr">
        <is>
          <t>เสื้อผ้า</t>
        </is>
      </c>
      <c r="C3888" s="1" t="inlineStr">
        <is>
          <t>gf2040116982</t>
        </is>
      </c>
      <c r="D3888" s="1" t="inlineStr">
        <is>
          <t>GFORE Golfer XX Men's Shirt (Snow)</t>
        </is>
      </c>
      <c r="E3888" s="1" t="inlineStr">
        <is>
          <t>GFORE</t>
        </is>
      </c>
      <c r="F3888" s="1" t="inlineStr">
        <is>
          <t>SHORT SLEEVES</t>
        </is>
      </c>
      <c r="G3888" s="1" t="inlineStr">
        <is>
          <t>GF2040116982XS</t>
        </is>
      </c>
      <c r="H3888" s="1" t="n">
        <v>6</v>
      </c>
      <c r="I3888" s="1" t="inlineStr">
        <is>
          <t>มี</t>
        </is>
      </c>
      <c r="J3888" s="13" t="n">
        <v>45</v>
      </c>
      <c r="K3888" s="1" t="inlineStr"/>
      <c r="L3888" s="13" t="n">
        <v>45</v>
      </c>
      <c r="M3888" s="1">
        <f>IF(L3888="","ไม่พบใน SG",IF(ABS(J3888-L3888)&lt;0.005,"ตรงกัน","ไม่ตรง"))</f>
        <v/>
      </c>
      <c r="N3888" s="14">
        <f>IF(L3888="","",ROUND(L3888*'สรุป'!$C$6,-1))</f>
        <v/>
      </c>
      <c r="O3888" s="15" t="n"/>
      <c r="P3888" s="15" t="n"/>
      <c r="Q3888" s="10" t="n"/>
      <c r="R3888" s="10" t="n"/>
      <c r="S3888" s="16" t="inlineStr">
        <is>
          <t>https://mstgolf.co.th/products/gf2040116982</t>
        </is>
      </c>
      <c r="T3888" s="1">
        <f>IF(B3888="ไม้กอล์ฟ",J3888,"")</f>
        <v/>
      </c>
    </row>
    <row r="3889">
      <c r="A3889" s="1" t="n">
        <v>3</v>
      </c>
      <c r="B3889" s="1" t="inlineStr">
        <is>
          <t>เสื้อผ้า</t>
        </is>
      </c>
      <c r="C3889" s="1" t="inlineStr">
        <is>
          <t>gf2040116983</t>
        </is>
      </c>
      <c r="D3889" s="1" t="inlineStr">
        <is>
          <t>GFORE Kirby XX Men's Shirt (Cameo)</t>
        </is>
      </c>
      <c r="E3889" s="1" t="inlineStr">
        <is>
          <t>GFORE</t>
        </is>
      </c>
      <c r="F3889" s="1" t="inlineStr">
        <is>
          <t>SHORT SLEEVES</t>
        </is>
      </c>
      <c r="G3889" s="1" t="inlineStr">
        <is>
          <t>GF2040116983XS</t>
        </is>
      </c>
      <c r="H3889" s="1" t="n">
        <v>6</v>
      </c>
      <c r="I3889" s="1" t="inlineStr">
        <is>
          <t>มี</t>
        </is>
      </c>
      <c r="J3889" s="13" t="n">
        <v>45</v>
      </c>
      <c r="K3889" s="1" t="inlineStr"/>
      <c r="L3889" s="13" t="n">
        <v>45</v>
      </c>
      <c r="M3889" s="1">
        <f>IF(L3889="","ไม่พบใน SG",IF(ABS(J3889-L3889)&lt;0.005,"ตรงกัน","ไม่ตรง"))</f>
        <v/>
      </c>
      <c r="N3889" s="14">
        <f>IF(L3889="","",ROUND(L3889*'สรุป'!$C$6,-1))</f>
        <v/>
      </c>
      <c r="O3889" s="15" t="n"/>
      <c r="P3889" s="15" t="n"/>
      <c r="Q3889" s="10" t="n"/>
      <c r="R3889" s="10" t="n"/>
      <c r="S3889" s="16" t="inlineStr">
        <is>
          <t>https://mstgolf.co.th/products/gf2040116983</t>
        </is>
      </c>
      <c r="T3889" s="1">
        <f>IF(B3889="ไม้กอล์ฟ",J3889,"")</f>
        <v/>
      </c>
    </row>
    <row r="3890">
      <c r="A3890" s="1" t="n">
        <v>3</v>
      </c>
      <c r="B3890" s="1" t="inlineStr">
        <is>
          <t>เสื้อผ้า</t>
        </is>
      </c>
      <c r="C3890" s="1" t="inlineStr">
        <is>
          <t>gf2040116984</t>
        </is>
      </c>
      <c r="D3890" s="1" t="inlineStr">
        <is>
          <t>GFORE Shot XX Men's Shirt (Stone)</t>
        </is>
      </c>
      <c r="E3890" s="1" t="inlineStr">
        <is>
          <t>GFORE</t>
        </is>
      </c>
      <c r="F3890" s="1" t="inlineStr">
        <is>
          <t>SHORT SLEEVES</t>
        </is>
      </c>
      <c r="G3890" s="1" t="inlineStr">
        <is>
          <t>GF2040116984XS</t>
        </is>
      </c>
      <c r="H3890" s="1" t="n">
        <v>6</v>
      </c>
      <c r="I3890" s="1" t="inlineStr">
        <is>
          <t>มี</t>
        </is>
      </c>
      <c r="J3890" s="13" t="n">
        <v>45</v>
      </c>
      <c r="K3890" s="1" t="inlineStr"/>
      <c r="L3890" s="13" t="n">
        <v>45</v>
      </c>
      <c r="M3890" s="1">
        <f>IF(L3890="","ไม่พบใน SG",IF(ABS(J3890-L3890)&lt;0.005,"ตรงกัน","ไม่ตรง"))</f>
        <v/>
      </c>
      <c r="N3890" s="14">
        <f>IF(L3890="","",ROUND(L3890*'สรุป'!$C$6,-1))</f>
        <v/>
      </c>
      <c r="O3890" s="15" t="n"/>
      <c r="P3890" s="15" t="n"/>
      <c r="Q3890" s="10" t="n"/>
      <c r="R3890" s="10" t="n"/>
      <c r="S3890" s="16" t="inlineStr">
        <is>
          <t>https://mstgolf.co.th/products/gf2040116984</t>
        </is>
      </c>
      <c r="T3890" s="1">
        <f>IF(B3890="ไม้กอล์ฟ",J3890,"")</f>
        <v/>
      </c>
    </row>
    <row r="3891">
      <c r="A3891" s="1" t="n">
        <v>3</v>
      </c>
      <c r="B3891" s="1" t="inlineStr">
        <is>
          <t>เสื้อผ้า</t>
        </is>
      </c>
      <c r="C3891" s="1" t="inlineStr">
        <is>
          <t>gf2040120192</t>
        </is>
      </c>
      <c r="D3891" s="1" t="inlineStr">
        <is>
          <t>LE COQ SPORTIF GOLF A-Line Women's Polo (Blue)</t>
        </is>
      </c>
      <c r="E3891" s="1" t="inlineStr">
        <is>
          <t>LE COQ SPORTIF GOLF</t>
        </is>
      </c>
      <c r="F3891" s="1" t="inlineStr">
        <is>
          <t>SHORT SLEEVES</t>
        </is>
      </c>
      <c r="G3891" s="1" t="inlineStr">
        <is>
          <t>GF2040120192S</t>
        </is>
      </c>
      <c r="H3891" s="1" t="n">
        <v>6</v>
      </c>
      <c r="I3891" s="1" t="inlineStr">
        <is>
          <t>มี</t>
        </is>
      </c>
      <c r="J3891" s="13" t="n">
        <v>45</v>
      </c>
      <c r="K3891" s="1" t="inlineStr"/>
      <c r="L3891" s="13" t="n">
        <v>45</v>
      </c>
      <c r="M3891" s="1">
        <f>IF(L3891="","ไม่พบใน SG",IF(ABS(J3891-L3891)&lt;0.005,"ตรงกัน","ไม่ตรง"))</f>
        <v/>
      </c>
      <c r="N3891" s="14">
        <f>IF(L3891="","",ROUND(L3891*'สรุป'!$C$6,-1))</f>
        <v/>
      </c>
      <c r="O3891" s="15" t="n"/>
      <c r="P3891" s="15" t="n"/>
      <c r="Q3891" s="10" t="n"/>
      <c r="R3891" s="10" t="n"/>
      <c r="S3891" s="16" t="inlineStr">
        <is>
          <t>https://mstgolf.co.th/products/gf2040120192</t>
        </is>
      </c>
      <c r="T3891" s="1">
        <f>IF(B3891="ไม้กอล์ฟ",J3891,"")</f>
        <v/>
      </c>
    </row>
    <row r="3892">
      <c r="A3892" s="1" t="n">
        <v>3</v>
      </c>
      <c r="B3892" s="1" t="inlineStr">
        <is>
          <t>เสื้อผ้า</t>
        </is>
      </c>
      <c r="C3892" s="1" t="inlineStr">
        <is>
          <t>gf2040120191</t>
        </is>
      </c>
      <c r="D3892" s="1" t="inlineStr">
        <is>
          <t>LE COQ SPORTIF GOLF A-Line Women's Polo (Pink)</t>
        </is>
      </c>
      <c r="E3892" s="1" t="inlineStr">
        <is>
          <t>LE COQ SPORTIF GOLF</t>
        </is>
      </c>
      <c r="F3892" s="1" t="inlineStr">
        <is>
          <t>SHORT SLEEVES</t>
        </is>
      </c>
      <c r="G3892" s="1" t="inlineStr">
        <is>
          <t>GF2040120191S</t>
        </is>
      </c>
      <c r="H3892" s="1" t="n">
        <v>6</v>
      </c>
      <c r="I3892" s="1" t="inlineStr">
        <is>
          <t>มี</t>
        </is>
      </c>
      <c r="J3892" s="13" t="n">
        <v>45</v>
      </c>
      <c r="K3892" s="1" t="inlineStr"/>
      <c r="L3892" s="13" t="n">
        <v>45</v>
      </c>
      <c r="M3892" s="1">
        <f>IF(L3892="","ไม่พบใน SG",IF(ABS(J3892-L3892)&lt;0.005,"ตรงกัน","ไม่ตรง"))</f>
        <v/>
      </c>
      <c r="N3892" s="14">
        <f>IF(L3892="","",ROUND(L3892*'สรุป'!$C$6,-1))</f>
        <v/>
      </c>
      <c r="O3892" s="15" t="n"/>
      <c r="P3892" s="15" t="n"/>
      <c r="Q3892" s="10" t="n"/>
      <c r="R3892" s="10" t="n"/>
      <c r="S3892" s="16" t="inlineStr">
        <is>
          <t>https://mstgolf.co.th/products/gf2040120191</t>
        </is>
      </c>
      <c r="T3892" s="1">
        <f>IF(B3892="ไม้กอล์ฟ",J3892,"")</f>
        <v/>
      </c>
    </row>
    <row r="3893">
      <c r="A3893" s="1" t="n">
        <v>3</v>
      </c>
      <c r="B3893" s="1" t="inlineStr">
        <is>
          <t>เสื้อผ้า</t>
        </is>
      </c>
      <c r="C3893" s="1" t="inlineStr">
        <is>
          <t>gf2040120156</t>
        </is>
      </c>
      <c r="D3893" s="1" t="inlineStr">
        <is>
          <t>LE COQ SPORTIF GOLF Classic Plain Men's Polo (Blue)</t>
        </is>
      </c>
      <c r="E3893" s="1" t="inlineStr">
        <is>
          <t>LE COQ SPORTIF GOLF</t>
        </is>
      </c>
      <c r="F3893" s="1" t="inlineStr">
        <is>
          <t>SHORT SLEEVES</t>
        </is>
      </c>
      <c r="G3893" s="1" t="inlineStr">
        <is>
          <t>GF2040120156S</t>
        </is>
      </c>
      <c r="H3893" s="1" t="n">
        <v>6</v>
      </c>
      <c r="I3893" s="1" t="inlineStr">
        <is>
          <t>มี</t>
        </is>
      </c>
      <c r="J3893" s="13" t="n">
        <v>45</v>
      </c>
      <c r="K3893" s="1" t="inlineStr"/>
      <c r="L3893" s="13" t="n">
        <v>45</v>
      </c>
      <c r="M3893" s="1">
        <f>IF(L3893="","ไม่พบใน SG",IF(ABS(J3893-L3893)&lt;0.005,"ตรงกัน","ไม่ตรง"))</f>
        <v/>
      </c>
      <c r="N3893" s="14">
        <f>IF(L3893="","",ROUND(L3893*'สรุป'!$C$6,-1))</f>
        <v/>
      </c>
      <c r="O3893" s="15" t="n"/>
      <c r="P3893" s="15" t="n"/>
      <c r="Q3893" s="10" t="n"/>
      <c r="R3893" s="10" t="n"/>
      <c r="S3893" s="16" t="inlineStr">
        <is>
          <t>https://mstgolf.co.th/products/gf2040120156</t>
        </is>
      </c>
      <c r="T3893" s="1">
        <f>IF(B3893="ไม้กอล์ฟ",J3893,"")</f>
        <v/>
      </c>
    </row>
    <row r="3894">
      <c r="A3894" s="1" t="n">
        <v>3</v>
      </c>
      <c r="B3894" s="1" t="inlineStr">
        <is>
          <t>เสื้อผ้า</t>
        </is>
      </c>
      <c r="C3894" s="1" t="inlineStr">
        <is>
          <t>gf2040119940</t>
        </is>
      </c>
      <c r="D3894" s="1" t="inlineStr">
        <is>
          <t>LE COQ SPORTIF GOLF Color Block Pattern Women's Mock Shirt (Black)</t>
        </is>
      </c>
      <c r="E3894" s="1" t="inlineStr">
        <is>
          <t>LE COQ SPORTIF GOLF</t>
        </is>
      </c>
      <c r="F3894" s="1" t="inlineStr">
        <is>
          <t>SHORT SLEEVES</t>
        </is>
      </c>
      <c r="G3894" s="1" t="inlineStr">
        <is>
          <t>GF2040119940S</t>
        </is>
      </c>
      <c r="H3894" s="1" t="n">
        <v>6</v>
      </c>
      <c r="I3894" s="1" t="inlineStr">
        <is>
          <t>มี</t>
        </is>
      </c>
      <c r="J3894" s="13" t="n">
        <v>45</v>
      </c>
      <c r="K3894" s="1" t="inlineStr"/>
      <c r="L3894" s="13" t="n">
        <v>45</v>
      </c>
      <c r="M3894" s="1">
        <f>IF(L3894="","ไม่พบใน SG",IF(ABS(J3894-L3894)&lt;0.005,"ตรงกัน","ไม่ตรง"))</f>
        <v/>
      </c>
      <c r="N3894" s="14">
        <f>IF(L3894="","",ROUND(L3894*'สรุป'!$C$6,-1))</f>
        <v/>
      </c>
      <c r="O3894" s="15" t="n"/>
      <c r="P3894" s="15" t="n"/>
      <c r="Q3894" s="10" t="n"/>
      <c r="R3894" s="10" t="n"/>
      <c r="S3894" s="16" t="inlineStr">
        <is>
          <t>https://mstgolf.co.th/products/gf2040119940</t>
        </is>
      </c>
      <c r="T3894" s="1">
        <f>IF(B3894="ไม้กอล์ฟ",J3894,"")</f>
        <v/>
      </c>
    </row>
    <row r="3895">
      <c r="A3895" s="1" t="n">
        <v>3</v>
      </c>
      <c r="B3895" s="1" t="inlineStr">
        <is>
          <t>เสื้อผ้า</t>
        </is>
      </c>
      <c r="C3895" s="1" t="inlineStr">
        <is>
          <t>gf2040120174</t>
        </is>
      </c>
      <c r="D3895" s="1" t="inlineStr">
        <is>
          <t>LE COQ SPORTIF GOLF Color Block Pattern Women's Mock Shirt (Blue)</t>
        </is>
      </c>
      <c r="E3895" s="1" t="inlineStr">
        <is>
          <t>LE COQ SPORTIF GOLF</t>
        </is>
      </c>
      <c r="F3895" s="1" t="inlineStr">
        <is>
          <t>SHORT SLEEVES</t>
        </is>
      </c>
      <c r="G3895" s="1" t="inlineStr">
        <is>
          <t>GF2040120174S</t>
        </is>
      </c>
      <c r="H3895" s="1" t="n">
        <v>6</v>
      </c>
      <c r="I3895" s="1" t="inlineStr">
        <is>
          <t>มี</t>
        </is>
      </c>
      <c r="J3895" s="13" t="n">
        <v>45</v>
      </c>
      <c r="K3895" s="1" t="inlineStr"/>
      <c r="L3895" s="13" t="n"/>
      <c r="M3895" s="1">
        <f>IF(L3895="","ไม่พบใน SG",IF(ABS(J3895-L3895)&lt;0.005,"ตรงกัน","ไม่ตรง"))</f>
        <v/>
      </c>
      <c r="N3895" s="14">
        <f>IF(L3895="","",ROUND(L3895*'สรุป'!$C$6,-1))</f>
        <v/>
      </c>
      <c r="O3895" s="15" t="n"/>
      <c r="P3895" s="15" t="n"/>
      <c r="Q3895" s="10" t="n"/>
      <c r="R3895" s="10" t="n"/>
      <c r="S3895" s="16" t="inlineStr">
        <is>
          <t>https://mstgolf.co.th/products/gf2040120174</t>
        </is>
      </c>
      <c r="T3895" s="1">
        <f>IF(B3895="ไม้กอล์ฟ",J3895,"")</f>
        <v/>
      </c>
    </row>
    <row r="3896">
      <c r="A3896" s="1" t="n">
        <v>3</v>
      </c>
      <c r="B3896" s="1" t="inlineStr">
        <is>
          <t>หมวก</t>
        </is>
      </c>
      <c r="C3896" s="1" t="inlineStr">
        <is>
          <t>gf2000106630</t>
        </is>
      </c>
      <c r="D3896" s="1" t="inlineStr">
        <is>
          <t>LE COQ SPORTIF GOLF Comfy Fit Men's Cap (Grey)</t>
        </is>
      </c>
      <c r="E3896" s="1" t="inlineStr">
        <is>
          <t>LE COQ SPORTIF GOLF</t>
        </is>
      </c>
      <c r="F3896" s="1" t="inlineStr">
        <is>
          <t>CAP</t>
        </is>
      </c>
      <c r="G3896" s="1" t="inlineStr">
        <is>
          <t>GF2000106630FS</t>
        </is>
      </c>
      <c r="H3896" s="1" t="n">
        <v>1</v>
      </c>
      <c r="I3896" s="1" t="inlineStr">
        <is>
          <t>มี</t>
        </is>
      </c>
      <c r="J3896" s="13" t="n">
        <v>45</v>
      </c>
      <c r="K3896" s="1" t="inlineStr"/>
      <c r="L3896" s="13" t="n">
        <v>31</v>
      </c>
      <c r="M3896" s="1">
        <f>IF(L3896="","ไม่พบใน SG",IF(ABS(J3896-L3896)&lt;0.005,"ตรงกัน","ไม่ตรง"))</f>
        <v/>
      </c>
      <c r="N3896" s="14">
        <f>IF(L3896="","",ROUND(L3896*'สรุป'!$C$6,-1))</f>
        <v/>
      </c>
      <c r="O3896" s="15" t="n"/>
      <c r="P3896" s="15" t="n"/>
      <c r="Q3896" s="10" t="n"/>
      <c r="R3896" s="10" t="n"/>
      <c r="S3896" s="16" t="inlineStr">
        <is>
          <t>https://mstgolf.co.th/products/gf2000106630</t>
        </is>
      </c>
      <c r="T3896" s="1">
        <f>IF(B3896="ไม้กอล์ฟ",J3896,"")</f>
        <v/>
      </c>
    </row>
    <row r="3897">
      <c r="A3897" s="1" t="n">
        <v>3</v>
      </c>
      <c r="B3897" s="1" t="inlineStr">
        <is>
          <t>หมวก</t>
        </is>
      </c>
      <c r="C3897" s="1" t="inlineStr">
        <is>
          <t>gf2000106631</t>
        </is>
      </c>
      <c r="D3897" s="1" t="inlineStr">
        <is>
          <t>LE COQ SPORTIF GOLF Comfy Fit Men's Cap (Navy)</t>
        </is>
      </c>
      <c r="E3897" s="1" t="inlineStr">
        <is>
          <t>LE COQ SPORTIF GOLF</t>
        </is>
      </c>
      <c r="F3897" s="1" t="inlineStr">
        <is>
          <t>CAP</t>
        </is>
      </c>
      <c r="G3897" s="1" t="inlineStr">
        <is>
          <t>GF2000106631FS</t>
        </is>
      </c>
      <c r="H3897" s="1" t="n">
        <v>1</v>
      </c>
      <c r="I3897" s="1" t="inlineStr">
        <is>
          <t>มี</t>
        </is>
      </c>
      <c r="J3897" s="13" t="n">
        <v>45</v>
      </c>
      <c r="K3897" s="1" t="inlineStr"/>
      <c r="L3897" s="13" t="n">
        <v>31</v>
      </c>
      <c r="M3897" s="1">
        <f>IF(L3897="","ไม่พบใน SG",IF(ABS(J3897-L3897)&lt;0.005,"ตรงกัน","ไม่ตรง"))</f>
        <v/>
      </c>
      <c r="N3897" s="14">
        <f>IF(L3897="","",ROUND(L3897*'สรุป'!$C$6,-1))</f>
        <v/>
      </c>
      <c r="O3897" s="15" t="n"/>
      <c r="P3897" s="15" t="n"/>
      <c r="Q3897" s="10" t="n"/>
      <c r="R3897" s="10" t="n"/>
      <c r="S3897" s="16" t="inlineStr">
        <is>
          <t>https://mstgolf.co.th/products/gf2000106631</t>
        </is>
      </c>
      <c r="T3897" s="1">
        <f>IF(B3897="ไม้กอล์ฟ",J3897,"")</f>
        <v/>
      </c>
    </row>
    <row r="3898">
      <c r="A3898" s="1" t="n">
        <v>3</v>
      </c>
      <c r="B3898" s="1" t="inlineStr">
        <is>
          <t>หมวก</t>
        </is>
      </c>
      <c r="C3898" s="1" t="inlineStr">
        <is>
          <t>gf2000106632</t>
        </is>
      </c>
      <c r="D3898" s="1" t="inlineStr">
        <is>
          <t>LE COQ SPORTIF GOLF Comfy Fit Men's Cap (White)</t>
        </is>
      </c>
      <c r="E3898" s="1" t="inlineStr">
        <is>
          <t>LE COQ SPORTIF GOLF</t>
        </is>
      </c>
      <c r="F3898" s="1" t="inlineStr">
        <is>
          <t>CAP</t>
        </is>
      </c>
      <c r="G3898" s="1" t="inlineStr">
        <is>
          <t>GF2000106632FS</t>
        </is>
      </c>
      <c r="H3898" s="1" t="n">
        <v>1</v>
      </c>
      <c r="I3898" s="1" t="inlineStr">
        <is>
          <t>มี</t>
        </is>
      </c>
      <c r="J3898" s="13" t="n">
        <v>45</v>
      </c>
      <c r="K3898" s="1" t="inlineStr"/>
      <c r="L3898" s="13" t="n">
        <v>31</v>
      </c>
      <c r="M3898" s="1">
        <f>IF(L3898="","ไม่พบใน SG",IF(ABS(J3898-L3898)&lt;0.005,"ตรงกัน","ไม่ตรง"))</f>
        <v/>
      </c>
      <c r="N3898" s="14">
        <f>IF(L3898="","",ROUND(L3898*'สรุป'!$C$6,-1))</f>
        <v/>
      </c>
      <c r="O3898" s="15" t="n"/>
      <c r="P3898" s="15" t="n"/>
      <c r="Q3898" s="10" t="n"/>
      <c r="R3898" s="10" t="n"/>
      <c r="S3898" s="16" t="inlineStr">
        <is>
          <t>https://mstgolf.co.th/products/gf2000106632</t>
        </is>
      </c>
      <c r="T3898" s="1">
        <f>IF(B3898="ไม้กอล์ฟ",J3898,"")</f>
        <v/>
      </c>
    </row>
    <row r="3899">
      <c r="A3899" s="1" t="n">
        <v>3</v>
      </c>
      <c r="B3899" s="1" t="inlineStr">
        <is>
          <t>เสื้อผ้า</t>
        </is>
      </c>
      <c r="C3899" s="1" t="inlineStr">
        <is>
          <t>gf2040119962</t>
        </is>
      </c>
      <c r="D3899" s="1" t="inlineStr">
        <is>
          <t>LE COQ SPORTIF GOLF Cool Touch Petite Men's Polo (Orange)</t>
        </is>
      </c>
      <c r="E3899" s="1" t="inlineStr">
        <is>
          <t>LE COQ SPORTIF GOLF</t>
        </is>
      </c>
      <c r="F3899" s="1" t="inlineStr">
        <is>
          <t>SHORT SLEEVES</t>
        </is>
      </c>
      <c r="G3899" s="1" t="inlineStr">
        <is>
          <t>GF2040119962S</t>
        </is>
      </c>
      <c r="H3899" s="1" t="n">
        <v>6</v>
      </c>
      <c r="I3899" s="1" t="inlineStr">
        <is>
          <t>มี</t>
        </is>
      </c>
      <c r="J3899" s="13" t="n">
        <v>45</v>
      </c>
      <c r="K3899" s="1" t="inlineStr"/>
      <c r="L3899" s="13" t="n">
        <v>45</v>
      </c>
      <c r="M3899" s="1">
        <f>IF(L3899="","ไม่พบใน SG",IF(ABS(J3899-L3899)&lt;0.005,"ตรงกัน","ไม่ตรง"))</f>
        <v/>
      </c>
      <c r="N3899" s="14">
        <f>IF(L3899="","",ROUND(L3899*'สรุป'!$C$6,-1))</f>
        <v/>
      </c>
      <c r="O3899" s="15" t="n"/>
      <c r="P3899" s="15" t="n"/>
      <c r="Q3899" s="10" t="n"/>
      <c r="R3899" s="10" t="n"/>
      <c r="S3899" s="16" t="inlineStr">
        <is>
          <t>https://mstgolf.co.th/products/gf2040119962</t>
        </is>
      </c>
      <c r="T3899" s="1">
        <f>IF(B3899="ไม้กอล์ฟ",J3899,"")</f>
        <v/>
      </c>
    </row>
    <row r="3900">
      <c r="A3900" s="1" t="n">
        <v>3</v>
      </c>
      <c r="B3900" s="1" t="inlineStr">
        <is>
          <t>เสื้อผ้า</t>
        </is>
      </c>
      <c r="C3900" s="1" t="inlineStr">
        <is>
          <t>gf2040120178</t>
        </is>
      </c>
      <c r="D3900" s="1" t="inlineStr">
        <is>
          <t>LE COQ SPORTIF GOLF Large Men's Mock Shirt (Black)</t>
        </is>
      </c>
      <c r="E3900" s="1" t="inlineStr">
        <is>
          <t>LE COQ SPORTIF GOLF</t>
        </is>
      </c>
      <c r="F3900" s="1" t="inlineStr">
        <is>
          <t>SHORT SLEEVES</t>
        </is>
      </c>
      <c r="G3900" s="1" t="inlineStr">
        <is>
          <t>GF2040120178S</t>
        </is>
      </c>
      <c r="H3900" s="1" t="n">
        <v>6</v>
      </c>
      <c r="I3900" s="1" t="inlineStr">
        <is>
          <t>มี</t>
        </is>
      </c>
      <c r="J3900" s="13" t="n">
        <v>45</v>
      </c>
      <c r="K3900" s="1" t="inlineStr"/>
      <c r="L3900" s="13" t="n">
        <v>45</v>
      </c>
      <c r="M3900" s="1">
        <f>IF(L3900="","ไม่พบใน SG",IF(ABS(J3900-L3900)&lt;0.005,"ตรงกัน","ไม่ตรง"))</f>
        <v/>
      </c>
      <c r="N3900" s="14">
        <f>IF(L3900="","",ROUND(L3900*'สรุป'!$C$6,-1))</f>
        <v/>
      </c>
      <c r="O3900" s="15" t="n"/>
      <c r="P3900" s="15" t="n"/>
      <c r="Q3900" s="10" t="n"/>
      <c r="R3900" s="10" t="n"/>
      <c r="S3900" s="16" t="inlineStr">
        <is>
          <t>https://mstgolf.co.th/products/gf2040120178</t>
        </is>
      </c>
      <c r="T3900" s="1">
        <f>IF(B3900="ไม้กอล์ฟ",J3900,"")</f>
        <v/>
      </c>
    </row>
    <row r="3901">
      <c r="A3901" s="1" t="n">
        <v>3</v>
      </c>
      <c r="B3901" s="1" t="inlineStr">
        <is>
          <t>หมวก</t>
        </is>
      </c>
      <c r="C3901" s="1" t="inlineStr">
        <is>
          <t>gf2000106633</t>
        </is>
      </c>
      <c r="D3901" s="1" t="inlineStr">
        <is>
          <t>LE COQ SPORTIF GOLF Men's Cap With Head Cooler (Navy)</t>
        </is>
      </c>
      <c r="E3901" s="1" t="inlineStr">
        <is>
          <t>LE COQ SPORTIF GOLF</t>
        </is>
      </c>
      <c r="F3901" s="1" t="inlineStr">
        <is>
          <t>CAP</t>
        </is>
      </c>
      <c r="G3901" s="1" t="inlineStr">
        <is>
          <t>GF2000106633FS</t>
        </is>
      </c>
      <c r="H3901" s="1" t="n">
        <v>1</v>
      </c>
      <c r="I3901" s="1" t="inlineStr">
        <is>
          <t>มี</t>
        </is>
      </c>
      <c r="J3901" s="13" t="n">
        <v>45</v>
      </c>
      <c r="K3901" s="1" t="inlineStr"/>
      <c r="L3901" s="13" t="n">
        <v>29</v>
      </c>
      <c r="M3901" s="1">
        <f>IF(L3901="","ไม่พบใน SG",IF(ABS(J3901-L3901)&lt;0.005,"ตรงกัน","ไม่ตรง"))</f>
        <v/>
      </c>
      <c r="N3901" s="14">
        <f>IF(L3901="","",ROUND(L3901*'สรุป'!$C$6,-1))</f>
        <v/>
      </c>
      <c r="O3901" s="15" t="n"/>
      <c r="P3901" s="15" t="n"/>
      <c r="Q3901" s="10" t="n"/>
      <c r="R3901" s="10" t="n"/>
      <c r="S3901" s="16" t="inlineStr">
        <is>
          <t>https://mstgolf.co.th/products/gf2000106633</t>
        </is>
      </c>
      <c r="T3901" s="1">
        <f>IF(B3901="ไม้กอล์ฟ",J3901,"")</f>
        <v/>
      </c>
    </row>
    <row r="3902">
      <c r="A3902" s="1" t="n">
        <v>3</v>
      </c>
      <c r="B3902" s="1" t="inlineStr">
        <is>
          <t>หมวก</t>
        </is>
      </c>
      <c r="C3902" s="1" t="inlineStr">
        <is>
          <t>gf2000106634</t>
        </is>
      </c>
      <c r="D3902" s="1" t="inlineStr">
        <is>
          <t>LE COQ SPORTIF GOLF Men's Cap With Head Cooler (Red)</t>
        </is>
      </c>
      <c r="E3902" s="1" t="inlineStr">
        <is>
          <t>LE COQ SPORTIF GOLF</t>
        </is>
      </c>
      <c r="F3902" s="1" t="inlineStr">
        <is>
          <t>CAP</t>
        </is>
      </c>
      <c r="G3902" s="1" t="inlineStr">
        <is>
          <t>GF2000106634FS</t>
        </is>
      </c>
      <c r="H3902" s="1" t="n">
        <v>1</v>
      </c>
      <c r="I3902" s="1" t="inlineStr">
        <is>
          <t>มี</t>
        </is>
      </c>
      <c r="J3902" s="13" t="n">
        <v>45</v>
      </c>
      <c r="K3902" s="1" t="inlineStr"/>
      <c r="L3902" s="13" t="n">
        <v>29</v>
      </c>
      <c r="M3902" s="1">
        <f>IF(L3902="","ไม่พบใน SG",IF(ABS(J3902-L3902)&lt;0.005,"ตรงกัน","ไม่ตรง"))</f>
        <v/>
      </c>
      <c r="N3902" s="14">
        <f>IF(L3902="","",ROUND(L3902*'สรุป'!$C$6,-1))</f>
        <v/>
      </c>
      <c r="O3902" s="15" t="n"/>
      <c r="P3902" s="15" t="n"/>
      <c r="Q3902" s="10" t="n"/>
      <c r="R3902" s="10" t="n"/>
      <c r="S3902" s="16" t="inlineStr">
        <is>
          <t>https://mstgolf.co.th/products/gf2000106634</t>
        </is>
      </c>
      <c r="T3902" s="1">
        <f>IF(B3902="ไม้กอล์ฟ",J3902,"")</f>
        <v/>
      </c>
    </row>
    <row r="3903">
      <c r="A3903" s="1" t="n">
        <v>3</v>
      </c>
      <c r="B3903" s="1" t="inlineStr">
        <is>
          <t>เสื้อผ้า</t>
        </is>
      </c>
      <c r="C3903" s="1" t="inlineStr">
        <is>
          <t>gf2040119955</t>
        </is>
      </c>
      <c r="D3903" s="1" t="inlineStr">
        <is>
          <t>LE COQ SPORTIF GOLF Mondarian Graphic Jacquard Men's Polo (Blue)</t>
        </is>
      </c>
      <c r="E3903" s="1" t="inlineStr">
        <is>
          <t>LE COQ SPORTIF GOLF</t>
        </is>
      </c>
      <c r="F3903" s="1" t="inlineStr">
        <is>
          <t>SHORT SLEEVES</t>
        </is>
      </c>
      <c r="G3903" s="1" t="inlineStr">
        <is>
          <t>GF2040119955S</t>
        </is>
      </c>
      <c r="H3903" s="1" t="n">
        <v>6</v>
      </c>
      <c r="I3903" s="1" t="inlineStr">
        <is>
          <t>มี</t>
        </is>
      </c>
      <c r="J3903" s="13" t="n">
        <v>45</v>
      </c>
      <c r="K3903" s="1" t="inlineStr"/>
      <c r="L3903" s="13" t="n">
        <v>45</v>
      </c>
      <c r="M3903" s="1">
        <f>IF(L3903="","ไม่พบใน SG",IF(ABS(J3903-L3903)&lt;0.005,"ตรงกัน","ไม่ตรง"))</f>
        <v/>
      </c>
      <c r="N3903" s="14">
        <f>IF(L3903="","",ROUND(L3903*'สรุป'!$C$6,-1))</f>
        <v/>
      </c>
      <c r="O3903" s="15" t="n"/>
      <c r="P3903" s="15" t="n"/>
      <c r="Q3903" s="10" t="n"/>
      <c r="R3903" s="10" t="n"/>
      <c r="S3903" s="16" t="inlineStr">
        <is>
          <t>https://mstgolf.co.th/products/gf2040119955</t>
        </is>
      </c>
      <c r="T3903" s="1">
        <f>IF(B3903="ไม้กอล์ฟ",J3903,"")</f>
        <v/>
      </c>
    </row>
    <row r="3904">
      <c r="A3904" s="1" t="n">
        <v>3</v>
      </c>
      <c r="B3904" s="1" t="inlineStr">
        <is>
          <t>เสื้อผ้า</t>
        </is>
      </c>
      <c r="C3904" s="1" t="inlineStr">
        <is>
          <t>gf2040120170</t>
        </is>
      </c>
      <c r="D3904" s="1" t="inlineStr">
        <is>
          <t>LE COQ SPORTIF GOLF Mondarian Graphic Jacquard Men's Polo (Pink)</t>
        </is>
      </c>
      <c r="E3904" s="1" t="inlineStr">
        <is>
          <t>LE COQ SPORTIF GOLF</t>
        </is>
      </c>
      <c r="F3904" s="1" t="inlineStr">
        <is>
          <t>SHORT SLEEVES</t>
        </is>
      </c>
      <c r="G3904" s="1" t="inlineStr">
        <is>
          <t>GF2040120170S</t>
        </is>
      </c>
      <c r="H3904" s="1" t="n">
        <v>6</v>
      </c>
      <c r="I3904" s="1" t="inlineStr">
        <is>
          <t>มี</t>
        </is>
      </c>
      <c r="J3904" s="13" t="n">
        <v>45</v>
      </c>
      <c r="K3904" s="1" t="inlineStr"/>
      <c r="L3904" s="13" t="n">
        <v>45</v>
      </c>
      <c r="M3904" s="1">
        <f>IF(L3904="","ไม่พบใน SG",IF(ABS(J3904-L3904)&lt;0.005,"ตรงกัน","ไม่ตรง"))</f>
        <v/>
      </c>
      <c r="N3904" s="14">
        <f>IF(L3904="","",ROUND(L3904*'สรุป'!$C$6,-1))</f>
        <v/>
      </c>
      <c r="O3904" s="15" t="n"/>
      <c r="P3904" s="15" t="n"/>
      <c r="Q3904" s="10" t="n"/>
      <c r="R3904" s="10" t="n"/>
      <c r="S3904" s="16" t="inlineStr">
        <is>
          <t>https://mstgolf.co.th/products/gf2040120170</t>
        </is>
      </c>
      <c r="T3904" s="1">
        <f>IF(B3904="ไม้กอล์ฟ",J3904,"")</f>
        <v/>
      </c>
    </row>
    <row r="3905">
      <c r="A3905" s="1" t="n">
        <v>3</v>
      </c>
      <c r="B3905" s="1" t="inlineStr">
        <is>
          <t>หมวก</t>
        </is>
      </c>
      <c r="C3905" s="1" t="inlineStr">
        <is>
          <t>gf2000106636</t>
        </is>
      </c>
      <c r="D3905" s="1" t="inlineStr">
        <is>
          <t>LE COQ SPORTIF GOLF Seasonal Motif Men's Cap (Black)</t>
        </is>
      </c>
      <c r="E3905" s="1" t="inlineStr">
        <is>
          <t>LE COQ SPORTIF GOLF</t>
        </is>
      </c>
      <c r="F3905" s="1" t="inlineStr">
        <is>
          <t>CAP</t>
        </is>
      </c>
      <c r="G3905" s="1" t="inlineStr">
        <is>
          <t>GF2000106636FS</t>
        </is>
      </c>
      <c r="H3905" s="1" t="n">
        <v>1</v>
      </c>
      <c r="I3905" s="1" t="inlineStr">
        <is>
          <t>มี</t>
        </is>
      </c>
      <c r="J3905" s="13" t="n">
        <v>45</v>
      </c>
      <c r="K3905" s="1" t="inlineStr"/>
      <c r="L3905" s="13" t="n">
        <v>29</v>
      </c>
      <c r="M3905" s="1">
        <f>IF(L3905="","ไม่พบใน SG",IF(ABS(J3905-L3905)&lt;0.005,"ตรงกัน","ไม่ตรง"))</f>
        <v/>
      </c>
      <c r="N3905" s="14">
        <f>IF(L3905="","",ROUND(L3905*'สรุป'!$C$6,-1))</f>
        <v/>
      </c>
      <c r="O3905" s="15" t="n"/>
      <c r="P3905" s="15" t="n"/>
      <c r="Q3905" s="10" t="n"/>
      <c r="R3905" s="10" t="n"/>
      <c r="S3905" s="16" t="inlineStr">
        <is>
          <t>https://mstgolf.co.th/products/gf2000106636</t>
        </is>
      </c>
      <c r="T3905" s="1">
        <f>IF(B3905="ไม้กอล์ฟ",J3905,"")</f>
        <v/>
      </c>
    </row>
    <row r="3906">
      <c r="A3906" s="1" t="n">
        <v>3</v>
      </c>
      <c r="B3906" s="1" t="inlineStr">
        <is>
          <t>หมวก</t>
        </is>
      </c>
      <c r="C3906" s="1" t="inlineStr">
        <is>
          <t>gf2000106637</t>
        </is>
      </c>
      <c r="D3906" s="1" t="inlineStr">
        <is>
          <t>LE COQ SPORTIF GOLF Seasonal Motif Men's Cap (Grey)</t>
        </is>
      </c>
      <c r="E3906" s="1" t="inlineStr">
        <is>
          <t>LE COQ SPORTIF GOLF</t>
        </is>
      </c>
      <c r="F3906" s="1" t="inlineStr">
        <is>
          <t>CAP</t>
        </is>
      </c>
      <c r="G3906" s="1" t="inlineStr">
        <is>
          <t>GF2000106637FS</t>
        </is>
      </c>
      <c r="H3906" s="1" t="n">
        <v>1</v>
      </c>
      <c r="I3906" s="1" t="inlineStr">
        <is>
          <t>มี</t>
        </is>
      </c>
      <c r="J3906" s="13" t="n">
        <v>45</v>
      </c>
      <c r="K3906" s="1" t="inlineStr"/>
      <c r="L3906" s="13" t="n">
        <v>29</v>
      </c>
      <c r="M3906" s="1">
        <f>IF(L3906="","ไม่พบใน SG",IF(ABS(J3906-L3906)&lt;0.005,"ตรงกัน","ไม่ตรง"))</f>
        <v/>
      </c>
      <c r="N3906" s="14">
        <f>IF(L3906="","",ROUND(L3906*'สรุป'!$C$6,-1))</f>
        <v/>
      </c>
      <c r="O3906" s="15" t="n"/>
      <c r="P3906" s="15" t="n"/>
      <c r="Q3906" s="10" t="n"/>
      <c r="R3906" s="10" t="n"/>
      <c r="S3906" s="16" t="inlineStr">
        <is>
          <t>https://mstgolf.co.th/products/gf2000106637</t>
        </is>
      </c>
      <c r="T3906" s="1">
        <f>IF(B3906="ไม้กอล์ฟ",J3906,"")</f>
        <v/>
      </c>
    </row>
    <row r="3907">
      <c r="A3907" s="1" t="n">
        <v>3</v>
      </c>
      <c r="B3907" s="1" t="inlineStr">
        <is>
          <t>เสื้อผ้า</t>
        </is>
      </c>
      <c r="C3907" s="1" t="inlineStr">
        <is>
          <t>gf2040120199</t>
        </is>
      </c>
      <c r="D3907" s="1" t="inlineStr">
        <is>
          <t>LE COQ SPORTIF GOLF Vichy Jacquard Men's Mock Shirt (Blue)</t>
        </is>
      </c>
      <c r="E3907" s="1" t="inlineStr">
        <is>
          <t>LE COQ SPORTIF GOLF</t>
        </is>
      </c>
      <c r="F3907" s="1" t="inlineStr">
        <is>
          <t>SHORT SLEEVES</t>
        </is>
      </c>
      <c r="G3907" s="1" t="inlineStr">
        <is>
          <t>GF2040120199S</t>
        </is>
      </c>
      <c r="H3907" s="1" t="n">
        <v>6</v>
      </c>
      <c r="I3907" s="1" t="inlineStr">
        <is>
          <t>มี</t>
        </is>
      </c>
      <c r="J3907" s="13" t="n">
        <v>45</v>
      </c>
      <c r="K3907" s="1" t="inlineStr"/>
      <c r="L3907" s="13" t="n">
        <v>45</v>
      </c>
      <c r="M3907" s="1">
        <f>IF(L3907="","ไม่พบใน SG",IF(ABS(J3907-L3907)&lt;0.005,"ตรงกัน","ไม่ตรง"))</f>
        <v/>
      </c>
      <c r="N3907" s="14">
        <f>IF(L3907="","",ROUND(L3907*'สรุป'!$C$6,-1))</f>
        <v/>
      </c>
      <c r="O3907" s="15" t="n"/>
      <c r="P3907" s="15" t="n"/>
      <c r="Q3907" s="10" t="n"/>
      <c r="R3907" s="10" t="n"/>
      <c r="S3907" s="16" t="inlineStr">
        <is>
          <t>https://mstgolf.co.th/products/gf2040120199</t>
        </is>
      </c>
      <c r="T3907" s="1">
        <f>IF(B3907="ไม้กอล์ฟ",J3907,"")</f>
        <v/>
      </c>
    </row>
    <row r="3908">
      <c r="A3908" s="1" t="n">
        <v>3</v>
      </c>
      <c r="B3908" s="1" t="inlineStr">
        <is>
          <t>เสื้อผ้า</t>
        </is>
      </c>
      <c r="C3908" s="1" t="inlineStr">
        <is>
          <t>gf2040120200</t>
        </is>
      </c>
      <c r="D3908" s="1" t="inlineStr">
        <is>
          <t>LE COQ SPORTIF GOLF Vichy Jacquard Men's Mock Shirt (Pink)</t>
        </is>
      </c>
      <c r="E3908" s="1" t="inlineStr">
        <is>
          <t>LE COQ SPORTIF GOLF</t>
        </is>
      </c>
      <c r="F3908" s="1" t="inlineStr">
        <is>
          <t>SHORT SLEEVES</t>
        </is>
      </c>
      <c r="G3908" s="1" t="inlineStr">
        <is>
          <t>GF2040120200S</t>
        </is>
      </c>
      <c r="H3908" s="1" t="n">
        <v>6</v>
      </c>
      <c r="I3908" s="1" t="inlineStr">
        <is>
          <t>มี</t>
        </is>
      </c>
      <c r="J3908" s="13" t="n">
        <v>45</v>
      </c>
      <c r="K3908" s="1" t="inlineStr"/>
      <c r="L3908" s="13" t="n">
        <v>45</v>
      </c>
      <c r="M3908" s="1">
        <f>IF(L3908="","ไม่พบใน SG",IF(ABS(J3908-L3908)&lt;0.005,"ตรงกัน","ไม่ตรง"))</f>
        <v/>
      </c>
      <c r="N3908" s="14">
        <f>IF(L3908="","",ROUND(L3908*'สรุป'!$C$6,-1))</f>
        <v/>
      </c>
      <c r="O3908" s="15" t="n"/>
      <c r="P3908" s="15" t="n"/>
      <c r="Q3908" s="10" t="n"/>
      <c r="R3908" s="10" t="n"/>
      <c r="S3908" s="16" t="inlineStr">
        <is>
          <t>https://mstgolf.co.th/products/gf2040120200</t>
        </is>
      </c>
      <c r="T3908" s="1">
        <f>IF(B3908="ไม้กอล์ฟ",J3908,"")</f>
        <v/>
      </c>
    </row>
    <row r="3909">
      <c r="A3909" s="1" t="n">
        <v>3</v>
      </c>
      <c r="B3909" s="1" t="inlineStr">
        <is>
          <t>เสื้อผ้า</t>
        </is>
      </c>
      <c r="C3909" s="1" t="inlineStr">
        <is>
          <t>gf2070400168</t>
        </is>
      </c>
      <c r="D3909" s="1" t="inlineStr">
        <is>
          <t>LE COQ SPORTIF GOLF Women's High Neck Undershirt (White)</t>
        </is>
      </c>
      <c r="E3909" s="1" t="inlineStr">
        <is>
          <t>LE COQ SPORTIF GOLF</t>
        </is>
      </c>
      <c r="F3909" s="1" t="inlineStr">
        <is>
          <t>SHIRT</t>
        </is>
      </c>
      <c r="G3909" s="1" t="inlineStr">
        <is>
          <t>GF2070400168S</t>
        </is>
      </c>
      <c r="H3909" s="1" t="n">
        <v>4</v>
      </c>
      <c r="I3909" s="1" t="inlineStr">
        <is>
          <t>มี</t>
        </is>
      </c>
      <c r="J3909" s="13" t="n">
        <v>45</v>
      </c>
      <c r="K3909" s="1" t="inlineStr"/>
      <c r="L3909" s="13" t="n">
        <v>45</v>
      </c>
      <c r="M3909" s="1">
        <f>IF(L3909="","ไม่พบใน SG",IF(ABS(J3909-L3909)&lt;0.005,"ตรงกัน","ไม่ตรง"))</f>
        <v/>
      </c>
      <c r="N3909" s="14">
        <f>IF(L3909="","",ROUND(L3909*'สรุป'!$C$6,-1))</f>
        <v/>
      </c>
      <c r="O3909" s="15" t="n"/>
      <c r="P3909" s="15" t="n"/>
      <c r="Q3909" s="10" t="n"/>
      <c r="R3909" s="10" t="n"/>
      <c r="S3909" s="16" t="inlineStr">
        <is>
          <t>https://mstgolf.co.th/products/gf2070400168</t>
        </is>
      </c>
      <c r="T3909" s="1">
        <f>IF(B3909="ไม้กอล์ฟ",J3909,"")</f>
        <v/>
      </c>
    </row>
    <row r="3910">
      <c r="A3910" s="1" t="n">
        <v>3</v>
      </c>
      <c r="B3910" s="1" t="inlineStr">
        <is>
          <t>เสื้อผ้า</t>
        </is>
      </c>
      <c r="C3910" s="1" t="inlineStr">
        <is>
          <t>gf2040120194</t>
        </is>
      </c>
      <c r="D3910" s="1" t="inlineStr">
        <is>
          <t>LE COQ SPORTIF GOLF Women's Polo (Lime)</t>
        </is>
      </c>
      <c r="E3910" s="1" t="inlineStr">
        <is>
          <t>LE COQ SPORTIF GOLF</t>
        </is>
      </c>
      <c r="F3910" s="1" t="inlineStr">
        <is>
          <t>SHORT SLEEVES</t>
        </is>
      </c>
      <c r="G3910" s="1" t="inlineStr">
        <is>
          <t>GF2040120194S</t>
        </is>
      </c>
      <c r="H3910" s="1" t="n">
        <v>6</v>
      </c>
      <c r="I3910" s="1" t="inlineStr">
        <is>
          <t>มี</t>
        </is>
      </c>
      <c r="J3910" s="13" t="n">
        <v>45</v>
      </c>
      <c r="K3910" s="1" t="inlineStr"/>
      <c r="L3910" s="13" t="n">
        <v>45</v>
      </c>
      <c r="M3910" s="1">
        <f>IF(L3910="","ไม่พบใน SG",IF(ABS(J3910-L3910)&lt;0.005,"ตรงกัน","ไม่ตรง"))</f>
        <v/>
      </c>
      <c r="N3910" s="14">
        <f>IF(L3910="","",ROUND(L3910*'สรุป'!$C$6,-1))</f>
        <v/>
      </c>
      <c r="O3910" s="15" t="n"/>
      <c r="P3910" s="15" t="n"/>
      <c r="Q3910" s="10" t="n"/>
      <c r="R3910" s="10" t="n"/>
      <c r="S3910" s="16" t="inlineStr">
        <is>
          <t>https://mstgolf.co.th/products/gf2040120194</t>
        </is>
      </c>
      <c r="T3910" s="1">
        <f>IF(B3910="ไม้กอล์ฟ",J3910,"")</f>
        <v/>
      </c>
    </row>
    <row r="3911">
      <c r="A3911" s="1" t="n">
        <v>3</v>
      </c>
      <c r="B3911" s="1" t="inlineStr">
        <is>
          <t>เสื้อผ้า</t>
        </is>
      </c>
      <c r="C3911" s="1" t="inlineStr">
        <is>
          <t>gf2040120193</t>
        </is>
      </c>
      <c r="D3911" s="1" t="inlineStr">
        <is>
          <t>LE COQ SPORTIF GOLF Women's Polo (Navy)</t>
        </is>
      </c>
      <c r="E3911" s="1" t="inlineStr">
        <is>
          <t>LE COQ SPORTIF GOLF</t>
        </is>
      </c>
      <c r="F3911" s="1" t="inlineStr">
        <is>
          <t>SHORT SLEEVES</t>
        </is>
      </c>
      <c r="G3911" s="1" t="inlineStr">
        <is>
          <t>GF2040120193S</t>
        </is>
      </c>
      <c r="H3911" s="1" t="n">
        <v>6</v>
      </c>
      <c r="I3911" s="1" t="inlineStr">
        <is>
          <t>มี</t>
        </is>
      </c>
      <c r="J3911" s="13" t="n">
        <v>45</v>
      </c>
      <c r="K3911" s="1" t="inlineStr"/>
      <c r="L3911" s="13" t="n">
        <v>45</v>
      </c>
      <c r="M3911" s="1">
        <f>IF(L3911="","ไม่พบใน SG",IF(ABS(J3911-L3911)&lt;0.005,"ตรงกัน","ไม่ตรง"))</f>
        <v/>
      </c>
      <c r="N3911" s="14">
        <f>IF(L3911="","",ROUND(L3911*'สรุป'!$C$6,-1))</f>
        <v/>
      </c>
      <c r="O3911" s="15" t="n"/>
      <c r="P3911" s="15" t="n"/>
      <c r="Q3911" s="10" t="n"/>
      <c r="R3911" s="10" t="n"/>
      <c r="S3911" s="16" t="inlineStr">
        <is>
          <t>https://mstgolf.co.th/products/gf2040120193</t>
        </is>
      </c>
      <c r="T3911" s="1">
        <f>IF(B3911="ไม้กอล์ฟ",J3911,"")</f>
        <v/>
      </c>
    </row>
    <row r="3912">
      <c r="A3912" s="1" t="n">
        <v>3</v>
      </c>
      <c r="B3912" s="1" t="inlineStr">
        <is>
          <t>เสื้อผ้า</t>
        </is>
      </c>
      <c r="C3912" s="1" t="inlineStr">
        <is>
          <t>gf2040401024</t>
        </is>
      </c>
      <c r="D3912" s="1" t="inlineStr">
        <is>
          <t>NIKE Dri-FIT UV Advantage Women's Crew Top (Black)</t>
        </is>
      </c>
      <c r="E3912" s="1" t="inlineStr">
        <is>
          <t>NIKE</t>
        </is>
      </c>
      <c r="F3912" s="1" t="inlineStr">
        <is>
          <t>LONG SLEEVES</t>
        </is>
      </c>
      <c r="G3912" s="1" t="inlineStr">
        <is>
          <t>GF2040401024S</t>
        </is>
      </c>
      <c r="H3912" s="1" t="n">
        <v>5</v>
      </c>
      <c r="I3912" s="1" t="inlineStr">
        <is>
          <t>มี</t>
        </is>
      </c>
      <c r="J3912" s="13" t="n">
        <v>45</v>
      </c>
      <c r="K3912" s="1" t="inlineStr"/>
      <c r="L3912" s="13" t="n">
        <v>45</v>
      </c>
      <c r="M3912" s="1">
        <f>IF(L3912="","ไม่พบใน SG",IF(ABS(J3912-L3912)&lt;0.005,"ตรงกัน","ไม่ตรง"))</f>
        <v/>
      </c>
      <c r="N3912" s="14">
        <f>IF(L3912="","",ROUND(L3912*'สรุป'!$C$6,-1))</f>
        <v/>
      </c>
      <c r="O3912" s="15" t="n"/>
      <c r="P3912" s="15" t="n"/>
      <c r="Q3912" s="10" t="n"/>
      <c r="R3912" s="10" t="n"/>
      <c r="S3912" s="16" t="inlineStr">
        <is>
          <t>https://mstgolf.co.th/products/gf2040401024</t>
        </is>
      </c>
      <c r="T3912" s="1">
        <f>IF(B3912="ไม้กอล์ฟ",J3912,"")</f>
        <v/>
      </c>
    </row>
    <row r="3913">
      <c r="A3913" s="1" t="n">
        <v>3</v>
      </c>
      <c r="B3913" s="1" t="inlineStr">
        <is>
          <t>เสื้อผ้า</t>
        </is>
      </c>
      <c r="C3913" s="1" t="inlineStr">
        <is>
          <t>gf2040401025</t>
        </is>
      </c>
      <c r="D3913" s="1" t="inlineStr">
        <is>
          <t>NIKE Dri-FIT UV Advantage Women's Crew Top (White)</t>
        </is>
      </c>
      <c r="E3913" s="1" t="inlineStr">
        <is>
          <t>NIKE</t>
        </is>
      </c>
      <c r="F3913" s="1" t="inlineStr">
        <is>
          <t>LONG SLEEVES</t>
        </is>
      </c>
      <c r="G3913" s="1" t="inlineStr">
        <is>
          <t>GF2040401025S</t>
        </is>
      </c>
      <c r="H3913" s="1" t="n">
        <v>5</v>
      </c>
      <c r="I3913" s="1" t="inlineStr">
        <is>
          <t>มี</t>
        </is>
      </c>
      <c r="J3913" s="13" t="n">
        <v>45</v>
      </c>
      <c r="K3913" s="1" t="inlineStr"/>
      <c r="L3913" s="13" t="n">
        <v>45</v>
      </c>
      <c r="M3913" s="1">
        <f>IF(L3913="","ไม่พบใน SG",IF(ABS(J3913-L3913)&lt;0.005,"ตรงกัน","ไม่ตรง"))</f>
        <v/>
      </c>
      <c r="N3913" s="14">
        <f>IF(L3913="","",ROUND(L3913*'สรุป'!$C$6,-1))</f>
        <v/>
      </c>
      <c r="O3913" s="15" t="n"/>
      <c r="P3913" s="15" t="n"/>
      <c r="Q3913" s="10" t="n"/>
      <c r="R3913" s="10" t="n"/>
      <c r="S3913" s="16" t="inlineStr">
        <is>
          <t>https://mstgolf.co.th/products/gf2040401025</t>
        </is>
      </c>
      <c r="T3913" s="1">
        <f>IF(B3913="ไม้กอล์ฟ",J3913,"")</f>
        <v/>
      </c>
    </row>
    <row r="3914">
      <c r="A3914" s="1" t="n">
        <v>3</v>
      </c>
      <c r="B3914" s="1" t="inlineStr">
        <is>
          <t>เสื้อผ้า</t>
        </is>
      </c>
      <c r="C3914" s="1" t="inlineStr">
        <is>
          <t>gf2040401157</t>
        </is>
      </c>
      <c r="D3914" s="1" t="inlineStr">
        <is>
          <t>NIKE Victory Solid Men's Long Sleeve Polo (Royal Tint)</t>
        </is>
      </c>
      <c r="E3914" s="1" t="inlineStr">
        <is>
          <t>NIKE</t>
        </is>
      </c>
      <c r="F3914" s="1" t="inlineStr">
        <is>
          <t>LONG SLEEVES</t>
        </is>
      </c>
      <c r="G3914" s="1" t="inlineStr">
        <is>
          <t>GF2040401157S</t>
        </is>
      </c>
      <c r="H3914" s="1" t="n">
        <v>5</v>
      </c>
      <c r="I3914" s="1" t="inlineStr">
        <is>
          <t>มี</t>
        </is>
      </c>
      <c r="J3914" s="13" t="n">
        <v>45</v>
      </c>
      <c r="K3914" s="1" t="inlineStr"/>
      <c r="L3914" s="13" t="n">
        <v>45</v>
      </c>
      <c r="M3914" s="1">
        <f>IF(L3914="","ไม่พบใน SG",IF(ABS(J3914-L3914)&lt;0.005,"ตรงกัน","ไม่ตรง"))</f>
        <v/>
      </c>
      <c r="N3914" s="14">
        <f>IF(L3914="","",ROUND(L3914*'สรุป'!$C$6,-1))</f>
        <v/>
      </c>
      <c r="O3914" s="15" t="n"/>
      <c r="P3914" s="15" t="n"/>
      <c r="Q3914" s="10" t="n"/>
      <c r="R3914" s="10" t="n"/>
      <c r="S3914" s="16" t="inlineStr">
        <is>
          <t>https://mstgolf.co.th/products/gf2040401157</t>
        </is>
      </c>
      <c r="T3914" s="1">
        <f>IF(B3914="ไม้กอล์ฟ",J3914,"")</f>
        <v/>
      </c>
    </row>
    <row r="3915">
      <c r="A3915" s="1" t="n">
        <v>3</v>
      </c>
      <c r="B3915" s="1" t="inlineStr">
        <is>
          <t>อุปกรณ์เสริม</t>
        </is>
      </c>
      <c r="C3915" s="1" t="inlineStr">
        <is>
          <t>gf3500200939</t>
        </is>
      </c>
      <c r="D3915" s="1" t="inlineStr">
        <is>
          <t>ONOFF Utility Headcover (Grey)</t>
        </is>
      </c>
      <c r="E3915" s="1" t="inlineStr">
        <is>
          <t>ONOFF</t>
        </is>
      </c>
      <c r="F3915" s="1" t="inlineStr">
        <is>
          <t>HEADCOVERS</t>
        </is>
      </c>
      <c r="G3915" s="1" t="inlineStr">
        <is>
          <t>GF3500200939</t>
        </is>
      </c>
      <c r="H3915" s="1" t="n">
        <v>1</v>
      </c>
      <c r="I3915" s="1" t="inlineStr">
        <is>
          <t>มี</t>
        </is>
      </c>
      <c r="J3915" s="13" t="n">
        <v>45</v>
      </c>
      <c r="K3915" s="1" t="inlineStr"/>
      <c r="L3915" s="13" t="n">
        <v>45</v>
      </c>
      <c r="M3915" s="1">
        <f>IF(L3915="","ไม่พบใน SG",IF(ABS(J3915-L3915)&lt;0.005,"ตรงกัน","ไม่ตรง"))</f>
        <v/>
      </c>
      <c r="N3915" s="14">
        <f>IF(L3915="","",ROUND(L3915*'สรุป'!$C$6,-1))</f>
        <v/>
      </c>
      <c r="O3915" s="15" t="n"/>
      <c r="P3915" s="15" t="n"/>
      <c r="Q3915" s="10" t="n"/>
      <c r="R3915" s="10" t="n"/>
      <c r="S3915" s="16" t="inlineStr">
        <is>
          <t>https://mstgolf.co.th/products/gf3500200939</t>
        </is>
      </c>
      <c r="T3915" s="1">
        <f>IF(B3915="ไม้กอล์ฟ",J3915,"")</f>
        <v/>
      </c>
    </row>
    <row r="3916">
      <c r="A3916" s="1" t="n">
        <v>3</v>
      </c>
      <c r="B3916" s="1" t="inlineStr">
        <is>
          <t>เสื้อผ้า</t>
        </is>
      </c>
      <c r="C3916" s="1" t="inlineStr">
        <is>
          <t>gf2040400818</t>
        </is>
      </c>
      <c r="D3916" s="1" t="inlineStr">
        <is>
          <t>PUMA CLOUDSPUN Women's Long Sleeve Polo (Carnation Pink)</t>
        </is>
      </c>
      <c r="E3916" s="1" t="inlineStr">
        <is>
          <t>PUMA</t>
        </is>
      </c>
      <c r="F3916" s="1" t="inlineStr">
        <is>
          <t>LONG SLEEVES</t>
        </is>
      </c>
      <c r="G3916" s="1" t="inlineStr">
        <is>
          <t>GF2040400818XS</t>
        </is>
      </c>
      <c r="H3916" s="1" t="n">
        <v>6</v>
      </c>
      <c r="I3916" s="1" t="inlineStr">
        <is>
          <t>มี</t>
        </is>
      </c>
      <c r="J3916" s="13" t="n">
        <v>45</v>
      </c>
      <c r="K3916" s="1" t="inlineStr"/>
      <c r="L3916" s="13" t="n">
        <v>45</v>
      </c>
      <c r="M3916" s="1">
        <f>IF(L3916="","ไม่พบใน SG",IF(ABS(J3916-L3916)&lt;0.005,"ตรงกัน","ไม่ตรง"))</f>
        <v/>
      </c>
      <c r="N3916" s="14">
        <f>IF(L3916="","",ROUND(L3916*'สรุป'!$C$6,-1))</f>
        <v/>
      </c>
      <c r="O3916" s="15" t="n"/>
      <c r="P3916" s="15" t="n"/>
      <c r="Q3916" s="10" t="n"/>
      <c r="R3916" s="10" t="n"/>
      <c r="S3916" s="16" t="inlineStr">
        <is>
          <t>https://mstgolf.co.th/products/gf2040400818</t>
        </is>
      </c>
      <c r="T3916" s="1">
        <f>IF(B3916="ไม้กอล์ฟ",J3916,"")</f>
        <v/>
      </c>
    </row>
    <row r="3917">
      <c r="A3917" s="1" t="n">
        <v>3</v>
      </c>
      <c r="B3917" s="1" t="inlineStr">
        <is>
          <t>เสื้อผ้า</t>
        </is>
      </c>
      <c r="C3917" s="1" t="inlineStr">
        <is>
          <t>gf2040115062</t>
        </is>
      </c>
      <c r="D3917" s="1" t="inlineStr">
        <is>
          <t>PUMA Cloudspun Colorblock Men's Polo (Dark Sage)</t>
        </is>
      </c>
      <c r="E3917" s="1" t="inlineStr">
        <is>
          <t>PUMA</t>
        </is>
      </c>
      <c r="F3917" s="1" t="inlineStr">
        <is>
          <t>SHORT SLEEVES</t>
        </is>
      </c>
      <c r="G3917" s="1" t="inlineStr">
        <is>
          <t>GF2040115062S</t>
        </is>
      </c>
      <c r="H3917" s="1" t="n">
        <v>5</v>
      </c>
      <c r="I3917" s="1" t="inlineStr">
        <is>
          <t>มี</t>
        </is>
      </c>
      <c r="J3917" s="13" t="n">
        <v>45</v>
      </c>
      <c r="K3917" s="1" t="inlineStr"/>
      <c r="L3917" s="13" t="n">
        <v>45</v>
      </c>
      <c r="M3917" s="1">
        <f>IF(L3917="","ไม่พบใน SG",IF(ABS(J3917-L3917)&lt;0.005,"ตรงกัน","ไม่ตรง"))</f>
        <v/>
      </c>
      <c r="N3917" s="14">
        <f>IF(L3917="","",ROUND(L3917*'สรุป'!$C$6,-1))</f>
        <v/>
      </c>
      <c r="O3917" s="15" t="n"/>
      <c r="P3917" s="15" t="n"/>
      <c r="Q3917" s="10" t="n"/>
      <c r="R3917" s="10" t="n"/>
      <c r="S3917" s="16" t="inlineStr">
        <is>
          <t>https://mstgolf.co.th/products/gf2040115062</t>
        </is>
      </c>
      <c r="T3917" s="1">
        <f>IF(B3917="ไม้กอล์ฟ",J3917,"")</f>
        <v/>
      </c>
    </row>
    <row r="3918">
      <c r="A3918" s="1" t="n">
        <v>3</v>
      </c>
      <c r="B3918" s="1" t="inlineStr">
        <is>
          <t>เสื้อผ้า</t>
        </is>
      </c>
      <c r="C3918" s="1" t="inlineStr">
        <is>
          <t>gf2040116630</t>
        </is>
      </c>
      <c r="D3918" s="1" t="inlineStr">
        <is>
          <t>PUMA MATTR Fern Women's Polo (Bold Blue)</t>
        </is>
      </c>
      <c r="E3918" s="1" t="inlineStr">
        <is>
          <t>PUMA</t>
        </is>
      </c>
      <c r="F3918" s="1" t="inlineStr">
        <is>
          <t>SHORT SLEEVES</t>
        </is>
      </c>
      <c r="G3918" s="1" t="inlineStr">
        <is>
          <t>GF2040116630XS</t>
        </is>
      </c>
      <c r="H3918" s="1" t="n">
        <v>6</v>
      </c>
      <c r="I3918" s="1" t="inlineStr">
        <is>
          <t>มี</t>
        </is>
      </c>
      <c r="J3918" s="13" t="n">
        <v>45</v>
      </c>
      <c r="K3918" s="1" t="inlineStr"/>
      <c r="L3918" s="13" t="n">
        <v>45</v>
      </c>
      <c r="M3918" s="1">
        <f>IF(L3918="","ไม่พบใน SG",IF(ABS(J3918-L3918)&lt;0.005,"ตรงกัน","ไม่ตรง"))</f>
        <v/>
      </c>
      <c r="N3918" s="14">
        <f>IF(L3918="","",ROUND(L3918*'สรุป'!$C$6,-1))</f>
        <v/>
      </c>
      <c r="O3918" s="15" t="n"/>
      <c r="P3918" s="15" t="n"/>
      <c r="Q3918" s="10" t="n"/>
      <c r="R3918" s="10" t="n"/>
      <c r="S3918" s="16" t="inlineStr">
        <is>
          <t>https://mstgolf.co.th/products/gf2040116630</t>
        </is>
      </c>
      <c r="T3918" s="1">
        <f>IF(B3918="ไม้กอล์ฟ",J3918,"")</f>
        <v/>
      </c>
    </row>
    <row r="3919">
      <c r="A3919" s="1" t="n">
        <v>3</v>
      </c>
      <c r="B3919" s="1" t="inlineStr">
        <is>
          <t>เสื้อผ้า</t>
        </is>
      </c>
      <c r="C3919" s="1" t="inlineStr">
        <is>
          <t>gf2070400032</t>
        </is>
      </c>
      <c r="D3919" s="1" t="inlineStr">
        <is>
          <t>PUMA Sun Crew Women's Long Sleeve Shirt (Black)</t>
        </is>
      </c>
      <c r="E3919" s="1" t="inlineStr">
        <is>
          <t>PUMA</t>
        </is>
      </c>
      <c r="F3919" s="1" t="inlineStr">
        <is>
          <t>SHIRT</t>
        </is>
      </c>
      <c r="G3919" s="1" t="inlineStr">
        <is>
          <t>GF2070400032XS</t>
        </is>
      </c>
      <c r="H3919" s="1" t="n">
        <v>5</v>
      </c>
      <c r="I3919" s="1" t="inlineStr">
        <is>
          <t>มี</t>
        </is>
      </c>
      <c r="J3919" s="13" t="n">
        <v>45</v>
      </c>
      <c r="K3919" s="1" t="inlineStr"/>
      <c r="L3919" s="13" t="n">
        <v>45</v>
      </c>
      <c r="M3919" s="1">
        <f>IF(L3919="","ไม่พบใน SG",IF(ABS(J3919-L3919)&lt;0.005,"ตรงกัน","ไม่ตรง"))</f>
        <v/>
      </c>
      <c r="N3919" s="14">
        <f>IF(L3919="","",ROUND(L3919*'สรุป'!$C$6,-1))</f>
        <v/>
      </c>
      <c r="O3919" s="15" t="n"/>
      <c r="P3919" s="15" t="n"/>
      <c r="Q3919" s="10" t="n"/>
      <c r="R3919" s="10" t="n"/>
      <c r="S3919" s="16" t="inlineStr">
        <is>
          <t>https://mstgolf.co.th/products/gf2070400032</t>
        </is>
      </c>
      <c r="T3919" s="1">
        <f>IF(B3919="ไม้กอล์ฟ",J3919,"")</f>
        <v/>
      </c>
    </row>
    <row r="3920">
      <c r="A3920" s="1" t="n">
        <v>3</v>
      </c>
      <c r="B3920" s="1" t="inlineStr">
        <is>
          <t>เสื้อผ้า</t>
        </is>
      </c>
      <c r="C3920" s="1" t="inlineStr">
        <is>
          <t>gf2020202239</t>
        </is>
      </c>
      <c r="D3920" s="1" t="inlineStr">
        <is>
          <t>PUMA x Duvin Vented Men's Shorts (Black)</t>
        </is>
      </c>
      <c r="E3920" s="1" t="inlineStr">
        <is>
          <t>PUMA</t>
        </is>
      </c>
      <c r="F3920" s="1" t="inlineStr">
        <is>
          <t>SHORT PANTS</t>
        </is>
      </c>
      <c r="G3920" s="1" t="inlineStr">
        <is>
          <t>GF2020202239XS</t>
        </is>
      </c>
      <c r="H3920" s="1" t="n">
        <v>5</v>
      </c>
      <c r="I3920" s="1" t="inlineStr">
        <is>
          <t>มี</t>
        </is>
      </c>
      <c r="J3920" s="13" t="n">
        <v>45</v>
      </c>
      <c r="K3920" s="1" t="inlineStr"/>
      <c r="L3920" s="13" t="n">
        <v>35</v>
      </c>
      <c r="M3920" s="1">
        <f>IF(L3920="","ไม่พบใน SG",IF(ABS(J3920-L3920)&lt;0.005,"ตรงกัน","ไม่ตรง"))</f>
        <v/>
      </c>
      <c r="N3920" s="14">
        <f>IF(L3920="","",ROUND(L3920*'สรุป'!$C$6,-1))</f>
        <v/>
      </c>
      <c r="O3920" s="15" t="n"/>
      <c r="P3920" s="15" t="n"/>
      <c r="Q3920" s="10" t="n"/>
      <c r="R3920" s="10" t="n"/>
      <c r="S3920" s="16" t="inlineStr">
        <is>
          <t>https://mstgolf.co.th/products/gf2020202239</t>
        </is>
      </c>
      <c r="T3920" s="1">
        <f>IF(B3920="ไม้กอล์ฟ",J3920,"")</f>
        <v/>
      </c>
    </row>
    <row r="3921">
      <c r="A3921" s="1" t="n">
        <v>3</v>
      </c>
      <c r="B3921" s="1" t="inlineStr">
        <is>
          <t>เสื้อผ้า</t>
        </is>
      </c>
      <c r="C3921" s="1" t="inlineStr">
        <is>
          <t>gf2110100192</t>
        </is>
      </c>
      <c r="D3921" s="1" t="inlineStr">
        <is>
          <t>SPARMS SP Arms Sun Sleeves (Black)</t>
        </is>
      </c>
      <c r="E3921" s="1" t="inlineStr">
        <is>
          <t>SPARMS</t>
        </is>
      </c>
      <c r="F3921" s="1" t="inlineStr">
        <is>
          <t>ARM GLOVE</t>
        </is>
      </c>
      <c r="G3921" s="1" t="inlineStr">
        <is>
          <t>GF2110100192XS</t>
        </is>
      </c>
      <c r="H3921" s="1" t="n">
        <v>6</v>
      </c>
      <c r="I3921" s="1" t="inlineStr">
        <is>
          <t>มี</t>
        </is>
      </c>
      <c r="J3921" s="13" t="n">
        <v>45</v>
      </c>
      <c r="K3921" s="1" t="inlineStr"/>
      <c r="L3921" s="13" t="n">
        <v>45</v>
      </c>
      <c r="M3921" s="1">
        <f>IF(L3921="","ไม่พบใน SG",IF(ABS(J3921-L3921)&lt;0.005,"ตรงกัน","ไม่ตรง"))</f>
        <v/>
      </c>
      <c r="N3921" s="14">
        <f>IF(L3921="","",ROUND(L3921*'สรุป'!$C$6,-1))</f>
        <v/>
      </c>
      <c r="O3921" s="15" t="n"/>
      <c r="P3921" s="15" t="n"/>
      <c r="Q3921" s="10" t="n"/>
      <c r="R3921" s="10" t="n"/>
      <c r="S3921" s="16" t="inlineStr">
        <is>
          <t>https://mstgolf.co.th/products/gf2110100192</t>
        </is>
      </c>
      <c r="T3921" s="1">
        <f>IF(B3921="ไม้กอล์ฟ",J3921,"")</f>
        <v/>
      </c>
    </row>
    <row r="3922">
      <c r="A3922" s="1" t="n">
        <v>3</v>
      </c>
      <c r="B3922" s="1" t="inlineStr">
        <is>
          <t>เสื้อผ้า</t>
        </is>
      </c>
      <c r="C3922" s="1" t="inlineStr">
        <is>
          <t>gf2110100194</t>
        </is>
      </c>
      <c r="D3922" s="1" t="inlineStr">
        <is>
          <t>SPARMS SP Arms Sun Sleeves (Grey)</t>
        </is>
      </c>
      <c r="E3922" s="1" t="inlineStr">
        <is>
          <t>SPARMS</t>
        </is>
      </c>
      <c r="F3922" s="1" t="inlineStr">
        <is>
          <t>ARM GLOVE</t>
        </is>
      </c>
      <c r="G3922" s="1" t="inlineStr">
        <is>
          <t>GF2110100194XS</t>
        </is>
      </c>
      <c r="H3922" s="1" t="n">
        <v>5</v>
      </c>
      <c r="I3922" s="1" t="inlineStr">
        <is>
          <t>มี</t>
        </is>
      </c>
      <c r="J3922" s="13" t="n">
        <v>45</v>
      </c>
      <c r="K3922" s="1" t="inlineStr"/>
      <c r="L3922" s="13" t="n">
        <v>45</v>
      </c>
      <c r="M3922" s="1">
        <f>IF(L3922="","ไม่พบใน SG",IF(ABS(J3922-L3922)&lt;0.005,"ตรงกัน","ไม่ตรง"))</f>
        <v/>
      </c>
      <c r="N3922" s="14">
        <f>IF(L3922="","",ROUND(L3922*'สรุป'!$C$6,-1))</f>
        <v/>
      </c>
      <c r="O3922" s="15" t="n"/>
      <c r="P3922" s="15" t="n"/>
      <c r="Q3922" s="10" t="n"/>
      <c r="R3922" s="10" t="n"/>
      <c r="S3922" s="16" t="inlineStr">
        <is>
          <t>https://mstgolf.co.th/products/gf2110100194</t>
        </is>
      </c>
      <c r="T3922" s="1">
        <f>IF(B3922="ไม้กอล์ฟ",J3922,"")</f>
        <v/>
      </c>
    </row>
    <row r="3923">
      <c r="A3923" s="1" t="n">
        <v>3</v>
      </c>
      <c r="B3923" s="1" t="inlineStr">
        <is>
          <t>เสื้อผ้า</t>
        </is>
      </c>
      <c r="C3923" s="1" t="inlineStr">
        <is>
          <t>gf2110100193</t>
        </is>
      </c>
      <c r="D3923" s="1" t="inlineStr">
        <is>
          <t>SPARMS SP Arms Sun Sleeves (Latte)</t>
        </is>
      </c>
      <c r="E3923" s="1" t="inlineStr">
        <is>
          <t>SPARMS</t>
        </is>
      </c>
      <c r="F3923" s="1" t="inlineStr">
        <is>
          <t>ARM GLOVE</t>
        </is>
      </c>
      <c r="G3923" s="1" t="inlineStr">
        <is>
          <t>GF2110100193XS</t>
        </is>
      </c>
      <c r="H3923" s="1" t="n">
        <v>5</v>
      </c>
      <c r="I3923" s="1" t="inlineStr">
        <is>
          <t>มี</t>
        </is>
      </c>
      <c r="J3923" s="13" t="n">
        <v>45</v>
      </c>
      <c r="K3923" s="1" t="inlineStr"/>
      <c r="L3923" s="13" t="n">
        <v>45</v>
      </c>
      <c r="M3923" s="1">
        <f>IF(L3923="","ไม่พบใน SG",IF(ABS(J3923-L3923)&lt;0.005,"ตรงกัน","ไม่ตรง"))</f>
        <v/>
      </c>
      <c r="N3923" s="14">
        <f>IF(L3923="","",ROUND(L3923*'สรุป'!$C$6,-1))</f>
        <v/>
      </c>
      <c r="O3923" s="15" t="n"/>
      <c r="P3923" s="15" t="n"/>
      <c r="Q3923" s="10" t="n"/>
      <c r="R3923" s="10" t="n"/>
      <c r="S3923" s="16" t="inlineStr">
        <is>
          <t>https://mstgolf.co.th/products/gf2110100193</t>
        </is>
      </c>
      <c r="T3923" s="1">
        <f>IF(B3923="ไม้กอล์ฟ",J3923,"")</f>
        <v/>
      </c>
    </row>
    <row r="3924">
      <c r="A3924" s="1" t="n">
        <v>3</v>
      </c>
      <c r="B3924" s="1" t="inlineStr">
        <is>
          <t>เสื้อผ้า</t>
        </is>
      </c>
      <c r="C3924" s="1" t="inlineStr">
        <is>
          <t>gf2110100190</t>
        </is>
      </c>
      <c r="D3924" s="1" t="inlineStr">
        <is>
          <t>SPARMS SP Arms Sun Sleeves (White)</t>
        </is>
      </c>
      <c r="E3924" s="1" t="inlineStr">
        <is>
          <t>SPARMS</t>
        </is>
      </c>
      <c r="F3924" s="1" t="inlineStr">
        <is>
          <t>ARM GLOVE</t>
        </is>
      </c>
      <c r="G3924" s="1" t="inlineStr">
        <is>
          <t>GF2110100190XS</t>
        </is>
      </c>
      <c r="H3924" s="1" t="n">
        <v>6</v>
      </c>
      <c r="I3924" s="1" t="inlineStr">
        <is>
          <t>มี</t>
        </is>
      </c>
      <c r="J3924" s="13" t="n">
        <v>45</v>
      </c>
      <c r="K3924" s="1" t="inlineStr"/>
      <c r="L3924" s="13" t="n"/>
      <c r="M3924" s="1">
        <f>IF(L3924="","ไม่พบใน SG",IF(ABS(J3924-L3924)&lt;0.005,"ตรงกัน","ไม่ตรง"))</f>
        <v/>
      </c>
      <c r="N3924" s="14">
        <f>IF(L3924="","",ROUND(L3924*'สรุป'!$C$6,-1))</f>
        <v/>
      </c>
      <c r="O3924" s="15" t="n"/>
      <c r="P3924" s="15" t="n"/>
      <c r="Q3924" s="10" t="n"/>
      <c r="R3924" s="10" t="n"/>
      <c r="S3924" s="16" t="inlineStr">
        <is>
          <t>https://mstgolf.co.th/products/gf2110100190</t>
        </is>
      </c>
      <c r="T3924" s="1">
        <f>IF(B3924="ไม้กอล์ฟ",J3924,"")</f>
        <v/>
      </c>
    </row>
    <row r="3925">
      <c r="A3925" s="1" t="n">
        <v>3</v>
      </c>
      <c r="B3925" s="1" t="inlineStr">
        <is>
          <t>เสื้อผ้า</t>
        </is>
      </c>
      <c r="C3925" s="1" t="inlineStr">
        <is>
          <t>gf2110100195</t>
        </is>
      </c>
      <c r="D3925" s="1" t="inlineStr">
        <is>
          <t>SPARMS Youth's Original Sleeves (Black)</t>
        </is>
      </c>
      <c r="E3925" s="1" t="inlineStr">
        <is>
          <t>SPARMS</t>
        </is>
      </c>
      <c r="F3925" s="1" t="inlineStr">
        <is>
          <t>ARM GLOVE</t>
        </is>
      </c>
      <c r="G3925" s="1" t="inlineStr">
        <is>
          <t>GF2110100195</t>
        </is>
      </c>
      <c r="H3925" s="1" t="n">
        <v>1</v>
      </c>
      <c r="I3925" s="1" t="inlineStr">
        <is>
          <t>มี</t>
        </is>
      </c>
      <c r="J3925" s="13" t="n">
        <v>45</v>
      </c>
      <c r="K3925" s="1" t="inlineStr"/>
      <c r="L3925" s="13" t="n">
        <v>45</v>
      </c>
      <c r="M3925" s="1">
        <f>IF(L3925="","ไม่พบใน SG",IF(ABS(J3925-L3925)&lt;0.005,"ตรงกัน","ไม่ตรง"))</f>
        <v/>
      </c>
      <c r="N3925" s="14">
        <f>IF(L3925="","",ROUND(L3925*'สรุป'!$C$6,-1))</f>
        <v/>
      </c>
      <c r="O3925" s="15" t="n"/>
      <c r="P3925" s="15" t="n"/>
      <c r="Q3925" s="10" t="n"/>
      <c r="R3925" s="10" t="n"/>
      <c r="S3925" s="16" t="inlineStr">
        <is>
          <t>https://mstgolf.co.th/products/gf2110100195</t>
        </is>
      </c>
      <c r="T3925" s="1">
        <f>IF(B3925="ไม้กอล์ฟ",J3925,"")</f>
        <v/>
      </c>
    </row>
    <row r="3926">
      <c r="A3926" s="1" t="n">
        <v>3</v>
      </c>
      <c r="B3926" s="1" t="inlineStr">
        <is>
          <t>เสื้อผ้า</t>
        </is>
      </c>
      <c r="C3926" s="1" t="inlineStr">
        <is>
          <t>gf2110100191</t>
        </is>
      </c>
      <c r="D3926" s="1" t="inlineStr">
        <is>
          <t>SPARMS Youth's Original Sleeves (White)</t>
        </is>
      </c>
      <c r="E3926" s="1" t="inlineStr">
        <is>
          <t>SPARMS</t>
        </is>
      </c>
      <c r="F3926" s="1" t="inlineStr">
        <is>
          <t>ARM GLOVE</t>
        </is>
      </c>
      <c r="G3926" s="1" t="inlineStr">
        <is>
          <t>GF2110100191</t>
        </is>
      </c>
      <c r="H3926" s="1" t="n">
        <v>1</v>
      </c>
      <c r="I3926" s="1" t="inlineStr">
        <is>
          <t>มี</t>
        </is>
      </c>
      <c r="J3926" s="13" t="n">
        <v>45</v>
      </c>
      <c r="K3926" s="1" t="inlineStr"/>
      <c r="L3926" s="13" t="n">
        <v>45</v>
      </c>
      <c r="M3926" s="1">
        <f>IF(L3926="","ไม่พบใน SG",IF(ABS(J3926-L3926)&lt;0.005,"ตรงกัน","ไม่ตรง"))</f>
        <v/>
      </c>
      <c r="N3926" s="14">
        <f>IF(L3926="","",ROUND(L3926*'สรุป'!$C$6,-1))</f>
        <v/>
      </c>
      <c r="O3926" s="15" t="n"/>
      <c r="P3926" s="15" t="n"/>
      <c r="Q3926" s="10" t="n"/>
      <c r="R3926" s="10" t="n"/>
      <c r="S3926" s="16" t="inlineStr">
        <is>
          <t>https://mstgolf.co.th/products/gf2110100191</t>
        </is>
      </c>
      <c r="T3926" s="1">
        <f>IF(B3926="ไม้กอล์ฟ",J3926,"")</f>
        <v/>
      </c>
    </row>
    <row r="3927">
      <c r="A3927" s="1" t="n">
        <v>3</v>
      </c>
      <c r="B3927" s="1" t="inlineStr">
        <is>
          <t>อุปกรณ์เสริม</t>
        </is>
      </c>
      <c r="C3927" s="1" t="inlineStr">
        <is>
          <t>gf3500201658</t>
        </is>
      </c>
      <c r="D3927" s="1" t="inlineStr">
        <is>
          <t>TAYLORMADE Circle Logo Mallet Putter Headcover</t>
        </is>
      </c>
      <c r="E3927" s="1" t="inlineStr">
        <is>
          <t>TAYLORMADE</t>
        </is>
      </c>
      <c r="F3927" s="1" t="inlineStr">
        <is>
          <t>HEADCOVERS</t>
        </is>
      </c>
      <c r="G3927" s="1" t="inlineStr">
        <is>
          <t>GF3500201658</t>
        </is>
      </c>
      <c r="H3927" s="1" t="n">
        <v>1</v>
      </c>
      <c r="I3927" s="1" t="inlineStr">
        <is>
          <t>มี</t>
        </is>
      </c>
      <c r="J3927" s="13" t="n">
        <v>45</v>
      </c>
      <c r="K3927" s="1" t="inlineStr"/>
      <c r="L3927" s="13" t="n">
        <v>45</v>
      </c>
      <c r="M3927" s="1">
        <f>IF(L3927="","ไม่พบใน SG",IF(ABS(J3927-L3927)&lt;0.005,"ตรงกัน","ไม่ตรง"))</f>
        <v/>
      </c>
      <c r="N3927" s="14">
        <f>IF(L3927="","",ROUND(L3927*'สรุป'!$C$6,-1))</f>
        <v/>
      </c>
      <c r="O3927" s="15" t="n"/>
      <c r="P3927" s="15" t="n"/>
      <c r="Q3927" s="10" t="n"/>
      <c r="R3927" s="10" t="n"/>
      <c r="S3927" s="16" t="inlineStr">
        <is>
          <t>https://mstgolf.co.th/products/gf3500201658</t>
        </is>
      </c>
      <c r="T3927" s="1">
        <f>IF(B3927="ไม้กอล์ฟ",J3927,"")</f>
        <v/>
      </c>
    </row>
    <row r="3928">
      <c r="A3928" s="1" t="n">
        <v>3</v>
      </c>
      <c r="B3928" s="1" t="inlineStr">
        <is>
          <t>อุปกรณ์เสริม</t>
        </is>
      </c>
      <c r="C3928" s="1" t="inlineStr">
        <is>
          <t>gf3500201657</t>
        </is>
      </c>
      <c r="D3928" s="1" t="inlineStr">
        <is>
          <t>TAYLORMADE Circle Logo Mallet Putter Headcover</t>
        </is>
      </c>
      <c r="E3928" s="1" t="inlineStr">
        <is>
          <t>TAYLORMADE</t>
        </is>
      </c>
      <c r="F3928" s="1" t="inlineStr">
        <is>
          <t>HEADCOVERS</t>
        </is>
      </c>
      <c r="G3928" s="1" t="inlineStr">
        <is>
          <t>GF3500201657</t>
        </is>
      </c>
      <c r="H3928" s="1" t="n">
        <v>1</v>
      </c>
      <c r="I3928" s="1" t="inlineStr">
        <is>
          <t>มี</t>
        </is>
      </c>
      <c r="J3928" s="13" t="n">
        <v>45</v>
      </c>
      <c r="K3928" s="1" t="inlineStr"/>
      <c r="L3928" s="13" t="n">
        <v>45</v>
      </c>
      <c r="M3928" s="1">
        <f>IF(L3928="","ไม่พบใน SG",IF(ABS(J3928-L3928)&lt;0.005,"ตรงกัน","ไม่ตรง"))</f>
        <v/>
      </c>
      <c r="N3928" s="14">
        <f>IF(L3928="","",ROUND(L3928*'สรุป'!$C$6,-1))</f>
        <v/>
      </c>
      <c r="O3928" s="15" t="n"/>
      <c r="P3928" s="15" t="n"/>
      <c r="Q3928" s="10" t="n"/>
      <c r="R3928" s="10" t="n"/>
      <c r="S3928" s="16" t="inlineStr">
        <is>
          <t>https://mstgolf.co.th/products/gf3500201657</t>
        </is>
      </c>
      <c r="T3928" s="1">
        <f>IF(B3928="ไม้กอล์ฟ",J3928,"")</f>
        <v/>
      </c>
    </row>
    <row r="3929">
      <c r="A3929" s="1" t="n">
        <v>3</v>
      </c>
      <c r="B3929" s="1" t="inlineStr">
        <is>
          <t>อุปกรณ์เสริม</t>
        </is>
      </c>
      <c r="C3929" s="1" t="inlineStr">
        <is>
          <t>gf3500300658</t>
        </is>
      </c>
      <c r="D3929" s="1" t="inlineStr">
        <is>
          <t>TAYLORMADE City-Tech Multi Pocket Pouch (Orange)</t>
        </is>
      </c>
      <c r="E3929" s="1" t="inlineStr">
        <is>
          <t>TAYLORMADE</t>
        </is>
      </c>
      <c r="F3929" s="1" t="inlineStr">
        <is>
          <t>GOLF ACCESSORIES</t>
        </is>
      </c>
      <c r="G3929" s="1" t="inlineStr">
        <is>
          <t>GF3500300658</t>
        </is>
      </c>
      <c r="H3929" s="1" t="n">
        <v>1</v>
      </c>
      <c r="I3929" s="1" t="inlineStr">
        <is>
          <t>มี</t>
        </is>
      </c>
      <c r="J3929" s="13" t="n">
        <v>45</v>
      </c>
      <c r="K3929" s="1" t="inlineStr"/>
      <c r="L3929" s="13" t="n"/>
      <c r="M3929" s="1">
        <f>IF(L3929="","ไม่พบใน SG",IF(ABS(J3929-L3929)&lt;0.005,"ตรงกัน","ไม่ตรง"))</f>
        <v/>
      </c>
      <c r="N3929" s="14">
        <f>IF(L3929="","",ROUND(L3929*'สรุป'!$C$6,-1))</f>
        <v/>
      </c>
      <c r="O3929" s="15" t="n"/>
      <c r="P3929" s="15" t="n"/>
      <c r="Q3929" s="10" t="n"/>
      <c r="R3929" s="10" t="n"/>
      <c r="S3929" s="16" t="inlineStr">
        <is>
          <t>https://mstgolf.co.th/products/gf3500300658</t>
        </is>
      </c>
      <c r="T3929" s="1">
        <f>IF(B3929="ไม้กอล์ฟ",J3929,"")</f>
        <v/>
      </c>
    </row>
    <row r="3930">
      <c r="A3930" s="1" t="n">
        <v>3</v>
      </c>
      <c r="B3930" s="1" t="inlineStr">
        <is>
          <t>อุปกรณ์เสริม</t>
        </is>
      </c>
      <c r="C3930" s="1" t="inlineStr">
        <is>
          <t>gf3500300657</t>
        </is>
      </c>
      <c r="D3930" s="1" t="inlineStr">
        <is>
          <t>TAYLORMADE City-Tech Multi Pocket Pouch (White)</t>
        </is>
      </c>
      <c r="E3930" s="1" t="inlineStr">
        <is>
          <t>TAYLORMADE</t>
        </is>
      </c>
      <c r="F3930" s="1" t="inlineStr">
        <is>
          <t>GOLF ACCESSORIES</t>
        </is>
      </c>
      <c r="G3930" s="1" t="inlineStr">
        <is>
          <t>GF3500300657</t>
        </is>
      </c>
      <c r="H3930" s="1" t="n">
        <v>1</v>
      </c>
      <c r="I3930" s="1" t="inlineStr">
        <is>
          <t>มี</t>
        </is>
      </c>
      <c r="J3930" s="13" t="n">
        <v>45</v>
      </c>
      <c r="K3930" s="1" t="inlineStr"/>
      <c r="L3930" s="13" t="n">
        <v>45</v>
      </c>
      <c r="M3930" s="1">
        <f>IF(L3930="","ไม่พบใน SG",IF(ABS(J3930-L3930)&lt;0.005,"ตรงกัน","ไม่ตรง"))</f>
        <v/>
      </c>
      <c r="N3930" s="14">
        <f>IF(L3930="","",ROUND(L3930*'สรุป'!$C$6,-1))</f>
        <v/>
      </c>
      <c r="O3930" s="15" t="n"/>
      <c r="P3930" s="15" t="n"/>
      <c r="Q3930" s="10" t="n"/>
      <c r="R3930" s="10" t="n"/>
      <c r="S3930" s="16" t="inlineStr">
        <is>
          <t>https://mstgolf.co.th/products/gf3500300657</t>
        </is>
      </c>
      <c r="T3930" s="1">
        <f>IF(B3930="ไม้กอล์ฟ",J3930,"")</f>
        <v/>
      </c>
    </row>
    <row r="3931">
      <c r="A3931" s="1" t="n">
        <v>3</v>
      </c>
      <c r="B3931" s="1" t="inlineStr">
        <is>
          <t>เสื้อผ้า</t>
        </is>
      </c>
      <c r="C3931" s="1" t="inlineStr">
        <is>
          <t>gf2040117815</t>
        </is>
      </c>
      <c r="D3931" s="1" t="inlineStr">
        <is>
          <t>TAYLORMADE Red Bull Men's Shirt (White)</t>
        </is>
      </c>
      <c r="E3931" s="1" t="inlineStr">
        <is>
          <t>TAYLORMADE</t>
        </is>
      </c>
      <c r="F3931" s="1" t="inlineStr">
        <is>
          <t>SHORT SLEEVES</t>
        </is>
      </c>
      <c r="G3931" s="1" t="inlineStr">
        <is>
          <t>GF2040117815S</t>
        </is>
      </c>
      <c r="H3931" s="1" t="n">
        <v>5</v>
      </c>
      <c r="I3931" s="1" t="inlineStr">
        <is>
          <t>มี</t>
        </is>
      </c>
      <c r="J3931" s="13" t="n">
        <v>45</v>
      </c>
      <c r="K3931" s="1" t="inlineStr"/>
      <c r="L3931" s="13" t="n"/>
      <c r="M3931" s="1">
        <f>IF(L3931="","ไม่พบใน SG",IF(ABS(J3931-L3931)&lt;0.005,"ตรงกัน","ไม่ตรง"))</f>
        <v/>
      </c>
      <c r="N3931" s="14">
        <f>IF(L3931="","",ROUND(L3931*'สรุป'!$C$6,-1))</f>
        <v/>
      </c>
      <c r="O3931" s="15" t="n"/>
      <c r="P3931" s="15" t="n"/>
      <c r="Q3931" s="10" t="n"/>
      <c r="R3931" s="10" t="n"/>
      <c r="S3931" s="16" t="inlineStr">
        <is>
          <t>https://mstgolf.co.th/products/gf2040117815</t>
        </is>
      </c>
      <c r="T3931" s="1">
        <f>IF(B3931="ไม้กอล์ฟ",J3931,"")</f>
        <v/>
      </c>
    </row>
    <row r="3932">
      <c r="A3932" s="1" t="n">
        <v>3</v>
      </c>
      <c r="B3932" s="1" t="inlineStr">
        <is>
          <t>หมวก</t>
        </is>
      </c>
      <c r="C3932" s="1" t="inlineStr">
        <is>
          <t>gf2000105369</t>
        </is>
      </c>
      <c r="D3932" s="1" t="inlineStr">
        <is>
          <t>TITLEIST Players StaDry Men's Cap (Navy/Charcoal)</t>
        </is>
      </c>
      <c r="E3932" s="1" t="inlineStr">
        <is>
          <t>TITLEIST</t>
        </is>
      </c>
      <c r="F3932" s="1" t="inlineStr">
        <is>
          <t>CAP</t>
        </is>
      </c>
      <c r="G3932" s="1" t="inlineStr">
        <is>
          <t>GF2000105369FS</t>
        </is>
      </c>
      <c r="H3932" s="1" t="n">
        <v>1</v>
      </c>
      <c r="I3932" s="1" t="inlineStr">
        <is>
          <t>มี</t>
        </is>
      </c>
      <c r="J3932" s="13" t="n">
        <v>45</v>
      </c>
      <c r="K3932" s="1" t="inlineStr"/>
      <c r="L3932" s="13" t="n">
        <v>45</v>
      </c>
      <c r="M3932" s="1">
        <f>IF(L3932="","ไม่พบใน SG",IF(ABS(J3932-L3932)&lt;0.005,"ตรงกัน","ไม่ตรง"))</f>
        <v/>
      </c>
      <c r="N3932" s="14">
        <f>IF(L3932="","",ROUND(L3932*'สรุป'!$C$6,-1))</f>
        <v/>
      </c>
      <c r="O3932" s="15" t="n"/>
      <c r="P3932" s="15" t="n"/>
      <c r="Q3932" s="10" t="n"/>
      <c r="R3932" s="10" t="n"/>
      <c r="S3932" s="16" t="inlineStr">
        <is>
          <t>https://mstgolf.co.th/products/gf2000105369</t>
        </is>
      </c>
      <c r="T3932" s="1">
        <f>IF(B3932="ไม้กอล์ฟ",J3932,"")</f>
        <v/>
      </c>
    </row>
    <row r="3933">
      <c r="A3933" s="1" t="n">
        <v>3</v>
      </c>
      <c r="B3933" s="1" t="inlineStr">
        <is>
          <t>หมวก</t>
        </is>
      </c>
      <c r="C3933" s="1" t="inlineStr">
        <is>
          <t>gf2000106261</t>
        </is>
      </c>
      <c r="D3933" s="1" t="inlineStr">
        <is>
          <t>UNDER ARMOUR Drive 5-Panel Men's Snapback Cap (Black/White)</t>
        </is>
      </c>
      <c r="E3933" s="1" t="inlineStr">
        <is>
          <t>UNDER ARMOUR</t>
        </is>
      </c>
      <c r="F3933" s="1" t="inlineStr">
        <is>
          <t>CAP</t>
        </is>
      </c>
      <c r="G3933" s="1" t="inlineStr">
        <is>
          <t>GF2000106261FS</t>
        </is>
      </c>
      <c r="H3933" s="1" t="n">
        <v>1</v>
      </c>
      <c r="I3933" s="1" t="inlineStr">
        <is>
          <t>มี</t>
        </is>
      </c>
      <c r="J3933" s="13" t="n">
        <v>45</v>
      </c>
      <c r="K3933" s="1" t="inlineStr"/>
      <c r="L3933" s="13" t="n">
        <v>45</v>
      </c>
      <c r="M3933" s="1">
        <f>IF(L3933="","ไม่พบใน SG",IF(ABS(J3933-L3933)&lt;0.005,"ตรงกัน","ไม่ตรง"))</f>
        <v/>
      </c>
      <c r="N3933" s="14">
        <f>IF(L3933="","",ROUND(L3933*'สรุป'!$C$6,-1))</f>
        <v/>
      </c>
      <c r="O3933" s="15" t="n"/>
      <c r="P3933" s="15" t="n"/>
      <c r="Q3933" s="10" t="n"/>
      <c r="R3933" s="10" t="n"/>
      <c r="S3933" s="16" t="inlineStr">
        <is>
          <t>https://mstgolf.co.th/products/gf2000106261</t>
        </is>
      </c>
      <c r="T3933" s="1">
        <f>IF(B3933="ไม้กอล์ฟ",J3933,"")</f>
        <v/>
      </c>
    </row>
    <row r="3934">
      <c r="A3934" s="1" t="n">
        <v>3</v>
      </c>
      <c r="B3934" s="1" t="inlineStr">
        <is>
          <t>หมวก</t>
        </is>
      </c>
      <c r="C3934" s="1" t="inlineStr">
        <is>
          <t>gf2000106262</t>
        </is>
      </c>
      <c r="D3934" s="1" t="inlineStr">
        <is>
          <t>UNDER ARMOUR Drive96 Adjustable Men's Cap (Black/White)</t>
        </is>
      </c>
      <c r="E3934" s="1" t="inlineStr">
        <is>
          <t>UNDER ARMOUR</t>
        </is>
      </c>
      <c r="F3934" s="1" t="inlineStr">
        <is>
          <t>CAP</t>
        </is>
      </c>
      <c r="G3934" s="1" t="inlineStr">
        <is>
          <t>GF2000106262FS</t>
        </is>
      </c>
      <c r="H3934" s="1" t="n">
        <v>1</v>
      </c>
      <c r="I3934" s="1" t="inlineStr">
        <is>
          <t>มี</t>
        </is>
      </c>
      <c r="J3934" s="13" t="n">
        <v>45</v>
      </c>
      <c r="K3934" s="1" t="inlineStr"/>
      <c r="L3934" s="13" t="n">
        <v>45</v>
      </c>
      <c r="M3934" s="1">
        <f>IF(L3934="","ไม่พบใน SG",IF(ABS(J3934-L3934)&lt;0.005,"ตรงกัน","ไม่ตรง"))</f>
        <v/>
      </c>
      <c r="N3934" s="14">
        <f>IF(L3934="","",ROUND(L3934*'สรุป'!$C$6,-1))</f>
        <v/>
      </c>
      <c r="O3934" s="15" t="n"/>
      <c r="P3934" s="15" t="n"/>
      <c r="Q3934" s="10" t="n"/>
      <c r="R3934" s="10" t="n"/>
      <c r="S3934" s="16" t="inlineStr">
        <is>
          <t>https://mstgolf.co.th/products/gf2000106262</t>
        </is>
      </c>
      <c r="T3934" s="1">
        <f>IF(B3934="ไม้กอล์ฟ",J3934,"")</f>
        <v/>
      </c>
    </row>
    <row r="3935">
      <c r="A3935" s="1" t="n">
        <v>3</v>
      </c>
      <c r="B3935" s="1" t="inlineStr">
        <is>
          <t>หมวก</t>
        </is>
      </c>
      <c r="C3935" s="1" t="inlineStr">
        <is>
          <t>gf2000106264</t>
        </is>
      </c>
      <c r="D3935" s="1" t="inlineStr">
        <is>
          <t>UNDER ARMOUR Drive96 Adjustable Men's Cap (Navy/White)</t>
        </is>
      </c>
      <c r="E3935" s="1" t="inlineStr">
        <is>
          <t>UNDER ARMOUR</t>
        </is>
      </c>
      <c r="F3935" s="1" t="inlineStr">
        <is>
          <t>CAP</t>
        </is>
      </c>
      <c r="G3935" s="1" t="inlineStr">
        <is>
          <t>GF2000106264FS</t>
        </is>
      </c>
      <c r="H3935" s="1" t="n">
        <v>1</v>
      </c>
      <c r="I3935" s="1" t="inlineStr">
        <is>
          <t>มี</t>
        </is>
      </c>
      <c r="J3935" s="13" t="n">
        <v>45</v>
      </c>
      <c r="K3935" s="1" t="inlineStr"/>
      <c r="L3935" s="13" t="n">
        <v>45</v>
      </c>
      <c r="M3935" s="1">
        <f>IF(L3935="","ไม่พบใน SG",IF(ABS(J3935-L3935)&lt;0.005,"ตรงกัน","ไม่ตรง"))</f>
        <v/>
      </c>
      <c r="N3935" s="14">
        <f>IF(L3935="","",ROUND(L3935*'สรุป'!$C$6,-1))</f>
        <v/>
      </c>
      <c r="O3935" s="15" t="n"/>
      <c r="P3935" s="15" t="n"/>
      <c r="Q3935" s="10" t="n"/>
      <c r="R3935" s="10" t="n"/>
      <c r="S3935" s="16" t="inlineStr">
        <is>
          <t>https://mstgolf.co.th/products/gf2000106264</t>
        </is>
      </c>
      <c r="T3935" s="1">
        <f>IF(B3935="ไม้กอล์ฟ",J3935,"")</f>
        <v/>
      </c>
    </row>
    <row r="3936">
      <c r="A3936" s="1" t="n">
        <v>3</v>
      </c>
      <c r="B3936" s="1" t="inlineStr">
        <is>
          <t>หมวก</t>
        </is>
      </c>
      <c r="C3936" s="1" t="inlineStr">
        <is>
          <t>gf2000106263</t>
        </is>
      </c>
      <c r="D3936" s="1" t="inlineStr">
        <is>
          <t>UNDER ARMOUR Drive96 Adjustable Men's Cap (White/Navy)</t>
        </is>
      </c>
      <c r="E3936" s="1" t="inlineStr">
        <is>
          <t>UNDER ARMOUR</t>
        </is>
      </c>
      <c r="F3936" s="1" t="inlineStr">
        <is>
          <t>CAP</t>
        </is>
      </c>
      <c r="G3936" s="1" t="inlineStr">
        <is>
          <t>GF2000106263FS</t>
        </is>
      </c>
      <c r="H3936" s="1" t="n">
        <v>1</v>
      </c>
      <c r="I3936" s="1" t="inlineStr">
        <is>
          <t>มี</t>
        </is>
      </c>
      <c r="J3936" s="13" t="n">
        <v>45</v>
      </c>
      <c r="K3936" s="1" t="inlineStr"/>
      <c r="L3936" s="13" t="n">
        <v>45</v>
      </c>
      <c r="M3936" s="1">
        <f>IF(L3936="","ไม่พบใน SG",IF(ABS(J3936-L3936)&lt;0.005,"ตรงกัน","ไม่ตรง"))</f>
        <v/>
      </c>
      <c r="N3936" s="14">
        <f>IF(L3936="","",ROUND(L3936*'สรุป'!$C$6,-1))</f>
        <v/>
      </c>
      <c r="O3936" s="15" t="n"/>
      <c r="P3936" s="15" t="n"/>
      <c r="Q3936" s="10" t="n"/>
      <c r="R3936" s="10" t="n"/>
      <c r="S3936" s="16" t="inlineStr">
        <is>
          <t>https://mstgolf.co.th/products/gf2000106263</t>
        </is>
      </c>
      <c r="T3936" s="1">
        <f>IF(B3936="ไม้กอล์ฟ",J3936,"")</f>
        <v/>
      </c>
    </row>
    <row r="3937">
      <c r="A3937" s="1" t="n">
        <v>3</v>
      </c>
      <c r="B3937" s="1" t="inlineStr">
        <is>
          <t>หมวก</t>
        </is>
      </c>
      <c r="C3937" s="1" t="inlineStr">
        <is>
          <t>gf2000201042</t>
        </is>
      </c>
      <c r="D3937" s="1" t="inlineStr">
        <is>
          <t>UNDER ARMOUR Drive96 Men's Visor (Black/White)</t>
        </is>
      </c>
      <c r="E3937" s="1" t="inlineStr">
        <is>
          <t>UNDER ARMOUR</t>
        </is>
      </c>
      <c r="F3937" s="1" t="inlineStr">
        <is>
          <t>VISOR</t>
        </is>
      </c>
      <c r="G3937" s="1" t="inlineStr">
        <is>
          <t>GF2000201042FS</t>
        </is>
      </c>
      <c r="H3937" s="1" t="n">
        <v>1</v>
      </c>
      <c r="I3937" s="1" t="inlineStr">
        <is>
          <t>มี</t>
        </is>
      </c>
      <c r="J3937" s="13" t="n">
        <v>45</v>
      </c>
      <c r="K3937" s="1" t="inlineStr"/>
      <c r="L3937" s="13" t="n">
        <v>45</v>
      </c>
      <c r="M3937" s="1">
        <f>IF(L3937="","ไม่พบใน SG",IF(ABS(J3937-L3937)&lt;0.005,"ตรงกัน","ไม่ตรง"))</f>
        <v/>
      </c>
      <c r="N3937" s="14">
        <f>IF(L3937="","",ROUND(L3937*'สรุป'!$C$6,-1))</f>
        <v/>
      </c>
      <c r="O3937" s="15" t="n"/>
      <c r="P3937" s="15" t="n"/>
      <c r="Q3937" s="10" t="n"/>
      <c r="R3937" s="10" t="n"/>
      <c r="S3937" s="16" t="inlineStr">
        <is>
          <t>https://mstgolf.co.th/products/gf2000201042</t>
        </is>
      </c>
      <c r="T3937" s="1">
        <f>IF(B3937="ไม้กอล์ฟ",J3937,"")</f>
        <v/>
      </c>
    </row>
    <row r="3938">
      <c r="A3938" s="1" t="n">
        <v>3</v>
      </c>
      <c r="B3938" s="1" t="inlineStr">
        <is>
          <t>หมวก</t>
        </is>
      </c>
      <c r="C3938" s="1" t="inlineStr">
        <is>
          <t>gf2000105800</t>
        </is>
      </c>
      <c r="D3938" s="1" t="inlineStr">
        <is>
          <t>UNDER ARMOUR Driver Men's Snapback (Black/Black)</t>
        </is>
      </c>
      <c r="E3938" s="1" t="inlineStr">
        <is>
          <t>UNDER ARMOUR</t>
        </is>
      </c>
      <c r="F3938" s="1" t="inlineStr">
        <is>
          <t>CAP</t>
        </is>
      </c>
      <c r="G3938" s="1" t="inlineStr">
        <is>
          <t>GF2000105800FS</t>
        </is>
      </c>
      <c r="H3938" s="1" t="n">
        <v>1</v>
      </c>
      <c r="I3938" s="1" t="inlineStr">
        <is>
          <t>มี</t>
        </is>
      </c>
      <c r="J3938" s="13" t="n">
        <v>45</v>
      </c>
      <c r="K3938" s="1" t="inlineStr"/>
      <c r="L3938" s="13" t="n">
        <v>45</v>
      </c>
      <c r="M3938" s="1">
        <f>IF(L3938="","ไม่พบใน SG",IF(ABS(J3938-L3938)&lt;0.005,"ตรงกัน","ไม่ตรง"))</f>
        <v/>
      </c>
      <c r="N3938" s="14">
        <f>IF(L3938="","",ROUND(L3938*'สรุป'!$C$6,-1))</f>
        <v/>
      </c>
      <c r="O3938" s="15" t="n"/>
      <c r="P3938" s="15" t="n"/>
      <c r="Q3938" s="10" t="n"/>
      <c r="R3938" s="10" t="n"/>
      <c r="S3938" s="16" t="inlineStr">
        <is>
          <t>https://mstgolf.co.th/products/gf2000105800</t>
        </is>
      </c>
      <c r="T3938" s="1">
        <f>IF(B3938="ไม้กอล์ฟ",J3938,"")</f>
        <v/>
      </c>
    </row>
    <row r="3939">
      <c r="A3939" s="1" t="n">
        <v>3</v>
      </c>
      <c r="B3939" s="1" t="inlineStr">
        <is>
          <t>หมวก</t>
        </is>
      </c>
      <c r="C3939" s="1" t="inlineStr">
        <is>
          <t>gf2000105802</t>
        </is>
      </c>
      <c r="D3939" s="1" t="inlineStr">
        <is>
          <t>UNDER ARMOUR Driver Men's Snapback (White/White)</t>
        </is>
      </c>
      <c r="E3939" s="1" t="inlineStr">
        <is>
          <t>UNDER ARMOUR</t>
        </is>
      </c>
      <c r="F3939" s="1" t="inlineStr">
        <is>
          <t>CAP</t>
        </is>
      </c>
      <c r="G3939" s="1" t="inlineStr">
        <is>
          <t>GF2000105802FS</t>
        </is>
      </c>
      <c r="H3939" s="1" t="n">
        <v>1</v>
      </c>
      <c r="I3939" s="1" t="inlineStr">
        <is>
          <t>มี</t>
        </is>
      </c>
      <c r="J3939" s="13" t="n">
        <v>45</v>
      </c>
      <c r="K3939" s="1" t="inlineStr"/>
      <c r="L3939" s="13" t="n">
        <v>45</v>
      </c>
      <c r="M3939" s="1">
        <f>IF(L3939="","ไม่พบใน SG",IF(ABS(J3939-L3939)&lt;0.005,"ตรงกัน","ไม่ตรง"))</f>
        <v/>
      </c>
      <c r="N3939" s="14">
        <f>IF(L3939="","",ROUND(L3939*'สรุป'!$C$6,-1))</f>
        <v/>
      </c>
      <c r="O3939" s="15" t="n"/>
      <c r="P3939" s="15" t="n"/>
      <c r="Q3939" s="10" t="n"/>
      <c r="R3939" s="10" t="n"/>
      <c r="S3939" s="16" t="inlineStr">
        <is>
          <t>https://mstgolf.co.th/products/gf2000105802</t>
        </is>
      </c>
      <c r="T3939" s="1">
        <f>IF(B3939="ไม้กอล์ฟ",J3939,"")</f>
        <v/>
      </c>
    </row>
    <row r="3940">
      <c r="A3940" s="1" t="n">
        <v>3</v>
      </c>
      <c r="B3940" s="1" t="inlineStr">
        <is>
          <t>หมวก</t>
        </is>
      </c>
      <c r="C3940" s="1" t="inlineStr">
        <is>
          <t>gf2000104626</t>
        </is>
      </c>
      <c r="D3940" s="1" t="inlineStr">
        <is>
          <t>UNDER ARMOUR Driver Mesh Adjustable Men's Cap (Black/Grey)</t>
        </is>
      </c>
      <c r="E3940" s="1" t="inlineStr">
        <is>
          <t>UNDER ARMOUR</t>
        </is>
      </c>
      <c r="F3940" s="1" t="inlineStr">
        <is>
          <t>CAP</t>
        </is>
      </c>
      <c r="G3940" s="1" t="inlineStr">
        <is>
          <t>GF2000104626FS</t>
        </is>
      </c>
      <c r="H3940" s="1" t="n">
        <v>1</v>
      </c>
      <c r="I3940" s="1" t="inlineStr">
        <is>
          <t>มี</t>
        </is>
      </c>
      <c r="J3940" s="13" t="n">
        <v>45</v>
      </c>
      <c r="K3940" s="1" t="inlineStr"/>
      <c r="L3940" s="13" t="n">
        <v>23</v>
      </c>
      <c r="M3940" s="1">
        <f>IF(L3940="","ไม่พบใน SG",IF(ABS(J3940-L3940)&lt;0.005,"ตรงกัน","ไม่ตรง"))</f>
        <v/>
      </c>
      <c r="N3940" s="14">
        <f>IF(L3940="","",ROUND(L3940*'สรุป'!$C$6,-1))</f>
        <v/>
      </c>
      <c r="O3940" s="15" t="n"/>
      <c r="P3940" s="15" t="n"/>
      <c r="Q3940" s="10" t="n"/>
      <c r="R3940" s="10" t="n"/>
      <c r="S3940" s="16" t="inlineStr">
        <is>
          <t>https://mstgolf.co.th/products/gf2000104626</t>
        </is>
      </c>
      <c r="T3940" s="1">
        <f>IF(B3940="ไม้กอล์ฟ",J3940,"")</f>
        <v/>
      </c>
    </row>
    <row r="3941">
      <c r="A3941" s="1" t="n">
        <v>3</v>
      </c>
      <c r="B3941" s="1" t="inlineStr">
        <is>
          <t>หมวก</t>
        </is>
      </c>
      <c r="C3941" s="1" t="inlineStr">
        <is>
          <t>gf2000105064</t>
        </is>
      </c>
      <c r="D3941" s="1" t="inlineStr">
        <is>
          <t>UNDER ARMOUR Driver Mesh Adjustable Men's Cap (White/Navy)</t>
        </is>
      </c>
      <c r="E3941" s="1" t="inlineStr">
        <is>
          <t>UNDER ARMOUR</t>
        </is>
      </c>
      <c r="F3941" s="1" t="inlineStr">
        <is>
          <t>CAP</t>
        </is>
      </c>
      <c r="G3941" s="1" t="inlineStr">
        <is>
          <t>GF2000105064FS</t>
        </is>
      </c>
      <c r="H3941" s="1" t="n">
        <v>1</v>
      </c>
      <c r="I3941" s="1" t="inlineStr">
        <is>
          <t>มี</t>
        </is>
      </c>
      <c r="J3941" s="13" t="n">
        <v>45</v>
      </c>
      <c r="K3941" s="1" t="inlineStr"/>
      <c r="L3941" s="13" t="n">
        <v>45</v>
      </c>
      <c r="M3941" s="1">
        <f>IF(L3941="","ไม่พบใน SG",IF(ABS(J3941-L3941)&lt;0.005,"ตรงกัน","ไม่ตรง"))</f>
        <v/>
      </c>
      <c r="N3941" s="14">
        <f>IF(L3941="","",ROUND(L3941*'สรุป'!$C$6,-1))</f>
        <v/>
      </c>
      <c r="O3941" s="15" t="n"/>
      <c r="P3941" s="15" t="n"/>
      <c r="Q3941" s="10" t="n"/>
      <c r="R3941" s="10" t="n"/>
      <c r="S3941" s="16" t="inlineStr">
        <is>
          <t>https://mstgolf.co.th/products/gf2000105064</t>
        </is>
      </c>
      <c r="T3941" s="1">
        <f>IF(B3941="ไม้กอล์ฟ",J3941,"")</f>
        <v/>
      </c>
    </row>
    <row r="3942">
      <c r="A3942" s="1" t="n">
        <v>3</v>
      </c>
      <c r="B3942" s="1" t="inlineStr">
        <is>
          <t>หมวก</t>
        </is>
      </c>
      <c r="C3942" s="1" t="inlineStr">
        <is>
          <t>gf2000105798</t>
        </is>
      </c>
      <c r="D3942" s="1" t="inlineStr">
        <is>
          <t>UNDER ARMOUR Iso-Chill Driver Mesh Men's Cap (White/Navy)</t>
        </is>
      </c>
      <c r="E3942" s="1" t="inlineStr">
        <is>
          <t>UNDER ARMOUR</t>
        </is>
      </c>
      <c r="F3942" s="1" t="inlineStr">
        <is>
          <t>CAP</t>
        </is>
      </c>
      <c r="G3942" s="1" t="inlineStr">
        <is>
          <t>GF2000105798S-M</t>
        </is>
      </c>
      <c r="H3942" s="1" t="n">
        <v>3</v>
      </c>
      <c r="I3942" s="1" t="inlineStr">
        <is>
          <t>มี</t>
        </is>
      </c>
      <c r="J3942" s="13" t="n">
        <v>45</v>
      </c>
      <c r="K3942" s="1" t="inlineStr"/>
      <c r="L3942" s="13" t="n">
        <v>45</v>
      </c>
      <c r="M3942" s="1">
        <f>IF(L3942="","ไม่พบใน SG",IF(ABS(J3942-L3942)&lt;0.005,"ตรงกัน","ไม่ตรง"))</f>
        <v/>
      </c>
      <c r="N3942" s="14">
        <f>IF(L3942="","",ROUND(L3942*'สรุป'!$C$6,-1))</f>
        <v/>
      </c>
      <c r="O3942" s="15" t="n"/>
      <c r="P3942" s="15" t="n"/>
      <c r="Q3942" s="10" t="n"/>
      <c r="R3942" s="10" t="n"/>
      <c r="S3942" s="16" t="inlineStr">
        <is>
          <t>https://mstgolf.co.th/products/gf2000105798</t>
        </is>
      </c>
      <c r="T3942" s="1">
        <f>IF(B3942="ไม้กอล์ฟ",J3942,"")</f>
        <v/>
      </c>
    </row>
    <row r="3943">
      <c r="A3943" s="1" t="n">
        <v>3</v>
      </c>
      <c r="B3943" s="1" t="inlineStr">
        <is>
          <t>เสื้อผ้า</t>
        </is>
      </c>
      <c r="C3943" s="1" t="inlineStr">
        <is>
          <t>gf2020201582</t>
        </is>
      </c>
      <c r="D3943" s="1" t="inlineStr">
        <is>
          <t>UNDER ARMOUR Junior Golf Shorts (Mod Grey)</t>
        </is>
      </c>
      <c r="E3943" s="1" t="inlineStr">
        <is>
          <t>UNDER ARMOUR</t>
        </is>
      </c>
      <c r="F3943" s="1" t="inlineStr">
        <is>
          <t>SHORT PANTS</t>
        </is>
      </c>
      <c r="G3943" s="1" t="inlineStr">
        <is>
          <t>GF2020201582XS</t>
        </is>
      </c>
      <c r="H3943" s="1" t="n">
        <v>5</v>
      </c>
      <c r="I3943" s="1" t="inlineStr">
        <is>
          <t>มี</t>
        </is>
      </c>
      <c r="J3943" s="13" t="n">
        <v>45</v>
      </c>
      <c r="K3943" s="1" t="inlineStr"/>
      <c r="L3943" s="13" t="n">
        <v>45</v>
      </c>
      <c r="M3943" s="1">
        <f>IF(L3943="","ไม่พบใน SG",IF(ABS(J3943-L3943)&lt;0.005,"ตรงกัน","ไม่ตรง"))</f>
        <v/>
      </c>
      <c r="N3943" s="14">
        <f>IF(L3943="","",ROUND(L3943*'สรุป'!$C$6,-1))</f>
        <v/>
      </c>
      <c r="O3943" s="15" t="n"/>
      <c r="P3943" s="15" t="n"/>
      <c r="Q3943" s="10" t="n"/>
      <c r="R3943" s="10" t="n"/>
      <c r="S3943" s="16" t="inlineStr">
        <is>
          <t>https://mstgolf.co.th/products/gf2020201582</t>
        </is>
      </c>
      <c r="T3943" s="1">
        <f>IF(B3943="ไม้กอล์ฟ",J3943,"")</f>
        <v/>
      </c>
    </row>
    <row r="3944">
      <c r="A3944" s="1" t="n">
        <v>3</v>
      </c>
      <c r="B3944" s="1" t="inlineStr">
        <is>
          <t>เสื้อผ้า</t>
        </is>
      </c>
      <c r="C3944" s="1" t="inlineStr">
        <is>
          <t>gf2040115869</t>
        </is>
      </c>
      <c r="D3944" s="1" t="inlineStr">
        <is>
          <t>UNDER ARMOUR Performance Boy's Polo (Black)</t>
        </is>
      </c>
      <c r="E3944" s="1" t="inlineStr">
        <is>
          <t>UNDER ARMOUR</t>
        </is>
      </c>
      <c r="F3944" s="1" t="inlineStr">
        <is>
          <t>SHORT SLEEVES</t>
        </is>
      </c>
      <c r="G3944" s="1" t="inlineStr">
        <is>
          <t>GF2040115869XS</t>
        </is>
      </c>
      <c r="H3944" s="1" t="n">
        <v>5</v>
      </c>
      <c r="I3944" s="1" t="inlineStr">
        <is>
          <t>มี</t>
        </is>
      </c>
      <c r="J3944" s="13" t="n">
        <v>45</v>
      </c>
      <c r="K3944" s="1" t="inlineStr"/>
      <c r="L3944" s="13" t="n">
        <v>45</v>
      </c>
      <c r="M3944" s="1">
        <f>IF(L3944="","ไม่พบใน SG",IF(ABS(J3944-L3944)&lt;0.005,"ตรงกัน","ไม่ตรง"))</f>
        <v/>
      </c>
      <c r="N3944" s="14">
        <f>IF(L3944="","",ROUND(L3944*'สรุป'!$C$6,-1))</f>
        <v/>
      </c>
      <c r="O3944" s="15" t="n"/>
      <c r="P3944" s="15" t="n"/>
      <c r="Q3944" s="10" t="n"/>
      <c r="R3944" s="10" t="n"/>
      <c r="S3944" s="16" t="inlineStr">
        <is>
          <t>https://mstgolf.co.th/products/gf2040115869</t>
        </is>
      </c>
      <c r="T3944" s="1">
        <f>IF(B3944="ไม้กอล์ฟ",J3944,"")</f>
        <v/>
      </c>
    </row>
    <row r="3945">
      <c r="A3945" s="1" t="n">
        <v>3</v>
      </c>
      <c r="B3945" s="1" t="inlineStr">
        <is>
          <t>เสื้อผ้า</t>
        </is>
      </c>
      <c r="C3945" s="1" t="inlineStr">
        <is>
          <t>gf2040120395</t>
        </is>
      </c>
      <c r="D3945" s="1" t="inlineStr">
        <is>
          <t>UNDER ARMOUR Performance Boy's Polo (Blue Atlantis)</t>
        </is>
      </c>
      <c r="E3945" s="1" t="inlineStr">
        <is>
          <t>UNDER ARMOUR</t>
        </is>
      </c>
      <c r="F3945" s="1" t="inlineStr">
        <is>
          <t>SHORT SLEEVES</t>
        </is>
      </c>
      <c r="G3945" s="1" t="inlineStr">
        <is>
          <t>GF2040120395XS</t>
        </is>
      </c>
      <c r="H3945" s="1" t="n">
        <v>5</v>
      </c>
      <c r="I3945" s="1" t="inlineStr">
        <is>
          <t>มี</t>
        </is>
      </c>
      <c r="J3945" s="13" t="n">
        <v>45</v>
      </c>
      <c r="K3945" s="1" t="inlineStr"/>
      <c r="L3945" s="13" t="n">
        <v>45</v>
      </c>
      <c r="M3945" s="1">
        <f>IF(L3945="","ไม่พบใน SG",IF(ABS(J3945-L3945)&lt;0.005,"ตรงกัน","ไม่ตรง"))</f>
        <v/>
      </c>
      <c r="N3945" s="14">
        <f>IF(L3945="","",ROUND(L3945*'สรุป'!$C$6,-1))</f>
        <v/>
      </c>
      <c r="O3945" s="15" t="n"/>
      <c r="P3945" s="15" t="n"/>
      <c r="Q3945" s="10" t="n"/>
      <c r="R3945" s="10" t="n"/>
      <c r="S3945" s="16" t="inlineStr">
        <is>
          <t>https://mstgolf.co.th/products/gf2040120395</t>
        </is>
      </c>
      <c r="T3945" s="1">
        <f>IF(B3945="ไม้กอล์ฟ",J3945,"")</f>
        <v/>
      </c>
    </row>
    <row r="3946">
      <c r="A3946" s="1" t="n">
        <v>3</v>
      </c>
      <c r="B3946" s="1" t="inlineStr">
        <is>
          <t>เสื้อผ้า</t>
        </is>
      </c>
      <c r="C3946" s="1" t="inlineStr">
        <is>
          <t>gf2040116469</t>
        </is>
      </c>
      <c r="D3946" s="1" t="inlineStr">
        <is>
          <t>UNDER ARMOUR Performance Boy's Polo (Midnight Navy)</t>
        </is>
      </c>
      <c r="E3946" s="1" t="inlineStr">
        <is>
          <t>UNDER ARMOUR</t>
        </is>
      </c>
      <c r="F3946" s="1" t="inlineStr">
        <is>
          <t>SHORT SLEEVES</t>
        </is>
      </c>
      <c r="G3946" s="1" t="inlineStr">
        <is>
          <t>GF2040116469XS</t>
        </is>
      </c>
      <c r="H3946" s="1" t="n">
        <v>5</v>
      </c>
      <c r="I3946" s="1" t="inlineStr">
        <is>
          <t>มี</t>
        </is>
      </c>
      <c r="J3946" s="13" t="n">
        <v>45</v>
      </c>
      <c r="K3946" s="1" t="inlineStr"/>
      <c r="L3946" s="13" t="n">
        <v>45</v>
      </c>
      <c r="M3946" s="1">
        <f>IF(L3946="","ไม่พบใน SG",IF(ABS(J3946-L3946)&lt;0.005,"ตรงกัน","ไม่ตรง"))</f>
        <v/>
      </c>
      <c r="N3946" s="14">
        <f>IF(L3946="","",ROUND(L3946*'สรุป'!$C$6,-1))</f>
        <v/>
      </c>
      <c r="O3946" s="15" t="n"/>
      <c r="P3946" s="15" t="n"/>
      <c r="Q3946" s="10" t="n"/>
      <c r="R3946" s="10" t="n"/>
      <c r="S3946" s="16" t="inlineStr">
        <is>
          <t>https://mstgolf.co.th/products/gf2040116469</t>
        </is>
      </c>
      <c r="T3946" s="1">
        <f>IF(B3946="ไม้กอล์ฟ",J3946,"")</f>
        <v/>
      </c>
    </row>
    <row r="3947">
      <c r="A3947" s="1" t="n">
        <v>3</v>
      </c>
      <c r="B3947" s="1" t="inlineStr">
        <is>
          <t>เสื้อผ้า</t>
        </is>
      </c>
      <c r="C3947" s="1" t="inlineStr">
        <is>
          <t>gf2040115870</t>
        </is>
      </c>
      <c r="D3947" s="1" t="inlineStr">
        <is>
          <t>UNDER ARMOUR Performance Boy's Polo (Red)</t>
        </is>
      </c>
      <c r="E3947" s="1" t="inlineStr">
        <is>
          <t>UNDER ARMOUR</t>
        </is>
      </c>
      <c r="F3947" s="1" t="inlineStr">
        <is>
          <t>SHORT SLEEVES</t>
        </is>
      </c>
      <c r="G3947" s="1" t="inlineStr">
        <is>
          <t>GF2040115870XS</t>
        </is>
      </c>
      <c r="H3947" s="1" t="n">
        <v>5</v>
      </c>
      <c r="I3947" s="1" t="inlineStr">
        <is>
          <t>มี</t>
        </is>
      </c>
      <c r="J3947" s="13" t="n">
        <v>45</v>
      </c>
      <c r="K3947" s="1" t="inlineStr"/>
      <c r="L3947" s="13" t="n">
        <v>45</v>
      </c>
      <c r="M3947" s="1">
        <f>IF(L3947="","ไม่พบใน SG",IF(ABS(J3947-L3947)&lt;0.005,"ตรงกัน","ไม่ตรง"))</f>
        <v/>
      </c>
      <c r="N3947" s="14">
        <f>IF(L3947="","",ROUND(L3947*'สรุป'!$C$6,-1))</f>
        <v/>
      </c>
      <c r="O3947" s="15" t="n"/>
      <c r="P3947" s="15" t="n"/>
      <c r="Q3947" s="10" t="n"/>
      <c r="R3947" s="10" t="n"/>
      <c r="S3947" s="16" t="inlineStr">
        <is>
          <t>https://mstgolf.co.th/products/gf2040115870</t>
        </is>
      </c>
      <c r="T3947" s="1">
        <f>IF(B3947="ไม้กอล์ฟ",J3947,"")</f>
        <v/>
      </c>
    </row>
    <row r="3948">
      <c r="A3948" s="1" t="n">
        <v>3</v>
      </c>
      <c r="B3948" s="1" t="inlineStr">
        <is>
          <t>เสื้อผ้า</t>
        </is>
      </c>
      <c r="C3948" s="1" t="inlineStr">
        <is>
          <t>gf2040113367</t>
        </is>
      </c>
      <c r="D3948" s="1" t="inlineStr">
        <is>
          <t>UNDER ARMOUR T2G Men's Polo (Vic Blue)</t>
        </is>
      </c>
      <c r="E3948" s="1" t="inlineStr">
        <is>
          <t>UNDER ARMOUR</t>
        </is>
      </c>
      <c r="F3948" s="1" t="inlineStr">
        <is>
          <t>SHORT SLEEVES</t>
        </is>
      </c>
      <c r="G3948" s="1" t="inlineStr">
        <is>
          <t>GF2040113367XS</t>
        </is>
      </c>
      <c r="H3948" s="1" t="n">
        <v>6</v>
      </c>
      <c r="I3948" s="1" t="inlineStr">
        <is>
          <t>มี</t>
        </is>
      </c>
      <c r="J3948" s="13" t="n">
        <v>45</v>
      </c>
      <c r="K3948" s="1" t="inlineStr"/>
      <c r="L3948" s="13" t="n">
        <v>45</v>
      </c>
      <c r="M3948" s="1">
        <f>IF(L3948="","ไม่พบใน SG",IF(ABS(J3948-L3948)&lt;0.005,"ตรงกัน","ไม่ตรง"))</f>
        <v/>
      </c>
      <c r="N3948" s="14">
        <f>IF(L3948="","",ROUND(L3948*'สรุป'!$C$6,-1))</f>
        <v/>
      </c>
      <c r="O3948" s="15" t="n"/>
      <c r="P3948" s="15" t="n"/>
      <c r="Q3948" s="10" t="n"/>
      <c r="R3948" s="10" t="n"/>
      <c r="S3948" s="16" t="inlineStr">
        <is>
          <t>https://mstgolf.co.th/products/gf2040113367</t>
        </is>
      </c>
      <c r="T3948" s="1">
        <f>IF(B3948="ไม้กอล์ฟ",J3948,"")</f>
        <v/>
      </c>
    </row>
    <row r="3949">
      <c r="A3949" s="1" t="n">
        <v>3</v>
      </c>
      <c r="B3949" s="1" t="inlineStr">
        <is>
          <t>เสื้อผ้า</t>
        </is>
      </c>
      <c r="C3949" s="1" t="inlineStr">
        <is>
          <t>gf2040112559</t>
        </is>
      </c>
      <c r="D3949" s="1" t="inlineStr">
        <is>
          <t>UNDER ARMOUR Tee-2-Green Men's Polo (Royal)</t>
        </is>
      </c>
      <c r="E3949" s="1" t="inlineStr">
        <is>
          <t>UNDER ARMOUR</t>
        </is>
      </c>
      <c r="F3949" s="1" t="inlineStr">
        <is>
          <t>SHORT SLEEVES</t>
        </is>
      </c>
      <c r="G3949" s="1" t="inlineStr">
        <is>
          <t>GF2040112559S</t>
        </is>
      </c>
      <c r="H3949" s="1" t="n">
        <v>5</v>
      </c>
      <c r="I3949" s="1" t="inlineStr">
        <is>
          <t>มี</t>
        </is>
      </c>
      <c r="J3949" s="13" t="n">
        <v>45</v>
      </c>
      <c r="K3949" s="1" t="inlineStr"/>
      <c r="L3949" s="13" t="n">
        <v>45</v>
      </c>
      <c r="M3949" s="1">
        <f>IF(L3949="","ไม่พบใน SG",IF(ABS(J3949-L3949)&lt;0.005,"ตรงกัน","ไม่ตรง"))</f>
        <v/>
      </c>
      <c r="N3949" s="14">
        <f>IF(L3949="","",ROUND(L3949*'สรุป'!$C$6,-1))</f>
        <v/>
      </c>
      <c r="O3949" s="15" t="n"/>
      <c r="P3949" s="15" t="n"/>
      <c r="Q3949" s="10" t="n"/>
      <c r="R3949" s="10" t="n"/>
      <c r="S3949" s="16" t="inlineStr">
        <is>
          <t>https://mstgolf.co.th/products/gf2040112559</t>
        </is>
      </c>
      <c r="T3949" s="1">
        <f>IF(B3949="ไม้กอล์ฟ",J3949,"")</f>
        <v/>
      </c>
    </row>
    <row r="3950">
      <c r="A3950" s="1" t="n">
        <v>3</v>
      </c>
      <c r="B3950" s="1" t="inlineStr">
        <is>
          <t>เสื้อผ้า</t>
        </is>
      </c>
      <c r="C3950" s="1" t="inlineStr">
        <is>
          <t>gf2020202200</t>
        </is>
      </c>
      <c r="D3950" s="1" t="inlineStr">
        <is>
          <t>ADIDAS 7.5" Cuffed Texture Men's Shorts (Artic)</t>
        </is>
      </c>
      <c r="E3950" s="1" t="inlineStr">
        <is>
          <t>ADIDAS</t>
        </is>
      </c>
      <c r="F3950" s="1" t="inlineStr">
        <is>
          <t>SHORT PANTS</t>
        </is>
      </c>
      <c r="G3950" s="1" t="inlineStr">
        <is>
          <t>GF202020220073</t>
        </is>
      </c>
      <c r="H3950" s="1" t="n">
        <v>7</v>
      </c>
      <c r="I3950" s="1" t="inlineStr">
        <is>
          <t>มี</t>
        </is>
      </c>
      <c r="J3950" s="13" t="n">
        <v>43</v>
      </c>
      <c r="K3950" s="1" t="inlineStr"/>
      <c r="L3950" s="13" t="n">
        <v>43</v>
      </c>
      <c r="M3950" s="1">
        <f>IF(L3950="","ไม่พบใน SG",IF(ABS(J3950-L3950)&lt;0.005,"ตรงกัน","ไม่ตรง"))</f>
        <v/>
      </c>
      <c r="N3950" s="14">
        <f>IF(L3950="","",ROUND(L3950*'สรุป'!$C$6,-1))</f>
        <v/>
      </c>
      <c r="O3950" s="15" t="n"/>
      <c r="P3950" s="15" t="n"/>
      <c r="Q3950" s="10" t="n"/>
      <c r="R3950" s="10" t="n"/>
      <c r="S3950" s="16" t="inlineStr">
        <is>
          <t>https://mstgolf.co.th/products/gf2020202200</t>
        </is>
      </c>
      <c r="T3950" s="1">
        <f>IF(B3950="ไม้กอล์ฟ",J3950,"")</f>
        <v/>
      </c>
    </row>
    <row r="3951">
      <c r="A3951" s="1" t="n">
        <v>3</v>
      </c>
      <c r="B3951" s="1" t="inlineStr">
        <is>
          <t>เสื้อผ้า</t>
        </is>
      </c>
      <c r="C3951" s="1" t="inlineStr">
        <is>
          <t>gf2020202208</t>
        </is>
      </c>
      <c r="D3951" s="1" t="inlineStr">
        <is>
          <t>ADIDAS 7.5" Cuffed Texture Men's Shorts (Blue)</t>
        </is>
      </c>
      <c r="E3951" s="1" t="inlineStr">
        <is>
          <t>ADIDAS</t>
        </is>
      </c>
      <c r="F3951" s="1" t="inlineStr">
        <is>
          <t>SHORT PANTS</t>
        </is>
      </c>
      <c r="G3951" s="1" t="inlineStr">
        <is>
          <t>GF202020220873</t>
        </is>
      </c>
      <c r="H3951" s="1" t="n">
        <v>7</v>
      </c>
      <c r="I3951" s="1" t="inlineStr">
        <is>
          <t>มี</t>
        </is>
      </c>
      <c r="J3951" s="13" t="n">
        <v>43</v>
      </c>
      <c r="K3951" s="1" t="inlineStr"/>
      <c r="L3951" s="13" t="n">
        <v>43</v>
      </c>
      <c r="M3951" s="1">
        <f>IF(L3951="","ไม่พบใน SG",IF(ABS(J3951-L3951)&lt;0.005,"ตรงกัน","ไม่ตรง"))</f>
        <v/>
      </c>
      <c r="N3951" s="14">
        <f>IF(L3951="","",ROUND(L3951*'สรุป'!$C$6,-1))</f>
        <v/>
      </c>
      <c r="O3951" s="15" t="n"/>
      <c r="P3951" s="15" t="n"/>
      <c r="Q3951" s="10" t="n"/>
      <c r="R3951" s="10" t="n"/>
      <c r="S3951" s="16" t="inlineStr">
        <is>
          <t>https://mstgolf.co.th/products/gf2020202208</t>
        </is>
      </c>
      <c r="T3951" s="1">
        <f>IF(B3951="ไม้กอล์ฟ",J3951,"")</f>
        <v/>
      </c>
    </row>
    <row r="3952">
      <c r="A3952" s="1" t="n">
        <v>3</v>
      </c>
      <c r="B3952" s="1" t="inlineStr">
        <is>
          <t>เสื้อผ้า</t>
        </is>
      </c>
      <c r="C3952" s="1" t="inlineStr">
        <is>
          <t>gf2040115716</t>
        </is>
      </c>
      <c r="D3952" s="1" t="inlineStr">
        <is>
          <t>ADIDAS AEROREADY Play Green Men's Mock Shirt (White)</t>
        </is>
      </c>
      <c r="E3952" s="1" t="inlineStr">
        <is>
          <t>ADIDAS</t>
        </is>
      </c>
      <c r="F3952" s="1" t="inlineStr">
        <is>
          <t>SHORT SLEEVES</t>
        </is>
      </c>
      <c r="G3952" s="1" t="inlineStr">
        <is>
          <t>GF2040115716XS</t>
        </is>
      </c>
      <c r="H3952" s="1" t="n">
        <v>7</v>
      </c>
      <c r="I3952" s="1" t="inlineStr">
        <is>
          <t>มี</t>
        </is>
      </c>
      <c r="J3952" s="13" t="n">
        <v>43</v>
      </c>
      <c r="K3952" s="1" t="inlineStr"/>
      <c r="L3952" s="13" t="n">
        <v>43</v>
      </c>
      <c r="M3952" s="1">
        <f>IF(L3952="","ไม่พบใน SG",IF(ABS(J3952-L3952)&lt;0.005,"ตรงกัน","ไม่ตรง"))</f>
        <v/>
      </c>
      <c r="N3952" s="14">
        <f>IF(L3952="","",ROUND(L3952*'สรุป'!$C$6,-1))</f>
        <v/>
      </c>
      <c r="O3952" s="15" t="n"/>
      <c r="P3952" s="15" t="n"/>
      <c r="Q3952" s="10" t="n"/>
      <c r="R3952" s="10" t="n"/>
      <c r="S3952" s="16" t="inlineStr">
        <is>
          <t>https://mstgolf.co.th/products/gf2040115716</t>
        </is>
      </c>
      <c r="T3952" s="1">
        <f>IF(B3952="ไม้กอล์ฟ",J3952,"")</f>
        <v/>
      </c>
    </row>
    <row r="3953">
      <c r="A3953" s="1" t="n">
        <v>3</v>
      </c>
      <c r="B3953" s="1" t="inlineStr">
        <is>
          <t>เสื้อผ้า</t>
        </is>
      </c>
      <c r="C3953" s="1" t="inlineStr">
        <is>
          <t>gf2020202210</t>
        </is>
      </c>
      <c r="D3953" s="1" t="inlineStr">
        <is>
          <t>ADIDAS CROSSHATCH SHORTS</t>
        </is>
      </c>
      <c r="E3953" s="1" t="inlineStr">
        <is>
          <t>ADIDAS</t>
        </is>
      </c>
      <c r="F3953" s="1" t="inlineStr">
        <is>
          <t>SHORT PANTS</t>
        </is>
      </c>
      <c r="G3953" s="1" t="inlineStr">
        <is>
          <t>GF202020221073</t>
        </is>
      </c>
      <c r="H3953" s="1" t="n">
        <v>7</v>
      </c>
      <c r="I3953" s="1" t="inlineStr">
        <is>
          <t>มี</t>
        </is>
      </c>
      <c r="J3953" s="13" t="n">
        <v>43</v>
      </c>
      <c r="K3953" s="1" t="inlineStr"/>
      <c r="L3953" s="13" t="n">
        <v>43</v>
      </c>
      <c r="M3953" s="1">
        <f>IF(L3953="","ไม่พบใน SG",IF(ABS(J3953-L3953)&lt;0.005,"ตรงกัน","ไม่ตรง"))</f>
        <v/>
      </c>
      <c r="N3953" s="14">
        <f>IF(L3953="","",ROUND(L3953*'สรุป'!$C$6,-1))</f>
        <v/>
      </c>
      <c r="O3953" s="15" t="n"/>
      <c r="P3953" s="15" t="n"/>
      <c r="Q3953" s="10" t="n"/>
      <c r="R3953" s="10" t="n"/>
      <c r="S3953" s="16" t="inlineStr">
        <is>
          <t>https://mstgolf.co.th/products/gf2020202210</t>
        </is>
      </c>
      <c r="T3953" s="1">
        <f>IF(B3953="ไม้กอล์ฟ",J3953,"")</f>
        <v/>
      </c>
    </row>
    <row r="3954">
      <c r="A3954" s="1" t="n">
        <v>3</v>
      </c>
      <c r="B3954" s="1" t="inlineStr">
        <is>
          <t>เสื้อผ้า</t>
        </is>
      </c>
      <c r="C3954" s="1" t="inlineStr">
        <is>
          <t>gf2020202138</t>
        </is>
      </c>
      <c r="D3954" s="1" t="inlineStr">
        <is>
          <t>ADIDAS Cargo Men's Shorts (White)</t>
        </is>
      </c>
      <c r="E3954" s="1" t="inlineStr">
        <is>
          <t>ADIDAS</t>
        </is>
      </c>
      <c r="F3954" s="1" t="inlineStr">
        <is>
          <t>SHORT PANTS</t>
        </is>
      </c>
      <c r="G3954" s="1" t="inlineStr">
        <is>
          <t>GF202020213873</t>
        </is>
      </c>
      <c r="H3954" s="1" t="n">
        <v>7</v>
      </c>
      <c r="I3954" s="1" t="inlineStr">
        <is>
          <t>มี</t>
        </is>
      </c>
      <c r="J3954" s="13" t="n">
        <v>43</v>
      </c>
      <c r="K3954" s="1" t="inlineStr"/>
      <c r="L3954" s="13" t="n">
        <v>43</v>
      </c>
      <c r="M3954" s="1">
        <f>IF(L3954="","ไม่พบใน SG",IF(ABS(J3954-L3954)&lt;0.005,"ตรงกัน","ไม่ตรง"))</f>
        <v/>
      </c>
      <c r="N3954" s="14">
        <f>IF(L3954="","",ROUND(L3954*'สรุป'!$C$6,-1))</f>
        <v/>
      </c>
      <c r="O3954" s="15" t="n"/>
      <c r="P3954" s="15" t="n"/>
      <c r="Q3954" s="10" t="n"/>
      <c r="R3954" s="10" t="n"/>
      <c r="S3954" s="16" t="inlineStr">
        <is>
          <t>https://mstgolf.co.th/products/gf2020202138</t>
        </is>
      </c>
      <c r="T3954" s="1">
        <f>IF(B3954="ไม้กอล์ฟ",J3954,"")</f>
        <v/>
      </c>
    </row>
    <row r="3955">
      <c r="A3955" s="1" t="n">
        <v>3</v>
      </c>
      <c r="B3955" s="1" t="inlineStr">
        <is>
          <t>เสื้อผ้า</t>
        </is>
      </c>
      <c r="C3955" s="1" t="inlineStr">
        <is>
          <t>gf2020202201</t>
        </is>
      </c>
      <c r="D3955" s="1" t="inlineStr">
        <is>
          <t>ADIDAS Crosshatch Men's Shorts (Navy/White)</t>
        </is>
      </c>
      <c r="E3955" s="1" t="inlineStr">
        <is>
          <t>ADIDAS</t>
        </is>
      </c>
      <c r="F3955" s="1" t="inlineStr">
        <is>
          <t>SHORT PANTS</t>
        </is>
      </c>
      <c r="G3955" s="1" t="inlineStr">
        <is>
          <t>GF202020220173</t>
        </is>
      </c>
      <c r="H3955" s="1" t="n">
        <v>7</v>
      </c>
      <c r="I3955" s="1" t="inlineStr">
        <is>
          <t>มี</t>
        </is>
      </c>
      <c r="J3955" s="13" t="n">
        <v>43</v>
      </c>
      <c r="K3955" s="1" t="inlineStr"/>
      <c r="L3955" s="13" t="n">
        <v>43</v>
      </c>
      <c r="M3955" s="1">
        <f>IF(L3955="","ไม่พบใน SG",IF(ABS(J3955-L3955)&lt;0.005,"ตรงกัน","ไม่ตรง"))</f>
        <v/>
      </c>
      <c r="N3955" s="14">
        <f>IF(L3955="","",ROUND(L3955*'สรุป'!$C$6,-1))</f>
        <v/>
      </c>
      <c r="O3955" s="15" t="n"/>
      <c r="P3955" s="15" t="n"/>
      <c r="Q3955" s="10" t="n"/>
      <c r="R3955" s="10" t="n"/>
      <c r="S3955" s="16" t="inlineStr">
        <is>
          <t>https://mstgolf.co.th/products/gf2020202201</t>
        </is>
      </c>
      <c r="T3955" s="1">
        <f>IF(B3955="ไม้กอล์ฟ",J3955,"")</f>
        <v/>
      </c>
    </row>
    <row r="3956">
      <c r="A3956" s="1" t="n">
        <v>3</v>
      </c>
      <c r="B3956" s="1" t="inlineStr">
        <is>
          <t>เสื้อผ้า</t>
        </is>
      </c>
      <c r="C3956" s="1" t="inlineStr">
        <is>
          <t>gf2020202136</t>
        </is>
      </c>
      <c r="D3956" s="1" t="inlineStr">
        <is>
          <t>ADIDAS Drive Heather Men's Polo (Blue)</t>
        </is>
      </c>
      <c r="E3956" s="1" t="inlineStr">
        <is>
          <t>ADIDAS</t>
        </is>
      </c>
      <c r="F3956" s="1" t="inlineStr">
        <is>
          <t>SHORT PANTS</t>
        </is>
      </c>
      <c r="G3956" s="1" t="inlineStr">
        <is>
          <t>GF202020213673</t>
        </is>
      </c>
      <c r="H3956" s="1" t="n">
        <v>7</v>
      </c>
      <c r="I3956" s="1" t="inlineStr">
        <is>
          <t>มี</t>
        </is>
      </c>
      <c r="J3956" s="13" t="n">
        <v>43</v>
      </c>
      <c r="K3956" s="1" t="inlineStr"/>
      <c r="L3956" s="13" t="n">
        <v>43</v>
      </c>
      <c r="M3956" s="1">
        <f>IF(L3956="","ไม่พบใน SG",IF(ABS(J3956-L3956)&lt;0.005,"ตรงกัน","ไม่ตรง"))</f>
        <v/>
      </c>
      <c r="N3956" s="14">
        <f>IF(L3956="","",ROUND(L3956*'สรุป'!$C$6,-1))</f>
        <v/>
      </c>
      <c r="O3956" s="15" t="n"/>
      <c r="P3956" s="15" t="n"/>
      <c r="Q3956" s="10" t="n"/>
      <c r="R3956" s="10" t="n"/>
      <c r="S3956" s="16" t="inlineStr">
        <is>
          <t>https://mstgolf.co.th/products/gf2020202136</t>
        </is>
      </c>
      <c r="T3956" s="1">
        <f>IF(B3956="ไม้กอล์ฟ",J3956,"")</f>
        <v/>
      </c>
    </row>
    <row r="3957">
      <c r="A3957" s="1" t="n">
        <v>3</v>
      </c>
      <c r="B3957" s="1" t="inlineStr">
        <is>
          <t>เสื้อผ้า</t>
        </is>
      </c>
      <c r="C3957" s="1" t="inlineStr">
        <is>
          <t>gf2020202345</t>
        </is>
      </c>
      <c r="D3957" s="1" t="inlineStr">
        <is>
          <t>ADIDAS Go-To Five-Pocket 9” Men’s Shorts (Navy)</t>
        </is>
      </c>
      <c r="E3957" s="1" t="inlineStr">
        <is>
          <t>ADIDAS</t>
        </is>
      </c>
      <c r="F3957" s="1" t="inlineStr">
        <is>
          <t>SHORT PANTS</t>
        </is>
      </c>
      <c r="G3957" s="1" t="inlineStr">
        <is>
          <t>GF202020234573</t>
        </is>
      </c>
      <c r="H3957" s="1" t="n">
        <v>9</v>
      </c>
      <c r="I3957" s="1" t="inlineStr">
        <is>
          <t>มี</t>
        </is>
      </c>
      <c r="J3957" s="13" t="n">
        <v>43</v>
      </c>
      <c r="K3957" s="1" t="inlineStr"/>
      <c r="L3957" s="13" t="n">
        <v>43</v>
      </c>
      <c r="M3957" s="1">
        <f>IF(L3957="","ไม่พบใน SG",IF(ABS(J3957-L3957)&lt;0.005,"ตรงกัน","ไม่ตรง"))</f>
        <v/>
      </c>
      <c r="N3957" s="14">
        <f>IF(L3957="","",ROUND(L3957*'สรุป'!$C$6,-1))</f>
        <v/>
      </c>
      <c r="O3957" s="15" t="n"/>
      <c r="P3957" s="15" t="n"/>
      <c r="Q3957" s="10" t="n"/>
      <c r="R3957" s="10" t="n"/>
      <c r="S3957" s="16" t="inlineStr">
        <is>
          <t>https://mstgolf.co.th/products/gf2020202345</t>
        </is>
      </c>
      <c r="T3957" s="1">
        <f>IF(B3957="ไม้กอล์ฟ",J3957,"")</f>
        <v/>
      </c>
    </row>
    <row r="3958">
      <c r="A3958" s="1" t="n">
        <v>3</v>
      </c>
      <c r="B3958" s="1" t="inlineStr">
        <is>
          <t>เสื้อผ้า</t>
        </is>
      </c>
      <c r="C3958" s="1" t="inlineStr">
        <is>
          <t>gf2020202202</t>
        </is>
      </c>
      <c r="D3958" s="1" t="inlineStr">
        <is>
          <t>ADIDAS Go-To Men's Shorts (Black)</t>
        </is>
      </c>
      <c r="E3958" s="1" t="inlineStr">
        <is>
          <t>ADIDAS</t>
        </is>
      </c>
      <c r="F3958" s="1" t="inlineStr">
        <is>
          <t>SHORT PANTS</t>
        </is>
      </c>
      <c r="G3958" s="1" t="inlineStr">
        <is>
          <t>GF202020220273</t>
        </is>
      </c>
      <c r="H3958" s="1" t="n">
        <v>7</v>
      </c>
      <c r="I3958" s="1" t="inlineStr">
        <is>
          <t>มี</t>
        </is>
      </c>
      <c r="J3958" s="13" t="n">
        <v>43</v>
      </c>
      <c r="K3958" s="1" t="inlineStr"/>
      <c r="L3958" s="13" t="n">
        <v>43</v>
      </c>
      <c r="M3958" s="1">
        <f>IF(L3958="","ไม่พบใน SG",IF(ABS(J3958-L3958)&lt;0.005,"ตรงกัน","ไม่ตรง"))</f>
        <v/>
      </c>
      <c r="N3958" s="14">
        <f>IF(L3958="","",ROUND(L3958*'สรุป'!$C$6,-1))</f>
        <v/>
      </c>
      <c r="O3958" s="15" t="n"/>
      <c r="P3958" s="15" t="n"/>
      <c r="Q3958" s="10" t="n"/>
      <c r="R3958" s="10" t="n"/>
      <c r="S3958" s="16" t="inlineStr">
        <is>
          <t>https://mstgolf.co.th/products/gf2020202202</t>
        </is>
      </c>
      <c r="T3958" s="1">
        <f>IF(B3958="ไม้กอล์ฟ",J3958,"")</f>
        <v/>
      </c>
    </row>
    <row r="3959">
      <c r="A3959" s="1" t="n">
        <v>3</v>
      </c>
      <c r="B3959" s="1" t="inlineStr">
        <is>
          <t>เสื้อผ้า</t>
        </is>
      </c>
      <c r="C3959" s="1" t="inlineStr">
        <is>
          <t>gf2020202347</t>
        </is>
      </c>
      <c r="D3959" s="1" t="inlineStr">
        <is>
          <t>ADIDAS Go-To Printed 6.5" Men's Shorts (Jade)</t>
        </is>
      </c>
      <c r="E3959" s="1" t="inlineStr">
        <is>
          <t>ADIDAS</t>
        </is>
      </c>
      <c r="F3959" s="1" t="inlineStr">
        <is>
          <t>SHORT PANTS</t>
        </is>
      </c>
      <c r="G3959" s="1" t="inlineStr">
        <is>
          <t>GF20202023472XS</t>
        </is>
      </c>
      <c r="H3959" s="1" t="n">
        <v>8</v>
      </c>
      <c r="I3959" s="1" t="inlineStr">
        <is>
          <t>มี</t>
        </is>
      </c>
      <c r="J3959" s="13" t="n">
        <v>43</v>
      </c>
      <c r="K3959" s="1" t="inlineStr"/>
      <c r="L3959" s="13" t="n">
        <v>43</v>
      </c>
      <c r="M3959" s="1">
        <f>IF(L3959="","ไม่พบใน SG",IF(ABS(J3959-L3959)&lt;0.005,"ตรงกัน","ไม่ตรง"))</f>
        <v/>
      </c>
      <c r="N3959" s="14">
        <f>IF(L3959="","",ROUND(L3959*'สรุป'!$C$6,-1))</f>
        <v/>
      </c>
      <c r="O3959" s="15" t="n"/>
      <c r="P3959" s="15" t="n"/>
      <c r="Q3959" s="10" t="n"/>
      <c r="R3959" s="10" t="n"/>
      <c r="S3959" s="16" t="inlineStr">
        <is>
          <t>https://mstgolf.co.th/products/gf2020202347</t>
        </is>
      </c>
      <c r="T3959" s="1">
        <f>IF(B3959="ไม้กอล์ฟ",J3959,"")</f>
        <v/>
      </c>
    </row>
    <row r="3960">
      <c r="A3960" s="1" t="n">
        <v>3</v>
      </c>
      <c r="B3960" s="1" t="inlineStr">
        <is>
          <t>เสื้อผ้า</t>
        </is>
      </c>
      <c r="C3960" s="1" t="inlineStr">
        <is>
          <t>gf2020102170</t>
        </is>
      </c>
      <c r="D3960" s="1" t="inlineStr">
        <is>
          <t>ADIDAS Go-To Women's Jogger Pants (Black)</t>
        </is>
      </c>
      <c r="E3960" s="1" t="inlineStr">
        <is>
          <t>ADIDAS</t>
        </is>
      </c>
      <c r="F3960" s="1" t="inlineStr">
        <is>
          <t>LONG PANTS</t>
        </is>
      </c>
      <c r="G3960" s="1" t="inlineStr">
        <is>
          <t>GF2020102170XS</t>
        </is>
      </c>
      <c r="H3960" s="1" t="n">
        <v>6</v>
      </c>
      <c r="I3960" s="1" t="inlineStr">
        <is>
          <t>มี</t>
        </is>
      </c>
      <c r="J3960" s="13" t="n">
        <v>43</v>
      </c>
      <c r="K3960" s="1" t="inlineStr"/>
      <c r="L3960" s="13" t="n">
        <v>43</v>
      </c>
      <c r="M3960" s="1">
        <f>IF(L3960="","ไม่พบใน SG",IF(ABS(J3960-L3960)&lt;0.005,"ตรงกัน","ไม่ตรง"))</f>
        <v/>
      </c>
      <c r="N3960" s="14">
        <f>IF(L3960="","",ROUND(L3960*'สรุป'!$C$6,-1))</f>
        <v/>
      </c>
      <c r="O3960" s="15" t="n"/>
      <c r="P3960" s="15" t="n"/>
      <c r="Q3960" s="10" t="n"/>
      <c r="R3960" s="10" t="n"/>
      <c r="S3960" s="16" t="inlineStr">
        <is>
          <t>https://mstgolf.co.th/products/gf2020102170</t>
        </is>
      </c>
      <c r="T3960" s="1">
        <f>IF(B3960="ไม้กอล์ฟ",J3960,"")</f>
        <v/>
      </c>
    </row>
    <row r="3961">
      <c r="A3961" s="1" t="n">
        <v>3</v>
      </c>
      <c r="B3961" s="1" t="inlineStr">
        <is>
          <t>เสื้อผ้า</t>
        </is>
      </c>
      <c r="C3961" s="1" t="inlineStr">
        <is>
          <t>gf2020102132</t>
        </is>
      </c>
      <c r="D3961" s="1" t="inlineStr">
        <is>
          <t>ADIDAS Go-To Women's Jogger Pants (Navy)</t>
        </is>
      </c>
      <c r="E3961" s="1" t="inlineStr">
        <is>
          <t>ADIDAS</t>
        </is>
      </c>
      <c r="F3961" s="1" t="inlineStr">
        <is>
          <t>LONG PANTS</t>
        </is>
      </c>
      <c r="G3961" s="1" t="inlineStr">
        <is>
          <t>GF2020102132XS</t>
        </is>
      </c>
      <c r="H3961" s="1" t="n">
        <v>6</v>
      </c>
      <c r="I3961" s="1" t="inlineStr">
        <is>
          <t>มี</t>
        </is>
      </c>
      <c r="J3961" s="13" t="n">
        <v>43</v>
      </c>
      <c r="K3961" s="1" t="inlineStr"/>
      <c r="L3961" s="13" t="n">
        <v>43</v>
      </c>
      <c r="M3961" s="1">
        <f>IF(L3961="","ไม่พบใน SG",IF(ABS(J3961-L3961)&lt;0.005,"ตรงกัน","ไม่ตรง"))</f>
        <v/>
      </c>
      <c r="N3961" s="14">
        <f>IF(L3961="","",ROUND(L3961*'สรุป'!$C$6,-1))</f>
        <v/>
      </c>
      <c r="O3961" s="15" t="n"/>
      <c r="P3961" s="15" t="n"/>
      <c r="Q3961" s="10" t="n"/>
      <c r="R3961" s="10" t="n"/>
      <c r="S3961" s="16" t="inlineStr">
        <is>
          <t>https://mstgolf.co.th/products/gf2020102132</t>
        </is>
      </c>
      <c r="T3961" s="1">
        <f>IF(B3961="ไม้กอล์ฟ",J3961,"")</f>
        <v/>
      </c>
    </row>
    <row r="3962">
      <c r="A3962" s="1" t="n">
        <v>3</v>
      </c>
      <c r="B3962" s="1" t="inlineStr">
        <is>
          <t>เสื้อผ้า</t>
        </is>
      </c>
      <c r="C3962" s="1" t="inlineStr">
        <is>
          <t>gf2020102268</t>
        </is>
      </c>
      <c r="D3962" s="1" t="inlineStr">
        <is>
          <t>ADIDAS Go-To Women's Joggers (Black)</t>
        </is>
      </c>
      <c r="E3962" s="1" t="inlineStr">
        <is>
          <t>ADIDAS</t>
        </is>
      </c>
      <c r="F3962" s="1" t="inlineStr">
        <is>
          <t>LONG PANTS</t>
        </is>
      </c>
      <c r="G3962" s="1" t="inlineStr">
        <is>
          <t>GF2020102268XS</t>
        </is>
      </c>
      <c r="H3962" s="1" t="n">
        <v>6</v>
      </c>
      <c r="I3962" s="1" t="inlineStr">
        <is>
          <t>มี</t>
        </is>
      </c>
      <c r="J3962" s="13" t="n">
        <v>43</v>
      </c>
      <c r="K3962" s="1" t="inlineStr"/>
      <c r="L3962" s="13" t="n">
        <v>43</v>
      </c>
      <c r="M3962" s="1">
        <f>IF(L3962="","ไม่พบใน SG",IF(ABS(J3962-L3962)&lt;0.005,"ตรงกัน","ไม่ตรง"))</f>
        <v/>
      </c>
      <c r="N3962" s="14">
        <f>IF(L3962="","",ROUND(L3962*'สรุป'!$C$6,-1))</f>
        <v/>
      </c>
      <c r="O3962" s="15" t="n"/>
      <c r="P3962" s="15" t="n"/>
      <c r="Q3962" s="10" t="n"/>
      <c r="R3962" s="10" t="n"/>
      <c r="S3962" s="16" t="inlineStr">
        <is>
          <t>https://mstgolf.co.th/products/gf2020102268</t>
        </is>
      </c>
      <c r="T3962" s="1">
        <f>IF(B3962="ไม้กอล์ฟ",J3962,"")</f>
        <v/>
      </c>
    </row>
    <row r="3963">
      <c r="A3963" s="1" t="n">
        <v>3</v>
      </c>
      <c r="B3963" s="1" t="inlineStr">
        <is>
          <t>เสื้อผ้า</t>
        </is>
      </c>
      <c r="C3963" s="1" t="inlineStr">
        <is>
          <t>gf2020202516</t>
        </is>
      </c>
      <c r="D3963" s="1" t="inlineStr">
        <is>
          <t>ADIDAS Go-To Woven Men's Shorts (Pink)</t>
        </is>
      </c>
      <c r="E3963" s="1" t="inlineStr">
        <is>
          <t>ADIDAS</t>
        </is>
      </c>
      <c r="F3963" s="1" t="inlineStr">
        <is>
          <t>SHORT PANTS</t>
        </is>
      </c>
      <c r="G3963" s="1" t="inlineStr">
        <is>
          <t>GF20202025162XL</t>
        </is>
      </c>
      <c r="H3963" s="1" t="n">
        <v>15</v>
      </c>
      <c r="I3963" s="1" t="inlineStr">
        <is>
          <t>มี</t>
        </is>
      </c>
      <c r="J3963" s="13" t="n">
        <v>43</v>
      </c>
      <c r="K3963" s="1" t="inlineStr"/>
      <c r="L3963" s="13" t="n">
        <v>43</v>
      </c>
      <c r="M3963" s="1">
        <f>IF(L3963="","ไม่พบใน SG",IF(ABS(J3963-L3963)&lt;0.005,"ตรงกัน","ไม่ตรง"))</f>
        <v/>
      </c>
      <c r="N3963" s="14">
        <f>IF(L3963="","",ROUND(L3963*'สรุป'!$C$6,-1))</f>
        <v/>
      </c>
      <c r="O3963" s="15" t="n"/>
      <c r="P3963" s="15" t="n"/>
      <c r="Q3963" s="10" t="n"/>
      <c r="R3963" s="10" t="n"/>
      <c r="S3963" s="16" t="inlineStr">
        <is>
          <t>https://mstgolf.co.th/products/gf2020202516</t>
        </is>
      </c>
      <c r="T3963" s="1">
        <f>IF(B3963="ไม้กอล์ฟ",J3963,"")</f>
        <v/>
      </c>
    </row>
    <row r="3964">
      <c r="A3964" s="1" t="n">
        <v>3</v>
      </c>
      <c r="B3964" s="1" t="inlineStr">
        <is>
          <t>เสื้อผ้า</t>
        </is>
      </c>
      <c r="C3964" s="1" t="inlineStr">
        <is>
          <t>gf2040401252</t>
        </is>
      </c>
      <c r="D3964" s="1" t="inlineStr">
        <is>
          <t>ADIDAS Logo Men's Jacquard Long Sleeve Mock Neck Polo (White)</t>
        </is>
      </c>
      <c r="E3964" s="1" t="inlineStr">
        <is>
          <t>ADIDAS</t>
        </is>
      </c>
      <c r="F3964" s="1" t="inlineStr">
        <is>
          <t>LONG SLEEVES</t>
        </is>
      </c>
      <c r="G3964" s="1" t="inlineStr">
        <is>
          <t>GF20404012522XS</t>
        </is>
      </c>
      <c r="H3964" s="1" t="n">
        <v>7</v>
      </c>
      <c r="I3964" s="1" t="inlineStr">
        <is>
          <t>มี</t>
        </is>
      </c>
      <c r="J3964" s="13" t="n">
        <v>43</v>
      </c>
      <c r="K3964" s="1" t="inlineStr"/>
      <c r="L3964" s="13" t="n"/>
      <c r="M3964" s="1">
        <f>IF(L3964="","ไม่พบใน SG",IF(ABS(J3964-L3964)&lt;0.005,"ตรงกัน","ไม่ตรง"))</f>
        <v/>
      </c>
      <c r="N3964" s="14">
        <f>IF(L3964="","",ROUND(L3964*'สรุป'!$C$6,-1))</f>
        <v/>
      </c>
      <c r="O3964" s="15" t="n"/>
      <c r="P3964" s="15" t="n"/>
      <c r="Q3964" s="10" t="n"/>
      <c r="R3964" s="10" t="n"/>
      <c r="S3964" s="16" t="inlineStr">
        <is>
          <t>https://mstgolf.co.th/products/gf2040401252</t>
        </is>
      </c>
      <c r="T3964" s="1">
        <f>IF(B3964="ไม้กอล์ฟ",J3964,"")</f>
        <v/>
      </c>
    </row>
    <row r="3965">
      <c r="A3965" s="1" t="n">
        <v>3</v>
      </c>
      <c r="B3965" s="1" t="inlineStr">
        <is>
          <t>เสื้อผ้า</t>
        </is>
      </c>
      <c r="C3965" s="1" t="inlineStr">
        <is>
          <t>gf2020202234</t>
        </is>
      </c>
      <c r="D3965" s="1" t="inlineStr">
        <is>
          <t>ADIDAS ULT PRINT SHORTS</t>
        </is>
      </c>
      <c r="E3965" s="1" t="inlineStr">
        <is>
          <t>ADIDAS</t>
        </is>
      </c>
      <c r="F3965" s="1" t="inlineStr">
        <is>
          <t>SHORT PANTS</t>
        </is>
      </c>
      <c r="G3965" s="1" t="inlineStr">
        <is>
          <t>GF202020223473</t>
        </is>
      </c>
      <c r="H3965" s="1" t="n">
        <v>7</v>
      </c>
      <c r="I3965" s="1" t="inlineStr">
        <is>
          <t>มี</t>
        </is>
      </c>
      <c r="J3965" s="13" t="n">
        <v>43</v>
      </c>
      <c r="K3965" s="1" t="inlineStr"/>
      <c r="L3965" s="13" t="n">
        <v>43</v>
      </c>
      <c r="M3965" s="1">
        <f>IF(L3965="","ไม่พบใน SG",IF(ABS(J3965-L3965)&lt;0.005,"ตรงกัน","ไม่ตรง"))</f>
        <v/>
      </c>
      <c r="N3965" s="14">
        <f>IF(L3965="","",ROUND(L3965*'สรุป'!$C$6,-1))</f>
        <v/>
      </c>
      <c r="O3965" s="15" t="n"/>
      <c r="P3965" s="15" t="n"/>
      <c r="Q3965" s="10" t="n"/>
      <c r="R3965" s="10" t="n"/>
      <c r="S3965" s="16" t="inlineStr">
        <is>
          <t>https://mstgolf.co.th/products/gf2020202234</t>
        </is>
      </c>
      <c r="T3965" s="1">
        <f>IF(B3965="ไม้กอล์ฟ",J3965,"")</f>
        <v/>
      </c>
    </row>
    <row r="3966">
      <c r="A3966" s="1" t="n">
        <v>3</v>
      </c>
      <c r="B3966" s="1" t="inlineStr">
        <is>
          <t>เสื้อผ้า</t>
        </is>
      </c>
      <c r="C3966" s="1" t="inlineStr">
        <is>
          <t>gf2020202139</t>
        </is>
      </c>
      <c r="D3966" s="1" t="inlineStr">
        <is>
          <t>ADIDAS Ultimate 10 inch Men's Shorts (Black)</t>
        </is>
      </c>
      <c r="E3966" s="1" t="inlineStr">
        <is>
          <t>ADIDAS</t>
        </is>
      </c>
      <c r="F3966" s="1" t="inlineStr">
        <is>
          <t>SHORT PANTS</t>
        </is>
      </c>
      <c r="G3966" s="1" t="inlineStr">
        <is>
          <t>GF202020213973</t>
        </is>
      </c>
      <c r="H3966" s="1" t="n">
        <v>8</v>
      </c>
      <c r="I3966" s="1" t="inlineStr">
        <is>
          <t>มี</t>
        </is>
      </c>
      <c r="J3966" s="13" t="n">
        <v>43</v>
      </c>
      <c r="K3966" s="1" t="inlineStr"/>
      <c r="L3966" s="13" t="n">
        <v>43</v>
      </c>
      <c r="M3966" s="1">
        <f>IF(L3966="","ไม่พบใน SG",IF(ABS(J3966-L3966)&lt;0.005,"ตรงกัน","ไม่ตรง"))</f>
        <v/>
      </c>
      <c r="N3966" s="14">
        <f>IF(L3966="","",ROUND(L3966*'สรุป'!$C$6,-1))</f>
        <v/>
      </c>
      <c r="O3966" s="15" t="n"/>
      <c r="P3966" s="15" t="n"/>
      <c r="Q3966" s="10" t="n"/>
      <c r="R3966" s="10" t="n"/>
      <c r="S3966" s="16" t="inlineStr">
        <is>
          <t>https://mstgolf.co.th/products/gf2020202139</t>
        </is>
      </c>
      <c r="T3966" s="1">
        <f>IF(B3966="ไม้กอล์ฟ",J3966,"")</f>
        <v/>
      </c>
    </row>
    <row r="3967">
      <c r="A3967" s="1" t="n">
        <v>3</v>
      </c>
      <c r="B3967" s="1" t="inlineStr">
        <is>
          <t>เสื้อผ้า</t>
        </is>
      </c>
      <c r="C3967" s="1" t="inlineStr">
        <is>
          <t>gf2020202209</t>
        </is>
      </c>
      <c r="D3967" s="1" t="inlineStr">
        <is>
          <t>ADIDAS Ultimate 10" Men's Shorts (Grey)</t>
        </is>
      </c>
      <c r="E3967" s="1" t="inlineStr">
        <is>
          <t>ADIDAS</t>
        </is>
      </c>
      <c r="F3967" s="1" t="inlineStr">
        <is>
          <t>SHORT PANTS</t>
        </is>
      </c>
      <c r="G3967" s="1" t="inlineStr">
        <is>
          <t>GF202020220973</t>
        </is>
      </c>
      <c r="H3967" s="1" t="n">
        <v>7</v>
      </c>
      <c r="I3967" s="1" t="inlineStr">
        <is>
          <t>มี</t>
        </is>
      </c>
      <c r="J3967" s="13" t="n">
        <v>43</v>
      </c>
      <c r="K3967" s="1" t="inlineStr"/>
      <c r="L3967" s="13" t="n">
        <v>43</v>
      </c>
      <c r="M3967" s="1">
        <f>IF(L3967="","ไม่พบใน SG",IF(ABS(J3967-L3967)&lt;0.005,"ตรงกัน","ไม่ตรง"))</f>
        <v/>
      </c>
      <c r="N3967" s="14">
        <f>IF(L3967="","",ROUND(L3967*'สรุป'!$C$6,-1))</f>
        <v/>
      </c>
      <c r="O3967" s="15" t="n"/>
      <c r="P3967" s="15" t="n"/>
      <c r="Q3967" s="10" t="n"/>
      <c r="R3967" s="10" t="n"/>
      <c r="S3967" s="16" t="inlineStr">
        <is>
          <t>https://mstgolf.co.th/products/gf2020202209</t>
        </is>
      </c>
      <c r="T3967" s="1">
        <f>IF(B3967="ไม้กอล์ฟ",J3967,"")</f>
        <v/>
      </c>
    </row>
    <row r="3968">
      <c r="A3968" s="1" t="n">
        <v>3</v>
      </c>
      <c r="B3968" s="1" t="inlineStr">
        <is>
          <t>เสื้อผ้า</t>
        </is>
      </c>
      <c r="C3968" s="1" t="inlineStr">
        <is>
          <t>gf2020202205</t>
        </is>
      </c>
      <c r="D3968" s="1" t="inlineStr">
        <is>
          <t>ADIDAS Ultimate 8.5" Men's Shorts (Red)</t>
        </is>
      </c>
      <c r="E3968" s="1" t="inlineStr">
        <is>
          <t>ADIDAS</t>
        </is>
      </c>
      <c r="F3968" s="1" t="inlineStr">
        <is>
          <t>SHORT PANTS</t>
        </is>
      </c>
      <c r="G3968" s="1" t="inlineStr">
        <is>
          <t>GF202020220573</t>
        </is>
      </c>
      <c r="H3968" s="1" t="n">
        <v>7</v>
      </c>
      <c r="I3968" s="1" t="inlineStr">
        <is>
          <t>มี</t>
        </is>
      </c>
      <c r="J3968" s="13" t="n">
        <v>43</v>
      </c>
      <c r="K3968" s="1" t="inlineStr"/>
      <c r="L3968" s="13" t="n">
        <v>43</v>
      </c>
      <c r="M3968" s="1">
        <f>IF(L3968="","ไม่พบใน SG",IF(ABS(J3968-L3968)&lt;0.005,"ตรงกัน","ไม่ตรง"))</f>
        <v/>
      </c>
      <c r="N3968" s="14">
        <f>IF(L3968="","",ROUND(L3968*'สรุป'!$C$6,-1))</f>
        <v/>
      </c>
      <c r="O3968" s="15" t="n"/>
      <c r="P3968" s="15" t="n"/>
      <c r="Q3968" s="10" t="n"/>
      <c r="R3968" s="10" t="n"/>
      <c r="S3968" s="16" t="inlineStr">
        <is>
          <t>https://mstgolf.co.th/products/gf2020202205</t>
        </is>
      </c>
      <c r="T3968" s="1">
        <f>IF(B3968="ไม้กอล์ฟ",J3968,"")</f>
        <v/>
      </c>
    </row>
    <row r="3969">
      <c r="A3969" s="1" t="n">
        <v>3</v>
      </c>
      <c r="B3969" s="1" t="inlineStr">
        <is>
          <t>เสื้อผ้า</t>
        </is>
      </c>
      <c r="C3969" s="1" t="inlineStr">
        <is>
          <t>gf2020202524</t>
        </is>
      </c>
      <c r="D3969" s="1" t="inlineStr">
        <is>
          <t>ADIDAS Ultimate365 8.5" Men's Shorts (Pink)</t>
        </is>
      </c>
      <c r="E3969" s="1" t="inlineStr">
        <is>
          <t>ADIDAS</t>
        </is>
      </c>
      <c r="F3969" s="1" t="inlineStr">
        <is>
          <t>SHORT PANTS</t>
        </is>
      </c>
      <c r="G3969" s="1" t="inlineStr">
        <is>
          <t>GF202020252473</t>
        </is>
      </c>
      <c r="H3969" s="1" t="n">
        <v>9</v>
      </c>
      <c r="I3969" s="1" t="inlineStr">
        <is>
          <t>มี</t>
        </is>
      </c>
      <c r="J3969" s="13" t="n">
        <v>43</v>
      </c>
      <c r="K3969" s="1" t="inlineStr"/>
      <c r="L3969" s="13" t="n">
        <v>43</v>
      </c>
      <c r="M3969" s="1">
        <f>IF(L3969="","ไม่พบใน SG",IF(ABS(J3969-L3969)&lt;0.005,"ตรงกัน","ไม่ตรง"))</f>
        <v/>
      </c>
      <c r="N3969" s="14">
        <f>IF(L3969="","",ROUND(L3969*'สรุป'!$C$6,-1))</f>
        <v/>
      </c>
      <c r="O3969" s="15" t="n"/>
      <c r="P3969" s="15" t="n"/>
      <c r="Q3969" s="10" t="n"/>
      <c r="R3969" s="10" t="n"/>
      <c r="S3969" s="16" t="inlineStr">
        <is>
          <t>https://mstgolf.co.th/products/gf2020202524</t>
        </is>
      </c>
      <c r="T3969" s="1">
        <f>IF(B3969="ไม้กอล์ฟ",J3969,"")</f>
        <v/>
      </c>
    </row>
    <row r="3970">
      <c r="A3970" s="1" t="n">
        <v>3</v>
      </c>
      <c r="B3970" s="1" t="inlineStr">
        <is>
          <t>เสื้อผ้า</t>
        </is>
      </c>
      <c r="C3970" s="1" t="inlineStr">
        <is>
          <t>gf2020102173</t>
        </is>
      </c>
      <c r="D3970" s="1" t="inlineStr">
        <is>
          <t>ADIDAS Ultimate365 Men's Tapered Pants (Arctic)</t>
        </is>
      </c>
      <c r="E3970" s="1" t="inlineStr">
        <is>
          <t>ADIDAS</t>
        </is>
      </c>
      <c r="F3970" s="1" t="inlineStr">
        <is>
          <t>LONG PANTS</t>
        </is>
      </c>
      <c r="G3970" s="1" t="inlineStr">
        <is>
          <t>GF202010217373</t>
        </is>
      </c>
      <c r="H3970" s="1" t="n">
        <v>8</v>
      </c>
      <c r="I3970" s="1" t="inlineStr">
        <is>
          <t>มี</t>
        </is>
      </c>
      <c r="J3970" s="13" t="n">
        <v>43</v>
      </c>
      <c r="K3970" s="1" t="inlineStr"/>
      <c r="L3970" s="13" t="n">
        <v>43</v>
      </c>
      <c r="M3970" s="1">
        <f>IF(L3970="","ไม่พบใน SG",IF(ABS(J3970-L3970)&lt;0.005,"ตรงกัน","ไม่ตรง"))</f>
        <v/>
      </c>
      <c r="N3970" s="14">
        <f>IF(L3970="","",ROUND(L3970*'สรุป'!$C$6,-1))</f>
        <v/>
      </c>
      <c r="O3970" s="15" t="n"/>
      <c r="P3970" s="15" t="n"/>
      <c r="Q3970" s="10" t="n"/>
      <c r="R3970" s="10" t="n"/>
      <c r="S3970" s="16" t="inlineStr">
        <is>
          <t>https://mstgolf.co.th/products/gf2020102173</t>
        </is>
      </c>
      <c r="T3970" s="1">
        <f>IF(B3970="ไม้กอล์ฟ",J3970,"")</f>
        <v/>
      </c>
    </row>
    <row r="3971">
      <c r="A3971" s="1" t="n">
        <v>3</v>
      </c>
      <c r="B3971" s="1" t="inlineStr">
        <is>
          <t>เสื้อผ้า</t>
        </is>
      </c>
      <c r="C3971" s="1" t="inlineStr">
        <is>
          <t>gf2020202522</t>
        </is>
      </c>
      <c r="D3971" s="1" t="inlineStr">
        <is>
          <t>ADIDAS Ultimate365 Pleated 9" Men's Shorts (Alumina)</t>
        </is>
      </c>
      <c r="E3971" s="1" t="inlineStr">
        <is>
          <t>ADIDAS</t>
        </is>
      </c>
      <c r="F3971" s="1" t="inlineStr">
        <is>
          <t>SHORT PANTS</t>
        </is>
      </c>
      <c r="G3971" s="1" t="inlineStr">
        <is>
          <t>GF202020252273</t>
        </is>
      </c>
      <c r="H3971" s="1" t="n">
        <v>9</v>
      </c>
      <c r="I3971" s="1" t="inlineStr">
        <is>
          <t>มี</t>
        </is>
      </c>
      <c r="J3971" s="13" t="n">
        <v>43</v>
      </c>
      <c r="K3971" s="1" t="inlineStr"/>
      <c r="L3971" s="13" t="n">
        <v>43</v>
      </c>
      <c r="M3971" s="1">
        <f>IF(L3971="","ไม่พบใน SG",IF(ABS(J3971-L3971)&lt;0.005,"ตรงกัน","ไม่ตรง"))</f>
        <v/>
      </c>
      <c r="N3971" s="14">
        <f>IF(L3971="","",ROUND(L3971*'สรุป'!$C$6,-1))</f>
        <v/>
      </c>
      <c r="O3971" s="15" t="n"/>
      <c r="P3971" s="15" t="n"/>
      <c r="Q3971" s="10" t="n"/>
      <c r="R3971" s="10" t="n"/>
      <c r="S3971" s="16" t="inlineStr">
        <is>
          <t>https://mstgolf.co.th/products/gf2020202522</t>
        </is>
      </c>
      <c r="T3971" s="1">
        <f>IF(B3971="ไม้กอล์ฟ",J3971,"")</f>
        <v/>
      </c>
    </row>
    <row r="3972">
      <c r="A3972" s="1" t="n">
        <v>3</v>
      </c>
      <c r="B3972" s="1" t="inlineStr">
        <is>
          <t>เสื้อผ้า</t>
        </is>
      </c>
      <c r="C3972" s="1" t="inlineStr">
        <is>
          <t>gf2020202511</t>
        </is>
      </c>
      <c r="D3972" s="1" t="inlineStr">
        <is>
          <t>ADIDAS Ultimate365 Pleated 9" Men’s Shorts (Navy)</t>
        </is>
      </c>
      <c r="E3972" s="1" t="inlineStr">
        <is>
          <t>ADIDAS</t>
        </is>
      </c>
      <c r="F3972" s="1" t="inlineStr">
        <is>
          <t>SHORT PANTS</t>
        </is>
      </c>
      <c r="G3972" s="1" t="inlineStr">
        <is>
          <t>GF202020251173</t>
        </is>
      </c>
      <c r="H3972" s="1" t="n">
        <v>9</v>
      </c>
      <c r="I3972" s="1" t="inlineStr">
        <is>
          <t>มี</t>
        </is>
      </c>
      <c r="J3972" s="13" t="n">
        <v>43</v>
      </c>
      <c r="K3972" s="1" t="inlineStr"/>
      <c r="L3972" s="13" t="n"/>
      <c r="M3972" s="1">
        <f>IF(L3972="","ไม่พบใน SG",IF(ABS(J3972-L3972)&lt;0.005,"ตรงกัน","ไม่ตรง"))</f>
        <v/>
      </c>
      <c r="N3972" s="14">
        <f>IF(L3972="","",ROUND(L3972*'สรุป'!$C$6,-1))</f>
        <v/>
      </c>
      <c r="O3972" s="15" t="n"/>
      <c r="P3972" s="15" t="n"/>
      <c r="Q3972" s="10" t="n"/>
      <c r="R3972" s="10" t="n"/>
      <c r="S3972" s="16" t="inlineStr">
        <is>
          <t>https://mstgolf.co.th/products/gf2020202511</t>
        </is>
      </c>
      <c r="T3972" s="1">
        <f>IF(B3972="ไม้กอล์ฟ",J3972,"")</f>
        <v/>
      </c>
    </row>
    <row r="3973">
      <c r="A3973" s="1" t="n">
        <v>3</v>
      </c>
      <c r="B3973" s="1" t="inlineStr">
        <is>
          <t>เสื้อผ้า</t>
        </is>
      </c>
      <c r="C3973" s="1" t="inlineStr">
        <is>
          <t>gf2020202353</t>
        </is>
      </c>
      <c r="D3973" s="1" t="inlineStr">
        <is>
          <t>ADIDAS Ultimate365 Printed 9" Men's Shorts (Green)</t>
        </is>
      </c>
      <c r="E3973" s="1" t="inlineStr">
        <is>
          <t>ADIDAS</t>
        </is>
      </c>
      <c r="F3973" s="1" t="inlineStr">
        <is>
          <t>SHORT PANTS</t>
        </is>
      </c>
      <c r="G3973" s="1" t="inlineStr">
        <is>
          <t>GF202020235373</t>
        </is>
      </c>
      <c r="H3973" s="1" t="n">
        <v>9</v>
      </c>
      <c r="I3973" s="1" t="inlineStr">
        <is>
          <t>มี</t>
        </is>
      </c>
      <c r="J3973" s="13" t="n">
        <v>43</v>
      </c>
      <c r="K3973" s="1" t="inlineStr"/>
      <c r="L3973" s="13" t="n">
        <v>43</v>
      </c>
      <c r="M3973" s="1">
        <f>IF(L3973="","ไม่พบใน SG",IF(ABS(J3973-L3973)&lt;0.005,"ตรงกัน","ไม่ตรง"))</f>
        <v/>
      </c>
      <c r="N3973" s="14">
        <f>IF(L3973="","",ROUND(L3973*'สรุป'!$C$6,-1))</f>
        <v/>
      </c>
      <c r="O3973" s="15" t="n"/>
      <c r="P3973" s="15" t="n"/>
      <c r="Q3973" s="10" t="n"/>
      <c r="R3973" s="10" t="n"/>
      <c r="S3973" s="16" t="inlineStr">
        <is>
          <t>https://mstgolf.co.th/products/gf2020202353</t>
        </is>
      </c>
      <c r="T3973" s="1">
        <f>IF(B3973="ไม้กอล์ฟ",J3973,"")</f>
        <v/>
      </c>
    </row>
    <row r="3974">
      <c r="A3974" s="1" t="n">
        <v>3</v>
      </c>
      <c r="B3974" s="1" t="inlineStr">
        <is>
          <t>เสื้อผ้า</t>
        </is>
      </c>
      <c r="C3974" s="1" t="inlineStr">
        <is>
          <t>gf2020202523</t>
        </is>
      </c>
      <c r="D3974" s="1" t="inlineStr">
        <is>
          <t>ADIDAS Ultimate365 Printed 9" Men's Shorts (Ink)</t>
        </is>
      </c>
      <c r="E3974" s="1" t="inlineStr">
        <is>
          <t>ADIDAS</t>
        </is>
      </c>
      <c r="F3974" s="1" t="inlineStr">
        <is>
          <t>SHORT PANTS</t>
        </is>
      </c>
      <c r="G3974" s="1" t="inlineStr">
        <is>
          <t>GF202020252373</t>
        </is>
      </c>
      <c r="H3974" s="1" t="n">
        <v>9</v>
      </c>
      <c r="I3974" s="1" t="inlineStr">
        <is>
          <t>มี</t>
        </is>
      </c>
      <c r="J3974" s="13" t="n">
        <v>43</v>
      </c>
      <c r="K3974" s="1" t="inlineStr"/>
      <c r="L3974" s="13" t="n">
        <v>43</v>
      </c>
      <c r="M3974" s="1">
        <f>IF(L3974="","ไม่พบใน SG",IF(ABS(J3974-L3974)&lt;0.005,"ตรงกัน","ไม่ตรง"))</f>
        <v/>
      </c>
      <c r="N3974" s="14">
        <f>IF(L3974="","",ROUND(L3974*'สรุป'!$C$6,-1))</f>
        <v/>
      </c>
      <c r="O3974" s="15" t="n"/>
      <c r="P3974" s="15" t="n"/>
      <c r="Q3974" s="10" t="n"/>
      <c r="R3974" s="10" t="n"/>
      <c r="S3974" s="16" t="inlineStr">
        <is>
          <t>https://mstgolf.co.th/products/gf2020202523</t>
        </is>
      </c>
      <c r="T3974" s="1">
        <f>IF(B3974="ไม้กอล์ฟ",J3974,"")</f>
        <v/>
      </c>
    </row>
    <row r="3975">
      <c r="A3975" s="1" t="n">
        <v>3</v>
      </c>
      <c r="B3975" s="1" t="inlineStr">
        <is>
          <t>เสื้อผ้า</t>
        </is>
      </c>
      <c r="C3975" s="1" t="inlineStr">
        <is>
          <t>gf2020102130</t>
        </is>
      </c>
      <c r="D3975" s="1" t="inlineStr">
        <is>
          <t>ADIDAS Ultimate365 Tour Pull-On Women's Ankle Pants (Earth Strata)</t>
        </is>
      </c>
      <c r="E3975" s="1" t="inlineStr">
        <is>
          <t>ADIDAS</t>
        </is>
      </c>
      <c r="F3975" s="1" t="inlineStr">
        <is>
          <t>LONG PANTS</t>
        </is>
      </c>
      <c r="G3975" s="1" t="inlineStr">
        <is>
          <t>GF2020102130XS</t>
        </is>
      </c>
      <c r="H3975" s="1" t="n">
        <v>6</v>
      </c>
      <c r="I3975" s="1" t="inlineStr">
        <is>
          <t>มี</t>
        </is>
      </c>
      <c r="J3975" s="13" t="n">
        <v>43</v>
      </c>
      <c r="K3975" s="1" t="inlineStr"/>
      <c r="L3975" s="13" t="n">
        <v>43</v>
      </c>
      <c r="M3975" s="1">
        <f>IF(L3975="","ไม่พบใน SG",IF(ABS(J3975-L3975)&lt;0.005,"ตรงกัน","ไม่ตรง"))</f>
        <v/>
      </c>
      <c r="N3975" s="14">
        <f>IF(L3975="","",ROUND(L3975*'สรุป'!$C$6,-1))</f>
        <v/>
      </c>
      <c r="O3975" s="15" t="n"/>
      <c r="P3975" s="15" t="n"/>
      <c r="Q3975" s="10" t="n"/>
      <c r="R3975" s="10" t="n"/>
      <c r="S3975" s="16" t="inlineStr">
        <is>
          <t>https://mstgolf.co.th/products/gf2020102130</t>
        </is>
      </c>
      <c r="T3975" s="1">
        <f>IF(B3975="ไม้กอล์ฟ",J3975,"")</f>
        <v/>
      </c>
    </row>
    <row r="3976">
      <c r="A3976" s="1" t="n">
        <v>3</v>
      </c>
      <c r="B3976" s="1" t="inlineStr">
        <is>
          <t>เสื้อผ้า</t>
        </is>
      </c>
      <c r="C3976" s="1" t="inlineStr">
        <is>
          <t>gf2020202355</t>
        </is>
      </c>
      <c r="D3976" s="1" t="inlineStr">
        <is>
          <t>ADIDAS Utility 9" Men's Shorts (White)</t>
        </is>
      </c>
      <c r="E3976" s="1" t="inlineStr">
        <is>
          <t>ADIDAS</t>
        </is>
      </c>
      <c r="F3976" s="1" t="inlineStr">
        <is>
          <t>SHORT PANTS</t>
        </is>
      </c>
      <c r="G3976" s="1" t="inlineStr">
        <is>
          <t>GF202020235573</t>
        </is>
      </c>
      <c r="H3976" s="1" t="n">
        <v>9</v>
      </c>
      <c r="I3976" s="1" t="inlineStr">
        <is>
          <t>มี</t>
        </is>
      </c>
      <c r="J3976" s="13" t="n">
        <v>43</v>
      </c>
      <c r="K3976" s="1" t="inlineStr"/>
      <c r="L3976" s="13" t="n">
        <v>43</v>
      </c>
      <c r="M3976" s="1">
        <f>IF(L3976="","ไม่พบใน SG",IF(ABS(J3976-L3976)&lt;0.005,"ตรงกัน","ไม่ตรง"))</f>
        <v/>
      </c>
      <c r="N3976" s="14">
        <f>IF(L3976="","",ROUND(L3976*'สรุป'!$C$6,-1))</f>
        <v/>
      </c>
      <c r="O3976" s="15" t="n"/>
      <c r="P3976" s="15" t="n"/>
      <c r="Q3976" s="10" t="n"/>
      <c r="R3976" s="10" t="n"/>
      <c r="S3976" s="16" t="inlineStr">
        <is>
          <t>https://mstgolf.co.th/products/gf2020202355</t>
        </is>
      </c>
      <c r="T3976" s="1">
        <f>IF(B3976="ไม้กอล์ฟ",J3976,"")</f>
        <v/>
      </c>
    </row>
    <row r="3977">
      <c r="A3977" s="1" t="n">
        <v>3</v>
      </c>
      <c r="B3977" s="1" t="inlineStr">
        <is>
          <t>อุปกรณ์เสริม</t>
        </is>
      </c>
      <c r="C3977" s="1" t="inlineStr">
        <is>
          <t>gf3500201776</t>
        </is>
      </c>
      <c r="D3977" s="1" t="inlineStr">
        <is>
          <t>DISNEY Chill Squad Driver Headcover</t>
        </is>
      </c>
      <c r="E3977" s="1" t="inlineStr">
        <is>
          <t>DISNEY</t>
        </is>
      </c>
      <c r="F3977" s="1" t="inlineStr">
        <is>
          <t>HEADCOVERS</t>
        </is>
      </c>
      <c r="G3977" s="1" t="inlineStr">
        <is>
          <t>GF3500201776</t>
        </is>
      </c>
      <c r="H3977" s="1" t="n">
        <v>1</v>
      </c>
      <c r="I3977" s="1" t="inlineStr">
        <is>
          <t>มี</t>
        </is>
      </c>
      <c r="J3977" s="13" t="n">
        <v>43</v>
      </c>
      <c r="K3977" s="1" t="inlineStr"/>
      <c r="L3977" s="13" t="n">
        <v>43</v>
      </c>
      <c r="M3977" s="1">
        <f>IF(L3977="","ไม่พบใน SG",IF(ABS(J3977-L3977)&lt;0.005,"ตรงกัน","ไม่ตรง"))</f>
        <v/>
      </c>
      <c r="N3977" s="14">
        <f>IF(L3977="","",ROUND(L3977*'สรุป'!$C$6,-1))</f>
        <v/>
      </c>
      <c r="O3977" s="15" t="n"/>
      <c r="P3977" s="15" t="n"/>
      <c r="Q3977" s="10" t="n"/>
      <c r="R3977" s="10" t="n"/>
      <c r="S3977" s="16" t="inlineStr">
        <is>
          <t>https://mstgolf.co.th/products/gf3500201776</t>
        </is>
      </c>
      <c r="T3977" s="1">
        <f>IF(B3977="ไม้กอล์ฟ",J3977,"")</f>
        <v/>
      </c>
    </row>
    <row r="3978">
      <c r="A3978" s="1" t="n">
        <v>3</v>
      </c>
      <c r="B3978" s="1" t="inlineStr">
        <is>
          <t>อุปกรณ์เสริม</t>
        </is>
      </c>
      <c r="C3978" s="1" t="inlineStr">
        <is>
          <t>gf3500201778</t>
        </is>
      </c>
      <c r="D3978" s="1" t="inlineStr">
        <is>
          <t>DISNEY Chill Squad Hybrid Headcover</t>
        </is>
      </c>
      <c r="E3978" s="1" t="inlineStr">
        <is>
          <t>DISNEY</t>
        </is>
      </c>
      <c r="F3978" s="1" t="inlineStr">
        <is>
          <t>HEADCOVERS</t>
        </is>
      </c>
      <c r="G3978" s="1" t="inlineStr">
        <is>
          <t>GF3500201778</t>
        </is>
      </c>
      <c r="H3978" s="1" t="n">
        <v>1</v>
      </c>
      <c r="I3978" s="1" t="inlineStr">
        <is>
          <t>มี</t>
        </is>
      </c>
      <c r="J3978" s="13" t="n">
        <v>43</v>
      </c>
      <c r="K3978" s="1" t="inlineStr"/>
      <c r="L3978" s="13" t="n">
        <v>43</v>
      </c>
      <c r="M3978" s="1">
        <f>IF(L3978="","ไม่พบใน SG",IF(ABS(J3978-L3978)&lt;0.005,"ตรงกัน","ไม่ตรง"))</f>
        <v/>
      </c>
      <c r="N3978" s="14">
        <f>IF(L3978="","",ROUND(L3978*'สรุป'!$C$6,-1))</f>
        <v/>
      </c>
      <c r="O3978" s="15" t="n"/>
      <c r="P3978" s="15" t="n"/>
      <c r="Q3978" s="10" t="n"/>
      <c r="R3978" s="10" t="n"/>
      <c r="S3978" s="16" t="inlineStr">
        <is>
          <t>https://mstgolf.co.th/products/gf3500201778</t>
        </is>
      </c>
      <c r="T3978" s="1">
        <f>IF(B3978="ไม้กอล์ฟ",J3978,"")</f>
        <v/>
      </c>
    </row>
    <row r="3979">
      <c r="A3979" s="1" t="n">
        <v>3</v>
      </c>
      <c r="B3979" s="1" t="inlineStr">
        <is>
          <t>อุปกรณ์เสริม</t>
        </is>
      </c>
      <c r="C3979" s="1" t="inlineStr">
        <is>
          <t>gf3500201773</t>
        </is>
      </c>
      <c r="D3979" s="1" t="inlineStr">
        <is>
          <t>DISNEY Good Vibes Only Driver Headcover</t>
        </is>
      </c>
      <c r="E3979" s="1" t="inlineStr">
        <is>
          <t>DISNEY</t>
        </is>
      </c>
      <c r="F3979" s="1" t="inlineStr">
        <is>
          <t>HEADCOVERS</t>
        </is>
      </c>
      <c r="G3979" s="1" t="inlineStr">
        <is>
          <t>GF3500201773</t>
        </is>
      </c>
      <c r="H3979" s="1" t="n">
        <v>1</v>
      </c>
      <c r="I3979" s="1" t="inlineStr">
        <is>
          <t>มี</t>
        </is>
      </c>
      <c r="J3979" s="13" t="n">
        <v>43</v>
      </c>
      <c r="K3979" s="1" t="inlineStr"/>
      <c r="L3979" s="13" t="n">
        <v>43</v>
      </c>
      <c r="M3979" s="1">
        <f>IF(L3979="","ไม่พบใน SG",IF(ABS(J3979-L3979)&lt;0.005,"ตรงกัน","ไม่ตรง"))</f>
        <v/>
      </c>
      <c r="N3979" s="14">
        <f>IF(L3979="","",ROUND(L3979*'สรุป'!$C$6,-1))</f>
        <v/>
      </c>
      <c r="O3979" s="15" t="n"/>
      <c r="P3979" s="15" t="n"/>
      <c r="Q3979" s="10" t="n"/>
      <c r="R3979" s="10" t="n"/>
      <c r="S3979" s="16" t="inlineStr">
        <is>
          <t>https://mstgolf.co.th/products/gf3500201773</t>
        </is>
      </c>
      <c r="T3979" s="1">
        <f>IF(B3979="ไม้กอล์ฟ",J3979,"")</f>
        <v/>
      </c>
    </row>
    <row r="3980">
      <c r="A3980" s="1" t="n">
        <v>3</v>
      </c>
      <c r="B3980" s="1" t="inlineStr">
        <is>
          <t>อุปกรณ์เสริม</t>
        </is>
      </c>
      <c r="C3980" s="1" t="inlineStr">
        <is>
          <t>gf3500201775</t>
        </is>
      </c>
      <c r="D3980" s="1" t="inlineStr">
        <is>
          <t>DISNEY Good Vibes Only Utlity Headcover</t>
        </is>
      </c>
      <c r="E3980" s="1" t="inlineStr">
        <is>
          <t>DISNEY</t>
        </is>
      </c>
      <c r="F3980" s="1" t="inlineStr">
        <is>
          <t>HEADCOVERS</t>
        </is>
      </c>
      <c r="G3980" s="1" t="inlineStr">
        <is>
          <t>GF3500201775</t>
        </is>
      </c>
      <c r="H3980" s="1" t="n">
        <v>1</v>
      </c>
      <c r="I3980" s="1" t="inlineStr">
        <is>
          <t>มี</t>
        </is>
      </c>
      <c r="J3980" s="13" t="n">
        <v>43</v>
      </c>
      <c r="K3980" s="1" t="inlineStr"/>
      <c r="L3980" s="13" t="n">
        <v>43</v>
      </c>
      <c r="M3980" s="1">
        <f>IF(L3980="","ไม่พบใน SG",IF(ABS(J3980-L3980)&lt;0.005,"ตรงกัน","ไม่ตรง"))</f>
        <v/>
      </c>
      <c r="N3980" s="14">
        <f>IF(L3980="","",ROUND(L3980*'สรุป'!$C$6,-1))</f>
        <v/>
      </c>
      <c r="O3980" s="15" t="n"/>
      <c r="P3980" s="15" t="n"/>
      <c r="Q3980" s="10" t="n"/>
      <c r="R3980" s="10" t="n"/>
      <c r="S3980" s="16" t="inlineStr">
        <is>
          <t>https://mstgolf.co.th/products/gf3500201775</t>
        </is>
      </c>
      <c r="T3980" s="1">
        <f>IF(B3980="ไม้กอล์ฟ",J3980,"")</f>
        <v/>
      </c>
    </row>
    <row r="3981">
      <c r="A3981" s="1" t="n">
        <v>3</v>
      </c>
      <c r="B3981" s="1" t="inlineStr">
        <is>
          <t>อุปกรณ์เสริม</t>
        </is>
      </c>
      <c r="C3981" s="1" t="inlineStr">
        <is>
          <t>gf3500201771</t>
        </is>
      </c>
      <c r="D3981" s="1" t="inlineStr">
        <is>
          <t>DISNEY Mickey Fairway Headcover</t>
        </is>
      </c>
      <c r="E3981" s="1" t="inlineStr">
        <is>
          <t>DISNEY</t>
        </is>
      </c>
      <c r="F3981" s="1" t="inlineStr">
        <is>
          <t>HEADCOVERS</t>
        </is>
      </c>
      <c r="G3981" s="1" t="inlineStr">
        <is>
          <t>GF3500201771</t>
        </is>
      </c>
      <c r="H3981" s="1" t="n">
        <v>1</v>
      </c>
      <c r="I3981" s="1" t="inlineStr">
        <is>
          <t>มี</t>
        </is>
      </c>
      <c r="J3981" s="13" t="n">
        <v>43</v>
      </c>
      <c r="K3981" s="1" t="inlineStr"/>
      <c r="L3981" s="13" t="n">
        <v>43</v>
      </c>
      <c r="M3981" s="1">
        <f>IF(L3981="","ไม่พบใน SG",IF(ABS(J3981-L3981)&lt;0.005,"ตรงกัน","ไม่ตรง"))</f>
        <v/>
      </c>
      <c r="N3981" s="14">
        <f>IF(L3981="","",ROUND(L3981*'สรุป'!$C$6,-1))</f>
        <v/>
      </c>
      <c r="O3981" s="15" t="n"/>
      <c r="P3981" s="15" t="n"/>
      <c r="Q3981" s="10" t="n"/>
      <c r="R3981" s="10" t="n"/>
      <c r="S3981" s="16" t="inlineStr">
        <is>
          <t>https://mstgolf.co.th/products/gf3500201771</t>
        </is>
      </c>
      <c r="T3981" s="1">
        <f>IF(B3981="ไม้กอล์ฟ",J3981,"")</f>
        <v/>
      </c>
    </row>
    <row r="3982">
      <c r="A3982" s="1" t="n">
        <v>3</v>
      </c>
      <c r="B3982" s="1" t="inlineStr">
        <is>
          <t>เสื้อผ้า</t>
        </is>
      </c>
      <c r="C3982" s="1" t="inlineStr">
        <is>
          <t>gf2040115196</t>
        </is>
      </c>
      <c r="D3982" s="1" t="inlineStr">
        <is>
          <t>GFORE Golfing Is Tee Men's T-Shirt (Ceilo)</t>
        </is>
      </c>
      <c r="E3982" s="1" t="inlineStr">
        <is>
          <t>GFORE</t>
        </is>
      </c>
      <c r="F3982" s="1" t="inlineStr">
        <is>
          <t>SHORT SLEEVES</t>
        </is>
      </c>
      <c r="G3982" s="1" t="inlineStr">
        <is>
          <t>GF2040115196XS</t>
        </is>
      </c>
      <c r="H3982" s="1" t="n">
        <v>6</v>
      </c>
      <c r="I3982" s="1" t="inlineStr">
        <is>
          <t>มี</t>
        </is>
      </c>
      <c r="J3982" s="13" t="n">
        <v>43</v>
      </c>
      <c r="K3982" s="1" t="inlineStr"/>
      <c r="L3982" s="13" t="n">
        <v>43</v>
      </c>
      <c r="M3982" s="1">
        <f>IF(L3982="","ไม่พบใน SG",IF(ABS(J3982-L3982)&lt;0.005,"ตรงกัน","ไม่ตรง"))</f>
        <v/>
      </c>
      <c r="N3982" s="14">
        <f>IF(L3982="","",ROUND(L3982*'สรุป'!$C$6,-1))</f>
        <v/>
      </c>
      <c r="O3982" s="15" t="n"/>
      <c r="P3982" s="15" t="n"/>
      <c r="Q3982" s="10" t="n"/>
      <c r="R3982" s="10" t="n"/>
      <c r="S3982" s="16" t="inlineStr">
        <is>
          <t>https://mstgolf.co.th/products/gf2040115196</t>
        </is>
      </c>
      <c r="T3982" s="1">
        <f>IF(B3982="ไม้กอล์ฟ",J3982,"")</f>
        <v/>
      </c>
    </row>
    <row r="3983">
      <c r="A3983" s="1" t="n">
        <v>3</v>
      </c>
      <c r="B3983" s="1" t="inlineStr">
        <is>
          <t>เสื้อผ้า</t>
        </is>
      </c>
      <c r="C3983" s="1" t="inlineStr">
        <is>
          <t>gf2040114780</t>
        </is>
      </c>
      <c r="D3983" s="1" t="inlineStr">
        <is>
          <t>GFORE SLUB JERSEY T-SHIRT</t>
        </is>
      </c>
      <c r="E3983" s="1" t="inlineStr">
        <is>
          <t>GFORE</t>
        </is>
      </c>
      <c r="F3983" s="1" t="inlineStr">
        <is>
          <t>SHORT SLEEVES</t>
        </is>
      </c>
      <c r="G3983" s="1" t="inlineStr">
        <is>
          <t>GF2040114780XS</t>
        </is>
      </c>
      <c r="H3983" s="1" t="n">
        <v>6</v>
      </c>
      <c r="I3983" s="1" t="inlineStr">
        <is>
          <t>มี</t>
        </is>
      </c>
      <c r="J3983" s="13" t="n">
        <v>43</v>
      </c>
      <c r="K3983" s="1" t="inlineStr"/>
      <c r="L3983" s="13" t="n">
        <v>43</v>
      </c>
      <c r="M3983" s="1">
        <f>IF(L3983="","ไม่พบใน SG",IF(ABS(J3983-L3983)&lt;0.005,"ตรงกัน","ไม่ตรง"))</f>
        <v/>
      </c>
      <c r="N3983" s="14">
        <f>IF(L3983="","",ROUND(L3983*'สรุป'!$C$6,-1))</f>
        <v/>
      </c>
      <c r="O3983" s="15" t="n"/>
      <c r="P3983" s="15" t="n"/>
      <c r="Q3983" s="10" t="n"/>
      <c r="R3983" s="10" t="n"/>
      <c r="S3983" s="16" t="inlineStr">
        <is>
          <t>https://mstgolf.co.th/products/gf2040114780</t>
        </is>
      </c>
      <c r="T3983" s="1">
        <f>IF(B3983="ไม้กอล์ฟ",J3983,"")</f>
        <v/>
      </c>
    </row>
    <row r="3984">
      <c r="A3984" s="1" t="n">
        <v>3</v>
      </c>
      <c r="B3984" s="1" t="inlineStr">
        <is>
          <t>เสื้อผ้า</t>
        </is>
      </c>
      <c r="C3984" s="1" t="inlineStr">
        <is>
          <t>gf2040114779</t>
        </is>
      </c>
      <c r="D3984" s="1" t="inlineStr">
        <is>
          <t>GFORE Textured Men's T-Shirt (Onyx)</t>
        </is>
      </c>
      <c r="E3984" s="1" t="inlineStr">
        <is>
          <t>GFORE</t>
        </is>
      </c>
      <c r="F3984" s="1" t="inlineStr">
        <is>
          <t>SHORT SLEEVES</t>
        </is>
      </c>
      <c r="G3984" s="1" t="inlineStr">
        <is>
          <t>GF2040114779XS</t>
        </is>
      </c>
      <c r="H3984" s="1" t="n">
        <v>6</v>
      </c>
      <c r="I3984" s="1" t="inlineStr">
        <is>
          <t>มี</t>
        </is>
      </c>
      <c r="J3984" s="13" t="n">
        <v>43</v>
      </c>
      <c r="K3984" s="1" t="inlineStr"/>
      <c r="L3984" s="13" t="n">
        <v>43</v>
      </c>
      <c r="M3984" s="1">
        <f>IF(L3984="","ไม่พบใน SG",IF(ABS(J3984-L3984)&lt;0.005,"ตรงกัน","ไม่ตรง"))</f>
        <v/>
      </c>
      <c r="N3984" s="14">
        <f>IF(L3984="","",ROUND(L3984*'สรุป'!$C$6,-1))</f>
        <v/>
      </c>
      <c r="O3984" s="15" t="n"/>
      <c r="P3984" s="15" t="n"/>
      <c r="Q3984" s="10" t="n"/>
      <c r="R3984" s="10" t="n"/>
      <c r="S3984" s="16" t="inlineStr">
        <is>
          <t>https://mstgolf.co.th/products/gf2040114779</t>
        </is>
      </c>
      <c r="T3984" s="1">
        <f>IF(B3984="ไม้กอล์ฟ",J3984,"")</f>
        <v/>
      </c>
    </row>
    <row r="3985">
      <c r="A3985" s="1" t="n">
        <v>3</v>
      </c>
      <c r="B3985" s="1" t="inlineStr">
        <is>
          <t>เสื้อผ้า</t>
        </is>
      </c>
      <c r="C3985" s="1" t="inlineStr">
        <is>
          <t>gf2040401075</t>
        </is>
      </c>
      <c r="D3985" s="1" t="inlineStr">
        <is>
          <t>NIKE Dri-FIT Victory Women's Long Sleeve Polo (Diffused Blue)</t>
        </is>
      </c>
      <c r="E3985" s="1" t="inlineStr">
        <is>
          <t>NIKE</t>
        </is>
      </c>
      <c r="F3985" s="1" t="inlineStr">
        <is>
          <t>LONG SLEEVES</t>
        </is>
      </c>
      <c r="G3985" s="1" t="inlineStr">
        <is>
          <t>GF2040401075S</t>
        </is>
      </c>
      <c r="H3985" s="1" t="n">
        <v>5</v>
      </c>
      <c r="I3985" s="1" t="inlineStr">
        <is>
          <t>มี</t>
        </is>
      </c>
      <c r="J3985" s="13" t="n">
        <v>43</v>
      </c>
      <c r="K3985" s="1" t="inlineStr"/>
      <c r="L3985" s="13" t="n">
        <v>43</v>
      </c>
      <c r="M3985" s="1">
        <f>IF(L3985="","ไม่พบใน SG",IF(ABS(J3985-L3985)&lt;0.005,"ตรงกัน","ไม่ตรง"))</f>
        <v/>
      </c>
      <c r="N3985" s="14">
        <f>IF(L3985="","",ROUND(L3985*'สรุป'!$C$6,-1))</f>
        <v/>
      </c>
      <c r="O3985" s="15" t="n"/>
      <c r="P3985" s="15" t="n"/>
      <c r="Q3985" s="10" t="n"/>
      <c r="R3985" s="10" t="n"/>
      <c r="S3985" s="16" t="inlineStr">
        <is>
          <t>https://mstgolf.co.th/products/gf2040401075</t>
        </is>
      </c>
      <c r="T3985" s="1">
        <f>IF(B3985="ไม้กอล์ฟ",J3985,"")</f>
        <v/>
      </c>
    </row>
    <row r="3986">
      <c r="A3986" s="1" t="n">
        <v>3</v>
      </c>
      <c r="B3986" s="1" t="inlineStr">
        <is>
          <t>หมวก</t>
        </is>
      </c>
      <c r="C3986" s="1" t="inlineStr">
        <is>
          <t>gf2000106245</t>
        </is>
      </c>
      <c r="D3986" s="1" t="inlineStr">
        <is>
          <t>TAYLORMADE Basic Metal-T Men's Cap (White)</t>
        </is>
      </c>
      <c r="E3986" s="1" t="inlineStr">
        <is>
          <t>TAYLORMADE</t>
        </is>
      </c>
      <c r="F3986" s="1" t="inlineStr">
        <is>
          <t>CAP</t>
        </is>
      </c>
      <c r="G3986" s="1" t="inlineStr">
        <is>
          <t>GF2000106245FS</t>
        </is>
      </c>
      <c r="H3986" s="1" t="n">
        <v>1</v>
      </c>
      <c r="I3986" s="1" t="inlineStr">
        <is>
          <t>มี</t>
        </is>
      </c>
      <c r="J3986" s="13" t="n">
        <v>43</v>
      </c>
      <c r="K3986" s="1" t="inlineStr"/>
      <c r="L3986" s="13" t="n">
        <v>43</v>
      </c>
      <c r="M3986" s="1">
        <f>IF(L3986="","ไม่พบใน SG",IF(ABS(J3986-L3986)&lt;0.005,"ตรงกัน","ไม่ตรง"))</f>
        <v/>
      </c>
      <c r="N3986" s="14">
        <f>IF(L3986="","",ROUND(L3986*'สรุป'!$C$6,-1))</f>
        <v/>
      </c>
      <c r="O3986" s="15" t="n"/>
      <c r="P3986" s="15" t="n"/>
      <c r="Q3986" s="10" t="n"/>
      <c r="R3986" s="10" t="n"/>
      <c r="S3986" s="16" t="inlineStr">
        <is>
          <t>https://mstgolf.co.th/products/gf2000106245</t>
        </is>
      </c>
      <c r="T3986" s="1">
        <f>IF(B3986="ไม้กอล์ฟ",J3986,"")</f>
        <v/>
      </c>
    </row>
    <row r="3987">
      <c r="A3987" s="1" t="n">
        <v>3</v>
      </c>
      <c r="B3987" s="1" t="inlineStr">
        <is>
          <t>หมวก</t>
        </is>
      </c>
      <c r="C3987" s="1" t="inlineStr">
        <is>
          <t>gf2000106248</t>
        </is>
      </c>
      <c r="D3987" s="1" t="inlineStr">
        <is>
          <t>TAYLORMADE Punching Men's Cap (White)</t>
        </is>
      </c>
      <c r="E3987" s="1" t="inlineStr">
        <is>
          <t>TAYLORMADE</t>
        </is>
      </c>
      <c r="F3987" s="1" t="inlineStr">
        <is>
          <t>CAP</t>
        </is>
      </c>
      <c r="G3987" s="1" t="inlineStr">
        <is>
          <t>GF2000106248FS</t>
        </is>
      </c>
      <c r="H3987" s="1" t="n">
        <v>1</v>
      </c>
      <c r="I3987" s="1" t="inlineStr">
        <is>
          <t>มี</t>
        </is>
      </c>
      <c r="J3987" s="13" t="n">
        <v>43</v>
      </c>
      <c r="K3987" s="1" t="inlineStr"/>
      <c r="L3987" s="13" t="n">
        <v>43</v>
      </c>
      <c r="M3987" s="1">
        <f>IF(L3987="","ไม่พบใน SG",IF(ABS(J3987-L3987)&lt;0.005,"ตรงกัน","ไม่ตรง"))</f>
        <v/>
      </c>
      <c r="N3987" s="14">
        <f>IF(L3987="","",ROUND(L3987*'สรุป'!$C$6,-1))</f>
        <v/>
      </c>
      <c r="O3987" s="15" t="n"/>
      <c r="P3987" s="15" t="n"/>
      <c r="Q3987" s="10" t="n"/>
      <c r="R3987" s="10" t="n"/>
      <c r="S3987" s="16" t="inlineStr">
        <is>
          <t>https://mstgolf.co.th/products/gf2000106248</t>
        </is>
      </c>
      <c r="T3987" s="1">
        <f>IF(B3987="ไม้กอล์ฟ",J3987,"")</f>
        <v/>
      </c>
    </row>
    <row r="3988">
      <c r="A3988" s="1" t="n">
        <v>3</v>
      </c>
      <c r="B3988" s="1" t="inlineStr">
        <is>
          <t>หมวก</t>
        </is>
      </c>
      <c r="C3988" s="1" t="inlineStr">
        <is>
          <t>gf2000105811</t>
        </is>
      </c>
      <c r="D3988" s="1" t="inlineStr">
        <is>
          <t>TITLEIST Performance Ball Marker Men's Cap (Bonfire/White)</t>
        </is>
      </c>
      <c r="E3988" s="1" t="inlineStr">
        <is>
          <t>TITLEIST</t>
        </is>
      </c>
      <c r="F3988" s="1" t="inlineStr">
        <is>
          <t>CAP</t>
        </is>
      </c>
      <c r="G3988" s="1" t="inlineStr">
        <is>
          <t>GF2000105811FS</t>
        </is>
      </c>
      <c r="H3988" s="1" t="n">
        <v>1</v>
      </c>
      <c r="I3988" s="1" t="inlineStr">
        <is>
          <t>มี</t>
        </is>
      </c>
      <c r="J3988" s="13" t="n">
        <v>43</v>
      </c>
      <c r="K3988" s="1" t="inlineStr"/>
      <c r="L3988" s="13" t="n">
        <v>43</v>
      </c>
      <c r="M3988" s="1">
        <f>IF(L3988="","ไม่พบใน SG",IF(ABS(J3988-L3988)&lt;0.005,"ตรงกัน","ไม่ตรง"))</f>
        <v/>
      </c>
      <c r="N3988" s="14">
        <f>IF(L3988="","",ROUND(L3988*'สรุป'!$C$6,-1))</f>
        <v/>
      </c>
      <c r="O3988" s="15" t="n"/>
      <c r="P3988" s="15" t="n"/>
      <c r="Q3988" s="10" t="n"/>
      <c r="R3988" s="10" t="n"/>
      <c r="S3988" s="16" t="inlineStr">
        <is>
          <t>https://mstgolf.co.th/products/gf2000105811</t>
        </is>
      </c>
      <c r="T3988" s="1">
        <f>IF(B3988="ไม้กอล์ฟ",J3988,"")</f>
        <v/>
      </c>
    </row>
    <row r="3989">
      <c r="A3989" s="1" t="n">
        <v>3</v>
      </c>
      <c r="B3989" s="1" t="inlineStr">
        <is>
          <t>หมวก</t>
        </is>
      </c>
      <c r="C3989" s="1" t="inlineStr">
        <is>
          <t>gf2000105810</t>
        </is>
      </c>
      <c r="D3989" s="1" t="inlineStr">
        <is>
          <t>TITLEIST Performance Ball Marker Men's Cap (Green/White)</t>
        </is>
      </c>
      <c r="E3989" s="1" t="inlineStr">
        <is>
          <t>TITLEIST</t>
        </is>
      </c>
      <c r="F3989" s="1" t="inlineStr">
        <is>
          <t>CAP</t>
        </is>
      </c>
      <c r="G3989" s="1" t="inlineStr">
        <is>
          <t>GF2000105810FS</t>
        </is>
      </c>
      <c r="H3989" s="1" t="n">
        <v>1</v>
      </c>
      <c r="I3989" s="1" t="inlineStr">
        <is>
          <t>มี</t>
        </is>
      </c>
      <c r="J3989" s="13" t="n">
        <v>43</v>
      </c>
      <c r="K3989" s="1" t="inlineStr"/>
      <c r="L3989" s="13" t="n">
        <v>43</v>
      </c>
      <c r="M3989" s="1">
        <f>IF(L3989="","ไม่พบใน SG",IF(ABS(J3989-L3989)&lt;0.005,"ตรงกัน","ไม่ตรง"))</f>
        <v/>
      </c>
      <c r="N3989" s="14">
        <f>IF(L3989="","",ROUND(L3989*'สรุป'!$C$6,-1))</f>
        <v/>
      </c>
      <c r="O3989" s="15" t="n"/>
      <c r="P3989" s="15" t="n"/>
      <c r="Q3989" s="10" t="n"/>
      <c r="R3989" s="10" t="n"/>
      <c r="S3989" s="16" t="inlineStr">
        <is>
          <t>https://mstgolf.co.th/products/gf2000105810</t>
        </is>
      </c>
      <c r="T3989" s="1">
        <f>IF(B3989="ไม้กอล์ฟ",J3989,"")</f>
        <v/>
      </c>
    </row>
    <row r="3990">
      <c r="A3990" s="1" t="n">
        <v>3</v>
      </c>
      <c r="B3990" s="1" t="inlineStr">
        <is>
          <t>หมวก</t>
        </is>
      </c>
      <c r="C3990" s="1" t="inlineStr">
        <is>
          <t>gf2000105809</t>
        </is>
      </c>
      <c r="D3990" s="1" t="inlineStr">
        <is>
          <t>TITLEIST Performance Ball Marker Men's Cap (Olympic/Marble/Bonfire)</t>
        </is>
      </c>
      <c r="E3990" s="1" t="inlineStr">
        <is>
          <t>TITLEIST</t>
        </is>
      </c>
      <c r="F3990" s="1" t="inlineStr">
        <is>
          <t>CAP</t>
        </is>
      </c>
      <c r="G3990" s="1" t="inlineStr">
        <is>
          <t>GF2000105809FS</t>
        </is>
      </c>
      <c r="H3990" s="1" t="n">
        <v>1</v>
      </c>
      <c r="I3990" s="1" t="inlineStr">
        <is>
          <t>มี</t>
        </is>
      </c>
      <c r="J3990" s="13" t="n">
        <v>43</v>
      </c>
      <c r="K3990" s="1" t="inlineStr"/>
      <c r="L3990" s="13" t="n">
        <v>43</v>
      </c>
      <c r="M3990" s="1">
        <f>IF(L3990="","ไม่พบใน SG",IF(ABS(J3990-L3990)&lt;0.005,"ตรงกัน","ไม่ตรง"))</f>
        <v/>
      </c>
      <c r="N3990" s="14">
        <f>IF(L3990="","",ROUND(L3990*'สรุป'!$C$6,-1))</f>
        <v/>
      </c>
      <c r="O3990" s="15" t="n"/>
      <c r="P3990" s="15" t="n"/>
      <c r="Q3990" s="10" t="n"/>
      <c r="R3990" s="10" t="n"/>
      <c r="S3990" s="16" t="inlineStr">
        <is>
          <t>https://mstgolf.co.th/products/gf2000105809</t>
        </is>
      </c>
      <c r="T3990" s="1">
        <f>IF(B3990="ไม้กอล์ฟ",J3990,"")</f>
        <v/>
      </c>
    </row>
    <row r="3991">
      <c r="A3991" s="1" t="n">
        <v>3</v>
      </c>
      <c r="B3991" s="1" t="inlineStr">
        <is>
          <t>หมวก</t>
        </is>
      </c>
      <c r="C3991" s="1" t="inlineStr">
        <is>
          <t>gf2000200891</t>
        </is>
      </c>
      <c r="D3991" s="1" t="inlineStr">
        <is>
          <t>TAYLORMADE Basic Women's Visor (Black)</t>
        </is>
      </c>
      <c r="E3991" s="1" t="inlineStr">
        <is>
          <t>TAYLORMADE</t>
        </is>
      </c>
      <c r="F3991" s="1" t="inlineStr">
        <is>
          <t>VISOR</t>
        </is>
      </c>
      <c r="G3991" s="1" t="inlineStr">
        <is>
          <t>GF2000200891FS</t>
        </is>
      </c>
      <c r="H3991" s="1" t="n">
        <v>1</v>
      </c>
      <c r="I3991" s="1" t="inlineStr">
        <is>
          <t>มี</t>
        </is>
      </c>
      <c r="J3991" s="13" t="n">
        <v>42</v>
      </c>
      <c r="K3991" s="1" t="inlineStr"/>
      <c r="L3991" s="13" t="n">
        <v>42</v>
      </c>
      <c r="M3991" s="1">
        <f>IF(L3991="","ไม่พบใน SG",IF(ABS(J3991-L3991)&lt;0.005,"ตรงกัน","ไม่ตรง"))</f>
        <v/>
      </c>
      <c r="N3991" s="14">
        <f>IF(L3991="","",ROUND(L3991*'สรุป'!$C$6,-1))</f>
        <v/>
      </c>
      <c r="O3991" s="15" t="n"/>
      <c r="P3991" s="15" t="n"/>
      <c r="Q3991" s="10" t="n"/>
      <c r="R3991" s="10" t="n"/>
      <c r="S3991" s="16" t="inlineStr">
        <is>
          <t>https://mstgolf.co.th/products/gf2000200891</t>
        </is>
      </c>
      <c r="T3991" s="1">
        <f>IF(B3991="ไม้กอล์ฟ",J3991,"")</f>
        <v/>
      </c>
    </row>
    <row r="3992">
      <c r="A3992" s="1" t="n">
        <v>3</v>
      </c>
      <c r="B3992" s="1" t="inlineStr">
        <is>
          <t>หมวก</t>
        </is>
      </c>
      <c r="C3992" s="1" t="inlineStr">
        <is>
          <t>gf2000200889</t>
        </is>
      </c>
      <c r="D3992" s="1" t="inlineStr">
        <is>
          <t>TAYLORMADE Men's Summer Visor (Pink)</t>
        </is>
      </c>
      <c r="E3992" s="1" t="inlineStr">
        <is>
          <t>TAYLORMADE</t>
        </is>
      </c>
      <c r="F3992" s="1" t="inlineStr">
        <is>
          <t>VISOR</t>
        </is>
      </c>
      <c r="G3992" s="1" t="inlineStr">
        <is>
          <t>GF2000200889FS</t>
        </is>
      </c>
      <c r="H3992" s="1" t="n">
        <v>1</v>
      </c>
      <c r="I3992" s="1" t="inlineStr">
        <is>
          <t>มี</t>
        </is>
      </c>
      <c r="J3992" s="13" t="n">
        <v>42</v>
      </c>
      <c r="K3992" s="1" t="inlineStr"/>
      <c r="L3992" s="13" t="n">
        <v>42</v>
      </c>
      <c r="M3992" s="1">
        <f>IF(L3992="","ไม่พบใน SG",IF(ABS(J3992-L3992)&lt;0.005,"ตรงกัน","ไม่ตรง"))</f>
        <v/>
      </c>
      <c r="N3992" s="14">
        <f>IF(L3992="","",ROUND(L3992*'สรุป'!$C$6,-1))</f>
        <v/>
      </c>
      <c r="O3992" s="15" t="n"/>
      <c r="P3992" s="15" t="n"/>
      <c r="Q3992" s="10" t="n"/>
      <c r="R3992" s="10" t="n"/>
      <c r="S3992" s="16" t="inlineStr">
        <is>
          <t>https://mstgolf.co.th/products/gf2000200889</t>
        </is>
      </c>
      <c r="T3992" s="1">
        <f>IF(B3992="ไม้กอล์ฟ",J3992,"")</f>
        <v/>
      </c>
    </row>
    <row r="3993">
      <c r="A3993" s="1" t="n">
        <v>3</v>
      </c>
      <c r="B3993" s="1" t="inlineStr">
        <is>
          <t>หมวก</t>
        </is>
      </c>
      <c r="C3993" s="1" t="inlineStr">
        <is>
          <t>gf2000105337</t>
        </is>
      </c>
      <c r="D3993" s="1" t="inlineStr">
        <is>
          <t>TITLEIST Performance Ball Marker Women's Cap (Peach/White)</t>
        </is>
      </c>
      <c r="E3993" s="1" t="inlineStr">
        <is>
          <t>TITLEIST</t>
        </is>
      </c>
      <c r="F3993" s="1" t="inlineStr">
        <is>
          <t>CAP</t>
        </is>
      </c>
      <c r="G3993" s="1" t="inlineStr">
        <is>
          <t>GF2000105337FS</t>
        </is>
      </c>
      <c r="H3993" s="1" t="n">
        <v>1</v>
      </c>
      <c r="I3993" s="1" t="inlineStr">
        <is>
          <t>มี</t>
        </is>
      </c>
      <c r="J3993" s="13" t="n">
        <v>42</v>
      </c>
      <c r="K3993" s="1" t="inlineStr"/>
      <c r="L3993" s="13" t="n">
        <v>42</v>
      </c>
      <c r="M3993" s="1">
        <f>IF(L3993="","ไม่พบใน SG",IF(ABS(J3993-L3993)&lt;0.005,"ตรงกัน","ไม่ตรง"))</f>
        <v/>
      </c>
      <c r="N3993" s="14">
        <f>IF(L3993="","",ROUND(L3993*'สรุป'!$C$6,-1))</f>
        <v/>
      </c>
      <c r="O3993" s="15" t="n"/>
      <c r="P3993" s="15" t="n"/>
      <c r="Q3993" s="10" t="n"/>
      <c r="R3993" s="10" t="n"/>
      <c r="S3993" s="16" t="inlineStr">
        <is>
          <t>https://mstgolf.co.th/products/gf2000105337</t>
        </is>
      </c>
      <c r="T3993" s="1">
        <f>IF(B3993="ไม้กอล์ฟ",J3993,"")</f>
        <v/>
      </c>
    </row>
    <row r="3994">
      <c r="A3994" s="1" t="n">
        <v>3</v>
      </c>
      <c r="B3994" s="1" t="inlineStr">
        <is>
          <t>หมวก</t>
        </is>
      </c>
      <c r="C3994" s="1" t="inlineStr">
        <is>
          <t>gf2000200969</t>
        </is>
      </c>
      <c r="D3994" s="1" t="inlineStr">
        <is>
          <t>ADIDAS AEROREADY Ribbon Women's Visor (Putty Mauve)</t>
        </is>
      </c>
      <c r="E3994" s="1" t="inlineStr">
        <is>
          <t>ADIDAS</t>
        </is>
      </c>
      <c r="F3994" s="1" t="inlineStr">
        <is>
          <t>VISOR</t>
        </is>
      </c>
      <c r="G3994" s="1" t="inlineStr">
        <is>
          <t>GF2000200969FS</t>
        </is>
      </c>
      <c r="H3994" s="1" t="n">
        <v>1</v>
      </c>
      <c r="I3994" s="1" t="inlineStr">
        <is>
          <t>มี</t>
        </is>
      </c>
      <c r="J3994" s="13" t="n">
        <v>40</v>
      </c>
      <c r="K3994" s="1" t="inlineStr"/>
      <c r="L3994" s="13" t="n">
        <v>16</v>
      </c>
      <c r="M3994" s="1">
        <f>IF(L3994="","ไม่พบใน SG",IF(ABS(J3994-L3994)&lt;0.005,"ตรงกัน","ไม่ตรง"))</f>
        <v/>
      </c>
      <c r="N3994" s="14">
        <f>IF(L3994="","",ROUND(L3994*'สรุป'!$C$6,-1))</f>
        <v/>
      </c>
      <c r="O3994" s="15" t="n"/>
      <c r="P3994" s="15" t="n"/>
      <c r="Q3994" s="10" t="n"/>
      <c r="R3994" s="10" t="n"/>
      <c r="S3994" s="16" t="inlineStr">
        <is>
          <t>https://mstgolf.co.th/products/gf2000200969</t>
        </is>
      </c>
      <c r="T3994" s="1">
        <f>IF(B3994="ไม้กอล์ฟ",J3994,"")</f>
        <v/>
      </c>
    </row>
    <row r="3995">
      <c r="A3995" s="1" t="n">
        <v>3</v>
      </c>
      <c r="B3995" s="1" t="inlineStr">
        <is>
          <t>หมวก</t>
        </is>
      </c>
      <c r="C3995" s="1" t="inlineStr">
        <is>
          <t>gf2000200968</t>
        </is>
      </c>
      <c r="D3995" s="1" t="inlineStr">
        <is>
          <t>ADIDAS AEROREADY Ribbon Women's Visor (White)</t>
        </is>
      </c>
      <c r="E3995" s="1" t="inlineStr">
        <is>
          <t>ADIDAS</t>
        </is>
      </c>
      <c r="F3995" s="1" t="inlineStr">
        <is>
          <t>VISOR</t>
        </is>
      </c>
      <c r="G3995" s="1" t="inlineStr">
        <is>
          <t>GF2000200968FS</t>
        </is>
      </c>
      <c r="H3995" s="1" t="n">
        <v>1</v>
      </c>
      <c r="I3995" s="1" t="inlineStr">
        <is>
          <t>มี</t>
        </is>
      </c>
      <c r="J3995" s="13" t="n">
        <v>40</v>
      </c>
      <c r="K3995" s="1" t="inlineStr"/>
      <c r="L3995" s="13" t="n"/>
      <c r="M3995" s="1">
        <f>IF(L3995="","ไม่พบใน SG",IF(ABS(J3995-L3995)&lt;0.005,"ตรงกัน","ไม่ตรง"))</f>
        <v/>
      </c>
      <c r="N3995" s="14">
        <f>IF(L3995="","",ROUND(L3995*'สรุป'!$C$6,-1))</f>
        <v/>
      </c>
      <c r="O3995" s="15" t="n"/>
      <c r="P3995" s="15" t="n"/>
      <c r="Q3995" s="10" t="n"/>
      <c r="R3995" s="10" t="n"/>
      <c r="S3995" s="16" t="inlineStr">
        <is>
          <t>https://mstgolf.co.th/products/gf2000200968</t>
        </is>
      </c>
      <c r="T3995" s="1">
        <f>IF(B3995="ไม้กอล์ฟ",J3995,"")</f>
        <v/>
      </c>
    </row>
    <row r="3996">
      <c r="A3996" s="1" t="n">
        <v>3</v>
      </c>
      <c r="B3996" s="1" t="inlineStr">
        <is>
          <t>หมวก</t>
        </is>
      </c>
      <c r="C3996" s="1" t="inlineStr">
        <is>
          <t>gf2000106755</t>
        </is>
      </c>
      <c r="D3996" s="1" t="inlineStr">
        <is>
          <t>ADIDAS Chip Driver Men's Cap (Black)</t>
        </is>
      </c>
      <c r="E3996" s="1" t="inlineStr">
        <is>
          <t>ADIDAS</t>
        </is>
      </c>
      <c r="F3996" s="1" t="inlineStr">
        <is>
          <t>CAP</t>
        </is>
      </c>
      <c r="G3996" s="1" t="inlineStr">
        <is>
          <t>GF2000106755FS</t>
        </is>
      </c>
      <c r="H3996" s="1" t="n">
        <v>1</v>
      </c>
      <c r="I3996" s="1" t="inlineStr">
        <is>
          <t>มี</t>
        </is>
      </c>
      <c r="J3996" s="13" t="n">
        <v>40</v>
      </c>
      <c r="K3996" s="1" t="inlineStr"/>
      <c r="L3996" s="13" t="n">
        <v>28</v>
      </c>
      <c r="M3996" s="1">
        <f>IF(L3996="","ไม่พบใน SG",IF(ABS(J3996-L3996)&lt;0.005,"ตรงกัน","ไม่ตรง"))</f>
        <v/>
      </c>
      <c r="N3996" s="14">
        <f>IF(L3996="","",ROUND(L3996*'สรุป'!$C$6,-1))</f>
        <v/>
      </c>
      <c r="O3996" s="15" t="n"/>
      <c r="P3996" s="15" t="n"/>
      <c r="Q3996" s="10" t="n"/>
      <c r="R3996" s="10" t="n"/>
      <c r="S3996" s="16" t="inlineStr">
        <is>
          <t>https://mstgolf.co.th/products/gf2000106755</t>
        </is>
      </c>
      <c r="T3996" s="1">
        <f>IF(B3996="ไม้กอล์ฟ",J3996,"")</f>
        <v/>
      </c>
    </row>
    <row r="3997">
      <c r="A3997" s="1" t="n">
        <v>3</v>
      </c>
      <c r="B3997" s="1" t="inlineStr">
        <is>
          <t>อุปกรณ์เสริม</t>
        </is>
      </c>
      <c r="C3997" s="1" t="inlineStr">
        <is>
          <t>gf3500300723</t>
        </is>
      </c>
      <c r="D3997" s="1" t="inlineStr">
        <is>
          <t>ADIDAS Thintech Cleats (20 Pieces) Calmshell</t>
        </is>
      </c>
      <c r="E3997" s="1" t="inlineStr">
        <is>
          <t>ADIDAS</t>
        </is>
      </c>
      <c r="F3997" s="1" t="inlineStr">
        <is>
          <t>GOLF ACCESSORIES</t>
        </is>
      </c>
      <c r="G3997" s="1" t="inlineStr">
        <is>
          <t>GF3500300723</t>
        </is>
      </c>
      <c r="H3997" s="1" t="n">
        <v>1</v>
      </c>
      <c r="I3997" s="1" t="inlineStr">
        <is>
          <t>มี</t>
        </is>
      </c>
      <c r="J3997" s="13" t="n">
        <v>40</v>
      </c>
      <c r="K3997" s="1" t="inlineStr"/>
      <c r="L3997" s="13" t="n">
        <v>40</v>
      </c>
      <c r="M3997" s="1">
        <f>IF(L3997="","ไม่พบใน SG",IF(ABS(J3997-L3997)&lt;0.005,"ตรงกัน","ไม่ตรง"))</f>
        <v/>
      </c>
      <c r="N3997" s="14">
        <f>IF(L3997="","",ROUND(L3997*'สรุป'!$C$6,-1))</f>
        <v/>
      </c>
      <c r="O3997" s="15" t="n"/>
      <c r="P3997" s="15" t="n"/>
      <c r="Q3997" s="10" t="n"/>
      <c r="R3997" s="10" t="n"/>
      <c r="S3997" s="16" t="inlineStr">
        <is>
          <t>https://mstgolf.co.th/products/gf3500300723</t>
        </is>
      </c>
      <c r="T3997" s="1">
        <f>IF(B3997="ไม้กอล์ฟ",J3997,"")</f>
        <v/>
      </c>
    </row>
    <row r="3998">
      <c r="A3998" s="1" t="n">
        <v>3</v>
      </c>
      <c r="B3998" s="1" t="inlineStr">
        <is>
          <t>อุปกรณ์เสริม</t>
        </is>
      </c>
      <c r="C3998" s="1" t="inlineStr">
        <is>
          <t>gf3500300722</t>
        </is>
      </c>
      <c r="D3998" s="1" t="inlineStr">
        <is>
          <t>ADIDAS Thintech Cleats (20 Pieces) Calmshell</t>
        </is>
      </c>
      <c r="E3998" s="1" t="inlineStr">
        <is>
          <t>ADIDAS</t>
        </is>
      </c>
      <c r="F3998" s="1" t="inlineStr">
        <is>
          <t>GOLF ACCESSORIES</t>
        </is>
      </c>
      <c r="G3998" s="1" t="inlineStr">
        <is>
          <t>GF3500300722</t>
        </is>
      </c>
      <c r="H3998" s="1" t="n">
        <v>1</v>
      </c>
      <c r="I3998" s="1" t="inlineStr">
        <is>
          <t>มี</t>
        </is>
      </c>
      <c r="J3998" s="13" t="n">
        <v>40</v>
      </c>
      <c r="K3998" s="1" t="inlineStr"/>
      <c r="L3998" s="13" t="n">
        <v>40</v>
      </c>
      <c r="M3998" s="1">
        <f>IF(L3998="","ไม่พบใน SG",IF(ABS(J3998-L3998)&lt;0.005,"ตรงกัน","ไม่ตรง"))</f>
        <v/>
      </c>
      <c r="N3998" s="14">
        <f>IF(L3998="","",ROUND(L3998*'สรุป'!$C$6,-1))</f>
        <v/>
      </c>
      <c r="O3998" s="15" t="n"/>
      <c r="P3998" s="15" t="n"/>
      <c r="Q3998" s="10" t="n"/>
      <c r="R3998" s="10" t="n"/>
      <c r="S3998" s="16" t="inlineStr">
        <is>
          <t>https://mstgolf.co.th/products/gf3500300722</t>
        </is>
      </c>
      <c r="T3998" s="1">
        <f>IF(B3998="ไม้กอล์ฟ",J3998,"")</f>
        <v/>
      </c>
    </row>
    <row r="3999">
      <c r="A3999" s="1" t="n">
        <v>3</v>
      </c>
      <c r="B3999" s="1" t="inlineStr">
        <is>
          <t>อุปกรณ์เสริม</t>
        </is>
      </c>
      <c r="C3999" s="1" t="inlineStr">
        <is>
          <t>gf3500200805</t>
        </is>
      </c>
      <c r="D3999" s="1" t="inlineStr">
        <is>
          <t>DAPHNE Tiger Hybrid/Utility Headcover</t>
        </is>
      </c>
      <c r="E3999" s="1" t="inlineStr">
        <is>
          <t>DAPHNE</t>
        </is>
      </c>
      <c r="F3999" s="1" t="inlineStr">
        <is>
          <t>HEADCOVERS</t>
        </is>
      </c>
      <c r="G3999" s="1" t="inlineStr">
        <is>
          <t>GF3500200805</t>
        </is>
      </c>
      <c r="H3999" s="1" t="n">
        <v>1</v>
      </c>
      <c r="I3999" s="1" t="inlineStr">
        <is>
          <t>มี</t>
        </is>
      </c>
      <c r="J3999" s="13" t="n">
        <v>40</v>
      </c>
      <c r="K3999" s="1" t="inlineStr"/>
      <c r="L3999" s="13" t="n">
        <v>40</v>
      </c>
      <c r="M3999" s="1">
        <f>IF(L3999="","ไม่พบใน SG",IF(ABS(J3999-L3999)&lt;0.005,"ตรงกัน","ไม่ตรง"))</f>
        <v/>
      </c>
      <c r="N3999" s="14">
        <f>IF(L3999="","",ROUND(L3999*'สรุป'!$C$6,-1))</f>
        <v/>
      </c>
      <c r="O3999" s="15" t="n"/>
      <c r="P3999" s="15" t="n"/>
      <c r="Q3999" s="10" t="n"/>
      <c r="R3999" s="10" t="n"/>
      <c r="S3999" s="16" t="inlineStr">
        <is>
          <t>https://mstgolf.co.th/products/gf3500200805</t>
        </is>
      </c>
      <c r="T3999" s="1">
        <f>IF(B3999="ไม้กอล์ฟ",J3999,"")</f>
        <v/>
      </c>
    </row>
    <row r="4000">
      <c r="A4000" s="1" t="n">
        <v>3</v>
      </c>
      <c r="B4000" s="1" t="inlineStr">
        <is>
          <t>เสื้อผ้า</t>
        </is>
      </c>
      <c r="C4000" s="1" t="inlineStr">
        <is>
          <t>gf2020202155</t>
        </is>
      </c>
      <c r="D4000" s="1" t="inlineStr">
        <is>
          <t>ADIDAS 3 STRP WMN SKORT</t>
        </is>
      </c>
      <c r="E4000" s="1" t="inlineStr">
        <is>
          <t>ADIDAS</t>
        </is>
      </c>
      <c r="F4000" s="1" t="inlineStr">
        <is>
          <t>SHORT PANTS</t>
        </is>
      </c>
      <c r="G4000" s="1" t="inlineStr">
        <is>
          <t>GF2020202155XS</t>
        </is>
      </c>
      <c r="H4000" s="1" t="n">
        <v>6</v>
      </c>
      <c r="I4000" s="1" t="inlineStr">
        <is>
          <t>มี</t>
        </is>
      </c>
      <c r="J4000" s="13" t="n">
        <v>39</v>
      </c>
      <c r="K4000" s="1" t="inlineStr"/>
      <c r="L4000" s="13" t="n">
        <v>39</v>
      </c>
      <c r="M4000" s="1">
        <f>IF(L4000="","ไม่พบใน SG",IF(ABS(J4000-L4000)&lt;0.005,"ตรงกัน","ไม่ตรง"))</f>
        <v/>
      </c>
      <c r="N4000" s="14">
        <f>IF(L4000="","",ROUND(L4000*'สรุป'!$C$6,-1))</f>
        <v/>
      </c>
      <c r="O4000" s="15" t="n"/>
      <c r="P4000" s="15" t="n"/>
      <c r="Q4000" s="10" t="n"/>
      <c r="R4000" s="10" t="n"/>
      <c r="S4000" s="16" t="inlineStr">
        <is>
          <t>https://mstgolf.co.th/products/gf2020202155</t>
        </is>
      </c>
      <c r="T4000" s="1">
        <f>IF(B4000="ไม้กอล์ฟ",J4000,"")</f>
        <v/>
      </c>
    </row>
    <row r="4001">
      <c r="A4001" s="1" t="n">
        <v>3</v>
      </c>
      <c r="B4001" s="1" t="inlineStr">
        <is>
          <t>เสื้อผ้า</t>
        </is>
      </c>
      <c r="C4001" s="1" t="inlineStr">
        <is>
          <t>gf2020202370</t>
        </is>
      </c>
      <c r="D4001" s="1" t="inlineStr">
        <is>
          <t>ADIDAS 3" Women's Shorts (White)</t>
        </is>
      </c>
      <c r="E4001" s="1" t="inlineStr">
        <is>
          <t>ADIDAS</t>
        </is>
      </c>
      <c r="F4001" s="1" t="inlineStr">
        <is>
          <t>SHORT PANTS</t>
        </is>
      </c>
      <c r="G4001" s="1" t="inlineStr">
        <is>
          <t>GF2020202370XS</t>
        </is>
      </c>
      <c r="H4001" s="1" t="n">
        <v>6</v>
      </c>
      <c r="I4001" s="1" t="inlineStr">
        <is>
          <t>มี</t>
        </is>
      </c>
      <c r="J4001" s="13" t="n">
        <v>39</v>
      </c>
      <c r="K4001" s="1" t="inlineStr"/>
      <c r="L4001" s="13" t="n"/>
      <c r="M4001" s="1">
        <f>IF(L4001="","ไม่พบใน SG",IF(ABS(J4001-L4001)&lt;0.005,"ตรงกัน","ไม่ตรง"))</f>
        <v/>
      </c>
      <c r="N4001" s="14">
        <f>IF(L4001="","",ROUND(L4001*'สรุป'!$C$6,-1))</f>
        <v/>
      </c>
      <c r="O4001" s="15" t="n"/>
      <c r="P4001" s="15" t="n"/>
      <c r="Q4001" s="10" t="n"/>
      <c r="R4001" s="10" t="n"/>
      <c r="S4001" s="16" t="inlineStr">
        <is>
          <t>https://mstgolf.co.th/products/gf2020202370</t>
        </is>
      </c>
      <c r="T4001" s="1">
        <f>IF(B4001="ไม้กอล์ฟ",J4001,"")</f>
        <v/>
      </c>
    </row>
    <row r="4002">
      <c r="A4002" s="1" t="n">
        <v>3</v>
      </c>
      <c r="B4002" s="1" t="inlineStr">
        <is>
          <t>เสื้อผ้า</t>
        </is>
      </c>
      <c r="C4002" s="1" t="inlineStr">
        <is>
          <t>gf2020202235</t>
        </is>
      </c>
      <c r="D4002" s="1" t="inlineStr">
        <is>
          <t>ADIDAS 3D DEBOSS KNIT SKORT</t>
        </is>
      </c>
      <c r="E4002" s="1" t="inlineStr">
        <is>
          <t>ADIDAS</t>
        </is>
      </c>
      <c r="F4002" s="1" t="inlineStr">
        <is>
          <t>SHORT PANTS</t>
        </is>
      </c>
      <c r="G4002" s="1" t="inlineStr">
        <is>
          <t>GF2020202235XS</t>
        </is>
      </c>
      <c r="H4002" s="1" t="n">
        <v>6</v>
      </c>
      <c r="I4002" s="1" t="inlineStr">
        <is>
          <t>มี</t>
        </is>
      </c>
      <c r="J4002" s="13" t="n">
        <v>39</v>
      </c>
      <c r="K4002" s="1" t="inlineStr"/>
      <c r="L4002" s="13" t="n">
        <v>39</v>
      </c>
      <c r="M4002" s="1">
        <f>IF(L4002="","ไม่พบใน SG",IF(ABS(J4002-L4002)&lt;0.005,"ตรงกัน","ไม่ตรง"))</f>
        <v/>
      </c>
      <c r="N4002" s="14">
        <f>IF(L4002="","",ROUND(L4002*'สรุป'!$C$6,-1))</f>
        <v/>
      </c>
      <c r="O4002" s="15" t="n"/>
      <c r="P4002" s="15" t="n"/>
      <c r="Q4002" s="10" t="n"/>
      <c r="R4002" s="10" t="n"/>
      <c r="S4002" s="16" t="inlineStr">
        <is>
          <t>https://mstgolf.co.th/products/gf2020202235</t>
        </is>
      </c>
      <c r="T4002" s="1">
        <f>IF(B4002="ไม้กอล์ฟ",J4002,"")</f>
        <v/>
      </c>
    </row>
    <row r="4003">
      <c r="A4003" s="1" t="n">
        <v>3</v>
      </c>
      <c r="B4003" s="1" t="inlineStr">
        <is>
          <t>เสื้อผ้า</t>
        </is>
      </c>
      <c r="C4003" s="1" t="inlineStr">
        <is>
          <t>gf2020202218</t>
        </is>
      </c>
      <c r="D4003" s="1" t="inlineStr">
        <is>
          <t>ADIDAS 3D Debossed Spacer Knit Skirt (Blue)</t>
        </is>
      </c>
      <c r="E4003" s="1" t="inlineStr">
        <is>
          <t>ADIDAS</t>
        </is>
      </c>
      <c r="F4003" s="1" t="inlineStr">
        <is>
          <t>SHORT PANTS</t>
        </is>
      </c>
      <c r="G4003" s="1" t="inlineStr">
        <is>
          <t>GF2020202218XS</t>
        </is>
      </c>
      <c r="H4003" s="1" t="n">
        <v>6</v>
      </c>
      <c r="I4003" s="1" t="inlineStr">
        <is>
          <t>มี</t>
        </is>
      </c>
      <c r="J4003" s="13" t="n">
        <v>39</v>
      </c>
      <c r="K4003" s="1" t="inlineStr"/>
      <c r="L4003" s="13" t="n">
        <v>39</v>
      </c>
      <c r="M4003" s="1">
        <f>IF(L4003="","ไม่พบใน SG",IF(ABS(J4003-L4003)&lt;0.005,"ตรงกัน","ไม่ตรง"))</f>
        <v/>
      </c>
      <c r="N4003" s="14">
        <f>IF(L4003="","",ROUND(L4003*'สรุป'!$C$6,-1))</f>
        <v/>
      </c>
      <c r="O4003" s="15" t="n"/>
      <c r="P4003" s="15" t="n"/>
      <c r="Q4003" s="10" t="n"/>
      <c r="R4003" s="10" t="n"/>
      <c r="S4003" s="16" t="inlineStr">
        <is>
          <t>https://mstgolf.co.th/products/gf2020202218</t>
        </is>
      </c>
      <c r="T4003" s="1">
        <f>IF(B4003="ไม้กอล์ฟ",J4003,"")</f>
        <v/>
      </c>
    </row>
    <row r="4004">
      <c r="A4004" s="1" t="n">
        <v>3</v>
      </c>
      <c r="B4004" s="1" t="inlineStr">
        <is>
          <t>เสื้อผ้า</t>
        </is>
      </c>
      <c r="C4004" s="1" t="inlineStr">
        <is>
          <t>gf2040116444</t>
        </is>
      </c>
      <c r="D4004" s="1" t="inlineStr">
        <is>
          <t>ADIDAS AERIAL JQ POLO</t>
        </is>
      </c>
      <c r="E4004" s="1" t="inlineStr">
        <is>
          <t>ADIDAS</t>
        </is>
      </c>
      <c r="F4004" s="1" t="inlineStr">
        <is>
          <t>SHORT SLEEVES</t>
        </is>
      </c>
      <c r="G4004" s="1" t="inlineStr">
        <is>
          <t>GF2040116444XS</t>
        </is>
      </c>
      <c r="H4004" s="1" t="n">
        <v>7</v>
      </c>
      <c r="I4004" s="1" t="inlineStr">
        <is>
          <t>มี</t>
        </is>
      </c>
      <c r="J4004" s="13" t="n">
        <v>39</v>
      </c>
      <c r="K4004" s="1" t="inlineStr"/>
      <c r="L4004" s="13" t="n">
        <v>39</v>
      </c>
      <c r="M4004" s="1">
        <f>IF(L4004="","ไม่พบใน SG",IF(ABS(J4004-L4004)&lt;0.005,"ตรงกัน","ไม่ตรง"))</f>
        <v/>
      </c>
      <c r="N4004" s="14">
        <f>IF(L4004="","",ROUND(L4004*'สรุป'!$C$6,-1))</f>
        <v/>
      </c>
      <c r="O4004" s="15" t="n"/>
      <c r="P4004" s="15" t="n"/>
      <c r="Q4004" s="10" t="n"/>
      <c r="R4004" s="10" t="n"/>
      <c r="S4004" s="16" t="inlineStr">
        <is>
          <t>https://mstgolf.co.th/products/gf2040116444</t>
        </is>
      </c>
      <c r="T4004" s="1">
        <f>IF(B4004="ไม้กอล์ฟ",J4004,"")</f>
        <v/>
      </c>
    </row>
    <row r="4005">
      <c r="A4005" s="1" t="n">
        <v>3</v>
      </c>
      <c r="B4005" s="1" t="inlineStr">
        <is>
          <t>เสื้อผ้า</t>
        </is>
      </c>
      <c r="C4005" s="1" t="inlineStr">
        <is>
          <t>gf2020202386</t>
        </is>
      </c>
      <c r="D4005" s="1" t="inlineStr">
        <is>
          <t>ADIDAS AEROREADY 3-Stripes Skirt (Mauve)</t>
        </is>
      </c>
      <c r="E4005" s="1" t="inlineStr">
        <is>
          <t>ADIDAS</t>
        </is>
      </c>
      <c r="F4005" s="1" t="inlineStr">
        <is>
          <t>SHORT PANTS</t>
        </is>
      </c>
      <c r="G4005" s="1" t="inlineStr">
        <is>
          <t>GF2020202386XS</t>
        </is>
      </c>
      <c r="H4005" s="1" t="n">
        <v>6</v>
      </c>
      <c r="I4005" s="1" t="inlineStr">
        <is>
          <t>มี</t>
        </is>
      </c>
      <c r="J4005" s="13" t="n">
        <v>39</v>
      </c>
      <c r="K4005" s="1" t="inlineStr"/>
      <c r="L4005" s="13" t="n"/>
      <c r="M4005" s="1">
        <f>IF(L4005="","ไม่พบใน SG",IF(ABS(J4005-L4005)&lt;0.005,"ตรงกัน","ไม่ตรง"))</f>
        <v/>
      </c>
      <c r="N4005" s="14">
        <f>IF(L4005="","",ROUND(L4005*'สรุป'!$C$6,-1))</f>
        <v/>
      </c>
      <c r="O4005" s="15" t="n"/>
      <c r="P4005" s="15" t="n"/>
      <c r="Q4005" s="10" t="n"/>
      <c r="R4005" s="10" t="n"/>
      <c r="S4005" s="16" t="inlineStr">
        <is>
          <t>https://mstgolf.co.th/products/gf2020202386</t>
        </is>
      </c>
      <c r="T4005" s="1">
        <f>IF(B4005="ไม้กอล์ฟ",J4005,"")</f>
        <v/>
      </c>
    </row>
    <row r="4006">
      <c r="A4006" s="1" t="n">
        <v>3</v>
      </c>
      <c r="B4006" s="1" t="inlineStr">
        <is>
          <t>เสื้อผ้า</t>
        </is>
      </c>
      <c r="C4006" s="1" t="inlineStr">
        <is>
          <t>gf2020202385</t>
        </is>
      </c>
      <c r="D4006" s="1" t="inlineStr">
        <is>
          <t>ADIDAS AEROREADY 3-Stripes Skirt (White)</t>
        </is>
      </c>
      <c r="E4006" s="1" t="inlineStr">
        <is>
          <t>ADIDAS</t>
        </is>
      </c>
      <c r="F4006" s="1" t="inlineStr">
        <is>
          <t>SHORT PANTS</t>
        </is>
      </c>
      <c r="G4006" s="1" t="inlineStr">
        <is>
          <t>GF2020202385XS</t>
        </is>
      </c>
      <c r="H4006" s="1" t="n">
        <v>6</v>
      </c>
      <c r="I4006" s="1" t="inlineStr">
        <is>
          <t>มี</t>
        </is>
      </c>
      <c r="J4006" s="13" t="n">
        <v>39</v>
      </c>
      <c r="K4006" s="1" t="inlineStr"/>
      <c r="L4006" s="13" t="n">
        <v>39</v>
      </c>
      <c r="M4006" s="1">
        <f>IF(L4006="","ไม่พบใน SG",IF(ABS(J4006-L4006)&lt;0.005,"ตรงกัน","ไม่ตรง"))</f>
        <v/>
      </c>
      <c r="N4006" s="14">
        <f>IF(L4006="","",ROUND(L4006*'สรุป'!$C$6,-1))</f>
        <v/>
      </c>
      <c r="O4006" s="15" t="n"/>
      <c r="P4006" s="15" t="n"/>
      <c r="Q4006" s="10" t="n"/>
      <c r="R4006" s="10" t="n"/>
      <c r="S4006" s="16" t="inlineStr">
        <is>
          <t>https://mstgolf.co.th/products/gf2020202385</t>
        </is>
      </c>
      <c r="T4006" s="1">
        <f>IF(B4006="ไม้กอล์ฟ",J4006,"")</f>
        <v/>
      </c>
    </row>
    <row r="4007">
      <c r="A4007" s="1" t="n">
        <v>3</v>
      </c>
      <c r="B4007" s="1" t="inlineStr">
        <is>
          <t>เสื้อผ้า</t>
        </is>
      </c>
      <c r="C4007" s="1" t="inlineStr">
        <is>
          <t>gf2020202373</t>
        </is>
      </c>
      <c r="D4007" s="1" t="inlineStr">
        <is>
          <t>ADIDAS Adjustable Boy's Shorts (Grey)</t>
        </is>
      </c>
      <c r="E4007" s="1" t="inlineStr">
        <is>
          <t>ADIDAS</t>
        </is>
      </c>
      <c r="F4007" s="1" t="inlineStr">
        <is>
          <t>SHORT PANTS</t>
        </is>
      </c>
      <c r="G4007" s="1" t="inlineStr">
        <is>
          <t>GF2020202373128</t>
        </is>
      </c>
      <c r="H4007" s="1" t="n">
        <v>5</v>
      </c>
      <c r="I4007" s="1" t="inlineStr">
        <is>
          <t>มี</t>
        </is>
      </c>
      <c r="J4007" s="13" t="n">
        <v>39</v>
      </c>
      <c r="K4007" s="1" t="inlineStr"/>
      <c r="L4007" s="13" t="n">
        <v>29</v>
      </c>
      <c r="M4007" s="1">
        <f>IF(L4007="","ไม่พบใน SG",IF(ABS(J4007-L4007)&lt;0.005,"ตรงกัน","ไม่ตรง"))</f>
        <v/>
      </c>
      <c r="N4007" s="14">
        <f>IF(L4007="","",ROUND(L4007*'สรุป'!$C$6,-1))</f>
        <v/>
      </c>
      <c r="O4007" s="15" t="n"/>
      <c r="P4007" s="15" t="n"/>
      <c r="Q4007" s="10" t="n"/>
      <c r="R4007" s="10" t="n"/>
      <c r="S4007" s="16" t="inlineStr">
        <is>
          <t>https://mstgolf.co.th/products/gf2020202373</t>
        </is>
      </c>
      <c r="T4007" s="1">
        <f>IF(B4007="ไม้กอล์ฟ",J4007,"")</f>
        <v/>
      </c>
    </row>
    <row r="4008">
      <c r="A4008" s="1" t="n">
        <v>3</v>
      </c>
      <c r="B4008" s="1" t="inlineStr">
        <is>
          <t>เสื้อผ้า</t>
        </is>
      </c>
      <c r="C4008" s="1" t="inlineStr">
        <is>
          <t>gf2020202372</t>
        </is>
      </c>
      <c r="D4008" s="1" t="inlineStr">
        <is>
          <t>ADIDAS Adjustable Junior Shorts (Navy)</t>
        </is>
      </c>
      <c r="E4008" s="1" t="inlineStr">
        <is>
          <t>ADIDAS</t>
        </is>
      </c>
      <c r="F4008" s="1" t="inlineStr">
        <is>
          <t>SHORT PANTS</t>
        </is>
      </c>
      <c r="G4008" s="1" t="inlineStr">
        <is>
          <t>GF2020202372128</t>
        </is>
      </c>
      <c r="H4008" s="1" t="n">
        <v>5</v>
      </c>
      <c r="I4008" s="1" t="inlineStr">
        <is>
          <t>มี</t>
        </is>
      </c>
      <c r="J4008" s="13" t="n">
        <v>39</v>
      </c>
      <c r="K4008" s="1" t="inlineStr"/>
      <c r="L4008" s="13" t="n"/>
      <c r="M4008" s="1">
        <f>IF(L4008="","ไม่พบใน SG",IF(ABS(J4008-L4008)&lt;0.005,"ตรงกัน","ไม่ตรง"))</f>
        <v/>
      </c>
      <c r="N4008" s="14">
        <f>IF(L4008="","",ROUND(L4008*'สรุป'!$C$6,-1))</f>
        <v/>
      </c>
      <c r="O4008" s="15" t="n"/>
      <c r="P4008" s="15" t="n"/>
      <c r="Q4008" s="10" t="n"/>
      <c r="R4008" s="10" t="n"/>
      <c r="S4008" s="16" t="inlineStr">
        <is>
          <t>https://mstgolf.co.th/products/gf2020202372</t>
        </is>
      </c>
      <c r="T4008" s="1">
        <f>IF(B4008="ไม้กอล์ฟ",J4008,"")</f>
        <v/>
      </c>
    </row>
    <row r="4009">
      <c r="A4009" s="1" t="n">
        <v>3</v>
      </c>
      <c r="B4009" s="1" t="inlineStr">
        <is>
          <t>เสื้อผ้า</t>
        </is>
      </c>
      <c r="C4009" s="1" t="inlineStr">
        <is>
          <t>gf2040115743</t>
        </is>
      </c>
      <c r="D4009" s="1" t="inlineStr">
        <is>
          <t>ADIDAS All-Over Men's Printed Polo (White)</t>
        </is>
      </c>
      <c r="E4009" s="1" t="inlineStr">
        <is>
          <t>ADIDAS</t>
        </is>
      </c>
      <c r="F4009" s="1" t="inlineStr">
        <is>
          <t>SHORT SLEEVES</t>
        </is>
      </c>
      <c r="G4009" s="1" t="inlineStr">
        <is>
          <t>GF2040115743XS</t>
        </is>
      </c>
      <c r="H4009" s="1" t="n">
        <v>6</v>
      </c>
      <c r="I4009" s="1" t="inlineStr">
        <is>
          <t>มี</t>
        </is>
      </c>
      <c r="J4009" s="13" t="n">
        <v>39</v>
      </c>
      <c r="K4009" s="1" t="inlineStr"/>
      <c r="L4009" s="13" t="n">
        <v>39</v>
      </c>
      <c r="M4009" s="1">
        <f>IF(L4009="","ไม่พบใน SG",IF(ABS(J4009-L4009)&lt;0.005,"ตรงกัน","ไม่ตรง"))</f>
        <v/>
      </c>
      <c r="N4009" s="14">
        <f>IF(L4009="","",ROUND(L4009*'สรุป'!$C$6,-1))</f>
        <v/>
      </c>
      <c r="O4009" s="15" t="n"/>
      <c r="P4009" s="15" t="n"/>
      <c r="Q4009" s="10" t="n"/>
      <c r="R4009" s="10" t="n"/>
      <c r="S4009" s="16" t="inlineStr">
        <is>
          <t>https://mstgolf.co.th/products/gf2040115743</t>
        </is>
      </c>
      <c r="T4009" s="1">
        <f>IF(B4009="ไม้กอล์ฟ",J4009,"")</f>
        <v/>
      </c>
    </row>
    <row r="4010">
      <c r="A4010" s="1" t="n">
        <v>3</v>
      </c>
      <c r="B4010" s="1" t="inlineStr">
        <is>
          <t>เสื้อผ้า</t>
        </is>
      </c>
      <c r="C4010" s="1" t="inlineStr">
        <is>
          <t>gf2020202162</t>
        </is>
      </c>
      <c r="D4010" s="1" t="inlineStr">
        <is>
          <t>ADIDAS FLORAL WMN SKORT</t>
        </is>
      </c>
      <c r="E4010" s="1" t="inlineStr">
        <is>
          <t>ADIDAS</t>
        </is>
      </c>
      <c r="F4010" s="1" t="inlineStr">
        <is>
          <t>SHORT PANTS</t>
        </is>
      </c>
      <c r="G4010" s="1" t="inlineStr">
        <is>
          <t>GF2020202162XS</t>
        </is>
      </c>
      <c r="H4010" s="1" t="n">
        <v>6</v>
      </c>
      <c r="I4010" s="1" t="inlineStr">
        <is>
          <t>มี</t>
        </is>
      </c>
      <c r="J4010" s="13" t="n">
        <v>39</v>
      </c>
      <c r="K4010" s="1" t="inlineStr"/>
      <c r="L4010" s="13" t="n">
        <v>39</v>
      </c>
      <c r="M4010" s="1">
        <f>IF(L4010="","ไม่พบใน SG",IF(ABS(J4010-L4010)&lt;0.005,"ตรงกัน","ไม่ตรง"))</f>
        <v/>
      </c>
      <c r="N4010" s="14">
        <f>IF(L4010="","",ROUND(L4010*'สรุป'!$C$6,-1))</f>
        <v/>
      </c>
      <c r="O4010" s="15" t="n"/>
      <c r="P4010" s="15" t="n"/>
      <c r="Q4010" s="10" t="n"/>
      <c r="R4010" s="10" t="n"/>
      <c r="S4010" s="16" t="inlineStr">
        <is>
          <t>https://mstgolf.co.th/products/gf2020202162</t>
        </is>
      </c>
      <c r="T4010" s="1">
        <f>IF(B4010="ไม้กอล์ฟ",J4010,"")</f>
        <v/>
      </c>
    </row>
    <row r="4011">
      <c r="A4011" s="1" t="n">
        <v>3</v>
      </c>
      <c r="B4011" s="1" t="inlineStr">
        <is>
          <t>เสื้อผ้า</t>
        </is>
      </c>
      <c r="C4011" s="1" t="inlineStr">
        <is>
          <t>gf2040115826</t>
        </is>
      </c>
      <c r="D4011" s="1" t="inlineStr">
        <is>
          <t>ADIDAS Floral Men's Polo (Coral/White)</t>
        </is>
      </c>
      <c r="E4011" s="1" t="inlineStr">
        <is>
          <t>ADIDAS</t>
        </is>
      </c>
      <c r="F4011" s="1" t="inlineStr">
        <is>
          <t>SHORT SLEEVES</t>
        </is>
      </c>
      <c r="G4011" s="1" t="inlineStr">
        <is>
          <t>GF2040115826XS</t>
        </is>
      </c>
      <c r="H4011" s="1" t="n">
        <v>7</v>
      </c>
      <c r="I4011" s="1" t="inlineStr">
        <is>
          <t>มี</t>
        </is>
      </c>
      <c r="J4011" s="13" t="n">
        <v>39</v>
      </c>
      <c r="K4011" s="1" t="inlineStr"/>
      <c r="L4011" s="13" t="n"/>
      <c r="M4011" s="1">
        <f>IF(L4011="","ไม่พบใน SG",IF(ABS(J4011-L4011)&lt;0.005,"ตรงกัน","ไม่ตรง"))</f>
        <v/>
      </c>
      <c r="N4011" s="14">
        <f>IF(L4011="","",ROUND(L4011*'สรุป'!$C$6,-1))</f>
        <v/>
      </c>
      <c r="O4011" s="15" t="n"/>
      <c r="P4011" s="15" t="n"/>
      <c r="Q4011" s="10" t="n"/>
      <c r="R4011" s="10" t="n"/>
      <c r="S4011" s="16" t="inlineStr">
        <is>
          <t>https://mstgolf.co.th/products/gf2040115826</t>
        </is>
      </c>
      <c r="T4011" s="1">
        <f>IF(B4011="ไม้กอล์ฟ",J4011,"")</f>
        <v/>
      </c>
    </row>
    <row r="4012">
      <c r="A4012" s="1" t="n">
        <v>3</v>
      </c>
      <c r="B4012" s="1" t="inlineStr">
        <is>
          <t>เสื้อผ้า</t>
        </is>
      </c>
      <c r="C4012" s="1" t="inlineStr">
        <is>
          <t>gf2020202364</t>
        </is>
      </c>
      <c r="D4012" s="1" t="inlineStr">
        <is>
          <t>ADIDAS Go-To Pleated Women's Shorts (Ink)</t>
        </is>
      </c>
      <c r="E4012" s="1" t="inlineStr">
        <is>
          <t>ADIDAS</t>
        </is>
      </c>
      <c r="F4012" s="1" t="inlineStr">
        <is>
          <t>SHORT PANTS</t>
        </is>
      </c>
      <c r="G4012" s="1" t="inlineStr">
        <is>
          <t>GF2020202364XS</t>
        </is>
      </c>
      <c r="H4012" s="1" t="n">
        <v>6</v>
      </c>
      <c r="I4012" s="1" t="inlineStr">
        <is>
          <t>มี</t>
        </is>
      </c>
      <c r="J4012" s="13" t="n">
        <v>39</v>
      </c>
      <c r="K4012" s="1" t="inlineStr"/>
      <c r="L4012" s="13" t="n">
        <v>39</v>
      </c>
      <c r="M4012" s="1">
        <f>IF(L4012="","ไม่พบใน SG",IF(ABS(J4012-L4012)&lt;0.005,"ตรงกัน","ไม่ตรง"))</f>
        <v/>
      </c>
      <c r="N4012" s="14">
        <f>IF(L4012="","",ROUND(L4012*'สรุป'!$C$6,-1))</f>
        <v/>
      </c>
      <c r="O4012" s="15" t="n"/>
      <c r="P4012" s="15" t="n"/>
      <c r="Q4012" s="10" t="n"/>
      <c r="R4012" s="10" t="n"/>
      <c r="S4012" s="16" t="inlineStr">
        <is>
          <t>https://mstgolf.co.th/products/gf2020202364</t>
        </is>
      </c>
      <c r="T4012" s="1">
        <f>IF(B4012="ไม้กอล์ฟ",J4012,"")</f>
        <v/>
      </c>
    </row>
    <row r="4013">
      <c r="A4013" s="1" t="n">
        <v>3</v>
      </c>
      <c r="B4013" s="1" t="inlineStr">
        <is>
          <t>เสื้อผ้า</t>
        </is>
      </c>
      <c r="C4013" s="1" t="inlineStr">
        <is>
          <t>gf2040116523</t>
        </is>
      </c>
      <c r="D4013" s="1" t="inlineStr">
        <is>
          <t>ADIDAS Go-To Print Men's Polo (Arctic)</t>
        </is>
      </c>
      <c r="E4013" s="1" t="inlineStr">
        <is>
          <t>ADIDAS</t>
        </is>
      </c>
      <c r="F4013" s="1" t="inlineStr">
        <is>
          <t>SHORT SLEEVES</t>
        </is>
      </c>
      <c r="G4013" s="1" t="inlineStr">
        <is>
          <t>GF2040116523XS</t>
        </is>
      </c>
      <c r="H4013" s="1" t="n">
        <v>7</v>
      </c>
      <c r="I4013" s="1" t="inlineStr">
        <is>
          <t>มี</t>
        </is>
      </c>
      <c r="J4013" s="13" t="n">
        <v>39</v>
      </c>
      <c r="K4013" s="1" t="inlineStr"/>
      <c r="L4013" s="13" t="n">
        <v>39</v>
      </c>
      <c r="M4013" s="1">
        <f>IF(L4013="","ไม่พบใน SG",IF(ABS(J4013-L4013)&lt;0.005,"ตรงกัน","ไม่ตรง"))</f>
        <v/>
      </c>
      <c r="N4013" s="14">
        <f>IF(L4013="","",ROUND(L4013*'สรุป'!$C$6,-1))</f>
        <v/>
      </c>
      <c r="O4013" s="15" t="n"/>
      <c r="P4013" s="15" t="n"/>
      <c r="Q4013" s="10" t="n"/>
      <c r="R4013" s="10" t="n"/>
      <c r="S4013" s="16" t="inlineStr">
        <is>
          <t>https://mstgolf.co.th/products/gf2040116523</t>
        </is>
      </c>
      <c r="T4013" s="1">
        <f>IF(B4013="ไม้กอล์ฟ",J4013,"")</f>
        <v/>
      </c>
    </row>
    <row r="4014">
      <c r="A4014" s="1" t="n">
        <v>3</v>
      </c>
      <c r="B4014" s="1" t="inlineStr">
        <is>
          <t>เสื้อผ้า</t>
        </is>
      </c>
      <c r="C4014" s="1" t="inlineStr">
        <is>
          <t>gf2040116430</t>
        </is>
      </c>
      <c r="D4014" s="1" t="inlineStr">
        <is>
          <t>ADIDAS Go-To Print Men's Polo (White)</t>
        </is>
      </c>
      <c r="E4014" s="1" t="inlineStr">
        <is>
          <t>ADIDAS</t>
        </is>
      </c>
      <c r="F4014" s="1" t="inlineStr">
        <is>
          <t>SHORT SLEEVES</t>
        </is>
      </c>
      <c r="G4014" s="1" t="inlineStr">
        <is>
          <t>GF2040116430XS</t>
        </is>
      </c>
      <c r="H4014" s="1" t="n">
        <v>7</v>
      </c>
      <c r="I4014" s="1" t="inlineStr">
        <is>
          <t>มี</t>
        </is>
      </c>
      <c r="J4014" s="13" t="n">
        <v>39</v>
      </c>
      <c r="K4014" s="1" t="inlineStr"/>
      <c r="L4014" s="13" t="n">
        <v>39</v>
      </c>
      <c r="M4014" s="1">
        <f>IF(L4014="","ไม่พบใน SG",IF(ABS(J4014-L4014)&lt;0.005,"ตรงกัน","ไม่ตรง"))</f>
        <v/>
      </c>
      <c r="N4014" s="14">
        <f>IF(L4014="","",ROUND(L4014*'สรุป'!$C$6,-1))</f>
        <v/>
      </c>
      <c r="O4014" s="15" t="n"/>
      <c r="P4014" s="15" t="n"/>
      <c r="Q4014" s="10" t="n"/>
      <c r="R4014" s="10" t="n"/>
      <c r="S4014" s="16" t="inlineStr">
        <is>
          <t>https://mstgolf.co.th/products/gf2040116430</t>
        </is>
      </c>
      <c r="T4014" s="1">
        <f>IF(B4014="ไม้กอล์ฟ",J4014,"")</f>
        <v/>
      </c>
    </row>
    <row r="4015">
      <c r="A4015" s="1" t="n">
        <v>3</v>
      </c>
      <c r="B4015" s="1" t="inlineStr">
        <is>
          <t>เสื้อผ้า</t>
        </is>
      </c>
      <c r="C4015" s="1" t="inlineStr">
        <is>
          <t>gf2040118570</t>
        </is>
      </c>
      <c r="D4015" s="1" t="inlineStr">
        <is>
          <t>ADIDAS Go-To Printed Men's Polo (Green)</t>
        </is>
      </c>
      <c r="E4015" s="1" t="inlineStr">
        <is>
          <t>ADIDAS</t>
        </is>
      </c>
      <c r="F4015" s="1" t="inlineStr">
        <is>
          <t>SHORT SLEEVES</t>
        </is>
      </c>
      <c r="G4015" s="1" t="inlineStr">
        <is>
          <t>GF2040118570XS</t>
        </is>
      </c>
      <c r="H4015" s="1" t="n">
        <v>7</v>
      </c>
      <c r="I4015" s="1" t="inlineStr">
        <is>
          <t>มี</t>
        </is>
      </c>
      <c r="J4015" s="13" t="n">
        <v>39</v>
      </c>
      <c r="K4015" s="1" t="inlineStr"/>
      <c r="L4015" s="13" t="n">
        <v>39</v>
      </c>
      <c r="M4015" s="1">
        <f>IF(L4015="","ไม่พบใน SG",IF(ABS(J4015-L4015)&lt;0.005,"ตรงกัน","ไม่ตรง"))</f>
        <v/>
      </c>
      <c r="N4015" s="14">
        <f>IF(L4015="","",ROUND(L4015*'สรุป'!$C$6,-1))</f>
        <v/>
      </c>
      <c r="O4015" s="15" t="n"/>
      <c r="P4015" s="15" t="n"/>
      <c r="Q4015" s="10" t="n"/>
      <c r="R4015" s="10" t="n"/>
      <c r="S4015" s="16" t="inlineStr">
        <is>
          <t>https://mstgolf.co.th/products/gf2040118570</t>
        </is>
      </c>
      <c r="T4015" s="1">
        <f>IF(B4015="ไม้กอล์ฟ",J4015,"")</f>
        <v/>
      </c>
    </row>
    <row r="4016">
      <c r="A4016" s="1" t="n">
        <v>3</v>
      </c>
      <c r="B4016" s="1" t="inlineStr">
        <is>
          <t>เสื้อผ้า</t>
        </is>
      </c>
      <c r="C4016" s="1" t="inlineStr">
        <is>
          <t>gf2040118414</t>
        </is>
      </c>
      <c r="D4016" s="1" t="inlineStr">
        <is>
          <t>ADIDAS Go-To Printed Men's Polo (Oat)</t>
        </is>
      </c>
      <c r="E4016" s="1" t="inlineStr">
        <is>
          <t>ADIDAS</t>
        </is>
      </c>
      <c r="F4016" s="1" t="inlineStr">
        <is>
          <t>SHORT SLEEVES</t>
        </is>
      </c>
      <c r="G4016" s="1" t="inlineStr">
        <is>
          <t>GF2040118414XS</t>
        </is>
      </c>
      <c r="H4016" s="1" t="n">
        <v>7</v>
      </c>
      <c r="I4016" s="1" t="inlineStr">
        <is>
          <t>มี</t>
        </is>
      </c>
      <c r="J4016" s="13" t="n">
        <v>39</v>
      </c>
      <c r="K4016" s="1" t="inlineStr"/>
      <c r="L4016" s="13" t="n">
        <v>39</v>
      </c>
      <c r="M4016" s="1">
        <f>IF(L4016="","ไม่พบใน SG",IF(ABS(J4016-L4016)&lt;0.005,"ตรงกัน","ไม่ตรง"))</f>
        <v/>
      </c>
      <c r="N4016" s="14">
        <f>IF(L4016="","",ROUND(L4016*'สรุป'!$C$6,-1))</f>
        <v/>
      </c>
      <c r="O4016" s="15" t="n"/>
      <c r="P4016" s="15" t="n"/>
      <c r="Q4016" s="10" t="n"/>
      <c r="R4016" s="10" t="n"/>
      <c r="S4016" s="16" t="inlineStr">
        <is>
          <t>https://mstgolf.co.th/products/gf2040118414</t>
        </is>
      </c>
      <c r="T4016" s="1">
        <f>IF(B4016="ไม้กอล์ฟ",J4016,"")</f>
        <v/>
      </c>
    </row>
    <row r="4017">
      <c r="A4017" s="1" t="n">
        <v>3</v>
      </c>
      <c r="B4017" s="1" t="inlineStr">
        <is>
          <t>เสื้อผ้า</t>
        </is>
      </c>
      <c r="C4017" s="1" t="inlineStr">
        <is>
          <t>gf2020202365</t>
        </is>
      </c>
      <c r="D4017" s="1" t="inlineStr">
        <is>
          <t>ADIDAS Go-To Women's Pleated Shorts (Black)</t>
        </is>
      </c>
      <c r="E4017" s="1" t="inlineStr">
        <is>
          <t>ADIDAS</t>
        </is>
      </c>
      <c r="F4017" s="1" t="inlineStr">
        <is>
          <t>SHORT PANTS</t>
        </is>
      </c>
      <c r="G4017" s="1" t="inlineStr">
        <is>
          <t>GF2020202365XS</t>
        </is>
      </c>
      <c r="H4017" s="1" t="n">
        <v>6</v>
      </c>
      <c r="I4017" s="1" t="inlineStr">
        <is>
          <t>มี</t>
        </is>
      </c>
      <c r="J4017" s="13" t="n">
        <v>39</v>
      </c>
      <c r="K4017" s="1" t="inlineStr"/>
      <c r="L4017" s="13" t="n">
        <v>39</v>
      </c>
      <c r="M4017" s="1">
        <f>IF(L4017="","ไม่พบใน SG",IF(ABS(J4017-L4017)&lt;0.005,"ตรงกัน","ไม่ตรง"))</f>
        <v/>
      </c>
      <c r="N4017" s="14">
        <f>IF(L4017="","",ROUND(L4017*'สรุป'!$C$6,-1))</f>
        <v/>
      </c>
      <c r="O4017" s="15" t="n"/>
      <c r="P4017" s="15" t="n"/>
      <c r="Q4017" s="10" t="n"/>
      <c r="R4017" s="10" t="n"/>
      <c r="S4017" s="16" t="inlineStr">
        <is>
          <t>https://mstgolf.co.th/products/gf2020202365</t>
        </is>
      </c>
      <c r="T4017" s="1">
        <f>IF(B4017="ไม้กอล์ฟ",J4017,"")</f>
        <v/>
      </c>
    </row>
    <row r="4018">
      <c r="A4018" s="1" t="n">
        <v>3</v>
      </c>
      <c r="B4018" s="1" t="inlineStr">
        <is>
          <t>เสื้อผ้า</t>
        </is>
      </c>
      <c r="C4018" s="1" t="inlineStr">
        <is>
          <t>gf2040401260</t>
        </is>
      </c>
      <c r="D4018" s="1" t="inlineStr">
        <is>
          <t>ADIDAS Go-To Women’s Long Sleeve Polo (White)</t>
        </is>
      </c>
      <c r="E4018" s="1" t="inlineStr">
        <is>
          <t>ADIDAS</t>
        </is>
      </c>
      <c r="F4018" s="1" t="inlineStr">
        <is>
          <t>LONG SLEEVES</t>
        </is>
      </c>
      <c r="G4018" s="1" t="inlineStr">
        <is>
          <t>GF2040401260XS</t>
        </is>
      </c>
      <c r="H4018" s="1" t="n">
        <v>7</v>
      </c>
      <c r="I4018" s="1" t="inlineStr">
        <is>
          <t>มี</t>
        </is>
      </c>
      <c r="J4018" s="13" t="n">
        <v>39</v>
      </c>
      <c r="K4018" s="1" t="inlineStr"/>
      <c r="L4018" s="13" t="n">
        <v>39</v>
      </c>
      <c r="M4018" s="1">
        <f>IF(L4018="","ไม่พบใน SG",IF(ABS(J4018-L4018)&lt;0.005,"ตรงกัน","ไม่ตรง"))</f>
        <v/>
      </c>
      <c r="N4018" s="14">
        <f>IF(L4018="","",ROUND(L4018*'สรุป'!$C$6,-1))</f>
        <v/>
      </c>
      <c r="O4018" s="15" t="n"/>
      <c r="P4018" s="15" t="n"/>
      <c r="Q4018" s="10" t="n"/>
      <c r="R4018" s="10" t="n"/>
      <c r="S4018" s="16" t="inlineStr">
        <is>
          <t>https://mstgolf.co.th/products/gf2040401260</t>
        </is>
      </c>
      <c r="T4018" s="1">
        <f>IF(B4018="ไม้กอล์ฟ",J4018,"")</f>
        <v/>
      </c>
    </row>
    <row r="4019">
      <c r="A4019" s="1" t="n">
        <v>3</v>
      </c>
      <c r="B4019" s="1" t="inlineStr">
        <is>
          <t>เสื้อผ้า</t>
        </is>
      </c>
      <c r="C4019" s="1" t="inlineStr">
        <is>
          <t>gf2040116427</t>
        </is>
      </c>
      <c r="D4019" s="1" t="inlineStr">
        <is>
          <t>ADIDAS Oasis Mesh Men's Polo (Arctic Night)</t>
        </is>
      </c>
      <c r="E4019" s="1" t="inlineStr">
        <is>
          <t>ADIDAS</t>
        </is>
      </c>
      <c r="F4019" s="1" t="inlineStr">
        <is>
          <t>SHORT SLEEVES</t>
        </is>
      </c>
      <c r="G4019" s="1" t="inlineStr">
        <is>
          <t>GF2040116427XS</t>
        </is>
      </c>
      <c r="H4019" s="1" t="n">
        <v>7</v>
      </c>
      <c r="I4019" s="1" t="inlineStr">
        <is>
          <t>มี</t>
        </is>
      </c>
      <c r="J4019" s="13" t="n">
        <v>39</v>
      </c>
      <c r="K4019" s="1" t="inlineStr"/>
      <c r="L4019" s="13" t="n">
        <v>39</v>
      </c>
      <c r="M4019" s="1">
        <f>IF(L4019="","ไม่พบใน SG",IF(ABS(J4019-L4019)&lt;0.005,"ตรงกัน","ไม่ตรง"))</f>
        <v/>
      </c>
      <c r="N4019" s="14">
        <f>IF(L4019="","",ROUND(L4019*'สรุป'!$C$6,-1))</f>
        <v/>
      </c>
      <c r="O4019" s="15" t="n"/>
      <c r="P4019" s="15" t="n"/>
      <c r="Q4019" s="10" t="n"/>
      <c r="R4019" s="10" t="n"/>
      <c r="S4019" s="16" t="inlineStr">
        <is>
          <t>https://mstgolf.co.th/products/gf2040116427</t>
        </is>
      </c>
      <c r="T4019" s="1">
        <f>IF(B4019="ไม้กอล์ฟ",J4019,"")</f>
        <v/>
      </c>
    </row>
    <row r="4020">
      <c r="A4020" s="1" t="n">
        <v>3</v>
      </c>
      <c r="B4020" s="1" t="inlineStr">
        <is>
          <t>เสื้อผ้า</t>
        </is>
      </c>
      <c r="C4020" s="1" t="inlineStr">
        <is>
          <t>gf2040401428</t>
        </is>
      </c>
      <c r="D4020" s="1" t="inlineStr">
        <is>
          <t>ADIDAS Performance AEROREADY 3-In-1 Girl's Polo (Pink)</t>
        </is>
      </c>
      <c r="E4020" s="1" t="inlineStr">
        <is>
          <t>ADIDAS</t>
        </is>
      </c>
      <c r="F4020" s="1" t="inlineStr">
        <is>
          <t>LONG SLEEVES</t>
        </is>
      </c>
      <c r="G4020" s="1" t="inlineStr">
        <is>
          <t>GF2040401428170</t>
        </is>
      </c>
      <c r="H4020" s="1" t="n">
        <v>5</v>
      </c>
      <c r="I4020" s="1" t="inlineStr">
        <is>
          <t>มี</t>
        </is>
      </c>
      <c r="J4020" s="13" t="n">
        <v>39</v>
      </c>
      <c r="K4020" s="1" t="inlineStr"/>
      <c r="L4020" s="13" t="n">
        <v>39</v>
      </c>
      <c r="M4020" s="1">
        <f>IF(L4020="","ไม่พบใน SG",IF(ABS(J4020-L4020)&lt;0.005,"ตรงกัน","ไม่ตรง"))</f>
        <v/>
      </c>
      <c r="N4020" s="14">
        <f>IF(L4020="","",ROUND(L4020*'สรุป'!$C$6,-1))</f>
        <v/>
      </c>
      <c r="O4020" s="15" t="n"/>
      <c r="P4020" s="15" t="n"/>
      <c r="Q4020" s="10" t="n"/>
      <c r="R4020" s="10" t="n"/>
      <c r="S4020" s="16" t="inlineStr">
        <is>
          <t>https://mstgolf.co.th/products/gf2040401428</t>
        </is>
      </c>
      <c r="T4020" s="1">
        <f>IF(B4020="ไม้กอล์ฟ",J4020,"")</f>
        <v/>
      </c>
    </row>
    <row r="4021">
      <c r="A4021" s="1" t="n">
        <v>3</v>
      </c>
      <c r="B4021" s="1" t="inlineStr">
        <is>
          <t>เสื้อผ้า</t>
        </is>
      </c>
      <c r="C4021" s="1" t="inlineStr">
        <is>
          <t>gf2020300128</t>
        </is>
      </c>
      <c r="D4021" s="1" t="inlineStr">
        <is>
          <t>ADIDAS Performance Printed Junior Skirt (White)</t>
        </is>
      </c>
      <c r="E4021" s="1" t="inlineStr">
        <is>
          <t>ADIDAS</t>
        </is>
      </c>
      <c r="F4021" s="1" t="inlineStr">
        <is>
          <t>SKORTS</t>
        </is>
      </c>
      <c r="G4021" s="1" t="inlineStr">
        <is>
          <t>GF2020300128128</t>
        </is>
      </c>
      <c r="H4021" s="1" t="n">
        <v>5</v>
      </c>
      <c r="I4021" s="1" t="inlineStr">
        <is>
          <t>มี</t>
        </is>
      </c>
      <c r="J4021" s="13" t="n">
        <v>39</v>
      </c>
      <c r="K4021" s="1" t="inlineStr"/>
      <c r="L4021" s="13" t="n">
        <v>29</v>
      </c>
      <c r="M4021" s="1">
        <f>IF(L4021="","ไม่พบใน SG",IF(ABS(J4021-L4021)&lt;0.005,"ตรงกัน","ไม่ตรง"))</f>
        <v/>
      </c>
      <c r="N4021" s="14">
        <f>IF(L4021="","",ROUND(L4021*'สรุป'!$C$6,-1))</f>
        <v/>
      </c>
      <c r="O4021" s="15" t="n"/>
      <c r="P4021" s="15" t="n"/>
      <c r="Q4021" s="10" t="n"/>
      <c r="R4021" s="10" t="n"/>
      <c r="S4021" s="16" t="inlineStr">
        <is>
          <t>https://mstgolf.co.th/products/gf2020300128</t>
        </is>
      </c>
      <c r="T4021" s="1">
        <f>IF(B4021="ไม้กอล์ฟ",J4021,"")</f>
        <v/>
      </c>
    </row>
    <row r="4022">
      <c r="A4022" s="1" t="n">
        <v>3</v>
      </c>
      <c r="B4022" s="1" t="inlineStr">
        <is>
          <t>เสื้อผ้า</t>
        </is>
      </c>
      <c r="C4022" s="1" t="inlineStr">
        <is>
          <t>gf2040116590</t>
        </is>
      </c>
      <c r="D4022" s="1" t="inlineStr">
        <is>
          <t>ADIDAS Sun Energy Men's Polo (Blue)</t>
        </is>
      </c>
      <c r="E4022" s="1" t="inlineStr">
        <is>
          <t>ADIDAS</t>
        </is>
      </c>
      <c r="F4022" s="1" t="inlineStr">
        <is>
          <t>SHORT SLEEVES</t>
        </is>
      </c>
      <c r="G4022" s="1" t="inlineStr">
        <is>
          <t>GF2040116590XS</t>
        </is>
      </c>
      <c r="H4022" s="1" t="n">
        <v>7</v>
      </c>
      <c r="I4022" s="1" t="inlineStr">
        <is>
          <t>มี</t>
        </is>
      </c>
      <c r="J4022" s="13" t="n">
        <v>39</v>
      </c>
      <c r="K4022" s="1" t="inlineStr"/>
      <c r="L4022" s="13" t="n">
        <v>39</v>
      </c>
      <c r="M4022" s="1">
        <f>IF(L4022="","ไม่พบใน SG",IF(ABS(J4022-L4022)&lt;0.005,"ตรงกัน","ไม่ตรง"))</f>
        <v/>
      </c>
      <c r="N4022" s="14">
        <f>IF(L4022="","",ROUND(L4022*'สรุป'!$C$6,-1))</f>
        <v/>
      </c>
      <c r="O4022" s="15" t="n"/>
      <c r="P4022" s="15" t="n"/>
      <c r="Q4022" s="10" t="n"/>
      <c r="R4022" s="10" t="n"/>
      <c r="S4022" s="16" t="inlineStr">
        <is>
          <t>https://mstgolf.co.th/products/gf2040116590</t>
        </is>
      </c>
      <c r="T4022" s="1">
        <f>IF(B4022="ไม้กอล์ฟ",J4022,"")</f>
        <v/>
      </c>
    </row>
    <row r="4023">
      <c r="A4023" s="1" t="n">
        <v>3</v>
      </c>
      <c r="B4023" s="1" t="inlineStr">
        <is>
          <t>เสื้อผ้า</t>
        </is>
      </c>
      <c r="C4023" s="1" t="inlineStr">
        <is>
          <t>gf2020202165</t>
        </is>
      </c>
      <c r="D4023" s="1" t="inlineStr">
        <is>
          <t>ADIDAS Tour Pleated Skort (Black)</t>
        </is>
      </c>
      <c r="E4023" s="1" t="inlineStr">
        <is>
          <t>ADIDAS</t>
        </is>
      </c>
      <c r="F4023" s="1" t="inlineStr">
        <is>
          <t>SHORT PANTS</t>
        </is>
      </c>
      <c r="G4023" s="1" t="inlineStr">
        <is>
          <t>GF2020202165XS</t>
        </is>
      </c>
      <c r="H4023" s="1" t="n">
        <v>6</v>
      </c>
      <c r="I4023" s="1" t="inlineStr">
        <is>
          <t>มี</t>
        </is>
      </c>
      <c r="J4023" s="13" t="n">
        <v>39</v>
      </c>
      <c r="K4023" s="1" t="inlineStr"/>
      <c r="L4023" s="13" t="n">
        <v>39</v>
      </c>
      <c r="M4023" s="1">
        <f>IF(L4023="","ไม่พบใน SG",IF(ABS(J4023-L4023)&lt;0.005,"ตรงกัน","ไม่ตรง"))</f>
        <v/>
      </c>
      <c r="N4023" s="14">
        <f>IF(L4023="","",ROUND(L4023*'สรุป'!$C$6,-1))</f>
        <v/>
      </c>
      <c r="O4023" s="15" t="n"/>
      <c r="P4023" s="15" t="n"/>
      <c r="Q4023" s="10" t="n"/>
      <c r="R4023" s="10" t="n"/>
      <c r="S4023" s="16" t="inlineStr">
        <is>
          <t>https://mstgolf.co.th/products/gf2020202165</t>
        </is>
      </c>
      <c r="T4023" s="1">
        <f>IF(B4023="ไม้กอล์ฟ",J4023,"")</f>
        <v/>
      </c>
    </row>
    <row r="4024">
      <c r="A4024" s="1" t="n">
        <v>3</v>
      </c>
      <c r="B4024" s="1" t="inlineStr">
        <is>
          <t>เสื้อผ้า</t>
        </is>
      </c>
      <c r="C4024" s="1" t="inlineStr">
        <is>
          <t>gf2040115832</t>
        </is>
      </c>
      <c r="D4024" s="1" t="inlineStr">
        <is>
          <t>ADIDAS Tour Sleeveless Primeknit Women's Sleeveless Polo (Red)</t>
        </is>
      </c>
      <c r="E4024" s="1" t="inlineStr">
        <is>
          <t>ADIDAS</t>
        </is>
      </c>
      <c r="F4024" s="1" t="inlineStr">
        <is>
          <t>SHORT SLEEVES</t>
        </is>
      </c>
      <c r="G4024" s="1" t="inlineStr">
        <is>
          <t>GF2040115832XS</t>
        </is>
      </c>
      <c r="H4024" s="1" t="n">
        <v>6</v>
      </c>
      <c r="I4024" s="1" t="inlineStr">
        <is>
          <t>มี</t>
        </is>
      </c>
      <c r="J4024" s="13" t="n">
        <v>39</v>
      </c>
      <c r="K4024" s="1" t="inlineStr"/>
      <c r="L4024" s="13" t="n">
        <v>39</v>
      </c>
      <c r="M4024" s="1">
        <f>IF(L4024="","ไม่พบใน SG",IF(ABS(J4024-L4024)&lt;0.005,"ตรงกัน","ไม่ตรง"))</f>
        <v/>
      </c>
      <c r="N4024" s="14">
        <f>IF(L4024="","",ROUND(L4024*'สรุป'!$C$6,-1))</f>
        <v/>
      </c>
      <c r="O4024" s="15" t="n"/>
      <c r="P4024" s="15" t="n"/>
      <c r="Q4024" s="10" t="n"/>
      <c r="R4024" s="10" t="n"/>
      <c r="S4024" s="16" t="inlineStr">
        <is>
          <t>https://mstgolf.co.th/products/gf2040115832</t>
        </is>
      </c>
      <c r="T4024" s="1">
        <f>IF(B4024="ไม้กอล์ฟ",J4024,"")</f>
        <v/>
      </c>
    </row>
    <row r="4025">
      <c r="A4025" s="1" t="n">
        <v>3</v>
      </c>
      <c r="B4025" s="1" t="inlineStr">
        <is>
          <t>เสื้อผ้า</t>
        </is>
      </c>
      <c r="C4025" s="1" t="inlineStr">
        <is>
          <t>gf2020202375</t>
        </is>
      </c>
      <c r="D4025" s="1" t="inlineStr">
        <is>
          <t>ADIDAS Ultimate365 Frill Skort (White)</t>
        </is>
      </c>
      <c r="E4025" s="1" t="inlineStr">
        <is>
          <t>ADIDAS</t>
        </is>
      </c>
      <c r="F4025" s="1" t="inlineStr">
        <is>
          <t>SHORT PANTS</t>
        </is>
      </c>
      <c r="G4025" s="1" t="inlineStr">
        <is>
          <t>GF2020202375XS</t>
        </is>
      </c>
      <c r="H4025" s="1" t="n">
        <v>6</v>
      </c>
      <c r="I4025" s="1" t="inlineStr">
        <is>
          <t>มี</t>
        </is>
      </c>
      <c r="J4025" s="13" t="n">
        <v>39</v>
      </c>
      <c r="K4025" s="1" t="inlineStr"/>
      <c r="L4025" s="13" t="n">
        <v>39</v>
      </c>
      <c r="M4025" s="1">
        <f>IF(L4025="","ไม่พบใน SG",IF(ABS(J4025-L4025)&lt;0.005,"ตรงกัน","ไม่ตรง"))</f>
        <v/>
      </c>
      <c r="N4025" s="14">
        <f>IF(L4025="","",ROUND(L4025*'สรุป'!$C$6,-1))</f>
        <v/>
      </c>
      <c r="O4025" s="15" t="n"/>
      <c r="P4025" s="15" t="n"/>
      <c r="Q4025" s="10" t="n"/>
      <c r="R4025" s="10" t="n"/>
      <c r="S4025" s="16" t="inlineStr">
        <is>
          <t>https://mstgolf.co.th/products/gf2020202375</t>
        </is>
      </c>
      <c r="T4025" s="1">
        <f>IF(B4025="ไม้กอล์ฟ",J4025,"")</f>
        <v/>
      </c>
    </row>
    <row r="4026">
      <c r="A4026" s="1" t="n">
        <v>3</v>
      </c>
      <c r="B4026" s="1" t="inlineStr">
        <is>
          <t>เสื้อผ้า</t>
        </is>
      </c>
      <c r="C4026" s="1" t="inlineStr">
        <is>
          <t>gf2040118563</t>
        </is>
      </c>
      <c r="D4026" s="1" t="inlineStr">
        <is>
          <t>ADIDAS Ultimate365 Golf Men's Jersey Polo (Black)</t>
        </is>
      </c>
      <c r="E4026" s="1" t="inlineStr">
        <is>
          <t>ADIDAS</t>
        </is>
      </c>
      <c r="F4026" s="1" t="inlineStr">
        <is>
          <t>SHORT SLEEVES</t>
        </is>
      </c>
      <c r="G4026" s="1" t="inlineStr">
        <is>
          <t>GF2040118563XS</t>
        </is>
      </c>
      <c r="H4026" s="1" t="n">
        <v>7</v>
      </c>
      <c r="I4026" s="1" t="inlineStr">
        <is>
          <t>มี</t>
        </is>
      </c>
      <c r="J4026" s="13" t="n">
        <v>39</v>
      </c>
      <c r="K4026" s="1" t="inlineStr"/>
      <c r="L4026" s="13" t="n"/>
      <c r="M4026" s="1">
        <f>IF(L4026="","ไม่พบใน SG",IF(ABS(J4026-L4026)&lt;0.005,"ตรงกัน","ไม่ตรง"))</f>
        <v/>
      </c>
      <c r="N4026" s="14">
        <f>IF(L4026="","",ROUND(L4026*'สรุป'!$C$6,-1))</f>
        <v/>
      </c>
      <c r="O4026" s="15" t="n"/>
      <c r="P4026" s="15" t="n"/>
      <c r="Q4026" s="10" t="n"/>
      <c r="R4026" s="10" t="n"/>
      <c r="S4026" s="16" t="inlineStr">
        <is>
          <t>https://mstgolf.co.th/products/gf2040118563</t>
        </is>
      </c>
      <c r="T4026" s="1">
        <f>IF(B4026="ไม้กอล์ฟ",J4026,"")</f>
        <v/>
      </c>
    </row>
    <row r="4027">
      <c r="A4027" s="1" t="n">
        <v>3</v>
      </c>
      <c r="B4027" s="1" t="inlineStr">
        <is>
          <t>เสื้อผ้า</t>
        </is>
      </c>
      <c r="C4027" s="1" t="inlineStr">
        <is>
          <t>gf2020102257</t>
        </is>
      </c>
      <c r="D4027" s="1" t="inlineStr">
        <is>
          <t>ADIDAS Ultimate365 Men's Pants (White)</t>
        </is>
      </c>
      <c r="E4027" s="1" t="inlineStr">
        <is>
          <t>ADIDAS</t>
        </is>
      </c>
      <c r="F4027" s="1" t="inlineStr">
        <is>
          <t>LONG PANTS</t>
        </is>
      </c>
      <c r="G4027" s="1" t="inlineStr">
        <is>
          <t>GF202010225773</t>
        </is>
      </c>
      <c r="H4027" s="1" t="n">
        <v>9</v>
      </c>
      <c r="I4027" s="1" t="inlineStr">
        <is>
          <t>มี</t>
        </is>
      </c>
      <c r="J4027" s="13" t="n">
        <v>39</v>
      </c>
      <c r="K4027" s="1" t="inlineStr"/>
      <c r="L4027" s="13" t="n"/>
      <c r="M4027" s="1">
        <f>IF(L4027="","ไม่พบใน SG",IF(ABS(J4027-L4027)&lt;0.005,"ตรงกัน","ไม่ตรง"))</f>
        <v/>
      </c>
      <c r="N4027" s="14">
        <f>IF(L4027="","",ROUND(L4027*'สรุป'!$C$6,-1))</f>
        <v/>
      </c>
      <c r="O4027" s="15" t="n"/>
      <c r="P4027" s="15" t="n"/>
      <c r="Q4027" s="10" t="n"/>
      <c r="R4027" s="10" t="n"/>
      <c r="S4027" s="16" t="inlineStr">
        <is>
          <t>https://mstgolf.co.th/products/gf2020102257</t>
        </is>
      </c>
      <c r="T4027" s="1">
        <f>IF(B4027="ไม้กอล์ฟ",J4027,"")</f>
        <v/>
      </c>
    </row>
    <row r="4028">
      <c r="A4028" s="1" t="n">
        <v>3</v>
      </c>
      <c r="B4028" s="1" t="inlineStr">
        <is>
          <t>เสื้อผ้า</t>
        </is>
      </c>
      <c r="C4028" s="1" t="inlineStr">
        <is>
          <t>gf2040117607</t>
        </is>
      </c>
      <c r="D4028" s="1" t="inlineStr">
        <is>
          <t>ADIDAS Ultimate365 Men's Pique Polo (Jade)</t>
        </is>
      </c>
      <c r="E4028" s="1" t="inlineStr">
        <is>
          <t>ADIDAS</t>
        </is>
      </c>
      <c r="F4028" s="1" t="inlineStr">
        <is>
          <t>SHORT SLEEVES</t>
        </is>
      </c>
      <c r="G4028" s="1" t="inlineStr">
        <is>
          <t>GF2040117607XS</t>
        </is>
      </c>
      <c r="H4028" s="1" t="n">
        <v>7</v>
      </c>
      <c r="I4028" s="1" t="inlineStr">
        <is>
          <t>มี</t>
        </is>
      </c>
      <c r="J4028" s="13" t="n">
        <v>39</v>
      </c>
      <c r="K4028" s="1" t="inlineStr"/>
      <c r="L4028" s="13" t="n">
        <v>39</v>
      </c>
      <c r="M4028" s="1">
        <f>IF(L4028="","ไม่พบใน SG",IF(ABS(J4028-L4028)&lt;0.005,"ตรงกัน","ไม่ตรง"))</f>
        <v/>
      </c>
      <c r="N4028" s="14">
        <f>IF(L4028="","",ROUND(L4028*'สรุป'!$C$6,-1))</f>
        <v/>
      </c>
      <c r="O4028" s="15" t="n"/>
      <c r="P4028" s="15" t="n"/>
      <c r="Q4028" s="10" t="n"/>
      <c r="R4028" s="10" t="n"/>
      <c r="S4028" s="16" t="inlineStr">
        <is>
          <t>https://mstgolf.co.th/products/gf2040117607</t>
        </is>
      </c>
      <c r="T4028" s="1">
        <f>IF(B4028="ไม้กอล์ฟ",J4028,"")</f>
        <v/>
      </c>
    </row>
    <row r="4029">
      <c r="A4029" s="1" t="n">
        <v>3</v>
      </c>
      <c r="B4029" s="1" t="inlineStr">
        <is>
          <t>เสื้อผ้า</t>
        </is>
      </c>
      <c r="C4029" s="1" t="inlineStr">
        <is>
          <t>gf2040117604</t>
        </is>
      </c>
      <c r="D4029" s="1" t="inlineStr">
        <is>
          <t>ADIDAS Ultimate365 Men's Striped Polo (Navy/Ink)</t>
        </is>
      </c>
      <c r="E4029" s="1" t="inlineStr">
        <is>
          <t>ADIDAS</t>
        </is>
      </c>
      <c r="F4029" s="1" t="inlineStr">
        <is>
          <t>SHORT SLEEVES</t>
        </is>
      </c>
      <c r="G4029" s="1" t="inlineStr">
        <is>
          <t>GF2040117604XS</t>
        </is>
      </c>
      <c r="H4029" s="1" t="n">
        <v>8</v>
      </c>
      <c r="I4029" s="1" t="inlineStr">
        <is>
          <t>มี</t>
        </is>
      </c>
      <c r="J4029" s="13" t="n">
        <v>39</v>
      </c>
      <c r="K4029" s="1" t="inlineStr"/>
      <c r="L4029" s="13" t="n">
        <v>39</v>
      </c>
      <c r="M4029" s="1">
        <f>IF(L4029="","ไม่พบใน SG",IF(ABS(J4029-L4029)&lt;0.005,"ตรงกัน","ไม่ตรง"))</f>
        <v/>
      </c>
      <c r="N4029" s="14">
        <f>IF(L4029="","",ROUND(L4029*'สรุป'!$C$6,-1))</f>
        <v/>
      </c>
      <c r="O4029" s="15" t="n"/>
      <c r="P4029" s="15" t="n"/>
      <c r="Q4029" s="10" t="n"/>
      <c r="R4029" s="10" t="n"/>
      <c r="S4029" s="16" t="inlineStr">
        <is>
          <t>https://mstgolf.co.th/products/gf2040117604</t>
        </is>
      </c>
      <c r="T4029" s="1">
        <f>IF(B4029="ไม้กอล์ฟ",J4029,"")</f>
        <v/>
      </c>
    </row>
    <row r="4030">
      <c r="A4030" s="1" t="n">
        <v>3</v>
      </c>
      <c r="B4030" s="1" t="inlineStr">
        <is>
          <t>เสื้อผ้า</t>
        </is>
      </c>
      <c r="C4030" s="1" t="inlineStr">
        <is>
          <t>gf2020102380</t>
        </is>
      </c>
      <c r="D4030" s="1" t="inlineStr">
        <is>
          <t>ADIDAS Ultimate365 Men's Tapered Pants (Alumina)</t>
        </is>
      </c>
      <c r="E4030" s="1" t="inlineStr">
        <is>
          <t>ADIDAS</t>
        </is>
      </c>
      <c r="F4030" s="1" t="inlineStr">
        <is>
          <t>LONG PANTS</t>
        </is>
      </c>
      <c r="G4030" s="1" t="inlineStr">
        <is>
          <t>GF202010238073</t>
        </is>
      </c>
      <c r="H4030" s="1" t="n">
        <v>9</v>
      </c>
      <c r="I4030" s="1" t="inlineStr">
        <is>
          <t>มี</t>
        </is>
      </c>
      <c r="J4030" s="13" t="n">
        <v>39</v>
      </c>
      <c r="K4030" s="1" t="inlineStr"/>
      <c r="L4030" s="13" t="n">
        <v>39</v>
      </c>
      <c r="M4030" s="1">
        <f>IF(L4030="","ไม่พบใน SG",IF(ABS(J4030-L4030)&lt;0.005,"ตรงกัน","ไม่ตรง"))</f>
        <v/>
      </c>
      <c r="N4030" s="14">
        <f>IF(L4030="","",ROUND(L4030*'สรุป'!$C$6,-1))</f>
        <v/>
      </c>
      <c r="O4030" s="15" t="n"/>
      <c r="P4030" s="15" t="n"/>
      <c r="Q4030" s="10" t="n"/>
      <c r="R4030" s="10" t="n"/>
      <c r="S4030" s="16" t="inlineStr">
        <is>
          <t>https://mstgolf.co.th/products/gf2020102380</t>
        </is>
      </c>
      <c r="T4030" s="1">
        <f>IF(B4030="ไม้กอล์ฟ",J4030,"")</f>
        <v/>
      </c>
    </row>
    <row r="4031">
      <c r="A4031" s="1" t="n">
        <v>3</v>
      </c>
      <c r="B4031" s="1" t="inlineStr">
        <is>
          <t>เสื้อผ้า</t>
        </is>
      </c>
      <c r="C4031" s="1" t="inlineStr">
        <is>
          <t>gf2020101804</t>
        </is>
      </c>
      <c r="D4031" s="1" t="inlineStr">
        <is>
          <t>ADIDAS Ultimate365 Men's Tapered Pants (Black)</t>
        </is>
      </c>
      <c r="E4031" s="1" t="inlineStr">
        <is>
          <t>ADIDAS</t>
        </is>
      </c>
      <c r="F4031" s="1" t="inlineStr">
        <is>
          <t>LONG PANTS</t>
        </is>
      </c>
      <c r="G4031" s="1" t="inlineStr">
        <is>
          <t>GF202010180473</t>
        </is>
      </c>
      <c r="H4031" s="1" t="n">
        <v>8</v>
      </c>
      <c r="I4031" s="1" t="inlineStr">
        <is>
          <t>มี</t>
        </is>
      </c>
      <c r="J4031" s="13" t="n">
        <v>39</v>
      </c>
      <c r="K4031" s="1" t="inlineStr"/>
      <c r="L4031" s="13" t="n">
        <v>39</v>
      </c>
      <c r="M4031" s="1">
        <f>IF(L4031="","ไม่พบใน SG",IF(ABS(J4031-L4031)&lt;0.005,"ตรงกัน","ไม่ตรง"))</f>
        <v/>
      </c>
      <c r="N4031" s="14">
        <f>IF(L4031="","",ROUND(L4031*'สรุป'!$C$6,-1))</f>
        <v/>
      </c>
      <c r="O4031" s="15" t="n"/>
      <c r="P4031" s="15" t="n"/>
      <c r="Q4031" s="10" t="n"/>
      <c r="R4031" s="10" t="n"/>
      <c r="S4031" s="16" t="inlineStr">
        <is>
          <t>https://mstgolf.co.th/products/gf2020101804</t>
        </is>
      </c>
      <c r="T4031" s="1">
        <f>IF(B4031="ไม้กอล์ฟ",J4031,"")</f>
        <v/>
      </c>
    </row>
    <row r="4032">
      <c r="A4032" s="1" t="n">
        <v>3</v>
      </c>
      <c r="B4032" s="1" t="inlineStr">
        <is>
          <t>เสื้อผ้า</t>
        </is>
      </c>
      <c r="C4032" s="1" t="inlineStr">
        <is>
          <t>gf2020101801</t>
        </is>
      </c>
      <c r="D4032" s="1" t="inlineStr">
        <is>
          <t>ADIDAS Ultimate365 Men's Tapered Pants (White)</t>
        </is>
      </c>
      <c r="E4032" s="1" t="inlineStr">
        <is>
          <t>ADIDAS</t>
        </is>
      </c>
      <c r="F4032" s="1" t="inlineStr">
        <is>
          <t>LONG PANTS</t>
        </is>
      </c>
      <c r="G4032" s="1" t="inlineStr">
        <is>
          <t>GF202010180173</t>
        </is>
      </c>
      <c r="H4032" s="1" t="n">
        <v>8</v>
      </c>
      <c r="I4032" s="1" t="inlineStr">
        <is>
          <t>มี</t>
        </is>
      </c>
      <c r="J4032" s="13" t="n">
        <v>39</v>
      </c>
      <c r="K4032" s="1" t="inlineStr"/>
      <c r="L4032" s="13" t="n">
        <v>39</v>
      </c>
      <c r="M4032" s="1">
        <f>IF(L4032="","ไม่พบใน SG",IF(ABS(J4032-L4032)&lt;0.005,"ตรงกัน","ไม่ตรง"))</f>
        <v/>
      </c>
      <c r="N4032" s="14">
        <f>IF(L4032="","",ROUND(L4032*'สรุป'!$C$6,-1))</f>
        <v/>
      </c>
      <c r="O4032" s="15" t="n"/>
      <c r="P4032" s="15" t="n"/>
      <c r="Q4032" s="10" t="n"/>
      <c r="R4032" s="10" t="n"/>
      <c r="S4032" s="16" t="inlineStr">
        <is>
          <t>https://mstgolf.co.th/products/gf2020101801</t>
        </is>
      </c>
      <c r="T4032" s="1">
        <f>IF(B4032="ไม้กอล์ฟ",J4032,"")</f>
        <v/>
      </c>
    </row>
    <row r="4033">
      <c r="A4033" s="1" t="n">
        <v>3</v>
      </c>
      <c r="B4033" s="1" t="inlineStr">
        <is>
          <t>เสื้อผ้า</t>
        </is>
      </c>
      <c r="C4033" s="1" t="inlineStr">
        <is>
          <t>gf2040118581</t>
        </is>
      </c>
      <c r="D4033" s="1" t="inlineStr">
        <is>
          <t>ADIDAS Ultimate365 Men's Textured Polo (Oat)</t>
        </is>
      </c>
      <c r="E4033" s="1" t="inlineStr">
        <is>
          <t>ADIDAS</t>
        </is>
      </c>
      <c r="F4033" s="1" t="inlineStr">
        <is>
          <t>SHORT SLEEVES</t>
        </is>
      </c>
      <c r="G4033" s="1" t="inlineStr">
        <is>
          <t>GF2040118581XS</t>
        </is>
      </c>
      <c r="H4033" s="1" t="n">
        <v>7</v>
      </c>
      <c r="I4033" s="1" t="inlineStr">
        <is>
          <t>มี</t>
        </is>
      </c>
      <c r="J4033" s="13" t="n">
        <v>39</v>
      </c>
      <c r="K4033" s="1" t="inlineStr"/>
      <c r="L4033" s="13" t="n"/>
      <c r="M4033" s="1">
        <f>IF(L4033="","ไม่พบใน SG",IF(ABS(J4033-L4033)&lt;0.005,"ตรงกัน","ไม่ตรง"))</f>
        <v/>
      </c>
      <c r="N4033" s="14">
        <f>IF(L4033="","",ROUND(L4033*'สรุป'!$C$6,-1))</f>
        <v/>
      </c>
      <c r="O4033" s="15" t="n"/>
      <c r="P4033" s="15" t="n"/>
      <c r="Q4033" s="10" t="n"/>
      <c r="R4033" s="10" t="n"/>
      <c r="S4033" s="16" t="inlineStr">
        <is>
          <t>https://mstgolf.co.th/products/gf2040118581</t>
        </is>
      </c>
      <c r="T4033" s="1">
        <f>IF(B4033="ไม้กอล์ฟ",J4033,"")</f>
        <v/>
      </c>
    </row>
    <row r="4034">
      <c r="A4034" s="1" t="n">
        <v>3</v>
      </c>
      <c r="B4034" s="1" t="inlineStr">
        <is>
          <t>เสื้อผ้า</t>
        </is>
      </c>
      <c r="C4034" s="1" t="inlineStr">
        <is>
          <t>gf2040118576</t>
        </is>
      </c>
      <c r="D4034" s="1" t="inlineStr">
        <is>
          <t>ADIDAS Ultimate365 Power Grid Print Men’s Polo (Navy)</t>
        </is>
      </c>
      <c r="E4034" s="1" t="inlineStr">
        <is>
          <t>ADIDAS</t>
        </is>
      </c>
      <c r="F4034" s="1" t="inlineStr">
        <is>
          <t>SHORT SLEEVES</t>
        </is>
      </c>
      <c r="G4034" s="1" t="inlineStr">
        <is>
          <t>GF2040118576XS</t>
        </is>
      </c>
      <c r="H4034" s="1" t="n">
        <v>7</v>
      </c>
      <c r="I4034" s="1" t="inlineStr">
        <is>
          <t>มี</t>
        </is>
      </c>
      <c r="J4034" s="13" t="n">
        <v>39</v>
      </c>
      <c r="K4034" s="1" t="inlineStr"/>
      <c r="L4034" s="13" t="n">
        <v>39</v>
      </c>
      <c r="M4034" s="1">
        <f>IF(L4034="","ไม่พบใน SG",IF(ABS(J4034-L4034)&lt;0.005,"ตรงกัน","ไม่ตรง"))</f>
        <v/>
      </c>
      <c r="N4034" s="14">
        <f>IF(L4034="","",ROUND(L4034*'สรุป'!$C$6,-1))</f>
        <v/>
      </c>
      <c r="O4034" s="15" t="n"/>
      <c r="P4034" s="15" t="n"/>
      <c r="Q4034" s="10" t="n"/>
      <c r="R4034" s="10" t="n"/>
      <c r="S4034" s="16" t="inlineStr">
        <is>
          <t>https://mstgolf.co.th/products/gf2040118576</t>
        </is>
      </c>
      <c r="T4034" s="1">
        <f>IF(B4034="ไม้กอล์ฟ",J4034,"")</f>
        <v/>
      </c>
    </row>
    <row r="4035">
      <c r="A4035" s="1" t="n">
        <v>3</v>
      </c>
      <c r="B4035" s="1" t="inlineStr">
        <is>
          <t>เสื้อผ้า</t>
        </is>
      </c>
      <c r="C4035" s="1" t="inlineStr">
        <is>
          <t>gf2040117603</t>
        </is>
      </c>
      <c r="D4035" s="1" t="inlineStr">
        <is>
          <t>ADIDAS Ultimate365 Printed Men's Polo (Jade/Ink)</t>
        </is>
      </c>
      <c r="E4035" s="1" t="inlineStr">
        <is>
          <t>ADIDAS</t>
        </is>
      </c>
      <c r="F4035" s="1" t="inlineStr">
        <is>
          <t>SHORT SLEEVES</t>
        </is>
      </c>
      <c r="G4035" s="1" t="inlineStr">
        <is>
          <t>GF2040117603XS</t>
        </is>
      </c>
      <c r="H4035" s="1" t="n">
        <v>7</v>
      </c>
      <c r="I4035" s="1" t="inlineStr">
        <is>
          <t>มี</t>
        </is>
      </c>
      <c r="J4035" s="13" t="n">
        <v>39</v>
      </c>
      <c r="K4035" s="1" t="inlineStr"/>
      <c r="L4035" s="13" t="n">
        <v>39</v>
      </c>
      <c r="M4035" s="1">
        <f>IF(L4035="","ไม่พบใน SG",IF(ABS(J4035-L4035)&lt;0.005,"ตรงกัน","ไม่ตรง"))</f>
        <v/>
      </c>
      <c r="N4035" s="14">
        <f>IF(L4035="","",ROUND(L4035*'สรุป'!$C$6,-1))</f>
        <v/>
      </c>
      <c r="O4035" s="15" t="n"/>
      <c r="P4035" s="15" t="n"/>
      <c r="Q4035" s="10" t="n"/>
      <c r="R4035" s="10" t="n"/>
      <c r="S4035" s="16" t="inlineStr">
        <is>
          <t>https://mstgolf.co.th/products/gf2040117603</t>
        </is>
      </c>
      <c r="T4035" s="1">
        <f>IF(B4035="ไม้กอล์ฟ",J4035,"")</f>
        <v/>
      </c>
    </row>
    <row r="4036">
      <c r="A4036" s="1" t="n">
        <v>3</v>
      </c>
      <c r="B4036" s="1" t="inlineStr">
        <is>
          <t>เสื้อผ้า</t>
        </is>
      </c>
      <c r="C4036" s="1" t="inlineStr">
        <is>
          <t>gf2020202392</t>
        </is>
      </c>
      <c r="D4036" s="1" t="inlineStr">
        <is>
          <t>ADIDAS Ultimate365 Skort (Navy)</t>
        </is>
      </c>
      <c r="E4036" s="1" t="inlineStr">
        <is>
          <t>ADIDAS</t>
        </is>
      </c>
      <c r="F4036" s="1" t="inlineStr">
        <is>
          <t>SKORTS</t>
        </is>
      </c>
      <c r="G4036" s="1" t="inlineStr">
        <is>
          <t>GF2020202392128</t>
        </is>
      </c>
      <c r="H4036" s="1" t="n">
        <v>6</v>
      </c>
      <c r="I4036" s="1" t="inlineStr">
        <is>
          <t>มี</t>
        </is>
      </c>
      <c r="J4036" s="13" t="n">
        <v>39</v>
      </c>
      <c r="K4036" s="1" t="inlineStr"/>
      <c r="L4036" s="13" t="n">
        <v>29</v>
      </c>
      <c r="M4036" s="1">
        <f>IF(L4036="","ไม่พบใน SG",IF(ABS(J4036-L4036)&lt;0.005,"ตรงกัน","ไม่ตรง"))</f>
        <v/>
      </c>
      <c r="N4036" s="14">
        <f>IF(L4036="","",ROUND(L4036*'สรุป'!$C$6,-1))</f>
        <v/>
      </c>
      <c r="O4036" s="15" t="n"/>
      <c r="P4036" s="15" t="n"/>
      <c r="Q4036" s="10" t="n"/>
      <c r="R4036" s="10" t="n"/>
      <c r="S4036" s="16" t="inlineStr">
        <is>
          <t>https://mstgolf.co.th/products/gf2020202392</t>
        </is>
      </c>
      <c r="T4036" s="1">
        <f>IF(B4036="ไม้กอล์ฟ",J4036,"")</f>
        <v/>
      </c>
    </row>
    <row r="4037">
      <c r="A4037" s="1" t="n">
        <v>3</v>
      </c>
      <c r="B4037" s="1" t="inlineStr">
        <is>
          <t>เสื้อผ้า</t>
        </is>
      </c>
      <c r="C4037" s="1" t="inlineStr">
        <is>
          <t>gf2020202570</t>
        </is>
      </c>
      <c r="D4037" s="1" t="inlineStr">
        <is>
          <t>ADIDAS Ultimate365 Skort (Pink)</t>
        </is>
      </c>
      <c r="E4037" s="1" t="inlineStr">
        <is>
          <t>ADIDAS</t>
        </is>
      </c>
      <c r="F4037" s="1" t="inlineStr">
        <is>
          <t>SHORT PANTS</t>
        </is>
      </c>
      <c r="G4037" s="1" t="inlineStr">
        <is>
          <t>GF20202025702XS</t>
        </is>
      </c>
      <c r="H4037" s="1" t="n">
        <v>7</v>
      </c>
      <c r="I4037" s="1" t="inlineStr">
        <is>
          <t>มี</t>
        </is>
      </c>
      <c r="J4037" s="13" t="n">
        <v>39</v>
      </c>
      <c r="K4037" s="1" t="inlineStr"/>
      <c r="L4037" s="13" t="n">
        <v>39</v>
      </c>
      <c r="M4037" s="1">
        <f>IF(L4037="","ไม่พบใน SG",IF(ABS(J4037-L4037)&lt;0.005,"ตรงกัน","ไม่ตรง"))</f>
        <v/>
      </c>
      <c r="N4037" s="14">
        <f>IF(L4037="","",ROUND(L4037*'สรุป'!$C$6,-1))</f>
        <v/>
      </c>
      <c r="O4037" s="15" t="n"/>
      <c r="P4037" s="15" t="n"/>
      <c r="Q4037" s="10" t="n"/>
      <c r="R4037" s="10" t="n"/>
      <c r="S4037" s="16" t="inlineStr">
        <is>
          <t>https://mstgolf.co.th/products/gf2020202570</t>
        </is>
      </c>
      <c r="T4037" s="1">
        <f>IF(B4037="ไม้กอล์ฟ",J4037,"")</f>
        <v/>
      </c>
    </row>
    <row r="4038">
      <c r="A4038" s="1" t="n">
        <v>3</v>
      </c>
      <c r="B4038" s="1" t="inlineStr">
        <is>
          <t>เสื้อผ้า</t>
        </is>
      </c>
      <c r="C4038" s="1" t="inlineStr">
        <is>
          <t>gf2020202391</t>
        </is>
      </c>
      <c r="D4038" s="1" t="inlineStr">
        <is>
          <t>ADIDAS Ultimate365 Skort (White)</t>
        </is>
      </c>
      <c r="E4038" s="1" t="inlineStr">
        <is>
          <t>ADIDAS</t>
        </is>
      </c>
      <c r="F4038" s="1" t="inlineStr">
        <is>
          <t>SKORTS</t>
        </is>
      </c>
      <c r="G4038" s="1" t="inlineStr">
        <is>
          <t>GF2020202391128</t>
        </is>
      </c>
      <c r="H4038" s="1" t="n">
        <v>6</v>
      </c>
      <c r="I4038" s="1" t="inlineStr">
        <is>
          <t>มี</t>
        </is>
      </c>
      <c r="J4038" s="13" t="n">
        <v>39</v>
      </c>
      <c r="K4038" s="1" t="inlineStr"/>
      <c r="L4038" s="13" t="n">
        <v>29</v>
      </c>
      <c r="M4038" s="1">
        <f>IF(L4038="","ไม่พบใน SG",IF(ABS(J4038-L4038)&lt;0.005,"ตรงกัน","ไม่ตรง"))</f>
        <v/>
      </c>
      <c r="N4038" s="14">
        <f>IF(L4038="","",ROUND(L4038*'สรุป'!$C$6,-1))</f>
        <v/>
      </c>
      <c r="O4038" s="15" t="n"/>
      <c r="P4038" s="15" t="n"/>
      <c r="Q4038" s="10" t="n"/>
      <c r="R4038" s="10" t="n"/>
      <c r="S4038" s="16" t="inlineStr">
        <is>
          <t>https://mstgolf.co.th/products/gf2020202391</t>
        </is>
      </c>
      <c r="T4038" s="1">
        <f>IF(B4038="ไม้กอล์ฟ",J4038,"")</f>
        <v/>
      </c>
    </row>
    <row r="4039">
      <c r="A4039" s="1" t="n">
        <v>3</v>
      </c>
      <c r="B4039" s="1" t="inlineStr">
        <is>
          <t>เสื้อผ้า</t>
        </is>
      </c>
      <c r="C4039" s="1" t="inlineStr">
        <is>
          <t>gf2040118565</t>
        </is>
      </c>
      <c r="D4039" s="1" t="inlineStr">
        <is>
          <t>ADIDAS Ultimate365 Sport Men's Polo (Black)</t>
        </is>
      </c>
      <c r="E4039" s="1" t="inlineStr">
        <is>
          <t>ADIDAS</t>
        </is>
      </c>
      <c r="F4039" s="1" t="inlineStr">
        <is>
          <t>SHORT SLEEVES</t>
        </is>
      </c>
      <c r="G4039" s="1" t="inlineStr">
        <is>
          <t>GF2040118565XS</t>
        </is>
      </c>
      <c r="H4039" s="1" t="n">
        <v>7</v>
      </c>
      <c r="I4039" s="1" t="inlineStr">
        <is>
          <t>มี</t>
        </is>
      </c>
      <c r="J4039" s="13" t="n">
        <v>39</v>
      </c>
      <c r="K4039" s="1" t="inlineStr"/>
      <c r="L4039" s="13" t="n"/>
      <c r="M4039" s="1">
        <f>IF(L4039="","ไม่พบใน SG",IF(ABS(J4039-L4039)&lt;0.005,"ตรงกัน","ไม่ตรง"))</f>
        <v/>
      </c>
      <c r="N4039" s="14">
        <f>IF(L4039="","",ROUND(L4039*'สรุป'!$C$6,-1))</f>
        <v/>
      </c>
      <c r="O4039" s="15" t="n"/>
      <c r="P4039" s="15" t="n"/>
      <c r="Q4039" s="10" t="n"/>
      <c r="R4039" s="10" t="n"/>
      <c r="S4039" s="16" t="inlineStr">
        <is>
          <t>https://mstgolf.co.th/products/gf2040118565</t>
        </is>
      </c>
      <c r="T4039" s="1">
        <f>IF(B4039="ไม้กอล์ฟ",J4039,"")</f>
        <v/>
      </c>
    </row>
    <row r="4040">
      <c r="A4040" s="1" t="n">
        <v>3</v>
      </c>
      <c r="B4040" s="1" t="inlineStr">
        <is>
          <t>เสื้อผ้า</t>
        </is>
      </c>
      <c r="C4040" s="1" t="inlineStr">
        <is>
          <t>gf2040118564</t>
        </is>
      </c>
      <c r="D4040" s="1" t="inlineStr">
        <is>
          <t>ADIDAS Ultimate365 Sport Men's Polo (Green)</t>
        </is>
      </c>
      <c r="E4040" s="1" t="inlineStr">
        <is>
          <t>ADIDAS</t>
        </is>
      </c>
      <c r="F4040" s="1" t="inlineStr">
        <is>
          <t>SHORT SLEEVES</t>
        </is>
      </c>
      <c r="G4040" s="1" t="inlineStr">
        <is>
          <t>GF2040118564XS</t>
        </is>
      </c>
      <c r="H4040" s="1" t="n">
        <v>7</v>
      </c>
      <c r="I4040" s="1" t="inlineStr">
        <is>
          <t>มี</t>
        </is>
      </c>
      <c r="J4040" s="13" t="n">
        <v>39</v>
      </c>
      <c r="K4040" s="1" t="inlineStr"/>
      <c r="L4040" s="13" t="n">
        <v>39</v>
      </c>
      <c r="M4040" s="1">
        <f>IF(L4040="","ไม่พบใน SG",IF(ABS(J4040-L4040)&lt;0.005,"ตรงกัน","ไม่ตรง"))</f>
        <v/>
      </c>
      <c r="N4040" s="14">
        <f>IF(L4040="","",ROUND(L4040*'สรุป'!$C$6,-1))</f>
        <v/>
      </c>
      <c r="O4040" s="15" t="n"/>
      <c r="P4040" s="15" t="n"/>
      <c r="Q4040" s="10" t="n"/>
      <c r="R4040" s="10" t="n"/>
      <c r="S4040" s="16" t="inlineStr">
        <is>
          <t>https://mstgolf.co.th/products/gf2040118564</t>
        </is>
      </c>
      <c r="T4040" s="1">
        <f>IF(B4040="ไม้กอล์ฟ",J4040,"")</f>
        <v/>
      </c>
    </row>
    <row r="4041">
      <c r="A4041" s="1" t="n">
        <v>3</v>
      </c>
      <c r="B4041" s="1" t="inlineStr">
        <is>
          <t>เสื้อผ้า</t>
        </is>
      </c>
      <c r="C4041" s="1" t="inlineStr">
        <is>
          <t>gf2020202381</t>
        </is>
      </c>
      <c r="D4041" s="1" t="inlineStr">
        <is>
          <t>ADIDAS Ultimate365 TWITSKNIT Sport Skort (Charcoal)</t>
        </is>
      </c>
      <c r="E4041" s="1" t="inlineStr">
        <is>
          <t>ADIDAS</t>
        </is>
      </c>
      <c r="F4041" s="1" t="inlineStr">
        <is>
          <t>SHORT PANTS</t>
        </is>
      </c>
      <c r="G4041" s="1" t="inlineStr">
        <is>
          <t>GF2020202381XS</t>
        </is>
      </c>
      <c r="H4041" s="1" t="n">
        <v>6</v>
      </c>
      <c r="I4041" s="1" t="inlineStr">
        <is>
          <t>มี</t>
        </is>
      </c>
      <c r="J4041" s="13" t="n">
        <v>39</v>
      </c>
      <c r="K4041" s="1" t="inlineStr"/>
      <c r="L4041" s="13" t="n">
        <v>39</v>
      </c>
      <c r="M4041" s="1">
        <f>IF(L4041="","ไม่พบใน SG",IF(ABS(J4041-L4041)&lt;0.005,"ตรงกัน","ไม่ตรง"))</f>
        <v/>
      </c>
      <c r="N4041" s="14">
        <f>IF(L4041="","",ROUND(L4041*'สรุป'!$C$6,-1))</f>
        <v/>
      </c>
      <c r="O4041" s="15" t="n"/>
      <c r="P4041" s="15" t="n"/>
      <c r="Q4041" s="10" t="n"/>
      <c r="R4041" s="10" t="n"/>
      <c r="S4041" s="16" t="inlineStr">
        <is>
          <t>https://mstgolf.co.th/products/gf2020202381</t>
        </is>
      </c>
      <c r="T4041" s="1">
        <f>IF(B4041="ไม้กอล์ฟ",J4041,"")</f>
        <v/>
      </c>
    </row>
    <row r="4042">
      <c r="A4042" s="1" t="n">
        <v>3</v>
      </c>
      <c r="B4042" s="1" t="inlineStr">
        <is>
          <t>เสื้อผ้า</t>
        </is>
      </c>
      <c r="C4042" s="1" t="inlineStr">
        <is>
          <t>gf2020202382</t>
        </is>
      </c>
      <c r="D4042" s="1" t="inlineStr">
        <is>
          <t>ADIDAS Ultimate365 TWITSKNIT Sport Skort (Jade)</t>
        </is>
      </c>
      <c r="E4042" s="1" t="inlineStr">
        <is>
          <t>ADIDAS</t>
        </is>
      </c>
      <c r="F4042" s="1" t="inlineStr">
        <is>
          <t>SHORT PANTS</t>
        </is>
      </c>
      <c r="G4042" s="1" t="inlineStr">
        <is>
          <t>GF20202023822XS</t>
        </is>
      </c>
      <c r="H4042" s="1" t="n">
        <v>7</v>
      </c>
      <c r="I4042" s="1" t="inlineStr">
        <is>
          <t>มี</t>
        </is>
      </c>
      <c r="J4042" s="13" t="n">
        <v>39</v>
      </c>
      <c r="K4042" s="1" t="inlineStr"/>
      <c r="L4042" s="13" t="n">
        <v>39</v>
      </c>
      <c r="M4042" s="1">
        <f>IF(L4042="","ไม่พบใน SG",IF(ABS(J4042-L4042)&lt;0.005,"ตรงกัน","ไม่ตรง"))</f>
        <v/>
      </c>
      <c r="N4042" s="14">
        <f>IF(L4042="","",ROUND(L4042*'สรุป'!$C$6,-1))</f>
        <v/>
      </c>
      <c r="O4042" s="15" t="n"/>
      <c r="P4042" s="15" t="n"/>
      <c r="Q4042" s="10" t="n"/>
      <c r="R4042" s="10" t="n"/>
      <c r="S4042" s="16" t="inlineStr">
        <is>
          <t>https://mstgolf.co.th/products/gf2020202382</t>
        </is>
      </c>
      <c r="T4042" s="1">
        <f>IF(B4042="ไม้กอล์ฟ",J4042,"")</f>
        <v/>
      </c>
    </row>
    <row r="4043">
      <c r="A4043" s="1" t="n">
        <v>3</v>
      </c>
      <c r="B4043" s="1" t="inlineStr">
        <is>
          <t>เสื้อผ้า</t>
        </is>
      </c>
      <c r="C4043" s="1" t="inlineStr">
        <is>
          <t>gf2020202504</t>
        </is>
      </c>
      <c r="D4043" s="1" t="inlineStr">
        <is>
          <t>ADIDAS Ultimate365 TWITSKNIT Sport Skort (Pink)</t>
        </is>
      </c>
      <c r="E4043" s="1" t="inlineStr">
        <is>
          <t>ADIDAS</t>
        </is>
      </c>
      <c r="F4043" s="1" t="inlineStr">
        <is>
          <t>SHORT PANTS</t>
        </is>
      </c>
      <c r="G4043" s="1" t="inlineStr">
        <is>
          <t>GF20202025042XS</t>
        </is>
      </c>
      <c r="H4043" s="1" t="n">
        <v>7</v>
      </c>
      <c r="I4043" s="1" t="inlineStr">
        <is>
          <t>มี</t>
        </is>
      </c>
      <c r="J4043" s="13" t="n">
        <v>39</v>
      </c>
      <c r="K4043" s="1" t="inlineStr"/>
      <c r="L4043" s="13" t="n">
        <v>39</v>
      </c>
      <c r="M4043" s="1">
        <f>IF(L4043="","ไม่พบใน SG",IF(ABS(J4043-L4043)&lt;0.005,"ตรงกัน","ไม่ตรง"))</f>
        <v/>
      </c>
      <c r="N4043" s="14">
        <f>IF(L4043="","",ROUND(L4043*'สรุป'!$C$6,-1))</f>
        <v/>
      </c>
      <c r="O4043" s="15" t="n"/>
      <c r="P4043" s="15" t="n"/>
      <c r="Q4043" s="10" t="n"/>
      <c r="R4043" s="10" t="n"/>
      <c r="S4043" s="16" t="inlineStr">
        <is>
          <t>https://mstgolf.co.th/products/gf2020202504</t>
        </is>
      </c>
      <c r="T4043" s="1">
        <f>IF(B4043="ไม้กอล์ฟ",J4043,"")</f>
        <v/>
      </c>
    </row>
    <row r="4044">
      <c r="A4044" s="1" t="n">
        <v>3</v>
      </c>
      <c r="B4044" s="1" t="inlineStr">
        <is>
          <t>เสื้อผ้า</t>
        </is>
      </c>
      <c r="C4044" s="1" t="inlineStr">
        <is>
          <t>gf2020202525</t>
        </is>
      </c>
      <c r="D4044" s="1" t="inlineStr">
        <is>
          <t>ADIDAS Ultimate365 TWITSKNIT Sport Skort (White)</t>
        </is>
      </c>
      <c r="E4044" s="1" t="inlineStr">
        <is>
          <t>ADIDAS</t>
        </is>
      </c>
      <c r="F4044" s="1" t="inlineStr">
        <is>
          <t>SHORT PANTS</t>
        </is>
      </c>
      <c r="G4044" s="1" t="inlineStr">
        <is>
          <t>GF20202025252XS</t>
        </is>
      </c>
      <c r="H4044" s="1" t="n">
        <v>7</v>
      </c>
      <c r="I4044" s="1" t="inlineStr">
        <is>
          <t>มี</t>
        </is>
      </c>
      <c r="J4044" s="13" t="n">
        <v>39</v>
      </c>
      <c r="K4044" s="1" t="inlineStr"/>
      <c r="L4044" s="13" t="n">
        <v>39</v>
      </c>
      <c r="M4044" s="1">
        <f>IF(L4044="","ไม่พบใน SG",IF(ABS(J4044-L4044)&lt;0.005,"ตรงกัน","ไม่ตรง"))</f>
        <v/>
      </c>
      <c r="N4044" s="14">
        <f>IF(L4044="","",ROUND(L4044*'สรุป'!$C$6,-1))</f>
        <v/>
      </c>
      <c r="O4044" s="15" t="n"/>
      <c r="P4044" s="15" t="n"/>
      <c r="Q4044" s="10" t="n"/>
      <c r="R4044" s="10" t="n"/>
      <c r="S4044" s="16" t="inlineStr">
        <is>
          <t>https://mstgolf.co.th/products/gf2020202525</t>
        </is>
      </c>
      <c r="T4044" s="1">
        <f>IF(B4044="ไม้กอล์ฟ",J4044,"")</f>
        <v/>
      </c>
    </row>
    <row r="4045">
      <c r="A4045" s="1" t="n">
        <v>3</v>
      </c>
      <c r="B4045" s="1" t="inlineStr">
        <is>
          <t>เสื้อผ้า</t>
        </is>
      </c>
      <c r="C4045" s="1" t="inlineStr">
        <is>
          <t>gf2040401259</t>
        </is>
      </c>
      <c r="D4045" s="1" t="inlineStr">
        <is>
          <t>ADIDAS Ultimate365 Tour HEAT.RDY Women's Long Sleeve Mock (White)</t>
        </is>
      </c>
      <c r="E4045" s="1" t="inlineStr">
        <is>
          <t>ADIDAS</t>
        </is>
      </c>
      <c r="F4045" s="1" t="inlineStr">
        <is>
          <t>LONG SLEEVES</t>
        </is>
      </c>
      <c r="G4045" s="1" t="inlineStr">
        <is>
          <t>GF20404012592XS</t>
        </is>
      </c>
      <c r="H4045" s="1" t="n">
        <v>7</v>
      </c>
      <c r="I4045" s="1" t="inlineStr">
        <is>
          <t>มี</t>
        </is>
      </c>
      <c r="J4045" s="13" t="n">
        <v>39</v>
      </c>
      <c r="K4045" s="1" t="inlineStr"/>
      <c r="L4045" s="13" t="n">
        <v>39</v>
      </c>
      <c r="M4045" s="1">
        <f>IF(L4045="","ไม่พบใน SG",IF(ABS(J4045-L4045)&lt;0.005,"ตรงกัน","ไม่ตรง"))</f>
        <v/>
      </c>
      <c r="N4045" s="14">
        <f>IF(L4045="","",ROUND(L4045*'สรุป'!$C$6,-1))</f>
        <v/>
      </c>
      <c r="O4045" s="15" t="n"/>
      <c r="P4045" s="15" t="n"/>
      <c r="Q4045" s="10" t="n"/>
      <c r="R4045" s="10" t="n"/>
      <c r="S4045" s="16" t="inlineStr">
        <is>
          <t>https://mstgolf.co.th/products/gf2040401259</t>
        </is>
      </c>
      <c r="T4045" s="1">
        <f>IF(B4045="ไม้กอล์ฟ",J4045,"")</f>
        <v/>
      </c>
    </row>
    <row r="4046">
      <c r="A4046" s="1" t="n">
        <v>3</v>
      </c>
      <c r="B4046" s="1" t="inlineStr">
        <is>
          <t>เสื้อผ้า</t>
        </is>
      </c>
      <c r="C4046" s="1" t="inlineStr">
        <is>
          <t>gf2020202508</t>
        </is>
      </c>
      <c r="D4046" s="1" t="inlineStr">
        <is>
          <t>ADIDAS Ultimate365 Tour Pleated Skort (Green)</t>
        </is>
      </c>
      <c r="E4046" s="1" t="inlineStr">
        <is>
          <t>ADIDAS</t>
        </is>
      </c>
      <c r="F4046" s="1" t="inlineStr">
        <is>
          <t>SHORT PANTS</t>
        </is>
      </c>
      <c r="G4046" s="1" t="inlineStr">
        <is>
          <t>GF20202025082XS</t>
        </is>
      </c>
      <c r="H4046" s="1" t="n">
        <v>7</v>
      </c>
      <c r="I4046" s="1" t="inlineStr">
        <is>
          <t>มี</t>
        </is>
      </c>
      <c r="J4046" s="13" t="n">
        <v>39</v>
      </c>
      <c r="K4046" s="1" t="inlineStr"/>
      <c r="L4046" s="13" t="n">
        <v>39</v>
      </c>
      <c r="M4046" s="1">
        <f>IF(L4046="","ไม่พบใน SG",IF(ABS(J4046-L4046)&lt;0.005,"ตรงกัน","ไม่ตรง"))</f>
        <v/>
      </c>
      <c r="N4046" s="14">
        <f>IF(L4046="","",ROUND(L4046*'สรุป'!$C$6,-1))</f>
        <v/>
      </c>
      <c r="O4046" s="15" t="n"/>
      <c r="P4046" s="15" t="n"/>
      <c r="Q4046" s="10" t="n"/>
      <c r="R4046" s="10" t="n"/>
      <c r="S4046" s="16" t="inlineStr">
        <is>
          <t>https://mstgolf.co.th/products/gf2020202508</t>
        </is>
      </c>
      <c r="T4046" s="1">
        <f>IF(B4046="ไม้กอล์ฟ",J4046,"")</f>
        <v/>
      </c>
    </row>
    <row r="4047">
      <c r="A4047" s="1" t="n">
        <v>3</v>
      </c>
      <c r="B4047" s="1" t="inlineStr">
        <is>
          <t>เสื้อผ้า</t>
        </is>
      </c>
      <c r="C4047" s="1" t="inlineStr">
        <is>
          <t>gf2020202509</t>
        </is>
      </c>
      <c r="D4047" s="1" t="inlineStr">
        <is>
          <t>ADIDAS Ultimate365 Tour Pleated Skort (Red)</t>
        </is>
      </c>
      <c r="E4047" s="1" t="inlineStr">
        <is>
          <t>ADIDAS</t>
        </is>
      </c>
      <c r="F4047" s="1" t="inlineStr">
        <is>
          <t>SHORT PANTS</t>
        </is>
      </c>
      <c r="G4047" s="1" t="inlineStr">
        <is>
          <t>GF2020202509XS</t>
        </is>
      </c>
      <c r="H4047" s="1" t="n">
        <v>7</v>
      </c>
      <c r="I4047" s="1" t="inlineStr">
        <is>
          <t>มี</t>
        </is>
      </c>
      <c r="J4047" s="13" t="n">
        <v>39</v>
      </c>
      <c r="K4047" s="1" t="inlineStr"/>
      <c r="L4047" s="13" t="n">
        <v>39</v>
      </c>
      <c r="M4047" s="1">
        <f>IF(L4047="","ไม่พบใน SG",IF(ABS(J4047-L4047)&lt;0.005,"ตรงกัน","ไม่ตรง"))</f>
        <v/>
      </c>
      <c r="N4047" s="14">
        <f>IF(L4047="","",ROUND(L4047*'สรุป'!$C$6,-1))</f>
        <v/>
      </c>
      <c r="O4047" s="15" t="n"/>
      <c r="P4047" s="15" t="n"/>
      <c r="Q4047" s="10" t="n"/>
      <c r="R4047" s="10" t="n"/>
      <c r="S4047" s="16" t="inlineStr">
        <is>
          <t>https://mstgolf.co.th/products/gf2020202509</t>
        </is>
      </c>
      <c r="T4047" s="1">
        <f>IF(B4047="ไม้กอล์ฟ",J4047,"")</f>
        <v/>
      </c>
    </row>
    <row r="4048">
      <c r="A4048" s="1" t="n">
        <v>3</v>
      </c>
      <c r="B4048" s="1" t="inlineStr">
        <is>
          <t>เสื้อผ้า</t>
        </is>
      </c>
      <c r="C4048" s="1" t="inlineStr">
        <is>
          <t>gf2020202379</t>
        </is>
      </c>
      <c r="D4048" s="1" t="inlineStr">
        <is>
          <t>ADIDAS Ultimate365 Tour Skort (Fig)</t>
        </is>
      </c>
      <c r="E4048" s="1" t="inlineStr">
        <is>
          <t>ADIDAS</t>
        </is>
      </c>
      <c r="F4048" s="1" t="inlineStr">
        <is>
          <t>SHORT PANTS</t>
        </is>
      </c>
      <c r="G4048" s="1" t="inlineStr">
        <is>
          <t>GF2020202379XS</t>
        </is>
      </c>
      <c r="H4048" s="1" t="n">
        <v>6</v>
      </c>
      <c r="I4048" s="1" t="inlineStr">
        <is>
          <t>มี</t>
        </is>
      </c>
      <c r="J4048" s="13" t="n">
        <v>39</v>
      </c>
      <c r="K4048" s="1" t="inlineStr"/>
      <c r="L4048" s="13" t="n">
        <v>39</v>
      </c>
      <c r="M4048" s="1">
        <f>IF(L4048="","ไม่พบใน SG",IF(ABS(J4048-L4048)&lt;0.005,"ตรงกัน","ไม่ตรง"))</f>
        <v/>
      </c>
      <c r="N4048" s="14">
        <f>IF(L4048="","",ROUND(L4048*'สรุป'!$C$6,-1))</f>
        <v/>
      </c>
      <c r="O4048" s="15" t="n"/>
      <c r="P4048" s="15" t="n"/>
      <c r="Q4048" s="10" t="n"/>
      <c r="R4048" s="10" t="n"/>
      <c r="S4048" s="16" t="inlineStr">
        <is>
          <t>https://mstgolf.co.th/products/gf2020202379</t>
        </is>
      </c>
      <c r="T4048" s="1">
        <f>IF(B4048="ไม้กอล์ฟ",J4048,"")</f>
        <v/>
      </c>
    </row>
    <row r="4049">
      <c r="A4049" s="1" t="n">
        <v>3</v>
      </c>
      <c r="B4049" s="1" t="inlineStr">
        <is>
          <t>เสื้อผ้า</t>
        </is>
      </c>
      <c r="C4049" s="1" t="inlineStr">
        <is>
          <t>gf2040401069</t>
        </is>
      </c>
      <c r="D4049" s="1" t="inlineStr">
        <is>
          <t>ADIDAS Women's Long Sleeve Mock Shirt (White)</t>
        </is>
      </c>
      <c r="E4049" s="1" t="inlineStr">
        <is>
          <t>ADIDAS</t>
        </is>
      </c>
      <c r="F4049" s="1" t="inlineStr">
        <is>
          <t>LONG SLEEVES</t>
        </is>
      </c>
      <c r="G4049" s="1" t="inlineStr">
        <is>
          <t>GF20404010692XS</t>
        </is>
      </c>
      <c r="H4049" s="1" t="n">
        <v>7</v>
      </c>
      <c r="I4049" s="1" t="inlineStr">
        <is>
          <t>มี</t>
        </is>
      </c>
      <c r="J4049" s="13" t="n">
        <v>39</v>
      </c>
      <c r="K4049" s="1" t="inlineStr"/>
      <c r="L4049" s="13" t="n">
        <v>39</v>
      </c>
      <c r="M4049" s="1">
        <f>IF(L4049="","ไม่พบใน SG",IF(ABS(J4049-L4049)&lt;0.005,"ตรงกัน","ไม่ตรง"))</f>
        <v/>
      </c>
      <c r="N4049" s="14">
        <f>IF(L4049="","",ROUND(L4049*'สรุป'!$C$6,-1))</f>
        <v/>
      </c>
      <c r="O4049" s="15" t="n"/>
      <c r="P4049" s="15" t="n"/>
      <c r="Q4049" s="10" t="n"/>
      <c r="R4049" s="10" t="n"/>
      <c r="S4049" s="16" t="inlineStr">
        <is>
          <t>https://mstgolf.co.th/products/gf2040401069</t>
        </is>
      </c>
      <c r="T4049" s="1">
        <f>IF(B4049="ไม้กอล์ฟ",J4049,"")</f>
        <v/>
      </c>
    </row>
    <row r="4050">
      <c r="A4050" s="1" t="n">
        <v>3</v>
      </c>
      <c r="B4050" s="1" t="inlineStr">
        <is>
          <t>เสื้อผ้า</t>
        </is>
      </c>
      <c r="C4050" s="1" t="inlineStr">
        <is>
          <t>gf2020202211</t>
        </is>
      </c>
      <c r="D4050" s="1" t="inlineStr">
        <is>
          <t>ADIDAS Women's Skort (Wonder Clay)</t>
        </is>
      </c>
      <c r="E4050" s="1" t="inlineStr">
        <is>
          <t>ADIDAS</t>
        </is>
      </c>
      <c r="F4050" s="1" t="inlineStr">
        <is>
          <t>SHORT PANTS</t>
        </is>
      </c>
      <c r="G4050" s="1" t="inlineStr">
        <is>
          <t>GF2020202211XS</t>
        </is>
      </c>
      <c r="H4050" s="1" t="n">
        <v>6</v>
      </c>
      <c r="I4050" s="1" t="inlineStr">
        <is>
          <t>มี</t>
        </is>
      </c>
      <c r="J4050" s="13" t="n">
        <v>39</v>
      </c>
      <c r="K4050" s="1" t="inlineStr"/>
      <c r="L4050" s="13" t="n">
        <v>39</v>
      </c>
      <c r="M4050" s="1">
        <f>IF(L4050="","ไม่พบใน SG",IF(ABS(J4050-L4050)&lt;0.005,"ตรงกัน","ไม่ตรง"))</f>
        <v/>
      </c>
      <c r="N4050" s="14">
        <f>IF(L4050="","",ROUND(L4050*'สรุป'!$C$6,-1))</f>
        <v/>
      </c>
      <c r="O4050" s="15" t="n"/>
      <c r="P4050" s="15" t="n"/>
      <c r="Q4050" s="10" t="n"/>
      <c r="R4050" s="10" t="n"/>
      <c r="S4050" s="16" t="inlineStr">
        <is>
          <t>https://mstgolf.co.th/products/gf2020202211</t>
        </is>
      </c>
      <c r="T4050" s="1">
        <f>IF(B4050="ไม้กอล์ฟ",J4050,"")</f>
        <v/>
      </c>
    </row>
    <row r="4051">
      <c r="A4051" s="1" t="n">
        <v>3</v>
      </c>
      <c r="B4051" s="1" t="inlineStr">
        <is>
          <t>เสื้อผ้า</t>
        </is>
      </c>
      <c r="C4051" s="1" t="inlineStr">
        <is>
          <t>gf2040117668</t>
        </is>
      </c>
      <c r="D4051" s="1" t="inlineStr">
        <is>
          <t>ADIDAS Women's Sleeveless Mock Shirt (Green)</t>
        </is>
      </c>
      <c r="E4051" s="1" t="inlineStr">
        <is>
          <t>ADIDAS</t>
        </is>
      </c>
      <c r="F4051" s="1" t="inlineStr">
        <is>
          <t>SHORT SLEEVES</t>
        </is>
      </c>
      <c r="G4051" s="1" t="inlineStr">
        <is>
          <t>GF20401176682XS</t>
        </is>
      </c>
      <c r="H4051" s="1" t="n">
        <v>7</v>
      </c>
      <c r="I4051" s="1" t="inlineStr">
        <is>
          <t>มี</t>
        </is>
      </c>
      <c r="J4051" s="13" t="n">
        <v>39</v>
      </c>
      <c r="K4051" s="1" t="inlineStr"/>
      <c r="L4051" s="13" t="n">
        <v>39</v>
      </c>
      <c r="M4051" s="1">
        <f>IF(L4051="","ไม่พบใน SG",IF(ABS(J4051-L4051)&lt;0.005,"ตรงกัน","ไม่ตรง"))</f>
        <v/>
      </c>
      <c r="N4051" s="14">
        <f>IF(L4051="","",ROUND(L4051*'สรุป'!$C$6,-1))</f>
        <v/>
      </c>
      <c r="O4051" s="15" t="n"/>
      <c r="P4051" s="15" t="n"/>
      <c r="Q4051" s="10" t="n"/>
      <c r="R4051" s="10" t="n"/>
      <c r="S4051" s="16" t="inlineStr">
        <is>
          <t>https://mstgolf.co.th/products/gf2040117668</t>
        </is>
      </c>
      <c r="T4051" s="1">
        <f>IF(B4051="ไม้กอล์ฟ",J4051,"")</f>
        <v/>
      </c>
    </row>
    <row r="4052">
      <c r="A4052" s="1" t="n">
        <v>3</v>
      </c>
      <c r="B4052" s="1" t="inlineStr">
        <is>
          <t>เสื้อผ้า</t>
        </is>
      </c>
      <c r="C4052" s="1" t="inlineStr">
        <is>
          <t>gf2040117532</t>
        </is>
      </c>
      <c r="D4052" s="1" t="inlineStr">
        <is>
          <t>CALVIN KLEIN Brightmeadow Women's Polo (Berry Pink)</t>
        </is>
      </c>
      <c r="E4052" s="1" t="inlineStr">
        <is>
          <t>CALVIN KLEIN</t>
        </is>
      </c>
      <c r="F4052" s="1" t="inlineStr">
        <is>
          <t>SHORT SLEEVES</t>
        </is>
      </c>
      <c r="G4052" s="1" t="inlineStr">
        <is>
          <t>GF2040117532XS</t>
        </is>
      </c>
      <c r="H4052" s="1" t="n">
        <v>6</v>
      </c>
      <c r="I4052" s="1" t="inlineStr">
        <is>
          <t>มี</t>
        </is>
      </c>
      <c r="J4052" s="13" t="n">
        <v>39</v>
      </c>
      <c r="K4052" s="1" t="inlineStr"/>
      <c r="L4052" s="13" t="n">
        <v>29</v>
      </c>
      <c r="M4052" s="1">
        <f>IF(L4052="","ไม่พบใน SG",IF(ABS(J4052-L4052)&lt;0.005,"ตรงกัน","ไม่ตรง"))</f>
        <v/>
      </c>
      <c r="N4052" s="14">
        <f>IF(L4052="","",ROUND(L4052*'สรุป'!$C$6,-1))</f>
        <v/>
      </c>
      <c r="O4052" s="15" t="n"/>
      <c r="P4052" s="15" t="n"/>
      <c r="Q4052" s="10" t="n"/>
      <c r="R4052" s="10" t="n"/>
      <c r="S4052" s="16" t="inlineStr">
        <is>
          <t>https://mstgolf.co.th/products/gf2040117532</t>
        </is>
      </c>
      <c r="T4052" s="1">
        <f>IF(B4052="ไม้กอล์ฟ",J4052,"")</f>
        <v/>
      </c>
    </row>
    <row r="4053">
      <c r="A4053" s="1" t="n">
        <v>3</v>
      </c>
      <c r="B4053" s="1" t="inlineStr">
        <is>
          <t>เสื้อผ้า</t>
        </is>
      </c>
      <c r="C4053" s="1" t="inlineStr">
        <is>
          <t>gf2040117533</t>
        </is>
      </c>
      <c r="D4053" s="1" t="inlineStr">
        <is>
          <t>CALVIN KLEIN Brightmeadow Women's Polo (Peach Cobbler)</t>
        </is>
      </c>
      <c r="E4053" s="1" t="inlineStr">
        <is>
          <t>CALVIN KLEIN</t>
        </is>
      </c>
      <c r="F4053" s="1" t="inlineStr">
        <is>
          <t>SHORT SLEEVES</t>
        </is>
      </c>
      <c r="G4053" s="1" t="inlineStr">
        <is>
          <t>GF2040117533XS</t>
        </is>
      </c>
      <c r="H4053" s="1" t="n">
        <v>5</v>
      </c>
      <c r="I4053" s="1" t="inlineStr">
        <is>
          <t>มี</t>
        </is>
      </c>
      <c r="J4053" s="13" t="n">
        <v>39</v>
      </c>
      <c r="K4053" s="1" t="inlineStr"/>
      <c r="L4053" s="13" t="n">
        <v>29</v>
      </c>
      <c r="M4053" s="1">
        <f>IF(L4053="","ไม่พบใน SG",IF(ABS(J4053-L4053)&lt;0.005,"ตรงกัน","ไม่ตรง"))</f>
        <v/>
      </c>
      <c r="N4053" s="14">
        <f>IF(L4053="","",ROUND(L4053*'สรุป'!$C$6,-1))</f>
        <v/>
      </c>
      <c r="O4053" s="15" t="n"/>
      <c r="P4053" s="15" t="n"/>
      <c r="Q4053" s="10" t="n"/>
      <c r="R4053" s="10" t="n"/>
      <c r="S4053" s="16" t="inlineStr">
        <is>
          <t>https://mstgolf.co.th/products/gf2040117533</t>
        </is>
      </c>
      <c r="T4053" s="1">
        <f>IF(B4053="ไม้กอล์ฟ",J4053,"")</f>
        <v/>
      </c>
    </row>
    <row r="4054">
      <c r="A4054" s="1" t="n">
        <v>3</v>
      </c>
      <c r="B4054" s="1" t="inlineStr">
        <is>
          <t>หมวก</t>
        </is>
      </c>
      <c r="C4054" s="1" t="inlineStr">
        <is>
          <t>gf2000106180</t>
        </is>
      </c>
      <c r="D4054" s="1" t="inlineStr">
        <is>
          <t>CALVIN KLEIN Brookline Baseball Men's Cap (Navy)</t>
        </is>
      </c>
      <c r="E4054" s="1" t="inlineStr">
        <is>
          <t>CALVIN KLEIN</t>
        </is>
      </c>
      <c r="F4054" s="1" t="inlineStr">
        <is>
          <t>CAP</t>
        </is>
      </c>
      <c r="G4054" s="1" t="inlineStr">
        <is>
          <t>GF2000106180FS</t>
        </is>
      </c>
      <c r="H4054" s="1" t="n">
        <v>1</v>
      </c>
      <c r="I4054" s="1" t="inlineStr">
        <is>
          <t>มี</t>
        </is>
      </c>
      <c r="J4054" s="13" t="n">
        <v>39</v>
      </c>
      <c r="K4054" s="1" t="inlineStr"/>
      <c r="L4054" s="13" t="n">
        <v>39</v>
      </c>
      <c r="M4054" s="1">
        <f>IF(L4054="","ไม่พบใน SG",IF(ABS(J4054-L4054)&lt;0.005,"ตรงกัน","ไม่ตรง"))</f>
        <v/>
      </c>
      <c r="N4054" s="14">
        <f>IF(L4054="","",ROUND(L4054*'สรุป'!$C$6,-1))</f>
        <v/>
      </c>
      <c r="O4054" s="15" t="n"/>
      <c r="P4054" s="15" t="n"/>
      <c r="Q4054" s="10" t="n"/>
      <c r="R4054" s="10" t="n"/>
      <c r="S4054" s="16" t="inlineStr">
        <is>
          <t>https://mstgolf.co.th/products/gf2000106180</t>
        </is>
      </c>
      <c r="T4054" s="1">
        <f>IF(B4054="ไม้กอล์ฟ",J4054,"")</f>
        <v/>
      </c>
    </row>
    <row r="4055">
      <c r="A4055" s="1" t="n">
        <v>3</v>
      </c>
      <c r="B4055" s="1" t="inlineStr">
        <is>
          <t>หมวก</t>
        </is>
      </c>
      <c r="C4055" s="1" t="inlineStr">
        <is>
          <t>gf2000106181</t>
        </is>
      </c>
      <c r="D4055" s="1" t="inlineStr">
        <is>
          <t>CALVIN KLEIN Brookline Baseball Men's Cap (White)</t>
        </is>
      </c>
      <c r="E4055" s="1" t="inlineStr">
        <is>
          <t>CALVIN KLEIN</t>
        </is>
      </c>
      <c r="F4055" s="1" t="inlineStr">
        <is>
          <t>CAP</t>
        </is>
      </c>
      <c r="G4055" s="1" t="inlineStr">
        <is>
          <t>GF2000106181FS</t>
        </is>
      </c>
      <c r="H4055" s="1" t="n">
        <v>1</v>
      </c>
      <c r="I4055" s="1" t="inlineStr">
        <is>
          <t>มี</t>
        </is>
      </c>
      <c r="J4055" s="13" t="n">
        <v>39</v>
      </c>
      <c r="K4055" s="1" t="inlineStr"/>
      <c r="L4055" s="13" t="n">
        <v>39</v>
      </c>
      <c r="M4055" s="1">
        <f>IF(L4055="","ไม่พบใน SG",IF(ABS(J4055-L4055)&lt;0.005,"ตรงกัน","ไม่ตรง"))</f>
        <v/>
      </c>
      <c r="N4055" s="14">
        <f>IF(L4055="","",ROUND(L4055*'สรุป'!$C$6,-1))</f>
        <v/>
      </c>
      <c r="O4055" s="15" t="n"/>
      <c r="P4055" s="15" t="n"/>
      <c r="Q4055" s="10" t="n"/>
      <c r="R4055" s="10" t="n"/>
      <c r="S4055" s="16" t="inlineStr">
        <is>
          <t>https://mstgolf.co.th/products/gf2000106181</t>
        </is>
      </c>
      <c r="T4055" s="1">
        <f>IF(B4055="ไม้กอล์ฟ",J4055,"")</f>
        <v/>
      </c>
    </row>
    <row r="4056">
      <c r="A4056" s="1" t="n">
        <v>3</v>
      </c>
      <c r="B4056" s="1" t="inlineStr">
        <is>
          <t>เสื้อผ้า</t>
        </is>
      </c>
      <c r="C4056" s="1" t="inlineStr">
        <is>
          <t>gf2040117535</t>
        </is>
      </c>
      <c r="D4056" s="1" t="inlineStr">
        <is>
          <t>CALVIN KLEIN Delaware Women's Polo (Peach Cobbler)</t>
        </is>
      </c>
      <c r="E4056" s="1" t="inlineStr">
        <is>
          <t>CALVIN KLEIN</t>
        </is>
      </c>
      <c r="F4056" s="1" t="inlineStr">
        <is>
          <t>SHORT SLEEVES</t>
        </is>
      </c>
      <c r="G4056" s="1" t="inlineStr">
        <is>
          <t>GF20401175358</t>
        </is>
      </c>
      <c r="H4056" s="1" t="n">
        <v>5</v>
      </c>
      <c r="I4056" s="1" t="inlineStr">
        <is>
          <t>มี</t>
        </is>
      </c>
      <c r="J4056" s="13" t="n">
        <v>39</v>
      </c>
      <c r="K4056" s="1" t="inlineStr"/>
      <c r="L4056" s="13" t="n">
        <v>29</v>
      </c>
      <c r="M4056" s="1">
        <f>IF(L4056="","ไม่พบใน SG",IF(ABS(J4056-L4056)&lt;0.005,"ตรงกัน","ไม่ตรง"))</f>
        <v/>
      </c>
      <c r="N4056" s="14">
        <f>IF(L4056="","",ROUND(L4056*'สรุป'!$C$6,-1))</f>
        <v/>
      </c>
      <c r="O4056" s="15" t="n"/>
      <c r="P4056" s="15" t="n"/>
      <c r="Q4056" s="10" t="n"/>
      <c r="R4056" s="10" t="n"/>
      <c r="S4056" s="16" t="inlineStr">
        <is>
          <t>https://mstgolf.co.th/products/gf2040117535</t>
        </is>
      </c>
      <c r="T4056" s="1">
        <f>IF(B4056="ไม้กอล์ฟ",J4056,"")</f>
        <v/>
      </c>
    </row>
    <row r="4057">
      <c r="A4057" s="1" t="n">
        <v>3</v>
      </c>
      <c r="B4057" s="1" t="inlineStr">
        <is>
          <t>หมวก</t>
        </is>
      </c>
      <c r="C4057" s="1" t="inlineStr">
        <is>
          <t>gf2000200962</t>
        </is>
      </c>
      <c r="D4057" s="1" t="inlineStr">
        <is>
          <t>CALVIN KLEIN Harsha Women's Visor (Navy)</t>
        </is>
      </c>
      <c r="E4057" s="1" t="inlineStr">
        <is>
          <t>CALVIN KLEIN</t>
        </is>
      </c>
      <c r="F4057" s="1" t="inlineStr">
        <is>
          <t>VISOR</t>
        </is>
      </c>
      <c r="G4057" s="1" t="inlineStr">
        <is>
          <t>GF2000200962FS</t>
        </is>
      </c>
      <c r="H4057" s="1" t="n">
        <v>1</v>
      </c>
      <c r="I4057" s="1" t="inlineStr">
        <is>
          <t>มี</t>
        </is>
      </c>
      <c r="J4057" s="13" t="n">
        <v>39</v>
      </c>
      <c r="K4057" s="1" t="inlineStr"/>
      <c r="L4057" s="13" t="n">
        <v>39</v>
      </c>
      <c r="M4057" s="1">
        <f>IF(L4057="","ไม่พบใน SG",IF(ABS(J4057-L4057)&lt;0.005,"ตรงกัน","ไม่ตรง"))</f>
        <v/>
      </c>
      <c r="N4057" s="14">
        <f>IF(L4057="","",ROUND(L4057*'สรุป'!$C$6,-1))</f>
        <v/>
      </c>
      <c r="O4057" s="15" t="n"/>
      <c r="P4057" s="15" t="n"/>
      <c r="Q4057" s="10" t="n"/>
      <c r="R4057" s="10" t="n"/>
      <c r="S4057" s="16" t="inlineStr">
        <is>
          <t>https://mstgolf.co.th/products/gf2000200962</t>
        </is>
      </c>
      <c r="T4057" s="1">
        <f>IF(B4057="ไม้กอล์ฟ",J4057,"")</f>
        <v/>
      </c>
    </row>
    <row r="4058">
      <c r="A4058" s="1" t="n">
        <v>3</v>
      </c>
      <c r="B4058" s="1" t="inlineStr">
        <is>
          <t>เสื้อผ้า</t>
        </is>
      </c>
      <c r="C4058" s="1" t="inlineStr">
        <is>
          <t>gf2040115407</t>
        </is>
      </c>
      <c r="D4058" s="1" t="inlineStr">
        <is>
          <t>CALVIN KLEIN Performance Cotton Pique Women's Polo (Heritage Blue)</t>
        </is>
      </c>
      <c r="E4058" s="1" t="inlineStr">
        <is>
          <t>CALVIN KLEIN</t>
        </is>
      </c>
      <c r="F4058" s="1" t="inlineStr">
        <is>
          <t>SHORT SLEEVES</t>
        </is>
      </c>
      <c r="G4058" s="1" t="inlineStr">
        <is>
          <t>GF2040115407XS</t>
        </is>
      </c>
      <c r="H4058" s="1" t="n">
        <v>4</v>
      </c>
      <c r="I4058" s="1" t="inlineStr">
        <is>
          <t>มี</t>
        </is>
      </c>
      <c r="J4058" s="13" t="n">
        <v>39</v>
      </c>
      <c r="K4058" s="1" t="inlineStr"/>
      <c r="L4058" s="13" t="n">
        <v>39</v>
      </c>
      <c r="M4058" s="1">
        <f>IF(L4058="","ไม่พบใน SG",IF(ABS(J4058-L4058)&lt;0.005,"ตรงกัน","ไม่ตรง"))</f>
        <v/>
      </c>
      <c r="N4058" s="14">
        <f>IF(L4058="","",ROUND(L4058*'สรุป'!$C$6,-1))</f>
        <v/>
      </c>
      <c r="O4058" s="15" t="n"/>
      <c r="P4058" s="15" t="n"/>
      <c r="Q4058" s="10" t="n"/>
      <c r="R4058" s="10" t="n"/>
      <c r="S4058" s="16" t="inlineStr">
        <is>
          <t>https://mstgolf.co.th/products/gf2040115407</t>
        </is>
      </c>
      <c r="T4058" s="1">
        <f>IF(B4058="ไม้กอล์ฟ",J4058,"")</f>
        <v/>
      </c>
    </row>
    <row r="4059">
      <c r="A4059" s="1" t="n">
        <v>3</v>
      </c>
      <c r="B4059" s="1" t="inlineStr">
        <is>
          <t>เสื้อผ้า</t>
        </is>
      </c>
      <c r="C4059" s="1" t="inlineStr">
        <is>
          <t>gf2040118658</t>
        </is>
      </c>
      <c r="D4059" s="1" t="inlineStr">
        <is>
          <t>CALVIN KLEIN Slate Printed Women's Polo (Coral Almond)</t>
        </is>
      </c>
      <c r="E4059" s="1" t="inlineStr">
        <is>
          <t>CALVIN KLEIN</t>
        </is>
      </c>
      <c r="F4059" s="1" t="inlineStr">
        <is>
          <t>SHORT SLEEVES</t>
        </is>
      </c>
      <c r="G4059" s="1" t="inlineStr">
        <is>
          <t>GF20401186588</t>
        </is>
      </c>
      <c r="H4059" s="1" t="n">
        <v>6</v>
      </c>
      <c r="I4059" s="1" t="inlineStr">
        <is>
          <t>มี</t>
        </is>
      </c>
      <c r="J4059" s="13" t="n">
        <v>39</v>
      </c>
      <c r="K4059" s="1" t="inlineStr"/>
      <c r="L4059" s="13" t="n">
        <v>39</v>
      </c>
      <c r="M4059" s="1">
        <f>IF(L4059="","ไม่พบใน SG",IF(ABS(J4059-L4059)&lt;0.005,"ตรงกัน","ไม่ตรง"))</f>
        <v/>
      </c>
      <c r="N4059" s="14">
        <f>IF(L4059="","",ROUND(L4059*'สรุป'!$C$6,-1))</f>
        <v/>
      </c>
      <c r="O4059" s="15" t="n"/>
      <c r="P4059" s="15" t="n"/>
      <c r="Q4059" s="10" t="n"/>
      <c r="R4059" s="10" t="n"/>
      <c r="S4059" s="16" t="inlineStr">
        <is>
          <t>https://mstgolf.co.th/products/gf2040118658</t>
        </is>
      </c>
      <c r="T4059" s="1">
        <f>IF(B4059="ไม้กอล์ฟ",J4059,"")</f>
        <v/>
      </c>
    </row>
    <row r="4060">
      <c r="A4060" s="1" t="n">
        <v>3</v>
      </c>
      <c r="B4060" s="1" t="inlineStr">
        <is>
          <t>เสื้อผ้า</t>
        </is>
      </c>
      <c r="C4060" s="1" t="inlineStr">
        <is>
          <t>gf2060100945</t>
        </is>
      </c>
      <c r="D4060" s="1" t="inlineStr">
        <is>
          <t>CUTTER &amp; BUCK Adapt Eco Knit Hybrid Men's Jacket (White)</t>
        </is>
      </c>
      <c r="E4060" s="1" t="inlineStr">
        <is>
          <t>CUTTER &amp; BUCK</t>
        </is>
      </c>
      <c r="F4060" s="1" t="inlineStr">
        <is>
          <t>TOP</t>
        </is>
      </c>
      <c r="G4060" s="1" t="inlineStr">
        <is>
          <t>GF2060100945XS</t>
        </is>
      </c>
      <c r="H4060" s="1" t="n">
        <v>6</v>
      </c>
      <c r="I4060" s="1" t="inlineStr">
        <is>
          <t>มี</t>
        </is>
      </c>
      <c r="J4060" s="13" t="n">
        <v>39</v>
      </c>
      <c r="K4060" s="1" t="inlineStr"/>
      <c r="L4060" s="13" t="n"/>
      <c r="M4060" s="1">
        <f>IF(L4060="","ไม่พบใน SG",IF(ABS(J4060-L4060)&lt;0.005,"ตรงกัน","ไม่ตรง"))</f>
        <v/>
      </c>
      <c r="N4060" s="14">
        <f>IF(L4060="","",ROUND(L4060*'สรุป'!$C$6,-1))</f>
        <v/>
      </c>
      <c r="O4060" s="15" t="n"/>
      <c r="P4060" s="15" t="n"/>
      <c r="Q4060" s="10" t="n"/>
      <c r="R4060" s="10" t="n"/>
      <c r="S4060" s="16" t="inlineStr">
        <is>
          <t>https://mstgolf.co.th/products/gf2060100945</t>
        </is>
      </c>
      <c r="T4060" s="1">
        <f>IF(B4060="ไม้กอล์ฟ",J4060,"")</f>
        <v/>
      </c>
    </row>
    <row r="4061">
      <c r="A4061" s="1" t="n">
        <v>3</v>
      </c>
      <c r="B4061" s="1" t="inlineStr">
        <is>
          <t>เสื้อผ้า</t>
        </is>
      </c>
      <c r="C4061" s="1" t="inlineStr">
        <is>
          <t>gf2041200144</t>
        </is>
      </c>
      <c r="D4061" s="1" t="inlineStr">
        <is>
          <t>CUTTER &amp; BUCK Anchor Gingham Men's Longsleeve Shirt (Hunter)</t>
        </is>
      </c>
      <c r="E4061" s="1" t="inlineStr">
        <is>
          <t>CUTTER &amp; BUCK</t>
        </is>
      </c>
      <c r="F4061" s="1" t="inlineStr">
        <is>
          <t>WOVEN</t>
        </is>
      </c>
      <c r="G4061" s="1" t="inlineStr">
        <is>
          <t>GF2041200144S</t>
        </is>
      </c>
      <c r="H4061" s="1" t="n">
        <v>4</v>
      </c>
      <c r="I4061" s="1" t="inlineStr">
        <is>
          <t>มี</t>
        </is>
      </c>
      <c r="J4061" s="13" t="n">
        <v>39</v>
      </c>
      <c r="K4061" s="1" t="inlineStr"/>
      <c r="L4061" s="13" t="n">
        <v>39</v>
      </c>
      <c r="M4061" s="1">
        <f>IF(L4061="","ไม่พบใน SG",IF(ABS(J4061-L4061)&lt;0.005,"ตรงกัน","ไม่ตรง"))</f>
        <v/>
      </c>
      <c r="N4061" s="14">
        <f>IF(L4061="","",ROUND(L4061*'สรุป'!$C$6,-1))</f>
        <v/>
      </c>
      <c r="O4061" s="15" t="n"/>
      <c r="P4061" s="15" t="n"/>
      <c r="Q4061" s="10" t="n"/>
      <c r="R4061" s="10" t="n"/>
      <c r="S4061" s="16" t="inlineStr">
        <is>
          <t>https://mstgolf.co.th/products/gf2041200144</t>
        </is>
      </c>
      <c r="T4061" s="1">
        <f>IF(B4061="ไม้กอล์ฟ",J4061,"")</f>
        <v/>
      </c>
    </row>
    <row r="4062">
      <c r="A4062" s="1" t="n">
        <v>3</v>
      </c>
      <c r="B4062" s="1" t="inlineStr">
        <is>
          <t>เสื้อผ้า</t>
        </is>
      </c>
      <c r="C4062" s="1" t="inlineStr">
        <is>
          <t>gf2041200146</t>
        </is>
      </c>
      <c r="D4062" s="1" t="inlineStr">
        <is>
          <t>CUTTER &amp; BUCK Anchor Oxford Tossed Print Men's Longsleeve Shirt (Black)</t>
        </is>
      </c>
      <c r="E4062" s="1" t="inlineStr">
        <is>
          <t>CUTTER &amp; BUCK</t>
        </is>
      </c>
      <c r="F4062" s="1" t="inlineStr">
        <is>
          <t>WOVEN</t>
        </is>
      </c>
      <c r="G4062" s="1" t="inlineStr">
        <is>
          <t>GF2041200146S</t>
        </is>
      </c>
      <c r="H4062" s="1" t="n">
        <v>4</v>
      </c>
      <c r="I4062" s="1" t="inlineStr">
        <is>
          <t>มี</t>
        </is>
      </c>
      <c r="J4062" s="13" t="n">
        <v>39</v>
      </c>
      <c r="K4062" s="1" t="inlineStr"/>
      <c r="L4062" s="13" t="n">
        <v>39</v>
      </c>
      <c r="M4062" s="1">
        <f>IF(L4062="","ไม่พบใน SG",IF(ABS(J4062-L4062)&lt;0.005,"ตรงกัน","ไม่ตรง"))</f>
        <v/>
      </c>
      <c r="N4062" s="14">
        <f>IF(L4062="","",ROUND(L4062*'สรุป'!$C$6,-1))</f>
        <v/>
      </c>
      <c r="O4062" s="15" t="n"/>
      <c r="P4062" s="15" t="n"/>
      <c r="Q4062" s="10" t="n"/>
      <c r="R4062" s="10" t="n"/>
      <c r="S4062" s="16" t="inlineStr">
        <is>
          <t>https://mstgolf.co.th/products/gf2041200146</t>
        </is>
      </c>
      <c r="T4062" s="1">
        <f>IF(B4062="ไม้กอล์ฟ",J4062,"")</f>
        <v/>
      </c>
    </row>
    <row r="4063">
      <c r="A4063" s="1" t="n">
        <v>3</v>
      </c>
      <c r="B4063" s="1" t="inlineStr">
        <is>
          <t>เสื้อผ้า</t>
        </is>
      </c>
      <c r="C4063" s="1" t="inlineStr">
        <is>
          <t>gf2041200302</t>
        </is>
      </c>
      <c r="D4063" s="1" t="inlineStr">
        <is>
          <t>CUTTER &amp; BUCK Gingham Men's Long Sleeve Shirt (Tour Blue)</t>
        </is>
      </c>
      <c r="E4063" s="1" t="inlineStr">
        <is>
          <t>CUTTER &amp; BUCK</t>
        </is>
      </c>
      <c r="F4063" s="1" t="inlineStr">
        <is>
          <t>WOVEN</t>
        </is>
      </c>
      <c r="G4063" s="1" t="inlineStr">
        <is>
          <t>GF2041200302S</t>
        </is>
      </c>
      <c r="H4063" s="1" t="n">
        <v>4</v>
      </c>
      <c r="I4063" s="1" t="inlineStr">
        <is>
          <t>มี</t>
        </is>
      </c>
      <c r="J4063" s="13" t="n">
        <v>39</v>
      </c>
      <c r="K4063" s="1" t="inlineStr"/>
      <c r="L4063" s="13" t="n">
        <v>39</v>
      </c>
      <c r="M4063" s="1">
        <f>IF(L4063="","ไม่พบใน SG",IF(ABS(J4063-L4063)&lt;0.005,"ตรงกัน","ไม่ตรง"))</f>
        <v/>
      </c>
      <c r="N4063" s="14">
        <f>IF(L4063="","",ROUND(L4063*'สรุป'!$C$6,-1))</f>
        <v/>
      </c>
      <c r="O4063" s="15" t="n"/>
      <c r="P4063" s="15" t="n"/>
      <c r="Q4063" s="10" t="n"/>
      <c r="R4063" s="10" t="n"/>
      <c r="S4063" s="16" t="inlineStr">
        <is>
          <t>https://mstgolf.co.th/products/gf2041200302</t>
        </is>
      </c>
      <c r="T4063" s="1">
        <f>IF(B4063="ไม้กอล์ฟ",J4063,"")</f>
        <v/>
      </c>
    </row>
    <row r="4064">
      <c r="A4064" s="1" t="n">
        <v>3</v>
      </c>
      <c r="B4064" s="1" t="inlineStr">
        <is>
          <t>เสื้อผ้า</t>
        </is>
      </c>
      <c r="C4064" s="1" t="inlineStr">
        <is>
          <t>gf2041200301</t>
        </is>
      </c>
      <c r="D4064" s="1" t="inlineStr">
        <is>
          <t>CUTTER &amp; BUCK Oxford Men's Shirt (French Blue)</t>
        </is>
      </c>
      <c r="E4064" s="1" t="inlineStr">
        <is>
          <t>CUTTER &amp; BUCK</t>
        </is>
      </c>
      <c r="F4064" s="1" t="inlineStr">
        <is>
          <t>WOVEN</t>
        </is>
      </c>
      <c r="G4064" s="1" t="inlineStr">
        <is>
          <t>GF2041200301S</t>
        </is>
      </c>
      <c r="H4064" s="1" t="n">
        <v>5</v>
      </c>
      <c r="I4064" s="1" t="inlineStr">
        <is>
          <t>มี</t>
        </is>
      </c>
      <c r="J4064" s="13" t="n">
        <v>39</v>
      </c>
      <c r="K4064" s="1" t="inlineStr"/>
      <c r="L4064" s="13" t="n">
        <v>39</v>
      </c>
      <c r="M4064" s="1">
        <f>IF(L4064="","ไม่พบใน SG",IF(ABS(J4064-L4064)&lt;0.005,"ตรงกัน","ไม่ตรง"))</f>
        <v/>
      </c>
      <c r="N4064" s="14">
        <f>IF(L4064="","",ROUND(L4064*'สรุป'!$C$6,-1))</f>
        <v/>
      </c>
      <c r="O4064" s="15" t="n"/>
      <c r="P4064" s="15" t="n"/>
      <c r="Q4064" s="10" t="n"/>
      <c r="R4064" s="10" t="n"/>
      <c r="S4064" s="16" t="inlineStr">
        <is>
          <t>https://mstgolf.co.th/products/gf2041200301</t>
        </is>
      </c>
      <c r="T4064" s="1">
        <f>IF(B4064="ไม้กอล์ฟ",J4064,"")</f>
        <v/>
      </c>
    </row>
    <row r="4065">
      <c r="A4065" s="1" t="n">
        <v>3</v>
      </c>
      <c r="B4065" s="1" t="inlineStr">
        <is>
          <t>เสื้อผ้า</t>
        </is>
      </c>
      <c r="C4065" s="1" t="inlineStr">
        <is>
          <t>gf2040118224</t>
        </is>
      </c>
      <c r="D4065" s="1" t="inlineStr">
        <is>
          <t>CUTTER &amp; BUCK Pike Eco Flora Print Men's Polo (College Orange)</t>
        </is>
      </c>
      <c r="E4065" s="1" t="inlineStr">
        <is>
          <t>CUTTER &amp; BUCK</t>
        </is>
      </c>
      <c r="F4065" s="1" t="inlineStr">
        <is>
          <t>SHORT SLEEVES</t>
        </is>
      </c>
      <c r="G4065" s="1" t="inlineStr">
        <is>
          <t>GF2040118224XS</t>
        </is>
      </c>
      <c r="H4065" s="1" t="n">
        <v>8</v>
      </c>
      <c r="I4065" s="1" t="inlineStr">
        <is>
          <t>มี</t>
        </is>
      </c>
      <c r="J4065" s="13" t="n">
        <v>39</v>
      </c>
      <c r="K4065" s="1" t="inlineStr"/>
      <c r="L4065" s="13" t="n">
        <v>39</v>
      </c>
      <c r="M4065" s="1">
        <f>IF(L4065="","ไม่พบใน SG",IF(ABS(J4065-L4065)&lt;0.005,"ตรงกัน","ไม่ตรง"))</f>
        <v/>
      </c>
      <c r="N4065" s="14">
        <f>IF(L4065="","",ROUND(L4065*'สรุป'!$C$6,-1))</f>
        <v/>
      </c>
      <c r="O4065" s="15" t="n"/>
      <c r="P4065" s="15" t="n"/>
      <c r="Q4065" s="10" t="n"/>
      <c r="R4065" s="10" t="n"/>
      <c r="S4065" s="16" t="inlineStr">
        <is>
          <t>https://mstgolf.co.th/products/gf2040118224</t>
        </is>
      </c>
      <c r="T4065" s="1">
        <f>IF(B4065="ไม้กอล์ฟ",J4065,"")</f>
        <v/>
      </c>
    </row>
    <row r="4066">
      <c r="A4066" s="1" t="n">
        <v>3</v>
      </c>
      <c r="B4066" s="1" t="inlineStr">
        <is>
          <t>เสื้อผ้า</t>
        </is>
      </c>
      <c r="C4066" s="1" t="inlineStr">
        <is>
          <t>gf2040118223</t>
        </is>
      </c>
      <c r="D4066" s="1" t="inlineStr">
        <is>
          <t>CUTTER &amp; BUCK Pike Eco Flora Print Men’s Polo (Atlas)</t>
        </is>
      </c>
      <c r="E4066" s="1" t="inlineStr">
        <is>
          <t>CUTTER &amp; BUCK</t>
        </is>
      </c>
      <c r="F4066" s="1" t="inlineStr">
        <is>
          <t>SHORT SLEEVES</t>
        </is>
      </c>
      <c r="G4066" s="1" t="inlineStr">
        <is>
          <t>GF2040118223XS</t>
        </is>
      </c>
      <c r="H4066" s="1" t="n">
        <v>7</v>
      </c>
      <c r="I4066" s="1" t="inlineStr">
        <is>
          <t>มี</t>
        </is>
      </c>
      <c r="J4066" s="13" t="n">
        <v>39</v>
      </c>
      <c r="K4066" s="1" t="inlineStr"/>
      <c r="L4066" s="13" t="n">
        <v>39</v>
      </c>
      <c r="M4066" s="1">
        <f>IF(L4066="","ไม่พบใน SG",IF(ABS(J4066-L4066)&lt;0.005,"ตรงกัน","ไม่ตรง"))</f>
        <v/>
      </c>
      <c r="N4066" s="14">
        <f>IF(L4066="","",ROUND(L4066*'สรุป'!$C$6,-1))</f>
        <v/>
      </c>
      <c r="O4066" s="15" t="n"/>
      <c r="P4066" s="15" t="n"/>
      <c r="Q4066" s="10" t="n"/>
      <c r="R4066" s="10" t="n"/>
      <c r="S4066" s="16" t="inlineStr">
        <is>
          <t>https://mstgolf.co.th/products/gf2040118223</t>
        </is>
      </c>
      <c r="T4066" s="1">
        <f>IF(B4066="ไม้กอล์ฟ",J4066,"")</f>
        <v/>
      </c>
    </row>
    <row r="4067">
      <c r="A4067" s="1" t="n">
        <v>3</v>
      </c>
      <c r="B4067" s="1" t="inlineStr">
        <is>
          <t>เสื้อผ้า</t>
        </is>
      </c>
      <c r="C4067" s="1" t="inlineStr">
        <is>
          <t>gf2040118222</t>
        </is>
      </c>
      <c r="D4067" s="1" t="inlineStr">
        <is>
          <t>CUTTER &amp; BUCK Pike Eco Shadow Check Print Men’s Polo (Navy)</t>
        </is>
      </c>
      <c r="E4067" s="1" t="inlineStr">
        <is>
          <t>CUTTER &amp; BUCK</t>
        </is>
      </c>
      <c r="F4067" s="1" t="inlineStr">
        <is>
          <t>SHORT SLEEVES</t>
        </is>
      </c>
      <c r="G4067" s="1" t="inlineStr">
        <is>
          <t>GF2040118222XS</t>
        </is>
      </c>
      <c r="H4067" s="1" t="n">
        <v>6</v>
      </c>
      <c r="I4067" s="1" t="inlineStr">
        <is>
          <t>มี</t>
        </is>
      </c>
      <c r="J4067" s="13" t="n">
        <v>39</v>
      </c>
      <c r="K4067" s="1" t="inlineStr"/>
      <c r="L4067" s="13" t="n">
        <v>39</v>
      </c>
      <c r="M4067" s="1">
        <f>IF(L4067="","ไม่พบใน SG",IF(ABS(J4067-L4067)&lt;0.005,"ตรงกัน","ไม่ตรง"))</f>
        <v/>
      </c>
      <c r="N4067" s="14">
        <f>IF(L4067="","",ROUND(L4067*'สรุป'!$C$6,-1))</f>
        <v/>
      </c>
      <c r="O4067" s="15" t="n"/>
      <c r="P4067" s="15" t="n"/>
      <c r="Q4067" s="10" t="n"/>
      <c r="R4067" s="10" t="n"/>
      <c r="S4067" s="16" t="inlineStr">
        <is>
          <t>https://mstgolf.co.th/products/gf2040118222</t>
        </is>
      </c>
      <c r="T4067" s="1">
        <f>IF(B4067="ไม้กอล์ฟ",J4067,"")</f>
        <v/>
      </c>
    </row>
    <row r="4068">
      <c r="A4068" s="1" t="n">
        <v>3</v>
      </c>
      <c r="B4068" s="1" t="inlineStr">
        <is>
          <t>เสื้อผ้า</t>
        </is>
      </c>
      <c r="C4068" s="1" t="inlineStr">
        <is>
          <t>gf2040118843</t>
        </is>
      </c>
      <c r="D4068" s="1" t="inlineStr">
        <is>
          <t>CUTTER &amp; BUCK Pike Eco Shadow Check Print Recycled Men’s Polo (Polished)</t>
        </is>
      </c>
      <c r="E4068" s="1" t="inlineStr">
        <is>
          <t>CUTTER &amp; BUCK</t>
        </is>
      </c>
      <c r="F4068" s="1" t="inlineStr">
        <is>
          <t>SHORT SLEEVES</t>
        </is>
      </c>
      <c r="G4068" s="1" t="inlineStr">
        <is>
          <t>GF2040118843XS</t>
        </is>
      </c>
      <c r="H4068" s="1" t="n">
        <v>6</v>
      </c>
      <c r="I4068" s="1" t="inlineStr">
        <is>
          <t>มี</t>
        </is>
      </c>
      <c r="J4068" s="13" t="n">
        <v>39</v>
      </c>
      <c r="K4068" s="1" t="inlineStr"/>
      <c r="L4068" s="13" t="n">
        <v>39</v>
      </c>
      <c r="M4068" s="1">
        <f>IF(L4068="","ไม่พบใน SG",IF(ABS(J4068-L4068)&lt;0.005,"ตรงกัน","ไม่ตรง"))</f>
        <v/>
      </c>
      <c r="N4068" s="14">
        <f>IF(L4068="","",ROUND(L4068*'สรุป'!$C$6,-1))</f>
        <v/>
      </c>
      <c r="O4068" s="15" t="n"/>
      <c r="P4068" s="15" t="n"/>
      <c r="Q4068" s="10" t="n"/>
      <c r="R4068" s="10" t="n"/>
      <c r="S4068" s="16" t="inlineStr">
        <is>
          <t>https://mstgolf.co.th/products/gf2040118843</t>
        </is>
      </c>
      <c r="T4068" s="1">
        <f>IF(B4068="ไม้กอล์ฟ",J4068,"")</f>
        <v/>
      </c>
    </row>
    <row r="4069">
      <c r="A4069" s="1" t="n">
        <v>3</v>
      </c>
      <c r="B4069" s="1" t="inlineStr">
        <is>
          <t>เสื้อผ้า</t>
        </is>
      </c>
      <c r="C4069" s="1" t="inlineStr">
        <is>
          <t>gf2041200151</t>
        </is>
      </c>
      <c r="D4069" s="1" t="inlineStr">
        <is>
          <t>CUTTER &amp; BUCK Soar Bold Check Men's Longsleeve Shirt (Seaweed)</t>
        </is>
      </c>
      <c r="E4069" s="1" t="inlineStr">
        <is>
          <t>CUTTER &amp; BUCK</t>
        </is>
      </c>
      <c r="F4069" s="1" t="inlineStr">
        <is>
          <t>WOVEN</t>
        </is>
      </c>
      <c r="G4069" s="1" t="inlineStr">
        <is>
          <t>GF2041200151S</t>
        </is>
      </c>
      <c r="H4069" s="1" t="n">
        <v>4</v>
      </c>
      <c r="I4069" s="1" t="inlineStr">
        <is>
          <t>มี</t>
        </is>
      </c>
      <c r="J4069" s="13" t="n">
        <v>39</v>
      </c>
      <c r="K4069" s="1" t="inlineStr"/>
      <c r="L4069" s="13" t="n">
        <v>39</v>
      </c>
      <c r="M4069" s="1">
        <f>IF(L4069="","ไม่พบใน SG",IF(ABS(J4069-L4069)&lt;0.005,"ตรงกัน","ไม่ตรง"))</f>
        <v/>
      </c>
      <c r="N4069" s="14">
        <f>IF(L4069="","",ROUND(L4069*'สรุป'!$C$6,-1))</f>
        <v/>
      </c>
      <c r="O4069" s="15" t="n"/>
      <c r="P4069" s="15" t="n"/>
      <c r="Q4069" s="10" t="n"/>
      <c r="R4069" s="10" t="n"/>
      <c r="S4069" s="16" t="inlineStr">
        <is>
          <t>https://mstgolf.co.th/products/gf2041200151</t>
        </is>
      </c>
      <c r="T4069" s="1">
        <f>IF(B4069="ไม้กอล์ฟ",J4069,"")</f>
        <v/>
      </c>
    </row>
    <row r="4070">
      <c r="A4070" s="1" t="n">
        <v>3</v>
      </c>
      <c r="B4070" s="1" t="inlineStr">
        <is>
          <t>เสื้อผ้า</t>
        </is>
      </c>
      <c r="C4070" s="1" t="inlineStr">
        <is>
          <t>gf2041200149</t>
        </is>
      </c>
      <c r="D4070" s="1" t="inlineStr">
        <is>
          <t>CUTTER &amp; BUCK Soar Mini Check Men's Longsleeve Shirt (Indigo)</t>
        </is>
      </c>
      <c r="E4070" s="1" t="inlineStr">
        <is>
          <t>CUTTER &amp; BUCK</t>
        </is>
      </c>
      <c r="F4070" s="1" t="inlineStr">
        <is>
          <t>WOVEN</t>
        </is>
      </c>
      <c r="G4070" s="1" t="inlineStr">
        <is>
          <t>GF2041200149S</t>
        </is>
      </c>
      <c r="H4070" s="1" t="n">
        <v>4</v>
      </c>
      <c r="I4070" s="1" t="inlineStr">
        <is>
          <t>มี</t>
        </is>
      </c>
      <c r="J4070" s="13" t="n">
        <v>39</v>
      </c>
      <c r="K4070" s="1" t="inlineStr"/>
      <c r="L4070" s="13" t="n">
        <v>39</v>
      </c>
      <c r="M4070" s="1">
        <f>IF(L4070="","ไม่พบใน SG",IF(ABS(J4070-L4070)&lt;0.005,"ตรงกัน","ไม่ตรง"))</f>
        <v/>
      </c>
      <c r="N4070" s="14">
        <f>IF(L4070="","",ROUND(L4070*'สรุป'!$C$6,-1))</f>
        <v/>
      </c>
      <c r="O4070" s="15" t="n"/>
      <c r="P4070" s="15" t="n"/>
      <c r="Q4070" s="10" t="n"/>
      <c r="R4070" s="10" t="n"/>
      <c r="S4070" s="16" t="inlineStr">
        <is>
          <t>https://mstgolf.co.th/products/gf2041200149</t>
        </is>
      </c>
      <c r="T4070" s="1">
        <f>IF(B4070="ไม้กอล์ฟ",J4070,"")</f>
        <v/>
      </c>
    </row>
    <row r="4071">
      <c r="A4071" s="1" t="n">
        <v>3</v>
      </c>
      <c r="B4071" s="1" t="inlineStr">
        <is>
          <t>เสื้อผ้า</t>
        </is>
      </c>
      <c r="C4071" s="1" t="inlineStr">
        <is>
          <t>gf2041200222</t>
        </is>
      </c>
      <c r="D4071" s="1" t="inlineStr">
        <is>
          <t>CUTTER &amp; BUCK Versatech Geo Dobby Men's Longsleeve Shirt (White/Black)</t>
        </is>
      </c>
      <c r="E4071" s="1" t="inlineStr">
        <is>
          <t>CUTTER &amp; BUCK</t>
        </is>
      </c>
      <c r="F4071" s="1" t="inlineStr">
        <is>
          <t>WOVEN</t>
        </is>
      </c>
      <c r="G4071" s="1" t="inlineStr">
        <is>
          <t>GF2041200222S</t>
        </is>
      </c>
      <c r="H4071" s="1" t="n">
        <v>4</v>
      </c>
      <c r="I4071" s="1" t="inlineStr">
        <is>
          <t>มี</t>
        </is>
      </c>
      <c r="J4071" s="13" t="n">
        <v>39</v>
      </c>
      <c r="K4071" s="1" t="inlineStr"/>
      <c r="L4071" s="13" t="n">
        <v>39</v>
      </c>
      <c r="M4071" s="1">
        <f>IF(L4071="","ไม่พบใน SG",IF(ABS(J4071-L4071)&lt;0.005,"ตรงกัน","ไม่ตรง"))</f>
        <v/>
      </c>
      <c r="N4071" s="14">
        <f>IF(L4071="","",ROUND(L4071*'สรุป'!$C$6,-1))</f>
        <v/>
      </c>
      <c r="O4071" s="15" t="n"/>
      <c r="P4071" s="15" t="n"/>
      <c r="Q4071" s="10" t="n"/>
      <c r="R4071" s="10" t="n"/>
      <c r="S4071" s="16" t="inlineStr">
        <is>
          <t>https://mstgolf.co.th/products/gf2041200222</t>
        </is>
      </c>
      <c r="T4071" s="1">
        <f>IF(B4071="ไม้กอล์ฟ",J4071,"")</f>
        <v/>
      </c>
    </row>
    <row r="4072">
      <c r="A4072" s="1" t="n">
        <v>3</v>
      </c>
      <c r="B4072" s="1" t="inlineStr">
        <is>
          <t>เสื้อผ้า</t>
        </is>
      </c>
      <c r="C4072" s="1" t="inlineStr">
        <is>
          <t>gf2040117319</t>
        </is>
      </c>
      <c r="D4072" s="1" t="inlineStr">
        <is>
          <t>CUTTER &amp; BUCK Virtue Ecopique Print Men's Polo (Atlas)</t>
        </is>
      </c>
      <c r="E4072" s="1" t="inlineStr">
        <is>
          <t>CUTTER &amp; BUCK</t>
        </is>
      </c>
      <c r="F4072" s="1" t="inlineStr">
        <is>
          <t>SHORT SLEEVES</t>
        </is>
      </c>
      <c r="G4072" s="1" t="inlineStr">
        <is>
          <t>GF2040117319S</t>
        </is>
      </c>
      <c r="H4072" s="1" t="n">
        <v>5</v>
      </c>
      <c r="I4072" s="1" t="inlineStr">
        <is>
          <t>มี</t>
        </is>
      </c>
      <c r="J4072" s="13" t="n">
        <v>39</v>
      </c>
      <c r="K4072" s="1" t="inlineStr"/>
      <c r="L4072" s="13" t="n">
        <v>39</v>
      </c>
      <c r="M4072" s="1">
        <f>IF(L4072="","ไม่พบใน SG",IF(ABS(J4072-L4072)&lt;0.005,"ตรงกัน","ไม่ตรง"))</f>
        <v/>
      </c>
      <c r="N4072" s="14">
        <f>IF(L4072="","",ROUND(L4072*'สรุป'!$C$6,-1))</f>
        <v/>
      </c>
      <c r="O4072" s="15" t="n"/>
      <c r="P4072" s="15" t="n"/>
      <c r="Q4072" s="10" t="n"/>
      <c r="R4072" s="10" t="n"/>
      <c r="S4072" s="16" t="inlineStr">
        <is>
          <t>https://mstgolf.co.th/products/gf2040117319</t>
        </is>
      </c>
      <c r="T4072" s="1">
        <f>IF(B4072="ไม้กอล์ฟ",J4072,"")</f>
        <v/>
      </c>
    </row>
    <row r="4073">
      <c r="A4073" s="1" t="n">
        <v>3</v>
      </c>
      <c r="B4073" s="1" t="inlineStr">
        <is>
          <t>เสื้อผ้า</t>
        </is>
      </c>
      <c r="C4073" s="1" t="inlineStr">
        <is>
          <t>gf2040115635</t>
        </is>
      </c>
      <c r="D4073" s="1" t="inlineStr">
        <is>
          <t>CUTTER &amp; BUCK Virtue Ecopique Print Men's Polo (Polished)</t>
        </is>
      </c>
      <c r="E4073" s="1" t="inlineStr">
        <is>
          <t>CUTTER &amp; BUCK</t>
        </is>
      </c>
      <c r="F4073" s="1" t="inlineStr">
        <is>
          <t>SHORT SLEEVES</t>
        </is>
      </c>
      <c r="G4073" s="1" t="inlineStr">
        <is>
          <t>GF2040115635S</t>
        </is>
      </c>
      <c r="H4073" s="1" t="n">
        <v>5</v>
      </c>
      <c r="I4073" s="1" t="inlineStr">
        <is>
          <t>มี</t>
        </is>
      </c>
      <c r="J4073" s="13" t="n">
        <v>39</v>
      </c>
      <c r="K4073" s="1" t="inlineStr"/>
      <c r="L4073" s="13" t="n">
        <v>39</v>
      </c>
      <c r="M4073" s="1">
        <f>IF(L4073="","ไม่พบใน SG",IF(ABS(J4073-L4073)&lt;0.005,"ตรงกัน","ไม่ตรง"))</f>
        <v/>
      </c>
      <c r="N4073" s="14">
        <f>IF(L4073="","",ROUND(L4073*'สรุป'!$C$6,-1))</f>
        <v/>
      </c>
      <c r="O4073" s="15" t="n"/>
      <c r="P4073" s="15" t="n"/>
      <c r="Q4073" s="10" t="n"/>
      <c r="R4073" s="10" t="n"/>
      <c r="S4073" s="16" t="inlineStr">
        <is>
          <t>https://mstgolf.co.th/products/gf2040115635</t>
        </is>
      </c>
      <c r="T4073" s="1">
        <f>IF(B4073="ไม้กอล์ฟ",J4073,"")</f>
        <v/>
      </c>
    </row>
    <row r="4074">
      <c r="A4074" s="1" t="n">
        <v>3</v>
      </c>
      <c r="B4074" s="1" t="inlineStr">
        <is>
          <t>อุปกรณ์เสริม</t>
        </is>
      </c>
      <c r="C4074" s="1" t="inlineStr">
        <is>
          <t>gf3500400393</t>
        </is>
      </c>
      <c r="D4074" s="1" t="inlineStr">
        <is>
          <t>DISNEY Mickey &amp; Friends 2 Ball Marker &amp; 1 Hat Clip Set (Black)</t>
        </is>
      </c>
      <c r="E4074" s="1" t="inlineStr">
        <is>
          <t>DISNEY</t>
        </is>
      </c>
      <c r="F4074" s="1" t="inlineStr">
        <is>
          <t>MARKERS &amp; DIVOTS</t>
        </is>
      </c>
      <c r="G4074" s="1" t="inlineStr">
        <is>
          <t>GF3500400393</t>
        </is>
      </c>
      <c r="H4074" s="1" t="n">
        <v>1</v>
      </c>
      <c r="I4074" s="1" t="inlineStr">
        <is>
          <t>มี</t>
        </is>
      </c>
      <c r="J4074" s="13" t="n">
        <v>39</v>
      </c>
      <c r="K4074" s="1" t="inlineStr"/>
      <c r="L4074" s="13" t="n">
        <v>39</v>
      </c>
      <c r="M4074" s="1">
        <f>IF(L4074="","ไม่พบใน SG",IF(ABS(J4074-L4074)&lt;0.005,"ตรงกัน","ไม่ตรง"))</f>
        <v/>
      </c>
      <c r="N4074" s="14">
        <f>IF(L4074="","",ROUND(L4074*'สรุป'!$C$6,-1))</f>
        <v/>
      </c>
      <c r="O4074" s="15" t="n"/>
      <c r="P4074" s="15" t="n"/>
      <c r="Q4074" s="10" t="n"/>
      <c r="R4074" s="10" t="n"/>
      <c r="S4074" s="16" t="inlineStr">
        <is>
          <t>https://mstgolf.co.th/products/gf3500400393</t>
        </is>
      </c>
      <c r="T4074" s="1">
        <f>IF(B4074="ไม้กอล์ฟ",J4074,"")</f>
        <v/>
      </c>
    </row>
    <row r="4075">
      <c r="A4075" s="1" t="n">
        <v>3</v>
      </c>
      <c r="B4075" s="1" t="inlineStr">
        <is>
          <t>อุปกรณ์เสริม</t>
        </is>
      </c>
      <c r="C4075" s="1" t="inlineStr">
        <is>
          <t>gf3500400395</t>
        </is>
      </c>
      <c r="D4075" s="1" t="inlineStr">
        <is>
          <t>DISNEY Mickey &amp; Friends 2 Ball Marker &amp; 1 Hat Clip Set (Blue)</t>
        </is>
      </c>
      <c r="E4075" s="1" t="inlineStr">
        <is>
          <t>DISNEY</t>
        </is>
      </c>
      <c r="F4075" s="1" t="inlineStr">
        <is>
          <t>MARKERS &amp; DIVOTS</t>
        </is>
      </c>
      <c r="G4075" s="1" t="inlineStr">
        <is>
          <t>GF3500400395</t>
        </is>
      </c>
      <c r="H4075" s="1" t="n">
        <v>1</v>
      </c>
      <c r="I4075" s="1" t="inlineStr">
        <is>
          <t>มี</t>
        </is>
      </c>
      <c r="J4075" s="13" t="n">
        <v>39</v>
      </c>
      <c r="K4075" s="1" t="inlineStr"/>
      <c r="L4075" s="13" t="n">
        <v>39</v>
      </c>
      <c r="M4075" s="1">
        <f>IF(L4075="","ไม่พบใน SG",IF(ABS(J4075-L4075)&lt;0.005,"ตรงกัน","ไม่ตรง"))</f>
        <v/>
      </c>
      <c r="N4075" s="14">
        <f>IF(L4075="","",ROUND(L4075*'สรุป'!$C$6,-1))</f>
        <v/>
      </c>
      <c r="O4075" s="15" t="n"/>
      <c r="P4075" s="15" t="n"/>
      <c r="Q4075" s="10" t="n"/>
      <c r="R4075" s="10" t="n"/>
      <c r="S4075" s="16" t="inlineStr">
        <is>
          <t>https://mstgolf.co.th/products/gf3500400395</t>
        </is>
      </c>
      <c r="T4075" s="1">
        <f>IF(B4075="ไม้กอล์ฟ",J4075,"")</f>
        <v/>
      </c>
    </row>
    <row r="4076">
      <c r="A4076" s="1" t="n">
        <v>3</v>
      </c>
      <c r="B4076" s="1" t="inlineStr">
        <is>
          <t>อุปกรณ์เสริม</t>
        </is>
      </c>
      <c r="C4076" s="1" t="inlineStr">
        <is>
          <t>gf3500400392</t>
        </is>
      </c>
      <c r="D4076" s="1" t="inlineStr">
        <is>
          <t>DISNEY Mickey &amp; Friends 2 Ball Marker &amp; 1 Hat Clip Set (Blue)</t>
        </is>
      </c>
      <c r="E4076" s="1" t="inlineStr">
        <is>
          <t>DISNEY</t>
        </is>
      </c>
      <c r="F4076" s="1" t="inlineStr">
        <is>
          <t>MARKERS &amp; DIVOTS</t>
        </is>
      </c>
      <c r="G4076" s="1" t="inlineStr">
        <is>
          <t>GF3500400392</t>
        </is>
      </c>
      <c r="H4076" s="1" t="n">
        <v>1</v>
      </c>
      <c r="I4076" s="1" t="inlineStr">
        <is>
          <t>มี</t>
        </is>
      </c>
      <c r="J4076" s="13" t="n">
        <v>39</v>
      </c>
      <c r="K4076" s="1" t="inlineStr"/>
      <c r="L4076" s="13" t="n">
        <v>39</v>
      </c>
      <c r="M4076" s="1">
        <f>IF(L4076="","ไม่พบใน SG",IF(ABS(J4076-L4076)&lt;0.005,"ตรงกัน","ไม่ตรง"))</f>
        <v/>
      </c>
      <c r="N4076" s="14">
        <f>IF(L4076="","",ROUND(L4076*'สรุป'!$C$6,-1))</f>
        <v/>
      </c>
      <c r="O4076" s="15" t="n"/>
      <c r="P4076" s="15" t="n"/>
      <c r="Q4076" s="10" t="n"/>
      <c r="R4076" s="10" t="n"/>
      <c r="S4076" s="16" t="inlineStr">
        <is>
          <t>https://mstgolf.co.th/products/gf3500400392</t>
        </is>
      </c>
      <c r="T4076" s="1">
        <f>IF(B4076="ไม้กอล์ฟ",J4076,"")</f>
        <v/>
      </c>
    </row>
    <row r="4077">
      <c r="A4077" s="1" t="n">
        <v>3</v>
      </c>
      <c r="B4077" s="1" t="inlineStr">
        <is>
          <t>อุปกรณ์เสริม</t>
        </is>
      </c>
      <c r="C4077" s="1" t="inlineStr">
        <is>
          <t>gf3500400391</t>
        </is>
      </c>
      <c r="D4077" s="1" t="inlineStr">
        <is>
          <t>DISNEY Mickey &amp; Friends 2 Ball Marker &amp; 1 Hat Clip Set (Red)</t>
        </is>
      </c>
      <c r="E4077" s="1" t="inlineStr">
        <is>
          <t>DISNEY</t>
        </is>
      </c>
      <c r="F4077" s="1" t="inlineStr">
        <is>
          <t>MARKERS &amp; DIVOTS</t>
        </is>
      </c>
      <c r="G4077" s="1" t="inlineStr">
        <is>
          <t>GF3500400391</t>
        </is>
      </c>
      <c r="H4077" s="1" t="n">
        <v>1</v>
      </c>
      <c r="I4077" s="1" t="inlineStr">
        <is>
          <t>มี</t>
        </is>
      </c>
      <c r="J4077" s="13" t="n">
        <v>39</v>
      </c>
      <c r="K4077" s="1" t="inlineStr"/>
      <c r="L4077" s="13" t="n">
        <v>39</v>
      </c>
      <c r="M4077" s="1">
        <f>IF(L4077="","ไม่พบใน SG",IF(ABS(J4077-L4077)&lt;0.005,"ตรงกัน","ไม่ตรง"))</f>
        <v/>
      </c>
      <c r="N4077" s="14">
        <f>IF(L4077="","",ROUND(L4077*'สรุป'!$C$6,-1))</f>
        <v/>
      </c>
      <c r="O4077" s="15" t="n"/>
      <c r="P4077" s="15" t="n"/>
      <c r="Q4077" s="10" t="n"/>
      <c r="R4077" s="10" t="n"/>
      <c r="S4077" s="16" t="inlineStr">
        <is>
          <t>https://mstgolf.co.th/products/gf3500400391</t>
        </is>
      </c>
      <c r="T4077" s="1">
        <f>IF(B4077="ไม้กอล์ฟ",J4077,"")</f>
        <v/>
      </c>
    </row>
    <row r="4078">
      <c r="A4078" s="1" t="n">
        <v>3</v>
      </c>
      <c r="B4078" s="1" t="inlineStr">
        <is>
          <t>อุปกรณ์เสริม</t>
        </is>
      </c>
      <c r="C4078" s="1" t="inlineStr">
        <is>
          <t>gf3500400390</t>
        </is>
      </c>
      <c r="D4078" s="1" t="inlineStr">
        <is>
          <t>DISNEY Mickey &amp; Friends 2 Ball Marker &amp; 1 Hat Clip Set (Red)</t>
        </is>
      </c>
      <c r="E4078" s="1" t="inlineStr">
        <is>
          <t>DISNEY</t>
        </is>
      </c>
      <c r="F4078" s="1" t="inlineStr">
        <is>
          <t>MARKERS &amp; DIVOTS</t>
        </is>
      </c>
      <c r="G4078" s="1" t="inlineStr">
        <is>
          <t>GF3500400390</t>
        </is>
      </c>
      <c r="H4078" s="1" t="n">
        <v>1</v>
      </c>
      <c r="I4078" s="1" t="inlineStr">
        <is>
          <t>มี</t>
        </is>
      </c>
      <c r="J4078" s="13" t="n">
        <v>39</v>
      </c>
      <c r="K4078" s="1" t="inlineStr"/>
      <c r="L4078" s="13" t="n">
        <v>39</v>
      </c>
      <c r="M4078" s="1">
        <f>IF(L4078="","ไม่พบใน SG",IF(ABS(J4078-L4078)&lt;0.005,"ตรงกัน","ไม่ตรง"))</f>
        <v/>
      </c>
      <c r="N4078" s="14">
        <f>IF(L4078="","",ROUND(L4078*'สรุป'!$C$6,-1))</f>
        <v/>
      </c>
      <c r="O4078" s="15" t="n"/>
      <c r="P4078" s="15" t="n"/>
      <c r="Q4078" s="10" t="n"/>
      <c r="R4078" s="10" t="n"/>
      <c r="S4078" s="16" t="inlineStr">
        <is>
          <t>https://mstgolf.co.th/products/gf3500400390</t>
        </is>
      </c>
      <c r="T4078" s="1">
        <f>IF(B4078="ไม้กอล์ฟ",J4078,"")</f>
        <v/>
      </c>
    </row>
    <row r="4079">
      <c r="A4079" s="1" t="n">
        <v>3</v>
      </c>
      <c r="B4079" s="1" t="inlineStr">
        <is>
          <t>อุปกรณ์เสริม</t>
        </is>
      </c>
      <c r="C4079" s="1" t="inlineStr">
        <is>
          <t>gf3500400394</t>
        </is>
      </c>
      <c r="D4079" s="1" t="inlineStr">
        <is>
          <t>DISNEY Mickey &amp; Friends 2 Ball Marker &amp; 1 Hat Clip Set (Yellow)</t>
        </is>
      </c>
      <c r="E4079" s="1" t="inlineStr">
        <is>
          <t>DISNEY</t>
        </is>
      </c>
      <c r="F4079" s="1" t="inlineStr">
        <is>
          <t>MARKERS &amp; DIVOTS</t>
        </is>
      </c>
      <c r="G4079" s="1" t="inlineStr">
        <is>
          <t>GF3500400394</t>
        </is>
      </c>
      <c r="H4079" s="1" t="n">
        <v>1</v>
      </c>
      <c r="I4079" s="1" t="inlineStr">
        <is>
          <t>มี</t>
        </is>
      </c>
      <c r="J4079" s="13" t="n">
        <v>39</v>
      </c>
      <c r="K4079" s="1" t="inlineStr"/>
      <c r="L4079" s="13" t="n">
        <v>39</v>
      </c>
      <c r="M4079" s="1">
        <f>IF(L4079="","ไม่พบใน SG",IF(ABS(J4079-L4079)&lt;0.005,"ตรงกัน","ไม่ตรง"))</f>
        <v/>
      </c>
      <c r="N4079" s="14">
        <f>IF(L4079="","",ROUND(L4079*'สรุป'!$C$6,-1))</f>
        <v/>
      </c>
      <c r="O4079" s="15" t="n"/>
      <c r="P4079" s="15" t="n"/>
      <c r="Q4079" s="10" t="n"/>
      <c r="R4079" s="10" t="n"/>
      <c r="S4079" s="16" t="inlineStr">
        <is>
          <t>https://mstgolf.co.th/products/gf3500400394</t>
        </is>
      </c>
      <c r="T4079" s="1">
        <f>IF(B4079="ไม้กอล์ฟ",J4079,"")</f>
        <v/>
      </c>
    </row>
    <row r="4080">
      <c r="A4080" s="1" t="n">
        <v>3</v>
      </c>
      <c r="B4080" s="1" t="inlineStr">
        <is>
          <t>อุปกรณ์เสริม</t>
        </is>
      </c>
      <c r="C4080" s="1" t="inlineStr">
        <is>
          <t>gf3500300965</t>
        </is>
      </c>
      <c r="D4080" s="1" t="inlineStr">
        <is>
          <t>GENERAL ITEM Paragon Golf Hitting Net (Red)</t>
        </is>
      </c>
      <c r="E4080" s="1" t="inlineStr">
        <is>
          <t>GENERAL ITEM</t>
        </is>
      </c>
      <c r="F4080" s="1" t="inlineStr">
        <is>
          <t>GOLF ACCESSORIES</t>
        </is>
      </c>
      <c r="G4080" s="1" t="inlineStr">
        <is>
          <t>GF3500300965</t>
        </is>
      </c>
      <c r="H4080" s="1" t="n">
        <v>1</v>
      </c>
      <c r="I4080" s="1" t="inlineStr">
        <is>
          <t>มี</t>
        </is>
      </c>
      <c r="J4080" s="13" t="n">
        <v>39</v>
      </c>
      <c r="K4080" s="1" t="inlineStr"/>
      <c r="L4080" s="13" t="n">
        <v>39</v>
      </c>
      <c r="M4080" s="1">
        <f>IF(L4080="","ไม่พบใน SG",IF(ABS(J4080-L4080)&lt;0.005,"ตรงกัน","ไม่ตรง"))</f>
        <v/>
      </c>
      <c r="N4080" s="14">
        <f>IF(L4080="","",ROUND(L4080*'สรุป'!$C$6,-1))</f>
        <v/>
      </c>
      <c r="O4080" s="15" t="n"/>
      <c r="P4080" s="15" t="n"/>
      <c r="Q4080" s="10" t="n"/>
      <c r="R4080" s="10" t="n"/>
      <c r="S4080" s="16" t="inlineStr">
        <is>
          <t>https://mstgolf.co.th/products/gf3500300965</t>
        </is>
      </c>
      <c r="T4080" s="1">
        <f>IF(B4080="ไม้กอล์ฟ",J4080,"")</f>
        <v/>
      </c>
    </row>
    <row r="4081">
      <c r="A4081" s="1" t="n">
        <v>3</v>
      </c>
      <c r="B4081" s="1" t="inlineStr">
        <is>
          <t>หมวก</t>
        </is>
      </c>
      <c r="C4081" s="1" t="inlineStr">
        <is>
          <t>gf2000105698</t>
        </is>
      </c>
      <c r="D4081" s="1" t="inlineStr">
        <is>
          <t>GFORE Circle G Nylon Women's Visor (Snow)</t>
        </is>
      </c>
      <c r="E4081" s="1" t="inlineStr">
        <is>
          <t>GFORE</t>
        </is>
      </c>
      <c r="F4081" s="1" t="inlineStr">
        <is>
          <t>VISOR</t>
        </is>
      </c>
      <c r="G4081" s="1" t="inlineStr">
        <is>
          <t>GF2000105698FS</t>
        </is>
      </c>
      <c r="H4081" s="1" t="n">
        <v>1</v>
      </c>
      <c r="I4081" s="1" t="inlineStr">
        <is>
          <t>มี</t>
        </is>
      </c>
      <c r="J4081" s="13" t="n">
        <v>39</v>
      </c>
      <c r="K4081" s="1" t="inlineStr"/>
      <c r="L4081" s="13" t="n">
        <v>39</v>
      </c>
      <c r="M4081" s="1">
        <f>IF(L4081="","ไม่พบใน SG",IF(ABS(J4081-L4081)&lt;0.005,"ตรงกัน","ไม่ตรง"))</f>
        <v/>
      </c>
      <c r="N4081" s="14">
        <f>IF(L4081="","",ROUND(L4081*'สรุป'!$C$6,-1))</f>
        <v/>
      </c>
      <c r="O4081" s="15" t="n"/>
      <c r="P4081" s="15" t="n"/>
      <c r="Q4081" s="10" t="n"/>
      <c r="R4081" s="10" t="n"/>
      <c r="S4081" s="16" t="inlineStr">
        <is>
          <t>https://mstgolf.co.th/products/gf2000105698</t>
        </is>
      </c>
      <c r="T4081" s="1">
        <f>IF(B4081="ไม้กอล์ฟ",J4081,"")</f>
        <v/>
      </c>
    </row>
    <row r="4082">
      <c r="A4082" s="1" t="n">
        <v>3</v>
      </c>
      <c r="B4082" s="1" t="inlineStr">
        <is>
          <t>หมวก</t>
        </is>
      </c>
      <c r="C4082" s="1" t="inlineStr">
        <is>
          <t>gf2000105699</t>
        </is>
      </c>
      <c r="D4082" s="1" t="inlineStr">
        <is>
          <t>GFORE Circle G Nylon Women's Visor (Twilight)</t>
        </is>
      </c>
      <c r="E4082" s="1" t="inlineStr">
        <is>
          <t>GFORE</t>
        </is>
      </c>
      <c r="F4082" s="1" t="inlineStr">
        <is>
          <t>VISOR</t>
        </is>
      </c>
      <c r="G4082" s="1" t="inlineStr">
        <is>
          <t>GF2000105699FS</t>
        </is>
      </c>
      <c r="H4082" s="1" t="n">
        <v>1</v>
      </c>
      <c r="I4082" s="1" t="inlineStr">
        <is>
          <t>มี</t>
        </is>
      </c>
      <c r="J4082" s="13" t="n">
        <v>39</v>
      </c>
      <c r="K4082" s="1" t="inlineStr"/>
      <c r="L4082" s="13" t="n">
        <v>39</v>
      </c>
      <c r="M4082" s="1">
        <f>IF(L4082="","ไม่พบใน SG",IF(ABS(J4082-L4082)&lt;0.005,"ตรงกัน","ไม่ตรง"))</f>
        <v/>
      </c>
      <c r="N4082" s="14">
        <f>IF(L4082="","",ROUND(L4082*'สรุป'!$C$6,-1))</f>
        <v/>
      </c>
      <c r="O4082" s="15" t="n"/>
      <c r="P4082" s="15" t="n"/>
      <c r="Q4082" s="10" t="n"/>
      <c r="R4082" s="10" t="n"/>
      <c r="S4082" s="16" t="inlineStr">
        <is>
          <t>https://mstgolf.co.th/products/gf2000105699</t>
        </is>
      </c>
      <c r="T4082" s="1">
        <f>IF(B4082="ไม้กอล์ฟ",J4082,"")</f>
        <v/>
      </c>
    </row>
    <row r="4083">
      <c r="A4083" s="1" t="n">
        <v>3</v>
      </c>
      <c r="B4083" s="1" t="inlineStr">
        <is>
          <t>หมวก</t>
        </is>
      </c>
      <c r="C4083" s="1" t="inlineStr">
        <is>
          <t>gf2000105037</t>
        </is>
      </c>
      <c r="D4083" s="1" t="inlineStr">
        <is>
          <t>GFORE Circle G'S Women's Cap (White)</t>
        </is>
      </c>
      <c r="E4083" s="1" t="inlineStr">
        <is>
          <t>GFORE</t>
        </is>
      </c>
      <c r="F4083" s="1" t="inlineStr">
        <is>
          <t>CAP</t>
        </is>
      </c>
      <c r="G4083" s="1" t="inlineStr">
        <is>
          <t>GF2000105037FS</t>
        </is>
      </c>
      <c r="H4083" s="1" t="n">
        <v>1</v>
      </c>
      <c r="I4083" s="1" t="inlineStr">
        <is>
          <t>มี</t>
        </is>
      </c>
      <c r="J4083" s="13" t="n">
        <v>39</v>
      </c>
      <c r="K4083" s="1" t="inlineStr"/>
      <c r="L4083" s="13" t="n">
        <v>39</v>
      </c>
      <c r="M4083" s="1">
        <f>IF(L4083="","ไม่พบใน SG",IF(ABS(J4083-L4083)&lt;0.005,"ตรงกัน","ไม่ตรง"))</f>
        <v/>
      </c>
      <c r="N4083" s="14">
        <f>IF(L4083="","",ROUND(L4083*'สรุป'!$C$6,-1))</f>
        <v/>
      </c>
      <c r="O4083" s="15" t="n"/>
      <c r="P4083" s="15" t="n"/>
      <c r="Q4083" s="10" t="n"/>
      <c r="R4083" s="10" t="n"/>
      <c r="S4083" s="16" t="inlineStr">
        <is>
          <t>https://mstgolf.co.th/products/gf2000105037</t>
        </is>
      </c>
      <c r="T4083" s="1">
        <f>IF(B4083="ไม้กอล์ฟ",J4083,"")</f>
        <v/>
      </c>
    </row>
    <row r="4084">
      <c r="A4084" s="1" t="n">
        <v>3</v>
      </c>
      <c r="B4084" s="1" t="inlineStr">
        <is>
          <t>อุปกรณ์เสริม</t>
        </is>
      </c>
      <c r="C4084" s="1" t="inlineStr">
        <is>
          <t>gf2080101248</t>
        </is>
      </c>
      <c r="D4084" s="1" t="inlineStr">
        <is>
          <t>NIKE Baseball 3.0 Men's Belt (Black)</t>
        </is>
      </c>
      <c r="E4084" s="1" t="inlineStr">
        <is>
          <t>NIKE</t>
        </is>
      </c>
      <c r="F4084" s="1" t="inlineStr">
        <is>
          <t>BELT</t>
        </is>
      </c>
      <c r="G4084" s="1" t="inlineStr">
        <is>
          <t>GF2080101248FS</t>
        </is>
      </c>
      <c r="H4084" s="1" t="n">
        <v>1</v>
      </c>
      <c r="I4084" s="1" t="inlineStr">
        <is>
          <t>มี</t>
        </is>
      </c>
      <c r="J4084" s="13" t="n">
        <v>39</v>
      </c>
      <c r="K4084" s="1" t="inlineStr"/>
      <c r="L4084" s="13" t="n">
        <v>39</v>
      </c>
      <c r="M4084" s="1">
        <f>IF(L4084="","ไม่พบใน SG",IF(ABS(J4084-L4084)&lt;0.005,"ตรงกัน","ไม่ตรง"))</f>
        <v/>
      </c>
      <c r="N4084" s="14">
        <f>IF(L4084="","",ROUND(L4084*'สรุป'!$C$6,-1))</f>
        <v/>
      </c>
      <c r="O4084" s="15" t="n"/>
      <c r="P4084" s="15" t="n"/>
      <c r="Q4084" s="10" t="n"/>
      <c r="R4084" s="10" t="n"/>
      <c r="S4084" s="16" t="inlineStr">
        <is>
          <t>https://mstgolf.co.th/products/gf2080101248</t>
        </is>
      </c>
      <c r="T4084" s="1">
        <f>IF(B4084="ไม้กอล์ฟ",J4084,"")</f>
        <v/>
      </c>
    </row>
    <row r="4085">
      <c r="A4085" s="1" t="n">
        <v>3</v>
      </c>
      <c r="B4085" s="1" t="inlineStr">
        <is>
          <t>อุปกรณ์เสริม</t>
        </is>
      </c>
      <c r="C4085" s="1" t="inlineStr">
        <is>
          <t>gf2080101249</t>
        </is>
      </c>
      <c r="D4085" s="1" t="inlineStr">
        <is>
          <t>NIKE Baseball 3.0 Men's Belt (Royal)</t>
        </is>
      </c>
      <c r="E4085" s="1" t="inlineStr">
        <is>
          <t>NIKE</t>
        </is>
      </c>
      <c r="F4085" s="1" t="inlineStr">
        <is>
          <t>BELT</t>
        </is>
      </c>
      <c r="G4085" s="1" t="inlineStr">
        <is>
          <t>GF2080101249FS</t>
        </is>
      </c>
      <c r="H4085" s="1" t="n">
        <v>1</v>
      </c>
      <c r="I4085" s="1" t="inlineStr">
        <is>
          <t>มี</t>
        </is>
      </c>
      <c r="J4085" s="13" t="n">
        <v>39</v>
      </c>
      <c r="K4085" s="1" t="inlineStr"/>
      <c r="L4085" s="13" t="n">
        <v>39</v>
      </c>
      <c r="M4085" s="1">
        <f>IF(L4085="","ไม่พบใน SG",IF(ABS(J4085-L4085)&lt;0.005,"ตรงกัน","ไม่ตรง"))</f>
        <v/>
      </c>
      <c r="N4085" s="14">
        <f>IF(L4085="","",ROUND(L4085*'สรุป'!$C$6,-1))</f>
        <v/>
      </c>
      <c r="O4085" s="15" t="n"/>
      <c r="P4085" s="15" t="n"/>
      <c r="Q4085" s="10" t="n"/>
      <c r="R4085" s="10" t="n"/>
      <c r="S4085" s="16" t="inlineStr">
        <is>
          <t>https://mstgolf.co.th/products/gf2080101249</t>
        </is>
      </c>
      <c r="T4085" s="1">
        <f>IF(B4085="ไม้กอล์ฟ",J4085,"")</f>
        <v/>
      </c>
    </row>
    <row r="4086">
      <c r="A4086" s="1" t="n">
        <v>3</v>
      </c>
      <c r="B4086" s="1" t="inlineStr">
        <is>
          <t>หมวก</t>
        </is>
      </c>
      <c r="C4086" s="1" t="inlineStr">
        <is>
          <t>gf2000106088</t>
        </is>
      </c>
      <c r="D4086" s="1" t="inlineStr">
        <is>
          <t>NIKE Dri-FIT Club Structured Swoosh Unisex Cap (Black/White)</t>
        </is>
      </c>
      <c r="E4086" s="1" t="inlineStr">
        <is>
          <t>NIKE</t>
        </is>
      </c>
      <c r="F4086" s="1" t="inlineStr">
        <is>
          <t>CAP</t>
        </is>
      </c>
      <c r="G4086" s="1" t="inlineStr">
        <is>
          <t>GF2000106088M/L</t>
        </is>
      </c>
      <c r="H4086" s="1" t="n">
        <v>1</v>
      </c>
      <c r="I4086" s="1" t="inlineStr">
        <is>
          <t>มี</t>
        </is>
      </c>
      <c r="J4086" s="13" t="n">
        <v>39</v>
      </c>
      <c r="K4086" s="1" t="inlineStr"/>
      <c r="L4086" s="13" t="n">
        <v>39</v>
      </c>
      <c r="M4086" s="1">
        <f>IF(L4086="","ไม่พบใน SG",IF(ABS(J4086-L4086)&lt;0.005,"ตรงกัน","ไม่ตรง"))</f>
        <v/>
      </c>
      <c r="N4086" s="14">
        <f>IF(L4086="","",ROUND(L4086*'สรุป'!$C$6,-1))</f>
        <v/>
      </c>
      <c r="O4086" s="15" t="n"/>
      <c r="P4086" s="15" t="n"/>
      <c r="Q4086" s="10" t="n"/>
      <c r="R4086" s="10" t="n"/>
      <c r="S4086" s="16" t="inlineStr">
        <is>
          <t>https://mstgolf.co.th/products/gf2000106088</t>
        </is>
      </c>
      <c r="T4086" s="1">
        <f>IF(B4086="ไม้กอล์ฟ",J4086,"")</f>
        <v/>
      </c>
    </row>
    <row r="4087">
      <c r="A4087" s="1" t="n">
        <v>3</v>
      </c>
      <c r="B4087" s="1" t="inlineStr">
        <is>
          <t>หมวก</t>
        </is>
      </c>
      <c r="C4087" s="1" t="inlineStr">
        <is>
          <t>gf2000106090</t>
        </is>
      </c>
      <c r="D4087" s="1" t="inlineStr">
        <is>
          <t>NIKE Dri-FIT Club Structured Swoosh Unisex Cap (Black/White)</t>
        </is>
      </c>
      <c r="E4087" s="1" t="inlineStr">
        <is>
          <t>NIKE</t>
        </is>
      </c>
      <c r="F4087" s="1" t="inlineStr">
        <is>
          <t>CAP</t>
        </is>
      </c>
      <c r="G4087" s="1" t="inlineStr">
        <is>
          <t>GF2000106090S/M</t>
        </is>
      </c>
      <c r="H4087" s="1" t="n">
        <v>2</v>
      </c>
      <c r="I4087" s="1" t="inlineStr">
        <is>
          <t>มี</t>
        </is>
      </c>
      <c r="J4087" s="13" t="n">
        <v>39</v>
      </c>
      <c r="K4087" s="1" t="inlineStr"/>
      <c r="L4087" s="13" t="n">
        <v>39</v>
      </c>
      <c r="M4087" s="1">
        <f>IF(L4087="","ไม่พบใน SG",IF(ABS(J4087-L4087)&lt;0.005,"ตรงกัน","ไม่ตรง"))</f>
        <v/>
      </c>
      <c r="N4087" s="14">
        <f>IF(L4087="","",ROUND(L4087*'สรุป'!$C$6,-1))</f>
        <v/>
      </c>
      <c r="O4087" s="15" t="n"/>
      <c r="P4087" s="15" t="n"/>
      <c r="Q4087" s="10" t="n"/>
      <c r="R4087" s="10" t="n"/>
      <c r="S4087" s="16" t="inlineStr">
        <is>
          <t>https://mstgolf.co.th/products/gf2000106090</t>
        </is>
      </c>
      <c r="T4087" s="1">
        <f>IF(B4087="ไม้กอล์ฟ",J4087,"")</f>
        <v/>
      </c>
    </row>
    <row r="4088">
      <c r="A4088" s="1" t="n">
        <v>3</v>
      </c>
      <c r="B4088" s="1" t="inlineStr">
        <is>
          <t>หมวก</t>
        </is>
      </c>
      <c r="C4088" s="1" t="inlineStr">
        <is>
          <t>gf2000106089</t>
        </is>
      </c>
      <c r="D4088" s="1" t="inlineStr">
        <is>
          <t>NIKE Dri-FIT Club Structured Swoosh Unisex Cap (White/Black)</t>
        </is>
      </c>
      <c r="E4088" s="1" t="inlineStr">
        <is>
          <t>NIKE</t>
        </is>
      </c>
      <c r="F4088" s="1" t="inlineStr">
        <is>
          <t>CAP</t>
        </is>
      </c>
      <c r="G4088" s="1" t="inlineStr">
        <is>
          <t>GF2000106089M/L</t>
        </is>
      </c>
      <c r="H4088" s="1" t="n">
        <v>1</v>
      </c>
      <c r="I4088" s="1" t="inlineStr">
        <is>
          <t>มี</t>
        </is>
      </c>
      <c r="J4088" s="13" t="n">
        <v>39</v>
      </c>
      <c r="K4088" s="1" t="inlineStr"/>
      <c r="L4088" s="13" t="n">
        <v>39</v>
      </c>
      <c r="M4088" s="1">
        <f>IF(L4088="","ไม่พบใน SG",IF(ABS(J4088-L4088)&lt;0.005,"ตรงกัน","ไม่ตรง"))</f>
        <v/>
      </c>
      <c r="N4088" s="14">
        <f>IF(L4088="","",ROUND(L4088*'สรุป'!$C$6,-1))</f>
        <v/>
      </c>
      <c r="O4088" s="15" t="n"/>
      <c r="P4088" s="15" t="n"/>
      <c r="Q4088" s="10" t="n"/>
      <c r="R4088" s="10" t="n"/>
      <c r="S4088" s="16" t="inlineStr">
        <is>
          <t>https://mstgolf.co.th/products/gf2000106089</t>
        </is>
      </c>
      <c r="T4088" s="1">
        <f>IF(B4088="ไม้กอล์ฟ",J4088,"")</f>
        <v/>
      </c>
    </row>
    <row r="4089">
      <c r="A4089" s="1" t="n">
        <v>3</v>
      </c>
      <c r="B4089" s="1" t="inlineStr">
        <is>
          <t>หมวก</t>
        </is>
      </c>
      <c r="C4089" s="1" t="inlineStr">
        <is>
          <t>gf2000106086</t>
        </is>
      </c>
      <c r="D4089" s="1" t="inlineStr">
        <is>
          <t>NIKE Dri-FIT Fly Unstructured Swoosh Unisex Cap (Green/Green/White)</t>
        </is>
      </c>
      <c r="E4089" s="1" t="inlineStr">
        <is>
          <t>NIKE</t>
        </is>
      </c>
      <c r="F4089" s="1" t="inlineStr">
        <is>
          <t>CAP</t>
        </is>
      </c>
      <c r="G4089" s="1" t="inlineStr">
        <is>
          <t>GF2000106086M/L</t>
        </is>
      </c>
      <c r="H4089" s="1" t="n">
        <v>1</v>
      </c>
      <c r="I4089" s="1" t="inlineStr">
        <is>
          <t>มี</t>
        </is>
      </c>
      <c r="J4089" s="13" t="n">
        <v>39</v>
      </c>
      <c r="K4089" s="1" t="inlineStr"/>
      <c r="L4089" s="13" t="n">
        <v>39</v>
      </c>
      <c r="M4089" s="1">
        <f>IF(L4089="","ไม่พบใน SG",IF(ABS(J4089-L4089)&lt;0.005,"ตรงกัน","ไม่ตรง"))</f>
        <v/>
      </c>
      <c r="N4089" s="14">
        <f>IF(L4089="","",ROUND(L4089*'สรุป'!$C$6,-1))</f>
        <v/>
      </c>
      <c r="O4089" s="15" t="n"/>
      <c r="P4089" s="15" t="n"/>
      <c r="Q4089" s="10" t="n"/>
      <c r="R4089" s="10" t="n"/>
      <c r="S4089" s="16" t="inlineStr">
        <is>
          <t>https://mstgolf.co.th/products/gf2000106086</t>
        </is>
      </c>
      <c r="T4089" s="1">
        <f>IF(B4089="ไม้กอล์ฟ",J4089,"")</f>
        <v/>
      </c>
    </row>
    <row r="4090">
      <c r="A4090" s="1" t="n">
        <v>3</v>
      </c>
      <c r="B4090" s="1" t="inlineStr">
        <is>
          <t>เสื้อผ้า</t>
        </is>
      </c>
      <c r="C4090" s="1" t="inlineStr">
        <is>
          <t>gf2110100102</t>
        </is>
      </c>
      <c r="D4090" s="1" t="inlineStr">
        <is>
          <t>NIKE Jordan Shooter Arm Gloves (Black)</t>
        </is>
      </c>
      <c r="E4090" s="1" t="inlineStr">
        <is>
          <t>NIKE</t>
        </is>
      </c>
      <c r="F4090" s="1" t="inlineStr">
        <is>
          <t>ARM GLOVE</t>
        </is>
      </c>
      <c r="G4090" s="1" t="inlineStr">
        <is>
          <t>GF2110100102S-M</t>
        </is>
      </c>
      <c r="H4090" s="1" t="n">
        <v>2</v>
      </c>
      <c r="I4090" s="1" t="inlineStr">
        <is>
          <t>มี</t>
        </is>
      </c>
      <c r="J4090" s="13" t="n">
        <v>39</v>
      </c>
      <c r="K4090" s="1" t="inlineStr"/>
      <c r="L4090" s="13" t="n">
        <v>39</v>
      </c>
      <c r="M4090" s="1">
        <f>IF(L4090="","ไม่พบใน SG",IF(ABS(J4090-L4090)&lt;0.005,"ตรงกัน","ไม่ตรง"))</f>
        <v/>
      </c>
      <c r="N4090" s="14">
        <f>IF(L4090="","",ROUND(L4090*'สรุป'!$C$6,-1))</f>
        <v/>
      </c>
      <c r="O4090" s="15" t="n"/>
      <c r="P4090" s="15" t="n"/>
      <c r="Q4090" s="10" t="n"/>
      <c r="R4090" s="10" t="n"/>
      <c r="S4090" s="16" t="inlineStr">
        <is>
          <t>https://mstgolf.co.th/products/gf2110100102</t>
        </is>
      </c>
      <c r="T4090" s="1">
        <f>IF(B4090="ไม้กอล์ฟ",J4090,"")</f>
        <v/>
      </c>
    </row>
    <row r="4091">
      <c r="A4091" s="1" t="n">
        <v>3</v>
      </c>
      <c r="B4091" s="1" t="inlineStr">
        <is>
          <t>เสื้อผ้า</t>
        </is>
      </c>
      <c r="C4091" s="1" t="inlineStr">
        <is>
          <t>gf2040118677</t>
        </is>
      </c>
      <c r="D4091" s="1" t="inlineStr">
        <is>
          <t>NIKE Max90 Men's T-Shirt (Armory Navy)</t>
        </is>
      </c>
      <c r="E4091" s="1" t="inlineStr">
        <is>
          <t>NIKE</t>
        </is>
      </c>
      <c r="F4091" s="1" t="inlineStr">
        <is>
          <t>SHORT SLEEVES</t>
        </is>
      </c>
      <c r="G4091" s="1" t="inlineStr">
        <is>
          <t>GF2040118677S</t>
        </is>
      </c>
      <c r="H4091" s="1" t="n">
        <v>5</v>
      </c>
      <c r="I4091" s="1" t="inlineStr">
        <is>
          <t>มี</t>
        </is>
      </c>
      <c r="J4091" s="13" t="n">
        <v>39</v>
      </c>
      <c r="K4091" s="1" t="inlineStr"/>
      <c r="L4091" s="13" t="n">
        <v>39</v>
      </c>
      <c r="M4091" s="1">
        <f>IF(L4091="","ไม่พบใน SG",IF(ABS(J4091-L4091)&lt;0.005,"ตรงกัน","ไม่ตรง"))</f>
        <v/>
      </c>
      <c r="N4091" s="14">
        <f>IF(L4091="","",ROUND(L4091*'สรุป'!$C$6,-1))</f>
        <v/>
      </c>
      <c r="O4091" s="15" t="n"/>
      <c r="P4091" s="15" t="n"/>
      <c r="Q4091" s="10" t="n"/>
      <c r="R4091" s="10" t="n"/>
      <c r="S4091" s="16" t="inlineStr">
        <is>
          <t>https://mstgolf.co.th/products/gf2040118677</t>
        </is>
      </c>
      <c r="T4091" s="1">
        <f>IF(B4091="ไม้กอล์ฟ",J4091,"")</f>
        <v/>
      </c>
    </row>
    <row r="4092">
      <c r="A4092" s="1" t="n">
        <v>3</v>
      </c>
      <c r="B4092" s="1" t="inlineStr">
        <is>
          <t>เสื้อผ้า</t>
        </is>
      </c>
      <c r="C4092" s="1" t="inlineStr">
        <is>
          <t>gf2070400142</t>
        </is>
      </c>
      <c r="D4092" s="1" t="inlineStr">
        <is>
          <t>NIKE Pro Dri-FIT Tight Long Sleeve Men's Top (Black)</t>
        </is>
      </c>
      <c r="E4092" s="1" t="inlineStr">
        <is>
          <t>NIKE</t>
        </is>
      </c>
      <c r="F4092" s="1" t="inlineStr">
        <is>
          <t>SHIRT</t>
        </is>
      </c>
      <c r="G4092" s="1" t="inlineStr">
        <is>
          <t>GF2070400142XS</t>
        </is>
      </c>
      <c r="H4092" s="1" t="n">
        <v>6</v>
      </c>
      <c r="I4092" s="1" t="inlineStr">
        <is>
          <t>มี</t>
        </is>
      </c>
      <c r="J4092" s="13" t="n">
        <v>39</v>
      </c>
      <c r="K4092" s="1" t="inlineStr"/>
      <c r="L4092" s="13" t="n">
        <v>39</v>
      </c>
      <c r="M4092" s="1">
        <f>IF(L4092="","ไม่พบใน SG",IF(ABS(J4092-L4092)&lt;0.005,"ตรงกัน","ไม่ตรง"))</f>
        <v/>
      </c>
      <c r="N4092" s="14">
        <f>IF(L4092="","",ROUND(L4092*'สรุป'!$C$6,-1))</f>
        <v/>
      </c>
      <c r="O4092" s="15" t="n"/>
      <c r="P4092" s="15" t="n"/>
      <c r="Q4092" s="10" t="n"/>
      <c r="R4092" s="10" t="n"/>
      <c r="S4092" s="16" t="inlineStr">
        <is>
          <t>https://mstgolf.co.th/products/gf2070400142</t>
        </is>
      </c>
      <c r="T4092" s="1">
        <f>IF(B4092="ไม้กอล์ฟ",J4092,"")</f>
        <v/>
      </c>
    </row>
    <row r="4093">
      <c r="A4093" s="1" t="n">
        <v>3</v>
      </c>
      <c r="B4093" s="1" t="inlineStr">
        <is>
          <t>เสื้อผ้า</t>
        </is>
      </c>
      <c r="C4093" s="1" t="inlineStr">
        <is>
          <t>gf2040113256</t>
        </is>
      </c>
      <c r="D4093" s="1" t="inlineStr">
        <is>
          <t>NIKE The Polo 2.0 Women's Polo (Black)</t>
        </is>
      </c>
      <c r="E4093" s="1" t="inlineStr">
        <is>
          <t>NIKE</t>
        </is>
      </c>
      <c r="F4093" s="1" t="inlineStr">
        <is>
          <t>SHORT SLEEVES</t>
        </is>
      </c>
      <c r="G4093" s="1" t="inlineStr">
        <is>
          <t>GF2040113256XS</t>
        </is>
      </c>
      <c r="H4093" s="1" t="n">
        <v>6</v>
      </c>
      <c r="I4093" s="1" t="inlineStr">
        <is>
          <t>มี</t>
        </is>
      </c>
      <c r="J4093" s="13" t="n">
        <v>39</v>
      </c>
      <c r="K4093" s="1" t="inlineStr"/>
      <c r="L4093" s="13" t="n">
        <v>39</v>
      </c>
      <c r="M4093" s="1">
        <f>IF(L4093="","ไม่พบใน SG",IF(ABS(J4093-L4093)&lt;0.005,"ตรงกัน","ไม่ตรง"))</f>
        <v/>
      </c>
      <c r="N4093" s="14">
        <f>IF(L4093="","",ROUND(L4093*'สรุป'!$C$6,-1))</f>
        <v/>
      </c>
      <c r="O4093" s="15" t="n"/>
      <c r="P4093" s="15" t="n"/>
      <c r="Q4093" s="10" t="n"/>
      <c r="R4093" s="10" t="n"/>
      <c r="S4093" s="16" t="inlineStr">
        <is>
          <t>https://mstgolf.co.th/products/gf2040113256</t>
        </is>
      </c>
      <c r="T4093" s="1">
        <f>IF(B4093="ไม้กอล์ฟ",J4093,"")</f>
        <v/>
      </c>
    </row>
    <row r="4094">
      <c r="A4094" s="1" t="n">
        <v>3</v>
      </c>
      <c r="B4094" s="1" t="inlineStr">
        <is>
          <t>เสื้อผ้า</t>
        </is>
      </c>
      <c r="C4094" s="1" t="inlineStr">
        <is>
          <t>gf2040114614</t>
        </is>
      </c>
      <c r="D4094" s="1" t="inlineStr">
        <is>
          <t>NIKE The Polo 2.0 Women's Polo (Canyon Rust)</t>
        </is>
      </c>
      <c r="E4094" s="1" t="inlineStr">
        <is>
          <t>NIKE</t>
        </is>
      </c>
      <c r="F4094" s="1" t="inlineStr">
        <is>
          <t>SHORT SLEEVES</t>
        </is>
      </c>
      <c r="G4094" s="1" t="inlineStr">
        <is>
          <t>GF2040114614XS</t>
        </is>
      </c>
      <c r="H4094" s="1" t="n">
        <v>6</v>
      </c>
      <c r="I4094" s="1" t="inlineStr">
        <is>
          <t>มี</t>
        </is>
      </c>
      <c r="J4094" s="13" t="n">
        <v>39</v>
      </c>
      <c r="K4094" s="1" t="inlineStr"/>
      <c r="L4094" s="13" t="n">
        <v>39</v>
      </c>
      <c r="M4094" s="1">
        <f>IF(L4094="","ไม่พบใน SG",IF(ABS(J4094-L4094)&lt;0.005,"ตรงกัน","ไม่ตรง"))</f>
        <v/>
      </c>
      <c r="N4094" s="14">
        <f>IF(L4094="","",ROUND(L4094*'สรุป'!$C$6,-1))</f>
        <v/>
      </c>
      <c r="O4094" s="15" t="n"/>
      <c r="P4094" s="15" t="n"/>
      <c r="Q4094" s="10" t="n"/>
      <c r="R4094" s="10" t="n"/>
      <c r="S4094" s="16" t="inlineStr">
        <is>
          <t>https://mstgolf.co.th/products/gf2040114614</t>
        </is>
      </c>
      <c r="T4094" s="1">
        <f>IF(B4094="ไม้กอล์ฟ",J4094,"")</f>
        <v/>
      </c>
    </row>
    <row r="4095">
      <c r="A4095" s="1" t="n">
        <v>3</v>
      </c>
      <c r="B4095" s="1" t="inlineStr">
        <is>
          <t>หมวก</t>
        </is>
      </c>
      <c r="C4095" s="1" t="inlineStr">
        <is>
          <t>gf2000106435</t>
        </is>
      </c>
      <c r="D4095" s="1" t="inlineStr">
        <is>
          <t>PING G440 GWP Men's Cap (Black)</t>
        </is>
      </c>
      <c r="E4095" s="1" t="inlineStr">
        <is>
          <t>PING</t>
        </is>
      </c>
      <c r="F4095" s="1" t="inlineStr">
        <is>
          <t>CAP</t>
        </is>
      </c>
      <c r="G4095" s="1" t="inlineStr">
        <is>
          <t>GF2000106435FS</t>
        </is>
      </c>
      <c r="H4095" s="1" t="n">
        <v>1</v>
      </c>
      <c r="I4095" s="1" t="inlineStr">
        <is>
          <t>มี</t>
        </is>
      </c>
      <c r="J4095" s="13" t="n">
        <v>39</v>
      </c>
      <c r="K4095" s="1" t="inlineStr"/>
      <c r="L4095" s="13" t="n"/>
      <c r="M4095" s="1">
        <f>IF(L4095="","ไม่พบใน SG",IF(ABS(J4095-L4095)&lt;0.005,"ตรงกัน","ไม่ตรง"))</f>
        <v/>
      </c>
      <c r="N4095" s="14">
        <f>IF(L4095="","",ROUND(L4095*'สรุป'!$C$6,-1))</f>
        <v/>
      </c>
      <c r="O4095" s="15" t="n"/>
      <c r="P4095" s="15" t="n"/>
      <c r="Q4095" s="10" t="n"/>
      <c r="R4095" s="10" t="n"/>
      <c r="S4095" s="16" t="inlineStr">
        <is>
          <t>https://mstgolf.co.th/products/gf2000106435</t>
        </is>
      </c>
      <c r="T4095" s="1">
        <f>IF(B4095="ไม้กอล์ฟ",J4095,"")</f>
        <v/>
      </c>
    </row>
    <row r="4096">
      <c r="A4096" s="1" t="n">
        <v>3</v>
      </c>
      <c r="B4096" s="1" t="inlineStr">
        <is>
          <t>หมวก</t>
        </is>
      </c>
      <c r="C4096" s="1" t="inlineStr">
        <is>
          <t>gf2000105404</t>
        </is>
      </c>
      <c r="D4096" s="1" t="inlineStr">
        <is>
          <t>PING GWP G430 Promo Cap (White)</t>
        </is>
      </c>
      <c r="E4096" s="1" t="inlineStr">
        <is>
          <t>PING</t>
        </is>
      </c>
      <c r="F4096" s="1" t="inlineStr">
        <is>
          <t>CAP</t>
        </is>
      </c>
      <c r="G4096" s="1" t="inlineStr">
        <is>
          <t>GF2000105404</t>
        </is>
      </c>
      <c r="H4096" s="1" t="n">
        <v>1</v>
      </c>
      <c r="I4096" s="1" t="inlineStr">
        <is>
          <t>มี</t>
        </is>
      </c>
      <c r="J4096" s="13" t="n">
        <v>39</v>
      </c>
      <c r="K4096" s="1" t="inlineStr"/>
      <c r="L4096" s="13" t="n"/>
      <c r="M4096" s="1">
        <f>IF(L4096="","ไม่พบใน SG",IF(ABS(J4096-L4096)&lt;0.005,"ตรงกัน","ไม่ตรง"))</f>
        <v/>
      </c>
      <c r="N4096" s="14">
        <f>IF(L4096="","",ROUND(L4096*'สรุป'!$C$6,-1))</f>
        <v/>
      </c>
      <c r="O4096" s="15" t="n"/>
      <c r="P4096" s="15" t="n"/>
      <c r="Q4096" s="10" t="n"/>
      <c r="R4096" s="10" t="n"/>
      <c r="S4096" s="16" t="inlineStr">
        <is>
          <t>https://mstgolf.co.th/products/gf2000105404</t>
        </is>
      </c>
      <c r="T4096" s="1">
        <f>IF(B4096="ไม้กอล์ฟ",J4096,"")</f>
        <v/>
      </c>
    </row>
    <row r="4097">
      <c r="A4097" s="1" t="n">
        <v>3</v>
      </c>
      <c r="B4097" s="1" t="inlineStr">
        <is>
          <t>หมวก</t>
        </is>
      </c>
      <c r="C4097" s="1" t="inlineStr">
        <is>
          <t>gf2000105477</t>
        </is>
      </c>
      <c r="D4097" s="1" t="inlineStr">
        <is>
          <t>PING Ladies Came 214 Cap (Green/Camouflage)</t>
        </is>
      </c>
      <c r="E4097" s="1" t="inlineStr">
        <is>
          <t>PING</t>
        </is>
      </c>
      <c r="F4097" s="1" t="inlineStr">
        <is>
          <t>CAP</t>
        </is>
      </c>
      <c r="G4097" s="1" t="inlineStr">
        <is>
          <t>GF2000105477FS</t>
        </is>
      </c>
      <c r="H4097" s="1" t="n">
        <v>1</v>
      </c>
      <c r="I4097" s="1" t="inlineStr">
        <is>
          <t>มี</t>
        </is>
      </c>
      <c r="J4097" s="13" t="n">
        <v>39</v>
      </c>
      <c r="K4097" s="1" t="inlineStr"/>
      <c r="L4097" s="13" t="n">
        <v>39</v>
      </c>
      <c r="M4097" s="1">
        <f>IF(L4097="","ไม่พบใน SG",IF(ABS(J4097-L4097)&lt;0.005,"ตรงกัน","ไม่ตรง"))</f>
        <v/>
      </c>
      <c r="N4097" s="14">
        <f>IF(L4097="","",ROUND(L4097*'สรุป'!$C$6,-1))</f>
        <v/>
      </c>
      <c r="O4097" s="15" t="n"/>
      <c r="P4097" s="15" t="n"/>
      <c r="Q4097" s="10" t="n"/>
      <c r="R4097" s="10" t="n"/>
      <c r="S4097" s="16" t="inlineStr">
        <is>
          <t>https://mstgolf.co.th/products/gf2000105477</t>
        </is>
      </c>
      <c r="T4097" s="1">
        <f>IF(B4097="ไม้กอล์ฟ",J4097,"")</f>
        <v/>
      </c>
    </row>
    <row r="4098">
      <c r="A4098" s="1" t="n">
        <v>3</v>
      </c>
      <c r="B4098" s="1" t="inlineStr">
        <is>
          <t>หมวก</t>
        </is>
      </c>
      <c r="C4098" s="1" t="inlineStr">
        <is>
          <t>gf2000104968</t>
        </is>
      </c>
      <c r="D4098" s="1" t="inlineStr">
        <is>
          <t>PING Structure Men's Cap (Blue/White)</t>
        </is>
      </c>
      <c r="E4098" s="1" t="inlineStr">
        <is>
          <t>PING</t>
        </is>
      </c>
      <c r="F4098" s="1" t="inlineStr">
        <is>
          <t>CAP</t>
        </is>
      </c>
      <c r="G4098" s="1" t="inlineStr">
        <is>
          <t>GF2000104968S/M</t>
        </is>
      </c>
      <c r="H4098" s="1" t="n">
        <v>2</v>
      </c>
      <c r="I4098" s="1" t="inlineStr">
        <is>
          <t>มี</t>
        </is>
      </c>
      <c r="J4098" s="13" t="n">
        <v>39</v>
      </c>
      <c r="K4098" s="1" t="inlineStr"/>
      <c r="L4098" s="13" t="n">
        <v>39</v>
      </c>
      <c r="M4098" s="1">
        <f>IF(L4098="","ไม่พบใน SG",IF(ABS(J4098-L4098)&lt;0.005,"ตรงกัน","ไม่ตรง"))</f>
        <v/>
      </c>
      <c r="N4098" s="14">
        <f>IF(L4098="","",ROUND(L4098*'สรุป'!$C$6,-1))</f>
        <v/>
      </c>
      <c r="O4098" s="15" t="n"/>
      <c r="P4098" s="15" t="n"/>
      <c r="Q4098" s="10" t="n"/>
      <c r="R4098" s="10" t="n"/>
      <c r="S4098" s="16" t="inlineStr">
        <is>
          <t>https://mstgolf.co.th/products/gf2000104968</t>
        </is>
      </c>
      <c r="T4098" s="1">
        <f>IF(B4098="ไม้กอล์ฟ",J4098,"")</f>
        <v/>
      </c>
    </row>
    <row r="4099">
      <c r="A4099" s="1" t="n">
        <v>3</v>
      </c>
      <c r="B4099" s="1" t="inlineStr">
        <is>
          <t>หมวก</t>
        </is>
      </c>
      <c r="C4099" s="1" t="inlineStr">
        <is>
          <t>gf2000104966</t>
        </is>
      </c>
      <c r="D4099" s="1" t="inlineStr">
        <is>
          <t>PING Structure Men's Cap (White/Black)</t>
        </is>
      </c>
      <c r="E4099" s="1" t="inlineStr">
        <is>
          <t>PING</t>
        </is>
      </c>
      <c r="F4099" s="1" t="inlineStr">
        <is>
          <t>CAP</t>
        </is>
      </c>
      <c r="G4099" s="1" t="inlineStr">
        <is>
          <t>GF2000104966S/M</t>
        </is>
      </c>
      <c r="H4099" s="1" t="n">
        <v>2</v>
      </c>
      <c r="I4099" s="1" t="inlineStr">
        <is>
          <t>มี</t>
        </is>
      </c>
      <c r="J4099" s="13" t="n">
        <v>39</v>
      </c>
      <c r="K4099" s="1" t="inlineStr"/>
      <c r="L4099" s="13" t="n">
        <v>39</v>
      </c>
      <c r="M4099" s="1">
        <f>IF(L4099="","ไม่พบใน SG",IF(ABS(J4099-L4099)&lt;0.005,"ตรงกัน","ไม่ตรง"))</f>
        <v/>
      </c>
      <c r="N4099" s="14">
        <f>IF(L4099="","",ROUND(L4099*'สรุป'!$C$6,-1))</f>
        <v/>
      </c>
      <c r="O4099" s="15" t="n"/>
      <c r="P4099" s="15" t="n"/>
      <c r="Q4099" s="10" t="n"/>
      <c r="R4099" s="10" t="n"/>
      <c r="S4099" s="16" t="inlineStr">
        <is>
          <t>https://mstgolf.co.th/products/gf2000104966</t>
        </is>
      </c>
      <c r="T4099" s="1">
        <f>IF(B4099="ไม้กอล์ฟ",J4099,"")</f>
        <v/>
      </c>
    </row>
    <row r="4100">
      <c r="A4100" s="1" t="n">
        <v>3</v>
      </c>
      <c r="B4100" s="1" t="inlineStr">
        <is>
          <t>หมวก</t>
        </is>
      </c>
      <c r="C4100" s="1" t="inlineStr">
        <is>
          <t>gf2000200849</t>
        </is>
      </c>
      <c r="D4100" s="1" t="inlineStr">
        <is>
          <t>PING Tour Men's Visor (Black)</t>
        </is>
      </c>
      <c r="E4100" s="1" t="inlineStr">
        <is>
          <t>PING</t>
        </is>
      </c>
      <c r="F4100" s="1" t="inlineStr">
        <is>
          <t>VISOR</t>
        </is>
      </c>
      <c r="G4100" s="1" t="inlineStr">
        <is>
          <t>GF2000200849FS</t>
        </is>
      </c>
      <c r="H4100" s="1" t="n">
        <v>1</v>
      </c>
      <c r="I4100" s="1" t="inlineStr">
        <is>
          <t>มี</t>
        </is>
      </c>
      <c r="J4100" s="13" t="n">
        <v>39</v>
      </c>
      <c r="K4100" s="1" t="inlineStr"/>
      <c r="L4100" s="13" t="n">
        <v>39</v>
      </c>
      <c r="M4100" s="1">
        <f>IF(L4100="","ไม่พบใน SG",IF(ABS(J4100-L4100)&lt;0.005,"ตรงกัน","ไม่ตรง"))</f>
        <v/>
      </c>
      <c r="N4100" s="14">
        <f>IF(L4100="","",ROUND(L4100*'สรุป'!$C$6,-1))</f>
        <v/>
      </c>
      <c r="O4100" s="15" t="n"/>
      <c r="P4100" s="15" t="n"/>
      <c r="Q4100" s="10" t="n"/>
      <c r="R4100" s="10" t="n"/>
      <c r="S4100" s="16" t="inlineStr">
        <is>
          <t>https://mstgolf.co.th/products/gf2000200849</t>
        </is>
      </c>
      <c r="T4100" s="1">
        <f>IF(B4100="ไม้กอล์ฟ",J4100,"")</f>
        <v/>
      </c>
    </row>
    <row r="4101">
      <c r="A4101" s="1" t="n">
        <v>3</v>
      </c>
      <c r="B4101" s="1" t="inlineStr">
        <is>
          <t>หมวก</t>
        </is>
      </c>
      <c r="C4101" s="1" t="inlineStr">
        <is>
          <t>gf2000200848</t>
        </is>
      </c>
      <c r="D4101" s="1" t="inlineStr">
        <is>
          <t>PING Tour Men's Visor (White)</t>
        </is>
      </c>
      <c r="E4101" s="1" t="inlineStr">
        <is>
          <t>PING</t>
        </is>
      </c>
      <c r="F4101" s="1" t="inlineStr">
        <is>
          <t>VISOR</t>
        </is>
      </c>
      <c r="G4101" s="1" t="inlineStr">
        <is>
          <t>GF2000200848FS</t>
        </is>
      </c>
      <c r="H4101" s="1" t="n">
        <v>1</v>
      </c>
      <c r="I4101" s="1" t="inlineStr">
        <is>
          <t>มี</t>
        </is>
      </c>
      <c r="J4101" s="13" t="n">
        <v>39</v>
      </c>
      <c r="K4101" s="1" t="inlineStr"/>
      <c r="L4101" s="13" t="n">
        <v>39</v>
      </c>
      <c r="M4101" s="1">
        <f>IF(L4101="","ไม่พบใน SG",IF(ABS(J4101-L4101)&lt;0.005,"ตรงกัน","ไม่ตรง"))</f>
        <v/>
      </c>
      <c r="N4101" s="14">
        <f>IF(L4101="","",ROUND(L4101*'สรุป'!$C$6,-1))</f>
        <v/>
      </c>
      <c r="O4101" s="15" t="n"/>
      <c r="P4101" s="15" t="n"/>
      <c r="Q4101" s="10" t="n"/>
      <c r="R4101" s="10" t="n"/>
      <c r="S4101" s="16" t="inlineStr">
        <is>
          <t>https://mstgolf.co.th/products/gf2000200848</t>
        </is>
      </c>
      <c r="T4101" s="1">
        <f>IF(B4101="ไม้กอล์ฟ",J4101,"")</f>
        <v/>
      </c>
    </row>
    <row r="4102">
      <c r="A4102" s="1" t="n">
        <v>3</v>
      </c>
      <c r="B4102" s="1" t="inlineStr">
        <is>
          <t>หมวก</t>
        </is>
      </c>
      <c r="C4102" s="1" t="inlineStr">
        <is>
          <t>gf2000300153</t>
        </is>
      </c>
      <c r="D4102" s="1" t="inlineStr">
        <is>
          <t>PUMA Driver Men's Hat (Black)</t>
        </is>
      </c>
      <c r="E4102" s="1" t="inlineStr">
        <is>
          <t>PUMA</t>
        </is>
      </c>
      <c r="F4102" s="1" t="inlineStr">
        <is>
          <t>HAT</t>
        </is>
      </c>
      <c r="G4102" s="1" t="inlineStr">
        <is>
          <t>GF2000300153FS</t>
        </is>
      </c>
      <c r="H4102" s="1" t="n">
        <v>4</v>
      </c>
      <c r="I4102" s="1" t="inlineStr">
        <is>
          <t>มี</t>
        </is>
      </c>
      <c r="J4102" s="13" t="n">
        <v>39</v>
      </c>
      <c r="K4102" s="1" t="inlineStr"/>
      <c r="L4102" s="13" t="n">
        <v>39</v>
      </c>
      <c r="M4102" s="1">
        <f>IF(L4102="","ไม่พบใน SG",IF(ABS(J4102-L4102)&lt;0.005,"ตรงกัน","ไม่ตรง"))</f>
        <v/>
      </c>
      <c r="N4102" s="14">
        <f>IF(L4102="","",ROUND(L4102*'สรุป'!$C$6,-1))</f>
        <v/>
      </c>
      <c r="O4102" s="15" t="n"/>
      <c r="P4102" s="15" t="n"/>
      <c r="Q4102" s="10" t="n"/>
      <c r="R4102" s="10" t="n"/>
      <c r="S4102" s="16" t="inlineStr">
        <is>
          <t>https://mstgolf.co.th/products/gf2000300153</t>
        </is>
      </c>
      <c r="T4102" s="1">
        <f>IF(B4102="ไม้กอล์ฟ",J4102,"")</f>
        <v/>
      </c>
    </row>
    <row r="4103">
      <c r="A4103" s="1" t="n">
        <v>3</v>
      </c>
      <c r="B4103" s="1" t="inlineStr">
        <is>
          <t>หมวก</t>
        </is>
      </c>
      <c r="C4103" s="1" t="inlineStr">
        <is>
          <t>gf2000200864</t>
        </is>
      </c>
      <c r="D4103" s="1" t="inlineStr">
        <is>
          <t>PUMA Men's Adjustable P Visor (White)</t>
        </is>
      </c>
      <c r="E4103" s="1" t="inlineStr">
        <is>
          <t>PUMA</t>
        </is>
      </c>
      <c r="F4103" s="1" t="inlineStr">
        <is>
          <t>VISOR</t>
        </is>
      </c>
      <c r="G4103" s="1" t="inlineStr">
        <is>
          <t>GF2000200864FS</t>
        </is>
      </c>
      <c r="H4103" s="1" t="n">
        <v>1</v>
      </c>
      <c r="I4103" s="1" t="inlineStr">
        <is>
          <t>มี</t>
        </is>
      </c>
      <c r="J4103" s="13" t="n">
        <v>39</v>
      </c>
      <c r="K4103" s="1" t="inlineStr"/>
      <c r="L4103" s="13" t="n">
        <v>16</v>
      </c>
      <c r="M4103" s="1">
        <f>IF(L4103="","ไม่พบใน SG",IF(ABS(J4103-L4103)&lt;0.005,"ตรงกัน","ไม่ตรง"))</f>
        <v/>
      </c>
      <c r="N4103" s="14">
        <f>IF(L4103="","",ROUND(L4103*'สรุป'!$C$6,-1))</f>
        <v/>
      </c>
      <c r="O4103" s="15" t="n"/>
      <c r="P4103" s="15" t="n"/>
      <c r="Q4103" s="10" t="n"/>
      <c r="R4103" s="10" t="n"/>
      <c r="S4103" s="16" t="inlineStr">
        <is>
          <t>https://mstgolf.co.th/products/gf2000200864</t>
        </is>
      </c>
      <c r="T4103" s="1">
        <f>IF(B4103="ไม้กอล์ฟ",J4103,"")</f>
        <v/>
      </c>
    </row>
    <row r="4104">
      <c r="A4104" s="1" t="n">
        <v>3</v>
      </c>
      <c r="B4104" s="1" t="inlineStr">
        <is>
          <t>หมวก</t>
        </is>
      </c>
      <c r="C4104" s="1" t="inlineStr">
        <is>
          <t>gf2000105093</t>
        </is>
      </c>
      <c r="D4104" s="1" t="inlineStr">
        <is>
          <t>PUMA P Youth Junior Cap (Black/White)</t>
        </is>
      </c>
      <c r="E4104" s="1" t="inlineStr">
        <is>
          <t>PUMA</t>
        </is>
      </c>
      <c r="F4104" s="1" t="inlineStr">
        <is>
          <t>CAP</t>
        </is>
      </c>
      <c r="G4104" s="1" t="inlineStr">
        <is>
          <t>GF2000105093FS</t>
        </is>
      </c>
      <c r="H4104" s="1" t="n">
        <v>1</v>
      </c>
      <c r="I4104" s="1" t="inlineStr">
        <is>
          <t>มี</t>
        </is>
      </c>
      <c r="J4104" s="13" t="n">
        <v>39</v>
      </c>
      <c r="K4104" s="1" t="inlineStr"/>
      <c r="L4104" s="13" t="n">
        <v>39</v>
      </c>
      <c r="M4104" s="1">
        <f>IF(L4104="","ไม่พบใน SG",IF(ABS(J4104-L4104)&lt;0.005,"ตรงกัน","ไม่ตรง"))</f>
        <v/>
      </c>
      <c r="N4104" s="14">
        <f>IF(L4104="","",ROUND(L4104*'สรุป'!$C$6,-1))</f>
        <v/>
      </c>
      <c r="O4104" s="15" t="n"/>
      <c r="P4104" s="15" t="n"/>
      <c r="Q4104" s="10" t="n"/>
      <c r="R4104" s="10" t="n"/>
      <c r="S4104" s="16" t="inlineStr">
        <is>
          <t>https://mstgolf.co.th/products/gf2000105093</t>
        </is>
      </c>
      <c r="T4104" s="1">
        <f>IF(B4104="ไม้กอล์ฟ",J4104,"")</f>
        <v/>
      </c>
    </row>
    <row r="4105">
      <c r="A4105" s="1" t="n">
        <v>3</v>
      </c>
      <c r="B4105" s="1" t="inlineStr">
        <is>
          <t>อุปกรณ์เสริม</t>
        </is>
      </c>
      <c r="C4105" s="1" t="inlineStr">
        <is>
          <t>gf2080101181</t>
        </is>
      </c>
      <c r="D4105" s="1" t="inlineStr">
        <is>
          <t>PUMA Reversible Web Boy's Belt (Navy Blazer)</t>
        </is>
      </c>
      <c r="E4105" s="1" t="inlineStr">
        <is>
          <t>PUMA</t>
        </is>
      </c>
      <c r="F4105" s="1" t="inlineStr">
        <is>
          <t>BELT</t>
        </is>
      </c>
      <c r="G4105" s="1" t="inlineStr">
        <is>
          <t>GF2080101181FS</t>
        </is>
      </c>
      <c r="H4105" s="1" t="n">
        <v>1</v>
      </c>
      <c r="I4105" s="1" t="inlineStr">
        <is>
          <t>มี</t>
        </is>
      </c>
      <c r="J4105" s="13" t="n">
        <v>39</v>
      </c>
      <c r="K4105" s="1" t="inlineStr"/>
      <c r="L4105" s="13" t="n">
        <v>39</v>
      </c>
      <c r="M4105" s="1">
        <f>IF(L4105="","ไม่พบใน SG",IF(ABS(J4105-L4105)&lt;0.005,"ตรงกัน","ไม่ตรง"))</f>
        <v/>
      </c>
      <c r="N4105" s="14">
        <f>IF(L4105="","",ROUND(L4105*'สรุป'!$C$6,-1))</f>
        <v/>
      </c>
      <c r="O4105" s="15" t="n"/>
      <c r="P4105" s="15" t="n"/>
      <c r="Q4105" s="10" t="n"/>
      <c r="R4105" s="10" t="n"/>
      <c r="S4105" s="16" t="inlineStr">
        <is>
          <t>https://mstgolf.co.th/products/gf2080101181</t>
        </is>
      </c>
      <c r="T4105" s="1">
        <f>IF(B4105="ไม้กอล์ฟ",J4105,"")</f>
        <v/>
      </c>
    </row>
    <row r="4106">
      <c r="A4106" s="1" t="n">
        <v>3</v>
      </c>
      <c r="B4106" s="1" t="inlineStr">
        <is>
          <t>อุปกรณ์เสริม</t>
        </is>
      </c>
      <c r="C4106" s="1" t="inlineStr">
        <is>
          <t>gf2080101146</t>
        </is>
      </c>
      <c r="D4106" s="1" t="inlineStr">
        <is>
          <t>PUMA Reversible Web Men's Belt (Black/Grey)</t>
        </is>
      </c>
      <c r="E4106" s="1" t="inlineStr">
        <is>
          <t>PUMA</t>
        </is>
      </c>
      <c r="F4106" s="1" t="inlineStr">
        <is>
          <t>BELT</t>
        </is>
      </c>
      <c r="G4106" s="1" t="inlineStr">
        <is>
          <t>GF2080101146FS</t>
        </is>
      </c>
      <c r="H4106" s="1" t="n">
        <v>1</v>
      </c>
      <c r="I4106" s="1" t="inlineStr">
        <is>
          <t>มี</t>
        </is>
      </c>
      <c r="J4106" s="13" t="n">
        <v>39</v>
      </c>
      <c r="K4106" s="1" t="inlineStr"/>
      <c r="L4106" s="13" t="n">
        <v>39</v>
      </c>
      <c r="M4106" s="1">
        <f>IF(L4106="","ไม่พบใน SG",IF(ABS(J4106-L4106)&lt;0.005,"ตรงกัน","ไม่ตรง"))</f>
        <v/>
      </c>
      <c r="N4106" s="14">
        <f>IF(L4106="","",ROUND(L4106*'สรุป'!$C$6,-1))</f>
        <v/>
      </c>
      <c r="O4106" s="15" t="n"/>
      <c r="P4106" s="15" t="n"/>
      <c r="Q4106" s="10" t="n"/>
      <c r="R4106" s="10" t="n"/>
      <c r="S4106" s="16" t="inlineStr">
        <is>
          <t>https://mstgolf.co.th/products/gf2080101146</t>
        </is>
      </c>
      <c r="T4106" s="1">
        <f>IF(B4106="ไม้กอล์ฟ",J4106,"")</f>
        <v/>
      </c>
    </row>
    <row r="4107">
      <c r="A4107" s="1" t="n">
        <v>3</v>
      </c>
      <c r="B4107" s="1" t="inlineStr">
        <is>
          <t>อุปกรณ์เสริม</t>
        </is>
      </c>
      <c r="C4107" s="1" t="inlineStr">
        <is>
          <t>gf2080101145</t>
        </is>
      </c>
      <c r="D4107" s="1" t="inlineStr">
        <is>
          <t>PUMA Reversible Web Men's Belt (Navy Blazer)</t>
        </is>
      </c>
      <c r="E4107" s="1" t="inlineStr">
        <is>
          <t>PUMA</t>
        </is>
      </c>
      <c r="F4107" s="1" t="inlineStr">
        <is>
          <t>BELT</t>
        </is>
      </c>
      <c r="G4107" s="1" t="inlineStr">
        <is>
          <t>GF2080101145FS</t>
        </is>
      </c>
      <c r="H4107" s="1" t="n">
        <v>1</v>
      </c>
      <c r="I4107" s="1" t="inlineStr">
        <is>
          <t>มี</t>
        </is>
      </c>
      <c r="J4107" s="13" t="n">
        <v>39</v>
      </c>
      <c r="K4107" s="1" t="inlineStr"/>
      <c r="L4107" s="13" t="n">
        <v>39</v>
      </c>
      <c r="M4107" s="1">
        <f>IF(L4107="","ไม่พบใน SG",IF(ABS(J4107-L4107)&lt;0.005,"ตรงกัน","ไม่ตรง"))</f>
        <v/>
      </c>
      <c r="N4107" s="14">
        <f>IF(L4107="","",ROUND(L4107*'สรุป'!$C$6,-1))</f>
        <v/>
      </c>
      <c r="O4107" s="15" t="n"/>
      <c r="P4107" s="15" t="n"/>
      <c r="Q4107" s="10" t="n"/>
      <c r="R4107" s="10" t="n"/>
      <c r="S4107" s="16" t="inlineStr">
        <is>
          <t>https://mstgolf.co.th/products/gf2080101145</t>
        </is>
      </c>
      <c r="T4107" s="1">
        <f>IF(B4107="ไม้กอล์ฟ",J4107,"")</f>
        <v/>
      </c>
    </row>
    <row r="4108">
      <c r="A4108" s="1" t="n">
        <v>3</v>
      </c>
      <c r="B4108" s="1" t="inlineStr">
        <is>
          <t>อุปกรณ์เสริม</t>
        </is>
      </c>
      <c r="C4108" s="1" t="inlineStr">
        <is>
          <t>gf2080101142</t>
        </is>
      </c>
      <c r="D4108" s="1" t="inlineStr">
        <is>
          <t>PUMA Ultralite Stretch Men's Belt (Black)</t>
        </is>
      </c>
      <c r="E4108" s="1" t="inlineStr">
        <is>
          <t>PUMA</t>
        </is>
      </c>
      <c r="F4108" s="1" t="inlineStr">
        <is>
          <t>BELT</t>
        </is>
      </c>
      <c r="G4108" s="1" t="inlineStr">
        <is>
          <t>GF2080101142FS</t>
        </is>
      </c>
      <c r="H4108" s="1" t="n">
        <v>1</v>
      </c>
      <c r="I4108" s="1" t="inlineStr">
        <is>
          <t>มี</t>
        </is>
      </c>
      <c r="J4108" s="13" t="n">
        <v>39</v>
      </c>
      <c r="K4108" s="1" t="inlineStr"/>
      <c r="L4108" s="13" t="n">
        <v>39</v>
      </c>
      <c r="M4108" s="1">
        <f>IF(L4108="","ไม่พบใน SG",IF(ABS(J4108-L4108)&lt;0.005,"ตรงกัน","ไม่ตรง"))</f>
        <v/>
      </c>
      <c r="N4108" s="14">
        <f>IF(L4108="","",ROUND(L4108*'สรุป'!$C$6,-1))</f>
        <v/>
      </c>
      <c r="O4108" s="15" t="n"/>
      <c r="P4108" s="15" t="n"/>
      <c r="Q4108" s="10" t="n"/>
      <c r="R4108" s="10" t="n"/>
      <c r="S4108" s="16" t="inlineStr">
        <is>
          <t>https://mstgolf.co.th/products/gf2080101142</t>
        </is>
      </c>
      <c r="T4108" s="1">
        <f>IF(B4108="ไม้กอล์ฟ",J4108,"")</f>
        <v/>
      </c>
    </row>
    <row r="4109">
      <c r="A4109" s="1" t="n">
        <v>3</v>
      </c>
      <c r="B4109" s="1" t="inlineStr">
        <is>
          <t>อุปกรณ์เสริม</t>
        </is>
      </c>
      <c r="C4109" s="1" t="inlineStr">
        <is>
          <t>gf2080101290</t>
        </is>
      </c>
      <c r="D4109" s="1" t="inlineStr">
        <is>
          <t>PUMA Ultralite Stretch Men's Belt (High Rise)</t>
        </is>
      </c>
      <c r="E4109" s="1" t="inlineStr">
        <is>
          <t>PUMA</t>
        </is>
      </c>
      <c r="F4109" s="1" t="inlineStr">
        <is>
          <t>BELT</t>
        </is>
      </c>
      <c r="G4109" s="1" t="inlineStr">
        <is>
          <t>GF2080101290FS</t>
        </is>
      </c>
      <c r="H4109" s="1" t="n">
        <v>1</v>
      </c>
      <c r="I4109" s="1" t="inlineStr">
        <is>
          <t>มี</t>
        </is>
      </c>
      <c r="J4109" s="13" t="n">
        <v>39</v>
      </c>
      <c r="K4109" s="1" t="inlineStr"/>
      <c r="L4109" s="13" t="n">
        <v>39</v>
      </c>
      <c r="M4109" s="1">
        <f>IF(L4109="","ไม่พบใน SG",IF(ABS(J4109-L4109)&lt;0.005,"ตรงกัน","ไม่ตรง"))</f>
        <v/>
      </c>
      <c r="N4109" s="14">
        <f>IF(L4109="","",ROUND(L4109*'สรุป'!$C$6,-1))</f>
        <v/>
      </c>
      <c r="O4109" s="15" t="n"/>
      <c r="P4109" s="15" t="n"/>
      <c r="Q4109" s="10" t="n"/>
      <c r="R4109" s="10" t="n"/>
      <c r="S4109" s="16" t="inlineStr">
        <is>
          <t>https://mstgolf.co.th/products/gf2080101290</t>
        </is>
      </c>
      <c r="T4109" s="1">
        <f>IF(B4109="ไม้กอล์ฟ",J4109,"")</f>
        <v/>
      </c>
    </row>
    <row r="4110">
      <c r="A4110" s="1" t="n">
        <v>3</v>
      </c>
      <c r="B4110" s="1" t="inlineStr">
        <is>
          <t>หมวก</t>
        </is>
      </c>
      <c r="C4110" s="1" t="inlineStr">
        <is>
          <t>gf2000105761</t>
        </is>
      </c>
      <c r="D4110" s="1" t="inlineStr">
        <is>
          <t>PUMA Youth Junior P Cap (Aqua/White)</t>
        </is>
      </c>
      <c r="E4110" s="1" t="inlineStr">
        <is>
          <t>PUMA</t>
        </is>
      </c>
      <c r="F4110" s="1" t="inlineStr">
        <is>
          <t>CAP</t>
        </is>
      </c>
      <c r="G4110" s="1" t="inlineStr">
        <is>
          <t>GF2000105761FS</t>
        </is>
      </c>
      <c r="H4110" s="1" t="n">
        <v>1</v>
      </c>
      <c r="I4110" s="1" t="inlineStr">
        <is>
          <t>มี</t>
        </is>
      </c>
      <c r="J4110" s="13" t="n">
        <v>39</v>
      </c>
      <c r="K4110" s="1" t="inlineStr"/>
      <c r="L4110" s="13" t="n">
        <v>39</v>
      </c>
      <c r="M4110" s="1">
        <f>IF(L4110="","ไม่พบใน SG",IF(ABS(J4110-L4110)&lt;0.005,"ตรงกัน","ไม่ตรง"))</f>
        <v/>
      </c>
      <c r="N4110" s="14">
        <f>IF(L4110="","",ROUND(L4110*'สรุป'!$C$6,-1))</f>
        <v/>
      </c>
      <c r="O4110" s="15" t="n"/>
      <c r="P4110" s="15" t="n"/>
      <c r="Q4110" s="10" t="n"/>
      <c r="R4110" s="10" t="n"/>
      <c r="S4110" s="16" t="inlineStr">
        <is>
          <t>https://mstgolf.co.th/products/gf2000105761</t>
        </is>
      </c>
      <c r="T4110" s="1">
        <f>IF(B4110="ไม้กอล์ฟ",J4110,"")</f>
        <v/>
      </c>
    </row>
    <row r="4111">
      <c r="A4111" s="1" t="n">
        <v>3</v>
      </c>
      <c r="B4111" s="1" t="inlineStr">
        <is>
          <t>หมวก</t>
        </is>
      </c>
      <c r="C4111" s="1" t="inlineStr">
        <is>
          <t>gf2000105095</t>
        </is>
      </c>
      <c r="D4111" s="1" t="inlineStr">
        <is>
          <t>PUMA Youth Pars &amp; Stripes P Junior Cap (White)</t>
        </is>
      </c>
      <c r="E4111" s="1" t="inlineStr">
        <is>
          <t>PUMA</t>
        </is>
      </c>
      <c r="F4111" s="1" t="inlineStr">
        <is>
          <t>CAP</t>
        </is>
      </c>
      <c r="G4111" s="1" t="inlineStr">
        <is>
          <t>GF2000105095FS</t>
        </is>
      </c>
      <c r="H4111" s="1" t="n">
        <v>1</v>
      </c>
      <c r="I4111" s="1" t="inlineStr">
        <is>
          <t>มี</t>
        </is>
      </c>
      <c r="J4111" s="13" t="n">
        <v>39</v>
      </c>
      <c r="K4111" s="1" t="inlineStr"/>
      <c r="L4111" s="13" t="n">
        <v>39</v>
      </c>
      <c r="M4111" s="1">
        <f>IF(L4111="","ไม่พบใน SG",IF(ABS(J4111-L4111)&lt;0.005,"ตรงกัน","ไม่ตรง"))</f>
        <v/>
      </c>
      <c r="N4111" s="14">
        <f>IF(L4111="","",ROUND(L4111*'สรุป'!$C$6,-1))</f>
        <v/>
      </c>
      <c r="O4111" s="15" t="n"/>
      <c r="P4111" s="15" t="n"/>
      <c r="Q4111" s="10" t="n"/>
      <c r="R4111" s="10" t="n"/>
      <c r="S4111" s="16" t="inlineStr">
        <is>
          <t>https://mstgolf.co.th/products/gf2000105095</t>
        </is>
      </c>
      <c r="T4111" s="1">
        <f>IF(B4111="ไม้กอล์ฟ",J4111,"")</f>
        <v/>
      </c>
    </row>
    <row r="4112">
      <c r="A4112" s="1" t="n">
        <v>3</v>
      </c>
      <c r="B4112" s="1" t="inlineStr">
        <is>
          <t>อุปกรณ์เสริม</t>
        </is>
      </c>
      <c r="C4112" s="1" t="inlineStr">
        <is>
          <t>gf3500201389</t>
        </is>
      </c>
      <c r="D4112" s="1" t="inlineStr">
        <is>
          <t>TAYLORMADE SLIM BLADE HEADCOVER</t>
        </is>
      </c>
      <c r="E4112" s="1" t="inlineStr">
        <is>
          <t>TAYLORMADE</t>
        </is>
      </c>
      <c r="F4112" s="1" t="inlineStr">
        <is>
          <t>HEADCOVERS</t>
        </is>
      </c>
      <c r="G4112" s="1" t="inlineStr">
        <is>
          <t>GF3500201389</t>
        </is>
      </c>
      <c r="H4112" s="1" t="n">
        <v>1</v>
      </c>
      <c r="I4112" s="1" t="inlineStr">
        <is>
          <t>มี</t>
        </is>
      </c>
      <c r="J4112" s="13" t="n">
        <v>39</v>
      </c>
      <c r="K4112" s="1" t="inlineStr"/>
      <c r="L4112" s="13" t="n">
        <v>39</v>
      </c>
      <c r="M4112" s="1">
        <f>IF(L4112="","ไม่พบใน SG",IF(ABS(J4112-L4112)&lt;0.005,"ตรงกัน","ไม่ตรง"))</f>
        <v/>
      </c>
      <c r="N4112" s="14">
        <f>IF(L4112="","",ROUND(L4112*'สรุป'!$C$6,-1))</f>
        <v/>
      </c>
      <c r="O4112" s="15" t="n"/>
      <c r="P4112" s="15" t="n"/>
      <c r="Q4112" s="10" t="n"/>
      <c r="R4112" s="10" t="n"/>
      <c r="S4112" s="16" t="inlineStr">
        <is>
          <t>https://mstgolf.co.th/products/gf3500201389</t>
        </is>
      </c>
      <c r="T4112" s="1">
        <f>IF(B4112="ไม้กอล์ฟ",J4112,"")</f>
        <v/>
      </c>
    </row>
    <row r="4113">
      <c r="A4113" s="1" t="n">
        <v>3</v>
      </c>
      <c r="B4113" s="1" t="inlineStr">
        <is>
          <t>อุปกรณ์เสริม</t>
        </is>
      </c>
      <c r="C4113" s="1" t="inlineStr">
        <is>
          <t>gf3500201353</t>
        </is>
      </c>
      <c r="D4113" s="1" t="inlineStr">
        <is>
          <t>TAYLORMADE Slim Utility Headcover (Black)</t>
        </is>
      </c>
      <c r="E4113" s="1" t="inlineStr">
        <is>
          <t>TAYLORMADE</t>
        </is>
      </c>
      <c r="F4113" s="1" t="inlineStr">
        <is>
          <t>HEADCOVERS</t>
        </is>
      </c>
      <c r="G4113" s="1" t="inlineStr">
        <is>
          <t>GF3500201353</t>
        </is>
      </c>
      <c r="H4113" s="1" t="n">
        <v>1</v>
      </c>
      <c r="I4113" s="1" t="inlineStr">
        <is>
          <t>มี</t>
        </is>
      </c>
      <c r="J4113" s="13" t="n">
        <v>39</v>
      </c>
      <c r="K4113" s="1" t="inlineStr"/>
      <c r="L4113" s="13" t="n">
        <v>39</v>
      </c>
      <c r="M4113" s="1">
        <f>IF(L4113="","ไม่พบใน SG",IF(ABS(J4113-L4113)&lt;0.005,"ตรงกัน","ไม่ตรง"))</f>
        <v/>
      </c>
      <c r="N4113" s="14">
        <f>IF(L4113="","",ROUND(L4113*'สรุป'!$C$6,-1))</f>
        <v/>
      </c>
      <c r="O4113" s="15" t="n"/>
      <c r="P4113" s="15" t="n"/>
      <c r="Q4113" s="10" t="n"/>
      <c r="R4113" s="10" t="n"/>
      <c r="S4113" s="16" t="inlineStr">
        <is>
          <t>https://mstgolf.co.th/products/gf3500201353</t>
        </is>
      </c>
      <c r="T4113" s="1">
        <f>IF(B4113="ไม้กอล์ฟ",J4113,"")</f>
        <v/>
      </c>
    </row>
    <row r="4114">
      <c r="A4114" s="1" t="n">
        <v>3</v>
      </c>
      <c r="B4114" s="1" t="inlineStr">
        <is>
          <t>อุปกรณ์เสริม</t>
        </is>
      </c>
      <c r="C4114" s="1" t="inlineStr">
        <is>
          <t>gf3500300341</t>
        </is>
      </c>
      <c r="D4114" s="1" t="inlineStr">
        <is>
          <t>TAYLORMADE TP Collection Putter Wrench</t>
        </is>
      </c>
      <c r="E4114" s="1" t="inlineStr">
        <is>
          <t>TAYLORMADE</t>
        </is>
      </c>
      <c r="F4114" s="1" t="inlineStr">
        <is>
          <t>GOLF ACCESSORIES</t>
        </is>
      </c>
      <c r="G4114" s="1" t="inlineStr">
        <is>
          <t>GF3500300341</t>
        </is>
      </c>
      <c r="H4114" s="1" t="n">
        <v>1</v>
      </c>
      <c r="I4114" s="1" t="inlineStr">
        <is>
          <t>มี</t>
        </is>
      </c>
      <c r="J4114" s="13" t="n">
        <v>39</v>
      </c>
      <c r="K4114" s="1" t="inlineStr"/>
      <c r="L4114" s="13" t="n">
        <v>39</v>
      </c>
      <c r="M4114" s="1">
        <f>IF(L4114="","ไม่พบใน SG",IF(ABS(J4114-L4114)&lt;0.005,"ตรงกัน","ไม่ตรง"))</f>
        <v/>
      </c>
      <c r="N4114" s="14">
        <f>IF(L4114="","",ROUND(L4114*'สรุป'!$C$6,-1))</f>
        <v/>
      </c>
      <c r="O4114" s="15" t="n"/>
      <c r="P4114" s="15" t="n"/>
      <c r="Q4114" s="10" t="n"/>
      <c r="R4114" s="10" t="n"/>
      <c r="S4114" s="16" t="inlineStr">
        <is>
          <t>https://mstgolf.co.th/products/gf3500300341</t>
        </is>
      </c>
      <c r="T4114" s="1">
        <f>IF(B4114="ไม้กอล์ฟ",J4114,"")</f>
        <v/>
      </c>
    </row>
    <row r="4115">
      <c r="A4115" s="1" t="n">
        <v>3</v>
      </c>
      <c r="B4115" s="1" t="inlineStr">
        <is>
          <t>หมวก</t>
        </is>
      </c>
      <c r="C4115" s="1" t="inlineStr">
        <is>
          <t>gf2000105976</t>
        </is>
      </c>
      <c r="D4115" s="1" t="inlineStr">
        <is>
          <t>TAYLORMADE Tour Radar (2024) Men's Cap (Royal)</t>
        </is>
      </c>
      <c r="E4115" s="1" t="inlineStr">
        <is>
          <t>TAYLORMADE</t>
        </is>
      </c>
      <c r="F4115" s="1" t="inlineStr">
        <is>
          <t>CAP</t>
        </is>
      </c>
      <c r="G4115" s="1" t="inlineStr">
        <is>
          <t>GF2000105976FS</t>
        </is>
      </c>
      <c r="H4115" s="1" t="n">
        <v>1</v>
      </c>
      <c r="I4115" s="1" t="inlineStr">
        <is>
          <t>มี</t>
        </is>
      </c>
      <c r="J4115" s="13" t="n">
        <v>39</v>
      </c>
      <c r="K4115" s="1" t="inlineStr"/>
      <c r="L4115" s="13" t="n">
        <v>39</v>
      </c>
      <c r="M4115" s="1">
        <f>IF(L4115="","ไม่พบใน SG",IF(ABS(J4115-L4115)&lt;0.005,"ตรงกัน","ไม่ตรง"))</f>
        <v/>
      </c>
      <c r="N4115" s="14">
        <f>IF(L4115="","",ROUND(L4115*'สรุป'!$C$6,-1))</f>
        <v/>
      </c>
      <c r="O4115" s="15" t="n"/>
      <c r="P4115" s="15" t="n"/>
      <c r="Q4115" s="10" t="n"/>
      <c r="R4115" s="10" t="n"/>
      <c r="S4115" s="16" t="inlineStr">
        <is>
          <t>https://mstgolf.co.th/products/gf2000105976</t>
        </is>
      </c>
      <c r="T4115" s="1">
        <f>IF(B4115="ไม้กอล์ฟ",J4115,"")</f>
        <v/>
      </c>
    </row>
    <row r="4116">
      <c r="A4116" s="1" t="n">
        <v>3</v>
      </c>
      <c r="B4116" s="1" t="inlineStr">
        <is>
          <t>หมวก</t>
        </is>
      </c>
      <c r="C4116" s="1" t="inlineStr">
        <is>
          <t>gf2000200981</t>
        </is>
      </c>
      <c r="D4116" s="1" t="inlineStr">
        <is>
          <t>TAYLORMADE Tour T Men's Visor (Blue)</t>
        </is>
      </c>
      <c r="E4116" s="1" t="inlineStr">
        <is>
          <t>TAYLORMADE</t>
        </is>
      </c>
      <c r="F4116" s="1" t="inlineStr">
        <is>
          <t>VISOR</t>
        </is>
      </c>
      <c r="G4116" s="1" t="inlineStr">
        <is>
          <t>GF2000200981FS</t>
        </is>
      </c>
      <c r="H4116" s="1" t="n">
        <v>1</v>
      </c>
      <c r="I4116" s="1" t="inlineStr">
        <is>
          <t>มี</t>
        </is>
      </c>
      <c r="J4116" s="13" t="n">
        <v>39</v>
      </c>
      <c r="K4116" s="1" t="inlineStr"/>
      <c r="L4116" s="13" t="n">
        <v>39</v>
      </c>
      <c r="M4116" s="1">
        <f>IF(L4116="","ไม่พบใน SG",IF(ABS(J4116-L4116)&lt;0.005,"ตรงกัน","ไม่ตรง"))</f>
        <v/>
      </c>
      <c r="N4116" s="14">
        <f>IF(L4116="","",ROUND(L4116*'สรุป'!$C$6,-1))</f>
        <v/>
      </c>
      <c r="O4116" s="15" t="n"/>
      <c r="P4116" s="15" t="n"/>
      <c r="Q4116" s="10" t="n"/>
      <c r="R4116" s="10" t="n"/>
      <c r="S4116" s="16" t="inlineStr">
        <is>
          <t>https://mstgolf.co.th/products/gf2000200981</t>
        </is>
      </c>
      <c r="T4116" s="1">
        <f>IF(B4116="ไม้กอล์ฟ",J4116,"")</f>
        <v/>
      </c>
    </row>
    <row r="4117">
      <c r="A4117" s="1" t="n">
        <v>3</v>
      </c>
      <c r="B4117" s="1" t="inlineStr">
        <is>
          <t>หมวก</t>
        </is>
      </c>
      <c r="C4117" s="1" t="inlineStr">
        <is>
          <t>gf2000106254</t>
        </is>
      </c>
      <c r="D4117" s="1" t="inlineStr">
        <is>
          <t>TAYLORMADE Wide Brim Women's Cap (White)</t>
        </is>
      </c>
      <c r="E4117" s="1" t="inlineStr">
        <is>
          <t>TAYLORMADE</t>
        </is>
      </c>
      <c r="F4117" s="1" t="inlineStr">
        <is>
          <t>CAP</t>
        </is>
      </c>
      <c r="G4117" s="1" t="inlineStr">
        <is>
          <t>GF2000106254FS</t>
        </is>
      </c>
      <c r="H4117" s="1" t="n">
        <v>1</v>
      </c>
      <c r="I4117" s="1" t="inlineStr">
        <is>
          <t>มี</t>
        </is>
      </c>
      <c r="J4117" s="13" t="n">
        <v>39</v>
      </c>
      <c r="K4117" s="1" t="inlineStr"/>
      <c r="L4117" s="13" t="n">
        <v>39</v>
      </c>
      <c r="M4117" s="1">
        <f>IF(L4117="","ไม่พบใน SG",IF(ABS(J4117-L4117)&lt;0.005,"ตรงกัน","ไม่ตรง"))</f>
        <v/>
      </c>
      <c r="N4117" s="14">
        <f>IF(L4117="","",ROUND(L4117*'สรุป'!$C$6,-1))</f>
        <v/>
      </c>
      <c r="O4117" s="15" t="n"/>
      <c r="P4117" s="15" t="n"/>
      <c r="Q4117" s="10" t="n"/>
      <c r="R4117" s="10" t="n"/>
      <c r="S4117" s="16" t="inlineStr">
        <is>
          <t>https://mstgolf.co.th/products/gf2000106254</t>
        </is>
      </c>
      <c r="T4117" s="1">
        <f>IF(B4117="ไม้กอล์ฟ",J4117,"")</f>
        <v/>
      </c>
    </row>
    <row r="4118">
      <c r="A4118" s="1" t="n">
        <v>3</v>
      </c>
      <c r="B4118" s="1" t="inlineStr">
        <is>
          <t>หมวก</t>
        </is>
      </c>
      <c r="C4118" s="1" t="inlineStr">
        <is>
          <t>gf2000200929</t>
        </is>
      </c>
      <c r="D4118" s="1" t="inlineStr">
        <is>
          <t>TITLEIST Montauk Men's Visor (Black/White)</t>
        </is>
      </c>
      <c r="E4118" s="1" t="inlineStr">
        <is>
          <t>TITLEIST</t>
        </is>
      </c>
      <c r="F4118" s="1" t="inlineStr">
        <is>
          <t>VISOR</t>
        </is>
      </c>
      <c r="G4118" s="1" t="inlineStr">
        <is>
          <t>GF2000200929FS</t>
        </is>
      </c>
      <c r="H4118" s="1" t="n">
        <v>1</v>
      </c>
      <c r="I4118" s="1" t="inlineStr">
        <is>
          <t>มี</t>
        </is>
      </c>
      <c r="J4118" s="13" t="n">
        <v>39</v>
      </c>
      <c r="K4118" s="1" t="inlineStr"/>
      <c r="L4118" s="13" t="n">
        <v>39</v>
      </c>
      <c r="M4118" s="1">
        <f>IF(L4118="","ไม่พบใน SG",IF(ABS(J4118-L4118)&lt;0.005,"ตรงกัน","ไม่ตรง"))</f>
        <v/>
      </c>
      <c r="N4118" s="14">
        <f>IF(L4118="","",ROUND(L4118*'สรุป'!$C$6,-1))</f>
        <v/>
      </c>
      <c r="O4118" s="15" t="n"/>
      <c r="P4118" s="15" t="n"/>
      <c r="Q4118" s="10" t="n"/>
      <c r="R4118" s="10" t="n"/>
      <c r="S4118" s="16" t="inlineStr">
        <is>
          <t>https://mstgolf.co.th/products/gf2000200929</t>
        </is>
      </c>
      <c r="T4118" s="1">
        <f>IF(B4118="ไม้กอล์ฟ",J4118,"")</f>
        <v/>
      </c>
    </row>
    <row r="4119">
      <c r="A4119" s="1" t="n">
        <v>3</v>
      </c>
      <c r="B4119" s="1" t="inlineStr">
        <is>
          <t>หมวก</t>
        </is>
      </c>
      <c r="C4119" s="1" t="inlineStr">
        <is>
          <t>gf2000200928</t>
        </is>
      </c>
      <c r="D4119" s="1" t="inlineStr">
        <is>
          <t>TITLEIST Montauk Men's Visor (White/Black)</t>
        </is>
      </c>
      <c r="E4119" s="1" t="inlineStr">
        <is>
          <t>TITLEIST</t>
        </is>
      </c>
      <c r="F4119" s="1" t="inlineStr">
        <is>
          <t>VISOR</t>
        </is>
      </c>
      <c r="G4119" s="1" t="inlineStr">
        <is>
          <t>GF2000200928FS</t>
        </is>
      </c>
      <c r="H4119" s="1" t="n">
        <v>1</v>
      </c>
      <c r="I4119" s="1" t="inlineStr">
        <is>
          <t>มี</t>
        </is>
      </c>
      <c r="J4119" s="13" t="n">
        <v>39</v>
      </c>
      <c r="K4119" s="1" t="inlineStr"/>
      <c r="L4119" s="13" t="n">
        <v>39</v>
      </c>
      <c r="M4119" s="1">
        <f>IF(L4119="","ไม่พบใน SG",IF(ABS(J4119-L4119)&lt;0.005,"ตรงกัน","ไม่ตรง"))</f>
        <v/>
      </c>
      <c r="N4119" s="14">
        <f>IF(L4119="","",ROUND(L4119*'สรุป'!$C$6,-1))</f>
        <v/>
      </c>
      <c r="O4119" s="15" t="n"/>
      <c r="P4119" s="15" t="n"/>
      <c r="Q4119" s="10" t="n"/>
      <c r="R4119" s="10" t="n"/>
      <c r="S4119" s="16" t="inlineStr">
        <is>
          <t>https://mstgolf.co.th/products/gf2000200928</t>
        </is>
      </c>
      <c r="T4119" s="1">
        <f>IF(B4119="ไม้กอล์ฟ",J4119,"")</f>
        <v/>
      </c>
    </row>
    <row r="4120">
      <c r="A4120" s="1" t="n">
        <v>3</v>
      </c>
      <c r="B4120" s="1" t="inlineStr">
        <is>
          <t>หมวก</t>
        </is>
      </c>
      <c r="C4120" s="1" t="inlineStr">
        <is>
          <t>gf2000201043</t>
        </is>
      </c>
      <c r="D4120" s="1" t="inlineStr">
        <is>
          <t>TITLEIST Players Performance Men's Visor (Navy/White)</t>
        </is>
      </c>
      <c r="E4120" s="1" t="inlineStr">
        <is>
          <t>TITLEIST</t>
        </is>
      </c>
      <c r="F4120" s="1" t="inlineStr">
        <is>
          <t>VISOR</t>
        </is>
      </c>
      <c r="G4120" s="1" t="inlineStr">
        <is>
          <t>GF2000201043FS</t>
        </is>
      </c>
      <c r="H4120" s="1" t="n">
        <v>1</v>
      </c>
      <c r="I4120" s="1" t="inlineStr">
        <is>
          <t>มี</t>
        </is>
      </c>
      <c r="J4120" s="13" t="n">
        <v>39</v>
      </c>
      <c r="K4120" s="1" t="inlineStr"/>
      <c r="L4120" s="13" t="n">
        <v>39</v>
      </c>
      <c r="M4120" s="1">
        <f>IF(L4120="","ไม่พบใน SG",IF(ABS(J4120-L4120)&lt;0.005,"ตรงกัน","ไม่ตรง"))</f>
        <v/>
      </c>
      <c r="N4120" s="14">
        <f>IF(L4120="","",ROUND(L4120*'สรุป'!$C$6,-1))</f>
        <v/>
      </c>
      <c r="O4120" s="15" t="n"/>
      <c r="P4120" s="15" t="n"/>
      <c r="Q4120" s="10" t="n"/>
      <c r="R4120" s="10" t="n"/>
      <c r="S4120" s="16" t="inlineStr">
        <is>
          <t>https://mstgolf.co.th/products/gf2000201043</t>
        </is>
      </c>
      <c r="T4120" s="1">
        <f>IF(B4120="ไม้กอล์ฟ",J4120,"")</f>
        <v/>
      </c>
    </row>
    <row r="4121">
      <c r="A4121" s="1" t="n">
        <v>3</v>
      </c>
      <c r="B4121" s="1" t="inlineStr">
        <is>
          <t>อุปกรณ์เสริม</t>
        </is>
      </c>
      <c r="C4121" s="1" t="inlineStr">
        <is>
          <t>gf2100200461</t>
        </is>
      </c>
      <c r="D4121" s="1" t="inlineStr">
        <is>
          <t>TITLEIST Players Terry Towel (Navy/Grey)</t>
        </is>
      </c>
      <c r="E4121" s="1" t="inlineStr">
        <is>
          <t>TITLEIST</t>
        </is>
      </c>
      <c r="F4121" s="1" t="inlineStr">
        <is>
          <t>HAND/CLUB TOWEL</t>
        </is>
      </c>
      <c r="G4121" s="1" t="inlineStr">
        <is>
          <t>GF2100200461</t>
        </is>
      </c>
      <c r="H4121" s="1" t="n">
        <v>1</v>
      </c>
      <c r="I4121" s="1" t="inlineStr">
        <is>
          <t>มี</t>
        </is>
      </c>
      <c r="J4121" s="13" t="n">
        <v>39</v>
      </c>
      <c r="K4121" s="1" t="inlineStr"/>
      <c r="L4121" s="13" t="n">
        <v>39</v>
      </c>
      <c r="M4121" s="1">
        <f>IF(L4121="","ไม่พบใน SG",IF(ABS(J4121-L4121)&lt;0.005,"ตรงกัน","ไม่ตรง"))</f>
        <v/>
      </c>
      <c r="N4121" s="14">
        <f>IF(L4121="","",ROUND(L4121*'สรุป'!$C$6,-1))</f>
        <v/>
      </c>
      <c r="O4121" s="15" t="n"/>
      <c r="P4121" s="15" t="n"/>
      <c r="Q4121" s="10" t="n"/>
      <c r="R4121" s="10" t="n"/>
      <c r="S4121" s="16" t="inlineStr">
        <is>
          <t>https://mstgolf.co.th/products/gf2100200461</t>
        </is>
      </c>
      <c r="T4121" s="1">
        <f>IF(B4121="ไม้กอล์ฟ",J4121,"")</f>
        <v/>
      </c>
    </row>
    <row r="4122">
      <c r="A4122" s="1" t="n">
        <v>3</v>
      </c>
      <c r="B4122" s="1" t="inlineStr">
        <is>
          <t>หมวก</t>
        </is>
      </c>
      <c r="C4122" s="1" t="inlineStr">
        <is>
          <t>gf2000200978</t>
        </is>
      </c>
      <c r="D4122" s="1" t="inlineStr">
        <is>
          <t>TITLEIST Sundrop Women's Visor (White/Black)</t>
        </is>
      </c>
      <c r="E4122" s="1" t="inlineStr">
        <is>
          <t>TITLEIST</t>
        </is>
      </c>
      <c r="F4122" s="1" t="inlineStr">
        <is>
          <t>VISOR</t>
        </is>
      </c>
      <c r="G4122" s="1" t="inlineStr">
        <is>
          <t>GF2000200978FS</t>
        </is>
      </c>
      <c r="H4122" s="1" t="n">
        <v>1</v>
      </c>
      <c r="I4122" s="1" t="inlineStr">
        <is>
          <t>มี</t>
        </is>
      </c>
      <c r="J4122" s="13" t="n">
        <v>39</v>
      </c>
      <c r="K4122" s="1" t="inlineStr"/>
      <c r="L4122" s="13" t="n">
        <v>39</v>
      </c>
      <c r="M4122" s="1">
        <f>IF(L4122="","ไม่พบใน SG",IF(ABS(J4122-L4122)&lt;0.005,"ตรงกัน","ไม่ตรง"))</f>
        <v/>
      </c>
      <c r="N4122" s="14">
        <f>IF(L4122="","",ROUND(L4122*'สรุป'!$C$6,-1))</f>
        <v/>
      </c>
      <c r="O4122" s="15" t="n"/>
      <c r="P4122" s="15" t="n"/>
      <c r="Q4122" s="10" t="n"/>
      <c r="R4122" s="10" t="n"/>
      <c r="S4122" s="16" t="inlineStr">
        <is>
          <t>https://mstgolf.co.th/products/gf2000200978</t>
        </is>
      </c>
      <c r="T4122" s="1">
        <f>IF(B4122="ไม้กอล์ฟ",J4122,"")</f>
        <v/>
      </c>
    </row>
    <row r="4123">
      <c r="A4123" s="1" t="n">
        <v>3</v>
      </c>
      <c r="B4123" s="1" t="inlineStr">
        <is>
          <t>หมวก</t>
        </is>
      </c>
      <c r="C4123" s="1" t="inlineStr">
        <is>
          <t>gf2000104844</t>
        </is>
      </c>
      <c r="D4123" s="1" t="inlineStr">
        <is>
          <t>UNDER ARMOUR Iso-Chill Driver Women's Cap (Black/White)</t>
        </is>
      </c>
      <c r="E4123" s="1" t="inlineStr">
        <is>
          <t>UNDER ARMOUR</t>
        </is>
      </c>
      <c r="F4123" s="1" t="inlineStr">
        <is>
          <t>CAP</t>
        </is>
      </c>
      <c r="G4123" s="1" t="inlineStr">
        <is>
          <t>GF2000104844FS</t>
        </is>
      </c>
      <c r="H4123" s="1" t="n">
        <v>1</v>
      </c>
      <c r="I4123" s="1" t="inlineStr">
        <is>
          <t>มี</t>
        </is>
      </c>
      <c r="J4123" s="13" t="n">
        <v>39</v>
      </c>
      <c r="K4123" s="1" t="inlineStr"/>
      <c r="L4123" s="13" t="n">
        <v>39</v>
      </c>
      <c r="M4123" s="1">
        <f>IF(L4123="","ไม่พบใน SG",IF(ABS(J4123-L4123)&lt;0.005,"ตรงกัน","ไม่ตรง"))</f>
        <v/>
      </c>
      <c r="N4123" s="14">
        <f>IF(L4123="","",ROUND(L4123*'สรุป'!$C$6,-1))</f>
        <v/>
      </c>
      <c r="O4123" s="15" t="n"/>
      <c r="P4123" s="15" t="n"/>
      <c r="Q4123" s="10" t="n"/>
      <c r="R4123" s="10" t="n"/>
      <c r="S4123" s="16" t="inlineStr">
        <is>
          <t>https://mstgolf.co.th/products/gf2000104844</t>
        </is>
      </c>
      <c r="T4123" s="1">
        <f>IF(B4123="ไม้กอล์ฟ",J4123,"")</f>
        <v/>
      </c>
    </row>
    <row r="4124">
      <c r="A4124" s="1" t="n">
        <v>3</v>
      </c>
      <c r="B4124" s="1" t="inlineStr">
        <is>
          <t>เสื้อผ้า</t>
        </is>
      </c>
      <c r="C4124" s="1" t="inlineStr">
        <is>
          <t>gf2040113274</t>
        </is>
      </c>
      <c r="D4124" s="1" t="inlineStr">
        <is>
          <t>NIKE Victory Slim Fit Men's Polo (Black/White)</t>
        </is>
      </c>
      <c r="E4124" s="1" t="inlineStr">
        <is>
          <t>NIKE</t>
        </is>
      </c>
      <c r="F4124" s="1" t="inlineStr">
        <is>
          <t>SHORT SLEEVES</t>
        </is>
      </c>
      <c r="G4124" s="1" t="inlineStr">
        <is>
          <t>GF2040113274S</t>
        </is>
      </c>
      <c r="H4124" s="1" t="n">
        <v>5</v>
      </c>
      <c r="I4124" s="1" t="inlineStr">
        <is>
          <t>มี</t>
        </is>
      </c>
      <c r="J4124" s="13" t="n">
        <v>37</v>
      </c>
      <c r="K4124" s="1" t="inlineStr"/>
      <c r="L4124" s="13" t="n">
        <v>37</v>
      </c>
      <c r="M4124" s="1">
        <f>IF(L4124="","ไม่พบใน SG",IF(ABS(J4124-L4124)&lt;0.005,"ตรงกัน","ไม่ตรง"))</f>
        <v/>
      </c>
      <c r="N4124" s="14">
        <f>IF(L4124="","",ROUND(L4124*'สรุป'!$C$6,-1))</f>
        <v/>
      </c>
      <c r="O4124" s="15" t="n"/>
      <c r="P4124" s="15" t="n"/>
      <c r="Q4124" s="10" t="n"/>
      <c r="R4124" s="10" t="n"/>
      <c r="S4124" s="16" t="inlineStr">
        <is>
          <t>https://mstgolf.co.th/products/gf2040113274</t>
        </is>
      </c>
      <c r="T4124" s="1">
        <f>IF(B4124="ไม้กอล์ฟ",J4124,"")</f>
        <v/>
      </c>
    </row>
    <row r="4125">
      <c r="A4125" s="1" t="n">
        <v>3</v>
      </c>
      <c r="B4125" s="1" t="inlineStr">
        <is>
          <t>อุปกรณ์เสริม</t>
        </is>
      </c>
      <c r="C4125" s="1" t="inlineStr">
        <is>
          <t>gf3500300963</t>
        </is>
      </c>
      <c r="D4125" s="1" t="inlineStr">
        <is>
          <t>DISNEY Stitch Bag Tag</t>
        </is>
      </c>
      <c r="E4125" s="1" t="inlineStr">
        <is>
          <t>DISNEY</t>
        </is>
      </c>
      <c r="F4125" s="1" t="inlineStr">
        <is>
          <t>GOLF ACCESSORIES</t>
        </is>
      </c>
      <c r="G4125" s="1" t="inlineStr">
        <is>
          <t>GF3500300963</t>
        </is>
      </c>
      <c r="H4125" s="1" t="n">
        <v>1</v>
      </c>
      <c r="I4125" s="1" t="inlineStr">
        <is>
          <t>มี</t>
        </is>
      </c>
      <c r="J4125" s="13" t="n">
        <v>36</v>
      </c>
      <c r="K4125" s="1" t="inlineStr"/>
      <c r="L4125" s="13" t="n">
        <v>36</v>
      </c>
      <c r="M4125" s="1">
        <f>IF(L4125="","ไม่พบใน SG",IF(ABS(J4125-L4125)&lt;0.005,"ตรงกัน","ไม่ตรง"))</f>
        <v/>
      </c>
      <c r="N4125" s="14">
        <f>IF(L4125="","",ROUND(L4125*'สรุป'!$C$6,-1))</f>
        <v/>
      </c>
      <c r="O4125" s="15" t="n"/>
      <c r="P4125" s="15" t="n"/>
      <c r="Q4125" s="10" t="n"/>
      <c r="R4125" s="10" t="n"/>
      <c r="S4125" s="16" t="inlineStr">
        <is>
          <t>https://mstgolf.co.th/products/gf3500300963</t>
        </is>
      </c>
      <c r="T4125" s="1">
        <f>IF(B4125="ไม้กอล์ฟ",J4125,"")</f>
        <v/>
      </c>
    </row>
    <row r="4126">
      <c r="A4126" s="1" t="n">
        <v>3</v>
      </c>
      <c r="B4126" s="1" t="inlineStr">
        <is>
          <t>หมวก</t>
        </is>
      </c>
      <c r="C4126" s="1" t="inlineStr">
        <is>
          <t>gf2000105068</t>
        </is>
      </c>
      <c r="D4126" s="1" t="inlineStr">
        <is>
          <t>UNDER ARMOUR Curry Golf Men's Cap (Blue/White)</t>
        </is>
      </c>
      <c r="E4126" s="1" t="inlineStr">
        <is>
          <t>UNDER ARMOUR</t>
        </is>
      </c>
      <c r="F4126" s="1" t="inlineStr">
        <is>
          <t>CAP</t>
        </is>
      </c>
      <c r="G4126" s="1" t="inlineStr">
        <is>
          <t>GF2000105068FS</t>
        </is>
      </c>
      <c r="H4126" s="1" t="n">
        <v>1</v>
      </c>
      <c r="I4126" s="1" t="inlineStr">
        <is>
          <t>มี</t>
        </is>
      </c>
      <c r="J4126" s="13" t="n">
        <v>36</v>
      </c>
      <c r="K4126" s="1" t="inlineStr"/>
      <c r="L4126" s="13" t="n">
        <v>36</v>
      </c>
      <c r="M4126" s="1">
        <f>IF(L4126="","ไม่พบใน SG",IF(ABS(J4126-L4126)&lt;0.005,"ตรงกัน","ไม่ตรง"))</f>
        <v/>
      </c>
      <c r="N4126" s="14">
        <f>IF(L4126="","",ROUND(L4126*'สรุป'!$C$6,-1))</f>
        <v/>
      </c>
      <c r="O4126" s="15" t="n"/>
      <c r="P4126" s="15" t="n"/>
      <c r="Q4126" s="10" t="n"/>
      <c r="R4126" s="10" t="n"/>
      <c r="S4126" s="16" t="inlineStr">
        <is>
          <t>https://mstgolf.co.th/products/gf2000105068</t>
        </is>
      </c>
      <c r="T4126" s="1">
        <f>IF(B4126="ไม้กอล์ฟ",J4126,"")</f>
        <v/>
      </c>
    </row>
    <row r="4127">
      <c r="A4127" s="1" t="n">
        <v>3</v>
      </c>
      <c r="B4127" s="1" t="inlineStr">
        <is>
          <t>อุปกรณ์เสริม</t>
        </is>
      </c>
      <c r="C4127" s="1" t="inlineStr">
        <is>
          <t>gf2080101293</t>
        </is>
      </c>
      <c r="D4127" s="1" t="inlineStr">
        <is>
          <t>UNDER ARMOUR Novelty Men's Belt (Blue/Navy)</t>
        </is>
      </c>
      <c r="E4127" s="1" t="inlineStr">
        <is>
          <t>UNDER ARMOUR</t>
        </is>
      </c>
      <c r="F4127" s="1" t="inlineStr">
        <is>
          <t>BELT</t>
        </is>
      </c>
      <c r="G4127" s="1" t="inlineStr">
        <is>
          <t>GF208010129330</t>
        </is>
      </c>
      <c r="H4127" s="1" t="n">
        <v>6</v>
      </c>
      <c r="I4127" s="1" t="inlineStr">
        <is>
          <t>มี</t>
        </is>
      </c>
      <c r="J4127" s="13" t="n">
        <v>36</v>
      </c>
      <c r="K4127" s="1" t="inlineStr"/>
      <c r="L4127" s="13" t="n">
        <v>36</v>
      </c>
      <c r="M4127" s="1">
        <f>IF(L4127="","ไม่พบใน SG",IF(ABS(J4127-L4127)&lt;0.005,"ตรงกัน","ไม่ตรง"))</f>
        <v/>
      </c>
      <c r="N4127" s="14">
        <f>IF(L4127="","",ROUND(L4127*'สรุป'!$C$6,-1))</f>
        <v/>
      </c>
      <c r="O4127" s="15" t="n"/>
      <c r="P4127" s="15" t="n"/>
      <c r="Q4127" s="10" t="n"/>
      <c r="R4127" s="10" t="n"/>
      <c r="S4127" s="16" t="inlineStr">
        <is>
          <t>https://mstgolf.co.th/products/gf2080101293</t>
        </is>
      </c>
      <c r="T4127" s="1">
        <f>IF(B4127="ไม้กอล์ฟ",J4127,"")</f>
        <v/>
      </c>
    </row>
    <row r="4128">
      <c r="A4128" s="1" t="n">
        <v>3</v>
      </c>
      <c r="B4128" s="1" t="inlineStr">
        <is>
          <t>เสื้อผ้า</t>
        </is>
      </c>
      <c r="C4128" s="1" t="inlineStr">
        <is>
          <t>gf2040115779</t>
        </is>
      </c>
      <c r="D4128" s="1" t="inlineStr">
        <is>
          <t>ADIDAS AEROREADY Deboss Women's Polo (Aqua)</t>
        </is>
      </c>
      <c r="E4128" s="1" t="inlineStr">
        <is>
          <t>ADIDAS</t>
        </is>
      </c>
      <c r="F4128" s="1" t="inlineStr">
        <is>
          <t>SHORT SLEEVES</t>
        </is>
      </c>
      <c r="G4128" s="1" t="inlineStr">
        <is>
          <t>GF20401157792XS</t>
        </is>
      </c>
      <c r="H4128" s="1" t="n">
        <v>7</v>
      </c>
      <c r="I4128" s="1" t="inlineStr">
        <is>
          <t>มี</t>
        </is>
      </c>
      <c r="J4128" s="13" t="n">
        <v>35</v>
      </c>
      <c r="K4128" s="1" t="inlineStr"/>
      <c r="L4128" s="13" t="n">
        <v>35</v>
      </c>
      <c r="M4128" s="1">
        <f>IF(L4128="","ไม่พบใน SG",IF(ABS(J4128-L4128)&lt;0.005,"ตรงกัน","ไม่ตรง"))</f>
        <v/>
      </c>
      <c r="N4128" s="14">
        <f>IF(L4128="","",ROUND(L4128*'สรุป'!$C$6,-1))</f>
        <v/>
      </c>
      <c r="O4128" s="15" t="n"/>
      <c r="P4128" s="15" t="n"/>
      <c r="Q4128" s="10" t="n"/>
      <c r="R4128" s="10" t="n"/>
      <c r="S4128" s="16" t="inlineStr">
        <is>
          <t>https://mstgolf.co.th/products/gf2040115779</t>
        </is>
      </c>
      <c r="T4128" s="1">
        <f>IF(B4128="ไม้กอล์ฟ",J4128,"")</f>
        <v/>
      </c>
    </row>
    <row r="4129">
      <c r="A4129" s="1" t="n">
        <v>3</v>
      </c>
      <c r="B4129" s="1" t="inlineStr">
        <is>
          <t>เสื้อผ้า</t>
        </is>
      </c>
      <c r="C4129" s="1" t="inlineStr">
        <is>
          <t>gf2040115778</t>
        </is>
      </c>
      <c r="D4129" s="1" t="inlineStr">
        <is>
          <t>ADIDAS AEROREADY Deboss Women's Polo (Coral)</t>
        </is>
      </c>
      <c r="E4129" s="1" t="inlineStr">
        <is>
          <t>ADIDAS</t>
        </is>
      </c>
      <c r="F4129" s="1" t="inlineStr">
        <is>
          <t>SHORT SLEEVES</t>
        </is>
      </c>
      <c r="G4129" s="1" t="inlineStr">
        <is>
          <t>GF20401157782XS</t>
        </is>
      </c>
      <c r="H4129" s="1" t="n">
        <v>7</v>
      </c>
      <c r="I4129" s="1" t="inlineStr">
        <is>
          <t>มี</t>
        </is>
      </c>
      <c r="J4129" s="13" t="n">
        <v>35</v>
      </c>
      <c r="K4129" s="1" t="inlineStr"/>
      <c r="L4129" s="13" t="n">
        <v>35</v>
      </c>
      <c r="M4129" s="1">
        <f>IF(L4129="","ไม่พบใน SG",IF(ABS(J4129-L4129)&lt;0.005,"ตรงกัน","ไม่ตรง"))</f>
        <v/>
      </c>
      <c r="N4129" s="14">
        <f>IF(L4129="","",ROUND(L4129*'สรุป'!$C$6,-1))</f>
        <v/>
      </c>
      <c r="O4129" s="15" t="n"/>
      <c r="P4129" s="15" t="n"/>
      <c r="Q4129" s="10" t="n"/>
      <c r="R4129" s="10" t="n"/>
      <c r="S4129" s="16" t="inlineStr">
        <is>
          <t>https://mstgolf.co.th/products/gf2040115778</t>
        </is>
      </c>
      <c r="T4129" s="1">
        <f>IF(B4129="ไม้กอล์ฟ",J4129,"")</f>
        <v/>
      </c>
    </row>
    <row r="4130">
      <c r="A4130" s="1" t="n">
        <v>3</v>
      </c>
      <c r="B4130" s="1" t="inlineStr">
        <is>
          <t>หมวก</t>
        </is>
      </c>
      <c r="C4130" s="1" t="inlineStr">
        <is>
          <t>gf2000106598</t>
        </is>
      </c>
      <c r="D4130" s="1" t="inlineStr">
        <is>
          <t>ADIDAS Color Men's Cap (Brown)</t>
        </is>
      </c>
      <c r="E4130" s="1" t="inlineStr">
        <is>
          <t>ADIDAS</t>
        </is>
      </c>
      <c r="F4130" s="1" t="inlineStr">
        <is>
          <t>CAP</t>
        </is>
      </c>
      <c r="G4130" s="1" t="inlineStr">
        <is>
          <t>GF2000106598FS</t>
        </is>
      </c>
      <c r="H4130" s="1" t="n">
        <v>1</v>
      </c>
      <c r="I4130" s="1" t="inlineStr">
        <is>
          <t>มี</t>
        </is>
      </c>
      <c r="J4130" s="13" t="n">
        <v>35</v>
      </c>
      <c r="K4130" s="1" t="inlineStr"/>
      <c r="L4130" s="13" t="n">
        <v>17</v>
      </c>
      <c r="M4130" s="1">
        <f>IF(L4130="","ไม่พบใน SG",IF(ABS(J4130-L4130)&lt;0.005,"ตรงกัน","ไม่ตรง"))</f>
        <v/>
      </c>
      <c r="N4130" s="14">
        <f>IF(L4130="","",ROUND(L4130*'สรุป'!$C$6,-1))</f>
        <v/>
      </c>
      <c r="O4130" s="15" t="n"/>
      <c r="P4130" s="15" t="n"/>
      <c r="Q4130" s="10" t="n"/>
      <c r="R4130" s="10" t="n"/>
      <c r="S4130" s="16" t="inlineStr">
        <is>
          <t>https://mstgolf.co.th/products/gf2000106598</t>
        </is>
      </c>
      <c r="T4130" s="1">
        <f>IF(B4130="ไม้กอล์ฟ",J4130,"")</f>
        <v/>
      </c>
    </row>
    <row r="4131">
      <c r="A4131" s="1" t="n">
        <v>3</v>
      </c>
      <c r="B4131" s="1" t="inlineStr">
        <is>
          <t>เสื้อผ้า</t>
        </is>
      </c>
      <c r="C4131" s="1" t="inlineStr">
        <is>
          <t>gf2040117663</t>
        </is>
      </c>
      <c r="D4131" s="1" t="inlineStr">
        <is>
          <t>ADIDAS Girl's Performance Polo (Red)</t>
        </is>
      </c>
      <c r="E4131" s="1" t="inlineStr">
        <is>
          <t>ADIDAS</t>
        </is>
      </c>
      <c r="F4131" s="1" t="inlineStr">
        <is>
          <t>SHORT SLEEVES</t>
        </is>
      </c>
      <c r="G4131" s="1" t="inlineStr">
        <is>
          <t>GF2040117663128</t>
        </is>
      </c>
      <c r="H4131" s="1" t="n">
        <v>6</v>
      </c>
      <c r="I4131" s="1" t="inlineStr">
        <is>
          <t>มี</t>
        </is>
      </c>
      <c r="J4131" s="13" t="n">
        <v>35</v>
      </c>
      <c r="K4131" s="1" t="inlineStr"/>
      <c r="L4131" s="13" t="n">
        <v>25</v>
      </c>
      <c r="M4131" s="1">
        <f>IF(L4131="","ไม่พบใน SG",IF(ABS(J4131-L4131)&lt;0.005,"ตรงกัน","ไม่ตรง"))</f>
        <v/>
      </c>
      <c r="N4131" s="14">
        <f>IF(L4131="","",ROUND(L4131*'สรุป'!$C$6,-1))</f>
        <v/>
      </c>
      <c r="O4131" s="15" t="n"/>
      <c r="P4131" s="15" t="n"/>
      <c r="Q4131" s="10" t="n"/>
      <c r="R4131" s="10" t="n"/>
      <c r="S4131" s="16" t="inlineStr">
        <is>
          <t>https://mstgolf.co.th/products/gf2040117663</t>
        </is>
      </c>
      <c r="T4131" s="1">
        <f>IF(B4131="ไม้กอล์ฟ",J4131,"")</f>
        <v/>
      </c>
    </row>
    <row r="4132">
      <c r="A4132" s="1" t="n">
        <v>3</v>
      </c>
      <c r="B4132" s="1" t="inlineStr">
        <is>
          <t>เสื้อผ้า</t>
        </is>
      </c>
      <c r="C4132" s="1" t="inlineStr">
        <is>
          <t>gf2040200173</t>
        </is>
      </c>
      <c r="D4132" s="1" t="inlineStr">
        <is>
          <t>ADIDAS Golf Tour Men's Graphic T-Shirt (Aurora)</t>
        </is>
      </c>
      <c r="E4132" s="1" t="inlineStr">
        <is>
          <t>ADIDAS</t>
        </is>
      </c>
      <c r="F4132" s="1" t="inlineStr">
        <is>
          <t>TEE SHIRT</t>
        </is>
      </c>
      <c r="G4132" s="1" t="inlineStr">
        <is>
          <t>GF2040200173XS</t>
        </is>
      </c>
      <c r="H4132" s="1" t="n">
        <v>6</v>
      </c>
      <c r="I4132" s="1" t="inlineStr">
        <is>
          <t>มี</t>
        </is>
      </c>
      <c r="J4132" s="13" t="n">
        <v>35</v>
      </c>
      <c r="K4132" s="1" t="inlineStr"/>
      <c r="L4132" s="13" t="n">
        <v>25</v>
      </c>
      <c r="M4132" s="1">
        <f>IF(L4132="","ไม่พบใน SG",IF(ABS(J4132-L4132)&lt;0.005,"ตรงกัน","ไม่ตรง"))</f>
        <v/>
      </c>
      <c r="N4132" s="14">
        <f>IF(L4132="","",ROUND(L4132*'สรุป'!$C$6,-1))</f>
        <v/>
      </c>
      <c r="O4132" s="15" t="n"/>
      <c r="P4132" s="15" t="n"/>
      <c r="Q4132" s="10" t="n"/>
      <c r="R4132" s="10" t="n"/>
      <c r="S4132" s="16" t="inlineStr">
        <is>
          <t>https://mstgolf.co.th/products/gf2040200173</t>
        </is>
      </c>
      <c r="T4132" s="1">
        <f>IF(B4132="ไม้กอล์ฟ",J4132,"")</f>
        <v/>
      </c>
    </row>
    <row r="4133">
      <c r="A4133" s="1" t="n">
        <v>3</v>
      </c>
      <c r="B4133" s="1" t="inlineStr">
        <is>
          <t>เสื้อผ้า</t>
        </is>
      </c>
      <c r="C4133" s="1" t="inlineStr">
        <is>
          <t>gf2040200174</t>
        </is>
      </c>
      <c r="D4133" s="1" t="inlineStr">
        <is>
          <t>ADIDAS Golf Tour Men's Graphic T-Shirt (Black)</t>
        </is>
      </c>
      <c r="E4133" s="1" t="inlineStr">
        <is>
          <t>ADIDAS</t>
        </is>
      </c>
      <c r="F4133" s="1" t="inlineStr">
        <is>
          <t>TEE SHIRT</t>
        </is>
      </c>
      <c r="G4133" s="1" t="inlineStr">
        <is>
          <t>GF2040200174XS</t>
        </is>
      </c>
      <c r="H4133" s="1" t="n">
        <v>6</v>
      </c>
      <c r="I4133" s="1" t="inlineStr">
        <is>
          <t>มี</t>
        </is>
      </c>
      <c r="J4133" s="13" t="n">
        <v>35</v>
      </c>
      <c r="K4133" s="1" t="inlineStr"/>
      <c r="L4133" s="13" t="n">
        <v>25</v>
      </c>
      <c r="M4133" s="1">
        <f>IF(L4133="","ไม่พบใน SG",IF(ABS(J4133-L4133)&lt;0.005,"ตรงกัน","ไม่ตรง"))</f>
        <v/>
      </c>
      <c r="N4133" s="14">
        <f>IF(L4133="","",ROUND(L4133*'สรุป'!$C$6,-1))</f>
        <v/>
      </c>
      <c r="O4133" s="15" t="n"/>
      <c r="P4133" s="15" t="n"/>
      <c r="Q4133" s="10" t="n"/>
      <c r="R4133" s="10" t="n"/>
      <c r="S4133" s="16" t="inlineStr">
        <is>
          <t>https://mstgolf.co.th/products/gf2040200174</t>
        </is>
      </c>
      <c r="T4133" s="1">
        <f>IF(B4133="ไม้กอล์ฟ",J4133,"")</f>
        <v/>
      </c>
    </row>
    <row r="4134">
      <c r="A4134" s="1" t="n">
        <v>3</v>
      </c>
      <c r="B4134" s="1" t="inlineStr">
        <is>
          <t>อุปกรณ์เสริม</t>
        </is>
      </c>
      <c r="C4134" s="1" t="inlineStr">
        <is>
          <t>gf2080101424</t>
        </is>
      </c>
      <c r="D4134" s="1" t="inlineStr">
        <is>
          <t>ADIDAS PU Women's Revesible Belt (Black)</t>
        </is>
      </c>
      <c r="E4134" s="1" t="inlineStr">
        <is>
          <t>ADIDAS</t>
        </is>
      </c>
      <c r="F4134" s="1" t="inlineStr">
        <is>
          <t>BELT</t>
        </is>
      </c>
      <c r="G4134" s="1" t="inlineStr">
        <is>
          <t>GF2080101424FS</t>
        </is>
      </c>
      <c r="H4134" s="1" t="n">
        <v>1</v>
      </c>
      <c r="I4134" s="1" t="inlineStr">
        <is>
          <t>มี</t>
        </is>
      </c>
      <c r="J4134" s="13" t="n">
        <v>35</v>
      </c>
      <c r="K4134" s="1" t="inlineStr"/>
      <c r="L4134" s="13" t="n">
        <v>35</v>
      </c>
      <c r="M4134" s="1">
        <f>IF(L4134="","ไม่พบใน SG",IF(ABS(J4134-L4134)&lt;0.005,"ตรงกัน","ไม่ตรง"))</f>
        <v/>
      </c>
      <c r="N4134" s="14">
        <f>IF(L4134="","",ROUND(L4134*'สรุป'!$C$6,-1))</f>
        <v/>
      </c>
      <c r="O4134" s="15" t="n"/>
      <c r="P4134" s="15" t="n"/>
      <c r="Q4134" s="10" t="n"/>
      <c r="R4134" s="10" t="n"/>
      <c r="S4134" s="16" t="inlineStr">
        <is>
          <t>https://mstgolf.co.th/products/gf2080101424</t>
        </is>
      </c>
      <c r="T4134" s="1">
        <f>IF(B4134="ไม้กอล์ฟ",J4134,"")</f>
        <v/>
      </c>
    </row>
    <row r="4135">
      <c r="A4135" s="1" t="n">
        <v>3</v>
      </c>
      <c r="B4135" s="1" t="inlineStr">
        <is>
          <t>อุปกรณ์เสริม</t>
        </is>
      </c>
      <c r="C4135" s="1" t="inlineStr">
        <is>
          <t>gf2080101423</t>
        </is>
      </c>
      <c r="D4135" s="1" t="inlineStr">
        <is>
          <t>ADIDAS PU Women's Revesible Belt (White)</t>
        </is>
      </c>
      <c r="E4135" s="1" t="inlineStr">
        <is>
          <t>ADIDAS</t>
        </is>
      </c>
      <c r="F4135" s="1" t="inlineStr">
        <is>
          <t>BELT</t>
        </is>
      </c>
      <c r="G4135" s="1" t="inlineStr">
        <is>
          <t>GF2080101423FS</t>
        </is>
      </c>
      <c r="H4135" s="1" t="n">
        <v>1</v>
      </c>
      <c r="I4135" s="1" t="inlineStr">
        <is>
          <t>มี</t>
        </is>
      </c>
      <c r="J4135" s="13" t="n">
        <v>35</v>
      </c>
      <c r="K4135" s="1" t="inlineStr"/>
      <c r="L4135" s="13" t="n">
        <v>35</v>
      </c>
      <c r="M4135" s="1">
        <f>IF(L4135="","ไม่พบใน SG",IF(ABS(J4135-L4135)&lt;0.005,"ตรงกัน","ไม่ตรง"))</f>
        <v/>
      </c>
      <c r="N4135" s="14">
        <f>IF(L4135="","",ROUND(L4135*'สรุป'!$C$6,-1))</f>
        <v/>
      </c>
      <c r="O4135" s="15" t="n"/>
      <c r="P4135" s="15" t="n"/>
      <c r="Q4135" s="10" t="n"/>
      <c r="R4135" s="10" t="n"/>
      <c r="S4135" s="16" t="inlineStr">
        <is>
          <t>https://mstgolf.co.th/products/gf2080101423</t>
        </is>
      </c>
      <c r="T4135" s="1">
        <f>IF(B4135="ไม้กอล์ฟ",J4135,"")</f>
        <v/>
      </c>
    </row>
    <row r="4136">
      <c r="A4136" s="1" t="n">
        <v>3</v>
      </c>
      <c r="B4136" s="1" t="inlineStr">
        <is>
          <t>เสื้อผ้า</t>
        </is>
      </c>
      <c r="C4136" s="1" t="inlineStr">
        <is>
          <t>gf2040120463</t>
        </is>
      </c>
      <c r="D4136" s="1" t="inlineStr">
        <is>
          <t>ADIDAS Performance AEROREADY Boy's Polo (Teal)</t>
        </is>
      </c>
      <c r="E4136" s="1" t="inlineStr">
        <is>
          <t>ADIDAS</t>
        </is>
      </c>
      <c r="F4136" s="1" t="inlineStr">
        <is>
          <t>SHORT SLEEVES</t>
        </is>
      </c>
      <c r="G4136" s="1" t="inlineStr">
        <is>
          <t>GF2040120463128</t>
        </is>
      </c>
      <c r="H4136" s="1" t="n">
        <v>5</v>
      </c>
      <c r="I4136" s="1" t="inlineStr">
        <is>
          <t>มี</t>
        </is>
      </c>
      <c r="J4136" s="13" t="n">
        <v>35</v>
      </c>
      <c r="K4136" s="1" t="inlineStr"/>
      <c r="L4136" s="13" t="n">
        <v>25</v>
      </c>
      <c r="M4136" s="1">
        <f>IF(L4136="","ไม่พบใน SG",IF(ABS(J4136-L4136)&lt;0.005,"ตรงกัน","ไม่ตรง"))</f>
        <v/>
      </c>
      <c r="N4136" s="14">
        <f>IF(L4136="","",ROUND(L4136*'สรุป'!$C$6,-1))</f>
        <v/>
      </c>
      <c r="O4136" s="15" t="n"/>
      <c r="P4136" s="15" t="n"/>
      <c r="Q4136" s="10" t="n"/>
      <c r="R4136" s="10" t="n"/>
      <c r="S4136" s="16" t="inlineStr">
        <is>
          <t>https://mstgolf.co.th/products/gf2040120463</t>
        </is>
      </c>
      <c r="T4136" s="1">
        <f>IF(B4136="ไม้กอล์ฟ",J4136,"")</f>
        <v/>
      </c>
    </row>
    <row r="4137">
      <c r="A4137" s="1" t="n">
        <v>3</v>
      </c>
      <c r="B4137" s="1" t="inlineStr">
        <is>
          <t>เสื้อผ้า</t>
        </is>
      </c>
      <c r="C4137" s="1" t="inlineStr">
        <is>
          <t>gf2040117659</t>
        </is>
      </c>
      <c r="D4137" s="1" t="inlineStr">
        <is>
          <t>ADIDAS Performance Boy's Polo (Navy)</t>
        </is>
      </c>
      <c r="E4137" s="1" t="inlineStr">
        <is>
          <t>ADIDAS</t>
        </is>
      </c>
      <c r="F4137" s="1" t="inlineStr">
        <is>
          <t>SHORT SLEEVES</t>
        </is>
      </c>
      <c r="G4137" s="1" t="inlineStr">
        <is>
          <t>GF2040117659128</t>
        </is>
      </c>
      <c r="H4137" s="1" t="n">
        <v>5</v>
      </c>
      <c r="I4137" s="1" t="inlineStr">
        <is>
          <t>มี</t>
        </is>
      </c>
      <c r="J4137" s="13" t="n">
        <v>35</v>
      </c>
      <c r="K4137" s="1" t="inlineStr"/>
      <c r="L4137" s="13" t="n">
        <v>35</v>
      </c>
      <c r="M4137" s="1">
        <f>IF(L4137="","ไม่พบใน SG",IF(ABS(J4137-L4137)&lt;0.005,"ตรงกัน","ไม่ตรง"))</f>
        <v/>
      </c>
      <c r="N4137" s="14">
        <f>IF(L4137="","",ROUND(L4137*'สรุป'!$C$6,-1))</f>
        <v/>
      </c>
      <c r="O4137" s="15" t="n"/>
      <c r="P4137" s="15" t="n"/>
      <c r="Q4137" s="10" t="n"/>
      <c r="R4137" s="10" t="n"/>
      <c r="S4137" s="16" t="inlineStr">
        <is>
          <t>https://mstgolf.co.th/products/gf2040117659</t>
        </is>
      </c>
      <c r="T4137" s="1">
        <f>IF(B4137="ไม้กอล์ฟ",J4137,"")</f>
        <v/>
      </c>
    </row>
    <row r="4138">
      <c r="A4138" s="1" t="n">
        <v>3</v>
      </c>
      <c r="B4138" s="1" t="inlineStr">
        <is>
          <t>เสื้อผ้า</t>
        </is>
      </c>
      <c r="C4138" s="1" t="inlineStr">
        <is>
          <t>gf2040120466</t>
        </is>
      </c>
      <c r="D4138" s="1" t="inlineStr">
        <is>
          <t>ADIDAS Performance Stripe Boy's Polo (Aqua)</t>
        </is>
      </c>
      <c r="E4138" s="1" t="inlineStr">
        <is>
          <t>ADIDAS</t>
        </is>
      </c>
      <c r="F4138" s="1" t="inlineStr">
        <is>
          <t>SHORT SLEEVES</t>
        </is>
      </c>
      <c r="G4138" s="1" t="inlineStr">
        <is>
          <t>GF2040120466128</t>
        </is>
      </c>
      <c r="H4138" s="1" t="n">
        <v>5</v>
      </c>
      <c r="I4138" s="1" t="inlineStr">
        <is>
          <t>มี</t>
        </is>
      </c>
      <c r="J4138" s="13" t="n">
        <v>35</v>
      </c>
      <c r="K4138" s="1" t="inlineStr"/>
      <c r="L4138" s="13" t="n">
        <v>25</v>
      </c>
      <c r="M4138" s="1">
        <f>IF(L4138="","ไม่พบใน SG",IF(ABS(J4138-L4138)&lt;0.005,"ตรงกัน","ไม่ตรง"))</f>
        <v/>
      </c>
      <c r="N4138" s="14">
        <f>IF(L4138="","",ROUND(L4138*'สรุป'!$C$6,-1))</f>
        <v/>
      </c>
      <c r="O4138" s="15" t="n"/>
      <c r="P4138" s="15" t="n"/>
      <c r="Q4138" s="10" t="n"/>
      <c r="R4138" s="10" t="n"/>
      <c r="S4138" s="16" t="inlineStr">
        <is>
          <t>https://mstgolf.co.th/products/gf2040120466</t>
        </is>
      </c>
      <c r="T4138" s="1">
        <f>IF(B4138="ไม้กอล์ฟ",J4138,"")</f>
        <v/>
      </c>
    </row>
    <row r="4139">
      <c r="A4139" s="1" t="n">
        <v>3</v>
      </c>
      <c r="B4139" s="1" t="inlineStr">
        <is>
          <t>เสื้อผ้า</t>
        </is>
      </c>
      <c r="C4139" s="1" t="inlineStr">
        <is>
          <t>gf2040120462</t>
        </is>
      </c>
      <c r="D4139" s="1" t="inlineStr">
        <is>
          <t>ADIDAS Performance Textured Print Boy's Polo (Lime)</t>
        </is>
      </c>
      <c r="E4139" s="1" t="inlineStr">
        <is>
          <t>ADIDAS</t>
        </is>
      </c>
      <c r="F4139" s="1" t="inlineStr">
        <is>
          <t>SHORT SLEEVES</t>
        </is>
      </c>
      <c r="G4139" s="1" t="inlineStr">
        <is>
          <t>GF2040120462128</t>
        </is>
      </c>
      <c r="H4139" s="1" t="n">
        <v>5</v>
      </c>
      <c r="I4139" s="1" t="inlineStr">
        <is>
          <t>มี</t>
        </is>
      </c>
      <c r="J4139" s="13" t="n">
        <v>35</v>
      </c>
      <c r="K4139" s="1" t="inlineStr"/>
      <c r="L4139" s="13" t="n">
        <v>25</v>
      </c>
      <c r="M4139" s="1">
        <f>IF(L4139="","ไม่พบใน SG",IF(ABS(J4139-L4139)&lt;0.005,"ตรงกัน","ไม่ตรง"))</f>
        <v/>
      </c>
      <c r="N4139" s="14">
        <f>IF(L4139="","",ROUND(L4139*'สรุป'!$C$6,-1))</f>
        <v/>
      </c>
      <c r="O4139" s="15" t="n"/>
      <c r="P4139" s="15" t="n"/>
      <c r="Q4139" s="10" t="n"/>
      <c r="R4139" s="10" t="n"/>
      <c r="S4139" s="16" t="inlineStr">
        <is>
          <t>https://mstgolf.co.th/products/gf2040120462</t>
        </is>
      </c>
      <c r="T4139" s="1">
        <f>IF(B4139="ไม้กอล์ฟ",J4139,"")</f>
        <v/>
      </c>
    </row>
    <row r="4140">
      <c r="A4140" s="1" t="n">
        <v>3</v>
      </c>
      <c r="B4140" s="1" t="inlineStr">
        <is>
          <t>เสื้อผ้า</t>
        </is>
      </c>
      <c r="C4140" s="1" t="inlineStr">
        <is>
          <t>gf2040120461</t>
        </is>
      </c>
      <c r="D4140" s="1" t="inlineStr">
        <is>
          <t>ADIDAS Performance Textured Print Boy's Polo (Navy)</t>
        </is>
      </c>
      <c r="E4140" s="1" t="inlineStr">
        <is>
          <t>ADIDAS</t>
        </is>
      </c>
      <c r="F4140" s="1" t="inlineStr">
        <is>
          <t>SHORT SLEEVES</t>
        </is>
      </c>
      <c r="G4140" s="1" t="inlineStr">
        <is>
          <t>GF2040120461128</t>
        </is>
      </c>
      <c r="H4140" s="1" t="n">
        <v>5</v>
      </c>
      <c r="I4140" s="1" t="inlineStr">
        <is>
          <t>มี</t>
        </is>
      </c>
      <c r="J4140" s="13" t="n">
        <v>35</v>
      </c>
      <c r="K4140" s="1" t="inlineStr"/>
      <c r="L4140" s="13" t="n">
        <v>35</v>
      </c>
      <c r="M4140" s="1">
        <f>IF(L4140="","ไม่พบใน SG",IF(ABS(J4140-L4140)&lt;0.005,"ตรงกัน","ไม่ตรง"))</f>
        <v/>
      </c>
      <c r="N4140" s="14">
        <f>IF(L4140="","",ROUND(L4140*'สรุป'!$C$6,-1))</f>
        <v/>
      </c>
      <c r="O4140" s="15" t="n"/>
      <c r="P4140" s="15" t="n"/>
      <c r="Q4140" s="10" t="n"/>
      <c r="R4140" s="10" t="n"/>
      <c r="S4140" s="16" t="inlineStr">
        <is>
          <t>https://mstgolf.co.th/products/gf2040120461</t>
        </is>
      </c>
      <c r="T4140" s="1">
        <f>IF(B4140="ไม้กอล์ฟ",J4140,"")</f>
        <v/>
      </c>
    </row>
    <row r="4141">
      <c r="A4141" s="1" t="n">
        <v>3</v>
      </c>
      <c r="B4141" s="1" t="inlineStr">
        <is>
          <t>เสื้อผ้า</t>
        </is>
      </c>
      <c r="C4141" s="1" t="inlineStr">
        <is>
          <t>gf2020202148</t>
        </is>
      </c>
      <c r="D4141" s="1" t="inlineStr">
        <is>
          <t>ADIDAS Pintuck 5" Pull-On Women's Shorts (Black)</t>
        </is>
      </c>
      <c r="E4141" s="1" t="inlineStr">
        <is>
          <t>ADIDAS</t>
        </is>
      </c>
      <c r="F4141" s="1" t="inlineStr">
        <is>
          <t>SHORT PANTS</t>
        </is>
      </c>
      <c r="G4141" s="1" t="inlineStr">
        <is>
          <t>GF20202021482XS</t>
        </is>
      </c>
      <c r="H4141" s="1" t="n">
        <v>7</v>
      </c>
      <c r="I4141" s="1" t="inlineStr">
        <is>
          <t>มี</t>
        </is>
      </c>
      <c r="J4141" s="13" t="n">
        <v>35</v>
      </c>
      <c r="K4141" s="1" t="inlineStr"/>
      <c r="L4141" s="13" t="n"/>
      <c r="M4141" s="1">
        <f>IF(L4141="","ไม่พบใน SG",IF(ABS(J4141-L4141)&lt;0.005,"ตรงกัน","ไม่ตรง"))</f>
        <v/>
      </c>
      <c r="N4141" s="14">
        <f>IF(L4141="","",ROUND(L4141*'สรุป'!$C$6,-1))</f>
        <v/>
      </c>
      <c r="O4141" s="15" t="n"/>
      <c r="P4141" s="15" t="n"/>
      <c r="Q4141" s="10" t="n"/>
      <c r="R4141" s="10" t="n"/>
      <c r="S4141" s="16" t="inlineStr">
        <is>
          <t>https://mstgolf.co.th/products/gf2020202148</t>
        </is>
      </c>
      <c r="T4141" s="1">
        <f>IF(B4141="ไม้กอล์ฟ",J4141,"")</f>
        <v/>
      </c>
    </row>
    <row r="4142">
      <c r="A4142" s="1" t="n">
        <v>3</v>
      </c>
      <c r="B4142" s="1" t="inlineStr">
        <is>
          <t>เสื้อผ้า</t>
        </is>
      </c>
      <c r="C4142" s="1" t="inlineStr">
        <is>
          <t>gf2040119488</t>
        </is>
      </c>
      <c r="D4142" s="1" t="inlineStr">
        <is>
          <t>ADIDAS Pique Club Boy's Polo (White)</t>
        </is>
      </c>
      <c r="E4142" s="1" t="inlineStr">
        <is>
          <t>ADIDAS</t>
        </is>
      </c>
      <c r="F4142" s="1" t="inlineStr">
        <is>
          <t>SHORT SLEEVES</t>
        </is>
      </c>
      <c r="G4142" s="1" t="inlineStr">
        <is>
          <t>GF2040119488128</t>
        </is>
      </c>
      <c r="H4142" s="1" t="n">
        <v>6</v>
      </c>
      <c r="I4142" s="1" t="inlineStr">
        <is>
          <t>มี</t>
        </is>
      </c>
      <c r="J4142" s="13" t="n">
        <v>35</v>
      </c>
      <c r="K4142" s="1" t="inlineStr"/>
      <c r="L4142" s="13" t="n">
        <v>25</v>
      </c>
      <c r="M4142" s="1">
        <f>IF(L4142="","ไม่พบใน SG",IF(ABS(J4142-L4142)&lt;0.005,"ตรงกัน","ไม่ตรง"))</f>
        <v/>
      </c>
      <c r="N4142" s="14">
        <f>IF(L4142="","",ROUND(L4142*'สรุป'!$C$6,-1))</f>
        <v/>
      </c>
      <c r="O4142" s="15" t="n"/>
      <c r="P4142" s="15" t="n"/>
      <c r="Q4142" s="10" t="n"/>
      <c r="R4142" s="10" t="n"/>
      <c r="S4142" s="16" t="inlineStr">
        <is>
          <t>https://mstgolf.co.th/products/gf2040119488</t>
        </is>
      </c>
      <c r="T4142" s="1">
        <f>IF(B4142="ไม้กอล์ฟ",J4142,"")</f>
        <v/>
      </c>
    </row>
    <row r="4143">
      <c r="A4143" s="1" t="n">
        <v>3</v>
      </c>
      <c r="B4143" s="1" t="inlineStr">
        <is>
          <t>เสื้อผ้า</t>
        </is>
      </c>
      <c r="C4143" s="1" t="inlineStr">
        <is>
          <t>gf2020202149</t>
        </is>
      </c>
      <c r="D4143" s="1" t="inlineStr">
        <is>
          <t>ADIDAS Pull-On Women's Shorts (White)</t>
        </is>
      </c>
      <c r="E4143" s="1" t="inlineStr">
        <is>
          <t>ADIDAS</t>
        </is>
      </c>
      <c r="F4143" s="1" t="inlineStr">
        <is>
          <t>SHORT PANTS</t>
        </is>
      </c>
      <c r="G4143" s="1" t="inlineStr">
        <is>
          <t>GF20202021492XS</t>
        </is>
      </c>
      <c r="H4143" s="1" t="n">
        <v>7</v>
      </c>
      <c r="I4143" s="1" t="inlineStr">
        <is>
          <t>มี</t>
        </is>
      </c>
      <c r="J4143" s="13" t="n">
        <v>35</v>
      </c>
      <c r="K4143" s="1" t="inlineStr"/>
      <c r="L4143" s="13" t="n"/>
      <c r="M4143" s="1">
        <f>IF(L4143="","ไม่พบใน SG",IF(ABS(J4143-L4143)&lt;0.005,"ตรงกัน","ไม่ตรง"))</f>
        <v/>
      </c>
      <c r="N4143" s="14">
        <f>IF(L4143="","",ROUND(L4143*'สรุป'!$C$6,-1))</f>
        <v/>
      </c>
      <c r="O4143" s="15" t="n"/>
      <c r="P4143" s="15" t="n"/>
      <c r="Q4143" s="10" t="n"/>
      <c r="R4143" s="10" t="n"/>
      <c r="S4143" s="16" t="inlineStr">
        <is>
          <t>https://mstgolf.co.th/products/gf2020202149</t>
        </is>
      </c>
      <c r="T4143" s="1">
        <f>IF(B4143="ไม้กอล์ฟ",J4143,"")</f>
        <v/>
      </c>
    </row>
    <row r="4144">
      <c r="A4144" s="1" t="n">
        <v>3</v>
      </c>
      <c r="B4144" s="1" t="inlineStr">
        <is>
          <t>หมวก</t>
        </is>
      </c>
      <c r="C4144" s="1" t="inlineStr">
        <is>
          <t>gf2000106747</t>
        </is>
      </c>
      <c r="D4144" s="1" t="inlineStr">
        <is>
          <t>ADIDAS Tour 5-Panel Men's Cap (Navy)</t>
        </is>
      </c>
      <c r="E4144" s="1" t="inlineStr">
        <is>
          <t>ADIDAS</t>
        </is>
      </c>
      <c r="F4144" s="1" t="inlineStr">
        <is>
          <t>CAP</t>
        </is>
      </c>
      <c r="G4144" s="1" t="inlineStr">
        <is>
          <t>GF2000106747FS</t>
        </is>
      </c>
      <c r="H4144" s="1" t="n">
        <v>1</v>
      </c>
      <c r="I4144" s="1" t="inlineStr">
        <is>
          <t>มี</t>
        </is>
      </c>
      <c r="J4144" s="13" t="n">
        <v>35</v>
      </c>
      <c r="K4144" s="1" t="inlineStr"/>
      <c r="L4144" s="13" t="n">
        <v>25</v>
      </c>
      <c r="M4144" s="1">
        <f>IF(L4144="","ไม่พบใน SG",IF(ABS(J4144-L4144)&lt;0.005,"ตรงกัน","ไม่ตรง"))</f>
        <v/>
      </c>
      <c r="N4144" s="14">
        <f>IF(L4144="","",ROUND(L4144*'สรุป'!$C$6,-1))</f>
        <v/>
      </c>
      <c r="O4144" s="15" t="n"/>
      <c r="P4144" s="15" t="n"/>
      <c r="Q4144" s="10" t="n"/>
      <c r="R4144" s="10" t="n"/>
      <c r="S4144" s="16" t="inlineStr">
        <is>
          <t>https://mstgolf.co.th/products/gf2000106747</t>
        </is>
      </c>
      <c r="T4144" s="1">
        <f>IF(B4144="ไม้กอล์ฟ",J4144,"")</f>
        <v/>
      </c>
    </row>
    <row r="4145">
      <c r="A4145" s="1" t="n">
        <v>3</v>
      </c>
      <c r="B4145" s="1" t="inlineStr">
        <is>
          <t>หมวก</t>
        </is>
      </c>
      <c r="C4145" s="1" t="inlineStr">
        <is>
          <t>gf2000106746</t>
        </is>
      </c>
      <c r="D4145" s="1" t="inlineStr">
        <is>
          <t>ADIDAS Tour 5-Panel Men's Cap (White/Green)</t>
        </is>
      </c>
      <c r="E4145" s="1" t="inlineStr">
        <is>
          <t>ADIDAS</t>
        </is>
      </c>
      <c r="F4145" s="1" t="inlineStr">
        <is>
          <t>CAP</t>
        </is>
      </c>
      <c r="G4145" s="1" t="inlineStr">
        <is>
          <t>GF2000106746FS</t>
        </is>
      </c>
      <c r="H4145" s="1" t="n">
        <v>1</v>
      </c>
      <c r="I4145" s="1" t="inlineStr">
        <is>
          <t>มี</t>
        </is>
      </c>
      <c r="J4145" s="13" t="n">
        <v>35</v>
      </c>
      <c r="K4145" s="1" t="inlineStr"/>
      <c r="L4145" s="13" t="n">
        <v>25</v>
      </c>
      <c r="M4145" s="1">
        <f>IF(L4145="","ไม่พบใน SG",IF(ABS(J4145-L4145)&lt;0.005,"ตรงกัน","ไม่ตรง"))</f>
        <v/>
      </c>
      <c r="N4145" s="14">
        <f>IF(L4145="","",ROUND(L4145*'สรุป'!$C$6,-1))</f>
        <v/>
      </c>
      <c r="O4145" s="15" t="n"/>
      <c r="P4145" s="15" t="n"/>
      <c r="Q4145" s="10" t="n"/>
      <c r="R4145" s="10" t="n"/>
      <c r="S4145" s="16" t="inlineStr">
        <is>
          <t>https://mstgolf.co.th/products/gf2000106746</t>
        </is>
      </c>
      <c r="T4145" s="1">
        <f>IF(B4145="ไม้กอล์ฟ",J4145,"")</f>
        <v/>
      </c>
    </row>
    <row r="4146">
      <c r="A4146" s="1" t="n">
        <v>3</v>
      </c>
      <c r="B4146" s="1" t="inlineStr">
        <is>
          <t>เสื้อผ้า</t>
        </is>
      </c>
      <c r="C4146" s="1" t="inlineStr">
        <is>
          <t>gf2040118441</t>
        </is>
      </c>
      <c r="D4146" s="1" t="inlineStr">
        <is>
          <t>ADIDAS Ultimate365 Tour TWISTKNIT Women's Sleeveless Polo (Green)</t>
        </is>
      </c>
      <c r="E4146" s="1" t="inlineStr">
        <is>
          <t>ADIDAS</t>
        </is>
      </c>
      <c r="F4146" s="1" t="inlineStr">
        <is>
          <t>SHORT SLEEVES</t>
        </is>
      </c>
      <c r="G4146" s="1" t="inlineStr">
        <is>
          <t>GF20401184412XS</t>
        </is>
      </c>
      <c r="H4146" s="1" t="n">
        <v>7</v>
      </c>
      <c r="I4146" s="1" t="inlineStr">
        <is>
          <t>มี</t>
        </is>
      </c>
      <c r="J4146" s="13" t="n">
        <v>35</v>
      </c>
      <c r="K4146" s="1" t="inlineStr"/>
      <c r="L4146" s="13" t="n">
        <v>35</v>
      </c>
      <c r="M4146" s="1">
        <f>IF(L4146="","ไม่พบใน SG",IF(ABS(J4146-L4146)&lt;0.005,"ตรงกัน","ไม่ตรง"))</f>
        <v/>
      </c>
      <c r="N4146" s="14">
        <f>IF(L4146="","",ROUND(L4146*'สรุป'!$C$6,-1))</f>
        <v/>
      </c>
      <c r="O4146" s="15" t="n"/>
      <c r="P4146" s="15" t="n"/>
      <c r="Q4146" s="10" t="n"/>
      <c r="R4146" s="10" t="n"/>
      <c r="S4146" s="16" t="inlineStr">
        <is>
          <t>https://mstgolf.co.th/products/gf2040118441</t>
        </is>
      </c>
      <c r="T4146" s="1">
        <f>IF(B4146="ไม้กอล์ฟ",J4146,"")</f>
        <v/>
      </c>
    </row>
    <row r="4147">
      <c r="A4147" s="1" t="n">
        <v>3</v>
      </c>
      <c r="B4147" s="1" t="inlineStr">
        <is>
          <t>เสื้อผ้า</t>
        </is>
      </c>
      <c r="C4147" s="1" t="inlineStr">
        <is>
          <t>gf2040118585</t>
        </is>
      </c>
      <c r="D4147" s="1" t="inlineStr">
        <is>
          <t>ADIDAS Ultimate365 Tour TWISTKNIT Women’s Sleeveless Polo (Pink)</t>
        </is>
      </c>
      <c r="E4147" s="1" t="inlineStr">
        <is>
          <t>ADIDAS</t>
        </is>
      </c>
      <c r="F4147" s="1" t="inlineStr">
        <is>
          <t>SHORT SLEEVES</t>
        </is>
      </c>
      <c r="G4147" s="1" t="inlineStr">
        <is>
          <t>GF20401185852XS</t>
        </is>
      </c>
      <c r="H4147" s="1" t="n">
        <v>7</v>
      </c>
      <c r="I4147" s="1" t="inlineStr">
        <is>
          <t>มี</t>
        </is>
      </c>
      <c r="J4147" s="13" t="n">
        <v>35</v>
      </c>
      <c r="K4147" s="1" t="inlineStr"/>
      <c r="L4147" s="13" t="n">
        <v>35</v>
      </c>
      <c r="M4147" s="1">
        <f>IF(L4147="","ไม่พบใน SG",IF(ABS(J4147-L4147)&lt;0.005,"ตรงกัน","ไม่ตรง"))</f>
        <v/>
      </c>
      <c r="N4147" s="14">
        <f>IF(L4147="","",ROUND(L4147*'สรุป'!$C$6,-1))</f>
        <v/>
      </c>
      <c r="O4147" s="15" t="n"/>
      <c r="P4147" s="15" t="n"/>
      <c r="Q4147" s="10" t="n"/>
      <c r="R4147" s="10" t="n"/>
      <c r="S4147" s="16" t="inlineStr">
        <is>
          <t>https://mstgolf.co.th/products/gf2040118585</t>
        </is>
      </c>
      <c r="T4147" s="1">
        <f>IF(B4147="ไม้กอล์ฟ",J4147,"")</f>
        <v/>
      </c>
    </row>
    <row r="4148">
      <c r="A4148" s="1" t="n">
        <v>3</v>
      </c>
      <c r="B4148" s="1" t="inlineStr">
        <is>
          <t>เสื้อผ้า</t>
        </is>
      </c>
      <c r="C4148" s="1" t="inlineStr">
        <is>
          <t>gf2040119390</t>
        </is>
      </c>
      <c r="D4148" s="1" t="inlineStr">
        <is>
          <t>ADIDAS Ultimate365 Women's Sleeveless Zip Mock Shirt (Ruby)</t>
        </is>
      </c>
      <c r="E4148" s="1" t="inlineStr">
        <is>
          <t>ADIDAS</t>
        </is>
      </c>
      <c r="F4148" s="1" t="inlineStr">
        <is>
          <t>SHORT SLEEVES</t>
        </is>
      </c>
      <c r="G4148" s="1" t="inlineStr">
        <is>
          <t>GF2040119390XS</t>
        </is>
      </c>
      <c r="H4148" s="1" t="n">
        <v>6</v>
      </c>
      <c r="I4148" s="1" t="inlineStr">
        <is>
          <t>มี</t>
        </is>
      </c>
      <c r="J4148" s="13" t="n">
        <v>35</v>
      </c>
      <c r="K4148" s="1" t="inlineStr"/>
      <c r="L4148" s="13" t="n">
        <v>35</v>
      </c>
      <c r="M4148" s="1">
        <f>IF(L4148="","ไม่พบใน SG",IF(ABS(J4148-L4148)&lt;0.005,"ตรงกัน","ไม่ตรง"))</f>
        <v/>
      </c>
      <c r="N4148" s="14">
        <f>IF(L4148="","",ROUND(L4148*'สรุป'!$C$6,-1))</f>
        <v/>
      </c>
      <c r="O4148" s="15" t="n"/>
      <c r="P4148" s="15" t="n"/>
      <c r="Q4148" s="10" t="n"/>
      <c r="R4148" s="10" t="n"/>
      <c r="S4148" s="16" t="inlineStr">
        <is>
          <t>https://mstgolf.co.th/products/gf2040119390</t>
        </is>
      </c>
      <c r="T4148" s="1">
        <f>IF(B4148="ไม้กอล์ฟ",J4148,"")</f>
        <v/>
      </c>
    </row>
    <row r="4149">
      <c r="A4149" s="1" t="n">
        <v>3</v>
      </c>
      <c r="B4149" s="1" t="inlineStr">
        <is>
          <t>เสื้อผ้า</t>
        </is>
      </c>
      <c r="C4149" s="1" t="inlineStr">
        <is>
          <t>gf2040119392</t>
        </is>
      </c>
      <c r="D4149" s="1" t="inlineStr">
        <is>
          <t>ADIDAS Ultimate365 Women's Sleeveless Zip Mock Shirt (White)</t>
        </is>
      </c>
      <c r="E4149" s="1" t="inlineStr">
        <is>
          <t>ADIDAS</t>
        </is>
      </c>
      <c r="F4149" s="1" t="inlineStr">
        <is>
          <t>SHORT SLEEVES</t>
        </is>
      </c>
      <c r="G4149" s="1" t="inlineStr">
        <is>
          <t>GF2040119392XS</t>
        </is>
      </c>
      <c r="H4149" s="1" t="n">
        <v>6</v>
      </c>
      <c r="I4149" s="1" t="inlineStr">
        <is>
          <t>มี</t>
        </is>
      </c>
      <c r="J4149" s="13" t="n">
        <v>35</v>
      </c>
      <c r="K4149" s="1" t="inlineStr"/>
      <c r="L4149" s="13" t="n">
        <v>35</v>
      </c>
      <c r="M4149" s="1">
        <f>IF(L4149="","ไม่พบใน SG",IF(ABS(J4149-L4149)&lt;0.005,"ตรงกัน","ไม่ตรง"))</f>
        <v/>
      </c>
      <c r="N4149" s="14">
        <f>IF(L4149="","",ROUND(L4149*'สรุป'!$C$6,-1))</f>
        <v/>
      </c>
      <c r="O4149" s="15" t="n"/>
      <c r="P4149" s="15" t="n"/>
      <c r="Q4149" s="10" t="n"/>
      <c r="R4149" s="10" t="n"/>
      <c r="S4149" s="16" t="inlineStr">
        <is>
          <t>https://mstgolf.co.th/products/gf2040119392</t>
        </is>
      </c>
      <c r="T4149" s="1">
        <f>IF(B4149="ไม้กอล์ฟ",J4149,"")</f>
        <v/>
      </c>
    </row>
    <row r="4150">
      <c r="A4150" s="1" t="n">
        <v>3</v>
      </c>
      <c r="B4150" s="1" t="inlineStr">
        <is>
          <t>อุปกรณ์เสริม</t>
        </is>
      </c>
      <c r="C4150" s="1" t="inlineStr">
        <is>
          <t>gf3150100337</t>
        </is>
      </c>
      <c r="D4150" s="1" t="inlineStr">
        <is>
          <t>CUTTER &amp; BUCK 30" Double-Layer Umbrella (Navy)</t>
        </is>
      </c>
      <c r="E4150" s="1" t="inlineStr">
        <is>
          <t>CUTTER &amp; BUCK</t>
        </is>
      </c>
      <c r="F4150" s="1" t="inlineStr">
        <is>
          <t>UMBRELLA</t>
        </is>
      </c>
      <c r="G4150" s="1" t="inlineStr">
        <is>
          <t>GF3150100337</t>
        </is>
      </c>
      <c r="H4150" s="1" t="n">
        <v>1</v>
      </c>
      <c r="I4150" s="1" t="inlineStr">
        <is>
          <t>มี</t>
        </is>
      </c>
      <c r="J4150" s="13" t="n">
        <v>35</v>
      </c>
      <c r="K4150" s="1" t="inlineStr"/>
      <c r="L4150" s="13" t="n">
        <v>35</v>
      </c>
      <c r="M4150" s="1">
        <f>IF(L4150="","ไม่พบใน SG",IF(ABS(J4150-L4150)&lt;0.005,"ตรงกัน","ไม่ตรง"))</f>
        <v/>
      </c>
      <c r="N4150" s="14">
        <f>IF(L4150="","",ROUND(L4150*'สรุป'!$C$6,-1))</f>
        <v/>
      </c>
      <c r="O4150" s="15" t="n"/>
      <c r="P4150" s="15" t="n"/>
      <c r="Q4150" s="10" t="n"/>
      <c r="R4150" s="10" t="n"/>
      <c r="S4150" s="16" t="inlineStr">
        <is>
          <t>https://mstgolf.co.th/products/gf3150100337</t>
        </is>
      </c>
      <c r="T4150" s="1">
        <f>IF(B4150="ไม้กอล์ฟ",J4150,"")</f>
        <v/>
      </c>
    </row>
    <row r="4151">
      <c r="A4151" s="1" t="n">
        <v>3</v>
      </c>
      <c r="B4151" s="1" t="inlineStr">
        <is>
          <t>เสื้อผ้า</t>
        </is>
      </c>
      <c r="C4151" s="1" t="inlineStr">
        <is>
          <t>gf2040116407</t>
        </is>
      </c>
      <c r="D4151" s="1" t="inlineStr">
        <is>
          <t>CUTTER &amp; BUCK Pike Eco Pebble Printed Men's Polo (White)</t>
        </is>
      </c>
      <c r="E4151" s="1" t="inlineStr">
        <is>
          <t>CUTTER &amp; BUCK</t>
        </is>
      </c>
      <c r="F4151" s="1" t="inlineStr">
        <is>
          <t>SHORT SLEEVES</t>
        </is>
      </c>
      <c r="G4151" s="1" t="inlineStr">
        <is>
          <t>GF2040116407XS</t>
        </is>
      </c>
      <c r="H4151" s="1" t="n">
        <v>6</v>
      </c>
      <c r="I4151" s="1" t="inlineStr">
        <is>
          <t>มี</t>
        </is>
      </c>
      <c r="J4151" s="13" t="n">
        <v>35</v>
      </c>
      <c r="K4151" s="1" t="inlineStr"/>
      <c r="L4151" s="13" t="n">
        <v>35</v>
      </c>
      <c r="M4151" s="1">
        <f>IF(L4151="","ไม่พบใน SG",IF(ABS(J4151-L4151)&lt;0.005,"ตรงกัน","ไม่ตรง"))</f>
        <v/>
      </c>
      <c r="N4151" s="14">
        <f>IF(L4151="","",ROUND(L4151*'สรุป'!$C$6,-1))</f>
        <v/>
      </c>
      <c r="O4151" s="15" t="n"/>
      <c r="P4151" s="15" t="n"/>
      <c r="Q4151" s="10" t="n"/>
      <c r="R4151" s="10" t="n"/>
      <c r="S4151" s="16" t="inlineStr">
        <is>
          <t>https://mstgolf.co.th/products/gf2040116407</t>
        </is>
      </c>
      <c r="T4151" s="1">
        <f>IF(B4151="ไม้กอล์ฟ",J4151,"")</f>
        <v/>
      </c>
    </row>
    <row r="4152">
      <c r="A4152" s="1" t="n">
        <v>3</v>
      </c>
      <c r="B4152" s="1" t="inlineStr">
        <is>
          <t>เสื้อผ้า</t>
        </is>
      </c>
      <c r="C4152" s="1" t="inlineStr">
        <is>
          <t>gf2040116408</t>
        </is>
      </c>
      <c r="D4152" s="1" t="inlineStr">
        <is>
          <t>CUTTER &amp; BUCK Pike Tonal Geo Printed Men's Polo (Atlas)</t>
        </is>
      </c>
      <c r="E4152" s="1" t="inlineStr">
        <is>
          <t>CUTTER &amp; BUCK</t>
        </is>
      </c>
      <c r="F4152" s="1" t="inlineStr">
        <is>
          <t>SHORT SLEEVES</t>
        </is>
      </c>
      <c r="G4152" s="1" t="inlineStr">
        <is>
          <t>GF2040116408XS</t>
        </is>
      </c>
      <c r="H4152" s="1" t="n">
        <v>7</v>
      </c>
      <c r="I4152" s="1" t="inlineStr">
        <is>
          <t>มี</t>
        </is>
      </c>
      <c r="J4152" s="13" t="n">
        <v>35</v>
      </c>
      <c r="K4152" s="1" t="inlineStr"/>
      <c r="L4152" s="13" t="n">
        <v>35</v>
      </c>
      <c r="M4152" s="1">
        <f>IF(L4152="","ไม่พบใน SG",IF(ABS(J4152-L4152)&lt;0.005,"ตรงกัน","ไม่ตรง"))</f>
        <v/>
      </c>
      <c r="N4152" s="14">
        <f>IF(L4152="","",ROUND(L4152*'สรุป'!$C$6,-1))</f>
        <v/>
      </c>
      <c r="O4152" s="15" t="n"/>
      <c r="P4152" s="15" t="n"/>
      <c r="Q4152" s="10" t="n"/>
      <c r="R4152" s="10" t="n"/>
      <c r="S4152" s="16" t="inlineStr">
        <is>
          <t>https://mstgolf.co.th/products/gf2040116408</t>
        </is>
      </c>
      <c r="T4152" s="1">
        <f>IF(B4152="ไม้กอล์ฟ",J4152,"")</f>
        <v/>
      </c>
    </row>
    <row r="4153">
      <c r="A4153" s="1" t="n">
        <v>3</v>
      </c>
      <c r="B4153" s="1" t="inlineStr">
        <is>
          <t>เสื้อผ้า</t>
        </is>
      </c>
      <c r="C4153" s="1" t="inlineStr">
        <is>
          <t>gf2040116403</t>
        </is>
      </c>
      <c r="D4153" s="1" t="inlineStr">
        <is>
          <t>CUTTER &amp; BUCK Pike Tonal Geo Printed Men's Polo (White/Orange)</t>
        </is>
      </c>
      <c r="E4153" s="1" t="inlineStr">
        <is>
          <t>CUTTER &amp; BUCK</t>
        </is>
      </c>
      <c r="F4153" s="1" t="inlineStr">
        <is>
          <t>SHORT SLEEVES</t>
        </is>
      </c>
      <c r="G4153" s="1" t="inlineStr">
        <is>
          <t>GF2040116403XS</t>
        </is>
      </c>
      <c r="H4153" s="1" t="n">
        <v>6</v>
      </c>
      <c r="I4153" s="1" t="inlineStr">
        <is>
          <t>มี</t>
        </is>
      </c>
      <c r="J4153" s="13" t="n">
        <v>35</v>
      </c>
      <c r="K4153" s="1" t="inlineStr"/>
      <c r="L4153" s="13" t="n">
        <v>35</v>
      </c>
      <c r="M4153" s="1">
        <f>IF(L4153="","ไม่พบใน SG",IF(ABS(J4153-L4153)&lt;0.005,"ตรงกัน","ไม่ตรง"))</f>
        <v/>
      </c>
      <c r="N4153" s="14">
        <f>IF(L4153="","",ROUND(L4153*'สรุป'!$C$6,-1))</f>
        <v/>
      </c>
      <c r="O4153" s="15" t="n"/>
      <c r="P4153" s="15" t="n"/>
      <c r="Q4153" s="10" t="n"/>
      <c r="R4153" s="10" t="n"/>
      <c r="S4153" s="16" t="inlineStr">
        <is>
          <t>https://mstgolf.co.th/products/gf2040116403</t>
        </is>
      </c>
      <c r="T4153" s="1">
        <f>IF(B4153="ไม้กอล์ฟ",J4153,"")</f>
        <v/>
      </c>
    </row>
    <row r="4154">
      <c r="A4154" s="1" t="n">
        <v>3</v>
      </c>
      <c r="B4154" s="1" t="inlineStr">
        <is>
          <t>เสื้อผ้า</t>
        </is>
      </c>
      <c r="C4154" s="1" t="inlineStr">
        <is>
          <t>gf2040117320</t>
        </is>
      </c>
      <c r="D4154" s="1" t="inlineStr">
        <is>
          <t>CUTTER &amp; BUCK Virtue Eco Pique Women's Polo (Navy Blue)</t>
        </is>
      </c>
      <c r="E4154" s="1" t="inlineStr">
        <is>
          <t>CUTTER &amp; BUCK</t>
        </is>
      </c>
      <c r="F4154" s="1" t="inlineStr">
        <is>
          <t>SHORT SLEEVES</t>
        </is>
      </c>
      <c r="G4154" s="1" t="inlineStr">
        <is>
          <t>GF2040117320XS</t>
        </is>
      </c>
      <c r="H4154" s="1" t="n">
        <v>7</v>
      </c>
      <c r="I4154" s="1" t="inlineStr">
        <is>
          <t>มี</t>
        </is>
      </c>
      <c r="J4154" s="13" t="n">
        <v>35</v>
      </c>
      <c r="K4154" s="1" t="inlineStr"/>
      <c r="L4154" s="13" t="n">
        <v>35</v>
      </c>
      <c r="M4154" s="1">
        <f>IF(L4154="","ไม่พบใน SG",IF(ABS(J4154-L4154)&lt;0.005,"ตรงกัน","ไม่ตรง"))</f>
        <v/>
      </c>
      <c r="N4154" s="14">
        <f>IF(L4154="","",ROUND(L4154*'สรุป'!$C$6,-1))</f>
        <v/>
      </c>
      <c r="O4154" s="15" t="n"/>
      <c r="P4154" s="15" t="n"/>
      <c r="Q4154" s="10" t="n"/>
      <c r="R4154" s="10" t="n"/>
      <c r="S4154" s="16" t="inlineStr">
        <is>
          <t>https://mstgolf.co.th/products/gf2040117320</t>
        </is>
      </c>
      <c r="T4154" s="1">
        <f>IF(B4154="ไม้กอล์ฟ",J4154,"")</f>
        <v/>
      </c>
    </row>
    <row r="4155">
      <c r="A4155" s="1" t="n">
        <v>3</v>
      </c>
      <c r="B4155" s="1" t="inlineStr">
        <is>
          <t>หมวก</t>
        </is>
      </c>
      <c r="C4155" s="1" t="inlineStr">
        <is>
          <t>gf2000300546</t>
        </is>
      </c>
      <c r="D4155" s="1" t="inlineStr">
        <is>
          <t>DISNEY Yoda Men's Hat (Multi Blue)</t>
        </is>
      </c>
      <c r="E4155" s="1" t="inlineStr">
        <is>
          <t>DISNEY</t>
        </is>
      </c>
      <c r="F4155" s="1" t="inlineStr">
        <is>
          <t>HAT</t>
        </is>
      </c>
      <c r="G4155" s="1" t="inlineStr">
        <is>
          <t>GF2000300546FS</t>
        </is>
      </c>
      <c r="H4155" s="1" t="n">
        <v>1</v>
      </c>
      <c r="I4155" s="1" t="inlineStr">
        <is>
          <t>มี</t>
        </is>
      </c>
      <c r="J4155" s="13" t="n">
        <v>35</v>
      </c>
      <c r="K4155" s="1" t="inlineStr"/>
      <c r="L4155" s="13" t="n">
        <v>35</v>
      </c>
      <c r="M4155" s="1">
        <f>IF(L4155="","ไม่พบใน SG",IF(ABS(J4155-L4155)&lt;0.005,"ตรงกัน","ไม่ตรง"))</f>
        <v/>
      </c>
      <c r="N4155" s="14">
        <f>IF(L4155="","",ROUND(L4155*'สรุป'!$C$6,-1))</f>
        <v/>
      </c>
      <c r="O4155" s="15" t="n"/>
      <c r="P4155" s="15" t="n"/>
      <c r="Q4155" s="10" t="n"/>
      <c r="R4155" s="10" t="n"/>
      <c r="S4155" s="16" t="inlineStr">
        <is>
          <t>https://mstgolf.co.th/products/gf2000300546</t>
        </is>
      </c>
      <c r="T4155" s="1">
        <f>IF(B4155="ไม้กอล์ฟ",J4155,"")</f>
        <v/>
      </c>
    </row>
    <row r="4156">
      <c r="A4156" s="1" t="n">
        <v>3</v>
      </c>
      <c r="B4156" s="1" t="inlineStr">
        <is>
          <t>หมวก</t>
        </is>
      </c>
      <c r="C4156" s="1" t="inlineStr">
        <is>
          <t>gf2000105036</t>
        </is>
      </c>
      <c r="D4156" s="1" t="inlineStr">
        <is>
          <t>GFORE Camo Skull Trucker Men's Cap (Blue)</t>
        </is>
      </c>
      <c r="E4156" s="1" t="inlineStr">
        <is>
          <t>GFORE</t>
        </is>
      </c>
      <c r="F4156" s="1" t="inlineStr">
        <is>
          <t>CAP</t>
        </is>
      </c>
      <c r="G4156" s="1" t="inlineStr">
        <is>
          <t>GF2000105036FS</t>
        </is>
      </c>
      <c r="H4156" s="1" t="n">
        <v>1</v>
      </c>
      <c r="I4156" s="1" t="inlineStr">
        <is>
          <t>มี</t>
        </is>
      </c>
      <c r="J4156" s="13" t="n">
        <v>35</v>
      </c>
      <c r="K4156" s="1" t="inlineStr"/>
      <c r="L4156" s="13" t="n">
        <v>35</v>
      </c>
      <c r="M4156" s="1">
        <f>IF(L4156="","ไม่พบใน SG",IF(ABS(J4156-L4156)&lt;0.005,"ตรงกัน","ไม่ตรง"))</f>
        <v/>
      </c>
      <c r="N4156" s="14">
        <f>IF(L4156="","",ROUND(L4156*'สรุป'!$C$6,-1))</f>
        <v/>
      </c>
      <c r="O4156" s="15" t="n"/>
      <c r="P4156" s="15" t="n"/>
      <c r="Q4156" s="10" t="n"/>
      <c r="R4156" s="10" t="n"/>
      <c r="S4156" s="16" t="inlineStr">
        <is>
          <t>https://mstgolf.co.th/products/gf2000105036</t>
        </is>
      </c>
      <c r="T4156" s="1">
        <f>IF(B4156="ไม้กอล์ฟ",J4156,"")</f>
        <v/>
      </c>
    </row>
    <row r="4157">
      <c r="A4157" s="1" t="n">
        <v>3</v>
      </c>
      <c r="B4157" s="1" t="inlineStr">
        <is>
          <t>หมวก</t>
        </is>
      </c>
      <c r="C4157" s="1" t="inlineStr">
        <is>
          <t>gf2000104598</t>
        </is>
      </c>
      <c r="D4157" s="1" t="inlineStr">
        <is>
          <t>GFORE Circle G's Camo Men's Cap (Blueprint)</t>
        </is>
      </c>
      <c r="E4157" s="1" t="inlineStr">
        <is>
          <t>GFORE</t>
        </is>
      </c>
      <c r="F4157" s="1" t="inlineStr">
        <is>
          <t>CAP</t>
        </is>
      </c>
      <c r="G4157" s="1" t="inlineStr">
        <is>
          <t>GF2000104598FS</t>
        </is>
      </c>
      <c r="H4157" s="1" t="n">
        <v>1</v>
      </c>
      <c r="I4157" s="1" t="inlineStr">
        <is>
          <t>มี</t>
        </is>
      </c>
      <c r="J4157" s="13" t="n">
        <v>35</v>
      </c>
      <c r="K4157" s="1" t="inlineStr"/>
      <c r="L4157" s="13" t="n">
        <v>35</v>
      </c>
      <c r="M4157" s="1">
        <f>IF(L4157="","ไม่พบใน SG",IF(ABS(J4157-L4157)&lt;0.005,"ตรงกัน","ไม่ตรง"))</f>
        <v/>
      </c>
      <c r="N4157" s="14">
        <f>IF(L4157="","",ROUND(L4157*'สรุป'!$C$6,-1))</f>
        <v/>
      </c>
      <c r="O4157" s="15" t="n"/>
      <c r="P4157" s="15" t="n"/>
      <c r="Q4157" s="10" t="n"/>
      <c r="R4157" s="10" t="n"/>
      <c r="S4157" s="16" t="inlineStr">
        <is>
          <t>https://mstgolf.co.th/products/gf2000104598</t>
        </is>
      </c>
      <c r="T4157" s="1">
        <f>IF(B4157="ไม้กอล์ฟ",J4157,"")</f>
        <v/>
      </c>
    </row>
    <row r="4158">
      <c r="A4158" s="1" t="n">
        <v>3</v>
      </c>
      <c r="B4158" s="1" t="inlineStr">
        <is>
          <t>หมวก</t>
        </is>
      </c>
      <c r="C4158" s="1" t="inlineStr">
        <is>
          <t>gf2000104934</t>
        </is>
      </c>
      <c r="D4158" s="1" t="inlineStr">
        <is>
          <t>GFORE Circle G's Interlock Knit Men's Cap (Onyx)</t>
        </is>
      </c>
      <c r="E4158" s="1" t="inlineStr">
        <is>
          <t>GFORE</t>
        </is>
      </c>
      <c r="F4158" s="1" t="inlineStr">
        <is>
          <t>CAP</t>
        </is>
      </c>
      <c r="G4158" s="1" t="inlineStr">
        <is>
          <t>GF2000104934FS</t>
        </is>
      </c>
      <c r="H4158" s="1" t="n">
        <v>1</v>
      </c>
      <c r="I4158" s="1" t="inlineStr">
        <is>
          <t>มี</t>
        </is>
      </c>
      <c r="J4158" s="13" t="n">
        <v>35</v>
      </c>
      <c r="K4158" s="1" t="inlineStr"/>
      <c r="L4158" s="13" t="n">
        <v>35</v>
      </c>
      <c r="M4158" s="1">
        <f>IF(L4158="","ไม่พบใน SG",IF(ABS(J4158-L4158)&lt;0.005,"ตรงกัน","ไม่ตรง"))</f>
        <v/>
      </c>
      <c r="N4158" s="14">
        <f>IF(L4158="","",ROUND(L4158*'สรุป'!$C$6,-1))</f>
        <v/>
      </c>
      <c r="O4158" s="15" t="n"/>
      <c r="P4158" s="15" t="n"/>
      <c r="Q4158" s="10" t="n"/>
      <c r="R4158" s="10" t="n"/>
      <c r="S4158" s="16" t="inlineStr">
        <is>
          <t>https://mstgolf.co.th/products/gf2000104934</t>
        </is>
      </c>
      <c r="T4158" s="1">
        <f>IF(B4158="ไม้กอล์ฟ",J4158,"")</f>
        <v/>
      </c>
    </row>
    <row r="4159">
      <c r="A4159" s="1" t="n">
        <v>3</v>
      </c>
      <c r="B4159" s="1" t="inlineStr">
        <is>
          <t>หมวก</t>
        </is>
      </c>
      <c r="C4159" s="1" t="inlineStr">
        <is>
          <t>gf2000104947</t>
        </is>
      </c>
      <c r="D4159" s="1" t="inlineStr">
        <is>
          <t>GFORE Circle G's Men's Cap (Onyx)</t>
        </is>
      </c>
      <c r="E4159" s="1" t="inlineStr">
        <is>
          <t>GFORE</t>
        </is>
      </c>
      <c r="F4159" s="1" t="inlineStr">
        <is>
          <t>CAP</t>
        </is>
      </c>
      <c r="G4159" s="1" t="inlineStr">
        <is>
          <t>GF2000104947FS</t>
        </is>
      </c>
      <c r="H4159" s="1" t="n">
        <v>1</v>
      </c>
      <c r="I4159" s="1" t="inlineStr">
        <is>
          <t>มี</t>
        </is>
      </c>
      <c r="J4159" s="13" t="n">
        <v>35</v>
      </c>
      <c r="K4159" s="1" t="inlineStr"/>
      <c r="L4159" s="13" t="n">
        <v>35</v>
      </c>
      <c r="M4159" s="1">
        <f>IF(L4159="","ไม่พบใน SG",IF(ABS(J4159-L4159)&lt;0.005,"ตรงกัน","ไม่ตรง"))</f>
        <v/>
      </c>
      <c r="N4159" s="14">
        <f>IF(L4159="","",ROUND(L4159*'สรุป'!$C$6,-1))</f>
        <v/>
      </c>
      <c r="O4159" s="15" t="n"/>
      <c r="P4159" s="15" t="n"/>
      <c r="Q4159" s="10" t="n"/>
      <c r="R4159" s="10" t="n"/>
      <c r="S4159" s="16" t="inlineStr">
        <is>
          <t>https://mstgolf.co.th/products/gf2000104947</t>
        </is>
      </c>
      <c r="T4159" s="1">
        <f>IF(B4159="ไม้กอล์ฟ",J4159,"")</f>
        <v/>
      </c>
    </row>
    <row r="4160">
      <c r="A4160" s="1" t="n">
        <v>3</v>
      </c>
      <c r="B4160" s="1" t="inlineStr">
        <is>
          <t>หมวก</t>
        </is>
      </c>
      <c r="C4160" s="1" t="inlineStr">
        <is>
          <t>gf2000104948</t>
        </is>
      </c>
      <c r="D4160" s="1" t="inlineStr">
        <is>
          <t>GFORE Circle G's Men's Cap (Snow/Poppy)</t>
        </is>
      </c>
      <c r="E4160" s="1" t="inlineStr">
        <is>
          <t>GFORE</t>
        </is>
      </c>
      <c r="F4160" s="1" t="inlineStr">
        <is>
          <t>CAP</t>
        </is>
      </c>
      <c r="G4160" s="1" t="inlineStr">
        <is>
          <t>GF2000104948FS</t>
        </is>
      </c>
      <c r="H4160" s="1" t="n">
        <v>1</v>
      </c>
      <c r="I4160" s="1" t="inlineStr">
        <is>
          <t>มี</t>
        </is>
      </c>
      <c r="J4160" s="13" t="n">
        <v>35</v>
      </c>
      <c r="K4160" s="1" t="inlineStr"/>
      <c r="L4160" s="13" t="n">
        <v>35</v>
      </c>
      <c r="M4160" s="1">
        <f>IF(L4160="","ไม่พบใน SG",IF(ABS(J4160-L4160)&lt;0.005,"ตรงกัน","ไม่ตรง"))</f>
        <v/>
      </c>
      <c r="N4160" s="14">
        <f>IF(L4160="","",ROUND(L4160*'สรุป'!$C$6,-1))</f>
        <v/>
      </c>
      <c r="O4160" s="15" t="n"/>
      <c r="P4160" s="15" t="n"/>
      <c r="Q4160" s="10" t="n"/>
      <c r="R4160" s="10" t="n"/>
      <c r="S4160" s="16" t="inlineStr">
        <is>
          <t>https://mstgolf.co.th/products/gf2000104948</t>
        </is>
      </c>
      <c r="T4160" s="1">
        <f>IF(B4160="ไม้กอล์ฟ",J4160,"")</f>
        <v/>
      </c>
    </row>
    <row r="4161">
      <c r="A4161" s="1" t="n">
        <v>3</v>
      </c>
      <c r="B4161" s="1" t="inlineStr">
        <is>
          <t>หมวก</t>
        </is>
      </c>
      <c r="C4161" s="1" t="inlineStr">
        <is>
          <t>gf2000104942</t>
        </is>
      </c>
      <c r="D4161" s="1" t="inlineStr">
        <is>
          <t>GFORE Country Club Men's Cap (Onyx)</t>
        </is>
      </c>
      <c r="E4161" s="1" t="inlineStr">
        <is>
          <t>GFORE</t>
        </is>
      </c>
      <c r="F4161" s="1" t="inlineStr">
        <is>
          <t>CAP</t>
        </is>
      </c>
      <c r="G4161" s="1" t="inlineStr">
        <is>
          <t>GF2000104942FS</t>
        </is>
      </c>
      <c r="H4161" s="1" t="n">
        <v>1</v>
      </c>
      <c r="I4161" s="1" t="inlineStr">
        <is>
          <t>มี</t>
        </is>
      </c>
      <c r="J4161" s="13" t="n">
        <v>35</v>
      </c>
      <c r="K4161" s="1" t="inlineStr"/>
      <c r="L4161" s="13" t="n">
        <v>35</v>
      </c>
      <c r="M4161" s="1">
        <f>IF(L4161="","ไม่พบใน SG",IF(ABS(J4161-L4161)&lt;0.005,"ตรงกัน","ไม่ตรง"))</f>
        <v/>
      </c>
      <c r="N4161" s="14">
        <f>IF(L4161="","",ROUND(L4161*'สรุป'!$C$6,-1))</f>
        <v/>
      </c>
      <c r="O4161" s="15" t="n"/>
      <c r="P4161" s="15" t="n"/>
      <c r="Q4161" s="10" t="n"/>
      <c r="R4161" s="10" t="n"/>
      <c r="S4161" s="16" t="inlineStr">
        <is>
          <t>https://mstgolf.co.th/products/gf2000104942</t>
        </is>
      </c>
      <c r="T4161" s="1">
        <f>IF(B4161="ไม้กอล์ฟ",J4161,"")</f>
        <v/>
      </c>
    </row>
    <row r="4162">
      <c r="A4162" s="1" t="n">
        <v>3</v>
      </c>
      <c r="B4162" s="1" t="inlineStr">
        <is>
          <t>หมวก</t>
        </is>
      </c>
      <c r="C4162" s="1" t="inlineStr">
        <is>
          <t>gf2000104936</t>
        </is>
      </c>
      <c r="D4162" s="1" t="inlineStr">
        <is>
          <t>GFORE Fore Fist Men's Cap (Snow/Orange)</t>
        </is>
      </c>
      <c r="E4162" s="1" t="inlineStr">
        <is>
          <t>GFORE</t>
        </is>
      </c>
      <c r="F4162" s="1" t="inlineStr">
        <is>
          <t>CAP</t>
        </is>
      </c>
      <c r="G4162" s="1" t="inlineStr">
        <is>
          <t>GF2000104936FS</t>
        </is>
      </c>
      <c r="H4162" s="1" t="n">
        <v>1</v>
      </c>
      <c r="I4162" s="1" t="inlineStr">
        <is>
          <t>มี</t>
        </is>
      </c>
      <c r="J4162" s="13" t="n">
        <v>35</v>
      </c>
      <c r="K4162" s="1" t="inlineStr"/>
      <c r="L4162" s="13" t="n"/>
      <c r="M4162" s="1">
        <f>IF(L4162="","ไม่พบใน SG",IF(ABS(J4162-L4162)&lt;0.005,"ตรงกัน","ไม่ตรง"))</f>
        <v/>
      </c>
      <c r="N4162" s="14">
        <f>IF(L4162="","",ROUND(L4162*'สรุป'!$C$6,-1))</f>
        <v/>
      </c>
      <c r="O4162" s="15" t="n"/>
      <c r="P4162" s="15" t="n"/>
      <c r="Q4162" s="10" t="n"/>
      <c r="R4162" s="10" t="n"/>
      <c r="S4162" s="16" t="inlineStr">
        <is>
          <t>https://mstgolf.co.th/products/gf2000104936</t>
        </is>
      </c>
      <c r="T4162" s="1">
        <f>IF(B4162="ไม้กอล์ฟ",J4162,"")</f>
        <v/>
      </c>
    </row>
    <row r="4163">
      <c r="A4163" s="1" t="n">
        <v>3</v>
      </c>
      <c r="B4163" s="1" t="inlineStr">
        <is>
          <t>หมวก</t>
        </is>
      </c>
      <c r="C4163" s="1" t="inlineStr">
        <is>
          <t>gf2000104937</t>
        </is>
      </c>
      <c r="D4163" s="1" t="inlineStr">
        <is>
          <t>GFORE Pray For Birdies Men's Cap (Ibiza Blue)</t>
        </is>
      </c>
      <c r="E4163" s="1" t="inlineStr">
        <is>
          <t>GFORE</t>
        </is>
      </c>
      <c r="F4163" s="1" t="inlineStr">
        <is>
          <t>CAP</t>
        </is>
      </c>
      <c r="G4163" s="1" t="inlineStr">
        <is>
          <t>GF2000104937FS</t>
        </is>
      </c>
      <c r="H4163" s="1" t="n">
        <v>1</v>
      </c>
      <c r="I4163" s="1" t="inlineStr">
        <is>
          <t>มี</t>
        </is>
      </c>
      <c r="J4163" s="13" t="n">
        <v>35</v>
      </c>
      <c r="K4163" s="1" t="inlineStr"/>
      <c r="L4163" s="13" t="n">
        <v>35</v>
      </c>
      <c r="M4163" s="1">
        <f>IF(L4163="","ไม่พบใน SG",IF(ABS(J4163-L4163)&lt;0.005,"ตรงกัน","ไม่ตรง"))</f>
        <v/>
      </c>
      <c r="N4163" s="14">
        <f>IF(L4163="","",ROUND(L4163*'สรุป'!$C$6,-1))</f>
        <v/>
      </c>
      <c r="O4163" s="15" t="n"/>
      <c r="P4163" s="15" t="n"/>
      <c r="Q4163" s="10" t="n"/>
      <c r="R4163" s="10" t="n"/>
      <c r="S4163" s="16" t="inlineStr">
        <is>
          <t>https://mstgolf.co.th/products/gf2000104937</t>
        </is>
      </c>
      <c r="T4163" s="1">
        <f>IF(B4163="ไม้กอล์ฟ",J4163,"")</f>
        <v/>
      </c>
    </row>
    <row r="4164">
      <c r="A4164" s="1" t="n">
        <v>3</v>
      </c>
      <c r="B4164" s="1" t="inlineStr">
        <is>
          <t>หมวก</t>
        </is>
      </c>
      <c r="C4164" s="1" t="inlineStr">
        <is>
          <t>gf2000104946</t>
        </is>
      </c>
      <c r="D4164" s="1" t="inlineStr">
        <is>
          <t>GFORE Striped Heart G's Women's Cap (Blush)</t>
        </is>
      </c>
      <c r="E4164" s="1" t="inlineStr">
        <is>
          <t>GFORE</t>
        </is>
      </c>
      <c r="F4164" s="1" t="inlineStr">
        <is>
          <t>CAP</t>
        </is>
      </c>
      <c r="G4164" s="1" t="inlineStr">
        <is>
          <t>GF2000104946FS</t>
        </is>
      </c>
      <c r="H4164" s="1" t="n">
        <v>1</v>
      </c>
      <c r="I4164" s="1" t="inlineStr">
        <is>
          <t>มี</t>
        </is>
      </c>
      <c r="J4164" s="13" t="n">
        <v>35</v>
      </c>
      <c r="K4164" s="1" t="inlineStr"/>
      <c r="L4164" s="13" t="n">
        <v>35</v>
      </c>
      <c r="M4164" s="1">
        <f>IF(L4164="","ไม่พบใน SG",IF(ABS(J4164-L4164)&lt;0.005,"ตรงกัน","ไม่ตรง"))</f>
        <v/>
      </c>
      <c r="N4164" s="14">
        <f>IF(L4164="","",ROUND(L4164*'สรุป'!$C$6,-1))</f>
        <v/>
      </c>
      <c r="O4164" s="15" t="n"/>
      <c r="P4164" s="15" t="n"/>
      <c r="Q4164" s="10" t="n"/>
      <c r="R4164" s="10" t="n"/>
      <c r="S4164" s="16" t="inlineStr">
        <is>
          <t>https://mstgolf.co.th/products/gf2000104946</t>
        </is>
      </c>
      <c r="T4164" s="1">
        <f>IF(B4164="ไม้กอล์ฟ",J4164,"")</f>
        <v/>
      </c>
    </row>
    <row r="4165">
      <c r="A4165" s="1" t="n">
        <v>3</v>
      </c>
      <c r="B4165" s="1" t="inlineStr">
        <is>
          <t>หมวก</t>
        </is>
      </c>
      <c r="C4165" s="1" t="inlineStr">
        <is>
          <t>gf2000104949</t>
        </is>
      </c>
      <c r="D4165" s="1" t="inlineStr">
        <is>
          <t>GFORE USA Killer T'S Men's Cap (Cherry)</t>
        </is>
      </c>
      <c r="E4165" s="1" t="inlineStr">
        <is>
          <t>GFORE</t>
        </is>
      </c>
      <c r="F4165" s="1" t="inlineStr">
        <is>
          <t>CAP</t>
        </is>
      </c>
      <c r="G4165" s="1" t="inlineStr">
        <is>
          <t>GF2000104949FS</t>
        </is>
      </c>
      <c r="H4165" s="1" t="n">
        <v>1</v>
      </c>
      <c r="I4165" s="1" t="inlineStr">
        <is>
          <t>มี</t>
        </is>
      </c>
      <c r="J4165" s="13" t="n">
        <v>35</v>
      </c>
      <c r="K4165" s="1" t="inlineStr"/>
      <c r="L4165" s="13" t="n">
        <v>35</v>
      </c>
      <c r="M4165" s="1">
        <f>IF(L4165="","ไม่พบใน SG",IF(ABS(J4165-L4165)&lt;0.005,"ตรงกัน","ไม่ตรง"))</f>
        <v/>
      </c>
      <c r="N4165" s="14">
        <f>IF(L4165="","",ROUND(L4165*'สรุป'!$C$6,-1))</f>
        <v/>
      </c>
      <c r="O4165" s="15" t="n"/>
      <c r="P4165" s="15" t="n"/>
      <c r="Q4165" s="10" t="n"/>
      <c r="R4165" s="10" t="n"/>
      <c r="S4165" s="16" t="inlineStr">
        <is>
          <t>https://mstgolf.co.th/products/gf2000104949</t>
        </is>
      </c>
      <c r="T4165" s="1">
        <f>IF(B4165="ไม้กอล์ฟ",J4165,"")</f>
        <v/>
      </c>
    </row>
    <row r="4166">
      <c r="A4166" s="1" t="n">
        <v>3</v>
      </c>
      <c r="B4166" s="1" t="inlineStr">
        <is>
          <t>หมวก</t>
        </is>
      </c>
      <c r="C4166" s="1" t="inlineStr">
        <is>
          <t>gf2000104941</t>
        </is>
      </c>
      <c r="D4166" s="1" t="inlineStr">
        <is>
          <t>GFORE USA Killer T's Men's Cap (Snow)</t>
        </is>
      </c>
      <c r="E4166" s="1" t="inlineStr">
        <is>
          <t>GFORE</t>
        </is>
      </c>
      <c r="F4166" s="1" t="inlineStr">
        <is>
          <t>CAP</t>
        </is>
      </c>
      <c r="G4166" s="1" t="inlineStr">
        <is>
          <t>GF2000104941FS</t>
        </is>
      </c>
      <c r="H4166" s="1" t="n">
        <v>1</v>
      </c>
      <c r="I4166" s="1" t="inlineStr">
        <is>
          <t>มี</t>
        </is>
      </c>
      <c r="J4166" s="13" t="n">
        <v>35</v>
      </c>
      <c r="K4166" s="1" t="inlineStr"/>
      <c r="L4166" s="13" t="n"/>
      <c r="M4166" s="1">
        <f>IF(L4166="","ไม่พบใน SG",IF(ABS(J4166-L4166)&lt;0.005,"ตรงกัน","ไม่ตรง"))</f>
        <v/>
      </c>
      <c r="N4166" s="14">
        <f>IF(L4166="","",ROUND(L4166*'สรุป'!$C$6,-1))</f>
        <v/>
      </c>
      <c r="O4166" s="15" t="n"/>
      <c r="P4166" s="15" t="n"/>
      <c r="Q4166" s="10" t="n"/>
      <c r="R4166" s="10" t="n"/>
      <c r="S4166" s="16" t="inlineStr">
        <is>
          <t>https://mstgolf.co.th/products/gf2000104941</t>
        </is>
      </c>
      <c r="T4166" s="1">
        <f>IF(B4166="ไม้กอล์ฟ",J4166,"")</f>
        <v/>
      </c>
    </row>
    <row r="4167">
      <c r="A4167" s="1" t="n">
        <v>3</v>
      </c>
      <c r="B4167" s="1" t="inlineStr">
        <is>
          <t>หมวก</t>
        </is>
      </c>
      <c r="C4167" s="1" t="inlineStr">
        <is>
          <t>gf2000104940</t>
        </is>
      </c>
      <c r="D4167" s="1" t="inlineStr">
        <is>
          <t>GFORE USA Killer T's Men's Cap (Twilight)</t>
        </is>
      </c>
      <c r="E4167" s="1" t="inlineStr">
        <is>
          <t>GFORE</t>
        </is>
      </c>
      <c r="F4167" s="1" t="inlineStr">
        <is>
          <t>CAP</t>
        </is>
      </c>
      <c r="G4167" s="1" t="inlineStr">
        <is>
          <t>GF2000104940FS</t>
        </is>
      </c>
      <c r="H4167" s="1" t="n">
        <v>1</v>
      </c>
      <c r="I4167" s="1" t="inlineStr">
        <is>
          <t>มี</t>
        </is>
      </c>
      <c r="J4167" s="13" t="n">
        <v>35</v>
      </c>
      <c r="K4167" s="1" t="inlineStr"/>
      <c r="L4167" s="13" t="n">
        <v>35</v>
      </c>
      <c r="M4167" s="1">
        <f>IF(L4167="","ไม่พบใน SG",IF(ABS(J4167-L4167)&lt;0.005,"ตรงกัน","ไม่ตรง"))</f>
        <v/>
      </c>
      <c r="N4167" s="14">
        <f>IF(L4167="","",ROUND(L4167*'สรุป'!$C$6,-1))</f>
        <v/>
      </c>
      <c r="O4167" s="15" t="n"/>
      <c r="P4167" s="15" t="n"/>
      <c r="Q4167" s="10" t="n"/>
      <c r="R4167" s="10" t="n"/>
      <c r="S4167" s="16" t="inlineStr">
        <is>
          <t>https://mstgolf.co.th/products/gf2000104940</t>
        </is>
      </c>
      <c r="T4167" s="1">
        <f>IF(B4167="ไม้กอล์ฟ",J4167,"")</f>
        <v/>
      </c>
    </row>
    <row r="4168">
      <c r="A4168" s="1" t="n">
        <v>3</v>
      </c>
      <c r="B4168" s="1" t="inlineStr">
        <is>
          <t>หมวก</t>
        </is>
      </c>
      <c r="C4168" s="1" t="inlineStr">
        <is>
          <t>gf2000104950</t>
        </is>
      </c>
      <c r="D4168" s="1" t="inlineStr">
        <is>
          <t>GFORE Whip Out Men's Trucker Cap (Light Grey)</t>
        </is>
      </c>
      <c r="E4168" s="1" t="inlineStr">
        <is>
          <t>GFORE</t>
        </is>
      </c>
      <c r="F4168" s="1" t="inlineStr">
        <is>
          <t>CAP</t>
        </is>
      </c>
      <c r="G4168" s="1" t="inlineStr">
        <is>
          <t>GF2000104950FS</t>
        </is>
      </c>
      <c r="H4168" s="1" t="n">
        <v>1</v>
      </c>
      <c r="I4168" s="1" t="inlineStr">
        <is>
          <t>มี</t>
        </is>
      </c>
      <c r="J4168" s="13" t="n">
        <v>35</v>
      </c>
      <c r="K4168" s="1" t="inlineStr"/>
      <c r="L4168" s="13" t="n">
        <v>35</v>
      </c>
      <c r="M4168" s="1">
        <f>IF(L4168="","ไม่พบใน SG",IF(ABS(J4168-L4168)&lt;0.005,"ตรงกัน","ไม่ตรง"))</f>
        <v/>
      </c>
      <c r="N4168" s="14">
        <f>IF(L4168="","",ROUND(L4168*'สรุป'!$C$6,-1))</f>
        <v/>
      </c>
      <c r="O4168" s="15" t="n"/>
      <c r="P4168" s="15" t="n"/>
      <c r="Q4168" s="10" t="n"/>
      <c r="R4168" s="10" t="n"/>
      <c r="S4168" s="16" t="inlineStr">
        <is>
          <t>https://mstgolf.co.th/products/gf2000104950</t>
        </is>
      </c>
      <c r="T4168" s="1">
        <f>IF(B4168="ไม้กอล์ฟ",J4168,"")</f>
        <v/>
      </c>
    </row>
    <row r="4169">
      <c r="A4169" s="1" t="n">
        <v>3</v>
      </c>
      <c r="B4169" s="1" t="inlineStr">
        <is>
          <t>หมวก</t>
        </is>
      </c>
      <c r="C4169" s="1" t="inlineStr">
        <is>
          <t>gf2000106639</t>
        </is>
      </c>
      <c r="D4169" s="1" t="inlineStr">
        <is>
          <t>LE COQ SPORTIF GOLF Classic Ear Curve Men's Cap (White)</t>
        </is>
      </c>
      <c r="E4169" s="1" t="inlineStr">
        <is>
          <t>LE COQ SPORTIF GOLF</t>
        </is>
      </c>
      <c r="F4169" s="1" t="inlineStr">
        <is>
          <t>CAP</t>
        </is>
      </c>
      <c r="G4169" s="1" t="inlineStr">
        <is>
          <t>GF2000106639FS</t>
        </is>
      </c>
      <c r="H4169" s="1" t="n">
        <v>1</v>
      </c>
      <c r="I4169" s="1" t="inlineStr">
        <is>
          <t>มี</t>
        </is>
      </c>
      <c r="J4169" s="13" t="n">
        <v>35</v>
      </c>
      <c r="K4169" s="1" t="inlineStr"/>
      <c r="L4169" s="13" t="n">
        <v>25</v>
      </c>
      <c r="M4169" s="1">
        <f>IF(L4169="","ไม่พบใน SG",IF(ABS(J4169-L4169)&lt;0.005,"ตรงกัน","ไม่ตรง"))</f>
        <v/>
      </c>
      <c r="N4169" s="14">
        <f>IF(L4169="","",ROUND(L4169*'สรุป'!$C$6,-1))</f>
        <v/>
      </c>
      <c r="O4169" s="15" t="n"/>
      <c r="P4169" s="15" t="n"/>
      <c r="Q4169" s="10" t="n"/>
      <c r="R4169" s="10" t="n"/>
      <c r="S4169" s="16" t="inlineStr">
        <is>
          <t>https://mstgolf.co.th/products/gf2000106639</t>
        </is>
      </c>
      <c r="T4169" s="1">
        <f>IF(B4169="ไม้กอล์ฟ",J4169,"")</f>
        <v/>
      </c>
    </row>
    <row r="4170">
      <c r="A4170" s="1" t="n">
        <v>3</v>
      </c>
      <c r="B4170" s="1" t="inlineStr">
        <is>
          <t>หมวก</t>
        </is>
      </c>
      <c r="C4170" s="1" t="inlineStr">
        <is>
          <t>gf2000201110</t>
        </is>
      </c>
      <c r="D4170" s="1" t="inlineStr">
        <is>
          <t>LE COQ SPORTIF GOLF Classic Logo Men's Visor (Black)</t>
        </is>
      </c>
      <c r="E4170" s="1" t="inlineStr">
        <is>
          <t>LE COQ SPORTIF GOLF</t>
        </is>
      </c>
      <c r="F4170" s="1" t="inlineStr">
        <is>
          <t>VISOR</t>
        </is>
      </c>
      <c r="G4170" s="1" t="inlineStr">
        <is>
          <t>GF2000201110FS</t>
        </is>
      </c>
      <c r="H4170" s="1" t="n">
        <v>1</v>
      </c>
      <c r="I4170" s="1" t="inlineStr">
        <is>
          <t>มี</t>
        </is>
      </c>
      <c r="J4170" s="13" t="n">
        <v>35</v>
      </c>
      <c r="K4170" s="1" t="inlineStr"/>
      <c r="L4170" s="13" t="n">
        <v>25</v>
      </c>
      <c r="M4170" s="1">
        <f>IF(L4170="","ไม่พบใน SG",IF(ABS(J4170-L4170)&lt;0.005,"ตรงกัน","ไม่ตรง"))</f>
        <v/>
      </c>
      <c r="N4170" s="14">
        <f>IF(L4170="","",ROUND(L4170*'สรุป'!$C$6,-1))</f>
        <v/>
      </c>
      <c r="O4170" s="15" t="n"/>
      <c r="P4170" s="15" t="n"/>
      <c r="Q4170" s="10" t="n"/>
      <c r="R4170" s="10" t="n"/>
      <c r="S4170" s="16" t="inlineStr">
        <is>
          <t>https://mstgolf.co.th/products/gf2000201110</t>
        </is>
      </c>
      <c r="T4170" s="1">
        <f>IF(B4170="ไม้กอล์ฟ",J4170,"")</f>
        <v/>
      </c>
    </row>
    <row r="4171">
      <c r="A4171" s="1" t="n">
        <v>3</v>
      </c>
      <c r="B4171" s="1" t="inlineStr">
        <is>
          <t>หมวก</t>
        </is>
      </c>
      <c r="C4171" s="1" t="inlineStr">
        <is>
          <t>gf2000201111</t>
        </is>
      </c>
      <c r="D4171" s="1" t="inlineStr">
        <is>
          <t>LE COQ SPORTIF GOLF Classic Logo Men's Visor (Navy)</t>
        </is>
      </c>
      <c r="E4171" s="1" t="inlineStr">
        <is>
          <t>LE COQ SPORTIF GOLF</t>
        </is>
      </c>
      <c r="F4171" s="1" t="inlineStr">
        <is>
          <t>VISOR</t>
        </is>
      </c>
      <c r="G4171" s="1" t="inlineStr">
        <is>
          <t>GF2000201111FS</t>
        </is>
      </c>
      <c r="H4171" s="1" t="n">
        <v>1</v>
      </c>
      <c r="I4171" s="1" t="inlineStr">
        <is>
          <t>มี</t>
        </is>
      </c>
      <c r="J4171" s="13" t="n">
        <v>35</v>
      </c>
      <c r="K4171" s="1" t="inlineStr"/>
      <c r="L4171" s="13" t="n">
        <v>35</v>
      </c>
      <c r="M4171" s="1">
        <f>IF(L4171="","ไม่พบใน SG",IF(ABS(J4171-L4171)&lt;0.005,"ตรงกัน","ไม่ตรง"))</f>
        <v/>
      </c>
      <c r="N4171" s="14">
        <f>IF(L4171="","",ROUND(L4171*'สรุป'!$C$6,-1))</f>
        <v/>
      </c>
      <c r="O4171" s="15" t="n"/>
      <c r="P4171" s="15" t="n"/>
      <c r="Q4171" s="10" t="n"/>
      <c r="R4171" s="10" t="n"/>
      <c r="S4171" s="16" t="inlineStr">
        <is>
          <t>https://mstgolf.co.th/products/gf2000201111</t>
        </is>
      </c>
      <c r="T4171" s="1">
        <f>IF(B4171="ไม้กอล์ฟ",J4171,"")</f>
        <v/>
      </c>
    </row>
    <row r="4172">
      <c r="A4172" s="1" t="n">
        <v>3</v>
      </c>
      <c r="B4172" s="1" t="inlineStr">
        <is>
          <t>หมวก</t>
        </is>
      </c>
      <c r="C4172" s="1" t="inlineStr">
        <is>
          <t>gf2000201112</t>
        </is>
      </c>
      <c r="D4172" s="1" t="inlineStr">
        <is>
          <t>LE COQ SPORTIF GOLF Ear Curve Men's Visor (White)</t>
        </is>
      </c>
      <c r="E4172" s="1" t="inlineStr">
        <is>
          <t>LE COQ SPORTIF GOLF</t>
        </is>
      </c>
      <c r="F4172" s="1" t="inlineStr">
        <is>
          <t>VISOR</t>
        </is>
      </c>
      <c r="G4172" s="1" t="inlineStr">
        <is>
          <t>GF2000201112FS</t>
        </is>
      </c>
      <c r="H4172" s="1" t="n">
        <v>1</v>
      </c>
      <c r="I4172" s="1" t="inlineStr">
        <is>
          <t>มี</t>
        </is>
      </c>
      <c r="J4172" s="13" t="n">
        <v>35</v>
      </c>
      <c r="K4172" s="1" t="inlineStr"/>
      <c r="L4172" s="13" t="n">
        <v>25</v>
      </c>
      <c r="M4172" s="1">
        <f>IF(L4172="","ไม่พบใน SG",IF(ABS(J4172-L4172)&lt;0.005,"ตรงกัน","ไม่ตรง"))</f>
        <v/>
      </c>
      <c r="N4172" s="14">
        <f>IF(L4172="","",ROUND(L4172*'สรุป'!$C$6,-1))</f>
        <v/>
      </c>
      <c r="O4172" s="15" t="n"/>
      <c r="P4172" s="15" t="n"/>
      <c r="Q4172" s="10" t="n"/>
      <c r="R4172" s="10" t="n"/>
      <c r="S4172" s="16" t="inlineStr">
        <is>
          <t>https://mstgolf.co.th/products/gf2000201112</t>
        </is>
      </c>
      <c r="T4172" s="1">
        <f>IF(B4172="ไม้กอล์ฟ",J4172,"")</f>
        <v/>
      </c>
    </row>
    <row r="4173">
      <c r="A4173" s="1" t="n">
        <v>3</v>
      </c>
      <c r="B4173" s="1" t="inlineStr">
        <is>
          <t>หมวก</t>
        </is>
      </c>
      <c r="C4173" s="1" t="inlineStr">
        <is>
          <t>gf2000201117</t>
        </is>
      </c>
      <c r="D4173" s="1" t="inlineStr">
        <is>
          <t>LE COQ SPORTIF GOLF Ear Curve Women's Visor (Blue)</t>
        </is>
      </c>
      <c r="E4173" s="1" t="inlineStr">
        <is>
          <t>LE COQ SPORTIF GOLF</t>
        </is>
      </c>
      <c r="F4173" s="1" t="inlineStr">
        <is>
          <t>VISOR</t>
        </is>
      </c>
      <c r="G4173" s="1" t="inlineStr">
        <is>
          <t>GF2000201117FS</t>
        </is>
      </c>
      <c r="H4173" s="1" t="n">
        <v>1</v>
      </c>
      <c r="I4173" s="1" t="inlineStr">
        <is>
          <t>มี</t>
        </is>
      </c>
      <c r="J4173" s="13" t="n">
        <v>35</v>
      </c>
      <c r="K4173" s="1" t="inlineStr"/>
      <c r="L4173" s="13" t="n">
        <v>25</v>
      </c>
      <c r="M4173" s="1">
        <f>IF(L4173="","ไม่พบใน SG",IF(ABS(J4173-L4173)&lt;0.005,"ตรงกัน","ไม่ตรง"))</f>
        <v/>
      </c>
      <c r="N4173" s="14">
        <f>IF(L4173="","",ROUND(L4173*'สรุป'!$C$6,-1))</f>
        <v/>
      </c>
      <c r="O4173" s="15" t="n"/>
      <c r="P4173" s="15" t="n"/>
      <c r="Q4173" s="10" t="n"/>
      <c r="R4173" s="10" t="n"/>
      <c r="S4173" s="16" t="inlineStr">
        <is>
          <t>https://mstgolf.co.th/products/gf2000201117</t>
        </is>
      </c>
      <c r="T4173" s="1">
        <f>IF(B4173="ไม้กอล์ฟ",J4173,"")</f>
        <v/>
      </c>
    </row>
    <row r="4174">
      <c r="A4174" s="1" t="n">
        <v>3</v>
      </c>
      <c r="B4174" s="1" t="inlineStr">
        <is>
          <t>หมวก</t>
        </is>
      </c>
      <c r="C4174" s="1" t="inlineStr">
        <is>
          <t>gf2000201118</t>
        </is>
      </c>
      <c r="D4174" s="1" t="inlineStr">
        <is>
          <t>LE COQ SPORTIF GOLF Ear Curve Women's Visor (Navy)</t>
        </is>
      </c>
      <c r="E4174" s="1" t="inlineStr">
        <is>
          <t>LE COQ SPORTIF GOLF</t>
        </is>
      </c>
      <c r="F4174" s="1" t="inlineStr">
        <is>
          <t>VISOR</t>
        </is>
      </c>
      <c r="G4174" s="1" t="inlineStr">
        <is>
          <t>GF2000201118FS</t>
        </is>
      </c>
      <c r="H4174" s="1" t="n">
        <v>1</v>
      </c>
      <c r="I4174" s="1" t="inlineStr">
        <is>
          <t>มี</t>
        </is>
      </c>
      <c r="J4174" s="13" t="n">
        <v>35</v>
      </c>
      <c r="K4174" s="1" t="inlineStr"/>
      <c r="L4174" s="13" t="n">
        <v>25</v>
      </c>
      <c r="M4174" s="1">
        <f>IF(L4174="","ไม่พบใน SG",IF(ABS(J4174-L4174)&lt;0.005,"ตรงกัน","ไม่ตรง"))</f>
        <v/>
      </c>
      <c r="N4174" s="14">
        <f>IF(L4174="","",ROUND(L4174*'สรุป'!$C$6,-1))</f>
        <v/>
      </c>
      <c r="O4174" s="15" t="n"/>
      <c r="P4174" s="15" t="n"/>
      <c r="Q4174" s="10" t="n"/>
      <c r="R4174" s="10" t="n"/>
      <c r="S4174" s="16" t="inlineStr">
        <is>
          <t>https://mstgolf.co.th/products/gf2000201118</t>
        </is>
      </c>
      <c r="T4174" s="1">
        <f>IF(B4174="ไม้กอล์ฟ",J4174,"")</f>
        <v/>
      </c>
    </row>
    <row r="4175">
      <c r="A4175" s="1" t="n">
        <v>3</v>
      </c>
      <c r="B4175" s="1" t="inlineStr">
        <is>
          <t>หมวก</t>
        </is>
      </c>
      <c r="C4175" s="1" t="inlineStr">
        <is>
          <t>gf2000201119</t>
        </is>
      </c>
      <c r="D4175" s="1" t="inlineStr">
        <is>
          <t>LE COQ SPORTIF GOLF Ear Curve Women's Visor (Pink)</t>
        </is>
      </c>
      <c r="E4175" s="1" t="inlineStr">
        <is>
          <t>LE COQ SPORTIF GOLF</t>
        </is>
      </c>
      <c r="F4175" s="1" t="inlineStr">
        <is>
          <t>VISOR</t>
        </is>
      </c>
      <c r="G4175" s="1" t="inlineStr">
        <is>
          <t>GF2000201119FS</t>
        </is>
      </c>
      <c r="H4175" s="1" t="n">
        <v>1</v>
      </c>
      <c r="I4175" s="1" t="inlineStr">
        <is>
          <t>มี</t>
        </is>
      </c>
      <c r="J4175" s="13" t="n">
        <v>35</v>
      </c>
      <c r="K4175" s="1" t="inlineStr"/>
      <c r="L4175" s="13" t="n">
        <v>25</v>
      </c>
      <c r="M4175" s="1">
        <f>IF(L4175="","ไม่พบใน SG",IF(ABS(J4175-L4175)&lt;0.005,"ตรงกัน","ไม่ตรง"))</f>
        <v/>
      </c>
      <c r="N4175" s="14">
        <f>IF(L4175="","",ROUND(L4175*'สรุป'!$C$6,-1))</f>
        <v/>
      </c>
      <c r="O4175" s="15" t="n"/>
      <c r="P4175" s="15" t="n"/>
      <c r="Q4175" s="10" t="n"/>
      <c r="R4175" s="10" t="n"/>
      <c r="S4175" s="16" t="inlineStr">
        <is>
          <t>https://mstgolf.co.th/products/gf2000201119</t>
        </is>
      </c>
      <c r="T4175" s="1">
        <f>IF(B4175="ไม้กอล์ฟ",J4175,"")</f>
        <v/>
      </c>
    </row>
    <row r="4176">
      <c r="A4176" s="1" t="n">
        <v>3</v>
      </c>
      <c r="B4176" s="1" t="inlineStr">
        <is>
          <t>หมวก</t>
        </is>
      </c>
      <c r="C4176" s="1" t="inlineStr">
        <is>
          <t>gf2000201120</t>
        </is>
      </c>
      <c r="D4176" s="1" t="inlineStr">
        <is>
          <t>LE COQ SPORTIF GOLF Ear Curve Women's Visor (White)</t>
        </is>
      </c>
      <c r="E4176" s="1" t="inlineStr">
        <is>
          <t>LE COQ SPORTIF GOLF</t>
        </is>
      </c>
      <c r="F4176" s="1" t="inlineStr">
        <is>
          <t>VISOR</t>
        </is>
      </c>
      <c r="G4176" s="1" t="inlineStr">
        <is>
          <t>GF2000201120FS</t>
        </is>
      </c>
      <c r="H4176" s="1" t="n">
        <v>1</v>
      </c>
      <c r="I4176" s="1" t="inlineStr">
        <is>
          <t>มี</t>
        </is>
      </c>
      <c r="J4176" s="13" t="n">
        <v>35</v>
      </c>
      <c r="K4176" s="1" t="inlineStr"/>
      <c r="L4176" s="13" t="n">
        <v>25</v>
      </c>
      <c r="M4176" s="1">
        <f>IF(L4176="","ไม่พบใน SG",IF(ABS(J4176-L4176)&lt;0.005,"ตรงกัน","ไม่ตรง"))</f>
        <v/>
      </c>
      <c r="N4176" s="14">
        <f>IF(L4176="","",ROUND(L4176*'สรุป'!$C$6,-1))</f>
        <v/>
      </c>
      <c r="O4176" s="15" t="n"/>
      <c r="P4176" s="15" t="n"/>
      <c r="Q4176" s="10" t="n"/>
      <c r="R4176" s="10" t="n"/>
      <c r="S4176" s="16" t="inlineStr">
        <is>
          <t>https://mstgolf.co.th/products/gf2000201120</t>
        </is>
      </c>
      <c r="T4176" s="1">
        <f>IF(B4176="ไม้กอล์ฟ",J4176,"")</f>
        <v/>
      </c>
    </row>
    <row r="4177">
      <c r="A4177" s="1" t="n">
        <v>3</v>
      </c>
      <c r="B4177" s="1" t="inlineStr">
        <is>
          <t>เสื้อผ้า</t>
        </is>
      </c>
      <c r="C4177" s="1" t="inlineStr">
        <is>
          <t>gf2040118316</t>
        </is>
      </c>
      <c r="D4177" s="1" t="inlineStr">
        <is>
          <t>LE COQ SPORTIF GOLF SMU Women's Polo (White)</t>
        </is>
      </c>
      <c r="E4177" s="1" t="inlineStr">
        <is>
          <t>LE COQ SPORTIF GOLF</t>
        </is>
      </c>
      <c r="F4177" s="1" t="inlineStr">
        <is>
          <t>SHORT SLEEVES</t>
        </is>
      </c>
      <c r="G4177" s="1" t="inlineStr">
        <is>
          <t>GF2040118316M</t>
        </is>
      </c>
      <c r="H4177" s="1" t="n">
        <v>4</v>
      </c>
      <c r="I4177" s="1" t="inlineStr">
        <is>
          <t>มี</t>
        </is>
      </c>
      <c r="J4177" s="13" t="n">
        <v>35</v>
      </c>
      <c r="K4177" s="1" t="inlineStr"/>
      <c r="L4177" s="13" t="n">
        <v>35</v>
      </c>
      <c r="M4177" s="1">
        <f>IF(L4177="","ไม่พบใน SG",IF(ABS(J4177-L4177)&lt;0.005,"ตรงกัน","ไม่ตรง"))</f>
        <v/>
      </c>
      <c r="N4177" s="14">
        <f>IF(L4177="","",ROUND(L4177*'สรุป'!$C$6,-1))</f>
        <v/>
      </c>
      <c r="O4177" s="15" t="n"/>
      <c r="P4177" s="15" t="n"/>
      <c r="Q4177" s="10" t="n"/>
      <c r="R4177" s="10" t="n"/>
      <c r="S4177" s="16" t="inlineStr">
        <is>
          <t>https://mstgolf.co.th/products/gf2040118316</t>
        </is>
      </c>
      <c r="T4177" s="1">
        <f>IF(B4177="ไม้กอล์ฟ",J4177,"")</f>
        <v/>
      </c>
    </row>
    <row r="4178">
      <c r="A4178" s="1" t="n">
        <v>3</v>
      </c>
      <c r="B4178" s="1" t="inlineStr">
        <is>
          <t>หมวก</t>
        </is>
      </c>
      <c r="C4178" s="1" t="inlineStr">
        <is>
          <t>gf2000106638</t>
        </is>
      </c>
      <c r="D4178" s="1" t="inlineStr">
        <is>
          <t>LE COQ SPORTIF GOLF Standard Logo Men's Cap (Navy)</t>
        </is>
      </c>
      <c r="E4178" s="1" t="inlineStr">
        <is>
          <t>LE COQ SPORTIF GOLF</t>
        </is>
      </c>
      <c r="F4178" s="1" t="inlineStr">
        <is>
          <t>CAP</t>
        </is>
      </c>
      <c r="G4178" s="1" t="inlineStr">
        <is>
          <t>GF2000106638FS</t>
        </is>
      </c>
      <c r="H4178" s="1" t="n">
        <v>1</v>
      </c>
      <c r="I4178" s="1" t="inlineStr">
        <is>
          <t>มี</t>
        </is>
      </c>
      <c r="J4178" s="13" t="n">
        <v>35</v>
      </c>
      <c r="K4178" s="1" t="inlineStr"/>
      <c r="L4178" s="13" t="n">
        <v>25</v>
      </c>
      <c r="M4178" s="1">
        <f>IF(L4178="","ไม่พบใน SG",IF(ABS(J4178-L4178)&lt;0.005,"ตรงกัน","ไม่ตรง"))</f>
        <v/>
      </c>
      <c r="N4178" s="14">
        <f>IF(L4178="","",ROUND(L4178*'สรุป'!$C$6,-1))</f>
        <v/>
      </c>
      <c r="O4178" s="15" t="n"/>
      <c r="P4178" s="15" t="n"/>
      <c r="Q4178" s="10" t="n"/>
      <c r="R4178" s="10" t="n"/>
      <c r="S4178" s="16" t="inlineStr">
        <is>
          <t>https://mstgolf.co.th/products/gf2000106638</t>
        </is>
      </c>
      <c r="T4178" s="1">
        <f>IF(B4178="ไม้กอล์ฟ",J4178,"")</f>
        <v/>
      </c>
    </row>
    <row r="4179">
      <c r="A4179" s="1" t="n">
        <v>3</v>
      </c>
      <c r="B4179" s="1" t="inlineStr">
        <is>
          <t>หมวก</t>
        </is>
      </c>
      <c r="C4179" s="1" t="inlineStr">
        <is>
          <t>gf2000201113</t>
        </is>
      </c>
      <c r="D4179" s="1" t="inlineStr">
        <is>
          <t>LE COQ SPORTIF GOLF Standard Logo Women's Visor (Black)</t>
        </is>
      </c>
      <c r="E4179" s="1" t="inlineStr">
        <is>
          <t>LE COQ SPORTIF GOLF</t>
        </is>
      </c>
      <c r="F4179" s="1" t="inlineStr">
        <is>
          <t>VISOR</t>
        </is>
      </c>
      <c r="G4179" s="1" t="inlineStr">
        <is>
          <t>GF2000201113FS</t>
        </is>
      </c>
      <c r="H4179" s="1" t="n">
        <v>1</v>
      </c>
      <c r="I4179" s="1" t="inlineStr">
        <is>
          <t>มี</t>
        </is>
      </c>
      <c r="J4179" s="13" t="n">
        <v>35</v>
      </c>
      <c r="K4179" s="1" t="inlineStr"/>
      <c r="L4179" s="13" t="n">
        <v>25</v>
      </c>
      <c r="M4179" s="1">
        <f>IF(L4179="","ไม่พบใน SG",IF(ABS(J4179-L4179)&lt;0.005,"ตรงกัน","ไม่ตรง"))</f>
        <v/>
      </c>
      <c r="N4179" s="14">
        <f>IF(L4179="","",ROUND(L4179*'สรุป'!$C$6,-1))</f>
        <v/>
      </c>
      <c r="O4179" s="15" t="n"/>
      <c r="P4179" s="15" t="n"/>
      <c r="Q4179" s="10" t="n"/>
      <c r="R4179" s="10" t="n"/>
      <c r="S4179" s="16" t="inlineStr">
        <is>
          <t>https://mstgolf.co.th/products/gf2000201113</t>
        </is>
      </c>
      <c r="T4179" s="1">
        <f>IF(B4179="ไม้กอล์ฟ",J4179,"")</f>
        <v/>
      </c>
    </row>
    <row r="4180">
      <c r="A4180" s="1" t="n">
        <v>3</v>
      </c>
      <c r="B4180" s="1" t="inlineStr">
        <is>
          <t>หมวก</t>
        </is>
      </c>
      <c r="C4180" s="1" t="inlineStr">
        <is>
          <t>gf2000201114</t>
        </is>
      </c>
      <c r="D4180" s="1" t="inlineStr">
        <is>
          <t>LE COQ SPORTIF GOLF Standard Logo Women's Visor (Navy)</t>
        </is>
      </c>
      <c r="E4180" s="1" t="inlineStr">
        <is>
          <t>LE COQ SPORTIF GOLF</t>
        </is>
      </c>
      <c r="F4180" s="1" t="inlineStr">
        <is>
          <t>VISOR</t>
        </is>
      </c>
      <c r="G4180" s="1" t="inlineStr">
        <is>
          <t>GF2000201114FS</t>
        </is>
      </c>
      <c r="H4180" s="1" t="n">
        <v>1</v>
      </c>
      <c r="I4180" s="1" t="inlineStr">
        <is>
          <t>มี</t>
        </is>
      </c>
      <c r="J4180" s="13" t="n">
        <v>35</v>
      </c>
      <c r="K4180" s="1" t="inlineStr"/>
      <c r="L4180" s="13" t="n">
        <v>25</v>
      </c>
      <c r="M4180" s="1">
        <f>IF(L4180="","ไม่พบใน SG",IF(ABS(J4180-L4180)&lt;0.005,"ตรงกัน","ไม่ตรง"))</f>
        <v/>
      </c>
      <c r="N4180" s="14">
        <f>IF(L4180="","",ROUND(L4180*'สรุป'!$C$6,-1))</f>
        <v/>
      </c>
      <c r="O4180" s="15" t="n"/>
      <c r="P4180" s="15" t="n"/>
      <c r="Q4180" s="10" t="n"/>
      <c r="R4180" s="10" t="n"/>
      <c r="S4180" s="16" t="inlineStr">
        <is>
          <t>https://mstgolf.co.th/products/gf2000201114</t>
        </is>
      </c>
      <c r="T4180" s="1">
        <f>IF(B4180="ไม้กอล์ฟ",J4180,"")</f>
        <v/>
      </c>
    </row>
    <row r="4181">
      <c r="A4181" s="1" t="n">
        <v>3</v>
      </c>
      <c r="B4181" s="1" t="inlineStr">
        <is>
          <t>หมวก</t>
        </is>
      </c>
      <c r="C4181" s="1" t="inlineStr">
        <is>
          <t>gf2000201115</t>
        </is>
      </c>
      <c r="D4181" s="1" t="inlineStr">
        <is>
          <t>LE COQ SPORTIF GOLF Standard Logo Women's Visor (Pink)</t>
        </is>
      </c>
      <c r="E4181" s="1" t="inlineStr">
        <is>
          <t>LE COQ SPORTIF GOLF</t>
        </is>
      </c>
      <c r="F4181" s="1" t="inlineStr">
        <is>
          <t>VISOR</t>
        </is>
      </c>
      <c r="G4181" s="1" t="inlineStr">
        <is>
          <t>GF2000201115FS</t>
        </is>
      </c>
      <c r="H4181" s="1" t="n">
        <v>1</v>
      </c>
      <c r="I4181" s="1" t="inlineStr">
        <is>
          <t>มี</t>
        </is>
      </c>
      <c r="J4181" s="13" t="n">
        <v>35</v>
      </c>
      <c r="K4181" s="1" t="inlineStr"/>
      <c r="L4181" s="13" t="n">
        <v>25</v>
      </c>
      <c r="M4181" s="1">
        <f>IF(L4181="","ไม่พบใน SG",IF(ABS(J4181-L4181)&lt;0.005,"ตรงกัน","ไม่ตรง"))</f>
        <v/>
      </c>
      <c r="N4181" s="14">
        <f>IF(L4181="","",ROUND(L4181*'สรุป'!$C$6,-1))</f>
        <v/>
      </c>
      <c r="O4181" s="15" t="n"/>
      <c r="P4181" s="15" t="n"/>
      <c r="Q4181" s="10" t="n"/>
      <c r="R4181" s="10" t="n"/>
      <c r="S4181" s="16" t="inlineStr">
        <is>
          <t>https://mstgolf.co.th/products/gf2000201115</t>
        </is>
      </c>
      <c r="T4181" s="1">
        <f>IF(B4181="ไม้กอล์ฟ",J4181,"")</f>
        <v/>
      </c>
    </row>
    <row r="4182">
      <c r="A4182" s="1" t="n">
        <v>3</v>
      </c>
      <c r="B4182" s="1" t="inlineStr">
        <is>
          <t>หมวก</t>
        </is>
      </c>
      <c r="C4182" s="1" t="inlineStr">
        <is>
          <t>gf2000201116</t>
        </is>
      </c>
      <c r="D4182" s="1" t="inlineStr">
        <is>
          <t>LE COQ SPORTIF GOLF Standard Logo Women's Visor (White)</t>
        </is>
      </c>
      <c r="E4182" s="1" t="inlineStr">
        <is>
          <t>LE COQ SPORTIF GOLF</t>
        </is>
      </c>
      <c r="F4182" s="1" t="inlineStr">
        <is>
          <t>VISOR</t>
        </is>
      </c>
      <c r="G4182" s="1" t="inlineStr">
        <is>
          <t>GF2000201116FS</t>
        </is>
      </c>
      <c r="H4182" s="1" t="n">
        <v>1</v>
      </c>
      <c r="I4182" s="1" t="inlineStr">
        <is>
          <t>มี</t>
        </is>
      </c>
      <c r="J4182" s="13" t="n">
        <v>35</v>
      </c>
      <c r="K4182" s="1" t="inlineStr"/>
      <c r="L4182" s="13" t="n">
        <v>25</v>
      </c>
      <c r="M4182" s="1">
        <f>IF(L4182="","ไม่พบใน SG",IF(ABS(J4182-L4182)&lt;0.005,"ตรงกัน","ไม่ตรง"))</f>
        <v/>
      </c>
      <c r="N4182" s="14">
        <f>IF(L4182="","",ROUND(L4182*'สรุป'!$C$6,-1))</f>
        <v/>
      </c>
      <c r="O4182" s="15" t="n"/>
      <c r="P4182" s="15" t="n"/>
      <c r="Q4182" s="10" t="n"/>
      <c r="R4182" s="10" t="n"/>
      <c r="S4182" s="16" t="inlineStr">
        <is>
          <t>https://mstgolf.co.th/products/gf2000201116</t>
        </is>
      </c>
      <c r="T4182" s="1">
        <f>IF(B4182="ไม้กอล์ฟ",J4182,"")</f>
        <v/>
      </c>
    </row>
    <row r="4183">
      <c r="A4183" s="1" t="n">
        <v>3</v>
      </c>
      <c r="B4183" s="1" t="inlineStr">
        <is>
          <t>เสื้อผ้า</t>
        </is>
      </c>
      <c r="C4183" s="1" t="inlineStr">
        <is>
          <t>gf2020201778</t>
        </is>
      </c>
      <c r="D4183" s="1" t="inlineStr">
        <is>
          <t>NIKE Dri-FIT Hybrid Boy's Shorts (Black)</t>
        </is>
      </c>
      <c r="E4183" s="1" t="inlineStr">
        <is>
          <t>NIKE</t>
        </is>
      </c>
      <c r="F4183" s="1" t="inlineStr">
        <is>
          <t>SHORT PANTS</t>
        </is>
      </c>
      <c r="G4183" s="1" t="inlineStr">
        <is>
          <t>GF2020201778XS</t>
        </is>
      </c>
      <c r="H4183" s="1" t="n">
        <v>6</v>
      </c>
      <c r="I4183" s="1" t="inlineStr">
        <is>
          <t>มี</t>
        </is>
      </c>
      <c r="J4183" s="13" t="n">
        <v>35</v>
      </c>
      <c r="K4183" s="1" t="inlineStr"/>
      <c r="L4183" s="13" t="n">
        <v>35</v>
      </c>
      <c r="M4183" s="1">
        <f>IF(L4183="","ไม่พบใน SG",IF(ABS(J4183-L4183)&lt;0.005,"ตรงกัน","ไม่ตรง"))</f>
        <v/>
      </c>
      <c r="N4183" s="14">
        <f>IF(L4183="","",ROUND(L4183*'สรุป'!$C$6,-1))</f>
        <v/>
      </c>
      <c r="O4183" s="15" t="n"/>
      <c r="P4183" s="15" t="n"/>
      <c r="Q4183" s="10" t="n"/>
      <c r="R4183" s="10" t="n"/>
      <c r="S4183" s="16" t="inlineStr">
        <is>
          <t>https://mstgolf.co.th/products/gf2020201778</t>
        </is>
      </c>
      <c r="T4183" s="1">
        <f>IF(B4183="ไม้กอล์ฟ",J4183,"")</f>
        <v/>
      </c>
    </row>
    <row r="4184">
      <c r="A4184" s="1" t="n">
        <v>3</v>
      </c>
      <c r="B4184" s="1" t="inlineStr">
        <is>
          <t>เสื้อผ้า</t>
        </is>
      </c>
      <c r="C4184" s="1" t="inlineStr">
        <is>
          <t>gf2020201779</t>
        </is>
      </c>
      <c r="D4184" s="1" t="inlineStr">
        <is>
          <t>NIKE Dri-FIT Hybrid Boy's Shorts (Light Bone)</t>
        </is>
      </c>
      <c r="E4184" s="1" t="inlineStr">
        <is>
          <t>NIKE</t>
        </is>
      </c>
      <c r="F4184" s="1" t="inlineStr">
        <is>
          <t>SHORT PANTS</t>
        </is>
      </c>
      <c r="G4184" s="1" t="inlineStr">
        <is>
          <t>GF2020201779XS</t>
        </is>
      </c>
      <c r="H4184" s="1" t="n">
        <v>6</v>
      </c>
      <c r="I4184" s="1" t="inlineStr">
        <is>
          <t>มี</t>
        </is>
      </c>
      <c r="J4184" s="13" t="n">
        <v>35</v>
      </c>
      <c r="K4184" s="1" t="inlineStr"/>
      <c r="L4184" s="13" t="n">
        <v>35</v>
      </c>
      <c r="M4184" s="1">
        <f>IF(L4184="","ไม่พบใน SG",IF(ABS(J4184-L4184)&lt;0.005,"ตรงกัน","ไม่ตรง"))</f>
        <v/>
      </c>
      <c r="N4184" s="14">
        <f>IF(L4184="","",ROUND(L4184*'สรุป'!$C$6,-1))</f>
        <v/>
      </c>
      <c r="O4184" s="15" t="n"/>
      <c r="P4184" s="15" t="n"/>
      <c r="Q4184" s="10" t="n"/>
      <c r="R4184" s="10" t="n"/>
      <c r="S4184" s="16" t="inlineStr">
        <is>
          <t>https://mstgolf.co.th/products/gf2020201779</t>
        </is>
      </c>
      <c r="T4184" s="1">
        <f>IF(B4184="ไม้กอล์ฟ",J4184,"")</f>
        <v/>
      </c>
    </row>
    <row r="4185">
      <c r="A4185" s="1" t="n">
        <v>3</v>
      </c>
      <c r="B4185" s="1" t="inlineStr">
        <is>
          <t>เสื้อผ้า</t>
        </is>
      </c>
      <c r="C4185" s="1" t="inlineStr">
        <is>
          <t>gf2020202009</t>
        </is>
      </c>
      <c r="D4185" s="1" t="inlineStr">
        <is>
          <t>PUMA 3-Stripes Men's Basic Polo (Navy)</t>
        </is>
      </c>
      <c r="E4185" s="1" t="inlineStr">
        <is>
          <t>PUMA</t>
        </is>
      </c>
      <c r="F4185" s="1" t="inlineStr">
        <is>
          <t>SHORT PANTS</t>
        </is>
      </c>
      <c r="G4185" s="1" t="inlineStr">
        <is>
          <t>GF2020202009116</t>
        </is>
      </c>
      <c r="H4185" s="1" t="n">
        <v>6</v>
      </c>
      <c r="I4185" s="1" t="inlineStr">
        <is>
          <t>มี</t>
        </is>
      </c>
      <c r="J4185" s="13" t="n">
        <v>35</v>
      </c>
      <c r="K4185" s="1" t="inlineStr"/>
      <c r="L4185" s="13" t="n">
        <v>35</v>
      </c>
      <c r="M4185" s="1">
        <f>IF(L4185="","ไม่พบใน SG",IF(ABS(J4185-L4185)&lt;0.005,"ตรงกัน","ไม่ตรง"))</f>
        <v/>
      </c>
      <c r="N4185" s="14">
        <f>IF(L4185="","",ROUND(L4185*'สรุป'!$C$6,-1))</f>
        <v/>
      </c>
      <c r="O4185" s="15" t="n"/>
      <c r="P4185" s="15" t="n"/>
      <c r="Q4185" s="10" t="n"/>
      <c r="R4185" s="10" t="n"/>
      <c r="S4185" s="16" t="inlineStr">
        <is>
          <t>https://mstgolf.co.th/products/gf2020202009</t>
        </is>
      </c>
      <c r="T4185" s="1">
        <f>IF(B4185="ไม้กอล์ฟ",J4185,"")</f>
        <v/>
      </c>
    </row>
    <row r="4186">
      <c r="A4186" s="1" t="n">
        <v>3</v>
      </c>
      <c r="B4186" s="1" t="inlineStr">
        <is>
          <t>เสื้อผ้า</t>
        </is>
      </c>
      <c r="C4186" s="1" t="inlineStr">
        <is>
          <t>gf2020201732</t>
        </is>
      </c>
      <c r="D4186" s="1" t="inlineStr">
        <is>
          <t>PUMA 5 Stretch Junior Shorts (Bright Cobalt)</t>
        </is>
      </c>
      <c r="E4186" s="1" t="inlineStr">
        <is>
          <t>PUMA</t>
        </is>
      </c>
      <c r="F4186" s="1" t="inlineStr">
        <is>
          <t>SHORT PANTS</t>
        </is>
      </c>
      <c r="G4186" s="1" t="inlineStr">
        <is>
          <t>GF2020201732116</t>
        </is>
      </c>
      <c r="H4186" s="1" t="n">
        <v>5</v>
      </c>
      <c r="I4186" s="1" t="inlineStr">
        <is>
          <t>มี</t>
        </is>
      </c>
      <c r="J4186" s="13" t="n">
        <v>35</v>
      </c>
      <c r="K4186" s="1" t="inlineStr"/>
      <c r="L4186" s="13" t="n">
        <v>35</v>
      </c>
      <c r="M4186" s="1">
        <f>IF(L4186="","ไม่พบใน SG",IF(ABS(J4186-L4186)&lt;0.005,"ตรงกัน","ไม่ตรง"))</f>
        <v/>
      </c>
      <c r="N4186" s="14">
        <f>IF(L4186="","",ROUND(L4186*'สรุป'!$C$6,-1))</f>
        <v/>
      </c>
      <c r="O4186" s="15" t="n"/>
      <c r="P4186" s="15" t="n"/>
      <c r="Q4186" s="10" t="n"/>
      <c r="R4186" s="10" t="n"/>
      <c r="S4186" s="16" t="inlineStr">
        <is>
          <t>https://mstgolf.co.th/products/gf2020201732</t>
        </is>
      </c>
      <c r="T4186" s="1">
        <f>IF(B4186="ไม้กอล์ฟ",J4186,"")</f>
        <v/>
      </c>
    </row>
    <row r="4187">
      <c r="A4187" s="1" t="n">
        <v>3</v>
      </c>
      <c r="B4187" s="1" t="inlineStr">
        <is>
          <t>เสื้อผ้า</t>
        </is>
      </c>
      <c r="C4187" s="1" t="inlineStr">
        <is>
          <t>gf2040115156</t>
        </is>
      </c>
      <c r="D4187" s="1" t="inlineStr">
        <is>
          <t>PUMA Gamer Men's Polo (Green Lagoon)</t>
        </is>
      </c>
      <c r="E4187" s="1" t="inlineStr">
        <is>
          <t>PUMA</t>
        </is>
      </c>
      <c r="F4187" s="1" t="inlineStr">
        <is>
          <t>SHORT SLEEVES</t>
        </is>
      </c>
      <c r="G4187" s="1" t="inlineStr">
        <is>
          <t>GF2040115156XS</t>
        </is>
      </c>
      <c r="H4187" s="1" t="n">
        <v>6</v>
      </c>
      <c r="I4187" s="1" t="inlineStr">
        <is>
          <t>มี</t>
        </is>
      </c>
      <c r="J4187" s="13" t="n">
        <v>35</v>
      </c>
      <c r="K4187" s="1" t="inlineStr"/>
      <c r="L4187" s="13" t="n">
        <v>35</v>
      </c>
      <c r="M4187" s="1">
        <f>IF(L4187="","ไม่พบใน SG",IF(ABS(J4187-L4187)&lt;0.005,"ตรงกัน","ไม่ตรง"))</f>
        <v/>
      </c>
      <c r="N4187" s="14">
        <f>IF(L4187="","",ROUND(L4187*'สรุป'!$C$6,-1))</f>
        <v/>
      </c>
      <c r="O4187" s="15" t="n"/>
      <c r="P4187" s="15" t="n"/>
      <c r="Q4187" s="10" t="n"/>
      <c r="R4187" s="10" t="n"/>
      <c r="S4187" s="16" t="inlineStr">
        <is>
          <t>https://mstgolf.co.th/products/gf2040115156</t>
        </is>
      </c>
      <c r="T4187" s="1">
        <f>IF(B4187="ไม้กอล์ฟ",J4187,"")</f>
        <v/>
      </c>
    </row>
    <row r="4188">
      <c r="A4188" s="1" t="n">
        <v>3</v>
      </c>
      <c r="B4188" s="1" t="inlineStr">
        <is>
          <t>เสื้อผ้า</t>
        </is>
      </c>
      <c r="C4188" s="1" t="inlineStr">
        <is>
          <t>gf2040116649</t>
        </is>
      </c>
      <c r="D4188" s="1" t="inlineStr">
        <is>
          <t>PUMA Gamer Men's Polo (Green Lagoon)</t>
        </is>
      </c>
      <c r="E4188" s="1" t="inlineStr">
        <is>
          <t>PUMA</t>
        </is>
      </c>
      <c r="F4188" s="1" t="inlineStr">
        <is>
          <t>SHORT SLEEVES</t>
        </is>
      </c>
      <c r="G4188" s="1" t="inlineStr">
        <is>
          <t>GF2040116649XS</t>
        </is>
      </c>
      <c r="H4188" s="1" t="n">
        <v>6</v>
      </c>
      <c r="I4188" s="1" t="inlineStr">
        <is>
          <t>มี</t>
        </is>
      </c>
      <c r="J4188" s="13" t="n">
        <v>35</v>
      </c>
      <c r="K4188" s="1" t="inlineStr"/>
      <c r="L4188" s="13" t="n">
        <v>35</v>
      </c>
      <c r="M4188" s="1">
        <f>IF(L4188="","ไม่พบใน SG",IF(ABS(J4188-L4188)&lt;0.005,"ตรงกัน","ไม่ตรง"))</f>
        <v/>
      </c>
      <c r="N4188" s="14">
        <f>IF(L4188="","",ROUND(L4188*'สรุป'!$C$6,-1))</f>
        <v/>
      </c>
      <c r="O4188" s="15" t="n"/>
      <c r="P4188" s="15" t="n"/>
      <c r="Q4188" s="10" t="n"/>
      <c r="R4188" s="10" t="n"/>
      <c r="S4188" s="16" t="inlineStr">
        <is>
          <t>https://mstgolf.co.th/products/gf2040116649</t>
        </is>
      </c>
      <c r="T4188" s="1">
        <f>IF(B4188="ไม้กอล์ฟ",J4188,"")</f>
        <v/>
      </c>
    </row>
    <row r="4189">
      <c r="A4189" s="1" t="n">
        <v>3</v>
      </c>
      <c r="B4189" s="1" t="inlineStr">
        <is>
          <t>เสื้อผ้า</t>
        </is>
      </c>
      <c r="C4189" s="1" t="inlineStr">
        <is>
          <t>gf2040115042</t>
        </is>
      </c>
      <c r="D4189" s="1" t="inlineStr">
        <is>
          <t>PUMA Gamer Women's Polo (Daydream)</t>
        </is>
      </c>
      <c r="E4189" s="1" t="inlineStr">
        <is>
          <t>PUMA</t>
        </is>
      </c>
      <c r="F4189" s="1" t="inlineStr">
        <is>
          <t>SHORT SLEEVES</t>
        </is>
      </c>
      <c r="G4189" s="1" t="inlineStr">
        <is>
          <t>GF2040115042XS</t>
        </is>
      </c>
      <c r="H4189" s="1" t="n">
        <v>6</v>
      </c>
      <c r="I4189" s="1" t="inlineStr">
        <is>
          <t>มี</t>
        </is>
      </c>
      <c r="J4189" s="13" t="n">
        <v>35</v>
      </c>
      <c r="K4189" s="1" t="inlineStr"/>
      <c r="L4189" s="13" t="n">
        <v>35</v>
      </c>
      <c r="M4189" s="1">
        <f>IF(L4189="","ไม่พบใน SG",IF(ABS(J4189-L4189)&lt;0.005,"ตรงกัน","ไม่ตรง"))</f>
        <v/>
      </c>
      <c r="N4189" s="14">
        <f>IF(L4189="","",ROUND(L4189*'สรุป'!$C$6,-1))</f>
        <v/>
      </c>
      <c r="O4189" s="15" t="n"/>
      <c r="P4189" s="15" t="n"/>
      <c r="Q4189" s="10" t="n"/>
      <c r="R4189" s="10" t="n"/>
      <c r="S4189" s="16" t="inlineStr">
        <is>
          <t>https://mstgolf.co.th/products/gf2040115042</t>
        </is>
      </c>
      <c r="T4189" s="1">
        <f>IF(B4189="ไม้กอล์ฟ",J4189,"")</f>
        <v/>
      </c>
    </row>
    <row r="4190">
      <c r="A4190" s="1" t="n">
        <v>3</v>
      </c>
      <c r="B4190" s="1" t="inlineStr">
        <is>
          <t>เสื้อผ้า</t>
        </is>
      </c>
      <c r="C4190" s="1" t="inlineStr">
        <is>
          <t>gf2040116627</t>
        </is>
      </c>
      <c r="D4190" s="1" t="inlineStr">
        <is>
          <t>PUMA Gamer Women's Polo (Vivid Violet)</t>
        </is>
      </c>
      <c r="E4190" s="1" t="inlineStr">
        <is>
          <t>PUMA</t>
        </is>
      </c>
      <c r="F4190" s="1" t="inlineStr">
        <is>
          <t>SHORT SLEEVES</t>
        </is>
      </c>
      <c r="G4190" s="1" t="inlineStr">
        <is>
          <t>GF2040116627XS</t>
        </is>
      </c>
      <c r="H4190" s="1" t="n">
        <v>6</v>
      </c>
      <c r="I4190" s="1" t="inlineStr">
        <is>
          <t>มี</t>
        </is>
      </c>
      <c r="J4190" s="13" t="n">
        <v>35</v>
      </c>
      <c r="K4190" s="1" t="inlineStr"/>
      <c r="L4190" s="13" t="n">
        <v>35</v>
      </c>
      <c r="M4190" s="1">
        <f>IF(L4190="","ไม่พบใน SG",IF(ABS(J4190-L4190)&lt;0.005,"ตรงกัน","ไม่ตรง"))</f>
        <v/>
      </c>
      <c r="N4190" s="14">
        <f>IF(L4190="","",ROUND(L4190*'สรุป'!$C$6,-1))</f>
        <v/>
      </c>
      <c r="O4190" s="15" t="n"/>
      <c r="P4190" s="15" t="n"/>
      <c r="Q4190" s="10" t="n"/>
      <c r="R4190" s="10" t="n"/>
      <c r="S4190" s="16" t="inlineStr">
        <is>
          <t>https://mstgolf.co.th/products/gf2040116627</t>
        </is>
      </c>
      <c r="T4190" s="1">
        <f>IF(B4190="ไม้กอล์ฟ",J4190,"")</f>
        <v/>
      </c>
    </row>
    <row r="4191">
      <c r="A4191" s="1" t="n">
        <v>3</v>
      </c>
      <c r="B4191" s="1" t="inlineStr">
        <is>
          <t>เสื้อผ้า</t>
        </is>
      </c>
      <c r="C4191" s="1" t="inlineStr">
        <is>
          <t>gf2040114821</t>
        </is>
      </c>
      <c r="D4191" s="1" t="inlineStr">
        <is>
          <t>PUMA Icon Golf Heather Men's Polo (High Risk Red)</t>
        </is>
      </c>
      <c r="E4191" s="1" t="inlineStr">
        <is>
          <t>PUMA</t>
        </is>
      </c>
      <c r="F4191" s="1" t="inlineStr">
        <is>
          <t>SHORT SLEEVES</t>
        </is>
      </c>
      <c r="G4191" s="1" t="inlineStr">
        <is>
          <t>GF2040114821XS</t>
        </is>
      </c>
      <c r="H4191" s="1" t="n">
        <v>6</v>
      </c>
      <c r="I4191" s="1" t="inlineStr">
        <is>
          <t>มี</t>
        </is>
      </c>
      <c r="J4191" s="13" t="n">
        <v>35</v>
      </c>
      <c r="K4191" s="1" t="inlineStr"/>
      <c r="L4191" s="13" t="n">
        <v>35</v>
      </c>
      <c r="M4191" s="1">
        <f>IF(L4191="","ไม่พบใน SG",IF(ABS(J4191-L4191)&lt;0.005,"ตรงกัน","ไม่ตรง"))</f>
        <v/>
      </c>
      <c r="N4191" s="14">
        <f>IF(L4191="","",ROUND(L4191*'สรุป'!$C$6,-1))</f>
        <v/>
      </c>
      <c r="O4191" s="15" t="n"/>
      <c r="P4191" s="15" t="n"/>
      <c r="Q4191" s="10" t="n"/>
      <c r="R4191" s="10" t="n"/>
      <c r="S4191" s="16" t="inlineStr">
        <is>
          <t>https://mstgolf.co.th/products/gf2040114821</t>
        </is>
      </c>
      <c r="T4191" s="1">
        <f>IF(B4191="ไม้กอล์ฟ",J4191,"")</f>
        <v/>
      </c>
    </row>
    <row r="4192">
      <c r="A4192" s="1" t="n">
        <v>3</v>
      </c>
      <c r="B4192" s="1" t="inlineStr">
        <is>
          <t>เสื้อผ้า</t>
        </is>
      </c>
      <c r="C4192" s="1" t="inlineStr">
        <is>
          <t>gf2040116631</t>
        </is>
      </c>
      <c r="D4192" s="1" t="inlineStr">
        <is>
          <t>PUMA MATTR Mariposa Women's Sleeveless Polo (Strawberry)</t>
        </is>
      </c>
      <c r="E4192" s="1" t="inlineStr">
        <is>
          <t>PUMA</t>
        </is>
      </c>
      <c r="F4192" s="1" t="inlineStr">
        <is>
          <t>SHORT SLEEVES</t>
        </is>
      </c>
      <c r="G4192" s="1" t="inlineStr">
        <is>
          <t>GF2040116631XS</t>
        </is>
      </c>
      <c r="H4192" s="1" t="n">
        <v>6</v>
      </c>
      <c r="I4192" s="1" t="inlineStr">
        <is>
          <t>มี</t>
        </is>
      </c>
      <c r="J4192" s="13" t="n">
        <v>35</v>
      </c>
      <c r="K4192" s="1" t="inlineStr"/>
      <c r="L4192" s="13" t="n">
        <v>35</v>
      </c>
      <c r="M4192" s="1">
        <f>IF(L4192="","ไม่พบใน SG",IF(ABS(J4192-L4192)&lt;0.005,"ตรงกัน","ไม่ตรง"))</f>
        <v/>
      </c>
      <c r="N4192" s="14">
        <f>IF(L4192="","",ROUND(L4192*'สรุป'!$C$6,-1))</f>
        <v/>
      </c>
      <c r="O4192" s="15" t="n"/>
      <c r="P4192" s="15" t="n"/>
      <c r="Q4192" s="10" t="n"/>
      <c r="R4192" s="10" t="n"/>
      <c r="S4192" s="16" t="inlineStr">
        <is>
          <t>https://mstgolf.co.th/products/gf2040116631</t>
        </is>
      </c>
      <c r="T4192" s="1">
        <f>IF(B4192="ไม้กอล์ฟ",J4192,"")</f>
        <v/>
      </c>
    </row>
    <row r="4193">
      <c r="A4193" s="1" t="n">
        <v>3</v>
      </c>
      <c r="B4193" s="1" t="inlineStr">
        <is>
          <t>เสื้อผ้า</t>
        </is>
      </c>
      <c r="C4193" s="1" t="inlineStr">
        <is>
          <t>gf2040115116</t>
        </is>
      </c>
      <c r="D4193" s="1" t="inlineStr">
        <is>
          <t>PUMA Palm Tree Crew Paradise Men's T-Shirt (Black)</t>
        </is>
      </c>
      <c r="E4193" s="1" t="inlineStr">
        <is>
          <t>PUMA</t>
        </is>
      </c>
      <c r="F4193" s="1" t="inlineStr">
        <is>
          <t>SHORT SLEEVES</t>
        </is>
      </c>
      <c r="G4193" s="1" t="inlineStr">
        <is>
          <t>GF2040115116XS</t>
        </is>
      </c>
      <c r="H4193" s="1" t="n">
        <v>6</v>
      </c>
      <c r="I4193" s="1" t="inlineStr">
        <is>
          <t>มี</t>
        </is>
      </c>
      <c r="J4193" s="13" t="n">
        <v>35</v>
      </c>
      <c r="K4193" s="1" t="inlineStr"/>
      <c r="L4193" s="13" t="n">
        <v>35</v>
      </c>
      <c r="M4193" s="1">
        <f>IF(L4193="","ไม่พบใน SG",IF(ABS(J4193-L4193)&lt;0.005,"ตรงกัน","ไม่ตรง"))</f>
        <v/>
      </c>
      <c r="N4193" s="14">
        <f>IF(L4193="","",ROUND(L4193*'สรุป'!$C$6,-1))</f>
        <v/>
      </c>
      <c r="O4193" s="15" t="n"/>
      <c r="P4193" s="15" t="n"/>
      <c r="Q4193" s="10" t="n"/>
      <c r="R4193" s="10" t="n"/>
      <c r="S4193" s="16" t="inlineStr">
        <is>
          <t>https://mstgolf.co.th/products/gf2040115116</t>
        </is>
      </c>
      <c r="T4193" s="1">
        <f>IF(B4193="ไม้กอล์ฟ",J4193,"")</f>
        <v/>
      </c>
    </row>
    <row r="4194">
      <c r="A4194" s="1" t="n">
        <v>3</v>
      </c>
      <c r="B4194" s="1" t="inlineStr">
        <is>
          <t>เสื้อผ้า</t>
        </is>
      </c>
      <c r="C4194" s="1" t="inlineStr">
        <is>
          <t>gf2040116671</t>
        </is>
      </c>
      <c r="D4194" s="1" t="inlineStr">
        <is>
          <t>PUMA x Hoops in the Rough Men's T-Shirt (Black)</t>
        </is>
      </c>
      <c r="E4194" s="1" t="inlineStr">
        <is>
          <t>PUMA</t>
        </is>
      </c>
      <c r="F4194" s="1" t="inlineStr">
        <is>
          <t>SHORT SLEEVES</t>
        </is>
      </c>
      <c r="G4194" s="1" t="inlineStr">
        <is>
          <t>GF2040116671XS</t>
        </is>
      </c>
      <c r="H4194" s="1" t="n">
        <v>6</v>
      </c>
      <c r="I4194" s="1" t="inlineStr">
        <is>
          <t>มี</t>
        </is>
      </c>
      <c r="J4194" s="13" t="n">
        <v>35</v>
      </c>
      <c r="K4194" s="1" t="inlineStr"/>
      <c r="L4194" s="13" t="n">
        <v>35</v>
      </c>
      <c r="M4194" s="1">
        <f>IF(L4194="","ไม่พบใน SG",IF(ABS(J4194-L4194)&lt;0.005,"ตรงกัน","ไม่ตรง"))</f>
        <v/>
      </c>
      <c r="N4194" s="14">
        <f>IF(L4194="","",ROUND(L4194*'สรุป'!$C$6,-1))</f>
        <v/>
      </c>
      <c r="O4194" s="15" t="n"/>
      <c r="P4194" s="15" t="n"/>
      <c r="Q4194" s="10" t="n"/>
      <c r="R4194" s="10" t="n"/>
      <c r="S4194" s="16" t="inlineStr">
        <is>
          <t>https://mstgolf.co.th/products/gf2040116671</t>
        </is>
      </c>
      <c r="T4194" s="1">
        <f>IF(B4194="ไม้กอล์ฟ",J4194,"")</f>
        <v/>
      </c>
    </row>
    <row r="4195">
      <c r="A4195" s="1" t="n">
        <v>3</v>
      </c>
      <c r="B4195" s="1" t="inlineStr">
        <is>
          <t>เสื้อผ้า</t>
        </is>
      </c>
      <c r="C4195" s="1" t="inlineStr">
        <is>
          <t>gf2040116666</t>
        </is>
      </c>
      <c r="D4195" s="1" t="inlineStr">
        <is>
          <t>PUMA x PTC Graphic Men's T-Shirt (Black)</t>
        </is>
      </c>
      <c r="E4195" s="1" t="inlineStr">
        <is>
          <t>PUMA</t>
        </is>
      </c>
      <c r="F4195" s="1" t="inlineStr">
        <is>
          <t>SHORT SLEEVES</t>
        </is>
      </c>
      <c r="G4195" s="1" t="inlineStr">
        <is>
          <t>GF2040116666S</t>
        </is>
      </c>
      <c r="H4195" s="1" t="n">
        <v>5</v>
      </c>
      <c r="I4195" s="1" t="inlineStr">
        <is>
          <t>มี</t>
        </is>
      </c>
      <c r="J4195" s="13" t="n">
        <v>35</v>
      </c>
      <c r="K4195" s="1" t="inlineStr"/>
      <c r="L4195" s="13" t="n">
        <v>35</v>
      </c>
      <c r="M4195" s="1">
        <f>IF(L4195="","ไม่พบใน SG",IF(ABS(J4195-L4195)&lt;0.005,"ตรงกัน","ไม่ตรง"))</f>
        <v/>
      </c>
      <c r="N4195" s="14">
        <f>IF(L4195="","",ROUND(L4195*'สรุป'!$C$6,-1))</f>
        <v/>
      </c>
      <c r="O4195" s="15" t="n"/>
      <c r="P4195" s="15" t="n"/>
      <c r="Q4195" s="10" t="n"/>
      <c r="R4195" s="10" t="n"/>
      <c r="S4195" s="16" t="inlineStr">
        <is>
          <t>https://mstgolf.co.th/products/gf2040116666</t>
        </is>
      </c>
      <c r="T4195" s="1">
        <f>IF(B4195="ไม้กอล์ฟ",J4195,"")</f>
        <v/>
      </c>
    </row>
    <row r="4196">
      <c r="A4196" s="1" t="n">
        <v>3</v>
      </c>
      <c r="B4196" s="1" t="inlineStr">
        <is>
          <t>หมวก</t>
        </is>
      </c>
      <c r="C4196" s="1" t="inlineStr">
        <is>
          <t>gf2000105159</t>
        </is>
      </c>
      <c r="D4196" s="1" t="inlineStr">
        <is>
          <t>TAYLORMADE Metal T Men's Cap (Black)</t>
        </is>
      </c>
      <c r="E4196" s="1" t="inlineStr">
        <is>
          <t>TAYLORMADE</t>
        </is>
      </c>
      <c r="F4196" s="1" t="inlineStr">
        <is>
          <t>CAP</t>
        </is>
      </c>
      <c r="G4196" s="1" t="inlineStr">
        <is>
          <t>GF2000105159FS</t>
        </is>
      </c>
      <c r="H4196" s="1" t="n">
        <v>1</v>
      </c>
      <c r="I4196" s="1" t="inlineStr">
        <is>
          <t>มี</t>
        </is>
      </c>
      <c r="J4196" s="13" t="n">
        <v>35</v>
      </c>
      <c r="K4196" s="1" t="inlineStr"/>
      <c r="L4196" s="13" t="n">
        <v>35</v>
      </c>
      <c r="M4196" s="1">
        <f>IF(L4196="","ไม่พบใน SG",IF(ABS(J4196-L4196)&lt;0.005,"ตรงกัน","ไม่ตรง"))</f>
        <v/>
      </c>
      <c r="N4196" s="14">
        <f>IF(L4196="","",ROUND(L4196*'สรุป'!$C$6,-1))</f>
        <v/>
      </c>
      <c r="O4196" s="15" t="n"/>
      <c r="P4196" s="15" t="n"/>
      <c r="Q4196" s="10" t="n"/>
      <c r="R4196" s="10" t="n"/>
      <c r="S4196" s="16" t="inlineStr">
        <is>
          <t>https://mstgolf.co.th/products/gf2000105159</t>
        </is>
      </c>
      <c r="T4196" s="1">
        <f>IF(B4196="ไม้กอล์ฟ",J4196,"")</f>
        <v/>
      </c>
    </row>
    <row r="4197">
      <c r="A4197" s="1" t="n">
        <v>3</v>
      </c>
      <c r="B4197" s="1" t="inlineStr">
        <is>
          <t>หมวก</t>
        </is>
      </c>
      <c r="C4197" s="1" t="inlineStr">
        <is>
          <t>gf2000106255</t>
        </is>
      </c>
      <c r="D4197" s="1" t="inlineStr">
        <is>
          <t>TAYLORMADE Wide Brim Women's Cap (White)</t>
        </is>
      </c>
      <c r="E4197" s="1" t="inlineStr">
        <is>
          <t>TAYLORMADE</t>
        </is>
      </c>
      <c r="F4197" s="1" t="inlineStr">
        <is>
          <t>CAP</t>
        </is>
      </c>
      <c r="G4197" s="1" t="inlineStr">
        <is>
          <t>GF2000106255FS</t>
        </is>
      </c>
      <c r="H4197" s="1" t="n">
        <v>1</v>
      </c>
      <c r="I4197" s="1" t="inlineStr">
        <is>
          <t>มี</t>
        </is>
      </c>
      <c r="J4197" s="13" t="n">
        <v>35</v>
      </c>
      <c r="K4197" s="1" t="inlineStr"/>
      <c r="L4197" s="13" t="n">
        <v>35</v>
      </c>
      <c r="M4197" s="1">
        <f>IF(L4197="","ไม่พบใน SG",IF(ABS(J4197-L4197)&lt;0.005,"ตรงกัน","ไม่ตรง"))</f>
        <v/>
      </c>
      <c r="N4197" s="14">
        <f>IF(L4197="","",ROUND(L4197*'สรุป'!$C$6,-1))</f>
        <v/>
      </c>
      <c r="O4197" s="15" t="n"/>
      <c r="P4197" s="15" t="n"/>
      <c r="Q4197" s="10" t="n"/>
      <c r="R4197" s="10" t="n"/>
      <c r="S4197" s="16" t="inlineStr">
        <is>
          <t>https://mstgolf.co.th/products/gf2000106255</t>
        </is>
      </c>
      <c r="T4197" s="1">
        <f>IF(B4197="ไม้กอล์ฟ",J4197,"")</f>
        <v/>
      </c>
    </row>
    <row r="4198">
      <c r="A4198" s="1" t="n">
        <v>3</v>
      </c>
      <c r="B4198" s="1" t="inlineStr">
        <is>
          <t>หมวก</t>
        </is>
      </c>
      <c r="C4198" s="1" t="inlineStr">
        <is>
          <t>gf2000105184</t>
        </is>
      </c>
      <c r="D4198" s="1" t="inlineStr">
        <is>
          <t>UNDER ARMOUR Blitzing Adjustable Men's Cap (Grey/Black)</t>
        </is>
      </c>
      <c r="E4198" s="1" t="inlineStr">
        <is>
          <t>UNDER ARMOUR</t>
        </is>
      </c>
      <c r="F4198" s="1" t="inlineStr">
        <is>
          <t>CAP</t>
        </is>
      </c>
      <c r="G4198" s="1" t="inlineStr">
        <is>
          <t>GF2000105184FS</t>
        </is>
      </c>
      <c r="H4198" s="1" t="n">
        <v>1</v>
      </c>
      <c r="I4198" s="1" t="inlineStr">
        <is>
          <t>มี</t>
        </is>
      </c>
      <c r="J4198" s="13" t="n">
        <v>35</v>
      </c>
      <c r="K4198" s="1" t="inlineStr"/>
      <c r="L4198" s="13" t="n">
        <v>19</v>
      </c>
      <c r="M4198" s="1">
        <f>IF(L4198="","ไม่พบใน SG",IF(ABS(J4198-L4198)&lt;0.005,"ตรงกัน","ไม่ตรง"))</f>
        <v/>
      </c>
      <c r="N4198" s="14">
        <f>IF(L4198="","",ROUND(L4198*'สรุป'!$C$6,-1))</f>
        <v/>
      </c>
      <c r="O4198" s="15" t="n"/>
      <c r="P4198" s="15" t="n"/>
      <c r="Q4198" s="10" t="n"/>
      <c r="R4198" s="10" t="n"/>
      <c r="S4198" s="16" t="inlineStr">
        <is>
          <t>https://mstgolf.co.th/products/gf2000105184</t>
        </is>
      </c>
      <c r="T4198" s="1">
        <f>IF(B4198="ไม้กอล์ฟ",J4198,"")</f>
        <v/>
      </c>
    </row>
    <row r="4199">
      <c r="A4199" s="1" t="n">
        <v>3</v>
      </c>
      <c r="B4199" s="1" t="inlineStr">
        <is>
          <t>หมวก</t>
        </is>
      </c>
      <c r="C4199" s="1" t="inlineStr">
        <is>
          <t>gf2000105186</t>
        </is>
      </c>
      <c r="D4199" s="1" t="inlineStr">
        <is>
          <t>UNDER ARMOUR Blitzing Adjustable Men's Cap (White/Black)</t>
        </is>
      </c>
      <c r="E4199" s="1" t="inlineStr">
        <is>
          <t>UNDER ARMOUR</t>
        </is>
      </c>
      <c r="F4199" s="1" t="inlineStr">
        <is>
          <t>CAP</t>
        </is>
      </c>
      <c r="G4199" s="1" t="inlineStr">
        <is>
          <t>GF2000105186FS</t>
        </is>
      </c>
      <c r="H4199" s="1" t="n">
        <v>1</v>
      </c>
      <c r="I4199" s="1" t="inlineStr">
        <is>
          <t>มี</t>
        </is>
      </c>
      <c r="J4199" s="13" t="n">
        <v>35</v>
      </c>
      <c r="K4199" s="1" t="inlineStr"/>
      <c r="L4199" s="13" t="n">
        <v>19</v>
      </c>
      <c r="M4199" s="1">
        <f>IF(L4199="","ไม่พบใน SG",IF(ABS(J4199-L4199)&lt;0.005,"ตรงกัน","ไม่ตรง"))</f>
        <v/>
      </c>
      <c r="N4199" s="14">
        <f>IF(L4199="","",ROUND(L4199*'สรุป'!$C$6,-1))</f>
        <v/>
      </c>
      <c r="O4199" s="15" t="n"/>
      <c r="P4199" s="15" t="n"/>
      <c r="Q4199" s="10" t="n"/>
      <c r="R4199" s="10" t="n"/>
      <c r="S4199" s="16" t="inlineStr">
        <is>
          <t>https://mstgolf.co.th/products/gf2000105186</t>
        </is>
      </c>
      <c r="T4199" s="1">
        <f>IF(B4199="ไม้กอล์ฟ",J4199,"")</f>
        <v/>
      </c>
    </row>
    <row r="4200">
      <c r="A4200" s="1" t="n">
        <v>3</v>
      </c>
      <c r="B4200" s="1" t="inlineStr">
        <is>
          <t>เสื้อผ้า</t>
        </is>
      </c>
      <c r="C4200" s="1" t="inlineStr">
        <is>
          <t>gf2040200086</t>
        </is>
      </c>
      <c r="D4200" s="1" t="inlineStr">
        <is>
          <t>UNDER ARMOUR Heavyweight Moving Day Illustration Men's Polo (Royal)</t>
        </is>
      </c>
      <c r="E4200" s="1" t="inlineStr">
        <is>
          <t>UNDER ARMOUR</t>
        </is>
      </c>
      <c r="F4200" s="1" t="inlineStr">
        <is>
          <t>TEE SHIRT</t>
        </is>
      </c>
      <c r="G4200" s="1" t="inlineStr">
        <is>
          <t>GF2040200086XS</t>
        </is>
      </c>
      <c r="H4200" s="1" t="n">
        <v>6</v>
      </c>
      <c r="I4200" s="1" t="inlineStr">
        <is>
          <t>มี</t>
        </is>
      </c>
      <c r="J4200" s="13" t="n">
        <v>35</v>
      </c>
      <c r="K4200" s="1" t="inlineStr"/>
      <c r="L4200" s="13" t="n">
        <v>25</v>
      </c>
      <c r="M4200" s="1">
        <f>IF(L4200="","ไม่พบใน SG",IF(ABS(J4200-L4200)&lt;0.005,"ตรงกัน","ไม่ตรง"))</f>
        <v/>
      </c>
      <c r="N4200" s="14">
        <f>IF(L4200="","",ROUND(L4200*'สรุป'!$C$6,-1))</f>
        <v/>
      </c>
      <c r="O4200" s="15" t="n"/>
      <c r="P4200" s="15" t="n"/>
      <c r="Q4200" s="10" t="n"/>
      <c r="R4200" s="10" t="n"/>
      <c r="S4200" s="16" t="inlineStr">
        <is>
          <t>https://mstgolf.co.th/products/gf2040200086</t>
        </is>
      </c>
      <c r="T4200" s="1">
        <f>IF(B4200="ไม้กอล์ฟ",J4200,"")</f>
        <v/>
      </c>
    </row>
    <row r="4201">
      <c r="A4201" s="1" t="n">
        <v>3</v>
      </c>
      <c r="B4201" s="1" t="inlineStr">
        <is>
          <t>หมวก</t>
        </is>
      </c>
      <c r="C4201" s="1" t="inlineStr">
        <is>
          <t>gf2000104638</t>
        </is>
      </c>
      <c r="D4201" s="1" t="inlineStr">
        <is>
          <t>UNDER ARMOUR Storm Driver Men's Cap (Black)</t>
        </is>
      </c>
      <c r="E4201" s="1" t="inlineStr">
        <is>
          <t>UNDER ARMOUR</t>
        </is>
      </c>
      <c r="F4201" s="1" t="inlineStr">
        <is>
          <t>CAP</t>
        </is>
      </c>
      <c r="G4201" s="1" t="inlineStr">
        <is>
          <t>GF2000104638S/M</t>
        </is>
      </c>
      <c r="H4201" s="1" t="n">
        <v>3</v>
      </c>
      <c r="I4201" s="1" t="inlineStr">
        <is>
          <t>มี</t>
        </is>
      </c>
      <c r="J4201" s="13" t="n">
        <v>35</v>
      </c>
      <c r="K4201" s="1" t="inlineStr"/>
      <c r="L4201" s="13" t="n">
        <v>35</v>
      </c>
      <c r="M4201" s="1">
        <f>IF(L4201="","ไม่พบใน SG",IF(ABS(J4201-L4201)&lt;0.005,"ตรงกัน","ไม่ตรง"))</f>
        <v/>
      </c>
      <c r="N4201" s="14">
        <f>IF(L4201="","",ROUND(L4201*'สรุป'!$C$6,-1))</f>
        <v/>
      </c>
      <c r="O4201" s="15" t="n"/>
      <c r="P4201" s="15" t="n"/>
      <c r="Q4201" s="10" t="n"/>
      <c r="R4201" s="10" t="n"/>
      <c r="S4201" s="16" t="inlineStr">
        <is>
          <t>https://mstgolf.co.th/products/gf2000104638</t>
        </is>
      </c>
      <c r="T4201" s="1">
        <f>IF(B4201="ไม้กอล์ฟ",J4201,"")</f>
        <v/>
      </c>
    </row>
    <row r="4202">
      <c r="A4202" s="1" t="n">
        <v>3</v>
      </c>
      <c r="B4202" s="1" t="inlineStr">
        <is>
          <t>อุปกรณ์เสริม</t>
        </is>
      </c>
      <c r="C4202" s="1" t="inlineStr">
        <is>
          <t>gf2080101404</t>
        </is>
      </c>
      <c r="D4202" s="1" t="inlineStr">
        <is>
          <t>UNDER ARMOUR Stretch Men's Webbing Belt (Black)</t>
        </is>
      </c>
      <c r="E4202" s="1" t="inlineStr">
        <is>
          <t>UNDER ARMOUR</t>
        </is>
      </c>
      <c r="F4202" s="1" t="inlineStr">
        <is>
          <t>BELT</t>
        </is>
      </c>
      <c r="G4202" s="1" t="inlineStr">
        <is>
          <t>GF2080101404FS</t>
        </is>
      </c>
      <c r="H4202" s="1" t="n">
        <v>1</v>
      </c>
      <c r="I4202" s="1" t="inlineStr">
        <is>
          <t>มี</t>
        </is>
      </c>
      <c r="J4202" s="13" t="n">
        <v>35</v>
      </c>
      <c r="K4202" s="1" t="inlineStr"/>
      <c r="L4202" s="13" t="n">
        <v>35</v>
      </c>
      <c r="M4202" s="1">
        <f>IF(L4202="","ไม่พบใน SG",IF(ABS(J4202-L4202)&lt;0.005,"ตรงกัน","ไม่ตรง"))</f>
        <v/>
      </c>
      <c r="N4202" s="14">
        <f>IF(L4202="","",ROUND(L4202*'สรุป'!$C$6,-1))</f>
        <v/>
      </c>
      <c r="O4202" s="15" t="n"/>
      <c r="P4202" s="15" t="n"/>
      <c r="Q4202" s="10" t="n"/>
      <c r="R4202" s="10" t="n"/>
      <c r="S4202" s="16" t="inlineStr">
        <is>
          <t>https://mstgolf.co.th/products/gf2080101404</t>
        </is>
      </c>
      <c r="T4202" s="1">
        <f>IF(B4202="ไม้กอล์ฟ",J4202,"")</f>
        <v/>
      </c>
    </row>
    <row r="4203">
      <c r="A4203" s="1" t="n">
        <v>3</v>
      </c>
      <c r="B4203" s="1" t="inlineStr">
        <is>
          <t>อุปกรณ์เสริม</t>
        </is>
      </c>
      <c r="C4203" s="1" t="inlineStr">
        <is>
          <t>gf2080101405</t>
        </is>
      </c>
      <c r="D4203" s="1" t="inlineStr">
        <is>
          <t>UNDER ARMOUR Stretch Men's Webbing Belt (Grey)</t>
        </is>
      </c>
      <c r="E4203" s="1" t="inlineStr">
        <is>
          <t>UNDER ARMOUR</t>
        </is>
      </c>
      <c r="F4203" s="1" t="inlineStr">
        <is>
          <t>BELT</t>
        </is>
      </c>
      <c r="G4203" s="1" t="inlineStr">
        <is>
          <t>GF2080101405FS</t>
        </is>
      </c>
      <c r="H4203" s="1" t="n">
        <v>1</v>
      </c>
      <c r="I4203" s="1" t="inlineStr">
        <is>
          <t>มี</t>
        </is>
      </c>
      <c r="J4203" s="13" t="n">
        <v>35</v>
      </c>
      <c r="K4203" s="1" t="inlineStr"/>
      <c r="L4203" s="13" t="n">
        <v>35</v>
      </c>
      <c r="M4203" s="1">
        <f>IF(L4203="","ไม่พบใน SG",IF(ABS(J4203-L4203)&lt;0.005,"ตรงกัน","ไม่ตรง"))</f>
        <v/>
      </c>
      <c r="N4203" s="14">
        <f>IF(L4203="","",ROUND(L4203*'สรุป'!$C$6,-1))</f>
        <v/>
      </c>
      <c r="O4203" s="15" t="n"/>
      <c r="P4203" s="15" t="n"/>
      <c r="Q4203" s="10" t="n"/>
      <c r="R4203" s="10" t="n"/>
      <c r="S4203" s="16" t="inlineStr">
        <is>
          <t>https://mstgolf.co.th/products/gf2080101405</t>
        </is>
      </c>
      <c r="T4203" s="1">
        <f>IF(B4203="ไม้กอล์ฟ",J4203,"")</f>
        <v/>
      </c>
    </row>
    <row r="4204">
      <c r="A4204" s="1" t="n">
        <v>3</v>
      </c>
      <c r="B4204" s="1" t="inlineStr">
        <is>
          <t>อุปกรณ์เสริม</t>
        </is>
      </c>
      <c r="C4204" s="1" t="inlineStr">
        <is>
          <t>gf2080101406</t>
        </is>
      </c>
      <c r="D4204" s="1" t="inlineStr">
        <is>
          <t>UNDER ARMOUR Stretch Men's Webbing Belt (Navy)</t>
        </is>
      </c>
      <c r="E4204" s="1" t="inlineStr">
        <is>
          <t>UNDER ARMOUR</t>
        </is>
      </c>
      <c r="F4204" s="1" t="inlineStr">
        <is>
          <t>BELT</t>
        </is>
      </c>
      <c r="G4204" s="1" t="inlineStr">
        <is>
          <t>GF2080101406FS</t>
        </is>
      </c>
      <c r="H4204" s="1" t="n">
        <v>1</v>
      </c>
      <c r="I4204" s="1" t="inlineStr">
        <is>
          <t>มี</t>
        </is>
      </c>
      <c r="J4204" s="13" t="n">
        <v>35</v>
      </c>
      <c r="K4204" s="1" t="inlineStr"/>
      <c r="L4204" s="13" t="n">
        <v>35</v>
      </c>
      <c r="M4204" s="1">
        <f>IF(L4204="","ไม่พบใน SG",IF(ABS(J4204-L4204)&lt;0.005,"ตรงกัน","ไม่ตรง"))</f>
        <v/>
      </c>
      <c r="N4204" s="14">
        <f>IF(L4204="","",ROUND(L4204*'สรุป'!$C$6,-1))</f>
        <v/>
      </c>
      <c r="O4204" s="15" t="n"/>
      <c r="P4204" s="15" t="n"/>
      <c r="Q4204" s="10" t="n"/>
      <c r="R4204" s="10" t="n"/>
      <c r="S4204" s="16" t="inlineStr">
        <is>
          <t>https://mstgolf.co.th/products/gf2080101406</t>
        </is>
      </c>
      <c r="T4204" s="1">
        <f>IF(B4204="ไม้กอล์ฟ",J4204,"")</f>
        <v/>
      </c>
    </row>
    <row r="4205">
      <c r="A4205" s="1" t="n">
        <v>3</v>
      </c>
      <c r="B4205" s="1" t="inlineStr">
        <is>
          <t>เสื้อผ้า</t>
        </is>
      </c>
      <c r="C4205" s="1" t="inlineStr">
        <is>
          <t>gf2110100091</t>
        </is>
      </c>
      <c r="D4205" s="1" t="inlineStr">
        <is>
          <t>UNDER ARMOUR UA Men's Arm Gloves (Black)</t>
        </is>
      </c>
      <c r="E4205" s="1" t="inlineStr">
        <is>
          <t>UNDER ARMOUR</t>
        </is>
      </c>
      <c r="F4205" s="1" t="inlineStr">
        <is>
          <t>ARM GLOVE</t>
        </is>
      </c>
      <c r="G4205" s="1" t="inlineStr">
        <is>
          <t>GF2110100091S-M</t>
        </is>
      </c>
      <c r="H4205" s="1" t="n">
        <v>2</v>
      </c>
      <c r="I4205" s="1" t="inlineStr">
        <is>
          <t>มี</t>
        </is>
      </c>
      <c r="J4205" s="13" t="n">
        <v>35</v>
      </c>
      <c r="K4205" s="1" t="inlineStr"/>
      <c r="L4205" s="13" t="n">
        <v>35</v>
      </c>
      <c r="M4205" s="1">
        <f>IF(L4205="","ไม่พบใน SG",IF(ABS(J4205-L4205)&lt;0.005,"ตรงกัน","ไม่ตรง"))</f>
        <v/>
      </c>
      <c r="N4205" s="14">
        <f>IF(L4205="","",ROUND(L4205*'สรุป'!$C$6,-1))</f>
        <v/>
      </c>
      <c r="O4205" s="15" t="n"/>
      <c r="P4205" s="15" t="n"/>
      <c r="Q4205" s="10" t="n"/>
      <c r="R4205" s="10" t="n"/>
      <c r="S4205" s="16" t="inlineStr">
        <is>
          <t>https://mstgolf.co.th/products/gf2110100091</t>
        </is>
      </c>
      <c r="T4205" s="1">
        <f>IF(B4205="ไม้กอล์ฟ",J4205,"")</f>
        <v/>
      </c>
    </row>
    <row r="4206">
      <c r="A4206" s="1" t="n">
        <v>3</v>
      </c>
      <c r="B4206" s="1" t="inlineStr">
        <is>
          <t>อุปกรณ์เสริม</t>
        </is>
      </c>
      <c r="C4206" s="1" t="inlineStr">
        <is>
          <t>gf3500300282</t>
        </is>
      </c>
      <c r="D4206" s="1" t="inlineStr">
        <is>
          <t>ONOFF OA2317 Scorecard Holder (Yellow)</t>
        </is>
      </c>
      <c r="E4206" s="1" t="inlineStr">
        <is>
          <t>ONOFF</t>
        </is>
      </c>
      <c r="F4206" s="1" t="inlineStr">
        <is>
          <t>GOLF ACCESSORIES</t>
        </is>
      </c>
      <c r="G4206" s="1" t="inlineStr">
        <is>
          <t>GF3500300282</t>
        </is>
      </c>
      <c r="H4206" s="1" t="n">
        <v>1</v>
      </c>
      <c r="I4206" s="1" t="inlineStr">
        <is>
          <t>มี</t>
        </is>
      </c>
      <c r="J4206" s="13" t="n">
        <v>34</v>
      </c>
      <c r="K4206" s="1" t="inlineStr"/>
      <c r="L4206" s="13" t="n">
        <v>34</v>
      </c>
      <c r="M4206" s="1">
        <f>IF(L4206="","ไม่พบใน SG",IF(ABS(J4206-L4206)&lt;0.005,"ตรงกัน","ไม่ตรง"))</f>
        <v/>
      </c>
      <c r="N4206" s="14">
        <f>IF(L4206="","",ROUND(L4206*'สรุป'!$C$6,-1))</f>
        <v/>
      </c>
      <c r="O4206" s="15" t="n"/>
      <c r="P4206" s="15" t="n"/>
      <c r="Q4206" s="10" t="n"/>
      <c r="R4206" s="10" t="n"/>
      <c r="S4206" s="16" t="inlineStr">
        <is>
          <t>https://mstgolf.co.th/products/gf3500300282</t>
        </is>
      </c>
      <c r="T4206" s="1">
        <f>IF(B4206="ไม้กอล์ฟ",J4206,"")</f>
        <v/>
      </c>
    </row>
    <row r="4207">
      <c r="A4207" s="1" t="n">
        <v>3</v>
      </c>
      <c r="B4207" s="1" t="inlineStr">
        <is>
          <t>เสื้อผ้า</t>
        </is>
      </c>
      <c r="C4207" s="1" t="inlineStr">
        <is>
          <t>gf2040115839</t>
        </is>
      </c>
      <c r="D4207" s="1" t="inlineStr">
        <is>
          <t>ADIDAS Floral Women's Polo (Coral)</t>
        </is>
      </c>
      <c r="E4207" s="1" t="inlineStr">
        <is>
          <t>ADIDAS</t>
        </is>
      </c>
      <c r="F4207" s="1" t="inlineStr">
        <is>
          <t>SHORT SLEEVES</t>
        </is>
      </c>
      <c r="G4207" s="1" t="inlineStr">
        <is>
          <t>GF20401158392XS</t>
        </is>
      </c>
      <c r="H4207" s="1" t="n">
        <v>7</v>
      </c>
      <c r="I4207" s="1" t="inlineStr">
        <is>
          <t>มี</t>
        </is>
      </c>
      <c r="J4207" s="13" t="n">
        <v>32</v>
      </c>
      <c r="K4207" s="1" t="inlineStr"/>
      <c r="L4207" s="13" t="n">
        <v>32</v>
      </c>
      <c r="M4207" s="1">
        <f>IF(L4207="","ไม่พบใน SG",IF(ABS(J4207-L4207)&lt;0.005,"ตรงกัน","ไม่ตรง"))</f>
        <v/>
      </c>
      <c r="N4207" s="14">
        <f>IF(L4207="","",ROUND(L4207*'สรุป'!$C$6,-1))</f>
        <v/>
      </c>
      <c r="O4207" s="15" t="n"/>
      <c r="P4207" s="15" t="n"/>
      <c r="Q4207" s="10" t="n"/>
      <c r="R4207" s="10" t="n"/>
      <c r="S4207" s="16" t="inlineStr">
        <is>
          <t>https://mstgolf.co.th/products/gf2040115839</t>
        </is>
      </c>
      <c r="T4207" s="1">
        <f>IF(B4207="ไม้กอล์ฟ",J4207,"")</f>
        <v/>
      </c>
    </row>
    <row r="4208">
      <c r="A4208" s="1" t="n">
        <v>3</v>
      </c>
      <c r="B4208" s="1" t="inlineStr">
        <is>
          <t>เสื้อผ้า</t>
        </is>
      </c>
      <c r="C4208" s="1" t="inlineStr">
        <is>
          <t>gf2040117632</t>
        </is>
      </c>
      <c r="D4208" s="1" t="inlineStr">
        <is>
          <t>ADIDAS Go-To Women's Polo (Green)</t>
        </is>
      </c>
      <c r="E4208" s="1" t="inlineStr">
        <is>
          <t>ADIDAS</t>
        </is>
      </c>
      <c r="F4208" s="1" t="inlineStr">
        <is>
          <t>SHORT SLEEVES</t>
        </is>
      </c>
      <c r="G4208" s="1" t="inlineStr">
        <is>
          <t>GF2040117632XS</t>
        </is>
      </c>
      <c r="H4208" s="1" t="n">
        <v>7</v>
      </c>
      <c r="I4208" s="1" t="inlineStr">
        <is>
          <t>มี</t>
        </is>
      </c>
      <c r="J4208" s="13" t="n">
        <v>32</v>
      </c>
      <c r="K4208" s="1" t="inlineStr"/>
      <c r="L4208" s="13" t="n">
        <v>32</v>
      </c>
      <c r="M4208" s="1">
        <f>IF(L4208="","ไม่พบใน SG",IF(ABS(J4208-L4208)&lt;0.005,"ตรงกัน","ไม่ตรง"))</f>
        <v/>
      </c>
      <c r="N4208" s="14">
        <f>IF(L4208="","",ROUND(L4208*'สรุป'!$C$6,-1))</f>
        <v/>
      </c>
      <c r="O4208" s="15" t="n"/>
      <c r="P4208" s="15" t="n"/>
      <c r="Q4208" s="10" t="n"/>
      <c r="R4208" s="10" t="n"/>
      <c r="S4208" s="16" t="inlineStr">
        <is>
          <t>https://mstgolf.co.th/products/gf2040117632</t>
        </is>
      </c>
      <c r="T4208" s="1">
        <f>IF(B4208="ไม้กอล์ฟ",J4208,"")</f>
        <v/>
      </c>
    </row>
    <row r="4209">
      <c r="A4209" s="1" t="n">
        <v>3</v>
      </c>
      <c r="B4209" s="1" t="inlineStr">
        <is>
          <t>เสื้อผ้า</t>
        </is>
      </c>
      <c r="C4209" s="1" t="inlineStr">
        <is>
          <t>gf2070400166</t>
        </is>
      </c>
      <c r="D4209" s="1" t="inlineStr">
        <is>
          <t>ADIDAS Mesh-Back Women's Long Sleeve Baselayer (White)</t>
        </is>
      </c>
      <c r="E4209" s="1" t="inlineStr">
        <is>
          <t>ADIDAS</t>
        </is>
      </c>
      <c r="F4209" s="1" t="inlineStr">
        <is>
          <t>SHIRT</t>
        </is>
      </c>
      <c r="G4209" s="1" t="inlineStr">
        <is>
          <t>GF20704001662XS</t>
        </is>
      </c>
      <c r="H4209" s="1" t="n">
        <v>8</v>
      </c>
      <c r="I4209" s="1" t="inlineStr">
        <is>
          <t>มี</t>
        </is>
      </c>
      <c r="J4209" s="13" t="n">
        <v>32</v>
      </c>
      <c r="K4209" s="1" t="inlineStr"/>
      <c r="L4209" s="13" t="n">
        <v>32</v>
      </c>
      <c r="M4209" s="1">
        <f>IF(L4209="","ไม่พบใน SG",IF(ABS(J4209-L4209)&lt;0.005,"ตรงกัน","ไม่ตรง"))</f>
        <v/>
      </c>
      <c r="N4209" s="14">
        <f>IF(L4209="","",ROUND(L4209*'สรุป'!$C$6,-1))</f>
        <v/>
      </c>
      <c r="O4209" s="15" t="n"/>
      <c r="P4209" s="15" t="n"/>
      <c r="Q4209" s="10" t="n"/>
      <c r="R4209" s="10" t="n"/>
      <c r="S4209" s="16" t="inlineStr">
        <is>
          <t>https://mstgolf.co.th/products/gf2070400166</t>
        </is>
      </c>
      <c r="T4209" s="1">
        <f>IF(B4209="ไม้กอล์ฟ",J4209,"")</f>
        <v/>
      </c>
    </row>
    <row r="4210">
      <c r="A4210" s="1" t="n">
        <v>3</v>
      </c>
      <c r="B4210" s="1" t="inlineStr">
        <is>
          <t>หมวก</t>
        </is>
      </c>
      <c r="C4210" s="1" t="inlineStr">
        <is>
          <t>gf2000106168</t>
        </is>
      </c>
      <c r="D4210" s="1" t="inlineStr">
        <is>
          <t>ADIDAS Metal Men's Cap (White)</t>
        </is>
      </c>
      <c r="E4210" s="1" t="inlineStr">
        <is>
          <t>ADIDAS</t>
        </is>
      </c>
      <c r="F4210" s="1" t="inlineStr">
        <is>
          <t>CAP</t>
        </is>
      </c>
      <c r="G4210" s="1" t="inlineStr">
        <is>
          <t>GF2000106168FS</t>
        </is>
      </c>
      <c r="H4210" s="1" t="n">
        <v>1</v>
      </c>
      <c r="I4210" s="1" t="inlineStr">
        <is>
          <t>มี</t>
        </is>
      </c>
      <c r="J4210" s="13" t="n">
        <v>32</v>
      </c>
      <c r="K4210" s="1" t="inlineStr"/>
      <c r="L4210" s="13" t="n">
        <v>32</v>
      </c>
      <c r="M4210" s="1">
        <f>IF(L4210="","ไม่พบใน SG",IF(ABS(J4210-L4210)&lt;0.005,"ตรงกัน","ไม่ตรง"))</f>
        <v/>
      </c>
      <c r="N4210" s="14">
        <f>IF(L4210="","",ROUND(L4210*'สรุป'!$C$6,-1))</f>
        <v/>
      </c>
      <c r="O4210" s="15" t="n"/>
      <c r="P4210" s="15" t="n"/>
      <c r="Q4210" s="10" t="n"/>
      <c r="R4210" s="10" t="n"/>
      <c r="S4210" s="16" t="inlineStr">
        <is>
          <t>https://mstgolf.co.th/products/gf2000106168</t>
        </is>
      </c>
      <c r="T4210" s="1">
        <f>IF(B4210="ไม้กอล์ฟ",J4210,"")</f>
        <v/>
      </c>
    </row>
    <row r="4211">
      <c r="A4211" s="1" t="n">
        <v>3</v>
      </c>
      <c r="B4211" s="1" t="inlineStr">
        <is>
          <t>เสื้อผ้า</t>
        </is>
      </c>
      <c r="C4211" s="1" t="inlineStr">
        <is>
          <t>gf2040118433</t>
        </is>
      </c>
      <c r="D4211" s="1" t="inlineStr">
        <is>
          <t>ADIDAS Ultimate365 Solid Men's Polo (White)</t>
        </is>
      </c>
      <c r="E4211" s="1" t="inlineStr">
        <is>
          <t>ADIDAS</t>
        </is>
      </c>
      <c r="F4211" s="1" t="inlineStr">
        <is>
          <t>SHORT SLEEVES</t>
        </is>
      </c>
      <c r="G4211" s="1" t="inlineStr">
        <is>
          <t>GF2040118433XS</t>
        </is>
      </c>
      <c r="H4211" s="1" t="n">
        <v>7</v>
      </c>
      <c r="I4211" s="1" t="inlineStr">
        <is>
          <t>มี</t>
        </is>
      </c>
      <c r="J4211" s="13" t="n">
        <v>32</v>
      </c>
      <c r="K4211" s="1" t="inlineStr"/>
      <c r="L4211" s="13" t="n"/>
      <c r="M4211" s="1">
        <f>IF(L4211="","ไม่พบใน SG",IF(ABS(J4211-L4211)&lt;0.005,"ตรงกัน","ไม่ตรง"))</f>
        <v/>
      </c>
      <c r="N4211" s="14">
        <f>IF(L4211="","",ROUND(L4211*'สรุป'!$C$6,-1))</f>
        <v/>
      </c>
      <c r="O4211" s="15" t="n"/>
      <c r="P4211" s="15" t="n"/>
      <c r="Q4211" s="10" t="n"/>
      <c r="R4211" s="10" t="n"/>
      <c r="S4211" s="16" t="inlineStr">
        <is>
          <t>https://mstgolf.co.th/products/gf2040118433</t>
        </is>
      </c>
      <c r="T4211" s="1">
        <f>IF(B4211="ไม้กอล์ฟ",J4211,"")</f>
        <v/>
      </c>
    </row>
    <row r="4212">
      <c r="A4212" s="1" t="n">
        <v>3</v>
      </c>
      <c r="B4212" s="1" t="inlineStr">
        <is>
          <t>เสื้อผ้า</t>
        </is>
      </c>
      <c r="C4212" s="1" t="inlineStr">
        <is>
          <t>gf2041200101</t>
        </is>
      </c>
      <c r="D4212" s="1" t="inlineStr">
        <is>
          <t>CUTTER &amp; BUCK Stretch Gingham Men's Longlseeve Shirt (Cardinal Red)</t>
        </is>
      </c>
      <c r="E4212" s="1" t="inlineStr">
        <is>
          <t>CUTTER &amp; BUCK</t>
        </is>
      </c>
      <c r="F4212" s="1" t="inlineStr">
        <is>
          <t>WOVEN</t>
        </is>
      </c>
      <c r="G4212" s="1" t="inlineStr">
        <is>
          <t>GF2041200101S</t>
        </is>
      </c>
      <c r="H4212" s="1" t="n">
        <v>4</v>
      </c>
      <c r="I4212" s="1" t="inlineStr">
        <is>
          <t>มี</t>
        </is>
      </c>
      <c r="J4212" s="13" t="n">
        <v>32</v>
      </c>
      <c r="K4212" s="1" t="inlineStr"/>
      <c r="L4212" s="13" t="n">
        <v>32</v>
      </c>
      <c r="M4212" s="1">
        <f>IF(L4212="","ไม่พบใน SG",IF(ABS(J4212-L4212)&lt;0.005,"ตรงกัน","ไม่ตรง"))</f>
        <v/>
      </c>
      <c r="N4212" s="14">
        <f>IF(L4212="","",ROUND(L4212*'สรุป'!$C$6,-1))</f>
        <v/>
      </c>
      <c r="O4212" s="15" t="n"/>
      <c r="P4212" s="15" t="n"/>
      <c r="Q4212" s="10" t="n"/>
      <c r="R4212" s="10" t="n"/>
      <c r="S4212" s="16" t="inlineStr">
        <is>
          <t>https://mstgolf.co.th/products/gf2041200101</t>
        </is>
      </c>
      <c r="T4212" s="1">
        <f>IF(B4212="ไม้กอล์ฟ",J4212,"")</f>
        <v/>
      </c>
    </row>
    <row r="4213">
      <c r="A4213" s="1" t="n">
        <v>3</v>
      </c>
      <c r="B4213" s="1" t="inlineStr">
        <is>
          <t>อุปกรณ์เสริม</t>
        </is>
      </c>
      <c r="C4213" s="1" t="inlineStr">
        <is>
          <t>gf3500300961</t>
        </is>
      </c>
      <c r="D4213" s="1" t="inlineStr">
        <is>
          <t>DISNEY Mickey Golf Bag Tag</t>
        </is>
      </c>
      <c r="E4213" s="1" t="inlineStr">
        <is>
          <t>DISNEY</t>
        </is>
      </c>
      <c r="F4213" s="1" t="inlineStr">
        <is>
          <t>GOLF ACCESSORIES</t>
        </is>
      </c>
      <c r="G4213" s="1" t="inlineStr">
        <is>
          <t>GF3500300961</t>
        </is>
      </c>
      <c r="H4213" s="1" t="n">
        <v>1</v>
      </c>
      <c r="I4213" s="1" t="inlineStr">
        <is>
          <t>มี</t>
        </is>
      </c>
      <c r="J4213" s="13" t="n">
        <v>31</v>
      </c>
      <c r="K4213" s="1" t="inlineStr"/>
      <c r="L4213" s="13" t="n">
        <v>31</v>
      </c>
      <c r="M4213" s="1">
        <f>IF(L4213="","ไม่พบใน SG",IF(ABS(J4213-L4213)&lt;0.005,"ตรงกัน","ไม่ตรง"))</f>
        <v/>
      </c>
      <c r="N4213" s="14">
        <f>IF(L4213="","",ROUND(L4213*'สรุป'!$C$6,-1))</f>
        <v/>
      </c>
      <c r="O4213" s="15" t="n"/>
      <c r="P4213" s="15" t="n"/>
      <c r="Q4213" s="10" t="n"/>
      <c r="R4213" s="10" t="n"/>
      <c r="S4213" s="16" t="inlineStr">
        <is>
          <t>https://mstgolf.co.th/products/gf3500300961</t>
        </is>
      </c>
      <c r="T4213" s="1">
        <f>IF(B4213="ไม้กอล์ฟ",J4213,"")</f>
        <v/>
      </c>
    </row>
    <row r="4214">
      <c r="A4214" s="1" t="n">
        <v>3</v>
      </c>
      <c r="B4214" s="1" t="inlineStr">
        <is>
          <t>อุปกรณ์เสริม</t>
        </is>
      </c>
      <c r="C4214" s="1" t="inlineStr">
        <is>
          <t>gf3500300962</t>
        </is>
      </c>
      <c r="D4214" s="1" t="inlineStr">
        <is>
          <t>DISNEY Minnie Golf Bag Tag</t>
        </is>
      </c>
      <c r="E4214" s="1" t="inlineStr">
        <is>
          <t>DISNEY</t>
        </is>
      </c>
      <c r="F4214" s="1" t="inlineStr">
        <is>
          <t>GOLF ACCESSORIES</t>
        </is>
      </c>
      <c r="G4214" s="1" t="inlineStr">
        <is>
          <t>GF3500300962</t>
        </is>
      </c>
      <c r="H4214" s="1" t="n">
        <v>1</v>
      </c>
      <c r="I4214" s="1" t="inlineStr">
        <is>
          <t>มี</t>
        </is>
      </c>
      <c r="J4214" s="13" t="n">
        <v>31</v>
      </c>
      <c r="K4214" s="1" t="inlineStr"/>
      <c r="L4214" s="13" t="n">
        <v>31</v>
      </c>
      <c r="M4214" s="1">
        <f>IF(L4214="","ไม่พบใน SG",IF(ABS(J4214-L4214)&lt;0.005,"ตรงกัน","ไม่ตรง"))</f>
        <v/>
      </c>
      <c r="N4214" s="14">
        <f>IF(L4214="","",ROUND(L4214*'สรุป'!$C$6,-1))</f>
        <v/>
      </c>
      <c r="O4214" s="15" t="n"/>
      <c r="P4214" s="15" t="n"/>
      <c r="Q4214" s="10" t="n"/>
      <c r="R4214" s="10" t="n"/>
      <c r="S4214" s="16" t="inlineStr">
        <is>
          <t>https://mstgolf.co.th/products/gf3500300962</t>
        </is>
      </c>
      <c r="T4214" s="1">
        <f>IF(B4214="ไม้กอล์ฟ",J4214,"")</f>
        <v/>
      </c>
    </row>
    <row r="4215">
      <c r="A4215" s="1" t="n">
        <v>3</v>
      </c>
      <c r="B4215" s="1" t="inlineStr">
        <is>
          <t>อุปกรณ์เสริม</t>
        </is>
      </c>
      <c r="C4215" s="1" t="inlineStr">
        <is>
          <t>gf3130100427</t>
        </is>
      </c>
      <c r="D4215" s="1" t="inlineStr">
        <is>
          <t>NICKENT PS8059 Matte Black Polarized Sunglasses</t>
        </is>
      </c>
      <c r="E4215" s="1" t="inlineStr">
        <is>
          <t>NICKENT</t>
        </is>
      </c>
      <c r="F4215" s="1" t="inlineStr">
        <is>
          <t>SUNGLASSES</t>
        </is>
      </c>
      <c r="G4215" s="1" t="inlineStr">
        <is>
          <t>GF3130100427</t>
        </is>
      </c>
      <c r="H4215" s="1" t="n">
        <v>1</v>
      </c>
      <c r="I4215" s="1" t="inlineStr">
        <is>
          <t>มี</t>
        </is>
      </c>
      <c r="J4215" s="13" t="n">
        <v>31</v>
      </c>
      <c r="K4215" s="1" t="inlineStr"/>
      <c r="L4215" s="13" t="n">
        <v>31</v>
      </c>
      <c r="M4215" s="1">
        <f>IF(L4215="","ไม่พบใน SG",IF(ABS(J4215-L4215)&lt;0.005,"ตรงกัน","ไม่ตรง"))</f>
        <v/>
      </c>
      <c r="N4215" s="14">
        <f>IF(L4215="","",ROUND(L4215*'สรุป'!$C$6,-1))</f>
        <v/>
      </c>
      <c r="O4215" s="15" t="n"/>
      <c r="P4215" s="15" t="n"/>
      <c r="Q4215" s="10" t="n"/>
      <c r="R4215" s="10" t="n"/>
      <c r="S4215" s="16" t="inlineStr">
        <is>
          <t>https://mstgolf.co.th/products/gf3130100427</t>
        </is>
      </c>
      <c r="T4215" s="1">
        <f>IF(B4215="ไม้กอล์ฟ",J4215,"")</f>
        <v/>
      </c>
    </row>
    <row r="4216">
      <c r="A4216" s="1" t="n">
        <v>3</v>
      </c>
      <c r="B4216" s="1" t="inlineStr">
        <is>
          <t>หมวก</t>
        </is>
      </c>
      <c r="C4216" s="1" t="inlineStr">
        <is>
          <t>gf2000201038</t>
        </is>
      </c>
      <c r="D4216" s="1" t="inlineStr">
        <is>
          <t>TAYLORMADE Basic Women's Visor (Black)</t>
        </is>
      </c>
      <c r="E4216" s="1" t="inlineStr">
        <is>
          <t>TAYLORMADE</t>
        </is>
      </c>
      <c r="F4216" s="1" t="inlineStr">
        <is>
          <t>VISOR</t>
        </is>
      </c>
      <c r="G4216" s="1" t="inlineStr">
        <is>
          <t>GF2000201038FS</t>
        </is>
      </c>
      <c r="H4216" s="1" t="n">
        <v>1</v>
      </c>
      <c r="I4216" s="1" t="inlineStr">
        <is>
          <t>มี</t>
        </is>
      </c>
      <c r="J4216" s="13" t="n">
        <v>31</v>
      </c>
      <c r="K4216" s="1" t="inlineStr"/>
      <c r="L4216" s="13" t="n">
        <v>31</v>
      </c>
      <c r="M4216" s="1">
        <f>IF(L4216="","ไม่พบใน SG",IF(ABS(J4216-L4216)&lt;0.005,"ตรงกัน","ไม่ตรง"))</f>
        <v/>
      </c>
      <c r="N4216" s="14">
        <f>IF(L4216="","",ROUND(L4216*'สรุป'!$C$6,-1))</f>
        <v/>
      </c>
      <c r="O4216" s="15" t="n"/>
      <c r="P4216" s="15" t="n"/>
      <c r="Q4216" s="10" t="n"/>
      <c r="R4216" s="10" t="n"/>
      <c r="S4216" s="16" t="inlineStr">
        <is>
          <t>https://mstgolf.co.th/products/gf2000201038</t>
        </is>
      </c>
      <c r="T4216" s="1">
        <f>IF(B4216="ไม้กอล์ฟ",J4216,"")</f>
        <v/>
      </c>
    </row>
    <row r="4217">
      <c r="A4217" s="1" t="n">
        <v>3</v>
      </c>
      <c r="B4217" s="1" t="inlineStr">
        <is>
          <t>หมวก</t>
        </is>
      </c>
      <c r="C4217" s="1" t="inlineStr">
        <is>
          <t>gf2000201037</t>
        </is>
      </c>
      <c r="D4217" s="1" t="inlineStr">
        <is>
          <t>TAYLORMADE Basic Women's Visor (White)</t>
        </is>
      </c>
      <c r="E4217" s="1" t="inlineStr">
        <is>
          <t>TAYLORMADE</t>
        </is>
      </c>
      <c r="F4217" s="1" t="inlineStr">
        <is>
          <t>VISOR</t>
        </is>
      </c>
      <c r="G4217" s="1" t="inlineStr">
        <is>
          <t>GF2000201037FS</t>
        </is>
      </c>
      <c r="H4217" s="1" t="n">
        <v>1</v>
      </c>
      <c r="I4217" s="1" t="inlineStr">
        <is>
          <t>มี</t>
        </is>
      </c>
      <c r="J4217" s="13" t="n">
        <v>31</v>
      </c>
      <c r="K4217" s="1" t="inlineStr"/>
      <c r="L4217" s="13" t="n">
        <v>31</v>
      </c>
      <c r="M4217" s="1">
        <f>IF(L4217="","ไม่พบใน SG",IF(ABS(J4217-L4217)&lt;0.005,"ตรงกัน","ไม่ตรง"))</f>
        <v/>
      </c>
      <c r="N4217" s="14">
        <f>IF(L4217="","",ROUND(L4217*'สรุป'!$C$6,-1))</f>
        <v/>
      </c>
      <c r="O4217" s="15" t="n"/>
      <c r="P4217" s="15" t="n"/>
      <c r="Q4217" s="10" t="n"/>
      <c r="R4217" s="10" t="n"/>
      <c r="S4217" s="16" t="inlineStr">
        <is>
          <t>https://mstgolf.co.th/products/gf2000201037</t>
        </is>
      </c>
      <c r="T4217" s="1">
        <f>IF(B4217="ไม้กอล์ฟ",J4217,"")</f>
        <v/>
      </c>
    </row>
    <row r="4218">
      <c r="A4218" s="1" t="n">
        <v>3</v>
      </c>
      <c r="B4218" s="1" t="inlineStr">
        <is>
          <t>หมวก</t>
        </is>
      </c>
      <c r="C4218" s="1" t="inlineStr">
        <is>
          <t>gf2000106744</t>
        </is>
      </c>
      <c r="D4218" s="1" t="inlineStr">
        <is>
          <t>ADIDAS Golf Performance Men's Cap (Black)</t>
        </is>
      </c>
      <c r="E4218" s="1" t="inlineStr">
        <is>
          <t>ADIDAS</t>
        </is>
      </c>
      <c r="F4218" s="1" t="inlineStr">
        <is>
          <t>CAP</t>
        </is>
      </c>
      <c r="G4218" s="1" t="inlineStr">
        <is>
          <t>GF2000106744FS</t>
        </is>
      </c>
      <c r="H4218" s="1" t="n">
        <v>1</v>
      </c>
      <c r="I4218" s="1" t="inlineStr">
        <is>
          <t>มี</t>
        </is>
      </c>
      <c r="J4218" s="13" t="n">
        <v>30</v>
      </c>
      <c r="K4218" s="1" t="inlineStr"/>
      <c r="L4218" s="13" t="n">
        <v>21</v>
      </c>
      <c r="M4218" s="1">
        <f>IF(L4218="","ไม่พบใน SG",IF(ABS(J4218-L4218)&lt;0.005,"ตรงกัน","ไม่ตรง"))</f>
        <v/>
      </c>
      <c r="N4218" s="14">
        <f>IF(L4218="","",ROUND(L4218*'สรุป'!$C$6,-1))</f>
        <v/>
      </c>
      <c r="O4218" s="15" t="n"/>
      <c r="P4218" s="15" t="n"/>
      <c r="Q4218" s="10" t="n"/>
      <c r="R4218" s="10" t="n"/>
      <c r="S4218" s="16" t="inlineStr">
        <is>
          <t>https://mstgolf.co.th/products/gf2000106744</t>
        </is>
      </c>
      <c r="T4218" s="1">
        <f>IF(B4218="ไม้กอล์ฟ",J4218,"")</f>
        <v/>
      </c>
    </row>
    <row r="4219">
      <c r="A4219" s="1" t="n">
        <v>3</v>
      </c>
      <c r="B4219" s="1" t="inlineStr">
        <is>
          <t>อุปกรณ์เสริม</t>
        </is>
      </c>
      <c r="C4219" s="1" t="inlineStr">
        <is>
          <t>gf2080101419</t>
        </is>
      </c>
      <c r="D4219" s="1" t="inlineStr">
        <is>
          <t>ADIDAS Men's Reversible Webbing Belt (Black/Grey)</t>
        </is>
      </c>
      <c r="E4219" s="1" t="inlineStr">
        <is>
          <t>ADIDAS</t>
        </is>
      </c>
      <c r="F4219" s="1" t="inlineStr">
        <is>
          <t>BELT</t>
        </is>
      </c>
      <c r="G4219" s="1" t="inlineStr">
        <is>
          <t>GF2080101419FS</t>
        </is>
      </c>
      <c r="H4219" s="1" t="n">
        <v>1</v>
      </c>
      <c r="I4219" s="1" t="inlineStr">
        <is>
          <t>มี</t>
        </is>
      </c>
      <c r="J4219" s="13" t="n">
        <v>30</v>
      </c>
      <c r="K4219" s="1" t="inlineStr"/>
      <c r="L4219" s="13" t="n">
        <v>30</v>
      </c>
      <c r="M4219" s="1">
        <f>IF(L4219="","ไม่พบใน SG",IF(ABS(J4219-L4219)&lt;0.005,"ตรงกัน","ไม่ตรง"))</f>
        <v/>
      </c>
      <c r="N4219" s="14">
        <f>IF(L4219="","",ROUND(L4219*'สรุป'!$C$6,-1))</f>
        <v/>
      </c>
      <c r="O4219" s="15" t="n"/>
      <c r="P4219" s="15" t="n"/>
      <c r="Q4219" s="10" t="n"/>
      <c r="R4219" s="10" t="n"/>
      <c r="S4219" s="16" t="inlineStr">
        <is>
          <t>https://mstgolf.co.th/products/gf2080101419</t>
        </is>
      </c>
      <c r="T4219" s="1">
        <f>IF(B4219="ไม้กอล์ฟ",J4219,"")</f>
        <v/>
      </c>
    </row>
    <row r="4220">
      <c r="A4220" s="1" t="n">
        <v>3</v>
      </c>
      <c r="B4220" s="1" t="inlineStr">
        <is>
          <t>อุปกรณ์เสริม</t>
        </is>
      </c>
      <c r="C4220" s="1" t="inlineStr">
        <is>
          <t>gf2080101422</t>
        </is>
      </c>
      <c r="D4220" s="1" t="inlineStr">
        <is>
          <t>ADIDAS Men's Reversible Webbing Belt (Grey/White)</t>
        </is>
      </c>
      <c r="E4220" s="1" t="inlineStr">
        <is>
          <t>ADIDAS</t>
        </is>
      </c>
      <c r="F4220" s="1" t="inlineStr">
        <is>
          <t>BELT</t>
        </is>
      </c>
      <c r="G4220" s="1" t="inlineStr">
        <is>
          <t>GF2080101422FS</t>
        </is>
      </c>
      <c r="H4220" s="1" t="n">
        <v>1</v>
      </c>
      <c r="I4220" s="1" t="inlineStr">
        <is>
          <t>มี</t>
        </is>
      </c>
      <c r="J4220" s="13" t="n">
        <v>30</v>
      </c>
      <c r="K4220" s="1" t="inlineStr"/>
      <c r="L4220" s="13" t="n"/>
      <c r="M4220" s="1">
        <f>IF(L4220="","ไม่พบใน SG",IF(ABS(J4220-L4220)&lt;0.005,"ตรงกัน","ไม่ตรง"))</f>
        <v/>
      </c>
      <c r="N4220" s="14">
        <f>IF(L4220="","",ROUND(L4220*'สรุป'!$C$6,-1))</f>
        <v/>
      </c>
      <c r="O4220" s="15" t="n"/>
      <c r="P4220" s="15" t="n"/>
      <c r="Q4220" s="10" t="n"/>
      <c r="R4220" s="10" t="n"/>
      <c r="S4220" s="16" t="inlineStr">
        <is>
          <t>https://mstgolf.co.th/products/gf2080101422</t>
        </is>
      </c>
      <c r="T4220" s="1">
        <f>IF(B4220="ไม้กอล์ฟ",J4220,"")</f>
        <v/>
      </c>
    </row>
    <row r="4221">
      <c r="A4221" s="1" t="n">
        <v>3</v>
      </c>
      <c r="B4221" s="1" t="inlineStr">
        <is>
          <t>อุปกรณ์เสริม</t>
        </is>
      </c>
      <c r="C4221" s="1" t="inlineStr">
        <is>
          <t>gf2080101525</t>
        </is>
      </c>
      <c r="D4221" s="1" t="inlineStr">
        <is>
          <t>ADIDAS Reversible Webbing Men's Belt (Blue)</t>
        </is>
      </c>
      <c r="E4221" s="1" t="inlineStr">
        <is>
          <t>ADIDAS</t>
        </is>
      </c>
      <c r="F4221" s="1" t="inlineStr">
        <is>
          <t>BELT</t>
        </is>
      </c>
      <c r="G4221" s="1" t="inlineStr">
        <is>
          <t>GF2080101525FS</t>
        </is>
      </c>
      <c r="H4221" s="1" t="n">
        <v>1</v>
      </c>
      <c r="I4221" s="1" t="inlineStr">
        <is>
          <t>มี</t>
        </is>
      </c>
      <c r="J4221" s="13" t="n">
        <v>30</v>
      </c>
      <c r="K4221" s="1" t="inlineStr"/>
      <c r="L4221" s="13" t="n">
        <v>21</v>
      </c>
      <c r="M4221" s="1">
        <f>IF(L4221="","ไม่พบใน SG",IF(ABS(J4221-L4221)&lt;0.005,"ตรงกัน","ไม่ตรง"))</f>
        <v/>
      </c>
      <c r="N4221" s="14">
        <f>IF(L4221="","",ROUND(L4221*'สรุป'!$C$6,-1))</f>
        <v/>
      </c>
      <c r="O4221" s="15" t="n"/>
      <c r="P4221" s="15" t="n"/>
      <c r="Q4221" s="10" t="n"/>
      <c r="R4221" s="10" t="n"/>
      <c r="S4221" s="16" t="inlineStr">
        <is>
          <t>https://mstgolf.co.th/products/gf2080101525</t>
        </is>
      </c>
      <c r="T4221" s="1">
        <f>IF(B4221="ไม้กอล์ฟ",J4221,"")</f>
        <v/>
      </c>
    </row>
    <row r="4222">
      <c r="A4222" s="1" t="n">
        <v>3</v>
      </c>
      <c r="B4222" s="1" t="inlineStr">
        <is>
          <t>หมวก</t>
        </is>
      </c>
      <c r="C4222" s="1" t="inlineStr">
        <is>
          <t>gf2000106845</t>
        </is>
      </c>
      <c r="D4222" s="1" t="inlineStr">
        <is>
          <t>DISNEY Darth Vader Men's Cap (Black)</t>
        </is>
      </c>
      <c r="E4222" s="1" t="inlineStr">
        <is>
          <t>DISNEY</t>
        </is>
      </c>
      <c r="F4222" s="1" t="inlineStr">
        <is>
          <t>CAP</t>
        </is>
      </c>
      <c r="G4222" s="1" t="inlineStr">
        <is>
          <t>GF2000106845FS</t>
        </is>
      </c>
      <c r="H4222" s="1" t="n">
        <v>1</v>
      </c>
      <c r="I4222" s="1" t="inlineStr">
        <is>
          <t>มี</t>
        </is>
      </c>
      <c r="J4222" s="13" t="n">
        <v>30</v>
      </c>
      <c r="K4222" s="1" t="inlineStr"/>
      <c r="L4222" s="13" t="n">
        <v>30</v>
      </c>
      <c r="M4222" s="1">
        <f>IF(L4222="","ไม่พบใน SG",IF(ABS(J4222-L4222)&lt;0.005,"ตรงกัน","ไม่ตรง"))</f>
        <v/>
      </c>
      <c r="N4222" s="14">
        <f>IF(L4222="","",ROUND(L4222*'สรุป'!$C$6,-1))</f>
        <v/>
      </c>
      <c r="O4222" s="15" t="n"/>
      <c r="P4222" s="15" t="n"/>
      <c r="Q4222" s="10" t="n"/>
      <c r="R4222" s="10" t="n"/>
      <c r="S4222" s="16" t="inlineStr">
        <is>
          <t>https://mstgolf.co.th/products/gf2000106845</t>
        </is>
      </c>
      <c r="T4222" s="1">
        <f>IF(B4222="ไม้กอล์ฟ",J4222,"")</f>
        <v/>
      </c>
    </row>
    <row r="4223">
      <c r="A4223" s="1" t="n">
        <v>3</v>
      </c>
      <c r="B4223" s="1" t="inlineStr">
        <is>
          <t>หมวก</t>
        </is>
      </c>
      <c r="C4223" s="1" t="inlineStr">
        <is>
          <t>gf2000106846</t>
        </is>
      </c>
      <c r="D4223" s="1" t="inlineStr">
        <is>
          <t>DISNEY Stormtrooper Men's Cap (Ivory)</t>
        </is>
      </c>
      <c r="E4223" s="1" t="inlineStr">
        <is>
          <t>DISNEY</t>
        </is>
      </c>
      <c r="F4223" s="1" t="inlineStr">
        <is>
          <t>CAP</t>
        </is>
      </c>
      <c r="G4223" s="1" t="inlineStr">
        <is>
          <t>GF2000106846FS</t>
        </is>
      </c>
      <c r="H4223" s="1" t="n">
        <v>1</v>
      </c>
      <c r="I4223" s="1" t="inlineStr">
        <is>
          <t>มี</t>
        </is>
      </c>
      <c r="J4223" s="13" t="n">
        <v>30</v>
      </c>
      <c r="K4223" s="1" t="inlineStr"/>
      <c r="L4223" s="13" t="n">
        <v>30</v>
      </c>
      <c r="M4223" s="1">
        <f>IF(L4223="","ไม่พบใน SG",IF(ABS(J4223-L4223)&lt;0.005,"ตรงกัน","ไม่ตรง"))</f>
        <v/>
      </c>
      <c r="N4223" s="14">
        <f>IF(L4223="","",ROUND(L4223*'สรุป'!$C$6,-1))</f>
        <v/>
      </c>
      <c r="O4223" s="15" t="n"/>
      <c r="P4223" s="15" t="n"/>
      <c r="Q4223" s="10" t="n"/>
      <c r="R4223" s="10" t="n"/>
      <c r="S4223" s="16" t="inlineStr">
        <is>
          <t>https://mstgolf.co.th/products/gf2000106846</t>
        </is>
      </c>
      <c r="T4223" s="1">
        <f>IF(B4223="ไม้กอล์ฟ",J4223,"")</f>
        <v/>
      </c>
    </row>
    <row r="4224">
      <c r="A4224" s="1" t="n">
        <v>3</v>
      </c>
      <c r="B4224" s="1" t="inlineStr">
        <is>
          <t>อุปกรณ์เสริม</t>
        </is>
      </c>
      <c r="C4224" s="1" t="inlineStr">
        <is>
          <t>gf3150100320</t>
        </is>
      </c>
      <c r="D4224" s="1" t="inlineStr">
        <is>
          <t>GOLF PRIDE GWP Umbrella</t>
        </is>
      </c>
      <c r="E4224" s="1" t="inlineStr">
        <is>
          <t>GOLF PRIDE</t>
        </is>
      </c>
      <c r="F4224" s="1" t="inlineStr">
        <is>
          <t>UMBRELLA</t>
        </is>
      </c>
      <c r="G4224" s="1" t="inlineStr">
        <is>
          <t>GF3150100320</t>
        </is>
      </c>
      <c r="H4224" s="1" t="n">
        <v>1</v>
      </c>
      <c r="I4224" s="1" t="inlineStr">
        <is>
          <t>มี</t>
        </is>
      </c>
      <c r="J4224" s="13" t="n">
        <v>30</v>
      </c>
      <c r="K4224" s="1" t="inlineStr"/>
      <c r="L4224" s="13" t="n"/>
      <c r="M4224" s="1">
        <f>IF(L4224="","ไม่พบใน SG",IF(ABS(J4224-L4224)&lt;0.005,"ตรงกัน","ไม่ตรง"))</f>
        <v/>
      </c>
      <c r="N4224" s="14">
        <f>IF(L4224="","",ROUND(L4224*'สรุป'!$C$6,-1))</f>
        <v/>
      </c>
      <c r="O4224" s="15" t="n"/>
      <c r="P4224" s="15" t="n"/>
      <c r="Q4224" s="10" t="n"/>
      <c r="R4224" s="10" t="n"/>
      <c r="S4224" s="16" t="inlineStr">
        <is>
          <t>https://mstgolf.co.th/products/gf3150100320</t>
        </is>
      </c>
      <c r="T4224" s="1">
        <f>IF(B4224="ไม้กอล์ฟ",J4224,"")</f>
        <v/>
      </c>
    </row>
    <row r="4225">
      <c r="A4225" s="1" t="n">
        <v>3</v>
      </c>
      <c r="B4225" s="1" t="inlineStr">
        <is>
          <t>เสื้อผ้า</t>
        </is>
      </c>
      <c r="C4225" s="1" t="inlineStr">
        <is>
          <t>gf2040115776</t>
        </is>
      </c>
      <c r="D4225" s="1" t="inlineStr">
        <is>
          <t>ADIDAS 3 Stripes Women's Sleeveless Polo (Black)</t>
        </is>
      </c>
      <c r="E4225" s="1" t="inlineStr">
        <is>
          <t>ADIDAS</t>
        </is>
      </c>
      <c r="F4225" s="1" t="inlineStr">
        <is>
          <t>SHORT SLEEVES</t>
        </is>
      </c>
      <c r="G4225" s="1" t="inlineStr">
        <is>
          <t>GF2040115776XS</t>
        </is>
      </c>
      <c r="H4225" s="1" t="n">
        <v>7</v>
      </c>
      <c r="I4225" s="1" t="inlineStr">
        <is>
          <t>มี</t>
        </is>
      </c>
      <c r="J4225" s="13" t="n">
        <v>29</v>
      </c>
      <c r="K4225" s="1" t="inlineStr"/>
      <c r="L4225" s="13" t="n">
        <v>29</v>
      </c>
      <c r="M4225" s="1">
        <f>IF(L4225="","ไม่พบใน SG",IF(ABS(J4225-L4225)&lt;0.005,"ตรงกัน","ไม่ตรง"))</f>
        <v/>
      </c>
      <c r="N4225" s="14">
        <f>IF(L4225="","",ROUND(L4225*'สรุป'!$C$6,-1))</f>
        <v/>
      </c>
      <c r="O4225" s="15" t="n"/>
      <c r="P4225" s="15" t="n"/>
      <c r="Q4225" s="10" t="n"/>
      <c r="R4225" s="10" t="n"/>
      <c r="S4225" s="16" t="inlineStr">
        <is>
          <t>https://mstgolf.co.th/products/gf2040115776</t>
        </is>
      </c>
      <c r="T4225" s="1">
        <f>IF(B4225="ไม้กอล์ฟ",J4225,"")</f>
        <v/>
      </c>
    </row>
    <row r="4226">
      <c r="A4226" s="1" t="n">
        <v>3</v>
      </c>
      <c r="B4226" s="1" t="inlineStr">
        <is>
          <t>เสื้อผ้า</t>
        </is>
      </c>
      <c r="C4226" s="1" t="inlineStr">
        <is>
          <t>gf2040115775</t>
        </is>
      </c>
      <c r="D4226" s="1" t="inlineStr">
        <is>
          <t>ADIDAS 3 Stripes Women's Sleeveless Polo (White)</t>
        </is>
      </c>
      <c r="E4226" s="1" t="inlineStr">
        <is>
          <t>ADIDAS</t>
        </is>
      </c>
      <c r="F4226" s="1" t="inlineStr">
        <is>
          <t>SHORT SLEEVES</t>
        </is>
      </c>
      <c r="G4226" s="1" t="inlineStr">
        <is>
          <t>GF20401157752XS</t>
        </is>
      </c>
      <c r="H4226" s="1" t="n">
        <v>7</v>
      </c>
      <c r="I4226" s="1" t="inlineStr">
        <is>
          <t>มี</t>
        </is>
      </c>
      <c r="J4226" s="13" t="n">
        <v>29</v>
      </c>
      <c r="K4226" s="1" t="inlineStr"/>
      <c r="L4226" s="13" t="n"/>
      <c r="M4226" s="1">
        <f>IF(L4226="","ไม่พบใน SG",IF(ABS(J4226-L4226)&lt;0.005,"ตรงกัน","ไม่ตรง"))</f>
        <v/>
      </c>
      <c r="N4226" s="14">
        <f>IF(L4226="","",ROUND(L4226*'สรุป'!$C$6,-1))</f>
        <v/>
      </c>
      <c r="O4226" s="15" t="n"/>
      <c r="P4226" s="15" t="n"/>
      <c r="Q4226" s="10" t="n"/>
      <c r="R4226" s="10" t="n"/>
      <c r="S4226" s="16" t="inlineStr">
        <is>
          <t>https://mstgolf.co.th/products/gf2040115775</t>
        </is>
      </c>
      <c r="T4226" s="1">
        <f>IF(B4226="ไม้กอล์ฟ",J4226,"")</f>
        <v/>
      </c>
    </row>
    <row r="4227">
      <c r="A4227" s="1" t="n">
        <v>3</v>
      </c>
      <c r="B4227" s="1" t="inlineStr">
        <is>
          <t>เสื้อผ้า</t>
        </is>
      </c>
      <c r="C4227" s="1" t="inlineStr">
        <is>
          <t>gf2040114360</t>
        </is>
      </c>
      <c r="D4227" s="1" t="inlineStr">
        <is>
          <t>ADIDAS 3-Stripes Basic Women's Polo (Red)</t>
        </is>
      </c>
      <c r="E4227" s="1" t="inlineStr">
        <is>
          <t>ADIDAS</t>
        </is>
      </c>
      <c r="F4227" s="1" t="inlineStr">
        <is>
          <t>SHORT SLEEVES</t>
        </is>
      </c>
      <c r="G4227" s="1" t="inlineStr">
        <is>
          <t>GF2040114360XS</t>
        </is>
      </c>
      <c r="H4227" s="1" t="n">
        <v>7</v>
      </c>
      <c r="I4227" s="1" t="inlineStr">
        <is>
          <t>มี</t>
        </is>
      </c>
      <c r="J4227" s="13" t="n">
        <v>29</v>
      </c>
      <c r="K4227" s="1" t="inlineStr"/>
      <c r="L4227" s="13" t="n">
        <v>29</v>
      </c>
      <c r="M4227" s="1">
        <f>IF(L4227="","ไม่พบใน SG",IF(ABS(J4227-L4227)&lt;0.005,"ตรงกัน","ไม่ตรง"))</f>
        <v/>
      </c>
      <c r="N4227" s="14">
        <f>IF(L4227="","",ROUND(L4227*'สรุป'!$C$6,-1))</f>
        <v/>
      </c>
      <c r="O4227" s="15" t="n"/>
      <c r="P4227" s="15" t="n"/>
      <c r="Q4227" s="10" t="n"/>
      <c r="R4227" s="10" t="n"/>
      <c r="S4227" s="16" t="inlineStr">
        <is>
          <t>https://mstgolf.co.th/products/gf2040114360</t>
        </is>
      </c>
      <c r="T4227" s="1">
        <f>IF(B4227="ไม้กอล์ฟ",J4227,"")</f>
        <v/>
      </c>
    </row>
    <row r="4228">
      <c r="A4228" s="1" t="n">
        <v>3</v>
      </c>
      <c r="B4228" s="1" t="inlineStr">
        <is>
          <t>เสื้อผ้า</t>
        </is>
      </c>
      <c r="C4228" s="1" t="inlineStr">
        <is>
          <t>gf2040116458</t>
        </is>
      </c>
      <c r="D4228" s="1" t="inlineStr">
        <is>
          <t>ADIDAS AEROREADY Big Badge of Sport Women's Polo (White)</t>
        </is>
      </c>
      <c r="E4228" s="1" t="inlineStr">
        <is>
          <t>ADIDAS</t>
        </is>
      </c>
      <c r="F4228" s="1" t="inlineStr">
        <is>
          <t>SHORT SLEEVES</t>
        </is>
      </c>
      <c r="G4228" s="1" t="inlineStr">
        <is>
          <t>GF20401164582XS</t>
        </is>
      </c>
      <c r="H4228" s="1" t="n">
        <v>7</v>
      </c>
      <c r="I4228" s="1" t="inlineStr">
        <is>
          <t>มี</t>
        </is>
      </c>
      <c r="J4228" s="13" t="n">
        <v>29</v>
      </c>
      <c r="K4228" s="1" t="inlineStr"/>
      <c r="L4228" s="13" t="n">
        <v>29</v>
      </c>
      <c r="M4228" s="1">
        <f>IF(L4228="","ไม่พบใน SG",IF(ABS(J4228-L4228)&lt;0.005,"ตรงกัน","ไม่ตรง"))</f>
        <v/>
      </c>
      <c r="N4228" s="14">
        <f>IF(L4228="","",ROUND(L4228*'สรุป'!$C$6,-1))</f>
        <v/>
      </c>
      <c r="O4228" s="15" t="n"/>
      <c r="P4228" s="15" t="n"/>
      <c r="Q4228" s="10" t="n"/>
      <c r="R4228" s="10" t="n"/>
      <c r="S4228" s="16" t="inlineStr">
        <is>
          <t>https://mstgolf.co.th/products/gf2040116458</t>
        </is>
      </c>
      <c r="T4228" s="1">
        <f>IF(B4228="ไม้กอล์ฟ",J4228,"")</f>
        <v/>
      </c>
    </row>
    <row r="4229">
      <c r="A4229" s="1" t="n">
        <v>3</v>
      </c>
      <c r="B4229" s="1" t="inlineStr">
        <is>
          <t>เสื้อผ้า</t>
        </is>
      </c>
      <c r="C4229" s="1" t="inlineStr">
        <is>
          <t>gf2020600045</t>
        </is>
      </c>
      <c r="D4229" s="1" t="inlineStr">
        <is>
          <t>ADIDAS Adicross HEAT.RDY Baselayer Men's Leggings (Black)</t>
        </is>
      </c>
      <c r="E4229" s="1" t="inlineStr">
        <is>
          <t>ADIDAS</t>
        </is>
      </c>
      <c r="F4229" s="1" t="inlineStr">
        <is>
          <t>TIGHTS</t>
        </is>
      </c>
      <c r="G4229" s="1" t="inlineStr">
        <is>
          <t>GF2020600045XS</t>
        </is>
      </c>
      <c r="H4229" s="1" t="n">
        <v>6</v>
      </c>
      <c r="I4229" s="1" t="inlineStr">
        <is>
          <t>มี</t>
        </is>
      </c>
      <c r="J4229" s="13" t="n">
        <v>29</v>
      </c>
      <c r="K4229" s="1" t="inlineStr"/>
      <c r="L4229" s="13" t="n">
        <v>29</v>
      </c>
      <c r="M4229" s="1">
        <f>IF(L4229="","ไม่พบใน SG",IF(ABS(J4229-L4229)&lt;0.005,"ตรงกัน","ไม่ตรง"))</f>
        <v/>
      </c>
      <c r="N4229" s="14">
        <f>IF(L4229="","",ROUND(L4229*'สรุป'!$C$6,-1))</f>
        <v/>
      </c>
      <c r="O4229" s="15" t="n"/>
      <c r="P4229" s="15" t="n"/>
      <c r="Q4229" s="10" t="n"/>
      <c r="R4229" s="10" t="n"/>
      <c r="S4229" s="16" t="inlineStr">
        <is>
          <t>https://mstgolf.co.th/products/gf2020600045</t>
        </is>
      </c>
      <c r="T4229" s="1">
        <f>IF(B4229="ไม้กอล์ฟ",J4229,"")</f>
        <v/>
      </c>
    </row>
    <row r="4230">
      <c r="A4230" s="1" t="n">
        <v>3</v>
      </c>
      <c r="B4230" s="1" t="inlineStr">
        <is>
          <t>เสื้อผ้า</t>
        </is>
      </c>
      <c r="C4230" s="1" t="inlineStr">
        <is>
          <t>gf2020202129</t>
        </is>
      </c>
      <c r="D4230" s="1" t="inlineStr">
        <is>
          <t>ADIDAS Boy's Shorts (Hemp)</t>
        </is>
      </c>
      <c r="E4230" s="1" t="inlineStr">
        <is>
          <t>ADIDAS</t>
        </is>
      </c>
      <c r="F4230" s="1" t="inlineStr">
        <is>
          <t>SHORT PANTS</t>
        </is>
      </c>
      <c r="G4230" s="1" t="inlineStr">
        <is>
          <t>GF2020202129128</t>
        </is>
      </c>
      <c r="H4230" s="1" t="n">
        <v>5</v>
      </c>
      <c r="I4230" s="1" t="inlineStr">
        <is>
          <t>มี</t>
        </is>
      </c>
      <c r="J4230" s="13" t="n">
        <v>29</v>
      </c>
      <c r="K4230" s="1" t="inlineStr"/>
      <c r="L4230" s="13" t="n">
        <v>29</v>
      </c>
      <c r="M4230" s="1">
        <f>IF(L4230="","ไม่พบใน SG",IF(ABS(J4230-L4230)&lt;0.005,"ตรงกัน","ไม่ตรง"))</f>
        <v/>
      </c>
      <c r="N4230" s="14">
        <f>IF(L4230="","",ROUND(L4230*'สรุป'!$C$6,-1))</f>
        <v/>
      </c>
      <c r="O4230" s="15" t="n"/>
      <c r="P4230" s="15" t="n"/>
      <c r="Q4230" s="10" t="n"/>
      <c r="R4230" s="10" t="n"/>
      <c r="S4230" s="16" t="inlineStr">
        <is>
          <t>https://mstgolf.co.th/products/gf2020202129</t>
        </is>
      </c>
      <c r="T4230" s="1">
        <f>IF(B4230="ไม้กอล์ฟ",J4230,"")</f>
        <v/>
      </c>
    </row>
    <row r="4231">
      <c r="A4231" s="1" t="n">
        <v>3</v>
      </c>
      <c r="B4231" s="1" t="inlineStr">
        <is>
          <t>เสื้อผ้า</t>
        </is>
      </c>
      <c r="C4231" s="1" t="inlineStr">
        <is>
          <t>gf2040117673</t>
        </is>
      </c>
      <c r="D4231" s="1" t="inlineStr">
        <is>
          <t>ADIDAS Essential 3-Stripes Women's Mock Shirt (Mauve)</t>
        </is>
      </c>
      <c r="E4231" s="1" t="inlineStr">
        <is>
          <t>ADIDAS</t>
        </is>
      </c>
      <c r="F4231" s="1" t="inlineStr">
        <is>
          <t>SHORT SLEEVES</t>
        </is>
      </c>
      <c r="G4231" s="1" t="inlineStr">
        <is>
          <t>GF2040117673XS</t>
        </is>
      </c>
      <c r="H4231" s="1" t="n">
        <v>7</v>
      </c>
      <c r="I4231" s="1" t="inlineStr">
        <is>
          <t>มี</t>
        </is>
      </c>
      <c r="J4231" s="13" t="n">
        <v>29</v>
      </c>
      <c r="K4231" s="1" t="inlineStr"/>
      <c r="L4231" s="13" t="n">
        <v>29</v>
      </c>
      <c r="M4231" s="1">
        <f>IF(L4231="","ไม่พบใน SG",IF(ABS(J4231-L4231)&lt;0.005,"ตรงกัน","ไม่ตรง"))</f>
        <v/>
      </c>
      <c r="N4231" s="14">
        <f>IF(L4231="","",ROUND(L4231*'สรุป'!$C$6,-1))</f>
        <v/>
      </c>
      <c r="O4231" s="15" t="n"/>
      <c r="P4231" s="15" t="n"/>
      <c r="Q4231" s="10" t="n"/>
      <c r="R4231" s="10" t="n"/>
      <c r="S4231" s="16" t="inlineStr">
        <is>
          <t>https://mstgolf.co.th/products/gf2040117673</t>
        </is>
      </c>
      <c r="T4231" s="1">
        <f>IF(B4231="ไม้กอล์ฟ",J4231,"")</f>
        <v/>
      </c>
    </row>
    <row r="4232">
      <c r="A4232" s="1" t="n">
        <v>3</v>
      </c>
      <c r="B4232" s="1" t="inlineStr">
        <is>
          <t>เสื้อผ้า</t>
        </is>
      </c>
      <c r="C4232" s="1" t="inlineStr">
        <is>
          <t>gf2040117674</t>
        </is>
      </c>
      <c r="D4232" s="1" t="inlineStr">
        <is>
          <t>ADIDAS Essential Women's Boatneck Mock Shirt (Pink)</t>
        </is>
      </c>
      <c r="E4232" s="1" t="inlineStr">
        <is>
          <t>ADIDAS</t>
        </is>
      </c>
      <c r="F4232" s="1" t="inlineStr">
        <is>
          <t>SHORT SLEEVES</t>
        </is>
      </c>
      <c r="G4232" s="1" t="inlineStr">
        <is>
          <t>GF2040117674XS</t>
        </is>
      </c>
      <c r="H4232" s="1" t="n">
        <v>7</v>
      </c>
      <c r="I4232" s="1" t="inlineStr">
        <is>
          <t>มี</t>
        </is>
      </c>
      <c r="J4232" s="13" t="n">
        <v>29</v>
      </c>
      <c r="K4232" s="1" t="inlineStr"/>
      <c r="L4232" s="13" t="n">
        <v>29</v>
      </c>
      <c r="M4232" s="1">
        <f>IF(L4232="","ไม่พบใน SG",IF(ABS(J4232-L4232)&lt;0.005,"ตรงกัน","ไม่ตรง"))</f>
        <v/>
      </c>
      <c r="N4232" s="14">
        <f>IF(L4232="","",ROUND(L4232*'สรุป'!$C$6,-1))</f>
        <v/>
      </c>
      <c r="O4232" s="15" t="n"/>
      <c r="P4232" s="15" t="n"/>
      <c r="Q4232" s="10" t="n"/>
      <c r="R4232" s="10" t="n"/>
      <c r="S4232" s="16" t="inlineStr">
        <is>
          <t>https://mstgolf.co.th/products/gf2040117674</t>
        </is>
      </c>
      <c r="T4232" s="1">
        <f>IF(B4232="ไม้กอล์ฟ",J4232,"")</f>
        <v/>
      </c>
    </row>
    <row r="4233">
      <c r="A4233" s="1" t="n">
        <v>3</v>
      </c>
      <c r="B4233" s="1" t="inlineStr">
        <is>
          <t>เสื้อผ้า</t>
        </is>
      </c>
      <c r="C4233" s="1" t="inlineStr">
        <is>
          <t>gf2040116459</t>
        </is>
      </c>
      <c r="D4233" s="1" t="inlineStr">
        <is>
          <t>ADIDAS Essentials Women's Sleeveless Polo (Lemon)</t>
        </is>
      </c>
      <c r="E4233" s="1" t="inlineStr">
        <is>
          <t>ADIDAS</t>
        </is>
      </c>
      <c r="F4233" s="1" t="inlineStr">
        <is>
          <t>SHORT SLEEVES</t>
        </is>
      </c>
      <c r="G4233" s="1" t="inlineStr">
        <is>
          <t>GF2040116459XS</t>
        </is>
      </c>
      <c r="H4233" s="1" t="n">
        <v>7</v>
      </c>
      <c r="I4233" s="1" t="inlineStr">
        <is>
          <t>มี</t>
        </is>
      </c>
      <c r="J4233" s="13" t="n">
        <v>29</v>
      </c>
      <c r="K4233" s="1" t="inlineStr"/>
      <c r="L4233" s="13" t="n">
        <v>29</v>
      </c>
      <c r="M4233" s="1">
        <f>IF(L4233="","ไม่พบใน SG",IF(ABS(J4233-L4233)&lt;0.005,"ตรงกัน","ไม่ตรง"))</f>
        <v/>
      </c>
      <c r="N4233" s="14">
        <f>IF(L4233="","",ROUND(L4233*'สรุป'!$C$6,-1))</f>
        <v/>
      </c>
      <c r="O4233" s="15" t="n"/>
      <c r="P4233" s="15" t="n"/>
      <c r="Q4233" s="10" t="n"/>
      <c r="R4233" s="10" t="n"/>
      <c r="S4233" s="16" t="inlineStr">
        <is>
          <t>https://mstgolf.co.th/products/gf2040116459</t>
        </is>
      </c>
      <c r="T4233" s="1">
        <f>IF(B4233="ไม้กอล์ฟ",J4233,"")</f>
        <v/>
      </c>
    </row>
    <row r="4234">
      <c r="A4234" s="1" t="n">
        <v>3</v>
      </c>
      <c r="B4234" s="1" t="inlineStr">
        <is>
          <t>เสื้อผ้า</t>
        </is>
      </c>
      <c r="C4234" s="1" t="inlineStr">
        <is>
          <t>gf2040118574</t>
        </is>
      </c>
      <c r="D4234" s="1" t="inlineStr">
        <is>
          <t>ADIDAS Go-To Paisly Women’s Mock Shirt (Green)</t>
        </is>
      </c>
      <c r="E4234" s="1" t="inlineStr">
        <is>
          <t>ADIDAS</t>
        </is>
      </c>
      <c r="F4234" s="1" t="inlineStr">
        <is>
          <t>SHORT SLEEVES</t>
        </is>
      </c>
      <c r="G4234" s="1" t="inlineStr">
        <is>
          <t>GF2040118574XS</t>
        </is>
      </c>
      <c r="H4234" s="1" t="n">
        <v>7</v>
      </c>
      <c r="I4234" s="1" t="inlineStr">
        <is>
          <t>มี</t>
        </is>
      </c>
      <c r="J4234" s="13" t="n">
        <v>29</v>
      </c>
      <c r="K4234" s="1" t="inlineStr"/>
      <c r="L4234" s="13" t="n">
        <v>29</v>
      </c>
      <c r="M4234" s="1">
        <f>IF(L4234="","ไม่พบใน SG",IF(ABS(J4234-L4234)&lt;0.005,"ตรงกัน","ไม่ตรง"))</f>
        <v/>
      </c>
      <c r="N4234" s="14">
        <f>IF(L4234="","",ROUND(L4234*'สรุป'!$C$6,-1))</f>
        <v/>
      </c>
      <c r="O4234" s="15" t="n"/>
      <c r="P4234" s="15" t="n"/>
      <c r="Q4234" s="10" t="n"/>
      <c r="R4234" s="10" t="n"/>
      <c r="S4234" s="16" t="inlineStr">
        <is>
          <t>https://mstgolf.co.th/products/gf2040118574</t>
        </is>
      </c>
      <c r="T4234" s="1">
        <f>IF(B4234="ไม้กอล์ฟ",J4234,"")</f>
        <v/>
      </c>
    </row>
    <row r="4235">
      <c r="A4235" s="1" t="n">
        <v>3</v>
      </c>
      <c r="B4235" s="1" t="inlineStr">
        <is>
          <t>เสื้อผ้า</t>
        </is>
      </c>
      <c r="C4235" s="1" t="inlineStr">
        <is>
          <t>gf2040114387</t>
        </is>
      </c>
      <c r="D4235" s="1" t="inlineStr">
        <is>
          <t>ADIDAS Icon Women's Polo (White)</t>
        </is>
      </c>
      <c r="E4235" s="1" t="inlineStr">
        <is>
          <t>ADIDAS</t>
        </is>
      </c>
      <c r="F4235" s="1" t="inlineStr">
        <is>
          <t>SHORT SLEEVES</t>
        </is>
      </c>
      <c r="G4235" s="1" t="inlineStr">
        <is>
          <t>GF2040114387XS</t>
        </is>
      </c>
      <c r="H4235" s="1" t="n">
        <v>5</v>
      </c>
      <c r="I4235" s="1" t="inlineStr">
        <is>
          <t>มี</t>
        </is>
      </c>
      <c r="J4235" s="13" t="n">
        <v>29</v>
      </c>
      <c r="K4235" s="1" t="inlineStr"/>
      <c r="L4235" s="13" t="n">
        <v>29</v>
      </c>
      <c r="M4235" s="1">
        <f>IF(L4235="","ไม่พบใน SG",IF(ABS(J4235-L4235)&lt;0.005,"ตรงกัน","ไม่ตรง"))</f>
        <v/>
      </c>
      <c r="N4235" s="14">
        <f>IF(L4235="","",ROUND(L4235*'สรุป'!$C$6,-1))</f>
        <v/>
      </c>
      <c r="O4235" s="15" t="n"/>
      <c r="P4235" s="15" t="n"/>
      <c r="Q4235" s="10" t="n"/>
      <c r="R4235" s="10" t="n"/>
      <c r="S4235" s="16" t="inlineStr">
        <is>
          <t>https://mstgolf.co.th/products/gf2040114387</t>
        </is>
      </c>
      <c r="T4235" s="1">
        <f>IF(B4235="ไม้กอล์ฟ",J4235,"")</f>
        <v/>
      </c>
    </row>
    <row r="4236">
      <c r="A4236" s="1" t="n">
        <v>3</v>
      </c>
      <c r="B4236" s="1" t="inlineStr">
        <is>
          <t>เสื้อผ้า</t>
        </is>
      </c>
      <c r="C4236" s="1" t="inlineStr">
        <is>
          <t>gf2040116581</t>
        </is>
      </c>
      <c r="D4236" s="1" t="inlineStr">
        <is>
          <t>ADIDAS MWN V WMN SHIRT</t>
        </is>
      </c>
      <c r="E4236" s="1" t="inlineStr">
        <is>
          <t>ADIDAS</t>
        </is>
      </c>
      <c r="F4236" s="1" t="inlineStr">
        <is>
          <t>SHORT SLEEVES</t>
        </is>
      </c>
      <c r="G4236" s="1" t="inlineStr">
        <is>
          <t>GF20401165812XS</t>
        </is>
      </c>
      <c r="H4236" s="1" t="n">
        <v>7</v>
      </c>
      <c r="I4236" s="1" t="inlineStr">
        <is>
          <t>มี</t>
        </is>
      </c>
      <c r="J4236" s="13" t="n">
        <v>29</v>
      </c>
      <c r="K4236" s="1" t="inlineStr"/>
      <c r="L4236" s="13" t="n">
        <v>29</v>
      </c>
      <c r="M4236" s="1">
        <f>IF(L4236="","ไม่พบใน SG",IF(ABS(J4236-L4236)&lt;0.005,"ตรงกัน","ไม่ตรง"))</f>
        <v/>
      </c>
      <c r="N4236" s="14">
        <f>IF(L4236="","",ROUND(L4236*'สรุป'!$C$6,-1))</f>
        <v/>
      </c>
      <c r="O4236" s="15" t="n"/>
      <c r="P4236" s="15" t="n"/>
      <c r="Q4236" s="10" t="n"/>
      <c r="R4236" s="10" t="n"/>
      <c r="S4236" s="16" t="inlineStr">
        <is>
          <t>https://mstgolf.co.th/products/gf2040116581</t>
        </is>
      </c>
      <c r="T4236" s="1">
        <f>IF(B4236="ไม้กอล์ฟ",J4236,"")</f>
        <v/>
      </c>
    </row>
    <row r="4237">
      <c r="A4237" s="1" t="n">
        <v>3</v>
      </c>
      <c r="B4237" s="1" t="inlineStr">
        <is>
          <t>เสื้อผ้า</t>
        </is>
      </c>
      <c r="C4237" s="1" t="inlineStr">
        <is>
          <t>gf2070400117</t>
        </is>
      </c>
      <c r="D4237" s="1" t="inlineStr">
        <is>
          <t>ADIDAS Men's Baselayer (Black)</t>
        </is>
      </c>
      <c r="E4237" s="1" t="inlineStr">
        <is>
          <t>ADIDAS</t>
        </is>
      </c>
      <c r="F4237" s="1" t="inlineStr">
        <is>
          <t>SHIRT</t>
        </is>
      </c>
      <c r="G4237" s="1" t="inlineStr">
        <is>
          <t>GF2070400117XS</t>
        </is>
      </c>
      <c r="H4237" s="1" t="n">
        <v>7</v>
      </c>
      <c r="I4237" s="1" t="inlineStr">
        <is>
          <t>มี</t>
        </is>
      </c>
      <c r="J4237" s="13" t="n">
        <v>29</v>
      </c>
      <c r="K4237" s="1" t="inlineStr"/>
      <c r="L4237" s="13" t="n">
        <v>29</v>
      </c>
      <c r="M4237" s="1">
        <f>IF(L4237="","ไม่พบใน SG",IF(ABS(J4237-L4237)&lt;0.005,"ตรงกัน","ไม่ตรง"))</f>
        <v/>
      </c>
      <c r="N4237" s="14">
        <f>IF(L4237="","",ROUND(L4237*'สรุป'!$C$6,-1))</f>
        <v/>
      </c>
      <c r="O4237" s="15" t="n"/>
      <c r="P4237" s="15" t="n"/>
      <c r="Q4237" s="10" t="n"/>
      <c r="R4237" s="10" t="n"/>
      <c r="S4237" s="16" t="inlineStr">
        <is>
          <t>https://mstgolf.co.th/products/gf2070400117</t>
        </is>
      </c>
      <c r="T4237" s="1">
        <f>IF(B4237="ไม้กอล์ฟ",J4237,"")</f>
        <v/>
      </c>
    </row>
    <row r="4238">
      <c r="A4238" s="1" t="n">
        <v>3</v>
      </c>
      <c r="B4238" s="1" t="inlineStr">
        <is>
          <t>เสื้อผ้า</t>
        </is>
      </c>
      <c r="C4238" s="1" t="inlineStr">
        <is>
          <t>gf2070400118</t>
        </is>
      </c>
      <c r="D4238" s="1" t="inlineStr">
        <is>
          <t>ADIDAS Men's Baselayer (White)</t>
        </is>
      </c>
      <c r="E4238" s="1" t="inlineStr">
        <is>
          <t>ADIDAS</t>
        </is>
      </c>
      <c r="F4238" s="1" t="inlineStr">
        <is>
          <t>SHIRT</t>
        </is>
      </c>
      <c r="G4238" s="1" t="inlineStr">
        <is>
          <t>GF2070400118XS</t>
        </is>
      </c>
      <c r="H4238" s="1" t="n">
        <v>7</v>
      </c>
      <c r="I4238" s="1" t="inlineStr">
        <is>
          <t>มี</t>
        </is>
      </c>
      <c r="J4238" s="13" t="n">
        <v>29</v>
      </c>
      <c r="K4238" s="1" t="inlineStr"/>
      <c r="L4238" s="13" t="n">
        <v>29</v>
      </c>
      <c r="M4238" s="1">
        <f>IF(L4238="","ไม่พบใน SG",IF(ABS(J4238-L4238)&lt;0.005,"ตรงกัน","ไม่ตรง"))</f>
        <v/>
      </c>
      <c r="N4238" s="14">
        <f>IF(L4238="","",ROUND(L4238*'สรุป'!$C$6,-1))</f>
        <v/>
      </c>
      <c r="O4238" s="15" t="n"/>
      <c r="P4238" s="15" t="n"/>
      <c r="Q4238" s="10" t="n"/>
      <c r="R4238" s="10" t="n"/>
      <c r="S4238" s="16" t="inlineStr">
        <is>
          <t>https://mstgolf.co.th/products/gf2070400118</t>
        </is>
      </c>
      <c r="T4238" s="1">
        <f>IF(B4238="ไม้กอล์ฟ",J4238,"")</f>
        <v/>
      </c>
    </row>
    <row r="4239">
      <c r="A4239" s="1" t="n">
        <v>3</v>
      </c>
      <c r="B4239" s="1" t="inlineStr">
        <is>
          <t>หมวก</t>
        </is>
      </c>
      <c r="C4239" s="1" t="inlineStr">
        <is>
          <t>gf2000106594</t>
        </is>
      </c>
      <c r="D4239" s="1" t="inlineStr">
        <is>
          <t>ADIDAS Originals Golf 5-Panel Patch Men's Cap (Black)</t>
        </is>
      </c>
      <c r="E4239" s="1" t="inlineStr">
        <is>
          <t>ADIDAS</t>
        </is>
      </c>
      <c r="F4239" s="1" t="inlineStr">
        <is>
          <t>CAP</t>
        </is>
      </c>
      <c r="G4239" s="1" t="inlineStr">
        <is>
          <t>GF2000106594FS</t>
        </is>
      </c>
      <c r="H4239" s="1" t="n">
        <v>1</v>
      </c>
      <c r="I4239" s="1" t="inlineStr">
        <is>
          <t>มี</t>
        </is>
      </c>
      <c r="J4239" s="13" t="n">
        <v>29</v>
      </c>
      <c r="K4239" s="1" t="inlineStr"/>
      <c r="L4239" s="13" t="n">
        <v>22</v>
      </c>
      <c r="M4239" s="1">
        <f>IF(L4239="","ไม่พบใน SG",IF(ABS(J4239-L4239)&lt;0.005,"ตรงกัน","ไม่ตรง"))</f>
        <v/>
      </c>
      <c r="N4239" s="14">
        <f>IF(L4239="","",ROUND(L4239*'สรุป'!$C$6,-1))</f>
        <v/>
      </c>
      <c r="O4239" s="15" t="n"/>
      <c r="P4239" s="15" t="n"/>
      <c r="Q4239" s="10" t="n"/>
      <c r="R4239" s="10" t="n"/>
      <c r="S4239" s="16" t="inlineStr">
        <is>
          <t>https://mstgolf.co.th/products/gf2000106594</t>
        </is>
      </c>
      <c r="T4239" s="1">
        <f>IF(B4239="ไม้กอล์ฟ",J4239,"")</f>
        <v/>
      </c>
    </row>
    <row r="4240">
      <c r="A4240" s="1" t="n">
        <v>3</v>
      </c>
      <c r="B4240" s="1" t="inlineStr">
        <is>
          <t>หมวก</t>
        </is>
      </c>
      <c r="C4240" s="1" t="inlineStr">
        <is>
          <t>gf2000300348</t>
        </is>
      </c>
      <c r="D4240" s="1" t="inlineStr">
        <is>
          <t>ADIDAS Rain.RDY Men's Bucket Hat (Black)</t>
        </is>
      </c>
      <c r="E4240" s="1" t="inlineStr">
        <is>
          <t>ADIDAS</t>
        </is>
      </c>
      <c r="F4240" s="1" t="inlineStr">
        <is>
          <t>HAT</t>
        </is>
      </c>
      <c r="G4240" s="1" t="inlineStr">
        <is>
          <t>GF2000300348FS</t>
        </is>
      </c>
      <c r="H4240" s="1" t="n">
        <v>3</v>
      </c>
      <c r="I4240" s="1" t="inlineStr">
        <is>
          <t>มี</t>
        </is>
      </c>
      <c r="J4240" s="13" t="n">
        <v>29</v>
      </c>
      <c r="K4240" s="1" t="inlineStr"/>
      <c r="L4240" s="13" t="n">
        <v>29</v>
      </c>
      <c r="M4240" s="1">
        <f>IF(L4240="","ไม่พบใน SG",IF(ABS(J4240-L4240)&lt;0.005,"ตรงกัน","ไม่ตรง"))</f>
        <v/>
      </c>
      <c r="N4240" s="14">
        <f>IF(L4240="","",ROUND(L4240*'สรุป'!$C$6,-1))</f>
        <v/>
      </c>
      <c r="O4240" s="15" t="n"/>
      <c r="P4240" s="15" t="n"/>
      <c r="Q4240" s="10" t="n"/>
      <c r="R4240" s="10" t="n"/>
      <c r="S4240" s="16" t="inlineStr">
        <is>
          <t>https://mstgolf.co.th/products/gf2000300348</t>
        </is>
      </c>
      <c r="T4240" s="1">
        <f>IF(B4240="ไม้กอล์ฟ",J4240,"")</f>
        <v/>
      </c>
    </row>
    <row r="4241">
      <c r="A4241" s="1" t="n">
        <v>3</v>
      </c>
      <c r="B4241" s="1" t="inlineStr">
        <is>
          <t>เสื้อผ้า</t>
        </is>
      </c>
      <c r="C4241" s="1" t="inlineStr">
        <is>
          <t>gf2040116434</t>
        </is>
      </c>
      <c r="D4241" s="1" t="inlineStr">
        <is>
          <t>ADIDAS Sport Texture Men's Polo (Grey)</t>
        </is>
      </c>
      <c r="E4241" s="1" t="inlineStr">
        <is>
          <t>ADIDAS</t>
        </is>
      </c>
      <c r="F4241" s="1" t="inlineStr">
        <is>
          <t>SHORT SLEEVES</t>
        </is>
      </c>
      <c r="G4241" s="1" t="inlineStr">
        <is>
          <t>GF2040116434XS</t>
        </is>
      </c>
      <c r="H4241" s="1" t="n">
        <v>8</v>
      </c>
      <c r="I4241" s="1" t="inlineStr">
        <is>
          <t>มี</t>
        </is>
      </c>
      <c r="J4241" s="13" t="n">
        <v>29</v>
      </c>
      <c r="K4241" s="1" t="inlineStr"/>
      <c r="L4241" s="13" t="n">
        <v>29</v>
      </c>
      <c r="M4241" s="1">
        <f>IF(L4241="","ไม่พบใน SG",IF(ABS(J4241-L4241)&lt;0.005,"ตรงกัน","ไม่ตรง"))</f>
        <v/>
      </c>
      <c r="N4241" s="14">
        <f>IF(L4241="","",ROUND(L4241*'สรุป'!$C$6,-1))</f>
        <v/>
      </c>
      <c r="O4241" s="15" t="n"/>
      <c r="P4241" s="15" t="n"/>
      <c r="Q4241" s="10" t="n"/>
      <c r="R4241" s="10" t="n"/>
      <c r="S4241" s="16" t="inlineStr">
        <is>
          <t>https://mstgolf.co.th/products/gf2040116434</t>
        </is>
      </c>
      <c r="T4241" s="1">
        <f>IF(B4241="ไม้กอล์ฟ",J4241,"")</f>
        <v/>
      </c>
    </row>
    <row r="4242">
      <c r="A4242" s="1" t="n">
        <v>3</v>
      </c>
      <c r="B4242" s="1" t="inlineStr">
        <is>
          <t>เสื้อผ้า</t>
        </is>
      </c>
      <c r="C4242" s="1" t="inlineStr">
        <is>
          <t>gf2040117639</t>
        </is>
      </c>
      <c r="D4242" s="1" t="inlineStr">
        <is>
          <t>ADIDAS Ultimate365 Pique Women's Sleeveless Polo (Orange)</t>
        </is>
      </c>
      <c r="E4242" s="1" t="inlineStr">
        <is>
          <t>ADIDAS</t>
        </is>
      </c>
      <c r="F4242" s="1" t="inlineStr">
        <is>
          <t>SHORT SLEEVES</t>
        </is>
      </c>
      <c r="G4242" s="1" t="inlineStr">
        <is>
          <t>GF2040117639XS</t>
        </is>
      </c>
      <c r="H4242" s="1" t="n">
        <v>6</v>
      </c>
      <c r="I4242" s="1" t="inlineStr">
        <is>
          <t>มี</t>
        </is>
      </c>
      <c r="J4242" s="13" t="n">
        <v>29</v>
      </c>
      <c r="K4242" s="1" t="inlineStr"/>
      <c r="L4242" s="13" t="n">
        <v>29</v>
      </c>
      <c r="M4242" s="1">
        <f>IF(L4242="","ไม่พบใน SG",IF(ABS(J4242-L4242)&lt;0.005,"ตรงกัน","ไม่ตรง"))</f>
        <v/>
      </c>
      <c r="N4242" s="14">
        <f>IF(L4242="","",ROUND(L4242*'สรุป'!$C$6,-1))</f>
        <v/>
      </c>
      <c r="O4242" s="15" t="n"/>
      <c r="P4242" s="15" t="n"/>
      <c r="Q4242" s="10" t="n"/>
      <c r="R4242" s="10" t="n"/>
      <c r="S4242" s="16" t="inlineStr">
        <is>
          <t>https://mstgolf.co.th/products/gf2040117639</t>
        </is>
      </c>
      <c r="T4242" s="1">
        <f>IF(B4242="ไม้กอล์ฟ",J4242,"")</f>
        <v/>
      </c>
    </row>
    <row r="4243">
      <c r="A4243" s="1" t="n">
        <v>3</v>
      </c>
      <c r="B4243" s="1" t="inlineStr">
        <is>
          <t>เสื้อผ้า</t>
        </is>
      </c>
      <c r="C4243" s="1" t="inlineStr">
        <is>
          <t>gf2040118569</t>
        </is>
      </c>
      <c r="D4243" s="1" t="inlineStr">
        <is>
          <t>ADIDAS Ultimate365 TWISTKNIT Women's Polo (Black)</t>
        </is>
      </c>
      <c r="E4243" s="1" t="inlineStr">
        <is>
          <t>ADIDAS</t>
        </is>
      </c>
      <c r="F4243" s="1" t="inlineStr">
        <is>
          <t>SHORT SLEEVES</t>
        </is>
      </c>
      <c r="G4243" s="1" t="inlineStr">
        <is>
          <t>GF2040118569XS</t>
        </is>
      </c>
      <c r="H4243" s="1" t="n">
        <v>6</v>
      </c>
      <c r="I4243" s="1" t="inlineStr">
        <is>
          <t>มี</t>
        </is>
      </c>
      <c r="J4243" s="13" t="n">
        <v>29</v>
      </c>
      <c r="K4243" s="1" t="inlineStr"/>
      <c r="L4243" s="13" t="n">
        <v>29</v>
      </c>
      <c r="M4243" s="1">
        <f>IF(L4243="","ไม่พบใน SG",IF(ABS(J4243-L4243)&lt;0.005,"ตรงกัน","ไม่ตรง"))</f>
        <v/>
      </c>
      <c r="N4243" s="14">
        <f>IF(L4243="","",ROUND(L4243*'สรุป'!$C$6,-1))</f>
        <v/>
      </c>
      <c r="O4243" s="15" t="n"/>
      <c r="P4243" s="15" t="n"/>
      <c r="Q4243" s="10" t="n"/>
      <c r="R4243" s="10" t="n"/>
      <c r="S4243" s="16" t="inlineStr">
        <is>
          <t>https://mstgolf.co.th/products/gf2040118569</t>
        </is>
      </c>
      <c r="T4243" s="1">
        <f>IF(B4243="ไม้กอล์ฟ",J4243,"")</f>
        <v/>
      </c>
    </row>
    <row r="4244">
      <c r="A4244" s="1" t="n">
        <v>3</v>
      </c>
      <c r="B4244" s="1" t="inlineStr">
        <is>
          <t>หมวก</t>
        </is>
      </c>
      <c r="C4244" s="1" t="inlineStr">
        <is>
          <t>gf2000106595</t>
        </is>
      </c>
      <c r="D4244" s="1" t="inlineStr">
        <is>
          <t>ADIDAS Women's Ribbon Cap (Blue)</t>
        </is>
      </c>
      <c r="E4244" s="1" t="inlineStr">
        <is>
          <t>ADIDAS</t>
        </is>
      </c>
      <c r="F4244" s="1" t="inlineStr">
        <is>
          <t>CAP</t>
        </is>
      </c>
      <c r="G4244" s="1" t="inlineStr">
        <is>
          <t>GF2000106595FS</t>
        </is>
      </c>
      <c r="H4244" s="1" t="n">
        <v>1</v>
      </c>
      <c r="I4244" s="1" t="inlineStr">
        <is>
          <t>มี</t>
        </is>
      </c>
      <c r="J4244" s="13" t="n">
        <v>29</v>
      </c>
      <c r="K4244" s="1" t="inlineStr"/>
      <c r="L4244" s="13" t="n">
        <v>22</v>
      </c>
      <c r="M4244" s="1">
        <f>IF(L4244="","ไม่พบใน SG",IF(ABS(J4244-L4244)&lt;0.005,"ตรงกัน","ไม่ตรง"))</f>
        <v/>
      </c>
      <c r="N4244" s="14">
        <f>IF(L4244="","",ROUND(L4244*'สรุป'!$C$6,-1))</f>
        <v/>
      </c>
      <c r="O4244" s="15" t="n"/>
      <c r="P4244" s="15" t="n"/>
      <c r="Q4244" s="10" t="n"/>
      <c r="R4244" s="10" t="n"/>
      <c r="S4244" s="16" t="inlineStr">
        <is>
          <t>https://mstgolf.co.th/products/gf2000106595</t>
        </is>
      </c>
      <c r="T4244" s="1">
        <f>IF(B4244="ไม้กอล์ฟ",J4244,"")</f>
        <v/>
      </c>
    </row>
    <row r="4245">
      <c r="A4245" s="1" t="n">
        <v>3</v>
      </c>
      <c r="B4245" s="1" t="inlineStr">
        <is>
          <t>หมวก</t>
        </is>
      </c>
      <c r="C4245" s="1" t="inlineStr">
        <is>
          <t>gf2000106596</t>
        </is>
      </c>
      <c r="D4245" s="1" t="inlineStr">
        <is>
          <t>ADIDAS Women's Ribbon Cap (Brown)</t>
        </is>
      </c>
      <c r="E4245" s="1" t="inlineStr">
        <is>
          <t>ADIDAS</t>
        </is>
      </c>
      <c r="F4245" s="1" t="inlineStr">
        <is>
          <t>CAP</t>
        </is>
      </c>
      <c r="G4245" s="1" t="inlineStr">
        <is>
          <t>GF2000106596FS</t>
        </is>
      </c>
      <c r="H4245" s="1" t="n">
        <v>1</v>
      </c>
      <c r="I4245" s="1" t="inlineStr">
        <is>
          <t>มี</t>
        </is>
      </c>
      <c r="J4245" s="13" t="n">
        <v>29</v>
      </c>
      <c r="K4245" s="1" t="inlineStr"/>
      <c r="L4245" s="13" t="n">
        <v>22</v>
      </c>
      <c r="M4245" s="1">
        <f>IF(L4245="","ไม่พบใน SG",IF(ABS(J4245-L4245)&lt;0.005,"ตรงกัน","ไม่ตรง"))</f>
        <v/>
      </c>
      <c r="N4245" s="14">
        <f>IF(L4245="","",ROUND(L4245*'สรุป'!$C$6,-1))</f>
        <v/>
      </c>
      <c r="O4245" s="15" t="n"/>
      <c r="P4245" s="15" t="n"/>
      <c r="Q4245" s="10" t="n"/>
      <c r="R4245" s="10" t="n"/>
      <c r="S4245" s="16" t="inlineStr">
        <is>
          <t>https://mstgolf.co.th/products/gf2000106596</t>
        </is>
      </c>
      <c r="T4245" s="1">
        <f>IF(B4245="ไม้กอล์ฟ",J4245,"")</f>
        <v/>
      </c>
    </row>
    <row r="4246">
      <c r="A4246" s="1" t="n">
        <v>3</v>
      </c>
      <c r="B4246" s="1" t="inlineStr">
        <is>
          <t>หมวก</t>
        </is>
      </c>
      <c r="C4246" s="1" t="inlineStr">
        <is>
          <t>gf2000106593</t>
        </is>
      </c>
      <c r="D4246" s="1" t="inlineStr">
        <is>
          <t>ADIDAS Women's Ribbon Cap (White)</t>
        </is>
      </c>
      <c r="E4246" s="1" t="inlineStr">
        <is>
          <t>ADIDAS</t>
        </is>
      </c>
      <c r="F4246" s="1" t="inlineStr">
        <is>
          <t>CAP</t>
        </is>
      </c>
      <c r="G4246" s="1" t="inlineStr">
        <is>
          <t>GF2000106593FS</t>
        </is>
      </c>
      <c r="H4246" s="1" t="n">
        <v>1</v>
      </c>
      <c r="I4246" s="1" t="inlineStr">
        <is>
          <t>มี</t>
        </is>
      </c>
      <c r="J4246" s="13" t="n">
        <v>29</v>
      </c>
      <c r="K4246" s="1" t="inlineStr"/>
      <c r="L4246" s="13" t="n">
        <v>22</v>
      </c>
      <c r="M4246" s="1">
        <f>IF(L4246="","ไม่พบใน SG",IF(ABS(J4246-L4246)&lt;0.005,"ตรงกัน","ไม่ตรง"))</f>
        <v/>
      </c>
      <c r="N4246" s="14">
        <f>IF(L4246="","",ROUND(L4246*'สรุป'!$C$6,-1))</f>
        <v/>
      </c>
      <c r="O4246" s="15" t="n"/>
      <c r="P4246" s="15" t="n"/>
      <c r="Q4246" s="10" t="n"/>
      <c r="R4246" s="10" t="n"/>
      <c r="S4246" s="16" t="inlineStr">
        <is>
          <t>https://mstgolf.co.th/products/gf2000106593</t>
        </is>
      </c>
      <c r="T4246" s="1">
        <f>IF(B4246="ไม้กอล์ฟ",J4246,"")</f>
        <v/>
      </c>
    </row>
    <row r="4247">
      <c r="A4247" s="1" t="n">
        <v>3</v>
      </c>
      <c r="B4247" s="1" t="inlineStr">
        <is>
          <t>หมวก</t>
        </is>
      </c>
      <c r="C4247" s="1" t="inlineStr">
        <is>
          <t>gf2000201101</t>
        </is>
      </c>
      <c r="D4247" s="1" t="inlineStr">
        <is>
          <t>ADIDAS Women's Ribbon Visor (Black)</t>
        </is>
      </c>
      <c r="E4247" s="1" t="inlineStr">
        <is>
          <t>ADIDAS</t>
        </is>
      </c>
      <c r="F4247" s="1" t="inlineStr">
        <is>
          <t>VISOR</t>
        </is>
      </c>
      <c r="G4247" s="1" t="inlineStr">
        <is>
          <t>GF2000201101FS</t>
        </is>
      </c>
      <c r="H4247" s="1" t="n">
        <v>1</v>
      </c>
      <c r="I4247" s="1" t="inlineStr">
        <is>
          <t>มี</t>
        </is>
      </c>
      <c r="J4247" s="13" t="n">
        <v>29</v>
      </c>
      <c r="K4247" s="1" t="inlineStr"/>
      <c r="L4247" s="13" t="n">
        <v>22</v>
      </c>
      <c r="M4247" s="1">
        <f>IF(L4247="","ไม่พบใน SG",IF(ABS(J4247-L4247)&lt;0.005,"ตรงกัน","ไม่ตรง"))</f>
        <v/>
      </c>
      <c r="N4247" s="14">
        <f>IF(L4247="","",ROUND(L4247*'สรุป'!$C$6,-1))</f>
        <v/>
      </c>
      <c r="O4247" s="15" t="n"/>
      <c r="P4247" s="15" t="n"/>
      <c r="Q4247" s="10" t="n"/>
      <c r="R4247" s="10" t="n"/>
      <c r="S4247" s="16" t="inlineStr">
        <is>
          <t>https://mstgolf.co.th/products/gf2000201101</t>
        </is>
      </c>
      <c r="T4247" s="1">
        <f>IF(B4247="ไม้กอล์ฟ",J4247,"")</f>
        <v/>
      </c>
    </row>
    <row r="4248">
      <c r="A4248" s="1" t="n">
        <v>3</v>
      </c>
      <c r="B4248" s="1" t="inlineStr">
        <is>
          <t>หมวก</t>
        </is>
      </c>
      <c r="C4248" s="1" t="inlineStr">
        <is>
          <t>gf2000201102</t>
        </is>
      </c>
      <c r="D4248" s="1" t="inlineStr">
        <is>
          <t>ADIDAS Women's Ribbon Visor (Blue)</t>
        </is>
      </c>
      <c r="E4248" s="1" t="inlineStr">
        <is>
          <t>ADIDAS</t>
        </is>
      </c>
      <c r="F4248" s="1" t="inlineStr">
        <is>
          <t>VISOR</t>
        </is>
      </c>
      <c r="G4248" s="1" t="inlineStr">
        <is>
          <t>GF2000201102FS</t>
        </is>
      </c>
      <c r="H4248" s="1" t="n">
        <v>1</v>
      </c>
      <c r="I4248" s="1" t="inlineStr">
        <is>
          <t>มี</t>
        </is>
      </c>
      <c r="J4248" s="13" t="n">
        <v>29</v>
      </c>
      <c r="K4248" s="1" t="inlineStr"/>
      <c r="L4248" s="13" t="n">
        <v>22</v>
      </c>
      <c r="M4248" s="1">
        <f>IF(L4248="","ไม่พบใน SG",IF(ABS(J4248-L4248)&lt;0.005,"ตรงกัน","ไม่ตรง"))</f>
        <v/>
      </c>
      <c r="N4248" s="14">
        <f>IF(L4248="","",ROUND(L4248*'สรุป'!$C$6,-1))</f>
        <v/>
      </c>
      <c r="O4248" s="15" t="n"/>
      <c r="P4248" s="15" t="n"/>
      <c r="Q4248" s="10" t="n"/>
      <c r="R4248" s="10" t="n"/>
      <c r="S4248" s="16" t="inlineStr">
        <is>
          <t>https://mstgolf.co.th/products/gf2000201102</t>
        </is>
      </c>
      <c r="T4248" s="1">
        <f>IF(B4248="ไม้กอล์ฟ",J4248,"")</f>
        <v/>
      </c>
    </row>
    <row r="4249">
      <c r="A4249" s="1" t="n">
        <v>3</v>
      </c>
      <c r="B4249" s="1" t="inlineStr">
        <is>
          <t>หมวก</t>
        </is>
      </c>
      <c r="C4249" s="1" t="inlineStr">
        <is>
          <t>gf2000201103</t>
        </is>
      </c>
      <c r="D4249" s="1" t="inlineStr">
        <is>
          <t>ADIDAS Women's Ribbon Visor (Brown)</t>
        </is>
      </c>
      <c r="E4249" s="1" t="inlineStr">
        <is>
          <t>ADIDAS</t>
        </is>
      </c>
      <c r="F4249" s="1" t="inlineStr">
        <is>
          <t>VISOR</t>
        </is>
      </c>
      <c r="G4249" s="1" t="inlineStr">
        <is>
          <t>GF2000201103FS</t>
        </is>
      </c>
      <c r="H4249" s="1" t="n">
        <v>1</v>
      </c>
      <c r="I4249" s="1" t="inlineStr">
        <is>
          <t>มี</t>
        </is>
      </c>
      <c r="J4249" s="13" t="n">
        <v>29</v>
      </c>
      <c r="K4249" s="1" t="inlineStr"/>
      <c r="L4249" s="13" t="n">
        <v>22</v>
      </c>
      <c r="M4249" s="1">
        <f>IF(L4249="","ไม่พบใน SG",IF(ABS(J4249-L4249)&lt;0.005,"ตรงกัน","ไม่ตรง"))</f>
        <v/>
      </c>
      <c r="N4249" s="14">
        <f>IF(L4249="","",ROUND(L4249*'สรุป'!$C$6,-1))</f>
        <v/>
      </c>
      <c r="O4249" s="15" t="n"/>
      <c r="P4249" s="15" t="n"/>
      <c r="Q4249" s="10" t="n"/>
      <c r="R4249" s="10" t="n"/>
      <c r="S4249" s="16" t="inlineStr">
        <is>
          <t>https://mstgolf.co.th/products/gf2000201103</t>
        </is>
      </c>
      <c r="T4249" s="1">
        <f>IF(B4249="ไม้กอล์ฟ",J4249,"")</f>
        <v/>
      </c>
    </row>
    <row r="4250">
      <c r="A4250" s="1" t="n">
        <v>3</v>
      </c>
      <c r="B4250" s="1" t="inlineStr">
        <is>
          <t>หมวก</t>
        </is>
      </c>
      <c r="C4250" s="1" t="inlineStr">
        <is>
          <t>gf2000201100</t>
        </is>
      </c>
      <c r="D4250" s="1" t="inlineStr">
        <is>
          <t>ADIDAS Women's Ribbon Visor (White)</t>
        </is>
      </c>
      <c r="E4250" s="1" t="inlineStr">
        <is>
          <t>ADIDAS</t>
        </is>
      </c>
      <c r="F4250" s="1" t="inlineStr">
        <is>
          <t>VISOR</t>
        </is>
      </c>
      <c r="G4250" s="1" t="inlineStr">
        <is>
          <t>GF2000201100FS</t>
        </is>
      </c>
      <c r="H4250" s="1" t="n">
        <v>1</v>
      </c>
      <c r="I4250" s="1" t="inlineStr">
        <is>
          <t>มี</t>
        </is>
      </c>
      <c r="J4250" s="13" t="n">
        <v>29</v>
      </c>
      <c r="K4250" s="1" t="inlineStr"/>
      <c r="L4250" s="13" t="n">
        <v>22</v>
      </c>
      <c r="M4250" s="1">
        <f>IF(L4250="","ไม่พบใน SG",IF(ABS(J4250-L4250)&lt;0.005,"ตรงกัน","ไม่ตรง"))</f>
        <v/>
      </c>
      <c r="N4250" s="14">
        <f>IF(L4250="","",ROUND(L4250*'สรุป'!$C$6,-1))</f>
        <v/>
      </c>
      <c r="O4250" s="15" t="n"/>
      <c r="P4250" s="15" t="n"/>
      <c r="Q4250" s="10" t="n"/>
      <c r="R4250" s="10" t="n"/>
      <c r="S4250" s="16" t="inlineStr">
        <is>
          <t>https://mstgolf.co.th/products/gf2000201100</t>
        </is>
      </c>
      <c r="T4250" s="1">
        <f>IF(B4250="ไม้กอล์ฟ",J4250,"")</f>
        <v/>
      </c>
    </row>
    <row r="4251">
      <c r="A4251" s="1" t="n">
        <v>3</v>
      </c>
      <c r="B4251" s="1" t="inlineStr">
        <is>
          <t>อุปกรณ์เสริม</t>
        </is>
      </c>
      <c r="C4251" s="1" t="inlineStr">
        <is>
          <t>gf3500400271</t>
        </is>
      </c>
      <c r="D4251" s="1" t="inlineStr">
        <is>
          <t>BLUE TEES GOLF Divot Repair Tool (Black)</t>
        </is>
      </c>
      <c r="E4251" s="1" t="inlineStr">
        <is>
          <t>BLUE TEES GOLF</t>
        </is>
      </c>
      <c r="F4251" s="1" t="inlineStr">
        <is>
          <t>MARKERS &amp; DIVOTS</t>
        </is>
      </c>
      <c r="G4251" s="1" t="inlineStr">
        <is>
          <t>GF3500400271</t>
        </is>
      </c>
      <c r="H4251" s="1" t="n">
        <v>1</v>
      </c>
      <c r="I4251" s="1" t="inlineStr">
        <is>
          <t>มี</t>
        </is>
      </c>
      <c r="J4251" s="13" t="n">
        <v>29</v>
      </c>
      <c r="K4251" s="1" t="inlineStr"/>
      <c r="L4251" s="13" t="n">
        <v>29</v>
      </c>
      <c r="M4251" s="1">
        <f>IF(L4251="","ไม่พบใน SG",IF(ABS(J4251-L4251)&lt;0.005,"ตรงกัน","ไม่ตรง"))</f>
        <v/>
      </c>
      <c r="N4251" s="14">
        <f>IF(L4251="","",ROUND(L4251*'สรุป'!$C$6,-1))</f>
        <v/>
      </c>
      <c r="O4251" s="15" t="n"/>
      <c r="P4251" s="15" t="n"/>
      <c r="Q4251" s="10" t="n"/>
      <c r="R4251" s="10" t="n"/>
      <c r="S4251" s="16" t="inlineStr">
        <is>
          <t>https://mstgolf.co.th/products/gf3500400271</t>
        </is>
      </c>
      <c r="T4251" s="1">
        <f>IF(B4251="ไม้กอล์ฟ",J4251,"")</f>
        <v/>
      </c>
    </row>
    <row r="4252">
      <c r="A4252" s="1" t="n">
        <v>3</v>
      </c>
      <c r="B4252" s="1" t="inlineStr">
        <is>
          <t>หมวก</t>
        </is>
      </c>
      <c r="C4252" s="1" t="inlineStr">
        <is>
          <t>gf2000105680</t>
        </is>
      </c>
      <c r="D4252" s="1" t="inlineStr">
        <is>
          <t>CALVIN KLEIN Cotton Twill Men's Cap (Black)</t>
        </is>
      </c>
      <c r="E4252" s="1" t="inlineStr">
        <is>
          <t>CALVIN KLEIN</t>
        </is>
      </c>
      <c r="F4252" s="1" t="inlineStr">
        <is>
          <t>CAP</t>
        </is>
      </c>
      <c r="G4252" s="1" t="inlineStr">
        <is>
          <t>GF2000105680FS</t>
        </is>
      </c>
      <c r="H4252" s="1" t="n">
        <v>1</v>
      </c>
      <c r="I4252" s="1" t="inlineStr">
        <is>
          <t>มี</t>
        </is>
      </c>
      <c r="J4252" s="13" t="n">
        <v>29</v>
      </c>
      <c r="K4252" s="1" t="inlineStr"/>
      <c r="L4252" s="13" t="n">
        <v>15</v>
      </c>
      <c r="M4252" s="1">
        <f>IF(L4252="","ไม่พบใน SG",IF(ABS(J4252-L4252)&lt;0.005,"ตรงกัน","ไม่ตรง"))</f>
        <v/>
      </c>
      <c r="N4252" s="14">
        <f>IF(L4252="","",ROUND(L4252*'สรุป'!$C$6,-1))</f>
        <v/>
      </c>
      <c r="O4252" s="15" t="n"/>
      <c r="P4252" s="15" t="n"/>
      <c r="Q4252" s="10" t="n"/>
      <c r="R4252" s="10" t="n"/>
      <c r="S4252" s="16" t="inlineStr">
        <is>
          <t>https://mstgolf.co.th/products/gf2000105680</t>
        </is>
      </c>
      <c r="T4252" s="1">
        <f>IF(B4252="ไม้กอล์ฟ",J4252,"")</f>
        <v/>
      </c>
    </row>
    <row r="4253">
      <c r="A4253" s="1" t="n">
        <v>3</v>
      </c>
      <c r="B4253" s="1" t="inlineStr">
        <is>
          <t>หมวก</t>
        </is>
      </c>
      <c r="C4253" s="1" t="inlineStr">
        <is>
          <t>gf2000105681</t>
        </is>
      </c>
      <c r="D4253" s="1" t="inlineStr">
        <is>
          <t>CALVIN KLEIN Cotton Twill Men's Cap (Khaki)</t>
        </is>
      </c>
      <c r="E4253" s="1" t="inlineStr">
        <is>
          <t>CALVIN KLEIN</t>
        </is>
      </c>
      <c r="F4253" s="1" t="inlineStr">
        <is>
          <t>CAP</t>
        </is>
      </c>
      <c r="G4253" s="1" t="inlineStr">
        <is>
          <t>GF2000105681FS</t>
        </is>
      </c>
      <c r="H4253" s="1" t="n">
        <v>1</v>
      </c>
      <c r="I4253" s="1" t="inlineStr">
        <is>
          <t>มี</t>
        </is>
      </c>
      <c r="J4253" s="13" t="n">
        <v>29</v>
      </c>
      <c r="K4253" s="1" t="inlineStr"/>
      <c r="L4253" s="13" t="n">
        <v>29</v>
      </c>
      <c r="M4253" s="1">
        <f>IF(L4253="","ไม่พบใน SG",IF(ABS(J4253-L4253)&lt;0.005,"ตรงกัน","ไม่ตรง"))</f>
        <v/>
      </c>
      <c r="N4253" s="14">
        <f>IF(L4253="","",ROUND(L4253*'สรุป'!$C$6,-1))</f>
        <v/>
      </c>
      <c r="O4253" s="15" t="n"/>
      <c r="P4253" s="15" t="n"/>
      <c r="Q4253" s="10" t="n"/>
      <c r="R4253" s="10" t="n"/>
      <c r="S4253" s="16" t="inlineStr">
        <is>
          <t>https://mstgolf.co.th/products/gf2000105681</t>
        </is>
      </c>
      <c r="T4253" s="1">
        <f>IF(B4253="ไม้กอล์ฟ",J4253,"")</f>
        <v/>
      </c>
    </row>
    <row r="4254">
      <c r="A4254" s="1" t="n">
        <v>3</v>
      </c>
      <c r="B4254" s="1" t="inlineStr">
        <is>
          <t>อุปกรณ์เสริม</t>
        </is>
      </c>
      <c r="C4254" s="1" t="inlineStr">
        <is>
          <t>gf3150100336</t>
        </is>
      </c>
      <c r="D4254" s="1" t="inlineStr">
        <is>
          <t>CUTTER &amp; BUCK 27" Single-Layer Umbrella (Blue)</t>
        </is>
      </c>
      <c r="E4254" s="1" t="inlineStr">
        <is>
          <t>CUTTER &amp; BUCK</t>
        </is>
      </c>
      <c r="F4254" s="1" t="inlineStr">
        <is>
          <t>UMBRELLA</t>
        </is>
      </c>
      <c r="G4254" s="1" t="inlineStr">
        <is>
          <t>GF3150100336</t>
        </is>
      </c>
      <c r="H4254" s="1" t="n">
        <v>1</v>
      </c>
      <c r="I4254" s="1" t="inlineStr">
        <is>
          <t>มี</t>
        </is>
      </c>
      <c r="J4254" s="13" t="n">
        <v>29</v>
      </c>
      <c r="K4254" s="1" t="inlineStr"/>
      <c r="L4254" s="13" t="n">
        <v>29</v>
      </c>
      <c r="M4254" s="1">
        <f>IF(L4254="","ไม่พบใน SG",IF(ABS(J4254-L4254)&lt;0.005,"ตรงกัน","ไม่ตรง"))</f>
        <v/>
      </c>
      <c r="N4254" s="14">
        <f>IF(L4254="","",ROUND(L4254*'สรุป'!$C$6,-1))</f>
        <v/>
      </c>
      <c r="O4254" s="15" t="n"/>
      <c r="P4254" s="15" t="n"/>
      <c r="Q4254" s="10" t="n"/>
      <c r="R4254" s="10" t="n"/>
      <c r="S4254" s="16" t="inlineStr">
        <is>
          <t>https://mstgolf.co.th/products/gf3150100336</t>
        </is>
      </c>
      <c r="T4254" s="1">
        <f>IF(B4254="ไม้กอล์ฟ",J4254,"")</f>
        <v/>
      </c>
    </row>
    <row r="4255">
      <c r="A4255" s="1" t="n">
        <v>3</v>
      </c>
      <c r="B4255" s="1" t="inlineStr">
        <is>
          <t>เสื้อผ้า</t>
        </is>
      </c>
      <c r="C4255" s="1" t="inlineStr">
        <is>
          <t>gf2040113054</t>
        </is>
      </c>
      <c r="D4255" s="1" t="inlineStr">
        <is>
          <t>CUTTER &amp; BUCK Poly Women's Polo (Red/Silver)</t>
        </is>
      </c>
      <c r="E4255" s="1" t="inlineStr">
        <is>
          <t>CUTTER &amp; BUCK</t>
        </is>
      </c>
      <c r="F4255" s="1" t="inlineStr">
        <is>
          <t>SHORT SLEEVES</t>
        </is>
      </c>
      <c r="G4255" s="1" t="inlineStr">
        <is>
          <t>GF2040113054XS</t>
        </is>
      </c>
      <c r="H4255" s="1" t="n">
        <v>6</v>
      </c>
      <c r="I4255" s="1" t="inlineStr">
        <is>
          <t>มี</t>
        </is>
      </c>
      <c r="J4255" s="13" t="n">
        <v>29</v>
      </c>
      <c r="K4255" s="1" t="inlineStr"/>
      <c r="L4255" s="13" t="n">
        <v>29</v>
      </c>
      <c r="M4255" s="1">
        <f>IF(L4255="","ไม่พบใน SG",IF(ABS(J4255-L4255)&lt;0.005,"ตรงกัน","ไม่ตรง"))</f>
        <v/>
      </c>
      <c r="N4255" s="14">
        <f>IF(L4255="","",ROUND(L4255*'สรุป'!$C$6,-1))</f>
        <v/>
      </c>
      <c r="O4255" s="15" t="n"/>
      <c r="P4255" s="15" t="n"/>
      <c r="Q4255" s="10" t="n"/>
      <c r="R4255" s="10" t="n"/>
      <c r="S4255" s="16" t="inlineStr">
        <is>
          <t>https://mstgolf.co.th/products/gf2040113054</t>
        </is>
      </c>
      <c r="T4255" s="1">
        <f>IF(B4255="ไม้กอล์ฟ",J4255,"")</f>
        <v/>
      </c>
    </row>
    <row r="4256">
      <c r="A4256" s="1" t="n">
        <v>3</v>
      </c>
      <c r="B4256" s="1" t="inlineStr">
        <is>
          <t>หมวก</t>
        </is>
      </c>
      <c r="C4256" s="1" t="inlineStr">
        <is>
          <t>gf2000200761</t>
        </is>
      </c>
      <c r="D4256" s="1" t="inlineStr">
        <is>
          <t>CUTTER &amp; BUCK Poly Women's Visor (Grey/Light Grey)</t>
        </is>
      </c>
      <c r="E4256" s="1" t="inlineStr">
        <is>
          <t>CUTTER &amp; BUCK</t>
        </is>
      </c>
      <c r="F4256" s="1" t="inlineStr">
        <is>
          <t>VISOR</t>
        </is>
      </c>
      <c r="G4256" s="1" t="inlineStr">
        <is>
          <t>GF2000200761FS</t>
        </is>
      </c>
      <c r="H4256" s="1" t="n">
        <v>1</v>
      </c>
      <c r="I4256" s="1" t="inlineStr">
        <is>
          <t>มี</t>
        </is>
      </c>
      <c r="J4256" s="13" t="n">
        <v>29</v>
      </c>
      <c r="K4256" s="1" t="inlineStr"/>
      <c r="L4256" s="13" t="n">
        <v>29</v>
      </c>
      <c r="M4256" s="1">
        <f>IF(L4256="","ไม่พบใน SG",IF(ABS(J4256-L4256)&lt;0.005,"ตรงกัน","ไม่ตรง"))</f>
        <v/>
      </c>
      <c r="N4256" s="14">
        <f>IF(L4256="","",ROUND(L4256*'สรุป'!$C$6,-1))</f>
        <v/>
      </c>
      <c r="O4256" s="15" t="n"/>
      <c r="P4256" s="15" t="n"/>
      <c r="Q4256" s="10" t="n"/>
      <c r="R4256" s="10" t="n"/>
      <c r="S4256" s="16" t="inlineStr">
        <is>
          <t>https://mstgolf.co.th/products/gf2000200761</t>
        </is>
      </c>
      <c r="T4256" s="1">
        <f>IF(B4256="ไม้กอล์ฟ",J4256,"")</f>
        <v/>
      </c>
    </row>
    <row r="4257">
      <c r="A4257" s="1" t="n">
        <v>3</v>
      </c>
      <c r="B4257" s="1" t="inlineStr">
        <is>
          <t>หมวก</t>
        </is>
      </c>
      <c r="C4257" s="1" t="inlineStr">
        <is>
          <t>gf2000200759</t>
        </is>
      </c>
      <c r="D4257" s="1" t="inlineStr">
        <is>
          <t>CUTTER &amp; BUCK Poly Women's Visor (White/Light Pink)</t>
        </is>
      </c>
      <c r="E4257" s="1" t="inlineStr">
        <is>
          <t>CUTTER &amp; BUCK</t>
        </is>
      </c>
      <c r="F4257" s="1" t="inlineStr">
        <is>
          <t>VISOR</t>
        </is>
      </c>
      <c r="G4257" s="1" t="inlineStr">
        <is>
          <t>GF2000200759FS</t>
        </is>
      </c>
      <c r="H4257" s="1" t="n">
        <v>1</v>
      </c>
      <c r="I4257" s="1" t="inlineStr">
        <is>
          <t>มี</t>
        </is>
      </c>
      <c r="J4257" s="13" t="n">
        <v>29</v>
      </c>
      <c r="K4257" s="1" t="inlineStr"/>
      <c r="L4257" s="13" t="n">
        <v>29</v>
      </c>
      <c r="M4257" s="1">
        <f>IF(L4257="","ไม่พบใน SG",IF(ABS(J4257-L4257)&lt;0.005,"ตรงกัน","ไม่ตรง"))</f>
        <v/>
      </c>
      <c r="N4257" s="14">
        <f>IF(L4257="","",ROUND(L4257*'สรุป'!$C$6,-1))</f>
        <v/>
      </c>
      <c r="O4257" s="15" t="n"/>
      <c r="P4257" s="15" t="n"/>
      <c r="Q4257" s="10" t="n"/>
      <c r="R4257" s="10" t="n"/>
      <c r="S4257" s="16" t="inlineStr">
        <is>
          <t>https://mstgolf.co.th/products/gf2000200759</t>
        </is>
      </c>
      <c r="T4257" s="1">
        <f>IF(B4257="ไม้กอล์ฟ",J4257,"")</f>
        <v/>
      </c>
    </row>
    <row r="4258">
      <c r="A4258" s="1" t="n">
        <v>3</v>
      </c>
      <c r="B4258" s="1" t="inlineStr">
        <is>
          <t>เสื้อผ้า</t>
        </is>
      </c>
      <c r="C4258" s="1" t="inlineStr">
        <is>
          <t>gf2040112838</t>
        </is>
      </c>
      <c r="D4258" s="1" t="inlineStr">
        <is>
          <t>CUTTER &amp; BUCK Virtue Eco Pique Men's Polo (Black)</t>
        </is>
      </c>
      <c r="E4258" s="1" t="inlineStr">
        <is>
          <t>CUTTER &amp; BUCK</t>
        </is>
      </c>
      <c r="F4258" s="1" t="inlineStr">
        <is>
          <t>SHORT SLEEVES</t>
        </is>
      </c>
      <c r="G4258" s="1" t="inlineStr">
        <is>
          <t>GF2040112838XS</t>
        </is>
      </c>
      <c r="H4258" s="1" t="n">
        <v>7</v>
      </c>
      <c r="I4258" s="1" t="inlineStr">
        <is>
          <t>มี</t>
        </is>
      </c>
      <c r="J4258" s="13" t="n">
        <v>29</v>
      </c>
      <c r="K4258" s="1" t="inlineStr"/>
      <c r="L4258" s="13" t="n">
        <v>29</v>
      </c>
      <c r="M4258" s="1">
        <f>IF(L4258="","ไม่พบใน SG",IF(ABS(J4258-L4258)&lt;0.005,"ตรงกัน","ไม่ตรง"))</f>
        <v/>
      </c>
      <c r="N4258" s="14">
        <f>IF(L4258="","",ROUND(L4258*'สรุป'!$C$6,-1))</f>
        <v/>
      </c>
      <c r="O4258" s="15" t="n"/>
      <c r="P4258" s="15" t="n"/>
      <c r="Q4258" s="10" t="n"/>
      <c r="R4258" s="10" t="n"/>
      <c r="S4258" s="16" t="inlineStr">
        <is>
          <t>https://mstgolf.co.th/products/gf2040112838</t>
        </is>
      </c>
      <c r="T4258" s="1">
        <f>IF(B4258="ไม้กอล์ฟ",J4258,"")</f>
        <v/>
      </c>
    </row>
    <row r="4259">
      <c r="A4259" s="1" t="n">
        <v>3</v>
      </c>
      <c r="B4259" s="1" t="inlineStr">
        <is>
          <t>เสื้อผ้า</t>
        </is>
      </c>
      <c r="C4259" s="1" t="inlineStr">
        <is>
          <t>gf2040114396</t>
        </is>
      </c>
      <c r="D4259" s="1" t="inlineStr">
        <is>
          <t>CUTTER &amp; BUCK Virtue Ecopique Women's Polo (Tour Blue)</t>
        </is>
      </c>
      <c r="E4259" s="1" t="inlineStr">
        <is>
          <t>CUTTER &amp; BUCK</t>
        </is>
      </c>
      <c r="F4259" s="1" t="inlineStr">
        <is>
          <t>SHORT SLEEVES</t>
        </is>
      </c>
      <c r="G4259" s="1" t="inlineStr">
        <is>
          <t>GF2040114396XS</t>
        </is>
      </c>
      <c r="H4259" s="1" t="n">
        <v>6</v>
      </c>
      <c r="I4259" s="1" t="inlineStr">
        <is>
          <t>มี</t>
        </is>
      </c>
      <c r="J4259" s="13" t="n">
        <v>29</v>
      </c>
      <c r="K4259" s="1" t="inlineStr"/>
      <c r="L4259" s="13" t="n">
        <v>29</v>
      </c>
      <c r="M4259" s="1">
        <f>IF(L4259="","ไม่พบใน SG",IF(ABS(J4259-L4259)&lt;0.005,"ตรงกัน","ไม่ตรง"))</f>
        <v/>
      </c>
      <c r="N4259" s="14">
        <f>IF(L4259="","",ROUND(L4259*'สรุป'!$C$6,-1))</f>
        <v/>
      </c>
      <c r="O4259" s="15" t="n"/>
      <c r="P4259" s="15" t="n"/>
      <c r="Q4259" s="10" t="n"/>
      <c r="R4259" s="10" t="n"/>
      <c r="S4259" s="16" t="inlineStr">
        <is>
          <t>https://mstgolf.co.th/products/gf2040114396</t>
        </is>
      </c>
      <c r="T4259" s="1">
        <f>IF(B4259="ไม้กอล์ฟ",J4259,"")</f>
        <v/>
      </c>
    </row>
    <row r="4260">
      <c r="A4260" s="1" t="n">
        <v>3</v>
      </c>
      <c r="B4260" s="1" t="inlineStr">
        <is>
          <t>อุปกรณ์เสริม</t>
        </is>
      </c>
      <c r="C4260" s="1" t="inlineStr">
        <is>
          <t>gf3500400402</t>
        </is>
      </c>
      <c r="D4260" s="1" t="inlineStr">
        <is>
          <t>DISNEY Darth Vader Divot &amp; Magnetic Ball Marker</t>
        </is>
      </c>
      <c r="E4260" s="1" t="inlineStr">
        <is>
          <t>DISNEY</t>
        </is>
      </c>
      <c r="F4260" s="1" t="inlineStr">
        <is>
          <t>MARKERS &amp; DIVOTS</t>
        </is>
      </c>
      <c r="G4260" s="1" t="inlineStr">
        <is>
          <t>GF3500400402</t>
        </is>
      </c>
      <c r="H4260" s="1" t="n">
        <v>1</v>
      </c>
      <c r="I4260" s="1" t="inlineStr">
        <is>
          <t>มี</t>
        </is>
      </c>
      <c r="J4260" s="13" t="n">
        <v>29</v>
      </c>
      <c r="K4260" s="1" t="inlineStr"/>
      <c r="L4260" s="13" t="n">
        <v>29</v>
      </c>
      <c r="M4260" s="1">
        <f>IF(L4260="","ไม่พบใน SG",IF(ABS(J4260-L4260)&lt;0.005,"ตรงกัน","ไม่ตรง"))</f>
        <v/>
      </c>
      <c r="N4260" s="14">
        <f>IF(L4260="","",ROUND(L4260*'สรุป'!$C$6,-1))</f>
        <v/>
      </c>
      <c r="O4260" s="15" t="n"/>
      <c r="P4260" s="15" t="n"/>
      <c r="Q4260" s="10" t="n"/>
      <c r="R4260" s="10" t="n"/>
      <c r="S4260" s="16" t="inlineStr">
        <is>
          <t>https://mstgolf.co.th/products/gf3500400402</t>
        </is>
      </c>
      <c r="T4260" s="1">
        <f>IF(B4260="ไม้กอล์ฟ",J4260,"")</f>
        <v/>
      </c>
    </row>
    <row r="4261">
      <c r="A4261" s="1" t="n">
        <v>3</v>
      </c>
      <c r="B4261" s="1" t="inlineStr">
        <is>
          <t>อุปกรณ์เสริม</t>
        </is>
      </c>
      <c r="C4261" s="1" t="inlineStr">
        <is>
          <t>gf3500400401</t>
        </is>
      </c>
      <c r="D4261" s="1" t="inlineStr">
        <is>
          <t>DISNEY Stormtrooper Divot &amp; Magnetic Ball Marker</t>
        </is>
      </c>
      <c r="E4261" s="1" t="inlineStr">
        <is>
          <t>DISNEY</t>
        </is>
      </c>
      <c r="F4261" s="1" t="inlineStr">
        <is>
          <t>MARKERS &amp; DIVOTS</t>
        </is>
      </c>
      <c r="G4261" s="1" t="inlineStr">
        <is>
          <t>GF3500400401</t>
        </is>
      </c>
      <c r="H4261" s="1" t="n">
        <v>1</v>
      </c>
      <c r="I4261" s="1" t="inlineStr">
        <is>
          <t>มี</t>
        </is>
      </c>
      <c r="J4261" s="13" t="n">
        <v>29</v>
      </c>
      <c r="K4261" s="1" t="inlineStr"/>
      <c r="L4261" s="13" t="n">
        <v>29</v>
      </c>
      <c r="M4261" s="1">
        <f>IF(L4261="","ไม่พบใน SG",IF(ABS(J4261-L4261)&lt;0.005,"ตรงกัน","ไม่ตรง"))</f>
        <v/>
      </c>
      <c r="N4261" s="14">
        <f>IF(L4261="","",ROUND(L4261*'สรุป'!$C$6,-1))</f>
        <v/>
      </c>
      <c r="O4261" s="15" t="n"/>
      <c r="P4261" s="15" t="n"/>
      <c r="Q4261" s="10" t="n"/>
      <c r="R4261" s="10" t="n"/>
      <c r="S4261" s="16" t="inlineStr">
        <is>
          <t>https://mstgolf.co.th/products/gf3500400401</t>
        </is>
      </c>
      <c r="T4261" s="1">
        <f>IF(B4261="ไม้กอล์ฟ",J4261,"")</f>
        <v/>
      </c>
    </row>
    <row r="4262">
      <c r="A4262" s="1" t="n">
        <v>3</v>
      </c>
      <c r="B4262" s="1" t="inlineStr">
        <is>
          <t>อุปกรณ์เสริม</t>
        </is>
      </c>
      <c r="C4262" s="1" t="inlineStr">
        <is>
          <t>gf3500300399</t>
        </is>
      </c>
      <c r="D4262" s="1" t="inlineStr">
        <is>
          <t>GENERAL ITEM PARAGON ALUM 18FT BALL RETRIEVER</t>
        </is>
      </c>
      <c r="E4262" s="1" t="inlineStr">
        <is>
          <t>GENERAL ITEM</t>
        </is>
      </c>
      <c r="F4262" s="1" t="inlineStr">
        <is>
          <t>GOLF ACCESSORIES</t>
        </is>
      </c>
      <c r="G4262" s="1" t="inlineStr">
        <is>
          <t>GF3500300399</t>
        </is>
      </c>
      <c r="H4262" s="1" t="n">
        <v>1</v>
      </c>
      <c r="I4262" s="1" t="inlineStr">
        <is>
          <t>มี</t>
        </is>
      </c>
      <c r="J4262" s="13" t="n">
        <v>29</v>
      </c>
      <c r="K4262" s="1" t="inlineStr"/>
      <c r="L4262" s="13" t="n">
        <v>29</v>
      </c>
      <c r="M4262" s="1">
        <f>IF(L4262="","ไม่พบใน SG",IF(ABS(J4262-L4262)&lt;0.005,"ตรงกัน","ไม่ตรง"))</f>
        <v/>
      </c>
      <c r="N4262" s="14">
        <f>IF(L4262="","",ROUND(L4262*'สรุป'!$C$6,-1))</f>
        <v/>
      </c>
      <c r="O4262" s="15" t="n"/>
      <c r="P4262" s="15" t="n"/>
      <c r="Q4262" s="10" t="n"/>
      <c r="R4262" s="10" t="n"/>
      <c r="S4262" s="16" t="inlineStr">
        <is>
          <t>https://mstgolf.co.th/products/gf3500300399</t>
        </is>
      </c>
      <c r="T4262" s="1">
        <f>IF(B4262="ไม้กอล์ฟ",J4262,"")</f>
        <v/>
      </c>
    </row>
    <row r="4263">
      <c r="A4263" s="1" t="n">
        <v>3</v>
      </c>
      <c r="B4263" s="1" t="inlineStr">
        <is>
          <t>หมวก</t>
        </is>
      </c>
      <c r="C4263" s="1" t="inlineStr">
        <is>
          <t>gf2000106482</t>
        </is>
      </c>
      <c r="D4263" s="1" t="inlineStr">
        <is>
          <t>LE COQ SPORTIF GOLF Cooling Men's Cap (Navy)</t>
        </is>
      </c>
      <c r="E4263" s="1" t="inlineStr">
        <is>
          <t>LE COQ SPORTIF GOLF</t>
        </is>
      </c>
      <c r="F4263" s="1" t="inlineStr">
        <is>
          <t>CAP</t>
        </is>
      </c>
      <c r="G4263" s="1" t="inlineStr">
        <is>
          <t>GF2000106482FS</t>
        </is>
      </c>
      <c r="H4263" s="1" t="n">
        <v>1</v>
      </c>
      <c r="I4263" s="1" t="inlineStr">
        <is>
          <t>มี</t>
        </is>
      </c>
      <c r="J4263" s="13" t="n">
        <v>29</v>
      </c>
      <c r="K4263" s="1" t="inlineStr"/>
      <c r="L4263" s="13" t="n">
        <v>29</v>
      </c>
      <c r="M4263" s="1">
        <f>IF(L4263="","ไม่พบใน SG",IF(ABS(J4263-L4263)&lt;0.005,"ตรงกัน","ไม่ตรง"))</f>
        <v/>
      </c>
      <c r="N4263" s="14">
        <f>IF(L4263="","",ROUND(L4263*'สรุป'!$C$6,-1))</f>
        <v/>
      </c>
      <c r="O4263" s="15" t="n"/>
      <c r="P4263" s="15" t="n"/>
      <c r="Q4263" s="10" t="n"/>
      <c r="R4263" s="10" t="n"/>
      <c r="S4263" s="16" t="inlineStr">
        <is>
          <t>https://mstgolf.co.th/products/gf2000106482</t>
        </is>
      </c>
      <c r="T4263" s="1">
        <f>IF(B4263="ไม้กอล์ฟ",J4263,"")</f>
        <v/>
      </c>
    </row>
    <row r="4264">
      <c r="A4264" s="1" t="n">
        <v>3</v>
      </c>
      <c r="B4264" s="1" t="inlineStr">
        <is>
          <t>เสื้อผ้า</t>
        </is>
      </c>
      <c r="C4264" s="1" t="inlineStr">
        <is>
          <t>gf2110100186</t>
        </is>
      </c>
      <c r="D4264" s="1" t="inlineStr">
        <is>
          <t>LE COQ SPORTIF GOLF Cooling UV Arm Gloves (Navy)</t>
        </is>
      </c>
      <c r="E4264" s="1" t="inlineStr">
        <is>
          <t>LE COQ SPORTIF GOLF</t>
        </is>
      </c>
      <c r="F4264" s="1" t="inlineStr">
        <is>
          <t>ARM GLOVE</t>
        </is>
      </c>
      <c r="G4264" s="1" t="inlineStr">
        <is>
          <t>GF2110100186</t>
        </is>
      </c>
      <c r="H4264" s="1" t="n">
        <v>1</v>
      </c>
      <c r="I4264" s="1" t="inlineStr">
        <is>
          <t>มี</t>
        </is>
      </c>
      <c r="J4264" s="13" t="n">
        <v>29</v>
      </c>
      <c r="K4264" s="1" t="inlineStr"/>
      <c r="L4264" s="13" t="n">
        <v>29</v>
      </c>
      <c r="M4264" s="1">
        <f>IF(L4264="","ไม่พบใน SG",IF(ABS(J4264-L4264)&lt;0.005,"ตรงกัน","ไม่ตรง"))</f>
        <v/>
      </c>
      <c r="N4264" s="14">
        <f>IF(L4264="","",ROUND(L4264*'สรุป'!$C$6,-1))</f>
        <v/>
      </c>
      <c r="O4264" s="15" t="n"/>
      <c r="P4264" s="15" t="n"/>
      <c r="Q4264" s="10" t="n"/>
      <c r="R4264" s="10" t="n"/>
      <c r="S4264" s="16" t="inlineStr">
        <is>
          <t>https://mstgolf.co.th/products/gf2110100186</t>
        </is>
      </c>
      <c r="T4264" s="1">
        <f>IF(B4264="ไม้กอล์ฟ",J4264,"")</f>
        <v/>
      </c>
    </row>
    <row r="4265">
      <c r="A4265" s="1" t="n">
        <v>3</v>
      </c>
      <c r="B4265" s="1" t="inlineStr">
        <is>
          <t>เสื้อผ้า</t>
        </is>
      </c>
      <c r="C4265" s="1" t="inlineStr">
        <is>
          <t>gf2110100187</t>
        </is>
      </c>
      <c r="D4265" s="1" t="inlineStr">
        <is>
          <t>LE COQ SPORTIF GOLF Cooling UV Arm Gloves (White)</t>
        </is>
      </c>
      <c r="E4265" s="1" t="inlineStr">
        <is>
          <t>LE COQ SPORTIF GOLF</t>
        </is>
      </c>
      <c r="F4265" s="1" t="inlineStr">
        <is>
          <t>ARM GLOVE</t>
        </is>
      </c>
      <c r="G4265" s="1" t="inlineStr">
        <is>
          <t>GF2110100187</t>
        </is>
      </c>
      <c r="H4265" s="1" t="n">
        <v>1</v>
      </c>
      <c r="I4265" s="1" t="inlineStr">
        <is>
          <t>มี</t>
        </is>
      </c>
      <c r="J4265" s="13" t="n">
        <v>29</v>
      </c>
      <c r="K4265" s="1" t="inlineStr"/>
      <c r="L4265" s="13" t="n">
        <v>29</v>
      </c>
      <c r="M4265" s="1">
        <f>IF(L4265="","ไม่พบใน SG",IF(ABS(J4265-L4265)&lt;0.005,"ตรงกัน","ไม่ตรง"))</f>
        <v/>
      </c>
      <c r="N4265" s="14">
        <f>IF(L4265="","",ROUND(L4265*'สรุป'!$C$6,-1))</f>
        <v/>
      </c>
      <c r="O4265" s="15" t="n"/>
      <c r="P4265" s="15" t="n"/>
      <c r="Q4265" s="10" t="n"/>
      <c r="R4265" s="10" t="n"/>
      <c r="S4265" s="16" t="inlineStr">
        <is>
          <t>https://mstgolf.co.th/products/gf2110100187</t>
        </is>
      </c>
      <c r="T4265" s="1">
        <f>IF(B4265="ไม้กอล์ฟ",J4265,"")</f>
        <v/>
      </c>
    </row>
    <row r="4266">
      <c r="A4266" s="1" t="n">
        <v>3</v>
      </c>
      <c r="B4266" s="1" t="inlineStr">
        <is>
          <t>อุปกรณ์เสริม</t>
        </is>
      </c>
      <c r="C4266" s="1" t="inlineStr">
        <is>
          <t>gf2100200669</t>
        </is>
      </c>
      <c r="D4266" s="1" t="inlineStr">
        <is>
          <t>LE COQ SPORTIF GOLF Imabari Hand Towel (Navy)</t>
        </is>
      </c>
      <c r="E4266" s="1" t="inlineStr">
        <is>
          <t>LE COQ SPORTIF GOLF</t>
        </is>
      </c>
      <c r="F4266" s="1" t="inlineStr">
        <is>
          <t>HAND/CLUB TOWEL</t>
        </is>
      </c>
      <c r="G4266" s="1" t="inlineStr">
        <is>
          <t>GF2100200669</t>
        </is>
      </c>
      <c r="H4266" s="1" t="n">
        <v>1</v>
      </c>
      <c r="I4266" s="1" t="inlineStr">
        <is>
          <t>มี</t>
        </is>
      </c>
      <c r="J4266" s="13" t="n">
        <v>29</v>
      </c>
      <c r="K4266" s="1" t="inlineStr"/>
      <c r="L4266" s="13" t="n">
        <v>29</v>
      </c>
      <c r="M4266" s="1">
        <f>IF(L4266="","ไม่พบใน SG",IF(ABS(J4266-L4266)&lt;0.005,"ตรงกัน","ไม่ตรง"))</f>
        <v/>
      </c>
      <c r="N4266" s="14">
        <f>IF(L4266="","",ROUND(L4266*'สรุป'!$C$6,-1))</f>
        <v/>
      </c>
      <c r="O4266" s="15" t="n"/>
      <c r="P4266" s="15" t="n"/>
      <c r="Q4266" s="10" t="n"/>
      <c r="R4266" s="10" t="n"/>
      <c r="S4266" s="16" t="inlineStr">
        <is>
          <t>https://mstgolf.co.th/products/gf2100200669</t>
        </is>
      </c>
      <c r="T4266" s="1">
        <f>IF(B4266="ไม้กอล์ฟ",J4266,"")</f>
        <v/>
      </c>
    </row>
    <row r="4267">
      <c r="A4267" s="1" t="n">
        <v>3</v>
      </c>
      <c r="B4267" s="1" t="inlineStr">
        <is>
          <t>อุปกรณ์เสริม</t>
        </is>
      </c>
      <c r="C4267" s="1" t="inlineStr">
        <is>
          <t>gf2100200668</t>
        </is>
      </c>
      <c r="D4267" s="1" t="inlineStr">
        <is>
          <t>LE COQ SPORTIF GOLF Imabari Hand Towel (White)</t>
        </is>
      </c>
      <c r="E4267" s="1" t="inlineStr">
        <is>
          <t>LE COQ SPORTIF GOLF</t>
        </is>
      </c>
      <c r="F4267" s="1" t="inlineStr">
        <is>
          <t>HAND/CLUB TOWEL</t>
        </is>
      </c>
      <c r="G4267" s="1" t="inlineStr">
        <is>
          <t>GF2100200668</t>
        </is>
      </c>
      <c r="H4267" s="1" t="n">
        <v>1</v>
      </c>
      <c r="I4267" s="1" t="inlineStr">
        <is>
          <t>มี</t>
        </is>
      </c>
      <c r="J4267" s="13" t="n">
        <v>29</v>
      </c>
      <c r="K4267" s="1" t="inlineStr"/>
      <c r="L4267" s="13" t="n">
        <v>29</v>
      </c>
      <c r="M4267" s="1">
        <f>IF(L4267="","ไม่พบใน SG",IF(ABS(J4267-L4267)&lt;0.005,"ตรงกัน","ไม่ตรง"))</f>
        <v/>
      </c>
      <c r="N4267" s="14">
        <f>IF(L4267="","",ROUND(L4267*'สรุป'!$C$6,-1))</f>
        <v/>
      </c>
      <c r="O4267" s="15" t="n"/>
      <c r="P4267" s="15" t="n"/>
      <c r="Q4267" s="10" t="n"/>
      <c r="R4267" s="10" t="n"/>
      <c r="S4267" s="16" t="inlineStr">
        <is>
          <t>https://mstgolf.co.th/products/gf2100200668</t>
        </is>
      </c>
      <c r="T4267" s="1">
        <f>IF(B4267="ไม้กอล์ฟ",J4267,"")</f>
        <v/>
      </c>
    </row>
    <row r="4268">
      <c r="A4268" s="1" t="n">
        <v>3</v>
      </c>
      <c r="B4268" s="1" t="inlineStr">
        <is>
          <t>อุปกรณ์เสริม</t>
        </is>
      </c>
      <c r="C4268" s="1" t="inlineStr">
        <is>
          <t>gf2080101495</t>
        </is>
      </c>
      <c r="D4268" s="1" t="inlineStr">
        <is>
          <t>LE COQ SPORTIF GOLF Stretch Mesh Men's Belt (Black)</t>
        </is>
      </c>
      <c r="E4268" s="1" t="inlineStr">
        <is>
          <t>LE COQ SPORTIF GOLF</t>
        </is>
      </c>
      <c r="F4268" s="1" t="inlineStr">
        <is>
          <t>BELT</t>
        </is>
      </c>
      <c r="G4268" s="1" t="inlineStr">
        <is>
          <t>GF2080101495FS</t>
        </is>
      </c>
      <c r="H4268" s="1" t="n">
        <v>1</v>
      </c>
      <c r="I4268" s="1" t="inlineStr">
        <is>
          <t>มี</t>
        </is>
      </c>
      <c r="J4268" s="13" t="n">
        <v>29</v>
      </c>
      <c r="K4268" s="1" t="inlineStr"/>
      <c r="L4268" s="13" t="n">
        <v>29</v>
      </c>
      <c r="M4268" s="1">
        <f>IF(L4268="","ไม่พบใน SG",IF(ABS(J4268-L4268)&lt;0.005,"ตรงกัน","ไม่ตรง"))</f>
        <v/>
      </c>
      <c r="N4268" s="14">
        <f>IF(L4268="","",ROUND(L4268*'สรุป'!$C$6,-1))</f>
        <v/>
      </c>
      <c r="O4268" s="15" t="n"/>
      <c r="P4268" s="15" t="n"/>
      <c r="Q4268" s="10" t="n"/>
      <c r="R4268" s="10" t="n"/>
      <c r="S4268" s="16" t="inlineStr">
        <is>
          <t>https://mstgolf.co.th/products/gf2080101495</t>
        </is>
      </c>
      <c r="T4268" s="1">
        <f>IF(B4268="ไม้กอล์ฟ",J4268,"")</f>
        <v/>
      </c>
    </row>
    <row r="4269">
      <c r="A4269" s="1" t="n">
        <v>3</v>
      </c>
      <c r="B4269" s="1" t="inlineStr">
        <is>
          <t>อุปกรณ์เสริม</t>
        </is>
      </c>
      <c r="C4269" s="1" t="inlineStr">
        <is>
          <t>gf2080101477</t>
        </is>
      </c>
      <c r="D4269" s="1" t="inlineStr">
        <is>
          <t>LE COQ SPORTIF GOLF Stretch Mesh Men's Belt (Navy)</t>
        </is>
      </c>
      <c r="E4269" s="1" t="inlineStr">
        <is>
          <t>LE COQ SPORTIF GOLF</t>
        </is>
      </c>
      <c r="F4269" s="1" t="inlineStr">
        <is>
          <t>BELT</t>
        </is>
      </c>
      <c r="G4269" s="1" t="inlineStr">
        <is>
          <t>GF2080101477FS</t>
        </is>
      </c>
      <c r="H4269" s="1" t="n">
        <v>1</v>
      </c>
      <c r="I4269" s="1" t="inlineStr">
        <is>
          <t>มี</t>
        </is>
      </c>
      <c r="J4269" s="13" t="n">
        <v>29</v>
      </c>
      <c r="K4269" s="1" t="inlineStr"/>
      <c r="L4269" s="13" t="n">
        <v>29</v>
      </c>
      <c r="M4269" s="1">
        <f>IF(L4269="","ไม่พบใน SG",IF(ABS(J4269-L4269)&lt;0.005,"ตรงกัน","ไม่ตรง"))</f>
        <v/>
      </c>
      <c r="N4269" s="14">
        <f>IF(L4269="","",ROUND(L4269*'สรุป'!$C$6,-1))</f>
        <v/>
      </c>
      <c r="O4269" s="15" t="n"/>
      <c r="P4269" s="15" t="n"/>
      <c r="Q4269" s="10" t="n"/>
      <c r="R4269" s="10" t="n"/>
      <c r="S4269" s="16" t="inlineStr">
        <is>
          <t>https://mstgolf.co.th/products/gf2080101477</t>
        </is>
      </c>
      <c r="T4269" s="1">
        <f>IF(B4269="ไม้กอล์ฟ",J4269,"")</f>
        <v/>
      </c>
    </row>
    <row r="4270">
      <c r="A4270" s="1" t="n">
        <v>3</v>
      </c>
      <c r="B4270" s="1" t="inlineStr">
        <is>
          <t>อุปกรณ์เสริม</t>
        </is>
      </c>
      <c r="C4270" s="1" t="inlineStr">
        <is>
          <t>gf3500300950</t>
        </is>
      </c>
      <c r="D4270" s="1" t="inlineStr">
        <is>
          <t>LE COQ SPORTIF GOLF Triangle Ball Holder (Blue)</t>
        </is>
      </c>
      <c r="E4270" s="1" t="inlineStr">
        <is>
          <t>LE COQ SPORTIF GOLF</t>
        </is>
      </c>
      <c r="F4270" s="1" t="inlineStr">
        <is>
          <t>GOLF ACCESSORIES</t>
        </is>
      </c>
      <c r="G4270" s="1" t="inlineStr">
        <is>
          <t>GF3500300950</t>
        </is>
      </c>
      <c r="H4270" s="1" t="n">
        <v>1</v>
      </c>
      <c r="I4270" s="1" t="inlineStr">
        <is>
          <t>มี</t>
        </is>
      </c>
      <c r="J4270" s="13" t="n">
        <v>29</v>
      </c>
      <c r="K4270" s="1" t="inlineStr"/>
      <c r="L4270" s="13" t="n">
        <v>29</v>
      </c>
      <c r="M4270" s="1">
        <f>IF(L4270="","ไม่พบใน SG",IF(ABS(J4270-L4270)&lt;0.005,"ตรงกัน","ไม่ตรง"))</f>
        <v/>
      </c>
      <c r="N4270" s="14">
        <f>IF(L4270="","",ROUND(L4270*'สรุป'!$C$6,-1))</f>
        <v/>
      </c>
      <c r="O4270" s="15" t="n"/>
      <c r="P4270" s="15" t="n"/>
      <c r="Q4270" s="10" t="n"/>
      <c r="R4270" s="10" t="n"/>
      <c r="S4270" s="16" t="inlineStr">
        <is>
          <t>https://mstgolf.co.th/products/gf3500300950</t>
        </is>
      </c>
      <c r="T4270" s="1">
        <f>IF(B4270="ไม้กอล์ฟ",J4270,"")</f>
        <v/>
      </c>
    </row>
    <row r="4271">
      <c r="A4271" s="1" t="n">
        <v>3</v>
      </c>
      <c r="B4271" s="1" t="inlineStr">
        <is>
          <t>อุปกรณ์เสริม</t>
        </is>
      </c>
      <c r="C4271" s="1" t="inlineStr">
        <is>
          <t>gf3500300951</t>
        </is>
      </c>
      <c r="D4271" s="1" t="inlineStr">
        <is>
          <t>LE COQ SPORTIF GOLF Triangle Ball Holder (Red)</t>
        </is>
      </c>
      <c r="E4271" s="1" t="inlineStr">
        <is>
          <t>LE COQ SPORTIF GOLF</t>
        </is>
      </c>
      <c r="F4271" s="1" t="inlineStr">
        <is>
          <t>GOLF ACCESSORIES</t>
        </is>
      </c>
      <c r="G4271" s="1" t="inlineStr">
        <is>
          <t>GF3500300951</t>
        </is>
      </c>
      <c r="H4271" s="1" t="n">
        <v>1</v>
      </c>
      <c r="I4271" s="1" t="inlineStr">
        <is>
          <t>มี</t>
        </is>
      </c>
      <c r="J4271" s="13" t="n">
        <v>29</v>
      </c>
      <c r="K4271" s="1" t="inlineStr"/>
      <c r="L4271" s="13" t="n">
        <v>29</v>
      </c>
      <c r="M4271" s="1">
        <f>IF(L4271="","ไม่พบใน SG",IF(ABS(J4271-L4271)&lt;0.005,"ตรงกัน","ไม่ตรง"))</f>
        <v/>
      </c>
      <c r="N4271" s="14">
        <f>IF(L4271="","",ROUND(L4271*'สรุป'!$C$6,-1))</f>
        <v/>
      </c>
      <c r="O4271" s="15" t="n"/>
      <c r="P4271" s="15" t="n"/>
      <c r="Q4271" s="10" t="n"/>
      <c r="R4271" s="10" t="n"/>
      <c r="S4271" s="16" t="inlineStr">
        <is>
          <t>https://mstgolf.co.th/products/gf3500300951</t>
        </is>
      </c>
      <c r="T4271" s="1">
        <f>IF(B4271="ไม้กอล์ฟ",J4271,"")</f>
        <v/>
      </c>
    </row>
    <row r="4272">
      <c r="A4272" s="1" t="n">
        <v>3</v>
      </c>
      <c r="B4272" s="1" t="inlineStr">
        <is>
          <t>เสื้อผ้า</t>
        </is>
      </c>
      <c r="C4272" s="1" t="inlineStr">
        <is>
          <t>gf2040400907</t>
        </is>
      </c>
      <c r="D4272" s="1" t="inlineStr">
        <is>
          <t>NIKE Tee Men's Long Sleeve Golf 2 Shirt (Dark Grey)</t>
        </is>
      </c>
      <c r="E4272" s="1" t="inlineStr">
        <is>
          <t>NIKE</t>
        </is>
      </c>
      <c r="F4272" s="1" t="inlineStr">
        <is>
          <t>LONG SLEEVES</t>
        </is>
      </c>
      <c r="G4272" s="1" t="inlineStr">
        <is>
          <t>GF2040400907S</t>
        </is>
      </c>
      <c r="H4272" s="1" t="n">
        <v>5</v>
      </c>
      <c r="I4272" s="1" t="inlineStr">
        <is>
          <t>มี</t>
        </is>
      </c>
      <c r="J4272" s="13" t="n">
        <v>29</v>
      </c>
      <c r="K4272" s="1" t="inlineStr"/>
      <c r="L4272" s="13" t="n">
        <v>29</v>
      </c>
      <c r="M4272" s="1">
        <f>IF(L4272="","ไม่พบใน SG",IF(ABS(J4272-L4272)&lt;0.005,"ตรงกัน","ไม่ตรง"))</f>
        <v/>
      </c>
      <c r="N4272" s="14">
        <f>IF(L4272="","",ROUND(L4272*'สรุป'!$C$6,-1))</f>
        <v/>
      </c>
      <c r="O4272" s="15" t="n"/>
      <c r="P4272" s="15" t="n"/>
      <c r="Q4272" s="10" t="n"/>
      <c r="R4272" s="10" t="n"/>
      <c r="S4272" s="16" t="inlineStr">
        <is>
          <t>https://mstgolf.co.th/products/gf2040400907</t>
        </is>
      </c>
      <c r="T4272" s="1">
        <f>IF(B4272="ไม้กอล์ฟ",J4272,"")</f>
        <v/>
      </c>
    </row>
    <row r="4273">
      <c r="A4273" s="1" t="n">
        <v>3</v>
      </c>
      <c r="B4273" s="1" t="inlineStr">
        <is>
          <t>หมวก</t>
        </is>
      </c>
      <c r="C4273" s="1" t="inlineStr">
        <is>
          <t>gf2000300211</t>
        </is>
      </c>
      <c r="D4273" s="1" t="inlineStr">
        <is>
          <t>PUMA Driver Men's Hat (High Rise)</t>
        </is>
      </c>
      <c r="E4273" s="1" t="inlineStr">
        <is>
          <t>PUMA</t>
        </is>
      </c>
      <c r="F4273" s="1" t="inlineStr">
        <is>
          <t>HAT</t>
        </is>
      </c>
      <c r="G4273" s="1" t="inlineStr">
        <is>
          <t>GF2000300211S/M</t>
        </is>
      </c>
      <c r="H4273" s="1" t="n">
        <v>3</v>
      </c>
      <c r="I4273" s="1" t="inlineStr">
        <is>
          <t>มี</t>
        </is>
      </c>
      <c r="J4273" s="13" t="n">
        <v>29</v>
      </c>
      <c r="K4273" s="1" t="inlineStr"/>
      <c r="L4273" s="13" t="n">
        <v>29</v>
      </c>
      <c r="M4273" s="1">
        <f>IF(L4273="","ไม่พบใน SG",IF(ABS(J4273-L4273)&lt;0.005,"ตรงกัน","ไม่ตรง"))</f>
        <v/>
      </c>
      <c r="N4273" s="14">
        <f>IF(L4273="","",ROUND(L4273*'สรุป'!$C$6,-1))</f>
        <v/>
      </c>
      <c r="O4273" s="15" t="n"/>
      <c r="P4273" s="15" t="n"/>
      <c r="Q4273" s="10" t="n"/>
      <c r="R4273" s="10" t="n"/>
      <c r="S4273" s="16" t="inlineStr">
        <is>
          <t>https://mstgolf.co.th/products/gf2000300211</t>
        </is>
      </c>
      <c r="T4273" s="1">
        <f>IF(B4273="ไม้กอล์ฟ",J4273,"")</f>
        <v/>
      </c>
    </row>
    <row r="4274">
      <c r="A4274" s="1" t="n">
        <v>3</v>
      </c>
      <c r="B4274" s="1" t="inlineStr">
        <is>
          <t>หมวก</t>
        </is>
      </c>
      <c r="C4274" s="1" t="inlineStr">
        <is>
          <t>gf2000200972</t>
        </is>
      </c>
      <c r="D4274" s="1" t="inlineStr">
        <is>
          <t>PUMA Sport P Women's Visor (Blue)</t>
        </is>
      </c>
      <c r="E4274" s="1" t="inlineStr">
        <is>
          <t>PUMA</t>
        </is>
      </c>
      <c r="F4274" s="1" t="inlineStr">
        <is>
          <t>VISOR</t>
        </is>
      </c>
      <c r="G4274" s="1" t="inlineStr">
        <is>
          <t>GF2000200972FS</t>
        </is>
      </c>
      <c r="H4274" s="1" t="n">
        <v>1</v>
      </c>
      <c r="I4274" s="1" t="inlineStr">
        <is>
          <t>มี</t>
        </is>
      </c>
      <c r="J4274" s="13" t="n">
        <v>29</v>
      </c>
      <c r="K4274" s="1" t="inlineStr"/>
      <c r="L4274" s="13" t="n">
        <v>29</v>
      </c>
      <c r="M4274" s="1">
        <f>IF(L4274="","ไม่พบใน SG",IF(ABS(J4274-L4274)&lt;0.005,"ตรงกัน","ไม่ตรง"))</f>
        <v/>
      </c>
      <c r="N4274" s="14">
        <f>IF(L4274="","",ROUND(L4274*'สรุป'!$C$6,-1))</f>
        <v/>
      </c>
      <c r="O4274" s="15" t="n"/>
      <c r="P4274" s="15" t="n"/>
      <c r="Q4274" s="10" t="n"/>
      <c r="R4274" s="10" t="n"/>
      <c r="S4274" s="16" t="inlineStr">
        <is>
          <t>https://mstgolf.co.th/products/gf2000200972</t>
        </is>
      </c>
      <c r="T4274" s="1">
        <f>IF(B4274="ไม้กอล์ฟ",J4274,"")</f>
        <v/>
      </c>
    </row>
    <row r="4275">
      <c r="A4275" s="1" t="n">
        <v>3</v>
      </c>
      <c r="B4275" s="1" t="inlineStr">
        <is>
          <t>หมวก</t>
        </is>
      </c>
      <c r="C4275" s="1" t="inlineStr">
        <is>
          <t>gf2000200973</t>
        </is>
      </c>
      <c r="D4275" s="1" t="inlineStr">
        <is>
          <t>PUMA Sport P Women's Visor (Pink)</t>
        </is>
      </c>
      <c r="E4275" s="1" t="inlineStr">
        <is>
          <t>PUMA</t>
        </is>
      </c>
      <c r="F4275" s="1" t="inlineStr">
        <is>
          <t>VISOR</t>
        </is>
      </c>
      <c r="G4275" s="1" t="inlineStr">
        <is>
          <t>GF2000200973FS</t>
        </is>
      </c>
      <c r="H4275" s="1" t="n">
        <v>1</v>
      </c>
      <c r="I4275" s="1" t="inlineStr">
        <is>
          <t>มี</t>
        </is>
      </c>
      <c r="J4275" s="13" t="n">
        <v>29</v>
      </c>
      <c r="K4275" s="1" t="inlineStr"/>
      <c r="L4275" s="13" t="n">
        <v>29</v>
      </c>
      <c r="M4275" s="1">
        <f>IF(L4275="","ไม่พบใน SG",IF(ABS(J4275-L4275)&lt;0.005,"ตรงกัน","ไม่ตรง"))</f>
        <v/>
      </c>
      <c r="N4275" s="14">
        <f>IF(L4275="","",ROUND(L4275*'สรุป'!$C$6,-1))</f>
        <v/>
      </c>
      <c r="O4275" s="15" t="n"/>
      <c r="P4275" s="15" t="n"/>
      <c r="Q4275" s="10" t="n"/>
      <c r="R4275" s="10" t="n"/>
      <c r="S4275" s="16" t="inlineStr">
        <is>
          <t>https://mstgolf.co.th/products/gf2000200973</t>
        </is>
      </c>
      <c r="T4275" s="1">
        <f>IF(B4275="ไม้กอล์ฟ",J4275,"")</f>
        <v/>
      </c>
    </row>
    <row r="4276">
      <c r="A4276" s="1" t="n">
        <v>3</v>
      </c>
      <c r="B4276" s="1" t="inlineStr">
        <is>
          <t>เสื้อผ้า</t>
        </is>
      </c>
      <c r="C4276" s="1" t="inlineStr">
        <is>
          <t>gf2110200028</t>
        </is>
      </c>
      <c r="D4276" s="1" t="inlineStr">
        <is>
          <t>TABATA Mask (Beige)</t>
        </is>
      </c>
      <c r="E4276" s="1" t="inlineStr">
        <is>
          <t>TABATA</t>
        </is>
      </c>
      <c r="F4276" s="1" t="inlineStr">
        <is>
          <t>PROTECTION GEAR</t>
        </is>
      </c>
      <c r="G4276" s="1" t="inlineStr">
        <is>
          <t>GF2110200028</t>
        </is>
      </c>
      <c r="H4276" s="1" t="n">
        <v>1</v>
      </c>
      <c r="I4276" s="1" t="inlineStr">
        <is>
          <t>มี</t>
        </is>
      </c>
      <c r="J4276" s="13" t="n">
        <v>29</v>
      </c>
      <c r="K4276" s="1" t="inlineStr"/>
      <c r="L4276" s="13" t="n">
        <v>29</v>
      </c>
      <c r="M4276" s="1">
        <f>IF(L4276="","ไม่พบใน SG",IF(ABS(J4276-L4276)&lt;0.005,"ตรงกัน","ไม่ตรง"))</f>
        <v/>
      </c>
      <c r="N4276" s="14">
        <f>IF(L4276="","",ROUND(L4276*'สรุป'!$C$6,-1))</f>
        <v/>
      </c>
      <c r="O4276" s="15" t="n"/>
      <c r="P4276" s="15" t="n"/>
      <c r="Q4276" s="10" t="n"/>
      <c r="R4276" s="10" t="n"/>
      <c r="S4276" s="16" t="inlineStr">
        <is>
          <t>https://mstgolf.co.th/products/gf2110200028</t>
        </is>
      </c>
      <c r="T4276" s="1">
        <f>IF(B4276="ไม้กอล์ฟ",J4276,"")</f>
        <v/>
      </c>
    </row>
    <row r="4277">
      <c r="A4277" s="1" t="n">
        <v>3</v>
      </c>
      <c r="B4277" s="1" t="inlineStr">
        <is>
          <t>หมวก</t>
        </is>
      </c>
      <c r="C4277" s="1" t="inlineStr">
        <is>
          <t>gf2000104736</t>
        </is>
      </c>
      <c r="D4277" s="1" t="inlineStr">
        <is>
          <t>TAYLORMADE Performance DJ Men's Adjustable Cap (Charcoal)</t>
        </is>
      </c>
      <c r="E4277" s="1" t="inlineStr">
        <is>
          <t>TAYLORMADE</t>
        </is>
      </c>
      <c r="F4277" s="1" t="inlineStr">
        <is>
          <t>CAP</t>
        </is>
      </c>
      <c r="G4277" s="1" t="inlineStr">
        <is>
          <t>GF2000104736FS</t>
        </is>
      </c>
      <c r="H4277" s="1" t="n">
        <v>1</v>
      </c>
      <c r="I4277" s="1" t="inlineStr">
        <is>
          <t>มี</t>
        </is>
      </c>
      <c r="J4277" s="13" t="n">
        <v>29</v>
      </c>
      <c r="K4277" s="1" t="inlineStr"/>
      <c r="L4277" s="13" t="n">
        <v>29</v>
      </c>
      <c r="M4277" s="1">
        <f>IF(L4277="","ไม่พบใน SG",IF(ABS(J4277-L4277)&lt;0.005,"ตรงกัน","ไม่ตรง"))</f>
        <v/>
      </c>
      <c r="N4277" s="14">
        <f>IF(L4277="","",ROUND(L4277*'สรุป'!$C$6,-1))</f>
        <v/>
      </c>
      <c r="O4277" s="15" t="n"/>
      <c r="P4277" s="15" t="n"/>
      <c r="Q4277" s="10" t="n"/>
      <c r="R4277" s="10" t="n"/>
      <c r="S4277" s="16" t="inlineStr">
        <is>
          <t>https://mstgolf.co.th/products/gf2000104736</t>
        </is>
      </c>
      <c r="T4277" s="1">
        <f>IF(B4277="ไม้กอล์ฟ",J4277,"")</f>
        <v/>
      </c>
    </row>
    <row r="4278">
      <c r="A4278" s="1" t="n">
        <v>3</v>
      </c>
      <c r="B4278" s="1" t="inlineStr">
        <is>
          <t>หมวก</t>
        </is>
      </c>
      <c r="C4278" s="1" t="inlineStr">
        <is>
          <t>gf2000104712</t>
        </is>
      </c>
      <c r="D4278" s="1" t="inlineStr">
        <is>
          <t>TAYLORMADE Season Opener Men's Cap (White)</t>
        </is>
      </c>
      <c r="E4278" s="1" t="inlineStr">
        <is>
          <t>TAYLORMADE</t>
        </is>
      </c>
      <c r="F4278" s="1" t="inlineStr">
        <is>
          <t>CAP</t>
        </is>
      </c>
      <c r="G4278" s="1" t="inlineStr">
        <is>
          <t>GF2000104712FS</t>
        </is>
      </c>
      <c r="H4278" s="1" t="n">
        <v>1</v>
      </c>
      <c r="I4278" s="1" t="inlineStr">
        <is>
          <t>มี</t>
        </is>
      </c>
      <c r="J4278" s="13" t="n">
        <v>29</v>
      </c>
      <c r="K4278" s="1" t="inlineStr"/>
      <c r="L4278" s="13" t="n">
        <v>29</v>
      </c>
      <c r="M4278" s="1">
        <f>IF(L4278="","ไม่พบใน SG",IF(ABS(J4278-L4278)&lt;0.005,"ตรงกัน","ไม่ตรง"))</f>
        <v/>
      </c>
      <c r="N4278" s="14">
        <f>IF(L4278="","",ROUND(L4278*'สรุป'!$C$6,-1))</f>
        <v/>
      </c>
      <c r="O4278" s="15" t="n"/>
      <c r="P4278" s="15" t="n"/>
      <c r="Q4278" s="10" t="n"/>
      <c r="R4278" s="10" t="n"/>
      <c r="S4278" s="16" t="inlineStr">
        <is>
          <t>https://mstgolf.co.th/products/gf2000104712</t>
        </is>
      </c>
      <c r="T4278" s="1">
        <f>IF(B4278="ไม้กอล์ฟ",J4278,"")</f>
        <v/>
      </c>
    </row>
    <row r="4279">
      <c r="A4279" s="1" t="n">
        <v>3</v>
      </c>
      <c r="B4279" s="1" t="inlineStr">
        <is>
          <t>หมวก</t>
        </is>
      </c>
      <c r="C4279" s="1" t="inlineStr">
        <is>
          <t>gf2000104731</t>
        </is>
      </c>
      <c r="D4279" s="1" t="inlineStr">
        <is>
          <t>TAYLORMADE Tour Lite Tech Men's Cap (White)</t>
        </is>
      </c>
      <c r="E4279" s="1" t="inlineStr">
        <is>
          <t>TAYLORMADE</t>
        </is>
      </c>
      <c r="F4279" s="1" t="inlineStr">
        <is>
          <t>CAP</t>
        </is>
      </c>
      <c r="G4279" s="1" t="inlineStr">
        <is>
          <t>GF2000104731FS</t>
        </is>
      </c>
      <c r="H4279" s="1" t="n">
        <v>1</v>
      </c>
      <c r="I4279" s="1" t="inlineStr">
        <is>
          <t>มี</t>
        </is>
      </c>
      <c r="J4279" s="13" t="n">
        <v>29</v>
      </c>
      <c r="K4279" s="1" t="inlineStr"/>
      <c r="L4279" s="13" t="n">
        <v>29</v>
      </c>
      <c r="M4279" s="1">
        <f>IF(L4279="","ไม่พบใน SG",IF(ABS(J4279-L4279)&lt;0.005,"ตรงกัน","ไม่ตรง"))</f>
        <v/>
      </c>
      <c r="N4279" s="14">
        <f>IF(L4279="","",ROUND(L4279*'สรุป'!$C$6,-1))</f>
        <v/>
      </c>
      <c r="O4279" s="15" t="n"/>
      <c r="P4279" s="15" t="n"/>
      <c r="Q4279" s="10" t="n"/>
      <c r="R4279" s="10" t="n"/>
      <c r="S4279" s="16" t="inlineStr">
        <is>
          <t>https://mstgolf.co.th/products/gf2000104731</t>
        </is>
      </c>
      <c r="T4279" s="1">
        <f>IF(B4279="ไม้กอล์ฟ",J4279,"")</f>
        <v/>
      </c>
    </row>
    <row r="4280">
      <c r="A4280" s="1" t="n">
        <v>3</v>
      </c>
      <c r="B4280" s="1" t="inlineStr">
        <is>
          <t>หมวก</t>
        </is>
      </c>
      <c r="C4280" s="1" t="inlineStr">
        <is>
          <t>gf2000105606</t>
        </is>
      </c>
      <c r="D4280" s="1" t="inlineStr">
        <is>
          <t>UNDER ARMOUR Favourite Women's Cap (Black/Magenta)</t>
        </is>
      </c>
      <c r="E4280" s="1" t="inlineStr">
        <is>
          <t>UNDER ARMOUR</t>
        </is>
      </c>
      <c r="F4280" s="1" t="inlineStr">
        <is>
          <t>CAP</t>
        </is>
      </c>
      <c r="G4280" s="1" t="inlineStr">
        <is>
          <t>GF2000105606FS</t>
        </is>
      </c>
      <c r="H4280" s="1" t="n">
        <v>1</v>
      </c>
      <c r="I4280" s="1" t="inlineStr">
        <is>
          <t>มี</t>
        </is>
      </c>
      <c r="J4280" s="13" t="n">
        <v>29</v>
      </c>
      <c r="K4280" s="1" t="inlineStr"/>
      <c r="L4280" s="13" t="n">
        <v>29</v>
      </c>
      <c r="M4280" s="1">
        <f>IF(L4280="","ไม่พบใน SG",IF(ABS(J4280-L4280)&lt;0.005,"ตรงกัน","ไม่ตรง"))</f>
        <v/>
      </c>
      <c r="N4280" s="14">
        <f>IF(L4280="","",ROUND(L4280*'สรุป'!$C$6,-1))</f>
        <v/>
      </c>
      <c r="O4280" s="15" t="n"/>
      <c r="P4280" s="15" t="n"/>
      <c r="Q4280" s="10" t="n"/>
      <c r="R4280" s="10" t="n"/>
      <c r="S4280" s="16" t="inlineStr">
        <is>
          <t>https://mstgolf.co.th/products/gf2000105606</t>
        </is>
      </c>
      <c r="T4280" s="1">
        <f>IF(B4280="ไม้กอล์ฟ",J4280,"")</f>
        <v/>
      </c>
    </row>
    <row r="4281">
      <c r="A4281" s="1" t="n">
        <v>3</v>
      </c>
      <c r="B4281" s="1" t="inlineStr">
        <is>
          <t>เสื้อผ้า</t>
        </is>
      </c>
      <c r="C4281" s="1" t="inlineStr">
        <is>
          <t>gf2040200085</t>
        </is>
      </c>
      <c r="D4281" s="1" t="inlineStr">
        <is>
          <t>UNDER ARMOUR Golf Caddy Men's T-Shirt (White Clay)</t>
        </is>
      </c>
      <c r="E4281" s="1" t="inlineStr">
        <is>
          <t>UNDER ARMOUR</t>
        </is>
      </c>
      <c r="F4281" s="1" t="inlineStr">
        <is>
          <t>TEE SHIRT</t>
        </is>
      </c>
      <c r="G4281" s="1" t="inlineStr">
        <is>
          <t>GF2040200085XS</t>
        </is>
      </c>
      <c r="H4281" s="1" t="n">
        <v>6</v>
      </c>
      <c r="I4281" s="1" t="inlineStr">
        <is>
          <t>มี</t>
        </is>
      </c>
      <c r="J4281" s="13" t="n">
        <v>29</v>
      </c>
      <c r="K4281" s="1" t="inlineStr"/>
      <c r="L4281" s="13" t="n">
        <v>19</v>
      </c>
      <c r="M4281" s="1">
        <f>IF(L4281="","ไม่พบใน SG",IF(ABS(J4281-L4281)&lt;0.005,"ตรงกัน","ไม่ตรง"))</f>
        <v/>
      </c>
      <c r="N4281" s="14">
        <f>IF(L4281="","",ROUND(L4281*'สรุป'!$C$6,-1))</f>
        <v/>
      </c>
      <c r="O4281" s="15" t="n"/>
      <c r="P4281" s="15" t="n"/>
      <c r="Q4281" s="10" t="n"/>
      <c r="R4281" s="10" t="n"/>
      <c r="S4281" s="16" t="inlineStr">
        <is>
          <t>https://mstgolf.co.th/products/gf2040200085</t>
        </is>
      </c>
      <c r="T4281" s="1">
        <f>IF(B4281="ไม้กอล์ฟ",J4281,"")</f>
        <v/>
      </c>
    </row>
    <row r="4282">
      <c r="A4282" s="1" t="n">
        <v>3</v>
      </c>
      <c r="B4282" s="1" t="inlineStr">
        <is>
          <t>หมวก</t>
        </is>
      </c>
      <c r="C4282" s="1" t="inlineStr">
        <is>
          <t>gf2000104166</t>
        </is>
      </c>
      <c r="D4282" s="1" t="inlineStr">
        <is>
          <t>UNDER ARMOUR Golf96 Men's Cap (Black)</t>
        </is>
      </c>
      <c r="E4282" s="1" t="inlineStr">
        <is>
          <t>UNDER ARMOUR</t>
        </is>
      </c>
      <c r="F4282" s="1" t="inlineStr">
        <is>
          <t>CAP</t>
        </is>
      </c>
      <c r="G4282" s="1" t="inlineStr">
        <is>
          <t>GF2000104166FS</t>
        </is>
      </c>
      <c r="H4282" s="1" t="n">
        <v>1</v>
      </c>
      <c r="I4282" s="1" t="inlineStr">
        <is>
          <t>มี</t>
        </is>
      </c>
      <c r="J4282" s="13" t="n">
        <v>29</v>
      </c>
      <c r="K4282" s="1" t="inlineStr"/>
      <c r="L4282" s="13" t="n">
        <v>29</v>
      </c>
      <c r="M4282" s="1">
        <f>IF(L4282="","ไม่พบใน SG",IF(ABS(J4282-L4282)&lt;0.005,"ตรงกัน","ไม่ตรง"))</f>
        <v/>
      </c>
      <c r="N4282" s="14">
        <f>IF(L4282="","",ROUND(L4282*'สรุป'!$C$6,-1))</f>
        <v/>
      </c>
      <c r="O4282" s="15" t="n"/>
      <c r="P4282" s="15" t="n"/>
      <c r="Q4282" s="10" t="n"/>
      <c r="R4282" s="10" t="n"/>
      <c r="S4282" s="16" t="inlineStr">
        <is>
          <t>https://mstgolf.co.th/products/gf2000104166</t>
        </is>
      </c>
      <c r="T4282" s="1">
        <f>IF(B4282="ไม้กอล์ฟ",J4282,"")</f>
        <v/>
      </c>
    </row>
    <row r="4283">
      <c r="A4283" s="1" t="n">
        <v>3</v>
      </c>
      <c r="B4283" s="1" t="inlineStr">
        <is>
          <t>หมวก</t>
        </is>
      </c>
      <c r="C4283" s="1" t="inlineStr">
        <is>
          <t>gf2000105062</t>
        </is>
      </c>
      <c r="D4283" s="1" t="inlineStr">
        <is>
          <t>UNDER ARMOUR Golf96 Men's Cap (White/Navy)</t>
        </is>
      </c>
      <c r="E4283" s="1" t="inlineStr">
        <is>
          <t>UNDER ARMOUR</t>
        </is>
      </c>
      <c r="F4283" s="1" t="inlineStr">
        <is>
          <t>CAP</t>
        </is>
      </c>
      <c r="G4283" s="1" t="inlineStr">
        <is>
          <t>GF2000105062FS</t>
        </is>
      </c>
      <c r="H4283" s="1" t="n">
        <v>1</v>
      </c>
      <c r="I4283" s="1" t="inlineStr">
        <is>
          <t>มี</t>
        </is>
      </c>
      <c r="J4283" s="13" t="n">
        <v>29</v>
      </c>
      <c r="K4283" s="1" t="inlineStr"/>
      <c r="L4283" s="13" t="n">
        <v>29</v>
      </c>
      <c r="M4283" s="1">
        <f>IF(L4283="","ไม่พบใน SG",IF(ABS(J4283-L4283)&lt;0.005,"ตรงกัน","ไม่ตรง"))</f>
        <v/>
      </c>
      <c r="N4283" s="14">
        <f>IF(L4283="","",ROUND(L4283*'สรุป'!$C$6,-1))</f>
        <v/>
      </c>
      <c r="O4283" s="15" t="n"/>
      <c r="P4283" s="15" t="n"/>
      <c r="Q4283" s="10" t="n"/>
      <c r="R4283" s="10" t="n"/>
      <c r="S4283" s="16" t="inlineStr">
        <is>
          <t>https://mstgolf.co.th/products/gf2000105062</t>
        </is>
      </c>
      <c r="T4283" s="1">
        <f>IF(B4283="ไม้กอล์ฟ",J4283,"")</f>
        <v/>
      </c>
    </row>
    <row r="4284">
      <c r="A4284" s="1" t="n">
        <v>3</v>
      </c>
      <c r="B4284" s="1" t="inlineStr">
        <is>
          <t>เสื้อผ้า</t>
        </is>
      </c>
      <c r="C4284" s="1" t="inlineStr">
        <is>
          <t>gf2040116163</t>
        </is>
      </c>
      <c r="D4284" s="1" t="inlineStr">
        <is>
          <t>UNDER ARMOUR Left Chest Logo Men's Polo (Academy)</t>
        </is>
      </c>
      <c r="E4284" s="1" t="inlineStr">
        <is>
          <t>UNDER ARMOUR</t>
        </is>
      </c>
      <c r="F4284" s="1" t="inlineStr">
        <is>
          <t>SHORT SLEEVES</t>
        </is>
      </c>
      <c r="G4284" s="1" t="inlineStr">
        <is>
          <t>GF2040116163XS</t>
        </is>
      </c>
      <c r="H4284" s="1" t="n">
        <v>6</v>
      </c>
      <c r="I4284" s="1" t="inlineStr">
        <is>
          <t>มี</t>
        </is>
      </c>
      <c r="J4284" s="13" t="n">
        <v>27</v>
      </c>
      <c r="K4284" s="1" t="inlineStr"/>
      <c r="L4284" s="13" t="n">
        <v>19</v>
      </c>
      <c r="M4284" s="1">
        <f>IF(L4284="","ไม่พบใน SG",IF(ABS(J4284-L4284)&lt;0.005,"ตรงกัน","ไม่ตรง"))</f>
        <v/>
      </c>
      <c r="N4284" s="14">
        <f>IF(L4284="","",ROUND(L4284*'สรุป'!$C$6,-1))</f>
        <v/>
      </c>
      <c r="O4284" s="15" t="n"/>
      <c r="P4284" s="15" t="n"/>
      <c r="Q4284" s="10" t="n"/>
      <c r="R4284" s="10" t="n"/>
      <c r="S4284" s="16" t="inlineStr">
        <is>
          <t>https://mstgolf.co.th/products/gf2040116163</t>
        </is>
      </c>
      <c r="T4284" s="1">
        <f>IF(B4284="ไม้กอล์ฟ",J4284,"")</f>
        <v/>
      </c>
    </row>
    <row r="4285">
      <c r="A4285" s="1" t="n">
        <v>3</v>
      </c>
      <c r="B4285" s="1" t="inlineStr">
        <is>
          <t>เสื้อผ้า</t>
        </is>
      </c>
      <c r="C4285" s="1" t="inlineStr">
        <is>
          <t>gf2040116162</t>
        </is>
      </c>
      <c r="D4285" s="1" t="inlineStr">
        <is>
          <t>UNDER ARMOUR Left Chest Logo Men's Polo (Steel Light Heather)</t>
        </is>
      </c>
      <c r="E4285" s="1" t="inlineStr">
        <is>
          <t>UNDER ARMOUR</t>
        </is>
      </c>
      <c r="F4285" s="1" t="inlineStr">
        <is>
          <t>SHORT SLEEVES</t>
        </is>
      </c>
      <c r="G4285" s="1" t="inlineStr">
        <is>
          <t>GF2040116162XS</t>
        </is>
      </c>
      <c r="H4285" s="1" t="n">
        <v>6</v>
      </c>
      <c r="I4285" s="1" t="inlineStr">
        <is>
          <t>มี</t>
        </is>
      </c>
      <c r="J4285" s="13" t="n">
        <v>27</v>
      </c>
      <c r="K4285" s="1" t="inlineStr"/>
      <c r="L4285" s="13" t="n">
        <v>19</v>
      </c>
      <c r="M4285" s="1">
        <f>IF(L4285="","ไม่พบใน SG",IF(ABS(J4285-L4285)&lt;0.005,"ตรงกัน","ไม่ตรง"))</f>
        <v/>
      </c>
      <c r="N4285" s="14">
        <f>IF(L4285="","",ROUND(L4285*'สรุป'!$C$6,-1))</f>
        <v/>
      </c>
      <c r="O4285" s="15" t="n"/>
      <c r="P4285" s="15" t="n"/>
      <c r="Q4285" s="10" t="n"/>
      <c r="R4285" s="10" t="n"/>
      <c r="S4285" s="16" t="inlineStr">
        <is>
          <t>https://mstgolf.co.th/products/gf2040116162</t>
        </is>
      </c>
      <c r="T4285" s="1">
        <f>IF(B4285="ไม้กอล์ฟ",J4285,"")</f>
        <v/>
      </c>
    </row>
    <row r="4286">
      <c r="A4286" s="1" t="n">
        <v>3</v>
      </c>
      <c r="B4286" s="1" t="inlineStr">
        <is>
          <t>หมวก</t>
        </is>
      </c>
      <c r="C4286" s="1" t="inlineStr">
        <is>
          <t>gf2000105067</t>
        </is>
      </c>
      <c r="D4286" s="1" t="inlineStr">
        <is>
          <t>UNDER ARMOUR Storm Driver Men's Cap (White/Navy)</t>
        </is>
      </c>
      <c r="E4286" s="1" t="inlineStr">
        <is>
          <t>UNDER ARMOUR</t>
        </is>
      </c>
      <c r="F4286" s="1" t="inlineStr">
        <is>
          <t>CAP</t>
        </is>
      </c>
      <c r="G4286" s="1" t="inlineStr">
        <is>
          <t>GF2000105067S/M</t>
        </is>
      </c>
      <c r="H4286" s="1" t="n">
        <v>3</v>
      </c>
      <c r="I4286" s="1" t="inlineStr">
        <is>
          <t>มี</t>
        </is>
      </c>
      <c r="J4286" s="13" t="n">
        <v>27</v>
      </c>
      <c r="K4286" s="1" t="inlineStr"/>
      <c r="L4286" s="13" t="n">
        <v>27</v>
      </c>
      <c r="M4286" s="1">
        <f>IF(L4286="","ไม่พบใน SG",IF(ABS(J4286-L4286)&lt;0.005,"ตรงกัน","ไม่ตรง"))</f>
        <v/>
      </c>
      <c r="N4286" s="14">
        <f>IF(L4286="","",ROUND(L4286*'สรุป'!$C$6,-1))</f>
        <v/>
      </c>
      <c r="O4286" s="15" t="n"/>
      <c r="P4286" s="15" t="n"/>
      <c r="Q4286" s="10" t="n"/>
      <c r="R4286" s="10" t="n"/>
      <c r="S4286" s="16" t="inlineStr">
        <is>
          <t>https://mstgolf.co.th/products/gf2000105067</t>
        </is>
      </c>
      <c r="T4286" s="1">
        <f>IF(B4286="ไม้กอล์ฟ",J4286,"")</f>
        <v/>
      </c>
    </row>
    <row r="4287">
      <c r="A4287" s="1" t="n">
        <v>3</v>
      </c>
      <c r="B4287" s="1" t="inlineStr">
        <is>
          <t>อุปกรณ์เสริม</t>
        </is>
      </c>
      <c r="C4287" s="1" t="inlineStr">
        <is>
          <t>gf3500300080</t>
        </is>
      </c>
      <c r="D4287" s="1" t="inlineStr">
        <is>
          <t>GENERAL ITEM PARAGON BALL SHAGGER</t>
        </is>
      </c>
      <c r="E4287" s="1" t="inlineStr">
        <is>
          <t>GENERAL ITEM</t>
        </is>
      </c>
      <c r="F4287" s="1" t="inlineStr">
        <is>
          <t>GOLF ACCESSORIES</t>
        </is>
      </c>
      <c r="G4287" s="1" t="inlineStr">
        <is>
          <t>GF3500300080</t>
        </is>
      </c>
      <c r="H4287" s="1" t="n">
        <v>1</v>
      </c>
      <c r="I4287" s="1" t="inlineStr">
        <is>
          <t>มี</t>
        </is>
      </c>
      <c r="J4287" s="13" t="n">
        <v>26</v>
      </c>
      <c r="K4287" s="1" t="inlineStr"/>
      <c r="L4287" s="13" t="n">
        <v>26</v>
      </c>
      <c r="M4287" s="1">
        <f>IF(L4287="","ไม่พบใน SG",IF(ABS(J4287-L4287)&lt;0.005,"ตรงกัน","ไม่ตรง"))</f>
        <v/>
      </c>
      <c r="N4287" s="14">
        <f>IF(L4287="","",ROUND(L4287*'สรุป'!$C$6,-1))</f>
        <v/>
      </c>
      <c r="O4287" s="15" t="n"/>
      <c r="P4287" s="15" t="n"/>
      <c r="Q4287" s="10" t="n"/>
      <c r="R4287" s="10" t="n"/>
      <c r="S4287" s="16" t="inlineStr">
        <is>
          <t>https://mstgolf.co.th/products/gf3500300080</t>
        </is>
      </c>
      <c r="T4287" s="1">
        <f>IF(B4287="ไม้กอล์ฟ",J4287,"")</f>
        <v/>
      </c>
    </row>
    <row r="4288">
      <c r="A4288" s="1" t="n">
        <v>3</v>
      </c>
      <c r="B4288" s="1" t="inlineStr">
        <is>
          <t>อุปกรณ์เสริม</t>
        </is>
      </c>
      <c r="C4288" s="1" t="inlineStr">
        <is>
          <t>gf2090200277</t>
        </is>
      </c>
      <c r="D4288" s="1" t="inlineStr">
        <is>
          <t>ADIDAS 3-Pack Men's Ankle Socks (Multi)</t>
        </is>
      </c>
      <c r="E4288" s="1" t="inlineStr">
        <is>
          <t>ADIDAS</t>
        </is>
      </c>
      <c r="F4288" s="1" t="inlineStr">
        <is>
          <t>ANKLE SOCKS</t>
        </is>
      </c>
      <c r="G4288" s="1" t="inlineStr">
        <is>
          <t>GF209020027725-27</t>
        </is>
      </c>
      <c r="H4288" s="1" t="n">
        <v>2</v>
      </c>
      <c r="I4288" s="1" t="inlineStr">
        <is>
          <t>มี</t>
        </is>
      </c>
      <c r="J4288" s="13" t="n">
        <v>25</v>
      </c>
      <c r="K4288" s="1" t="inlineStr"/>
      <c r="L4288" s="13" t="n">
        <v>12</v>
      </c>
      <c r="M4288" s="1">
        <f>IF(L4288="","ไม่พบใน SG",IF(ABS(J4288-L4288)&lt;0.005,"ตรงกัน","ไม่ตรง"))</f>
        <v/>
      </c>
      <c r="N4288" s="14">
        <f>IF(L4288="","",ROUND(L4288*'สรุป'!$C$6,-1))</f>
        <v/>
      </c>
      <c r="O4288" s="15" t="n"/>
      <c r="P4288" s="15" t="n"/>
      <c r="Q4288" s="10" t="n"/>
      <c r="R4288" s="10" t="n"/>
      <c r="S4288" s="16" t="inlineStr">
        <is>
          <t>https://mstgolf.co.th/products/gf2090200277</t>
        </is>
      </c>
      <c r="T4288" s="1">
        <f>IF(B4288="ไม้กอล์ฟ",J4288,"")</f>
        <v/>
      </c>
    </row>
    <row r="4289">
      <c r="A4289" s="1" t="n">
        <v>3</v>
      </c>
      <c r="B4289" s="1" t="inlineStr">
        <is>
          <t>อุปกรณ์เสริม</t>
        </is>
      </c>
      <c r="C4289" s="1" t="inlineStr">
        <is>
          <t>gf2090100668</t>
        </is>
      </c>
      <c r="D4289" s="1" t="inlineStr">
        <is>
          <t>ADIDAS 3-Pack Men's No Show Socks (Multi)</t>
        </is>
      </c>
      <c r="E4289" s="1" t="inlineStr">
        <is>
          <t>ADIDAS</t>
        </is>
      </c>
      <c r="F4289" s="1" t="inlineStr">
        <is>
          <t>NO SHOW SOCKS</t>
        </is>
      </c>
      <c r="G4289" s="1" t="inlineStr">
        <is>
          <t>GF20901006682527</t>
        </is>
      </c>
      <c r="H4289" s="1" t="n">
        <v>2</v>
      </c>
      <c r="I4289" s="1" t="inlineStr">
        <is>
          <t>มี</t>
        </is>
      </c>
      <c r="J4289" s="13" t="n">
        <v>25</v>
      </c>
      <c r="K4289" s="1" t="inlineStr"/>
      <c r="L4289" s="13" t="n">
        <v>12</v>
      </c>
      <c r="M4289" s="1">
        <f>IF(L4289="","ไม่พบใน SG",IF(ABS(J4289-L4289)&lt;0.005,"ตรงกัน","ไม่ตรง"))</f>
        <v/>
      </c>
      <c r="N4289" s="14">
        <f>IF(L4289="","",ROUND(L4289*'สรุป'!$C$6,-1))</f>
        <v/>
      </c>
      <c r="O4289" s="15" t="n"/>
      <c r="P4289" s="15" t="n"/>
      <c r="Q4289" s="10" t="n"/>
      <c r="R4289" s="10" t="n"/>
      <c r="S4289" s="16" t="inlineStr">
        <is>
          <t>https://mstgolf.co.th/products/gf2090100668</t>
        </is>
      </c>
      <c r="T4289" s="1">
        <f>IF(B4289="ไม้กอล์ฟ",J4289,"")</f>
        <v/>
      </c>
    </row>
    <row r="4290">
      <c r="A4290" s="1" t="n">
        <v>3</v>
      </c>
      <c r="B4290" s="1" t="inlineStr">
        <is>
          <t>เสื้อผ้า</t>
        </is>
      </c>
      <c r="C4290" s="1" t="inlineStr">
        <is>
          <t>gf2110200020</t>
        </is>
      </c>
      <c r="D4290" s="1" t="inlineStr">
        <is>
          <t>ADIDAS Face Cover (Black)</t>
        </is>
      </c>
      <c r="E4290" s="1" t="inlineStr">
        <is>
          <t>ADIDAS</t>
        </is>
      </c>
      <c r="F4290" s="1" t="inlineStr">
        <is>
          <t>PROTECTION GEAR</t>
        </is>
      </c>
      <c r="G4290" s="1" t="inlineStr">
        <is>
          <t>GF2110200020M</t>
        </is>
      </c>
      <c r="H4290" s="1" t="n">
        <v>2</v>
      </c>
      <c r="I4290" s="1" t="inlineStr">
        <is>
          <t>มี</t>
        </is>
      </c>
      <c r="J4290" s="13" t="n">
        <v>25</v>
      </c>
      <c r="K4290" s="1" t="inlineStr"/>
      <c r="L4290" s="13" t="n">
        <v>17</v>
      </c>
      <c r="M4290" s="1">
        <f>IF(L4290="","ไม่พบใน SG",IF(ABS(J4290-L4290)&lt;0.005,"ตรงกัน","ไม่ตรง"))</f>
        <v/>
      </c>
      <c r="N4290" s="14">
        <f>IF(L4290="","",ROUND(L4290*'สรุป'!$C$6,-1))</f>
        <v/>
      </c>
      <c r="O4290" s="15" t="n"/>
      <c r="P4290" s="15" t="n"/>
      <c r="Q4290" s="10" t="n"/>
      <c r="R4290" s="10" t="n"/>
      <c r="S4290" s="16" t="inlineStr">
        <is>
          <t>https://mstgolf.co.th/products/gf2110200020</t>
        </is>
      </c>
      <c r="T4290" s="1">
        <f>IF(B4290="ไม้กอล์ฟ",J4290,"")</f>
        <v/>
      </c>
    </row>
    <row r="4291">
      <c r="A4291" s="1" t="n">
        <v>3</v>
      </c>
      <c r="B4291" s="1" t="inlineStr">
        <is>
          <t>เสื้อผ้า</t>
        </is>
      </c>
      <c r="C4291" s="1" t="inlineStr">
        <is>
          <t>gf2110200030</t>
        </is>
      </c>
      <c r="D4291" s="1" t="inlineStr">
        <is>
          <t>ADIDAS Face Cover (Taupe)</t>
        </is>
      </c>
      <c r="E4291" s="1" t="inlineStr">
        <is>
          <t>ADIDAS</t>
        </is>
      </c>
      <c r="F4291" s="1" t="inlineStr">
        <is>
          <t>PROTECTION GEAR</t>
        </is>
      </c>
      <c r="G4291" s="1" t="inlineStr">
        <is>
          <t>GF2110200030M</t>
        </is>
      </c>
      <c r="H4291" s="1" t="n">
        <v>2</v>
      </c>
      <c r="I4291" s="1" t="inlineStr">
        <is>
          <t>มี</t>
        </is>
      </c>
      <c r="J4291" s="13" t="n">
        <v>25</v>
      </c>
      <c r="K4291" s="1" t="inlineStr"/>
      <c r="L4291" s="13" t="n">
        <v>17</v>
      </c>
      <c r="M4291" s="1">
        <f>IF(L4291="","ไม่พบใน SG",IF(ABS(J4291-L4291)&lt;0.005,"ตรงกัน","ไม่ตรง"))</f>
        <v/>
      </c>
      <c r="N4291" s="14">
        <f>IF(L4291="","",ROUND(L4291*'สรุป'!$C$6,-1))</f>
        <v/>
      </c>
      <c r="O4291" s="15" t="n"/>
      <c r="P4291" s="15" t="n"/>
      <c r="Q4291" s="10" t="n"/>
      <c r="R4291" s="10" t="n"/>
      <c r="S4291" s="16" t="inlineStr">
        <is>
          <t>https://mstgolf.co.th/products/gf2110200030</t>
        </is>
      </c>
      <c r="T4291" s="1">
        <f>IF(B4291="ไม้กอล์ฟ",J4291,"")</f>
        <v/>
      </c>
    </row>
    <row r="4292">
      <c r="A4292" s="1" t="n">
        <v>3</v>
      </c>
      <c r="B4292" s="1" t="inlineStr">
        <is>
          <t>เสื้อผ้า</t>
        </is>
      </c>
      <c r="C4292" s="1" t="inlineStr">
        <is>
          <t>gf2110200019</t>
        </is>
      </c>
      <c r="D4292" s="1" t="inlineStr">
        <is>
          <t>ADIDAS Face Cover (White)</t>
        </is>
      </c>
      <c r="E4292" s="1" t="inlineStr">
        <is>
          <t>ADIDAS</t>
        </is>
      </c>
      <c r="F4292" s="1" t="inlineStr">
        <is>
          <t>PROTECTION GEAR</t>
        </is>
      </c>
      <c r="G4292" s="1" t="inlineStr">
        <is>
          <t>GF2110200019M</t>
        </is>
      </c>
      <c r="H4292" s="1" t="n">
        <v>2</v>
      </c>
      <c r="I4292" s="1" t="inlineStr">
        <is>
          <t>มี</t>
        </is>
      </c>
      <c r="J4292" s="13" t="n">
        <v>25</v>
      </c>
      <c r="K4292" s="1" t="inlineStr"/>
      <c r="L4292" s="13" t="n">
        <v>17</v>
      </c>
      <c r="M4292" s="1">
        <f>IF(L4292="","ไม่พบใน SG",IF(ABS(J4292-L4292)&lt;0.005,"ตรงกัน","ไม่ตรง"))</f>
        <v/>
      </c>
      <c r="N4292" s="14">
        <f>IF(L4292="","",ROUND(L4292*'สรุป'!$C$6,-1))</f>
        <v/>
      </c>
      <c r="O4292" s="15" t="n"/>
      <c r="P4292" s="15" t="n"/>
      <c r="Q4292" s="10" t="n"/>
      <c r="R4292" s="10" t="n"/>
      <c r="S4292" s="16" t="inlineStr">
        <is>
          <t>https://mstgolf.co.th/products/gf2110200019</t>
        </is>
      </c>
      <c r="T4292" s="1">
        <f>IF(B4292="ไม้กอล์ฟ",J4292,"")</f>
        <v/>
      </c>
    </row>
    <row r="4293">
      <c r="A4293" s="1" t="n">
        <v>3</v>
      </c>
      <c r="B4293" s="1" t="inlineStr">
        <is>
          <t>เสื้อผ้า</t>
        </is>
      </c>
      <c r="C4293" s="1" t="inlineStr">
        <is>
          <t>gf2020202220</t>
        </is>
      </c>
      <c r="D4293" s="1" t="inlineStr">
        <is>
          <t>ADIDAS Junior Ruffle Skort (College Navy)</t>
        </is>
      </c>
      <c r="E4293" s="1" t="inlineStr">
        <is>
          <t>ADIDAS</t>
        </is>
      </c>
      <c r="F4293" s="1" t="inlineStr">
        <is>
          <t>SHORT PANTS</t>
        </is>
      </c>
      <c r="G4293" s="1" t="inlineStr">
        <is>
          <t>GF2020202220128</t>
        </is>
      </c>
      <c r="H4293" s="1" t="n">
        <v>6</v>
      </c>
      <c r="I4293" s="1" t="inlineStr">
        <is>
          <t>มี</t>
        </is>
      </c>
      <c r="J4293" s="13" t="n">
        <v>25</v>
      </c>
      <c r="K4293" s="1" t="inlineStr"/>
      <c r="L4293" s="13" t="n">
        <v>25</v>
      </c>
      <c r="M4293" s="1">
        <f>IF(L4293="","ไม่พบใน SG",IF(ABS(J4293-L4293)&lt;0.005,"ตรงกัน","ไม่ตรง"))</f>
        <v/>
      </c>
      <c r="N4293" s="14">
        <f>IF(L4293="","",ROUND(L4293*'สรุป'!$C$6,-1))</f>
        <v/>
      </c>
      <c r="O4293" s="15" t="n"/>
      <c r="P4293" s="15" t="n"/>
      <c r="Q4293" s="10" t="n"/>
      <c r="R4293" s="10" t="n"/>
      <c r="S4293" s="16" t="inlineStr">
        <is>
          <t>https://mstgolf.co.th/products/gf2020202220</t>
        </is>
      </c>
      <c r="T4293" s="1">
        <f>IF(B4293="ไม้กอล์ฟ",J4293,"")</f>
        <v/>
      </c>
    </row>
    <row r="4294">
      <c r="A4294" s="1" t="n">
        <v>3</v>
      </c>
      <c r="B4294" s="1" t="inlineStr">
        <is>
          <t>เสื้อผ้า</t>
        </is>
      </c>
      <c r="C4294" s="1" t="inlineStr">
        <is>
          <t>gf2020202521</t>
        </is>
      </c>
      <c r="D4294" s="1" t="inlineStr">
        <is>
          <t>ADIDAS Junior Skort (Pink)</t>
        </is>
      </c>
      <c r="E4294" s="1" t="inlineStr">
        <is>
          <t>ADIDAS</t>
        </is>
      </c>
      <c r="F4294" s="1" t="inlineStr">
        <is>
          <t>SHORT PANTS</t>
        </is>
      </c>
      <c r="G4294" s="1" t="inlineStr">
        <is>
          <t>GF2020202521128</t>
        </is>
      </c>
      <c r="H4294" s="1" t="n">
        <v>6</v>
      </c>
      <c r="I4294" s="1" t="inlineStr">
        <is>
          <t>มี</t>
        </is>
      </c>
      <c r="J4294" s="13" t="n">
        <v>25</v>
      </c>
      <c r="K4294" s="1" t="inlineStr"/>
      <c r="L4294" s="13" t="n">
        <v>25</v>
      </c>
      <c r="M4294" s="1">
        <f>IF(L4294="","ไม่พบใน SG",IF(ABS(J4294-L4294)&lt;0.005,"ตรงกัน","ไม่ตรง"))</f>
        <v/>
      </c>
      <c r="N4294" s="14">
        <f>IF(L4294="","",ROUND(L4294*'สรุป'!$C$6,-1))</f>
        <v/>
      </c>
      <c r="O4294" s="15" t="n"/>
      <c r="P4294" s="15" t="n"/>
      <c r="Q4294" s="10" t="n"/>
      <c r="R4294" s="10" t="n"/>
      <c r="S4294" s="16" t="inlineStr">
        <is>
          <t>https://mstgolf.co.th/products/gf2020202521</t>
        </is>
      </c>
      <c r="T4294" s="1">
        <f>IF(B4294="ไม้กอล์ฟ",J4294,"")</f>
        <v/>
      </c>
    </row>
    <row r="4295">
      <c r="A4295" s="1" t="n">
        <v>3</v>
      </c>
      <c r="B4295" s="1" t="inlineStr">
        <is>
          <t>เสื้อผ้า</t>
        </is>
      </c>
      <c r="C4295" s="1" t="inlineStr">
        <is>
          <t>gf2090700098</t>
        </is>
      </c>
      <c r="D4295" s="1" t="inlineStr">
        <is>
          <t>ADIDAS Originals Trefoil Women's Knee Socks (Indigo)</t>
        </is>
      </c>
      <c r="E4295" s="1" t="inlineStr">
        <is>
          <t>ADIDAS</t>
        </is>
      </c>
      <c r="F4295" s="1" t="inlineStr">
        <is>
          <t>KNEE</t>
        </is>
      </c>
      <c r="G4295" s="1" t="inlineStr">
        <is>
          <t>GF2090700098M</t>
        </is>
      </c>
      <c r="H4295" s="1" t="n">
        <v>4</v>
      </c>
      <c r="I4295" s="1" t="inlineStr">
        <is>
          <t>มี</t>
        </is>
      </c>
      <c r="J4295" s="13" t="n">
        <v>25</v>
      </c>
      <c r="K4295" s="1" t="inlineStr"/>
      <c r="L4295" s="13" t="n">
        <v>20</v>
      </c>
      <c r="M4295" s="1">
        <f>IF(L4295="","ไม่พบใน SG",IF(ABS(J4295-L4295)&lt;0.005,"ตรงกัน","ไม่ตรง"))</f>
        <v/>
      </c>
      <c r="N4295" s="14">
        <f>IF(L4295="","",ROUND(L4295*'สรุป'!$C$6,-1))</f>
        <v/>
      </c>
      <c r="O4295" s="15" t="n"/>
      <c r="P4295" s="15" t="n"/>
      <c r="Q4295" s="10" t="n"/>
      <c r="R4295" s="10" t="n"/>
      <c r="S4295" s="16" t="inlineStr">
        <is>
          <t>https://mstgolf.co.th/products/gf2090700098</t>
        </is>
      </c>
      <c r="T4295" s="1">
        <f>IF(B4295="ไม้กอล์ฟ",J4295,"")</f>
        <v/>
      </c>
    </row>
    <row r="4296">
      <c r="A4296" s="1" t="n">
        <v>3</v>
      </c>
      <c r="B4296" s="1" t="inlineStr">
        <is>
          <t>เสื้อผ้า</t>
        </is>
      </c>
      <c r="C4296" s="1" t="inlineStr">
        <is>
          <t>gf2090700112</t>
        </is>
      </c>
      <c r="D4296" s="1" t="inlineStr">
        <is>
          <t>ADIDAS Originals Women's Knee High Socks (Pink)</t>
        </is>
      </c>
      <c r="E4296" s="1" t="inlineStr">
        <is>
          <t>ADIDAS</t>
        </is>
      </c>
      <c r="F4296" s="1" t="inlineStr">
        <is>
          <t>KNEE</t>
        </is>
      </c>
      <c r="G4296" s="1" t="inlineStr">
        <is>
          <t>GF20907001122527</t>
        </is>
      </c>
      <c r="H4296" s="1" t="n">
        <v>2</v>
      </c>
      <c r="I4296" s="1" t="inlineStr">
        <is>
          <t>มี</t>
        </is>
      </c>
      <c r="J4296" s="13" t="n">
        <v>25</v>
      </c>
      <c r="K4296" s="1" t="inlineStr"/>
      <c r="L4296" s="13" t="n">
        <v>22</v>
      </c>
      <c r="M4296" s="1">
        <f>IF(L4296="","ไม่พบใน SG",IF(ABS(J4296-L4296)&lt;0.005,"ตรงกัน","ไม่ตรง"))</f>
        <v/>
      </c>
      <c r="N4296" s="14">
        <f>IF(L4296="","",ROUND(L4296*'สรุป'!$C$6,-1))</f>
        <v/>
      </c>
      <c r="O4296" s="15" t="n"/>
      <c r="P4296" s="15" t="n"/>
      <c r="Q4296" s="10" t="n"/>
      <c r="R4296" s="10" t="n"/>
      <c r="S4296" s="16" t="inlineStr">
        <is>
          <t>https://mstgolf.co.th/products/gf2090700112</t>
        </is>
      </c>
      <c r="T4296" s="1">
        <f>IF(B4296="ไม้กอล์ฟ",J4296,"")</f>
        <v/>
      </c>
    </row>
    <row r="4297">
      <c r="A4297" s="1" t="n">
        <v>3</v>
      </c>
      <c r="B4297" s="1" t="inlineStr">
        <is>
          <t>อุปกรณ์เสริม</t>
        </is>
      </c>
      <c r="C4297" s="1" t="inlineStr">
        <is>
          <t>gf2090200361</t>
        </is>
      </c>
      <c r="D4297" s="1" t="inlineStr">
        <is>
          <t>ADIDAS Performance 3-Pack Men's Ankle Socks (Multi)</t>
        </is>
      </c>
      <c r="E4297" s="1" t="inlineStr">
        <is>
          <t>ADIDAS</t>
        </is>
      </c>
      <c r="F4297" s="1" t="inlineStr">
        <is>
          <t>ANKLE SOCKS</t>
        </is>
      </c>
      <c r="G4297" s="1" t="inlineStr">
        <is>
          <t>GF20902003612527</t>
        </is>
      </c>
      <c r="H4297" s="1" t="n">
        <v>2</v>
      </c>
      <c r="I4297" s="1" t="inlineStr">
        <is>
          <t>มี</t>
        </is>
      </c>
      <c r="J4297" s="13" t="n">
        <v>25</v>
      </c>
      <c r="K4297" s="1" t="inlineStr"/>
      <c r="L4297" s="13" t="n">
        <v>25</v>
      </c>
      <c r="M4297" s="1">
        <f>IF(L4297="","ไม่พบใน SG",IF(ABS(J4297-L4297)&lt;0.005,"ตรงกัน","ไม่ตรง"))</f>
        <v/>
      </c>
      <c r="N4297" s="14">
        <f>IF(L4297="","",ROUND(L4297*'สรุป'!$C$6,-1))</f>
        <v/>
      </c>
      <c r="O4297" s="15" t="n"/>
      <c r="P4297" s="15" t="n"/>
      <c r="Q4297" s="10" t="n"/>
      <c r="R4297" s="10" t="n"/>
      <c r="S4297" s="16" t="inlineStr">
        <is>
          <t>https://mstgolf.co.th/products/gf2090200361</t>
        </is>
      </c>
      <c r="T4297" s="1">
        <f>IF(B4297="ไม้กอล์ฟ",J4297,"")</f>
        <v/>
      </c>
    </row>
    <row r="4298">
      <c r="A4298" s="1" t="n">
        <v>3</v>
      </c>
      <c r="B4298" s="1" t="inlineStr">
        <is>
          <t>อุปกรณ์เสริม</t>
        </is>
      </c>
      <c r="C4298" s="1" t="inlineStr">
        <is>
          <t>gf2090200362</t>
        </is>
      </c>
      <c r="D4298" s="1" t="inlineStr">
        <is>
          <t>ADIDAS Performance 3-Pack Men's Ankle Socks (White)</t>
        </is>
      </c>
      <c r="E4298" s="1" t="inlineStr">
        <is>
          <t>ADIDAS</t>
        </is>
      </c>
      <c r="F4298" s="1" t="inlineStr">
        <is>
          <t>ANKLE SOCKS</t>
        </is>
      </c>
      <c r="G4298" s="1" t="inlineStr">
        <is>
          <t>GF20902003622527</t>
        </is>
      </c>
      <c r="H4298" s="1" t="n">
        <v>2</v>
      </c>
      <c r="I4298" s="1" t="inlineStr">
        <is>
          <t>มี</t>
        </is>
      </c>
      <c r="J4298" s="13" t="n">
        <v>25</v>
      </c>
      <c r="K4298" s="1" t="inlineStr"/>
      <c r="L4298" s="13" t="n">
        <v>25</v>
      </c>
      <c r="M4298" s="1">
        <f>IF(L4298="","ไม่พบใน SG",IF(ABS(J4298-L4298)&lt;0.005,"ตรงกัน","ไม่ตรง"))</f>
        <v/>
      </c>
      <c r="N4298" s="14">
        <f>IF(L4298="","",ROUND(L4298*'สรุป'!$C$6,-1))</f>
        <v/>
      </c>
      <c r="O4298" s="15" t="n"/>
      <c r="P4298" s="15" t="n"/>
      <c r="Q4298" s="10" t="n"/>
      <c r="R4298" s="10" t="n"/>
      <c r="S4298" s="16" t="inlineStr">
        <is>
          <t>https://mstgolf.co.th/products/gf2090200362</t>
        </is>
      </c>
      <c r="T4298" s="1">
        <f>IF(B4298="ไม้กอล์ฟ",J4298,"")</f>
        <v/>
      </c>
    </row>
    <row r="4299">
      <c r="A4299" s="1" t="n">
        <v>3</v>
      </c>
      <c r="B4299" s="1" t="inlineStr">
        <is>
          <t>เสื้อผ้า</t>
        </is>
      </c>
      <c r="C4299" s="1" t="inlineStr">
        <is>
          <t>gf2020202128</t>
        </is>
      </c>
      <c r="D4299" s="1" t="inlineStr">
        <is>
          <t>ADIDAS Ultimate365 Adjustable Boy's Shorts (Navy)</t>
        </is>
      </c>
      <c r="E4299" s="1" t="inlineStr">
        <is>
          <t>ADIDAS</t>
        </is>
      </c>
      <c r="F4299" s="1" t="inlineStr">
        <is>
          <t>SHORT PANTS</t>
        </is>
      </c>
      <c r="G4299" s="1" t="inlineStr">
        <is>
          <t>GF2020202128128</t>
        </is>
      </c>
      <c r="H4299" s="1" t="n">
        <v>5</v>
      </c>
      <c r="I4299" s="1" t="inlineStr">
        <is>
          <t>มี</t>
        </is>
      </c>
      <c r="J4299" s="13" t="n">
        <v>25</v>
      </c>
      <c r="K4299" s="1" t="inlineStr"/>
      <c r="L4299" s="13" t="n">
        <v>25</v>
      </c>
      <c r="M4299" s="1">
        <f>IF(L4299="","ไม่พบใน SG",IF(ABS(J4299-L4299)&lt;0.005,"ตรงกัน","ไม่ตรง"))</f>
        <v/>
      </c>
      <c r="N4299" s="14">
        <f>IF(L4299="","",ROUND(L4299*'สรุป'!$C$6,-1))</f>
        <v/>
      </c>
      <c r="O4299" s="15" t="n"/>
      <c r="P4299" s="15" t="n"/>
      <c r="Q4299" s="10" t="n"/>
      <c r="R4299" s="10" t="n"/>
      <c r="S4299" s="16" t="inlineStr">
        <is>
          <t>https://mstgolf.co.th/products/gf2020202128</t>
        </is>
      </c>
      <c r="T4299" s="1">
        <f>IF(B4299="ไม้กอล์ฟ",J4299,"")</f>
        <v/>
      </c>
    </row>
    <row r="4300">
      <c r="A4300" s="1" t="n">
        <v>3</v>
      </c>
      <c r="B4300" s="1" t="inlineStr">
        <is>
          <t>เสื้อผ้า</t>
        </is>
      </c>
      <c r="C4300" s="1" t="inlineStr">
        <is>
          <t>gf2040116462</t>
        </is>
      </c>
      <c r="D4300" s="1" t="inlineStr">
        <is>
          <t>ADIDAS Versatile Junior Sleeveless Dress (Clay)</t>
        </is>
      </c>
      <c r="E4300" s="1" t="inlineStr">
        <is>
          <t>ADIDAS</t>
        </is>
      </c>
      <c r="F4300" s="1" t="inlineStr">
        <is>
          <t>SHORT SLEEVES</t>
        </is>
      </c>
      <c r="G4300" s="1" t="inlineStr">
        <is>
          <t>GF2040116462128</t>
        </is>
      </c>
      <c r="H4300" s="1" t="n">
        <v>6</v>
      </c>
      <c r="I4300" s="1" t="inlineStr">
        <is>
          <t>มี</t>
        </is>
      </c>
      <c r="J4300" s="13" t="n">
        <v>25</v>
      </c>
      <c r="K4300" s="1" t="inlineStr"/>
      <c r="L4300" s="13" t="n">
        <v>25</v>
      </c>
      <c r="M4300" s="1">
        <f>IF(L4300="","ไม่พบใน SG",IF(ABS(J4300-L4300)&lt;0.005,"ตรงกัน","ไม่ตรง"))</f>
        <v/>
      </c>
      <c r="N4300" s="14">
        <f>IF(L4300="","",ROUND(L4300*'สรุป'!$C$6,-1))</f>
        <v/>
      </c>
      <c r="O4300" s="15" t="n"/>
      <c r="P4300" s="15" t="n"/>
      <c r="Q4300" s="10" t="n"/>
      <c r="R4300" s="10" t="n"/>
      <c r="S4300" s="16" t="inlineStr">
        <is>
          <t>https://mstgolf.co.th/products/gf2040116462</t>
        </is>
      </c>
      <c r="T4300" s="1">
        <f>IF(B4300="ไม้กอล์ฟ",J4300,"")</f>
        <v/>
      </c>
    </row>
    <row r="4301">
      <c r="A4301" s="1" t="n">
        <v>3</v>
      </c>
      <c r="B4301" s="1" t="inlineStr">
        <is>
          <t>หมวก</t>
        </is>
      </c>
      <c r="C4301" s="1" t="inlineStr">
        <is>
          <t>gf2000201027</t>
        </is>
      </c>
      <c r="D4301" s="1" t="inlineStr">
        <is>
          <t>ADIDAS Wide Brim Women's Visor (Black)</t>
        </is>
      </c>
      <c r="E4301" s="1" t="inlineStr">
        <is>
          <t>ADIDAS</t>
        </is>
      </c>
      <c r="F4301" s="1" t="inlineStr">
        <is>
          <t>VISOR</t>
        </is>
      </c>
      <c r="G4301" s="1" t="inlineStr">
        <is>
          <t>GF2000201027FS</t>
        </is>
      </c>
      <c r="H4301" s="1" t="n">
        <v>1</v>
      </c>
      <c r="I4301" s="1" t="inlineStr">
        <is>
          <t>มี</t>
        </is>
      </c>
      <c r="J4301" s="13" t="n">
        <v>25</v>
      </c>
      <c r="K4301" s="1" t="inlineStr"/>
      <c r="L4301" s="13" t="n">
        <v>25</v>
      </c>
      <c r="M4301" s="1">
        <f>IF(L4301="","ไม่พบใน SG",IF(ABS(J4301-L4301)&lt;0.005,"ตรงกัน","ไม่ตรง"))</f>
        <v/>
      </c>
      <c r="N4301" s="14">
        <f>IF(L4301="","",ROUND(L4301*'สรุป'!$C$6,-1))</f>
        <v/>
      </c>
      <c r="O4301" s="15" t="n"/>
      <c r="P4301" s="15" t="n"/>
      <c r="Q4301" s="10" t="n"/>
      <c r="R4301" s="10" t="n"/>
      <c r="S4301" s="16" t="inlineStr">
        <is>
          <t>https://mstgolf.co.th/products/gf2000201027</t>
        </is>
      </c>
      <c r="T4301" s="1">
        <f>IF(B4301="ไม้กอล์ฟ",J4301,"")</f>
        <v/>
      </c>
    </row>
    <row r="4302">
      <c r="A4302" s="1" t="n">
        <v>3</v>
      </c>
      <c r="B4302" s="1" t="inlineStr">
        <is>
          <t>หมวก</t>
        </is>
      </c>
      <c r="C4302" s="1" t="inlineStr">
        <is>
          <t>gf2000201026</t>
        </is>
      </c>
      <c r="D4302" s="1" t="inlineStr">
        <is>
          <t>ADIDAS Wide Brim Women's Visor (White)</t>
        </is>
      </c>
      <c r="E4302" s="1" t="inlineStr">
        <is>
          <t>ADIDAS</t>
        </is>
      </c>
      <c r="F4302" s="1" t="inlineStr">
        <is>
          <t>VISOR</t>
        </is>
      </c>
      <c r="G4302" s="1" t="inlineStr">
        <is>
          <t>GF2000201026FS</t>
        </is>
      </c>
      <c r="H4302" s="1" t="n">
        <v>1</v>
      </c>
      <c r="I4302" s="1" t="inlineStr">
        <is>
          <t>มี</t>
        </is>
      </c>
      <c r="J4302" s="13" t="n">
        <v>25</v>
      </c>
      <c r="K4302" s="1" t="inlineStr"/>
      <c r="L4302" s="13" t="n">
        <v>25</v>
      </c>
      <c r="M4302" s="1">
        <f>IF(L4302="","ไม่พบใน SG",IF(ABS(J4302-L4302)&lt;0.005,"ตรงกัน","ไม่ตรง"))</f>
        <v/>
      </c>
      <c r="N4302" s="14">
        <f>IF(L4302="","",ROUND(L4302*'สรุป'!$C$6,-1))</f>
        <v/>
      </c>
      <c r="O4302" s="15" t="n"/>
      <c r="P4302" s="15" t="n"/>
      <c r="Q4302" s="10" t="n"/>
      <c r="R4302" s="10" t="n"/>
      <c r="S4302" s="16" t="inlineStr">
        <is>
          <t>https://mstgolf.co.th/products/gf2000201026</t>
        </is>
      </c>
      <c r="T4302" s="1">
        <f>IF(B4302="ไม้กอล์ฟ",J4302,"")</f>
        <v/>
      </c>
    </row>
    <row r="4303">
      <c r="A4303" s="1" t="n">
        <v>3</v>
      </c>
      <c r="B4303" s="1" t="inlineStr">
        <is>
          <t>หมวก</t>
        </is>
      </c>
      <c r="C4303" s="1" t="inlineStr">
        <is>
          <t>gf2000200996</t>
        </is>
      </c>
      <c r="D4303" s="1" t="inlineStr">
        <is>
          <t>ADIDAS Wide Women's Visor (Black)</t>
        </is>
      </c>
      <c r="E4303" s="1" t="inlineStr">
        <is>
          <t>ADIDAS</t>
        </is>
      </c>
      <c r="F4303" s="1" t="inlineStr">
        <is>
          <t>VISOR</t>
        </is>
      </c>
      <c r="G4303" s="1" t="inlineStr">
        <is>
          <t>GF2000200996FS</t>
        </is>
      </c>
      <c r="H4303" s="1" t="n">
        <v>1</v>
      </c>
      <c r="I4303" s="1" t="inlineStr">
        <is>
          <t>มี</t>
        </is>
      </c>
      <c r="J4303" s="13" t="n">
        <v>25</v>
      </c>
      <c r="K4303" s="1" t="inlineStr"/>
      <c r="L4303" s="13" t="n">
        <v>25</v>
      </c>
      <c r="M4303" s="1">
        <f>IF(L4303="","ไม่พบใน SG",IF(ABS(J4303-L4303)&lt;0.005,"ตรงกัน","ไม่ตรง"))</f>
        <v/>
      </c>
      <c r="N4303" s="14">
        <f>IF(L4303="","",ROUND(L4303*'สรุป'!$C$6,-1))</f>
        <v/>
      </c>
      <c r="O4303" s="15" t="n"/>
      <c r="P4303" s="15" t="n"/>
      <c r="Q4303" s="10" t="n"/>
      <c r="R4303" s="10" t="n"/>
      <c r="S4303" s="16" t="inlineStr">
        <is>
          <t>https://mstgolf.co.th/products/gf2000200996</t>
        </is>
      </c>
      <c r="T4303" s="1">
        <f>IF(B4303="ไม้กอล์ฟ",J4303,"")</f>
        <v/>
      </c>
    </row>
    <row r="4304">
      <c r="A4304" s="1" t="n">
        <v>3</v>
      </c>
      <c r="B4304" s="1" t="inlineStr">
        <is>
          <t>หมวก</t>
        </is>
      </c>
      <c r="C4304" s="1" t="inlineStr">
        <is>
          <t>gf2000300399</t>
        </is>
      </c>
      <c r="D4304" s="1" t="inlineStr">
        <is>
          <t>ADIDAS Wide Women’s Hat (Taupe)</t>
        </is>
      </c>
      <c r="E4304" s="1" t="inlineStr">
        <is>
          <t>ADIDAS</t>
        </is>
      </c>
      <c r="F4304" s="1" t="inlineStr">
        <is>
          <t>HAT</t>
        </is>
      </c>
      <c r="G4304" s="1" t="inlineStr">
        <is>
          <t>GF2000300399FS</t>
        </is>
      </c>
      <c r="H4304" s="1" t="n">
        <v>1</v>
      </c>
      <c r="I4304" s="1" t="inlineStr">
        <is>
          <t>มี</t>
        </is>
      </c>
      <c r="J4304" s="13" t="n">
        <v>25</v>
      </c>
      <c r="K4304" s="1" t="inlineStr"/>
      <c r="L4304" s="13" t="n"/>
      <c r="M4304" s="1">
        <f>IF(L4304="","ไม่พบใน SG",IF(ABS(J4304-L4304)&lt;0.005,"ตรงกัน","ไม่ตรง"))</f>
        <v/>
      </c>
      <c r="N4304" s="14">
        <f>IF(L4304="","",ROUND(L4304*'สรุป'!$C$6,-1))</f>
        <v/>
      </c>
      <c r="O4304" s="15" t="n"/>
      <c r="P4304" s="15" t="n"/>
      <c r="Q4304" s="10" t="n"/>
      <c r="R4304" s="10" t="n"/>
      <c r="S4304" s="16" t="inlineStr">
        <is>
          <t>https://mstgolf.co.th/products/gf2000300399</t>
        </is>
      </c>
      <c r="T4304" s="1">
        <f>IF(B4304="ไม้กอล์ฟ",J4304,"")</f>
        <v/>
      </c>
    </row>
    <row r="4305">
      <c r="A4305" s="1" t="n">
        <v>3</v>
      </c>
      <c r="B4305" s="1" t="inlineStr">
        <is>
          <t>หมวก</t>
        </is>
      </c>
      <c r="C4305" s="1" t="inlineStr">
        <is>
          <t>gf2000300397</t>
        </is>
      </c>
      <c r="D4305" s="1" t="inlineStr">
        <is>
          <t>ADIDAS Wide Women’s Hat (White)</t>
        </is>
      </c>
      <c r="E4305" s="1" t="inlineStr">
        <is>
          <t>ADIDAS</t>
        </is>
      </c>
      <c r="F4305" s="1" t="inlineStr">
        <is>
          <t>HAT</t>
        </is>
      </c>
      <c r="G4305" s="1" t="inlineStr">
        <is>
          <t>GF2000300397FS</t>
        </is>
      </c>
      <c r="H4305" s="1" t="n">
        <v>1</v>
      </c>
      <c r="I4305" s="1" t="inlineStr">
        <is>
          <t>มี</t>
        </is>
      </c>
      <c r="J4305" s="13" t="n">
        <v>25</v>
      </c>
      <c r="K4305" s="1" t="inlineStr"/>
      <c r="L4305" s="13" t="n">
        <v>25</v>
      </c>
      <c r="M4305" s="1">
        <f>IF(L4305="","ไม่พบใน SG",IF(ABS(J4305-L4305)&lt;0.005,"ตรงกัน","ไม่ตรง"))</f>
        <v/>
      </c>
      <c r="N4305" s="14">
        <f>IF(L4305="","",ROUND(L4305*'สรุป'!$C$6,-1))</f>
        <v/>
      </c>
      <c r="O4305" s="15" t="n"/>
      <c r="P4305" s="15" t="n"/>
      <c r="Q4305" s="10" t="n"/>
      <c r="R4305" s="10" t="n"/>
      <c r="S4305" s="16" t="inlineStr">
        <is>
          <t>https://mstgolf.co.th/products/gf2000300397</t>
        </is>
      </c>
      <c r="T4305" s="1">
        <f>IF(B4305="ไม้กอล์ฟ",J4305,"")</f>
        <v/>
      </c>
    </row>
    <row r="4306">
      <c r="A4306" s="1" t="n">
        <v>3</v>
      </c>
      <c r="B4306" s="1" t="inlineStr">
        <is>
          <t>เสื้อผ้า</t>
        </is>
      </c>
      <c r="C4306" s="1" t="inlineStr">
        <is>
          <t>gf2070400134</t>
        </is>
      </c>
      <c r="D4306" s="1" t="inlineStr">
        <is>
          <t>ADIDAS Women's Baselayer (White)</t>
        </is>
      </c>
      <c r="E4306" s="1" t="inlineStr">
        <is>
          <t>ADIDAS</t>
        </is>
      </c>
      <c r="F4306" s="1" t="inlineStr">
        <is>
          <t>SHIRT</t>
        </is>
      </c>
      <c r="G4306" s="1" t="inlineStr">
        <is>
          <t>GF2070400134XS</t>
        </is>
      </c>
      <c r="H4306" s="1" t="n">
        <v>7</v>
      </c>
      <c r="I4306" s="1" t="inlineStr">
        <is>
          <t>มี</t>
        </is>
      </c>
      <c r="J4306" s="13" t="n">
        <v>25</v>
      </c>
      <c r="K4306" s="1" t="inlineStr"/>
      <c r="L4306" s="13" t="n">
        <v>25</v>
      </c>
      <c r="M4306" s="1">
        <f>IF(L4306="","ไม่พบใน SG",IF(ABS(J4306-L4306)&lt;0.005,"ตรงกัน","ไม่ตรง"))</f>
        <v/>
      </c>
      <c r="N4306" s="14">
        <f>IF(L4306="","",ROUND(L4306*'สรุป'!$C$6,-1))</f>
        <v/>
      </c>
      <c r="O4306" s="15" t="n"/>
      <c r="P4306" s="15" t="n"/>
      <c r="Q4306" s="10" t="n"/>
      <c r="R4306" s="10" t="n"/>
      <c r="S4306" s="16" t="inlineStr">
        <is>
          <t>https://mstgolf.co.th/products/gf2070400134</t>
        </is>
      </c>
      <c r="T4306" s="1">
        <f>IF(B4306="ไม้กอล์ฟ",J4306,"")</f>
        <v/>
      </c>
    </row>
    <row r="4307">
      <c r="A4307" s="1" t="n">
        <v>3</v>
      </c>
      <c r="B4307" s="1" t="inlineStr">
        <is>
          <t>เสื้อผ้า</t>
        </is>
      </c>
      <c r="C4307" s="1" t="inlineStr">
        <is>
          <t>gf2110100151</t>
        </is>
      </c>
      <c r="D4307" s="1" t="inlineStr">
        <is>
          <t>ADIDAS Women’s Armgloves (Black)</t>
        </is>
      </c>
      <c r="E4307" s="1" t="inlineStr">
        <is>
          <t>ADIDAS</t>
        </is>
      </c>
      <c r="F4307" s="1" t="inlineStr">
        <is>
          <t>ARM GLOVE</t>
        </is>
      </c>
      <c r="G4307" s="1" t="inlineStr">
        <is>
          <t>GF2110100151S-M</t>
        </is>
      </c>
      <c r="H4307" s="1" t="n">
        <v>2</v>
      </c>
      <c r="I4307" s="1" t="inlineStr">
        <is>
          <t>มี</t>
        </is>
      </c>
      <c r="J4307" s="13" t="n">
        <v>25</v>
      </c>
      <c r="K4307" s="1" t="inlineStr"/>
      <c r="L4307" s="13" t="n">
        <v>17</v>
      </c>
      <c r="M4307" s="1">
        <f>IF(L4307="","ไม่พบใน SG",IF(ABS(J4307-L4307)&lt;0.005,"ตรงกัน","ไม่ตรง"))</f>
        <v/>
      </c>
      <c r="N4307" s="14">
        <f>IF(L4307="","",ROUND(L4307*'สรุป'!$C$6,-1))</f>
        <v/>
      </c>
      <c r="O4307" s="15" t="n"/>
      <c r="P4307" s="15" t="n"/>
      <c r="Q4307" s="10" t="n"/>
      <c r="R4307" s="10" t="n"/>
      <c r="S4307" s="16" t="inlineStr">
        <is>
          <t>https://mstgolf.co.th/products/gf2110100151</t>
        </is>
      </c>
      <c r="T4307" s="1">
        <f>IF(B4307="ไม้กอล์ฟ",J4307,"")</f>
        <v/>
      </c>
    </row>
    <row r="4308">
      <c r="A4308" s="1" t="n">
        <v>3</v>
      </c>
      <c r="B4308" s="1" t="inlineStr">
        <is>
          <t>เสื้อผ้า</t>
        </is>
      </c>
      <c r="C4308" s="1" t="inlineStr">
        <is>
          <t>gf2110100141</t>
        </is>
      </c>
      <c r="D4308" s="1" t="inlineStr">
        <is>
          <t>ADIDAS Women’s Armgloves (White)</t>
        </is>
      </c>
      <c r="E4308" s="1" t="inlineStr">
        <is>
          <t>ADIDAS</t>
        </is>
      </c>
      <c r="F4308" s="1" t="inlineStr">
        <is>
          <t>ARM GLOVE</t>
        </is>
      </c>
      <c r="G4308" s="1" t="inlineStr">
        <is>
          <t>GF2110100141S-M</t>
        </is>
      </c>
      <c r="H4308" s="1" t="n">
        <v>2</v>
      </c>
      <c r="I4308" s="1" t="inlineStr">
        <is>
          <t>มี</t>
        </is>
      </c>
      <c r="J4308" s="13" t="n">
        <v>25</v>
      </c>
      <c r="K4308" s="1" t="inlineStr"/>
      <c r="L4308" s="13" t="n">
        <v>17</v>
      </c>
      <c r="M4308" s="1">
        <f>IF(L4308="","ไม่พบใน SG",IF(ABS(J4308-L4308)&lt;0.005,"ตรงกัน","ไม่ตรง"))</f>
        <v/>
      </c>
      <c r="N4308" s="14">
        <f>IF(L4308="","",ROUND(L4308*'สรุป'!$C$6,-1))</f>
        <v/>
      </c>
      <c r="O4308" s="15" t="n"/>
      <c r="P4308" s="15" t="n"/>
      <c r="Q4308" s="10" t="n"/>
      <c r="R4308" s="10" t="n"/>
      <c r="S4308" s="16" t="inlineStr">
        <is>
          <t>https://mstgolf.co.th/products/gf2110100141</t>
        </is>
      </c>
      <c r="T4308" s="1">
        <f>IF(B4308="ไม้กอล์ฟ",J4308,"")</f>
        <v/>
      </c>
    </row>
    <row r="4309">
      <c r="A4309" s="1" t="n">
        <v>3</v>
      </c>
      <c r="B4309" s="1" t="inlineStr">
        <is>
          <t>อุปกรณ์เสริม</t>
        </is>
      </c>
      <c r="C4309" s="1" t="inlineStr">
        <is>
          <t>gf2090200205</t>
        </is>
      </c>
      <c r="D4309" s="1" t="inlineStr">
        <is>
          <t>CALVIN KLEIN Tech Women's Ankle Socks (Navy/Blue)</t>
        </is>
      </c>
      <c r="E4309" s="1" t="inlineStr">
        <is>
          <t>CALVIN KLEIN</t>
        </is>
      </c>
      <c r="F4309" s="1" t="inlineStr">
        <is>
          <t>ANKLE SOCKS</t>
        </is>
      </c>
      <c r="G4309" s="1" t="inlineStr">
        <is>
          <t>GF2090200205FS</t>
        </is>
      </c>
      <c r="H4309" s="1" t="n">
        <v>1</v>
      </c>
      <c r="I4309" s="1" t="inlineStr">
        <is>
          <t>มี</t>
        </is>
      </c>
      <c r="J4309" s="13" t="n">
        <v>25</v>
      </c>
      <c r="K4309" s="1" t="inlineStr"/>
      <c r="L4309" s="13" t="n">
        <v>25</v>
      </c>
      <c r="M4309" s="1">
        <f>IF(L4309="","ไม่พบใน SG",IF(ABS(J4309-L4309)&lt;0.005,"ตรงกัน","ไม่ตรง"))</f>
        <v/>
      </c>
      <c r="N4309" s="14">
        <f>IF(L4309="","",ROUND(L4309*'สรุป'!$C$6,-1))</f>
        <v/>
      </c>
      <c r="O4309" s="15" t="n"/>
      <c r="P4309" s="15" t="n"/>
      <c r="Q4309" s="10" t="n"/>
      <c r="R4309" s="10" t="n"/>
      <c r="S4309" s="16" t="inlineStr">
        <is>
          <t>https://mstgolf.co.th/products/gf2090200205</t>
        </is>
      </c>
      <c r="T4309" s="1">
        <f>IF(B4309="ไม้กอล์ฟ",J4309,"")</f>
        <v/>
      </c>
    </row>
    <row r="4310">
      <c r="A4310" s="1" t="n">
        <v>3</v>
      </c>
      <c r="B4310" s="1" t="inlineStr">
        <is>
          <t>อุปกรณ์เสริม</t>
        </is>
      </c>
      <c r="C4310" s="1" t="inlineStr">
        <is>
          <t>gf2090200206</t>
        </is>
      </c>
      <c r="D4310" s="1" t="inlineStr">
        <is>
          <t>CALVIN KLEIN Tech Women's Ankle Socks (Navy/Orchid)</t>
        </is>
      </c>
      <c r="E4310" s="1" t="inlineStr">
        <is>
          <t>CALVIN KLEIN</t>
        </is>
      </c>
      <c r="F4310" s="1" t="inlineStr">
        <is>
          <t>ANKLE SOCKS</t>
        </is>
      </c>
      <c r="G4310" s="1" t="inlineStr">
        <is>
          <t>GF2090200206FS</t>
        </is>
      </c>
      <c r="H4310" s="1" t="n">
        <v>1</v>
      </c>
      <c r="I4310" s="1" t="inlineStr">
        <is>
          <t>มี</t>
        </is>
      </c>
      <c r="J4310" s="13" t="n">
        <v>25</v>
      </c>
      <c r="K4310" s="1" t="inlineStr"/>
      <c r="L4310" s="13" t="n">
        <v>25</v>
      </c>
      <c r="M4310" s="1">
        <f>IF(L4310="","ไม่พบใน SG",IF(ABS(J4310-L4310)&lt;0.005,"ตรงกัน","ไม่ตรง"))</f>
        <v/>
      </c>
      <c r="N4310" s="14">
        <f>IF(L4310="","",ROUND(L4310*'สรุป'!$C$6,-1))</f>
        <v/>
      </c>
      <c r="O4310" s="15" t="n"/>
      <c r="P4310" s="15" t="n"/>
      <c r="Q4310" s="10" t="n"/>
      <c r="R4310" s="10" t="n"/>
      <c r="S4310" s="16" t="inlineStr">
        <is>
          <t>https://mstgolf.co.th/products/gf2090200206</t>
        </is>
      </c>
      <c r="T4310" s="1">
        <f>IF(B4310="ไม้กอล์ฟ",J4310,"")</f>
        <v/>
      </c>
    </row>
    <row r="4311">
      <c r="A4311" s="1" t="n">
        <v>3</v>
      </c>
      <c r="B4311" s="1" t="inlineStr">
        <is>
          <t>อุปกรณ์เสริม</t>
        </is>
      </c>
      <c r="C4311" s="1" t="inlineStr">
        <is>
          <t>gf2090200238</t>
        </is>
      </c>
      <c r="D4311" s="1" t="inlineStr">
        <is>
          <t>CALVIN KLEIN Women's Tech Ankle Socks (Pcob/Navy)</t>
        </is>
      </c>
      <c r="E4311" s="1" t="inlineStr">
        <is>
          <t>CALVIN KLEIN</t>
        </is>
      </c>
      <c r="F4311" s="1" t="inlineStr">
        <is>
          <t>ANKLE SOCKS</t>
        </is>
      </c>
      <c r="G4311" s="1" t="inlineStr">
        <is>
          <t>GF2090200238FS</t>
        </is>
      </c>
      <c r="H4311" s="1" t="n">
        <v>1</v>
      </c>
      <c r="I4311" s="1" t="inlineStr">
        <is>
          <t>มี</t>
        </is>
      </c>
      <c r="J4311" s="13" t="n">
        <v>25</v>
      </c>
      <c r="K4311" s="1" t="inlineStr"/>
      <c r="L4311" s="13" t="n">
        <v>25</v>
      </c>
      <c r="M4311" s="1">
        <f>IF(L4311="","ไม่พบใน SG",IF(ABS(J4311-L4311)&lt;0.005,"ตรงกัน","ไม่ตรง"))</f>
        <v/>
      </c>
      <c r="N4311" s="14">
        <f>IF(L4311="","",ROUND(L4311*'สรุป'!$C$6,-1))</f>
        <v/>
      </c>
      <c r="O4311" s="15" t="n"/>
      <c r="P4311" s="15" t="n"/>
      <c r="Q4311" s="10" t="n"/>
      <c r="R4311" s="10" t="n"/>
      <c r="S4311" s="16" t="inlineStr">
        <is>
          <t>https://mstgolf.co.th/products/gf2090200238</t>
        </is>
      </c>
      <c r="T4311" s="1">
        <f>IF(B4311="ไม้กอล์ฟ",J4311,"")</f>
        <v/>
      </c>
    </row>
    <row r="4312">
      <c r="A4312" s="1" t="n">
        <v>3</v>
      </c>
      <c r="B4312" s="1" t="inlineStr">
        <is>
          <t>อุปกรณ์เสริม</t>
        </is>
      </c>
      <c r="C4312" s="1" t="inlineStr">
        <is>
          <t>gf3500300480</t>
        </is>
      </c>
      <c r="D4312" s="1" t="inlineStr">
        <is>
          <t>CHAMP Zarma Tour Fast Twist 3.0 Spikes - Disk</t>
        </is>
      </c>
      <c r="E4312" s="1" t="inlineStr">
        <is>
          <t>CHAMP</t>
        </is>
      </c>
      <c r="F4312" s="1" t="inlineStr">
        <is>
          <t>GOLF ACCESSORIES</t>
        </is>
      </c>
      <c r="G4312" s="1" t="inlineStr">
        <is>
          <t>GF3500300480</t>
        </is>
      </c>
      <c r="H4312" s="1" t="n">
        <v>1</v>
      </c>
      <c r="I4312" s="1" t="inlineStr">
        <is>
          <t>มี</t>
        </is>
      </c>
      <c r="J4312" s="13" t="n">
        <v>25</v>
      </c>
      <c r="K4312" s="1" t="inlineStr"/>
      <c r="L4312" s="13" t="n">
        <v>25</v>
      </c>
      <c r="M4312" s="1">
        <f>IF(L4312="","ไม่พบใน SG",IF(ABS(J4312-L4312)&lt;0.005,"ตรงกัน","ไม่ตรง"))</f>
        <v/>
      </c>
      <c r="N4312" s="14">
        <f>IF(L4312="","",ROUND(L4312*'สรุป'!$C$6,-1))</f>
        <v/>
      </c>
      <c r="O4312" s="15" t="n"/>
      <c r="P4312" s="15" t="n"/>
      <c r="Q4312" s="10" t="n"/>
      <c r="R4312" s="10" t="n"/>
      <c r="S4312" s="16" t="inlineStr">
        <is>
          <t>https://mstgolf.co.th/products/gf3500300480</t>
        </is>
      </c>
      <c r="T4312" s="1">
        <f>IF(B4312="ไม้กอล์ฟ",J4312,"")</f>
        <v/>
      </c>
    </row>
    <row r="4313">
      <c r="A4313" s="1" t="n">
        <v>3</v>
      </c>
      <c r="B4313" s="1" t="inlineStr">
        <is>
          <t>หมวก</t>
        </is>
      </c>
      <c r="C4313" s="1" t="inlineStr">
        <is>
          <t>gf2000104861</t>
        </is>
      </c>
      <c r="D4313" s="1" t="inlineStr">
        <is>
          <t>CUTTER &amp; BUCK Microfibre Men's Cap (Dark Navy)</t>
        </is>
      </c>
      <c r="E4313" s="1" t="inlineStr">
        <is>
          <t>CUTTER &amp; BUCK</t>
        </is>
      </c>
      <c r="F4313" s="1" t="inlineStr">
        <is>
          <t>CAP</t>
        </is>
      </c>
      <c r="G4313" s="1" t="inlineStr">
        <is>
          <t>GF2000104861FS</t>
        </is>
      </c>
      <c r="H4313" s="1" t="n">
        <v>1</v>
      </c>
      <c r="I4313" s="1" t="inlineStr">
        <is>
          <t>มี</t>
        </is>
      </c>
      <c r="J4313" s="13" t="n">
        <v>25</v>
      </c>
      <c r="K4313" s="1" t="inlineStr"/>
      <c r="L4313" s="13" t="n">
        <v>25</v>
      </c>
      <c r="M4313" s="1">
        <f>IF(L4313="","ไม่พบใน SG",IF(ABS(J4313-L4313)&lt;0.005,"ตรงกัน","ไม่ตรง"))</f>
        <v/>
      </c>
      <c r="N4313" s="14">
        <f>IF(L4313="","",ROUND(L4313*'สรุป'!$C$6,-1))</f>
        <v/>
      </c>
      <c r="O4313" s="15" t="n"/>
      <c r="P4313" s="15" t="n"/>
      <c r="Q4313" s="10" t="n"/>
      <c r="R4313" s="10" t="n"/>
      <c r="S4313" s="16" t="inlineStr">
        <is>
          <t>https://mstgolf.co.th/products/gf2000104861</t>
        </is>
      </c>
      <c r="T4313" s="1">
        <f>IF(B4313="ไม้กอล์ฟ",J4313,"")</f>
        <v/>
      </c>
    </row>
    <row r="4314">
      <c r="A4314" s="1" t="n">
        <v>3</v>
      </c>
      <c r="B4314" s="1" t="inlineStr">
        <is>
          <t>หมวก</t>
        </is>
      </c>
      <c r="C4314" s="1" t="inlineStr">
        <is>
          <t>gf2000300532</t>
        </is>
      </c>
      <c r="D4314" s="1" t="inlineStr">
        <is>
          <t>DISNEY Best Pals By Par Men's Hat (White)</t>
        </is>
      </c>
      <c r="E4314" s="1" t="inlineStr">
        <is>
          <t>DISNEY</t>
        </is>
      </c>
      <c r="F4314" s="1" t="inlineStr">
        <is>
          <t>HAT</t>
        </is>
      </c>
      <c r="G4314" s="1" t="inlineStr">
        <is>
          <t>GF2000300532FS</t>
        </is>
      </c>
      <c r="H4314" s="1" t="n">
        <v>1</v>
      </c>
      <c r="I4314" s="1" t="inlineStr">
        <is>
          <t>มี</t>
        </is>
      </c>
      <c r="J4314" s="13" t="n">
        <v>25</v>
      </c>
      <c r="K4314" s="1" t="inlineStr"/>
      <c r="L4314" s="13" t="n">
        <v>25</v>
      </c>
      <c r="M4314" s="1">
        <f>IF(L4314="","ไม่พบใน SG",IF(ABS(J4314-L4314)&lt;0.005,"ตรงกัน","ไม่ตรง"))</f>
        <v/>
      </c>
      <c r="N4314" s="14">
        <f>IF(L4314="","",ROUND(L4314*'สรุป'!$C$6,-1))</f>
        <v/>
      </c>
      <c r="O4314" s="15" t="n"/>
      <c r="P4314" s="15" t="n"/>
      <c r="Q4314" s="10" t="n"/>
      <c r="R4314" s="10" t="n"/>
      <c r="S4314" s="16" t="inlineStr">
        <is>
          <t>https://mstgolf.co.th/products/gf2000300532</t>
        </is>
      </c>
      <c r="T4314" s="1">
        <f>IF(B4314="ไม้กอล์ฟ",J4314,"")</f>
        <v/>
      </c>
    </row>
    <row r="4315">
      <c r="A4315" s="1" t="n">
        <v>3</v>
      </c>
      <c r="B4315" s="1" t="inlineStr">
        <is>
          <t>หมวก</t>
        </is>
      </c>
      <c r="C4315" s="1" t="inlineStr">
        <is>
          <t>gf2000106709</t>
        </is>
      </c>
      <c r="D4315" s="1" t="inlineStr">
        <is>
          <t>DISNEY Chip &amp; Dale Men's Cap (Khaki)</t>
        </is>
      </c>
      <c r="E4315" s="1" t="inlineStr">
        <is>
          <t>DISNEY</t>
        </is>
      </c>
      <c r="F4315" s="1" t="inlineStr">
        <is>
          <t>CAP</t>
        </is>
      </c>
      <c r="G4315" s="1" t="inlineStr">
        <is>
          <t>GF2000106709FS</t>
        </is>
      </c>
      <c r="H4315" s="1" t="n">
        <v>1</v>
      </c>
      <c r="I4315" s="1" t="inlineStr">
        <is>
          <t>มี</t>
        </is>
      </c>
      <c r="J4315" s="13" t="n">
        <v>25</v>
      </c>
      <c r="K4315" s="1" t="inlineStr"/>
      <c r="L4315" s="13" t="n">
        <v>25</v>
      </c>
      <c r="M4315" s="1">
        <f>IF(L4315="","ไม่พบใน SG",IF(ABS(J4315-L4315)&lt;0.005,"ตรงกัน","ไม่ตรง"))</f>
        <v/>
      </c>
      <c r="N4315" s="14">
        <f>IF(L4315="","",ROUND(L4315*'สรุป'!$C$6,-1))</f>
        <v/>
      </c>
      <c r="O4315" s="15" t="n"/>
      <c r="P4315" s="15" t="n"/>
      <c r="Q4315" s="10" t="n"/>
      <c r="R4315" s="10" t="n"/>
      <c r="S4315" s="16" t="inlineStr">
        <is>
          <t>https://mstgolf.co.th/products/gf2000106709</t>
        </is>
      </c>
      <c r="T4315" s="1">
        <f>IF(B4315="ไม้กอล์ฟ",J4315,"")</f>
        <v/>
      </c>
    </row>
    <row r="4316">
      <c r="A4316" s="1" t="n">
        <v>3</v>
      </c>
      <c r="B4316" s="1" t="inlineStr">
        <is>
          <t>หมวก</t>
        </is>
      </c>
      <c r="C4316" s="1" t="inlineStr">
        <is>
          <t>gf2000106708</t>
        </is>
      </c>
      <c r="D4316" s="1" t="inlineStr">
        <is>
          <t>DISNEY Donald Duck Men's Cap (Navy)</t>
        </is>
      </c>
      <c r="E4316" s="1" t="inlineStr">
        <is>
          <t>DISNEY</t>
        </is>
      </c>
      <c r="F4316" s="1" t="inlineStr">
        <is>
          <t>CAP</t>
        </is>
      </c>
      <c r="G4316" s="1" t="inlineStr">
        <is>
          <t>GF2000106708FS</t>
        </is>
      </c>
      <c r="H4316" s="1" t="n">
        <v>1</v>
      </c>
      <c r="I4316" s="1" t="inlineStr">
        <is>
          <t>มี</t>
        </is>
      </c>
      <c r="J4316" s="13" t="n">
        <v>25</v>
      </c>
      <c r="K4316" s="1" t="inlineStr"/>
      <c r="L4316" s="13" t="n">
        <v>25</v>
      </c>
      <c r="M4316" s="1">
        <f>IF(L4316="","ไม่พบใน SG",IF(ABS(J4316-L4316)&lt;0.005,"ตรงกัน","ไม่ตรง"))</f>
        <v/>
      </c>
      <c r="N4316" s="14">
        <f>IF(L4316="","",ROUND(L4316*'สรุป'!$C$6,-1))</f>
        <v/>
      </c>
      <c r="O4316" s="15" t="n"/>
      <c r="P4316" s="15" t="n"/>
      <c r="Q4316" s="10" t="n"/>
      <c r="R4316" s="10" t="n"/>
      <c r="S4316" s="16" t="inlineStr">
        <is>
          <t>https://mstgolf.co.th/products/gf2000106708</t>
        </is>
      </c>
      <c r="T4316" s="1">
        <f>IF(B4316="ไม้กอล์ฟ",J4316,"")</f>
        <v/>
      </c>
    </row>
    <row r="4317">
      <c r="A4317" s="1" t="n">
        <v>3</v>
      </c>
      <c r="B4317" s="1" t="inlineStr">
        <is>
          <t>หมวก</t>
        </is>
      </c>
      <c r="C4317" s="1" t="inlineStr">
        <is>
          <t>gf2000300533</t>
        </is>
      </c>
      <c r="D4317" s="1" t="inlineStr">
        <is>
          <t>DISNEY Mickey Country Club Men's Hat (Navy)</t>
        </is>
      </c>
      <c r="E4317" s="1" t="inlineStr">
        <is>
          <t>DISNEY</t>
        </is>
      </c>
      <c r="F4317" s="1" t="inlineStr">
        <is>
          <t>HAT</t>
        </is>
      </c>
      <c r="G4317" s="1" t="inlineStr">
        <is>
          <t>GF2000300533FS</t>
        </is>
      </c>
      <c r="H4317" s="1" t="n">
        <v>1</v>
      </c>
      <c r="I4317" s="1" t="inlineStr">
        <is>
          <t>มี</t>
        </is>
      </c>
      <c r="J4317" s="13" t="n">
        <v>25</v>
      </c>
      <c r="K4317" s="1" t="inlineStr"/>
      <c r="L4317" s="13" t="n">
        <v>25</v>
      </c>
      <c r="M4317" s="1">
        <f>IF(L4317="","ไม่พบใน SG",IF(ABS(J4317-L4317)&lt;0.005,"ตรงกัน","ไม่ตรง"))</f>
        <v/>
      </c>
      <c r="N4317" s="14">
        <f>IF(L4317="","",ROUND(L4317*'สรุป'!$C$6,-1))</f>
        <v/>
      </c>
      <c r="O4317" s="15" t="n"/>
      <c r="P4317" s="15" t="n"/>
      <c r="Q4317" s="10" t="n"/>
      <c r="R4317" s="10" t="n"/>
      <c r="S4317" s="16" t="inlineStr">
        <is>
          <t>https://mstgolf.co.th/products/gf2000300533</t>
        </is>
      </c>
      <c r="T4317" s="1">
        <f>IF(B4317="ไม้กอล์ฟ",J4317,"")</f>
        <v/>
      </c>
    </row>
    <row r="4318">
      <c r="A4318" s="1" t="n">
        <v>3</v>
      </c>
      <c r="B4318" s="1" t="inlineStr">
        <is>
          <t>หมวก</t>
        </is>
      </c>
      <c r="C4318" s="1" t="inlineStr">
        <is>
          <t>gf2000106707</t>
        </is>
      </c>
      <c r="D4318" s="1" t="inlineStr">
        <is>
          <t>DISNEY Mickey Mouse Men's Cap (Grey)</t>
        </is>
      </c>
      <c r="E4318" s="1" t="inlineStr">
        <is>
          <t>DISNEY</t>
        </is>
      </c>
      <c r="F4318" s="1" t="inlineStr">
        <is>
          <t>CAP</t>
        </is>
      </c>
      <c r="G4318" s="1" t="inlineStr">
        <is>
          <t>GF2000106707FS</t>
        </is>
      </c>
      <c r="H4318" s="1" t="n">
        <v>1</v>
      </c>
      <c r="I4318" s="1" t="inlineStr">
        <is>
          <t>มี</t>
        </is>
      </c>
      <c r="J4318" s="13" t="n">
        <v>25</v>
      </c>
      <c r="K4318" s="1" t="inlineStr"/>
      <c r="L4318" s="13" t="n">
        <v>25</v>
      </c>
      <c r="M4318" s="1">
        <f>IF(L4318="","ไม่พบใน SG",IF(ABS(J4318-L4318)&lt;0.005,"ตรงกัน","ไม่ตรง"))</f>
        <v/>
      </c>
      <c r="N4318" s="14">
        <f>IF(L4318="","",ROUND(L4318*'สรุป'!$C$6,-1))</f>
        <v/>
      </c>
      <c r="O4318" s="15" t="n"/>
      <c r="P4318" s="15" t="n"/>
      <c r="Q4318" s="10" t="n"/>
      <c r="R4318" s="10" t="n"/>
      <c r="S4318" s="16" t="inlineStr">
        <is>
          <t>https://mstgolf.co.th/products/gf2000106707</t>
        </is>
      </c>
      <c r="T4318" s="1">
        <f>IF(B4318="ไม้กอล์ฟ",J4318,"")</f>
        <v/>
      </c>
    </row>
    <row r="4319">
      <c r="A4319" s="1" t="n">
        <v>3</v>
      </c>
      <c r="B4319" s="1" t="inlineStr">
        <is>
          <t>อุปกรณ์เสริม</t>
        </is>
      </c>
      <c r="C4319" s="1" t="inlineStr">
        <is>
          <t>gf3500300964</t>
        </is>
      </c>
      <c r="D4319" s="1" t="inlineStr">
        <is>
          <t>GENERAL ITEM Paragon Golf Hitting Net 3-Hole (Black)</t>
        </is>
      </c>
      <c r="E4319" s="1" t="inlineStr">
        <is>
          <t>GENERAL ITEM</t>
        </is>
      </c>
      <c r="F4319" s="1" t="inlineStr">
        <is>
          <t>GOLF ACCESSORIES</t>
        </is>
      </c>
      <c r="G4319" s="1" t="inlineStr">
        <is>
          <t>GF3500300964</t>
        </is>
      </c>
      <c r="H4319" s="1" t="n">
        <v>1</v>
      </c>
      <c r="I4319" s="1" t="inlineStr">
        <is>
          <t>มี</t>
        </is>
      </c>
      <c r="J4319" s="13" t="n">
        <v>25</v>
      </c>
      <c r="K4319" s="1" t="inlineStr"/>
      <c r="L4319" s="13" t="n">
        <v>25</v>
      </c>
      <c r="M4319" s="1">
        <f>IF(L4319="","ไม่พบใน SG",IF(ABS(J4319-L4319)&lt;0.005,"ตรงกัน","ไม่ตรง"))</f>
        <v/>
      </c>
      <c r="N4319" s="14">
        <f>IF(L4319="","",ROUND(L4319*'สรุป'!$C$6,-1))</f>
        <v/>
      </c>
      <c r="O4319" s="15" t="n"/>
      <c r="P4319" s="15" t="n"/>
      <c r="Q4319" s="10" t="n"/>
      <c r="R4319" s="10" t="n"/>
      <c r="S4319" s="16" t="inlineStr">
        <is>
          <t>https://mstgolf.co.th/products/gf3500300964</t>
        </is>
      </c>
      <c r="T4319" s="1">
        <f>IF(B4319="ไม้กอล์ฟ",J4319,"")</f>
        <v/>
      </c>
    </row>
    <row r="4320">
      <c r="A4320" s="1" t="n">
        <v>3</v>
      </c>
      <c r="B4320" s="1" t="inlineStr">
        <is>
          <t>อุปกรณ์เสริม</t>
        </is>
      </c>
      <c r="C4320" s="1" t="inlineStr">
        <is>
          <t>gf3500200383</t>
        </is>
      </c>
      <c r="D4320" s="1" t="inlineStr">
        <is>
          <t>GENERAL ITEM Smiley Putter Headcover (Black)</t>
        </is>
      </c>
      <c r="E4320" s="1" t="inlineStr">
        <is>
          <t>GENERAL ITEM</t>
        </is>
      </c>
      <c r="F4320" s="1" t="inlineStr">
        <is>
          <t>HEADCOVERS</t>
        </is>
      </c>
      <c r="G4320" s="1" t="inlineStr">
        <is>
          <t>GF3500200383</t>
        </is>
      </c>
      <c r="H4320" s="1" t="n">
        <v>1</v>
      </c>
      <c r="I4320" s="1" t="inlineStr">
        <is>
          <t>มี</t>
        </is>
      </c>
      <c r="J4320" s="13" t="n">
        <v>25</v>
      </c>
      <c r="K4320" s="1" t="inlineStr"/>
      <c r="L4320" s="13" t="n"/>
      <c r="M4320" s="1">
        <f>IF(L4320="","ไม่พบใน SG",IF(ABS(J4320-L4320)&lt;0.005,"ตรงกัน","ไม่ตรง"))</f>
        <v/>
      </c>
      <c r="N4320" s="14">
        <f>IF(L4320="","",ROUND(L4320*'สรุป'!$C$6,-1))</f>
        <v/>
      </c>
      <c r="O4320" s="15" t="n"/>
      <c r="P4320" s="15" t="n"/>
      <c r="Q4320" s="10" t="n"/>
      <c r="R4320" s="10" t="n"/>
      <c r="S4320" s="16" t="inlineStr">
        <is>
          <t>https://mstgolf.co.th/products/gf3500200383</t>
        </is>
      </c>
      <c r="T4320" s="1">
        <f>IF(B4320="ไม้กอล์ฟ",J4320,"")</f>
        <v/>
      </c>
    </row>
    <row r="4321">
      <c r="A4321" s="1" t="n">
        <v>3</v>
      </c>
      <c r="B4321" s="1" t="inlineStr">
        <is>
          <t>อุปกรณ์เสริม</t>
        </is>
      </c>
      <c r="C4321" s="1" t="inlineStr">
        <is>
          <t>gf3500200384</t>
        </is>
      </c>
      <c r="D4321" s="1" t="inlineStr">
        <is>
          <t>GENERAL ITEM Smiley Putter Headcover (White)</t>
        </is>
      </c>
      <c r="E4321" s="1" t="inlineStr">
        <is>
          <t>GENERAL ITEM</t>
        </is>
      </c>
      <c r="F4321" s="1" t="inlineStr">
        <is>
          <t>HEADCOVERS</t>
        </is>
      </c>
      <c r="G4321" s="1" t="inlineStr">
        <is>
          <t>GF3500200384</t>
        </is>
      </c>
      <c r="H4321" s="1" t="n">
        <v>1</v>
      </c>
      <c r="I4321" s="1" t="inlineStr">
        <is>
          <t>มี</t>
        </is>
      </c>
      <c r="J4321" s="13" t="n">
        <v>25</v>
      </c>
      <c r="K4321" s="1" t="inlineStr"/>
      <c r="L4321" s="13" t="n"/>
      <c r="M4321" s="1">
        <f>IF(L4321="","ไม่พบใน SG",IF(ABS(J4321-L4321)&lt;0.005,"ตรงกัน","ไม่ตรง"))</f>
        <v/>
      </c>
      <c r="N4321" s="14">
        <f>IF(L4321="","",ROUND(L4321*'สรุป'!$C$6,-1))</f>
        <v/>
      </c>
      <c r="O4321" s="15" t="n"/>
      <c r="P4321" s="15" t="n"/>
      <c r="Q4321" s="10" t="n"/>
      <c r="R4321" s="10" t="n"/>
      <c r="S4321" s="16" t="inlineStr">
        <is>
          <t>https://mstgolf.co.th/products/gf3500200384</t>
        </is>
      </c>
      <c r="T4321" s="1">
        <f>IF(B4321="ไม้กอล์ฟ",J4321,"")</f>
        <v/>
      </c>
    </row>
    <row r="4322">
      <c r="A4322" s="1" t="n">
        <v>3</v>
      </c>
      <c r="B4322" s="1" t="inlineStr">
        <is>
          <t>อุปกรณ์เสริม</t>
        </is>
      </c>
      <c r="C4322" s="1" t="inlineStr">
        <is>
          <t>gf3500200385</t>
        </is>
      </c>
      <c r="D4322" s="1" t="inlineStr">
        <is>
          <t>GENERAL ITEM Smiley Putter Headcover (Yellow)</t>
        </is>
      </c>
      <c r="E4322" s="1" t="inlineStr">
        <is>
          <t>GENERAL ITEM</t>
        </is>
      </c>
      <c r="F4322" s="1" t="inlineStr">
        <is>
          <t>HEADCOVERS</t>
        </is>
      </c>
      <c r="G4322" s="1" t="inlineStr">
        <is>
          <t>GF3500200385</t>
        </is>
      </c>
      <c r="H4322" s="1" t="n">
        <v>1</v>
      </c>
      <c r="I4322" s="1" t="inlineStr">
        <is>
          <t>มี</t>
        </is>
      </c>
      <c r="J4322" s="13" t="n">
        <v>25</v>
      </c>
      <c r="K4322" s="1" t="inlineStr"/>
      <c r="L4322" s="13" t="n"/>
      <c r="M4322" s="1">
        <f>IF(L4322="","ไม่พบใน SG",IF(ABS(J4322-L4322)&lt;0.005,"ตรงกัน","ไม่ตรง"))</f>
        <v/>
      </c>
      <c r="N4322" s="14">
        <f>IF(L4322="","",ROUND(L4322*'สรุป'!$C$6,-1))</f>
        <v/>
      </c>
      <c r="O4322" s="15" t="n"/>
      <c r="P4322" s="15" t="n"/>
      <c r="Q4322" s="10" t="n"/>
      <c r="R4322" s="10" t="n"/>
      <c r="S4322" s="16" t="inlineStr">
        <is>
          <t>https://mstgolf.co.th/products/gf3500200385</t>
        </is>
      </c>
      <c r="T4322" s="1">
        <f>IF(B4322="ไม้กอล์ฟ",J4322,"")</f>
        <v/>
      </c>
    </row>
    <row r="4323">
      <c r="A4323" s="1" t="n">
        <v>3</v>
      </c>
      <c r="B4323" s="1" t="inlineStr">
        <is>
          <t>อุปกรณ์เสริม</t>
        </is>
      </c>
      <c r="C4323" s="1" t="inlineStr">
        <is>
          <t>gf2090300177</t>
        </is>
      </c>
      <c r="D4323" s="1" t="inlineStr">
        <is>
          <t>GFORE Camo Men's Crew Socks (Cielo)</t>
        </is>
      </c>
      <c r="E4323" s="1" t="inlineStr">
        <is>
          <t>GFORE</t>
        </is>
      </c>
      <c r="F4323" s="1" t="inlineStr">
        <is>
          <t>CREW/QUARTER SOCKS</t>
        </is>
      </c>
      <c r="G4323" s="1" t="inlineStr">
        <is>
          <t>GF2090300177S/M</t>
        </is>
      </c>
      <c r="H4323" s="1" t="n">
        <v>3</v>
      </c>
      <c r="I4323" s="1" t="inlineStr">
        <is>
          <t>มี</t>
        </is>
      </c>
      <c r="J4323" s="13" t="n">
        <v>25</v>
      </c>
      <c r="K4323" s="1" t="inlineStr"/>
      <c r="L4323" s="13" t="n">
        <v>25</v>
      </c>
      <c r="M4323" s="1">
        <f>IF(L4323="","ไม่พบใน SG",IF(ABS(J4323-L4323)&lt;0.005,"ตรงกัน","ไม่ตรง"))</f>
        <v/>
      </c>
      <c r="N4323" s="14">
        <f>IF(L4323="","",ROUND(L4323*'สรุป'!$C$6,-1))</f>
        <v/>
      </c>
      <c r="O4323" s="15" t="n"/>
      <c r="P4323" s="15" t="n"/>
      <c r="Q4323" s="10" t="n"/>
      <c r="R4323" s="10" t="n"/>
      <c r="S4323" s="16" t="inlineStr">
        <is>
          <t>https://mstgolf.co.th/products/gf2090300177</t>
        </is>
      </c>
      <c r="T4323" s="1">
        <f>IF(B4323="ไม้กอล์ฟ",J4323,"")</f>
        <v/>
      </c>
    </row>
    <row r="4324">
      <c r="A4324" s="1" t="n">
        <v>3</v>
      </c>
      <c r="B4324" s="1" t="inlineStr">
        <is>
          <t>อุปกรณ์เสริม</t>
        </is>
      </c>
      <c r="C4324" s="1" t="inlineStr">
        <is>
          <t>gf2090300147</t>
        </is>
      </c>
      <c r="D4324" s="1" t="inlineStr">
        <is>
          <t>GFORE Mixed Stripe Men's Crew Socks (Vista Blue)</t>
        </is>
      </c>
      <c r="E4324" s="1" t="inlineStr">
        <is>
          <t>GFORE</t>
        </is>
      </c>
      <c r="F4324" s="1" t="inlineStr">
        <is>
          <t>CREW/QUARTER SOCKS</t>
        </is>
      </c>
      <c r="G4324" s="1" t="inlineStr">
        <is>
          <t>GF2090300147M/L</t>
        </is>
      </c>
      <c r="H4324" s="1" t="n">
        <v>2</v>
      </c>
      <c r="I4324" s="1" t="inlineStr">
        <is>
          <t>มี</t>
        </is>
      </c>
      <c r="J4324" s="13" t="n">
        <v>25</v>
      </c>
      <c r="K4324" s="1" t="inlineStr"/>
      <c r="L4324" s="13" t="n">
        <v>25</v>
      </c>
      <c r="M4324" s="1">
        <f>IF(L4324="","ไม่พบใน SG",IF(ABS(J4324-L4324)&lt;0.005,"ตรงกัน","ไม่ตรง"))</f>
        <v/>
      </c>
      <c r="N4324" s="14">
        <f>IF(L4324="","",ROUND(L4324*'สรุป'!$C$6,-1))</f>
        <v/>
      </c>
      <c r="O4324" s="15" t="n"/>
      <c r="P4324" s="15" t="n"/>
      <c r="Q4324" s="10" t="n"/>
      <c r="R4324" s="10" t="n"/>
      <c r="S4324" s="16" t="inlineStr">
        <is>
          <t>https://mstgolf.co.th/products/gf2090300147</t>
        </is>
      </c>
      <c r="T4324" s="1">
        <f>IF(B4324="ไม้กอล์ฟ",J4324,"")</f>
        <v/>
      </c>
    </row>
    <row r="4325">
      <c r="A4325" s="1" t="n">
        <v>3</v>
      </c>
      <c r="B4325" s="1" t="inlineStr">
        <is>
          <t>อุปกรณ์เสริม</t>
        </is>
      </c>
      <c r="C4325" s="1" t="inlineStr">
        <is>
          <t>gf2090300141</t>
        </is>
      </c>
      <c r="D4325" s="1" t="inlineStr">
        <is>
          <t>GFORE Multi-Striped Men's Socks (Twilight)</t>
        </is>
      </c>
      <c r="E4325" s="1" t="inlineStr">
        <is>
          <t>GFORE</t>
        </is>
      </c>
      <c r="F4325" s="1" t="inlineStr">
        <is>
          <t>CREW/QUARTER SOCKS</t>
        </is>
      </c>
      <c r="G4325" s="1" t="inlineStr">
        <is>
          <t>GF2090300141M/L</t>
        </is>
      </c>
      <c r="H4325" s="1" t="n">
        <v>2</v>
      </c>
      <c r="I4325" s="1" t="inlineStr">
        <is>
          <t>มี</t>
        </is>
      </c>
      <c r="J4325" s="13" t="n">
        <v>25</v>
      </c>
      <c r="K4325" s="1" t="inlineStr"/>
      <c r="L4325" s="13" t="n"/>
      <c r="M4325" s="1">
        <f>IF(L4325="","ไม่พบใน SG",IF(ABS(J4325-L4325)&lt;0.005,"ตรงกัน","ไม่ตรง"))</f>
        <v/>
      </c>
      <c r="N4325" s="14">
        <f>IF(L4325="","",ROUND(L4325*'สรุป'!$C$6,-1))</f>
        <v/>
      </c>
      <c r="O4325" s="15" t="n"/>
      <c r="P4325" s="15" t="n"/>
      <c r="Q4325" s="10" t="n"/>
      <c r="R4325" s="10" t="n"/>
      <c r="S4325" s="16" t="inlineStr">
        <is>
          <t>https://mstgolf.co.th/products/gf2090300141</t>
        </is>
      </c>
      <c r="T4325" s="1">
        <f>IF(B4325="ไม้กอล์ฟ",J4325,"")</f>
        <v/>
      </c>
    </row>
    <row r="4326">
      <c r="A4326" s="1" t="n">
        <v>3</v>
      </c>
      <c r="B4326" s="1" t="inlineStr">
        <is>
          <t>อุปกรณ์เสริม</t>
        </is>
      </c>
      <c r="C4326" s="1" t="inlineStr">
        <is>
          <t>gf3500300997</t>
        </is>
      </c>
      <c r="D4326" s="1" t="inlineStr">
        <is>
          <t>GOLF LITE Peanuts Bag Tag</t>
        </is>
      </c>
      <c r="E4326" s="1" t="inlineStr">
        <is>
          <t>GOLF LITE</t>
        </is>
      </c>
      <c r="F4326" s="1" t="inlineStr">
        <is>
          <t>GOLF ACCESSORIES</t>
        </is>
      </c>
      <c r="G4326" s="1" t="inlineStr">
        <is>
          <t>GF3500300997</t>
        </is>
      </c>
      <c r="H4326" s="1" t="n">
        <v>1</v>
      </c>
      <c r="I4326" s="1" t="inlineStr">
        <is>
          <t>มี</t>
        </is>
      </c>
      <c r="J4326" s="13" t="n">
        <v>25</v>
      </c>
      <c r="K4326" s="1" t="inlineStr"/>
      <c r="L4326" s="13" t="n">
        <v>25</v>
      </c>
      <c r="M4326" s="1">
        <f>IF(L4326="","ไม่พบใน SG",IF(ABS(J4326-L4326)&lt;0.005,"ตรงกัน","ไม่ตรง"))</f>
        <v/>
      </c>
      <c r="N4326" s="14">
        <f>IF(L4326="","",ROUND(L4326*'สรุป'!$C$6,-1))</f>
        <v/>
      </c>
      <c r="O4326" s="15" t="n"/>
      <c r="P4326" s="15" t="n"/>
      <c r="Q4326" s="10" t="n"/>
      <c r="R4326" s="10" t="n"/>
      <c r="S4326" s="16" t="inlineStr">
        <is>
          <t>https://mstgolf.co.th/products/gf3500300997</t>
        </is>
      </c>
      <c r="T4326" s="1">
        <f>IF(B4326="ไม้กอล์ฟ",J4326,"")</f>
        <v/>
      </c>
    </row>
    <row r="4327">
      <c r="A4327" s="1" t="n">
        <v>3</v>
      </c>
      <c r="B4327" s="1" t="inlineStr">
        <is>
          <t>เสื้อผ้า</t>
        </is>
      </c>
      <c r="C4327" s="1" t="inlineStr">
        <is>
          <t>gf2090700104</t>
        </is>
      </c>
      <c r="D4327" s="1" t="inlineStr">
        <is>
          <t>LE COQ SPORTIF GOLF Knit Women's Knee Socks (Navy)</t>
        </is>
      </c>
      <c r="E4327" s="1" t="inlineStr">
        <is>
          <t>LE COQ SPORTIF GOLF</t>
        </is>
      </c>
      <c r="F4327" s="1" t="inlineStr">
        <is>
          <t>KNEE</t>
        </is>
      </c>
      <c r="G4327" s="1" t="inlineStr">
        <is>
          <t>GF209070010422-24</t>
        </is>
      </c>
      <c r="H4327" s="1" t="n">
        <v>1</v>
      </c>
      <c r="I4327" s="1" t="inlineStr">
        <is>
          <t>มี</t>
        </is>
      </c>
      <c r="J4327" s="13" t="n">
        <v>25</v>
      </c>
      <c r="K4327" s="1" t="inlineStr"/>
      <c r="L4327" s="13" t="n">
        <v>25</v>
      </c>
      <c r="M4327" s="1">
        <f>IF(L4327="","ไม่พบใน SG",IF(ABS(J4327-L4327)&lt;0.005,"ตรงกัน","ไม่ตรง"))</f>
        <v/>
      </c>
      <c r="N4327" s="14">
        <f>IF(L4327="","",ROUND(L4327*'สรุป'!$C$6,-1))</f>
        <v/>
      </c>
      <c r="O4327" s="15" t="n"/>
      <c r="P4327" s="15" t="n"/>
      <c r="Q4327" s="10" t="n"/>
      <c r="R4327" s="10" t="n"/>
      <c r="S4327" s="16" t="inlineStr">
        <is>
          <t>https://mstgolf.co.th/products/gf2090700104</t>
        </is>
      </c>
      <c r="T4327" s="1">
        <f>IF(B4327="ไม้กอล์ฟ",J4327,"")</f>
        <v/>
      </c>
    </row>
    <row r="4328">
      <c r="A4328" s="1" t="n">
        <v>3</v>
      </c>
      <c r="B4328" s="1" t="inlineStr">
        <is>
          <t>เสื้อผ้า</t>
        </is>
      </c>
      <c r="C4328" s="1" t="inlineStr">
        <is>
          <t>gf2090700105</t>
        </is>
      </c>
      <c r="D4328" s="1" t="inlineStr">
        <is>
          <t>LE COQ SPORTIF GOLF Knit Women's Knee Socks (White)</t>
        </is>
      </c>
      <c r="E4328" s="1" t="inlineStr">
        <is>
          <t>LE COQ SPORTIF GOLF</t>
        </is>
      </c>
      <c r="F4328" s="1" t="inlineStr">
        <is>
          <t>KNEE</t>
        </is>
      </c>
      <c r="G4328" s="1" t="inlineStr">
        <is>
          <t>GF209070010522-24</t>
        </is>
      </c>
      <c r="H4328" s="1" t="n">
        <v>1</v>
      </c>
      <c r="I4328" s="1" t="inlineStr">
        <is>
          <t>มี</t>
        </is>
      </c>
      <c r="J4328" s="13" t="n">
        <v>25</v>
      </c>
      <c r="K4328" s="1" t="inlineStr"/>
      <c r="L4328" s="13" t="n">
        <v>25</v>
      </c>
      <c r="M4328" s="1">
        <f>IF(L4328="","ไม่พบใน SG",IF(ABS(J4328-L4328)&lt;0.005,"ตรงกัน","ไม่ตรง"))</f>
        <v/>
      </c>
      <c r="N4328" s="14">
        <f>IF(L4328="","",ROUND(L4328*'สรุป'!$C$6,-1))</f>
        <v/>
      </c>
      <c r="O4328" s="15" t="n"/>
      <c r="P4328" s="15" t="n"/>
      <c r="Q4328" s="10" t="n"/>
      <c r="R4328" s="10" t="n"/>
      <c r="S4328" s="16" t="inlineStr">
        <is>
          <t>https://mstgolf.co.th/products/gf2090700105</t>
        </is>
      </c>
      <c r="T4328" s="1">
        <f>IF(B4328="ไม้กอล์ฟ",J4328,"")</f>
        <v/>
      </c>
    </row>
    <row r="4329">
      <c r="A4329" s="1" t="n">
        <v>3</v>
      </c>
      <c r="B4329" s="1" t="inlineStr">
        <is>
          <t>อุปกรณ์เสริม</t>
        </is>
      </c>
      <c r="C4329" s="1" t="inlineStr">
        <is>
          <t>gf3500400384</t>
        </is>
      </c>
      <c r="D4329" s="1" t="inlineStr">
        <is>
          <t>LE COQ SPORTIF GOLF RHINESTONE CLIP MARKER</t>
        </is>
      </c>
      <c r="E4329" s="1" t="inlineStr">
        <is>
          <t>LE COQ SPORTIF GOLF</t>
        </is>
      </c>
      <c r="F4329" s="1" t="inlineStr">
        <is>
          <t>MARKERS &amp; DIVOTS</t>
        </is>
      </c>
      <c r="G4329" s="1" t="inlineStr">
        <is>
          <t>GF3500400384</t>
        </is>
      </c>
      <c r="H4329" s="1" t="n">
        <v>1</v>
      </c>
      <c r="I4329" s="1" t="inlineStr">
        <is>
          <t>มี</t>
        </is>
      </c>
      <c r="J4329" s="13" t="n">
        <v>25</v>
      </c>
      <c r="K4329" s="1" t="inlineStr"/>
      <c r="L4329" s="13" t="n">
        <v>25</v>
      </c>
      <c r="M4329" s="1">
        <f>IF(L4329="","ไม่พบใน SG",IF(ABS(J4329-L4329)&lt;0.005,"ตรงกัน","ไม่ตรง"))</f>
        <v/>
      </c>
      <c r="N4329" s="14">
        <f>IF(L4329="","",ROUND(L4329*'สรุป'!$C$6,-1))</f>
        <v/>
      </c>
      <c r="O4329" s="15" t="n"/>
      <c r="P4329" s="15" t="n"/>
      <c r="Q4329" s="10" t="n"/>
      <c r="R4329" s="10" t="n"/>
      <c r="S4329" s="16" t="inlineStr">
        <is>
          <t>https://mstgolf.co.th/products/gf3500400384</t>
        </is>
      </c>
      <c r="T4329" s="1">
        <f>IF(B4329="ไม้กอล์ฟ",J4329,"")</f>
        <v/>
      </c>
    </row>
    <row r="4330">
      <c r="A4330" s="1" t="n">
        <v>3</v>
      </c>
      <c r="B4330" s="1" t="inlineStr">
        <is>
          <t>อุปกรณ์เสริม</t>
        </is>
      </c>
      <c r="C4330" s="1" t="inlineStr">
        <is>
          <t>gf2080101415</t>
        </is>
      </c>
      <c r="D4330" s="1" t="inlineStr">
        <is>
          <t>LE COQ SPORTIF GOLF Stretch Belt (Black)</t>
        </is>
      </c>
      <c r="E4330" s="1" t="inlineStr">
        <is>
          <t>LE COQ SPORTIF GOLF</t>
        </is>
      </c>
      <c r="F4330" s="1" t="inlineStr">
        <is>
          <t>BELT</t>
        </is>
      </c>
      <c r="G4330" s="1" t="inlineStr">
        <is>
          <t>GF2080101415FS</t>
        </is>
      </c>
      <c r="H4330" s="1" t="n">
        <v>1</v>
      </c>
      <c r="I4330" s="1" t="inlineStr">
        <is>
          <t>มี</t>
        </is>
      </c>
      <c r="J4330" s="13" t="n">
        <v>25</v>
      </c>
      <c r="K4330" s="1" t="inlineStr"/>
      <c r="L4330" s="13" t="n">
        <v>25</v>
      </c>
      <c r="M4330" s="1">
        <f>IF(L4330="","ไม่พบใน SG",IF(ABS(J4330-L4330)&lt;0.005,"ตรงกัน","ไม่ตรง"))</f>
        <v/>
      </c>
      <c r="N4330" s="14">
        <f>IF(L4330="","",ROUND(L4330*'สรุป'!$C$6,-1))</f>
        <v/>
      </c>
      <c r="O4330" s="15" t="n"/>
      <c r="P4330" s="15" t="n"/>
      <c r="Q4330" s="10" t="n"/>
      <c r="R4330" s="10" t="n"/>
      <c r="S4330" s="16" t="inlineStr">
        <is>
          <t>https://mstgolf.co.th/products/gf2080101415</t>
        </is>
      </c>
      <c r="T4330" s="1">
        <f>IF(B4330="ไม้กอล์ฟ",J4330,"")</f>
        <v/>
      </c>
    </row>
    <row r="4331">
      <c r="A4331" s="1" t="n">
        <v>3</v>
      </c>
      <c r="B4331" s="1" t="inlineStr">
        <is>
          <t>อุปกรณ์เสริม</t>
        </is>
      </c>
      <c r="C4331" s="1" t="inlineStr">
        <is>
          <t>gf3500200464</t>
        </is>
      </c>
      <c r="D4331" s="1" t="inlineStr">
        <is>
          <t>LINK GOLF 3D Iron Headcover (Black)</t>
        </is>
      </c>
      <c r="E4331" s="1" t="inlineStr">
        <is>
          <t>LINK GOLF</t>
        </is>
      </c>
      <c r="F4331" s="1" t="inlineStr">
        <is>
          <t>HEADCOVERS</t>
        </is>
      </c>
      <c r="G4331" s="1" t="inlineStr">
        <is>
          <t>GF3500200464</t>
        </is>
      </c>
      <c r="H4331" s="1" t="n">
        <v>1</v>
      </c>
      <c r="I4331" s="1" t="inlineStr">
        <is>
          <t>มี</t>
        </is>
      </c>
      <c r="J4331" s="13" t="n">
        <v>25</v>
      </c>
      <c r="K4331" s="1" t="inlineStr"/>
      <c r="L4331" s="13" t="n">
        <v>25</v>
      </c>
      <c r="M4331" s="1">
        <f>IF(L4331="","ไม่พบใน SG",IF(ABS(J4331-L4331)&lt;0.005,"ตรงกัน","ไม่ตรง"))</f>
        <v/>
      </c>
      <c r="N4331" s="14">
        <f>IF(L4331="","",ROUND(L4331*'สรุป'!$C$6,-1))</f>
        <v/>
      </c>
      <c r="O4331" s="15" t="n"/>
      <c r="P4331" s="15" t="n"/>
      <c r="Q4331" s="10" t="n"/>
      <c r="R4331" s="10" t="n"/>
      <c r="S4331" s="16" t="inlineStr">
        <is>
          <t>https://mstgolf.co.th/products/gf3500200464</t>
        </is>
      </c>
      <c r="T4331" s="1">
        <f>IF(B4331="ไม้กอล์ฟ",J4331,"")</f>
        <v/>
      </c>
    </row>
    <row r="4332">
      <c r="A4332" s="1" t="n">
        <v>3</v>
      </c>
      <c r="B4332" s="1" t="inlineStr">
        <is>
          <t>อุปกรณ์เสริม</t>
        </is>
      </c>
      <c r="C4332" s="1" t="inlineStr">
        <is>
          <t>gf3500200466</t>
        </is>
      </c>
      <c r="D4332" s="1" t="inlineStr">
        <is>
          <t>LINK GOLF 3D Iron Headcover (Blue)</t>
        </is>
      </c>
      <c r="E4332" s="1" t="inlineStr">
        <is>
          <t>LINK GOLF</t>
        </is>
      </c>
      <c r="F4332" s="1" t="inlineStr">
        <is>
          <t>HEADCOVERS</t>
        </is>
      </c>
      <c r="G4332" s="1" t="inlineStr">
        <is>
          <t>GF3500200466</t>
        </is>
      </c>
      <c r="H4332" s="1" t="n">
        <v>1</v>
      </c>
      <c r="I4332" s="1" t="inlineStr">
        <is>
          <t>มี</t>
        </is>
      </c>
      <c r="J4332" s="13" t="n">
        <v>25</v>
      </c>
      <c r="K4332" s="1" t="inlineStr"/>
      <c r="L4332" s="13" t="n">
        <v>25</v>
      </c>
      <c r="M4332" s="1">
        <f>IF(L4332="","ไม่พบใน SG",IF(ABS(J4332-L4332)&lt;0.005,"ตรงกัน","ไม่ตรง"))</f>
        <v/>
      </c>
      <c r="N4332" s="14">
        <f>IF(L4332="","",ROUND(L4332*'สรุป'!$C$6,-1))</f>
        <v/>
      </c>
      <c r="O4332" s="15" t="n"/>
      <c r="P4332" s="15" t="n"/>
      <c r="Q4332" s="10" t="n"/>
      <c r="R4332" s="10" t="n"/>
      <c r="S4332" s="16" t="inlineStr">
        <is>
          <t>https://mstgolf.co.th/products/gf3500200466</t>
        </is>
      </c>
      <c r="T4332" s="1">
        <f>IF(B4332="ไม้กอล์ฟ",J4332,"")</f>
        <v/>
      </c>
    </row>
    <row r="4333">
      <c r="A4333" s="1" t="n">
        <v>3</v>
      </c>
      <c r="B4333" s="1" t="inlineStr">
        <is>
          <t>อุปกรณ์เสริม</t>
        </is>
      </c>
      <c r="C4333" s="1" t="inlineStr">
        <is>
          <t>gf3500200679</t>
        </is>
      </c>
      <c r="D4333" s="1" t="inlineStr">
        <is>
          <t>LINK GOLF 3D Iron Headcover (Pink)</t>
        </is>
      </c>
      <c r="E4333" s="1" t="inlineStr">
        <is>
          <t>LINK GOLF</t>
        </is>
      </c>
      <c r="F4333" s="1" t="inlineStr">
        <is>
          <t>HEADCOVERS</t>
        </is>
      </c>
      <c r="G4333" s="1" t="inlineStr">
        <is>
          <t>GF3500200679</t>
        </is>
      </c>
      <c r="H4333" s="1" t="n">
        <v>1</v>
      </c>
      <c r="I4333" s="1" t="inlineStr">
        <is>
          <t>มี</t>
        </is>
      </c>
      <c r="J4333" s="13" t="n">
        <v>25</v>
      </c>
      <c r="K4333" s="1" t="inlineStr"/>
      <c r="L4333" s="13" t="n"/>
      <c r="M4333" s="1">
        <f>IF(L4333="","ไม่พบใน SG",IF(ABS(J4333-L4333)&lt;0.005,"ตรงกัน","ไม่ตรง"))</f>
        <v/>
      </c>
      <c r="N4333" s="14">
        <f>IF(L4333="","",ROUND(L4333*'สรุป'!$C$6,-1))</f>
        <v/>
      </c>
      <c r="O4333" s="15" t="n"/>
      <c r="P4333" s="15" t="n"/>
      <c r="Q4333" s="10" t="n"/>
      <c r="R4333" s="10" t="n"/>
      <c r="S4333" s="16" t="inlineStr">
        <is>
          <t>https://mstgolf.co.th/products/gf3500200679</t>
        </is>
      </c>
      <c r="T4333" s="1">
        <f>IF(B4333="ไม้กอล์ฟ",J4333,"")</f>
        <v/>
      </c>
    </row>
    <row r="4334">
      <c r="A4334" s="1" t="n">
        <v>3</v>
      </c>
      <c r="B4334" s="1" t="inlineStr">
        <is>
          <t>อุปกรณ์เสริม</t>
        </is>
      </c>
      <c r="C4334" s="1" t="inlineStr">
        <is>
          <t>gf3500200465</t>
        </is>
      </c>
      <c r="D4334" s="1" t="inlineStr">
        <is>
          <t>LINK GOLF 3D Iron Headcover (Red)</t>
        </is>
      </c>
      <c r="E4334" s="1" t="inlineStr">
        <is>
          <t>LINK GOLF</t>
        </is>
      </c>
      <c r="F4334" s="1" t="inlineStr">
        <is>
          <t>HEADCOVERS</t>
        </is>
      </c>
      <c r="G4334" s="1" t="inlineStr">
        <is>
          <t>GF3500200465</t>
        </is>
      </c>
      <c r="H4334" s="1" t="n">
        <v>1</v>
      </c>
      <c r="I4334" s="1" t="inlineStr">
        <is>
          <t>มี</t>
        </is>
      </c>
      <c r="J4334" s="13" t="n">
        <v>25</v>
      </c>
      <c r="K4334" s="1" t="inlineStr"/>
      <c r="L4334" s="13" t="n">
        <v>25</v>
      </c>
      <c r="M4334" s="1">
        <f>IF(L4334="","ไม่พบใน SG",IF(ABS(J4334-L4334)&lt;0.005,"ตรงกัน","ไม่ตรง"))</f>
        <v/>
      </c>
      <c r="N4334" s="14">
        <f>IF(L4334="","",ROUND(L4334*'สรุป'!$C$6,-1))</f>
        <v/>
      </c>
      <c r="O4334" s="15" t="n"/>
      <c r="P4334" s="15" t="n"/>
      <c r="Q4334" s="10" t="n"/>
      <c r="R4334" s="10" t="n"/>
      <c r="S4334" s="16" t="inlineStr">
        <is>
          <t>https://mstgolf.co.th/products/gf3500200465</t>
        </is>
      </c>
      <c r="T4334" s="1">
        <f>IF(B4334="ไม้กอล์ฟ",J4334,"")</f>
        <v/>
      </c>
    </row>
    <row r="4335">
      <c r="A4335" s="1" t="n">
        <v>3</v>
      </c>
      <c r="B4335" s="1" t="inlineStr">
        <is>
          <t>อุปกรณ์เสริม</t>
        </is>
      </c>
      <c r="C4335" s="1" t="inlineStr">
        <is>
          <t>gf2090200204</t>
        </is>
      </c>
      <c r="D4335" s="1" t="inlineStr">
        <is>
          <t>NIKE 3-Pack Ankle Socks (Multi Colour)</t>
        </is>
      </c>
      <c r="E4335" s="1" t="inlineStr">
        <is>
          <t>NIKE</t>
        </is>
      </c>
      <c r="F4335" s="1" t="inlineStr">
        <is>
          <t>ANKLE SOCKS</t>
        </is>
      </c>
      <c r="G4335" s="1" t="inlineStr">
        <is>
          <t>GF2090200204S</t>
        </is>
      </c>
      <c r="H4335" s="1" t="n">
        <v>4</v>
      </c>
      <c r="I4335" s="1" t="inlineStr">
        <is>
          <t>มี</t>
        </is>
      </c>
      <c r="J4335" s="13" t="n">
        <v>25</v>
      </c>
      <c r="K4335" s="1" t="inlineStr"/>
      <c r="L4335" s="13" t="n">
        <v>25</v>
      </c>
      <c r="M4335" s="1">
        <f>IF(L4335="","ไม่พบใน SG",IF(ABS(J4335-L4335)&lt;0.005,"ตรงกัน","ไม่ตรง"))</f>
        <v/>
      </c>
      <c r="N4335" s="14">
        <f>IF(L4335="","",ROUND(L4335*'สรุป'!$C$6,-1))</f>
        <v/>
      </c>
      <c r="O4335" s="15" t="n"/>
      <c r="P4335" s="15" t="n"/>
      <c r="Q4335" s="10" t="n"/>
      <c r="R4335" s="10" t="n"/>
      <c r="S4335" s="16" t="inlineStr">
        <is>
          <t>https://mstgolf.co.th/products/gf2090200204</t>
        </is>
      </c>
      <c r="T4335" s="1">
        <f>IF(B4335="ไม้กอล์ฟ",J4335,"")</f>
        <v/>
      </c>
    </row>
    <row r="4336">
      <c r="A4336" s="1" t="n">
        <v>3</v>
      </c>
      <c r="B4336" s="1" t="inlineStr">
        <is>
          <t>หมวก</t>
        </is>
      </c>
      <c r="C4336" s="1" t="inlineStr">
        <is>
          <t>gf2000104917</t>
        </is>
      </c>
      <c r="D4336" s="1" t="inlineStr">
        <is>
          <t>ONOFF Adjustable Men's Cap (Navy)</t>
        </is>
      </c>
      <c r="E4336" s="1" t="inlineStr">
        <is>
          <t>ONOFF</t>
        </is>
      </c>
      <c r="F4336" s="1" t="inlineStr">
        <is>
          <t>CAP</t>
        </is>
      </c>
      <c r="G4336" s="1" t="inlineStr">
        <is>
          <t>GF2000104917FS</t>
        </is>
      </c>
      <c r="H4336" s="1" t="n">
        <v>1</v>
      </c>
      <c r="I4336" s="1" t="inlineStr">
        <is>
          <t>มี</t>
        </is>
      </c>
      <c r="J4336" s="13" t="n">
        <v>25</v>
      </c>
      <c r="K4336" s="1" t="inlineStr"/>
      <c r="L4336" s="13" t="n">
        <v>25</v>
      </c>
      <c r="M4336" s="1">
        <f>IF(L4336="","ไม่พบใน SG",IF(ABS(J4336-L4336)&lt;0.005,"ตรงกัน","ไม่ตรง"))</f>
        <v/>
      </c>
      <c r="N4336" s="14">
        <f>IF(L4336="","",ROUND(L4336*'สรุป'!$C$6,-1))</f>
        <v/>
      </c>
      <c r="O4336" s="15" t="n"/>
      <c r="P4336" s="15" t="n"/>
      <c r="Q4336" s="10" t="n"/>
      <c r="R4336" s="10" t="n"/>
      <c r="S4336" s="16" t="inlineStr">
        <is>
          <t>https://mstgolf.co.th/products/gf2000104917</t>
        </is>
      </c>
      <c r="T4336" s="1">
        <f>IF(B4336="ไม้กอล์ฟ",J4336,"")</f>
        <v/>
      </c>
    </row>
    <row r="4337">
      <c r="A4337" s="1" t="n">
        <v>3</v>
      </c>
      <c r="B4337" s="1" t="inlineStr">
        <is>
          <t>หมวก</t>
        </is>
      </c>
      <c r="C4337" s="1" t="inlineStr">
        <is>
          <t>gf2000104918</t>
        </is>
      </c>
      <c r="D4337" s="1" t="inlineStr">
        <is>
          <t>ONOFF Adjustable Men's Cap (White)</t>
        </is>
      </c>
      <c r="E4337" s="1" t="inlineStr">
        <is>
          <t>ONOFF</t>
        </is>
      </c>
      <c r="F4337" s="1" t="inlineStr">
        <is>
          <t>CAP</t>
        </is>
      </c>
      <c r="G4337" s="1" t="inlineStr">
        <is>
          <t>GF2000104918FS</t>
        </is>
      </c>
      <c r="H4337" s="1" t="n">
        <v>1</v>
      </c>
      <c r="I4337" s="1" t="inlineStr">
        <is>
          <t>มี</t>
        </is>
      </c>
      <c r="J4337" s="13" t="n">
        <v>25</v>
      </c>
      <c r="K4337" s="1" t="inlineStr"/>
      <c r="L4337" s="13" t="n">
        <v>25</v>
      </c>
      <c r="M4337" s="1">
        <f>IF(L4337="","ไม่พบใน SG",IF(ABS(J4337-L4337)&lt;0.005,"ตรงกัน","ไม่ตรง"))</f>
        <v/>
      </c>
      <c r="N4337" s="14">
        <f>IF(L4337="","",ROUND(L4337*'สรุป'!$C$6,-1))</f>
        <v/>
      </c>
      <c r="O4337" s="15" t="n"/>
      <c r="P4337" s="15" t="n"/>
      <c r="Q4337" s="10" t="n"/>
      <c r="R4337" s="10" t="n"/>
      <c r="S4337" s="16" t="inlineStr">
        <is>
          <t>https://mstgolf.co.th/products/gf2000104918</t>
        </is>
      </c>
      <c r="T4337" s="1">
        <f>IF(B4337="ไม้กอล์ฟ",J4337,"")</f>
        <v/>
      </c>
    </row>
    <row r="4338">
      <c r="A4338" s="1" t="n">
        <v>3</v>
      </c>
      <c r="B4338" s="1" t="inlineStr">
        <is>
          <t>หมวก</t>
        </is>
      </c>
      <c r="C4338" s="1" t="inlineStr">
        <is>
          <t>gf2000106544</t>
        </is>
      </c>
      <c r="D4338" s="1" t="inlineStr">
        <is>
          <t>ONOFF YOK5925 Men's Cap (Blue)</t>
        </is>
      </c>
      <c r="E4338" s="1" t="inlineStr">
        <is>
          <t>ONOFF</t>
        </is>
      </c>
      <c r="F4338" s="1" t="inlineStr">
        <is>
          <t>CAP</t>
        </is>
      </c>
      <c r="G4338" s="1" t="inlineStr">
        <is>
          <t>GF2000106544FS</t>
        </is>
      </c>
      <c r="H4338" s="1" t="n">
        <v>1</v>
      </c>
      <c r="I4338" s="1" t="inlineStr">
        <is>
          <t>มี</t>
        </is>
      </c>
      <c r="J4338" s="13" t="n">
        <v>25</v>
      </c>
      <c r="K4338" s="1" t="inlineStr"/>
      <c r="L4338" s="13" t="n">
        <v>25</v>
      </c>
      <c r="M4338" s="1">
        <f>IF(L4338="","ไม่พบใน SG",IF(ABS(J4338-L4338)&lt;0.005,"ตรงกัน","ไม่ตรง"))</f>
        <v/>
      </c>
      <c r="N4338" s="14">
        <f>IF(L4338="","",ROUND(L4338*'สรุป'!$C$6,-1))</f>
        <v/>
      </c>
      <c r="O4338" s="15" t="n"/>
      <c r="P4338" s="15" t="n"/>
      <c r="Q4338" s="10" t="n"/>
      <c r="R4338" s="10" t="n"/>
      <c r="S4338" s="16" t="inlineStr">
        <is>
          <t>https://mstgolf.co.th/products/gf2000106544</t>
        </is>
      </c>
      <c r="T4338" s="1">
        <f>IF(B4338="ไม้กอล์ฟ",J4338,"")</f>
        <v/>
      </c>
    </row>
    <row r="4339">
      <c r="A4339" s="1" t="n">
        <v>3</v>
      </c>
      <c r="B4339" s="1" t="inlineStr">
        <is>
          <t>หมวก</t>
        </is>
      </c>
      <c r="C4339" s="1" t="inlineStr">
        <is>
          <t>gf2000106543</t>
        </is>
      </c>
      <c r="D4339" s="1" t="inlineStr">
        <is>
          <t>ONOFF YOK5925 Men's Cap (Dark Grey)</t>
        </is>
      </c>
      <c r="E4339" s="1" t="inlineStr">
        <is>
          <t>ONOFF</t>
        </is>
      </c>
      <c r="F4339" s="1" t="inlineStr">
        <is>
          <t>CAP</t>
        </is>
      </c>
      <c r="G4339" s="1" t="inlineStr">
        <is>
          <t>GF2000106543FS</t>
        </is>
      </c>
      <c r="H4339" s="1" t="n">
        <v>1</v>
      </c>
      <c r="I4339" s="1" t="inlineStr">
        <is>
          <t>มี</t>
        </is>
      </c>
      <c r="J4339" s="13" t="n">
        <v>25</v>
      </c>
      <c r="K4339" s="1" t="inlineStr"/>
      <c r="L4339" s="13" t="n">
        <v>25</v>
      </c>
      <c r="M4339" s="1">
        <f>IF(L4339="","ไม่พบใน SG",IF(ABS(J4339-L4339)&lt;0.005,"ตรงกัน","ไม่ตรง"))</f>
        <v/>
      </c>
      <c r="N4339" s="14">
        <f>IF(L4339="","",ROUND(L4339*'สรุป'!$C$6,-1))</f>
        <v/>
      </c>
      <c r="O4339" s="15" t="n"/>
      <c r="P4339" s="15" t="n"/>
      <c r="Q4339" s="10" t="n"/>
      <c r="R4339" s="10" t="n"/>
      <c r="S4339" s="16" t="inlineStr">
        <is>
          <t>https://mstgolf.co.th/products/gf2000106543</t>
        </is>
      </c>
      <c r="T4339" s="1">
        <f>IF(B4339="ไม้กอล์ฟ",J4339,"")</f>
        <v/>
      </c>
    </row>
    <row r="4340">
      <c r="A4340" s="1" t="n">
        <v>3</v>
      </c>
      <c r="B4340" s="1" t="inlineStr">
        <is>
          <t>หมวก</t>
        </is>
      </c>
      <c r="C4340" s="1" t="inlineStr">
        <is>
          <t>gf2000106624</t>
        </is>
      </c>
      <c r="D4340" s="1" t="inlineStr">
        <is>
          <t>ONOFF YOK5925 Men's Cap (White)</t>
        </is>
      </c>
      <c r="E4340" s="1" t="inlineStr">
        <is>
          <t>ONOFF</t>
        </is>
      </c>
      <c r="F4340" s="1" t="inlineStr">
        <is>
          <t>CAP</t>
        </is>
      </c>
      <c r="G4340" s="1" t="inlineStr">
        <is>
          <t>GF2000106624FS</t>
        </is>
      </c>
      <c r="H4340" s="1" t="n">
        <v>1</v>
      </c>
      <c r="I4340" s="1" t="inlineStr">
        <is>
          <t>มี</t>
        </is>
      </c>
      <c r="J4340" s="13" t="n">
        <v>25</v>
      </c>
      <c r="K4340" s="1" t="inlineStr"/>
      <c r="L4340" s="13" t="n">
        <v>25</v>
      </c>
      <c r="M4340" s="1">
        <f>IF(L4340="","ไม่พบใน SG",IF(ABS(J4340-L4340)&lt;0.005,"ตรงกัน","ไม่ตรง"))</f>
        <v/>
      </c>
      <c r="N4340" s="14">
        <f>IF(L4340="","",ROUND(L4340*'สรุป'!$C$6,-1))</f>
        <v/>
      </c>
      <c r="O4340" s="15" t="n"/>
      <c r="P4340" s="15" t="n"/>
      <c r="Q4340" s="10" t="n"/>
      <c r="R4340" s="10" t="n"/>
      <c r="S4340" s="16" t="inlineStr">
        <is>
          <t>https://mstgolf.co.th/products/gf2000106624</t>
        </is>
      </c>
      <c r="T4340" s="1">
        <f>IF(B4340="ไม้กอล์ฟ",J4340,"")</f>
        <v/>
      </c>
    </row>
    <row r="4341">
      <c r="A4341" s="1" t="n">
        <v>3</v>
      </c>
      <c r="B4341" s="1" t="inlineStr">
        <is>
          <t>หมวก</t>
        </is>
      </c>
      <c r="C4341" s="1" t="inlineStr">
        <is>
          <t>gf2000102351</t>
        </is>
      </c>
      <c r="D4341" s="1" t="inlineStr">
        <is>
          <t>PUMA Pounce Adjustable Men's Cap (White)</t>
        </is>
      </c>
      <c r="E4341" s="1" t="inlineStr">
        <is>
          <t>PUMA</t>
        </is>
      </c>
      <c r="F4341" s="1" t="inlineStr">
        <is>
          <t>CAP</t>
        </is>
      </c>
      <c r="G4341" s="1" t="inlineStr">
        <is>
          <t>GF2000102351</t>
        </is>
      </c>
      <c r="H4341" s="1" t="n">
        <v>1</v>
      </c>
      <c r="I4341" s="1" t="inlineStr">
        <is>
          <t>มี</t>
        </is>
      </c>
      <c r="J4341" s="13" t="n">
        <v>25</v>
      </c>
      <c r="K4341" s="1" t="inlineStr"/>
      <c r="L4341" s="13" t="n">
        <v>15</v>
      </c>
      <c r="M4341" s="1">
        <f>IF(L4341="","ไม่พบใน SG",IF(ABS(J4341-L4341)&lt;0.005,"ตรงกัน","ไม่ตรง"))</f>
        <v/>
      </c>
      <c r="N4341" s="14">
        <f>IF(L4341="","",ROUND(L4341*'สรุป'!$C$6,-1))</f>
        <v/>
      </c>
      <c r="O4341" s="15" t="n"/>
      <c r="P4341" s="15" t="n"/>
      <c r="Q4341" s="10" t="n"/>
      <c r="R4341" s="10" t="n"/>
      <c r="S4341" s="16" t="inlineStr">
        <is>
          <t>https://mstgolf.co.th/products/gf2000102351</t>
        </is>
      </c>
      <c r="T4341" s="1">
        <f>IF(B4341="ไม้กอล์ฟ",J4341,"")</f>
        <v/>
      </c>
    </row>
    <row r="4342">
      <c r="A4342" s="1" t="n">
        <v>3</v>
      </c>
      <c r="B4342" s="1" t="inlineStr">
        <is>
          <t>อุปกรณ์เสริม</t>
        </is>
      </c>
      <c r="C4342" s="1" t="inlineStr">
        <is>
          <t>gf3500300353</t>
        </is>
      </c>
      <c r="D4342" s="1" t="inlineStr">
        <is>
          <t>SOFTSPIKES Pulsar Pins Spikes - Kit</t>
        </is>
      </c>
      <c r="E4342" s="1" t="inlineStr">
        <is>
          <t>SOFTSPIKES</t>
        </is>
      </c>
      <c r="F4342" s="1" t="inlineStr">
        <is>
          <t>GOLF ACCESSORIES</t>
        </is>
      </c>
      <c r="G4342" s="1" t="inlineStr">
        <is>
          <t>GF3500300353</t>
        </is>
      </c>
      <c r="H4342" s="1" t="n">
        <v>1</v>
      </c>
      <c r="I4342" s="1" t="inlineStr">
        <is>
          <t>มี</t>
        </is>
      </c>
      <c r="J4342" s="13" t="n">
        <v>25</v>
      </c>
      <c r="K4342" s="1" t="inlineStr"/>
      <c r="L4342" s="13" t="n">
        <v>25</v>
      </c>
      <c r="M4342" s="1">
        <f>IF(L4342="","ไม่พบใน SG",IF(ABS(J4342-L4342)&lt;0.005,"ตรงกัน","ไม่ตรง"))</f>
        <v/>
      </c>
      <c r="N4342" s="14">
        <f>IF(L4342="","",ROUND(L4342*'สรุป'!$C$6,-1))</f>
        <v/>
      </c>
      <c r="O4342" s="15" t="n"/>
      <c r="P4342" s="15" t="n"/>
      <c r="Q4342" s="10" t="n"/>
      <c r="R4342" s="10" t="n"/>
      <c r="S4342" s="16" t="inlineStr">
        <is>
          <t>https://mstgolf.co.th/products/gf3500300353</t>
        </is>
      </c>
      <c r="T4342" s="1">
        <f>IF(B4342="ไม้กอล์ฟ",J4342,"")</f>
        <v/>
      </c>
    </row>
    <row r="4343">
      <c r="A4343" s="1" t="n">
        <v>3</v>
      </c>
      <c r="B4343" s="1" t="inlineStr">
        <is>
          <t>หมวก</t>
        </is>
      </c>
      <c r="C4343" s="1" t="inlineStr">
        <is>
          <t>gf2000104573</t>
        </is>
      </c>
      <c r="D4343" s="1" t="inlineStr">
        <is>
          <t>TAYLORMADE GWP Men's Spider Launch Cap (Black)</t>
        </is>
      </c>
      <c r="E4343" s="1" t="inlineStr">
        <is>
          <t>TAYLORMADE</t>
        </is>
      </c>
      <c r="F4343" s="1" t="inlineStr">
        <is>
          <t>CAP</t>
        </is>
      </c>
      <c r="G4343" s="1" t="inlineStr">
        <is>
          <t>GF2000104573FS</t>
        </is>
      </c>
      <c r="H4343" s="1" t="n">
        <v>1</v>
      </c>
      <c r="I4343" s="1" t="inlineStr">
        <is>
          <t>มี</t>
        </is>
      </c>
      <c r="J4343" s="13" t="n">
        <v>25</v>
      </c>
      <c r="K4343" s="1" t="inlineStr"/>
      <c r="L4343" s="13" t="n">
        <v>25</v>
      </c>
      <c r="M4343" s="1">
        <f>IF(L4343="","ไม่พบใน SG",IF(ABS(J4343-L4343)&lt;0.005,"ตรงกัน","ไม่ตรง"))</f>
        <v/>
      </c>
      <c r="N4343" s="14">
        <f>IF(L4343="","",ROUND(L4343*'สรุป'!$C$6,-1))</f>
        <v/>
      </c>
      <c r="O4343" s="15" t="n"/>
      <c r="P4343" s="15" t="n"/>
      <c r="Q4343" s="10" t="n"/>
      <c r="R4343" s="10" t="n"/>
      <c r="S4343" s="16" t="inlineStr">
        <is>
          <t>https://mstgolf.co.th/products/gf2000104573</t>
        </is>
      </c>
      <c r="T4343" s="1">
        <f>IF(B4343="ไม้กอล์ฟ",J4343,"")</f>
        <v/>
      </c>
    </row>
    <row r="4344">
      <c r="A4344" s="1" t="n">
        <v>3</v>
      </c>
      <c r="B4344" s="1" t="inlineStr">
        <is>
          <t>หมวก</t>
        </is>
      </c>
      <c r="C4344" s="1" t="inlineStr">
        <is>
          <t>gf2000104574</t>
        </is>
      </c>
      <c r="D4344" s="1" t="inlineStr">
        <is>
          <t>TAYLORMADE GWP Men's Spider Launch Cap (White)</t>
        </is>
      </c>
      <c r="E4344" s="1" t="inlineStr">
        <is>
          <t>TAYLORMADE</t>
        </is>
      </c>
      <c r="F4344" s="1" t="inlineStr">
        <is>
          <t>CAP</t>
        </is>
      </c>
      <c r="G4344" s="1" t="inlineStr">
        <is>
          <t>GF2000104574FS</t>
        </is>
      </c>
      <c r="H4344" s="1" t="n">
        <v>1</v>
      </c>
      <c r="I4344" s="1" t="inlineStr">
        <is>
          <t>มี</t>
        </is>
      </c>
      <c r="J4344" s="13" t="n">
        <v>25</v>
      </c>
      <c r="K4344" s="1" t="inlineStr"/>
      <c r="L4344" s="13" t="n"/>
      <c r="M4344" s="1">
        <f>IF(L4344="","ไม่พบใน SG",IF(ABS(J4344-L4344)&lt;0.005,"ตรงกัน","ไม่ตรง"))</f>
        <v/>
      </c>
      <c r="N4344" s="14">
        <f>IF(L4344="","",ROUND(L4344*'สรุป'!$C$6,-1))</f>
        <v/>
      </c>
      <c r="O4344" s="15" t="n"/>
      <c r="P4344" s="15" t="n"/>
      <c r="Q4344" s="10" t="n"/>
      <c r="R4344" s="10" t="n"/>
      <c r="S4344" s="16" t="inlineStr">
        <is>
          <t>https://mstgolf.co.th/products/gf2000104574</t>
        </is>
      </c>
      <c r="T4344" s="1">
        <f>IF(B4344="ไม้กอล์ฟ",J4344,"")</f>
        <v/>
      </c>
    </row>
    <row r="4345">
      <c r="A4345" s="1" t="n">
        <v>3</v>
      </c>
      <c r="B4345" s="1" t="inlineStr">
        <is>
          <t>อุปกรณ์เสริม</t>
        </is>
      </c>
      <c r="C4345" s="1" t="inlineStr">
        <is>
          <t>gf2090100635</t>
        </is>
      </c>
      <c r="D4345" s="1" t="inlineStr">
        <is>
          <t>UNDER ARMOUR Performace 3-Pack No-Show Socks (White/Grey)</t>
        </is>
      </c>
      <c r="E4345" s="1" t="inlineStr">
        <is>
          <t>UNDER ARMOUR</t>
        </is>
      </c>
      <c r="F4345" s="1" t="inlineStr">
        <is>
          <t>NO SHOW SOCKS</t>
        </is>
      </c>
      <c r="G4345" s="1" t="inlineStr">
        <is>
          <t>GF2090100635S</t>
        </is>
      </c>
      <c r="H4345" s="1" t="n">
        <v>4</v>
      </c>
      <c r="I4345" s="1" t="inlineStr">
        <is>
          <t>มี</t>
        </is>
      </c>
      <c r="J4345" s="13" t="n">
        <v>25</v>
      </c>
      <c r="K4345" s="1" t="inlineStr"/>
      <c r="L4345" s="13" t="n">
        <v>25</v>
      </c>
      <c r="M4345" s="1">
        <f>IF(L4345="","ไม่พบใน SG",IF(ABS(J4345-L4345)&lt;0.005,"ตรงกัน","ไม่ตรง"))</f>
        <v/>
      </c>
      <c r="N4345" s="14">
        <f>IF(L4345="","",ROUND(L4345*'สรุป'!$C$6,-1))</f>
        <v/>
      </c>
      <c r="O4345" s="15" t="n"/>
      <c r="P4345" s="15" t="n"/>
      <c r="Q4345" s="10" t="n"/>
      <c r="R4345" s="10" t="n"/>
      <c r="S4345" s="16" t="inlineStr">
        <is>
          <t>https://mstgolf.co.th/products/gf2090100635</t>
        </is>
      </c>
      <c r="T4345" s="1">
        <f>IF(B4345="ไม้กอล์ฟ",J4345,"")</f>
        <v/>
      </c>
    </row>
    <row r="4346">
      <c r="A4346" s="1" t="n">
        <v>3</v>
      </c>
      <c r="B4346" s="1" t="inlineStr">
        <is>
          <t>อุปกรณ์เสริม</t>
        </is>
      </c>
      <c r="C4346" s="1" t="inlineStr">
        <is>
          <t>gf3500300049</t>
        </is>
      </c>
      <c r="D4346" s="1" t="inlineStr">
        <is>
          <t>TABATA Anti Rust Oil Cleaner</t>
        </is>
      </c>
      <c r="E4346" s="1" t="inlineStr">
        <is>
          <t>TABATA</t>
        </is>
      </c>
      <c r="F4346" s="1" t="inlineStr">
        <is>
          <t>GOLF ACCESSORIES</t>
        </is>
      </c>
      <c r="G4346" s="1" t="inlineStr">
        <is>
          <t>GF3500300049</t>
        </is>
      </c>
      <c r="H4346" s="1" t="n">
        <v>1</v>
      </c>
      <c r="I4346" s="1" t="inlineStr">
        <is>
          <t>มี</t>
        </is>
      </c>
      <c r="J4346" s="13" t="n">
        <v>24</v>
      </c>
      <c r="K4346" s="1" t="inlineStr"/>
      <c r="L4346" s="13" t="n">
        <v>24</v>
      </c>
      <c r="M4346" s="1">
        <f>IF(L4346="","ไม่พบใน SG",IF(ABS(J4346-L4346)&lt;0.005,"ตรงกัน","ไม่ตรง"))</f>
        <v/>
      </c>
      <c r="N4346" s="14">
        <f>IF(L4346="","",ROUND(L4346*'สรุป'!$C$6,-1))</f>
        <v/>
      </c>
      <c r="O4346" s="15" t="n"/>
      <c r="P4346" s="15" t="n"/>
      <c r="Q4346" s="10" t="n"/>
      <c r="R4346" s="10" t="n"/>
      <c r="S4346" s="16" t="inlineStr">
        <is>
          <t>https://mstgolf.co.th/products/gf3500300049</t>
        </is>
      </c>
      <c r="T4346" s="1">
        <f>IF(B4346="ไม้กอล์ฟ",J4346,"")</f>
        <v/>
      </c>
    </row>
    <row r="4347">
      <c r="A4347" s="1" t="n">
        <v>3</v>
      </c>
      <c r="B4347" s="1" t="inlineStr">
        <is>
          <t>อุปกรณ์เสริม</t>
        </is>
      </c>
      <c r="C4347" s="1" t="inlineStr">
        <is>
          <t>gf3500300050</t>
        </is>
      </c>
      <c r="D4347" s="1" t="inlineStr">
        <is>
          <t>TABATA Mousee Cleaner For Iron</t>
        </is>
      </c>
      <c r="E4347" s="1" t="inlineStr">
        <is>
          <t>TABATA</t>
        </is>
      </c>
      <c r="F4347" s="1" t="inlineStr">
        <is>
          <t>GOLF ACCESSORIES</t>
        </is>
      </c>
      <c r="G4347" s="1" t="inlineStr">
        <is>
          <t>GF3500300050</t>
        </is>
      </c>
      <c r="H4347" s="1" t="n">
        <v>1</v>
      </c>
      <c r="I4347" s="1" t="inlineStr">
        <is>
          <t>มี</t>
        </is>
      </c>
      <c r="J4347" s="13" t="n">
        <v>24</v>
      </c>
      <c r="K4347" s="1" t="inlineStr"/>
      <c r="L4347" s="13" t="n">
        <v>24</v>
      </c>
      <c r="M4347" s="1">
        <f>IF(L4347="","ไม่พบใน SG",IF(ABS(J4347-L4347)&lt;0.005,"ตรงกัน","ไม่ตรง"))</f>
        <v/>
      </c>
      <c r="N4347" s="14">
        <f>IF(L4347="","",ROUND(L4347*'สรุป'!$C$6,-1))</f>
        <v/>
      </c>
      <c r="O4347" s="15" t="n"/>
      <c r="P4347" s="15" t="n"/>
      <c r="Q4347" s="10" t="n"/>
      <c r="R4347" s="10" t="n"/>
      <c r="S4347" s="16" t="inlineStr">
        <is>
          <t>https://mstgolf.co.th/products/gf3500300050</t>
        </is>
      </c>
      <c r="T4347" s="1">
        <f>IF(B4347="ไม้กอล์ฟ",J4347,"")</f>
        <v/>
      </c>
    </row>
    <row r="4348">
      <c r="A4348" s="1" t="n">
        <v>3</v>
      </c>
      <c r="B4348" s="1" t="inlineStr">
        <is>
          <t>อุปกรณ์เสริม</t>
        </is>
      </c>
      <c r="C4348" s="1" t="inlineStr">
        <is>
          <t>gf3500300048</t>
        </is>
      </c>
      <c r="D4348" s="1" t="inlineStr">
        <is>
          <t>TABATA Wood Oil Cleaner</t>
        </is>
      </c>
      <c r="E4348" s="1" t="inlineStr">
        <is>
          <t>TABATA</t>
        </is>
      </c>
      <c r="F4348" s="1" t="inlineStr">
        <is>
          <t>GOLF ACCESSORIES</t>
        </is>
      </c>
      <c r="G4348" s="1" t="inlineStr">
        <is>
          <t>GF3500300048</t>
        </is>
      </c>
      <c r="H4348" s="1" t="n">
        <v>1</v>
      </c>
      <c r="I4348" s="1" t="inlineStr">
        <is>
          <t>มี</t>
        </is>
      </c>
      <c r="J4348" s="13" t="n">
        <v>24</v>
      </c>
      <c r="K4348" s="1" t="inlineStr"/>
      <c r="L4348" s="13" t="n">
        <v>24</v>
      </c>
      <c r="M4348" s="1">
        <f>IF(L4348="","ไม่พบใน SG",IF(ABS(J4348-L4348)&lt;0.005,"ตรงกัน","ไม่ตรง"))</f>
        <v/>
      </c>
      <c r="N4348" s="14">
        <f>IF(L4348="","",ROUND(L4348*'สรุป'!$C$6,-1))</f>
        <v/>
      </c>
      <c r="O4348" s="15" t="n"/>
      <c r="P4348" s="15" t="n"/>
      <c r="Q4348" s="10" t="n"/>
      <c r="R4348" s="10" t="n"/>
      <c r="S4348" s="16" t="inlineStr">
        <is>
          <t>https://mstgolf.co.th/products/gf3500300048</t>
        </is>
      </c>
      <c r="T4348" s="1">
        <f>IF(B4348="ไม้กอล์ฟ",J4348,"")</f>
        <v/>
      </c>
    </row>
    <row r="4349">
      <c r="A4349" s="1" t="n">
        <v>3</v>
      </c>
      <c r="B4349" s="1" t="inlineStr">
        <is>
          <t>หมวก</t>
        </is>
      </c>
      <c r="C4349" s="1" t="inlineStr">
        <is>
          <t>gf2000105900</t>
        </is>
      </c>
      <c r="D4349" s="1" t="inlineStr">
        <is>
          <t>ADIDAS Five-Panel Trucker Men's Cap (Oat)</t>
        </is>
      </c>
      <c r="E4349" s="1" t="inlineStr">
        <is>
          <t>ADIDAS</t>
        </is>
      </c>
      <c r="F4349" s="1" t="inlineStr">
        <is>
          <t>CAP</t>
        </is>
      </c>
      <c r="G4349" s="1" t="inlineStr">
        <is>
          <t>GF2000105900FS</t>
        </is>
      </c>
      <c r="H4349" s="1" t="n">
        <v>1</v>
      </c>
      <c r="I4349" s="1" t="inlineStr">
        <is>
          <t>มี</t>
        </is>
      </c>
      <c r="J4349" s="13" t="n">
        <v>23</v>
      </c>
      <c r="K4349" s="1" t="inlineStr"/>
      <c r="L4349" s="13" t="n">
        <v>23</v>
      </c>
      <c r="M4349" s="1">
        <f>IF(L4349="","ไม่พบใน SG",IF(ABS(J4349-L4349)&lt;0.005,"ตรงกัน","ไม่ตรง"))</f>
        <v/>
      </c>
      <c r="N4349" s="14">
        <f>IF(L4349="","",ROUND(L4349*'สรุป'!$C$6,-1))</f>
        <v/>
      </c>
      <c r="O4349" s="15" t="n"/>
      <c r="P4349" s="15" t="n"/>
      <c r="Q4349" s="10" t="n"/>
      <c r="R4349" s="10" t="n"/>
      <c r="S4349" s="16" t="inlineStr">
        <is>
          <t>https://mstgolf.co.th/products/gf2000105900</t>
        </is>
      </c>
      <c r="T4349" s="1">
        <f>IF(B4349="ไม้กอล์ฟ",J4349,"")</f>
        <v/>
      </c>
    </row>
    <row r="4350">
      <c r="A4350" s="1" t="n">
        <v>3</v>
      </c>
      <c r="B4350" s="1" t="inlineStr">
        <is>
          <t>อุปกรณ์เสริม</t>
        </is>
      </c>
      <c r="C4350" s="1" t="inlineStr">
        <is>
          <t>gf3080100075</t>
        </is>
      </c>
      <c r="D4350" s="1" t="inlineStr">
        <is>
          <t>GENERAL ITEM Sunplay Ultra Shield UV Body Mist (165 mL)</t>
        </is>
      </c>
      <c r="E4350" s="1" t="inlineStr">
        <is>
          <t>GENERAL ITEM</t>
        </is>
      </c>
      <c r="F4350" s="1" t="inlineStr">
        <is>
          <t>SUNBLOCK &amp; SUNTAN</t>
        </is>
      </c>
      <c r="G4350" s="1" t="inlineStr">
        <is>
          <t>GF3080100075</t>
        </is>
      </c>
      <c r="H4350" s="1" t="n">
        <v>1</v>
      </c>
      <c r="I4350" s="1" t="inlineStr">
        <is>
          <t>มี</t>
        </is>
      </c>
      <c r="J4350" s="13" t="n">
        <v>23</v>
      </c>
      <c r="K4350" s="1" t="inlineStr"/>
      <c r="L4350" s="13" t="n"/>
      <c r="M4350" s="1">
        <f>IF(L4350="","ไม่พบใน SG",IF(ABS(J4350-L4350)&lt;0.005,"ตรงกัน","ไม่ตรง"))</f>
        <v/>
      </c>
      <c r="N4350" s="14">
        <f>IF(L4350="","",ROUND(L4350*'สรุป'!$C$6,-1))</f>
        <v/>
      </c>
      <c r="O4350" s="15" t="n"/>
      <c r="P4350" s="15" t="n"/>
      <c r="Q4350" s="10" t="n"/>
      <c r="R4350" s="10" t="n"/>
      <c r="S4350" s="16" t="inlineStr">
        <is>
          <t>https://mstgolf.co.th/products/gf3080100075</t>
        </is>
      </c>
      <c r="T4350" s="1">
        <f>IF(B4350="ไม้กอล์ฟ",J4350,"")</f>
        <v/>
      </c>
    </row>
    <row r="4351">
      <c r="A4351" s="1" t="n">
        <v>3</v>
      </c>
      <c r="B4351" s="1" t="inlineStr">
        <is>
          <t>หมวก</t>
        </is>
      </c>
      <c r="C4351" s="1" t="inlineStr">
        <is>
          <t>gf2000104734</t>
        </is>
      </c>
      <c r="D4351" s="1" t="inlineStr">
        <is>
          <t>TAYLORMADE Performance DJ Men's Adjustable Cap (White)</t>
        </is>
      </c>
      <c r="E4351" s="1" t="inlineStr">
        <is>
          <t>TAYLORMADE</t>
        </is>
      </c>
      <c r="F4351" s="1" t="inlineStr">
        <is>
          <t>CAP</t>
        </is>
      </c>
      <c r="G4351" s="1" t="inlineStr">
        <is>
          <t>GF2000104734FS</t>
        </is>
      </c>
      <c r="H4351" s="1" t="n">
        <v>1</v>
      </c>
      <c r="I4351" s="1" t="inlineStr">
        <is>
          <t>มี</t>
        </is>
      </c>
      <c r="J4351" s="13" t="n">
        <v>23</v>
      </c>
      <c r="K4351" s="1" t="inlineStr"/>
      <c r="L4351" s="13" t="n">
        <v>23</v>
      </c>
      <c r="M4351" s="1">
        <f>IF(L4351="","ไม่พบใน SG",IF(ABS(J4351-L4351)&lt;0.005,"ตรงกัน","ไม่ตรง"))</f>
        <v/>
      </c>
      <c r="N4351" s="14">
        <f>IF(L4351="","",ROUND(L4351*'สรุป'!$C$6,-1))</f>
        <v/>
      </c>
      <c r="O4351" s="15" t="n"/>
      <c r="P4351" s="15" t="n"/>
      <c r="Q4351" s="10" t="n"/>
      <c r="R4351" s="10" t="n"/>
      <c r="S4351" s="16" t="inlineStr">
        <is>
          <t>https://mstgolf.co.th/products/gf2000104734</t>
        </is>
      </c>
      <c r="T4351" s="1">
        <f>IF(B4351="ไม้กอล์ฟ",J4351,"")</f>
        <v/>
      </c>
    </row>
    <row r="4352">
      <c r="A4352" s="1" t="n">
        <v>3</v>
      </c>
      <c r="B4352" s="1" t="inlineStr">
        <is>
          <t>หมวก</t>
        </is>
      </c>
      <c r="C4352" s="1" t="inlineStr">
        <is>
          <t>gf2000200762</t>
        </is>
      </c>
      <c r="D4352" s="1" t="inlineStr">
        <is>
          <t>TAYLORMADE TaylorMade Radar Men's Visro (Royal)</t>
        </is>
      </c>
      <c r="E4352" s="1" t="inlineStr">
        <is>
          <t>TAYLORMADE</t>
        </is>
      </c>
      <c r="F4352" s="1" t="inlineStr">
        <is>
          <t>VISOR</t>
        </is>
      </c>
      <c r="G4352" s="1" t="inlineStr">
        <is>
          <t>GF2000200762FS</t>
        </is>
      </c>
      <c r="H4352" s="1" t="n">
        <v>1</v>
      </c>
      <c r="I4352" s="1" t="inlineStr">
        <is>
          <t>มี</t>
        </is>
      </c>
      <c r="J4352" s="13" t="n">
        <v>23</v>
      </c>
      <c r="K4352" s="1" t="inlineStr"/>
      <c r="L4352" s="13" t="n">
        <v>23</v>
      </c>
      <c r="M4352" s="1">
        <f>IF(L4352="","ไม่พบใน SG",IF(ABS(J4352-L4352)&lt;0.005,"ตรงกัน","ไม่ตรง"))</f>
        <v/>
      </c>
      <c r="N4352" s="14">
        <f>IF(L4352="","",ROUND(L4352*'สรุป'!$C$6,-1))</f>
        <v/>
      </c>
      <c r="O4352" s="15" t="n"/>
      <c r="P4352" s="15" t="n"/>
      <c r="Q4352" s="10" t="n"/>
      <c r="R4352" s="10" t="n"/>
      <c r="S4352" s="16" t="inlineStr">
        <is>
          <t>https://mstgolf.co.th/products/gf2000200762</t>
        </is>
      </c>
      <c r="T4352" s="1">
        <f>IF(B4352="ไม้กอล์ฟ",J4352,"")</f>
        <v/>
      </c>
    </row>
    <row r="4353">
      <c r="A4353" s="1" t="n">
        <v>3</v>
      </c>
      <c r="B4353" s="1" t="inlineStr">
        <is>
          <t>อุปกรณ์เสริม</t>
        </is>
      </c>
      <c r="C4353" s="1" t="inlineStr">
        <is>
          <t>gf2090300159</t>
        </is>
      </c>
      <c r="D4353" s="1" t="inlineStr">
        <is>
          <t>UNDER ARMOUR Dry Run Crew Socks (Black/Grey/Black)</t>
        </is>
      </c>
      <c r="E4353" s="1" t="inlineStr">
        <is>
          <t>UNDER ARMOUR</t>
        </is>
      </c>
      <c r="F4353" s="1" t="inlineStr">
        <is>
          <t>CREW/QUARTER SOCKS</t>
        </is>
      </c>
      <c r="G4353" s="1" t="inlineStr">
        <is>
          <t>GF2090300159M</t>
        </is>
      </c>
      <c r="H4353" s="1" t="n">
        <v>2</v>
      </c>
      <c r="I4353" s="1" t="inlineStr">
        <is>
          <t>มี</t>
        </is>
      </c>
      <c r="J4353" s="13" t="n">
        <v>23</v>
      </c>
      <c r="K4353" s="1" t="inlineStr"/>
      <c r="L4353" s="13" t="n">
        <v>23</v>
      </c>
      <c r="M4353" s="1">
        <f>IF(L4353="","ไม่พบใน SG",IF(ABS(J4353-L4353)&lt;0.005,"ตรงกัน","ไม่ตรง"))</f>
        <v/>
      </c>
      <c r="N4353" s="14">
        <f>IF(L4353="","",ROUND(L4353*'สรุป'!$C$6,-1))</f>
        <v/>
      </c>
      <c r="O4353" s="15" t="n"/>
      <c r="P4353" s="15" t="n"/>
      <c r="Q4353" s="10" t="n"/>
      <c r="R4353" s="10" t="n"/>
      <c r="S4353" s="16" t="inlineStr">
        <is>
          <t>https://mstgolf.co.th/products/gf2090300159</t>
        </is>
      </c>
      <c r="T4353" s="1">
        <f>IF(B4353="ไม้กอล์ฟ",J4353,"")</f>
        <v/>
      </c>
    </row>
    <row r="4354">
      <c r="A4354" s="1" t="n">
        <v>3</v>
      </c>
      <c r="B4354" s="1" t="inlineStr">
        <is>
          <t>อุปกรณ์เสริม</t>
        </is>
      </c>
      <c r="C4354" s="1" t="inlineStr">
        <is>
          <t>gf2090100607</t>
        </is>
      </c>
      <c r="D4354" s="1" t="inlineStr">
        <is>
          <t>UNDER ARMOUR ESS 3 Pack Low Socks (Black/Grey)</t>
        </is>
      </c>
      <c r="E4354" s="1" t="inlineStr">
        <is>
          <t>UNDER ARMOUR</t>
        </is>
      </c>
      <c r="F4354" s="1" t="inlineStr">
        <is>
          <t>NO SHOW SOCKS</t>
        </is>
      </c>
      <c r="G4354" s="1" t="inlineStr">
        <is>
          <t>GF2090100607M</t>
        </is>
      </c>
      <c r="H4354" s="1" t="n">
        <v>2</v>
      </c>
      <c r="I4354" s="1" t="inlineStr">
        <is>
          <t>มี</t>
        </is>
      </c>
      <c r="J4354" s="13" t="n">
        <v>23</v>
      </c>
      <c r="K4354" s="1" t="inlineStr"/>
      <c r="L4354" s="13" t="n">
        <v>23</v>
      </c>
      <c r="M4354" s="1">
        <f>IF(L4354="","ไม่พบใน SG",IF(ABS(J4354-L4354)&lt;0.005,"ตรงกัน","ไม่ตรง"))</f>
        <v/>
      </c>
      <c r="N4354" s="14">
        <f>IF(L4354="","",ROUND(L4354*'สรุป'!$C$6,-1))</f>
        <v/>
      </c>
      <c r="O4354" s="15" t="n"/>
      <c r="P4354" s="15" t="n"/>
      <c r="Q4354" s="10" t="n"/>
      <c r="R4354" s="10" t="n"/>
      <c r="S4354" s="16" t="inlineStr">
        <is>
          <t>https://mstgolf.co.th/products/gf2090100607</t>
        </is>
      </c>
      <c r="T4354" s="1">
        <f>IF(B4354="ไม้กอล์ฟ",J4354,"")</f>
        <v/>
      </c>
    </row>
    <row r="4355">
      <c r="A4355" s="1" t="n">
        <v>3</v>
      </c>
      <c r="B4355" s="1" t="inlineStr">
        <is>
          <t>อุปกรณ์เสริม</t>
        </is>
      </c>
      <c r="C4355" s="1" t="inlineStr">
        <is>
          <t>gf2090100608</t>
        </is>
      </c>
      <c r="D4355" s="1" t="inlineStr">
        <is>
          <t>UNDER ARMOUR ESS 3 Pack Low Socks (Multi-coloured)</t>
        </is>
      </c>
      <c r="E4355" s="1" t="inlineStr">
        <is>
          <t>UNDER ARMOUR</t>
        </is>
      </c>
      <c r="F4355" s="1" t="inlineStr">
        <is>
          <t>NO SHOW SOCKS</t>
        </is>
      </c>
      <c r="G4355" s="1" t="inlineStr">
        <is>
          <t>GF2090100608S</t>
        </is>
      </c>
      <c r="H4355" s="1" t="n">
        <v>3</v>
      </c>
      <c r="I4355" s="1" t="inlineStr">
        <is>
          <t>มี</t>
        </is>
      </c>
      <c r="J4355" s="13" t="n">
        <v>23</v>
      </c>
      <c r="K4355" s="1" t="inlineStr"/>
      <c r="L4355" s="13" t="n">
        <v>23</v>
      </c>
      <c r="M4355" s="1">
        <f>IF(L4355="","ไม่พบใน SG",IF(ABS(J4355-L4355)&lt;0.005,"ตรงกัน","ไม่ตรง"))</f>
        <v/>
      </c>
      <c r="N4355" s="14">
        <f>IF(L4355="","",ROUND(L4355*'สรุป'!$C$6,-1))</f>
        <v/>
      </c>
      <c r="O4355" s="15" t="n"/>
      <c r="P4355" s="15" t="n"/>
      <c r="Q4355" s="10" t="n"/>
      <c r="R4355" s="10" t="n"/>
      <c r="S4355" s="16" t="inlineStr">
        <is>
          <t>https://mstgolf.co.th/products/gf2090100608</t>
        </is>
      </c>
      <c r="T4355" s="1">
        <f>IF(B4355="ไม้กอล์ฟ",J4355,"")</f>
        <v/>
      </c>
    </row>
    <row r="4356">
      <c r="A4356" s="1" t="n">
        <v>3</v>
      </c>
      <c r="B4356" s="1" t="inlineStr">
        <is>
          <t>อุปกรณ์เสริม</t>
        </is>
      </c>
      <c r="C4356" s="1" t="inlineStr">
        <is>
          <t>gf2090100651</t>
        </is>
      </c>
      <c r="D4356" s="1" t="inlineStr">
        <is>
          <t>UNDER ARMOUR Essential 3-Pack Unisex Low Socks (Black)</t>
        </is>
      </c>
      <c r="E4356" s="1" t="inlineStr">
        <is>
          <t>UNDER ARMOUR</t>
        </is>
      </c>
      <c r="F4356" s="1" t="inlineStr">
        <is>
          <t>ANKLE SOCKS</t>
        </is>
      </c>
      <c r="G4356" s="1" t="inlineStr">
        <is>
          <t>GF2090100651S</t>
        </is>
      </c>
      <c r="H4356" s="1" t="n">
        <v>3</v>
      </c>
      <c r="I4356" s="1" t="inlineStr">
        <is>
          <t>มี</t>
        </is>
      </c>
      <c r="J4356" s="13" t="n">
        <v>23</v>
      </c>
      <c r="K4356" s="1" t="inlineStr"/>
      <c r="L4356" s="13" t="n">
        <v>23</v>
      </c>
      <c r="M4356" s="1">
        <f>IF(L4356="","ไม่พบใน SG",IF(ABS(J4356-L4356)&lt;0.005,"ตรงกัน","ไม่ตรง"))</f>
        <v/>
      </c>
      <c r="N4356" s="14">
        <f>IF(L4356="","",ROUND(L4356*'สรุป'!$C$6,-1))</f>
        <v/>
      </c>
      <c r="O4356" s="15" t="n"/>
      <c r="P4356" s="15" t="n"/>
      <c r="Q4356" s="10" t="n"/>
      <c r="R4356" s="10" t="n"/>
      <c r="S4356" s="16" t="inlineStr">
        <is>
          <t>https://mstgolf.co.th/products/gf2090100651</t>
        </is>
      </c>
      <c r="T4356" s="1">
        <f>IF(B4356="ไม้กอล์ฟ",J4356,"")</f>
        <v/>
      </c>
    </row>
    <row r="4357">
      <c r="A4357" s="1" t="n">
        <v>3</v>
      </c>
      <c r="B4357" s="1" t="inlineStr">
        <is>
          <t>อุปกรณ์เสริม</t>
        </is>
      </c>
      <c r="C4357" s="1" t="inlineStr">
        <is>
          <t>gf2090100653</t>
        </is>
      </c>
      <c r="D4357" s="1" t="inlineStr">
        <is>
          <t>UNDER ARMOUR Essential 3-Pack Unisex Low Socks (White)</t>
        </is>
      </c>
      <c r="E4357" s="1" t="inlineStr">
        <is>
          <t>UNDER ARMOUR</t>
        </is>
      </c>
      <c r="F4357" s="1" t="inlineStr">
        <is>
          <t>ANKLE SOCKS</t>
        </is>
      </c>
      <c r="G4357" s="1" t="inlineStr">
        <is>
          <t>GF2090100653S</t>
        </is>
      </c>
      <c r="H4357" s="1" t="n">
        <v>3</v>
      </c>
      <c r="I4357" s="1" t="inlineStr">
        <is>
          <t>มี</t>
        </is>
      </c>
      <c r="J4357" s="13" t="n">
        <v>23</v>
      </c>
      <c r="K4357" s="1" t="inlineStr"/>
      <c r="L4357" s="13" t="n">
        <v>23</v>
      </c>
      <c r="M4357" s="1">
        <f>IF(L4357="","ไม่พบใน SG",IF(ABS(J4357-L4357)&lt;0.005,"ตรงกัน","ไม่ตรง"))</f>
        <v/>
      </c>
      <c r="N4357" s="14">
        <f>IF(L4357="","",ROUND(L4357*'สรุป'!$C$6,-1))</f>
        <v/>
      </c>
      <c r="O4357" s="15" t="n"/>
      <c r="P4357" s="15" t="n"/>
      <c r="Q4357" s="10" t="n"/>
      <c r="R4357" s="10" t="n"/>
      <c r="S4357" s="16" t="inlineStr">
        <is>
          <t>https://mstgolf.co.th/products/gf2090100653</t>
        </is>
      </c>
      <c r="T4357" s="1">
        <f>IF(B4357="ไม้กอล์ฟ",J4357,"")</f>
        <v/>
      </c>
    </row>
    <row r="4358">
      <c r="A4358" s="1" t="n">
        <v>3</v>
      </c>
      <c r="B4358" s="1" t="inlineStr">
        <is>
          <t>อุปกรณ์เสริม</t>
        </is>
      </c>
      <c r="C4358" s="1" t="inlineStr">
        <is>
          <t>gf2090100636</t>
        </is>
      </c>
      <c r="D4358" s="1" t="inlineStr">
        <is>
          <t>UNDER ARMOUR Essential 3-Pack Unisex Low Socks (White)</t>
        </is>
      </c>
      <c r="E4358" s="1" t="inlineStr">
        <is>
          <t>UNDER ARMOUR</t>
        </is>
      </c>
      <c r="F4358" s="1" t="inlineStr">
        <is>
          <t>ANKLE SOCKS</t>
        </is>
      </c>
      <c r="G4358" s="1" t="inlineStr">
        <is>
          <t>GF2090100636S</t>
        </is>
      </c>
      <c r="H4358" s="1" t="n">
        <v>3</v>
      </c>
      <c r="I4358" s="1" t="inlineStr">
        <is>
          <t>มี</t>
        </is>
      </c>
      <c r="J4358" s="13" t="n">
        <v>23</v>
      </c>
      <c r="K4358" s="1" t="inlineStr"/>
      <c r="L4358" s="13" t="n">
        <v>23</v>
      </c>
      <c r="M4358" s="1">
        <f>IF(L4358="","ไม่พบใน SG",IF(ABS(J4358-L4358)&lt;0.005,"ตรงกัน","ไม่ตรง"))</f>
        <v/>
      </c>
      <c r="N4358" s="14">
        <f>IF(L4358="","",ROUND(L4358*'สรุป'!$C$6,-1))</f>
        <v/>
      </c>
      <c r="O4358" s="15" t="n"/>
      <c r="P4358" s="15" t="n"/>
      <c r="Q4358" s="10" t="n"/>
      <c r="R4358" s="10" t="n"/>
      <c r="S4358" s="16" t="inlineStr">
        <is>
          <t>https://mstgolf.co.th/products/gf2090100636</t>
        </is>
      </c>
      <c r="T4358" s="1">
        <f>IF(B4358="ไม้กอล์ฟ",J4358,"")</f>
        <v/>
      </c>
    </row>
    <row r="4359">
      <c r="A4359" s="1" t="n">
        <v>3</v>
      </c>
      <c r="B4359" s="1" t="inlineStr">
        <is>
          <t>หมวก</t>
        </is>
      </c>
      <c r="C4359" s="1" t="inlineStr">
        <is>
          <t>gf2000300366</t>
        </is>
      </c>
      <c r="D4359" s="1" t="inlineStr">
        <is>
          <t>ADIDAS Printed Women's Bucket Hat (Black)</t>
        </is>
      </c>
      <c r="E4359" s="1" t="inlineStr">
        <is>
          <t>ADIDAS</t>
        </is>
      </c>
      <c r="F4359" s="1" t="inlineStr">
        <is>
          <t>HAT</t>
        </is>
      </c>
      <c r="G4359" s="1" t="inlineStr">
        <is>
          <t>GF2000300366FS</t>
        </is>
      </c>
      <c r="H4359" s="1" t="n">
        <v>1</v>
      </c>
      <c r="I4359" s="1" t="inlineStr">
        <is>
          <t>มี</t>
        </is>
      </c>
      <c r="J4359" s="13" t="n">
        <v>22</v>
      </c>
      <c r="K4359" s="1" t="inlineStr"/>
      <c r="L4359" s="13" t="n">
        <v>22</v>
      </c>
      <c r="M4359" s="1">
        <f>IF(L4359="","ไม่พบใน SG",IF(ABS(J4359-L4359)&lt;0.005,"ตรงกัน","ไม่ตรง"))</f>
        <v/>
      </c>
      <c r="N4359" s="14">
        <f>IF(L4359="","",ROUND(L4359*'สรุป'!$C$6,-1))</f>
        <v/>
      </c>
      <c r="O4359" s="15" t="n"/>
      <c r="P4359" s="15" t="n"/>
      <c r="Q4359" s="10" t="n"/>
      <c r="R4359" s="10" t="n"/>
      <c r="S4359" s="16" t="inlineStr">
        <is>
          <t>https://mstgolf.co.th/products/gf2000300366</t>
        </is>
      </c>
      <c r="T4359" s="1">
        <f>IF(B4359="ไม้กอล์ฟ",J4359,"")</f>
        <v/>
      </c>
    </row>
    <row r="4360">
      <c r="A4360" s="1" t="n">
        <v>3</v>
      </c>
      <c r="B4360" s="1" t="inlineStr">
        <is>
          <t>หมวก</t>
        </is>
      </c>
      <c r="C4360" s="1" t="inlineStr">
        <is>
          <t>gf2000106171</t>
        </is>
      </c>
      <c r="D4360" s="1" t="inlineStr">
        <is>
          <t>ADIDAS TWISTKNIT Men's Cap (Black)</t>
        </is>
      </c>
      <c r="E4360" s="1" t="inlineStr">
        <is>
          <t>ADIDAS</t>
        </is>
      </c>
      <c r="F4360" s="1" t="inlineStr">
        <is>
          <t>CAP</t>
        </is>
      </c>
      <c r="G4360" s="1" t="inlineStr">
        <is>
          <t>GF2000106171FS</t>
        </is>
      </c>
      <c r="H4360" s="1" t="n">
        <v>1</v>
      </c>
      <c r="I4360" s="1" t="inlineStr">
        <is>
          <t>มี</t>
        </is>
      </c>
      <c r="J4360" s="13" t="n">
        <v>22</v>
      </c>
      <c r="K4360" s="1" t="inlineStr"/>
      <c r="L4360" s="13" t="n">
        <v>22</v>
      </c>
      <c r="M4360" s="1">
        <f>IF(L4360="","ไม่พบใน SG",IF(ABS(J4360-L4360)&lt;0.005,"ตรงกัน","ไม่ตรง"))</f>
        <v/>
      </c>
      <c r="N4360" s="14">
        <f>IF(L4360="","",ROUND(L4360*'สรุป'!$C$6,-1))</f>
        <v/>
      </c>
      <c r="O4360" s="15" t="n"/>
      <c r="P4360" s="15" t="n"/>
      <c r="Q4360" s="10" t="n"/>
      <c r="R4360" s="10" t="n"/>
      <c r="S4360" s="16" t="inlineStr">
        <is>
          <t>https://mstgolf.co.th/products/gf2000106171</t>
        </is>
      </c>
      <c r="T4360" s="1">
        <f>IF(B4360="ไม้กอล์ฟ",J4360,"")</f>
        <v/>
      </c>
    </row>
    <row r="4361">
      <c r="A4361" s="1" t="n">
        <v>3</v>
      </c>
      <c r="B4361" s="1" t="inlineStr">
        <is>
          <t>หมวก</t>
        </is>
      </c>
      <c r="C4361" s="1" t="inlineStr">
        <is>
          <t>gf2000106172</t>
        </is>
      </c>
      <c r="D4361" s="1" t="inlineStr">
        <is>
          <t>ADIDAS TWISTKNIT Men's Cap (Silver)</t>
        </is>
      </c>
      <c r="E4361" s="1" t="inlineStr">
        <is>
          <t>ADIDAS</t>
        </is>
      </c>
      <c r="F4361" s="1" t="inlineStr">
        <is>
          <t>CAP</t>
        </is>
      </c>
      <c r="G4361" s="1" t="inlineStr">
        <is>
          <t>GF2000106172FS</t>
        </is>
      </c>
      <c r="H4361" s="1" t="n">
        <v>1</v>
      </c>
      <c r="I4361" s="1" t="inlineStr">
        <is>
          <t>มี</t>
        </is>
      </c>
      <c r="J4361" s="13" t="n">
        <v>22</v>
      </c>
      <c r="K4361" s="1" t="inlineStr"/>
      <c r="L4361" s="13" t="n">
        <v>22</v>
      </c>
      <c r="M4361" s="1">
        <f>IF(L4361="","ไม่พบใน SG",IF(ABS(J4361-L4361)&lt;0.005,"ตรงกัน","ไม่ตรง"))</f>
        <v/>
      </c>
      <c r="N4361" s="14">
        <f>IF(L4361="","",ROUND(L4361*'สรุป'!$C$6,-1))</f>
        <v/>
      </c>
      <c r="O4361" s="15" t="n"/>
      <c r="P4361" s="15" t="n"/>
      <c r="Q4361" s="10" t="n"/>
      <c r="R4361" s="10" t="n"/>
      <c r="S4361" s="16" t="inlineStr">
        <is>
          <t>https://mstgolf.co.th/products/gf2000106172</t>
        </is>
      </c>
      <c r="T4361" s="1">
        <f>IF(B4361="ไม้กอล์ฟ",J4361,"")</f>
        <v/>
      </c>
    </row>
    <row r="4362">
      <c r="A4362" s="1" t="n">
        <v>3</v>
      </c>
      <c r="B4362" s="1" t="inlineStr">
        <is>
          <t>หมวก</t>
        </is>
      </c>
      <c r="C4362" s="1" t="inlineStr">
        <is>
          <t>gf2000106170</t>
        </is>
      </c>
      <c r="D4362" s="1" t="inlineStr">
        <is>
          <t>ADIDAS TWISTKNIT Men's Cap (White)</t>
        </is>
      </c>
      <c r="E4362" s="1" t="inlineStr">
        <is>
          <t>ADIDAS</t>
        </is>
      </c>
      <c r="F4362" s="1" t="inlineStr">
        <is>
          <t>CAP</t>
        </is>
      </c>
      <c r="G4362" s="1" t="inlineStr">
        <is>
          <t>GF2000106170FS</t>
        </is>
      </c>
      <c r="H4362" s="1" t="n">
        <v>1</v>
      </c>
      <c r="I4362" s="1" t="inlineStr">
        <is>
          <t>มี</t>
        </is>
      </c>
      <c r="J4362" s="13" t="n">
        <v>22</v>
      </c>
      <c r="K4362" s="1" t="inlineStr"/>
      <c r="L4362" s="13" t="n">
        <v>22</v>
      </c>
      <c r="M4362" s="1">
        <f>IF(L4362="","ไม่พบใน SG",IF(ABS(J4362-L4362)&lt;0.005,"ตรงกัน","ไม่ตรง"))</f>
        <v/>
      </c>
      <c r="N4362" s="14">
        <f>IF(L4362="","",ROUND(L4362*'สรุป'!$C$6,-1))</f>
        <v/>
      </c>
      <c r="O4362" s="15" t="n"/>
      <c r="P4362" s="15" t="n"/>
      <c r="Q4362" s="10" t="n"/>
      <c r="R4362" s="10" t="n"/>
      <c r="S4362" s="16" t="inlineStr">
        <is>
          <t>https://mstgolf.co.th/products/gf2000106170</t>
        </is>
      </c>
      <c r="T4362" s="1">
        <f>IF(B4362="ไม้กอล์ฟ",J4362,"")</f>
        <v/>
      </c>
    </row>
    <row r="4363">
      <c r="A4363" s="1" t="n">
        <v>3</v>
      </c>
      <c r="B4363" s="1" t="inlineStr">
        <is>
          <t>หมวก</t>
        </is>
      </c>
      <c r="C4363" s="1" t="inlineStr">
        <is>
          <t>gf2000106155</t>
        </is>
      </c>
      <c r="D4363" s="1" t="inlineStr">
        <is>
          <t>ADIDAS Tour Slice Print Men's Cap (Navy)</t>
        </is>
      </c>
      <c r="E4363" s="1" t="inlineStr">
        <is>
          <t>ADIDAS</t>
        </is>
      </c>
      <c r="F4363" s="1" t="inlineStr">
        <is>
          <t>CAP</t>
        </is>
      </c>
      <c r="G4363" s="1" t="inlineStr">
        <is>
          <t>GF2000106155FS</t>
        </is>
      </c>
      <c r="H4363" s="1" t="n">
        <v>1</v>
      </c>
      <c r="I4363" s="1" t="inlineStr">
        <is>
          <t>มี</t>
        </is>
      </c>
      <c r="J4363" s="13" t="n">
        <v>22</v>
      </c>
      <c r="K4363" s="1" t="inlineStr"/>
      <c r="L4363" s="13" t="n">
        <v>22</v>
      </c>
      <c r="M4363" s="1">
        <f>IF(L4363="","ไม่พบใน SG",IF(ABS(J4363-L4363)&lt;0.005,"ตรงกัน","ไม่ตรง"))</f>
        <v/>
      </c>
      <c r="N4363" s="14">
        <f>IF(L4363="","",ROUND(L4363*'สรุป'!$C$6,-1))</f>
        <v/>
      </c>
      <c r="O4363" s="15" t="n"/>
      <c r="P4363" s="15" t="n"/>
      <c r="Q4363" s="10" t="n"/>
      <c r="R4363" s="10" t="n"/>
      <c r="S4363" s="16" t="inlineStr">
        <is>
          <t>https://mstgolf.co.th/products/gf2000106155</t>
        </is>
      </c>
      <c r="T4363" s="1">
        <f>IF(B4363="ไม้กอล์ฟ",J4363,"")</f>
        <v/>
      </c>
    </row>
    <row r="4364">
      <c r="A4364" s="1" t="n">
        <v>3</v>
      </c>
      <c r="B4364" s="1" t="inlineStr">
        <is>
          <t>หมวก</t>
        </is>
      </c>
      <c r="C4364" s="1" t="inlineStr">
        <is>
          <t>gf2000106156</t>
        </is>
      </c>
      <c r="D4364" s="1" t="inlineStr">
        <is>
          <t>ADIDAS Tour Slice Print Men's Cap (White)</t>
        </is>
      </c>
      <c r="E4364" s="1" t="inlineStr">
        <is>
          <t>ADIDAS</t>
        </is>
      </c>
      <c r="F4364" s="1" t="inlineStr">
        <is>
          <t>CAP</t>
        </is>
      </c>
      <c r="G4364" s="1" t="inlineStr">
        <is>
          <t>GF2000106156FS</t>
        </is>
      </c>
      <c r="H4364" s="1" t="n">
        <v>1</v>
      </c>
      <c r="I4364" s="1" t="inlineStr">
        <is>
          <t>มี</t>
        </is>
      </c>
      <c r="J4364" s="13" t="n">
        <v>22</v>
      </c>
      <c r="K4364" s="1" t="inlineStr"/>
      <c r="L4364" s="13" t="n">
        <v>22</v>
      </c>
      <c r="M4364" s="1">
        <f>IF(L4364="","ไม่พบใน SG",IF(ABS(J4364-L4364)&lt;0.005,"ตรงกัน","ไม่ตรง"))</f>
        <v/>
      </c>
      <c r="N4364" s="14">
        <f>IF(L4364="","",ROUND(L4364*'สรุป'!$C$6,-1))</f>
        <v/>
      </c>
      <c r="O4364" s="15" t="n"/>
      <c r="P4364" s="15" t="n"/>
      <c r="Q4364" s="10" t="n"/>
      <c r="R4364" s="10" t="n"/>
      <c r="S4364" s="16" t="inlineStr">
        <is>
          <t>https://mstgolf.co.th/products/gf2000106156</t>
        </is>
      </c>
      <c r="T4364" s="1">
        <f>IF(B4364="ไม้กอล์ฟ",J4364,"")</f>
        <v/>
      </c>
    </row>
    <row r="4365">
      <c r="A4365" s="1" t="n">
        <v>3</v>
      </c>
      <c r="B4365" s="1" t="inlineStr">
        <is>
          <t>หมวก</t>
        </is>
      </c>
      <c r="C4365" s="1" t="inlineStr">
        <is>
          <t>gf2000106165</t>
        </is>
      </c>
      <c r="D4365" s="1" t="inlineStr">
        <is>
          <t>ADIDAS Tour Slice Print Men's Cap (Wonder Silver)</t>
        </is>
      </c>
      <c r="E4365" s="1" t="inlineStr">
        <is>
          <t>ADIDAS</t>
        </is>
      </c>
      <c r="F4365" s="1" t="inlineStr">
        <is>
          <t>CAP</t>
        </is>
      </c>
      <c r="G4365" s="1" t="inlineStr">
        <is>
          <t>GF2000106165FS</t>
        </is>
      </c>
      <c r="H4365" s="1" t="n">
        <v>1</v>
      </c>
      <c r="I4365" s="1" t="inlineStr">
        <is>
          <t>มี</t>
        </is>
      </c>
      <c r="J4365" s="13" t="n">
        <v>22</v>
      </c>
      <c r="K4365" s="1" t="inlineStr"/>
      <c r="L4365" s="13" t="n">
        <v>22</v>
      </c>
      <c r="M4365" s="1">
        <f>IF(L4365="","ไม่พบใน SG",IF(ABS(J4365-L4365)&lt;0.005,"ตรงกัน","ไม่ตรง"))</f>
        <v/>
      </c>
      <c r="N4365" s="14">
        <f>IF(L4365="","",ROUND(L4365*'สรุป'!$C$6,-1))</f>
        <v/>
      </c>
      <c r="O4365" s="15" t="n"/>
      <c r="P4365" s="15" t="n"/>
      <c r="Q4365" s="10" t="n"/>
      <c r="R4365" s="10" t="n"/>
      <c r="S4365" s="16" t="inlineStr">
        <is>
          <t>https://mstgolf.co.th/products/gf2000106165</t>
        </is>
      </c>
      <c r="T4365" s="1">
        <f>IF(B4365="ไม้กอล์ฟ",J4365,"")</f>
        <v/>
      </c>
    </row>
    <row r="4366">
      <c r="A4366" s="1" t="n">
        <v>3</v>
      </c>
      <c r="B4366" s="1" t="inlineStr">
        <is>
          <t>หมวก</t>
        </is>
      </c>
      <c r="C4366" s="1" t="inlineStr">
        <is>
          <t>gf2000300364</t>
        </is>
      </c>
      <c r="D4366" s="1" t="inlineStr">
        <is>
          <t>ADIDAS Women's Wide Hat (Black)</t>
        </is>
      </c>
      <c r="E4366" s="1" t="inlineStr">
        <is>
          <t>ADIDAS</t>
        </is>
      </c>
      <c r="F4366" s="1" t="inlineStr">
        <is>
          <t>HAT</t>
        </is>
      </c>
      <c r="G4366" s="1" t="inlineStr">
        <is>
          <t>GF2000300364FS</t>
        </is>
      </c>
      <c r="H4366" s="1" t="n">
        <v>1</v>
      </c>
      <c r="I4366" s="1" t="inlineStr">
        <is>
          <t>มี</t>
        </is>
      </c>
      <c r="J4366" s="13" t="n">
        <v>22</v>
      </c>
      <c r="K4366" s="1" t="inlineStr"/>
      <c r="L4366" s="13" t="n">
        <v>22</v>
      </c>
      <c r="M4366" s="1">
        <f>IF(L4366="","ไม่พบใน SG",IF(ABS(J4366-L4366)&lt;0.005,"ตรงกัน","ไม่ตรง"))</f>
        <v/>
      </c>
      <c r="N4366" s="14">
        <f>IF(L4366="","",ROUND(L4366*'สรุป'!$C$6,-1))</f>
        <v/>
      </c>
      <c r="O4366" s="15" t="n"/>
      <c r="P4366" s="15" t="n"/>
      <c r="Q4366" s="10" t="n"/>
      <c r="R4366" s="10" t="n"/>
      <c r="S4366" s="16" t="inlineStr">
        <is>
          <t>https://mstgolf.co.th/products/gf2000300364</t>
        </is>
      </c>
      <c r="T4366" s="1">
        <f>IF(B4366="ไม้กอล์ฟ",J4366,"")</f>
        <v/>
      </c>
    </row>
    <row r="4367">
      <c r="A4367" s="1" t="n">
        <v>3</v>
      </c>
      <c r="B4367" s="1" t="inlineStr">
        <is>
          <t>เสื้อผ้า</t>
        </is>
      </c>
      <c r="C4367" s="1" t="inlineStr">
        <is>
          <t>gf2040114622</t>
        </is>
      </c>
      <c r="D4367" s="1" t="inlineStr">
        <is>
          <t>NIKE Tiger Woods Frank Men's T-Shirt (Black)</t>
        </is>
      </c>
      <c r="E4367" s="1" t="inlineStr">
        <is>
          <t>NIKE</t>
        </is>
      </c>
      <c r="F4367" s="1" t="inlineStr">
        <is>
          <t>SHORT SLEEVES</t>
        </is>
      </c>
      <c r="G4367" s="1" t="inlineStr">
        <is>
          <t>GF2040114622S</t>
        </is>
      </c>
      <c r="H4367" s="1" t="n">
        <v>5</v>
      </c>
      <c r="I4367" s="1" t="inlineStr">
        <is>
          <t>มี</t>
        </is>
      </c>
      <c r="J4367" s="13" t="n">
        <v>22</v>
      </c>
      <c r="K4367" s="1" t="inlineStr"/>
      <c r="L4367" s="13" t="n">
        <v>22</v>
      </c>
      <c r="M4367" s="1">
        <f>IF(L4367="","ไม่พบใน SG",IF(ABS(J4367-L4367)&lt;0.005,"ตรงกัน","ไม่ตรง"))</f>
        <v/>
      </c>
      <c r="N4367" s="14">
        <f>IF(L4367="","",ROUND(L4367*'สรุป'!$C$6,-1))</f>
        <v/>
      </c>
      <c r="O4367" s="15" t="n"/>
      <c r="P4367" s="15" t="n"/>
      <c r="Q4367" s="10" t="n"/>
      <c r="R4367" s="10" t="n"/>
      <c r="S4367" s="16" t="inlineStr">
        <is>
          <t>https://mstgolf.co.th/products/gf2040114622</t>
        </is>
      </c>
      <c r="T4367" s="1">
        <f>IF(B4367="ไม้กอล์ฟ",J4367,"")</f>
        <v/>
      </c>
    </row>
    <row r="4368">
      <c r="A4368" s="1" t="n">
        <v>3</v>
      </c>
      <c r="B4368" s="1" t="inlineStr">
        <is>
          <t>เสื้อผ้า</t>
        </is>
      </c>
      <c r="C4368" s="1" t="inlineStr">
        <is>
          <t>gf2040114624</t>
        </is>
      </c>
      <c r="D4368" s="1" t="inlineStr">
        <is>
          <t>NIKE Tiger Woods Frank Men's T-Shirt (Gym Red)</t>
        </is>
      </c>
      <c r="E4368" s="1" t="inlineStr">
        <is>
          <t>NIKE</t>
        </is>
      </c>
      <c r="F4368" s="1" t="inlineStr">
        <is>
          <t>SHORT SLEEVES</t>
        </is>
      </c>
      <c r="G4368" s="1" t="inlineStr">
        <is>
          <t>GF2040114624S</t>
        </is>
      </c>
      <c r="H4368" s="1" t="n">
        <v>5</v>
      </c>
      <c r="I4368" s="1" t="inlineStr">
        <is>
          <t>มี</t>
        </is>
      </c>
      <c r="J4368" s="13" t="n">
        <v>22</v>
      </c>
      <c r="K4368" s="1" t="inlineStr"/>
      <c r="L4368" s="13" t="n">
        <v>22</v>
      </c>
      <c r="M4368" s="1">
        <f>IF(L4368="","ไม่พบใน SG",IF(ABS(J4368-L4368)&lt;0.005,"ตรงกัน","ไม่ตรง"))</f>
        <v/>
      </c>
      <c r="N4368" s="14">
        <f>IF(L4368="","",ROUND(L4368*'สรุป'!$C$6,-1))</f>
        <v/>
      </c>
      <c r="O4368" s="15" t="n"/>
      <c r="P4368" s="15" t="n"/>
      <c r="Q4368" s="10" t="n"/>
      <c r="R4368" s="10" t="n"/>
      <c r="S4368" s="16" t="inlineStr">
        <is>
          <t>https://mstgolf.co.th/products/gf2040114624</t>
        </is>
      </c>
      <c r="T4368" s="1">
        <f>IF(B4368="ไม้กอล์ฟ",J4368,"")</f>
        <v/>
      </c>
    </row>
    <row r="4369">
      <c r="A4369" s="1" t="n">
        <v>3</v>
      </c>
      <c r="B4369" s="1" t="inlineStr">
        <is>
          <t>อุปกรณ์เสริม</t>
        </is>
      </c>
      <c r="C4369" s="1" t="inlineStr">
        <is>
          <t>gf3500300988</t>
        </is>
      </c>
      <c r="D4369" s="1" t="inlineStr">
        <is>
          <t>SOFTSPIKES TOUR WRENCH KIT</t>
        </is>
      </c>
      <c r="E4369" s="1" t="inlineStr">
        <is>
          <t>SOFTSPIKES</t>
        </is>
      </c>
      <c r="F4369" s="1" t="inlineStr">
        <is>
          <t>GOLF ACCESSORIES</t>
        </is>
      </c>
      <c r="G4369" s="1" t="inlineStr">
        <is>
          <t>GF3500300988</t>
        </is>
      </c>
      <c r="H4369" s="1" t="n">
        <v>1</v>
      </c>
      <c r="I4369" s="1" t="inlineStr">
        <is>
          <t>มี</t>
        </is>
      </c>
      <c r="J4369" s="13" t="n">
        <v>22</v>
      </c>
      <c r="K4369" s="1" t="inlineStr"/>
      <c r="L4369" s="13" t="n">
        <v>22</v>
      </c>
      <c r="M4369" s="1">
        <f>IF(L4369="","ไม่พบใน SG",IF(ABS(J4369-L4369)&lt;0.005,"ตรงกัน","ไม่ตรง"))</f>
        <v/>
      </c>
      <c r="N4369" s="14">
        <f>IF(L4369="","",ROUND(L4369*'สรุป'!$C$6,-1))</f>
        <v/>
      </c>
      <c r="O4369" s="15" t="n"/>
      <c r="P4369" s="15" t="n"/>
      <c r="Q4369" s="10" t="n"/>
      <c r="R4369" s="10" t="n"/>
      <c r="S4369" s="16" t="inlineStr">
        <is>
          <t>https://mstgolf.co.th/products/gf3500300988</t>
        </is>
      </c>
      <c r="T4369" s="1">
        <f>IF(B4369="ไม้กอล์ฟ",J4369,"")</f>
        <v/>
      </c>
    </row>
    <row r="4370">
      <c r="A4370" s="1" t="n">
        <v>3</v>
      </c>
      <c r="B4370" s="1" t="inlineStr">
        <is>
          <t>หมวก</t>
        </is>
      </c>
      <c r="C4370" s="1" t="inlineStr">
        <is>
          <t>gf2000105142</t>
        </is>
      </c>
      <c r="D4370" s="1" t="inlineStr">
        <is>
          <t>ADIDAS 3-Stripes Tour Men's Cap (Black)</t>
        </is>
      </c>
      <c r="E4370" s="1" t="inlineStr">
        <is>
          <t>ADIDAS</t>
        </is>
      </c>
      <c r="F4370" s="1" t="inlineStr">
        <is>
          <t>CAP</t>
        </is>
      </c>
      <c r="G4370" s="1" t="inlineStr">
        <is>
          <t>GF2000105142FS</t>
        </is>
      </c>
      <c r="H4370" s="1" t="n">
        <v>1</v>
      </c>
      <c r="I4370" s="1" t="inlineStr">
        <is>
          <t>มี</t>
        </is>
      </c>
      <c r="J4370" s="13" t="n">
        <v>21</v>
      </c>
      <c r="K4370" s="1" t="inlineStr"/>
      <c r="L4370" s="13" t="n">
        <v>21</v>
      </c>
      <c r="M4370" s="1">
        <f>IF(L4370="","ไม่พบใน SG",IF(ABS(J4370-L4370)&lt;0.005,"ตรงกัน","ไม่ตรง"))</f>
        <v/>
      </c>
      <c r="N4370" s="14">
        <f>IF(L4370="","",ROUND(L4370*'สรุป'!$C$6,-1))</f>
        <v/>
      </c>
      <c r="O4370" s="15" t="n"/>
      <c r="P4370" s="15" t="n"/>
      <c r="Q4370" s="10" t="n"/>
      <c r="R4370" s="10" t="n"/>
      <c r="S4370" s="16" t="inlineStr">
        <is>
          <t>https://mstgolf.co.th/products/gf2000105142</t>
        </is>
      </c>
      <c r="T4370" s="1">
        <f>IF(B4370="ไม้กอล์ฟ",J4370,"")</f>
        <v/>
      </c>
    </row>
    <row r="4371">
      <c r="A4371" s="1" t="n">
        <v>3</v>
      </c>
      <c r="B4371" s="1" t="inlineStr">
        <is>
          <t>หมวก</t>
        </is>
      </c>
      <c r="C4371" s="1" t="inlineStr">
        <is>
          <t>gf2000105144</t>
        </is>
      </c>
      <c r="D4371" s="1" t="inlineStr">
        <is>
          <t>ADIDAS 3-Stripes Tour Men's Cap (White)</t>
        </is>
      </c>
      <c r="E4371" s="1" t="inlineStr">
        <is>
          <t>ADIDAS</t>
        </is>
      </c>
      <c r="F4371" s="1" t="inlineStr">
        <is>
          <t>CAP</t>
        </is>
      </c>
      <c r="G4371" s="1" t="inlineStr">
        <is>
          <t>GF2000105144FS</t>
        </is>
      </c>
      <c r="H4371" s="1" t="n">
        <v>1</v>
      </c>
      <c r="I4371" s="1" t="inlineStr">
        <is>
          <t>มี</t>
        </is>
      </c>
      <c r="J4371" s="13" t="n">
        <v>21</v>
      </c>
      <c r="K4371" s="1" t="inlineStr"/>
      <c r="L4371" s="13" t="n">
        <v>15</v>
      </c>
      <c r="M4371" s="1">
        <f>IF(L4371="","ไม่พบใน SG",IF(ABS(J4371-L4371)&lt;0.005,"ตรงกัน","ไม่ตรง"))</f>
        <v/>
      </c>
      <c r="N4371" s="14">
        <f>IF(L4371="","",ROUND(L4371*'สรุป'!$C$6,-1))</f>
        <v/>
      </c>
      <c r="O4371" s="15" t="n"/>
      <c r="P4371" s="15" t="n"/>
      <c r="Q4371" s="10" t="n"/>
      <c r="R4371" s="10" t="n"/>
      <c r="S4371" s="16" t="inlineStr">
        <is>
          <t>https://mstgolf.co.th/products/gf2000105144</t>
        </is>
      </c>
      <c r="T4371" s="1">
        <f>IF(B4371="ไม้กอล์ฟ",J4371,"")</f>
        <v/>
      </c>
    </row>
    <row r="4372">
      <c r="A4372" s="1" t="n">
        <v>3</v>
      </c>
      <c r="B4372" s="1" t="inlineStr">
        <is>
          <t>อุปกรณ์เสริม</t>
        </is>
      </c>
      <c r="C4372" s="1" t="inlineStr">
        <is>
          <t>gf2100200572</t>
        </is>
      </c>
      <c r="D4372" s="1" t="inlineStr">
        <is>
          <t>ADIDAS Players Towel (Black)</t>
        </is>
      </c>
      <c r="E4372" s="1" t="inlineStr">
        <is>
          <t>ADIDAS</t>
        </is>
      </c>
      <c r="F4372" s="1" t="inlineStr">
        <is>
          <t>HAND/CLUB TOWEL</t>
        </is>
      </c>
      <c r="G4372" s="1" t="inlineStr">
        <is>
          <t>GF2100200572</t>
        </is>
      </c>
      <c r="H4372" s="1" t="n">
        <v>1</v>
      </c>
      <c r="I4372" s="1" t="inlineStr">
        <is>
          <t>มี</t>
        </is>
      </c>
      <c r="J4372" s="13" t="n">
        <v>21</v>
      </c>
      <c r="K4372" s="1" t="inlineStr"/>
      <c r="L4372" s="13" t="n">
        <v>15</v>
      </c>
      <c r="M4372" s="1">
        <f>IF(L4372="","ไม่พบใน SG",IF(ABS(J4372-L4372)&lt;0.005,"ตรงกัน","ไม่ตรง"))</f>
        <v/>
      </c>
      <c r="N4372" s="14">
        <f>IF(L4372="","",ROUND(L4372*'สรุป'!$C$6,-1))</f>
        <v/>
      </c>
      <c r="O4372" s="15" t="n"/>
      <c r="P4372" s="15" t="n"/>
      <c r="Q4372" s="10" t="n"/>
      <c r="R4372" s="10" t="n"/>
      <c r="S4372" s="16" t="inlineStr">
        <is>
          <t>https://mstgolf.co.th/products/gf2100200572</t>
        </is>
      </c>
      <c r="T4372" s="1">
        <f>IF(B4372="ไม้กอล์ฟ",J4372,"")</f>
        <v/>
      </c>
    </row>
    <row r="4373">
      <c r="A4373" s="1" t="n">
        <v>3</v>
      </c>
      <c r="B4373" s="1" t="inlineStr">
        <is>
          <t>อุปกรณ์เสริม</t>
        </is>
      </c>
      <c r="C4373" s="1" t="inlineStr">
        <is>
          <t>gf2080101506</t>
        </is>
      </c>
      <c r="D4373" s="1" t="inlineStr">
        <is>
          <t>ADIDAS Reversible Webbing Men's Belt (Aurora)</t>
        </is>
      </c>
      <c r="E4373" s="1" t="inlineStr">
        <is>
          <t>ADIDAS</t>
        </is>
      </c>
      <c r="F4373" s="1" t="inlineStr">
        <is>
          <t>BELT</t>
        </is>
      </c>
      <c r="G4373" s="1" t="inlineStr">
        <is>
          <t>GF2080101506FS</t>
        </is>
      </c>
      <c r="H4373" s="1" t="n">
        <v>1</v>
      </c>
      <c r="I4373" s="1" t="inlineStr">
        <is>
          <t>มี</t>
        </is>
      </c>
      <c r="J4373" s="13" t="n">
        <v>21</v>
      </c>
      <c r="K4373" s="1" t="inlineStr"/>
      <c r="L4373" s="13" t="n">
        <v>15</v>
      </c>
      <c r="M4373" s="1">
        <f>IF(L4373="","ไม่พบใน SG",IF(ABS(J4373-L4373)&lt;0.005,"ตรงกัน","ไม่ตรง"))</f>
        <v/>
      </c>
      <c r="N4373" s="14">
        <f>IF(L4373="","",ROUND(L4373*'สรุป'!$C$6,-1))</f>
        <v/>
      </c>
      <c r="O4373" s="15" t="n"/>
      <c r="P4373" s="15" t="n"/>
      <c r="Q4373" s="10" t="n"/>
      <c r="R4373" s="10" t="n"/>
      <c r="S4373" s="16" t="inlineStr">
        <is>
          <t>https://mstgolf.co.th/products/gf2080101506</t>
        </is>
      </c>
      <c r="T4373" s="1">
        <f>IF(B4373="ไม้กอล์ฟ",J4373,"")</f>
        <v/>
      </c>
    </row>
    <row r="4374">
      <c r="A4374" s="1" t="n">
        <v>3</v>
      </c>
      <c r="B4374" s="1" t="inlineStr">
        <is>
          <t>อุปกรณ์เสริม</t>
        </is>
      </c>
      <c r="C4374" s="1" t="inlineStr">
        <is>
          <t>gf2080101507</t>
        </is>
      </c>
      <c r="D4374" s="1" t="inlineStr">
        <is>
          <t>ADIDAS Reversible Webbing Men's Belt (Grey/White)</t>
        </is>
      </c>
      <c r="E4374" s="1" t="inlineStr">
        <is>
          <t>ADIDAS</t>
        </is>
      </c>
      <c r="F4374" s="1" t="inlineStr">
        <is>
          <t>BELT</t>
        </is>
      </c>
      <c r="G4374" s="1" t="inlineStr">
        <is>
          <t>GF2080101507FS</t>
        </is>
      </c>
      <c r="H4374" s="1" t="n">
        <v>1</v>
      </c>
      <c r="I4374" s="1" t="inlineStr">
        <is>
          <t>มี</t>
        </is>
      </c>
      <c r="J4374" s="13" t="n">
        <v>21</v>
      </c>
      <c r="K4374" s="1" t="inlineStr"/>
      <c r="L4374" s="13" t="n"/>
      <c r="M4374" s="1">
        <f>IF(L4374="","ไม่พบใน SG",IF(ABS(J4374-L4374)&lt;0.005,"ตรงกัน","ไม่ตรง"))</f>
        <v/>
      </c>
      <c r="N4374" s="14">
        <f>IF(L4374="","",ROUND(L4374*'สรุป'!$C$6,-1))</f>
        <v/>
      </c>
      <c r="O4374" s="15" t="n"/>
      <c r="P4374" s="15" t="n"/>
      <c r="Q4374" s="10" t="n"/>
      <c r="R4374" s="10" t="n"/>
      <c r="S4374" s="16" t="inlineStr">
        <is>
          <t>https://mstgolf.co.th/products/gf2080101507</t>
        </is>
      </c>
      <c r="T4374" s="1">
        <f>IF(B4374="ไม้กอล์ฟ",J4374,"")</f>
        <v/>
      </c>
    </row>
    <row r="4375">
      <c r="A4375" s="1" t="n">
        <v>3</v>
      </c>
      <c r="B4375" s="1" t="inlineStr">
        <is>
          <t>หมวก</t>
        </is>
      </c>
      <c r="C4375" s="1" t="inlineStr">
        <is>
          <t>gf2000201024</t>
        </is>
      </c>
      <c r="D4375" s="1" t="inlineStr">
        <is>
          <t>ADIDAS Tour High-Crown Men's Visor (Black)</t>
        </is>
      </c>
      <c r="E4375" s="1" t="inlineStr">
        <is>
          <t>ADIDAS</t>
        </is>
      </c>
      <c r="F4375" s="1" t="inlineStr">
        <is>
          <t>VISOR</t>
        </is>
      </c>
      <c r="G4375" s="1" t="inlineStr">
        <is>
          <t>GF2000201024FS</t>
        </is>
      </c>
      <c r="H4375" s="1" t="n">
        <v>1</v>
      </c>
      <c r="I4375" s="1" t="inlineStr">
        <is>
          <t>มี</t>
        </is>
      </c>
      <c r="J4375" s="13" t="n">
        <v>21</v>
      </c>
      <c r="K4375" s="1" t="inlineStr"/>
      <c r="L4375" s="13" t="n">
        <v>15</v>
      </c>
      <c r="M4375" s="1">
        <f>IF(L4375="","ไม่พบใน SG",IF(ABS(J4375-L4375)&lt;0.005,"ตรงกัน","ไม่ตรง"))</f>
        <v/>
      </c>
      <c r="N4375" s="14">
        <f>IF(L4375="","",ROUND(L4375*'สรุป'!$C$6,-1))</f>
        <v/>
      </c>
      <c r="O4375" s="15" t="n"/>
      <c r="P4375" s="15" t="n"/>
      <c r="Q4375" s="10" t="n"/>
      <c r="R4375" s="10" t="n"/>
      <c r="S4375" s="16" t="inlineStr">
        <is>
          <t>https://mstgolf.co.th/products/gf2000201024</t>
        </is>
      </c>
      <c r="T4375" s="1">
        <f>IF(B4375="ไม้กอล์ฟ",J4375,"")</f>
        <v/>
      </c>
    </row>
    <row r="4376">
      <c r="A4376" s="1" t="n">
        <v>3</v>
      </c>
      <c r="B4376" s="1" t="inlineStr">
        <is>
          <t>หมวก</t>
        </is>
      </c>
      <c r="C4376" s="1" t="inlineStr">
        <is>
          <t>gf2000201025</t>
        </is>
      </c>
      <c r="D4376" s="1" t="inlineStr">
        <is>
          <t>ADIDAS Tour High-Crown Men's Visor (White)</t>
        </is>
      </c>
      <c r="E4376" s="1" t="inlineStr">
        <is>
          <t>ADIDAS</t>
        </is>
      </c>
      <c r="F4376" s="1" t="inlineStr">
        <is>
          <t>VISOR</t>
        </is>
      </c>
      <c r="G4376" s="1" t="inlineStr">
        <is>
          <t>GF2000201025FS</t>
        </is>
      </c>
      <c r="H4376" s="1" t="n">
        <v>1</v>
      </c>
      <c r="I4376" s="1" t="inlineStr">
        <is>
          <t>มี</t>
        </is>
      </c>
      <c r="J4376" s="13" t="n">
        <v>21</v>
      </c>
      <c r="K4376" s="1" t="inlineStr"/>
      <c r="L4376" s="13" t="n">
        <v>15</v>
      </c>
      <c r="M4376" s="1">
        <f>IF(L4376="","ไม่พบใน SG",IF(ABS(J4376-L4376)&lt;0.005,"ตรงกัน","ไม่ตรง"))</f>
        <v/>
      </c>
      <c r="N4376" s="14">
        <f>IF(L4376="","",ROUND(L4376*'สรุป'!$C$6,-1))</f>
        <v/>
      </c>
      <c r="O4376" s="15" t="n"/>
      <c r="P4376" s="15" t="n"/>
      <c r="Q4376" s="10" t="n"/>
      <c r="R4376" s="10" t="n"/>
      <c r="S4376" s="16" t="inlineStr">
        <is>
          <t>https://mstgolf.co.th/products/gf2000201025</t>
        </is>
      </c>
      <c r="T4376" s="1">
        <f>IF(B4376="ไม้กอล์ฟ",J4376,"")</f>
        <v/>
      </c>
    </row>
    <row r="4377">
      <c r="A4377" s="1" t="n">
        <v>3</v>
      </c>
      <c r="B4377" s="1" t="inlineStr">
        <is>
          <t>หมวก</t>
        </is>
      </c>
      <c r="C4377" s="1" t="inlineStr">
        <is>
          <t>gf2000105902</t>
        </is>
      </c>
      <c r="D4377" s="1" t="inlineStr">
        <is>
          <t>ADIDAS Tour Snapback Men’s Cap (Navy)</t>
        </is>
      </c>
      <c r="E4377" s="1" t="inlineStr">
        <is>
          <t>ADIDAS</t>
        </is>
      </c>
      <c r="F4377" s="1" t="inlineStr">
        <is>
          <t>CAP</t>
        </is>
      </c>
      <c r="G4377" s="1" t="inlineStr">
        <is>
          <t>GF2000105902FS</t>
        </is>
      </c>
      <c r="H4377" s="1" t="n">
        <v>1</v>
      </c>
      <c r="I4377" s="1" t="inlineStr">
        <is>
          <t>มี</t>
        </is>
      </c>
      <c r="J4377" s="13" t="n">
        <v>21</v>
      </c>
      <c r="K4377" s="1" t="inlineStr"/>
      <c r="L4377" s="13" t="n">
        <v>15</v>
      </c>
      <c r="M4377" s="1">
        <f>IF(L4377="","ไม่พบใน SG",IF(ABS(J4377-L4377)&lt;0.005,"ตรงกัน","ไม่ตรง"))</f>
        <v/>
      </c>
      <c r="N4377" s="14">
        <f>IF(L4377="","",ROUND(L4377*'สรุป'!$C$6,-1))</f>
        <v/>
      </c>
      <c r="O4377" s="15" t="n"/>
      <c r="P4377" s="15" t="n"/>
      <c r="Q4377" s="10" t="n"/>
      <c r="R4377" s="10" t="n"/>
      <c r="S4377" s="16" t="inlineStr">
        <is>
          <t>https://mstgolf.co.th/products/gf2000105902</t>
        </is>
      </c>
      <c r="T4377" s="1">
        <f>IF(B4377="ไม้กอล์ฟ",J4377,"")</f>
        <v/>
      </c>
    </row>
    <row r="4378">
      <c r="A4378" s="1" t="n">
        <v>3</v>
      </c>
      <c r="B4378" s="1" t="inlineStr">
        <is>
          <t>หมวก</t>
        </is>
      </c>
      <c r="C4378" s="1" t="inlineStr">
        <is>
          <t>gf2000105901</t>
        </is>
      </c>
      <c r="D4378" s="1" t="inlineStr">
        <is>
          <t>ADIDAS Tour Snapback Men’s Cap (White)</t>
        </is>
      </c>
      <c r="E4378" s="1" t="inlineStr">
        <is>
          <t>ADIDAS</t>
        </is>
      </c>
      <c r="F4378" s="1" t="inlineStr">
        <is>
          <t>CAP</t>
        </is>
      </c>
      <c r="G4378" s="1" t="inlineStr">
        <is>
          <t>GF2000105901FS</t>
        </is>
      </c>
      <c r="H4378" s="1" t="n">
        <v>1</v>
      </c>
      <c r="I4378" s="1" t="inlineStr">
        <is>
          <t>มี</t>
        </is>
      </c>
      <c r="J4378" s="13" t="n">
        <v>21</v>
      </c>
      <c r="K4378" s="1" t="inlineStr"/>
      <c r="L4378" s="13" t="n">
        <v>15</v>
      </c>
      <c r="M4378" s="1">
        <f>IF(L4378="","ไม่พบใน SG",IF(ABS(J4378-L4378)&lt;0.005,"ตรงกัน","ไม่ตรง"))</f>
        <v/>
      </c>
      <c r="N4378" s="14">
        <f>IF(L4378="","",ROUND(L4378*'สรุป'!$C$6,-1))</f>
        <v/>
      </c>
      <c r="O4378" s="15" t="n"/>
      <c r="P4378" s="15" t="n"/>
      <c r="Q4378" s="10" t="n"/>
      <c r="R4378" s="10" t="n"/>
      <c r="S4378" s="16" t="inlineStr">
        <is>
          <t>https://mstgolf.co.th/products/gf2000105901</t>
        </is>
      </c>
      <c r="T4378" s="1">
        <f>IF(B4378="ไม้กอล์ฟ",J4378,"")</f>
        <v/>
      </c>
    </row>
    <row r="4379">
      <c r="A4379" s="1" t="n">
        <v>3</v>
      </c>
      <c r="B4379" s="1" t="inlineStr">
        <is>
          <t>อุปกรณ์เสริม</t>
        </is>
      </c>
      <c r="C4379" s="1" t="inlineStr">
        <is>
          <t>gf2090300234</t>
        </is>
      </c>
      <c r="D4379" s="1" t="inlineStr">
        <is>
          <t>GFORE Pray For Birdies Women's Crew Socks (Daybreak)</t>
        </is>
      </c>
      <c r="E4379" s="1" t="inlineStr">
        <is>
          <t>GFORE</t>
        </is>
      </c>
      <c r="F4379" s="1" t="inlineStr">
        <is>
          <t>CREW/QUARTER SOCKS</t>
        </is>
      </c>
      <c r="G4379" s="1" t="inlineStr">
        <is>
          <t>GF2090300234XS/S</t>
        </is>
      </c>
      <c r="H4379" s="1" t="n">
        <v>3</v>
      </c>
      <c r="I4379" s="1" t="inlineStr">
        <is>
          <t>มี</t>
        </is>
      </c>
      <c r="J4379" s="13" t="n">
        <v>21</v>
      </c>
      <c r="K4379" s="1" t="inlineStr"/>
      <c r="L4379" s="13" t="n">
        <v>21</v>
      </c>
      <c r="M4379" s="1">
        <f>IF(L4379="","ไม่พบใน SG",IF(ABS(J4379-L4379)&lt;0.005,"ตรงกัน","ไม่ตรง"))</f>
        <v/>
      </c>
      <c r="N4379" s="14">
        <f>IF(L4379="","",ROUND(L4379*'สรุป'!$C$6,-1))</f>
        <v/>
      </c>
      <c r="O4379" s="15" t="n"/>
      <c r="P4379" s="15" t="n"/>
      <c r="Q4379" s="10" t="n"/>
      <c r="R4379" s="10" t="n"/>
      <c r="S4379" s="16" t="inlineStr">
        <is>
          <t>https://mstgolf.co.th/products/gf2090300234</t>
        </is>
      </c>
      <c r="T4379" s="1">
        <f>IF(B4379="ไม้กอล์ฟ",J4379,"")</f>
        <v/>
      </c>
    </row>
    <row r="4380">
      <c r="A4380" s="1" t="n">
        <v>3</v>
      </c>
      <c r="B4380" s="1" t="inlineStr">
        <is>
          <t>อุปกรณ์เสริม</t>
        </is>
      </c>
      <c r="C4380" s="1" t="inlineStr">
        <is>
          <t>gf2090300176</t>
        </is>
      </c>
      <c r="D4380" s="1" t="inlineStr">
        <is>
          <t>GFORE Skull &amp; T's Women's Crew Socks (Snow)</t>
        </is>
      </c>
      <c r="E4380" s="1" t="inlineStr">
        <is>
          <t>GFORE</t>
        </is>
      </c>
      <c r="F4380" s="1" t="inlineStr">
        <is>
          <t>CREW/QUARTER SOCKS</t>
        </is>
      </c>
      <c r="G4380" s="1" t="inlineStr">
        <is>
          <t>GF2090300176S/M</t>
        </is>
      </c>
      <c r="H4380" s="1" t="n">
        <v>3</v>
      </c>
      <c r="I4380" s="1" t="inlineStr">
        <is>
          <t>มี</t>
        </is>
      </c>
      <c r="J4380" s="13" t="n">
        <v>21</v>
      </c>
      <c r="K4380" s="1" t="inlineStr"/>
      <c r="L4380" s="13" t="n">
        <v>21</v>
      </c>
      <c r="M4380" s="1">
        <f>IF(L4380="","ไม่พบใน SG",IF(ABS(J4380-L4380)&lt;0.005,"ตรงกัน","ไม่ตรง"))</f>
        <v/>
      </c>
      <c r="N4380" s="14">
        <f>IF(L4380="","",ROUND(L4380*'สรุป'!$C$6,-1))</f>
        <v/>
      </c>
      <c r="O4380" s="15" t="n"/>
      <c r="P4380" s="15" t="n"/>
      <c r="Q4380" s="10" t="n"/>
      <c r="R4380" s="10" t="n"/>
      <c r="S4380" s="16" t="inlineStr">
        <is>
          <t>https://mstgolf.co.th/products/gf2090300176</t>
        </is>
      </c>
      <c r="T4380" s="1">
        <f>IF(B4380="ไม้กอล์ฟ",J4380,"")</f>
        <v/>
      </c>
    </row>
    <row r="4381">
      <c r="A4381" s="1" t="n">
        <v>3</v>
      </c>
      <c r="B4381" s="1" t="inlineStr">
        <is>
          <t>อุปกรณ์เสริม</t>
        </is>
      </c>
      <c r="C4381" s="1" t="inlineStr">
        <is>
          <t>gf2090100674</t>
        </is>
      </c>
      <c r="D4381" s="1" t="inlineStr">
        <is>
          <t>GFORE Two Tone Fore Play Ankle Socks (Tidal)</t>
        </is>
      </c>
      <c r="E4381" s="1" t="inlineStr">
        <is>
          <t>GFORE</t>
        </is>
      </c>
      <c r="F4381" s="1" t="inlineStr">
        <is>
          <t>NO SHOW SOCKS</t>
        </is>
      </c>
      <c r="G4381" s="1" t="inlineStr">
        <is>
          <t>GF2090100674S/M</t>
        </is>
      </c>
      <c r="H4381" s="1" t="n">
        <v>3</v>
      </c>
      <c r="I4381" s="1" t="inlineStr">
        <is>
          <t>มี</t>
        </is>
      </c>
      <c r="J4381" s="13" t="n">
        <v>21</v>
      </c>
      <c r="K4381" s="1" t="inlineStr"/>
      <c r="L4381" s="13" t="n">
        <v>21</v>
      </c>
      <c r="M4381" s="1">
        <f>IF(L4381="","ไม่พบใน SG",IF(ABS(J4381-L4381)&lt;0.005,"ตรงกัน","ไม่ตรง"))</f>
        <v/>
      </c>
      <c r="N4381" s="14">
        <f>IF(L4381="","",ROUND(L4381*'สรุป'!$C$6,-1))</f>
        <v/>
      </c>
      <c r="O4381" s="15" t="n"/>
      <c r="P4381" s="15" t="n"/>
      <c r="Q4381" s="10" t="n"/>
      <c r="R4381" s="10" t="n"/>
      <c r="S4381" s="16" t="inlineStr">
        <is>
          <t>https://mstgolf.co.th/products/gf2090100674</t>
        </is>
      </c>
      <c r="T4381" s="1">
        <f>IF(B4381="ไม้กอล์ฟ",J4381,"")</f>
        <v/>
      </c>
    </row>
    <row r="4382">
      <c r="A4382" s="1" t="n">
        <v>3</v>
      </c>
      <c r="B4382" s="1" t="inlineStr">
        <is>
          <t>เสื้อผ้า</t>
        </is>
      </c>
      <c r="C4382" s="1" t="inlineStr">
        <is>
          <t>gf2090700111</t>
        </is>
      </c>
      <c r="D4382" s="1" t="inlineStr">
        <is>
          <t>ADIDAS 3-Stripes Women's Knee-Hi Socks (White)</t>
        </is>
      </c>
      <c r="E4382" s="1" t="inlineStr">
        <is>
          <t>ADIDAS</t>
        </is>
      </c>
      <c r="F4382" s="1" t="inlineStr">
        <is>
          <t>KNEE</t>
        </is>
      </c>
      <c r="G4382" s="1" t="inlineStr">
        <is>
          <t>GF20907001112527</t>
        </is>
      </c>
      <c r="H4382" s="1" t="n">
        <v>2</v>
      </c>
      <c r="I4382" s="1" t="inlineStr">
        <is>
          <t>มี</t>
        </is>
      </c>
      <c r="J4382" s="13" t="n">
        <v>20</v>
      </c>
      <c r="K4382" s="1" t="inlineStr"/>
      <c r="L4382" s="13" t="n">
        <v>14</v>
      </c>
      <c r="M4382" s="1">
        <f>IF(L4382="","ไม่พบใน SG",IF(ABS(J4382-L4382)&lt;0.005,"ตรงกัน","ไม่ตรง"))</f>
        <v/>
      </c>
      <c r="N4382" s="14">
        <f>IF(L4382="","",ROUND(L4382*'สรุป'!$C$6,-1))</f>
        <v/>
      </c>
      <c r="O4382" s="15" t="n"/>
      <c r="P4382" s="15" t="n"/>
      <c r="Q4382" s="10" t="n"/>
      <c r="R4382" s="10" t="n"/>
      <c r="S4382" s="16" t="inlineStr">
        <is>
          <t>https://mstgolf.co.th/products/gf2090700111</t>
        </is>
      </c>
      <c r="T4382" s="1">
        <f>IF(B4382="ไม้กอล์ฟ",J4382,"")</f>
        <v/>
      </c>
    </row>
    <row r="4383">
      <c r="A4383" s="1" t="n">
        <v>3</v>
      </c>
      <c r="B4383" s="1" t="inlineStr">
        <is>
          <t>เสื้อผ้า</t>
        </is>
      </c>
      <c r="C4383" s="1" t="inlineStr">
        <is>
          <t>gf2090700050</t>
        </is>
      </c>
      <c r="D4383" s="1" t="inlineStr">
        <is>
          <t>ADIDAS Knee-High Women's Socks (White/Black)</t>
        </is>
      </c>
      <c r="E4383" s="1" t="inlineStr">
        <is>
          <t>ADIDAS</t>
        </is>
      </c>
      <c r="F4383" s="1" t="inlineStr">
        <is>
          <t>KNEE</t>
        </is>
      </c>
      <c r="G4383" s="1" t="inlineStr">
        <is>
          <t>GF2090700050S</t>
        </is>
      </c>
      <c r="H4383" s="1" t="n">
        <v>2</v>
      </c>
      <c r="I4383" s="1" t="inlineStr">
        <is>
          <t>มี</t>
        </is>
      </c>
      <c r="J4383" s="13" t="n">
        <v>20</v>
      </c>
      <c r="K4383" s="1" t="inlineStr"/>
      <c r="L4383" s="13" t="n">
        <v>10</v>
      </c>
      <c r="M4383" s="1">
        <f>IF(L4383="","ไม่พบใน SG",IF(ABS(J4383-L4383)&lt;0.005,"ตรงกัน","ไม่ตรง"))</f>
        <v/>
      </c>
      <c r="N4383" s="14">
        <f>IF(L4383="","",ROUND(L4383*'สรุป'!$C$6,-1))</f>
        <v/>
      </c>
      <c r="O4383" s="15" t="n"/>
      <c r="P4383" s="15" t="n"/>
      <c r="Q4383" s="10" t="n"/>
      <c r="R4383" s="10" t="n"/>
      <c r="S4383" s="16" t="inlineStr">
        <is>
          <t>https://mstgolf.co.th/products/gf2090700050</t>
        </is>
      </c>
      <c r="T4383" s="1">
        <f>IF(B4383="ไม้กอล์ฟ",J4383,"")</f>
        <v/>
      </c>
    </row>
    <row r="4384">
      <c r="A4384" s="1" t="n">
        <v>3</v>
      </c>
      <c r="B4384" s="1" t="inlineStr">
        <is>
          <t>เสื้อผ้า</t>
        </is>
      </c>
      <c r="C4384" s="1" t="inlineStr">
        <is>
          <t>gf2090700053</t>
        </is>
      </c>
      <c r="D4384" s="1" t="inlineStr">
        <is>
          <t>ADIDAS Women's Knee Socks (Black/White)</t>
        </is>
      </c>
      <c r="E4384" s="1" t="inlineStr">
        <is>
          <t>ADIDAS</t>
        </is>
      </c>
      <c r="F4384" s="1" t="inlineStr">
        <is>
          <t>KNEE</t>
        </is>
      </c>
      <c r="G4384" s="1" t="inlineStr">
        <is>
          <t>GF2090700053S</t>
        </is>
      </c>
      <c r="H4384" s="1" t="n">
        <v>2</v>
      </c>
      <c r="I4384" s="1" t="inlineStr">
        <is>
          <t>มี</t>
        </is>
      </c>
      <c r="J4384" s="13" t="n">
        <v>20</v>
      </c>
      <c r="K4384" s="1" t="inlineStr"/>
      <c r="L4384" s="13" t="n">
        <v>10</v>
      </c>
      <c r="M4384" s="1">
        <f>IF(L4384="","ไม่พบใน SG",IF(ABS(J4384-L4384)&lt;0.005,"ตรงกัน","ไม่ตรง"))</f>
        <v/>
      </c>
      <c r="N4384" s="14">
        <f>IF(L4384="","",ROUND(L4384*'สรุป'!$C$6,-1))</f>
        <v/>
      </c>
      <c r="O4384" s="15" t="n"/>
      <c r="P4384" s="15" t="n"/>
      <c r="Q4384" s="10" t="n"/>
      <c r="R4384" s="10" t="n"/>
      <c r="S4384" s="16" t="inlineStr">
        <is>
          <t>https://mstgolf.co.th/products/gf2090700053</t>
        </is>
      </c>
      <c r="T4384" s="1">
        <f>IF(B4384="ไม้กอล์ฟ",J4384,"")</f>
        <v/>
      </c>
    </row>
    <row r="4385">
      <c r="A4385" s="1" t="n">
        <v>3</v>
      </c>
      <c r="B4385" s="1" t="inlineStr">
        <is>
          <t>อุปกรณ์เสริม</t>
        </is>
      </c>
      <c r="C4385" s="1" t="inlineStr">
        <is>
          <t>gf2090200166</t>
        </is>
      </c>
      <c r="D4385" s="1" t="inlineStr">
        <is>
          <t>FOOTJOY ComfortSof 3-Pack Ankle Socks (Multi)</t>
        </is>
      </c>
      <c r="E4385" s="1" t="inlineStr">
        <is>
          <t>FOOTJOY</t>
        </is>
      </c>
      <c r="F4385" s="1" t="inlineStr">
        <is>
          <t>ANKLE SOCKS</t>
        </is>
      </c>
      <c r="G4385" s="1" t="inlineStr">
        <is>
          <t>GF2090200166</t>
        </is>
      </c>
      <c r="H4385" s="1" t="n">
        <v>1</v>
      </c>
      <c r="I4385" s="1" t="inlineStr">
        <is>
          <t>มี</t>
        </is>
      </c>
      <c r="J4385" s="13" t="n">
        <v>19.9</v>
      </c>
      <c r="K4385" s="1" t="inlineStr"/>
      <c r="L4385" s="13" t="n">
        <v>19.9</v>
      </c>
      <c r="M4385" s="1">
        <f>IF(L4385="","ไม่พบใน SG",IF(ABS(J4385-L4385)&lt;0.005,"ตรงกัน","ไม่ตรง"))</f>
        <v/>
      </c>
      <c r="N4385" s="14">
        <f>IF(L4385="","",ROUND(L4385*'สรุป'!$C$6,-1))</f>
        <v/>
      </c>
      <c r="O4385" s="15" t="n"/>
      <c r="P4385" s="15" t="n"/>
      <c r="Q4385" s="10" t="n"/>
      <c r="R4385" s="10" t="n"/>
      <c r="S4385" s="16" t="inlineStr">
        <is>
          <t>https://mstgolf.co.th/products/gf2090200166</t>
        </is>
      </c>
      <c r="T4385" s="1">
        <f>IF(B4385="ไม้กอล์ฟ",J4385,"")</f>
        <v/>
      </c>
    </row>
    <row r="4386">
      <c r="A4386" s="1" t="n">
        <v>3</v>
      </c>
      <c r="B4386" s="1" t="inlineStr">
        <is>
          <t>อุปกรณ์เสริม</t>
        </is>
      </c>
      <c r="C4386" s="1" t="inlineStr">
        <is>
          <t>gf2090300145</t>
        </is>
      </c>
      <c r="D4386" s="1" t="inlineStr">
        <is>
          <t>FOOTJOY ComfortSof 3-Pack Ankle Socks (Multi)</t>
        </is>
      </c>
      <c r="E4386" s="1" t="inlineStr">
        <is>
          <t>FOOTJOY</t>
        </is>
      </c>
      <c r="F4386" s="1" t="inlineStr">
        <is>
          <t>CREW/QUARTER SOCKS</t>
        </is>
      </c>
      <c r="G4386" s="1" t="inlineStr">
        <is>
          <t>GF2090300145</t>
        </is>
      </c>
      <c r="H4386" s="1" t="n">
        <v>1</v>
      </c>
      <c r="I4386" s="1" t="inlineStr">
        <is>
          <t>มี</t>
        </is>
      </c>
      <c r="J4386" s="13" t="n">
        <v>19.9</v>
      </c>
      <c r="K4386" s="1" t="inlineStr"/>
      <c r="L4386" s="13" t="n">
        <v>19.9</v>
      </c>
      <c r="M4386" s="1">
        <f>IF(L4386="","ไม่พบใน SG",IF(ABS(J4386-L4386)&lt;0.005,"ตรงกัน","ไม่ตรง"))</f>
        <v/>
      </c>
      <c r="N4386" s="14">
        <f>IF(L4386="","",ROUND(L4386*'สรุป'!$C$6,-1))</f>
        <v/>
      </c>
      <c r="O4386" s="15" t="n"/>
      <c r="P4386" s="15" t="n"/>
      <c r="Q4386" s="10" t="n"/>
      <c r="R4386" s="10" t="n"/>
      <c r="S4386" s="16" t="inlineStr">
        <is>
          <t>https://mstgolf.co.th/products/gf2090300145</t>
        </is>
      </c>
      <c r="T4386" s="1">
        <f>IF(B4386="ไม้กอล์ฟ",J4386,"")</f>
        <v/>
      </c>
    </row>
    <row r="4387">
      <c r="A4387" s="1" t="n">
        <v>3</v>
      </c>
      <c r="B4387" s="1" t="inlineStr">
        <is>
          <t>อุปกรณ์เสริม</t>
        </is>
      </c>
      <c r="C4387" s="1" t="inlineStr">
        <is>
          <t>gf2090100614</t>
        </is>
      </c>
      <c r="D4387" s="1" t="inlineStr">
        <is>
          <t>ADIDAS 3-Pack No Show Socks (White)</t>
        </is>
      </c>
      <c r="E4387" s="1" t="inlineStr">
        <is>
          <t>ADIDAS</t>
        </is>
      </c>
      <c r="F4387" s="1" t="inlineStr">
        <is>
          <t>NO SHOW SOCKS</t>
        </is>
      </c>
      <c r="G4387" s="1" t="inlineStr">
        <is>
          <t>GF20901006142527</t>
        </is>
      </c>
      <c r="H4387" s="1" t="n">
        <v>2</v>
      </c>
      <c r="I4387" s="1" t="inlineStr">
        <is>
          <t>มี</t>
        </is>
      </c>
      <c r="J4387" s="13" t="n">
        <v>19</v>
      </c>
      <c r="K4387" s="1" t="inlineStr"/>
      <c r="L4387" s="13" t="n">
        <v>12</v>
      </c>
      <c r="M4387" s="1">
        <f>IF(L4387="","ไม่พบใน SG",IF(ABS(J4387-L4387)&lt;0.005,"ตรงกัน","ไม่ตรง"))</f>
        <v/>
      </c>
      <c r="N4387" s="14">
        <f>IF(L4387="","",ROUND(L4387*'สรุป'!$C$6,-1))</f>
        <v/>
      </c>
      <c r="O4387" s="15" t="n"/>
      <c r="P4387" s="15" t="n"/>
      <c r="Q4387" s="10" t="n"/>
      <c r="R4387" s="10" t="n"/>
      <c r="S4387" s="16" t="inlineStr">
        <is>
          <t>https://mstgolf.co.th/products/gf2090100614</t>
        </is>
      </c>
      <c r="T4387" s="1">
        <f>IF(B4387="ไม้กอล์ฟ",J4387,"")</f>
        <v/>
      </c>
    </row>
    <row r="4388">
      <c r="A4388" s="1" t="n">
        <v>3</v>
      </c>
      <c r="B4388" s="1" t="inlineStr">
        <is>
          <t>เสื้อผ้า</t>
        </is>
      </c>
      <c r="C4388" s="1" t="inlineStr">
        <is>
          <t>gf2040118594</t>
        </is>
      </c>
      <c r="D4388" s="1" t="inlineStr">
        <is>
          <t>ADIDAS Chip Greens Graphic Men's T-Shirt (Black)</t>
        </is>
      </c>
      <c r="E4388" s="1" t="inlineStr">
        <is>
          <t>ADIDAS</t>
        </is>
      </c>
      <c r="F4388" s="1" t="inlineStr">
        <is>
          <t>SHORT SLEEVES</t>
        </is>
      </c>
      <c r="G4388" s="1" t="inlineStr">
        <is>
          <t>GF2040118594XS</t>
        </is>
      </c>
      <c r="H4388" s="1" t="n">
        <v>8</v>
      </c>
      <c r="I4388" s="1" t="inlineStr">
        <is>
          <t>มี</t>
        </is>
      </c>
      <c r="J4388" s="13" t="n">
        <v>19</v>
      </c>
      <c r="K4388" s="1" t="inlineStr"/>
      <c r="L4388" s="13" t="n"/>
      <c r="M4388" s="1">
        <f>IF(L4388="","ไม่พบใน SG",IF(ABS(J4388-L4388)&lt;0.005,"ตรงกัน","ไม่ตรง"))</f>
        <v/>
      </c>
      <c r="N4388" s="14">
        <f>IF(L4388="","",ROUND(L4388*'สรุป'!$C$6,-1))</f>
        <v/>
      </c>
      <c r="O4388" s="15" t="n"/>
      <c r="P4388" s="15" t="n"/>
      <c r="Q4388" s="10" t="n"/>
      <c r="R4388" s="10" t="n"/>
      <c r="S4388" s="16" t="inlineStr">
        <is>
          <t>https://mstgolf.co.th/products/gf2040118594</t>
        </is>
      </c>
      <c r="T4388" s="1">
        <f>IF(B4388="ไม้กอล์ฟ",J4388,"")</f>
        <v/>
      </c>
    </row>
    <row r="4389">
      <c r="A4389" s="1" t="n">
        <v>3</v>
      </c>
      <c r="B4389" s="1" t="inlineStr">
        <is>
          <t>เสื้อผ้า</t>
        </is>
      </c>
      <c r="C4389" s="1" t="inlineStr">
        <is>
          <t>gf2040118593</t>
        </is>
      </c>
      <c r="D4389" s="1" t="inlineStr">
        <is>
          <t>ADIDAS Chip Greens Graphic Men's T-Shirt (Green)</t>
        </is>
      </c>
      <c r="E4389" s="1" t="inlineStr">
        <is>
          <t>ADIDAS</t>
        </is>
      </c>
      <c r="F4389" s="1" t="inlineStr">
        <is>
          <t>SHORT SLEEVES</t>
        </is>
      </c>
      <c r="G4389" s="1" t="inlineStr">
        <is>
          <t>GF2040118593XS</t>
        </is>
      </c>
      <c r="H4389" s="1" t="n">
        <v>8</v>
      </c>
      <c r="I4389" s="1" t="inlineStr">
        <is>
          <t>มี</t>
        </is>
      </c>
      <c r="J4389" s="13" t="n">
        <v>19</v>
      </c>
      <c r="K4389" s="1" t="inlineStr"/>
      <c r="L4389" s="13" t="n">
        <v>19</v>
      </c>
      <c r="M4389" s="1">
        <f>IF(L4389="","ไม่พบใน SG",IF(ABS(J4389-L4389)&lt;0.005,"ตรงกัน","ไม่ตรง"))</f>
        <v/>
      </c>
      <c r="N4389" s="14">
        <f>IF(L4389="","",ROUND(L4389*'สรุป'!$C$6,-1))</f>
        <v/>
      </c>
      <c r="O4389" s="15" t="n"/>
      <c r="P4389" s="15" t="n"/>
      <c r="Q4389" s="10" t="n"/>
      <c r="R4389" s="10" t="n"/>
      <c r="S4389" s="16" t="inlineStr">
        <is>
          <t>https://mstgolf.co.th/products/gf2040118593</t>
        </is>
      </c>
      <c r="T4389" s="1">
        <f>IF(B4389="ไม้กอล์ฟ",J4389,"")</f>
        <v/>
      </c>
    </row>
    <row r="4390">
      <c r="A4390" s="1" t="n">
        <v>3</v>
      </c>
      <c r="B4390" s="1" t="inlineStr">
        <is>
          <t>เสื้อผ้า</t>
        </is>
      </c>
      <c r="C4390" s="1" t="inlineStr">
        <is>
          <t>gf2040116592</t>
        </is>
      </c>
      <c r="D4390" s="1" t="inlineStr">
        <is>
          <t>ADIDAS Golf Graphic Men's Tee (Black)</t>
        </is>
      </c>
      <c r="E4390" s="1" t="inlineStr">
        <is>
          <t>ADIDAS</t>
        </is>
      </c>
      <c r="F4390" s="1" t="inlineStr">
        <is>
          <t>SHORT SLEEVES</t>
        </is>
      </c>
      <c r="G4390" s="1" t="inlineStr">
        <is>
          <t>GF2040116592XS</t>
        </is>
      </c>
      <c r="H4390" s="1" t="n">
        <v>8</v>
      </c>
      <c r="I4390" s="1" t="inlineStr">
        <is>
          <t>มี</t>
        </is>
      </c>
      <c r="J4390" s="13" t="n">
        <v>19</v>
      </c>
      <c r="K4390" s="1" t="inlineStr"/>
      <c r="L4390" s="13" t="n">
        <v>19</v>
      </c>
      <c r="M4390" s="1">
        <f>IF(L4390="","ไม่พบใน SG",IF(ABS(J4390-L4390)&lt;0.005,"ตรงกัน","ไม่ตรง"))</f>
        <v/>
      </c>
      <c r="N4390" s="14">
        <f>IF(L4390="","",ROUND(L4390*'สรุป'!$C$6,-1))</f>
        <v/>
      </c>
      <c r="O4390" s="15" t="n"/>
      <c r="P4390" s="15" t="n"/>
      <c r="Q4390" s="10" t="n"/>
      <c r="R4390" s="10" t="n"/>
      <c r="S4390" s="16" t="inlineStr">
        <is>
          <t>https://mstgolf.co.th/products/gf2040116592</t>
        </is>
      </c>
      <c r="T4390" s="1">
        <f>IF(B4390="ไม้กอล์ฟ",J4390,"")</f>
        <v/>
      </c>
    </row>
    <row r="4391">
      <c r="A4391" s="1" t="n">
        <v>3</v>
      </c>
      <c r="B4391" s="1" t="inlineStr">
        <is>
          <t>เสื้อผ้า</t>
        </is>
      </c>
      <c r="C4391" s="1" t="inlineStr">
        <is>
          <t>gf2040116439</t>
        </is>
      </c>
      <c r="D4391" s="1" t="inlineStr">
        <is>
          <t>ADIDAS Golf Graphic Men's Tee (Silver)</t>
        </is>
      </c>
      <c r="E4391" s="1" t="inlineStr">
        <is>
          <t>ADIDAS</t>
        </is>
      </c>
      <c r="F4391" s="1" t="inlineStr">
        <is>
          <t>SHORT SLEEVES</t>
        </is>
      </c>
      <c r="G4391" s="1" t="inlineStr">
        <is>
          <t>GF2040116439XS</t>
        </is>
      </c>
      <c r="H4391" s="1" t="n">
        <v>8</v>
      </c>
      <c r="I4391" s="1" t="inlineStr">
        <is>
          <t>มี</t>
        </is>
      </c>
      <c r="J4391" s="13" t="n">
        <v>19</v>
      </c>
      <c r="K4391" s="1" t="inlineStr"/>
      <c r="L4391" s="13" t="n">
        <v>19</v>
      </c>
      <c r="M4391" s="1">
        <f>IF(L4391="","ไม่พบใน SG",IF(ABS(J4391-L4391)&lt;0.005,"ตรงกัน","ไม่ตรง"))</f>
        <v/>
      </c>
      <c r="N4391" s="14">
        <f>IF(L4391="","",ROUND(L4391*'สรุป'!$C$6,-1))</f>
        <v/>
      </c>
      <c r="O4391" s="15" t="n"/>
      <c r="P4391" s="15" t="n"/>
      <c r="Q4391" s="10" t="n"/>
      <c r="R4391" s="10" t="n"/>
      <c r="S4391" s="16" t="inlineStr">
        <is>
          <t>https://mstgolf.co.th/products/gf2040116439</t>
        </is>
      </c>
      <c r="T4391" s="1">
        <f>IF(B4391="ไม้กอล์ฟ",J4391,"")</f>
        <v/>
      </c>
    </row>
    <row r="4392">
      <c r="A4392" s="1" t="n">
        <v>3</v>
      </c>
      <c r="B4392" s="1" t="inlineStr">
        <is>
          <t>เสื้อผ้า</t>
        </is>
      </c>
      <c r="C4392" s="1" t="inlineStr">
        <is>
          <t>gf2040116521</t>
        </is>
      </c>
      <c r="D4392" s="1" t="inlineStr">
        <is>
          <t>ADIDAS Graphic Performance Junior Polo (Wonder Clay)</t>
        </is>
      </c>
      <c r="E4392" s="1" t="inlineStr">
        <is>
          <t>ADIDAS</t>
        </is>
      </c>
      <c r="F4392" s="1" t="inlineStr">
        <is>
          <t>SHORT SLEEVES</t>
        </is>
      </c>
      <c r="G4392" s="1" t="inlineStr">
        <is>
          <t>GF2040116521128</t>
        </is>
      </c>
      <c r="H4392" s="1" t="n">
        <v>6</v>
      </c>
      <c r="I4392" s="1" t="inlineStr">
        <is>
          <t>มี</t>
        </is>
      </c>
      <c r="J4392" s="13" t="n">
        <v>19</v>
      </c>
      <c r="K4392" s="1" t="inlineStr"/>
      <c r="L4392" s="13" t="n">
        <v>19</v>
      </c>
      <c r="M4392" s="1">
        <f>IF(L4392="","ไม่พบใน SG",IF(ABS(J4392-L4392)&lt;0.005,"ตรงกัน","ไม่ตรง"))</f>
        <v/>
      </c>
      <c r="N4392" s="14">
        <f>IF(L4392="","",ROUND(L4392*'สรุป'!$C$6,-1))</f>
        <v/>
      </c>
      <c r="O4392" s="15" t="n"/>
      <c r="P4392" s="15" t="n"/>
      <c r="Q4392" s="10" t="n"/>
      <c r="R4392" s="10" t="n"/>
      <c r="S4392" s="16" t="inlineStr">
        <is>
          <t>https://mstgolf.co.th/products/gf2040116521</t>
        </is>
      </c>
      <c r="T4392" s="1">
        <f>IF(B4392="ไม้กอล์ฟ",J4392,"")</f>
        <v/>
      </c>
    </row>
    <row r="4393">
      <c r="A4393" s="1" t="n">
        <v>3</v>
      </c>
      <c r="B4393" s="1" t="inlineStr">
        <is>
          <t>เสื้อผ้า</t>
        </is>
      </c>
      <c r="C4393" s="1" t="inlineStr">
        <is>
          <t>gf2040118445</t>
        </is>
      </c>
      <c r="D4393" s="1" t="inlineStr">
        <is>
          <t>ADIDAS HEAT.RDY Print Girl's Polo (Green)</t>
        </is>
      </c>
      <c r="E4393" s="1" t="inlineStr">
        <is>
          <t>ADIDAS</t>
        </is>
      </c>
      <c r="F4393" s="1" t="inlineStr">
        <is>
          <t>SHORT SLEEVES</t>
        </is>
      </c>
      <c r="G4393" s="1" t="inlineStr">
        <is>
          <t>GF2040118445128</t>
        </is>
      </c>
      <c r="H4393" s="1" t="n">
        <v>6</v>
      </c>
      <c r="I4393" s="1" t="inlineStr">
        <is>
          <t>มี</t>
        </is>
      </c>
      <c r="J4393" s="13" t="n">
        <v>19</v>
      </c>
      <c r="K4393" s="1" t="inlineStr"/>
      <c r="L4393" s="13" t="n">
        <v>19</v>
      </c>
      <c r="M4393" s="1">
        <f>IF(L4393="","ไม่พบใน SG",IF(ABS(J4393-L4393)&lt;0.005,"ตรงกัน","ไม่ตรง"))</f>
        <v/>
      </c>
      <c r="N4393" s="14">
        <f>IF(L4393="","",ROUND(L4393*'สรุป'!$C$6,-1))</f>
        <v/>
      </c>
      <c r="O4393" s="15" t="n"/>
      <c r="P4393" s="15" t="n"/>
      <c r="Q4393" s="10" t="n"/>
      <c r="R4393" s="10" t="n"/>
      <c r="S4393" s="16" t="inlineStr">
        <is>
          <t>https://mstgolf.co.th/products/gf2040118445</t>
        </is>
      </c>
      <c r="T4393" s="1">
        <f>IF(B4393="ไม้กอล์ฟ",J4393,"")</f>
        <v/>
      </c>
    </row>
    <row r="4394">
      <c r="A4394" s="1" t="n">
        <v>3</v>
      </c>
      <c r="B4394" s="1" t="inlineStr">
        <is>
          <t>เสื้อผ้า</t>
        </is>
      </c>
      <c r="C4394" s="1" t="inlineStr">
        <is>
          <t>gf2040118556</t>
        </is>
      </c>
      <c r="D4394" s="1" t="inlineStr">
        <is>
          <t>ADIDAS HEAT.RDY Sport Collar Boy's Polo (Green)</t>
        </is>
      </c>
      <c r="E4394" s="1" t="inlineStr">
        <is>
          <t>ADIDAS</t>
        </is>
      </c>
      <c r="F4394" s="1" t="inlineStr">
        <is>
          <t>SHORT SLEEVES</t>
        </is>
      </c>
      <c r="G4394" s="1" t="inlineStr">
        <is>
          <t>GF2040118556128</t>
        </is>
      </c>
      <c r="H4394" s="1" t="n">
        <v>5</v>
      </c>
      <c r="I4394" s="1" t="inlineStr">
        <is>
          <t>มี</t>
        </is>
      </c>
      <c r="J4394" s="13" t="n">
        <v>19</v>
      </c>
      <c r="K4394" s="1" t="inlineStr"/>
      <c r="L4394" s="13" t="n">
        <v>19</v>
      </c>
      <c r="M4394" s="1">
        <f>IF(L4394="","ไม่พบใน SG",IF(ABS(J4394-L4394)&lt;0.005,"ตรงกัน","ไม่ตรง"))</f>
        <v/>
      </c>
      <c r="N4394" s="14">
        <f>IF(L4394="","",ROUND(L4394*'สรุป'!$C$6,-1))</f>
        <v/>
      </c>
      <c r="O4394" s="15" t="n"/>
      <c r="P4394" s="15" t="n"/>
      <c r="Q4394" s="10" t="n"/>
      <c r="R4394" s="10" t="n"/>
      <c r="S4394" s="16" t="inlineStr">
        <is>
          <t>https://mstgolf.co.th/products/gf2040118556</t>
        </is>
      </c>
      <c r="T4394" s="1">
        <f>IF(B4394="ไม้กอล์ฟ",J4394,"")</f>
        <v/>
      </c>
    </row>
    <row r="4395">
      <c r="A4395" s="1" t="n">
        <v>3</v>
      </c>
      <c r="B4395" s="1" t="inlineStr">
        <is>
          <t>หมวก</t>
        </is>
      </c>
      <c r="C4395" s="1" t="inlineStr">
        <is>
          <t>gf2000106563</t>
        </is>
      </c>
      <c r="D4395" s="1" t="inlineStr">
        <is>
          <t>ADIDAS Let's Swing Away 5-Panel Junior Rope Cap (White)</t>
        </is>
      </c>
      <c r="E4395" s="1" t="inlineStr">
        <is>
          <t>ADIDAS</t>
        </is>
      </c>
      <c r="F4395" s="1" t="inlineStr">
        <is>
          <t>CAP</t>
        </is>
      </c>
      <c r="G4395" s="1" t="inlineStr">
        <is>
          <t>GF2000106563FS</t>
        </is>
      </c>
      <c r="H4395" s="1" t="n">
        <v>1</v>
      </c>
      <c r="I4395" s="1" t="inlineStr">
        <is>
          <t>มี</t>
        </is>
      </c>
      <c r="J4395" s="13" t="n">
        <v>19</v>
      </c>
      <c r="K4395" s="1" t="inlineStr"/>
      <c r="L4395" s="13" t="n">
        <v>12</v>
      </c>
      <c r="M4395" s="1">
        <f>IF(L4395="","ไม่พบใน SG",IF(ABS(J4395-L4395)&lt;0.005,"ตรงกัน","ไม่ตรง"))</f>
        <v/>
      </c>
      <c r="N4395" s="14">
        <f>IF(L4395="","",ROUND(L4395*'สรุป'!$C$6,-1))</f>
        <v/>
      </c>
      <c r="O4395" s="15" t="n"/>
      <c r="P4395" s="15" t="n"/>
      <c r="Q4395" s="10" t="n"/>
      <c r="R4395" s="10" t="n"/>
      <c r="S4395" s="16" t="inlineStr">
        <is>
          <t>https://mstgolf.co.th/products/gf2000106563</t>
        </is>
      </c>
      <c r="T4395" s="1">
        <f>IF(B4395="ไม้กอล์ฟ",J4395,"")</f>
        <v/>
      </c>
    </row>
    <row r="4396">
      <c r="A4396" s="1" t="n">
        <v>3</v>
      </c>
      <c r="B4396" s="1" t="inlineStr">
        <is>
          <t>เสื้อผ้า</t>
        </is>
      </c>
      <c r="C4396" s="1" t="inlineStr">
        <is>
          <t>gf2110100140</t>
        </is>
      </c>
      <c r="D4396" s="1" t="inlineStr">
        <is>
          <t>ADIDAS Men's UV Arm Glove (Black)</t>
        </is>
      </c>
      <c r="E4396" s="1" t="inlineStr">
        <is>
          <t>ADIDAS</t>
        </is>
      </c>
      <c r="F4396" s="1" t="inlineStr">
        <is>
          <t>ARM GLOVE</t>
        </is>
      </c>
      <c r="G4396" s="1" t="inlineStr">
        <is>
          <t>GF2110100140S-M</t>
        </is>
      </c>
      <c r="H4396" s="1" t="n">
        <v>3</v>
      </c>
      <c r="I4396" s="1" t="inlineStr">
        <is>
          <t>มี</t>
        </is>
      </c>
      <c r="J4396" s="13" t="n">
        <v>19</v>
      </c>
      <c r="K4396" s="1" t="inlineStr"/>
      <c r="L4396" s="13" t="n">
        <v>12</v>
      </c>
      <c r="M4396" s="1">
        <f>IF(L4396="","ไม่พบใน SG",IF(ABS(J4396-L4396)&lt;0.005,"ตรงกัน","ไม่ตรง"))</f>
        <v/>
      </c>
      <c r="N4396" s="14">
        <f>IF(L4396="","",ROUND(L4396*'สรุป'!$C$6,-1))</f>
        <v/>
      </c>
      <c r="O4396" s="15" t="n"/>
      <c r="P4396" s="15" t="n"/>
      <c r="Q4396" s="10" t="n"/>
      <c r="R4396" s="10" t="n"/>
      <c r="S4396" s="16" t="inlineStr">
        <is>
          <t>https://mstgolf.co.th/products/gf2110100140</t>
        </is>
      </c>
      <c r="T4396" s="1">
        <f>IF(B4396="ไม้กอล์ฟ",J4396,"")</f>
        <v/>
      </c>
    </row>
    <row r="4397">
      <c r="A4397" s="1" t="n">
        <v>3</v>
      </c>
      <c r="B4397" s="1" t="inlineStr">
        <is>
          <t>เสื้อผ้า</t>
        </is>
      </c>
      <c r="C4397" s="1" t="inlineStr">
        <is>
          <t>gf2110100139</t>
        </is>
      </c>
      <c r="D4397" s="1" t="inlineStr">
        <is>
          <t>ADIDAS Men's UV Arm Glove (White)</t>
        </is>
      </c>
      <c r="E4397" s="1" t="inlineStr">
        <is>
          <t>ADIDAS</t>
        </is>
      </c>
      <c r="F4397" s="1" t="inlineStr">
        <is>
          <t>ARM GLOVE</t>
        </is>
      </c>
      <c r="G4397" s="1" t="inlineStr">
        <is>
          <t>GF2110100139S-M</t>
        </is>
      </c>
      <c r="H4397" s="1" t="n">
        <v>3</v>
      </c>
      <c r="I4397" s="1" t="inlineStr">
        <is>
          <t>มี</t>
        </is>
      </c>
      <c r="J4397" s="13" t="n">
        <v>19</v>
      </c>
      <c r="K4397" s="1" t="inlineStr"/>
      <c r="L4397" s="13" t="n">
        <v>12</v>
      </c>
      <c r="M4397" s="1">
        <f>IF(L4397="","ไม่พบใน SG",IF(ABS(J4397-L4397)&lt;0.005,"ตรงกัน","ไม่ตรง"))</f>
        <v/>
      </c>
      <c r="N4397" s="14">
        <f>IF(L4397="","",ROUND(L4397*'สรุป'!$C$6,-1))</f>
        <v/>
      </c>
      <c r="O4397" s="15" t="n"/>
      <c r="P4397" s="15" t="n"/>
      <c r="Q4397" s="10" t="n"/>
      <c r="R4397" s="10" t="n"/>
      <c r="S4397" s="16" t="inlineStr">
        <is>
          <t>https://mstgolf.co.th/products/gf2110100139</t>
        </is>
      </c>
      <c r="T4397" s="1">
        <f>IF(B4397="ไม้กอล์ฟ",J4397,"")</f>
        <v/>
      </c>
    </row>
    <row r="4398">
      <c r="A4398" s="1" t="n">
        <v>3</v>
      </c>
      <c r="B4398" s="1" t="inlineStr">
        <is>
          <t>เสื้อผ้า</t>
        </is>
      </c>
      <c r="C4398" s="1" t="inlineStr">
        <is>
          <t>gf2040117652</t>
        </is>
      </c>
      <c r="D4398" s="1" t="inlineStr">
        <is>
          <t>ADIDAS Ultimate365 Herringbone Scripted Junior Polo (Yellow)</t>
        </is>
      </c>
      <c r="E4398" s="1" t="inlineStr">
        <is>
          <t>ADIDAS</t>
        </is>
      </c>
      <c r="F4398" s="1" t="inlineStr">
        <is>
          <t>SHORT SLEEVES</t>
        </is>
      </c>
      <c r="G4398" s="1" t="inlineStr">
        <is>
          <t>GF2040117652128</t>
        </is>
      </c>
      <c r="H4398" s="1" t="n">
        <v>5</v>
      </c>
      <c r="I4398" s="1" t="inlineStr">
        <is>
          <t>มี</t>
        </is>
      </c>
      <c r="J4398" s="13" t="n">
        <v>19</v>
      </c>
      <c r="K4398" s="1" t="inlineStr"/>
      <c r="L4398" s="13" t="n"/>
      <c r="M4398" s="1">
        <f>IF(L4398="","ไม่พบใน SG",IF(ABS(J4398-L4398)&lt;0.005,"ตรงกัน","ไม่ตรง"))</f>
        <v/>
      </c>
      <c r="N4398" s="14">
        <f>IF(L4398="","",ROUND(L4398*'สรุป'!$C$6,-1))</f>
        <v/>
      </c>
      <c r="O4398" s="15" t="n"/>
      <c r="P4398" s="15" t="n"/>
      <c r="Q4398" s="10" t="n"/>
      <c r="R4398" s="10" t="n"/>
      <c r="S4398" s="16" t="inlineStr">
        <is>
          <t>https://mstgolf.co.th/products/gf2040117652</t>
        </is>
      </c>
      <c r="T4398" s="1">
        <f>IF(B4398="ไม้กอล์ฟ",J4398,"")</f>
        <v/>
      </c>
    </row>
    <row r="4399">
      <c r="A4399" s="1" t="n">
        <v>3</v>
      </c>
      <c r="B4399" s="1" t="inlineStr">
        <is>
          <t>หมวก</t>
        </is>
      </c>
      <c r="C4399" s="1" t="inlineStr">
        <is>
          <t>gf2000106173</t>
        </is>
      </c>
      <c r="D4399" s="1" t="inlineStr">
        <is>
          <t>ADIDAS Women's Crisscross Cap (Black)</t>
        </is>
      </c>
      <c r="E4399" s="1" t="inlineStr">
        <is>
          <t>ADIDAS</t>
        </is>
      </c>
      <c r="F4399" s="1" t="inlineStr">
        <is>
          <t>CAP</t>
        </is>
      </c>
      <c r="G4399" s="1" t="inlineStr">
        <is>
          <t>GF2000106173FS</t>
        </is>
      </c>
      <c r="H4399" s="1" t="n">
        <v>1</v>
      </c>
      <c r="I4399" s="1" t="inlineStr">
        <is>
          <t>มี</t>
        </is>
      </c>
      <c r="J4399" s="13" t="n">
        <v>19</v>
      </c>
      <c r="K4399" s="1" t="inlineStr"/>
      <c r="L4399" s="13" t="n">
        <v>19</v>
      </c>
      <c r="M4399" s="1">
        <f>IF(L4399="","ไม่พบใน SG",IF(ABS(J4399-L4399)&lt;0.005,"ตรงกัน","ไม่ตรง"))</f>
        <v/>
      </c>
      <c r="N4399" s="14">
        <f>IF(L4399="","",ROUND(L4399*'สรุป'!$C$6,-1))</f>
        <v/>
      </c>
      <c r="O4399" s="15" t="n"/>
      <c r="P4399" s="15" t="n"/>
      <c r="Q4399" s="10" t="n"/>
      <c r="R4399" s="10" t="n"/>
      <c r="S4399" s="16" t="inlineStr">
        <is>
          <t>https://mstgolf.co.th/products/gf2000106173</t>
        </is>
      </c>
      <c r="T4399" s="1">
        <f>IF(B4399="ไม้กอล์ฟ",J4399,"")</f>
        <v/>
      </c>
    </row>
    <row r="4400">
      <c r="A4400" s="1" t="n">
        <v>3</v>
      </c>
      <c r="B4400" s="1" t="inlineStr">
        <is>
          <t>อุปกรณ์เสริม</t>
        </is>
      </c>
      <c r="C4400" s="1" t="inlineStr">
        <is>
          <t>gf3500300398</t>
        </is>
      </c>
      <c r="D4400" s="1" t="inlineStr">
        <is>
          <t>GENERAL ITEM PARAGON ALUM 12FT BALL RETRIEVER</t>
        </is>
      </c>
      <c r="E4400" s="1" t="inlineStr">
        <is>
          <t>GENERAL ITEM</t>
        </is>
      </c>
      <c r="F4400" s="1" t="inlineStr">
        <is>
          <t>GOLF ACCESSORIES</t>
        </is>
      </c>
      <c r="G4400" s="1" t="inlineStr">
        <is>
          <t>GF3500300398</t>
        </is>
      </c>
      <c r="H4400" s="1" t="n">
        <v>1</v>
      </c>
      <c r="I4400" s="1" t="inlineStr">
        <is>
          <t>มี</t>
        </is>
      </c>
      <c r="J4400" s="13" t="n">
        <v>19</v>
      </c>
      <c r="K4400" s="1" t="inlineStr"/>
      <c r="L4400" s="13" t="n">
        <v>19</v>
      </c>
      <c r="M4400" s="1">
        <f>IF(L4400="","ไม่พบใน SG",IF(ABS(J4400-L4400)&lt;0.005,"ตรงกัน","ไม่ตรง"))</f>
        <v/>
      </c>
      <c r="N4400" s="14">
        <f>IF(L4400="","",ROUND(L4400*'สรุป'!$C$6,-1))</f>
        <v/>
      </c>
      <c r="O4400" s="15" t="n"/>
      <c r="P4400" s="15" t="n"/>
      <c r="Q4400" s="10" t="n"/>
      <c r="R4400" s="10" t="n"/>
      <c r="S4400" s="16" t="inlineStr">
        <is>
          <t>https://mstgolf.co.th/products/gf3500300398</t>
        </is>
      </c>
      <c r="T4400" s="1">
        <f>IF(B4400="ไม้กอล์ฟ",J4400,"")</f>
        <v/>
      </c>
    </row>
    <row r="4401">
      <c r="A4401" s="1" t="n">
        <v>3</v>
      </c>
      <c r="B4401" s="1" t="inlineStr">
        <is>
          <t>อุปกรณ์เสริม</t>
        </is>
      </c>
      <c r="C4401" s="1" t="inlineStr">
        <is>
          <t>gf2090100618</t>
        </is>
      </c>
      <c r="D4401" s="1" t="inlineStr">
        <is>
          <t>GFORE Skull &amp; T's Women's No-Show Socks (Pink)</t>
        </is>
      </c>
      <c r="E4401" s="1" t="inlineStr">
        <is>
          <t>GFORE</t>
        </is>
      </c>
      <c r="F4401" s="1" t="inlineStr">
        <is>
          <t>NO SHOW SOCKS</t>
        </is>
      </c>
      <c r="G4401" s="1" t="inlineStr">
        <is>
          <t>GF2090100618S/M</t>
        </is>
      </c>
      <c r="H4401" s="1" t="n">
        <v>3</v>
      </c>
      <c r="I4401" s="1" t="inlineStr">
        <is>
          <t>มี</t>
        </is>
      </c>
      <c r="J4401" s="13" t="n">
        <v>19</v>
      </c>
      <c r="K4401" s="1" t="inlineStr"/>
      <c r="L4401" s="13" t="n">
        <v>19</v>
      </c>
      <c r="M4401" s="1">
        <f>IF(L4401="","ไม่พบใน SG",IF(ABS(J4401-L4401)&lt;0.005,"ตรงกัน","ไม่ตรง"))</f>
        <v/>
      </c>
      <c r="N4401" s="14">
        <f>IF(L4401="","",ROUND(L4401*'สรุป'!$C$6,-1))</f>
        <v/>
      </c>
      <c r="O4401" s="15" t="n"/>
      <c r="P4401" s="15" t="n"/>
      <c r="Q4401" s="10" t="n"/>
      <c r="R4401" s="10" t="n"/>
      <c r="S4401" s="16" t="inlineStr">
        <is>
          <t>https://mstgolf.co.th/products/gf2090100618</t>
        </is>
      </c>
      <c r="T4401" s="1">
        <f>IF(B4401="ไม้กอล์ฟ",J4401,"")</f>
        <v/>
      </c>
    </row>
    <row r="4402">
      <c r="A4402" s="1" t="n">
        <v>3</v>
      </c>
      <c r="B4402" s="1" t="inlineStr">
        <is>
          <t>อุปกรณ์เสริม</t>
        </is>
      </c>
      <c r="C4402" s="1" t="inlineStr">
        <is>
          <t>gf2090100633</t>
        </is>
      </c>
      <c r="D4402" s="1" t="inlineStr">
        <is>
          <t>GFORE Tri-Stripe Women's Socks (Snow)</t>
        </is>
      </c>
      <c r="E4402" s="1" t="inlineStr">
        <is>
          <t>GFORE</t>
        </is>
      </c>
      <c r="F4402" s="1" t="inlineStr">
        <is>
          <t>NO SHOW SOCKS</t>
        </is>
      </c>
      <c r="G4402" s="1" t="inlineStr">
        <is>
          <t>GF2090100633S/M</t>
        </is>
      </c>
      <c r="H4402" s="1" t="n">
        <v>3</v>
      </c>
      <c r="I4402" s="1" t="inlineStr">
        <is>
          <t>มี</t>
        </is>
      </c>
      <c r="J4402" s="13" t="n">
        <v>19</v>
      </c>
      <c r="K4402" s="1" t="inlineStr"/>
      <c r="L4402" s="13" t="n">
        <v>19</v>
      </c>
      <c r="M4402" s="1">
        <f>IF(L4402="","ไม่พบใน SG",IF(ABS(J4402-L4402)&lt;0.005,"ตรงกัน","ไม่ตรง"))</f>
        <v/>
      </c>
      <c r="N4402" s="14">
        <f>IF(L4402="","",ROUND(L4402*'สรุป'!$C$6,-1))</f>
        <v/>
      </c>
      <c r="O4402" s="15" t="n"/>
      <c r="P4402" s="15" t="n"/>
      <c r="Q4402" s="10" t="n"/>
      <c r="R4402" s="10" t="n"/>
      <c r="S4402" s="16" t="inlineStr">
        <is>
          <t>https://mstgolf.co.th/products/gf2090100633</t>
        </is>
      </c>
      <c r="T4402" s="1">
        <f>IF(B4402="ไม้กอล์ฟ",J4402,"")</f>
        <v/>
      </c>
    </row>
    <row r="4403">
      <c r="A4403" s="1" t="n">
        <v>3</v>
      </c>
      <c r="B4403" s="1" t="inlineStr">
        <is>
          <t>อุปกรณ์เสริม</t>
        </is>
      </c>
      <c r="C4403" s="1" t="inlineStr">
        <is>
          <t>gf2090200227</t>
        </is>
      </c>
      <c r="D4403" s="1" t="inlineStr">
        <is>
          <t>GFORE Two-Tone Low Cut Men's Socks (Onyx)</t>
        </is>
      </c>
      <c r="E4403" s="1" t="inlineStr">
        <is>
          <t>GFORE</t>
        </is>
      </c>
      <c r="F4403" s="1" t="inlineStr">
        <is>
          <t>ANKLE SOCKS</t>
        </is>
      </c>
      <c r="G4403" s="1" t="inlineStr">
        <is>
          <t>GF2090200227S/M</t>
        </is>
      </c>
      <c r="H4403" s="1" t="n">
        <v>3</v>
      </c>
      <c r="I4403" s="1" t="inlineStr">
        <is>
          <t>มี</t>
        </is>
      </c>
      <c r="J4403" s="13" t="n">
        <v>19</v>
      </c>
      <c r="K4403" s="1" t="inlineStr"/>
      <c r="L4403" s="13" t="n">
        <v>19</v>
      </c>
      <c r="M4403" s="1">
        <f>IF(L4403="","ไม่พบใน SG",IF(ABS(J4403-L4403)&lt;0.005,"ตรงกัน","ไม่ตรง"))</f>
        <v/>
      </c>
      <c r="N4403" s="14">
        <f>IF(L4403="","",ROUND(L4403*'สรุป'!$C$6,-1))</f>
        <v/>
      </c>
      <c r="O4403" s="15" t="n"/>
      <c r="P4403" s="15" t="n"/>
      <c r="Q4403" s="10" t="n"/>
      <c r="R4403" s="10" t="n"/>
      <c r="S4403" s="16" t="inlineStr">
        <is>
          <t>https://mstgolf.co.th/products/gf2090200227</t>
        </is>
      </c>
      <c r="T4403" s="1">
        <f>IF(B4403="ไม้กอล์ฟ",J4403,"")</f>
        <v/>
      </c>
    </row>
    <row r="4404">
      <c r="A4404" s="1" t="n">
        <v>3</v>
      </c>
      <c r="B4404" s="1" t="inlineStr">
        <is>
          <t>หมวก</t>
        </is>
      </c>
      <c r="C4404" s="1" t="inlineStr">
        <is>
          <t>gf2000200838</t>
        </is>
      </c>
      <c r="D4404" s="1" t="inlineStr">
        <is>
          <t>LE COQ SPORTIF GOLF Checkered Print Sun Women's Visor (Blue)</t>
        </is>
      </c>
      <c r="E4404" s="1" t="inlineStr">
        <is>
          <t>LE COQ SPORTIF GOLF</t>
        </is>
      </c>
      <c r="F4404" s="1" t="inlineStr">
        <is>
          <t>VISOR</t>
        </is>
      </c>
      <c r="G4404" s="1" t="inlineStr">
        <is>
          <t>GF2000200838FS</t>
        </is>
      </c>
      <c r="H4404" s="1" t="n">
        <v>1</v>
      </c>
      <c r="I4404" s="1" t="inlineStr">
        <is>
          <t>มี</t>
        </is>
      </c>
      <c r="J4404" s="13" t="n">
        <v>19</v>
      </c>
      <c r="K4404" s="1" t="inlineStr"/>
      <c r="L4404" s="13" t="n">
        <v>19</v>
      </c>
      <c r="M4404" s="1">
        <f>IF(L4404="","ไม่พบใน SG",IF(ABS(J4404-L4404)&lt;0.005,"ตรงกัน","ไม่ตรง"))</f>
        <v/>
      </c>
      <c r="N4404" s="14">
        <f>IF(L4404="","",ROUND(L4404*'สรุป'!$C$6,-1))</f>
        <v/>
      </c>
      <c r="O4404" s="15" t="n"/>
      <c r="P4404" s="15" t="n"/>
      <c r="Q4404" s="10" t="n"/>
      <c r="R4404" s="10" t="n"/>
      <c r="S4404" s="16" t="inlineStr">
        <is>
          <t>https://mstgolf.co.th/products/gf2000200838</t>
        </is>
      </c>
      <c r="T4404" s="1">
        <f>IF(B4404="ไม้กอล์ฟ",J4404,"")</f>
        <v/>
      </c>
    </row>
    <row r="4405">
      <c r="A4405" s="1" t="n">
        <v>3</v>
      </c>
      <c r="B4405" s="1" t="inlineStr">
        <is>
          <t>หมวก</t>
        </is>
      </c>
      <c r="C4405" s="1" t="inlineStr">
        <is>
          <t>gf2000200842</t>
        </is>
      </c>
      <c r="D4405" s="1" t="inlineStr">
        <is>
          <t>LE COQ SPORTIF GOLF Marker Sun Men's Visor (Blue)</t>
        </is>
      </c>
      <c r="E4405" s="1" t="inlineStr">
        <is>
          <t>LE COQ SPORTIF GOLF</t>
        </is>
      </c>
      <c r="F4405" s="1" t="inlineStr">
        <is>
          <t>VISOR</t>
        </is>
      </c>
      <c r="G4405" s="1" t="inlineStr">
        <is>
          <t>GF2000200842FS</t>
        </is>
      </c>
      <c r="H4405" s="1" t="n">
        <v>1</v>
      </c>
      <c r="I4405" s="1" t="inlineStr">
        <is>
          <t>มี</t>
        </is>
      </c>
      <c r="J4405" s="13" t="n">
        <v>19</v>
      </c>
      <c r="K4405" s="1" t="inlineStr"/>
      <c r="L4405" s="13" t="n">
        <v>19</v>
      </c>
      <c r="M4405" s="1">
        <f>IF(L4405="","ไม่พบใน SG",IF(ABS(J4405-L4405)&lt;0.005,"ตรงกัน","ไม่ตรง"))</f>
        <v/>
      </c>
      <c r="N4405" s="14">
        <f>IF(L4405="","",ROUND(L4405*'สรุป'!$C$6,-1))</f>
        <v/>
      </c>
      <c r="O4405" s="15" t="n"/>
      <c r="P4405" s="15" t="n"/>
      <c r="Q4405" s="10" t="n"/>
      <c r="R4405" s="10" t="n"/>
      <c r="S4405" s="16" t="inlineStr">
        <is>
          <t>https://mstgolf.co.th/products/gf2000200842</t>
        </is>
      </c>
      <c r="T4405" s="1">
        <f>IF(B4405="ไม้กอล์ฟ",J4405,"")</f>
        <v/>
      </c>
    </row>
    <row r="4406">
      <c r="A4406" s="1" t="n">
        <v>3</v>
      </c>
      <c r="B4406" s="1" t="inlineStr">
        <is>
          <t>หมวก</t>
        </is>
      </c>
      <c r="C4406" s="1" t="inlineStr">
        <is>
          <t>gf2000104925</t>
        </is>
      </c>
      <c r="D4406" s="1" t="inlineStr">
        <is>
          <t>LE COQ SPORTIF GOLF Markers Men's Cap (Blue)</t>
        </is>
      </c>
      <c r="E4406" s="1" t="inlineStr">
        <is>
          <t>LE COQ SPORTIF GOLF</t>
        </is>
      </c>
      <c r="F4406" s="1" t="inlineStr">
        <is>
          <t>CAP</t>
        </is>
      </c>
      <c r="G4406" s="1" t="inlineStr">
        <is>
          <t>GF2000104925FS</t>
        </is>
      </c>
      <c r="H4406" s="1" t="n">
        <v>1</v>
      </c>
      <c r="I4406" s="1" t="inlineStr">
        <is>
          <t>มี</t>
        </is>
      </c>
      <c r="J4406" s="13" t="n">
        <v>19</v>
      </c>
      <c r="K4406" s="1" t="inlineStr"/>
      <c r="L4406" s="13" t="n">
        <v>19</v>
      </c>
      <c r="M4406" s="1">
        <f>IF(L4406="","ไม่พบใน SG",IF(ABS(J4406-L4406)&lt;0.005,"ตรงกัน","ไม่ตรง"))</f>
        <v/>
      </c>
      <c r="N4406" s="14">
        <f>IF(L4406="","",ROUND(L4406*'สรุป'!$C$6,-1))</f>
        <v/>
      </c>
      <c r="O4406" s="15" t="n"/>
      <c r="P4406" s="15" t="n"/>
      <c r="Q4406" s="10" t="n"/>
      <c r="R4406" s="10" t="n"/>
      <c r="S4406" s="16" t="inlineStr">
        <is>
          <t>https://mstgolf.co.th/products/gf2000104925</t>
        </is>
      </c>
      <c r="T4406" s="1">
        <f>IF(B4406="ไม้กอล์ฟ",J4406,"")</f>
        <v/>
      </c>
    </row>
    <row r="4407">
      <c r="A4407" s="1" t="n">
        <v>3</v>
      </c>
      <c r="B4407" s="1" t="inlineStr">
        <is>
          <t>หมวก</t>
        </is>
      </c>
      <c r="C4407" s="1" t="inlineStr">
        <is>
          <t>gf2000106524</t>
        </is>
      </c>
      <c r="D4407" s="1" t="inlineStr">
        <is>
          <t>LE COQ SPORTIF GOLF Women's Golf Cap with Marker (Navy)</t>
        </is>
      </c>
      <c r="E4407" s="1" t="inlineStr">
        <is>
          <t>LE COQ SPORTIF GOLF</t>
        </is>
      </c>
      <c r="F4407" s="1" t="inlineStr">
        <is>
          <t>CAP</t>
        </is>
      </c>
      <c r="G4407" s="1" t="inlineStr">
        <is>
          <t>GF2000106524FS</t>
        </is>
      </c>
      <c r="H4407" s="1" t="n">
        <v>1</v>
      </c>
      <c r="I4407" s="1" t="inlineStr">
        <is>
          <t>มี</t>
        </is>
      </c>
      <c r="J4407" s="13" t="n">
        <v>19</v>
      </c>
      <c r="K4407" s="1" t="inlineStr"/>
      <c r="L4407" s="13" t="n">
        <v>19</v>
      </c>
      <c r="M4407" s="1">
        <f>IF(L4407="","ไม่พบใน SG",IF(ABS(J4407-L4407)&lt;0.005,"ตรงกัน","ไม่ตรง"))</f>
        <v/>
      </c>
      <c r="N4407" s="14">
        <f>IF(L4407="","",ROUND(L4407*'สรุป'!$C$6,-1))</f>
        <v/>
      </c>
      <c r="O4407" s="15" t="n"/>
      <c r="P4407" s="15" t="n"/>
      <c r="Q4407" s="10" t="n"/>
      <c r="R4407" s="10" t="n"/>
      <c r="S4407" s="16" t="inlineStr">
        <is>
          <t>https://mstgolf.co.th/products/gf2000106524</t>
        </is>
      </c>
      <c r="T4407" s="1">
        <f>IF(B4407="ไม้กอล์ฟ",J4407,"")</f>
        <v/>
      </c>
    </row>
    <row r="4408">
      <c r="A4408" s="1" t="n">
        <v>3</v>
      </c>
      <c r="B4408" s="1" t="inlineStr">
        <is>
          <t>อุปกรณ์เสริม</t>
        </is>
      </c>
      <c r="C4408" s="1" t="inlineStr">
        <is>
          <t>gf2090200197</t>
        </is>
      </c>
      <c r="D4408" s="1" t="inlineStr">
        <is>
          <t>NIKE 3-Pack Ankle Socks (Black)</t>
        </is>
      </c>
      <c r="E4408" s="1" t="inlineStr">
        <is>
          <t>NIKE</t>
        </is>
      </c>
      <c r="F4408" s="1" t="inlineStr">
        <is>
          <t>ANKLE SOCKS</t>
        </is>
      </c>
      <c r="G4408" s="1" t="inlineStr">
        <is>
          <t>GF2090200197S</t>
        </is>
      </c>
      <c r="H4408" s="1" t="n">
        <v>4</v>
      </c>
      <c r="I4408" s="1" t="inlineStr">
        <is>
          <t>มี</t>
        </is>
      </c>
      <c r="J4408" s="13" t="n">
        <v>19</v>
      </c>
      <c r="K4408" s="1" t="inlineStr"/>
      <c r="L4408" s="13" t="n">
        <v>19</v>
      </c>
      <c r="M4408" s="1">
        <f>IF(L4408="","ไม่พบใน SG",IF(ABS(J4408-L4408)&lt;0.005,"ตรงกัน","ไม่ตรง"))</f>
        <v/>
      </c>
      <c r="N4408" s="14">
        <f>IF(L4408="","",ROUND(L4408*'สรุป'!$C$6,-1))</f>
        <v/>
      </c>
      <c r="O4408" s="15" t="n"/>
      <c r="P4408" s="15" t="n"/>
      <c r="Q4408" s="10" t="n"/>
      <c r="R4408" s="10" t="n"/>
      <c r="S4408" s="16" t="inlineStr">
        <is>
          <t>https://mstgolf.co.th/products/gf2090200197</t>
        </is>
      </c>
      <c r="T4408" s="1">
        <f>IF(B4408="ไม้กอล์ฟ",J4408,"")</f>
        <v/>
      </c>
    </row>
    <row r="4409">
      <c r="A4409" s="1" t="n">
        <v>3</v>
      </c>
      <c r="B4409" s="1" t="inlineStr">
        <is>
          <t>อุปกรณ์เสริม</t>
        </is>
      </c>
      <c r="C4409" s="1" t="inlineStr">
        <is>
          <t>gf2090100535</t>
        </is>
      </c>
      <c r="D4409" s="1" t="inlineStr">
        <is>
          <t>NIKE Cushioned 3-Pack Socks (Black)</t>
        </is>
      </c>
      <c r="E4409" s="1" t="inlineStr">
        <is>
          <t>NIKE</t>
        </is>
      </c>
      <c r="F4409" s="1" t="inlineStr">
        <is>
          <t>NO SHOW SOCKS</t>
        </is>
      </c>
      <c r="G4409" s="1" t="inlineStr">
        <is>
          <t>GF2090100535S</t>
        </is>
      </c>
      <c r="H4409" s="1" t="n">
        <v>4</v>
      </c>
      <c r="I4409" s="1" t="inlineStr">
        <is>
          <t>มี</t>
        </is>
      </c>
      <c r="J4409" s="13" t="n">
        <v>19</v>
      </c>
      <c r="K4409" s="1" t="inlineStr"/>
      <c r="L4409" s="13" t="n">
        <v>19</v>
      </c>
      <c r="M4409" s="1">
        <f>IF(L4409="","ไม่พบใน SG",IF(ABS(J4409-L4409)&lt;0.005,"ตรงกัน","ไม่ตรง"))</f>
        <v/>
      </c>
      <c r="N4409" s="14">
        <f>IF(L4409="","",ROUND(L4409*'สรุป'!$C$6,-1))</f>
        <v/>
      </c>
      <c r="O4409" s="15" t="n"/>
      <c r="P4409" s="15" t="n"/>
      <c r="Q4409" s="10" t="n"/>
      <c r="R4409" s="10" t="n"/>
      <c r="S4409" s="16" t="inlineStr">
        <is>
          <t>https://mstgolf.co.th/products/gf2090100535</t>
        </is>
      </c>
      <c r="T4409" s="1">
        <f>IF(B4409="ไม้กอล์ฟ",J4409,"")</f>
        <v/>
      </c>
    </row>
    <row r="4410">
      <c r="A4410" s="1" t="n">
        <v>3</v>
      </c>
      <c r="B4410" s="1" t="inlineStr">
        <is>
          <t>อุปกรณ์เสริม</t>
        </is>
      </c>
      <c r="C4410" s="1" t="inlineStr">
        <is>
          <t>gf2090100536</t>
        </is>
      </c>
      <c r="D4410" s="1" t="inlineStr">
        <is>
          <t>NIKE Cushioned 3-Pack Socks (White)</t>
        </is>
      </c>
      <c r="E4410" s="1" t="inlineStr">
        <is>
          <t>NIKE</t>
        </is>
      </c>
      <c r="F4410" s="1" t="inlineStr">
        <is>
          <t>NO SHOW SOCKS</t>
        </is>
      </c>
      <c r="G4410" s="1" t="inlineStr">
        <is>
          <t>GF2090100536S</t>
        </is>
      </c>
      <c r="H4410" s="1" t="n">
        <v>4</v>
      </c>
      <c r="I4410" s="1" t="inlineStr">
        <is>
          <t>มี</t>
        </is>
      </c>
      <c r="J4410" s="13" t="n">
        <v>19</v>
      </c>
      <c r="K4410" s="1" t="inlineStr"/>
      <c r="L4410" s="13" t="n">
        <v>19</v>
      </c>
      <c r="M4410" s="1">
        <f>IF(L4410="","ไม่พบใน SG",IF(ABS(J4410-L4410)&lt;0.005,"ตรงกัน","ไม่ตรง"))</f>
        <v/>
      </c>
      <c r="N4410" s="14">
        <f>IF(L4410="","",ROUND(L4410*'สรุป'!$C$6,-1))</f>
        <v/>
      </c>
      <c r="O4410" s="15" t="n"/>
      <c r="P4410" s="15" t="n"/>
      <c r="Q4410" s="10" t="n"/>
      <c r="R4410" s="10" t="n"/>
      <c r="S4410" s="16" t="inlineStr">
        <is>
          <t>https://mstgolf.co.th/products/gf2090100536</t>
        </is>
      </c>
      <c r="T4410" s="1">
        <f>IF(B4410="ไม้กอล์ฟ",J4410,"")</f>
        <v/>
      </c>
    </row>
    <row r="4411">
      <c r="A4411" s="1" t="n">
        <v>3</v>
      </c>
      <c r="B4411" s="1" t="inlineStr">
        <is>
          <t>อุปกรณ์เสริม</t>
        </is>
      </c>
      <c r="C4411" s="1" t="inlineStr">
        <is>
          <t>gf2090200180</t>
        </is>
      </c>
      <c r="D4411" s="1" t="inlineStr">
        <is>
          <t>NIKE Everyday Lightweight 3-Pack Ankle Socks (Black)</t>
        </is>
      </c>
      <c r="E4411" s="1" t="inlineStr">
        <is>
          <t>NIKE</t>
        </is>
      </c>
      <c r="F4411" s="1" t="inlineStr">
        <is>
          <t>ANKLE SOCKS</t>
        </is>
      </c>
      <c r="G4411" s="1" t="inlineStr">
        <is>
          <t>GF2090200180S</t>
        </is>
      </c>
      <c r="H4411" s="1" t="n">
        <v>4</v>
      </c>
      <c r="I4411" s="1" t="inlineStr">
        <is>
          <t>มี</t>
        </is>
      </c>
      <c r="J4411" s="13" t="n">
        <v>19</v>
      </c>
      <c r="K4411" s="1" t="inlineStr"/>
      <c r="L4411" s="13" t="n">
        <v>19</v>
      </c>
      <c r="M4411" s="1">
        <f>IF(L4411="","ไม่พบใน SG",IF(ABS(J4411-L4411)&lt;0.005,"ตรงกัน","ไม่ตรง"))</f>
        <v/>
      </c>
      <c r="N4411" s="14">
        <f>IF(L4411="","",ROUND(L4411*'สรุป'!$C$6,-1))</f>
        <v/>
      </c>
      <c r="O4411" s="15" t="n"/>
      <c r="P4411" s="15" t="n"/>
      <c r="Q4411" s="10" t="n"/>
      <c r="R4411" s="10" t="n"/>
      <c r="S4411" s="16" t="inlineStr">
        <is>
          <t>https://mstgolf.co.th/products/gf2090200180</t>
        </is>
      </c>
      <c r="T4411" s="1">
        <f>IF(B4411="ไม้กอล์ฟ",J4411,"")</f>
        <v/>
      </c>
    </row>
    <row r="4412">
      <c r="A4412" s="1" t="n">
        <v>3</v>
      </c>
      <c r="B4412" s="1" t="inlineStr">
        <is>
          <t>อุปกรณ์เสริม</t>
        </is>
      </c>
      <c r="C4412" s="1" t="inlineStr">
        <is>
          <t>gf2090300146</t>
        </is>
      </c>
      <c r="D4412" s="1" t="inlineStr">
        <is>
          <t>NIKE Everyday Plus Cushioned Socks (Black/White)</t>
        </is>
      </c>
      <c r="E4412" s="1" t="inlineStr">
        <is>
          <t>NIKE</t>
        </is>
      </c>
      <c r="F4412" s="1" t="inlineStr">
        <is>
          <t>CREW/QUARTER SOCKS</t>
        </is>
      </c>
      <c r="G4412" s="1" t="inlineStr">
        <is>
          <t>GF2090300146M</t>
        </is>
      </c>
      <c r="H4412" s="1" t="n">
        <v>2</v>
      </c>
      <c r="I4412" s="1" t="inlineStr">
        <is>
          <t>มี</t>
        </is>
      </c>
      <c r="J4412" s="13" t="n">
        <v>19</v>
      </c>
      <c r="K4412" s="1" t="inlineStr"/>
      <c r="L4412" s="13" t="n">
        <v>19</v>
      </c>
      <c r="M4412" s="1">
        <f>IF(L4412="","ไม่พบใน SG",IF(ABS(J4412-L4412)&lt;0.005,"ตรงกัน","ไม่ตรง"))</f>
        <v/>
      </c>
      <c r="N4412" s="14">
        <f>IF(L4412="","",ROUND(L4412*'สรุป'!$C$6,-1))</f>
        <v/>
      </c>
      <c r="O4412" s="15" t="n"/>
      <c r="P4412" s="15" t="n"/>
      <c r="Q4412" s="10" t="n"/>
      <c r="R4412" s="10" t="n"/>
      <c r="S4412" s="16" t="inlineStr">
        <is>
          <t>https://mstgolf.co.th/products/gf2090300146</t>
        </is>
      </c>
      <c r="T4412" s="1">
        <f>IF(B4412="ไม้กอล์ฟ",J4412,"")</f>
        <v/>
      </c>
    </row>
    <row r="4413">
      <c r="A4413" s="1" t="n">
        <v>3</v>
      </c>
      <c r="B4413" s="1" t="inlineStr">
        <is>
          <t>อุปกรณ์เสริม</t>
        </is>
      </c>
      <c r="C4413" s="1" t="inlineStr">
        <is>
          <t>gf2090300213</t>
        </is>
      </c>
      <c r="D4413" s="1" t="inlineStr">
        <is>
          <t>PUMA Essential Crew Cut 3-Pair Pack Socks (Black)</t>
        </is>
      </c>
      <c r="E4413" s="1" t="inlineStr">
        <is>
          <t>PUMA</t>
        </is>
      </c>
      <c r="F4413" s="1" t="inlineStr">
        <is>
          <t>CREW/QUARTER SOCKS</t>
        </is>
      </c>
      <c r="G4413" s="1" t="inlineStr">
        <is>
          <t>GF20903002136-8.5</t>
        </is>
      </c>
      <c r="H4413" s="1" t="n">
        <v>2</v>
      </c>
      <c r="I4413" s="1" t="inlineStr">
        <is>
          <t>มี</t>
        </is>
      </c>
      <c r="J4413" s="13" t="n">
        <v>19</v>
      </c>
      <c r="K4413" s="1" t="inlineStr"/>
      <c r="L4413" s="13" t="n">
        <v>19</v>
      </c>
      <c r="M4413" s="1">
        <f>IF(L4413="","ไม่พบใน SG",IF(ABS(J4413-L4413)&lt;0.005,"ตรงกัน","ไม่ตรง"))</f>
        <v/>
      </c>
      <c r="N4413" s="14">
        <f>IF(L4413="","",ROUND(L4413*'สรุป'!$C$6,-1))</f>
        <v/>
      </c>
      <c r="O4413" s="15" t="n"/>
      <c r="P4413" s="15" t="n"/>
      <c r="Q4413" s="10" t="n"/>
      <c r="R4413" s="10" t="n"/>
      <c r="S4413" s="16" t="inlineStr">
        <is>
          <t>https://mstgolf.co.th/products/gf2090300213</t>
        </is>
      </c>
      <c r="T4413" s="1">
        <f>IF(B4413="ไม้กอล์ฟ",J4413,"")</f>
        <v/>
      </c>
    </row>
    <row r="4414">
      <c r="A4414" s="1" t="n">
        <v>3</v>
      </c>
      <c r="B4414" s="1" t="inlineStr">
        <is>
          <t>อุปกรณ์เสริม</t>
        </is>
      </c>
      <c r="C4414" s="1" t="inlineStr">
        <is>
          <t>gf2090300212</t>
        </is>
      </c>
      <c r="D4414" s="1" t="inlineStr">
        <is>
          <t>PUMA Essential Crew Cut 3-Pair Pack Socks (White)</t>
        </is>
      </c>
      <c r="E4414" s="1" t="inlineStr">
        <is>
          <t>PUMA</t>
        </is>
      </c>
      <c r="F4414" s="1" t="inlineStr">
        <is>
          <t>CREW/QUARTER SOCKS</t>
        </is>
      </c>
      <c r="G4414" s="1" t="inlineStr">
        <is>
          <t>GF20903002126-8.5</t>
        </is>
      </c>
      <c r="H4414" s="1" t="n">
        <v>2</v>
      </c>
      <c r="I4414" s="1" t="inlineStr">
        <is>
          <t>มี</t>
        </is>
      </c>
      <c r="J4414" s="13" t="n">
        <v>19</v>
      </c>
      <c r="K4414" s="1" t="inlineStr"/>
      <c r="L4414" s="13" t="n">
        <v>19</v>
      </c>
      <c r="M4414" s="1">
        <f>IF(L4414="","ไม่พบใน SG",IF(ABS(J4414-L4414)&lt;0.005,"ตรงกัน","ไม่ตรง"))</f>
        <v/>
      </c>
      <c r="N4414" s="14">
        <f>IF(L4414="","",ROUND(L4414*'สรุป'!$C$6,-1))</f>
        <v/>
      </c>
      <c r="O4414" s="15" t="n"/>
      <c r="P4414" s="15" t="n"/>
      <c r="Q4414" s="10" t="n"/>
      <c r="R4414" s="10" t="n"/>
      <c r="S4414" s="16" t="inlineStr">
        <is>
          <t>https://mstgolf.co.th/products/gf2090300212</t>
        </is>
      </c>
      <c r="T4414" s="1">
        <f>IF(B4414="ไม้กอล์ฟ",J4414,"")</f>
        <v/>
      </c>
    </row>
    <row r="4415">
      <c r="A4415" s="1" t="n">
        <v>3</v>
      </c>
      <c r="B4415" s="1" t="inlineStr">
        <is>
          <t>อุปกรณ์เสริม</t>
        </is>
      </c>
      <c r="C4415" s="1" t="inlineStr">
        <is>
          <t>gf3500300342</t>
        </is>
      </c>
      <c r="D4415" s="1" t="inlineStr">
        <is>
          <t>TAYLORMADE TP Collection Weight Kit 15g</t>
        </is>
      </c>
      <c r="E4415" s="1" t="inlineStr">
        <is>
          <t>TAYLORMADE</t>
        </is>
      </c>
      <c r="F4415" s="1" t="inlineStr">
        <is>
          <t>GOLF ACCESSORIES</t>
        </is>
      </c>
      <c r="G4415" s="1" t="inlineStr">
        <is>
          <t>GF3500300342</t>
        </is>
      </c>
      <c r="H4415" s="1" t="n">
        <v>1</v>
      </c>
      <c r="I4415" s="1" t="inlineStr">
        <is>
          <t>มี</t>
        </is>
      </c>
      <c r="J4415" s="13" t="n">
        <v>19</v>
      </c>
      <c r="K4415" s="1" t="inlineStr"/>
      <c r="L4415" s="13" t="n">
        <v>19</v>
      </c>
      <c r="M4415" s="1">
        <f>IF(L4415="","ไม่พบใน SG",IF(ABS(J4415-L4415)&lt;0.005,"ตรงกัน","ไม่ตรง"))</f>
        <v/>
      </c>
      <c r="N4415" s="14">
        <f>IF(L4415="","",ROUND(L4415*'สรุป'!$C$6,-1))</f>
        <v/>
      </c>
      <c r="O4415" s="15" t="n"/>
      <c r="P4415" s="15" t="n"/>
      <c r="Q4415" s="10" t="n"/>
      <c r="R4415" s="10" t="n"/>
      <c r="S4415" s="16" t="inlineStr">
        <is>
          <t>https://mstgolf.co.th/products/gf3500300342</t>
        </is>
      </c>
      <c r="T4415" s="1">
        <f>IF(B4415="ไม้กอล์ฟ",J4415,"")</f>
        <v/>
      </c>
    </row>
    <row r="4416">
      <c r="A4416" s="1" t="n">
        <v>3</v>
      </c>
      <c r="B4416" s="1" t="inlineStr">
        <is>
          <t>อุปกรณ์เสริม</t>
        </is>
      </c>
      <c r="C4416" s="1" t="inlineStr">
        <is>
          <t>gf3500400260</t>
        </is>
      </c>
      <c r="D4416" s="1" t="inlineStr">
        <is>
          <t>TABATA Flash Ball Marker (Orange)</t>
        </is>
      </c>
      <c r="E4416" s="1" t="inlineStr">
        <is>
          <t>TABATA</t>
        </is>
      </c>
      <c r="F4416" s="1" t="inlineStr">
        <is>
          <t>MARKERS &amp; DIVOTS</t>
        </is>
      </c>
      <c r="G4416" s="1" t="inlineStr">
        <is>
          <t>GF3500400260</t>
        </is>
      </c>
      <c r="H4416" s="1" t="n">
        <v>1</v>
      </c>
      <c r="I4416" s="1" t="inlineStr">
        <is>
          <t>มี</t>
        </is>
      </c>
      <c r="J4416" s="13" t="n">
        <v>17</v>
      </c>
      <c r="K4416" s="1" t="inlineStr"/>
      <c r="L4416" s="13" t="n">
        <v>17</v>
      </c>
      <c r="M4416" s="1">
        <f>IF(L4416="","ไม่พบใน SG",IF(ABS(J4416-L4416)&lt;0.005,"ตรงกัน","ไม่ตรง"))</f>
        <v/>
      </c>
      <c r="N4416" s="14">
        <f>IF(L4416="","",ROUND(L4416*'สรุป'!$C$6,-1))</f>
        <v/>
      </c>
      <c r="O4416" s="15" t="n"/>
      <c r="P4416" s="15" t="n"/>
      <c r="Q4416" s="10" t="n"/>
      <c r="R4416" s="10" t="n"/>
      <c r="S4416" s="16" t="inlineStr">
        <is>
          <t>https://mstgolf.co.th/products/gf3500400260</t>
        </is>
      </c>
      <c r="T4416" s="1">
        <f>IF(B4416="ไม้กอล์ฟ",J4416,"")</f>
        <v/>
      </c>
    </row>
    <row r="4417">
      <c r="A4417" s="1" t="n">
        <v>3</v>
      </c>
      <c r="B4417" s="1" t="inlineStr">
        <is>
          <t>อุปกรณ์เสริม</t>
        </is>
      </c>
      <c r="C4417" s="1" t="inlineStr">
        <is>
          <t>gf3500400261</t>
        </is>
      </c>
      <c r="D4417" s="1" t="inlineStr">
        <is>
          <t>TABATA Flash Ball Marker (Red)</t>
        </is>
      </c>
      <c r="E4417" s="1" t="inlineStr">
        <is>
          <t>TABATA</t>
        </is>
      </c>
      <c r="F4417" s="1" t="inlineStr">
        <is>
          <t>MARKERS &amp; DIVOTS</t>
        </is>
      </c>
      <c r="G4417" s="1" t="inlineStr">
        <is>
          <t>GF3500400261</t>
        </is>
      </c>
      <c r="H4417" s="1" t="n">
        <v>1</v>
      </c>
      <c r="I4417" s="1" t="inlineStr">
        <is>
          <t>มี</t>
        </is>
      </c>
      <c r="J4417" s="13" t="n">
        <v>17</v>
      </c>
      <c r="K4417" s="1" t="inlineStr"/>
      <c r="L4417" s="13" t="n">
        <v>17</v>
      </c>
      <c r="M4417" s="1">
        <f>IF(L4417="","ไม่พบใน SG",IF(ABS(J4417-L4417)&lt;0.005,"ตรงกัน","ไม่ตรง"))</f>
        <v/>
      </c>
      <c r="N4417" s="14">
        <f>IF(L4417="","",ROUND(L4417*'สรุป'!$C$6,-1))</f>
        <v/>
      </c>
      <c r="O4417" s="15" t="n"/>
      <c r="P4417" s="15" t="n"/>
      <c r="Q4417" s="10" t="n"/>
      <c r="R4417" s="10" t="n"/>
      <c r="S4417" s="16" t="inlineStr">
        <is>
          <t>https://mstgolf.co.th/products/gf3500400261</t>
        </is>
      </c>
      <c r="T4417" s="1">
        <f>IF(B4417="ไม้กอล์ฟ",J4417,"")</f>
        <v/>
      </c>
    </row>
    <row r="4418">
      <c r="A4418" s="1" t="n">
        <v>3</v>
      </c>
      <c r="B4418" s="1" t="inlineStr">
        <is>
          <t>อุปกรณ์เสริม</t>
        </is>
      </c>
      <c r="C4418" s="1" t="inlineStr">
        <is>
          <t>gf3500300393</t>
        </is>
      </c>
      <c r="D4418" s="1" t="inlineStr">
        <is>
          <t>GENERAL ITEM Paragon Flag Stick &amp; Cup - 1Pc/Box</t>
        </is>
      </c>
      <c r="E4418" s="1" t="inlineStr">
        <is>
          <t>GENERAL ITEM</t>
        </is>
      </c>
      <c r="F4418" s="1" t="inlineStr">
        <is>
          <t>GOLF ACCESSORIES</t>
        </is>
      </c>
      <c r="G4418" s="1" t="inlineStr">
        <is>
          <t>GF3500300393</t>
        </is>
      </c>
      <c r="H4418" s="1" t="n">
        <v>1</v>
      </c>
      <c r="I4418" s="1" t="inlineStr">
        <is>
          <t>มี</t>
        </is>
      </c>
      <c r="J4418" s="13" t="n">
        <v>16</v>
      </c>
      <c r="K4418" s="1" t="inlineStr"/>
      <c r="L4418" s="13" t="n">
        <v>16</v>
      </c>
      <c r="M4418" s="1">
        <f>IF(L4418="","ไม่พบใน SG",IF(ABS(J4418-L4418)&lt;0.005,"ตรงกัน","ไม่ตรง"))</f>
        <v/>
      </c>
      <c r="N4418" s="14">
        <f>IF(L4418="","",ROUND(L4418*'สรุป'!$C$6,-1))</f>
        <v/>
      </c>
      <c r="O4418" s="15" t="n"/>
      <c r="P4418" s="15" t="n"/>
      <c r="Q4418" s="10" t="n"/>
      <c r="R4418" s="10" t="n"/>
      <c r="S4418" s="16" t="inlineStr">
        <is>
          <t>https://mstgolf.co.th/products/gf3500300393</t>
        </is>
      </c>
      <c r="T4418" s="1">
        <f>IF(B4418="ไม้กอล์ฟ",J4418,"")</f>
        <v/>
      </c>
    </row>
    <row r="4419">
      <c r="A4419" s="1" t="n">
        <v>3</v>
      </c>
      <c r="B4419" s="1" t="inlineStr">
        <is>
          <t>หมวก</t>
        </is>
      </c>
      <c r="C4419" s="1" t="inlineStr">
        <is>
          <t>gf2000200879</t>
        </is>
      </c>
      <c r="D4419" s="1" t="inlineStr">
        <is>
          <t>ADIDAS Golf Men's Tour Visor (Navy)</t>
        </is>
      </c>
      <c r="E4419" s="1" t="inlineStr">
        <is>
          <t>ADIDAS</t>
        </is>
      </c>
      <c r="F4419" s="1" t="inlineStr">
        <is>
          <t>VISOR</t>
        </is>
      </c>
      <c r="G4419" s="1" t="inlineStr">
        <is>
          <t>GF2000200879FS</t>
        </is>
      </c>
      <c r="H4419" s="1" t="n">
        <v>1</v>
      </c>
      <c r="I4419" s="1" t="inlineStr">
        <is>
          <t>มี</t>
        </is>
      </c>
      <c r="J4419" s="13" t="n">
        <v>15</v>
      </c>
      <c r="K4419" s="1" t="inlineStr"/>
      <c r="L4419" s="13" t="n">
        <v>15</v>
      </c>
      <c r="M4419" s="1">
        <f>IF(L4419="","ไม่พบใน SG",IF(ABS(J4419-L4419)&lt;0.005,"ตรงกัน","ไม่ตรง"))</f>
        <v/>
      </c>
      <c r="N4419" s="14">
        <f>IF(L4419="","",ROUND(L4419*'สรุป'!$C$6,-1))</f>
        <v/>
      </c>
      <c r="O4419" s="15" t="n"/>
      <c r="P4419" s="15" t="n"/>
      <c r="Q4419" s="10" t="n"/>
      <c r="R4419" s="10" t="n"/>
      <c r="S4419" s="16" t="inlineStr">
        <is>
          <t>https://mstgolf.co.th/products/gf2000200879</t>
        </is>
      </c>
      <c r="T4419" s="1">
        <f>IF(B4419="ไม้กอล์ฟ",J4419,"")</f>
        <v/>
      </c>
    </row>
    <row r="4420">
      <c r="A4420" s="1" t="n">
        <v>3</v>
      </c>
      <c r="B4420" s="1" t="inlineStr">
        <is>
          <t>อุปกรณ์เสริม</t>
        </is>
      </c>
      <c r="C4420" s="1" t="inlineStr">
        <is>
          <t>gf2090300226</t>
        </is>
      </c>
      <c r="D4420" s="1" t="inlineStr">
        <is>
          <t>ADIDAS Originals Golf Trefoil Men's Crew Socks (White)</t>
        </is>
      </c>
      <c r="E4420" s="1" t="inlineStr">
        <is>
          <t>ADIDAS</t>
        </is>
      </c>
      <c r="F4420" s="1" t="inlineStr">
        <is>
          <t>CREW/QUARTER SOCKS</t>
        </is>
      </c>
      <c r="G4420" s="1" t="inlineStr">
        <is>
          <t>GF20903002262527</t>
        </is>
      </c>
      <c r="H4420" s="1" t="n">
        <v>2</v>
      </c>
      <c r="I4420" s="1" t="inlineStr">
        <is>
          <t>มี</t>
        </is>
      </c>
      <c r="J4420" s="13" t="n">
        <v>15</v>
      </c>
      <c r="K4420" s="1" t="inlineStr"/>
      <c r="L4420" s="13" t="n">
        <v>12</v>
      </c>
      <c r="M4420" s="1">
        <f>IF(L4420="","ไม่พบใน SG",IF(ABS(J4420-L4420)&lt;0.005,"ตรงกัน","ไม่ตรง"))</f>
        <v/>
      </c>
      <c r="N4420" s="14">
        <f>IF(L4420="","",ROUND(L4420*'สรุป'!$C$6,-1))</f>
        <v/>
      </c>
      <c r="O4420" s="15" t="n"/>
      <c r="P4420" s="15" t="n"/>
      <c r="Q4420" s="10" t="n"/>
      <c r="R4420" s="10" t="n"/>
      <c r="S4420" s="16" t="inlineStr">
        <is>
          <t>https://mstgolf.co.th/products/gf2090300226</t>
        </is>
      </c>
      <c r="T4420" s="1">
        <f>IF(B4420="ไม้กอล์ฟ",J4420,"")</f>
        <v/>
      </c>
    </row>
    <row r="4421">
      <c r="A4421" s="1" t="n">
        <v>3</v>
      </c>
      <c r="B4421" s="1" t="inlineStr">
        <is>
          <t>อุปกรณ์เสริม</t>
        </is>
      </c>
      <c r="C4421" s="1" t="inlineStr">
        <is>
          <t>gf2090300232</t>
        </is>
      </c>
      <c r="D4421" s="1" t="inlineStr">
        <is>
          <t>ADIDAS Originals Men's Crew Socks (Indigo)</t>
        </is>
      </c>
      <c r="E4421" s="1" t="inlineStr">
        <is>
          <t>ADIDAS</t>
        </is>
      </c>
      <c r="F4421" s="1" t="inlineStr">
        <is>
          <t>CREW/QUARTER SOCKS</t>
        </is>
      </c>
      <c r="G4421" s="1" t="inlineStr">
        <is>
          <t>GF20903002322527</t>
        </is>
      </c>
      <c r="H4421" s="1" t="n">
        <v>2</v>
      </c>
      <c r="I4421" s="1" t="inlineStr">
        <is>
          <t>มี</t>
        </is>
      </c>
      <c r="J4421" s="13" t="n">
        <v>15</v>
      </c>
      <c r="K4421" s="1" t="inlineStr"/>
      <c r="L4421" s="13" t="n">
        <v>12</v>
      </c>
      <c r="M4421" s="1">
        <f>IF(L4421="","ไม่พบใน SG",IF(ABS(J4421-L4421)&lt;0.005,"ตรงกัน","ไม่ตรง"))</f>
        <v/>
      </c>
      <c r="N4421" s="14">
        <f>IF(L4421="","",ROUND(L4421*'สรุป'!$C$6,-1))</f>
        <v/>
      </c>
      <c r="O4421" s="15" t="n"/>
      <c r="P4421" s="15" t="n"/>
      <c r="Q4421" s="10" t="n"/>
      <c r="R4421" s="10" t="n"/>
      <c r="S4421" s="16" t="inlineStr">
        <is>
          <t>https://mstgolf.co.th/products/gf2090300232</t>
        </is>
      </c>
      <c r="T4421" s="1">
        <f>IF(B4421="ไม้กอล์ฟ",J4421,"")</f>
        <v/>
      </c>
    </row>
    <row r="4422">
      <c r="A4422" s="1" t="n">
        <v>3</v>
      </c>
      <c r="B4422" s="1" t="inlineStr">
        <is>
          <t>เสื้อผ้า</t>
        </is>
      </c>
      <c r="C4422" s="1" t="inlineStr">
        <is>
          <t>gf2090700107</t>
        </is>
      </c>
      <c r="D4422" s="1" t="inlineStr">
        <is>
          <t>ADIDAS Performance Logo Women's Knee Socks (Black)</t>
        </is>
      </c>
      <c r="E4422" s="1" t="inlineStr">
        <is>
          <t>ADIDAS</t>
        </is>
      </c>
      <c r="F4422" s="1" t="inlineStr">
        <is>
          <t>KNEE</t>
        </is>
      </c>
      <c r="G4422" s="1" t="inlineStr">
        <is>
          <t>GF2090700107S</t>
        </is>
      </c>
      <c r="H4422" s="1" t="n">
        <v>2</v>
      </c>
      <c r="I4422" s="1" t="inlineStr">
        <is>
          <t>มี</t>
        </is>
      </c>
      <c r="J4422" s="13" t="n">
        <v>15</v>
      </c>
      <c r="K4422" s="1" t="inlineStr"/>
      <c r="L4422" s="13" t="n">
        <v>10</v>
      </c>
      <c r="M4422" s="1">
        <f>IF(L4422="","ไม่พบใน SG",IF(ABS(J4422-L4422)&lt;0.005,"ตรงกัน","ไม่ตรง"))</f>
        <v/>
      </c>
      <c r="N4422" s="14">
        <f>IF(L4422="","",ROUND(L4422*'สรุป'!$C$6,-1))</f>
        <v/>
      </c>
      <c r="O4422" s="15" t="n"/>
      <c r="P4422" s="15" t="n"/>
      <c r="Q4422" s="10" t="n"/>
      <c r="R4422" s="10" t="n"/>
      <c r="S4422" s="16" t="inlineStr">
        <is>
          <t>https://mstgolf.co.th/products/gf2090700107</t>
        </is>
      </c>
      <c r="T4422" s="1">
        <f>IF(B4422="ไม้กอล์ฟ",J4422,"")</f>
        <v/>
      </c>
    </row>
    <row r="4423">
      <c r="A4423" s="1" t="n">
        <v>3</v>
      </c>
      <c r="B4423" s="1" t="inlineStr">
        <is>
          <t>เสื้อผ้า</t>
        </is>
      </c>
      <c r="C4423" s="1" t="inlineStr">
        <is>
          <t>gf2090700108</t>
        </is>
      </c>
      <c r="D4423" s="1" t="inlineStr">
        <is>
          <t>ADIDAS Performance Logo Women's Knee Socks (White)</t>
        </is>
      </c>
      <c r="E4423" s="1" t="inlineStr">
        <is>
          <t>ADIDAS</t>
        </is>
      </c>
      <c r="F4423" s="1" t="inlineStr">
        <is>
          <t>KNEE</t>
        </is>
      </c>
      <c r="G4423" s="1" t="inlineStr">
        <is>
          <t>GF2090700108S</t>
        </is>
      </c>
      <c r="H4423" s="1" t="n">
        <v>2</v>
      </c>
      <c r="I4423" s="1" t="inlineStr">
        <is>
          <t>มี</t>
        </is>
      </c>
      <c r="J4423" s="13" t="n">
        <v>15</v>
      </c>
      <c r="K4423" s="1" t="inlineStr"/>
      <c r="L4423" s="13" t="n">
        <v>15</v>
      </c>
      <c r="M4423" s="1">
        <f>IF(L4423="","ไม่พบใน SG",IF(ABS(J4423-L4423)&lt;0.005,"ตรงกัน","ไม่ตรง"))</f>
        <v/>
      </c>
      <c r="N4423" s="14">
        <f>IF(L4423="","",ROUND(L4423*'สรุป'!$C$6,-1))</f>
        <v/>
      </c>
      <c r="O4423" s="15" t="n"/>
      <c r="P4423" s="15" t="n"/>
      <c r="Q4423" s="10" t="n"/>
      <c r="R4423" s="10" t="n"/>
      <c r="S4423" s="16" t="inlineStr">
        <is>
          <t>https://mstgolf.co.th/products/gf2090700108</t>
        </is>
      </c>
      <c r="T4423" s="1">
        <f>IF(B4423="ไม้กอล์ฟ",J4423,"")</f>
        <v/>
      </c>
    </row>
    <row r="4424">
      <c r="A4424" s="1" t="n">
        <v>3</v>
      </c>
      <c r="B4424" s="1" t="inlineStr">
        <is>
          <t>หมวก</t>
        </is>
      </c>
      <c r="C4424" s="1" t="inlineStr">
        <is>
          <t>gf2000106012</t>
        </is>
      </c>
      <c r="D4424" s="1" t="inlineStr">
        <is>
          <t>ADIDAS Tour Five-Panel Men's Cap (Black/White)</t>
        </is>
      </c>
      <c r="E4424" s="1" t="inlineStr">
        <is>
          <t>ADIDAS</t>
        </is>
      </c>
      <c r="F4424" s="1" t="inlineStr">
        <is>
          <t>CAP</t>
        </is>
      </c>
      <c r="G4424" s="1" t="inlineStr">
        <is>
          <t>GF2000106012FS</t>
        </is>
      </c>
      <c r="H4424" s="1" t="n">
        <v>1</v>
      </c>
      <c r="I4424" s="1" t="inlineStr">
        <is>
          <t>มี</t>
        </is>
      </c>
      <c r="J4424" s="13" t="n">
        <v>15</v>
      </c>
      <c r="K4424" s="1" t="inlineStr"/>
      <c r="L4424" s="13" t="n"/>
      <c r="M4424" s="1">
        <f>IF(L4424="","ไม่พบใน SG",IF(ABS(J4424-L4424)&lt;0.005,"ตรงกัน","ไม่ตรง"))</f>
        <v/>
      </c>
      <c r="N4424" s="14">
        <f>IF(L4424="","",ROUND(L4424*'สรุป'!$C$6,-1))</f>
        <v/>
      </c>
      <c r="O4424" s="15" t="n"/>
      <c r="P4424" s="15" t="n"/>
      <c r="Q4424" s="10" t="n"/>
      <c r="R4424" s="10" t="n"/>
      <c r="S4424" s="16" t="inlineStr">
        <is>
          <t>https://mstgolf.co.th/products/gf2000106012</t>
        </is>
      </c>
      <c r="T4424" s="1">
        <f>IF(B4424="ไม้กอล์ฟ",J4424,"")</f>
        <v/>
      </c>
    </row>
    <row r="4425">
      <c r="A4425" s="1" t="n">
        <v>3</v>
      </c>
      <c r="B4425" s="1" t="inlineStr">
        <is>
          <t>หมวก</t>
        </is>
      </c>
      <c r="C4425" s="1" t="inlineStr">
        <is>
          <t>gf2000105899</t>
        </is>
      </c>
      <c r="D4425" s="1" t="inlineStr">
        <is>
          <t>ADIDAS Tour Five-Panel Men's Cap (White)</t>
        </is>
      </c>
      <c r="E4425" s="1" t="inlineStr">
        <is>
          <t>ADIDAS</t>
        </is>
      </c>
      <c r="F4425" s="1" t="inlineStr">
        <is>
          <t>CAP</t>
        </is>
      </c>
      <c r="G4425" s="1" t="inlineStr">
        <is>
          <t>GF2000105899FS</t>
        </is>
      </c>
      <c r="H4425" s="1" t="n">
        <v>1</v>
      </c>
      <c r="I4425" s="1" t="inlineStr">
        <is>
          <t>มี</t>
        </is>
      </c>
      <c r="J4425" s="13" t="n">
        <v>15</v>
      </c>
      <c r="K4425" s="1" t="inlineStr"/>
      <c r="L4425" s="13" t="n">
        <v>15</v>
      </c>
      <c r="M4425" s="1">
        <f>IF(L4425="","ไม่พบใน SG",IF(ABS(J4425-L4425)&lt;0.005,"ตรงกัน","ไม่ตรง"))</f>
        <v/>
      </c>
      <c r="N4425" s="14">
        <f>IF(L4425="","",ROUND(L4425*'สรุป'!$C$6,-1))</f>
        <v/>
      </c>
      <c r="O4425" s="15" t="n"/>
      <c r="P4425" s="15" t="n"/>
      <c r="Q4425" s="10" t="n"/>
      <c r="R4425" s="10" t="n"/>
      <c r="S4425" s="16" t="inlineStr">
        <is>
          <t>https://mstgolf.co.th/products/gf2000105899</t>
        </is>
      </c>
      <c r="T4425" s="1">
        <f>IF(B4425="ไม้กอล์ฟ",J4425,"")</f>
        <v/>
      </c>
    </row>
    <row r="4426">
      <c r="A4426" s="1" t="n">
        <v>3</v>
      </c>
      <c r="B4426" s="1" t="inlineStr">
        <is>
          <t>หมวก</t>
        </is>
      </c>
      <c r="C4426" s="1" t="inlineStr">
        <is>
          <t>gf2000200877</t>
        </is>
      </c>
      <c r="D4426" s="1" t="inlineStr">
        <is>
          <t>ADIDAS Tour Men's Visor (White)</t>
        </is>
      </c>
      <c r="E4426" s="1" t="inlineStr">
        <is>
          <t>ADIDAS</t>
        </is>
      </c>
      <c r="F4426" s="1" t="inlineStr">
        <is>
          <t>VISOR</t>
        </is>
      </c>
      <c r="G4426" s="1" t="inlineStr">
        <is>
          <t>GF2000200877FS</t>
        </is>
      </c>
      <c r="H4426" s="1" t="n">
        <v>1</v>
      </c>
      <c r="I4426" s="1" t="inlineStr">
        <is>
          <t>มี</t>
        </is>
      </c>
      <c r="J4426" s="13" t="n">
        <v>15</v>
      </c>
      <c r="K4426" s="1" t="inlineStr"/>
      <c r="L4426" s="13" t="n">
        <v>15</v>
      </c>
      <c r="M4426" s="1">
        <f>IF(L4426="","ไม่พบใน SG",IF(ABS(J4426-L4426)&lt;0.005,"ตรงกัน","ไม่ตรง"))</f>
        <v/>
      </c>
      <c r="N4426" s="14">
        <f>IF(L4426="","",ROUND(L4426*'สรุป'!$C$6,-1))</f>
        <v/>
      </c>
      <c r="O4426" s="15" t="n"/>
      <c r="P4426" s="15" t="n"/>
      <c r="Q4426" s="10" t="n"/>
      <c r="R4426" s="10" t="n"/>
      <c r="S4426" s="16" t="inlineStr">
        <is>
          <t>https://mstgolf.co.th/products/gf2000200877</t>
        </is>
      </c>
      <c r="T4426" s="1">
        <f>IF(B4426="ไม้กอล์ฟ",J4426,"")</f>
        <v/>
      </c>
    </row>
    <row r="4427">
      <c r="A4427" s="1" t="n">
        <v>3</v>
      </c>
      <c r="B4427" s="1" t="inlineStr">
        <is>
          <t>หมวก</t>
        </is>
      </c>
      <c r="C4427" s="1" t="inlineStr">
        <is>
          <t>gf2000105906</t>
        </is>
      </c>
      <c r="D4427" s="1" t="inlineStr">
        <is>
          <t>ADIDAS Tour Snapback Men’s Cap (Black)</t>
        </is>
      </c>
      <c r="E4427" s="1" t="inlineStr">
        <is>
          <t>ADIDAS</t>
        </is>
      </c>
      <c r="F4427" s="1" t="inlineStr">
        <is>
          <t>CAP</t>
        </is>
      </c>
      <c r="G4427" s="1" t="inlineStr">
        <is>
          <t>GF2000105906FS</t>
        </is>
      </c>
      <c r="H4427" s="1" t="n">
        <v>1</v>
      </c>
      <c r="I4427" s="1" t="inlineStr">
        <is>
          <t>มี</t>
        </is>
      </c>
      <c r="J4427" s="13" t="n">
        <v>15</v>
      </c>
      <c r="K4427" s="1" t="inlineStr"/>
      <c r="L4427" s="13" t="n">
        <v>15</v>
      </c>
      <c r="M4427" s="1">
        <f>IF(L4427="","ไม่พบใน SG",IF(ABS(J4427-L4427)&lt;0.005,"ตรงกัน","ไม่ตรง"))</f>
        <v/>
      </c>
      <c r="N4427" s="14">
        <f>IF(L4427="","",ROUND(L4427*'สรุป'!$C$6,-1))</f>
        <v/>
      </c>
      <c r="O4427" s="15" t="n"/>
      <c r="P4427" s="15" t="n"/>
      <c r="Q4427" s="10" t="n"/>
      <c r="R4427" s="10" t="n"/>
      <c r="S4427" s="16" t="inlineStr">
        <is>
          <t>https://mstgolf.co.th/products/gf2000105906</t>
        </is>
      </c>
      <c r="T4427" s="1">
        <f>IF(B4427="ไม้กอล์ฟ",J4427,"")</f>
        <v/>
      </c>
    </row>
    <row r="4428">
      <c r="A4428" s="1" t="n">
        <v>3</v>
      </c>
      <c r="B4428" s="1" t="inlineStr">
        <is>
          <t>เสื้อผ้า</t>
        </is>
      </c>
      <c r="C4428" s="1" t="inlineStr">
        <is>
          <t>gf2110100024</t>
        </is>
      </c>
      <c r="D4428" s="1" t="inlineStr">
        <is>
          <t>AQUA-X Cool Arm Gloves (Neon Orange)</t>
        </is>
      </c>
      <c r="E4428" s="1" t="inlineStr">
        <is>
          <t>AQUA-X</t>
        </is>
      </c>
      <c r="F4428" s="1" t="inlineStr">
        <is>
          <t>ARM GLOVE</t>
        </is>
      </c>
      <c r="G4428" s="1" t="inlineStr">
        <is>
          <t>GF2110100024</t>
        </is>
      </c>
      <c r="H4428" s="1" t="n">
        <v>1</v>
      </c>
      <c r="I4428" s="1" t="inlineStr">
        <is>
          <t>มี</t>
        </is>
      </c>
      <c r="J4428" s="13" t="n">
        <v>15</v>
      </c>
      <c r="K4428" s="1" t="inlineStr"/>
      <c r="L4428" s="13" t="n">
        <v>15</v>
      </c>
      <c r="M4428" s="1">
        <f>IF(L4428="","ไม่พบใน SG",IF(ABS(J4428-L4428)&lt;0.005,"ตรงกัน","ไม่ตรง"))</f>
        <v/>
      </c>
      <c r="N4428" s="14">
        <f>IF(L4428="","",ROUND(L4428*'สรุป'!$C$6,-1))</f>
        <v/>
      </c>
      <c r="O4428" s="15" t="n"/>
      <c r="P4428" s="15" t="n"/>
      <c r="Q4428" s="10" t="n"/>
      <c r="R4428" s="10" t="n"/>
      <c r="S4428" s="16" t="inlineStr">
        <is>
          <t>https://mstgolf.co.th/products/gf2110100024</t>
        </is>
      </c>
      <c r="T4428" s="1">
        <f>IF(B4428="ไม้กอล์ฟ",J4428,"")</f>
        <v/>
      </c>
    </row>
    <row r="4429">
      <c r="A4429" s="1" t="n">
        <v>3</v>
      </c>
      <c r="B4429" s="1" t="inlineStr">
        <is>
          <t>อุปกรณ์เสริม</t>
        </is>
      </c>
      <c r="C4429" s="1" t="inlineStr">
        <is>
          <t>gf3500100194</t>
        </is>
      </c>
      <c r="D4429" s="1" t="inlineStr">
        <is>
          <t>CHAMP 2 3/4 Inch Fly Tee My Hite - 30Pcs</t>
        </is>
      </c>
      <c r="E4429" s="1" t="inlineStr">
        <is>
          <t>CHAMP</t>
        </is>
      </c>
      <c r="F4429" s="1" t="inlineStr">
        <is>
          <t>TEES</t>
        </is>
      </c>
      <c r="G4429" s="1" t="inlineStr">
        <is>
          <t>GF3500100194</t>
        </is>
      </c>
      <c r="H4429" s="1" t="n">
        <v>1</v>
      </c>
      <c r="I4429" s="1" t="inlineStr">
        <is>
          <t>มี</t>
        </is>
      </c>
      <c r="J4429" s="13" t="n">
        <v>15</v>
      </c>
      <c r="K4429" s="1" t="inlineStr"/>
      <c r="L4429" s="13" t="n">
        <v>15</v>
      </c>
      <c r="M4429" s="1">
        <f>IF(L4429="","ไม่พบใน SG",IF(ABS(J4429-L4429)&lt;0.005,"ตรงกัน","ไม่ตรง"))</f>
        <v/>
      </c>
      <c r="N4429" s="14">
        <f>IF(L4429="","",ROUND(L4429*'สรุป'!$C$6,-1))</f>
        <v/>
      </c>
      <c r="O4429" s="15" t="n"/>
      <c r="P4429" s="15" t="n"/>
      <c r="Q4429" s="10" t="n"/>
      <c r="R4429" s="10" t="n"/>
      <c r="S4429" s="16" t="inlineStr">
        <is>
          <t>https://mstgolf.co.th/products/gf3500100194</t>
        </is>
      </c>
      <c r="T4429" s="1">
        <f>IF(B4429="ไม้กอล์ฟ",J4429,"")</f>
        <v/>
      </c>
    </row>
    <row r="4430">
      <c r="A4430" s="1" t="n">
        <v>3</v>
      </c>
      <c r="B4430" s="1" t="inlineStr">
        <is>
          <t>อุปกรณ์เสริม</t>
        </is>
      </c>
      <c r="C4430" s="1" t="inlineStr">
        <is>
          <t>gf3500100196</t>
        </is>
      </c>
      <c r="D4430" s="1" t="inlineStr">
        <is>
          <t>CHAMP 3 1/4 Inch Fly Tee My Hite - 25Pcs</t>
        </is>
      </c>
      <c r="E4430" s="1" t="inlineStr">
        <is>
          <t>CHAMP</t>
        </is>
      </c>
      <c r="F4430" s="1" t="inlineStr">
        <is>
          <t>TEES</t>
        </is>
      </c>
      <c r="G4430" s="1" t="inlineStr">
        <is>
          <t>GF3500100196</t>
        </is>
      </c>
      <c r="H4430" s="1" t="n">
        <v>1</v>
      </c>
      <c r="I4430" s="1" t="inlineStr">
        <is>
          <t>มี</t>
        </is>
      </c>
      <c r="J4430" s="13" t="n">
        <v>15</v>
      </c>
      <c r="K4430" s="1" t="inlineStr"/>
      <c r="L4430" s="13" t="n">
        <v>15</v>
      </c>
      <c r="M4430" s="1">
        <f>IF(L4430="","ไม่พบใน SG",IF(ABS(J4430-L4430)&lt;0.005,"ตรงกัน","ไม่ตรง"))</f>
        <v/>
      </c>
      <c r="N4430" s="14">
        <f>IF(L4430="","",ROUND(L4430*'สรุป'!$C$6,-1))</f>
        <v/>
      </c>
      <c r="O4430" s="15" t="n"/>
      <c r="P4430" s="15" t="n"/>
      <c r="Q4430" s="10" t="n"/>
      <c r="R4430" s="10" t="n"/>
      <c r="S4430" s="16" t="inlineStr">
        <is>
          <t>https://mstgolf.co.th/products/gf3500100196</t>
        </is>
      </c>
      <c r="T4430" s="1">
        <f>IF(B4430="ไม้กอล์ฟ",J4430,"")</f>
        <v/>
      </c>
    </row>
    <row r="4431">
      <c r="A4431" s="1" t="n">
        <v>3</v>
      </c>
      <c r="B4431" s="1" t="inlineStr">
        <is>
          <t>อุปกรณ์เสริม</t>
        </is>
      </c>
      <c r="C4431" s="1" t="inlineStr">
        <is>
          <t>gf3080100064</t>
        </is>
      </c>
      <c r="D4431" s="1" t="inlineStr">
        <is>
          <t>GENERAL ITEM Omibrother The Sun UV Perfect Gel (100g)</t>
        </is>
      </c>
      <c r="E4431" s="1" t="inlineStr">
        <is>
          <t>GENERAL ITEM</t>
        </is>
      </c>
      <c r="F4431" s="1" t="inlineStr">
        <is>
          <t>SUNBLOCK &amp; SUNTAN</t>
        </is>
      </c>
      <c r="G4431" s="1" t="inlineStr">
        <is>
          <t>GF3080100064</t>
        </is>
      </c>
      <c r="H4431" s="1" t="n">
        <v>1</v>
      </c>
      <c r="I4431" s="1" t="inlineStr">
        <is>
          <t>มี</t>
        </is>
      </c>
      <c r="J4431" s="13" t="n">
        <v>15</v>
      </c>
      <c r="K4431" s="1" t="inlineStr"/>
      <c r="L4431" s="13" t="n">
        <v>15</v>
      </c>
      <c r="M4431" s="1">
        <f>IF(L4431="","ไม่พบใน SG",IF(ABS(J4431-L4431)&lt;0.005,"ตรงกัน","ไม่ตรง"))</f>
        <v/>
      </c>
      <c r="N4431" s="14">
        <f>IF(L4431="","",ROUND(L4431*'สรุป'!$C$6,-1))</f>
        <v/>
      </c>
      <c r="O4431" s="15" t="n"/>
      <c r="P4431" s="15" t="n"/>
      <c r="Q4431" s="10" t="n"/>
      <c r="R4431" s="10" t="n"/>
      <c r="S4431" s="16" t="inlineStr">
        <is>
          <t>https://mstgolf.co.th/products/gf3080100064</t>
        </is>
      </c>
      <c r="T4431" s="1">
        <f>IF(B4431="ไม้กอล์ฟ",J4431,"")</f>
        <v/>
      </c>
    </row>
    <row r="4432">
      <c r="A4432" s="1" t="n">
        <v>3</v>
      </c>
      <c r="B4432" s="1" t="inlineStr">
        <is>
          <t>อุปกรณ์เสริม</t>
        </is>
      </c>
      <c r="C4432" s="1" t="inlineStr">
        <is>
          <t>gf3500300475</t>
        </is>
      </c>
      <c r="D4432" s="1" t="inlineStr">
        <is>
          <t>GENERAL ITEM Paragon Clikka Tube</t>
        </is>
      </c>
      <c r="E4432" s="1" t="inlineStr">
        <is>
          <t>GENERAL ITEM</t>
        </is>
      </c>
      <c r="F4432" s="1" t="inlineStr">
        <is>
          <t>GOLF ACCESSORIES</t>
        </is>
      </c>
      <c r="G4432" s="1" t="inlineStr">
        <is>
          <t>GF3500300475</t>
        </is>
      </c>
      <c r="H4432" s="1" t="n">
        <v>1</v>
      </c>
      <c r="I4432" s="1" t="inlineStr">
        <is>
          <t>มี</t>
        </is>
      </c>
      <c r="J4432" s="13" t="n">
        <v>15</v>
      </c>
      <c r="K4432" s="1" t="inlineStr"/>
      <c r="L4432" s="13" t="n">
        <v>15</v>
      </c>
      <c r="M4432" s="1">
        <f>IF(L4432="","ไม่พบใน SG",IF(ABS(J4432-L4432)&lt;0.005,"ตรงกัน","ไม่ตรง"))</f>
        <v/>
      </c>
      <c r="N4432" s="14">
        <f>IF(L4432="","",ROUND(L4432*'สรุป'!$C$6,-1))</f>
        <v/>
      </c>
      <c r="O4432" s="15" t="n"/>
      <c r="P4432" s="15" t="n"/>
      <c r="Q4432" s="10" t="n"/>
      <c r="R4432" s="10" t="n"/>
      <c r="S4432" s="16" t="inlineStr">
        <is>
          <t>https://mstgolf.co.th/products/gf3500300475</t>
        </is>
      </c>
      <c r="T4432" s="1">
        <f>IF(B4432="ไม้กอล์ฟ",J4432,"")</f>
        <v/>
      </c>
    </row>
    <row r="4433">
      <c r="A4433" s="1" t="n">
        <v>3</v>
      </c>
      <c r="B4433" s="1" t="inlineStr">
        <is>
          <t>อุปกรณ์เสริม</t>
        </is>
      </c>
      <c r="C4433" s="1" t="inlineStr">
        <is>
          <t>gf3500400379</t>
        </is>
      </c>
      <c r="D4433" s="1" t="inlineStr">
        <is>
          <t>LE COQ SPORTIF GOLF COIN MARKER</t>
        </is>
      </c>
      <c r="E4433" s="1" t="inlineStr">
        <is>
          <t>LE COQ SPORTIF GOLF</t>
        </is>
      </c>
      <c r="F4433" s="1" t="inlineStr">
        <is>
          <t>MARKERS &amp; DIVOTS</t>
        </is>
      </c>
      <c r="G4433" s="1" t="inlineStr">
        <is>
          <t>GF3500400379</t>
        </is>
      </c>
      <c r="H4433" s="1" t="n">
        <v>1</v>
      </c>
      <c r="I4433" s="1" t="inlineStr">
        <is>
          <t>มี</t>
        </is>
      </c>
      <c r="J4433" s="13" t="n">
        <v>15</v>
      </c>
      <c r="K4433" s="1" t="inlineStr"/>
      <c r="L4433" s="13" t="n">
        <v>15</v>
      </c>
      <c r="M4433" s="1">
        <f>IF(L4433="","ไม่พบใน SG",IF(ABS(J4433-L4433)&lt;0.005,"ตรงกัน","ไม่ตรง"))</f>
        <v/>
      </c>
      <c r="N4433" s="14">
        <f>IF(L4433="","",ROUND(L4433*'สรุป'!$C$6,-1))</f>
        <v/>
      </c>
      <c r="O4433" s="15" t="n"/>
      <c r="P4433" s="15" t="n"/>
      <c r="Q4433" s="10" t="n"/>
      <c r="R4433" s="10" t="n"/>
      <c r="S4433" s="16" t="inlineStr">
        <is>
          <t>https://mstgolf.co.th/products/gf3500400379</t>
        </is>
      </c>
      <c r="T4433" s="1">
        <f>IF(B4433="ไม้กอล์ฟ",J4433,"")</f>
        <v/>
      </c>
    </row>
    <row r="4434">
      <c r="A4434" s="1" t="n">
        <v>3</v>
      </c>
      <c r="B4434" s="1" t="inlineStr">
        <is>
          <t>เสื้อผ้า</t>
        </is>
      </c>
      <c r="C4434" s="1" t="inlineStr">
        <is>
          <t>gf2090700091</t>
        </is>
      </c>
      <c r="D4434" s="1" t="inlineStr">
        <is>
          <t>LE COQ SPORTIF GOLF Classic Women's Knee Socks (Black)</t>
        </is>
      </c>
      <c r="E4434" s="1" t="inlineStr">
        <is>
          <t>LE COQ SPORTIF GOLF</t>
        </is>
      </c>
      <c r="F4434" s="1" t="inlineStr">
        <is>
          <t>KNEE</t>
        </is>
      </c>
      <c r="G4434" s="1" t="inlineStr">
        <is>
          <t>GF209070009122-24</t>
        </is>
      </c>
      <c r="H4434" s="1" t="n">
        <v>1</v>
      </c>
      <c r="I4434" s="1" t="inlineStr">
        <is>
          <t>มี</t>
        </is>
      </c>
      <c r="J4434" s="13" t="n">
        <v>15</v>
      </c>
      <c r="K4434" s="1" t="inlineStr"/>
      <c r="L4434" s="13" t="n">
        <v>15</v>
      </c>
      <c r="M4434" s="1">
        <f>IF(L4434="","ไม่พบใน SG",IF(ABS(J4434-L4434)&lt;0.005,"ตรงกัน","ไม่ตรง"))</f>
        <v/>
      </c>
      <c r="N4434" s="14">
        <f>IF(L4434="","",ROUND(L4434*'สรุป'!$C$6,-1))</f>
        <v/>
      </c>
      <c r="O4434" s="15" t="n"/>
      <c r="P4434" s="15" t="n"/>
      <c r="Q4434" s="10" t="n"/>
      <c r="R4434" s="10" t="n"/>
      <c r="S4434" s="16" t="inlineStr">
        <is>
          <t>https://mstgolf.co.th/products/gf2090700091</t>
        </is>
      </c>
      <c r="T4434" s="1">
        <f>IF(B4434="ไม้กอล์ฟ",J4434,"")</f>
        <v/>
      </c>
    </row>
    <row r="4435">
      <c r="A4435" s="1" t="n">
        <v>3</v>
      </c>
      <c r="B4435" s="1" t="inlineStr">
        <is>
          <t>เสื้อผ้า</t>
        </is>
      </c>
      <c r="C4435" s="1" t="inlineStr">
        <is>
          <t>gf2090700092</t>
        </is>
      </c>
      <c r="D4435" s="1" t="inlineStr">
        <is>
          <t>LE COQ SPORTIF GOLF Classic Women's Knee Socks (White)</t>
        </is>
      </c>
      <c r="E4435" s="1" t="inlineStr">
        <is>
          <t>LE COQ SPORTIF GOLF</t>
        </is>
      </c>
      <c r="F4435" s="1" t="inlineStr">
        <is>
          <t>KNEE</t>
        </is>
      </c>
      <c r="G4435" s="1" t="inlineStr">
        <is>
          <t>GF209070009222-24</t>
        </is>
      </c>
      <c r="H4435" s="1" t="n">
        <v>1</v>
      </c>
      <c r="I4435" s="1" t="inlineStr">
        <is>
          <t>มี</t>
        </is>
      </c>
      <c r="J4435" s="13" t="n">
        <v>15</v>
      </c>
      <c r="K4435" s="1" t="inlineStr"/>
      <c r="L4435" s="13" t="n">
        <v>15</v>
      </c>
      <c r="M4435" s="1">
        <f>IF(L4435="","ไม่พบใน SG",IF(ABS(J4435-L4435)&lt;0.005,"ตรงกัน","ไม่ตรง"))</f>
        <v/>
      </c>
      <c r="N4435" s="14">
        <f>IF(L4435="","",ROUND(L4435*'สรุป'!$C$6,-1))</f>
        <v/>
      </c>
      <c r="O4435" s="15" t="n"/>
      <c r="P4435" s="15" t="n"/>
      <c r="Q4435" s="10" t="n"/>
      <c r="R4435" s="10" t="n"/>
      <c r="S4435" s="16" t="inlineStr">
        <is>
          <t>https://mstgolf.co.th/products/gf2090700092</t>
        </is>
      </c>
      <c r="T4435" s="1">
        <f>IF(B4435="ไม้กอล์ฟ",J4435,"")</f>
        <v/>
      </c>
    </row>
    <row r="4436">
      <c r="A4436" s="1" t="n">
        <v>3</v>
      </c>
      <c r="B4436" s="1" t="inlineStr">
        <is>
          <t>หมวก</t>
        </is>
      </c>
      <c r="C4436" s="1" t="inlineStr">
        <is>
          <t>gf2000201078</t>
        </is>
      </c>
      <c r="D4436" s="1" t="inlineStr">
        <is>
          <t>LE COQ SPORTIF GOLF Golfer's Men's Visor (Blue)</t>
        </is>
      </c>
      <c r="E4436" s="1" t="inlineStr">
        <is>
          <t>LE COQ SPORTIF GOLF</t>
        </is>
      </c>
      <c r="F4436" s="1" t="inlineStr">
        <is>
          <t>VISOR</t>
        </is>
      </c>
      <c r="G4436" s="1" t="inlineStr">
        <is>
          <t>GF2000201078FS</t>
        </is>
      </c>
      <c r="H4436" s="1" t="n">
        <v>1</v>
      </c>
      <c r="I4436" s="1" t="inlineStr">
        <is>
          <t>มี</t>
        </is>
      </c>
      <c r="J4436" s="13" t="n">
        <v>15</v>
      </c>
      <c r="K4436" s="1" t="inlineStr"/>
      <c r="L4436" s="13" t="n">
        <v>15</v>
      </c>
      <c r="M4436" s="1">
        <f>IF(L4436="","ไม่พบใน SG",IF(ABS(J4436-L4436)&lt;0.005,"ตรงกัน","ไม่ตรง"))</f>
        <v/>
      </c>
      <c r="N4436" s="14">
        <f>IF(L4436="","",ROUND(L4436*'สรุป'!$C$6,-1))</f>
        <v/>
      </c>
      <c r="O4436" s="15" t="n"/>
      <c r="P4436" s="15" t="n"/>
      <c r="Q4436" s="10" t="n"/>
      <c r="R4436" s="10" t="n"/>
      <c r="S4436" s="16" t="inlineStr">
        <is>
          <t>https://mstgolf.co.th/products/gf2000201078</t>
        </is>
      </c>
      <c r="T4436" s="1">
        <f>IF(B4436="ไม้กอล์ฟ",J4436,"")</f>
        <v/>
      </c>
    </row>
    <row r="4437">
      <c r="A4437" s="1" t="n">
        <v>3</v>
      </c>
      <c r="B4437" s="1" t="inlineStr">
        <is>
          <t>หมวก</t>
        </is>
      </c>
      <c r="C4437" s="1" t="inlineStr">
        <is>
          <t>gf2000201079</t>
        </is>
      </c>
      <c r="D4437" s="1" t="inlineStr">
        <is>
          <t>LE COQ SPORTIF GOLF Golfer's Men's Visor (Navy)</t>
        </is>
      </c>
      <c r="E4437" s="1" t="inlineStr">
        <is>
          <t>LE COQ SPORTIF GOLF</t>
        </is>
      </c>
      <c r="F4437" s="1" t="inlineStr">
        <is>
          <t>VISOR</t>
        </is>
      </c>
      <c r="G4437" s="1" t="inlineStr">
        <is>
          <t>GF2000201079FS</t>
        </is>
      </c>
      <c r="H4437" s="1" t="n">
        <v>1</v>
      </c>
      <c r="I4437" s="1" t="inlineStr">
        <is>
          <t>มี</t>
        </is>
      </c>
      <c r="J4437" s="13" t="n">
        <v>15</v>
      </c>
      <c r="K4437" s="1" t="inlineStr"/>
      <c r="L4437" s="13" t="n"/>
      <c r="M4437" s="1">
        <f>IF(L4437="","ไม่พบใน SG",IF(ABS(J4437-L4437)&lt;0.005,"ตรงกัน","ไม่ตรง"))</f>
        <v/>
      </c>
      <c r="N4437" s="14">
        <f>IF(L4437="","",ROUND(L4437*'สรุป'!$C$6,-1))</f>
        <v/>
      </c>
      <c r="O4437" s="15" t="n"/>
      <c r="P4437" s="15" t="n"/>
      <c r="Q4437" s="10" t="n"/>
      <c r="R4437" s="10" t="n"/>
      <c r="S4437" s="16" t="inlineStr">
        <is>
          <t>https://mstgolf.co.th/products/gf2000201079</t>
        </is>
      </c>
      <c r="T4437" s="1">
        <f>IF(B4437="ไม้กอล์ฟ",J4437,"")</f>
        <v/>
      </c>
    </row>
    <row r="4438">
      <c r="A4438" s="1" t="n">
        <v>3</v>
      </c>
      <c r="B4438" s="1" t="inlineStr">
        <is>
          <t>อุปกรณ์เสริม</t>
        </is>
      </c>
      <c r="C4438" s="1" t="inlineStr">
        <is>
          <t>gf2090200300</t>
        </is>
      </c>
      <c r="D4438" s="1" t="inlineStr">
        <is>
          <t>LE COQ SPORTIF GOLF Men's Ankle Socks (Navy)</t>
        </is>
      </c>
      <c r="E4438" s="1" t="inlineStr">
        <is>
          <t>LE COQ SPORTIF GOLF</t>
        </is>
      </c>
      <c r="F4438" s="1" t="inlineStr">
        <is>
          <t>ANKLE SOCKS</t>
        </is>
      </c>
      <c r="G4438" s="1" t="inlineStr">
        <is>
          <t>GF209020030027-29</t>
        </is>
      </c>
      <c r="H4438" s="1" t="n">
        <v>2</v>
      </c>
      <c r="I4438" s="1" t="inlineStr">
        <is>
          <t>มี</t>
        </is>
      </c>
      <c r="J4438" s="13" t="n">
        <v>15</v>
      </c>
      <c r="K4438" s="1" t="inlineStr"/>
      <c r="L4438" s="13" t="n">
        <v>15</v>
      </c>
      <c r="M4438" s="1">
        <f>IF(L4438="","ไม่พบใน SG",IF(ABS(J4438-L4438)&lt;0.005,"ตรงกัน","ไม่ตรง"))</f>
        <v/>
      </c>
      <c r="N4438" s="14">
        <f>IF(L4438="","",ROUND(L4438*'สรุป'!$C$6,-1))</f>
        <v/>
      </c>
      <c r="O4438" s="15" t="n"/>
      <c r="P4438" s="15" t="n"/>
      <c r="Q4438" s="10" t="n"/>
      <c r="R4438" s="10" t="n"/>
      <c r="S4438" s="16" t="inlineStr">
        <is>
          <t>https://mstgolf.co.th/products/gf2090200300</t>
        </is>
      </c>
      <c r="T4438" s="1">
        <f>IF(B4438="ไม้กอล์ฟ",J4438,"")</f>
        <v/>
      </c>
    </row>
    <row r="4439">
      <c r="A4439" s="1" t="n">
        <v>3</v>
      </c>
      <c r="B4439" s="1" t="inlineStr">
        <is>
          <t>เสื้อผ้า</t>
        </is>
      </c>
      <c r="C4439" s="1" t="inlineStr">
        <is>
          <t>gf2070600013</t>
        </is>
      </c>
      <c r="D4439" s="1" t="inlineStr">
        <is>
          <t>LE COQ SPORTIF GOLF Women's Inner Spats (White)</t>
        </is>
      </c>
      <c r="E4439" s="1" t="inlineStr">
        <is>
          <t>LE COQ SPORTIF GOLF</t>
        </is>
      </c>
      <c r="F4439" s="1" t="inlineStr">
        <is>
          <t>PANTS</t>
        </is>
      </c>
      <c r="G4439" s="1" t="inlineStr">
        <is>
          <t>GF2070600013</t>
        </is>
      </c>
      <c r="H4439" s="1" t="n">
        <v>1</v>
      </c>
      <c r="I4439" s="1" t="inlineStr">
        <is>
          <t>มี</t>
        </is>
      </c>
      <c r="J4439" s="13" t="n">
        <v>15</v>
      </c>
      <c r="K4439" s="1" t="inlineStr"/>
      <c r="L4439" s="13" t="n">
        <v>15</v>
      </c>
      <c r="M4439" s="1">
        <f>IF(L4439="","ไม่พบใน SG",IF(ABS(J4439-L4439)&lt;0.005,"ตรงกัน","ไม่ตรง"))</f>
        <v/>
      </c>
      <c r="N4439" s="14">
        <f>IF(L4439="","",ROUND(L4439*'สรุป'!$C$6,-1))</f>
        <v/>
      </c>
      <c r="O4439" s="15" t="n"/>
      <c r="P4439" s="15" t="n"/>
      <c r="Q4439" s="10" t="n"/>
      <c r="R4439" s="10" t="n"/>
      <c r="S4439" s="16" t="inlineStr">
        <is>
          <t>https://mstgolf.co.th/products/gf2070600013</t>
        </is>
      </c>
      <c r="T4439" s="1">
        <f>IF(B4439="ไม้กอล์ฟ",J4439,"")</f>
        <v/>
      </c>
    </row>
    <row r="4440">
      <c r="A4440" s="1" t="n">
        <v>3</v>
      </c>
      <c r="B4440" s="1" t="inlineStr">
        <is>
          <t>อุปกรณ์เสริม</t>
        </is>
      </c>
      <c r="C4440" s="1" t="inlineStr">
        <is>
          <t>gf3500300132</t>
        </is>
      </c>
      <c r="D4440" s="1" t="inlineStr">
        <is>
          <t>TABATA Club Face Brush</t>
        </is>
      </c>
      <c r="E4440" s="1" t="inlineStr">
        <is>
          <t>TABATA</t>
        </is>
      </c>
      <c r="F4440" s="1" t="inlineStr">
        <is>
          <t>GOLF ACCESSORIES</t>
        </is>
      </c>
      <c r="G4440" s="1" t="inlineStr">
        <is>
          <t>GF3500300132</t>
        </is>
      </c>
      <c r="H4440" s="1" t="n">
        <v>1</v>
      </c>
      <c r="I4440" s="1" t="inlineStr">
        <is>
          <t>มี</t>
        </is>
      </c>
      <c r="J4440" s="13" t="n">
        <v>15</v>
      </c>
      <c r="K4440" s="1" t="inlineStr"/>
      <c r="L4440" s="13" t="n">
        <v>15</v>
      </c>
      <c r="M4440" s="1">
        <f>IF(L4440="","ไม่พบใน SG",IF(ABS(J4440-L4440)&lt;0.005,"ตรงกัน","ไม่ตรง"))</f>
        <v/>
      </c>
      <c r="N4440" s="14">
        <f>IF(L4440="","",ROUND(L4440*'สรุป'!$C$6,-1))</f>
        <v/>
      </c>
      <c r="O4440" s="15" t="n"/>
      <c r="P4440" s="15" t="n"/>
      <c r="Q4440" s="10" t="n"/>
      <c r="R4440" s="10" t="n"/>
      <c r="S4440" s="16" t="inlineStr">
        <is>
          <t>https://mstgolf.co.th/products/gf3500300132</t>
        </is>
      </c>
      <c r="T4440" s="1">
        <f>IF(B4440="ไม้กอล์ฟ",J4440,"")</f>
        <v/>
      </c>
    </row>
    <row r="4441">
      <c r="A4441" s="1" t="n">
        <v>3</v>
      </c>
      <c r="B4441" s="1" t="inlineStr">
        <is>
          <t>อุปกรณ์เสริม</t>
        </is>
      </c>
      <c r="C4441" s="1" t="inlineStr">
        <is>
          <t>gf3500300036</t>
        </is>
      </c>
      <c r="D4441" s="1" t="inlineStr">
        <is>
          <t>TABATA Spinner Ball</t>
        </is>
      </c>
      <c r="E4441" s="1" t="inlineStr">
        <is>
          <t>TABATA</t>
        </is>
      </c>
      <c r="F4441" s="1" t="inlineStr">
        <is>
          <t>GOLF ACCESSORIES</t>
        </is>
      </c>
      <c r="G4441" s="1" t="inlineStr">
        <is>
          <t>GF3500300036</t>
        </is>
      </c>
      <c r="H4441" s="1" t="n">
        <v>1</v>
      </c>
      <c r="I4441" s="1" t="inlineStr">
        <is>
          <t>มี</t>
        </is>
      </c>
      <c r="J4441" s="13" t="n">
        <v>15</v>
      </c>
      <c r="K4441" s="1" t="inlineStr"/>
      <c r="L4441" s="13" t="n">
        <v>15</v>
      </c>
      <c r="M4441" s="1">
        <f>IF(L4441="","ไม่พบใน SG",IF(ABS(J4441-L4441)&lt;0.005,"ตรงกัน","ไม่ตรง"))</f>
        <v/>
      </c>
      <c r="N4441" s="14">
        <f>IF(L4441="","",ROUND(L4441*'สรุป'!$C$6,-1))</f>
        <v/>
      </c>
      <c r="O4441" s="15" t="n"/>
      <c r="P4441" s="15" t="n"/>
      <c r="Q4441" s="10" t="n"/>
      <c r="R4441" s="10" t="n"/>
      <c r="S4441" s="16" t="inlineStr">
        <is>
          <t>https://mstgolf.co.th/products/gf3500300036</t>
        </is>
      </c>
      <c r="T4441" s="1">
        <f>IF(B4441="ไม้กอล์ฟ",J4441,"")</f>
        <v/>
      </c>
    </row>
    <row r="4442">
      <c r="A4442" s="1" t="n">
        <v>3</v>
      </c>
      <c r="B4442" s="1" t="inlineStr">
        <is>
          <t>หมวก</t>
        </is>
      </c>
      <c r="C4442" s="1" t="inlineStr">
        <is>
          <t>gf2000105883</t>
        </is>
      </c>
      <c r="D4442" s="1" t="inlineStr">
        <is>
          <t>UNDER ARMOUR Branded Men's Cap (Blue/White)</t>
        </is>
      </c>
      <c r="E4442" s="1" t="inlineStr">
        <is>
          <t>UNDER ARMOUR</t>
        </is>
      </c>
      <c r="F4442" s="1" t="inlineStr">
        <is>
          <t>CAP</t>
        </is>
      </c>
      <c r="G4442" s="1" t="inlineStr">
        <is>
          <t>GF2000105883FS</t>
        </is>
      </c>
      <c r="H4442" s="1" t="n">
        <v>1</v>
      </c>
      <c r="I4442" s="1" t="inlineStr">
        <is>
          <t>มี</t>
        </is>
      </c>
      <c r="J4442" s="13" t="n">
        <v>15</v>
      </c>
      <c r="K4442" s="1" t="inlineStr"/>
      <c r="L4442" s="13" t="n">
        <v>15</v>
      </c>
      <c r="M4442" s="1">
        <f>IF(L4442="","ไม่พบใน SG",IF(ABS(J4442-L4442)&lt;0.005,"ตรงกัน","ไม่ตรง"))</f>
        <v/>
      </c>
      <c r="N4442" s="14">
        <f>IF(L4442="","",ROUND(L4442*'สรุป'!$C$6,-1))</f>
        <v/>
      </c>
      <c r="O4442" s="15" t="n"/>
      <c r="P4442" s="15" t="n"/>
      <c r="Q4442" s="10" t="n"/>
      <c r="R4442" s="10" t="n"/>
      <c r="S4442" s="16" t="inlineStr">
        <is>
          <t>https://mstgolf.co.th/products/gf2000105883</t>
        </is>
      </c>
      <c r="T4442" s="1">
        <f>IF(B4442="ไม้กอล์ฟ",J4442,"")</f>
        <v/>
      </c>
    </row>
    <row r="4443">
      <c r="A4443" s="1" t="n">
        <v>3</v>
      </c>
      <c r="B4443" s="1" t="inlineStr">
        <is>
          <t>อุปกรณ์เสริม</t>
        </is>
      </c>
      <c r="C4443" s="1" t="inlineStr">
        <is>
          <t>gf2090200259</t>
        </is>
      </c>
      <c r="D4443" s="1" t="inlineStr">
        <is>
          <t>FOOTJOY ProDry Sports Ankle Socks (White)</t>
        </is>
      </c>
      <c r="E4443" s="1" t="inlineStr">
        <is>
          <t>FOOTJOY</t>
        </is>
      </c>
      <c r="F4443" s="1" t="inlineStr">
        <is>
          <t>ANKLE SOCKS</t>
        </is>
      </c>
      <c r="G4443" s="1" t="inlineStr">
        <is>
          <t>GF2090200259</t>
        </is>
      </c>
      <c r="H4443" s="1" t="n">
        <v>1</v>
      </c>
      <c r="I4443" s="1" t="inlineStr">
        <is>
          <t>มี</t>
        </is>
      </c>
      <c r="J4443" s="13" t="n">
        <v>13.6</v>
      </c>
      <c r="K4443" s="1" t="inlineStr"/>
      <c r="L4443" s="13" t="n">
        <v>13.6</v>
      </c>
      <c r="M4443" s="1">
        <f>IF(L4443="","ไม่พบใน SG",IF(ABS(J4443-L4443)&lt;0.005,"ตรงกัน","ไม่ตรง"))</f>
        <v/>
      </c>
      <c r="N4443" s="14">
        <f>IF(L4443="","",ROUND(L4443*'สรุป'!$C$6,-1))</f>
        <v/>
      </c>
      <c r="O4443" s="15" t="n"/>
      <c r="P4443" s="15" t="n"/>
      <c r="Q4443" s="10" t="n"/>
      <c r="R4443" s="10" t="n"/>
      <c r="S4443" s="16" t="inlineStr">
        <is>
          <t>https://mstgolf.co.th/products/gf2090200259</t>
        </is>
      </c>
      <c r="T4443" s="1">
        <f>IF(B4443="ไม้กอล์ฟ",J4443,"")</f>
        <v/>
      </c>
    </row>
    <row r="4444">
      <c r="A4444" s="1" t="n">
        <v>3</v>
      </c>
      <c r="B4444" s="1" t="inlineStr">
        <is>
          <t>อุปกรณ์เสริม</t>
        </is>
      </c>
      <c r="C4444" s="1" t="inlineStr">
        <is>
          <t>gf2090100590</t>
        </is>
      </c>
      <c r="D4444" s="1" t="inlineStr">
        <is>
          <t>FOOTJOY ProDry Lightweight Ultra Lowcut Socks (Black)</t>
        </is>
      </c>
      <c r="E4444" s="1" t="inlineStr">
        <is>
          <t>FOOTJOY</t>
        </is>
      </c>
      <c r="F4444" s="1" t="inlineStr">
        <is>
          <t>NO SHOW SOCKS</t>
        </is>
      </c>
      <c r="G4444" s="1" t="inlineStr">
        <is>
          <t>GF2090100590</t>
        </is>
      </c>
      <c r="H4444" s="1" t="n">
        <v>1</v>
      </c>
      <c r="I4444" s="1" t="inlineStr">
        <is>
          <t>มี</t>
        </is>
      </c>
      <c r="J4444" s="13" t="n">
        <v>13</v>
      </c>
      <c r="K4444" s="1" t="inlineStr"/>
      <c r="L4444" s="13" t="n">
        <v>13</v>
      </c>
      <c r="M4444" s="1">
        <f>IF(L4444="","ไม่พบใน SG",IF(ABS(J4444-L4444)&lt;0.005,"ตรงกัน","ไม่ตรง"))</f>
        <v/>
      </c>
      <c r="N4444" s="14">
        <f>IF(L4444="","",ROUND(L4444*'สรุป'!$C$6,-1))</f>
        <v/>
      </c>
      <c r="O4444" s="15" t="n"/>
      <c r="P4444" s="15" t="n"/>
      <c r="Q4444" s="10" t="n"/>
      <c r="R4444" s="10" t="n"/>
      <c r="S4444" s="16" t="inlineStr">
        <is>
          <t>https://mstgolf.co.th/products/gf2090100590</t>
        </is>
      </c>
      <c r="T4444" s="1">
        <f>IF(B4444="ไม้กอล์ฟ",J4444,"")</f>
        <v/>
      </c>
    </row>
    <row r="4445">
      <c r="A4445" s="1" t="n">
        <v>3</v>
      </c>
      <c r="B4445" s="1" t="inlineStr">
        <is>
          <t>อุปกรณ์เสริม</t>
        </is>
      </c>
      <c r="C4445" s="1" t="inlineStr">
        <is>
          <t>gf2090100589</t>
        </is>
      </c>
      <c r="D4445" s="1" t="inlineStr">
        <is>
          <t>FOOTJOY ProDry Lightweight Ultra Lowcut Socks (White)</t>
        </is>
      </c>
      <c r="E4445" s="1" t="inlineStr">
        <is>
          <t>FOOTJOY</t>
        </is>
      </c>
      <c r="F4445" s="1" t="inlineStr">
        <is>
          <t>NO SHOW SOCKS</t>
        </is>
      </c>
      <c r="G4445" s="1" t="inlineStr">
        <is>
          <t>GF2090100589</t>
        </is>
      </c>
      <c r="H4445" s="1" t="n">
        <v>1</v>
      </c>
      <c r="I4445" s="1" t="inlineStr">
        <is>
          <t>มี</t>
        </is>
      </c>
      <c r="J4445" s="13" t="n">
        <v>13</v>
      </c>
      <c r="K4445" s="1" t="inlineStr"/>
      <c r="L4445" s="13" t="n">
        <v>13</v>
      </c>
      <c r="M4445" s="1">
        <f>IF(L4445="","ไม่พบใน SG",IF(ABS(J4445-L4445)&lt;0.005,"ตรงกัน","ไม่ตรง"))</f>
        <v/>
      </c>
      <c r="N4445" s="14">
        <f>IF(L4445="","",ROUND(L4445*'สรุป'!$C$6,-1))</f>
        <v/>
      </c>
      <c r="O4445" s="15" t="n"/>
      <c r="P4445" s="15" t="n"/>
      <c r="Q4445" s="10" t="n"/>
      <c r="R4445" s="10" t="n"/>
      <c r="S4445" s="16" t="inlineStr">
        <is>
          <t>https://mstgolf.co.th/products/gf2090100589</t>
        </is>
      </c>
      <c r="T4445" s="1">
        <f>IF(B4445="ไม้กอล์ฟ",J4445,"")</f>
        <v/>
      </c>
    </row>
    <row r="4446">
      <c r="A4446" s="1" t="n">
        <v>3</v>
      </c>
      <c r="B4446" s="1" t="inlineStr">
        <is>
          <t>อุปกรณ์เสริม</t>
        </is>
      </c>
      <c r="C4446" s="1" t="inlineStr">
        <is>
          <t>gf2090200191</t>
        </is>
      </c>
      <c r="D4446" s="1" t="inlineStr">
        <is>
          <t>FOOTJOY ProDry Sportlet Women's Socks (White/Black)</t>
        </is>
      </c>
      <c r="E4446" s="1" t="inlineStr">
        <is>
          <t>FOOTJOY</t>
        </is>
      </c>
      <c r="F4446" s="1" t="inlineStr">
        <is>
          <t>ANKLE SOCKS</t>
        </is>
      </c>
      <c r="G4446" s="1" t="inlineStr">
        <is>
          <t>GF2090200191</t>
        </is>
      </c>
      <c r="H4446" s="1" t="n">
        <v>1</v>
      </c>
      <c r="I4446" s="1" t="inlineStr">
        <is>
          <t>มี</t>
        </is>
      </c>
      <c r="J4446" s="13" t="n">
        <v>13</v>
      </c>
      <c r="K4446" s="1" t="inlineStr"/>
      <c r="L4446" s="13" t="n">
        <v>13</v>
      </c>
      <c r="M4446" s="1">
        <f>IF(L4446="","ไม่พบใน SG",IF(ABS(J4446-L4446)&lt;0.005,"ตรงกัน","ไม่ตรง"))</f>
        <v/>
      </c>
      <c r="N4446" s="14">
        <f>IF(L4446="","",ROUND(L4446*'สรุป'!$C$6,-1))</f>
        <v/>
      </c>
      <c r="O4446" s="15" t="n"/>
      <c r="P4446" s="15" t="n"/>
      <c r="Q4446" s="10" t="n"/>
      <c r="R4446" s="10" t="n"/>
      <c r="S4446" s="16" t="inlineStr">
        <is>
          <t>https://mstgolf.co.th/products/gf2090200191</t>
        </is>
      </c>
      <c r="T4446" s="1">
        <f>IF(B4446="ไม้กอล์ฟ",J4446,"")</f>
        <v/>
      </c>
    </row>
    <row r="4447">
      <c r="A4447" s="1" t="n">
        <v>3</v>
      </c>
      <c r="B4447" s="1" t="inlineStr">
        <is>
          <t>อุปกรณ์เสริม</t>
        </is>
      </c>
      <c r="C4447" s="1" t="inlineStr">
        <is>
          <t>gf2090200189</t>
        </is>
      </c>
      <c r="D4447" s="1" t="inlineStr">
        <is>
          <t>FOOTJOY ProDry Sportlet Women's Socks (White/Red)</t>
        </is>
      </c>
      <c r="E4447" s="1" t="inlineStr">
        <is>
          <t>FOOTJOY</t>
        </is>
      </c>
      <c r="F4447" s="1" t="inlineStr">
        <is>
          <t>ANKLE SOCKS</t>
        </is>
      </c>
      <c r="G4447" s="1" t="inlineStr">
        <is>
          <t>GF2090200189</t>
        </is>
      </c>
      <c r="H4447" s="1" t="n">
        <v>1</v>
      </c>
      <c r="I4447" s="1" t="inlineStr">
        <is>
          <t>มี</t>
        </is>
      </c>
      <c r="J4447" s="13" t="n">
        <v>13</v>
      </c>
      <c r="K4447" s="1" t="inlineStr"/>
      <c r="L4447" s="13" t="n">
        <v>13</v>
      </c>
      <c r="M4447" s="1">
        <f>IF(L4447="","ไม่พบใน SG",IF(ABS(J4447-L4447)&lt;0.005,"ตรงกัน","ไม่ตรง"))</f>
        <v/>
      </c>
      <c r="N4447" s="14">
        <f>IF(L4447="","",ROUND(L4447*'สรุป'!$C$6,-1))</f>
        <v/>
      </c>
      <c r="O4447" s="15" t="n"/>
      <c r="P4447" s="15" t="n"/>
      <c r="Q4447" s="10" t="n"/>
      <c r="R4447" s="10" t="n"/>
      <c r="S4447" s="16" t="inlineStr">
        <is>
          <t>https://mstgolf.co.th/products/gf2090200189</t>
        </is>
      </c>
      <c r="T4447" s="1">
        <f>IF(B4447="ไม้กอล์ฟ",J4447,"")</f>
        <v/>
      </c>
    </row>
    <row r="4448">
      <c r="A4448" s="1" t="n">
        <v>3</v>
      </c>
      <c r="B4448" s="1" t="inlineStr">
        <is>
          <t>อุปกรณ์เสริม</t>
        </is>
      </c>
      <c r="C4448" s="1" t="inlineStr">
        <is>
          <t>gf3080100074</t>
        </is>
      </c>
      <c r="D4448" s="1" t="inlineStr">
        <is>
          <t>GENERAL ITEM Sunplay Sport SPF50+ Sunscreen (80g)</t>
        </is>
      </c>
      <c r="E4448" s="1" t="inlineStr">
        <is>
          <t>GENERAL ITEM</t>
        </is>
      </c>
      <c r="F4448" s="1" t="inlineStr">
        <is>
          <t>SUNBLOCK &amp; SUNTAN</t>
        </is>
      </c>
      <c r="G4448" s="1" t="inlineStr">
        <is>
          <t>GF3080100074</t>
        </is>
      </c>
      <c r="H4448" s="1" t="n">
        <v>1</v>
      </c>
      <c r="I4448" s="1" t="inlineStr">
        <is>
          <t>มี</t>
        </is>
      </c>
      <c r="J4448" s="13" t="n">
        <v>13</v>
      </c>
      <c r="K4448" s="1" t="inlineStr"/>
      <c r="L4448" s="13" t="n"/>
      <c r="M4448" s="1">
        <f>IF(L4448="","ไม่พบใน SG",IF(ABS(J4448-L4448)&lt;0.005,"ตรงกัน","ไม่ตรง"))</f>
        <v/>
      </c>
      <c r="N4448" s="14">
        <f>IF(L4448="","",ROUND(L4448*'สรุป'!$C$6,-1))</f>
        <v/>
      </c>
      <c r="O4448" s="15" t="n"/>
      <c r="P4448" s="15" t="n"/>
      <c r="Q4448" s="10" t="n"/>
      <c r="R4448" s="10" t="n"/>
      <c r="S4448" s="16" t="inlineStr">
        <is>
          <t>https://mstgolf.co.th/products/gf3080100074</t>
        </is>
      </c>
      <c r="T4448" s="1">
        <f>IF(B4448="ไม้กอล์ฟ",J4448,"")</f>
        <v/>
      </c>
    </row>
    <row r="4449">
      <c r="A4449" s="1" t="n">
        <v>3</v>
      </c>
      <c r="B4449" s="1" t="inlineStr">
        <is>
          <t>อุปกรณ์เสริม</t>
        </is>
      </c>
      <c r="C4449" s="1" t="inlineStr">
        <is>
          <t>gf3080100069</t>
        </is>
      </c>
      <c r="D4449" s="1" t="inlineStr">
        <is>
          <t>GENERAL ITEM Sunplay Water Kids SPF60 PA++ (35g)</t>
        </is>
      </c>
      <c r="E4449" s="1" t="inlineStr">
        <is>
          <t>GENERAL ITEM</t>
        </is>
      </c>
      <c r="F4449" s="1" t="inlineStr">
        <is>
          <t>SUNBLOCK &amp; SUNTAN</t>
        </is>
      </c>
      <c r="G4449" s="1" t="inlineStr">
        <is>
          <t>GF3080100069</t>
        </is>
      </c>
      <c r="H4449" s="1" t="n">
        <v>1</v>
      </c>
      <c r="I4449" s="1" t="inlineStr">
        <is>
          <t>มี</t>
        </is>
      </c>
      <c r="J4449" s="13" t="n">
        <v>13</v>
      </c>
      <c r="K4449" s="1" t="inlineStr"/>
      <c r="L4449" s="13" t="n">
        <v>13</v>
      </c>
      <c r="M4449" s="1">
        <f>IF(L4449="","ไม่พบใน SG",IF(ABS(J4449-L4449)&lt;0.005,"ตรงกัน","ไม่ตรง"))</f>
        <v/>
      </c>
      <c r="N4449" s="14">
        <f>IF(L4449="","",ROUND(L4449*'สรุป'!$C$6,-1))</f>
        <v/>
      </c>
      <c r="O4449" s="15" t="n"/>
      <c r="P4449" s="15" t="n"/>
      <c r="Q4449" s="10" t="n"/>
      <c r="R4449" s="10" t="n"/>
      <c r="S4449" s="16" t="inlineStr">
        <is>
          <t>https://mstgolf.co.th/products/gf3080100069</t>
        </is>
      </c>
      <c r="T4449" s="1">
        <f>IF(B4449="ไม้กอล์ฟ",J4449,"")</f>
        <v/>
      </c>
    </row>
    <row r="4450">
      <c r="A4450" s="1" t="n">
        <v>3</v>
      </c>
      <c r="B4450" s="1" t="inlineStr">
        <is>
          <t>หมวก</t>
        </is>
      </c>
      <c r="C4450" s="1" t="inlineStr">
        <is>
          <t>gf2000106456</t>
        </is>
      </c>
      <c r="D4450" s="1" t="inlineStr">
        <is>
          <t>LE COQ SPORTIF GOLF Zippered Ventilated Men's Cap (Navy)</t>
        </is>
      </c>
      <c r="E4450" s="1" t="inlineStr">
        <is>
          <t>LE COQ SPORTIF GOLF</t>
        </is>
      </c>
      <c r="F4450" s="1" t="inlineStr">
        <is>
          <t>CAP</t>
        </is>
      </c>
      <c r="G4450" s="1" t="inlineStr">
        <is>
          <t>GF2000106456FS</t>
        </is>
      </c>
      <c r="H4450" s="1" t="n">
        <v>1</v>
      </c>
      <c r="I4450" s="1" t="inlineStr">
        <is>
          <t>มี</t>
        </is>
      </c>
      <c r="J4450" s="13" t="n">
        <v>13</v>
      </c>
      <c r="K4450" s="1" t="inlineStr"/>
      <c r="L4450" s="13" t="n">
        <v>13</v>
      </c>
      <c r="M4450" s="1">
        <f>IF(L4450="","ไม่พบใน SG",IF(ABS(J4450-L4450)&lt;0.005,"ตรงกัน","ไม่ตรง"))</f>
        <v/>
      </c>
      <c r="N4450" s="14">
        <f>IF(L4450="","",ROUND(L4450*'สรุป'!$C$6,-1))</f>
        <v/>
      </c>
      <c r="O4450" s="15" t="n"/>
      <c r="P4450" s="15" t="n"/>
      <c r="Q4450" s="10" t="n"/>
      <c r="R4450" s="10" t="n"/>
      <c r="S4450" s="16" t="inlineStr">
        <is>
          <t>https://mstgolf.co.th/products/gf2000106456</t>
        </is>
      </c>
      <c r="T4450" s="1">
        <f>IF(B4450="ไม้กอล์ฟ",J4450,"")</f>
        <v/>
      </c>
    </row>
    <row r="4451">
      <c r="A4451" s="1" t="n">
        <v>3</v>
      </c>
      <c r="B4451" s="1" t="inlineStr">
        <is>
          <t>อุปกรณ์เสริม</t>
        </is>
      </c>
      <c r="C4451" s="1" t="inlineStr">
        <is>
          <t>gf2090200209</t>
        </is>
      </c>
      <c r="D4451" s="1" t="inlineStr">
        <is>
          <t>ADIDAS 3-Pack Men's Ankle Socks (Multi Colour)</t>
        </is>
      </c>
      <c r="E4451" s="1" t="inlineStr">
        <is>
          <t>ADIDAS</t>
        </is>
      </c>
      <c r="F4451" s="1" t="inlineStr">
        <is>
          <t>ANKLE SOCKS</t>
        </is>
      </c>
      <c r="G4451" s="1" t="inlineStr">
        <is>
          <t>GF209020020925-27</t>
        </is>
      </c>
      <c r="H4451" s="1" t="n">
        <v>2</v>
      </c>
      <c r="I4451" s="1" t="inlineStr">
        <is>
          <t>มี</t>
        </is>
      </c>
      <c r="J4451" s="13" t="n">
        <v>12</v>
      </c>
      <c r="K4451" s="1" t="inlineStr"/>
      <c r="L4451" s="13" t="n">
        <v>12</v>
      </c>
      <c r="M4451" s="1">
        <f>IF(L4451="","ไม่พบใน SG",IF(ABS(J4451-L4451)&lt;0.005,"ตรงกัน","ไม่ตรง"))</f>
        <v/>
      </c>
      <c r="N4451" s="14">
        <f>IF(L4451="","",ROUND(L4451*'สรุป'!$C$6,-1))</f>
        <v/>
      </c>
      <c r="O4451" s="15" t="n"/>
      <c r="P4451" s="15" t="n"/>
      <c r="Q4451" s="10" t="n"/>
      <c r="R4451" s="10" t="n"/>
      <c r="S4451" s="16" t="inlineStr">
        <is>
          <t>https://mstgolf.co.th/products/gf2090200209</t>
        </is>
      </c>
      <c r="T4451" s="1">
        <f>IF(B4451="ไม้กอล์ฟ",J4451,"")</f>
        <v/>
      </c>
    </row>
    <row r="4452">
      <c r="A4452" s="1" t="n">
        <v>3</v>
      </c>
      <c r="B4452" s="1" t="inlineStr">
        <is>
          <t>อุปกรณ์เสริม</t>
        </is>
      </c>
      <c r="C4452" s="1" t="inlineStr">
        <is>
          <t>gf2090100613</t>
        </is>
      </c>
      <c r="D4452" s="1" t="inlineStr">
        <is>
          <t>ADIDAS 3-Pack No Show Socks (Multi)</t>
        </is>
      </c>
      <c r="E4452" s="1" t="inlineStr">
        <is>
          <t>ADIDAS</t>
        </is>
      </c>
      <c r="F4452" s="1" t="inlineStr">
        <is>
          <t>NO SHOW SOCKS</t>
        </is>
      </c>
      <c r="G4452" s="1" t="inlineStr">
        <is>
          <t>GF20901006132527</t>
        </is>
      </c>
      <c r="H4452" s="1" t="n">
        <v>2</v>
      </c>
      <c r="I4452" s="1" t="inlineStr">
        <is>
          <t>มี</t>
        </is>
      </c>
      <c r="J4452" s="13" t="n">
        <v>12</v>
      </c>
      <c r="K4452" s="1" t="inlineStr"/>
      <c r="L4452" s="13" t="n">
        <v>12</v>
      </c>
      <c r="M4452" s="1">
        <f>IF(L4452="","ไม่พบใน SG",IF(ABS(J4452-L4452)&lt;0.005,"ตรงกัน","ไม่ตรง"))</f>
        <v/>
      </c>
      <c r="N4452" s="14">
        <f>IF(L4452="","",ROUND(L4452*'สรุป'!$C$6,-1))</f>
        <v/>
      </c>
      <c r="O4452" s="15" t="n"/>
      <c r="P4452" s="15" t="n"/>
      <c r="Q4452" s="10" t="n"/>
      <c r="R4452" s="10" t="n"/>
      <c r="S4452" s="16" t="inlineStr">
        <is>
          <t>https://mstgolf.co.th/products/gf2090100613</t>
        </is>
      </c>
      <c r="T4452" s="1">
        <f>IF(B4452="ไม้กอล์ฟ",J4452,"")</f>
        <v/>
      </c>
    </row>
    <row r="4453">
      <c r="A4453" s="1" t="n">
        <v>3</v>
      </c>
      <c r="B4453" s="1" t="inlineStr">
        <is>
          <t>อุปกรณ์เสริม</t>
        </is>
      </c>
      <c r="C4453" s="1" t="inlineStr">
        <is>
          <t>gf3500100188</t>
        </is>
      </c>
      <c r="D4453" s="1" t="inlineStr">
        <is>
          <t>CHAMP 2 3/4 Inch Fly Tee - 30Pcs</t>
        </is>
      </c>
      <c r="E4453" s="1" t="inlineStr">
        <is>
          <t>CHAMP</t>
        </is>
      </c>
      <c r="F4453" s="1" t="inlineStr">
        <is>
          <t>TEES</t>
        </is>
      </c>
      <c r="G4453" s="1" t="inlineStr">
        <is>
          <t>GF3500100188</t>
        </is>
      </c>
      <c r="H4453" s="1" t="n">
        <v>1</v>
      </c>
      <c r="I4453" s="1" t="inlineStr">
        <is>
          <t>มี</t>
        </is>
      </c>
      <c r="J4453" s="13" t="n">
        <v>12</v>
      </c>
      <c r="K4453" s="1" t="inlineStr"/>
      <c r="L4453" s="13" t="n">
        <v>12</v>
      </c>
      <c r="M4453" s="1">
        <f>IF(L4453="","ไม่พบใน SG",IF(ABS(J4453-L4453)&lt;0.005,"ตรงกัน","ไม่ตรง"))</f>
        <v/>
      </c>
      <c r="N4453" s="14">
        <f>IF(L4453="","",ROUND(L4453*'สรุป'!$C$6,-1))</f>
        <v/>
      </c>
      <c r="O4453" s="15" t="n"/>
      <c r="P4453" s="15" t="n"/>
      <c r="Q4453" s="10" t="n"/>
      <c r="R4453" s="10" t="n"/>
      <c r="S4453" s="16" t="inlineStr">
        <is>
          <t>https://mstgolf.co.th/products/gf3500100188</t>
        </is>
      </c>
      <c r="T4453" s="1">
        <f>IF(B4453="ไม้กอล์ฟ",J4453,"")</f>
        <v/>
      </c>
    </row>
    <row r="4454">
      <c r="A4454" s="1" t="n">
        <v>3</v>
      </c>
      <c r="B4454" s="1" t="inlineStr">
        <is>
          <t>อุปกรณ์เสริม</t>
        </is>
      </c>
      <c r="C4454" s="1" t="inlineStr">
        <is>
          <t>gf2090200280</t>
        </is>
      </c>
      <c r="D4454" s="1" t="inlineStr">
        <is>
          <t>CUTTER &amp; BUCK 3-Pack Ankle Socks (Multi)</t>
        </is>
      </c>
      <c r="E4454" s="1" t="inlineStr">
        <is>
          <t>CUTTER &amp; BUCK</t>
        </is>
      </c>
      <c r="F4454" s="1" t="inlineStr">
        <is>
          <t>ANKLE SOCKS</t>
        </is>
      </c>
      <c r="G4454" s="1" t="inlineStr">
        <is>
          <t>GF2090200280FS</t>
        </is>
      </c>
      <c r="H4454" s="1" t="n">
        <v>1</v>
      </c>
      <c r="I4454" s="1" t="inlineStr">
        <is>
          <t>มี</t>
        </is>
      </c>
      <c r="J4454" s="13" t="n">
        <v>12</v>
      </c>
      <c r="K4454" s="1" t="inlineStr"/>
      <c r="L4454" s="13" t="n">
        <v>12</v>
      </c>
      <c r="M4454" s="1">
        <f>IF(L4454="","ไม่พบใน SG",IF(ABS(J4454-L4454)&lt;0.005,"ตรงกัน","ไม่ตรง"))</f>
        <v/>
      </c>
      <c r="N4454" s="14">
        <f>IF(L4454="","",ROUND(L4454*'สรุป'!$C$6,-1))</f>
        <v/>
      </c>
      <c r="O4454" s="15" t="n"/>
      <c r="P4454" s="15" t="n"/>
      <c r="Q4454" s="10" t="n"/>
      <c r="R4454" s="10" t="n"/>
      <c r="S4454" s="16" t="inlineStr">
        <is>
          <t>https://mstgolf.co.th/products/gf2090200280</t>
        </is>
      </c>
      <c r="T4454" s="1">
        <f>IF(B4454="ไม้กอล์ฟ",J4454,"")</f>
        <v/>
      </c>
    </row>
    <row r="4455">
      <c r="A4455" s="1" t="n">
        <v>3</v>
      </c>
      <c r="B4455" s="1" t="inlineStr">
        <is>
          <t>อุปกรณ์เสริม</t>
        </is>
      </c>
      <c r="C4455" s="1" t="inlineStr">
        <is>
          <t>gf2090300214</t>
        </is>
      </c>
      <c r="D4455" s="1" t="inlineStr">
        <is>
          <t>CUTTER &amp; BUCK 3-Pack Crew Socks (Multi)</t>
        </is>
      </c>
      <c r="E4455" s="1" t="inlineStr">
        <is>
          <t>CUTTER &amp; BUCK</t>
        </is>
      </c>
      <c r="F4455" s="1" t="inlineStr">
        <is>
          <t>CREW/QUARTER SOCKS</t>
        </is>
      </c>
      <c r="G4455" s="1" t="inlineStr">
        <is>
          <t>GF2090300214FS</t>
        </is>
      </c>
      <c r="H4455" s="1" t="n">
        <v>1</v>
      </c>
      <c r="I4455" s="1" t="inlineStr">
        <is>
          <t>มี</t>
        </is>
      </c>
      <c r="J4455" s="13" t="n">
        <v>12</v>
      </c>
      <c r="K4455" s="1" t="inlineStr"/>
      <c r="L4455" s="13" t="n">
        <v>12</v>
      </c>
      <c r="M4455" s="1">
        <f>IF(L4455="","ไม่พบใน SG",IF(ABS(J4455-L4455)&lt;0.005,"ตรงกัน","ไม่ตรง"))</f>
        <v/>
      </c>
      <c r="N4455" s="14">
        <f>IF(L4455="","",ROUND(L4455*'สรุป'!$C$6,-1))</f>
        <v/>
      </c>
      <c r="O4455" s="15" t="n"/>
      <c r="P4455" s="15" t="n"/>
      <c r="Q4455" s="10" t="n"/>
      <c r="R4455" s="10" t="n"/>
      <c r="S4455" s="16" t="inlineStr">
        <is>
          <t>https://mstgolf.co.th/products/gf2090300214</t>
        </is>
      </c>
      <c r="T4455" s="1">
        <f>IF(B4455="ไม้กอล์ฟ",J4455,"")</f>
        <v/>
      </c>
    </row>
    <row r="4456">
      <c r="A4456" s="1" t="n">
        <v>3</v>
      </c>
      <c r="B4456" s="1" t="inlineStr">
        <is>
          <t>อุปกรณ์เสริม</t>
        </is>
      </c>
      <c r="C4456" s="1" t="inlineStr">
        <is>
          <t>gf2090100669</t>
        </is>
      </c>
      <c r="D4456" s="1" t="inlineStr">
        <is>
          <t>CUTTER &amp; BUCK 3-Pack No Show Socks (Multi)</t>
        </is>
      </c>
      <c r="E4456" s="1" t="inlineStr">
        <is>
          <t>CUTTER &amp; BUCK</t>
        </is>
      </c>
      <c r="F4456" s="1" t="inlineStr">
        <is>
          <t>NO SHOW SOCKS</t>
        </is>
      </c>
      <c r="G4456" s="1" t="inlineStr">
        <is>
          <t>GF2090100669FS</t>
        </is>
      </c>
      <c r="H4456" s="1" t="n">
        <v>1</v>
      </c>
      <c r="I4456" s="1" t="inlineStr">
        <is>
          <t>มี</t>
        </is>
      </c>
      <c r="J4456" s="13" t="n">
        <v>12</v>
      </c>
      <c r="K4456" s="1" t="inlineStr"/>
      <c r="L4456" s="13" t="n">
        <v>12</v>
      </c>
      <c r="M4456" s="1">
        <f>IF(L4456="","ไม่พบใน SG",IF(ABS(J4456-L4456)&lt;0.005,"ตรงกัน","ไม่ตรง"))</f>
        <v/>
      </c>
      <c r="N4456" s="14">
        <f>IF(L4456="","",ROUND(L4456*'สรุป'!$C$6,-1))</f>
        <v/>
      </c>
      <c r="O4456" s="15" t="n"/>
      <c r="P4456" s="15" t="n"/>
      <c r="Q4456" s="10" t="n"/>
      <c r="R4456" s="10" t="n"/>
      <c r="S4456" s="16" t="inlineStr">
        <is>
          <t>https://mstgolf.co.th/products/gf2090100669</t>
        </is>
      </c>
      <c r="T4456" s="1">
        <f>IF(B4456="ไม้กอล์ฟ",J4456,"")</f>
        <v/>
      </c>
    </row>
    <row r="4457">
      <c r="A4457" s="1" t="n">
        <v>3</v>
      </c>
      <c r="B4457" s="1" t="inlineStr">
        <is>
          <t>อุปกรณ์เสริม</t>
        </is>
      </c>
      <c r="C4457" s="1" t="inlineStr">
        <is>
          <t>gf3500100385</t>
        </is>
      </c>
      <c r="D4457" s="1" t="inlineStr">
        <is>
          <t>GENERAL ITEM Advantage ABS 2 3/4" + 1 1/2" Plastic Tees - 50 Pieces</t>
        </is>
      </c>
      <c r="E4457" s="1" t="inlineStr">
        <is>
          <t>GENERAL ITEM</t>
        </is>
      </c>
      <c r="F4457" s="1" t="inlineStr">
        <is>
          <t>TEES</t>
        </is>
      </c>
      <c r="G4457" s="1" t="inlineStr">
        <is>
          <t>GF3500100385</t>
        </is>
      </c>
      <c r="H4457" s="1" t="n">
        <v>1</v>
      </c>
      <c r="I4457" s="1" t="inlineStr">
        <is>
          <t>มี</t>
        </is>
      </c>
      <c r="J4457" s="13" t="n">
        <v>12</v>
      </c>
      <c r="K4457" s="1" t="inlineStr"/>
      <c r="L4457" s="13" t="n">
        <v>12</v>
      </c>
      <c r="M4457" s="1">
        <f>IF(L4457="","ไม่พบใน SG",IF(ABS(J4457-L4457)&lt;0.005,"ตรงกัน","ไม่ตรง"))</f>
        <v/>
      </c>
      <c r="N4457" s="14">
        <f>IF(L4457="","",ROUND(L4457*'สรุป'!$C$6,-1))</f>
        <v/>
      </c>
      <c r="O4457" s="15" t="n"/>
      <c r="P4457" s="15" t="n"/>
      <c r="Q4457" s="10" t="n"/>
      <c r="R4457" s="10" t="n"/>
      <c r="S4457" s="16" t="inlineStr">
        <is>
          <t>https://mstgolf.co.th/products/gf3500100385</t>
        </is>
      </c>
      <c r="T4457" s="1">
        <f>IF(B4457="ไม้กอล์ฟ",J4457,"")</f>
        <v/>
      </c>
    </row>
    <row r="4458">
      <c r="A4458" s="1" t="n">
        <v>3</v>
      </c>
      <c r="B4458" s="1" t="inlineStr">
        <is>
          <t>อุปกรณ์เสริม</t>
        </is>
      </c>
      <c r="C4458" s="1" t="inlineStr">
        <is>
          <t>gf3500100386</t>
        </is>
      </c>
      <c r="D4458" s="1" t="inlineStr">
        <is>
          <t>GENERAL ITEM Advantage ABS 3 1/4" + 1 1/2" Plastic Tees</t>
        </is>
      </c>
      <c r="E4458" s="1" t="inlineStr">
        <is>
          <t>GENERAL ITEM</t>
        </is>
      </c>
      <c r="F4458" s="1" t="inlineStr">
        <is>
          <t>TEES</t>
        </is>
      </c>
      <c r="G4458" s="1" t="inlineStr">
        <is>
          <t>GF3500100386</t>
        </is>
      </c>
      <c r="H4458" s="1" t="n">
        <v>1</v>
      </c>
      <c r="I4458" s="1" t="inlineStr">
        <is>
          <t>มี</t>
        </is>
      </c>
      <c r="J4458" s="13" t="n">
        <v>12</v>
      </c>
      <c r="K4458" s="1" t="inlineStr"/>
      <c r="L4458" s="13" t="n">
        <v>12</v>
      </c>
      <c r="M4458" s="1">
        <f>IF(L4458="","ไม่พบใน SG",IF(ABS(J4458-L4458)&lt;0.005,"ตรงกัน","ไม่ตรง"))</f>
        <v/>
      </c>
      <c r="N4458" s="14">
        <f>IF(L4458="","",ROUND(L4458*'สรุป'!$C$6,-1))</f>
        <v/>
      </c>
      <c r="O4458" s="15" t="n"/>
      <c r="P4458" s="15" t="n"/>
      <c r="Q4458" s="10" t="n"/>
      <c r="R4458" s="10" t="n"/>
      <c r="S4458" s="16" t="inlineStr">
        <is>
          <t>https://mstgolf.co.th/products/gf3500100386</t>
        </is>
      </c>
      <c r="T4458" s="1">
        <f>IF(B4458="ไม้กอล์ฟ",J4458,"")</f>
        <v/>
      </c>
    </row>
    <row r="4459">
      <c r="A4459" s="1" t="n">
        <v>3</v>
      </c>
      <c r="B4459" s="1" t="inlineStr">
        <is>
          <t>อุปกรณ์เสริม</t>
        </is>
      </c>
      <c r="C4459" s="1" t="inlineStr">
        <is>
          <t>gf3500300919</t>
        </is>
      </c>
      <c r="D4459" s="1" t="inlineStr">
        <is>
          <t>GENERAL ITEM Barudan Bottle Brush (Green)</t>
        </is>
      </c>
      <c r="E4459" s="1" t="inlineStr">
        <is>
          <t>GENERAL ITEM</t>
        </is>
      </c>
      <c r="F4459" s="1" t="inlineStr">
        <is>
          <t>GOLF ACCESSORIES</t>
        </is>
      </c>
      <c r="G4459" s="1" t="inlineStr">
        <is>
          <t>GF3500300919</t>
        </is>
      </c>
      <c r="H4459" s="1" t="n">
        <v>1</v>
      </c>
      <c r="I4459" s="1" t="inlineStr">
        <is>
          <t>มี</t>
        </is>
      </c>
      <c r="J4459" s="13" t="n">
        <v>12</v>
      </c>
      <c r="K4459" s="1" t="inlineStr"/>
      <c r="L4459" s="13" t="n"/>
      <c r="M4459" s="1">
        <f>IF(L4459="","ไม่พบใน SG",IF(ABS(J4459-L4459)&lt;0.005,"ตรงกัน","ไม่ตรง"))</f>
        <v/>
      </c>
      <c r="N4459" s="14">
        <f>IF(L4459="","",ROUND(L4459*'สรุป'!$C$6,-1))</f>
        <v/>
      </c>
      <c r="O4459" s="15" t="n"/>
      <c r="P4459" s="15" t="n"/>
      <c r="Q4459" s="10" t="n"/>
      <c r="R4459" s="10" t="n"/>
      <c r="S4459" s="16" t="inlineStr">
        <is>
          <t>https://mstgolf.co.th/products/gf3500300919</t>
        </is>
      </c>
      <c r="T4459" s="1">
        <f>IF(B4459="ไม้กอล์ฟ",J4459,"")</f>
        <v/>
      </c>
    </row>
    <row r="4460">
      <c r="A4460" s="1" t="n">
        <v>3</v>
      </c>
      <c r="B4460" s="1" t="inlineStr">
        <is>
          <t>อุปกรณ์เสริม</t>
        </is>
      </c>
      <c r="C4460" s="1" t="inlineStr">
        <is>
          <t>gf3080100065</t>
        </is>
      </c>
      <c r="D4460" s="1" t="inlineStr">
        <is>
          <t>GENERAL ITEM Omibrother Sunbears Mild Gel (30g)</t>
        </is>
      </c>
      <c r="E4460" s="1" t="inlineStr">
        <is>
          <t>GENERAL ITEM</t>
        </is>
      </c>
      <c r="F4460" s="1" t="inlineStr">
        <is>
          <t>SUNBLOCK &amp; SUNTAN</t>
        </is>
      </c>
      <c r="G4460" s="1" t="inlineStr">
        <is>
          <t>GF3080100065</t>
        </is>
      </c>
      <c r="H4460" s="1" t="n">
        <v>1</v>
      </c>
      <c r="I4460" s="1" t="inlineStr">
        <is>
          <t>มี</t>
        </is>
      </c>
      <c r="J4460" s="13" t="n">
        <v>12</v>
      </c>
      <c r="K4460" s="1" t="inlineStr"/>
      <c r="L4460" s="13" t="n">
        <v>12</v>
      </c>
      <c r="M4460" s="1">
        <f>IF(L4460="","ไม่พบใน SG",IF(ABS(J4460-L4460)&lt;0.005,"ตรงกัน","ไม่ตรง"))</f>
        <v/>
      </c>
      <c r="N4460" s="14">
        <f>IF(L4460="","",ROUND(L4460*'สรุป'!$C$6,-1))</f>
        <v/>
      </c>
      <c r="O4460" s="15" t="n"/>
      <c r="P4460" s="15" t="n"/>
      <c r="Q4460" s="10" t="n"/>
      <c r="R4460" s="10" t="n"/>
      <c r="S4460" s="16" t="inlineStr">
        <is>
          <t>https://mstgolf.co.th/products/gf3080100065</t>
        </is>
      </c>
      <c r="T4460" s="1">
        <f>IF(B4460="ไม้กอล์ฟ",J4460,"")</f>
        <v/>
      </c>
    </row>
    <row r="4461">
      <c r="A4461" s="1" t="n">
        <v>3</v>
      </c>
      <c r="B4461" s="1" t="inlineStr">
        <is>
          <t>อุปกรณ์เสริม</t>
        </is>
      </c>
      <c r="C4461" s="1" t="inlineStr">
        <is>
          <t>gf3080100063</t>
        </is>
      </c>
      <c r="D4461" s="1" t="inlineStr">
        <is>
          <t>GENERAL ITEM Sunplay After Sun Gel (200G)</t>
        </is>
      </c>
      <c r="E4461" s="1" t="inlineStr">
        <is>
          <t>GENERAL ITEM</t>
        </is>
      </c>
      <c r="F4461" s="1" t="inlineStr">
        <is>
          <t>SUNBLOCK &amp; SUNTAN</t>
        </is>
      </c>
      <c r="G4461" s="1" t="inlineStr">
        <is>
          <t>GF3080100063</t>
        </is>
      </c>
      <c r="H4461" s="1" t="n">
        <v>1</v>
      </c>
      <c r="I4461" s="1" t="inlineStr">
        <is>
          <t>มี</t>
        </is>
      </c>
      <c r="J4461" s="13" t="n">
        <v>12</v>
      </c>
      <c r="K4461" s="1" t="inlineStr"/>
      <c r="L4461" s="13" t="n">
        <v>12</v>
      </c>
      <c r="M4461" s="1">
        <f>IF(L4461="","ไม่พบใน SG",IF(ABS(J4461-L4461)&lt;0.005,"ตรงกัน","ไม่ตรง"))</f>
        <v/>
      </c>
      <c r="N4461" s="14">
        <f>IF(L4461="","",ROUND(L4461*'สรุป'!$C$6,-1))</f>
        <v/>
      </c>
      <c r="O4461" s="15" t="n"/>
      <c r="P4461" s="15" t="n"/>
      <c r="Q4461" s="10" t="n"/>
      <c r="R4461" s="10" t="n"/>
      <c r="S4461" s="16" t="inlineStr">
        <is>
          <t>https://mstgolf.co.th/products/gf3080100063</t>
        </is>
      </c>
      <c r="T4461" s="1">
        <f>IF(B4461="ไม้กอล์ฟ",J4461,"")</f>
        <v/>
      </c>
    </row>
    <row r="4462">
      <c r="A4462" s="1" t="n">
        <v>3</v>
      </c>
      <c r="B4462" s="1" t="inlineStr">
        <is>
          <t>อุปกรณ์เสริม</t>
        </is>
      </c>
      <c r="C4462" s="1" t="inlineStr">
        <is>
          <t>gf3500300032</t>
        </is>
      </c>
      <c r="D4462" s="1" t="inlineStr">
        <is>
          <t>TABATA Score Counter Plain</t>
        </is>
      </c>
      <c r="E4462" s="1" t="inlineStr">
        <is>
          <t>TABATA</t>
        </is>
      </c>
      <c r="F4462" s="1" t="inlineStr">
        <is>
          <t>GOLF ACCESSORIES</t>
        </is>
      </c>
      <c r="G4462" s="1" t="inlineStr">
        <is>
          <t>GF3500300032</t>
        </is>
      </c>
      <c r="H4462" s="1" t="n">
        <v>1</v>
      </c>
      <c r="I4462" s="1" t="inlineStr">
        <is>
          <t>มี</t>
        </is>
      </c>
      <c r="J4462" s="13" t="n">
        <v>12</v>
      </c>
      <c r="K4462" s="1" t="inlineStr"/>
      <c r="L4462" s="13" t="n">
        <v>12</v>
      </c>
      <c r="M4462" s="1">
        <f>IF(L4462="","ไม่พบใน SG",IF(ABS(J4462-L4462)&lt;0.005,"ตรงกัน","ไม่ตรง"))</f>
        <v/>
      </c>
      <c r="N4462" s="14">
        <f>IF(L4462="","",ROUND(L4462*'สรุป'!$C$6,-1))</f>
        <v/>
      </c>
      <c r="O4462" s="15" t="n"/>
      <c r="P4462" s="15" t="n"/>
      <c r="Q4462" s="10" t="n"/>
      <c r="R4462" s="10" t="n"/>
      <c r="S4462" s="16" t="inlineStr">
        <is>
          <t>https://mstgolf.co.th/products/gf3500300032</t>
        </is>
      </c>
      <c r="T4462" s="1">
        <f>IF(B4462="ไม้กอล์ฟ",J4462,"")</f>
        <v/>
      </c>
    </row>
    <row r="4463">
      <c r="A4463" s="1" t="n">
        <v>3</v>
      </c>
      <c r="B4463" s="1" t="inlineStr">
        <is>
          <t>อุปกรณ์เสริม</t>
        </is>
      </c>
      <c r="C4463" s="1" t="inlineStr">
        <is>
          <t>gf3500100461</t>
        </is>
      </c>
      <c r="D4463" s="1" t="inlineStr">
        <is>
          <t>TOUR TEE Combo Neon Blue Tees 80mm - 5 Pieces</t>
        </is>
      </c>
      <c r="E4463" s="1" t="inlineStr">
        <is>
          <t>TOUR TEE</t>
        </is>
      </c>
      <c r="F4463" s="1" t="inlineStr">
        <is>
          <t>TEES</t>
        </is>
      </c>
      <c r="G4463" s="1" t="inlineStr">
        <is>
          <t>GF3500100461</t>
        </is>
      </c>
      <c r="H4463" s="1" t="n">
        <v>1</v>
      </c>
      <c r="I4463" s="1" t="inlineStr">
        <is>
          <t>มี</t>
        </is>
      </c>
      <c r="J4463" s="13" t="n">
        <v>12</v>
      </c>
      <c r="K4463" s="1" t="inlineStr"/>
      <c r="L4463" s="13" t="n">
        <v>11</v>
      </c>
      <c r="M4463" s="1">
        <f>IF(L4463="","ไม่พบใน SG",IF(ABS(J4463-L4463)&lt;0.005,"ตรงกัน","ไม่ตรง"))</f>
        <v/>
      </c>
      <c r="N4463" s="14">
        <f>IF(L4463="","",ROUND(L4463*'สรุป'!$C$6,-1))</f>
        <v/>
      </c>
      <c r="O4463" s="15" t="n"/>
      <c r="P4463" s="15" t="n"/>
      <c r="Q4463" s="10" t="n"/>
      <c r="R4463" s="10" t="n"/>
      <c r="S4463" s="16" t="inlineStr">
        <is>
          <t>https://mstgolf.co.th/products/gf3500100461</t>
        </is>
      </c>
      <c r="T4463" s="1">
        <f>IF(B4463="ไม้กอล์ฟ",J4463,"")</f>
        <v/>
      </c>
    </row>
    <row r="4464">
      <c r="A4464" s="1" t="n">
        <v>3</v>
      </c>
      <c r="B4464" s="1" t="inlineStr">
        <is>
          <t>อุปกรณ์เสริม</t>
        </is>
      </c>
      <c r="C4464" s="1" t="inlineStr">
        <is>
          <t>gf3500100459</t>
        </is>
      </c>
      <c r="D4464" s="1" t="inlineStr">
        <is>
          <t>TOUR TEE Large Spine Tee 80mm - 5 Pieces</t>
        </is>
      </c>
      <c r="E4464" s="1" t="inlineStr">
        <is>
          <t>TOUR TEE</t>
        </is>
      </c>
      <c r="F4464" s="1" t="inlineStr">
        <is>
          <t>TEES</t>
        </is>
      </c>
      <c r="G4464" s="1" t="inlineStr">
        <is>
          <t>GF3500100459</t>
        </is>
      </c>
      <c r="H4464" s="1" t="n">
        <v>1</v>
      </c>
      <c r="I4464" s="1" t="inlineStr">
        <is>
          <t>มี</t>
        </is>
      </c>
      <c r="J4464" s="13" t="n">
        <v>12</v>
      </c>
      <c r="K4464" s="1" t="inlineStr"/>
      <c r="L4464" s="13" t="n">
        <v>11</v>
      </c>
      <c r="M4464" s="1">
        <f>IF(L4464="","ไม่พบใน SG",IF(ABS(J4464-L4464)&lt;0.005,"ตรงกัน","ไม่ตรง"))</f>
        <v/>
      </c>
      <c r="N4464" s="14">
        <f>IF(L4464="","",ROUND(L4464*'สรุป'!$C$6,-1))</f>
        <v/>
      </c>
      <c r="O4464" s="15" t="n"/>
      <c r="P4464" s="15" t="n"/>
      <c r="Q4464" s="10" t="n"/>
      <c r="R4464" s="10" t="n"/>
      <c r="S4464" s="16" t="inlineStr">
        <is>
          <t>https://mstgolf.co.th/products/gf3500100459</t>
        </is>
      </c>
      <c r="T4464" s="1">
        <f>IF(B4464="ไม้กอล์ฟ",J4464,"")</f>
        <v/>
      </c>
    </row>
    <row r="4465">
      <c r="A4465" s="1" t="n">
        <v>3</v>
      </c>
      <c r="B4465" s="1" t="inlineStr">
        <is>
          <t>อุปกรณ์เสริม</t>
        </is>
      </c>
      <c r="C4465" s="1" t="inlineStr">
        <is>
          <t>gf3500100462</t>
        </is>
      </c>
      <c r="D4465" s="1" t="inlineStr">
        <is>
          <t>TOUR TEE Neon Pink Tees 80mm - 5 Pieces</t>
        </is>
      </c>
      <c r="E4465" s="1" t="inlineStr">
        <is>
          <t>TOUR TEE</t>
        </is>
      </c>
      <c r="F4465" s="1" t="inlineStr">
        <is>
          <t>TEES</t>
        </is>
      </c>
      <c r="G4465" s="1" t="inlineStr">
        <is>
          <t>GF3500100462</t>
        </is>
      </c>
      <c r="H4465" s="1" t="n">
        <v>1</v>
      </c>
      <c r="I4465" s="1" t="inlineStr">
        <is>
          <t>มี</t>
        </is>
      </c>
      <c r="J4465" s="13" t="n">
        <v>12</v>
      </c>
      <c r="K4465" s="1" t="inlineStr"/>
      <c r="L4465" s="13" t="n">
        <v>11</v>
      </c>
      <c r="M4465" s="1">
        <f>IF(L4465="","ไม่พบใน SG",IF(ABS(J4465-L4465)&lt;0.005,"ตรงกัน","ไม่ตรง"))</f>
        <v/>
      </c>
      <c r="N4465" s="14">
        <f>IF(L4465="","",ROUND(L4465*'สรุป'!$C$6,-1))</f>
        <v/>
      </c>
      <c r="O4465" s="15" t="n"/>
      <c r="P4465" s="15" t="n"/>
      <c r="Q4465" s="10" t="n"/>
      <c r="R4465" s="10" t="n"/>
      <c r="S4465" s="16" t="inlineStr">
        <is>
          <t>https://mstgolf.co.th/products/gf3500100462</t>
        </is>
      </c>
      <c r="T4465" s="1">
        <f>IF(B4465="ไม้กอล์ฟ",J4465,"")</f>
        <v/>
      </c>
    </row>
    <row r="4466">
      <c r="A4466" s="1" t="n">
        <v>3</v>
      </c>
      <c r="B4466" s="1" t="inlineStr">
        <is>
          <t>อุปกรณ์เสริม</t>
        </is>
      </c>
      <c r="C4466" s="1" t="inlineStr">
        <is>
          <t>gf3500100460</t>
        </is>
      </c>
      <c r="D4466" s="1" t="inlineStr">
        <is>
          <t>TOUR TEE Plus High Launch 80mm - 4 Pieces</t>
        </is>
      </c>
      <c r="E4466" s="1" t="inlineStr">
        <is>
          <t>TOUR TEE</t>
        </is>
      </c>
      <c r="F4466" s="1" t="inlineStr">
        <is>
          <t>TEES</t>
        </is>
      </c>
      <c r="G4466" s="1" t="inlineStr">
        <is>
          <t>GF3500100460</t>
        </is>
      </c>
      <c r="H4466" s="1" t="n">
        <v>1</v>
      </c>
      <c r="I4466" s="1" t="inlineStr">
        <is>
          <t>มี</t>
        </is>
      </c>
      <c r="J4466" s="13" t="n">
        <v>12</v>
      </c>
      <c r="K4466" s="1" t="inlineStr"/>
      <c r="L4466" s="13" t="n">
        <v>11</v>
      </c>
      <c r="M4466" s="1">
        <f>IF(L4466="","ไม่พบใน SG",IF(ABS(J4466-L4466)&lt;0.005,"ตรงกัน","ไม่ตรง"))</f>
        <v/>
      </c>
      <c r="N4466" s="14">
        <f>IF(L4466="","",ROUND(L4466*'สรุป'!$C$6,-1))</f>
        <v/>
      </c>
      <c r="O4466" s="15" t="n"/>
      <c r="P4466" s="15" t="n"/>
      <c r="Q4466" s="10" t="n"/>
      <c r="R4466" s="10" t="n"/>
      <c r="S4466" s="16" t="inlineStr">
        <is>
          <t>https://mstgolf.co.th/products/gf3500100460</t>
        </is>
      </c>
      <c r="T4466" s="1">
        <f>IF(B4466="ไม้กอล์ฟ",J4466,"")</f>
        <v/>
      </c>
    </row>
    <row r="4467">
      <c r="A4467" s="1" t="n">
        <v>3</v>
      </c>
      <c r="B4467" s="1" t="inlineStr">
        <is>
          <t>อุปกรณ์เสริม</t>
        </is>
      </c>
      <c r="C4467" s="1" t="inlineStr">
        <is>
          <t>gf3500100457</t>
        </is>
      </c>
      <c r="D4467" s="1" t="inlineStr">
        <is>
          <t>TOUR TEE Pro White Spine Tee 80mm - 4 Pieces</t>
        </is>
      </c>
      <c r="E4467" s="1" t="inlineStr">
        <is>
          <t>TOUR TEE</t>
        </is>
      </c>
      <c r="F4467" s="1" t="inlineStr">
        <is>
          <t>TEES</t>
        </is>
      </c>
      <c r="G4467" s="1" t="inlineStr">
        <is>
          <t>GF3500100457</t>
        </is>
      </c>
      <c r="H4467" s="1" t="n">
        <v>1</v>
      </c>
      <c r="I4467" s="1" t="inlineStr">
        <is>
          <t>มี</t>
        </is>
      </c>
      <c r="J4467" s="13" t="n">
        <v>12</v>
      </c>
      <c r="K4467" s="1" t="inlineStr"/>
      <c r="L4467" s="13" t="n">
        <v>11</v>
      </c>
      <c r="M4467" s="1">
        <f>IF(L4467="","ไม่พบใน SG",IF(ABS(J4467-L4467)&lt;0.005,"ตรงกัน","ไม่ตรง"))</f>
        <v/>
      </c>
      <c r="N4467" s="14">
        <f>IF(L4467="","",ROUND(L4467*'สรุป'!$C$6,-1))</f>
        <v/>
      </c>
      <c r="O4467" s="15" t="n"/>
      <c r="P4467" s="15" t="n"/>
      <c r="Q4467" s="10" t="n"/>
      <c r="R4467" s="10" t="n"/>
      <c r="S4467" s="16" t="inlineStr">
        <is>
          <t>https://mstgolf.co.th/products/gf3500100457</t>
        </is>
      </c>
      <c r="T4467" s="1">
        <f>IF(B4467="ไม้กอล์ฟ",J4467,"")</f>
        <v/>
      </c>
    </row>
    <row r="4468">
      <c r="A4468" s="1" t="n">
        <v>3</v>
      </c>
      <c r="B4468" s="1" t="inlineStr">
        <is>
          <t>อุปกรณ์เสริม</t>
        </is>
      </c>
      <c r="C4468" s="1" t="inlineStr">
        <is>
          <t>gf2090200257</t>
        </is>
      </c>
      <c r="D4468" s="1" t="inlineStr">
        <is>
          <t>FOOTJOY ProDry Sports Men's Ankle Socks</t>
        </is>
      </c>
      <c r="E4468" s="1" t="inlineStr">
        <is>
          <t>FOOTJOY</t>
        </is>
      </c>
      <c r="F4468" s="1" t="inlineStr">
        <is>
          <t>ANKLE SOCKS</t>
        </is>
      </c>
      <c r="G4468" s="1" t="inlineStr">
        <is>
          <t>GF2090200257</t>
        </is>
      </c>
      <c r="H4468" s="1" t="n">
        <v>1</v>
      </c>
      <c r="I4468" s="1" t="inlineStr">
        <is>
          <t>มี</t>
        </is>
      </c>
      <c r="J4468" s="13" t="n">
        <v>11</v>
      </c>
      <c r="K4468" s="1" t="inlineStr"/>
      <c r="L4468" s="13" t="n">
        <v>11</v>
      </c>
      <c r="M4468" s="1">
        <f>IF(L4468="","ไม่พบใน SG",IF(ABS(J4468-L4468)&lt;0.005,"ตรงกัน","ไม่ตรง"))</f>
        <v/>
      </c>
      <c r="N4468" s="14">
        <f>IF(L4468="","",ROUND(L4468*'สรุป'!$C$6,-1))</f>
        <v/>
      </c>
      <c r="O4468" s="15" t="n"/>
      <c r="P4468" s="15" t="n"/>
      <c r="Q4468" s="10" t="n"/>
      <c r="R4468" s="10" t="n"/>
      <c r="S4468" s="16" t="inlineStr">
        <is>
          <t>https://mstgolf.co.th/products/gf2090200257</t>
        </is>
      </c>
      <c r="T4468" s="1">
        <f>IF(B4468="ไม้กอล์ฟ",J4468,"")</f>
        <v/>
      </c>
    </row>
    <row r="4469">
      <c r="A4469" s="1" t="n">
        <v>3</v>
      </c>
      <c r="B4469" s="1" t="inlineStr">
        <is>
          <t>อุปกรณ์เสริม</t>
        </is>
      </c>
      <c r="C4469" s="1" t="inlineStr">
        <is>
          <t>gf3500100123</t>
        </is>
      </c>
      <c r="D4469" s="1" t="inlineStr">
        <is>
          <t>TABATA Lift Tee Soft Extra Long 46mm</t>
        </is>
      </c>
      <c r="E4469" s="1" t="inlineStr">
        <is>
          <t>TABATA</t>
        </is>
      </c>
      <c r="F4469" s="1" t="inlineStr">
        <is>
          <t>TEES</t>
        </is>
      </c>
      <c r="G4469" s="1" t="inlineStr">
        <is>
          <t>GF3500100123</t>
        </is>
      </c>
      <c r="H4469" s="1" t="n">
        <v>1</v>
      </c>
      <c r="I4469" s="1" t="inlineStr">
        <is>
          <t>มี</t>
        </is>
      </c>
      <c r="J4469" s="13" t="n">
        <v>11</v>
      </c>
      <c r="K4469" s="1" t="inlineStr"/>
      <c r="L4469" s="13" t="n">
        <v>11</v>
      </c>
      <c r="M4469" s="1">
        <f>IF(L4469="","ไม่พบใน SG",IF(ABS(J4469-L4469)&lt;0.005,"ตรงกัน","ไม่ตรง"))</f>
        <v/>
      </c>
      <c r="N4469" s="14">
        <f>IF(L4469="","",ROUND(L4469*'สรุป'!$C$6,-1))</f>
        <v/>
      </c>
      <c r="O4469" s="15" t="n"/>
      <c r="P4469" s="15" t="n"/>
      <c r="Q4469" s="10" t="n"/>
      <c r="R4469" s="10" t="n"/>
      <c r="S4469" s="16" t="inlineStr">
        <is>
          <t>https://mstgolf.co.th/products/gf3500100123</t>
        </is>
      </c>
      <c r="T4469" s="1">
        <f>IF(B4469="ไม้กอล์ฟ",J4469,"")</f>
        <v/>
      </c>
    </row>
    <row r="4470">
      <c r="A4470" s="1" t="n">
        <v>3</v>
      </c>
      <c r="B4470" s="1" t="inlineStr">
        <is>
          <t>อุปกรณ์เสริม</t>
        </is>
      </c>
      <c r="C4470" s="1" t="inlineStr">
        <is>
          <t>gf3500100088</t>
        </is>
      </c>
      <c r="D4470" s="1" t="inlineStr">
        <is>
          <t>TABATA Lift Tee Soft Long</t>
        </is>
      </c>
      <c r="E4470" s="1" t="inlineStr">
        <is>
          <t>TABATA</t>
        </is>
      </c>
      <c r="F4470" s="1" t="inlineStr">
        <is>
          <t>TEES</t>
        </is>
      </c>
      <c r="G4470" s="1" t="inlineStr">
        <is>
          <t>GF3500100088</t>
        </is>
      </c>
      <c r="H4470" s="1" t="n">
        <v>1</v>
      </c>
      <c r="I4470" s="1" t="inlineStr">
        <is>
          <t>มี</t>
        </is>
      </c>
      <c r="J4470" s="13" t="n">
        <v>11</v>
      </c>
      <c r="K4470" s="1" t="inlineStr"/>
      <c r="L4470" s="13" t="n">
        <v>11</v>
      </c>
      <c r="M4470" s="1">
        <f>IF(L4470="","ไม่พบใน SG",IF(ABS(J4470-L4470)&lt;0.005,"ตรงกัน","ไม่ตรง"))</f>
        <v/>
      </c>
      <c r="N4470" s="14">
        <f>IF(L4470="","",ROUND(L4470*'สรุป'!$C$6,-1))</f>
        <v/>
      </c>
      <c r="O4470" s="15" t="n"/>
      <c r="P4470" s="15" t="n"/>
      <c r="Q4470" s="10" t="n"/>
      <c r="R4470" s="10" t="n"/>
      <c r="S4470" s="16" t="inlineStr">
        <is>
          <t>https://mstgolf.co.th/products/gf3500100088</t>
        </is>
      </c>
      <c r="T4470" s="1">
        <f>IF(B4470="ไม้กอล์ฟ",J4470,"")</f>
        <v/>
      </c>
    </row>
    <row r="4471">
      <c r="A4471" s="1" t="n">
        <v>3</v>
      </c>
      <c r="B4471" s="1" t="inlineStr">
        <is>
          <t>อุปกรณ์เสริม</t>
        </is>
      </c>
      <c r="C4471" s="1" t="inlineStr">
        <is>
          <t>gf3500100087</t>
        </is>
      </c>
      <c r="D4471" s="1" t="inlineStr">
        <is>
          <t>TABATA Lift Tee Soft Regular</t>
        </is>
      </c>
      <c r="E4471" s="1" t="inlineStr">
        <is>
          <t>TABATA</t>
        </is>
      </c>
      <c r="F4471" s="1" t="inlineStr">
        <is>
          <t>TEES</t>
        </is>
      </c>
      <c r="G4471" s="1" t="inlineStr">
        <is>
          <t>GF3500100087</t>
        </is>
      </c>
      <c r="H4471" s="1" t="n">
        <v>1</v>
      </c>
      <c r="I4471" s="1" t="inlineStr">
        <is>
          <t>มี</t>
        </is>
      </c>
      <c r="J4471" s="13" t="n">
        <v>11</v>
      </c>
      <c r="K4471" s="1" t="inlineStr"/>
      <c r="L4471" s="13" t="n">
        <v>11</v>
      </c>
      <c r="M4471" s="1">
        <f>IF(L4471="","ไม่พบใน SG",IF(ABS(J4471-L4471)&lt;0.005,"ตรงกัน","ไม่ตรง"))</f>
        <v/>
      </c>
      <c r="N4471" s="14">
        <f>IF(L4471="","",ROUND(L4471*'สรุป'!$C$6,-1))</f>
        <v/>
      </c>
      <c r="O4471" s="15" t="n"/>
      <c r="P4471" s="15" t="n"/>
      <c r="Q4471" s="10" t="n"/>
      <c r="R4471" s="10" t="n"/>
      <c r="S4471" s="16" t="inlineStr">
        <is>
          <t>https://mstgolf.co.th/products/gf3500100087</t>
        </is>
      </c>
      <c r="T4471" s="1">
        <f>IF(B4471="ไม้กอล์ฟ",J4471,"")</f>
        <v/>
      </c>
    </row>
    <row r="4472">
      <c r="A4472" s="1" t="n">
        <v>3</v>
      </c>
      <c r="B4472" s="1" t="inlineStr">
        <is>
          <t>อุปกรณ์เสริม</t>
        </is>
      </c>
      <c r="C4472" s="1" t="inlineStr">
        <is>
          <t>gf3500100392</t>
        </is>
      </c>
      <c r="D4472" s="1" t="inlineStr">
        <is>
          <t>TABATA Lift Tee Spiral 42-48mm</t>
        </is>
      </c>
      <c r="E4472" s="1" t="inlineStr">
        <is>
          <t>TABATA</t>
        </is>
      </c>
      <c r="F4472" s="1" t="inlineStr">
        <is>
          <t>TEES</t>
        </is>
      </c>
      <c r="G4472" s="1" t="inlineStr">
        <is>
          <t>GF3500100392</t>
        </is>
      </c>
      <c r="H4472" s="1" t="n">
        <v>1</v>
      </c>
      <c r="I4472" s="1" t="inlineStr">
        <is>
          <t>มี</t>
        </is>
      </c>
      <c r="J4472" s="13" t="n">
        <v>11</v>
      </c>
      <c r="K4472" s="1" t="inlineStr"/>
      <c r="L4472" s="13" t="n">
        <v>11</v>
      </c>
      <c r="M4472" s="1">
        <f>IF(L4472="","ไม่พบใน SG",IF(ABS(J4472-L4472)&lt;0.005,"ตรงกัน","ไม่ตรง"))</f>
        <v/>
      </c>
      <c r="N4472" s="14">
        <f>IF(L4472="","",ROUND(L4472*'สรุป'!$C$6,-1))</f>
        <v/>
      </c>
      <c r="O4472" s="15" t="n"/>
      <c r="P4472" s="15" t="n"/>
      <c r="Q4472" s="10" t="n"/>
      <c r="R4472" s="10" t="n"/>
      <c r="S4472" s="16" t="inlineStr">
        <is>
          <t>https://mstgolf.co.th/products/gf3500100392</t>
        </is>
      </c>
      <c r="T4472" s="1">
        <f>IF(B4472="ไม้กอล์ฟ",J4472,"")</f>
        <v/>
      </c>
    </row>
    <row r="4473">
      <c r="A4473" s="1" t="n">
        <v>3</v>
      </c>
      <c r="B4473" s="1" t="inlineStr">
        <is>
          <t>อุปกรณ์เสริม</t>
        </is>
      </c>
      <c r="C4473" s="1" t="inlineStr">
        <is>
          <t>gf3500100456</t>
        </is>
      </c>
      <c r="D4473" s="1" t="inlineStr">
        <is>
          <t>TOUR TEE Combo White Spine Tee 45/80mm - 5 Pieces</t>
        </is>
      </c>
      <c r="E4473" s="1" t="inlineStr">
        <is>
          <t>TOUR TEE</t>
        </is>
      </c>
      <c r="F4473" s="1" t="inlineStr">
        <is>
          <t>TEES</t>
        </is>
      </c>
      <c r="G4473" s="1" t="inlineStr">
        <is>
          <t>GF3500100456</t>
        </is>
      </c>
      <c r="H4473" s="1" t="n">
        <v>1</v>
      </c>
      <c r="I4473" s="1" t="inlineStr">
        <is>
          <t>มี</t>
        </is>
      </c>
      <c r="J4473" s="13" t="n">
        <v>11</v>
      </c>
      <c r="K4473" s="1" t="inlineStr"/>
      <c r="L4473" s="13" t="n">
        <v>11</v>
      </c>
      <c r="M4473" s="1">
        <f>IF(L4473="","ไม่พบใน SG",IF(ABS(J4473-L4473)&lt;0.005,"ตรงกัน","ไม่ตรง"))</f>
        <v/>
      </c>
      <c r="N4473" s="14">
        <f>IF(L4473="","",ROUND(L4473*'สรุป'!$C$6,-1))</f>
        <v/>
      </c>
      <c r="O4473" s="15" t="n"/>
      <c r="P4473" s="15" t="n"/>
      <c r="Q4473" s="10" t="n"/>
      <c r="R4473" s="10" t="n"/>
      <c r="S4473" s="16" t="inlineStr">
        <is>
          <t>https://mstgolf.co.th/products/gf3500100456</t>
        </is>
      </c>
      <c r="T4473" s="1">
        <f>IF(B4473="ไม้กอล์ฟ",J4473,"")</f>
        <v/>
      </c>
    </row>
    <row r="4474">
      <c r="A4474" s="1" t="n">
        <v>3</v>
      </c>
      <c r="B4474" s="1" t="inlineStr">
        <is>
          <t>อุปกรณ์เสริม</t>
        </is>
      </c>
      <c r="C4474" s="1" t="inlineStr">
        <is>
          <t>gf3500100384</t>
        </is>
      </c>
      <c r="D4474" s="1" t="inlineStr">
        <is>
          <t>GENERAL ITEM Advantage ABS 1 1/2" (39mm) Tees</t>
        </is>
      </c>
      <c r="E4474" s="1" t="inlineStr">
        <is>
          <t>GENERAL ITEM</t>
        </is>
      </c>
      <c r="F4474" s="1" t="inlineStr">
        <is>
          <t>TEES</t>
        </is>
      </c>
      <c r="G4474" s="1" t="inlineStr">
        <is>
          <t>GF3500100384</t>
        </is>
      </c>
      <c r="H4474" s="1" t="n">
        <v>1</v>
      </c>
      <c r="I4474" s="1" t="inlineStr">
        <is>
          <t>มี</t>
        </is>
      </c>
      <c r="J4474" s="13" t="n">
        <v>10</v>
      </c>
      <c r="K4474" s="1" t="inlineStr"/>
      <c r="L4474" s="13" t="n">
        <v>10</v>
      </c>
      <c r="M4474" s="1">
        <f>IF(L4474="","ไม่พบใน SG",IF(ABS(J4474-L4474)&lt;0.005,"ตรงกัน","ไม่ตรง"))</f>
        <v/>
      </c>
      <c r="N4474" s="14">
        <f>IF(L4474="","",ROUND(L4474*'สรุป'!$C$6,-1))</f>
        <v/>
      </c>
      <c r="O4474" s="15" t="n"/>
      <c r="P4474" s="15" t="n"/>
      <c r="Q4474" s="10" t="n"/>
      <c r="R4474" s="10" t="n"/>
      <c r="S4474" s="16" t="inlineStr">
        <is>
          <t>https://mstgolf.co.th/products/gf3500100384</t>
        </is>
      </c>
      <c r="T4474" s="1">
        <f>IF(B4474="ไม้กอล์ฟ",J4474,"")</f>
        <v/>
      </c>
    </row>
    <row r="4475">
      <c r="A4475" s="1" t="n">
        <v>3</v>
      </c>
      <c r="B4475" s="1" t="inlineStr">
        <is>
          <t>อุปกรณ์เสริม</t>
        </is>
      </c>
      <c r="C4475" s="1" t="inlineStr">
        <is>
          <t>gf3500100383</t>
        </is>
      </c>
      <c r="D4475" s="1" t="inlineStr">
        <is>
          <t>GENERAL ITEM Advantage ABS 3 1/4" Golf Tees 83mm</t>
        </is>
      </c>
      <c r="E4475" s="1" t="inlineStr">
        <is>
          <t>GENERAL ITEM</t>
        </is>
      </c>
      <c r="F4475" s="1" t="inlineStr">
        <is>
          <t>TEES</t>
        </is>
      </c>
      <c r="G4475" s="1" t="inlineStr">
        <is>
          <t>GF3500100383</t>
        </is>
      </c>
      <c r="H4475" s="1" t="n">
        <v>1</v>
      </c>
      <c r="I4475" s="1" t="inlineStr">
        <is>
          <t>มี</t>
        </is>
      </c>
      <c r="J4475" s="13" t="n">
        <v>10</v>
      </c>
      <c r="K4475" s="1" t="inlineStr"/>
      <c r="L4475" s="13" t="n">
        <v>10</v>
      </c>
      <c r="M4475" s="1">
        <f>IF(L4475="","ไม่พบใน SG",IF(ABS(J4475-L4475)&lt;0.005,"ตรงกัน","ไม่ตรง"))</f>
        <v/>
      </c>
      <c r="N4475" s="14">
        <f>IF(L4475="","",ROUND(L4475*'สรุป'!$C$6,-1))</f>
        <v/>
      </c>
      <c r="O4475" s="15" t="n"/>
      <c r="P4475" s="15" t="n"/>
      <c r="Q4475" s="10" t="n"/>
      <c r="R4475" s="10" t="n"/>
      <c r="S4475" s="16" t="inlineStr">
        <is>
          <t>https://mstgolf.co.th/products/gf3500100383</t>
        </is>
      </c>
      <c r="T4475" s="1">
        <f>IF(B4475="ไม้กอล์ฟ",J4475,"")</f>
        <v/>
      </c>
    </row>
    <row r="4476">
      <c r="A4476" s="1" t="n">
        <v>3</v>
      </c>
      <c r="B4476" s="1" t="inlineStr">
        <is>
          <t>อุปกรณ์เสริม</t>
        </is>
      </c>
      <c r="C4476" s="1" t="inlineStr">
        <is>
          <t>gf3500100452</t>
        </is>
      </c>
      <c r="D4476" s="1" t="inlineStr">
        <is>
          <t>GENERAL ITEM Advantage ABS Tee 96mm - 30 Pieces</t>
        </is>
      </c>
      <c r="E4476" s="1" t="inlineStr">
        <is>
          <t>GENERAL ITEM</t>
        </is>
      </c>
      <c r="F4476" s="1" t="inlineStr">
        <is>
          <t>TEES</t>
        </is>
      </c>
      <c r="G4476" s="1" t="inlineStr">
        <is>
          <t>GF3500100452</t>
        </is>
      </c>
      <c r="H4476" s="1" t="n">
        <v>1</v>
      </c>
      <c r="I4476" s="1" t="inlineStr">
        <is>
          <t>มี</t>
        </is>
      </c>
      <c r="J4476" s="13" t="n">
        <v>10</v>
      </c>
      <c r="K4476" s="1" t="inlineStr"/>
      <c r="L4476" s="13" t="n">
        <v>10</v>
      </c>
      <c r="M4476" s="1">
        <f>IF(L4476="","ไม่พบใน SG",IF(ABS(J4476-L4476)&lt;0.005,"ตรงกัน","ไม่ตรง"))</f>
        <v/>
      </c>
      <c r="N4476" s="14">
        <f>IF(L4476="","",ROUND(L4476*'สรุป'!$C$6,-1))</f>
        <v/>
      </c>
      <c r="O4476" s="15" t="n"/>
      <c r="P4476" s="15" t="n"/>
      <c r="Q4476" s="10" t="n"/>
      <c r="R4476" s="10" t="n"/>
      <c r="S4476" s="16" t="inlineStr">
        <is>
          <t>https://mstgolf.co.th/products/gf3500100452</t>
        </is>
      </c>
      <c r="T4476" s="1">
        <f>IF(B4476="ไม้กอล์ฟ",J4476,"")</f>
        <v/>
      </c>
    </row>
    <row r="4477">
      <c r="A4477" s="1" t="n">
        <v>3</v>
      </c>
      <c r="B4477" s="1" t="inlineStr">
        <is>
          <t>อุปกรณ์เสริม</t>
        </is>
      </c>
      <c r="C4477" s="1" t="inlineStr">
        <is>
          <t>gf3500100119</t>
        </is>
      </c>
      <c r="D4477" s="1" t="inlineStr">
        <is>
          <t>TABATA Rubber Tee</t>
        </is>
      </c>
      <c r="E4477" s="1" t="inlineStr">
        <is>
          <t>TABATA</t>
        </is>
      </c>
      <c r="F4477" s="1" t="inlineStr">
        <is>
          <t>TEES</t>
        </is>
      </c>
      <c r="G4477" s="1" t="inlineStr">
        <is>
          <t>GF3500100119</t>
        </is>
      </c>
      <c r="H4477" s="1" t="n">
        <v>1</v>
      </c>
      <c r="I4477" s="1" t="inlineStr">
        <is>
          <t>มี</t>
        </is>
      </c>
      <c r="J4477" s="13" t="n">
        <v>10</v>
      </c>
      <c r="K4477" s="1" t="inlineStr"/>
      <c r="L4477" s="13" t="n">
        <v>10</v>
      </c>
      <c r="M4477" s="1">
        <f>IF(L4477="","ไม่พบใน SG",IF(ABS(J4477-L4477)&lt;0.005,"ตรงกัน","ไม่ตรง"))</f>
        <v/>
      </c>
      <c r="N4477" s="14">
        <f>IF(L4477="","",ROUND(L4477*'สรุป'!$C$6,-1))</f>
        <v/>
      </c>
      <c r="O4477" s="15" t="n"/>
      <c r="P4477" s="15" t="n"/>
      <c r="Q4477" s="10" t="n"/>
      <c r="R4477" s="10" t="n"/>
      <c r="S4477" s="16" t="inlineStr">
        <is>
          <t>https://mstgolf.co.th/products/gf3500100119</t>
        </is>
      </c>
      <c r="T4477" s="1">
        <f>IF(B4477="ไม้กอล์ฟ",J4477,"")</f>
        <v/>
      </c>
    </row>
    <row r="4478">
      <c r="A4478" s="1" t="n">
        <v>3</v>
      </c>
      <c r="B4478" s="1" t="inlineStr">
        <is>
          <t>อุปกรณ์เสริม</t>
        </is>
      </c>
      <c r="C4478" s="1" t="inlineStr">
        <is>
          <t>gf3500100116</t>
        </is>
      </c>
      <c r="D4478" s="1" t="inlineStr">
        <is>
          <t>TABATA Rubber Tee</t>
        </is>
      </c>
      <c r="E4478" s="1" t="inlineStr">
        <is>
          <t>TABATA</t>
        </is>
      </c>
      <c r="F4478" s="1" t="inlineStr">
        <is>
          <t>TEES</t>
        </is>
      </c>
      <c r="G4478" s="1" t="inlineStr">
        <is>
          <t>GF3500100116</t>
        </is>
      </c>
      <c r="H4478" s="1" t="n">
        <v>1</v>
      </c>
      <c r="I4478" s="1" t="inlineStr">
        <is>
          <t>มี</t>
        </is>
      </c>
      <c r="J4478" s="13" t="n">
        <v>10</v>
      </c>
      <c r="K4478" s="1" t="inlineStr"/>
      <c r="L4478" s="13" t="n">
        <v>10</v>
      </c>
      <c r="M4478" s="1">
        <f>IF(L4478="","ไม่พบใน SG",IF(ABS(J4478-L4478)&lt;0.005,"ตรงกัน","ไม่ตรง"))</f>
        <v/>
      </c>
      <c r="N4478" s="14">
        <f>IF(L4478="","",ROUND(L4478*'สรุป'!$C$6,-1))</f>
        <v/>
      </c>
      <c r="O4478" s="15" t="n"/>
      <c r="P4478" s="15" t="n"/>
      <c r="Q4478" s="10" t="n"/>
      <c r="R4478" s="10" t="n"/>
      <c r="S4478" s="16" t="inlineStr">
        <is>
          <t>https://mstgolf.co.th/products/gf3500100116</t>
        </is>
      </c>
      <c r="T4478" s="1">
        <f>IF(B4478="ไม้กอล์ฟ",J4478,"")</f>
        <v/>
      </c>
    </row>
    <row r="4479">
      <c r="A4479" s="1" t="n">
        <v>3</v>
      </c>
      <c r="B4479" s="1" t="inlineStr">
        <is>
          <t>อุปกรณ์เสริม</t>
        </is>
      </c>
      <c r="C4479" s="1" t="inlineStr">
        <is>
          <t>gf2100100035</t>
        </is>
      </c>
      <c r="D4479" s="1" t="inlineStr">
        <is>
          <t>BELL &amp; PAGE S24 Cooling Towel (Dark Blue)</t>
        </is>
      </c>
      <c r="E4479" s="1" t="inlineStr">
        <is>
          <t>BELL &amp; PAGE</t>
        </is>
      </c>
      <c r="F4479" s="1" t="inlineStr">
        <is>
          <t>FACE TOWEL</t>
        </is>
      </c>
      <c r="G4479" s="1" t="inlineStr">
        <is>
          <t>GF2100100035</t>
        </is>
      </c>
      <c r="H4479" s="1" t="n">
        <v>1</v>
      </c>
      <c r="I4479" s="1" t="inlineStr">
        <is>
          <t>มี</t>
        </is>
      </c>
      <c r="J4479" s="13" t="n">
        <v>9</v>
      </c>
      <c r="K4479" s="1" t="inlineStr"/>
      <c r="L4479" s="13" t="n">
        <v>9</v>
      </c>
      <c r="M4479" s="1">
        <f>IF(L4479="","ไม่พบใน SG",IF(ABS(J4479-L4479)&lt;0.005,"ตรงกัน","ไม่ตรง"))</f>
        <v/>
      </c>
      <c r="N4479" s="14">
        <f>IF(L4479="","",ROUND(L4479*'สรุป'!$C$6,-1))</f>
        <v/>
      </c>
      <c r="O4479" s="15" t="n"/>
      <c r="P4479" s="15" t="n"/>
      <c r="Q4479" s="10" t="n"/>
      <c r="R4479" s="10" t="n"/>
      <c r="S4479" s="16" t="inlineStr">
        <is>
          <t>https://mstgolf.co.th/products/gf2100100035</t>
        </is>
      </c>
      <c r="T4479" s="1">
        <f>IF(B4479="ไม้กอล์ฟ",J4479,"")</f>
        <v/>
      </c>
    </row>
    <row r="4480">
      <c r="A4480" s="1" t="n">
        <v>3</v>
      </c>
      <c r="B4480" s="1" t="inlineStr">
        <is>
          <t>อุปกรณ์เสริม</t>
        </is>
      </c>
      <c r="C4480" s="1" t="inlineStr">
        <is>
          <t>gf2100100037</t>
        </is>
      </c>
      <c r="D4480" s="1" t="inlineStr">
        <is>
          <t>BELL &amp; PAGE S24 Cooling Towel (Grey)</t>
        </is>
      </c>
      <c r="E4480" s="1" t="inlineStr">
        <is>
          <t>BELL &amp; PAGE</t>
        </is>
      </c>
      <c r="F4480" s="1" t="inlineStr">
        <is>
          <t>FACE TOWEL</t>
        </is>
      </c>
      <c r="G4480" s="1" t="inlineStr">
        <is>
          <t>GF2100100037</t>
        </is>
      </c>
      <c r="H4480" s="1" t="n">
        <v>1</v>
      </c>
      <c r="I4480" s="1" t="inlineStr">
        <is>
          <t>มี</t>
        </is>
      </c>
      <c r="J4480" s="13" t="n">
        <v>9</v>
      </c>
      <c r="K4480" s="1" t="inlineStr"/>
      <c r="L4480" s="13" t="n">
        <v>9</v>
      </c>
      <c r="M4480" s="1">
        <f>IF(L4480="","ไม่พบใน SG",IF(ABS(J4480-L4480)&lt;0.005,"ตรงกัน","ไม่ตรง"))</f>
        <v/>
      </c>
      <c r="N4480" s="14">
        <f>IF(L4480="","",ROUND(L4480*'สรุป'!$C$6,-1))</f>
        <v/>
      </c>
      <c r="O4480" s="15" t="n"/>
      <c r="P4480" s="15" t="n"/>
      <c r="Q4480" s="10" t="n"/>
      <c r="R4480" s="10" t="n"/>
      <c r="S4480" s="16" t="inlineStr">
        <is>
          <t>https://mstgolf.co.th/products/gf2100100037</t>
        </is>
      </c>
      <c r="T4480" s="1">
        <f>IF(B4480="ไม้กอล์ฟ",J4480,"")</f>
        <v/>
      </c>
    </row>
    <row r="4481">
      <c r="A4481" s="1" t="n">
        <v>3</v>
      </c>
      <c r="B4481" s="1" t="inlineStr">
        <is>
          <t>อุปกรณ์เสริม</t>
        </is>
      </c>
      <c r="C4481" s="1" t="inlineStr">
        <is>
          <t>gf2100100038</t>
        </is>
      </c>
      <c r="D4481" s="1" t="inlineStr">
        <is>
          <t>BELL &amp; PAGE S24 Cooling Towel (Light Blue)</t>
        </is>
      </c>
      <c r="E4481" s="1" t="inlineStr">
        <is>
          <t>BELL &amp; PAGE</t>
        </is>
      </c>
      <c r="F4481" s="1" t="inlineStr">
        <is>
          <t>FACE TOWEL</t>
        </is>
      </c>
      <c r="G4481" s="1" t="inlineStr">
        <is>
          <t>GF2100100038</t>
        </is>
      </c>
      <c r="H4481" s="1" t="n">
        <v>1</v>
      </c>
      <c r="I4481" s="1" t="inlineStr">
        <is>
          <t>มี</t>
        </is>
      </c>
      <c r="J4481" s="13" t="n">
        <v>9</v>
      </c>
      <c r="K4481" s="1" t="inlineStr"/>
      <c r="L4481" s="13" t="n">
        <v>9</v>
      </c>
      <c r="M4481" s="1">
        <f>IF(L4481="","ไม่พบใน SG",IF(ABS(J4481-L4481)&lt;0.005,"ตรงกัน","ไม่ตรง"))</f>
        <v/>
      </c>
      <c r="N4481" s="14">
        <f>IF(L4481="","",ROUND(L4481*'สรุป'!$C$6,-1))</f>
        <v/>
      </c>
      <c r="O4481" s="15" t="n"/>
      <c r="P4481" s="15" t="n"/>
      <c r="Q4481" s="10" t="n"/>
      <c r="R4481" s="10" t="n"/>
      <c r="S4481" s="16" t="inlineStr">
        <is>
          <t>https://mstgolf.co.th/products/gf2100100038</t>
        </is>
      </c>
      <c r="T4481" s="1">
        <f>IF(B4481="ไม้กอล์ฟ",J4481,"")</f>
        <v/>
      </c>
    </row>
    <row r="4482">
      <c r="A4482" s="1" t="n">
        <v>3</v>
      </c>
      <c r="B4482" s="1" t="inlineStr">
        <is>
          <t>อุปกรณ์เสริม</t>
        </is>
      </c>
      <c r="C4482" s="1" t="inlineStr">
        <is>
          <t>gf3500300004</t>
        </is>
      </c>
      <c r="D4482" s="1" t="inlineStr">
        <is>
          <t>CHAMP Dual Brush</t>
        </is>
      </c>
      <c r="E4482" s="1" t="inlineStr">
        <is>
          <t>CHAMP</t>
        </is>
      </c>
      <c r="F4482" s="1" t="inlineStr">
        <is>
          <t>GOLF ACCESSORIES</t>
        </is>
      </c>
      <c r="G4482" s="1" t="inlineStr">
        <is>
          <t>GF3500300004</t>
        </is>
      </c>
      <c r="H4482" s="1" t="n">
        <v>1</v>
      </c>
      <c r="I4482" s="1" t="inlineStr">
        <is>
          <t>มี</t>
        </is>
      </c>
      <c r="J4482" s="13" t="n">
        <v>9</v>
      </c>
      <c r="K4482" s="1" t="inlineStr"/>
      <c r="L4482" s="13" t="n">
        <v>9</v>
      </c>
      <c r="M4482" s="1">
        <f>IF(L4482="","ไม่พบใน SG",IF(ABS(J4482-L4482)&lt;0.005,"ตรงกัน","ไม่ตรง"))</f>
        <v/>
      </c>
      <c r="N4482" s="14">
        <f>IF(L4482="","",ROUND(L4482*'สรุป'!$C$6,-1))</f>
        <v/>
      </c>
      <c r="O4482" s="15" t="n"/>
      <c r="P4482" s="15" t="n"/>
      <c r="Q4482" s="10" t="n"/>
      <c r="R4482" s="10" t="n"/>
      <c r="S4482" s="16" t="inlineStr">
        <is>
          <t>https://mstgolf.co.th/products/gf3500300004</t>
        </is>
      </c>
      <c r="T4482" s="1">
        <f>IF(B4482="ไม้กอล์ฟ",J4482,"")</f>
        <v/>
      </c>
    </row>
    <row r="4483">
      <c r="A4483" s="1" t="n">
        <v>3</v>
      </c>
      <c r="B4483" s="1" t="inlineStr">
        <is>
          <t>อุปกรณ์เสริม</t>
        </is>
      </c>
      <c r="C4483" s="1" t="inlineStr">
        <is>
          <t>gf3500300052</t>
        </is>
      </c>
      <c r="D4483" s="1" t="inlineStr">
        <is>
          <t>TABATA 5g Weight Balance</t>
        </is>
      </c>
      <c r="E4483" s="1" t="inlineStr">
        <is>
          <t>TABATA</t>
        </is>
      </c>
      <c r="F4483" s="1" t="inlineStr">
        <is>
          <t>GOLF ACCESSORIES</t>
        </is>
      </c>
      <c r="G4483" s="1" t="inlineStr">
        <is>
          <t>GF3500300052</t>
        </is>
      </c>
      <c r="H4483" s="1" t="n">
        <v>1</v>
      </c>
      <c r="I4483" s="1" t="inlineStr">
        <is>
          <t>มี</t>
        </is>
      </c>
      <c r="J4483" s="13" t="n">
        <v>9</v>
      </c>
      <c r="K4483" s="1" t="inlineStr"/>
      <c r="L4483" s="13" t="n">
        <v>9</v>
      </c>
      <c r="M4483" s="1">
        <f>IF(L4483="","ไม่พบใน SG",IF(ABS(J4483-L4483)&lt;0.005,"ตรงกัน","ไม่ตรง"))</f>
        <v/>
      </c>
      <c r="N4483" s="14">
        <f>IF(L4483="","",ROUND(L4483*'สรุป'!$C$6,-1))</f>
        <v/>
      </c>
      <c r="O4483" s="15" t="n"/>
      <c r="P4483" s="15" t="n"/>
      <c r="Q4483" s="10" t="n"/>
      <c r="R4483" s="10" t="n"/>
      <c r="S4483" s="16" t="inlineStr">
        <is>
          <t>https://mstgolf.co.th/products/gf3500300052</t>
        </is>
      </c>
      <c r="T4483" s="1">
        <f>IF(B4483="ไม้กอล์ฟ",J4483,"")</f>
        <v/>
      </c>
    </row>
    <row r="4484">
      <c r="A4484" s="1" t="n">
        <v>3</v>
      </c>
      <c r="B4484" s="1" t="inlineStr">
        <is>
          <t>อุปกรณ์เสริม</t>
        </is>
      </c>
      <c r="C4484" s="1" t="inlineStr">
        <is>
          <t>gf3500100317</t>
        </is>
      </c>
      <c r="D4484" s="1" t="inlineStr">
        <is>
          <t>TABATA Lift Tee 34mm</t>
        </is>
      </c>
      <c r="E4484" s="1" t="inlineStr">
        <is>
          <t>TABATA</t>
        </is>
      </c>
      <c r="F4484" s="1" t="inlineStr">
        <is>
          <t>TEES</t>
        </is>
      </c>
      <c r="G4484" s="1" t="inlineStr">
        <is>
          <t>GF3500100317</t>
        </is>
      </c>
      <c r="H4484" s="1" t="n">
        <v>1</v>
      </c>
      <c r="I4484" s="1" t="inlineStr">
        <is>
          <t>มี</t>
        </is>
      </c>
      <c r="J4484" s="13" t="n">
        <v>9</v>
      </c>
      <c r="K4484" s="1" t="inlineStr"/>
      <c r="L4484" s="13" t="n">
        <v>9</v>
      </c>
      <c r="M4484" s="1">
        <f>IF(L4484="","ไม่พบใน SG",IF(ABS(J4484-L4484)&lt;0.005,"ตรงกัน","ไม่ตรง"))</f>
        <v/>
      </c>
      <c r="N4484" s="14">
        <f>IF(L4484="","",ROUND(L4484*'สรุป'!$C$6,-1))</f>
        <v/>
      </c>
      <c r="O4484" s="15" t="n"/>
      <c r="P4484" s="15" t="n"/>
      <c r="Q4484" s="10" t="n"/>
      <c r="R4484" s="10" t="n"/>
      <c r="S4484" s="16" t="inlineStr">
        <is>
          <t>https://mstgolf.co.th/products/gf3500100317</t>
        </is>
      </c>
      <c r="T4484" s="1">
        <f>IF(B4484="ไม้กอล์ฟ",J4484,"")</f>
        <v/>
      </c>
    </row>
    <row r="4485">
      <c r="A4485" s="1" t="n">
        <v>3</v>
      </c>
      <c r="B4485" s="1" t="inlineStr">
        <is>
          <t>อุปกรณ์เสริม</t>
        </is>
      </c>
      <c r="C4485" s="1" t="inlineStr">
        <is>
          <t>gf3500100318</t>
        </is>
      </c>
      <c r="D4485" s="1" t="inlineStr">
        <is>
          <t>TABATA Lift Tee 48mm</t>
        </is>
      </c>
      <c r="E4485" s="1" t="inlineStr">
        <is>
          <t>TABATA</t>
        </is>
      </c>
      <c r="F4485" s="1" t="inlineStr">
        <is>
          <t>TEES</t>
        </is>
      </c>
      <c r="G4485" s="1" t="inlineStr">
        <is>
          <t>GF3500100318</t>
        </is>
      </c>
      <c r="H4485" s="1" t="n">
        <v>1</v>
      </c>
      <c r="I4485" s="1" t="inlineStr">
        <is>
          <t>มี</t>
        </is>
      </c>
      <c r="J4485" s="13" t="n">
        <v>9</v>
      </c>
      <c r="K4485" s="1" t="inlineStr"/>
      <c r="L4485" s="13" t="n">
        <v>9</v>
      </c>
      <c r="M4485" s="1">
        <f>IF(L4485="","ไม่พบใน SG",IF(ABS(J4485-L4485)&lt;0.005,"ตรงกัน","ไม่ตรง"))</f>
        <v/>
      </c>
      <c r="N4485" s="14">
        <f>IF(L4485="","",ROUND(L4485*'สรุป'!$C$6,-1))</f>
        <v/>
      </c>
      <c r="O4485" s="15" t="n"/>
      <c r="P4485" s="15" t="n"/>
      <c r="Q4485" s="10" t="n"/>
      <c r="R4485" s="10" t="n"/>
      <c r="S4485" s="16" t="inlineStr">
        <is>
          <t>https://mstgolf.co.th/products/gf3500100318</t>
        </is>
      </c>
      <c r="T4485" s="1">
        <f>IF(B4485="ไม้กอล์ฟ",J4485,"")</f>
        <v/>
      </c>
    </row>
    <row r="4486">
      <c r="A4486" s="1" t="n">
        <v>3</v>
      </c>
      <c r="B4486" s="1" t="inlineStr">
        <is>
          <t>อุปกรณ์เสริม</t>
        </is>
      </c>
      <c r="C4486" s="1" t="inlineStr">
        <is>
          <t>gf3500100319</t>
        </is>
      </c>
      <c r="D4486" s="1" t="inlineStr">
        <is>
          <t>TABATA Lift Tee 63mm</t>
        </is>
      </c>
      <c r="E4486" s="1" t="inlineStr">
        <is>
          <t>TABATA</t>
        </is>
      </c>
      <c r="F4486" s="1" t="inlineStr">
        <is>
          <t>TEES</t>
        </is>
      </c>
      <c r="G4486" s="1" t="inlineStr">
        <is>
          <t>GF3500100319</t>
        </is>
      </c>
      <c r="H4486" s="1" t="n">
        <v>1</v>
      </c>
      <c r="I4486" s="1" t="inlineStr">
        <is>
          <t>มี</t>
        </is>
      </c>
      <c r="J4486" s="13" t="n">
        <v>9</v>
      </c>
      <c r="K4486" s="1" t="inlineStr"/>
      <c r="L4486" s="13" t="n">
        <v>9</v>
      </c>
      <c r="M4486" s="1">
        <f>IF(L4486="","ไม่พบใน SG",IF(ABS(J4486-L4486)&lt;0.005,"ตรงกัน","ไม่ตรง"))</f>
        <v/>
      </c>
      <c r="N4486" s="14">
        <f>IF(L4486="","",ROUND(L4486*'สรุป'!$C$6,-1))</f>
        <v/>
      </c>
      <c r="O4486" s="15" t="n"/>
      <c r="P4486" s="15" t="n"/>
      <c r="Q4486" s="10" t="n"/>
      <c r="R4486" s="10" t="n"/>
      <c r="S4486" s="16" t="inlineStr">
        <is>
          <t>https://mstgolf.co.th/products/gf3500100319</t>
        </is>
      </c>
      <c r="T4486" s="1">
        <f>IF(B4486="ไม้กอล์ฟ",J4486,"")</f>
        <v/>
      </c>
    </row>
    <row r="4487">
      <c r="A4487" s="1" t="n">
        <v>3</v>
      </c>
      <c r="B4487" s="1" t="inlineStr">
        <is>
          <t>อุปกรณ์เสริม</t>
        </is>
      </c>
      <c r="C4487" s="1" t="inlineStr">
        <is>
          <t>gf3500100084</t>
        </is>
      </c>
      <c r="D4487" s="1" t="inlineStr">
        <is>
          <t>TABATA Lift Tee 81mm With String</t>
        </is>
      </c>
      <c r="E4487" s="1" t="inlineStr">
        <is>
          <t>TABATA</t>
        </is>
      </c>
      <c r="F4487" s="1" t="inlineStr">
        <is>
          <t>TEES</t>
        </is>
      </c>
      <c r="G4487" s="1" t="inlineStr">
        <is>
          <t>GF3500100084</t>
        </is>
      </c>
      <c r="H4487" s="1" t="n">
        <v>1</v>
      </c>
      <c r="I4487" s="1" t="inlineStr">
        <is>
          <t>มี</t>
        </is>
      </c>
      <c r="J4487" s="13" t="n">
        <v>9</v>
      </c>
      <c r="K4487" s="1" t="inlineStr"/>
      <c r="L4487" s="13" t="n">
        <v>9</v>
      </c>
      <c r="M4487" s="1">
        <f>IF(L4487="","ไม่พบใน SG",IF(ABS(J4487-L4487)&lt;0.005,"ตรงกัน","ไม่ตรง"))</f>
        <v/>
      </c>
      <c r="N4487" s="14">
        <f>IF(L4487="","",ROUND(L4487*'สรุป'!$C$6,-1))</f>
        <v/>
      </c>
      <c r="O4487" s="15" t="n"/>
      <c r="P4487" s="15" t="n"/>
      <c r="Q4487" s="10" t="n"/>
      <c r="R4487" s="10" t="n"/>
      <c r="S4487" s="16" t="inlineStr">
        <is>
          <t>https://mstgolf.co.th/products/gf3500100084</t>
        </is>
      </c>
      <c r="T4487" s="1">
        <f>IF(B4487="ไม้กอล์ฟ",J4487,"")</f>
        <v/>
      </c>
    </row>
    <row r="4488">
      <c r="A4488" s="1" t="n">
        <v>3</v>
      </c>
      <c r="B4488" s="1" t="inlineStr">
        <is>
          <t>อุปกรณ์เสริม</t>
        </is>
      </c>
      <c r="C4488" s="1" t="inlineStr">
        <is>
          <t>gf3500300043</t>
        </is>
      </c>
      <c r="D4488" s="1" t="inlineStr">
        <is>
          <t>TABATA Warm Up Ring</t>
        </is>
      </c>
      <c r="E4488" s="1" t="inlineStr">
        <is>
          <t>TABATA</t>
        </is>
      </c>
      <c r="F4488" s="1" t="inlineStr">
        <is>
          <t>GOLF ACCESSORIES</t>
        </is>
      </c>
      <c r="G4488" s="1" t="inlineStr">
        <is>
          <t>GF3500300043</t>
        </is>
      </c>
      <c r="H4488" s="1" t="n">
        <v>1</v>
      </c>
      <c r="I4488" s="1" t="inlineStr">
        <is>
          <t>มี</t>
        </is>
      </c>
      <c r="J4488" s="13" t="n">
        <v>9</v>
      </c>
      <c r="K4488" s="1" t="inlineStr"/>
      <c r="L4488" s="13" t="n">
        <v>9</v>
      </c>
      <c r="M4488" s="1">
        <f>IF(L4488="","ไม่พบใน SG",IF(ABS(J4488-L4488)&lt;0.005,"ตรงกัน","ไม่ตรง"))</f>
        <v/>
      </c>
      <c r="N4488" s="14">
        <f>IF(L4488="","",ROUND(L4488*'สรุป'!$C$6,-1))</f>
        <v/>
      </c>
      <c r="O4488" s="15" t="n"/>
      <c r="P4488" s="15" t="n"/>
      <c r="Q4488" s="10" t="n"/>
      <c r="R4488" s="10" t="n"/>
      <c r="S4488" s="16" t="inlineStr">
        <is>
          <t>https://mstgolf.co.th/products/gf3500300043</t>
        </is>
      </c>
      <c r="T4488" s="1">
        <f>IF(B4488="ไม้กอล์ฟ",J4488,"")</f>
        <v/>
      </c>
    </row>
    <row r="4489">
      <c r="A4489" s="1" t="n">
        <v>3</v>
      </c>
      <c r="B4489" s="1" t="inlineStr">
        <is>
          <t>อุปกรณ์เสริม</t>
        </is>
      </c>
      <c r="C4489" s="1" t="inlineStr">
        <is>
          <t>gf2090300229</t>
        </is>
      </c>
      <c r="D4489" s="1" t="inlineStr">
        <is>
          <t>ADIDAS 3-Stripes Women's Crew Socks (White/Mint)</t>
        </is>
      </c>
      <c r="E4489" s="1" t="inlineStr">
        <is>
          <t>ADIDAS</t>
        </is>
      </c>
      <c r="F4489" s="1" t="inlineStr">
        <is>
          <t>CREW/QUARTER SOCKS</t>
        </is>
      </c>
      <c r="G4489" s="1" t="inlineStr">
        <is>
          <t>GF2090300229M</t>
        </is>
      </c>
      <c r="H4489" s="1" t="n">
        <v>2</v>
      </c>
      <c r="I4489" s="1" t="inlineStr">
        <is>
          <t>มี</t>
        </is>
      </c>
      <c r="J4489" s="13" t="n">
        <v>7</v>
      </c>
      <c r="K4489" s="1" t="inlineStr"/>
      <c r="L4489" s="13" t="n">
        <v>7</v>
      </c>
      <c r="M4489" s="1">
        <f>IF(L4489="","ไม่พบใน SG",IF(ABS(J4489-L4489)&lt;0.005,"ตรงกัน","ไม่ตรง"))</f>
        <v/>
      </c>
      <c r="N4489" s="14">
        <f>IF(L4489="","",ROUND(L4489*'สรุป'!$C$6,-1))</f>
        <v/>
      </c>
      <c r="O4489" s="15" t="n"/>
      <c r="P4489" s="15" t="n"/>
      <c r="Q4489" s="10" t="n"/>
      <c r="R4489" s="10" t="n"/>
      <c r="S4489" s="16" t="inlineStr">
        <is>
          <t>https://mstgolf.co.th/products/gf2090300229</t>
        </is>
      </c>
      <c r="T4489" s="1">
        <f>IF(B4489="ไม้กอล์ฟ",J4489,"")</f>
        <v/>
      </c>
    </row>
    <row r="4490">
      <c r="A4490" s="1" t="n">
        <v>3</v>
      </c>
      <c r="B4490" s="1" t="inlineStr">
        <is>
          <t>อุปกรณ์เสริม</t>
        </is>
      </c>
      <c r="C4490" s="1" t="inlineStr">
        <is>
          <t>gf3500300438</t>
        </is>
      </c>
      <c r="D4490" s="1" t="inlineStr">
        <is>
          <t>TABATA Competition Flag - 2Pcs</t>
        </is>
      </c>
      <c r="E4490" s="1" t="inlineStr">
        <is>
          <t>TABATA</t>
        </is>
      </c>
      <c r="F4490" s="1" t="inlineStr">
        <is>
          <t>GOLF ACCESSORIES</t>
        </is>
      </c>
      <c r="G4490" s="1" t="inlineStr">
        <is>
          <t>GF3500300438</t>
        </is>
      </c>
      <c r="H4490" s="1" t="n">
        <v>1</v>
      </c>
      <c r="I4490" s="1" t="inlineStr">
        <is>
          <t>มี</t>
        </is>
      </c>
      <c r="J4490" s="13" t="n">
        <v>7</v>
      </c>
      <c r="K4490" s="1" t="inlineStr"/>
      <c r="L4490" s="13" t="n">
        <v>7</v>
      </c>
      <c r="M4490" s="1">
        <f>IF(L4490="","ไม่พบใน SG",IF(ABS(J4490-L4490)&lt;0.005,"ตรงกัน","ไม่ตรง"))</f>
        <v/>
      </c>
      <c r="N4490" s="14">
        <f>IF(L4490="","",ROUND(L4490*'สรุป'!$C$6,-1))</f>
        <v/>
      </c>
      <c r="O4490" s="15" t="n"/>
      <c r="P4490" s="15" t="n"/>
      <c r="Q4490" s="10" t="n"/>
      <c r="R4490" s="10" t="n"/>
      <c r="S4490" s="16" t="inlineStr">
        <is>
          <t>https://mstgolf.co.th/products/gf3500300438</t>
        </is>
      </c>
      <c r="T4490" s="1">
        <f>IF(B4490="ไม้กอล์ฟ",J4490,"")</f>
        <v/>
      </c>
    </row>
    <row r="4491">
      <c r="A4491" s="1" t="n">
        <v>3</v>
      </c>
      <c r="B4491" s="1" t="inlineStr">
        <is>
          <t>อุปกรณ์เสริม</t>
        </is>
      </c>
      <c r="C4491" s="1" t="inlineStr">
        <is>
          <t>gf3500300037</t>
        </is>
      </c>
      <c r="D4491" s="1" t="inlineStr">
        <is>
          <t>TABATA Foam Ball</t>
        </is>
      </c>
      <c r="E4491" s="1" t="inlineStr">
        <is>
          <t>TABATA</t>
        </is>
      </c>
      <c r="F4491" s="1" t="inlineStr">
        <is>
          <t>GOLF ACCESSORIES</t>
        </is>
      </c>
      <c r="G4491" s="1" t="inlineStr">
        <is>
          <t>GF3500300037</t>
        </is>
      </c>
      <c r="H4491" s="1" t="n">
        <v>1</v>
      </c>
      <c r="I4491" s="1" t="inlineStr">
        <is>
          <t>มี</t>
        </is>
      </c>
      <c r="J4491" s="13" t="n">
        <v>7</v>
      </c>
      <c r="K4491" s="1" t="inlineStr"/>
      <c r="L4491" s="13" t="n">
        <v>7</v>
      </c>
      <c r="M4491" s="1">
        <f>IF(L4491="","ไม่พบใน SG",IF(ABS(J4491-L4491)&lt;0.005,"ตรงกัน","ไม่ตรง"))</f>
        <v/>
      </c>
      <c r="N4491" s="14">
        <f>IF(L4491="","",ROUND(L4491*'สรุป'!$C$6,-1))</f>
        <v/>
      </c>
      <c r="O4491" s="15" t="n"/>
      <c r="P4491" s="15" t="n"/>
      <c r="Q4491" s="10" t="n"/>
      <c r="R4491" s="10" t="n"/>
      <c r="S4491" s="16" t="inlineStr">
        <is>
          <t>https://mstgolf.co.th/products/gf3500300037</t>
        </is>
      </c>
      <c r="T4491" s="1">
        <f>IF(B4491="ไม้กอล์ฟ",J4491,"")</f>
        <v/>
      </c>
    </row>
    <row r="4492">
      <c r="A4492" s="1" t="n">
        <v>3</v>
      </c>
      <c r="B4492" s="1" t="inlineStr">
        <is>
          <t>อุปกรณ์เสริม</t>
        </is>
      </c>
      <c r="C4492" s="1" t="inlineStr">
        <is>
          <t>gf3500300038</t>
        </is>
      </c>
      <c r="D4492" s="1" t="inlineStr">
        <is>
          <t>TABATA Hollow Ball</t>
        </is>
      </c>
      <c r="E4492" s="1" t="inlineStr">
        <is>
          <t>TABATA</t>
        </is>
      </c>
      <c r="F4492" s="1" t="inlineStr">
        <is>
          <t>GOLF ACCESSORIES</t>
        </is>
      </c>
      <c r="G4492" s="1" t="inlineStr">
        <is>
          <t>GF3500300038</t>
        </is>
      </c>
      <c r="H4492" s="1" t="n">
        <v>1</v>
      </c>
      <c r="I4492" s="1" t="inlineStr">
        <is>
          <t>มี</t>
        </is>
      </c>
      <c r="J4492" s="13" t="n">
        <v>7</v>
      </c>
      <c r="K4492" s="1" t="inlineStr"/>
      <c r="L4492" s="13" t="n">
        <v>7</v>
      </c>
      <c r="M4492" s="1">
        <f>IF(L4492="","ไม่พบใน SG",IF(ABS(J4492-L4492)&lt;0.005,"ตรงกัน","ไม่ตรง"))</f>
        <v/>
      </c>
      <c r="N4492" s="14">
        <f>IF(L4492="","",ROUND(L4492*'สรุป'!$C$6,-1))</f>
        <v/>
      </c>
      <c r="O4492" s="15" t="n"/>
      <c r="P4492" s="15" t="n"/>
      <c r="Q4492" s="10" t="n"/>
      <c r="R4492" s="10" t="n"/>
      <c r="S4492" s="16" t="inlineStr">
        <is>
          <t>https://mstgolf.co.th/products/gf3500300038</t>
        </is>
      </c>
      <c r="T4492" s="1">
        <f>IF(B4492="ไม้กอล์ฟ",J4492,"")</f>
        <v/>
      </c>
    </row>
    <row r="4493">
      <c r="A4493" s="1" t="n">
        <v>3</v>
      </c>
      <c r="B4493" s="1" t="inlineStr">
        <is>
          <t>อุปกรณ์เสริม</t>
        </is>
      </c>
      <c r="C4493" s="1" t="inlineStr">
        <is>
          <t>gf3500100436</t>
        </is>
      </c>
      <c r="D4493" s="1" t="inlineStr">
        <is>
          <t>TABATA Lift Tee Beyond 35-40mm - 5pcs</t>
        </is>
      </c>
      <c r="E4493" s="1" t="inlineStr">
        <is>
          <t>TABATA</t>
        </is>
      </c>
      <c r="F4493" s="1" t="inlineStr">
        <is>
          <t>TEES</t>
        </is>
      </c>
      <c r="G4493" s="1" t="inlineStr">
        <is>
          <t>GF3500100436</t>
        </is>
      </c>
      <c r="H4493" s="1" t="n">
        <v>1</v>
      </c>
      <c r="I4493" s="1" t="inlineStr">
        <is>
          <t>มี</t>
        </is>
      </c>
      <c r="J4493" s="13" t="n">
        <v>7</v>
      </c>
      <c r="K4493" s="1" t="inlineStr"/>
      <c r="L4493" s="13" t="n">
        <v>7</v>
      </c>
      <c r="M4493" s="1">
        <f>IF(L4493="","ไม่พบใน SG",IF(ABS(J4493-L4493)&lt;0.005,"ตรงกัน","ไม่ตรง"))</f>
        <v/>
      </c>
      <c r="N4493" s="14">
        <f>IF(L4493="","",ROUND(L4493*'สรุป'!$C$6,-1))</f>
        <v/>
      </c>
      <c r="O4493" s="15" t="n"/>
      <c r="P4493" s="15" t="n"/>
      <c r="Q4493" s="10" t="n"/>
      <c r="R4493" s="10" t="n"/>
      <c r="S4493" s="16" t="inlineStr">
        <is>
          <t>https://mstgolf.co.th/products/gf3500100436</t>
        </is>
      </c>
      <c r="T4493" s="1">
        <f>IF(B4493="ไม้กอล์ฟ",J4493,"")</f>
        <v/>
      </c>
    </row>
    <row r="4494">
      <c r="A4494" s="1" t="n">
        <v>3</v>
      </c>
      <c r="B4494" s="1" t="inlineStr">
        <is>
          <t>อุปกรณ์เสริม</t>
        </is>
      </c>
      <c r="C4494" s="1" t="inlineStr">
        <is>
          <t>gf3500100437</t>
        </is>
      </c>
      <c r="D4494" s="1" t="inlineStr">
        <is>
          <t>TABATA Lift Tee Beyond 40-45mm - 5Pcs</t>
        </is>
      </c>
      <c r="E4494" s="1" t="inlineStr">
        <is>
          <t>TABATA</t>
        </is>
      </c>
      <c r="F4494" s="1" t="inlineStr">
        <is>
          <t>TEES</t>
        </is>
      </c>
      <c r="G4494" s="1" t="inlineStr">
        <is>
          <t>GF3500100437</t>
        </is>
      </c>
      <c r="H4494" s="1" t="n">
        <v>1</v>
      </c>
      <c r="I4494" s="1" t="inlineStr">
        <is>
          <t>มี</t>
        </is>
      </c>
      <c r="J4494" s="13" t="n">
        <v>7</v>
      </c>
      <c r="K4494" s="1" t="inlineStr"/>
      <c r="L4494" s="13" t="n">
        <v>7</v>
      </c>
      <c r="M4494" s="1">
        <f>IF(L4494="","ไม่พบใน SG",IF(ABS(J4494-L4494)&lt;0.005,"ตรงกัน","ไม่ตรง"))</f>
        <v/>
      </c>
      <c r="N4494" s="14">
        <f>IF(L4494="","",ROUND(L4494*'สรุป'!$C$6,-1))</f>
        <v/>
      </c>
      <c r="O4494" s="15" t="n"/>
      <c r="P4494" s="15" t="n"/>
      <c r="Q4494" s="10" t="n"/>
      <c r="R4494" s="10" t="n"/>
      <c r="S4494" s="16" t="inlineStr">
        <is>
          <t>https://mstgolf.co.th/products/gf3500100437</t>
        </is>
      </c>
      <c r="T4494" s="1">
        <f>IF(B4494="ไม้กอล์ฟ",J4494,"")</f>
        <v/>
      </c>
    </row>
    <row r="4495">
      <c r="A4495" s="1" t="n">
        <v>3</v>
      </c>
      <c r="B4495" s="1" t="inlineStr">
        <is>
          <t>อุปกรณ์เสริม</t>
        </is>
      </c>
      <c r="C4495" s="1" t="inlineStr">
        <is>
          <t>gf3500300051</t>
        </is>
      </c>
      <c r="D4495" s="1" t="inlineStr">
        <is>
          <t>TABATA Mix Weight Balance</t>
        </is>
      </c>
      <c r="E4495" s="1" t="inlineStr">
        <is>
          <t>TABATA</t>
        </is>
      </c>
      <c r="F4495" s="1" t="inlineStr">
        <is>
          <t>GOLF ACCESSORIES</t>
        </is>
      </c>
      <c r="G4495" s="1" t="inlineStr">
        <is>
          <t>GF3500300051</t>
        </is>
      </c>
      <c r="H4495" s="1" t="n">
        <v>1</v>
      </c>
      <c r="I4495" s="1" t="inlineStr">
        <is>
          <t>มี</t>
        </is>
      </c>
      <c r="J4495" s="13" t="n">
        <v>7</v>
      </c>
      <c r="K4495" s="1" t="inlineStr"/>
      <c r="L4495" s="13" t="n">
        <v>7</v>
      </c>
      <c r="M4495" s="1">
        <f>IF(L4495="","ไม่พบใน SG",IF(ABS(J4495-L4495)&lt;0.005,"ตรงกัน","ไม่ตรง"))</f>
        <v/>
      </c>
      <c r="N4495" s="14">
        <f>IF(L4495="","",ROUND(L4495*'สรุป'!$C$6,-1))</f>
        <v/>
      </c>
      <c r="O4495" s="15" t="n"/>
      <c r="P4495" s="15" t="n"/>
      <c r="Q4495" s="10" t="n"/>
      <c r="R4495" s="10" t="n"/>
      <c r="S4495" s="16" t="inlineStr">
        <is>
          <t>https://mstgolf.co.th/products/gf3500300051</t>
        </is>
      </c>
      <c r="T4495" s="1">
        <f>IF(B4495="ไม้กอล์ฟ",J4495,"")</f>
        <v/>
      </c>
    </row>
    <row r="4496">
      <c r="A4496" s="1" t="n">
        <v>3</v>
      </c>
      <c r="B4496" s="1" t="inlineStr">
        <is>
          <t>อุปกรณ์เสริม</t>
        </is>
      </c>
      <c r="C4496" s="1" t="inlineStr">
        <is>
          <t>gf3500100438</t>
        </is>
      </c>
      <c r="D4496" s="1" t="inlineStr">
        <is>
          <t>TABATA Octee Short 5/10mm</t>
        </is>
      </c>
      <c r="E4496" s="1" t="inlineStr">
        <is>
          <t>TABATA</t>
        </is>
      </c>
      <c r="F4496" s="1" t="inlineStr">
        <is>
          <t>TEES</t>
        </is>
      </c>
      <c r="G4496" s="1" t="inlineStr">
        <is>
          <t>GF3500100438</t>
        </is>
      </c>
      <c r="H4496" s="1" t="n">
        <v>1</v>
      </c>
      <c r="I4496" s="1" t="inlineStr">
        <is>
          <t>มี</t>
        </is>
      </c>
      <c r="J4496" s="13" t="n">
        <v>7</v>
      </c>
      <c r="K4496" s="1" t="inlineStr"/>
      <c r="L4496" s="13" t="n">
        <v>7</v>
      </c>
      <c r="M4496" s="1">
        <f>IF(L4496="","ไม่พบใน SG",IF(ABS(J4496-L4496)&lt;0.005,"ตรงกัน","ไม่ตรง"))</f>
        <v/>
      </c>
      <c r="N4496" s="14">
        <f>IF(L4496="","",ROUND(L4496*'สรุป'!$C$6,-1))</f>
        <v/>
      </c>
      <c r="O4496" s="15" t="n"/>
      <c r="P4496" s="15" t="n"/>
      <c r="Q4496" s="10" t="n"/>
      <c r="R4496" s="10" t="n"/>
      <c r="S4496" s="16" t="inlineStr">
        <is>
          <t>https://mstgolf.co.th/products/gf3500100438</t>
        </is>
      </c>
      <c r="T4496" s="1">
        <f>IF(B4496="ไม้กอล์ฟ",J4496,"")</f>
        <v/>
      </c>
    </row>
    <row r="4497">
      <c r="A4497" s="1" t="n">
        <v>3</v>
      </c>
      <c r="B4497" s="1" t="inlineStr">
        <is>
          <t>อุปกรณ์เสริม</t>
        </is>
      </c>
      <c r="C4497" s="1" t="inlineStr">
        <is>
          <t>gf3500300064</t>
        </is>
      </c>
      <c r="D4497" s="1" t="inlineStr">
        <is>
          <t>TABATA Score Counter Ladybug</t>
        </is>
      </c>
      <c r="E4497" s="1" t="inlineStr">
        <is>
          <t>TABATA</t>
        </is>
      </c>
      <c r="F4497" s="1" t="inlineStr">
        <is>
          <t>GOLF ACCESSORIES</t>
        </is>
      </c>
      <c r="G4497" s="1" t="inlineStr">
        <is>
          <t>GF3500300064</t>
        </is>
      </c>
      <c r="H4497" s="1" t="n">
        <v>1</v>
      </c>
      <c r="I4497" s="1" t="inlineStr">
        <is>
          <t>มี</t>
        </is>
      </c>
      <c r="J4497" s="13" t="n">
        <v>7</v>
      </c>
      <c r="K4497" s="1" t="inlineStr"/>
      <c r="L4497" s="13" t="n">
        <v>7</v>
      </c>
      <c r="M4497" s="1">
        <f>IF(L4497="","ไม่พบใน SG",IF(ABS(J4497-L4497)&lt;0.005,"ตรงกัน","ไม่ตรง"))</f>
        <v/>
      </c>
      <c r="N4497" s="14">
        <f>IF(L4497="","",ROUND(L4497*'สรุป'!$C$6,-1))</f>
        <v/>
      </c>
      <c r="O4497" s="15" t="n"/>
      <c r="P4497" s="15" t="n"/>
      <c r="Q4497" s="10" t="n"/>
      <c r="R4497" s="10" t="n"/>
      <c r="S4497" s="16" t="inlineStr">
        <is>
          <t>https://mstgolf.co.th/products/gf3500300064</t>
        </is>
      </c>
      <c r="T4497" s="1">
        <f>IF(B4497="ไม้กอล์ฟ",J4497,"")</f>
        <v/>
      </c>
    </row>
    <row r="4498">
      <c r="A4498" s="1" t="n">
        <v>3</v>
      </c>
      <c r="B4498" s="1" t="inlineStr">
        <is>
          <t>อุปกรณ์เสริม</t>
        </is>
      </c>
      <c r="C4498" s="1" t="inlineStr">
        <is>
          <t>gf3500300340</t>
        </is>
      </c>
      <c r="D4498" s="1" t="inlineStr">
        <is>
          <t>TABATA Shot Sticker</t>
        </is>
      </c>
      <c r="E4498" s="1" t="inlineStr">
        <is>
          <t>TABATA</t>
        </is>
      </c>
      <c r="F4498" s="1" t="inlineStr">
        <is>
          <t>GOLF ACCESSORIES</t>
        </is>
      </c>
      <c r="G4498" s="1" t="inlineStr">
        <is>
          <t>GF3500300340</t>
        </is>
      </c>
      <c r="H4498" s="1" t="n">
        <v>1</v>
      </c>
      <c r="I4498" s="1" t="inlineStr">
        <is>
          <t>มี</t>
        </is>
      </c>
      <c r="J4498" s="13" t="n">
        <v>7</v>
      </c>
      <c r="K4498" s="1" t="inlineStr"/>
      <c r="L4498" s="13" t="n">
        <v>7</v>
      </c>
      <c r="M4498" s="1">
        <f>IF(L4498="","ไม่พบใน SG",IF(ABS(J4498-L4498)&lt;0.005,"ตรงกัน","ไม่ตรง"))</f>
        <v/>
      </c>
      <c r="N4498" s="14">
        <f>IF(L4498="","",ROUND(L4498*'สรุป'!$C$6,-1))</f>
        <v/>
      </c>
      <c r="O4498" s="15" t="n"/>
      <c r="P4498" s="15" t="n"/>
      <c r="Q4498" s="10" t="n"/>
      <c r="R4498" s="10" t="n"/>
      <c r="S4498" s="16" t="inlineStr">
        <is>
          <t>https://mstgolf.co.th/products/gf3500300340</t>
        </is>
      </c>
      <c r="T4498" s="1">
        <f>IF(B4498="ไม้กอล์ฟ",J4498,"")</f>
        <v/>
      </c>
    </row>
    <row r="4499">
      <c r="A4499" s="1" t="n">
        <v>3</v>
      </c>
      <c r="B4499" s="1" t="inlineStr">
        <is>
          <t>อุปกรณ์เสริม</t>
        </is>
      </c>
      <c r="C4499" s="1" t="inlineStr">
        <is>
          <t>gf3500300042</t>
        </is>
      </c>
      <c r="D4499" s="1" t="inlineStr">
        <is>
          <t>TABATA Wood Shot Sticker</t>
        </is>
      </c>
      <c r="E4499" s="1" t="inlineStr">
        <is>
          <t>TABATA</t>
        </is>
      </c>
      <c r="F4499" s="1" t="inlineStr">
        <is>
          <t>GOLF ACCESSORIES</t>
        </is>
      </c>
      <c r="G4499" s="1" t="inlineStr">
        <is>
          <t>GF3500300042</t>
        </is>
      </c>
      <c r="H4499" s="1" t="n">
        <v>1</v>
      </c>
      <c r="I4499" s="1" t="inlineStr">
        <is>
          <t>มี</t>
        </is>
      </c>
      <c r="J4499" s="13" t="n">
        <v>7</v>
      </c>
      <c r="K4499" s="1" t="inlineStr"/>
      <c r="L4499" s="13" t="n">
        <v>7</v>
      </c>
      <c r="M4499" s="1">
        <f>IF(L4499="","ไม่พบใน SG",IF(ABS(J4499-L4499)&lt;0.005,"ตรงกัน","ไม่ตรง"))</f>
        <v/>
      </c>
      <c r="N4499" s="14">
        <f>IF(L4499="","",ROUND(L4499*'สรุป'!$C$6,-1))</f>
        <v/>
      </c>
      <c r="O4499" s="15" t="n"/>
      <c r="P4499" s="15" t="n"/>
      <c r="Q4499" s="10" t="n"/>
      <c r="R4499" s="10" t="n"/>
      <c r="S4499" s="16" t="inlineStr">
        <is>
          <t>https://mstgolf.co.th/products/gf3500300042</t>
        </is>
      </c>
      <c r="T4499" s="1">
        <f>IF(B4499="ไม้กอล์ฟ",J4499,"")</f>
        <v/>
      </c>
    </row>
    <row r="4500">
      <c r="A4500" s="1" t="n">
        <v>3</v>
      </c>
      <c r="B4500" s="1" t="inlineStr">
        <is>
          <t>อุปกรณ์เสริม</t>
        </is>
      </c>
      <c r="C4500" s="1" t="inlineStr">
        <is>
          <t>gf3500300920</t>
        </is>
      </c>
      <c r="D4500" s="1" t="inlineStr">
        <is>
          <t>GENERAL ITEM Barudan Dual Brush (Black)</t>
        </is>
      </c>
      <c r="E4500" s="1" t="inlineStr">
        <is>
          <t>GENERAL ITEM</t>
        </is>
      </c>
      <c r="F4500" s="1" t="inlineStr">
        <is>
          <t>GOLF ACCESSORIES</t>
        </is>
      </c>
      <c r="G4500" s="1" t="inlineStr">
        <is>
          <t>GF3500300920</t>
        </is>
      </c>
      <c r="H4500" s="1" t="n">
        <v>1</v>
      </c>
      <c r="I4500" s="1" t="inlineStr">
        <is>
          <t>มี</t>
        </is>
      </c>
      <c r="J4500" s="13" t="n">
        <v>6</v>
      </c>
      <c r="K4500" s="1" t="inlineStr"/>
      <c r="L4500" s="13" t="n">
        <v>6</v>
      </c>
      <c r="M4500" s="1">
        <f>IF(L4500="","ไม่พบใน SG",IF(ABS(J4500-L4500)&lt;0.005,"ตรงกัน","ไม่ตรง"))</f>
        <v/>
      </c>
      <c r="N4500" s="14">
        <f>IF(L4500="","",ROUND(L4500*'สรุป'!$C$6,-1))</f>
        <v/>
      </c>
      <c r="O4500" s="15" t="n"/>
      <c r="P4500" s="15" t="n"/>
      <c r="Q4500" s="10" t="n"/>
      <c r="R4500" s="10" t="n"/>
      <c r="S4500" s="16" t="inlineStr">
        <is>
          <t>https://mstgolf.co.th/products/gf3500300920</t>
        </is>
      </c>
      <c r="T4500" s="1">
        <f>IF(B4500="ไม้กอล์ฟ",J4500,"")</f>
        <v/>
      </c>
    </row>
    <row r="4501">
      <c r="A4501" s="1" t="n">
        <v>3</v>
      </c>
      <c r="B4501" s="1" t="inlineStr">
        <is>
          <t>อุปกรณ์เสริม</t>
        </is>
      </c>
      <c r="C4501" s="1" t="inlineStr">
        <is>
          <t>gf3500300081</t>
        </is>
      </c>
      <c r="D4501" s="1" t="inlineStr">
        <is>
          <t>GENERAL ITEM GLOVE SHAPER</t>
        </is>
      </c>
      <c r="E4501" s="1" t="inlineStr">
        <is>
          <t>GENERAL ITEM</t>
        </is>
      </c>
      <c r="F4501" s="1" t="inlineStr">
        <is>
          <t>GOLF ACCESSORIES</t>
        </is>
      </c>
      <c r="G4501" s="1" t="inlineStr">
        <is>
          <t>GF3500300081</t>
        </is>
      </c>
      <c r="H4501" s="1" t="n">
        <v>1</v>
      </c>
      <c r="I4501" s="1" t="inlineStr">
        <is>
          <t>มี</t>
        </is>
      </c>
      <c r="J4501" s="13" t="n">
        <v>6</v>
      </c>
      <c r="K4501" s="1" t="inlineStr"/>
      <c r="L4501" s="13" t="n">
        <v>6</v>
      </c>
      <c r="M4501" s="1">
        <f>IF(L4501="","ไม่พบใน SG",IF(ABS(J4501-L4501)&lt;0.005,"ตรงกัน","ไม่ตรง"))</f>
        <v/>
      </c>
      <c r="N4501" s="14">
        <f>IF(L4501="","",ROUND(L4501*'สรุป'!$C$6,-1))</f>
        <v/>
      </c>
      <c r="O4501" s="15" t="n"/>
      <c r="P4501" s="15" t="n"/>
      <c r="Q4501" s="10" t="n"/>
      <c r="R4501" s="10" t="n"/>
      <c r="S4501" s="16" t="inlineStr">
        <is>
          <t>https://mstgolf.co.th/products/gf3500300081</t>
        </is>
      </c>
      <c r="T4501" s="1">
        <f>IF(B4501="ไม้กอล์ฟ",J4501,"")</f>
        <v/>
      </c>
    </row>
    <row r="4502">
      <c r="A4502" s="1" t="n">
        <v>3</v>
      </c>
      <c r="B4502" s="1" t="inlineStr">
        <is>
          <t>อุปกรณ์เสริม</t>
        </is>
      </c>
      <c r="C4502" s="1" t="inlineStr">
        <is>
          <t>gf3500100315</t>
        </is>
      </c>
      <c r="D4502" s="1" t="inlineStr">
        <is>
          <t>TABATA Action Tee 35mm</t>
        </is>
      </c>
      <c r="E4502" s="1" t="inlineStr">
        <is>
          <t>TABATA</t>
        </is>
      </c>
      <c r="F4502" s="1" t="inlineStr">
        <is>
          <t>TEES</t>
        </is>
      </c>
      <c r="G4502" s="1" t="inlineStr">
        <is>
          <t>GF3500100315</t>
        </is>
      </c>
      <c r="H4502" s="1" t="n">
        <v>1</v>
      </c>
      <c r="I4502" s="1" t="inlineStr">
        <is>
          <t>มี</t>
        </is>
      </c>
      <c r="J4502" s="13" t="n">
        <v>6</v>
      </c>
      <c r="K4502" s="1" t="inlineStr"/>
      <c r="L4502" s="13" t="n">
        <v>6</v>
      </c>
      <c r="M4502" s="1">
        <f>IF(L4502="","ไม่พบใน SG",IF(ABS(J4502-L4502)&lt;0.005,"ตรงกัน","ไม่ตรง"))</f>
        <v/>
      </c>
      <c r="N4502" s="14">
        <f>IF(L4502="","",ROUND(L4502*'สรุป'!$C$6,-1))</f>
        <v/>
      </c>
      <c r="O4502" s="15" t="n"/>
      <c r="P4502" s="15" t="n"/>
      <c r="Q4502" s="10" t="n"/>
      <c r="R4502" s="10" t="n"/>
      <c r="S4502" s="16" t="inlineStr">
        <is>
          <t>https://mstgolf.co.th/products/gf3500100315</t>
        </is>
      </c>
      <c r="T4502" s="1">
        <f>IF(B4502="ไม้กอล์ฟ",J4502,"")</f>
        <v/>
      </c>
    </row>
    <row r="4503">
      <c r="A4503" s="1" t="n">
        <v>3</v>
      </c>
      <c r="B4503" s="1" t="inlineStr">
        <is>
          <t>อุปกรณ์เสริม</t>
        </is>
      </c>
      <c r="C4503" s="1" t="inlineStr">
        <is>
          <t>gf3500100450</t>
        </is>
      </c>
      <c r="D4503" s="1" t="inlineStr">
        <is>
          <t>TABATA GV1423 Action Tee 40mm - 10 Pieces</t>
        </is>
      </c>
      <c r="E4503" s="1" t="inlineStr">
        <is>
          <t>TABATA</t>
        </is>
      </c>
      <c r="F4503" s="1" t="inlineStr">
        <is>
          <t>TEES</t>
        </is>
      </c>
      <c r="G4503" s="1" t="inlineStr">
        <is>
          <t>GF3500100450</t>
        </is>
      </c>
      <c r="H4503" s="1" t="n">
        <v>1</v>
      </c>
      <c r="I4503" s="1" t="inlineStr">
        <is>
          <t>มี</t>
        </is>
      </c>
      <c r="J4503" s="13" t="n">
        <v>6</v>
      </c>
      <c r="K4503" s="1" t="inlineStr"/>
      <c r="L4503" s="13" t="n">
        <v>6</v>
      </c>
      <c r="M4503" s="1">
        <f>IF(L4503="","ไม่พบใน SG",IF(ABS(J4503-L4503)&lt;0.005,"ตรงกัน","ไม่ตรง"))</f>
        <v/>
      </c>
      <c r="N4503" s="14">
        <f>IF(L4503="","",ROUND(L4503*'สรุป'!$C$6,-1))</f>
        <v/>
      </c>
      <c r="O4503" s="15" t="n"/>
      <c r="P4503" s="15" t="n"/>
      <c r="Q4503" s="10" t="n"/>
      <c r="R4503" s="10" t="n"/>
      <c r="S4503" s="16" t="inlineStr">
        <is>
          <t>https://mstgolf.co.th/products/gf3500100450</t>
        </is>
      </c>
      <c r="T4503" s="1">
        <f>IF(B4503="ไม้กอล์ฟ",J4503,"")</f>
        <v/>
      </c>
    </row>
    <row r="4504">
      <c r="A4504" s="1" t="n">
        <v>3</v>
      </c>
      <c r="B4504" s="1" t="inlineStr">
        <is>
          <t>อุปกรณ์เสริม</t>
        </is>
      </c>
      <c r="C4504" s="1" t="inlineStr">
        <is>
          <t>gf3500300039</t>
        </is>
      </c>
      <c r="D4504" s="1" t="inlineStr">
        <is>
          <t>TABATA Soft Ball</t>
        </is>
      </c>
      <c r="E4504" s="1" t="inlineStr">
        <is>
          <t>TABATA</t>
        </is>
      </c>
      <c r="F4504" s="1" t="inlineStr">
        <is>
          <t>GOLF ACCESSORIES</t>
        </is>
      </c>
      <c r="G4504" s="1" t="inlineStr">
        <is>
          <t>GF3500300039</t>
        </is>
      </c>
      <c r="H4504" s="1" t="n">
        <v>1</v>
      </c>
      <c r="I4504" s="1" t="inlineStr">
        <is>
          <t>มี</t>
        </is>
      </c>
      <c r="J4504" s="13" t="n">
        <v>6</v>
      </c>
      <c r="K4504" s="1" t="inlineStr"/>
      <c r="L4504" s="13" t="n">
        <v>6</v>
      </c>
      <c r="M4504" s="1">
        <f>IF(L4504="","ไม่พบใน SG",IF(ABS(J4504-L4504)&lt;0.005,"ตรงกัน","ไม่ตรง"))</f>
        <v/>
      </c>
      <c r="N4504" s="14">
        <f>IF(L4504="","",ROUND(L4504*'สรุป'!$C$6,-1))</f>
        <v/>
      </c>
      <c r="O4504" s="15" t="n"/>
      <c r="P4504" s="15" t="n"/>
      <c r="Q4504" s="10" t="n"/>
      <c r="R4504" s="10" t="n"/>
      <c r="S4504" s="16" t="inlineStr">
        <is>
          <t>https://mstgolf.co.th/products/gf3500300039</t>
        </is>
      </c>
      <c r="T4504" s="1">
        <f>IF(B4504="ไม้กอล์ฟ",J4504,"")</f>
        <v/>
      </c>
    </row>
    <row r="4505">
      <c r="A4505" s="1" t="n">
        <v>3</v>
      </c>
      <c r="B4505" s="1" t="inlineStr">
        <is>
          <t>อุปกรณ์เสริม</t>
        </is>
      </c>
      <c r="C4505" s="1" t="inlineStr">
        <is>
          <t>gf3500100114</t>
        </is>
      </c>
      <c r="D4505" s="1" t="inlineStr">
        <is>
          <t>TABATA Wood Tee 82mm</t>
        </is>
      </c>
      <c r="E4505" s="1" t="inlineStr">
        <is>
          <t>TABATA</t>
        </is>
      </c>
      <c r="F4505" s="1" t="inlineStr">
        <is>
          <t>TEES</t>
        </is>
      </c>
      <c r="G4505" s="1" t="inlineStr">
        <is>
          <t>GF3500100114</t>
        </is>
      </c>
      <c r="H4505" s="1" t="n">
        <v>1</v>
      </c>
      <c r="I4505" s="1" t="inlineStr">
        <is>
          <t>มี</t>
        </is>
      </c>
      <c r="J4505" s="13" t="n">
        <v>5.5</v>
      </c>
      <c r="K4505" s="1" t="inlineStr"/>
      <c r="L4505" s="13" t="n">
        <v>5.5</v>
      </c>
      <c r="M4505" s="1">
        <f>IF(L4505="","ไม่พบใน SG",IF(ABS(J4505-L4505)&lt;0.005,"ตรงกัน","ไม่ตรง"))</f>
        <v/>
      </c>
      <c r="N4505" s="14">
        <f>IF(L4505="","",ROUND(L4505*'สรุป'!$C$6,-1))</f>
        <v/>
      </c>
      <c r="O4505" s="15" t="n"/>
      <c r="P4505" s="15" t="n"/>
      <c r="Q4505" s="10" t="n"/>
      <c r="R4505" s="10" t="n"/>
      <c r="S4505" s="16" t="inlineStr">
        <is>
          <t>https://mstgolf.co.th/products/gf3500100114</t>
        </is>
      </c>
      <c r="T4505" s="1">
        <f>IF(B4505="ไม้กอล์ฟ",J4505,"")</f>
        <v/>
      </c>
    </row>
    <row r="4506">
      <c r="A4506" s="1" t="n">
        <v>3</v>
      </c>
      <c r="B4506" s="1" t="inlineStr">
        <is>
          <t>อุปกรณ์เสริม</t>
        </is>
      </c>
      <c r="C4506" s="1" t="inlineStr">
        <is>
          <t>gf3500100441</t>
        </is>
      </c>
      <c r="D4506" s="1" t="inlineStr">
        <is>
          <t>GOLF LITE T-310 Power Coil Tee 80mm</t>
        </is>
      </c>
      <c r="E4506" s="1" t="inlineStr">
        <is>
          <t>GOLF LITE</t>
        </is>
      </c>
      <c r="F4506" s="1" t="inlineStr">
        <is>
          <t>TEES</t>
        </is>
      </c>
      <c r="G4506" s="1" t="inlineStr">
        <is>
          <t>GF3500100441</t>
        </is>
      </c>
      <c r="H4506" s="1" t="n">
        <v>1</v>
      </c>
      <c r="I4506" s="1" t="inlineStr">
        <is>
          <t>มี</t>
        </is>
      </c>
      <c r="J4506" s="13" t="n">
        <v>5</v>
      </c>
      <c r="K4506" s="1" t="inlineStr"/>
      <c r="L4506" s="13" t="n">
        <v>5</v>
      </c>
      <c r="M4506" s="1">
        <f>IF(L4506="","ไม่พบใน SG",IF(ABS(J4506-L4506)&lt;0.005,"ตรงกัน","ไม่ตรง"))</f>
        <v/>
      </c>
      <c r="N4506" s="14">
        <f>IF(L4506="","",ROUND(L4506*'สรุป'!$C$6,-1))</f>
        <v/>
      </c>
      <c r="O4506" s="15" t="n"/>
      <c r="P4506" s="15" t="n"/>
      <c r="Q4506" s="10" t="n"/>
      <c r="R4506" s="10" t="n"/>
      <c r="S4506" s="16" t="inlineStr">
        <is>
          <t>https://mstgolf.co.th/products/gf3500100441</t>
        </is>
      </c>
      <c r="T4506" s="1">
        <f>IF(B4506="ไม้กอล์ฟ",J4506,"")</f>
        <v/>
      </c>
    </row>
    <row r="4507">
      <c r="A4507" s="1" t="n">
        <v>3</v>
      </c>
      <c r="B4507" s="1" t="inlineStr">
        <is>
          <t>อุปกรณ์เสริม</t>
        </is>
      </c>
      <c r="C4507" s="1" t="inlineStr">
        <is>
          <t>gf3500100443</t>
        </is>
      </c>
      <c r="D4507" s="1" t="inlineStr">
        <is>
          <t>GOLF LITE T-317 Lite Low Power Coil Tee 76mm</t>
        </is>
      </c>
      <c r="E4507" s="1" t="inlineStr">
        <is>
          <t>GOLF LITE</t>
        </is>
      </c>
      <c r="F4507" s="1" t="inlineStr">
        <is>
          <t>TEES</t>
        </is>
      </c>
      <c r="G4507" s="1" t="inlineStr">
        <is>
          <t>GF3500100443</t>
        </is>
      </c>
      <c r="H4507" s="1" t="n">
        <v>1</v>
      </c>
      <c r="I4507" s="1" t="inlineStr">
        <is>
          <t>มี</t>
        </is>
      </c>
      <c r="J4507" s="13" t="n">
        <v>5</v>
      </c>
      <c r="K4507" s="1" t="inlineStr"/>
      <c r="L4507" s="13" t="n">
        <v>5</v>
      </c>
      <c r="M4507" s="1">
        <f>IF(L4507="","ไม่พบใน SG",IF(ABS(J4507-L4507)&lt;0.005,"ตรงกัน","ไม่ตรง"))</f>
        <v/>
      </c>
      <c r="N4507" s="14">
        <f>IF(L4507="","",ROUND(L4507*'สรุป'!$C$6,-1))</f>
        <v/>
      </c>
      <c r="O4507" s="15" t="n"/>
      <c r="P4507" s="15" t="n"/>
      <c r="Q4507" s="10" t="n"/>
      <c r="R4507" s="10" t="n"/>
      <c r="S4507" s="16" t="inlineStr">
        <is>
          <t>https://mstgolf.co.th/products/gf3500100443</t>
        </is>
      </c>
      <c r="T4507" s="1">
        <f>IF(B4507="ไม้กอล์ฟ",J4507,"")</f>
        <v/>
      </c>
    </row>
    <row r="4508">
      <c r="A4508" s="1" t="n">
        <v>3</v>
      </c>
      <c r="B4508" s="1" t="inlineStr">
        <is>
          <t>อุปกรณ์เสริม</t>
        </is>
      </c>
      <c r="C4508" s="1" t="inlineStr">
        <is>
          <t>gf3500100446</t>
        </is>
      </c>
      <c r="D4508" s="1" t="inlineStr">
        <is>
          <t>GOLF LITE T-440 Lite Mix Wood Tee Pack</t>
        </is>
      </c>
      <c r="E4508" s="1" t="inlineStr">
        <is>
          <t>GOLF LITE</t>
        </is>
      </c>
      <c r="F4508" s="1" t="inlineStr">
        <is>
          <t>TEES</t>
        </is>
      </c>
      <c r="G4508" s="1" t="inlineStr">
        <is>
          <t>GF3500100446</t>
        </is>
      </c>
      <c r="H4508" s="1" t="n">
        <v>1</v>
      </c>
      <c r="I4508" s="1" t="inlineStr">
        <is>
          <t>มี</t>
        </is>
      </c>
      <c r="J4508" s="13" t="n">
        <v>5</v>
      </c>
      <c r="K4508" s="1" t="inlineStr"/>
      <c r="L4508" s="13" t="n">
        <v>5</v>
      </c>
      <c r="M4508" s="1">
        <f>IF(L4508="","ไม่พบใน SG",IF(ABS(J4508-L4508)&lt;0.005,"ตรงกัน","ไม่ตรง"))</f>
        <v/>
      </c>
      <c r="N4508" s="14">
        <f>IF(L4508="","",ROUND(L4508*'สรุป'!$C$6,-1))</f>
        <v/>
      </c>
      <c r="O4508" s="15" t="n"/>
      <c r="P4508" s="15" t="n"/>
      <c r="Q4508" s="10" t="n"/>
      <c r="R4508" s="10" t="n"/>
      <c r="S4508" s="16" t="inlineStr">
        <is>
          <t>https://mstgolf.co.th/products/gf3500100446</t>
        </is>
      </c>
      <c r="T4508" s="1">
        <f>IF(B4508="ไม้กอล์ฟ",J4508,"")</f>
        <v/>
      </c>
    </row>
    <row r="4509">
      <c r="A4509" s="1" t="n">
        <v>3</v>
      </c>
      <c r="B4509" s="1" t="inlineStr">
        <is>
          <t>อุปกรณ์เสริม</t>
        </is>
      </c>
      <c r="C4509" s="1" t="inlineStr">
        <is>
          <t>gf3500100375</t>
        </is>
      </c>
      <c r="D4509" s="1" t="inlineStr">
        <is>
          <t>TABATA Plastic Tee 40mm</t>
        </is>
      </c>
      <c r="E4509" s="1" t="inlineStr">
        <is>
          <t>TABATA</t>
        </is>
      </c>
      <c r="F4509" s="1" t="inlineStr">
        <is>
          <t>TEES</t>
        </is>
      </c>
      <c r="G4509" s="1" t="inlineStr">
        <is>
          <t>GF3500100375</t>
        </is>
      </c>
      <c r="H4509" s="1" t="n">
        <v>1</v>
      </c>
      <c r="I4509" s="1" t="inlineStr">
        <is>
          <t>มี</t>
        </is>
      </c>
      <c r="J4509" s="13" t="n">
        <v>5</v>
      </c>
      <c r="K4509" s="1" t="inlineStr"/>
      <c r="L4509" s="13" t="n">
        <v>5</v>
      </c>
      <c r="M4509" s="1">
        <f>IF(L4509="","ไม่พบใน SG",IF(ABS(J4509-L4509)&lt;0.005,"ตรงกัน","ไม่ตรง"))</f>
        <v/>
      </c>
      <c r="N4509" s="14">
        <f>IF(L4509="","",ROUND(L4509*'สรุป'!$C$6,-1))</f>
        <v/>
      </c>
      <c r="O4509" s="15" t="n"/>
      <c r="P4509" s="15" t="n"/>
      <c r="Q4509" s="10" t="n"/>
      <c r="R4509" s="10" t="n"/>
      <c r="S4509" s="16" t="inlineStr">
        <is>
          <t>https://mstgolf.co.th/products/gf3500100375</t>
        </is>
      </c>
      <c r="T4509" s="1">
        <f>IF(B4509="ไม้กอล์ฟ",J4509,"")</f>
        <v/>
      </c>
    </row>
    <row r="4510">
      <c r="A4510" s="1" t="n">
        <v>3</v>
      </c>
      <c r="B4510" s="1" t="inlineStr">
        <is>
          <t>อุปกรณ์เสริม</t>
        </is>
      </c>
      <c r="C4510" s="1" t="inlineStr">
        <is>
          <t>gf3500100373</t>
        </is>
      </c>
      <c r="D4510" s="1" t="inlineStr">
        <is>
          <t>TABATA Plastic Tee 70mm</t>
        </is>
      </c>
      <c r="E4510" s="1" t="inlineStr">
        <is>
          <t>TABATA</t>
        </is>
      </c>
      <c r="F4510" s="1" t="inlineStr">
        <is>
          <t>TEES</t>
        </is>
      </c>
      <c r="G4510" s="1" t="inlineStr">
        <is>
          <t>GF3500100373</t>
        </is>
      </c>
      <c r="H4510" s="1" t="n">
        <v>1</v>
      </c>
      <c r="I4510" s="1" t="inlineStr">
        <is>
          <t>มี</t>
        </is>
      </c>
      <c r="J4510" s="13" t="n">
        <v>5</v>
      </c>
      <c r="K4510" s="1" t="inlineStr"/>
      <c r="L4510" s="13" t="n">
        <v>5</v>
      </c>
      <c r="M4510" s="1">
        <f>IF(L4510="","ไม่พบใน SG",IF(ABS(J4510-L4510)&lt;0.005,"ตรงกัน","ไม่ตรง"))</f>
        <v/>
      </c>
      <c r="N4510" s="14">
        <f>IF(L4510="","",ROUND(L4510*'สรุป'!$C$6,-1))</f>
        <v/>
      </c>
      <c r="O4510" s="15" t="n"/>
      <c r="P4510" s="15" t="n"/>
      <c r="Q4510" s="10" t="n"/>
      <c r="R4510" s="10" t="n"/>
      <c r="S4510" s="16" t="inlineStr">
        <is>
          <t>https://mstgolf.co.th/products/gf3500100373</t>
        </is>
      </c>
      <c r="T4510" s="1">
        <f>IF(B4510="ไม้กอล์ฟ",J4510,"")</f>
        <v/>
      </c>
    </row>
    <row r="4511">
      <c r="A4511" s="1" t="n">
        <v>3</v>
      </c>
      <c r="B4511" s="1" t="inlineStr">
        <is>
          <t>อุปกรณ์เสริม</t>
        </is>
      </c>
      <c r="C4511" s="1" t="inlineStr">
        <is>
          <t>gf3500100120</t>
        </is>
      </c>
      <c r="D4511" s="1" t="inlineStr">
        <is>
          <t>TABATA Rubber Tee</t>
        </is>
      </c>
      <c r="E4511" s="1" t="inlineStr">
        <is>
          <t>TABATA</t>
        </is>
      </c>
      <c r="F4511" s="1" t="inlineStr">
        <is>
          <t>TEES</t>
        </is>
      </c>
      <c r="G4511" s="1" t="inlineStr">
        <is>
          <t>GF3500100120</t>
        </is>
      </c>
      <c r="H4511" s="1" t="n">
        <v>1</v>
      </c>
      <c r="I4511" s="1" t="inlineStr">
        <is>
          <t>มี</t>
        </is>
      </c>
      <c r="J4511" s="13" t="n">
        <v>5</v>
      </c>
      <c r="K4511" s="1" t="inlineStr"/>
      <c r="L4511" s="13" t="n">
        <v>5</v>
      </c>
      <c r="M4511" s="1">
        <f>IF(L4511="","ไม่พบใน SG",IF(ABS(J4511-L4511)&lt;0.005,"ตรงกัน","ไม่ตรง"))</f>
        <v/>
      </c>
      <c r="N4511" s="14">
        <f>IF(L4511="","",ROUND(L4511*'สรุป'!$C$6,-1))</f>
        <v/>
      </c>
      <c r="O4511" s="15" t="n"/>
      <c r="P4511" s="15" t="n"/>
      <c r="Q4511" s="10" t="n"/>
      <c r="R4511" s="10" t="n"/>
      <c r="S4511" s="16" t="inlineStr">
        <is>
          <t>https://mstgolf.co.th/products/gf3500100120</t>
        </is>
      </c>
      <c r="T4511" s="1">
        <f>IF(B4511="ไม้กอล์ฟ",J4511,"")</f>
        <v/>
      </c>
    </row>
    <row r="4512">
      <c r="A4512" s="1" t="n">
        <v>3</v>
      </c>
      <c r="B4512" s="1" t="inlineStr">
        <is>
          <t>อุปกรณ์เสริม</t>
        </is>
      </c>
      <c r="C4512" s="1" t="inlineStr">
        <is>
          <t>gf3500100108</t>
        </is>
      </c>
      <c r="D4512" s="1" t="inlineStr">
        <is>
          <t>TABATA Wood Tee 60mm</t>
        </is>
      </c>
      <c r="E4512" s="1" t="inlineStr">
        <is>
          <t>TABATA</t>
        </is>
      </c>
      <c r="F4512" s="1" t="inlineStr">
        <is>
          <t>TEES</t>
        </is>
      </c>
      <c r="G4512" s="1" t="inlineStr">
        <is>
          <t>GF3500100108</t>
        </is>
      </c>
      <c r="H4512" s="1" t="n">
        <v>1</v>
      </c>
      <c r="I4512" s="1" t="inlineStr">
        <is>
          <t>มี</t>
        </is>
      </c>
      <c r="J4512" s="13" t="n">
        <v>5</v>
      </c>
      <c r="K4512" s="1" t="inlineStr"/>
      <c r="L4512" s="13" t="n">
        <v>5</v>
      </c>
      <c r="M4512" s="1">
        <f>IF(L4512="","ไม่พบใน SG",IF(ABS(J4512-L4512)&lt;0.005,"ตรงกัน","ไม่ตรง"))</f>
        <v/>
      </c>
      <c r="N4512" s="14">
        <f>IF(L4512="","",ROUND(L4512*'สรุป'!$C$6,-1))</f>
        <v/>
      </c>
      <c r="O4512" s="15" t="n"/>
      <c r="P4512" s="15" t="n"/>
      <c r="Q4512" s="10" t="n"/>
      <c r="R4512" s="10" t="n"/>
      <c r="S4512" s="16" t="inlineStr">
        <is>
          <t>https://mstgolf.co.th/products/gf3500100108</t>
        </is>
      </c>
      <c r="T4512" s="1">
        <f>IF(B4512="ไม้กอล์ฟ",J4512,"")</f>
        <v/>
      </c>
    </row>
    <row r="4513">
      <c r="A4513" s="1" t="n">
        <v>3</v>
      </c>
      <c r="B4513" s="1" t="inlineStr">
        <is>
          <t>อุปกรณ์เสริม</t>
        </is>
      </c>
      <c r="C4513" s="1" t="inlineStr">
        <is>
          <t>gf3500300044</t>
        </is>
      </c>
      <c r="D4513" s="1" t="inlineStr">
        <is>
          <t>TABATA Club Tube Protector</t>
        </is>
      </c>
      <c r="E4513" s="1" t="inlineStr">
        <is>
          <t>TABATA</t>
        </is>
      </c>
      <c r="F4513" s="1" t="inlineStr">
        <is>
          <t>GOLF ACCESSORIES</t>
        </is>
      </c>
      <c r="G4513" s="1" t="inlineStr">
        <is>
          <t>GF3500300044</t>
        </is>
      </c>
      <c r="H4513" s="1" t="n">
        <v>1</v>
      </c>
      <c r="I4513" s="1" t="inlineStr">
        <is>
          <t>มี</t>
        </is>
      </c>
      <c r="J4513" s="13" t="n">
        <v>4.5</v>
      </c>
      <c r="K4513" s="1" t="inlineStr"/>
      <c r="L4513" s="13" t="n">
        <v>4.5</v>
      </c>
      <c r="M4513" s="1">
        <f>IF(L4513="","ไม่พบใน SG",IF(ABS(J4513-L4513)&lt;0.005,"ตรงกัน","ไม่ตรง"))</f>
        <v/>
      </c>
      <c r="N4513" s="14">
        <f>IF(L4513="","",ROUND(L4513*'สรุป'!$C$6,-1))</f>
        <v/>
      </c>
      <c r="O4513" s="15" t="n"/>
      <c r="P4513" s="15" t="n"/>
      <c r="Q4513" s="10" t="n"/>
      <c r="R4513" s="10" t="n"/>
      <c r="S4513" s="16" t="inlineStr">
        <is>
          <t>https://mstgolf.co.th/products/gf3500300044</t>
        </is>
      </c>
      <c r="T4513" s="1">
        <f>IF(B4513="ไม้กอล์ฟ",J4513,"")</f>
        <v/>
      </c>
    </row>
    <row r="4514">
      <c r="A4514" s="1" t="n">
        <v>3</v>
      </c>
      <c r="B4514" s="1" t="inlineStr">
        <is>
          <t>อุปกรณ์เสริม</t>
        </is>
      </c>
      <c r="C4514" s="1" t="inlineStr">
        <is>
          <t>gf3500100092</t>
        </is>
      </c>
      <c r="D4514" s="1" t="inlineStr">
        <is>
          <t>TABATA Plastic Step Tee 40mm</t>
        </is>
      </c>
      <c r="E4514" s="1" t="inlineStr">
        <is>
          <t>TABATA</t>
        </is>
      </c>
      <c r="F4514" s="1" t="inlineStr">
        <is>
          <t>TEES</t>
        </is>
      </c>
      <c r="G4514" s="1" t="inlineStr">
        <is>
          <t>GF3500100092</t>
        </is>
      </c>
      <c r="H4514" s="1" t="n">
        <v>1</v>
      </c>
      <c r="I4514" s="1" t="inlineStr">
        <is>
          <t>มี</t>
        </is>
      </c>
      <c r="J4514" s="13" t="n">
        <v>4.5</v>
      </c>
      <c r="K4514" s="1" t="inlineStr"/>
      <c r="L4514" s="13" t="n">
        <v>4.5</v>
      </c>
      <c r="M4514" s="1">
        <f>IF(L4514="","ไม่พบใน SG",IF(ABS(J4514-L4514)&lt;0.005,"ตรงกัน","ไม่ตรง"))</f>
        <v/>
      </c>
      <c r="N4514" s="14">
        <f>IF(L4514="","",ROUND(L4514*'สรุป'!$C$6,-1))</f>
        <v/>
      </c>
      <c r="O4514" s="15" t="n"/>
      <c r="P4514" s="15" t="n"/>
      <c r="Q4514" s="10" t="n"/>
      <c r="R4514" s="10" t="n"/>
      <c r="S4514" s="16" t="inlineStr">
        <is>
          <t>https://mstgolf.co.th/products/gf3500100092</t>
        </is>
      </c>
      <c r="T4514" s="1">
        <f>IF(B4514="ไม้กอล์ฟ",J4514,"")</f>
        <v/>
      </c>
    </row>
    <row r="4515">
      <c r="A4515" s="1" t="n">
        <v>3</v>
      </c>
      <c r="B4515" s="1" t="inlineStr">
        <is>
          <t>อุปกรณ์เสริม</t>
        </is>
      </c>
      <c r="C4515" s="1" t="inlineStr">
        <is>
          <t>gf3500100117</t>
        </is>
      </c>
      <c r="D4515" s="1" t="inlineStr">
        <is>
          <t>TABATA Rubber Tee XL 60mm</t>
        </is>
      </c>
      <c r="E4515" s="1" t="inlineStr">
        <is>
          <t>TABATA</t>
        </is>
      </c>
      <c r="F4515" s="1" t="inlineStr">
        <is>
          <t>TEES</t>
        </is>
      </c>
      <c r="G4515" s="1" t="inlineStr">
        <is>
          <t>GF3500100117</t>
        </is>
      </c>
      <c r="H4515" s="1" t="n">
        <v>1</v>
      </c>
      <c r="I4515" s="1" t="inlineStr">
        <is>
          <t>มี</t>
        </is>
      </c>
      <c r="J4515" s="13" t="n">
        <v>4.5</v>
      </c>
      <c r="K4515" s="1" t="inlineStr"/>
      <c r="L4515" s="13" t="n">
        <v>4.5</v>
      </c>
      <c r="M4515" s="1">
        <f>IF(L4515="","ไม่พบใน SG",IF(ABS(J4515-L4515)&lt;0.005,"ตรงกัน","ไม่ตรง"))</f>
        <v/>
      </c>
      <c r="N4515" s="14">
        <f>IF(L4515="","",ROUND(L4515*'สรุป'!$C$6,-1))</f>
        <v/>
      </c>
      <c r="O4515" s="15" t="n"/>
      <c r="P4515" s="15" t="n"/>
      <c r="Q4515" s="10" t="n"/>
      <c r="R4515" s="10" t="n"/>
      <c r="S4515" s="16" t="inlineStr">
        <is>
          <t>https://mstgolf.co.th/products/gf3500100117</t>
        </is>
      </c>
      <c r="T4515" s="1">
        <f>IF(B4515="ไม้กอล์ฟ",J4515,"")</f>
        <v/>
      </c>
    </row>
    <row r="4516">
      <c r="A4516" s="1" t="n">
        <v>3</v>
      </c>
      <c r="B4516" s="1" t="inlineStr">
        <is>
          <t>อุปกรณ์เสริม</t>
        </is>
      </c>
      <c r="C4516" s="1" t="inlineStr">
        <is>
          <t>gf3500100102</t>
        </is>
      </c>
      <c r="D4516" s="1" t="inlineStr">
        <is>
          <t>TABATA Wood Tee 40mm</t>
        </is>
      </c>
      <c r="E4516" s="1" t="inlineStr">
        <is>
          <t>TABATA</t>
        </is>
      </c>
      <c r="F4516" s="1" t="inlineStr">
        <is>
          <t>TEES</t>
        </is>
      </c>
      <c r="G4516" s="1" t="inlineStr">
        <is>
          <t>GF3500100102</t>
        </is>
      </c>
      <c r="H4516" s="1" t="n">
        <v>1</v>
      </c>
      <c r="I4516" s="1" t="inlineStr">
        <is>
          <t>มี</t>
        </is>
      </c>
      <c r="J4516" s="13" t="n">
        <v>4.5</v>
      </c>
      <c r="K4516" s="1" t="inlineStr"/>
      <c r="L4516" s="13" t="n">
        <v>4.5</v>
      </c>
      <c r="M4516" s="1">
        <f>IF(L4516="","ไม่พบใน SG",IF(ABS(J4516-L4516)&lt;0.005,"ตรงกัน","ไม่ตรง"))</f>
        <v/>
      </c>
      <c r="N4516" s="14">
        <f>IF(L4516="","",ROUND(L4516*'สรุป'!$C$6,-1))</f>
        <v/>
      </c>
      <c r="O4516" s="15" t="n"/>
      <c r="P4516" s="15" t="n"/>
      <c r="Q4516" s="10" t="n"/>
      <c r="R4516" s="10" t="n"/>
      <c r="S4516" s="16" t="inlineStr">
        <is>
          <t>https://mstgolf.co.th/products/gf3500100102</t>
        </is>
      </c>
      <c r="T4516" s="1">
        <f>IF(B4516="ไม้กอล์ฟ",J4516,"")</f>
        <v/>
      </c>
    </row>
    <row r="4517">
      <c r="A4517" s="1" t="n">
        <v>3</v>
      </c>
      <c r="B4517" s="1" t="inlineStr">
        <is>
          <t>อุปกรณ์เสริม</t>
        </is>
      </c>
      <c r="C4517" s="1" t="inlineStr">
        <is>
          <t>gf3500100104</t>
        </is>
      </c>
      <c r="D4517" s="1" t="inlineStr">
        <is>
          <t>TABATA Wood Tee 55mm</t>
        </is>
      </c>
      <c r="E4517" s="1" t="inlineStr">
        <is>
          <t>TABATA</t>
        </is>
      </c>
      <c r="F4517" s="1" t="inlineStr">
        <is>
          <t>TEES</t>
        </is>
      </c>
      <c r="G4517" s="1" t="inlineStr">
        <is>
          <t>GF3500100104</t>
        </is>
      </c>
      <c r="H4517" s="1" t="n">
        <v>1</v>
      </c>
      <c r="I4517" s="1" t="inlineStr">
        <is>
          <t>มี</t>
        </is>
      </c>
      <c r="J4517" s="13" t="n">
        <v>4.5</v>
      </c>
      <c r="K4517" s="1" t="inlineStr"/>
      <c r="L4517" s="13" t="n">
        <v>4.5</v>
      </c>
      <c r="M4517" s="1">
        <f>IF(L4517="","ไม่พบใน SG",IF(ABS(J4517-L4517)&lt;0.005,"ตรงกัน","ไม่ตรง"))</f>
        <v/>
      </c>
      <c r="N4517" s="14">
        <f>IF(L4517="","",ROUND(L4517*'สรุป'!$C$6,-1))</f>
        <v/>
      </c>
      <c r="O4517" s="15" t="n"/>
      <c r="P4517" s="15" t="n"/>
      <c r="Q4517" s="10" t="n"/>
      <c r="R4517" s="10" t="n"/>
      <c r="S4517" s="16" t="inlineStr">
        <is>
          <t>https://mstgolf.co.th/products/gf3500100104</t>
        </is>
      </c>
      <c r="T4517" s="1">
        <f>IF(B4517="ไม้กอล์ฟ",J4517,"")</f>
        <v/>
      </c>
    </row>
    <row r="4518">
      <c r="A4518" s="1" t="n">
        <v>3</v>
      </c>
      <c r="B4518" s="1" t="inlineStr">
        <is>
          <t>อุปกรณ์เสริม</t>
        </is>
      </c>
      <c r="C4518" s="1" t="inlineStr">
        <is>
          <t>gf3500100106</t>
        </is>
      </c>
      <c r="D4518" s="1" t="inlineStr">
        <is>
          <t>TABATA Wood Tee 70mm</t>
        </is>
      </c>
      <c r="E4518" s="1" t="inlineStr">
        <is>
          <t>TABATA</t>
        </is>
      </c>
      <c r="F4518" s="1" t="inlineStr">
        <is>
          <t>TEES</t>
        </is>
      </c>
      <c r="G4518" s="1" t="inlineStr">
        <is>
          <t>GF3500100106</t>
        </is>
      </c>
      <c r="H4518" s="1" t="n">
        <v>1</v>
      </c>
      <c r="I4518" s="1" t="inlineStr">
        <is>
          <t>มี</t>
        </is>
      </c>
      <c r="J4518" s="13" t="n">
        <v>4.5</v>
      </c>
      <c r="K4518" s="1" t="inlineStr"/>
      <c r="L4518" s="13" t="n">
        <v>4.5</v>
      </c>
      <c r="M4518" s="1">
        <f>IF(L4518="","ไม่พบใน SG",IF(ABS(J4518-L4518)&lt;0.005,"ตรงกัน","ไม่ตรง"))</f>
        <v/>
      </c>
      <c r="N4518" s="14">
        <f>IF(L4518="","",ROUND(L4518*'สรุป'!$C$6,-1))</f>
        <v/>
      </c>
      <c r="O4518" s="15" t="n"/>
      <c r="P4518" s="15" t="n"/>
      <c r="Q4518" s="10" t="n"/>
      <c r="R4518" s="10" t="n"/>
      <c r="S4518" s="16" t="inlineStr">
        <is>
          <t>https://mstgolf.co.th/products/gf3500100106</t>
        </is>
      </c>
      <c r="T4518" s="1">
        <f>IF(B4518="ไม้กอล์ฟ",J4518,"")</f>
        <v/>
      </c>
    </row>
    <row r="4519">
      <c r="A4519" s="1" t="n">
        <v>3</v>
      </c>
      <c r="B4519" s="1" t="inlineStr">
        <is>
          <t>อุปกรณ์เสริม</t>
        </is>
      </c>
      <c r="C4519" s="1" t="inlineStr">
        <is>
          <t>gf3500100105</t>
        </is>
      </c>
      <c r="D4519" s="1" t="inlineStr">
        <is>
          <t>TABATA Wood Tee Color 55mm</t>
        </is>
      </c>
      <c r="E4519" s="1" t="inlineStr">
        <is>
          <t>TABATA</t>
        </is>
      </c>
      <c r="F4519" s="1" t="inlineStr">
        <is>
          <t>TEES</t>
        </is>
      </c>
      <c r="G4519" s="1" t="inlineStr">
        <is>
          <t>GF3500100105</t>
        </is>
      </c>
      <c r="H4519" s="1" t="n">
        <v>1</v>
      </c>
      <c r="I4519" s="1" t="inlineStr">
        <is>
          <t>มี</t>
        </is>
      </c>
      <c r="J4519" s="13" t="n">
        <v>4.5</v>
      </c>
      <c r="K4519" s="1" t="inlineStr"/>
      <c r="L4519" s="13" t="n">
        <v>4.5</v>
      </c>
      <c r="M4519" s="1">
        <f>IF(L4519="","ไม่พบใน SG",IF(ABS(J4519-L4519)&lt;0.005,"ตรงกัน","ไม่ตรง"))</f>
        <v/>
      </c>
      <c r="N4519" s="14">
        <f>IF(L4519="","",ROUND(L4519*'สรุป'!$C$6,-1))</f>
        <v/>
      </c>
      <c r="O4519" s="15" t="n"/>
      <c r="P4519" s="15" t="n"/>
      <c r="Q4519" s="10" t="n"/>
      <c r="R4519" s="10" t="n"/>
      <c r="S4519" s="16" t="inlineStr">
        <is>
          <t>https://mstgolf.co.th/products/gf3500100105</t>
        </is>
      </c>
      <c r="T4519" s="1">
        <f>IF(B4519="ไม้กอล์ฟ",J4519,"")</f>
        <v/>
      </c>
    </row>
    <row r="4520">
      <c r="A4520" s="1" t="n">
        <v>3</v>
      </c>
      <c r="B4520" s="1" t="inlineStr">
        <is>
          <t>อุปกรณ์เสริม</t>
        </is>
      </c>
      <c r="C4520" s="1" t="inlineStr">
        <is>
          <t>gf3500100107</t>
        </is>
      </c>
      <c r="D4520" s="1" t="inlineStr">
        <is>
          <t>TABATA Wood Tee Color 70mm</t>
        </is>
      </c>
      <c r="E4520" s="1" t="inlineStr">
        <is>
          <t>TABATA</t>
        </is>
      </c>
      <c r="F4520" s="1" t="inlineStr">
        <is>
          <t>TEES</t>
        </is>
      </c>
      <c r="G4520" s="1" t="inlineStr">
        <is>
          <t>GF3500100107</t>
        </is>
      </c>
      <c r="H4520" s="1" t="n">
        <v>1</v>
      </c>
      <c r="I4520" s="1" t="inlineStr">
        <is>
          <t>มี</t>
        </is>
      </c>
      <c r="J4520" s="13" t="n">
        <v>4.5</v>
      </c>
      <c r="K4520" s="1" t="inlineStr"/>
      <c r="L4520" s="13" t="n">
        <v>4.5</v>
      </c>
      <c r="M4520" s="1">
        <f>IF(L4520="","ไม่พบใน SG",IF(ABS(J4520-L4520)&lt;0.005,"ตรงกัน","ไม่ตรง"))</f>
        <v/>
      </c>
      <c r="N4520" s="14">
        <f>IF(L4520="","",ROUND(L4520*'สรุป'!$C$6,-1))</f>
        <v/>
      </c>
      <c r="O4520" s="15" t="n"/>
      <c r="P4520" s="15" t="n"/>
      <c r="Q4520" s="10" t="n"/>
      <c r="R4520" s="10" t="n"/>
      <c r="S4520" s="16" t="inlineStr">
        <is>
          <t>https://mstgolf.co.th/products/gf3500100107</t>
        </is>
      </c>
      <c r="T4520" s="1">
        <f>IF(B4520="ไม้กอล์ฟ",J4520,"")</f>
        <v/>
      </c>
    </row>
    <row r="4521">
      <c r="A4521" s="1" t="n">
        <v>3</v>
      </c>
      <c r="B4521" s="1" t="inlineStr">
        <is>
          <t>อุปกรณ์เสริม</t>
        </is>
      </c>
      <c r="C4521" s="1" t="inlineStr">
        <is>
          <t>gf3500300384</t>
        </is>
      </c>
      <c r="D4521" s="1" t="inlineStr">
        <is>
          <t>GENERAL ITEM Paragon Eva Foam Ball - 6Pcs/Pack (Blue)</t>
        </is>
      </c>
      <c r="E4521" s="1" t="inlineStr">
        <is>
          <t>GENERAL ITEM</t>
        </is>
      </c>
      <c r="F4521" s="1" t="inlineStr">
        <is>
          <t>GOLF ACCESSORIES</t>
        </is>
      </c>
      <c r="G4521" s="1" t="inlineStr">
        <is>
          <t>GF3500300384</t>
        </is>
      </c>
      <c r="H4521" s="1" t="n">
        <v>1</v>
      </c>
      <c r="I4521" s="1" t="inlineStr">
        <is>
          <t>มี</t>
        </is>
      </c>
      <c r="J4521" s="13" t="n">
        <v>4</v>
      </c>
      <c r="K4521" s="1" t="inlineStr"/>
      <c r="L4521" s="13" t="n">
        <v>4</v>
      </c>
      <c r="M4521" s="1">
        <f>IF(L4521="","ไม่พบใน SG",IF(ABS(J4521-L4521)&lt;0.005,"ตรงกัน","ไม่ตรง"))</f>
        <v/>
      </c>
      <c r="N4521" s="14">
        <f>IF(L4521="","",ROUND(L4521*'สรุป'!$C$6,-1))</f>
        <v/>
      </c>
      <c r="O4521" s="15" t="n"/>
      <c r="P4521" s="15" t="n"/>
      <c r="Q4521" s="10" t="n"/>
      <c r="R4521" s="10" t="n"/>
      <c r="S4521" s="16" t="inlineStr">
        <is>
          <t>https://mstgolf.co.th/products/gf3500300384</t>
        </is>
      </c>
      <c r="T4521" s="1">
        <f>IF(B4521="ไม้กอล์ฟ",J4521,"")</f>
        <v/>
      </c>
    </row>
    <row r="4522">
      <c r="A4522" s="1" t="n">
        <v>3</v>
      </c>
      <c r="B4522" s="1" t="inlineStr">
        <is>
          <t>อุปกรณ์เสริม</t>
        </is>
      </c>
      <c r="C4522" s="1" t="inlineStr">
        <is>
          <t>gf3500300386</t>
        </is>
      </c>
      <c r="D4522" s="1" t="inlineStr">
        <is>
          <t>GENERAL ITEM Paragon Multi-Color Foam Ball - 6Pcs/Pack (Red)</t>
        </is>
      </c>
      <c r="E4522" s="1" t="inlineStr">
        <is>
          <t>GENERAL ITEM</t>
        </is>
      </c>
      <c r="F4522" s="1" t="inlineStr">
        <is>
          <t>GOLF ACCESSORIES</t>
        </is>
      </c>
      <c r="G4522" s="1" t="inlineStr">
        <is>
          <t>GF3500300386</t>
        </is>
      </c>
      <c r="H4522" s="1" t="n">
        <v>1</v>
      </c>
      <c r="I4522" s="1" t="inlineStr">
        <is>
          <t>มี</t>
        </is>
      </c>
      <c r="J4522" s="13" t="n">
        <v>4</v>
      </c>
      <c r="K4522" s="1" t="inlineStr"/>
      <c r="L4522" s="13" t="n">
        <v>4</v>
      </c>
      <c r="M4522" s="1">
        <f>IF(L4522="","ไม่พบใน SG",IF(ABS(J4522-L4522)&lt;0.005,"ตรงกัน","ไม่ตรง"))</f>
        <v/>
      </c>
      <c r="N4522" s="14">
        <f>IF(L4522="","",ROUND(L4522*'สรุป'!$C$6,-1))</f>
        <v/>
      </c>
      <c r="O4522" s="15" t="n"/>
      <c r="P4522" s="15" t="n"/>
      <c r="Q4522" s="10" t="n"/>
      <c r="R4522" s="10" t="n"/>
      <c r="S4522" s="16" t="inlineStr">
        <is>
          <t>https://mstgolf.co.th/products/gf3500300386</t>
        </is>
      </c>
      <c r="T4522" s="1">
        <f>IF(B4522="ไม้กอล์ฟ",J4522,"")</f>
        <v/>
      </c>
    </row>
    <row r="4523">
      <c r="A4523" s="1" t="n">
        <v>3</v>
      </c>
      <c r="B4523" s="1" t="inlineStr">
        <is>
          <t>อุปกรณ์เสริม</t>
        </is>
      </c>
      <c r="C4523" s="1" t="inlineStr">
        <is>
          <t>gf3500100097</t>
        </is>
      </c>
      <c r="D4523" s="1" t="inlineStr">
        <is>
          <t>TABATA Plastic Tee 40mm</t>
        </is>
      </c>
      <c r="E4523" s="1" t="inlineStr">
        <is>
          <t>TABATA</t>
        </is>
      </c>
      <c r="F4523" s="1" t="inlineStr">
        <is>
          <t>TEES</t>
        </is>
      </c>
      <c r="G4523" s="1" t="inlineStr">
        <is>
          <t>GF3500100097</t>
        </is>
      </c>
      <c r="H4523" s="1" t="n">
        <v>1</v>
      </c>
      <c r="I4523" s="1" t="inlineStr">
        <is>
          <t>มี</t>
        </is>
      </c>
      <c r="J4523" s="13" t="n">
        <v>4</v>
      </c>
      <c r="K4523" s="1" t="inlineStr"/>
      <c r="L4523" s="13" t="n">
        <v>4</v>
      </c>
      <c r="M4523" s="1">
        <f>IF(L4523="","ไม่พบใน SG",IF(ABS(J4523-L4523)&lt;0.005,"ตรงกัน","ไม่ตรง"))</f>
        <v/>
      </c>
      <c r="N4523" s="14">
        <f>IF(L4523="","",ROUND(L4523*'สรุป'!$C$6,-1))</f>
        <v/>
      </c>
      <c r="O4523" s="15" t="n"/>
      <c r="P4523" s="15" t="n"/>
      <c r="Q4523" s="10" t="n"/>
      <c r="R4523" s="10" t="n"/>
      <c r="S4523" s="16" t="inlineStr">
        <is>
          <t>https://mstgolf.co.th/products/gf3500100097</t>
        </is>
      </c>
      <c r="T4523" s="1">
        <f>IF(B4523="ไม้กอล์ฟ",J4523,"")</f>
        <v/>
      </c>
    </row>
    <row r="4524">
      <c r="A4524" s="1" t="n">
        <v>3</v>
      </c>
      <c r="B4524" s="1" t="inlineStr">
        <is>
          <t>อุปกรณ์เสริม</t>
        </is>
      </c>
      <c r="C4524" s="1" t="inlineStr">
        <is>
          <t>gf3500100432</t>
        </is>
      </c>
      <c r="D4524" s="1" t="inlineStr">
        <is>
          <t>GENERAL ITEM Advantage Rubber Cross Tee 34mm</t>
        </is>
      </c>
      <c r="E4524" s="1" t="inlineStr">
        <is>
          <t>GENERAL ITEM</t>
        </is>
      </c>
      <c r="F4524" s="1" t="inlineStr">
        <is>
          <t>TEES</t>
        </is>
      </c>
      <c r="G4524" s="1" t="inlineStr">
        <is>
          <t>GF3500100432</t>
        </is>
      </c>
      <c r="H4524" s="1" t="n">
        <v>1</v>
      </c>
      <c r="I4524" s="1" t="inlineStr">
        <is>
          <t>มี</t>
        </is>
      </c>
      <c r="J4524" s="13" t="n">
        <v>3</v>
      </c>
      <c r="K4524" s="1" t="inlineStr"/>
      <c r="L4524" s="13" t="n">
        <v>3</v>
      </c>
      <c r="M4524" s="1">
        <f>IF(L4524="","ไม่พบใน SG",IF(ABS(J4524-L4524)&lt;0.005,"ตรงกัน","ไม่ตรง"))</f>
        <v/>
      </c>
      <c r="N4524" s="14">
        <f>IF(L4524="","",ROUND(L4524*'สรุป'!$C$6,-1))</f>
        <v/>
      </c>
      <c r="O4524" s="15" t="n"/>
      <c r="P4524" s="15" t="n"/>
      <c r="Q4524" s="10" t="n"/>
      <c r="R4524" s="10" t="n"/>
      <c r="S4524" s="16" t="inlineStr">
        <is>
          <t>https://mstgolf.co.th/products/gf3500100432</t>
        </is>
      </c>
      <c r="T4524" s="1">
        <f>IF(B4524="ไม้กอล์ฟ",J4524,"")</f>
        <v/>
      </c>
    </row>
    <row r="4525">
      <c r="A4525" s="1" t="n">
        <v>3</v>
      </c>
      <c r="B4525" s="1" t="inlineStr">
        <is>
          <t>อุปกรณ์เสริม</t>
        </is>
      </c>
      <c r="C4525" s="1" t="inlineStr">
        <is>
          <t>gf3500300390</t>
        </is>
      </c>
      <c r="D4525" s="1" t="inlineStr">
        <is>
          <t>GENERAL ITEM PARAGON BALL LINE MARKER</t>
        </is>
      </c>
      <c r="E4525" s="1" t="inlineStr">
        <is>
          <t>GENERAL ITEM</t>
        </is>
      </c>
      <c r="F4525" s="1" t="inlineStr">
        <is>
          <t>GOLF ACCESSORIES</t>
        </is>
      </c>
      <c r="G4525" s="1" t="inlineStr">
        <is>
          <t>GF3500300390</t>
        </is>
      </c>
      <c r="H4525" s="1" t="n">
        <v>1</v>
      </c>
      <c r="I4525" s="1" t="inlineStr">
        <is>
          <t>มี</t>
        </is>
      </c>
      <c r="J4525" s="13" t="n">
        <v>3</v>
      </c>
      <c r="K4525" s="1" t="inlineStr"/>
      <c r="L4525" s="13" t="n">
        <v>3</v>
      </c>
      <c r="M4525" s="1">
        <f>IF(L4525="","ไม่พบใน SG",IF(ABS(J4525-L4525)&lt;0.005,"ตรงกัน","ไม่ตรง"))</f>
        <v/>
      </c>
      <c r="N4525" s="14">
        <f>IF(L4525="","",ROUND(L4525*'สรุป'!$C$6,-1))</f>
        <v/>
      </c>
      <c r="O4525" s="15" t="n"/>
      <c r="P4525" s="15" t="n"/>
      <c r="Q4525" s="10" t="n"/>
      <c r="R4525" s="10" t="n"/>
      <c r="S4525" s="16" t="inlineStr">
        <is>
          <t>https://mstgolf.co.th/products/gf3500300390</t>
        </is>
      </c>
      <c r="T4525" s="1">
        <f>IF(B4525="ไม้กอล์ฟ",J4525,"")</f>
        <v/>
      </c>
    </row>
    <row r="4526">
      <c r="A4526" s="1" t="n">
        <v>3</v>
      </c>
      <c r="B4526" s="1" t="inlineStr">
        <is>
          <t>อุปกรณ์เสริม</t>
        </is>
      </c>
      <c r="C4526" s="1" t="inlineStr">
        <is>
          <t>gf3500100094</t>
        </is>
      </c>
      <c r="D4526" s="1" t="inlineStr">
        <is>
          <t>TABATA Plastic Tee 37mm</t>
        </is>
      </c>
      <c r="E4526" s="1" t="inlineStr">
        <is>
          <t>TABATA</t>
        </is>
      </c>
      <c r="F4526" s="1" t="inlineStr">
        <is>
          <t>TEES</t>
        </is>
      </c>
      <c r="G4526" s="1" t="inlineStr">
        <is>
          <t>GF3500100094</t>
        </is>
      </c>
      <c r="H4526" s="1" t="n">
        <v>1</v>
      </c>
      <c r="I4526" s="1" t="inlineStr">
        <is>
          <t>มี</t>
        </is>
      </c>
      <c r="J4526" s="13" t="n">
        <v>3</v>
      </c>
      <c r="K4526" s="1" t="inlineStr"/>
      <c r="L4526" s="13" t="n">
        <v>3</v>
      </c>
      <c r="M4526" s="1">
        <f>IF(L4526="","ไม่พบใน SG",IF(ABS(J4526-L4526)&lt;0.005,"ตรงกัน","ไม่ตรง"))</f>
        <v/>
      </c>
      <c r="N4526" s="14">
        <f>IF(L4526="","",ROUND(L4526*'สรุป'!$C$6,-1))</f>
        <v/>
      </c>
      <c r="O4526" s="15" t="n"/>
      <c r="P4526" s="15" t="n"/>
      <c r="Q4526" s="10" t="n"/>
      <c r="R4526" s="10" t="n"/>
      <c r="S4526" s="16" t="inlineStr">
        <is>
          <t>https://mstgolf.co.th/products/gf3500100094</t>
        </is>
      </c>
      <c r="T4526" s="1">
        <f>IF(B4526="ไม้กอล์ฟ",J4526,"")</f>
        <v/>
      </c>
    </row>
    <row r="4527">
      <c r="A4527" s="1" t="n">
        <v>3</v>
      </c>
      <c r="B4527" s="1" t="inlineStr">
        <is>
          <t>อุปกรณ์เสริม</t>
        </is>
      </c>
      <c r="C4527" s="1" t="inlineStr">
        <is>
          <t>gf3500100095</t>
        </is>
      </c>
      <c r="D4527" s="1" t="inlineStr">
        <is>
          <t>TABATA Plastic Tee 70mm</t>
        </is>
      </c>
      <c r="E4527" s="1" t="inlineStr">
        <is>
          <t>TABATA</t>
        </is>
      </c>
      <c r="F4527" s="1" t="inlineStr">
        <is>
          <t>TEES</t>
        </is>
      </c>
      <c r="G4527" s="1" t="inlineStr">
        <is>
          <t>GF3500100095</t>
        </is>
      </c>
      <c r="H4527" s="1" t="n">
        <v>1</v>
      </c>
      <c r="I4527" s="1" t="inlineStr">
        <is>
          <t>มี</t>
        </is>
      </c>
      <c r="J4527" s="13" t="n">
        <v>3</v>
      </c>
      <c r="K4527" s="1" t="inlineStr"/>
      <c r="L4527" s="13" t="n">
        <v>3</v>
      </c>
      <c r="M4527" s="1">
        <f>IF(L4527="","ไม่พบใน SG",IF(ABS(J4527-L4527)&lt;0.005,"ตรงกัน","ไม่ตรง"))</f>
        <v/>
      </c>
      <c r="N4527" s="14">
        <f>IF(L4527="","",ROUND(L4527*'สรุป'!$C$6,-1))</f>
        <v/>
      </c>
      <c r="O4527" s="15" t="n"/>
      <c r="P4527" s="15" t="n"/>
      <c r="Q4527" s="10" t="n"/>
      <c r="R4527" s="10" t="n"/>
      <c r="S4527" s="16" t="inlineStr">
        <is>
          <t>https://mstgolf.co.th/products/gf3500100095</t>
        </is>
      </c>
      <c r="T4527" s="1">
        <f>IF(B4527="ไม้กอล์ฟ",J4527,"")</f>
        <v/>
      </c>
    </row>
    <row r="4528">
      <c r="A4528" s="1" t="n">
        <v>3</v>
      </c>
      <c r="B4528" s="1" t="inlineStr">
        <is>
          <t>อุปกรณ์เสริม</t>
        </is>
      </c>
      <c r="C4528" s="1" t="inlineStr">
        <is>
          <t>gf3500300443</t>
        </is>
      </c>
      <c r="D4528" s="1" t="inlineStr">
        <is>
          <t>CHAMP Zarma FTS 3.0 Spikes</t>
        </is>
      </c>
      <c r="E4528" s="1" t="inlineStr">
        <is>
          <t>CHAMP</t>
        </is>
      </c>
      <c r="F4528" s="1" t="inlineStr">
        <is>
          <t>GOLF ACCESSORIES</t>
        </is>
      </c>
      <c r="G4528" s="1" t="inlineStr">
        <is>
          <t>GF3500300443</t>
        </is>
      </c>
      <c r="H4528" s="1" t="n">
        <v>1</v>
      </c>
      <c r="I4528" s="1" t="inlineStr">
        <is>
          <t>มี</t>
        </is>
      </c>
      <c r="J4528" s="13" t="n">
        <v>1.4</v>
      </c>
      <c r="K4528" s="1" t="inlineStr"/>
      <c r="L4528" s="13" t="n">
        <v>1.4</v>
      </c>
      <c r="M4528" s="1">
        <f>IF(L4528="","ไม่พบใน SG",IF(ABS(J4528-L4528)&lt;0.005,"ตรงกัน","ไม่ตรง"))</f>
        <v/>
      </c>
      <c r="N4528" s="14">
        <f>IF(L4528="","",ROUND(L4528*'สรุป'!$C$6,-1))</f>
        <v/>
      </c>
      <c r="O4528" s="15" t="n"/>
      <c r="P4528" s="15" t="n"/>
      <c r="Q4528" s="10" t="n"/>
      <c r="R4528" s="10" t="n"/>
      <c r="S4528" s="16" t="inlineStr">
        <is>
          <t>https://mstgolf.co.th/products/gf3500300443</t>
        </is>
      </c>
      <c r="T4528" s="1">
        <f>IF(B4528="ไม้กอล์ฟ",J4528,"")</f>
        <v/>
      </c>
    </row>
    <row r="4529">
      <c r="A4529" s="1" t="n">
        <v>3</v>
      </c>
      <c r="B4529" s="1" t="inlineStr">
        <is>
          <t>อุปกรณ์เสริม</t>
        </is>
      </c>
      <c r="C4529" s="1" t="inlineStr">
        <is>
          <t>gf3500300474</t>
        </is>
      </c>
      <c r="D4529" s="1" t="inlineStr">
        <is>
          <t>SOFTSPIKES PIVIX FT3 Transgrn/Black Spikes (1 Piece)</t>
        </is>
      </c>
      <c r="E4529" s="1" t="inlineStr">
        <is>
          <t>SOFTSPIKES</t>
        </is>
      </c>
      <c r="F4529" s="1" t="inlineStr">
        <is>
          <t>GOLF ACCESSORIES</t>
        </is>
      </c>
      <c r="G4529" s="1" t="inlineStr">
        <is>
          <t>GF3500300474</t>
        </is>
      </c>
      <c r="H4529" s="1" t="n">
        <v>1</v>
      </c>
      <c r="I4529" s="1" t="inlineStr">
        <is>
          <t>มี</t>
        </is>
      </c>
      <c r="J4529" s="13" t="n">
        <v>1.4</v>
      </c>
      <c r="K4529" s="1" t="inlineStr"/>
      <c r="L4529" s="13" t="n">
        <v>1.4</v>
      </c>
      <c r="M4529" s="1">
        <f>IF(L4529="","ไม่พบใน SG",IF(ABS(J4529-L4529)&lt;0.005,"ตรงกัน","ไม่ตรง"))</f>
        <v/>
      </c>
      <c r="N4529" s="14">
        <f>IF(L4529="","",ROUND(L4529*'สรุป'!$C$6,-1))</f>
        <v/>
      </c>
      <c r="O4529" s="15" t="n"/>
      <c r="P4529" s="15" t="n"/>
      <c r="Q4529" s="10" t="n"/>
      <c r="R4529" s="10" t="n"/>
      <c r="S4529" s="16" t="inlineStr">
        <is>
          <t>https://mstgolf.co.th/products/gf3500300474</t>
        </is>
      </c>
      <c r="T4529" s="1">
        <f>IF(B4529="ไม้กอล์ฟ",J4529,"")</f>
        <v/>
      </c>
    </row>
    <row r="4530">
      <c r="A4530" s="1" t="n">
        <v>3</v>
      </c>
      <c r="B4530" s="1" t="inlineStr">
        <is>
          <t>อุปกรณ์เสริม</t>
        </is>
      </c>
      <c r="C4530" s="1" t="inlineStr">
        <is>
          <t>gf3500300473</t>
        </is>
      </c>
      <c r="D4530" s="1" t="inlineStr">
        <is>
          <t>SOFTSPIKES PIVIX FT3 Transgrn/White Spikes (1 Piece)</t>
        </is>
      </c>
      <c r="E4530" s="1" t="inlineStr">
        <is>
          <t>SOFTSPIKES</t>
        </is>
      </c>
      <c r="F4530" s="1" t="inlineStr">
        <is>
          <t>GOLF ACCESSORIES</t>
        </is>
      </c>
      <c r="G4530" s="1" t="inlineStr">
        <is>
          <t>GF3500300473</t>
        </is>
      </c>
      <c r="H4530" s="1" t="n">
        <v>1</v>
      </c>
      <c r="I4530" s="1" t="inlineStr">
        <is>
          <t>มี</t>
        </is>
      </c>
      <c r="J4530" s="13" t="n">
        <v>1.4</v>
      </c>
      <c r="K4530" s="1" t="inlineStr"/>
      <c r="L4530" s="13" t="n">
        <v>1.4</v>
      </c>
      <c r="M4530" s="1">
        <f>IF(L4530="","ไม่พบใน SG",IF(ABS(J4530-L4530)&lt;0.005,"ตรงกัน","ไม่ตรง"))</f>
        <v/>
      </c>
      <c r="N4530" s="14">
        <f>IF(L4530="","",ROUND(L4530*'สรุป'!$C$6,-1))</f>
        <v/>
      </c>
      <c r="O4530" s="15" t="n"/>
      <c r="P4530" s="15" t="n"/>
      <c r="Q4530" s="10" t="n"/>
      <c r="R4530" s="10" t="n"/>
      <c r="S4530" s="16" t="inlineStr">
        <is>
          <t>https://mstgolf.co.th/products/gf3500300473</t>
        </is>
      </c>
      <c r="T4530" s="1">
        <f>IF(B4530="ไม้กอล์ฟ",J4530,"")</f>
        <v/>
      </c>
    </row>
    <row r="4531">
      <c r="A4531" s="1" t="n">
        <v>3</v>
      </c>
      <c r="B4531" s="1" t="inlineStr">
        <is>
          <t>อุปกรณ์เสริม</t>
        </is>
      </c>
      <c r="C4531" s="1" t="inlineStr">
        <is>
          <t>gf3500300354</t>
        </is>
      </c>
      <c r="D4531" s="1" t="inlineStr">
        <is>
          <t>SOFTSPIKES Pulsar Pin Spikes (1 Piece)</t>
        </is>
      </c>
      <c r="E4531" s="1" t="inlineStr">
        <is>
          <t>SOFTSPIKES</t>
        </is>
      </c>
      <c r="F4531" s="1" t="inlineStr">
        <is>
          <t>GOLF ACCESSORIES</t>
        </is>
      </c>
      <c r="G4531" s="1" t="inlineStr">
        <is>
          <t>GF3500300354</t>
        </is>
      </c>
      <c r="H4531" s="1" t="n">
        <v>1</v>
      </c>
      <c r="I4531" s="1" t="inlineStr">
        <is>
          <t>มี</t>
        </is>
      </c>
      <c r="J4531" s="13" t="n">
        <v>1.4</v>
      </c>
      <c r="K4531" s="1" t="inlineStr"/>
      <c r="L4531" s="13" t="n">
        <v>1.4</v>
      </c>
      <c r="M4531" s="1">
        <f>IF(L4531="","ไม่พบใน SG",IF(ABS(J4531-L4531)&lt;0.005,"ตรงกัน","ไม่ตรง"))</f>
        <v/>
      </c>
      <c r="N4531" s="14">
        <f>IF(L4531="","",ROUND(L4531*'สรุป'!$C$6,-1))</f>
        <v/>
      </c>
      <c r="O4531" s="15" t="n"/>
      <c r="P4531" s="15" t="n"/>
      <c r="Q4531" s="10" t="n"/>
      <c r="R4531" s="10" t="n"/>
      <c r="S4531" s="16" t="inlineStr">
        <is>
          <t>https://mstgolf.co.th/products/gf3500300354</t>
        </is>
      </c>
      <c r="T4531" s="1">
        <f>IF(B4531="ไม้กอล์ฟ",J4531,"")</f>
        <v/>
      </c>
    </row>
    <row r="4532">
      <c r="A4532" s="1" t="n">
        <v>3</v>
      </c>
      <c r="B4532" s="1" t="inlineStr">
        <is>
          <t>อุปกรณ์เสริม</t>
        </is>
      </c>
      <c r="C4532" s="1" t="inlineStr">
        <is>
          <t>gf3500100136</t>
        </is>
      </c>
      <c r="D4532" s="1" t="inlineStr">
        <is>
          <t>GENERAL ITEM Wooden Tee 7cm (White)</t>
        </is>
      </c>
      <c r="E4532" s="1" t="inlineStr">
        <is>
          <t>GENERAL ITEM</t>
        </is>
      </c>
      <c r="F4532" s="1" t="inlineStr">
        <is>
          <t>TEES</t>
        </is>
      </c>
      <c r="G4532" s="1" t="inlineStr">
        <is>
          <t>GF3500100136</t>
        </is>
      </c>
      <c r="H4532" s="1" t="n">
        <v>1</v>
      </c>
      <c r="I4532" s="1" t="inlineStr">
        <is>
          <t>มี</t>
        </is>
      </c>
      <c r="J4532" s="13" t="n">
        <v>0.2</v>
      </c>
      <c r="K4532" s="1" t="inlineStr"/>
      <c r="L4532" s="13" t="n">
        <v>0.2</v>
      </c>
      <c r="M4532" s="1">
        <f>IF(L4532="","ไม่พบใน SG",IF(ABS(J4532-L4532)&lt;0.005,"ตรงกัน","ไม่ตรง"))</f>
        <v/>
      </c>
      <c r="N4532" s="14">
        <f>IF(L4532="","",ROUND(L4532*'สรุป'!$C$6,-1))</f>
        <v/>
      </c>
      <c r="O4532" s="15" t="n"/>
      <c r="P4532" s="15" t="n"/>
      <c r="Q4532" s="10" t="n"/>
      <c r="R4532" s="10" t="n"/>
      <c r="S4532" s="16" t="inlineStr">
        <is>
          <t>https://mstgolf.co.th/products/gf3500100136</t>
        </is>
      </c>
      <c r="T4532" s="1">
        <f>IF(B4532="ไม้กอล์ฟ",J4532,"")</f>
        <v/>
      </c>
    </row>
    <row r="4533">
      <c r="A4533" s="1" t="n">
        <v>3</v>
      </c>
      <c r="B4533" s="1" t="inlineStr">
        <is>
          <t>เสื้อผ้า</t>
        </is>
      </c>
      <c r="C4533" s="1" t="inlineStr">
        <is>
          <t>gf3300200001</t>
        </is>
      </c>
      <c r="D4533" s="1" t="inlineStr">
        <is>
          <t>K-MOTION K-Coach (4-Sensor) System</t>
        </is>
      </c>
      <c r="E4533" s="1" t="inlineStr">
        <is>
          <t>K-MOTION</t>
        </is>
      </c>
      <c r="F4533" s="1" t="inlineStr">
        <is>
          <t>WEAR</t>
        </is>
      </c>
      <c r="G4533" s="1" t="inlineStr">
        <is>
          <t>GF3300200001</t>
        </is>
      </c>
      <c r="H4533" s="1" t="n">
        <v>1</v>
      </c>
      <c r="I4533" s="1" t="inlineStr">
        <is>
          <t>หมด</t>
        </is>
      </c>
      <c r="J4533" s="13" t="n">
        <v>8900</v>
      </c>
      <c r="K4533" s="1" t="inlineStr"/>
      <c r="L4533" s="13" t="n">
        <v>8900</v>
      </c>
      <c r="M4533" s="1">
        <f>IF(L4533="","ไม่พบใน SG",IF(ABS(J4533-L4533)&lt;0.005,"ตรงกัน","ไม่ตรง"))</f>
        <v/>
      </c>
      <c r="N4533" s="14">
        <f>IF(L4533="","",ROUND(L4533*'สรุป'!$C$6,-1))</f>
        <v/>
      </c>
      <c r="O4533" s="15" t="n"/>
      <c r="P4533" s="15" t="n"/>
      <c r="Q4533" s="10" t="n"/>
      <c r="R4533" s="10" t="n"/>
      <c r="S4533" s="16" t="inlineStr">
        <is>
          <t>https://mstgolf.co.th/products/gf3300200001</t>
        </is>
      </c>
      <c r="T4533" s="1">
        <f>IF(B4533="ไม้กอล์ฟ",J4533,"")</f>
        <v/>
      </c>
    </row>
    <row r="4534">
      <c r="A4534" s="1" t="n">
        <v>3</v>
      </c>
      <c r="B4534" s="1" t="inlineStr">
        <is>
          <t>อุปกรณ์เสริม</t>
        </is>
      </c>
      <c r="C4534" s="1" t="inlineStr">
        <is>
          <t>gf3130100306</t>
        </is>
      </c>
      <c r="D4534" s="1" t="inlineStr">
        <is>
          <t>OAKLEY Radar EV Path Prizm Polarized Sunglasses</t>
        </is>
      </c>
      <c r="E4534" s="1" t="inlineStr">
        <is>
          <t>OAKLEY</t>
        </is>
      </c>
      <c r="F4534" s="1" t="inlineStr">
        <is>
          <t>SUNGLASSES</t>
        </is>
      </c>
      <c r="G4534" s="1" t="inlineStr">
        <is>
          <t>GF3130100306</t>
        </is>
      </c>
      <c r="H4534" s="1" t="n">
        <v>1</v>
      </c>
      <c r="I4534" s="1" t="inlineStr">
        <is>
          <t>หมด</t>
        </is>
      </c>
      <c r="J4534" s="13" t="n">
        <v>430</v>
      </c>
      <c r="K4534" s="1" t="inlineStr"/>
      <c r="L4534" s="13" t="n">
        <v>430</v>
      </c>
      <c r="M4534" s="1">
        <f>IF(L4534="","ไม่พบใน SG",IF(ABS(J4534-L4534)&lt;0.005,"ตรงกัน","ไม่ตรง"))</f>
        <v/>
      </c>
      <c r="N4534" s="14">
        <f>IF(L4534="","",ROUND(L4534*'สรุป'!$C$6,-1))</f>
        <v/>
      </c>
      <c r="O4534" s="15" t="n"/>
      <c r="P4534" s="15" t="n"/>
      <c r="Q4534" s="10" t="n"/>
      <c r="R4534" s="10" t="n"/>
      <c r="S4534" s="16" t="inlineStr">
        <is>
          <t>https://mstgolf.co.th/products/gf3130100306</t>
        </is>
      </c>
      <c r="T4534" s="1">
        <f>IF(B4534="ไม้กอล์ฟ",J4534,"")</f>
        <v/>
      </c>
    </row>
    <row r="4535">
      <c r="A4535" s="1" t="n">
        <v>3</v>
      </c>
      <c r="B4535" s="1" t="inlineStr">
        <is>
          <t>เสื้อผ้า</t>
        </is>
      </c>
      <c r="C4535" s="1" t="inlineStr">
        <is>
          <t>gf2040300179</t>
        </is>
      </c>
      <c r="D4535" s="1" t="inlineStr">
        <is>
          <t>WAAC Flare Dress (Dark Navy)</t>
        </is>
      </c>
      <c r="E4535" s="1" t="inlineStr">
        <is>
          <t>WAAC</t>
        </is>
      </c>
      <c r="F4535" s="1" t="inlineStr">
        <is>
          <t>DRESS</t>
        </is>
      </c>
      <c r="G4535" s="1" t="inlineStr">
        <is>
          <t>GF2040300179XS</t>
        </is>
      </c>
      <c r="H4535" s="1" t="n">
        <v>3</v>
      </c>
      <c r="I4535" s="1" t="inlineStr">
        <is>
          <t>หมด</t>
        </is>
      </c>
      <c r="J4535" s="13" t="n">
        <v>420</v>
      </c>
      <c r="K4535" s="1" t="inlineStr"/>
      <c r="L4535" s="13" t="n">
        <v>420</v>
      </c>
      <c r="M4535" s="1">
        <f>IF(L4535="","ไม่พบใน SG",IF(ABS(J4535-L4535)&lt;0.005,"ตรงกัน","ไม่ตรง"))</f>
        <v/>
      </c>
      <c r="N4535" s="14">
        <f>IF(L4535="","",ROUND(L4535*'สรุป'!$C$6,-1))</f>
        <v/>
      </c>
      <c r="O4535" s="15" t="n"/>
      <c r="P4535" s="15" t="n"/>
      <c r="Q4535" s="10" t="n"/>
      <c r="R4535" s="10" t="n"/>
      <c r="S4535" s="16" t="inlineStr">
        <is>
          <t>https://mstgolf.co.th/products/gf2040300179</t>
        </is>
      </c>
      <c r="T4535" s="1">
        <f>IF(B4535="ไม้กอล์ฟ",J4535,"")</f>
        <v/>
      </c>
    </row>
    <row r="4536">
      <c r="A4536" s="1" t="n">
        <v>3</v>
      </c>
      <c r="B4536" s="1" t="inlineStr">
        <is>
          <t>อุปกรณ์เสริม</t>
        </is>
      </c>
      <c r="C4536" s="1" t="inlineStr">
        <is>
          <t>gf3130100401</t>
        </is>
      </c>
      <c r="D4536" s="1" t="inlineStr">
        <is>
          <t>OAKLEY Split Shot Polarized Sunglasses</t>
        </is>
      </c>
      <c r="E4536" s="1" t="inlineStr">
        <is>
          <t>OAKLEY</t>
        </is>
      </c>
      <c r="F4536" s="1" t="inlineStr">
        <is>
          <t>SUNGLASSES</t>
        </is>
      </c>
      <c r="G4536" s="1" t="inlineStr">
        <is>
          <t>GF3130100401</t>
        </is>
      </c>
      <c r="H4536" s="1" t="n">
        <v>1</v>
      </c>
      <c r="I4536" s="1" t="inlineStr">
        <is>
          <t>หมด</t>
        </is>
      </c>
      <c r="J4536" s="13" t="n">
        <v>412</v>
      </c>
      <c r="K4536" s="1" t="inlineStr"/>
      <c r="L4536" s="13" t="n">
        <v>412</v>
      </c>
      <c r="M4536" s="1">
        <f>IF(L4536="","ไม่พบใน SG",IF(ABS(J4536-L4536)&lt;0.005,"ตรงกัน","ไม่ตรง"))</f>
        <v/>
      </c>
      <c r="N4536" s="14">
        <f>IF(L4536="","",ROUND(L4536*'สรุป'!$C$6,-1))</f>
        <v/>
      </c>
      <c r="O4536" s="15" t="n"/>
      <c r="P4536" s="15" t="n"/>
      <c r="Q4536" s="10" t="n"/>
      <c r="R4536" s="10" t="n"/>
      <c r="S4536" s="16" t="inlineStr">
        <is>
          <t>https://mstgolf.co.th/products/gf3130100401</t>
        </is>
      </c>
      <c r="T4536" s="1">
        <f>IF(B4536="ไม้กอล์ฟ",J4536,"")</f>
        <v/>
      </c>
    </row>
    <row r="4537">
      <c r="A4537" s="1" t="n">
        <v>3</v>
      </c>
      <c r="B4537" s="1" t="inlineStr">
        <is>
          <t>เสื้อผ้า</t>
        </is>
      </c>
      <c r="C4537" s="1" t="inlineStr">
        <is>
          <t>gf2060101093</t>
        </is>
      </c>
      <c r="D4537" s="1" t="inlineStr">
        <is>
          <t>BOSS GOLF Lightway MA-1 Men's Jacket (Black)</t>
        </is>
      </c>
      <c r="E4537" s="1" t="inlineStr">
        <is>
          <t>BOSS GOLF</t>
        </is>
      </c>
      <c r="F4537" s="1" t="inlineStr">
        <is>
          <t>TOP</t>
        </is>
      </c>
      <c r="G4537" s="1" t="inlineStr">
        <is>
          <t>GF2060101093M</t>
        </is>
      </c>
      <c r="H4537" s="1" t="n">
        <v>5</v>
      </c>
      <c r="I4537" s="1" t="inlineStr">
        <is>
          <t>หมด</t>
        </is>
      </c>
      <c r="J4537" s="13" t="n">
        <v>399</v>
      </c>
      <c r="K4537" s="1" t="inlineStr"/>
      <c r="L4537" s="13" t="n"/>
      <c r="M4537" s="1">
        <f>IF(L4537="","ไม่พบใน SG",IF(ABS(J4537-L4537)&lt;0.005,"ตรงกัน","ไม่ตรง"))</f>
        <v/>
      </c>
      <c r="N4537" s="14">
        <f>IF(L4537="","",ROUND(L4537*'สรุป'!$C$6,-1))</f>
        <v/>
      </c>
      <c r="O4537" s="15" t="n"/>
      <c r="P4537" s="15" t="n"/>
      <c r="Q4537" s="10" t="n"/>
      <c r="R4537" s="10" t="n"/>
      <c r="S4537" s="16" t="inlineStr">
        <is>
          <t>https://mstgolf.co.th/products/gf2060101093</t>
        </is>
      </c>
      <c r="T4537" s="1">
        <f>IF(B4537="ไม้กอล์ฟ",J4537,"")</f>
        <v/>
      </c>
    </row>
    <row r="4538">
      <c r="A4538" s="1" t="n">
        <v>3</v>
      </c>
      <c r="B4538" s="1" t="inlineStr">
        <is>
          <t>เสื้อผ้า</t>
        </is>
      </c>
      <c r="C4538" s="1" t="inlineStr">
        <is>
          <t>gf2060101202</t>
        </is>
      </c>
      <c r="D4538" s="1" t="inlineStr">
        <is>
          <t>BOSS GOLF R-Neck Men's Pullover Jacket (Navy)</t>
        </is>
      </c>
      <c r="E4538" s="1" t="inlineStr">
        <is>
          <t>BOSS GOLF</t>
        </is>
      </c>
      <c r="F4538" s="1" t="inlineStr">
        <is>
          <t>TOP</t>
        </is>
      </c>
      <c r="G4538" s="1" t="inlineStr">
        <is>
          <t>GF20601012022XL</t>
        </is>
      </c>
      <c r="H4538" s="1" t="n">
        <v>8</v>
      </c>
      <c r="I4538" s="1" t="inlineStr">
        <is>
          <t>หมด</t>
        </is>
      </c>
      <c r="J4538" s="13" t="n">
        <v>369</v>
      </c>
      <c r="K4538" s="1" t="inlineStr"/>
      <c r="L4538" s="13" t="n"/>
      <c r="M4538" s="1">
        <f>IF(L4538="","ไม่พบใน SG",IF(ABS(J4538-L4538)&lt;0.005,"ตรงกัน","ไม่ตรง"))</f>
        <v/>
      </c>
      <c r="N4538" s="14">
        <f>IF(L4538="","",ROUND(L4538*'สรุป'!$C$6,-1))</f>
        <v/>
      </c>
      <c r="O4538" s="15" t="n"/>
      <c r="P4538" s="15" t="n"/>
      <c r="Q4538" s="10" t="n"/>
      <c r="R4538" s="10" t="n"/>
      <c r="S4538" s="16" t="inlineStr">
        <is>
          <t>https://mstgolf.co.th/products/gf2060101202</t>
        </is>
      </c>
      <c r="T4538" s="1">
        <f>IF(B4538="ไม้กอล์ฟ",J4538,"")</f>
        <v/>
      </c>
    </row>
    <row r="4539">
      <c r="A4539" s="1" t="n">
        <v>3</v>
      </c>
      <c r="B4539" s="1" t="inlineStr">
        <is>
          <t>อุปกรณ์เสริม</t>
        </is>
      </c>
      <c r="C4539" s="1" t="inlineStr">
        <is>
          <t>gf3130100305</t>
        </is>
      </c>
      <c r="D4539" s="1" t="inlineStr">
        <is>
          <t>OAKLEY Radarlock Path Prizm Sunglasses</t>
        </is>
      </c>
      <c r="E4539" s="1" t="inlineStr">
        <is>
          <t>OAKLEY</t>
        </is>
      </c>
      <c r="F4539" s="1" t="inlineStr">
        <is>
          <t>SUNGLASSES</t>
        </is>
      </c>
      <c r="G4539" s="1" t="inlineStr">
        <is>
          <t>GF3130100305</t>
        </is>
      </c>
      <c r="H4539" s="1" t="n">
        <v>1</v>
      </c>
      <c r="I4539" s="1" t="inlineStr">
        <is>
          <t>หมด</t>
        </is>
      </c>
      <c r="J4539" s="13" t="n">
        <v>368</v>
      </c>
      <c r="K4539" s="1" t="inlineStr"/>
      <c r="L4539" s="13" t="n">
        <v>368</v>
      </c>
      <c r="M4539" s="1">
        <f>IF(L4539="","ไม่พบใน SG",IF(ABS(J4539-L4539)&lt;0.005,"ตรงกัน","ไม่ตรง"))</f>
        <v/>
      </c>
      <c r="N4539" s="14">
        <f>IF(L4539="","",ROUND(L4539*'สรุป'!$C$6,-1))</f>
        <v/>
      </c>
      <c r="O4539" s="15" t="n"/>
      <c r="P4539" s="15" t="n"/>
      <c r="Q4539" s="10" t="n"/>
      <c r="R4539" s="10" t="n"/>
      <c r="S4539" s="16" t="inlineStr">
        <is>
          <t>https://mstgolf.co.th/products/gf3130100305</t>
        </is>
      </c>
      <c r="T4539" s="1">
        <f>IF(B4539="ไม้กอล์ฟ",J4539,"")</f>
        <v/>
      </c>
    </row>
    <row r="4540">
      <c r="A4540" s="1" t="n">
        <v>3</v>
      </c>
      <c r="B4540" s="1" t="inlineStr">
        <is>
          <t>อุปกรณ์เสริม</t>
        </is>
      </c>
      <c r="C4540" s="1" t="inlineStr">
        <is>
          <t>gf2080101487</t>
        </is>
      </c>
      <c r="D4540" s="1" t="inlineStr">
        <is>
          <t>BOSS GOLF Logo Men's Buckle Belt (Black)</t>
        </is>
      </c>
      <c r="E4540" s="1" t="inlineStr">
        <is>
          <t>BOSS GOLF</t>
        </is>
      </c>
      <c r="F4540" s="1" t="inlineStr">
        <is>
          <t>BELT</t>
        </is>
      </c>
      <c r="G4540" s="1" t="inlineStr">
        <is>
          <t>GF2080101487FS</t>
        </is>
      </c>
      <c r="H4540" s="1" t="n">
        <v>3</v>
      </c>
      <c r="I4540" s="1" t="inlineStr">
        <is>
          <t>หมด</t>
        </is>
      </c>
      <c r="J4540" s="13" t="n">
        <v>359</v>
      </c>
      <c r="K4540" s="1" t="inlineStr"/>
      <c r="L4540" s="13" t="n"/>
      <c r="M4540" s="1">
        <f>IF(L4540="","ไม่พบใน SG",IF(ABS(J4540-L4540)&lt;0.005,"ตรงกัน","ไม่ตรง"))</f>
        <v/>
      </c>
      <c r="N4540" s="14">
        <f>IF(L4540="","",ROUND(L4540*'สรุป'!$C$6,-1))</f>
        <v/>
      </c>
      <c r="O4540" s="15" t="n"/>
      <c r="P4540" s="15" t="n"/>
      <c r="Q4540" s="10" t="n"/>
      <c r="R4540" s="10" t="n"/>
      <c r="S4540" s="16" t="inlineStr">
        <is>
          <t>https://mstgolf.co.th/products/gf2080101487</t>
        </is>
      </c>
      <c r="T4540" s="1">
        <f>IF(B4540="ไม้กอล์ฟ",J4540,"")</f>
        <v/>
      </c>
    </row>
    <row r="4541">
      <c r="A4541" s="1" t="n">
        <v>3</v>
      </c>
      <c r="B4541" s="1" t="inlineStr">
        <is>
          <t>อุปกรณ์เสริม</t>
        </is>
      </c>
      <c r="C4541" s="1" t="inlineStr">
        <is>
          <t>gf3500600005</t>
        </is>
      </c>
      <c r="D4541" s="1" t="inlineStr">
        <is>
          <t>BLUE TEES GOLF Player Plus GPS Speaker (Black)</t>
        </is>
      </c>
      <c r="E4541" s="1" t="inlineStr">
        <is>
          <t>BLUE TEES GOLF</t>
        </is>
      </c>
      <c r="F4541" s="1" t="inlineStr">
        <is>
          <t>SPEAKER</t>
        </is>
      </c>
      <c r="G4541" s="1" t="inlineStr">
        <is>
          <t>GF3500600005</t>
        </is>
      </c>
      <c r="H4541" s="1" t="n">
        <v>1</v>
      </c>
      <c r="I4541" s="1" t="inlineStr">
        <is>
          <t>หมด</t>
        </is>
      </c>
      <c r="J4541" s="13" t="n">
        <v>349</v>
      </c>
      <c r="K4541" s="1" t="inlineStr"/>
      <c r="L4541" s="13" t="n">
        <v>299</v>
      </c>
      <c r="M4541" s="1">
        <f>IF(L4541="","ไม่พบใน SG",IF(ABS(J4541-L4541)&lt;0.005,"ตรงกัน","ไม่ตรง"))</f>
        <v/>
      </c>
      <c r="N4541" s="14">
        <f>IF(L4541="","",ROUND(L4541*'สรุป'!$C$6,-1))</f>
        <v/>
      </c>
      <c r="O4541" s="15" t="n"/>
      <c r="P4541" s="15" t="n"/>
      <c r="Q4541" s="10" t="n"/>
      <c r="R4541" s="10" t="n"/>
      <c r="S4541" s="16" t="inlineStr">
        <is>
          <t>https://mstgolf.co.th/products/gf3500600005</t>
        </is>
      </c>
      <c r="T4541" s="1">
        <f>IF(B4541="ไม้กอล์ฟ",J4541,"")</f>
        <v/>
      </c>
    </row>
    <row r="4542">
      <c r="A4542" s="1" t="n">
        <v>3</v>
      </c>
      <c r="B4542" s="1" t="inlineStr">
        <is>
          <t>อุปกรณ์เสริม</t>
        </is>
      </c>
      <c r="C4542" s="1" t="inlineStr">
        <is>
          <t>gf3500600004</t>
        </is>
      </c>
      <c r="D4542" s="1" t="inlineStr">
        <is>
          <t>BLUE TEES GOLF Player Plus GPS Speaker (Navy Blue)</t>
        </is>
      </c>
      <c r="E4542" s="1" t="inlineStr">
        <is>
          <t>BLUE TEES GOLF</t>
        </is>
      </c>
      <c r="F4542" s="1" t="inlineStr">
        <is>
          <t>SPEAKER</t>
        </is>
      </c>
      <c r="G4542" s="1" t="inlineStr">
        <is>
          <t>GF3500600004</t>
        </is>
      </c>
      <c r="H4542" s="1" t="n">
        <v>1</v>
      </c>
      <c r="I4542" s="1" t="inlineStr">
        <is>
          <t>หมด</t>
        </is>
      </c>
      <c r="J4542" s="13" t="n">
        <v>349</v>
      </c>
      <c r="K4542" s="1" t="inlineStr"/>
      <c r="L4542" s="13" t="n">
        <v>299</v>
      </c>
      <c r="M4542" s="1">
        <f>IF(L4542="","ไม่พบใน SG",IF(ABS(J4542-L4542)&lt;0.005,"ตรงกัน","ไม่ตรง"))</f>
        <v/>
      </c>
      <c r="N4542" s="14">
        <f>IF(L4542="","",ROUND(L4542*'สรุป'!$C$6,-1))</f>
        <v/>
      </c>
      <c r="O4542" s="15" t="n"/>
      <c r="P4542" s="15" t="n"/>
      <c r="Q4542" s="10" t="n"/>
      <c r="R4542" s="10" t="n"/>
      <c r="S4542" s="16" t="inlineStr">
        <is>
          <t>https://mstgolf.co.th/products/gf3500600004</t>
        </is>
      </c>
      <c r="T4542" s="1">
        <f>IF(B4542="ไม้กอล์ฟ",J4542,"")</f>
        <v/>
      </c>
    </row>
    <row r="4543">
      <c r="A4543" s="1" t="n">
        <v>3</v>
      </c>
      <c r="B4543" s="1" t="inlineStr">
        <is>
          <t>เสื้อผ้า</t>
        </is>
      </c>
      <c r="C4543" s="1" t="inlineStr">
        <is>
          <t>gf2020102512</t>
        </is>
      </c>
      <c r="D4543" s="1" t="inlineStr">
        <is>
          <t>BOSS GOLF Tapered Piping Men's Pants (Navy)</t>
        </is>
      </c>
      <c r="E4543" s="1" t="inlineStr">
        <is>
          <t>BOSS GOLF</t>
        </is>
      </c>
      <c r="F4543" s="1" t="inlineStr">
        <is>
          <t>LONG PANTS</t>
        </is>
      </c>
      <c r="G4543" s="1" t="inlineStr">
        <is>
          <t>GF202010251278</t>
        </is>
      </c>
      <c r="H4543" s="1" t="n">
        <v>5</v>
      </c>
      <c r="I4543" s="1" t="inlineStr">
        <is>
          <t>หมด</t>
        </is>
      </c>
      <c r="J4543" s="13" t="n">
        <v>349</v>
      </c>
      <c r="K4543" s="1" t="inlineStr"/>
      <c r="L4543" s="13" t="n"/>
      <c r="M4543" s="1">
        <f>IF(L4543="","ไม่พบใน SG",IF(ABS(J4543-L4543)&lt;0.005,"ตรงกัน","ไม่ตรง"))</f>
        <v/>
      </c>
      <c r="N4543" s="14">
        <f>IF(L4543="","",ROUND(L4543*'สรุป'!$C$6,-1))</f>
        <v/>
      </c>
      <c r="O4543" s="15" t="n"/>
      <c r="P4543" s="15" t="n"/>
      <c r="Q4543" s="10" t="n"/>
      <c r="R4543" s="10" t="n"/>
      <c r="S4543" s="16" t="inlineStr">
        <is>
          <t>https://mstgolf.co.th/products/gf2020102512</t>
        </is>
      </c>
      <c r="T4543" s="1">
        <f>IF(B4543="ไม้กอล์ฟ",J4543,"")</f>
        <v/>
      </c>
    </row>
    <row r="4544">
      <c r="A4544" s="1" t="n">
        <v>3</v>
      </c>
      <c r="B4544" s="1" t="inlineStr">
        <is>
          <t>อุปกรณ์เสริม</t>
        </is>
      </c>
      <c r="C4544" s="1" t="inlineStr">
        <is>
          <t>gf3130100657</t>
        </is>
      </c>
      <c r="D4544" s="1" t="inlineStr">
        <is>
          <t>OAKLEY BXTR Metal Prizm Grey Sunglasses</t>
        </is>
      </c>
      <c r="E4544" s="1" t="inlineStr">
        <is>
          <t>OAKLEY</t>
        </is>
      </c>
      <c r="F4544" s="1" t="inlineStr">
        <is>
          <t>SUNGLASSES</t>
        </is>
      </c>
      <c r="G4544" s="1" t="inlineStr">
        <is>
          <t>GF3130100657</t>
        </is>
      </c>
      <c r="H4544" s="1" t="n">
        <v>1</v>
      </c>
      <c r="I4544" s="1" t="inlineStr">
        <is>
          <t>หมด</t>
        </is>
      </c>
      <c r="J4544" s="13" t="n">
        <v>333</v>
      </c>
      <c r="K4544" s="1" t="inlineStr"/>
      <c r="L4544" s="13" t="n">
        <v>333</v>
      </c>
      <c r="M4544" s="1">
        <f>IF(L4544="","ไม่พบใน SG",IF(ABS(J4544-L4544)&lt;0.005,"ตรงกัน","ไม่ตรง"))</f>
        <v/>
      </c>
      <c r="N4544" s="14">
        <f>IF(L4544="","",ROUND(L4544*'สรุป'!$C$6,-1))</f>
        <v/>
      </c>
      <c r="O4544" s="15" t="n"/>
      <c r="P4544" s="15" t="n"/>
      <c r="Q4544" s="10" t="n"/>
      <c r="R4544" s="10" t="n"/>
      <c r="S4544" s="16" t="inlineStr">
        <is>
          <t>https://mstgolf.co.th/products/gf3130100657</t>
        </is>
      </c>
      <c r="T4544" s="1">
        <f>IF(B4544="ไม้กอล์ฟ",J4544,"")</f>
        <v/>
      </c>
    </row>
    <row r="4545">
      <c r="A4545" s="1" t="n">
        <v>3</v>
      </c>
      <c r="B4545" s="1" t="inlineStr">
        <is>
          <t>เสื้อผ้า</t>
        </is>
      </c>
      <c r="C4545" s="1" t="inlineStr">
        <is>
          <t>gf2060101127</t>
        </is>
      </c>
      <c r="D4545" s="1" t="inlineStr">
        <is>
          <t>BOSS GOLF Signature Men's Sweater (Black)</t>
        </is>
      </c>
      <c r="E4545" s="1" t="inlineStr">
        <is>
          <t>BOSS GOLF</t>
        </is>
      </c>
      <c r="F4545" s="1" t="inlineStr">
        <is>
          <t>TOP</t>
        </is>
      </c>
      <c r="G4545" s="1" t="inlineStr">
        <is>
          <t>GF2060101127XS</t>
        </is>
      </c>
      <c r="H4545" s="1" t="n">
        <v>6</v>
      </c>
      <c r="I4545" s="1" t="inlineStr">
        <is>
          <t>หมด</t>
        </is>
      </c>
      <c r="J4545" s="13" t="n">
        <v>329</v>
      </c>
      <c r="K4545" s="1" t="inlineStr"/>
      <c r="L4545" s="13" t="n"/>
      <c r="M4545" s="1">
        <f>IF(L4545="","ไม่พบใน SG",IF(ABS(J4545-L4545)&lt;0.005,"ตรงกัน","ไม่ตรง"))</f>
        <v/>
      </c>
      <c r="N4545" s="14">
        <f>IF(L4545="","",ROUND(L4545*'สรุป'!$C$6,-1))</f>
        <v/>
      </c>
      <c r="O4545" s="15" t="n"/>
      <c r="P4545" s="15" t="n"/>
      <c r="Q4545" s="10" t="n"/>
      <c r="R4545" s="10" t="n"/>
      <c r="S4545" s="16" t="inlineStr">
        <is>
          <t>https://mstgolf.co.th/products/gf2060101127</t>
        </is>
      </c>
      <c r="T4545" s="1">
        <f>IF(B4545="ไม้กอล์ฟ",J4545,"")</f>
        <v/>
      </c>
    </row>
    <row r="4546">
      <c r="A4546" s="1" t="n">
        <v>3</v>
      </c>
      <c r="B4546" s="1" t="inlineStr">
        <is>
          <t>อุปกรณ์เสริม</t>
        </is>
      </c>
      <c r="C4546" s="1" t="inlineStr">
        <is>
          <t>gf3130100662</t>
        </is>
      </c>
      <c r="D4546" s="1" t="inlineStr">
        <is>
          <t>OAKLEY Exchange Sun Prizm Sunglasses</t>
        </is>
      </c>
      <c r="E4546" s="1" t="inlineStr">
        <is>
          <t>OAKLEY</t>
        </is>
      </c>
      <c r="F4546" s="1" t="inlineStr">
        <is>
          <t>SUNGLASSES</t>
        </is>
      </c>
      <c r="G4546" s="1" t="inlineStr">
        <is>
          <t>GF3130100662</t>
        </is>
      </c>
      <c r="H4546" s="1" t="n">
        <v>1</v>
      </c>
      <c r="I4546" s="1" t="inlineStr">
        <is>
          <t>หมด</t>
        </is>
      </c>
      <c r="J4546" s="13" t="n">
        <v>325</v>
      </c>
      <c r="K4546" s="1" t="inlineStr"/>
      <c r="L4546" s="13" t="n"/>
      <c r="M4546" s="1">
        <f>IF(L4546="","ไม่พบใน SG",IF(ABS(J4546-L4546)&lt;0.005,"ตรงกัน","ไม่ตรง"))</f>
        <v/>
      </c>
      <c r="N4546" s="14">
        <f>IF(L4546="","",ROUND(L4546*'สรุป'!$C$6,-1))</f>
        <v/>
      </c>
      <c r="O4546" s="15" t="n"/>
      <c r="P4546" s="15" t="n"/>
      <c r="Q4546" s="10" t="n"/>
      <c r="R4546" s="10" t="n"/>
      <c r="S4546" s="16" t="inlineStr">
        <is>
          <t>https://mstgolf.co.th/products/gf3130100662</t>
        </is>
      </c>
      <c r="T4546" s="1">
        <f>IF(B4546="ไม้กอล์ฟ",J4546,"")</f>
        <v/>
      </c>
    </row>
    <row r="4547">
      <c r="A4547" s="1" t="n">
        <v>3</v>
      </c>
      <c r="B4547" s="1" t="inlineStr">
        <is>
          <t>อุปกรณ์เสริม</t>
        </is>
      </c>
      <c r="C4547" s="1" t="inlineStr">
        <is>
          <t>gf3130100248</t>
        </is>
      </c>
      <c r="D4547" s="1" t="inlineStr">
        <is>
          <t>OAKLEY Flak 2.0 Polished Black Prizm Dk Golf Sunglasses</t>
        </is>
      </c>
      <c r="E4547" s="1" t="inlineStr">
        <is>
          <t>OAKLEY</t>
        </is>
      </c>
      <c r="F4547" s="1" t="inlineStr">
        <is>
          <t>SUNGLASSES</t>
        </is>
      </c>
      <c r="G4547" s="1" t="inlineStr">
        <is>
          <t>GF3130100248</t>
        </is>
      </c>
      <c r="H4547" s="1" t="n">
        <v>1</v>
      </c>
      <c r="I4547" s="1" t="inlineStr">
        <is>
          <t>หมด</t>
        </is>
      </c>
      <c r="J4547" s="13" t="n">
        <v>306</v>
      </c>
      <c r="K4547" s="1" t="inlineStr"/>
      <c r="L4547" s="13" t="n">
        <v>306</v>
      </c>
      <c r="M4547" s="1">
        <f>IF(L4547="","ไม่พบใน SG",IF(ABS(J4547-L4547)&lt;0.005,"ตรงกัน","ไม่ตรง"))</f>
        <v/>
      </c>
      <c r="N4547" s="14">
        <f>IF(L4547="","",ROUND(L4547*'สรุป'!$C$6,-1))</f>
        <v/>
      </c>
      <c r="O4547" s="15" t="n"/>
      <c r="P4547" s="15" t="n"/>
      <c r="Q4547" s="10" t="n"/>
      <c r="R4547" s="10" t="n"/>
      <c r="S4547" s="16" t="inlineStr">
        <is>
          <t>https://mstgolf.co.th/products/gf3130100248</t>
        </is>
      </c>
      <c r="T4547" s="1">
        <f>IF(B4547="ไม้กอล์ฟ",J4547,"")</f>
        <v/>
      </c>
    </row>
    <row r="4548">
      <c r="A4548" s="1" t="n">
        <v>3</v>
      </c>
      <c r="B4548" s="1" t="inlineStr">
        <is>
          <t>อุปกรณ์เสริม</t>
        </is>
      </c>
      <c r="C4548" s="1" t="inlineStr">
        <is>
          <t>gf3130100307</t>
        </is>
      </c>
      <c r="D4548" s="1" t="inlineStr">
        <is>
          <t>OAKLEY Sutro Lite Prizm Golf Sunglasses</t>
        </is>
      </c>
      <c r="E4548" s="1" t="inlineStr">
        <is>
          <t>OAKLEY</t>
        </is>
      </c>
      <c r="F4548" s="1" t="inlineStr">
        <is>
          <t>SUNGLASSES</t>
        </is>
      </c>
      <c r="G4548" s="1" t="inlineStr">
        <is>
          <t>GF3130100307</t>
        </is>
      </c>
      <c r="H4548" s="1" t="n">
        <v>1</v>
      </c>
      <c r="I4548" s="1" t="inlineStr">
        <is>
          <t>หมด</t>
        </is>
      </c>
      <c r="J4548" s="13" t="n">
        <v>306</v>
      </c>
      <c r="K4548" s="1" t="inlineStr"/>
      <c r="L4548" s="13" t="n">
        <v>325</v>
      </c>
      <c r="M4548" s="1">
        <f>IF(L4548="","ไม่พบใน SG",IF(ABS(J4548-L4548)&lt;0.005,"ตรงกัน","ไม่ตรง"))</f>
        <v/>
      </c>
      <c r="N4548" s="14">
        <f>IF(L4548="","",ROUND(L4548*'สรุป'!$C$6,-1))</f>
        <v/>
      </c>
      <c r="O4548" s="15" t="n"/>
      <c r="P4548" s="15" t="n"/>
      <c r="Q4548" s="10" t="n"/>
      <c r="R4548" s="10" t="n"/>
      <c r="S4548" s="16" t="inlineStr">
        <is>
          <t>https://mstgolf.co.th/products/gf3130100307</t>
        </is>
      </c>
      <c r="T4548" s="1">
        <f>IF(B4548="ไม้กอล์ฟ",J4548,"")</f>
        <v/>
      </c>
    </row>
    <row r="4549">
      <c r="A4549" s="1" t="n">
        <v>3</v>
      </c>
      <c r="B4549" s="1" t="inlineStr">
        <is>
          <t>เสื้อผ้า</t>
        </is>
      </c>
      <c r="C4549" s="1" t="inlineStr">
        <is>
          <t>gf2040401359</t>
        </is>
      </c>
      <c r="D4549" s="1" t="inlineStr">
        <is>
          <t>BOSS GOLF BWC Collar Point Men's Long Sleeve Shirt (White)</t>
        </is>
      </c>
      <c r="E4549" s="1" t="inlineStr">
        <is>
          <t>BOSS GOLF</t>
        </is>
      </c>
      <c r="F4549" s="1" t="inlineStr">
        <is>
          <t>LONG SLEEVES</t>
        </is>
      </c>
      <c r="G4549" s="1" t="inlineStr">
        <is>
          <t>GF2040401359M</t>
        </is>
      </c>
      <c r="H4549" s="1" t="n">
        <v>5</v>
      </c>
      <c r="I4549" s="1" t="inlineStr">
        <is>
          <t>หมด</t>
        </is>
      </c>
      <c r="J4549" s="13" t="n">
        <v>299</v>
      </c>
      <c r="K4549" s="1" t="inlineStr"/>
      <c r="L4549" s="13" t="n"/>
      <c r="M4549" s="1">
        <f>IF(L4549="","ไม่พบใน SG",IF(ABS(J4549-L4549)&lt;0.005,"ตรงกัน","ไม่ตรง"))</f>
        <v/>
      </c>
      <c r="N4549" s="14">
        <f>IF(L4549="","",ROUND(L4549*'สรุป'!$C$6,-1))</f>
        <v/>
      </c>
      <c r="O4549" s="15" t="n"/>
      <c r="P4549" s="15" t="n"/>
      <c r="Q4549" s="10" t="n"/>
      <c r="R4549" s="10" t="n"/>
      <c r="S4549" s="16" t="inlineStr">
        <is>
          <t>https://mstgolf.co.th/products/gf2040401359</t>
        </is>
      </c>
      <c r="T4549" s="1">
        <f>IF(B4549="ไม้กอล์ฟ",J4549,"")</f>
        <v/>
      </c>
    </row>
    <row r="4550">
      <c r="A4550" s="1" t="n">
        <v>3</v>
      </c>
      <c r="B4550" s="1" t="inlineStr">
        <is>
          <t>เสื้อผ้า</t>
        </is>
      </c>
      <c r="C4550" s="1" t="inlineStr">
        <is>
          <t>gf2060101095</t>
        </is>
      </c>
      <c r="D4550" s="1" t="inlineStr">
        <is>
          <t>BOSS GOLF Love Capsule Women's Jacket (Navy)</t>
        </is>
      </c>
      <c r="E4550" s="1" t="inlineStr">
        <is>
          <t>BOSS GOLF</t>
        </is>
      </c>
      <c r="F4550" s="1" t="inlineStr">
        <is>
          <t>TOP</t>
        </is>
      </c>
      <c r="G4550" s="1" t="inlineStr">
        <is>
          <t>GF2060101095XS</t>
        </is>
      </c>
      <c r="H4550" s="1" t="n">
        <v>5</v>
      </c>
      <c r="I4550" s="1" t="inlineStr">
        <is>
          <t>หมด</t>
        </is>
      </c>
      <c r="J4550" s="13" t="n">
        <v>299</v>
      </c>
      <c r="K4550" s="1" t="inlineStr"/>
      <c r="L4550" s="13" t="n"/>
      <c r="M4550" s="1">
        <f>IF(L4550="","ไม่พบใน SG",IF(ABS(J4550-L4550)&lt;0.005,"ตรงกัน","ไม่ตรง"))</f>
        <v/>
      </c>
      <c r="N4550" s="14">
        <f>IF(L4550="","",ROUND(L4550*'สรุป'!$C$6,-1))</f>
        <v/>
      </c>
      <c r="O4550" s="15" t="n"/>
      <c r="P4550" s="15" t="n"/>
      <c r="Q4550" s="10" t="n"/>
      <c r="R4550" s="10" t="n"/>
      <c r="S4550" s="16" t="inlineStr">
        <is>
          <t>https://mstgolf.co.th/products/gf2060101095</t>
        </is>
      </c>
      <c r="T4550" s="1">
        <f>IF(B4550="ไม้กอล์ฟ",J4550,"")</f>
        <v/>
      </c>
    </row>
    <row r="4551">
      <c r="A4551" s="1" t="n">
        <v>3</v>
      </c>
      <c r="B4551" s="1" t="inlineStr">
        <is>
          <t>เสื้อผ้า</t>
        </is>
      </c>
      <c r="C4551" s="1" t="inlineStr">
        <is>
          <t>gf2040119732</t>
        </is>
      </c>
      <c r="D4551" s="1" t="inlineStr">
        <is>
          <t>BOSS GOLF Seasonal Women's Polo (Light Blue)</t>
        </is>
      </c>
      <c r="E4551" s="1" t="inlineStr">
        <is>
          <t>BOSS GOLF</t>
        </is>
      </c>
      <c r="F4551" s="1" t="inlineStr">
        <is>
          <t>SHORT SLEEVES</t>
        </is>
      </c>
      <c r="G4551" s="1" t="inlineStr">
        <is>
          <t>GF204011973285</t>
        </is>
      </c>
      <c r="H4551" s="1" t="n">
        <v>6</v>
      </c>
      <c r="I4551" s="1" t="inlineStr">
        <is>
          <t>หมด</t>
        </is>
      </c>
      <c r="J4551" s="13" t="n">
        <v>299</v>
      </c>
      <c r="K4551" s="1" t="inlineStr"/>
      <c r="L4551" s="13" t="n"/>
      <c r="M4551" s="1">
        <f>IF(L4551="","ไม่พบใน SG",IF(ABS(J4551-L4551)&lt;0.005,"ตรงกัน","ไม่ตรง"))</f>
        <v/>
      </c>
      <c r="N4551" s="14">
        <f>IF(L4551="","",ROUND(L4551*'สรุป'!$C$6,-1))</f>
        <v/>
      </c>
      <c r="O4551" s="15" t="n"/>
      <c r="P4551" s="15" t="n"/>
      <c r="Q4551" s="10" t="n"/>
      <c r="R4551" s="10" t="n"/>
      <c r="S4551" s="16" t="inlineStr">
        <is>
          <t>https://mstgolf.co.th/products/gf2040119732</t>
        </is>
      </c>
      <c r="T4551" s="1">
        <f>IF(B4551="ไม้กอล์ฟ",J4551,"")</f>
        <v/>
      </c>
    </row>
    <row r="4552">
      <c r="A4552" s="1" t="n">
        <v>3</v>
      </c>
      <c r="B4552" s="1" t="inlineStr">
        <is>
          <t>เสื้อผ้า</t>
        </is>
      </c>
      <c r="C4552" s="1" t="inlineStr">
        <is>
          <t>gf2040400847</t>
        </is>
      </c>
      <c r="D4552" s="1" t="inlineStr">
        <is>
          <t>PXG Men's Long Sleeve Polo (White)</t>
        </is>
      </c>
      <c r="E4552" s="1" t="inlineStr">
        <is>
          <t>PXG</t>
        </is>
      </c>
      <c r="F4552" s="1" t="inlineStr">
        <is>
          <t>LONG SLEEVES</t>
        </is>
      </c>
      <c r="G4552" s="1" t="inlineStr">
        <is>
          <t>GF2040400847S</t>
        </is>
      </c>
      <c r="H4552" s="1" t="n">
        <v>5</v>
      </c>
      <c r="I4552" s="1" t="inlineStr">
        <is>
          <t>หมด</t>
        </is>
      </c>
      <c r="J4552" s="13" t="n">
        <v>299</v>
      </c>
      <c r="K4552" s="1" t="inlineStr"/>
      <c r="L4552" s="13" t="n"/>
      <c r="M4552" s="1">
        <f>IF(L4552="","ไม่พบใน SG",IF(ABS(J4552-L4552)&lt;0.005,"ตรงกัน","ไม่ตรง"))</f>
        <v/>
      </c>
      <c r="N4552" s="14">
        <f>IF(L4552="","",ROUND(L4552*'สรุป'!$C$6,-1))</f>
        <v/>
      </c>
      <c r="O4552" s="15" t="n"/>
      <c r="P4552" s="15" t="n"/>
      <c r="Q4552" s="10" t="n"/>
      <c r="R4552" s="10" t="n"/>
      <c r="S4552" s="16" t="inlineStr">
        <is>
          <t>https://mstgolf.co.th/products/gf2040400847</t>
        </is>
      </c>
      <c r="T4552" s="1">
        <f>IF(B4552="ไม้กอล์ฟ",J4552,"")</f>
        <v/>
      </c>
    </row>
    <row r="4553">
      <c r="A4553" s="1" t="n">
        <v>3</v>
      </c>
      <c r="B4553" s="1" t="inlineStr">
        <is>
          <t>อุปกรณ์เสริม</t>
        </is>
      </c>
      <c r="C4553" s="1" t="inlineStr">
        <is>
          <t>gf3130100658</t>
        </is>
      </c>
      <c r="D4553" s="1" t="inlineStr">
        <is>
          <t>OAKLEY BXTR Prizm Black Sunglasses</t>
        </is>
      </c>
      <c r="E4553" s="1" t="inlineStr">
        <is>
          <t>OAKLEY</t>
        </is>
      </c>
      <c r="F4553" s="1" t="inlineStr">
        <is>
          <t>SUNGLASSES</t>
        </is>
      </c>
      <c r="G4553" s="1" t="inlineStr">
        <is>
          <t>GF3130100658</t>
        </is>
      </c>
      <c r="H4553" s="1" t="n">
        <v>1</v>
      </c>
      <c r="I4553" s="1" t="inlineStr">
        <is>
          <t>หมด</t>
        </is>
      </c>
      <c r="J4553" s="13" t="n">
        <v>298</v>
      </c>
      <c r="K4553" s="1" t="inlineStr"/>
      <c r="L4553" s="13" t="n"/>
      <c r="M4553" s="1">
        <f>IF(L4553="","ไม่พบใน SG",IF(ABS(J4553-L4553)&lt;0.005,"ตรงกัน","ไม่ตรง"))</f>
        <v/>
      </c>
      <c r="N4553" s="14">
        <f>IF(L4553="","",ROUND(L4553*'สรุป'!$C$6,-1))</f>
        <v/>
      </c>
      <c r="O4553" s="15" t="n"/>
      <c r="P4553" s="15" t="n"/>
      <c r="Q4553" s="10" t="n"/>
      <c r="R4553" s="10" t="n"/>
      <c r="S4553" s="16" t="inlineStr">
        <is>
          <t>https://mstgolf.co.th/products/gf3130100658</t>
        </is>
      </c>
      <c r="T4553" s="1">
        <f>IF(B4553="ไม้กอล์ฟ",J4553,"")</f>
        <v/>
      </c>
    </row>
    <row r="4554">
      <c r="A4554" s="1" t="n">
        <v>3</v>
      </c>
      <c r="B4554" s="1" t="inlineStr">
        <is>
          <t>เสื้อผ้า</t>
        </is>
      </c>
      <c r="C4554" s="1" t="inlineStr">
        <is>
          <t>gf2060101275</t>
        </is>
      </c>
      <c r="D4554" s="1" t="inlineStr">
        <is>
          <t>WAAC Logo Women's Sweater (Ivory)</t>
        </is>
      </c>
      <c r="E4554" s="1" t="inlineStr">
        <is>
          <t>WAAC</t>
        </is>
      </c>
      <c r="F4554" s="1" t="inlineStr">
        <is>
          <t>TOP</t>
        </is>
      </c>
      <c r="G4554" s="1" t="inlineStr">
        <is>
          <t>GF2060101275XS</t>
        </is>
      </c>
      <c r="H4554" s="1" t="n">
        <v>4</v>
      </c>
      <c r="I4554" s="1" t="inlineStr">
        <is>
          <t>หมด</t>
        </is>
      </c>
      <c r="J4554" s="13" t="n">
        <v>295</v>
      </c>
      <c r="K4554" s="1" t="inlineStr"/>
      <c r="L4554" s="13" t="n"/>
      <c r="M4554" s="1">
        <f>IF(L4554="","ไม่พบใน SG",IF(ABS(J4554-L4554)&lt;0.005,"ตรงกัน","ไม่ตรง"))</f>
        <v/>
      </c>
      <c r="N4554" s="14">
        <f>IF(L4554="","",ROUND(L4554*'สรุป'!$C$6,-1))</f>
        <v/>
      </c>
      <c r="O4554" s="15" t="n"/>
      <c r="P4554" s="15" t="n"/>
      <c r="Q4554" s="10" t="n"/>
      <c r="R4554" s="10" t="n"/>
      <c r="S4554" s="16" t="inlineStr">
        <is>
          <t>https://mstgolf.co.th/products/gf2060101275</t>
        </is>
      </c>
      <c r="T4554" s="1">
        <f>IF(B4554="ไม้กอล์ฟ",J4554,"")</f>
        <v/>
      </c>
    </row>
    <row r="4555">
      <c r="A4555" s="1" t="n">
        <v>3</v>
      </c>
      <c r="B4555" s="1" t="inlineStr">
        <is>
          <t>อุปกรณ์เสริม</t>
        </is>
      </c>
      <c r="C4555" s="1" t="inlineStr">
        <is>
          <t>gf3130100404</t>
        </is>
      </c>
      <c r="D4555" s="1" t="inlineStr">
        <is>
          <t>OAKLEY Sutro Prizm Sunglasses</t>
        </is>
      </c>
      <c r="E4555" s="1" t="inlineStr">
        <is>
          <t>OAKLEY</t>
        </is>
      </c>
      <c r="F4555" s="1" t="inlineStr">
        <is>
          <t>SUNGLASSES</t>
        </is>
      </c>
      <c r="G4555" s="1" t="inlineStr">
        <is>
          <t>GF3130100404</t>
        </is>
      </c>
      <c r="H4555" s="1" t="n">
        <v>1</v>
      </c>
      <c r="I4555" s="1" t="inlineStr">
        <is>
          <t>หมด</t>
        </is>
      </c>
      <c r="J4555" s="13" t="n">
        <v>286</v>
      </c>
      <c r="K4555" s="1" t="inlineStr"/>
      <c r="L4555" s="13" t="n">
        <v>286</v>
      </c>
      <c r="M4555" s="1">
        <f>IF(L4555="","ไม่พบใน SG",IF(ABS(J4555-L4555)&lt;0.005,"ตรงกัน","ไม่ตรง"))</f>
        <v/>
      </c>
      <c r="N4555" s="14">
        <f>IF(L4555="","",ROUND(L4555*'สรุป'!$C$6,-1))</f>
        <v/>
      </c>
      <c r="O4555" s="15" t="n"/>
      <c r="P4555" s="15" t="n"/>
      <c r="Q4555" s="10" t="n"/>
      <c r="R4555" s="10" t="n"/>
      <c r="S4555" s="16" t="inlineStr">
        <is>
          <t>https://mstgolf.co.th/products/gf3130100404</t>
        </is>
      </c>
      <c r="T4555" s="1">
        <f>IF(B4555="ไม้กอล์ฟ",J4555,"")</f>
        <v/>
      </c>
    </row>
    <row r="4556">
      <c r="A4556" s="1" t="n">
        <v>3</v>
      </c>
      <c r="B4556" s="1" t="inlineStr">
        <is>
          <t>เสื้อผ้า</t>
        </is>
      </c>
      <c r="C4556" s="1" t="inlineStr">
        <is>
          <t>gf2020102527</t>
        </is>
      </c>
      <c r="D4556" s="1" t="inlineStr">
        <is>
          <t>MALBON GOLF Magnolia Men's Pleated Pants (Navy)</t>
        </is>
      </c>
      <c r="E4556" s="1" t="inlineStr">
        <is>
          <t>MALBON GOLF</t>
        </is>
      </c>
      <c r="F4556" s="1" t="inlineStr">
        <is>
          <t>LONG PANTS</t>
        </is>
      </c>
      <c r="G4556" s="1" t="inlineStr">
        <is>
          <t>GF20201025270</t>
        </is>
      </c>
      <c r="H4556" s="1" t="n">
        <v>11</v>
      </c>
      <c r="I4556" s="1" t="inlineStr">
        <is>
          <t>หมด</t>
        </is>
      </c>
      <c r="J4556" s="13" t="n">
        <v>280</v>
      </c>
      <c r="K4556" s="1" t="inlineStr"/>
      <c r="L4556" s="13" t="n"/>
      <c r="M4556" s="1">
        <f>IF(L4556="","ไม่พบใน SG",IF(ABS(J4556-L4556)&lt;0.005,"ตรงกัน","ไม่ตรง"))</f>
        <v/>
      </c>
      <c r="N4556" s="14">
        <f>IF(L4556="","",ROUND(L4556*'สรุป'!$C$6,-1))</f>
        <v/>
      </c>
      <c r="O4556" s="15" t="n"/>
      <c r="P4556" s="15" t="n"/>
      <c r="Q4556" s="10" t="n"/>
      <c r="R4556" s="10" t="n"/>
      <c r="S4556" s="16" t="inlineStr">
        <is>
          <t>https://mstgolf.co.th/products/gf2020102527</t>
        </is>
      </c>
      <c r="T4556" s="1">
        <f>IF(B4556="ไม้กอล์ฟ",J4556,"")</f>
        <v/>
      </c>
    </row>
    <row r="4557">
      <c r="A4557" s="1" t="n">
        <v>3</v>
      </c>
      <c r="B4557" s="1" t="inlineStr">
        <is>
          <t>เสื้อผ้า</t>
        </is>
      </c>
      <c r="C4557" s="1" t="inlineStr">
        <is>
          <t>gf2040119995</t>
        </is>
      </c>
      <c r="D4557" s="1" t="inlineStr">
        <is>
          <t>WAAC Multi Stripes Women's Knit Polo (Navy)</t>
        </is>
      </c>
      <c r="E4557" s="1" t="inlineStr">
        <is>
          <t>WAAC</t>
        </is>
      </c>
      <c r="F4557" s="1" t="inlineStr">
        <is>
          <t>SHORT SLEEVES</t>
        </is>
      </c>
      <c r="G4557" s="1" t="inlineStr">
        <is>
          <t>GF2040119995XS</t>
        </is>
      </c>
      <c r="H4557" s="1" t="n">
        <v>6</v>
      </c>
      <c r="I4557" s="1" t="inlineStr">
        <is>
          <t>หมด</t>
        </is>
      </c>
      <c r="J4557" s="13" t="n">
        <v>280</v>
      </c>
      <c r="K4557" s="1" t="inlineStr"/>
      <c r="L4557" s="13" t="n">
        <v>280</v>
      </c>
      <c r="M4557" s="1">
        <f>IF(L4557="","ไม่พบใน SG",IF(ABS(J4557-L4557)&lt;0.005,"ตรงกัน","ไม่ตรง"))</f>
        <v/>
      </c>
      <c r="N4557" s="14">
        <f>IF(L4557="","",ROUND(L4557*'สรุป'!$C$6,-1))</f>
        <v/>
      </c>
      <c r="O4557" s="15" t="n"/>
      <c r="P4557" s="15" t="n"/>
      <c r="Q4557" s="10" t="n"/>
      <c r="R4557" s="10" t="n"/>
      <c r="S4557" s="16" t="inlineStr">
        <is>
          <t>https://mstgolf.co.th/products/gf2040119995</t>
        </is>
      </c>
      <c r="T4557" s="1">
        <f>IF(B4557="ไม้กอล์ฟ",J4557,"")</f>
        <v/>
      </c>
    </row>
    <row r="4558">
      <c r="A4558" s="1" t="n">
        <v>3</v>
      </c>
      <c r="B4558" s="1" t="inlineStr">
        <is>
          <t>เสื้อผ้า</t>
        </is>
      </c>
      <c r="C4558" s="1" t="inlineStr">
        <is>
          <t>gf2020102361</t>
        </is>
      </c>
      <c r="D4558" s="1" t="inlineStr">
        <is>
          <t>BOSS GOLF Basic Straight Women's Pants (Black)</t>
        </is>
      </c>
      <c r="E4558" s="1" t="inlineStr">
        <is>
          <t>BOSS GOLF</t>
        </is>
      </c>
      <c r="F4558" s="1" t="inlineStr">
        <is>
          <t>LONG PANTS</t>
        </is>
      </c>
      <c r="G4558" s="1" t="inlineStr">
        <is>
          <t>GF2020102361XS</t>
        </is>
      </c>
      <c r="H4558" s="1" t="n">
        <v>5</v>
      </c>
      <c r="I4558" s="1" t="inlineStr">
        <is>
          <t>หมด</t>
        </is>
      </c>
      <c r="J4558" s="13" t="n">
        <v>279</v>
      </c>
      <c r="K4558" s="1" t="inlineStr"/>
      <c r="L4558" s="13" t="n"/>
      <c r="M4558" s="1">
        <f>IF(L4558="","ไม่พบใน SG",IF(ABS(J4558-L4558)&lt;0.005,"ตรงกัน","ไม่ตรง"))</f>
        <v/>
      </c>
      <c r="N4558" s="14">
        <f>IF(L4558="","",ROUND(L4558*'สรุป'!$C$6,-1))</f>
        <v/>
      </c>
      <c r="O4558" s="15" t="n"/>
      <c r="P4558" s="15" t="n"/>
      <c r="Q4558" s="10" t="n"/>
      <c r="R4558" s="10" t="n"/>
      <c r="S4558" s="16" t="inlineStr">
        <is>
          <t>https://mstgolf.co.th/products/gf2020102361</t>
        </is>
      </c>
      <c r="T4558" s="1">
        <f>IF(B4558="ไม้กอล์ฟ",J4558,"")</f>
        <v/>
      </c>
    </row>
    <row r="4559">
      <c r="A4559" s="1" t="n">
        <v>3</v>
      </c>
      <c r="B4559" s="1" t="inlineStr">
        <is>
          <t>อุปกรณ์เสริม</t>
        </is>
      </c>
      <c r="C4559" s="1" t="inlineStr">
        <is>
          <t>gf3130100495</t>
        </is>
      </c>
      <c r="D4559" s="1" t="inlineStr">
        <is>
          <t>OAKLEY Sylas MotoGP Prizm Black Sunglasses</t>
        </is>
      </c>
      <c r="E4559" s="1" t="inlineStr">
        <is>
          <t>OAKLEY</t>
        </is>
      </c>
      <c r="F4559" s="1" t="inlineStr">
        <is>
          <t>SUNGLASSES</t>
        </is>
      </c>
      <c r="G4559" s="1" t="inlineStr">
        <is>
          <t>GF3130100495</t>
        </is>
      </c>
      <c r="H4559" s="1" t="n">
        <v>1</v>
      </c>
      <c r="I4559" s="1" t="inlineStr">
        <is>
          <t>หมด</t>
        </is>
      </c>
      <c r="J4559" s="13" t="n">
        <v>275</v>
      </c>
      <c r="K4559" s="1" t="inlineStr"/>
      <c r="L4559" s="13" t="n"/>
      <c r="M4559" s="1">
        <f>IF(L4559="","ไม่พบใน SG",IF(ABS(J4559-L4559)&lt;0.005,"ตรงกัน","ไม่ตรง"))</f>
        <v/>
      </c>
      <c r="N4559" s="14">
        <f>IF(L4559="","",ROUND(L4559*'สรุป'!$C$6,-1))</f>
        <v/>
      </c>
      <c r="O4559" s="15" t="n"/>
      <c r="P4559" s="15" t="n"/>
      <c r="Q4559" s="10" t="n"/>
      <c r="R4559" s="10" t="n"/>
      <c r="S4559" s="16" t="inlineStr">
        <is>
          <t>https://mstgolf.co.th/products/gf3130100495</t>
        </is>
      </c>
      <c r="T4559" s="1">
        <f>IF(B4559="ไม้กอล์ฟ",J4559,"")</f>
        <v/>
      </c>
    </row>
    <row r="4560">
      <c r="A4560" s="1" t="n">
        <v>3</v>
      </c>
      <c r="B4560" s="1" t="inlineStr">
        <is>
          <t>อุปกรณ์เสริม</t>
        </is>
      </c>
      <c r="C4560" s="1" t="inlineStr">
        <is>
          <t>gf3130100499</t>
        </is>
      </c>
      <c r="D4560" s="1" t="inlineStr">
        <is>
          <t>OAKLEY Castel Prizm Ruby Sunglasses</t>
        </is>
      </c>
      <c r="E4560" s="1" t="inlineStr">
        <is>
          <t>OAKLEY</t>
        </is>
      </c>
      <c r="F4560" s="1" t="inlineStr">
        <is>
          <t>SUNGLASSES</t>
        </is>
      </c>
      <c r="G4560" s="1" t="inlineStr">
        <is>
          <t>GF3130100499</t>
        </is>
      </c>
      <c r="H4560" s="1" t="n">
        <v>1</v>
      </c>
      <c r="I4560" s="1" t="inlineStr">
        <is>
          <t>หมด</t>
        </is>
      </c>
      <c r="J4560" s="13" t="n">
        <v>269</v>
      </c>
      <c r="K4560" s="1" t="inlineStr"/>
      <c r="L4560" s="13" t="n"/>
      <c r="M4560" s="1">
        <f>IF(L4560="","ไม่พบใน SG",IF(ABS(J4560-L4560)&lt;0.005,"ตรงกัน","ไม่ตรง"))</f>
        <v/>
      </c>
      <c r="N4560" s="14">
        <f>IF(L4560="","",ROUND(L4560*'สรุป'!$C$6,-1))</f>
        <v/>
      </c>
      <c r="O4560" s="15" t="n"/>
      <c r="P4560" s="15" t="n"/>
      <c r="Q4560" s="10" t="n"/>
      <c r="R4560" s="10" t="n"/>
      <c r="S4560" s="16" t="inlineStr">
        <is>
          <t>https://mstgolf.co.th/products/gf3130100499</t>
        </is>
      </c>
      <c r="T4560" s="1">
        <f>IF(B4560="ไม้กอล์ฟ",J4560,"")</f>
        <v/>
      </c>
    </row>
    <row r="4561">
      <c r="A4561" s="1" t="n">
        <v>3</v>
      </c>
      <c r="B4561" s="1" t="inlineStr">
        <is>
          <t>เสื้อผ้า</t>
        </is>
      </c>
      <c r="C4561" s="1" t="inlineStr">
        <is>
          <t>gf2040118034</t>
        </is>
      </c>
      <c r="D4561" s="1" t="inlineStr">
        <is>
          <t>WAAC Korea Dots Knit Women's Vest (Navy)</t>
        </is>
      </c>
      <c r="E4561" s="1" t="inlineStr">
        <is>
          <t>WAAC</t>
        </is>
      </c>
      <c r="F4561" s="1" t="inlineStr">
        <is>
          <t>SHORT SLEEVES</t>
        </is>
      </c>
      <c r="G4561" s="1" t="inlineStr">
        <is>
          <t>GF2040118034XS</t>
        </is>
      </c>
      <c r="H4561" s="1" t="n">
        <v>6</v>
      </c>
      <c r="I4561" s="1" t="inlineStr">
        <is>
          <t>หมด</t>
        </is>
      </c>
      <c r="J4561" s="13" t="n">
        <v>269</v>
      </c>
      <c r="K4561" s="1" t="inlineStr"/>
      <c r="L4561" s="13" t="n"/>
      <c r="M4561" s="1">
        <f>IF(L4561="","ไม่พบใน SG",IF(ABS(J4561-L4561)&lt;0.005,"ตรงกัน","ไม่ตรง"))</f>
        <v/>
      </c>
      <c r="N4561" s="14">
        <f>IF(L4561="","",ROUND(L4561*'สรุป'!$C$6,-1))</f>
        <v/>
      </c>
      <c r="O4561" s="15" t="n"/>
      <c r="P4561" s="15" t="n"/>
      <c r="Q4561" s="10" t="n"/>
      <c r="R4561" s="10" t="n"/>
      <c r="S4561" s="16" t="inlineStr">
        <is>
          <t>https://mstgolf.co.th/products/gf2040118034</t>
        </is>
      </c>
      <c r="T4561" s="1">
        <f>IF(B4561="ไม้กอล์ฟ",J4561,"")</f>
        <v/>
      </c>
    </row>
    <row r="4562">
      <c r="A4562" s="1" t="n">
        <v>3</v>
      </c>
      <c r="B4562" s="1" t="inlineStr">
        <is>
          <t>เสื้อผ้า</t>
        </is>
      </c>
      <c r="C4562" s="1" t="inlineStr">
        <is>
          <t>gf2060101066</t>
        </is>
      </c>
      <c r="D4562" s="1" t="inlineStr">
        <is>
          <t>WAAC Korea Loose Women's Jacket (White)</t>
        </is>
      </c>
      <c r="E4562" s="1" t="inlineStr">
        <is>
          <t>WAAC</t>
        </is>
      </c>
      <c r="F4562" s="1" t="inlineStr">
        <is>
          <t>TOP</t>
        </is>
      </c>
      <c r="G4562" s="1" t="inlineStr">
        <is>
          <t>GF2060101066XS</t>
        </is>
      </c>
      <c r="H4562" s="1" t="n">
        <v>6</v>
      </c>
      <c r="I4562" s="1" t="inlineStr">
        <is>
          <t>หมด</t>
        </is>
      </c>
      <c r="J4562" s="13" t="n">
        <v>269</v>
      </c>
      <c r="K4562" s="1" t="inlineStr"/>
      <c r="L4562" s="13" t="n"/>
      <c r="M4562" s="1">
        <f>IF(L4562="","ไม่พบใน SG",IF(ABS(J4562-L4562)&lt;0.005,"ตรงกัน","ไม่ตรง"))</f>
        <v/>
      </c>
      <c r="N4562" s="14">
        <f>IF(L4562="","",ROUND(L4562*'สรุป'!$C$6,-1))</f>
        <v/>
      </c>
      <c r="O4562" s="15" t="n"/>
      <c r="P4562" s="15" t="n"/>
      <c r="Q4562" s="10" t="n"/>
      <c r="R4562" s="10" t="n"/>
      <c r="S4562" s="16" t="inlineStr">
        <is>
          <t>https://mstgolf.co.th/products/gf2060101066</t>
        </is>
      </c>
      <c r="T4562" s="1">
        <f>IF(B4562="ไม้กอล์ฟ",J4562,"")</f>
        <v/>
      </c>
    </row>
    <row r="4563">
      <c r="A4563" s="1" t="n">
        <v>3</v>
      </c>
      <c r="B4563" s="1" t="inlineStr">
        <is>
          <t>เสื้อผ้า</t>
        </is>
      </c>
      <c r="C4563" s="1" t="inlineStr">
        <is>
          <t>gf2040119730</t>
        </is>
      </c>
      <c r="D4563" s="1" t="inlineStr">
        <is>
          <t>BOSS GOLF Seasonal Women's Polo (Yellow)</t>
        </is>
      </c>
      <c r="E4563" s="1" t="inlineStr">
        <is>
          <t>BOSS GOLF</t>
        </is>
      </c>
      <c r="F4563" s="1" t="inlineStr">
        <is>
          <t>SHORT SLEEVES</t>
        </is>
      </c>
      <c r="G4563" s="1" t="inlineStr">
        <is>
          <t>GF204011973085</t>
        </is>
      </c>
      <c r="H4563" s="1" t="n">
        <v>6</v>
      </c>
      <c r="I4563" s="1" t="inlineStr">
        <is>
          <t>หมด</t>
        </is>
      </c>
      <c r="J4563" s="13" t="n">
        <v>265</v>
      </c>
      <c r="K4563" s="1" t="inlineStr"/>
      <c r="L4563" s="13" t="n"/>
      <c r="M4563" s="1">
        <f>IF(L4563="","ไม่พบใน SG",IF(ABS(J4563-L4563)&lt;0.005,"ตรงกัน","ไม่ตรง"))</f>
        <v/>
      </c>
      <c r="N4563" s="14">
        <f>IF(L4563="","",ROUND(L4563*'สรุป'!$C$6,-1))</f>
        <v/>
      </c>
      <c r="O4563" s="15" t="n"/>
      <c r="P4563" s="15" t="n"/>
      <c r="Q4563" s="10" t="n"/>
      <c r="R4563" s="10" t="n"/>
      <c r="S4563" s="16" t="inlineStr">
        <is>
          <t>https://mstgolf.co.th/products/gf2040119730</t>
        </is>
      </c>
      <c r="T4563" s="1">
        <f>IF(B4563="ไม้กอล์ฟ",J4563,"")</f>
        <v/>
      </c>
    </row>
    <row r="4564">
      <c r="A4564" s="1" t="n">
        <v>3</v>
      </c>
      <c r="B4564" s="1" t="inlineStr">
        <is>
          <t>อุปกรณ์เสริม</t>
        </is>
      </c>
      <c r="C4564" s="1" t="inlineStr">
        <is>
          <t>gf3130100246</t>
        </is>
      </c>
      <c r="D4564" s="1" t="inlineStr">
        <is>
          <t>OAKLEY Flak Beta Prizm Golf Sunglasses</t>
        </is>
      </c>
      <c r="E4564" s="1" t="inlineStr">
        <is>
          <t>OAKLEY</t>
        </is>
      </c>
      <c r="F4564" s="1" t="inlineStr">
        <is>
          <t>SUNGLASSES</t>
        </is>
      </c>
      <c r="G4564" s="1" t="inlineStr">
        <is>
          <t>GF3130100246</t>
        </is>
      </c>
      <c r="H4564" s="1" t="n">
        <v>1</v>
      </c>
      <c r="I4564" s="1" t="inlineStr">
        <is>
          <t>หมด</t>
        </is>
      </c>
      <c r="J4564" s="13" t="n">
        <v>265</v>
      </c>
      <c r="K4564" s="1" t="inlineStr"/>
      <c r="L4564" s="13" t="n">
        <v>265</v>
      </c>
      <c r="M4564" s="1">
        <f>IF(L4564="","ไม่พบใน SG",IF(ABS(J4564-L4564)&lt;0.005,"ตรงกัน","ไม่ตรง"))</f>
        <v/>
      </c>
      <c r="N4564" s="14">
        <f>IF(L4564="","",ROUND(L4564*'สรุป'!$C$6,-1))</f>
        <v/>
      </c>
      <c r="O4564" s="15" t="n"/>
      <c r="P4564" s="15" t="n"/>
      <c r="Q4564" s="10" t="n"/>
      <c r="R4564" s="10" t="n"/>
      <c r="S4564" s="16" t="inlineStr">
        <is>
          <t>https://mstgolf.co.th/products/gf3130100246</t>
        </is>
      </c>
      <c r="T4564" s="1">
        <f>IF(B4564="ไม้กอล์ฟ",J4564,"")</f>
        <v/>
      </c>
    </row>
    <row r="4565">
      <c r="A4565" s="1" t="n">
        <v>3</v>
      </c>
      <c r="B4565" s="1" t="inlineStr">
        <is>
          <t>เสื้อผ้า</t>
        </is>
      </c>
      <c r="C4565" s="1" t="inlineStr">
        <is>
          <t>gf2040120622</t>
        </is>
      </c>
      <c r="D4565" s="1" t="inlineStr">
        <is>
          <t>WAAC Waacky Jacquard Women's Sleeveless Hoodie (White)</t>
        </is>
      </c>
      <c r="E4565" s="1" t="inlineStr">
        <is>
          <t>WAAC</t>
        </is>
      </c>
      <c r="F4565" s="1" t="inlineStr">
        <is>
          <t>SHORT SLEEVES</t>
        </is>
      </c>
      <c r="G4565" s="1" t="inlineStr">
        <is>
          <t>GF2040120622XS</t>
        </is>
      </c>
      <c r="H4565" s="1" t="n">
        <v>4</v>
      </c>
      <c r="I4565" s="1" t="inlineStr">
        <is>
          <t>หมด</t>
        </is>
      </c>
      <c r="J4565" s="13" t="n">
        <v>260</v>
      </c>
      <c r="K4565" s="1" t="inlineStr"/>
      <c r="L4565" s="13" t="n"/>
      <c r="M4565" s="1">
        <f>IF(L4565="","ไม่พบใน SG",IF(ABS(J4565-L4565)&lt;0.005,"ตรงกัน","ไม่ตรง"))</f>
        <v/>
      </c>
      <c r="N4565" s="14">
        <f>IF(L4565="","",ROUND(L4565*'สรุป'!$C$6,-1))</f>
        <v/>
      </c>
      <c r="O4565" s="15" t="n"/>
      <c r="P4565" s="15" t="n"/>
      <c r="Q4565" s="10" t="n"/>
      <c r="R4565" s="10" t="n"/>
      <c r="S4565" s="16" t="inlineStr">
        <is>
          <t>https://mstgolf.co.th/products/gf2040120622</t>
        </is>
      </c>
      <c r="T4565" s="1">
        <f>IF(B4565="ไม้กอล์ฟ",J4565,"")</f>
        <v/>
      </c>
    </row>
    <row r="4566">
      <c r="A4566" s="1" t="n">
        <v>3</v>
      </c>
      <c r="B4566" s="1" t="inlineStr">
        <is>
          <t>เสื้อผ้า</t>
        </is>
      </c>
      <c r="C4566" s="1" t="inlineStr">
        <is>
          <t>gf2020102360</t>
        </is>
      </c>
      <c r="D4566" s="1" t="inlineStr">
        <is>
          <t>BOSS GOLF Performance Perforated Men's Pants (Black)</t>
        </is>
      </c>
      <c r="E4566" s="1" t="inlineStr">
        <is>
          <t>BOSS GOLF</t>
        </is>
      </c>
      <c r="F4566" s="1" t="inlineStr">
        <is>
          <t>LONG PANTS</t>
        </is>
      </c>
      <c r="G4566" s="1" t="inlineStr">
        <is>
          <t>GF2020102360S</t>
        </is>
      </c>
      <c r="H4566" s="1" t="n">
        <v>7</v>
      </c>
      <c r="I4566" s="1" t="inlineStr">
        <is>
          <t>หมด</t>
        </is>
      </c>
      <c r="J4566" s="13" t="n">
        <v>259</v>
      </c>
      <c r="K4566" s="1" t="inlineStr"/>
      <c r="L4566" s="13" t="n"/>
      <c r="M4566" s="1">
        <f>IF(L4566="","ไม่พบใน SG",IF(ABS(J4566-L4566)&lt;0.005,"ตรงกัน","ไม่ตรง"))</f>
        <v/>
      </c>
      <c r="N4566" s="14">
        <f>IF(L4566="","",ROUND(L4566*'สรุป'!$C$6,-1))</f>
        <v/>
      </c>
      <c r="O4566" s="15" t="n"/>
      <c r="P4566" s="15" t="n"/>
      <c r="Q4566" s="10" t="n"/>
      <c r="R4566" s="10" t="n"/>
      <c r="S4566" s="16" t="inlineStr">
        <is>
          <t>https://mstgolf.co.th/products/gf2020102360</t>
        </is>
      </c>
      <c r="T4566" s="1">
        <f>IF(B4566="ไม้กอล์ฟ",J4566,"")</f>
        <v/>
      </c>
    </row>
    <row r="4567">
      <c r="A4567" s="1" t="n">
        <v>3</v>
      </c>
      <c r="B4567" s="1" t="inlineStr">
        <is>
          <t>เสื้อผ้า</t>
        </is>
      </c>
      <c r="C4567" s="1" t="inlineStr">
        <is>
          <t>gf2020102358</t>
        </is>
      </c>
      <c r="D4567" s="1" t="inlineStr">
        <is>
          <t>BOSS GOLF Double B Men's Pants (Black)</t>
        </is>
      </c>
      <c r="E4567" s="1" t="inlineStr">
        <is>
          <t>BOSS GOLF</t>
        </is>
      </c>
      <c r="F4567" s="1" t="inlineStr">
        <is>
          <t>LONG PANTS</t>
        </is>
      </c>
      <c r="G4567" s="1" t="inlineStr">
        <is>
          <t>GF2020102358S</t>
        </is>
      </c>
      <c r="H4567" s="1" t="n">
        <v>7</v>
      </c>
      <c r="I4567" s="1" t="inlineStr">
        <is>
          <t>หมด</t>
        </is>
      </c>
      <c r="J4567" s="13" t="n">
        <v>245</v>
      </c>
      <c r="K4567" s="1" t="inlineStr"/>
      <c r="L4567" s="13" t="n"/>
      <c r="M4567" s="1">
        <f>IF(L4567="","ไม่พบใน SG",IF(ABS(J4567-L4567)&lt;0.005,"ตรงกัน","ไม่ตรง"))</f>
        <v/>
      </c>
      <c r="N4567" s="14">
        <f>IF(L4567="","",ROUND(L4567*'สรุป'!$C$6,-1))</f>
        <v/>
      </c>
      <c r="O4567" s="15" t="n"/>
      <c r="P4567" s="15" t="n"/>
      <c r="Q4567" s="10" t="n"/>
      <c r="R4567" s="10" t="n"/>
      <c r="S4567" s="16" t="inlineStr">
        <is>
          <t>https://mstgolf.co.th/products/gf2020102358</t>
        </is>
      </c>
      <c r="T4567" s="1">
        <f>IF(B4567="ไม้กอล์ฟ",J4567,"")</f>
        <v/>
      </c>
    </row>
    <row r="4568">
      <c r="A4568" s="1" t="n">
        <v>3</v>
      </c>
      <c r="B4568" s="1" t="inlineStr">
        <is>
          <t>เสื้อผ้า</t>
        </is>
      </c>
      <c r="C4568" s="1" t="inlineStr">
        <is>
          <t>gf2040200101</t>
        </is>
      </c>
      <c r="D4568" s="1" t="inlineStr">
        <is>
          <t>BOSS GOLF Hot Summer Men's T-Shirt (Black)</t>
        </is>
      </c>
      <c r="E4568" s="1" t="inlineStr">
        <is>
          <t>BOSS GOLF</t>
        </is>
      </c>
      <c r="F4568" s="1" t="inlineStr">
        <is>
          <t>TEE SHIRT</t>
        </is>
      </c>
      <c r="G4568" s="1" t="inlineStr">
        <is>
          <t>GF2040200101XS</t>
        </is>
      </c>
      <c r="H4568" s="1" t="n">
        <v>6</v>
      </c>
      <c r="I4568" s="1" t="inlineStr">
        <is>
          <t>หมด</t>
        </is>
      </c>
      <c r="J4568" s="13" t="n">
        <v>245</v>
      </c>
      <c r="K4568" s="1" t="inlineStr"/>
      <c r="L4568" s="13" t="n"/>
      <c r="M4568" s="1">
        <f>IF(L4568="","ไม่พบใน SG",IF(ABS(J4568-L4568)&lt;0.005,"ตรงกัน","ไม่ตรง"))</f>
        <v/>
      </c>
      <c r="N4568" s="14">
        <f>IF(L4568="","",ROUND(L4568*'สรุป'!$C$6,-1))</f>
        <v/>
      </c>
      <c r="O4568" s="15" t="n"/>
      <c r="P4568" s="15" t="n"/>
      <c r="Q4568" s="10" t="n"/>
      <c r="R4568" s="10" t="n"/>
      <c r="S4568" s="16" t="inlineStr">
        <is>
          <t>https://mstgolf.co.th/products/gf2040200101</t>
        </is>
      </c>
      <c r="T4568" s="1">
        <f>IF(B4568="ไม้กอล์ฟ",J4568,"")</f>
        <v/>
      </c>
    </row>
    <row r="4569">
      <c r="A4569" s="1" t="n">
        <v>3</v>
      </c>
      <c r="B4569" s="1" t="inlineStr">
        <is>
          <t>เสื้อผ้า</t>
        </is>
      </c>
      <c r="C4569" s="1" t="inlineStr">
        <is>
          <t>gf2020102359</t>
        </is>
      </c>
      <c r="D4569" s="1" t="inlineStr">
        <is>
          <t>BOSS GOLF Sea Line Men's Pants (White)</t>
        </is>
      </c>
      <c r="E4569" s="1" t="inlineStr">
        <is>
          <t>BOSS GOLF</t>
        </is>
      </c>
      <c r="F4569" s="1" t="inlineStr">
        <is>
          <t>LONG PANTS</t>
        </is>
      </c>
      <c r="G4569" s="1" t="inlineStr">
        <is>
          <t>GF2020102359S</t>
        </is>
      </c>
      <c r="H4569" s="1" t="n">
        <v>7</v>
      </c>
      <c r="I4569" s="1" t="inlineStr">
        <is>
          <t>หมด</t>
        </is>
      </c>
      <c r="J4569" s="13" t="n">
        <v>245</v>
      </c>
      <c r="K4569" s="1" t="inlineStr"/>
      <c r="L4569" s="13" t="n"/>
      <c r="M4569" s="1">
        <f>IF(L4569="","ไม่พบใน SG",IF(ABS(J4569-L4569)&lt;0.005,"ตรงกัน","ไม่ตรง"))</f>
        <v/>
      </c>
      <c r="N4569" s="14">
        <f>IF(L4569="","",ROUND(L4569*'สรุป'!$C$6,-1))</f>
        <v/>
      </c>
      <c r="O4569" s="15" t="n"/>
      <c r="P4569" s="15" t="n"/>
      <c r="Q4569" s="10" t="n"/>
      <c r="R4569" s="10" t="n"/>
      <c r="S4569" s="16" t="inlineStr">
        <is>
          <t>https://mstgolf.co.th/products/gf2020102359</t>
        </is>
      </c>
      <c r="T4569" s="1">
        <f>IF(B4569="ไม้กอล์ฟ",J4569,"")</f>
        <v/>
      </c>
    </row>
    <row r="4570">
      <c r="A4570" s="1" t="n">
        <v>3</v>
      </c>
      <c r="B4570" s="1" t="inlineStr">
        <is>
          <t>เสื้อผ้า</t>
        </is>
      </c>
      <c r="C4570" s="1" t="inlineStr">
        <is>
          <t>gf2020300060</t>
        </is>
      </c>
      <c r="D4570" s="1" t="inlineStr">
        <is>
          <t>MALBON GOLF Joelle Pleated Skirt (Ivory)</t>
        </is>
      </c>
      <c r="E4570" s="1" t="inlineStr">
        <is>
          <t>MALBON GOLF</t>
        </is>
      </c>
      <c r="F4570" s="1" t="inlineStr">
        <is>
          <t>SKORTS</t>
        </is>
      </c>
      <c r="G4570" s="1" t="inlineStr">
        <is>
          <t>GF20203000600</t>
        </is>
      </c>
      <c r="H4570" s="1" t="n">
        <v>6</v>
      </c>
      <c r="I4570" s="1" t="inlineStr">
        <is>
          <t>หมด</t>
        </is>
      </c>
      <c r="J4570" s="13" t="n">
        <v>245</v>
      </c>
      <c r="K4570" s="1" t="inlineStr"/>
      <c r="L4570" s="13" t="n"/>
      <c r="M4570" s="1">
        <f>IF(L4570="","ไม่พบใน SG",IF(ABS(J4570-L4570)&lt;0.005,"ตรงกัน","ไม่ตรง"))</f>
        <v/>
      </c>
      <c r="N4570" s="14">
        <f>IF(L4570="","",ROUND(L4570*'สรุป'!$C$6,-1))</f>
        <v/>
      </c>
      <c r="O4570" s="15" t="n"/>
      <c r="P4570" s="15" t="n"/>
      <c r="Q4570" s="10" t="n"/>
      <c r="R4570" s="10" t="n"/>
      <c r="S4570" s="16" t="inlineStr">
        <is>
          <t>https://mstgolf.co.th/products/gf2020300060</t>
        </is>
      </c>
      <c r="T4570" s="1">
        <f>IF(B4570="ไม้กอล์ฟ",J4570,"")</f>
        <v/>
      </c>
    </row>
    <row r="4571">
      <c r="A4571" s="1" t="n">
        <v>3</v>
      </c>
      <c r="B4571" s="1" t="inlineStr">
        <is>
          <t>เสื้อผ้า</t>
        </is>
      </c>
      <c r="C4571" s="1" t="inlineStr">
        <is>
          <t>gf2060101212</t>
        </is>
      </c>
      <c r="D4571" s="1" t="inlineStr">
        <is>
          <t>MALBON GOLF University Double Zip Men's Jacket (Cream)</t>
        </is>
      </c>
      <c r="E4571" s="1" t="inlineStr">
        <is>
          <t>MALBON GOLF</t>
        </is>
      </c>
      <c r="F4571" s="1" t="inlineStr">
        <is>
          <t>TOP</t>
        </is>
      </c>
      <c r="G4571" s="1" t="inlineStr">
        <is>
          <t>GF2060101212S</t>
        </is>
      </c>
      <c r="H4571" s="1" t="n">
        <v>5</v>
      </c>
      <c r="I4571" s="1" t="inlineStr">
        <is>
          <t>หมด</t>
        </is>
      </c>
      <c r="J4571" s="13" t="n">
        <v>245</v>
      </c>
      <c r="K4571" s="1" t="inlineStr"/>
      <c r="L4571" s="13" t="n">
        <v>245</v>
      </c>
      <c r="M4571" s="1">
        <f>IF(L4571="","ไม่พบใน SG",IF(ABS(J4571-L4571)&lt;0.005,"ตรงกัน","ไม่ตรง"))</f>
        <v/>
      </c>
      <c r="N4571" s="14">
        <f>IF(L4571="","",ROUND(L4571*'สรุป'!$C$6,-1))</f>
        <v/>
      </c>
      <c r="O4571" s="15" t="n"/>
      <c r="P4571" s="15" t="n"/>
      <c r="Q4571" s="10" t="n"/>
      <c r="R4571" s="10" t="n"/>
      <c r="S4571" s="16" t="inlineStr">
        <is>
          <t>https://mstgolf.co.th/products/gf2060101212</t>
        </is>
      </c>
      <c r="T4571" s="1">
        <f>IF(B4571="ไม้กอล์ฟ",J4571,"")</f>
        <v/>
      </c>
    </row>
    <row r="4572">
      <c r="A4572" s="1" t="n">
        <v>3</v>
      </c>
      <c r="B4572" s="1" t="inlineStr">
        <is>
          <t>เสื้อผ้า</t>
        </is>
      </c>
      <c r="C4572" s="1" t="inlineStr">
        <is>
          <t>gf2060101285</t>
        </is>
      </c>
      <c r="D4572" s="1" t="inlineStr">
        <is>
          <t>ADIDAS Originals Cashmere Men's Sweatshirt (Orange)</t>
        </is>
      </c>
      <c r="E4572" s="1" t="inlineStr">
        <is>
          <t>ADIDAS</t>
        </is>
      </c>
      <c r="F4572" s="1" t="inlineStr">
        <is>
          <t>TOP</t>
        </is>
      </c>
      <c r="G4572" s="1" t="inlineStr">
        <is>
          <t>GF2060101285XS</t>
        </is>
      </c>
      <c r="H4572" s="1" t="n">
        <v>6</v>
      </c>
      <c r="I4572" s="1" t="inlineStr">
        <is>
          <t>หมด</t>
        </is>
      </c>
      <c r="J4572" s="13" t="n">
        <v>239</v>
      </c>
      <c r="K4572" s="1" t="inlineStr"/>
      <c r="L4572" s="13" t="n"/>
      <c r="M4572" s="1">
        <f>IF(L4572="","ไม่พบใน SG",IF(ABS(J4572-L4572)&lt;0.005,"ตรงกัน","ไม่ตรง"))</f>
        <v/>
      </c>
      <c r="N4572" s="14">
        <f>IF(L4572="","",ROUND(L4572*'สรุป'!$C$6,-1))</f>
        <v/>
      </c>
      <c r="O4572" s="15" t="n"/>
      <c r="P4572" s="15" t="n"/>
      <c r="Q4572" s="10" t="n"/>
      <c r="R4572" s="10" t="n"/>
      <c r="S4572" s="16" t="inlineStr">
        <is>
          <t>https://mstgolf.co.th/products/gf2060101285</t>
        </is>
      </c>
      <c r="T4572" s="1">
        <f>IF(B4572="ไม้กอล์ฟ",J4572,"")</f>
        <v/>
      </c>
    </row>
    <row r="4573">
      <c r="A4573" s="1" t="n">
        <v>3</v>
      </c>
      <c r="B4573" s="1" t="inlineStr">
        <is>
          <t>เสื้อผ้า</t>
        </is>
      </c>
      <c r="C4573" s="1" t="inlineStr">
        <is>
          <t>gf2020202439</t>
        </is>
      </c>
      <c r="D4573" s="1" t="inlineStr">
        <is>
          <t>WAAC Korea Pleated Skort (Pink)</t>
        </is>
      </c>
      <c r="E4573" s="1" t="inlineStr">
        <is>
          <t>WAAC</t>
        </is>
      </c>
      <c r="F4573" s="1" t="inlineStr">
        <is>
          <t>SHORT PANTS</t>
        </is>
      </c>
      <c r="G4573" s="1" t="inlineStr">
        <is>
          <t>GF2020202439XS</t>
        </is>
      </c>
      <c r="H4573" s="1" t="n">
        <v>12</v>
      </c>
      <c r="I4573" s="1" t="inlineStr">
        <is>
          <t>หมด</t>
        </is>
      </c>
      <c r="J4573" s="13" t="n">
        <v>239</v>
      </c>
      <c r="K4573" s="1" t="inlineStr"/>
      <c r="L4573" s="13" t="n">
        <v>239</v>
      </c>
      <c r="M4573" s="1">
        <f>IF(L4573="","ไม่พบใน SG",IF(ABS(J4573-L4573)&lt;0.005,"ตรงกัน","ไม่ตรง"))</f>
        <v/>
      </c>
      <c r="N4573" s="14">
        <f>IF(L4573="","",ROUND(L4573*'สรุป'!$C$6,-1))</f>
        <v/>
      </c>
      <c r="O4573" s="15" t="n"/>
      <c r="P4573" s="15" t="n"/>
      <c r="Q4573" s="10" t="n"/>
      <c r="R4573" s="10" t="n"/>
      <c r="S4573" s="16" t="inlineStr">
        <is>
          <t>https://mstgolf.co.th/products/gf2020202439</t>
        </is>
      </c>
      <c r="T4573" s="1">
        <f>IF(B4573="ไม้กอล์ฟ",J4573,"")</f>
        <v/>
      </c>
    </row>
    <row r="4574">
      <c r="A4574" s="1" t="n">
        <v>3</v>
      </c>
      <c r="B4574" s="1" t="inlineStr">
        <is>
          <t>อุปกรณ์เสริม</t>
        </is>
      </c>
      <c r="C4574" s="1" t="inlineStr">
        <is>
          <t>gf3130100663</t>
        </is>
      </c>
      <c r="D4574" s="1" t="inlineStr">
        <is>
          <t>OAKLEY Gibston Prizm Grey Sunglasses</t>
        </is>
      </c>
      <c r="E4574" s="1" t="inlineStr">
        <is>
          <t>OAKLEY</t>
        </is>
      </c>
      <c r="F4574" s="1" t="inlineStr">
        <is>
          <t>SUNGLASSES</t>
        </is>
      </c>
      <c r="G4574" s="1" t="inlineStr">
        <is>
          <t>GF3130100663</t>
        </is>
      </c>
      <c r="H4574" s="1" t="n">
        <v>1</v>
      </c>
      <c r="I4574" s="1" t="inlineStr">
        <is>
          <t>หมด</t>
        </is>
      </c>
      <c r="J4574" s="13" t="n">
        <v>232</v>
      </c>
      <c r="K4574" s="1" t="inlineStr"/>
      <c r="L4574" s="13" t="n"/>
      <c r="M4574" s="1">
        <f>IF(L4574="","ไม่พบใน SG",IF(ABS(J4574-L4574)&lt;0.005,"ตรงกัน","ไม่ตรง"))</f>
        <v/>
      </c>
      <c r="N4574" s="14">
        <f>IF(L4574="","",ROUND(L4574*'สรุป'!$C$6,-1))</f>
        <v/>
      </c>
      <c r="O4574" s="15" t="n"/>
      <c r="P4574" s="15" t="n"/>
      <c r="Q4574" s="10" t="n"/>
      <c r="R4574" s="10" t="n"/>
      <c r="S4574" s="16" t="inlineStr">
        <is>
          <t>https://mstgolf.co.th/products/gf3130100663</t>
        </is>
      </c>
      <c r="T4574" s="1">
        <f>IF(B4574="ไม้กอล์ฟ",J4574,"")</f>
        <v/>
      </c>
    </row>
    <row r="4575">
      <c r="A4575" s="1" t="n">
        <v>3</v>
      </c>
      <c r="B4575" s="1" t="inlineStr">
        <is>
          <t>อุปกรณ์เสริม</t>
        </is>
      </c>
      <c r="C4575" s="1" t="inlineStr">
        <is>
          <t>gf3130100664</t>
        </is>
      </c>
      <c r="D4575" s="1" t="inlineStr">
        <is>
          <t>OAKLEY Gibston Prizm Sapphire Sunglasses</t>
        </is>
      </c>
      <c r="E4575" s="1" t="inlineStr">
        <is>
          <t>OAKLEY</t>
        </is>
      </c>
      <c r="F4575" s="1" t="inlineStr">
        <is>
          <t>SUNGLASSES</t>
        </is>
      </c>
      <c r="G4575" s="1" t="inlineStr">
        <is>
          <t>GF3130100664</t>
        </is>
      </c>
      <c r="H4575" s="1" t="n">
        <v>1</v>
      </c>
      <c r="I4575" s="1" t="inlineStr">
        <is>
          <t>หมด</t>
        </is>
      </c>
      <c r="J4575" s="13" t="n">
        <v>232</v>
      </c>
      <c r="K4575" s="1" t="inlineStr"/>
      <c r="L4575" s="13" t="n"/>
      <c r="M4575" s="1">
        <f>IF(L4575="","ไม่พบใน SG",IF(ABS(J4575-L4575)&lt;0.005,"ตรงกัน","ไม่ตรง"))</f>
        <v/>
      </c>
      <c r="N4575" s="14">
        <f>IF(L4575="","",ROUND(L4575*'สรุป'!$C$6,-1))</f>
        <v/>
      </c>
      <c r="O4575" s="15" t="n"/>
      <c r="P4575" s="15" t="n"/>
      <c r="Q4575" s="10" t="n"/>
      <c r="R4575" s="10" t="n"/>
      <c r="S4575" s="16" t="inlineStr">
        <is>
          <t>https://mstgolf.co.th/products/gf3130100664</t>
        </is>
      </c>
      <c r="T4575" s="1">
        <f>IF(B4575="ไม้กอล์ฟ",J4575,"")</f>
        <v/>
      </c>
    </row>
    <row r="4576">
      <c r="A4576" s="1" t="n">
        <v>3</v>
      </c>
      <c r="B4576" s="1" t="inlineStr">
        <is>
          <t>เสื้อผ้า</t>
        </is>
      </c>
      <c r="C4576" s="1" t="inlineStr">
        <is>
          <t>gf2040400972</t>
        </is>
      </c>
      <c r="D4576" s="1" t="inlineStr">
        <is>
          <t>PXG Design Women's Long-Sleeve Polo (Black)</t>
        </is>
      </c>
      <c r="E4576" s="1" t="inlineStr">
        <is>
          <t>PXG</t>
        </is>
      </c>
      <c r="F4576" s="1" t="inlineStr">
        <is>
          <t>LONG SLEEVES</t>
        </is>
      </c>
      <c r="G4576" s="1" t="inlineStr">
        <is>
          <t>GF2040400972XS</t>
        </is>
      </c>
      <c r="H4576" s="1" t="n">
        <v>6</v>
      </c>
      <c r="I4576" s="1" t="inlineStr">
        <is>
          <t>หมด</t>
        </is>
      </c>
      <c r="J4576" s="13" t="n">
        <v>229</v>
      </c>
      <c r="K4576" s="1" t="inlineStr"/>
      <c r="L4576" s="13" t="n"/>
      <c r="M4576" s="1">
        <f>IF(L4576="","ไม่พบใน SG",IF(ABS(J4576-L4576)&lt;0.005,"ตรงกัน","ไม่ตรง"))</f>
        <v/>
      </c>
      <c r="N4576" s="14">
        <f>IF(L4576="","",ROUND(L4576*'สรุป'!$C$6,-1))</f>
        <v/>
      </c>
      <c r="O4576" s="15" t="n"/>
      <c r="P4576" s="15" t="n"/>
      <c r="Q4576" s="10" t="n"/>
      <c r="R4576" s="10" t="n"/>
      <c r="S4576" s="16" t="inlineStr">
        <is>
          <t>https://mstgolf.co.th/products/gf2040400972</t>
        </is>
      </c>
      <c r="T4576" s="1">
        <f>IF(B4576="ไม้กอล์ฟ",J4576,"")</f>
        <v/>
      </c>
    </row>
    <row r="4577">
      <c r="A4577" s="1" t="n">
        <v>3</v>
      </c>
      <c r="B4577" s="1" t="inlineStr">
        <is>
          <t>เสื้อผ้า</t>
        </is>
      </c>
      <c r="C4577" s="1" t="inlineStr">
        <is>
          <t>gf2020101853</t>
        </is>
      </c>
      <c r="D4577" s="1" t="inlineStr">
        <is>
          <t>PXG Jersey Men's Shorts (Black)</t>
        </is>
      </c>
      <c r="E4577" s="1" t="inlineStr">
        <is>
          <t>PXG</t>
        </is>
      </c>
      <c r="F4577" s="1" t="inlineStr">
        <is>
          <t>LONG PANTS</t>
        </is>
      </c>
      <c r="G4577" s="1" t="inlineStr">
        <is>
          <t>GF2020101853M</t>
        </is>
      </c>
      <c r="H4577" s="1" t="n">
        <v>10</v>
      </c>
      <c r="I4577" s="1" t="inlineStr">
        <is>
          <t>หมด</t>
        </is>
      </c>
      <c r="J4577" s="13" t="n">
        <v>229</v>
      </c>
      <c r="K4577" s="1" t="inlineStr"/>
      <c r="L4577" s="13" t="n"/>
      <c r="M4577" s="1">
        <f>IF(L4577="","ไม่พบใน SG",IF(ABS(J4577-L4577)&lt;0.005,"ตรงกัน","ไม่ตรง"))</f>
        <v/>
      </c>
      <c r="N4577" s="14">
        <f>IF(L4577="","",ROUND(L4577*'สรุป'!$C$6,-1))</f>
        <v/>
      </c>
      <c r="O4577" s="15" t="n"/>
      <c r="P4577" s="15" t="n"/>
      <c r="Q4577" s="10" t="n"/>
      <c r="R4577" s="10" t="n"/>
      <c r="S4577" s="16" t="inlineStr">
        <is>
          <t>https://mstgolf.co.th/products/gf2020101853</t>
        </is>
      </c>
      <c r="T4577" s="1">
        <f>IF(B4577="ไม้กอล์ฟ",J4577,"")</f>
        <v/>
      </c>
    </row>
    <row r="4578">
      <c r="A4578" s="1" t="n">
        <v>3</v>
      </c>
      <c r="B4578" s="1" t="inlineStr">
        <is>
          <t>เสื้อผ้า</t>
        </is>
      </c>
      <c r="C4578" s="1" t="inlineStr">
        <is>
          <t>gf2040118019</t>
        </is>
      </c>
      <c r="D4578" s="1" t="inlineStr">
        <is>
          <t>WAAC Korea Color Block Knit Men's Polo (Black)</t>
        </is>
      </c>
      <c r="E4578" s="1" t="inlineStr">
        <is>
          <t>WAAC</t>
        </is>
      </c>
      <c r="F4578" s="1" t="inlineStr">
        <is>
          <t>SHORT SLEEVES</t>
        </is>
      </c>
      <c r="G4578" s="1" t="inlineStr">
        <is>
          <t>GF2040118019S</t>
        </is>
      </c>
      <c r="H4578" s="1" t="n">
        <v>5</v>
      </c>
      <c r="I4578" s="1" t="inlineStr">
        <is>
          <t>หมด</t>
        </is>
      </c>
      <c r="J4578" s="13" t="n">
        <v>229</v>
      </c>
      <c r="K4578" s="1" t="inlineStr"/>
      <c r="L4578" s="13" t="n">
        <v>229</v>
      </c>
      <c r="M4578" s="1">
        <f>IF(L4578="","ไม่พบใน SG",IF(ABS(J4578-L4578)&lt;0.005,"ตรงกัน","ไม่ตรง"))</f>
        <v/>
      </c>
      <c r="N4578" s="14">
        <f>IF(L4578="","",ROUND(L4578*'สรุป'!$C$6,-1))</f>
        <v/>
      </c>
      <c r="O4578" s="15" t="n"/>
      <c r="P4578" s="15" t="n"/>
      <c r="Q4578" s="10" t="n"/>
      <c r="R4578" s="10" t="n"/>
      <c r="S4578" s="16" t="inlineStr">
        <is>
          <t>https://mstgolf.co.th/products/gf2040118019</t>
        </is>
      </c>
      <c r="T4578" s="1">
        <f>IF(B4578="ไม้กอล์ฟ",J4578,"")</f>
        <v/>
      </c>
    </row>
    <row r="4579">
      <c r="A4579" s="1" t="n">
        <v>3</v>
      </c>
      <c r="B4579" s="1" t="inlineStr">
        <is>
          <t>เสื้อผ้า</t>
        </is>
      </c>
      <c r="C4579" s="1" t="inlineStr">
        <is>
          <t>gf2060101065</t>
        </is>
      </c>
      <c r="D4579" s="1" t="inlineStr">
        <is>
          <t>WAAC Korea Cool Women's Vest (Black)</t>
        </is>
      </c>
      <c r="E4579" s="1" t="inlineStr">
        <is>
          <t>WAAC</t>
        </is>
      </c>
      <c r="F4579" s="1" t="inlineStr">
        <is>
          <t>TOP</t>
        </is>
      </c>
      <c r="G4579" s="1" t="inlineStr">
        <is>
          <t>GF2060101065XS</t>
        </is>
      </c>
      <c r="H4579" s="1" t="n">
        <v>6</v>
      </c>
      <c r="I4579" s="1" t="inlineStr">
        <is>
          <t>หมด</t>
        </is>
      </c>
      <c r="J4579" s="13" t="n">
        <v>229</v>
      </c>
      <c r="K4579" s="1" t="inlineStr"/>
      <c r="L4579" s="13" t="n"/>
      <c r="M4579" s="1">
        <f>IF(L4579="","ไม่พบใน SG",IF(ABS(J4579-L4579)&lt;0.005,"ตรงกัน","ไม่ตรง"))</f>
        <v/>
      </c>
      <c r="N4579" s="14">
        <f>IF(L4579="","",ROUND(L4579*'สรุป'!$C$6,-1))</f>
        <v/>
      </c>
      <c r="O4579" s="15" t="n"/>
      <c r="P4579" s="15" t="n"/>
      <c r="Q4579" s="10" t="n"/>
      <c r="R4579" s="10" t="n"/>
      <c r="S4579" s="16" t="inlineStr">
        <is>
          <t>https://mstgolf.co.th/products/gf2060101065</t>
        </is>
      </c>
      <c r="T4579" s="1">
        <f>IF(B4579="ไม้กอล์ฟ",J4579,"")</f>
        <v/>
      </c>
    </row>
    <row r="4580">
      <c r="A4580" s="1" t="n">
        <v>3</v>
      </c>
      <c r="B4580" s="1" t="inlineStr">
        <is>
          <t>เสื้อผ้า</t>
        </is>
      </c>
      <c r="C4580" s="1" t="inlineStr">
        <is>
          <t>gf2060101063</t>
        </is>
      </c>
      <c r="D4580" s="1" t="inlineStr">
        <is>
          <t>WAAC Korea Essential Men's Wind Jacket (Black)</t>
        </is>
      </c>
      <c r="E4580" s="1" t="inlineStr">
        <is>
          <t>WAAC</t>
        </is>
      </c>
      <c r="F4580" s="1" t="inlineStr">
        <is>
          <t>TOP</t>
        </is>
      </c>
      <c r="G4580" s="1" t="inlineStr">
        <is>
          <t>GF2060101063S</t>
        </is>
      </c>
      <c r="H4580" s="1" t="n">
        <v>5</v>
      </c>
      <c r="I4580" s="1" t="inlineStr">
        <is>
          <t>หมด</t>
        </is>
      </c>
      <c r="J4580" s="13" t="n">
        <v>229</v>
      </c>
      <c r="K4580" s="1" t="inlineStr"/>
      <c r="L4580" s="13" t="n"/>
      <c r="M4580" s="1">
        <f>IF(L4580="","ไม่พบใน SG",IF(ABS(J4580-L4580)&lt;0.005,"ตรงกัน","ไม่ตรง"))</f>
        <v/>
      </c>
      <c r="N4580" s="14">
        <f>IF(L4580="","",ROUND(L4580*'สรุป'!$C$6,-1))</f>
        <v/>
      </c>
      <c r="O4580" s="15" t="n"/>
      <c r="P4580" s="15" t="n"/>
      <c r="Q4580" s="10" t="n"/>
      <c r="R4580" s="10" t="n"/>
      <c r="S4580" s="16" t="inlineStr">
        <is>
          <t>https://mstgolf.co.th/products/gf2060101063</t>
        </is>
      </c>
      <c r="T4580" s="1">
        <f>IF(B4580="ไม้กอล์ฟ",J4580,"")</f>
        <v/>
      </c>
    </row>
    <row r="4581">
      <c r="A4581" s="1" t="n">
        <v>3</v>
      </c>
      <c r="B4581" s="1" t="inlineStr">
        <is>
          <t>เสื้อผ้า</t>
        </is>
      </c>
      <c r="C4581" s="1" t="inlineStr">
        <is>
          <t>gf2020202543</t>
        </is>
      </c>
      <c r="D4581" s="1" t="inlineStr">
        <is>
          <t>BOSS GOLF Timeless Elegance Skort (White)</t>
        </is>
      </c>
      <c r="E4581" s="1" t="inlineStr">
        <is>
          <t>BOSS GOLF</t>
        </is>
      </c>
      <c r="F4581" s="1" t="inlineStr">
        <is>
          <t>SHORT PANTS</t>
        </is>
      </c>
      <c r="G4581" s="1" t="inlineStr">
        <is>
          <t>GF2020202543XS</t>
        </is>
      </c>
      <c r="H4581" s="1" t="n">
        <v>5</v>
      </c>
      <c r="I4581" s="1" t="inlineStr">
        <is>
          <t>หมด</t>
        </is>
      </c>
      <c r="J4581" s="13" t="n">
        <v>225</v>
      </c>
      <c r="K4581" s="1" t="inlineStr"/>
      <c r="L4581" s="13" t="n"/>
      <c r="M4581" s="1">
        <f>IF(L4581="","ไม่พบใน SG",IF(ABS(J4581-L4581)&lt;0.005,"ตรงกัน","ไม่ตรง"))</f>
        <v/>
      </c>
      <c r="N4581" s="14">
        <f>IF(L4581="","",ROUND(L4581*'สรุป'!$C$6,-1))</f>
        <v/>
      </c>
      <c r="O4581" s="15" t="n"/>
      <c r="P4581" s="15" t="n"/>
      <c r="Q4581" s="10" t="n"/>
      <c r="R4581" s="10" t="n"/>
      <c r="S4581" s="16" t="inlineStr">
        <is>
          <t>https://mstgolf.co.th/products/gf2020202543</t>
        </is>
      </c>
      <c r="T4581" s="1">
        <f>IF(B4581="ไม้กอล์ฟ",J4581,"")</f>
        <v/>
      </c>
    </row>
    <row r="4582">
      <c r="A4582" s="1" t="n">
        <v>3</v>
      </c>
      <c r="B4582" s="1" t="inlineStr">
        <is>
          <t>เสื้อผ้า</t>
        </is>
      </c>
      <c r="C4582" s="1" t="inlineStr">
        <is>
          <t>gf2020102526</t>
        </is>
      </c>
      <c r="D4582" s="1" t="inlineStr">
        <is>
          <t>MALBON GOLF Amara Women's Pleated Shorts (Ivory)</t>
        </is>
      </c>
      <c r="E4582" s="1" t="inlineStr">
        <is>
          <t>MALBON GOLF</t>
        </is>
      </c>
      <c r="F4582" s="1" t="inlineStr">
        <is>
          <t>LONG PANTS</t>
        </is>
      </c>
      <c r="G4582" s="1" t="inlineStr">
        <is>
          <t>GF20201025260</t>
        </is>
      </c>
      <c r="H4582" s="1" t="n">
        <v>6</v>
      </c>
      <c r="I4582" s="1" t="inlineStr">
        <is>
          <t>หมด</t>
        </is>
      </c>
      <c r="J4582" s="13" t="n">
        <v>220</v>
      </c>
      <c r="K4582" s="1" t="inlineStr"/>
      <c r="L4582" s="13" t="n"/>
      <c r="M4582" s="1">
        <f>IF(L4582="","ไม่พบใน SG",IF(ABS(J4582-L4582)&lt;0.005,"ตรงกัน","ไม่ตรง"))</f>
        <v/>
      </c>
      <c r="N4582" s="14">
        <f>IF(L4582="","",ROUND(L4582*'สรุป'!$C$6,-1))</f>
        <v/>
      </c>
      <c r="O4582" s="15" t="n"/>
      <c r="P4582" s="15" t="n"/>
      <c r="Q4582" s="10" t="n"/>
      <c r="R4582" s="10" t="n"/>
      <c r="S4582" s="16" t="inlineStr">
        <is>
          <t>https://mstgolf.co.th/products/gf2020102526</t>
        </is>
      </c>
      <c r="T4582" s="1">
        <f>IF(B4582="ไม้กอล์ฟ",J4582,"")</f>
        <v/>
      </c>
    </row>
    <row r="4583">
      <c r="A4583" s="1" t="n">
        <v>3</v>
      </c>
      <c r="B4583" s="1" t="inlineStr">
        <is>
          <t>เสื้อผ้า</t>
        </is>
      </c>
      <c r="C4583" s="1" t="inlineStr">
        <is>
          <t>gf2020202711</t>
        </is>
      </c>
      <c r="D4583" s="1" t="inlineStr">
        <is>
          <t>MALBON GOLF Menton Men's Nylon Shorts (Black)</t>
        </is>
      </c>
      <c r="E4583" s="1" t="inlineStr">
        <is>
          <t>MALBON GOLF</t>
        </is>
      </c>
      <c r="F4583" s="1" t="inlineStr">
        <is>
          <t>SHORT PANTS</t>
        </is>
      </c>
      <c r="G4583" s="1" t="inlineStr">
        <is>
          <t>GF2020202711S</t>
        </is>
      </c>
      <c r="H4583" s="1" t="n">
        <v>5</v>
      </c>
      <c r="I4583" s="1" t="inlineStr">
        <is>
          <t>หมด</t>
        </is>
      </c>
      <c r="J4583" s="13" t="n">
        <v>220</v>
      </c>
      <c r="K4583" s="1" t="inlineStr"/>
      <c r="L4583" s="13" t="n">
        <v>220</v>
      </c>
      <c r="M4583" s="1">
        <f>IF(L4583="","ไม่พบใน SG",IF(ABS(J4583-L4583)&lt;0.005,"ตรงกัน","ไม่ตรง"))</f>
        <v/>
      </c>
      <c r="N4583" s="14">
        <f>IF(L4583="","",ROUND(L4583*'สรุป'!$C$6,-1))</f>
        <v/>
      </c>
      <c r="O4583" s="15" t="n"/>
      <c r="P4583" s="15" t="n"/>
      <c r="Q4583" s="10" t="n"/>
      <c r="R4583" s="10" t="n"/>
      <c r="S4583" s="16" t="inlineStr">
        <is>
          <t>https://mstgolf.co.th/products/gf2020202711</t>
        </is>
      </c>
      <c r="T4583" s="1">
        <f>IF(B4583="ไม้กอล์ฟ",J4583,"")</f>
        <v/>
      </c>
    </row>
    <row r="4584">
      <c r="A4584" s="1" t="n">
        <v>3</v>
      </c>
      <c r="B4584" s="1" t="inlineStr">
        <is>
          <t>เสื้อผ้า</t>
        </is>
      </c>
      <c r="C4584" s="1" t="inlineStr">
        <is>
          <t>gf2020202477</t>
        </is>
      </c>
      <c r="D4584" s="1" t="inlineStr">
        <is>
          <t>BOSS GOLF Sea Line Men's Shorts (Black)</t>
        </is>
      </c>
      <c r="E4584" s="1" t="inlineStr">
        <is>
          <t>BOSS GOLF</t>
        </is>
      </c>
      <c r="F4584" s="1" t="inlineStr">
        <is>
          <t>SHORT PANTS</t>
        </is>
      </c>
      <c r="G4584" s="1" t="inlineStr">
        <is>
          <t>GF2020202477S</t>
        </is>
      </c>
      <c r="H4584" s="1" t="n">
        <v>7</v>
      </c>
      <c r="I4584" s="1" t="inlineStr">
        <is>
          <t>หมด</t>
        </is>
      </c>
      <c r="J4584" s="13" t="n">
        <v>219</v>
      </c>
      <c r="K4584" s="1" t="inlineStr"/>
      <c r="L4584" s="13" t="n"/>
      <c r="M4584" s="1">
        <f>IF(L4584="","ไม่พบใน SG",IF(ABS(J4584-L4584)&lt;0.005,"ตรงกัน","ไม่ตรง"))</f>
        <v/>
      </c>
      <c r="N4584" s="14">
        <f>IF(L4584="","",ROUND(L4584*'สรุป'!$C$6,-1))</f>
        <v/>
      </c>
      <c r="O4584" s="15" t="n"/>
      <c r="P4584" s="15" t="n"/>
      <c r="Q4584" s="10" t="n"/>
      <c r="R4584" s="10" t="n"/>
      <c r="S4584" s="16" t="inlineStr">
        <is>
          <t>https://mstgolf.co.th/products/gf2020202477</t>
        </is>
      </c>
      <c r="T4584" s="1">
        <f>IF(B4584="ไม้กอล์ฟ",J4584,"")</f>
        <v/>
      </c>
    </row>
    <row r="4585">
      <c r="A4585" s="1" t="n">
        <v>3</v>
      </c>
      <c r="B4585" s="1" t="inlineStr">
        <is>
          <t>เสื้อผ้า</t>
        </is>
      </c>
      <c r="C4585" s="1" t="inlineStr">
        <is>
          <t>gf2040114412</t>
        </is>
      </c>
      <c r="D4585" s="1" t="inlineStr">
        <is>
          <t>PXG Colour Block Men's Polo (White)</t>
        </is>
      </c>
      <c r="E4585" s="1" t="inlineStr">
        <is>
          <t>PXG</t>
        </is>
      </c>
      <c r="F4585" s="1" t="inlineStr">
        <is>
          <t>SHORT SLEEVES</t>
        </is>
      </c>
      <c r="G4585" s="1" t="inlineStr">
        <is>
          <t>GF2040114412S</t>
        </is>
      </c>
      <c r="H4585" s="1" t="n">
        <v>5</v>
      </c>
      <c r="I4585" s="1" t="inlineStr">
        <is>
          <t>หมด</t>
        </is>
      </c>
      <c r="J4585" s="13" t="n">
        <v>219</v>
      </c>
      <c r="K4585" s="1" t="inlineStr"/>
      <c r="L4585" s="13" t="n"/>
      <c r="M4585" s="1">
        <f>IF(L4585="","ไม่พบใน SG",IF(ABS(J4585-L4585)&lt;0.005,"ตรงกัน","ไม่ตรง"))</f>
        <v/>
      </c>
      <c r="N4585" s="14">
        <f>IF(L4585="","",ROUND(L4585*'สรุป'!$C$6,-1))</f>
        <v/>
      </c>
      <c r="O4585" s="15" t="n"/>
      <c r="P4585" s="15" t="n"/>
      <c r="Q4585" s="10" t="n"/>
      <c r="R4585" s="10" t="n"/>
      <c r="S4585" s="16" t="inlineStr">
        <is>
          <t>https://mstgolf.co.th/products/gf2040114412</t>
        </is>
      </c>
      <c r="T4585" s="1">
        <f>IF(B4585="ไม้กอล์ฟ",J4585,"")</f>
        <v/>
      </c>
    </row>
    <row r="4586">
      <c r="A4586" s="1" t="n">
        <v>3</v>
      </c>
      <c r="B4586" s="1" t="inlineStr">
        <is>
          <t>เสื้อผ้า</t>
        </is>
      </c>
      <c r="C4586" s="1" t="inlineStr">
        <is>
          <t>gf2040114417</t>
        </is>
      </c>
      <c r="D4586" s="1" t="inlineStr">
        <is>
          <t>PXG Mock Neck Women's Shirt (Black)</t>
        </is>
      </c>
      <c r="E4586" s="1" t="inlineStr">
        <is>
          <t>PXG</t>
        </is>
      </c>
      <c r="F4586" s="1" t="inlineStr">
        <is>
          <t>SHORT SLEEVES</t>
        </is>
      </c>
      <c r="G4586" s="1" t="inlineStr">
        <is>
          <t>GF2040114417S</t>
        </is>
      </c>
      <c r="H4586" s="1" t="n">
        <v>5</v>
      </c>
      <c r="I4586" s="1" t="inlineStr">
        <is>
          <t>หมด</t>
        </is>
      </c>
      <c r="J4586" s="13" t="n">
        <v>219</v>
      </c>
      <c r="K4586" s="1" t="inlineStr"/>
      <c r="L4586" s="13" t="n"/>
      <c r="M4586" s="1">
        <f>IF(L4586="","ไม่พบใน SG",IF(ABS(J4586-L4586)&lt;0.005,"ตรงกัน","ไม่ตรง"))</f>
        <v/>
      </c>
      <c r="N4586" s="14">
        <f>IF(L4586="","",ROUND(L4586*'สรุป'!$C$6,-1))</f>
        <v/>
      </c>
      <c r="O4586" s="15" t="n"/>
      <c r="P4586" s="15" t="n"/>
      <c r="Q4586" s="10" t="n"/>
      <c r="R4586" s="10" t="n"/>
      <c r="S4586" s="16" t="inlineStr">
        <is>
          <t>https://mstgolf.co.th/products/gf2040114417</t>
        </is>
      </c>
      <c r="T4586" s="1">
        <f>IF(B4586="ไม้กอล์ฟ",J4586,"")</f>
        <v/>
      </c>
    </row>
    <row r="4587">
      <c r="A4587" s="1" t="n">
        <v>3</v>
      </c>
      <c r="B4587" s="1" t="inlineStr">
        <is>
          <t>เสื้อผ้า</t>
        </is>
      </c>
      <c r="C4587" s="1" t="inlineStr">
        <is>
          <t>gf2020102686</t>
        </is>
      </c>
      <c r="D4587" s="1" t="inlineStr">
        <is>
          <t>PETER MILLAR Performance Five-Pocket Men's Pants (Iron)</t>
        </is>
      </c>
      <c r="E4587" s="1" t="inlineStr">
        <is>
          <t>PETER MILLAR</t>
        </is>
      </c>
      <c r="F4587" s="1" t="inlineStr">
        <is>
          <t>LONG PANTS</t>
        </is>
      </c>
      <c r="G4587" s="1" t="inlineStr">
        <is>
          <t>GF202010268630</t>
        </is>
      </c>
      <c r="H4587" s="1" t="n">
        <v>6</v>
      </c>
      <c r="I4587" s="1" t="inlineStr">
        <is>
          <t>หมด</t>
        </is>
      </c>
      <c r="J4587" s="13" t="n">
        <v>215</v>
      </c>
      <c r="K4587" s="1" t="inlineStr"/>
      <c r="L4587" s="13" t="n"/>
      <c r="M4587" s="1">
        <f>IF(L4587="","ไม่พบใน SG",IF(ABS(J4587-L4587)&lt;0.005,"ตรงกัน","ไม่ตรง"))</f>
        <v/>
      </c>
      <c r="N4587" s="14">
        <f>IF(L4587="","",ROUND(L4587*'สรุป'!$C$6,-1))</f>
        <v/>
      </c>
      <c r="O4587" s="15" t="n"/>
      <c r="P4587" s="15" t="n"/>
      <c r="Q4587" s="10" t="n"/>
      <c r="R4587" s="10" t="n"/>
      <c r="S4587" s="16" t="inlineStr">
        <is>
          <t>https://mstgolf.co.th/products/gf2020102686</t>
        </is>
      </c>
      <c r="T4587" s="1">
        <f>IF(B4587="ไม้กอล์ฟ",J4587,"")</f>
        <v/>
      </c>
    </row>
    <row r="4588">
      <c r="A4588" s="1" t="n">
        <v>3</v>
      </c>
      <c r="B4588" s="1" t="inlineStr">
        <is>
          <t>เสื้อผ้า</t>
        </is>
      </c>
      <c r="C4588" s="1" t="inlineStr">
        <is>
          <t>gf2040118885</t>
        </is>
      </c>
      <c r="D4588" s="1" t="inlineStr">
        <is>
          <t>MALBON GOLF Mikayla Knit Women's Polo (Dusty Rose)</t>
        </is>
      </c>
      <c r="E4588" s="1" t="inlineStr">
        <is>
          <t>MALBON GOLF</t>
        </is>
      </c>
      <c r="F4588" s="1" t="inlineStr">
        <is>
          <t>SHORT SLEEVES</t>
        </is>
      </c>
      <c r="G4588" s="1" t="inlineStr">
        <is>
          <t>GF2040118885XS</t>
        </is>
      </c>
      <c r="H4588" s="1" t="n">
        <v>6</v>
      </c>
      <c r="I4588" s="1" t="inlineStr">
        <is>
          <t>หมด</t>
        </is>
      </c>
      <c r="J4588" s="13" t="n">
        <v>209</v>
      </c>
      <c r="K4588" s="1" t="inlineStr"/>
      <c r="L4588" s="13" t="n"/>
      <c r="M4588" s="1">
        <f>IF(L4588="","ไม่พบใน SG",IF(ABS(J4588-L4588)&lt;0.005,"ตรงกัน","ไม่ตรง"))</f>
        <v/>
      </c>
      <c r="N4588" s="14">
        <f>IF(L4588="","",ROUND(L4588*'สรุป'!$C$6,-1))</f>
        <v/>
      </c>
      <c r="O4588" s="15" t="n"/>
      <c r="P4588" s="15" t="n"/>
      <c r="Q4588" s="10" t="n"/>
      <c r="R4588" s="10" t="n"/>
      <c r="S4588" s="16" t="inlineStr">
        <is>
          <t>https://mstgolf.co.th/products/gf2040118885</t>
        </is>
      </c>
      <c r="T4588" s="1">
        <f>IF(B4588="ไม้กอล์ฟ",J4588,"")</f>
        <v/>
      </c>
    </row>
    <row r="4589">
      <c r="A4589" s="1" t="n">
        <v>3</v>
      </c>
      <c r="B4589" s="1" t="inlineStr">
        <is>
          <t>เสื้อผ้า</t>
        </is>
      </c>
      <c r="C4589" s="1" t="inlineStr">
        <is>
          <t>gf2040118886</t>
        </is>
      </c>
      <c r="D4589" s="1" t="inlineStr">
        <is>
          <t>MALBON GOLF Mikayla Knit Women's Polo (Pageant Blue)</t>
        </is>
      </c>
      <c r="E4589" s="1" t="inlineStr">
        <is>
          <t>MALBON GOLF</t>
        </is>
      </c>
      <c r="F4589" s="1" t="inlineStr">
        <is>
          <t>SHORT SLEEVES</t>
        </is>
      </c>
      <c r="G4589" s="1" t="inlineStr">
        <is>
          <t>GF2040118886XS</t>
        </is>
      </c>
      <c r="H4589" s="1" t="n">
        <v>6</v>
      </c>
      <c r="I4589" s="1" t="inlineStr">
        <is>
          <t>หมด</t>
        </is>
      </c>
      <c r="J4589" s="13" t="n">
        <v>209</v>
      </c>
      <c r="K4589" s="1" t="inlineStr"/>
      <c r="L4589" s="13" t="n"/>
      <c r="M4589" s="1">
        <f>IF(L4589="","ไม่พบใน SG",IF(ABS(J4589-L4589)&lt;0.005,"ตรงกัน","ไม่ตรง"))</f>
        <v/>
      </c>
      <c r="N4589" s="14">
        <f>IF(L4589="","",ROUND(L4589*'สรุป'!$C$6,-1))</f>
        <v/>
      </c>
      <c r="O4589" s="15" t="n"/>
      <c r="P4589" s="15" t="n"/>
      <c r="Q4589" s="10" t="n"/>
      <c r="R4589" s="10" t="n"/>
      <c r="S4589" s="16" t="inlineStr">
        <is>
          <t>https://mstgolf.co.th/products/gf2040118886</t>
        </is>
      </c>
      <c r="T4589" s="1">
        <f>IF(B4589="ไม้กอล์ฟ",J4589,"")</f>
        <v/>
      </c>
    </row>
    <row r="4590">
      <c r="A4590" s="1" t="n">
        <v>3</v>
      </c>
      <c r="B4590" s="1" t="inlineStr">
        <is>
          <t>เสื้อผ้า</t>
        </is>
      </c>
      <c r="C4590" s="1" t="inlineStr">
        <is>
          <t>gf2060101299</t>
        </is>
      </c>
      <c r="D4590" s="1" t="inlineStr">
        <is>
          <t>TAYLORMADE Final Lap Men's Hoodie (Black)</t>
        </is>
      </c>
      <c r="E4590" s="1" t="inlineStr">
        <is>
          <t>TAYLORMADE</t>
        </is>
      </c>
      <c r="F4590" s="1" t="inlineStr">
        <is>
          <t>TOP</t>
        </is>
      </c>
      <c r="G4590" s="1" t="inlineStr">
        <is>
          <t>GF2060101299S</t>
        </is>
      </c>
      <c r="H4590" s="1" t="n">
        <v>5</v>
      </c>
      <c r="I4590" s="1" t="inlineStr">
        <is>
          <t>หมด</t>
        </is>
      </c>
      <c r="J4590" s="13" t="n">
        <v>209</v>
      </c>
      <c r="K4590" s="1" t="inlineStr"/>
      <c r="L4590" s="13" t="n"/>
      <c r="M4590" s="1">
        <f>IF(L4590="","ไม่พบใน SG",IF(ABS(J4590-L4590)&lt;0.005,"ตรงกัน","ไม่ตรง"))</f>
        <v/>
      </c>
      <c r="N4590" s="14">
        <f>IF(L4590="","",ROUND(L4590*'สรุป'!$C$6,-1))</f>
        <v/>
      </c>
      <c r="O4590" s="15" t="n"/>
      <c r="P4590" s="15" t="n"/>
      <c r="Q4590" s="10" t="n"/>
      <c r="R4590" s="10" t="n"/>
      <c r="S4590" s="16" t="inlineStr">
        <is>
          <t>https://mstgolf.co.th/products/gf2060101299</t>
        </is>
      </c>
      <c r="T4590" s="1">
        <f>IF(B4590="ไม้กอล์ฟ",J4590,"")</f>
        <v/>
      </c>
    </row>
    <row r="4591">
      <c r="A4591" s="1" t="n">
        <v>3</v>
      </c>
      <c r="B4591" s="1" t="inlineStr">
        <is>
          <t>เสื้อผ้า</t>
        </is>
      </c>
      <c r="C4591" s="1" t="inlineStr">
        <is>
          <t>gf2060101298</t>
        </is>
      </c>
      <c r="D4591" s="1" t="inlineStr">
        <is>
          <t>TAYLORMADE Starting Grid Crewneck Men's Long Sleeve Shirt (Navy)</t>
        </is>
      </c>
      <c r="E4591" s="1" t="inlineStr">
        <is>
          <t>TAYLORMADE</t>
        </is>
      </c>
      <c r="F4591" s="1" t="inlineStr">
        <is>
          <t>TOP</t>
        </is>
      </c>
      <c r="G4591" s="1" t="inlineStr">
        <is>
          <t>GF2060101298S</t>
        </is>
      </c>
      <c r="H4591" s="1" t="n">
        <v>5</v>
      </c>
      <c r="I4591" s="1" t="inlineStr">
        <is>
          <t>หมด</t>
        </is>
      </c>
      <c r="J4591" s="13" t="n">
        <v>209</v>
      </c>
      <c r="K4591" s="1" t="inlineStr"/>
      <c r="L4591" s="13" t="n"/>
      <c r="M4591" s="1">
        <f>IF(L4591="","ไม่พบใน SG",IF(ABS(J4591-L4591)&lt;0.005,"ตรงกัน","ไม่ตรง"))</f>
        <v/>
      </c>
      <c r="N4591" s="14">
        <f>IF(L4591="","",ROUND(L4591*'สรุป'!$C$6,-1))</f>
        <v/>
      </c>
      <c r="O4591" s="15" t="n"/>
      <c r="P4591" s="15" t="n"/>
      <c r="Q4591" s="10" t="n"/>
      <c r="R4591" s="10" t="n"/>
      <c r="S4591" s="16" t="inlineStr">
        <is>
          <t>https://mstgolf.co.th/products/gf2060101298</t>
        </is>
      </c>
      <c r="T4591" s="1">
        <f>IF(B4591="ไม้กอล์ฟ",J4591,"")</f>
        <v/>
      </c>
    </row>
    <row r="4592">
      <c r="A4592" s="1" t="n">
        <v>3</v>
      </c>
      <c r="B4592" s="1" t="inlineStr">
        <is>
          <t>เสื้อผ้า</t>
        </is>
      </c>
      <c r="C4592" s="1" t="inlineStr">
        <is>
          <t>gf2020202747</t>
        </is>
      </c>
      <c r="D4592" s="1" t="inlineStr">
        <is>
          <t>MALBON GOLF Trekker Tech Men's Shorts (Conifer)</t>
        </is>
      </c>
      <c r="E4592" s="1" t="inlineStr">
        <is>
          <t>MALBON GOLF</t>
        </is>
      </c>
      <c r="F4592" s="1" t="inlineStr">
        <is>
          <t>SHORT PANTS</t>
        </is>
      </c>
      <c r="G4592" s="1" t="inlineStr">
        <is>
          <t>GF2020202747S</t>
        </is>
      </c>
      <c r="H4592" s="1" t="n">
        <v>4</v>
      </c>
      <c r="I4592" s="1" t="inlineStr">
        <is>
          <t>หมด</t>
        </is>
      </c>
      <c r="J4592" s="13" t="n">
        <v>200</v>
      </c>
      <c r="K4592" s="1" t="inlineStr"/>
      <c r="L4592" s="13" t="n"/>
      <c r="M4592" s="1">
        <f>IF(L4592="","ไม่พบใน SG",IF(ABS(J4592-L4592)&lt;0.005,"ตรงกัน","ไม่ตรง"))</f>
        <v/>
      </c>
      <c r="N4592" s="14">
        <f>IF(L4592="","",ROUND(L4592*'สรุป'!$C$6,-1))</f>
        <v/>
      </c>
      <c r="O4592" s="15" t="n"/>
      <c r="P4592" s="15" t="n"/>
      <c r="Q4592" s="10" t="n"/>
      <c r="R4592" s="10" t="n"/>
      <c r="S4592" s="16" t="inlineStr">
        <is>
          <t>https://mstgolf.co.th/products/gf2020202747</t>
        </is>
      </c>
      <c r="T4592" s="1">
        <f>IF(B4592="ไม้กอล์ฟ",J4592,"")</f>
        <v/>
      </c>
    </row>
    <row r="4593">
      <c r="A4593" s="1" t="n">
        <v>3</v>
      </c>
      <c r="B4593" s="1" t="inlineStr">
        <is>
          <t>เสื้อผ้า</t>
        </is>
      </c>
      <c r="C4593" s="1" t="inlineStr">
        <is>
          <t>gf2060101286</t>
        </is>
      </c>
      <c r="D4593" s="1" t="inlineStr">
        <is>
          <t>ADIDAS Originals Bomber Men's Jacket (Indigo)</t>
        </is>
      </c>
      <c r="E4593" s="1" t="inlineStr">
        <is>
          <t>ADIDAS</t>
        </is>
      </c>
      <c r="F4593" s="1" t="inlineStr">
        <is>
          <t>TOP</t>
        </is>
      </c>
      <c r="G4593" s="1" t="inlineStr">
        <is>
          <t>GF2060101286XS</t>
        </is>
      </c>
      <c r="H4593" s="1" t="n">
        <v>6</v>
      </c>
      <c r="I4593" s="1" t="inlineStr">
        <is>
          <t>หมด</t>
        </is>
      </c>
      <c r="J4593" s="13" t="n">
        <v>199</v>
      </c>
      <c r="K4593" s="1" t="inlineStr"/>
      <c r="L4593" s="13" t="n"/>
      <c r="M4593" s="1">
        <f>IF(L4593="","ไม่พบใน SG",IF(ABS(J4593-L4593)&lt;0.005,"ตรงกัน","ไม่ตรง"))</f>
        <v/>
      </c>
      <c r="N4593" s="14">
        <f>IF(L4593="","",ROUND(L4593*'สรุป'!$C$6,-1))</f>
        <v/>
      </c>
      <c r="O4593" s="15" t="n"/>
      <c r="P4593" s="15" t="n"/>
      <c r="Q4593" s="10" t="n"/>
      <c r="R4593" s="10" t="n"/>
      <c r="S4593" s="16" t="inlineStr">
        <is>
          <t>https://mstgolf.co.th/products/gf2060101286</t>
        </is>
      </c>
      <c r="T4593" s="1">
        <f>IF(B4593="ไม้กอล์ฟ",J4593,"")</f>
        <v/>
      </c>
    </row>
    <row r="4594">
      <c r="A4594" s="1" t="n">
        <v>3</v>
      </c>
      <c r="B4594" s="1" t="inlineStr">
        <is>
          <t>อุปกรณ์เสริม</t>
        </is>
      </c>
      <c r="C4594" s="1" t="inlineStr">
        <is>
          <t>gf3500600001</t>
        </is>
      </c>
      <c r="D4594" s="1" t="inlineStr">
        <is>
          <t>BLUE TEES GOLF Magnetic Wireless Speaker Player (Navy Blue)</t>
        </is>
      </c>
      <c r="E4594" s="1" t="inlineStr">
        <is>
          <t>BLUE TEES GOLF</t>
        </is>
      </c>
      <c r="F4594" s="1" t="inlineStr">
        <is>
          <t>SPEAKER</t>
        </is>
      </c>
      <c r="G4594" s="1" t="inlineStr">
        <is>
          <t>GF3500600001</t>
        </is>
      </c>
      <c r="H4594" s="1" t="n">
        <v>1</v>
      </c>
      <c r="I4594" s="1" t="inlineStr">
        <is>
          <t>หมด</t>
        </is>
      </c>
      <c r="J4594" s="13" t="n">
        <v>199</v>
      </c>
      <c r="K4594" s="1" t="inlineStr"/>
      <c r="L4594" s="13" t="n">
        <v>199</v>
      </c>
      <c r="M4594" s="1">
        <f>IF(L4594="","ไม่พบใน SG",IF(ABS(J4594-L4594)&lt;0.005,"ตรงกัน","ไม่ตรง"))</f>
        <v/>
      </c>
      <c r="N4594" s="14">
        <f>IF(L4594="","",ROUND(L4594*'สรุป'!$C$6,-1))</f>
        <v/>
      </c>
      <c r="O4594" s="15" t="n"/>
      <c r="P4594" s="15" t="n"/>
      <c r="Q4594" s="10" t="n"/>
      <c r="R4594" s="10" t="n"/>
      <c r="S4594" s="16" t="inlineStr">
        <is>
          <t>https://mstgolf.co.th/products/gf3500600001</t>
        </is>
      </c>
      <c r="T4594" s="1">
        <f>IF(B4594="ไม้กอล์ฟ",J4594,"")</f>
        <v/>
      </c>
    </row>
    <row r="4595">
      <c r="A4595" s="1" t="n">
        <v>3</v>
      </c>
      <c r="B4595" s="1" t="inlineStr">
        <is>
          <t>เสื้อผ้า</t>
        </is>
      </c>
      <c r="C4595" s="1" t="inlineStr">
        <is>
          <t>gf2020202475</t>
        </is>
      </c>
      <c r="D4595" s="1" t="inlineStr">
        <is>
          <t>BOSS GOLF Punching Logo Men's Shorts (White)</t>
        </is>
      </c>
      <c r="E4595" s="1" t="inlineStr">
        <is>
          <t>BOSS GOLF</t>
        </is>
      </c>
      <c r="F4595" s="1" t="inlineStr">
        <is>
          <t>SHORT PANTS</t>
        </is>
      </c>
      <c r="G4595" s="1" t="inlineStr">
        <is>
          <t>GF2020202475S</t>
        </is>
      </c>
      <c r="H4595" s="1" t="n">
        <v>7</v>
      </c>
      <c r="I4595" s="1" t="inlineStr">
        <is>
          <t>หมด</t>
        </is>
      </c>
      <c r="J4595" s="13" t="n">
        <v>199</v>
      </c>
      <c r="K4595" s="1" t="inlineStr"/>
      <c r="L4595" s="13" t="n"/>
      <c r="M4595" s="1">
        <f>IF(L4595="","ไม่พบใน SG",IF(ABS(J4595-L4595)&lt;0.005,"ตรงกัน","ไม่ตรง"))</f>
        <v/>
      </c>
      <c r="N4595" s="14">
        <f>IF(L4595="","",ROUND(L4595*'สรุป'!$C$6,-1))</f>
        <v/>
      </c>
      <c r="O4595" s="15" t="n"/>
      <c r="P4595" s="15" t="n"/>
      <c r="Q4595" s="10" t="n"/>
      <c r="R4595" s="10" t="n"/>
      <c r="S4595" s="16" t="inlineStr">
        <is>
          <t>https://mstgolf.co.th/products/gf2020202475</t>
        </is>
      </c>
      <c r="T4595" s="1">
        <f>IF(B4595="ไม้กอล์ฟ",J4595,"")</f>
        <v/>
      </c>
    </row>
    <row r="4596">
      <c r="A4596" s="1" t="n">
        <v>3</v>
      </c>
      <c r="B4596" s="1" t="inlineStr">
        <is>
          <t>เสื้อผ้า</t>
        </is>
      </c>
      <c r="C4596" s="1" t="inlineStr">
        <is>
          <t>gf2020202476</t>
        </is>
      </c>
      <c r="D4596" s="1" t="inlineStr">
        <is>
          <t>BOSS GOLF Sea Line Men's Shorts (Black)</t>
        </is>
      </c>
      <c r="E4596" s="1" t="inlineStr">
        <is>
          <t>BOSS GOLF</t>
        </is>
      </c>
      <c r="F4596" s="1" t="inlineStr">
        <is>
          <t>SHORT PANTS</t>
        </is>
      </c>
      <c r="G4596" s="1" t="inlineStr">
        <is>
          <t>GF2020202476S</t>
        </is>
      </c>
      <c r="H4596" s="1" t="n">
        <v>7</v>
      </c>
      <c r="I4596" s="1" t="inlineStr">
        <is>
          <t>หมด</t>
        </is>
      </c>
      <c r="J4596" s="13" t="n">
        <v>199</v>
      </c>
      <c r="K4596" s="1" t="inlineStr"/>
      <c r="L4596" s="13" t="n"/>
      <c r="M4596" s="1">
        <f>IF(L4596="","ไม่พบใน SG",IF(ABS(J4596-L4596)&lt;0.005,"ตรงกัน","ไม่ตรง"))</f>
        <v/>
      </c>
      <c r="N4596" s="14">
        <f>IF(L4596="","",ROUND(L4596*'สรุป'!$C$6,-1))</f>
        <v/>
      </c>
      <c r="O4596" s="15" t="n"/>
      <c r="P4596" s="15" t="n"/>
      <c r="Q4596" s="10" t="n"/>
      <c r="R4596" s="10" t="n"/>
      <c r="S4596" s="16" t="inlineStr">
        <is>
          <t>https://mstgolf.co.th/products/gf2020202476</t>
        </is>
      </c>
      <c r="T4596" s="1">
        <f>IF(B4596="ไม้กอล์ฟ",J4596,"")</f>
        <v/>
      </c>
    </row>
    <row r="4597">
      <c r="A4597" s="1" t="n">
        <v>3</v>
      </c>
      <c r="B4597" s="1" t="inlineStr">
        <is>
          <t>เสื้อผ้า</t>
        </is>
      </c>
      <c r="C4597" s="1" t="inlineStr">
        <is>
          <t>gf2020102313</t>
        </is>
      </c>
      <c r="D4597" s="1" t="inlineStr">
        <is>
          <t>WAAC Korea Essential Men's Pants (Grey)</t>
        </is>
      </c>
      <c r="E4597" s="1" t="inlineStr">
        <is>
          <t>WAAC</t>
        </is>
      </c>
      <c r="F4597" s="1" t="inlineStr">
        <is>
          <t>LONG PANTS</t>
        </is>
      </c>
      <c r="G4597" s="1" t="inlineStr">
        <is>
          <t>GF202010231323</t>
        </is>
      </c>
      <c r="H4597" s="1" t="n">
        <v>10</v>
      </c>
      <c r="I4597" s="1" t="inlineStr">
        <is>
          <t>หมด</t>
        </is>
      </c>
      <c r="J4597" s="13" t="n">
        <v>199</v>
      </c>
      <c r="K4597" s="1" t="inlineStr"/>
      <c r="L4597" s="13" t="n">
        <v>199</v>
      </c>
      <c r="M4597" s="1">
        <f>IF(L4597="","ไม่พบใน SG",IF(ABS(J4597-L4597)&lt;0.005,"ตรงกัน","ไม่ตรง"))</f>
        <v/>
      </c>
      <c r="N4597" s="14">
        <f>IF(L4597="","",ROUND(L4597*'สรุป'!$C$6,-1))</f>
        <v/>
      </c>
      <c r="O4597" s="15" t="n"/>
      <c r="P4597" s="15" t="n"/>
      <c r="Q4597" s="10" t="n"/>
      <c r="R4597" s="10" t="n"/>
      <c r="S4597" s="16" t="inlineStr">
        <is>
          <t>https://mstgolf.co.th/products/gf2020102313</t>
        </is>
      </c>
      <c r="T4597" s="1">
        <f>IF(B4597="ไม้กอล์ฟ",J4597,"")</f>
        <v/>
      </c>
    </row>
    <row r="4598">
      <c r="A4598" s="1" t="n">
        <v>3</v>
      </c>
      <c r="B4598" s="1" t="inlineStr">
        <is>
          <t>เสื้อผ้า</t>
        </is>
      </c>
      <c r="C4598" s="1" t="inlineStr">
        <is>
          <t>gf2020102314</t>
        </is>
      </c>
      <c r="D4598" s="1" t="inlineStr">
        <is>
          <t>WAAC Korea Essential Men's Pants (White)</t>
        </is>
      </c>
      <c r="E4598" s="1" t="inlineStr">
        <is>
          <t>WAAC</t>
        </is>
      </c>
      <c r="F4598" s="1" t="inlineStr">
        <is>
          <t>LONG PANTS</t>
        </is>
      </c>
      <c r="G4598" s="1" t="inlineStr">
        <is>
          <t>GF20201023142XL</t>
        </is>
      </c>
      <c r="H4598" s="1" t="n">
        <v>16</v>
      </c>
      <c r="I4598" s="1" t="inlineStr">
        <is>
          <t>หมด</t>
        </is>
      </c>
      <c r="J4598" s="13" t="n">
        <v>199</v>
      </c>
      <c r="K4598" s="1" t="inlineStr"/>
      <c r="L4598" s="13" t="n">
        <v>199</v>
      </c>
      <c r="M4598" s="1">
        <f>IF(L4598="","ไม่พบใน SG",IF(ABS(J4598-L4598)&lt;0.005,"ตรงกัน","ไม่ตรง"))</f>
        <v/>
      </c>
      <c r="N4598" s="14">
        <f>IF(L4598="","",ROUND(L4598*'สรุป'!$C$6,-1))</f>
        <v/>
      </c>
      <c r="O4598" s="15" t="n"/>
      <c r="P4598" s="15" t="n"/>
      <c r="Q4598" s="10" t="n"/>
      <c r="R4598" s="10" t="n"/>
      <c r="S4598" s="16" t="inlineStr">
        <is>
          <t>https://mstgolf.co.th/products/gf2020102314</t>
        </is>
      </c>
      <c r="T4598" s="1">
        <f>IF(B4598="ไม้กอล์ฟ",J4598,"")</f>
        <v/>
      </c>
    </row>
    <row r="4599">
      <c r="A4599" s="1" t="n">
        <v>3</v>
      </c>
      <c r="B4599" s="1" t="inlineStr">
        <is>
          <t>เสื้อผ้า</t>
        </is>
      </c>
      <c r="C4599" s="1" t="inlineStr">
        <is>
          <t>gf2060101064</t>
        </is>
      </c>
      <c r="D4599" s="1" t="inlineStr">
        <is>
          <t>WAAC Korea Full-Zip Men's Vest (White)</t>
        </is>
      </c>
      <c r="E4599" s="1" t="inlineStr">
        <is>
          <t>WAAC</t>
        </is>
      </c>
      <c r="F4599" s="1" t="inlineStr">
        <is>
          <t>TOP</t>
        </is>
      </c>
      <c r="G4599" s="1" t="inlineStr">
        <is>
          <t>GF2060101064S</t>
        </is>
      </c>
      <c r="H4599" s="1" t="n">
        <v>5</v>
      </c>
      <c r="I4599" s="1" t="inlineStr">
        <is>
          <t>หมด</t>
        </is>
      </c>
      <c r="J4599" s="13" t="n">
        <v>199</v>
      </c>
      <c r="K4599" s="1" t="inlineStr"/>
      <c r="L4599" s="13" t="n"/>
      <c r="M4599" s="1">
        <f>IF(L4599="","ไม่พบใน SG",IF(ABS(J4599-L4599)&lt;0.005,"ตรงกัน","ไม่ตรง"))</f>
        <v/>
      </c>
      <c r="N4599" s="14">
        <f>IF(L4599="","",ROUND(L4599*'สรุป'!$C$6,-1))</f>
        <v/>
      </c>
      <c r="O4599" s="15" t="n"/>
      <c r="P4599" s="15" t="n"/>
      <c r="Q4599" s="10" t="n"/>
      <c r="R4599" s="10" t="n"/>
      <c r="S4599" s="16" t="inlineStr">
        <is>
          <t>https://mstgolf.co.th/products/gf2060101064</t>
        </is>
      </c>
      <c r="T4599" s="1">
        <f>IF(B4599="ไม้กอล์ฟ",J4599,"")</f>
        <v/>
      </c>
    </row>
    <row r="4600">
      <c r="A4600" s="1" t="n">
        <v>3</v>
      </c>
      <c r="B4600" s="1" t="inlineStr">
        <is>
          <t>เสื้อผ้า</t>
        </is>
      </c>
      <c r="C4600" s="1" t="inlineStr">
        <is>
          <t>gf2040401207</t>
        </is>
      </c>
      <c r="D4600" s="1" t="inlineStr">
        <is>
          <t>WAAC Korea Knit Hybrid Women's Polo (Green/White)</t>
        </is>
      </c>
      <c r="E4600" s="1" t="inlineStr">
        <is>
          <t>WAAC</t>
        </is>
      </c>
      <c r="F4600" s="1" t="inlineStr">
        <is>
          <t>LONG SLEEVES</t>
        </is>
      </c>
      <c r="G4600" s="1" t="inlineStr">
        <is>
          <t>GF2040401207XS</t>
        </is>
      </c>
      <c r="H4600" s="1" t="n">
        <v>6</v>
      </c>
      <c r="I4600" s="1" t="inlineStr">
        <is>
          <t>หมด</t>
        </is>
      </c>
      <c r="J4600" s="13" t="n">
        <v>199</v>
      </c>
      <c r="K4600" s="1" t="inlineStr"/>
      <c r="L4600" s="13" t="n"/>
      <c r="M4600" s="1">
        <f>IF(L4600="","ไม่พบใน SG",IF(ABS(J4600-L4600)&lt;0.005,"ตรงกัน","ไม่ตรง"))</f>
        <v/>
      </c>
      <c r="N4600" s="14">
        <f>IF(L4600="","",ROUND(L4600*'สรุป'!$C$6,-1))</f>
        <v/>
      </c>
      <c r="O4600" s="15" t="n"/>
      <c r="P4600" s="15" t="n"/>
      <c r="Q4600" s="10" t="n"/>
      <c r="R4600" s="10" t="n"/>
      <c r="S4600" s="16" t="inlineStr">
        <is>
          <t>https://mstgolf.co.th/products/gf2040401207</t>
        </is>
      </c>
      <c r="T4600" s="1">
        <f>IF(B4600="ไม้กอล์ฟ",J4600,"")</f>
        <v/>
      </c>
    </row>
    <row r="4601">
      <c r="A4601" s="1" t="n">
        <v>3</v>
      </c>
      <c r="B4601" s="1" t="inlineStr">
        <is>
          <t>เสื้อผ้า</t>
        </is>
      </c>
      <c r="C4601" s="1" t="inlineStr">
        <is>
          <t>gf2060101271</t>
        </is>
      </c>
      <c r="D4601" s="1" t="inlineStr">
        <is>
          <t>ADIDAS Originals Trefoil Men's Sweater (Lilac)</t>
        </is>
      </c>
      <c r="E4601" s="1" t="inlineStr">
        <is>
          <t>ADIDAS</t>
        </is>
      </c>
      <c r="F4601" s="1" t="inlineStr">
        <is>
          <t>TOP</t>
        </is>
      </c>
      <c r="G4601" s="1" t="inlineStr">
        <is>
          <t>GF20601012712XS</t>
        </is>
      </c>
      <c r="H4601" s="1" t="n">
        <v>7</v>
      </c>
      <c r="I4601" s="1" t="inlineStr">
        <is>
          <t>หมด</t>
        </is>
      </c>
      <c r="J4601" s="13" t="n">
        <v>189</v>
      </c>
      <c r="K4601" s="1" t="inlineStr"/>
      <c r="L4601" s="13" t="n"/>
      <c r="M4601" s="1">
        <f>IF(L4601="","ไม่พบใน SG",IF(ABS(J4601-L4601)&lt;0.005,"ตรงกัน","ไม่ตรง"))</f>
        <v/>
      </c>
      <c r="N4601" s="14">
        <f>IF(L4601="","",ROUND(L4601*'สรุป'!$C$6,-1))</f>
        <v/>
      </c>
      <c r="O4601" s="15" t="n"/>
      <c r="P4601" s="15" t="n"/>
      <c r="Q4601" s="10" t="n"/>
      <c r="R4601" s="10" t="n"/>
      <c r="S4601" s="16" t="inlineStr">
        <is>
          <t>https://mstgolf.co.th/products/gf2060101271</t>
        </is>
      </c>
      <c r="T4601" s="1">
        <f>IF(B4601="ไม้กอล์ฟ",J4601,"")</f>
        <v/>
      </c>
    </row>
    <row r="4602">
      <c r="A4602" s="1" t="n">
        <v>3</v>
      </c>
      <c r="B4602" s="1" t="inlineStr">
        <is>
          <t>เสื้อผ้า</t>
        </is>
      </c>
      <c r="C4602" s="1" t="inlineStr">
        <is>
          <t>gf2060101145</t>
        </is>
      </c>
      <c r="D4602" s="1" t="inlineStr">
        <is>
          <t>MALBON GOLF Amelia Women’s Knit Cardigan (Marazine Blue/ Snow)</t>
        </is>
      </c>
      <c r="E4602" s="1" t="inlineStr">
        <is>
          <t>MALBON GOLF</t>
        </is>
      </c>
      <c r="F4602" s="1" t="inlineStr">
        <is>
          <t>TOP</t>
        </is>
      </c>
      <c r="G4602" s="1" t="inlineStr">
        <is>
          <t>GF2060101145XS</t>
        </is>
      </c>
      <c r="H4602" s="1" t="n">
        <v>5</v>
      </c>
      <c r="I4602" s="1" t="inlineStr">
        <is>
          <t>หมด</t>
        </is>
      </c>
      <c r="J4602" s="13" t="n">
        <v>189</v>
      </c>
      <c r="K4602" s="1" t="inlineStr"/>
      <c r="L4602" s="13" t="n"/>
      <c r="M4602" s="1">
        <f>IF(L4602="","ไม่พบใน SG",IF(ABS(J4602-L4602)&lt;0.005,"ตรงกัน","ไม่ตรง"))</f>
        <v/>
      </c>
      <c r="N4602" s="14">
        <f>IF(L4602="","",ROUND(L4602*'สรุป'!$C$6,-1))</f>
        <v/>
      </c>
      <c r="O4602" s="15" t="n"/>
      <c r="P4602" s="15" t="n"/>
      <c r="Q4602" s="10" t="n"/>
      <c r="R4602" s="10" t="n"/>
      <c r="S4602" s="16" t="inlineStr">
        <is>
          <t>https://mstgolf.co.th/products/gf2060101145</t>
        </is>
      </c>
      <c r="T4602" s="1">
        <f>IF(B4602="ไม้กอล์ฟ",J4602,"")</f>
        <v/>
      </c>
    </row>
    <row r="4603">
      <c r="A4603" s="1" t="n">
        <v>3</v>
      </c>
      <c r="B4603" s="1" t="inlineStr">
        <is>
          <t>เสื้อผ้า</t>
        </is>
      </c>
      <c r="C4603" s="1" t="inlineStr">
        <is>
          <t>gf2020300046</t>
        </is>
      </c>
      <c r="D4603" s="1" t="inlineStr">
        <is>
          <t>MALBON GOLF Cambridge Skirt (White/Black)</t>
        </is>
      </c>
      <c r="E4603" s="1" t="inlineStr">
        <is>
          <t>MALBON GOLF</t>
        </is>
      </c>
      <c r="F4603" s="1" t="inlineStr">
        <is>
          <t>SKORTS</t>
        </is>
      </c>
      <c r="G4603" s="1" t="inlineStr">
        <is>
          <t>GF20203000462</t>
        </is>
      </c>
      <c r="H4603" s="1" t="n">
        <v>5</v>
      </c>
      <c r="I4603" s="1" t="inlineStr">
        <is>
          <t>หมด</t>
        </is>
      </c>
      <c r="J4603" s="13" t="n">
        <v>189</v>
      </c>
      <c r="K4603" s="1" t="inlineStr"/>
      <c r="L4603" s="13" t="n"/>
      <c r="M4603" s="1">
        <f>IF(L4603="","ไม่พบใน SG",IF(ABS(J4603-L4603)&lt;0.005,"ตรงกัน","ไม่ตรง"))</f>
        <v/>
      </c>
      <c r="N4603" s="14">
        <f>IF(L4603="","",ROUND(L4603*'สรุป'!$C$6,-1))</f>
        <v/>
      </c>
      <c r="O4603" s="15" t="n"/>
      <c r="P4603" s="15" t="n"/>
      <c r="Q4603" s="10" t="n"/>
      <c r="R4603" s="10" t="n"/>
      <c r="S4603" s="16" t="inlineStr">
        <is>
          <t>https://mstgolf.co.th/products/gf2020300046</t>
        </is>
      </c>
      <c r="T4603" s="1">
        <f>IF(B4603="ไม้กอล์ฟ",J4603,"")</f>
        <v/>
      </c>
    </row>
    <row r="4604">
      <c r="A4604" s="1" t="n">
        <v>3</v>
      </c>
      <c r="B4604" s="1" t="inlineStr">
        <is>
          <t>เสื้อผ้า</t>
        </is>
      </c>
      <c r="C4604" s="1" t="inlineStr">
        <is>
          <t>gf2040300144</t>
        </is>
      </c>
      <c r="D4604" s="1" t="inlineStr">
        <is>
          <t>PUMA x Arnold Palmer Seersucker Dress (Zen Blue)</t>
        </is>
      </c>
      <c r="E4604" s="1" t="inlineStr">
        <is>
          <t>PUMA</t>
        </is>
      </c>
      <c r="F4604" s="1" t="inlineStr">
        <is>
          <t>DRESS</t>
        </is>
      </c>
      <c r="G4604" s="1" t="inlineStr">
        <is>
          <t>GF2040300144XS</t>
        </is>
      </c>
      <c r="H4604" s="1" t="n">
        <v>5</v>
      </c>
      <c r="I4604" s="1" t="inlineStr">
        <is>
          <t>หมด</t>
        </is>
      </c>
      <c r="J4604" s="13" t="n">
        <v>189</v>
      </c>
      <c r="K4604" s="1" t="inlineStr"/>
      <c r="L4604" s="13" t="n"/>
      <c r="M4604" s="1">
        <f>IF(L4604="","ไม่พบใน SG",IF(ABS(J4604-L4604)&lt;0.005,"ตรงกัน","ไม่ตรง"))</f>
        <v/>
      </c>
      <c r="N4604" s="14">
        <f>IF(L4604="","",ROUND(L4604*'สรุป'!$C$6,-1))</f>
        <v/>
      </c>
      <c r="O4604" s="15" t="n"/>
      <c r="P4604" s="15" t="n"/>
      <c r="Q4604" s="10" t="n"/>
      <c r="R4604" s="10" t="n"/>
      <c r="S4604" s="16" t="inlineStr">
        <is>
          <t>https://mstgolf.co.th/products/gf2040300144</t>
        </is>
      </c>
      <c r="T4604" s="1">
        <f>IF(B4604="ไม้กอล์ฟ",J4604,"")</f>
        <v/>
      </c>
    </row>
    <row r="4605">
      <c r="A4605" s="1" t="n">
        <v>3</v>
      </c>
      <c r="B4605" s="1" t="inlineStr">
        <is>
          <t>เสื้อผ้า</t>
        </is>
      </c>
      <c r="C4605" s="1" t="inlineStr">
        <is>
          <t>gf2020202712</t>
        </is>
      </c>
      <c r="D4605" s="1" t="inlineStr">
        <is>
          <t>MALBON GOLF 7" Tonino Men's Hybrid Shorts (Black)</t>
        </is>
      </c>
      <c r="E4605" s="1" t="inlineStr">
        <is>
          <t>MALBON GOLF</t>
        </is>
      </c>
      <c r="F4605" s="1" t="inlineStr">
        <is>
          <t>SHORT PANTS</t>
        </is>
      </c>
      <c r="G4605" s="1" t="inlineStr">
        <is>
          <t>GF2020202712S</t>
        </is>
      </c>
      <c r="H4605" s="1" t="n">
        <v>5</v>
      </c>
      <c r="I4605" s="1" t="inlineStr">
        <is>
          <t>หมด</t>
        </is>
      </c>
      <c r="J4605" s="13" t="n">
        <v>185</v>
      </c>
      <c r="K4605" s="1" t="inlineStr"/>
      <c r="L4605" s="13" t="n">
        <v>185</v>
      </c>
      <c r="M4605" s="1">
        <f>IF(L4605="","ไม่พบใน SG",IF(ABS(J4605-L4605)&lt;0.005,"ตรงกัน","ไม่ตรง"))</f>
        <v/>
      </c>
      <c r="N4605" s="14">
        <f>IF(L4605="","",ROUND(L4605*'สรุป'!$C$6,-1))</f>
        <v/>
      </c>
      <c r="O4605" s="15" t="n"/>
      <c r="P4605" s="15" t="n"/>
      <c r="Q4605" s="10" t="n"/>
      <c r="R4605" s="10" t="n"/>
      <c r="S4605" s="16" t="inlineStr">
        <is>
          <t>https://mstgolf.co.th/products/gf2020202712</t>
        </is>
      </c>
      <c r="T4605" s="1">
        <f>IF(B4605="ไม้กอล์ฟ",J4605,"")</f>
        <v/>
      </c>
    </row>
    <row r="4606">
      <c r="A4606" s="1" t="n">
        <v>3</v>
      </c>
      <c r="B4606" s="1" t="inlineStr">
        <is>
          <t>เสื้อผ้า</t>
        </is>
      </c>
      <c r="C4606" s="1" t="inlineStr">
        <is>
          <t>gf2020202713</t>
        </is>
      </c>
      <c r="D4606" s="1" t="inlineStr">
        <is>
          <t>MALBON GOLF Grotto Men's Trunks (Ivory)</t>
        </is>
      </c>
      <c r="E4606" s="1" t="inlineStr">
        <is>
          <t>MALBON GOLF</t>
        </is>
      </c>
      <c r="F4606" s="1" t="inlineStr">
        <is>
          <t>SHORT PANTS</t>
        </is>
      </c>
      <c r="G4606" s="1" t="inlineStr">
        <is>
          <t>GF2020202713S</t>
        </is>
      </c>
      <c r="H4606" s="1" t="n">
        <v>5</v>
      </c>
      <c r="I4606" s="1" t="inlineStr">
        <is>
          <t>หมด</t>
        </is>
      </c>
      <c r="J4606" s="13" t="n">
        <v>185</v>
      </c>
      <c r="K4606" s="1" t="inlineStr"/>
      <c r="L4606" s="13" t="n"/>
      <c r="M4606" s="1">
        <f>IF(L4606="","ไม่พบใน SG",IF(ABS(J4606-L4606)&lt;0.005,"ตรงกัน","ไม่ตรง"))</f>
        <v/>
      </c>
      <c r="N4606" s="14">
        <f>IF(L4606="","",ROUND(L4606*'สรุป'!$C$6,-1))</f>
        <v/>
      </c>
      <c r="O4606" s="15" t="n"/>
      <c r="P4606" s="15" t="n"/>
      <c r="Q4606" s="10" t="n"/>
      <c r="R4606" s="10" t="n"/>
      <c r="S4606" s="16" t="inlineStr">
        <is>
          <t>https://mstgolf.co.th/products/gf2020202713</t>
        </is>
      </c>
      <c r="T4606" s="1">
        <f>IF(B4606="ไม้กอล์ฟ",J4606,"")</f>
        <v/>
      </c>
    </row>
    <row r="4607">
      <c r="A4607" s="1" t="n">
        <v>3</v>
      </c>
      <c r="B4607" s="1" t="inlineStr">
        <is>
          <t>เสื้อผ้า</t>
        </is>
      </c>
      <c r="C4607" s="1" t="inlineStr">
        <is>
          <t>gf2040401396</t>
        </is>
      </c>
      <c r="D4607" s="1" t="inlineStr">
        <is>
          <t>WAAC Athletic Essential Collar Women's Long Sleeve Polo (White)</t>
        </is>
      </c>
      <c r="E4607" s="1" t="inlineStr">
        <is>
          <t>WAAC</t>
        </is>
      </c>
      <c r="F4607" s="1" t="inlineStr">
        <is>
          <t>LONG SLEEVES</t>
        </is>
      </c>
      <c r="G4607" s="1" t="inlineStr">
        <is>
          <t>GF2040401396XS</t>
        </is>
      </c>
      <c r="H4607" s="1" t="n">
        <v>6</v>
      </c>
      <c r="I4607" s="1" t="inlineStr">
        <is>
          <t>หมด</t>
        </is>
      </c>
      <c r="J4607" s="13" t="n">
        <v>180</v>
      </c>
      <c r="K4607" s="1" t="inlineStr"/>
      <c r="L4607" s="13" t="n">
        <v>180</v>
      </c>
      <c r="M4607" s="1">
        <f>IF(L4607="","ไม่พบใน SG",IF(ABS(J4607-L4607)&lt;0.005,"ตรงกัน","ไม่ตรง"))</f>
        <v/>
      </c>
      <c r="N4607" s="14">
        <f>IF(L4607="","",ROUND(L4607*'สรุป'!$C$6,-1))</f>
        <v/>
      </c>
      <c r="O4607" s="15" t="n"/>
      <c r="P4607" s="15" t="n"/>
      <c r="Q4607" s="10" t="n"/>
      <c r="R4607" s="10" t="n"/>
      <c r="S4607" s="16" t="inlineStr">
        <is>
          <t>https://mstgolf.co.th/products/gf2040401396</t>
        </is>
      </c>
      <c r="T4607" s="1">
        <f>IF(B4607="ไม้กอล์ฟ",J4607,"")</f>
        <v/>
      </c>
    </row>
    <row r="4608">
      <c r="A4608" s="1" t="n">
        <v>3</v>
      </c>
      <c r="B4608" s="1" t="inlineStr">
        <is>
          <t>เสื้อผ้า</t>
        </is>
      </c>
      <c r="C4608" s="1" t="inlineStr">
        <is>
          <t>gf2060101069</t>
        </is>
      </c>
      <c r="D4608" s="1" t="inlineStr">
        <is>
          <t>WAAC Korea Waacky Women's Sweater (Blue)</t>
        </is>
      </c>
      <c r="E4608" s="1" t="inlineStr">
        <is>
          <t>WAAC</t>
        </is>
      </c>
      <c r="F4608" s="1" t="inlineStr">
        <is>
          <t>TOP</t>
        </is>
      </c>
      <c r="G4608" s="1" t="inlineStr">
        <is>
          <t>GF2060101069XS</t>
        </is>
      </c>
      <c r="H4608" s="1" t="n">
        <v>6</v>
      </c>
      <c r="I4608" s="1" t="inlineStr">
        <is>
          <t>หมด</t>
        </is>
      </c>
      <c r="J4608" s="13" t="n">
        <v>179</v>
      </c>
      <c r="K4608" s="1" t="inlineStr"/>
      <c r="L4608" s="13" t="n"/>
      <c r="M4608" s="1">
        <f>IF(L4608="","ไม่พบใน SG",IF(ABS(J4608-L4608)&lt;0.005,"ตรงกัน","ไม่ตรง"))</f>
        <v/>
      </c>
      <c r="N4608" s="14">
        <f>IF(L4608="","",ROUND(L4608*'สรุป'!$C$6,-1))</f>
        <v/>
      </c>
      <c r="O4608" s="15" t="n"/>
      <c r="P4608" s="15" t="n"/>
      <c r="Q4608" s="10" t="n"/>
      <c r="R4608" s="10" t="n"/>
      <c r="S4608" s="16" t="inlineStr">
        <is>
          <t>https://mstgolf.co.th/products/gf2060101069</t>
        </is>
      </c>
      <c r="T4608" s="1">
        <f>IF(B4608="ไม้กอล์ฟ",J4608,"")</f>
        <v/>
      </c>
    </row>
    <row r="4609">
      <c r="A4609" s="1" t="n">
        <v>3</v>
      </c>
      <c r="B4609" s="1" t="inlineStr">
        <is>
          <t>เสื้อผ้า</t>
        </is>
      </c>
      <c r="C4609" s="1" t="inlineStr">
        <is>
          <t>gf2040121653</t>
        </is>
      </c>
      <c r="D4609" s="1" t="inlineStr">
        <is>
          <t>LACOSTE Regular Fit UV Protect Men's Polo (Navy)</t>
        </is>
      </c>
      <c r="E4609" s="1" t="inlineStr">
        <is>
          <t>LACOSTE</t>
        </is>
      </c>
      <c r="F4609" s="1" t="inlineStr">
        <is>
          <t>SHORT SLEEVES</t>
        </is>
      </c>
      <c r="G4609" s="1" t="inlineStr">
        <is>
          <t>GF20401216533</t>
        </is>
      </c>
      <c r="H4609" s="1" t="n">
        <v>5</v>
      </c>
      <c r="I4609" s="1" t="inlineStr">
        <is>
          <t>หมด</t>
        </is>
      </c>
      <c r="J4609" s="13" t="n">
        <v>169</v>
      </c>
      <c r="K4609" s="1" t="inlineStr"/>
      <c r="L4609" s="13" t="n">
        <v>169</v>
      </c>
      <c r="M4609" s="1">
        <f>IF(L4609="","ไม่พบใน SG",IF(ABS(J4609-L4609)&lt;0.005,"ตรงกัน","ไม่ตรง"))</f>
        <v/>
      </c>
      <c r="N4609" s="14">
        <f>IF(L4609="","",ROUND(L4609*'สรุป'!$C$6,-1))</f>
        <v/>
      </c>
      <c r="O4609" s="15" t="n"/>
      <c r="P4609" s="15" t="n"/>
      <c r="Q4609" s="10" t="n"/>
      <c r="R4609" s="10" t="n"/>
      <c r="S4609" s="16" t="inlineStr">
        <is>
          <t>https://mstgolf.co.th/products/gf2040121653</t>
        </is>
      </c>
      <c r="T4609" s="1">
        <f>IF(B4609="ไม้กอล์ฟ",J4609,"")</f>
        <v/>
      </c>
    </row>
    <row r="4610">
      <c r="A4610" s="1" t="n">
        <v>3</v>
      </c>
      <c r="B4610" s="1" t="inlineStr">
        <is>
          <t>เสื้อผ้า</t>
        </is>
      </c>
      <c r="C4610" s="1" t="inlineStr">
        <is>
          <t>gf2040120771</t>
        </is>
      </c>
      <c r="D4610" s="1" t="inlineStr">
        <is>
          <t>TAYLORMADE Edgy Block Men's Polo (White)</t>
        </is>
      </c>
      <c r="E4610" s="1" t="inlineStr">
        <is>
          <t>TAYLORMADE</t>
        </is>
      </c>
      <c r="F4610" s="1" t="inlineStr">
        <is>
          <t>SHORT SLEEVES</t>
        </is>
      </c>
      <c r="G4610" s="1" t="inlineStr">
        <is>
          <t>GF2040120771M</t>
        </is>
      </c>
      <c r="H4610" s="1" t="n">
        <v>5</v>
      </c>
      <c r="I4610" s="1" t="inlineStr">
        <is>
          <t>หมด</t>
        </is>
      </c>
      <c r="J4610" s="13" t="n">
        <v>169</v>
      </c>
      <c r="K4610" s="1" t="inlineStr"/>
      <c r="L4610" s="13" t="n">
        <v>169</v>
      </c>
      <c r="M4610" s="1">
        <f>IF(L4610="","ไม่พบใน SG",IF(ABS(J4610-L4610)&lt;0.005,"ตรงกัน","ไม่ตรง"))</f>
        <v/>
      </c>
      <c r="N4610" s="14">
        <f>IF(L4610="","",ROUND(L4610*'สรุป'!$C$6,-1))</f>
        <v/>
      </c>
      <c r="O4610" s="15" t="n"/>
      <c r="P4610" s="15" t="n"/>
      <c r="Q4610" s="10" t="n"/>
      <c r="R4610" s="10" t="n"/>
      <c r="S4610" s="16" t="inlineStr">
        <is>
          <t>https://mstgolf.co.th/products/gf2040120771</t>
        </is>
      </c>
      <c r="T4610" s="1">
        <f>IF(B4610="ไม้กอล์ฟ",J4610,"")</f>
        <v/>
      </c>
    </row>
    <row r="4611">
      <c r="A4611" s="1" t="n">
        <v>3</v>
      </c>
      <c r="B4611" s="1" t="inlineStr">
        <is>
          <t>เสื้อผ้า</t>
        </is>
      </c>
      <c r="C4611" s="1" t="inlineStr">
        <is>
          <t>gf2040118013</t>
        </is>
      </c>
      <c r="D4611" s="1" t="inlineStr">
        <is>
          <t>WAAC Korea Bucket Hat Men's Polo (Green)</t>
        </is>
      </c>
      <c r="E4611" s="1" t="inlineStr">
        <is>
          <t>WAAC</t>
        </is>
      </c>
      <c r="F4611" s="1" t="inlineStr">
        <is>
          <t>SHORT SLEEVES</t>
        </is>
      </c>
      <c r="G4611" s="1" t="inlineStr">
        <is>
          <t>GF2040118013S</t>
        </is>
      </c>
      <c r="H4611" s="1" t="n">
        <v>5</v>
      </c>
      <c r="I4611" s="1" t="inlineStr">
        <is>
          <t>หมด</t>
        </is>
      </c>
      <c r="J4611" s="13" t="n">
        <v>169</v>
      </c>
      <c r="K4611" s="1" t="inlineStr"/>
      <c r="L4611" s="13" t="n"/>
      <c r="M4611" s="1">
        <f>IF(L4611="","ไม่พบใน SG",IF(ABS(J4611-L4611)&lt;0.005,"ตรงกัน","ไม่ตรง"))</f>
        <v/>
      </c>
      <c r="N4611" s="14">
        <f>IF(L4611="","",ROUND(L4611*'สรุป'!$C$6,-1))</f>
        <v/>
      </c>
      <c r="O4611" s="15" t="n"/>
      <c r="P4611" s="15" t="n"/>
      <c r="Q4611" s="10" t="n"/>
      <c r="R4611" s="10" t="n"/>
      <c r="S4611" s="16" t="inlineStr">
        <is>
          <t>https://mstgolf.co.th/products/gf2040118013</t>
        </is>
      </c>
      <c r="T4611" s="1">
        <f>IF(B4611="ไม้กอล์ฟ",J4611,"")</f>
        <v/>
      </c>
    </row>
    <row r="4612">
      <c r="A4612" s="1" t="n">
        <v>3</v>
      </c>
      <c r="B4612" s="1" t="inlineStr">
        <is>
          <t>เสื้อผ้า</t>
        </is>
      </c>
      <c r="C4612" s="1" t="inlineStr">
        <is>
          <t>gf2040120610</t>
        </is>
      </c>
      <c r="D4612" s="1" t="inlineStr">
        <is>
          <t>PETER MILLAR Due North Men's Performance Jersey Polo (White)</t>
        </is>
      </c>
      <c r="E4612" s="1" t="inlineStr">
        <is>
          <t>PETER MILLAR</t>
        </is>
      </c>
      <c r="F4612" s="1" t="inlineStr">
        <is>
          <t>SHORT SLEEVES</t>
        </is>
      </c>
      <c r="G4612" s="1" t="inlineStr">
        <is>
          <t>GF2040120610S</t>
        </is>
      </c>
      <c r="H4612" s="1" t="n">
        <v>5</v>
      </c>
      <c r="I4612" s="1" t="inlineStr">
        <is>
          <t>หมด</t>
        </is>
      </c>
      <c r="J4612" s="13" t="n">
        <v>165</v>
      </c>
      <c r="K4612" s="1" t="inlineStr"/>
      <c r="L4612" s="13" t="n"/>
      <c r="M4612" s="1">
        <f>IF(L4612="","ไม่พบใน SG",IF(ABS(J4612-L4612)&lt;0.005,"ตรงกัน","ไม่ตรง"))</f>
        <v/>
      </c>
      <c r="N4612" s="14">
        <f>IF(L4612="","",ROUND(L4612*'สรุป'!$C$6,-1))</f>
        <v/>
      </c>
      <c r="O4612" s="15" t="n"/>
      <c r="P4612" s="15" t="n"/>
      <c r="Q4612" s="10" t="n"/>
      <c r="R4612" s="10" t="n"/>
      <c r="S4612" s="16" t="inlineStr">
        <is>
          <t>https://mstgolf.co.th/products/gf2040120610</t>
        </is>
      </c>
      <c r="T4612" s="1">
        <f>IF(B4612="ไม้กอล์ฟ",J4612,"")</f>
        <v/>
      </c>
    </row>
    <row r="4613">
      <c r="A4613" s="1" t="n">
        <v>3</v>
      </c>
      <c r="B4613" s="1" t="inlineStr">
        <is>
          <t>เสื้อผ้า</t>
        </is>
      </c>
      <c r="C4613" s="1" t="inlineStr">
        <is>
          <t>gf2040120606</t>
        </is>
      </c>
      <c r="D4613" s="1" t="inlineStr">
        <is>
          <t>PETER MILLAR Jukebox Men's Performance Jersey Polo (Dogwood)</t>
        </is>
      </c>
      <c r="E4613" s="1" t="inlineStr">
        <is>
          <t>PETER MILLAR</t>
        </is>
      </c>
      <c r="F4613" s="1" t="inlineStr">
        <is>
          <t>SHORT SLEEVES</t>
        </is>
      </c>
      <c r="G4613" s="1" t="inlineStr">
        <is>
          <t>GF2040120606S</t>
        </is>
      </c>
      <c r="H4613" s="1" t="n">
        <v>5</v>
      </c>
      <c r="I4613" s="1" t="inlineStr">
        <is>
          <t>หมด</t>
        </is>
      </c>
      <c r="J4613" s="13" t="n">
        <v>165</v>
      </c>
      <c r="K4613" s="1" t="inlineStr"/>
      <c r="L4613" s="13" t="n">
        <v>165</v>
      </c>
      <c r="M4613" s="1">
        <f>IF(L4613="","ไม่พบใน SG",IF(ABS(J4613-L4613)&lt;0.005,"ตรงกัน","ไม่ตรง"))</f>
        <v/>
      </c>
      <c r="N4613" s="14">
        <f>IF(L4613="","",ROUND(L4613*'สรุป'!$C$6,-1))</f>
        <v/>
      </c>
      <c r="O4613" s="15" t="n"/>
      <c r="P4613" s="15" t="n"/>
      <c r="Q4613" s="10" t="n"/>
      <c r="R4613" s="10" t="n"/>
      <c r="S4613" s="16" t="inlineStr">
        <is>
          <t>https://mstgolf.co.th/products/gf2040120606</t>
        </is>
      </c>
      <c r="T4613" s="1">
        <f>IF(B4613="ไม้กอล์ฟ",J4613,"")</f>
        <v/>
      </c>
    </row>
    <row r="4614">
      <c r="A4614" s="1" t="n">
        <v>3</v>
      </c>
      <c r="B4614" s="1" t="inlineStr">
        <is>
          <t>เสื้อผ้า</t>
        </is>
      </c>
      <c r="C4614" s="1" t="inlineStr">
        <is>
          <t>gf2040120607</t>
        </is>
      </c>
      <c r="D4614" s="1" t="inlineStr">
        <is>
          <t>PETER MILLAR Olive Grove Men's Performance Jersey Polo (White)</t>
        </is>
      </c>
      <c r="E4614" s="1" t="inlineStr">
        <is>
          <t>PETER MILLAR</t>
        </is>
      </c>
      <c r="F4614" s="1" t="inlineStr">
        <is>
          <t>SHORT SLEEVES</t>
        </is>
      </c>
      <c r="G4614" s="1" t="inlineStr">
        <is>
          <t>GF2040120607S</t>
        </is>
      </c>
      <c r="H4614" s="1" t="n">
        <v>5</v>
      </c>
      <c r="I4614" s="1" t="inlineStr">
        <is>
          <t>หมด</t>
        </is>
      </c>
      <c r="J4614" s="13" t="n">
        <v>165</v>
      </c>
      <c r="K4614" s="1" t="inlineStr"/>
      <c r="L4614" s="13" t="n">
        <v>165</v>
      </c>
      <c r="M4614" s="1">
        <f>IF(L4614="","ไม่พบใน SG",IF(ABS(J4614-L4614)&lt;0.005,"ตรงกัน","ไม่ตรง"))</f>
        <v/>
      </c>
      <c r="N4614" s="14">
        <f>IF(L4614="","",ROUND(L4614*'สรุป'!$C$6,-1))</f>
        <v/>
      </c>
      <c r="O4614" s="15" t="n"/>
      <c r="P4614" s="15" t="n"/>
      <c r="Q4614" s="10" t="n"/>
      <c r="R4614" s="10" t="n"/>
      <c r="S4614" s="16" t="inlineStr">
        <is>
          <t>https://mstgolf.co.th/products/gf2040120607</t>
        </is>
      </c>
      <c r="T4614" s="1">
        <f>IF(B4614="ไม้กอล์ฟ",J4614,"")</f>
        <v/>
      </c>
    </row>
    <row r="4615">
      <c r="A4615" s="1" t="n">
        <v>3</v>
      </c>
      <c r="B4615" s="1" t="inlineStr">
        <is>
          <t>เสื้อผ้า</t>
        </is>
      </c>
      <c r="C4615" s="1" t="inlineStr">
        <is>
          <t>gf2020102322</t>
        </is>
      </c>
      <c r="D4615" s="1" t="inlineStr">
        <is>
          <t>WAAC Korea Women's Cargo Pants (Beige)</t>
        </is>
      </c>
      <c r="E4615" s="1" t="inlineStr">
        <is>
          <t>WAAC</t>
        </is>
      </c>
      <c r="F4615" s="1" t="inlineStr">
        <is>
          <t>LONG PANTS</t>
        </is>
      </c>
      <c r="G4615" s="1" t="inlineStr">
        <is>
          <t>GF202010232223</t>
        </is>
      </c>
      <c r="H4615" s="1" t="n">
        <v>6</v>
      </c>
      <c r="I4615" s="1" t="inlineStr">
        <is>
          <t>หมด</t>
        </is>
      </c>
      <c r="J4615" s="13" t="n">
        <v>165</v>
      </c>
      <c r="K4615" s="1" t="inlineStr"/>
      <c r="L4615" s="13" t="n"/>
      <c r="M4615" s="1">
        <f>IF(L4615="","ไม่พบใน SG",IF(ABS(J4615-L4615)&lt;0.005,"ตรงกัน","ไม่ตรง"))</f>
        <v/>
      </c>
      <c r="N4615" s="14">
        <f>IF(L4615="","",ROUND(L4615*'สรุป'!$C$6,-1))</f>
        <v/>
      </c>
      <c r="O4615" s="15" t="n"/>
      <c r="P4615" s="15" t="n"/>
      <c r="Q4615" s="10" t="n"/>
      <c r="R4615" s="10" t="n"/>
      <c r="S4615" s="16" t="inlineStr">
        <is>
          <t>https://mstgolf.co.th/products/gf2020102322</t>
        </is>
      </c>
      <c r="T4615" s="1">
        <f>IF(B4615="ไม้กอล์ฟ",J4615,"")</f>
        <v/>
      </c>
    </row>
    <row r="4616">
      <c r="A4616" s="1" t="n">
        <v>3</v>
      </c>
      <c r="B4616" s="1" t="inlineStr">
        <is>
          <t>เสื้อผ้า</t>
        </is>
      </c>
      <c r="C4616" s="1" t="inlineStr">
        <is>
          <t>gf2020202740</t>
        </is>
      </c>
      <c r="D4616" s="1" t="inlineStr">
        <is>
          <t>WAAC Athletic Big Pocket Women's Shorts (White)</t>
        </is>
      </c>
      <c r="E4616" s="1" t="inlineStr">
        <is>
          <t>WAAC</t>
        </is>
      </c>
      <c r="F4616" s="1" t="inlineStr">
        <is>
          <t>SHORT PANTS</t>
        </is>
      </c>
      <c r="G4616" s="1" t="inlineStr">
        <is>
          <t>GF202020274023</t>
        </is>
      </c>
      <c r="H4616" s="1" t="n">
        <v>8</v>
      </c>
      <c r="I4616" s="1" t="inlineStr">
        <is>
          <t>หมด</t>
        </is>
      </c>
      <c r="J4616" s="13" t="n">
        <v>160</v>
      </c>
      <c r="K4616" s="1" t="inlineStr"/>
      <c r="L4616" s="13" t="n">
        <v>160</v>
      </c>
      <c r="M4616" s="1">
        <f>IF(L4616="","ไม่พบใน SG",IF(ABS(J4616-L4616)&lt;0.005,"ตรงกัน","ไม่ตรง"))</f>
        <v/>
      </c>
      <c r="N4616" s="14">
        <f>IF(L4616="","",ROUND(L4616*'สรุป'!$C$6,-1))</f>
        <v/>
      </c>
      <c r="O4616" s="15" t="n"/>
      <c r="P4616" s="15" t="n"/>
      <c r="Q4616" s="10" t="n"/>
      <c r="R4616" s="10" t="n"/>
      <c r="S4616" s="16" t="inlineStr">
        <is>
          <t>https://mstgolf.co.th/products/gf2020202740</t>
        </is>
      </c>
      <c r="T4616" s="1">
        <f>IF(B4616="ไม้กอล์ฟ",J4616,"")</f>
        <v/>
      </c>
    </row>
    <row r="4617">
      <c r="A4617" s="1" t="n">
        <v>3</v>
      </c>
      <c r="B4617" s="1" t="inlineStr">
        <is>
          <t>เสื้อผ้า</t>
        </is>
      </c>
      <c r="C4617" s="1" t="inlineStr">
        <is>
          <t>gf2040120490</t>
        </is>
      </c>
      <c r="D4617" s="1" t="inlineStr">
        <is>
          <t>ADIDAS Originals Men's Knit Polo (Purple/Brown)</t>
        </is>
      </c>
      <c r="E4617" s="1" t="inlineStr">
        <is>
          <t>ADIDAS</t>
        </is>
      </c>
      <c r="F4617" s="1" t="inlineStr">
        <is>
          <t>SHORT SLEEVES</t>
        </is>
      </c>
      <c r="G4617" s="1" t="inlineStr">
        <is>
          <t>GF20401204902XS</t>
        </is>
      </c>
      <c r="H4617" s="1" t="n">
        <v>7</v>
      </c>
      <c r="I4617" s="1" t="inlineStr">
        <is>
          <t>หมด</t>
        </is>
      </c>
      <c r="J4617" s="13" t="n">
        <v>159</v>
      </c>
      <c r="K4617" s="1" t="inlineStr"/>
      <c r="L4617" s="13" t="n">
        <v>109</v>
      </c>
      <c r="M4617" s="1">
        <f>IF(L4617="","ไม่พบใน SG",IF(ABS(J4617-L4617)&lt;0.005,"ตรงกัน","ไม่ตรง"))</f>
        <v/>
      </c>
      <c r="N4617" s="14">
        <f>IF(L4617="","",ROUND(L4617*'สรุป'!$C$6,-1))</f>
        <v/>
      </c>
      <c r="O4617" s="15" t="n"/>
      <c r="P4617" s="15" t="n"/>
      <c r="Q4617" s="10" t="n"/>
      <c r="R4617" s="10" t="n"/>
      <c r="S4617" s="16" t="inlineStr">
        <is>
          <t>https://mstgolf.co.th/products/gf2040120490</t>
        </is>
      </c>
      <c r="T4617" s="1">
        <f>IF(B4617="ไม้กอล์ฟ",J4617,"")</f>
        <v/>
      </c>
    </row>
    <row r="4618">
      <c r="A4618" s="1" t="n">
        <v>3</v>
      </c>
      <c r="B4618" s="1" t="inlineStr">
        <is>
          <t>อุปกรณ์เสริม</t>
        </is>
      </c>
      <c r="C4618" s="1" t="inlineStr">
        <is>
          <t>gf3500201667</t>
        </is>
      </c>
      <c r="D4618" s="1" t="inlineStr">
        <is>
          <t>MALBON GOLF Riviera Hybrid Headcover</t>
        </is>
      </c>
      <c r="E4618" s="1" t="inlineStr">
        <is>
          <t>MALBON GOLF</t>
        </is>
      </c>
      <c r="F4618" s="1" t="inlineStr">
        <is>
          <t>HEADCOVERS</t>
        </is>
      </c>
      <c r="G4618" s="1" t="inlineStr">
        <is>
          <t>GF3500201667</t>
        </is>
      </c>
      <c r="H4618" s="1" t="n">
        <v>1</v>
      </c>
      <c r="I4618" s="1" t="inlineStr">
        <is>
          <t>หมด</t>
        </is>
      </c>
      <c r="J4618" s="13" t="n">
        <v>159</v>
      </c>
      <c r="K4618" s="1" t="inlineStr"/>
      <c r="L4618" s="13" t="n"/>
      <c r="M4618" s="1">
        <f>IF(L4618="","ไม่พบใน SG",IF(ABS(J4618-L4618)&lt;0.005,"ตรงกัน","ไม่ตรง"))</f>
        <v/>
      </c>
      <c r="N4618" s="14">
        <f>IF(L4618="","",ROUND(L4618*'สรุป'!$C$6,-1))</f>
        <v/>
      </c>
      <c r="O4618" s="15" t="n"/>
      <c r="P4618" s="15" t="n"/>
      <c r="Q4618" s="10" t="n"/>
      <c r="R4618" s="10" t="n"/>
      <c r="S4618" s="16" t="inlineStr">
        <is>
          <t>https://mstgolf.co.th/products/gf3500201667</t>
        </is>
      </c>
      <c r="T4618" s="1">
        <f>IF(B4618="ไม้กอล์ฟ",J4618,"")</f>
        <v/>
      </c>
    </row>
    <row r="4619">
      <c r="A4619" s="1" t="n">
        <v>3</v>
      </c>
      <c r="B4619" s="1" t="inlineStr">
        <is>
          <t>อุปกรณ์เสริม</t>
        </is>
      </c>
      <c r="C4619" s="1" t="inlineStr">
        <is>
          <t>gf3500201679</t>
        </is>
      </c>
      <c r="D4619" s="1" t="inlineStr">
        <is>
          <t>MALBON GOLF Tiger Buckets Fairway Headcover</t>
        </is>
      </c>
      <c r="E4619" s="1" t="inlineStr">
        <is>
          <t>MALBON GOLF</t>
        </is>
      </c>
      <c r="F4619" s="1" t="inlineStr">
        <is>
          <t>HEADCOVERS</t>
        </is>
      </c>
      <c r="G4619" s="1" t="inlineStr">
        <is>
          <t>GF3500201679</t>
        </is>
      </c>
      <c r="H4619" s="1" t="n">
        <v>1</v>
      </c>
      <c r="I4619" s="1" t="inlineStr">
        <is>
          <t>หมด</t>
        </is>
      </c>
      <c r="J4619" s="13" t="n">
        <v>159</v>
      </c>
      <c r="K4619" s="1" t="inlineStr"/>
      <c r="L4619" s="13" t="n">
        <v>159</v>
      </c>
      <c r="M4619" s="1">
        <f>IF(L4619="","ไม่พบใน SG",IF(ABS(J4619-L4619)&lt;0.005,"ตรงกัน","ไม่ตรง"))</f>
        <v/>
      </c>
      <c r="N4619" s="14">
        <f>IF(L4619="","",ROUND(L4619*'สรุป'!$C$6,-1))</f>
        <v/>
      </c>
      <c r="O4619" s="15" t="n"/>
      <c r="P4619" s="15" t="n"/>
      <c r="Q4619" s="10" t="n"/>
      <c r="R4619" s="10" t="n"/>
      <c r="S4619" s="16" t="inlineStr">
        <is>
          <t>https://mstgolf.co.th/products/gf3500201679</t>
        </is>
      </c>
      <c r="T4619" s="1">
        <f>IF(B4619="ไม้กอล์ฟ",J4619,"")</f>
        <v/>
      </c>
    </row>
    <row r="4620">
      <c r="A4620" s="1" t="n">
        <v>3</v>
      </c>
      <c r="B4620" s="1" t="inlineStr">
        <is>
          <t>อุปกรณ์เสริม</t>
        </is>
      </c>
      <c r="C4620" s="1" t="inlineStr">
        <is>
          <t>gf3500201681</t>
        </is>
      </c>
      <c r="D4620" s="1" t="inlineStr">
        <is>
          <t>MALBON GOLF Tiger Buckets Utility Headcover</t>
        </is>
      </c>
      <c r="E4620" s="1" t="inlineStr">
        <is>
          <t>MALBON GOLF</t>
        </is>
      </c>
      <c r="F4620" s="1" t="inlineStr">
        <is>
          <t>HEADCOVERS</t>
        </is>
      </c>
      <c r="G4620" s="1" t="inlineStr">
        <is>
          <t>GF3500201681</t>
        </is>
      </c>
      <c r="H4620" s="1" t="n">
        <v>1</v>
      </c>
      <c r="I4620" s="1" t="inlineStr">
        <is>
          <t>หมด</t>
        </is>
      </c>
      <c r="J4620" s="13" t="n">
        <v>159</v>
      </c>
      <c r="K4620" s="1" t="inlineStr"/>
      <c r="L4620" s="13" t="n">
        <v>159</v>
      </c>
      <c r="M4620" s="1">
        <f>IF(L4620="","ไม่พบใน SG",IF(ABS(J4620-L4620)&lt;0.005,"ตรงกัน","ไม่ตรง"))</f>
        <v/>
      </c>
      <c r="N4620" s="14">
        <f>IF(L4620="","",ROUND(L4620*'สรุป'!$C$6,-1))</f>
        <v/>
      </c>
      <c r="O4620" s="15" t="n"/>
      <c r="P4620" s="15" t="n"/>
      <c r="Q4620" s="10" t="n"/>
      <c r="R4620" s="10" t="n"/>
      <c r="S4620" s="16" t="inlineStr">
        <is>
          <t>https://mstgolf.co.th/products/gf3500201681</t>
        </is>
      </c>
      <c r="T4620" s="1">
        <f>IF(B4620="ไม้กอล์ฟ",J4620,"")</f>
        <v/>
      </c>
    </row>
    <row r="4621">
      <c r="A4621" s="1" t="n">
        <v>3</v>
      </c>
      <c r="B4621" s="1" t="inlineStr">
        <is>
          <t>อุปกรณ์เสริม</t>
        </is>
      </c>
      <c r="C4621" s="1" t="inlineStr">
        <is>
          <t>gf3500201364</t>
        </is>
      </c>
      <c r="D4621" s="1" t="inlineStr">
        <is>
          <t>PXG Iron Headcover Kit (Black)</t>
        </is>
      </c>
      <c r="E4621" s="1" t="inlineStr">
        <is>
          <t>PXG</t>
        </is>
      </c>
      <c r="F4621" s="1" t="inlineStr">
        <is>
          <t>HEADCOVERS</t>
        </is>
      </c>
      <c r="G4621" s="1" t="inlineStr">
        <is>
          <t>GF3500201364</t>
        </is>
      </c>
      <c r="H4621" s="1" t="n">
        <v>1</v>
      </c>
      <c r="I4621" s="1" t="inlineStr">
        <is>
          <t>หมด</t>
        </is>
      </c>
      <c r="J4621" s="13" t="n">
        <v>159</v>
      </c>
      <c r="K4621" s="1" t="inlineStr"/>
      <c r="L4621" s="13" t="n">
        <v>159</v>
      </c>
      <c r="M4621" s="1">
        <f>IF(L4621="","ไม่พบใน SG",IF(ABS(J4621-L4621)&lt;0.005,"ตรงกัน","ไม่ตรง"))</f>
        <v/>
      </c>
      <c r="N4621" s="14">
        <f>IF(L4621="","",ROUND(L4621*'สรุป'!$C$6,-1))</f>
        <v/>
      </c>
      <c r="O4621" s="15" t="n"/>
      <c r="P4621" s="15" t="n"/>
      <c r="Q4621" s="10" t="n"/>
      <c r="R4621" s="10" t="n"/>
      <c r="S4621" s="16" t="inlineStr">
        <is>
          <t>https://mstgolf.co.th/products/gf3500201364</t>
        </is>
      </c>
      <c r="T4621" s="1">
        <f>IF(B4621="ไม้กอล์ฟ",J4621,"")</f>
        <v/>
      </c>
    </row>
    <row r="4622">
      <c r="A4622" s="1" t="n">
        <v>3</v>
      </c>
      <c r="B4622" s="1" t="inlineStr">
        <is>
          <t>เสื้อผ้า</t>
        </is>
      </c>
      <c r="C4622" s="1" t="inlineStr">
        <is>
          <t>gf2040119993</t>
        </is>
      </c>
      <c r="D4622" s="1" t="inlineStr">
        <is>
          <t>WAAC Cacti WAACKY Women's Polo (Pink)</t>
        </is>
      </c>
      <c r="E4622" s="1" t="inlineStr">
        <is>
          <t>WAAC</t>
        </is>
      </c>
      <c r="F4622" s="1" t="inlineStr">
        <is>
          <t>SHORT SLEEVES</t>
        </is>
      </c>
      <c r="G4622" s="1" t="inlineStr">
        <is>
          <t>GF2040119993XS</t>
        </is>
      </c>
      <c r="H4622" s="1" t="n">
        <v>6</v>
      </c>
      <c r="I4622" s="1" t="inlineStr">
        <is>
          <t>หมด</t>
        </is>
      </c>
      <c r="J4622" s="13" t="n">
        <v>150</v>
      </c>
      <c r="K4622" s="1" t="inlineStr"/>
      <c r="L4622" s="13" t="n">
        <v>150</v>
      </c>
      <c r="M4622" s="1">
        <f>IF(L4622="","ไม่พบใน SG",IF(ABS(J4622-L4622)&lt;0.005,"ตรงกัน","ไม่ตรง"))</f>
        <v/>
      </c>
      <c r="N4622" s="14">
        <f>IF(L4622="","",ROUND(L4622*'สรุป'!$C$6,-1))</f>
        <v/>
      </c>
      <c r="O4622" s="15" t="n"/>
      <c r="P4622" s="15" t="n"/>
      <c r="Q4622" s="10" t="n"/>
      <c r="R4622" s="10" t="n"/>
      <c r="S4622" s="16" t="inlineStr">
        <is>
          <t>https://mstgolf.co.th/products/gf2040119993</t>
        </is>
      </c>
      <c r="T4622" s="1">
        <f>IF(B4622="ไม้กอล์ฟ",J4622,"")</f>
        <v/>
      </c>
    </row>
    <row r="4623">
      <c r="A4623" s="1" t="n">
        <v>3</v>
      </c>
      <c r="B4623" s="1" t="inlineStr">
        <is>
          <t>เสื้อผ้า</t>
        </is>
      </c>
      <c r="C4623" s="1" t="inlineStr">
        <is>
          <t>gf2040120539</t>
        </is>
      </c>
      <c r="D4623" s="1" t="inlineStr">
        <is>
          <t>ADIDAS Originals Women's Knit Polo (Red)</t>
        </is>
      </c>
      <c r="E4623" s="1" t="inlineStr">
        <is>
          <t>ADIDAS</t>
        </is>
      </c>
      <c r="F4623" s="1" t="inlineStr">
        <is>
          <t>SHORT SLEEVES</t>
        </is>
      </c>
      <c r="G4623" s="1" t="inlineStr">
        <is>
          <t>GF20401205392XS</t>
        </is>
      </c>
      <c r="H4623" s="1" t="n">
        <v>7</v>
      </c>
      <c r="I4623" s="1" t="inlineStr">
        <is>
          <t>หมด</t>
        </is>
      </c>
      <c r="J4623" s="13" t="n">
        <v>149</v>
      </c>
      <c r="K4623" s="1" t="inlineStr"/>
      <c r="L4623" s="13" t="n"/>
      <c r="M4623" s="1">
        <f>IF(L4623="","ไม่พบใน SG",IF(ABS(J4623-L4623)&lt;0.005,"ตรงกัน","ไม่ตรง"))</f>
        <v/>
      </c>
      <c r="N4623" s="14">
        <f>IF(L4623="","",ROUND(L4623*'สรุป'!$C$6,-1))</f>
        <v/>
      </c>
      <c r="O4623" s="15" t="n"/>
      <c r="P4623" s="15" t="n"/>
      <c r="Q4623" s="10" t="n"/>
      <c r="R4623" s="10" t="n"/>
      <c r="S4623" s="16" t="inlineStr">
        <is>
          <t>https://mstgolf.co.th/products/gf2040120539</t>
        </is>
      </c>
      <c r="T4623" s="1">
        <f>IF(B4623="ไม้กอล์ฟ",J4623,"")</f>
        <v/>
      </c>
    </row>
    <row r="4624">
      <c r="A4624" s="1" t="n">
        <v>3</v>
      </c>
      <c r="B4624" s="1" t="inlineStr">
        <is>
          <t>เสื้อผ้า</t>
        </is>
      </c>
      <c r="C4624" s="1" t="inlineStr">
        <is>
          <t>gf2020102145</t>
        </is>
      </c>
      <c r="D4624" s="1" t="inlineStr">
        <is>
          <t>FOOTJOY Lightweight Stretch Tour Fit Men's Pants (Heather Char)</t>
        </is>
      </c>
      <c r="E4624" s="1" t="inlineStr">
        <is>
          <t>FOOTJOY</t>
        </is>
      </c>
      <c r="F4624" s="1" t="inlineStr">
        <is>
          <t>LONG PANTS</t>
        </is>
      </c>
      <c r="G4624" s="1" t="inlineStr">
        <is>
          <t>GF202010214530</t>
        </is>
      </c>
      <c r="H4624" s="1" t="n">
        <v>6</v>
      </c>
      <c r="I4624" s="1" t="inlineStr">
        <is>
          <t>หมด</t>
        </is>
      </c>
      <c r="J4624" s="13" t="n">
        <v>149</v>
      </c>
      <c r="K4624" s="1" t="inlineStr"/>
      <c r="L4624" s="13" t="n">
        <v>149</v>
      </c>
      <c r="M4624" s="1">
        <f>IF(L4624="","ไม่พบใน SG",IF(ABS(J4624-L4624)&lt;0.005,"ตรงกัน","ไม่ตรง"))</f>
        <v/>
      </c>
      <c r="N4624" s="14">
        <f>IF(L4624="","",ROUND(L4624*'สรุป'!$C$6,-1))</f>
        <v/>
      </c>
      <c r="O4624" s="15" t="n"/>
      <c r="P4624" s="15" t="n"/>
      <c r="Q4624" s="10" t="n"/>
      <c r="R4624" s="10" t="n"/>
      <c r="S4624" s="16" t="inlineStr">
        <is>
          <t>https://mstgolf.co.th/products/gf2020102145</t>
        </is>
      </c>
      <c r="T4624" s="1">
        <f>IF(B4624="ไม้กอล์ฟ",J4624,"")</f>
        <v/>
      </c>
    </row>
    <row r="4625">
      <c r="A4625" s="1" t="n">
        <v>3</v>
      </c>
      <c r="B4625" s="1" t="inlineStr">
        <is>
          <t>อุปกรณ์เสริม</t>
        </is>
      </c>
      <c r="C4625" s="1" t="inlineStr">
        <is>
          <t>gf3500201806</t>
        </is>
      </c>
      <c r="D4625" s="1" t="inlineStr">
        <is>
          <t>TAYLORMADE Dia de los Muertos Driver Headcover</t>
        </is>
      </c>
      <c r="E4625" s="1" t="inlineStr">
        <is>
          <t>TAYLORMADE</t>
        </is>
      </c>
      <c r="F4625" s="1" t="inlineStr">
        <is>
          <t>HEADCOVERS</t>
        </is>
      </c>
      <c r="G4625" s="1" t="inlineStr">
        <is>
          <t>GF3500201806</t>
        </is>
      </c>
      <c r="H4625" s="1" t="n">
        <v>1</v>
      </c>
      <c r="I4625" s="1" t="inlineStr">
        <is>
          <t>หมด</t>
        </is>
      </c>
      <c r="J4625" s="13" t="n">
        <v>149</v>
      </c>
      <c r="K4625" s="1" t="inlineStr"/>
      <c r="L4625" s="13" t="n">
        <v>149</v>
      </c>
      <c r="M4625" s="1">
        <f>IF(L4625="","ไม่พบใน SG",IF(ABS(J4625-L4625)&lt;0.005,"ตรงกัน","ไม่ตรง"))</f>
        <v/>
      </c>
      <c r="N4625" s="14">
        <f>IF(L4625="","",ROUND(L4625*'สรุป'!$C$6,-1))</f>
        <v/>
      </c>
      <c r="O4625" s="15" t="n"/>
      <c r="P4625" s="15" t="n"/>
      <c r="Q4625" s="10" t="n"/>
      <c r="R4625" s="10" t="n"/>
      <c r="S4625" s="16" t="inlineStr">
        <is>
          <t>https://mstgolf.co.th/products/gf3500201806</t>
        </is>
      </c>
      <c r="T4625" s="1">
        <f>IF(B4625="ไม้กอล์ฟ",J4625,"")</f>
        <v/>
      </c>
    </row>
    <row r="4626">
      <c r="A4626" s="1" t="n">
        <v>3</v>
      </c>
      <c r="B4626" s="1" t="inlineStr">
        <is>
          <t>เสื้อผ้า</t>
        </is>
      </c>
      <c r="C4626" s="1" t="inlineStr">
        <is>
          <t>gf2040118001</t>
        </is>
      </c>
      <c r="D4626" s="1" t="inlineStr">
        <is>
          <t>WAAC Korea Player's Edition Emblem Men's Polo (Blue)</t>
        </is>
      </c>
      <c r="E4626" s="1" t="inlineStr">
        <is>
          <t>WAAC</t>
        </is>
      </c>
      <c r="F4626" s="1" t="inlineStr">
        <is>
          <t>SHORT SLEEVES</t>
        </is>
      </c>
      <c r="G4626" s="1" t="inlineStr">
        <is>
          <t>GF2040118001S</t>
        </is>
      </c>
      <c r="H4626" s="1" t="n">
        <v>5</v>
      </c>
      <c r="I4626" s="1" t="inlineStr">
        <is>
          <t>หมด</t>
        </is>
      </c>
      <c r="J4626" s="13" t="n">
        <v>149</v>
      </c>
      <c r="K4626" s="1" t="inlineStr"/>
      <c r="L4626" s="13" t="n">
        <v>149</v>
      </c>
      <c r="M4626" s="1">
        <f>IF(L4626="","ไม่พบใน SG",IF(ABS(J4626-L4626)&lt;0.005,"ตรงกัน","ไม่ตรง"))</f>
        <v/>
      </c>
      <c r="N4626" s="14">
        <f>IF(L4626="","",ROUND(L4626*'สรุป'!$C$6,-1))</f>
        <v/>
      </c>
      <c r="O4626" s="15" t="n"/>
      <c r="P4626" s="15" t="n"/>
      <c r="Q4626" s="10" t="n"/>
      <c r="R4626" s="10" t="n"/>
      <c r="S4626" s="16" t="inlineStr">
        <is>
          <t>https://mstgolf.co.th/products/gf2040118001</t>
        </is>
      </c>
      <c r="T4626" s="1">
        <f>IF(B4626="ไม้กอล์ฟ",J4626,"")</f>
        <v/>
      </c>
    </row>
    <row r="4627">
      <c r="A4627" s="1" t="n">
        <v>3</v>
      </c>
      <c r="B4627" s="1" t="inlineStr">
        <is>
          <t>เสื้อผ้า</t>
        </is>
      </c>
      <c r="C4627" s="1" t="inlineStr">
        <is>
          <t>gf2040118029</t>
        </is>
      </c>
      <c r="D4627" s="1" t="inlineStr">
        <is>
          <t>WAAC Korea The Original Illusion Waacky Loose Fit Women's Polo (Pink)</t>
        </is>
      </c>
      <c r="E4627" s="1" t="inlineStr">
        <is>
          <t>WAAC</t>
        </is>
      </c>
      <c r="F4627" s="1" t="inlineStr">
        <is>
          <t>SHORT SLEEVES</t>
        </is>
      </c>
      <c r="G4627" s="1" t="inlineStr">
        <is>
          <t>GF2040118029XS</t>
        </is>
      </c>
      <c r="H4627" s="1" t="n">
        <v>6</v>
      </c>
      <c r="I4627" s="1" t="inlineStr">
        <is>
          <t>หมด</t>
        </is>
      </c>
      <c r="J4627" s="13" t="n">
        <v>149</v>
      </c>
      <c r="K4627" s="1" t="inlineStr"/>
      <c r="L4627" s="13" t="n">
        <v>149</v>
      </c>
      <c r="M4627" s="1">
        <f>IF(L4627="","ไม่พบใน SG",IF(ABS(J4627-L4627)&lt;0.005,"ตรงกัน","ไม่ตรง"))</f>
        <v/>
      </c>
      <c r="N4627" s="14">
        <f>IF(L4627="","",ROUND(L4627*'สรุป'!$C$6,-1))</f>
        <v/>
      </c>
      <c r="O4627" s="15" t="n"/>
      <c r="P4627" s="15" t="n"/>
      <c r="Q4627" s="10" t="n"/>
      <c r="R4627" s="10" t="n"/>
      <c r="S4627" s="16" t="inlineStr">
        <is>
          <t>https://mstgolf.co.th/products/gf2040118029</t>
        </is>
      </c>
      <c r="T4627" s="1">
        <f>IF(B4627="ไม้กอล์ฟ",J4627,"")</f>
        <v/>
      </c>
    </row>
    <row r="4628">
      <c r="A4628" s="1" t="n">
        <v>3</v>
      </c>
      <c r="B4628" s="1" t="inlineStr">
        <is>
          <t>เสื้อผ้า</t>
        </is>
      </c>
      <c r="C4628" s="1" t="inlineStr">
        <is>
          <t>gf2040118011</t>
        </is>
      </c>
      <c r="D4628" s="1" t="inlineStr">
        <is>
          <t>WAAC Korea The Original Loose Fit Men's Polo (Black)</t>
        </is>
      </c>
      <c r="E4628" s="1" t="inlineStr">
        <is>
          <t>WAAC</t>
        </is>
      </c>
      <c r="F4628" s="1" t="inlineStr">
        <is>
          <t>SHORT SLEEVES</t>
        </is>
      </c>
      <c r="G4628" s="1" t="inlineStr">
        <is>
          <t>GF2040118011S</t>
        </is>
      </c>
      <c r="H4628" s="1" t="n">
        <v>5</v>
      </c>
      <c r="I4628" s="1" t="inlineStr">
        <is>
          <t>หมด</t>
        </is>
      </c>
      <c r="J4628" s="13" t="n">
        <v>149</v>
      </c>
      <c r="K4628" s="1" t="inlineStr"/>
      <c r="L4628" s="13" t="n"/>
      <c r="M4628" s="1">
        <f>IF(L4628="","ไม่พบใน SG",IF(ABS(J4628-L4628)&lt;0.005,"ตรงกัน","ไม่ตรง"))</f>
        <v/>
      </c>
      <c r="N4628" s="14">
        <f>IF(L4628="","",ROUND(L4628*'สรุป'!$C$6,-1))</f>
        <v/>
      </c>
      <c r="O4628" s="15" t="n"/>
      <c r="P4628" s="15" t="n"/>
      <c r="Q4628" s="10" t="n"/>
      <c r="R4628" s="10" t="n"/>
      <c r="S4628" s="16" t="inlineStr">
        <is>
          <t>https://mstgolf.co.th/products/gf2040118011</t>
        </is>
      </c>
      <c r="T4628" s="1">
        <f>IF(B4628="ไม้กอล์ฟ",J4628,"")</f>
        <v/>
      </c>
    </row>
    <row r="4629">
      <c r="A4629" s="1" t="n">
        <v>3</v>
      </c>
      <c r="B4629" s="1" t="inlineStr">
        <is>
          <t>เสื้อผ้า</t>
        </is>
      </c>
      <c r="C4629" s="1" t="inlineStr">
        <is>
          <t>gf2040118012</t>
        </is>
      </c>
      <c r="D4629" s="1" t="inlineStr">
        <is>
          <t>WAAC Korea The Original Loose Fit Men's Polo (Green)</t>
        </is>
      </c>
      <c r="E4629" s="1" t="inlineStr">
        <is>
          <t>WAAC</t>
        </is>
      </c>
      <c r="F4629" s="1" t="inlineStr">
        <is>
          <t>SHORT SLEEVES</t>
        </is>
      </c>
      <c r="G4629" s="1" t="inlineStr">
        <is>
          <t>GF2040118012S</t>
        </is>
      </c>
      <c r="H4629" s="1" t="n">
        <v>5</v>
      </c>
      <c r="I4629" s="1" t="inlineStr">
        <is>
          <t>หมด</t>
        </is>
      </c>
      <c r="J4629" s="13" t="n">
        <v>149</v>
      </c>
      <c r="K4629" s="1" t="inlineStr"/>
      <c r="L4629" s="13" t="n"/>
      <c r="M4629" s="1">
        <f>IF(L4629="","ไม่พบใน SG",IF(ABS(J4629-L4629)&lt;0.005,"ตรงกัน","ไม่ตรง"))</f>
        <v/>
      </c>
      <c r="N4629" s="14">
        <f>IF(L4629="","",ROUND(L4629*'สรุป'!$C$6,-1))</f>
        <v/>
      </c>
      <c r="O4629" s="15" t="n"/>
      <c r="P4629" s="15" t="n"/>
      <c r="Q4629" s="10" t="n"/>
      <c r="R4629" s="10" t="n"/>
      <c r="S4629" s="16" t="inlineStr">
        <is>
          <t>https://mstgolf.co.th/products/gf2040118012</t>
        </is>
      </c>
      <c r="T4629" s="1">
        <f>IF(B4629="ไม้กอล์ฟ",J4629,"")</f>
        <v/>
      </c>
    </row>
    <row r="4630">
      <c r="A4630" s="1" t="n">
        <v>3</v>
      </c>
      <c r="B4630" s="1" t="inlineStr">
        <is>
          <t>อุปกรณ์เสริม</t>
        </is>
      </c>
      <c r="C4630" s="1" t="inlineStr">
        <is>
          <t>gf2080101480</t>
        </is>
      </c>
      <c r="D4630" s="1" t="inlineStr">
        <is>
          <t>WAAC Punching Men's Belt (White)</t>
        </is>
      </c>
      <c r="E4630" s="1" t="inlineStr">
        <is>
          <t>WAAC</t>
        </is>
      </c>
      <c r="F4630" s="1" t="inlineStr">
        <is>
          <t>BELT</t>
        </is>
      </c>
      <c r="G4630" s="1" t="inlineStr">
        <is>
          <t>GF2080101480M</t>
        </is>
      </c>
      <c r="H4630" s="1" t="n">
        <v>2</v>
      </c>
      <c r="I4630" s="1" t="inlineStr">
        <is>
          <t>หมด</t>
        </is>
      </c>
      <c r="J4630" s="13" t="n">
        <v>149</v>
      </c>
      <c r="K4630" s="1" t="inlineStr"/>
      <c r="L4630" s="13" t="n"/>
      <c r="M4630" s="1">
        <f>IF(L4630="","ไม่พบใน SG",IF(ABS(J4630-L4630)&lt;0.005,"ตรงกัน","ไม่ตรง"))</f>
        <v/>
      </c>
      <c r="N4630" s="14">
        <f>IF(L4630="","",ROUND(L4630*'สรุป'!$C$6,-1))</f>
        <v/>
      </c>
      <c r="O4630" s="15" t="n"/>
      <c r="P4630" s="15" t="n"/>
      <c r="Q4630" s="10" t="n"/>
      <c r="R4630" s="10" t="n"/>
      <c r="S4630" s="16" t="inlineStr">
        <is>
          <t>https://mstgolf.co.th/products/gf2080101480</t>
        </is>
      </c>
      <c r="T4630" s="1">
        <f>IF(B4630="ไม้กอล์ฟ",J4630,"")</f>
        <v/>
      </c>
    </row>
    <row r="4631">
      <c r="A4631" s="1" t="n">
        <v>3</v>
      </c>
      <c r="B4631" s="1" t="inlineStr">
        <is>
          <t>อุปกรณ์เสริม</t>
        </is>
      </c>
      <c r="C4631" s="1" t="inlineStr">
        <is>
          <t>gf3130100370</t>
        </is>
      </c>
      <c r="D4631" s="1" t="inlineStr">
        <is>
          <t>PUMA PE00955 Black/Black Sunglasses</t>
        </is>
      </c>
      <c r="E4631" s="1" t="inlineStr">
        <is>
          <t>PUMA</t>
        </is>
      </c>
      <c r="F4631" s="1" t="inlineStr">
        <is>
          <t>SUNGLASSES</t>
        </is>
      </c>
      <c r="G4631" s="1" t="inlineStr">
        <is>
          <t>GF3130100370</t>
        </is>
      </c>
      <c r="H4631" s="1" t="n">
        <v>1</v>
      </c>
      <c r="I4631" s="1" t="inlineStr">
        <is>
          <t>หมด</t>
        </is>
      </c>
      <c r="J4631" s="13" t="n">
        <v>145</v>
      </c>
      <c r="K4631" s="1" t="inlineStr"/>
      <c r="L4631" s="13" t="n">
        <v>145</v>
      </c>
      <c r="M4631" s="1">
        <f>IF(L4631="","ไม่พบใน SG",IF(ABS(J4631-L4631)&lt;0.005,"ตรงกัน","ไม่ตรง"))</f>
        <v/>
      </c>
      <c r="N4631" s="14">
        <f>IF(L4631="","",ROUND(L4631*'สรุป'!$C$6,-1))</f>
        <v/>
      </c>
      <c r="O4631" s="15" t="n"/>
      <c r="P4631" s="15" t="n"/>
      <c r="Q4631" s="10" t="n"/>
      <c r="R4631" s="10" t="n"/>
      <c r="S4631" s="16" t="inlineStr">
        <is>
          <t>https://mstgolf.co.th/products/gf3130100370</t>
        </is>
      </c>
      <c r="T4631" s="1">
        <f>IF(B4631="ไม้กอล์ฟ",J4631,"")</f>
        <v/>
      </c>
    </row>
    <row r="4632">
      <c r="A4632" s="1" t="n">
        <v>3</v>
      </c>
      <c r="B4632" s="1" t="inlineStr">
        <is>
          <t>อุปกรณ์เสริม</t>
        </is>
      </c>
      <c r="C4632" s="1" t="inlineStr">
        <is>
          <t>gf3130100363</t>
        </is>
      </c>
      <c r="D4632" s="1" t="inlineStr">
        <is>
          <t>PUMA PU0384S Black/Smoke Sunglasses</t>
        </is>
      </c>
      <c r="E4632" s="1" t="inlineStr">
        <is>
          <t>PUMA</t>
        </is>
      </c>
      <c r="F4632" s="1" t="inlineStr">
        <is>
          <t>SUNGLASSES</t>
        </is>
      </c>
      <c r="G4632" s="1" t="inlineStr">
        <is>
          <t>GF3130100363</t>
        </is>
      </c>
      <c r="H4632" s="1" t="n">
        <v>1</v>
      </c>
      <c r="I4632" s="1" t="inlineStr">
        <is>
          <t>หมด</t>
        </is>
      </c>
      <c r="J4632" s="13" t="n">
        <v>145</v>
      </c>
      <c r="K4632" s="1" t="inlineStr"/>
      <c r="L4632" s="13" t="n">
        <v>145</v>
      </c>
      <c r="M4632" s="1">
        <f>IF(L4632="","ไม่พบใน SG",IF(ABS(J4632-L4632)&lt;0.005,"ตรงกัน","ไม่ตรง"))</f>
        <v/>
      </c>
      <c r="N4632" s="14">
        <f>IF(L4632="","",ROUND(L4632*'สรุป'!$C$6,-1))</f>
        <v/>
      </c>
      <c r="O4632" s="15" t="n"/>
      <c r="P4632" s="15" t="n"/>
      <c r="Q4632" s="10" t="n"/>
      <c r="R4632" s="10" t="n"/>
      <c r="S4632" s="16" t="inlineStr">
        <is>
          <t>https://mstgolf.co.th/products/gf3130100363</t>
        </is>
      </c>
      <c r="T4632" s="1">
        <f>IF(B4632="ไม้กอล์ฟ",J4632,"")</f>
        <v/>
      </c>
    </row>
    <row r="4633">
      <c r="A4633" s="1" t="n">
        <v>3</v>
      </c>
      <c r="B4633" s="1" t="inlineStr">
        <is>
          <t>อุปกรณ์เสริม</t>
        </is>
      </c>
      <c r="C4633" s="1" t="inlineStr">
        <is>
          <t>gf3130100365</t>
        </is>
      </c>
      <c r="D4633" s="1" t="inlineStr">
        <is>
          <t>PUMA PU0385S Black/Grey/Smoke Sunglasses</t>
        </is>
      </c>
      <c r="E4633" s="1" t="inlineStr">
        <is>
          <t>PUMA</t>
        </is>
      </c>
      <c r="F4633" s="1" t="inlineStr">
        <is>
          <t>SUNGLASSES</t>
        </is>
      </c>
      <c r="G4633" s="1" t="inlineStr">
        <is>
          <t>GF3130100365</t>
        </is>
      </c>
      <c r="H4633" s="1" t="n">
        <v>1</v>
      </c>
      <c r="I4633" s="1" t="inlineStr">
        <is>
          <t>หมด</t>
        </is>
      </c>
      <c r="J4633" s="13" t="n">
        <v>145</v>
      </c>
      <c r="K4633" s="1" t="inlineStr"/>
      <c r="L4633" s="13" t="n">
        <v>145</v>
      </c>
      <c r="M4633" s="1">
        <f>IF(L4633="","ไม่พบใน SG",IF(ABS(J4633-L4633)&lt;0.005,"ตรงกัน","ไม่ตรง"))</f>
        <v/>
      </c>
      <c r="N4633" s="14">
        <f>IF(L4633="","",ROUND(L4633*'สรุป'!$C$6,-1))</f>
        <v/>
      </c>
      <c r="O4633" s="15" t="n"/>
      <c r="P4633" s="15" t="n"/>
      <c r="Q4633" s="10" t="n"/>
      <c r="R4633" s="10" t="n"/>
      <c r="S4633" s="16" t="inlineStr">
        <is>
          <t>https://mstgolf.co.th/products/gf3130100365</t>
        </is>
      </c>
      <c r="T4633" s="1">
        <f>IF(B4633="ไม้กอล์ฟ",J4633,"")</f>
        <v/>
      </c>
    </row>
    <row r="4634">
      <c r="A4634" s="1" t="n">
        <v>3</v>
      </c>
      <c r="B4634" s="1" t="inlineStr">
        <is>
          <t>อุปกรณ์เสริม</t>
        </is>
      </c>
      <c r="C4634" s="1" t="inlineStr">
        <is>
          <t>gf3130100471</t>
        </is>
      </c>
      <c r="D4634" s="1" t="inlineStr">
        <is>
          <t>PUMA PU0385S Blue/Blue/Blue Sunglasses</t>
        </is>
      </c>
      <c r="E4634" s="1" t="inlineStr">
        <is>
          <t>PUMA</t>
        </is>
      </c>
      <c r="F4634" s="1" t="inlineStr">
        <is>
          <t>SUNGLASSES</t>
        </is>
      </c>
      <c r="G4634" s="1" t="inlineStr">
        <is>
          <t>GF3130100471</t>
        </is>
      </c>
      <c r="H4634" s="1" t="n">
        <v>1</v>
      </c>
      <c r="I4634" s="1" t="inlineStr">
        <is>
          <t>หมด</t>
        </is>
      </c>
      <c r="J4634" s="13" t="n">
        <v>145</v>
      </c>
      <c r="K4634" s="1" t="inlineStr"/>
      <c r="L4634" s="13" t="n">
        <v>145</v>
      </c>
      <c r="M4634" s="1">
        <f>IF(L4634="","ไม่พบใน SG",IF(ABS(J4634-L4634)&lt;0.005,"ตรงกัน","ไม่ตรง"))</f>
        <v/>
      </c>
      <c r="N4634" s="14">
        <f>IF(L4634="","",ROUND(L4634*'สรุป'!$C$6,-1))</f>
        <v/>
      </c>
      <c r="O4634" s="15" t="n"/>
      <c r="P4634" s="15" t="n"/>
      <c r="Q4634" s="10" t="n"/>
      <c r="R4634" s="10" t="n"/>
      <c r="S4634" s="16" t="inlineStr">
        <is>
          <t>https://mstgolf.co.th/products/gf3130100471</t>
        </is>
      </c>
      <c r="T4634" s="1">
        <f>IF(B4634="ไม้กอล์ฟ",J4634,"")</f>
        <v/>
      </c>
    </row>
    <row r="4635">
      <c r="A4635" s="1" t="n">
        <v>3</v>
      </c>
      <c r="B4635" s="1" t="inlineStr">
        <is>
          <t>เสื้อผ้า</t>
        </is>
      </c>
      <c r="C4635" s="1" t="inlineStr">
        <is>
          <t>gf2020102608</t>
        </is>
      </c>
      <c r="D4635" s="1" t="inlineStr">
        <is>
          <t>UNDER ARMOUR Drive Men's Cargo Pants (Black)</t>
        </is>
      </c>
      <c r="E4635" s="1" t="inlineStr">
        <is>
          <t>UNDER ARMOUR</t>
        </is>
      </c>
      <c r="F4635" s="1" t="inlineStr">
        <is>
          <t>LONG PANTS</t>
        </is>
      </c>
      <c r="G4635" s="1" t="inlineStr">
        <is>
          <t>GF202010260830</t>
        </is>
      </c>
      <c r="H4635" s="1" t="n">
        <v>6</v>
      </c>
      <c r="I4635" s="1" t="inlineStr">
        <is>
          <t>หมด</t>
        </is>
      </c>
      <c r="J4635" s="13" t="n">
        <v>145</v>
      </c>
      <c r="K4635" s="1" t="inlineStr"/>
      <c r="L4635" s="13" t="n">
        <v>145</v>
      </c>
      <c r="M4635" s="1">
        <f>IF(L4635="","ไม่พบใน SG",IF(ABS(J4635-L4635)&lt;0.005,"ตรงกัน","ไม่ตรง"))</f>
        <v/>
      </c>
      <c r="N4635" s="14">
        <f>IF(L4635="","",ROUND(L4635*'สรุป'!$C$6,-1))</f>
        <v/>
      </c>
      <c r="O4635" s="15" t="n"/>
      <c r="P4635" s="15" t="n"/>
      <c r="Q4635" s="10" t="n"/>
      <c r="R4635" s="10" t="n"/>
      <c r="S4635" s="16" t="inlineStr">
        <is>
          <t>https://mstgolf.co.th/products/gf2020102608</t>
        </is>
      </c>
      <c r="T4635" s="1">
        <f>IF(B4635="ไม้กอล์ฟ",J4635,"")</f>
        <v/>
      </c>
    </row>
    <row r="4636">
      <c r="A4636" s="1" t="n">
        <v>3</v>
      </c>
      <c r="B4636" s="1" t="inlineStr">
        <is>
          <t>เสื้อผ้า</t>
        </is>
      </c>
      <c r="C4636" s="1" t="inlineStr">
        <is>
          <t>gf2020102364</t>
        </is>
      </c>
      <c r="D4636" s="1" t="inlineStr">
        <is>
          <t>UNDER ARMOUR Drive Men's Tapered Pants (Tetra Grey)</t>
        </is>
      </c>
      <c r="E4636" s="1" t="inlineStr">
        <is>
          <t>UNDER ARMOUR</t>
        </is>
      </c>
      <c r="F4636" s="1" t="inlineStr">
        <is>
          <t>LONG PANTS</t>
        </is>
      </c>
      <c r="G4636" s="1" t="inlineStr">
        <is>
          <t>GF202010236428</t>
        </is>
      </c>
      <c r="H4636" s="1" t="n">
        <v>7</v>
      </c>
      <c r="I4636" s="1" t="inlineStr">
        <is>
          <t>หมด</t>
        </is>
      </c>
      <c r="J4636" s="13" t="n">
        <v>139</v>
      </c>
      <c r="K4636" s="1" t="inlineStr"/>
      <c r="L4636" s="13" t="n">
        <v>139</v>
      </c>
      <c r="M4636" s="1">
        <f>IF(L4636="","ไม่พบใน SG",IF(ABS(J4636-L4636)&lt;0.005,"ตรงกัน","ไม่ตรง"))</f>
        <v/>
      </c>
      <c r="N4636" s="14">
        <f>IF(L4636="","",ROUND(L4636*'สรุป'!$C$6,-1))</f>
        <v/>
      </c>
      <c r="O4636" s="15" t="n"/>
      <c r="P4636" s="15" t="n"/>
      <c r="Q4636" s="10" t="n"/>
      <c r="R4636" s="10" t="n"/>
      <c r="S4636" s="16" t="inlineStr">
        <is>
          <t>https://mstgolf.co.th/products/gf2020102364</t>
        </is>
      </c>
      <c r="T4636" s="1">
        <f>IF(B4636="ไม้กอล์ฟ",J4636,"")</f>
        <v/>
      </c>
    </row>
    <row r="4637">
      <c r="A4637" s="1" t="n">
        <v>3</v>
      </c>
      <c r="B4637" s="1" t="inlineStr">
        <is>
          <t>เสื้อผ้า</t>
        </is>
      </c>
      <c r="C4637" s="1" t="inlineStr">
        <is>
          <t>gf2020102411</t>
        </is>
      </c>
      <c r="D4637" s="1" t="inlineStr">
        <is>
          <t>WAAC Korea Athletic Men's Cargo Jogger Pants (White)</t>
        </is>
      </c>
      <c r="E4637" s="1" t="inlineStr">
        <is>
          <t>WAAC</t>
        </is>
      </c>
      <c r="F4637" s="1" t="inlineStr">
        <is>
          <t>LONG PANTS</t>
        </is>
      </c>
      <c r="G4637" s="1" t="inlineStr">
        <is>
          <t>GF202010241128</t>
        </is>
      </c>
      <c r="H4637" s="1" t="n">
        <v>6</v>
      </c>
      <c r="I4637" s="1" t="inlineStr">
        <is>
          <t>หมด</t>
        </is>
      </c>
      <c r="J4637" s="13" t="n">
        <v>139</v>
      </c>
      <c r="K4637" s="1" t="inlineStr"/>
      <c r="L4637" s="13" t="n"/>
      <c r="M4637" s="1">
        <f>IF(L4637="","ไม่พบใน SG",IF(ABS(J4637-L4637)&lt;0.005,"ตรงกัน","ไม่ตรง"))</f>
        <v/>
      </c>
      <c r="N4637" s="14">
        <f>IF(L4637="","",ROUND(L4637*'สรุป'!$C$6,-1))</f>
        <v/>
      </c>
      <c r="O4637" s="15" t="n"/>
      <c r="P4637" s="15" t="n"/>
      <c r="Q4637" s="10" t="n"/>
      <c r="R4637" s="10" t="n"/>
      <c r="S4637" s="16" t="inlineStr">
        <is>
          <t>https://mstgolf.co.th/products/gf2020102411</t>
        </is>
      </c>
      <c r="T4637" s="1">
        <f>IF(B4637="ไม้กอล์ฟ",J4637,"")</f>
        <v/>
      </c>
    </row>
    <row r="4638">
      <c r="A4638" s="1" t="n">
        <v>3</v>
      </c>
      <c r="B4638" s="1" t="inlineStr">
        <is>
          <t>เสื้อผ้า</t>
        </is>
      </c>
      <c r="C4638" s="1" t="inlineStr">
        <is>
          <t>gf2020101745</t>
        </is>
      </c>
      <c r="D4638" s="1" t="inlineStr">
        <is>
          <t>FOOTJOY Athletic Fit Performance Knit Men's Pants (Grey)</t>
        </is>
      </c>
      <c r="E4638" s="1" t="inlineStr">
        <is>
          <t>FOOTJOY</t>
        </is>
      </c>
      <c r="F4638" s="1" t="inlineStr">
        <is>
          <t>LONG PANTS</t>
        </is>
      </c>
      <c r="G4638" s="1" t="inlineStr">
        <is>
          <t>GF202010174530</t>
        </is>
      </c>
      <c r="H4638" s="1" t="n">
        <v>6</v>
      </c>
      <c r="I4638" s="1" t="inlineStr">
        <is>
          <t>หมด</t>
        </is>
      </c>
      <c r="J4638" s="13" t="n">
        <v>135</v>
      </c>
      <c r="K4638" s="1" t="inlineStr"/>
      <c r="L4638" s="13" t="n"/>
      <c r="M4638" s="1">
        <f>IF(L4638="","ไม่พบใน SG",IF(ABS(J4638-L4638)&lt;0.005,"ตรงกัน","ไม่ตรง"))</f>
        <v/>
      </c>
      <c r="N4638" s="14">
        <f>IF(L4638="","",ROUND(L4638*'สรุป'!$C$6,-1))</f>
        <v/>
      </c>
      <c r="O4638" s="15" t="n"/>
      <c r="P4638" s="15" t="n"/>
      <c r="Q4638" s="10" t="n"/>
      <c r="R4638" s="10" t="n"/>
      <c r="S4638" s="16" t="inlineStr">
        <is>
          <t>https://mstgolf.co.th/products/gf2020101745</t>
        </is>
      </c>
      <c r="T4638" s="1">
        <f>IF(B4638="ไม้กอล์ฟ",J4638,"")</f>
        <v/>
      </c>
    </row>
    <row r="4639">
      <c r="A4639" s="1" t="n">
        <v>3</v>
      </c>
      <c r="B4639" s="1" t="inlineStr">
        <is>
          <t>เสื้อผ้า</t>
        </is>
      </c>
      <c r="C4639" s="1" t="inlineStr">
        <is>
          <t>gf2040118989</t>
        </is>
      </c>
      <c r="D4639" s="1" t="inlineStr">
        <is>
          <t>GFORE Circle G's Glitch Tech Jersey Men's Polo (Daybreak)</t>
        </is>
      </c>
      <c r="E4639" s="1" t="inlineStr">
        <is>
          <t>GFORE</t>
        </is>
      </c>
      <c r="F4639" s="1" t="inlineStr">
        <is>
          <t>SHORT SLEEVES</t>
        </is>
      </c>
      <c r="G4639" s="1" t="inlineStr">
        <is>
          <t>GF2040118989XS</t>
        </is>
      </c>
      <c r="H4639" s="1" t="n">
        <v>6</v>
      </c>
      <c r="I4639" s="1" t="inlineStr">
        <is>
          <t>หมด</t>
        </is>
      </c>
      <c r="J4639" s="13" t="n">
        <v>135</v>
      </c>
      <c r="K4639" s="1" t="inlineStr"/>
      <c r="L4639" s="13" t="n">
        <v>135</v>
      </c>
      <c r="M4639" s="1">
        <f>IF(L4639="","ไม่พบใน SG",IF(ABS(J4639-L4639)&lt;0.005,"ตรงกัน","ไม่ตรง"))</f>
        <v/>
      </c>
      <c r="N4639" s="14">
        <f>IF(L4639="","",ROUND(L4639*'สรุป'!$C$6,-1))</f>
        <v/>
      </c>
      <c r="O4639" s="15" t="n"/>
      <c r="P4639" s="15" t="n"/>
      <c r="Q4639" s="10" t="n"/>
      <c r="R4639" s="10" t="n"/>
      <c r="S4639" s="16" t="inlineStr">
        <is>
          <t>https://mstgolf.co.th/products/gf2040118989</t>
        </is>
      </c>
      <c r="T4639" s="1">
        <f>IF(B4639="ไม้กอล์ฟ",J4639,"")</f>
        <v/>
      </c>
    </row>
    <row r="4640">
      <c r="A4640" s="1" t="n">
        <v>3</v>
      </c>
      <c r="B4640" s="1" t="inlineStr">
        <is>
          <t>อุปกรณ์เสริม</t>
        </is>
      </c>
      <c r="C4640" s="1" t="inlineStr">
        <is>
          <t>gf2080101395</t>
        </is>
      </c>
      <c r="D4640" s="1" t="inlineStr">
        <is>
          <t>GFORE Circle G's Webbed Belt (Onyx)</t>
        </is>
      </c>
      <c r="E4640" s="1" t="inlineStr">
        <is>
          <t>GFORE</t>
        </is>
      </c>
      <c r="F4640" s="1" t="inlineStr">
        <is>
          <t>BELT</t>
        </is>
      </c>
      <c r="G4640" s="1" t="inlineStr">
        <is>
          <t>GF208010139530</t>
        </is>
      </c>
      <c r="H4640" s="1" t="n">
        <v>7</v>
      </c>
      <c r="I4640" s="1" t="inlineStr">
        <is>
          <t>หมด</t>
        </is>
      </c>
      <c r="J4640" s="13" t="n">
        <v>135</v>
      </c>
      <c r="K4640" s="1" t="inlineStr"/>
      <c r="L4640" s="13" t="n">
        <v>135</v>
      </c>
      <c r="M4640" s="1">
        <f>IF(L4640="","ไม่พบใน SG",IF(ABS(J4640-L4640)&lt;0.005,"ตรงกัน","ไม่ตรง"))</f>
        <v/>
      </c>
      <c r="N4640" s="14">
        <f>IF(L4640="","",ROUND(L4640*'สรุป'!$C$6,-1))</f>
        <v/>
      </c>
      <c r="O4640" s="15" t="n"/>
      <c r="P4640" s="15" t="n"/>
      <c r="Q4640" s="10" t="n"/>
      <c r="R4640" s="10" t="n"/>
      <c r="S4640" s="16" t="inlineStr">
        <is>
          <t>https://mstgolf.co.th/products/gf2080101395</t>
        </is>
      </c>
      <c r="T4640" s="1">
        <f>IF(B4640="ไม้กอล์ฟ",J4640,"")</f>
        <v/>
      </c>
    </row>
    <row r="4641">
      <c r="A4641" s="1" t="n">
        <v>3</v>
      </c>
      <c r="B4641" s="1" t="inlineStr">
        <is>
          <t>อุปกรณ์เสริม</t>
        </is>
      </c>
      <c r="C4641" s="1" t="inlineStr">
        <is>
          <t>gf3500201807</t>
        </is>
      </c>
      <c r="D4641" s="1" t="inlineStr">
        <is>
          <t>TAYLORMADE Dia de los Muertos Mallet Putter Headcover</t>
        </is>
      </c>
      <c r="E4641" s="1" t="inlineStr">
        <is>
          <t>TAYLORMADE</t>
        </is>
      </c>
      <c r="F4641" s="1" t="inlineStr">
        <is>
          <t>HEADCOVERS</t>
        </is>
      </c>
      <c r="G4641" s="1" t="inlineStr">
        <is>
          <t>GF3500201807</t>
        </is>
      </c>
      <c r="H4641" s="1" t="n">
        <v>1</v>
      </c>
      <c r="I4641" s="1" t="inlineStr">
        <is>
          <t>หมด</t>
        </is>
      </c>
      <c r="J4641" s="13" t="n">
        <v>135</v>
      </c>
      <c r="K4641" s="1" t="inlineStr"/>
      <c r="L4641" s="13" t="n"/>
      <c r="M4641" s="1">
        <f>IF(L4641="","ไม่พบใน SG",IF(ABS(J4641-L4641)&lt;0.005,"ตรงกัน","ไม่ตรง"))</f>
        <v/>
      </c>
      <c r="N4641" s="14">
        <f>IF(L4641="","",ROUND(L4641*'สรุป'!$C$6,-1))</f>
        <v/>
      </c>
      <c r="O4641" s="15" t="n"/>
      <c r="P4641" s="15" t="n"/>
      <c r="Q4641" s="10" t="n"/>
      <c r="R4641" s="10" t="n"/>
      <c r="S4641" s="16" t="inlineStr">
        <is>
          <t>https://mstgolf.co.th/products/gf3500201807</t>
        </is>
      </c>
      <c r="T4641" s="1">
        <f>IF(B4641="ไม้กอล์ฟ",J4641,"")</f>
        <v/>
      </c>
    </row>
    <row r="4642">
      <c r="A4642" s="1" t="n">
        <v>3</v>
      </c>
      <c r="B4642" s="1" t="inlineStr">
        <is>
          <t>เสื้อผ้า</t>
        </is>
      </c>
      <c r="C4642" s="1" t="inlineStr">
        <is>
          <t>gf2040118835</t>
        </is>
      </c>
      <c r="D4642" s="1" t="inlineStr">
        <is>
          <t>WAAC Athletic Forest Stretch Men's Polo (Light Blue)</t>
        </is>
      </c>
      <c r="E4642" s="1" t="inlineStr">
        <is>
          <t>WAAC</t>
        </is>
      </c>
      <c r="F4642" s="1" t="inlineStr">
        <is>
          <t>SHORT SLEEVES</t>
        </is>
      </c>
      <c r="G4642" s="1" t="inlineStr">
        <is>
          <t>GF2040118835S</t>
        </is>
      </c>
      <c r="H4642" s="1" t="n">
        <v>5</v>
      </c>
      <c r="I4642" s="1" t="inlineStr">
        <is>
          <t>หมด</t>
        </is>
      </c>
      <c r="J4642" s="13" t="n">
        <v>135</v>
      </c>
      <c r="K4642" s="1" t="inlineStr"/>
      <c r="L4642" s="13" t="n"/>
      <c r="M4642" s="1">
        <f>IF(L4642="","ไม่พบใน SG",IF(ABS(J4642-L4642)&lt;0.005,"ตรงกัน","ไม่ตรง"))</f>
        <v/>
      </c>
      <c r="N4642" s="14">
        <f>IF(L4642="","",ROUND(L4642*'สรุป'!$C$6,-1))</f>
        <v/>
      </c>
      <c r="O4642" s="15" t="n"/>
      <c r="P4642" s="15" t="n"/>
      <c r="Q4642" s="10" t="n"/>
      <c r="R4642" s="10" t="n"/>
      <c r="S4642" s="16" t="inlineStr">
        <is>
          <t>https://mstgolf.co.th/products/gf2040118835</t>
        </is>
      </c>
      <c r="T4642" s="1">
        <f>IF(B4642="ไม้กอล์ฟ",J4642,"")</f>
        <v/>
      </c>
    </row>
    <row r="4643">
      <c r="A4643" s="1" t="n">
        <v>3</v>
      </c>
      <c r="B4643" s="1" t="inlineStr">
        <is>
          <t>เสื้อผ้า</t>
        </is>
      </c>
      <c r="C4643" s="1" t="inlineStr">
        <is>
          <t>gf2020202823</t>
        </is>
      </c>
      <c r="D4643" s="1" t="inlineStr">
        <is>
          <t>FOOTJOY Performance Tapered Fit Men's Shorts (Navy)</t>
        </is>
      </c>
      <c r="E4643" s="1" t="inlineStr">
        <is>
          <t>FOOTJOY</t>
        </is>
      </c>
      <c r="F4643" s="1" t="inlineStr">
        <is>
          <t>SHORT PANTS</t>
        </is>
      </c>
      <c r="G4643" s="1" t="inlineStr">
        <is>
          <t>GF202020282330</t>
        </is>
      </c>
      <c r="H4643" s="1" t="n">
        <v>6</v>
      </c>
      <c r="I4643" s="1" t="inlineStr">
        <is>
          <t>หมด</t>
        </is>
      </c>
      <c r="J4643" s="13" t="n">
        <v>131</v>
      </c>
      <c r="K4643" s="1" t="inlineStr"/>
      <c r="L4643" s="13" t="n">
        <v>131</v>
      </c>
      <c r="M4643" s="1">
        <f>IF(L4643="","ไม่พบใน SG",IF(ABS(J4643-L4643)&lt;0.005,"ตรงกัน","ไม่ตรง"))</f>
        <v/>
      </c>
      <c r="N4643" s="14">
        <f>IF(L4643="","",ROUND(L4643*'สรุป'!$C$6,-1))</f>
        <v/>
      </c>
      <c r="O4643" s="15" t="n"/>
      <c r="P4643" s="15" t="n"/>
      <c r="Q4643" s="10" t="n"/>
      <c r="R4643" s="10" t="n"/>
      <c r="S4643" s="16" t="inlineStr">
        <is>
          <t>https://mstgolf.co.th/products/gf2020202823</t>
        </is>
      </c>
      <c r="T4643" s="1">
        <f>IF(B4643="ไม้กอล์ฟ",J4643,"")</f>
        <v/>
      </c>
    </row>
    <row r="4644">
      <c r="A4644" s="1" t="n">
        <v>3</v>
      </c>
      <c r="B4644" s="1" t="inlineStr">
        <is>
          <t>เสื้อผ้า</t>
        </is>
      </c>
      <c r="C4644" s="1" t="inlineStr">
        <is>
          <t>gf2040119987</t>
        </is>
      </c>
      <c r="D4644" s="1" t="inlineStr">
        <is>
          <t>WAAC Athletic Essential Women's Pique Polo (White)</t>
        </is>
      </c>
      <c r="E4644" s="1" t="inlineStr">
        <is>
          <t>WAAC</t>
        </is>
      </c>
      <c r="F4644" s="1" t="inlineStr">
        <is>
          <t>SHORT SLEEVES</t>
        </is>
      </c>
      <c r="G4644" s="1" t="inlineStr">
        <is>
          <t>GF2040119987XS</t>
        </is>
      </c>
      <c r="H4644" s="1" t="n">
        <v>6</v>
      </c>
      <c r="I4644" s="1" t="inlineStr">
        <is>
          <t>หมด</t>
        </is>
      </c>
      <c r="J4644" s="13" t="n">
        <v>130</v>
      </c>
      <c r="K4644" s="1" t="inlineStr"/>
      <c r="L4644" s="13" t="n">
        <v>130</v>
      </c>
      <c r="M4644" s="1">
        <f>IF(L4644="","ไม่พบใน SG",IF(ABS(J4644-L4644)&lt;0.005,"ตรงกัน","ไม่ตรง"))</f>
        <v/>
      </c>
      <c r="N4644" s="14">
        <f>IF(L4644="","",ROUND(L4644*'สรุป'!$C$6,-1))</f>
        <v/>
      </c>
      <c r="O4644" s="15" t="n"/>
      <c r="P4644" s="15" t="n"/>
      <c r="Q4644" s="10" t="n"/>
      <c r="R4644" s="10" t="n"/>
      <c r="S4644" s="16" t="inlineStr">
        <is>
          <t>https://mstgolf.co.th/products/gf2040119987</t>
        </is>
      </c>
      <c r="T4644" s="1">
        <f>IF(B4644="ไม้กอล์ฟ",J4644,"")</f>
        <v/>
      </c>
    </row>
    <row r="4645">
      <c r="A4645" s="1" t="n">
        <v>3</v>
      </c>
      <c r="B4645" s="1" t="inlineStr">
        <is>
          <t>เสื้อผ้า</t>
        </is>
      </c>
      <c r="C4645" s="1" t="inlineStr">
        <is>
          <t>gf2060101288</t>
        </is>
      </c>
      <c r="D4645" s="1" t="inlineStr">
        <is>
          <t>ADIDAS Full Zip Women's Jacket (White)</t>
        </is>
      </c>
      <c r="E4645" s="1" t="inlineStr">
        <is>
          <t>ADIDAS</t>
        </is>
      </c>
      <c r="F4645" s="1" t="inlineStr">
        <is>
          <t>TOP</t>
        </is>
      </c>
      <c r="G4645" s="1" t="inlineStr">
        <is>
          <t>GF2060101288XS</t>
        </is>
      </c>
      <c r="H4645" s="1" t="n">
        <v>6</v>
      </c>
      <c r="I4645" s="1" t="inlineStr">
        <is>
          <t>หมด</t>
        </is>
      </c>
      <c r="J4645" s="13" t="n">
        <v>129</v>
      </c>
      <c r="K4645" s="1" t="inlineStr"/>
      <c r="L4645" s="13" t="n"/>
      <c r="M4645" s="1">
        <f>IF(L4645="","ไม่พบใน SG",IF(ABS(J4645-L4645)&lt;0.005,"ตรงกัน","ไม่ตรง"))</f>
        <v/>
      </c>
      <c r="N4645" s="14">
        <f>IF(L4645="","",ROUND(L4645*'สรุป'!$C$6,-1))</f>
        <v/>
      </c>
      <c r="O4645" s="15" t="n"/>
      <c r="P4645" s="15" t="n"/>
      <c r="Q4645" s="10" t="n"/>
      <c r="R4645" s="10" t="n"/>
      <c r="S4645" s="16" t="inlineStr">
        <is>
          <t>https://mstgolf.co.th/products/gf2060101288</t>
        </is>
      </c>
      <c r="T4645" s="1">
        <f>IF(B4645="ไม้กอล์ฟ",J4645,"")</f>
        <v/>
      </c>
    </row>
    <row r="4646">
      <c r="A4646" s="1" t="n">
        <v>3</v>
      </c>
      <c r="B4646" s="1" t="inlineStr">
        <is>
          <t>เสื้อผ้า</t>
        </is>
      </c>
      <c r="C4646" s="1" t="inlineStr">
        <is>
          <t>gf2040119873</t>
        </is>
      </c>
      <c r="D4646" s="1" t="inlineStr">
        <is>
          <t>MALBON GOLF Gigi Women's Cropped Polo (Rose)</t>
        </is>
      </c>
      <c r="E4646" s="1" t="inlineStr">
        <is>
          <t>MALBON GOLF</t>
        </is>
      </c>
      <c r="F4646" s="1" t="inlineStr">
        <is>
          <t>SHORT SLEEVES</t>
        </is>
      </c>
      <c r="G4646" s="1" t="inlineStr">
        <is>
          <t>GF2040119873XS</t>
        </is>
      </c>
      <c r="H4646" s="1" t="n">
        <v>5</v>
      </c>
      <c r="I4646" s="1" t="inlineStr">
        <is>
          <t>หมด</t>
        </is>
      </c>
      <c r="J4646" s="13" t="n">
        <v>129</v>
      </c>
      <c r="K4646" s="1" t="inlineStr"/>
      <c r="L4646" s="13" t="n"/>
      <c r="M4646" s="1">
        <f>IF(L4646="","ไม่พบใน SG",IF(ABS(J4646-L4646)&lt;0.005,"ตรงกัน","ไม่ตรง"))</f>
        <v/>
      </c>
      <c r="N4646" s="14">
        <f>IF(L4646="","",ROUND(L4646*'สรุป'!$C$6,-1))</f>
        <v/>
      </c>
      <c r="O4646" s="15" t="n"/>
      <c r="P4646" s="15" t="n"/>
      <c r="Q4646" s="10" t="n"/>
      <c r="R4646" s="10" t="n"/>
      <c r="S4646" s="16" t="inlineStr">
        <is>
          <t>https://mstgolf.co.th/products/gf2040119873</t>
        </is>
      </c>
      <c r="T4646" s="1">
        <f>IF(B4646="ไม้กอล์ฟ",J4646,"")</f>
        <v/>
      </c>
    </row>
    <row r="4647">
      <c r="A4647" s="1" t="n">
        <v>3</v>
      </c>
      <c r="B4647" s="1" t="inlineStr">
        <is>
          <t>เสื้อผ้า</t>
        </is>
      </c>
      <c r="C4647" s="1" t="inlineStr">
        <is>
          <t>gf2040119877</t>
        </is>
      </c>
      <c r="D4647" s="1" t="inlineStr">
        <is>
          <t>MALBON GOLF Mezzo Performance Men's Pique Polo (White)</t>
        </is>
      </c>
      <c r="E4647" s="1" t="inlineStr">
        <is>
          <t>MALBON GOLF</t>
        </is>
      </c>
      <c r="F4647" s="1" t="inlineStr">
        <is>
          <t>SHORT SLEEVES</t>
        </is>
      </c>
      <c r="G4647" s="1" t="inlineStr">
        <is>
          <t>GF2040119877S</t>
        </is>
      </c>
      <c r="H4647" s="1" t="n">
        <v>5</v>
      </c>
      <c r="I4647" s="1" t="inlineStr">
        <is>
          <t>หมด</t>
        </is>
      </c>
      <c r="J4647" s="13" t="n">
        <v>129</v>
      </c>
      <c r="K4647" s="1" t="inlineStr"/>
      <c r="L4647" s="13" t="n"/>
      <c r="M4647" s="1">
        <f>IF(L4647="","ไม่พบใน SG",IF(ABS(J4647-L4647)&lt;0.005,"ตรงกัน","ไม่ตรง"))</f>
        <v/>
      </c>
      <c r="N4647" s="14">
        <f>IF(L4647="","",ROUND(L4647*'สรุป'!$C$6,-1))</f>
        <v/>
      </c>
      <c r="O4647" s="15" t="n"/>
      <c r="P4647" s="15" t="n"/>
      <c r="Q4647" s="10" t="n"/>
      <c r="R4647" s="10" t="n"/>
      <c r="S4647" s="16" t="inlineStr">
        <is>
          <t>https://mstgolf.co.th/products/gf2040119877</t>
        </is>
      </c>
      <c r="T4647" s="1">
        <f>IF(B4647="ไม้กอล์ฟ",J4647,"")</f>
        <v/>
      </c>
    </row>
    <row r="4648">
      <c r="A4648" s="1" t="n">
        <v>3</v>
      </c>
      <c r="B4648" s="1" t="inlineStr">
        <is>
          <t>เสื้อผ้า</t>
        </is>
      </c>
      <c r="C4648" s="1" t="inlineStr">
        <is>
          <t>gf2040119882</t>
        </is>
      </c>
      <c r="D4648" s="1" t="inlineStr">
        <is>
          <t>MALBON GOLF Swing Oil Men's Performance Pique Polo (Black)</t>
        </is>
      </c>
      <c r="E4648" s="1" t="inlineStr">
        <is>
          <t>MALBON GOLF</t>
        </is>
      </c>
      <c r="F4648" s="1" t="inlineStr">
        <is>
          <t>SHORT SLEEVES</t>
        </is>
      </c>
      <c r="G4648" s="1" t="inlineStr">
        <is>
          <t>GF2040119882S</t>
        </is>
      </c>
      <c r="H4648" s="1" t="n">
        <v>5</v>
      </c>
      <c r="I4648" s="1" t="inlineStr">
        <is>
          <t>หมด</t>
        </is>
      </c>
      <c r="J4648" s="13" t="n">
        <v>129</v>
      </c>
      <c r="K4648" s="1" t="inlineStr"/>
      <c r="L4648" s="13" t="n">
        <v>129</v>
      </c>
      <c r="M4648" s="1">
        <f>IF(L4648="","ไม่พบใน SG",IF(ABS(J4648-L4648)&lt;0.005,"ตรงกัน","ไม่ตรง"))</f>
        <v/>
      </c>
      <c r="N4648" s="14">
        <f>IF(L4648="","",ROUND(L4648*'สรุป'!$C$6,-1))</f>
        <v/>
      </c>
      <c r="O4648" s="15" t="n"/>
      <c r="P4648" s="15" t="n"/>
      <c r="Q4648" s="10" t="n"/>
      <c r="R4648" s="10" t="n"/>
      <c r="S4648" s="16" t="inlineStr">
        <is>
          <t>https://mstgolf.co.th/products/gf2040119882</t>
        </is>
      </c>
      <c r="T4648" s="1">
        <f>IF(B4648="ไม้กอล์ฟ",J4648,"")</f>
        <v/>
      </c>
    </row>
    <row r="4649">
      <c r="A4649" s="1" t="n">
        <v>3</v>
      </c>
      <c r="B4649" s="1" t="inlineStr">
        <is>
          <t>เสื้อผ้า</t>
        </is>
      </c>
      <c r="C4649" s="1" t="inlineStr">
        <is>
          <t>gf2040119197</t>
        </is>
      </c>
      <c r="D4649" s="1" t="inlineStr">
        <is>
          <t>MALBON GOLF Trophy Performance Pique Men's Polo (Ivory)</t>
        </is>
      </c>
      <c r="E4649" s="1" t="inlineStr">
        <is>
          <t>MALBON GOLF</t>
        </is>
      </c>
      <c r="F4649" s="1" t="inlineStr">
        <is>
          <t>SHORT SLEEVES</t>
        </is>
      </c>
      <c r="G4649" s="1" t="inlineStr">
        <is>
          <t>GF2040119197S</t>
        </is>
      </c>
      <c r="H4649" s="1" t="n">
        <v>5</v>
      </c>
      <c r="I4649" s="1" t="inlineStr">
        <is>
          <t>หมด</t>
        </is>
      </c>
      <c r="J4649" s="13" t="n">
        <v>129</v>
      </c>
      <c r="K4649" s="1" t="inlineStr"/>
      <c r="L4649" s="13" t="n"/>
      <c r="M4649" s="1">
        <f>IF(L4649="","ไม่พบใน SG",IF(ABS(J4649-L4649)&lt;0.005,"ตรงกัน","ไม่ตรง"))</f>
        <v/>
      </c>
      <c r="N4649" s="14">
        <f>IF(L4649="","",ROUND(L4649*'สรุป'!$C$6,-1))</f>
        <v/>
      </c>
      <c r="O4649" s="15" t="n"/>
      <c r="P4649" s="15" t="n"/>
      <c r="Q4649" s="10" t="n"/>
      <c r="R4649" s="10" t="n"/>
      <c r="S4649" s="16" t="inlineStr">
        <is>
          <t>https://mstgolf.co.th/products/gf2040119197</t>
        </is>
      </c>
      <c r="T4649" s="1">
        <f>IF(B4649="ไม้กอล์ฟ",J4649,"")</f>
        <v/>
      </c>
    </row>
    <row r="4650">
      <c r="A4650" s="1" t="n">
        <v>3</v>
      </c>
      <c r="B4650" s="1" t="inlineStr">
        <is>
          <t>เสื้อผ้า</t>
        </is>
      </c>
      <c r="C4650" s="1" t="inlineStr">
        <is>
          <t>gf2040119198</t>
        </is>
      </c>
      <c r="D4650" s="1" t="inlineStr">
        <is>
          <t>MALBON GOLF Trophy Performance Pique Men's Polo (Navy)</t>
        </is>
      </c>
      <c r="E4650" s="1" t="inlineStr">
        <is>
          <t>MALBON GOLF</t>
        </is>
      </c>
      <c r="F4650" s="1" t="inlineStr">
        <is>
          <t>SHORT SLEEVES</t>
        </is>
      </c>
      <c r="G4650" s="1" t="inlineStr">
        <is>
          <t>GF2040119198S</t>
        </is>
      </c>
      <c r="H4650" s="1" t="n">
        <v>5</v>
      </c>
      <c r="I4650" s="1" t="inlineStr">
        <is>
          <t>หมด</t>
        </is>
      </c>
      <c r="J4650" s="13" t="n">
        <v>129</v>
      </c>
      <c r="K4650" s="1" t="inlineStr"/>
      <c r="L4650" s="13" t="n"/>
      <c r="M4650" s="1">
        <f>IF(L4650="","ไม่พบใน SG",IF(ABS(J4650-L4650)&lt;0.005,"ตรงกัน","ไม่ตรง"))</f>
        <v/>
      </c>
      <c r="N4650" s="14">
        <f>IF(L4650="","",ROUND(L4650*'สรุป'!$C$6,-1))</f>
        <v/>
      </c>
      <c r="O4650" s="15" t="n"/>
      <c r="P4650" s="15" t="n"/>
      <c r="Q4650" s="10" t="n"/>
      <c r="R4650" s="10" t="n"/>
      <c r="S4650" s="16" t="inlineStr">
        <is>
          <t>https://mstgolf.co.th/products/gf2040119198</t>
        </is>
      </c>
      <c r="T4650" s="1">
        <f>IF(B4650="ไม้กอล์ฟ",J4650,"")</f>
        <v/>
      </c>
    </row>
    <row r="4651">
      <c r="A4651" s="1" t="n">
        <v>3</v>
      </c>
      <c r="B4651" s="1" t="inlineStr">
        <is>
          <t>เสื้อผ้า</t>
        </is>
      </c>
      <c r="C4651" s="1" t="inlineStr">
        <is>
          <t>gf2020102237</t>
        </is>
      </c>
      <c r="D4651" s="1" t="inlineStr">
        <is>
          <t>PUMA 101 5-Pocket Men's Pants (Ash Grey)</t>
        </is>
      </c>
      <c r="E4651" s="1" t="inlineStr">
        <is>
          <t>PUMA</t>
        </is>
      </c>
      <c r="F4651" s="1" t="inlineStr">
        <is>
          <t>LONG PANTS</t>
        </is>
      </c>
      <c r="G4651" s="1" t="inlineStr">
        <is>
          <t>GF202010223728</t>
        </is>
      </c>
      <c r="H4651" s="1" t="n">
        <v>7</v>
      </c>
      <c r="I4651" s="1" t="inlineStr">
        <is>
          <t>หมด</t>
        </is>
      </c>
      <c r="J4651" s="13" t="n">
        <v>129</v>
      </c>
      <c r="K4651" s="1" t="inlineStr"/>
      <c r="L4651" s="13" t="n">
        <v>129</v>
      </c>
      <c r="M4651" s="1">
        <f>IF(L4651="","ไม่พบใน SG",IF(ABS(J4651-L4651)&lt;0.005,"ตรงกัน","ไม่ตรง"))</f>
        <v/>
      </c>
      <c r="N4651" s="14">
        <f>IF(L4651="","",ROUND(L4651*'สรุป'!$C$6,-1))</f>
        <v/>
      </c>
      <c r="O4651" s="15" t="n"/>
      <c r="P4651" s="15" t="n"/>
      <c r="Q4651" s="10" t="n"/>
      <c r="R4651" s="10" t="n"/>
      <c r="S4651" s="16" t="inlineStr">
        <is>
          <t>https://mstgolf.co.th/products/gf2020102237</t>
        </is>
      </c>
      <c r="T4651" s="1">
        <f>IF(B4651="ไม้กอล์ฟ",J4651,"")</f>
        <v/>
      </c>
    </row>
    <row r="4652">
      <c r="A4652" s="1" t="n">
        <v>3</v>
      </c>
      <c r="B4652" s="1" t="inlineStr">
        <is>
          <t>เสื้อผ้า</t>
        </is>
      </c>
      <c r="C4652" s="1" t="inlineStr">
        <is>
          <t>gf2020102235</t>
        </is>
      </c>
      <c r="D4652" s="1" t="inlineStr">
        <is>
          <t>PUMA 101 5-Pocket Men's Pants (Black)</t>
        </is>
      </c>
      <c r="E4652" s="1" t="inlineStr">
        <is>
          <t>PUMA</t>
        </is>
      </c>
      <c r="F4652" s="1" t="inlineStr">
        <is>
          <t>LONG PANTS</t>
        </is>
      </c>
      <c r="G4652" s="1" t="inlineStr">
        <is>
          <t>GF202010223528</t>
        </is>
      </c>
      <c r="H4652" s="1" t="n">
        <v>7</v>
      </c>
      <c r="I4652" s="1" t="inlineStr">
        <is>
          <t>หมด</t>
        </is>
      </c>
      <c r="J4652" s="13" t="n">
        <v>129</v>
      </c>
      <c r="K4652" s="1" t="inlineStr"/>
      <c r="L4652" s="13" t="n"/>
      <c r="M4652" s="1">
        <f>IF(L4652="","ไม่พบใน SG",IF(ABS(J4652-L4652)&lt;0.005,"ตรงกัน","ไม่ตรง"))</f>
        <v/>
      </c>
      <c r="N4652" s="14">
        <f>IF(L4652="","",ROUND(L4652*'สรุป'!$C$6,-1))</f>
        <v/>
      </c>
      <c r="O4652" s="15" t="n"/>
      <c r="P4652" s="15" t="n"/>
      <c r="Q4652" s="10" t="n"/>
      <c r="R4652" s="10" t="n"/>
      <c r="S4652" s="16" t="inlineStr">
        <is>
          <t>https://mstgolf.co.th/products/gf2020102235</t>
        </is>
      </c>
      <c r="T4652" s="1">
        <f>IF(B4652="ไม้กอล์ฟ",J4652,"")</f>
        <v/>
      </c>
    </row>
    <row r="4653">
      <c r="A4653" s="1" t="n">
        <v>3</v>
      </c>
      <c r="B4653" s="1" t="inlineStr">
        <is>
          <t>เสื้อผ้า</t>
        </is>
      </c>
      <c r="C4653" s="1" t="inlineStr">
        <is>
          <t>gf2020102239</t>
        </is>
      </c>
      <c r="D4653" s="1" t="inlineStr">
        <is>
          <t>PUMA 101 5-Pocket Men's Pants (Prairie Tan)</t>
        </is>
      </c>
      <c r="E4653" s="1" t="inlineStr">
        <is>
          <t>PUMA</t>
        </is>
      </c>
      <c r="F4653" s="1" t="inlineStr">
        <is>
          <t>LONG PANTS</t>
        </is>
      </c>
      <c r="G4653" s="1" t="inlineStr">
        <is>
          <t>GF202010223928</t>
        </is>
      </c>
      <c r="H4653" s="1" t="n">
        <v>12</v>
      </c>
      <c r="I4653" s="1" t="inlineStr">
        <is>
          <t>หมด</t>
        </is>
      </c>
      <c r="J4653" s="13" t="n">
        <v>129</v>
      </c>
      <c r="K4653" s="1" t="inlineStr"/>
      <c r="L4653" s="13" t="n"/>
      <c r="M4653" s="1">
        <f>IF(L4653="","ไม่พบใน SG",IF(ABS(J4653-L4653)&lt;0.005,"ตรงกัน","ไม่ตรง"))</f>
        <v/>
      </c>
      <c r="N4653" s="14">
        <f>IF(L4653="","",ROUND(L4653*'สรุป'!$C$6,-1))</f>
        <v/>
      </c>
      <c r="O4653" s="15" t="n"/>
      <c r="P4653" s="15" t="n"/>
      <c r="Q4653" s="10" t="n"/>
      <c r="R4653" s="10" t="n"/>
      <c r="S4653" s="16" t="inlineStr">
        <is>
          <t>https://mstgolf.co.th/products/gf2020102239</t>
        </is>
      </c>
      <c r="T4653" s="1">
        <f>IF(B4653="ไม้กอล์ฟ",J4653,"")</f>
        <v/>
      </c>
    </row>
    <row r="4654">
      <c r="A4654" s="1" t="n">
        <v>3</v>
      </c>
      <c r="B4654" s="1" t="inlineStr">
        <is>
          <t>เสื้อผ้า</t>
        </is>
      </c>
      <c r="C4654" s="1" t="inlineStr">
        <is>
          <t>gf2020102238</t>
        </is>
      </c>
      <c r="D4654" s="1" t="inlineStr">
        <is>
          <t>PUMA 101 5-Pocket Men's Pants (Slate Sky)</t>
        </is>
      </c>
      <c r="E4654" s="1" t="inlineStr">
        <is>
          <t>PUMA</t>
        </is>
      </c>
      <c r="F4654" s="1" t="inlineStr">
        <is>
          <t>LONG PANTS</t>
        </is>
      </c>
      <c r="G4654" s="1" t="inlineStr">
        <is>
          <t>GF202010223828</t>
        </is>
      </c>
      <c r="H4654" s="1" t="n">
        <v>10</v>
      </c>
      <c r="I4654" s="1" t="inlineStr">
        <is>
          <t>หมด</t>
        </is>
      </c>
      <c r="J4654" s="13" t="n">
        <v>129</v>
      </c>
      <c r="K4654" s="1" t="inlineStr"/>
      <c r="L4654" s="13" t="n"/>
      <c r="M4654" s="1">
        <f>IF(L4654="","ไม่พบใน SG",IF(ABS(J4654-L4654)&lt;0.005,"ตรงกัน","ไม่ตรง"))</f>
        <v/>
      </c>
      <c r="N4654" s="14">
        <f>IF(L4654="","",ROUND(L4654*'สรุป'!$C$6,-1))</f>
        <v/>
      </c>
      <c r="O4654" s="15" t="n"/>
      <c r="P4654" s="15" t="n"/>
      <c r="Q4654" s="10" t="n"/>
      <c r="R4654" s="10" t="n"/>
      <c r="S4654" s="16" t="inlineStr">
        <is>
          <t>https://mstgolf.co.th/products/gf2020102238</t>
        </is>
      </c>
      <c r="T4654" s="1">
        <f>IF(B4654="ไม้กอล์ฟ",J4654,"")</f>
        <v/>
      </c>
    </row>
    <row r="4655">
      <c r="A4655" s="1" t="n">
        <v>3</v>
      </c>
      <c r="B4655" s="1" t="inlineStr">
        <is>
          <t>เสื้อผ้า</t>
        </is>
      </c>
      <c r="C4655" s="1" t="inlineStr">
        <is>
          <t>gf2020202628</t>
        </is>
      </c>
      <c r="D4655" s="1" t="inlineStr">
        <is>
          <t>PUMA x Arnold Palmer Solid Women's Shorts (Deep Navy)</t>
        </is>
      </c>
      <c r="E4655" s="1" t="inlineStr">
        <is>
          <t>PUMA</t>
        </is>
      </c>
      <c r="F4655" s="1" t="inlineStr">
        <is>
          <t>SHORT PANTS</t>
        </is>
      </c>
      <c r="G4655" s="1" t="inlineStr">
        <is>
          <t>GF2020202628XS</t>
        </is>
      </c>
      <c r="H4655" s="1" t="n">
        <v>6</v>
      </c>
      <c r="I4655" s="1" t="inlineStr">
        <is>
          <t>หมด</t>
        </is>
      </c>
      <c r="J4655" s="13" t="n">
        <v>129</v>
      </c>
      <c r="K4655" s="1" t="inlineStr"/>
      <c r="L4655" s="13" t="n">
        <v>129</v>
      </c>
      <c r="M4655" s="1">
        <f>IF(L4655="","ไม่พบใน SG",IF(ABS(J4655-L4655)&lt;0.005,"ตรงกัน","ไม่ตรง"))</f>
        <v/>
      </c>
      <c r="N4655" s="14">
        <f>IF(L4655="","",ROUND(L4655*'สรุป'!$C$6,-1))</f>
        <v/>
      </c>
      <c r="O4655" s="15" t="n"/>
      <c r="P4655" s="15" t="n"/>
      <c r="Q4655" s="10" t="n"/>
      <c r="R4655" s="10" t="n"/>
      <c r="S4655" s="16" t="inlineStr">
        <is>
          <t>https://mstgolf.co.th/products/gf2020202628</t>
        </is>
      </c>
      <c r="T4655" s="1">
        <f>IF(B4655="ไม้กอล์ฟ",J4655,"")</f>
        <v/>
      </c>
    </row>
    <row r="4656">
      <c r="A4656" s="1" t="n">
        <v>3</v>
      </c>
      <c r="B4656" s="1" t="inlineStr">
        <is>
          <t>เสื้อผ้า</t>
        </is>
      </c>
      <c r="C4656" s="1" t="inlineStr">
        <is>
          <t>gf2020202622</t>
        </is>
      </c>
      <c r="D4656" s="1" t="inlineStr">
        <is>
          <t>UNDER ARMOUR Drive Chill 8" Men's Shorts (Downpour Grey)</t>
        </is>
      </c>
      <c r="E4656" s="1" t="inlineStr">
        <is>
          <t>UNDER ARMOUR</t>
        </is>
      </c>
      <c r="F4656" s="1" t="inlineStr">
        <is>
          <t>SHORT PANTS</t>
        </is>
      </c>
      <c r="G4656" s="1" t="inlineStr">
        <is>
          <t>GF202020262228</t>
        </is>
      </c>
      <c r="H4656" s="1" t="n">
        <v>7</v>
      </c>
      <c r="I4656" s="1" t="inlineStr">
        <is>
          <t>หมด</t>
        </is>
      </c>
      <c r="J4656" s="13" t="n">
        <v>129</v>
      </c>
      <c r="K4656" s="1" t="inlineStr"/>
      <c r="L4656" s="13" t="n"/>
      <c r="M4656" s="1">
        <f>IF(L4656="","ไม่พบใน SG",IF(ABS(J4656-L4656)&lt;0.005,"ตรงกัน","ไม่ตรง"))</f>
        <v/>
      </c>
      <c r="N4656" s="14">
        <f>IF(L4656="","",ROUND(L4656*'สรุป'!$C$6,-1))</f>
        <v/>
      </c>
      <c r="O4656" s="15" t="n"/>
      <c r="P4656" s="15" t="n"/>
      <c r="Q4656" s="10" t="n"/>
      <c r="R4656" s="10" t="n"/>
      <c r="S4656" s="16" t="inlineStr">
        <is>
          <t>https://mstgolf.co.th/products/gf2020202622</t>
        </is>
      </c>
      <c r="T4656" s="1">
        <f>IF(B4656="ไม้กอล์ฟ",J4656,"")</f>
        <v/>
      </c>
    </row>
    <row r="4657">
      <c r="A4657" s="1" t="n">
        <v>3</v>
      </c>
      <c r="B4657" s="1" t="inlineStr">
        <is>
          <t>อุปกรณ์เสริม</t>
        </is>
      </c>
      <c r="C4657" s="1" t="inlineStr">
        <is>
          <t>gf3500201663</t>
        </is>
      </c>
      <c r="D4657" s="1" t="inlineStr">
        <is>
          <t>WAAC Seasonal Driver Headcover</t>
        </is>
      </c>
      <c r="E4657" s="1" t="inlineStr">
        <is>
          <t>WAAC</t>
        </is>
      </c>
      <c r="F4657" s="1" t="inlineStr">
        <is>
          <t>HEADCOVERS</t>
        </is>
      </c>
      <c r="G4657" s="1" t="inlineStr">
        <is>
          <t>GF3500201663</t>
        </is>
      </c>
      <c r="H4657" s="1" t="n">
        <v>1</v>
      </c>
      <c r="I4657" s="1" t="inlineStr">
        <is>
          <t>หมด</t>
        </is>
      </c>
      <c r="J4657" s="13" t="n">
        <v>129</v>
      </c>
      <c r="K4657" s="1" t="inlineStr"/>
      <c r="L4657" s="13" t="n">
        <v>129</v>
      </c>
      <c r="M4657" s="1">
        <f>IF(L4657="","ไม่พบใน SG",IF(ABS(J4657-L4657)&lt;0.005,"ตรงกัน","ไม่ตรง"))</f>
        <v/>
      </c>
      <c r="N4657" s="14">
        <f>IF(L4657="","",ROUND(L4657*'สรุป'!$C$6,-1))</f>
        <v/>
      </c>
      <c r="O4657" s="15" t="n"/>
      <c r="P4657" s="15" t="n"/>
      <c r="Q4657" s="10" t="n"/>
      <c r="R4657" s="10" t="n"/>
      <c r="S4657" s="16" t="inlineStr">
        <is>
          <t>https://mstgolf.co.th/products/gf3500201663</t>
        </is>
      </c>
      <c r="T4657" s="1">
        <f>IF(B4657="ไม้กอล์ฟ",J4657,"")</f>
        <v/>
      </c>
    </row>
    <row r="4658">
      <c r="A4658" s="1" t="n">
        <v>3</v>
      </c>
      <c r="B4658" s="1" t="inlineStr">
        <is>
          <t>อุปกรณ์เสริม</t>
        </is>
      </c>
      <c r="C4658" s="1" t="inlineStr">
        <is>
          <t>gf3500201359</t>
        </is>
      </c>
      <c r="D4658" s="1" t="inlineStr">
        <is>
          <t>TITLEIST 3-Panel Zodiac Driver Headcover (Black)</t>
        </is>
      </c>
      <c r="E4658" s="1" t="inlineStr">
        <is>
          <t>TITLEIST</t>
        </is>
      </c>
      <c r="F4658" s="1" t="inlineStr">
        <is>
          <t>HEADCOVERS</t>
        </is>
      </c>
      <c r="G4658" s="1" t="inlineStr">
        <is>
          <t>GF3500201359</t>
        </is>
      </c>
      <c r="H4658" s="1" t="n">
        <v>1</v>
      </c>
      <c r="I4658" s="1" t="inlineStr">
        <is>
          <t>หมด</t>
        </is>
      </c>
      <c r="J4658" s="13" t="n">
        <v>127</v>
      </c>
      <c r="K4658" s="1" t="inlineStr"/>
      <c r="L4658" s="13" t="n">
        <v>127</v>
      </c>
      <c r="M4658" s="1">
        <f>IF(L4658="","ไม่พบใน SG",IF(ABS(J4658-L4658)&lt;0.005,"ตรงกัน","ไม่ตรง"))</f>
        <v/>
      </c>
      <c r="N4658" s="14">
        <f>IF(L4658="","",ROUND(L4658*'สรุป'!$C$6,-1))</f>
        <v/>
      </c>
      <c r="O4658" s="15" t="n"/>
      <c r="P4658" s="15" t="n"/>
      <c r="Q4658" s="10" t="n"/>
      <c r="R4658" s="10" t="n"/>
      <c r="S4658" s="16" t="inlineStr">
        <is>
          <t>https://mstgolf.co.th/products/gf3500201359</t>
        </is>
      </c>
      <c r="T4658" s="1">
        <f>IF(B4658="ไม้กอล์ฟ",J4658,"")</f>
        <v/>
      </c>
    </row>
    <row r="4659">
      <c r="A4659" s="1" t="n">
        <v>3</v>
      </c>
      <c r="B4659" s="1" t="inlineStr">
        <is>
          <t>อุปกรณ์เสริม</t>
        </is>
      </c>
      <c r="C4659" s="1" t="inlineStr">
        <is>
          <t>gf3150100372</t>
        </is>
      </c>
      <c r="D4659" s="1" t="inlineStr">
        <is>
          <t>ONOFF GWP Umbrella (Sky Blue)</t>
        </is>
      </c>
      <c r="E4659" s="1" t="inlineStr">
        <is>
          <t>ONOFF</t>
        </is>
      </c>
      <c r="F4659" s="1" t="inlineStr">
        <is>
          <t>UMBRELLA</t>
        </is>
      </c>
      <c r="G4659" s="1" t="inlineStr">
        <is>
          <t>GF3150100372</t>
        </is>
      </c>
      <c r="H4659" s="1" t="n">
        <v>1</v>
      </c>
      <c r="I4659" s="1" t="inlineStr">
        <is>
          <t>หมด</t>
        </is>
      </c>
      <c r="J4659" s="13" t="n">
        <v>125</v>
      </c>
      <c r="K4659" s="1" t="inlineStr"/>
      <c r="L4659" s="13" t="n"/>
      <c r="M4659" s="1">
        <f>IF(L4659="","ไม่พบใน SG",IF(ABS(J4659-L4659)&lt;0.005,"ตรงกัน","ไม่ตรง"))</f>
        <v/>
      </c>
      <c r="N4659" s="14">
        <f>IF(L4659="","",ROUND(L4659*'สรุป'!$C$6,-1))</f>
        <v/>
      </c>
      <c r="O4659" s="15" t="n"/>
      <c r="P4659" s="15" t="n"/>
      <c r="Q4659" s="10" t="n"/>
      <c r="R4659" s="10" t="n"/>
      <c r="S4659" s="16" t="inlineStr">
        <is>
          <t>https://mstgolf.co.th/products/gf3150100372</t>
        </is>
      </c>
      <c r="T4659" s="1">
        <f>IF(B4659="ไม้กอล์ฟ",J4659,"")</f>
        <v/>
      </c>
    </row>
    <row r="4660">
      <c r="A4660" s="1" t="n">
        <v>3</v>
      </c>
      <c r="B4660" s="1" t="inlineStr">
        <is>
          <t>เสื้อผ้า</t>
        </is>
      </c>
      <c r="C4660" s="1" t="inlineStr">
        <is>
          <t>gf2020202723</t>
        </is>
      </c>
      <c r="D4660" s="1" t="inlineStr">
        <is>
          <t>TAYLORMADE T-ICE T-AIR Men's Shorts (Chambray)</t>
        </is>
      </c>
      <c r="E4660" s="1" t="inlineStr">
        <is>
          <t>TAYLORMADE</t>
        </is>
      </c>
      <c r="F4660" s="1" t="inlineStr">
        <is>
          <t>SHORT PANTS</t>
        </is>
      </c>
      <c r="G4660" s="1" t="inlineStr">
        <is>
          <t>GF2020202723S</t>
        </is>
      </c>
      <c r="H4660" s="1" t="n">
        <v>5</v>
      </c>
      <c r="I4660" s="1" t="inlineStr">
        <is>
          <t>หมด</t>
        </is>
      </c>
      <c r="J4660" s="13" t="n">
        <v>125</v>
      </c>
      <c r="K4660" s="1" t="inlineStr"/>
      <c r="L4660" s="13" t="n">
        <v>125</v>
      </c>
      <c r="M4660" s="1">
        <f>IF(L4660="","ไม่พบใน SG",IF(ABS(J4660-L4660)&lt;0.005,"ตรงกัน","ไม่ตรง"))</f>
        <v/>
      </c>
      <c r="N4660" s="14">
        <f>IF(L4660="","",ROUND(L4660*'สรุป'!$C$6,-1))</f>
        <v/>
      </c>
      <c r="O4660" s="15" t="n"/>
      <c r="P4660" s="15" t="n"/>
      <c r="Q4660" s="10" t="n"/>
      <c r="R4660" s="10" t="n"/>
      <c r="S4660" s="16" t="inlineStr">
        <is>
          <t>https://mstgolf.co.th/products/gf2020202723</t>
        </is>
      </c>
      <c r="T4660" s="1">
        <f>IF(B4660="ไม้กอล์ฟ",J4660,"")</f>
        <v/>
      </c>
    </row>
    <row r="4661">
      <c r="A4661" s="1" t="n">
        <v>3</v>
      </c>
      <c r="B4661" s="1" t="inlineStr">
        <is>
          <t>เสื้อผ้า</t>
        </is>
      </c>
      <c r="C4661" s="1" t="inlineStr">
        <is>
          <t>gf2040119585</t>
        </is>
      </c>
      <c r="D4661" s="1" t="inlineStr">
        <is>
          <t>FOOTJOY Irongate Lisle Men's Polo (Bue)</t>
        </is>
      </c>
      <c r="E4661" s="1" t="inlineStr">
        <is>
          <t>FOOTJOY</t>
        </is>
      </c>
      <c r="F4661" s="1" t="inlineStr">
        <is>
          <t>SHORT SLEEVES</t>
        </is>
      </c>
      <c r="G4661" s="1" t="inlineStr">
        <is>
          <t>GF2040119585S</t>
        </is>
      </c>
      <c r="H4661" s="1" t="n">
        <v>5</v>
      </c>
      <c r="I4661" s="1" t="inlineStr">
        <is>
          <t>หมด</t>
        </is>
      </c>
      <c r="J4661" s="13" t="n">
        <v>121</v>
      </c>
      <c r="K4661" s="1" t="inlineStr"/>
      <c r="L4661" s="13" t="n"/>
      <c r="M4661" s="1">
        <f>IF(L4661="","ไม่พบใน SG",IF(ABS(J4661-L4661)&lt;0.005,"ตรงกัน","ไม่ตรง"))</f>
        <v/>
      </c>
      <c r="N4661" s="14">
        <f>IF(L4661="","",ROUND(L4661*'สรุป'!$C$6,-1))</f>
        <v/>
      </c>
      <c r="O4661" s="15" t="n"/>
      <c r="P4661" s="15" t="n"/>
      <c r="Q4661" s="10" t="n"/>
      <c r="R4661" s="10" t="n"/>
      <c r="S4661" s="16" t="inlineStr">
        <is>
          <t>https://mstgolf.co.th/products/gf2040119585</t>
        </is>
      </c>
      <c r="T4661" s="1">
        <f>IF(B4661="ไม้กอล์ฟ",J4661,"")</f>
        <v/>
      </c>
    </row>
    <row r="4662">
      <c r="A4662" s="1" t="n">
        <v>3</v>
      </c>
      <c r="B4662" s="1" t="inlineStr">
        <is>
          <t>เสื้อผ้า</t>
        </is>
      </c>
      <c r="C4662" s="1" t="inlineStr">
        <is>
          <t>gf2040119587</t>
        </is>
      </c>
      <c r="D4662" s="1" t="inlineStr">
        <is>
          <t>FOOTJOY Irongate Lisle Men's Polo (Orange)</t>
        </is>
      </c>
      <c r="E4662" s="1" t="inlineStr">
        <is>
          <t>FOOTJOY</t>
        </is>
      </c>
      <c r="F4662" s="1" t="inlineStr">
        <is>
          <t>SHORT SLEEVES</t>
        </is>
      </c>
      <c r="G4662" s="1" t="inlineStr">
        <is>
          <t>GF2040119587S</t>
        </is>
      </c>
      <c r="H4662" s="1" t="n">
        <v>5</v>
      </c>
      <c r="I4662" s="1" t="inlineStr">
        <is>
          <t>หมด</t>
        </is>
      </c>
      <c r="J4662" s="13" t="n">
        <v>121</v>
      </c>
      <c r="K4662" s="1" t="inlineStr"/>
      <c r="L4662" s="13" t="n"/>
      <c r="M4662" s="1">
        <f>IF(L4662="","ไม่พบใน SG",IF(ABS(J4662-L4662)&lt;0.005,"ตรงกัน","ไม่ตรง"))</f>
        <v/>
      </c>
      <c r="N4662" s="14">
        <f>IF(L4662="","",ROUND(L4662*'สรุป'!$C$6,-1))</f>
        <v/>
      </c>
      <c r="O4662" s="15" t="n"/>
      <c r="P4662" s="15" t="n"/>
      <c r="Q4662" s="10" t="n"/>
      <c r="R4662" s="10" t="n"/>
      <c r="S4662" s="16" t="inlineStr">
        <is>
          <t>https://mstgolf.co.th/products/gf2040119587</t>
        </is>
      </c>
      <c r="T4662" s="1">
        <f>IF(B4662="ไม้กอล์ฟ",J4662,"")</f>
        <v/>
      </c>
    </row>
    <row r="4663">
      <c r="A4663" s="1" t="n">
        <v>3</v>
      </c>
      <c r="B4663" s="1" t="inlineStr">
        <is>
          <t>เสื้อผ้า</t>
        </is>
      </c>
      <c r="C4663" s="1" t="inlineStr">
        <is>
          <t>gf2040401449</t>
        </is>
      </c>
      <c r="D4663" s="1" t="inlineStr">
        <is>
          <t>FOOTJOY Sun Protection Men's Long Sleeve Shirt (Marina)</t>
        </is>
      </c>
      <c r="E4663" s="1" t="inlineStr">
        <is>
          <t>FOOTJOY</t>
        </is>
      </c>
      <c r="F4663" s="1" t="inlineStr">
        <is>
          <t>LONG SLEEVES</t>
        </is>
      </c>
      <c r="G4663" s="1" t="inlineStr">
        <is>
          <t>GF2040401449XS</t>
        </is>
      </c>
      <c r="H4663" s="1" t="n">
        <v>6</v>
      </c>
      <c r="I4663" s="1" t="inlineStr">
        <is>
          <t>หมด</t>
        </is>
      </c>
      <c r="J4663" s="13" t="n">
        <v>121</v>
      </c>
      <c r="K4663" s="1" t="inlineStr"/>
      <c r="L4663" s="13" t="n">
        <v>121</v>
      </c>
      <c r="M4663" s="1">
        <f>IF(L4663="","ไม่พบใน SG",IF(ABS(J4663-L4663)&lt;0.005,"ตรงกัน","ไม่ตรง"))</f>
        <v/>
      </c>
      <c r="N4663" s="14">
        <f>IF(L4663="","",ROUND(L4663*'สรุป'!$C$6,-1))</f>
        <v/>
      </c>
      <c r="O4663" s="15" t="n"/>
      <c r="P4663" s="15" t="n"/>
      <c r="Q4663" s="10" t="n"/>
      <c r="R4663" s="10" t="n"/>
      <c r="S4663" s="16" t="inlineStr">
        <is>
          <t>https://mstgolf.co.th/products/gf2040401449</t>
        </is>
      </c>
      <c r="T4663" s="1">
        <f>IF(B4663="ไม้กอล์ฟ",J4663,"")</f>
        <v/>
      </c>
    </row>
    <row r="4664">
      <c r="A4664" s="1" t="n">
        <v>3</v>
      </c>
      <c r="B4664" s="1" t="inlineStr">
        <is>
          <t>เสื้อผ้า</t>
        </is>
      </c>
      <c r="C4664" s="1" t="inlineStr">
        <is>
          <t>gf2040401448</t>
        </is>
      </c>
      <c r="D4664" s="1" t="inlineStr">
        <is>
          <t>FOOTJOY Sun Protection Men's Long Sleeve Shirt (Sky)</t>
        </is>
      </c>
      <c r="E4664" s="1" t="inlineStr">
        <is>
          <t>FOOTJOY</t>
        </is>
      </c>
      <c r="F4664" s="1" t="inlineStr">
        <is>
          <t>LONG SLEEVES</t>
        </is>
      </c>
      <c r="G4664" s="1" t="inlineStr">
        <is>
          <t>GF2040401448XS</t>
        </is>
      </c>
      <c r="H4664" s="1" t="n">
        <v>6</v>
      </c>
      <c r="I4664" s="1" t="inlineStr">
        <is>
          <t>หมด</t>
        </is>
      </c>
      <c r="J4664" s="13" t="n">
        <v>121</v>
      </c>
      <c r="K4664" s="1" t="inlineStr"/>
      <c r="L4664" s="13" t="n">
        <v>121</v>
      </c>
      <c r="M4664" s="1">
        <f>IF(L4664="","ไม่พบใน SG",IF(ABS(J4664-L4664)&lt;0.005,"ตรงกัน","ไม่ตรง"))</f>
        <v/>
      </c>
      <c r="N4664" s="14">
        <f>IF(L4664="","",ROUND(L4664*'สรุป'!$C$6,-1))</f>
        <v/>
      </c>
      <c r="O4664" s="15" t="n"/>
      <c r="P4664" s="15" t="n"/>
      <c r="Q4664" s="10" t="n"/>
      <c r="R4664" s="10" t="n"/>
      <c r="S4664" s="16" t="inlineStr">
        <is>
          <t>https://mstgolf.co.th/products/gf2040401448</t>
        </is>
      </c>
      <c r="T4664" s="1">
        <f>IF(B4664="ไม้กอล์ฟ",J4664,"")</f>
        <v/>
      </c>
    </row>
    <row r="4665">
      <c r="A4665" s="1" t="n">
        <v>3</v>
      </c>
      <c r="B4665" s="1" t="inlineStr">
        <is>
          <t>เสื้อผ้า</t>
        </is>
      </c>
      <c r="C4665" s="1" t="inlineStr">
        <is>
          <t>gf2040119115</t>
        </is>
      </c>
      <c r="D4665" s="1" t="inlineStr">
        <is>
          <t>TAYLORMADE Essential Men's Polo (Navy)</t>
        </is>
      </c>
      <c r="E4665" s="1" t="inlineStr">
        <is>
          <t>TAYLORMADE</t>
        </is>
      </c>
      <c r="F4665" s="1" t="inlineStr">
        <is>
          <t>SHORT SLEEVES</t>
        </is>
      </c>
      <c r="G4665" s="1" t="inlineStr">
        <is>
          <t>GF2040119115S</t>
        </is>
      </c>
      <c r="H4665" s="1" t="n">
        <v>6</v>
      </c>
      <c r="I4665" s="1" t="inlineStr">
        <is>
          <t>หมด</t>
        </is>
      </c>
      <c r="J4665" s="13" t="n">
        <v>120</v>
      </c>
      <c r="K4665" s="1" t="inlineStr"/>
      <c r="L4665" s="13" t="n"/>
      <c r="M4665" s="1">
        <f>IF(L4665="","ไม่พบใน SG",IF(ABS(J4665-L4665)&lt;0.005,"ตรงกัน","ไม่ตรง"))</f>
        <v/>
      </c>
      <c r="N4665" s="14">
        <f>IF(L4665="","",ROUND(L4665*'สรุป'!$C$6,-1))</f>
        <v/>
      </c>
      <c r="O4665" s="15" t="n"/>
      <c r="P4665" s="15" t="n"/>
      <c r="Q4665" s="10" t="n"/>
      <c r="R4665" s="10" t="n"/>
      <c r="S4665" s="16" t="inlineStr">
        <is>
          <t>https://mstgolf.co.th/products/gf2040119115</t>
        </is>
      </c>
      <c r="T4665" s="1">
        <f>IF(B4665="ไม้กอล์ฟ",J4665,"")</f>
        <v/>
      </c>
    </row>
    <row r="4666">
      <c r="A4666" s="1" t="n">
        <v>3</v>
      </c>
      <c r="B4666" s="1" t="inlineStr">
        <is>
          <t>เสื้อผ้า</t>
        </is>
      </c>
      <c r="C4666" s="1" t="inlineStr">
        <is>
          <t>gf2040119117</t>
        </is>
      </c>
      <c r="D4666" s="1" t="inlineStr">
        <is>
          <t>TAYLORMADE Essential Women's Polo (Black)</t>
        </is>
      </c>
      <c r="E4666" s="1" t="inlineStr">
        <is>
          <t>TAYLORMADE</t>
        </is>
      </c>
      <c r="F4666" s="1" t="inlineStr">
        <is>
          <t>SHORT SLEEVES</t>
        </is>
      </c>
      <c r="G4666" s="1" t="inlineStr">
        <is>
          <t>GF2040119117S</t>
        </is>
      </c>
      <c r="H4666" s="1" t="n">
        <v>6</v>
      </c>
      <c r="I4666" s="1" t="inlineStr">
        <is>
          <t>หมด</t>
        </is>
      </c>
      <c r="J4666" s="13" t="n">
        <v>120</v>
      </c>
      <c r="K4666" s="1" t="inlineStr"/>
      <c r="L4666" s="13" t="n"/>
      <c r="M4666" s="1">
        <f>IF(L4666="","ไม่พบใน SG",IF(ABS(J4666-L4666)&lt;0.005,"ตรงกัน","ไม่ตรง"))</f>
        <v/>
      </c>
      <c r="N4666" s="14">
        <f>IF(L4666="","",ROUND(L4666*'สรุป'!$C$6,-1))</f>
        <v/>
      </c>
      <c r="O4666" s="15" t="n"/>
      <c r="P4666" s="15" t="n"/>
      <c r="Q4666" s="10" t="n"/>
      <c r="R4666" s="10" t="n"/>
      <c r="S4666" s="16" t="inlineStr">
        <is>
          <t>https://mstgolf.co.th/products/gf2040119117</t>
        </is>
      </c>
      <c r="T4666" s="1">
        <f>IF(B4666="ไม้กอล์ฟ",J4666,"")</f>
        <v/>
      </c>
    </row>
    <row r="4667">
      <c r="A4667" s="1" t="n">
        <v>3</v>
      </c>
      <c r="B4667" s="1" t="inlineStr">
        <is>
          <t>เสื้อผ้า</t>
        </is>
      </c>
      <c r="C4667" s="1" t="inlineStr">
        <is>
          <t>gf2020300171</t>
        </is>
      </c>
      <c r="D4667" s="1" t="inlineStr">
        <is>
          <t>ADIDAS 4-Way Skirt (Black)</t>
        </is>
      </c>
      <c r="E4667" s="1" t="inlineStr">
        <is>
          <t>ADIDAS</t>
        </is>
      </c>
      <c r="F4667" s="1" t="inlineStr">
        <is>
          <t>SKORTS</t>
        </is>
      </c>
      <c r="G4667" s="1" t="inlineStr">
        <is>
          <t>GF2020300171XS</t>
        </is>
      </c>
      <c r="H4667" s="1" t="n">
        <v>7</v>
      </c>
      <c r="I4667" s="1" t="inlineStr">
        <is>
          <t>หมด</t>
        </is>
      </c>
      <c r="J4667" s="13" t="n">
        <v>119</v>
      </c>
      <c r="K4667" s="1" t="inlineStr"/>
      <c r="L4667" s="13" t="n">
        <v>85</v>
      </c>
      <c r="M4667" s="1">
        <f>IF(L4667="","ไม่พบใน SG",IF(ABS(J4667-L4667)&lt;0.005,"ตรงกัน","ไม่ตรง"))</f>
        <v/>
      </c>
      <c r="N4667" s="14">
        <f>IF(L4667="","",ROUND(L4667*'สรุป'!$C$6,-1))</f>
        <v/>
      </c>
      <c r="O4667" s="15" t="n"/>
      <c r="P4667" s="15" t="n"/>
      <c r="Q4667" s="10" t="n"/>
      <c r="R4667" s="10" t="n"/>
      <c r="S4667" s="16" t="inlineStr">
        <is>
          <t>https://mstgolf.co.th/products/gf2020300171</t>
        </is>
      </c>
      <c r="T4667" s="1">
        <f>IF(B4667="ไม้กอล์ฟ",J4667,"")</f>
        <v/>
      </c>
    </row>
    <row r="4668">
      <c r="A4668" s="1" t="n">
        <v>3</v>
      </c>
      <c r="B4668" s="1" t="inlineStr">
        <is>
          <t>เสื้อผ้า</t>
        </is>
      </c>
      <c r="C4668" s="1" t="inlineStr">
        <is>
          <t>gf2020202853</t>
        </is>
      </c>
      <c r="D4668" s="1" t="inlineStr">
        <is>
          <t>ADIDAS Originals TWISTWEAVE Men's Shorts (Pink)</t>
        </is>
      </c>
      <c r="E4668" s="1" t="inlineStr">
        <is>
          <t>ADIDAS</t>
        </is>
      </c>
      <c r="F4668" s="1" t="inlineStr">
        <is>
          <t>SHORT PANTS</t>
        </is>
      </c>
      <c r="G4668" s="1" t="inlineStr">
        <is>
          <t>GF202020285373</t>
        </is>
      </c>
      <c r="H4668" s="1" t="n">
        <v>8</v>
      </c>
      <c r="I4668" s="1" t="inlineStr">
        <is>
          <t>หมด</t>
        </is>
      </c>
      <c r="J4668" s="13" t="n">
        <v>119</v>
      </c>
      <c r="K4668" s="1" t="inlineStr"/>
      <c r="L4668" s="13" t="n"/>
      <c r="M4668" s="1">
        <f>IF(L4668="","ไม่พบใน SG",IF(ABS(J4668-L4668)&lt;0.005,"ตรงกัน","ไม่ตรง"))</f>
        <v/>
      </c>
      <c r="N4668" s="14">
        <f>IF(L4668="","",ROUND(L4668*'สรุป'!$C$6,-1))</f>
        <v/>
      </c>
      <c r="O4668" s="15" t="n"/>
      <c r="P4668" s="15" t="n"/>
      <c r="Q4668" s="10" t="n"/>
      <c r="R4668" s="10" t="n"/>
      <c r="S4668" s="16" t="inlineStr">
        <is>
          <t>https://mstgolf.co.th/products/gf2020202853</t>
        </is>
      </c>
      <c r="T4668" s="1">
        <f>IF(B4668="ไม้กอล์ฟ",J4668,"")</f>
        <v/>
      </c>
    </row>
    <row r="4669">
      <c r="A4669" s="1" t="n">
        <v>3</v>
      </c>
      <c r="B4669" s="1" t="inlineStr">
        <is>
          <t>เสื้อผ้า</t>
        </is>
      </c>
      <c r="C4669" s="1" t="inlineStr">
        <is>
          <t>gf2020102281</t>
        </is>
      </c>
      <c r="D4669" s="1" t="inlineStr">
        <is>
          <t>FOOTJOY Japan Jogger Women's Pants (Black)</t>
        </is>
      </c>
      <c r="E4669" s="1" t="inlineStr">
        <is>
          <t>FOOTJOY</t>
        </is>
      </c>
      <c r="F4669" s="1" t="inlineStr">
        <is>
          <t>LONG PANTS</t>
        </is>
      </c>
      <c r="G4669" s="1" t="inlineStr">
        <is>
          <t>GF2020102281XS</t>
        </is>
      </c>
      <c r="H4669" s="1" t="n">
        <v>5</v>
      </c>
      <c r="I4669" s="1" t="inlineStr">
        <is>
          <t>หมด</t>
        </is>
      </c>
      <c r="J4669" s="13" t="n">
        <v>119</v>
      </c>
      <c r="K4669" s="1" t="inlineStr"/>
      <c r="L4669" s="13" t="n"/>
      <c r="M4669" s="1">
        <f>IF(L4669="","ไม่พบใน SG",IF(ABS(J4669-L4669)&lt;0.005,"ตรงกัน","ไม่ตรง"))</f>
        <v/>
      </c>
      <c r="N4669" s="14">
        <f>IF(L4669="","",ROUND(L4669*'สรุป'!$C$6,-1))</f>
        <v/>
      </c>
      <c r="O4669" s="15" t="n"/>
      <c r="P4669" s="15" t="n"/>
      <c r="Q4669" s="10" t="n"/>
      <c r="R4669" s="10" t="n"/>
      <c r="S4669" s="16" t="inlineStr">
        <is>
          <t>https://mstgolf.co.th/products/gf2020102281</t>
        </is>
      </c>
      <c r="T4669" s="1">
        <f>IF(B4669="ไม้กอล์ฟ",J4669,"")</f>
        <v/>
      </c>
    </row>
    <row r="4670">
      <c r="A4670" s="1" t="n">
        <v>3</v>
      </c>
      <c r="B4670" s="1" t="inlineStr">
        <is>
          <t>เสื้อผ้า</t>
        </is>
      </c>
      <c r="C4670" s="1" t="inlineStr">
        <is>
          <t>gf2020101217</t>
        </is>
      </c>
      <c r="D4670" s="1" t="inlineStr">
        <is>
          <t>FOOTJOY Light Weight Stretch Tour Fit Men's Pants (Black)</t>
        </is>
      </c>
      <c r="E4670" s="1" t="inlineStr">
        <is>
          <t>FOOTJOY</t>
        </is>
      </c>
      <c r="F4670" s="1" t="inlineStr">
        <is>
          <t>LONG PANTS</t>
        </is>
      </c>
      <c r="G4670" s="1" t="inlineStr">
        <is>
          <t>GF202010121730</t>
        </is>
      </c>
      <c r="H4670" s="1" t="n">
        <v>8</v>
      </c>
      <c r="I4670" s="1" t="inlineStr">
        <is>
          <t>หมด</t>
        </is>
      </c>
      <c r="J4670" s="13" t="n">
        <v>119</v>
      </c>
      <c r="K4670" s="1" t="inlineStr"/>
      <c r="L4670" s="13" t="n">
        <v>119</v>
      </c>
      <c r="M4670" s="1">
        <f>IF(L4670="","ไม่พบใน SG",IF(ABS(J4670-L4670)&lt;0.005,"ตรงกัน","ไม่ตรง"))</f>
        <v/>
      </c>
      <c r="N4670" s="14">
        <f>IF(L4670="","",ROUND(L4670*'สรุป'!$C$6,-1))</f>
        <v/>
      </c>
      <c r="O4670" s="15" t="n"/>
      <c r="P4670" s="15" t="n"/>
      <c r="Q4670" s="10" t="n"/>
      <c r="R4670" s="10" t="n"/>
      <c r="S4670" s="16" t="inlineStr">
        <is>
          <t>https://mstgolf.co.th/products/gf2020101217</t>
        </is>
      </c>
      <c r="T4670" s="1">
        <f>IF(B4670="ไม้กอล์ฟ",J4670,"")</f>
        <v/>
      </c>
    </row>
    <row r="4671">
      <c r="A4671" s="1" t="n">
        <v>3</v>
      </c>
      <c r="B4671" s="1" t="inlineStr">
        <is>
          <t>เสื้อผ้า</t>
        </is>
      </c>
      <c r="C4671" s="1" t="inlineStr">
        <is>
          <t>gf2020101218</t>
        </is>
      </c>
      <c r="D4671" s="1" t="inlineStr">
        <is>
          <t>FOOTJOY Light Weight Stretch Tour Fit Men's Pants (Navy)</t>
        </is>
      </c>
      <c r="E4671" s="1" t="inlineStr">
        <is>
          <t>FOOTJOY</t>
        </is>
      </c>
      <c r="F4671" s="1" t="inlineStr">
        <is>
          <t>LONG PANTS</t>
        </is>
      </c>
      <c r="G4671" s="1" t="inlineStr">
        <is>
          <t>GF202010121830</t>
        </is>
      </c>
      <c r="H4671" s="1" t="n">
        <v>6</v>
      </c>
      <c r="I4671" s="1" t="inlineStr">
        <is>
          <t>หมด</t>
        </is>
      </c>
      <c r="J4671" s="13" t="n">
        <v>119</v>
      </c>
      <c r="K4671" s="1" t="inlineStr"/>
      <c r="L4671" s="13" t="n"/>
      <c r="M4671" s="1">
        <f>IF(L4671="","ไม่พบใน SG",IF(ABS(J4671-L4671)&lt;0.005,"ตรงกัน","ไม่ตรง"))</f>
        <v/>
      </c>
      <c r="N4671" s="14">
        <f>IF(L4671="","",ROUND(L4671*'สรุป'!$C$6,-1))</f>
        <v/>
      </c>
      <c r="O4671" s="15" t="n"/>
      <c r="P4671" s="15" t="n"/>
      <c r="Q4671" s="10" t="n"/>
      <c r="R4671" s="10" t="n"/>
      <c r="S4671" s="16" t="inlineStr">
        <is>
          <t>https://mstgolf.co.th/products/gf2020101218</t>
        </is>
      </c>
      <c r="T4671" s="1">
        <f>IF(B4671="ไม้กอล์ฟ",J4671,"")</f>
        <v/>
      </c>
    </row>
    <row r="4672">
      <c r="A4672" s="1" t="n">
        <v>3</v>
      </c>
      <c r="B4672" s="1" t="inlineStr">
        <is>
          <t>เสื้อผ้า</t>
        </is>
      </c>
      <c r="C4672" s="1" t="inlineStr">
        <is>
          <t>gf2040118892</t>
        </is>
      </c>
      <c r="D4672" s="1" t="inlineStr">
        <is>
          <t>MALBON GOLF Bille Women's Sweatshirt (Snow)</t>
        </is>
      </c>
      <c r="E4672" s="1" t="inlineStr">
        <is>
          <t>MALBON GOLF</t>
        </is>
      </c>
      <c r="F4672" s="1" t="inlineStr">
        <is>
          <t>SHORT SLEEVES</t>
        </is>
      </c>
      <c r="G4672" s="1" t="inlineStr">
        <is>
          <t>GF2040118892XS</t>
        </is>
      </c>
      <c r="H4672" s="1" t="n">
        <v>6</v>
      </c>
      <c r="I4672" s="1" t="inlineStr">
        <is>
          <t>หมด</t>
        </is>
      </c>
      <c r="J4672" s="13" t="n">
        <v>119</v>
      </c>
      <c r="K4672" s="1" t="inlineStr"/>
      <c r="L4672" s="13" t="n"/>
      <c r="M4672" s="1">
        <f>IF(L4672="","ไม่พบใน SG",IF(ABS(J4672-L4672)&lt;0.005,"ตรงกัน","ไม่ตรง"))</f>
        <v/>
      </c>
      <c r="N4672" s="14">
        <f>IF(L4672="","",ROUND(L4672*'สรุป'!$C$6,-1))</f>
        <v/>
      </c>
      <c r="O4672" s="15" t="n"/>
      <c r="P4672" s="15" t="n"/>
      <c r="Q4672" s="10" t="n"/>
      <c r="R4672" s="10" t="n"/>
      <c r="S4672" s="16" t="inlineStr">
        <is>
          <t>https://mstgolf.co.th/products/gf2040118892</t>
        </is>
      </c>
      <c r="T4672" s="1">
        <f>IF(B4672="ไม้กอล์ฟ",J4672,"")</f>
        <v/>
      </c>
    </row>
    <row r="4673">
      <c r="A4673" s="1" t="n">
        <v>3</v>
      </c>
      <c r="B4673" s="1" t="inlineStr">
        <is>
          <t>เสื้อผ้า</t>
        </is>
      </c>
      <c r="C4673" s="1" t="inlineStr">
        <is>
          <t>gf2060101182</t>
        </is>
      </c>
      <c r="D4673" s="1" t="inlineStr">
        <is>
          <t>MALBON GOLF Tiger Buckets Men's Hoodie (Natural)</t>
        </is>
      </c>
      <c r="E4673" s="1" t="inlineStr">
        <is>
          <t>MALBON GOLF</t>
        </is>
      </c>
      <c r="F4673" s="1" t="inlineStr">
        <is>
          <t>TOP</t>
        </is>
      </c>
      <c r="G4673" s="1" t="inlineStr">
        <is>
          <t>GF2060101182S</t>
        </is>
      </c>
      <c r="H4673" s="1" t="n">
        <v>5</v>
      </c>
      <c r="I4673" s="1" t="inlineStr">
        <is>
          <t>หมด</t>
        </is>
      </c>
      <c r="J4673" s="13" t="n">
        <v>119</v>
      </c>
      <c r="K4673" s="1" t="inlineStr"/>
      <c r="L4673" s="13" t="n"/>
      <c r="M4673" s="1">
        <f>IF(L4673="","ไม่พบใน SG",IF(ABS(J4673-L4673)&lt;0.005,"ตรงกัน","ไม่ตรง"))</f>
        <v/>
      </c>
      <c r="N4673" s="14">
        <f>IF(L4673="","",ROUND(L4673*'สรุป'!$C$6,-1))</f>
        <v/>
      </c>
      <c r="O4673" s="15" t="n"/>
      <c r="P4673" s="15" t="n"/>
      <c r="Q4673" s="10" t="n"/>
      <c r="R4673" s="10" t="n"/>
      <c r="S4673" s="16" t="inlineStr">
        <is>
          <t>https://mstgolf.co.th/products/gf2060101182</t>
        </is>
      </c>
      <c r="T4673" s="1">
        <f>IF(B4673="ไม้กอล์ฟ",J4673,"")</f>
        <v/>
      </c>
    </row>
    <row r="4674">
      <c r="A4674" s="1" t="n">
        <v>3</v>
      </c>
      <c r="B4674" s="1" t="inlineStr">
        <is>
          <t>เสื้อผ้า</t>
        </is>
      </c>
      <c r="C4674" s="1" t="inlineStr">
        <is>
          <t>gf2060101184</t>
        </is>
      </c>
      <c r="D4674" s="1" t="inlineStr">
        <is>
          <t>MALBON GOLF x Keith Haring Sherpa Men's Sweater Vest (Acid Yellow)</t>
        </is>
      </c>
      <c r="E4674" s="1" t="inlineStr">
        <is>
          <t>MALBON GOLF</t>
        </is>
      </c>
      <c r="F4674" s="1" t="inlineStr">
        <is>
          <t>TOP</t>
        </is>
      </c>
      <c r="G4674" s="1" t="inlineStr">
        <is>
          <t>GF2060101184S</t>
        </is>
      </c>
      <c r="H4674" s="1" t="n">
        <v>5</v>
      </c>
      <c r="I4674" s="1" t="inlineStr">
        <is>
          <t>หมด</t>
        </is>
      </c>
      <c r="J4674" s="13" t="n">
        <v>119</v>
      </c>
      <c r="K4674" s="1" t="inlineStr"/>
      <c r="L4674" s="13" t="n"/>
      <c r="M4674" s="1">
        <f>IF(L4674="","ไม่พบใน SG",IF(ABS(J4674-L4674)&lt;0.005,"ตรงกัน","ไม่ตรง"))</f>
        <v/>
      </c>
      <c r="N4674" s="14">
        <f>IF(L4674="","",ROUND(L4674*'สรุป'!$C$6,-1))</f>
        <v/>
      </c>
      <c r="O4674" s="15" t="n"/>
      <c r="P4674" s="15" t="n"/>
      <c r="Q4674" s="10" t="n"/>
      <c r="R4674" s="10" t="n"/>
      <c r="S4674" s="16" t="inlineStr">
        <is>
          <t>https://mstgolf.co.th/products/gf2060101184</t>
        </is>
      </c>
      <c r="T4674" s="1">
        <f>IF(B4674="ไม้กอล์ฟ",J4674,"")</f>
        <v/>
      </c>
    </row>
    <row r="4675">
      <c r="A4675" s="1" t="n">
        <v>3</v>
      </c>
      <c r="B4675" s="1" t="inlineStr">
        <is>
          <t>อุปกรณ์เสริม</t>
        </is>
      </c>
      <c r="C4675" s="1" t="inlineStr">
        <is>
          <t>gf3150100277</t>
        </is>
      </c>
      <c r="D4675" s="1" t="inlineStr">
        <is>
          <t>MARUMAN GWP Double Canopy Umbrella (Black)</t>
        </is>
      </c>
      <c r="E4675" s="1" t="inlineStr">
        <is>
          <t>MARUMAN</t>
        </is>
      </c>
      <c r="F4675" s="1" t="inlineStr">
        <is>
          <t>UMBRELLA</t>
        </is>
      </c>
      <c r="G4675" s="1" t="inlineStr">
        <is>
          <t>GF3150100277</t>
        </is>
      </c>
      <c r="H4675" s="1" t="n">
        <v>1</v>
      </c>
      <c r="I4675" s="1" t="inlineStr">
        <is>
          <t>หมด</t>
        </is>
      </c>
      <c r="J4675" s="13" t="n">
        <v>119</v>
      </c>
      <c r="K4675" s="1" t="inlineStr"/>
      <c r="L4675" s="13" t="n"/>
      <c r="M4675" s="1">
        <f>IF(L4675="","ไม่พบใน SG",IF(ABS(J4675-L4675)&lt;0.005,"ตรงกัน","ไม่ตรง"))</f>
        <v/>
      </c>
      <c r="N4675" s="14">
        <f>IF(L4675="","",ROUND(L4675*'สรุป'!$C$6,-1))</f>
        <v/>
      </c>
      <c r="O4675" s="15" t="n"/>
      <c r="P4675" s="15" t="n"/>
      <c r="Q4675" s="10" t="n"/>
      <c r="R4675" s="10" t="n"/>
      <c r="S4675" s="16" t="inlineStr">
        <is>
          <t>https://mstgolf.co.th/products/gf3150100277</t>
        </is>
      </c>
      <c r="T4675" s="1">
        <f>IF(B4675="ไม้กอล์ฟ",J4675,"")</f>
        <v/>
      </c>
    </row>
    <row r="4676">
      <c r="A4676" s="1" t="n">
        <v>3</v>
      </c>
      <c r="B4676" s="1" t="inlineStr">
        <is>
          <t>เสื้อผ้า</t>
        </is>
      </c>
      <c r="C4676" s="1" t="inlineStr">
        <is>
          <t>gf2020202180</t>
        </is>
      </c>
      <c r="D4676" s="1" t="inlineStr">
        <is>
          <t>PUMA 4-Way Stretch Swing Cut Skirt (Orange)</t>
        </is>
      </c>
      <c r="E4676" s="1" t="inlineStr">
        <is>
          <t>PUMA</t>
        </is>
      </c>
      <c r="F4676" s="1" t="inlineStr">
        <is>
          <t>SHORT PANTS</t>
        </is>
      </c>
      <c r="G4676" s="1" t="inlineStr">
        <is>
          <t>GF2020202180S</t>
        </is>
      </c>
      <c r="H4676" s="1" t="n">
        <v>4</v>
      </c>
      <c r="I4676" s="1" t="inlineStr">
        <is>
          <t>หมด</t>
        </is>
      </c>
      <c r="J4676" s="13" t="n">
        <v>119</v>
      </c>
      <c r="K4676" s="1" t="inlineStr"/>
      <c r="L4676" s="13" t="n">
        <v>119</v>
      </c>
      <c r="M4676" s="1">
        <f>IF(L4676="","ไม่พบใน SG",IF(ABS(J4676-L4676)&lt;0.005,"ตรงกัน","ไม่ตรง"))</f>
        <v/>
      </c>
      <c r="N4676" s="14">
        <f>IF(L4676="","",ROUND(L4676*'สรุป'!$C$6,-1))</f>
        <v/>
      </c>
      <c r="O4676" s="15" t="n"/>
      <c r="P4676" s="15" t="n"/>
      <c r="Q4676" s="10" t="n"/>
      <c r="R4676" s="10" t="n"/>
      <c r="S4676" s="16" t="inlineStr">
        <is>
          <t>https://mstgolf.co.th/products/gf2020202180</t>
        </is>
      </c>
      <c r="T4676" s="1">
        <f>IF(B4676="ไม้กอล์ฟ",J4676,"")</f>
        <v/>
      </c>
    </row>
    <row r="4677">
      <c r="A4677" s="1" t="n">
        <v>3</v>
      </c>
      <c r="B4677" s="1" t="inlineStr">
        <is>
          <t>เสื้อผ้า</t>
        </is>
      </c>
      <c r="C4677" s="1" t="inlineStr">
        <is>
          <t>gf2020202181</t>
        </is>
      </c>
      <c r="D4677" s="1" t="inlineStr">
        <is>
          <t>PUMA Flag Printed Seersucker Skirt (Navy Blazer)</t>
        </is>
      </c>
      <c r="E4677" s="1" t="inlineStr">
        <is>
          <t>PUMA</t>
        </is>
      </c>
      <c r="F4677" s="1" t="inlineStr">
        <is>
          <t>SHORT PANTS</t>
        </is>
      </c>
      <c r="G4677" s="1" t="inlineStr">
        <is>
          <t>GF2020202181S</t>
        </is>
      </c>
      <c r="H4677" s="1" t="n">
        <v>4</v>
      </c>
      <c r="I4677" s="1" t="inlineStr">
        <is>
          <t>หมด</t>
        </is>
      </c>
      <c r="J4677" s="13" t="n">
        <v>119</v>
      </c>
      <c r="K4677" s="1" t="inlineStr"/>
      <c r="L4677" s="13" t="n">
        <v>69</v>
      </c>
      <c r="M4677" s="1">
        <f>IF(L4677="","ไม่พบใน SG",IF(ABS(J4677-L4677)&lt;0.005,"ตรงกัน","ไม่ตรง"))</f>
        <v/>
      </c>
      <c r="N4677" s="14">
        <f>IF(L4677="","",ROUND(L4677*'สรุป'!$C$6,-1))</f>
        <v/>
      </c>
      <c r="O4677" s="15" t="n"/>
      <c r="P4677" s="15" t="n"/>
      <c r="Q4677" s="10" t="n"/>
      <c r="R4677" s="10" t="n"/>
      <c r="S4677" s="16" t="inlineStr">
        <is>
          <t>https://mstgolf.co.th/products/gf2020202181</t>
        </is>
      </c>
      <c r="T4677" s="1">
        <f>IF(B4677="ไม้กอล์ฟ",J4677,"")</f>
        <v/>
      </c>
    </row>
    <row r="4678">
      <c r="A4678" s="1" t="n">
        <v>3</v>
      </c>
      <c r="B4678" s="1" t="inlineStr">
        <is>
          <t>เสื้อผ้า</t>
        </is>
      </c>
      <c r="C4678" s="1" t="inlineStr">
        <is>
          <t>gf2020202182</t>
        </is>
      </c>
      <c r="D4678" s="1" t="inlineStr">
        <is>
          <t>PUMA Flag Printed Seersucker Skirt (Pearl Pink)</t>
        </is>
      </c>
      <c r="E4678" s="1" t="inlineStr">
        <is>
          <t>PUMA</t>
        </is>
      </c>
      <c r="F4678" s="1" t="inlineStr">
        <is>
          <t>SHORT PANTS</t>
        </is>
      </c>
      <c r="G4678" s="1" t="inlineStr">
        <is>
          <t>GF2020202182S</t>
        </is>
      </c>
      <c r="H4678" s="1" t="n">
        <v>4</v>
      </c>
      <c r="I4678" s="1" t="inlineStr">
        <is>
          <t>หมด</t>
        </is>
      </c>
      <c r="J4678" s="13" t="n">
        <v>119</v>
      </c>
      <c r="K4678" s="1" t="inlineStr"/>
      <c r="L4678" s="13" t="n">
        <v>69</v>
      </c>
      <c r="M4678" s="1">
        <f>IF(L4678="","ไม่พบใน SG",IF(ABS(J4678-L4678)&lt;0.005,"ตรงกัน","ไม่ตรง"))</f>
        <v/>
      </c>
      <c r="N4678" s="14">
        <f>IF(L4678="","",ROUND(L4678*'สรุป'!$C$6,-1))</f>
        <v/>
      </c>
      <c r="O4678" s="15" t="n"/>
      <c r="P4678" s="15" t="n"/>
      <c r="Q4678" s="10" t="n"/>
      <c r="R4678" s="10" t="n"/>
      <c r="S4678" s="16" t="inlineStr">
        <is>
          <t>https://mstgolf.co.th/products/gf2020202182</t>
        </is>
      </c>
      <c r="T4678" s="1">
        <f>IF(B4678="ไม้กอล์ฟ",J4678,"")</f>
        <v/>
      </c>
    </row>
    <row r="4679">
      <c r="A4679" s="1" t="n">
        <v>3</v>
      </c>
      <c r="B4679" s="1" t="inlineStr">
        <is>
          <t>เสื้อผ้า</t>
        </is>
      </c>
      <c r="C4679" s="1" t="inlineStr">
        <is>
          <t>gf2020300048</t>
        </is>
      </c>
      <c r="D4679" s="1" t="inlineStr">
        <is>
          <t>PUMA Haute Skirt (Deep Navy)</t>
        </is>
      </c>
      <c r="E4679" s="1" t="inlineStr">
        <is>
          <t>PUMA</t>
        </is>
      </c>
      <c r="F4679" s="1" t="inlineStr">
        <is>
          <t>SKORTS</t>
        </is>
      </c>
      <c r="G4679" s="1" t="inlineStr">
        <is>
          <t>GF2020300048XS</t>
        </is>
      </c>
      <c r="H4679" s="1" t="n">
        <v>5</v>
      </c>
      <c r="I4679" s="1" t="inlineStr">
        <is>
          <t>หมด</t>
        </is>
      </c>
      <c r="J4679" s="13" t="n">
        <v>119</v>
      </c>
      <c r="K4679" s="1" t="inlineStr"/>
      <c r="L4679" s="13" t="n">
        <v>119</v>
      </c>
      <c r="M4679" s="1">
        <f>IF(L4679="","ไม่พบใน SG",IF(ABS(J4679-L4679)&lt;0.005,"ตรงกัน","ไม่ตรง"))</f>
        <v/>
      </c>
      <c r="N4679" s="14">
        <f>IF(L4679="","",ROUND(L4679*'สรุป'!$C$6,-1))</f>
        <v/>
      </c>
      <c r="O4679" s="15" t="n"/>
      <c r="P4679" s="15" t="n"/>
      <c r="Q4679" s="10" t="n"/>
      <c r="R4679" s="10" t="n"/>
      <c r="S4679" s="16" t="inlineStr">
        <is>
          <t>https://mstgolf.co.th/products/gf2020300048</t>
        </is>
      </c>
      <c r="T4679" s="1">
        <f>IF(B4679="ไม้กอล์ฟ",J4679,"")</f>
        <v/>
      </c>
    </row>
    <row r="4680">
      <c r="A4680" s="1" t="n">
        <v>3</v>
      </c>
      <c r="B4680" s="1" t="inlineStr">
        <is>
          <t>เสื้อผ้า</t>
        </is>
      </c>
      <c r="C4680" s="1" t="inlineStr">
        <is>
          <t>gf2040119273</t>
        </is>
      </c>
      <c r="D4680" s="1" t="inlineStr">
        <is>
          <t>PUMA x Arnold Palmer Lemon Branch Men's Polo (Deep Navy)</t>
        </is>
      </c>
      <c r="E4680" s="1" t="inlineStr">
        <is>
          <t>PUMA</t>
        </is>
      </c>
      <c r="F4680" s="1" t="inlineStr">
        <is>
          <t>SHORT SLEEVES</t>
        </is>
      </c>
      <c r="G4680" s="1" t="inlineStr">
        <is>
          <t>GF2040119273XS</t>
        </is>
      </c>
      <c r="H4680" s="1" t="n">
        <v>6</v>
      </c>
      <c r="I4680" s="1" t="inlineStr">
        <is>
          <t>หมด</t>
        </is>
      </c>
      <c r="J4680" s="13" t="n">
        <v>119</v>
      </c>
      <c r="K4680" s="1" t="inlineStr"/>
      <c r="L4680" s="13" t="n">
        <v>85</v>
      </c>
      <c r="M4680" s="1">
        <f>IF(L4680="","ไม่พบใน SG",IF(ABS(J4680-L4680)&lt;0.005,"ตรงกัน","ไม่ตรง"))</f>
        <v/>
      </c>
      <c r="N4680" s="14">
        <f>IF(L4680="","",ROUND(L4680*'สรุป'!$C$6,-1))</f>
        <v/>
      </c>
      <c r="O4680" s="15" t="n"/>
      <c r="P4680" s="15" t="n"/>
      <c r="Q4680" s="10" t="n"/>
      <c r="R4680" s="10" t="n"/>
      <c r="S4680" s="16" t="inlineStr">
        <is>
          <t>https://mstgolf.co.th/products/gf2040119273</t>
        </is>
      </c>
      <c r="T4680" s="1">
        <f>IF(B4680="ไม้กอล์ฟ",J4680,"")</f>
        <v/>
      </c>
    </row>
    <row r="4681">
      <c r="A4681" s="1" t="n">
        <v>3</v>
      </c>
      <c r="B4681" s="1" t="inlineStr">
        <is>
          <t>เสื้อผ้า</t>
        </is>
      </c>
      <c r="C4681" s="1" t="inlineStr">
        <is>
          <t>gf2040119258</t>
        </is>
      </c>
      <c r="D4681" s="1" t="inlineStr">
        <is>
          <t>PUMA x Arnold Palmer Sketch Men's Polo (Peaceful Blue)</t>
        </is>
      </c>
      <c r="E4681" s="1" t="inlineStr">
        <is>
          <t>PUMA</t>
        </is>
      </c>
      <c r="F4681" s="1" t="inlineStr">
        <is>
          <t>SHORT SLEEVES</t>
        </is>
      </c>
      <c r="G4681" s="1" t="inlineStr">
        <is>
          <t>GF2040119258XS</t>
        </is>
      </c>
      <c r="H4681" s="1" t="n">
        <v>6</v>
      </c>
      <c r="I4681" s="1" t="inlineStr">
        <is>
          <t>หมด</t>
        </is>
      </c>
      <c r="J4681" s="13" t="n">
        <v>119</v>
      </c>
      <c r="K4681" s="1" t="inlineStr"/>
      <c r="L4681" s="13" t="n">
        <v>85</v>
      </c>
      <c r="M4681" s="1">
        <f>IF(L4681="","ไม่พบใน SG",IF(ABS(J4681-L4681)&lt;0.005,"ตรงกัน","ไม่ตรง"))</f>
        <v/>
      </c>
      <c r="N4681" s="14">
        <f>IF(L4681="","",ROUND(L4681*'สรุป'!$C$6,-1))</f>
        <v/>
      </c>
      <c r="O4681" s="15" t="n"/>
      <c r="P4681" s="15" t="n"/>
      <c r="Q4681" s="10" t="n"/>
      <c r="R4681" s="10" t="n"/>
      <c r="S4681" s="16" t="inlineStr">
        <is>
          <t>https://mstgolf.co.th/products/gf2040119258</t>
        </is>
      </c>
      <c r="T4681" s="1">
        <f>IF(B4681="ไม้กอล์ฟ",J4681,"")</f>
        <v/>
      </c>
    </row>
    <row r="4682">
      <c r="A4682" s="1" t="n">
        <v>3</v>
      </c>
      <c r="B4682" s="1" t="inlineStr">
        <is>
          <t>เสื้อผ้า</t>
        </is>
      </c>
      <c r="C4682" s="1" t="inlineStr">
        <is>
          <t>gf2040119261</t>
        </is>
      </c>
      <c r="D4682" s="1" t="inlineStr">
        <is>
          <t>PUMA x PTC Floral Men's Polo (White Glow)</t>
        </is>
      </c>
      <c r="E4682" s="1" t="inlineStr">
        <is>
          <t>PUMA</t>
        </is>
      </c>
      <c r="F4682" s="1" t="inlineStr">
        <is>
          <t>SHORT SLEEVES</t>
        </is>
      </c>
      <c r="G4682" s="1" t="inlineStr">
        <is>
          <t>GF2040119261XS</t>
        </is>
      </c>
      <c r="H4682" s="1" t="n">
        <v>6</v>
      </c>
      <c r="I4682" s="1" t="inlineStr">
        <is>
          <t>หมด</t>
        </is>
      </c>
      <c r="J4682" s="13" t="n">
        <v>119</v>
      </c>
      <c r="K4682" s="1" t="inlineStr"/>
      <c r="L4682" s="13" t="n"/>
      <c r="M4682" s="1">
        <f>IF(L4682="","ไม่พบใน SG",IF(ABS(J4682-L4682)&lt;0.005,"ตรงกัน","ไม่ตรง"))</f>
        <v/>
      </c>
      <c r="N4682" s="14">
        <f>IF(L4682="","",ROUND(L4682*'สรุป'!$C$6,-1))</f>
        <v/>
      </c>
      <c r="O4682" s="15" t="n"/>
      <c r="P4682" s="15" t="n"/>
      <c r="Q4682" s="10" t="n"/>
      <c r="R4682" s="10" t="n"/>
      <c r="S4682" s="16" t="inlineStr">
        <is>
          <t>https://mstgolf.co.th/products/gf2040119261</t>
        </is>
      </c>
      <c r="T4682" s="1">
        <f>IF(B4682="ไม้กอล์ฟ",J4682,"")</f>
        <v/>
      </c>
    </row>
    <row r="4683">
      <c r="A4683" s="1" t="n">
        <v>3</v>
      </c>
      <c r="B4683" s="1" t="inlineStr">
        <is>
          <t>เสื้อผ้า</t>
        </is>
      </c>
      <c r="C4683" s="1" t="inlineStr">
        <is>
          <t>gf2040119267</t>
        </is>
      </c>
      <c r="D4683" s="1" t="inlineStr">
        <is>
          <t>PUMA x PTC Tile Men's Polo (White/Deep Navy)</t>
        </is>
      </c>
      <c r="E4683" s="1" t="inlineStr">
        <is>
          <t>PUMA</t>
        </is>
      </c>
      <c r="F4683" s="1" t="inlineStr">
        <is>
          <t>SHORT SLEEVES</t>
        </is>
      </c>
      <c r="G4683" s="1" t="inlineStr">
        <is>
          <t>GF2040119267XS</t>
        </is>
      </c>
      <c r="H4683" s="1" t="n">
        <v>6</v>
      </c>
      <c r="I4683" s="1" t="inlineStr">
        <is>
          <t>หมด</t>
        </is>
      </c>
      <c r="J4683" s="13" t="n">
        <v>119</v>
      </c>
      <c r="K4683" s="1" t="inlineStr"/>
      <c r="L4683" s="13" t="n"/>
      <c r="M4683" s="1">
        <f>IF(L4683="","ไม่พบใน SG",IF(ABS(J4683-L4683)&lt;0.005,"ตรงกัน","ไม่ตรง"))</f>
        <v/>
      </c>
      <c r="N4683" s="14">
        <f>IF(L4683="","",ROUND(L4683*'สรุป'!$C$6,-1))</f>
        <v/>
      </c>
      <c r="O4683" s="15" t="n"/>
      <c r="P4683" s="15" t="n"/>
      <c r="Q4683" s="10" t="n"/>
      <c r="R4683" s="10" t="n"/>
      <c r="S4683" s="16" t="inlineStr">
        <is>
          <t>https://mstgolf.co.th/products/gf2040119267</t>
        </is>
      </c>
      <c r="T4683" s="1">
        <f>IF(B4683="ไม้กอล์ฟ",J4683,"")</f>
        <v/>
      </c>
    </row>
    <row r="4684">
      <c r="A4684" s="1" t="n">
        <v>3</v>
      </c>
      <c r="B4684" s="1" t="inlineStr">
        <is>
          <t>เสื้อผ้า</t>
        </is>
      </c>
      <c r="C4684" s="1" t="inlineStr">
        <is>
          <t>gf2040118368</t>
        </is>
      </c>
      <c r="D4684" s="1" t="inlineStr">
        <is>
          <t>TAYLORMADE British Open 2024 Women's Polo (Navy)</t>
        </is>
      </c>
      <c r="E4684" s="1" t="inlineStr">
        <is>
          <t>TAYLORMADE</t>
        </is>
      </c>
      <c r="F4684" s="1" t="inlineStr">
        <is>
          <t>SHORT SLEEVES</t>
        </is>
      </c>
      <c r="G4684" s="1" t="inlineStr">
        <is>
          <t>GF2040118368XS</t>
        </is>
      </c>
      <c r="H4684" s="1" t="n">
        <v>7</v>
      </c>
      <c r="I4684" s="1" t="inlineStr">
        <is>
          <t>หมด</t>
        </is>
      </c>
      <c r="J4684" s="13" t="n">
        <v>119</v>
      </c>
      <c r="K4684" s="1" t="inlineStr"/>
      <c r="L4684" s="13" t="n"/>
      <c r="M4684" s="1">
        <f>IF(L4684="","ไม่พบใน SG",IF(ABS(J4684-L4684)&lt;0.005,"ตรงกัน","ไม่ตรง"))</f>
        <v/>
      </c>
      <c r="N4684" s="14">
        <f>IF(L4684="","",ROUND(L4684*'สรุป'!$C$6,-1))</f>
        <v/>
      </c>
      <c r="O4684" s="15" t="n"/>
      <c r="P4684" s="15" t="n"/>
      <c r="Q4684" s="10" t="n"/>
      <c r="R4684" s="10" t="n"/>
      <c r="S4684" s="16" t="inlineStr">
        <is>
          <t>https://mstgolf.co.th/products/gf2040118368</t>
        </is>
      </c>
      <c r="T4684" s="1">
        <f>IF(B4684="ไม้กอล์ฟ",J4684,"")</f>
        <v/>
      </c>
    </row>
    <row r="4685">
      <c r="A4685" s="1" t="n">
        <v>3</v>
      </c>
      <c r="B4685" s="1" t="inlineStr">
        <is>
          <t>เสื้อผ้า</t>
        </is>
      </c>
      <c r="C4685" s="1" t="inlineStr">
        <is>
          <t>gf2020102078</t>
        </is>
      </c>
      <c r="D4685" s="1" t="inlineStr">
        <is>
          <t>TAYLORMADE Tex Brid Basic Women's Pants (Navy)</t>
        </is>
      </c>
      <c r="E4685" s="1" t="inlineStr">
        <is>
          <t>TAYLORMADE</t>
        </is>
      </c>
      <c r="F4685" s="1" t="inlineStr">
        <is>
          <t>LONG PANTS</t>
        </is>
      </c>
      <c r="G4685" s="1" t="inlineStr">
        <is>
          <t>GF2020102078XS</t>
        </is>
      </c>
      <c r="H4685" s="1" t="n">
        <v>6</v>
      </c>
      <c r="I4685" s="1" t="inlineStr">
        <is>
          <t>หมด</t>
        </is>
      </c>
      <c r="J4685" s="13" t="n">
        <v>119</v>
      </c>
      <c r="K4685" s="1" t="inlineStr"/>
      <c r="L4685" s="13" t="n"/>
      <c r="M4685" s="1">
        <f>IF(L4685="","ไม่พบใน SG",IF(ABS(J4685-L4685)&lt;0.005,"ตรงกัน","ไม่ตรง"))</f>
        <v/>
      </c>
      <c r="N4685" s="14">
        <f>IF(L4685="","",ROUND(L4685*'สรุป'!$C$6,-1))</f>
        <v/>
      </c>
      <c r="O4685" s="15" t="n"/>
      <c r="P4685" s="15" t="n"/>
      <c r="Q4685" s="10" t="n"/>
      <c r="R4685" s="10" t="n"/>
      <c r="S4685" s="16" t="inlineStr">
        <is>
          <t>https://mstgolf.co.th/products/gf2020102078</t>
        </is>
      </c>
      <c r="T4685" s="1">
        <f>IF(B4685="ไม้กอล์ฟ",J4685,"")</f>
        <v/>
      </c>
    </row>
    <row r="4686">
      <c r="A4686" s="1" t="n">
        <v>3</v>
      </c>
      <c r="B4686" s="1" t="inlineStr">
        <is>
          <t>เสื้อผ้า</t>
        </is>
      </c>
      <c r="C4686" s="1" t="inlineStr">
        <is>
          <t>gf2020102088</t>
        </is>
      </c>
      <c r="D4686" s="1" t="inlineStr">
        <is>
          <t>TAYLORMADE Tex-Brid Basic Men's Pants (Light Grey)</t>
        </is>
      </c>
      <c r="E4686" s="1" t="inlineStr">
        <is>
          <t>TAYLORMADE</t>
        </is>
      </c>
      <c r="F4686" s="1" t="inlineStr">
        <is>
          <t>LONG PANTS</t>
        </is>
      </c>
      <c r="G4686" s="1" t="inlineStr">
        <is>
          <t>GF202010208882</t>
        </is>
      </c>
      <c r="H4686" s="1" t="n">
        <v>6</v>
      </c>
      <c r="I4686" s="1" t="inlineStr">
        <is>
          <t>หมด</t>
        </is>
      </c>
      <c r="J4686" s="13" t="n">
        <v>119</v>
      </c>
      <c r="K4686" s="1" t="inlineStr"/>
      <c r="L4686" s="13" t="n"/>
      <c r="M4686" s="1">
        <f>IF(L4686="","ไม่พบใน SG",IF(ABS(J4686-L4686)&lt;0.005,"ตรงกัน","ไม่ตรง"))</f>
        <v/>
      </c>
      <c r="N4686" s="14">
        <f>IF(L4686="","",ROUND(L4686*'สรุป'!$C$6,-1))</f>
        <v/>
      </c>
      <c r="O4686" s="15" t="n"/>
      <c r="P4686" s="15" t="n"/>
      <c r="Q4686" s="10" t="n"/>
      <c r="R4686" s="10" t="n"/>
      <c r="S4686" s="16" t="inlineStr">
        <is>
          <t>https://mstgolf.co.th/products/gf2020102088</t>
        </is>
      </c>
      <c r="T4686" s="1">
        <f>IF(B4686="ไม้กอล์ฟ",J4686,"")</f>
        <v/>
      </c>
    </row>
    <row r="4687">
      <c r="A4687" s="1" t="n">
        <v>3</v>
      </c>
      <c r="B4687" s="1" t="inlineStr">
        <is>
          <t>เสื้อผ้า</t>
        </is>
      </c>
      <c r="C4687" s="1" t="inlineStr">
        <is>
          <t>gf2020202488</t>
        </is>
      </c>
      <c r="D4687" s="1" t="inlineStr">
        <is>
          <t>UNDER ARMOUR Drive Print Men's Tapered Shorts (Navy/White)</t>
        </is>
      </c>
      <c r="E4687" s="1" t="inlineStr">
        <is>
          <t>UNDER ARMOUR</t>
        </is>
      </c>
      <c r="F4687" s="1" t="inlineStr">
        <is>
          <t>SHORT PANTS</t>
        </is>
      </c>
      <c r="G4687" s="1" t="inlineStr">
        <is>
          <t>GF202020248828</t>
        </is>
      </c>
      <c r="H4687" s="1" t="n">
        <v>7</v>
      </c>
      <c r="I4687" s="1" t="inlineStr">
        <is>
          <t>หมด</t>
        </is>
      </c>
      <c r="J4687" s="13" t="n">
        <v>119</v>
      </c>
      <c r="K4687" s="1" t="inlineStr"/>
      <c r="L4687" s="13" t="n"/>
      <c r="M4687" s="1">
        <f>IF(L4687="","ไม่พบใน SG",IF(ABS(J4687-L4687)&lt;0.005,"ตรงกัน","ไม่ตรง"))</f>
        <v/>
      </c>
      <c r="N4687" s="14">
        <f>IF(L4687="","",ROUND(L4687*'สรุป'!$C$6,-1))</f>
        <v/>
      </c>
      <c r="O4687" s="15" t="n"/>
      <c r="P4687" s="15" t="n"/>
      <c r="Q4687" s="10" t="n"/>
      <c r="R4687" s="10" t="n"/>
      <c r="S4687" s="16" t="inlineStr">
        <is>
          <t>https://mstgolf.co.th/products/gf2020202488</t>
        </is>
      </c>
      <c r="T4687" s="1">
        <f>IF(B4687="ไม้กอล์ฟ",J4687,"")</f>
        <v/>
      </c>
    </row>
    <row r="4688">
      <c r="A4688" s="1" t="n">
        <v>3</v>
      </c>
      <c r="B4688" s="1" t="inlineStr">
        <is>
          <t>เสื้อผ้า</t>
        </is>
      </c>
      <c r="C4688" s="1" t="inlineStr">
        <is>
          <t>gf2020202619</t>
        </is>
      </c>
      <c r="D4688" s="1" t="inlineStr">
        <is>
          <t>UNDER ARMOUR Drive Printed Men's Tapered Shorts (Midnight Navy)</t>
        </is>
      </c>
      <c r="E4688" s="1" t="inlineStr">
        <is>
          <t>UNDER ARMOUR</t>
        </is>
      </c>
      <c r="F4688" s="1" t="inlineStr">
        <is>
          <t>SHORT PANTS</t>
        </is>
      </c>
      <c r="G4688" s="1" t="inlineStr">
        <is>
          <t>GF202020261928</t>
        </is>
      </c>
      <c r="H4688" s="1" t="n">
        <v>7</v>
      </c>
      <c r="I4688" s="1" t="inlineStr">
        <is>
          <t>หมด</t>
        </is>
      </c>
      <c r="J4688" s="13" t="n">
        <v>119</v>
      </c>
      <c r="K4688" s="1" t="inlineStr"/>
      <c r="L4688" s="13" t="n">
        <v>119</v>
      </c>
      <c r="M4688" s="1">
        <f>IF(L4688="","ไม่พบใน SG",IF(ABS(J4688-L4688)&lt;0.005,"ตรงกัน","ไม่ตรง"))</f>
        <v/>
      </c>
      <c r="N4688" s="14">
        <f>IF(L4688="","",ROUND(L4688*'สรุป'!$C$6,-1))</f>
        <v/>
      </c>
      <c r="O4688" s="15" t="n"/>
      <c r="P4688" s="15" t="n"/>
      <c r="Q4688" s="10" t="n"/>
      <c r="R4688" s="10" t="n"/>
      <c r="S4688" s="16" t="inlineStr">
        <is>
          <t>https://mstgolf.co.th/products/gf2020202619</t>
        </is>
      </c>
      <c r="T4688" s="1">
        <f>IF(B4688="ไม้กอล์ฟ",J4688,"")</f>
        <v/>
      </c>
    </row>
    <row r="4689">
      <c r="A4689" s="1" t="n">
        <v>3</v>
      </c>
      <c r="B4689" s="1" t="inlineStr">
        <is>
          <t>เสื้อผ้า</t>
        </is>
      </c>
      <c r="C4689" s="1" t="inlineStr">
        <is>
          <t>gf2020102230</t>
        </is>
      </c>
      <c r="D4689" s="1" t="inlineStr">
        <is>
          <t>UNDER ARMOUR Drive Women's Pants (Midnight Navy)</t>
        </is>
      </c>
      <c r="E4689" s="1" t="inlineStr">
        <is>
          <t>UNDER ARMOUR</t>
        </is>
      </c>
      <c r="F4689" s="1" t="inlineStr">
        <is>
          <t>LONG PANTS</t>
        </is>
      </c>
      <c r="G4689" s="1" t="inlineStr">
        <is>
          <t>GF20201022300</t>
        </is>
      </c>
      <c r="H4689" s="1" t="n">
        <v>8</v>
      </c>
      <c r="I4689" s="1" t="inlineStr">
        <is>
          <t>หมด</t>
        </is>
      </c>
      <c r="J4689" s="13" t="n">
        <v>119</v>
      </c>
      <c r="K4689" s="1" t="inlineStr"/>
      <c r="L4689" s="13" t="n">
        <v>119</v>
      </c>
      <c r="M4689" s="1">
        <f>IF(L4689="","ไม่พบใน SG",IF(ABS(J4689-L4689)&lt;0.005,"ตรงกัน","ไม่ตรง"))</f>
        <v/>
      </c>
      <c r="N4689" s="14">
        <f>IF(L4689="","",ROUND(L4689*'สรุป'!$C$6,-1))</f>
        <v/>
      </c>
      <c r="O4689" s="15" t="n"/>
      <c r="P4689" s="15" t="n"/>
      <c r="Q4689" s="10" t="n"/>
      <c r="R4689" s="10" t="n"/>
      <c r="S4689" s="16" t="inlineStr">
        <is>
          <t>https://mstgolf.co.th/products/gf2020102230</t>
        </is>
      </c>
      <c r="T4689" s="1">
        <f>IF(B4689="ไม้กอล์ฟ",J4689,"")</f>
        <v/>
      </c>
    </row>
    <row r="4690">
      <c r="A4690" s="1" t="n">
        <v>3</v>
      </c>
      <c r="B4690" s="1" t="inlineStr">
        <is>
          <t>เสื้อผ้า</t>
        </is>
      </c>
      <c r="C4690" s="1" t="inlineStr">
        <is>
          <t>gf2040118830</t>
        </is>
      </c>
      <c r="D4690" s="1" t="inlineStr">
        <is>
          <t>WAAC GG Flower Camo Men’s Polo (Pink)</t>
        </is>
      </c>
      <c r="E4690" s="1" t="inlineStr">
        <is>
          <t>WAAC</t>
        </is>
      </c>
      <c r="F4690" s="1" t="inlineStr">
        <is>
          <t>SHORT SLEEVES</t>
        </is>
      </c>
      <c r="G4690" s="1" t="inlineStr">
        <is>
          <t>GF2040118830S</t>
        </is>
      </c>
      <c r="H4690" s="1" t="n">
        <v>5</v>
      </c>
      <c r="I4690" s="1" t="inlineStr">
        <is>
          <t>หมด</t>
        </is>
      </c>
      <c r="J4690" s="13" t="n">
        <v>119</v>
      </c>
      <c r="K4690" s="1" t="inlineStr"/>
      <c r="L4690" s="13" t="n"/>
      <c r="M4690" s="1">
        <f>IF(L4690="","ไม่พบใน SG",IF(ABS(J4690-L4690)&lt;0.005,"ตรงกัน","ไม่ตรง"))</f>
        <v/>
      </c>
      <c r="N4690" s="14">
        <f>IF(L4690="","",ROUND(L4690*'สรุป'!$C$6,-1))</f>
        <v/>
      </c>
      <c r="O4690" s="15" t="n"/>
      <c r="P4690" s="15" t="n"/>
      <c r="Q4690" s="10" t="n"/>
      <c r="R4690" s="10" t="n"/>
      <c r="S4690" s="16" t="inlineStr">
        <is>
          <t>https://mstgolf.co.th/products/gf2040118830</t>
        </is>
      </c>
      <c r="T4690" s="1">
        <f>IF(B4690="ไม้กอล์ฟ",J4690,"")</f>
        <v/>
      </c>
    </row>
    <row r="4691">
      <c r="A4691" s="1" t="n">
        <v>3</v>
      </c>
      <c r="B4691" s="1" t="inlineStr">
        <is>
          <t>เสื้อผ้า</t>
        </is>
      </c>
      <c r="C4691" s="1" t="inlineStr">
        <is>
          <t>gf2040401208</t>
        </is>
      </c>
      <c r="D4691" s="1" t="inlineStr">
        <is>
          <t>WAAC Korea Women's Long Sleeve Shirt (Black)</t>
        </is>
      </c>
      <c r="E4691" s="1" t="inlineStr">
        <is>
          <t>WAAC</t>
        </is>
      </c>
      <c r="F4691" s="1" t="inlineStr">
        <is>
          <t>LONG SLEEVES</t>
        </is>
      </c>
      <c r="G4691" s="1" t="inlineStr">
        <is>
          <t>GF2040401208XS</t>
        </is>
      </c>
      <c r="H4691" s="1" t="n">
        <v>6</v>
      </c>
      <c r="I4691" s="1" t="inlineStr">
        <is>
          <t>หมด</t>
        </is>
      </c>
      <c r="J4691" s="13" t="n">
        <v>119</v>
      </c>
      <c r="K4691" s="1" t="inlineStr"/>
      <c r="L4691" s="13" t="n"/>
      <c r="M4691" s="1">
        <f>IF(L4691="","ไม่พบใน SG",IF(ABS(J4691-L4691)&lt;0.005,"ตรงกัน","ไม่ตรง"))</f>
        <v/>
      </c>
      <c r="N4691" s="14">
        <f>IF(L4691="","",ROUND(L4691*'สรุป'!$C$6,-1))</f>
        <v/>
      </c>
      <c r="O4691" s="15" t="n"/>
      <c r="P4691" s="15" t="n"/>
      <c r="Q4691" s="10" t="n"/>
      <c r="R4691" s="10" t="n"/>
      <c r="S4691" s="16" t="inlineStr">
        <is>
          <t>https://mstgolf.co.th/products/gf2040401208</t>
        </is>
      </c>
      <c r="T4691" s="1">
        <f>IF(B4691="ไม้กอล์ฟ",J4691,"")</f>
        <v/>
      </c>
    </row>
    <row r="4692">
      <c r="A4692" s="1" t="n">
        <v>3</v>
      </c>
      <c r="B4692" s="1" t="inlineStr">
        <is>
          <t>เสื้อผ้า</t>
        </is>
      </c>
      <c r="C4692" s="1" t="inlineStr">
        <is>
          <t>gf2040120652</t>
        </is>
      </c>
      <c r="D4692" s="1" t="inlineStr">
        <is>
          <t>FOOTJOY Zip Printed Women's Polo (Navy)</t>
        </is>
      </c>
      <c r="E4692" s="1" t="inlineStr">
        <is>
          <t>FOOTJOY</t>
        </is>
      </c>
      <c r="F4692" s="1" t="inlineStr">
        <is>
          <t>SHORT SLEEVES</t>
        </is>
      </c>
      <c r="G4692" s="1" t="inlineStr">
        <is>
          <t>GF2040120652XS</t>
        </is>
      </c>
      <c r="H4692" s="1" t="n">
        <v>6</v>
      </c>
      <c r="I4692" s="1" t="inlineStr">
        <is>
          <t>หมด</t>
        </is>
      </c>
      <c r="J4692" s="13" t="n">
        <v>117</v>
      </c>
      <c r="K4692" s="1" t="inlineStr"/>
      <c r="L4692" s="13" t="n">
        <v>69</v>
      </c>
      <c r="M4692" s="1">
        <f>IF(L4692="","ไม่พบใน SG",IF(ABS(J4692-L4692)&lt;0.005,"ตรงกัน","ไม่ตรง"))</f>
        <v/>
      </c>
      <c r="N4692" s="14">
        <f>IF(L4692="","",ROUND(L4692*'สรุป'!$C$6,-1))</f>
        <v/>
      </c>
      <c r="O4692" s="15" t="n"/>
      <c r="P4692" s="15" t="n"/>
      <c r="Q4692" s="10" t="n"/>
      <c r="R4692" s="10" t="n"/>
      <c r="S4692" s="16" t="inlineStr">
        <is>
          <t>https://mstgolf.co.th/products/gf2040120652</t>
        </is>
      </c>
      <c r="T4692" s="1">
        <f>IF(B4692="ไม้กอล์ฟ",J4692,"")</f>
        <v/>
      </c>
    </row>
    <row r="4693">
      <c r="A4693" s="1" t="n">
        <v>3</v>
      </c>
      <c r="B4693" s="1" t="inlineStr">
        <is>
          <t>เสื้อผ้า</t>
        </is>
      </c>
      <c r="C4693" s="1" t="inlineStr">
        <is>
          <t>gf2020101768</t>
        </is>
      </c>
      <c r="D4693" s="1" t="inlineStr">
        <is>
          <t>GFORE 5-Pocket Women's Pants (Snow)</t>
        </is>
      </c>
      <c r="E4693" s="1" t="inlineStr">
        <is>
          <t>GFORE</t>
        </is>
      </c>
      <c r="F4693" s="1" t="inlineStr">
        <is>
          <t>LONG PANTS</t>
        </is>
      </c>
      <c r="G4693" s="1" t="inlineStr">
        <is>
          <t>GF20201017680</t>
        </is>
      </c>
      <c r="H4693" s="1" t="n">
        <v>6</v>
      </c>
      <c r="I4693" s="1" t="inlineStr">
        <is>
          <t>หมด</t>
        </is>
      </c>
      <c r="J4693" s="13" t="n">
        <v>115</v>
      </c>
      <c r="K4693" s="1" t="inlineStr"/>
      <c r="L4693" s="13" t="n">
        <v>115</v>
      </c>
      <c r="M4693" s="1">
        <f>IF(L4693="","ไม่พบใน SG",IF(ABS(J4693-L4693)&lt;0.005,"ตรงกัน","ไม่ตรง"))</f>
        <v/>
      </c>
      <c r="N4693" s="14">
        <f>IF(L4693="","",ROUND(L4693*'สรุป'!$C$6,-1))</f>
        <v/>
      </c>
      <c r="O4693" s="15" t="n"/>
      <c r="P4693" s="15" t="n"/>
      <c r="Q4693" s="10" t="n"/>
      <c r="R4693" s="10" t="n"/>
      <c r="S4693" s="16" t="inlineStr">
        <is>
          <t>https://mstgolf.co.th/products/gf2020101768</t>
        </is>
      </c>
      <c r="T4693" s="1">
        <f>IF(B4693="ไม้กอล์ฟ",J4693,"")</f>
        <v/>
      </c>
    </row>
    <row r="4694">
      <c r="A4694" s="1" t="n">
        <v>3</v>
      </c>
      <c r="B4694" s="1" t="inlineStr">
        <is>
          <t>เสื้อผ้า</t>
        </is>
      </c>
      <c r="C4694" s="1" t="inlineStr">
        <is>
          <t>gf2040116947</t>
        </is>
      </c>
      <c r="D4694" s="1" t="inlineStr">
        <is>
          <t>GFORE Colour Block Tech Pique Women's Polo (Fjord)</t>
        </is>
      </c>
      <c r="E4694" s="1" t="inlineStr">
        <is>
          <t>GFORE</t>
        </is>
      </c>
      <c r="F4694" s="1" t="inlineStr">
        <is>
          <t>SHORT SLEEVES</t>
        </is>
      </c>
      <c r="G4694" s="1" t="inlineStr">
        <is>
          <t>GF2040116947XS</t>
        </is>
      </c>
      <c r="H4694" s="1" t="n">
        <v>5</v>
      </c>
      <c r="I4694" s="1" t="inlineStr">
        <is>
          <t>หมด</t>
        </is>
      </c>
      <c r="J4694" s="13" t="n">
        <v>115</v>
      </c>
      <c r="K4694" s="1" t="inlineStr"/>
      <c r="L4694" s="13" t="n">
        <v>115</v>
      </c>
      <c r="M4694" s="1">
        <f>IF(L4694="","ไม่พบใน SG",IF(ABS(J4694-L4694)&lt;0.005,"ตรงกัน","ไม่ตรง"))</f>
        <v/>
      </c>
      <c r="N4694" s="14">
        <f>IF(L4694="","",ROUND(L4694*'สรุป'!$C$6,-1))</f>
        <v/>
      </c>
      <c r="O4694" s="15" t="n"/>
      <c r="P4694" s="15" t="n"/>
      <c r="Q4694" s="10" t="n"/>
      <c r="R4694" s="10" t="n"/>
      <c r="S4694" s="16" t="inlineStr">
        <is>
          <t>https://mstgolf.co.th/products/gf2040116947</t>
        </is>
      </c>
      <c r="T4694" s="1">
        <f>IF(B4694="ไม้กอล์ฟ",J4694,"")</f>
        <v/>
      </c>
    </row>
    <row r="4695">
      <c r="A4695" s="1" t="n">
        <v>3</v>
      </c>
      <c r="B4695" s="1" t="inlineStr">
        <is>
          <t>เสื้อผ้า</t>
        </is>
      </c>
      <c r="C4695" s="1" t="inlineStr">
        <is>
          <t>gf2040116949</t>
        </is>
      </c>
      <c r="D4695" s="1" t="inlineStr">
        <is>
          <t>GFORE Distorted Women's Polo (Fjord)</t>
        </is>
      </c>
      <c r="E4695" s="1" t="inlineStr">
        <is>
          <t>GFORE</t>
        </is>
      </c>
      <c r="F4695" s="1" t="inlineStr">
        <is>
          <t>SHORT SLEEVES</t>
        </is>
      </c>
      <c r="G4695" s="1" t="inlineStr">
        <is>
          <t>GF2040116949XS</t>
        </is>
      </c>
      <c r="H4695" s="1" t="n">
        <v>5</v>
      </c>
      <c r="I4695" s="1" t="inlineStr">
        <is>
          <t>หมด</t>
        </is>
      </c>
      <c r="J4695" s="13" t="n">
        <v>115</v>
      </c>
      <c r="K4695" s="1" t="inlineStr"/>
      <c r="L4695" s="13" t="n">
        <v>115</v>
      </c>
      <c r="M4695" s="1">
        <f>IF(L4695="","ไม่พบใน SG",IF(ABS(J4695-L4695)&lt;0.005,"ตรงกัน","ไม่ตรง"))</f>
        <v/>
      </c>
      <c r="N4695" s="14">
        <f>IF(L4695="","",ROUND(L4695*'สรุป'!$C$6,-1))</f>
        <v/>
      </c>
      <c r="O4695" s="15" t="n"/>
      <c r="P4695" s="15" t="n"/>
      <c r="Q4695" s="10" t="n"/>
      <c r="R4695" s="10" t="n"/>
      <c r="S4695" s="16" t="inlineStr">
        <is>
          <t>https://mstgolf.co.th/products/gf2040116949</t>
        </is>
      </c>
      <c r="T4695" s="1">
        <f>IF(B4695="ไม้กอล์ฟ",J4695,"")</f>
        <v/>
      </c>
    </row>
    <row r="4696">
      <c r="A4696" s="1" t="n">
        <v>3</v>
      </c>
      <c r="B4696" s="1" t="inlineStr">
        <is>
          <t>เสื้อผ้า</t>
        </is>
      </c>
      <c r="C4696" s="1" t="inlineStr">
        <is>
          <t>gf2040118987</t>
        </is>
      </c>
      <c r="D4696" s="1" t="inlineStr">
        <is>
          <t>GFORE G Link Tech Jersey Men's Polo (Stone)</t>
        </is>
      </c>
      <c r="E4696" s="1" t="inlineStr">
        <is>
          <t>GFORE</t>
        </is>
      </c>
      <c r="F4696" s="1" t="inlineStr">
        <is>
          <t>SHORT SLEEVES</t>
        </is>
      </c>
      <c r="G4696" s="1" t="inlineStr">
        <is>
          <t>GF2040118987XS</t>
        </is>
      </c>
      <c r="H4696" s="1" t="n">
        <v>6</v>
      </c>
      <c r="I4696" s="1" t="inlineStr">
        <is>
          <t>หมด</t>
        </is>
      </c>
      <c r="J4696" s="13" t="n">
        <v>115</v>
      </c>
      <c r="K4696" s="1" t="inlineStr"/>
      <c r="L4696" s="13" t="n">
        <v>115</v>
      </c>
      <c r="M4696" s="1">
        <f>IF(L4696="","ไม่พบใน SG",IF(ABS(J4696-L4696)&lt;0.005,"ตรงกัน","ไม่ตรง"))</f>
        <v/>
      </c>
      <c r="N4696" s="14">
        <f>IF(L4696="","",ROUND(L4696*'สรุป'!$C$6,-1))</f>
        <v/>
      </c>
      <c r="O4696" s="15" t="n"/>
      <c r="P4696" s="15" t="n"/>
      <c r="Q4696" s="10" t="n"/>
      <c r="R4696" s="10" t="n"/>
      <c r="S4696" s="16" t="inlineStr">
        <is>
          <t>https://mstgolf.co.th/products/gf2040118987</t>
        </is>
      </c>
      <c r="T4696" s="1">
        <f>IF(B4696="ไม้กอล์ฟ",J4696,"")</f>
        <v/>
      </c>
    </row>
    <row r="4697">
      <c r="A4697" s="1" t="n">
        <v>3</v>
      </c>
      <c r="B4697" s="1" t="inlineStr">
        <is>
          <t>เสื้อผ้า</t>
        </is>
      </c>
      <c r="C4697" s="1" t="inlineStr">
        <is>
          <t>gf2040118059</t>
        </is>
      </c>
      <c r="D4697" s="1" t="inlineStr">
        <is>
          <t>GFORE Mapped Camo Men's Jersey Polo (Emerald)</t>
        </is>
      </c>
      <c r="E4697" s="1" t="inlineStr">
        <is>
          <t>GFORE</t>
        </is>
      </c>
      <c r="F4697" s="1" t="inlineStr">
        <is>
          <t>SHORT SLEEVES</t>
        </is>
      </c>
      <c r="G4697" s="1" t="inlineStr">
        <is>
          <t>GF2040118059XS</t>
        </is>
      </c>
      <c r="H4697" s="1" t="n">
        <v>6</v>
      </c>
      <c r="I4697" s="1" t="inlineStr">
        <is>
          <t>หมด</t>
        </is>
      </c>
      <c r="J4697" s="13" t="n">
        <v>115</v>
      </c>
      <c r="K4697" s="1" t="inlineStr"/>
      <c r="L4697" s="13" t="n">
        <v>115</v>
      </c>
      <c r="M4697" s="1">
        <f>IF(L4697="","ไม่พบใน SG",IF(ABS(J4697-L4697)&lt;0.005,"ตรงกัน","ไม่ตรง"))</f>
        <v/>
      </c>
      <c r="N4697" s="14">
        <f>IF(L4697="","",ROUND(L4697*'สรุป'!$C$6,-1))</f>
        <v/>
      </c>
      <c r="O4697" s="15" t="n"/>
      <c r="P4697" s="15" t="n"/>
      <c r="Q4697" s="10" t="n"/>
      <c r="R4697" s="10" t="n"/>
      <c r="S4697" s="16" t="inlineStr">
        <is>
          <t>https://mstgolf.co.th/products/gf2040118059</t>
        </is>
      </c>
      <c r="T4697" s="1">
        <f>IF(B4697="ไม้กอล์ฟ",J4697,"")</f>
        <v/>
      </c>
    </row>
    <row r="4698">
      <c r="A4698" s="1" t="n">
        <v>3</v>
      </c>
      <c r="B4698" s="1" t="inlineStr">
        <is>
          <t>เสื้อผ้า</t>
        </is>
      </c>
      <c r="C4698" s="1" t="inlineStr">
        <is>
          <t>gf2040118984</t>
        </is>
      </c>
      <c r="D4698" s="1" t="inlineStr">
        <is>
          <t>GFORE Patchwork Floral Tech Jersey Men's Polo (Port)</t>
        </is>
      </c>
      <c r="E4698" s="1" t="inlineStr">
        <is>
          <t>GFORE</t>
        </is>
      </c>
      <c r="F4698" s="1" t="inlineStr">
        <is>
          <t>SHORT SLEEVES</t>
        </is>
      </c>
      <c r="G4698" s="1" t="inlineStr">
        <is>
          <t>GF2040118984XS</t>
        </is>
      </c>
      <c r="H4698" s="1" t="n">
        <v>6</v>
      </c>
      <c r="I4698" s="1" t="inlineStr">
        <is>
          <t>หมด</t>
        </is>
      </c>
      <c r="J4698" s="13" t="n">
        <v>115</v>
      </c>
      <c r="K4698" s="1" t="inlineStr"/>
      <c r="L4698" s="13" t="n">
        <v>115</v>
      </c>
      <c r="M4698" s="1">
        <f>IF(L4698="","ไม่พบใน SG",IF(ABS(J4698-L4698)&lt;0.005,"ตรงกัน","ไม่ตรง"))</f>
        <v/>
      </c>
      <c r="N4698" s="14">
        <f>IF(L4698="","",ROUND(L4698*'สรุป'!$C$6,-1))</f>
        <v/>
      </c>
      <c r="O4698" s="15" t="n"/>
      <c r="P4698" s="15" t="n"/>
      <c r="Q4698" s="10" t="n"/>
      <c r="R4698" s="10" t="n"/>
      <c r="S4698" s="16" t="inlineStr">
        <is>
          <t>https://mstgolf.co.th/products/gf2040118984</t>
        </is>
      </c>
      <c r="T4698" s="1">
        <f>IF(B4698="ไม้กอล์ฟ",J4698,"")</f>
        <v/>
      </c>
    </row>
    <row r="4699">
      <c r="A4699" s="1" t="n">
        <v>3</v>
      </c>
      <c r="B4699" s="1" t="inlineStr">
        <is>
          <t>เสื้อผ้า</t>
        </is>
      </c>
      <c r="C4699" s="1" t="inlineStr">
        <is>
          <t>gf2040118063</t>
        </is>
      </c>
      <c r="D4699" s="1" t="inlineStr">
        <is>
          <t>GFORE Rib Exploded Camo Men's Polo (Space)</t>
        </is>
      </c>
      <c r="E4699" s="1" t="inlineStr">
        <is>
          <t>GFORE</t>
        </is>
      </c>
      <c r="F4699" s="1" t="inlineStr">
        <is>
          <t>SHORT SLEEVES</t>
        </is>
      </c>
      <c r="G4699" s="1" t="inlineStr">
        <is>
          <t>GF2040118063XS</t>
        </is>
      </c>
      <c r="H4699" s="1" t="n">
        <v>6</v>
      </c>
      <c r="I4699" s="1" t="inlineStr">
        <is>
          <t>หมด</t>
        </is>
      </c>
      <c r="J4699" s="13" t="n">
        <v>115</v>
      </c>
      <c r="K4699" s="1" t="inlineStr"/>
      <c r="L4699" s="13" t="n">
        <v>115</v>
      </c>
      <c r="M4699" s="1">
        <f>IF(L4699="","ไม่พบใน SG",IF(ABS(J4699-L4699)&lt;0.005,"ตรงกัน","ไม่ตรง"))</f>
        <v/>
      </c>
      <c r="N4699" s="14">
        <f>IF(L4699="","",ROUND(L4699*'สรุป'!$C$6,-1))</f>
        <v/>
      </c>
      <c r="O4699" s="15" t="n"/>
      <c r="P4699" s="15" t="n"/>
      <c r="Q4699" s="10" t="n"/>
      <c r="R4699" s="10" t="n"/>
      <c r="S4699" s="16" t="inlineStr">
        <is>
          <t>https://mstgolf.co.th/products/gf2040118063</t>
        </is>
      </c>
      <c r="T4699" s="1">
        <f>IF(B4699="ไม้กอล์ฟ",J4699,"")</f>
        <v/>
      </c>
    </row>
    <row r="4700">
      <c r="A4700" s="1" t="n">
        <v>3</v>
      </c>
      <c r="B4700" s="1" t="inlineStr">
        <is>
          <t>เสื้อผ้า</t>
        </is>
      </c>
      <c r="C4700" s="1" t="inlineStr">
        <is>
          <t>gf2020202821</t>
        </is>
      </c>
      <c r="D4700" s="1" t="inlineStr">
        <is>
          <t>NIKE Jordan Sport Men's Cargo Shorts (Black)</t>
        </is>
      </c>
      <c r="E4700" s="1" t="inlineStr">
        <is>
          <t>NIKE</t>
        </is>
      </c>
      <c r="F4700" s="1" t="inlineStr">
        <is>
          <t>SHORT PANTS</t>
        </is>
      </c>
      <c r="G4700" s="1" t="inlineStr">
        <is>
          <t>GF202020282128</t>
        </is>
      </c>
      <c r="H4700" s="1" t="n">
        <v>7</v>
      </c>
      <c r="I4700" s="1" t="inlineStr">
        <is>
          <t>หมด</t>
        </is>
      </c>
      <c r="J4700" s="13" t="n">
        <v>115</v>
      </c>
      <c r="K4700" s="1" t="inlineStr"/>
      <c r="L4700" s="13" t="n"/>
      <c r="M4700" s="1">
        <f>IF(L4700="","ไม่พบใน SG",IF(ABS(J4700-L4700)&lt;0.005,"ตรงกัน","ไม่ตรง"))</f>
        <v/>
      </c>
      <c r="N4700" s="14">
        <f>IF(L4700="","",ROUND(L4700*'สรุป'!$C$6,-1))</f>
        <v/>
      </c>
      <c r="O4700" s="15" t="n"/>
      <c r="P4700" s="15" t="n"/>
      <c r="Q4700" s="10" t="n"/>
      <c r="R4700" s="10" t="n"/>
      <c r="S4700" s="16" t="inlineStr">
        <is>
          <t>https://mstgolf.co.th/products/gf2020202821</t>
        </is>
      </c>
      <c r="T4700" s="1">
        <f>IF(B4700="ไม้กอล์ฟ",J4700,"")</f>
        <v/>
      </c>
    </row>
    <row r="4701">
      <c r="A4701" s="1" t="n">
        <v>3</v>
      </c>
      <c r="B4701" s="1" t="inlineStr">
        <is>
          <t>อุปกรณ์เสริม</t>
        </is>
      </c>
      <c r="C4701" s="1" t="inlineStr">
        <is>
          <t>gf3150100302</t>
        </is>
      </c>
      <c r="D4701" s="1" t="inlineStr">
        <is>
          <t>TITLEIST Tour Double Canopy Umbrella (Black)</t>
        </is>
      </c>
      <c r="E4701" s="1" t="inlineStr">
        <is>
          <t>TITLEIST</t>
        </is>
      </c>
      <c r="F4701" s="1" t="inlineStr">
        <is>
          <t>UMBRELLA</t>
        </is>
      </c>
      <c r="G4701" s="1" t="inlineStr">
        <is>
          <t>GF3150100302</t>
        </is>
      </c>
      <c r="H4701" s="1" t="n">
        <v>1</v>
      </c>
      <c r="I4701" s="1" t="inlineStr">
        <is>
          <t>หมด</t>
        </is>
      </c>
      <c r="J4701" s="13" t="n">
        <v>115</v>
      </c>
      <c r="K4701" s="1" t="inlineStr"/>
      <c r="L4701" s="13" t="n">
        <v>115</v>
      </c>
      <c r="M4701" s="1">
        <f>IF(L4701="","ไม่พบใน SG",IF(ABS(J4701-L4701)&lt;0.005,"ตรงกัน","ไม่ตรง"))</f>
        <v/>
      </c>
      <c r="N4701" s="14">
        <f>IF(L4701="","",ROUND(L4701*'สรุป'!$C$6,-1))</f>
        <v/>
      </c>
      <c r="O4701" s="15" t="n"/>
      <c r="P4701" s="15" t="n"/>
      <c r="Q4701" s="10" t="n"/>
      <c r="R4701" s="10" t="n"/>
      <c r="S4701" s="16" t="inlineStr">
        <is>
          <t>https://mstgolf.co.th/products/gf3150100302</t>
        </is>
      </c>
      <c r="T4701" s="1">
        <f>IF(B4701="ไม้กอล์ฟ",J4701,"")</f>
        <v/>
      </c>
    </row>
    <row r="4702">
      <c r="A4702" s="1" t="n">
        <v>3</v>
      </c>
      <c r="B4702" s="1" t="inlineStr">
        <is>
          <t>เสื้อผ้า</t>
        </is>
      </c>
      <c r="C4702" s="1" t="inlineStr">
        <is>
          <t>gf2020202814</t>
        </is>
      </c>
      <c r="D4702" s="1" t="inlineStr">
        <is>
          <t>ADIDAS Ultimate365 Textured 9" Men's Shorts (Aqua)</t>
        </is>
      </c>
      <c r="E4702" s="1" t="inlineStr">
        <is>
          <t>ADIDAS</t>
        </is>
      </c>
      <c r="F4702" s="1" t="inlineStr">
        <is>
          <t>SHORT PANTS</t>
        </is>
      </c>
      <c r="G4702" s="1" t="inlineStr">
        <is>
          <t>GF202020281473</t>
        </is>
      </c>
      <c r="H4702" s="1" t="n">
        <v>8</v>
      </c>
      <c r="I4702" s="1" t="inlineStr">
        <is>
          <t>หมด</t>
        </is>
      </c>
      <c r="J4702" s="13" t="n">
        <v>109</v>
      </c>
      <c r="K4702" s="1" t="inlineStr"/>
      <c r="L4702" s="13" t="n">
        <v>75</v>
      </c>
      <c r="M4702" s="1">
        <f>IF(L4702="","ไม่พบใน SG",IF(ABS(J4702-L4702)&lt;0.005,"ตรงกัน","ไม่ตรง"))</f>
        <v/>
      </c>
      <c r="N4702" s="14">
        <f>IF(L4702="","",ROUND(L4702*'สรุป'!$C$6,-1))</f>
        <v/>
      </c>
      <c r="O4702" s="15" t="n"/>
      <c r="P4702" s="15" t="n"/>
      <c r="Q4702" s="10" t="n"/>
      <c r="R4702" s="10" t="n"/>
      <c r="S4702" s="16" t="inlineStr">
        <is>
          <t>https://mstgolf.co.th/products/gf2020202814</t>
        </is>
      </c>
      <c r="T4702" s="1">
        <f>IF(B4702="ไม้กอล์ฟ",J4702,"")</f>
        <v/>
      </c>
    </row>
    <row r="4703">
      <c r="A4703" s="1" t="n">
        <v>3</v>
      </c>
      <c r="B4703" s="1" t="inlineStr">
        <is>
          <t>เสื้อผ้า</t>
        </is>
      </c>
      <c r="C4703" s="1" t="inlineStr">
        <is>
          <t>gf2020202815</t>
        </is>
      </c>
      <c r="D4703" s="1" t="inlineStr">
        <is>
          <t>ADIDAS Ultimate365 Textured 9" Men's Shorts (Grey)</t>
        </is>
      </c>
      <c r="E4703" s="1" t="inlineStr">
        <is>
          <t>ADIDAS</t>
        </is>
      </c>
      <c r="F4703" s="1" t="inlineStr">
        <is>
          <t>SHORT PANTS</t>
        </is>
      </c>
      <c r="G4703" s="1" t="inlineStr">
        <is>
          <t>GF202020281573</t>
        </is>
      </c>
      <c r="H4703" s="1" t="n">
        <v>8</v>
      </c>
      <c r="I4703" s="1" t="inlineStr">
        <is>
          <t>หมด</t>
        </is>
      </c>
      <c r="J4703" s="13" t="n">
        <v>109</v>
      </c>
      <c r="K4703" s="1" t="inlineStr"/>
      <c r="L4703" s="13" t="n">
        <v>75</v>
      </c>
      <c r="M4703" s="1">
        <f>IF(L4703="","ไม่พบใน SG",IF(ABS(J4703-L4703)&lt;0.005,"ตรงกัน","ไม่ตรง"))</f>
        <v/>
      </c>
      <c r="N4703" s="14">
        <f>IF(L4703="","",ROUND(L4703*'สรุป'!$C$6,-1))</f>
        <v/>
      </c>
      <c r="O4703" s="15" t="n"/>
      <c r="P4703" s="15" t="n"/>
      <c r="Q4703" s="10" t="n"/>
      <c r="R4703" s="10" t="n"/>
      <c r="S4703" s="16" t="inlineStr">
        <is>
          <t>https://mstgolf.co.th/products/gf2020202815</t>
        </is>
      </c>
      <c r="T4703" s="1">
        <f>IF(B4703="ไม้กอล์ฟ",J4703,"")</f>
        <v/>
      </c>
    </row>
    <row r="4704">
      <c r="A4704" s="1" t="n">
        <v>3</v>
      </c>
      <c r="B4704" s="1" t="inlineStr">
        <is>
          <t>เสื้อผ้า</t>
        </is>
      </c>
      <c r="C4704" s="1" t="inlineStr">
        <is>
          <t>gf2020202816</t>
        </is>
      </c>
      <c r="D4704" s="1" t="inlineStr">
        <is>
          <t>ADIDAS Ultimate365 Textured 9" Men's Shorts (Pink)</t>
        </is>
      </c>
      <c r="E4704" s="1" t="inlineStr">
        <is>
          <t>ADIDAS</t>
        </is>
      </c>
      <c r="F4704" s="1" t="inlineStr">
        <is>
          <t>SHORT PANTS</t>
        </is>
      </c>
      <c r="G4704" s="1" t="inlineStr">
        <is>
          <t>GF202020281673</t>
        </is>
      </c>
      <c r="H4704" s="1" t="n">
        <v>8</v>
      </c>
      <c r="I4704" s="1" t="inlineStr">
        <is>
          <t>หมด</t>
        </is>
      </c>
      <c r="J4704" s="13" t="n">
        <v>109</v>
      </c>
      <c r="K4704" s="1" t="inlineStr"/>
      <c r="L4704" s="13" t="n">
        <v>75</v>
      </c>
      <c r="M4704" s="1">
        <f>IF(L4704="","ไม่พบใน SG",IF(ABS(J4704-L4704)&lt;0.005,"ตรงกัน","ไม่ตรง"))</f>
        <v/>
      </c>
      <c r="N4704" s="14">
        <f>IF(L4704="","",ROUND(L4704*'สรุป'!$C$6,-1))</f>
        <v/>
      </c>
      <c r="O4704" s="15" t="n"/>
      <c r="P4704" s="15" t="n"/>
      <c r="Q4704" s="10" t="n"/>
      <c r="R4704" s="10" t="n"/>
      <c r="S4704" s="16" t="inlineStr">
        <is>
          <t>https://mstgolf.co.th/products/gf2020202816</t>
        </is>
      </c>
      <c r="T4704" s="1">
        <f>IF(B4704="ไม้กอล์ฟ",J4704,"")</f>
        <v/>
      </c>
    </row>
    <row r="4705">
      <c r="A4705" s="1" t="n">
        <v>3</v>
      </c>
      <c r="B4705" s="1" t="inlineStr">
        <is>
          <t>หมวก</t>
        </is>
      </c>
      <c r="C4705" s="1" t="inlineStr">
        <is>
          <t>gf2000106363</t>
        </is>
      </c>
      <c r="D4705" s="1" t="inlineStr">
        <is>
          <t>BOSS GOLF Double B Logo Basic Men's Cap (Almond Milk)</t>
        </is>
      </c>
      <c r="E4705" s="1" t="inlineStr">
        <is>
          <t>BOSS GOLF</t>
        </is>
      </c>
      <c r="F4705" s="1" t="inlineStr">
        <is>
          <t>CAP</t>
        </is>
      </c>
      <c r="G4705" s="1" t="inlineStr">
        <is>
          <t>GF2000106363FS</t>
        </is>
      </c>
      <c r="H4705" s="1" t="n">
        <v>1</v>
      </c>
      <c r="I4705" s="1" t="inlineStr">
        <is>
          <t>หมด</t>
        </is>
      </c>
      <c r="J4705" s="13" t="n">
        <v>109</v>
      </c>
      <c r="K4705" s="1" t="inlineStr"/>
      <c r="L4705" s="13" t="n"/>
      <c r="M4705" s="1">
        <f>IF(L4705="","ไม่พบใน SG",IF(ABS(J4705-L4705)&lt;0.005,"ตรงกัน","ไม่ตรง"))</f>
        <v/>
      </c>
      <c r="N4705" s="14">
        <f>IF(L4705="","",ROUND(L4705*'สรุป'!$C$6,-1))</f>
        <v/>
      </c>
      <c r="O4705" s="15" t="n"/>
      <c r="P4705" s="15" t="n"/>
      <c r="Q4705" s="10" t="n"/>
      <c r="R4705" s="10" t="n"/>
      <c r="S4705" s="16" t="inlineStr">
        <is>
          <t>https://mstgolf.co.th/products/gf2000106363</t>
        </is>
      </c>
      <c r="T4705" s="1">
        <f>IF(B4705="ไม้กอล์ฟ",J4705,"")</f>
        <v/>
      </c>
    </row>
    <row r="4706">
      <c r="A4706" s="1" t="n">
        <v>3</v>
      </c>
      <c r="B4706" s="1" t="inlineStr">
        <is>
          <t>เสื้อผ้า</t>
        </is>
      </c>
      <c r="C4706" s="1" t="inlineStr">
        <is>
          <t>gf2020202274</t>
        </is>
      </c>
      <c r="D4706" s="1" t="inlineStr">
        <is>
          <t>GFORE Camo Silky Tech Nylon Skort (Cameo)</t>
        </is>
      </c>
      <c r="E4706" s="1" t="inlineStr">
        <is>
          <t>GFORE</t>
        </is>
      </c>
      <c r="F4706" s="1" t="inlineStr">
        <is>
          <t>SHORT PANTS</t>
        </is>
      </c>
      <c r="G4706" s="1" t="inlineStr">
        <is>
          <t>GF2020202274L</t>
        </is>
      </c>
      <c r="H4706" s="1" t="n">
        <v>10</v>
      </c>
      <c r="I4706" s="1" t="inlineStr">
        <is>
          <t>หมด</t>
        </is>
      </c>
      <c r="J4706" s="13" t="n">
        <v>109</v>
      </c>
      <c r="K4706" s="1" t="inlineStr"/>
      <c r="L4706" s="13" t="n">
        <v>109</v>
      </c>
      <c r="M4706" s="1">
        <f>IF(L4706="","ไม่พบใน SG",IF(ABS(J4706-L4706)&lt;0.005,"ตรงกัน","ไม่ตรง"))</f>
        <v/>
      </c>
      <c r="N4706" s="14">
        <f>IF(L4706="","",ROUND(L4706*'สรุป'!$C$6,-1))</f>
        <v/>
      </c>
      <c r="O4706" s="15" t="n"/>
      <c r="P4706" s="15" t="n"/>
      <c r="Q4706" s="10" t="n"/>
      <c r="R4706" s="10" t="n"/>
      <c r="S4706" s="16" t="inlineStr">
        <is>
          <t>https://mstgolf.co.th/products/gf2020202274</t>
        </is>
      </c>
      <c r="T4706" s="1">
        <f>IF(B4706="ไม้กอล์ฟ",J4706,"")</f>
        <v/>
      </c>
    </row>
    <row r="4707">
      <c r="A4707" s="1" t="n">
        <v>3</v>
      </c>
      <c r="B4707" s="1" t="inlineStr">
        <is>
          <t>เสื้อผ้า</t>
        </is>
      </c>
      <c r="C4707" s="1" t="inlineStr">
        <is>
          <t>gf2040117877</t>
        </is>
      </c>
      <c r="D4707" s="1" t="inlineStr">
        <is>
          <t>GFORE Ribbed Tech Nylon Women's Polo (Daybreak)</t>
        </is>
      </c>
      <c r="E4707" s="1" t="inlineStr">
        <is>
          <t>GFORE</t>
        </is>
      </c>
      <c r="F4707" s="1" t="inlineStr">
        <is>
          <t>SHORT SLEEVES</t>
        </is>
      </c>
      <c r="G4707" s="1" t="inlineStr">
        <is>
          <t>GF2040117877XS</t>
        </is>
      </c>
      <c r="H4707" s="1" t="n">
        <v>6</v>
      </c>
      <c r="I4707" s="1" t="inlineStr">
        <is>
          <t>หมด</t>
        </is>
      </c>
      <c r="J4707" s="13" t="n">
        <v>109</v>
      </c>
      <c r="K4707" s="1" t="inlineStr"/>
      <c r="L4707" s="13" t="n">
        <v>109</v>
      </c>
      <c r="M4707" s="1">
        <f>IF(L4707="","ไม่พบใน SG",IF(ABS(J4707-L4707)&lt;0.005,"ตรงกัน","ไม่ตรง"))</f>
        <v/>
      </c>
      <c r="N4707" s="14">
        <f>IF(L4707="","",ROUND(L4707*'สรุป'!$C$6,-1))</f>
        <v/>
      </c>
      <c r="O4707" s="15" t="n"/>
      <c r="P4707" s="15" t="n"/>
      <c r="Q4707" s="10" t="n"/>
      <c r="R4707" s="10" t="n"/>
      <c r="S4707" s="16" t="inlineStr">
        <is>
          <t>https://mstgolf.co.th/products/gf2040117877</t>
        </is>
      </c>
      <c r="T4707" s="1">
        <f>IF(B4707="ไม้กอล์ฟ",J4707,"")</f>
        <v/>
      </c>
    </row>
    <row r="4708">
      <c r="A4708" s="1" t="n">
        <v>3</v>
      </c>
      <c r="B4708" s="1" t="inlineStr">
        <is>
          <t>เสื้อผ้า</t>
        </is>
      </c>
      <c r="C4708" s="1" t="inlineStr">
        <is>
          <t>gf2020101763</t>
        </is>
      </c>
      <c r="D4708" s="1" t="inlineStr">
        <is>
          <t>GFORE Tour Fit 5 Pocket Men's Pants (Snow)</t>
        </is>
      </c>
      <c r="E4708" s="1" t="inlineStr">
        <is>
          <t>GFORE</t>
        </is>
      </c>
      <c r="F4708" s="1" t="inlineStr">
        <is>
          <t>LONG PANTS</t>
        </is>
      </c>
      <c r="G4708" s="1" t="inlineStr">
        <is>
          <t>GF202010176330</t>
        </is>
      </c>
      <c r="H4708" s="1" t="n">
        <v>7</v>
      </c>
      <c r="I4708" s="1" t="inlineStr">
        <is>
          <t>หมด</t>
        </is>
      </c>
      <c r="J4708" s="13" t="n">
        <v>109</v>
      </c>
      <c r="K4708" s="1" t="inlineStr"/>
      <c r="L4708" s="13" t="n">
        <v>109</v>
      </c>
      <c r="M4708" s="1">
        <f>IF(L4708="","ไม่พบใน SG",IF(ABS(J4708-L4708)&lt;0.005,"ตรงกัน","ไม่ตรง"))</f>
        <v/>
      </c>
      <c r="N4708" s="14">
        <f>IF(L4708="","",ROUND(L4708*'สรุป'!$C$6,-1))</f>
        <v/>
      </c>
      <c r="O4708" s="15" t="n"/>
      <c r="P4708" s="15" t="n"/>
      <c r="Q4708" s="10" t="n"/>
      <c r="R4708" s="10" t="n"/>
      <c r="S4708" s="16" t="inlineStr">
        <is>
          <t>https://mstgolf.co.th/products/gf2020101763</t>
        </is>
      </c>
      <c r="T4708" s="1">
        <f>IF(B4708="ไม้กอล์ฟ",J4708,"")</f>
        <v/>
      </c>
    </row>
    <row r="4709">
      <c r="A4709" s="1" t="n">
        <v>3</v>
      </c>
      <c r="B4709" s="1" t="inlineStr">
        <is>
          <t>เสื้อผ้า</t>
        </is>
      </c>
      <c r="C4709" s="1" t="inlineStr">
        <is>
          <t>gf2040119245</t>
        </is>
      </c>
      <c r="D4709" s="1" t="inlineStr">
        <is>
          <t>MALBON GOLF Fishing Buckets Men's Pique Polo (Forest)</t>
        </is>
      </c>
      <c r="E4709" s="1" t="inlineStr">
        <is>
          <t>MALBON GOLF</t>
        </is>
      </c>
      <c r="F4709" s="1" t="inlineStr">
        <is>
          <t>SHORT SLEEVES</t>
        </is>
      </c>
      <c r="G4709" s="1" t="inlineStr">
        <is>
          <t>GF2040119245S</t>
        </is>
      </c>
      <c r="H4709" s="1" t="n">
        <v>5</v>
      </c>
      <c r="I4709" s="1" t="inlineStr">
        <is>
          <t>หมด</t>
        </is>
      </c>
      <c r="J4709" s="13" t="n">
        <v>109</v>
      </c>
      <c r="K4709" s="1" t="inlineStr"/>
      <c r="L4709" s="13" t="n">
        <v>109</v>
      </c>
      <c r="M4709" s="1">
        <f>IF(L4709="","ไม่พบใน SG",IF(ABS(J4709-L4709)&lt;0.005,"ตรงกัน","ไม่ตรง"))</f>
        <v/>
      </c>
      <c r="N4709" s="14">
        <f>IF(L4709="","",ROUND(L4709*'สรุป'!$C$6,-1))</f>
        <v/>
      </c>
      <c r="O4709" s="15" t="n"/>
      <c r="P4709" s="15" t="n"/>
      <c r="Q4709" s="10" t="n"/>
      <c r="R4709" s="10" t="n"/>
      <c r="S4709" s="16" t="inlineStr">
        <is>
          <t>https://mstgolf.co.th/products/gf2040119245</t>
        </is>
      </c>
      <c r="T4709" s="1">
        <f>IF(B4709="ไม้กอล์ฟ",J4709,"")</f>
        <v/>
      </c>
    </row>
    <row r="4710">
      <c r="A4710" s="1" t="n">
        <v>3</v>
      </c>
      <c r="B4710" s="1" t="inlineStr">
        <is>
          <t>เสื้อผ้า</t>
        </is>
      </c>
      <c r="C4710" s="1" t="inlineStr">
        <is>
          <t>gf2040119217</t>
        </is>
      </c>
      <c r="D4710" s="1" t="inlineStr">
        <is>
          <t>MALBON GOLF x Keith Haring Performance Pique Men's Polo (Black)</t>
        </is>
      </c>
      <c r="E4710" s="1" t="inlineStr">
        <is>
          <t>MALBON GOLF</t>
        </is>
      </c>
      <c r="F4710" s="1" t="inlineStr">
        <is>
          <t>SHORT SLEEVES</t>
        </is>
      </c>
      <c r="G4710" s="1" t="inlineStr">
        <is>
          <t>GF2040119217S</t>
        </is>
      </c>
      <c r="H4710" s="1" t="n">
        <v>5</v>
      </c>
      <c r="I4710" s="1" t="inlineStr">
        <is>
          <t>หมด</t>
        </is>
      </c>
      <c r="J4710" s="13" t="n">
        <v>109</v>
      </c>
      <c r="K4710" s="1" t="inlineStr"/>
      <c r="L4710" s="13" t="n"/>
      <c r="M4710" s="1">
        <f>IF(L4710="","ไม่พบใน SG",IF(ABS(J4710-L4710)&lt;0.005,"ตรงกัน","ไม่ตรง"))</f>
        <v/>
      </c>
      <c r="N4710" s="14">
        <f>IF(L4710="","",ROUND(L4710*'สรุป'!$C$6,-1))</f>
        <v/>
      </c>
      <c r="O4710" s="15" t="n"/>
      <c r="P4710" s="15" t="n"/>
      <c r="Q4710" s="10" t="n"/>
      <c r="R4710" s="10" t="n"/>
      <c r="S4710" s="16" t="inlineStr">
        <is>
          <t>https://mstgolf.co.th/products/gf2040119217</t>
        </is>
      </c>
      <c r="T4710" s="1">
        <f>IF(B4710="ไม้กอล์ฟ",J4710,"")</f>
        <v/>
      </c>
    </row>
    <row r="4711">
      <c r="A4711" s="1" t="n">
        <v>3</v>
      </c>
      <c r="B4711" s="1" t="inlineStr">
        <is>
          <t>เสื้อผ้า</t>
        </is>
      </c>
      <c r="C4711" s="1" t="inlineStr">
        <is>
          <t>gf2020102242</t>
        </is>
      </c>
      <c r="D4711" s="1" t="inlineStr">
        <is>
          <t>PUMA Everyday Women's Pants (Deep Navy)</t>
        </is>
      </c>
      <c r="E4711" s="1" t="inlineStr">
        <is>
          <t>PUMA</t>
        </is>
      </c>
      <c r="F4711" s="1" t="inlineStr">
        <is>
          <t>LONG PANTS</t>
        </is>
      </c>
      <c r="G4711" s="1" t="inlineStr">
        <is>
          <t>GF2020102242XS</t>
        </is>
      </c>
      <c r="H4711" s="1" t="n">
        <v>6</v>
      </c>
      <c r="I4711" s="1" t="inlineStr">
        <is>
          <t>หมด</t>
        </is>
      </c>
      <c r="J4711" s="13" t="n">
        <v>109</v>
      </c>
      <c r="K4711" s="1" t="inlineStr"/>
      <c r="L4711" s="13" t="n"/>
      <c r="M4711" s="1">
        <f>IF(L4711="","ไม่พบใน SG",IF(ABS(J4711-L4711)&lt;0.005,"ตรงกัน","ไม่ตรง"))</f>
        <v/>
      </c>
      <c r="N4711" s="14">
        <f>IF(L4711="","",ROUND(L4711*'สรุป'!$C$6,-1))</f>
        <v/>
      </c>
      <c r="O4711" s="15" t="n"/>
      <c r="P4711" s="15" t="n"/>
      <c r="Q4711" s="10" t="n"/>
      <c r="R4711" s="10" t="n"/>
      <c r="S4711" s="16" t="inlineStr">
        <is>
          <t>https://mstgolf.co.th/products/gf2020102242</t>
        </is>
      </c>
      <c r="T4711" s="1">
        <f>IF(B4711="ไม้กอล์ฟ",J4711,"")</f>
        <v/>
      </c>
    </row>
    <row r="4712">
      <c r="A4712" s="1" t="n">
        <v>3</v>
      </c>
      <c r="B4712" s="1" t="inlineStr">
        <is>
          <t>เสื้อผ้า</t>
        </is>
      </c>
      <c r="C4712" s="1" t="inlineStr">
        <is>
          <t>gf2040119274</t>
        </is>
      </c>
      <c r="D4712" s="1" t="inlineStr">
        <is>
          <t>PUMA MATTR Broken Flower Men's Polo (Navy/Peach)</t>
        </is>
      </c>
      <c r="E4712" s="1" t="inlineStr">
        <is>
          <t>PUMA</t>
        </is>
      </c>
      <c r="F4712" s="1" t="inlineStr">
        <is>
          <t>SHORT SLEEVES</t>
        </is>
      </c>
      <c r="G4712" s="1" t="inlineStr">
        <is>
          <t>GF2040119274XS</t>
        </is>
      </c>
      <c r="H4712" s="1" t="n">
        <v>6</v>
      </c>
      <c r="I4712" s="1" t="inlineStr">
        <is>
          <t>หมด</t>
        </is>
      </c>
      <c r="J4712" s="13" t="n">
        <v>109</v>
      </c>
      <c r="K4712" s="1" t="inlineStr"/>
      <c r="L4712" s="13" t="n">
        <v>75</v>
      </c>
      <c r="M4712" s="1">
        <f>IF(L4712="","ไม่พบใน SG",IF(ABS(J4712-L4712)&lt;0.005,"ตรงกัน","ไม่ตรง"))</f>
        <v/>
      </c>
      <c r="N4712" s="14">
        <f>IF(L4712="","",ROUND(L4712*'สรุป'!$C$6,-1))</f>
        <v/>
      </c>
      <c r="O4712" s="15" t="n"/>
      <c r="P4712" s="15" t="n"/>
      <c r="Q4712" s="10" t="n"/>
      <c r="R4712" s="10" t="n"/>
      <c r="S4712" s="16" t="inlineStr">
        <is>
          <t>https://mstgolf.co.th/products/gf2040119274</t>
        </is>
      </c>
      <c r="T4712" s="1">
        <f>IF(B4712="ไม้กอล์ฟ",J4712,"")</f>
        <v/>
      </c>
    </row>
    <row r="4713">
      <c r="A4713" s="1" t="n">
        <v>3</v>
      </c>
      <c r="B4713" s="1" t="inlineStr">
        <is>
          <t>เสื้อผ้า</t>
        </is>
      </c>
      <c r="C4713" s="1" t="inlineStr">
        <is>
          <t>gf2040119279</t>
        </is>
      </c>
      <c r="D4713" s="1" t="inlineStr">
        <is>
          <t>PUMA x Realtree Camo Men's Polo (Deep Forest)</t>
        </is>
      </c>
      <c r="E4713" s="1" t="inlineStr">
        <is>
          <t>PUMA</t>
        </is>
      </c>
      <c r="F4713" s="1" t="inlineStr">
        <is>
          <t>SHORT SLEEVES</t>
        </is>
      </c>
      <c r="G4713" s="1" t="inlineStr">
        <is>
          <t>GF2040119279XS</t>
        </is>
      </c>
      <c r="H4713" s="1" t="n">
        <v>6</v>
      </c>
      <c r="I4713" s="1" t="inlineStr">
        <is>
          <t>หมด</t>
        </is>
      </c>
      <c r="J4713" s="13" t="n">
        <v>109</v>
      </c>
      <c r="K4713" s="1" t="inlineStr"/>
      <c r="L4713" s="13" t="n">
        <v>75</v>
      </c>
      <c r="M4713" s="1">
        <f>IF(L4713="","ไม่พบใน SG",IF(ABS(J4713-L4713)&lt;0.005,"ตรงกัน","ไม่ตรง"))</f>
        <v/>
      </c>
      <c r="N4713" s="14">
        <f>IF(L4713="","",ROUND(L4713*'สรุป'!$C$6,-1))</f>
        <v/>
      </c>
      <c r="O4713" s="15" t="n"/>
      <c r="P4713" s="15" t="n"/>
      <c r="Q4713" s="10" t="n"/>
      <c r="R4713" s="10" t="n"/>
      <c r="S4713" s="16" t="inlineStr">
        <is>
          <t>https://mstgolf.co.th/products/gf2040119279</t>
        </is>
      </c>
      <c r="T4713" s="1">
        <f>IF(B4713="ไม้กอล์ฟ",J4713,"")</f>
        <v/>
      </c>
    </row>
    <row r="4714">
      <c r="A4714" s="1" t="n">
        <v>3</v>
      </c>
      <c r="B4714" s="1" t="inlineStr">
        <is>
          <t>อุปกรณ์เสริม</t>
        </is>
      </c>
      <c r="C4714" s="1" t="inlineStr">
        <is>
          <t>gf3500201739</t>
        </is>
      </c>
      <c r="D4714" s="1" t="inlineStr">
        <is>
          <t>TAYLORMADE Dragonborn Women's Blade Putter Headcover</t>
        </is>
      </c>
      <c r="E4714" s="1" t="inlineStr">
        <is>
          <t>TAYLORMADE</t>
        </is>
      </c>
      <c r="F4714" s="1" t="inlineStr">
        <is>
          <t>HEADCOVERS</t>
        </is>
      </c>
      <c r="G4714" s="1" t="inlineStr">
        <is>
          <t>GF3500201739</t>
        </is>
      </c>
      <c r="H4714" s="1" t="n">
        <v>1</v>
      </c>
      <c r="I4714" s="1" t="inlineStr">
        <is>
          <t>หมด</t>
        </is>
      </c>
      <c r="J4714" s="13" t="n">
        <v>109</v>
      </c>
      <c r="K4714" s="1" t="inlineStr"/>
      <c r="L4714" s="13" t="n"/>
      <c r="M4714" s="1">
        <f>IF(L4714="","ไม่พบใน SG",IF(ABS(J4714-L4714)&lt;0.005,"ตรงกัน","ไม่ตรง"))</f>
        <v/>
      </c>
      <c r="N4714" s="14">
        <f>IF(L4714="","",ROUND(L4714*'สรุป'!$C$6,-1))</f>
        <v/>
      </c>
      <c r="O4714" s="15" t="n"/>
      <c r="P4714" s="15" t="n"/>
      <c r="Q4714" s="10" t="n"/>
      <c r="R4714" s="10" t="n"/>
      <c r="S4714" s="16" t="inlineStr">
        <is>
          <t>https://mstgolf.co.th/products/gf3500201739</t>
        </is>
      </c>
      <c r="T4714" s="1">
        <f>IF(B4714="ไม้กอล์ฟ",J4714,"")</f>
        <v/>
      </c>
    </row>
    <row r="4715">
      <c r="A4715" s="1" t="n">
        <v>3</v>
      </c>
      <c r="B4715" s="1" t="inlineStr">
        <is>
          <t>อุปกรณ์เสริม</t>
        </is>
      </c>
      <c r="C4715" s="1" t="inlineStr">
        <is>
          <t>gf3500201736</t>
        </is>
      </c>
      <c r="D4715" s="1" t="inlineStr">
        <is>
          <t>TAYLORMADE Dragonborn Women's Fairway Headcover</t>
        </is>
      </c>
      <c r="E4715" s="1" t="inlineStr">
        <is>
          <t>TAYLORMADE</t>
        </is>
      </c>
      <c r="F4715" s="1" t="inlineStr">
        <is>
          <t>HEADCOVERS</t>
        </is>
      </c>
      <c r="G4715" s="1" t="inlineStr">
        <is>
          <t>GF3500201736</t>
        </is>
      </c>
      <c r="H4715" s="1" t="n">
        <v>1</v>
      </c>
      <c r="I4715" s="1" t="inlineStr">
        <is>
          <t>หมด</t>
        </is>
      </c>
      <c r="J4715" s="13" t="n">
        <v>109</v>
      </c>
      <c r="K4715" s="1" t="inlineStr"/>
      <c r="L4715" s="13" t="n"/>
      <c r="M4715" s="1">
        <f>IF(L4715="","ไม่พบใน SG",IF(ABS(J4715-L4715)&lt;0.005,"ตรงกัน","ไม่ตรง"))</f>
        <v/>
      </c>
      <c r="N4715" s="14">
        <f>IF(L4715="","",ROUND(L4715*'สรุป'!$C$6,-1))</f>
        <v/>
      </c>
      <c r="O4715" s="15" t="n"/>
      <c r="P4715" s="15" t="n"/>
      <c r="Q4715" s="10" t="n"/>
      <c r="R4715" s="10" t="n"/>
      <c r="S4715" s="16" t="inlineStr">
        <is>
          <t>https://mstgolf.co.th/products/gf3500201736</t>
        </is>
      </c>
      <c r="T4715" s="1">
        <f>IF(B4715="ไม้กอล์ฟ",J4715,"")</f>
        <v/>
      </c>
    </row>
    <row r="4716">
      <c r="A4716" s="1" t="n">
        <v>3</v>
      </c>
      <c r="B4716" s="1" t="inlineStr">
        <is>
          <t>อุปกรณ์เสริม</t>
        </is>
      </c>
      <c r="C4716" s="1" t="inlineStr">
        <is>
          <t>gf3500201738</t>
        </is>
      </c>
      <c r="D4716" s="1" t="inlineStr">
        <is>
          <t>TAYLORMADE Dragonborn Women's Rescue Headcover</t>
        </is>
      </c>
      <c r="E4716" s="1" t="inlineStr">
        <is>
          <t>TAYLORMADE</t>
        </is>
      </c>
      <c r="F4716" s="1" t="inlineStr">
        <is>
          <t>HEADCOVERS</t>
        </is>
      </c>
      <c r="G4716" s="1" t="inlineStr">
        <is>
          <t>GF3500201738</t>
        </is>
      </c>
      <c r="H4716" s="1" t="n">
        <v>1</v>
      </c>
      <c r="I4716" s="1" t="inlineStr">
        <is>
          <t>หมด</t>
        </is>
      </c>
      <c r="J4716" s="13" t="n">
        <v>109</v>
      </c>
      <c r="K4716" s="1" t="inlineStr"/>
      <c r="L4716" s="13" t="n"/>
      <c r="M4716" s="1">
        <f>IF(L4716="","ไม่พบใน SG",IF(ABS(J4716-L4716)&lt;0.005,"ตรงกัน","ไม่ตรง"))</f>
        <v/>
      </c>
      <c r="N4716" s="14">
        <f>IF(L4716="","",ROUND(L4716*'สรุป'!$C$6,-1))</f>
        <v/>
      </c>
      <c r="O4716" s="15" t="n"/>
      <c r="P4716" s="15" t="n"/>
      <c r="Q4716" s="10" t="n"/>
      <c r="R4716" s="10" t="n"/>
      <c r="S4716" s="16" t="inlineStr">
        <is>
          <t>https://mstgolf.co.th/products/gf3500201738</t>
        </is>
      </c>
      <c r="T4716" s="1">
        <f>IF(B4716="ไม้กอล์ฟ",J4716,"")</f>
        <v/>
      </c>
    </row>
    <row r="4717">
      <c r="A4717" s="1" t="n">
        <v>3</v>
      </c>
      <c r="B4717" s="1" t="inlineStr">
        <is>
          <t>อุปกรณ์เสริม</t>
        </is>
      </c>
      <c r="C4717" s="1" t="inlineStr">
        <is>
          <t>gf3500201721</t>
        </is>
      </c>
      <c r="D4717" s="1" t="inlineStr">
        <is>
          <t>TAYLORMADE Heritage Blade Putter Headcover</t>
        </is>
      </c>
      <c r="E4717" s="1" t="inlineStr">
        <is>
          <t>TAYLORMADE</t>
        </is>
      </c>
      <c r="F4717" s="1" t="inlineStr">
        <is>
          <t>HEADCOVERS</t>
        </is>
      </c>
      <c r="G4717" s="1" t="inlineStr">
        <is>
          <t>GF3500201721</t>
        </is>
      </c>
      <c r="H4717" s="1" t="n">
        <v>1</v>
      </c>
      <c r="I4717" s="1" t="inlineStr">
        <is>
          <t>หมด</t>
        </is>
      </c>
      <c r="J4717" s="13" t="n">
        <v>109</v>
      </c>
      <c r="K4717" s="1" t="inlineStr"/>
      <c r="L4717" s="13" t="n"/>
      <c r="M4717" s="1">
        <f>IF(L4717="","ไม่พบใน SG",IF(ABS(J4717-L4717)&lt;0.005,"ตรงกัน","ไม่ตรง"))</f>
        <v/>
      </c>
      <c r="N4717" s="14">
        <f>IF(L4717="","",ROUND(L4717*'สรุป'!$C$6,-1))</f>
        <v/>
      </c>
      <c r="O4717" s="15" t="n"/>
      <c r="P4717" s="15" t="n"/>
      <c r="Q4717" s="10" t="n"/>
      <c r="R4717" s="10" t="n"/>
      <c r="S4717" s="16" t="inlineStr">
        <is>
          <t>https://mstgolf.co.th/products/gf3500201721</t>
        </is>
      </c>
      <c r="T4717" s="1">
        <f>IF(B4717="ไม้กอล์ฟ",J4717,"")</f>
        <v/>
      </c>
    </row>
    <row r="4718">
      <c r="A4718" s="1" t="n">
        <v>3</v>
      </c>
      <c r="B4718" s="1" t="inlineStr">
        <is>
          <t>อุปกรณ์เสริม</t>
        </is>
      </c>
      <c r="C4718" s="1" t="inlineStr">
        <is>
          <t>gf3500201718</t>
        </is>
      </c>
      <c r="D4718" s="1" t="inlineStr">
        <is>
          <t>TAYLORMADE Heritage Driver Headcover</t>
        </is>
      </c>
      <c r="E4718" s="1" t="inlineStr">
        <is>
          <t>TAYLORMADE</t>
        </is>
      </c>
      <c r="F4718" s="1" t="inlineStr">
        <is>
          <t>HEADCOVERS</t>
        </is>
      </c>
      <c r="G4718" s="1" t="inlineStr">
        <is>
          <t>GF3500201718</t>
        </is>
      </c>
      <c r="H4718" s="1" t="n">
        <v>1</v>
      </c>
      <c r="I4718" s="1" t="inlineStr">
        <is>
          <t>หมด</t>
        </is>
      </c>
      <c r="J4718" s="13" t="n">
        <v>109</v>
      </c>
      <c r="K4718" s="1" t="inlineStr"/>
      <c r="L4718" s="13" t="n"/>
      <c r="M4718" s="1">
        <f>IF(L4718="","ไม่พบใน SG",IF(ABS(J4718-L4718)&lt;0.005,"ตรงกัน","ไม่ตรง"))</f>
        <v/>
      </c>
      <c r="N4718" s="14">
        <f>IF(L4718="","",ROUND(L4718*'สรุป'!$C$6,-1))</f>
        <v/>
      </c>
      <c r="O4718" s="15" t="n"/>
      <c r="P4718" s="15" t="n"/>
      <c r="Q4718" s="10" t="n"/>
      <c r="R4718" s="10" t="n"/>
      <c r="S4718" s="16" t="inlineStr">
        <is>
          <t>https://mstgolf.co.th/products/gf3500201718</t>
        </is>
      </c>
      <c r="T4718" s="1">
        <f>IF(B4718="ไม้กอล์ฟ",J4718,"")</f>
        <v/>
      </c>
    </row>
    <row r="4719">
      <c r="A4719" s="1" t="n">
        <v>3</v>
      </c>
      <c r="B4719" s="1" t="inlineStr">
        <is>
          <t>อุปกรณ์เสริม</t>
        </is>
      </c>
      <c r="C4719" s="1" t="inlineStr">
        <is>
          <t>gf3500201719</t>
        </is>
      </c>
      <c r="D4719" s="1" t="inlineStr">
        <is>
          <t>TAYLORMADE Heritage Fairway Headcover</t>
        </is>
      </c>
      <c r="E4719" s="1" t="inlineStr">
        <is>
          <t>TAYLORMADE</t>
        </is>
      </c>
      <c r="F4719" s="1" t="inlineStr">
        <is>
          <t>HEADCOVERS</t>
        </is>
      </c>
      <c r="G4719" s="1" t="inlineStr">
        <is>
          <t>GF3500201719</t>
        </is>
      </c>
      <c r="H4719" s="1" t="n">
        <v>1</v>
      </c>
      <c r="I4719" s="1" t="inlineStr">
        <is>
          <t>หมด</t>
        </is>
      </c>
      <c r="J4719" s="13" t="n">
        <v>109</v>
      </c>
      <c r="K4719" s="1" t="inlineStr"/>
      <c r="L4719" s="13" t="n"/>
      <c r="M4719" s="1">
        <f>IF(L4719="","ไม่พบใน SG",IF(ABS(J4719-L4719)&lt;0.005,"ตรงกัน","ไม่ตรง"))</f>
        <v/>
      </c>
      <c r="N4719" s="14">
        <f>IF(L4719="","",ROUND(L4719*'สรุป'!$C$6,-1))</f>
        <v/>
      </c>
      <c r="O4719" s="15" t="n"/>
      <c r="P4719" s="15" t="n"/>
      <c r="Q4719" s="10" t="n"/>
      <c r="R4719" s="10" t="n"/>
      <c r="S4719" s="16" t="inlineStr">
        <is>
          <t>https://mstgolf.co.th/products/gf3500201719</t>
        </is>
      </c>
      <c r="T4719" s="1">
        <f>IF(B4719="ไม้กอล์ฟ",J4719,"")</f>
        <v/>
      </c>
    </row>
    <row r="4720">
      <c r="A4720" s="1" t="n">
        <v>3</v>
      </c>
      <c r="B4720" s="1" t="inlineStr">
        <is>
          <t>อุปกรณ์เสริม</t>
        </is>
      </c>
      <c r="C4720" s="1" t="inlineStr">
        <is>
          <t>gf3500201720</t>
        </is>
      </c>
      <c r="D4720" s="1" t="inlineStr">
        <is>
          <t>TAYLORMADE Heritage Rescue Headcover</t>
        </is>
      </c>
      <c r="E4720" s="1" t="inlineStr">
        <is>
          <t>TAYLORMADE</t>
        </is>
      </c>
      <c r="F4720" s="1" t="inlineStr">
        <is>
          <t>HEADCOVERS</t>
        </is>
      </c>
      <c r="G4720" s="1" t="inlineStr">
        <is>
          <t>GF3500201720</t>
        </is>
      </c>
      <c r="H4720" s="1" t="n">
        <v>1</v>
      </c>
      <c r="I4720" s="1" t="inlineStr">
        <is>
          <t>หมด</t>
        </is>
      </c>
      <c r="J4720" s="13" t="n">
        <v>109</v>
      </c>
      <c r="K4720" s="1" t="inlineStr"/>
      <c r="L4720" s="13" t="n"/>
      <c r="M4720" s="1">
        <f>IF(L4720="","ไม่พบใน SG",IF(ABS(J4720-L4720)&lt;0.005,"ตรงกัน","ไม่ตรง"))</f>
        <v/>
      </c>
      <c r="N4720" s="14">
        <f>IF(L4720="","",ROUND(L4720*'สรุป'!$C$6,-1))</f>
        <v/>
      </c>
      <c r="O4720" s="15" t="n"/>
      <c r="P4720" s="15" t="n"/>
      <c r="Q4720" s="10" t="n"/>
      <c r="R4720" s="10" t="n"/>
      <c r="S4720" s="16" t="inlineStr">
        <is>
          <t>https://mstgolf.co.th/products/gf3500201720</t>
        </is>
      </c>
      <c r="T4720" s="1">
        <f>IF(B4720="ไม้กอล์ฟ",J4720,"")</f>
        <v/>
      </c>
    </row>
    <row r="4721">
      <c r="A4721" s="1" t="n">
        <v>3</v>
      </c>
      <c r="B4721" s="1" t="inlineStr">
        <is>
          <t>อุปกรณ์เสริม</t>
        </is>
      </c>
      <c r="C4721" s="1" t="inlineStr">
        <is>
          <t>gf3500201722</t>
        </is>
      </c>
      <c r="D4721" s="1" t="inlineStr">
        <is>
          <t>TAYLORMADE Heritage Spider Putter Headcover</t>
        </is>
      </c>
      <c r="E4721" s="1" t="inlineStr">
        <is>
          <t>TAYLORMADE</t>
        </is>
      </c>
      <c r="F4721" s="1" t="inlineStr">
        <is>
          <t>HEADCOVERS</t>
        </is>
      </c>
      <c r="G4721" s="1" t="inlineStr">
        <is>
          <t>GF3500201722</t>
        </is>
      </c>
      <c r="H4721" s="1" t="n">
        <v>1</v>
      </c>
      <c r="I4721" s="1" t="inlineStr">
        <is>
          <t>หมด</t>
        </is>
      </c>
      <c r="J4721" s="13" t="n">
        <v>109</v>
      </c>
      <c r="K4721" s="1" t="inlineStr"/>
      <c r="L4721" s="13" t="n"/>
      <c r="M4721" s="1">
        <f>IF(L4721="","ไม่พบใน SG",IF(ABS(J4721-L4721)&lt;0.005,"ตรงกัน","ไม่ตรง"))</f>
        <v/>
      </c>
      <c r="N4721" s="14">
        <f>IF(L4721="","",ROUND(L4721*'สรุป'!$C$6,-1))</f>
        <v/>
      </c>
      <c r="O4721" s="15" t="n"/>
      <c r="P4721" s="15" t="n"/>
      <c r="Q4721" s="10" t="n"/>
      <c r="R4721" s="10" t="n"/>
      <c r="S4721" s="16" t="inlineStr">
        <is>
          <t>https://mstgolf.co.th/products/gf3500201722</t>
        </is>
      </c>
      <c r="T4721" s="1">
        <f>IF(B4721="ไม้กอล์ฟ",J4721,"")</f>
        <v/>
      </c>
    </row>
    <row r="4722">
      <c r="A4722" s="1" t="n">
        <v>3</v>
      </c>
      <c r="B4722" s="1" t="inlineStr">
        <is>
          <t>เสื้อผ้า</t>
        </is>
      </c>
      <c r="C4722" s="1" t="inlineStr">
        <is>
          <t>gf2040119524</t>
        </is>
      </c>
      <c r="D4722" s="1" t="inlineStr">
        <is>
          <t>TAYLORMADE M T-ICE Gradation Men's Polo (Black)</t>
        </is>
      </c>
      <c r="E4722" s="1" t="inlineStr">
        <is>
          <t>TAYLORMADE</t>
        </is>
      </c>
      <c r="F4722" s="1" t="inlineStr">
        <is>
          <t>SHORT SLEEVES</t>
        </is>
      </c>
      <c r="G4722" s="1" t="inlineStr">
        <is>
          <t>GF2040119524S</t>
        </is>
      </c>
      <c r="H4722" s="1" t="n">
        <v>6</v>
      </c>
      <c r="I4722" s="1" t="inlineStr">
        <is>
          <t>หมด</t>
        </is>
      </c>
      <c r="J4722" s="13" t="n">
        <v>109</v>
      </c>
      <c r="K4722" s="1" t="inlineStr"/>
      <c r="L4722" s="13" t="n"/>
      <c r="M4722" s="1">
        <f>IF(L4722="","ไม่พบใน SG",IF(ABS(J4722-L4722)&lt;0.005,"ตรงกัน","ไม่ตรง"))</f>
        <v/>
      </c>
      <c r="N4722" s="14">
        <f>IF(L4722="","",ROUND(L4722*'สรุป'!$C$6,-1))</f>
        <v/>
      </c>
      <c r="O4722" s="15" t="n"/>
      <c r="P4722" s="15" t="n"/>
      <c r="Q4722" s="10" t="n"/>
      <c r="R4722" s="10" t="n"/>
      <c r="S4722" s="16" t="inlineStr">
        <is>
          <t>https://mstgolf.co.th/products/gf2040119524</t>
        </is>
      </c>
      <c r="T4722" s="1">
        <f>IF(B4722="ไม้กอล์ฟ",J4722,"")</f>
        <v/>
      </c>
    </row>
    <row r="4723">
      <c r="A4723" s="1" t="n">
        <v>3</v>
      </c>
      <c r="B4723" s="1" t="inlineStr">
        <is>
          <t>อุปกรณ์เสริม</t>
        </is>
      </c>
      <c r="C4723" s="1" t="inlineStr">
        <is>
          <t>gf3500201724</t>
        </is>
      </c>
      <c r="D4723" s="1" t="inlineStr">
        <is>
          <t>TAYLORMADE Patriotic Plaid 3 Fairway Headcover</t>
        </is>
      </c>
      <c r="E4723" s="1" t="inlineStr">
        <is>
          <t>TAYLORMADE</t>
        </is>
      </c>
      <c r="F4723" s="1" t="inlineStr">
        <is>
          <t>HEADCOVERS</t>
        </is>
      </c>
      <c r="G4723" s="1" t="inlineStr">
        <is>
          <t>GF3500201724</t>
        </is>
      </c>
      <c r="H4723" s="1" t="n">
        <v>1</v>
      </c>
      <c r="I4723" s="1" t="inlineStr">
        <is>
          <t>หมด</t>
        </is>
      </c>
      <c r="J4723" s="13" t="n">
        <v>109</v>
      </c>
      <c r="K4723" s="1" t="inlineStr"/>
      <c r="L4723" s="13" t="n"/>
      <c r="M4723" s="1">
        <f>IF(L4723="","ไม่พบใน SG",IF(ABS(J4723-L4723)&lt;0.005,"ตรงกัน","ไม่ตรง"))</f>
        <v/>
      </c>
      <c r="N4723" s="14">
        <f>IF(L4723="","",ROUND(L4723*'สรุป'!$C$6,-1))</f>
        <v/>
      </c>
      <c r="O4723" s="15" t="n"/>
      <c r="P4723" s="15" t="n"/>
      <c r="Q4723" s="10" t="n"/>
      <c r="R4723" s="10" t="n"/>
      <c r="S4723" s="16" t="inlineStr">
        <is>
          <t>https://mstgolf.co.th/products/gf3500201724</t>
        </is>
      </c>
      <c r="T4723" s="1">
        <f>IF(B4723="ไม้กอล์ฟ",J4723,"")</f>
        <v/>
      </c>
    </row>
    <row r="4724">
      <c r="A4724" s="1" t="n">
        <v>3</v>
      </c>
      <c r="B4724" s="1" t="inlineStr">
        <is>
          <t>อุปกรณ์เสริม</t>
        </is>
      </c>
      <c r="C4724" s="1" t="inlineStr">
        <is>
          <t>gf3500201725</t>
        </is>
      </c>
      <c r="D4724" s="1" t="inlineStr">
        <is>
          <t>TAYLORMADE Patriotic Plaid 5 Fairway Headcover</t>
        </is>
      </c>
      <c r="E4724" s="1" t="inlineStr">
        <is>
          <t>TAYLORMADE</t>
        </is>
      </c>
      <c r="F4724" s="1" t="inlineStr">
        <is>
          <t>HEADCOVERS</t>
        </is>
      </c>
      <c r="G4724" s="1" t="inlineStr">
        <is>
          <t>GF3500201725</t>
        </is>
      </c>
      <c r="H4724" s="1" t="n">
        <v>1</v>
      </c>
      <c r="I4724" s="1" t="inlineStr">
        <is>
          <t>หมด</t>
        </is>
      </c>
      <c r="J4724" s="13" t="n">
        <v>109</v>
      </c>
      <c r="K4724" s="1" t="inlineStr"/>
      <c r="L4724" s="13" t="n"/>
      <c r="M4724" s="1">
        <f>IF(L4724="","ไม่พบใน SG",IF(ABS(J4724-L4724)&lt;0.005,"ตรงกัน","ไม่ตรง"))</f>
        <v/>
      </c>
      <c r="N4724" s="14">
        <f>IF(L4724="","",ROUND(L4724*'สรุป'!$C$6,-1))</f>
        <v/>
      </c>
      <c r="O4724" s="15" t="n"/>
      <c r="P4724" s="15" t="n"/>
      <c r="Q4724" s="10" t="n"/>
      <c r="R4724" s="10" t="n"/>
      <c r="S4724" s="16" t="inlineStr">
        <is>
          <t>https://mstgolf.co.th/products/gf3500201725</t>
        </is>
      </c>
      <c r="T4724" s="1">
        <f>IF(B4724="ไม้กอล์ฟ",J4724,"")</f>
        <v/>
      </c>
    </row>
    <row r="4725">
      <c r="A4725" s="1" t="n">
        <v>3</v>
      </c>
      <c r="B4725" s="1" t="inlineStr">
        <is>
          <t>อุปกรณ์เสริม</t>
        </is>
      </c>
      <c r="C4725" s="1" t="inlineStr">
        <is>
          <t>gf3500201727</t>
        </is>
      </c>
      <c r="D4725" s="1" t="inlineStr">
        <is>
          <t>TAYLORMADE Patriotic Plaid Blade Putter Headcover</t>
        </is>
      </c>
      <c r="E4725" s="1" t="inlineStr">
        <is>
          <t>TAYLORMADE</t>
        </is>
      </c>
      <c r="F4725" s="1" t="inlineStr">
        <is>
          <t>HEADCOVERS</t>
        </is>
      </c>
      <c r="G4725" s="1" t="inlineStr">
        <is>
          <t>GF3500201727</t>
        </is>
      </c>
      <c r="H4725" s="1" t="n">
        <v>1</v>
      </c>
      <c r="I4725" s="1" t="inlineStr">
        <is>
          <t>หมด</t>
        </is>
      </c>
      <c r="J4725" s="13" t="n">
        <v>109</v>
      </c>
      <c r="K4725" s="1" t="inlineStr"/>
      <c r="L4725" s="13" t="n"/>
      <c r="M4725" s="1">
        <f>IF(L4725="","ไม่พบใน SG",IF(ABS(J4725-L4725)&lt;0.005,"ตรงกัน","ไม่ตรง"))</f>
        <v/>
      </c>
      <c r="N4725" s="14">
        <f>IF(L4725="","",ROUND(L4725*'สรุป'!$C$6,-1))</f>
        <v/>
      </c>
      <c r="O4725" s="15" t="n"/>
      <c r="P4725" s="15" t="n"/>
      <c r="Q4725" s="10" t="n"/>
      <c r="R4725" s="10" t="n"/>
      <c r="S4725" s="16" t="inlineStr">
        <is>
          <t>https://mstgolf.co.th/products/gf3500201727</t>
        </is>
      </c>
      <c r="T4725" s="1">
        <f>IF(B4725="ไม้กอล์ฟ",J4725,"")</f>
        <v/>
      </c>
    </row>
    <row r="4726">
      <c r="A4726" s="1" t="n">
        <v>3</v>
      </c>
      <c r="B4726" s="1" t="inlineStr">
        <is>
          <t>อุปกรณ์เสริม</t>
        </is>
      </c>
      <c r="C4726" s="1" t="inlineStr">
        <is>
          <t>gf3500201723</t>
        </is>
      </c>
      <c r="D4726" s="1" t="inlineStr">
        <is>
          <t>TAYLORMADE Patriotic Plaid Driver Headcover</t>
        </is>
      </c>
      <c r="E4726" s="1" t="inlineStr">
        <is>
          <t>TAYLORMADE</t>
        </is>
      </c>
      <c r="F4726" s="1" t="inlineStr">
        <is>
          <t>HEADCOVERS</t>
        </is>
      </c>
      <c r="G4726" s="1" t="inlineStr">
        <is>
          <t>GF3500201723</t>
        </is>
      </c>
      <c r="H4726" s="1" t="n">
        <v>1</v>
      </c>
      <c r="I4726" s="1" t="inlineStr">
        <is>
          <t>หมด</t>
        </is>
      </c>
      <c r="J4726" s="13" t="n">
        <v>109</v>
      </c>
      <c r="K4726" s="1" t="inlineStr"/>
      <c r="L4726" s="13" t="n"/>
      <c r="M4726" s="1">
        <f>IF(L4726="","ไม่พบใน SG",IF(ABS(J4726-L4726)&lt;0.005,"ตรงกัน","ไม่ตรง"))</f>
        <v/>
      </c>
      <c r="N4726" s="14">
        <f>IF(L4726="","",ROUND(L4726*'สรุป'!$C$6,-1))</f>
        <v/>
      </c>
      <c r="O4726" s="15" t="n"/>
      <c r="P4726" s="15" t="n"/>
      <c r="Q4726" s="10" t="n"/>
      <c r="R4726" s="10" t="n"/>
      <c r="S4726" s="16" t="inlineStr">
        <is>
          <t>https://mstgolf.co.th/products/gf3500201723</t>
        </is>
      </c>
      <c r="T4726" s="1">
        <f>IF(B4726="ไม้กอล์ฟ",J4726,"")</f>
        <v/>
      </c>
    </row>
    <row r="4727">
      <c r="A4727" s="1" t="n">
        <v>3</v>
      </c>
      <c r="B4727" s="1" t="inlineStr">
        <is>
          <t>อุปกรณ์เสริม</t>
        </is>
      </c>
      <c r="C4727" s="1" t="inlineStr">
        <is>
          <t>gf3500201726</t>
        </is>
      </c>
      <c r="D4727" s="1" t="inlineStr">
        <is>
          <t>TAYLORMADE Patriotic Plaid Rescue Headcover</t>
        </is>
      </c>
      <c r="E4727" s="1" t="inlineStr">
        <is>
          <t>TAYLORMADE</t>
        </is>
      </c>
      <c r="F4727" s="1" t="inlineStr">
        <is>
          <t>HEADCOVERS</t>
        </is>
      </c>
      <c r="G4727" s="1" t="inlineStr">
        <is>
          <t>GF3500201726</t>
        </is>
      </c>
      <c r="H4727" s="1" t="n">
        <v>1</v>
      </c>
      <c r="I4727" s="1" t="inlineStr">
        <is>
          <t>หมด</t>
        </is>
      </c>
      <c r="J4727" s="13" t="n">
        <v>109</v>
      </c>
      <c r="K4727" s="1" t="inlineStr"/>
      <c r="L4727" s="13" t="n"/>
      <c r="M4727" s="1">
        <f>IF(L4727="","ไม่พบใน SG",IF(ABS(J4727-L4727)&lt;0.005,"ตรงกัน","ไม่ตรง"))</f>
        <v/>
      </c>
      <c r="N4727" s="14">
        <f>IF(L4727="","",ROUND(L4727*'สรุป'!$C$6,-1))</f>
        <v/>
      </c>
      <c r="O4727" s="15" t="n"/>
      <c r="P4727" s="15" t="n"/>
      <c r="Q4727" s="10" t="n"/>
      <c r="R4727" s="10" t="n"/>
      <c r="S4727" s="16" t="inlineStr">
        <is>
          <t>https://mstgolf.co.th/products/gf3500201726</t>
        </is>
      </c>
      <c r="T4727" s="1">
        <f>IF(B4727="ไม้กอล์ฟ",J4727,"")</f>
        <v/>
      </c>
    </row>
    <row r="4728">
      <c r="A4728" s="1" t="n">
        <v>3</v>
      </c>
      <c r="B4728" s="1" t="inlineStr">
        <is>
          <t>อุปกรณ์เสริม</t>
        </is>
      </c>
      <c r="C4728" s="1" t="inlineStr">
        <is>
          <t>gf3500201728</t>
        </is>
      </c>
      <c r="D4728" s="1" t="inlineStr">
        <is>
          <t>TAYLORMADE Patriotic Plaid Spider Putter Headcover</t>
        </is>
      </c>
      <c r="E4728" s="1" t="inlineStr">
        <is>
          <t>TAYLORMADE</t>
        </is>
      </c>
      <c r="F4728" s="1" t="inlineStr">
        <is>
          <t>HEADCOVERS</t>
        </is>
      </c>
      <c r="G4728" s="1" t="inlineStr">
        <is>
          <t>GF3500201728</t>
        </is>
      </c>
      <c r="H4728" s="1" t="n">
        <v>1</v>
      </c>
      <c r="I4728" s="1" t="inlineStr">
        <is>
          <t>หมด</t>
        </is>
      </c>
      <c r="J4728" s="13" t="n">
        <v>109</v>
      </c>
      <c r="K4728" s="1" t="inlineStr"/>
      <c r="L4728" s="13" t="n"/>
      <c r="M4728" s="1">
        <f>IF(L4728="","ไม่พบใน SG",IF(ABS(J4728-L4728)&lt;0.005,"ตรงกัน","ไม่ตรง"))</f>
        <v/>
      </c>
      <c r="N4728" s="14">
        <f>IF(L4728="","",ROUND(L4728*'สรุป'!$C$6,-1))</f>
        <v/>
      </c>
      <c r="O4728" s="15" t="n"/>
      <c r="P4728" s="15" t="n"/>
      <c r="Q4728" s="10" t="n"/>
      <c r="R4728" s="10" t="n"/>
      <c r="S4728" s="16" t="inlineStr">
        <is>
          <t>https://mstgolf.co.th/products/gf3500201728</t>
        </is>
      </c>
      <c r="T4728" s="1">
        <f>IF(B4728="ไม้กอล์ฟ",J4728,"")</f>
        <v/>
      </c>
    </row>
    <row r="4729">
      <c r="A4729" s="1" t="n">
        <v>3</v>
      </c>
      <c r="B4729" s="1" t="inlineStr">
        <is>
          <t>อุปกรณ์เสริม</t>
        </is>
      </c>
      <c r="C4729" s="1" t="inlineStr">
        <is>
          <t>gf3500201707</t>
        </is>
      </c>
      <c r="D4729" s="1" t="inlineStr">
        <is>
          <t>TAYLORMADE Queen City 3-Fairway Headcover</t>
        </is>
      </c>
      <c r="E4729" s="1" t="inlineStr">
        <is>
          <t>TAYLORMADE</t>
        </is>
      </c>
      <c r="F4729" s="1" t="inlineStr">
        <is>
          <t>HEADCOVERS</t>
        </is>
      </c>
      <c r="G4729" s="1" t="inlineStr">
        <is>
          <t>GF3500201707</t>
        </is>
      </c>
      <c r="H4729" s="1" t="n">
        <v>1</v>
      </c>
      <c r="I4729" s="1" t="inlineStr">
        <is>
          <t>หมด</t>
        </is>
      </c>
      <c r="J4729" s="13" t="n">
        <v>109</v>
      </c>
      <c r="K4729" s="1" t="inlineStr"/>
      <c r="L4729" s="13" t="n"/>
      <c r="M4729" s="1">
        <f>IF(L4729="","ไม่พบใน SG",IF(ABS(J4729-L4729)&lt;0.005,"ตรงกัน","ไม่ตรง"))</f>
        <v/>
      </c>
      <c r="N4729" s="14">
        <f>IF(L4729="","",ROUND(L4729*'สรุป'!$C$6,-1))</f>
        <v/>
      </c>
      <c r="O4729" s="15" t="n"/>
      <c r="P4729" s="15" t="n"/>
      <c r="Q4729" s="10" t="n"/>
      <c r="R4729" s="10" t="n"/>
      <c r="S4729" s="16" t="inlineStr">
        <is>
          <t>https://mstgolf.co.th/products/gf3500201707</t>
        </is>
      </c>
      <c r="T4729" s="1">
        <f>IF(B4729="ไม้กอล์ฟ",J4729,"")</f>
        <v/>
      </c>
    </row>
    <row r="4730">
      <c r="A4730" s="1" t="n">
        <v>3</v>
      </c>
      <c r="B4730" s="1" t="inlineStr">
        <is>
          <t>อุปกรณ์เสริม</t>
        </is>
      </c>
      <c r="C4730" s="1" t="inlineStr">
        <is>
          <t>gf3500201710</t>
        </is>
      </c>
      <c r="D4730" s="1" t="inlineStr">
        <is>
          <t>TAYLORMADE Queen City Blade Putter Headcover</t>
        </is>
      </c>
      <c r="E4730" s="1" t="inlineStr">
        <is>
          <t>TAYLORMADE</t>
        </is>
      </c>
      <c r="F4730" s="1" t="inlineStr">
        <is>
          <t>HEADCOVERS</t>
        </is>
      </c>
      <c r="G4730" s="1" t="inlineStr">
        <is>
          <t>GF3500201710</t>
        </is>
      </c>
      <c r="H4730" s="1" t="n">
        <v>1</v>
      </c>
      <c r="I4730" s="1" t="inlineStr">
        <is>
          <t>หมด</t>
        </is>
      </c>
      <c r="J4730" s="13" t="n">
        <v>109</v>
      </c>
      <c r="K4730" s="1" t="inlineStr"/>
      <c r="L4730" s="13" t="n"/>
      <c r="M4730" s="1">
        <f>IF(L4730="","ไม่พบใน SG",IF(ABS(J4730-L4730)&lt;0.005,"ตรงกัน","ไม่ตรง"))</f>
        <v/>
      </c>
      <c r="N4730" s="14">
        <f>IF(L4730="","",ROUND(L4730*'สรุป'!$C$6,-1))</f>
        <v/>
      </c>
      <c r="O4730" s="15" t="n"/>
      <c r="P4730" s="15" t="n"/>
      <c r="Q4730" s="10" t="n"/>
      <c r="R4730" s="10" t="n"/>
      <c r="S4730" s="16" t="inlineStr">
        <is>
          <t>https://mstgolf.co.th/products/gf3500201710</t>
        </is>
      </c>
      <c r="T4730" s="1">
        <f>IF(B4730="ไม้กอล์ฟ",J4730,"")</f>
        <v/>
      </c>
    </row>
    <row r="4731">
      <c r="A4731" s="1" t="n">
        <v>3</v>
      </c>
      <c r="B4731" s="1" t="inlineStr">
        <is>
          <t>อุปกรณ์เสริม</t>
        </is>
      </c>
      <c r="C4731" s="1" t="inlineStr">
        <is>
          <t>gf3500201706</t>
        </is>
      </c>
      <c r="D4731" s="1" t="inlineStr">
        <is>
          <t>TAYLORMADE Queen City Driver Headcover</t>
        </is>
      </c>
      <c r="E4731" s="1" t="inlineStr">
        <is>
          <t>TAYLORMADE</t>
        </is>
      </c>
      <c r="F4731" s="1" t="inlineStr">
        <is>
          <t>HEADCOVERS</t>
        </is>
      </c>
      <c r="G4731" s="1" t="inlineStr">
        <is>
          <t>GF3500201706</t>
        </is>
      </c>
      <c r="H4731" s="1" t="n">
        <v>1</v>
      </c>
      <c r="I4731" s="1" t="inlineStr">
        <is>
          <t>หมด</t>
        </is>
      </c>
      <c r="J4731" s="13" t="n">
        <v>109</v>
      </c>
      <c r="K4731" s="1" t="inlineStr"/>
      <c r="L4731" s="13" t="n"/>
      <c r="M4731" s="1">
        <f>IF(L4731="","ไม่พบใน SG",IF(ABS(J4731-L4731)&lt;0.005,"ตรงกัน","ไม่ตรง"))</f>
        <v/>
      </c>
      <c r="N4731" s="14">
        <f>IF(L4731="","",ROUND(L4731*'สรุป'!$C$6,-1))</f>
        <v/>
      </c>
      <c r="O4731" s="15" t="n"/>
      <c r="P4731" s="15" t="n"/>
      <c r="Q4731" s="10" t="n"/>
      <c r="R4731" s="10" t="n"/>
      <c r="S4731" s="16" t="inlineStr">
        <is>
          <t>https://mstgolf.co.th/products/gf3500201706</t>
        </is>
      </c>
      <c r="T4731" s="1">
        <f>IF(B4731="ไม้กอล์ฟ",J4731,"")</f>
        <v/>
      </c>
    </row>
    <row r="4732">
      <c r="A4732" s="1" t="n">
        <v>3</v>
      </c>
      <c r="B4732" s="1" t="inlineStr">
        <is>
          <t>อุปกรณ์เสริม</t>
        </is>
      </c>
      <c r="C4732" s="1" t="inlineStr">
        <is>
          <t>gf3500201709</t>
        </is>
      </c>
      <c r="D4732" s="1" t="inlineStr">
        <is>
          <t>TAYLORMADE Queen City Rescue Headcover</t>
        </is>
      </c>
      <c r="E4732" s="1" t="inlineStr">
        <is>
          <t>TAYLORMADE</t>
        </is>
      </c>
      <c r="F4732" s="1" t="inlineStr">
        <is>
          <t>HEADCOVERS</t>
        </is>
      </c>
      <c r="G4732" s="1" t="inlineStr">
        <is>
          <t>GF3500201709</t>
        </is>
      </c>
      <c r="H4732" s="1" t="n">
        <v>1</v>
      </c>
      <c r="I4732" s="1" t="inlineStr">
        <is>
          <t>หมด</t>
        </is>
      </c>
      <c r="J4732" s="13" t="n">
        <v>109</v>
      </c>
      <c r="K4732" s="1" t="inlineStr"/>
      <c r="L4732" s="13" t="n"/>
      <c r="M4732" s="1">
        <f>IF(L4732="","ไม่พบใน SG",IF(ABS(J4732-L4732)&lt;0.005,"ตรงกัน","ไม่ตรง"))</f>
        <v/>
      </c>
      <c r="N4732" s="14">
        <f>IF(L4732="","",ROUND(L4732*'สรุป'!$C$6,-1))</f>
        <v/>
      </c>
      <c r="O4732" s="15" t="n"/>
      <c r="P4732" s="15" t="n"/>
      <c r="Q4732" s="10" t="n"/>
      <c r="R4732" s="10" t="n"/>
      <c r="S4732" s="16" t="inlineStr">
        <is>
          <t>https://mstgolf.co.th/products/gf3500201709</t>
        </is>
      </c>
      <c r="T4732" s="1">
        <f>IF(B4732="ไม้กอล์ฟ",J4732,"")</f>
        <v/>
      </c>
    </row>
    <row r="4733">
      <c r="A4733" s="1" t="n">
        <v>3</v>
      </c>
      <c r="B4733" s="1" t="inlineStr">
        <is>
          <t>อุปกรณ์เสริม</t>
        </is>
      </c>
      <c r="C4733" s="1" t="inlineStr">
        <is>
          <t>gf3500201711</t>
        </is>
      </c>
      <c r="D4733" s="1" t="inlineStr">
        <is>
          <t>TAYLORMADE Queen City Spider Putter Headcover</t>
        </is>
      </c>
      <c r="E4733" s="1" t="inlineStr">
        <is>
          <t>TAYLORMADE</t>
        </is>
      </c>
      <c r="F4733" s="1" t="inlineStr">
        <is>
          <t>HEADCOVERS</t>
        </is>
      </c>
      <c r="G4733" s="1" t="inlineStr">
        <is>
          <t>GF3500201711</t>
        </is>
      </c>
      <c r="H4733" s="1" t="n">
        <v>1</v>
      </c>
      <c r="I4733" s="1" t="inlineStr">
        <is>
          <t>หมด</t>
        </is>
      </c>
      <c r="J4733" s="13" t="n">
        <v>109</v>
      </c>
      <c r="K4733" s="1" t="inlineStr"/>
      <c r="L4733" s="13" t="n"/>
      <c r="M4733" s="1">
        <f>IF(L4733="","ไม่พบใน SG",IF(ABS(J4733-L4733)&lt;0.005,"ตรงกัน","ไม่ตรง"))</f>
        <v/>
      </c>
      <c r="N4733" s="14">
        <f>IF(L4733="","",ROUND(L4733*'สรุป'!$C$6,-1))</f>
        <v/>
      </c>
      <c r="O4733" s="15" t="n"/>
      <c r="P4733" s="15" t="n"/>
      <c r="Q4733" s="10" t="n"/>
      <c r="R4733" s="10" t="n"/>
      <c r="S4733" s="16" t="inlineStr">
        <is>
          <t>https://mstgolf.co.th/products/gf3500201711</t>
        </is>
      </c>
      <c r="T4733" s="1">
        <f>IF(B4733="ไม้กอล์ฟ",J4733,"")</f>
        <v/>
      </c>
    </row>
    <row r="4734">
      <c r="A4734" s="1" t="n">
        <v>3</v>
      </c>
      <c r="B4734" s="1" t="inlineStr">
        <is>
          <t>อุปกรณ์เสริม</t>
        </is>
      </c>
      <c r="C4734" s="1" t="inlineStr">
        <is>
          <t>gf3500201699</t>
        </is>
      </c>
      <c r="D4734" s="1" t="inlineStr">
        <is>
          <t>TAYLORMADE Season Opener (2025) Spider Putter Headcover</t>
        </is>
      </c>
      <c r="E4734" s="1" t="inlineStr">
        <is>
          <t>TAYLORMADE</t>
        </is>
      </c>
      <c r="F4734" s="1" t="inlineStr">
        <is>
          <t>HEADCOVERS</t>
        </is>
      </c>
      <c r="G4734" s="1" t="inlineStr">
        <is>
          <t>GF3500201699</t>
        </is>
      </c>
      <c r="H4734" s="1" t="n">
        <v>1</v>
      </c>
      <c r="I4734" s="1" t="inlineStr">
        <is>
          <t>หมด</t>
        </is>
      </c>
      <c r="J4734" s="13" t="n">
        <v>109</v>
      </c>
      <c r="K4734" s="1" t="inlineStr"/>
      <c r="L4734" s="13" t="n">
        <v>109</v>
      </c>
      <c r="M4734" s="1">
        <f>IF(L4734="","ไม่พบใน SG",IF(ABS(J4734-L4734)&lt;0.005,"ตรงกัน","ไม่ตรง"))</f>
        <v/>
      </c>
      <c r="N4734" s="14">
        <f>IF(L4734="","",ROUND(L4734*'สรุป'!$C$6,-1))</f>
        <v/>
      </c>
      <c r="O4734" s="15" t="n"/>
      <c r="P4734" s="15" t="n"/>
      <c r="Q4734" s="10" t="n"/>
      <c r="R4734" s="10" t="n"/>
      <c r="S4734" s="16" t="inlineStr">
        <is>
          <t>https://mstgolf.co.th/products/gf3500201699</t>
        </is>
      </c>
      <c r="T4734" s="1">
        <f>IF(B4734="ไม้กอล์ฟ",J4734,"")</f>
        <v/>
      </c>
    </row>
    <row r="4735">
      <c r="A4735" s="1" t="n">
        <v>3</v>
      </c>
      <c r="B4735" s="1" t="inlineStr">
        <is>
          <t>อุปกรณ์เสริม</t>
        </is>
      </c>
      <c r="C4735" s="1" t="inlineStr">
        <is>
          <t>gf3500201730</t>
        </is>
      </c>
      <c r="D4735" s="1" t="inlineStr">
        <is>
          <t>TAYLORMADE Steam Line Fairway Headcover</t>
        </is>
      </c>
      <c r="E4735" s="1" t="inlineStr">
        <is>
          <t>TAYLORMADE</t>
        </is>
      </c>
      <c r="F4735" s="1" t="inlineStr">
        <is>
          <t>HEADCOVERS</t>
        </is>
      </c>
      <c r="G4735" s="1" t="inlineStr">
        <is>
          <t>GF3500201730</t>
        </is>
      </c>
      <c r="H4735" s="1" t="n">
        <v>1</v>
      </c>
      <c r="I4735" s="1" t="inlineStr">
        <is>
          <t>หมด</t>
        </is>
      </c>
      <c r="J4735" s="13" t="n">
        <v>109</v>
      </c>
      <c r="K4735" s="1" t="inlineStr"/>
      <c r="L4735" s="13" t="n"/>
      <c r="M4735" s="1">
        <f>IF(L4735="","ไม่พบใน SG",IF(ABS(J4735-L4735)&lt;0.005,"ตรงกัน","ไม่ตรง"))</f>
        <v/>
      </c>
      <c r="N4735" s="14">
        <f>IF(L4735="","",ROUND(L4735*'สรุป'!$C$6,-1))</f>
        <v/>
      </c>
      <c r="O4735" s="15" t="n"/>
      <c r="P4735" s="15" t="n"/>
      <c r="Q4735" s="10" t="n"/>
      <c r="R4735" s="10" t="n"/>
      <c r="S4735" s="16" t="inlineStr">
        <is>
          <t>https://mstgolf.co.th/products/gf3500201730</t>
        </is>
      </c>
      <c r="T4735" s="1">
        <f>IF(B4735="ไม้กอล์ฟ",J4735,"")</f>
        <v/>
      </c>
    </row>
    <row r="4736">
      <c r="A4736" s="1" t="n">
        <v>3</v>
      </c>
      <c r="B4736" s="1" t="inlineStr">
        <is>
          <t>อุปกรณ์เสริม</t>
        </is>
      </c>
      <c r="C4736" s="1" t="inlineStr">
        <is>
          <t>gf3500201732</t>
        </is>
      </c>
      <c r="D4736" s="1" t="inlineStr">
        <is>
          <t>TAYLORMADE Steam Line Rescue Headcover</t>
        </is>
      </c>
      <c r="E4736" s="1" t="inlineStr">
        <is>
          <t>TAYLORMADE</t>
        </is>
      </c>
      <c r="F4736" s="1" t="inlineStr">
        <is>
          <t>HEADCOVERS</t>
        </is>
      </c>
      <c r="G4736" s="1" t="inlineStr">
        <is>
          <t>GF3500201732</t>
        </is>
      </c>
      <c r="H4736" s="1" t="n">
        <v>1</v>
      </c>
      <c r="I4736" s="1" t="inlineStr">
        <is>
          <t>หมด</t>
        </is>
      </c>
      <c r="J4736" s="13" t="n">
        <v>109</v>
      </c>
      <c r="K4736" s="1" t="inlineStr"/>
      <c r="L4736" s="13" t="n"/>
      <c r="M4736" s="1">
        <f>IF(L4736="","ไม่พบใน SG",IF(ABS(J4736-L4736)&lt;0.005,"ตรงกัน","ไม่ตรง"))</f>
        <v/>
      </c>
      <c r="N4736" s="14">
        <f>IF(L4736="","",ROUND(L4736*'สรุป'!$C$6,-1))</f>
        <v/>
      </c>
      <c r="O4736" s="15" t="n"/>
      <c r="P4736" s="15" t="n"/>
      <c r="Q4736" s="10" t="n"/>
      <c r="R4736" s="10" t="n"/>
      <c r="S4736" s="16" t="inlineStr">
        <is>
          <t>https://mstgolf.co.th/products/gf3500201732</t>
        </is>
      </c>
      <c r="T4736" s="1">
        <f>IF(B4736="ไม้กอล์ฟ",J4736,"")</f>
        <v/>
      </c>
    </row>
    <row r="4737">
      <c r="A4737" s="1" t="n">
        <v>3</v>
      </c>
      <c r="B4737" s="1" t="inlineStr">
        <is>
          <t>อุปกรณ์เสริม</t>
        </is>
      </c>
      <c r="C4737" s="1" t="inlineStr">
        <is>
          <t>gf3500201713</t>
        </is>
      </c>
      <c r="D4737" s="1" t="inlineStr">
        <is>
          <t>TAYLORMADE Stockyard Women's 3-Fairway Headcover</t>
        </is>
      </c>
      <c r="E4737" s="1" t="inlineStr">
        <is>
          <t>TAYLORMADE</t>
        </is>
      </c>
      <c r="F4737" s="1" t="inlineStr">
        <is>
          <t>HEADCOVERS</t>
        </is>
      </c>
      <c r="G4737" s="1" t="inlineStr">
        <is>
          <t>GF3500201713</t>
        </is>
      </c>
      <c r="H4737" s="1" t="n">
        <v>1</v>
      </c>
      <c r="I4737" s="1" t="inlineStr">
        <is>
          <t>หมด</t>
        </is>
      </c>
      <c r="J4737" s="13" t="n">
        <v>109</v>
      </c>
      <c r="K4737" s="1" t="inlineStr"/>
      <c r="L4737" s="13" t="n"/>
      <c r="M4737" s="1">
        <f>IF(L4737="","ไม่พบใน SG",IF(ABS(J4737-L4737)&lt;0.005,"ตรงกัน","ไม่ตรง"))</f>
        <v/>
      </c>
      <c r="N4737" s="14">
        <f>IF(L4737="","",ROUND(L4737*'สรุป'!$C$6,-1))</f>
        <v/>
      </c>
      <c r="O4737" s="15" t="n"/>
      <c r="P4737" s="15" t="n"/>
      <c r="Q4737" s="10" t="n"/>
      <c r="R4737" s="10" t="n"/>
      <c r="S4737" s="16" t="inlineStr">
        <is>
          <t>https://mstgolf.co.th/products/gf3500201713</t>
        </is>
      </c>
      <c r="T4737" s="1">
        <f>IF(B4737="ไม้กอล์ฟ",J4737,"")</f>
        <v/>
      </c>
    </row>
    <row r="4738">
      <c r="A4738" s="1" t="n">
        <v>3</v>
      </c>
      <c r="B4738" s="1" t="inlineStr">
        <is>
          <t>อุปกรณ์เสริม</t>
        </is>
      </c>
      <c r="C4738" s="1" t="inlineStr">
        <is>
          <t>gf3500201714</t>
        </is>
      </c>
      <c r="D4738" s="1" t="inlineStr">
        <is>
          <t>TAYLORMADE Stockyard Women's 5-Fairway Headcover</t>
        </is>
      </c>
      <c r="E4738" s="1" t="inlineStr">
        <is>
          <t>TAYLORMADE</t>
        </is>
      </c>
      <c r="F4738" s="1" t="inlineStr">
        <is>
          <t>HEADCOVERS</t>
        </is>
      </c>
      <c r="G4738" s="1" t="inlineStr">
        <is>
          <t>GF3500201714</t>
        </is>
      </c>
      <c r="H4738" s="1" t="n">
        <v>1</v>
      </c>
      <c r="I4738" s="1" t="inlineStr">
        <is>
          <t>หมด</t>
        </is>
      </c>
      <c r="J4738" s="13" t="n">
        <v>109</v>
      </c>
      <c r="K4738" s="1" t="inlineStr"/>
      <c r="L4738" s="13" t="n"/>
      <c r="M4738" s="1">
        <f>IF(L4738="","ไม่พบใน SG",IF(ABS(J4738-L4738)&lt;0.005,"ตรงกัน","ไม่ตรง"))</f>
        <v/>
      </c>
      <c r="N4738" s="14">
        <f>IF(L4738="","",ROUND(L4738*'สรุป'!$C$6,-1))</f>
        <v/>
      </c>
      <c r="O4738" s="15" t="n"/>
      <c r="P4738" s="15" t="n"/>
      <c r="Q4738" s="10" t="n"/>
      <c r="R4738" s="10" t="n"/>
      <c r="S4738" s="16" t="inlineStr">
        <is>
          <t>https://mstgolf.co.th/products/gf3500201714</t>
        </is>
      </c>
      <c r="T4738" s="1">
        <f>IF(B4738="ไม้กอล์ฟ",J4738,"")</f>
        <v/>
      </c>
    </row>
    <row r="4739">
      <c r="A4739" s="1" t="n">
        <v>3</v>
      </c>
      <c r="B4739" s="1" t="inlineStr">
        <is>
          <t>อุปกรณ์เสริม</t>
        </is>
      </c>
      <c r="C4739" s="1" t="inlineStr">
        <is>
          <t>gf3500201716</t>
        </is>
      </c>
      <c r="D4739" s="1" t="inlineStr">
        <is>
          <t>TAYLORMADE Stockyard Women's Blade Putter Headcover</t>
        </is>
      </c>
      <c r="E4739" s="1" t="inlineStr">
        <is>
          <t>TAYLORMADE</t>
        </is>
      </c>
      <c r="F4739" s="1" t="inlineStr">
        <is>
          <t>HEADCOVERS</t>
        </is>
      </c>
      <c r="G4739" s="1" t="inlineStr">
        <is>
          <t>GF3500201716</t>
        </is>
      </c>
      <c r="H4739" s="1" t="n">
        <v>1</v>
      </c>
      <c r="I4739" s="1" t="inlineStr">
        <is>
          <t>หมด</t>
        </is>
      </c>
      <c r="J4739" s="13" t="n">
        <v>109</v>
      </c>
      <c r="K4739" s="1" t="inlineStr"/>
      <c r="L4739" s="13" t="n"/>
      <c r="M4739" s="1">
        <f>IF(L4739="","ไม่พบใน SG",IF(ABS(J4739-L4739)&lt;0.005,"ตรงกัน","ไม่ตรง"))</f>
        <v/>
      </c>
      <c r="N4739" s="14">
        <f>IF(L4739="","",ROUND(L4739*'สรุป'!$C$6,-1))</f>
        <v/>
      </c>
      <c r="O4739" s="15" t="n"/>
      <c r="P4739" s="15" t="n"/>
      <c r="Q4739" s="10" t="n"/>
      <c r="R4739" s="10" t="n"/>
      <c r="S4739" s="16" t="inlineStr">
        <is>
          <t>https://mstgolf.co.th/products/gf3500201716</t>
        </is>
      </c>
      <c r="T4739" s="1">
        <f>IF(B4739="ไม้กอล์ฟ",J4739,"")</f>
        <v/>
      </c>
    </row>
    <row r="4740">
      <c r="A4740" s="1" t="n">
        <v>3</v>
      </c>
      <c r="B4740" s="1" t="inlineStr">
        <is>
          <t>อุปกรณ์เสริม</t>
        </is>
      </c>
      <c r="C4740" s="1" t="inlineStr">
        <is>
          <t>gf3500201712</t>
        </is>
      </c>
      <c r="D4740" s="1" t="inlineStr">
        <is>
          <t>TAYLORMADE Stockyard Women's Driver Headcover</t>
        </is>
      </c>
      <c r="E4740" s="1" t="inlineStr">
        <is>
          <t>TAYLORMADE</t>
        </is>
      </c>
      <c r="F4740" s="1" t="inlineStr">
        <is>
          <t>HEADCOVERS</t>
        </is>
      </c>
      <c r="G4740" s="1" t="inlineStr">
        <is>
          <t>GF3500201712</t>
        </is>
      </c>
      <c r="H4740" s="1" t="n">
        <v>1</v>
      </c>
      <c r="I4740" s="1" t="inlineStr">
        <is>
          <t>หมด</t>
        </is>
      </c>
      <c r="J4740" s="13" t="n">
        <v>109</v>
      </c>
      <c r="K4740" s="1" t="inlineStr"/>
      <c r="L4740" s="13" t="n"/>
      <c r="M4740" s="1">
        <f>IF(L4740="","ไม่พบใน SG",IF(ABS(J4740-L4740)&lt;0.005,"ตรงกัน","ไม่ตรง"))</f>
        <v/>
      </c>
      <c r="N4740" s="14">
        <f>IF(L4740="","",ROUND(L4740*'สรุป'!$C$6,-1))</f>
        <v/>
      </c>
      <c r="O4740" s="15" t="n"/>
      <c r="P4740" s="15" t="n"/>
      <c r="Q4740" s="10" t="n"/>
      <c r="R4740" s="10" t="n"/>
      <c r="S4740" s="16" t="inlineStr">
        <is>
          <t>https://mstgolf.co.th/products/gf3500201712</t>
        </is>
      </c>
      <c r="T4740" s="1">
        <f>IF(B4740="ไม้กอล์ฟ",J4740,"")</f>
        <v/>
      </c>
    </row>
    <row r="4741">
      <c r="A4741" s="1" t="n">
        <v>3</v>
      </c>
      <c r="B4741" s="1" t="inlineStr">
        <is>
          <t>อุปกรณ์เสริม</t>
        </is>
      </c>
      <c r="C4741" s="1" t="inlineStr">
        <is>
          <t>gf3500201715</t>
        </is>
      </c>
      <c r="D4741" s="1" t="inlineStr">
        <is>
          <t>TAYLORMADE Stockyard Women's Rescue Headcover</t>
        </is>
      </c>
      <c r="E4741" s="1" t="inlineStr">
        <is>
          <t>TAYLORMADE</t>
        </is>
      </c>
      <c r="F4741" s="1" t="inlineStr">
        <is>
          <t>HEADCOVERS</t>
        </is>
      </c>
      <c r="G4741" s="1" t="inlineStr">
        <is>
          <t>GF3500201715</t>
        </is>
      </c>
      <c r="H4741" s="1" t="n">
        <v>1</v>
      </c>
      <c r="I4741" s="1" t="inlineStr">
        <is>
          <t>หมด</t>
        </is>
      </c>
      <c r="J4741" s="13" t="n">
        <v>109</v>
      </c>
      <c r="K4741" s="1" t="inlineStr"/>
      <c r="L4741" s="13" t="n"/>
      <c r="M4741" s="1">
        <f>IF(L4741="","ไม่พบใน SG",IF(ABS(J4741-L4741)&lt;0.005,"ตรงกัน","ไม่ตรง"))</f>
        <v/>
      </c>
      <c r="N4741" s="14">
        <f>IF(L4741="","",ROUND(L4741*'สรุป'!$C$6,-1))</f>
        <v/>
      </c>
      <c r="O4741" s="15" t="n"/>
      <c r="P4741" s="15" t="n"/>
      <c r="Q4741" s="10" t="n"/>
      <c r="R4741" s="10" t="n"/>
      <c r="S4741" s="16" t="inlineStr">
        <is>
          <t>https://mstgolf.co.th/products/gf3500201715</t>
        </is>
      </c>
      <c r="T4741" s="1">
        <f>IF(B4741="ไม้กอล์ฟ",J4741,"")</f>
        <v/>
      </c>
    </row>
    <row r="4742">
      <c r="A4742" s="1" t="n">
        <v>3</v>
      </c>
      <c r="B4742" s="1" t="inlineStr">
        <is>
          <t>อุปกรณ์เสริม</t>
        </is>
      </c>
      <c r="C4742" s="1" t="inlineStr">
        <is>
          <t>gf3500201717</t>
        </is>
      </c>
      <c r="D4742" s="1" t="inlineStr">
        <is>
          <t>TAYLORMADE Stockyard Women's Spider Putter Headcover</t>
        </is>
      </c>
      <c r="E4742" s="1" t="inlineStr">
        <is>
          <t>TAYLORMADE</t>
        </is>
      </c>
      <c r="F4742" s="1" t="inlineStr">
        <is>
          <t>HEADCOVERS</t>
        </is>
      </c>
      <c r="G4742" s="1" t="inlineStr">
        <is>
          <t>GF3500201717</t>
        </is>
      </c>
      <c r="H4742" s="1" t="n">
        <v>1</v>
      </c>
      <c r="I4742" s="1" t="inlineStr">
        <is>
          <t>หมด</t>
        </is>
      </c>
      <c r="J4742" s="13" t="n">
        <v>109</v>
      </c>
      <c r="K4742" s="1" t="inlineStr"/>
      <c r="L4742" s="13" t="n"/>
      <c r="M4742" s="1">
        <f>IF(L4742="","ไม่พบใน SG",IF(ABS(J4742-L4742)&lt;0.005,"ตรงกัน","ไม่ตรง"))</f>
        <v/>
      </c>
      <c r="N4742" s="14">
        <f>IF(L4742="","",ROUND(L4742*'สรุป'!$C$6,-1))</f>
        <v/>
      </c>
      <c r="O4742" s="15" t="n"/>
      <c r="P4742" s="15" t="n"/>
      <c r="Q4742" s="10" t="n"/>
      <c r="R4742" s="10" t="n"/>
      <c r="S4742" s="16" t="inlineStr">
        <is>
          <t>https://mstgolf.co.th/products/gf3500201717</t>
        </is>
      </c>
      <c r="T4742" s="1">
        <f>IF(B4742="ไม้กอล์ฟ",J4742,"")</f>
        <v/>
      </c>
    </row>
    <row r="4743">
      <c r="A4743" s="1" t="n">
        <v>3</v>
      </c>
      <c r="B4743" s="1" t="inlineStr">
        <is>
          <t>เสื้อผ้า</t>
        </is>
      </c>
      <c r="C4743" s="1" t="inlineStr">
        <is>
          <t>gf2040119231</t>
        </is>
      </c>
      <c r="D4743" s="1" t="inlineStr">
        <is>
          <t>UNDER ARMOUR Curry Golf Shooting Men's T-Shirt (Grey)</t>
        </is>
      </c>
      <c r="E4743" s="1" t="inlineStr">
        <is>
          <t>UNDER ARMOUR</t>
        </is>
      </c>
      <c r="F4743" s="1" t="inlineStr">
        <is>
          <t>SHORT SLEEVES</t>
        </is>
      </c>
      <c r="G4743" s="1" t="inlineStr">
        <is>
          <t>GF2040119231S</t>
        </is>
      </c>
      <c r="H4743" s="1" t="n">
        <v>5</v>
      </c>
      <c r="I4743" s="1" t="inlineStr">
        <is>
          <t>หมด</t>
        </is>
      </c>
      <c r="J4743" s="13" t="n">
        <v>109</v>
      </c>
      <c r="K4743" s="1" t="inlineStr"/>
      <c r="L4743" s="13" t="n">
        <v>109</v>
      </c>
      <c r="M4743" s="1">
        <f>IF(L4743="","ไม่พบใน SG",IF(ABS(J4743-L4743)&lt;0.005,"ตรงกัน","ไม่ตรง"))</f>
        <v/>
      </c>
      <c r="N4743" s="14">
        <f>IF(L4743="","",ROUND(L4743*'สรุป'!$C$6,-1))</f>
        <v/>
      </c>
      <c r="O4743" s="15" t="n"/>
      <c r="P4743" s="15" t="n"/>
      <c r="Q4743" s="10" t="n"/>
      <c r="R4743" s="10" t="n"/>
      <c r="S4743" s="16" t="inlineStr">
        <is>
          <t>https://mstgolf.co.th/products/gf2040119231</t>
        </is>
      </c>
      <c r="T4743" s="1">
        <f>IF(B4743="ไม้กอล์ฟ",J4743,"")</f>
        <v/>
      </c>
    </row>
    <row r="4744">
      <c r="A4744" s="1" t="n">
        <v>3</v>
      </c>
      <c r="B4744" s="1" t="inlineStr">
        <is>
          <t>เสื้อผ้า</t>
        </is>
      </c>
      <c r="C4744" s="1" t="inlineStr">
        <is>
          <t>gf2040200143</t>
        </is>
      </c>
      <c r="D4744" s="1" t="inlineStr">
        <is>
          <t>WAAC Athletic Stretch Rib Women's Mock Shirt (White)</t>
        </is>
      </c>
      <c r="E4744" s="1" t="inlineStr">
        <is>
          <t>WAAC</t>
        </is>
      </c>
      <c r="F4744" s="1" t="inlineStr">
        <is>
          <t>TEE SHIRT</t>
        </is>
      </c>
      <c r="G4744" s="1" t="inlineStr">
        <is>
          <t>GF2040200143XS</t>
        </is>
      </c>
      <c r="H4744" s="1" t="n">
        <v>5</v>
      </c>
      <c r="I4744" s="1" t="inlineStr">
        <is>
          <t>หมด</t>
        </is>
      </c>
      <c r="J4744" s="13" t="n">
        <v>109</v>
      </c>
      <c r="K4744" s="1" t="inlineStr"/>
      <c r="L4744" s="13" t="n">
        <v>109</v>
      </c>
      <c r="M4744" s="1">
        <f>IF(L4744="","ไม่พบใน SG",IF(ABS(J4744-L4744)&lt;0.005,"ตรงกัน","ไม่ตรง"))</f>
        <v/>
      </c>
      <c r="N4744" s="14">
        <f>IF(L4744="","",ROUND(L4744*'สรุป'!$C$6,-1))</f>
        <v/>
      </c>
      <c r="O4744" s="15" t="n"/>
      <c r="P4744" s="15" t="n"/>
      <c r="Q4744" s="10" t="n"/>
      <c r="R4744" s="10" t="n"/>
      <c r="S4744" s="16" t="inlineStr">
        <is>
          <t>https://mstgolf.co.th/products/gf2040200143</t>
        </is>
      </c>
      <c r="T4744" s="1">
        <f>IF(B4744="ไม้กอล์ฟ",J4744,"")</f>
        <v/>
      </c>
    </row>
    <row r="4745">
      <c r="A4745" s="1" t="n">
        <v>3</v>
      </c>
      <c r="B4745" s="1" t="inlineStr">
        <is>
          <t>อุปกรณ์เสริม</t>
        </is>
      </c>
      <c r="C4745" s="1" t="inlineStr">
        <is>
          <t>gf3500200932</t>
        </is>
      </c>
      <c r="D4745" s="1" t="inlineStr">
        <is>
          <t>TITLEIST Jet Black Leather Fairway Headcover (Black/Black/Red)</t>
        </is>
      </c>
      <c r="E4745" s="1" t="inlineStr">
        <is>
          <t>TITLEIST</t>
        </is>
      </c>
      <c r="F4745" s="1" t="inlineStr">
        <is>
          <t>HEADCOVERS</t>
        </is>
      </c>
      <c r="G4745" s="1" t="inlineStr">
        <is>
          <t>GF3500200932</t>
        </is>
      </c>
      <c r="H4745" s="1" t="n">
        <v>1</v>
      </c>
      <c r="I4745" s="1" t="inlineStr">
        <is>
          <t>หมด</t>
        </is>
      </c>
      <c r="J4745" s="13" t="n">
        <v>108</v>
      </c>
      <c r="K4745" s="1" t="inlineStr"/>
      <c r="L4745" s="13" t="n">
        <v>108</v>
      </c>
      <c r="M4745" s="1">
        <f>IF(L4745="","ไม่พบใน SG",IF(ABS(J4745-L4745)&lt;0.005,"ตรงกัน","ไม่ตรง"))</f>
        <v/>
      </c>
      <c r="N4745" s="14">
        <f>IF(L4745="","",ROUND(L4745*'สรุป'!$C$6,-1))</f>
        <v/>
      </c>
      <c r="O4745" s="15" t="n"/>
      <c r="P4745" s="15" t="n"/>
      <c r="Q4745" s="10" t="n"/>
      <c r="R4745" s="10" t="n"/>
      <c r="S4745" s="16" t="inlineStr">
        <is>
          <t>https://mstgolf.co.th/products/gf3500200932</t>
        </is>
      </c>
      <c r="T4745" s="1">
        <f>IF(B4745="ไม้กอล์ฟ",J4745,"")</f>
        <v/>
      </c>
    </row>
    <row r="4746">
      <c r="A4746" s="1" t="n">
        <v>3</v>
      </c>
      <c r="B4746" s="1" t="inlineStr">
        <is>
          <t>เสื้อผ้า</t>
        </is>
      </c>
      <c r="C4746" s="1" t="inlineStr">
        <is>
          <t>gf2040114196</t>
        </is>
      </c>
      <c r="D4746" s="1" t="inlineStr">
        <is>
          <t>GFORE Logo 1/4 Zip Men's Shirt (Snow)</t>
        </is>
      </c>
      <c r="E4746" s="1" t="inlineStr">
        <is>
          <t>GFORE</t>
        </is>
      </c>
      <c r="F4746" s="1" t="inlineStr">
        <is>
          <t>SHORT SLEEVES</t>
        </is>
      </c>
      <c r="G4746" s="1" t="inlineStr">
        <is>
          <t>GF2040114196XS</t>
        </is>
      </c>
      <c r="H4746" s="1" t="n">
        <v>6</v>
      </c>
      <c r="I4746" s="1" t="inlineStr">
        <is>
          <t>หมด</t>
        </is>
      </c>
      <c r="J4746" s="13" t="n">
        <v>105</v>
      </c>
      <c r="K4746" s="1" t="inlineStr"/>
      <c r="L4746" s="13" t="n"/>
      <c r="M4746" s="1">
        <f>IF(L4746="","ไม่พบใน SG",IF(ABS(J4746-L4746)&lt;0.005,"ตรงกัน","ไม่ตรง"))</f>
        <v/>
      </c>
      <c r="N4746" s="14">
        <f>IF(L4746="","",ROUND(L4746*'สรุป'!$C$6,-1))</f>
        <v/>
      </c>
      <c r="O4746" s="15" t="n"/>
      <c r="P4746" s="15" t="n"/>
      <c r="Q4746" s="10" t="n"/>
      <c r="R4746" s="10" t="n"/>
      <c r="S4746" s="16" t="inlineStr">
        <is>
          <t>https://mstgolf.co.th/products/gf2040114196</t>
        </is>
      </c>
      <c r="T4746" s="1">
        <f>IF(B4746="ไม้กอล์ฟ",J4746,"")</f>
        <v/>
      </c>
    </row>
    <row r="4747">
      <c r="A4747" s="1" t="n">
        <v>3</v>
      </c>
      <c r="B4747" s="1" t="inlineStr">
        <is>
          <t>เสื้อผ้า</t>
        </is>
      </c>
      <c r="C4747" s="1" t="inlineStr">
        <is>
          <t>gf2040120577</t>
        </is>
      </c>
      <c r="D4747" s="1" t="inlineStr">
        <is>
          <t>NIKE Tour Dri-FIT Men's Polo (Blue)</t>
        </is>
      </c>
      <c r="E4747" s="1" t="inlineStr">
        <is>
          <t>NIKE</t>
        </is>
      </c>
      <c r="F4747" s="1" t="inlineStr">
        <is>
          <t>SHORT SLEEVES</t>
        </is>
      </c>
      <c r="G4747" s="1" t="inlineStr">
        <is>
          <t>GF2040120577S</t>
        </is>
      </c>
      <c r="H4747" s="1" t="n">
        <v>5</v>
      </c>
      <c r="I4747" s="1" t="inlineStr">
        <is>
          <t>หมด</t>
        </is>
      </c>
      <c r="J4747" s="13" t="n">
        <v>105</v>
      </c>
      <c r="K4747" s="1" t="inlineStr"/>
      <c r="L4747" s="13" t="n">
        <v>105</v>
      </c>
      <c r="M4747" s="1">
        <f>IF(L4747="","ไม่พบใน SG",IF(ABS(J4747-L4747)&lt;0.005,"ตรงกัน","ไม่ตรง"))</f>
        <v/>
      </c>
      <c r="N4747" s="14">
        <f>IF(L4747="","",ROUND(L4747*'สรุป'!$C$6,-1))</f>
        <v/>
      </c>
      <c r="O4747" s="15" t="n"/>
      <c r="P4747" s="15" t="n"/>
      <c r="Q4747" s="10" t="n"/>
      <c r="R4747" s="10" t="n"/>
      <c r="S4747" s="16" t="inlineStr">
        <is>
          <t>https://mstgolf.co.th/products/gf2040120577</t>
        </is>
      </c>
      <c r="T4747" s="1">
        <f>IF(B4747="ไม้กอล์ฟ",J4747,"")</f>
        <v/>
      </c>
    </row>
    <row r="4748">
      <c r="A4748" s="1" t="n">
        <v>3</v>
      </c>
      <c r="B4748" s="1" t="inlineStr">
        <is>
          <t>เสื้อผ้า</t>
        </is>
      </c>
      <c r="C4748" s="1" t="inlineStr">
        <is>
          <t>gf2040120575</t>
        </is>
      </c>
      <c r="D4748" s="1" t="inlineStr">
        <is>
          <t>NIKE Tour Dri-FIT Men's Polo (Ivory)</t>
        </is>
      </c>
      <c r="E4748" s="1" t="inlineStr">
        <is>
          <t>NIKE</t>
        </is>
      </c>
      <c r="F4748" s="1" t="inlineStr">
        <is>
          <t>SHORT SLEEVES</t>
        </is>
      </c>
      <c r="G4748" s="1" t="inlineStr">
        <is>
          <t>GF2040120575S</t>
        </is>
      </c>
      <c r="H4748" s="1" t="n">
        <v>5</v>
      </c>
      <c r="I4748" s="1" t="inlineStr">
        <is>
          <t>หมด</t>
        </is>
      </c>
      <c r="J4748" s="13" t="n">
        <v>105</v>
      </c>
      <c r="K4748" s="1" t="inlineStr"/>
      <c r="L4748" s="13" t="n">
        <v>105</v>
      </c>
      <c r="M4748" s="1">
        <f>IF(L4748="","ไม่พบใน SG",IF(ABS(J4748-L4748)&lt;0.005,"ตรงกัน","ไม่ตรง"))</f>
        <v/>
      </c>
      <c r="N4748" s="14">
        <f>IF(L4748="","",ROUND(L4748*'สรุป'!$C$6,-1))</f>
        <v/>
      </c>
      <c r="O4748" s="15" t="n"/>
      <c r="P4748" s="15" t="n"/>
      <c r="Q4748" s="10" t="n"/>
      <c r="R4748" s="10" t="n"/>
      <c r="S4748" s="16" t="inlineStr">
        <is>
          <t>https://mstgolf.co.th/products/gf2040120575</t>
        </is>
      </c>
      <c r="T4748" s="1">
        <f>IF(B4748="ไม้กอล์ฟ",J4748,"")</f>
        <v/>
      </c>
    </row>
    <row r="4749">
      <c r="A4749" s="1" t="n">
        <v>3</v>
      </c>
      <c r="B4749" s="1" t="inlineStr">
        <is>
          <t>อุปกรณ์เสริม</t>
        </is>
      </c>
      <c r="C4749" s="1" t="inlineStr">
        <is>
          <t>gf3130100372</t>
        </is>
      </c>
      <c r="D4749" s="1" t="inlineStr">
        <is>
          <t>PUMA PE0109S Black/Black/Grey Sunglasses</t>
        </is>
      </c>
      <c r="E4749" s="1" t="inlineStr">
        <is>
          <t>PUMA</t>
        </is>
      </c>
      <c r="F4749" s="1" t="inlineStr">
        <is>
          <t>SUNGLASSES</t>
        </is>
      </c>
      <c r="G4749" s="1" t="inlineStr">
        <is>
          <t>GF3130100372</t>
        </is>
      </c>
      <c r="H4749" s="1" t="n">
        <v>1</v>
      </c>
      <c r="I4749" s="1" t="inlineStr">
        <is>
          <t>หมด</t>
        </is>
      </c>
      <c r="J4749" s="13" t="n">
        <v>105</v>
      </c>
      <c r="K4749" s="1" t="inlineStr"/>
      <c r="L4749" s="13" t="n">
        <v>105</v>
      </c>
      <c r="M4749" s="1">
        <f>IF(L4749="","ไม่พบใน SG",IF(ABS(J4749-L4749)&lt;0.005,"ตรงกัน","ไม่ตรง"))</f>
        <v/>
      </c>
      <c r="N4749" s="14">
        <f>IF(L4749="","",ROUND(L4749*'สรุป'!$C$6,-1))</f>
        <v/>
      </c>
      <c r="O4749" s="15" t="n"/>
      <c r="P4749" s="15" t="n"/>
      <c r="Q4749" s="10" t="n"/>
      <c r="R4749" s="10" t="n"/>
      <c r="S4749" s="16" t="inlineStr">
        <is>
          <t>https://mstgolf.co.th/products/gf3130100372</t>
        </is>
      </c>
      <c r="T4749" s="1">
        <f>IF(B4749="ไม้กอล์ฟ",J4749,"")</f>
        <v/>
      </c>
    </row>
    <row r="4750">
      <c r="A4750" s="1" t="n">
        <v>3</v>
      </c>
      <c r="B4750" s="1" t="inlineStr">
        <is>
          <t>อุปกรณ์เสริม</t>
        </is>
      </c>
      <c r="C4750" s="1" t="inlineStr">
        <is>
          <t>gf3130100374</t>
        </is>
      </c>
      <c r="D4750" s="1" t="inlineStr">
        <is>
          <t>PUMA PE0122S Black/Grey Sunglasses</t>
        </is>
      </c>
      <c r="E4750" s="1" t="inlineStr">
        <is>
          <t>PUMA</t>
        </is>
      </c>
      <c r="F4750" s="1" t="inlineStr">
        <is>
          <t>SUNGLASSES</t>
        </is>
      </c>
      <c r="G4750" s="1" t="inlineStr">
        <is>
          <t>GF3130100374</t>
        </is>
      </c>
      <c r="H4750" s="1" t="n">
        <v>1</v>
      </c>
      <c r="I4750" s="1" t="inlineStr">
        <is>
          <t>หมด</t>
        </is>
      </c>
      <c r="J4750" s="13" t="n">
        <v>105</v>
      </c>
      <c r="K4750" s="1" t="inlineStr"/>
      <c r="L4750" s="13" t="n">
        <v>105</v>
      </c>
      <c r="M4750" s="1">
        <f>IF(L4750="","ไม่พบใน SG",IF(ABS(J4750-L4750)&lt;0.005,"ตรงกัน","ไม่ตรง"))</f>
        <v/>
      </c>
      <c r="N4750" s="14">
        <f>IF(L4750="","",ROUND(L4750*'สรุป'!$C$6,-1))</f>
        <v/>
      </c>
      <c r="O4750" s="15" t="n"/>
      <c r="P4750" s="15" t="n"/>
      <c r="Q4750" s="10" t="n"/>
      <c r="R4750" s="10" t="n"/>
      <c r="S4750" s="16" t="inlineStr">
        <is>
          <t>https://mstgolf.co.th/products/gf3130100374</t>
        </is>
      </c>
      <c r="T4750" s="1">
        <f>IF(B4750="ไม้กอล์ฟ",J4750,"")</f>
        <v/>
      </c>
    </row>
    <row r="4751">
      <c r="A4751" s="1" t="n">
        <v>3</v>
      </c>
      <c r="B4751" s="1" t="inlineStr">
        <is>
          <t>อุปกรณ์เสริม</t>
        </is>
      </c>
      <c r="C4751" s="1" t="inlineStr">
        <is>
          <t>gf3130100383</t>
        </is>
      </c>
      <c r="D4751" s="1" t="inlineStr">
        <is>
          <t>PUMA PE0161SA Black/Black/Smoke Sunglasses</t>
        </is>
      </c>
      <c r="E4751" s="1" t="inlineStr">
        <is>
          <t>PUMA</t>
        </is>
      </c>
      <c r="F4751" s="1" t="inlineStr">
        <is>
          <t>SUNGLASSES</t>
        </is>
      </c>
      <c r="G4751" s="1" t="inlineStr">
        <is>
          <t>GF3130100383</t>
        </is>
      </c>
      <c r="H4751" s="1" t="n">
        <v>1</v>
      </c>
      <c r="I4751" s="1" t="inlineStr">
        <is>
          <t>หมด</t>
        </is>
      </c>
      <c r="J4751" s="13" t="n">
        <v>105</v>
      </c>
      <c r="K4751" s="1" t="inlineStr"/>
      <c r="L4751" s="13" t="n">
        <v>105</v>
      </c>
      <c r="M4751" s="1">
        <f>IF(L4751="","ไม่พบใน SG",IF(ABS(J4751-L4751)&lt;0.005,"ตรงกัน","ไม่ตรง"))</f>
        <v/>
      </c>
      <c r="N4751" s="14">
        <f>IF(L4751="","",ROUND(L4751*'สรุป'!$C$6,-1))</f>
        <v/>
      </c>
      <c r="O4751" s="15" t="n"/>
      <c r="P4751" s="15" t="n"/>
      <c r="Q4751" s="10" t="n"/>
      <c r="R4751" s="10" t="n"/>
      <c r="S4751" s="16" t="inlineStr">
        <is>
          <t>https://mstgolf.co.th/products/gf3130100383</t>
        </is>
      </c>
      <c r="T4751" s="1">
        <f>IF(B4751="ไม้กอล์ฟ",J4751,"")</f>
        <v/>
      </c>
    </row>
    <row r="4752">
      <c r="A4752" s="1" t="n">
        <v>3</v>
      </c>
      <c r="B4752" s="1" t="inlineStr">
        <is>
          <t>อุปกรณ์เสริม</t>
        </is>
      </c>
      <c r="C4752" s="1" t="inlineStr">
        <is>
          <t>gf3130100385</t>
        </is>
      </c>
      <c r="D4752" s="1" t="inlineStr">
        <is>
          <t>PUMA PE0161SA Sunglasses (Black/Black/Smoke)</t>
        </is>
      </c>
      <c r="E4752" s="1" t="inlineStr">
        <is>
          <t>PUMA</t>
        </is>
      </c>
      <c r="F4752" s="1" t="inlineStr">
        <is>
          <t>SUNGLASSES</t>
        </is>
      </c>
      <c r="G4752" s="1" t="inlineStr">
        <is>
          <t>GF3130100385</t>
        </is>
      </c>
      <c r="H4752" s="1" t="n">
        <v>1</v>
      </c>
      <c r="I4752" s="1" t="inlineStr">
        <is>
          <t>หมด</t>
        </is>
      </c>
      <c r="J4752" s="13" t="n">
        <v>105</v>
      </c>
      <c r="K4752" s="1" t="inlineStr"/>
      <c r="L4752" s="13" t="n">
        <v>105</v>
      </c>
      <c r="M4752" s="1">
        <f>IF(L4752="","ไม่พบใน SG",IF(ABS(J4752-L4752)&lt;0.005,"ตรงกัน","ไม่ตรง"))</f>
        <v/>
      </c>
      <c r="N4752" s="14">
        <f>IF(L4752="","",ROUND(L4752*'สรุป'!$C$6,-1))</f>
        <v/>
      </c>
      <c r="O4752" s="15" t="n"/>
      <c r="P4752" s="15" t="n"/>
      <c r="Q4752" s="10" t="n"/>
      <c r="R4752" s="10" t="n"/>
      <c r="S4752" s="16" t="inlineStr">
        <is>
          <t>https://mstgolf.co.th/products/gf3130100385</t>
        </is>
      </c>
      <c r="T4752" s="1">
        <f>IF(B4752="ไม้กอล์ฟ",J4752,"")</f>
        <v/>
      </c>
    </row>
    <row r="4753">
      <c r="A4753" s="1" t="n">
        <v>3</v>
      </c>
      <c r="B4753" s="1" t="inlineStr">
        <is>
          <t>อุปกรณ์เสริม</t>
        </is>
      </c>
      <c r="C4753" s="1" t="inlineStr">
        <is>
          <t>gf3130100465</t>
        </is>
      </c>
      <c r="D4753" s="1" t="inlineStr">
        <is>
          <t>PUMA PE0168SA Black/Black/Smoke Sunglasses</t>
        </is>
      </c>
      <c r="E4753" s="1" t="inlineStr">
        <is>
          <t>PUMA</t>
        </is>
      </c>
      <c r="F4753" s="1" t="inlineStr">
        <is>
          <t>SUNGLASSES</t>
        </is>
      </c>
      <c r="G4753" s="1" t="inlineStr">
        <is>
          <t>GF3130100465</t>
        </is>
      </c>
      <c r="H4753" s="1" t="n">
        <v>1</v>
      </c>
      <c r="I4753" s="1" t="inlineStr">
        <is>
          <t>หมด</t>
        </is>
      </c>
      <c r="J4753" s="13" t="n">
        <v>105</v>
      </c>
      <c r="K4753" s="1" t="inlineStr"/>
      <c r="L4753" s="13" t="n">
        <v>105</v>
      </c>
      <c r="M4753" s="1">
        <f>IF(L4753="","ไม่พบใน SG",IF(ABS(J4753-L4753)&lt;0.005,"ตรงกัน","ไม่ตรง"))</f>
        <v/>
      </c>
      <c r="N4753" s="14">
        <f>IF(L4753="","",ROUND(L4753*'สรุป'!$C$6,-1))</f>
        <v/>
      </c>
      <c r="O4753" s="15" t="n"/>
      <c r="P4753" s="15" t="n"/>
      <c r="Q4753" s="10" t="n"/>
      <c r="R4753" s="10" t="n"/>
      <c r="S4753" s="16" t="inlineStr">
        <is>
          <t>https://mstgolf.co.th/products/gf3130100465</t>
        </is>
      </c>
      <c r="T4753" s="1">
        <f>IF(B4753="ไม้กอล์ฟ",J4753,"")</f>
        <v/>
      </c>
    </row>
    <row r="4754">
      <c r="A4754" s="1" t="n">
        <v>3</v>
      </c>
      <c r="B4754" s="1" t="inlineStr">
        <is>
          <t>อุปกรณ์เสริม</t>
        </is>
      </c>
      <c r="C4754" s="1" t="inlineStr">
        <is>
          <t>gf3130100468</t>
        </is>
      </c>
      <c r="D4754" s="1" t="inlineStr">
        <is>
          <t>PUMA PE0190SA Black/Black/Smoke Sunglasses</t>
        </is>
      </c>
      <c r="E4754" s="1" t="inlineStr">
        <is>
          <t>PUMA</t>
        </is>
      </c>
      <c r="F4754" s="1" t="inlineStr">
        <is>
          <t>SUNGLASSES</t>
        </is>
      </c>
      <c r="G4754" s="1" t="inlineStr">
        <is>
          <t>GF3130100468</t>
        </is>
      </c>
      <c r="H4754" s="1" t="n">
        <v>1</v>
      </c>
      <c r="I4754" s="1" t="inlineStr">
        <is>
          <t>หมด</t>
        </is>
      </c>
      <c r="J4754" s="13" t="n">
        <v>105</v>
      </c>
      <c r="K4754" s="1" t="inlineStr"/>
      <c r="L4754" s="13" t="n">
        <v>105</v>
      </c>
      <c r="M4754" s="1">
        <f>IF(L4754="","ไม่พบใน SG",IF(ABS(J4754-L4754)&lt;0.005,"ตรงกัน","ไม่ตรง"))</f>
        <v/>
      </c>
      <c r="N4754" s="14">
        <f>IF(L4754="","",ROUND(L4754*'สรุป'!$C$6,-1))</f>
        <v/>
      </c>
      <c r="O4754" s="15" t="n"/>
      <c r="P4754" s="15" t="n"/>
      <c r="Q4754" s="10" t="n"/>
      <c r="R4754" s="10" t="n"/>
      <c r="S4754" s="16" t="inlineStr">
        <is>
          <t>https://mstgolf.co.th/products/gf3130100468</t>
        </is>
      </c>
      <c r="T4754" s="1">
        <f>IF(B4754="ไม้กอล์ฟ",J4754,"")</f>
        <v/>
      </c>
    </row>
    <row r="4755">
      <c r="A4755" s="1" t="n">
        <v>3</v>
      </c>
      <c r="B4755" s="1" t="inlineStr">
        <is>
          <t>อุปกรณ์เสริม</t>
        </is>
      </c>
      <c r="C4755" s="1" t="inlineStr">
        <is>
          <t>gf3130100469</t>
        </is>
      </c>
      <c r="D4755" s="1" t="inlineStr">
        <is>
          <t>PUMA PE0190SA Grey/Black/Green Sunglasses</t>
        </is>
      </c>
      <c r="E4755" s="1" t="inlineStr">
        <is>
          <t>PUMA</t>
        </is>
      </c>
      <c r="F4755" s="1" t="inlineStr">
        <is>
          <t>SUNGLASSES</t>
        </is>
      </c>
      <c r="G4755" s="1" t="inlineStr">
        <is>
          <t>GF3130100469</t>
        </is>
      </c>
      <c r="H4755" s="1" t="n">
        <v>1</v>
      </c>
      <c r="I4755" s="1" t="inlineStr">
        <is>
          <t>หมด</t>
        </is>
      </c>
      <c r="J4755" s="13" t="n">
        <v>105</v>
      </c>
      <c r="K4755" s="1" t="inlineStr"/>
      <c r="L4755" s="13" t="n">
        <v>105</v>
      </c>
      <c r="M4755" s="1">
        <f>IF(L4755="","ไม่พบใน SG",IF(ABS(J4755-L4755)&lt;0.005,"ตรงกัน","ไม่ตรง"))</f>
        <v/>
      </c>
      <c r="N4755" s="14">
        <f>IF(L4755="","",ROUND(L4755*'สรุป'!$C$6,-1))</f>
        <v/>
      </c>
      <c r="O4755" s="15" t="n"/>
      <c r="P4755" s="15" t="n"/>
      <c r="Q4755" s="10" t="n"/>
      <c r="R4755" s="10" t="n"/>
      <c r="S4755" s="16" t="inlineStr">
        <is>
          <t>https://mstgolf.co.th/products/gf3130100469</t>
        </is>
      </c>
      <c r="T4755" s="1">
        <f>IF(B4755="ไม้กอล์ฟ",J4755,"")</f>
        <v/>
      </c>
    </row>
    <row r="4756">
      <c r="A4756" s="1" t="n">
        <v>3</v>
      </c>
      <c r="B4756" s="1" t="inlineStr">
        <is>
          <t>เสื้อผ้า</t>
        </is>
      </c>
      <c r="C4756" s="1" t="inlineStr">
        <is>
          <t>gf2020102227</t>
        </is>
      </c>
      <c r="D4756" s="1" t="inlineStr">
        <is>
          <t>UNDER ARMOUR Drive Men's Pants (Khaki Base)</t>
        </is>
      </c>
      <c r="E4756" s="1" t="inlineStr">
        <is>
          <t>UNDER ARMOUR</t>
        </is>
      </c>
      <c r="F4756" s="1" t="inlineStr">
        <is>
          <t>LONG PANTS</t>
        </is>
      </c>
      <c r="G4756" s="1" t="inlineStr">
        <is>
          <t>GF202010222730</t>
        </is>
      </c>
      <c r="H4756" s="1" t="n">
        <v>6</v>
      </c>
      <c r="I4756" s="1" t="inlineStr">
        <is>
          <t>หมด</t>
        </is>
      </c>
      <c r="J4756" s="13" t="n">
        <v>105</v>
      </c>
      <c r="K4756" s="1" t="inlineStr"/>
      <c r="L4756" s="13" t="n"/>
      <c r="M4756" s="1">
        <f>IF(L4756="","ไม่พบใน SG",IF(ABS(J4756-L4756)&lt;0.005,"ตรงกัน","ไม่ตรง"))</f>
        <v/>
      </c>
      <c r="N4756" s="14">
        <f>IF(L4756="","",ROUND(L4756*'สรุป'!$C$6,-1))</f>
        <v/>
      </c>
      <c r="O4756" s="15" t="n"/>
      <c r="P4756" s="15" t="n"/>
      <c r="Q4756" s="10" t="n"/>
      <c r="R4756" s="10" t="n"/>
      <c r="S4756" s="16" t="inlineStr">
        <is>
          <t>https://mstgolf.co.th/products/gf2020102227</t>
        </is>
      </c>
      <c r="T4756" s="1">
        <f>IF(B4756="ไม้กอล์ฟ",J4756,"")</f>
        <v/>
      </c>
    </row>
    <row r="4757">
      <c r="A4757" s="1" t="n">
        <v>3</v>
      </c>
      <c r="B4757" s="1" t="inlineStr">
        <is>
          <t>เสื้อผ้า</t>
        </is>
      </c>
      <c r="C4757" s="1" t="inlineStr">
        <is>
          <t>gf2040118852</t>
        </is>
      </c>
      <c r="D4757" s="1" t="inlineStr">
        <is>
          <t>WAAC Woven String PGA Men's T-Shirt (Light Blue)</t>
        </is>
      </c>
      <c r="E4757" s="1" t="inlineStr">
        <is>
          <t>WAAC</t>
        </is>
      </c>
      <c r="F4757" s="1" t="inlineStr">
        <is>
          <t>SHORT SLEEVES</t>
        </is>
      </c>
      <c r="G4757" s="1" t="inlineStr">
        <is>
          <t>GF2040118852XS</t>
        </is>
      </c>
      <c r="H4757" s="1" t="n">
        <v>6</v>
      </c>
      <c r="I4757" s="1" t="inlineStr">
        <is>
          <t>หมด</t>
        </is>
      </c>
      <c r="J4757" s="13" t="n">
        <v>105</v>
      </c>
      <c r="K4757" s="1" t="inlineStr"/>
      <c r="L4757" s="13" t="n"/>
      <c r="M4757" s="1">
        <f>IF(L4757="","ไม่พบใน SG",IF(ABS(J4757-L4757)&lt;0.005,"ตรงกัน","ไม่ตรง"))</f>
        <v/>
      </c>
      <c r="N4757" s="14">
        <f>IF(L4757="","",ROUND(L4757*'สรุป'!$C$6,-1))</f>
        <v/>
      </c>
      <c r="O4757" s="15" t="n"/>
      <c r="P4757" s="15" t="n"/>
      <c r="Q4757" s="10" t="n"/>
      <c r="R4757" s="10" t="n"/>
      <c r="S4757" s="16" t="inlineStr">
        <is>
          <t>https://mstgolf.co.th/products/gf2040118852</t>
        </is>
      </c>
      <c r="T4757" s="1">
        <f>IF(B4757="ไม้กอล์ฟ",J4757,"")</f>
        <v/>
      </c>
    </row>
    <row r="4758">
      <c r="A4758" s="1" t="n">
        <v>3</v>
      </c>
      <c r="B4758" s="1" t="inlineStr">
        <is>
          <t>อุปกรณ์เสริม</t>
        </is>
      </c>
      <c r="C4758" s="1" t="inlineStr">
        <is>
          <t>gf3150100221</t>
        </is>
      </c>
      <c r="D4758" s="1" t="inlineStr">
        <is>
          <t>TAYLORMADE 64" Double Canopy Umbrella (Black)</t>
        </is>
      </c>
      <c r="E4758" s="1" t="inlineStr">
        <is>
          <t>TAYLORMADE</t>
        </is>
      </c>
      <c r="F4758" s="1" t="inlineStr">
        <is>
          <t>UMBRELLA</t>
        </is>
      </c>
      <c r="G4758" s="1" t="inlineStr">
        <is>
          <t>GF3150100221</t>
        </is>
      </c>
      <c r="H4758" s="1" t="n">
        <v>1</v>
      </c>
      <c r="I4758" s="1" t="inlineStr">
        <is>
          <t>หมด</t>
        </is>
      </c>
      <c r="J4758" s="13" t="n">
        <v>103</v>
      </c>
      <c r="K4758" s="1" t="inlineStr"/>
      <c r="L4758" s="13" t="n">
        <v>103</v>
      </c>
      <c r="M4758" s="1">
        <f>IF(L4758="","ไม่พบใน SG",IF(ABS(J4758-L4758)&lt;0.005,"ตรงกัน","ไม่ตรง"))</f>
        <v/>
      </c>
      <c r="N4758" s="14">
        <f>IF(L4758="","",ROUND(L4758*'สรุป'!$C$6,-1))</f>
        <v/>
      </c>
      <c r="O4758" s="15" t="n"/>
      <c r="P4758" s="15" t="n"/>
      <c r="Q4758" s="10" t="n"/>
      <c r="R4758" s="10" t="n"/>
      <c r="S4758" s="16" t="inlineStr">
        <is>
          <t>https://mstgolf.co.th/products/gf3150100221</t>
        </is>
      </c>
      <c r="T4758" s="1">
        <f>IF(B4758="ไม้กอล์ฟ",J4758,"")</f>
        <v/>
      </c>
    </row>
    <row r="4759">
      <c r="A4759" s="1" t="n">
        <v>3</v>
      </c>
      <c r="B4759" s="1" t="inlineStr">
        <is>
          <t>อุปกรณ์เสริม</t>
        </is>
      </c>
      <c r="C4759" s="1" t="inlineStr">
        <is>
          <t>gf3500200933</t>
        </is>
      </c>
      <c r="D4759" s="1" t="inlineStr">
        <is>
          <t>TITLEIST Jet Black Leather Hybrid Headcover (Black/Black/Red)</t>
        </is>
      </c>
      <c r="E4759" s="1" t="inlineStr">
        <is>
          <t>TITLEIST</t>
        </is>
      </c>
      <c r="F4759" s="1" t="inlineStr">
        <is>
          <t>HEADCOVERS</t>
        </is>
      </c>
      <c r="G4759" s="1" t="inlineStr">
        <is>
          <t>GF3500200933</t>
        </is>
      </c>
      <c r="H4759" s="1" t="n">
        <v>1</v>
      </c>
      <c r="I4759" s="1" t="inlineStr">
        <is>
          <t>หมด</t>
        </is>
      </c>
      <c r="J4759" s="13" t="n">
        <v>102</v>
      </c>
      <c r="K4759" s="1" t="inlineStr"/>
      <c r="L4759" s="13" t="n">
        <v>102</v>
      </c>
      <c r="M4759" s="1">
        <f>IF(L4759="","ไม่พบใน SG",IF(ABS(J4759-L4759)&lt;0.005,"ตรงกัน","ไม่ตรง"))</f>
        <v/>
      </c>
      <c r="N4759" s="14">
        <f>IF(L4759="","",ROUND(L4759*'สรุป'!$C$6,-1))</f>
        <v/>
      </c>
      <c r="O4759" s="15" t="n"/>
      <c r="P4759" s="15" t="n"/>
      <c r="Q4759" s="10" t="n"/>
      <c r="R4759" s="10" t="n"/>
      <c r="S4759" s="16" t="inlineStr">
        <is>
          <t>https://mstgolf.co.th/products/gf3500200933</t>
        </is>
      </c>
      <c r="T4759" s="1">
        <f>IF(B4759="ไม้กอล์ฟ",J4759,"")</f>
        <v/>
      </c>
    </row>
    <row r="4760">
      <c r="A4760" s="1" t="n">
        <v>3</v>
      </c>
      <c r="B4760" s="1" t="inlineStr">
        <is>
          <t>อุปกรณ์เสริม</t>
        </is>
      </c>
      <c r="C4760" s="1" t="inlineStr">
        <is>
          <t>gf3150100250</t>
        </is>
      </c>
      <c r="D4760" s="1" t="inlineStr">
        <is>
          <t>TITLEIST Tour Single Canopy Umbrella (Black)</t>
        </is>
      </c>
      <c r="E4760" s="1" t="inlineStr">
        <is>
          <t>TITLEIST</t>
        </is>
      </c>
      <c r="F4760" s="1" t="inlineStr">
        <is>
          <t>UMBRELLA</t>
        </is>
      </c>
      <c r="G4760" s="1" t="inlineStr">
        <is>
          <t>GF3150100250</t>
        </is>
      </c>
      <c r="H4760" s="1" t="n">
        <v>1</v>
      </c>
      <c r="I4760" s="1" t="inlineStr">
        <is>
          <t>หมด</t>
        </is>
      </c>
      <c r="J4760" s="13" t="n">
        <v>102</v>
      </c>
      <c r="K4760" s="1" t="inlineStr"/>
      <c r="L4760" s="13" t="n">
        <v>102</v>
      </c>
      <c r="M4760" s="1">
        <f>IF(L4760="","ไม่พบใน SG",IF(ABS(J4760-L4760)&lt;0.005,"ตรงกัน","ไม่ตรง"))</f>
        <v/>
      </c>
      <c r="N4760" s="14">
        <f>IF(L4760="","",ROUND(L4760*'สรุป'!$C$6,-1))</f>
        <v/>
      </c>
      <c r="O4760" s="15" t="n"/>
      <c r="P4760" s="15" t="n"/>
      <c r="Q4760" s="10" t="n"/>
      <c r="R4760" s="10" t="n"/>
      <c r="S4760" s="16" t="inlineStr">
        <is>
          <t>https://mstgolf.co.th/products/gf3150100250</t>
        </is>
      </c>
      <c r="T4760" s="1">
        <f>IF(B4760="ไม้กอล์ฟ",J4760,"")</f>
        <v/>
      </c>
    </row>
    <row r="4761">
      <c r="A4761" s="1" t="n">
        <v>3</v>
      </c>
      <c r="B4761" s="1" t="inlineStr">
        <is>
          <t>เสื้อผ้า</t>
        </is>
      </c>
      <c r="C4761" s="1" t="inlineStr">
        <is>
          <t>gf2040121124</t>
        </is>
      </c>
      <c r="D4761" s="1" t="inlineStr">
        <is>
          <t>ADIDAS 3-Stripes Climacool Women's Pique Polo (White)</t>
        </is>
      </c>
      <c r="E4761" s="1" t="inlineStr">
        <is>
          <t>ADIDAS</t>
        </is>
      </c>
      <c r="F4761" s="1" t="inlineStr">
        <is>
          <t>SHORT SLEEVES</t>
        </is>
      </c>
      <c r="G4761" s="1" t="inlineStr">
        <is>
          <t>GF2040121124XS</t>
        </is>
      </c>
      <c r="H4761" s="1" t="n">
        <v>6</v>
      </c>
      <c r="I4761" s="1" t="inlineStr">
        <is>
          <t>หมด</t>
        </is>
      </c>
      <c r="J4761" s="13" t="n">
        <v>99</v>
      </c>
      <c r="K4761" s="1" t="inlineStr"/>
      <c r="L4761" s="13" t="n">
        <v>69</v>
      </c>
      <c r="M4761" s="1">
        <f>IF(L4761="","ไม่พบใน SG",IF(ABS(J4761-L4761)&lt;0.005,"ตรงกัน","ไม่ตรง"))</f>
        <v/>
      </c>
      <c r="N4761" s="14">
        <f>IF(L4761="","",ROUND(L4761*'สรุป'!$C$6,-1))</f>
        <v/>
      </c>
      <c r="O4761" s="15" t="n"/>
      <c r="P4761" s="15" t="n"/>
      <c r="Q4761" s="10" t="n"/>
      <c r="R4761" s="10" t="n"/>
      <c r="S4761" s="16" t="inlineStr">
        <is>
          <t>https://mstgolf.co.th/products/gf2040121124</t>
        </is>
      </c>
      <c r="T4761" s="1">
        <f>IF(B4761="ไม้กอล์ฟ",J4761,"")</f>
        <v/>
      </c>
    </row>
    <row r="4762">
      <c r="A4762" s="1" t="n">
        <v>3</v>
      </c>
      <c r="B4762" s="1" t="inlineStr">
        <is>
          <t>เสื้อผ้า</t>
        </is>
      </c>
      <c r="C4762" s="1" t="inlineStr">
        <is>
          <t>gf2040119492</t>
        </is>
      </c>
      <c r="D4762" s="1" t="inlineStr">
        <is>
          <t>ADIDAS Go-To Printed Men's Polo (Blue)</t>
        </is>
      </c>
      <c r="E4762" s="1" t="inlineStr">
        <is>
          <t>ADIDAS</t>
        </is>
      </c>
      <c r="F4762" s="1" t="inlineStr">
        <is>
          <t>SHORT SLEEVES</t>
        </is>
      </c>
      <c r="G4762" s="1" t="inlineStr">
        <is>
          <t>GF20401194922XS</t>
        </is>
      </c>
      <c r="H4762" s="1" t="n">
        <v>8</v>
      </c>
      <c r="I4762" s="1" t="inlineStr">
        <is>
          <t>หมด</t>
        </is>
      </c>
      <c r="J4762" s="13" t="n">
        <v>99</v>
      </c>
      <c r="K4762" s="1" t="inlineStr"/>
      <c r="L4762" s="13" t="n"/>
      <c r="M4762" s="1">
        <f>IF(L4762="","ไม่พบใน SG",IF(ABS(J4762-L4762)&lt;0.005,"ตรงกัน","ไม่ตรง"))</f>
        <v/>
      </c>
      <c r="N4762" s="14">
        <f>IF(L4762="","",ROUND(L4762*'สรุป'!$C$6,-1))</f>
        <v/>
      </c>
      <c r="O4762" s="15" t="n"/>
      <c r="P4762" s="15" t="n"/>
      <c r="Q4762" s="10" t="n"/>
      <c r="R4762" s="10" t="n"/>
      <c r="S4762" s="16" t="inlineStr">
        <is>
          <t>https://mstgolf.co.th/products/gf2040119492</t>
        </is>
      </c>
      <c r="T4762" s="1">
        <f>IF(B4762="ไม้กอล์ฟ",J4762,"")</f>
        <v/>
      </c>
    </row>
    <row r="4763">
      <c r="A4763" s="1" t="n">
        <v>3</v>
      </c>
      <c r="B4763" s="1" t="inlineStr">
        <is>
          <t>เสื้อผ้า</t>
        </is>
      </c>
      <c r="C4763" s="1" t="inlineStr">
        <is>
          <t>gf2020202812</t>
        </is>
      </c>
      <c r="D4763" s="1" t="inlineStr">
        <is>
          <t>ADIDAS Ultimate365 5-Pocket Men's Shorts (Beige)</t>
        </is>
      </c>
      <c r="E4763" s="1" t="inlineStr">
        <is>
          <t>ADIDAS</t>
        </is>
      </c>
      <c r="F4763" s="1" t="inlineStr">
        <is>
          <t>SHORT PANTS</t>
        </is>
      </c>
      <c r="G4763" s="1" t="inlineStr">
        <is>
          <t>GF202020281273</t>
        </is>
      </c>
      <c r="H4763" s="1" t="n">
        <v>9</v>
      </c>
      <c r="I4763" s="1" t="inlineStr">
        <is>
          <t>หมด</t>
        </is>
      </c>
      <c r="J4763" s="13" t="n">
        <v>99</v>
      </c>
      <c r="K4763" s="1" t="inlineStr"/>
      <c r="L4763" s="13" t="n">
        <v>69</v>
      </c>
      <c r="M4763" s="1">
        <f>IF(L4763="","ไม่พบใน SG",IF(ABS(J4763-L4763)&lt;0.005,"ตรงกัน","ไม่ตรง"))</f>
        <v/>
      </c>
      <c r="N4763" s="14">
        <f>IF(L4763="","",ROUND(L4763*'สรุป'!$C$6,-1))</f>
        <v/>
      </c>
      <c r="O4763" s="15" t="n"/>
      <c r="P4763" s="15" t="n"/>
      <c r="Q4763" s="10" t="n"/>
      <c r="R4763" s="10" t="n"/>
      <c r="S4763" s="16" t="inlineStr">
        <is>
          <t>https://mstgolf.co.th/products/gf2020202812</t>
        </is>
      </c>
      <c r="T4763" s="1">
        <f>IF(B4763="ไม้กอล์ฟ",J4763,"")</f>
        <v/>
      </c>
    </row>
    <row r="4764">
      <c r="A4764" s="1" t="n">
        <v>3</v>
      </c>
      <c r="B4764" s="1" t="inlineStr">
        <is>
          <t>เสื้อผ้า</t>
        </is>
      </c>
      <c r="C4764" s="1" t="inlineStr">
        <is>
          <t>gf2020300139</t>
        </is>
      </c>
      <c r="D4764" s="1" t="inlineStr">
        <is>
          <t>ADIDAS Ultimate365 Gradient Skort (Navy)</t>
        </is>
      </c>
      <c r="E4764" s="1" t="inlineStr">
        <is>
          <t>ADIDAS</t>
        </is>
      </c>
      <c r="F4764" s="1" t="inlineStr">
        <is>
          <t>SKORTS</t>
        </is>
      </c>
      <c r="G4764" s="1" t="inlineStr">
        <is>
          <t>GF20203001392XS</t>
        </is>
      </c>
      <c r="H4764" s="1" t="n">
        <v>7</v>
      </c>
      <c r="I4764" s="1" t="inlineStr">
        <is>
          <t>หมด</t>
        </is>
      </c>
      <c r="J4764" s="13" t="n">
        <v>99</v>
      </c>
      <c r="K4764" s="1" t="inlineStr"/>
      <c r="L4764" s="13" t="n">
        <v>49</v>
      </c>
      <c r="M4764" s="1">
        <f>IF(L4764="","ไม่พบใน SG",IF(ABS(J4764-L4764)&lt;0.005,"ตรงกัน","ไม่ตรง"))</f>
        <v/>
      </c>
      <c r="N4764" s="14">
        <f>IF(L4764="","",ROUND(L4764*'สรุป'!$C$6,-1))</f>
        <v/>
      </c>
      <c r="O4764" s="15" t="n"/>
      <c r="P4764" s="15" t="n"/>
      <c r="Q4764" s="10" t="n"/>
      <c r="R4764" s="10" t="n"/>
      <c r="S4764" s="16" t="inlineStr">
        <is>
          <t>https://mstgolf.co.th/products/gf2020300139</t>
        </is>
      </c>
      <c r="T4764" s="1">
        <f>IF(B4764="ไม้กอล์ฟ",J4764,"")</f>
        <v/>
      </c>
    </row>
    <row r="4765">
      <c r="A4765" s="1" t="n">
        <v>3</v>
      </c>
      <c r="B4765" s="1" t="inlineStr">
        <is>
          <t>อุปกรณ์เสริม</t>
        </is>
      </c>
      <c r="C4765" s="1" t="inlineStr">
        <is>
          <t>gf3500201392</t>
        </is>
      </c>
      <c r="D4765" s="1" t="inlineStr">
        <is>
          <t>GFORE 3 Wood Headcover (Marine)</t>
        </is>
      </c>
      <c r="E4765" s="1" t="inlineStr">
        <is>
          <t>GFORE</t>
        </is>
      </c>
      <c r="F4765" s="1" t="inlineStr">
        <is>
          <t>HEADCOVERS</t>
        </is>
      </c>
      <c r="G4765" s="1" t="inlineStr">
        <is>
          <t>GF3500201392</t>
        </is>
      </c>
      <c r="H4765" s="1" t="n">
        <v>1</v>
      </c>
      <c r="I4765" s="1" t="inlineStr">
        <is>
          <t>หมด</t>
        </is>
      </c>
      <c r="J4765" s="13" t="n">
        <v>99</v>
      </c>
      <c r="K4765" s="1" t="inlineStr"/>
      <c r="L4765" s="13" t="n">
        <v>99</v>
      </c>
      <c r="M4765" s="1">
        <f>IF(L4765="","ไม่พบใน SG",IF(ABS(J4765-L4765)&lt;0.005,"ตรงกัน","ไม่ตรง"))</f>
        <v/>
      </c>
      <c r="N4765" s="14">
        <f>IF(L4765="","",ROUND(L4765*'สรุป'!$C$6,-1))</f>
        <v/>
      </c>
      <c r="O4765" s="15" t="n"/>
      <c r="P4765" s="15" t="n"/>
      <c r="Q4765" s="10" t="n"/>
      <c r="R4765" s="10" t="n"/>
      <c r="S4765" s="16" t="inlineStr">
        <is>
          <t>https://mstgolf.co.th/products/gf3500201392</t>
        </is>
      </c>
      <c r="T4765" s="1">
        <f>IF(B4765="ไม้กอล์ฟ",J4765,"")</f>
        <v/>
      </c>
    </row>
    <row r="4766">
      <c r="A4766" s="1" t="n">
        <v>3</v>
      </c>
      <c r="B4766" s="1" t="inlineStr">
        <is>
          <t>หมวก</t>
        </is>
      </c>
      <c r="C4766" s="1" t="inlineStr">
        <is>
          <t>gf2000106890</t>
        </is>
      </c>
      <c r="D4766" s="1" t="inlineStr">
        <is>
          <t>LACOSTE Adjustable Men's Cap (Navy)</t>
        </is>
      </c>
      <c r="E4766" s="1" t="inlineStr">
        <is>
          <t>LACOSTE</t>
        </is>
      </c>
      <c r="F4766" s="1" t="inlineStr">
        <is>
          <t>CAP</t>
        </is>
      </c>
      <c r="G4766" s="1" t="inlineStr">
        <is>
          <t>GF2000106890FS</t>
        </is>
      </c>
      <c r="H4766" s="1" t="n">
        <v>1</v>
      </c>
      <c r="I4766" s="1" t="inlineStr">
        <is>
          <t>หมด</t>
        </is>
      </c>
      <c r="J4766" s="13" t="n">
        <v>99</v>
      </c>
      <c r="K4766" s="1" t="inlineStr"/>
      <c r="L4766" s="13" t="n"/>
      <c r="M4766" s="1">
        <f>IF(L4766="","ไม่พบใน SG",IF(ABS(J4766-L4766)&lt;0.005,"ตรงกัน","ไม่ตรง"))</f>
        <v/>
      </c>
      <c r="N4766" s="14">
        <f>IF(L4766="","",ROUND(L4766*'สรุป'!$C$6,-1))</f>
        <v/>
      </c>
      <c r="O4766" s="15" t="n"/>
      <c r="P4766" s="15" t="n"/>
      <c r="Q4766" s="10" t="n"/>
      <c r="R4766" s="10" t="n"/>
      <c r="S4766" s="16" t="inlineStr">
        <is>
          <t>https://mstgolf.co.th/products/gf2000106890</t>
        </is>
      </c>
      <c r="T4766" s="1">
        <f>IF(B4766="ไม้กอล์ฟ",J4766,"")</f>
        <v/>
      </c>
    </row>
    <row r="4767">
      <c r="A4767" s="1" t="n">
        <v>3</v>
      </c>
      <c r="B4767" s="1" t="inlineStr">
        <is>
          <t>หมวก</t>
        </is>
      </c>
      <c r="C4767" s="1" t="inlineStr">
        <is>
          <t>gf2000106891</t>
        </is>
      </c>
      <c r="D4767" s="1" t="inlineStr">
        <is>
          <t>LACOSTE Adjustable Men's Cap (Olive)</t>
        </is>
      </c>
      <c r="E4767" s="1" t="inlineStr">
        <is>
          <t>LACOSTE</t>
        </is>
      </c>
      <c r="F4767" s="1" t="inlineStr">
        <is>
          <t>CAP</t>
        </is>
      </c>
      <c r="G4767" s="1" t="inlineStr">
        <is>
          <t>GF2000106891FS</t>
        </is>
      </c>
      <c r="H4767" s="1" t="n">
        <v>1</v>
      </c>
      <c r="I4767" s="1" t="inlineStr">
        <is>
          <t>หมด</t>
        </is>
      </c>
      <c r="J4767" s="13" t="n">
        <v>99</v>
      </c>
      <c r="K4767" s="1" t="inlineStr"/>
      <c r="L4767" s="13" t="n"/>
      <c r="M4767" s="1">
        <f>IF(L4767="","ไม่พบใน SG",IF(ABS(J4767-L4767)&lt;0.005,"ตรงกัน","ไม่ตรง"))</f>
        <v/>
      </c>
      <c r="N4767" s="14">
        <f>IF(L4767="","",ROUND(L4767*'สรุป'!$C$6,-1))</f>
        <v/>
      </c>
      <c r="O4767" s="15" t="n"/>
      <c r="P4767" s="15" t="n"/>
      <c r="Q4767" s="10" t="n"/>
      <c r="R4767" s="10" t="n"/>
      <c r="S4767" s="16" t="inlineStr">
        <is>
          <t>https://mstgolf.co.th/products/gf2000106891</t>
        </is>
      </c>
      <c r="T4767" s="1">
        <f>IF(B4767="ไม้กอล์ฟ",J4767,"")</f>
        <v/>
      </c>
    </row>
    <row r="4768">
      <c r="A4768" s="1" t="n">
        <v>3</v>
      </c>
      <c r="B4768" s="1" t="inlineStr">
        <is>
          <t>เสื้อผ้า</t>
        </is>
      </c>
      <c r="C4768" s="1" t="inlineStr">
        <is>
          <t>gf2040119868</t>
        </is>
      </c>
      <c r="D4768" s="1" t="inlineStr">
        <is>
          <t>MALBON GOLF Anna Women's Polo (Gold)</t>
        </is>
      </c>
      <c r="E4768" s="1" t="inlineStr">
        <is>
          <t>MALBON GOLF</t>
        </is>
      </c>
      <c r="F4768" s="1" t="inlineStr">
        <is>
          <t>SHORT SLEEVES</t>
        </is>
      </c>
      <c r="G4768" s="1" t="inlineStr">
        <is>
          <t>GF2040119868XS</t>
        </is>
      </c>
      <c r="H4768" s="1" t="n">
        <v>5</v>
      </c>
      <c r="I4768" s="1" t="inlineStr">
        <is>
          <t>หมด</t>
        </is>
      </c>
      <c r="J4768" s="13" t="n">
        <v>99</v>
      </c>
      <c r="K4768" s="1" t="inlineStr"/>
      <c r="L4768" s="13" t="n"/>
      <c r="M4768" s="1">
        <f>IF(L4768="","ไม่พบใน SG",IF(ABS(J4768-L4768)&lt;0.005,"ตรงกัน","ไม่ตรง"))</f>
        <v/>
      </c>
      <c r="N4768" s="14">
        <f>IF(L4768="","",ROUND(L4768*'สรุป'!$C$6,-1))</f>
        <v/>
      </c>
      <c r="O4768" s="15" t="n"/>
      <c r="P4768" s="15" t="n"/>
      <c r="Q4768" s="10" t="n"/>
      <c r="R4768" s="10" t="n"/>
      <c r="S4768" s="16" t="inlineStr">
        <is>
          <t>https://mstgolf.co.th/products/gf2040119868</t>
        </is>
      </c>
      <c r="T4768" s="1">
        <f>IF(B4768="ไม้กอล์ฟ",J4768,"")</f>
        <v/>
      </c>
    </row>
    <row r="4769">
      <c r="A4769" s="1" t="n">
        <v>3</v>
      </c>
      <c r="B4769" s="1" t="inlineStr">
        <is>
          <t>เสื้อผ้า</t>
        </is>
      </c>
      <c r="C4769" s="1" t="inlineStr">
        <is>
          <t>gf2040200115</t>
        </is>
      </c>
      <c r="D4769" s="1" t="inlineStr">
        <is>
          <t>MALBON GOLF Mare Men's Mock T-Shirt (Navy)</t>
        </is>
      </c>
      <c r="E4769" s="1" t="inlineStr">
        <is>
          <t>MALBON GOLF</t>
        </is>
      </c>
      <c r="F4769" s="1" t="inlineStr">
        <is>
          <t>TEE SHIRT</t>
        </is>
      </c>
      <c r="G4769" s="1" t="inlineStr">
        <is>
          <t>GF2040200115S</t>
        </is>
      </c>
      <c r="H4769" s="1" t="n">
        <v>5</v>
      </c>
      <c r="I4769" s="1" t="inlineStr">
        <is>
          <t>หมด</t>
        </is>
      </c>
      <c r="J4769" s="13" t="n">
        <v>99</v>
      </c>
      <c r="K4769" s="1" t="inlineStr"/>
      <c r="L4769" s="13" t="n">
        <v>99</v>
      </c>
      <c r="M4769" s="1">
        <f>IF(L4769="","ไม่พบใน SG",IF(ABS(J4769-L4769)&lt;0.005,"ตรงกัน","ไม่ตรง"))</f>
        <v/>
      </c>
      <c r="N4769" s="14">
        <f>IF(L4769="","",ROUND(L4769*'สรุป'!$C$6,-1))</f>
        <v/>
      </c>
      <c r="O4769" s="15" t="n"/>
      <c r="P4769" s="15" t="n"/>
      <c r="Q4769" s="10" t="n"/>
      <c r="R4769" s="10" t="n"/>
      <c r="S4769" s="16" t="inlineStr">
        <is>
          <t>https://mstgolf.co.th/products/gf2040200115</t>
        </is>
      </c>
      <c r="T4769" s="1">
        <f>IF(B4769="ไม้กอล์ฟ",J4769,"")</f>
        <v/>
      </c>
    </row>
    <row r="4770">
      <c r="A4770" s="1" t="n">
        <v>3</v>
      </c>
      <c r="B4770" s="1" t="inlineStr">
        <is>
          <t>เสื้อผ้า</t>
        </is>
      </c>
      <c r="C4770" s="1" t="inlineStr">
        <is>
          <t>gf2040200116</t>
        </is>
      </c>
      <c r="D4770" s="1" t="inlineStr">
        <is>
          <t>MALBON GOLF Mare Men's Mock T-Shirt (White)</t>
        </is>
      </c>
      <c r="E4770" s="1" t="inlineStr">
        <is>
          <t>MALBON GOLF</t>
        </is>
      </c>
      <c r="F4770" s="1" t="inlineStr">
        <is>
          <t>TEE SHIRT</t>
        </is>
      </c>
      <c r="G4770" s="1" t="inlineStr">
        <is>
          <t>GF2040200116S</t>
        </is>
      </c>
      <c r="H4770" s="1" t="n">
        <v>5</v>
      </c>
      <c r="I4770" s="1" t="inlineStr">
        <is>
          <t>หมด</t>
        </is>
      </c>
      <c r="J4770" s="13" t="n">
        <v>99</v>
      </c>
      <c r="K4770" s="1" t="inlineStr"/>
      <c r="L4770" s="13" t="n">
        <v>99</v>
      </c>
      <c r="M4770" s="1">
        <f>IF(L4770="","ไม่พบใน SG",IF(ABS(J4770-L4770)&lt;0.005,"ตรงกัน","ไม่ตรง"))</f>
        <v/>
      </c>
      <c r="N4770" s="14">
        <f>IF(L4770="","",ROUND(L4770*'สรุป'!$C$6,-1))</f>
        <v/>
      </c>
      <c r="O4770" s="15" t="n"/>
      <c r="P4770" s="15" t="n"/>
      <c r="Q4770" s="10" t="n"/>
      <c r="R4770" s="10" t="n"/>
      <c r="S4770" s="16" t="inlineStr">
        <is>
          <t>https://mstgolf.co.th/products/gf2040200116</t>
        </is>
      </c>
      <c r="T4770" s="1">
        <f>IF(B4770="ไม้กอล์ฟ",J4770,"")</f>
        <v/>
      </c>
    </row>
    <row r="4771">
      <c r="A4771" s="1" t="n">
        <v>3</v>
      </c>
      <c r="B4771" s="1" t="inlineStr">
        <is>
          <t>เสื้อผ้า</t>
        </is>
      </c>
      <c r="C4771" s="1" t="inlineStr">
        <is>
          <t>gf2020202632</t>
        </is>
      </c>
      <c r="D4771" s="1" t="inlineStr">
        <is>
          <t>NIKE Tour 8" Men's Shorts (Light Orewood)</t>
        </is>
      </c>
      <c r="E4771" s="1" t="inlineStr">
        <is>
          <t>NIKE</t>
        </is>
      </c>
      <c r="F4771" s="1" t="inlineStr">
        <is>
          <t>SHORT PANTS</t>
        </is>
      </c>
      <c r="G4771" s="1" t="inlineStr">
        <is>
          <t>GF202020263228</t>
        </is>
      </c>
      <c r="H4771" s="1" t="n">
        <v>7</v>
      </c>
      <c r="I4771" s="1" t="inlineStr">
        <is>
          <t>หมด</t>
        </is>
      </c>
      <c r="J4771" s="13" t="n">
        <v>99</v>
      </c>
      <c r="K4771" s="1" t="inlineStr"/>
      <c r="L4771" s="13" t="n"/>
      <c r="M4771" s="1">
        <f>IF(L4771="","ไม่พบใน SG",IF(ABS(J4771-L4771)&lt;0.005,"ตรงกัน","ไม่ตรง"))</f>
        <v/>
      </c>
      <c r="N4771" s="14">
        <f>IF(L4771="","",ROUND(L4771*'สรุป'!$C$6,-1))</f>
        <v/>
      </c>
      <c r="O4771" s="15" t="n"/>
      <c r="P4771" s="15" t="n"/>
      <c r="Q4771" s="10" t="n"/>
      <c r="R4771" s="10" t="n"/>
      <c r="S4771" s="16" t="inlineStr">
        <is>
          <t>https://mstgolf.co.th/products/gf2020202632</t>
        </is>
      </c>
      <c r="T4771" s="1">
        <f>IF(B4771="ไม้กอล์ฟ",J4771,"")</f>
        <v/>
      </c>
    </row>
    <row r="4772">
      <c r="A4772" s="1" t="n">
        <v>3</v>
      </c>
      <c r="B4772" s="1" t="inlineStr">
        <is>
          <t>เสื้อผ้า</t>
        </is>
      </c>
      <c r="C4772" s="1" t="inlineStr">
        <is>
          <t>gf2020202620</t>
        </is>
      </c>
      <c r="D4772" s="1" t="inlineStr">
        <is>
          <t>UNDER ARMOUR Drive Tapered Men's Shorts (Halo Grey)</t>
        </is>
      </c>
      <c r="E4772" s="1" t="inlineStr">
        <is>
          <t>UNDER ARMOUR</t>
        </is>
      </c>
      <c r="F4772" s="1" t="inlineStr">
        <is>
          <t>SHORT PANTS</t>
        </is>
      </c>
      <c r="G4772" s="1" t="inlineStr">
        <is>
          <t>GF202020262028</t>
        </is>
      </c>
      <c r="H4772" s="1" t="n">
        <v>7</v>
      </c>
      <c r="I4772" s="1" t="inlineStr">
        <is>
          <t>หมด</t>
        </is>
      </c>
      <c r="J4772" s="13" t="n">
        <v>99</v>
      </c>
      <c r="K4772" s="1" t="inlineStr"/>
      <c r="L4772" s="13" t="n">
        <v>99</v>
      </c>
      <c r="M4772" s="1">
        <f>IF(L4772="","ไม่พบใน SG",IF(ABS(J4772-L4772)&lt;0.005,"ตรงกัน","ไม่ตรง"))</f>
        <v/>
      </c>
      <c r="N4772" s="14">
        <f>IF(L4772="","",ROUND(L4772*'สรุป'!$C$6,-1))</f>
        <v/>
      </c>
      <c r="O4772" s="15" t="n"/>
      <c r="P4772" s="15" t="n"/>
      <c r="Q4772" s="10" t="n"/>
      <c r="R4772" s="10" t="n"/>
      <c r="S4772" s="16" t="inlineStr">
        <is>
          <t>https://mstgolf.co.th/products/gf2020202620</t>
        </is>
      </c>
      <c r="T4772" s="1">
        <f>IF(B4772="ไม้กอล์ฟ",J4772,"")</f>
        <v/>
      </c>
    </row>
    <row r="4773">
      <c r="A4773" s="1" t="n">
        <v>3</v>
      </c>
      <c r="B4773" s="1" t="inlineStr">
        <is>
          <t>เสื้อผ้า</t>
        </is>
      </c>
      <c r="C4773" s="1" t="inlineStr">
        <is>
          <t>gf2040118832</t>
        </is>
      </c>
      <c r="D4773" s="1" t="inlineStr">
        <is>
          <t>WAAC GG Flying Waacky Dot Men’s Polo (Light Brown)</t>
        </is>
      </c>
      <c r="E4773" s="1" t="inlineStr">
        <is>
          <t>WAAC</t>
        </is>
      </c>
      <c r="F4773" s="1" t="inlineStr">
        <is>
          <t>SHORT SLEEVES</t>
        </is>
      </c>
      <c r="G4773" s="1" t="inlineStr">
        <is>
          <t>GF2040118832S</t>
        </is>
      </c>
      <c r="H4773" s="1" t="n">
        <v>5</v>
      </c>
      <c r="I4773" s="1" t="inlineStr">
        <is>
          <t>หมด</t>
        </is>
      </c>
      <c r="J4773" s="13" t="n">
        <v>99</v>
      </c>
      <c r="K4773" s="1" t="inlineStr"/>
      <c r="L4773" s="13" t="n"/>
      <c r="M4773" s="1">
        <f>IF(L4773="","ไม่พบใน SG",IF(ABS(J4773-L4773)&lt;0.005,"ตรงกัน","ไม่ตรง"))</f>
        <v/>
      </c>
      <c r="N4773" s="14">
        <f>IF(L4773="","",ROUND(L4773*'สรุป'!$C$6,-1))</f>
        <v/>
      </c>
      <c r="O4773" s="15" t="n"/>
      <c r="P4773" s="15" t="n"/>
      <c r="Q4773" s="10" t="n"/>
      <c r="R4773" s="10" t="n"/>
      <c r="S4773" s="16" t="inlineStr">
        <is>
          <t>https://mstgolf.co.th/products/gf2040118832</t>
        </is>
      </c>
      <c r="T4773" s="1">
        <f>IF(B4773="ไม้กอล์ฟ",J4773,"")</f>
        <v/>
      </c>
    </row>
    <row r="4774">
      <c r="A4774" s="1" t="n">
        <v>3</v>
      </c>
      <c r="B4774" s="1" t="inlineStr">
        <is>
          <t>เสื้อผ้า</t>
        </is>
      </c>
      <c r="C4774" s="1" t="inlineStr">
        <is>
          <t>gf2040118050</t>
        </is>
      </c>
      <c r="D4774" s="1" t="inlineStr">
        <is>
          <t>WAAC GG Flying Waacky Men's Polo (Dark Orange)</t>
        </is>
      </c>
      <c r="E4774" s="1" t="inlineStr">
        <is>
          <t>WAAC</t>
        </is>
      </c>
      <c r="F4774" s="1" t="inlineStr">
        <is>
          <t>SHORT SLEEVES</t>
        </is>
      </c>
      <c r="G4774" s="1" t="inlineStr">
        <is>
          <t>GF2040118050XS</t>
        </is>
      </c>
      <c r="H4774" s="1" t="n">
        <v>6</v>
      </c>
      <c r="I4774" s="1" t="inlineStr">
        <is>
          <t>หมด</t>
        </is>
      </c>
      <c r="J4774" s="13" t="n">
        <v>99</v>
      </c>
      <c r="K4774" s="1" t="inlineStr"/>
      <c r="L4774" s="13" t="n"/>
      <c r="M4774" s="1">
        <f>IF(L4774="","ไม่พบใน SG",IF(ABS(J4774-L4774)&lt;0.005,"ตรงกัน","ไม่ตรง"))</f>
        <v/>
      </c>
      <c r="N4774" s="14">
        <f>IF(L4774="","",ROUND(L4774*'สรุป'!$C$6,-1))</f>
        <v/>
      </c>
      <c r="O4774" s="15" t="n"/>
      <c r="P4774" s="15" t="n"/>
      <c r="Q4774" s="10" t="n"/>
      <c r="R4774" s="10" t="n"/>
      <c r="S4774" s="16" t="inlineStr">
        <is>
          <t>https://mstgolf.co.th/products/gf2040118050</t>
        </is>
      </c>
      <c r="T4774" s="1">
        <f>IF(B4774="ไม้กอล์ฟ",J4774,"")</f>
        <v/>
      </c>
    </row>
    <row r="4775">
      <c r="A4775" s="1" t="n">
        <v>3</v>
      </c>
      <c r="B4775" s="1" t="inlineStr">
        <is>
          <t>เสื้อผ้า</t>
        </is>
      </c>
      <c r="C4775" s="1" t="inlineStr">
        <is>
          <t>gf2020202550</t>
        </is>
      </c>
      <c r="D4775" s="1" t="inlineStr">
        <is>
          <t>WAAC Stretch GG Men's Shorts (Navy)</t>
        </is>
      </c>
      <c r="E4775" s="1" t="inlineStr">
        <is>
          <t>WAAC</t>
        </is>
      </c>
      <c r="F4775" s="1" t="inlineStr">
        <is>
          <t>SHORT PANTS</t>
        </is>
      </c>
      <c r="G4775" s="1" t="inlineStr">
        <is>
          <t>GF202020255028</t>
        </is>
      </c>
      <c r="H4775" s="1" t="n">
        <v>5</v>
      </c>
      <c r="I4775" s="1" t="inlineStr">
        <is>
          <t>หมด</t>
        </is>
      </c>
      <c r="J4775" s="13" t="n">
        <v>99</v>
      </c>
      <c r="K4775" s="1" t="inlineStr"/>
      <c r="L4775" s="13" t="n"/>
      <c r="M4775" s="1">
        <f>IF(L4775="","ไม่พบใน SG",IF(ABS(J4775-L4775)&lt;0.005,"ตรงกัน","ไม่ตรง"))</f>
        <v/>
      </c>
      <c r="N4775" s="14">
        <f>IF(L4775="","",ROUND(L4775*'สรุป'!$C$6,-1))</f>
        <v/>
      </c>
      <c r="O4775" s="15" t="n"/>
      <c r="P4775" s="15" t="n"/>
      <c r="Q4775" s="10" t="n"/>
      <c r="R4775" s="10" t="n"/>
      <c r="S4775" s="16" t="inlineStr">
        <is>
          <t>https://mstgolf.co.th/products/gf2020202550</t>
        </is>
      </c>
      <c r="T4775" s="1">
        <f>IF(B4775="ไม้กอล์ฟ",J4775,"")</f>
        <v/>
      </c>
    </row>
    <row r="4776">
      <c r="A4776" s="1" t="n">
        <v>3</v>
      </c>
      <c r="B4776" s="1" t="inlineStr">
        <is>
          <t>อุปกรณ์เสริม</t>
        </is>
      </c>
      <c r="C4776" s="1" t="inlineStr">
        <is>
          <t>gf3500201560</t>
        </is>
      </c>
      <c r="D4776" s="1" t="inlineStr">
        <is>
          <t>TITLEIST Barrel Limited Edition Headcover (Royal)</t>
        </is>
      </c>
      <c r="E4776" s="1" t="inlineStr">
        <is>
          <t>TITLEIST</t>
        </is>
      </c>
      <c r="F4776" s="1" t="inlineStr">
        <is>
          <t>HEADCOVERS</t>
        </is>
      </c>
      <c r="G4776" s="1" t="inlineStr">
        <is>
          <t>GF3500201560</t>
        </is>
      </c>
      <c r="H4776" s="1" t="n">
        <v>1</v>
      </c>
      <c r="I4776" s="1" t="inlineStr">
        <is>
          <t>หมด</t>
        </is>
      </c>
      <c r="J4776" s="13" t="n">
        <v>95</v>
      </c>
      <c r="K4776" s="1" t="inlineStr"/>
      <c r="L4776" s="13" t="n">
        <v>95</v>
      </c>
      <c r="M4776" s="1">
        <f>IF(L4776="","ไม่พบใน SG",IF(ABS(J4776-L4776)&lt;0.005,"ตรงกัน","ไม่ตรง"))</f>
        <v/>
      </c>
      <c r="N4776" s="14">
        <f>IF(L4776="","",ROUND(L4776*'สรุป'!$C$6,-1))</f>
        <v/>
      </c>
      <c r="O4776" s="15" t="n"/>
      <c r="P4776" s="15" t="n"/>
      <c r="Q4776" s="10" t="n"/>
      <c r="R4776" s="10" t="n"/>
      <c r="S4776" s="16" t="inlineStr">
        <is>
          <t>https://mstgolf.co.th/products/gf3500201560</t>
        </is>
      </c>
      <c r="T4776" s="1">
        <f>IF(B4776="ไม้กอล์ฟ",J4776,"")</f>
        <v/>
      </c>
    </row>
    <row r="4777">
      <c r="A4777" s="1" t="n">
        <v>3</v>
      </c>
      <c r="B4777" s="1" t="inlineStr">
        <is>
          <t>เสื้อผ้า</t>
        </is>
      </c>
      <c r="C4777" s="1" t="inlineStr">
        <is>
          <t>gf2020202290</t>
        </is>
      </c>
      <c r="D4777" s="1" t="inlineStr">
        <is>
          <t>UNDER ARMOUR Iso-Chill Men's Shorts (Celeste)</t>
        </is>
      </c>
      <c r="E4777" s="1" t="inlineStr">
        <is>
          <t>UNDER ARMOUR</t>
        </is>
      </c>
      <c r="F4777" s="1" t="inlineStr">
        <is>
          <t>SHORT PANTS</t>
        </is>
      </c>
      <c r="G4777" s="1" t="inlineStr">
        <is>
          <t>GF202020229030</t>
        </is>
      </c>
      <c r="H4777" s="1" t="n">
        <v>6</v>
      </c>
      <c r="I4777" s="1" t="inlineStr">
        <is>
          <t>หมด</t>
        </is>
      </c>
      <c r="J4777" s="13" t="n">
        <v>95</v>
      </c>
      <c r="K4777" s="1" t="inlineStr"/>
      <c r="L4777" s="13" t="n"/>
      <c r="M4777" s="1">
        <f>IF(L4777="","ไม่พบใน SG",IF(ABS(J4777-L4777)&lt;0.005,"ตรงกัน","ไม่ตรง"))</f>
        <v/>
      </c>
      <c r="N4777" s="14">
        <f>IF(L4777="","",ROUND(L4777*'สรุป'!$C$6,-1))</f>
        <v/>
      </c>
      <c r="O4777" s="15" t="n"/>
      <c r="P4777" s="15" t="n"/>
      <c r="Q4777" s="10" t="n"/>
      <c r="R4777" s="10" t="n"/>
      <c r="S4777" s="16" t="inlineStr">
        <is>
          <t>https://mstgolf.co.th/products/gf2020202290</t>
        </is>
      </c>
      <c r="T4777" s="1">
        <f>IF(B4777="ไม้กอล์ฟ",J4777,"")</f>
        <v/>
      </c>
    </row>
    <row r="4778">
      <c r="A4778" s="1" t="n">
        <v>3</v>
      </c>
      <c r="B4778" s="1" t="inlineStr">
        <is>
          <t>เสื้อผ้า</t>
        </is>
      </c>
      <c r="C4778" s="1" t="inlineStr">
        <is>
          <t>gf2040114177</t>
        </is>
      </c>
      <c r="D4778" s="1" t="inlineStr">
        <is>
          <t>GFORE Skull Men's T-Shirt (Colony Blue)</t>
        </is>
      </c>
      <c r="E4778" s="1" t="inlineStr">
        <is>
          <t>GFORE</t>
        </is>
      </c>
      <c r="F4778" s="1" t="inlineStr">
        <is>
          <t>SHORT SLEEVES</t>
        </is>
      </c>
      <c r="G4778" s="1" t="inlineStr">
        <is>
          <t>GF2040114177XS</t>
        </is>
      </c>
      <c r="H4778" s="1" t="n">
        <v>6</v>
      </c>
      <c r="I4778" s="1" t="inlineStr">
        <is>
          <t>หมด</t>
        </is>
      </c>
      <c r="J4778" s="13" t="n">
        <v>93</v>
      </c>
      <c r="K4778" s="1" t="inlineStr"/>
      <c r="L4778" s="13" t="n">
        <v>93</v>
      </c>
      <c r="M4778" s="1">
        <f>IF(L4778="","ไม่พบใน SG",IF(ABS(J4778-L4778)&lt;0.005,"ตรงกัน","ไม่ตรง"))</f>
        <v/>
      </c>
      <c r="N4778" s="14">
        <f>IF(L4778="","",ROUND(L4778*'สรุป'!$C$6,-1))</f>
        <v/>
      </c>
      <c r="O4778" s="15" t="n"/>
      <c r="P4778" s="15" t="n"/>
      <c r="Q4778" s="10" t="n"/>
      <c r="R4778" s="10" t="n"/>
      <c r="S4778" s="16" t="inlineStr">
        <is>
          <t>https://mstgolf.co.th/products/gf2040114177</t>
        </is>
      </c>
      <c r="T4778" s="1">
        <f>IF(B4778="ไม้กอล์ฟ",J4778,"")</f>
        <v/>
      </c>
    </row>
    <row r="4779">
      <c r="A4779" s="1" t="n">
        <v>3</v>
      </c>
      <c r="B4779" s="1" t="inlineStr">
        <is>
          <t>เสื้อผ้า</t>
        </is>
      </c>
      <c r="C4779" s="1" t="inlineStr">
        <is>
          <t>gf2040401475</t>
        </is>
      </c>
      <c r="D4779" s="1" t="inlineStr">
        <is>
          <t>ADIDAS Climacool Women's Mock Neck Long Sleeve Shirt (Black)</t>
        </is>
      </c>
      <c r="E4779" s="1" t="inlineStr">
        <is>
          <t>ADIDAS</t>
        </is>
      </c>
      <c r="F4779" s="1" t="inlineStr">
        <is>
          <t>LONG SLEEVES</t>
        </is>
      </c>
      <c r="G4779" s="1" t="inlineStr">
        <is>
          <t>GF20404014752XS</t>
        </is>
      </c>
      <c r="H4779" s="1" t="n">
        <v>7</v>
      </c>
      <c r="I4779" s="1" t="inlineStr">
        <is>
          <t>หมด</t>
        </is>
      </c>
      <c r="J4779" s="13" t="n">
        <v>89</v>
      </c>
      <c r="K4779" s="1" t="inlineStr"/>
      <c r="L4779" s="13" t="n">
        <v>59</v>
      </c>
      <c r="M4779" s="1">
        <f>IF(L4779="","ไม่พบใน SG",IF(ABS(J4779-L4779)&lt;0.005,"ตรงกัน","ไม่ตรง"))</f>
        <v/>
      </c>
      <c r="N4779" s="14">
        <f>IF(L4779="","",ROUND(L4779*'สรุป'!$C$6,-1))</f>
        <v/>
      </c>
      <c r="O4779" s="15" t="n"/>
      <c r="P4779" s="15" t="n"/>
      <c r="Q4779" s="10" t="n"/>
      <c r="R4779" s="10" t="n"/>
      <c r="S4779" s="16" t="inlineStr">
        <is>
          <t>https://mstgolf.co.th/products/gf2040401475</t>
        </is>
      </c>
      <c r="T4779" s="1">
        <f>IF(B4779="ไม้กอล์ฟ",J4779,"")</f>
        <v/>
      </c>
    </row>
    <row r="4780">
      <c r="A4780" s="1" t="n">
        <v>3</v>
      </c>
      <c r="B4780" s="1" t="inlineStr">
        <is>
          <t>เสื้อผ้า</t>
        </is>
      </c>
      <c r="C4780" s="1" t="inlineStr">
        <is>
          <t>gf2040120860</t>
        </is>
      </c>
      <c r="D4780" s="1" t="inlineStr">
        <is>
          <t>NIKE Victory+ Dri-FIT Men's Polo (Blue)</t>
        </is>
      </c>
      <c r="E4780" s="1" t="inlineStr">
        <is>
          <t>NIKE</t>
        </is>
      </c>
      <c r="F4780" s="1" t="inlineStr">
        <is>
          <t>SHORT SLEEVES</t>
        </is>
      </c>
      <c r="G4780" s="1" t="inlineStr">
        <is>
          <t>GF2040120860S</t>
        </is>
      </c>
      <c r="H4780" s="1" t="n">
        <v>5</v>
      </c>
      <c r="I4780" s="1" t="inlineStr">
        <is>
          <t>หมด</t>
        </is>
      </c>
      <c r="J4780" s="13" t="n">
        <v>89</v>
      </c>
      <c r="K4780" s="1" t="inlineStr"/>
      <c r="L4780" s="13" t="n"/>
      <c r="M4780" s="1">
        <f>IF(L4780="","ไม่พบใน SG",IF(ABS(J4780-L4780)&lt;0.005,"ตรงกัน","ไม่ตรง"))</f>
        <v/>
      </c>
      <c r="N4780" s="14">
        <f>IF(L4780="","",ROUND(L4780*'สรุป'!$C$6,-1))</f>
        <v/>
      </c>
      <c r="O4780" s="15" t="n"/>
      <c r="P4780" s="15" t="n"/>
      <c r="Q4780" s="10" t="n"/>
      <c r="R4780" s="10" t="n"/>
      <c r="S4780" s="16" t="inlineStr">
        <is>
          <t>https://mstgolf.co.th/products/gf2040120860</t>
        </is>
      </c>
      <c r="T4780" s="1">
        <f>IF(B4780="ไม้กอล์ฟ",J4780,"")</f>
        <v/>
      </c>
    </row>
    <row r="4781">
      <c r="A4781" s="1" t="n">
        <v>3</v>
      </c>
      <c r="B4781" s="1" t="inlineStr">
        <is>
          <t>เสื้อผ้า</t>
        </is>
      </c>
      <c r="C4781" s="1" t="inlineStr">
        <is>
          <t>gf2040120574</t>
        </is>
      </c>
      <c r="D4781" s="1" t="inlineStr">
        <is>
          <t>NIKE Victory+ Dri-FIT Men's Polo (Grey)</t>
        </is>
      </c>
      <c r="E4781" s="1" t="inlineStr">
        <is>
          <t>NIKE</t>
        </is>
      </c>
      <c r="F4781" s="1" t="inlineStr">
        <is>
          <t>SHORT SLEEVES</t>
        </is>
      </c>
      <c r="G4781" s="1" t="inlineStr">
        <is>
          <t>GF2040120574S</t>
        </is>
      </c>
      <c r="H4781" s="1" t="n">
        <v>5</v>
      </c>
      <c r="I4781" s="1" t="inlineStr">
        <is>
          <t>หมด</t>
        </is>
      </c>
      <c r="J4781" s="13" t="n">
        <v>89</v>
      </c>
      <c r="K4781" s="1" t="inlineStr"/>
      <c r="L4781" s="13" t="n">
        <v>89</v>
      </c>
      <c r="M4781" s="1">
        <f>IF(L4781="","ไม่พบใน SG",IF(ABS(J4781-L4781)&lt;0.005,"ตรงกัน","ไม่ตรง"))</f>
        <v/>
      </c>
      <c r="N4781" s="14">
        <f>IF(L4781="","",ROUND(L4781*'สรุป'!$C$6,-1))</f>
        <v/>
      </c>
      <c r="O4781" s="15" t="n"/>
      <c r="P4781" s="15" t="n"/>
      <c r="Q4781" s="10" t="n"/>
      <c r="R4781" s="10" t="n"/>
      <c r="S4781" s="16" t="inlineStr">
        <is>
          <t>https://mstgolf.co.th/products/gf2040120574</t>
        </is>
      </c>
      <c r="T4781" s="1">
        <f>IF(B4781="ไม้กอล์ฟ",J4781,"")</f>
        <v/>
      </c>
    </row>
    <row r="4782">
      <c r="A4782" s="1" t="n">
        <v>3</v>
      </c>
      <c r="B4782" s="1" t="inlineStr">
        <is>
          <t>เสื้อผ้า</t>
        </is>
      </c>
      <c r="C4782" s="1" t="inlineStr">
        <is>
          <t>gf2020101843</t>
        </is>
      </c>
      <c r="D4782" s="1" t="inlineStr">
        <is>
          <t>PUMA 101 Men's Pants (High Rise)</t>
        </is>
      </c>
      <c r="E4782" s="1" t="inlineStr">
        <is>
          <t>PUMA</t>
        </is>
      </c>
      <c r="F4782" s="1" t="inlineStr">
        <is>
          <t>LONG PANTS</t>
        </is>
      </c>
      <c r="G4782" s="1" t="inlineStr">
        <is>
          <t>GF202010184328</t>
        </is>
      </c>
      <c r="H4782" s="1" t="n">
        <v>7</v>
      </c>
      <c r="I4782" s="1" t="inlineStr">
        <is>
          <t>หมด</t>
        </is>
      </c>
      <c r="J4782" s="13" t="n">
        <v>89</v>
      </c>
      <c r="K4782" s="1" t="inlineStr"/>
      <c r="L4782" s="13" t="n"/>
      <c r="M4782" s="1">
        <f>IF(L4782="","ไม่พบใน SG",IF(ABS(J4782-L4782)&lt;0.005,"ตรงกัน","ไม่ตรง"))</f>
        <v/>
      </c>
      <c r="N4782" s="14">
        <f>IF(L4782="","",ROUND(L4782*'สรุป'!$C$6,-1))</f>
        <v/>
      </c>
      <c r="O4782" s="15" t="n"/>
      <c r="P4782" s="15" t="n"/>
      <c r="Q4782" s="10" t="n"/>
      <c r="R4782" s="10" t="n"/>
      <c r="S4782" s="16" t="inlineStr">
        <is>
          <t>https://mstgolf.co.th/products/gf2020101843</t>
        </is>
      </c>
      <c r="T4782" s="1">
        <f>IF(B4782="ไม้กอล์ฟ",J4782,"")</f>
        <v/>
      </c>
    </row>
    <row r="4783">
      <c r="A4783" s="1" t="n">
        <v>3</v>
      </c>
      <c r="B4783" s="1" t="inlineStr">
        <is>
          <t>เสื้อผ้า</t>
        </is>
      </c>
      <c r="C4783" s="1" t="inlineStr">
        <is>
          <t>gf2040119297</t>
        </is>
      </c>
      <c r="D4783" s="1" t="inlineStr">
        <is>
          <t>PUMA Aerlon Women's Mock Sleeveless Polo (Red Fire)</t>
        </is>
      </c>
      <c r="E4783" s="1" t="inlineStr">
        <is>
          <t>PUMA</t>
        </is>
      </c>
      <c r="F4783" s="1" t="inlineStr">
        <is>
          <t>SHORT SLEEVES</t>
        </is>
      </c>
      <c r="G4783" s="1" t="inlineStr">
        <is>
          <t>GF2040119297XS</t>
        </is>
      </c>
      <c r="H4783" s="1" t="n">
        <v>5</v>
      </c>
      <c r="I4783" s="1" t="inlineStr">
        <is>
          <t>หมด</t>
        </is>
      </c>
      <c r="J4783" s="13" t="n">
        <v>89</v>
      </c>
      <c r="K4783" s="1" t="inlineStr"/>
      <c r="L4783" s="13" t="n">
        <v>59</v>
      </c>
      <c r="M4783" s="1">
        <f>IF(L4783="","ไม่พบใน SG",IF(ABS(J4783-L4783)&lt;0.005,"ตรงกัน","ไม่ตรง"))</f>
        <v/>
      </c>
      <c r="N4783" s="14">
        <f>IF(L4783="","",ROUND(L4783*'สรุป'!$C$6,-1))</f>
        <v/>
      </c>
      <c r="O4783" s="15" t="n"/>
      <c r="P4783" s="15" t="n"/>
      <c r="Q4783" s="10" t="n"/>
      <c r="R4783" s="10" t="n"/>
      <c r="S4783" s="16" t="inlineStr">
        <is>
          <t>https://mstgolf.co.th/products/gf2040119297</t>
        </is>
      </c>
      <c r="T4783" s="1">
        <f>IF(B4783="ไม้กอล์ฟ",J4783,"")</f>
        <v/>
      </c>
    </row>
    <row r="4784">
      <c r="A4784" s="1" t="n">
        <v>3</v>
      </c>
      <c r="B4784" s="1" t="inlineStr">
        <is>
          <t>เสื้อผ้า</t>
        </is>
      </c>
      <c r="C4784" s="1" t="inlineStr">
        <is>
          <t>gf2020102245</t>
        </is>
      </c>
      <c r="D4784" s="1" t="inlineStr">
        <is>
          <t>PUMA Japan Hyper Stretch Houndstooth 3D Slim Men's Pants (White)</t>
        </is>
      </c>
      <c r="E4784" s="1" t="inlineStr">
        <is>
          <t>PUMA</t>
        </is>
      </c>
      <c r="F4784" s="1" t="inlineStr">
        <is>
          <t>LONG PANTS</t>
        </is>
      </c>
      <c r="G4784" s="1" t="inlineStr">
        <is>
          <t>GF2020102245S</t>
        </is>
      </c>
      <c r="H4784" s="1" t="n">
        <v>5</v>
      </c>
      <c r="I4784" s="1" t="inlineStr">
        <is>
          <t>หมด</t>
        </is>
      </c>
      <c r="J4784" s="13" t="n">
        <v>89</v>
      </c>
      <c r="K4784" s="1" t="inlineStr"/>
      <c r="L4784" s="13" t="n"/>
      <c r="M4784" s="1">
        <f>IF(L4784="","ไม่พบใน SG",IF(ABS(J4784-L4784)&lt;0.005,"ตรงกัน","ไม่ตรง"))</f>
        <v/>
      </c>
      <c r="N4784" s="14">
        <f>IF(L4784="","",ROUND(L4784*'สรุป'!$C$6,-1))</f>
        <v/>
      </c>
      <c r="O4784" s="15" t="n"/>
      <c r="P4784" s="15" t="n"/>
      <c r="Q4784" s="10" t="n"/>
      <c r="R4784" s="10" t="n"/>
      <c r="S4784" s="16" t="inlineStr">
        <is>
          <t>https://mstgolf.co.th/products/gf2020102245</t>
        </is>
      </c>
      <c r="T4784" s="1">
        <f>IF(B4784="ไม้กอล์ฟ",J4784,"")</f>
        <v/>
      </c>
    </row>
    <row r="4785">
      <c r="A4785" s="1" t="n">
        <v>3</v>
      </c>
      <c r="B4785" s="1" t="inlineStr">
        <is>
          <t>เสื้อผ้า</t>
        </is>
      </c>
      <c r="C4785" s="1" t="inlineStr">
        <is>
          <t>gf2040119257</t>
        </is>
      </c>
      <c r="D4785" s="1" t="inlineStr">
        <is>
          <t>PUMA Pure 2.0 Birdies Men's Polo (Deep Navy/White)</t>
        </is>
      </c>
      <c r="E4785" s="1" t="inlineStr">
        <is>
          <t>PUMA</t>
        </is>
      </c>
      <c r="F4785" s="1" t="inlineStr">
        <is>
          <t>SHORT SLEEVES</t>
        </is>
      </c>
      <c r="G4785" s="1" t="inlineStr">
        <is>
          <t>GF2040119257XS</t>
        </is>
      </c>
      <c r="H4785" s="1" t="n">
        <v>6</v>
      </c>
      <c r="I4785" s="1" t="inlineStr">
        <is>
          <t>หมด</t>
        </is>
      </c>
      <c r="J4785" s="13" t="n">
        <v>89</v>
      </c>
      <c r="K4785" s="1" t="inlineStr"/>
      <c r="L4785" s="13" t="n">
        <v>59</v>
      </c>
      <c r="M4785" s="1">
        <f>IF(L4785="","ไม่พบใน SG",IF(ABS(J4785-L4785)&lt;0.005,"ตรงกัน","ไม่ตรง"))</f>
        <v/>
      </c>
      <c r="N4785" s="14">
        <f>IF(L4785="","",ROUND(L4785*'สรุป'!$C$6,-1))</f>
        <v/>
      </c>
      <c r="O4785" s="15" t="n"/>
      <c r="P4785" s="15" t="n"/>
      <c r="Q4785" s="10" t="n"/>
      <c r="R4785" s="10" t="n"/>
      <c r="S4785" s="16" t="inlineStr">
        <is>
          <t>https://mstgolf.co.th/products/gf2040119257</t>
        </is>
      </c>
      <c r="T4785" s="1">
        <f>IF(B4785="ไม้กอล์ฟ",J4785,"")</f>
        <v/>
      </c>
    </row>
    <row r="4786">
      <c r="A4786" s="1" t="n">
        <v>3</v>
      </c>
      <c r="B4786" s="1" t="inlineStr">
        <is>
          <t>เสื้อผ้า</t>
        </is>
      </c>
      <c r="C4786" s="1" t="inlineStr">
        <is>
          <t>gf2040117449</t>
        </is>
      </c>
      <c r="D4786" s="1" t="inlineStr">
        <is>
          <t>PUMA Pure Women's Polo (Pink Icing)</t>
        </is>
      </c>
      <c r="E4786" s="1" t="inlineStr">
        <is>
          <t>PUMA</t>
        </is>
      </c>
      <c r="F4786" s="1" t="inlineStr">
        <is>
          <t>SHORT SLEEVES</t>
        </is>
      </c>
      <c r="G4786" s="1" t="inlineStr">
        <is>
          <t>GF2040117449XS</t>
        </is>
      </c>
      <c r="H4786" s="1" t="n">
        <v>6</v>
      </c>
      <c r="I4786" s="1" t="inlineStr">
        <is>
          <t>หมด</t>
        </is>
      </c>
      <c r="J4786" s="13" t="n">
        <v>89</v>
      </c>
      <c r="K4786" s="1" t="inlineStr"/>
      <c r="L4786" s="13" t="n">
        <v>89</v>
      </c>
      <c r="M4786" s="1">
        <f>IF(L4786="","ไม่พบใน SG",IF(ABS(J4786-L4786)&lt;0.005,"ตรงกัน","ไม่ตรง"))</f>
        <v/>
      </c>
      <c r="N4786" s="14">
        <f>IF(L4786="","",ROUND(L4786*'สรุป'!$C$6,-1))</f>
        <v/>
      </c>
      <c r="O4786" s="15" t="n"/>
      <c r="P4786" s="15" t="n"/>
      <c r="Q4786" s="10" t="n"/>
      <c r="R4786" s="10" t="n"/>
      <c r="S4786" s="16" t="inlineStr">
        <is>
          <t>https://mstgolf.co.th/products/gf2040117449</t>
        </is>
      </c>
      <c r="T4786" s="1">
        <f>IF(B4786="ไม้กอล์ฟ",J4786,"")</f>
        <v/>
      </c>
    </row>
    <row r="4787">
      <c r="A4787" s="1" t="n">
        <v>3</v>
      </c>
      <c r="B4787" s="1" t="inlineStr">
        <is>
          <t>เสื้อผ้า</t>
        </is>
      </c>
      <c r="C4787" s="1" t="inlineStr">
        <is>
          <t>gf2040117455</t>
        </is>
      </c>
      <c r="D4787" s="1" t="inlineStr">
        <is>
          <t>PUMA Volition Multi Flag Women's Polo (Red)</t>
        </is>
      </c>
      <c r="E4787" s="1" t="inlineStr">
        <is>
          <t>PUMA</t>
        </is>
      </c>
      <c r="F4787" s="1" t="inlineStr">
        <is>
          <t>SHORT SLEEVES</t>
        </is>
      </c>
      <c r="G4787" s="1" t="inlineStr">
        <is>
          <t>GF2040117455XS</t>
        </is>
      </c>
      <c r="H4787" s="1" t="n">
        <v>5</v>
      </c>
      <c r="I4787" s="1" t="inlineStr">
        <is>
          <t>หมด</t>
        </is>
      </c>
      <c r="J4787" s="13" t="n">
        <v>89</v>
      </c>
      <c r="K4787" s="1" t="inlineStr"/>
      <c r="L4787" s="13" t="n"/>
      <c r="M4787" s="1">
        <f>IF(L4787="","ไม่พบใน SG",IF(ABS(J4787-L4787)&lt;0.005,"ตรงกัน","ไม่ตรง"))</f>
        <v/>
      </c>
      <c r="N4787" s="14">
        <f>IF(L4787="","",ROUND(L4787*'สรุป'!$C$6,-1))</f>
        <v/>
      </c>
      <c r="O4787" s="15" t="n"/>
      <c r="P4787" s="15" t="n"/>
      <c r="Q4787" s="10" t="n"/>
      <c r="R4787" s="10" t="n"/>
      <c r="S4787" s="16" t="inlineStr">
        <is>
          <t>https://mstgolf.co.th/products/gf2040117455</t>
        </is>
      </c>
      <c r="T4787" s="1">
        <f>IF(B4787="ไม้กอล์ฟ",J4787,"")</f>
        <v/>
      </c>
    </row>
    <row r="4788">
      <c r="A4788" s="1" t="n">
        <v>3</v>
      </c>
      <c r="B4788" s="1" t="inlineStr">
        <is>
          <t>เสื้อผ้า</t>
        </is>
      </c>
      <c r="C4788" s="1" t="inlineStr">
        <is>
          <t>gf2040119299</t>
        </is>
      </c>
      <c r="D4788" s="1" t="inlineStr">
        <is>
          <t>PUMA x Arnold Palmer Jacquard Women's Sleeveless Polo (Pale Pink)</t>
        </is>
      </c>
      <c r="E4788" s="1" t="inlineStr">
        <is>
          <t>PUMA</t>
        </is>
      </c>
      <c r="F4788" s="1" t="inlineStr">
        <is>
          <t>SHORT SLEEVES</t>
        </is>
      </c>
      <c r="G4788" s="1" t="inlineStr">
        <is>
          <t>GF2040119299XS</t>
        </is>
      </c>
      <c r="H4788" s="1" t="n">
        <v>5</v>
      </c>
      <c r="I4788" s="1" t="inlineStr">
        <is>
          <t>หมด</t>
        </is>
      </c>
      <c r="J4788" s="13" t="n">
        <v>89</v>
      </c>
      <c r="K4788" s="1" t="inlineStr"/>
      <c r="L4788" s="13" t="n">
        <v>59</v>
      </c>
      <c r="M4788" s="1">
        <f>IF(L4788="","ไม่พบใน SG",IF(ABS(J4788-L4788)&lt;0.005,"ตรงกัน","ไม่ตรง"))</f>
        <v/>
      </c>
      <c r="N4788" s="14">
        <f>IF(L4788="","",ROUND(L4788*'สรุป'!$C$6,-1))</f>
        <v/>
      </c>
      <c r="O4788" s="15" t="n"/>
      <c r="P4788" s="15" t="n"/>
      <c r="Q4788" s="10" t="n"/>
      <c r="R4788" s="10" t="n"/>
      <c r="S4788" s="16" t="inlineStr">
        <is>
          <t>https://mstgolf.co.th/products/gf2040119299</t>
        </is>
      </c>
      <c r="T4788" s="1">
        <f>IF(B4788="ไม้กอล์ฟ",J4788,"")</f>
        <v/>
      </c>
    </row>
    <row r="4789">
      <c r="A4789" s="1" t="n">
        <v>3</v>
      </c>
      <c r="B4789" s="1" t="inlineStr">
        <is>
          <t>เสื้อผ้า</t>
        </is>
      </c>
      <c r="C4789" s="1" t="inlineStr">
        <is>
          <t>gf2040121271</t>
        </is>
      </c>
      <c r="D4789" s="1" t="inlineStr">
        <is>
          <t>TAYLORMADE Racing Line Men's T-Shirt (White)</t>
        </is>
      </c>
      <c r="E4789" s="1" t="inlineStr">
        <is>
          <t>TAYLORMADE</t>
        </is>
      </c>
      <c r="F4789" s="1" t="inlineStr">
        <is>
          <t>SHORT SLEEVES</t>
        </is>
      </c>
      <c r="G4789" s="1" t="inlineStr">
        <is>
          <t>GF2040121271XS</t>
        </is>
      </c>
      <c r="H4789" s="1" t="n">
        <v>5</v>
      </c>
      <c r="I4789" s="1" t="inlineStr">
        <is>
          <t>หมด</t>
        </is>
      </c>
      <c r="J4789" s="13" t="n">
        <v>89</v>
      </c>
      <c r="K4789" s="1" t="inlineStr"/>
      <c r="L4789" s="13" t="n"/>
      <c r="M4789" s="1">
        <f>IF(L4789="","ไม่พบใน SG",IF(ABS(J4789-L4789)&lt;0.005,"ตรงกัน","ไม่ตรง"))</f>
        <v/>
      </c>
      <c r="N4789" s="14">
        <f>IF(L4789="","",ROUND(L4789*'สรุป'!$C$6,-1))</f>
        <v/>
      </c>
      <c r="O4789" s="15" t="n"/>
      <c r="P4789" s="15" t="n"/>
      <c r="Q4789" s="10" t="n"/>
      <c r="R4789" s="10" t="n"/>
      <c r="S4789" s="16" t="inlineStr">
        <is>
          <t>https://mstgolf.co.th/products/gf2040121271</t>
        </is>
      </c>
      <c r="T4789" s="1">
        <f>IF(B4789="ไม้กอล์ฟ",J4789,"")</f>
        <v/>
      </c>
    </row>
    <row r="4790">
      <c r="A4790" s="1" t="n">
        <v>3</v>
      </c>
      <c r="B4790" s="1" t="inlineStr">
        <is>
          <t>เสื้อผ้า</t>
        </is>
      </c>
      <c r="C4790" s="1" t="inlineStr">
        <is>
          <t>gf2040121273</t>
        </is>
      </c>
      <c r="D4790" s="1" t="inlineStr">
        <is>
          <t>TAYLORMADE Speed Machine Men's T-Shirt (White)</t>
        </is>
      </c>
      <c r="E4790" s="1" t="inlineStr">
        <is>
          <t>TAYLORMADE</t>
        </is>
      </c>
      <c r="F4790" s="1" t="inlineStr">
        <is>
          <t>SHORT SLEEVES</t>
        </is>
      </c>
      <c r="G4790" s="1" t="inlineStr">
        <is>
          <t>GF2040121273XS</t>
        </is>
      </c>
      <c r="H4790" s="1" t="n">
        <v>5</v>
      </c>
      <c r="I4790" s="1" t="inlineStr">
        <is>
          <t>หมด</t>
        </is>
      </c>
      <c r="J4790" s="13" t="n">
        <v>89</v>
      </c>
      <c r="K4790" s="1" t="inlineStr"/>
      <c r="L4790" s="13" t="n"/>
      <c r="M4790" s="1">
        <f>IF(L4790="","ไม่พบใน SG",IF(ABS(J4790-L4790)&lt;0.005,"ตรงกัน","ไม่ตรง"))</f>
        <v/>
      </c>
      <c r="N4790" s="14">
        <f>IF(L4790="","",ROUND(L4790*'สรุป'!$C$6,-1))</f>
        <v/>
      </c>
      <c r="O4790" s="15" t="n"/>
      <c r="P4790" s="15" t="n"/>
      <c r="Q4790" s="10" t="n"/>
      <c r="R4790" s="10" t="n"/>
      <c r="S4790" s="16" t="inlineStr">
        <is>
          <t>https://mstgolf.co.th/products/gf2040121273</t>
        </is>
      </c>
      <c r="T4790" s="1">
        <f>IF(B4790="ไม้กอล์ฟ",J4790,"")</f>
        <v/>
      </c>
    </row>
    <row r="4791">
      <c r="A4791" s="1" t="n">
        <v>3</v>
      </c>
      <c r="B4791" s="1" t="inlineStr">
        <is>
          <t>อุปกรณ์เสริม</t>
        </is>
      </c>
      <c r="C4791" s="1" t="inlineStr">
        <is>
          <t>gf3150100166</t>
        </is>
      </c>
      <c r="D4791" s="1" t="inlineStr">
        <is>
          <t>UNDER ARMOUR 68" Double Canopy Umbrella (Black/Yellow/White)</t>
        </is>
      </c>
      <c r="E4791" s="1" t="inlineStr">
        <is>
          <t>UNDER ARMOUR</t>
        </is>
      </c>
      <c r="F4791" s="1" t="inlineStr">
        <is>
          <t>UMBRELLA</t>
        </is>
      </c>
      <c r="G4791" s="1" t="inlineStr">
        <is>
          <t>GF3150100166</t>
        </is>
      </c>
      <c r="H4791" s="1" t="n">
        <v>1</v>
      </c>
      <c r="I4791" s="1" t="inlineStr">
        <is>
          <t>หมด</t>
        </is>
      </c>
      <c r="J4791" s="13" t="n">
        <v>89</v>
      </c>
      <c r="K4791" s="1" t="inlineStr"/>
      <c r="L4791" s="13" t="n">
        <v>89</v>
      </c>
      <c r="M4791" s="1">
        <f>IF(L4791="","ไม่พบใน SG",IF(ABS(J4791-L4791)&lt;0.005,"ตรงกัน","ไม่ตรง"))</f>
        <v/>
      </c>
      <c r="N4791" s="14">
        <f>IF(L4791="","",ROUND(L4791*'สรุป'!$C$6,-1))</f>
        <v/>
      </c>
      <c r="O4791" s="15" t="n"/>
      <c r="P4791" s="15" t="n"/>
      <c r="Q4791" s="10" t="n"/>
      <c r="R4791" s="10" t="n"/>
      <c r="S4791" s="16" t="inlineStr">
        <is>
          <t>https://mstgolf.co.th/products/gf3150100166</t>
        </is>
      </c>
      <c r="T4791" s="1">
        <f>IF(B4791="ไม้กอล์ฟ",J4791,"")</f>
        <v/>
      </c>
    </row>
    <row r="4792">
      <c r="A4792" s="1" t="n">
        <v>3</v>
      </c>
      <c r="B4792" s="1" t="inlineStr">
        <is>
          <t>เสื้อผ้า</t>
        </is>
      </c>
      <c r="C4792" s="1" t="inlineStr">
        <is>
          <t>gf2060101101</t>
        </is>
      </c>
      <c r="D4792" s="1" t="inlineStr">
        <is>
          <t>UNDER ARMOUR Icon Fleece Goin' Under Men's Hoodie (Green)</t>
        </is>
      </c>
      <c r="E4792" s="1" t="inlineStr">
        <is>
          <t>UNDER ARMOUR</t>
        </is>
      </c>
      <c r="F4792" s="1" t="inlineStr">
        <is>
          <t>TOP</t>
        </is>
      </c>
      <c r="G4792" s="1" t="inlineStr">
        <is>
          <t>GF2060101101S</t>
        </is>
      </c>
      <c r="H4792" s="1" t="n">
        <v>5</v>
      </c>
      <c r="I4792" s="1" t="inlineStr">
        <is>
          <t>หมด</t>
        </is>
      </c>
      <c r="J4792" s="13" t="n">
        <v>89</v>
      </c>
      <c r="K4792" s="1" t="inlineStr"/>
      <c r="L4792" s="13" t="n">
        <v>69</v>
      </c>
      <c r="M4792" s="1">
        <f>IF(L4792="","ไม่พบใน SG",IF(ABS(J4792-L4792)&lt;0.005,"ตรงกัน","ไม่ตรง"))</f>
        <v/>
      </c>
      <c r="N4792" s="14">
        <f>IF(L4792="","",ROUND(L4792*'สรุป'!$C$6,-1))</f>
        <v/>
      </c>
      <c r="O4792" s="15" t="n"/>
      <c r="P4792" s="15" t="n"/>
      <c r="Q4792" s="10" t="n"/>
      <c r="R4792" s="10" t="n"/>
      <c r="S4792" s="16" t="inlineStr">
        <is>
          <t>https://mstgolf.co.th/products/gf2060101101</t>
        </is>
      </c>
      <c r="T4792" s="1">
        <f>IF(B4792="ไม้กอล์ฟ",J4792,"")</f>
        <v/>
      </c>
    </row>
    <row r="4793">
      <c r="A4793" s="1" t="n">
        <v>3</v>
      </c>
      <c r="B4793" s="1" t="inlineStr">
        <is>
          <t>เสื้อผ้า</t>
        </is>
      </c>
      <c r="C4793" s="1" t="inlineStr">
        <is>
          <t>gf2020102363</t>
        </is>
      </c>
      <c r="D4793" s="1" t="inlineStr">
        <is>
          <t>UNDER ARMOUR Matchplay Boy's Pants (Castlerock)</t>
        </is>
      </c>
      <c r="E4793" s="1" t="inlineStr">
        <is>
          <t>UNDER ARMOUR</t>
        </is>
      </c>
      <c r="F4793" s="1" t="inlineStr">
        <is>
          <t>LONG PANTS</t>
        </is>
      </c>
      <c r="G4793" s="1" t="inlineStr">
        <is>
          <t>GF2020102363XS</t>
        </is>
      </c>
      <c r="H4793" s="1" t="n">
        <v>5</v>
      </c>
      <c r="I4793" s="1" t="inlineStr">
        <is>
          <t>หมด</t>
        </is>
      </c>
      <c r="J4793" s="13" t="n">
        <v>89</v>
      </c>
      <c r="K4793" s="1" t="inlineStr"/>
      <c r="L4793" s="13" t="n"/>
      <c r="M4793" s="1">
        <f>IF(L4793="","ไม่พบใน SG",IF(ABS(J4793-L4793)&lt;0.005,"ตรงกัน","ไม่ตรง"))</f>
        <v/>
      </c>
      <c r="N4793" s="14">
        <f>IF(L4793="","",ROUND(L4793*'สรุป'!$C$6,-1))</f>
        <v/>
      </c>
      <c r="O4793" s="15" t="n"/>
      <c r="P4793" s="15" t="n"/>
      <c r="Q4793" s="10" t="n"/>
      <c r="R4793" s="10" t="n"/>
      <c r="S4793" s="16" t="inlineStr">
        <is>
          <t>https://mstgolf.co.th/products/gf2020102363</t>
        </is>
      </c>
      <c r="T4793" s="1">
        <f>IF(B4793="ไม้กอล์ฟ",J4793,"")</f>
        <v/>
      </c>
    </row>
    <row r="4794">
      <c r="A4794" s="1" t="n">
        <v>3</v>
      </c>
      <c r="B4794" s="1" t="inlineStr">
        <is>
          <t>เสื้อผ้า</t>
        </is>
      </c>
      <c r="C4794" s="1" t="inlineStr">
        <is>
          <t>gf2040119199</t>
        </is>
      </c>
      <c r="D4794" s="1" t="inlineStr">
        <is>
          <t>UNDER ARMOUR Matchplay Printed Men's Polo (White/Khaki)</t>
        </is>
      </c>
      <c r="E4794" s="1" t="inlineStr">
        <is>
          <t>UNDER ARMOUR</t>
        </is>
      </c>
      <c r="F4794" s="1" t="inlineStr">
        <is>
          <t>SHORT SLEEVES</t>
        </is>
      </c>
      <c r="G4794" s="1" t="inlineStr">
        <is>
          <t>GF2040119199S</t>
        </is>
      </c>
      <c r="H4794" s="1" t="n">
        <v>5</v>
      </c>
      <c r="I4794" s="1" t="inlineStr">
        <is>
          <t>หมด</t>
        </is>
      </c>
      <c r="J4794" s="13" t="n">
        <v>89</v>
      </c>
      <c r="K4794" s="1" t="inlineStr"/>
      <c r="L4794" s="13" t="n">
        <v>89</v>
      </c>
      <c r="M4794" s="1">
        <f>IF(L4794="","ไม่พบใน SG",IF(ABS(J4794-L4794)&lt;0.005,"ตรงกัน","ไม่ตรง"))</f>
        <v/>
      </c>
      <c r="N4794" s="14">
        <f>IF(L4794="","",ROUND(L4794*'สรุป'!$C$6,-1))</f>
        <v/>
      </c>
      <c r="O4794" s="15" t="n"/>
      <c r="P4794" s="15" t="n"/>
      <c r="Q4794" s="10" t="n"/>
      <c r="R4794" s="10" t="n"/>
      <c r="S4794" s="16" t="inlineStr">
        <is>
          <t>https://mstgolf.co.th/products/gf2040119199</t>
        </is>
      </c>
      <c r="T4794" s="1">
        <f>IF(B4794="ไม้กอล์ฟ",J4794,"")</f>
        <v/>
      </c>
    </row>
    <row r="4795">
      <c r="A4795" s="1" t="n">
        <v>3</v>
      </c>
      <c r="B4795" s="1" t="inlineStr">
        <is>
          <t>เสื้อผ้า</t>
        </is>
      </c>
      <c r="C4795" s="1" t="inlineStr">
        <is>
          <t>gf2040117225</t>
        </is>
      </c>
      <c r="D4795" s="1" t="inlineStr">
        <is>
          <t>UNDER ARMOUR Playoff 3.0 Coral Jacquard Men's Polo (Slit)</t>
        </is>
      </c>
      <c r="E4795" s="1" t="inlineStr">
        <is>
          <t>UNDER ARMOUR</t>
        </is>
      </c>
      <c r="F4795" s="1" t="inlineStr">
        <is>
          <t>SHORT SLEEVES</t>
        </is>
      </c>
      <c r="G4795" s="1" t="inlineStr">
        <is>
          <t>GF2040117225S</t>
        </is>
      </c>
      <c r="H4795" s="1" t="n">
        <v>5</v>
      </c>
      <c r="I4795" s="1" t="inlineStr">
        <is>
          <t>หมด</t>
        </is>
      </c>
      <c r="J4795" s="13" t="n">
        <v>89</v>
      </c>
      <c r="K4795" s="1" t="inlineStr"/>
      <c r="L4795" s="13" t="n"/>
      <c r="M4795" s="1">
        <f>IF(L4795="","ไม่พบใน SG",IF(ABS(J4795-L4795)&lt;0.005,"ตรงกัน","ไม่ตรง"))</f>
        <v/>
      </c>
      <c r="N4795" s="14">
        <f>IF(L4795="","",ROUND(L4795*'สรุป'!$C$6,-1))</f>
        <v/>
      </c>
      <c r="O4795" s="15" t="n"/>
      <c r="P4795" s="15" t="n"/>
      <c r="Q4795" s="10" t="n"/>
      <c r="R4795" s="10" t="n"/>
      <c r="S4795" s="16" t="inlineStr">
        <is>
          <t>https://mstgolf.co.th/products/gf2040117225</t>
        </is>
      </c>
      <c r="T4795" s="1">
        <f>IF(B4795="ไม้กอล์ฟ",J4795,"")</f>
        <v/>
      </c>
    </row>
    <row r="4796">
      <c r="A4796" s="1" t="n">
        <v>3</v>
      </c>
      <c r="B4796" s="1" t="inlineStr">
        <is>
          <t>เสื้อผ้า</t>
        </is>
      </c>
      <c r="C4796" s="1" t="inlineStr">
        <is>
          <t>gf2040118330</t>
        </is>
      </c>
      <c r="D4796" s="1" t="inlineStr">
        <is>
          <t>UNDER ARMOUR T2G PRT POLO</t>
        </is>
      </c>
      <c r="E4796" s="1" t="inlineStr">
        <is>
          <t>UNDER ARMOUR</t>
        </is>
      </c>
      <c r="F4796" s="1" t="inlineStr">
        <is>
          <t>SHORT SLEEVES</t>
        </is>
      </c>
      <c r="G4796" s="1" t="inlineStr">
        <is>
          <t>GF2040118330S</t>
        </is>
      </c>
      <c r="H4796" s="1" t="n">
        <v>5</v>
      </c>
      <c r="I4796" s="1" t="inlineStr">
        <is>
          <t>หมด</t>
        </is>
      </c>
      <c r="J4796" s="13" t="n">
        <v>89</v>
      </c>
      <c r="K4796" s="1" t="inlineStr"/>
      <c r="L4796" s="13" t="n"/>
      <c r="M4796" s="1">
        <f>IF(L4796="","ไม่พบใน SG",IF(ABS(J4796-L4796)&lt;0.005,"ตรงกัน","ไม่ตรง"))</f>
        <v/>
      </c>
      <c r="N4796" s="14">
        <f>IF(L4796="","",ROUND(L4796*'สรุป'!$C$6,-1))</f>
        <v/>
      </c>
      <c r="O4796" s="15" t="n"/>
      <c r="P4796" s="15" t="n"/>
      <c r="Q4796" s="10" t="n"/>
      <c r="R4796" s="10" t="n"/>
      <c r="S4796" s="16" t="inlineStr">
        <is>
          <t>https://mstgolf.co.th/products/gf2040118330</t>
        </is>
      </c>
      <c r="T4796" s="1">
        <f>IF(B4796="ไม้กอล์ฟ",J4796,"")</f>
        <v/>
      </c>
    </row>
    <row r="4797">
      <c r="A4797" s="1" t="n">
        <v>3</v>
      </c>
      <c r="B4797" s="1" t="inlineStr">
        <is>
          <t>เสื้อผ้า</t>
        </is>
      </c>
      <c r="C4797" s="1" t="inlineStr">
        <is>
          <t>gf2040119238</t>
        </is>
      </c>
      <c r="D4797" s="1" t="inlineStr">
        <is>
          <t>UNDER ARMOUR T2G Printed (2025) Men's Polo (Stream)</t>
        </is>
      </c>
      <c r="E4797" s="1" t="inlineStr">
        <is>
          <t>UNDER ARMOUR</t>
        </is>
      </c>
      <c r="F4797" s="1" t="inlineStr">
        <is>
          <t>SHORT SLEEVES</t>
        </is>
      </c>
      <c r="G4797" s="1" t="inlineStr">
        <is>
          <t>GF2040119238S</t>
        </is>
      </c>
      <c r="H4797" s="1" t="n">
        <v>5</v>
      </c>
      <c r="I4797" s="1" t="inlineStr">
        <is>
          <t>หมด</t>
        </is>
      </c>
      <c r="J4797" s="13" t="n">
        <v>89</v>
      </c>
      <c r="K4797" s="1" t="inlineStr"/>
      <c r="L4797" s="13" t="n"/>
      <c r="M4797" s="1">
        <f>IF(L4797="","ไม่พบใน SG",IF(ABS(J4797-L4797)&lt;0.005,"ตรงกัน","ไม่ตรง"))</f>
        <v/>
      </c>
      <c r="N4797" s="14">
        <f>IF(L4797="","",ROUND(L4797*'สรุป'!$C$6,-1))</f>
        <v/>
      </c>
      <c r="O4797" s="15" t="n"/>
      <c r="P4797" s="15" t="n"/>
      <c r="Q4797" s="10" t="n"/>
      <c r="R4797" s="10" t="n"/>
      <c r="S4797" s="16" t="inlineStr">
        <is>
          <t>https://mstgolf.co.th/products/gf2040119238</t>
        </is>
      </c>
      <c r="T4797" s="1">
        <f>IF(B4797="ไม้กอล์ฟ",J4797,"")</f>
        <v/>
      </c>
    </row>
    <row r="4798">
      <c r="A4798" s="1" t="n">
        <v>3</v>
      </c>
      <c r="B4798" s="1" t="inlineStr">
        <is>
          <t>อุปกรณ์เสริม</t>
        </is>
      </c>
      <c r="C4798" s="1" t="inlineStr">
        <is>
          <t>gf3500201665</t>
        </is>
      </c>
      <c r="D4798" s="1" t="inlineStr">
        <is>
          <t>WAAC Waacky Driver Headcover</t>
        </is>
      </c>
      <c r="E4798" s="1" t="inlineStr">
        <is>
          <t>WAAC</t>
        </is>
      </c>
      <c r="F4798" s="1" t="inlineStr">
        <is>
          <t>HEADCOVERS</t>
        </is>
      </c>
      <c r="G4798" s="1" t="inlineStr">
        <is>
          <t>GF3500201665</t>
        </is>
      </c>
      <c r="H4798" s="1" t="n">
        <v>1</v>
      </c>
      <c r="I4798" s="1" t="inlineStr">
        <is>
          <t>หมด</t>
        </is>
      </c>
      <c r="J4798" s="13" t="n">
        <v>89</v>
      </c>
      <c r="K4798" s="1" t="inlineStr"/>
      <c r="L4798" s="13" t="n"/>
      <c r="M4798" s="1">
        <f>IF(L4798="","ไม่พบใน SG",IF(ABS(J4798-L4798)&lt;0.005,"ตรงกัน","ไม่ตรง"))</f>
        <v/>
      </c>
      <c r="N4798" s="14">
        <f>IF(L4798="","",ROUND(L4798*'สรุป'!$C$6,-1))</f>
        <v/>
      </c>
      <c r="O4798" s="15" t="n"/>
      <c r="P4798" s="15" t="n"/>
      <c r="Q4798" s="10" t="n"/>
      <c r="R4798" s="10" t="n"/>
      <c r="S4798" s="16" t="inlineStr">
        <is>
          <t>https://mstgolf.co.th/products/gf3500201665</t>
        </is>
      </c>
      <c r="T4798" s="1">
        <f>IF(B4798="ไม้กอล์ฟ",J4798,"")</f>
        <v/>
      </c>
    </row>
    <row r="4799">
      <c r="A4799" s="1" t="n">
        <v>3</v>
      </c>
      <c r="B4799" s="1" t="inlineStr">
        <is>
          <t>อุปกรณ์เสริม</t>
        </is>
      </c>
      <c r="C4799" s="1" t="inlineStr">
        <is>
          <t>gf3500201666</t>
        </is>
      </c>
      <c r="D4799" s="1" t="inlineStr">
        <is>
          <t>WAAC Waacky Wood Headcover</t>
        </is>
      </c>
      <c r="E4799" s="1" t="inlineStr">
        <is>
          <t>WAAC</t>
        </is>
      </c>
      <c r="F4799" s="1" t="inlineStr">
        <is>
          <t>HEADCOVERS</t>
        </is>
      </c>
      <c r="G4799" s="1" t="inlineStr">
        <is>
          <t>GF3500201666</t>
        </is>
      </c>
      <c r="H4799" s="1" t="n">
        <v>1</v>
      </c>
      <c r="I4799" s="1" t="inlineStr">
        <is>
          <t>หมด</t>
        </is>
      </c>
      <c r="J4799" s="13" t="n">
        <v>89</v>
      </c>
      <c r="K4799" s="1" t="inlineStr"/>
      <c r="L4799" s="13" t="n">
        <v>89</v>
      </c>
      <c r="M4799" s="1">
        <f>IF(L4799="","ไม่พบใน SG",IF(ABS(J4799-L4799)&lt;0.005,"ตรงกัน","ไม่ตรง"))</f>
        <v/>
      </c>
      <c r="N4799" s="14">
        <f>IF(L4799="","",ROUND(L4799*'สรุป'!$C$6,-1))</f>
        <v/>
      </c>
      <c r="O4799" s="15" t="n"/>
      <c r="P4799" s="15" t="n"/>
      <c r="Q4799" s="10" t="n"/>
      <c r="R4799" s="10" t="n"/>
      <c r="S4799" s="16" t="inlineStr">
        <is>
          <t>https://mstgolf.co.th/products/gf3500201666</t>
        </is>
      </c>
      <c r="T4799" s="1">
        <f>IF(B4799="ไม้กอล์ฟ",J4799,"")</f>
        <v/>
      </c>
    </row>
    <row r="4800">
      <c r="A4800" s="1" t="n">
        <v>3</v>
      </c>
      <c r="B4800" s="1" t="inlineStr">
        <is>
          <t>หมวก</t>
        </is>
      </c>
      <c r="C4800" s="1" t="inlineStr">
        <is>
          <t>gf2000201018</t>
        </is>
      </c>
      <c r="D4800" s="1" t="inlineStr">
        <is>
          <t>MALBON GOLF Claire Women's Visor (Dusty Rose)</t>
        </is>
      </c>
      <c r="E4800" s="1" t="inlineStr">
        <is>
          <t>MALBON GOLF</t>
        </is>
      </c>
      <c r="F4800" s="1" t="inlineStr">
        <is>
          <t>VISOR</t>
        </is>
      </c>
      <c r="G4800" s="1" t="inlineStr">
        <is>
          <t>GF2000201018FS</t>
        </is>
      </c>
      <c r="H4800" s="1" t="n">
        <v>1</v>
      </c>
      <c r="I4800" s="1" t="inlineStr">
        <is>
          <t>หมด</t>
        </is>
      </c>
      <c r="J4800" s="13" t="n">
        <v>88</v>
      </c>
      <c r="K4800" s="1" t="inlineStr"/>
      <c r="L4800" s="13" t="n">
        <v>88</v>
      </c>
      <c r="M4800" s="1">
        <f>IF(L4800="","ไม่พบใน SG",IF(ABS(J4800-L4800)&lt;0.005,"ตรงกัน","ไม่ตรง"))</f>
        <v/>
      </c>
      <c r="N4800" s="14">
        <f>IF(L4800="","",ROUND(L4800*'สรุป'!$C$6,-1))</f>
        <v/>
      </c>
      <c r="O4800" s="15" t="n"/>
      <c r="P4800" s="15" t="n"/>
      <c r="Q4800" s="10" t="n"/>
      <c r="R4800" s="10" t="n"/>
      <c r="S4800" s="16" t="inlineStr">
        <is>
          <t>https://mstgolf.co.th/products/gf2000201018</t>
        </is>
      </c>
      <c r="T4800" s="1">
        <f>IF(B4800="ไม้กอล์ฟ",J4800,"")</f>
        <v/>
      </c>
    </row>
    <row r="4801">
      <c r="A4801" s="1" t="n">
        <v>3</v>
      </c>
      <c r="B4801" s="1" t="inlineStr">
        <is>
          <t>เสื้อผ้า</t>
        </is>
      </c>
      <c r="C4801" s="1" t="inlineStr">
        <is>
          <t>gf2040120519</t>
        </is>
      </c>
      <c r="D4801" s="1" t="inlineStr">
        <is>
          <t>ADIDAS Ultimate365 Tour Nylon Men's Polo (White)</t>
        </is>
      </c>
      <c r="E4801" s="1" t="inlineStr">
        <is>
          <t>ADIDAS</t>
        </is>
      </c>
      <c r="F4801" s="1" t="inlineStr">
        <is>
          <t>SHORT SLEEVES</t>
        </is>
      </c>
      <c r="G4801" s="1" t="inlineStr">
        <is>
          <t>GF20401205192XS</t>
        </is>
      </c>
      <c r="H4801" s="1" t="n">
        <v>9</v>
      </c>
      <c r="I4801" s="1" t="inlineStr">
        <is>
          <t>หมด</t>
        </is>
      </c>
      <c r="J4801" s="13" t="n">
        <v>85</v>
      </c>
      <c r="K4801" s="1" t="inlineStr"/>
      <c r="L4801" s="13" t="n">
        <v>59</v>
      </c>
      <c r="M4801" s="1">
        <f>IF(L4801="","ไม่พบใน SG",IF(ABS(J4801-L4801)&lt;0.005,"ตรงกัน","ไม่ตรง"))</f>
        <v/>
      </c>
      <c r="N4801" s="14">
        <f>IF(L4801="","",ROUND(L4801*'สรุป'!$C$6,-1))</f>
        <v/>
      </c>
      <c r="O4801" s="15" t="n"/>
      <c r="P4801" s="15" t="n"/>
      <c r="Q4801" s="10" t="n"/>
      <c r="R4801" s="10" t="n"/>
      <c r="S4801" s="16" t="inlineStr">
        <is>
          <t>https://mstgolf.co.th/products/gf2040120519</t>
        </is>
      </c>
      <c r="T4801" s="1">
        <f>IF(B4801="ไม้กอล์ฟ",J4801,"")</f>
        <v/>
      </c>
    </row>
    <row r="4802">
      <c r="A4802" s="1" t="n">
        <v>3</v>
      </c>
      <c r="B4802" s="1" t="inlineStr">
        <is>
          <t>หมวก</t>
        </is>
      </c>
      <c r="C4802" s="1" t="inlineStr">
        <is>
          <t>gf2000300421</t>
        </is>
      </c>
      <c r="D4802" s="1" t="inlineStr">
        <is>
          <t>MALBON GOLF x Keith Haring Men's Hat (White)</t>
        </is>
      </c>
      <c r="E4802" s="1" t="inlineStr">
        <is>
          <t>MALBON GOLF</t>
        </is>
      </c>
      <c r="F4802" s="1" t="inlineStr">
        <is>
          <t>HAT</t>
        </is>
      </c>
      <c r="G4802" s="1" t="inlineStr">
        <is>
          <t>GF2000300421S-M</t>
        </is>
      </c>
      <c r="H4802" s="1" t="n">
        <v>2</v>
      </c>
      <c r="I4802" s="1" t="inlineStr">
        <is>
          <t>หมด</t>
        </is>
      </c>
      <c r="J4802" s="13" t="n">
        <v>85</v>
      </c>
      <c r="K4802" s="1" t="inlineStr"/>
      <c r="L4802" s="13" t="n">
        <v>85</v>
      </c>
      <c r="M4802" s="1">
        <f>IF(L4802="","ไม่พบใน SG",IF(ABS(J4802-L4802)&lt;0.005,"ตรงกัน","ไม่ตรง"))</f>
        <v/>
      </c>
      <c r="N4802" s="14">
        <f>IF(L4802="","",ROUND(L4802*'สรุป'!$C$6,-1))</f>
        <v/>
      </c>
      <c r="O4802" s="15" t="n"/>
      <c r="P4802" s="15" t="n"/>
      <c r="Q4802" s="10" t="n"/>
      <c r="R4802" s="10" t="n"/>
      <c r="S4802" s="16" t="inlineStr">
        <is>
          <t>https://mstgolf.co.th/products/gf2000300421</t>
        </is>
      </c>
      <c r="T4802" s="1">
        <f>IF(B4802="ไม้กอล์ฟ",J4802,"")</f>
        <v/>
      </c>
    </row>
    <row r="4803">
      <c r="A4803" s="1" t="n">
        <v>3</v>
      </c>
      <c r="B4803" s="1" t="inlineStr">
        <is>
          <t>เสื้อผ้า</t>
        </is>
      </c>
      <c r="C4803" s="1" t="inlineStr">
        <is>
          <t>gf2020102244</t>
        </is>
      </c>
      <c r="D4803" s="1" t="inlineStr">
        <is>
          <t>PUMA Japan Stretch Side Line Men's Tapered Pants (Black)</t>
        </is>
      </c>
      <c r="E4803" s="1" t="inlineStr">
        <is>
          <t>PUMA</t>
        </is>
      </c>
      <c r="F4803" s="1" t="inlineStr">
        <is>
          <t>LONG PANTS</t>
        </is>
      </c>
      <c r="G4803" s="1" t="inlineStr">
        <is>
          <t>GF2020102244S</t>
        </is>
      </c>
      <c r="H4803" s="1" t="n">
        <v>5</v>
      </c>
      <c r="I4803" s="1" t="inlineStr">
        <is>
          <t>หมด</t>
        </is>
      </c>
      <c r="J4803" s="13" t="n">
        <v>85</v>
      </c>
      <c r="K4803" s="1" t="inlineStr"/>
      <c r="L4803" s="13" t="n"/>
      <c r="M4803" s="1">
        <f>IF(L4803="","ไม่พบใน SG",IF(ABS(J4803-L4803)&lt;0.005,"ตรงกัน","ไม่ตรง"))</f>
        <v/>
      </c>
      <c r="N4803" s="14">
        <f>IF(L4803="","",ROUND(L4803*'สรุป'!$C$6,-1))</f>
        <v/>
      </c>
      <c r="O4803" s="15" t="n"/>
      <c r="P4803" s="15" t="n"/>
      <c r="Q4803" s="10" t="n"/>
      <c r="R4803" s="10" t="n"/>
      <c r="S4803" s="16" t="inlineStr">
        <is>
          <t>https://mstgolf.co.th/products/gf2020102244</t>
        </is>
      </c>
      <c r="T4803" s="1">
        <f>IF(B4803="ไม้กอล์ฟ",J4803,"")</f>
        <v/>
      </c>
    </row>
    <row r="4804">
      <c r="A4804" s="1" t="n">
        <v>3</v>
      </c>
      <c r="B4804" s="1" t="inlineStr">
        <is>
          <t>เสื้อผ้า</t>
        </is>
      </c>
      <c r="C4804" s="1" t="inlineStr">
        <is>
          <t>gf2040401192</t>
        </is>
      </c>
      <c r="D4804" s="1" t="inlineStr">
        <is>
          <t>TAYLORMADE Basic Long Sleeve Men's Polo (White)</t>
        </is>
      </c>
      <c r="E4804" s="1" t="inlineStr">
        <is>
          <t>TAYLORMADE</t>
        </is>
      </c>
      <c r="F4804" s="1" t="inlineStr">
        <is>
          <t>LONG SLEEVES</t>
        </is>
      </c>
      <c r="G4804" s="1" t="inlineStr">
        <is>
          <t>GF2040401192S</t>
        </is>
      </c>
      <c r="H4804" s="1" t="n">
        <v>6</v>
      </c>
      <c r="I4804" s="1" t="inlineStr">
        <is>
          <t>หมด</t>
        </is>
      </c>
      <c r="J4804" s="13" t="n">
        <v>85</v>
      </c>
      <c r="K4804" s="1" t="inlineStr"/>
      <c r="L4804" s="13" t="n"/>
      <c r="M4804" s="1">
        <f>IF(L4804="","ไม่พบใน SG",IF(ABS(J4804-L4804)&lt;0.005,"ตรงกัน","ไม่ตรง"))</f>
        <v/>
      </c>
      <c r="N4804" s="14">
        <f>IF(L4804="","",ROUND(L4804*'สรุป'!$C$6,-1))</f>
        <v/>
      </c>
      <c r="O4804" s="15" t="n"/>
      <c r="P4804" s="15" t="n"/>
      <c r="Q4804" s="10" t="n"/>
      <c r="R4804" s="10" t="n"/>
      <c r="S4804" s="16" t="inlineStr">
        <is>
          <t>https://mstgolf.co.th/products/gf2040401192</t>
        </is>
      </c>
      <c r="T4804" s="1">
        <f>IF(B4804="ไม้กอล์ฟ",J4804,"")</f>
        <v/>
      </c>
    </row>
    <row r="4805">
      <c r="A4805" s="1" t="n">
        <v>3</v>
      </c>
      <c r="B4805" s="1" t="inlineStr">
        <is>
          <t>เสื้อผ้า</t>
        </is>
      </c>
      <c r="C4805" s="1" t="inlineStr">
        <is>
          <t>gf2040200131</t>
        </is>
      </c>
      <c r="D4805" s="1" t="inlineStr">
        <is>
          <t>TAYLORMADE T-ICE Concept Men's Mock Shirt (Black)</t>
        </is>
      </c>
      <c r="E4805" s="1" t="inlineStr">
        <is>
          <t>TAYLORMADE</t>
        </is>
      </c>
      <c r="F4805" s="1" t="inlineStr">
        <is>
          <t>TEE SHIRT</t>
        </is>
      </c>
      <c r="G4805" s="1" t="inlineStr">
        <is>
          <t>GF2040200131M</t>
        </is>
      </c>
      <c r="H4805" s="1" t="n">
        <v>5</v>
      </c>
      <c r="I4805" s="1" t="inlineStr">
        <is>
          <t>หมด</t>
        </is>
      </c>
      <c r="J4805" s="13" t="n">
        <v>85</v>
      </c>
      <c r="K4805" s="1" t="inlineStr"/>
      <c r="L4805" s="13" t="n">
        <v>85</v>
      </c>
      <c r="M4805" s="1">
        <f>IF(L4805="","ไม่พบใน SG",IF(ABS(J4805-L4805)&lt;0.005,"ตรงกัน","ไม่ตรง"))</f>
        <v/>
      </c>
      <c r="N4805" s="14">
        <f>IF(L4805="","",ROUND(L4805*'สรุป'!$C$6,-1))</f>
        <v/>
      </c>
      <c r="O4805" s="15" t="n"/>
      <c r="P4805" s="15" t="n"/>
      <c r="Q4805" s="10" t="n"/>
      <c r="R4805" s="10" t="n"/>
      <c r="S4805" s="16" t="inlineStr">
        <is>
          <t>https://mstgolf.co.th/products/gf2040200131</t>
        </is>
      </c>
      <c r="T4805" s="1">
        <f>IF(B4805="ไม้กอล์ฟ",J4805,"")</f>
        <v/>
      </c>
    </row>
    <row r="4806">
      <c r="A4806" s="1" t="n">
        <v>3</v>
      </c>
      <c r="B4806" s="1" t="inlineStr">
        <is>
          <t>หมวก</t>
        </is>
      </c>
      <c r="C4806" s="1" t="inlineStr">
        <is>
          <t>gf2000300406</t>
        </is>
      </c>
      <c r="D4806" s="1" t="inlineStr">
        <is>
          <t>TAYLORMADE x United Arrows Japan Women's Bucket Hat (Beige)</t>
        </is>
      </c>
      <c r="E4806" s="1" t="inlineStr">
        <is>
          <t>TAYLORMADE</t>
        </is>
      </c>
      <c r="F4806" s="1" t="inlineStr">
        <is>
          <t>HAT</t>
        </is>
      </c>
      <c r="G4806" s="1" t="inlineStr">
        <is>
          <t>GF2000300406FS</t>
        </is>
      </c>
      <c r="H4806" s="1" t="n">
        <v>1</v>
      </c>
      <c r="I4806" s="1" t="inlineStr">
        <is>
          <t>หมด</t>
        </is>
      </c>
      <c r="J4806" s="13" t="n">
        <v>84</v>
      </c>
      <c r="K4806" s="1" t="inlineStr"/>
      <c r="L4806" s="13" t="n"/>
      <c r="M4806" s="1">
        <f>IF(L4806="","ไม่พบใน SG",IF(ABS(J4806-L4806)&lt;0.005,"ตรงกัน","ไม่ตรง"))</f>
        <v/>
      </c>
      <c r="N4806" s="14">
        <f>IF(L4806="","",ROUND(L4806*'สรุป'!$C$6,-1))</f>
        <v/>
      </c>
      <c r="O4806" s="15" t="n"/>
      <c r="P4806" s="15" t="n"/>
      <c r="Q4806" s="10" t="n"/>
      <c r="R4806" s="10" t="n"/>
      <c r="S4806" s="16" t="inlineStr">
        <is>
          <t>https://mstgolf.co.th/products/gf2000300406</t>
        </is>
      </c>
      <c r="T4806" s="1">
        <f>IF(B4806="ไม้กอล์ฟ",J4806,"")</f>
        <v/>
      </c>
    </row>
    <row r="4807">
      <c r="A4807" s="1" t="n">
        <v>3</v>
      </c>
      <c r="B4807" s="1" t="inlineStr">
        <is>
          <t>เสื้อผ้า</t>
        </is>
      </c>
      <c r="C4807" s="1" t="inlineStr">
        <is>
          <t>gf2020102569</t>
        </is>
      </c>
      <c r="D4807" s="1" t="inlineStr">
        <is>
          <t>LE COQ SPORTIF GOLF Gingham Check Men's Pants (Navy)</t>
        </is>
      </c>
      <c r="E4807" s="1" t="inlineStr">
        <is>
          <t>LE COQ SPORTIF GOLF</t>
        </is>
      </c>
      <c r="F4807" s="1" t="inlineStr">
        <is>
          <t>LONG PANTS</t>
        </is>
      </c>
      <c r="G4807" s="1" t="inlineStr">
        <is>
          <t>GF202010256976</t>
        </is>
      </c>
      <c r="H4807" s="1" t="n">
        <v>6</v>
      </c>
      <c r="I4807" s="1" t="inlineStr">
        <is>
          <t>หมด</t>
        </is>
      </c>
      <c r="J4807" s="13" t="n">
        <v>83</v>
      </c>
      <c r="K4807" s="1" t="inlineStr"/>
      <c r="L4807" s="13" t="n"/>
      <c r="M4807" s="1">
        <f>IF(L4807="","ไม่พบใน SG",IF(ABS(J4807-L4807)&lt;0.005,"ตรงกัน","ไม่ตรง"))</f>
        <v/>
      </c>
      <c r="N4807" s="14">
        <f>IF(L4807="","",ROUND(L4807*'สรุป'!$C$6,-1))</f>
        <v/>
      </c>
      <c r="O4807" s="15" t="n"/>
      <c r="P4807" s="15" t="n"/>
      <c r="Q4807" s="10" t="n"/>
      <c r="R4807" s="10" t="n"/>
      <c r="S4807" s="16" t="inlineStr">
        <is>
          <t>https://mstgolf.co.th/products/gf2020102569</t>
        </is>
      </c>
      <c r="T4807" s="1">
        <f>IF(B4807="ไม้กอล์ฟ",J4807,"")</f>
        <v/>
      </c>
    </row>
    <row r="4808">
      <c r="A4808" s="1" t="n">
        <v>3</v>
      </c>
      <c r="B4808" s="1" t="inlineStr">
        <is>
          <t>เสื้อผ้า</t>
        </is>
      </c>
      <c r="C4808" s="1" t="inlineStr">
        <is>
          <t>gf2040117398</t>
        </is>
      </c>
      <c r="D4808" s="1" t="inlineStr">
        <is>
          <t>PUMA x PTC Floral Men's Polo (Deep Navy/Regal Blue)</t>
        </is>
      </c>
      <c r="E4808" s="1" t="inlineStr">
        <is>
          <t>PUMA</t>
        </is>
      </c>
      <c r="F4808" s="1" t="inlineStr">
        <is>
          <t>SHORT SLEEVES</t>
        </is>
      </c>
      <c r="G4808" s="1" t="inlineStr">
        <is>
          <t>GF2040117398XS</t>
        </is>
      </c>
      <c r="H4808" s="1" t="n">
        <v>7</v>
      </c>
      <c r="I4808" s="1" t="inlineStr">
        <is>
          <t>หมด</t>
        </is>
      </c>
      <c r="J4808" s="13" t="n">
        <v>83</v>
      </c>
      <c r="K4808" s="1" t="inlineStr"/>
      <c r="L4808" s="13" t="n"/>
      <c r="M4808" s="1">
        <f>IF(L4808="","ไม่พบใน SG",IF(ABS(J4808-L4808)&lt;0.005,"ตรงกัน","ไม่ตรง"))</f>
        <v/>
      </c>
      <c r="N4808" s="14">
        <f>IF(L4808="","",ROUND(L4808*'สรุป'!$C$6,-1))</f>
        <v/>
      </c>
      <c r="O4808" s="15" t="n"/>
      <c r="P4808" s="15" t="n"/>
      <c r="Q4808" s="10" t="n"/>
      <c r="R4808" s="10" t="n"/>
      <c r="S4808" s="16" t="inlineStr">
        <is>
          <t>https://mstgolf.co.th/products/gf2040117398</t>
        </is>
      </c>
      <c r="T4808" s="1">
        <f>IF(B4808="ไม้กอล์ฟ",J4808,"")</f>
        <v/>
      </c>
    </row>
    <row r="4809">
      <c r="A4809" s="1" t="n">
        <v>3</v>
      </c>
      <c r="B4809" s="1" t="inlineStr">
        <is>
          <t>เสื้อผ้า</t>
        </is>
      </c>
      <c r="C4809" s="1" t="inlineStr">
        <is>
          <t>gf2040118443</t>
        </is>
      </c>
      <c r="D4809" s="1" t="inlineStr">
        <is>
          <t>PUMA x PTC Palm Glitch Men's Polo (Deep Navy/Green)</t>
        </is>
      </c>
      <c r="E4809" s="1" t="inlineStr">
        <is>
          <t>PUMA</t>
        </is>
      </c>
      <c r="F4809" s="1" t="inlineStr">
        <is>
          <t>SHORT SLEEVES</t>
        </is>
      </c>
      <c r="G4809" s="1" t="inlineStr">
        <is>
          <t>GF2040118443XS</t>
        </is>
      </c>
      <c r="H4809" s="1" t="n">
        <v>7</v>
      </c>
      <c r="I4809" s="1" t="inlineStr">
        <is>
          <t>หมด</t>
        </is>
      </c>
      <c r="J4809" s="13" t="n">
        <v>83</v>
      </c>
      <c r="K4809" s="1" t="inlineStr"/>
      <c r="L4809" s="13" t="n"/>
      <c r="M4809" s="1">
        <f>IF(L4809="","ไม่พบใน SG",IF(ABS(J4809-L4809)&lt;0.005,"ตรงกัน","ไม่ตรง"))</f>
        <v/>
      </c>
      <c r="N4809" s="14">
        <f>IF(L4809="","",ROUND(L4809*'สรุป'!$C$6,-1))</f>
        <v/>
      </c>
      <c r="O4809" s="15" t="n"/>
      <c r="P4809" s="15" t="n"/>
      <c r="Q4809" s="10" t="n"/>
      <c r="R4809" s="10" t="n"/>
      <c r="S4809" s="16" t="inlineStr">
        <is>
          <t>https://mstgolf.co.th/products/gf2040118443</t>
        </is>
      </c>
      <c r="T4809" s="1">
        <f>IF(B4809="ไม้กอล์ฟ",J4809,"")</f>
        <v/>
      </c>
    </row>
    <row r="4810">
      <c r="A4810" s="1" t="n">
        <v>3</v>
      </c>
      <c r="B4810" s="1" t="inlineStr">
        <is>
          <t>เสื้อผ้า</t>
        </is>
      </c>
      <c r="C4810" s="1" t="inlineStr">
        <is>
          <t>gf2040118444</t>
        </is>
      </c>
      <c r="D4810" s="1" t="inlineStr">
        <is>
          <t>PUMA x PTC Palm Glitch Men's Polo (Green/Mint)</t>
        </is>
      </c>
      <c r="E4810" s="1" t="inlineStr">
        <is>
          <t>PUMA</t>
        </is>
      </c>
      <c r="F4810" s="1" t="inlineStr">
        <is>
          <t>SHORT SLEEVES</t>
        </is>
      </c>
      <c r="G4810" s="1" t="inlineStr">
        <is>
          <t>GF2040118444XS</t>
        </is>
      </c>
      <c r="H4810" s="1" t="n">
        <v>7</v>
      </c>
      <c r="I4810" s="1" t="inlineStr">
        <is>
          <t>หมด</t>
        </is>
      </c>
      <c r="J4810" s="13" t="n">
        <v>83</v>
      </c>
      <c r="K4810" s="1" t="inlineStr"/>
      <c r="L4810" s="13" t="n"/>
      <c r="M4810" s="1">
        <f>IF(L4810="","ไม่พบใน SG",IF(ABS(J4810-L4810)&lt;0.005,"ตรงกัน","ไม่ตรง"))</f>
        <v/>
      </c>
      <c r="N4810" s="14">
        <f>IF(L4810="","",ROUND(L4810*'สรุป'!$C$6,-1))</f>
        <v/>
      </c>
      <c r="O4810" s="15" t="n"/>
      <c r="P4810" s="15" t="n"/>
      <c r="Q4810" s="10" t="n"/>
      <c r="R4810" s="10" t="n"/>
      <c r="S4810" s="16" t="inlineStr">
        <is>
          <t>https://mstgolf.co.th/products/gf2040118444</t>
        </is>
      </c>
      <c r="T4810" s="1">
        <f>IF(B4810="ไม้กอล์ฟ",J4810,"")</f>
        <v/>
      </c>
    </row>
    <row r="4811">
      <c r="A4811" s="1" t="n">
        <v>3</v>
      </c>
      <c r="B4811" s="1" t="inlineStr">
        <is>
          <t>เสื้อผ้า</t>
        </is>
      </c>
      <c r="C4811" s="1" t="inlineStr">
        <is>
          <t>gf2040121121</t>
        </is>
      </c>
      <c r="D4811" s="1" t="inlineStr">
        <is>
          <t>ADIDAS Climacool Women's Mock Shirt (Pink)</t>
        </is>
      </c>
      <c r="E4811" s="1" t="inlineStr">
        <is>
          <t>ADIDAS</t>
        </is>
      </c>
      <c r="F4811" s="1" t="inlineStr">
        <is>
          <t>SHORT SLEEVES</t>
        </is>
      </c>
      <c r="G4811" s="1" t="inlineStr">
        <is>
          <t>GF20401211212XS</t>
        </is>
      </c>
      <c r="H4811" s="1" t="n">
        <v>7</v>
      </c>
      <c r="I4811" s="1" t="inlineStr">
        <is>
          <t>หมด</t>
        </is>
      </c>
      <c r="J4811" s="13" t="n">
        <v>79</v>
      </c>
      <c r="K4811" s="1" t="inlineStr"/>
      <c r="L4811" s="13" t="n">
        <v>55</v>
      </c>
      <c r="M4811" s="1">
        <f>IF(L4811="","ไม่พบใน SG",IF(ABS(J4811-L4811)&lt;0.005,"ตรงกัน","ไม่ตรง"))</f>
        <v/>
      </c>
      <c r="N4811" s="14">
        <f>IF(L4811="","",ROUND(L4811*'สรุป'!$C$6,-1))</f>
        <v/>
      </c>
      <c r="O4811" s="15" t="n"/>
      <c r="P4811" s="15" t="n"/>
      <c r="Q4811" s="10" t="n"/>
      <c r="R4811" s="10" t="n"/>
      <c r="S4811" s="16" t="inlineStr">
        <is>
          <t>https://mstgolf.co.th/products/gf2040121121</t>
        </is>
      </c>
      <c r="T4811" s="1">
        <f>IF(B4811="ไม้กอล์ฟ",J4811,"")</f>
        <v/>
      </c>
    </row>
    <row r="4812">
      <c r="A4812" s="1" t="n">
        <v>3</v>
      </c>
      <c r="B4812" s="1" t="inlineStr">
        <is>
          <t>เสื้อผ้า</t>
        </is>
      </c>
      <c r="C4812" s="1" t="inlineStr">
        <is>
          <t>gf2040120337</t>
        </is>
      </c>
      <c r="D4812" s="1" t="inlineStr">
        <is>
          <t>ADIDAS Men's Polo (White)</t>
        </is>
      </c>
      <c r="E4812" s="1" t="inlineStr">
        <is>
          <t>ADIDAS</t>
        </is>
      </c>
      <c r="F4812" s="1" t="inlineStr">
        <is>
          <t>SHORT SLEEVES</t>
        </is>
      </c>
      <c r="G4812" s="1" t="inlineStr">
        <is>
          <t>GF20401203372XS</t>
        </is>
      </c>
      <c r="H4812" s="1" t="n">
        <v>9</v>
      </c>
      <c r="I4812" s="1" t="inlineStr">
        <is>
          <t>หมด</t>
        </is>
      </c>
      <c r="J4812" s="13" t="n">
        <v>79</v>
      </c>
      <c r="K4812" s="1" t="inlineStr"/>
      <c r="L4812" s="13" t="n"/>
      <c r="M4812" s="1">
        <f>IF(L4812="","ไม่พบใน SG",IF(ABS(J4812-L4812)&lt;0.005,"ตรงกัน","ไม่ตรง"))</f>
        <v/>
      </c>
      <c r="N4812" s="14">
        <f>IF(L4812="","",ROUND(L4812*'สรุป'!$C$6,-1))</f>
        <v/>
      </c>
      <c r="O4812" s="15" t="n"/>
      <c r="P4812" s="15" t="n"/>
      <c r="Q4812" s="10" t="n"/>
      <c r="R4812" s="10" t="n"/>
      <c r="S4812" s="16" t="inlineStr">
        <is>
          <t>https://mstgolf.co.th/products/gf2040120337</t>
        </is>
      </c>
      <c r="T4812" s="1">
        <f>IF(B4812="ไม้กอล์ฟ",J4812,"")</f>
        <v/>
      </c>
    </row>
    <row r="4813">
      <c r="A4813" s="1" t="n">
        <v>3</v>
      </c>
      <c r="B4813" s="1" t="inlineStr">
        <is>
          <t>อุปกรณ์เสริม</t>
        </is>
      </c>
      <c r="C4813" s="1" t="inlineStr">
        <is>
          <t>gf3500300955</t>
        </is>
      </c>
      <c r="D4813" s="1" t="inlineStr">
        <is>
          <t>ADIDAS Originals Golf Driver Headcover</t>
        </is>
      </c>
      <c r="E4813" s="1" t="inlineStr">
        <is>
          <t>ADIDAS</t>
        </is>
      </c>
      <c r="F4813" s="1" t="inlineStr">
        <is>
          <t>GOLF ACCESSORIES</t>
        </is>
      </c>
      <c r="G4813" s="1" t="inlineStr">
        <is>
          <t>GF3500300955</t>
        </is>
      </c>
      <c r="H4813" s="1" t="n">
        <v>1</v>
      </c>
      <c r="I4813" s="1" t="inlineStr">
        <is>
          <t>หมด</t>
        </is>
      </c>
      <c r="J4813" s="13" t="n">
        <v>79</v>
      </c>
      <c r="K4813" s="1" t="inlineStr"/>
      <c r="L4813" s="13" t="n">
        <v>59</v>
      </c>
      <c r="M4813" s="1">
        <f>IF(L4813="","ไม่พบใน SG",IF(ABS(J4813-L4813)&lt;0.005,"ตรงกัน","ไม่ตรง"))</f>
        <v/>
      </c>
      <c r="N4813" s="14">
        <f>IF(L4813="","",ROUND(L4813*'สรุป'!$C$6,-1))</f>
        <v/>
      </c>
      <c r="O4813" s="15" t="n"/>
      <c r="P4813" s="15" t="n"/>
      <c r="Q4813" s="10" t="n"/>
      <c r="R4813" s="10" t="n"/>
      <c r="S4813" s="16" t="inlineStr">
        <is>
          <t>https://mstgolf.co.th/products/gf3500300955</t>
        </is>
      </c>
      <c r="T4813" s="1">
        <f>IF(B4813="ไม้กอล์ฟ",J4813,"")</f>
        <v/>
      </c>
    </row>
    <row r="4814">
      <c r="A4814" s="1" t="n">
        <v>3</v>
      </c>
      <c r="B4814" s="1" t="inlineStr">
        <is>
          <t>อุปกรณ์เสริม</t>
        </is>
      </c>
      <c r="C4814" s="1" t="inlineStr">
        <is>
          <t>gf3500300952</t>
        </is>
      </c>
      <c r="D4814" s="1" t="inlineStr">
        <is>
          <t>ADIDAS Originals Golf Driver Headcover</t>
        </is>
      </c>
      <c r="E4814" s="1" t="inlineStr">
        <is>
          <t>ADIDAS</t>
        </is>
      </c>
      <c r="F4814" s="1" t="inlineStr">
        <is>
          <t>GOLF ACCESSORIES</t>
        </is>
      </c>
      <c r="G4814" s="1" t="inlineStr">
        <is>
          <t>GF3500300952</t>
        </is>
      </c>
      <c r="H4814" s="1" t="n">
        <v>1</v>
      </c>
      <c r="I4814" s="1" t="inlineStr">
        <is>
          <t>หมด</t>
        </is>
      </c>
      <c r="J4814" s="13" t="n">
        <v>79</v>
      </c>
      <c r="K4814" s="1" t="inlineStr"/>
      <c r="L4814" s="13" t="n">
        <v>79</v>
      </c>
      <c r="M4814" s="1">
        <f>IF(L4814="","ไม่พบใน SG",IF(ABS(J4814-L4814)&lt;0.005,"ตรงกัน","ไม่ตรง"))</f>
        <v/>
      </c>
      <c r="N4814" s="14">
        <f>IF(L4814="","",ROUND(L4814*'สรุป'!$C$6,-1))</f>
        <v/>
      </c>
      <c r="O4814" s="15" t="n"/>
      <c r="P4814" s="15" t="n"/>
      <c r="Q4814" s="10" t="n"/>
      <c r="R4814" s="10" t="n"/>
      <c r="S4814" s="16" t="inlineStr">
        <is>
          <t>https://mstgolf.co.th/products/gf3500300952</t>
        </is>
      </c>
      <c r="T4814" s="1">
        <f>IF(B4814="ไม้กอล์ฟ",J4814,"")</f>
        <v/>
      </c>
    </row>
    <row r="4815">
      <c r="A4815" s="1" t="n">
        <v>3</v>
      </c>
      <c r="B4815" s="1" t="inlineStr">
        <is>
          <t>เสื้อผ้า</t>
        </is>
      </c>
      <c r="C4815" s="1" t="inlineStr">
        <is>
          <t>gf2020102504</t>
        </is>
      </c>
      <c r="D4815" s="1" t="inlineStr">
        <is>
          <t>CUTTER &amp; BUCK Men's Relaxed Fit Pants (Black)</t>
        </is>
      </c>
      <c r="E4815" s="1" t="inlineStr">
        <is>
          <t>CUTTER &amp; BUCK</t>
        </is>
      </c>
      <c r="F4815" s="1" t="inlineStr">
        <is>
          <t>LONG PANTS</t>
        </is>
      </c>
      <c r="G4815" s="1" t="inlineStr">
        <is>
          <t>GF202010250430</t>
        </is>
      </c>
      <c r="H4815" s="1" t="n">
        <v>7</v>
      </c>
      <c r="I4815" s="1" t="inlineStr">
        <is>
          <t>หมด</t>
        </is>
      </c>
      <c r="J4815" s="13" t="n">
        <v>79</v>
      </c>
      <c r="K4815" s="1" t="inlineStr"/>
      <c r="L4815" s="13" t="n"/>
      <c r="M4815" s="1">
        <f>IF(L4815="","ไม่พบใน SG",IF(ABS(J4815-L4815)&lt;0.005,"ตรงกัน","ไม่ตรง"))</f>
        <v/>
      </c>
      <c r="N4815" s="14">
        <f>IF(L4815="","",ROUND(L4815*'สรุป'!$C$6,-1))</f>
        <v/>
      </c>
      <c r="O4815" s="15" t="n"/>
      <c r="P4815" s="15" t="n"/>
      <c r="Q4815" s="10" t="n"/>
      <c r="R4815" s="10" t="n"/>
      <c r="S4815" s="16" t="inlineStr">
        <is>
          <t>https://mstgolf.co.th/products/gf2020102504</t>
        </is>
      </c>
      <c r="T4815" s="1">
        <f>IF(B4815="ไม้กอล์ฟ",J4815,"")</f>
        <v/>
      </c>
    </row>
    <row r="4816">
      <c r="A4816" s="1" t="n">
        <v>3</v>
      </c>
      <c r="B4816" s="1" t="inlineStr">
        <is>
          <t>เสื้อผ้า</t>
        </is>
      </c>
      <c r="C4816" s="1" t="inlineStr">
        <is>
          <t>gf2020102505</t>
        </is>
      </c>
      <c r="D4816" s="1" t="inlineStr">
        <is>
          <t>CUTTER &amp; BUCK Men's Relaxed Fit Pants (Dark Navy)</t>
        </is>
      </c>
      <c r="E4816" s="1" t="inlineStr">
        <is>
          <t>CUTTER &amp; BUCK</t>
        </is>
      </c>
      <c r="F4816" s="1" t="inlineStr">
        <is>
          <t>LONG PANTS</t>
        </is>
      </c>
      <c r="G4816" s="1" t="inlineStr">
        <is>
          <t>GF202010250530</t>
        </is>
      </c>
      <c r="H4816" s="1" t="n">
        <v>7</v>
      </c>
      <c r="I4816" s="1" t="inlineStr">
        <is>
          <t>หมด</t>
        </is>
      </c>
      <c r="J4816" s="13" t="n">
        <v>79</v>
      </c>
      <c r="K4816" s="1" t="inlineStr"/>
      <c r="L4816" s="13" t="n"/>
      <c r="M4816" s="1">
        <f>IF(L4816="","ไม่พบใน SG",IF(ABS(J4816-L4816)&lt;0.005,"ตรงกัน","ไม่ตรง"))</f>
        <v/>
      </c>
      <c r="N4816" s="14">
        <f>IF(L4816="","",ROUND(L4816*'สรุป'!$C$6,-1))</f>
        <v/>
      </c>
      <c r="O4816" s="15" t="n"/>
      <c r="P4816" s="15" t="n"/>
      <c r="Q4816" s="10" t="n"/>
      <c r="R4816" s="10" t="n"/>
      <c r="S4816" s="16" t="inlineStr">
        <is>
          <t>https://mstgolf.co.th/products/gf2020102505</t>
        </is>
      </c>
      <c r="T4816" s="1">
        <f>IF(B4816="ไม้กอล์ฟ",J4816,"")</f>
        <v/>
      </c>
    </row>
    <row r="4817">
      <c r="A4817" s="1" t="n">
        <v>3</v>
      </c>
      <c r="B4817" s="1" t="inlineStr">
        <is>
          <t>อุปกรณ์เสริม</t>
        </is>
      </c>
      <c r="C4817" s="1" t="inlineStr">
        <is>
          <t>gf3130100618</t>
        </is>
      </c>
      <c r="D4817" s="1" t="inlineStr">
        <is>
          <t>EPOCH EYEWEAR L2 Sport Wrap Black/Black Sunglasses</t>
        </is>
      </c>
      <c r="E4817" s="1" t="inlineStr">
        <is>
          <t>EPOCH EYEWEAR</t>
        </is>
      </c>
      <c r="F4817" s="1" t="inlineStr">
        <is>
          <t>SUNGLASSES</t>
        </is>
      </c>
      <c r="G4817" s="1" t="inlineStr">
        <is>
          <t>GF3130100618</t>
        </is>
      </c>
      <c r="H4817" s="1" t="n">
        <v>1</v>
      </c>
      <c r="I4817" s="1" t="inlineStr">
        <is>
          <t>หมด</t>
        </is>
      </c>
      <c r="J4817" s="13" t="n">
        <v>79</v>
      </c>
      <c r="K4817" s="1" t="inlineStr"/>
      <c r="L4817" s="13" t="n"/>
      <c r="M4817" s="1">
        <f>IF(L4817="","ไม่พบใน SG",IF(ABS(J4817-L4817)&lt;0.005,"ตรงกัน","ไม่ตรง"))</f>
        <v/>
      </c>
      <c r="N4817" s="14">
        <f>IF(L4817="","",ROUND(L4817*'สรุป'!$C$6,-1))</f>
        <v/>
      </c>
      <c r="O4817" s="15" t="n"/>
      <c r="P4817" s="15" t="n"/>
      <c r="Q4817" s="10" t="n"/>
      <c r="R4817" s="10" t="n"/>
      <c r="S4817" s="16" t="inlineStr">
        <is>
          <t>https://mstgolf.co.th/products/gf3130100618</t>
        </is>
      </c>
      <c r="T4817" s="1">
        <f>IF(B4817="ไม้กอล์ฟ",J4817,"")</f>
        <v/>
      </c>
    </row>
    <row r="4818">
      <c r="A4818" s="1" t="n">
        <v>3</v>
      </c>
      <c r="B4818" s="1" t="inlineStr">
        <is>
          <t>เสื้อผ้า</t>
        </is>
      </c>
      <c r="C4818" s="1" t="inlineStr">
        <is>
          <t>gf2040118057</t>
        </is>
      </c>
      <c r="D4818" s="1" t="inlineStr">
        <is>
          <t>GFORE Floral Tech Men's Jersey Polo (Snow)</t>
        </is>
      </c>
      <c r="E4818" s="1" t="inlineStr">
        <is>
          <t>GFORE</t>
        </is>
      </c>
      <c r="F4818" s="1" t="inlineStr">
        <is>
          <t>SHORT SLEEVES</t>
        </is>
      </c>
      <c r="G4818" s="1" t="inlineStr">
        <is>
          <t>GF2040118057XS</t>
        </is>
      </c>
      <c r="H4818" s="1" t="n">
        <v>6</v>
      </c>
      <c r="I4818" s="1" t="inlineStr">
        <is>
          <t>หมด</t>
        </is>
      </c>
      <c r="J4818" s="13" t="n">
        <v>79</v>
      </c>
      <c r="K4818" s="1" t="inlineStr"/>
      <c r="L4818" s="13" t="n">
        <v>79</v>
      </c>
      <c r="M4818" s="1">
        <f>IF(L4818="","ไม่พบใน SG",IF(ABS(J4818-L4818)&lt;0.005,"ตรงกัน","ไม่ตรง"))</f>
        <v/>
      </c>
      <c r="N4818" s="14">
        <f>IF(L4818="","",ROUND(L4818*'สรุป'!$C$6,-1))</f>
        <v/>
      </c>
      <c r="O4818" s="15" t="n"/>
      <c r="P4818" s="15" t="n"/>
      <c r="Q4818" s="10" t="n"/>
      <c r="R4818" s="10" t="n"/>
      <c r="S4818" s="16" t="inlineStr">
        <is>
          <t>https://mstgolf.co.th/products/gf2040118057</t>
        </is>
      </c>
      <c r="T4818" s="1">
        <f>IF(B4818="ไม้กอล์ฟ",J4818,"")</f>
        <v/>
      </c>
    </row>
    <row r="4819">
      <c r="A4819" s="1" t="n">
        <v>3</v>
      </c>
      <c r="B4819" s="1" t="inlineStr">
        <is>
          <t>เสื้อผ้า</t>
        </is>
      </c>
      <c r="C4819" s="1" t="inlineStr">
        <is>
          <t>gf2040116974</t>
        </is>
      </c>
      <c r="D4819" s="1" t="inlineStr">
        <is>
          <t>GFORE Mini Distorted Pique Men's Polo (Day Glo Pink)</t>
        </is>
      </c>
      <c r="E4819" s="1" t="inlineStr">
        <is>
          <t>GFORE</t>
        </is>
      </c>
      <c r="F4819" s="1" t="inlineStr">
        <is>
          <t>SHORT SLEEVES</t>
        </is>
      </c>
      <c r="G4819" s="1" t="inlineStr">
        <is>
          <t>GF2040116974XS</t>
        </is>
      </c>
      <c r="H4819" s="1" t="n">
        <v>6</v>
      </c>
      <c r="I4819" s="1" t="inlineStr">
        <is>
          <t>หมด</t>
        </is>
      </c>
      <c r="J4819" s="13" t="n">
        <v>79</v>
      </c>
      <c r="K4819" s="1" t="inlineStr"/>
      <c r="L4819" s="13" t="n">
        <v>79</v>
      </c>
      <c r="M4819" s="1">
        <f>IF(L4819="","ไม่พบใน SG",IF(ABS(J4819-L4819)&lt;0.005,"ตรงกัน","ไม่ตรง"))</f>
        <v/>
      </c>
      <c r="N4819" s="14">
        <f>IF(L4819="","",ROUND(L4819*'สรุป'!$C$6,-1))</f>
        <v/>
      </c>
      <c r="O4819" s="15" t="n"/>
      <c r="P4819" s="15" t="n"/>
      <c r="Q4819" s="10" t="n"/>
      <c r="R4819" s="10" t="n"/>
      <c r="S4819" s="16" t="inlineStr">
        <is>
          <t>https://mstgolf.co.th/products/gf2040116974</t>
        </is>
      </c>
      <c r="T4819" s="1">
        <f>IF(B4819="ไม้กอล์ฟ",J4819,"")</f>
        <v/>
      </c>
    </row>
    <row r="4820">
      <c r="A4820" s="1" t="n">
        <v>3</v>
      </c>
      <c r="B4820" s="1" t="inlineStr">
        <is>
          <t>เสื้อผ้า</t>
        </is>
      </c>
      <c r="C4820" s="1" t="inlineStr">
        <is>
          <t>gf2040118983</t>
        </is>
      </c>
      <c r="D4820" s="1" t="inlineStr">
        <is>
          <t>GFORE Patchwork Floral Tech Jersey Men's Polo (Fountain)</t>
        </is>
      </c>
      <c r="E4820" s="1" t="inlineStr">
        <is>
          <t>GFORE</t>
        </is>
      </c>
      <c r="F4820" s="1" t="inlineStr">
        <is>
          <t>SHORT SLEEVES</t>
        </is>
      </c>
      <c r="G4820" s="1" t="inlineStr">
        <is>
          <t>GF2040118983XS</t>
        </is>
      </c>
      <c r="H4820" s="1" t="n">
        <v>6</v>
      </c>
      <c r="I4820" s="1" t="inlineStr">
        <is>
          <t>หมด</t>
        </is>
      </c>
      <c r="J4820" s="13" t="n">
        <v>79</v>
      </c>
      <c r="K4820" s="1" t="inlineStr"/>
      <c r="L4820" s="13" t="n">
        <v>79</v>
      </c>
      <c r="M4820" s="1">
        <f>IF(L4820="","ไม่พบใน SG",IF(ABS(J4820-L4820)&lt;0.005,"ตรงกัน","ไม่ตรง"))</f>
        <v/>
      </c>
      <c r="N4820" s="14">
        <f>IF(L4820="","",ROUND(L4820*'สรุป'!$C$6,-1))</f>
        <v/>
      </c>
      <c r="O4820" s="15" t="n"/>
      <c r="P4820" s="15" t="n"/>
      <c r="Q4820" s="10" t="n"/>
      <c r="R4820" s="10" t="n"/>
      <c r="S4820" s="16" t="inlineStr">
        <is>
          <t>https://mstgolf.co.th/products/gf2040118983</t>
        </is>
      </c>
      <c r="T4820" s="1">
        <f>IF(B4820="ไม้กอล์ฟ",J4820,"")</f>
        <v/>
      </c>
    </row>
    <row r="4821">
      <c r="A4821" s="1" t="n">
        <v>3</v>
      </c>
      <c r="B4821" s="1" t="inlineStr">
        <is>
          <t>เสื้อผ้า</t>
        </is>
      </c>
      <c r="C4821" s="1" t="inlineStr">
        <is>
          <t>gf2040116975</t>
        </is>
      </c>
      <c r="D4821" s="1" t="inlineStr">
        <is>
          <t>GFORE Pique Men's Polo (Racer)</t>
        </is>
      </c>
      <c r="E4821" s="1" t="inlineStr">
        <is>
          <t>GFORE</t>
        </is>
      </c>
      <c r="F4821" s="1" t="inlineStr">
        <is>
          <t>SHORT SLEEVES</t>
        </is>
      </c>
      <c r="G4821" s="1" t="inlineStr">
        <is>
          <t>GF2040116975XS</t>
        </is>
      </c>
      <c r="H4821" s="1" t="n">
        <v>6</v>
      </c>
      <c r="I4821" s="1" t="inlineStr">
        <is>
          <t>หมด</t>
        </is>
      </c>
      <c r="J4821" s="13" t="n">
        <v>79</v>
      </c>
      <c r="K4821" s="1" t="inlineStr"/>
      <c r="L4821" s="13" t="n">
        <v>79</v>
      </c>
      <c r="M4821" s="1">
        <f>IF(L4821="","ไม่พบใน SG",IF(ABS(J4821-L4821)&lt;0.005,"ตรงกัน","ไม่ตรง"))</f>
        <v/>
      </c>
      <c r="N4821" s="14">
        <f>IF(L4821="","",ROUND(L4821*'สรุป'!$C$6,-1))</f>
        <v/>
      </c>
      <c r="O4821" s="15" t="n"/>
      <c r="P4821" s="15" t="n"/>
      <c r="Q4821" s="10" t="n"/>
      <c r="R4821" s="10" t="n"/>
      <c r="S4821" s="16" t="inlineStr">
        <is>
          <t>https://mstgolf.co.th/products/gf2040116975</t>
        </is>
      </c>
      <c r="T4821" s="1">
        <f>IF(B4821="ไม้กอล์ฟ",J4821,"")</f>
        <v/>
      </c>
    </row>
    <row r="4822">
      <c r="A4822" s="1" t="n">
        <v>3</v>
      </c>
      <c r="B4822" s="1" t="inlineStr">
        <is>
          <t>เสื้อผ้า</t>
        </is>
      </c>
      <c r="C4822" s="1" t="inlineStr">
        <is>
          <t>gf2040118986</t>
        </is>
      </c>
      <c r="D4822" s="1" t="inlineStr">
        <is>
          <t>GFORE Stamped Floral Tech Jersey Men's Polo (Cabernet)</t>
        </is>
      </c>
      <c r="E4822" s="1" t="inlineStr">
        <is>
          <t>GFORE</t>
        </is>
      </c>
      <c r="F4822" s="1" t="inlineStr">
        <is>
          <t>SHORT SLEEVES</t>
        </is>
      </c>
      <c r="G4822" s="1" t="inlineStr">
        <is>
          <t>GF2040118986XS</t>
        </is>
      </c>
      <c r="H4822" s="1" t="n">
        <v>6</v>
      </c>
      <c r="I4822" s="1" t="inlineStr">
        <is>
          <t>หมด</t>
        </is>
      </c>
      <c r="J4822" s="13" t="n">
        <v>79</v>
      </c>
      <c r="K4822" s="1" t="inlineStr"/>
      <c r="L4822" s="13" t="n">
        <v>79</v>
      </c>
      <c r="M4822" s="1">
        <f>IF(L4822="","ไม่พบใน SG",IF(ABS(J4822-L4822)&lt;0.005,"ตรงกัน","ไม่ตรง"))</f>
        <v/>
      </c>
      <c r="N4822" s="14">
        <f>IF(L4822="","",ROUND(L4822*'สรุป'!$C$6,-1))</f>
        <v/>
      </c>
      <c r="O4822" s="15" t="n"/>
      <c r="P4822" s="15" t="n"/>
      <c r="Q4822" s="10" t="n"/>
      <c r="R4822" s="10" t="n"/>
      <c r="S4822" s="16" t="inlineStr">
        <is>
          <t>https://mstgolf.co.th/products/gf2040118986</t>
        </is>
      </c>
      <c r="T4822" s="1">
        <f>IF(B4822="ไม้กอล์ฟ",J4822,"")</f>
        <v/>
      </c>
    </row>
    <row r="4823">
      <c r="A4823" s="1" t="n">
        <v>3</v>
      </c>
      <c r="B4823" s="1" t="inlineStr">
        <is>
          <t>เสื้อผ้า</t>
        </is>
      </c>
      <c r="C4823" s="1" t="inlineStr">
        <is>
          <t>gf2040116952</t>
        </is>
      </c>
      <c r="D4823" s="1" t="inlineStr">
        <is>
          <t>GFORE Stripe Contrast Jersey Men's Polo (Fjord)</t>
        </is>
      </c>
      <c r="E4823" s="1" t="inlineStr">
        <is>
          <t>GFORE</t>
        </is>
      </c>
      <c r="F4823" s="1" t="inlineStr">
        <is>
          <t>SHORT SLEEVES</t>
        </is>
      </c>
      <c r="G4823" s="1" t="inlineStr">
        <is>
          <t>GF2040116952XS</t>
        </is>
      </c>
      <c r="H4823" s="1" t="n">
        <v>6</v>
      </c>
      <c r="I4823" s="1" t="inlineStr">
        <is>
          <t>หมด</t>
        </is>
      </c>
      <c r="J4823" s="13" t="n">
        <v>79</v>
      </c>
      <c r="K4823" s="1" t="inlineStr"/>
      <c r="L4823" s="13" t="n"/>
      <c r="M4823" s="1">
        <f>IF(L4823="","ไม่พบใน SG",IF(ABS(J4823-L4823)&lt;0.005,"ตรงกัน","ไม่ตรง"))</f>
        <v/>
      </c>
      <c r="N4823" s="14">
        <f>IF(L4823="","",ROUND(L4823*'สรุป'!$C$6,-1))</f>
        <v/>
      </c>
      <c r="O4823" s="15" t="n"/>
      <c r="P4823" s="15" t="n"/>
      <c r="Q4823" s="10" t="n"/>
      <c r="R4823" s="10" t="n"/>
      <c r="S4823" s="16" t="inlineStr">
        <is>
          <t>https://mstgolf.co.th/products/gf2040116952</t>
        </is>
      </c>
      <c r="T4823" s="1">
        <f>IF(B4823="ไม้กอล์ฟ",J4823,"")</f>
        <v/>
      </c>
    </row>
    <row r="4824">
      <c r="A4824" s="1" t="n">
        <v>3</v>
      </c>
      <c r="B4824" s="1" t="inlineStr">
        <is>
          <t>เสื้อผ้า</t>
        </is>
      </c>
      <c r="C4824" s="1" t="inlineStr">
        <is>
          <t>gf2040300159</t>
        </is>
      </c>
      <c r="D4824" s="1" t="inlineStr">
        <is>
          <t>LE COQ SPORTIF GOLF Mondarian Dress (Black)</t>
        </is>
      </c>
      <c r="E4824" s="1" t="inlineStr">
        <is>
          <t>LE COQ SPORTIF GOLF</t>
        </is>
      </c>
      <c r="F4824" s="1" t="inlineStr">
        <is>
          <t>DRESS</t>
        </is>
      </c>
      <c r="G4824" s="1" t="inlineStr">
        <is>
          <t>GF2040300159S</t>
        </is>
      </c>
      <c r="H4824" s="1" t="n">
        <v>6</v>
      </c>
      <c r="I4824" s="1" t="inlineStr">
        <is>
          <t>หมด</t>
        </is>
      </c>
      <c r="J4824" s="13" t="n">
        <v>79</v>
      </c>
      <c r="K4824" s="1" t="inlineStr"/>
      <c r="L4824" s="13" t="n"/>
      <c r="M4824" s="1">
        <f>IF(L4824="","ไม่พบใน SG",IF(ABS(J4824-L4824)&lt;0.005,"ตรงกัน","ไม่ตรง"))</f>
        <v/>
      </c>
      <c r="N4824" s="14">
        <f>IF(L4824="","",ROUND(L4824*'สรุป'!$C$6,-1))</f>
        <v/>
      </c>
      <c r="O4824" s="15" t="n"/>
      <c r="P4824" s="15" t="n"/>
      <c r="Q4824" s="10" t="n"/>
      <c r="R4824" s="10" t="n"/>
      <c r="S4824" s="16" t="inlineStr">
        <is>
          <t>https://mstgolf.co.th/products/gf2040300159</t>
        </is>
      </c>
      <c r="T4824" s="1">
        <f>IF(B4824="ไม้กอล์ฟ",J4824,"")</f>
        <v/>
      </c>
    </row>
    <row r="4825">
      <c r="A4825" s="1" t="n">
        <v>3</v>
      </c>
      <c r="B4825" s="1" t="inlineStr">
        <is>
          <t>หมวก</t>
        </is>
      </c>
      <c r="C4825" s="1" t="inlineStr">
        <is>
          <t>gf2000200965</t>
        </is>
      </c>
      <c r="D4825" s="1" t="inlineStr">
        <is>
          <t>MAJESTY Women's Visor (Pink/White)</t>
        </is>
      </c>
      <c r="E4825" s="1" t="inlineStr">
        <is>
          <t>MAJESTY</t>
        </is>
      </c>
      <c r="F4825" s="1" t="inlineStr">
        <is>
          <t>VISOR</t>
        </is>
      </c>
      <c r="G4825" s="1" t="inlineStr">
        <is>
          <t>GF2000200965FS</t>
        </is>
      </c>
      <c r="H4825" s="1" t="n">
        <v>1</v>
      </c>
      <c r="I4825" s="1" t="inlineStr">
        <is>
          <t>หมด</t>
        </is>
      </c>
      <c r="J4825" s="13" t="n">
        <v>79</v>
      </c>
      <c r="K4825" s="1" t="inlineStr"/>
      <c r="L4825" s="13" t="n"/>
      <c r="M4825" s="1">
        <f>IF(L4825="","ไม่พบใน SG",IF(ABS(J4825-L4825)&lt;0.005,"ตรงกัน","ไม่ตรง"))</f>
        <v/>
      </c>
      <c r="N4825" s="14">
        <f>IF(L4825="","",ROUND(L4825*'สรุป'!$C$6,-1))</f>
        <v/>
      </c>
      <c r="O4825" s="15" t="n"/>
      <c r="P4825" s="15" t="n"/>
      <c r="Q4825" s="10" t="n"/>
      <c r="R4825" s="10" t="n"/>
      <c r="S4825" s="16" t="inlineStr">
        <is>
          <t>https://mstgolf.co.th/products/gf2000200965</t>
        </is>
      </c>
      <c r="T4825" s="1">
        <f>IF(B4825="ไม้กอล์ฟ",J4825,"")</f>
        <v/>
      </c>
    </row>
    <row r="4826">
      <c r="A4826" s="1" t="n">
        <v>3</v>
      </c>
      <c r="B4826" s="1" t="inlineStr">
        <is>
          <t>หมวก</t>
        </is>
      </c>
      <c r="C4826" s="1" t="inlineStr">
        <is>
          <t>gf2000200964</t>
        </is>
      </c>
      <c r="D4826" s="1" t="inlineStr">
        <is>
          <t>MAJESTY Women's Visor (White/Pink)</t>
        </is>
      </c>
      <c r="E4826" s="1" t="inlineStr">
        <is>
          <t>MAJESTY</t>
        </is>
      </c>
      <c r="F4826" s="1" t="inlineStr">
        <is>
          <t>VISOR</t>
        </is>
      </c>
      <c r="G4826" s="1" t="inlineStr">
        <is>
          <t>GF2000200964FS</t>
        </is>
      </c>
      <c r="H4826" s="1" t="n">
        <v>1</v>
      </c>
      <c r="I4826" s="1" t="inlineStr">
        <is>
          <t>หมด</t>
        </is>
      </c>
      <c r="J4826" s="13" t="n">
        <v>79</v>
      </c>
      <c r="K4826" s="1" t="inlineStr"/>
      <c r="L4826" s="13" t="n"/>
      <c r="M4826" s="1">
        <f>IF(L4826="","ไม่พบใน SG",IF(ABS(J4826-L4826)&lt;0.005,"ตรงกัน","ไม่ตรง"))</f>
        <v/>
      </c>
      <c r="N4826" s="14">
        <f>IF(L4826="","",ROUND(L4826*'สรุป'!$C$6,-1))</f>
        <v/>
      </c>
      <c r="O4826" s="15" t="n"/>
      <c r="P4826" s="15" t="n"/>
      <c r="Q4826" s="10" t="n"/>
      <c r="R4826" s="10" t="n"/>
      <c r="S4826" s="16" t="inlineStr">
        <is>
          <t>https://mstgolf.co.th/products/gf2000200964</t>
        </is>
      </c>
      <c r="T4826" s="1">
        <f>IF(B4826="ไม้กอล์ฟ",J4826,"")</f>
        <v/>
      </c>
    </row>
    <row r="4827">
      <c r="A4827" s="1" t="n">
        <v>3</v>
      </c>
      <c r="B4827" s="1" t="inlineStr">
        <is>
          <t>หมวก</t>
        </is>
      </c>
      <c r="C4827" s="1" t="inlineStr">
        <is>
          <t>gf2000106238</t>
        </is>
      </c>
      <c r="D4827" s="1" t="inlineStr">
        <is>
          <t>MALBON GOLF M Script Chainstitch Men's Cap (Black)</t>
        </is>
      </c>
      <c r="E4827" s="1" t="inlineStr">
        <is>
          <t>MALBON GOLF</t>
        </is>
      </c>
      <c r="F4827" s="1" t="inlineStr">
        <is>
          <t>CAP</t>
        </is>
      </c>
      <c r="G4827" s="1" t="inlineStr">
        <is>
          <t>GF2000106238FS</t>
        </is>
      </c>
      <c r="H4827" s="1" t="n">
        <v>1</v>
      </c>
      <c r="I4827" s="1" t="inlineStr">
        <is>
          <t>หมด</t>
        </is>
      </c>
      <c r="J4827" s="13" t="n">
        <v>79</v>
      </c>
      <c r="K4827" s="1" t="inlineStr"/>
      <c r="L4827" s="13" t="n">
        <v>79</v>
      </c>
      <c r="M4827" s="1">
        <f>IF(L4827="","ไม่พบใน SG",IF(ABS(J4827-L4827)&lt;0.005,"ตรงกัน","ไม่ตรง"))</f>
        <v/>
      </c>
      <c r="N4827" s="14">
        <f>IF(L4827="","",ROUND(L4827*'สรุป'!$C$6,-1))</f>
        <v/>
      </c>
      <c r="O4827" s="15" t="n"/>
      <c r="P4827" s="15" t="n"/>
      <c r="Q4827" s="10" t="n"/>
      <c r="R4827" s="10" t="n"/>
      <c r="S4827" s="16" t="inlineStr">
        <is>
          <t>https://mstgolf.co.th/products/gf2000106238</t>
        </is>
      </c>
      <c r="T4827" s="1">
        <f>IF(B4827="ไม้กอล์ฟ",J4827,"")</f>
        <v/>
      </c>
    </row>
    <row r="4828">
      <c r="A4828" s="1" t="n">
        <v>3</v>
      </c>
      <c r="B4828" s="1" t="inlineStr">
        <is>
          <t>หมวก</t>
        </is>
      </c>
      <c r="C4828" s="1" t="inlineStr">
        <is>
          <t>gf2000106241</t>
        </is>
      </c>
      <c r="D4828" s="1" t="inlineStr">
        <is>
          <t>MALBON GOLF Romano Dad Men's Cap (Khaki)</t>
        </is>
      </c>
      <c r="E4828" s="1" t="inlineStr">
        <is>
          <t>MALBON GOLF</t>
        </is>
      </c>
      <c r="F4828" s="1" t="inlineStr">
        <is>
          <t>CAP</t>
        </is>
      </c>
      <c r="G4828" s="1" t="inlineStr">
        <is>
          <t>GF2000106241FS</t>
        </is>
      </c>
      <c r="H4828" s="1" t="n">
        <v>1</v>
      </c>
      <c r="I4828" s="1" t="inlineStr">
        <is>
          <t>หมด</t>
        </is>
      </c>
      <c r="J4828" s="13" t="n">
        <v>79</v>
      </c>
      <c r="K4828" s="1" t="inlineStr"/>
      <c r="L4828" s="13" t="n">
        <v>79</v>
      </c>
      <c r="M4828" s="1">
        <f>IF(L4828="","ไม่พบใน SG",IF(ABS(J4828-L4828)&lt;0.005,"ตรงกัน","ไม่ตรง"))</f>
        <v/>
      </c>
      <c r="N4828" s="14">
        <f>IF(L4828="","",ROUND(L4828*'สรุป'!$C$6,-1))</f>
        <v/>
      </c>
      <c r="O4828" s="15" t="n"/>
      <c r="P4828" s="15" t="n"/>
      <c r="Q4828" s="10" t="n"/>
      <c r="R4828" s="10" t="n"/>
      <c r="S4828" s="16" t="inlineStr">
        <is>
          <t>https://mstgolf.co.th/products/gf2000106241</t>
        </is>
      </c>
      <c r="T4828" s="1">
        <f>IF(B4828="ไม้กอล์ฟ",J4828,"")</f>
        <v/>
      </c>
    </row>
    <row r="4829">
      <c r="A4829" s="1" t="n">
        <v>3</v>
      </c>
      <c r="B4829" s="1" t="inlineStr">
        <is>
          <t>หมวก</t>
        </is>
      </c>
      <c r="C4829" s="1" t="inlineStr">
        <is>
          <t>gf2000106242</t>
        </is>
      </c>
      <c r="D4829" s="1" t="inlineStr">
        <is>
          <t>MALBON GOLF Romano Dad Men's Cap (White)</t>
        </is>
      </c>
      <c r="E4829" s="1" t="inlineStr">
        <is>
          <t>MALBON GOLF</t>
        </is>
      </c>
      <c r="F4829" s="1" t="inlineStr">
        <is>
          <t>CAP</t>
        </is>
      </c>
      <c r="G4829" s="1" t="inlineStr">
        <is>
          <t>GF2000106242FS</t>
        </is>
      </c>
      <c r="H4829" s="1" t="n">
        <v>1</v>
      </c>
      <c r="I4829" s="1" t="inlineStr">
        <is>
          <t>หมด</t>
        </is>
      </c>
      <c r="J4829" s="13" t="n">
        <v>79</v>
      </c>
      <c r="K4829" s="1" t="inlineStr"/>
      <c r="L4829" s="13" t="n">
        <v>79</v>
      </c>
      <c r="M4829" s="1">
        <f>IF(L4829="","ไม่พบใน SG",IF(ABS(J4829-L4829)&lt;0.005,"ตรงกัน","ไม่ตรง"))</f>
        <v/>
      </c>
      <c r="N4829" s="14">
        <f>IF(L4829="","",ROUND(L4829*'สรุป'!$C$6,-1))</f>
        <v/>
      </c>
      <c r="O4829" s="15" t="n"/>
      <c r="P4829" s="15" t="n"/>
      <c r="Q4829" s="10" t="n"/>
      <c r="R4829" s="10" t="n"/>
      <c r="S4829" s="16" t="inlineStr">
        <is>
          <t>https://mstgolf.co.th/products/gf2000106242</t>
        </is>
      </c>
      <c r="T4829" s="1">
        <f>IF(B4829="ไม้กอล์ฟ",J4829,"")</f>
        <v/>
      </c>
    </row>
    <row r="4830">
      <c r="A4830" s="1" t="n">
        <v>3</v>
      </c>
      <c r="B4830" s="1" t="inlineStr">
        <is>
          <t>เสื้อผ้า</t>
        </is>
      </c>
      <c r="C4830" s="1" t="inlineStr">
        <is>
          <t>gf2040401325</t>
        </is>
      </c>
      <c r="D4830" s="1" t="inlineStr">
        <is>
          <t>MALBON GOLF Trophy Men's Long Sleeve T-Shirt (Green)</t>
        </is>
      </c>
      <c r="E4830" s="1" t="inlineStr">
        <is>
          <t>MALBON GOLF</t>
        </is>
      </c>
      <c r="F4830" s="1" t="inlineStr">
        <is>
          <t>LONG SLEEVES</t>
        </is>
      </c>
      <c r="G4830" s="1" t="inlineStr">
        <is>
          <t>GF2040401325S</t>
        </is>
      </c>
      <c r="H4830" s="1" t="n">
        <v>5</v>
      </c>
      <c r="I4830" s="1" t="inlineStr">
        <is>
          <t>หมด</t>
        </is>
      </c>
      <c r="J4830" s="13" t="n">
        <v>79</v>
      </c>
      <c r="K4830" s="1" t="inlineStr"/>
      <c r="L4830" s="13" t="n">
        <v>79</v>
      </c>
      <c r="M4830" s="1">
        <f>IF(L4830="","ไม่พบใน SG",IF(ABS(J4830-L4830)&lt;0.005,"ตรงกัน","ไม่ตรง"))</f>
        <v/>
      </c>
      <c r="N4830" s="14">
        <f>IF(L4830="","",ROUND(L4830*'สรุป'!$C$6,-1))</f>
        <v/>
      </c>
      <c r="O4830" s="15" t="n"/>
      <c r="P4830" s="15" t="n"/>
      <c r="Q4830" s="10" t="n"/>
      <c r="R4830" s="10" t="n"/>
      <c r="S4830" s="16" t="inlineStr">
        <is>
          <t>https://mstgolf.co.th/products/gf2040401325</t>
        </is>
      </c>
      <c r="T4830" s="1">
        <f>IF(B4830="ไม้กอล์ฟ",J4830,"")</f>
        <v/>
      </c>
    </row>
    <row r="4831">
      <c r="A4831" s="1" t="n">
        <v>3</v>
      </c>
      <c r="B4831" s="1" t="inlineStr">
        <is>
          <t>หมวก</t>
        </is>
      </c>
      <c r="C4831" s="1" t="inlineStr">
        <is>
          <t>gf2000106243</t>
        </is>
      </c>
      <c r="D4831" s="1" t="inlineStr">
        <is>
          <t>MALBON GOLF Washed Applique Men's Cap (Green)</t>
        </is>
      </c>
      <c r="E4831" s="1" t="inlineStr">
        <is>
          <t>MALBON GOLF</t>
        </is>
      </c>
      <c r="F4831" s="1" t="inlineStr">
        <is>
          <t>CAP</t>
        </is>
      </c>
      <c r="G4831" s="1" t="inlineStr">
        <is>
          <t>GF2000106243FS</t>
        </is>
      </c>
      <c r="H4831" s="1" t="n">
        <v>1</v>
      </c>
      <c r="I4831" s="1" t="inlineStr">
        <is>
          <t>หมด</t>
        </is>
      </c>
      <c r="J4831" s="13" t="n">
        <v>79</v>
      </c>
      <c r="K4831" s="1" t="inlineStr"/>
      <c r="L4831" s="13" t="n">
        <v>79</v>
      </c>
      <c r="M4831" s="1">
        <f>IF(L4831="","ไม่พบใน SG",IF(ABS(J4831-L4831)&lt;0.005,"ตรงกัน","ไม่ตรง"))</f>
        <v/>
      </c>
      <c r="N4831" s="14">
        <f>IF(L4831="","",ROUND(L4831*'สรุป'!$C$6,-1))</f>
        <v/>
      </c>
      <c r="O4831" s="15" t="n"/>
      <c r="P4831" s="15" t="n"/>
      <c r="Q4831" s="10" t="n"/>
      <c r="R4831" s="10" t="n"/>
      <c r="S4831" s="16" t="inlineStr">
        <is>
          <t>https://mstgolf.co.th/products/gf2000106243</t>
        </is>
      </c>
      <c r="T4831" s="1">
        <f>IF(B4831="ไม้กอล์ฟ",J4831,"")</f>
        <v/>
      </c>
    </row>
    <row r="4832">
      <c r="A4832" s="1" t="n">
        <v>3</v>
      </c>
      <c r="B4832" s="1" t="inlineStr">
        <is>
          <t>หมวก</t>
        </is>
      </c>
      <c r="C4832" s="1" t="inlineStr">
        <is>
          <t>gf2000106244</t>
        </is>
      </c>
      <c r="D4832" s="1" t="inlineStr">
        <is>
          <t>MALBON GOLF Washed Applique Men's Cap (White)</t>
        </is>
      </c>
      <c r="E4832" s="1" t="inlineStr">
        <is>
          <t>MALBON GOLF</t>
        </is>
      </c>
      <c r="F4832" s="1" t="inlineStr">
        <is>
          <t>CAP</t>
        </is>
      </c>
      <c r="G4832" s="1" t="inlineStr">
        <is>
          <t>GF2000106244FS</t>
        </is>
      </c>
      <c r="H4832" s="1" t="n">
        <v>1</v>
      </c>
      <c r="I4832" s="1" t="inlineStr">
        <is>
          <t>หมด</t>
        </is>
      </c>
      <c r="J4832" s="13" t="n">
        <v>79</v>
      </c>
      <c r="K4832" s="1" t="inlineStr"/>
      <c r="L4832" s="13" t="n">
        <v>79</v>
      </c>
      <c r="M4832" s="1">
        <f>IF(L4832="","ไม่พบใน SG",IF(ABS(J4832-L4832)&lt;0.005,"ตรงกัน","ไม่ตรง"))</f>
        <v/>
      </c>
      <c r="N4832" s="14">
        <f>IF(L4832="","",ROUND(L4832*'สรุป'!$C$6,-1))</f>
        <v/>
      </c>
      <c r="O4832" s="15" t="n"/>
      <c r="P4832" s="15" t="n"/>
      <c r="Q4832" s="10" t="n"/>
      <c r="R4832" s="10" t="n"/>
      <c r="S4832" s="16" t="inlineStr">
        <is>
          <t>https://mstgolf.co.th/products/gf2000106244</t>
        </is>
      </c>
      <c r="T4832" s="1">
        <f>IF(B4832="ไม้กอล์ฟ",J4832,"")</f>
        <v/>
      </c>
    </row>
    <row r="4833">
      <c r="A4833" s="1" t="n">
        <v>3</v>
      </c>
      <c r="B4833" s="1" t="inlineStr">
        <is>
          <t>หมวก</t>
        </is>
      </c>
      <c r="C4833" s="1" t="inlineStr">
        <is>
          <t>gf2000106074</t>
        </is>
      </c>
      <c r="D4833" s="1" t="inlineStr">
        <is>
          <t>MALBON GOLF x Keith Haring Dad Men's Cap (Black)</t>
        </is>
      </c>
      <c r="E4833" s="1" t="inlineStr">
        <is>
          <t>MALBON GOLF</t>
        </is>
      </c>
      <c r="F4833" s="1" t="inlineStr">
        <is>
          <t>CAP</t>
        </is>
      </c>
      <c r="G4833" s="1" t="inlineStr">
        <is>
          <t>GF2000106074FS</t>
        </is>
      </c>
      <c r="H4833" s="1" t="n">
        <v>1</v>
      </c>
      <c r="I4833" s="1" t="inlineStr">
        <is>
          <t>หมด</t>
        </is>
      </c>
      <c r="J4833" s="13" t="n">
        <v>79</v>
      </c>
      <c r="K4833" s="1" t="inlineStr"/>
      <c r="L4833" s="13" t="n">
        <v>79</v>
      </c>
      <c r="M4833" s="1">
        <f>IF(L4833="","ไม่พบใน SG",IF(ABS(J4833-L4833)&lt;0.005,"ตรงกัน","ไม่ตรง"))</f>
        <v/>
      </c>
      <c r="N4833" s="14">
        <f>IF(L4833="","",ROUND(L4833*'สรุป'!$C$6,-1))</f>
        <v/>
      </c>
      <c r="O4833" s="15" t="n"/>
      <c r="P4833" s="15" t="n"/>
      <c r="Q4833" s="10" t="n"/>
      <c r="R4833" s="10" t="n"/>
      <c r="S4833" s="16" t="inlineStr">
        <is>
          <t>https://mstgolf.co.th/products/gf2000106074</t>
        </is>
      </c>
      <c r="T4833" s="1">
        <f>IF(B4833="ไม้กอล์ฟ",J4833,"")</f>
        <v/>
      </c>
    </row>
    <row r="4834">
      <c r="A4834" s="1" t="n">
        <v>3</v>
      </c>
      <c r="B4834" s="1" t="inlineStr">
        <is>
          <t>หมวก</t>
        </is>
      </c>
      <c r="C4834" s="1" t="inlineStr">
        <is>
          <t>gf2000106075</t>
        </is>
      </c>
      <c r="D4834" s="1" t="inlineStr">
        <is>
          <t>MALBON GOLF x Keith Haring Dad Men's Cap (Yellow)</t>
        </is>
      </c>
      <c r="E4834" s="1" t="inlineStr">
        <is>
          <t>MALBON GOLF</t>
        </is>
      </c>
      <c r="F4834" s="1" t="inlineStr">
        <is>
          <t>CAP</t>
        </is>
      </c>
      <c r="G4834" s="1" t="inlineStr">
        <is>
          <t>GF2000106075FS</t>
        </is>
      </c>
      <c r="H4834" s="1" t="n">
        <v>1</v>
      </c>
      <c r="I4834" s="1" t="inlineStr">
        <is>
          <t>หมด</t>
        </is>
      </c>
      <c r="J4834" s="13" t="n">
        <v>79</v>
      </c>
      <c r="K4834" s="1" t="inlineStr"/>
      <c r="L4834" s="13" t="n">
        <v>79</v>
      </c>
      <c r="M4834" s="1">
        <f>IF(L4834="","ไม่พบใน SG",IF(ABS(J4834-L4834)&lt;0.005,"ตรงกัน","ไม่ตรง"))</f>
        <v/>
      </c>
      <c r="N4834" s="14">
        <f>IF(L4834="","",ROUND(L4834*'สรุป'!$C$6,-1))</f>
        <v/>
      </c>
      <c r="O4834" s="15" t="n"/>
      <c r="P4834" s="15" t="n"/>
      <c r="Q4834" s="10" t="n"/>
      <c r="R4834" s="10" t="n"/>
      <c r="S4834" s="16" t="inlineStr">
        <is>
          <t>https://mstgolf.co.th/products/gf2000106075</t>
        </is>
      </c>
      <c r="T4834" s="1">
        <f>IF(B4834="ไม้กอล์ฟ",J4834,"")</f>
        <v/>
      </c>
    </row>
    <row r="4835">
      <c r="A4835" s="1" t="n">
        <v>3</v>
      </c>
      <c r="B4835" s="1" t="inlineStr">
        <is>
          <t>หมวก</t>
        </is>
      </c>
      <c r="C4835" s="1" t="inlineStr">
        <is>
          <t>gf2000106073</t>
        </is>
      </c>
      <c r="D4835" s="1" t="inlineStr">
        <is>
          <t>MALBON GOLF x Keith Haring Painters Men's Cap (Green)</t>
        </is>
      </c>
      <c r="E4835" s="1" t="inlineStr">
        <is>
          <t>MALBON GOLF</t>
        </is>
      </c>
      <c r="F4835" s="1" t="inlineStr">
        <is>
          <t>CAP</t>
        </is>
      </c>
      <c r="G4835" s="1" t="inlineStr">
        <is>
          <t>GF2000106073FS</t>
        </is>
      </c>
      <c r="H4835" s="1" t="n">
        <v>1</v>
      </c>
      <c r="I4835" s="1" t="inlineStr">
        <is>
          <t>หมด</t>
        </is>
      </c>
      <c r="J4835" s="13" t="n">
        <v>79</v>
      </c>
      <c r="K4835" s="1" t="inlineStr"/>
      <c r="L4835" s="13" t="n">
        <v>79</v>
      </c>
      <c r="M4835" s="1">
        <f>IF(L4835="","ไม่พบใน SG",IF(ABS(J4835-L4835)&lt;0.005,"ตรงกัน","ไม่ตรง"))</f>
        <v/>
      </c>
      <c r="N4835" s="14">
        <f>IF(L4835="","",ROUND(L4835*'สรุป'!$C$6,-1))</f>
        <v/>
      </c>
      <c r="O4835" s="15" t="n"/>
      <c r="P4835" s="15" t="n"/>
      <c r="Q4835" s="10" t="n"/>
      <c r="R4835" s="10" t="n"/>
      <c r="S4835" s="16" t="inlineStr">
        <is>
          <t>https://mstgolf.co.th/products/gf2000106073</t>
        </is>
      </c>
      <c r="T4835" s="1">
        <f>IF(B4835="ไม้กอล์ฟ",J4835,"")</f>
        <v/>
      </c>
    </row>
    <row r="4836">
      <c r="A4836" s="1" t="n">
        <v>3</v>
      </c>
      <c r="B4836" s="1" t="inlineStr">
        <is>
          <t>เสื้อผ้า</t>
        </is>
      </c>
      <c r="C4836" s="1" t="inlineStr">
        <is>
          <t>gf2020202819</t>
        </is>
      </c>
      <c r="D4836" s="1" t="inlineStr">
        <is>
          <t>NIKE Dri-FIT 10.5" Men's Shorts (Grey)</t>
        </is>
      </c>
      <c r="E4836" s="1" t="inlineStr">
        <is>
          <t>NIKE</t>
        </is>
      </c>
      <c r="F4836" s="1" t="inlineStr">
        <is>
          <t>SHORT PANTS</t>
        </is>
      </c>
      <c r="G4836" s="1" t="inlineStr">
        <is>
          <t>GF202020281928</t>
        </is>
      </c>
      <c r="H4836" s="1" t="n">
        <v>7</v>
      </c>
      <c r="I4836" s="1" t="inlineStr">
        <is>
          <t>หมด</t>
        </is>
      </c>
      <c r="J4836" s="13" t="n">
        <v>79</v>
      </c>
      <c r="K4836" s="1" t="inlineStr"/>
      <c r="L4836" s="13" t="n">
        <v>79</v>
      </c>
      <c r="M4836" s="1">
        <f>IF(L4836="","ไม่พบใน SG",IF(ABS(J4836-L4836)&lt;0.005,"ตรงกัน","ไม่ตรง"))</f>
        <v/>
      </c>
      <c r="N4836" s="14">
        <f>IF(L4836="","",ROUND(L4836*'สรุป'!$C$6,-1))</f>
        <v/>
      </c>
      <c r="O4836" s="15" t="n"/>
      <c r="P4836" s="15" t="n"/>
      <c r="Q4836" s="10" t="n"/>
      <c r="R4836" s="10" t="n"/>
      <c r="S4836" s="16" t="inlineStr">
        <is>
          <t>https://mstgolf.co.th/products/gf2020202819</t>
        </is>
      </c>
      <c r="T4836" s="1">
        <f>IF(B4836="ไม้กอล์ฟ",J4836,"")</f>
        <v/>
      </c>
    </row>
    <row r="4837">
      <c r="A4837" s="1" t="n">
        <v>3</v>
      </c>
      <c r="B4837" s="1" t="inlineStr">
        <is>
          <t>เสื้อผ้า</t>
        </is>
      </c>
      <c r="C4837" s="1" t="inlineStr">
        <is>
          <t>gf2040119557</t>
        </is>
      </c>
      <c r="D4837" s="1" t="inlineStr">
        <is>
          <t>NIKE Victory Dri-FIT Women's Polo (Elemental Pink)</t>
        </is>
      </c>
      <c r="E4837" s="1" t="inlineStr">
        <is>
          <t>NIKE</t>
        </is>
      </c>
      <c r="F4837" s="1" t="inlineStr">
        <is>
          <t>SHORT SLEEVES</t>
        </is>
      </c>
      <c r="G4837" s="1" t="inlineStr">
        <is>
          <t>GF2040119557XS</t>
        </is>
      </c>
      <c r="H4837" s="1" t="n">
        <v>6</v>
      </c>
      <c r="I4837" s="1" t="inlineStr">
        <is>
          <t>หมด</t>
        </is>
      </c>
      <c r="J4837" s="13" t="n">
        <v>79</v>
      </c>
      <c r="K4837" s="1" t="inlineStr"/>
      <c r="L4837" s="13" t="n">
        <v>55</v>
      </c>
      <c r="M4837" s="1">
        <f>IF(L4837="","ไม่พบใน SG",IF(ABS(J4837-L4837)&lt;0.005,"ตรงกัน","ไม่ตรง"))</f>
        <v/>
      </c>
      <c r="N4837" s="14">
        <f>IF(L4837="","",ROUND(L4837*'สรุป'!$C$6,-1))</f>
        <v/>
      </c>
      <c r="O4837" s="15" t="n"/>
      <c r="P4837" s="15" t="n"/>
      <c r="Q4837" s="10" t="n"/>
      <c r="R4837" s="10" t="n"/>
      <c r="S4837" s="16" t="inlineStr">
        <is>
          <t>https://mstgolf.co.th/products/gf2040119557</t>
        </is>
      </c>
      <c r="T4837" s="1">
        <f>IF(B4837="ไม้กอล์ฟ",J4837,"")</f>
        <v/>
      </c>
    </row>
    <row r="4838">
      <c r="A4838" s="1" t="n">
        <v>3</v>
      </c>
      <c r="B4838" s="1" t="inlineStr">
        <is>
          <t>เสื้อผ้า</t>
        </is>
      </c>
      <c r="C4838" s="1" t="inlineStr">
        <is>
          <t>gf2020202329</t>
        </is>
      </c>
      <c r="D4838" s="1" t="inlineStr">
        <is>
          <t>PUMA Costa 4" Women's Shorts (Putty)</t>
        </is>
      </c>
      <c r="E4838" s="1" t="inlineStr">
        <is>
          <t>PUMA</t>
        </is>
      </c>
      <c r="F4838" s="1" t="inlineStr">
        <is>
          <t>SHORT PANTS</t>
        </is>
      </c>
      <c r="G4838" s="1" t="inlineStr">
        <is>
          <t>GF2020202329XS</t>
        </is>
      </c>
      <c r="H4838" s="1" t="n">
        <v>7</v>
      </c>
      <c r="I4838" s="1" t="inlineStr">
        <is>
          <t>หมด</t>
        </is>
      </c>
      <c r="J4838" s="13" t="n">
        <v>79</v>
      </c>
      <c r="K4838" s="1" t="inlineStr"/>
      <c r="L4838" s="13" t="n"/>
      <c r="M4838" s="1">
        <f>IF(L4838="","ไม่พบใน SG",IF(ABS(J4838-L4838)&lt;0.005,"ตรงกัน","ไม่ตรง"))</f>
        <v/>
      </c>
      <c r="N4838" s="14">
        <f>IF(L4838="","",ROUND(L4838*'สรุป'!$C$6,-1))</f>
        <v/>
      </c>
      <c r="O4838" s="15" t="n"/>
      <c r="P4838" s="15" t="n"/>
      <c r="Q4838" s="10" t="n"/>
      <c r="R4838" s="10" t="n"/>
      <c r="S4838" s="16" t="inlineStr">
        <is>
          <t>https://mstgolf.co.th/products/gf2020202329</t>
        </is>
      </c>
      <c r="T4838" s="1">
        <f>IF(B4838="ไม้กอล์ฟ",J4838,"")</f>
        <v/>
      </c>
    </row>
    <row r="4839">
      <c r="A4839" s="1" t="n">
        <v>3</v>
      </c>
      <c r="B4839" s="1" t="inlineStr">
        <is>
          <t>เสื้อผ้า</t>
        </is>
      </c>
      <c r="C4839" s="1" t="inlineStr">
        <is>
          <t>gf2040119288</t>
        </is>
      </c>
      <c r="D4839" s="1" t="inlineStr">
        <is>
          <t>PUMA Keys Men's Polo (White/Deep Navy)</t>
        </is>
      </c>
      <c r="E4839" s="1" t="inlineStr">
        <is>
          <t>PUMA</t>
        </is>
      </c>
      <c r="F4839" s="1" t="inlineStr">
        <is>
          <t>SHORT SLEEVES</t>
        </is>
      </c>
      <c r="G4839" s="1" t="inlineStr">
        <is>
          <t>GF2040119288XS</t>
        </is>
      </c>
      <c r="H4839" s="1" t="n">
        <v>6</v>
      </c>
      <c r="I4839" s="1" t="inlineStr">
        <is>
          <t>หมด</t>
        </is>
      </c>
      <c r="J4839" s="13" t="n">
        <v>79</v>
      </c>
      <c r="K4839" s="1" t="inlineStr"/>
      <c r="L4839" s="13" t="n"/>
      <c r="M4839" s="1">
        <f>IF(L4839="","ไม่พบใน SG",IF(ABS(J4839-L4839)&lt;0.005,"ตรงกัน","ไม่ตรง"))</f>
        <v/>
      </c>
      <c r="N4839" s="14">
        <f>IF(L4839="","",ROUND(L4839*'สรุป'!$C$6,-1))</f>
        <v/>
      </c>
      <c r="O4839" s="15" t="n"/>
      <c r="P4839" s="15" t="n"/>
      <c r="Q4839" s="10" t="n"/>
      <c r="R4839" s="10" t="n"/>
      <c r="S4839" s="16" t="inlineStr">
        <is>
          <t>https://mstgolf.co.th/products/gf2040119288</t>
        </is>
      </c>
      <c r="T4839" s="1">
        <f>IF(B4839="ไม้กอล์ฟ",J4839,"")</f>
        <v/>
      </c>
    </row>
    <row r="4840">
      <c r="A4840" s="1" t="n">
        <v>3</v>
      </c>
      <c r="B4840" s="1" t="inlineStr">
        <is>
          <t>เสื้อผ้า</t>
        </is>
      </c>
      <c r="C4840" s="1" t="inlineStr">
        <is>
          <t>gf2040117893</t>
        </is>
      </c>
      <c r="D4840" s="1" t="inlineStr">
        <is>
          <t>TAYLORMADE Flower Jaquard Men's Polo (Red)</t>
        </is>
      </c>
      <c r="E4840" s="1" t="inlineStr">
        <is>
          <t>TAYLORMADE</t>
        </is>
      </c>
      <c r="F4840" s="1" t="inlineStr">
        <is>
          <t>SHORT SLEEVES</t>
        </is>
      </c>
      <c r="G4840" s="1" t="inlineStr">
        <is>
          <t>GF2040117893S</t>
        </is>
      </c>
      <c r="H4840" s="1" t="n">
        <v>6</v>
      </c>
      <c r="I4840" s="1" t="inlineStr">
        <is>
          <t>หมด</t>
        </is>
      </c>
      <c r="J4840" s="13" t="n">
        <v>79</v>
      </c>
      <c r="K4840" s="1" t="inlineStr"/>
      <c r="L4840" s="13" t="n"/>
      <c r="M4840" s="1">
        <f>IF(L4840="","ไม่พบใน SG",IF(ABS(J4840-L4840)&lt;0.005,"ตรงกัน","ไม่ตรง"))</f>
        <v/>
      </c>
      <c r="N4840" s="14">
        <f>IF(L4840="","",ROUND(L4840*'สรุป'!$C$6,-1))</f>
        <v/>
      </c>
      <c r="O4840" s="15" t="n"/>
      <c r="P4840" s="15" t="n"/>
      <c r="Q4840" s="10" t="n"/>
      <c r="R4840" s="10" t="n"/>
      <c r="S4840" s="16" t="inlineStr">
        <is>
          <t>https://mstgolf.co.th/products/gf2040117893</t>
        </is>
      </c>
      <c r="T4840" s="1">
        <f>IF(B4840="ไม้กอล์ฟ",J4840,"")</f>
        <v/>
      </c>
    </row>
    <row r="4841">
      <c r="A4841" s="1" t="n">
        <v>3</v>
      </c>
      <c r="B4841" s="1" t="inlineStr">
        <is>
          <t>เสื้อผ้า</t>
        </is>
      </c>
      <c r="C4841" s="1" t="inlineStr">
        <is>
          <t>gf2020102075</t>
        </is>
      </c>
      <c r="D4841" s="1" t="inlineStr">
        <is>
          <t>UNDER ARMOUR Drive 5-Pocket Men's Pants (Blue Mirage)</t>
        </is>
      </c>
      <c r="E4841" s="1" t="inlineStr">
        <is>
          <t>UNDER ARMOUR</t>
        </is>
      </c>
      <c r="F4841" s="1" t="inlineStr">
        <is>
          <t>LONG PANTS</t>
        </is>
      </c>
      <c r="G4841" s="1" t="inlineStr">
        <is>
          <t>GF202010207530</t>
        </is>
      </c>
      <c r="H4841" s="1" t="n">
        <v>5</v>
      </c>
      <c r="I4841" s="1" t="inlineStr">
        <is>
          <t>หมด</t>
        </is>
      </c>
      <c r="J4841" s="13" t="n">
        <v>79</v>
      </c>
      <c r="K4841" s="1" t="inlineStr"/>
      <c r="L4841" s="13" t="n"/>
      <c r="M4841" s="1">
        <f>IF(L4841="","ไม่พบใน SG",IF(ABS(J4841-L4841)&lt;0.005,"ตรงกัน","ไม่ตรง"))</f>
        <v/>
      </c>
      <c r="N4841" s="14">
        <f>IF(L4841="","",ROUND(L4841*'สรุป'!$C$6,-1))</f>
        <v/>
      </c>
      <c r="O4841" s="15" t="n"/>
      <c r="P4841" s="15" t="n"/>
      <c r="Q4841" s="10" t="n"/>
      <c r="R4841" s="10" t="n"/>
      <c r="S4841" s="16" t="inlineStr">
        <is>
          <t>https://mstgolf.co.th/products/gf2020102075</t>
        </is>
      </c>
      <c r="T4841" s="1">
        <f>IF(B4841="ไม้กอล์ฟ",J4841,"")</f>
        <v/>
      </c>
    </row>
    <row r="4842">
      <c r="A4842" s="1" t="n">
        <v>3</v>
      </c>
      <c r="B4842" s="1" t="inlineStr">
        <is>
          <t>เสื้อผ้า</t>
        </is>
      </c>
      <c r="C4842" s="1" t="inlineStr">
        <is>
          <t>gf2020102225</t>
        </is>
      </c>
      <c r="D4842" s="1" t="inlineStr">
        <is>
          <t>UNDER ARMOUR Drive Men's Tapered Pants (Silt)</t>
        </is>
      </c>
      <c r="E4842" s="1" t="inlineStr">
        <is>
          <t>UNDER ARMOUR</t>
        </is>
      </c>
      <c r="F4842" s="1" t="inlineStr">
        <is>
          <t>LONG PANTS</t>
        </is>
      </c>
      <c r="G4842" s="1" t="inlineStr">
        <is>
          <t>GF202010222528</t>
        </is>
      </c>
      <c r="H4842" s="1" t="n">
        <v>7</v>
      </c>
      <c r="I4842" s="1" t="inlineStr">
        <is>
          <t>หมด</t>
        </is>
      </c>
      <c r="J4842" s="13" t="n">
        <v>79</v>
      </c>
      <c r="K4842" s="1" t="inlineStr"/>
      <c r="L4842" s="13" t="n"/>
      <c r="M4842" s="1">
        <f>IF(L4842="","ไม่พบใน SG",IF(ABS(J4842-L4842)&lt;0.005,"ตรงกัน","ไม่ตรง"))</f>
        <v/>
      </c>
      <c r="N4842" s="14">
        <f>IF(L4842="","",ROUND(L4842*'สรุป'!$C$6,-1))</f>
        <v/>
      </c>
      <c r="O4842" s="15" t="n"/>
      <c r="P4842" s="15" t="n"/>
      <c r="Q4842" s="10" t="n"/>
      <c r="R4842" s="10" t="n"/>
      <c r="S4842" s="16" t="inlineStr">
        <is>
          <t>https://mstgolf.co.th/products/gf2020102225</t>
        </is>
      </c>
      <c r="T4842" s="1">
        <f>IF(B4842="ไม้กอล์ฟ",J4842,"")</f>
        <v/>
      </c>
    </row>
    <row r="4843">
      <c r="A4843" s="1" t="n">
        <v>3</v>
      </c>
      <c r="B4843" s="1" t="inlineStr">
        <is>
          <t>เสื้อผ้า</t>
        </is>
      </c>
      <c r="C4843" s="1" t="inlineStr">
        <is>
          <t>gf2040117220</t>
        </is>
      </c>
      <c r="D4843" s="1" t="inlineStr">
        <is>
          <t>UNDER ARMOUR T2G (2024) Men's Polo (Photon Blue)</t>
        </is>
      </c>
      <c r="E4843" s="1" t="inlineStr">
        <is>
          <t>UNDER ARMOUR</t>
        </is>
      </c>
      <c r="F4843" s="1" t="inlineStr">
        <is>
          <t>SHORT SLEEVES</t>
        </is>
      </c>
      <c r="G4843" s="1" t="inlineStr">
        <is>
          <t>GF2040117220S</t>
        </is>
      </c>
      <c r="H4843" s="1" t="n">
        <v>6</v>
      </c>
      <c r="I4843" s="1" t="inlineStr">
        <is>
          <t>หมด</t>
        </is>
      </c>
      <c r="J4843" s="13" t="n">
        <v>79</v>
      </c>
      <c r="K4843" s="1" t="inlineStr"/>
      <c r="L4843" s="13" t="n">
        <v>79</v>
      </c>
      <c r="M4843" s="1">
        <f>IF(L4843="","ไม่พบใน SG",IF(ABS(J4843-L4843)&lt;0.005,"ตรงกัน","ไม่ตรง"))</f>
        <v/>
      </c>
      <c r="N4843" s="14">
        <f>IF(L4843="","",ROUND(L4843*'สรุป'!$C$6,-1))</f>
        <v/>
      </c>
      <c r="O4843" s="15" t="n"/>
      <c r="P4843" s="15" t="n"/>
      <c r="Q4843" s="10" t="n"/>
      <c r="R4843" s="10" t="n"/>
      <c r="S4843" s="16" t="inlineStr">
        <is>
          <t>https://mstgolf.co.th/products/gf2040117220</t>
        </is>
      </c>
      <c r="T4843" s="1">
        <f>IF(B4843="ไม้กอล์ฟ",J4843,"")</f>
        <v/>
      </c>
    </row>
    <row r="4844">
      <c r="A4844" s="1" t="n">
        <v>3</v>
      </c>
      <c r="B4844" s="1" t="inlineStr">
        <is>
          <t>เสื้อผ้า</t>
        </is>
      </c>
      <c r="C4844" s="1" t="inlineStr">
        <is>
          <t>gf2040117224</t>
        </is>
      </c>
      <c r="D4844" s="1" t="inlineStr">
        <is>
          <t>UNDER ARMOUR T2G (2024) Men's Polo (Red Solstice)</t>
        </is>
      </c>
      <c r="E4844" s="1" t="inlineStr">
        <is>
          <t>UNDER ARMOUR</t>
        </is>
      </c>
      <c r="F4844" s="1" t="inlineStr">
        <is>
          <t>SHORT SLEEVES</t>
        </is>
      </c>
      <c r="G4844" s="1" t="inlineStr">
        <is>
          <t>GF2040117224S</t>
        </is>
      </c>
      <c r="H4844" s="1" t="n">
        <v>5</v>
      </c>
      <c r="I4844" s="1" t="inlineStr">
        <is>
          <t>หมด</t>
        </is>
      </c>
      <c r="J4844" s="13" t="n">
        <v>79</v>
      </c>
      <c r="K4844" s="1" t="inlineStr"/>
      <c r="L4844" s="13" t="n">
        <v>59</v>
      </c>
      <c r="M4844" s="1">
        <f>IF(L4844="","ไม่พบใน SG",IF(ABS(J4844-L4844)&lt;0.005,"ตรงกัน","ไม่ตรง"))</f>
        <v/>
      </c>
      <c r="N4844" s="14">
        <f>IF(L4844="","",ROUND(L4844*'สรุป'!$C$6,-1))</f>
        <v/>
      </c>
      <c r="O4844" s="15" t="n"/>
      <c r="P4844" s="15" t="n"/>
      <c r="Q4844" s="10" t="n"/>
      <c r="R4844" s="10" t="n"/>
      <c r="S4844" s="16" t="inlineStr">
        <is>
          <t>https://mstgolf.co.th/products/gf2040117224</t>
        </is>
      </c>
      <c r="T4844" s="1">
        <f>IF(B4844="ไม้กอล์ฟ",J4844,"")</f>
        <v/>
      </c>
    </row>
    <row r="4845">
      <c r="A4845" s="1" t="n">
        <v>3</v>
      </c>
      <c r="B4845" s="1" t="inlineStr">
        <is>
          <t>เสื้อผ้า</t>
        </is>
      </c>
      <c r="C4845" s="1" t="inlineStr">
        <is>
          <t>gf2040119227</t>
        </is>
      </c>
      <c r="D4845" s="1" t="inlineStr">
        <is>
          <t>UNDER ARMOUR T2G (2025) Men's Pique Polo (Downpour Grey)</t>
        </is>
      </c>
      <c r="E4845" s="1" t="inlineStr">
        <is>
          <t>UNDER ARMOUR</t>
        </is>
      </c>
      <c r="F4845" s="1" t="inlineStr">
        <is>
          <t>SHORT SLEEVES</t>
        </is>
      </c>
      <c r="G4845" s="1" t="inlineStr">
        <is>
          <t>GF2040119227S</t>
        </is>
      </c>
      <c r="H4845" s="1" t="n">
        <v>5</v>
      </c>
      <c r="I4845" s="1" t="inlineStr">
        <is>
          <t>หมด</t>
        </is>
      </c>
      <c r="J4845" s="13" t="n">
        <v>79</v>
      </c>
      <c r="K4845" s="1" t="inlineStr"/>
      <c r="L4845" s="13" t="n">
        <v>79</v>
      </c>
      <c r="M4845" s="1">
        <f>IF(L4845="","ไม่พบใน SG",IF(ABS(J4845-L4845)&lt;0.005,"ตรงกัน","ไม่ตรง"))</f>
        <v/>
      </c>
      <c r="N4845" s="14">
        <f>IF(L4845="","",ROUND(L4845*'สรุป'!$C$6,-1))</f>
        <v/>
      </c>
      <c r="O4845" s="15" t="n"/>
      <c r="P4845" s="15" t="n"/>
      <c r="Q4845" s="10" t="n"/>
      <c r="R4845" s="10" t="n"/>
      <c r="S4845" s="16" t="inlineStr">
        <is>
          <t>https://mstgolf.co.th/products/gf2040119227</t>
        </is>
      </c>
      <c r="T4845" s="1">
        <f>IF(B4845="ไม้กอล์ฟ",J4845,"")</f>
        <v/>
      </c>
    </row>
    <row r="4846">
      <c r="A4846" s="1" t="n">
        <v>3</v>
      </c>
      <c r="B4846" s="1" t="inlineStr">
        <is>
          <t>เสื้อผ้า</t>
        </is>
      </c>
      <c r="C4846" s="1" t="inlineStr">
        <is>
          <t>gf2040119228</t>
        </is>
      </c>
      <c r="D4846" s="1" t="inlineStr">
        <is>
          <t>UNDER ARMOUR T2G (2025) Men's Pique Polo (Fire)</t>
        </is>
      </c>
      <c r="E4846" s="1" t="inlineStr">
        <is>
          <t>UNDER ARMOUR</t>
        </is>
      </c>
      <c r="F4846" s="1" t="inlineStr">
        <is>
          <t>SHORT SLEEVES</t>
        </is>
      </c>
      <c r="G4846" s="1" t="inlineStr">
        <is>
          <t>GF2040119228S</t>
        </is>
      </c>
      <c r="H4846" s="1" t="n">
        <v>5</v>
      </c>
      <c r="I4846" s="1" t="inlineStr">
        <is>
          <t>หมด</t>
        </is>
      </c>
      <c r="J4846" s="13" t="n">
        <v>79</v>
      </c>
      <c r="K4846" s="1" t="inlineStr"/>
      <c r="L4846" s="13" t="n">
        <v>79</v>
      </c>
      <c r="M4846" s="1">
        <f>IF(L4846="","ไม่พบใน SG",IF(ABS(J4846-L4846)&lt;0.005,"ตรงกัน","ไม่ตรง"))</f>
        <v/>
      </c>
      <c r="N4846" s="14">
        <f>IF(L4846="","",ROUND(L4846*'สรุป'!$C$6,-1))</f>
        <v/>
      </c>
      <c r="O4846" s="15" t="n"/>
      <c r="P4846" s="15" t="n"/>
      <c r="Q4846" s="10" t="n"/>
      <c r="R4846" s="10" t="n"/>
      <c r="S4846" s="16" t="inlineStr">
        <is>
          <t>https://mstgolf.co.th/products/gf2040119228</t>
        </is>
      </c>
      <c r="T4846" s="1">
        <f>IF(B4846="ไม้กอล์ฟ",J4846,"")</f>
        <v/>
      </c>
    </row>
    <row r="4847">
      <c r="A4847" s="1" t="n">
        <v>3</v>
      </c>
      <c r="B4847" s="1" t="inlineStr">
        <is>
          <t>เสื้อผ้า</t>
        </is>
      </c>
      <c r="C4847" s="1" t="inlineStr">
        <is>
          <t>gf2040118326</t>
        </is>
      </c>
      <c r="D4847" s="1" t="inlineStr">
        <is>
          <t>UNDER ARMOUR T2G Men's Polo (Flare Orange)</t>
        </is>
      </c>
      <c r="E4847" s="1" t="inlineStr">
        <is>
          <t>UNDER ARMOUR</t>
        </is>
      </c>
      <c r="F4847" s="1" t="inlineStr">
        <is>
          <t>SHORT SLEEVES</t>
        </is>
      </c>
      <c r="G4847" s="1" t="inlineStr">
        <is>
          <t>GF2040118326S</t>
        </is>
      </c>
      <c r="H4847" s="1" t="n">
        <v>5</v>
      </c>
      <c r="I4847" s="1" t="inlineStr">
        <is>
          <t>หมด</t>
        </is>
      </c>
      <c r="J4847" s="13" t="n">
        <v>79</v>
      </c>
      <c r="K4847" s="1" t="inlineStr"/>
      <c r="L4847" s="13" t="n"/>
      <c r="M4847" s="1">
        <f>IF(L4847="","ไม่พบใน SG",IF(ABS(J4847-L4847)&lt;0.005,"ตรงกัน","ไม่ตรง"))</f>
        <v/>
      </c>
      <c r="N4847" s="14">
        <f>IF(L4847="","",ROUND(L4847*'สรุป'!$C$6,-1))</f>
        <v/>
      </c>
      <c r="O4847" s="15" t="n"/>
      <c r="P4847" s="15" t="n"/>
      <c r="Q4847" s="10" t="n"/>
      <c r="R4847" s="10" t="n"/>
      <c r="S4847" s="16" t="inlineStr">
        <is>
          <t>https://mstgolf.co.th/products/gf2040118326</t>
        </is>
      </c>
      <c r="T4847" s="1">
        <f>IF(B4847="ไม้กอล์ฟ",J4847,"")</f>
        <v/>
      </c>
    </row>
    <row r="4848">
      <c r="A4848" s="1" t="n">
        <v>3</v>
      </c>
      <c r="B4848" s="1" t="inlineStr">
        <is>
          <t>เสื้อผ้า</t>
        </is>
      </c>
      <c r="C4848" s="1" t="inlineStr">
        <is>
          <t>gf2040118323</t>
        </is>
      </c>
      <c r="D4848" s="1" t="inlineStr">
        <is>
          <t>UNDER ARMOUR T2G Men's Polo (Retro Green)</t>
        </is>
      </c>
      <c r="E4848" s="1" t="inlineStr">
        <is>
          <t>UNDER ARMOUR</t>
        </is>
      </c>
      <c r="F4848" s="1" t="inlineStr">
        <is>
          <t>SHORT SLEEVES</t>
        </is>
      </c>
      <c r="G4848" s="1" t="inlineStr">
        <is>
          <t>GF2040118323S</t>
        </is>
      </c>
      <c r="H4848" s="1" t="n">
        <v>5</v>
      </c>
      <c r="I4848" s="1" t="inlineStr">
        <is>
          <t>หมด</t>
        </is>
      </c>
      <c r="J4848" s="13" t="n">
        <v>79</v>
      </c>
      <c r="K4848" s="1" t="inlineStr"/>
      <c r="L4848" s="13" t="n"/>
      <c r="M4848" s="1">
        <f>IF(L4848="","ไม่พบใน SG",IF(ABS(J4848-L4848)&lt;0.005,"ตรงกัน","ไม่ตรง"))</f>
        <v/>
      </c>
      <c r="N4848" s="14">
        <f>IF(L4848="","",ROUND(L4848*'สรุป'!$C$6,-1))</f>
        <v/>
      </c>
      <c r="O4848" s="15" t="n"/>
      <c r="P4848" s="15" t="n"/>
      <c r="Q4848" s="10" t="n"/>
      <c r="R4848" s="10" t="n"/>
      <c r="S4848" s="16" t="inlineStr">
        <is>
          <t>https://mstgolf.co.th/products/gf2040118323</t>
        </is>
      </c>
      <c r="T4848" s="1">
        <f>IF(B4848="ไม้กอล์ฟ",J4848,"")</f>
        <v/>
      </c>
    </row>
    <row r="4849">
      <c r="A4849" s="1" t="n">
        <v>3</v>
      </c>
      <c r="B4849" s="1" t="inlineStr">
        <is>
          <t>เสื้อผ้า</t>
        </is>
      </c>
      <c r="C4849" s="1" t="inlineStr">
        <is>
          <t>gf2040118324</t>
        </is>
      </c>
      <c r="D4849" s="1" t="inlineStr">
        <is>
          <t>UNDER ARMOUR T2G Men's Polo (Tech Blue)</t>
        </is>
      </c>
      <c r="E4849" s="1" t="inlineStr">
        <is>
          <t>UNDER ARMOUR</t>
        </is>
      </c>
      <c r="F4849" s="1" t="inlineStr">
        <is>
          <t>SHORT SLEEVES</t>
        </is>
      </c>
      <c r="G4849" s="1" t="inlineStr">
        <is>
          <t>GF2040118324S</t>
        </is>
      </c>
      <c r="H4849" s="1" t="n">
        <v>5</v>
      </c>
      <c r="I4849" s="1" t="inlineStr">
        <is>
          <t>หมด</t>
        </is>
      </c>
      <c r="J4849" s="13" t="n">
        <v>79</v>
      </c>
      <c r="K4849" s="1" t="inlineStr"/>
      <c r="L4849" s="13" t="n"/>
      <c r="M4849" s="1">
        <f>IF(L4849="","ไม่พบใน SG",IF(ABS(J4849-L4849)&lt;0.005,"ตรงกัน","ไม่ตรง"))</f>
        <v/>
      </c>
      <c r="N4849" s="14">
        <f>IF(L4849="","",ROUND(L4849*'สรุป'!$C$6,-1))</f>
        <v/>
      </c>
      <c r="O4849" s="15" t="n"/>
      <c r="P4849" s="15" t="n"/>
      <c r="Q4849" s="10" t="n"/>
      <c r="R4849" s="10" t="n"/>
      <c r="S4849" s="16" t="inlineStr">
        <is>
          <t>https://mstgolf.co.th/products/gf2040118324</t>
        </is>
      </c>
      <c r="T4849" s="1">
        <f>IF(B4849="ไม้กอล์ฟ",J4849,"")</f>
        <v/>
      </c>
    </row>
    <row r="4850">
      <c r="A4850" s="1" t="n">
        <v>3</v>
      </c>
      <c r="B4850" s="1" t="inlineStr">
        <is>
          <t>หมวก</t>
        </is>
      </c>
      <c r="C4850" s="1" t="inlineStr">
        <is>
          <t>gf2000300387</t>
        </is>
      </c>
      <c r="D4850" s="1" t="inlineStr">
        <is>
          <t>WAAC Tee Holder Men's Hat (Black)</t>
        </is>
      </c>
      <c r="E4850" s="1" t="inlineStr">
        <is>
          <t>WAAC</t>
        </is>
      </c>
      <c r="F4850" s="1" t="inlineStr">
        <is>
          <t>HAT</t>
        </is>
      </c>
      <c r="G4850" s="1" t="inlineStr">
        <is>
          <t>GF2000300387FS</t>
        </is>
      </c>
      <c r="H4850" s="1" t="n">
        <v>1</v>
      </c>
      <c r="I4850" s="1" t="inlineStr">
        <is>
          <t>หมด</t>
        </is>
      </c>
      <c r="J4850" s="13" t="n">
        <v>79</v>
      </c>
      <c r="K4850" s="1" t="inlineStr"/>
      <c r="L4850" s="13" t="n"/>
      <c r="M4850" s="1">
        <f>IF(L4850="","ไม่พบใน SG",IF(ABS(J4850-L4850)&lt;0.005,"ตรงกัน","ไม่ตรง"))</f>
        <v/>
      </c>
      <c r="N4850" s="14">
        <f>IF(L4850="","",ROUND(L4850*'สรุป'!$C$6,-1))</f>
        <v/>
      </c>
      <c r="O4850" s="15" t="n"/>
      <c r="P4850" s="15" t="n"/>
      <c r="Q4850" s="10" t="n"/>
      <c r="R4850" s="10" t="n"/>
      <c r="S4850" s="16" t="inlineStr">
        <is>
          <t>https://mstgolf.co.th/products/gf2000300387</t>
        </is>
      </c>
      <c r="T4850" s="1">
        <f>IF(B4850="ไม้กอล์ฟ",J4850,"")</f>
        <v/>
      </c>
    </row>
    <row r="4851">
      <c r="A4851" s="1" t="n">
        <v>3</v>
      </c>
      <c r="B4851" s="1" t="inlineStr">
        <is>
          <t>หมวก</t>
        </is>
      </c>
      <c r="C4851" s="1" t="inlineStr">
        <is>
          <t>gf2000300418</t>
        </is>
      </c>
      <c r="D4851" s="1" t="inlineStr">
        <is>
          <t>MALBON GOLF Ronin Men's Bucket Hat (Khaki)</t>
        </is>
      </c>
      <c r="E4851" s="1" t="inlineStr">
        <is>
          <t>MALBON GOLF</t>
        </is>
      </c>
      <c r="F4851" s="1" t="inlineStr">
        <is>
          <t>HAT</t>
        </is>
      </c>
      <c r="G4851" s="1" t="inlineStr">
        <is>
          <t>GF2000300418S-M</t>
        </is>
      </c>
      <c r="H4851" s="1" t="n">
        <v>2</v>
      </c>
      <c r="I4851" s="1" t="inlineStr">
        <is>
          <t>หมด</t>
        </is>
      </c>
      <c r="J4851" s="13" t="n">
        <v>77</v>
      </c>
      <c r="K4851" s="1" t="inlineStr"/>
      <c r="L4851" s="13" t="n"/>
      <c r="M4851" s="1">
        <f>IF(L4851="","ไม่พบใน SG",IF(ABS(J4851-L4851)&lt;0.005,"ตรงกัน","ไม่ตรง"))</f>
        <v/>
      </c>
      <c r="N4851" s="14">
        <f>IF(L4851="","",ROUND(L4851*'สรุป'!$C$6,-1))</f>
        <v/>
      </c>
      <c r="O4851" s="15" t="n"/>
      <c r="P4851" s="15" t="n"/>
      <c r="Q4851" s="10" t="n"/>
      <c r="R4851" s="10" t="n"/>
      <c r="S4851" s="16" t="inlineStr">
        <is>
          <t>https://mstgolf.co.th/products/gf2000300418</t>
        </is>
      </c>
      <c r="T4851" s="1">
        <f>IF(B4851="ไม้กอล์ฟ",J4851,"")</f>
        <v/>
      </c>
    </row>
    <row r="4852">
      <c r="A4852" s="1" t="n">
        <v>3</v>
      </c>
      <c r="B4852" s="1" t="inlineStr">
        <is>
          <t>หมวก</t>
        </is>
      </c>
      <c r="C4852" s="1" t="inlineStr">
        <is>
          <t>gf2000300419</t>
        </is>
      </c>
      <c r="D4852" s="1" t="inlineStr">
        <is>
          <t>MALBON GOLF Ronin Men's Bucket Hat (Navy)</t>
        </is>
      </c>
      <c r="E4852" s="1" t="inlineStr">
        <is>
          <t>MALBON GOLF</t>
        </is>
      </c>
      <c r="F4852" s="1" t="inlineStr">
        <is>
          <t>HAT</t>
        </is>
      </c>
      <c r="G4852" s="1" t="inlineStr">
        <is>
          <t>GF2000300419S-M</t>
        </is>
      </c>
      <c r="H4852" s="1" t="n">
        <v>2</v>
      </c>
      <c r="I4852" s="1" t="inlineStr">
        <is>
          <t>หมด</t>
        </is>
      </c>
      <c r="J4852" s="13" t="n">
        <v>77</v>
      </c>
      <c r="K4852" s="1" t="inlineStr"/>
      <c r="L4852" s="13" t="n">
        <v>77</v>
      </c>
      <c r="M4852" s="1">
        <f>IF(L4852="","ไม่พบใน SG",IF(ABS(J4852-L4852)&lt;0.005,"ตรงกัน","ไม่ตรง"))</f>
        <v/>
      </c>
      <c r="N4852" s="14">
        <f>IF(L4852="","",ROUND(L4852*'สรุป'!$C$6,-1))</f>
        <v/>
      </c>
      <c r="O4852" s="15" t="n"/>
      <c r="P4852" s="15" t="n"/>
      <c r="Q4852" s="10" t="n"/>
      <c r="R4852" s="10" t="n"/>
      <c r="S4852" s="16" t="inlineStr">
        <is>
          <t>https://mstgolf.co.th/products/gf2000300419</t>
        </is>
      </c>
      <c r="T4852" s="1">
        <f>IF(B4852="ไม้กอล์ฟ",J4852,"")</f>
        <v/>
      </c>
    </row>
    <row r="4853">
      <c r="A4853" s="1" t="n">
        <v>3</v>
      </c>
      <c r="B4853" s="1" t="inlineStr">
        <is>
          <t>เสื้อผ้า</t>
        </is>
      </c>
      <c r="C4853" s="1" t="inlineStr">
        <is>
          <t>gf2040117914</t>
        </is>
      </c>
      <c r="D4853" s="1" t="inlineStr">
        <is>
          <t>TAYLORMADE Basic Women's Mock Shirt (Red)</t>
        </is>
      </c>
      <c r="E4853" s="1" t="inlineStr">
        <is>
          <t>TAYLORMADE</t>
        </is>
      </c>
      <c r="F4853" s="1" t="inlineStr">
        <is>
          <t>SHORT SLEEVES</t>
        </is>
      </c>
      <c r="G4853" s="1" t="inlineStr">
        <is>
          <t>GF2040117914S</t>
        </is>
      </c>
      <c r="H4853" s="1" t="n">
        <v>6</v>
      </c>
      <c r="I4853" s="1" t="inlineStr">
        <is>
          <t>หมด</t>
        </is>
      </c>
      <c r="J4853" s="13" t="n">
        <v>77</v>
      </c>
      <c r="K4853" s="1" t="inlineStr"/>
      <c r="L4853" s="13" t="n">
        <v>77</v>
      </c>
      <c r="M4853" s="1">
        <f>IF(L4853="","ไม่พบใน SG",IF(ABS(J4853-L4853)&lt;0.005,"ตรงกัน","ไม่ตรง"))</f>
        <v/>
      </c>
      <c r="N4853" s="14">
        <f>IF(L4853="","",ROUND(L4853*'สรุป'!$C$6,-1))</f>
        <v/>
      </c>
      <c r="O4853" s="15" t="n"/>
      <c r="P4853" s="15" t="n"/>
      <c r="Q4853" s="10" t="n"/>
      <c r="R4853" s="10" t="n"/>
      <c r="S4853" s="16" t="inlineStr">
        <is>
          <t>https://mstgolf.co.th/products/gf2040117914</t>
        </is>
      </c>
      <c r="T4853" s="1">
        <f>IF(B4853="ไม้กอล์ฟ",J4853,"")</f>
        <v/>
      </c>
    </row>
    <row r="4854">
      <c r="A4854" s="1" t="n">
        <v>3</v>
      </c>
      <c r="B4854" s="1" t="inlineStr">
        <is>
          <t>เสื้อผ้า</t>
        </is>
      </c>
      <c r="C4854" s="1" t="inlineStr">
        <is>
          <t>gf2040119608</t>
        </is>
      </c>
      <c r="D4854" s="1" t="inlineStr">
        <is>
          <t>FOOTJOY Floral Sketch Lisle Men's Polo (Red)</t>
        </is>
      </c>
      <c r="E4854" s="1" t="inlineStr">
        <is>
          <t>FOOTJOY</t>
        </is>
      </c>
      <c r="F4854" s="1" t="inlineStr">
        <is>
          <t>SHORT SLEEVES</t>
        </is>
      </c>
      <c r="G4854" s="1" t="inlineStr">
        <is>
          <t>GF2040119608S</t>
        </is>
      </c>
      <c r="H4854" s="1" t="n">
        <v>5</v>
      </c>
      <c r="I4854" s="1" t="inlineStr">
        <is>
          <t>หมด</t>
        </is>
      </c>
      <c r="J4854" s="13" t="n">
        <v>75</v>
      </c>
      <c r="K4854" s="1" t="inlineStr"/>
      <c r="L4854" s="13" t="n"/>
      <c r="M4854" s="1">
        <f>IF(L4854="","ไม่พบใน SG",IF(ABS(J4854-L4854)&lt;0.005,"ตรงกัน","ไม่ตรง"))</f>
        <v/>
      </c>
      <c r="N4854" s="14">
        <f>IF(L4854="","",ROUND(L4854*'สรุป'!$C$6,-1))</f>
        <v/>
      </c>
      <c r="O4854" s="15" t="n"/>
      <c r="P4854" s="15" t="n"/>
      <c r="Q4854" s="10" t="n"/>
      <c r="R4854" s="10" t="n"/>
      <c r="S4854" s="16" t="inlineStr">
        <is>
          <t>https://mstgolf.co.th/products/gf2040119608</t>
        </is>
      </c>
      <c r="T4854" s="1">
        <f>IF(B4854="ไม้กอล์ฟ",J4854,"")</f>
        <v/>
      </c>
    </row>
    <row r="4855">
      <c r="A4855" s="1" t="n">
        <v>3</v>
      </c>
      <c r="B4855" s="1" t="inlineStr">
        <is>
          <t>เสื้อผ้า</t>
        </is>
      </c>
      <c r="C4855" s="1" t="inlineStr">
        <is>
          <t>gf2040115922</t>
        </is>
      </c>
      <c r="D4855" s="1" t="inlineStr">
        <is>
          <t>PUMA Cool Touch Tour Men's Polo (Navy Blazer)</t>
        </is>
      </c>
      <c r="E4855" s="1" t="inlineStr">
        <is>
          <t>PUMA</t>
        </is>
      </c>
      <c r="F4855" s="1" t="inlineStr">
        <is>
          <t>SHORT SLEEVES</t>
        </is>
      </c>
      <c r="G4855" s="1" t="inlineStr">
        <is>
          <t>GF2040115922S</t>
        </is>
      </c>
      <c r="H4855" s="1" t="n">
        <v>5</v>
      </c>
      <c r="I4855" s="1" t="inlineStr">
        <is>
          <t>หมด</t>
        </is>
      </c>
      <c r="J4855" s="13" t="n">
        <v>75</v>
      </c>
      <c r="K4855" s="1" t="inlineStr"/>
      <c r="L4855" s="13" t="n"/>
      <c r="M4855" s="1">
        <f>IF(L4855="","ไม่พบใน SG",IF(ABS(J4855-L4855)&lt;0.005,"ตรงกัน","ไม่ตรง"))</f>
        <v/>
      </c>
      <c r="N4855" s="14">
        <f>IF(L4855="","",ROUND(L4855*'สรุป'!$C$6,-1))</f>
        <v/>
      </c>
      <c r="O4855" s="15" t="n"/>
      <c r="P4855" s="15" t="n"/>
      <c r="Q4855" s="10" t="n"/>
      <c r="R4855" s="10" t="n"/>
      <c r="S4855" s="16" t="inlineStr">
        <is>
          <t>https://mstgolf.co.th/products/gf2040115922</t>
        </is>
      </c>
      <c r="T4855" s="1">
        <f>IF(B4855="ไม้กอล์ฟ",J4855,"")</f>
        <v/>
      </c>
    </row>
    <row r="4856">
      <c r="A4856" s="1" t="n">
        <v>3</v>
      </c>
      <c r="B4856" s="1" t="inlineStr">
        <is>
          <t>เสื้อผ้า</t>
        </is>
      </c>
      <c r="C4856" s="1" t="inlineStr">
        <is>
          <t>gf2040115918</t>
        </is>
      </c>
      <c r="D4856" s="1" t="inlineStr">
        <is>
          <t>PUMA Flag Printed Seersucker Men's Polo (Bright White)</t>
        </is>
      </c>
      <c r="E4856" s="1" t="inlineStr">
        <is>
          <t>PUMA</t>
        </is>
      </c>
      <c r="F4856" s="1" t="inlineStr">
        <is>
          <t>SHORT SLEEVES</t>
        </is>
      </c>
      <c r="G4856" s="1" t="inlineStr">
        <is>
          <t>GF2040115918S</t>
        </is>
      </c>
      <c r="H4856" s="1" t="n">
        <v>5</v>
      </c>
      <c r="I4856" s="1" t="inlineStr">
        <is>
          <t>หมด</t>
        </is>
      </c>
      <c r="J4856" s="13" t="n">
        <v>75</v>
      </c>
      <c r="K4856" s="1" t="inlineStr"/>
      <c r="L4856" s="13" t="n"/>
      <c r="M4856" s="1">
        <f>IF(L4856="","ไม่พบใน SG",IF(ABS(J4856-L4856)&lt;0.005,"ตรงกัน","ไม่ตรง"))</f>
        <v/>
      </c>
      <c r="N4856" s="14">
        <f>IF(L4856="","",ROUND(L4856*'สรุป'!$C$6,-1))</f>
        <v/>
      </c>
      <c r="O4856" s="15" t="n"/>
      <c r="P4856" s="15" t="n"/>
      <c r="Q4856" s="10" t="n"/>
      <c r="R4856" s="10" t="n"/>
      <c r="S4856" s="16" t="inlineStr">
        <is>
          <t>https://mstgolf.co.th/products/gf2040115918</t>
        </is>
      </c>
      <c r="T4856" s="1">
        <f>IF(B4856="ไม้กอล์ฟ",J4856,"")</f>
        <v/>
      </c>
    </row>
    <row r="4857">
      <c r="A4857" s="1" t="n">
        <v>3</v>
      </c>
      <c r="B4857" s="1" t="inlineStr">
        <is>
          <t>เสื้อผ้า</t>
        </is>
      </c>
      <c r="C4857" s="1" t="inlineStr">
        <is>
          <t>gf2040115917</t>
        </is>
      </c>
      <c r="D4857" s="1" t="inlineStr">
        <is>
          <t>PUMA Flag Printed Seersucker Men's Polo (Pearl Pink)</t>
        </is>
      </c>
      <c r="E4857" s="1" t="inlineStr">
        <is>
          <t>PUMA</t>
        </is>
      </c>
      <c r="F4857" s="1" t="inlineStr">
        <is>
          <t>SHORT SLEEVES</t>
        </is>
      </c>
      <c r="G4857" s="1" t="inlineStr">
        <is>
          <t>GF2040115917S</t>
        </is>
      </c>
      <c r="H4857" s="1" t="n">
        <v>5</v>
      </c>
      <c r="I4857" s="1" t="inlineStr">
        <is>
          <t>หมด</t>
        </is>
      </c>
      <c r="J4857" s="13" t="n">
        <v>75</v>
      </c>
      <c r="K4857" s="1" t="inlineStr"/>
      <c r="L4857" s="13" t="n">
        <v>149</v>
      </c>
      <c r="M4857" s="1">
        <f>IF(L4857="","ไม่พบใน SG",IF(ABS(J4857-L4857)&lt;0.005,"ตรงกัน","ไม่ตรง"))</f>
        <v/>
      </c>
      <c r="N4857" s="14">
        <f>IF(L4857="","",ROUND(L4857*'สรุป'!$C$6,-1))</f>
        <v/>
      </c>
      <c r="O4857" s="15" t="n"/>
      <c r="P4857" s="15" t="n"/>
      <c r="Q4857" s="10" t="n"/>
      <c r="R4857" s="10" t="n"/>
      <c r="S4857" s="16" t="inlineStr">
        <is>
          <t>https://mstgolf.co.th/products/gf2040115917</t>
        </is>
      </c>
      <c r="T4857" s="1">
        <f>IF(B4857="ไม้กอล์ฟ",J4857,"")</f>
        <v/>
      </c>
    </row>
    <row r="4858">
      <c r="A4858" s="1" t="n">
        <v>3</v>
      </c>
      <c r="B4858" s="1" t="inlineStr">
        <is>
          <t>เสื้อผ้า</t>
        </is>
      </c>
      <c r="C4858" s="1" t="inlineStr">
        <is>
          <t>gf2040119276</t>
        </is>
      </c>
      <c r="D4858" s="1" t="inlineStr">
        <is>
          <t>PUMA MATTR Peach Stand Men's Polo (Pink Fruit)</t>
        </is>
      </c>
      <c r="E4858" s="1" t="inlineStr">
        <is>
          <t>PUMA</t>
        </is>
      </c>
      <c r="F4858" s="1" t="inlineStr">
        <is>
          <t>SHORT SLEEVES</t>
        </is>
      </c>
      <c r="G4858" s="1" t="inlineStr">
        <is>
          <t>GF2040119276XS</t>
        </is>
      </c>
      <c r="H4858" s="1" t="n">
        <v>6</v>
      </c>
      <c r="I4858" s="1" t="inlineStr">
        <is>
          <t>หมด</t>
        </is>
      </c>
      <c r="J4858" s="13" t="n">
        <v>75</v>
      </c>
      <c r="K4858" s="1" t="inlineStr"/>
      <c r="L4858" s="13" t="n">
        <v>75</v>
      </c>
      <c r="M4858" s="1">
        <f>IF(L4858="","ไม่พบใน SG",IF(ABS(J4858-L4858)&lt;0.005,"ตรงกัน","ไม่ตรง"))</f>
        <v/>
      </c>
      <c r="N4858" s="14">
        <f>IF(L4858="","",ROUND(L4858*'สรุป'!$C$6,-1))</f>
        <v/>
      </c>
      <c r="O4858" s="15" t="n"/>
      <c r="P4858" s="15" t="n"/>
      <c r="Q4858" s="10" t="n"/>
      <c r="R4858" s="10" t="n"/>
      <c r="S4858" s="16" t="inlineStr">
        <is>
          <t>https://mstgolf.co.th/products/gf2040119276</t>
        </is>
      </c>
      <c r="T4858" s="1">
        <f>IF(B4858="ไม้กอล์ฟ",J4858,"")</f>
        <v/>
      </c>
    </row>
    <row r="4859">
      <c r="A4859" s="1" t="n">
        <v>3</v>
      </c>
      <c r="B4859" s="1" t="inlineStr">
        <is>
          <t>เสื้อผ้า</t>
        </is>
      </c>
      <c r="C4859" s="1" t="inlineStr">
        <is>
          <t>gf2040118452</t>
        </is>
      </c>
      <c r="D4859" s="1" t="inlineStr">
        <is>
          <t>PUMA MATTR Terrance Men's Polo (Silver Sky)</t>
        </is>
      </c>
      <c r="E4859" s="1" t="inlineStr">
        <is>
          <t>PUMA</t>
        </is>
      </c>
      <c r="F4859" s="1" t="inlineStr">
        <is>
          <t>SHORT SLEEVES</t>
        </is>
      </c>
      <c r="G4859" s="1" t="inlineStr">
        <is>
          <t>GF2040118452XS</t>
        </is>
      </c>
      <c r="H4859" s="1" t="n">
        <v>6</v>
      </c>
      <c r="I4859" s="1" t="inlineStr">
        <is>
          <t>หมด</t>
        </is>
      </c>
      <c r="J4859" s="13" t="n">
        <v>75</v>
      </c>
      <c r="K4859" s="1" t="inlineStr"/>
      <c r="L4859" s="13" t="n"/>
      <c r="M4859" s="1">
        <f>IF(L4859="","ไม่พบใน SG",IF(ABS(J4859-L4859)&lt;0.005,"ตรงกัน","ไม่ตรง"))</f>
        <v/>
      </c>
      <c r="N4859" s="14">
        <f>IF(L4859="","",ROUND(L4859*'สรุป'!$C$6,-1))</f>
        <v/>
      </c>
      <c r="O4859" s="15" t="n"/>
      <c r="P4859" s="15" t="n"/>
      <c r="Q4859" s="10" t="n"/>
      <c r="R4859" s="10" t="n"/>
      <c r="S4859" s="16" t="inlineStr">
        <is>
          <t>https://mstgolf.co.th/products/gf2040118452</t>
        </is>
      </c>
      <c r="T4859" s="1">
        <f>IF(B4859="ไม้กอล์ฟ",J4859,"")</f>
        <v/>
      </c>
    </row>
    <row r="4860">
      <c r="A4860" s="1" t="n">
        <v>3</v>
      </c>
      <c r="B4860" s="1" t="inlineStr">
        <is>
          <t>เสื้อผ้า</t>
        </is>
      </c>
      <c r="C4860" s="1" t="inlineStr">
        <is>
          <t>gf2040118463</t>
        </is>
      </c>
      <c r="D4860" s="1" t="inlineStr">
        <is>
          <t>PUMA Pique Borrego Men's Polo (White/Blue)</t>
        </is>
      </c>
      <c r="E4860" s="1" t="inlineStr">
        <is>
          <t>PUMA</t>
        </is>
      </c>
      <c r="F4860" s="1" t="inlineStr">
        <is>
          <t>SHORT SLEEVES</t>
        </is>
      </c>
      <c r="G4860" s="1" t="inlineStr">
        <is>
          <t>GF2040118463XS</t>
        </is>
      </c>
      <c r="H4860" s="1" t="n">
        <v>7</v>
      </c>
      <c r="I4860" s="1" t="inlineStr">
        <is>
          <t>หมด</t>
        </is>
      </c>
      <c r="J4860" s="13" t="n">
        <v>75</v>
      </c>
      <c r="K4860" s="1" t="inlineStr"/>
      <c r="L4860" s="13" t="n"/>
      <c r="M4860" s="1">
        <f>IF(L4860="","ไม่พบใน SG",IF(ABS(J4860-L4860)&lt;0.005,"ตรงกัน","ไม่ตรง"))</f>
        <v/>
      </c>
      <c r="N4860" s="14">
        <f>IF(L4860="","",ROUND(L4860*'สรุป'!$C$6,-1))</f>
        <v/>
      </c>
      <c r="O4860" s="15" t="n"/>
      <c r="P4860" s="15" t="n"/>
      <c r="Q4860" s="10" t="n"/>
      <c r="R4860" s="10" t="n"/>
      <c r="S4860" s="16" t="inlineStr">
        <is>
          <t>https://mstgolf.co.th/products/gf2040118463</t>
        </is>
      </c>
      <c r="T4860" s="1">
        <f>IF(B4860="ไม้กอล์ฟ",J4860,"")</f>
        <v/>
      </c>
    </row>
    <row r="4861">
      <c r="A4861" s="1" t="n">
        <v>3</v>
      </c>
      <c r="B4861" s="1" t="inlineStr">
        <is>
          <t>เสื้อผ้า</t>
        </is>
      </c>
      <c r="C4861" s="1" t="inlineStr">
        <is>
          <t>gf2040400955</t>
        </is>
      </c>
      <c r="D4861" s="1" t="inlineStr">
        <is>
          <t>TAYLORMADE Basic Men's Long Sleeve Polo (Navy)</t>
        </is>
      </c>
      <c r="E4861" s="1" t="inlineStr">
        <is>
          <t>TAYLORMADE</t>
        </is>
      </c>
      <c r="F4861" s="1" t="inlineStr">
        <is>
          <t>LONG SLEEVES</t>
        </is>
      </c>
      <c r="G4861" s="1" t="inlineStr">
        <is>
          <t>GF2040400955M</t>
        </is>
      </c>
      <c r="H4861" s="1" t="n">
        <v>5</v>
      </c>
      <c r="I4861" s="1" t="inlineStr">
        <is>
          <t>หมด</t>
        </is>
      </c>
      <c r="J4861" s="13" t="n">
        <v>75</v>
      </c>
      <c r="K4861" s="1" t="inlineStr"/>
      <c r="L4861" s="13" t="n">
        <v>75</v>
      </c>
      <c r="M4861" s="1">
        <f>IF(L4861="","ไม่พบใน SG",IF(ABS(J4861-L4861)&lt;0.005,"ตรงกัน","ไม่ตรง"))</f>
        <v/>
      </c>
      <c r="N4861" s="14">
        <f>IF(L4861="","",ROUND(L4861*'สรุป'!$C$6,-1))</f>
        <v/>
      </c>
      <c r="O4861" s="15" t="n"/>
      <c r="P4861" s="15" t="n"/>
      <c r="Q4861" s="10" t="n"/>
      <c r="R4861" s="10" t="n"/>
      <c r="S4861" s="16" t="inlineStr">
        <is>
          <t>https://mstgolf.co.th/products/gf2040400955</t>
        </is>
      </c>
      <c r="T4861" s="1">
        <f>IF(B4861="ไม้กอล์ฟ",J4861,"")</f>
        <v/>
      </c>
    </row>
    <row r="4862">
      <c r="A4862" s="1" t="n">
        <v>3</v>
      </c>
      <c r="B4862" s="1" t="inlineStr">
        <is>
          <t>อุปกรณ์เสริม</t>
        </is>
      </c>
      <c r="C4862" s="1" t="inlineStr">
        <is>
          <t>gf2100200723</t>
        </is>
      </c>
      <c r="D4862" s="1" t="inlineStr">
        <is>
          <t>TAYLORMADE Microfiber Golf Towel (Red)</t>
        </is>
      </c>
      <c r="E4862" s="1" t="inlineStr">
        <is>
          <t>TAYLORMADE</t>
        </is>
      </c>
      <c r="F4862" s="1" t="inlineStr">
        <is>
          <t>HAND/CLUB TOWEL</t>
        </is>
      </c>
      <c r="G4862" s="1" t="inlineStr">
        <is>
          <t>GF2100200723</t>
        </is>
      </c>
      <c r="H4862" s="1" t="n">
        <v>1</v>
      </c>
      <c r="I4862" s="1" t="inlineStr">
        <is>
          <t>หมด</t>
        </is>
      </c>
      <c r="J4862" s="13" t="n">
        <v>75</v>
      </c>
      <c r="K4862" s="1" t="inlineStr"/>
      <c r="L4862" s="13" t="n"/>
      <c r="M4862" s="1">
        <f>IF(L4862="","ไม่พบใน SG",IF(ABS(J4862-L4862)&lt;0.005,"ตรงกัน","ไม่ตรง"))</f>
        <v/>
      </c>
      <c r="N4862" s="14">
        <f>IF(L4862="","",ROUND(L4862*'สรุป'!$C$6,-1))</f>
        <v/>
      </c>
      <c r="O4862" s="15" t="n"/>
      <c r="P4862" s="15" t="n"/>
      <c r="Q4862" s="10" t="n"/>
      <c r="R4862" s="10" t="n"/>
      <c r="S4862" s="16" t="inlineStr">
        <is>
          <t>https://mstgolf.co.th/products/gf2100200723</t>
        </is>
      </c>
      <c r="T4862" s="1">
        <f>IF(B4862="ไม้กอล์ฟ",J4862,"")</f>
        <v/>
      </c>
    </row>
    <row r="4863">
      <c r="A4863" s="1" t="n">
        <v>3</v>
      </c>
      <c r="B4863" s="1" t="inlineStr">
        <is>
          <t>เสื้อผ้า</t>
        </is>
      </c>
      <c r="C4863" s="1" t="inlineStr">
        <is>
          <t>gf2040118343</t>
        </is>
      </c>
      <c r="D4863" s="1" t="inlineStr">
        <is>
          <t>UNDER ARMOUR Drive Goin' Under Range Men's T-Shirt (White)</t>
        </is>
      </c>
      <c r="E4863" s="1" t="inlineStr">
        <is>
          <t>UNDER ARMOUR</t>
        </is>
      </c>
      <c r="F4863" s="1" t="inlineStr">
        <is>
          <t>SHORT SLEEVES</t>
        </is>
      </c>
      <c r="G4863" s="1" t="inlineStr">
        <is>
          <t>GF2040118343S</t>
        </is>
      </c>
      <c r="H4863" s="1" t="n">
        <v>5</v>
      </c>
      <c r="I4863" s="1" t="inlineStr">
        <is>
          <t>หมด</t>
        </is>
      </c>
      <c r="J4863" s="13" t="n">
        <v>75</v>
      </c>
      <c r="K4863" s="1" t="inlineStr"/>
      <c r="L4863" s="13" t="n"/>
      <c r="M4863" s="1">
        <f>IF(L4863="","ไม่พบใน SG",IF(ABS(J4863-L4863)&lt;0.005,"ตรงกัน","ไม่ตรง"))</f>
        <v/>
      </c>
      <c r="N4863" s="14">
        <f>IF(L4863="","",ROUND(L4863*'สรุป'!$C$6,-1))</f>
        <v/>
      </c>
      <c r="O4863" s="15" t="n"/>
      <c r="P4863" s="15" t="n"/>
      <c r="Q4863" s="10" t="n"/>
      <c r="R4863" s="10" t="n"/>
      <c r="S4863" s="16" t="inlineStr">
        <is>
          <t>https://mstgolf.co.th/products/gf2040118343</t>
        </is>
      </c>
      <c r="T4863" s="1">
        <f>IF(B4863="ไม้กอล์ฟ",J4863,"")</f>
        <v/>
      </c>
    </row>
    <row r="4864">
      <c r="A4864" s="1" t="n">
        <v>3</v>
      </c>
      <c r="B4864" s="1" t="inlineStr">
        <is>
          <t>เสื้อผ้า</t>
        </is>
      </c>
      <c r="C4864" s="1" t="inlineStr">
        <is>
          <t>gf2040119232</t>
        </is>
      </c>
      <c r="D4864" s="1" t="inlineStr">
        <is>
          <t>UNDER ARMOUR Drive Limited Edition Men's Polo (Midnight Navy)</t>
        </is>
      </c>
      <c r="E4864" s="1" t="inlineStr">
        <is>
          <t>UNDER ARMOUR</t>
        </is>
      </c>
      <c r="F4864" s="1" t="inlineStr">
        <is>
          <t>SHORT SLEEVES</t>
        </is>
      </c>
      <c r="G4864" s="1" t="inlineStr">
        <is>
          <t>GF2040119232S</t>
        </is>
      </c>
      <c r="H4864" s="1" t="n">
        <v>5</v>
      </c>
      <c r="I4864" s="1" t="inlineStr">
        <is>
          <t>หมด</t>
        </is>
      </c>
      <c r="J4864" s="13" t="n">
        <v>75</v>
      </c>
      <c r="K4864" s="1" t="inlineStr"/>
      <c r="L4864" s="13" t="n"/>
      <c r="M4864" s="1">
        <f>IF(L4864="","ไม่พบใน SG",IF(ABS(J4864-L4864)&lt;0.005,"ตรงกัน","ไม่ตรง"))</f>
        <v/>
      </c>
      <c r="N4864" s="14">
        <f>IF(L4864="","",ROUND(L4864*'สรุป'!$C$6,-1))</f>
        <v/>
      </c>
      <c r="O4864" s="15" t="n"/>
      <c r="P4864" s="15" t="n"/>
      <c r="Q4864" s="10" t="n"/>
      <c r="R4864" s="10" t="n"/>
      <c r="S4864" s="16" t="inlineStr">
        <is>
          <t>https://mstgolf.co.th/products/gf2040119232</t>
        </is>
      </c>
      <c r="T4864" s="1">
        <f>IF(B4864="ไม้กอล์ฟ",J4864,"")</f>
        <v/>
      </c>
    </row>
    <row r="4865">
      <c r="A4865" s="1" t="n">
        <v>3</v>
      </c>
      <c r="B4865" s="1" t="inlineStr">
        <is>
          <t>เสื้อผ้า</t>
        </is>
      </c>
      <c r="C4865" s="1" t="inlineStr">
        <is>
          <t>gf2040119215</t>
        </is>
      </c>
      <c r="D4865" s="1" t="inlineStr">
        <is>
          <t>UNDER ARMOUR Playoff 3.0 Rib Men's Polo (Downpour Grey)</t>
        </is>
      </c>
      <c r="E4865" s="1" t="inlineStr">
        <is>
          <t>UNDER ARMOUR</t>
        </is>
      </c>
      <c r="F4865" s="1" t="inlineStr">
        <is>
          <t>SHORT SLEEVES</t>
        </is>
      </c>
      <c r="G4865" s="1" t="inlineStr">
        <is>
          <t>GF2040119215S</t>
        </is>
      </c>
      <c r="H4865" s="1" t="n">
        <v>5</v>
      </c>
      <c r="I4865" s="1" t="inlineStr">
        <is>
          <t>หมด</t>
        </is>
      </c>
      <c r="J4865" s="13" t="n">
        <v>75</v>
      </c>
      <c r="K4865" s="1" t="inlineStr"/>
      <c r="L4865" s="13" t="n"/>
      <c r="M4865" s="1">
        <f>IF(L4865="","ไม่พบใน SG",IF(ABS(J4865-L4865)&lt;0.005,"ตรงกัน","ไม่ตรง"))</f>
        <v/>
      </c>
      <c r="N4865" s="14">
        <f>IF(L4865="","",ROUND(L4865*'สรุป'!$C$6,-1))</f>
        <v/>
      </c>
      <c r="O4865" s="15" t="n"/>
      <c r="P4865" s="15" t="n"/>
      <c r="Q4865" s="10" t="n"/>
      <c r="R4865" s="10" t="n"/>
      <c r="S4865" s="16" t="inlineStr">
        <is>
          <t>https://mstgolf.co.th/products/gf2040119215</t>
        </is>
      </c>
      <c r="T4865" s="1">
        <f>IF(B4865="ไม้กอล์ฟ",J4865,"")</f>
        <v/>
      </c>
    </row>
    <row r="4866">
      <c r="A4866" s="1" t="n">
        <v>3</v>
      </c>
      <c r="B4866" s="1" t="inlineStr">
        <is>
          <t>เสื้อผ้า</t>
        </is>
      </c>
      <c r="C4866" s="1" t="inlineStr">
        <is>
          <t>gf2040118344</t>
        </is>
      </c>
      <c r="D4866" s="1" t="inlineStr">
        <is>
          <t>UNDER ARMOUR Playoff 3.0 Rib Men's Polo (White/Green)</t>
        </is>
      </c>
      <c r="E4866" s="1" t="inlineStr">
        <is>
          <t>UNDER ARMOUR</t>
        </is>
      </c>
      <c r="F4866" s="1" t="inlineStr">
        <is>
          <t>SHORT SLEEVES</t>
        </is>
      </c>
      <c r="G4866" s="1" t="inlineStr">
        <is>
          <t>GF2040118344S</t>
        </is>
      </c>
      <c r="H4866" s="1" t="n">
        <v>5</v>
      </c>
      <c r="I4866" s="1" t="inlineStr">
        <is>
          <t>หมด</t>
        </is>
      </c>
      <c r="J4866" s="13" t="n">
        <v>75</v>
      </c>
      <c r="K4866" s="1" t="inlineStr"/>
      <c r="L4866" s="13" t="n"/>
      <c r="M4866" s="1">
        <f>IF(L4866="","ไม่พบใน SG",IF(ABS(J4866-L4866)&lt;0.005,"ตรงกัน","ไม่ตรง"))</f>
        <v/>
      </c>
      <c r="N4866" s="14">
        <f>IF(L4866="","",ROUND(L4866*'สรุป'!$C$6,-1))</f>
        <v/>
      </c>
      <c r="O4866" s="15" t="n"/>
      <c r="P4866" s="15" t="n"/>
      <c r="Q4866" s="10" t="n"/>
      <c r="R4866" s="10" t="n"/>
      <c r="S4866" s="16" t="inlineStr">
        <is>
          <t>https://mstgolf.co.th/products/gf2040118344</t>
        </is>
      </c>
      <c r="T4866" s="1">
        <f>IF(B4866="ไม้กอล์ฟ",J4866,"")</f>
        <v/>
      </c>
    </row>
    <row r="4867">
      <c r="A4867" s="1" t="n">
        <v>3</v>
      </c>
      <c r="B4867" s="1" t="inlineStr">
        <is>
          <t>เสื้อผ้า</t>
        </is>
      </c>
      <c r="C4867" s="1" t="inlineStr">
        <is>
          <t>gf2040118944</t>
        </is>
      </c>
      <c r="D4867" s="1" t="inlineStr">
        <is>
          <t>NIKE Dri-FIT Tour Men’s Polo (Black)</t>
        </is>
      </c>
      <c r="E4867" s="1" t="inlineStr">
        <is>
          <t>NIKE</t>
        </is>
      </c>
      <c r="F4867" s="1" t="inlineStr">
        <is>
          <t>SHORT SLEEVES</t>
        </is>
      </c>
      <c r="G4867" s="1" t="inlineStr">
        <is>
          <t>GF2040118944S</t>
        </is>
      </c>
      <c r="H4867" s="1" t="n">
        <v>5</v>
      </c>
      <c r="I4867" s="1" t="inlineStr">
        <is>
          <t>หมด</t>
        </is>
      </c>
      <c r="J4867" s="13" t="n">
        <v>73</v>
      </c>
      <c r="K4867" s="1" t="inlineStr"/>
      <c r="L4867" s="13" t="n">
        <v>49</v>
      </c>
      <c r="M4867" s="1">
        <f>IF(L4867="","ไม่พบใน SG",IF(ABS(J4867-L4867)&lt;0.005,"ตรงกัน","ไม่ตรง"))</f>
        <v/>
      </c>
      <c r="N4867" s="14">
        <f>IF(L4867="","",ROUND(L4867*'สรุป'!$C$6,-1))</f>
        <v/>
      </c>
      <c r="O4867" s="15" t="n"/>
      <c r="P4867" s="15" t="n"/>
      <c r="Q4867" s="10" t="n"/>
      <c r="R4867" s="10" t="n"/>
      <c r="S4867" s="16" t="inlineStr">
        <is>
          <t>https://mstgolf.co.th/products/gf2040118944</t>
        </is>
      </c>
      <c r="T4867" s="1">
        <f>IF(B4867="ไม้กอล์ฟ",J4867,"")</f>
        <v/>
      </c>
    </row>
    <row r="4868">
      <c r="A4868" s="1" t="n">
        <v>3</v>
      </c>
      <c r="B4868" s="1" t="inlineStr">
        <is>
          <t>เสื้อผ้า</t>
        </is>
      </c>
      <c r="C4868" s="1" t="inlineStr">
        <is>
          <t>gf2040118673</t>
        </is>
      </c>
      <c r="D4868" s="1" t="inlineStr">
        <is>
          <t>NIKE Tour Dri-FIT Men's Polo (Light Carbon)</t>
        </is>
      </c>
      <c r="E4868" s="1" t="inlineStr">
        <is>
          <t>NIKE</t>
        </is>
      </c>
      <c r="F4868" s="1" t="inlineStr">
        <is>
          <t>SHORT SLEEVES</t>
        </is>
      </c>
      <c r="G4868" s="1" t="inlineStr">
        <is>
          <t>GF2040118673S</t>
        </is>
      </c>
      <c r="H4868" s="1" t="n">
        <v>5</v>
      </c>
      <c r="I4868" s="1" t="inlineStr">
        <is>
          <t>หมด</t>
        </is>
      </c>
      <c r="J4868" s="13" t="n">
        <v>73</v>
      </c>
      <c r="K4868" s="1" t="inlineStr"/>
      <c r="L4868" s="13" t="n">
        <v>73</v>
      </c>
      <c r="M4868" s="1">
        <f>IF(L4868="","ไม่พบใน SG",IF(ABS(J4868-L4868)&lt;0.005,"ตรงกัน","ไม่ตรง"))</f>
        <v/>
      </c>
      <c r="N4868" s="14">
        <f>IF(L4868="","",ROUND(L4868*'สรุป'!$C$6,-1))</f>
        <v/>
      </c>
      <c r="O4868" s="15" t="n"/>
      <c r="P4868" s="15" t="n"/>
      <c r="Q4868" s="10" t="n"/>
      <c r="R4868" s="10" t="n"/>
      <c r="S4868" s="16" t="inlineStr">
        <is>
          <t>https://mstgolf.co.th/products/gf2040118673</t>
        </is>
      </c>
      <c r="T4868" s="1">
        <f>IF(B4868="ไม้กอล์ฟ",J4868,"")</f>
        <v/>
      </c>
    </row>
    <row r="4869">
      <c r="A4869" s="1" t="n">
        <v>3</v>
      </c>
      <c r="B4869" s="1" t="inlineStr">
        <is>
          <t>หมวก</t>
        </is>
      </c>
      <c r="C4869" s="1" t="inlineStr">
        <is>
          <t>gf2000105950</t>
        </is>
      </c>
      <c r="D4869" s="1" t="inlineStr">
        <is>
          <t>OAKLEY Japan Skull Switch Men's Cap (Peacoat)</t>
        </is>
      </c>
      <c r="E4869" s="1" t="inlineStr">
        <is>
          <t>OAKLEY</t>
        </is>
      </c>
      <c r="F4869" s="1" t="inlineStr">
        <is>
          <t>CAP</t>
        </is>
      </c>
      <c r="G4869" s="1" t="inlineStr">
        <is>
          <t>GF2000105950FS</t>
        </is>
      </c>
      <c r="H4869" s="1" t="n">
        <v>1</v>
      </c>
      <c r="I4869" s="1" t="inlineStr">
        <is>
          <t>หมด</t>
        </is>
      </c>
      <c r="J4869" s="13" t="n">
        <v>73</v>
      </c>
      <c r="K4869" s="1" t="inlineStr"/>
      <c r="L4869" s="13" t="n">
        <v>73</v>
      </c>
      <c r="M4869" s="1">
        <f>IF(L4869="","ไม่พบใน SG",IF(ABS(J4869-L4869)&lt;0.005,"ตรงกัน","ไม่ตรง"))</f>
        <v/>
      </c>
      <c r="N4869" s="14">
        <f>IF(L4869="","",ROUND(L4869*'สรุป'!$C$6,-1))</f>
        <v/>
      </c>
      <c r="O4869" s="15" t="n"/>
      <c r="P4869" s="15" t="n"/>
      <c r="Q4869" s="10" t="n"/>
      <c r="R4869" s="10" t="n"/>
      <c r="S4869" s="16" t="inlineStr">
        <is>
          <t>https://mstgolf.co.th/products/gf2000105950</t>
        </is>
      </c>
      <c r="T4869" s="1">
        <f>IF(B4869="ไม้กอล์ฟ",J4869,"")</f>
        <v/>
      </c>
    </row>
    <row r="4870">
      <c r="A4870" s="1" t="n">
        <v>3</v>
      </c>
      <c r="B4870" s="1" t="inlineStr">
        <is>
          <t>เสื้อผ้า</t>
        </is>
      </c>
      <c r="C4870" s="1" t="inlineStr">
        <is>
          <t>gf2040116704</t>
        </is>
      </c>
      <c r="D4870" s="1" t="inlineStr">
        <is>
          <t>PETER MILLAR Willis Geo Performance Mesh Men's Polo (Navy)</t>
        </is>
      </c>
      <c r="E4870" s="1" t="inlineStr">
        <is>
          <t>PETER MILLAR</t>
        </is>
      </c>
      <c r="F4870" s="1" t="inlineStr">
        <is>
          <t>SHORT SLEEVES</t>
        </is>
      </c>
      <c r="G4870" s="1" t="inlineStr">
        <is>
          <t>GF2040116704S</t>
        </is>
      </c>
      <c r="H4870" s="1" t="n">
        <v>5</v>
      </c>
      <c r="I4870" s="1" t="inlineStr">
        <is>
          <t>หมด</t>
        </is>
      </c>
      <c r="J4870" s="13" t="n">
        <v>73</v>
      </c>
      <c r="K4870" s="1" t="inlineStr"/>
      <c r="L4870" s="13" t="n">
        <v>73</v>
      </c>
      <c r="M4870" s="1">
        <f>IF(L4870="","ไม่พบใน SG",IF(ABS(J4870-L4870)&lt;0.005,"ตรงกัน","ไม่ตรง"))</f>
        <v/>
      </c>
      <c r="N4870" s="14">
        <f>IF(L4870="","",ROUND(L4870*'สรุป'!$C$6,-1))</f>
        <v/>
      </c>
      <c r="O4870" s="15" t="n"/>
      <c r="P4870" s="15" t="n"/>
      <c r="Q4870" s="10" t="n"/>
      <c r="R4870" s="10" t="n"/>
      <c r="S4870" s="16" t="inlineStr">
        <is>
          <t>https://mstgolf.co.th/products/gf2040116704</t>
        </is>
      </c>
      <c r="T4870" s="1">
        <f>IF(B4870="ไม้กอล์ฟ",J4870,"")</f>
        <v/>
      </c>
    </row>
    <row r="4871">
      <c r="A4871" s="1" t="n">
        <v>3</v>
      </c>
      <c r="B4871" s="1" t="inlineStr">
        <is>
          <t>เสื้อผ้า</t>
        </is>
      </c>
      <c r="C4871" s="1" t="inlineStr">
        <is>
          <t>gf2040116595</t>
        </is>
      </c>
      <c r="D4871" s="1" t="inlineStr">
        <is>
          <t>ADIDAS 3-Striped Basic Women's Polo (Black)</t>
        </is>
      </c>
      <c r="E4871" s="1" t="inlineStr">
        <is>
          <t>ADIDAS</t>
        </is>
      </c>
      <c r="F4871" s="1" t="inlineStr">
        <is>
          <t>SHORT SLEEVES</t>
        </is>
      </c>
      <c r="G4871" s="1" t="inlineStr">
        <is>
          <t>GF2040116595XS</t>
        </is>
      </c>
      <c r="H4871" s="1" t="n">
        <v>6</v>
      </c>
      <c r="I4871" s="1" t="inlineStr">
        <is>
          <t>หมด</t>
        </is>
      </c>
      <c r="J4871" s="13" t="n">
        <v>70</v>
      </c>
      <c r="K4871" s="1" t="inlineStr"/>
      <c r="L4871" s="13" t="n"/>
      <c r="M4871" s="1">
        <f>IF(L4871="","ไม่พบใน SG",IF(ABS(J4871-L4871)&lt;0.005,"ตรงกัน","ไม่ตรง"))</f>
        <v/>
      </c>
      <c r="N4871" s="14">
        <f>IF(L4871="","",ROUND(L4871*'สรุป'!$C$6,-1))</f>
        <v/>
      </c>
      <c r="O4871" s="15" t="n"/>
      <c r="P4871" s="15" t="n"/>
      <c r="Q4871" s="10" t="n"/>
      <c r="R4871" s="10" t="n"/>
      <c r="S4871" s="16" t="inlineStr">
        <is>
          <t>https://mstgolf.co.th/products/gf2040116595</t>
        </is>
      </c>
      <c r="T4871" s="1">
        <f>IF(B4871="ไม้กอล์ฟ",J4871,"")</f>
        <v/>
      </c>
    </row>
    <row r="4872">
      <c r="A4872" s="1" t="n">
        <v>3</v>
      </c>
      <c r="B4872" s="1" t="inlineStr">
        <is>
          <t>เสื้อผ้า</t>
        </is>
      </c>
      <c r="C4872" s="1" t="inlineStr">
        <is>
          <t>gf2040116597</t>
        </is>
      </c>
      <c r="D4872" s="1" t="inlineStr">
        <is>
          <t>ADIDAS 3-Striped Basic Women's Polo (Red)</t>
        </is>
      </c>
      <c r="E4872" s="1" t="inlineStr">
        <is>
          <t>ADIDAS</t>
        </is>
      </c>
      <c r="F4872" s="1" t="inlineStr">
        <is>
          <t>SHORT SLEEVES</t>
        </is>
      </c>
      <c r="G4872" s="1" t="inlineStr">
        <is>
          <t>GF2040116597XS</t>
        </is>
      </c>
      <c r="H4872" s="1" t="n">
        <v>6</v>
      </c>
      <c r="I4872" s="1" t="inlineStr">
        <is>
          <t>หมด</t>
        </is>
      </c>
      <c r="J4872" s="13" t="n">
        <v>70</v>
      </c>
      <c r="K4872" s="1" t="inlineStr"/>
      <c r="L4872" s="13" t="n"/>
      <c r="M4872" s="1">
        <f>IF(L4872="","ไม่พบใน SG",IF(ABS(J4872-L4872)&lt;0.005,"ตรงกัน","ไม่ตรง"))</f>
        <v/>
      </c>
      <c r="N4872" s="14">
        <f>IF(L4872="","",ROUND(L4872*'สรุป'!$C$6,-1))</f>
        <v/>
      </c>
      <c r="O4872" s="15" t="n"/>
      <c r="P4872" s="15" t="n"/>
      <c r="Q4872" s="10" t="n"/>
      <c r="R4872" s="10" t="n"/>
      <c r="S4872" s="16" t="inlineStr">
        <is>
          <t>https://mstgolf.co.th/products/gf2040116597</t>
        </is>
      </c>
      <c r="T4872" s="1">
        <f>IF(B4872="ไม้กอล์ฟ",J4872,"")</f>
        <v/>
      </c>
    </row>
    <row r="4873">
      <c r="A4873" s="1" t="n">
        <v>3</v>
      </c>
      <c r="B4873" s="1" t="inlineStr">
        <is>
          <t>เสื้อผ้า</t>
        </is>
      </c>
      <c r="C4873" s="1" t="inlineStr">
        <is>
          <t>gf2040113242</t>
        </is>
      </c>
      <c r="D4873" s="1" t="inlineStr">
        <is>
          <t>ADIDAS 3-Stripes Basic Men's Polo (Black)</t>
        </is>
      </c>
      <c r="E4873" s="1" t="inlineStr">
        <is>
          <t>ADIDAS</t>
        </is>
      </c>
      <c r="F4873" s="1" t="inlineStr">
        <is>
          <t>SHORT SLEEVES</t>
        </is>
      </c>
      <c r="G4873" s="1" t="inlineStr">
        <is>
          <t>GF2040113242S</t>
        </is>
      </c>
      <c r="H4873" s="1" t="n">
        <v>7</v>
      </c>
      <c r="I4873" s="1" t="inlineStr">
        <is>
          <t>หมด</t>
        </is>
      </c>
      <c r="J4873" s="13" t="n">
        <v>70</v>
      </c>
      <c r="K4873" s="1" t="inlineStr"/>
      <c r="L4873" s="13" t="n"/>
      <c r="M4873" s="1">
        <f>IF(L4873="","ไม่พบใน SG",IF(ABS(J4873-L4873)&lt;0.005,"ตรงกัน","ไม่ตรง"))</f>
        <v/>
      </c>
      <c r="N4873" s="14">
        <f>IF(L4873="","",ROUND(L4873*'สรุป'!$C$6,-1))</f>
        <v/>
      </c>
      <c r="O4873" s="15" t="n"/>
      <c r="P4873" s="15" t="n"/>
      <c r="Q4873" s="10" t="n"/>
      <c r="R4873" s="10" t="n"/>
      <c r="S4873" s="16" t="inlineStr">
        <is>
          <t>https://mstgolf.co.th/products/gf2040113242</t>
        </is>
      </c>
      <c r="T4873" s="1">
        <f>IF(B4873="ไม้กอล์ฟ",J4873,"")</f>
        <v/>
      </c>
    </row>
    <row r="4874">
      <c r="A4874" s="1" t="n">
        <v>3</v>
      </c>
      <c r="B4874" s="1" t="inlineStr">
        <is>
          <t>เสื้อผ้า</t>
        </is>
      </c>
      <c r="C4874" s="1" t="inlineStr">
        <is>
          <t>gf2040113243</t>
        </is>
      </c>
      <c r="D4874" s="1" t="inlineStr">
        <is>
          <t>ADIDAS 3-Stripes Basic Men's Polo (College Navy)</t>
        </is>
      </c>
      <c r="E4874" s="1" t="inlineStr">
        <is>
          <t>ADIDAS</t>
        </is>
      </c>
      <c r="F4874" s="1" t="inlineStr">
        <is>
          <t>SHORT SLEEVES</t>
        </is>
      </c>
      <c r="G4874" s="1" t="inlineStr">
        <is>
          <t>GF2040113243S</t>
        </is>
      </c>
      <c r="H4874" s="1" t="n">
        <v>7</v>
      </c>
      <c r="I4874" s="1" t="inlineStr">
        <is>
          <t>หมด</t>
        </is>
      </c>
      <c r="J4874" s="13" t="n">
        <v>70</v>
      </c>
      <c r="K4874" s="1" t="inlineStr"/>
      <c r="L4874" s="13" t="n"/>
      <c r="M4874" s="1">
        <f>IF(L4874="","ไม่พบใน SG",IF(ABS(J4874-L4874)&lt;0.005,"ตรงกัน","ไม่ตรง"))</f>
        <v/>
      </c>
      <c r="N4874" s="14">
        <f>IF(L4874="","",ROUND(L4874*'สรุป'!$C$6,-1))</f>
        <v/>
      </c>
      <c r="O4874" s="15" t="n"/>
      <c r="P4874" s="15" t="n"/>
      <c r="Q4874" s="10" t="n"/>
      <c r="R4874" s="10" t="n"/>
      <c r="S4874" s="16" t="inlineStr">
        <is>
          <t>https://mstgolf.co.th/products/gf2040113243</t>
        </is>
      </c>
      <c r="T4874" s="1">
        <f>IF(B4874="ไม้กอล์ฟ",J4874,"")</f>
        <v/>
      </c>
    </row>
    <row r="4875">
      <c r="A4875" s="1" t="n">
        <v>3</v>
      </c>
      <c r="B4875" s="1" t="inlineStr">
        <is>
          <t>เสื้อผ้า</t>
        </is>
      </c>
      <c r="C4875" s="1" t="inlineStr">
        <is>
          <t>gf2040113244</t>
        </is>
      </c>
      <c r="D4875" s="1" t="inlineStr">
        <is>
          <t>ADIDAS 3-Stripes Basic Men's Polo (College Red)</t>
        </is>
      </c>
      <c r="E4875" s="1" t="inlineStr">
        <is>
          <t>ADIDAS</t>
        </is>
      </c>
      <c r="F4875" s="1" t="inlineStr">
        <is>
          <t>SHORT SLEEVES</t>
        </is>
      </c>
      <c r="G4875" s="1" t="inlineStr">
        <is>
          <t>GF2040113244S</t>
        </is>
      </c>
      <c r="H4875" s="1" t="n">
        <v>7</v>
      </c>
      <c r="I4875" s="1" t="inlineStr">
        <is>
          <t>หมด</t>
        </is>
      </c>
      <c r="J4875" s="13" t="n">
        <v>70</v>
      </c>
      <c r="K4875" s="1" t="inlineStr"/>
      <c r="L4875" s="13" t="n"/>
      <c r="M4875" s="1">
        <f>IF(L4875="","ไม่พบใน SG",IF(ABS(J4875-L4875)&lt;0.005,"ตรงกัน","ไม่ตรง"))</f>
        <v/>
      </c>
      <c r="N4875" s="14">
        <f>IF(L4875="","",ROUND(L4875*'สรุป'!$C$6,-1))</f>
        <v/>
      </c>
      <c r="O4875" s="15" t="n"/>
      <c r="P4875" s="15" t="n"/>
      <c r="Q4875" s="10" t="n"/>
      <c r="R4875" s="10" t="n"/>
      <c r="S4875" s="16" t="inlineStr">
        <is>
          <t>https://mstgolf.co.th/products/gf2040113244</t>
        </is>
      </c>
      <c r="T4875" s="1">
        <f>IF(B4875="ไม้กอล์ฟ",J4875,"")</f>
        <v/>
      </c>
    </row>
    <row r="4876">
      <c r="A4876" s="1" t="n">
        <v>3</v>
      </c>
      <c r="B4876" s="1" t="inlineStr">
        <is>
          <t>เสื้อผ้า</t>
        </is>
      </c>
      <c r="C4876" s="1" t="inlineStr">
        <is>
          <t>gf2040113676</t>
        </is>
      </c>
      <c r="D4876" s="1" t="inlineStr">
        <is>
          <t>ADIDAS 3-Stripes Basic Men's Polo (White)</t>
        </is>
      </c>
      <c r="E4876" s="1" t="inlineStr">
        <is>
          <t>ADIDAS</t>
        </is>
      </c>
      <c r="F4876" s="1" t="inlineStr">
        <is>
          <t>SHORT SLEEVES</t>
        </is>
      </c>
      <c r="G4876" s="1" t="inlineStr">
        <is>
          <t>GF2040113676S</t>
        </is>
      </c>
      <c r="H4876" s="1" t="n">
        <v>7</v>
      </c>
      <c r="I4876" s="1" t="inlineStr">
        <is>
          <t>หมด</t>
        </is>
      </c>
      <c r="J4876" s="13" t="n">
        <v>70</v>
      </c>
      <c r="K4876" s="1" t="inlineStr"/>
      <c r="L4876" s="13" t="n">
        <v>70</v>
      </c>
      <c r="M4876" s="1">
        <f>IF(L4876="","ไม่พบใน SG",IF(ABS(J4876-L4876)&lt;0.005,"ตรงกัน","ไม่ตรง"))</f>
        <v/>
      </c>
      <c r="N4876" s="14">
        <f>IF(L4876="","",ROUND(L4876*'สรุป'!$C$6,-1))</f>
        <v/>
      </c>
      <c r="O4876" s="15" t="n"/>
      <c r="P4876" s="15" t="n"/>
      <c r="Q4876" s="10" t="n"/>
      <c r="R4876" s="10" t="n"/>
      <c r="S4876" s="16" t="inlineStr">
        <is>
          <t>https://mstgolf.co.th/products/gf2040113676</t>
        </is>
      </c>
      <c r="T4876" s="1">
        <f>IF(B4876="ไม้กอล์ฟ",J4876,"")</f>
        <v/>
      </c>
    </row>
    <row r="4877">
      <c r="A4877" s="1" t="n">
        <v>3</v>
      </c>
      <c r="B4877" s="1" t="inlineStr">
        <is>
          <t>เสื้อผ้า</t>
        </is>
      </c>
      <c r="C4877" s="1" t="inlineStr">
        <is>
          <t>gf2040113973</t>
        </is>
      </c>
      <c r="D4877" s="1" t="inlineStr">
        <is>
          <t>ADIDAS 3-Stripes Basic Men's Shirt (Royal Blue)</t>
        </is>
      </c>
      <c r="E4877" s="1" t="inlineStr">
        <is>
          <t>ADIDAS</t>
        </is>
      </c>
      <c r="F4877" s="1" t="inlineStr">
        <is>
          <t>SHORT SLEEVES</t>
        </is>
      </c>
      <c r="G4877" s="1" t="inlineStr">
        <is>
          <t>GF2040113973S</t>
        </is>
      </c>
      <c r="H4877" s="1" t="n">
        <v>7</v>
      </c>
      <c r="I4877" s="1" t="inlineStr">
        <is>
          <t>หมด</t>
        </is>
      </c>
      <c r="J4877" s="13" t="n">
        <v>70</v>
      </c>
      <c r="K4877" s="1" t="inlineStr"/>
      <c r="L4877" s="13" t="n"/>
      <c r="M4877" s="1">
        <f>IF(L4877="","ไม่พบใน SG",IF(ABS(J4877-L4877)&lt;0.005,"ตรงกัน","ไม่ตรง"))</f>
        <v/>
      </c>
      <c r="N4877" s="14">
        <f>IF(L4877="","",ROUND(L4877*'สรุป'!$C$6,-1))</f>
        <v/>
      </c>
      <c r="O4877" s="15" t="n"/>
      <c r="P4877" s="15" t="n"/>
      <c r="Q4877" s="10" t="n"/>
      <c r="R4877" s="10" t="n"/>
      <c r="S4877" s="16" t="inlineStr">
        <is>
          <t>https://mstgolf.co.th/products/gf2040113973</t>
        </is>
      </c>
      <c r="T4877" s="1">
        <f>IF(B4877="ไม้กอล์ฟ",J4877,"")</f>
        <v/>
      </c>
    </row>
    <row r="4878">
      <c r="A4878" s="1" t="n">
        <v>3</v>
      </c>
      <c r="B4878" s="1" t="inlineStr">
        <is>
          <t>เสื้อผ้า</t>
        </is>
      </c>
      <c r="C4878" s="1" t="inlineStr">
        <is>
          <t>gf2040113974</t>
        </is>
      </c>
      <c r="D4878" s="1" t="inlineStr">
        <is>
          <t>ADIDAS 3-Stripes Women's Polo (Black)</t>
        </is>
      </c>
      <c r="E4878" s="1" t="inlineStr">
        <is>
          <t>ADIDAS</t>
        </is>
      </c>
      <c r="F4878" s="1" t="inlineStr">
        <is>
          <t>SHORT SLEEVES</t>
        </is>
      </c>
      <c r="G4878" s="1" t="inlineStr">
        <is>
          <t>GF2040113974S</t>
        </is>
      </c>
      <c r="H4878" s="1" t="n">
        <v>6</v>
      </c>
      <c r="I4878" s="1" t="inlineStr">
        <is>
          <t>หมด</t>
        </is>
      </c>
      <c r="J4878" s="13" t="n">
        <v>70</v>
      </c>
      <c r="K4878" s="1" t="inlineStr"/>
      <c r="L4878" s="13" t="n"/>
      <c r="M4878" s="1">
        <f>IF(L4878="","ไม่พบใน SG",IF(ABS(J4878-L4878)&lt;0.005,"ตรงกัน","ไม่ตรง"))</f>
        <v/>
      </c>
      <c r="N4878" s="14">
        <f>IF(L4878="","",ROUND(L4878*'สรุป'!$C$6,-1))</f>
        <v/>
      </c>
      <c r="O4878" s="15" t="n"/>
      <c r="P4878" s="15" t="n"/>
      <c r="Q4878" s="10" t="n"/>
      <c r="R4878" s="10" t="n"/>
      <c r="S4878" s="16" t="inlineStr">
        <is>
          <t>https://mstgolf.co.th/products/gf2040113974</t>
        </is>
      </c>
      <c r="T4878" s="1">
        <f>IF(B4878="ไม้กอล์ฟ",J4878,"")</f>
        <v/>
      </c>
    </row>
    <row r="4879">
      <c r="A4879" s="1" t="n">
        <v>3</v>
      </c>
      <c r="B4879" s="1" t="inlineStr">
        <is>
          <t>เสื้อผ้า</t>
        </is>
      </c>
      <c r="C4879" s="1" t="inlineStr">
        <is>
          <t>gf2040118503</t>
        </is>
      </c>
      <c r="D4879" s="1" t="inlineStr">
        <is>
          <t>ADIDAS Men's Polo (White)</t>
        </is>
      </c>
      <c r="E4879" s="1" t="inlineStr">
        <is>
          <t>ADIDAS</t>
        </is>
      </c>
      <c r="F4879" s="1" t="inlineStr">
        <is>
          <t>SHORT SLEEVES</t>
        </is>
      </c>
      <c r="G4879" s="1" t="inlineStr">
        <is>
          <t>GF2040118503XS</t>
        </is>
      </c>
      <c r="H4879" s="1" t="n">
        <v>8</v>
      </c>
      <c r="I4879" s="1" t="inlineStr">
        <is>
          <t>หมด</t>
        </is>
      </c>
      <c r="J4879" s="13" t="n">
        <v>70</v>
      </c>
      <c r="K4879" s="1" t="inlineStr"/>
      <c r="L4879" s="13" t="n"/>
      <c r="M4879" s="1">
        <f>IF(L4879="","ไม่พบใน SG",IF(ABS(J4879-L4879)&lt;0.005,"ตรงกัน","ไม่ตรง"))</f>
        <v/>
      </c>
      <c r="N4879" s="14">
        <f>IF(L4879="","",ROUND(L4879*'สรุป'!$C$6,-1))</f>
        <v/>
      </c>
      <c r="O4879" s="15" t="n"/>
      <c r="P4879" s="15" t="n"/>
      <c r="Q4879" s="10" t="n"/>
      <c r="R4879" s="10" t="n"/>
      <c r="S4879" s="16" t="inlineStr">
        <is>
          <t>https://mstgolf.co.th/products/gf2040118503</t>
        </is>
      </c>
      <c r="T4879" s="1">
        <f>IF(B4879="ไม้กอล์ฟ",J4879,"")</f>
        <v/>
      </c>
    </row>
    <row r="4880">
      <c r="A4880" s="1" t="n">
        <v>3</v>
      </c>
      <c r="B4880" s="1" t="inlineStr">
        <is>
          <t>หมวก</t>
        </is>
      </c>
      <c r="C4880" s="1" t="inlineStr">
        <is>
          <t>gf2000106379</t>
        </is>
      </c>
      <c r="D4880" s="1" t="inlineStr">
        <is>
          <t>MALBON GOLF Swing Oil Men's Cap (White)</t>
        </is>
      </c>
      <c r="E4880" s="1" t="inlineStr">
        <is>
          <t>MALBON GOLF</t>
        </is>
      </c>
      <c r="F4880" s="1" t="inlineStr">
        <is>
          <t>CAP</t>
        </is>
      </c>
      <c r="G4880" s="1" t="inlineStr">
        <is>
          <t>GF2000106379FS</t>
        </is>
      </c>
      <c r="H4880" s="1" t="n">
        <v>1</v>
      </c>
      <c r="I4880" s="1" t="inlineStr">
        <is>
          <t>หมด</t>
        </is>
      </c>
      <c r="J4880" s="13" t="n">
        <v>70</v>
      </c>
      <c r="K4880" s="1" t="inlineStr"/>
      <c r="L4880" s="13" t="n"/>
      <c r="M4880" s="1">
        <f>IF(L4880="","ไม่พบใน SG",IF(ABS(J4880-L4880)&lt;0.005,"ตรงกัน","ไม่ตรง"))</f>
        <v/>
      </c>
      <c r="N4880" s="14">
        <f>IF(L4880="","",ROUND(L4880*'สรุป'!$C$6,-1))</f>
        <v/>
      </c>
      <c r="O4880" s="15" t="n"/>
      <c r="P4880" s="15" t="n"/>
      <c r="Q4880" s="10" t="n"/>
      <c r="R4880" s="10" t="n"/>
      <c r="S4880" s="16" t="inlineStr">
        <is>
          <t>https://mstgolf.co.th/products/gf2000106379</t>
        </is>
      </c>
      <c r="T4880" s="1">
        <f>IF(B4880="ไม้กอล์ฟ",J4880,"")</f>
        <v/>
      </c>
    </row>
    <row r="4881">
      <c r="A4881" s="1" t="n">
        <v>3</v>
      </c>
      <c r="B4881" s="1" t="inlineStr">
        <is>
          <t>อุปกรณ์เสริม</t>
        </is>
      </c>
      <c r="C4881" s="1" t="inlineStr">
        <is>
          <t>gf2100200693</t>
        </is>
      </c>
      <c r="D4881" s="1" t="inlineStr">
        <is>
          <t>MALBON GOLF Vacation Club Golf Towel (Orange/Green)</t>
        </is>
      </c>
      <c r="E4881" s="1" t="inlineStr">
        <is>
          <t>MALBON GOLF</t>
        </is>
      </c>
      <c r="F4881" s="1" t="inlineStr">
        <is>
          <t>HAND/CLUB TOWEL</t>
        </is>
      </c>
      <c r="G4881" s="1" t="inlineStr">
        <is>
          <t>GF2100200693</t>
        </is>
      </c>
      <c r="H4881" s="1" t="n">
        <v>1</v>
      </c>
      <c r="I4881" s="1" t="inlineStr">
        <is>
          <t>หมด</t>
        </is>
      </c>
      <c r="J4881" s="13" t="n">
        <v>70</v>
      </c>
      <c r="K4881" s="1" t="inlineStr"/>
      <c r="L4881" s="13" t="n"/>
      <c r="M4881" s="1">
        <f>IF(L4881="","ไม่พบใน SG",IF(ABS(J4881-L4881)&lt;0.005,"ตรงกัน","ไม่ตรง"))</f>
        <v/>
      </c>
      <c r="N4881" s="14">
        <f>IF(L4881="","",ROUND(L4881*'สรุป'!$C$6,-1))</f>
        <v/>
      </c>
      <c r="O4881" s="15" t="n"/>
      <c r="P4881" s="15" t="n"/>
      <c r="Q4881" s="10" t="n"/>
      <c r="R4881" s="10" t="n"/>
      <c r="S4881" s="16" t="inlineStr">
        <is>
          <t>https://mstgolf.co.th/products/gf2100200693</t>
        </is>
      </c>
      <c r="T4881" s="1">
        <f>IF(B4881="ไม้กอล์ฟ",J4881,"")</f>
        <v/>
      </c>
    </row>
    <row r="4882">
      <c r="A4882" s="1" t="n">
        <v>3</v>
      </c>
      <c r="B4882" s="1" t="inlineStr">
        <is>
          <t>เสื้อผ้า</t>
        </is>
      </c>
      <c r="C4882" s="1" t="inlineStr">
        <is>
          <t>gf2040120549</t>
        </is>
      </c>
      <c r="D4882" s="1" t="inlineStr">
        <is>
          <t>ADIDAS Ultimate365 Gradient Women's Sleeveless Mock Shirt (Navy)</t>
        </is>
      </c>
      <c r="E4882" s="1" t="inlineStr">
        <is>
          <t>ADIDAS</t>
        </is>
      </c>
      <c r="F4882" s="1" t="inlineStr">
        <is>
          <t>SHORT SLEEVES</t>
        </is>
      </c>
      <c r="G4882" s="1" t="inlineStr">
        <is>
          <t>GF20401205492XS</t>
        </is>
      </c>
      <c r="H4882" s="1" t="n">
        <v>7</v>
      </c>
      <c r="I4882" s="1" t="inlineStr">
        <is>
          <t>หมด</t>
        </is>
      </c>
      <c r="J4882" s="13" t="n">
        <v>69</v>
      </c>
      <c r="K4882" s="1" t="inlineStr"/>
      <c r="L4882" s="13" t="n"/>
      <c r="M4882" s="1">
        <f>IF(L4882="","ไม่พบใน SG",IF(ABS(J4882-L4882)&lt;0.005,"ตรงกัน","ไม่ตรง"))</f>
        <v/>
      </c>
      <c r="N4882" s="14">
        <f>IF(L4882="","",ROUND(L4882*'สรุป'!$C$6,-1))</f>
        <v/>
      </c>
      <c r="O4882" s="15" t="n"/>
      <c r="P4882" s="15" t="n"/>
      <c r="Q4882" s="10" t="n"/>
      <c r="R4882" s="10" t="n"/>
      <c r="S4882" s="16" t="inlineStr">
        <is>
          <t>https://mstgolf.co.th/products/gf2040120549</t>
        </is>
      </c>
      <c r="T4882" s="1">
        <f>IF(B4882="ไม้กอล์ฟ",J4882,"")</f>
        <v/>
      </c>
    </row>
    <row r="4883">
      <c r="A4883" s="1" t="n">
        <v>3</v>
      </c>
      <c r="B4883" s="1" t="inlineStr">
        <is>
          <t>เสื้อผ้า</t>
        </is>
      </c>
      <c r="C4883" s="1" t="inlineStr">
        <is>
          <t>gf2020202695</t>
        </is>
      </c>
      <c r="D4883" s="1" t="inlineStr">
        <is>
          <t>CUTTER &amp; BUCK Men's Relaxed Fit Shorts (Black)</t>
        </is>
      </c>
      <c r="E4883" s="1" t="inlineStr">
        <is>
          <t>CUTTER &amp; BUCK</t>
        </is>
      </c>
      <c r="F4883" s="1" t="inlineStr">
        <is>
          <t>SHORT PANTS</t>
        </is>
      </c>
      <c r="G4883" s="1" t="inlineStr">
        <is>
          <t>GF202020269530</t>
        </is>
      </c>
      <c r="H4883" s="1" t="n">
        <v>7</v>
      </c>
      <c r="I4883" s="1" t="inlineStr">
        <is>
          <t>หมด</t>
        </is>
      </c>
      <c r="J4883" s="13" t="n">
        <v>69</v>
      </c>
      <c r="K4883" s="1" t="inlineStr"/>
      <c r="L4883" s="13" t="n"/>
      <c r="M4883" s="1">
        <f>IF(L4883="","ไม่พบใน SG",IF(ABS(J4883-L4883)&lt;0.005,"ตรงกัน","ไม่ตรง"))</f>
        <v/>
      </c>
      <c r="N4883" s="14">
        <f>IF(L4883="","",ROUND(L4883*'สรุป'!$C$6,-1))</f>
        <v/>
      </c>
      <c r="O4883" s="15" t="n"/>
      <c r="P4883" s="15" t="n"/>
      <c r="Q4883" s="10" t="n"/>
      <c r="R4883" s="10" t="n"/>
      <c r="S4883" s="16" t="inlineStr">
        <is>
          <t>https://mstgolf.co.th/products/gf2020202695</t>
        </is>
      </c>
      <c r="T4883" s="1">
        <f>IF(B4883="ไม้กอล์ฟ",J4883,"")</f>
        <v/>
      </c>
    </row>
    <row r="4884">
      <c r="A4884" s="1" t="n">
        <v>3</v>
      </c>
      <c r="B4884" s="1" t="inlineStr">
        <is>
          <t>เสื้อผ้า</t>
        </is>
      </c>
      <c r="C4884" s="1" t="inlineStr">
        <is>
          <t>gf2020202694</t>
        </is>
      </c>
      <c r="D4884" s="1" t="inlineStr">
        <is>
          <t>CUTTER &amp; BUCK Men's Relaxed Fit Shorts (Dark Navy)</t>
        </is>
      </c>
      <c r="E4884" s="1" t="inlineStr">
        <is>
          <t>CUTTER &amp; BUCK</t>
        </is>
      </c>
      <c r="F4884" s="1" t="inlineStr">
        <is>
          <t>SHORT PANTS</t>
        </is>
      </c>
      <c r="G4884" s="1" t="inlineStr">
        <is>
          <t>GF202020269430</t>
        </is>
      </c>
      <c r="H4884" s="1" t="n">
        <v>7</v>
      </c>
      <c r="I4884" s="1" t="inlineStr">
        <is>
          <t>หมด</t>
        </is>
      </c>
      <c r="J4884" s="13" t="n">
        <v>69</v>
      </c>
      <c r="K4884" s="1" t="inlineStr"/>
      <c r="L4884" s="13" t="n"/>
      <c r="M4884" s="1">
        <f>IF(L4884="","ไม่พบใน SG",IF(ABS(J4884-L4884)&lt;0.005,"ตรงกัน","ไม่ตรง"))</f>
        <v/>
      </c>
      <c r="N4884" s="14">
        <f>IF(L4884="","",ROUND(L4884*'สรุป'!$C$6,-1))</f>
        <v/>
      </c>
      <c r="O4884" s="15" t="n"/>
      <c r="P4884" s="15" t="n"/>
      <c r="Q4884" s="10" t="n"/>
      <c r="R4884" s="10" t="n"/>
      <c r="S4884" s="16" t="inlineStr">
        <is>
          <t>https://mstgolf.co.th/products/gf2020202694</t>
        </is>
      </c>
      <c r="T4884" s="1">
        <f>IF(B4884="ไม้กอล์ฟ",J4884,"")</f>
        <v/>
      </c>
    </row>
    <row r="4885">
      <c r="A4885" s="1" t="n">
        <v>3</v>
      </c>
      <c r="B4885" s="1" t="inlineStr">
        <is>
          <t>เสื้อผ้า</t>
        </is>
      </c>
      <c r="C4885" s="1" t="inlineStr">
        <is>
          <t>gf2040119590</t>
        </is>
      </c>
      <c r="D4885" s="1" t="inlineStr">
        <is>
          <t>FOOTJOY Irongate Lisle Men's Polo (Black)</t>
        </is>
      </c>
      <c r="E4885" s="1" t="inlineStr">
        <is>
          <t>FOOTJOY</t>
        </is>
      </c>
      <c r="F4885" s="1" t="inlineStr">
        <is>
          <t>SHORT SLEEVES</t>
        </is>
      </c>
      <c r="G4885" s="1" t="inlineStr">
        <is>
          <t>GF2040119590S</t>
        </is>
      </c>
      <c r="H4885" s="1" t="n">
        <v>5</v>
      </c>
      <c r="I4885" s="1" t="inlineStr">
        <is>
          <t>หมด</t>
        </is>
      </c>
      <c r="J4885" s="13" t="n">
        <v>69</v>
      </c>
      <c r="K4885" s="1" t="inlineStr"/>
      <c r="L4885" s="13" t="n"/>
      <c r="M4885" s="1">
        <f>IF(L4885="","ไม่พบใน SG",IF(ABS(J4885-L4885)&lt;0.005,"ตรงกัน","ไม่ตรง"))</f>
        <v/>
      </c>
      <c r="N4885" s="14">
        <f>IF(L4885="","",ROUND(L4885*'สรุป'!$C$6,-1))</f>
        <v/>
      </c>
      <c r="O4885" s="15" t="n"/>
      <c r="P4885" s="15" t="n"/>
      <c r="Q4885" s="10" t="n"/>
      <c r="R4885" s="10" t="n"/>
      <c r="S4885" s="16" t="inlineStr">
        <is>
          <t>https://mstgolf.co.th/products/gf2040119590</t>
        </is>
      </c>
      <c r="T4885" s="1">
        <f>IF(B4885="ไม้กอล์ฟ",J4885,"")</f>
        <v/>
      </c>
    </row>
    <row r="4886">
      <c r="A4886" s="1" t="n">
        <v>3</v>
      </c>
      <c r="B4886" s="1" t="inlineStr">
        <is>
          <t>เสื้อผ้า</t>
        </is>
      </c>
      <c r="C4886" s="1" t="inlineStr">
        <is>
          <t>gf2040117727</t>
        </is>
      </c>
      <c r="D4886" s="1" t="inlineStr">
        <is>
          <t>FOOTJOY Japan Print Men's Mock (Neo Blue)</t>
        </is>
      </c>
      <c r="E4886" s="1" t="inlineStr">
        <is>
          <t>FOOTJOY</t>
        </is>
      </c>
      <c r="F4886" s="1" t="inlineStr">
        <is>
          <t>SHORT SLEEVES</t>
        </is>
      </c>
      <c r="G4886" s="1" t="inlineStr">
        <is>
          <t>GF2040117727S</t>
        </is>
      </c>
      <c r="H4886" s="1" t="n">
        <v>5</v>
      </c>
      <c r="I4886" s="1" t="inlineStr">
        <is>
          <t>หมด</t>
        </is>
      </c>
      <c r="J4886" s="13" t="n">
        <v>69</v>
      </c>
      <c r="K4886" s="1" t="inlineStr"/>
      <c r="L4886" s="13" t="n"/>
      <c r="M4886" s="1">
        <f>IF(L4886="","ไม่พบใน SG",IF(ABS(J4886-L4886)&lt;0.005,"ตรงกัน","ไม่ตรง"))</f>
        <v/>
      </c>
      <c r="N4886" s="14">
        <f>IF(L4886="","",ROUND(L4886*'สรุป'!$C$6,-1))</f>
        <v/>
      </c>
      <c r="O4886" s="15" t="n"/>
      <c r="P4886" s="15" t="n"/>
      <c r="Q4886" s="10" t="n"/>
      <c r="R4886" s="10" t="n"/>
      <c r="S4886" s="16" t="inlineStr">
        <is>
          <t>https://mstgolf.co.th/products/gf2040117727</t>
        </is>
      </c>
      <c r="T4886" s="1">
        <f>IF(B4886="ไม้กอล์ฟ",J4886,"")</f>
        <v/>
      </c>
    </row>
    <row r="4887">
      <c r="A4887" s="1" t="n">
        <v>3</v>
      </c>
      <c r="B4887" s="1" t="inlineStr">
        <is>
          <t>เสื้อผ้า</t>
        </is>
      </c>
      <c r="C4887" s="1" t="inlineStr">
        <is>
          <t>gf2040119680</t>
        </is>
      </c>
      <c r="D4887" s="1" t="inlineStr">
        <is>
          <t>FOOTJOY Print Women's Polo (Pink)</t>
        </is>
      </c>
      <c r="E4887" s="1" t="inlineStr">
        <is>
          <t>FOOTJOY</t>
        </is>
      </c>
      <c r="F4887" s="1" t="inlineStr">
        <is>
          <t>SHORT SLEEVES</t>
        </is>
      </c>
      <c r="G4887" s="1" t="inlineStr">
        <is>
          <t>GF2040119680XS</t>
        </is>
      </c>
      <c r="H4887" s="1" t="n">
        <v>6</v>
      </c>
      <c r="I4887" s="1" t="inlineStr">
        <is>
          <t>หมด</t>
        </is>
      </c>
      <c r="J4887" s="13" t="n">
        <v>69</v>
      </c>
      <c r="K4887" s="1" t="inlineStr"/>
      <c r="L4887" s="13" t="n">
        <v>69</v>
      </c>
      <c r="M4887" s="1">
        <f>IF(L4887="","ไม่พบใน SG",IF(ABS(J4887-L4887)&lt;0.005,"ตรงกัน","ไม่ตรง"))</f>
        <v/>
      </c>
      <c r="N4887" s="14">
        <f>IF(L4887="","",ROUND(L4887*'สรุป'!$C$6,-1))</f>
        <v/>
      </c>
      <c r="O4887" s="15" t="n"/>
      <c r="P4887" s="15" t="n"/>
      <c r="Q4887" s="10" t="n"/>
      <c r="R4887" s="10" t="n"/>
      <c r="S4887" s="16" t="inlineStr">
        <is>
          <t>https://mstgolf.co.th/products/gf2040119680</t>
        </is>
      </c>
      <c r="T4887" s="1">
        <f>IF(B4887="ไม้กอล์ฟ",J4887,"")</f>
        <v/>
      </c>
    </row>
    <row r="4888">
      <c r="A4888" s="1" t="n">
        <v>3</v>
      </c>
      <c r="B4888" s="1" t="inlineStr">
        <is>
          <t>หมวก</t>
        </is>
      </c>
      <c r="C4888" s="1" t="inlineStr">
        <is>
          <t>gf2000106772</t>
        </is>
      </c>
      <c r="D4888" s="1" t="inlineStr">
        <is>
          <t>GFORE Camo Skill &amp; Tees Men's Cap (Pumice)</t>
        </is>
      </c>
      <c r="E4888" s="1" t="inlineStr">
        <is>
          <t>GFORE</t>
        </is>
      </c>
      <c r="F4888" s="1" t="inlineStr">
        <is>
          <t>CAP</t>
        </is>
      </c>
      <c r="G4888" s="1" t="inlineStr">
        <is>
          <t>GF2000106772FS</t>
        </is>
      </c>
      <c r="H4888" s="1" t="n">
        <v>1</v>
      </c>
      <c r="I4888" s="1" t="inlineStr">
        <is>
          <t>หมด</t>
        </is>
      </c>
      <c r="J4888" s="13" t="n">
        <v>69</v>
      </c>
      <c r="K4888" s="1" t="inlineStr"/>
      <c r="L4888" s="13" t="n"/>
      <c r="M4888" s="1">
        <f>IF(L4888="","ไม่พบใน SG",IF(ABS(J4888-L4888)&lt;0.005,"ตรงกัน","ไม่ตรง"))</f>
        <v/>
      </c>
      <c r="N4888" s="14">
        <f>IF(L4888="","",ROUND(L4888*'สรุป'!$C$6,-1))</f>
        <v/>
      </c>
      <c r="O4888" s="15" t="n"/>
      <c r="P4888" s="15" t="n"/>
      <c r="Q4888" s="10" t="n"/>
      <c r="R4888" s="10" t="n"/>
      <c r="S4888" s="16" t="inlineStr">
        <is>
          <t>https://mstgolf.co.th/products/gf2000106772</t>
        </is>
      </c>
      <c r="T4888" s="1">
        <f>IF(B4888="ไม้กอล์ฟ",J4888,"")</f>
        <v/>
      </c>
    </row>
    <row r="4889">
      <c r="A4889" s="1" t="n">
        <v>3</v>
      </c>
      <c r="B4889" s="1" t="inlineStr">
        <is>
          <t>หมวก</t>
        </is>
      </c>
      <c r="C4889" s="1" t="inlineStr">
        <is>
          <t>gf2000106767</t>
        </is>
      </c>
      <c r="D4889" s="1" t="inlineStr">
        <is>
          <t>GFORE Skull &amp; Tees Perforated Men's Cap (Onyx)</t>
        </is>
      </c>
      <c r="E4889" s="1" t="inlineStr">
        <is>
          <t>GFORE</t>
        </is>
      </c>
      <c r="F4889" s="1" t="inlineStr">
        <is>
          <t>CAP</t>
        </is>
      </c>
      <c r="G4889" s="1" t="inlineStr">
        <is>
          <t>GF2000106767FS</t>
        </is>
      </c>
      <c r="H4889" s="1" t="n">
        <v>1</v>
      </c>
      <c r="I4889" s="1" t="inlineStr">
        <is>
          <t>หมด</t>
        </is>
      </c>
      <c r="J4889" s="13" t="n">
        <v>69</v>
      </c>
      <c r="K4889" s="1" t="inlineStr"/>
      <c r="L4889" s="13" t="n">
        <v>69</v>
      </c>
      <c r="M4889" s="1">
        <f>IF(L4889="","ไม่พบใน SG",IF(ABS(J4889-L4889)&lt;0.005,"ตรงกัน","ไม่ตรง"))</f>
        <v/>
      </c>
      <c r="N4889" s="14">
        <f>IF(L4889="","",ROUND(L4889*'สรุป'!$C$6,-1))</f>
        <v/>
      </c>
      <c r="O4889" s="15" t="n"/>
      <c r="P4889" s="15" t="n"/>
      <c r="Q4889" s="10" t="n"/>
      <c r="R4889" s="10" t="n"/>
      <c r="S4889" s="16" t="inlineStr">
        <is>
          <t>https://mstgolf.co.th/products/gf2000106767</t>
        </is>
      </c>
      <c r="T4889" s="1">
        <f>IF(B4889="ไม้กอล์ฟ",J4889,"")</f>
        <v/>
      </c>
    </row>
    <row r="4890">
      <c r="A4890" s="1" t="n">
        <v>3</v>
      </c>
      <c r="B4890" s="1" t="inlineStr">
        <is>
          <t>เสื้อผ้า</t>
        </is>
      </c>
      <c r="C4890" s="1" t="inlineStr">
        <is>
          <t>gf2020202731</t>
        </is>
      </c>
      <c r="D4890" s="1" t="inlineStr">
        <is>
          <t>LE COQ SPORTIF GOLF Sunscreen Men's Shorts (White)</t>
        </is>
      </c>
      <c r="E4890" s="1" t="inlineStr">
        <is>
          <t>LE COQ SPORTIF GOLF</t>
        </is>
      </c>
      <c r="F4890" s="1" t="inlineStr">
        <is>
          <t>SHORT PANTS</t>
        </is>
      </c>
      <c r="G4890" s="1" t="inlineStr">
        <is>
          <t>GF2020202731S</t>
        </is>
      </c>
      <c r="H4890" s="1" t="n">
        <v>6</v>
      </c>
      <c r="I4890" s="1" t="inlineStr">
        <is>
          <t>หมด</t>
        </is>
      </c>
      <c r="J4890" s="13" t="n">
        <v>69</v>
      </c>
      <c r="K4890" s="1" t="inlineStr"/>
      <c r="L4890" s="13" t="n"/>
      <c r="M4890" s="1">
        <f>IF(L4890="","ไม่พบใน SG",IF(ABS(J4890-L4890)&lt;0.005,"ตรงกัน","ไม่ตรง"))</f>
        <v/>
      </c>
      <c r="N4890" s="14">
        <f>IF(L4890="","",ROUND(L4890*'สรุป'!$C$6,-1))</f>
        <v/>
      </c>
      <c r="O4890" s="15" t="n"/>
      <c r="P4890" s="15" t="n"/>
      <c r="Q4890" s="10" t="n"/>
      <c r="R4890" s="10" t="n"/>
      <c r="S4890" s="16" t="inlineStr">
        <is>
          <t>https://mstgolf.co.th/products/gf2020202731</t>
        </is>
      </c>
      <c r="T4890" s="1">
        <f>IF(B4890="ไม้กอล์ฟ",J4890,"")</f>
        <v/>
      </c>
    </row>
    <row r="4891">
      <c r="A4891" s="1" t="n">
        <v>3</v>
      </c>
      <c r="B4891" s="1" t="inlineStr">
        <is>
          <t>เสื้อผ้า</t>
        </is>
      </c>
      <c r="C4891" s="1" t="inlineStr">
        <is>
          <t>gf2040200073</t>
        </is>
      </c>
      <c r="D4891" s="1" t="inlineStr">
        <is>
          <t>MALBON GOLF Club Select Men's T-Shirt (White)</t>
        </is>
      </c>
      <c r="E4891" s="1" t="inlineStr">
        <is>
          <t>MALBON GOLF</t>
        </is>
      </c>
      <c r="F4891" s="1" t="inlineStr">
        <is>
          <t>TEE SHIRT</t>
        </is>
      </c>
      <c r="G4891" s="1" t="inlineStr">
        <is>
          <t>GF2040200073S</t>
        </is>
      </c>
      <c r="H4891" s="1" t="n">
        <v>5</v>
      </c>
      <c r="I4891" s="1" t="inlineStr">
        <is>
          <t>หมด</t>
        </is>
      </c>
      <c r="J4891" s="13" t="n">
        <v>69</v>
      </c>
      <c r="K4891" s="1" t="inlineStr"/>
      <c r="L4891" s="13" t="n"/>
      <c r="M4891" s="1">
        <f>IF(L4891="","ไม่พบใน SG",IF(ABS(J4891-L4891)&lt;0.005,"ตรงกัน","ไม่ตรง"))</f>
        <v/>
      </c>
      <c r="N4891" s="14">
        <f>IF(L4891="","",ROUND(L4891*'สรุป'!$C$6,-1))</f>
        <v/>
      </c>
      <c r="O4891" s="15" t="n"/>
      <c r="P4891" s="15" t="n"/>
      <c r="Q4891" s="10" t="n"/>
      <c r="R4891" s="10" t="n"/>
      <c r="S4891" s="16" t="inlineStr">
        <is>
          <t>https://mstgolf.co.th/products/gf2040200073</t>
        </is>
      </c>
      <c r="T4891" s="1">
        <f>IF(B4891="ไม้กอล์ฟ",J4891,"")</f>
        <v/>
      </c>
    </row>
    <row r="4892">
      <c r="A4892" s="1" t="n">
        <v>3</v>
      </c>
      <c r="B4892" s="1" t="inlineStr">
        <is>
          <t>เสื้อผ้า</t>
        </is>
      </c>
      <c r="C4892" s="1" t="inlineStr">
        <is>
          <t>gf2040200111</t>
        </is>
      </c>
      <c r="D4892" s="1" t="inlineStr">
        <is>
          <t>MALBON GOLF Matisse Men's T-Shirt (White)</t>
        </is>
      </c>
      <c r="E4892" s="1" t="inlineStr">
        <is>
          <t>MALBON GOLF</t>
        </is>
      </c>
      <c r="F4892" s="1" t="inlineStr">
        <is>
          <t>TEE SHIRT</t>
        </is>
      </c>
      <c r="G4892" s="1" t="inlineStr">
        <is>
          <t>GF2040200111S</t>
        </is>
      </c>
      <c r="H4892" s="1" t="n">
        <v>5</v>
      </c>
      <c r="I4892" s="1" t="inlineStr">
        <is>
          <t>หมด</t>
        </is>
      </c>
      <c r="J4892" s="13" t="n">
        <v>69</v>
      </c>
      <c r="K4892" s="1" t="inlineStr"/>
      <c r="L4892" s="13" t="n">
        <v>69</v>
      </c>
      <c r="M4892" s="1">
        <f>IF(L4892="","ไม่พบใน SG",IF(ABS(J4892-L4892)&lt;0.005,"ตรงกัน","ไม่ตรง"))</f>
        <v/>
      </c>
      <c r="N4892" s="14">
        <f>IF(L4892="","",ROUND(L4892*'สรุป'!$C$6,-1))</f>
        <v/>
      </c>
      <c r="O4892" s="15" t="n"/>
      <c r="P4892" s="15" t="n"/>
      <c r="Q4892" s="10" t="n"/>
      <c r="R4892" s="10" t="n"/>
      <c r="S4892" s="16" t="inlineStr">
        <is>
          <t>https://mstgolf.co.th/products/gf2040200111</t>
        </is>
      </c>
      <c r="T4892" s="1">
        <f>IF(B4892="ไม้กอล์ฟ",J4892,"")</f>
        <v/>
      </c>
    </row>
    <row r="4893">
      <c r="A4893" s="1" t="n">
        <v>3</v>
      </c>
      <c r="B4893" s="1" t="inlineStr">
        <is>
          <t>เสื้อผ้า</t>
        </is>
      </c>
      <c r="C4893" s="1" t="inlineStr">
        <is>
          <t>gf2040200078</t>
        </is>
      </c>
      <c r="D4893" s="1" t="inlineStr">
        <is>
          <t>MALBON GOLF Pocket Men's T-Shirt (Green)</t>
        </is>
      </c>
      <c r="E4893" s="1" t="inlineStr">
        <is>
          <t>MALBON GOLF</t>
        </is>
      </c>
      <c r="F4893" s="1" t="inlineStr">
        <is>
          <t>TEE SHIRT</t>
        </is>
      </c>
      <c r="G4893" s="1" t="inlineStr">
        <is>
          <t>GF2040200078S</t>
        </is>
      </c>
      <c r="H4893" s="1" t="n">
        <v>5</v>
      </c>
      <c r="I4893" s="1" t="inlineStr">
        <is>
          <t>หมด</t>
        </is>
      </c>
      <c r="J4893" s="13" t="n">
        <v>69</v>
      </c>
      <c r="K4893" s="1" t="inlineStr"/>
      <c r="L4893" s="13" t="n"/>
      <c r="M4893" s="1">
        <f>IF(L4893="","ไม่พบใน SG",IF(ABS(J4893-L4893)&lt;0.005,"ตรงกัน","ไม่ตรง"))</f>
        <v/>
      </c>
      <c r="N4893" s="14">
        <f>IF(L4893="","",ROUND(L4893*'สรุป'!$C$6,-1))</f>
        <v/>
      </c>
      <c r="O4893" s="15" t="n"/>
      <c r="P4893" s="15" t="n"/>
      <c r="Q4893" s="10" t="n"/>
      <c r="R4893" s="10" t="n"/>
      <c r="S4893" s="16" t="inlineStr">
        <is>
          <t>https://mstgolf.co.th/products/gf2040200078</t>
        </is>
      </c>
      <c r="T4893" s="1">
        <f>IF(B4893="ไม้กอล์ฟ",J4893,"")</f>
        <v/>
      </c>
    </row>
    <row r="4894">
      <c r="A4894" s="1" t="n">
        <v>3</v>
      </c>
      <c r="B4894" s="1" t="inlineStr">
        <is>
          <t>เสื้อผ้า</t>
        </is>
      </c>
      <c r="C4894" s="1" t="inlineStr">
        <is>
          <t>gf2040200113</t>
        </is>
      </c>
      <c r="D4894" s="1" t="inlineStr">
        <is>
          <t>MALBON GOLF Swing Oil Men's T-Shirt (Royal Blue)</t>
        </is>
      </c>
      <c r="E4894" s="1" t="inlineStr">
        <is>
          <t>MALBON GOLF</t>
        </is>
      </c>
      <c r="F4894" s="1" t="inlineStr">
        <is>
          <t>TEE SHIRT</t>
        </is>
      </c>
      <c r="G4894" s="1" t="inlineStr">
        <is>
          <t>GF2040200113S</t>
        </is>
      </c>
      <c r="H4894" s="1" t="n">
        <v>5</v>
      </c>
      <c r="I4894" s="1" t="inlineStr">
        <is>
          <t>หมด</t>
        </is>
      </c>
      <c r="J4894" s="13" t="n">
        <v>69</v>
      </c>
      <c r="K4894" s="1" t="inlineStr"/>
      <c r="L4894" s="13" t="n"/>
      <c r="M4894" s="1">
        <f>IF(L4894="","ไม่พบใน SG",IF(ABS(J4894-L4894)&lt;0.005,"ตรงกัน","ไม่ตรง"))</f>
        <v/>
      </c>
      <c r="N4894" s="14">
        <f>IF(L4894="","",ROUND(L4894*'สรุป'!$C$6,-1))</f>
        <v/>
      </c>
      <c r="O4894" s="15" t="n"/>
      <c r="P4894" s="15" t="n"/>
      <c r="Q4894" s="10" t="n"/>
      <c r="R4894" s="10" t="n"/>
      <c r="S4894" s="16" t="inlineStr">
        <is>
          <t>https://mstgolf.co.th/products/gf2040200113</t>
        </is>
      </c>
      <c r="T4894" s="1">
        <f>IF(B4894="ไม้กอล์ฟ",J4894,"")</f>
        <v/>
      </c>
    </row>
    <row r="4895">
      <c r="A4895" s="1" t="n">
        <v>3</v>
      </c>
      <c r="B4895" s="1" t="inlineStr">
        <is>
          <t>เสื้อผ้า</t>
        </is>
      </c>
      <c r="C4895" s="1" t="inlineStr">
        <is>
          <t>gf2040200114</t>
        </is>
      </c>
      <c r="D4895" s="1" t="inlineStr">
        <is>
          <t>MALBON GOLF Swing Oil Men's T-Shirt (White)</t>
        </is>
      </c>
      <c r="E4895" s="1" t="inlineStr">
        <is>
          <t>MALBON GOLF</t>
        </is>
      </c>
      <c r="F4895" s="1" t="inlineStr">
        <is>
          <t>TEE SHIRT</t>
        </is>
      </c>
      <c r="G4895" s="1" t="inlineStr">
        <is>
          <t>GF2040200114S</t>
        </is>
      </c>
      <c r="H4895" s="1" t="n">
        <v>5</v>
      </c>
      <c r="I4895" s="1" t="inlineStr">
        <is>
          <t>หมด</t>
        </is>
      </c>
      <c r="J4895" s="13" t="n">
        <v>69</v>
      </c>
      <c r="K4895" s="1" t="inlineStr"/>
      <c r="L4895" s="13" t="n">
        <v>69</v>
      </c>
      <c r="M4895" s="1">
        <f>IF(L4895="","ไม่พบใน SG",IF(ABS(J4895-L4895)&lt;0.005,"ตรงกัน","ไม่ตรง"))</f>
        <v/>
      </c>
      <c r="N4895" s="14">
        <f>IF(L4895="","",ROUND(L4895*'สรุป'!$C$6,-1))</f>
        <v/>
      </c>
      <c r="O4895" s="15" t="n"/>
      <c r="P4895" s="15" t="n"/>
      <c r="Q4895" s="10" t="n"/>
      <c r="R4895" s="10" t="n"/>
      <c r="S4895" s="16" t="inlineStr">
        <is>
          <t>https://mstgolf.co.th/products/gf2040200114</t>
        </is>
      </c>
      <c r="T4895" s="1">
        <f>IF(B4895="ไม้กอล์ฟ",J4895,"")</f>
        <v/>
      </c>
    </row>
    <row r="4896">
      <c r="A4896" s="1" t="n">
        <v>3</v>
      </c>
      <c r="B4896" s="1" t="inlineStr">
        <is>
          <t>เสื้อผ้า</t>
        </is>
      </c>
      <c r="C4896" s="1" t="inlineStr">
        <is>
          <t>gf2040200077</t>
        </is>
      </c>
      <c r="D4896" s="1" t="inlineStr">
        <is>
          <t>MALBON GOLF Trophy Pocket Men's T-Shirt (Ivory)</t>
        </is>
      </c>
      <c r="E4896" s="1" t="inlineStr">
        <is>
          <t>MALBON GOLF</t>
        </is>
      </c>
      <c r="F4896" s="1" t="inlineStr">
        <is>
          <t>TEE SHIRT</t>
        </is>
      </c>
      <c r="G4896" s="1" t="inlineStr">
        <is>
          <t>GF2040200077S</t>
        </is>
      </c>
      <c r="H4896" s="1" t="n">
        <v>5</v>
      </c>
      <c r="I4896" s="1" t="inlineStr">
        <is>
          <t>หมด</t>
        </is>
      </c>
      <c r="J4896" s="13" t="n">
        <v>69</v>
      </c>
      <c r="K4896" s="1" t="inlineStr"/>
      <c r="L4896" s="13" t="n"/>
      <c r="M4896" s="1">
        <f>IF(L4896="","ไม่พบใน SG",IF(ABS(J4896-L4896)&lt;0.005,"ตรงกัน","ไม่ตรง"))</f>
        <v/>
      </c>
      <c r="N4896" s="14">
        <f>IF(L4896="","",ROUND(L4896*'สรุป'!$C$6,-1))</f>
        <v/>
      </c>
      <c r="O4896" s="15" t="n"/>
      <c r="P4896" s="15" t="n"/>
      <c r="Q4896" s="10" t="n"/>
      <c r="R4896" s="10" t="n"/>
      <c r="S4896" s="16" t="inlineStr">
        <is>
          <t>https://mstgolf.co.th/products/gf2040200077</t>
        </is>
      </c>
      <c r="T4896" s="1">
        <f>IF(B4896="ไม้กอล์ฟ",J4896,"")</f>
        <v/>
      </c>
    </row>
    <row r="4897">
      <c r="A4897" s="1" t="n">
        <v>3</v>
      </c>
      <c r="B4897" s="1" t="inlineStr">
        <is>
          <t>เสื้อผ้า</t>
        </is>
      </c>
      <c r="C4897" s="1" t="inlineStr">
        <is>
          <t>gf2040119880</t>
        </is>
      </c>
      <c r="D4897" s="1" t="inlineStr">
        <is>
          <t>MALBON GOLF Vacation Club Men's T-Shirt (Kelly Green)</t>
        </is>
      </c>
      <c r="E4897" s="1" t="inlineStr">
        <is>
          <t>MALBON GOLF</t>
        </is>
      </c>
      <c r="F4897" s="1" t="inlineStr">
        <is>
          <t>SHORT SLEEVES</t>
        </is>
      </c>
      <c r="G4897" s="1" t="inlineStr">
        <is>
          <t>GF2040119880S</t>
        </is>
      </c>
      <c r="H4897" s="1" t="n">
        <v>5</v>
      </c>
      <c r="I4897" s="1" t="inlineStr">
        <is>
          <t>หมด</t>
        </is>
      </c>
      <c r="J4897" s="13" t="n">
        <v>69</v>
      </c>
      <c r="K4897" s="1" t="inlineStr"/>
      <c r="L4897" s="13" t="n">
        <v>69</v>
      </c>
      <c r="M4897" s="1">
        <f>IF(L4897="","ไม่พบใน SG",IF(ABS(J4897-L4897)&lt;0.005,"ตรงกัน","ไม่ตรง"))</f>
        <v/>
      </c>
      <c r="N4897" s="14">
        <f>IF(L4897="","",ROUND(L4897*'สรุป'!$C$6,-1))</f>
        <v/>
      </c>
      <c r="O4897" s="15" t="n"/>
      <c r="P4897" s="15" t="n"/>
      <c r="Q4897" s="10" t="n"/>
      <c r="R4897" s="10" t="n"/>
      <c r="S4897" s="16" t="inlineStr">
        <is>
          <t>https://mstgolf.co.th/products/gf2040119880</t>
        </is>
      </c>
      <c r="T4897" s="1">
        <f>IF(B4897="ไม้กอล์ฟ",J4897,"")</f>
        <v/>
      </c>
    </row>
    <row r="4898">
      <c r="A4898" s="1" t="n">
        <v>3</v>
      </c>
      <c r="B4898" s="1" t="inlineStr">
        <is>
          <t>หมวก</t>
        </is>
      </c>
      <c r="C4898" s="1" t="inlineStr">
        <is>
          <t>gf2000300262</t>
        </is>
      </c>
      <c r="D4898" s="1" t="inlineStr">
        <is>
          <t>PUMA Aussie P Men's Hat (Navy)</t>
        </is>
      </c>
      <c r="E4898" s="1" t="inlineStr">
        <is>
          <t>PUMA</t>
        </is>
      </c>
      <c r="F4898" s="1" t="inlineStr">
        <is>
          <t>HAT</t>
        </is>
      </c>
      <c r="G4898" s="1" t="inlineStr">
        <is>
          <t>GF2000300262FS</t>
        </is>
      </c>
      <c r="H4898" s="1" t="n">
        <v>1</v>
      </c>
      <c r="I4898" s="1" t="inlineStr">
        <is>
          <t>หมด</t>
        </is>
      </c>
      <c r="J4898" s="13" t="n">
        <v>69</v>
      </c>
      <c r="K4898" s="1" t="inlineStr"/>
      <c r="L4898" s="13" t="n"/>
      <c r="M4898" s="1">
        <f>IF(L4898="","ไม่พบใน SG",IF(ABS(J4898-L4898)&lt;0.005,"ตรงกัน","ไม่ตรง"))</f>
        <v/>
      </c>
      <c r="N4898" s="14">
        <f>IF(L4898="","",ROUND(L4898*'สรุป'!$C$6,-1))</f>
        <v/>
      </c>
      <c r="O4898" s="15" t="n"/>
      <c r="P4898" s="15" t="n"/>
      <c r="Q4898" s="10" t="n"/>
      <c r="R4898" s="10" t="n"/>
      <c r="S4898" s="16" t="inlineStr">
        <is>
          <t>https://mstgolf.co.th/products/gf2000300262</t>
        </is>
      </c>
      <c r="T4898" s="1">
        <f>IF(B4898="ไม้กอล์ฟ",J4898,"")</f>
        <v/>
      </c>
    </row>
    <row r="4899">
      <c r="A4899" s="1" t="n">
        <v>3</v>
      </c>
      <c r="B4899" s="1" t="inlineStr">
        <is>
          <t>หมวก</t>
        </is>
      </c>
      <c r="C4899" s="1" t="inlineStr">
        <is>
          <t>gf2000105967</t>
        </is>
      </c>
      <c r="D4899" s="1" t="inlineStr">
        <is>
          <t>PUMA Fairisle 5 Panel Tech Men's Cap (White)</t>
        </is>
      </c>
      <c r="E4899" s="1" t="inlineStr">
        <is>
          <t>PUMA</t>
        </is>
      </c>
      <c r="F4899" s="1" t="inlineStr">
        <is>
          <t>CAP</t>
        </is>
      </c>
      <c r="G4899" s="1" t="inlineStr">
        <is>
          <t>GF2000105967FS</t>
        </is>
      </c>
      <c r="H4899" s="1" t="n">
        <v>1</v>
      </c>
      <c r="I4899" s="1" t="inlineStr">
        <is>
          <t>หมด</t>
        </is>
      </c>
      <c r="J4899" s="13" t="n">
        <v>69</v>
      </c>
      <c r="K4899" s="1" t="inlineStr"/>
      <c r="L4899" s="13" t="n"/>
      <c r="M4899" s="1">
        <f>IF(L4899="","ไม่พบใน SG",IF(ABS(J4899-L4899)&lt;0.005,"ตรงกัน","ไม่ตรง"))</f>
        <v/>
      </c>
      <c r="N4899" s="14">
        <f>IF(L4899="","",ROUND(L4899*'สรุป'!$C$6,-1))</f>
        <v/>
      </c>
      <c r="O4899" s="15" t="n"/>
      <c r="P4899" s="15" t="n"/>
      <c r="Q4899" s="10" t="n"/>
      <c r="R4899" s="10" t="n"/>
      <c r="S4899" s="16" t="inlineStr">
        <is>
          <t>https://mstgolf.co.th/products/gf2000105967</t>
        </is>
      </c>
      <c r="T4899" s="1">
        <f>IF(B4899="ไม้กอล์ฟ",J4899,"")</f>
        <v/>
      </c>
    </row>
    <row r="4900">
      <c r="A4900" s="1" t="n">
        <v>3</v>
      </c>
      <c r="B4900" s="1" t="inlineStr">
        <is>
          <t>เสื้อผ้า</t>
        </is>
      </c>
      <c r="C4900" s="1" t="inlineStr">
        <is>
          <t>gf2040117205</t>
        </is>
      </c>
      <c r="D4900" s="1" t="inlineStr">
        <is>
          <t>PUMA Gamer Men's Polo (Aqua Blue)</t>
        </is>
      </c>
      <c r="E4900" s="1" t="inlineStr">
        <is>
          <t>PUMA</t>
        </is>
      </c>
      <c r="F4900" s="1" t="inlineStr">
        <is>
          <t>SHORT SLEEVES</t>
        </is>
      </c>
      <c r="G4900" s="1" t="inlineStr">
        <is>
          <t>GF2040117205XS</t>
        </is>
      </c>
      <c r="H4900" s="1" t="n">
        <v>6</v>
      </c>
      <c r="I4900" s="1" t="inlineStr">
        <is>
          <t>หมด</t>
        </is>
      </c>
      <c r="J4900" s="13" t="n">
        <v>69</v>
      </c>
      <c r="K4900" s="1" t="inlineStr"/>
      <c r="L4900" s="13" t="n"/>
      <c r="M4900" s="1">
        <f>IF(L4900="","ไม่พบใน SG",IF(ABS(J4900-L4900)&lt;0.005,"ตรงกัน","ไม่ตรง"))</f>
        <v/>
      </c>
      <c r="N4900" s="14">
        <f>IF(L4900="","",ROUND(L4900*'สรุป'!$C$6,-1))</f>
        <v/>
      </c>
      <c r="O4900" s="15" t="n"/>
      <c r="P4900" s="15" t="n"/>
      <c r="Q4900" s="10" t="n"/>
      <c r="R4900" s="10" t="n"/>
      <c r="S4900" s="16" t="inlineStr">
        <is>
          <t>https://mstgolf.co.th/products/gf2040117205</t>
        </is>
      </c>
      <c r="T4900" s="1">
        <f>IF(B4900="ไม้กอล์ฟ",J4900,"")</f>
        <v/>
      </c>
    </row>
    <row r="4901">
      <c r="A4901" s="1" t="n">
        <v>3</v>
      </c>
      <c r="B4901" s="1" t="inlineStr">
        <is>
          <t>เสื้อผ้า</t>
        </is>
      </c>
      <c r="C4901" s="1" t="inlineStr">
        <is>
          <t>gf2040117210</t>
        </is>
      </c>
      <c r="D4901" s="1" t="inlineStr">
        <is>
          <t>PUMA Gamer Men's Polo (Ocean Tropic)</t>
        </is>
      </c>
      <c r="E4901" s="1" t="inlineStr">
        <is>
          <t>PUMA</t>
        </is>
      </c>
      <c r="F4901" s="1" t="inlineStr">
        <is>
          <t>SHORT SLEEVES</t>
        </is>
      </c>
      <c r="G4901" s="1" t="inlineStr">
        <is>
          <t>GF2040117210XS</t>
        </is>
      </c>
      <c r="H4901" s="1" t="n">
        <v>6</v>
      </c>
      <c r="I4901" s="1" t="inlineStr">
        <is>
          <t>หมด</t>
        </is>
      </c>
      <c r="J4901" s="13" t="n">
        <v>69</v>
      </c>
      <c r="K4901" s="1" t="inlineStr"/>
      <c r="L4901" s="13" t="n"/>
      <c r="M4901" s="1">
        <f>IF(L4901="","ไม่พบใน SG",IF(ABS(J4901-L4901)&lt;0.005,"ตรงกัน","ไม่ตรง"))</f>
        <v/>
      </c>
      <c r="N4901" s="14">
        <f>IF(L4901="","",ROUND(L4901*'สรุป'!$C$6,-1))</f>
        <v/>
      </c>
      <c r="O4901" s="15" t="n"/>
      <c r="P4901" s="15" t="n"/>
      <c r="Q4901" s="10" t="n"/>
      <c r="R4901" s="10" t="n"/>
      <c r="S4901" s="16" t="inlineStr">
        <is>
          <t>https://mstgolf.co.th/products/gf2040117210</t>
        </is>
      </c>
      <c r="T4901" s="1">
        <f>IF(B4901="ไม้กอล์ฟ",J4901,"")</f>
        <v/>
      </c>
    </row>
    <row r="4902">
      <c r="A4902" s="1" t="n">
        <v>3</v>
      </c>
      <c r="B4902" s="1" t="inlineStr">
        <is>
          <t>เสื้อผ้า</t>
        </is>
      </c>
      <c r="C4902" s="1" t="inlineStr">
        <is>
          <t>gf2040115724</t>
        </is>
      </c>
      <c r="D4902" s="1" t="inlineStr">
        <is>
          <t>PUMA Icon Golf Men's Polo (Lapis Blue)</t>
        </is>
      </c>
      <c r="E4902" s="1" t="inlineStr">
        <is>
          <t>PUMA</t>
        </is>
      </c>
      <c r="F4902" s="1" t="inlineStr">
        <is>
          <t>SHORT SLEEVES</t>
        </is>
      </c>
      <c r="G4902" s="1" t="inlineStr">
        <is>
          <t>GF2040115724XS</t>
        </is>
      </c>
      <c r="H4902" s="1" t="n">
        <v>6</v>
      </c>
      <c r="I4902" s="1" t="inlineStr">
        <is>
          <t>หมด</t>
        </is>
      </c>
      <c r="J4902" s="13" t="n">
        <v>69</v>
      </c>
      <c r="K4902" s="1" t="inlineStr"/>
      <c r="L4902" s="13" t="n"/>
      <c r="M4902" s="1">
        <f>IF(L4902="","ไม่พบใน SG",IF(ABS(J4902-L4902)&lt;0.005,"ตรงกัน","ไม่ตรง"))</f>
        <v/>
      </c>
      <c r="N4902" s="14">
        <f>IF(L4902="","",ROUND(L4902*'สรุป'!$C$6,-1))</f>
        <v/>
      </c>
      <c r="O4902" s="15" t="n"/>
      <c r="P4902" s="15" t="n"/>
      <c r="Q4902" s="10" t="n"/>
      <c r="R4902" s="10" t="n"/>
      <c r="S4902" s="16" t="inlineStr">
        <is>
          <t>https://mstgolf.co.th/products/gf2040115724</t>
        </is>
      </c>
      <c r="T4902" s="1">
        <f>IF(B4902="ไม้กอล์ฟ",J4902,"")</f>
        <v/>
      </c>
    </row>
    <row r="4903">
      <c r="A4903" s="1" t="n">
        <v>3</v>
      </c>
      <c r="B4903" s="1" t="inlineStr">
        <is>
          <t>เสื้อผ้า</t>
        </is>
      </c>
      <c r="C4903" s="1" t="inlineStr">
        <is>
          <t>gf2020202331</t>
        </is>
      </c>
      <c r="D4903" s="1" t="inlineStr">
        <is>
          <t>PUMA Japan Stretch Basic Men's Shorts (Black)</t>
        </is>
      </c>
      <c r="E4903" s="1" t="inlineStr">
        <is>
          <t>PUMA</t>
        </is>
      </c>
      <c r="F4903" s="1" t="inlineStr">
        <is>
          <t>SHORT PANTS</t>
        </is>
      </c>
      <c r="G4903" s="1" t="inlineStr">
        <is>
          <t>GF2020202331S</t>
        </is>
      </c>
      <c r="H4903" s="1" t="n">
        <v>5</v>
      </c>
      <c r="I4903" s="1" t="inlineStr">
        <is>
          <t>หมด</t>
        </is>
      </c>
      <c r="J4903" s="13" t="n">
        <v>69</v>
      </c>
      <c r="K4903" s="1" t="inlineStr"/>
      <c r="L4903" s="13" t="n"/>
      <c r="M4903" s="1">
        <f>IF(L4903="","ไม่พบใน SG",IF(ABS(J4903-L4903)&lt;0.005,"ตรงกัน","ไม่ตรง"))</f>
        <v/>
      </c>
      <c r="N4903" s="14">
        <f>IF(L4903="","",ROUND(L4903*'สรุป'!$C$6,-1))</f>
        <v/>
      </c>
      <c r="O4903" s="15" t="n"/>
      <c r="P4903" s="15" t="n"/>
      <c r="Q4903" s="10" t="n"/>
      <c r="R4903" s="10" t="n"/>
      <c r="S4903" s="16" t="inlineStr">
        <is>
          <t>https://mstgolf.co.th/products/gf2020202331</t>
        </is>
      </c>
      <c r="T4903" s="1">
        <f>IF(B4903="ไม้กอล์ฟ",J4903,"")</f>
        <v/>
      </c>
    </row>
    <row r="4904">
      <c r="A4904" s="1" t="n">
        <v>3</v>
      </c>
      <c r="B4904" s="1" t="inlineStr">
        <is>
          <t>เสื้อผ้า</t>
        </is>
      </c>
      <c r="C4904" s="1" t="inlineStr">
        <is>
          <t>gf2040119298</t>
        </is>
      </c>
      <c r="D4904" s="1" t="inlineStr">
        <is>
          <t>PUMA MATTR Animal Deboss Women's Polo (Navy)</t>
        </is>
      </c>
      <c r="E4904" s="1" t="inlineStr">
        <is>
          <t>PUMA</t>
        </is>
      </c>
      <c r="F4904" s="1" t="inlineStr">
        <is>
          <t>SHORT SLEEVES</t>
        </is>
      </c>
      <c r="G4904" s="1" t="inlineStr">
        <is>
          <t>GF2040119298XS</t>
        </is>
      </c>
      <c r="H4904" s="1" t="n">
        <v>5</v>
      </c>
      <c r="I4904" s="1" t="inlineStr">
        <is>
          <t>หมด</t>
        </is>
      </c>
      <c r="J4904" s="13" t="n">
        <v>69</v>
      </c>
      <c r="K4904" s="1" t="inlineStr"/>
      <c r="L4904" s="13" t="n">
        <v>69</v>
      </c>
      <c r="M4904" s="1">
        <f>IF(L4904="","ไม่พบใน SG",IF(ABS(J4904-L4904)&lt;0.005,"ตรงกัน","ไม่ตรง"))</f>
        <v/>
      </c>
      <c r="N4904" s="14">
        <f>IF(L4904="","",ROUND(L4904*'สรุป'!$C$6,-1))</f>
        <v/>
      </c>
      <c r="O4904" s="15" t="n"/>
      <c r="P4904" s="15" t="n"/>
      <c r="Q4904" s="10" t="n"/>
      <c r="R4904" s="10" t="n"/>
      <c r="S4904" s="16" t="inlineStr">
        <is>
          <t>https://mstgolf.co.th/products/gf2040119298</t>
        </is>
      </c>
      <c r="T4904" s="1">
        <f>IF(B4904="ไม้กอล์ฟ",J4904,"")</f>
        <v/>
      </c>
    </row>
    <row r="4905">
      <c r="A4905" s="1" t="n">
        <v>3</v>
      </c>
      <c r="B4905" s="1" t="inlineStr">
        <is>
          <t>หมวก</t>
        </is>
      </c>
      <c r="C4905" s="1" t="inlineStr">
        <is>
          <t>gf2000105956</t>
        </is>
      </c>
      <c r="D4905" s="1" t="inlineStr">
        <is>
          <t>PUMA Palmer P Men’s Cap (Navy)</t>
        </is>
      </c>
      <c r="E4905" s="1" t="inlineStr">
        <is>
          <t>PUMA</t>
        </is>
      </c>
      <c r="F4905" s="1" t="inlineStr">
        <is>
          <t>CAP</t>
        </is>
      </c>
      <c r="G4905" s="1" t="inlineStr">
        <is>
          <t>GF2000105956FS</t>
        </is>
      </c>
      <c r="H4905" s="1" t="n">
        <v>1</v>
      </c>
      <c r="I4905" s="1" t="inlineStr">
        <is>
          <t>หมด</t>
        </is>
      </c>
      <c r="J4905" s="13" t="n">
        <v>69</v>
      </c>
      <c r="K4905" s="1" t="inlineStr"/>
      <c r="L4905" s="13" t="n">
        <v>69</v>
      </c>
      <c r="M4905" s="1">
        <f>IF(L4905="","ไม่พบใน SG",IF(ABS(J4905-L4905)&lt;0.005,"ตรงกัน","ไม่ตรง"))</f>
        <v/>
      </c>
      <c r="N4905" s="14">
        <f>IF(L4905="","",ROUND(L4905*'สรุป'!$C$6,-1))</f>
        <v/>
      </c>
      <c r="O4905" s="15" t="n"/>
      <c r="P4905" s="15" t="n"/>
      <c r="Q4905" s="10" t="n"/>
      <c r="R4905" s="10" t="n"/>
      <c r="S4905" s="16" t="inlineStr">
        <is>
          <t>https://mstgolf.co.th/products/gf2000105956</t>
        </is>
      </c>
      <c r="T4905" s="1">
        <f>IF(B4905="ไม้กอล์ฟ",J4905,"")</f>
        <v/>
      </c>
    </row>
    <row r="4906">
      <c r="A4906" s="1" t="n">
        <v>3</v>
      </c>
      <c r="B4906" s="1" t="inlineStr">
        <is>
          <t>หมวก</t>
        </is>
      </c>
      <c r="C4906" s="1" t="inlineStr">
        <is>
          <t>gf2000105955</t>
        </is>
      </c>
      <c r="D4906" s="1" t="inlineStr">
        <is>
          <t>PUMA Palmer P Men’s Cap (White)</t>
        </is>
      </c>
      <c r="E4906" s="1" t="inlineStr">
        <is>
          <t>PUMA</t>
        </is>
      </c>
      <c r="F4906" s="1" t="inlineStr">
        <is>
          <t>CAP</t>
        </is>
      </c>
      <c r="G4906" s="1" t="inlineStr">
        <is>
          <t>GF2000105955FS</t>
        </is>
      </c>
      <c r="H4906" s="1" t="n">
        <v>1</v>
      </c>
      <c r="I4906" s="1" t="inlineStr">
        <is>
          <t>หมด</t>
        </is>
      </c>
      <c r="J4906" s="13" t="n">
        <v>69</v>
      </c>
      <c r="K4906" s="1" t="inlineStr"/>
      <c r="L4906" s="13" t="n"/>
      <c r="M4906" s="1">
        <f>IF(L4906="","ไม่พบใน SG",IF(ABS(J4906-L4906)&lt;0.005,"ตรงกัน","ไม่ตรง"))</f>
        <v/>
      </c>
      <c r="N4906" s="14">
        <f>IF(L4906="","",ROUND(L4906*'สรุป'!$C$6,-1))</f>
        <v/>
      </c>
      <c r="O4906" s="15" t="n"/>
      <c r="P4906" s="15" t="n"/>
      <c r="Q4906" s="10" t="n"/>
      <c r="R4906" s="10" t="n"/>
      <c r="S4906" s="16" t="inlineStr">
        <is>
          <t>https://mstgolf.co.th/products/gf2000105955</t>
        </is>
      </c>
      <c r="T4906" s="1">
        <f>IF(B4906="ไม้กอล์ฟ",J4906,"")</f>
        <v/>
      </c>
    </row>
    <row r="4907">
      <c r="A4907" s="1" t="n">
        <v>3</v>
      </c>
      <c r="B4907" s="1" t="inlineStr">
        <is>
          <t>เสื้อผ้า</t>
        </is>
      </c>
      <c r="C4907" s="1" t="inlineStr">
        <is>
          <t>gf2020202311</t>
        </is>
      </c>
      <c r="D4907" s="1" t="inlineStr">
        <is>
          <t>PUMA S24 Girl's Shorts (Navy Blazer)</t>
        </is>
      </c>
      <c r="E4907" s="1" t="inlineStr">
        <is>
          <t>PUMA</t>
        </is>
      </c>
      <c r="F4907" s="1" t="inlineStr">
        <is>
          <t>SHORT PANTS</t>
        </is>
      </c>
      <c r="G4907" s="1" t="inlineStr">
        <is>
          <t>GF2020202311128</t>
        </is>
      </c>
      <c r="H4907" s="1" t="n">
        <v>5</v>
      </c>
      <c r="I4907" s="1" t="inlineStr">
        <is>
          <t>หมด</t>
        </is>
      </c>
      <c r="J4907" s="13" t="n">
        <v>69</v>
      </c>
      <c r="K4907" s="1" t="inlineStr"/>
      <c r="L4907" s="13" t="n"/>
      <c r="M4907" s="1">
        <f>IF(L4907="","ไม่พบใน SG",IF(ABS(J4907-L4907)&lt;0.005,"ตรงกัน","ไม่ตรง"))</f>
        <v/>
      </c>
      <c r="N4907" s="14">
        <f>IF(L4907="","",ROUND(L4907*'สรุป'!$C$6,-1))</f>
        <v/>
      </c>
      <c r="O4907" s="15" t="n"/>
      <c r="P4907" s="15" t="n"/>
      <c r="Q4907" s="10" t="n"/>
      <c r="R4907" s="10" t="n"/>
      <c r="S4907" s="16" t="inlineStr">
        <is>
          <t>https://mstgolf.co.th/products/gf2020202311</t>
        </is>
      </c>
      <c r="T4907" s="1">
        <f>IF(B4907="ไม้กอล์ฟ",J4907,"")</f>
        <v/>
      </c>
    </row>
    <row r="4908">
      <c r="A4908" s="1" t="n">
        <v>3</v>
      </c>
      <c r="B4908" s="1" t="inlineStr">
        <is>
          <t>หมวก</t>
        </is>
      </c>
      <c r="C4908" s="1" t="inlineStr">
        <is>
          <t>gf2000105965</t>
        </is>
      </c>
      <c r="D4908" s="1" t="inlineStr">
        <is>
          <t>PUMA Slicers Contrast Tech Men's Cap (White)</t>
        </is>
      </c>
      <c r="E4908" s="1" t="inlineStr">
        <is>
          <t>PUMA</t>
        </is>
      </c>
      <c r="F4908" s="1" t="inlineStr">
        <is>
          <t>CAP</t>
        </is>
      </c>
      <c r="G4908" s="1" t="inlineStr">
        <is>
          <t>GF2000105965FS</t>
        </is>
      </c>
      <c r="H4908" s="1" t="n">
        <v>1</v>
      </c>
      <c r="I4908" s="1" t="inlineStr">
        <is>
          <t>หมด</t>
        </is>
      </c>
      <c r="J4908" s="13" t="n">
        <v>69</v>
      </c>
      <c r="K4908" s="1" t="inlineStr"/>
      <c r="L4908" s="13" t="n"/>
      <c r="M4908" s="1">
        <f>IF(L4908="","ไม่พบใน SG",IF(ABS(J4908-L4908)&lt;0.005,"ตรงกัน","ไม่ตรง"))</f>
        <v/>
      </c>
      <c r="N4908" s="14">
        <f>IF(L4908="","",ROUND(L4908*'สรุป'!$C$6,-1))</f>
        <v/>
      </c>
      <c r="O4908" s="15" t="n"/>
      <c r="P4908" s="15" t="n"/>
      <c r="Q4908" s="10" t="n"/>
      <c r="R4908" s="10" t="n"/>
      <c r="S4908" s="16" t="inlineStr">
        <is>
          <t>https://mstgolf.co.th/products/gf2000105965</t>
        </is>
      </c>
      <c r="T4908" s="1">
        <f>IF(B4908="ไม้กอล์ฟ",J4908,"")</f>
        <v/>
      </c>
    </row>
    <row r="4909">
      <c r="A4909" s="1" t="n">
        <v>3</v>
      </c>
      <c r="B4909" s="1" t="inlineStr">
        <is>
          <t>หมวก</t>
        </is>
      </c>
      <c r="C4909" s="1" t="inlineStr">
        <is>
          <t>gf2000105968</t>
        </is>
      </c>
      <c r="D4909" s="1" t="inlineStr">
        <is>
          <t>PUMA Suede Contrast Men's Cap (White)</t>
        </is>
      </c>
      <c r="E4909" s="1" t="inlineStr">
        <is>
          <t>PUMA</t>
        </is>
      </c>
      <c r="F4909" s="1" t="inlineStr">
        <is>
          <t>CAP</t>
        </is>
      </c>
      <c r="G4909" s="1" t="inlineStr">
        <is>
          <t>GF2000105968FS</t>
        </is>
      </c>
      <c r="H4909" s="1" t="n">
        <v>1</v>
      </c>
      <c r="I4909" s="1" t="inlineStr">
        <is>
          <t>หมด</t>
        </is>
      </c>
      <c r="J4909" s="13" t="n">
        <v>69</v>
      </c>
      <c r="K4909" s="1" t="inlineStr"/>
      <c r="L4909" s="13" t="n"/>
      <c r="M4909" s="1">
        <f>IF(L4909="","ไม่พบใน SG",IF(ABS(J4909-L4909)&lt;0.005,"ตรงกัน","ไม่ตรง"))</f>
        <v/>
      </c>
      <c r="N4909" s="14">
        <f>IF(L4909="","",ROUND(L4909*'สรุป'!$C$6,-1))</f>
        <v/>
      </c>
      <c r="O4909" s="15" t="n"/>
      <c r="P4909" s="15" t="n"/>
      <c r="Q4909" s="10" t="n"/>
      <c r="R4909" s="10" t="n"/>
      <c r="S4909" s="16" t="inlineStr">
        <is>
          <t>https://mstgolf.co.th/products/gf2000105968</t>
        </is>
      </c>
      <c r="T4909" s="1">
        <f>IF(B4909="ไม้กอล์ฟ",J4909,"")</f>
        <v/>
      </c>
    </row>
    <row r="4910">
      <c r="A4910" s="1" t="n">
        <v>3</v>
      </c>
      <c r="B4910" s="1" t="inlineStr">
        <is>
          <t>หมวก</t>
        </is>
      </c>
      <c r="C4910" s="1" t="inlineStr">
        <is>
          <t>gf2000105960</t>
        </is>
      </c>
      <c r="D4910" s="1" t="inlineStr">
        <is>
          <t>PUMA x Arnold Palmer Dad Men's Cap (Navy)</t>
        </is>
      </c>
      <c r="E4910" s="1" t="inlineStr">
        <is>
          <t>PUMA</t>
        </is>
      </c>
      <c r="F4910" s="1" t="inlineStr">
        <is>
          <t>CAP</t>
        </is>
      </c>
      <c r="G4910" s="1" t="inlineStr">
        <is>
          <t>GF2000105960FS</t>
        </is>
      </c>
      <c r="H4910" s="1" t="n">
        <v>1</v>
      </c>
      <c r="I4910" s="1" t="inlineStr">
        <is>
          <t>หมด</t>
        </is>
      </c>
      <c r="J4910" s="13" t="n">
        <v>69</v>
      </c>
      <c r="K4910" s="1" t="inlineStr"/>
      <c r="L4910" s="13" t="n"/>
      <c r="M4910" s="1">
        <f>IF(L4910="","ไม่พบใน SG",IF(ABS(J4910-L4910)&lt;0.005,"ตรงกัน","ไม่ตรง"))</f>
        <v/>
      </c>
      <c r="N4910" s="14">
        <f>IF(L4910="","",ROUND(L4910*'สรุป'!$C$6,-1))</f>
        <v/>
      </c>
      <c r="O4910" s="15" t="n"/>
      <c r="P4910" s="15" t="n"/>
      <c r="Q4910" s="10" t="n"/>
      <c r="R4910" s="10" t="n"/>
      <c r="S4910" s="16" t="inlineStr">
        <is>
          <t>https://mstgolf.co.th/products/gf2000105960</t>
        </is>
      </c>
      <c r="T4910" s="1">
        <f>IF(B4910="ไม้กอล์ฟ",J4910,"")</f>
        <v/>
      </c>
    </row>
    <row r="4911">
      <c r="A4911" s="1" t="n">
        <v>3</v>
      </c>
      <c r="B4911" s="1" t="inlineStr">
        <is>
          <t>หมวก</t>
        </is>
      </c>
      <c r="C4911" s="1" t="inlineStr">
        <is>
          <t>gf2000105885</t>
        </is>
      </c>
      <c r="D4911" s="1" t="inlineStr">
        <is>
          <t>PUMA x Arnold Palmer Men's Tech Cap (Blue)</t>
        </is>
      </c>
      <c r="E4911" s="1" t="inlineStr">
        <is>
          <t>PUMA</t>
        </is>
      </c>
      <c r="F4911" s="1" t="inlineStr">
        <is>
          <t>CAP</t>
        </is>
      </c>
      <c r="G4911" s="1" t="inlineStr">
        <is>
          <t>GF2000105885FS</t>
        </is>
      </c>
      <c r="H4911" s="1" t="n">
        <v>1</v>
      </c>
      <c r="I4911" s="1" t="inlineStr">
        <is>
          <t>หมด</t>
        </is>
      </c>
      <c r="J4911" s="13" t="n">
        <v>69</v>
      </c>
      <c r="K4911" s="1" t="inlineStr"/>
      <c r="L4911" s="13" t="n">
        <v>69</v>
      </c>
      <c r="M4911" s="1">
        <f>IF(L4911="","ไม่พบใน SG",IF(ABS(J4911-L4911)&lt;0.005,"ตรงกัน","ไม่ตรง"))</f>
        <v/>
      </c>
      <c r="N4911" s="14">
        <f>IF(L4911="","",ROUND(L4911*'สรุป'!$C$6,-1))</f>
        <v/>
      </c>
      <c r="O4911" s="15" t="n"/>
      <c r="P4911" s="15" t="n"/>
      <c r="Q4911" s="10" t="n"/>
      <c r="R4911" s="10" t="n"/>
      <c r="S4911" s="16" t="inlineStr">
        <is>
          <t>https://mstgolf.co.th/products/gf2000105885</t>
        </is>
      </c>
      <c r="T4911" s="1">
        <f>IF(B4911="ไม้กอล์ฟ",J4911,"")</f>
        <v/>
      </c>
    </row>
    <row r="4912">
      <c r="A4912" s="1" t="n">
        <v>3</v>
      </c>
      <c r="B4912" s="1" t="inlineStr">
        <is>
          <t>หมวก</t>
        </is>
      </c>
      <c r="C4912" s="1" t="inlineStr">
        <is>
          <t>gf2000105777</t>
        </is>
      </c>
      <c r="D4912" s="1" t="inlineStr">
        <is>
          <t>PUMA x Arnold Palmer Tech Men's Cap (White)</t>
        </is>
      </c>
      <c r="E4912" s="1" t="inlineStr">
        <is>
          <t>PUMA</t>
        </is>
      </c>
      <c r="F4912" s="1" t="inlineStr">
        <is>
          <t>CAP</t>
        </is>
      </c>
      <c r="G4912" s="1" t="inlineStr">
        <is>
          <t>GF2000105777FS</t>
        </is>
      </c>
      <c r="H4912" s="1" t="n">
        <v>1</v>
      </c>
      <c r="I4912" s="1" t="inlineStr">
        <is>
          <t>หมด</t>
        </is>
      </c>
      <c r="J4912" s="13" t="n">
        <v>69</v>
      </c>
      <c r="K4912" s="1" t="inlineStr"/>
      <c r="L4912" s="13" t="n"/>
      <c r="M4912" s="1">
        <f>IF(L4912="","ไม่พบใน SG",IF(ABS(J4912-L4912)&lt;0.005,"ตรงกัน","ไม่ตรง"))</f>
        <v/>
      </c>
      <c r="N4912" s="14">
        <f>IF(L4912="","",ROUND(L4912*'สรุป'!$C$6,-1))</f>
        <v/>
      </c>
      <c r="O4912" s="15" t="n"/>
      <c r="P4912" s="15" t="n"/>
      <c r="Q4912" s="10" t="n"/>
      <c r="R4912" s="10" t="n"/>
      <c r="S4912" s="16" t="inlineStr">
        <is>
          <t>https://mstgolf.co.th/products/gf2000105777</t>
        </is>
      </c>
      <c r="T4912" s="1">
        <f>IF(B4912="ไม้กอล์ฟ",J4912,"")</f>
        <v/>
      </c>
    </row>
    <row r="4913">
      <c r="A4913" s="1" t="n">
        <v>3</v>
      </c>
      <c r="B4913" s="1" t="inlineStr">
        <is>
          <t>หมวก</t>
        </is>
      </c>
      <c r="C4913" s="1" t="inlineStr">
        <is>
          <t>gf2000300346</t>
        </is>
      </c>
      <c r="D4913" s="1" t="inlineStr">
        <is>
          <t>PUMA x Liberty Men's Bucket Hat (Navy)</t>
        </is>
      </c>
      <c r="E4913" s="1" t="inlineStr">
        <is>
          <t>PUMA</t>
        </is>
      </c>
      <c r="F4913" s="1" t="inlineStr">
        <is>
          <t>HAT</t>
        </is>
      </c>
      <c r="G4913" s="1" t="inlineStr">
        <is>
          <t>GF2000300346S/M</t>
        </is>
      </c>
      <c r="H4913" s="1" t="n">
        <v>2</v>
      </c>
      <c r="I4913" s="1" t="inlineStr">
        <is>
          <t>หมด</t>
        </is>
      </c>
      <c r="J4913" s="13" t="n">
        <v>69</v>
      </c>
      <c r="K4913" s="1" t="inlineStr"/>
      <c r="L4913" s="13" t="n">
        <v>55</v>
      </c>
      <c r="M4913" s="1">
        <f>IF(L4913="","ไม่พบใน SG",IF(ABS(J4913-L4913)&lt;0.005,"ตรงกัน","ไม่ตรง"))</f>
        <v/>
      </c>
      <c r="N4913" s="14">
        <f>IF(L4913="","",ROUND(L4913*'สรุป'!$C$6,-1))</f>
        <v/>
      </c>
      <c r="O4913" s="15" t="n"/>
      <c r="P4913" s="15" t="n"/>
      <c r="Q4913" s="10" t="n"/>
      <c r="R4913" s="10" t="n"/>
      <c r="S4913" s="16" t="inlineStr">
        <is>
          <t>https://mstgolf.co.th/products/gf2000300346</t>
        </is>
      </c>
      <c r="T4913" s="1">
        <f>IF(B4913="ไม้กอล์ฟ",J4913,"")</f>
        <v/>
      </c>
    </row>
    <row r="4914">
      <c r="A4914" s="1" t="n">
        <v>3</v>
      </c>
      <c r="B4914" s="1" t="inlineStr">
        <is>
          <t>หมวก</t>
        </is>
      </c>
      <c r="C4914" s="1" t="inlineStr">
        <is>
          <t>gf2000105776</t>
        </is>
      </c>
      <c r="D4914" s="1" t="inlineStr">
        <is>
          <t>PUMA x PTC Dad Men's Cap (Blue)</t>
        </is>
      </c>
      <c r="E4914" s="1" t="inlineStr">
        <is>
          <t>PUMA</t>
        </is>
      </c>
      <c r="F4914" s="1" t="inlineStr">
        <is>
          <t>CAP</t>
        </is>
      </c>
      <c r="G4914" s="1" t="inlineStr">
        <is>
          <t>GF2000105776FS</t>
        </is>
      </c>
      <c r="H4914" s="1" t="n">
        <v>1</v>
      </c>
      <c r="I4914" s="1" t="inlineStr">
        <is>
          <t>หมด</t>
        </is>
      </c>
      <c r="J4914" s="13" t="n">
        <v>69</v>
      </c>
      <c r="K4914" s="1" t="inlineStr"/>
      <c r="L4914" s="13" t="n"/>
      <c r="M4914" s="1">
        <f>IF(L4914="","ไม่พบใน SG",IF(ABS(J4914-L4914)&lt;0.005,"ตรงกัน","ไม่ตรง"))</f>
        <v/>
      </c>
      <c r="N4914" s="14">
        <f>IF(L4914="","",ROUND(L4914*'สรุป'!$C$6,-1))</f>
        <v/>
      </c>
      <c r="O4914" s="15" t="n"/>
      <c r="P4914" s="15" t="n"/>
      <c r="Q4914" s="10" t="n"/>
      <c r="R4914" s="10" t="n"/>
      <c r="S4914" s="16" t="inlineStr">
        <is>
          <t>https://mstgolf.co.th/products/gf2000105776</t>
        </is>
      </c>
      <c r="T4914" s="1">
        <f>IF(B4914="ไม้กอล์ฟ",J4914,"")</f>
        <v/>
      </c>
    </row>
    <row r="4915">
      <c r="A4915" s="1" t="n">
        <v>3</v>
      </c>
      <c r="B4915" s="1" t="inlineStr">
        <is>
          <t>หมวก</t>
        </is>
      </c>
      <c r="C4915" s="1" t="inlineStr">
        <is>
          <t>gf2000105774</t>
        </is>
      </c>
      <c r="D4915" s="1" t="inlineStr">
        <is>
          <t>PUMA x PTC Dad Men's Cap (Blue)</t>
        </is>
      </c>
      <c r="E4915" s="1" t="inlineStr">
        <is>
          <t>PUMA</t>
        </is>
      </c>
      <c r="F4915" s="1" t="inlineStr">
        <is>
          <t>CAP</t>
        </is>
      </c>
      <c r="G4915" s="1" t="inlineStr">
        <is>
          <t>GF2000105774FS</t>
        </is>
      </c>
      <c r="H4915" s="1" t="n">
        <v>1</v>
      </c>
      <c r="I4915" s="1" t="inlineStr">
        <is>
          <t>หมด</t>
        </is>
      </c>
      <c r="J4915" s="13" t="n">
        <v>69</v>
      </c>
      <c r="K4915" s="1" t="inlineStr"/>
      <c r="L4915" s="13" t="n">
        <v>69</v>
      </c>
      <c r="M4915" s="1">
        <f>IF(L4915="","ไม่พบใน SG",IF(ABS(J4915-L4915)&lt;0.005,"ตรงกัน","ไม่ตรง"))</f>
        <v/>
      </c>
      <c r="N4915" s="14">
        <f>IF(L4915="","",ROUND(L4915*'สรุป'!$C$6,-1))</f>
        <v/>
      </c>
      <c r="O4915" s="15" t="n"/>
      <c r="P4915" s="15" t="n"/>
      <c r="Q4915" s="10" t="n"/>
      <c r="R4915" s="10" t="n"/>
      <c r="S4915" s="16" t="inlineStr">
        <is>
          <t>https://mstgolf.co.th/products/gf2000105774</t>
        </is>
      </c>
      <c r="T4915" s="1">
        <f>IF(B4915="ไม้กอล์ฟ",J4915,"")</f>
        <v/>
      </c>
    </row>
    <row r="4916">
      <c r="A4916" s="1" t="n">
        <v>3</v>
      </c>
      <c r="B4916" s="1" t="inlineStr">
        <is>
          <t>หมวก</t>
        </is>
      </c>
      <c r="C4916" s="1" t="inlineStr">
        <is>
          <t>gf2000105775</t>
        </is>
      </c>
      <c r="D4916" s="1" t="inlineStr">
        <is>
          <t>PUMA x PTC Dad Men's Cap (White)</t>
        </is>
      </c>
      <c r="E4916" s="1" t="inlineStr">
        <is>
          <t>PUMA</t>
        </is>
      </c>
      <c r="F4916" s="1" t="inlineStr">
        <is>
          <t>CAP</t>
        </is>
      </c>
      <c r="G4916" s="1" t="inlineStr">
        <is>
          <t>GF2000105775FS</t>
        </is>
      </c>
      <c r="H4916" s="1" t="n">
        <v>1</v>
      </c>
      <c r="I4916" s="1" t="inlineStr">
        <is>
          <t>หมด</t>
        </is>
      </c>
      <c r="J4916" s="13" t="n">
        <v>69</v>
      </c>
      <c r="K4916" s="1" t="inlineStr"/>
      <c r="L4916" s="13" t="n"/>
      <c r="M4916" s="1">
        <f>IF(L4916="","ไม่พบใน SG",IF(ABS(J4916-L4916)&lt;0.005,"ตรงกัน","ไม่ตรง"))</f>
        <v/>
      </c>
      <c r="N4916" s="14">
        <f>IF(L4916="","",ROUND(L4916*'สรุป'!$C$6,-1))</f>
        <v/>
      </c>
      <c r="O4916" s="15" t="n"/>
      <c r="P4916" s="15" t="n"/>
      <c r="Q4916" s="10" t="n"/>
      <c r="R4916" s="10" t="n"/>
      <c r="S4916" s="16" t="inlineStr">
        <is>
          <t>https://mstgolf.co.th/products/gf2000105775</t>
        </is>
      </c>
      <c r="T4916" s="1">
        <f>IF(B4916="ไม้กอล์ฟ",J4916,"")</f>
        <v/>
      </c>
    </row>
    <row r="4917">
      <c r="A4917" s="1" t="n">
        <v>3</v>
      </c>
      <c r="B4917" s="1" t="inlineStr">
        <is>
          <t>หมวก</t>
        </is>
      </c>
      <c r="C4917" s="1" t="inlineStr">
        <is>
          <t>gf2000106215</t>
        </is>
      </c>
      <c r="D4917" s="1" t="inlineStr">
        <is>
          <t>PUMA x PTC Floral Tech Men's Cap (Navy/Red)</t>
        </is>
      </c>
      <c r="E4917" s="1" t="inlineStr">
        <is>
          <t>PUMA</t>
        </is>
      </c>
      <c r="F4917" s="1" t="inlineStr">
        <is>
          <t>CAP</t>
        </is>
      </c>
      <c r="G4917" s="1" t="inlineStr">
        <is>
          <t>GF2000106215FS</t>
        </is>
      </c>
      <c r="H4917" s="1" t="n">
        <v>1</v>
      </c>
      <c r="I4917" s="1" t="inlineStr">
        <is>
          <t>หมด</t>
        </is>
      </c>
      <c r="J4917" s="13" t="n">
        <v>69</v>
      </c>
      <c r="K4917" s="1" t="inlineStr"/>
      <c r="L4917" s="13" t="n">
        <v>69</v>
      </c>
      <c r="M4917" s="1">
        <f>IF(L4917="","ไม่พบใน SG",IF(ABS(J4917-L4917)&lt;0.005,"ตรงกัน","ไม่ตรง"))</f>
        <v/>
      </c>
      <c r="N4917" s="14">
        <f>IF(L4917="","",ROUND(L4917*'สรุป'!$C$6,-1))</f>
        <v/>
      </c>
      <c r="O4917" s="15" t="n"/>
      <c r="P4917" s="15" t="n"/>
      <c r="Q4917" s="10" t="n"/>
      <c r="R4917" s="10" t="n"/>
      <c r="S4917" s="16" t="inlineStr">
        <is>
          <t>https://mstgolf.co.th/products/gf2000106215</t>
        </is>
      </c>
      <c r="T4917" s="1">
        <f>IF(B4917="ไม้กอล์ฟ",J4917,"")</f>
        <v/>
      </c>
    </row>
    <row r="4918">
      <c r="A4918" s="1" t="n">
        <v>3</v>
      </c>
      <c r="B4918" s="1" t="inlineStr">
        <is>
          <t>หมวก</t>
        </is>
      </c>
      <c r="C4918" s="1" t="inlineStr">
        <is>
          <t>gf2000105962</t>
        </is>
      </c>
      <c r="D4918" s="1" t="inlineStr">
        <is>
          <t>PUMA x PTC Script Tech Men's Cap (Navy)</t>
        </is>
      </c>
      <c r="E4918" s="1" t="inlineStr">
        <is>
          <t>PUMA</t>
        </is>
      </c>
      <c r="F4918" s="1" t="inlineStr">
        <is>
          <t>CAP</t>
        </is>
      </c>
      <c r="G4918" s="1" t="inlineStr">
        <is>
          <t>GF2000105962FS</t>
        </is>
      </c>
      <c r="H4918" s="1" t="n">
        <v>1</v>
      </c>
      <c r="I4918" s="1" t="inlineStr">
        <is>
          <t>หมด</t>
        </is>
      </c>
      <c r="J4918" s="13" t="n">
        <v>69</v>
      </c>
      <c r="K4918" s="1" t="inlineStr"/>
      <c r="L4918" s="13" t="n"/>
      <c r="M4918" s="1">
        <f>IF(L4918="","ไม่พบใน SG",IF(ABS(J4918-L4918)&lt;0.005,"ตรงกัน","ไม่ตรง"))</f>
        <v/>
      </c>
      <c r="N4918" s="14">
        <f>IF(L4918="","",ROUND(L4918*'สรุป'!$C$6,-1))</f>
        <v/>
      </c>
      <c r="O4918" s="15" t="n"/>
      <c r="P4918" s="15" t="n"/>
      <c r="Q4918" s="10" t="n"/>
      <c r="R4918" s="10" t="n"/>
      <c r="S4918" s="16" t="inlineStr">
        <is>
          <t>https://mstgolf.co.th/products/gf2000105962</t>
        </is>
      </c>
      <c r="T4918" s="1">
        <f>IF(B4918="ไม้กอล์ฟ",J4918,"")</f>
        <v/>
      </c>
    </row>
    <row r="4919">
      <c r="A4919" s="1" t="n">
        <v>3</v>
      </c>
      <c r="B4919" s="1" t="inlineStr">
        <is>
          <t>หมวก</t>
        </is>
      </c>
      <c r="C4919" s="1" t="inlineStr">
        <is>
          <t>gf2000105781</t>
        </is>
      </c>
      <c r="D4919" s="1" t="inlineStr">
        <is>
          <t>PUMA x QGC Men's Dad Cap (White)</t>
        </is>
      </c>
      <c r="E4919" s="1" t="inlineStr">
        <is>
          <t>PUMA</t>
        </is>
      </c>
      <c r="F4919" s="1" t="inlineStr">
        <is>
          <t>CAP</t>
        </is>
      </c>
      <c r="G4919" s="1" t="inlineStr">
        <is>
          <t>GF2000105781FS</t>
        </is>
      </c>
      <c r="H4919" s="1" t="n">
        <v>1</v>
      </c>
      <c r="I4919" s="1" t="inlineStr">
        <is>
          <t>หมด</t>
        </is>
      </c>
      <c r="J4919" s="13" t="n">
        <v>69</v>
      </c>
      <c r="K4919" s="1" t="inlineStr"/>
      <c r="L4919" s="13" t="n"/>
      <c r="M4919" s="1">
        <f>IF(L4919="","ไม่พบใน SG",IF(ABS(J4919-L4919)&lt;0.005,"ตรงกัน","ไม่ตรง"))</f>
        <v/>
      </c>
      <c r="N4919" s="14">
        <f>IF(L4919="","",ROUND(L4919*'สรุป'!$C$6,-1))</f>
        <v/>
      </c>
      <c r="O4919" s="15" t="n"/>
      <c r="P4919" s="15" t="n"/>
      <c r="Q4919" s="10" t="n"/>
      <c r="R4919" s="10" t="n"/>
      <c r="S4919" s="16" t="inlineStr">
        <is>
          <t>https://mstgolf.co.th/products/gf2000105781</t>
        </is>
      </c>
      <c r="T4919" s="1">
        <f>IF(B4919="ไม้กอล์ฟ",J4919,"")</f>
        <v/>
      </c>
    </row>
    <row r="4920">
      <c r="A4920" s="1" t="n">
        <v>3</v>
      </c>
      <c r="B4920" s="1" t="inlineStr">
        <is>
          <t>หมวก</t>
        </is>
      </c>
      <c r="C4920" s="1" t="inlineStr">
        <is>
          <t>gf2000105782</t>
        </is>
      </c>
      <c r="D4920" s="1" t="inlineStr">
        <is>
          <t>PUMA x QGC Rope Men's Cap (White)</t>
        </is>
      </c>
      <c r="E4920" s="1" t="inlineStr">
        <is>
          <t>PUMA</t>
        </is>
      </c>
      <c r="F4920" s="1" t="inlineStr">
        <is>
          <t>CAP</t>
        </is>
      </c>
      <c r="G4920" s="1" t="inlineStr">
        <is>
          <t>GF2000105782FS</t>
        </is>
      </c>
      <c r="H4920" s="1" t="n">
        <v>1</v>
      </c>
      <c r="I4920" s="1" t="inlineStr">
        <is>
          <t>หมด</t>
        </is>
      </c>
      <c r="J4920" s="13" t="n">
        <v>69</v>
      </c>
      <c r="K4920" s="1" t="inlineStr"/>
      <c r="L4920" s="13" t="n"/>
      <c r="M4920" s="1">
        <f>IF(L4920="","ไม่พบใน SG",IF(ABS(J4920-L4920)&lt;0.005,"ตรงกัน","ไม่ตรง"))</f>
        <v/>
      </c>
      <c r="N4920" s="14">
        <f>IF(L4920="","",ROUND(L4920*'สรุป'!$C$6,-1))</f>
        <v/>
      </c>
      <c r="O4920" s="15" t="n"/>
      <c r="P4920" s="15" t="n"/>
      <c r="Q4920" s="10" t="n"/>
      <c r="R4920" s="10" t="n"/>
      <c r="S4920" s="16" t="inlineStr">
        <is>
          <t>https://mstgolf.co.th/products/gf2000105782</t>
        </is>
      </c>
      <c r="T4920" s="1">
        <f>IF(B4920="ไม้กอล์ฟ",J4920,"")</f>
        <v/>
      </c>
    </row>
    <row r="4921">
      <c r="A4921" s="1" t="n">
        <v>3</v>
      </c>
      <c r="B4921" s="1" t="inlineStr">
        <is>
          <t>เสื้อผ้า</t>
        </is>
      </c>
      <c r="C4921" s="1" t="inlineStr">
        <is>
          <t>gf2040119207</t>
        </is>
      </c>
      <c r="D4921" s="1" t="inlineStr">
        <is>
          <t>UNDER ARMOUR T2G (2025) Men's Polo (Black)</t>
        </is>
      </c>
      <c r="E4921" s="1" t="inlineStr">
        <is>
          <t>UNDER ARMOUR</t>
        </is>
      </c>
      <c r="F4921" s="1" t="inlineStr">
        <is>
          <t>SHORT SLEEVES</t>
        </is>
      </c>
      <c r="G4921" s="1" t="inlineStr">
        <is>
          <t>GF2040119207S</t>
        </is>
      </c>
      <c r="H4921" s="1" t="n">
        <v>5</v>
      </c>
      <c r="I4921" s="1" t="inlineStr">
        <is>
          <t>หมด</t>
        </is>
      </c>
      <c r="J4921" s="13" t="n">
        <v>69</v>
      </c>
      <c r="K4921" s="1" t="inlineStr"/>
      <c r="L4921" s="13" t="n">
        <v>69</v>
      </c>
      <c r="M4921" s="1">
        <f>IF(L4921="","ไม่พบใน SG",IF(ABS(J4921-L4921)&lt;0.005,"ตรงกัน","ไม่ตรง"))</f>
        <v/>
      </c>
      <c r="N4921" s="14">
        <f>IF(L4921="","",ROUND(L4921*'สรุป'!$C$6,-1))</f>
        <v/>
      </c>
      <c r="O4921" s="15" t="n"/>
      <c r="P4921" s="15" t="n"/>
      <c r="Q4921" s="10" t="n"/>
      <c r="R4921" s="10" t="n"/>
      <c r="S4921" s="16" t="inlineStr">
        <is>
          <t>https://mstgolf.co.th/products/gf2040119207</t>
        </is>
      </c>
      <c r="T4921" s="1">
        <f>IF(B4921="ไม้กอล์ฟ",J4921,"")</f>
        <v/>
      </c>
    </row>
    <row r="4922">
      <c r="A4922" s="1" t="n">
        <v>3</v>
      </c>
      <c r="B4922" s="1" t="inlineStr">
        <is>
          <t>เสื้อผ้า</t>
        </is>
      </c>
      <c r="C4922" s="1" t="inlineStr">
        <is>
          <t>gf2040119208</t>
        </is>
      </c>
      <c r="D4922" s="1" t="inlineStr">
        <is>
          <t>UNDER ARMOUR T2G (2025) Men's Polo (Castlerock)</t>
        </is>
      </c>
      <c r="E4922" s="1" t="inlineStr">
        <is>
          <t>UNDER ARMOUR</t>
        </is>
      </c>
      <c r="F4922" s="1" t="inlineStr">
        <is>
          <t>SHORT SLEEVES</t>
        </is>
      </c>
      <c r="G4922" s="1" t="inlineStr">
        <is>
          <t>GF2040119208S</t>
        </is>
      </c>
      <c r="H4922" s="1" t="n">
        <v>6</v>
      </c>
      <c r="I4922" s="1" t="inlineStr">
        <is>
          <t>หมด</t>
        </is>
      </c>
      <c r="J4922" s="13" t="n">
        <v>69</v>
      </c>
      <c r="K4922" s="1" t="inlineStr"/>
      <c r="L4922" s="13" t="n">
        <v>69</v>
      </c>
      <c r="M4922" s="1">
        <f>IF(L4922="","ไม่พบใน SG",IF(ABS(J4922-L4922)&lt;0.005,"ตรงกัน","ไม่ตรง"))</f>
        <v/>
      </c>
      <c r="N4922" s="14">
        <f>IF(L4922="","",ROUND(L4922*'สรุป'!$C$6,-1))</f>
        <v/>
      </c>
      <c r="O4922" s="15" t="n"/>
      <c r="P4922" s="15" t="n"/>
      <c r="Q4922" s="10" t="n"/>
      <c r="R4922" s="10" t="n"/>
      <c r="S4922" s="16" t="inlineStr">
        <is>
          <t>https://mstgolf.co.th/products/gf2040119208</t>
        </is>
      </c>
      <c r="T4922" s="1">
        <f>IF(B4922="ไม้กอล์ฟ",J4922,"")</f>
        <v/>
      </c>
    </row>
    <row r="4923">
      <c r="A4923" s="1" t="n">
        <v>3</v>
      </c>
      <c r="B4923" s="1" t="inlineStr">
        <is>
          <t>เสื้อผ้า</t>
        </is>
      </c>
      <c r="C4923" s="1" t="inlineStr">
        <is>
          <t>gf2040119211</t>
        </is>
      </c>
      <c r="D4923" s="1" t="inlineStr">
        <is>
          <t>UNDER ARMOUR T2G (2025) Men's Polo (Midnight Navy)</t>
        </is>
      </c>
      <c r="E4923" s="1" t="inlineStr">
        <is>
          <t>UNDER ARMOUR</t>
        </is>
      </c>
      <c r="F4923" s="1" t="inlineStr">
        <is>
          <t>SHORT SLEEVES</t>
        </is>
      </c>
      <c r="G4923" s="1" t="inlineStr">
        <is>
          <t>GF2040119211S</t>
        </is>
      </c>
      <c r="H4923" s="1" t="n">
        <v>6</v>
      </c>
      <c r="I4923" s="1" t="inlineStr">
        <is>
          <t>หมด</t>
        </is>
      </c>
      <c r="J4923" s="13" t="n">
        <v>69</v>
      </c>
      <c r="K4923" s="1" t="inlineStr"/>
      <c r="L4923" s="13" t="n"/>
      <c r="M4923" s="1">
        <f>IF(L4923="","ไม่พบใน SG",IF(ABS(J4923-L4923)&lt;0.005,"ตรงกัน","ไม่ตรง"))</f>
        <v/>
      </c>
      <c r="N4923" s="14">
        <f>IF(L4923="","",ROUND(L4923*'สรุป'!$C$6,-1))</f>
        <v/>
      </c>
      <c r="O4923" s="15" t="n"/>
      <c r="P4923" s="15" t="n"/>
      <c r="Q4923" s="10" t="n"/>
      <c r="R4923" s="10" t="n"/>
      <c r="S4923" s="16" t="inlineStr">
        <is>
          <t>https://mstgolf.co.th/products/gf2040119211</t>
        </is>
      </c>
      <c r="T4923" s="1">
        <f>IF(B4923="ไม้กอล์ฟ",J4923,"")</f>
        <v/>
      </c>
    </row>
    <row r="4924">
      <c r="A4924" s="1" t="n">
        <v>3</v>
      </c>
      <c r="B4924" s="1" t="inlineStr">
        <is>
          <t>เสื้อผ้า</t>
        </is>
      </c>
      <c r="C4924" s="1" t="inlineStr">
        <is>
          <t>gf2040119209</t>
        </is>
      </c>
      <c r="D4924" s="1" t="inlineStr">
        <is>
          <t>UNDER ARMOUR T2G (2025) Men's Polo (White)</t>
        </is>
      </c>
      <c r="E4924" s="1" t="inlineStr">
        <is>
          <t>UNDER ARMOUR</t>
        </is>
      </c>
      <c r="F4924" s="1" t="inlineStr">
        <is>
          <t>SHORT SLEEVES</t>
        </is>
      </c>
      <c r="G4924" s="1" t="inlineStr">
        <is>
          <t>GF2040119209S</t>
        </is>
      </c>
      <c r="H4924" s="1" t="n">
        <v>5</v>
      </c>
      <c r="I4924" s="1" t="inlineStr">
        <is>
          <t>หมด</t>
        </is>
      </c>
      <c r="J4924" s="13" t="n">
        <v>69</v>
      </c>
      <c r="K4924" s="1" t="inlineStr"/>
      <c r="L4924" s="13" t="n"/>
      <c r="M4924" s="1">
        <f>IF(L4924="","ไม่พบใน SG",IF(ABS(J4924-L4924)&lt;0.005,"ตรงกัน","ไม่ตรง"))</f>
        <v/>
      </c>
      <c r="N4924" s="14">
        <f>IF(L4924="","",ROUND(L4924*'สรุป'!$C$6,-1))</f>
        <v/>
      </c>
      <c r="O4924" s="15" t="n"/>
      <c r="P4924" s="15" t="n"/>
      <c r="Q4924" s="10" t="n"/>
      <c r="R4924" s="10" t="n"/>
      <c r="S4924" s="16" t="inlineStr">
        <is>
          <t>https://mstgolf.co.th/products/gf2040119209</t>
        </is>
      </c>
      <c r="T4924" s="1">
        <f>IF(B4924="ไม้กอล์ฟ",J4924,"")</f>
        <v/>
      </c>
    </row>
    <row r="4925">
      <c r="A4925" s="1" t="n">
        <v>3</v>
      </c>
      <c r="B4925" s="1" t="inlineStr">
        <is>
          <t>เสื้อผ้า</t>
        </is>
      </c>
      <c r="C4925" s="1" t="inlineStr">
        <is>
          <t>gf2020202549</t>
        </is>
      </c>
      <c r="D4925" s="1" t="inlineStr">
        <is>
          <t>WAAC Stretch GG Men's Shorts (White)</t>
        </is>
      </c>
      <c r="E4925" s="1" t="inlineStr">
        <is>
          <t>WAAC</t>
        </is>
      </c>
      <c r="F4925" s="1" t="inlineStr">
        <is>
          <t>SHORT PANTS</t>
        </is>
      </c>
      <c r="G4925" s="1" t="inlineStr">
        <is>
          <t>GF202020254928</t>
        </is>
      </c>
      <c r="H4925" s="1" t="n">
        <v>5</v>
      </c>
      <c r="I4925" s="1" t="inlineStr">
        <is>
          <t>หมด</t>
        </is>
      </c>
      <c r="J4925" s="13" t="n">
        <v>69</v>
      </c>
      <c r="K4925" s="1" t="inlineStr"/>
      <c r="L4925" s="13" t="n">
        <v>69</v>
      </c>
      <c r="M4925" s="1">
        <f>IF(L4925="","ไม่พบใน SG",IF(ABS(J4925-L4925)&lt;0.005,"ตรงกัน","ไม่ตรง"))</f>
        <v/>
      </c>
      <c r="N4925" s="14">
        <f>IF(L4925="","",ROUND(L4925*'สรุป'!$C$6,-1))</f>
        <v/>
      </c>
      <c r="O4925" s="15" t="n"/>
      <c r="P4925" s="15" t="n"/>
      <c r="Q4925" s="10" t="n"/>
      <c r="R4925" s="10" t="n"/>
      <c r="S4925" s="16" t="inlineStr">
        <is>
          <t>https://mstgolf.co.th/products/gf2020202549</t>
        </is>
      </c>
      <c r="T4925" s="1">
        <f>IF(B4925="ไม้กอล์ฟ",J4925,"")</f>
        <v/>
      </c>
    </row>
    <row r="4926">
      <c r="A4926" s="1" t="n">
        <v>3</v>
      </c>
      <c r="B4926" s="1" t="inlineStr">
        <is>
          <t>อุปกรณ์เสริม</t>
        </is>
      </c>
      <c r="C4926" s="1" t="inlineStr">
        <is>
          <t>gf3500300907</t>
        </is>
      </c>
      <c r="D4926" s="1" t="inlineStr">
        <is>
          <t>WAAC Waacky Seasonal Ball Case</t>
        </is>
      </c>
      <c r="E4926" s="1" t="inlineStr">
        <is>
          <t>WAAC</t>
        </is>
      </c>
      <c r="F4926" s="1" t="inlineStr">
        <is>
          <t>GOLF ACCESSORIES</t>
        </is>
      </c>
      <c r="G4926" s="1" t="inlineStr">
        <is>
          <t>GF3500300907</t>
        </is>
      </c>
      <c r="H4926" s="1" t="n">
        <v>1</v>
      </c>
      <c r="I4926" s="1" t="inlineStr">
        <is>
          <t>หมด</t>
        </is>
      </c>
      <c r="J4926" s="13" t="n">
        <v>68</v>
      </c>
      <c r="K4926" s="1" t="inlineStr"/>
      <c r="L4926" s="13" t="n"/>
      <c r="M4926" s="1">
        <f>IF(L4926="","ไม่พบใน SG",IF(ABS(J4926-L4926)&lt;0.005,"ตรงกัน","ไม่ตรง"))</f>
        <v/>
      </c>
      <c r="N4926" s="14">
        <f>IF(L4926="","",ROUND(L4926*'สรุป'!$C$6,-1))</f>
        <v/>
      </c>
      <c r="O4926" s="15" t="n"/>
      <c r="P4926" s="15" t="n"/>
      <c r="Q4926" s="10" t="n"/>
      <c r="R4926" s="10" t="n"/>
      <c r="S4926" s="16" t="inlineStr">
        <is>
          <t>https://mstgolf.co.th/products/gf3500300907</t>
        </is>
      </c>
      <c r="T4926" s="1">
        <f>IF(B4926="ไม้กอล์ฟ",J4926,"")</f>
        <v/>
      </c>
    </row>
    <row r="4927">
      <c r="A4927" s="1" t="n">
        <v>3</v>
      </c>
      <c r="B4927" s="1" t="inlineStr">
        <is>
          <t>เสื้อผ้า</t>
        </is>
      </c>
      <c r="C4927" s="1" t="inlineStr">
        <is>
          <t>gf2040114201</t>
        </is>
      </c>
      <c r="D4927" s="1" t="inlineStr">
        <is>
          <t>PETER MILLAR Soul Performance Mesh Men's Polo (Star Burst)</t>
        </is>
      </c>
      <c r="E4927" s="1" t="inlineStr">
        <is>
          <t>PETER MILLAR</t>
        </is>
      </c>
      <c r="F4927" s="1" t="inlineStr">
        <is>
          <t>SHORT SLEEVES</t>
        </is>
      </c>
      <c r="G4927" s="1" t="inlineStr">
        <is>
          <t>GF2040114201XS</t>
        </is>
      </c>
      <c r="H4927" s="1" t="n">
        <v>7</v>
      </c>
      <c r="I4927" s="1" t="inlineStr">
        <is>
          <t>หมด</t>
        </is>
      </c>
      <c r="J4927" s="13" t="n">
        <v>67</v>
      </c>
      <c r="K4927" s="1" t="inlineStr"/>
      <c r="L4927" s="13" t="n"/>
      <c r="M4927" s="1">
        <f>IF(L4927="","ไม่พบใน SG",IF(ABS(J4927-L4927)&lt;0.005,"ตรงกัน","ไม่ตรง"))</f>
        <v/>
      </c>
      <c r="N4927" s="14">
        <f>IF(L4927="","",ROUND(L4927*'สรุป'!$C$6,-1))</f>
        <v/>
      </c>
      <c r="O4927" s="15" t="n"/>
      <c r="P4927" s="15" t="n"/>
      <c r="Q4927" s="10" t="n"/>
      <c r="R4927" s="10" t="n"/>
      <c r="S4927" s="16" t="inlineStr">
        <is>
          <t>https://mstgolf.co.th/products/gf2040114201</t>
        </is>
      </c>
      <c r="T4927" s="1">
        <f>IF(B4927="ไม้กอล์ฟ",J4927,"")</f>
        <v/>
      </c>
    </row>
    <row r="4928">
      <c r="A4928" s="1" t="n">
        <v>3</v>
      </c>
      <c r="B4928" s="1" t="inlineStr">
        <is>
          <t>อุปกรณ์เสริม</t>
        </is>
      </c>
      <c r="C4928" s="1" t="inlineStr">
        <is>
          <t>gf3500201369</t>
        </is>
      </c>
      <c r="D4928" s="1" t="inlineStr">
        <is>
          <t>TAYLORMADE Summer Commemorative Driver Headcover</t>
        </is>
      </c>
      <c r="E4928" s="1" t="inlineStr">
        <is>
          <t>TAYLORMADE</t>
        </is>
      </c>
      <c r="F4928" s="1" t="inlineStr">
        <is>
          <t>HEADCOVERS</t>
        </is>
      </c>
      <c r="G4928" s="1" t="inlineStr">
        <is>
          <t>GF3500201369</t>
        </is>
      </c>
      <c r="H4928" s="1" t="n">
        <v>1</v>
      </c>
      <c r="I4928" s="1" t="inlineStr">
        <is>
          <t>หมด</t>
        </is>
      </c>
      <c r="J4928" s="13" t="n">
        <v>67</v>
      </c>
      <c r="K4928" s="1" t="inlineStr"/>
      <c r="L4928" s="13" t="n">
        <v>67</v>
      </c>
      <c r="M4928" s="1">
        <f>IF(L4928="","ไม่พบใน SG",IF(ABS(J4928-L4928)&lt;0.005,"ตรงกัน","ไม่ตรง"))</f>
        <v/>
      </c>
      <c r="N4928" s="14">
        <f>IF(L4928="","",ROUND(L4928*'สรุป'!$C$6,-1))</f>
        <v/>
      </c>
      <c r="O4928" s="15" t="n"/>
      <c r="P4928" s="15" t="n"/>
      <c r="Q4928" s="10" t="n"/>
      <c r="R4928" s="10" t="n"/>
      <c r="S4928" s="16" t="inlineStr">
        <is>
          <t>https://mstgolf.co.th/products/gf3500201369</t>
        </is>
      </c>
      <c r="T4928" s="1">
        <f>IF(B4928="ไม้กอล์ฟ",J4928,"")</f>
        <v/>
      </c>
    </row>
    <row r="4929">
      <c r="A4929" s="1" t="n">
        <v>3</v>
      </c>
      <c r="B4929" s="1" t="inlineStr">
        <is>
          <t>เสื้อผ้า</t>
        </is>
      </c>
      <c r="C4929" s="1" t="inlineStr">
        <is>
          <t>gf2040119431</t>
        </is>
      </c>
      <c r="D4929" s="1" t="inlineStr">
        <is>
          <t>ADIDAS Ultimate365 Printed Mesh Men's Polo (Black)</t>
        </is>
      </c>
      <c r="E4929" s="1" t="inlineStr">
        <is>
          <t>ADIDAS</t>
        </is>
      </c>
      <c r="F4929" s="1" t="inlineStr">
        <is>
          <t>SHORT SLEEVES</t>
        </is>
      </c>
      <c r="G4929" s="1" t="inlineStr">
        <is>
          <t>GF20401194312XS</t>
        </is>
      </c>
      <c r="H4929" s="1" t="n">
        <v>7</v>
      </c>
      <c r="I4929" s="1" t="inlineStr">
        <is>
          <t>หมด</t>
        </is>
      </c>
      <c r="J4929" s="13" t="n">
        <v>65</v>
      </c>
      <c r="K4929" s="1" t="inlineStr"/>
      <c r="L4929" s="13" t="n">
        <v>49</v>
      </c>
      <c r="M4929" s="1">
        <f>IF(L4929="","ไม่พบใน SG",IF(ABS(J4929-L4929)&lt;0.005,"ตรงกัน","ไม่ตรง"))</f>
        <v/>
      </c>
      <c r="N4929" s="14">
        <f>IF(L4929="","",ROUND(L4929*'สรุป'!$C$6,-1))</f>
        <v/>
      </c>
      <c r="O4929" s="15" t="n"/>
      <c r="P4929" s="15" t="n"/>
      <c r="Q4929" s="10" t="n"/>
      <c r="R4929" s="10" t="n"/>
      <c r="S4929" s="16" t="inlineStr">
        <is>
          <t>https://mstgolf.co.th/products/gf2040119431</t>
        </is>
      </c>
      <c r="T4929" s="1">
        <f>IF(B4929="ไม้กอล์ฟ",J4929,"")</f>
        <v/>
      </c>
    </row>
    <row r="4930">
      <c r="A4930" s="1" t="n">
        <v>3</v>
      </c>
      <c r="B4930" s="1" t="inlineStr">
        <is>
          <t>อุปกรณ์เสริม</t>
        </is>
      </c>
      <c r="C4930" s="1" t="inlineStr">
        <is>
          <t>gf3040100080</t>
        </is>
      </c>
      <c r="D4930" s="1" t="inlineStr">
        <is>
          <t>GENERAL ITEM Paragon Strong Arm Protector (Full Length: 1.3m)</t>
        </is>
      </c>
      <c r="E4930" s="1" t="inlineStr">
        <is>
          <t>GENERAL ITEM</t>
        </is>
      </c>
      <c r="F4930" s="1" t="inlineStr">
        <is>
          <t>GOLF ACCESSORIES</t>
        </is>
      </c>
      <c r="G4930" s="1" t="inlineStr">
        <is>
          <t>GF3040100080</t>
        </is>
      </c>
      <c r="H4930" s="1" t="n">
        <v>1</v>
      </c>
      <c r="I4930" s="1" t="inlineStr">
        <is>
          <t>หมด</t>
        </is>
      </c>
      <c r="J4930" s="13" t="n">
        <v>65</v>
      </c>
      <c r="K4930" s="1" t="inlineStr"/>
      <c r="L4930" s="13" t="n"/>
      <c r="M4930" s="1">
        <f>IF(L4930="","ไม่พบใน SG",IF(ABS(J4930-L4930)&lt;0.005,"ตรงกัน","ไม่ตรง"))</f>
        <v/>
      </c>
      <c r="N4930" s="14">
        <f>IF(L4930="","",ROUND(L4930*'สรุป'!$C$6,-1))</f>
        <v/>
      </c>
      <c r="O4930" s="15" t="n"/>
      <c r="P4930" s="15" t="n"/>
      <c r="Q4930" s="10" t="n"/>
      <c r="R4930" s="10" t="n"/>
      <c r="S4930" s="16" t="inlineStr">
        <is>
          <t>https://mstgolf.co.th/products/gf3040100080</t>
        </is>
      </c>
      <c r="T4930" s="1">
        <f>IF(B4930="ไม้กอล์ฟ",J4930,"")</f>
        <v/>
      </c>
    </row>
    <row r="4931">
      <c r="A4931" s="1" t="n">
        <v>3</v>
      </c>
      <c r="B4931" s="1" t="inlineStr">
        <is>
          <t>อุปกรณ์เสริม</t>
        </is>
      </c>
      <c r="C4931" s="1" t="inlineStr">
        <is>
          <t>gf2100200507</t>
        </is>
      </c>
      <c r="D4931" s="1" t="inlineStr">
        <is>
          <t>PING Tri Fold Towel (Grey/Black)</t>
        </is>
      </c>
      <c r="E4931" s="1" t="inlineStr">
        <is>
          <t>PING</t>
        </is>
      </c>
      <c r="F4931" s="1" t="inlineStr">
        <is>
          <t>HAND/CLUB TOWEL</t>
        </is>
      </c>
      <c r="G4931" s="1" t="inlineStr">
        <is>
          <t>GF2100200507</t>
        </is>
      </c>
      <c r="H4931" s="1" t="n">
        <v>1</v>
      </c>
      <c r="I4931" s="1" t="inlineStr">
        <is>
          <t>หมด</t>
        </is>
      </c>
      <c r="J4931" s="13" t="n">
        <v>65</v>
      </c>
      <c r="K4931" s="1" t="inlineStr"/>
      <c r="L4931" s="13" t="n"/>
      <c r="M4931" s="1">
        <f>IF(L4931="","ไม่พบใน SG",IF(ABS(J4931-L4931)&lt;0.005,"ตรงกัน","ไม่ตรง"))</f>
        <v/>
      </c>
      <c r="N4931" s="14">
        <f>IF(L4931="","",ROUND(L4931*'สรุป'!$C$6,-1))</f>
        <v/>
      </c>
      <c r="O4931" s="15" t="n"/>
      <c r="P4931" s="15" t="n"/>
      <c r="Q4931" s="10" t="n"/>
      <c r="R4931" s="10" t="n"/>
      <c r="S4931" s="16" t="inlineStr">
        <is>
          <t>https://mstgolf.co.th/products/gf2100200507</t>
        </is>
      </c>
      <c r="T4931" s="1">
        <f>IF(B4931="ไม้กอล์ฟ",J4931,"")</f>
        <v/>
      </c>
    </row>
    <row r="4932">
      <c r="A4932" s="1" t="n">
        <v>3</v>
      </c>
      <c r="B4932" s="1" t="inlineStr">
        <is>
          <t>เสื้อผ้า</t>
        </is>
      </c>
      <c r="C4932" s="1" t="inlineStr">
        <is>
          <t>gf2020102026</t>
        </is>
      </c>
      <c r="D4932" s="1" t="inlineStr">
        <is>
          <t>PUMA Dealer 5-Pocket Men's Pants (Ash Grey)</t>
        </is>
      </c>
      <c r="E4932" s="1" t="inlineStr">
        <is>
          <t>PUMA</t>
        </is>
      </c>
      <c r="F4932" s="1" t="inlineStr">
        <is>
          <t>LONG PANTS</t>
        </is>
      </c>
      <c r="G4932" s="1" t="inlineStr">
        <is>
          <t>GF202010202628</t>
        </is>
      </c>
      <c r="H4932" s="1" t="n">
        <v>7</v>
      </c>
      <c r="I4932" s="1" t="inlineStr">
        <is>
          <t>หมด</t>
        </is>
      </c>
      <c r="J4932" s="13" t="n">
        <v>65</v>
      </c>
      <c r="K4932" s="1" t="inlineStr"/>
      <c r="L4932" s="13" t="n"/>
      <c r="M4932" s="1">
        <f>IF(L4932="","ไม่พบใน SG",IF(ABS(J4932-L4932)&lt;0.005,"ตรงกัน","ไม่ตรง"))</f>
        <v/>
      </c>
      <c r="N4932" s="14">
        <f>IF(L4932="","",ROUND(L4932*'สรุป'!$C$6,-1))</f>
        <v/>
      </c>
      <c r="O4932" s="15" t="n"/>
      <c r="P4932" s="15" t="n"/>
      <c r="Q4932" s="10" t="n"/>
      <c r="R4932" s="10" t="n"/>
      <c r="S4932" s="16" t="inlineStr">
        <is>
          <t>https://mstgolf.co.th/products/gf2020102026</t>
        </is>
      </c>
      <c r="T4932" s="1">
        <f>IF(B4932="ไม้กอล์ฟ",J4932,"")</f>
        <v/>
      </c>
    </row>
    <row r="4933">
      <c r="A4933" s="1" t="n">
        <v>3</v>
      </c>
      <c r="B4933" s="1" t="inlineStr">
        <is>
          <t>เสื้อผ้า</t>
        </is>
      </c>
      <c r="C4933" s="1" t="inlineStr">
        <is>
          <t>gf2020102027</t>
        </is>
      </c>
      <c r="D4933" s="1" t="inlineStr">
        <is>
          <t>PUMA Dealer 5-Pocket Men's Pants (Navy Blazer)</t>
        </is>
      </c>
      <c r="E4933" s="1" t="inlineStr">
        <is>
          <t>PUMA</t>
        </is>
      </c>
      <c r="F4933" s="1" t="inlineStr">
        <is>
          <t>LONG PANTS</t>
        </is>
      </c>
      <c r="G4933" s="1" t="inlineStr">
        <is>
          <t>GF202010202728</t>
        </is>
      </c>
      <c r="H4933" s="1" t="n">
        <v>7</v>
      </c>
      <c r="I4933" s="1" t="inlineStr">
        <is>
          <t>หมด</t>
        </is>
      </c>
      <c r="J4933" s="13" t="n">
        <v>65</v>
      </c>
      <c r="K4933" s="1" t="inlineStr"/>
      <c r="L4933" s="13" t="n">
        <v>65</v>
      </c>
      <c r="M4933" s="1">
        <f>IF(L4933="","ไม่พบใน SG",IF(ABS(J4933-L4933)&lt;0.005,"ตรงกัน","ไม่ตรง"))</f>
        <v/>
      </c>
      <c r="N4933" s="14">
        <f>IF(L4933="","",ROUND(L4933*'สรุป'!$C$6,-1))</f>
        <v/>
      </c>
      <c r="O4933" s="15" t="n"/>
      <c r="P4933" s="15" t="n"/>
      <c r="Q4933" s="10" t="n"/>
      <c r="R4933" s="10" t="n"/>
      <c r="S4933" s="16" t="inlineStr">
        <is>
          <t>https://mstgolf.co.th/products/gf2020102027</t>
        </is>
      </c>
      <c r="T4933" s="1">
        <f>IF(B4933="ไม้กอล์ฟ",J4933,"")</f>
        <v/>
      </c>
    </row>
    <row r="4934">
      <c r="A4934" s="1" t="n">
        <v>3</v>
      </c>
      <c r="B4934" s="1" t="inlineStr">
        <is>
          <t>เสื้อผ้า</t>
        </is>
      </c>
      <c r="C4934" s="1" t="inlineStr">
        <is>
          <t>gf2040117420</t>
        </is>
      </c>
      <c r="D4934" s="1" t="inlineStr">
        <is>
          <t>PUMA x Arnold Palmer Jacquard Men's Striped Polo (Pale Pink)</t>
        </is>
      </c>
      <c r="E4934" s="1" t="inlineStr">
        <is>
          <t>PUMA</t>
        </is>
      </c>
      <c r="F4934" s="1" t="inlineStr">
        <is>
          <t>SHORT SLEEVES</t>
        </is>
      </c>
      <c r="G4934" s="1" t="inlineStr">
        <is>
          <t>GF2040117420S</t>
        </is>
      </c>
      <c r="H4934" s="1" t="n">
        <v>5</v>
      </c>
      <c r="I4934" s="1" t="inlineStr">
        <is>
          <t>หมด</t>
        </is>
      </c>
      <c r="J4934" s="13" t="n">
        <v>65</v>
      </c>
      <c r="K4934" s="1" t="inlineStr"/>
      <c r="L4934" s="13" t="n"/>
      <c r="M4934" s="1">
        <f>IF(L4934="","ไม่พบใน SG",IF(ABS(J4934-L4934)&lt;0.005,"ตรงกัน","ไม่ตรง"))</f>
        <v/>
      </c>
      <c r="N4934" s="14">
        <f>IF(L4934="","",ROUND(L4934*'สรุป'!$C$6,-1))</f>
        <v/>
      </c>
      <c r="O4934" s="15" t="n"/>
      <c r="P4934" s="15" t="n"/>
      <c r="Q4934" s="10" t="n"/>
      <c r="R4934" s="10" t="n"/>
      <c r="S4934" s="16" t="inlineStr">
        <is>
          <t>https://mstgolf.co.th/products/gf2040117420</t>
        </is>
      </c>
      <c r="T4934" s="1">
        <f>IF(B4934="ไม้กอล์ฟ",J4934,"")</f>
        <v/>
      </c>
    </row>
    <row r="4935">
      <c r="A4935" s="1" t="n">
        <v>3</v>
      </c>
      <c r="B4935" s="1" t="inlineStr">
        <is>
          <t>อุปกรณ์เสริม</t>
        </is>
      </c>
      <c r="C4935" s="1" t="inlineStr">
        <is>
          <t>gf3150100199</t>
        </is>
      </c>
      <c r="D4935" s="1" t="inlineStr">
        <is>
          <t>TAYLORMADE Single Canopy Umbrella (Black/White)</t>
        </is>
      </c>
      <c r="E4935" s="1" t="inlineStr">
        <is>
          <t>TAYLORMADE</t>
        </is>
      </c>
      <c r="F4935" s="1" t="inlineStr">
        <is>
          <t>UMBRELLA</t>
        </is>
      </c>
      <c r="G4935" s="1" t="inlineStr">
        <is>
          <t>GF3150100199</t>
        </is>
      </c>
      <c r="H4935" s="1" t="n">
        <v>1</v>
      </c>
      <c r="I4935" s="1" t="inlineStr">
        <is>
          <t>หมด</t>
        </is>
      </c>
      <c r="J4935" s="13" t="n">
        <v>65</v>
      </c>
      <c r="K4935" s="1" t="inlineStr"/>
      <c r="L4935" s="13" t="n">
        <v>65</v>
      </c>
      <c r="M4935" s="1">
        <f>IF(L4935="","ไม่พบใน SG",IF(ABS(J4935-L4935)&lt;0.005,"ตรงกัน","ไม่ตรง"))</f>
        <v/>
      </c>
      <c r="N4935" s="14">
        <f>IF(L4935="","",ROUND(L4935*'สรุป'!$C$6,-1))</f>
        <v/>
      </c>
      <c r="O4935" s="15" t="n"/>
      <c r="P4935" s="15" t="n"/>
      <c r="Q4935" s="10" t="n"/>
      <c r="R4935" s="10" t="n"/>
      <c r="S4935" s="16" t="inlineStr">
        <is>
          <t>https://mstgolf.co.th/products/gf3150100199</t>
        </is>
      </c>
      <c r="T4935" s="1">
        <f>IF(B4935="ไม้กอล์ฟ",J4935,"")</f>
        <v/>
      </c>
    </row>
    <row r="4936">
      <c r="A4936" s="1" t="n">
        <v>3</v>
      </c>
      <c r="B4936" s="1" t="inlineStr">
        <is>
          <t>อุปกรณ์เสริม</t>
        </is>
      </c>
      <c r="C4936" s="1" t="inlineStr">
        <is>
          <t>gf3500201580</t>
        </is>
      </c>
      <c r="D4936" s="1" t="inlineStr">
        <is>
          <t>TAYLORMADE x United Arrows Driver Headcover</t>
        </is>
      </c>
      <c r="E4936" s="1" t="inlineStr">
        <is>
          <t>TAYLORMADE</t>
        </is>
      </c>
      <c r="F4936" s="1" t="inlineStr">
        <is>
          <t>HEADCOVERS</t>
        </is>
      </c>
      <c r="G4936" s="1" t="inlineStr">
        <is>
          <t>GF3500201580</t>
        </is>
      </c>
      <c r="H4936" s="1" t="n">
        <v>1</v>
      </c>
      <c r="I4936" s="1" t="inlineStr">
        <is>
          <t>หมด</t>
        </is>
      </c>
      <c r="J4936" s="13" t="n">
        <v>65</v>
      </c>
      <c r="K4936" s="1" t="inlineStr"/>
      <c r="L4936" s="13" t="n">
        <v>65</v>
      </c>
      <c r="M4936" s="1">
        <f>IF(L4936="","ไม่พบใน SG",IF(ABS(J4936-L4936)&lt;0.005,"ตรงกัน","ไม่ตรง"))</f>
        <v/>
      </c>
      <c r="N4936" s="14">
        <f>IF(L4936="","",ROUND(L4936*'สรุป'!$C$6,-1))</f>
        <v/>
      </c>
      <c r="O4936" s="15" t="n"/>
      <c r="P4936" s="15" t="n"/>
      <c r="Q4936" s="10" t="n"/>
      <c r="R4936" s="10" t="n"/>
      <c r="S4936" s="16" t="inlineStr">
        <is>
          <t>https://mstgolf.co.th/products/gf3500201580</t>
        </is>
      </c>
      <c r="T4936" s="1">
        <f>IF(B4936="ไม้กอล์ฟ",J4936,"")</f>
        <v/>
      </c>
    </row>
    <row r="4937">
      <c r="A4937" s="1" t="n">
        <v>3</v>
      </c>
      <c r="B4937" s="1" t="inlineStr">
        <is>
          <t>อุปกรณ์เสริม</t>
        </is>
      </c>
      <c r="C4937" s="1" t="inlineStr">
        <is>
          <t>gf3500201581</t>
        </is>
      </c>
      <c r="D4937" s="1" t="inlineStr">
        <is>
          <t>TAYLORMADE x United Arrows Fairway Headcover</t>
        </is>
      </c>
      <c r="E4937" s="1" t="inlineStr">
        <is>
          <t>TAYLORMADE</t>
        </is>
      </c>
      <c r="F4937" s="1" t="inlineStr">
        <is>
          <t>HEADCOVERS</t>
        </is>
      </c>
      <c r="G4937" s="1" t="inlineStr">
        <is>
          <t>GF3500201581</t>
        </is>
      </c>
      <c r="H4937" s="1" t="n">
        <v>1</v>
      </c>
      <c r="I4937" s="1" t="inlineStr">
        <is>
          <t>หมด</t>
        </is>
      </c>
      <c r="J4937" s="13" t="n">
        <v>65</v>
      </c>
      <c r="K4937" s="1" t="inlineStr"/>
      <c r="L4937" s="13" t="n">
        <v>65</v>
      </c>
      <c r="M4937" s="1">
        <f>IF(L4937="","ไม่พบใน SG",IF(ABS(J4937-L4937)&lt;0.005,"ตรงกัน","ไม่ตรง"))</f>
        <v/>
      </c>
      <c r="N4937" s="14">
        <f>IF(L4937="","",ROUND(L4937*'สรุป'!$C$6,-1))</f>
        <v/>
      </c>
      <c r="O4937" s="15" t="n"/>
      <c r="P4937" s="15" t="n"/>
      <c r="Q4937" s="10" t="n"/>
      <c r="R4937" s="10" t="n"/>
      <c r="S4937" s="16" t="inlineStr">
        <is>
          <t>https://mstgolf.co.th/products/gf3500201581</t>
        </is>
      </c>
      <c r="T4937" s="1">
        <f>IF(B4937="ไม้กอล์ฟ",J4937,"")</f>
        <v/>
      </c>
    </row>
    <row r="4938">
      <c r="A4938" s="1" t="n">
        <v>3</v>
      </c>
      <c r="B4938" s="1" t="inlineStr">
        <is>
          <t>อุปกรณ์เสริม</t>
        </is>
      </c>
      <c r="C4938" s="1" t="inlineStr">
        <is>
          <t>gf3500201583</t>
        </is>
      </c>
      <c r="D4938" s="1" t="inlineStr">
        <is>
          <t>TAYLORMADE x United Arrows Putter Headcover</t>
        </is>
      </c>
      <c r="E4938" s="1" t="inlineStr">
        <is>
          <t>TAYLORMADE</t>
        </is>
      </c>
      <c r="F4938" s="1" t="inlineStr">
        <is>
          <t>HEADCOVERS</t>
        </is>
      </c>
      <c r="G4938" s="1" t="inlineStr">
        <is>
          <t>GF3500201583</t>
        </is>
      </c>
      <c r="H4938" s="1" t="n">
        <v>1</v>
      </c>
      <c r="I4938" s="1" t="inlineStr">
        <is>
          <t>หมด</t>
        </is>
      </c>
      <c r="J4938" s="13" t="n">
        <v>65</v>
      </c>
      <c r="K4938" s="1" t="inlineStr"/>
      <c r="L4938" s="13" t="n">
        <v>65</v>
      </c>
      <c r="M4938" s="1">
        <f>IF(L4938="","ไม่พบใน SG",IF(ABS(J4938-L4938)&lt;0.005,"ตรงกัน","ไม่ตรง"))</f>
        <v/>
      </c>
      <c r="N4938" s="14">
        <f>IF(L4938="","",ROUND(L4938*'สรุป'!$C$6,-1))</f>
        <v/>
      </c>
      <c r="O4938" s="15" t="n"/>
      <c r="P4938" s="15" t="n"/>
      <c r="Q4938" s="10" t="n"/>
      <c r="R4938" s="10" t="n"/>
      <c r="S4938" s="16" t="inlineStr">
        <is>
          <t>https://mstgolf.co.th/products/gf3500201583</t>
        </is>
      </c>
      <c r="T4938" s="1">
        <f>IF(B4938="ไม้กอล์ฟ",J4938,"")</f>
        <v/>
      </c>
    </row>
    <row r="4939">
      <c r="A4939" s="1" t="n">
        <v>3</v>
      </c>
      <c r="B4939" s="1" t="inlineStr">
        <is>
          <t>อุปกรณ์เสริม</t>
        </is>
      </c>
      <c r="C4939" s="1" t="inlineStr">
        <is>
          <t>gf3500201582</t>
        </is>
      </c>
      <c r="D4939" s="1" t="inlineStr">
        <is>
          <t>TAYLORMADE x United Arrows Utility Headcover</t>
        </is>
      </c>
      <c r="E4939" s="1" t="inlineStr">
        <is>
          <t>TAYLORMADE</t>
        </is>
      </c>
      <c r="F4939" s="1" t="inlineStr">
        <is>
          <t>HEADCOVERS</t>
        </is>
      </c>
      <c r="G4939" s="1" t="inlineStr">
        <is>
          <t>GF3500201582</t>
        </is>
      </c>
      <c r="H4939" s="1" t="n">
        <v>1</v>
      </c>
      <c r="I4939" s="1" t="inlineStr">
        <is>
          <t>หมด</t>
        </is>
      </c>
      <c r="J4939" s="13" t="n">
        <v>65</v>
      </c>
      <c r="K4939" s="1" t="inlineStr"/>
      <c r="L4939" s="13" t="n">
        <v>65</v>
      </c>
      <c r="M4939" s="1">
        <f>IF(L4939="","ไม่พบใน SG",IF(ABS(J4939-L4939)&lt;0.005,"ตรงกัน","ไม่ตรง"))</f>
        <v/>
      </c>
      <c r="N4939" s="14">
        <f>IF(L4939="","",ROUND(L4939*'สรุป'!$C$6,-1))</f>
        <v/>
      </c>
      <c r="O4939" s="15" t="n"/>
      <c r="P4939" s="15" t="n"/>
      <c r="Q4939" s="10" t="n"/>
      <c r="R4939" s="10" t="n"/>
      <c r="S4939" s="16" t="inlineStr">
        <is>
          <t>https://mstgolf.co.th/products/gf3500201582</t>
        </is>
      </c>
      <c r="T4939" s="1">
        <f>IF(B4939="ไม้กอล์ฟ",J4939,"")</f>
        <v/>
      </c>
    </row>
    <row r="4940">
      <c r="A4940" s="1" t="n">
        <v>3</v>
      </c>
      <c r="B4940" s="1" t="inlineStr">
        <is>
          <t>เสื้อผ้า</t>
        </is>
      </c>
      <c r="C4940" s="1" t="inlineStr">
        <is>
          <t>gf2020102224</t>
        </is>
      </c>
      <c r="D4940" s="1" t="inlineStr">
        <is>
          <t>UNDER ARMOUR Boy's Golf Jogger (Black)</t>
        </is>
      </c>
      <c r="E4940" s="1" t="inlineStr">
        <is>
          <t>UNDER ARMOUR</t>
        </is>
      </c>
      <c r="F4940" s="1" t="inlineStr">
        <is>
          <t>LONG PANTS</t>
        </is>
      </c>
      <c r="G4940" s="1" t="inlineStr">
        <is>
          <t>GF2020102224XS</t>
        </is>
      </c>
      <c r="H4940" s="1" t="n">
        <v>5</v>
      </c>
      <c r="I4940" s="1" t="inlineStr">
        <is>
          <t>หมด</t>
        </is>
      </c>
      <c r="J4940" s="13" t="n">
        <v>65</v>
      </c>
      <c r="K4940" s="1" t="inlineStr"/>
      <c r="L4940" s="13" t="n"/>
      <c r="M4940" s="1">
        <f>IF(L4940="","ไม่พบใน SG",IF(ABS(J4940-L4940)&lt;0.005,"ตรงกัน","ไม่ตรง"))</f>
        <v/>
      </c>
      <c r="N4940" s="14">
        <f>IF(L4940="","",ROUND(L4940*'สรุป'!$C$6,-1))</f>
        <v/>
      </c>
      <c r="O4940" s="15" t="n"/>
      <c r="P4940" s="15" t="n"/>
      <c r="Q4940" s="10" t="n"/>
      <c r="R4940" s="10" t="n"/>
      <c r="S4940" s="16" t="inlineStr">
        <is>
          <t>https://mstgolf.co.th/products/gf2020102224</t>
        </is>
      </c>
      <c r="T4940" s="1">
        <f>IF(B4940="ไม้กอล์ฟ",J4940,"")</f>
        <v/>
      </c>
    </row>
    <row r="4941">
      <c r="A4941" s="1" t="n">
        <v>3</v>
      </c>
      <c r="B4941" s="1" t="inlineStr">
        <is>
          <t>เสื้อผ้า</t>
        </is>
      </c>
      <c r="C4941" s="1" t="inlineStr">
        <is>
          <t>gf2040119205</t>
        </is>
      </c>
      <c r="D4941" s="1" t="inlineStr">
        <is>
          <t>UNDER ARMOUR Playoff 3.0 Men's Printed Polo (Navy/Grey)</t>
        </is>
      </c>
      <c r="E4941" s="1" t="inlineStr">
        <is>
          <t>UNDER ARMOUR</t>
        </is>
      </c>
      <c r="F4941" s="1" t="inlineStr">
        <is>
          <t>SHORT SLEEVES</t>
        </is>
      </c>
      <c r="G4941" s="1" t="inlineStr">
        <is>
          <t>GF2040119205S</t>
        </is>
      </c>
      <c r="H4941" s="1" t="n">
        <v>5</v>
      </c>
      <c r="I4941" s="1" t="inlineStr">
        <is>
          <t>หมด</t>
        </is>
      </c>
      <c r="J4941" s="13" t="n">
        <v>65</v>
      </c>
      <c r="K4941" s="1" t="inlineStr"/>
      <c r="L4941" s="13" t="n"/>
      <c r="M4941" s="1">
        <f>IF(L4941="","ไม่พบใน SG",IF(ABS(J4941-L4941)&lt;0.005,"ตรงกัน","ไม่ตรง"))</f>
        <v/>
      </c>
      <c r="N4941" s="14">
        <f>IF(L4941="","",ROUND(L4941*'สรุป'!$C$6,-1))</f>
        <v/>
      </c>
      <c r="O4941" s="15" t="n"/>
      <c r="P4941" s="15" t="n"/>
      <c r="Q4941" s="10" t="n"/>
      <c r="R4941" s="10" t="n"/>
      <c r="S4941" s="16" t="inlineStr">
        <is>
          <t>https://mstgolf.co.th/products/gf2040119205</t>
        </is>
      </c>
      <c r="T4941" s="1">
        <f>IF(B4941="ไม้กอล์ฟ",J4941,"")</f>
        <v/>
      </c>
    </row>
    <row r="4942">
      <c r="A4942" s="1" t="n">
        <v>3</v>
      </c>
      <c r="B4942" s="1" t="inlineStr">
        <is>
          <t>เสื้อผ้า</t>
        </is>
      </c>
      <c r="C4942" s="1" t="inlineStr">
        <is>
          <t>gf2040117658</t>
        </is>
      </c>
      <c r="D4942" s="1" t="inlineStr">
        <is>
          <t>UNDER ARMOUR Playoff 3.0 Men's Printed Polo (White/Blue)</t>
        </is>
      </c>
      <c r="E4942" s="1" t="inlineStr">
        <is>
          <t>UNDER ARMOUR</t>
        </is>
      </c>
      <c r="F4942" s="1" t="inlineStr">
        <is>
          <t>SHORT SLEEVES</t>
        </is>
      </c>
      <c r="G4942" s="1" t="inlineStr">
        <is>
          <t>GF2040117658S</t>
        </is>
      </c>
      <c r="H4942" s="1" t="n">
        <v>5</v>
      </c>
      <c r="I4942" s="1" t="inlineStr">
        <is>
          <t>หมด</t>
        </is>
      </c>
      <c r="J4942" s="13" t="n">
        <v>65</v>
      </c>
      <c r="K4942" s="1" t="inlineStr"/>
      <c r="L4942" s="13" t="n"/>
      <c r="M4942" s="1">
        <f>IF(L4942="","ไม่พบใน SG",IF(ABS(J4942-L4942)&lt;0.005,"ตรงกัน","ไม่ตรง"))</f>
        <v/>
      </c>
      <c r="N4942" s="14">
        <f>IF(L4942="","",ROUND(L4942*'สรุป'!$C$6,-1))</f>
        <v/>
      </c>
      <c r="O4942" s="15" t="n"/>
      <c r="P4942" s="15" t="n"/>
      <c r="Q4942" s="10" t="n"/>
      <c r="R4942" s="10" t="n"/>
      <c r="S4942" s="16" t="inlineStr">
        <is>
          <t>https://mstgolf.co.th/products/gf2040117658</t>
        </is>
      </c>
      <c r="T4942" s="1">
        <f>IF(B4942="ไม้กอล์ฟ",J4942,"")</f>
        <v/>
      </c>
    </row>
    <row r="4943">
      <c r="A4943" s="1" t="n">
        <v>3</v>
      </c>
      <c r="B4943" s="1" t="inlineStr">
        <is>
          <t>เสื้อผ้า</t>
        </is>
      </c>
      <c r="C4943" s="1" t="inlineStr">
        <is>
          <t>gf2040118298</t>
        </is>
      </c>
      <c r="D4943" s="1" t="inlineStr">
        <is>
          <t>UNDER ARMOUR Playoff 3.0 Printed Men's Polo (Navy/Green)</t>
        </is>
      </c>
      <c r="E4943" s="1" t="inlineStr">
        <is>
          <t>UNDER ARMOUR</t>
        </is>
      </c>
      <c r="F4943" s="1" t="inlineStr">
        <is>
          <t>SHORT SLEEVES</t>
        </is>
      </c>
      <c r="G4943" s="1" t="inlineStr">
        <is>
          <t>GF2040118298S</t>
        </is>
      </c>
      <c r="H4943" s="1" t="n">
        <v>5</v>
      </c>
      <c r="I4943" s="1" t="inlineStr">
        <is>
          <t>หมด</t>
        </is>
      </c>
      <c r="J4943" s="13" t="n">
        <v>65</v>
      </c>
      <c r="K4943" s="1" t="inlineStr"/>
      <c r="L4943" s="13" t="n">
        <v>65</v>
      </c>
      <c r="M4943" s="1">
        <f>IF(L4943="","ไม่พบใน SG",IF(ABS(J4943-L4943)&lt;0.005,"ตรงกัน","ไม่ตรง"))</f>
        <v/>
      </c>
      <c r="N4943" s="14">
        <f>IF(L4943="","",ROUND(L4943*'สรุป'!$C$6,-1))</f>
        <v/>
      </c>
      <c r="O4943" s="15" t="n"/>
      <c r="P4943" s="15" t="n"/>
      <c r="Q4943" s="10" t="n"/>
      <c r="R4943" s="10" t="n"/>
      <c r="S4943" s="16" t="inlineStr">
        <is>
          <t>https://mstgolf.co.th/products/gf2040118298</t>
        </is>
      </c>
      <c r="T4943" s="1">
        <f>IF(B4943="ไม้กอล์ฟ",J4943,"")</f>
        <v/>
      </c>
    </row>
    <row r="4944">
      <c r="A4944" s="1" t="n">
        <v>3</v>
      </c>
      <c r="B4944" s="1" t="inlineStr">
        <is>
          <t>เสื้อผ้า</t>
        </is>
      </c>
      <c r="C4944" s="1" t="inlineStr">
        <is>
          <t>gf2040116772</t>
        </is>
      </c>
      <c r="D4944" s="1" t="inlineStr">
        <is>
          <t>UNDER ARMOUR Playoff Women's Polo (Pink Fizz)</t>
        </is>
      </c>
      <c r="E4944" s="1" t="inlineStr">
        <is>
          <t>UNDER ARMOUR</t>
        </is>
      </c>
      <c r="F4944" s="1" t="inlineStr">
        <is>
          <t>SHORT SLEEVES</t>
        </is>
      </c>
      <c r="G4944" s="1" t="inlineStr">
        <is>
          <t>GF2040116772XS</t>
        </is>
      </c>
      <c r="H4944" s="1" t="n">
        <v>6</v>
      </c>
      <c r="I4944" s="1" t="inlineStr">
        <is>
          <t>หมด</t>
        </is>
      </c>
      <c r="J4944" s="13" t="n">
        <v>65</v>
      </c>
      <c r="K4944" s="1" t="inlineStr"/>
      <c r="L4944" s="13" t="n"/>
      <c r="M4944" s="1">
        <f>IF(L4944="","ไม่พบใน SG",IF(ABS(J4944-L4944)&lt;0.005,"ตรงกัน","ไม่ตรง"))</f>
        <v/>
      </c>
      <c r="N4944" s="14">
        <f>IF(L4944="","",ROUND(L4944*'สรุป'!$C$6,-1))</f>
        <v/>
      </c>
      <c r="O4944" s="15" t="n"/>
      <c r="P4944" s="15" t="n"/>
      <c r="Q4944" s="10" t="n"/>
      <c r="R4944" s="10" t="n"/>
      <c r="S4944" s="16" t="inlineStr">
        <is>
          <t>https://mstgolf.co.th/products/gf2040116772</t>
        </is>
      </c>
      <c r="T4944" s="1">
        <f>IF(B4944="ไม้กอล์ฟ",J4944,"")</f>
        <v/>
      </c>
    </row>
    <row r="4945">
      <c r="A4945" s="1" t="n">
        <v>3</v>
      </c>
      <c r="B4945" s="1" t="inlineStr">
        <is>
          <t>อุปกรณ์เสริม</t>
        </is>
      </c>
      <c r="C4945" s="1" t="inlineStr">
        <is>
          <t>gf3150100323</t>
        </is>
      </c>
      <c r="D4945" s="1" t="inlineStr">
        <is>
          <t>SUN MOUNTAIN 68" Double Canopy Umbrella (Silver)</t>
        </is>
      </c>
      <c r="E4945" s="1" t="inlineStr">
        <is>
          <t>SUN MOUNTAIN</t>
        </is>
      </c>
      <c r="F4945" s="1" t="inlineStr">
        <is>
          <t>UMBRELLA</t>
        </is>
      </c>
      <c r="G4945" s="1" t="inlineStr">
        <is>
          <t>GF3150100323</t>
        </is>
      </c>
      <c r="H4945" s="1" t="n">
        <v>1</v>
      </c>
      <c r="I4945" s="1" t="inlineStr">
        <is>
          <t>หมด</t>
        </is>
      </c>
      <c r="J4945" s="13" t="n">
        <v>63</v>
      </c>
      <c r="K4945" s="1" t="inlineStr"/>
      <c r="L4945" s="13" t="n">
        <v>63</v>
      </c>
      <c r="M4945" s="1">
        <f>IF(L4945="","ไม่พบใน SG",IF(ABS(J4945-L4945)&lt;0.005,"ตรงกัน","ไม่ตรง"))</f>
        <v/>
      </c>
      <c r="N4945" s="14">
        <f>IF(L4945="","",ROUND(L4945*'สรุป'!$C$6,-1))</f>
        <v/>
      </c>
      <c r="O4945" s="15" t="n"/>
      <c r="P4945" s="15" t="n"/>
      <c r="Q4945" s="10" t="n"/>
      <c r="R4945" s="10" t="n"/>
      <c r="S4945" s="16" t="inlineStr">
        <is>
          <t>https://mstgolf.co.th/products/gf3150100323</t>
        </is>
      </c>
      <c r="T4945" s="1">
        <f>IF(B4945="ไม้กอล์ฟ",J4945,"")</f>
        <v/>
      </c>
    </row>
    <row r="4946">
      <c r="A4946" s="1" t="n">
        <v>3</v>
      </c>
      <c r="B4946" s="1" t="inlineStr">
        <is>
          <t>อุปกรณ์เสริม</t>
        </is>
      </c>
      <c r="C4946" s="1" t="inlineStr">
        <is>
          <t>gf2080101313</t>
        </is>
      </c>
      <c r="D4946" s="1" t="inlineStr">
        <is>
          <t>ADIDAS Braided Stretch Men's Belt (Black)</t>
        </is>
      </c>
      <c r="E4946" s="1" t="inlineStr">
        <is>
          <t>ADIDAS</t>
        </is>
      </c>
      <c r="F4946" s="1" t="inlineStr">
        <is>
          <t>BELT</t>
        </is>
      </c>
      <c r="G4946" s="1" t="inlineStr">
        <is>
          <t>GF2080101313S/M</t>
        </is>
      </c>
      <c r="H4946" s="1" t="n">
        <v>3</v>
      </c>
      <c r="I4946" s="1" t="inlineStr">
        <is>
          <t>หมด</t>
        </is>
      </c>
      <c r="J4946" s="13" t="n">
        <v>60</v>
      </c>
      <c r="K4946" s="1" t="inlineStr"/>
      <c r="L4946" s="13" t="n"/>
      <c r="M4946" s="1">
        <f>IF(L4946="","ไม่พบใน SG",IF(ABS(J4946-L4946)&lt;0.005,"ตรงกัน","ไม่ตรง"))</f>
        <v/>
      </c>
      <c r="N4946" s="14">
        <f>IF(L4946="","",ROUND(L4946*'สรุป'!$C$6,-1))</f>
        <v/>
      </c>
      <c r="O4946" s="15" t="n"/>
      <c r="P4946" s="15" t="n"/>
      <c r="Q4946" s="10" t="n"/>
      <c r="R4946" s="10" t="n"/>
      <c r="S4946" s="16" t="inlineStr">
        <is>
          <t>https://mstgolf.co.th/products/gf2080101313</t>
        </is>
      </c>
      <c r="T4946" s="1">
        <f>IF(B4946="ไม้กอล์ฟ",J4946,"")</f>
        <v/>
      </c>
    </row>
    <row r="4947">
      <c r="A4947" s="1" t="n">
        <v>3</v>
      </c>
      <c r="B4947" s="1" t="inlineStr">
        <is>
          <t>เสื้อผ้า</t>
        </is>
      </c>
      <c r="C4947" s="1" t="inlineStr">
        <is>
          <t>gf2020202658</t>
        </is>
      </c>
      <c r="D4947" s="1" t="inlineStr">
        <is>
          <t>ADIDAS Four-Way Stretch Skirt (White)</t>
        </is>
      </c>
      <c r="E4947" s="1" t="inlineStr">
        <is>
          <t>ADIDAS</t>
        </is>
      </c>
      <c r="F4947" s="1" t="inlineStr">
        <is>
          <t>SHORT PANTS</t>
        </is>
      </c>
      <c r="G4947" s="1" t="inlineStr">
        <is>
          <t>GF20202026582XS</t>
        </is>
      </c>
      <c r="H4947" s="1" t="n">
        <v>7</v>
      </c>
      <c r="I4947" s="1" t="inlineStr">
        <is>
          <t>หมด</t>
        </is>
      </c>
      <c r="J4947" s="13" t="n">
        <v>59</v>
      </c>
      <c r="K4947" s="1" t="inlineStr"/>
      <c r="L4947" s="13" t="n"/>
      <c r="M4947" s="1">
        <f>IF(L4947="","ไม่พบใน SG",IF(ABS(J4947-L4947)&lt;0.005,"ตรงกัน","ไม่ตรง"))</f>
        <v/>
      </c>
      <c r="N4947" s="14">
        <f>IF(L4947="","",ROUND(L4947*'สรุป'!$C$6,-1))</f>
        <v/>
      </c>
      <c r="O4947" s="15" t="n"/>
      <c r="P4947" s="15" t="n"/>
      <c r="Q4947" s="10" t="n"/>
      <c r="R4947" s="10" t="n"/>
      <c r="S4947" s="16" t="inlineStr">
        <is>
          <t>https://mstgolf.co.th/products/gf2020202658</t>
        </is>
      </c>
      <c r="T4947" s="1">
        <f>IF(B4947="ไม้กอล์ฟ",J4947,"")</f>
        <v/>
      </c>
    </row>
    <row r="4948">
      <c r="A4948" s="1" t="n">
        <v>3</v>
      </c>
      <c r="B4948" s="1" t="inlineStr">
        <is>
          <t>หมวก</t>
        </is>
      </c>
      <c r="C4948" s="1" t="inlineStr">
        <is>
          <t>gf2000105829</t>
        </is>
      </c>
      <c r="D4948" s="1" t="inlineStr">
        <is>
          <t>BOSS GOLF Double B Unisex Cap (Black)</t>
        </is>
      </c>
      <c r="E4948" s="1" t="inlineStr">
        <is>
          <t>BOSS GOLF</t>
        </is>
      </c>
      <c r="F4948" s="1" t="inlineStr">
        <is>
          <t>CAP</t>
        </is>
      </c>
      <c r="G4948" s="1" t="inlineStr">
        <is>
          <t>GF2000105829FS</t>
        </is>
      </c>
      <c r="H4948" s="1" t="n">
        <v>1</v>
      </c>
      <c r="I4948" s="1" t="inlineStr">
        <is>
          <t>หมด</t>
        </is>
      </c>
      <c r="J4948" s="13" t="n">
        <v>59</v>
      </c>
      <c r="K4948" s="1" t="inlineStr"/>
      <c r="L4948" s="13" t="n"/>
      <c r="M4948" s="1">
        <f>IF(L4948="","ไม่พบใน SG",IF(ABS(J4948-L4948)&lt;0.005,"ตรงกัน","ไม่ตรง"))</f>
        <v/>
      </c>
      <c r="N4948" s="14">
        <f>IF(L4948="","",ROUND(L4948*'สรุป'!$C$6,-1))</f>
        <v/>
      </c>
      <c r="O4948" s="15" t="n"/>
      <c r="P4948" s="15" t="n"/>
      <c r="Q4948" s="10" t="n"/>
      <c r="R4948" s="10" t="n"/>
      <c r="S4948" s="16" t="inlineStr">
        <is>
          <t>https://mstgolf.co.th/products/gf2000105829</t>
        </is>
      </c>
      <c r="T4948" s="1">
        <f>IF(B4948="ไม้กอล์ฟ",J4948,"")</f>
        <v/>
      </c>
    </row>
    <row r="4949">
      <c r="A4949" s="1" t="n">
        <v>3</v>
      </c>
      <c r="B4949" s="1" t="inlineStr">
        <is>
          <t>เสื้อผ้า</t>
        </is>
      </c>
      <c r="C4949" s="1" t="inlineStr">
        <is>
          <t>gf2040115378</t>
        </is>
      </c>
      <c r="D4949" s="1" t="inlineStr">
        <is>
          <t>CALVIN KLEIN Miles Men's Polo (Black)</t>
        </is>
      </c>
      <c r="E4949" s="1" t="inlineStr">
        <is>
          <t>CALVIN KLEIN</t>
        </is>
      </c>
      <c r="F4949" s="1" t="inlineStr">
        <is>
          <t>SHORT SLEEVES</t>
        </is>
      </c>
      <c r="G4949" s="1" t="inlineStr">
        <is>
          <t>GF2040115378S</t>
        </is>
      </c>
      <c r="H4949" s="1" t="n">
        <v>5</v>
      </c>
      <c r="I4949" s="1" t="inlineStr">
        <is>
          <t>หมด</t>
        </is>
      </c>
      <c r="J4949" s="13" t="n">
        <v>59</v>
      </c>
      <c r="K4949" s="1" t="inlineStr"/>
      <c r="L4949" s="13" t="n"/>
      <c r="M4949" s="1">
        <f>IF(L4949="","ไม่พบใน SG",IF(ABS(J4949-L4949)&lt;0.005,"ตรงกัน","ไม่ตรง"))</f>
        <v/>
      </c>
      <c r="N4949" s="14">
        <f>IF(L4949="","",ROUND(L4949*'สรุป'!$C$6,-1))</f>
        <v/>
      </c>
      <c r="O4949" s="15" t="n"/>
      <c r="P4949" s="15" t="n"/>
      <c r="Q4949" s="10" t="n"/>
      <c r="R4949" s="10" t="n"/>
      <c r="S4949" s="16" t="inlineStr">
        <is>
          <t>https://mstgolf.co.th/products/gf2040115378</t>
        </is>
      </c>
      <c r="T4949" s="1">
        <f>IF(B4949="ไม้กอล์ฟ",J4949,"")</f>
        <v/>
      </c>
    </row>
    <row r="4950">
      <c r="A4950" s="1" t="n">
        <v>3</v>
      </c>
      <c r="B4950" s="1" t="inlineStr">
        <is>
          <t>เสื้อผ้า</t>
        </is>
      </c>
      <c r="C4950" s="1" t="inlineStr">
        <is>
          <t>gf2040116925</t>
        </is>
      </c>
      <c r="D4950" s="1" t="inlineStr">
        <is>
          <t>FOOTJOY FootJoy Striped Lisle Men's Polo (Sapphire)</t>
        </is>
      </c>
      <c r="E4950" s="1" t="inlineStr">
        <is>
          <t>FOOTJOY</t>
        </is>
      </c>
      <c r="F4950" s="1" t="inlineStr">
        <is>
          <t>SHORT SLEEVES</t>
        </is>
      </c>
      <c r="G4950" s="1" t="inlineStr">
        <is>
          <t>GF2040116925S</t>
        </is>
      </c>
      <c r="H4950" s="1" t="n">
        <v>5</v>
      </c>
      <c r="I4950" s="1" t="inlineStr">
        <is>
          <t>หมด</t>
        </is>
      </c>
      <c r="J4950" s="13" t="n">
        <v>59</v>
      </c>
      <c r="K4950" s="1" t="inlineStr"/>
      <c r="L4950" s="13" t="n"/>
      <c r="M4950" s="1">
        <f>IF(L4950="","ไม่พบใน SG",IF(ABS(J4950-L4950)&lt;0.005,"ตรงกัน","ไม่ตรง"))</f>
        <v/>
      </c>
      <c r="N4950" s="14">
        <f>IF(L4950="","",ROUND(L4950*'สรุป'!$C$6,-1))</f>
        <v/>
      </c>
      <c r="O4950" s="15" t="n"/>
      <c r="P4950" s="15" t="n"/>
      <c r="Q4950" s="10" t="n"/>
      <c r="R4950" s="10" t="n"/>
      <c r="S4950" s="16" t="inlineStr">
        <is>
          <t>https://mstgolf.co.th/products/gf2040116925</t>
        </is>
      </c>
      <c r="T4950" s="1">
        <f>IF(B4950="ไม้กอล์ฟ",J4950,"")</f>
        <v/>
      </c>
    </row>
    <row r="4951">
      <c r="A4951" s="1" t="n">
        <v>3</v>
      </c>
      <c r="B4951" s="1" t="inlineStr">
        <is>
          <t>หมวก</t>
        </is>
      </c>
      <c r="C4951" s="1" t="inlineStr">
        <is>
          <t>gf2000105692</t>
        </is>
      </c>
      <c r="D4951" s="1" t="inlineStr">
        <is>
          <t>GFORE Monochrome Skull &amp; Tees Trucker Men's Cap (Charcoal)</t>
        </is>
      </c>
      <c r="E4951" s="1" t="inlineStr">
        <is>
          <t>GFORE</t>
        </is>
      </c>
      <c r="F4951" s="1" t="inlineStr">
        <is>
          <t>CAP</t>
        </is>
      </c>
      <c r="G4951" s="1" t="inlineStr">
        <is>
          <t>GF2000105692FS</t>
        </is>
      </c>
      <c r="H4951" s="1" t="n">
        <v>1</v>
      </c>
      <c r="I4951" s="1" t="inlineStr">
        <is>
          <t>หมด</t>
        </is>
      </c>
      <c r="J4951" s="13" t="n">
        <v>59</v>
      </c>
      <c r="K4951" s="1" t="inlineStr"/>
      <c r="L4951" s="13" t="n">
        <v>59</v>
      </c>
      <c r="M4951" s="1">
        <f>IF(L4951="","ไม่พบใน SG",IF(ABS(J4951-L4951)&lt;0.005,"ตรงกัน","ไม่ตรง"))</f>
        <v/>
      </c>
      <c r="N4951" s="14">
        <f>IF(L4951="","",ROUND(L4951*'สรุป'!$C$6,-1))</f>
        <v/>
      </c>
      <c r="O4951" s="15" t="n"/>
      <c r="P4951" s="15" t="n"/>
      <c r="Q4951" s="10" t="n"/>
      <c r="R4951" s="10" t="n"/>
      <c r="S4951" s="16" t="inlineStr">
        <is>
          <t>https://mstgolf.co.th/products/gf2000105692</t>
        </is>
      </c>
      <c r="T4951" s="1">
        <f>IF(B4951="ไม้กอล์ฟ",J4951,"")</f>
        <v/>
      </c>
    </row>
    <row r="4952">
      <c r="A4952" s="1" t="n">
        <v>3</v>
      </c>
      <c r="B4952" s="1" t="inlineStr">
        <is>
          <t>หมวก</t>
        </is>
      </c>
      <c r="C4952" s="1" t="inlineStr">
        <is>
          <t>gf2000105690</t>
        </is>
      </c>
      <c r="D4952" s="1" t="inlineStr">
        <is>
          <t>GFORE Stretch Twill Men's Cap (Blush)</t>
        </is>
      </c>
      <c r="E4952" s="1" t="inlineStr">
        <is>
          <t>GFORE</t>
        </is>
      </c>
      <c r="F4952" s="1" t="inlineStr">
        <is>
          <t>CAP</t>
        </is>
      </c>
      <c r="G4952" s="1" t="inlineStr">
        <is>
          <t>GF2000105690FS</t>
        </is>
      </c>
      <c r="H4952" s="1" t="n">
        <v>1</v>
      </c>
      <c r="I4952" s="1" t="inlineStr">
        <is>
          <t>หมด</t>
        </is>
      </c>
      <c r="J4952" s="13" t="n">
        <v>59</v>
      </c>
      <c r="K4952" s="1" t="inlineStr"/>
      <c r="L4952" s="13" t="n">
        <v>59</v>
      </c>
      <c r="M4952" s="1">
        <f>IF(L4952="","ไม่พบใน SG",IF(ABS(J4952-L4952)&lt;0.005,"ตรงกัน","ไม่ตรง"))</f>
        <v/>
      </c>
      <c r="N4952" s="14">
        <f>IF(L4952="","",ROUND(L4952*'สรุป'!$C$6,-1))</f>
        <v/>
      </c>
      <c r="O4952" s="15" t="n"/>
      <c r="P4952" s="15" t="n"/>
      <c r="Q4952" s="10" t="n"/>
      <c r="R4952" s="10" t="n"/>
      <c r="S4952" s="16" t="inlineStr">
        <is>
          <t>https://mstgolf.co.th/products/gf2000105690</t>
        </is>
      </c>
      <c r="T4952" s="1">
        <f>IF(B4952="ไม้กอล์ฟ",J4952,"")</f>
        <v/>
      </c>
    </row>
    <row r="4953">
      <c r="A4953" s="1" t="n">
        <v>3</v>
      </c>
      <c r="B4953" s="1" t="inlineStr">
        <is>
          <t>อุปกรณ์เสริม</t>
        </is>
      </c>
      <c r="C4953" s="1" t="inlineStr">
        <is>
          <t>gf3500201804</t>
        </is>
      </c>
      <c r="D4953" s="1" t="inlineStr">
        <is>
          <t>GOLF LITE Shaun The Sheep Driver Headcover</t>
        </is>
      </c>
      <c r="E4953" s="1" t="inlineStr">
        <is>
          <t>GOLF LITE</t>
        </is>
      </c>
      <c r="F4953" s="1" t="inlineStr">
        <is>
          <t>HEADCOVERS</t>
        </is>
      </c>
      <c r="G4953" s="1" t="inlineStr">
        <is>
          <t>GF3500201804</t>
        </is>
      </c>
      <c r="H4953" s="1" t="n">
        <v>1</v>
      </c>
      <c r="I4953" s="1" t="inlineStr">
        <is>
          <t>หมด</t>
        </is>
      </c>
      <c r="J4953" s="13" t="n">
        <v>59</v>
      </c>
      <c r="K4953" s="1" t="inlineStr"/>
      <c r="L4953" s="13" t="n">
        <v>59</v>
      </c>
      <c r="M4953" s="1">
        <f>IF(L4953="","ไม่พบใน SG",IF(ABS(J4953-L4953)&lt;0.005,"ตรงกัน","ไม่ตรง"))</f>
        <v/>
      </c>
      <c r="N4953" s="14">
        <f>IF(L4953="","",ROUND(L4953*'สรุป'!$C$6,-1))</f>
        <v/>
      </c>
      <c r="O4953" s="15" t="n"/>
      <c r="P4953" s="15" t="n"/>
      <c r="Q4953" s="10" t="n"/>
      <c r="R4953" s="10" t="n"/>
      <c r="S4953" s="16" t="inlineStr">
        <is>
          <t>https://mstgolf.co.th/products/gf3500201804</t>
        </is>
      </c>
      <c r="T4953" s="1">
        <f>IF(B4953="ไม้กอล์ฟ",J4953,"")</f>
        <v/>
      </c>
    </row>
    <row r="4954">
      <c r="A4954" s="1" t="n">
        <v>3</v>
      </c>
      <c r="B4954" s="1" t="inlineStr">
        <is>
          <t>อุปกรณ์เสริม</t>
        </is>
      </c>
      <c r="C4954" s="1" t="inlineStr">
        <is>
          <t>gf3500201803</t>
        </is>
      </c>
      <c r="D4954" s="1" t="inlineStr">
        <is>
          <t>GOLF LITE Ted 2 Driver Headcover</t>
        </is>
      </c>
      <c r="E4954" s="1" t="inlineStr">
        <is>
          <t>GOLF LITE</t>
        </is>
      </c>
      <c r="F4954" s="1" t="inlineStr">
        <is>
          <t>HEADCOVERS</t>
        </is>
      </c>
      <c r="G4954" s="1" t="inlineStr">
        <is>
          <t>GF3500201803</t>
        </is>
      </c>
      <c r="H4954" s="1" t="n">
        <v>1</v>
      </c>
      <c r="I4954" s="1" t="inlineStr">
        <is>
          <t>หมด</t>
        </is>
      </c>
      <c r="J4954" s="13" t="n">
        <v>59</v>
      </c>
      <c r="K4954" s="1" t="inlineStr"/>
      <c r="L4954" s="13" t="n">
        <v>59</v>
      </c>
      <c r="M4954" s="1">
        <f>IF(L4954="","ไม่พบใน SG",IF(ABS(J4954-L4954)&lt;0.005,"ตรงกัน","ไม่ตรง"))</f>
        <v/>
      </c>
      <c r="N4954" s="14">
        <f>IF(L4954="","",ROUND(L4954*'สรุป'!$C$6,-1))</f>
        <v/>
      </c>
      <c r="O4954" s="15" t="n"/>
      <c r="P4954" s="15" t="n"/>
      <c r="Q4954" s="10" t="n"/>
      <c r="R4954" s="10" t="n"/>
      <c r="S4954" s="16" t="inlineStr">
        <is>
          <t>https://mstgolf.co.th/products/gf3500201803</t>
        </is>
      </c>
      <c r="T4954" s="1">
        <f>IF(B4954="ไม้กอล์ฟ",J4954,"")</f>
        <v/>
      </c>
    </row>
    <row r="4955">
      <c r="A4955" s="1" t="n">
        <v>3</v>
      </c>
      <c r="B4955" s="1" t="inlineStr">
        <is>
          <t>อุปกรณ์เสริม</t>
        </is>
      </c>
      <c r="C4955" s="1" t="inlineStr">
        <is>
          <t>gf3500300872</t>
        </is>
      </c>
      <c r="D4955" s="1" t="inlineStr">
        <is>
          <t>KRAVE Bad Banana Driver Headcover</t>
        </is>
      </c>
      <c r="E4955" s="1" t="inlineStr">
        <is>
          <t>KRAVE</t>
        </is>
      </c>
      <c r="F4955" s="1" t="inlineStr">
        <is>
          <t>HEADCOVERS</t>
        </is>
      </c>
      <c r="G4955" s="1" t="inlineStr">
        <is>
          <t>GF3500300872</t>
        </is>
      </c>
      <c r="H4955" s="1" t="n">
        <v>1</v>
      </c>
      <c r="I4955" s="1" t="inlineStr">
        <is>
          <t>หมด</t>
        </is>
      </c>
      <c r="J4955" s="13" t="n">
        <v>59</v>
      </c>
      <c r="K4955" s="1" t="inlineStr"/>
      <c r="L4955" s="13" t="n">
        <v>59</v>
      </c>
      <c r="M4955" s="1">
        <f>IF(L4955="","ไม่พบใน SG",IF(ABS(J4955-L4955)&lt;0.005,"ตรงกัน","ไม่ตรง"))</f>
        <v/>
      </c>
      <c r="N4955" s="14">
        <f>IF(L4955="","",ROUND(L4955*'สรุป'!$C$6,-1))</f>
        <v/>
      </c>
      <c r="O4955" s="15" t="n"/>
      <c r="P4955" s="15" t="n"/>
      <c r="Q4955" s="10" t="n"/>
      <c r="R4955" s="10" t="n"/>
      <c r="S4955" s="16" t="inlineStr">
        <is>
          <t>https://mstgolf.co.th/products/gf3500300872</t>
        </is>
      </c>
      <c r="T4955" s="1">
        <f>IF(B4955="ไม้กอล์ฟ",J4955,"")</f>
        <v/>
      </c>
    </row>
    <row r="4956">
      <c r="A4956" s="1" t="n">
        <v>3</v>
      </c>
      <c r="B4956" s="1" t="inlineStr">
        <is>
          <t>อุปกรณ์เสริม</t>
        </is>
      </c>
      <c r="C4956" s="1" t="inlineStr">
        <is>
          <t>gf3500300873</t>
        </is>
      </c>
      <c r="D4956" s="1" t="inlineStr">
        <is>
          <t>KRAVE Bad Banana Fairway Headcover</t>
        </is>
      </c>
      <c r="E4956" s="1" t="inlineStr">
        <is>
          <t>KRAVE</t>
        </is>
      </c>
      <c r="F4956" s="1" t="inlineStr">
        <is>
          <t>HEADCOVERS</t>
        </is>
      </c>
      <c r="G4956" s="1" t="inlineStr">
        <is>
          <t>GF3500300873</t>
        </is>
      </c>
      <c r="H4956" s="1" t="n">
        <v>1</v>
      </c>
      <c r="I4956" s="1" t="inlineStr">
        <is>
          <t>หมด</t>
        </is>
      </c>
      <c r="J4956" s="13" t="n">
        <v>59</v>
      </c>
      <c r="K4956" s="1" t="inlineStr"/>
      <c r="L4956" s="13" t="n">
        <v>59</v>
      </c>
      <c r="M4956" s="1">
        <f>IF(L4956="","ไม่พบใน SG",IF(ABS(J4956-L4956)&lt;0.005,"ตรงกัน","ไม่ตรง"))</f>
        <v/>
      </c>
      <c r="N4956" s="14">
        <f>IF(L4956="","",ROUND(L4956*'สรุป'!$C$6,-1))</f>
        <v/>
      </c>
      <c r="O4956" s="15" t="n"/>
      <c r="P4956" s="15" t="n"/>
      <c r="Q4956" s="10" t="n"/>
      <c r="R4956" s="10" t="n"/>
      <c r="S4956" s="16" t="inlineStr">
        <is>
          <t>https://mstgolf.co.th/products/gf3500300873</t>
        </is>
      </c>
      <c r="T4956" s="1">
        <f>IF(B4956="ไม้กอล์ฟ",J4956,"")</f>
        <v/>
      </c>
    </row>
    <row r="4957">
      <c r="A4957" s="1" t="n">
        <v>3</v>
      </c>
      <c r="B4957" s="1" t="inlineStr">
        <is>
          <t>อุปกรณ์เสริม</t>
        </is>
      </c>
      <c r="C4957" s="1" t="inlineStr">
        <is>
          <t>gf3500300874</t>
        </is>
      </c>
      <c r="D4957" s="1" t="inlineStr">
        <is>
          <t>KRAVE Bad Banana Utility Headcover</t>
        </is>
      </c>
      <c r="E4957" s="1" t="inlineStr">
        <is>
          <t>KRAVE</t>
        </is>
      </c>
      <c r="F4957" s="1" t="inlineStr">
        <is>
          <t>HEADCOVERS</t>
        </is>
      </c>
      <c r="G4957" s="1" t="inlineStr">
        <is>
          <t>GF3500300874</t>
        </is>
      </c>
      <c r="H4957" s="1" t="n">
        <v>1</v>
      </c>
      <c r="I4957" s="1" t="inlineStr">
        <is>
          <t>หมด</t>
        </is>
      </c>
      <c r="J4957" s="13" t="n">
        <v>59</v>
      </c>
      <c r="K4957" s="1" t="inlineStr"/>
      <c r="L4957" s="13" t="n">
        <v>59</v>
      </c>
      <c r="M4957" s="1">
        <f>IF(L4957="","ไม่พบใน SG",IF(ABS(J4957-L4957)&lt;0.005,"ตรงกัน","ไม่ตรง"))</f>
        <v/>
      </c>
      <c r="N4957" s="14">
        <f>IF(L4957="","",ROUND(L4957*'สรุป'!$C$6,-1))</f>
        <v/>
      </c>
      <c r="O4957" s="15" t="n"/>
      <c r="P4957" s="15" t="n"/>
      <c r="Q4957" s="10" t="n"/>
      <c r="R4957" s="10" t="n"/>
      <c r="S4957" s="16" t="inlineStr">
        <is>
          <t>https://mstgolf.co.th/products/gf3500300874</t>
        </is>
      </c>
      <c r="T4957" s="1">
        <f>IF(B4957="ไม้กอล์ฟ",J4957,"")</f>
        <v/>
      </c>
    </row>
    <row r="4958">
      <c r="A4958" s="1" t="n">
        <v>3</v>
      </c>
      <c r="B4958" s="1" t="inlineStr">
        <is>
          <t>อุปกรณ์เสริม</t>
        </is>
      </c>
      <c r="C4958" s="1" t="inlineStr">
        <is>
          <t>gf3500300875</t>
        </is>
      </c>
      <c r="D4958" s="1" t="inlineStr">
        <is>
          <t>KRAVE Moji Driver Headcover</t>
        </is>
      </c>
      <c r="E4958" s="1" t="inlineStr">
        <is>
          <t>KRAVE</t>
        </is>
      </c>
      <c r="F4958" s="1" t="inlineStr">
        <is>
          <t>HEADCOVERS</t>
        </is>
      </c>
      <c r="G4958" s="1" t="inlineStr">
        <is>
          <t>GF3500300875</t>
        </is>
      </c>
      <c r="H4958" s="1" t="n">
        <v>1</v>
      </c>
      <c r="I4958" s="1" t="inlineStr">
        <is>
          <t>หมด</t>
        </is>
      </c>
      <c r="J4958" s="13" t="n">
        <v>59</v>
      </c>
      <c r="K4958" s="1" t="inlineStr"/>
      <c r="L4958" s="13" t="n">
        <v>59</v>
      </c>
      <c r="M4958" s="1">
        <f>IF(L4958="","ไม่พบใน SG",IF(ABS(J4958-L4958)&lt;0.005,"ตรงกัน","ไม่ตรง"))</f>
        <v/>
      </c>
      <c r="N4958" s="14">
        <f>IF(L4958="","",ROUND(L4958*'สรุป'!$C$6,-1))</f>
        <v/>
      </c>
      <c r="O4958" s="15" t="n"/>
      <c r="P4958" s="15" t="n"/>
      <c r="Q4958" s="10" t="n"/>
      <c r="R4958" s="10" t="n"/>
      <c r="S4958" s="16" t="inlineStr">
        <is>
          <t>https://mstgolf.co.th/products/gf3500300875</t>
        </is>
      </c>
      <c r="T4958" s="1">
        <f>IF(B4958="ไม้กอล์ฟ",J4958,"")</f>
        <v/>
      </c>
    </row>
    <row r="4959">
      <c r="A4959" s="1" t="n">
        <v>3</v>
      </c>
      <c r="B4959" s="1" t="inlineStr">
        <is>
          <t>เสื้อผ้า</t>
        </is>
      </c>
      <c r="C4959" s="1" t="inlineStr">
        <is>
          <t>gf2040120740</t>
        </is>
      </c>
      <c r="D4959" s="1" t="inlineStr">
        <is>
          <t>LE COQ SPORTIF GOLF Back Logo Women's Polo (Navy)</t>
        </is>
      </c>
      <c r="E4959" s="1" t="inlineStr">
        <is>
          <t>LE COQ SPORTIF GOLF</t>
        </is>
      </c>
      <c r="F4959" s="1" t="inlineStr">
        <is>
          <t>SHORT SLEEVES</t>
        </is>
      </c>
      <c r="G4959" s="1" t="inlineStr">
        <is>
          <t>GF2040120740S</t>
        </is>
      </c>
      <c r="H4959" s="1" t="n">
        <v>4</v>
      </c>
      <c r="I4959" s="1" t="inlineStr">
        <is>
          <t>หมด</t>
        </is>
      </c>
      <c r="J4959" s="13" t="n">
        <v>59</v>
      </c>
      <c r="K4959" s="1" t="inlineStr"/>
      <c r="L4959" s="13" t="n">
        <v>59</v>
      </c>
      <c r="M4959" s="1">
        <f>IF(L4959="","ไม่พบใน SG",IF(ABS(J4959-L4959)&lt;0.005,"ตรงกัน","ไม่ตรง"))</f>
        <v/>
      </c>
      <c r="N4959" s="14">
        <f>IF(L4959="","",ROUND(L4959*'สรุป'!$C$6,-1))</f>
        <v/>
      </c>
      <c r="O4959" s="15" t="n"/>
      <c r="P4959" s="15" t="n"/>
      <c r="Q4959" s="10" t="n"/>
      <c r="R4959" s="10" t="n"/>
      <c r="S4959" s="16" t="inlineStr">
        <is>
          <t>https://mstgolf.co.th/products/gf2040120740</t>
        </is>
      </c>
      <c r="T4959" s="1">
        <f>IF(B4959="ไม้กอล์ฟ",J4959,"")</f>
        <v/>
      </c>
    </row>
    <row r="4960">
      <c r="A4960" s="1" t="n">
        <v>3</v>
      </c>
      <c r="B4960" s="1" t="inlineStr">
        <is>
          <t>เสื้อผ้า</t>
        </is>
      </c>
      <c r="C4960" s="1" t="inlineStr">
        <is>
          <t>gf2040120741</t>
        </is>
      </c>
      <c r="D4960" s="1" t="inlineStr">
        <is>
          <t>LE COQ SPORTIF GOLF Back Logo Women's Polo (White)</t>
        </is>
      </c>
      <c r="E4960" s="1" t="inlineStr">
        <is>
          <t>LE COQ SPORTIF GOLF</t>
        </is>
      </c>
      <c r="F4960" s="1" t="inlineStr">
        <is>
          <t>SHORT SLEEVES</t>
        </is>
      </c>
      <c r="G4960" s="1" t="inlineStr">
        <is>
          <t>GF2040120741S</t>
        </is>
      </c>
      <c r="H4960" s="1" t="n">
        <v>4</v>
      </c>
      <c r="I4960" s="1" t="inlineStr">
        <is>
          <t>หมด</t>
        </is>
      </c>
      <c r="J4960" s="13" t="n">
        <v>59</v>
      </c>
      <c r="K4960" s="1" t="inlineStr"/>
      <c r="L4960" s="13" t="n">
        <v>59</v>
      </c>
      <c r="M4960" s="1">
        <f>IF(L4960="","ไม่พบใน SG",IF(ABS(J4960-L4960)&lt;0.005,"ตรงกัน","ไม่ตรง"))</f>
        <v/>
      </c>
      <c r="N4960" s="14">
        <f>IF(L4960="","",ROUND(L4960*'สรุป'!$C$6,-1))</f>
        <v/>
      </c>
      <c r="O4960" s="15" t="n"/>
      <c r="P4960" s="15" t="n"/>
      <c r="Q4960" s="10" t="n"/>
      <c r="R4960" s="10" t="n"/>
      <c r="S4960" s="16" t="inlineStr">
        <is>
          <t>https://mstgolf.co.th/products/gf2040120741</t>
        </is>
      </c>
      <c r="T4960" s="1">
        <f>IF(B4960="ไม้กอล์ฟ",J4960,"")</f>
        <v/>
      </c>
    </row>
    <row r="4961">
      <c r="A4961" s="1" t="n">
        <v>3</v>
      </c>
      <c r="B4961" s="1" t="inlineStr">
        <is>
          <t>เสื้อผ้า</t>
        </is>
      </c>
      <c r="C4961" s="1" t="inlineStr">
        <is>
          <t>gf2040120742</t>
        </is>
      </c>
      <c r="D4961" s="1" t="inlineStr">
        <is>
          <t>LE COQ SPORTIF GOLF Back Logo Women's Polo (Yellow)</t>
        </is>
      </c>
      <c r="E4961" s="1" t="inlineStr">
        <is>
          <t>LE COQ SPORTIF GOLF</t>
        </is>
      </c>
      <c r="F4961" s="1" t="inlineStr">
        <is>
          <t>SHORT SLEEVES</t>
        </is>
      </c>
      <c r="G4961" s="1" t="inlineStr">
        <is>
          <t>GF2040120742S</t>
        </is>
      </c>
      <c r="H4961" s="1" t="n">
        <v>4</v>
      </c>
      <c r="I4961" s="1" t="inlineStr">
        <is>
          <t>หมด</t>
        </is>
      </c>
      <c r="J4961" s="13" t="n">
        <v>59</v>
      </c>
      <c r="K4961" s="1" t="inlineStr"/>
      <c r="L4961" s="13" t="n">
        <v>59</v>
      </c>
      <c r="M4961" s="1">
        <f>IF(L4961="","ไม่พบใน SG",IF(ABS(J4961-L4961)&lt;0.005,"ตรงกัน","ไม่ตรง"))</f>
        <v/>
      </c>
      <c r="N4961" s="14">
        <f>IF(L4961="","",ROUND(L4961*'สรุป'!$C$6,-1))</f>
        <v/>
      </c>
      <c r="O4961" s="15" t="n"/>
      <c r="P4961" s="15" t="n"/>
      <c r="Q4961" s="10" t="n"/>
      <c r="R4961" s="10" t="n"/>
      <c r="S4961" s="16" t="inlineStr">
        <is>
          <t>https://mstgolf.co.th/products/gf2040120742</t>
        </is>
      </c>
      <c r="T4961" s="1">
        <f>IF(B4961="ไม้กอล์ฟ",J4961,"")</f>
        <v/>
      </c>
    </row>
    <row r="4962">
      <c r="A4962" s="1" t="n">
        <v>3</v>
      </c>
      <c r="B4962" s="1" t="inlineStr">
        <is>
          <t>เสื้อผ้า</t>
        </is>
      </c>
      <c r="C4962" s="1" t="inlineStr">
        <is>
          <t>gf2040400806</t>
        </is>
      </c>
      <c r="D4962" s="1" t="inlineStr">
        <is>
          <t>NIKE Dri-FIT Victory Women's Long Sleeve Polo (Black)</t>
        </is>
      </c>
      <c r="E4962" s="1" t="inlineStr">
        <is>
          <t>NIKE</t>
        </is>
      </c>
      <c r="F4962" s="1" t="inlineStr">
        <is>
          <t>LONG SLEEVES</t>
        </is>
      </c>
      <c r="G4962" s="1" t="inlineStr">
        <is>
          <t>GF2040400806S</t>
        </is>
      </c>
      <c r="H4962" s="1" t="n">
        <v>5</v>
      </c>
      <c r="I4962" s="1" t="inlineStr">
        <is>
          <t>หมด</t>
        </is>
      </c>
      <c r="J4962" s="13" t="n">
        <v>59</v>
      </c>
      <c r="K4962" s="1" t="inlineStr"/>
      <c r="L4962" s="13" t="n"/>
      <c r="M4962" s="1">
        <f>IF(L4962="","ไม่พบใน SG",IF(ABS(J4962-L4962)&lt;0.005,"ตรงกัน","ไม่ตรง"))</f>
        <v/>
      </c>
      <c r="N4962" s="14">
        <f>IF(L4962="","",ROUND(L4962*'สรุป'!$C$6,-1))</f>
        <v/>
      </c>
      <c r="O4962" s="15" t="n"/>
      <c r="P4962" s="15" t="n"/>
      <c r="Q4962" s="10" t="n"/>
      <c r="R4962" s="10" t="n"/>
      <c r="S4962" s="16" t="inlineStr">
        <is>
          <t>https://mstgolf.co.th/products/gf2040400806</t>
        </is>
      </c>
      <c r="T4962" s="1">
        <f>IF(B4962="ไม้กอล์ฟ",J4962,"")</f>
        <v/>
      </c>
    </row>
    <row r="4963">
      <c r="A4963" s="1" t="n">
        <v>3</v>
      </c>
      <c r="B4963" s="1" t="inlineStr">
        <is>
          <t>เสื้อผ้า</t>
        </is>
      </c>
      <c r="C4963" s="1" t="inlineStr">
        <is>
          <t>gf2020101752</t>
        </is>
      </c>
      <c r="D4963" s="1" t="inlineStr">
        <is>
          <t>NIKE Vapor Men's Pants (Black)</t>
        </is>
      </c>
      <c r="E4963" s="1" t="inlineStr">
        <is>
          <t>NIKE</t>
        </is>
      </c>
      <c r="F4963" s="1" t="inlineStr">
        <is>
          <t>LONG PANTS</t>
        </is>
      </c>
      <c r="G4963" s="1" t="inlineStr">
        <is>
          <t>GF2020101752XS</t>
        </is>
      </c>
      <c r="H4963" s="1" t="n">
        <v>14</v>
      </c>
      <c r="I4963" s="1" t="inlineStr">
        <is>
          <t>หมด</t>
        </is>
      </c>
      <c r="J4963" s="13" t="n">
        <v>59</v>
      </c>
      <c r="K4963" s="1" t="inlineStr"/>
      <c r="L4963" s="13" t="n"/>
      <c r="M4963" s="1">
        <f>IF(L4963="","ไม่พบใน SG",IF(ABS(J4963-L4963)&lt;0.005,"ตรงกัน","ไม่ตรง"))</f>
        <v/>
      </c>
      <c r="N4963" s="14">
        <f>IF(L4963="","",ROUND(L4963*'สรุป'!$C$6,-1))</f>
        <v/>
      </c>
      <c r="O4963" s="15" t="n"/>
      <c r="P4963" s="15" t="n"/>
      <c r="Q4963" s="10" t="n"/>
      <c r="R4963" s="10" t="n"/>
      <c r="S4963" s="16" t="inlineStr">
        <is>
          <t>https://mstgolf.co.th/products/gf2020101752</t>
        </is>
      </c>
      <c r="T4963" s="1">
        <f>IF(B4963="ไม้กอล์ฟ",J4963,"")</f>
        <v/>
      </c>
    </row>
    <row r="4964">
      <c r="A4964" s="1" t="n">
        <v>3</v>
      </c>
      <c r="B4964" s="1" t="inlineStr">
        <is>
          <t>เสื้อผ้า</t>
        </is>
      </c>
      <c r="C4964" s="1" t="inlineStr">
        <is>
          <t>gf2040117939</t>
        </is>
      </c>
      <c r="D4964" s="1" t="inlineStr">
        <is>
          <t>NIKE Victory+ Men's Polo (Light Bone)</t>
        </is>
      </c>
      <c r="E4964" s="1" t="inlineStr">
        <is>
          <t>NIKE</t>
        </is>
      </c>
      <c r="F4964" s="1" t="inlineStr">
        <is>
          <t>SHORT SLEEVES</t>
        </is>
      </c>
      <c r="G4964" s="1" t="inlineStr">
        <is>
          <t>GF2040117939S</t>
        </is>
      </c>
      <c r="H4964" s="1" t="n">
        <v>5</v>
      </c>
      <c r="I4964" s="1" t="inlineStr">
        <is>
          <t>หมด</t>
        </is>
      </c>
      <c r="J4964" s="13" t="n">
        <v>59</v>
      </c>
      <c r="K4964" s="1" t="inlineStr"/>
      <c r="L4964" s="13" t="n"/>
      <c r="M4964" s="1">
        <f>IF(L4964="","ไม่พบใน SG",IF(ABS(J4964-L4964)&lt;0.005,"ตรงกัน","ไม่ตรง"))</f>
        <v/>
      </c>
      <c r="N4964" s="14">
        <f>IF(L4964="","",ROUND(L4964*'สรุป'!$C$6,-1))</f>
        <v/>
      </c>
      <c r="O4964" s="15" t="n"/>
      <c r="P4964" s="15" t="n"/>
      <c r="Q4964" s="10" t="n"/>
      <c r="R4964" s="10" t="n"/>
      <c r="S4964" s="16" t="inlineStr">
        <is>
          <t>https://mstgolf.co.th/products/gf2040117939</t>
        </is>
      </c>
      <c r="T4964" s="1">
        <f>IF(B4964="ไม้กอล์ฟ",J4964,"")</f>
        <v/>
      </c>
    </row>
    <row r="4965">
      <c r="A4965" s="1" t="n">
        <v>3</v>
      </c>
      <c r="B4965" s="1" t="inlineStr">
        <is>
          <t>อุปกรณ์เสริม</t>
        </is>
      </c>
      <c r="C4965" s="1" t="inlineStr">
        <is>
          <t>gf2080101410</t>
        </is>
      </c>
      <c r="D4965" s="1" t="inlineStr">
        <is>
          <t>PUMA Braided Weave Belt (Black)</t>
        </is>
      </c>
      <c r="E4965" s="1" t="inlineStr">
        <is>
          <t>PUMA</t>
        </is>
      </c>
      <c r="F4965" s="1" t="inlineStr">
        <is>
          <t>BELT</t>
        </is>
      </c>
      <c r="G4965" s="1" t="inlineStr">
        <is>
          <t>GF2080101410S/M</t>
        </is>
      </c>
      <c r="H4965" s="1" t="n">
        <v>2</v>
      </c>
      <c r="I4965" s="1" t="inlineStr">
        <is>
          <t>หมด</t>
        </is>
      </c>
      <c r="J4965" s="13" t="n">
        <v>59</v>
      </c>
      <c r="K4965" s="1" t="inlineStr"/>
      <c r="L4965" s="13" t="n"/>
      <c r="M4965" s="1">
        <f>IF(L4965="","ไม่พบใน SG",IF(ABS(J4965-L4965)&lt;0.005,"ตรงกัน","ไม่ตรง"))</f>
        <v/>
      </c>
      <c r="N4965" s="14">
        <f>IF(L4965="","",ROUND(L4965*'สรุป'!$C$6,-1))</f>
        <v/>
      </c>
      <c r="O4965" s="15" t="n"/>
      <c r="P4965" s="15" t="n"/>
      <c r="Q4965" s="10" t="n"/>
      <c r="R4965" s="10" t="n"/>
      <c r="S4965" s="16" t="inlineStr">
        <is>
          <t>https://mstgolf.co.th/products/gf2080101410</t>
        </is>
      </c>
      <c r="T4965" s="1">
        <f>IF(B4965="ไม้กอล์ฟ",J4965,"")</f>
        <v/>
      </c>
    </row>
    <row r="4966">
      <c r="A4966" s="1" t="n">
        <v>3</v>
      </c>
      <c r="B4966" s="1" t="inlineStr">
        <is>
          <t>อุปกรณ์เสริม</t>
        </is>
      </c>
      <c r="C4966" s="1" t="inlineStr">
        <is>
          <t>gf2080101411</t>
        </is>
      </c>
      <c r="D4966" s="1" t="inlineStr">
        <is>
          <t>PUMA Braided Weave Belt (Blue)</t>
        </is>
      </c>
      <c r="E4966" s="1" t="inlineStr">
        <is>
          <t>PUMA</t>
        </is>
      </c>
      <c r="F4966" s="1" t="inlineStr">
        <is>
          <t>BELT</t>
        </is>
      </c>
      <c r="G4966" s="1" t="inlineStr">
        <is>
          <t>GF2080101411S/M</t>
        </is>
      </c>
      <c r="H4966" s="1" t="n">
        <v>2</v>
      </c>
      <c r="I4966" s="1" t="inlineStr">
        <is>
          <t>หมด</t>
        </is>
      </c>
      <c r="J4966" s="13" t="n">
        <v>59</v>
      </c>
      <c r="K4966" s="1" t="inlineStr"/>
      <c r="L4966" s="13" t="n"/>
      <c r="M4966" s="1">
        <f>IF(L4966="","ไม่พบใน SG",IF(ABS(J4966-L4966)&lt;0.005,"ตรงกัน","ไม่ตรง"))</f>
        <v/>
      </c>
      <c r="N4966" s="14">
        <f>IF(L4966="","",ROUND(L4966*'สรุป'!$C$6,-1))</f>
        <v/>
      </c>
      <c r="O4966" s="15" t="n"/>
      <c r="P4966" s="15" t="n"/>
      <c r="Q4966" s="10" t="n"/>
      <c r="R4966" s="10" t="n"/>
      <c r="S4966" s="16" t="inlineStr">
        <is>
          <t>https://mstgolf.co.th/products/gf2080101411</t>
        </is>
      </c>
      <c r="T4966" s="1">
        <f>IF(B4966="ไม้กอล์ฟ",J4966,"")</f>
        <v/>
      </c>
    </row>
    <row r="4967">
      <c r="A4967" s="1" t="n">
        <v>3</v>
      </c>
      <c r="B4967" s="1" t="inlineStr">
        <is>
          <t>หมวก</t>
        </is>
      </c>
      <c r="C4967" s="1" t="inlineStr">
        <is>
          <t>gf2000106218</t>
        </is>
      </c>
      <c r="D4967" s="1" t="inlineStr">
        <is>
          <t>PUMA Crafted P Men's Cap (White/Navy)</t>
        </is>
      </c>
      <c r="E4967" s="1" t="inlineStr">
        <is>
          <t>PUMA</t>
        </is>
      </c>
      <c r="F4967" s="1" t="inlineStr">
        <is>
          <t>CAP</t>
        </is>
      </c>
      <c r="G4967" s="1" t="inlineStr">
        <is>
          <t>GF2000106218FS</t>
        </is>
      </c>
      <c r="H4967" s="1" t="n">
        <v>1</v>
      </c>
      <c r="I4967" s="1" t="inlineStr">
        <is>
          <t>หมด</t>
        </is>
      </c>
      <c r="J4967" s="13" t="n">
        <v>59</v>
      </c>
      <c r="K4967" s="1" t="inlineStr"/>
      <c r="L4967" s="13" t="n">
        <v>59</v>
      </c>
      <c r="M4967" s="1">
        <f>IF(L4967="","ไม่พบใน SG",IF(ABS(J4967-L4967)&lt;0.005,"ตรงกัน","ไม่ตรง"))</f>
        <v/>
      </c>
      <c r="N4967" s="14">
        <f>IF(L4967="","",ROUND(L4967*'สรุป'!$C$6,-1))</f>
        <v/>
      </c>
      <c r="O4967" s="15" t="n"/>
      <c r="P4967" s="15" t="n"/>
      <c r="Q4967" s="10" t="n"/>
      <c r="R4967" s="10" t="n"/>
      <c r="S4967" s="16" t="inlineStr">
        <is>
          <t>https://mstgolf.co.th/products/gf2000106218</t>
        </is>
      </c>
      <c r="T4967" s="1">
        <f>IF(B4967="ไม้กอล์ฟ",J4967,"")</f>
        <v/>
      </c>
    </row>
    <row r="4968">
      <c r="A4968" s="1" t="n">
        <v>3</v>
      </c>
      <c r="B4968" s="1" t="inlineStr">
        <is>
          <t>เสื้อผ้า</t>
        </is>
      </c>
      <c r="C4968" s="1" t="inlineStr">
        <is>
          <t>gf2040118470</t>
        </is>
      </c>
      <c r="D4968" s="1" t="inlineStr">
        <is>
          <t>PUMA Everyday Stripe Pique Women’s Polo (White/Green)</t>
        </is>
      </c>
      <c r="E4968" s="1" t="inlineStr">
        <is>
          <t>PUMA</t>
        </is>
      </c>
      <c r="F4968" s="1" t="inlineStr">
        <is>
          <t>SHORT SLEEVES</t>
        </is>
      </c>
      <c r="G4968" s="1" t="inlineStr">
        <is>
          <t>GF2040118470XS</t>
        </is>
      </c>
      <c r="H4968" s="1" t="n">
        <v>5</v>
      </c>
      <c r="I4968" s="1" t="inlineStr">
        <is>
          <t>หมด</t>
        </is>
      </c>
      <c r="J4968" s="13" t="n">
        <v>59</v>
      </c>
      <c r="K4968" s="1" t="inlineStr"/>
      <c r="L4968" s="13" t="n"/>
      <c r="M4968" s="1">
        <f>IF(L4968="","ไม่พบใน SG",IF(ABS(J4968-L4968)&lt;0.005,"ตรงกัน","ไม่ตรง"))</f>
        <v/>
      </c>
      <c r="N4968" s="14">
        <f>IF(L4968="","",ROUND(L4968*'สรุป'!$C$6,-1))</f>
        <v/>
      </c>
      <c r="O4968" s="15" t="n"/>
      <c r="P4968" s="15" t="n"/>
      <c r="Q4968" s="10" t="n"/>
      <c r="R4968" s="10" t="n"/>
      <c r="S4968" s="16" t="inlineStr">
        <is>
          <t>https://mstgolf.co.th/products/gf2040118470</t>
        </is>
      </c>
      <c r="T4968" s="1">
        <f>IF(B4968="ไม้กอล์ฟ",J4968,"")</f>
        <v/>
      </c>
    </row>
    <row r="4969">
      <c r="A4969" s="1" t="n">
        <v>3</v>
      </c>
      <c r="B4969" s="1" t="inlineStr">
        <is>
          <t>หมวก</t>
        </is>
      </c>
      <c r="C4969" s="1" t="inlineStr">
        <is>
          <t>gf2000105773</t>
        </is>
      </c>
      <c r="D4969" s="1" t="inlineStr">
        <is>
          <t>PUMA Love Golf Men's Tech Cap (Blue)</t>
        </is>
      </c>
      <c r="E4969" s="1" t="inlineStr">
        <is>
          <t>PUMA</t>
        </is>
      </c>
      <c r="F4969" s="1" t="inlineStr">
        <is>
          <t>CAP</t>
        </is>
      </c>
      <c r="G4969" s="1" t="inlineStr">
        <is>
          <t>GF2000105773FS</t>
        </is>
      </c>
      <c r="H4969" s="1" t="n">
        <v>1</v>
      </c>
      <c r="I4969" s="1" t="inlineStr">
        <is>
          <t>หมด</t>
        </is>
      </c>
      <c r="J4969" s="13" t="n">
        <v>59</v>
      </c>
      <c r="K4969" s="1" t="inlineStr"/>
      <c r="L4969" s="13" t="n"/>
      <c r="M4969" s="1">
        <f>IF(L4969="","ไม่พบใน SG",IF(ABS(J4969-L4969)&lt;0.005,"ตรงกัน","ไม่ตรง"))</f>
        <v/>
      </c>
      <c r="N4969" s="14">
        <f>IF(L4969="","",ROUND(L4969*'สรุป'!$C$6,-1))</f>
        <v/>
      </c>
      <c r="O4969" s="15" t="n"/>
      <c r="P4969" s="15" t="n"/>
      <c r="Q4969" s="10" t="n"/>
      <c r="R4969" s="10" t="n"/>
      <c r="S4969" s="16" t="inlineStr">
        <is>
          <t>https://mstgolf.co.th/products/gf2000105773</t>
        </is>
      </c>
      <c r="T4969" s="1">
        <f>IF(B4969="ไม้กอล์ฟ",J4969,"")</f>
        <v/>
      </c>
    </row>
    <row r="4970">
      <c r="A4970" s="1" t="n">
        <v>3</v>
      </c>
      <c r="B4970" s="1" t="inlineStr">
        <is>
          <t>หมวก</t>
        </is>
      </c>
      <c r="C4970" s="1" t="inlineStr">
        <is>
          <t>gf2000105772</t>
        </is>
      </c>
      <c r="D4970" s="1" t="inlineStr">
        <is>
          <t>PUMA Love Golf Men's Tech Cap (White)</t>
        </is>
      </c>
      <c r="E4970" s="1" t="inlineStr">
        <is>
          <t>PUMA</t>
        </is>
      </c>
      <c r="F4970" s="1" t="inlineStr">
        <is>
          <t>CAP</t>
        </is>
      </c>
      <c r="G4970" s="1" t="inlineStr">
        <is>
          <t>GF2000105772FS</t>
        </is>
      </c>
      <c r="H4970" s="1" t="n">
        <v>1</v>
      </c>
      <c r="I4970" s="1" t="inlineStr">
        <is>
          <t>หมด</t>
        </is>
      </c>
      <c r="J4970" s="13" t="n">
        <v>59</v>
      </c>
      <c r="K4970" s="1" t="inlineStr"/>
      <c r="L4970" s="13" t="n">
        <v>59</v>
      </c>
      <c r="M4970" s="1">
        <f>IF(L4970="","ไม่พบใน SG",IF(ABS(J4970-L4970)&lt;0.005,"ตรงกัน","ไม่ตรง"))</f>
        <v/>
      </c>
      <c r="N4970" s="14">
        <f>IF(L4970="","",ROUND(L4970*'สรุป'!$C$6,-1))</f>
        <v/>
      </c>
      <c r="O4970" s="15" t="n"/>
      <c r="P4970" s="15" t="n"/>
      <c r="Q4970" s="10" t="n"/>
      <c r="R4970" s="10" t="n"/>
      <c r="S4970" s="16" t="inlineStr">
        <is>
          <t>https://mstgolf.co.th/products/gf2000105772</t>
        </is>
      </c>
      <c r="T4970" s="1">
        <f>IF(B4970="ไม้กอล์ฟ",J4970,"")</f>
        <v/>
      </c>
    </row>
    <row r="4971">
      <c r="A4971" s="1" t="n">
        <v>3</v>
      </c>
      <c r="B4971" s="1" t="inlineStr">
        <is>
          <t>หมวก</t>
        </is>
      </c>
      <c r="C4971" s="1" t="inlineStr">
        <is>
          <t>gf2000106222</t>
        </is>
      </c>
      <c r="D4971" s="1" t="inlineStr">
        <is>
          <t>PUMA Roses Men's Cap (White)</t>
        </is>
      </c>
      <c r="E4971" s="1" t="inlineStr">
        <is>
          <t>PUMA</t>
        </is>
      </c>
      <c r="F4971" s="1" t="inlineStr">
        <is>
          <t>CAP</t>
        </is>
      </c>
      <c r="G4971" s="1" t="inlineStr">
        <is>
          <t>GF2000106222FS</t>
        </is>
      </c>
      <c r="H4971" s="1" t="n">
        <v>1</v>
      </c>
      <c r="I4971" s="1" t="inlineStr">
        <is>
          <t>หมด</t>
        </is>
      </c>
      <c r="J4971" s="13" t="n">
        <v>59</v>
      </c>
      <c r="K4971" s="1" t="inlineStr"/>
      <c r="L4971" s="13" t="n">
        <v>59</v>
      </c>
      <c r="M4971" s="1">
        <f>IF(L4971="","ไม่พบใน SG",IF(ABS(J4971-L4971)&lt;0.005,"ตรงกัน","ไม่ตรง"))</f>
        <v/>
      </c>
      <c r="N4971" s="14">
        <f>IF(L4971="","",ROUND(L4971*'สรุป'!$C$6,-1))</f>
        <v/>
      </c>
      <c r="O4971" s="15" t="n"/>
      <c r="P4971" s="15" t="n"/>
      <c r="Q4971" s="10" t="n"/>
      <c r="R4971" s="10" t="n"/>
      <c r="S4971" s="16" t="inlineStr">
        <is>
          <t>https://mstgolf.co.th/products/gf2000106222</t>
        </is>
      </c>
      <c r="T4971" s="1">
        <f>IF(B4971="ไม้กอล์ฟ",J4971,"")</f>
        <v/>
      </c>
    </row>
    <row r="4972">
      <c r="A4972" s="1" t="n">
        <v>3</v>
      </c>
      <c r="B4972" s="1" t="inlineStr">
        <is>
          <t>หมวก</t>
        </is>
      </c>
      <c r="C4972" s="1" t="inlineStr">
        <is>
          <t>gf2000105964</t>
        </is>
      </c>
      <c r="D4972" s="1" t="inlineStr">
        <is>
          <t>PUMA Soto Tech P Men's Cap (Blue)</t>
        </is>
      </c>
      <c r="E4972" s="1" t="inlineStr">
        <is>
          <t>PUMA</t>
        </is>
      </c>
      <c r="F4972" s="1" t="inlineStr">
        <is>
          <t>CAP</t>
        </is>
      </c>
      <c r="G4972" s="1" t="inlineStr">
        <is>
          <t>GF2000105964FS</t>
        </is>
      </c>
      <c r="H4972" s="1" t="n">
        <v>1</v>
      </c>
      <c r="I4972" s="1" t="inlineStr">
        <is>
          <t>หมด</t>
        </is>
      </c>
      <c r="J4972" s="13" t="n">
        <v>59</v>
      </c>
      <c r="K4972" s="1" t="inlineStr"/>
      <c r="L4972" s="13" t="n"/>
      <c r="M4972" s="1">
        <f>IF(L4972="","ไม่พบใน SG",IF(ABS(J4972-L4972)&lt;0.005,"ตรงกัน","ไม่ตรง"))</f>
        <v/>
      </c>
      <c r="N4972" s="14">
        <f>IF(L4972="","",ROUND(L4972*'สรุป'!$C$6,-1))</f>
        <v/>
      </c>
      <c r="O4972" s="15" t="n"/>
      <c r="P4972" s="15" t="n"/>
      <c r="Q4972" s="10" t="n"/>
      <c r="R4972" s="10" t="n"/>
      <c r="S4972" s="16" t="inlineStr">
        <is>
          <t>https://mstgolf.co.th/products/gf2000105964</t>
        </is>
      </c>
      <c r="T4972" s="1">
        <f>IF(B4972="ไม้กอล์ฟ",J4972,"")</f>
        <v/>
      </c>
    </row>
    <row r="4973">
      <c r="A4973" s="1" t="n">
        <v>3</v>
      </c>
      <c r="B4973" s="1" t="inlineStr">
        <is>
          <t>เสื้อผ้า</t>
        </is>
      </c>
      <c r="C4973" s="1" t="inlineStr">
        <is>
          <t>gf2020202318</t>
        </is>
      </c>
      <c r="D4973" s="1" t="inlineStr">
        <is>
          <t>PUMA x Arnold Palmer Pleated Men's Short (Pale Pink)</t>
        </is>
      </c>
      <c r="E4973" s="1" t="inlineStr">
        <is>
          <t>PUMA</t>
        </is>
      </c>
      <c r="F4973" s="1" t="inlineStr">
        <is>
          <t>SHORT PANTS</t>
        </is>
      </c>
      <c r="G4973" s="1" t="inlineStr">
        <is>
          <t>GF202020231828</t>
        </is>
      </c>
      <c r="H4973" s="1" t="n">
        <v>10</v>
      </c>
      <c r="I4973" s="1" t="inlineStr">
        <is>
          <t>หมด</t>
        </is>
      </c>
      <c r="J4973" s="13" t="n">
        <v>59</v>
      </c>
      <c r="K4973" s="1" t="inlineStr"/>
      <c r="L4973" s="13" t="n"/>
      <c r="M4973" s="1">
        <f>IF(L4973="","ไม่พบใน SG",IF(ABS(J4973-L4973)&lt;0.005,"ตรงกัน","ไม่ตรง"))</f>
        <v/>
      </c>
      <c r="N4973" s="14">
        <f>IF(L4973="","",ROUND(L4973*'สรุป'!$C$6,-1))</f>
        <v/>
      </c>
      <c r="O4973" s="15" t="n"/>
      <c r="P4973" s="15" t="n"/>
      <c r="Q4973" s="10" t="n"/>
      <c r="R4973" s="10" t="n"/>
      <c r="S4973" s="16" t="inlineStr">
        <is>
          <t>https://mstgolf.co.th/products/gf2020202318</t>
        </is>
      </c>
      <c r="T4973" s="1">
        <f>IF(B4973="ไม้กอล์ฟ",J4973,"")</f>
        <v/>
      </c>
    </row>
    <row r="4974">
      <c r="A4974" s="1" t="n">
        <v>3</v>
      </c>
      <c r="B4974" s="1" t="inlineStr">
        <is>
          <t>เสื้อผ้า</t>
        </is>
      </c>
      <c r="C4974" s="1" t="inlineStr">
        <is>
          <t>gf2020202319</t>
        </is>
      </c>
      <c r="D4974" s="1" t="inlineStr">
        <is>
          <t>PUMA x Arnold Palmer Pleated Men's Shorts (Eucalyptus)</t>
        </is>
      </c>
      <c r="E4974" s="1" t="inlineStr">
        <is>
          <t>PUMA</t>
        </is>
      </c>
      <c r="F4974" s="1" t="inlineStr">
        <is>
          <t>SHORT PANTS</t>
        </is>
      </c>
      <c r="G4974" s="1" t="inlineStr">
        <is>
          <t>GF202020231926</t>
        </is>
      </c>
      <c r="H4974" s="1" t="n">
        <v>16</v>
      </c>
      <c r="I4974" s="1" t="inlineStr">
        <is>
          <t>หมด</t>
        </is>
      </c>
      <c r="J4974" s="13" t="n">
        <v>59</v>
      </c>
      <c r="K4974" s="1" t="inlineStr"/>
      <c r="L4974" s="13" t="n"/>
      <c r="M4974" s="1">
        <f>IF(L4974="","ไม่พบใน SG",IF(ABS(J4974-L4974)&lt;0.005,"ตรงกัน","ไม่ตรง"))</f>
        <v/>
      </c>
      <c r="N4974" s="14">
        <f>IF(L4974="","",ROUND(L4974*'สรุป'!$C$6,-1))</f>
        <v/>
      </c>
      <c r="O4974" s="15" t="n"/>
      <c r="P4974" s="15" t="n"/>
      <c r="Q4974" s="10" t="n"/>
      <c r="R4974" s="10" t="n"/>
      <c r="S4974" s="16" t="inlineStr">
        <is>
          <t>https://mstgolf.co.th/products/gf2020202319</t>
        </is>
      </c>
      <c r="T4974" s="1">
        <f>IF(B4974="ไม้กอล์ฟ",J4974,"")</f>
        <v/>
      </c>
    </row>
    <row r="4975">
      <c r="A4975" s="1" t="n">
        <v>3</v>
      </c>
      <c r="B4975" s="1" t="inlineStr">
        <is>
          <t>เสื้อผ้า</t>
        </is>
      </c>
      <c r="C4975" s="1" t="inlineStr">
        <is>
          <t>gf2020202320</t>
        </is>
      </c>
      <c r="D4975" s="1" t="inlineStr">
        <is>
          <t>PUMA x Arnold Palmer Pleated Men's Shorts (Putty)</t>
        </is>
      </c>
      <c r="E4975" s="1" t="inlineStr">
        <is>
          <t>PUMA</t>
        </is>
      </c>
      <c r="F4975" s="1" t="inlineStr">
        <is>
          <t>SHORT PANTS</t>
        </is>
      </c>
      <c r="G4975" s="1" t="inlineStr">
        <is>
          <t>GF202020232028</t>
        </is>
      </c>
      <c r="H4975" s="1" t="n">
        <v>10</v>
      </c>
      <c r="I4975" s="1" t="inlineStr">
        <is>
          <t>หมด</t>
        </is>
      </c>
      <c r="J4975" s="13" t="n">
        <v>59</v>
      </c>
      <c r="K4975" s="1" t="inlineStr"/>
      <c r="L4975" s="13" t="n"/>
      <c r="M4975" s="1">
        <f>IF(L4975="","ไม่พบใน SG",IF(ABS(J4975-L4975)&lt;0.005,"ตรงกัน","ไม่ตรง"))</f>
        <v/>
      </c>
      <c r="N4975" s="14">
        <f>IF(L4975="","",ROUND(L4975*'สรุป'!$C$6,-1))</f>
        <v/>
      </c>
      <c r="O4975" s="15" t="n"/>
      <c r="P4975" s="15" t="n"/>
      <c r="Q4975" s="10" t="n"/>
      <c r="R4975" s="10" t="n"/>
      <c r="S4975" s="16" t="inlineStr">
        <is>
          <t>https://mstgolf.co.th/products/gf2020202320</t>
        </is>
      </c>
      <c r="T4975" s="1">
        <f>IF(B4975="ไม้กอล์ฟ",J4975,"")</f>
        <v/>
      </c>
    </row>
    <row r="4976">
      <c r="A4976" s="1" t="n">
        <v>3</v>
      </c>
      <c r="B4976" s="1" t="inlineStr">
        <is>
          <t>เสื้อผ้า</t>
        </is>
      </c>
      <c r="C4976" s="1" t="inlineStr">
        <is>
          <t>gf2040116664</t>
        </is>
      </c>
      <c r="D4976" s="1" t="inlineStr">
        <is>
          <t>PUMA x PTC Printed Men's Button Down Shirt (White/Pink)</t>
        </is>
      </c>
      <c r="E4976" s="1" t="inlineStr">
        <is>
          <t>PUMA</t>
        </is>
      </c>
      <c r="F4976" s="1" t="inlineStr">
        <is>
          <t>SHORT SLEEVES</t>
        </is>
      </c>
      <c r="G4976" s="1" t="inlineStr">
        <is>
          <t>GF2040116664S</t>
        </is>
      </c>
      <c r="H4976" s="1" t="n">
        <v>5</v>
      </c>
      <c r="I4976" s="1" t="inlineStr">
        <is>
          <t>หมด</t>
        </is>
      </c>
      <c r="J4976" s="13" t="n">
        <v>59</v>
      </c>
      <c r="K4976" s="1" t="inlineStr"/>
      <c r="L4976" s="13" t="n"/>
      <c r="M4976" s="1">
        <f>IF(L4976="","ไม่พบใน SG",IF(ABS(J4976-L4976)&lt;0.005,"ตรงกัน","ไม่ตรง"))</f>
        <v/>
      </c>
      <c r="N4976" s="14">
        <f>IF(L4976="","",ROUND(L4976*'สรุป'!$C$6,-1))</f>
        <v/>
      </c>
      <c r="O4976" s="15" t="n"/>
      <c r="P4976" s="15" t="n"/>
      <c r="Q4976" s="10" t="n"/>
      <c r="R4976" s="10" t="n"/>
      <c r="S4976" s="16" t="inlineStr">
        <is>
          <t>https://mstgolf.co.th/products/gf2040116664</t>
        </is>
      </c>
      <c r="T4976" s="1">
        <f>IF(B4976="ไม้กอล์ฟ",J4976,"")</f>
        <v/>
      </c>
    </row>
    <row r="4977">
      <c r="A4977" s="1" t="n">
        <v>3</v>
      </c>
      <c r="B4977" s="1" t="inlineStr">
        <is>
          <t>เสื้อผ้า</t>
        </is>
      </c>
      <c r="C4977" s="1" t="inlineStr">
        <is>
          <t>gf2040116663</t>
        </is>
      </c>
      <c r="D4977" s="1" t="inlineStr">
        <is>
          <t>PUMA x PTC Printed Men's Polo (Black/Pink)</t>
        </is>
      </c>
      <c r="E4977" s="1" t="inlineStr">
        <is>
          <t>PUMA</t>
        </is>
      </c>
      <c r="F4977" s="1" t="inlineStr">
        <is>
          <t>SHORT SLEEVES</t>
        </is>
      </c>
      <c r="G4977" s="1" t="inlineStr">
        <is>
          <t>GF2040116663XS</t>
        </is>
      </c>
      <c r="H4977" s="1" t="n">
        <v>6</v>
      </c>
      <c r="I4977" s="1" t="inlineStr">
        <is>
          <t>หมด</t>
        </is>
      </c>
      <c r="J4977" s="13" t="n">
        <v>59</v>
      </c>
      <c r="K4977" s="1" t="inlineStr"/>
      <c r="L4977" s="13" t="n"/>
      <c r="M4977" s="1">
        <f>IF(L4977="","ไม่พบใน SG",IF(ABS(J4977-L4977)&lt;0.005,"ตรงกัน","ไม่ตรง"))</f>
        <v/>
      </c>
      <c r="N4977" s="14">
        <f>IF(L4977="","",ROUND(L4977*'สรุป'!$C$6,-1))</f>
        <v/>
      </c>
      <c r="O4977" s="15" t="n"/>
      <c r="P4977" s="15" t="n"/>
      <c r="Q4977" s="10" t="n"/>
      <c r="R4977" s="10" t="n"/>
      <c r="S4977" s="16" t="inlineStr">
        <is>
          <t>https://mstgolf.co.th/products/gf2040116663</t>
        </is>
      </c>
      <c r="T4977" s="1">
        <f>IF(B4977="ไม้กอล์ฟ",J4977,"")</f>
        <v/>
      </c>
    </row>
    <row r="4978">
      <c r="A4978" s="1" t="n">
        <v>3</v>
      </c>
      <c r="B4978" s="1" t="inlineStr">
        <is>
          <t>เสื้อผ้า</t>
        </is>
      </c>
      <c r="C4978" s="1" t="inlineStr">
        <is>
          <t>gf2040116662</t>
        </is>
      </c>
      <c r="D4978" s="1" t="inlineStr">
        <is>
          <t>PUMA x PTC Printed Men's Polo (White/Pink)</t>
        </is>
      </c>
      <c r="E4978" s="1" t="inlineStr">
        <is>
          <t>PUMA</t>
        </is>
      </c>
      <c r="F4978" s="1" t="inlineStr">
        <is>
          <t>SHORT SLEEVES</t>
        </is>
      </c>
      <c r="G4978" s="1" t="inlineStr">
        <is>
          <t>GF2040116662XS</t>
        </is>
      </c>
      <c r="H4978" s="1" t="n">
        <v>6</v>
      </c>
      <c r="I4978" s="1" t="inlineStr">
        <is>
          <t>หมด</t>
        </is>
      </c>
      <c r="J4978" s="13" t="n">
        <v>59</v>
      </c>
      <c r="K4978" s="1" t="inlineStr"/>
      <c r="L4978" s="13" t="n"/>
      <c r="M4978" s="1">
        <f>IF(L4978="","ไม่พบใน SG",IF(ABS(J4978-L4978)&lt;0.005,"ตรงกัน","ไม่ตรง"))</f>
        <v/>
      </c>
      <c r="N4978" s="14">
        <f>IF(L4978="","",ROUND(L4978*'สรุป'!$C$6,-1))</f>
        <v/>
      </c>
      <c r="O4978" s="15" t="n"/>
      <c r="P4978" s="15" t="n"/>
      <c r="Q4978" s="10" t="n"/>
      <c r="R4978" s="10" t="n"/>
      <c r="S4978" s="16" t="inlineStr">
        <is>
          <t>https://mstgolf.co.th/products/gf2040116662</t>
        </is>
      </c>
      <c r="T4978" s="1">
        <f>IF(B4978="ไม้กอล์ฟ",J4978,"")</f>
        <v/>
      </c>
    </row>
    <row r="4979">
      <c r="A4979" s="1" t="n">
        <v>3</v>
      </c>
      <c r="B4979" s="1" t="inlineStr">
        <is>
          <t>เสื้อผ้า</t>
        </is>
      </c>
      <c r="C4979" s="1" t="inlineStr">
        <is>
          <t>gf2020202324</t>
        </is>
      </c>
      <c r="D4979" s="1" t="inlineStr">
        <is>
          <t>PUMA x QGC Men's Shorts (Sedate Grey)</t>
        </is>
      </c>
      <c r="E4979" s="1" t="inlineStr">
        <is>
          <t>PUMA</t>
        </is>
      </c>
      <c r="F4979" s="1" t="inlineStr">
        <is>
          <t>SHORT PANTS</t>
        </is>
      </c>
      <c r="G4979" s="1" t="inlineStr">
        <is>
          <t>GF202020232430</t>
        </is>
      </c>
      <c r="H4979" s="1" t="n">
        <v>6</v>
      </c>
      <c r="I4979" s="1" t="inlineStr">
        <is>
          <t>หมด</t>
        </is>
      </c>
      <c r="J4979" s="13" t="n">
        <v>59</v>
      </c>
      <c r="K4979" s="1" t="inlineStr"/>
      <c r="L4979" s="13" t="n"/>
      <c r="M4979" s="1">
        <f>IF(L4979="","ไม่พบใน SG",IF(ABS(J4979-L4979)&lt;0.005,"ตรงกัน","ไม่ตรง"))</f>
        <v/>
      </c>
      <c r="N4979" s="14">
        <f>IF(L4979="","",ROUND(L4979*'สรุป'!$C$6,-1))</f>
        <v/>
      </c>
      <c r="O4979" s="15" t="n"/>
      <c r="P4979" s="15" t="n"/>
      <c r="Q4979" s="10" t="n"/>
      <c r="R4979" s="10" t="n"/>
      <c r="S4979" s="16" t="inlineStr">
        <is>
          <t>https://mstgolf.co.th/products/gf2020202324</t>
        </is>
      </c>
      <c r="T4979" s="1">
        <f>IF(B4979="ไม้กอล์ฟ",J4979,"")</f>
        <v/>
      </c>
    </row>
    <row r="4980">
      <c r="A4980" s="1" t="n">
        <v>3</v>
      </c>
      <c r="B4980" s="1" t="inlineStr">
        <is>
          <t>เสื้อผ้า</t>
        </is>
      </c>
      <c r="C4980" s="1" t="inlineStr">
        <is>
          <t>gf2110200035</t>
        </is>
      </c>
      <c r="D4980" s="1" t="inlineStr">
        <is>
          <t>SPARMS UV Face Shield (Latte)</t>
        </is>
      </c>
      <c r="E4980" s="1" t="inlineStr">
        <is>
          <t>SPARMS</t>
        </is>
      </c>
      <c r="F4980" s="1" t="inlineStr">
        <is>
          <t>PROTECTION GEAR</t>
        </is>
      </c>
      <c r="G4980" s="1" t="inlineStr">
        <is>
          <t>GF2110200035S</t>
        </is>
      </c>
      <c r="H4980" s="1" t="n">
        <v>2</v>
      </c>
      <c r="I4980" s="1" t="inlineStr">
        <is>
          <t>หมด</t>
        </is>
      </c>
      <c r="J4980" s="13" t="n">
        <v>59</v>
      </c>
      <c r="K4980" s="1" t="inlineStr"/>
      <c r="L4980" s="13" t="n">
        <v>59</v>
      </c>
      <c r="M4980" s="1">
        <f>IF(L4980="","ไม่พบใน SG",IF(ABS(J4980-L4980)&lt;0.005,"ตรงกัน","ไม่ตรง"))</f>
        <v/>
      </c>
      <c r="N4980" s="14">
        <f>IF(L4980="","",ROUND(L4980*'สรุป'!$C$6,-1))</f>
        <v/>
      </c>
      <c r="O4980" s="15" t="n"/>
      <c r="P4980" s="15" t="n"/>
      <c r="Q4980" s="10" t="n"/>
      <c r="R4980" s="10" t="n"/>
      <c r="S4980" s="16" t="inlineStr">
        <is>
          <t>https://mstgolf.co.th/products/gf2110200035</t>
        </is>
      </c>
      <c r="T4980" s="1">
        <f>IF(B4980="ไม้กอล์ฟ",J4980,"")</f>
        <v/>
      </c>
    </row>
    <row r="4981">
      <c r="A4981" s="1" t="n">
        <v>3</v>
      </c>
      <c r="B4981" s="1" t="inlineStr">
        <is>
          <t>อุปกรณ์เสริม</t>
        </is>
      </c>
      <c r="C4981" s="1" t="inlineStr">
        <is>
          <t>gf3150100285</t>
        </is>
      </c>
      <c r="D4981" s="1" t="inlineStr">
        <is>
          <t>SUN MOUNTAIN 68" Double Canopy (Black/White)</t>
        </is>
      </c>
      <c r="E4981" s="1" t="inlineStr">
        <is>
          <t>SUN MOUNTAIN</t>
        </is>
      </c>
      <c r="F4981" s="1" t="inlineStr">
        <is>
          <t>UMBRELLA</t>
        </is>
      </c>
      <c r="G4981" s="1" t="inlineStr">
        <is>
          <t>GF3150100285</t>
        </is>
      </c>
      <c r="H4981" s="1" t="n">
        <v>1</v>
      </c>
      <c r="I4981" s="1" t="inlineStr">
        <is>
          <t>หมด</t>
        </is>
      </c>
      <c r="J4981" s="13" t="n">
        <v>59</v>
      </c>
      <c r="K4981" s="1" t="inlineStr"/>
      <c r="L4981" s="13" t="n">
        <v>59</v>
      </c>
      <c r="M4981" s="1">
        <f>IF(L4981="","ไม่พบใน SG",IF(ABS(J4981-L4981)&lt;0.005,"ตรงกัน","ไม่ตรง"))</f>
        <v/>
      </c>
      <c r="N4981" s="14">
        <f>IF(L4981="","",ROUND(L4981*'สรุป'!$C$6,-1))</f>
        <v/>
      </c>
      <c r="O4981" s="15" t="n"/>
      <c r="P4981" s="15" t="n"/>
      <c r="Q4981" s="10" t="n"/>
      <c r="R4981" s="10" t="n"/>
      <c r="S4981" s="16" t="inlineStr">
        <is>
          <t>https://mstgolf.co.th/products/gf3150100285</t>
        </is>
      </c>
      <c r="T4981" s="1">
        <f>IF(B4981="ไม้กอล์ฟ",J4981,"")</f>
        <v/>
      </c>
    </row>
    <row r="4982">
      <c r="A4982" s="1" t="n">
        <v>3</v>
      </c>
      <c r="B4982" s="1" t="inlineStr">
        <is>
          <t>อุปกรณ์เสริม</t>
        </is>
      </c>
      <c r="C4982" s="1" t="inlineStr">
        <is>
          <t>gf3150100327</t>
        </is>
      </c>
      <c r="D4982" s="1" t="inlineStr">
        <is>
          <t>SUN MOUNTAIN 68" Double Canopy Umbrella (Black)</t>
        </is>
      </c>
      <c r="E4982" s="1" t="inlineStr">
        <is>
          <t>SUN MOUNTAIN</t>
        </is>
      </c>
      <c r="F4982" s="1" t="inlineStr">
        <is>
          <t>UMBRELLA</t>
        </is>
      </c>
      <c r="G4982" s="1" t="inlineStr">
        <is>
          <t>GF3150100327</t>
        </is>
      </c>
      <c r="H4982" s="1" t="n">
        <v>1</v>
      </c>
      <c r="I4982" s="1" t="inlineStr">
        <is>
          <t>หมด</t>
        </is>
      </c>
      <c r="J4982" s="13" t="n">
        <v>59</v>
      </c>
      <c r="K4982" s="1" t="inlineStr"/>
      <c r="L4982" s="13" t="n">
        <v>59</v>
      </c>
      <c r="M4982" s="1">
        <f>IF(L4982="","ไม่พบใน SG",IF(ABS(J4982-L4982)&lt;0.005,"ตรงกัน","ไม่ตรง"))</f>
        <v/>
      </c>
      <c r="N4982" s="14">
        <f>IF(L4982="","",ROUND(L4982*'สรุป'!$C$6,-1))</f>
        <v/>
      </c>
      <c r="O4982" s="15" t="n"/>
      <c r="P4982" s="15" t="n"/>
      <c r="Q4982" s="10" t="n"/>
      <c r="R4982" s="10" t="n"/>
      <c r="S4982" s="16" t="inlineStr">
        <is>
          <t>https://mstgolf.co.th/products/gf3150100327</t>
        </is>
      </c>
      <c r="T4982" s="1">
        <f>IF(B4982="ไม้กอล์ฟ",J4982,"")</f>
        <v/>
      </c>
    </row>
    <row r="4983">
      <c r="A4983" s="1" t="n">
        <v>3</v>
      </c>
      <c r="B4983" s="1" t="inlineStr">
        <is>
          <t>เสื้อผ้า</t>
        </is>
      </c>
      <c r="C4983" s="1" t="inlineStr">
        <is>
          <t>gf2040121274</t>
        </is>
      </c>
      <c r="D4983" s="1" t="inlineStr">
        <is>
          <t>TAYLORMADE Circuit Links Men's T-Shirt (Navy)</t>
        </is>
      </c>
      <c r="E4983" s="1" t="inlineStr">
        <is>
          <t>TAYLORMADE</t>
        </is>
      </c>
      <c r="F4983" s="1" t="inlineStr">
        <is>
          <t>SHORT SLEEVES</t>
        </is>
      </c>
      <c r="G4983" s="1" t="inlineStr">
        <is>
          <t>GF2040121274XS</t>
        </is>
      </c>
      <c r="H4983" s="1" t="n">
        <v>5</v>
      </c>
      <c r="I4983" s="1" t="inlineStr">
        <is>
          <t>หมด</t>
        </is>
      </c>
      <c r="J4983" s="13" t="n">
        <v>59</v>
      </c>
      <c r="K4983" s="1" t="inlineStr"/>
      <c r="L4983" s="13" t="n"/>
      <c r="M4983" s="1">
        <f>IF(L4983="","ไม่พบใน SG",IF(ABS(J4983-L4983)&lt;0.005,"ตรงกัน","ไม่ตรง"))</f>
        <v/>
      </c>
      <c r="N4983" s="14">
        <f>IF(L4983="","",ROUND(L4983*'สรุป'!$C$6,-1))</f>
        <v/>
      </c>
      <c r="O4983" s="15" t="n"/>
      <c r="P4983" s="15" t="n"/>
      <c r="Q4983" s="10" t="n"/>
      <c r="R4983" s="10" t="n"/>
      <c r="S4983" s="16" t="inlineStr">
        <is>
          <t>https://mstgolf.co.th/products/gf2040121274</t>
        </is>
      </c>
      <c r="T4983" s="1">
        <f>IF(B4983="ไม้กอล์ฟ",J4983,"")</f>
        <v/>
      </c>
    </row>
    <row r="4984">
      <c r="A4984" s="1" t="n">
        <v>3</v>
      </c>
      <c r="B4984" s="1" t="inlineStr">
        <is>
          <t>อุปกรณ์เสริม</t>
        </is>
      </c>
      <c r="C4984" s="1" t="inlineStr">
        <is>
          <t>gf2100200462</t>
        </is>
      </c>
      <c r="D4984" s="1" t="inlineStr">
        <is>
          <t>TITLEIST Performance Towel (Black)</t>
        </is>
      </c>
      <c r="E4984" s="1" t="inlineStr">
        <is>
          <t>TITLEIST</t>
        </is>
      </c>
      <c r="F4984" s="1" t="inlineStr">
        <is>
          <t>HAND/CLUB TOWEL</t>
        </is>
      </c>
      <c r="G4984" s="1" t="inlineStr">
        <is>
          <t>GF2100200462</t>
        </is>
      </c>
      <c r="H4984" s="1" t="n">
        <v>1</v>
      </c>
      <c r="I4984" s="1" t="inlineStr">
        <is>
          <t>หมด</t>
        </is>
      </c>
      <c r="J4984" s="13" t="n">
        <v>59</v>
      </c>
      <c r="K4984" s="1" t="inlineStr"/>
      <c r="L4984" s="13" t="n"/>
      <c r="M4984" s="1">
        <f>IF(L4984="","ไม่พบใน SG",IF(ABS(J4984-L4984)&lt;0.005,"ตรงกัน","ไม่ตรง"))</f>
        <v/>
      </c>
      <c r="N4984" s="14">
        <f>IF(L4984="","",ROUND(L4984*'สรุป'!$C$6,-1))</f>
        <v/>
      </c>
      <c r="O4984" s="15" t="n"/>
      <c r="P4984" s="15" t="n"/>
      <c r="Q4984" s="10" t="n"/>
      <c r="R4984" s="10" t="n"/>
      <c r="S4984" s="16" t="inlineStr">
        <is>
          <t>https://mstgolf.co.th/products/gf2100200462</t>
        </is>
      </c>
      <c r="T4984" s="1">
        <f>IF(B4984="ไม้กอล์ฟ",J4984,"")</f>
        <v/>
      </c>
    </row>
    <row r="4985">
      <c r="A4985" s="1" t="n">
        <v>3</v>
      </c>
      <c r="B4985" s="1" t="inlineStr">
        <is>
          <t>อุปกรณ์เสริม</t>
        </is>
      </c>
      <c r="C4985" s="1" t="inlineStr">
        <is>
          <t>gf2100200489</t>
        </is>
      </c>
      <c r="D4985" s="1" t="inlineStr">
        <is>
          <t>TITLEIST Shamrock Terry Towel (Black)</t>
        </is>
      </c>
      <c r="E4985" s="1" t="inlineStr">
        <is>
          <t>TITLEIST</t>
        </is>
      </c>
      <c r="F4985" s="1" t="inlineStr">
        <is>
          <t>HAND/CLUB TOWEL</t>
        </is>
      </c>
      <c r="G4985" s="1" t="inlineStr">
        <is>
          <t>GF2100200489</t>
        </is>
      </c>
      <c r="H4985" s="1" t="n">
        <v>1</v>
      </c>
      <c r="I4985" s="1" t="inlineStr">
        <is>
          <t>หมด</t>
        </is>
      </c>
      <c r="J4985" s="13" t="n">
        <v>59</v>
      </c>
      <c r="K4985" s="1" t="inlineStr"/>
      <c r="L4985" s="13" t="n"/>
      <c r="M4985" s="1">
        <f>IF(L4985="","ไม่พบใน SG",IF(ABS(J4985-L4985)&lt;0.005,"ตรงกัน","ไม่ตรง"))</f>
        <v/>
      </c>
      <c r="N4985" s="14">
        <f>IF(L4985="","",ROUND(L4985*'สรุป'!$C$6,-1))</f>
        <v/>
      </c>
      <c r="O4985" s="15" t="n"/>
      <c r="P4985" s="15" t="n"/>
      <c r="Q4985" s="10" t="n"/>
      <c r="R4985" s="10" t="n"/>
      <c r="S4985" s="16" t="inlineStr">
        <is>
          <t>https://mstgolf.co.th/products/gf2100200489</t>
        </is>
      </c>
      <c r="T4985" s="1">
        <f>IF(B4985="ไม้กอล์ฟ",J4985,"")</f>
        <v/>
      </c>
    </row>
    <row r="4986">
      <c r="A4986" s="1" t="n">
        <v>3</v>
      </c>
      <c r="B4986" s="1" t="inlineStr">
        <is>
          <t>เสื้อผ้า</t>
        </is>
      </c>
      <c r="C4986" s="1" t="inlineStr">
        <is>
          <t>gf2040117333</t>
        </is>
      </c>
      <c r="D4986" s="1" t="inlineStr">
        <is>
          <t>UNDER ARMOUR Playoff Geo Jacquard Men's Polo (Midnight Navy)</t>
        </is>
      </c>
      <c r="E4986" s="1" t="inlineStr">
        <is>
          <t>UNDER ARMOUR</t>
        </is>
      </c>
      <c r="F4986" s="1" t="inlineStr">
        <is>
          <t>SHORT SLEEVES</t>
        </is>
      </c>
      <c r="G4986" s="1" t="inlineStr">
        <is>
          <t>GF2040117333S</t>
        </is>
      </c>
      <c r="H4986" s="1" t="n">
        <v>5</v>
      </c>
      <c r="I4986" s="1" t="inlineStr">
        <is>
          <t>หมด</t>
        </is>
      </c>
      <c r="J4986" s="13" t="n">
        <v>59</v>
      </c>
      <c r="K4986" s="1" t="inlineStr"/>
      <c r="L4986" s="13" t="n">
        <v>59</v>
      </c>
      <c r="M4986" s="1">
        <f>IF(L4986="","ไม่พบใน SG",IF(ABS(J4986-L4986)&lt;0.005,"ตรงกัน","ไม่ตรง"))</f>
        <v/>
      </c>
      <c r="N4986" s="14">
        <f>IF(L4986="","",ROUND(L4986*'สรุป'!$C$6,-1))</f>
        <v/>
      </c>
      <c r="O4986" s="15" t="n"/>
      <c r="P4986" s="15" t="n"/>
      <c r="Q4986" s="10" t="n"/>
      <c r="R4986" s="10" t="n"/>
      <c r="S4986" s="16" t="inlineStr">
        <is>
          <t>https://mstgolf.co.th/products/gf2040117333</t>
        </is>
      </c>
      <c r="T4986" s="1">
        <f>IF(B4986="ไม้กอล์ฟ",J4986,"")</f>
        <v/>
      </c>
    </row>
    <row r="4987">
      <c r="A4987" s="1" t="n">
        <v>3</v>
      </c>
      <c r="B4987" s="1" t="inlineStr">
        <is>
          <t>เสื้อผ้า</t>
        </is>
      </c>
      <c r="C4987" s="1" t="inlineStr">
        <is>
          <t>gf2110100143</t>
        </is>
      </c>
      <c r="D4987" s="1" t="inlineStr">
        <is>
          <t>WAAC Korea Women's Arm Sleeves (Beige)</t>
        </is>
      </c>
      <c r="E4987" s="1" t="inlineStr">
        <is>
          <t>WAAC</t>
        </is>
      </c>
      <c r="F4987" s="1" t="inlineStr">
        <is>
          <t>ARM GLOVE</t>
        </is>
      </c>
      <c r="G4987" s="1" t="inlineStr">
        <is>
          <t>GF2110100143</t>
        </is>
      </c>
      <c r="H4987" s="1" t="n">
        <v>1</v>
      </c>
      <c r="I4987" s="1" t="inlineStr">
        <is>
          <t>หมด</t>
        </is>
      </c>
      <c r="J4987" s="13" t="n">
        <v>59</v>
      </c>
      <c r="K4987" s="1" t="inlineStr"/>
      <c r="L4987" s="13" t="n"/>
      <c r="M4987" s="1">
        <f>IF(L4987="","ไม่พบใน SG",IF(ABS(J4987-L4987)&lt;0.005,"ตรงกัน","ไม่ตรง"))</f>
        <v/>
      </c>
      <c r="N4987" s="14">
        <f>IF(L4987="","",ROUND(L4987*'สรุป'!$C$6,-1))</f>
        <v/>
      </c>
      <c r="O4987" s="15" t="n"/>
      <c r="P4987" s="15" t="n"/>
      <c r="Q4987" s="10" t="n"/>
      <c r="R4987" s="10" t="n"/>
      <c r="S4987" s="16" t="inlineStr">
        <is>
          <t>https://mstgolf.co.th/products/gf2110100143</t>
        </is>
      </c>
      <c r="T4987" s="1">
        <f>IF(B4987="ไม้กอล์ฟ",J4987,"")</f>
        <v/>
      </c>
    </row>
    <row r="4988">
      <c r="A4988" s="1" t="n">
        <v>3</v>
      </c>
      <c r="B4988" s="1" t="inlineStr">
        <is>
          <t>เสื้อผ้า</t>
        </is>
      </c>
      <c r="C4988" s="1" t="inlineStr">
        <is>
          <t>gf2110100144</t>
        </is>
      </c>
      <c r="D4988" s="1" t="inlineStr">
        <is>
          <t>WAAC Korea Women's Arm Sleeves (Black)</t>
        </is>
      </c>
      <c r="E4988" s="1" t="inlineStr">
        <is>
          <t>WAAC</t>
        </is>
      </c>
      <c r="F4988" s="1" t="inlineStr">
        <is>
          <t>ARM GLOVE</t>
        </is>
      </c>
      <c r="G4988" s="1" t="inlineStr">
        <is>
          <t>GF2110100144</t>
        </is>
      </c>
      <c r="H4988" s="1" t="n">
        <v>1</v>
      </c>
      <c r="I4988" s="1" t="inlineStr">
        <is>
          <t>หมด</t>
        </is>
      </c>
      <c r="J4988" s="13" t="n">
        <v>59</v>
      </c>
      <c r="K4988" s="1" t="inlineStr"/>
      <c r="L4988" s="13" t="n"/>
      <c r="M4988" s="1">
        <f>IF(L4988="","ไม่พบใน SG",IF(ABS(J4988-L4988)&lt;0.005,"ตรงกัน","ไม่ตรง"))</f>
        <v/>
      </c>
      <c r="N4988" s="14">
        <f>IF(L4988="","",ROUND(L4988*'สรุป'!$C$6,-1))</f>
        <v/>
      </c>
      <c r="O4988" s="15" t="n"/>
      <c r="P4988" s="15" t="n"/>
      <c r="Q4988" s="10" t="n"/>
      <c r="R4988" s="10" t="n"/>
      <c r="S4988" s="16" t="inlineStr">
        <is>
          <t>https://mstgolf.co.th/products/gf2110100144</t>
        </is>
      </c>
      <c r="T4988" s="1">
        <f>IF(B4988="ไม้กอล์ฟ",J4988,"")</f>
        <v/>
      </c>
    </row>
    <row r="4989">
      <c r="A4989" s="1" t="n">
        <v>3</v>
      </c>
      <c r="B4989" s="1" t="inlineStr">
        <is>
          <t>หมวก</t>
        </is>
      </c>
      <c r="C4989" s="1" t="inlineStr">
        <is>
          <t>gf2000105854</t>
        </is>
      </c>
      <c r="D4989" s="1" t="inlineStr">
        <is>
          <t>WAAC Light Weight Men's Cap (White)</t>
        </is>
      </c>
      <c r="E4989" s="1" t="inlineStr">
        <is>
          <t>WAAC</t>
        </is>
      </c>
      <c r="F4989" s="1" t="inlineStr">
        <is>
          <t>CAP</t>
        </is>
      </c>
      <c r="G4989" s="1" t="inlineStr">
        <is>
          <t>GF2000105854FS</t>
        </is>
      </c>
      <c r="H4989" s="1" t="n">
        <v>1</v>
      </c>
      <c r="I4989" s="1" t="inlineStr">
        <is>
          <t>หมด</t>
        </is>
      </c>
      <c r="J4989" s="13" t="n">
        <v>59</v>
      </c>
      <c r="K4989" s="1" t="inlineStr"/>
      <c r="L4989" s="13" t="n"/>
      <c r="M4989" s="1">
        <f>IF(L4989="","ไม่พบใน SG",IF(ABS(J4989-L4989)&lt;0.005,"ตรงกัน","ไม่ตรง"))</f>
        <v/>
      </c>
      <c r="N4989" s="14">
        <f>IF(L4989="","",ROUND(L4989*'สรุป'!$C$6,-1))</f>
        <v/>
      </c>
      <c r="O4989" s="15" t="n"/>
      <c r="P4989" s="15" t="n"/>
      <c r="Q4989" s="10" t="n"/>
      <c r="R4989" s="10" t="n"/>
      <c r="S4989" s="16" t="inlineStr">
        <is>
          <t>https://mstgolf.co.th/products/gf2000105854</t>
        </is>
      </c>
      <c r="T4989" s="1">
        <f>IF(B4989="ไม้กอล์ฟ",J4989,"")</f>
        <v/>
      </c>
    </row>
    <row r="4990">
      <c r="A4990" s="1" t="n">
        <v>3</v>
      </c>
      <c r="B4990" s="1" t="inlineStr">
        <is>
          <t>เสื้อผ้า</t>
        </is>
      </c>
      <c r="C4990" s="1" t="inlineStr">
        <is>
          <t>gf2110100174</t>
        </is>
      </c>
      <c r="D4990" s="1" t="inlineStr">
        <is>
          <t>WAAC UV Arm Sleeves (White)</t>
        </is>
      </c>
      <c r="E4990" s="1" t="inlineStr">
        <is>
          <t>WAAC</t>
        </is>
      </c>
      <c r="F4990" s="1" t="inlineStr">
        <is>
          <t>ARM GLOVE</t>
        </is>
      </c>
      <c r="G4990" s="1" t="inlineStr">
        <is>
          <t>GF2110100174M</t>
        </is>
      </c>
      <c r="H4990" s="1" t="n">
        <v>2</v>
      </c>
      <c r="I4990" s="1" t="inlineStr">
        <is>
          <t>หมด</t>
        </is>
      </c>
      <c r="J4990" s="13" t="n">
        <v>59</v>
      </c>
      <c r="K4990" s="1" t="inlineStr"/>
      <c r="L4990" s="13" t="n">
        <v>59</v>
      </c>
      <c r="M4990" s="1">
        <f>IF(L4990="","ไม่พบใน SG",IF(ABS(J4990-L4990)&lt;0.005,"ตรงกัน","ไม่ตรง"))</f>
        <v/>
      </c>
      <c r="N4990" s="14">
        <f>IF(L4990="","",ROUND(L4990*'สรุป'!$C$6,-1))</f>
        <v/>
      </c>
      <c r="O4990" s="15" t="n"/>
      <c r="P4990" s="15" t="n"/>
      <c r="Q4990" s="10" t="n"/>
      <c r="R4990" s="10" t="n"/>
      <c r="S4990" s="16" t="inlineStr">
        <is>
          <t>https://mstgolf.co.th/products/gf2110100174</t>
        </is>
      </c>
      <c r="T4990" s="1">
        <f>IF(B4990="ไม้กอล์ฟ",J4990,"")</f>
        <v/>
      </c>
    </row>
    <row r="4991">
      <c r="A4991" s="1" t="n">
        <v>3</v>
      </c>
      <c r="B4991" s="1" t="inlineStr">
        <is>
          <t>เสื้อผ้า</t>
        </is>
      </c>
      <c r="C4991" s="1" t="inlineStr">
        <is>
          <t>gf2110200023</t>
        </is>
      </c>
      <c r="D4991" s="1" t="inlineStr">
        <is>
          <t>WAAC Unisex Mask (Black)</t>
        </is>
      </c>
      <c r="E4991" s="1" t="inlineStr">
        <is>
          <t>WAAC</t>
        </is>
      </c>
      <c r="F4991" s="1" t="inlineStr">
        <is>
          <t>PROTECTION GEAR</t>
        </is>
      </c>
      <c r="G4991" s="1" t="inlineStr">
        <is>
          <t>GF2110200023M</t>
        </is>
      </c>
      <c r="H4991" s="1" t="n">
        <v>2</v>
      </c>
      <c r="I4991" s="1" t="inlineStr">
        <is>
          <t>หมด</t>
        </is>
      </c>
      <c r="J4991" s="13" t="n">
        <v>59</v>
      </c>
      <c r="K4991" s="1" t="inlineStr"/>
      <c r="L4991" s="13" t="n">
        <v>59</v>
      </c>
      <c r="M4991" s="1">
        <f>IF(L4991="","ไม่พบใน SG",IF(ABS(J4991-L4991)&lt;0.005,"ตรงกัน","ไม่ตรง"))</f>
        <v/>
      </c>
      <c r="N4991" s="14">
        <f>IF(L4991="","",ROUND(L4991*'สรุป'!$C$6,-1))</f>
        <v/>
      </c>
      <c r="O4991" s="15" t="n"/>
      <c r="P4991" s="15" t="n"/>
      <c r="Q4991" s="10" t="n"/>
      <c r="R4991" s="10" t="n"/>
      <c r="S4991" s="16" t="inlineStr">
        <is>
          <t>https://mstgolf.co.th/products/gf2110200023</t>
        </is>
      </c>
      <c r="T4991" s="1">
        <f>IF(B4991="ไม้กอล์ฟ",J4991,"")</f>
        <v/>
      </c>
    </row>
    <row r="4992">
      <c r="A4992" s="1" t="n">
        <v>3</v>
      </c>
      <c r="B4992" s="1" t="inlineStr">
        <is>
          <t>เสื้อผ้า</t>
        </is>
      </c>
      <c r="C4992" s="1" t="inlineStr">
        <is>
          <t>gf2110200024</t>
        </is>
      </c>
      <c r="D4992" s="1" t="inlineStr">
        <is>
          <t>WAAC Unisex Mask (White)</t>
        </is>
      </c>
      <c r="E4992" s="1" t="inlineStr">
        <is>
          <t>WAAC</t>
        </is>
      </c>
      <c r="F4992" s="1" t="inlineStr">
        <is>
          <t>PROTECTION GEAR</t>
        </is>
      </c>
      <c r="G4992" s="1" t="inlineStr">
        <is>
          <t>GF2110200024M</t>
        </is>
      </c>
      <c r="H4992" s="1" t="n">
        <v>2</v>
      </c>
      <c r="I4992" s="1" t="inlineStr">
        <is>
          <t>หมด</t>
        </is>
      </c>
      <c r="J4992" s="13" t="n">
        <v>59</v>
      </c>
      <c r="K4992" s="1" t="inlineStr"/>
      <c r="L4992" s="13" t="n">
        <v>59</v>
      </c>
      <c r="M4992" s="1">
        <f>IF(L4992="","ไม่พบใน SG",IF(ABS(J4992-L4992)&lt;0.005,"ตรงกัน","ไม่ตรง"))</f>
        <v/>
      </c>
      <c r="N4992" s="14">
        <f>IF(L4992="","",ROUND(L4992*'สรุป'!$C$6,-1))</f>
        <v/>
      </c>
      <c r="O4992" s="15" t="n"/>
      <c r="P4992" s="15" t="n"/>
      <c r="Q4992" s="10" t="n"/>
      <c r="R4992" s="10" t="n"/>
      <c r="S4992" s="16" t="inlineStr">
        <is>
          <t>https://mstgolf.co.th/products/gf2110200024</t>
        </is>
      </c>
      <c r="T4992" s="1">
        <f>IF(B4992="ไม้กอล์ฟ",J4992,"")</f>
        <v/>
      </c>
    </row>
    <row r="4993">
      <c r="A4993" s="1" t="n">
        <v>3</v>
      </c>
      <c r="B4993" s="1" t="inlineStr">
        <is>
          <t>อุปกรณ์เสริม</t>
        </is>
      </c>
      <c r="C4993" s="1" t="inlineStr">
        <is>
          <t>gf3500300815</t>
        </is>
      </c>
      <c r="D4993" s="1" t="inlineStr">
        <is>
          <t>TAYLORMADE True-Lite Cooler Bag</t>
        </is>
      </c>
      <c r="E4993" s="1" t="inlineStr">
        <is>
          <t>TAYLORMADE</t>
        </is>
      </c>
      <c r="F4993" s="1" t="inlineStr">
        <is>
          <t>GOLF ACCESSORIES</t>
        </is>
      </c>
      <c r="G4993" s="1" t="inlineStr">
        <is>
          <t>GF3500300815</t>
        </is>
      </c>
      <c r="H4993" s="1" t="n">
        <v>1</v>
      </c>
      <c r="I4993" s="1" t="inlineStr">
        <is>
          <t>หมด</t>
        </is>
      </c>
      <c r="J4993" s="13" t="n">
        <v>58</v>
      </c>
      <c r="K4993" s="1" t="inlineStr"/>
      <c r="L4993" s="13" t="n">
        <v>58</v>
      </c>
      <c r="M4993" s="1">
        <f>IF(L4993="","ไม่พบใน SG",IF(ABS(J4993-L4993)&lt;0.005,"ตรงกัน","ไม่ตรง"))</f>
        <v/>
      </c>
      <c r="N4993" s="14">
        <f>IF(L4993="","",ROUND(L4993*'สรุป'!$C$6,-1))</f>
        <v/>
      </c>
      <c r="O4993" s="15" t="n"/>
      <c r="P4993" s="15" t="n"/>
      <c r="Q4993" s="10" t="n"/>
      <c r="R4993" s="10" t="n"/>
      <c r="S4993" s="16" t="inlineStr">
        <is>
          <t>https://mstgolf.co.th/products/gf3500300815</t>
        </is>
      </c>
      <c r="T4993" s="1">
        <f>IF(B4993="ไม้กอล์ฟ",J4993,"")</f>
        <v/>
      </c>
    </row>
    <row r="4994">
      <c r="A4994" s="1" t="n">
        <v>3</v>
      </c>
      <c r="B4994" s="1" t="inlineStr">
        <is>
          <t>เสื้อผ้า</t>
        </is>
      </c>
      <c r="C4994" s="1" t="inlineStr">
        <is>
          <t>gf2040114224</t>
        </is>
      </c>
      <c r="D4994" s="1" t="inlineStr">
        <is>
          <t>NIKE Dri-FIT Adv Blade Print Men's Polo (Dark Smoke Grey)</t>
        </is>
      </c>
      <c r="E4994" s="1" t="inlineStr">
        <is>
          <t>NIKE</t>
        </is>
      </c>
      <c r="F4994" s="1" t="inlineStr">
        <is>
          <t>SHORT SLEEVES</t>
        </is>
      </c>
      <c r="G4994" s="1" t="inlineStr">
        <is>
          <t>GF2040114224S</t>
        </is>
      </c>
      <c r="H4994" s="1" t="n">
        <v>5</v>
      </c>
      <c r="I4994" s="1" t="inlineStr">
        <is>
          <t>หมด</t>
        </is>
      </c>
      <c r="J4994" s="13" t="n">
        <v>57</v>
      </c>
      <c r="K4994" s="1" t="inlineStr"/>
      <c r="L4994" s="13" t="n"/>
      <c r="M4994" s="1">
        <f>IF(L4994="","ไม่พบใน SG",IF(ABS(J4994-L4994)&lt;0.005,"ตรงกัน","ไม่ตรง"))</f>
        <v/>
      </c>
      <c r="N4994" s="14">
        <f>IF(L4994="","",ROUND(L4994*'สรุป'!$C$6,-1))</f>
        <v/>
      </c>
      <c r="O4994" s="15" t="n"/>
      <c r="P4994" s="15" t="n"/>
      <c r="Q4994" s="10" t="n"/>
      <c r="R4994" s="10" t="n"/>
      <c r="S4994" s="16" t="inlineStr">
        <is>
          <t>https://mstgolf.co.th/products/gf2040114224</t>
        </is>
      </c>
      <c r="T4994" s="1">
        <f>IF(B4994="ไม้กอล์ฟ",J4994,"")</f>
        <v/>
      </c>
    </row>
    <row r="4995">
      <c r="A4995" s="1" t="n">
        <v>3</v>
      </c>
      <c r="B4995" s="1" t="inlineStr">
        <is>
          <t>เสื้อผ้า</t>
        </is>
      </c>
      <c r="C4995" s="1" t="inlineStr">
        <is>
          <t>gf2040116553</t>
        </is>
      </c>
      <c r="D4995" s="1" t="inlineStr">
        <is>
          <t>NIKE Tiger Woods Dri-FIT Print Men's Polo (Gym Red)</t>
        </is>
      </c>
      <c r="E4995" s="1" t="inlineStr">
        <is>
          <t>NIKE</t>
        </is>
      </c>
      <c r="F4995" s="1" t="inlineStr">
        <is>
          <t>SHORT SLEEVES</t>
        </is>
      </c>
      <c r="G4995" s="1" t="inlineStr">
        <is>
          <t>GF2040116553S</t>
        </is>
      </c>
      <c r="H4995" s="1" t="n">
        <v>5</v>
      </c>
      <c r="I4995" s="1" t="inlineStr">
        <is>
          <t>หมด</t>
        </is>
      </c>
      <c r="J4995" s="13" t="n">
        <v>57</v>
      </c>
      <c r="K4995" s="1" t="inlineStr"/>
      <c r="L4995" s="13" t="n"/>
      <c r="M4995" s="1">
        <f>IF(L4995="","ไม่พบใน SG",IF(ABS(J4995-L4995)&lt;0.005,"ตรงกัน","ไม่ตรง"))</f>
        <v/>
      </c>
      <c r="N4995" s="14">
        <f>IF(L4995="","",ROUND(L4995*'สรุป'!$C$6,-1))</f>
        <v/>
      </c>
      <c r="O4995" s="15" t="n"/>
      <c r="P4995" s="15" t="n"/>
      <c r="Q4995" s="10" t="n"/>
      <c r="R4995" s="10" t="n"/>
      <c r="S4995" s="16" t="inlineStr">
        <is>
          <t>https://mstgolf.co.th/products/gf2040116553</t>
        </is>
      </c>
      <c r="T4995" s="1">
        <f>IF(B4995="ไม้กอล์ฟ",J4995,"")</f>
        <v/>
      </c>
    </row>
    <row r="4996">
      <c r="A4996" s="1" t="n">
        <v>3</v>
      </c>
      <c r="B4996" s="1" t="inlineStr">
        <is>
          <t>อุปกรณ์เสริม</t>
        </is>
      </c>
      <c r="C4996" s="1" t="inlineStr">
        <is>
          <t>gf3500201373</t>
        </is>
      </c>
      <c r="D4996" s="1" t="inlineStr">
        <is>
          <t>TAYLORMADE Season Opener Rescue Headcover</t>
        </is>
      </c>
      <c r="E4996" s="1" t="inlineStr">
        <is>
          <t>TAYLORMADE</t>
        </is>
      </c>
      <c r="F4996" s="1" t="inlineStr">
        <is>
          <t>HEADCOVERS</t>
        </is>
      </c>
      <c r="G4996" s="1" t="inlineStr">
        <is>
          <t>GF3500201373</t>
        </is>
      </c>
      <c r="H4996" s="1" t="n">
        <v>1</v>
      </c>
      <c r="I4996" s="1" t="inlineStr">
        <is>
          <t>หมด</t>
        </is>
      </c>
      <c r="J4996" s="13" t="n">
        <v>57</v>
      </c>
      <c r="K4996" s="1" t="inlineStr"/>
      <c r="L4996" s="13" t="n">
        <v>57</v>
      </c>
      <c r="M4996" s="1">
        <f>IF(L4996="","ไม่พบใน SG",IF(ABS(J4996-L4996)&lt;0.005,"ตรงกัน","ไม่ตรง"))</f>
        <v/>
      </c>
      <c r="N4996" s="14">
        <f>IF(L4996="","",ROUND(L4996*'สรุป'!$C$6,-1))</f>
        <v/>
      </c>
      <c r="O4996" s="15" t="n"/>
      <c r="P4996" s="15" t="n"/>
      <c r="Q4996" s="10" t="n"/>
      <c r="R4996" s="10" t="n"/>
      <c r="S4996" s="16" t="inlineStr">
        <is>
          <t>https://mstgolf.co.th/products/gf3500201373</t>
        </is>
      </c>
      <c r="T4996" s="1">
        <f>IF(B4996="ไม้กอล์ฟ",J4996,"")</f>
        <v/>
      </c>
    </row>
    <row r="4997">
      <c r="A4997" s="1" t="n">
        <v>3</v>
      </c>
      <c r="B4997" s="1" t="inlineStr">
        <is>
          <t>อุปกรณ์เสริม</t>
        </is>
      </c>
      <c r="C4997" s="1" t="inlineStr">
        <is>
          <t>gf3500201374</t>
        </is>
      </c>
      <c r="D4997" s="1" t="inlineStr">
        <is>
          <t>TAYLORMADE Season Opener Spider Putter Headcover</t>
        </is>
      </c>
      <c r="E4997" s="1" t="inlineStr">
        <is>
          <t>TAYLORMADE</t>
        </is>
      </c>
      <c r="F4997" s="1" t="inlineStr">
        <is>
          <t>HEADCOVERS</t>
        </is>
      </c>
      <c r="G4997" s="1" t="inlineStr">
        <is>
          <t>GF3500201374</t>
        </is>
      </c>
      <c r="H4997" s="1" t="n">
        <v>1</v>
      </c>
      <c r="I4997" s="1" t="inlineStr">
        <is>
          <t>หมด</t>
        </is>
      </c>
      <c r="J4997" s="13" t="n">
        <v>57</v>
      </c>
      <c r="K4997" s="1" t="inlineStr"/>
      <c r="L4997" s="13" t="n">
        <v>57</v>
      </c>
      <c r="M4997" s="1">
        <f>IF(L4997="","ไม่พบใน SG",IF(ABS(J4997-L4997)&lt;0.005,"ตรงกัน","ไม่ตรง"))</f>
        <v/>
      </c>
      <c r="N4997" s="14">
        <f>IF(L4997="","",ROUND(L4997*'สรุป'!$C$6,-1))</f>
        <v/>
      </c>
      <c r="O4997" s="15" t="n"/>
      <c r="P4997" s="15" t="n"/>
      <c r="Q4997" s="10" t="n"/>
      <c r="R4997" s="10" t="n"/>
      <c r="S4997" s="16" t="inlineStr">
        <is>
          <t>https://mstgolf.co.th/products/gf3500201374</t>
        </is>
      </c>
      <c r="T4997" s="1">
        <f>IF(B4997="ไม้กอล์ฟ",J4997,"")</f>
        <v/>
      </c>
    </row>
    <row r="4998">
      <c r="A4998" s="1" t="n">
        <v>3</v>
      </c>
      <c r="B4998" s="1" t="inlineStr">
        <is>
          <t>เสื้อผ้า</t>
        </is>
      </c>
      <c r="C4998" s="1" t="inlineStr">
        <is>
          <t>gf2040117613</t>
        </is>
      </c>
      <c r="D4998" s="1" t="inlineStr">
        <is>
          <t>ADIDAS Essential 3-Stripes Men's Polo (Green)</t>
        </is>
      </c>
      <c r="E4998" s="1" t="inlineStr">
        <is>
          <t>ADIDAS</t>
        </is>
      </c>
      <c r="F4998" s="1" t="inlineStr">
        <is>
          <t>SHORT SLEEVES</t>
        </is>
      </c>
      <c r="G4998" s="1" t="inlineStr">
        <is>
          <t>GF2040117613XS</t>
        </is>
      </c>
      <c r="H4998" s="1" t="n">
        <v>7</v>
      </c>
      <c r="I4998" s="1" t="inlineStr">
        <is>
          <t>หมด</t>
        </is>
      </c>
      <c r="J4998" s="13" t="n">
        <v>55</v>
      </c>
      <c r="K4998" s="1" t="inlineStr"/>
      <c r="L4998" s="13" t="n">
        <v>55</v>
      </c>
      <c r="M4998" s="1">
        <f>IF(L4998="","ไม่พบใน SG",IF(ABS(J4998-L4998)&lt;0.005,"ตรงกัน","ไม่ตรง"))</f>
        <v/>
      </c>
      <c r="N4998" s="14">
        <f>IF(L4998="","",ROUND(L4998*'สรุป'!$C$6,-1))</f>
        <v/>
      </c>
      <c r="O4998" s="15" t="n"/>
      <c r="P4998" s="15" t="n"/>
      <c r="Q4998" s="10" t="n"/>
      <c r="R4998" s="10" t="n"/>
      <c r="S4998" s="16" t="inlineStr">
        <is>
          <t>https://mstgolf.co.th/products/gf2040117613</t>
        </is>
      </c>
      <c r="T4998" s="1">
        <f>IF(B4998="ไม้กอล์ฟ",J4998,"")</f>
        <v/>
      </c>
    </row>
    <row r="4999">
      <c r="A4999" s="1" t="n">
        <v>3</v>
      </c>
      <c r="B4999" s="1" t="inlineStr">
        <is>
          <t>เสื้อผ้า</t>
        </is>
      </c>
      <c r="C4999" s="1" t="inlineStr">
        <is>
          <t>gf2040117636</t>
        </is>
      </c>
      <c r="D4999" s="1" t="inlineStr">
        <is>
          <t>ADIDAS Go-To Deboss Women's Polo (Red)</t>
        </is>
      </c>
      <c r="E4999" s="1" t="inlineStr">
        <is>
          <t>ADIDAS</t>
        </is>
      </c>
      <c r="F4999" s="1" t="inlineStr">
        <is>
          <t>SHORT SLEEVES</t>
        </is>
      </c>
      <c r="G4999" s="1" t="inlineStr">
        <is>
          <t>GF2040117636XS</t>
        </is>
      </c>
      <c r="H4999" s="1" t="n">
        <v>6</v>
      </c>
      <c r="I4999" s="1" t="inlineStr">
        <is>
          <t>หมด</t>
        </is>
      </c>
      <c r="J4999" s="13" t="n">
        <v>55</v>
      </c>
      <c r="K4999" s="1" t="inlineStr"/>
      <c r="L4999" s="13" t="n">
        <v>55</v>
      </c>
      <c r="M4999" s="1">
        <f>IF(L4999="","ไม่พบใน SG",IF(ABS(J4999-L4999)&lt;0.005,"ตรงกัน","ไม่ตรง"))</f>
        <v/>
      </c>
      <c r="N4999" s="14">
        <f>IF(L4999="","",ROUND(L4999*'สรุป'!$C$6,-1))</f>
        <v/>
      </c>
      <c r="O4999" s="15" t="n"/>
      <c r="P4999" s="15" t="n"/>
      <c r="Q4999" s="10" t="n"/>
      <c r="R4999" s="10" t="n"/>
      <c r="S4999" s="16" t="inlineStr">
        <is>
          <t>https://mstgolf.co.th/products/gf2040117636</t>
        </is>
      </c>
      <c r="T4999" s="1">
        <f>IF(B4999="ไม้กอล์ฟ",J4999,"")</f>
        <v/>
      </c>
    </row>
    <row r="5000">
      <c r="A5000" s="1" t="n">
        <v>3</v>
      </c>
      <c r="B5000" s="1" t="inlineStr">
        <is>
          <t>หมวก</t>
        </is>
      </c>
      <c r="C5000" s="1" t="inlineStr">
        <is>
          <t>gf2000300362</t>
        </is>
      </c>
      <c r="D5000" s="1" t="inlineStr">
        <is>
          <t>ADIDAS Men's Bucket Hat (Black)</t>
        </is>
      </c>
      <c r="E5000" s="1" t="inlineStr">
        <is>
          <t>ADIDAS</t>
        </is>
      </c>
      <c r="F5000" s="1" t="inlineStr">
        <is>
          <t>HAT</t>
        </is>
      </c>
      <c r="G5000" s="1" t="inlineStr">
        <is>
          <t>GF2000300362FS</t>
        </is>
      </c>
      <c r="H5000" s="1" t="n">
        <v>1</v>
      </c>
      <c r="I5000" s="1" t="inlineStr">
        <is>
          <t>หมด</t>
        </is>
      </c>
      <c r="J5000" s="13" t="n">
        <v>55</v>
      </c>
      <c r="K5000" s="1" t="inlineStr"/>
      <c r="L5000" s="13" t="n"/>
      <c r="M5000" s="1">
        <f>IF(L5000="","ไม่พบใน SG",IF(ABS(J5000-L5000)&lt;0.005,"ตรงกัน","ไม่ตรง"))</f>
        <v/>
      </c>
      <c r="N5000" s="14">
        <f>IF(L5000="","",ROUND(L5000*'สรุป'!$C$6,-1))</f>
        <v/>
      </c>
      <c r="O5000" s="15" t="n"/>
      <c r="P5000" s="15" t="n"/>
      <c r="Q5000" s="10" t="n"/>
      <c r="R5000" s="10" t="n"/>
      <c r="S5000" s="16" t="inlineStr">
        <is>
          <t>https://mstgolf.co.th/products/gf2000300362</t>
        </is>
      </c>
      <c r="T5000" s="1">
        <f>IF(B5000="ไม้กอล์ฟ",J5000,"")</f>
        <v/>
      </c>
    </row>
    <row r="5001">
      <c r="A5001" s="1" t="n">
        <v>3</v>
      </c>
      <c r="B5001" s="1" t="inlineStr">
        <is>
          <t>เสื้อผ้า</t>
        </is>
      </c>
      <c r="C5001" s="1" t="inlineStr">
        <is>
          <t>gf2040117589</t>
        </is>
      </c>
      <c r="D5001" s="1" t="inlineStr">
        <is>
          <t>CALVIN KLEIN Canvas Print Women's Sleeveless Polo (Berry Pink)</t>
        </is>
      </c>
      <c r="E5001" s="1" t="inlineStr">
        <is>
          <t>CALVIN KLEIN</t>
        </is>
      </c>
      <c r="F5001" s="1" t="inlineStr">
        <is>
          <t>SHORT SLEEVES</t>
        </is>
      </c>
      <c r="G5001" s="1" t="inlineStr">
        <is>
          <t>GF2040117589XS</t>
        </is>
      </c>
      <c r="H5001" s="1" t="n">
        <v>5</v>
      </c>
      <c r="I5001" s="1" t="inlineStr">
        <is>
          <t>หมด</t>
        </is>
      </c>
      <c r="J5001" s="13" t="n">
        <v>55</v>
      </c>
      <c r="K5001" s="1" t="inlineStr"/>
      <c r="L5001" s="13" t="n"/>
      <c r="M5001" s="1">
        <f>IF(L5001="","ไม่พบใน SG",IF(ABS(J5001-L5001)&lt;0.005,"ตรงกัน","ไม่ตรง"))</f>
        <v/>
      </c>
      <c r="N5001" s="14">
        <f>IF(L5001="","",ROUND(L5001*'สรุป'!$C$6,-1))</f>
        <v/>
      </c>
      <c r="O5001" s="15" t="n"/>
      <c r="P5001" s="15" t="n"/>
      <c r="Q5001" s="10" t="n"/>
      <c r="R5001" s="10" t="n"/>
      <c r="S5001" s="16" t="inlineStr">
        <is>
          <t>https://mstgolf.co.th/products/gf2040117589</t>
        </is>
      </c>
      <c r="T5001" s="1">
        <f>IF(B5001="ไม้กอล์ฟ",J5001,"")</f>
        <v/>
      </c>
    </row>
    <row r="5002">
      <c r="A5002" s="1" t="n">
        <v>3</v>
      </c>
      <c r="B5002" s="1" t="inlineStr">
        <is>
          <t>เสื้อผ้า</t>
        </is>
      </c>
      <c r="C5002" s="1" t="inlineStr">
        <is>
          <t>gf2040117521</t>
        </is>
      </c>
      <c r="D5002" s="1" t="inlineStr">
        <is>
          <t>CALVIN KLEIN Leaf Print Men's Polo (Red/White)</t>
        </is>
      </c>
      <c r="E5002" s="1" t="inlineStr">
        <is>
          <t>CALVIN KLEIN</t>
        </is>
      </c>
      <c r="F5002" s="1" t="inlineStr">
        <is>
          <t>SHORT SLEEVES</t>
        </is>
      </c>
      <c r="G5002" s="1" t="inlineStr">
        <is>
          <t>GF2040117521S</t>
        </is>
      </c>
      <c r="H5002" s="1" t="n">
        <v>5</v>
      </c>
      <c r="I5002" s="1" t="inlineStr">
        <is>
          <t>หมด</t>
        </is>
      </c>
      <c r="J5002" s="13" t="n">
        <v>55</v>
      </c>
      <c r="K5002" s="1" t="inlineStr"/>
      <c r="L5002" s="13" t="n">
        <v>55</v>
      </c>
      <c r="M5002" s="1">
        <f>IF(L5002="","ไม่พบใน SG",IF(ABS(J5002-L5002)&lt;0.005,"ตรงกัน","ไม่ตรง"))</f>
        <v/>
      </c>
      <c r="N5002" s="14">
        <f>IF(L5002="","",ROUND(L5002*'สรุป'!$C$6,-1))</f>
        <v/>
      </c>
      <c r="O5002" s="15" t="n"/>
      <c r="P5002" s="15" t="n"/>
      <c r="Q5002" s="10" t="n"/>
      <c r="R5002" s="10" t="n"/>
      <c r="S5002" s="16" t="inlineStr">
        <is>
          <t>https://mstgolf.co.th/products/gf2040117521</t>
        </is>
      </c>
      <c r="T5002" s="1">
        <f>IF(B5002="ไม้กอล์ฟ",J5002,"")</f>
        <v/>
      </c>
    </row>
    <row r="5003">
      <c r="A5003" s="1" t="n">
        <v>3</v>
      </c>
      <c r="B5003" s="1" t="inlineStr">
        <is>
          <t>เสื้อผ้า</t>
        </is>
      </c>
      <c r="C5003" s="1" t="inlineStr">
        <is>
          <t>gf2040118551</t>
        </is>
      </c>
      <c r="D5003" s="1" t="inlineStr">
        <is>
          <t>CUTTER &amp; BUCK Pike Eco Flora Print Men's Polo (Polished)</t>
        </is>
      </c>
      <c r="E5003" s="1" t="inlineStr">
        <is>
          <t>CUTTER &amp; BUCK</t>
        </is>
      </c>
      <c r="F5003" s="1" t="inlineStr">
        <is>
          <t>SHORT SLEEVES</t>
        </is>
      </c>
      <c r="G5003" s="1" t="inlineStr">
        <is>
          <t>GF2040118551XS</t>
        </is>
      </c>
      <c r="H5003" s="1" t="n">
        <v>6</v>
      </c>
      <c r="I5003" s="1" t="inlineStr">
        <is>
          <t>หมด</t>
        </is>
      </c>
      <c r="J5003" s="13" t="n">
        <v>55</v>
      </c>
      <c r="K5003" s="1" t="inlineStr"/>
      <c r="L5003" s="13" t="n"/>
      <c r="M5003" s="1">
        <f>IF(L5003="","ไม่พบใน SG",IF(ABS(J5003-L5003)&lt;0.005,"ตรงกัน","ไม่ตรง"))</f>
        <v/>
      </c>
      <c r="N5003" s="14">
        <f>IF(L5003="","",ROUND(L5003*'สรุป'!$C$6,-1))</f>
        <v/>
      </c>
      <c r="O5003" s="15" t="n"/>
      <c r="P5003" s="15" t="n"/>
      <c r="Q5003" s="10" t="n"/>
      <c r="R5003" s="10" t="n"/>
      <c r="S5003" s="16" t="inlineStr">
        <is>
          <t>https://mstgolf.co.th/products/gf2040118551</t>
        </is>
      </c>
      <c r="T5003" s="1">
        <f>IF(B5003="ไม้กอล์ฟ",J5003,"")</f>
        <v/>
      </c>
    </row>
    <row r="5004">
      <c r="A5004" s="1" t="n">
        <v>3</v>
      </c>
      <c r="B5004" s="1" t="inlineStr">
        <is>
          <t>เสื้อผ้า</t>
        </is>
      </c>
      <c r="C5004" s="1" t="inlineStr">
        <is>
          <t>gf2040118221</t>
        </is>
      </c>
      <c r="D5004" s="1" t="inlineStr">
        <is>
          <t>CUTTER &amp; BUCK Pike Eco Shadow Check Print Men’s Polo (Black)</t>
        </is>
      </c>
      <c r="E5004" s="1" t="inlineStr">
        <is>
          <t>CUTTER &amp; BUCK</t>
        </is>
      </c>
      <c r="F5004" s="1" t="inlineStr">
        <is>
          <t>SHORT SLEEVES</t>
        </is>
      </c>
      <c r="G5004" s="1" t="inlineStr">
        <is>
          <t>GF2040118221XS</t>
        </is>
      </c>
      <c r="H5004" s="1" t="n">
        <v>6</v>
      </c>
      <c r="I5004" s="1" t="inlineStr">
        <is>
          <t>หมด</t>
        </is>
      </c>
      <c r="J5004" s="13" t="n">
        <v>55</v>
      </c>
      <c r="K5004" s="1" t="inlineStr"/>
      <c r="L5004" s="13" t="n"/>
      <c r="M5004" s="1">
        <f>IF(L5004="","ไม่พบใน SG",IF(ABS(J5004-L5004)&lt;0.005,"ตรงกัน","ไม่ตรง"))</f>
        <v/>
      </c>
      <c r="N5004" s="14">
        <f>IF(L5004="","",ROUND(L5004*'สรุป'!$C$6,-1))</f>
        <v/>
      </c>
      <c r="O5004" s="15" t="n"/>
      <c r="P5004" s="15" t="n"/>
      <c r="Q5004" s="10" t="n"/>
      <c r="R5004" s="10" t="n"/>
      <c r="S5004" s="16" t="inlineStr">
        <is>
          <t>https://mstgolf.co.th/products/gf2040118221</t>
        </is>
      </c>
      <c r="T5004" s="1">
        <f>IF(B5004="ไม้กอล์ฟ",J5004,"")</f>
        <v/>
      </c>
    </row>
    <row r="5005">
      <c r="A5005" s="1" t="n">
        <v>3</v>
      </c>
      <c r="B5005" s="1" t="inlineStr">
        <is>
          <t>เสื้อผ้า</t>
        </is>
      </c>
      <c r="C5005" s="1" t="inlineStr">
        <is>
          <t>gf2040118553</t>
        </is>
      </c>
      <c r="D5005" s="1" t="inlineStr">
        <is>
          <t>CUTTER &amp; BUCK Pike Eco Shadow Check Print Men’s Polo (Hyacinth)</t>
        </is>
      </c>
      <c r="E5005" s="1" t="inlineStr">
        <is>
          <t>CUTTER &amp; BUCK</t>
        </is>
      </c>
      <c r="F5005" s="1" t="inlineStr">
        <is>
          <t>SHORT SLEEVES</t>
        </is>
      </c>
      <c r="G5005" s="1" t="inlineStr">
        <is>
          <t>GF2040118553XS</t>
        </is>
      </c>
      <c r="H5005" s="1" t="n">
        <v>6</v>
      </c>
      <c r="I5005" s="1" t="inlineStr">
        <is>
          <t>หมด</t>
        </is>
      </c>
      <c r="J5005" s="13" t="n">
        <v>55</v>
      </c>
      <c r="K5005" s="1" t="inlineStr"/>
      <c r="L5005" s="13" t="n"/>
      <c r="M5005" s="1">
        <f>IF(L5005="","ไม่พบใน SG",IF(ABS(J5005-L5005)&lt;0.005,"ตรงกัน","ไม่ตรง"))</f>
        <v/>
      </c>
      <c r="N5005" s="14">
        <f>IF(L5005="","",ROUND(L5005*'สรุป'!$C$6,-1))</f>
        <v/>
      </c>
      <c r="O5005" s="15" t="n"/>
      <c r="P5005" s="15" t="n"/>
      <c r="Q5005" s="10" t="n"/>
      <c r="R5005" s="10" t="n"/>
      <c r="S5005" s="16" t="inlineStr">
        <is>
          <t>https://mstgolf.co.th/products/gf2040118553</t>
        </is>
      </c>
      <c r="T5005" s="1">
        <f>IF(B5005="ไม้กอล์ฟ",J5005,"")</f>
        <v/>
      </c>
    </row>
    <row r="5006">
      <c r="A5006" s="1" t="n">
        <v>3</v>
      </c>
      <c r="B5006" s="1" t="inlineStr">
        <is>
          <t>เสื้อผ้า</t>
        </is>
      </c>
      <c r="C5006" s="1" t="inlineStr">
        <is>
          <t>gf2040117720</t>
        </is>
      </c>
      <c r="D5006" s="1" t="inlineStr">
        <is>
          <t>CUTTER &amp; BUCK Pike Eco Symmetry Print Men's Polo (White/Red)</t>
        </is>
      </c>
      <c r="E5006" s="1" t="inlineStr">
        <is>
          <t>CUTTER &amp; BUCK</t>
        </is>
      </c>
      <c r="F5006" s="1" t="inlineStr">
        <is>
          <t>SHORT SLEEVES</t>
        </is>
      </c>
      <c r="G5006" s="1" t="inlineStr">
        <is>
          <t>GF2040117720XS</t>
        </is>
      </c>
      <c r="H5006" s="1" t="n">
        <v>6</v>
      </c>
      <c r="I5006" s="1" t="inlineStr">
        <is>
          <t>หมด</t>
        </is>
      </c>
      <c r="J5006" s="13" t="n">
        <v>55</v>
      </c>
      <c r="K5006" s="1" t="inlineStr"/>
      <c r="L5006" s="13" t="n"/>
      <c r="M5006" s="1">
        <f>IF(L5006="","ไม่พบใน SG",IF(ABS(J5006-L5006)&lt;0.005,"ตรงกัน","ไม่ตรง"))</f>
        <v/>
      </c>
      <c r="N5006" s="14">
        <f>IF(L5006="","",ROUND(L5006*'สรุป'!$C$6,-1))</f>
        <v/>
      </c>
      <c r="O5006" s="15" t="n"/>
      <c r="P5006" s="15" t="n"/>
      <c r="Q5006" s="10" t="n"/>
      <c r="R5006" s="10" t="n"/>
      <c r="S5006" s="16" t="inlineStr">
        <is>
          <t>https://mstgolf.co.th/products/gf2040117720</t>
        </is>
      </c>
      <c r="T5006" s="1">
        <f>IF(B5006="ไม้กอล์ฟ",J5006,"")</f>
        <v/>
      </c>
    </row>
    <row r="5007">
      <c r="A5007" s="1" t="n">
        <v>3</v>
      </c>
      <c r="B5007" s="1" t="inlineStr">
        <is>
          <t>อุปกรณ์เสริม</t>
        </is>
      </c>
      <c r="C5007" s="1" t="inlineStr">
        <is>
          <t>gf3500201765</t>
        </is>
      </c>
      <c r="D5007" s="1" t="inlineStr">
        <is>
          <t>LE COQ SPORTIF GOLF Multi-Flying Pattern Driver Headcover (Black)</t>
        </is>
      </c>
      <c r="E5007" s="1" t="inlineStr">
        <is>
          <t>LE COQ SPORTIF GOLF</t>
        </is>
      </c>
      <c r="F5007" s="1" t="inlineStr">
        <is>
          <t>HEADCOVERS</t>
        </is>
      </c>
      <c r="G5007" s="1" t="inlineStr">
        <is>
          <t>GF3500201765</t>
        </is>
      </c>
      <c r="H5007" s="1" t="n">
        <v>1</v>
      </c>
      <c r="I5007" s="1" t="inlineStr">
        <is>
          <t>หมด</t>
        </is>
      </c>
      <c r="J5007" s="13" t="n">
        <v>55</v>
      </c>
      <c r="K5007" s="1" t="inlineStr"/>
      <c r="L5007" s="13" t="n">
        <v>55</v>
      </c>
      <c r="M5007" s="1">
        <f>IF(L5007="","ไม่พบใน SG",IF(ABS(J5007-L5007)&lt;0.005,"ตรงกัน","ไม่ตรง"))</f>
        <v/>
      </c>
      <c r="N5007" s="14">
        <f>IF(L5007="","",ROUND(L5007*'สรุป'!$C$6,-1))</f>
        <v/>
      </c>
      <c r="O5007" s="15" t="n"/>
      <c r="P5007" s="15" t="n"/>
      <c r="Q5007" s="10" t="n"/>
      <c r="R5007" s="10" t="n"/>
      <c r="S5007" s="16" t="inlineStr">
        <is>
          <t>https://mstgolf.co.th/products/gf3500201765</t>
        </is>
      </c>
      <c r="T5007" s="1">
        <f>IF(B5007="ไม้กอล์ฟ",J5007,"")</f>
        <v/>
      </c>
    </row>
    <row r="5008">
      <c r="A5008" s="1" t="n">
        <v>3</v>
      </c>
      <c r="B5008" s="1" t="inlineStr">
        <is>
          <t>อุปกรณ์เสริม</t>
        </is>
      </c>
      <c r="C5008" s="1" t="inlineStr">
        <is>
          <t>gf2100200692</t>
        </is>
      </c>
      <c r="D5008" s="1" t="inlineStr">
        <is>
          <t>MALBON GOLF Riviera Towel (Multi Colour)</t>
        </is>
      </c>
      <c r="E5008" s="1" t="inlineStr">
        <is>
          <t>MALBON GOLF</t>
        </is>
      </c>
      <c r="F5008" s="1" t="inlineStr">
        <is>
          <t>HAND/CLUB TOWEL</t>
        </is>
      </c>
      <c r="G5008" s="1" t="inlineStr">
        <is>
          <t>GF2100200692</t>
        </is>
      </c>
      <c r="H5008" s="1" t="n">
        <v>1</v>
      </c>
      <c r="I5008" s="1" t="inlineStr">
        <is>
          <t>หมด</t>
        </is>
      </c>
      <c r="J5008" s="13" t="n">
        <v>55</v>
      </c>
      <c r="K5008" s="1" t="inlineStr"/>
      <c r="L5008" s="13" t="n">
        <v>55</v>
      </c>
      <c r="M5008" s="1">
        <f>IF(L5008="","ไม่พบใน SG",IF(ABS(J5008-L5008)&lt;0.005,"ตรงกัน","ไม่ตรง"))</f>
        <v/>
      </c>
      <c r="N5008" s="14">
        <f>IF(L5008="","",ROUND(L5008*'สรุป'!$C$6,-1))</f>
        <v/>
      </c>
      <c r="O5008" s="15" t="n"/>
      <c r="P5008" s="15" t="n"/>
      <c r="Q5008" s="10" t="n"/>
      <c r="R5008" s="10" t="n"/>
      <c r="S5008" s="16" t="inlineStr">
        <is>
          <t>https://mstgolf.co.th/products/gf2100200692</t>
        </is>
      </c>
      <c r="T5008" s="1">
        <f>IF(B5008="ไม้กอล์ฟ",J5008,"")</f>
        <v/>
      </c>
    </row>
    <row r="5009">
      <c r="A5009" s="1" t="n">
        <v>3</v>
      </c>
      <c r="B5009" s="1" t="inlineStr">
        <is>
          <t>อุปกรณ์เสริม</t>
        </is>
      </c>
      <c r="C5009" s="1" t="inlineStr">
        <is>
          <t>gf2100200691</t>
        </is>
      </c>
      <c r="D5009" s="1" t="inlineStr">
        <is>
          <t>MALBON GOLF Swing Towel (White)</t>
        </is>
      </c>
      <c r="E5009" s="1" t="inlineStr">
        <is>
          <t>MALBON GOLF</t>
        </is>
      </c>
      <c r="F5009" s="1" t="inlineStr">
        <is>
          <t>HAND/CLUB TOWEL</t>
        </is>
      </c>
      <c r="G5009" s="1" t="inlineStr">
        <is>
          <t>GF2100200691</t>
        </is>
      </c>
      <c r="H5009" s="1" t="n">
        <v>1</v>
      </c>
      <c r="I5009" s="1" t="inlineStr">
        <is>
          <t>หมด</t>
        </is>
      </c>
      <c r="J5009" s="13" t="n">
        <v>55</v>
      </c>
      <c r="K5009" s="1" t="inlineStr"/>
      <c r="L5009" s="13" t="n">
        <v>55</v>
      </c>
      <c r="M5009" s="1">
        <f>IF(L5009="","ไม่พบใน SG",IF(ABS(J5009-L5009)&lt;0.005,"ตรงกัน","ไม่ตรง"))</f>
        <v/>
      </c>
      <c r="N5009" s="14">
        <f>IF(L5009="","",ROUND(L5009*'สรุป'!$C$6,-1))</f>
        <v/>
      </c>
      <c r="O5009" s="15" t="n"/>
      <c r="P5009" s="15" t="n"/>
      <c r="Q5009" s="10" t="n"/>
      <c r="R5009" s="10" t="n"/>
      <c r="S5009" s="16" t="inlineStr">
        <is>
          <t>https://mstgolf.co.th/products/gf2100200691</t>
        </is>
      </c>
      <c r="T5009" s="1">
        <f>IF(B5009="ไม้กอล์ฟ",J5009,"")</f>
        <v/>
      </c>
    </row>
    <row r="5010">
      <c r="A5010" s="1" t="n">
        <v>3</v>
      </c>
      <c r="B5010" s="1" t="inlineStr">
        <is>
          <t>เสื้อผ้า</t>
        </is>
      </c>
      <c r="C5010" s="1" t="inlineStr">
        <is>
          <t>gf2020101838</t>
        </is>
      </c>
      <c r="D5010" s="1" t="inlineStr">
        <is>
          <t>NIKE Dri-FIT UV Chino Men's Pants (Black)</t>
        </is>
      </c>
      <c r="E5010" s="1" t="inlineStr">
        <is>
          <t>NIKE</t>
        </is>
      </c>
      <c r="F5010" s="1" t="inlineStr">
        <is>
          <t>LONG PANTS</t>
        </is>
      </c>
      <c r="G5010" s="1" t="inlineStr">
        <is>
          <t>GF202010183830</t>
        </is>
      </c>
      <c r="H5010" s="1" t="n">
        <v>8</v>
      </c>
      <c r="I5010" s="1" t="inlineStr">
        <is>
          <t>หมด</t>
        </is>
      </c>
      <c r="J5010" s="13" t="n">
        <v>55</v>
      </c>
      <c r="K5010" s="1" t="inlineStr"/>
      <c r="L5010" s="13" t="n"/>
      <c r="M5010" s="1">
        <f>IF(L5010="","ไม่พบใน SG",IF(ABS(J5010-L5010)&lt;0.005,"ตรงกัน","ไม่ตรง"))</f>
        <v/>
      </c>
      <c r="N5010" s="14">
        <f>IF(L5010="","",ROUND(L5010*'สรุป'!$C$6,-1))</f>
        <v/>
      </c>
      <c r="O5010" s="15" t="n"/>
      <c r="P5010" s="15" t="n"/>
      <c r="Q5010" s="10" t="n"/>
      <c r="R5010" s="10" t="n"/>
      <c r="S5010" s="16" t="inlineStr">
        <is>
          <t>https://mstgolf.co.th/products/gf2020101838</t>
        </is>
      </c>
      <c r="T5010" s="1">
        <f>IF(B5010="ไม้กอล์ฟ",J5010,"")</f>
        <v/>
      </c>
    </row>
    <row r="5011">
      <c r="A5011" s="1" t="n">
        <v>3</v>
      </c>
      <c r="B5011" s="1" t="inlineStr">
        <is>
          <t>เสื้อผ้า</t>
        </is>
      </c>
      <c r="C5011" s="1" t="inlineStr">
        <is>
          <t>gf2020202326</t>
        </is>
      </c>
      <c r="D5011" s="1" t="inlineStr">
        <is>
          <t>PUMA Pleated Leopard Skirt (White/Vine)</t>
        </is>
      </c>
      <c r="E5011" s="1" t="inlineStr">
        <is>
          <t>PUMA</t>
        </is>
      </c>
      <c r="F5011" s="1" t="inlineStr">
        <is>
          <t>SHORT PANTS</t>
        </is>
      </c>
      <c r="G5011" s="1" t="inlineStr">
        <is>
          <t>GF2020202326XS</t>
        </is>
      </c>
      <c r="H5011" s="1" t="n">
        <v>5</v>
      </c>
      <c r="I5011" s="1" t="inlineStr">
        <is>
          <t>หมด</t>
        </is>
      </c>
      <c r="J5011" s="13" t="n">
        <v>55</v>
      </c>
      <c r="K5011" s="1" t="inlineStr"/>
      <c r="L5011" s="13" t="n"/>
      <c r="M5011" s="1">
        <f>IF(L5011="","ไม่พบใน SG",IF(ABS(J5011-L5011)&lt;0.005,"ตรงกัน","ไม่ตรง"))</f>
        <v/>
      </c>
      <c r="N5011" s="14">
        <f>IF(L5011="","",ROUND(L5011*'สรุป'!$C$6,-1))</f>
        <v/>
      </c>
      <c r="O5011" s="15" t="n"/>
      <c r="P5011" s="15" t="n"/>
      <c r="Q5011" s="10" t="n"/>
      <c r="R5011" s="10" t="n"/>
      <c r="S5011" s="16" t="inlineStr">
        <is>
          <t>https://mstgolf.co.th/products/gf2020202326</t>
        </is>
      </c>
      <c r="T5011" s="1">
        <f>IF(B5011="ไม้กอล์ฟ",J5011,"")</f>
        <v/>
      </c>
    </row>
    <row r="5012">
      <c r="A5012" s="1" t="n">
        <v>3</v>
      </c>
      <c r="B5012" s="1" t="inlineStr">
        <is>
          <t>หมวก</t>
        </is>
      </c>
      <c r="C5012" s="1" t="inlineStr">
        <is>
          <t>gf2000106125</t>
        </is>
      </c>
      <c r="D5012" s="1" t="inlineStr">
        <is>
          <t>TAYLORMADE British Open 2024 9THIRTY Men's Cap (Navy)</t>
        </is>
      </c>
      <c r="E5012" s="1" t="inlineStr">
        <is>
          <t>TAYLORMADE</t>
        </is>
      </c>
      <c r="F5012" s="1" t="inlineStr">
        <is>
          <t>CAP</t>
        </is>
      </c>
      <c r="G5012" s="1" t="inlineStr">
        <is>
          <t>GF2000106125FS</t>
        </is>
      </c>
      <c r="H5012" s="1" t="n">
        <v>1</v>
      </c>
      <c r="I5012" s="1" t="inlineStr">
        <is>
          <t>หมด</t>
        </is>
      </c>
      <c r="J5012" s="13" t="n">
        <v>55</v>
      </c>
      <c r="K5012" s="1" t="inlineStr"/>
      <c r="L5012" s="13" t="n">
        <v>35</v>
      </c>
      <c r="M5012" s="1">
        <f>IF(L5012="","ไม่พบใน SG",IF(ABS(J5012-L5012)&lt;0.005,"ตรงกัน","ไม่ตรง"))</f>
        <v/>
      </c>
      <c r="N5012" s="14">
        <f>IF(L5012="","",ROUND(L5012*'สรุป'!$C$6,-1))</f>
        <v/>
      </c>
      <c r="O5012" s="15" t="n"/>
      <c r="P5012" s="15" t="n"/>
      <c r="Q5012" s="10" t="n"/>
      <c r="R5012" s="10" t="n"/>
      <c r="S5012" s="16" t="inlineStr">
        <is>
          <t>https://mstgolf.co.th/products/gf2000106125</t>
        </is>
      </c>
      <c r="T5012" s="1">
        <f>IF(B5012="ไม้กอล์ฟ",J5012,"")</f>
        <v/>
      </c>
    </row>
    <row r="5013">
      <c r="A5013" s="1" t="n">
        <v>3</v>
      </c>
      <c r="B5013" s="1" t="inlineStr">
        <is>
          <t>หมวก</t>
        </is>
      </c>
      <c r="C5013" s="1" t="inlineStr">
        <is>
          <t>gf2000105166</t>
        </is>
      </c>
      <c r="D5013" s="1" t="inlineStr">
        <is>
          <t>TAYLORMADE Golf Logo Men's Cap (White)</t>
        </is>
      </c>
      <c r="E5013" s="1" t="inlineStr">
        <is>
          <t>TAYLORMADE</t>
        </is>
      </c>
      <c r="F5013" s="1" t="inlineStr">
        <is>
          <t>CAP</t>
        </is>
      </c>
      <c r="G5013" s="1" t="inlineStr">
        <is>
          <t>GF2000105166FS</t>
        </is>
      </c>
      <c r="H5013" s="1" t="n">
        <v>1</v>
      </c>
      <c r="I5013" s="1" t="inlineStr">
        <is>
          <t>หมด</t>
        </is>
      </c>
      <c r="J5013" s="13" t="n">
        <v>55</v>
      </c>
      <c r="K5013" s="1" t="inlineStr"/>
      <c r="L5013" s="13" t="n">
        <v>55</v>
      </c>
      <c r="M5013" s="1">
        <f>IF(L5013="","ไม่พบใน SG",IF(ABS(J5013-L5013)&lt;0.005,"ตรงกัน","ไม่ตรง"))</f>
        <v/>
      </c>
      <c r="N5013" s="14">
        <f>IF(L5013="","",ROUND(L5013*'สรุป'!$C$6,-1))</f>
        <v/>
      </c>
      <c r="O5013" s="15" t="n"/>
      <c r="P5013" s="15" t="n"/>
      <c r="Q5013" s="10" t="n"/>
      <c r="R5013" s="10" t="n"/>
      <c r="S5013" s="16" t="inlineStr">
        <is>
          <t>https://mstgolf.co.th/products/gf2000105166</t>
        </is>
      </c>
      <c r="T5013" s="1">
        <f>IF(B5013="ไม้กอล์ฟ",J5013,"")</f>
        <v/>
      </c>
    </row>
    <row r="5014">
      <c r="A5014" s="1" t="n">
        <v>3</v>
      </c>
      <c r="B5014" s="1" t="inlineStr">
        <is>
          <t>หมวก</t>
        </is>
      </c>
      <c r="C5014" s="1" t="inlineStr">
        <is>
          <t>gf2000300461</t>
        </is>
      </c>
      <c r="D5014" s="1" t="inlineStr">
        <is>
          <t>TAYLORMADE Long Brim Women's Bucket Hat (Pink)</t>
        </is>
      </c>
      <c r="E5014" s="1" t="inlineStr">
        <is>
          <t>TAYLORMADE</t>
        </is>
      </c>
      <c r="F5014" s="1" t="inlineStr">
        <is>
          <t>HAT</t>
        </is>
      </c>
      <c r="G5014" s="1" t="inlineStr">
        <is>
          <t>GF2000300461FS</t>
        </is>
      </c>
      <c r="H5014" s="1" t="n">
        <v>1</v>
      </c>
      <c r="I5014" s="1" t="inlineStr">
        <is>
          <t>หมด</t>
        </is>
      </c>
      <c r="J5014" s="13" t="n">
        <v>55</v>
      </c>
      <c r="K5014" s="1" t="inlineStr"/>
      <c r="L5014" s="13" t="n">
        <v>55</v>
      </c>
      <c r="M5014" s="1">
        <f>IF(L5014="","ไม่พบใน SG",IF(ABS(J5014-L5014)&lt;0.005,"ตรงกัน","ไม่ตรง"))</f>
        <v/>
      </c>
      <c r="N5014" s="14">
        <f>IF(L5014="","",ROUND(L5014*'สรุป'!$C$6,-1))</f>
        <v/>
      </c>
      <c r="O5014" s="15" t="n"/>
      <c r="P5014" s="15" t="n"/>
      <c r="Q5014" s="10" t="n"/>
      <c r="R5014" s="10" t="n"/>
      <c r="S5014" s="16" t="inlineStr">
        <is>
          <t>https://mstgolf.co.th/products/gf2000300461</t>
        </is>
      </c>
      <c r="T5014" s="1">
        <f>IF(B5014="ไม้กอล์ฟ",J5014,"")</f>
        <v/>
      </c>
    </row>
    <row r="5015">
      <c r="A5015" s="1" t="n">
        <v>3</v>
      </c>
      <c r="B5015" s="1" t="inlineStr">
        <is>
          <t>หมวก</t>
        </is>
      </c>
      <c r="C5015" s="1" t="inlineStr">
        <is>
          <t>gf2000300459</t>
        </is>
      </c>
      <c r="D5015" s="1" t="inlineStr">
        <is>
          <t>TAYLORMADE Long Brim Women's Bucket Hat (White)</t>
        </is>
      </c>
      <c r="E5015" s="1" t="inlineStr">
        <is>
          <t>TAYLORMADE</t>
        </is>
      </c>
      <c r="F5015" s="1" t="inlineStr">
        <is>
          <t>HAT</t>
        </is>
      </c>
      <c r="G5015" s="1" t="inlineStr">
        <is>
          <t>GF2000300459FS</t>
        </is>
      </c>
      <c r="H5015" s="1" t="n">
        <v>1</v>
      </c>
      <c r="I5015" s="1" t="inlineStr">
        <is>
          <t>หมด</t>
        </is>
      </c>
      <c r="J5015" s="13" t="n">
        <v>55</v>
      </c>
      <c r="K5015" s="1" t="inlineStr"/>
      <c r="L5015" s="13" t="n">
        <v>55</v>
      </c>
      <c r="M5015" s="1">
        <f>IF(L5015="","ไม่พบใน SG",IF(ABS(J5015-L5015)&lt;0.005,"ตรงกัน","ไม่ตรง"))</f>
        <v/>
      </c>
      <c r="N5015" s="14">
        <f>IF(L5015="","",ROUND(L5015*'สรุป'!$C$6,-1))</f>
        <v/>
      </c>
      <c r="O5015" s="15" t="n"/>
      <c r="P5015" s="15" t="n"/>
      <c r="Q5015" s="10" t="n"/>
      <c r="R5015" s="10" t="n"/>
      <c r="S5015" s="16" t="inlineStr">
        <is>
          <t>https://mstgolf.co.th/products/gf2000300459</t>
        </is>
      </c>
      <c r="T5015" s="1">
        <f>IF(B5015="ไม้กอล์ฟ",J5015,"")</f>
        <v/>
      </c>
    </row>
    <row r="5016">
      <c r="A5016" s="1" t="n">
        <v>3</v>
      </c>
      <c r="B5016" s="1" t="inlineStr">
        <is>
          <t>หมวก</t>
        </is>
      </c>
      <c r="C5016" s="1" t="inlineStr">
        <is>
          <t>gf2000106051</t>
        </is>
      </c>
      <c r="D5016" s="1" t="inlineStr">
        <is>
          <t>TITLEIST Charleston Oxford Rope Men's Cap (Blue)</t>
        </is>
      </c>
      <c r="E5016" s="1" t="inlineStr">
        <is>
          <t>TITLEIST</t>
        </is>
      </c>
      <c r="F5016" s="1" t="inlineStr">
        <is>
          <t>CAP</t>
        </is>
      </c>
      <c r="G5016" s="1" t="inlineStr">
        <is>
          <t>GF2000106051FS</t>
        </is>
      </c>
      <c r="H5016" s="1" t="n">
        <v>1</v>
      </c>
      <c r="I5016" s="1" t="inlineStr">
        <is>
          <t>หมด</t>
        </is>
      </c>
      <c r="J5016" s="13" t="n">
        <v>55</v>
      </c>
      <c r="K5016" s="1" t="inlineStr"/>
      <c r="L5016" s="13" t="n"/>
      <c r="M5016" s="1">
        <f>IF(L5016="","ไม่พบใน SG",IF(ABS(J5016-L5016)&lt;0.005,"ตรงกัน","ไม่ตรง"))</f>
        <v/>
      </c>
      <c r="N5016" s="14">
        <f>IF(L5016="","",ROUND(L5016*'สรุป'!$C$6,-1))</f>
        <v/>
      </c>
      <c r="O5016" s="15" t="n"/>
      <c r="P5016" s="15" t="n"/>
      <c r="Q5016" s="10" t="n"/>
      <c r="R5016" s="10" t="n"/>
      <c r="S5016" s="16" t="inlineStr">
        <is>
          <t>https://mstgolf.co.th/products/gf2000106051</t>
        </is>
      </c>
      <c r="T5016" s="1">
        <f>IF(B5016="ไม้กอล์ฟ",J5016,"")</f>
        <v/>
      </c>
    </row>
    <row r="5017">
      <c r="A5017" s="1" t="n">
        <v>3</v>
      </c>
      <c r="B5017" s="1" t="inlineStr">
        <is>
          <t>หมวก</t>
        </is>
      </c>
      <c r="C5017" s="1" t="inlineStr">
        <is>
          <t>gf2000106272</t>
        </is>
      </c>
      <c r="D5017" s="1" t="inlineStr">
        <is>
          <t>TITLEIST Performance Ball Marker Men's Cap (Black/White)</t>
        </is>
      </c>
      <c r="E5017" s="1" t="inlineStr">
        <is>
          <t>TITLEIST</t>
        </is>
      </c>
      <c r="F5017" s="1" t="inlineStr">
        <is>
          <t>CAP</t>
        </is>
      </c>
      <c r="G5017" s="1" t="inlineStr">
        <is>
          <t>GF2000106272FS</t>
        </is>
      </c>
      <c r="H5017" s="1" t="n">
        <v>1</v>
      </c>
      <c r="I5017" s="1" t="inlineStr">
        <is>
          <t>หมด</t>
        </is>
      </c>
      <c r="J5017" s="13" t="n">
        <v>53</v>
      </c>
      <c r="K5017" s="1" t="inlineStr"/>
      <c r="L5017" s="13" t="n"/>
      <c r="M5017" s="1">
        <f>IF(L5017="","ไม่พบใน SG",IF(ABS(J5017-L5017)&lt;0.005,"ตรงกัน","ไม่ตรง"))</f>
        <v/>
      </c>
      <c r="N5017" s="14">
        <f>IF(L5017="","",ROUND(L5017*'สรุป'!$C$6,-1))</f>
        <v/>
      </c>
      <c r="O5017" s="15" t="n"/>
      <c r="P5017" s="15" t="n"/>
      <c r="Q5017" s="10" t="n"/>
      <c r="R5017" s="10" t="n"/>
      <c r="S5017" s="16" t="inlineStr">
        <is>
          <t>https://mstgolf.co.th/products/gf2000106272</t>
        </is>
      </c>
      <c r="T5017" s="1">
        <f>IF(B5017="ไม้กอล์ฟ",J5017,"")</f>
        <v/>
      </c>
    </row>
    <row r="5018">
      <c r="A5018" s="1" t="n">
        <v>3</v>
      </c>
      <c r="B5018" s="1" t="inlineStr">
        <is>
          <t>หมวก</t>
        </is>
      </c>
      <c r="C5018" s="1" t="inlineStr">
        <is>
          <t>gf2000106279</t>
        </is>
      </c>
      <c r="D5018" s="1" t="inlineStr">
        <is>
          <t>TITLEIST Performance Ball Marker Men's Cap (Pink/White)</t>
        </is>
      </c>
      <c r="E5018" s="1" t="inlineStr">
        <is>
          <t>TITLEIST</t>
        </is>
      </c>
      <c r="F5018" s="1" t="inlineStr">
        <is>
          <t>CAP</t>
        </is>
      </c>
      <c r="G5018" s="1" t="inlineStr">
        <is>
          <t>GF2000106279FS</t>
        </is>
      </c>
      <c r="H5018" s="1" t="n">
        <v>1</v>
      </c>
      <c r="I5018" s="1" t="inlineStr">
        <is>
          <t>หมด</t>
        </is>
      </c>
      <c r="J5018" s="13" t="n">
        <v>53</v>
      </c>
      <c r="K5018" s="1" t="inlineStr"/>
      <c r="L5018" s="13" t="n">
        <v>53</v>
      </c>
      <c r="M5018" s="1">
        <f>IF(L5018="","ไม่พบใน SG",IF(ABS(J5018-L5018)&lt;0.005,"ตรงกัน","ไม่ตรง"))</f>
        <v/>
      </c>
      <c r="N5018" s="14">
        <f>IF(L5018="","",ROUND(L5018*'สรุป'!$C$6,-1))</f>
        <v/>
      </c>
      <c r="O5018" s="15" t="n"/>
      <c r="P5018" s="15" t="n"/>
      <c r="Q5018" s="10" t="n"/>
      <c r="R5018" s="10" t="n"/>
      <c r="S5018" s="16" t="inlineStr">
        <is>
          <t>https://mstgolf.co.th/products/gf2000106279</t>
        </is>
      </c>
      <c r="T5018" s="1">
        <f>IF(B5018="ไม้กอล์ฟ",J5018,"")</f>
        <v/>
      </c>
    </row>
    <row r="5019">
      <c r="A5019" s="1" t="n">
        <v>3</v>
      </c>
      <c r="B5019" s="1" t="inlineStr">
        <is>
          <t>หมวก</t>
        </is>
      </c>
      <c r="C5019" s="1" t="inlineStr">
        <is>
          <t>gf2000106274</t>
        </is>
      </c>
      <c r="D5019" s="1" t="inlineStr">
        <is>
          <t>TITLEIST Performance Ball Marker Men's Cap (White/Black)</t>
        </is>
      </c>
      <c r="E5019" s="1" t="inlineStr">
        <is>
          <t>TITLEIST</t>
        </is>
      </c>
      <c r="F5019" s="1" t="inlineStr">
        <is>
          <t>CAP</t>
        </is>
      </c>
      <c r="G5019" s="1" t="inlineStr">
        <is>
          <t>GF2000106274FS</t>
        </is>
      </c>
      <c r="H5019" s="1" t="n">
        <v>1</v>
      </c>
      <c r="I5019" s="1" t="inlineStr">
        <is>
          <t>หมด</t>
        </is>
      </c>
      <c r="J5019" s="13" t="n">
        <v>53</v>
      </c>
      <c r="K5019" s="1" t="inlineStr"/>
      <c r="L5019" s="13" t="n"/>
      <c r="M5019" s="1">
        <f>IF(L5019="","ไม่พบใน SG",IF(ABS(J5019-L5019)&lt;0.005,"ตรงกัน","ไม่ตรง"))</f>
        <v/>
      </c>
      <c r="N5019" s="14">
        <f>IF(L5019="","",ROUND(L5019*'สรุป'!$C$6,-1))</f>
        <v/>
      </c>
      <c r="O5019" s="15" t="n"/>
      <c r="P5019" s="15" t="n"/>
      <c r="Q5019" s="10" t="n"/>
      <c r="R5019" s="10" t="n"/>
      <c r="S5019" s="16" t="inlineStr">
        <is>
          <t>https://mstgolf.co.th/products/gf2000106274</t>
        </is>
      </c>
      <c r="T5019" s="1">
        <f>IF(B5019="ไม้กอล์ฟ",J5019,"")</f>
        <v/>
      </c>
    </row>
    <row r="5020">
      <c r="A5020" s="1" t="n">
        <v>3</v>
      </c>
      <c r="B5020" s="1" t="inlineStr">
        <is>
          <t>เสื้อผ้า</t>
        </is>
      </c>
      <c r="C5020" s="1" t="inlineStr">
        <is>
          <t>gf2040117230</t>
        </is>
      </c>
      <c r="D5020" s="1" t="inlineStr">
        <is>
          <t>UNDER ARMOUR Playoff 3.0 Printed Men's Polo (Halo Grey/Green)</t>
        </is>
      </c>
      <c r="E5020" s="1" t="inlineStr">
        <is>
          <t>UNDER ARMOUR</t>
        </is>
      </c>
      <c r="F5020" s="1" t="inlineStr">
        <is>
          <t>SHORT SLEEVES</t>
        </is>
      </c>
      <c r="G5020" s="1" t="inlineStr">
        <is>
          <t>GF2040117230S</t>
        </is>
      </c>
      <c r="H5020" s="1" t="n">
        <v>5</v>
      </c>
      <c r="I5020" s="1" t="inlineStr">
        <is>
          <t>หมด</t>
        </is>
      </c>
      <c r="J5020" s="13" t="n">
        <v>53</v>
      </c>
      <c r="K5020" s="1" t="inlineStr"/>
      <c r="L5020" s="13" t="n"/>
      <c r="M5020" s="1">
        <f>IF(L5020="","ไม่พบใน SG",IF(ABS(J5020-L5020)&lt;0.005,"ตรงกัน","ไม่ตรง"))</f>
        <v/>
      </c>
      <c r="N5020" s="14">
        <f>IF(L5020="","",ROUND(L5020*'สรุป'!$C$6,-1))</f>
        <v/>
      </c>
      <c r="O5020" s="15" t="n"/>
      <c r="P5020" s="15" t="n"/>
      <c r="Q5020" s="10" t="n"/>
      <c r="R5020" s="10" t="n"/>
      <c r="S5020" s="16" t="inlineStr">
        <is>
          <t>https://mstgolf.co.th/products/gf2040117230</t>
        </is>
      </c>
      <c r="T5020" s="1">
        <f>IF(B5020="ไม้กอล์ฟ",J5020,"")</f>
        <v/>
      </c>
    </row>
    <row r="5021">
      <c r="A5021" s="1" t="n">
        <v>3</v>
      </c>
      <c r="B5021" s="1" t="inlineStr">
        <is>
          <t>เสื้อผ้า</t>
        </is>
      </c>
      <c r="C5021" s="1" t="inlineStr">
        <is>
          <t>gf2040113378</t>
        </is>
      </c>
      <c r="D5021" s="1" t="inlineStr">
        <is>
          <t>UNDER ARMOUR Zinger Point Women's Polo (Sea Mist)</t>
        </is>
      </c>
      <c r="E5021" s="1" t="inlineStr">
        <is>
          <t>UNDER ARMOUR</t>
        </is>
      </c>
      <c r="F5021" s="1" t="inlineStr">
        <is>
          <t>SHORT SLEEVES</t>
        </is>
      </c>
      <c r="G5021" s="1" t="inlineStr">
        <is>
          <t>GF2040113378XS</t>
        </is>
      </c>
      <c r="H5021" s="1" t="n">
        <v>6</v>
      </c>
      <c r="I5021" s="1" t="inlineStr">
        <is>
          <t>หมด</t>
        </is>
      </c>
      <c r="J5021" s="13" t="n">
        <v>53</v>
      </c>
      <c r="K5021" s="1" t="inlineStr"/>
      <c r="L5021" s="13" t="n">
        <v>53</v>
      </c>
      <c r="M5021" s="1">
        <f>IF(L5021="","ไม่พบใน SG",IF(ABS(J5021-L5021)&lt;0.005,"ตรงกัน","ไม่ตรง"))</f>
        <v/>
      </c>
      <c r="N5021" s="14">
        <f>IF(L5021="","",ROUND(L5021*'สรุป'!$C$6,-1))</f>
        <v/>
      </c>
      <c r="O5021" s="15" t="n"/>
      <c r="P5021" s="15" t="n"/>
      <c r="Q5021" s="10" t="n"/>
      <c r="R5021" s="10" t="n"/>
      <c r="S5021" s="16" t="inlineStr">
        <is>
          <t>https://mstgolf.co.th/products/gf2040113378</t>
        </is>
      </c>
      <c r="T5021" s="1">
        <f>IF(B5021="ไม้กอล์ฟ",J5021,"")</f>
        <v/>
      </c>
    </row>
    <row r="5022">
      <c r="A5022" s="1" t="n">
        <v>3</v>
      </c>
      <c r="B5022" s="1" t="inlineStr">
        <is>
          <t>เสื้อผ้า</t>
        </is>
      </c>
      <c r="C5022" s="1" t="inlineStr">
        <is>
          <t>gf2040200088</t>
        </is>
      </c>
      <c r="D5022" s="1" t="inlineStr">
        <is>
          <t>MALBON GOLF Peak Performance Men's T-Shirt (White)</t>
        </is>
      </c>
      <c r="E5022" s="1" t="inlineStr">
        <is>
          <t>MALBON GOLF</t>
        </is>
      </c>
      <c r="F5022" s="1" t="inlineStr">
        <is>
          <t>TEE SHIRT</t>
        </is>
      </c>
      <c r="G5022" s="1" t="inlineStr">
        <is>
          <t>GF2040200088S</t>
        </is>
      </c>
      <c r="H5022" s="1" t="n">
        <v>5</v>
      </c>
      <c r="I5022" s="1" t="inlineStr">
        <is>
          <t>หมด</t>
        </is>
      </c>
      <c r="J5022" s="13" t="n">
        <v>52</v>
      </c>
      <c r="K5022" s="1" t="inlineStr"/>
      <c r="L5022" s="13" t="n"/>
      <c r="M5022" s="1">
        <f>IF(L5022="","ไม่พบใน SG",IF(ABS(J5022-L5022)&lt;0.005,"ตรงกัน","ไม่ตรง"))</f>
        <v/>
      </c>
      <c r="N5022" s="14">
        <f>IF(L5022="","",ROUND(L5022*'สรุป'!$C$6,-1))</f>
        <v/>
      </c>
      <c r="O5022" s="15" t="n"/>
      <c r="P5022" s="15" t="n"/>
      <c r="Q5022" s="10" t="n"/>
      <c r="R5022" s="10" t="n"/>
      <c r="S5022" s="16" t="inlineStr">
        <is>
          <t>https://mstgolf.co.th/products/gf2040200088</t>
        </is>
      </c>
      <c r="T5022" s="1">
        <f>IF(B5022="ไม้กอล์ฟ",J5022,"")</f>
        <v/>
      </c>
    </row>
    <row r="5023">
      <c r="A5023" s="1" t="n">
        <v>3</v>
      </c>
      <c r="B5023" s="1" t="inlineStr">
        <is>
          <t>หมวก</t>
        </is>
      </c>
      <c r="C5023" s="1" t="inlineStr">
        <is>
          <t>gf2000105814</t>
        </is>
      </c>
      <c r="D5023" s="1" t="inlineStr">
        <is>
          <t>TITLEIST Tour Performance Women's Cap (Grey/White)</t>
        </is>
      </c>
      <c r="E5023" s="1" t="inlineStr">
        <is>
          <t>TITLEIST</t>
        </is>
      </c>
      <c r="F5023" s="1" t="inlineStr">
        <is>
          <t>CAP</t>
        </is>
      </c>
      <c r="G5023" s="1" t="inlineStr">
        <is>
          <t>GF2000105814FS</t>
        </is>
      </c>
      <c r="H5023" s="1" t="n">
        <v>1</v>
      </c>
      <c r="I5023" s="1" t="inlineStr">
        <is>
          <t>หมด</t>
        </is>
      </c>
      <c r="J5023" s="13" t="n">
        <v>51</v>
      </c>
      <c r="K5023" s="1" t="inlineStr"/>
      <c r="L5023" s="13" t="n"/>
      <c r="M5023" s="1">
        <f>IF(L5023="","ไม่พบใน SG",IF(ABS(J5023-L5023)&lt;0.005,"ตรงกัน","ไม่ตรง"))</f>
        <v/>
      </c>
      <c r="N5023" s="14">
        <f>IF(L5023="","",ROUND(L5023*'สรุป'!$C$6,-1))</f>
        <v/>
      </c>
      <c r="O5023" s="15" t="n"/>
      <c r="P5023" s="15" t="n"/>
      <c r="Q5023" s="10" t="n"/>
      <c r="R5023" s="10" t="n"/>
      <c r="S5023" s="16" t="inlineStr">
        <is>
          <t>https://mstgolf.co.th/products/gf2000105814</t>
        </is>
      </c>
      <c r="T5023" s="1">
        <f>IF(B5023="ไม้กอล์ฟ",J5023,"")</f>
        <v/>
      </c>
    </row>
    <row r="5024">
      <c r="A5024" s="1" t="n">
        <v>3</v>
      </c>
      <c r="B5024" s="1" t="inlineStr">
        <is>
          <t>อุปกรณ์เสริม</t>
        </is>
      </c>
      <c r="C5024" s="1" t="inlineStr">
        <is>
          <t>gf3500300704</t>
        </is>
      </c>
      <c r="D5024" s="1" t="inlineStr">
        <is>
          <t>ADIDAS Cooler Bag (Olive)</t>
        </is>
      </c>
      <c r="E5024" s="1" t="inlineStr">
        <is>
          <t>ADIDAS</t>
        </is>
      </c>
      <c r="F5024" s="1" t="inlineStr">
        <is>
          <t>GOLF ACCESSORIES</t>
        </is>
      </c>
      <c r="G5024" s="1" t="inlineStr">
        <is>
          <t>GF3500300704</t>
        </is>
      </c>
      <c r="H5024" s="1" t="n">
        <v>1</v>
      </c>
      <c r="I5024" s="1" t="inlineStr">
        <is>
          <t>หมด</t>
        </is>
      </c>
      <c r="J5024" s="13" t="n">
        <v>50</v>
      </c>
      <c r="K5024" s="1" t="inlineStr"/>
      <c r="L5024" s="13" t="n">
        <v>25</v>
      </c>
      <c r="M5024" s="1">
        <f>IF(L5024="","ไม่พบใน SG",IF(ABS(J5024-L5024)&lt;0.005,"ตรงกัน","ไม่ตรง"))</f>
        <v/>
      </c>
      <c r="N5024" s="14">
        <f>IF(L5024="","",ROUND(L5024*'สรุป'!$C$6,-1))</f>
        <v/>
      </c>
      <c r="O5024" s="15" t="n"/>
      <c r="P5024" s="15" t="n"/>
      <c r="Q5024" s="10" t="n"/>
      <c r="R5024" s="10" t="n"/>
      <c r="S5024" s="16" t="inlineStr">
        <is>
          <t>https://mstgolf.co.th/products/gf3500300704</t>
        </is>
      </c>
      <c r="T5024" s="1">
        <f>IF(B5024="ไม้กอล์ฟ",J5024,"")</f>
        <v/>
      </c>
    </row>
    <row r="5025">
      <c r="A5025" s="1" t="n">
        <v>3</v>
      </c>
      <c r="B5025" s="1" t="inlineStr">
        <is>
          <t>เสื้อผ้า</t>
        </is>
      </c>
      <c r="C5025" s="1" t="inlineStr">
        <is>
          <t>gf2040119414</t>
        </is>
      </c>
      <c r="D5025" s="1" t="inlineStr">
        <is>
          <t>ADIDAS Ottoman Striped Boy's Polo (Navy)</t>
        </is>
      </c>
      <c r="E5025" s="1" t="inlineStr">
        <is>
          <t>ADIDAS</t>
        </is>
      </c>
      <c r="F5025" s="1" t="inlineStr">
        <is>
          <t>SHORT SLEEVES</t>
        </is>
      </c>
      <c r="G5025" s="1" t="inlineStr">
        <is>
          <t>GF2040119414128</t>
        </is>
      </c>
      <c r="H5025" s="1" t="n">
        <v>5</v>
      </c>
      <c r="I5025" s="1" t="inlineStr">
        <is>
          <t>หมด</t>
        </is>
      </c>
      <c r="J5025" s="13" t="n">
        <v>50</v>
      </c>
      <c r="K5025" s="1" t="inlineStr"/>
      <c r="L5025" s="13" t="n">
        <v>25</v>
      </c>
      <c r="M5025" s="1">
        <f>IF(L5025="","ไม่พบใน SG",IF(ABS(J5025-L5025)&lt;0.005,"ตรงกัน","ไม่ตรง"))</f>
        <v/>
      </c>
      <c r="N5025" s="14">
        <f>IF(L5025="","",ROUND(L5025*'สรุป'!$C$6,-1))</f>
        <v/>
      </c>
      <c r="O5025" s="15" t="n"/>
      <c r="P5025" s="15" t="n"/>
      <c r="Q5025" s="10" t="n"/>
      <c r="R5025" s="10" t="n"/>
      <c r="S5025" s="16" t="inlineStr">
        <is>
          <t>https://mstgolf.co.th/products/gf2040119414</t>
        </is>
      </c>
      <c r="T5025" s="1">
        <f>IF(B5025="ไม้กอล์ฟ",J5025,"")</f>
        <v/>
      </c>
    </row>
    <row r="5026">
      <c r="A5026" s="1" t="n">
        <v>3</v>
      </c>
      <c r="B5026" s="1" t="inlineStr">
        <is>
          <t>เสื้อผ้า</t>
        </is>
      </c>
      <c r="C5026" s="1" t="inlineStr">
        <is>
          <t>gf2040119416</t>
        </is>
      </c>
      <c r="D5026" s="1" t="inlineStr">
        <is>
          <t>ADIDAS Printed Scripted Boy's Polo (Green/Navy)</t>
        </is>
      </c>
      <c r="E5026" s="1" t="inlineStr">
        <is>
          <t>ADIDAS</t>
        </is>
      </c>
      <c r="F5026" s="1" t="inlineStr">
        <is>
          <t>SHORT SLEEVES</t>
        </is>
      </c>
      <c r="G5026" s="1" t="inlineStr">
        <is>
          <t>GF2040119416128</t>
        </is>
      </c>
      <c r="H5026" s="1" t="n">
        <v>6</v>
      </c>
      <c r="I5026" s="1" t="inlineStr">
        <is>
          <t>หมด</t>
        </is>
      </c>
      <c r="J5026" s="13" t="n">
        <v>50</v>
      </c>
      <c r="K5026" s="1" t="inlineStr"/>
      <c r="L5026" s="13" t="n"/>
      <c r="M5026" s="1">
        <f>IF(L5026="","ไม่พบใน SG",IF(ABS(J5026-L5026)&lt;0.005,"ตรงกัน","ไม่ตรง"))</f>
        <v/>
      </c>
      <c r="N5026" s="14">
        <f>IF(L5026="","",ROUND(L5026*'สรุป'!$C$6,-1))</f>
        <v/>
      </c>
      <c r="O5026" s="15" t="n"/>
      <c r="P5026" s="15" t="n"/>
      <c r="Q5026" s="10" t="n"/>
      <c r="R5026" s="10" t="n"/>
      <c r="S5026" s="16" t="inlineStr">
        <is>
          <t>https://mstgolf.co.th/products/gf2040119416</t>
        </is>
      </c>
      <c r="T5026" s="1">
        <f>IF(B5026="ไม้กอล์ฟ",J5026,"")</f>
        <v/>
      </c>
    </row>
    <row r="5027">
      <c r="A5027" s="1" t="n">
        <v>3</v>
      </c>
      <c r="B5027" s="1" t="inlineStr">
        <is>
          <t>เสื้อผ้า</t>
        </is>
      </c>
      <c r="C5027" s="1" t="inlineStr">
        <is>
          <t>gf2040119417</t>
        </is>
      </c>
      <c r="D5027" s="1" t="inlineStr">
        <is>
          <t>ADIDAS Printed Scripted Boy's Polo (White/Yellow)</t>
        </is>
      </c>
      <c r="E5027" s="1" t="inlineStr">
        <is>
          <t>ADIDAS</t>
        </is>
      </c>
      <c r="F5027" s="1" t="inlineStr">
        <is>
          <t>SHORT SLEEVES</t>
        </is>
      </c>
      <c r="G5027" s="1" t="inlineStr">
        <is>
          <t>GF2040119417128</t>
        </is>
      </c>
      <c r="H5027" s="1" t="n">
        <v>6</v>
      </c>
      <c r="I5027" s="1" t="inlineStr">
        <is>
          <t>หมด</t>
        </is>
      </c>
      <c r="J5027" s="13" t="n">
        <v>50</v>
      </c>
      <c r="K5027" s="1" t="inlineStr"/>
      <c r="L5027" s="13" t="n">
        <v>50</v>
      </c>
      <c r="M5027" s="1">
        <f>IF(L5027="","ไม่พบใน SG",IF(ABS(J5027-L5027)&lt;0.005,"ตรงกัน","ไม่ตรง"))</f>
        <v/>
      </c>
      <c r="N5027" s="14">
        <f>IF(L5027="","",ROUND(L5027*'สรุป'!$C$6,-1))</f>
        <v/>
      </c>
      <c r="O5027" s="15" t="n"/>
      <c r="P5027" s="15" t="n"/>
      <c r="Q5027" s="10" t="n"/>
      <c r="R5027" s="10" t="n"/>
      <c r="S5027" s="16" t="inlineStr">
        <is>
          <t>https://mstgolf.co.th/products/gf2040119417</t>
        </is>
      </c>
      <c r="T5027" s="1">
        <f>IF(B5027="ไม้กอล์ฟ",J5027,"")</f>
        <v/>
      </c>
    </row>
    <row r="5028">
      <c r="A5028" s="1" t="n">
        <v>3</v>
      </c>
      <c r="B5028" s="1" t="inlineStr">
        <is>
          <t>เสื้อผ้า</t>
        </is>
      </c>
      <c r="C5028" s="1" t="inlineStr">
        <is>
          <t>gf2040401072</t>
        </is>
      </c>
      <c r="D5028" s="1" t="inlineStr">
        <is>
          <t>ADIDAS AEROREADY Play Green Men's Long Sleeve Polo (Black/Grey)</t>
        </is>
      </c>
      <c r="E5028" s="1" t="inlineStr">
        <is>
          <t>ADIDAS</t>
        </is>
      </c>
      <c r="F5028" s="1" t="inlineStr">
        <is>
          <t>LONG SLEEVES</t>
        </is>
      </c>
      <c r="G5028" s="1" t="inlineStr">
        <is>
          <t>GF2040401072XS</t>
        </is>
      </c>
      <c r="H5028" s="1" t="n">
        <v>7</v>
      </c>
      <c r="I5028" s="1" t="inlineStr">
        <is>
          <t>หมด</t>
        </is>
      </c>
      <c r="J5028" s="13" t="n">
        <v>49</v>
      </c>
      <c r="K5028" s="1" t="inlineStr"/>
      <c r="L5028" s="13" t="n">
        <v>49</v>
      </c>
      <c r="M5028" s="1">
        <f>IF(L5028="","ไม่พบใน SG",IF(ABS(J5028-L5028)&lt;0.005,"ตรงกัน","ไม่ตรง"))</f>
        <v/>
      </c>
      <c r="N5028" s="14">
        <f>IF(L5028="","",ROUND(L5028*'สรุป'!$C$6,-1))</f>
        <v/>
      </c>
      <c r="O5028" s="15" t="n"/>
      <c r="P5028" s="15" t="n"/>
      <c r="Q5028" s="10" t="n"/>
      <c r="R5028" s="10" t="n"/>
      <c r="S5028" s="16" t="inlineStr">
        <is>
          <t>https://mstgolf.co.th/products/gf2040401072</t>
        </is>
      </c>
      <c r="T5028" s="1">
        <f>IF(B5028="ไม้กอล์ฟ",J5028,"")</f>
        <v/>
      </c>
    </row>
    <row r="5029">
      <c r="A5029" s="1" t="n">
        <v>3</v>
      </c>
      <c r="B5029" s="1" t="inlineStr">
        <is>
          <t>เสื้อผ้า</t>
        </is>
      </c>
      <c r="C5029" s="1" t="inlineStr">
        <is>
          <t>gf2040117627</t>
        </is>
      </c>
      <c r="D5029" s="1" t="inlineStr">
        <is>
          <t>ADIDAS AEROREADY Playgreen Monogram Men's Polo (Scarlet)</t>
        </is>
      </c>
      <c r="E5029" s="1" t="inlineStr">
        <is>
          <t>ADIDAS</t>
        </is>
      </c>
      <c r="F5029" s="1" t="inlineStr">
        <is>
          <t>SHORT SLEEVES</t>
        </is>
      </c>
      <c r="G5029" s="1" t="inlineStr">
        <is>
          <t>GF2040117627XS</t>
        </is>
      </c>
      <c r="H5029" s="1" t="n">
        <v>7</v>
      </c>
      <c r="I5029" s="1" t="inlineStr">
        <is>
          <t>หมด</t>
        </is>
      </c>
      <c r="J5029" s="13" t="n">
        <v>49</v>
      </c>
      <c r="K5029" s="1" t="inlineStr"/>
      <c r="L5029" s="13" t="n"/>
      <c r="M5029" s="1">
        <f>IF(L5029="","ไม่พบใน SG",IF(ABS(J5029-L5029)&lt;0.005,"ตรงกัน","ไม่ตรง"))</f>
        <v/>
      </c>
      <c r="N5029" s="14">
        <f>IF(L5029="","",ROUND(L5029*'สรุป'!$C$6,-1))</f>
        <v/>
      </c>
      <c r="O5029" s="15" t="n"/>
      <c r="P5029" s="15" t="n"/>
      <c r="Q5029" s="10" t="n"/>
      <c r="R5029" s="10" t="n"/>
      <c r="S5029" s="16" t="inlineStr">
        <is>
          <t>https://mstgolf.co.th/products/gf2040117627</t>
        </is>
      </c>
      <c r="T5029" s="1">
        <f>IF(B5029="ไม้กอล์ฟ",J5029,"")</f>
        <v/>
      </c>
    </row>
    <row r="5030">
      <c r="A5030" s="1" t="n">
        <v>3</v>
      </c>
      <c r="B5030" s="1" t="inlineStr">
        <is>
          <t>เสื้อผ้า</t>
        </is>
      </c>
      <c r="C5030" s="1" t="inlineStr">
        <is>
          <t>gf2020202357</t>
        </is>
      </c>
      <c r="D5030" s="1" t="inlineStr">
        <is>
          <t>ADIDAS Allover Print 9" Men's Shorts (Red)</t>
        </is>
      </c>
      <c r="E5030" s="1" t="inlineStr">
        <is>
          <t>ADIDAS</t>
        </is>
      </c>
      <c r="F5030" s="1" t="inlineStr">
        <is>
          <t>SHORT PANTS</t>
        </is>
      </c>
      <c r="G5030" s="1" t="inlineStr">
        <is>
          <t>GF202020235773</t>
        </is>
      </c>
      <c r="H5030" s="1" t="n">
        <v>9</v>
      </c>
      <c r="I5030" s="1" t="inlineStr">
        <is>
          <t>หมด</t>
        </is>
      </c>
      <c r="J5030" s="13" t="n">
        <v>49</v>
      </c>
      <c r="K5030" s="1" t="inlineStr"/>
      <c r="L5030" s="13" t="n"/>
      <c r="M5030" s="1">
        <f>IF(L5030="","ไม่พบใน SG",IF(ABS(J5030-L5030)&lt;0.005,"ตรงกัน","ไม่ตรง"))</f>
        <v/>
      </c>
      <c r="N5030" s="14">
        <f>IF(L5030="","",ROUND(L5030*'สรุป'!$C$6,-1))</f>
        <v/>
      </c>
      <c r="O5030" s="15" t="n"/>
      <c r="P5030" s="15" t="n"/>
      <c r="Q5030" s="10" t="n"/>
      <c r="R5030" s="10" t="n"/>
      <c r="S5030" s="16" t="inlineStr">
        <is>
          <t>https://mstgolf.co.th/products/gf2020202357</t>
        </is>
      </c>
      <c r="T5030" s="1">
        <f>IF(B5030="ไม้กอล์ฟ",J5030,"")</f>
        <v/>
      </c>
    </row>
    <row r="5031">
      <c r="A5031" s="1" t="n">
        <v>3</v>
      </c>
      <c r="B5031" s="1" t="inlineStr">
        <is>
          <t>เสื้อผ้า</t>
        </is>
      </c>
      <c r="C5031" s="1" t="inlineStr">
        <is>
          <t>gf2020202346</t>
        </is>
      </c>
      <c r="D5031" s="1" t="inlineStr">
        <is>
          <t>ADIDAS Go-To Printed 6.5" Men's Shorts (Ink)</t>
        </is>
      </c>
      <c r="E5031" s="1" t="inlineStr">
        <is>
          <t>ADIDAS</t>
        </is>
      </c>
      <c r="F5031" s="1" t="inlineStr">
        <is>
          <t>SHORT PANTS</t>
        </is>
      </c>
      <c r="G5031" s="1" t="inlineStr">
        <is>
          <t>GF20202023462XS</t>
        </is>
      </c>
      <c r="H5031" s="1" t="n">
        <v>8</v>
      </c>
      <c r="I5031" s="1" t="inlineStr">
        <is>
          <t>หมด</t>
        </is>
      </c>
      <c r="J5031" s="13" t="n">
        <v>49</v>
      </c>
      <c r="K5031" s="1" t="inlineStr"/>
      <c r="L5031" s="13" t="n">
        <v>49</v>
      </c>
      <c r="M5031" s="1">
        <f>IF(L5031="","ไม่พบใน SG",IF(ABS(J5031-L5031)&lt;0.005,"ตรงกัน","ไม่ตรง"))</f>
        <v/>
      </c>
      <c r="N5031" s="14">
        <f>IF(L5031="","",ROUND(L5031*'สรุป'!$C$6,-1))</f>
        <v/>
      </c>
      <c r="O5031" s="15" t="n"/>
      <c r="P5031" s="15" t="n"/>
      <c r="Q5031" s="10" t="n"/>
      <c r="R5031" s="10" t="n"/>
      <c r="S5031" s="16" t="inlineStr">
        <is>
          <t>https://mstgolf.co.th/products/gf2020202346</t>
        </is>
      </c>
      <c r="T5031" s="1">
        <f>IF(B5031="ไม้กอล์ฟ",J5031,"")</f>
        <v/>
      </c>
    </row>
    <row r="5032">
      <c r="A5032" s="1" t="n">
        <v>3</v>
      </c>
      <c r="B5032" s="1" t="inlineStr">
        <is>
          <t>เสื้อผ้า</t>
        </is>
      </c>
      <c r="C5032" s="1" t="inlineStr">
        <is>
          <t>gf2060101035</t>
        </is>
      </c>
      <c r="D5032" s="1" t="inlineStr">
        <is>
          <t>ADIDAS Loose Fit Knit Women’s Vest (White)</t>
        </is>
      </c>
      <c r="E5032" s="1" t="inlineStr">
        <is>
          <t>ADIDAS</t>
        </is>
      </c>
      <c r="F5032" s="1" t="inlineStr">
        <is>
          <t>TOP</t>
        </is>
      </c>
      <c r="G5032" s="1" t="inlineStr">
        <is>
          <t>GF20601010352XS</t>
        </is>
      </c>
      <c r="H5032" s="1" t="n">
        <v>7</v>
      </c>
      <c r="I5032" s="1" t="inlineStr">
        <is>
          <t>หมด</t>
        </is>
      </c>
      <c r="J5032" s="13" t="n">
        <v>49</v>
      </c>
      <c r="K5032" s="1" t="inlineStr"/>
      <c r="L5032" s="13" t="n"/>
      <c r="M5032" s="1">
        <f>IF(L5032="","ไม่พบใน SG",IF(ABS(J5032-L5032)&lt;0.005,"ตรงกัน","ไม่ตรง"))</f>
        <v/>
      </c>
      <c r="N5032" s="14">
        <f>IF(L5032="","",ROUND(L5032*'สรุป'!$C$6,-1))</f>
        <v/>
      </c>
      <c r="O5032" s="15" t="n"/>
      <c r="P5032" s="15" t="n"/>
      <c r="Q5032" s="10" t="n"/>
      <c r="R5032" s="10" t="n"/>
      <c r="S5032" s="16" t="inlineStr">
        <is>
          <t>https://mstgolf.co.th/products/gf2060101035</t>
        </is>
      </c>
      <c r="T5032" s="1">
        <f>IF(B5032="ไม้กอล์ฟ",J5032,"")</f>
        <v/>
      </c>
    </row>
    <row r="5033">
      <c r="A5033" s="1" t="n">
        <v>3</v>
      </c>
      <c r="B5033" s="1" t="inlineStr">
        <is>
          <t>เสื้อผ้า</t>
        </is>
      </c>
      <c r="C5033" s="1" t="inlineStr">
        <is>
          <t>gf2040116431</t>
        </is>
      </c>
      <c r="D5033" s="1" t="inlineStr">
        <is>
          <t>ADIDAS Ultimate365 Tapered HEAT.RDY Men's Polo (White)</t>
        </is>
      </c>
      <c r="E5033" s="1" t="inlineStr">
        <is>
          <t>ADIDAS</t>
        </is>
      </c>
      <c r="F5033" s="1" t="inlineStr">
        <is>
          <t>SHORT SLEEVES</t>
        </is>
      </c>
      <c r="G5033" s="1" t="inlineStr">
        <is>
          <t>GF2040116431XS</t>
        </is>
      </c>
      <c r="H5033" s="1" t="n">
        <v>7</v>
      </c>
      <c r="I5033" s="1" t="inlineStr">
        <is>
          <t>หมด</t>
        </is>
      </c>
      <c r="J5033" s="13" t="n">
        <v>49</v>
      </c>
      <c r="K5033" s="1" t="inlineStr"/>
      <c r="L5033" s="13" t="n">
        <v>49</v>
      </c>
      <c r="M5033" s="1">
        <f>IF(L5033="","ไม่พบใน SG",IF(ABS(J5033-L5033)&lt;0.005,"ตรงกัน","ไม่ตรง"))</f>
        <v/>
      </c>
      <c r="N5033" s="14">
        <f>IF(L5033="","",ROUND(L5033*'สรุป'!$C$6,-1))</f>
        <v/>
      </c>
      <c r="O5033" s="15" t="n"/>
      <c r="P5033" s="15" t="n"/>
      <c r="Q5033" s="10" t="n"/>
      <c r="R5033" s="10" t="n"/>
      <c r="S5033" s="16" t="inlineStr">
        <is>
          <t>https://mstgolf.co.th/products/gf2040116431</t>
        </is>
      </c>
      <c r="T5033" s="1">
        <f>IF(B5033="ไม้กอล์ฟ",J5033,"")</f>
        <v/>
      </c>
    </row>
    <row r="5034">
      <c r="A5034" s="1" t="n">
        <v>3</v>
      </c>
      <c r="B5034" s="1" t="inlineStr">
        <is>
          <t>เสื้อผ้า</t>
        </is>
      </c>
      <c r="C5034" s="1" t="inlineStr">
        <is>
          <t>gf2040111741</t>
        </is>
      </c>
      <c r="D5034" s="1" t="inlineStr">
        <is>
          <t>CALVIN KLEIN Campus Men's Polo (Denim Blue)</t>
        </is>
      </c>
      <c r="E5034" s="1" t="inlineStr">
        <is>
          <t>CALVIN KLEIN</t>
        </is>
      </c>
      <c r="F5034" s="1" t="inlineStr">
        <is>
          <t>SHORT SLEEVES</t>
        </is>
      </c>
      <c r="G5034" s="1" t="inlineStr">
        <is>
          <t>GF2040111741S</t>
        </is>
      </c>
      <c r="H5034" s="1" t="n">
        <v>5</v>
      </c>
      <c r="I5034" s="1" t="inlineStr">
        <is>
          <t>หมด</t>
        </is>
      </c>
      <c r="J5034" s="13" t="n">
        <v>49</v>
      </c>
      <c r="K5034" s="1" t="inlineStr"/>
      <c r="L5034" s="13" t="n"/>
      <c r="M5034" s="1">
        <f>IF(L5034="","ไม่พบใน SG",IF(ABS(J5034-L5034)&lt;0.005,"ตรงกัน","ไม่ตรง"))</f>
        <v/>
      </c>
      <c r="N5034" s="14">
        <f>IF(L5034="","",ROUND(L5034*'สรุป'!$C$6,-1))</f>
        <v/>
      </c>
      <c r="O5034" s="15" t="n"/>
      <c r="P5034" s="15" t="n"/>
      <c r="Q5034" s="10" t="n"/>
      <c r="R5034" s="10" t="n"/>
      <c r="S5034" s="16" t="inlineStr">
        <is>
          <t>https://mstgolf.co.th/products/gf2040111741</t>
        </is>
      </c>
      <c r="T5034" s="1">
        <f>IF(B5034="ไม้กอล์ฟ",J5034,"")</f>
        <v/>
      </c>
    </row>
    <row r="5035">
      <c r="A5035" s="1" t="n">
        <v>3</v>
      </c>
      <c r="B5035" s="1" t="inlineStr">
        <is>
          <t>เสื้อผ้า</t>
        </is>
      </c>
      <c r="C5035" s="1" t="inlineStr">
        <is>
          <t>gf2040111732</t>
        </is>
      </c>
      <c r="D5035" s="1" t="inlineStr">
        <is>
          <t>CALVIN KLEIN Campus Men's Polo (Navy)</t>
        </is>
      </c>
      <c r="E5035" s="1" t="inlineStr">
        <is>
          <t>CALVIN KLEIN</t>
        </is>
      </c>
      <c r="F5035" s="1" t="inlineStr">
        <is>
          <t>SHORT SLEEVES</t>
        </is>
      </c>
      <c r="G5035" s="1" t="inlineStr">
        <is>
          <t>GF2040111732S</t>
        </is>
      </c>
      <c r="H5035" s="1" t="n">
        <v>5</v>
      </c>
      <c r="I5035" s="1" t="inlineStr">
        <is>
          <t>หมด</t>
        </is>
      </c>
      <c r="J5035" s="13" t="n">
        <v>49</v>
      </c>
      <c r="K5035" s="1" t="inlineStr"/>
      <c r="L5035" s="13" t="n"/>
      <c r="M5035" s="1">
        <f>IF(L5035="","ไม่พบใน SG",IF(ABS(J5035-L5035)&lt;0.005,"ตรงกัน","ไม่ตรง"))</f>
        <v/>
      </c>
      <c r="N5035" s="14">
        <f>IF(L5035="","",ROUND(L5035*'สรุป'!$C$6,-1))</f>
        <v/>
      </c>
      <c r="O5035" s="15" t="n"/>
      <c r="P5035" s="15" t="n"/>
      <c r="Q5035" s="10" t="n"/>
      <c r="R5035" s="10" t="n"/>
      <c r="S5035" s="16" t="inlineStr">
        <is>
          <t>https://mstgolf.co.th/products/gf2040111732</t>
        </is>
      </c>
      <c r="T5035" s="1">
        <f>IF(B5035="ไม้กอล์ฟ",J5035,"")</f>
        <v/>
      </c>
    </row>
    <row r="5036">
      <c r="A5036" s="1" t="n">
        <v>3</v>
      </c>
      <c r="B5036" s="1" t="inlineStr">
        <is>
          <t>เสื้อผ้า</t>
        </is>
      </c>
      <c r="C5036" s="1" t="inlineStr">
        <is>
          <t>gf2040111735</t>
        </is>
      </c>
      <c r="D5036" s="1" t="inlineStr">
        <is>
          <t>CALVIN KLEIN Campus Men's Polo (White)</t>
        </is>
      </c>
      <c r="E5036" s="1" t="inlineStr">
        <is>
          <t>CALVIN KLEIN</t>
        </is>
      </c>
      <c r="F5036" s="1" t="inlineStr">
        <is>
          <t>SHORT SLEEVES</t>
        </is>
      </c>
      <c r="G5036" s="1" t="inlineStr">
        <is>
          <t>GF2040111735S</t>
        </is>
      </c>
      <c r="H5036" s="1" t="n">
        <v>6</v>
      </c>
      <c r="I5036" s="1" t="inlineStr">
        <is>
          <t>หมด</t>
        </is>
      </c>
      <c r="J5036" s="13" t="n">
        <v>49</v>
      </c>
      <c r="K5036" s="1" t="inlineStr"/>
      <c r="L5036" s="13" t="n">
        <v>43</v>
      </c>
      <c r="M5036" s="1">
        <f>IF(L5036="","ไม่พบใน SG",IF(ABS(J5036-L5036)&lt;0.005,"ตรงกัน","ไม่ตรง"))</f>
        <v/>
      </c>
      <c r="N5036" s="14">
        <f>IF(L5036="","",ROUND(L5036*'สรุป'!$C$6,-1))</f>
        <v/>
      </c>
      <c r="O5036" s="15" t="n"/>
      <c r="P5036" s="15" t="n"/>
      <c r="Q5036" s="10" t="n"/>
      <c r="R5036" s="10" t="n"/>
      <c r="S5036" s="16" t="inlineStr">
        <is>
          <t>https://mstgolf.co.th/products/gf2040111735</t>
        </is>
      </c>
      <c r="T5036" s="1">
        <f>IF(B5036="ไม้กอล์ฟ",J5036,"")</f>
        <v/>
      </c>
    </row>
    <row r="5037">
      <c r="A5037" s="1" t="n">
        <v>3</v>
      </c>
      <c r="B5037" s="1" t="inlineStr">
        <is>
          <t>เสื้อผ้า</t>
        </is>
      </c>
      <c r="C5037" s="1" t="inlineStr">
        <is>
          <t>gf2040115421</t>
        </is>
      </c>
      <c r="D5037" s="1" t="inlineStr">
        <is>
          <t>CALVIN KLEIN Crackle Women's Sleeveless Polo (Orchid)</t>
        </is>
      </c>
      <c r="E5037" s="1" t="inlineStr">
        <is>
          <t>CALVIN KLEIN</t>
        </is>
      </c>
      <c r="F5037" s="1" t="inlineStr">
        <is>
          <t>SHORT SLEEVES</t>
        </is>
      </c>
      <c r="G5037" s="1" t="inlineStr">
        <is>
          <t>GF20401154218</t>
        </is>
      </c>
      <c r="H5037" s="1" t="n">
        <v>6</v>
      </c>
      <c r="I5037" s="1" t="inlineStr">
        <is>
          <t>หมด</t>
        </is>
      </c>
      <c r="J5037" s="13" t="n">
        <v>49</v>
      </c>
      <c r="K5037" s="1" t="inlineStr"/>
      <c r="L5037" s="13" t="n">
        <v>49</v>
      </c>
      <c r="M5037" s="1">
        <f>IF(L5037="","ไม่พบใน SG",IF(ABS(J5037-L5037)&lt;0.005,"ตรงกัน","ไม่ตรง"))</f>
        <v/>
      </c>
      <c r="N5037" s="14">
        <f>IF(L5037="","",ROUND(L5037*'สรุป'!$C$6,-1))</f>
        <v/>
      </c>
      <c r="O5037" s="15" t="n"/>
      <c r="P5037" s="15" t="n"/>
      <c r="Q5037" s="10" t="n"/>
      <c r="R5037" s="10" t="n"/>
      <c r="S5037" s="16" t="inlineStr">
        <is>
          <t>https://mstgolf.co.th/products/gf2040115421</t>
        </is>
      </c>
      <c r="T5037" s="1">
        <f>IF(B5037="ไม้กอล์ฟ",J5037,"")</f>
        <v/>
      </c>
    </row>
    <row r="5038">
      <c r="A5038" s="1" t="n">
        <v>3</v>
      </c>
      <c r="B5038" s="1" t="inlineStr">
        <is>
          <t>เสื้อผ้า</t>
        </is>
      </c>
      <c r="C5038" s="1" t="inlineStr">
        <is>
          <t>gf2040115367</t>
        </is>
      </c>
      <c r="D5038" s="1" t="inlineStr">
        <is>
          <t>CALVIN KLEIN Parker Men's Polo (Boy Blue)</t>
        </is>
      </c>
      <c r="E5038" s="1" t="inlineStr">
        <is>
          <t>CALVIN KLEIN</t>
        </is>
      </c>
      <c r="F5038" s="1" t="inlineStr">
        <is>
          <t>SHORT SLEEVES</t>
        </is>
      </c>
      <c r="G5038" s="1" t="inlineStr">
        <is>
          <t>GF2040115367S</t>
        </is>
      </c>
      <c r="H5038" s="1" t="n">
        <v>5</v>
      </c>
      <c r="I5038" s="1" t="inlineStr">
        <is>
          <t>หมด</t>
        </is>
      </c>
      <c r="J5038" s="13" t="n">
        <v>49</v>
      </c>
      <c r="K5038" s="1" t="inlineStr"/>
      <c r="L5038" s="13" t="n"/>
      <c r="M5038" s="1">
        <f>IF(L5038="","ไม่พบใน SG",IF(ABS(J5038-L5038)&lt;0.005,"ตรงกัน","ไม่ตรง"))</f>
        <v/>
      </c>
      <c r="N5038" s="14">
        <f>IF(L5038="","",ROUND(L5038*'สรุป'!$C$6,-1))</f>
        <v/>
      </c>
      <c r="O5038" s="15" t="n"/>
      <c r="P5038" s="15" t="n"/>
      <c r="Q5038" s="10" t="n"/>
      <c r="R5038" s="10" t="n"/>
      <c r="S5038" s="16" t="inlineStr">
        <is>
          <t>https://mstgolf.co.th/products/gf2040115367</t>
        </is>
      </c>
      <c r="T5038" s="1">
        <f>IF(B5038="ไม้กอล์ฟ",J5038,"")</f>
        <v/>
      </c>
    </row>
    <row r="5039">
      <c r="A5039" s="1" t="n">
        <v>3</v>
      </c>
      <c r="B5039" s="1" t="inlineStr">
        <is>
          <t>เสื้อผ้า</t>
        </is>
      </c>
      <c r="C5039" s="1" t="inlineStr">
        <is>
          <t>gf2040115369</t>
        </is>
      </c>
      <c r="D5039" s="1" t="inlineStr">
        <is>
          <t>CALVIN KLEIN Parker Men's Polo (Navy)</t>
        </is>
      </c>
      <c r="E5039" s="1" t="inlineStr">
        <is>
          <t>CALVIN KLEIN</t>
        </is>
      </c>
      <c r="F5039" s="1" t="inlineStr">
        <is>
          <t>SHORT SLEEVES</t>
        </is>
      </c>
      <c r="G5039" s="1" t="inlineStr">
        <is>
          <t>GF2040115369S</t>
        </is>
      </c>
      <c r="H5039" s="1" t="n">
        <v>5</v>
      </c>
      <c r="I5039" s="1" t="inlineStr">
        <is>
          <t>หมด</t>
        </is>
      </c>
      <c r="J5039" s="13" t="n">
        <v>49</v>
      </c>
      <c r="K5039" s="1" t="inlineStr"/>
      <c r="L5039" s="13" t="n"/>
      <c r="M5039" s="1">
        <f>IF(L5039="","ไม่พบใน SG",IF(ABS(J5039-L5039)&lt;0.005,"ตรงกัน","ไม่ตรง"))</f>
        <v/>
      </c>
      <c r="N5039" s="14">
        <f>IF(L5039="","",ROUND(L5039*'สรุป'!$C$6,-1))</f>
        <v/>
      </c>
      <c r="O5039" s="15" t="n"/>
      <c r="P5039" s="15" t="n"/>
      <c r="Q5039" s="10" t="n"/>
      <c r="R5039" s="10" t="n"/>
      <c r="S5039" s="16" t="inlineStr">
        <is>
          <t>https://mstgolf.co.th/products/gf2040115369</t>
        </is>
      </c>
      <c r="T5039" s="1">
        <f>IF(B5039="ไม้กอล์ฟ",J5039,"")</f>
        <v/>
      </c>
    </row>
    <row r="5040">
      <c r="A5040" s="1" t="n">
        <v>3</v>
      </c>
      <c r="B5040" s="1" t="inlineStr">
        <is>
          <t>หมวก</t>
        </is>
      </c>
      <c r="C5040" s="1" t="inlineStr">
        <is>
          <t>gf2000106006</t>
        </is>
      </c>
      <c r="D5040" s="1" t="inlineStr">
        <is>
          <t>COBRA Tour Tech Men's Cap (Grey/White)</t>
        </is>
      </c>
      <c r="E5040" s="1" t="inlineStr">
        <is>
          <t>COBRA</t>
        </is>
      </c>
      <c r="F5040" s="1" t="inlineStr">
        <is>
          <t>CAP</t>
        </is>
      </c>
      <c r="G5040" s="1" t="inlineStr">
        <is>
          <t>GF2000106006FS</t>
        </is>
      </c>
      <c r="H5040" s="1" t="n">
        <v>1</v>
      </c>
      <c r="I5040" s="1" t="inlineStr">
        <is>
          <t>หมด</t>
        </is>
      </c>
      <c r="J5040" s="13" t="n">
        <v>49</v>
      </c>
      <c r="K5040" s="1" t="inlineStr"/>
      <c r="L5040" s="13" t="n">
        <v>49</v>
      </c>
      <c r="M5040" s="1">
        <f>IF(L5040="","ไม่พบใน SG",IF(ABS(J5040-L5040)&lt;0.005,"ตรงกัน","ไม่ตรง"))</f>
        <v/>
      </c>
      <c r="N5040" s="14">
        <f>IF(L5040="","",ROUND(L5040*'สรุป'!$C$6,-1))</f>
        <v/>
      </c>
      <c r="O5040" s="15" t="n"/>
      <c r="P5040" s="15" t="n"/>
      <c r="Q5040" s="10" t="n"/>
      <c r="R5040" s="10" t="n"/>
      <c r="S5040" s="16" t="inlineStr">
        <is>
          <t>https://mstgolf.co.th/products/gf2000106006</t>
        </is>
      </c>
      <c r="T5040" s="1">
        <f>IF(B5040="ไม้กอล์ฟ",J5040,"")</f>
        <v/>
      </c>
    </row>
    <row r="5041">
      <c r="A5041" s="1" t="n">
        <v>3</v>
      </c>
      <c r="B5041" s="1" t="inlineStr">
        <is>
          <t>หมวก</t>
        </is>
      </c>
      <c r="C5041" s="1" t="inlineStr">
        <is>
          <t>gf2000106005</t>
        </is>
      </c>
      <c r="D5041" s="1" t="inlineStr">
        <is>
          <t>COBRA Tour Tech Men's Cap (Orange/White)</t>
        </is>
      </c>
      <c r="E5041" s="1" t="inlineStr">
        <is>
          <t>COBRA</t>
        </is>
      </c>
      <c r="F5041" s="1" t="inlineStr">
        <is>
          <t>CAP</t>
        </is>
      </c>
      <c r="G5041" s="1" t="inlineStr">
        <is>
          <t>GF2000106005FS</t>
        </is>
      </c>
      <c r="H5041" s="1" t="n">
        <v>1</v>
      </c>
      <c r="I5041" s="1" t="inlineStr">
        <is>
          <t>หมด</t>
        </is>
      </c>
      <c r="J5041" s="13" t="n">
        <v>49</v>
      </c>
      <c r="K5041" s="1" t="inlineStr"/>
      <c r="L5041" s="13" t="n">
        <v>49</v>
      </c>
      <c r="M5041" s="1">
        <f>IF(L5041="","ไม่พบใน SG",IF(ABS(J5041-L5041)&lt;0.005,"ตรงกัน","ไม่ตรง"))</f>
        <v/>
      </c>
      <c r="N5041" s="14">
        <f>IF(L5041="","",ROUND(L5041*'สรุป'!$C$6,-1))</f>
        <v/>
      </c>
      <c r="O5041" s="15" t="n"/>
      <c r="P5041" s="15" t="n"/>
      <c r="Q5041" s="10" t="n"/>
      <c r="R5041" s="10" t="n"/>
      <c r="S5041" s="16" t="inlineStr">
        <is>
          <t>https://mstgolf.co.th/products/gf2000106005</t>
        </is>
      </c>
      <c r="T5041" s="1">
        <f>IF(B5041="ไม้กอล์ฟ",J5041,"")</f>
        <v/>
      </c>
    </row>
    <row r="5042">
      <c r="A5042" s="1" t="n">
        <v>3</v>
      </c>
      <c r="B5042" s="1" t="inlineStr">
        <is>
          <t>หมวก</t>
        </is>
      </c>
      <c r="C5042" s="1" t="inlineStr">
        <is>
          <t>gf2000106004</t>
        </is>
      </c>
      <c r="D5042" s="1" t="inlineStr">
        <is>
          <t>COBRA Tour Tech Men's Cap (White/Black)</t>
        </is>
      </c>
      <c r="E5042" s="1" t="inlineStr">
        <is>
          <t>COBRA</t>
        </is>
      </c>
      <c r="F5042" s="1" t="inlineStr">
        <is>
          <t>CAP</t>
        </is>
      </c>
      <c r="G5042" s="1" t="inlineStr">
        <is>
          <t>GF2000106004FS</t>
        </is>
      </c>
      <c r="H5042" s="1" t="n">
        <v>1</v>
      </c>
      <c r="I5042" s="1" t="inlineStr">
        <is>
          <t>หมด</t>
        </is>
      </c>
      <c r="J5042" s="13" t="n">
        <v>49</v>
      </c>
      <c r="K5042" s="1" t="inlineStr"/>
      <c r="L5042" s="13" t="n"/>
      <c r="M5042" s="1">
        <f>IF(L5042="","ไม่พบใน SG",IF(ABS(J5042-L5042)&lt;0.005,"ตรงกัน","ไม่ตรง"))</f>
        <v/>
      </c>
      <c r="N5042" s="14">
        <f>IF(L5042="","",ROUND(L5042*'สรุป'!$C$6,-1))</f>
        <v/>
      </c>
      <c r="O5042" s="15" t="n"/>
      <c r="P5042" s="15" t="n"/>
      <c r="Q5042" s="10" t="n"/>
      <c r="R5042" s="10" t="n"/>
      <c r="S5042" s="16" t="inlineStr">
        <is>
          <t>https://mstgolf.co.th/products/gf2000106004</t>
        </is>
      </c>
      <c r="T5042" s="1">
        <f>IF(B5042="ไม้กอล์ฟ",J5042,"")</f>
        <v/>
      </c>
    </row>
    <row r="5043">
      <c r="A5043" s="1" t="n">
        <v>3</v>
      </c>
      <c r="B5043" s="1" t="inlineStr">
        <is>
          <t>เสื้อผ้า</t>
        </is>
      </c>
      <c r="C5043" s="1" t="inlineStr">
        <is>
          <t>gf2040116424</t>
        </is>
      </c>
      <c r="D5043" s="1" t="inlineStr">
        <is>
          <t>CUTTER &amp; BUCK Forge Eco Recycle Men's Polo (Digital)</t>
        </is>
      </c>
      <c r="E5043" s="1" t="inlineStr">
        <is>
          <t>CUTTER &amp; BUCK</t>
        </is>
      </c>
      <c r="F5043" s="1" t="inlineStr">
        <is>
          <t>SHORT SLEEVES</t>
        </is>
      </c>
      <c r="G5043" s="1" t="inlineStr">
        <is>
          <t>GF2040116424S</t>
        </is>
      </c>
      <c r="H5043" s="1" t="n">
        <v>6</v>
      </c>
      <c r="I5043" s="1" t="inlineStr">
        <is>
          <t>หมด</t>
        </is>
      </c>
      <c r="J5043" s="13" t="n">
        <v>49</v>
      </c>
      <c r="K5043" s="1" t="inlineStr"/>
      <c r="L5043" s="13" t="n"/>
      <c r="M5043" s="1">
        <f>IF(L5043="","ไม่พบใน SG",IF(ABS(J5043-L5043)&lt;0.005,"ตรงกัน","ไม่ตรง"))</f>
        <v/>
      </c>
      <c r="N5043" s="14">
        <f>IF(L5043="","",ROUND(L5043*'สรุป'!$C$6,-1))</f>
        <v/>
      </c>
      <c r="O5043" s="15" t="n"/>
      <c r="P5043" s="15" t="n"/>
      <c r="Q5043" s="10" t="n"/>
      <c r="R5043" s="10" t="n"/>
      <c r="S5043" s="16" t="inlineStr">
        <is>
          <t>https://mstgolf.co.th/products/gf2040116424</t>
        </is>
      </c>
      <c r="T5043" s="1">
        <f>IF(B5043="ไม้กอล์ฟ",J5043,"")</f>
        <v/>
      </c>
    </row>
    <row r="5044">
      <c r="A5044" s="1" t="n">
        <v>3</v>
      </c>
      <c r="B5044" s="1" t="inlineStr">
        <is>
          <t>เสื้อผ้า</t>
        </is>
      </c>
      <c r="C5044" s="1" t="inlineStr">
        <is>
          <t>gf2040116389</t>
        </is>
      </c>
      <c r="D5044" s="1" t="inlineStr">
        <is>
          <t>CUTTER &amp; BUCK Forge Eco Recycle Men's Polo (Tour Blue)</t>
        </is>
      </c>
      <c r="E5044" s="1" t="inlineStr">
        <is>
          <t>CUTTER &amp; BUCK</t>
        </is>
      </c>
      <c r="F5044" s="1" t="inlineStr">
        <is>
          <t>SHORT SLEEVES</t>
        </is>
      </c>
      <c r="G5044" s="1" t="inlineStr">
        <is>
          <t>GF2040116389S</t>
        </is>
      </c>
      <c r="H5044" s="1" t="n">
        <v>6</v>
      </c>
      <c r="I5044" s="1" t="inlineStr">
        <is>
          <t>หมด</t>
        </is>
      </c>
      <c r="J5044" s="13" t="n">
        <v>49</v>
      </c>
      <c r="K5044" s="1" t="inlineStr"/>
      <c r="L5044" s="13" t="n"/>
      <c r="M5044" s="1">
        <f>IF(L5044="","ไม่พบใน SG",IF(ABS(J5044-L5044)&lt;0.005,"ตรงกัน","ไม่ตรง"))</f>
        <v/>
      </c>
      <c r="N5044" s="14">
        <f>IF(L5044="","",ROUND(L5044*'สรุป'!$C$6,-1))</f>
        <v/>
      </c>
      <c r="O5044" s="15" t="n"/>
      <c r="P5044" s="15" t="n"/>
      <c r="Q5044" s="10" t="n"/>
      <c r="R5044" s="10" t="n"/>
      <c r="S5044" s="16" t="inlineStr">
        <is>
          <t>https://mstgolf.co.th/products/gf2040116389</t>
        </is>
      </c>
      <c r="T5044" s="1">
        <f>IF(B5044="ไม้กอล์ฟ",J5044,"")</f>
        <v/>
      </c>
    </row>
    <row r="5045">
      <c r="A5045" s="1" t="n">
        <v>3</v>
      </c>
      <c r="B5045" s="1" t="inlineStr">
        <is>
          <t>เสื้อผ้า</t>
        </is>
      </c>
      <c r="C5045" s="1" t="inlineStr">
        <is>
          <t>gf2040116364</t>
        </is>
      </c>
      <c r="D5045" s="1" t="inlineStr">
        <is>
          <t>CUTTER &amp; BUCK Forge Eco Recycled Men's Polo (Dark Atlas)</t>
        </is>
      </c>
      <c r="E5045" s="1" t="inlineStr">
        <is>
          <t>CUTTER &amp; BUCK</t>
        </is>
      </c>
      <c r="F5045" s="1" t="inlineStr">
        <is>
          <t>SHORT SLEEVES</t>
        </is>
      </c>
      <c r="G5045" s="1" t="inlineStr">
        <is>
          <t>GF2040116364S</t>
        </is>
      </c>
      <c r="H5045" s="1" t="n">
        <v>6</v>
      </c>
      <c r="I5045" s="1" t="inlineStr">
        <is>
          <t>หมด</t>
        </is>
      </c>
      <c r="J5045" s="13" t="n">
        <v>49</v>
      </c>
      <c r="K5045" s="1" t="inlineStr"/>
      <c r="L5045" s="13" t="n"/>
      <c r="M5045" s="1">
        <f>IF(L5045="","ไม่พบใน SG",IF(ABS(J5045-L5045)&lt;0.005,"ตรงกัน","ไม่ตรง"))</f>
        <v/>
      </c>
      <c r="N5045" s="14">
        <f>IF(L5045="","",ROUND(L5045*'สรุป'!$C$6,-1))</f>
        <v/>
      </c>
      <c r="O5045" s="15" t="n"/>
      <c r="P5045" s="15" t="n"/>
      <c r="Q5045" s="10" t="n"/>
      <c r="R5045" s="10" t="n"/>
      <c r="S5045" s="16" t="inlineStr">
        <is>
          <t>https://mstgolf.co.th/products/gf2040116364</t>
        </is>
      </c>
      <c r="T5045" s="1">
        <f>IF(B5045="ไม้กอล์ฟ",J5045,"")</f>
        <v/>
      </c>
    </row>
    <row r="5046">
      <c r="A5046" s="1" t="n">
        <v>3</v>
      </c>
      <c r="B5046" s="1" t="inlineStr">
        <is>
          <t>เสื้อผ้า</t>
        </is>
      </c>
      <c r="C5046" s="1" t="inlineStr">
        <is>
          <t>gf2040120914</t>
        </is>
      </c>
      <c r="D5046" s="1" t="inlineStr">
        <is>
          <t>CUTTER &amp; BUCK Recycled Women's Polo (Fresh Mint Heather)</t>
        </is>
      </c>
      <c r="E5046" s="1" t="inlineStr">
        <is>
          <t>CUTTER &amp; BUCK</t>
        </is>
      </c>
      <c r="F5046" s="1" t="inlineStr">
        <is>
          <t>SHORT SLEEVES</t>
        </is>
      </c>
      <c r="G5046" s="1" t="inlineStr">
        <is>
          <t>GF2040120914XS</t>
        </is>
      </c>
      <c r="H5046" s="1" t="n">
        <v>6</v>
      </c>
      <c r="I5046" s="1" t="inlineStr">
        <is>
          <t>หมด</t>
        </is>
      </c>
      <c r="J5046" s="13" t="n">
        <v>49</v>
      </c>
      <c r="K5046" s="1" t="inlineStr"/>
      <c r="L5046" s="13" t="n"/>
      <c r="M5046" s="1">
        <f>IF(L5046="","ไม่พบใน SG",IF(ABS(J5046-L5046)&lt;0.005,"ตรงกัน","ไม่ตรง"))</f>
        <v/>
      </c>
      <c r="N5046" s="14">
        <f>IF(L5046="","",ROUND(L5046*'สรุป'!$C$6,-1))</f>
        <v/>
      </c>
      <c r="O5046" s="15" t="n"/>
      <c r="P5046" s="15" t="n"/>
      <c r="Q5046" s="10" t="n"/>
      <c r="R5046" s="10" t="n"/>
      <c r="S5046" s="16" t="inlineStr">
        <is>
          <t>https://mstgolf.co.th/products/gf2040120914</t>
        </is>
      </c>
      <c r="T5046" s="1">
        <f>IF(B5046="ไม้กอล์ฟ",J5046,"")</f>
        <v/>
      </c>
    </row>
    <row r="5047">
      <c r="A5047" s="1" t="n">
        <v>3</v>
      </c>
      <c r="B5047" s="1" t="inlineStr">
        <is>
          <t>เสื้อผ้า</t>
        </is>
      </c>
      <c r="C5047" s="1" t="inlineStr">
        <is>
          <t>gf2040117082</t>
        </is>
      </c>
      <c r="D5047" s="1" t="inlineStr">
        <is>
          <t>CUTTER &amp; BUCK Virtue Ecopique Men's Polo (Polished)</t>
        </is>
      </c>
      <c r="E5047" s="1" t="inlineStr">
        <is>
          <t>CUTTER &amp; BUCK</t>
        </is>
      </c>
      <c r="F5047" s="1" t="inlineStr">
        <is>
          <t>SHORT SLEEVES</t>
        </is>
      </c>
      <c r="G5047" s="1" t="inlineStr">
        <is>
          <t>GF2040117082S</t>
        </is>
      </c>
      <c r="H5047" s="1" t="n">
        <v>6</v>
      </c>
      <c r="I5047" s="1" t="inlineStr">
        <is>
          <t>หมด</t>
        </is>
      </c>
      <c r="J5047" s="13" t="n">
        <v>49</v>
      </c>
      <c r="K5047" s="1" t="inlineStr"/>
      <c r="L5047" s="13" t="n"/>
      <c r="M5047" s="1">
        <f>IF(L5047="","ไม่พบใน SG",IF(ABS(J5047-L5047)&lt;0.005,"ตรงกัน","ไม่ตรง"))</f>
        <v/>
      </c>
      <c r="N5047" s="14">
        <f>IF(L5047="","",ROUND(L5047*'สรุป'!$C$6,-1))</f>
        <v/>
      </c>
      <c r="O5047" s="15" t="n"/>
      <c r="P5047" s="15" t="n"/>
      <c r="Q5047" s="10" t="n"/>
      <c r="R5047" s="10" t="n"/>
      <c r="S5047" s="16" t="inlineStr">
        <is>
          <t>https://mstgolf.co.th/products/gf2040117082</t>
        </is>
      </c>
      <c r="T5047" s="1">
        <f>IF(B5047="ไม้กอล์ฟ",J5047,"")</f>
        <v/>
      </c>
    </row>
    <row r="5048">
      <c r="A5048" s="1" t="n">
        <v>3</v>
      </c>
      <c r="B5048" s="1" t="inlineStr">
        <is>
          <t>เสื้อผ้า</t>
        </is>
      </c>
      <c r="C5048" s="1" t="inlineStr">
        <is>
          <t>gf2040116675</t>
        </is>
      </c>
      <c r="D5048" s="1" t="inlineStr">
        <is>
          <t>CUTTER &amp; BUCK Virtue Ecopique Women's Polo (Polished)</t>
        </is>
      </c>
      <c r="E5048" s="1" t="inlineStr">
        <is>
          <t>CUTTER &amp; BUCK</t>
        </is>
      </c>
      <c r="F5048" s="1" t="inlineStr">
        <is>
          <t>SHORT SLEEVES</t>
        </is>
      </c>
      <c r="G5048" s="1" t="inlineStr">
        <is>
          <t>GF2040116675XS</t>
        </is>
      </c>
      <c r="H5048" s="1" t="n">
        <v>6</v>
      </c>
      <c r="I5048" s="1" t="inlineStr">
        <is>
          <t>หมด</t>
        </is>
      </c>
      <c r="J5048" s="13" t="n">
        <v>49</v>
      </c>
      <c r="K5048" s="1" t="inlineStr"/>
      <c r="L5048" s="13" t="n"/>
      <c r="M5048" s="1">
        <f>IF(L5048="","ไม่พบใน SG",IF(ABS(J5048-L5048)&lt;0.005,"ตรงกัน","ไม่ตรง"))</f>
        <v/>
      </c>
      <c r="N5048" s="14">
        <f>IF(L5048="","",ROUND(L5048*'สรุป'!$C$6,-1))</f>
        <v/>
      </c>
      <c r="O5048" s="15" t="n"/>
      <c r="P5048" s="15" t="n"/>
      <c r="Q5048" s="10" t="n"/>
      <c r="R5048" s="10" t="n"/>
      <c r="S5048" s="16" t="inlineStr">
        <is>
          <t>https://mstgolf.co.th/products/gf2040116675</t>
        </is>
      </c>
      <c r="T5048" s="1">
        <f>IF(B5048="ไม้กอล์ฟ",J5048,"")</f>
        <v/>
      </c>
    </row>
    <row r="5049">
      <c r="A5049" s="1" t="n">
        <v>3</v>
      </c>
      <c r="B5049" s="1" t="inlineStr">
        <is>
          <t>เสื้อผ้า</t>
        </is>
      </c>
      <c r="C5049" s="1" t="inlineStr">
        <is>
          <t>gf2040112842</t>
        </is>
      </c>
      <c r="D5049" s="1" t="inlineStr">
        <is>
          <t>CUTTER &amp; BUCK Virtue Ecopique Women's Polo (Red)</t>
        </is>
      </c>
      <c r="E5049" s="1" t="inlineStr">
        <is>
          <t>CUTTER &amp; BUCK</t>
        </is>
      </c>
      <c r="F5049" s="1" t="inlineStr">
        <is>
          <t>SHORT SLEEVES</t>
        </is>
      </c>
      <c r="G5049" s="1" t="inlineStr">
        <is>
          <t>GF2040112842XS</t>
        </is>
      </c>
      <c r="H5049" s="1" t="n">
        <v>6</v>
      </c>
      <c r="I5049" s="1" t="inlineStr">
        <is>
          <t>หมด</t>
        </is>
      </c>
      <c r="J5049" s="13" t="n">
        <v>49</v>
      </c>
      <c r="K5049" s="1" t="inlineStr"/>
      <c r="L5049" s="13" t="n"/>
      <c r="M5049" s="1">
        <f>IF(L5049="","ไม่พบใน SG",IF(ABS(J5049-L5049)&lt;0.005,"ตรงกัน","ไม่ตรง"))</f>
        <v/>
      </c>
      <c r="N5049" s="14">
        <f>IF(L5049="","",ROUND(L5049*'สรุป'!$C$6,-1))</f>
        <v/>
      </c>
      <c r="O5049" s="15" t="n"/>
      <c r="P5049" s="15" t="n"/>
      <c r="Q5049" s="10" t="n"/>
      <c r="R5049" s="10" t="n"/>
      <c r="S5049" s="16" t="inlineStr">
        <is>
          <t>https://mstgolf.co.th/products/gf2040112842</t>
        </is>
      </c>
      <c r="T5049" s="1">
        <f>IF(B5049="ไม้กอล์ฟ",J5049,"")</f>
        <v/>
      </c>
    </row>
    <row r="5050">
      <c r="A5050" s="1" t="n">
        <v>3</v>
      </c>
      <c r="B5050" s="1" t="inlineStr">
        <is>
          <t>อุปกรณ์เสริม</t>
        </is>
      </c>
      <c r="C5050" s="1" t="inlineStr">
        <is>
          <t>gf3130100398</t>
        </is>
      </c>
      <c r="D5050" s="1" t="inlineStr">
        <is>
          <t>EPOCH EYEWEAR Cadence 6 Polarized Shatterproof Sunglasses (Black/Smoke)</t>
        </is>
      </c>
      <c r="E5050" s="1" t="inlineStr">
        <is>
          <t>EPOCH EYEWEAR</t>
        </is>
      </c>
      <c r="F5050" s="1" t="inlineStr">
        <is>
          <t>SUNGLASSES</t>
        </is>
      </c>
      <c r="G5050" s="1" t="inlineStr">
        <is>
          <t>GF3130100398</t>
        </is>
      </c>
      <c r="H5050" s="1" t="n">
        <v>1</v>
      </c>
      <c r="I5050" s="1" t="inlineStr">
        <is>
          <t>หมด</t>
        </is>
      </c>
      <c r="J5050" s="13" t="n">
        <v>49</v>
      </c>
      <c r="K5050" s="1" t="inlineStr"/>
      <c r="L5050" s="13" t="n">
        <v>49</v>
      </c>
      <c r="M5050" s="1">
        <f>IF(L5050="","ไม่พบใน SG",IF(ABS(J5050-L5050)&lt;0.005,"ตรงกัน","ไม่ตรง"))</f>
        <v/>
      </c>
      <c r="N5050" s="14">
        <f>IF(L5050="","",ROUND(L5050*'สรุป'!$C$6,-1))</f>
        <v/>
      </c>
      <c r="O5050" s="15" t="n"/>
      <c r="P5050" s="15" t="n"/>
      <c r="Q5050" s="10" t="n"/>
      <c r="R5050" s="10" t="n"/>
      <c r="S5050" s="16" t="inlineStr">
        <is>
          <t>https://mstgolf.co.th/products/gf3130100398</t>
        </is>
      </c>
      <c r="T5050" s="1">
        <f>IF(B5050="ไม้กอล์ฟ",J5050,"")</f>
        <v/>
      </c>
    </row>
    <row r="5051">
      <c r="A5051" s="1" t="n">
        <v>3</v>
      </c>
      <c r="B5051" s="1" t="inlineStr">
        <is>
          <t>อุปกรณ์เสริม</t>
        </is>
      </c>
      <c r="C5051" s="1" t="inlineStr">
        <is>
          <t>gf3130100271</t>
        </is>
      </c>
      <c r="D5051" s="1" t="inlineStr">
        <is>
          <t>EPOCH EYEWEAR Epoch Eyewear Salerno Black/Orange Sunglasses</t>
        </is>
      </c>
      <c r="E5051" s="1" t="inlineStr">
        <is>
          <t>EPOCH EYEWEAR</t>
        </is>
      </c>
      <c r="F5051" s="1" t="inlineStr">
        <is>
          <t>SUNGLASSES</t>
        </is>
      </c>
      <c r="G5051" s="1" t="inlineStr">
        <is>
          <t>GF3130100271</t>
        </is>
      </c>
      <c r="H5051" s="1" t="n">
        <v>1</v>
      </c>
      <c r="I5051" s="1" t="inlineStr">
        <is>
          <t>หมด</t>
        </is>
      </c>
      <c r="J5051" s="13" t="n">
        <v>49</v>
      </c>
      <c r="K5051" s="1" t="inlineStr"/>
      <c r="L5051" s="13" t="n"/>
      <c r="M5051" s="1">
        <f>IF(L5051="","ไม่พบใน SG",IF(ABS(J5051-L5051)&lt;0.005,"ตรงกัน","ไม่ตรง"))</f>
        <v/>
      </c>
      <c r="N5051" s="14">
        <f>IF(L5051="","",ROUND(L5051*'สรุป'!$C$6,-1))</f>
        <v/>
      </c>
      <c r="O5051" s="15" t="n"/>
      <c r="P5051" s="15" t="n"/>
      <c r="Q5051" s="10" t="n"/>
      <c r="R5051" s="10" t="n"/>
      <c r="S5051" s="16" t="inlineStr">
        <is>
          <t>https://mstgolf.co.th/products/gf3130100271</t>
        </is>
      </c>
      <c r="T5051" s="1">
        <f>IF(B5051="ไม้กอล์ฟ",J5051,"")</f>
        <v/>
      </c>
    </row>
    <row r="5052">
      <c r="A5052" s="1" t="n">
        <v>3</v>
      </c>
      <c r="B5052" s="1" t="inlineStr">
        <is>
          <t>อุปกรณ์เสริม</t>
        </is>
      </c>
      <c r="C5052" s="1" t="inlineStr">
        <is>
          <t>gf3130100272</t>
        </is>
      </c>
      <c r="D5052" s="1" t="inlineStr">
        <is>
          <t>EPOCH EYEWEAR Liberator Black/ClearTo Smoke Sunglasses</t>
        </is>
      </c>
      <c r="E5052" s="1" t="inlineStr">
        <is>
          <t>EPOCH EYEWEAR</t>
        </is>
      </c>
      <c r="F5052" s="1" t="inlineStr">
        <is>
          <t>SUNGLASSES</t>
        </is>
      </c>
      <c r="G5052" s="1" t="inlineStr">
        <is>
          <t>GF3130100272</t>
        </is>
      </c>
      <c r="H5052" s="1" t="n">
        <v>1</v>
      </c>
      <c r="I5052" s="1" t="inlineStr">
        <is>
          <t>หมด</t>
        </is>
      </c>
      <c r="J5052" s="13" t="n">
        <v>49</v>
      </c>
      <c r="K5052" s="1" t="inlineStr"/>
      <c r="L5052" s="13" t="n">
        <v>49</v>
      </c>
      <c r="M5052" s="1">
        <f>IF(L5052="","ไม่พบใน SG",IF(ABS(J5052-L5052)&lt;0.005,"ตรงกัน","ไม่ตรง"))</f>
        <v/>
      </c>
      <c r="N5052" s="14">
        <f>IF(L5052="","",ROUND(L5052*'สรุป'!$C$6,-1))</f>
        <v/>
      </c>
      <c r="O5052" s="15" t="n"/>
      <c r="P5052" s="15" t="n"/>
      <c r="Q5052" s="10" t="n"/>
      <c r="R5052" s="10" t="n"/>
      <c r="S5052" s="16" t="inlineStr">
        <is>
          <t>https://mstgolf.co.th/products/gf3130100272</t>
        </is>
      </c>
      <c r="T5052" s="1">
        <f>IF(B5052="ไม้กอล์ฟ",J5052,"")</f>
        <v/>
      </c>
    </row>
    <row r="5053">
      <c r="A5053" s="1" t="n">
        <v>3</v>
      </c>
      <c r="B5053" s="1" t="inlineStr">
        <is>
          <t>อุปกรณ์เสริม</t>
        </is>
      </c>
      <c r="C5053" s="1" t="inlineStr">
        <is>
          <t>gf3130100199</t>
        </is>
      </c>
      <c r="D5053" s="1" t="inlineStr">
        <is>
          <t>EPOCH EYEWEAR Midway Black/Brown Sunglasses</t>
        </is>
      </c>
      <c r="E5053" s="1" t="inlineStr">
        <is>
          <t>EPOCH EYEWEAR</t>
        </is>
      </c>
      <c r="F5053" s="1" t="inlineStr">
        <is>
          <t>SUNGLASSES</t>
        </is>
      </c>
      <c r="G5053" s="1" t="inlineStr">
        <is>
          <t>GF3130100199</t>
        </is>
      </c>
      <c r="H5053" s="1" t="n">
        <v>1</v>
      </c>
      <c r="I5053" s="1" t="inlineStr">
        <is>
          <t>หมด</t>
        </is>
      </c>
      <c r="J5053" s="13" t="n">
        <v>49</v>
      </c>
      <c r="K5053" s="1" t="inlineStr"/>
      <c r="L5053" s="13" t="n">
        <v>49</v>
      </c>
      <c r="M5053" s="1">
        <f>IF(L5053="","ไม่พบใน SG",IF(ABS(J5053-L5053)&lt;0.005,"ตรงกัน","ไม่ตรง"))</f>
        <v/>
      </c>
      <c r="N5053" s="14">
        <f>IF(L5053="","",ROUND(L5053*'สรุป'!$C$6,-1))</f>
        <v/>
      </c>
      <c r="O5053" s="15" t="n"/>
      <c r="P5053" s="15" t="n"/>
      <c r="Q5053" s="10" t="n"/>
      <c r="R5053" s="10" t="n"/>
      <c r="S5053" s="16" t="inlineStr">
        <is>
          <t>https://mstgolf.co.th/products/gf3130100199</t>
        </is>
      </c>
      <c r="T5053" s="1">
        <f>IF(B5053="ไม้กอล์ฟ",J5053,"")</f>
        <v/>
      </c>
    </row>
    <row r="5054">
      <c r="A5054" s="1" t="n">
        <v>3</v>
      </c>
      <c r="B5054" s="1" t="inlineStr">
        <is>
          <t>อุปกรณ์เสริม</t>
        </is>
      </c>
      <c r="C5054" s="1" t="inlineStr">
        <is>
          <t>gf3130100396</t>
        </is>
      </c>
      <c r="D5054" s="1" t="inlineStr">
        <is>
          <t>EPOCH EYEWEAR Romeo Polarized Smoke Flash Mirror Sunglasses (Black/Smoke)</t>
        </is>
      </c>
      <c r="E5054" s="1" t="inlineStr">
        <is>
          <t>EPOCH EYEWEAR</t>
        </is>
      </c>
      <c r="F5054" s="1" t="inlineStr">
        <is>
          <t>SUNGLASSES</t>
        </is>
      </c>
      <c r="G5054" s="1" t="inlineStr">
        <is>
          <t>GF3130100396</t>
        </is>
      </c>
      <c r="H5054" s="1" t="n">
        <v>1</v>
      </c>
      <c r="I5054" s="1" t="inlineStr">
        <is>
          <t>หมด</t>
        </is>
      </c>
      <c r="J5054" s="13" t="n">
        <v>49</v>
      </c>
      <c r="K5054" s="1" t="inlineStr"/>
      <c r="L5054" s="13" t="n">
        <v>49</v>
      </c>
      <c r="M5054" s="1">
        <f>IF(L5054="","ไม่พบใน SG",IF(ABS(J5054-L5054)&lt;0.005,"ตรงกัน","ไม่ตรง"))</f>
        <v/>
      </c>
      <c r="N5054" s="14">
        <f>IF(L5054="","",ROUND(L5054*'สรุป'!$C$6,-1))</f>
        <v/>
      </c>
      <c r="O5054" s="15" t="n"/>
      <c r="P5054" s="15" t="n"/>
      <c r="Q5054" s="10" t="n"/>
      <c r="R5054" s="10" t="n"/>
      <c r="S5054" s="16" t="inlineStr">
        <is>
          <t>https://mstgolf.co.th/products/gf3130100396</t>
        </is>
      </c>
      <c r="T5054" s="1">
        <f>IF(B5054="ไม้กอล์ฟ",J5054,"")</f>
        <v/>
      </c>
    </row>
    <row r="5055">
      <c r="A5055" s="1" t="n">
        <v>3</v>
      </c>
      <c r="B5055" s="1" t="inlineStr">
        <is>
          <t>อุปกรณ์เสริม</t>
        </is>
      </c>
      <c r="C5055" s="1" t="inlineStr">
        <is>
          <t>gf3130100241</t>
        </is>
      </c>
      <c r="D5055" s="1" t="inlineStr">
        <is>
          <t>EPOCH EYEWEAR Salerno Black/Polarized Smoke Sunglasses</t>
        </is>
      </c>
      <c r="E5055" s="1" t="inlineStr">
        <is>
          <t>EPOCH EYEWEAR</t>
        </is>
      </c>
      <c r="F5055" s="1" t="inlineStr">
        <is>
          <t>SUNGLASSES</t>
        </is>
      </c>
      <c r="G5055" s="1" t="inlineStr">
        <is>
          <t>GF3130100241</t>
        </is>
      </c>
      <c r="H5055" s="1" t="n">
        <v>1</v>
      </c>
      <c r="I5055" s="1" t="inlineStr">
        <is>
          <t>หมด</t>
        </is>
      </c>
      <c r="J5055" s="13" t="n">
        <v>49</v>
      </c>
      <c r="K5055" s="1" t="inlineStr"/>
      <c r="L5055" s="13" t="n">
        <v>49</v>
      </c>
      <c r="M5055" s="1">
        <f>IF(L5055="","ไม่พบใน SG",IF(ABS(J5055-L5055)&lt;0.005,"ตรงกัน","ไม่ตรง"))</f>
        <v/>
      </c>
      <c r="N5055" s="14">
        <f>IF(L5055="","",ROUND(L5055*'สรุป'!$C$6,-1))</f>
        <v/>
      </c>
      <c r="O5055" s="15" t="n"/>
      <c r="P5055" s="15" t="n"/>
      <c r="Q5055" s="10" t="n"/>
      <c r="R5055" s="10" t="n"/>
      <c r="S5055" s="16" t="inlineStr">
        <is>
          <t>https://mstgolf.co.th/products/gf3130100241</t>
        </is>
      </c>
      <c r="T5055" s="1">
        <f>IF(B5055="ไม้กอล์ฟ",J5055,"")</f>
        <v/>
      </c>
    </row>
    <row r="5056">
      <c r="A5056" s="1" t="n">
        <v>3</v>
      </c>
      <c r="B5056" s="1" t="inlineStr">
        <is>
          <t>อุปกรณ์เสริม</t>
        </is>
      </c>
      <c r="C5056" s="1" t="inlineStr">
        <is>
          <t>gf3130100399</t>
        </is>
      </c>
      <c r="D5056" s="1" t="inlineStr">
        <is>
          <t>EPOCH EYEWEAR Wake Polarized Sunglasses (Black/Smoke)</t>
        </is>
      </c>
      <c r="E5056" s="1" t="inlineStr">
        <is>
          <t>EPOCH EYEWEAR</t>
        </is>
      </c>
      <c r="F5056" s="1" t="inlineStr">
        <is>
          <t>SUNGLASSES</t>
        </is>
      </c>
      <c r="G5056" s="1" t="inlineStr">
        <is>
          <t>GF3130100399</t>
        </is>
      </c>
      <c r="H5056" s="1" t="n">
        <v>1</v>
      </c>
      <c r="I5056" s="1" t="inlineStr">
        <is>
          <t>หมด</t>
        </is>
      </c>
      <c r="J5056" s="13" t="n">
        <v>49</v>
      </c>
      <c r="K5056" s="1" t="inlineStr"/>
      <c r="L5056" s="13" t="n">
        <v>49</v>
      </c>
      <c r="M5056" s="1">
        <f>IF(L5056="","ไม่พบใน SG",IF(ABS(J5056-L5056)&lt;0.005,"ตรงกัน","ไม่ตรง"))</f>
        <v/>
      </c>
      <c r="N5056" s="14">
        <f>IF(L5056="","",ROUND(L5056*'สรุป'!$C$6,-1))</f>
        <v/>
      </c>
      <c r="O5056" s="15" t="n"/>
      <c r="P5056" s="15" t="n"/>
      <c r="Q5056" s="10" t="n"/>
      <c r="R5056" s="10" t="n"/>
      <c r="S5056" s="16" t="inlineStr">
        <is>
          <t>https://mstgolf.co.th/products/gf3130100399</t>
        </is>
      </c>
      <c r="T5056" s="1">
        <f>IF(B5056="ไม้กอล์ฟ",J5056,"")</f>
        <v/>
      </c>
    </row>
    <row r="5057">
      <c r="A5057" s="1" t="n">
        <v>3</v>
      </c>
      <c r="B5057" s="1" t="inlineStr">
        <is>
          <t>อุปกรณ์เสริม</t>
        </is>
      </c>
      <c r="C5057" s="1" t="inlineStr">
        <is>
          <t>gf3500201165</t>
        </is>
      </c>
      <c r="D5057" s="1" t="inlineStr">
        <is>
          <t>GENERAL ITEM Barudan Lucky Cat Putter Headcover (White)</t>
        </is>
      </c>
      <c r="E5057" s="1" t="inlineStr">
        <is>
          <t>GENERAL ITEM</t>
        </is>
      </c>
      <c r="F5057" s="1" t="inlineStr">
        <is>
          <t>HEADCOVERS</t>
        </is>
      </c>
      <c r="G5057" s="1" t="inlineStr">
        <is>
          <t>GF3500201165</t>
        </is>
      </c>
      <c r="H5057" s="1" t="n">
        <v>1</v>
      </c>
      <c r="I5057" s="1" t="inlineStr">
        <is>
          <t>หมด</t>
        </is>
      </c>
      <c r="J5057" s="13" t="n">
        <v>49</v>
      </c>
      <c r="K5057" s="1" t="inlineStr"/>
      <c r="L5057" s="13" t="n">
        <v>49</v>
      </c>
      <c r="M5057" s="1">
        <f>IF(L5057="","ไม่พบใน SG",IF(ABS(J5057-L5057)&lt;0.005,"ตรงกัน","ไม่ตรง"))</f>
        <v/>
      </c>
      <c r="N5057" s="14">
        <f>IF(L5057="","",ROUND(L5057*'สรุป'!$C$6,-1))</f>
        <v/>
      </c>
      <c r="O5057" s="15" t="n"/>
      <c r="P5057" s="15" t="n"/>
      <c r="Q5057" s="10" t="n"/>
      <c r="R5057" s="10" t="n"/>
      <c r="S5057" s="16" t="inlineStr">
        <is>
          <t>https://mstgolf.co.th/products/gf3500201165</t>
        </is>
      </c>
      <c r="T5057" s="1">
        <f>IF(B5057="ไม้กอล์ฟ",J5057,"")</f>
        <v/>
      </c>
    </row>
    <row r="5058">
      <c r="A5058" s="1" t="n">
        <v>3</v>
      </c>
      <c r="B5058" s="1" t="inlineStr">
        <is>
          <t>อุปกรณ์เสริม</t>
        </is>
      </c>
      <c r="C5058" s="1" t="inlineStr">
        <is>
          <t>gf2100200671</t>
        </is>
      </c>
      <c r="D5058" s="1" t="inlineStr">
        <is>
          <t>GFORE Limited Edition Skull &amp; Tees Towel (Daybreak)</t>
        </is>
      </c>
      <c r="E5058" s="1" t="inlineStr">
        <is>
          <t>GFORE</t>
        </is>
      </c>
      <c r="F5058" s="1" t="inlineStr">
        <is>
          <t>HAND/CLUB TOWEL</t>
        </is>
      </c>
      <c r="G5058" s="1" t="inlineStr">
        <is>
          <t>GF2100200671</t>
        </is>
      </c>
      <c r="H5058" s="1" t="n">
        <v>1</v>
      </c>
      <c r="I5058" s="1" t="inlineStr">
        <is>
          <t>หมด</t>
        </is>
      </c>
      <c r="J5058" s="13" t="n">
        <v>49</v>
      </c>
      <c r="K5058" s="1" t="inlineStr"/>
      <c r="L5058" s="13" t="n"/>
      <c r="M5058" s="1">
        <f>IF(L5058="","ไม่พบใน SG",IF(ABS(J5058-L5058)&lt;0.005,"ตรงกัน","ไม่ตรง"))</f>
        <v/>
      </c>
      <c r="N5058" s="14">
        <f>IF(L5058="","",ROUND(L5058*'สรุป'!$C$6,-1))</f>
        <v/>
      </c>
      <c r="O5058" s="15" t="n"/>
      <c r="P5058" s="15" t="n"/>
      <c r="Q5058" s="10" t="n"/>
      <c r="R5058" s="10" t="n"/>
      <c r="S5058" s="16" t="inlineStr">
        <is>
          <t>https://mstgolf.co.th/products/gf2100200671</t>
        </is>
      </c>
      <c r="T5058" s="1">
        <f>IF(B5058="ไม้กอล์ฟ",J5058,"")</f>
        <v/>
      </c>
    </row>
    <row r="5059">
      <c r="A5059" s="1" t="n">
        <v>3</v>
      </c>
      <c r="B5059" s="1" t="inlineStr">
        <is>
          <t>หมวก</t>
        </is>
      </c>
      <c r="C5059" s="1" t="inlineStr">
        <is>
          <t>gf2000105931</t>
        </is>
      </c>
      <c r="D5059" s="1" t="inlineStr">
        <is>
          <t>NIKE DFADV Fly Unisex Cap (Black)</t>
        </is>
      </c>
      <c r="E5059" s="1" t="inlineStr">
        <is>
          <t>NIKE</t>
        </is>
      </c>
      <c r="F5059" s="1" t="inlineStr">
        <is>
          <t>CAP</t>
        </is>
      </c>
      <c r="G5059" s="1" t="inlineStr">
        <is>
          <t>GF2000105931M-L</t>
        </is>
      </c>
      <c r="H5059" s="1" t="n">
        <v>1</v>
      </c>
      <c r="I5059" s="1" t="inlineStr">
        <is>
          <t>หมด</t>
        </is>
      </c>
      <c r="J5059" s="13" t="n">
        <v>49</v>
      </c>
      <c r="K5059" s="1" t="inlineStr"/>
      <c r="L5059" s="13" t="n">
        <v>49</v>
      </c>
      <c r="M5059" s="1">
        <f>IF(L5059="","ไม่พบใน SG",IF(ABS(J5059-L5059)&lt;0.005,"ตรงกัน","ไม่ตรง"))</f>
        <v/>
      </c>
      <c r="N5059" s="14">
        <f>IF(L5059="","",ROUND(L5059*'สรุป'!$C$6,-1))</f>
        <v/>
      </c>
      <c r="O5059" s="15" t="n"/>
      <c r="P5059" s="15" t="n"/>
      <c r="Q5059" s="10" t="n"/>
      <c r="R5059" s="10" t="n"/>
      <c r="S5059" s="16" t="inlineStr">
        <is>
          <t>https://mstgolf.co.th/products/gf2000105931</t>
        </is>
      </c>
      <c r="T5059" s="1">
        <f>IF(B5059="ไม้กอล์ฟ",J5059,"")</f>
        <v/>
      </c>
    </row>
    <row r="5060">
      <c r="A5060" s="1" t="n">
        <v>3</v>
      </c>
      <c r="B5060" s="1" t="inlineStr">
        <is>
          <t>หมวก</t>
        </is>
      </c>
      <c r="C5060" s="1" t="inlineStr">
        <is>
          <t>gf2000300400</t>
        </is>
      </c>
      <c r="D5060" s="1" t="inlineStr">
        <is>
          <t>NIKE Dri-FIT Apex Unisex Hat (Black)</t>
        </is>
      </c>
      <c r="E5060" s="1" t="inlineStr">
        <is>
          <t>NIKE</t>
        </is>
      </c>
      <c r="F5060" s="1" t="inlineStr">
        <is>
          <t>HAT</t>
        </is>
      </c>
      <c r="G5060" s="1" t="inlineStr">
        <is>
          <t>GF2000300400M</t>
        </is>
      </c>
      <c r="H5060" s="1" t="n">
        <v>2</v>
      </c>
      <c r="I5060" s="1" t="inlineStr">
        <is>
          <t>หมด</t>
        </is>
      </c>
      <c r="J5060" s="13" t="n">
        <v>49</v>
      </c>
      <c r="K5060" s="1" t="inlineStr"/>
      <c r="L5060" s="13" t="n"/>
      <c r="M5060" s="1">
        <f>IF(L5060="","ไม่พบใน SG",IF(ABS(J5060-L5060)&lt;0.005,"ตรงกัน","ไม่ตรง"))</f>
        <v/>
      </c>
      <c r="N5060" s="14">
        <f>IF(L5060="","",ROUND(L5060*'สรุป'!$C$6,-1))</f>
        <v/>
      </c>
      <c r="O5060" s="15" t="n"/>
      <c r="P5060" s="15" t="n"/>
      <c r="Q5060" s="10" t="n"/>
      <c r="R5060" s="10" t="n"/>
      <c r="S5060" s="16" t="inlineStr">
        <is>
          <t>https://mstgolf.co.th/products/gf2000300400</t>
        </is>
      </c>
      <c r="T5060" s="1">
        <f>IF(B5060="ไม้กอล์ฟ",J5060,"")</f>
        <v/>
      </c>
    </row>
    <row r="5061">
      <c r="A5061" s="1" t="n">
        <v>3</v>
      </c>
      <c r="B5061" s="1" t="inlineStr">
        <is>
          <t>เสื้อผ้า</t>
        </is>
      </c>
      <c r="C5061" s="1" t="inlineStr">
        <is>
          <t>gf2110100113</t>
        </is>
      </c>
      <c r="D5061" s="1" t="inlineStr">
        <is>
          <t>NIKE Lightweight Arm Glove (White/Silver)</t>
        </is>
      </c>
      <c r="E5061" s="1" t="inlineStr">
        <is>
          <t>NIKE</t>
        </is>
      </c>
      <c r="F5061" s="1" t="inlineStr">
        <is>
          <t>ARM GLOVE</t>
        </is>
      </c>
      <c r="G5061" s="1" t="inlineStr">
        <is>
          <t>GF2110100113S-M</t>
        </is>
      </c>
      <c r="H5061" s="1" t="n">
        <v>2</v>
      </c>
      <c r="I5061" s="1" t="inlineStr">
        <is>
          <t>หมด</t>
        </is>
      </c>
      <c r="J5061" s="13" t="n">
        <v>49</v>
      </c>
      <c r="K5061" s="1" t="inlineStr"/>
      <c r="L5061" s="13" t="n"/>
      <c r="M5061" s="1">
        <f>IF(L5061="","ไม่พบใน SG",IF(ABS(J5061-L5061)&lt;0.005,"ตรงกัน","ไม่ตรง"))</f>
        <v/>
      </c>
      <c r="N5061" s="14">
        <f>IF(L5061="","",ROUND(L5061*'สรุป'!$C$6,-1))</f>
        <v/>
      </c>
      <c r="O5061" s="15" t="n"/>
      <c r="P5061" s="15" t="n"/>
      <c r="Q5061" s="10" t="n"/>
      <c r="R5061" s="10" t="n"/>
      <c r="S5061" s="16" t="inlineStr">
        <is>
          <t>https://mstgolf.co.th/products/gf2110100113</t>
        </is>
      </c>
      <c r="T5061" s="1">
        <f>IF(B5061="ไม้กอล์ฟ",J5061,"")</f>
        <v/>
      </c>
    </row>
    <row r="5062">
      <c r="A5062" s="1" t="n">
        <v>3</v>
      </c>
      <c r="B5062" s="1" t="inlineStr">
        <is>
          <t>เสื้อผ้า</t>
        </is>
      </c>
      <c r="C5062" s="1" t="inlineStr">
        <is>
          <t>gf2040117379</t>
        </is>
      </c>
      <c r="D5062" s="1" t="inlineStr">
        <is>
          <t>NIKE Tour Ombre Printed Men's Polo (Obsidian)</t>
        </is>
      </c>
      <c r="E5062" s="1" t="inlineStr">
        <is>
          <t>NIKE</t>
        </is>
      </c>
      <c r="F5062" s="1" t="inlineStr">
        <is>
          <t>SHORT SLEEVES</t>
        </is>
      </c>
      <c r="G5062" s="1" t="inlineStr">
        <is>
          <t>GF2040117379S</t>
        </is>
      </c>
      <c r="H5062" s="1" t="n">
        <v>5</v>
      </c>
      <c r="I5062" s="1" t="inlineStr">
        <is>
          <t>หมด</t>
        </is>
      </c>
      <c r="J5062" s="13" t="n">
        <v>49</v>
      </c>
      <c r="K5062" s="1" t="inlineStr"/>
      <c r="L5062" s="13" t="n"/>
      <c r="M5062" s="1">
        <f>IF(L5062="","ไม่พบใน SG",IF(ABS(J5062-L5062)&lt;0.005,"ตรงกัน","ไม่ตรง"))</f>
        <v/>
      </c>
      <c r="N5062" s="14">
        <f>IF(L5062="","",ROUND(L5062*'สรุป'!$C$6,-1))</f>
        <v/>
      </c>
      <c r="O5062" s="15" t="n"/>
      <c r="P5062" s="15" t="n"/>
      <c r="Q5062" s="10" t="n"/>
      <c r="R5062" s="10" t="n"/>
      <c r="S5062" s="16" t="inlineStr">
        <is>
          <t>https://mstgolf.co.th/products/gf2040117379</t>
        </is>
      </c>
      <c r="T5062" s="1">
        <f>IF(B5062="ไม้กอล์ฟ",J5062,"")</f>
        <v/>
      </c>
    </row>
    <row r="5063">
      <c r="A5063" s="1" t="n">
        <v>3</v>
      </c>
      <c r="B5063" s="1" t="inlineStr">
        <is>
          <t>อุปกรณ์เสริม</t>
        </is>
      </c>
      <c r="C5063" s="1" t="inlineStr">
        <is>
          <t>gf3500201275</t>
        </is>
      </c>
      <c r="D5063" s="1" t="inlineStr">
        <is>
          <t>ONOFF OH0422 Fairway Headcover (Navy)</t>
        </is>
      </c>
      <c r="E5063" s="1" t="inlineStr">
        <is>
          <t>ONOFF</t>
        </is>
      </c>
      <c r="F5063" s="1" t="inlineStr">
        <is>
          <t>HEADCOVERS</t>
        </is>
      </c>
      <c r="G5063" s="1" t="inlineStr">
        <is>
          <t>GF3500201275</t>
        </is>
      </c>
      <c r="H5063" s="1" t="n">
        <v>1</v>
      </c>
      <c r="I5063" s="1" t="inlineStr">
        <is>
          <t>หมด</t>
        </is>
      </c>
      <c r="J5063" s="13" t="n">
        <v>49</v>
      </c>
      <c r="K5063" s="1" t="inlineStr"/>
      <c r="L5063" s="13" t="n">
        <v>49</v>
      </c>
      <c r="M5063" s="1">
        <f>IF(L5063="","ไม่พบใน SG",IF(ABS(J5063-L5063)&lt;0.005,"ตรงกัน","ไม่ตรง"))</f>
        <v/>
      </c>
      <c r="N5063" s="14">
        <f>IF(L5063="","",ROUND(L5063*'สรุป'!$C$6,-1))</f>
        <v/>
      </c>
      <c r="O5063" s="15" t="n"/>
      <c r="P5063" s="15" t="n"/>
      <c r="Q5063" s="10" t="n"/>
      <c r="R5063" s="10" t="n"/>
      <c r="S5063" s="16" t="inlineStr">
        <is>
          <t>https://mstgolf.co.th/products/gf3500201275</t>
        </is>
      </c>
      <c r="T5063" s="1">
        <f>IF(B5063="ไม้กอล์ฟ",J5063,"")</f>
        <v/>
      </c>
    </row>
    <row r="5064">
      <c r="A5064" s="1" t="n">
        <v>3</v>
      </c>
      <c r="B5064" s="1" t="inlineStr">
        <is>
          <t>เสื้อผ้า</t>
        </is>
      </c>
      <c r="C5064" s="1" t="inlineStr">
        <is>
          <t>gf2020201735</t>
        </is>
      </c>
      <c r="D5064" s="1" t="inlineStr">
        <is>
          <t>PUMA 101 Stripe Men's Shorts (High Rise Heather)</t>
        </is>
      </c>
      <c r="E5064" s="1" t="inlineStr">
        <is>
          <t>PUMA</t>
        </is>
      </c>
      <c r="F5064" s="1" t="inlineStr">
        <is>
          <t>SHORT PANTS</t>
        </is>
      </c>
      <c r="G5064" s="1" t="inlineStr">
        <is>
          <t>GF202020173528</t>
        </is>
      </c>
      <c r="H5064" s="1" t="n">
        <v>7</v>
      </c>
      <c r="I5064" s="1" t="inlineStr">
        <is>
          <t>หมด</t>
        </is>
      </c>
      <c r="J5064" s="13" t="n">
        <v>49</v>
      </c>
      <c r="K5064" s="1" t="inlineStr"/>
      <c r="L5064" s="13" t="n"/>
      <c r="M5064" s="1">
        <f>IF(L5064="","ไม่พบใน SG",IF(ABS(J5064-L5064)&lt;0.005,"ตรงกัน","ไม่ตรง"))</f>
        <v/>
      </c>
      <c r="N5064" s="14">
        <f>IF(L5064="","",ROUND(L5064*'สรุป'!$C$6,-1))</f>
        <v/>
      </c>
      <c r="O5064" s="15" t="n"/>
      <c r="P5064" s="15" t="n"/>
      <c r="Q5064" s="10" t="n"/>
      <c r="R5064" s="10" t="n"/>
      <c r="S5064" s="16" t="inlineStr">
        <is>
          <t>https://mstgolf.co.th/products/gf2020201735</t>
        </is>
      </c>
      <c r="T5064" s="1">
        <f>IF(B5064="ไม้กอล์ฟ",J5064,"")</f>
        <v/>
      </c>
    </row>
    <row r="5065">
      <c r="A5065" s="1" t="n">
        <v>3</v>
      </c>
      <c r="B5065" s="1" t="inlineStr">
        <is>
          <t>หมวก</t>
        </is>
      </c>
      <c r="C5065" s="1" t="inlineStr">
        <is>
          <t>gf2000105563</t>
        </is>
      </c>
      <c r="D5065" s="1" t="inlineStr">
        <is>
          <t>PUMA Aloha Men's P Cap (Black/Eucalyptus)</t>
        </is>
      </c>
      <c r="E5065" s="1" t="inlineStr">
        <is>
          <t>PUMA</t>
        </is>
      </c>
      <c r="F5065" s="1" t="inlineStr">
        <is>
          <t>CAP</t>
        </is>
      </c>
      <c r="G5065" s="1" t="inlineStr">
        <is>
          <t>GF2000105563FS</t>
        </is>
      </c>
      <c r="H5065" s="1" t="n">
        <v>1</v>
      </c>
      <c r="I5065" s="1" t="inlineStr">
        <is>
          <t>หมด</t>
        </is>
      </c>
      <c r="J5065" s="13" t="n">
        <v>49</v>
      </c>
      <c r="K5065" s="1" t="inlineStr"/>
      <c r="L5065" s="13" t="n"/>
      <c r="M5065" s="1">
        <f>IF(L5065="","ไม่พบใน SG",IF(ABS(J5065-L5065)&lt;0.005,"ตรงกัน","ไม่ตรง"))</f>
        <v/>
      </c>
      <c r="N5065" s="14">
        <f>IF(L5065="","",ROUND(L5065*'สรุป'!$C$6,-1))</f>
        <v/>
      </c>
      <c r="O5065" s="15" t="n"/>
      <c r="P5065" s="15" t="n"/>
      <c r="Q5065" s="10" t="n"/>
      <c r="R5065" s="10" t="n"/>
      <c r="S5065" s="16" t="inlineStr">
        <is>
          <t>https://mstgolf.co.th/products/gf2000105563</t>
        </is>
      </c>
      <c r="T5065" s="1">
        <f>IF(B5065="ไม้กอล์ฟ",J5065,"")</f>
        <v/>
      </c>
    </row>
    <row r="5066">
      <c r="A5066" s="1" t="n">
        <v>3</v>
      </c>
      <c r="B5066" s="1" t="inlineStr">
        <is>
          <t>หมวก</t>
        </is>
      </c>
      <c r="C5066" s="1" t="inlineStr">
        <is>
          <t>gf2000105565</t>
        </is>
      </c>
      <c r="D5066" s="1" t="inlineStr">
        <is>
          <t>PUMA Aloha P Women's Snapback Cap (Black)</t>
        </is>
      </c>
      <c r="E5066" s="1" t="inlineStr">
        <is>
          <t>PUMA</t>
        </is>
      </c>
      <c r="F5066" s="1" t="inlineStr">
        <is>
          <t>CAP</t>
        </is>
      </c>
      <c r="G5066" s="1" t="inlineStr">
        <is>
          <t>GF2000105565FS</t>
        </is>
      </c>
      <c r="H5066" s="1" t="n">
        <v>1</v>
      </c>
      <c r="I5066" s="1" t="inlineStr">
        <is>
          <t>หมด</t>
        </is>
      </c>
      <c r="J5066" s="13" t="n">
        <v>49</v>
      </c>
      <c r="K5066" s="1" t="inlineStr"/>
      <c r="L5066" s="13" t="n"/>
      <c r="M5066" s="1">
        <f>IF(L5066="","ไม่พบใน SG",IF(ABS(J5066-L5066)&lt;0.005,"ตรงกัน","ไม่ตรง"))</f>
        <v/>
      </c>
      <c r="N5066" s="14">
        <f>IF(L5066="","",ROUND(L5066*'สรุป'!$C$6,-1))</f>
        <v/>
      </c>
      <c r="O5066" s="15" t="n"/>
      <c r="P5066" s="15" t="n"/>
      <c r="Q5066" s="10" t="n"/>
      <c r="R5066" s="10" t="n"/>
      <c r="S5066" s="16" t="inlineStr">
        <is>
          <t>https://mstgolf.co.th/products/gf2000105565</t>
        </is>
      </c>
      <c r="T5066" s="1">
        <f>IF(B5066="ไม้กอล์ฟ",J5066,"")</f>
        <v/>
      </c>
    </row>
    <row r="5067">
      <c r="A5067" s="1" t="n">
        <v>3</v>
      </c>
      <c r="B5067" s="1" t="inlineStr">
        <is>
          <t>หมวก</t>
        </is>
      </c>
      <c r="C5067" s="1" t="inlineStr">
        <is>
          <t>gf2000105767</t>
        </is>
      </c>
      <c r="D5067" s="1" t="inlineStr">
        <is>
          <t>PUMA Bloom Ponytail Women's Cap (White/Pink)</t>
        </is>
      </c>
      <c r="E5067" s="1" t="inlineStr">
        <is>
          <t>PUMA</t>
        </is>
      </c>
      <c r="F5067" s="1" t="inlineStr">
        <is>
          <t>CAP</t>
        </is>
      </c>
      <c r="G5067" s="1" t="inlineStr">
        <is>
          <t>GF2000105767FS</t>
        </is>
      </c>
      <c r="H5067" s="1" t="n">
        <v>1</v>
      </c>
      <c r="I5067" s="1" t="inlineStr">
        <is>
          <t>หมด</t>
        </is>
      </c>
      <c r="J5067" s="13" t="n">
        <v>49</v>
      </c>
      <c r="K5067" s="1" t="inlineStr"/>
      <c r="L5067" s="13" t="n">
        <v>49</v>
      </c>
      <c r="M5067" s="1">
        <f>IF(L5067="","ไม่พบใน SG",IF(ABS(J5067-L5067)&lt;0.005,"ตรงกัน","ไม่ตรง"))</f>
        <v/>
      </c>
      <c r="N5067" s="14">
        <f>IF(L5067="","",ROUND(L5067*'สรุป'!$C$6,-1))</f>
        <v/>
      </c>
      <c r="O5067" s="15" t="n"/>
      <c r="P5067" s="15" t="n"/>
      <c r="Q5067" s="10" t="n"/>
      <c r="R5067" s="10" t="n"/>
      <c r="S5067" s="16" t="inlineStr">
        <is>
          <t>https://mstgolf.co.th/products/gf2000105767</t>
        </is>
      </c>
      <c r="T5067" s="1">
        <f>IF(B5067="ไม้กอล์ฟ",J5067,"")</f>
        <v/>
      </c>
    </row>
    <row r="5068">
      <c r="A5068" s="1" t="n">
        <v>3</v>
      </c>
      <c r="B5068" s="1" t="inlineStr">
        <is>
          <t>เสื้อผ้า</t>
        </is>
      </c>
      <c r="C5068" s="1" t="inlineStr">
        <is>
          <t>gf2040117437</t>
        </is>
      </c>
      <c r="D5068" s="1" t="inlineStr">
        <is>
          <t>PUMA CLOUDSPUN Paisley Men's Polo (Black)</t>
        </is>
      </c>
      <c r="E5068" s="1" t="inlineStr">
        <is>
          <t>PUMA</t>
        </is>
      </c>
      <c r="F5068" s="1" t="inlineStr">
        <is>
          <t>SHORT SLEEVES</t>
        </is>
      </c>
      <c r="G5068" s="1" t="inlineStr">
        <is>
          <t>GF2040117437XS</t>
        </is>
      </c>
      <c r="H5068" s="1" t="n">
        <v>7</v>
      </c>
      <c r="I5068" s="1" t="inlineStr">
        <is>
          <t>หมด</t>
        </is>
      </c>
      <c r="J5068" s="13" t="n">
        <v>49</v>
      </c>
      <c r="K5068" s="1" t="inlineStr"/>
      <c r="L5068" s="13" t="n"/>
      <c r="M5068" s="1">
        <f>IF(L5068="","ไม่พบใน SG",IF(ABS(J5068-L5068)&lt;0.005,"ตรงกัน","ไม่ตรง"))</f>
        <v/>
      </c>
      <c r="N5068" s="14">
        <f>IF(L5068="","",ROUND(L5068*'สรุป'!$C$6,-1))</f>
        <v/>
      </c>
      <c r="O5068" s="15" t="n"/>
      <c r="P5068" s="15" t="n"/>
      <c r="Q5068" s="10" t="n"/>
      <c r="R5068" s="10" t="n"/>
      <c r="S5068" s="16" t="inlineStr">
        <is>
          <t>https://mstgolf.co.th/products/gf2040117437</t>
        </is>
      </c>
      <c r="T5068" s="1">
        <f>IF(B5068="ไม้กอล์ฟ",J5068,"")</f>
        <v/>
      </c>
    </row>
    <row r="5069">
      <c r="A5069" s="1" t="n">
        <v>3</v>
      </c>
      <c r="B5069" s="1" t="inlineStr">
        <is>
          <t>หมวก</t>
        </is>
      </c>
      <c r="C5069" s="1" t="inlineStr">
        <is>
          <t>gf2000105556</t>
        </is>
      </c>
      <c r="D5069" s="1" t="inlineStr">
        <is>
          <t>PUMA Caddy Men's P Cap (Blue/White)</t>
        </is>
      </c>
      <c r="E5069" s="1" t="inlineStr">
        <is>
          <t>PUMA</t>
        </is>
      </c>
      <c r="F5069" s="1" t="inlineStr">
        <is>
          <t>CAP</t>
        </is>
      </c>
      <c r="G5069" s="1" t="inlineStr">
        <is>
          <t>GF2000105556FS</t>
        </is>
      </c>
      <c r="H5069" s="1" t="n">
        <v>1</v>
      </c>
      <c r="I5069" s="1" t="inlineStr">
        <is>
          <t>หมด</t>
        </is>
      </c>
      <c r="J5069" s="13" t="n">
        <v>49</v>
      </c>
      <c r="K5069" s="1" t="inlineStr"/>
      <c r="L5069" s="13" t="n"/>
      <c r="M5069" s="1">
        <f>IF(L5069="","ไม่พบใน SG",IF(ABS(J5069-L5069)&lt;0.005,"ตรงกัน","ไม่ตรง"))</f>
        <v/>
      </c>
      <c r="N5069" s="14">
        <f>IF(L5069="","",ROUND(L5069*'สรุป'!$C$6,-1))</f>
        <v/>
      </c>
      <c r="O5069" s="15" t="n"/>
      <c r="P5069" s="15" t="n"/>
      <c r="Q5069" s="10" t="n"/>
      <c r="R5069" s="10" t="n"/>
      <c r="S5069" s="16" t="inlineStr">
        <is>
          <t>https://mstgolf.co.th/products/gf2000105556</t>
        </is>
      </c>
      <c r="T5069" s="1">
        <f>IF(B5069="ไม้กอล์ฟ",J5069,"")</f>
        <v/>
      </c>
    </row>
    <row r="5070">
      <c r="A5070" s="1" t="n">
        <v>3</v>
      </c>
      <c r="B5070" s="1" t="inlineStr">
        <is>
          <t>หมวก</t>
        </is>
      </c>
      <c r="C5070" s="1" t="inlineStr">
        <is>
          <t>gf2000105785</t>
        </is>
      </c>
      <c r="D5070" s="1" t="inlineStr">
        <is>
          <t>PUMA Camo Tech P Men's Snapback (Black)</t>
        </is>
      </c>
      <c r="E5070" s="1" t="inlineStr">
        <is>
          <t>PUMA</t>
        </is>
      </c>
      <c r="F5070" s="1" t="inlineStr">
        <is>
          <t>CAP</t>
        </is>
      </c>
      <c r="G5070" s="1" t="inlineStr">
        <is>
          <t>GF2000105785FS</t>
        </is>
      </c>
      <c r="H5070" s="1" t="n">
        <v>1</v>
      </c>
      <c r="I5070" s="1" t="inlineStr">
        <is>
          <t>หมด</t>
        </is>
      </c>
      <c r="J5070" s="13" t="n">
        <v>49</v>
      </c>
      <c r="K5070" s="1" t="inlineStr"/>
      <c r="L5070" s="13" t="n"/>
      <c r="M5070" s="1">
        <f>IF(L5070="","ไม่พบใน SG",IF(ABS(J5070-L5070)&lt;0.005,"ตรงกัน","ไม่ตรง"))</f>
        <v/>
      </c>
      <c r="N5070" s="14">
        <f>IF(L5070="","",ROUND(L5070*'สรุป'!$C$6,-1))</f>
        <v/>
      </c>
      <c r="O5070" s="15" t="n"/>
      <c r="P5070" s="15" t="n"/>
      <c r="Q5070" s="10" t="n"/>
      <c r="R5070" s="10" t="n"/>
      <c r="S5070" s="16" t="inlineStr">
        <is>
          <t>https://mstgolf.co.th/products/gf2000105785</t>
        </is>
      </c>
      <c r="T5070" s="1">
        <f>IF(B5070="ไม้กอล์ฟ",J5070,"")</f>
        <v/>
      </c>
    </row>
    <row r="5071">
      <c r="A5071" s="1" t="n">
        <v>3</v>
      </c>
      <c r="B5071" s="1" t="inlineStr">
        <is>
          <t>เสื้อผ้า</t>
        </is>
      </c>
      <c r="C5071" s="1" t="inlineStr">
        <is>
          <t>gf2040116657</t>
        </is>
      </c>
      <c r="D5071" s="1" t="inlineStr">
        <is>
          <t>PUMA Cloudspun Aloha Men's Polo (Black/Eucalayptus)</t>
        </is>
      </c>
      <c r="E5071" s="1" t="inlineStr">
        <is>
          <t>PUMA</t>
        </is>
      </c>
      <c r="F5071" s="1" t="inlineStr">
        <is>
          <t>SHORT SLEEVES</t>
        </is>
      </c>
      <c r="G5071" s="1" t="inlineStr">
        <is>
          <t>GF2040116657XS</t>
        </is>
      </c>
      <c r="H5071" s="1" t="n">
        <v>6</v>
      </c>
      <c r="I5071" s="1" t="inlineStr">
        <is>
          <t>หมด</t>
        </is>
      </c>
      <c r="J5071" s="13" t="n">
        <v>49</v>
      </c>
      <c r="K5071" s="1" t="inlineStr"/>
      <c r="L5071" s="13" t="n"/>
      <c r="M5071" s="1">
        <f>IF(L5071="","ไม่พบใน SG",IF(ABS(J5071-L5071)&lt;0.005,"ตรงกัน","ไม่ตรง"))</f>
        <v/>
      </c>
      <c r="N5071" s="14">
        <f>IF(L5071="","",ROUND(L5071*'สรุป'!$C$6,-1))</f>
        <v/>
      </c>
      <c r="O5071" s="15" t="n"/>
      <c r="P5071" s="15" t="n"/>
      <c r="Q5071" s="10" t="n"/>
      <c r="R5071" s="10" t="n"/>
      <c r="S5071" s="16" t="inlineStr">
        <is>
          <t>https://mstgolf.co.th/products/gf2040116657</t>
        </is>
      </c>
      <c r="T5071" s="1">
        <f>IF(B5071="ไม้กอล์ฟ",J5071,"")</f>
        <v/>
      </c>
    </row>
    <row r="5072">
      <c r="A5072" s="1" t="n">
        <v>3</v>
      </c>
      <c r="B5072" s="1" t="inlineStr">
        <is>
          <t>หมวก</t>
        </is>
      </c>
      <c r="C5072" s="1" t="inlineStr">
        <is>
          <t>gf2000105401</t>
        </is>
      </c>
      <c r="D5072" s="1" t="inlineStr">
        <is>
          <t>PUMA Cotton Twill Cat Men's Cap (Black)</t>
        </is>
      </c>
      <c r="E5072" s="1" t="inlineStr">
        <is>
          <t>PUMA</t>
        </is>
      </c>
      <c r="F5072" s="1" t="inlineStr">
        <is>
          <t>CAP</t>
        </is>
      </c>
      <c r="G5072" s="1" t="inlineStr">
        <is>
          <t>GF2000105401FS</t>
        </is>
      </c>
      <c r="H5072" s="1" t="n">
        <v>1</v>
      </c>
      <c r="I5072" s="1" t="inlineStr">
        <is>
          <t>หมด</t>
        </is>
      </c>
      <c r="J5072" s="13" t="n">
        <v>49</v>
      </c>
      <c r="K5072" s="1" t="inlineStr"/>
      <c r="L5072" s="13" t="n"/>
      <c r="M5072" s="1">
        <f>IF(L5072="","ไม่พบใน SG",IF(ABS(J5072-L5072)&lt;0.005,"ตรงกัน","ไม่ตรง"))</f>
        <v/>
      </c>
      <c r="N5072" s="14">
        <f>IF(L5072="","",ROUND(L5072*'สรุป'!$C$6,-1))</f>
        <v/>
      </c>
      <c r="O5072" s="15" t="n"/>
      <c r="P5072" s="15" t="n"/>
      <c r="Q5072" s="10" t="n"/>
      <c r="R5072" s="10" t="n"/>
      <c r="S5072" s="16" t="inlineStr">
        <is>
          <t>https://mstgolf.co.th/products/gf2000105401</t>
        </is>
      </c>
      <c r="T5072" s="1">
        <f>IF(B5072="ไม้กอล์ฟ",J5072,"")</f>
        <v/>
      </c>
    </row>
    <row r="5073">
      <c r="A5073" s="1" t="n">
        <v>3</v>
      </c>
      <c r="B5073" s="1" t="inlineStr">
        <is>
          <t>เสื้อผ้า</t>
        </is>
      </c>
      <c r="C5073" s="1" t="inlineStr">
        <is>
          <t>gf2020201985</t>
        </is>
      </c>
      <c r="D5073" s="1" t="inlineStr">
        <is>
          <t>PUMA Dealer Men's Shorts (Aqua)</t>
        </is>
      </c>
      <c r="E5073" s="1" t="inlineStr">
        <is>
          <t>PUMA</t>
        </is>
      </c>
      <c r="F5073" s="1" t="inlineStr">
        <is>
          <t>SHORT PANTS</t>
        </is>
      </c>
      <c r="G5073" s="1" t="inlineStr">
        <is>
          <t>GF202020198528</t>
        </is>
      </c>
      <c r="H5073" s="1" t="n">
        <v>7</v>
      </c>
      <c r="I5073" s="1" t="inlineStr">
        <is>
          <t>หมด</t>
        </is>
      </c>
      <c r="J5073" s="13" t="n">
        <v>49</v>
      </c>
      <c r="K5073" s="1" t="inlineStr"/>
      <c r="L5073" s="13" t="n"/>
      <c r="M5073" s="1">
        <f>IF(L5073="","ไม่พบใน SG",IF(ABS(J5073-L5073)&lt;0.005,"ตรงกัน","ไม่ตรง"))</f>
        <v/>
      </c>
      <c r="N5073" s="14">
        <f>IF(L5073="","",ROUND(L5073*'สรุป'!$C$6,-1))</f>
        <v/>
      </c>
      <c r="O5073" s="15" t="n"/>
      <c r="P5073" s="15" t="n"/>
      <c r="Q5073" s="10" t="n"/>
      <c r="R5073" s="10" t="n"/>
      <c r="S5073" s="16" t="inlineStr">
        <is>
          <t>https://mstgolf.co.th/products/gf2020201985</t>
        </is>
      </c>
      <c r="T5073" s="1">
        <f>IF(B5073="ไม้กอล์ฟ",J5073,"")</f>
        <v/>
      </c>
    </row>
    <row r="5074">
      <c r="A5074" s="1" t="n">
        <v>3</v>
      </c>
      <c r="B5074" s="1" t="inlineStr">
        <is>
          <t>เสื้อผ้า</t>
        </is>
      </c>
      <c r="C5074" s="1" t="inlineStr">
        <is>
          <t>gf2040116673</t>
        </is>
      </c>
      <c r="D5074" s="1" t="inlineStr">
        <is>
          <t>PUMA Hoops Golf Court Men's Polo (Clyde Royal)</t>
        </is>
      </c>
      <c r="E5074" s="1" t="inlineStr">
        <is>
          <t>PUMA</t>
        </is>
      </c>
      <c r="F5074" s="1" t="inlineStr">
        <is>
          <t>SHORT SLEEVES</t>
        </is>
      </c>
      <c r="G5074" s="1" t="inlineStr">
        <is>
          <t>GF2040116673XS</t>
        </is>
      </c>
      <c r="H5074" s="1" t="n">
        <v>6</v>
      </c>
      <c r="I5074" s="1" t="inlineStr">
        <is>
          <t>หมด</t>
        </is>
      </c>
      <c r="J5074" s="13" t="n">
        <v>49</v>
      </c>
      <c r="K5074" s="1" t="inlineStr"/>
      <c r="L5074" s="13" t="n"/>
      <c r="M5074" s="1">
        <f>IF(L5074="","ไม่พบใน SG",IF(ABS(J5074-L5074)&lt;0.005,"ตรงกัน","ไม่ตรง"))</f>
        <v/>
      </c>
      <c r="N5074" s="14">
        <f>IF(L5074="","",ROUND(L5074*'สรุป'!$C$6,-1))</f>
        <v/>
      </c>
      <c r="O5074" s="15" t="n"/>
      <c r="P5074" s="15" t="n"/>
      <c r="Q5074" s="10" t="n"/>
      <c r="R5074" s="10" t="n"/>
      <c r="S5074" s="16" t="inlineStr">
        <is>
          <t>https://mstgolf.co.th/products/gf2040116673</t>
        </is>
      </c>
      <c r="T5074" s="1">
        <f>IF(B5074="ไม้กอล์ฟ",J5074,"")</f>
        <v/>
      </c>
    </row>
    <row r="5075">
      <c r="A5075" s="1" t="n">
        <v>3</v>
      </c>
      <c r="B5075" s="1" t="inlineStr">
        <is>
          <t>หมวก</t>
        </is>
      </c>
      <c r="C5075" s="1" t="inlineStr">
        <is>
          <t>gf2000105568</t>
        </is>
      </c>
      <c r="D5075" s="1" t="inlineStr">
        <is>
          <t>PUMA Hoops x Golf Tourney Men's Cap (Royal/Black)</t>
        </is>
      </c>
      <c r="E5075" s="1" t="inlineStr">
        <is>
          <t>PUMA</t>
        </is>
      </c>
      <c r="F5075" s="1" t="inlineStr">
        <is>
          <t>CAP</t>
        </is>
      </c>
      <c r="G5075" s="1" t="inlineStr">
        <is>
          <t>GF2000105568FS</t>
        </is>
      </c>
      <c r="H5075" s="1" t="n">
        <v>1</v>
      </c>
      <c r="I5075" s="1" t="inlineStr">
        <is>
          <t>หมด</t>
        </is>
      </c>
      <c r="J5075" s="13" t="n">
        <v>49</v>
      </c>
      <c r="K5075" s="1" t="inlineStr"/>
      <c r="L5075" s="13" t="n"/>
      <c r="M5075" s="1">
        <f>IF(L5075="","ไม่พบใน SG",IF(ABS(J5075-L5075)&lt;0.005,"ตรงกัน","ไม่ตรง"))</f>
        <v/>
      </c>
      <c r="N5075" s="14">
        <f>IF(L5075="","",ROUND(L5075*'สรุป'!$C$6,-1))</f>
        <v/>
      </c>
      <c r="O5075" s="15" t="n"/>
      <c r="P5075" s="15" t="n"/>
      <c r="Q5075" s="10" t="n"/>
      <c r="R5075" s="10" t="n"/>
      <c r="S5075" s="16" t="inlineStr">
        <is>
          <t>https://mstgolf.co.th/products/gf2000105568</t>
        </is>
      </c>
      <c r="T5075" s="1">
        <f>IF(B5075="ไม้กอล์ฟ",J5075,"")</f>
        <v/>
      </c>
    </row>
    <row r="5076">
      <c r="A5076" s="1" t="n">
        <v>3</v>
      </c>
      <c r="B5076" s="1" t="inlineStr">
        <is>
          <t>เสื้อผ้า</t>
        </is>
      </c>
      <c r="C5076" s="1" t="inlineStr">
        <is>
          <t>gf2040118427</t>
        </is>
      </c>
      <c r="D5076" s="1" t="inlineStr">
        <is>
          <t>PUMA MATTR Pup Junior Polo (Deep Navy/Silver)</t>
        </is>
      </c>
      <c r="E5076" s="1" t="inlineStr">
        <is>
          <t>PUMA</t>
        </is>
      </c>
      <c r="F5076" s="1" t="inlineStr">
        <is>
          <t>SHORT SLEEVES</t>
        </is>
      </c>
      <c r="G5076" s="1" t="inlineStr">
        <is>
          <t>GF2040118427128</t>
        </is>
      </c>
      <c r="H5076" s="1" t="n">
        <v>5</v>
      </c>
      <c r="I5076" s="1" t="inlineStr">
        <is>
          <t>หมด</t>
        </is>
      </c>
      <c r="J5076" s="13" t="n">
        <v>49</v>
      </c>
      <c r="K5076" s="1" t="inlineStr"/>
      <c r="L5076" s="13" t="n"/>
      <c r="M5076" s="1">
        <f>IF(L5076="","ไม่พบใน SG",IF(ABS(J5076-L5076)&lt;0.005,"ตรงกัน","ไม่ตรง"))</f>
        <v/>
      </c>
      <c r="N5076" s="14">
        <f>IF(L5076="","",ROUND(L5076*'สรุป'!$C$6,-1))</f>
        <v/>
      </c>
      <c r="O5076" s="15" t="n"/>
      <c r="P5076" s="15" t="n"/>
      <c r="Q5076" s="10" t="n"/>
      <c r="R5076" s="10" t="n"/>
      <c r="S5076" s="16" t="inlineStr">
        <is>
          <t>https://mstgolf.co.th/products/gf2040118427</t>
        </is>
      </c>
      <c r="T5076" s="1">
        <f>IF(B5076="ไม้กอล์ฟ",J5076,"")</f>
        <v/>
      </c>
    </row>
    <row r="5077">
      <c r="A5077" s="1" t="n">
        <v>3</v>
      </c>
      <c r="B5077" s="1" t="inlineStr">
        <is>
          <t>เสื้อผ้า</t>
        </is>
      </c>
      <c r="C5077" s="1" t="inlineStr">
        <is>
          <t>gf2040117436</t>
        </is>
      </c>
      <c r="D5077" s="1" t="inlineStr">
        <is>
          <t>PUMA MATTR Skulls Polo (Deep Navy/Melon)</t>
        </is>
      </c>
      <c r="E5077" s="1" t="inlineStr">
        <is>
          <t>PUMA</t>
        </is>
      </c>
      <c r="F5077" s="1" t="inlineStr">
        <is>
          <t>SHORT SLEEVES</t>
        </is>
      </c>
      <c r="G5077" s="1" t="inlineStr">
        <is>
          <t>GF2040117436XS</t>
        </is>
      </c>
      <c r="H5077" s="1" t="n">
        <v>6</v>
      </c>
      <c r="I5077" s="1" t="inlineStr">
        <is>
          <t>หมด</t>
        </is>
      </c>
      <c r="J5077" s="13" t="n">
        <v>49</v>
      </c>
      <c r="K5077" s="1" t="inlineStr"/>
      <c r="L5077" s="13" t="n"/>
      <c r="M5077" s="1">
        <f>IF(L5077="","ไม่พบใน SG",IF(ABS(J5077-L5077)&lt;0.005,"ตรงกัน","ไม่ตรง"))</f>
        <v/>
      </c>
      <c r="N5077" s="14">
        <f>IF(L5077="","",ROUND(L5077*'สรุป'!$C$6,-1))</f>
        <v/>
      </c>
      <c r="O5077" s="15" t="n"/>
      <c r="P5077" s="15" t="n"/>
      <c r="Q5077" s="10" t="n"/>
      <c r="R5077" s="10" t="n"/>
      <c r="S5077" s="16" t="inlineStr">
        <is>
          <t>https://mstgolf.co.th/products/gf2040117436</t>
        </is>
      </c>
      <c r="T5077" s="1">
        <f>IF(B5077="ไม้กอล์ฟ",J5077,"")</f>
        <v/>
      </c>
    </row>
    <row r="5078">
      <c r="A5078" s="1" t="n">
        <v>3</v>
      </c>
      <c r="B5078" s="1" t="inlineStr">
        <is>
          <t>หมวก</t>
        </is>
      </c>
      <c r="C5078" s="1" t="inlineStr">
        <is>
          <t>gf2000200943</t>
        </is>
      </c>
      <c r="D5078" s="1" t="inlineStr">
        <is>
          <t>PUMA Mariposa P Women's Visor (White/Black)</t>
        </is>
      </c>
      <c r="E5078" s="1" t="inlineStr">
        <is>
          <t>PUMA</t>
        </is>
      </c>
      <c r="F5078" s="1" t="inlineStr">
        <is>
          <t>VISOR</t>
        </is>
      </c>
      <c r="G5078" s="1" t="inlineStr">
        <is>
          <t>GF2000200943FS</t>
        </is>
      </c>
      <c r="H5078" s="1" t="n">
        <v>1</v>
      </c>
      <c r="I5078" s="1" t="inlineStr">
        <is>
          <t>หมด</t>
        </is>
      </c>
      <c r="J5078" s="13" t="n">
        <v>49</v>
      </c>
      <c r="K5078" s="1" t="inlineStr"/>
      <c r="L5078" s="13" t="n"/>
      <c r="M5078" s="1">
        <f>IF(L5078="","ไม่พบใน SG",IF(ABS(J5078-L5078)&lt;0.005,"ตรงกัน","ไม่ตรง"))</f>
        <v/>
      </c>
      <c r="N5078" s="14">
        <f>IF(L5078="","",ROUND(L5078*'สรุป'!$C$6,-1))</f>
        <v/>
      </c>
      <c r="O5078" s="15" t="n"/>
      <c r="P5078" s="15" t="n"/>
      <c r="Q5078" s="10" t="n"/>
      <c r="R5078" s="10" t="n"/>
      <c r="S5078" s="16" t="inlineStr">
        <is>
          <t>https://mstgolf.co.th/products/gf2000200943</t>
        </is>
      </c>
      <c r="T5078" s="1">
        <f>IF(B5078="ไม้กอล์ฟ",J5078,"")</f>
        <v/>
      </c>
    </row>
    <row r="5079">
      <c r="A5079" s="1" t="n">
        <v>3</v>
      </c>
      <c r="B5079" s="1" t="inlineStr">
        <is>
          <t>หมวก</t>
        </is>
      </c>
      <c r="C5079" s="1" t="inlineStr">
        <is>
          <t>gf2000105550</t>
        </is>
      </c>
      <c r="D5079" s="1" t="inlineStr">
        <is>
          <t>PUMA Men's P Cap (Eucalyptus/Black)</t>
        </is>
      </c>
      <c r="E5079" s="1" t="inlineStr">
        <is>
          <t>PUMA</t>
        </is>
      </c>
      <c r="F5079" s="1" t="inlineStr">
        <is>
          <t>CAP</t>
        </is>
      </c>
      <c r="G5079" s="1" t="inlineStr">
        <is>
          <t>GF2000105550FS</t>
        </is>
      </c>
      <c r="H5079" s="1" t="n">
        <v>1</v>
      </c>
      <c r="I5079" s="1" t="inlineStr">
        <is>
          <t>หมด</t>
        </is>
      </c>
      <c r="J5079" s="13" t="n">
        <v>49</v>
      </c>
      <c r="K5079" s="1" t="inlineStr"/>
      <c r="L5079" s="13" t="n"/>
      <c r="M5079" s="1">
        <f>IF(L5079="","ไม่พบใน SG",IF(ABS(J5079-L5079)&lt;0.005,"ตรงกัน","ไม่ตรง"))</f>
        <v/>
      </c>
      <c r="N5079" s="14">
        <f>IF(L5079="","",ROUND(L5079*'สรุป'!$C$6,-1))</f>
        <v/>
      </c>
      <c r="O5079" s="15" t="n"/>
      <c r="P5079" s="15" t="n"/>
      <c r="Q5079" s="10" t="n"/>
      <c r="R5079" s="10" t="n"/>
      <c r="S5079" s="16" t="inlineStr">
        <is>
          <t>https://mstgolf.co.th/products/gf2000105550</t>
        </is>
      </c>
      <c r="T5079" s="1">
        <f>IF(B5079="ไม้กอล์ฟ",J5079,"")</f>
        <v/>
      </c>
    </row>
    <row r="5080">
      <c r="A5080" s="1" t="n">
        <v>3</v>
      </c>
      <c r="B5080" s="1" t="inlineStr">
        <is>
          <t>หมวก</t>
        </is>
      </c>
      <c r="C5080" s="1" t="inlineStr">
        <is>
          <t>gf2000105770</t>
        </is>
      </c>
      <c r="D5080" s="1" t="inlineStr">
        <is>
          <t>PUMA Men's P Cap (Pink)</t>
        </is>
      </c>
      <c r="E5080" s="1" t="inlineStr">
        <is>
          <t>PUMA</t>
        </is>
      </c>
      <c r="F5080" s="1" t="inlineStr">
        <is>
          <t>CAP</t>
        </is>
      </c>
      <c r="G5080" s="1" t="inlineStr">
        <is>
          <t>GF2000105770FS</t>
        </is>
      </c>
      <c r="H5080" s="1" t="n">
        <v>1</v>
      </c>
      <c r="I5080" s="1" t="inlineStr">
        <is>
          <t>หมด</t>
        </is>
      </c>
      <c r="J5080" s="13" t="n">
        <v>49</v>
      </c>
      <c r="K5080" s="1" t="inlineStr"/>
      <c r="L5080" s="13" t="n"/>
      <c r="M5080" s="1">
        <f>IF(L5080="","ไม่พบใน SG",IF(ABS(J5080-L5080)&lt;0.005,"ตรงกัน","ไม่ตรง"))</f>
        <v/>
      </c>
      <c r="N5080" s="14">
        <f>IF(L5080="","",ROUND(L5080*'สรุป'!$C$6,-1))</f>
        <v/>
      </c>
      <c r="O5080" s="15" t="n"/>
      <c r="P5080" s="15" t="n"/>
      <c r="Q5080" s="10" t="n"/>
      <c r="R5080" s="10" t="n"/>
      <c r="S5080" s="16" t="inlineStr">
        <is>
          <t>https://mstgolf.co.th/products/gf2000105770</t>
        </is>
      </c>
      <c r="T5080" s="1">
        <f>IF(B5080="ไม้กอล์ฟ",J5080,"")</f>
        <v/>
      </c>
    </row>
    <row r="5081">
      <c r="A5081" s="1" t="n">
        <v>3</v>
      </c>
      <c r="B5081" s="1" t="inlineStr">
        <is>
          <t>อุปกรณ์เสริม</t>
        </is>
      </c>
      <c r="C5081" s="1" t="inlineStr">
        <is>
          <t>gf2100200573</t>
        </is>
      </c>
      <c r="D5081" s="1" t="inlineStr">
        <is>
          <t>PUMA Microfiber Towel (White/Grey)</t>
        </is>
      </c>
      <c r="E5081" s="1" t="inlineStr">
        <is>
          <t>PUMA</t>
        </is>
      </c>
      <c r="F5081" s="1" t="inlineStr">
        <is>
          <t>HAND/CLUB TOWEL</t>
        </is>
      </c>
      <c r="G5081" s="1" t="inlineStr">
        <is>
          <t>GF2100200573</t>
        </is>
      </c>
      <c r="H5081" s="1" t="n">
        <v>1</v>
      </c>
      <c r="I5081" s="1" t="inlineStr">
        <is>
          <t>หมด</t>
        </is>
      </c>
      <c r="J5081" s="13" t="n">
        <v>49</v>
      </c>
      <c r="K5081" s="1" t="inlineStr"/>
      <c r="L5081" s="13" t="n"/>
      <c r="M5081" s="1">
        <f>IF(L5081="","ไม่พบใน SG",IF(ABS(J5081-L5081)&lt;0.005,"ตรงกัน","ไม่ตรง"))</f>
        <v/>
      </c>
      <c r="N5081" s="14">
        <f>IF(L5081="","",ROUND(L5081*'สรุป'!$C$6,-1))</f>
        <v/>
      </c>
      <c r="O5081" s="15" t="n"/>
      <c r="P5081" s="15" t="n"/>
      <c r="Q5081" s="10" t="n"/>
      <c r="R5081" s="10" t="n"/>
      <c r="S5081" s="16" t="inlineStr">
        <is>
          <t>https://mstgolf.co.th/products/gf2100200573</t>
        </is>
      </c>
      <c r="T5081" s="1">
        <f>IF(B5081="ไม้กอล์ฟ",J5081,"")</f>
        <v/>
      </c>
    </row>
    <row r="5082">
      <c r="A5082" s="1" t="n">
        <v>3</v>
      </c>
      <c r="B5082" s="1" t="inlineStr">
        <is>
          <t>หมวก</t>
        </is>
      </c>
      <c r="C5082" s="1" t="inlineStr">
        <is>
          <t>gf2000105119</t>
        </is>
      </c>
      <c r="D5082" s="1" t="inlineStr">
        <is>
          <t>PUMA Military Men's Cap (Black)</t>
        </is>
      </c>
      <c r="E5082" s="1" t="inlineStr">
        <is>
          <t>PUMA</t>
        </is>
      </c>
      <c r="F5082" s="1" t="inlineStr">
        <is>
          <t>CAP</t>
        </is>
      </c>
      <c r="G5082" s="1" t="inlineStr">
        <is>
          <t>GF2000105119FS</t>
        </is>
      </c>
      <c r="H5082" s="1" t="n">
        <v>1</v>
      </c>
      <c r="I5082" s="1" t="inlineStr">
        <is>
          <t>หมด</t>
        </is>
      </c>
      <c r="J5082" s="13" t="n">
        <v>49</v>
      </c>
      <c r="K5082" s="1" t="inlineStr"/>
      <c r="L5082" s="13" t="n">
        <v>49</v>
      </c>
      <c r="M5082" s="1">
        <f>IF(L5082="","ไม่พบใน SG",IF(ABS(J5082-L5082)&lt;0.005,"ตรงกัน","ไม่ตรง"))</f>
        <v/>
      </c>
      <c r="N5082" s="14">
        <f>IF(L5082="","",ROUND(L5082*'สรุป'!$C$6,-1))</f>
        <v/>
      </c>
      <c r="O5082" s="15" t="n"/>
      <c r="P5082" s="15" t="n"/>
      <c r="Q5082" s="10" t="n"/>
      <c r="R5082" s="10" t="n"/>
      <c r="S5082" s="16" t="inlineStr">
        <is>
          <t>https://mstgolf.co.th/products/gf2000105119</t>
        </is>
      </c>
      <c r="T5082" s="1">
        <f>IF(B5082="ไม้กอล์ฟ",J5082,"")</f>
        <v/>
      </c>
    </row>
    <row r="5083">
      <c r="A5083" s="1" t="n">
        <v>3</v>
      </c>
      <c r="B5083" s="1" t="inlineStr">
        <is>
          <t>หมวก</t>
        </is>
      </c>
      <c r="C5083" s="1" t="inlineStr">
        <is>
          <t>gf2000105120</t>
        </is>
      </c>
      <c r="D5083" s="1" t="inlineStr">
        <is>
          <t>PUMA Military Men's Cap (Navy)</t>
        </is>
      </c>
      <c r="E5083" s="1" t="inlineStr">
        <is>
          <t>PUMA</t>
        </is>
      </c>
      <c r="F5083" s="1" t="inlineStr">
        <is>
          <t>CAP</t>
        </is>
      </c>
      <c r="G5083" s="1" t="inlineStr">
        <is>
          <t>GF2000105120FS</t>
        </is>
      </c>
      <c r="H5083" s="1" t="n">
        <v>1</v>
      </c>
      <c r="I5083" s="1" t="inlineStr">
        <is>
          <t>หมด</t>
        </is>
      </c>
      <c r="J5083" s="13" t="n">
        <v>49</v>
      </c>
      <c r="K5083" s="1" t="inlineStr"/>
      <c r="L5083" s="13" t="n">
        <v>49</v>
      </c>
      <c r="M5083" s="1">
        <f>IF(L5083="","ไม่พบใน SG",IF(ABS(J5083-L5083)&lt;0.005,"ตรงกัน","ไม่ตรง"))</f>
        <v/>
      </c>
      <c r="N5083" s="14">
        <f>IF(L5083="","",ROUND(L5083*'สรุป'!$C$6,-1))</f>
        <v/>
      </c>
      <c r="O5083" s="15" t="n"/>
      <c r="P5083" s="15" t="n"/>
      <c r="Q5083" s="10" t="n"/>
      <c r="R5083" s="10" t="n"/>
      <c r="S5083" s="16" t="inlineStr">
        <is>
          <t>https://mstgolf.co.th/products/gf2000105120</t>
        </is>
      </c>
      <c r="T5083" s="1">
        <f>IF(B5083="ไม้กอล์ฟ",J5083,"")</f>
        <v/>
      </c>
    </row>
    <row r="5084">
      <c r="A5084" s="1" t="n">
        <v>3</v>
      </c>
      <c r="B5084" s="1" t="inlineStr">
        <is>
          <t>หมวก</t>
        </is>
      </c>
      <c r="C5084" s="1" t="inlineStr">
        <is>
          <t>gf2000105121</t>
        </is>
      </c>
      <c r="D5084" s="1" t="inlineStr">
        <is>
          <t>PUMA Military Men's Cap (White)</t>
        </is>
      </c>
      <c r="E5084" s="1" t="inlineStr">
        <is>
          <t>PUMA</t>
        </is>
      </c>
      <c r="F5084" s="1" t="inlineStr">
        <is>
          <t>CAP</t>
        </is>
      </c>
      <c r="G5084" s="1" t="inlineStr">
        <is>
          <t>GF2000105121FS</t>
        </is>
      </c>
      <c r="H5084" s="1" t="n">
        <v>1</v>
      </c>
      <c r="I5084" s="1" t="inlineStr">
        <is>
          <t>หมด</t>
        </is>
      </c>
      <c r="J5084" s="13" t="n">
        <v>49</v>
      </c>
      <c r="K5084" s="1" t="inlineStr"/>
      <c r="L5084" s="13" t="n">
        <v>19</v>
      </c>
      <c r="M5084" s="1">
        <f>IF(L5084="","ไม่พบใน SG",IF(ABS(J5084-L5084)&lt;0.005,"ตรงกัน","ไม่ตรง"))</f>
        <v/>
      </c>
      <c r="N5084" s="14">
        <f>IF(L5084="","",ROUND(L5084*'สรุป'!$C$6,-1))</f>
        <v/>
      </c>
      <c r="O5084" s="15" t="n"/>
      <c r="P5084" s="15" t="n"/>
      <c r="Q5084" s="10" t="n"/>
      <c r="R5084" s="10" t="n"/>
      <c r="S5084" s="16" t="inlineStr">
        <is>
          <t>https://mstgolf.co.th/products/gf2000105121</t>
        </is>
      </c>
      <c r="T5084" s="1">
        <f>IF(B5084="ไม้กอล์ฟ",J5084,"")</f>
        <v/>
      </c>
    </row>
    <row r="5085">
      <c r="A5085" s="1" t="n">
        <v>3</v>
      </c>
      <c r="B5085" s="1" t="inlineStr">
        <is>
          <t>หมวก</t>
        </is>
      </c>
      <c r="C5085" s="1" t="inlineStr">
        <is>
          <t>gf2000106232</t>
        </is>
      </c>
      <c r="D5085" s="1" t="inlineStr">
        <is>
          <t>PUMA Needlepoint Dad Men's Cap (White)</t>
        </is>
      </c>
      <c r="E5085" s="1" t="inlineStr">
        <is>
          <t>PUMA</t>
        </is>
      </c>
      <c r="F5085" s="1" t="inlineStr">
        <is>
          <t>CAP</t>
        </is>
      </c>
      <c r="G5085" s="1" t="inlineStr">
        <is>
          <t>GF2000106232FS</t>
        </is>
      </c>
      <c r="H5085" s="1" t="n">
        <v>1</v>
      </c>
      <c r="I5085" s="1" t="inlineStr">
        <is>
          <t>หมด</t>
        </is>
      </c>
      <c r="J5085" s="13" t="n">
        <v>49</v>
      </c>
      <c r="K5085" s="1" t="inlineStr"/>
      <c r="L5085" s="13" t="n">
        <v>49</v>
      </c>
      <c r="M5085" s="1">
        <f>IF(L5085="","ไม่พบใน SG",IF(ABS(J5085-L5085)&lt;0.005,"ตรงกัน","ไม่ตรง"))</f>
        <v/>
      </c>
      <c r="N5085" s="14">
        <f>IF(L5085="","",ROUND(L5085*'สรุป'!$C$6,-1))</f>
        <v/>
      </c>
      <c r="O5085" s="15" t="n"/>
      <c r="P5085" s="15" t="n"/>
      <c r="Q5085" s="10" t="n"/>
      <c r="R5085" s="10" t="n"/>
      <c r="S5085" s="16" t="inlineStr">
        <is>
          <t>https://mstgolf.co.th/products/gf2000106232</t>
        </is>
      </c>
      <c r="T5085" s="1">
        <f>IF(B5085="ไม้กอล์ฟ",J5085,"")</f>
        <v/>
      </c>
    </row>
    <row r="5086">
      <c r="A5086" s="1" t="n">
        <v>3</v>
      </c>
      <c r="B5086" s="1" t="inlineStr">
        <is>
          <t>หมวก</t>
        </is>
      </c>
      <c r="C5086" s="1" t="inlineStr">
        <is>
          <t>gf2000105091</t>
        </is>
      </c>
      <c r="D5086" s="1" t="inlineStr">
        <is>
          <t>PUMA P Men's Cap (Black)</t>
        </is>
      </c>
      <c r="E5086" s="1" t="inlineStr">
        <is>
          <t>PUMA</t>
        </is>
      </c>
      <c r="F5086" s="1" t="inlineStr">
        <is>
          <t>CAP</t>
        </is>
      </c>
      <c r="G5086" s="1" t="inlineStr">
        <is>
          <t>GF2000105091FS</t>
        </is>
      </c>
      <c r="H5086" s="1" t="n">
        <v>1</v>
      </c>
      <c r="I5086" s="1" t="inlineStr">
        <is>
          <t>หมด</t>
        </is>
      </c>
      <c r="J5086" s="13" t="n">
        <v>49</v>
      </c>
      <c r="K5086" s="1" t="inlineStr"/>
      <c r="L5086" s="13" t="n">
        <v>49</v>
      </c>
      <c r="M5086" s="1">
        <f>IF(L5086="","ไม่พบใน SG",IF(ABS(J5086-L5086)&lt;0.005,"ตรงกัน","ไม่ตรง"))</f>
        <v/>
      </c>
      <c r="N5086" s="14">
        <f>IF(L5086="","",ROUND(L5086*'สรุป'!$C$6,-1))</f>
        <v/>
      </c>
      <c r="O5086" s="15" t="n"/>
      <c r="P5086" s="15" t="n"/>
      <c r="Q5086" s="10" t="n"/>
      <c r="R5086" s="10" t="n"/>
      <c r="S5086" s="16" t="inlineStr">
        <is>
          <t>https://mstgolf.co.th/products/gf2000105091</t>
        </is>
      </c>
      <c r="T5086" s="1">
        <f>IF(B5086="ไม้กอล์ฟ",J5086,"")</f>
        <v/>
      </c>
    </row>
    <row r="5087">
      <c r="A5087" s="1" t="n">
        <v>3</v>
      </c>
      <c r="B5087" s="1" t="inlineStr">
        <is>
          <t>หมวก</t>
        </is>
      </c>
      <c r="C5087" s="1" t="inlineStr">
        <is>
          <t>gf2000105092</t>
        </is>
      </c>
      <c r="D5087" s="1" t="inlineStr">
        <is>
          <t>PUMA P Men's Cap (Sky/Grey)</t>
        </is>
      </c>
      <c r="E5087" s="1" t="inlineStr">
        <is>
          <t>PUMA</t>
        </is>
      </c>
      <c r="F5087" s="1" t="inlineStr">
        <is>
          <t>CAP</t>
        </is>
      </c>
      <c r="G5087" s="1" t="inlineStr">
        <is>
          <t>GF2000105092FS</t>
        </is>
      </c>
      <c r="H5087" s="1" t="n">
        <v>1</v>
      </c>
      <c r="I5087" s="1" t="inlineStr">
        <is>
          <t>หมด</t>
        </is>
      </c>
      <c r="J5087" s="13" t="n">
        <v>49</v>
      </c>
      <c r="K5087" s="1" t="inlineStr"/>
      <c r="L5087" s="13" t="n"/>
      <c r="M5087" s="1">
        <f>IF(L5087="","ไม่พบใน SG",IF(ABS(J5087-L5087)&lt;0.005,"ตรงกัน","ไม่ตรง"))</f>
        <v/>
      </c>
      <c r="N5087" s="14">
        <f>IF(L5087="","",ROUND(L5087*'สรุป'!$C$6,-1))</f>
        <v/>
      </c>
      <c r="O5087" s="15" t="n"/>
      <c r="P5087" s="15" t="n"/>
      <c r="Q5087" s="10" t="n"/>
      <c r="R5087" s="10" t="n"/>
      <c r="S5087" s="16" t="inlineStr">
        <is>
          <t>https://mstgolf.co.th/products/gf2000105092</t>
        </is>
      </c>
      <c r="T5087" s="1">
        <f>IF(B5087="ไม้กอล์ฟ",J5087,"")</f>
        <v/>
      </c>
    </row>
    <row r="5088">
      <c r="A5088" s="1" t="n">
        <v>3</v>
      </c>
      <c r="B5088" s="1" t="inlineStr">
        <is>
          <t>หมวก</t>
        </is>
      </c>
      <c r="C5088" s="1" t="inlineStr">
        <is>
          <t>gf2000105090</t>
        </is>
      </c>
      <c r="D5088" s="1" t="inlineStr">
        <is>
          <t>PUMA P Men's Cap (White)</t>
        </is>
      </c>
      <c r="E5088" s="1" t="inlineStr">
        <is>
          <t>PUMA</t>
        </is>
      </c>
      <c r="F5088" s="1" t="inlineStr">
        <is>
          <t>CAP</t>
        </is>
      </c>
      <c r="G5088" s="1" t="inlineStr">
        <is>
          <t>GF2000105090FS</t>
        </is>
      </c>
      <c r="H5088" s="1" t="n">
        <v>1</v>
      </c>
      <c r="I5088" s="1" t="inlineStr">
        <is>
          <t>หมด</t>
        </is>
      </c>
      <c r="J5088" s="13" t="n">
        <v>49</v>
      </c>
      <c r="K5088" s="1" t="inlineStr"/>
      <c r="L5088" s="13" t="n">
        <v>49</v>
      </c>
      <c r="M5088" s="1">
        <f>IF(L5088="","ไม่พบใน SG",IF(ABS(J5088-L5088)&lt;0.005,"ตรงกัน","ไม่ตรง"))</f>
        <v/>
      </c>
      <c r="N5088" s="14">
        <f>IF(L5088="","",ROUND(L5088*'สรุป'!$C$6,-1))</f>
        <v/>
      </c>
      <c r="O5088" s="15" t="n"/>
      <c r="P5088" s="15" t="n"/>
      <c r="Q5088" s="10" t="n"/>
      <c r="R5088" s="10" t="n"/>
      <c r="S5088" s="16" t="inlineStr">
        <is>
          <t>https://mstgolf.co.th/products/gf2000105090</t>
        </is>
      </c>
      <c r="T5088" s="1">
        <f>IF(B5088="ไม้กอล์ฟ",J5088,"")</f>
        <v/>
      </c>
    </row>
    <row r="5089">
      <c r="A5089" s="1" t="n">
        <v>3</v>
      </c>
      <c r="B5089" s="1" t="inlineStr">
        <is>
          <t>เสื้อผ้า</t>
        </is>
      </c>
      <c r="C5089" s="1" t="inlineStr">
        <is>
          <t>gf2020201992</t>
        </is>
      </c>
      <c r="D5089" s="1" t="inlineStr">
        <is>
          <t>PUMA PWRMESH Skort (Black)</t>
        </is>
      </c>
      <c r="E5089" s="1" t="inlineStr">
        <is>
          <t>PUMA</t>
        </is>
      </c>
      <c r="F5089" s="1" t="inlineStr">
        <is>
          <t>SHORT PANTS</t>
        </is>
      </c>
      <c r="G5089" s="1" t="inlineStr">
        <is>
          <t>GF2020201992XS</t>
        </is>
      </c>
      <c r="H5089" s="1" t="n">
        <v>5</v>
      </c>
      <c r="I5089" s="1" t="inlineStr">
        <is>
          <t>หมด</t>
        </is>
      </c>
      <c r="J5089" s="13" t="n">
        <v>49</v>
      </c>
      <c r="K5089" s="1" t="inlineStr"/>
      <c r="L5089" s="13" t="n"/>
      <c r="M5089" s="1">
        <f>IF(L5089="","ไม่พบใน SG",IF(ABS(J5089-L5089)&lt;0.005,"ตรงกัน","ไม่ตรง"))</f>
        <v/>
      </c>
      <c r="N5089" s="14">
        <f>IF(L5089="","",ROUND(L5089*'สรุป'!$C$6,-1))</f>
        <v/>
      </c>
      <c r="O5089" s="15" t="n"/>
      <c r="P5089" s="15" t="n"/>
      <c r="Q5089" s="10" t="n"/>
      <c r="R5089" s="10" t="n"/>
      <c r="S5089" s="16" t="inlineStr">
        <is>
          <t>https://mstgolf.co.th/products/gf2020201992</t>
        </is>
      </c>
      <c r="T5089" s="1">
        <f>IF(B5089="ไม้กอล์ฟ",J5089,"")</f>
        <v/>
      </c>
    </row>
    <row r="5090">
      <c r="A5090" s="1" t="n">
        <v>3</v>
      </c>
      <c r="B5090" s="1" t="inlineStr">
        <is>
          <t>หมวก</t>
        </is>
      </c>
      <c r="C5090" s="1" t="inlineStr">
        <is>
          <t>gf2000105106</t>
        </is>
      </c>
      <c r="D5090" s="1" t="inlineStr">
        <is>
          <t>PUMA Palm Tree Crew Men's Cap (White)</t>
        </is>
      </c>
      <c r="E5090" s="1" t="inlineStr">
        <is>
          <t>PUMA</t>
        </is>
      </c>
      <c r="F5090" s="1" t="inlineStr">
        <is>
          <t>CAP</t>
        </is>
      </c>
      <c r="G5090" s="1" t="inlineStr">
        <is>
          <t>GF2000105106FS</t>
        </is>
      </c>
      <c r="H5090" s="1" t="n">
        <v>1</v>
      </c>
      <c r="I5090" s="1" t="inlineStr">
        <is>
          <t>หมด</t>
        </is>
      </c>
      <c r="J5090" s="13" t="n">
        <v>49</v>
      </c>
      <c r="K5090" s="1" t="inlineStr"/>
      <c r="L5090" s="13" t="n">
        <v>49</v>
      </c>
      <c r="M5090" s="1">
        <f>IF(L5090="","ไม่พบใน SG",IF(ABS(J5090-L5090)&lt;0.005,"ตรงกัน","ไม่ตรง"))</f>
        <v/>
      </c>
      <c r="N5090" s="14">
        <f>IF(L5090="","",ROUND(L5090*'สรุป'!$C$6,-1))</f>
        <v/>
      </c>
      <c r="O5090" s="15" t="n"/>
      <c r="P5090" s="15" t="n"/>
      <c r="Q5090" s="10" t="n"/>
      <c r="R5090" s="10" t="n"/>
      <c r="S5090" s="16" t="inlineStr">
        <is>
          <t>https://mstgolf.co.th/products/gf2000105106</t>
        </is>
      </c>
      <c r="T5090" s="1">
        <f>IF(B5090="ไม้กอล์ฟ",J5090,"")</f>
        <v/>
      </c>
    </row>
    <row r="5091">
      <c r="A5091" s="1" t="n">
        <v>3</v>
      </c>
      <c r="B5091" s="1" t="inlineStr">
        <is>
          <t>หมวก</t>
        </is>
      </c>
      <c r="C5091" s="1" t="inlineStr">
        <is>
          <t>gf2000105099</t>
        </is>
      </c>
      <c r="D5091" s="1" t="inlineStr">
        <is>
          <t>PUMA Pars &amp; Stripes P Men's Cap (White)</t>
        </is>
      </c>
      <c r="E5091" s="1" t="inlineStr">
        <is>
          <t>PUMA</t>
        </is>
      </c>
      <c r="F5091" s="1" t="inlineStr">
        <is>
          <t>CAP</t>
        </is>
      </c>
      <c r="G5091" s="1" t="inlineStr">
        <is>
          <t>GF2000105099FS</t>
        </is>
      </c>
      <c r="H5091" s="1" t="n">
        <v>1</v>
      </c>
      <c r="I5091" s="1" t="inlineStr">
        <is>
          <t>หมด</t>
        </is>
      </c>
      <c r="J5091" s="13" t="n">
        <v>49</v>
      </c>
      <c r="K5091" s="1" t="inlineStr"/>
      <c r="L5091" s="13" t="n">
        <v>19</v>
      </c>
      <c r="M5091" s="1">
        <f>IF(L5091="","ไม่พบใน SG",IF(ABS(J5091-L5091)&lt;0.005,"ตรงกัน","ไม่ตรง"))</f>
        <v/>
      </c>
      <c r="N5091" s="14">
        <f>IF(L5091="","",ROUND(L5091*'สรุป'!$C$6,-1))</f>
        <v/>
      </c>
      <c r="O5091" s="15" t="n"/>
      <c r="P5091" s="15" t="n"/>
      <c r="Q5091" s="10" t="n"/>
      <c r="R5091" s="10" t="n"/>
      <c r="S5091" s="16" t="inlineStr">
        <is>
          <t>https://mstgolf.co.th/products/gf2000105099</t>
        </is>
      </c>
      <c r="T5091" s="1">
        <f>IF(B5091="ไม้กอล์ฟ",J5091,"")</f>
        <v/>
      </c>
    </row>
    <row r="5092">
      <c r="A5092" s="1" t="n">
        <v>3</v>
      </c>
      <c r="B5092" s="1" t="inlineStr">
        <is>
          <t>เสื้อผ้า</t>
        </is>
      </c>
      <c r="C5092" s="1" t="inlineStr">
        <is>
          <t>gf2040118428</t>
        </is>
      </c>
      <c r="D5092" s="1" t="inlineStr">
        <is>
          <t>PUMA Pique Borrego Junior Polo (Sky/Pale Yellow)</t>
        </is>
      </c>
      <c r="E5092" s="1" t="inlineStr">
        <is>
          <t>PUMA</t>
        </is>
      </c>
      <c r="F5092" s="1" t="inlineStr">
        <is>
          <t>SHORT SLEEVES</t>
        </is>
      </c>
      <c r="G5092" s="1" t="inlineStr">
        <is>
          <t>GF2040118428116</t>
        </is>
      </c>
      <c r="H5092" s="1" t="n">
        <v>6</v>
      </c>
      <c r="I5092" s="1" t="inlineStr">
        <is>
          <t>หมด</t>
        </is>
      </c>
      <c r="J5092" s="13" t="n">
        <v>49</v>
      </c>
      <c r="K5092" s="1" t="inlineStr"/>
      <c r="L5092" s="13" t="n"/>
      <c r="M5092" s="1">
        <f>IF(L5092="","ไม่พบใน SG",IF(ABS(J5092-L5092)&lt;0.005,"ตรงกัน","ไม่ตรง"))</f>
        <v/>
      </c>
      <c r="N5092" s="14">
        <f>IF(L5092="","",ROUND(L5092*'สรุป'!$C$6,-1))</f>
        <v/>
      </c>
      <c r="O5092" s="15" t="n"/>
      <c r="P5092" s="15" t="n"/>
      <c r="Q5092" s="10" t="n"/>
      <c r="R5092" s="10" t="n"/>
      <c r="S5092" s="16" t="inlineStr">
        <is>
          <t>https://mstgolf.co.th/products/gf2040118428</t>
        </is>
      </c>
      <c r="T5092" s="1">
        <f>IF(B5092="ไม้กอล์ฟ",J5092,"")</f>
        <v/>
      </c>
    </row>
    <row r="5093">
      <c r="A5093" s="1" t="n">
        <v>3</v>
      </c>
      <c r="B5093" s="1" t="inlineStr">
        <is>
          <t>หมวก</t>
        </is>
      </c>
      <c r="C5093" s="1" t="inlineStr">
        <is>
          <t>gf2000106231</t>
        </is>
      </c>
      <c r="D5093" s="1" t="inlineStr">
        <is>
          <t>PUMA Seersucker Dad Women's Cap (Pink)</t>
        </is>
      </c>
      <c r="E5093" s="1" t="inlineStr">
        <is>
          <t>PUMA</t>
        </is>
      </c>
      <c r="F5093" s="1" t="inlineStr">
        <is>
          <t>CAP</t>
        </is>
      </c>
      <c r="G5093" s="1" t="inlineStr">
        <is>
          <t>GF2000106231FS</t>
        </is>
      </c>
      <c r="H5093" s="1" t="n">
        <v>1</v>
      </c>
      <c r="I5093" s="1" t="inlineStr">
        <is>
          <t>หมด</t>
        </is>
      </c>
      <c r="J5093" s="13" t="n">
        <v>49</v>
      </c>
      <c r="K5093" s="1" t="inlineStr"/>
      <c r="L5093" s="13" t="n">
        <v>49</v>
      </c>
      <c r="M5093" s="1">
        <f>IF(L5093="","ไม่พบใน SG",IF(ABS(J5093-L5093)&lt;0.005,"ตรงกัน","ไม่ตรง"))</f>
        <v/>
      </c>
      <c r="N5093" s="14">
        <f>IF(L5093="","",ROUND(L5093*'สรุป'!$C$6,-1))</f>
        <v/>
      </c>
      <c r="O5093" s="15" t="n"/>
      <c r="P5093" s="15" t="n"/>
      <c r="Q5093" s="10" t="n"/>
      <c r="R5093" s="10" t="n"/>
      <c r="S5093" s="16" t="inlineStr">
        <is>
          <t>https://mstgolf.co.th/products/gf2000106231</t>
        </is>
      </c>
      <c r="T5093" s="1">
        <f>IF(B5093="ไม้กอล์ฟ",J5093,"")</f>
        <v/>
      </c>
    </row>
    <row r="5094">
      <c r="A5094" s="1" t="n">
        <v>3</v>
      </c>
      <c r="B5094" s="1" t="inlineStr">
        <is>
          <t>หมวก</t>
        </is>
      </c>
      <c r="C5094" s="1" t="inlineStr">
        <is>
          <t>gf2000200975</t>
        </is>
      </c>
      <c r="D5094" s="1" t="inlineStr">
        <is>
          <t>PUMA Tech P Men's Visor (Navy)</t>
        </is>
      </c>
      <c r="E5094" s="1" t="inlineStr">
        <is>
          <t>PUMA</t>
        </is>
      </c>
      <c r="F5094" s="1" t="inlineStr">
        <is>
          <t>VISOR</t>
        </is>
      </c>
      <c r="G5094" s="1" t="inlineStr">
        <is>
          <t>GF2000200975FS</t>
        </is>
      </c>
      <c r="H5094" s="1" t="n">
        <v>1</v>
      </c>
      <c r="I5094" s="1" t="inlineStr">
        <is>
          <t>หมด</t>
        </is>
      </c>
      <c r="J5094" s="13" t="n">
        <v>49</v>
      </c>
      <c r="K5094" s="1" t="inlineStr"/>
      <c r="L5094" s="13" t="n">
        <v>49</v>
      </c>
      <c r="M5094" s="1">
        <f>IF(L5094="","ไม่พบใน SG",IF(ABS(J5094-L5094)&lt;0.005,"ตรงกัน","ไม่ตรง"))</f>
        <v/>
      </c>
      <c r="N5094" s="14">
        <f>IF(L5094="","",ROUND(L5094*'สรุป'!$C$6,-1))</f>
        <v/>
      </c>
      <c r="O5094" s="15" t="n"/>
      <c r="P5094" s="15" t="n"/>
      <c r="Q5094" s="10" t="n"/>
      <c r="R5094" s="10" t="n"/>
      <c r="S5094" s="16" t="inlineStr">
        <is>
          <t>https://mstgolf.co.th/products/gf2000200975</t>
        </is>
      </c>
      <c r="T5094" s="1">
        <f>IF(B5094="ไม้กอล์ฟ",J5094,"")</f>
        <v/>
      </c>
    </row>
    <row r="5095">
      <c r="A5095" s="1" t="n">
        <v>3</v>
      </c>
      <c r="B5095" s="1" t="inlineStr">
        <is>
          <t>อุปกรณ์เสริม</t>
        </is>
      </c>
      <c r="C5095" s="1" t="inlineStr">
        <is>
          <t>gf2100200551</t>
        </is>
      </c>
      <c r="D5095" s="1" t="inlineStr">
        <is>
          <t>PUMA Tri-Fold Golf Towel (White/High Rise)</t>
        </is>
      </c>
      <c r="E5095" s="1" t="inlineStr">
        <is>
          <t>PUMA</t>
        </is>
      </c>
      <c r="F5095" s="1" t="inlineStr">
        <is>
          <t>HAND/CLUB TOWEL</t>
        </is>
      </c>
      <c r="G5095" s="1" t="inlineStr">
        <is>
          <t>GF2100200551</t>
        </is>
      </c>
      <c r="H5095" s="1" t="n">
        <v>1</v>
      </c>
      <c r="I5095" s="1" t="inlineStr">
        <is>
          <t>หมด</t>
        </is>
      </c>
      <c r="J5095" s="13" t="n">
        <v>49</v>
      </c>
      <c r="K5095" s="1" t="inlineStr"/>
      <c r="L5095" s="13" t="n"/>
      <c r="M5095" s="1">
        <f>IF(L5095="","ไม่พบใน SG",IF(ABS(J5095-L5095)&lt;0.005,"ตรงกัน","ไม่ตรง"))</f>
        <v/>
      </c>
      <c r="N5095" s="14">
        <f>IF(L5095="","",ROUND(L5095*'สรุป'!$C$6,-1))</f>
        <v/>
      </c>
      <c r="O5095" s="15" t="n"/>
      <c r="P5095" s="15" t="n"/>
      <c r="Q5095" s="10" t="n"/>
      <c r="R5095" s="10" t="n"/>
      <c r="S5095" s="16" t="inlineStr">
        <is>
          <t>https://mstgolf.co.th/products/gf2100200551</t>
        </is>
      </c>
      <c r="T5095" s="1">
        <f>IF(B5095="ไม้กอล์ฟ",J5095,"")</f>
        <v/>
      </c>
    </row>
    <row r="5096">
      <c r="A5096" s="1" t="n">
        <v>3</v>
      </c>
      <c r="B5096" s="1" t="inlineStr">
        <is>
          <t>หมวก</t>
        </is>
      </c>
      <c r="C5096" s="1" t="inlineStr">
        <is>
          <t>gf2000105116</t>
        </is>
      </c>
      <c r="D5096" s="1" t="inlineStr">
        <is>
          <t>PUMA Twill Graphic Men's Cap (Aqua)</t>
        </is>
      </c>
      <c r="E5096" s="1" t="inlineStr">
        <is>
          <t>PUMA</t>
        </is>
      </c>
      <c r="F5096" s="1" t="inlineStr">
        <is>
          <t>CAP</t>
        </is>
      </c>
      <c r="G5096" s="1" t="inlineStr">
        <is>
          <t>GF2000105116FS</t>
        </is>
      </c>
      <c r="H5096" s="1" t="n">
        <v>1</v>
      </c>
      <c r="I5096" s="1" t="inlineStr">
        <is>
          <t>หมด</t>
        </is>
      </c>
      <c r="J5096" s="13" t="n">
        <v>49</v>
      </c>
      <c r="K5096" s="1" t="inlineStr"/>
      <c r="L5096" s="13" t="n">
        <v>49</v>
      </c>
      <c r="M5096" s="1">
        <f>IF(L5096="","ไม่พบใน SG",IF(ABS(J5096-L5096)&lt;0.005,"ตรงกัน","ไม่ตรง"))</f>
        <v/>
      </c>
      <c r="N5096" s="14">
        <f>IF(L5096="","",ROUND(L5096*'สรุป'!$C$6,-1))</f>
        <v/>
      </c>
      <c r="O5096" s="15" t="n"/>
      <c r="P5096" s="15" t="n"/>
      <c r="Q5096" s="10" t="n"/>
      <c r="R5096" s="10" t="n"/>
      <c r="S5096" s="16" t="inlineStr">
        <is>
          <t>https://mstgolf.co.th/products/gf2000105116</t>
        </is>
      </c>
      <c r="T5096" s="1">
        <f>IF(B5096="ไม้กอล์ฟ",J5096,"")</f>
        <v/>
      </c>
    </row>
    <row r="5097">
      <c r="A5097" s="1" t="n">
        <v>3</v>
      </c>
      <c r="B5097" s="1" t="inlineStr">
        <is>
          <t>หมวก</t>
        </is>
      </c>
      <c r="C5097" s="1" t="inlineStr">
        <is>
          <t>gf2000105115</t>
        </is>
      </c>
      <c r="D5097" s="1" t="inlineStr">
        <is>
          <t>PUMA Twill Graphic Men's Cap (Navy)</t>
        </is>
      </c>
      <c r="E5097" s="1" t="inlineStr">
        <is>
          <t>PUMA</t>
        </is>
      </c>
      <c r="F5097" s="1" t="inlineStr">
        <is>
          <t>CAP</t>
        </is>
      </c>
      <c r="G5097" s="1" t="inlineStr">
        <is>
          <t>GF2000105115FS</t>
        </is>
      </c>
      <c r="H5097" s="1" t="n">
        <v>1</v>
      </c>
      <c r="I5097" s="1" t="inlineStr">
        <is>
          <t>หมด</t>
        </is>
      </c>
      <c r="J5097" s="13" t="n">
        <v>49</v>
      </c>
      <c r="K5097" s="1" t="inlineStr"/>
      <c r="L5097" s="13" t="n">
        <v>19</v>
      </c>
      <c r="M5097" s="1">
        <f>IF(L5097="","ไม่พบใน SG",IF(ABS(J5097-L5097)&lt;0.005,"ตรงกัน","ไม่ตรง"))</f>
        <v/>
      </c>
      <c r="N5097" s="14">
        <f>IF(L5097="","",ROUND(L5097*'สรุป'!$C$6,-1))</f>
        <v/>
      </c>
      <c r="O5097" s="15" t="n"/>
      <c r="P5097" s="15" t="n"/>
      <c r="Q5097" s="10" t="n"/>
      <c r="R5097" s="10" t="n"/>
      <c r="S5097" s="16" t="inlineStr">
        <is>
          <t>https://mstgolf.co.th/products/gf2000105115</t>
        </is>
      </c>
      <c r="T5097" s="1">
        <f>IF(B5097="ไม้กอล์ฟ",J5097,"")</f>
        <v/>
      </c>
    </row>
    <row r="5098">
      <c r="A5098" s="1" t="n">
        <v>3</v>
      </c>
      <c r="B5098" s="1" t="inlineStr">
        <is>
          <t>หมวก</t>
        </is>
      </c>
      <c r="C5098" s="1" t="inlineStr">
        <is>
          <t>gf2000105118</t>
        </is>
      </c>
      <c r="D5098" s="1" t="inlineStr">
        <is>
          <t>PUMA Twill Graphic Men's Cap (White)</t>
        </is>
      </c>
      <c r="E5098" s="1" t="inlineStr">
        <is>
          <t>PUMA</t>
        </is>
      </c>
      <c r="F5098" s="1" t="inlineStr">
        <is>
          <t>CAP</t>
        </is>
      </c>
      <c r="G5098" s="1" t="inlineStr">
        <is>
          <t>GF2000105118FS</t>
        </is>
      </c>
      <c r="H5098" s="1" t="n">
        <v>1</v>
      </c>
      <c r="I5098" s="1" t="inlineStr">
        <is>
          <t>หมด</t>
        </is>
      </c>
      <c r="J5098" s="13" t="n">
        <v>49</v>
      </c>
      <c r="K5098" s="1" t="inlineStr"/>
      <c r="L5098" s="13" t="n">
        <v>49</v>
      </c>
      <c r="M5098" s="1">
        <f>IF(L5098="","ไม่พบใน SG",IF(ABS(J5098-L5098)&lt;0.005,"ตรงกัน","ไม่ตรง"))</f>
        <v/>
      </c>
      <c r="N5098" s="14">
        <f>IF(L5098="","",ROUND(L5098*'สรุป'!$C$6,-1))</f>
        <v/>
      </c>
      <c r="O5098" s="15" t="n"/>
      <c r="P5098" s="15" t="n"/>
      <c r="Q5098" s="10" t="n"/>
      <c r="R5098" s="10" t="n"/>
      <c r="S5098" s="16" t="inlineStr">
        <is>
          <t>https://mstgolf.co.th/products/gf2000105118</t>
        </is>
      </c>
      <c r="T5098" s="1">
        <f>IF(B5098="ไม้กอล์ฟ",J5098,"")</f>
        <v/>
      </c>
    </row>
    <row r="5099">
      <c r="A5099" s="1" t="n">
        <v>3</v>
      </c>
      <c r="B5099" s="1" t="inlineStr">
        <is>
          <t>หมวก</t>
        </is>
      </c>
      <c r="C5099" s="1" t="inlineStr">
        <is>
          <t>gf2000105784</t>
        </is>
      </c>
      <c r="D5099" s="1" t="inlineStr">
        <is>
          <t>PUMA Watercolor Tech P Men's Cap (Navy)</t>
        </is>
      </c>
      <c r="E5099" s="1" t="inlineStr">
        <is>
          <t>PUMA</t>
        </is>
      </c>
      <c r="F5099" s="1" t="inlineStr">
        <is>
          <t>CAP</t>
        </is>
      </c>
      <c r="G5099" s="1" t="inlineStr">
        <is>
          <t>GF2000105784FS</t>
        </is>
      </c>
      <c r="H5099" s="1" t="n">
        <v>1</v>
      </c>
      <c r="I5099" s="1" t="inlineStr">
        <is>
          <t>หมด</t>
        </is>
      </c>
      <c r="J5099" s="13" t="n">
        <v>49</v>
      </c>
      <c r="K5099" s="1" t="inlineStr"/>
      <c r="L5099" s="13" t="n">
        <v>49</v>
      </c>
      <c r="M5099" s="1">
        <f>IF(L5099="","ไม่พบใน SG",IF(ABS(J5099-L5099)&lt;0.005,"ตรงกัน","ไม่ตรง"))</f>
        <v/>
      </c>
      <c r="N5099" s="14">
        <f>IF(L5099="","",ROUND(L5099*'สรุป'!$C$6,-1))</f>
        <v/>
      </c>
      <c r="O5099" s="15" t="n"/>
      <c r="P5099" s="15" t="n"/>
      <c r="Q5099" s="10" t="n"/>
      <c r="R5099" s="10" t="n"/>
      <c r="S5099" s="16" t="inlineStr">
        <is>
          <t>https://mstgolf.co.th/products/gf2000105784</t>
        </is>
      </c>
      <c r="T5099" s="1">
        <f>IF(B5099="ไม้กอล์ฟ",J5099,"")</f>
        <v/>
      </c>
    </row>
    <row r="5100">
      <c r="A5100" s="1" t="n">
        <v>3</v>
      </c>
      <c r="B5100" s="1" t="inlineStr">
        <is>
          <t>เสื้อผ้า</t>
        </is>
      </c>
      <c r="C5100" s="1" t="inlineStr">
        <is>
          <t>gf2040400926</t>
        </is>
      </c>
      <c r="D5100" s="1" t="inlineStr">
        <is>
          <t>PUMA YouV Long Sleeve Polo (Heartfelt)</t>
        </is>
      </c>
      <c r="E5100" s="1" t="inlineStr">
        <is>
          <t>PUMA</t>
        </is>
      </c>
      <c r="F5100" s="1" t="inlineStr">
        <is>
          <t>LONG SLEEVES</t>
        </is>
      </c>
      <c r="G5100" s="1" t="inlineStr">
        <is>
          <t>GF2040400926S</t>
        </is>
      </c>
      <c r="H5100" s="1" t="n">
        <v>5</v>
      </c>
      <c r="I5100" s="1" t="inlineStr">
        <is>
          <t>หมด</t>
        </is>
      </c>
      <c r="J5100" s="13" t="n">
        <v>49</v>
      </c>
      <c r="K5100" s="1" t="inlineStr"/>
      <c r="L5100" s="13" t="n"/>
      <c r="M5100" s="1">
        <f>IF(L5100="","ไม่พบใน SG",IF(ABS(J5100-L5100)&lt;0.005,"ตรงกัน","ไม่ตรง"))</f>
        <v/>
      </c>
      <c r="N5100" s="14">
        <f>IF(L5100="","",ROUND(L5100*'สรุป'!$C$6,-1))</f>
        <v/>
      </c>
      <c r="O5100" s="15" t="n"/>
      <c r="P5100" s="15" t="n"/>
      <c r="Q5100" s="10" t="n"/>
      <c r="R5100" s="10" t="n"/>
      <c r="S5100" s="16" t="inlineStr">
        <is>
          <t>https://mstgolf.co.th/products/gf2040400926</t>
        </is>
      </c>
      <c r="T5100" s="1">
        <f>IF(B5100="ไม้กอล์ฟ",J5100,"")</f>
        <v/>
      </c>
    </row>
    <row r="5101">
      <c r="A5101" s="1" t="n">
        <v>3</v>
      </c>
      <c r="B5101" s="1" t="inlineStr">
        <is>
          <t>เสื้อผ้า</t>
        </is>
      </c>
      <c r="C5101" s="1" t="inlineStr">
        <is>
          <t>gf2040400924</t>
        </is>
      </c>
      <c r="D5101" s="1" t="inlineStr">
        <is>
          <t>PUMA Youv Men's Long Sleeve Polo (Black)</t>
        </is>
      </c>
      <c r="E5101" s="1" t="inlineStr">
        <is>
          <t>PUMA</t>
        </is>
      </c>
      <c r="F5101" s="1" t="inlineStr">
        <is>
          <t>LONG SLEEVES</t>
        </is>
      </c>
      <c r="G5101" s="1" t="inlineStr">
        <is>
          <t>GF2040400924S</t>
        </is>
      </c>
      <c r="H5101" s="1" t="n">
        <v>5</v>
      </c>
      <c r="I5101" s="1" t="inlineStr">
        <is>
          <t>หมด</t>
        </is>
      </c>
      <c r="J5101" s="13" t="n">
        <v>49</v>
      </c>
      <c r="K5101" s="1" t="inlineStr"/>
      <c r="L5101" s="13" t="n"/>
      <c r="M5101" s="1">
        <f>IF(L5101="","ไม่พบใน SG",IF(ABS(J5101-L5101)&lt;0.005,"ตรงกัน","ไม่ตรง"))</f>
        <v/>
      </c>
      <c r="N5101" s="14">
        <f>IF(L5101="","",ROUND(L5101*'สรุป'!$C$6,-1))</f>
        <v/>
      </c>
      <c r="O5101" s="15" t="n"/>
      <c r="P5101" s="15" t="n"/>
      <c r="Q5101" s="10" t="n"/>
      <c r="R5101" s="10" t="n"/>
      <c r="S5101" s="16" t="inlineStr">
        <is>
          <t>https://mstgolf.co.th/products/gf2040400924</t>
        </is>
      </c>
      <c r="T5101" s="1">
        <f>IF(B5101="ไม้กอล์ฟ",J5101,"")</f>
        <v/>
      </c>
    </row>
    <row r="5102">
      <c r="A5102" s="1" t="n">
        <v>3</v>
      </c>
      <c r="B5102" s="1" t="inlineStr">
        <is>
          <t>หมวก</t>
        </is>
      </c>
      <c r="C5102" s="1" t="inlineStr">
        <is>
          <t>gf2000200945</t>
        </is>
      </c>
      <c r="D5102" s="1" t="inlineStr">
        <is>
          <t>PUMA x Hoops Women's Visor (White/Royal)</t>
        </is>
      </c>
      <c r="E5102" s="1" t="inlineStr">
        <is>
          <t>PUMA</t>
        </is>
      </c>
      <c r="F5102" s="1" t="inlineStr">
        <is>
          <t>VISOR</t>
        </is>
      </c>
      <c r="G5102" s="1" t="inlineStr">
        <is>
          <t>GF2000200945FS</t>
        </is>
      </c>
      <c r="H5102" s="1" t="n">
        <v>1</v>
      </c>
      <c r="I5102" s="1" t="inlineStr">
        <is>
          <t>หมด</t>
        </is>
      </c>
      <c r="J5102" s="13" t="n">
        <v>49</v>
      </c>
      <c r="K5102" s="1" t="inlineStr"/>
      <c r="L5102" s="13" t="n"/>
      <c r="M5102" s="1">
        <f>IF(L5102="","ไม่พบใน SG",IF(ABS(J5102-L5102)&lt;0.005,"ตรงกัน","ไม่ตรง"))</f>
        <v/>
      </c>
      <c r="N5102" s="14">
        <f>IF(L5102="","",ROUND(L5102*'สรุป'!$C$6,-1))</f>
        <v/>
      </c>
      <c r="O5102" s="15" t="n"/>
      <c r="P5102" s="15" t="n"/>
      <c r="Q5102" s="10" t="n"/>
      <c r="R5102" s="10" t="n"/>
      <c r="S5102" s="16" t="inlineStr">
        <is>
          <t>https://mstgolf.co.th/products/gf2000200945</t>
        </is>
      </c>
      <c r="T5102" s="1">
        <f>IF(B5102="ไม้กอล์ฟ",J5102,"")</f>
        <v/>
      </c>
    </row>
    <row r="5103">
      <c r="A5103" s="1" t="n">
        <v>3</v>
      </c>
      <c r="B5103" s="1" t="inlineStr">
        <is>
          <t>หมวก</t>
        </is>
      </c>
      <c r="C5103" s="1" t="inlineStr">
        <is>
          <t>gf2000105566</t>
        </is>
      </c>
      <c r="D5103" s="1" t="inlineStr">
        <is>
          <t>PUMA x Liberty Men's P Cap (Navy)</t>
        </is>
      </c>
      <c r="E5103" s="1" t="inlineStr">
        <is>
          <t>PUMA</t>
        </is>
      </c>
      <c r="F5103" s="1" t="inlineStr">
        <is>
          <t>CAP</t>
        </is>
      </c>
      <c r="G5103" s="1" t="inlineStr">
        <is>
          <t>GF2000105566FS</t>
        </is>
      </c>
      <c r="H5103" s="1" t="n">
        <v>1</v>
      </c>
      <c r="I5103" s="1" t="inlineStr">
        <is>
          <t>หมด</t>
        </is>
      </c>
      <c r="J5103" s="13" t="n">
        <v>49</v>
      </c>
      <c r="K5103" s="1" t="inlineStr"/>
      <c r="L5103" s="13" t="n"/>
      <c r="M5103" s="1">
        <f>IF(L5103="","ไม่พบใน SG",IF(ABS(J5103-L5103)&lt;0.005,"ตรงกัน","ไม่ตรง"))</f>
        <v/>
      </c>
      <c r="N5103" s="14">
        <f>IF(L5103="","",ROUND(L5103*'สรุป'!$C$6,-1))</f>
        <v/>
      </c>
      <c r="O5103" s="15" t="n"/>
      <c r="P5103" s="15" t="n"/>
      <c r="Q5103" s="10" t="n"/>
      <c r="R5103" s="10" t="n"/>
      <c r="S5103" s="16" t="inlineStr">
        <is>
          <t>https://mstgolf.co.th/products/gf2000105566</t>
        </is>
      </c>
      <c r="T5103" s="1">
        <f>IF(B5103="ไม้กอล์ฟ",J5103,"")</f>
        <v/>
      </c>
    </row>
    <row r="5104">
      <c r="A5104" s="1" t="n">
        <v>3</v>
      </c>
      <c r="B5104" s="1" t="inlineStr">
        <is>
          <t>หมวก</t>
        </is>
      </c>
      <c r="C5104" s="1" t="inlineStr">
        <is>
          <t>gf2000200944</t>
        </is>
      </c>
      <c r="D5104" s="1" t="inlineStr">
        <is>
          <t>PUMA x Liberty Women's Visor (Navy)</t>
        </is>
      </c>
      <c r="E5104" s="1" t="inlineStr">
        <is>
          <t>PUMA</t>
        </is>
      </c>
      <c r="F5104" s="1" t="inlineStr">
        <is>
          <t>VISOR</t>
        </is>
      </c>
      <c r="G5104" s="1" t="inlineStr">
        <is>
          <t>GF2000200944FS</t>
        </is>
      </c>
      <c r="H5104" s="1" t="n">
        <v>1</v>
      </c>
      <c r="I5104" s="1" t="inlineStr">
        <is>
          <t>หมด</t>
        </is>
      </c>
      <c r="J5104" s="13" t="n">
        <v>49</v>
      </c>
      <c r="K5104" s="1" t="inlineStr"/>
      <c r="L5104" s="13" t="n">
        <v>19</v>
      </c>
      <c r="M5104" s="1">
        <f>IF(L5104="","ไม่พบใน SG",IF(ABS(J5104-L5104)&lt;0.005,"ตรงกัน","ไม่ตรง"))</f>
        <v/>
      </c>
      <c r="N5104" s="14">
        <f>IF(L5104="","",ROUND(L5104*'สรุป'!$C$6,-1))</f>
        <v/>
      </c>
      <c r="O5104" s="15" t="n"/>
      <c r="P5104" s="15" t="n"/>
      <c r="Q5104" s="10" t="n"/>
      <c r="R5104" s="10" t="n"/>
      <c r="S5104" s="16" t="inlineStr">
        <is>
          <t>https://mstgolf.co.th/products/gf2000200944</t>
        </is>
      </c>
      <c r="T5104" s="1">
        <f>IF(B5104="ไม้กอล์ฟ",J5104,"")</f>
        <v/>
      </c>
    </row>
    <row r="5105">
      <c r="A5105" s="1" t="n">
        <v>3</v>
      </c>
      <c r="B5105" s="1" t="inlineStr">
        <is>
          <t>เสื้อผ้า</t>
        </is>
      </c>
      <c r="C5105" s="1" t="inlineStr">
        <is>
          <t>gf2040117412</t>
        </is>
      </c>
      <c r="D5105" s="1" t="inlineStr">
        <is>
          <t>PUMA x PTC Island Men's Shirt (Deep Navy)</t>
        </is>
      </c>
      <c r="E5105" s="1" t="inlineStr">
        <is>
          <t>PUMA</t>
        </is>
      </c>
      <c r="F5105" s="1" t="inlineStr">
        <is>
          <t>SHORT SLEEVES</t>
        </is>
      </c>
      <c r="G5105" s="1" t="inlineStr">
        <is>
          <t>GF2040117412S</t>
        </is>
      </c>
      <c r="H5105" s="1" t="n">
        <v>5</v>
      </c>
      <c r="I5105" s="1" t="inlineStr">
        <is>
          <t>หมด</t>
        </is>
      </c>
      <c r="J5105" s="13" t="n">
        <v>49</v>
      </c>
      <c r="K5105" s="1" t="inlineStr"/>
      <c r="L5105" s="13" t="n"/>
      <c r="M5105" s="1">
        <f>IF(L5105="","ไม่พบใน SG",IF(ABS(J5105-L5105)&lt;0.005,"ตรงกัน","ไม่ตรง"))</f>
        <v/>
      </c>
      <c r="N5105" s="14">
        <f>IF(L5105="","",ROUND(L5105*'สรุป'!$C$6,-1))</f>
        <v/>
      </c>
      <c r="O5105" s="15" t="n"/>
      <c r="P5105" s="15" t="n"/>
      <c r="Q5105" s="10" t="n"/>
      <c r="R5105" s="10" t="n"/>
      <c r="S5105" s="16" t="inlineStr">
        <is>
          <t>https://mstgolf.co.th/products/gf2040117412</t>
        </is>
      </c>
      <c r="T5105" s="1">
        <f>IF(B5105="ไม้กอล์ฟ",J5105,"")</f>
        <v/>
      </c>
    </row>
    <row r="5106">
      <c r="A5106" s="1" t="n">
        <v>3</v>
      </c>
      <c r="B5106" s="1" t="inlineStr">
        <is>
          <t>หมวก</t>
        </is>
      </c>
      <c r="C5106" s="1" t="inlineStr">
        <is>
          <t>gf2000105250</t>
        </is>
      </c>
      <c r="D5106" s="1" t="inlineStr">
        <is>
          <t>PXG Darkness Skull Men's Cap (Black/Camo)</t>
        </is>
      </c>
      <c r="E5106" s="1" t="inlineStr">
        <is>
          <t>PXG</t>
        </is>
      </c>
      <c r="F5106" s="1" t="inlineStr">
        <is>
          <t>CAP</t>
        </is>
      </c>
      <c r="G5106" s="1" t="inlineStr">
        <is>
          <t>GF2000105250FS</t>
        </is>
      </c>
      <c r="H5106" s="1" t="n">
        <v>1</v>
      </c>
      <c r="I5106" s="1" t="inlineStr">
        <is>
          <t>หมด</t>
        </is>
      </c>
      <c r="J5106" s="13" t="n">
        <v>49</v>
      </c>
      <c r="K5106" s="1" t="inlineStr"/>
      <c r="L5106" s="13" t="n">
        <v>49</v>
      </c>
      <c r="M5106" s="1">
        <f>IF(L5106="","ไม่พบใน SG",IF(ABS(J5106-L5106)&lt;0.005,"ตรงกัน","ไม่ตรง"))</f>
        <v/>
      </c>
      <c r="N5106" s="14">
        <f>IF(L5106="","",ROUND(L5106*'สรุป'!$C$6,-1))</f>
        <v/>
      </c>
      <c r="O5106" s="15" t="n"/>
      <c r="P5106" s="15" t="n"/>
      <c r="Q5106" s="10" t="n"/>
      <c r="R5106" s="10" t="n"/>
      <c r="S5106" s="16" t="inlineStr">
        <is>
          <t>https://mstgolf.co.th/products/gf2000105250</t>
        </is>
      </c>
      <c r="T5106" s="1">
        <f>IF(B5106="ไม้กอล์ฟ",J5106,"")</f>
        <v/>
      </c>
    </row>
    <row r="5107">
      <c r="A5107" s="1" t="n">
        <v>3</v>
      </c>
      <c r="B5107" s="1" t="inlineStr">
        <is>
          <t>อุปกรณ์เสริม</t>
        </is>
      </c>
      <c r="C5107" s="1" t="inlineStr">
        <is>
          <t>gf3150100244</t>
        </is>
      </c>
      <c r="D5107" s="1" t="inlineStr">
        <is>
          <t>PXG Lightweight Single Canopy Umbrella (White)</t>
        </is>
      </c>
      <c r="E5107" s="1" t="inlineStr">
        <is>
          <t>PXG</t>
        </is>
      </c>
      <c r="F5107" s="1" t="inlineStr">
        <is>
          <t>UMBRELLA</t>
        </is>
      </c>
      <c r="G5107" s="1" t="inlineStr">
        <is>
          <t>GF3150100244</t>
        </is>
      </c>
      <c r="H5107" s="1" t="n">
        <v>1</v>
      </c>
      <c r="I5107" s="1" t="inlineStr">
        <is>
          <t>หมด</t>
        </is>
      </c>
      <c r="J5107" s="13" t="n">
        <v>49</v>
      </c>
      <c r="K5107" s="1" t="inlineStr"/>
      <c r="L5107" s="13" t="n">
        <v>49</v>
      </c>
      <c r="M5107" s="1">
        <f>IF(L5107="","ไม่พบใน SG",IF(ABS(J5107-L5107)&lt;0.005,"ตรงกัน","ไม่ตรง"))</f>
        <v/>
      </c>
      <c r="N5107" s="14">
        <f>IF(L5107="","",ROUND(L5107*'สรุป'!$C$6,-1))</f>
        <v/>
      </c>
      <c r="O5107" s="15" t="n"/>
      <c r="P5107" s="15" t="n"/>
      <c r="Q5107" s="10" t="n"/>
      <c r="R5107" s="10" t="n"/>
      <c r="S5107" s="16" t="inlineStr">
        <is>
          <t>https://mstgolf.co.th/products/gf3150100244</t>
        </is>
      </c>
      <c r="T5107" s="1">
        <f>IF(B5107="ไม้กอล์ฟ",J5107,"")</f>
        <v/>
      </c>
    </row>
    <row r="5108">
      <c r="A5108" s="1" t="n">
        <v>3</v>
      </c>
      <c r="B5108" s="1" t="inlineStr">
        <is>
          <t>หมวก</t>
        </is>
      </c>
      <c r="C5108" s="1" t="inlineStr">
        <is>
          <t>gf2000106763</t>
        </is>
      </c>
      <c r="D5108" s="1" t="inlineStr">
        <is>
          <t>TAYLORMADE Dia de los Muertos Ventura Men's Cap (Black)</t>
        </is>
      </c>
      <c r="E5108" s="1" t="inlineStr">
        <is>
          <t>TAYLORMADE</t>
        </is>
      </c>
      <c r="F5108" s="1" t="inlineStr">
        <is>
          <t>CAP</t>
        </is>
      </c>
      <c r="G5108" s="1" t="inlineStr">
        <is>
          <t>GF2000106763FS</t>
        </is>
      </c>
      <c r="H5108" s="1" t="n">
        <v>1</v>
      </c>
      <c r="I5108" s="1" t="inlineStr">
        <is>
          <t>หมด</t>
        </is>
      </c>
      <c r="J5108" s="13" t="n">
        <v>49</v>
      </c>
      <c r="K5108" s="1" t="inlineStr"/>
      <c r="L5108" s="13" t="n">
        <v>49</v>
      </c>
      <c r="M5108" s="1">
        <f>IF(L5108="","ไม่พบใน SG",IF(ABS(J5108-L5108)&lt;0.005,"ตรงกัน","ไม่ตรง"))</f>
        <v/>
      </c>
      <c r="N5108" s="14">
        <f>IF(L5108="","",ROUND(L5108*'สรุป'!$C$6,-1))</f>
        <v/>
      </c>
      <c r="O5108" s="15" t="n"/>
      <c r="P5108" s="15" t="n"/>
      <c r="Q5108" s="10" t="n"/>
      <c r="R5108" s="10" t="n"/>
      <c r="S5108" s="16" t="inlineStr">
        <is>
          <t>https://mstgolf.co.th/products/gf2000106763</t>
        </is>
      </c>
      <c r="T5108" s="1">
        <f>IF(B5108="ไม้กอล์ฟ",J5108,"")</f>
        <v/>
      </c>
    </row>
    <row r="5109">
      <c r="A5109" s="1" t="n">
        <v>3</v>
      </c>
      <c r="B5109" s="1" t="inlineStr">
        <is>
          <t>อุปกรณ์เสริม</t>
        </is>
      </c>
      <c r="C5109" s="1" t="inlineStr">
        <is>
          <t>gf3500201570</t>
        </is>
      </c>
      <c r="D5109" s="1" t="inlineStr">
        <is>
          <t>TAYLORMADE Icon Graphic Blade Putter Headcover</t>
        </is>
      </c>
      <c r="E5109" s="1" t="inlineStr">
        <is>
          <t>TAYLORMADE</t>
        </is>
      </c>
      <c r="F5109" s="1" t="inlineStr">
        <is>
          <t>HEADCOVERS</t>
        </is>
      </c>
      <c r="G5109" s="1" t="inlineStr">
        <is>
          <t>GF3500201570</t>
        </is>
      </c>
      <c r="H5109" s="1" t="n">
        <v>1</v>
      </c>
      <c r="I5109" s="1" t="inlineStr">
        <is>
          <t>หมด</t>
        </is>
      </c>
      <c r="J5109" s="13" t="n">
        <v>49</v>
      </c>
      <c r="K5109" s="1" t="inlineStr"/>
      <c r="L5109" s="13" t="n"/>
      <c r="M5109" s="1">
        <f>IF(L5109="","ไม่พบใน SG",IF(ABS(J5109-L5109)&lt;0.005,"ตรงกัน","ไม่ตรง"))</f>
        <v/>
      </c>
      <c r="N5109" s="14">
        <f>IF(L5109="","",ROUND(L5109*'สรุป'!$C$6,-1))</f>
        <v/>
      </c>
      <c r="O5109" s="15" t="n"/>
      <c r="P5109" s="15" t="n"/>
      <c r="Q5109" s="10" t="n"/>
      <c r="R5109" s="10" t="n"/>
      <c r="S5109" s="16" t="inlineStr">
        <is>
          <t>https://mstgolf.co.th/products/gf3500201570</t>
        </is>
      </c>
      <c r="T5109" s="1">
        <f>IF(B5109="ไม้กอล์ฟ",J5109,"")</f>
        <v/>
      </c>
    </row>
    <row r="5110">
      <c r="A5110" s="1" t="n">
        <v>3</v>
      </c>
      <c r="B5110" s="1" t="inlineStr">
        <is>
          <t>อุปกรณ์เสริม</t>
        </is>
      </c>
      <c r="C5110" s="1" t="inlineStr">
        <is>
          <t>gf3500201565</t>
        </is>
      </c>
      <c r="D5110" s="1" t="inlineStr">
        <is>
          <t>TAYLORMADE Icon Graphic Blade Putter Headcover (White)</t>
        </is>
      </c>
      <c r="E5110" s="1" t="inlineStr">
        <is>
          <t>TAYLORMADE</t>
        </is>
      </c>
      <c r="F5110" s="1" t="inlineStr">
        <is>
          <t>HEADCOVERS</t>
        </is>
      </c>
      <c r="G5110" s="1" t="inlineStr">
        <is>
          <t>GF3500201565</t>
        </is>
      </c>
      <c r="H5110" s="1" t="n">
        <v>1</v>
      </c>
      <c r="I5110" s="1" t="inlineStr">
        <is>
          <t>หมด</t>
        </is>
      </c>
      <c r="J5110" s="13" t="n">
        <v>49</v>
      </c>
      <c r="K5110" s="1" t="inlineStr"/>
      <c r="L5110" s="13" t="n"/>
      <c r="M5110" s="1">
        <f>IF(L5110="","ไม่พบใน SG",IF(ABS(J5110-L5110)&lt;0.005,"ตรงกัน","ไม่ตรง"))</f>
        <v/>
      </c>
      <c r="N5110" s="14">
        <f>IF(L5110="","",ROUND(L5110*'สรุป'!$C$6,-1))</f>
        <v/>
      </c>
      <c r="O5110" s="15" t="n"/>
      <c r="P5110" s="15" t="n"/>
      <c r="Q5110" s="10" t="n"/>
      <c r="R5110" s="10" t="n"/>
      <c r="S5110" s="16" t="inlineStr">
        <is>
          <t>https://mstgolf.co.th/products/gf3500201565</t>
        </is>
      </c>
      <c r="T5110" s="1">
        <f>IF(B5110="ไม้กอล์ฟ",J5110,"")</f>
        <v/>
      </c>
    </row>
    <row r="5111">
      <c r="A5111" s="1" t="n">
        <v>3</v>
      </c>
      <c r="B5111" s="1" t="inlineStr">
        <is>
          <t>อุปกรณ์เสริม</t>
        </is>
      </c>
      <c r="C5111" s="1" t="inlineStr">
        <is>
          <t>gf3500201567</t>
        </is>
      </c>
      <c r="D5111" s="1" t="inlineStr">
        <is>
          <t>TAYLORMADE Icon Graphic Driver Headcover</t>
        </is>
      </c>
      <c r="E5111" s="1" t="inlineStr">
        <is>
          <t>TAYLORMADE</t>
        </is>
      </c>
      <c r="F5111" s="1" t="inlineStr">
        <is>
          <t>HEADCOVERS</t>
        </is>
      </c>
      <c r="G5111" s="1" t="inlineStr">
        <is>
          <t>GF3500201567</t>
        </is>
      </c>
      <c r="H5111" s="1" t="n">
        <v>1</v>
      </c>
      <c r="I5111" s="1" t="inlineStr">
        <is>
          <t>หมด</t>
        </is>
      </c>
      <c r="J5111" s="13" t="n">
        <v>49</v>
      </c>
      <c r="K5111" s="1" t="inlineStr"/>
      <c r="L5111" s="13" t="n"/>
      <c r="M5111" s="1">
        <f>IF(L5111="","ไม่พบใน SG",IF(ABS(J5111-L5111)&lt;0.005,"ตรงกัน","ไม่ตรง"))</f>
        <v/>
      </c>
      <c r="N5111" s="14">
        <f>IF(L5111="","",ROUND(L5111*'สรุป'!$C$6,-1))</f>
        <v/>
      </c>
      <c r="O5111" s="15" t="n"/>
      <c r="P5111" s="15" t="n"/>
      <c r="Q5111" s="10" t="n"/>
      <c r="R5111" s="10" t="n"/>
      <c r="S5111" s="16" t="inlineStr">
        <is>
          <t>https://mstgolf.co.th/products/gf3500201567</t>
        </is>
      </c>
      <c r="T5111" s="1">
        <f>IF(B5111="ไม้กอล์ฟ",J5111,"")</f>
        <v/>
      </c>
    </row>
    <row r="5112">
      <c r="A5112" s="1" t="n">
        <v>3</v>
      </c>
      <c r="B5112" s="1" t="inlineStr">
        <is>
          <t>อุปกรณ์เสริม</t>
        </is>
      </c>
      <c r="C5112" s="1" t="inlineStr">
        <is>
          <t>gf3500201563</t>
        </is>
      </c>
      <c r="D5112" s="1" t="inlineStr">
        <is>
          <t>TAYLORMADE Icon Graphic Fairway Headcover</t>
        </is>
      </c>
      <c r="E5112" s="1" t="inlineStr">
        <is>
          <t>TAYLORMADE</t>
        </is>
      </c>
      <c r="F5112" s="1" t="inlineStr">
        <is>
          <t>HEADCOVERS</t>
        </is>
      </c>
      <c r="G5112" s="1" t="inlineStr">
        <is>
          <t>GF3500201563</t>
        </is>
      </c>
      <c r="H5112" s="1" t="n">
        <v>1</v>
      </c>
      <c r="I5112" s="1" t="inlineStr">
        <is>
          <t>หมด</t>
        </is>
      </c>
      <c r="J5112" s="13" t="n">
        <v>49</v>
      </c>
      <c r="K5112" s="1" t="inlineStr"/>
      <c r="L5112" s="13" t="n"/>
      <c r="M5112" s="1">
        <f>IF(L5112="","ไม่พบใน SG",IF(ABS(J5112-L5112)&lt;0.005,"ตรงกัน","ไม่ตรง"))</f>
        <v/>
      </c>
      <c r="N5112" s="14">
        <f>IF(L5112="","",ROUND(L5112*'สรุป'!$C$6,-1))</f>
        <v/>
      </c>
      <c r="O5112" s="15" t="n"/>
      <c r="P5112" s="15" t="n"/>
      <c r="Q5112" s="10" t="n"/>
      <c r="R5112" s="10" t="n"/>
      <c r="S5112" s="16" t="inlineStr">
        <is>
          <t>https://mstgolf.co.th/products/gf3500201563</t>
        </is>
      </c>
      <c r="T5112" s="1">
        <f>IF(B5112="ไม้กอล์ฟ",J5112,"")</f>
        <v/>
      </c>
    </row>
    <row r="5113">
      <c r="A5113" s="1" t="n">
        <v>3</v>
      </c>
      <c r="B5113" s="1" t="inlineStr">
        <is>
          <t>อุปกรณ์เสริม</t>
        </is>
      </c>
      <c r="C5113" s="1" t="inlineStr">
        <is>
          <t>gf3500201566</t>
        </is>
      </c>
      <c r="D5113" s="1" t="inlineStr">
        <is>
          <t>TAYLORMADE Icon Graphic Mallet Putter Headcover</t>
        </is>
      </c>
      <c r="E5113" s="1" t="inlineStr">
        <is>
          <t>TAYLORMADE</t>
        </is>
      </c>
      <c r="F5113" s="1" t="inlineStr">
        <is>
          <t>HEADCOVERS</t>
        </is>
      </c>
      <c r="G5113" s="1" t="inlineStr">
        <is>
          <t>GF3500201566</t>
        </is>
      </c>
      <c r="H5113" s="1" t="n">
        <v>1</v>
      </c>
      <c r="I5113" s="1" t="inlineStr">
        <is>
          <t>หมด</t>
        </is>
      </c>
      <c r="J5113" s="13" t="n">
        <v>49</v>
      </c>
      <c r="K5113" s="1" t="inlineStr"/>
      <c r="L5113" s="13" t="n"/>
      <c r="M5113" s="1">
        <f>IF(L5113="","ไม่พบใน SG",IF(ABS(J5113-L5113)&lt;0.005,"ตรงกัน","ไม่ตรง"))</f>
        <v/>
      </c>
      <c r="N5113" s="14">
        <f>IF(L5113="","",ROUND(L5113*'สรุป'!$C$6,-1))</f>
        <v/>
      </c>
      <c r="O5113" s="15" t="n"/>
      <c r="P5113" s="15" t="n"/>
      <c r="Q5113" s="10" t="n"/>
      <c r="R5113" s="10" t="n"/>
      <c r="S5113" s="16" t="inlineStr">
        <is>
          <t>https://mstgolf.co.th/products/gf3500201566</t>
        </is>
      </c>
      <c r="T5113" s="1">
        <f>IF(B5113="ไม้กอล์ฟ",J5113,"")</f>
        <v/>
      </c>
    </row>
    <row r="5114">
      <c r="A5114" s="1" t="n">
        <v>3</v>
      </c>
      <c r="B5114" s="1" t="inlineStr">
        <is>
          <t>อุปกรณ์เสริม</t>
        </is>
      </c>
      <c r="C5114" s="1" t="inlineStr">
        <is>
          <t>gf3500201569</t>
        </is>
      </c>
      <c r="D5114" s="1" t="inlineStr">
        <is>
          <t>TAYLORMADE Icon Graphic Utility Headcover</t>
        </is>
      </c>
      <c r="E5114" s="1" t="inlineStr">
        <is>
          <t>TAYLORMADE</t>
        </is>
      </c>
      <c r="F5114" s="1" t="inlineStr">
        <is>
          <t>HEADCOVERS</t>
        </is>
      </c>
      <c r="G5114" s="1" t="inlineStr">
        <is>
          <t>GF3500201569</t>
        </is>
      </c>
      <c r="H5114" s="1" t="n">
        <v>1</v>
      </c>
      <c r="I5114" s="1" t="inlineStr">
        <is>
          <t>หมด</t>
        </is>
      </c>
      <c r="J5114" s="13" t="n">
        <v>49</v>
      </c>
      <c r="K5114" s="1" t="inlineStr"/>
      <c r="L5114" s="13" t="n"/>
      <c r="M5114" s="1">
        <f>IF(L5114="","ไม่พบใน SG",IF(ABS(J5114-L5114)&lt;0.005,"ตรงกัน","ไม่ตรง"))</f>
        <v/>
      </c>
      <c r="N5114" s="14">
        <f>IF(L5114="","",ROUND(L5114*'สรุป'!$C$6,-1))</f>
        <v/>
      </c>
      <c r="O5114" s="15" t="n"/>
      <c r="P5114" s="15" t="n"/>
      <c r="Q5114" s="10" t="n"/>
      <c r="R5114" s="10" t="n"/>
      <c r="S5114" s="16" t="inlineStr">
        <is>
          <t>https://mstgolf.co.th/products/gf3500201569</t>
        </is>
      </c>
      <c r="T5114" s="1">
        <f>IF(B5114="ไม้กอล์ฟ",J5114,"")</f>
        <v/>
      </c>
    </row>
    <row r="5115">
      <c r="A5115" s="1" t="n">
        <v>3</v>
      </c>
      <c r="B5115" s="1" t="inlineStr">
        <is>
          <t>หมวก</t>
        </is>
      </c>
      <c r="C5115" s="1" t="inlineStr">
        <is>
          <t>gf2000106314</t>
        </is>
      </c>
      <c r="D5115" s="1" t="inlineStr">
        <is>
          <t>TAYLORMADE Radar Men's Cap (Black)</t>
        </is>
      </c>
      <c r="E5115" s="1" t="inlineStr">
        <is>
          <t>TAYLORMADE</t>
        </is>
      </c>
      <c r="F5115" s="1" t="inlineStr">
        <is>
          <t>CAP</t>
        </is>
      </c>
      <c r="G5115" s="1" t="inlineStr">
        <is>
          <t>GF2000106314FS</t>
        </is>
      </c>
      <c r="H5115" s="1" t="n">
        <v>1</v>
      </c>
      <c r="I5115" s="1" t="inlineStr">
        <is>
          <t>หมด</t>
        </is>
      </c>
      <c r="J5115" s="13" t="n">
        <v>49</v>
      </c>
      <c r="K5115" s="1" t="inlineStr"/>
      <c r="L5115" s="13" t="n">
        <v>49</v>
      </c>
      <c r="M5115" s="1">
        <f>IF(L5115="","ไม่พบใน SG",IF(ABS(J5115-L5115)&lt;0.005,"ตรงกัน","ไม่ตรง"))</f>
        <v/>
      </c>
      <c r="N5115" s="14">
        <f>IF(L5115="","",ROUND(L5115*'สรุป'!$C$6,-1))</f>
        <v/>
      </c>
      <c r="O5115" s="15" t="n"/>
      <c r="P5115" s="15" t="n"/>
      <c r="Q5115" s="10" t="n"/>
      <c r="R5115" s="10" t="n"/>
      <c r="S5115" s="16" t="inlineStr">
        <is>
          <t>https://mstgolf.co.th/products/gf2000106314</t>
        </is>
      </c>
      <c r="T5115" s="1">
        <f>IF(B5115="ไม้กอล์ฟ",J5115,"")</f>
        <v/>
      </c>
    </row>
    <row r="5116">
      <c r="A5116" s="1" t="n">
        <v>3</v>
      </c>
      <c r="B5116" s="1" t="inlineStr">
        <is>
          <t>อุปกรณ์เสริม</t>
        </is>
      </c>
      <c r="C5116" s="1" t="inlineStr">
        <is>
          <t>gf3500300779</t>
        </is>
      </c>
      <c r="D5116" s="1" t="inlineStr">
        <is>
          <t>TAYLORMADE TM Design Pouch &amp; Holder</t>
        </is>
      </c>
      <c r="E5116" s="1" t="inlineStr">
        <is>
          <t>TAYLORMADE</t>
        </is>
      </c>
      <c r="F5116" s="1" t="inlineStr">
        <is>
          <t>GOLF ACCESSORIES</t>
        </is>
      </c>
      <c r="G5116" s="1" t="inlineStr">
        <is>
          <t>GF3500300779</t>
        </is>
      </c>
      <c r="H5116" s="1" t="n">
        <v>1</v>
      </c>
      <c r="I5116" s="1" t="inlineStr">
        <is>
          <t>หมด</t>
        </is>
      </c>
      <c r="J5116" s="13" t="n">
        <v>49</v>
      </c>
      <c r="K5116" s="1" t="inlineStr"/>
      <c r="L5116" s="13" t="n">
        <v>49</v>
      </c>
      <c r="M5116" s="1">
        <f>IF(L5116="","ไม่พบใน SG",IF(ABS(J5116-L5116)&lt;0.005,"ตรงกัน","ไม่ตรง"))</f>
        <v/>
      </c>
      <c r="N5116" s="14">
        <f>IF(L5116="","",ROUND(L5116*'สรุป'!$C$6,-1))</f>
        <v/>
      </c>
      <c r="O5116" s="15" t="n"/>
      <c r="P5116" s="15" t="n"/>
      <c r="Q5116" s="10" t="n"/>
      <c r="R5116" s="10" t="n"/>
      <c r="S5116" s="16" t="inlineStr">
        <is>
          <t>https://mstgolf.co.th/products/gf3500300779</t>
        </is>
      </c>
      <c r="T5116" s="1">
        <f>IF(B5116="ไม้กอล์ฟ",J5116,"")</f>
        <v/>
      </c>
    </row>
    <row r="5117">
      <c r="A5117" s="1" t="n">
        <v>3</v>
      </c>
      <c r="B5117" s="1" t="inlineStr">
        <is>
          <t>หมวก</t>
        </is>
      </c>
      <c r="C5117" s="1" t="inlineStr">
        <is>
          <t>gf2000106267</t>
        </is>
      </c>
      <c r="D5117" s="1" t="inlineStr">
        <is>
          <t>UNDER ARMOUR Jordan Spieth Drive Rope Men's Snapback Cap (White/Navy)</t>
        </is>
      </c>
      <c r="E5117" s="1" t="inlineStr">
        <is>
          <t>UNDER ARMOUR</t>
        </is>
      </c>
      <c r="F5117" s="1" t="inlineStr">
        <is>
          <t>CAP</t>
        </is>
      </c>
      <c r="G5117" s="1" t="inlineStr">
        <is>
          <t>GF2000106267FS</t>
        </is>
      </c>
      <c r="H5117" s="1" t="n">
        <v>1</v>
      </c>
      <c r="I5117" s="1" t="inlineStr">
        <is>
          <t>หมด</t>
        </is>
      </c>
      <c r="J5117" s="13" t="n">
        <v>49</v>
      </c>
      <c r="K5117" s="1" t="inlineStr"/>
      <c r="L5117" s="13" t="n">
        <v>49</v>
      </c>
      <c r="M5117" s="1">
        <f>IF(L5117="","ไม่พบใน SG",IF(ABS(J5117-L5117)&lt;0.005,"ตรงกัน","ไม่ตรง"))</f>
        <v/>
      </c>
      <c r="N5117" s="14">
        <f>IF(L5117="","",ROUND(L5117*'สรุป'!$C$6,-1))</f>
        <v/>
      </c>
      <c r="O5117" s="15" t="n"/>
      <c r="P5117" s="15" t="n"/>
      <c r="Q5117" s="10" t="n"/>
      <c r="R5117" s="10" t="n"/>
      <c r="S5117" s="16" t="inlineStr">
        <is>
          <t>https://mstgolf.co.th/products/gf2000106267</t>
        </is>
      </c>
      <c r="T5117" s="1">
        <f>IF(B5117="ไม้กอล์ฟ",J5117,"")</f>
        <v/>
      </c>
    </row>
    <row r="5118">
      <c r="A5118" s="1" t="n">
        <v>3</v>
      </c>
      <c r="B5118" s="1" t="inlineStr">
        <is>
          <t>หมวก</t>
        </is>
      </c>
      <c r="C5118" s="1" t="inlineStr">
        <is>
          <t>gf2000105793</t>
        </is>
      </c>
      <c r="D5118" s="1" t="inlineStr">
        <is>
          <t>UNDER ARMOUR Jordan Tour Men's Cap (Grey/Navy)</t>
        </is>
      </c>
      <c r="E5118" s="1" t="inlineStr">
        <is>
          <t>UNDER ARMOUR</t>
        </is>
      </c>
      <c r="F5118" s="1" t="inlineStr">
        <is>
          <t>CAP</t>
        </is>
      </c>
      <c r="G5118" s="1" t="inlineStr">
        <is>
          <t>GF2000105793FS</t>
        </is>
      </c>
      <c r="H5118" s="1" t="n">
        <v>1</v>
      </c>
      <c r="I5118" s="1" t="inlineStr">
        <is>
          <t>หมด</t>
        </is>
      </c>
      <c r="J5118" s="13" t="n">
        <v>49</v>
      </c>
      <c r="K5118" s="1" t="inlineStr"/>
      <c r="L5118" s="13" t="n">
        <v>49</v>
      </c>
      <c r="M5118" s="1">
        <f>IF(L5118="","ไม่พบใน SG",IF(ABS(J5118-L5118)&lt;0.005,"ตรงกัน","ไม่ตรง"))</f>
        <v/>
      </c>
      <c r="N5118" s="14">
        <f>IF(L5118="","",ROUND(L5118*'สรุป'!$C$6,-1))</f>
        <v/>
      </c>
      <c r="O5118" s="15" t="n"/>
      <c r="P5118" s="15" t="n"/>
      <c r="Q5118" s="10" t="n"/>
      <c r="R5118" s="10" t="n"/>
      <c r="S5118" s="16" t="inlineStr">
        <is>
          <t>https://mstgolf.co.th/products/gf2000105793</t>
        </is>
      </c>
      <c r="T5118" s="1">
        <f>IF(B5118="ไม้กอล์ฟ",J5118,"")</f>
        <v/>
      </c>
    </row>
    <row r="5119">
      <c r="A5119" s="1" t="n">
        <v>3</v>
      </c>
      <c r="B5119" s="1" t="inlineStr">
        <is>
          <t>หมวก</t>
        </is>
      </c>
      <c r="C5119" s="1" t="inlineStr">
        <is>
          <t>gf2000105794</t>
        </is>
      </c>
      <c r="D5119" s="1" t="inlineStr">
        <is>
          <t>UNDER ARMOUR Jordan Tour Men's Cap (Sky Blue/Orange/White)</t>
        </is>
      </c>
      <c r="E5119" s="1" t="inlineStr">
        <is>
          <t>UNDER ARMOUR</t>
        </is>
      </c>
      <c r="F5119" s="1" t="inlineStr">
        <is>
          <t>CAP</t>
        </is>
      </c>
      <c r="G5119" s="1" t="inlineStr">
        <is>
          <t>GF2000105794FS</t>
        </is>
      </c>
      <c r="H5119" s="1" t="n">
        <v>1</v>
      </c>
      <c r="I5119" s="1" t="inlineStr">
        <is>
          <t>หมด</t>
        </is>
      </c>
      <c r="J5119" s="13" t="n">
        <v>49</v>
      </c>
      <c r="K5119" s="1" t="inlineStr"/>
      <c r="L5119" s="13" t="n">
        <v>49</v>
      </c>
      <c r="M5119" s="1">
        <f>IF(L5119="","ไม่พบใน SG",IF(ABS(J5119-L5119)&lt;0.005,"ตรงกัน","ไม่ตรง"))</f>
        <v/>
      </c>
      <c r="N5119" s="14">
        <f>IF(L5119="","",ROUND(L5119*'สรุป'!$C$6,-1))</f>
        <v/>
      </c>
      <c r="O5119" s="15" t="n"/>
      <c r="P5119" s="15" t="n"/>
      <c r="Q5119" s="10" t="n"/>
      <c r="R5119" s="10" t="n"/>
      <c r="S5119" s="16" t="inlineStr">
        <is>
          <t>https://mstgolf.co.th/products/gf2000105794</t>
        </is>
      </c>
      <c r="T5119" s="1">
        <f>IF(B5119="ไม้กอล์ฟ",J5119,"")</f>
        <v/>
      </c>
    </row>
    <row r="5120">
      <c r="A5120" s="1" t="n">
        <v>3</v>
      </c>
      <c r="B5120" s="1" t="inlineStr">
        <is>
          <t>หมวก</t>
        </is>
      </c>
      <c r="C5120" s="1" t="inlineStr">
        <is>
          <t>gf2000300409</t>
        </is>
      </c>
      <c r="D5120" s="1" t="inlineStr">
        <is>
          <t>UNDER ARMOUR Unisex Drive Bucket Hat (Green)</t>
        </is>
      </c>
      <c r="E5120" s="1" t="inlineStr">
        <is>
          <t>UNDER ARMOUR</t>
        </is>
      </c>
      <c r="F5120" s="1" t="inlineStr">
        <is>
          <t>HAT</t>
        </is>
      </c>
      <c r="G5120" s="1" t="inlineStr">
        <is>
          <t>GF2000300409S/M</t>
        </is>
      </c>
      <c r="H5120" s="1" t="n">
        <v>3</v>
      </c>
      <c r="I5120" s="1" t="inlineStr">
        <is>
          <t>หมด</t>
        </is>
      </c>
      <c r="J5120" s="13" t="n">
        <v>49</v>
      </c>
      <c r="K5120" s="1" t="inlineStr"/>
      <c r="L5120" s="13" t="n"/>
      <c r="M5120" s="1">
        <f>IF(L5120="","ไม่พบใน SG",IF(ABS(J5120-L5120)&lt;0.005,"ตรงกัน","ไม่ตรง"))</f>
        <v/>
      </c>
      <c r="N5120" s="14">
        <f>IF(L5120="","",ROUND(L5120*'สรุป'!$C$6,-1))</f>
        <v/>
      </c>
      <c r="O5120" s="15" t="n"/>
      <c r="P5120" s="15" t="n"/>
      <c r="Q5120" s="10" t="n"/>
      <c r="R5120" s="10" t="n"/>
      <c r="S5120" s="16" t="inlineStr">
        <is>
          <t>https://mstgolf.co.th/products/gf2000300409</t>
        </is>
      </c>
      <c r="T5120" s="1">
        <f>IF(B5120="ไม้กอล์ฟ",J5120,"")</f>
        <v/>
      </c>
    </row>
    <row r="5121">
      <c r="A5121" s="1" t="n">
        <v>3</v>
      </c>
      <c r="B5121" s="1" t="inlineStr">
        <is>
          <t>หมวก</t>
        </is>
      </c>
      <c r="C5121" s="1" t="inlineStr">
        <is>
          <t>gf2000106280</t>
        </is>
      </c>
      <c r="D5121" s="1" t="inlineStr">
        <is>
          <t>TITLEIST Players StaDry Men's Cap (White/Grey)</t>
        </is>
      </c>
      <c r="E5121" s="1" t="inlineStr">
        <is>
          <t>TITLEIST</t>
        </is>
      </c>
      <c r="F5121" s="1" t="inlineStr">
        <is>
          <t>CAP</t>
        </is>
      </c>
      <c r="G5121" s="1" t="inlineStr">
        <is>
          <t>GF2000106280FS</t>
        </is>
      </c>
      <c r="H5121" s="1" t="n">
        <v>1</v>
      </c>
      <c r="I5121" s="1" t="inlineStr">
        <is>
          <t>หมด</t>
        </is>
      </c>
      <c r="J5121" s="13" t="n">
        <v>48</v>
      </c>
      <c r="K5121" s="1" t="inlineStr"/>
      <c r="L5121" s="13" t="n">
        <v>48</v>
      </c>
      <c r="M5121" s="1">
        <f>IF(L5121="","ไม่พบใน SG",IF(ABS(J5121-L5121)&lt;0.005,"ตรงกัน","ไม่ตรง"))</f>
        <v/>
      </c>
      <c r="N5121" s="14">
        <f>IF(L5121="","",ROUND(L5121*'สรุป'!$C$6,-1))</f>
        <v/>
      </c>
      <c r="O5121" s="15" t="n"/>
      <c r="P5121" s="15" t="n"/>
      <c r="Q5121" s="10" t="n"/>
      <c r="R5121" s="10" t="n"/>
      <c r="S5121" s="16" t="inlineStr">
        <is>
          <t>https://mstgolf.co.th/products/gf2000106280</t>
        </is>
      </c>
      <c r="T5121" s="1">
        <f>IF(B5121="ไม้กอล์ฟ",J5121,"")</f>
        <v/>
      </c>
    </row>
    <row r="5122">
      <c r="A5122" s="1" t="n">
        <v>3</v>
      </c>
      <c r="B5122" s="1" t="inlineStr">
        <is>
          <t>หมวก</t>
        </is>
      </c>
      <c r="C5122" s="1" t="inlineStr">
        <is>
          <t>gf2000300174</t>
        </is>
      </c>
      <c r="D5122" s="1" t="inlineStr">
        <is>
          <t>TITLEIST Tour Aussie Men's Hat (White/Black)</t>
        </is>
      </c>
      <c r="E5122" s="1" t="inlineStr">
        <is>
          <t>TITLEIST</t>
        </is>
      </c>
      <c r="F5122" s="1" t="inlineStr">
        <is>
          <t>HAT</t>
        </is>
      </c>
      <c r="G5122" s="1" t="inlineStr">
        <is>
          <t>GF2000300174</t>
        </is>
      </c>
      <c r="H5122" s="1" t="n">
        <v>1</v>
      </c>
      <c r="I5122" s="1" t="inlineStr">
        <is>
          <t>หมด</t>
        </is>
      </c>
      <c r="J5122" s="13" t="n">
        <v>48</v>
      </c>
      <c r="K5122" s="1" t="inlineStr"/>
      <c r="L5122" s="13" t="n"/>
      <c r="M5122" s="1">
        <f>IF(L5122="","ไม่พบใน SG",IF(ABS(J5122-L5122)&lt;0.005,"ตรงกัน","ไม่ตรง"))</f>
        <v/>
      </c>
      <c r="N5122" s="14">
        <f>IF(L5122="","",ROUND(L5122*'สรุป'!$C$6,-1))</f>
        <v/>
      </c>
      <c r="O5122" s="15" t="n"/>
      <c r="P5122" s="15" t="n"/>
      <c r="Q5122" s="10" t="n"/>
      <c r="R5122" s="10" t="n"/>
      <c r="S5122" s="16" t="inlineStr">
        <is>
          <t>https://mstgolf.co.th/products/gf2000300174</t>
        </is>
      </c>
      <c r="T5122" s="1">
        <f>IF(B5122="ไม้กอล์ฟ",J5122,"")</f>
        <v/>
      </c>
    </row>
    <row r="5123">
      <c r="A5123" s="1" t="n">
        <v>3</v>
      </c>
      <c r="B5123" s="1" t="inlineStr">
        <is>
          <t>หมวก</t>
        </is>
      </c>
      <c r="C5123" s="1" t="inlineStr">
        <is>
          <t>gf2000106288</t>
        </is>
      </c>
      <c r="D5123" s="1" t="inlineStr">
        <is>
          <t>TITLEIST Tour Performance Mesh Men's Cap (White/Black)</t>
        </is>
      </c>
      <c r="E5123" s="1" t="inlineStr">
        <is>
          <t>TITLEIST</t>
        </is>
      </c>
      <c r="F5123" s="1" t="inlineStr">
        <is>
          <t>CAP</t>
        </is>
      </c>
      <c r="G5123" s="1" t="inlineStr">
        <is>
          <t>GF2000106288FS</t>
        </is>
      </c>
      <c r="H5123" s="1" t="n">
        <v>1</v>
      </c>
      <c r="I5123" s="1" t="inlineStr">
        <is>
          <t>หมด</t>
        </is>
      </c>
      <c r="J5123" s="13" t="n">
        <v>48</v>
      </c>
      <c r="K5123" s="1" t="inlineStr"/>
      <c r="L5123" s="13" t="n">
        <v>48</v>
      </c>
      <c r="M5123" s="1">
        <f>IF(L5123="","ไม่พบใน SG",IF(ABS(J5123-L5123)&lt;0.005,"ตรงกัน","ไม่ตรง"))</f>
        <v/>
      </c>
      <c r="N5123" s="14">
        <f>IF(L5123="","",ROUND(L5123*'สรุป'!$C$6,-1))</f>
        <v/>
      </c>
      <c r="O5123" s="15" t="n"/>
      <c r="P5123" s="15" t="n"/>
      <c r="Q5123" s="10" t="n"/>
      <c r="R5123" s="10" t="n"/>
      <c r="S5123" s="16" t="inlineStr">
        <is>
          <t>https://mstgolf.co.th/products/gf2000106288</t>
        </is>
      </c>
      <c r="T5123" s="1">
        <f>IF(B5123="ไม้กอล์ฟ",J5123,"")</f>
        <v/>
      </c>
    </row>
    <row r="5124">
      <c r="A5124" s="1" t="n">
        <v>3</v>
      </c>
      <c r="B5124" s="1" t="inlineStr">
        <is>
          <t>เสื้อผ้า</t>
        </is>
      </c>
      <c r="C5124" s="1" t="inlineStr">
        <is>
          <t>gf2040118580</t>
        </is>
      </c>
      <c r="D5124" s="1" t="inlineStr">
        <is>
          <t>ADIDAS Ultimate365 Men's Textured Polo</t>
        </is>
      </c>
      <c r="E5124" s="1" t="inlineStr">
        <is>
          <t>ADIDAS</t>
        </is>
      </c>
      <c r="F5124" s="1" t="inlineStr">
        <is>
          <t>SHORT SLEEVES</t>
        </is>
      </c>
      <c r="G5124" s="1" t="inlineStr">
        <is>
          <t>GF2040118580XS</t>
        </is>
      </c>
      <c r="H5124" s="1" t="n">
        <v>7</v>
      </c>
      <c r="I5124" s="1" t="inlineStr">
        <is>
          <t>หมด</t>
        </is>
      </c>
      <c r="J5124" s="13" t="n">
        <v>47</v>
      </c>
      <c r="K5124" s="1" t="inlineStr"/>
      <c r="L5124" s="13" t="n"/>
      <c r="M5124" s="1">
        <f>IF(L5124="","ไม่พบใน SG",IF(ABS(J5124-L5124)&lt;0.005,"ตรงกัน","ไม่ตรง"))</f>
        <v/>
      </c>
      <c r="N5124" s="14">
        <f>IF(L5124="","",ROUND(L5124*'สรุป'!$C$6,-1))</f>
        <v/>
      </c>
      <c r="O5124" s="15" t="n"/>
      <c r="P5124" s="15" t="n"/>
      <c r="Q5124" s="10" t="n"/>
      <c r="R5124" s="10" t="n"/>
      <c r="S5124" s="16" t="inlineStr">
        <is>
          <t>https://mstgolf.co.th/products/gf2040118580</t>
        </is>
      </c>
      <c r="T5124" s="1">
        <f>IF(B5124="ไม้กอล์ฟ",J5124,"")</f>
        <v/>
      </c>
    </row>
    <row r="5125">
      <c r="A5125" s="1" t="n">
        <v>3</v>
      </c>
      <c r="B5125" s="1" t="inlineStr">
        <is>
          <t>เสื้อผ้า</t>
        </is>
      </c>
      <c r="C5125" s="1" t="inlineStr">
        <is>
          <t>gf2060101061</t>
        </is>
      </c>
      <c r="D5125" s="1" t="inlineStr">
        <is>
          <t>CUTTER &amp; BUCK Adapt Eco Knit Hybrid Women's Jacket (Bordeaux)</t>
        </is>
      </c>
      <c r="E5125" s="1" t="inlineStr">
        <is>
          <t>CUTTER &amp; BUCK</t>
        </is>
      </c>
      <c r="F5125" s="1" t="inlineStr">
        <is>
          <t>TOP</t>
        </is>
      </c>
      <c r="G5125" s="1" t="inlineStr">
        <is>
          <t>GF2060101061XS</t>
        </is>
      </c>
      <c r="H5125" s="1" t="n">
        <v>7</v>
      </c>
      <c r="I5125" s="1" t="inlineStr">
        <is>
          <t>หมด</t>
        </is>
      </c>
      <c r="J5125" s="13" t="n">
        <v>47</v>
      </c>
      <c r="K5125" s="1" t="inlineStr"/>
      <c r="L5125" s="13" t="n"/>
      <c r="M5125" s="1">
        <f>IF(L5125="","ไม่พบใน SG",IF(ABS(J5125-L5125)&lt;0.005,"ตรงกัน","ไม่ตรง"))</f>
        <v/>
      </c>
      <c r="N5125" s="14">
        <f>IF(L5125="","",ROUND(L5125*'สรุป'!$C$6,-1))</f>
        <v/>
      </c>
      <c r="O5125" s="15" t="n"/>
      <c r="P5125" s="15" t="n"/>
      <c r="Q5125" s="10" t="n"/>
      <c r="R5125" s="10" t="n"/>
      <c r="S5125" s="16" t="inlineStr">
        <is>
          <t>https://mstgolf.co.th/products/gf2060101061</t>
        </is>
      </c>
      <c r="T5125" s="1">
        <f>IF(B5125="ไม้กอล์ฟ",J5125,"")</f>
        <v/>
      </c>
    </row>
    <row r="5126">
      <c r="A5126" s="1" t="n">
        <v>3</v>
      </c>
      <c r="B5126" s="1" t="inlineStr">
        <is>
          <t>เสื้อผ้า</t>
        </is>
      </c>
      <c r="C5126" s="1" t="inlineStr">
        <is>
          <t>gf2060100946</t>
        </is>
      </c>
      <c r="D5126" s="1" t="inlineStr">
        <is>
          <t>CUTTER &amp; BUCK Adapt Eco Knit Menæs Jacket (Navy Blue)</t>
        </is>
      </c>
      <c r="E5126" s="1" t="inlineStr">
        <is>
          <t>CUTTER &amp; BUCK</t>
        </is>
      </c>
      <c r="F5126" s="1" t="inlineStr">
        <is>
          <t>TOP</t>
        </is>
      </c>
      <c r="G5126" s="1" t="inlineStr">
        <is>
          <t>GF2060100946XS</t>
        </is>
      </c>
      <c r="H5126" s="1" t="n">
        <v>7</v>
      </c>
      <c r="I5126" s="1" t="inlineStr">
        <is>
          <t>หมด</t>
        </is>
      </c>
      <c r="J5126" s="13" t="n">
        <v>47</v>
      </c>
      <c r="K5126" s="1" t="inlineStr"/>
      <c r="L5126" s="13" t="n"/>
      <c r="M5126" s="1">
        <f>IF(L5126="","ไม่พบใน SG",IF(ABS(J5126-L5126)&lt;0.005,"ตรงกัน","ไม่ตรง"))</f>
        <v/>
      </c>
      <c r="N5126" s="14">
        <f>IF(L5126="","",ROUND(L5126*'สรุป'!$C$6,-1))</f>
        <v/>
      </c>
      <c r="O5126" s="15" t="n"/>
      <c r="P5126" s="15" t="n"/>
      <c r="Q5126" s="10" t="n"/>
      <c r="R5126" s="10" t="n"/>
      <c r="S5126" s="16" t="inlineStr">
        <is>
          <t>https://mstgolf.co.th/products/gf2060100946</t>
        </is>
      </c>
      <c r="T5126" s="1">
        <f>IF(B5126="ไม้กอล์ฟ",J5126,"")</f>
        <v/>
      </c>
    </row>
    <row r="5127">
      <c r="A5127" s="1" t="n">
        <v>3</v>
      </c>
      <c r="B5127" s="1" t="inlineStr">
        <is>
          <t>เสื้อผ้า</t>
        </is>
      </c>
      <c r="C5127" s="1" t="inlineStr">
        <is>
          <t>gf2040116475</t>
        </is>
      </c>
      <c r="D5127" s="1" t="inlineStr">
        <is>
          <t>UNDER ARMOUR Tee-2-Green Men's Polo (Blizzard)</t>
        </is>
      </c>
      <c r="E5127" s="1" t="inlineStr">
        <is>
          <t>UNDER ARMOUR</t>
        </is>
      </c>
      <c r="F5127" s="1" t="inlineStr">
        <is>
          <t>SHORT SLEEVES</t>
        </is>
      </c>
      <c r="G5127" s="1" t="inlineStr">
        <is>
          <t>GF2040116475XS</t>
        </is>
      </c>
      <c r="H5127" s="1" t="n">
        <v>6</v>
      </c>
      <c r="I5127" s="1" t="inlineStr">
        <is>
          <t>หมด</t>
        </is>
      </c>
      <c r="J5127" s="13" t="n">
        <v>47</v>
      </c>
      <c r="K5127" s="1" t="inlineStr"/>
      <c r="L5127" s="13" t="n"/>
      <c r="M5127" s="1">
        <f>IF(L5127="","ไม่พบใน SG",IF(ABS(J5127-L5127)&lt;0.005,"ตรงกัน","ไม่ตรง"))</f>
        <v/>
      </c>
      <c r="N5127" s="14">
        <f>IF(L5127="","",ROUND(L5127*'สรุป'!$C$6,-1))</f>
        <v/>
      </c>
      <c r="O5127" s="15" t="n"/>
      <c r="P5127" s="15" t="n"/>
      <c r="Q5127" s="10" t="n"/>
      <c r="R5127" s="10" t="n"/>
      <c r="S5127" s="16" t="inlineStr">
        <is>
          <t>https://mstgolf.co.th/products/gf2040116475</t>
        </is>
      </c>
      <c r="T5127" s="1">
        <f>IF(B5127="ไม้กอล์ฟ",J5127,"")</f>
        <v/>
      </c>
    </row>
    <row r="5128">
      <c r="A5128" s="1" t="n">
        <v>3</v>
      </c>
      <c r="B5128" s="1" t="inlineStr">
        <is>
          <t>เสื้อผ้า</t>
        </is>
      </c>
      <c r="C5128" s="1" t="inlineStr">
        <is>
          <t>gf2040112557</t>
        </is>
      </c>
      <c r="D5128" s="1" t="inlineStr">
        <is>
          <t>UNDER ARMOUR Tee-2-Green Men's Polo (Steel)</t>
        </is>
      </c>
      <c r="E5128" s="1" t="inlineStr">
        <is>
          <t>UNDER ARMOUR</t>
        </is>
      </c>
      <c r="F5128" s="1" t="inlineStr">
        <is>
          <t>SHORT SLEEVES</t>
        </is>
      </c>
      <c r="G5128" s="1" t="inlineStr">
        <is>
          <t>GF2040112557XS</t>
        </is>
      </c>
      <c r="H5128" s="1" t="n">
        <v>6</v>
      </c>
      <c r="I5128" s="1" t="inlineStr">
        <is>
          <t>หมด</t>
        </is>
      </c>
      <c r="J5128" s="13" t="n">
        <v>47</v>
      </c>
      <c r="K5128" s="1" t="inlineStr"/>
      <c r="L5128" s="13" t="n"/>
      <c r="M5128" s="1">
        <f>IF(L5128="","ไม่พบใน SG",IF(ABS(J5128-L5128)&lt;0.005,"ตรงกัน","ไม่ตรง"))</f>
        <v/>
      </c>
      <c r="N5128" s="14">
        <f>IF(L5128="","",ROUND(L5128*'สรุป'!$C$6,-1))</f>
        <v/>
      </c>
      <c r="O5128" s="15" t="n"/>
      <c r="P5128" s="15" t="n"/>
      <c r="Q5128" s="10" t="n"/>
      <c r="R5128" s="10" t="n"/>
      <c r="S5128" s="16" t="inlineStr">
        <is>
          <t>https://mstgolf.co.th/products/gf2040112557</t>
        </is>
      </c>
      <c r="T5128" s="1">
        <f>IF(B5128="ไม้กอล์ฟ",J5128,"")</f>
        <v/>
      </c>
    </row>
    <row r="5129">
      <c r="A5129" s="1" t="n">
        <v>3</v>
      </c>
      <c r="B5129" s="1" t="inlineStr">
        <is>
          <t>เสื้อผ้า</t>
        </is>
      </c>
      <c r="C5129" s="1" t="inlineStr">
        <is>
          <t>gf2040116477</t>
        </is>
      </c>
      <c r="D5129" s="1" t="inlineStr">
        <is>
          <t>UNDER ARMOUR Tee-2-Green Men's Polo (Venom Red)</t>
        </is>
      </c>
      <c r="E5129" s="1" t="inlineStr">
        <is>
          <t>UNDER ARMOUR</t>
        </is>
      </c>
      <c r="F5129" s="1" t="inlineStr">
        <is>
          <t>SHORT SLEEVES</t>
        </is>
      </c>
      <c r="G5129" s="1" t="inlineStr">
        <is>
          <t>GF2040116477XS</t>
        </is>
      </c>
      <c r="H5129" s="1" t="n">
        <v>6</v>
      </c>
      <c r="I5129" s="1" t="inlineStr">
        <is>
          <t>หมด</t>
        </is>
      </c>
      <c r="J5129" s="13" t="n">
        <v>47</v>
      </c>
      <c r="K5129" s="1" t="inlineStr"/>
      <c r="L5129" s="13" t="n"/>
      <c r="M5129" s="1">
        <f>IF(L5129="","ไม่พบใน SG",IF(ABS(J5129-L5129)&lt;0.005,"ตรงกัน","ไม่ตรง"))</f>
        <v/>
      </c>
      <c r="N5129" s="14">
        <f>IF(L5129="","",ROUND(L5129*'สรุป'!$C$6,-1))</f>
        <v/>
      </c>
      <c r="O5129" s="15" t="n"/>
      <c r="P5129" s="15" t="n"/>
      <c r="Q5129" s="10" t="n"/>
      <c r="R5129" s="10" t="n"/>
      <c r="S5129" s="16" t="inlineStr">
        <is>
          <t>https://mstgolf.co.th/products/gf2040116477</t>
        </is>
      </c>
      <c r="T5129" s="1">
        <f>IF(B5129="ไม้กอล์ฟ",J5129,"")</f>
        <v/>
      </c>
    </row>
    <row r="5130">
      <c r="A5130" s="1" t="n">
        <v>3</v>
      </c>
      <c r="B5130" s="1" t="inlineStr">
        <is>
          <t>เสื้อผ้า</t>
        </is>
      </c>
      <c r="C5130" s="1" t="inlineStr">
        <is>
          <t>gf2040401091</t>
        </is>
      </c>
      <c r="D5130" s="1" t="inlineStr">
        <is>
          <t>ADIDAS AEROREADY Play Green Women's Long Mock Shirt (Clay)</t>
        </is>
      </c>
      <c r="E5130" s="1" t="inlineStr">
        <is>
          <t>ADIDAS</t>
        </is>
      </c>
      <c r="F5130" s="1" t="inlineStr">
        <is>
          <t>LONG SLEEVES</t>
        </is>
      </c>
      <c r="G5130" s="1" t="inlineStr">
        <is>
          <t>GF20404010912XS</t>
        </is>
      </c>
      <c r="H5130" s="1" t="n">
        <v>7</v>
      </c>
      <c r="I5130" s="1" t="inlineStr">
        <is>
          <t>หมด</t>
        </is>
      </c>
      <c r="J5130" s="13" t="n">
        <v>45</v>
      </c>
      <c r="K5130" s="1" t="inlineStr"/>
      <c r="L5130" s="13" t="n">
        <v>45</v>
      </c>
      <c r="M5130" s="1">
        <f>IF(L5130="","ไม่พบใน SG",IF(ABS(J5130-L5130)&lt;0.005,"ตรงกัน","ไม่ตรง"))</f>
        <v/>
      </c>
      <c r="N5130" s="14">
        <f>IF(L5130="","",ROUND(L5130*'สรุป'!$C$6,-1))</f>
        <v/>
      </c>
      <c r="O5130" s="15" t="n"/>
      <c r="P5130" s="15" t="n"/>
      <c r="Q5130" s="10" t="n"/>
      <c r="R5130" s="10" t="n"/>
      <c r="S5130" s="16" t="inlineStr">
        <is>
          <t>https://mstgolf.co.th/products/gf2040401091</t>
        </is>
      </c>
      <c r="T5130" s="1">
        <f>IF(B5130="ไม้กอล์ฟ",J5130,"")</f>
        <v/>
      </c>
    </row>
    <row r="5131">
      <c r="A5131" s="1" t="n">
        <v>3</v>
      </c>
      <c r="B5131" s="1" t="inlineStr">
        <is>
          <t>เสื้อผ้า</t>
        </is>
      </c>
      <c r="C5131" s="1" t="inlineStr">
        <is>
          <t>gf2040116569</t>
        </is>
      </c>
      <c r="D5131" s="1" t="inlineStr">
        <is>
          <t>ADIDAS HEAT.RDY 3-STRP POLO</t>
        </is>
      </c>
      <c r="E5131" s="1" t="inlineStr">
        <is>
          <t>ADIDAS</t>
        </is>
      </c>
      <c r="F5131" s="1" t="inlineStr">
        <is>
          <t>SHORT SLEEVES</t>
        </is>
      </c>
      <c r="G5131" s="1" t="inlineStr">
        <is>
          <t>GF2040116569XS</t>
        </is>
      </c>
      <c r="H5131" s="1" t="n">
        <v>7</v>
      </c>
      <c r="I5131" s="1" t="inlineStr">
        <is>
          <t>หมด</t>
        </is>
      </c>
      <c r="J5131" s="13" t="n">
        <v>45</v>
      </c>
      <c r="K5131" s="1" t="inlineStr"/>
      <c r="L5131" s="13" t="n">
        <v>45</v>
      </c>
      <c r="M5131" s="1">
        <f>IF(L5131="","ไม่พบใน SG",IF(ABS(J5131-L5131)&lt;0.005,"ตรงกัน","ไม่ตรง"))</f>
        <v/>
      </c>
      <c r="N5131" s="14">
        <f>IF(L5131="","",ROUND(L5131*'สรุป'!$C$6,-1))</f>
        <v/>
      </c>
      <c r="O5131" s="15" t="n"/>
      <c r="P5131" s="15" t="n"/>
      <c r="Q5131" s="10" t="n"/>
      <c r="R5131" s="10" t="n"/>
      <c r="S5131" s="16" t="inlineStr">
        <is>
          <t>https://mstgolf.co.th/products/gf2040116569</t>
        </is>
      </c>
      <c r="T5131" s="1">
        <f>IF(B5131="ไม้กอล์ฟ",J5131,"")</f>
        <v/>
      </c>
    </row>
    <row r="5132">
      <c r="A5132" s="1" t="n">
        <v>3</v>
      </c>
      <c r="B5132" s="1" t="inlineStr">
        <is>
          <t>หมวก</t>
        </is>
      </c>
      <c r="C5132" s="1" t="inlineStr">
        <is>
          <t>gf2000106177</t>
        </is>
      </c>
      <c r="D5132" s="1" t="inlineStr">
        <is>
          <t>ADIDAS Ribbon Women's Cap (Alumina)</t>
        </is>
      </c>
      <c r="E5132" s="1" t="inlineStr">
        <is>
          <t>ADIDAS</t>
        </is>
      </c>
      <c r="F5132" s="1" t="inlineStr">
        <is>
          <t>CAP</t>
        </is>
      </c>
      <c r="G5132" s="1" t="inlineStr">
        <is>
          <t>GF2000106177FS</t>
        </is>
      </c>
      <c r="H5132" s="1" t="n">
        <v>1</v>
      </c>
      <c r="I5132" s="1" t="inlineStr">
        <is>
          <t>หมด</t>
        </is>
      </c>
      <c r="J5132" s="13" t="n">
        <v>45</v>
      </c>
      <c r="K5132" s="1" t="inlineStr"/>
      <c r="L5132" s="13" t="n">
        <v>21</v>
      </c>
      <c r="M5132" s="1">
        <f>IF(L5132="","ไม่พบใน SG",IF(ABS(J5132-L5132)&lt;0.005,"ตรงกัน","ไม่ตรง"))</f>
        <v/>
      </c>
      <c r="N5132" s="14">
        <f>IF(L5132="","",ROUND(L5132*'สรุป'!$C$6,-1))</f>
        <v/>
      </c>
      <c r="O5132" s="15" t="n"/>
      <c r="P5132" s="15" t="n"/>
      <c r="Q5132" s="10" t="n"/>
      <c r="R5132" s="10" t="n"/>
      <c r="S5132" s="16" t="inlineStr">
        <is>
          <t>https://mstgolf.co.th/products/gf2000106177</t>
        </is>
      </c>
      <c r="T5132" s="1">
        <f>IF(B5132="ไม้กอล์ฟ",J5132,"")</f>
        <v/>
      </c>
    </row>
    <row r="5133">
      <c r="A5133" s="1" t="n">
        <v>3</v>
      </c>
      <c r="B5133" s="1" t="inlineStr">
        <is>
          <t>หมวก</t>
        </is>
      </c>
      <c r="C5133" s="1" t="inlineStr">
        <is>
          <t>gf2000106176</t>
        </is>
      </c>
      <c r="D5133" s="1" t="inlineStr">
        <is>
          <t>ADIDAS Ribbon Women's Cap (Black)</t>
        </is>
      </c>
      <c r="E5133" s="1" t="inlineStr">
        <is>
          <t>ADIDAS</t>
        </is>
      </c>
      <c r="F5133" s="1" t="inlineStr">
        <is>
          <t>CAP</t>
        </is>
      </c>
      <c r="G5133" s="1" t="inlineStr">
        <is>
          <t>GF2000106176FS</t>
        </is>
      </c>
      <c r="H5133" s="1" t="n">
        <v>1</v>
      </c>
      <c r="I5133" s="1" t="inlineStr">
        <is>
          <t>หมด</t>
        </is>
      </c>
      <c r="J5133" s="13" t="n">
        <v>45</v>
      </c>
      <c r="K5133" s="1" t="inlineStr"/>
      <c r="L5133" s="13" t="n">
        <v>21</v>
      </c>
      <c r="M5133" s="1">
        <f>IF(L5133="","ไม่พบใน SG",IF(ABS(J5133-L5133)&lt;0.005,"ตรงกัน","ไม่ตรง"))</f>
        <v/>
      </c>
      <c r="N5133" s="14">
        <f>IF(L5133="","",ROUND(L5133*'สรุป'!$C$6,-1))</f>
        <v/>
      </c>
      <c r="O5133" s="15" t="n"/>
      <c r="P5133" s="15" t="n"/>
      <c r="Q5133" s="10" t="n"/>
      <c r="R5133" s="10" t="n"/>
      <c r="S5133" s="16" t="inlineStr">
        <is>
          <t>https://mstgolf.co.th/products/gf2000106176</t>
        </is>
      </c>
      <c r="T5133" s="1">
        <f>IF(B5133="ไม้กอล์ฟ",J5133,"")</f>
        <v/>
      </c>
    </row>
    <row r="5134">
      <c r="A5134" s="1" t="n">
        <v>3</v>
      </c>
      <c r="B5134" s="1" t="inlineStr">
        <is>
          <t>หมวก</t>
        </is>
      </c>
      <c r="C5134" s="1" t="inlineStr">
        <is>
          <t>gf2000201029</t>
        </is>
      </c>
      <c r="D5134" s="1" t="inlineStr">
        <is>
          <t>ADIDAS Ribbon Women's Visor (White)</t>
        </is>
      </c>
      <c r="E5134" s="1" t="inlineStr">
        <is>
          <t>ADIDAS</t>
        </is>
      </c>
      <c r="F5134" s="1" t="inlineStr">
        <is>
          <t>VISOR</t>
        </is>
      </c>
      <c r="G5134" s="1" t="inlineStr">
        <is>
          <t>GF2000201029FS</t>
        </is>
      </c>
      <c r="H5134" s="1" t="n">
        <v>1</v>
      </c>
      <c r="I5134" s="1" t="inlineStr">
        <is>
          <t>หมด</t>
        </is>
      </c>
      <c r="J5134" s="13" t="n">
        <v>45</v>
      </c>
      <c r="K5134" s="1" t="inlineStr"/>
      <c r="L5134" s="13" t="n"/>
      <c r="M5134" s="1">
        <f>IF(L5134="","ไม่พบใน SG",IF(ABS(J5134-L5134)&lt;0.005,"ตรงกัน","ไม่ตรง"))</f>
        <v/>
      </c>
      <c r="N5134" s="14">
        <f>IF(L5134="","",ROUND(L5134*'สรุป'!$C$6,-1))</f>
        <v/>
      </c>
      <c r="O5134" s="15" t="n"/>
      <c r="P5134" s="15" t="n"/>
      <c r="Q5134" s="10" t="n"/>
      <c r="R5134" s="10" t="n"/>
      <c r="S5134" s="16" t="inlineStr">
        <is>
          <t>https://mstgolf.co.th/products/gf2000201029</t>
        </is>
      </c>
      <c r="T5134" s="1">
        <f>IF(B5134="ไม้กอล์ฟ",J5134,"")</f>
        <v/>
      </c>
    </row>
    <row r="5135">
      <c r="A5135" s="1" t="n">
        <v>3</v>
      </c>
      <c r="B5135" s="1" t="inlineStr">
        <is>
          <t>เสื้อผ้า</t>
        </is>
      </c>
      <c r="C5135" s="1" t="inlineStr">
        <is>
          <t>gf2040115829</t>
        </is>
      </c>
      <c r="D5135" s="1" t="inlineStr">
        <is>
          <t>ADIDAS Ultimate365 Solid Men's Polo (Blue)</t>
        </is>
      </c>
      <c r="E5135" s="1" t="inlineStr">
        <is>
          <t>ADIDAS</t>
        </is>
      </c>
      <c r="F5135" s="1" t="inlineStr">
        <is>
          <t>SHORT SLEEVES</t>
        </is>
      </c>
      <c r="G5135" s="1" t="inlineStr">
        <is>
          <t>GF2040115829XS</t>
        </is>
      </c>
      <c r="H5135" s="1" t="n">
        <v>8</v>
      </c>
      <c r="I5135" s="1" t="inlineStr">
        <is>
          <t>หมด</t>
        </is>
      </c>
      <c r="J5135" s="13" t="n">
        <v>45</v>
      </c>
      <c r="K5135" s="1" t="inlineStr"/>
      <c r="L5135" s="13" t="n"/>
      <c r="M5135" s="1">
        <f>IF(L5135="","ไม่พบใน SG",IF(ABS(J5135-L5135)&lt;0.005,"ตรงกัน","ไม่ตรง"))</f>
        <v/>
      </c>
      <c r="N5135" s="14">
        <f>IF(L5135="","",ROUND(L5135*'สรุป'!$C$6,-1))</f>
        <v/>
      </c>
      <c r="O5135" s="15" t="n"/>
      <c r="P5135" s="15" t="n"/>
      <c r="Q5135" s="10" t="n"/>
      <c r="R5135" s="10" t="n"/>
      <c r="S5135" s="16" t="inlineStr">
        <is>
          <t>https://mstgolf.co.th/products/gf2040115829</t>
        </is>
      </c>
      <c r="T5135" s="1">
        <f>IF(B5135="ไม้กอล์ฟ",J5135,"")</f>
        <v/>
      </c>
    </row>
    <row r="5136">
      <c r="A5136" s="1" t="n">
        <v>3</v>
      </c>
      <c r="B5136" s="1" t="inlineStr">
        <is>
          <t>เสื้อผ้า</t>
        </is>
      </c>
      <c r="C5136" s="1" t="inlineStr">
        <is>
          <t>gf2040116146</t>
        </is>
      </c>
      <c r="D5136" s="1" t="inlineStr">
        <is>
          <t>ADIDAS Ultimate365 Solid Men's Polo (White)</t>
        </is>
      </c>
      <c r="E5136" s="1" t="inlineStr">
        <is>
          <t>ADIDAS</t>
        </is>
      </c>
      <c r="F5136" s="1" t="inlineStr">
        <is>
          <t>SHORT SLEEVES</t>
        </is>
      </c>
      <c r="G5136" s="1" t="inlineStr">
        <is>
          <t>GF2040116146XS</t>
        </is>
      </c>
      <c r="H5136" s="1" t="n">
        <v>8</v>
      </c>
      <c r="I5136" s="1" t="inlineStr">
        <is>
          <t>หมด</t>
        </is>
      </c>
      <c r="J5136" s="13" t="n">
        <v>45</v>
      </c>
      <c r="K5136" s="1" t="inlineStr"/>
      <c r="L5136" s="13" t="n"/>
      <c r="M5136" s="1">
        <f>IF(L5136="","ไม่พบใน SG",IF(ABS(J5136-L5136)&lt;0.005,"ตรงกัน","ไม่ตรง"))</f>
        <v/>
      </c>
      <c r="N5136" s="14">
        <f>IF(L5136="","",ROUND(L5136*'สรุป'!$C$6,-1))</f>
        <v/>
      </c>
      <c r="O5136" s="15" t="n"/>
      <c r="P5136" s="15" t="n"/>
      <c r="Q5136" s="10" t="n"/>
      <c r="R5136" s="10" t="n"/>
      <c r="S5136" s="16" t="inlineStr">
        <is>
          <t>https://mstgolf.co.th/products/gf2040116146</t>
        </is>
      </c>
      <c r="T5136" s="1">
        <f>IF(B5136="ไม้กอล์ฟ",J5136,"")</f>
        <v/>
      </c>
    </row>
    <row r="5137">
      <c r="A5137" s="1" t="n">
        <v>3</v>
      </c>
      <c r="B5137" s="1" t="inlineStr">
        <is>
          <t>เสื้อผ้า</t>
        </is>
      </c>
      <c r="C5137" s="1" t="inlineStr">
        <is>
          <t>gf2040117173</t>
        </is>
      </c>
      <c r="D5137" s="1" t="inlineStr">
        <is>
          <t>CALVIN KLEIN Classic Men's Polo (Sky Blue)</t>
        </is>
      </c>
      <c r="E5137" s="1" t="inlineStr">
        <is>
          <t>CALVIN KLEIN</t>
        </is>
      </c>
      <c r="F5137" s="1" t="inlineStr">
        <is>
          <t>SHORT SLEEVES</t>
        </is>
      </c>
      <c r="G5137" s="1" t="inlineStr">
        <is>
          <t>GF2040117173S</t>
        </is>
      </c>
      <c r="H5137" s="1" t="n">
        <v>5</v>
      </c>
      <c r="I5137" s="1" t="inlineStr">
        <is>
          <t>หมด</t>
        </is>
      </c>
      <c r="J5137" s="13" t="n">
        <v>45</v>
      </c>
      <c r="K5137" s="1" t="inlineStr"/>
      <c r="L5137" s="13" t="n">
        <v>45</v>
      </c>
      <c r="M5137" s="1">
        <f>IF(L5137="","ไม่พบใน SG",IF(ABS(J5137-L5137)&lt;0.005,"ตรงกัน","ไม่ตรง"))</f>
        <v/>
      </c>
      <c r="N5137" s="14">
        <f>IF(L5137="","",ROUND(L5137*'สรุป'!$C$6,-1))</f>
        <v/>
      </c>
      <c r="O5137" s="15" t="n"/>
      <c r="P5137" s="15" t="n"/>
      <c r="Q5137" s="10" t="n"/>
      <c r="R5137" s="10" t="n"/>
      <c r="S5137" s="16" t="inlineStr">
        <is>
          <t>https://mstgolf.co.th/products/gf2040117173</t>
        </is>
      </c>
      <c r="T5137" s="1">
        <f>IF(B5137="ไม้กอล์ฟ",J5137,"")</f>
        <v/>
      </c>
    </row>
    <row r="5138">
      <c r="A5138" s="1" t="n">
        <v>3</v>
      </c>
      <c r="B5138" s="1" t="inlineStr">
        <is>
          <t>หมวก</t>
        </is>
      </c>
      <c r="C5138" s="1" t="inlineStr">
        <is>
          <t>gf2000300318</t>
        </is>
      </c>
      <c r="D5138" s="1" t="inlineStr">
        <is>
          <t>CALVIN KLEIN Large Monogram Men's Beanie (Black)</t>
        </is>
      </c>
      <c r="E5138" s="1" t="inlineStr">
        <is>
          <t>CALVIN KLEIN</t>
        </is>
      </c>
      <c r="F5138" s="1" t="inlineStr">
        <is>
          <t>HAT</t>
        </is>
      </c>
      <c r="G5138" s="1" t="inlineStr">
        <is>
          <t>GF2000300318FS</t>
        </is>
      </c>
      <c r="H5138" s="1" t="n">
        <v>1</v>
      </c>
      <c r="I5138" s="1" t="inlineStr">
        <is>
          <t>หมด</t>
        </is>
      </c>
      <c r="J5138" s="13" t="n">
        <v>45</v>
      </c>
      <c r="K5138" s="1" t="inlineStr"/>
      <c r="L5138" s="13" t="n"/>
      <c r="M5138" s="1">
        <f>IF(L5138="","ไม่พบใน SG",IF(ABS(J5138-L5138)&lt;0.005,"ตรงกัน","ไม่ตรง"))</f>
        <v/>
      </c>
      <c r="N5138" s="14">
        <f>IF(L5138="","",ROUND(L5138*'สรุป'!$C$6,-1))</f>
        <v/>
      </c>
      <c r="O5138" s="15" t="n"/>
      <c r="P5138" s="15" t="n"/>
      <c r="Q5138" s="10" t="n"/>
      <c r="R5138" s="10" t="n"/>
      <c r="S5138" s="16" t="inlineStr">
        <is>
          <t>https://mstgolf.co.th/products/gf2000300318</t>
        </is>
      </c>
      <c r="T5138" s="1">
        <f>IF(B5138="ไม้กอล์ฟ",J5138,"")</f>
        <v/>
      </c>
    </row>
    <row r="5139">
      <c r="A5139" s="1" t="n">
        <v>3</v>
      </c>
      <c r="B5139" s="1" t="inlineStr">
        <is>
          <t>อุปกรณ์เสริม</t>
        </is>
      </c>
      <c r="C5139" s="1" t="inlineStr">
        <is>
          <t>gf2080101390</t>
        </is>
      </c>
      <c r="D5139" s="1" t="inlineStr">
        <is>
          <t>CALVIN KLEIN Men's Webbing Belt (Charcoal)</t>
        </is>
      </c>
      <c r="E5139" s="1" t="inlineStr">
        <is>
          <t>CALVIN KLEIN</t>
        </is>
      </c>
      <c r="F5139" s="1" t="inlineStr">
        <is>
          <t>BELT</t>
        </is>
      </c>
      <c r="G5139" s="1" t="inlineStr">
        <is>
          <t>GF2080101390FS</t>
        </is>
      </c>
      <c r="H5139" s="1" t="n">
        <v>1</v>
      </c>
      <c r="I5139" s="1" t="inlineStr">
        <is>
          <t>หมด</t>
        </is>
      </c>
      <c r="J5139" s="13" t="n">
        <v>45</v>
      </c>
      <c r="K5139" s="1" t="inlineStr"/>
      <c r="L5139" s="13" t="n">
        <v>45</v>
      </c>
      <c r="M5139" s="1">
        <f>IF(L5139="","ไม่พบใน SG",IF(ABS(J5139-L5139)&lt;0.005,"ตรงกัน","ไม่ตรง"))</f>
        <v/>
      </c>
      <c r="N5139" s="14">
        <f>IF(L5139="","",ROUND(L5139*'สรุป'!$C$6,-1))</f>
        <v/>
      </c>
      <c r="O5139" s="15" t="n"/>
      <c r="P5139" s="15" t="n"/>
      <c r="Q5139" s="10" t="n"/>
      <c r="R5139" s="10" t="n"/>
      <c r="S5139" s="16" t="inlineStr">
        <is>
          <t>https://mstgolf.co.th/products/gf2080101390</t>
        </is>
      </c>
      <c r="T5139" s="1">
        <f>IF(B5139="ไม้กอล์ฟ",J5139,"")</f>
        <v/>
      </c>
    </row>
    <row r="5140">
      <c r="A5140" s="1" t="n">
        <v>3</v>
      </c>
      <c r="B5140" s="1" t="inlineStr">
        <is>
          <t>เสื้อผ้า</t>
        </is>
      </c>
      <c r="C5140" s="1" t="inlineStr">
        <is>
          <t>gf2040117510</t>
        </is>
      </c>
      <c r="D5140" s="1" t="inlineStr">
        <is>
          <t>CALVIN KLEIN Middlebrook Men's Polo (Evening Blue)</t>
        </is>
      </c>
      <c r="E5140" s="1" t="inlineStr">
        <is>
          <t>CALVIN KLEIN</t>
        </is>
      </c>
      <c r="F5140" s="1" t="inlineStr">
        <is>
          <t>SHORT SLEEVES</t>
        </is>
      </c>
      <c r="G5140" s="1" t="inlineStr">
        <is>
          <t>GF2040117510S</t>
        </is>
      </c>
      <c r="H5140" s="1" t="n">
        <v>5</v>
      </c>
      <c r="I5140" s="1" t="inlineStr">
        <is>
          <t>หมด</t>
        </is>
      </c>
      <c r="J5140" s="13" t="n">
        <v>45</v>
      </c>
      <c r="K5140" s="1" t="inlineStr"/>
      <c r="L5140" s="13" t="n"/>
      <c r="M5140" s="1">
        <f>IF(L5140="","ไม่พบใน SG",IF(ABS(J5140-L5140)&lt;0.005,"ตรงกัน","ไม่ตรง"))</f>
        <v/>
      </c>
      <c r="N5140" s="14">
        <f>IF(L5140="","",ROUND(L5140*'สรุป'!$C$6,-1))</f>
        <v/>
      </c>
      <c r="O5140" s="15" t="n"/>
      <c r="P5140" s="15" t="n"/>
      <c r="Q5140" s="10" t="n"/>
      <c r="R5140" s="10" t="n"/>
      <c r="S5140" s="16" t="inlineStr">
        <is>
          <t>https://mstgolf.co.th/products/gf2040117510</t>
        </is>
      </c>
      <c r="T5140" s="1">
        <f>IF(B5140="ไม้กอล์ฟ",J5140,"")</f>
        <v/>
      </c>
    </row>
    <row r="5141">
      <c r="A5141" s="1" t="n">
        <v>3</v>
      </c>
      <c r="B5141" s="1" t="inlineStr">
        <is>
          <t>อุปกรณ์เสริม</t>
        </is>
      </c>
      <c r="C5141" s="1" t="inlineStr">
        <is>
          <t>gf2080100788</t>
        </is>
      </c>
      <c r="D5141" s="1" t="inlineStr">
        <is>
          <t>CALVIN KLEIN Webbing Men's Belt (Silver)</t>
        </is>
      </c>
      <c r="E5141" s="1" t="inlineStr">
        <is>
          <t>CALVIN KLEIN</t>
        </is>
      </c>
      <c r="F5141" s="1" t="inlineStr">
        <is>
          <t>BELT</t>
        </is>
      </c>
      <c r="G5141" s="1" t="inlineStr">
        <is>
          <t>GF2080100788FS</t>
        </is>
      </c>
      <c r="H5141" s="1" t="n">
        <v>1</v>
      </c>
      <c r="I5141" s="1" t="inlineStr">
        <is>
          <t>หมด</t>
        </is>
      </c>
      <c r="J5141" s="13" t="n">
        <v>45</v>
      </c>
      <c r="K5141" s="1" t="inlineStr"/>
      <c r="L5141" s="13" t="n"/>
      <c r="M5141" s="1">
        <f>IF(L5141="","ไม่พบใน SG",IF(ABS(J5141-L5141)&lt;0.005,"ตรงกัน","ไม่ตรง"))</f>
        <v/>
      </c>
      <c r="N5141" s="14">
        <f>IF(L5141="","",ROUND(L5141*'สรุป'!$C$6,-1))</f>
        <v/>
      </c>
      <c r="O5141" s="15" t="n"/>
      <c r="P5141" s="15" t="n"/>
      <c r="Q5141" s="10" t="n"/>
      <c r="R5141" s="10" t="n"/>
      <c r="S5141" s="16" t="inlineStr">
        <is>
          <t>https://mstgolf.co.th/products/gf2080100788</t>
        </is>
      </c>
      <c r="T5141" s="1">
        <f>IF(B5141="ไม้กอล์ฟ",J5141,"")</f>
        <v/>
      </c>
    </row>
    <row r="5142">
      <c r="A5142" s="1" t="n">
        <v>3</v>
      </c>
      <c r="B5142" s="1" t="inlineStr">
        <is>
          <t>อุปกรณ์เสริม</t>
        </is>
      </c>
      <c r="C5142" s="1" t="inlineStr">
        <is>
          <t>gf3500201758</t>
        </is>
      </c>
      <c r="D5142" s="1" t="inlineStr">
        <is>
          <t>DAPHNE Hot Dog Wood Headcover</t>
        </is>
      </c>
      <c r="E5142" s="1" t="inlineStr">
        <is>
          <t>DAPHNE</t>
        </is>
      </c>
      <c r="F5142" s="1" t="inlineStr">
        <is>
          <t>HEADCOVERS</t>
        </is>
      </c>
      <c r="G5142" s="1" t="inlineStr">
        <is>
          <t>GF3500201758</t>
        </is>
      </c>
      <c r="H5142" s="1" t="n">
        <v>1</v>
      </c>
      <c r="I5142" s="1" t="inlineStr">
        <is>
          <t>หมด</t>
        </is>
      </c>
      <c r="J5142" s="13" t="n">
        <v>45</v>
      </c>
      <c r="K5142" s="1" t="inlineStr"/>
      <c r="L5142" s="13" t="n">
        <v>45</v>
      </c>
      <c r="M5142" s="1">
        <f>IF(L5142="","ไม่พบใน SG",IF(ABS(J5142-L5142)&lt;0.005,"ตรงกัน","ไม่ตรง"))</f>
        <v/>
      </c>
      <c r="N5142" s="14">
        <f>IF(L5142="","",ROUND(L5142*'สรุป'!$C$6,-1))</f>
        <v/>
      </c>
      <c r="O5142" s="15" t="n"/>
      <c r="P5142" s="15" t="n"/>
      <c r="Q5142" s="10" t="n"/>
      <c r="R5142" s="10" t="n"/>
      <c r="S5142" s="16" t="inlineStr">
        <is>
          <t>https://mstgolf.co.th/products/gf3500201758</t>
        </is>
      </c>
      <c r="T5142" s="1">
        <f>IF(B5142="ไม้กอล์ฟ",J5142,"")</f>
        <v/>
      </c>
    </row>
    <row r="5143">
      <c r="A5143" s="1" t="n">
        <v>3</v>
      </c>
      <c r="B5143" s="1" t="inlineStr">
        <is>
          <t>อุปกรณ์เสริม</t>
        </is>
      </c>
      <c r="C5143" s="1" t="inlineStr">
        <is>
          <t>gf3500201756</t>
        </is>
      </c>
      <c r="D5143" s="1" t="inlineStr">
        <is>
          <t>DAPHNE Rabbit Wood Headcover</t>
        </is>
      </c>
      <c r="E5143" s="1" t="inlineStr">
        <is>
          <t>DAPHNE</t>
        </is>
      </c>
      <c r="F5143" s="1" t="inlineStr">
        <is>
          <t>HEADCOVERS</t>
        </is>
      </c>
      <c r="G5143" s="1" t="inlineStr">
        <is>
          <t>GF3500201756</t>
        </is>
      </c>
      <c r="H5143" s="1" t="n">
        <v>1</v>
      </c>
      <c r="I5143" s="1" t="inlineStr">
        <is>
          <t>หมด</t>
        </is>
      </c>
      <c r="J5143" s="13" t="n">
        <v>45</v>
      </c>
      <c r="K5143" s="1" t="inlineStr"/>
      <c r="L5143" s="13" t="n">
        <v>45</v>
      </c>
      <c r="M5143" s="1">
        <f>IF(L5143="","ไม่พบใน SG",IF(ABS(J5143-L5143)&lt;0.005,"ตรงกัน","ไม่ตรง"))</f>
        <v/>
      </c>
      <c r="N5143" s="14">
        <f>IF(L5143="","",ROUND(L5143*'สรุป'!$C$6,-1))</f>
        <v/>
      </c>
      <c r="O5143" s="15" t="n"/>
      <c r="P5143" s="15" t="n"/>
      <c r="Q5143" s="10" t="n"/>
      <c r="R5143" s="10" t="n"/>
      <c r="S5143" s="16" t="inlineStr">
        <is>
          <t>https://mstgolf.co.th/products/gf3500201756</t>
        </is>
      </c>
      <c r="T5143" s="1">
        <f>IF(B5143="ไม้กอล์ฟ",J5143,"")</f>
        <v/>
      </c>
    </row>
    <row r="5144">
      <c r="A5144" s="1" t="n">
        <v>3</v>
      </c>
      <c r="B5144" s="1" t="inlineStr">
        <is>
          <t>อุปกรณ์เสริม</t>
        </is>
      </c>
      <c r="C5144" s="1" t="inlineStr">
        <is>
          <t>gf3500200801</t>
        </is>
      </c>
      <c r="D5144" s="1" t="inlineStr">
        <is>
          <t>DAPHNE Zebra Wood Headcover</t>
        </is>
      </c>
      <c r="E5144" s="1" t="inlineStr">
        <is>
          <t>DAPHNE</t>
        </is>
      </c>
      <c r="F5144" s="1" t="inlineStr">
        <is>
          <t>HEADCOVERS</t>
        </is>
      </c>
      <c r="G5144" s="1" t="inlineStr">
        <is>
          <t>GF3500200801</t>
        </is>
      </c>
      <c r="H5144" s="1" t="n">
        <v>1</v>
      </c>
      <c r="I5144" s="1" t="inlineStr">
        <is>
          <t>หมด</t>
        </is>
      </c>
      <c r="J5144" s="13" t="n">
        <v>45</v>
      </c>
      <c r="K5144" s="1" t="inlineStr"/>
      <c r="L5144" s="13" t="n">
        <v>45</v>
      </c>
      <c r="M5144" s="1">
        <f>IF(L5144="","ไม่พบใน SG",IF(ABS(J5144-L5144)&lt;0.005,"ตรงกัน","ไม่ตรง"))</f>
        <v/>
      </c>
      <c r="N5144" s="14">
        <f>IF(L5144="","",ROUND(L5144*'สรุป'!$C$6,-1))</f>
        <v/>
      </c>
      <c r="O5144" s="15" t="n"/>
      <c r="P5144" s="15" t="n"/>
      <c r="Q5144" s="10" t="n"/>
      <c r="R5144" s="10" t="n"/>
      <c r="S5144" s="16" t="inlineStr">
        <is>
          <t>https://mstgolf.co.th/products/gf3500200801</t>
        </is>
      </c>
      <c r="T5144" s="1">
        <f>IF(B5144="ไม้กอล์ฟ",J5144,"")</f>
        <v/>
      </c>
    </row>
    <row r="5145">
      <c r="A5145" s="1" t="n">
        <v>3</v>
      </c>
      <c r="B5145" s="1" t="inlineStr">
        <is>
          <t>อุปกรณ์เสริม</t>
        </is>
      </c>
      <c r="C5145" s="1" t="inlineStr">
        <is>
          <t>gf3130100563</t>
        </is>
      </c>
      <c r="D5145" s="1" t="inlineStr">
        <is>
          <t>EPOCH EYEWEAR Link White/Blue Mirror Polarized Sunglasses</t>
        </is>
      </c>
      <c r="E5145" s="1" t="inlineStr">
        <is>
          <t>EPOCH EYEWEAR</t>
        </is>
      </c>
      <c r="F5145" s="1" t="inlineStr">
        <is>
          <t>SUNGLASSES</t>
        </is>
      </c>
      <c r="G5145" s="1" t="inlineStr">
        <is>
          <t>GF3130100563</t>
        </is>
      </c>
      <c r="H5145" s="1" t="n">
        <v>1</v>
      </c>
      <c r="I5145" s="1" t="inlineStr">
        <is>
          <t>หมด</t>
        </is>
      </c>
      <c r="J5145" s="13" t="n">
        <v>45</v>
      </c>
      <c r="K5145" s="1" t="inlineStr"/>
      <c r="L5145" s="13" t="n">
        <v>45</v>
      </c>
      <c r="M5145" s="1">
        <f>IF(L5145="","ไม่พบใน SG",IF(ABS(J5145-L5145)&lt;0.005,"ตรงกัน","ไม่ตรง"))</f>
        <v/>
      </c>
      <c r="N5145" s="14">
        <f>IF(L5145="","",ROUND(L5145*'สรุป'!$C$6,-1))</f>
        <v/>
      </c>
      <c r="O5145" s="15" t="n"/>
      <c r="P5145" s="15" t="n"/>
      <c r="Q5145" s="10" t="n"/>
      <c r="R5145" s="10" t="n"/>
      <c r="S5145" s="16" t="inlineStr">
        <is>
          <t>https://mstgolf.co.th/products/gf3130100563</t>
        </is>
      </c>
      <c r="T5145" s="1">
        <f>IF(B5145="ไม้กอล์ฟ",J5145,"")</f>
        <v/>
      </c>
    </row>
    <row r="5146">
      <c r="A5146" s="1" t="n">
        <v>3</v>
      </c>
      <c r="B5146" s="1" t="inlineStr">
        <is>
          <t>อุปกรณ์เสริม</t>
        </is>
      </c>
      <c r="C5146" s="1" t="inlineStr">
        <is>
          <t>gf3130100562</t>
        </is>
      </c>
      <c r="D5146" s="1" t="inlineStr">
        <is>
          <t>EPOCH EYEWEAR San Juan Navy/Smoke Sunglasses</t>
        </is>
      </c>
      <c r="E5146" s="1" t="inlineStr">
        <is>
          <t>EPOCH EYEWEAR</t>
        </is>
      </c>
      <c r="F5146" s="1" t="inlineStr">
        <is>
          <t>SUNGLASSES</t>
        </is>
      </c>
      <c r="G5146" s="1" t="inlineStr">
        <is>
          <t>GF3130100562</t>
        </is>
      </c>
      <c r="H5146" s="1" t="n">
        <v>1</v>
      </c>
      <c r="I5146" s="1" t="inlineStr">
        <is>
          <t>หมด</t>
        </is>
      </c>
      <c r="J5146" s="13" t="n">
        <v>45</v>
      </c>
      <c r="K5146" s="1" t="inlineStr"/>
      <c r="L5146" s="13" t="n">
        <v>45</v>
      </c>
      <c r="M5146" s="1">
        <f>IF(L5146="","ไม่พบใน SG",IF(ABS(J5146-L5146)&lt;0.005,"ตรงกัน","ไม่ตรง"))</f>
        <v/>
      </c>
      <c r="N5146" s="14">
        <f>IF(L5146="","",ROUND(L5146*'สรุป'!$C$6,-1))</f>
        <v/>
      </c>
      <c r="O5146" s="15" t="n"/>
      <c r="P5146" s="15" t="n"/>
      <c r="Q5146" s="10" t="n"/>
      <c r="R5146" s="10" t="n"/>
      <c r="S5146" s="16" t="inlineStr">
        <is>
          <t>https://mstgolf.co.th/products/gf3130100562</t>
        </is>
      </c>
      <c r="T5146" s="1">
        <f>IF(B5146="ไม้กอล์ฟ",J5146,"")</f>
        <v/>
      </c>
    </row>
    <row r="5147">
      <c r="A5147" s="1" t="n">
        <v>3</v>
      </c>
      <c r="B5147" s="1" t="inlineStr">
        <is>
          <t>อุปกรณ์เสริม</t>
        </is>
      </c>
      <c r="C5147" s="1" t="inlineStr">
        <is>
          <t>gf3130100614</t>
        </is>
      </c>
      <c r="D5147" s="1" t="inlineStr">
        <is>
          <t>EPOCH EYEWEAR Sierra Black/Black Polarized Sunglasses</t>
        </is>
      </c>
      <c r="E5147" s="1" t="inlineStr">
        <is>
          <t>EPOCH EYEWEAR</t>
        </is>
      </c>
      <c r="F5147" s="1" t="inlineStr">
        <is>
          <t>SUNGLASSES</t>
        </is>
      </c>
      <c r="G5147" s="1" t="inlineStr">
        <is>
          <t>GF3130100614</t>
        </is>
      </c>
      <c r="H5147" s="1" t="n">
        <v>1</v>
      </c>
      <c r="I5147" s="1" t="inlineStr">
        <is>
          <t>หมด</t>
        </is>
      </c>
      <c r="J5147" s="13" t="n">
        <v>45</v>
      </c>
      <c r="K5147" s="1" t="inlineStr"/>
      <c r="L5147" s="13" t="n"/>
      <c r="M5147" s="1">
        <f>IF(L5147="","ไม่พบใน SG",IF(ABS(J5147-L5147)&lt;0.005,"ตรงกัน","ไม่ตรง"))</f>
        <v/>
      </c>
      <c r="N5147" s="14">
        <f>IF(L5147="","",ROUND(L5147*'สรุป'!$C$6,-1))</f>
        <v/>
      </c>
      <c r="O5147" s="15" t="n"/>
      <c r="P5147" s="15" t="n"/>
      <c r="Q5147" s="10" t="n"/>
      <c r="R5147" s="10" t="n"/>
      <c r="S5147" s="16" t="inlineStr">
        <is>
          <t>https://mstgolf.co.th/products/gf3130100614</t>
        </is>
      </c>
      <c r="T5147" s="1">
        <f>IF(B5147="ไม้กอล์ฟ",J5147,"")</f>
        <v/>
      </c>
    </row>
    <row r="5148">
      <c r="A5148" s="1" t="n">
        <v>3</v>
      </c>
      <c r="B5148" s="1" t="inlineStr">
        <is>
          <t>อุปกรณ์เสริม</t>
        </is>
      </c>
      <c r="C5148" s="1" t="inlineStr">
        <is>
          <t>gf3500201637</t>
        </is>
      </c>
      <c r="D5148" s="1" t="inlineStr">
        <is>
          <t>GENERAL ITEM Barudan Color Skull Ice-Cream Utility Headcover</t>
        </is>
      </c>
      <c r="E5148" s="1" t="inlineStr">
        <is>
          <t>GENERAL ITEM</t>
        </is>
      </c>
      <c r="F5148" s="1" t="inlineStr">
        <is>
          <t>HEADCOVERS</t>
        </is>
      </c>
      <c r="G5148" s="1" t="inlineStr">
        <is>
          <t>GF3500201637</t>
        </is>
      </c>
      <c r="H5148" s="1" t="n">
        <v>1</v>
      </c>
      <c r="I5148" s="1" t="inlineStr">
        <is>
          <t>หมด</t>
        </is>
      </c>
      <c r="J5148" s="13" t="n">
        <v>45</v>
      </c>
      <c r="K5148" s="1" t="inlineStr"/>
      <c r="L5148" s="13" t="n">
        <v>45</v>
      </c>
      <c r="M5148" s="1">
        <f>IF(L5148="","ไม่พบใน SG",IF(ABS(J5148-L5148)&lt;0.005,"ตรงกัน","ไม่ตรง"))</f>
        <v/>
      </c>
      <c r="N5148" s="14">
        <f>IF(L5148="","",ROUND(L5148*'สรุป'!$C$6,-1))</f>
        <v/>
      </c>
      <c r="O5148" s="15" t="n"/>
      <c r="P5148" s="15" t="n"/>
      <c r="Q5148" s="10" t="n"/>
      <c r="R5148" s="10" t="n"/>
      <c r="S5148" s="16" t="inlineStr">
        <is>
          <t>https://mstgolf.co.th/products/gf3500201637</t>
        </is>
      </c>
      <c r="T5148" s="1">
        <f>IF(B5148="ไม้กอล์ฟ",J5148,"")</f>
        <v/>
      </c>
    </row>
    <row r="5149">
      <c r="A5149" s="1" t="n">
        <v>3</v>
      </c>
      <c r="B5149" s="1" t="inlineStr">
        <is>
          <t>อุปกรณ์เสริม</t>
        </is>
      </c>
      <c r="C5149" s="1" t="inlineStr">
        <is>
          <t>gf3500201640</t>
        </is>
      </c>
      <c r="D5149" s="1" t="inlineStr">
        <is>
          <t>GENERAL ITEM Barudan Go Home Ball Utility Headcover</t>
        </is>
      </c>
      <c r="E5149" s="1" t="inlineStr">
        <is>
          <t>GENERAL ITEM</t>
        </is>
      </c>
      <c r="F5149" s="1" t="inlineStr">
        <is>
          <t>HEADCOVERS</t>
        </is>
      </c>
      <c r="G5149" s="1" t="inlineStr">
        <is>
          <t>GF3500201640</t>
        </is>
      </c>
      <c r="H5149" s="1" t="n">
        <v>1</v>
      </c>
      <c r="I5149" s="1" t="inlineStr">
        <is>
          <t>หมด</t>
        </is>
      </c>
      <c r="J5149" s="13" t="n">
        <v>45</v>
      </c>
      <c r="K5149" s="1" t="inlineStr"/>
      <c r="L5149" s="13" t="n">
        <v>45</v>
      </c>
      <c r="M5149" s="1">
        <f>IF(L5149="","ไม่พบใน SG",IF(ABS(J5149-L5149)&lt;0.005,"ตรงกัน","ไม่ตรง"))</f>
        <v/>
      </c>
      <c r="N5149" s="14">
        <f>IF(L5149="","",ROUND(L5149*'สรุป'!$C$6,-1))</f>
        <v/>
      </c>
      <c r="O5149" s="15" t="n"/>
      <c r="P5149" s="15" t="n"/>
      <c r="Q5149" s="10" t="n"/>
      <c r="R5149" s="10" t="n"/>
      <c r="S5149" s="16" t="inlineStr">
        <is>
          <t>https://mstgolf.co.th/products/gf3500201640</t>
        </is>
      </c>
      <c r="T5149" s="1">
        <f>IF(B5149="ไม้กอล์ฟ",J5149,"")</f>
        <v/>
      </c>
    </row>
    <row r="5150">
      <c r="A5150" s="1" t="n">
        <v>3</v>
      </c>
      <c r="B5150" s="1" t="inlineStr">
        <is>
          <t>อุปกรณ์เสริม</t>
        </is>
      </c>
      <c r="C5150" s="1" t="inlineStr">
        <is>
          <t>gf3150100343</t>
        </is>
      </c>
      <c r="D5150" s="1" t="inlineStr">
        <is>
          <t>LE COQ SPORTIF GOLF Aerostream Double Layer Umbrella (Navy/Black)</t>
        </is>
      </c>
      <c r="E5150" s="1" t="inlineStr">
        <is>
          <t>LE COQ SPORTIF GOLF</t>
        </is>
      </c>
      <c r="F5150" s="1" t="inlineStr">
        <is>
          <t>UMBRELLA</t>
        </is>
      </c>
      <c r="G5150" s="1" t="inlineStr">
        <is>
          <t>GF3150100343</t>
        </is>
      </c>
      <c r="H5150" s="1" t="n">
        <v>1</v>
      </c>
      <c r="I5150" s="1" t="inlineStr">
        <is>
          <t>หมด</t>
        </is>
      </c>
      <c r="J5150" s="13" t="n">
        <v>45</v>
      </c>
      <c r="K5150" s="1" t="inlineStr"/>
      <c r="L5150" s="13" t="n">
        <v>45</v>
      </c>
      <c r="M5150" s="1">
        <f>IF(L5150="","ไม่พบใน SG",IF(ABS(J5150-L5150)&lt;0.005,"ตรงกัน","ไม่ตรง"))</f>
        <v/>
      </c>
      <c r="N5150" s="14">
        <f>IF(L5150="","",ROUND(L5150*'สรุป'!$C$6,-1))</f>
        <v/>
      </c>
      <c r="O5150" s="15" t="n"/>
      <c r="P5150" s="15" t="n"/>
      <c r="Q5150" s="10" t="n"/>
      <c r="R5150" s="10" t="n"/>
      <c r="S5150" s="16" t="inlineStr">
        <is>
          <t>https://mstgolf.co.th/products/gf3150100343</t>
        </is>
      </c>
      <c r="T5150" s="1">
        <f>IF(B5150="ไม้กอล์ฟ",J5150,"")</f>
        <v/>
      </c>
    </row>
    <row r="5151">
      <c r="A5151" s="1" t="n">
        <v>3</v>
      </c>
      <c r="B5151" s="1" t="inlineStr">
        <is>
          <t>อุปกรณ์เสริม</t>
        </is>
      </c>
      <c r="C5151" s="1" t="inlineStr">
        <is>
          <t>gf3500201769</t>
        </is>
      </c>
      <c r="D5151" s="1" t="inlineStr">
        <is>
          <t>LE COQ SPORTIF GOLF Multi-Pattern Design Putter Cover (White)</t>
        </is>
      </c>
      <c r="E5151" s="1" t="inlineStr">
        <is>
          <t>LE COQ SPORTIF GOLF</t>
        </is>
      </c>
      <c r="F5151" s="1" t="inlineStr">
        <is>
          <t>HEADCOVERS</t>
        </is>
      </c>
      <c r="G5151" s="1" t="inlineStr">
        <is>
          <t>GF3500201769</t>
        </is>
      </c>
      <c r="H5151" s="1" t="n">
        <v>1</v>
      </c>
      <c r="I5151" s="1" t="inlineStr">
        <is>
          <t>หมด</t>
        </is>
      </c>
      <c r="J5151" s="13" t="n">
        <v>45</v>
      </c>
      <c r="K5151" s="1" t="inlineStr"/>
      <c r="L5151" s="13" t="n">
        <v>45</v>
      </c>
      <c r="M5151" s="1">
        <f>IF(L5151="","ไม่พบใน SG",IF(ABS(J5151-L5151)&lt;0.005,"ตรงกัน","ไม่ตรง"))</f>
        <v/>
      </c>
      <c r="N5151" s="14">
        <f>IF(L5151="","",ROUND(L5151*'สรุป'!$C$6,-1))</f>
        <v/>
      </c>
      <c r="O5151" s="15" t="n"/>
      <c r="P5151" s="15" t="n"/>
      <c r="Q5151" s="10" t="n"/>
      <c r="R5151" s="10" t="n"/>
      <c r="S5151" s="16" t="inlineStr">
        <is>
          <t>https://mstgolf.co.th/products/gf3500201769</t>
        </is>
      </c>
      <c r="T5151" s="1">
        <f>IF(B5151="ไม้กอล์ฟ",J5151,"")</f>
        <v/>
      </c>
    </row>
    <row r="5152">
      <c r="A5152" s="1" t="n">
        <v>3</v>
      </c>
      <c r="B5152" s="1" t="inlineStr">
        <is>
          <t>เสื้อผ้า</t>
        </is>
      </c>
      <c r="C5152" s="1" t="inlineStr">
        <is>
          <t>gf2040120205</t>
        </is>
      </c>
      <c r="D5152" s="1" t="inlineStr">
        <is>
          <t>LE COQ SPORTIF GOLF Solid Men's Polo (Blue)</t>
        </is>
      </c>
      <c r="E5152" s="1" t="inlineStr">
        <is>
          <t>LE COQ SPORTIF GOLF</t>
        </is>
      </c>
      <c r="F5152" s="1" t="inlineStr">
        <is>
          <t>SHORT SLEEVES</t>
        </is>
      </c>
      <c r="G5152" s="1" t="inlineStr">
        <is>
          <t>GF2040120205M</t>
        </is>
      </c>
      <c r="H5152" s="1" t="n">
        <v>4</v>
      </c>
      <c r="I5152" s="1" t="inlineStr">
        <is>
          <t>หมด</t>
        </is>
      </c>
      <c r="J5152" s="13" t="n">
        <v>45</v>
      </c>
      <c r="K5152" s="1" t="inlineStr"/>
      <c r="L5152" s="13" t="n">
        <v>45</v>
      </c>
      <c r="M5152" s="1">
        <f>IF(L5152="","ไม่พบใน SG",IF(ABS(J5152-L5152)&lt;0.005,"ตรงกัน","ไม่ตรง"))</f>
        <v/>
      </c>
      <c r="N5152" s="14">
        <f>IF(L5152="","",ROUND(L5152*'สรุป'!$C$6,-1))</f>
        <v/>
      </c>
      <c r="O5152" s="15" t="n"/>
      <c r="P5152" s="15" t="n"/>
      <c r="Q5152" s="10" t="n"/>
      <c r="R5152" s="10" t="n"/>
      <c r="S5152" s="16" t="inlineStr">
        <is>
          <t>https://mstgolf.co.th/products/gf2040120205</t>
        </is>
      </c>
      <c r="T5152" s="1">
        <f>IF(B5152="ไม้กอล์ฟ",J5152,"")</f>
        <v/>
      </c>
    </row>
    <row r="5153">
      <c r="A5153" s="1" t="n">
        <v>3</v>
      </c>
      <c r="B5153" s="1" t="inlineStr">
        <is>
          <t>เสื้อผ้า</t>
        </is>
      </c>
      <c r="C5153" s="1" t="inlineStr">
        <is>
          <t>gf2040120206</t>
        </is>
      </c>
      <c r="D5153" s="1" t="inlineStr">
        <is>
          <t>LE COQ SPORTIF GOLF Solid Men's Polo (Red)</t>
        </is>
      </c>
      <c r="E5153" s="1" t="inlineStr">
        <is>
          <t>LE COQ SPORTIF GOLF</t>
        </is>
      </c>
      <c r="F5153" s="1" t="inlineStr">
        <is>
          <t>SHORT SLEEVES</t>
        </is>
      </c>
      <c r="G5153" s="1" t="inlineStr">
        <is>
          <t>GF2040120206M</t>
        </is>
      </c>
      <c r="H5153" s="1" t="n">
        <v>4</v>
      </c>
      <c r="I5153" s="1" t="inlineStr">
        <is>
          <t>หมด</t>
        </is>
      </c>
      <c r="J5153" s="13" t="n">
        <v>45</v>
      </c>
      <c r="K5153" s="1" t="inlineStr"/>
      <c r="L5153" s="13" t="n">
        <v>45</v>
      </c>
      <c r="M5153" s="1">
        <f>IF(L5153="","ไม่พบใน SG",IF(ABS(J5153-L5153)&lt;0.005,"ตรงกัน","ไม่ตรง"))</f>
        <v/>
      </c>
      <c r="N5153" s="14">
        <f>IF(L5153="","",ROUND(L5153*'สรุป'!$C$6,-1))</f>
        <v/>
      </c>
      <c r="O5153" s="15" t="n"/>
      <c r="P5153" s="15" t="n"/>
      <c r="Q5153" s="10" t="n"/>
      <c r="R5153" s="10" t="n"/>
      <c r="S5153" s="16" t="inlineStr">
        <is>
          <t>https://mstgolf.co.th/products/gf2040120206</t>
        </is>
      </c>
      <c r="T5153" s="1">
        <f>IF(B5153="ไม้กอล์ฟ",J5153,"")</f>
        <v/>
      </c>
    </row>
    <row r="5154">
      <c r="A5154" s="1" t="n">
        <v>3</v>
      </c>
      <c r="B5154" s="1" t="inlineStr">
        <is>
          <t>เสื้อผ้า</t>
        </is>
      </c>
      <c r="C5154" s="1" t="inlineStr">
        <is>
          <t>gf2040120204</t>
        </is>
      </c>
      <c r="D5154" s="1" t="inlineStr">
        <is>
          <t>LE COQ SPORTIF GOLF Solid Men's Polo (White)</t>
        </is>
      </c>
      <c r="E5154" s="1" t="inlineStr">
        <is>
          <t>LE COQ SPORTIF GOLF</t>
        </is>
      </c>
      <c r="F5154" s="1" t="inlineStr">
        <is>
          <t>SHORT SLEEVES</t>
        </is>
      </c>
      <c r="G5154" s="1" t="inlineStr">
        <is>
          <t>GF2040120204M</t>
        </is>
      </c>
      <c r="H5154" s="1" t="n">
        <v>4</v>
      </c>
      <c r="I5154" s="1" t="inlineStr">
        <is>
          <t>หมด</t>
        </is>
      </c>
      <c r="J5154" s="13" t="n">
        <v>45</v>
      </c>
      <c r="K5154" s="1" t="inlineStr"/>
      <c r="L5154" s="13" t="n">
        <v>45</v>
      </c>
      <c r="M5154" s="1">
        <f>IF(L5154="","ไม่พบใน SG",IF(ABS(J5154-L5154)&lt;0.005,"ตรงกัน","ไม่ตรง"))</f>
        <v/>
      </c>
      <c r="N5154" s="14">
        <f>IF(L5154="","",ROUND(L5154*'สรุป'!$C$6,-1))</f>
        <v/>
      </c>
      <c r="O5154" s="15" t="n"/>
      <c r="P5154" s="15" t="n"/>
      <c r="Q5154" s="10" t="n"/>
      <c r="R5154" s="10" t="n"/>
      <c r="S5154" s="16" t="inlineStr">
        <is>
          <t>https://mstgolf.co.th/products/gf2040120204</t>
        </is>
      </c>
      <c r="T5154" s="1">
        <f>IF(B5154="ไม้กอล์ฟ",J5154,"")</f>
        <v/>
      </c>
    </row>
    <row r="5155">
      <c r="A5155" s="1" t="n">
        <v>3</v>
      </c>
      <c r="B5155" s="1" t="inlineStr">
        <is>
          <t>เสื้อผ้า</t>
        </is>
      </c>
      <c r="C5155" s="1" t="inlineStr">
        <is>
          <t>gf2040119967</t>
        </is>
      </c>
      <c r="D5155" s="1" t="inlineStr">
        <is>
          <t>LE COQ SPORTIF GOLF Women's Polo (White)</t>
        </is>
      </c>
      <c r="E5155" s="1" t="inlineStr">
        <is>
          <t>LE COQ SPORTIF GOLF</t>
        </is>
      </c>
      <c r="F5155" s="1" t="inlineStr">
        <is>
          <t>SHORT SLEEVES</t>
        </is>
      </c>
      <c r="G5155" s="1" t="inlineStr">
        <is>
          <t>GF2040119967S</t>
        </is>
      </c>
      <c r="H5155" s="1" t="n">
        <v>6</v>
      </c>
      <c r="I5155" s="1" t="inlineStr">
        <is>
          <t>หมด</t>
        </is>
      </c>
      <c r="J5155" s="13" t="n">
        <v>45</v>
      </c>
      <c r="K5155" s="1" t="inlineStr"/>
      <c r="L5155" s="13" t="n">
        <v>45</v>
      </c>
      <c r="M5155" s="1">
        <f>IF(L5155="","ไม่พบใน SG",IF(ABS(J5155-L5155)&lt;0.005,"ตรงกัน","ไม่ตรง"))</f>
        <v/>
      </c>
      <c r="N5155" s="14">
        <f>IF(L5155="","",ROUND(L5155*'สรุป'!$C$6,-1))</f>
        <v/>
      </c>
      <c r="O5155" s="15" t="n"/>
      <c r="P5155" s="15" t="n"/>
      <c r="Q5155" s="10" t="n"/>
      <c r="R5155" s="10" t="n"/>
      <c r="S5155" s="16" t="inlineStr">
        <is>
          <t>https://mstgolf.co.th/products/gf2040119967</t>
        </is>
      </c>
      <c r="T5155" s="1">
        <f>IF(B5155="ไม้กอล์ฟ",J5155,"")</f>
        <v/>
      </c>
    </row>
    <row r="5156">
      <c r="A5156" s="1" t="n">
        <v>3</v>
      </c>
      <c r="B5156" s="1" t="inlineStr">
        <is>
          <t>อุปกรณ์เสริม</t>
        </is>
      </c>
      <c r="C5156" s="1" t="inlineStr">
        <is>
          <t>gf2100200543</t>
        </is>
      </c>
      <c r="D5156" s="1" t="inlineStr">
        <is>
          <t>MIZUNO Cart Towel (Blue)</t>
        </is>
      </c>
      <c r="E5156" s="1" t="inlineStr">
        <is>
          <t>MIZUNO</t>
        </is>
      </c>
      <c r="F5156" s="1" t="inlineStr">
        <is>
          <t>HAND/CLUB TOWEL</t>
        </is>
      </c>
      <c r="G5156" s="1" t="inlineStr">
        <is>
          <t>GF2100200543</t>
        </is>
      </c>
      <c r="H5156" s="1" t="n">
        <v>1</v>
      </c>
      <c r="I5156" s="1" t="inlineStr">
        <is>
          <t>หมด</t>
        </is>
      </c>
      <c r="J5156" s="13" t="n">
        <v>45</v>
      </c>
      <c r="K5156" s="1" t="inlineStr"/>
      <c r="L5156" s="13" t="n">
        <v>45</v>
      </c>
      <c r="M5156" s="1">
        <f>IF(L5156="","ไม่พบใน SG",IF(ABS(J5156-L5156)&lt;0.005,"ตรงกัน","ไม่ตรง"))</f>
        <v/>
      </c>
      <c r="N5156" s="14">
        <f>IF(L5156="","",ROUND(L5156*'สรุป'!$C$6,-1))</f>
        <v/>
      </c>
      <c r="O5156" s="15" t="n"/>
      <c r="P5156" s="15" t="n"/>
      <c r="Q5156" s="10" t="n"/>
      <c r="R5156" s="10" t="n"/>
      <c r="S5156" s="16" t="inlineStr">
        <is>
          <t>https://mstgolf.co.th/products/gf2100200543</t>
        </is>
      </c>
      <c r="T5156" s="1">
        <f>IF(B5156="ไม้กอล์ฟ",J5156,"")</f>
        <v/>
      </c>
    </row>
    <row r="5157">
      <c r="A5157" s="1" t="n">
        <v>3</v>
      </c>
      <c r="B5157" s="1" t="inlineStr">
        <is>
          <t>หมวก</t>
        </is>
      </c>
      <c r="C5157" s="1" t="inlineStr">
        <is>
          <t>gf2000106816</t>
        </is>
      </c>
      <c r="D5157" s="1" t="inlineStr">
        <is>
          <t>NIKE Jordan Pro Structured Dri-FIT Flat-Brim Men's Cap (Black)</t>
        </is>
      </c>
      <c r="E5157" s="1" t="inlineStr">
        <is>
          <t>NIKE</t>
        </is>
      </c>
      <c r="F5157" s="1" t="inlineStr">
        <is>
          <t>CAP</t>
        </is>
      </c>
      <c r="G5157" s="1" t="inlineStr">
        <is>
          <t>GF2000106816S/M</t>
        </is>
      </c>
      <c r="H5157" s="1" t="n">
        <v>3</v>
      </c>
      <c r="I5157" s="1" t="inlineStr">
        <is>
          <t>หมด</t>
        </is>
      </c>
      <c r="J5157" s="13" t="n">
        <v>45</v>
      </c>
      <c r="K5157" s="1" t="inlineStr"/>
      <c r="L5157" s="13" t="n">
        <v>45</v>
      </c>
      <c r="M5157" s="1">
        <f>IF(L5157="","ไม่พบใน SG",IF(ABS(J5157-L5157)&lt;0.005,"ตรงกัน","ไม่ตรง"))</f>
        <v/>
      </c>
      <c r="N5157" s="14">
        <f>IF(L5157="","",ROUND(L5157*'สรุป'!$C$6,-1))</f>
        <v/>
      </c>
      <c r="O5157" s="15" t="n"/>
      <c r="P5157" s="15" t="n"/>
      <c r="Q5157" s="10" t="n"/>
      <c r="R5157" s="10" t="n"/>
      <c r="S5157" s="16" t="inlineStr">
        <is>
          <t>https://mstgolf.co.th/products/gf2000106816</t>
        </is>
      </c>
      <c r="T5157" s="1">
        <f>IF(B5157="ไม้กอล์ฟ",J5157,"")</f>
        <v/>
      </c>
    </row>
    <row r="5158">
      <c r="A5158" s="1" t="n">
        <v>3</v>
      </c>
      <c r="B5158" s="1" t="inlineStr">
        <is>
          <t>เสื้อผ้า</t>
        </is>
      </c>
      <c r="C5158" s="1" t="inlineStr">
        <is>
          <t>gf2110100083</t>
        </is>
      </c>
      <c r="D5158" s="1" t="inlineStr">
        <is>
          <t>NIKE Lightweight Arm Gloves (Black)</t>
        </is>
      </c>
      <c r="E5158" s="1" t="inlineStr">
        <is>
          <t>NIKE</t>
        </is>
      </c>
      <c r="F5158" s="1" t="inlineStr">
        <is>
          <t>ARM GLOVE</t>
        </is>
      </c>
      <c r="G5158" s="1" t="inlineStr">
        <is>
          <t>GF2110100083S-M</t>
        </is>
      </c>
      <c r="H5158" s="1" t="n">
        <v>2</v>
      </c>
      <c r="I5158" s="1" t="inlineStr">
        <is>
          <t>หมด</t>
        </is>
      </c>
      <c r="J5158" s="13" t="n">
        <v>45</v>
      </c>
      <c r="K5158" s="1" t="inlineStr"/>
      <c r="L5158" s="13" t="n"/>
      <c r="M5158" s="1">
        <f>IF(L5158="","ไม่พบใน SG",IF(ABS(J5158-L5158)&lt;0.005,"ตรงกัน","ไม่ตรง"))</f>
        <v/>
      </c>
      <c r="N5158" s="14">
        <f>IF(L5158="","",ROUND(L5158*'สรุป'!$C$6,-1))</f>
        <v/>
      </c>
      <c r="O5158" s="15" t="n"/>
      <c r="P5158" s="15" t="n"/>
      <c r="Q5158" s="10" t="n"/>
      <c r="R5158" s="10" t="n"/>
      <c r="S5158" s="16" t="inlineStr">
        <is>
          <t>https://mstgolf.co.th/products/gf2110100083</t>
        </is>
      </c>
      <c r="T5158" s="1">
        <f>IF(B5158="ไม้กอล์ฟ",J5158,"")</f>
        <v/>
      </c>
    </row>
    <row r="5159">
      <c r="A5159" s="1" t="n">
        <v>3</v>
      </c>
      <c r="B5159" s="1" t="inlineStr">
        <is>
          <t>เสื้อผ้า</t>
        </is>
      </c>
      <c r="C5159" s="1" t="inlineStr">
        <is>
          <t>gf2110100087</t>
        </is>
      </c>
      <c r="D5159" s="1" t="inlineStr">
        <is>
          <t>NIKE Lightweight Arm Gloves (White)</t>
        </is>
      </c>
      <c r="E5159" s="1" t="inlineStr">
        <is>
          <t>NIKE</t>
        </is>
      </c>
      <c r="F5159" s="1" t="inlineStr">
        <is>
          <t>ARM GLOVE</t>
        </is>
      </c>
      <c r="G5159" s="1" t="inlineStr">
        <is>
          <t>GF2110100087S-M</t>
        </is>
      </c>
      <c r="H5159" s="1" t="n">
        <v>2</v>
      </c>
      <c r="I5159" s="1" t="inlineStr">
        <is>
          <t>หมด</t>
        </is>
      </c>
      <c r="J5159" s="13" t="n">
        <v>45</v>
      </c>
      <c r="K5159" s="1" t="inlineStr"/>
      <c r="L5159" s="13" t="n"/>
      <c r="M5159" s="1">
        <f>IF(L5159="","ไม่พบใน SG",IF(ABS(J5159-L5159)&lt;0.005,"ตรงกัน","ไม่ตรง"))</f>
        <v/>
      </c>
      <c r="N5159" s="14">
        <f>IF(L5159="","",ROUND(L5159*'สรุป'!$C$6,-1))</f>
        <v/>
      </c>
      <c r="O5159" s="15" t="n"/>
      <c r="P5159" s="15" t="n"/>
      <c r="Q5159" s="10" t="n"/>
      <c r="R5159" s="10" t="n"/>
      <c r="S5159" s="16" t="inlineStr">
        <is>
          <t>https://mstgolf.co.th/products/gf2110100087</t>
        </is>
      </c>
      <c r="T5159" s="1">
        <f>IF(B5159="ไม้กอล์ฟ",J5159,"")</f>
        <v/>
      </c>
    </row>
    <row r="5160">
      <c r="A5160" s="1" t="n">
        <v>3</v>
      </c>
      <c r="B5160" s="1" t="inlineStr">
        <is>
          <t>อุปกรณ์เสริม</t>
        </is>
      </c>
      <c r="C5160" s="1" t="inlineStr">
        <is>
          <t>gf3500300769</t>
        </is>
      </c>
      <c r="D5160" s="1" t="inlineStr">
        <is>
          <t>ONOFF OA1722 Ball Case (Pink)</t>
        </is>
      </c>
      <c r="E5160" s="1" t="inlineStr">
        <is>
          <t>ONOFF</t>
        </is>
      </c>
      <c r="F5160" s="1" t="inlineStr">
        <is>
          <t>GOLF ACCESSORIES</t>
        </is>
      </c>
      <c r="G5160" s="1" t="inlineStr">
        <is>
          <t>GF3500300769</t>
        </is>
      </c>
      <c r="H5160" s="1" t="n">
        <v>1</v>
      </c>
      <c r="I5160" s="1" t="inlineStr">
        <is>
          <t>หมด</t>
        </is>
      </c>
      <c r="J5160" s="13" t="n">
        <v>45</v>
      </c>
      <c r="K5160" s="1" t="inlineStr"/>
      <c r="L5160" s="13" t="n">
        <v>45</v>
      </c>
      <c r="M5160" s="1">
        <f>IF(L5160="","ไม่พบใน SG",IF(ABS(J5160-L5160)&lt;0.005,"ตรงกัน","ไม่ตรง"))</f>
        <v/>
      </c>
      <c r="N5160" s="14">
        <f>IF(L5160="","",ROUND(L5160*'สรุป'!$C$6,-1))</f>
        <v/>
      </c>
      <c r="O5160" s="15" t="n"/>
      <c r="P5160" s="15" t="n"/>
      <c r="Q5160" s="10" t="n"/>
      <c r="R5160" s="10" t="n"/>
      <c r="S5160" s="16" t="inlineStr">
        <is>
          <t>https://mstgolf.co.th/products/gf3500300769</t>
        </is>
      </c>
      <c r="T5160" s="1">
        <f>IF(B5160="ไม้กอล์ฟ",J5160,"")</f>
        <v/>
      </c>
    </row>
    <row r="5161">
      <c r="A5161" s="1" t="n">
        <v>3</v>
      </c>
      <c r="B5161" s="1" t="inlineStr">
        <is>
          <t>อุปกรณ์เสริม</t>
        </is>
      </c>
      <c r="C5161" s="1" t="inlineStr">
        <is>
          <t>gf3500300717</t>
        </is>
      </c>
      <c r="D5161" s="1" t="inlineStr">
        <is>
          <t>PUMA Golf Cooler Bag (Black)</t>
        </is>
      </c>
      <c r="E5161" s="1" t="inlineStr">
        <is>
          <t>PUMA</t>
        </is>
      </c>
      <c r="F5161" s="1" t="inlineStr">
        <is>
          <t>GOLF ACCESSORIES</t>
        </is>
      </c>
      <c r="G5161" s="1" t="inlineStr">
        <is>
          <t>GF3500300717</t>
        </is>
      </c>
      <c r="H5161" s="1" t="n">
        <v>1</v>
      </c>
      <c r="I5161" s="1" t="inlineStr">
        <is>
          <t>หมด</t>
        </is>
      </c>
      <c r="J5161" s="13" t="n">
        <v>45</v>
      </c>
      <c r="K5161" s="1" t="inlineStr"/>
      <c r="L5161" s="13" t="n">
        <v>35</v>
      </c>
      <c r="M5161" s="1">
        <f>IF(L5161="","ไม่พบใน SG",IF(ABS(J5161-L5161)&lt;0.005,"ตรงกัน","ไม่ตรง"))</f>
        <v/>
      </c>
      <c r="N5161" s="14">
        <f>IF(L5161="","",ROUND(L5161*'สรุป'!$C$6,-1))</f>
        <v/>
      </c>
      <c r="O5161" s="15" t="n"/>
      <c r="P5161" s="15" t="n"/>
      <c r="Q5161" s="10" t="n"/>
      <c r="R5161" s="10" t="n"/>
      <c r="S5161" s="16" t="inlineStr">
        <is>
          <t>https://mstgolf.co.th/products/gf3500300717</t>
        </is>
      </c>
      <c r="T5161" s="1">
        <f>IF(B5161="ไม้กอล์ฟ",J5161,"")</f>
        <v/>
      </c>
    </row>
    <row r="5162">
      <c r="A5162" s="1" t="n">
        <v>3</v>
      </c>
      <c r="B5162" s="1" t="inlineStr">
        <is>
          <t>เสื้อผ้า</t>
        </is>
      </c>
      <c r="C5162" s="1" t="inlineStr">
        <is>
          <t>gf2040112175</t>
        </is>
      </c>
      <c r="D5162" s="1" t="inlineStr">
        <is>
          <t>PUMA LooMen's Polo (Blue Turquoise)</t>
        </is>
      </c>
      <c r="E5162" s="1" t="inlineStr">
        <is>
          <t>PUMA</t>
        </is>
      </c>
      <c r="F5162" s="1" t="inlineStr">
        <is>
          <t>SHORT SLEEVES</t>
        </is>
      </c>
      <c r="G5162" s="1" t="inlineStr">
        <is>
          <t>GF2040112175XS</t>
        </is>
      </c>
      <c r="H5162" s="1" t="n">
        <v>5</v>
      </c>
      <c r="I5162" s="1" t="inlineStr">
        <is>
          <t>หมด</t>
        </is>
      </c>
      <c r="J5162" s="13" t="n">
        <v>45</v>
      </c>
      <c r="K5162" s="1" t="inlineStr"/>
      <c r="L5162" s="13" t="n">
        <v>45</v>
      </c>
      <c r="M5162" s="1">
        <f>IF(L5162="","ไม่พบใน SG",IF(ABS(J5162-L5162)&lt;0.005,"ตรงกัน","ไม่ตรง"))</f>
        <v/>
      </c>
      <c r="N5162" s="14">
        <f>IF(L5162="","",ROUND(L5162*'สรุป'!$C$6,-1))</f>
        <v/>
      </c>
      <c r="O5162" s="15" t="n"/>
      <c r="P5162" s="15" t="n"/>
      <c r="Q5162" s="10" t="n"/>
      <c r="R5162" s="10" t="n"/>
      <c r="S5162" s="16" t="inlineStr">
        <is>
          <t>https://mstgolf.co.th/products/gf2040112175</t>
        </is>
      </c>
      <c r="T5162" s="1">
        <f>IF(B5162="ไม้กอล์ฟ",J5162,"")</f>
        <v/>
      </c>
    </row>
    <row r="5163">
      <c r="A5163" s="1" t="n">
        <v>3</v>
      </c>
      <c r="B5163" s="1" t="inlineStr">
        <is>
          <t>เสื้อผ้า</t>
        </is>
      </c>
      <c r="C5163" s="1" t="inlineStr">
        <is>
          <t>gf2040116629</t>
        </is>
      </c>
      <c r="D5163" s="1" t="inlineStr">
        <is>
          <t>PUMA MATTR Fern Women's Polo (Strawberry Blast)</t>
        </is>
      </c>
      <c r="E5163" s="1" t="inlineStr">
        <is>
          <t>PUMA</t>
        </is>
      </c>
      <c r="F5163" s="1" t="inlineStr">
        <is>
          <t>SHORT SLEEVES</t>
        </is>
      </c>
      <c r="G5163" s="1" t="inlineStr">
        <is>
          <t>GF2040116629XS</t>
        </is>
      </c>
      <c r="H5163" s="1" t="n">
        <v>6</v>
      </c>
      <c r="I5163" s="1" t="inlineStr">
        <is>
          <t>หมด</t>
        </is>
      </c>
      <c r="J5163" s="13" t="n">
        <v>45</v>
      </c>
      <c r="K5163" s="1" t="inlineStr"/>
      <c r="L5163" s="13" t="n">
        <v>45</v>
      </c>
      <c r="M5163" s="1">
        <f>IF(L5163="","ไม่พบใน SG",IF(ABS(J5163-L5163)&lt;0.005,"ตรงกัน","ไม่ตรง"))</f>
        <v/>
      </c>
      <c r="N5163" s="14">
        <f>IF(L5163="","",ROUND(L5163*'สรุป'!$C$6,-1))</f>
        <v/>
      </c>
      <c r="O5163" s="15" t="n"/>
      <c r="P5163" s="15" t="n"/>
      <c r="Q5163" s="10" t="n"/>
      <c r="R5163" s="10" t="n"/>
      <c r="S5163" s="16" t="inlineStr">
        <is>
          <t>https://mstgolf.co.th/products/gf2040116629</t>
        </is>
      </c>
      <c r="T5163" s="1">
        <f>IF(B5163="ไม้กอล์ฟ",J5163,"")</f>
        <v/>
      </c>
    </row>
    <row r="5164">
      <c r="A5164" s="1" t="n">
        <v>3</v>
      </c>
      <c r="B5164" s="1" t="inlineStr">
        <is>
          <t>เสื้อผ้า</t>
        </is>
      </c>
      <c r="C5164" s="1" t="inlineStr">
        <is>
          <t>gf2040116628</t>
        </is>
      </c>
      <c r="D5164" s="1" t="inlineStr">
        <is>
          <t>PUMA MATTR Fern Women's Polo (White Glow)</t>
        </is>
      </c>
      <c r="E5164" s="1" t="inlineStr">
        <is>
          <t>PUMA</t>
        </is>
      </c>
      <c r="F5164" s="1" t="inlineStr">
        <is>
          <t>SHORT SLEEVES</t>
        </is>
      </c>
      <c r="G5164" s="1" t="inlineStr">
        <is>
          <t>GF2040116628XS</t>
        </is>
      </c>
      <c r="H5164" s="1" t="n">
        <v>6</v>
      </c>
      <c r="I5164" s="1" t="inlineStr">
        <is>
          <t>หมด</t>
        </is>
      </c>
      <c r="J5164" s="13" t="n">
        <v>45</v>
      </c>
      <c r="K5164" s="1" t="inlineStr"/>
      <c r="L5164" s="13" t="n">
        <v>45</v>
      </c>
      <c r="M5164" s="1">
        <f>IF(L5164="","ไม่พบใน SG",IF(ABS(J5164-L5164)&lt;0.005,"ตรงกัน","ไม่ตรง"))</f>
        <v/>
      </c>
      <c r="N5164" s="14">
        <f>IF(L5164="","",ROUND(L5164*'สรุป'!$C$6,-1))</f>
        <v/>
      </c>
      <c r="O5164" s="15" t="n"/>
      <c r="P5164" s="15" t="n"/>
      <c r="Q5164" s="10" t="n"/>
      <c r="R5164" s="10" t="n"/>
      <c r="S5164" s="16" t="inlineStr">
        <is>
          <t>https://mstgolf.co.th/products/gf2040116628</t>
        </is>
      </c>
      <c r="T5164" s="1">
        <f>IF(B5164="ไม้กอล์ฟ",J5164,"")</f>
        <v/>
      </c>
    </row>
    <row r="5165">
      <c r="A5165" s="1" t="n">
        <v>3</v>
      </c>
      <c r="B5165" s="1" t="inlineStr">
        <is>
          <t>เสื้อผ้า</t>
        </is>
      </c>
      <c r="C5165" s="1" t="inlineStr">
        <is>
          <t>gf2040116659</t>
        </is>
      </c>
      <c r="D5165" s="1" t="inlineStr">
        <is>
          <t>PUMA MATTR Tucker Men's Polo (Peach/White)</t>
        </is>
      </c>
      <c r="E5165" s="1" t="inlineStr">
        <is>
          <t>PUMA</t>
        </is>
      </c>
      <c r="F5165" s="1" t="inlineStr">
        <is>
          <t>SHORT SLEEVES</t>
        </is>
      </c>
      <c r="G5165" s="1" t="inlineStr">
        <is>
          <t>GF2040116659XS</t>
        </is>
      </c>
      <c r="H5165" s="1" t="n">
        <v>6</v>
      </c>
      <c r="I5165" s="1" t="inlineStr">
        <is>
          <t>หมด</t>
        </is>
      </c>
      <c r="J5165" s="13" t="n">
        <v>45</v>
      </c>
      <c r="K5165" s="1" t="inlineStr"/>
      <c r="L5165" s="13" t="n"/>
      <c r="M5165" s="1">
        <f>IF(L5165="","ไม่พบใน SG",IF(ABS(J5165-L5165)&lt;0.005,"ตรงกัน","ไม่ตรง"))</f>
        <v/>
      </c>
      <c r="N5165" s="14">
        <f>IF(L5165="","",ROUND(L5165*'สรุป'!$C$6,-1))</f>
        <v/>
      </c>
      <c r="O5165" s="15" t="n"/>
      <c r="P5165" s="15" t="n"/>
      <c r="Q5165" s="10" t="n"/>
      <c r="R5165" s="10" t="n"/>
      <c r="S5165" s="16" t="inlineStr">
        <is>
          <t>https://mstgolf.co.th/products/gf2040116659</t>
        </is>
      </c>
      <c r="T5165" s="1">
        <f>IF(B5165="ไม้กอล์ฟ",J5165,"")</f>
        <v/>
      </c>
    </row>
    <row r="5166">
      <c r="A5166" s="1" t="n">
        <v>3</v>
      </c>
      <c r="B5166" s="1" t="inlineStr">
        <is>
          <t>เสื้อผ้า</t>
        </is>
      </c>
      <c r="C5166" s="1" t="inlineStr">
        <is>
          <t>gf2110100096</t>
        </is>
      </c>
      <c r="D5166" s="1" t="inlineStr">
        <is>
          <t>SKINS Skins Arm Sleeves (Black)</t>
        </is>
      </c>
      <c r="E5166" s="1" t="inlineStr">
        <is>
          <t>SKINS</t>
        </is>
      </c>
      <c r="F5166" s="1" t="inlineStr">
        <is>
          <t>ARM GLOVE</t>
        </is>
      </c>
      <c r="G5166" s="1" t="inlineStr">
        <is>
          <t>GF2110100096S</t>
        </is>
      </c>
      <c r="H5166" s="1" t="n">
        <v>3</v>
      </c>
      <c r="I5166" s="1" t="inlineStr">
        <is>
          <t>หมด</t>
        </is>
      </c>
      <c r="J5166" s="13" t="n">
        <v>45</v>
      </c>
      <c r="K5166" s="1" t="inlineStr"/>
      <c r="L5166" s="13" t="n"/>
      <c r="M5166" s="1">
        <f>IF(L5166="","ไม่พบใน SG",IF(ABS(J5166-L5166)&lt;0.005,"ตรงกัน","ไม่ตรง"))</f>
        <v/>
      </c>
      <c r="N5166" s="14">
        <f>IF(L5166="","",ROUND(L5166*'สรุป'!$C$6,-1))</f>
        <v/>
      </c>
      <c r="O5166" s="15" t="n"/>
      <c r="P5166" s="15" t="n"/>
      <c r="Q5166" s="10" t="n"/>
      <c r="R5166" s="10" t="n"/>
      <c r="S5166" s="16" t="inlineStr">
        <is>
          <t>https://mstgolf.co.th/products/gf2110100096</t>
        </is>
      </c>
      <c r="T5166" s="1">
        <f>IF(B5166="ไม้กอล์ฟ",J5166,"")</f>
        <v/>
      </c>
    </row>
    <row r="5167">
      <c r="A5167" s="1" t="n">
        <v>3</v>
      </c>
      <c r="B5167" s="1" t="inlineStr">
        <is>
          <t>เสื้อผ้า</t>
        </is>
      </c>
      <c r="C5167" s="1" t="inlineStr">
        <is>
          <t>gf2110100097</t>
        </is>
      </c>
      <c r="D5167" s="1" t="inlineStr">
        <is>
          <t>SKINS Skins Arm Sleeves (White)</t>
        </is>
      </c>
      <c r="E5167" s="1" t="inlineStr">
        <is>
          <t>SKINS</t>
        </is>
      </c>
      <c r="F5167" s="1" t="inlineStr">
        <is>
          <t>ARM GLOVE</t>
        </is>
      </c>
      <c r="G5167" s="1" t="inlineStr">
        <is>
          <t>GF2110100097S</t>
        </is>
      </c>
      <c r="H5167" s="1" t="n">
        <v>3</v>
      </c>
      <c r="I5167" s="1" t="inlineStr">
        <is>
          <t>หมด</t>
        </is>
      </c>
      <c r="J5167" s="13" t="n">
        <v>45</v>
      </c>
      <c r="K5167" s="1" t="inlineStr"/>
      <c r="L5167" s="13" t="n"/>
      <c r="M5167" s="1">
        <f>IF(L5167="","ไม่พบใน SG",IF(ABS(J5167-L5167)&lt;0.005,"ตรงกัน","ไม่ตรง"))</f>
        <v/>
      </c>
      <c r="N5167" s="14">
        <f>IF(L5167="","",ROUND(L5167*'สรุป'!$C$6,-1))</f>
        <v/>
      </c>
      <c r="O5167" s="15" t="n"/>
      <c r="P5167" s="15" t="n"/>
      <c r="Q5167" s="10" t="n"/>
      <c r="R5167" s="10" t="n"/>
      <c r="S5167" s="16" t="inlineStr">
        <is>
          <t>https://mstgolf.co.th/products/gf2110100097</t>
        </is>
      </c>
      <c r="T5167" s="1">
        <f>IF(B5167="ไม้กอล์ฟ",J5167,"")</f>
        <v/>
      </c>
    </row>
    <row r="5168">
      <c r="A5168" s="1" t="n">
        <v>3</v>
      </c>
      <c r="B5168" s="1" t="inlineStr">
        <is>
          <t>อุปกรณ์เสริม</t>
        </is>
      </c>
      <c r="C5168" s="1" t="inlineStr">
        <is>
          <t>gf3500201654</t>
        </is>
      </c>
      <c r="D5168" s="1" t="inlineStr">
        <is>
          <t>TAYLORMADE Circle Logo Fairway Headcover</t>
        </is>
      </c>
      <c r="E5168" s="1" t="inlineStr">
        <is>
          <t>TAYLORMADE</t>
        </is>
      </c>
      <c r="F5168" s="1" t="inlineStr">
        <is>
          <t>HEADCOVERS</t>
        </is>
      </c>
      <c r="G5168" s="1" t="inlineStr">
        <is>
          <t>GF3500201654</t>
        </is>
      </c>
      <c r="H5168" s="1" t="n">
        <v>1</v>
      </c>
      <c r="I5168" s="1" t="inlineStr">
        <is>
          <t>หมด</t>
        </is>
      </c>
      <c r="J5168" s="13" t="n">
        <v>45</v>
      </c>
      <c r="K5168" s="1" t="inlineStr"/>
      <c r="L5168" s="13" t="n">
        <v>45</v>
      </c>
      <c r="M5168" s="1">
        <f>IF(L5168="","ไม่พบใน SG",IF(ABS(J5168-L5168)&lt;0.005,"ตรงกัน","ไม่ตรง"))</f>
        <v/>
      </c>
      <c r="N5168" s="14">
        <f>IF(L5168="","",ROUND(L5168*'สรุป'!$C$6,-1))</f>
        <v/>
      </c>
      <c r="O5168" s="15" t="n"/>
      <c r="P5168" s="15" t="n"/>
      <c r="Q5168" s="10" t="n"/>
      <c r="R5168" s="10" t="n"/>
      <c r="S5168" s="16" t="inlineStr">
        <is>
          <t>https://mstgolf.co.th/products/gf3500201654</t>
        </is>
      </c>
      <c r="T5168" s="1">
        <f>IF(B5168="ไม้กอล์ฟ",J5168,"")</f>
        <v/>
      </c>
    </row>
    <row r="5169">
      <c r="A5169" s="1" t="n">
        <v>3</v>
      </c>
      <c r="B5169" s="1" t="inlineStr">
        <is>
          <t>อุปกรณ์เสริม</t>
        </is>
      </c>
      <c r="C5169" s="1" t="inlineStr">
        <is>
          <t>gf3500201653</t>
        </is>
      </c>
      <c r="D5169" s="1" t="inlineStr">
        <is>
          <t>TAYLORMADE Circle Logo Fairway Headcover</t>
        </is>
      </c>
      <c r="E5169" s="1" t="inlineStr">
        <is>
          <t>TAYLORMADE</t>
        </is>
      </c>
      <c r="F5169" s="1" t="inlineStr">
        <is>
          <t>HEADCOVERS</t>
        </is>
      </c>
      <c r="G5169" s="1" t="inlineStr">
        <is>
          <t>GF3500201653</t>
        </is>
      </c>
      <c r="H5169" s="1" t="n">
        <v>1</v>
      </c>
      <c r="I5169" s="1" t="inlineStr">
        <is>
          <t>หมด</t>
        </is>
      </c>
      <c r="J5169" s="13" t="n">
        <v>45</v>
      </c>
      <c r="K5169" s="1" t="inlineStr"/>
      <c r="L5169" s="13" t="n">
        <v>45</v>
      </c>
      <c r="M5169" s="1">
        <f>IF(L5169="","ไม่พบใน SG",IF(ABS(J5169-L5169)&lt;0.005,"ตรงกัน","ไม่ตรง"))</f>
        <v/>
      </c>
      <c r="N5169" s="14">
        <f>IF(L5169="","",ROUND(L5169*'สรุป'!$C$6,-1))</f>
        <v/>
      </c>
      <c r="O5169" s="15" t="n"/>
      <c r="P5169" s="15" t="n"/>
      <c r="Q5169" s="10" t="n"/>
      <c r="R5169" s="10" t="n"/>
      <c r="S5169" s="16" t="inlineStr">
        <is>
          <t>https://mstgolf.co.th/products/gf3500201653</t>
        </is>
      </c>
      <c r="T5169" s="1">
        <f>IF(B5169="ไม้กอล์ฟ",J5169,"")</f>
        <v/>
      </c>
    </row>
    <row r="5170">
      <c r="A5170" s="1" t="n">
        <v>3</v>
      </c>
      <c r="B5170" s="1" t="inlineStr">
        <is>
          <t>อุปกรณ์เสริม</t>
        </is>
      </c>
      <c r="C5170" s="1" t="inlineStr">
        <is>
          <t>gf3500201655</t>
        </is>
      </c>
      <c r="D5170" s="1" t="inlineStr">
        <is>
          <t>TAYLORMADE Circle Logo Hybrid/Utility Headcover</t>
        </is>
      </c>
      <c r="E5170" s="1" t="inlineStr">
        <is>
          <t>TAYLORMADE</t>
        </is>
      </c>
      <c r="F5170" s="1" t="inlineStr">
        <is>
          <t>HEADCOVERS</t>
        </is>
      </c>
      <c r="G5170" s="1" t="inlineStr">
        <is>
          <t>GF3500201655</t>
        </is>
      </c>
      <c r="H5170" s="1" t="n">
        <v>1</v>
      </c>
      <c r="I5170" s="1" t="inlineStr">
        <is>
          <t>หมด</t>
        </is>
      </c>
      <c r="J5170" s="13" t="n">
        <v>45</v>
      </c>
      <c r="K5170" s="1" t="inlineStr"/>
      <c r="L5170" s="13" t="n">
        <v>45</v>
      </c>
      <c r="M5170" s="1">
        <f>IF(L5170="","ไม่พบใน SG",IF(ABS(J5170-L5170)&lt;0.005,"ตรงกัน","ไม่ตรง"))</f>
        <v/>
      </c>
      <c r="N5170" s="14">
        <f>IF(L5170="","",ROUND(L5170*'สรุป'!$C$6,-1))</f>
        <v/>
      </c>
      <c r="O5170" s="15" t="n"/>
      <c r="P5170" s="15" t="n"/>
      <c r="Q5170" s="10" t="n"/>
      <c r="R5170" s="10" t="n"/>
      <c r="S5170" s="16" t="inlineStr">
        <is>
          <t>https://mstgolf.co.th/products/gf3500201655</t>
        </is>
      </c>
      <c r="T5170" s="1">
        <f>IF(B5170="ไม้กอล์ฟ",J5170,"")</f>
        <v/>
      </c>
    </row>
    <row r="5171">
      <c r="A5171" s="1" t="n">
        <v>3</v>
      </c>
      <c r="B5171" s="1" t="inlineStr">
        <is>
          <t>เสื้อผ้า</t>
        </is>
      </c>
      <c r="C5171" s="1" t="inlineStr">
        <is>
          <t>gf2040118787</t>
        </is>
      </c>
      <c r="D5171" s="1" t="inlineStr">
        <is>
          <t>TAYLORMADE Limited Edition Race Men's T-Shirt (Black)</t>
        </is>
      </c>
      <c r="E5171" s="1" t="inlineStr">
        <is>
          <t>TAYLORMADE</t>
        </is>
      </c>
      <c r="F5171" s="1" t="inlineStr">
        <is>
          <t>SHORT SLEEVES</t>
        </is>
      </c>
      <c r="G5171" s="1" t="inlineStr">
        <is>
          <t>GF2040118787XS</t>
        </is>
      </c>
      <c r="H5171" s="1" t="n">
        <v>6</v>
      </c>
      <c r="I5171" s="1" t="inlineStr">
        <is>
          <t>หมด</t>
        </is>
      </c>
      <c r="J5171" s="13" t="n">
        <v>45</v>
      </c>
      <c r="K5171" s="1" t="inlineStr"/>
      <c r="L5171" s="13" t="n"/>
      <c r="M5171" s="1">
        <f>IF(L5171="","ไม่พบใน SG",IF(ABS(J5171-L5171)&lt;0.005,"ตรงกัน","ไม่ตรง"))</f>
        <v/>
      </c>
      <c r="N5171" s="14">
        <f>IF(L5171="","",ROUND(L5171*'สรุป'!$C$6,-1))</f>
        <v/>
      </c>
      <c r="O5171" s="15" t="n"/>
      <c r="P5171" s="15" t="n"/>
      <c r="Q5171" s="10" t="n"/>
      <c r="R5171" s="10" t="n"/>
      <c r="S5171" s="16" t="inlineStr">
        <is>
          <t>https://mstgolf.co.th/products/gf2040118787</t>
        </is>
      </c>
      <c r="T5171" s="1">
        <f>IF(B5171="ไม้กอล์ฟ",J5171,"")</f>
        <v/>
      </c>
    </row>
    <row r="5172">
      <c r="A5172" s="1" t="n">
        <v>3</v>
      </c>
      <c r="B5172" s="1" t="inlineStr">
        <is>
          <t>เสื้อผ้า</t>
        </is>
      </c>
      <c r="C5172" s="1" t="inlineStr">
        <is>
          <t>gf2040119971</t>
        </is>
      </c>
      <c r="D5172" s="1" t="inlineStr">
        <is>
          <t>TAYLORMADE Limited Edition Race Men's T-Shirt (White)</t>
        </is>
      </c>
      <c r="E5172" s="1" t="inlineStr">
        <is>
          <t>TAYLORMADE</t>
        </is>
      </c>
      <c r="F5172" s="1" t="inlineStr">
        <is>
          <t>SHORT SLEEVES</t>
        </is>
      </c>
      <c r="G5172" s="1" t="inlineStr">
        <is>
          <t>GF2040119971XS</t>
        </is>
      </c>
      <c r="H5172" s="1" t="n">
        <v>6</v>
      </c>
      <c r="I5172" s="1" t="inlineStr">
        <is>
          <t>หมด</t>
        </is>
      </c>
      <c r="J5172" s="13" t="n">
        <v>45</v>
      </c>
      <c r="K5172" s="1" t="inlineStr"/>
      <c r="L5172" s="13" t="n"/>
      <c r="M5172" s="1">
        <f>IF(L5172="","ไม่พบใน SG",IF(ABS(J5172-L5172)&lt;0.005,"ตรงกัน","ไม่ตรง"))</f>
        <v/>
      </c>
      <c r="N5172" s="14">
        <f>IF(L5172="","",ROUND(L5172*'สรุป'!$C$6,-1))</f>
        <v/>
      </c>
      <c r="O5172" s="15" t="n"/>
      <c r="P5172" s="15" t="n"/>
      <c r="Q5172" s="10" t="n"/>
      <c r="R5172" s="10" t="n"/>
      <c r="S5172" s="16" t="inlineStr">
        <is>
          <t>https://mstgolf.co.th/products/gf2040119971</t>
        </is>
      </c>
      <c r="T5172" s="1">
        <f>IF(B5172="ไม้กอล์ฟ",J5172,"")</f>
        <v/>
      </c>
    </row>
    <row r="5173">
      <c r="A5173" s="1" t="n">
        <v>3</v>
      </c>
      <c r="B5173" s="1" t="inlineStr">
        <is>
          <t>เสื้อผ้า</t>
        </is>
      </c>
      <c r="C5173" s="1" t="inlineStr">
        <is>
          <t>gf2040119972</t>
        </is>
      </c>
      <c r="D5173" s="1" t="inlineStr">
        <is>
          <t>TAYLORMADE Limited Edition Slipstream Men's T-Shirt (White)</t>
        </is>
      </c>
      <c r="E5173" s="1" t="inlineStr">
        <is>
          <t>TAYLORMADE</t>
        </is>
      </c>
      <c r="F5173" s="1" t="inlineStr">
        <is>
          <t>SHORT SLEEVES</t>
        </is>
      </c>
      <c r="G5173" s="1" t="inlineStr">
        <is>
          <t>GF2040119972XS</t>
        </is>
      </c>
      <c r="H5173" s="1" t="n">
        <v>6</v>
      </c>
      <c r="I5173" s="1" t="inlineStr">
        <is>
          <t>หมด</t>
        </is>
      </c>
      <c r="J5173" s="13" t="n">
        <v>45</v>
      </c>
      <c r="K5173" s="1" t="inlineStr"/>
      <c r="L5173" s="13" t="n"/>
      <c r="M5173" s="1">
        <f>IF(L5173="","ไม่พบใน SG",IF(ABS(J5173-L5173)&lt;0.005,"ตรงกัน","ไม่ตรง"))</f>
        <v/>
      </c>
      <c r="N5173" s="14">
        <f>IF(L5173="","",ROUND(L5173*'สรุป'!$C$6,-1))</f>
        <v/>
      </c>
      <c r="O5173" s="15" t="n"/>
      <c r="P5173" s="15" t="n"/>
      <c r="Q5173" s="10" t="n"/>
      <c r="R5173" s="10" t="n"/>
      <c r="S5173" s="16" t="inlineStr">
        <is>
          <t>https://mstgolf.co.th/products/gf2040119972</t>
        </is>
      </c>
      <c r="T5173" s="1">
        <f>IF(B5173="ไม้กอล์ฟ",J5173,"")</f>
        <v/>
      </c>
    </row>
    <row r="5174">
      <c r="A5174" s="1" t="n">
        <v>3</v>
      </c>
      <c r="B5174" s="1" t="inlineStr">
        <is>
          <t>เสื้อผ้า</t>
        </is>
      </c>
      <c r="C5174" s="1" t="inlineStr">
        <is>
          <t>gf2040118786</t>
        </is>
      </c>
      <c r="D5174" s="1" t="inlineStr">
        <is>
          <t>TAYLORMADE Limited Edtion Signature Men's T-Shirt (Navy)</t>
        </is>
      </c>
      <c r="E5174" s="1" t="inlineStr">
        <is>
          <t>TAYLORMADE</t>
        </is>
      </c>
      <c r="F5174" s="1" t="inlineStr">
        <is>
          <t>SHORT SLEEVES</t>
        </is>
      </c>
      <c r="G5174" s="1" t="inlineStr">
        <is>
          <t>GF2040118786XS</t>
        </is>
      </c>
      <c r="H5174" s="1" t="n">
        <v>6</v>
      </c>
      <c r="I5174" s="1" t="inlineStr">
        <is>
          <t>หมด</t>
        </is>
      </c>
      <c r="J5174" s="13" t="n">
        <v>45</v>
      </c>
      <c r="K5174" s="1" t="inlineStr"/>
      <c r="L5174" s="13" t="n"/>
      <c r="M5174" s="1">
        <f>IF(L5174="","ไม่พบใน SG",IF(ABS(J5174-L5174)&lt;0.005,"ตรงกัน","ไม่ตรง"))</f>
        <v/>
      </c>
      <c r="N5174" s="14">
        <f>IF(L5174="","",ROUND(L5174*'สรุป'!$C$6,-1))</f>
        <v/>
      </c>
      <c r="O5174" s="15" t="n"/>
      <c r="P5174" s="15" t="n"/>
      <c r="Q5174" s="10" t="n"/>
      <c r="R5174" s="10" t="n"/>
      <c r="S5174" s="16" t="inlineStr">
        <is>
          <t>https://mstgolf.co.th/products/gf2040118786</t>
        </is>
      </c>
      <c r="T5174" s="1">
        <f>IF(B5174="ไม้กอล์ฟ",J5174,"")</f>
        <v/>
      </c>
    </row>
    <row r="5175">
      <c r="A5175" s="1" t="n">
        <v>3</v>
      </c>
      <c r="B5175" s="1" t="inlineStr">
        <is>
          <t>หมวก</t>
        </is>
      </c>
      <c r="C5175" s="1" t="inlineStr">
        <is>
          <t>gf2000105364</t>
        </is>
      </c>
      <c r="D5175" s="1" t="inlineStr">
        <is>
          <t>TITLEIST Oceanside Men's Cap (Reef/White)</t>
        </is>
      </c>
      <c r="E5175" s="1" t="inlineStr">
        <is>
          <t>TITLEIST</t>
        </is>
      </c>
      <c r="F5175" s="1" t="inlineStr">
        <is>
          <t>CAP</t>
        </is>
      </c>
      <c r="G5175" s="1" t="inlineStr">
        <is>
          <t>GF2000105364FS</t>
        </is>
      </c>
      <c r="H5175" s="1" t="n">
        <v>1</v>
      </c>
      <c r="I5175" s="1" t="inlineStr">
        <is>
          <t>หมด</t>
        </is>
      </c>
      <c r="J5175" s="13" t="n">
        <v>45</v>
      </c>
      <c r="K5175" s="1" t="inlineStr"/>
      <c r="L5175" s="13" t="n">
        <v>45</v>
      </c>
      <c r="M5175" s="1">
        <f>IF(L5175="","ไม่พบใน SG",IF(ABS(J5175-L5175)&lt;0.005,"ตรงกัน","ไม่ตรง"))</f>
        <v/>
      </c>
      <c r="N5175" s="14">
        <f>IF(L5175="","",ROUND(L5175*'สรุป'!$C$6,-1))</f>
        <v/>
      </c>
      <c r="O5175" s="15" t="n"/>
      <c r="P5175" s="15" t="n"/>
      <c r="Q5175" s="10" t="n"/>
      <c r="R5175" s="10" t="n"/>
      <c r="S5175" s="16" t="inlineStr">
        <is>
          <t>https://mstgolf.co.th/products/gf2000105364</t>
        </is>
      </c>
      <c r="T5175" s="1">
        <f>IF(B5175="ไม้กอล์ฟ",J5175,"")</f>
        <v/>
      </c>
    </row>
    <row r="5176">
      <c r="A5176" s="1" t="n">
        <v>3</v>
      </c>
      <c r="B5176" s="1" t="inlineStr">
        <is>
          <t>หมวก</t>
        </is>
      </c>
      <c r="C5176" s="1" t="inlineStr">
        <is>
          <t>gf2000106268</t>
        </is>
      </c>
      <c r="D5176" s="1" t="inlineStr">
        <is>
          <t>UNDER ARMOUR Drive Men's Adjustable Cap (Pink)</t>
        </is>
      </c>
      <c r="E5176" s="1" t="inlineStr">
        <is>
          <t>UNDER ARMOUR</t>
        </is>
      </c>
      <c r="F5176" s="1" t="inlineStr">
        <is>
          <t>CAP</t>
        </is>
      </c>
      <c r="G5176" s="1" t="inlineStr">
        <is>
          <t>GF2000106268FS</t>
        </is>
      </c>
      <c r="H5176" s="1" t="n">
        <v>1</v>
      </c>
      <c r="I5176" s="1" t="inlineStr">
        <is>
          <t>หมด</t>
        </is>
      </c>
      <c r="J5176" s="13" t="n">
        <v>45</v>
      </c>
      <c r="K5176" s="1" t="inlineStr"/>
      <c r="L5176" s="13" t="n">
        <v>45</v>
      </c>
      <c r="M5176" s="1">
        <f>IF(L5176="","ไม่พบใน SG",IF(ABS(J5176-L5176)&lt;0.005,"ตรงกัน","ไม่ตรง"))</f>
        <v/>
      </c>
      <c r="N5176" s="14">
        <f>IF(L5176="","",ROUND(L5176*'สรุป'!$C$6,-1))</f>
        <v/>
      </c>
      <c r="O5176" s="15" t="n"/>
      <c r="P5176" s="15" t="n"/>
      <c r="Q5176" s="10" t="n"/>
      <c r="R5176" s="10" t="n"/>
      <c r="S5176" s="16" t="inlineStr">
        <is>
          <t>https://mstgolf.co.th/products/gf2000106268</t>
        </is>
      </c>
      <c r="T5176" s="1">
        <f>IF(B5176="ไม้กอล์ฟ",J5176,"")</f>
        <v/>
      </c>
    </row>
    <row r="5177">
      <c r="A5177" s="1" t="n">
        <v>3</v>
      </c>
      <c r="B5177" s="1" t="inlineStr">
        <is>
          <t>หมวก</t>
        </is>
      </c>
      <c r="C5177" s="1" t="inlineStr">
        <is>
          <t>gf2000105801</t>
        </is>
      </c>
      <c r="D5177" s="1" t="inlineStr">
        <is>
          <t>UNDER ARMOUR Driver Men's Snapback (Grey/Green)</t>
        </is>
      </c>
      <c r="E5177" s="1" t="inlineStr">
        <is>
          <t>UNDER ARMOUR</t>
        </is>
      </c>
      <c r="F5177" s="1" t="inlineStr">
        <is>
          <t>CAP</t>
        </is>
      </c>
      <c r="G5177" s="1" t="inlineStr">
        <is>
          <t>GF2000105801FS</t>
        </is>
      </c>
      <c r="H5177" s="1" t="n">
        <v>1</v>
      </c>
      <c r="I5177" s="1" t="inlineStr">
        <is>
          <t>หมด</t>
        </is>
      </c>
      <c r="J5177" s="13" t="n">
        <v>45</v>
      </c>
      <c r="K5177" s="1" t="inlineStr"/>
      <c r="L5177" s="13" t="n">
        <v>45</v>
      </c>
      <c r="M5177" s="1">
        <f>IF(L5177="","ไม่พบใน SG",IF(ABS(J5177-L5177)&lt;0.005,"ตรงกัน","ไม่ตรง"))</f>
        <v/>
      </c>
      <c r="N5177" s="14">
        <f>IF(L5177="","",ROUND(L5177*'สรุป'!$C$6,-1))</f>
        <v/>
      </c>
      <c r="O5177" s="15" t="n"/>
      <c r="P5177" s="15" t="n"/>
      <c r="Q5177" s="10" t="n"/>
      <c r="R5177" s="10" t="n"/>
      <c r="S5177" s="16" t="inlineStr">
        <is>
          <t>https://mstgolf.co.th/products/gf2000105801</t>
        </is>
      </c>
      <c r="T5177" s="1">
        <f>IF(B5177="ไม้กอล์ฟ",J5177,"")</f>
        <v/>
      </c>
    </row>
    <row r="5178">
      <c r="A5178" s="1" t="n">
        <v>3</v>
      </c>
      <c r="B5178" s="1" t="inlineStr">
        <is>
          <t>หมวก</t>
        </is>
      </c>
      <c r="C5178" s="1" t="inlineStr">
        <is>
          <t>gf2000105991</t>
        </is>
      </c>
      <c r="D5178" s="1" t="inlineStr">
        <is>
          <t>UNDER ARMOUR Driver Rain Men’s Stretch Fit Cap (Black)</t>
        </is>
      </c>
      <c r="E5178" s="1" t="inlineStr">
        <is>
          <t>UNDER ARMOUR</t>
        </is>
      </c>
      <c r="F5178" s="1" t="inlineStr">
        <is>
          <t>CAP</t>
        </is>
      </c>
      <c r="G5178" s="1" t="inlineStr">
        <is>
          <t>GF2000105991S/M</t>
        </is>
      </c>
      <c r="H5178" s="1" t="n">
        <v>3</v>
      </c>
      <c r="I5178" s="1" t="inlineStr">
        <is>
          <t>หมด</t>
        </is>
      </c>
      <c r="J5178" s="13" t="n">
        <v>45</v>
      </c>
      <c r="K5178" s="1" t="inlineStr"/>
      <c r="L5178" s="13" t="n"/>
      <c r="M5178" s="1">
        <f>IF(L5178="","ไม่พบใน SG",IF(ABS(J5178-L5178)&lt;0.005,"ตรงกัน","ไม่ตรง"))</f>
        <v/>
      </c>
      <c r="N5178" s="14">
        <f>IF(L5178="","",ROUND(L5178*'สรุป'!$C$6,-1))</f>
        <v/>
      </c>
      <c r="O5178" s="15" t="n"/>
      <c r="P5178" s="15" t="n"/>
      <c r="Q5178" s="10" t="n"/>
      <c r="R5178" s="10" t="n"/>
      <c r="S5178" s="16" t="inlineStr">
        <is>
          <t>https://mstgolf.co.th/products/gf2000105991</t>
        </is>
      </c>
      <c r="T5178" s="1">
        <f>IF(B5178="ไม้กอล์ฟ",J5178,"")</f>
        <v/>
      </c>
    </row>
    <row r="5179">
      <c r="A5179" s="1" t="n">
        <v>3</v>
      </c>
      <c r="B5179" s="1" t="inlineStr">
        <is>
          <t>หมวก</t>
        </is>
      </c>
      <c r="C5179" s="1" t="inlineStr">
        <is>
          <t>gf2000106260</t>
        </is>
      </c>
      <c r="D5179" s="1" t="inlineStr">
        <is>
          <t>UNDER ARMOUR Driver Snapback Men's Cap (Navy)</t>
        </is>
      </c>
      <c r="E5179" s="1" t="inlineStr">
        <is>
          <t>UNDER ARMOUR</t>
        </is>
      </c>
      <c r="F5179" s="1" t="inlineStr">
        <is>
          <t>CAP</t>
        </is>
      </c>
      <c r="G5179" s="1" t="inlineStr">
        <is>
          <t>GF2000106260FS</t>
        </is>
      </c>
      <c r="H5179" s="1" t="n">
        <v>1</v>
      </c>
      <c r="I5179" s="1" t="inlineStr">
        <is>
          <t>หมด</t>
        </is>
      </c>
      <c r="J5179" s="13" t="n">
        <v>45</v>
      </c>
      <c r="K5179" s="1" t="inlineStr"/>
      <c r="L5179" s="13" t="n">
        <v>45</v>
      </c>
      <c r="M5179" s="1">
        <f>IF(L5179="","ไม่พบใน SG",IF(ABS(J5179-L5179)&lt;0.005,"ตรงกัน","ไม่ตรง"))</f>
        <v/>
      </c>
      <c r="N5179" s="14">
        <f>IF(L5179="","",ROUND(L5179*'สรุป'!$C$6,-1))</f>
        <v/>
      </c>
      <c r="O5179" s="15" t="n"/>
      <c r="P5179" s="15" t="n"/>
      <c r="Q5179" s="10" t="n"/>
      <c r="R5179" s="10" t="n"/>
      <c r="S5179" s="16" t="inlineStr">
        <is>
          <t>https://mstgolf.co.th/products/gf2000106260</t>
        </is>
      </c>
      <c r="T5179" s="1">
        <f>IF(B5179="ไม้กอล์ฟ",J5179,"")</f>
        <v/>
      </c>
    </row>
    <row r="5180">
      <c r="A5180" s="1" t="n">
        <v>3</v>
      </c>
      <c r="B5180" s="1" t="inlineStr">
        <is>
          <t>หมวก</t>
        </is>
      </c>
      <c r="C5180" s="1" t="inlineStr">
        <is>
          <t>gf2000106256</t>
        </is>
      </c>
      <c r="D5180" s="1" t="inlineStr">
        <is>
          <t>UNDER ARMOUR Driver Snapback Men's Cap (White)</t>
        </is>
      </c>
      <c r="E5180" s="1" t="inlineStr">
        <is>
          <t>UNDER ARMOUR</t>
        </is>
      </c>
      <c r="F5180" s="1" t="inlineStr">
        <is>
          <t>CAP</t>
        </is>
      </c>
      <c r="G5180" s="1" t="inlineStr">
        <is>
          <t>GF2000106256FS</t>
        </is>
      </c>
      <c r="H5180" s="1" t="n">
        <v>1</v>
      </c>
      <c r="I5180" s="1" t="inlineStr">
        <is>
          <t>หมด</t>
        </is>
      </c>
      <c r="J5180" s="13" t="n">
        <v>45</v>
      </c>
      <c r="K5180" s="1" t="inlineStr"/>
      <c r="L5180" s="13" t="n">
        <v>45</v>
      </c>
      <c r="M5180" s="1">
        <f>IF(L5180="","ไม่พบใน SG",IF(ABS(J5180-L5180)&lt;0.005,"ตรงกัน","ไม่ตรง"))</f>
        <v/>
      </c>
      <c r="N5180" s="14">
        <f>IF(L5180="","",ROUND(L5180*'สรุป'!$C$6,-1))</f>
        <v/>
      </c>
      <c r="O5180" s="15" t="n"/>
      <c r="P5180" s="15" t="n"/>
      <c r="Q5180" s="10" t="n"/>
      <c r="R5180" s="10" t="n"/>
      <c r="S5180" s="16" t="inlineStr">
        <is>
          <t>https://mstgolf.co.th/products/gf2000106256</t>
        </is>
      </c>
      <c r="T5180" s="1">
        <f>IF(B5180="ไม้กอล์ฟ",J5180,"")</f>
        <v/>
      </c>
    </row>
    <row r="5181">
      <c r="A5181" s="1" t="n">
        <v>3</v>
      </c>
      <c r="B5181" s="1" t="inlineStr">
        <is>
          <t>หมวก</t>
        </is>
      </c>
      <c r="C5181" s="1" t="inlineStr">
        <is>
          <t>gf2000105989</t>
        </is>
      </c>
      <c r="D5181" s="1" t="inlineStr">
        <is>
          <t>UNDER ARMOUR Driver Snapback Men's Cap (White/Black)</t>
        </is>
      </c>
      <c r="E5181" s="1" t="inlineStr">
        <is>
          <t>UNDER ARMOUR</t>
        </is>
      </c>
      <c r="F5181" s="1" t="inlineStr">
        <is>
          <t>CAP</t>
        </is>
      </c>
      <c r="G5181" s="1" t="inlineStr">
        <is>
          <t>GF2000105989FS</t>
        </is>
      </c>
      <c r="H5181" s="1" t="n">
        <v>1</v>
      </c>
      <c r="I5181" s="1" t="inlineStr">
        <is>
          <t>หมด</t>
        </is>
      </c>
      <c r="J5181" s="13" t="n">
        <v>45</v>
      </c>
      <c r="K5181" s="1" t="inlineStr"/>
      <c r="L5181" s="13" t="n">
        <v>45</v>
      </c>
      <c r="M5181" s="1">
        <f>IF(L5181="","ไม่พบใน SG",IF(ABS(J5181-L5181)&lt;0.005,"ตรงกัน","ไม่ตรง"))</f>
        <v/>
      </c>
      <c r="N5181" s="14">
        <f>IF(L5181="","",ROUND(L5181*'สรุป'!$C$6,-1))</f>
        <v/>
      </c>
      <c r="O5181" s="15" t="n"/>
      <c r="P5181" s="15" t="n"/>
      <c r="Q5181" s="10" t="n"/>
      <c r="R5181" s="10" t="n"/>
      <c r="S5181" s="16" t="inlineStr">
        <is>
          <t>https://mstgolf.co.th/products/gf2000105989</t>
        </is>
      </c>
      <c r="T5181" s="1">
        <f>IF(B5181="ไม้กอล์ฟ",J5181,"")</f>
        <v/>
      </c>
    </row>
    <row r="5182">
      <c r="A5182" s="1" t="n">
        <v>3</v>
      </c>
      <c r="B5182" s="1" t="inlineStr">
        <is>
          <t>หมวก</t>
        </is>
      </c>
      <c r="C5182" s="1" t="inlineStr">
        <is>
          <t>gf2000106257</t>
        </is>
      </c>
      <c r="D5182" s="1" t="inlineStr">
        <is>
          <t>UNDER ARMOUR Driver Snapback Men's Cap (White/Green)</t>
        </is>
      </c>
      <c r="E5182" s="1" t="inlineStr">
        <is>
          <t>UNDER ARMOUR</t>
        </is>
      </c>
      <c r="F5182" s="1" t="inlineStr">
        <is>
          <t>CAP</t>
        </is>
      </c>
      <c r="G5182" s="1" t="inlineStr">
        <is>
          <t>GF2000106257FS</t>
        </is>
      </c>
      <c r="H5182" s="1" t="n">
        <v>1</v>
      </c>
      <c r="I5182" s="1" t="inlineStr">
        <is>
          <t>หมด</t>
        </is>
      </c>
      <c r="J5182" s="13" t="n">
        <v>45</v>
      </c>
      <c r="K5182" s="1" t="inlineStr"/>
      <c r="L5182" s="13" t="n">
        <v>45</v>
      </c>
      <c r="M5182" s="1">
        <f>IF(L5182="","ไม่พบใน SG",IF(ABS(J5182-L5182)&lt;0.005,"ตรงกัน","ไม่ตรง"))</f>
        <v/>
      </c>
      <c r="N5182" s="14">
        <f>IF(L5182="","",ROUND(L5182*'สรุป'!$C$6,-1))</f>
        <v/>
      </c>
      <c r="O5182" s="15" t="n"/>
      <c r="P5182" s="15" t="n"/>
      <c r="Q5182" s="10" t="n"/>
      <c r="R5182" s="10" t="n"/>
      <c r="S5182" s="16" t="inlineStr">
        <is>
          <t>https://mstgolf.co.th/products/gf2000106257</t>
        </is>
      </c>
      <c r="T5182" s="1">
        <f>IF(B5182="ไม้กอล์ฟ",J5182,"")</f>
        <v/>
      </c>
    </row>
    <row r="5183">
      <c r="A5183" s="1" t="n">
        <v>3</v>
      </c>
      <c r="B5183" s="1" t="inlineStr">
        <is>
          <t>เสื้อผ้า</t>
        </is>
      </c>
      <c r="C5183" s="1" t="inlineStr">
        <is>
          <t>gf2020202040</t>
        </is>
      </c>
      <c r="D5183" s="1" t="inlineStr">
        <is>
          <t>UNDER ARMOUR Golf Boy's Shorts (Navy Blazer)</t>
        </is>
      </c>
      <c r="E5183" s="1" t="inlineStr">
        <is>
          <t>UNDER ARMOUR</t>
        </is>
      </c>
      <c r="F5183" s="1" t="inlineStr">
        <is>
          <t>SHORT PANTS</t>
        </is>
      </c>
      <c r="G5183" s="1" t="inlineStr">
        <is>
          <t>GF2020202040XS</t>
        </is>
      </c>
      <c r="H5183" s="1" t="n">
        <v>5</v>
      </c>
      <c r="I5183" s="1" t="inlineStr">
        <is>
          <t>หมด</t>
        </is>
      </c>
      <c r="J5183" s="13" t="n">
        <v>45</v>
      </c>
      <c r="K5183" s="1" t="inlineStr"/>
      <c r="L5183" s="13" t="n"/>
      <c r="M5183" s="1">
        <f>IF(L5183="","ไม่พบใน SG",IF(ABS(J5183-L5183)&lt;0.005,"ตรงกัน","ไม่ตรง"))</f>
        <v/>
      </c>
      <c r="N5183" s="14">
        <f>IF(L5183="","",ROUND(L5183*'สรุป'!$C$6,-1))</f>
        <v/>
      </c>
      <c r="O5183" s="15" t="n"/>
      <c r="P5183" s="15" t="n"/>
      <c r="Q5183" s="10" t="n"/>
      <c r="R5183" s="10" t="n"/>
      <c r="S5183" s="16" t="inlineStr">
        <is>
          <t>https://mstgolf.co.th/products/gf2020202040</t>
        </is>
      </c>
      <c r="T5183" s="1">
        <f>IF(B5183="ไม้กอล์ฟ",J5183,"")</f>
        <v/>
      </c>
    </row>
    <row r="5184">
      <c r="A5184" s="1" t="n">
        <v>3</v>
      </c>
      <c r="B5184" s="1" t="inlineStr">
        <is>
          <t>หมวก</t>
        </is>
      </c>
      <c r="C5184" s="1" t="inlineStr">
        <is>
          <t>gf2000106265</t>
        </is>
      </c>
      <c r="D5184" s="1" t="inlineStr">
        <is>
          <t>UNDER ARMOUR Iso-Chill Drive Low Stretch Fit Men's Cap (White)</t>
        </is>
      </c>
      <c r="E5184" s="1" t="inlineStr">
        <is>
          <t>UNDER ARMOUR</t>
        </is>
      </c>
      <c r="F5184" s="1" t="inlineStr">
        <is>
          <t>CAP</t>
        </is>
      </c>
      <c r="G5184" s="1" t="inlineStr">
        <is>
          <t>GF2000106265FS</t>
        </is>
      </c>
      <c r="H5184" s="1" t="n">
        <v>2</v>
      </c>
      <c r="I5184" s="1" t="inlineStr">
        <is>
          <t>หมด</t>
        </is>
      </c>
      <c r="J5184" s="13" t="n">
        <v>45</v>
      </c>
      <c r="K5184" s="1" t="inlineStr"/>
      <c r="L5184" s="13" t="n">
        <v>45</v>
      </c>
      <c r="M5184" s="1">
        <f>IF(L5184="","ไม่พบใน SG",IF(ABS(J5184-L5184)&lt;0.005,"ตรงกัน","ไม่ตรง"))</f>
        <v/>
      </c>
      <c r="N5184" s="14">
        <f>IF(L5184="","",ROUND(L5184*'สรุป'!$C$6,-1))</f>
        <v/>
      </c>
      <c r="O5184" s="15" t="n"/>
      <c r="P5184" s="15" t="n"/>
      <c r="Q5184" s="10" t="n"/>
      <c r="R5184" s="10" t="n"/>
      <c r="S5184" s="16" t="inlineStr">
        <is>
          <t>https://mstgolf.co.th/products/gf2000106265</t>
        </is>
      </c>
      <c r="T5184" s="1">
        <f>IF(B5184="ไม้กอล์ฟ",J5184,"")</f>
        <v/>
      </c>
    </row>
    <row r="5185">
      <c r="A5185" s="1" t="n">
        <v>3</v>
      </c>
      <c r="B5185" s="1" t="inlineStr">
        <is>
          <t>หมวก</t>
        </is>
      </c>
      <c r="C5185" s="1" t="inlineStr">
        <is>
          <t>gf2000105799</t>
        </is>
      </c>
      <c r="D5185" s="1" t="inlineStr">
        <is>
          <t>UNDER ARMOUR Iso-Chill Driver Men's Adjustable Cap (Blue/White)</t>
        </is>
      </c>
      <c r="E5185" s="1" t="inlineStr">
        <is>
          <t>UNDER ARMOUR</t>
        </is>
      </c>
      <c r="F5185" s="1" t="inlineStr">
        <is>
          <t>CAP</t>
        </is>
      </c>
      <c r="G5185" s="1" t="inlineStr">
        <is>
          <t>GF2000105799FS</t>
        </is>
      </c>
      <c r="H5185" s="1" t="n">
        <v>1</v>
      </c>
      <c r="I5185" s="1" t="inlineStr">
        <is>
          <t>หมด</t>
        </is>
      </c>
      <c r="J5185" s="13" t="n">
        <v>45</v>
      </c>
      <c r="K5185" s="1" t="inlineStr"/>
      <c r="L5185" s="13" t="n">
        <v>45</v>
      </c>
      <c r="M5185" s="1">
        <f>IF(L5185="","ไม่พบใน SG",IF(ABS(J5185-L5185)&lt;0.005,"ตรงกัน","ไม่ตรง"))</f>
        <v/>
      </c>
      <c r="N5185" s="14">
        <f>IF(L5185="","",ROUND(L5185*'สรุป'!$C$6,-1))</f>
        <v/>
      </c>
      <c r="O5185" s="15" t="n"/>
      <c r="P5185" s="15" t="n"/>
      <c r="Q5185" s="10" t="n"/>
      <c r="R5185" s="10" t="n"/>
      <c r="S5185" s="16" t="inlineStr">
        <is>
          <t>https://mstgolf.co.th/products/gf2000105799</t>
        </is>
      </c>
      <c r="T5185" s="1">
        <f>IF(B5185="ไม้กอล์ฟ",J5185,"")</f>
        <v/>
      </c>
    </row>
    <row r="5186">
      <c r="A5186" s="1" t="n">
        <v>3</v>
      </c>
      <c r="B5186" s="1" t="inlineStr">
        <is>
          <t>หมวก</t>
        </is>
      </c>
      <c r="C5186" s="1" t="inlineStr">
        <is>
          <t>gf2000105987</t>
        </is>
      </c>
      <c r="D5186" s="1" t="inlineStr">
        <is>
          <t>UNDER ARMOUR Iso-Chill Driver Men's Adjustable Cap (White/Black)</t>
        </is>
      </c>
      <c r="E5186" s="1" t="inlineStr">
        <is>
          <t>UNDER ARMOUR</t>
        </is>
      </c>
      <c r="F5186" s="1" t="inlineStr">
        <is>
          <t>CAP</t>
        </is>
      </c>
      <c r="G5186" s="1" t="inlineStr">
        <is>
          <t>GF2000105987FS</t>
        </is>
      </c>
      <c r="H5186" s="1" t="n">
        <v>1</v>
      </c>
      <c r="I5186" s="1" t="inlineStr">
        <is>
          <t>หมด</t>
        </is>
      </c>
      <c r="J5186" s="13" t="n">
        <v>45</v>
      </c>
      <c r="K5186" s="1" t="inlineStr"/>
      <c r="L5186" s="13" t="n">
        <v>45</v>
      </c>
      <c r="M5186" s="1">
        <f>IF(L5186="","ไม่พบใน SG",IF(ABS(J5186-L5186)&lt;0.005,"ตรงกัน","ไม่ตรง"))</f>
        <v/>
      </c>
      <c r="N5186" s="14">
        <f>IF(L5186="","",ROUND(L5186*'สรุป'!$C$6,-1))</f>
        <v/>
      </c>
      <c r="O5186" s="15" t="n"/>
      <c r="P5186" s="15" t="n"/>
      <c r="Q5186" s="10" t="n"/>
      <c r="R5186" s="10" t="n"/>
      <c r="S5186" s="16" t="inlineStr">
        <is>
          <t>https://mstgolf.co.th/products/gf2000105987</t>
        </is>
      </c>
      <c r="T5186" s="1">
        <f>IF(B5186="ไม้กอล์ฟ",J5186,"")</f>
        <v/>
      </c>
    </row>
    <row r="5187">
      <c r="A5187" s="1" t="n">
        <v>3</v>
      </c>
      <c r="B5187" s="1" t="inlineStr">
        <is>
          <t>เสื้อผ้า</t>
        </is>
      </c>
      <c r="C5187" s="1" t="inlineStr">
        <is>
          <t>gf2040118291</t>
        </is>
      </c>
      <c r="D5187" s="1" t="inlineStr">
        <is>
          <t>UNDER ARMOUR Playoff Printed Junior Polo (Navy/Green)</t>
        </is>
      </c>
      <c r="E5187" s="1" t="inlineStr">
        <is>
          <t>UNDER ARMOUR</t>
        </is>
      </c>
      <c r="F5187" s="1" t="inlineStr">
        <is>
          <t>SHORT SLEEVES</t>
        </is>
      </c>
      <c r="G5187" s="1" t="inlineStr">
        <is>
          <t>GF2040118291XS</t>
        </is>
      </c>
      <c r="H5187" s="1" t="n">
        <v>5</v>
      </c>
      <c r="I5187" s="1" t="inlineStr">
        <is>
          <t>หมด</t>
        </is>
      </c>
      <c r="J5187" s="13" t="n">
        <v>45</v>
      </c>
      <c r="K5187" s="1" t="inlineStr"/>
      <c r="L5187" s="13" t="n"/>
      <c r="M5187" s="1">
        <f>IF(L5187="","ไม่พบใน SG",IF(ABS(J5187-L5187)&lt;0.005,"ตรงกัน","ไม่ตรง"))</f>
        <v/>
      </c>
      <c r="N5187" s="14">
        <f>IF(L5187="","",ROUND(L5187*'สรุป'!$C$6,-1))</f>
        <v/>
      </c>
      <c r="O5187" s="15" t="n"/>
      <c r="P5187" s="15" t="n"/>
      <c r="Q5187" s="10" t="n"/>
      <c r="R5187" s="10" t="n"/>
      <c r="S5187" s="16" t="inlineStr">
        <is>
          <t>https://mstgolf.co.th/products/gf2040118291</t>
        </is>
      </c>
      <c r="T5187" s="1">
        <f>IF(B5187="ไม้กอล์ฟ",J5187,"")</f>
        <v/>
      </c>
    </row>
    <row r="5188">
      <c r="A5188" s="1" t="n">
        <v>3</v>
      </c>
      <c r="B5188" s="1" t="inlineStr">
        <is>
          <t>หมวก</t>
        </is>
      </c>
      <c r="C5188" s="1" t="inlineStr">
        <is>
          <t>gf2000200819</t>
        </is>
      </c>
      <c r="D5188" s="1" t="inlineStr">
        <is>
          <t>YAMAHA Men's Visor (Black)</t>
        </is>
      </c>
      <c r="E5188" s="1" t="inlineStr">
        <is>
          <t>YAMAHA</t>
        </is>
      </c>
      <c r="F5188" s="1" t="inlineStr">
        <is>
          <t>VISOR</t>
        </is>
      </c>
      <c r="G5188" s="1" t="inlineStr">
        <is>
          <t>GF2000200819FS</t>
        </is>
      </c>
      <c r="H5188" s="1" t="n">
        <v>1</v>
      </c>
      <c r="I5188" s="1" t="inlineStr">
        <is>
          <t>หมด</t>
        </is>
      </c>
      <c r="J5188" s="13" t="n">
        <v>45</v>
      </c>
      <c r="K5188" s="1" t="inlineStr"/>
      <c r="L5188" s="13" t="n"/>
      <c r="M5188" s="1">
        <f>IF(L5188="","ไม่พบใน SG",IF(ABS(J5188-L5188)&lt;0.005,"ตรงกัน","ไม่ตรง"))</f>
        <v/>
      </c>
      <c r="N5188" s="14">
        <f>IF(L5188="","",ROUND(L5188*'สรุป'!$C$6,-1))</f>
        <v/>
      </c>
      <c r="O5188" s="15" t="n"/>
      <c r="P5188" s="15" t="n"/>
      <c r="Q5188" s="10" t="n"/>
      <c r="R5188" s="10" t="n"/>
      <c r="S5188" s="16" t="inlineStr">
        <is>
          <t>https://mstgolf.co.th/products/gf2000200819</t>
        </is>
      </c>
      <c r="T5188" s="1">
        <f>IF(B5188="ไม้กอล์ฟ",J5188,"")</f>
        <v/>
      </c>
    </row>
    <row r="5189">
      <c r="A5189" s="1" t="n">
        <v>3</v>
      </c>
      <c r="B5189" s="1" t="inlineStr">
        <is>
          <t>หมวก</t>
        </is>
      </c>
      <c r="C5189" s="1" t="inlineStr">
        <is>
          <t>gf2000200820</t>
        </is>
      </c>
      <c r="D5189" s="1" t="inlineStr">
        <is>
          <t>YAMAHA Men's Visor (White)</t>
        </is>
      </c>
      <c r="E5189" s="1" t="inlineStr">
        <is>
          <t>YAMAHA</t>
        </is>
      </c>
      <c r="F5189" s="1" t="inlineStr">
        <is>
          <t>VISOR</t>
        </is>
      </c>
      <c r="G5189" s="1" t="inlineStr">
        <is>
          <t>GF2000200820FS</t>
        </is>
      </c>
      <c r="H5189" s="1" t="n">
        <v>1</v>
      </c>
      <c r="I5189" s="1" t="inlineStr">
        <is>
          <t>หมด</t>
        </is>
      </c>
      <c r="J5189" s="13" t="n">
        <v>45</v>
      </c>
      <c r="K5189" s="1" t="inlineStr"/>
      <c r="L5189" s="13" t="n"/>
      <c r="M5189" s="1">
        <f>IF(L5189="","ไม่พบใน SG",IF(ABS(J5189-L5189)&lt;0.005,"ตรงกัน","ไม่ตรง"))</f>
        <v/>
      </c>
      <c r="N5189" s="14">
        <f>IF(L5189="","",ROUND(L5189*'สรุป'!$C$6,-1))</f>
        <v/>
      </c>
      <c r="O5189" s="15" t="n"/>
      <c r="P5189" s="15" t="n"/>
      <c r="Q5189" s="10" t="n"/>
      <c r="R5189" s="10" t="n"/>
      <c r="S5189" s="16" t="inlineStr">
        <is>
          <t>https://mstgolf.co.th/products/gf2000200820</t>
        </is>
      </c>
      <c r="T5189" s="1">
        <f>IF(B5189="ไม้กอล์ฟ",J5189,"")</f>
        <v/>
      </c>
    </row>
    <row r="5190">
      <c r="A5190" s="1" t="n">
        <v>3</v>
      </c>
      <c r="B5190" s="1" t="inlineStr">
        <is>
          <t>เสื้อผ้า</t>
        </is>
      </c>
      <c r="C5190" s="1" t="inlineStr">
        <is>
          <t>gf2040113805</t>
        </is>
      </c>
      <c r="D5190" s="1" t="inlineStr">
        <is>
          <t>ADIDAS HEAT.RDY Solid Men's Polo (White)</t>
        </is>
      </c>
      <c r="E5190" s="1" t="inlineStr">
        <is>
          <t>ADIDAS</t>
        </is>
      </c>
      <c r="F5190" s="1" t="inlineStr">
        <is>
          <t>SHORT SLEEVES</t>
        </is>
      </c>
      <c r="G5190" s="1" t="inlineStr">
        <is>
          <t>GF2040113805S</t>
        </is>
      </c>
      <c r="H5190" s="1" t="n">
        <v>6</v>
      </c>
      <c r="I5190" s="1" t="inlineStr">
        <is>
          <t>หมด</t>
        </is>
      </c>
      <c r="J5190" s="13" t="n">
        <v>43</v>
      </c>
      <c r="K5190" s="1" t="inlineStr"/>
      <c r="L5190" s="13" t="n">
        <v>43</v>
      </c>
      <c r="M5190" s="1">
        <f>IF(L5190="","ไม่พบใน SG",IF(ABS(J5190-L5190)&lt;0.005,"ตรงกัน","ไม่ตรง"))</f>
        <v/>
      </c>
      <c r="N5190" s="14">
        <f>IF(L5190="","",ROUND(L5190*'สรุป'!$C$6,-1))</f>
        <v/>
      </c>
      <c r="O5190" s="15" t="n"/>
      <c r="P5190" s="15" t="n"/>
      <c r="Q5190" s="10" t="n"/>
      <c r="R5190" s="10" t="n"/>
      <c r="S5190" s="16" t="inlineStr">
        <is>
          <t>https://mstgolf.co.th/products/gf2040113805</t>
        </is>
      </c>
      <c r="T5190" s="1">
        <f>IF(B5190="ไม้กอล์ฟ",J5190,"")</f>
        <v/>
      </c>
    </row>
    <row r="5191">
      <c r="A5191" s="1" t="n">
        <v>3</v>
      </c>
      <c r="B5191" s="1" t="inlineStr">
        <is>
          <t>เสื้อผ้า</t>
        </is>
      </c>
      <c r="C5191" s="1" t="inlineStr">
        <is>
          <t>gf2020202140</t>
        </is>
      </c>
      <c r="D5191" s="1" t="inlineStr">
        <is>
          <t>ADIDAS Ultimate 10 inch Men's Shorts (Collegiate Navy)</t>
        </is>
      </c>
      <c r="E5191" s="1" t="inlineStr">
        <is>
          <t>ADIDAS</t>
        </is>
      </c>
      <c r="F5191" s="1" t="inlineStr">
        <is>
          <t>SHORT PANTS</t>
        </is>
      </c>
      <c r="G5191" s="1" t="inlineStr">
        <is>
          <t>GF202020214073</t>
        </is>
      </c>
      <c r="H5191" s="1" t="n">
        <v>8</v>
      </c>
      <c r="I5191" s="1" t="inlineStr">
        <is>
          <t>หมด</t>
        </is>
      </c>
      <c r="J5191" s="13" t="n">
        <v>43</v>
      </c>
      <c r="K5191" s="1" t="inlineStr"/>
      <c r="L5191" s="13" t="n">
        <v>43</v>
      </c>
      <c r="M5191" s="1">
        <f>IF(L5191="","ไม่พบใน SG",IF(ABS(J5191-L5191)&lt;0.005,"ตรงกัน","ไม่ตรง"))</f>
        <v/>
      </c>
      <c r="N5191" s="14">
        <f>IF(L5191="","",ROUND(L5191*'สรุป'!$C$6,-1))</f>
        <v/>
      </c>
      <c r="O5191" s="15" t="n"/>
      <c r="P5191" s="15" t="n"/>
      <c r="Q5191" s="10" t="n"/>
      <c r="R5191" s="10" t="n"/>
      <c r="S5191" s="16" t="inlineStr">
        <is>
          <t>https://mstgolf.co.th/products/gf2020202140</t>
        </is>
      </c>
      <c r="T5191" s="1">
        <f>IF(B5191="ไม้กอล์ฟ",J5191,"")</f>
        <v/>
      </c>
    </row>
    <row r="5192">
      <c r="A5192" s="1" t="n">
        <v>3</v>
      </c>
      <c r="B5192" s="1" t="inlineStr">
        <is>
          <t>เสื้อผ้า</t>
        </is>
      </c>
      <c r="C5192" s="1" t="inlineStr">
        <is>
          <t>gf2020202344</t>
        </is>
      </c>
      <c r="D5192" s="1" t="inlineStr">
        <is>
          <t>ADIDAS Ultimate 8.5" Men's Shorts (Jade)</t>
        </is>
      </c>
      <c r="E5192" s="1" t="inlineStr">
        <is>
          <t>ADIDAS</t>
        </is>
      </c>
      <c r="F5192" s="1" t="inlineStr">
        <is>
          <t>SHORT PANTS</t>
        </is>
      </c>
      <c r="G5192" s="1" t="inlineStr">
        <is>
          <t>GF202020234473</t>
        </is>
      </c>
      <c r="H5192" s="1" t="n">
        <v>9</v>
      </c>
      <c r="I5192" s="1" t="inlineStr">
        <is>
          <t>หมด</t>
        </is>
      </c>
      <c r="J5192" s="13" t="n">
        <v>43</v>
      </c>
      <c r="K5192" s="1" t="inlineStr"/>
      <c r="L5192" s="13" t="n">
        <v>43</v>
      </c>
      <c r="M5192" s="1">
        <f>IF(L5192="","ไม่พบใน SG",IF(ABS(J5192-L5192)&lt;0.005,"ตรงกัน","ไม่ตรง"))</f>
        <v/>
      </c>
      <c r="N5192" s="14">
        <f>IF(L5192="","",ROUND(L5192*'สรุป'!$C$6,-1))</f>
        <v/>
      </c>
      <c r="O5192" s="15" t="n"/>
      <c r="P5192" s="15" t="n"/>
      <c r="Q5192" s="10" t="n"/>
      <c r="R5192" s="10" t="n"/>
      <c r="S5192" s="16" t="inlineStr">
        <is>
          <t>https://mstgolf.co.th/products/gf2020202344</t>
        </is>
      </c>
      <c r="T5192" s="1">
        <f>IF(B5192="ไม้กอล์ฟ",J5192,"")</f>
        <v/>
      </c>
    </row>
    <row r="5193">
      <c r="A5193" s="1" t="n">
        <v>3</v>
      </c>
      <c r="B5193" s="1" t="inlineStr">
        <is>
          <t>อุปกรณ์เสริม</t>
        </is>
      </c>
      <c r="C5193" s="1" t="inlineStr">
        <is>
          <t>gf3500201777</t>
        </is>
      </c>
      <c r="D5193" s="1" t="inlineStr">
        <is>
          <t>DISNEY Chill Squad Fairway Headcover</t>
        </is>
      </c>
      <c r="E5193" s="1" t="inlineStr">
        <is>
          <t>DISNEY</t>
        </is>
      </c>
      <c r="F5193" s="1" t="inlineStr">
        <is>
          <t>HEADCOVERS</t>
        </is>
      </c>
      <c r="G5193" s="1" t="inlineStr">
        <is>
          <t>GF3500201777</t>
        </is>
      </c>
      <c r="H5193" s="1" t="n">
        <v>1</v>
      </c>
      <c r="I5193" s="1" t="inlineStr">
        <is>
          <t>หมด</t>
        </is>
      </c>
      <c r="J5193" s="13" t="n">
        <v>43</v>
      </c>
      <c r="K5193" s="1" t="inlineStr"/>
      <c r="L5193" s="13" t="n">
        <v>43</v>
      </c>
      <c r="M5193" s="1">
        <f>IF(L5193="","ไม่พบใน SG",IF(ABS(J5193-L5193)&lt;0.005,"ตรงกัน","ไม่ตรง"))</f>
        <v/>
      </c>
      <c r="N5193" s="14">
        <f>IF(L5193="","",ROUND(L5193*'สรุป'!$C$6,-1))</f>
        <v/>
      </c>
      <c r="O5193" s="15" t="n"/>
      <c r="P5193" s="15" t="n"/>
      <c r="Q5193" s="10" t="n"/>
      <c r="R5193" s="10" t="n"/>
      <c r="S5193" s="16" t="inlineStr">
        <is>
          <t>https://mstgolf.co.th/products/gf3500201777</t>
        </is>
      </c>
      <c r="T5193" s="1">
        <f>IF(B5193="ไม้กอล์ฟ",J5193,"")</f>
        <v/>
      </c>
    </row>
    <row r="5194">
      <c r="A5194" s="1" t="n">
        <v>3</v>
      </c>
      <c r="B5194" s="1" t="inlineStr">
        <is>
          <t>อุปกรณ์เสริม</t>
        </is>
      </c>
      <c r="C5194" s="1" t="inlineStr">
        <is>
          <t>gf3500201770</t>
        </is>
      </c>
      <c r="D5194" s="1" t="inlineStr">
        <is>
          <t>DISNEY Mickey Driver Headcover</t>
        </is>
      </c>
      <c r="E5194" s="1" t="inlineStr">
        <is>
          <t>DISNEY</t>
        </is>
      </c>
      <c r="F5194" s="1" t="inlineStr">
        <is>
          <t>HEADCOVERS</t>
        </is>
      </c>
      <c r="G5194" s="1" t="inlineStr">
        <is>
          <t>GF3500201770</t>
        </is>
      </c>
      <c r="H5194" s="1" t="n">
        <v>1</v>
      </c>
      <c r="I5194" s="1" t="inlineStr">
        <is>
          <t>หมด</t>
        </is>
      </c>
      <c r="J5194" s="13" t="n">
        <v>43</v>
      </c>
      <c r="K5194" s="1" t="inlineStr"/>
      <c r="L5194" s="13" t="n">
        <v>43</v>
      </c>
      <c r="M5194" s="1">
        <f>IF(L5194="","ไม่พบใน SG",IF(ABS(J5194-L5194)&lt;0.005,"ตรงกัน","ไม่ตรง"))</f>
        <v/>
      </c>
      <c r="N5194" s="14">
        <f>IF(L5194="","",ROUND(L5194*'สรุป'!$C$6,-1))</f>
        <v/>
      </c>
      <c r="O5194" s="15" t="n"/>
      <c r="P5194" s="15" t="n"/>
      <c r="Q5194" s="10" t="n"/>
      <c r="R5194" s="10" t="n"/>
      <c r="S5194" s="16" t="inlineStr">
        <is>
          <t>https://mstgolf.co.th/products/gf3500201770</t>
        </is>
      </c>
      <c r="T5194" s="1">
        <f>IF(B5194="ไม้กอล์ฟ",J5194,"")</f>
        <v/>
      </c>
    </row>
    <row r="5195">
      <c r="A5195" s="1" t="n">
        <v>3</v>
      </c>
      <c r="B5195" s="1" t="inlineStr">
        <is>
          <t>อุปกรณ์เสริม</t>
        </is>
      </c>
      <c r="C5195" s="1" t="inlineStr">
        <is>
          <t>gf3500201772</t>
        </is>
      </c>
      <c r="D5195" s="1" t="inlineStr">
        <is>
          <t>DISNEY Mickey Utility Headcover</t>
        </is>
      </c>
      <c r="E5195" s="1" t="inlineStr">
        <is>
          <t>DISNEY</t>
        </is>
      </c>
      <c r="F5195" s="1" t="inlineStr">
        <is>
          <t>HEADCOVERS</t>
        </is>
      </c>
      <c r="G5195" s="1" t="inlineStr">
        <is>
          <t>GF3500201772</t>
        </is>
      </c>
      <c r="H5195" s="1" t="n">
        <v>1</v>
      </c>
      <c r="I5195" s="1" t="inlineStr">
        <is>
          <t>หมด</t>
        </is>
      </c>
      <c r="J5195" s="13" t="n">
        <v>43</v>
      </c>
      <c r="K5195" s="1" t="inlineStr"/>
      <c r="L5195" s="13" t="n">
        <v>43</v>
      </c>
      <c r="M5195" s="1">
        <f>IF(L5195="","ไม่พบใน SG",IF(ABS(J5195-L5195)&lt;0.005,"ตรงกัน","ไม่ตรง"))</f>
        <v/>
      </c>
      <c r="N5195" s="14">
        <f>IF(L5195="","",ROUND(L5195*'สรุป'!$C$6,-1))</f>
        <v/>
      </c>
      <c r="O5195" s="15" t="n"/>
      <c r="P5195" s="15" t="n"/>
      <c r="Q5195" s="10" t="n"/>
      <c r="R5195" s="10" t="n"/>
      <c r="S5195" s="16" t="inlineStr">
        <is>
          <t>https://mstgolf.co.th/products/gf3500201772</t>
        </is>
      </c>
      <c r="T5195" s="1">
        <f>IF(B5195="ไม้กอล์ฟ",J5195,"")</f>
        <v/>
      </c>
    </row>
    <row r="5196">
      <c r="A5196" s="1" t="n">
        <v>3</v>
      </c>
      <c r="B5196" s="1" t="inlineStr">
        <is>
          <t>หมวก</t>
        </is>
      </c>
      <c r="C5196" s="1" t="inlineStr">
        <is>
          <t>gf2000106246</t>
        </is>
      </c>
      <c r="D5196" s="1" t="inlineStr">
        <is>
          <t>TAYLORMADE Basic Metal-T Men's Cap (Black)</t>
        </is>
      </c>
      <c r="E5196" s="1" t="inlineStr">
        <is>
          <t>TAYLORMADE</t>
        </is>
      </c>
      <c r="F5196" s="1" t="inlineStr">
        <is>
          <t>CAP</t>
        </is>
      </c>
      <c r="G5196" s="1" t="inlineStr">
        <is>
          <t>GF2000106246FS</t>
        </is>
      </c>
      <c r="H5196" s="1" t="n">
        <v>1</v>
      </c>
      <c r="I5196" s="1" t="inlineStr">
        <is>
          <t>หมด</t>
        </is>
      </c>
      <c r="J5196" s="13" t="n">
        <v>43</v>
      </c>
      <c r="K5196" s="1" t="inlineStr"/>
      <c r="L5196" s="13" t="n">
        <v>43</v>
      </c>
      <c r="M5196" s="1">
        <f>IF(L5196="","ไม่พบใน SG",IF(ABS(J5196-L5196)&lt;0.005,"ตรงกัน","ไม่ตรง"))</f>
        <v/>
      </c>
      <c r="N5196" s="14">
        <f>IF(L5196="","",ROUND(L5196*'สรุป'!$C$6,-1))</f>
        <v/>
      </c>
      <c r="O5196" s="15" t="n"/>
      <c r="P5196" s="15" t="n"/>
      <c r="Q5196" s="10" t="n"/>
      <c r="R5196" s="10" t="n"/>
      <c r="S5196" s="16" t="inlineStr">
        <is>
          <t>https://mstgolf.co.th/products/gf2000106246</t>
        </is>
      </c>
      <c r="T5196" s="1">
        <f>IF(B5196="ไม้กอล์ฟ",J5196,"")</f>
        <v/>
      </c>
    </row>
    <row r="5197">
      <c r="A5197" s="1" t="n">
        <v>3</v>
      </c>
      <c r="B5197" s="1" t="inlineStr">
        <is>
          <t>หมวก</t>
        </is>
      </c>
      <c r="C5197" s="1" t="inlineStr">
        <is>
          <t>gf2000201035</t>
        </is>
      </c>
      <c r="D5197" s="1" t="inlineStr">
        <is>
          <t>TAYLORMADE Graphic Men's Visor (White)</t>
        </is>
      </c>
      <c r="E5197" s="1" t="inlineStr">
        <is>
          <t>TAYLORMADE</t>
        </is>
      </c>
      <c r="F5197" s="1" t="inlineStr">
        <is>
          <t>VISOR</t>
        </is>
      </c>
      <c r="G5197" s="1" t="inlineStr">
        <is>
          <t>GF2000201035FS</t>
        </is>
      </c>
      <c r="H5197" s="1" t="n">
        <v>1</v>
      </c>
      <c r="I5197" s="1" t="inlineStr">
        <is>
          <t>หมด</t>
        </is>
      </c>
      <c r="J5197" s="13" t="n">
        <v>43</v>
      </c>
      <c r="K5197" s="1" t="inlineStr"/>
      <c r="L5197" s="13" t="n"/>
      <c r="M5197" s="1">
        <f>IF(L5197="","ไม่พบใน SG",IF(ABS(J5197-L5197)&lt;0.005,"ตรงกัน","ไม่ตรง"))</f>
        <v/>
      </c>
      <c r="N5197" s="14">
        <f>IF(L5197="","",ROUND(L5197*'สรุป'!$C$6,-1))</f>
        <v/>
      </c>
      <c r="O5197" s="15" t="n"/>
      <c r="P5197" s="15" t="n"/>
      <c r="Q5197" s="10" t="n"/>
      <c r="R5197" s="10" t="n"/>
      <c r="S5197" s="16" t="inlineStr">
        <is>
          <t>https://mstgolf.co.th/products/gf2000201035</t>
        </is>
      </c>
      <c r="T5197" s="1">
        <f>IF(B5197="ไม้กอล์ฟ",J5197,"")</f>
        <v/>
      </c>
    </row>
    <row r="5198">
      <c r="A5198" s="1" t="n">
        <v>3</v>
      </c>
      <c r="B5198" s="1" t="inlineStr">
        <is>
          <t>หมวก</t>
        </is>
      </c>
      <c r="C5198" s="1" t="inlineStr">
        <is>
          <t>gf2000106625</t>
        </is>
      </c>
      <c r="D5198" s="1" t="inlineStr">
        <is>
          <t>TAYLORMADE M Basic Metal-T Men's Cap (Turquoise)</t>
        </is>
      </c>
      <c r="E5198" s="1" t="inlineStr">
        <is>
          <t>TAYLORMADE</t>
        </is>
      </c>
      <c r="F5198" s="1" t="inlineStr">
        <is>
          <t>CAP</t>
        </is>
      </c>
      <c r="G5198" s="1" t="inlineStr">
        <is>
          <t>GF2000106625FS</t>
        </is>
      </c>
      <c r="H5198" s="1" t="n">
        <v>1</v>
      </c>
      <c r="I5198" s="1" t="inlineStr">
        <is>
          <t>หมด</t>
        </is>
      </c>
      <c r="J5198" s="13" t="n">
        <v>43</v>
      </c>
      <c r="K5198" s="1" t="inlineStr"/>
      <c r="L5198" s="13" t="n">
        <v>43</v>
      </c>
      <c r="M5198" s="1">
        <f>IF(L5198="","ไม่พบใน SG",IF(ABS(J5198-L5198)&lt;0.005,"ตรงกัน","ไม่ตรง"))</f>
        <v/>
      </c>
      <c r="N5198" s="14">
        <f>IF(L5198="","",ROUND(L5198*'สรุป'!$C$6,-1))</f>
        <v/>
      </c>
      <c r="O5198" s="15" t="n"/>
      <c r="P5198" s="15" t="n"/>
      <c r="Q5198" s="10" t="n"/>
      <c r="R5198" s="10" t="n"/>
      <c r="S5198" s="16" t="inlineStr">
        <is>
          <t>https://mstgolf.co.th/products/gf2000106625</t>
        </is>
      </c>
      <c r="T5198" s="1">
        <f>IF(B5198="ไม้กอล์ฟ",J5198,"")</f>
        <v/>
      </c>
    </row>
    <row r="5199">
      <c r="A5199" s="1" t="n">
        <v>3</v>
      </c>
      <c r="B5199" s="1" t="inlineStr">
        <is>
          <t>หมวก</t>
        </is>
      </c>
      <c r="C5199" s="1" t="inlineStr">
        <is>
          <t>gf2000106249</t>
        </is>
      </c>
      <c r="D5199" s="1" t="inlineStr">
        <is>
          <t>TAYLORMADE Punching Men's Cap (Black)</t>
        </is>
      </c>
      <c r="E5199" s="1" t="inlineStr">
        <is>
          <t>TAYLORMADE</t>
        </is>
      </c>
      <c r="F5199" s="1" t="inlineStr">
        <is>
          <t>CAP</t>
        </is>
      </c>
      <c r="G5199" s="1" t="inlineStr">
        <is>
          <t>GF2000106249FS</t>
        </is>
      </c>
      <c r="H5199" s="1" t="n">
        <v>1</v>
      </c>
      <c r="I5199" s="1" t="inlineStr">
        <is>
          <t>หมด</t>
        </is>
      </c>
      <c r="J5199" s="13" t="n">
        <v>43</v>
      </c>
      <c r="K5199" s="1" t="inlineStr"/>
      <c r="L5199" s="13" t="n">
        <v>43</v>
      </c>
      <c r="M5199" s="1">
        <f>IF(L5199="","ไม่พบใน SG",IF(ABS(J5199-L5199)&lt;0.005,"ตรงกัน","ไม่ตรง"))</f>
        <v/>
      </c>
      <c r="N5199" s="14">
        <f>IF(L5199="","",ROUND(L5199*'สรุป'!$C$6,-1))</f>
        <v/>
      </c>
      <c r="O5199" s="15" t="n"/>
      <c r="P5199" s="15" t="n"/>
      <c r="Q5199" s="10" t="n"/>
      <c r="R5199" s="10" t="n"/>
      <c r="S5199" s="16" t="inlineStr">
        <is>
          <t>https://mstgolf.co.th/products/gf2000106249</t>
        </is>
      </c>
      <c r="T5199" s="1">
        <f>IF(B5199="ไม้กอล์ฟ",J5199,"")</f>
        <v/>
      </c>
    </row>
    <row r="5200">
      <c r="A5200" s="1" t="n">
        <v>3</v>
      </c>
      <c r="B5200" s="1" t="inlineStr">
        <is>
          <t>หมวก</t>
        </is>
      </c>
      <c r="C5200" s="1" t="inlineStr">
        <is>
          <t>gf2000105812</t>
        </is>
      </c>
      <c r="D5200" s="1" t="inlineStr">
        <is>
          <t>TITLEIST Performance Ball Marker Women's Cap (White/Ros)</t>
        </is>
      </c>
      <c r="E5200" s="1" t="inlineStr">
        <is>
          <t>TITLEIST</t>
        </is>
      </c>
      <c r="F5200" s="1" t="inlineStr">
        <is>
          <t>CAP</t>
        </is>
      </c>
      <c r="G5200" s="1" t="inlineStr">
        <is>
          <t>GF2000105812FS</t>
        </is>
      </c>
      <c r="H5200" s="1" t="n">
        <v>1</v>
      </c>
      <c r="I5200" s="1" t="inlineStr">
        <is>
          <t>หมด</t>
        </is>
      </c>
      <c r="J5200" s="13" t="n">
        <v>43</v>
      </c>
      <c r="K5200" s="1" t="inlineStr"/>
      <c r="L5200" s="13" t="n">
        <v>43</v>
      </c>
      <c r="M5200" s="1">
        <f>IF(L5200="","ไม่พบใน SG",IF(ABS(J5200-L5200)&lt;0.005,"ตรงกัน","ไม่ตรง"))</f>
        <v/>
      </c>
      <c r="N5200" s="14">
        <f>IF(L5200="","",ROUND(L5200*'สรุป'!$C$6,-1))</f>
        <v/>
      </c>
      <c r="O5200" s="15" t="n"/>
      <c r="P5200" s="15" t="n"/>
      <c r="Q5200" s="10" t="n"/>
      <c r="R5200" s="10" t="n"/>
      <c r="S5200" s="16" t="inlineStr">
        <is>
          <t>https://mstgolf.co.th/products/gf2000105812</t>
        </is>
      </c>
      <c r="T5200" s="1">
        <f>IF(B5200="ไม้กอล์ฟ",J5200,"")</f>
        <v/>
      </c>
    </row>
    <row r="5201">
      <c r="A5201" s="1" t="n">
        <v>3</v>
      </c>
      <c r="B5201" s="1" t="inlineStr">
        <is>
          <t>หมวก</t>
        </is>
      </c>
      <c r="C5201" s="1" t="inlineStr">
        <is>
          <t>gf2000105339</t>
        </is>
      </c>
      <c r="D5201" s="1" t="inlineStr">
        <is>
          <t>TITLEIST Performance Ball Marker Junior Cap (White/Black)</t>
        </is>
      </c>
      <c r="E5201" s="1" t="inlineStr">
        <is>
          <t>TITLEIST</t>
        </is>
      </c>
      <c r="F5201" s="1" t="inlineStr">
        <is>
          <t>CAP</t>
        </is>
      </c>
      <c r="G5201" s="1" t="inlineStr">
        <is>
          <t>GF2000105339FS</t>
        </is>
      </c>
      <c r="H5201" s="1" t="n">
        <v>1</v>
      </c>
      <c r="I5201" s="1" t="inlineStr">
        <is>
          <t>หมด</t>
        </is>
      </c>
      <c r="J5201" s="13" t="n">
        <v>42</v>
      </c>
      <c r="K5201" s="1" t="inlineStr"/>
      <c r="L5201" s="13" t="n"/>
      <c r="M5201" s="1">
        <f>IF(L5201="","ไม่พบใน SG",IF(ABS(J5201-L5201)&lt;0.005,"ตรงกัน","ไม่ตรง"))</f>
        <v/>
      </c>
      <c r="N5201" s="14">
        <f>IF(L5201="","",ROUND(L5201*'สรุป'!$C$6,-1))</f>
        <v/>
      </c>
      <c r="O5201" s="15" t="n"/>
      <c r="P5201" s="15" t="n"/>
      <c r="Q5201" s="10" t="n"/>
      <c r="R5201" s="10" t="n"/>
      <c r="S5201" s="16" t="inlineStr">
        <is>
          <t>https://mstgolf.co.th/products/gf2000105339</t>
        </is>
      </c>
      <c r="T5201" s="1">
        <f>IF(B5201="ไม้กอล์ฟ",J5201,"")</f>
        <v/>
      </c>
    </row>
    <row r="5202">
      <c r="A5202" s="1" t="n">
        <v>3</v>
      </c>
      <c r="B5202" s="1" t="inlineStr">
        <is>
          <t>หมวก</t>
        </is>
      </c>
      <c r="C5202" s="1" t="inlineStr">
        <is>
          <t>gf2000105334</t>
        </is>
      </c>
      <c r="D5202" s="1" t="inlineStr">
        <is>
          <t>TITLEIST Performance Ball Marker Men's Cap (Navy/White)</t>
        </is>
      </c>
      <c r="E5202" s="1" t="inlineStr">
        <is>
          <t>TITLEIST</t>
        </is>
      </c>
      <c r="F5202" s="1" t="inlineStr">
        <is>
          <t>CAP</t>
        </is>
      </c>
      <c r="G5202" s="1" t="inlineStr">
        <is>
          <t>GF2000105334FS</t>
        </is>
      </c>
      <c r="H5202" s="1" t="n">
        <v>1</v>
      </c>
      <c r="I5202" s="1" t="inlineStr">
        <is>
          <t>หมด</t>
        </is>
      </c>
      <c r="J5202" s="13" t="n">
        <v>42</v>
      </c>
      <c r="K5202" s="1" t="inlineStr"/>
      <c r="L5202" s="13" t="n"/>
      <c r="M5202" s="1">
        <f>IF(L5202="","ไม่พบใน SG",IF(ABS(J5202-L5202)&lt;0.005,"ตรงกัน","ไม่ตรง"))</f>
        <v/>
      </c>
      <c r="N5202" s="14">
        <f>IF(L5202="","",ROUND(L5202*'สรุป'!$C$6,-1))</f>
        <v/>
      </c>
      <c r="O5202" s="15" t="n"/>
      <c r="P5202" s="15" t="n"/>
      <c r="Q5202" s="10" t="n"/>
      <c r="R5202" s="10" t="n"/>
      <c r="S5202" s="16" t="inlineStr">
        <is>
          <t>https://mstgolf.co.th/products/gf2000105334</t>
        </is>
      </c>
      <c r="T5202" s="1">
        <f>IF(B5202="ไม้กอล์ฟ",J5202,"")</f>
        <v/>
      </c>
    </row>
    <row r="5203">
      <c r="A5203" s="1" t="n">
        <v>3</v>
      </c>
      <c r="B5203" s="1" t="inlineStr">
        <is>
          <t>หมวก</t>
        </is>
      </c>
      <c r="C5203" s="1" t="inlineStr">
        <is>
          <t>gf2000105365</t>
        </is>
      </c>
      <c r="D5203" s="1" t="inlineStr">
        <is>
          <t>TITLEIST Performance Ball Marker Women's Cap (Blue/White)</t>
        </is>
      </c>
      <c r="E5203" s="1" t="inlineStr">
        <is>
          <t>TITLEIST</t>
        </is>
      </c>
      <c r="F5203" s="1" t="inlineStr">
        <is>
          <t>CAP</t>
        </is>
      </c>
      <c r="G5203" s="1" t="inlineStr">
        <is>
          <t>GF2000105365FS</t>
        </is>
      </c>
      <c r="H5203" s="1" t="n">
        <v>1</v>
      </c>
      <c r="I5203" s="1" t="inlineStr">
        <is>
          <t>หมด</t>
        </is>
      </c>
      <c r="J5203" s="13" t="n">
        <v>42</v>
      </c>
      <c r="K5203" s="1" t="inlineStr"/>
      <c r="L5203" s="13" t="n"/>
      <c r="M5203" s="1">
        <f>IF(L5203="","ไม่พบใน SG",IF(ABS(J5203-L5203)&lt;0.005,"ตรงกัน","ไม่ตรง"))</f>
        <v/>
      </c>
      <c r="N5203" s="14">
        <f>IF(L5203="","",ROUND(L5203*'สรุป'!$C$6,-1))</f>
        <v/>
      </c>
      <c r="O5203" s="15" t="n"/>
      <c r="P5203" s="15" t="n"/>
      <c r="Q5203" s="10" t="n"/>
      <c r="R5203" s="10" t="n"/>
      <c r="S5203" s="16" t="inlineStr">
        <is>
          <t>https://mstgolf.co.th/products/gf2000105365</t>
        </is>
      </c>
      <c r="T5203" s="1">
        <f>IF(B5203="ไม้กอล์ฟ",J5203,"")</f>
        <v/>
      </c>
    </row>
    <row r="5204">
      <c r="A5204" s="1" t="n">
        <v>3</v>
      </c>
      <c r="B5204" s="1" t="inlineStr">
        <is>
          <t>อุปกรณ์เสริม</t>
        </is>
      </c>
      <c r="C5204" s="1" t="inlineStr">
        <is>
          <t>gf3500200804</t>
        </is>
      </c>
      <c r="D5204" s="1" t="inlineStr">
        <is>
          <t>DAPHNE Gopher Hybrid/Utility Headcover</t>
        </is>
      </c>
      <c r="E5204" s="1" t="inlineStr">
        <is>
          <t>DAPHNE</t>
        </is>
      </c>
      <c r="F5204" s="1" t="inlineStr">
        <is>
          <t>HEADCOVERS</t>
        </is>
      </c>
      <c r="G5204" s="1" t="inlineStr">
        <is>
          <t>GF3500200804</t>
        </is>
      </c>
      <c r="H5204" s="1" t="n">
        <v>1</v>
      </c>
      <c r="I5204" s="1" t="inlineStr">
        <is>
          <t>หมด</t>
        </is>
      </c>
      <c r="J5204" s="13" t="n">
        <v>40</v>
      </c>
      <c r="K5204" s="1" t="inlineStr"/>
      <c r="L5204" s="13" t="n">
        <v>40</v>
      </c>
      <c r="M5204" s="1">
        <f>IF(L5204="","ไม่พบใน SG",IF(ABS(J5204-L5204)&lt;0.005,"ตรงกัน","ไม่ตรง"))</f>
        <v/>
      </c>
      <c r="N5204" s="14">
        <f>IF(L5204="","",ROUND(L5204*'สรุป'!$C$6,-1))</f>
        <v/>
      </c>
      <c r="O5204" s="15" t="n"/>
      <c r="P5204" s="15" t="n"/>
      <c r="Q5204" s="10" t="n"/>
      <c r="R5204" s="10" t="n"/>
      <c r="S5204" s="16" t="inlineStr">
        <is>
          <t>https://mstgolf.co.th/products/gf3500200804</t>
        </is>
      </c>
      <c r="T5204" s="1">
        <f>IF(B5204="ไม้กอล์ฟ",J5204,"")</f>
        <v/>
      </c>
    </row>
    <row r="5205">
      <c r="A5205" s="1" t="n">
        <v>3</v>
      </c>
      <c r="B5205" s="1" t="inlineStr">
        <is>
          <t>อุปกรณ์เสริม</t>
        </is>
      </c>
      <c r="C5205" s="1" t="inlineStr">
        <is>
          <t>gf3130100300</t>
        </is>
      </c>
      <c r="D5205" s="1" t="inlineStr">
        <is>
          <t>SKYLINE 4004 Black/Blue Polarized Sunglasses</t>
        </is>
      </c>
      <c r="E5205" s="1" t="inlineStr">
        <is>
          <t>SKYLINE</t>
        </is>
      </c>
      <c r="F5205" s="1" t="inlineStr">
        <is>
          <t>SUNGLASSES</t>
        </is>
      </c>
      <c r="G5205" s="1" t="inlineStr">
        <is>
          <t>GF3130100300</t>
        </is>
      </c>
      <c r="H5205" s="1" t="n">
        <v>1</v>
      </c>
      <c r="I5205" s="1" t="inlineStr">
        <is>
          <t>หมด</t>
        </is>
      </c>
      <c r="J5205" s="13" t="n">
        <v>39.95</v>
      </c>
      <c r="K5205" s="1" t="inlineStr"/>
      <c r="L5205" s="13" t="n">
        <v>39.95</v>
      </c>
      <c r="M5205" s="1">
        <f>IF(L5205="","ไม่พบใน SG",IF(ABS(J5205-L5205)&lt;0.005,"ตรงกัน","ไม่ตรง"))</f>
        <v/>
      </c>
      <c r="N5205" s="14">
        <f>IF(L5205="","",ROUND(L5205*'สรุป'!$C$6,-1))</f>
        <v/>
      </c>
      <c r="O5205" s="15" t="n"/>
      <c r="P5205" s="15" t="n"/>
      <c r="Q5205" s="10" t="n"/>
      <c r="R5205" s="10" t="n"/>
      <c r="S5205" s="16" t="inlineStr">
        <is>
          <t>https://mstgolf.co.th/products/gf3130100300</t>
        </is>
      </c>
      <c r="T5205" s="1">
        <f>IF(B5205="ไม้กอล์ฟ",J5205,"")</f>
        <v/>
      </c>
    </row>
    <row r="5206">
      <c r="A5206" s="1" t="n">
        <v>3</v>
      </c>
      <c r="B5206" s="1" t="inlineStr">
        <is>
          <t>เสื้อผ้า</t>
        </is>
      </c>
      <c r="C5206" s="1" t="inlineStr">
        <is>
          <t>gf2020202371</t>
        </is>
      </c>
      <c r="D5206" s="1" t="inlineStr">
        <is>
          <t>ADIDAS 3" Women's Shorts (Black)</t>
        </is>
      </c>
      <c r="E5206" s="1" t="inlineStr">
        <is>
          <t>ADIDAS</t>
        </is>
      </c>
      <c r="F5206" s="1" t="inlineStr">
        <is>
          <t>SHORT PANTS</t>
        </is>
      </c>
      <c r="G5206" s="1" t="inlineStr">
        <is>
          <t>GF2020202371XS</t>
        </is>
      </c>
      <c r="H5206" s="1" t="n">
        <v>6</v>
      </c>
      <c r="I5206" s="1" t="inlineStr">
        <is>
          <t>หมด</t>
        </is>
      </c>
      <c r="J5206" s="13" t="n">
        <v>39</v>
      </c>
      <c r="K5206" s="1" t="inlineStr"/>
      <c r="L5206" s="13" t="n"/>
      <c r="M5206" s="1">
        <f>IF(L5206="","ไม่พบใน SG",IF(ABS(J5206-L5206)&lt;0.005,"ตรงกัน","ไม่ตรง"))</f>
        <v/>
      </c>
      <c r="N5206" s="14">
        <f>IF(L5206="","",ROUND(L5206*'สรุป'!$C$6,-1))</f>
        <v/>
      </c>
      <c r="O5206" s="15" t="n"/>
      <c r="P5206" s="15" t="n"/>
      <c r="Q5206" s="10" t="n"/>
      <c r="R5206" s="10" t="n"/>
      <c r="S5206" s="16" t="inlineStr">
        <is>
          <t>https://mstgolf.co.th/products/gf2020202371</t>
        </is>
      </c>
      <c r="T5206" s="1">
        <f>IF(B5206="ไม้กอล์ฟ",J5206,"")</f>
        <v/>
      </c>
    </row>
    <row r="5207">
      <c r="A5207" s="1" t="n">
        <v>3</v>
      </c>
      <c r="B5207" s="1" t="inlineStr">
        <is>
          <t>เสื้อผ้า</t>
        </is>
      </c>
      <c r="C5207" s="1" t="inlineStr">
        <is>
          <t>gf2040116457</t>
        </is>
      </c>
      <c r="D5207" s="1" t="inlineStr">
        <is>
          <t>ADIDAS 3-STRIPES WMN POLO</t>
        </is>
      </c>
      <c r="E5207" s="1" t="inlineStr">
        <is>
          <t>ADIDAS</t>
        </is>
      </c>
      <c r="F5207" s="1" t="inlineStr">
        <is>
          <t>SHORT SLEEVES</t>
        </is>
      </c>
      <c r="G5207" s="1" t="inlineStr">
        <is>
          <t>GF20401164572XS</t>
        </is>
      </c>
      <c r="H5207" s="1" t="n">
        <v>7</v>
      </c>
      <c r="I5207" s="1" t="inlineStr">
        <is>
          <t>หมด</t>
        </is>
      </c>
      <c r="J5207" s="13" t="n">
        <v>39</v>
      </c>
      <c r="K5207" s="1" t="inlineStr"/>
      <c r="L5207" s="13" t="n">
        <v>39</v>
      </c>
      <c r="M5207" s="1">
        <f>IF(L5207="","ไม่พบใน SG",IF(ABS(J5207-L5207)&lt;0.005,"ตรงกัน","ไม่ตรง"))</f>
        <v/>
      </c>
      <c r="N5207" s="14">
        <f>IF(L5207="","",ROUND(L5207*'สรุป'!$C$6,-1))</f>
        <v/>
      </c>
      <c r="O5207" s="15" t="n"/>
      <c r="P5207" s="15" t="n"/>
      <c r="Q5207" s="10" t="n"/>
      <c r="R5207" s="10" t="n"/>
      <c r="S5207" s="16" t="inlineStr">
        <is>
          <t>https://mstgolf.co.th/products/gf2040116457</t>
        </is>
      </c>
      <c r="T5207" s="1">
        <f>IF(B5207="ไม้กอล์ฟ",J5207,"")</f>
        <v/>
      </c>
    </row>
    <row r="5208">
      <c r="A5208" s="1" t="n">
        <v>3</v>
      </c>
      <c r="B5208" s="1" t="inlineStr">
        <is>
          <t>เสื้อผ้า</t>
        </is>
      </c>
      <c r="C5208" s="1" t="inlineStr">
        <is>
          <t>gf2040116524</t>
        </is>
      </c>
      <c r="D5208" s="1" t="inlineStr">
        <is>
          <t>ADIDAS GO-TO PRT POLO</t>
        </is>
      </c>
      <c r="E5208" s="1" t="inlineStr">
        <is>
          <t>ADIDAS</t>
        </is>
      </c>
      <c r="F5208" s="1" t="inlineStr">
        <is>
          <t>SHORT SLEEVES</t>
        </is>
      </c>
      <c r="G5208" s="1" t="inlineStr">
        <is>
          <t>GF2040116524XS</t>
        </is>
      </c>
      <c r="H5208" s="1" t="n">
        <v>7</v>
      </c>
      <c r="I5208" s="1" t="inlineStr">
        <is>
          <t>หมด</t>
        </is>
      </c>
      <c r="J5208" s="13" t="n">
        <v>39</v>
      </c>
      <c r="K5208" s="1" t="inlineStr"/>
      <c r="L5208" s="13" t="n">
        <v>39</v>
      </c>
      <c r="M5208" s="1">
        <f>IF(L5208="","ไม่พบใน SG",IF(ABS(J5208-L5208)&lt;0.005,"ตรงกัน","ไม่ตรง"))</f>
        <v/>
      </c>
      <c r="N5208" s="14">
        <f>IF(L5208="","",ROUND(L5208*'สรุป'!$C$6,-1))</f>
        <v/>
      </c>
      <c r="O5208" s="15" t="n"/>
      <c r="P5208" s="15" t="n"/>
      <c r="Q5208" s="10" t="n"/>
      <c r="R5208" s="10" t="n"/>
      <c r="S5208" s="16" t="inlineStr">
        <is>
          <t>https://mstgolf.co.th/products/gf2040116524</t>
        </is>
      </c>
      <c r="T5208" s="1">
        <f>IF(B5208="ไม้กอล์ฟ",J5208,"")</f>
        <v/>
      </c>
    </row>
    <row r="5209">
      <c r="A5209" s="1" t="n">
        <v>3</v>
      </c>
      <c r="B5209" s="1" t="inlineStr">
        <is>
          <t>เสื้อผ้า</t>
        </is>
      </c>
      <c r="C5209" s="1" t="inlineStr">
        <is>
          <t>gf2040116445</t>
        </is>
      </c>
      <c r="D5209" s="1" t="inlineStr">
        <is>
          <t>ADIDAS Go-To Henley Men's Polo (White)</t>
        </is>
      </c>
      <c r="E5209" s="1" t="inlineStr">
        <is>
          <t>ADIDAS</t>
        </is>
      </c>
      <c r="F5209" s="1" t="inlineStr">
        <is>
          <t>SHORT SLEEVES</t>
        </is>
      </c>
      <c r="G5209" s="1" t="inlineStr">
        <is>
          <t>GF2040116445XS</t>
        </is>
      </c>
      <c r="H5209" s="1" t="n">
        <v>7</v>
      </c>
      <c r="I5209" s="1" t="inlineStr">
        <is>
          <t>หมด</t>
        </is>
      </c>
      <c r="J5209" s="13" t="n">
        <v>39</v>
      </c>
      <c r="K5209" s="1" t="inlineStr"/>
      <c r="L5209" s="13" t="n">
        <v>39</v>
      </c>
      <c r="M5209" s="1">
        <f>IF(L5209="","ไม่พบใน SG",IF(ABS(J5209-L5209)&lt;0.005,"ตรงกัน","ไม่ตรง"))</f>
        <v/>
      </c>
      <c r="N5209" s="14">
        <f>IF(L5209="","",ROUND(L5209*'สรุป'!$C$6,-1))</f>
        <v/>
      </c>
      <c r="O5209" s="15" t="n"/>
      <c r="P5209" s="15" t="n"/>
      <c r="Q5209" s="10" t="n"/>
      <c r="R5209" s="10" t="n"/>
      <c r="S5209" s="16" t="inlineStr">
        <is>
          <t>https://mstgolf.co.th/products/gf2040116445</t>
        </is>
      </c>
      <c r="T5209" s="1">
        <f>IF(B5209="ไม้กอล์ฟ",J5209,"")</f>
        <v/>
      </c>
    </row>
    <row r="5210">
      <c r="A5210" s="1" t="n">
        <v>3</v>
      </c>
      <c r="B5210" s="1" t="inlineStr">
        <is>
          <t>เสื้อผ้า</t>
        </is>
      </c>
      <c r="C5210" s="1" t="inlineStr">
        <is>
          <t>gf2040116573</t>
        </is>
      </c>
      <c r="D5210" s="1" t="inlineStr">
        <is>
          <t>ADIDAS Go-To Men's Polo (Arctic)</t>
        </is>
      </c>
      <c r="E5210" s="1" t="inlineStr">
        <is>
          <t>ADIDAS</t>
        </is>
      </c>
      <c r="F5210" s="1" t="inlineStr">
        <is>
          <t>SHORT SLEEVES</t>
        </is>
      </c>
      <c r="G5210" s="1" t="inlineStr">
        <is>
          <t>GF2040116573XS</t>
        </is>
      </c>
      <c r="H5210" s="1" t="n">
        <v>7</v>
      </c>
      <c r="I5210" s="1" t="inlineStr">
        <is>
          <t>หมด</t>
        </is>
      </c>
      <c r="J5210" s="13" t="n">
        <v>39</v>
      </c>
      <c r="K5210" s="1" t="inlineStr"/>
      <c r="L5210" s="13" t="n">
        <v>39</v>
      </c>
      <c r="M5210" s="1">
        <f>IF(L5210="","ไม่พบใน SG",IF(ABS(J5210-L5210)&lt;0.005,"ตรงกัน","ไม่ตรง"))</f>
        <v/>
      </c>
      <c r="N5210" s="14">
        <f>IF(L5210="","",ROUND(L5210*'สรุป'!$C$6,-1))</f>
        <v/>
      </c>
      <c r="O5210" s="15" t="n"/>
      <c r="P5210" s="15" t="n"/>
      <c r="Q5210" s="10" t="n"/>
      <c r="R5210" s="10" t="n"/>
      <c r="S5210" s="16" t="inlineStr">
        <is>
          <t>https://mstgolf.co.th/products/gf2040116573</t>
        </is>
      </c>
      <c r="T5210" s="1">
        <f>IF(B5210="ไม้กอล์ฟ",J5210,"")</f>
        <v/>
      </c>
    </row>
    <row r="5211">
      <c r="A5211" s="1" t="n">
        <v>3</v>
      </c>
      <c r="B5211" s="1" t="inlineStr">
        <is>
          <t>เสื้อผ้า</t>
        </is>
      </c>
      <c r="C5211" s="1" t="inlineStr">
        <is>
          <t>gf2020202503</t>
        </is>
      </c>
      <c r="D5211" s="1" t="inlineStr">
        <is>
          <t>ADIDAS Go-To Skort (Pink)</t>
        </is>
      </c>
      <c r="E5211" s="1" t="inlineStr">
        <is>
          <t>ADIDAS</t>
        </is>
      </c>
      <c r="F5211" s="1" t="inlineStr">
        <is>
          <t>SHORT PANTS</t>
        </is>
      </c>
      <c r="G5211" s="1" t="inlineStr">
        <is>
          <t>GF20202025032XS</t>
        </is>
      </c>
      <c r="H5211" s="1" t="n">
        <v>7</v>
      </c>
      <c r="I5211" s="1" t="inlineStr">
        <is>
          <t>หมด</t>
        </is>
      </c>
      <c r="J5211" s="13" t="n">
        <v>39</v>
      </c>
      <c r="K5211" s="1" t="inlineStr"/>
      <c r="L5211" s="13" t="n"/>
      <c r="M5211" s="1">
        <f>IF(L5211="","ไม่พบใน SG",IF(ABS(J5211-L5211)&lt;0.005,"ตรงกัน","ไม่ตรง"))</f>
        <v/>
      </c>
      <c r="N5211" s="14">
        <f>IF(L5211="","",ROUND(L5211*'สรุป'!$C$6,-1))</f>
        <v/>
      </c>
      <c r="O5211" s="15" t="n"/>
      <c r="P5211" s="15" t="n"/>
      <c r="Q5211" s="10" t="n"/>
      <c r="R5211" s="10" t="n"/>
      <c r="S5211" s="16" t="inlineStr">
        <is>
          <t>https://mstgolf.co.th/products/gf2020202503</t>
        </is>
      </c>
      <c r="T5211" s="1">
        <f>IF(B5211="ไม้กอล์ฟ",J5211,"")</f>
        <v/>
      </c>
    </row>
    <row r="5212">
      <c r="A5212" s="1" t="n">
        <v>3</v>
      </c>
      <c r="B5212" s="1" t="inlineStr">
        <is>
          <t>เสื้อผ้า</t>
        </is>
      </c>
      <c r="C5212" s="1" t="inlineStr">
        <is>
          <t>gf2040117629</t>
        </is>
      </c>
      <c r="D5212" s="1" t="inlineStr">
        <is>
          <t>ADIDAS HEAT.RDY Jacquard Men's Polo (Scarlet)</t>
        </is>
      </c>
      <c r="E5212" s="1" t="inlineStr">
        <is>
          <t>ADIDAS</t>
        </is>
      </c>
      <c r="F5212" s="1" t="inlineStr">
        <is>
          <t>SHORT SLEEVES</t>
        </is>
      </c>
      <c r="G5212" s="1" t="inlineStr">
        <is>
          <t>GF2040117629XS</t>
        </is>
      </c>
      <c r="H5212" s="1" t="n">
        <v>7</v>
      </c>
      <c r="I5212" s="1" t="inlineStr">
        <is>
          <t>หมด</t>
        </is>
      </c>
      <c r="J5212" s="13" t="n">
        <v>39</v>
      </c>
      <c r="K5212" s="1" t="inlineStr"/>
      <c r="L5212" s="13" t="n"/>
      <c r="M5212" s="1">
        <f>IF(L5212="","ไม่พบใน SG",IF(ABS(J5212-L5212)&lt;0.005,"ตรงกัน","ไม่ตรง"))</f>
        <v/>
      </c>
      <c r="N5212" s="14">
        <f>IF(L5212="","",ROUND(L5212*'สรุป'!$C$6,-1))</f>
        <v/>
      </c>
      <c r="O5212" s="15" t="n"/>
      <c r="P5212" s="15" t="n"/>
      <c r="Q5212" s="10" t="n"/>
      <c r="R5212" s="10" t="n"/>
      <c r="S5212" s="16" t="inlineStr">
        <is>
          <t>https://mstgolf.co.th/products/gf2040117629</t>
        </is>
      </c>
      <c r="T5212" s="1">
        <f>IF(B5212="ไม้กอล์ฟ",J5212,"")</f>
        <v/>
      </c>
    </row>
    <row r="5213">
      <c r="A5213" s="1" t="n">
        <v>3</v>
      </c>
      <c r="B5213" s="1" t="inlineStr">
        <is>
          <t>เสื้อผ้า</t>
        </is>
      </c>
      <c r="C5213" s="1" t="inlineStr">
        <is>
          <t>gf2020300127</t>
        </is>
      </c>
      <c r="D5213" s="1" t="inlineStr">
        <is>
          <t>ADIDAS Performance Printed Junior Skirt (Pink)</t>
        </is>
      </c>
      <c r="E5213" s="1" t="inlineStr">
        <is>
          <t>ADIDAS</t>
        </is>
      </c>
      <c r="F5213" s="1" t="inlineStr">
        <is>
          <t>SKORTS</t>
        </is>
      </c>
      <c r="G5213" s="1" t="inlineStr">
        <is>
          <t>GF2020300127128</t>
        </is>
      </c>
      <c r="H5213" s="1" t="n">
        <v>5</v>
      </c>
      <c r="I5213" s="1" t="inlineStr">
        <is>
          <t>หมด</t>
        </is>
      </c>
      <c r="J5213" s="13" t="n">
        <v>39</v>
      </c>
      <c r="K5213" s="1" t="inlineStr"/>
      <c r="L5213" s="13" t="n">
        <v>29</v>
      </c>
      <c r="M5213" s="1">
        <f>IF(L5213="","ไม่พบใน SG",IF(ABS(J5213-L5213)&lt;0.005,"ตรงกัน","ไม่ตรง"))</f>
        <v/>
      </c>
      <c r="N5213" s="14">
        <f>IF(L5213="","",ROUND(L5213*'สรุป'!$C$6,-1))</f>
        <v/>
      </c>
      <c r="O5213" s="15" t="n"/>
      <c r="P5213" s="15" t="n"/>
      <c r="Q5213" s="10" t="n"/>
      <c r="R5213" s="10" t="n"/>
      <c r="S5213" s="16" t="inlineStr">
        <is>
          <t>https://mstgolf.co.th/products/gf2020300127</t>
        </is>
      </c>
      <c r="T5213" s="1">
        <f>IF(B5213="ไม้กอล์ฟ",J5213,"")</f>
        <v/>
      </c>
    </row>
    <row r="5214">
      <c r="A5214" s="1" t="n">
        <v>3</v>
      </c>
      <c r="B5214" s="1" t="inlineStr">
        <is>
          <t>เสื้อผ้า</t>
        </is>
      </c>
      <c r="C5214" s="1" t="inlineStr">
        <is>
          <t>gf2040117606</t>
        </is>
      </c>
      <c r="D5214" s="1" t="inlineStr">
        <is>
          <t>ADIDAS Ultimate365 Men's Pique Polo (White)</t>
        </is>
      </c>
      <c r="E5214" s="1" t="inlineStr">
        <is>
          <t>ADIDAS</t>
        </is>
      </c>
      <c r="F5214" s="1" t="inlineStr">
        <is>
          <t>SHORT SLEEVES</t>
        </is>
      </c>
      <c r="G5214" s="1" t="inlineStr">
        <is>
          <t>GF2040117606XS</t>
        </is>
      </c>
      <c r="H5214" s="1" t="n">
        <v>7</v>
      </c>
      <c r="I5214" s="1" t="inlineStr">
        <is>
          <t>หมด</t>
        </is>
      </c>
      <c r="J5214" s="13" t="n">
        <v>39</v>
      </c>
      <c r="K5214" s="1" t="inlineStr"/>
      <c r="L5214" s="13" t="n">
        <v>39</v>
      </c>
      <c r="M5214" s="1">
        <f>IF(L5214="","ไม่พบใน SG",IF(ABS(J5214-L5214)&lt;0.005,"ตรงกัน","ไม่ตรง"))</f>
        <v/>
      </c>
      <c r="N5214" s="14">
        <f>IF(L5214="","",ROUND(L5214*'สรุป'!$C$6,-1))</f>
        <v/>
      </c>
      <c r="O5214" s="15" t="n"/>
      <c r="P5214" s="15" t="n"/>
      <c r="Q5214" s="10" t="n"/>
      <c r="R5214" s="10" t="n"/>
      <c r="S5214" s="16" t="inlineStr">
        <is>
          <t>https://mstgolf.co.th/products/gf2040117606</t>
        </is>
      </c>
      <c r="T5214" s="1">
        <f>IF(B5214="ไม้กอล์ฟ",J5214,"")</f>
        <v/>
      </c>
    </row>
    <row r="5215">
      <c r="A5215" s="1" t="n">
        <v>3</v>
      </c>
      <c r="B5215" s="1" t="inlineStr">
        <is>
          <t>เสื้อผ้า</t>
        </is>
      </c>
      <c r="C5215" s="1" t="inlineStr">
        <is>
          <t>gf2040117617</t>
        </is>
      </c>
      <c r="D5215" s="1" t="inlineStr">
        <is>
          <t>ADIDAS Ultimate365 Printed Men's Polo (Ivory)</t>
        </is>
      </c>
      <c r="E5215" s="1" t="inlineStr">
        <is>
          <t>ADIDAS</t>
        </is>
      </c>
      <c r="F5215" s="1" t="inlineStr">
        <is>
          <t>SHORT SLEEVES</t>
        </is>
      </c>
      <c r="G5215" s="1" t="inlineStr">
        <is>
          <t>GF2040117617XS</t>
        </is>
      </c>
      <c r="H5215" s="1" t="n">
        <v>8</v>
      </c>
      <c r="I5215" s="1" t="inlineStr">
        <is>
          <t>หมด</t>
        </is>
      </c>
      <c r="J5215" s="13" t="n">
        <v>39</v>
      </c>
      <c r="K5215" s="1" t="inlineStr"/>
      <c r="L5215" s="13" t="n"/>
      <c r="M5215" s="1">
        <f>IF(L5215="","ไม่พบใน SG",IF(ABS(J5215-L5215)&lt;0.005,"ตรงกัน","ไม่ตรง"))</f>
        <v/>
      </c>
      <c r="N5215" s="14">
        <f>IF(L5215="","",ROUND(L5215*'สรุป'!$C$6,-1))</f>
        <v/>
      </c>
      <c r="O5215" s="15" t="n"/>
      <c r="P5215" s="15" t="n"/>
      <c r="Q5215" s="10" t="n"/>
      <c r="R5215" s="10" t="n"/>
      <c r="S5215" s="16" t="inlineStr">
        <is>
          <t>https://mstgolf.co.th/products/gf2040117617</t>
        </is>
      </c>
      <c r="T5215" s="1">
        <f>IF(B5215="ไม้กอล์ฟ",J5215,"")</f>
        <v/>
      </c>
    </row>
    <row r="5216">
      <c r="A5216" s="1" t="n">
        <v>3</v>
      </c>
      <c r="B5216" s="1" t="inlineStr">
        <is>
          <t>เสื้อผ้า</t>
        </is>
      </c>
      <c r="C5216" s="1" t="inlineStr">
        <is>
          <t>gf2040117608</t>
        </is>
      </c>
      <c r="D5216" s="1" t="inlineStr">
        <is>
          <t>ADIDAS Ultimate365 TWISKNIT Men's Piqué Polo (Navy)</t>
        </is>
      </c>
      <c r="E5216" s="1" t="inlineStr">
        <is>
          <t>ADIDAS</t>
        </is>
      </c>
      <c r="F5216" s="1" t="inlineStr">
        <is>
          <t>SHORT SLEEVES</t>
        </is>
      </c>
      <c r="G5216" s="1" t="inlineStr">
        <is>
          <t>GF2040117608XS</t>
        </is>
      </c>
      <c r="H5216" s="1" t="n">
        <v>7</v>
      </c>
      <c r="I5216" s="1" t="inlineStr">
        <is>
          <t>หมด</t>
        </is>
      </c>
      <c r="J5216" s="13" t="n">
        <v>39</v>
      </c>
      <c r="K5216" s="1" t="inlineStr"/>
      <c r="L5216" s="13" t="n">
        <v>39</v>
      </c>
      <c r="M5216" s="1">
        <f>IF(L5216="","ไม่พบใน SG",IF(ABS(J5216-L5216)&lt;0.005,"ตรงกัน","ไม่ตรง"))</f>
        <v/>
      </c>
      <c r="N5216" s="14">
        <f>IF(L5216="","",ROUND(L5216*'สรุป'!$C$6,-1))</f>
        <v/>
      </c>
      <c r="O5216" s="15" t="n"/>
      <c r="P5216" s="15" t="n"/>
      <c r="Q5216" s="10" t="n"/>
      <c r="R5216" s="10" t="n"/>
      <c r="S5216" s="16" t="inlineStr">
        <is>
          <t>https://mstgolf.co.th/products/gf2040117608</t>
        </is>
      </c>
      <c r="T5216" s="1">
        <f>IF(B5216="ไม้กอล์ฟ",J5216,"")</f>
        <v/>
      </c>
    </row>
    <row r="5217">
      <c r="A5217" s="1" t="n">
        <v>3</v>
      </c>
      <c r="B5217" s="1" t="inlineStr">
        <is>
          <t>เสื้อผ้า</t>
        </is>
      </c>
      <c r="C5217" s="1" t="inlineStr">
        <is>
          <t>gf2040117618</t>
        </is>
      </c>
      <c r="D5217" s="1" t="inlineStr">
        <is>
          <t>ADIDAS Ultimate365 Textured Men's Polo (Ivory)</t>
        </is>
      </c>
      <c r="E5217" s="1" t="inlineStr">
        <is>
          <t>ADIDAS</t>
        </is>
      </c>
      <c r="F5217" s="1" t="inlineStr">
        <is>
          <t>SHORT SLEEVES</t>
        </is>
      </c>
      <c r="G5217" s="1" t="inlineStr">
        <is>
          <t>GF2040117618XS</t>
        </is>
      </c>
      <c r="H5217" s="1" t="n">
        <v>7</v>
      </c>
      <c r="I5217" s="1" t="inlineStr">
        <is>
          <t>หมด</t>
        </is>
      </c>
      <c r="J5217" s="13" t="n">
        <v>39</v>
      </c>
      <c r="K5217" s="1" t="inlineStr"/>
      <c r="L5217" s="13" t="n"/>
      <c r="M5217" s="1">
        <f>IF(L5217="","ไม่พบใน SG",IF(ABS(J5217-L5217)&lt;0.005,"ตรงกัน","ไม่ตรง"))</f>
        <v/>
      </c>
      <c r="N5217" s="14">
        <f>IF(L5217="","",ROUND(L5217*'สรุป'!$C$6,-1))</f>
        <v/>
      </c>
      <c r="O5217" s="15" t="n"/>
      <c r="P5217" s="15" t="n"/>
      <c r="Q5217" s="10" t="n"/>
      <c r="R5217" s="10" t="n"/>
      <c r="S5217" s="16" t="inlineStr">
        <is>
          <t>https://mstgolf.co.th/products/gf2040117618</t>
        </is>
      </c>
      <c r="T5217" s="1">
        <f>IF(B5217="ไม้กอล์ฟ",J5217,"")</f>
        <v/>
      </c>
    </row>
    <row r="5218">
      <c r="A5218" s="1" t="n">
        <v>3</v>
      </c>
      <c r="B5218" s="1" t="inlineStr">
        <is>
          <t>เสื้อผ้า</t>
        </is>
      </c>
      <c r="C5218" s="1" t="inlineStr">
        <is>
          <t>gf2040401057</t>
        </is>
      </c>
      <c r="D5218" s="1" t="inlineStr">
        <is>
          <t>ADIDAS Ultimate365 Tour Long Sleeve Women's Mock Shirt (Blue)</t>
        </is>
      </c>
      <c r="E5218" s="1" t="inlineStr">
        <is>
          <t>ADIDAS</t>
        </is>
      </c>
      <c r="F5218" s="1" t="inlineStr">
        <is>
          <t>LONG SLEEVES</t>
        </is>
      </c>
      <c r="G5218" s="1" t="inlineStr">
        <is>
          <t>GF20404010572XS</t>
        </is>
      </c>
      <c r="H5218" s="1" t="n">
        <v>7</v>
      </c>
      <c r="I5218" s="1" t="inlineStr">
        <is>
          <t>หมด</t>
        </is>
      </c>
      <c r="J5218" s="13" t="n">
        <v>39</v>
      </c>
      <c r="K5218" s="1" t="inlineStr"/>
      <c r="L5218" s="13" t="n"/>
      <c r="M5218" s="1">
        <f>IF(L5218="","ไม่พบใน SG",IF(ABS(J5218-L5218)&lt;0.005,"ตรงกัน","ไม่ตรง"))</f>
        <v/>
      </c>
      <c r="N5218" s="14">
        <f>IF(L5218="","",ROUND(L5218*'สรุป'!$C$6,-1))</f>
        <v/>
      </c>
      <c r="O5218" s="15" t="n"/>
      <c r="P5218" s="15" t="n"/>
      <c r="Q5218" s="10" t="n"/>
      <c r="R5218" s="10" t="n"/>
      <c r="S5218" s="16" t="inlineStr">
        <is>
          <t>https://mstgolf.co.th/products/gf2040401057</t>
        </is>
      </c>
      <c r="T5218" s="1">
        <f>IF(B5218="ไม้กอล์ฟ",J5218,"")</f>
        <v/>
      </c>
    </row>
    <row r="5219">
      <c r="A5219" s="1" t="n">
        <v>3</v>
      </c>
      <c r="B5219" s="1" t="inlineStr">
        <is>
          <t>หมวก</t>
        </is>
      </c>
      <c r="C5219" s="1" t="inlineStr">
        <is>
          <t>gf2000200961</t>
        </is>
      </c>
      <c r="D5219" s="1" t="inlineStr">
        <is>
          <t>CALVIN KLEIN Harsha Women's Visor (Pink)</t>
        </is>
      </c>
      <c r="E5219" s="1" t="inlineStr">
        <is>
          <t>CALVIN KLEIN</t>
        </is>
      </c>
      <c r="F5219" s="1" t="inlineStr">
        <is>
          <t>VISOR</t>
        </is>
      </c>
      <c r="G5219" s="1" t="inlineStr">
        <is>
          <t>GF2000200961FS</t>
        </is>
      </c>
      <c r="H5219" s="1" t="n">
        <v>1</v>
      </c>
      <c r="I5219" s="1" t="inlineStr">
        <is>
          <t>หมด</t>
        </is>
      </c>
      <c r="J5219" s="13" t="n">
        <v>39</v>
      </c>
      <c r="K5219" s="1" t="inlineStr"/>
      <c r="L5219" s="13" t="n">
        <v>39</v>
      </c>
      <c r="M5219" s="1">
        <f>IF(L5219="","ไม่พบใน SG",IF(ABS(J5219-L5219)&lt;0.005,"ตรงกัน","ไม่ตรง"))</f>
        <v/>
      </c>
      <c r="N5219" s="14">
        <f>IF(L5219="","",ROUND(L5219*'สรุป'!$C$6,-1))</f>
        <v/>
      </c>
      <c r="O5219" s="15" t="n"/>
      <c r="P5219" s="15" t="n"/>
      <c r="Q5219" s="10" t="n"/>
      <c r="R5219" s="10" t="n"/>
      <c r="S5219" s="16" t="inlineStr">
        <is>
          <t>https://mstgolf.co.th/products/gf2000200961</t>
        </is>
      </c>
      <c r="T5219" s="1">
        <f>IF(B5219="ไม้กอล์ฟ",J5219,"")</f>
        <v/>
      </c>
    </row>
    <row r="5220">
      <c r="A5220" s="1" t="n">
        <v>3</v>
      </c>
      <c r="B5220" s="1" t="inlineStr">
        <is>
          <t>เสื้อผ้า</t>
        </is>
      </c>
      <c r="C5220" s="1" t="inlineStr">
        <is>
          <t>gf2040114255</t>
        </is>
      </c>
      <c r="D5220" s="1" t="inlineStr">
        <is>
          <t>CUTTER &amp; BUCK Virtue Eco Pique Tile Print Men's Polo (Black)</t>
        </is>
      </c>
      <c r="E5220" s="1" t="inlineStr">
        <is>
          <t>CUTTER &amp; BUCK</t>
        </is>
      </c>
      <c r="F5220" s="1" t="inlineStr">
        <is>
          <t>SHORT SLEEVES</t>
        </is>
      </c>
      <c r="G5220" s="1" t="inlineStr">
        <is>
          <t>GF2040114255S</t>
        </is>
      </c>
      <c r="H5220" s="1" t="n">
        <v>5</v>
      </c>
      <c r="I5220" s="1" t="inlineStr">
        <is>
          <t>หมด</t>
        </is>
      </c>
      <c r="J5220" s="13" t="n">
        <v>39</v>
      </c>
      <c r="K5220" s="1" t="inlineStr"/>
      <c r="L5220" s="13" t="n"/>
      <c r="M5220" s="1">
        <f>IF(L5220="","ไม่พบใน SG",IF(ABS(J5220-L5220)&lt;0.005,"ตรงกัน","ไม่ตรง"))</f>
        <v/>
      </c>
      <c r="N5220" s="14">
        <f>IF(L5220="","",ROUND(L5220*'สรุป'!$C$6,-1))</f>
        <v/>
      </c>
      <c r="O5220" s="15" t="n"/>
      <c r="P5220" s="15" t="n"/>
      <c r="Q5220" s="10" t="n"/>
      <c r="R5220" s="10" t="n"/>
      <c r="S5220" s="16" t="inlineStr">
        <is>
          <t>https://mstgolf.co.th/products/gf2040114255</t>
        </is>
      </c>
      <c r="T5220" s="1">
        <f>IF(B5220="ไม้กอล์ฟ",J5220,"")</f>
        <v/>
      </c>
    </row>
    <row r="5221">
      <c r="A5221" s="1" t="n">
        <v>3</v>
      </c>
      <c r="B5221" s="1" t="inlineStr">
        <is>
          <t>เสื้อผ้า</t>
        </is>
      </c>
      <c r="C5221" s="1" t="inlineStr">
        <is>
          <t>gf2040112972</t>
        </is>
      </c>
      <c r="D5221" s="1" t="inlineStr">
        <is>
          <t>CUTTER &amp; BUCK Virtue Eco Pique Tile Print Men's Polo (White)</t>
        </is>
      </c>
      <c r="E5221" s="1" t="inlineStr">
        <is>
          <t>CUTTER &amp; BUCK</t>
        </is>
      </c>
      <c r="F5221" s="1" t="inlineStr">
        <is>
          <t>SHORT SLEEVES</t>
        </is>
      </c>
      <c r="G5221" s="1" t="inlineStr">
        <is>
          <t>GF2040112972S</t>
        </is>
      </c>
      <c r="H5221" s="1" t="n">
        <v>6</v>
      </c>
      <c r="I5221" s="1" t="inlineStr">
        <is>
          <t>หมด</t>
        </is>
      </c>
      <c r="J5221" s="13" t="n">
        <v>39</v>
      </c>
      <c r="K5221" s="1" t="inlineStr"/>
      <c r="L5221" s="13" t="n"/>
      <c r="M5221" s="1">
        <f>IF(L5221="","ไม่พบใน SG",IF(ABS(J5221-L5221)&lt;0.005,"ตรงกัน","ไม่ตรง"))</f>
        <v/>
      </c>
      <c r="N5221" s="14">
        <f>IF(L5221="","",ROUND(L5221*'สรุป'!$C$6,-1))</f>
        <v/>
      </c>
      <c r="O5221" s="15" t="n"/>
      <c r="P5221" s="15" t="n"/>
      <c r="Q5221" s="10" t="n"/>
      <c r="R5221" s="10" t="n"/>
      <c r="S5221" s="16" t="inlineStr">
        <is>
          <t>https://mstgolf.co.th/products/gf2040112972</t>
        </is>
      </c>
      <c r="T5221" s="1">
        <f>IF(B5221="ไม้กอล์ฟ",J5221,"")</f>
        <v/>
      </c>
    </row>
    <row r="5222">
      <c r="A5222" s="1" t="n">
        <v>3</v>
      </c>
      <c r="B5222" s="1" t="inlineStr">
        <is>
          <t>อุปกรณ์เสริม</t>
        </is>
      </c>
      <c r="C5222" s="1" t="inlineStr">
        <is>
          <t>gf3500400397</t>
        </is>
      </c>
      <c r="D5222" s="1" t="inlineStr">
        <is>
          <t>DISNEY Stitch Hat Clip &amp; 2Pcs Marker Set</t>
        </is>
      </c>
      <c r="E5222" s="1" t="inlineStr">
        <is>
          <t>DISNEY</t>
        </is>
      </c>
      <c r="F5222" s="1" t="inlineStr">
        <is>
          <t>MARKERS &amp; DIVOTS</t>
        </is>
      </c>
      <c r="G5222" s="1" t="inlineStr">
        <is>
          <t>GF3500400397</t>
        </is>
      </c>
      <c r="H5222" s="1" t="n">
        <v>1</v>
      </c>
      <c r="I5222" s="1" t="inlineStr">
        <is>
          <t>หมด</t>
        </is>
      </c>
      <c r="J5222" s="13" t="n">
        <v>39</v>
      </c>
      <c r="K5222" s="1" t="inlineStr"/>
      <c r="L5222" s="13" t="n">
        <v>39</v>
      </c>
      <c r="M5222" s="1">
        <f>IF(L5222="","ไม่พบใน SG",IF(ABS(J5222-L5222)&lt;0.005,"ตรงกัน","ไม่ตรง"))</f>
        <v/>
      </c>
      <c r="N5222" s="14">
        <f>IF(L5222="","",ROUND(L5222*'สรุป'!$C$6,-1))</f>
        <v/>
      </c>
      <c r="O5222" s="15" t="n"/>
      <c r="P5222" s="15" t="n"/>
      <c r="Q5222" s="10" t="n"/>
      <c r="R5222" s="10" t="n"/>
      <c r="S5222" s="16" t="inlineStr">
        <is>
          <t>https://mstgolf.co.th/products/gf3500400397</t>
        </is>
      </c>
      <c r="T5222" s="1">
        <f>IF(B5222="ไม้กอล์ฟ",J5222,"")</f>
        <v/>
      </c>
    </row>
    <row r="5223">
      <c r="A5223" s="1" t="n">
        <v>3</v>
      </c>
      <c r="B5223" s="1" t="inlineStr">
        <is>
          <t>อุปกรณ์เสริม</t>
        </is>
      </c>
      <c r="C5223" s="1" t="inlineStr">
        <is>
          <t>gf3130100204</t>
        </is>
      </c>
      <c r="D5223" s="1" t="inlineStr">
        <is>
          <t>EPOCH EYEWEAR Charlie Black/Polarized Smoke Sunglasses</t>
        </is>
      </c>
      <c r="E5223" s="1" t="inlineStr">
        <is>
          <t>EPOCH EYEWEAR</t>
        </is>
      </c>
      <c r="F5223" s="1" t="inlineStr">
        <is>
          <t>SUNGLASSES</t>
        </is>
      </c>
      <c r="G5223" s="1" t="inlineStr">
        <is>
          <t>GF3130100204</t>
        </is>
      </c>
      <c r="H5223" s="1" t="n">
        <v>1</v>
      </c>
      <c r="I5223" s="1" t="inlineStr">
        <is>
          <t>หมด</t>
        </is>
      </c>
      <c r="J5223" s="13" t="n">
        <v>39</v>
      </c>
      <c r="K5223" s="1" t="inlineStr"/>
      <c r="L5223" s="13" t="n">
        <v>39</v>
      </c>
      <c r="M5223" s="1">
        <f>IF(L5223="","ไม่พบใน SG",IF(ABS(J5223-L5223)&lt;0.005,"ตรงกัน","ไม่ตรง"))</f>
        <v/>
      </c>
      <c r="N5223" s="14">
        <f>IF(L5223="","",ROUND(L5223*'สรุป'!$C$6,-1))</f>
        <v/>
      </c>
      <c r="O5223" s="15" t="n"/>
      <c r="P5223" s="15" t="n"/>
      <c r="Q5223" s="10" t="n"/>
      <c r="R5223" s="10" t="n"/>
      <c r="S5223" s="16" t="inlineStr">
        <is>
          <t>https://mstgolf.co.th/products/gf3130100204</t>
        </is>
      </c>
      <c r="T5223" s="1">
        <f>IF(B5223="ไม้กอล์ฟ",J5223,"")</f>
        <v/>
      </c>
    </row>
    <row r="5224">
      <c r="A5224" s="1" t="n">
        <v>3</v>
      </c>
      <c r="B5224" s="1" t="inlineStr">
        <is>
          <t>อุปกรณ์เสริม</t>
        </is>
      </c>
      <c r="C5224" s="1" t="inlineStr">
        <is>
          <t>gf3130100143</t>
        </is>
      </c>
      <c r="D5224" s="1" t="inlineStr">
        <is>
          <t>EPOCH EYEWEAR Midway Black/Smoke Sunglasses</t>
        </is>
      </c>
      <c r="E5224" s="1" t="inlineStr">
        <is>
          <t>EPOCH EYEWEAR</t>
        </is>
      </c>
      <c r="F5224" s="1" t="inlineStr">
        <is>
          <t>SUNGLASSES</t>
        </is>
      </c>
      <c r="G5224" s="1" t="inlineStr">
        <is>
          <t>GF3130100143</t>
        </is>
      </c>
      <c r="H5224" s="1" t="n">
        <v>1</v>
      </c>
      <c r="I5224" s="1" t="inlineStr">
        <is>
          <t>หมด</t>
        </is>
      </c>
      <c r="J5224" s="13" t="n">
        <v>39</v>
      </c>
      <c r="K5224" s="1" t="inlineStr"/>
      <c r="L5224" s="13" t="n">
        <v>39</v>
      </c>
      <c r="M5224" s="1">
        <f>IF(L5224="","ไม่พบใน SG",IF(ABS(J5224-L5224)&lt;0.005,"ตรงกัน","ไม่ตรง"))</f>
        <v/>
      </c>
      <c r="N5224" s="14">
        <f>IF(L5224="","",ROUND(L5224*'สรุป'!$C$6,-1))</f>
        <v/>
      </c>
      <c r="O5224" s="15" t="n"/>
      <c r="P5224" s="15" t="n"/>
      <c r="Q5224" s="10" t="n"/>
      <c r="R5224" s="10" t="n"/>
      <c r="S5224" s="16" t="inlineStr">
        <is>
          <t>https://mstgolf.co.th/products/gf3130100143</t>
        </is>
      </c>
      <c r="T5224" s="1">
        <f>IF(B5224="ไม้กอล์ฟ",J5224,"")</f>
        <v/>
      </c>
    </row>
    <row r="5225">
      <c r="A5225" s="1" t="n">
        <v>3</v>
      </c>
      <c r="B5225" s="1" t="inlineStr">
        <is>
          <t>หมวก</t>
        </is>
      </c>
      <c r="C5225" s="1" t="inlineStr">
        <is>
          <t>gf2000104603</t>
        </is>
      </c>
      <c r="D5225" s="1" t="inlineStr">
        <is>
          <t>GFORE Circle G's Women's Cap (Twilight)</t>
        </is>
      </c>
      <c r="E5225" s="1" t="inlineStr">
        <is>
          <t>GFORE</t>
        </is>
      </c>
      <c r="F5225" s="1" t="inlineStr">
        <is>
          <t>CAP</t>
        </is>
      </c>
      <c r="G5225" s="1" t="inlineStr">
        <is>
          <t>GF2000104603FS</t>
        </is>
      </c>
      <c r="H5225" s="1" t="n">
        <v>1</v>
      </c>
      <c r="I5225" s="1" t="inlineStr">
        <is>
          <t>หมด</t>
        </is>
      </c>
      <c r="J5225" s="13" t="n">
        <v>39</v>
      </c>
      <c r="K5225" s="1" t="inlineStr"/>
      <c r="L5225" s="13" t="n">
        <v>39</v>
      </c>
      <c r="M5225" s="1">
        <f>IF(L5225="","ไม่พบใน SG",IF(ABS(J5225-L5225)&lt;0.005,"ตรงกัน","ไม่ตรง"))</f>
        <v/>
      </c>
      <c r="N5225" s="14">
        <f>IF(L5225="","",ROUND(L5225*'สรุป'!$C$6,-1))</f>
        <v/>
      </c>
      <c r="O5225" s="15" t="n"/>
      <c r="P5225" s="15" t="n"/>
      <c r="Q5225" s="10" t="n"/>
      <c r="R5225" s="10" t="n"/>
      <c r="S5225" s="16" t="inlineStr">
        <is>
          <t>https://mstgolf.co.th/products/gf2000104603</t>
        </is>
      </c>
      <c r="T5225" s="1">
        <f>IF(B5225="ไม้กอล์ฟ",J5225,"")</f>
        <v/>
      </c>
    </row>
    <row r="5226">
      <c r="A5226" s="1" t="n">
        <v>3</v>
      </c>
      <c r="B5226" s="1" t="inlineStr">
        <is>
          <t>หมวก</t>
        </is>
      </c>
      <c r="C5226" s="1" t="inlineStr">
        <is>
          <t>gf2000105696</t>
        </is>
      </c>
      <c r="D5226" s="1" t="inlineStr">
        <is>
          <t>GFORE Knit Trucker Men's Cap (Snow/Surf)</t>
        </is>
      </c>
      <c r="E5226" s="1" t="inlineStr">
        <is>
          <t>GFORE</t>
        </is>
      </c>
      <c r="F5226" s="1" t="inlineStr">
        <is>
          <t>CAP</t>
        </is>
      </c>
      <c r="G5226" s="1" t="inlineStr">
        <is>
          <t>GF2000105696FS</t>
        </is>
      </c>
      <c r="H5226" s="1" t="n">
        <v>1</v>
      </c>
      <c r="I5226" s="1" t="inlineStr">
        <is>
          <t>หมด</t>
        </is>
      </c>
      <c r="J5226" s="13" t="n">
        <v>39</v>
      </c>
      <c r="K5226" s="1" t="inlineStr"/>
      <c r="L5226" s="13" t="n">
        <v>39</v>
      </c>
      <c r="M5226" s="1">
        <f>IF(L5226="","ไม่พบใน SG",IF(ABS(J5226-L5226)&lt;0.005,"ตรงกัน","ไม่ตรง"))</f>
        <v/>
      </c>
      <c r="N5226" s="14">
        <f>IF(L5226="","",ROUND(L5226*'สรุป'!$C$6,-1))</f>
        <v/>
      </c>
      <c r="O5226" s="15" t="n"/>
      <c r="P5226" s="15" t="n"/>
      <c r="Q5226" s="10" t="n"/>
      <c r="R5226" s="10" t="n"/>
      <c r="S5226" s="16" t="inlineStr">
        <is>
          <t>https://mstgolf.co.th/products/gf2000105696</t>
        </is>
      </c>
      <c r="T5226" s="1">
        <f>IF(B5226="ไม้กอล์ฟ",J5226,"")</f>
        <v/>
      </c>
    </row>
    <row r="5227">
      <c r="A5227" s="1" t="n">
        <v>3</v>
      </c>
      <c r="B5227" s="1" t="inlineStr">
        <is>
          <t>อุปกรณ์เสริม</t>
        </is>
      </c>
      <c r="C5227" s="1" t="inlineStr">
        <is>
          <t>gf2090300238</t>
        </is>
      </c>
      <c r="D5227" s="1" t="inlineStr">
        <is>
          <t>LACOSTE Ribbed Cotton Socks (Green/Flour)</t>
        </is>
      </c>
      <c r="E5227" s="1" t="inlineStr">
        <is>
          <t>LACOSTE</t>
        </is>
      </c>
      <c r="F5227" s="1" t="inlineStr">
        <is>
          <t>CREW/QUARTER SOCKS</t>
        </is>
      </c>
      <c r="G5227" s="1" t="inlineStr">
        <is>
          <t>GF209030023839-42</t>
        </is>
      </c>
      <c r="H5227" s="1" t="n">
        <v>1</v>
      </c>
      <c r="I5227" s="1" t="inlineStr">
        <is>
          <t>หมด</t>
        </is>
      </c>
      <c r="J5227" s="13" t="n">
        <v>39</v>
      </c>
      <c r="K5227" s="1" t="inlineStr"/>
      <c r="L5227" s="13" t="n">
        <v>39</v>
      </c>
      <c r="M5227" s="1">
        <f>IF(L5227="","ไม่พบใน SG",IF(ABS(J5227-L5227)&lt;0.005,"ตรงกัน","ไม่ตรง"))</f>
        <v/>
      </c>
      <c r="N5227" s="14">
        <f>IF(L5227="","",ROUND(L5227*'สรุป'!$C$6,-1))</f>
        <v/>
      </c>
      <c r="O5227" s="15" t="n"/>
      <c r="P5227" s="15" t="n"/>
      <c r="Q5227" s="10" t="n"/>
      <c r="R5227" s="10" t="n"/>
      <c r="S5227" s="16" t="inlineStr">
        <is>
          <t>https://mstgolf.co.th/products/gf2090300238</t>
        </is>
      </c>
      <c r="T5227" s="1">
        <f>IF(B5227="ไม้กอล์ฟ",J5227,"")</f>
        <v/>
      </c>
    </row>
    <row r="5228">
      <c r="A5228" s="1" t="n">
        <v>3</v>
      </c>
      <c r="B5228" s="1" t="inlineStr">
        <is>
          <t>อุปกรณ์เสริม</t>
        </is>
      </c>
      <c r="C5228" s="1" t="inlineStr">
        <is>
          <t>gf2090300237</t>
        </is>
      </c>
      <c r="D5228" s="1" t="inlineStr">
        <is>
          <t>LACOSTE Ribbed Cotton Socks (Navy/Flour)</t>
        </is>
      </c>
      <c r="E5228" s="1" t="inlineStr">
        <is>
          <t>LACOSTE</t>
        </is>
      </c>
      <c r="F5228" s="1" t="inlineStr">
        <is>
          <t>CREW/QUARTER SOCKS</t>
        </is>
      </c>
      <c r="G5228" s="1" t="inlineStr">
        <is>
          <t>GF209030023739-42</t>
        </is>
      </c>
      <c r="H5228" s="1" t="n">
        <v>1</v>
      </c>
      <c r="I5228" s="1" t="inlineStr">
        <is>
          <t>หมด</t>
        </is>
      </c>
      <c r="J5228" s="13" t="n">
        <v>39</v>
      </c>
      <c r="K5228" s="1" t="inlineStr"/>
      <c r="L5228" s="13" t="n">
        <v>39</v>
      </c>
      <c r="M5228" s="1">
        <f>IF(L5228="","ไม่พบใน SG",IF(ABS(J5228-L5228)&lt;0.005,"ตรงกัน","ไม่ตรง"))</f>
        <v/>
      </c>
      <c r="N5228" s="14">
        <f>IF(L5228="","",ROUND(L5228*'สรุป'!$C$6,-1))</f>
        <v/>
      </c>
      <c r="O5228" s="15" t="n"/>
      <c r="P5228" s="15" t="n"/>
      <c r="Q5228" s="10" t="n"/>
      <c r="R5228" s="10" t="n"/>
      <c r="S5228" s="16" t="inlineStr">
        <is>
          <t>https://mstgolf.co.th/products/gf2090300237</t>
        </is>
      </c>
      <c r="T5228" s="1">
        <f>IF(B5228="ไม้กอล์ฟ",J5228,"")</f>
        <v/>
      </c>
    </row>
    <row r="5229">
      <c r="A5229" s="1" t="n">
        <v>3</v>
      </c>
      <c r="B5229" s="1" t="inlineStr">
        <is>
          <t>อุปกรณ์เสริม</t>
        </is>
      </c>
      <c r="C5229" s="1" t="inlineStr">
        <is>
          <t>gf3500201466</t>
        </is>
      </c>
      <c r="D5229" s="1" t="inlineStr">
        <is>
          <t>LE COQ SPORTIF GOLF Character Blade Headcover (White)</t>
        </is>
      </c>
      <c r="E5229" s="1" t="inlineStr">
        <is>
          <t>LE COQ SPORTIF GOLF</t>
        </is>
      </c>
      <c r="F5229" s="1" t="inlineStr">
        <is>
          <t>HEADCOVERS</t>
        </is>
      </c>
      <c r="G5229" s="1" t="inlineStr">
        <is>
          <t>GF3500201466</t>
        </is>
      </c>
      <c r="H5229" s="1" t="n">
        <v>1</v>
      </c>
      <c r="I5229" s="1" t="inlineStr">
        <is>
          <t>หมด</t>
        </is>
      </c>
      <c r="J5229" s="13" t="n">
        <v>39</v>
      </c>
      <c r="K5229" s="1" t="inlineStr"/>
      <c r="L5229" s="13" t="n">
        <v>39</v>
      </c>
      <c r="M5229" s="1">
        <f>IF(L5229="","ไม่พบใน SG",IF(ABS(J5229-L5229)&lt;0.005,"ตรงกัน","ไม่ตรง"))</f>
        <v/>
      </c>
      <c r="N5229" s="14">
        <f>IF(L5229="","",ROUND(L5229*'สรุป'!$C$6,-1))</f>
        <v/>
      </c>
      <c r="O5229" s="15" t="n"/>
      <c r="P5229" s="15" t="n"/>
      <c r="Q5229" s="10" t="n"/>
      <c r="R5229" s="10" t="n"/>
      <c r="S5229" s="16" t="inlineStr">
        <is>
          <t>https://mstgolf.co.th/products/gf3500201466</t>
        </is>
      </c>
      <c r="T5229" s="1">
        <f>IF(B5229="ไม้กอล์ฟ",J5229,"")</f>
        <v/>
      </c>
    </row>
    <row r="5230">
      <c r="A5230" s="1" t="n">
        <v>3</v>
      </c>
      <c r="B5230" s="1" t="inlineStr">
        <is>
          <t>หมวก</t>
        </is>
      </c>
      <c r="C5230" s="1" t="inlineStr">
        <is>
          <t>gf2000105520</t>
        </is>
      </c>
      <c r="D5230" s="1" t="inlineStr">
        <is>
          <t>MIZUNO Tour Delta Men's Fitted Cap (Royal Blue)</t>
        </is>
      </c>
      <c r="E5230" s="1" t="inlineStr">
        <is>
          <t>MIZUNO</t>
        </is>
      </c>
      <c r="F5230" s="1" t="inlineStr">
        <is>
          <t>CAP</t>
        </is>
      </c>
      <c r="G5230" s="1" t="inlineStr">
        <is>
          <t>GF2000105520S-M</t>
        </is>
      </c>
      <c r="H5230" s="1" t="n">
        <v>2</v>
      </c>
      <c r="I5230" s="1" t="inlineStr">
        <is>
          <t>หมด</t>
        </is>
      </c>
      <c r="J5230" s="13" t="n">
        <v>39</v>
      </c>
      <c r="K5230" s="1" t="inlineStr"/>
      <c r="L5230" s="13" t="n"/>
      <c r="M5230" s="1">
        <f>IF(L5230="","ไม่พบใน SG",IF(ABS(J5230-L5230)&lt;0.005,"ตรงกัน","ไม่ตรง"))</f>
        <v/>
      </c>
      <c r="N5230" s="14">
        <f>IF(L5230="","",ROUND(L5230*'สรุป'!$C$6,-1))</f>
        <v/>
      </c>
      <c r="O5230" s="15" t="n"/>
      <c r="P5230" s="15" t="n"/>
      <c r="Q5230" s="10" t="n"/>
      <c r="R5230" s="10" t="n"/>
      <c r="S5230" s="16" t="inlineStr">
        <is>
          <t>https://mstgolf.co.th/products/gf2000105520</t>
        </is>
      </c>
      <c r="T5230" s="1">
        <f>IF(B5230="ไม้กอล์ฟ",J5230,"")</f>
        <v/>
      </c>
    </row>
    <row r="5231">
      <c r="A5231" s="1" t="n">
        <v>3</v>
      </c>
      <c r="B5231" s="1" t="inlineStr">
        <is>
          <t>อุปกรณ์เสริม</t>
        </is>
      </c>
      <c r="C5231" s="1" t="inlineStr">
        <is>
          <t>gf3130100670</t>
        </is>
      </c>
      <c r="D5231" s="1" t="inlineStr">
        <is>
          <t>NICKENT 2601 Black Polarized Sunglasses</t>
        </is>
      </c>
      <c r="E5231" s="1" t="inlineStr">
        <is>
          <t>NICKENT</t>
        </is>
      </c>
      <c r="F5231" s="1" t="inlineStr">
        <is>
          <t>SUNGLASSES</t>
        </is>
      </c>
      <c r="G5231" s="1" t="inlineStr">
        <is>
          <t>GF3130100670</t>
        </is>
      </c>
      <c r="H5231" s="1" t="n">
        <v>1</v>
      </c>
      <c r="I5231" s="1" t="inlineStr">
        <is>
          <t>หมด</t>
        </is>
      </c>
      <c r="J5231" s="13" t="n">
        <v>39</v>
      </c>
      <c r="K5231" s="1" t="inlineStr"/>
      <c r="L5231" s="13" t="n"/>
      <c r="M5231" s="1">
        <f>IF(L5231="","ไม่พบใน SG",IF(ABS(J5231-L5231)&lt;0.005,"ตรงกัน","ไม่ตรง"))</f>
        <v/>
      </c>
      <c r="N5231" s="14">
        <f>IF(L5231="","",ROUND(L5231*'สรุป'!$C$6,-1))</f>
        <v/>
      </c>
      <c r="O5231" s="15" t="n"/>
      <c r="P5231" s="15" t="n"/>
      <c r="Q5231" s="10" t="n"/>
      <c r="R5231" s="10" t="n"/>
      <c r="S5231" s="16" t="inlineStr">
        <is>
          <t>https://mstgolf.co.th/products/gf3130100670</t>
        </is>
      </c>
      <c r="T5231" s="1">
        <f>IF(B5231="ไม้กอล์ฟ",J5231,"")</f>
        <v/>
      </c>
    </row>
    <row r="5232">
      <c r="A5232" s="1" t="n">
        <v>3</v>
      </c>
      <c r="B5232" s="1" t="inlineStr">
        <is>
          <t>อุปกรณ์เสริม</t>
        </is>
      </c>
      <c r="C5232" s="1" t="inlineStr">
        <is>
          <t>gf3130100668</t>
        </is>
      </c>
      <c r="D5232" s="1" t="inlineStr">
        <is>
          <t>NICKENT PS8192 Black/Blue Polarized Sunglasses</t>
        </is>
      </c>
      <c r="E5232" s="1" t="inlineStr">
        <is>
          <t>NICKENT</t>
        </is>
      </c>
      <c r="F5232" s="1" t="inlineStr">
        <is>
          <t>SUNGLASSES</t>
        </is>
      </c>
      <c r="G5232" s="1" t="inlineStr">
        <is>
          <t>GF3130100668</t>
        </is>
      </c>
      <c r="H5232" s="1" t="n">
        <v>1</v>
      </c>
      <c r="I5232" s="1" t="inlineStr">
        <is>
          <t>หมด</t>
        </is>
      </c>
      <c r="J5232" s="13" t="n">
        <v>39</v>
      </c>
      <c r="K5232" s="1" t="inlineStr"/>
      <c r="L5232" s="13" t="n"/>
      <c r="M5232" s="1">
        <f>IF(L5232="","ไม่พบใน SG",IF(ABS(J5232-L5232)&lt;0.005,"ตรงกัน","ไม่ตรง"))</f>
        <v/>
      </c>
      <c r="N5232" s="14">
        <f>IF(L5232="","",ROUND(L5232*'สรุป'!$C$6,-1))</f>
        <v/>
      </c>
      <c r="O5232" s="15" t="n"/>
      <c r="P5232" s="15" t="n"/>
      <c r="Q5232" s="10" t="n"/>
      <c r="R5232" s="10" t="n"/>
      <c r="S5232" s="16" t="inlineStr">
        <is>
          <t>https://mstgolf.co.th/products/gf3130100668</t>
        </is>
      </c>
      <c r="T5232" s="1">
        <f>IF(B5232="ไม้กอล์ฟ",J5232,"")</f>
        <v/>
      </c>
    </row>
    <row r="5233">
      <c r="A5233" s="1" t="n">
        <v>3</v>
      </c>
      <c r="B5233" s="1" t="inlineStr">
        <is>
          <t>อุปกรณ์เสริม</t>
        </is>
      </c>
      <c r="C5233" s="1" t="inlineStr">
        <is>
          <t>gf3130100667</t>
        </is>
      </c>
      <c r="D5233" s="1" t="inlineStr">
        <is>
          <t>NICKENT PS8192 White/Grey Polarized Sunglasses</t>
        </is>
      </c>
      <c r="E5233" s="1" t="inlineStr">
        <is>
          <t>NICKENT</t>
        </is>
      </c>
      <c r="F5233" s="1" t="inlineStr">
        <is>
          <t>SUNGLASSES</t>
        </is>
      </c>
      <c r="G5233" s="1" t="inlineStr">
        <is>
          <t>GF3130100667</t>
        </is>
      </c>
      <c r="H5233" s="1" t="n">
        <v>1</v>
      </c>
      <c r="I5233" s="1" t="inlineStr">
        <is>
          <t>หมด</t>
        </is>
      </c>
      <c r="J5233" s="13" t="n">
        <v>39</v>
      </c>
      <c r="K5233" s="1" t="inlineStr"/>
      <c r="L5233" s="13" t="n"/>
      <c r="M5233" s="1">
        <f>IF(L5233="","ไม่พบใน SG",IF(ABS(J5233-L5233)&lt;0.005,"ตรงกัน","ไม่ตรง"))</f>
        <v/>
      </c>
      <c r="N5233" s="14">
        <f>IF(L5233="","",ROUND(L5233*'สรุป'!$C$6,-1))</f>
        <v/>
      </c>
      <c r="O5233" s="15" t="n"/>
      <c r="P5233" s="15" t="n"/>
      <c r="Q5233" s="10" t="n"/>
      <c r="R5233" s="10" t="n"/>
      <c r="S5233" s="16" t="inlineStr">
        <is>
          <t>https://mstgolf.co.th/products/gf3130100667</t>
        </is>
      </c>
      <c r="T5233" s="1">
        <f>IF(B5233="ไม้กอล์ฟ",J5233,"")</f>
        <v/>
      </c>
    </row>
    <row r="5234">
      <c r="A5234" s="1" t="n">
        <v>3</v>
      </c>
      <c r="B5234" s="1" t="inlineStr">
        <is>
          <t>อุปกรณ์เสริม</t>
        </is>
      </c>
      <c r="C5234" s="1" t="inlineStr">
        <is>
          <t>gf3130100677</t>
        </is>
      </c>
      <c r="D5234" s="1" t="inlineStr">
        <is>
          <t>NICKENT PS8503 Black Polarized Sunglasses</t>
        </is>
      </c>
      <c r="E5234" s="1" t="inlineStr">
        <is>
          <t>NICKENT</t>
        </is>
      </c>
      <c r="F5234" s="1" t="inlineStr">
        <is>
          <t>SUNGLASSES</t>
        </is>
      </c>
      <c r="G5234" s="1" t="inlineStr">
        <is>
          <t>GF3130100677</t>
        </is>
      </c>
      <c r="H5234" s="1" t="n">
        <v>1</v>
      </c>
      <c r="I5234" s="1" t="inlineStr">
        <is>
          <t>หมด</t>
        </is>
      </c>
      <c r="J5234" s="13" t="n">
        <v>39</v>
      </c>
      <c r="K5234" s="1" t="inlineStr"/>
      <c r="L5234" s="13" t="n"/>
      <c r="M5234" s="1">
        <f>IF(L5234="","ไม่พบใน SG",IF(ABS(J5234-L5234)&lt;0.005,"ตรงกัน","ไม่ตรง"))</f>
        <v/>
      </c>
      <c r="N5234" s="14">
        <f>IF(L5234="","",ROUND(L5234*'สรุป'!$C$6,-1))</f>
        <v/>
      </c>
      <c r="O5234" s="15" t="n"/>
      <c r="P5234" s="15" t="n"/>
      <c r="Q5234" s="10" t="n"/>
      <c r="R5234" s="10" t="n"/>
      <c r="S5234" s="16" t="inlineStr">
        <is>
          <t>https://mstgolf.co.th/products/gf3130100677</t>
        </is>
      </c>
      <c r="T5234" s="1">
        <f>IF(B5234="ไม้กอล์ฟ",J5234,"")</f>
        <v/>
      </c>
    </row>
    <row r="5235">
      <c r="A5235" s="1" t="n">
        <v>3</v>
      </c>
      <c r="B5235" s="1" t="inlineStr">
        <is>
          <t>อุปกรณ์เสริม</t>
        </is>
      </c>
      <c r="C5235" s="1" t="inlineStr">
        <is>
          <t>gf3130100676</t>
        </is>
      </c>
      <c r="D5235" s="1" t="inlineStr">
        <is>
          <t>NICKENT PS8515 Black Polarized Sunglasses</t>
        </is>
      </c>
      <c r="E5235" s="1" t="inlineStr">
        <is>
          <t>NICKENT</t>
        </is>
      </c>
      <c r="F5235" s="1" t="inlineStr">
        <is>
          <t>SUNGLASSES</t>
        </is>
      </c>
      <c r="G5235" s="1" t="inlineStr">
        <is>
          <t>GF3130100676</t>
        </is>
      </c>
      <c r="H5235" s="1" t="n">
        <v>1</v>
      </c>
      <c r="I5235" s="1" t="inlineStr">
        <is>
          <t>หมด</t>
        </is>
      </c>
      <c r="J5235" s="13" t="n">
        <v>39</v>
      </c>
      <c r="K5235" s="1" t="inlineStr"/>
      <c r="L5235" s="13" t="n"/>
      <c r="M5235" s="1">
        <f>IF(L5235="","ไม่พบใน SG",IF(ABS(J5235-L5235)&lt;0.005,"ตรงกัน","ไม่ตรง"))</f>
        <v/>
      </c>
      <c r="N5235" s="14">
        <f>IF(L5235="","",ROUND(L5235*'สรุป'!$C$6,-1))</f>
        <v/>
      </c>
      <c r="O5235" s="15" t="n"/>
      <c r="P5235" s="15" t="n"/>
      <c r="Q5235" s="10" t="n"/>
      <c r="R5235" s="10" t="n"/>
      <c r="S5235" s="16" t="inlineStr">
        <is>
          <t>https://mstgolf.co.th/products/gf3130100676</t>
        </is>
      </c>
      <c r="T5235" s="1">
        <f>IF(B5235="ไม้กอล์ฟ",J5235,"")</f>
        <v/>
      </c>
    </row>
    <row r="5236">
      <c r="A5236" s="1" t="n">
        <v>3</v>
      </c>
      <c r="B5236" s="1" t="inlineStr">
        <is>
          <t>อุปกรณ์เสริม</t>
        </is>
      </c>
      <c r="C5236" s="1" t="inlineStr">
        <is>
          <t>gf3130100679</t>
        </is>
      </c>
      <c r="D5236" s="1" t="inlineStr">
        <is>
          <t>NICKENT PS8528 Black Polarized Sunglasses</t>
        </is>
      </c>
      <c r="E5236" s="1" t="inlineStr">
        <is>
          <t>NICKENT</t>
        </is>
      </c>
      <c r="F5236" s="1" t="inlineStr">
        <is>
          <t>SUNGLASSES</t>
        </is>
      </c>
      <c r="G5236" s="1" t="inlineStr">
        <is>
          <t>GF3130100679</t>
        </is>
      </c>
      <c r="H5236" s="1" t="n">
        <v>1</v>
      </c>
      <c r="I5236" s="1" t="inlineStr">
        <is>
          <t>หมด</t>
        </is>
      </c>
      <c r="J5236" s="13" t="n">
        <v>39</v>
      </c>
      <c r="K5236" s="1" t="inlineStr"/>
      <c r="L5236" s="13" t="n"/>
      <c r="M5236" s="1">
        <f>IF(L5236="","ไม่พบใน SG",IF(ABS(J5236-L5236)&lt;0.005,"ตรงกัน","ไม่ตรง"))</f>
        <v/>
      </c>
      <c r="N5236" s="14">
        <f>IF(L5236="","",ROUND(L5236*'สรุป'!$C$6,-1))</f>
        <v/>
      </c>
      <c r="O5236" s="15" t="n"/>
      <c r="P5236" s="15" t="n"/>
      <c r="Q5236" s="10" t="n"/>
      <c r="R5236" s="10" t="n"/>
      <c r="S5236" s="16" t="inlineStr">
        <is>
          <t>https://mstgolf.co.th/products/gf3130100679</t>
        </is>
      </c>
      <c r="T5236" s="1">
        <f>IF(B5236="ไม้กอล์ฟ",J5236,"")</f>
        <v/>
      </c>
    </row>
    <row r="5237">
      <c r="A5237" s="1" t="n">
        <v>3</v>
      </c>
      <c r="B5237" s="1" t="inlineStr">
        <is>
          <t>อุปกรณ์เสริม</t>
        </is>
      </c>
      <c r="C5237" s="1" t="inlineStr">
        <is>
          <t>gf3130100669</t>
        </is>
      </c>
      <c r="D5237" s="1" t="inlineStr">
        <is>
          <t>NICKENT PS8537 Grey Polarized Sunglasses</t>
        </is>
      </c>
      <c r="E5237" s="1" t="inlineStr">
        <is>
          <t>NICKENT</t>
        </is>
      </c>
      <c r="F5237" s="1" t="inlineStr">
        <is>
          <t>SUNGLASSES</t>
        </is>
      </c>
      <c r="G5237" s="1" t="inlineStr">
        <is>
          <t>GF3130100669</t>
        </is>
      </c>
      <c r="H5237" s="1" t="n">
        <v>1</v>
      </c>
      <c r="I5237" s="1" t="inlineStr">
        <is>
          <t>หมด</t>
        </is>
      </c>
      <c r="J5237" s="13" t="n">
        <v>39</v>
      </c>
      <c r="K5237" s="1" t="inlineStr"/>
      <c r="L5237" s="13" t="n"/>
      <c r="M5237" s="1">
        <f>IF(L5237="","ไม่พบใน SG",IF(ABS(J5237-L5237)&lt;0.005,"ตรงกัน","ไม่ตรง"))</f>
        <v/>
      </c>
      <c r="N5237" s="14">
        <f>IF(L5237="","",ROUND(L5237*'สรุป'!$C$6,-1))</f>
        <v/>
      </c>
      <c r="O5237" s="15" t="n"/>
      <c r="P5237" s="15" t="n"/>
      <c r="Q5237" s="10" t="n"/>
      <c r="R5237" s="10" t="n"/>
      <c r="S5237" s="16" t="inlineStr">
        <is>
          <t>https://mstgolf.co.th/products/gf3130100669</t>
        </is>
      </c>
      <c r="T5237" s="1">
        <f>IF(B5237="ไม้กอล์ฟ",J5237,"")</f>
        <v/>
      </c>
    </row>
    <row r="5238">
      <c r="A5238" s="1" t="n">
        <v>3</v>
      </c>
      <c r="B5238" s="1" t="inlineStr">
        <is>
          <t>อุปกรณ์เสริม</t>
        </is>
      </c>
      <c r="C5238" s="1" t="inlineStr">
        <is>
          <t>gf3130100674</t>
        </is>
      </c>
      <c r="D5238" s="1" t="inlineStr">
        <is>
          <t>NICKENT TR2002 Black Polarized Sunglasses</t>
        </is>
      </c>
      <c r="E5238" s="1" t="inlineStr">
        <is>
          <t>NICKENT</t>
        </is>
      </c>
      <c r="F5238" s="1" t="inlineStr">
        <is>
          <t>SUNGLASSES</t>
        </is>
      </c>
      <c r="G5238" s="1" t="inlineStr">
        <is>
          <t>GF3130100674</t>
        </is>
      </c>
      <c r="H5238" s="1" t="n">
        <v>1</v>
      </c>
      <c r="I5238" s="1" t="inlineStr">
        <is>
          <t>หมด</t>
        </is>
      </c>
      <c r="J5238" s="13" t="n">
        <v>39</v>
      </c>
      <c r="K5238" s="1" t="inlineStr"/>
      <c r="L5238" s="13" t="n"/>
      <c r="M5238" s="1">
        <f>IF(L5238="","ไม่พบใน SG",IF(ABS(J5238-L5238)&lt;0.005,"ตรงกัน","ไม่ตรง"))</f>
        <v/>
      </c>
      <c r="N5238" s="14">
        <f>IF(L5238="","",ROUND(L5238*'สรุป'!$C$6,-1))</f>
        <v/>
      </c>
      <c r="O5238" s="15" t="n"/>
      <c r="P5238" s="15" t="n"/>
      <c r="Q5238" s="10" t="n"/>
      <c r="R5238" s="10" t="n"/>
      <c r="S5238" s="16" t="inlineStr">
        <is>
          <t>https://mstgolf.co.th/products/gf3130100674</t>
        </is>
      </c>
      <c r="T5238" s="1">
        <f>IF(B5238="ไม้กอล์ฟ",J5238,"")</f>
        <v/>
      </c>
    </row>
    <row r="5239">
      <c r="A5239" s="1" t="n">
        <v>3</v>
      </c>
      <c r="B5239" s="1" t="inlineStr">
        <is>
          <t>อุปกรณ์เสริม</t>
        </is>
      </c>
      <c r="C5239" s="1" t="inlineStr">
        <is>
          <t>gf3130100673</t>
        </is>
      </c>
      <c r="D5239" s="1" t="inlineStr">
        <is>
          <t>NICKENT TR2016 Black Polarized Sunglasses</t>
        </is>
      </c>
      <c r="E5239" s="1" t="inlineStr">
        <is>
          <t>NICKENT</t>
        </is>
      </c>
      <c r="F5239" s="1" t="inlineStr">
        <is>
          <t>SUNGLASSES</t>
        </is>
      </c>
      <c r="G5239" s="1" t="inlineStr">
        <is>
          <t>GF3130100673</t>
        </is>
      </c>
      <c r="H5239" s="1" t="n">
        <v>1</v>
      </c>
      <c r="I5239" s="1" t="inlineStr">
        <is>
          <t>หมด</t>
        </is>
      </c>
      <c r="J5239" s="13" t="n">
        <v>39</v>
      </c>
      <c r="K5239" s="1" t="inlineStr"/>
      <c r="L5239" s="13" t="n"/>
      <c r="M5239" s="1">
        <f>IF(L5239="","ไม่พบใน SG",IF(ABS(J5239-L5239)&lt;0.005,"ตรงกัน","ไม่ตรง"))</f>
        <v/>
      </c>
      <c r="N5239" s="14">
        <f>IF(L5239="","",ROUND(L5239*'สรุป'!$C$6,-1))</f>
        <v/>
      </c>
      <c r="O5239" s="15" t="n"/>
      <c r="P5239" s="15" t="n"/>
      <c r="Q5239" s="10" t="n"/>
      <c r="R5239" s="10" t="n"/>
      <c r="S5239" s="16" t="inlineStr">
        <is>
          <t>https://mstgolf.co.th/products/gf3130100673</t>
        </is>
      </c>
      <c r="T5239" s="1">
        <f>IF(B5239="ไม้กอล์ฟ",J5239,"")</f>
        <v/>
      </c>
    </row>
    <row r="5240">
      <c r="A5240" s="1" t="n">
        <v>3</v>
      </c>
      <c r="B5240" s="1" t="inlineStr">
        <is>
          <t>อุปกรณ์เสริม</t>
        </is>
      </c>
      <c r="C5240" s="1" t="inlineStr">
        <is>
          <t>gf3130100672</t>
        </is>
      </c>
      <c r="D5240" s="1" t="inlineStr">
        <is>
          <t>NICKENT TR2105 Red Polarized Sunglasses</t>
        </is>
      </c>
      <c r="E5240" s="1" t="inlineStr">
        <is>
          <t>NICKENT</t>
        </is>
      </c>
      <c r="F5240" s="1" t="inlineStr">
        <is>
          <t>SUNGLASSES</t>
        </is>
      </c>
      <c r="G5240" s="1" t="inlineStr">
        <is>
          <t>GF3130100672</t>
        </is>
      </c>
      <c r="H5240" s="1" t="n">
        <v>1</v>
      </c>
      <c r="I5240" s="1" t="inlineStr">
        <is>
          <t>หมด</t>
        </is>
      </c>
      <c r="J5240" s="13" t="n">
        <v>39</v>
      </c>
      <c r="K5240" s="1" t="inlineStr"/>
      <c r="L5240" s="13" t="n"/>
      <c r="M5240" s="1">
        <f>IF(L5240="","ไม่พบใน SG",IF(ABS(J5240-L5240)&lt;0.005,"ตรงกัน","ไม่ตรง"))</f>
        <v/>
      </c>
      <c r="N5240" s="14">
        <f>IF(L5240="","",ROUND(L5240*'สรุป'!$C$6,-1))</f>
        <v/>
      </c>
      <c r="O5240" s="15" t="n"/>
      <c r="P5240" s="15" t="n"/>
      <c r="Q5240" s="10" t="n"/>
      <c r="R5240" s="10" t="n"/>
      <c r="S5240" s="16" t="inlineStr">
        <is>
          <t>https://mstgolf.co.th/products/gf3130100672</t>
        </is>
      </c>
      <c r="T5240" s="1">
        <f>IF(B5240="ไม้กอล์ฟ",J5240,"")</f>
        <v/>
      </c>
    </row>
    <row r="5241">
      <c r="A5241" s="1" t="n">
        <v>3</v>
      </c>
      <c r="B5241" s="1" t="inlineStr">
        <is>
          <t>อุปกรณ์เสริม</t>
        </is>
      </c>
      <c r="C5241" s="1" t="inlineStr">
        <is>
          <t>gf2080101304</t>
        </is>
      </c>
      <c r="D5241" s="1" t="inlineStr">
        <is>
          <t>NIKE Baseball 3.0 Men's Belt (Red/White)</t>
        </is>
      </c>
      <c r="E5241" s="1" t="inlineStr">
        <is>
          <t>NIKE</t>
        </is>
      </c>
      <c r="F5241" s="1" t="inlineStr">
        <is>
          <t>BELT</t>
        </is>
      </c>
      <c r="G5241" s="1" t="inlineStr">
        <is>
          <t>GF2080101304FS</t>
        </is>
      </c>
      <c r="H5241" s="1" t="n">
        <v>1</v>
      </c>
      <c r="I5241" s="1" t="inlineStr">
        <is>
          <t>หมด</t>
        </is>
      </c>
      <c r="J5241" s="13" t="n">
        <v>39</v>
      </c>
      <c r="K5241" s="1" t="inlineStr"/>
      <c r="L5241" s="13" t="n"/>
      <c r="M5241" s="1">
        <f>IF(L5241="","ไม่พบใน SG",IF(ABS(J5241-L5241)&lt;0.005,"ตรงกัน","ไม่ตรง"))</f>
        <v/>
      </c>
      <c r="N5241" s="14">
        <f>IF(L5241="","",ROUND(L5241*'สรุป'!$C$6,-1))</f>
        <v/>
      </c>
      <c r="O5241" s="15" t="n"/>
      <c r="P5241" s="15" t="n"/>
      <c r="Q5241" s="10" t="n"/>
      <c r="R5241" s="10" t="n"/>
      <c r="S5241" s="16" t="inlineStr">
        <is>
          <t>https://mstgolf.co.th/products/gf2080101304</t>
        </is>
      </c>
      <c r="T5241" s="1">
        <f>IF(B5241="ไม้กอล์ฟ",J5241,"")</f>
        <v/>
      </c>
    </row>
    <row r="5242">
      <c r="A5242" s="1" t="n">
        <v>3</v>
      </c>
      <c r="B5242" s="1" t="inlineStr">
        <is>
          <t>หมวก</t>
        </is>
      </c>
      <c r="C5242" s="1" t="inlineStr">
        <is>
          <t>gf2000106091</t>
        </is>
      </c>
      <c r="D5242" s="1" t="inlineStr">
        <is>
          <t>NIKE Dri-FIT Club Structured Swoosh Unisex Cap (Khaki/White)</t>
        </is>
      </c>
      <c r="E5242" s="1" t="inlineStr">
        <is>
          <t>NIKE</t>
        </is>
      </c>
      <c r="F5242" s="1" t="inlineStr">
        <is>
          <t>CAP</t>
        </is>
      </c>
      <c r="G5242" s="1" t="inlineStr">
        <is>
          <t>GF2000106091M/L</t>
        </is>
      </c>
      <c r="H5242" s="1" t="n">
        <v>1</v>
      </c>
      <c r="I5242" s="1" t="inlineStr">
        <is>
          <t>หมด</t>
        </is>
      </c>
      <c r="J5242" s="13" t="n">
        <v>39</v>
      </c>
      <c r="K5242" s="1" t="inlineStr"/>
      <c r="L5242" s="13" t="n"/>
      <c r="M5242" s="1">
        <f>IF(L5242="","ไม่พบใน SG",IF(ABS(J5242-L5242)&lt;0.005,"ตรงกัน","ไม่ตรง"))</f>
        <v/>
      </c>
      <c r="N5242" s="14">
        <f>IF(L5242="","",ROUND(L5242*'สรุป'!$C$6,-1))</f>
        <v/>
      </c>
      <c r="O5242" s="15" t="n"/>
      <c r="P5242" s="15" t="n"/>
      <c r="Q5242" s="10" t="n"/>
      <c r="R5242" s="10" t="n"/>
      <c r="S5242" s="16" t="inlineStr">
        <is>
          <t>https://mstgolf.co.th/products/gf2000106091</t>
        </is>
      </c>
      <c r="T5242" s="1">
        <f>IF(B5242="ไม้กอล์ฟ",J5242,"")</f>
        <v/>
      </c>
    </row>
    <row r="5243">
      <c r="A5243" s="1" t="n">
        <v>3</v>
      </c>
      <c r="B5243" s="1" t="inlineStr">
        <is>
          <t>หมวก</t>
        </is>
      </c>
      <c r="C5243" s="1" t="inlineStr">
        <is>
          <t>gf2000106087</t>
        </is>
      </c>
      <c r="D5243" s="1" t="inlineStr">
        <is>
          <t>NIKE Dri-FIT Club Structured Swoosh Unisex Cap (Pink/Black)</t>
        </is>
      </c>
      <c r="E5243" s="1" t="inlineStr">
        <is>
          <t>NIKE</t>
        </is>
      </c>
      <c r="F5243" s="1" t="inlineStr">
        <is>
          <t>CAP</t>
        </is>
      </c>
      <c r="G5243" s="1" t="inlineStr">
        <is>
          <t>GF2000106087M/L</t>
        </is>
      </c>
      <c r="H5243" s="1" t="n">
        <v>1</v>
      </c>
      <c r="I5243" s="1" t="inlineStr">
        <is>
          <t>หมด</t>
        </is>
      </c>
      <c r="J5243" s="13" t="n">
        <v>39</v>
      </c>
      <c r="K5243" s="1" t="inlineStr"/>
      <c r="L5243" s="13" t="n"/>
      <c r="M5243" s="1">
        <f>IF(L5243="","ไม่พบใน SG",IF(ABS(J5243-L5243)&lt;0.005,"ตรงกัน","ไม่ตรง"))</f>
        <v/>
      </c>
      <c r="N5243" s="14">
        <f>IF(L5243="","",ROUND(L5243*'สรุป'!$C$6,-1))</f>
        <v/>
      </c>
      <c r="O5243" s="15" t="n"/>
      <c r="P5243" s="15" t="n"/>
      <c r="Q5243" s="10" t="n"/>
      <c r="R5243" s="10" t="n"/>
      <c r="S5243" s="16" t="inlineStr">
        <is>
          <t>https://mstgolf.co.th/products/gf2000106087</t>
        </is>
      </c>
      <c r="T5243" s="1">
        <f>IF(B5243="ไม้กอล์ฟ",J5243,"")</f>
        <v/>
      </c>
    </row>
    <row r="5244">
      <c r="A5244" s="1" t="n">
        <v>3</v>
      </c>
      <c r="B5244" s="1" t="inlineStr">
        <is>
          <t>เสื้อผ้า</t>
        </is>
      </c>
      <c r="C5244" s="1" t="inlineStr">
        <is>
          <t>gf2040117371</t>
        </is>
      </c>
      <c r="D5244" s="1" t="inlineStr">
        <is>
          <t>NIKE Dri-FIT Victory Solid Men's Polo (Royal Tint)</t>
        </is>
      </c>
      <c r="E5244" s="1" t="inlineStr">
        <is>
          <t>NIKE</t>
        </is>
      </c>
      <c r="F5244" s="1" t="inlineStr">
        <is>
          <t>SHORT SLEEVES</t>
        </is>
      </c>
      <c r="G5244" s="1" t="inlineStr">
        <is>
          <t>GF2040117371S</t>
        </is>
      </c>
      <c r="H5244" s="1" t="n">
        <v>5</v>
      </c>
      <c r="I5244" s="1" t="inlineStr">
        <is>
          <t>หมด</t>
        </is>
      </c>
      <c r="J5244" s="13" t="n">
        <v>39</v>
      </c>
      <c r="K5244" s="1" t="inlineStr"/>
      <c r="L5244" s="13" t="n"/>
      <c r="M5244" s="1">
        <f>IF(L5244="","ไม่พบใน SG",IF(ABS(J5244-L5244)&lt;0.005,"ตรงกัน","ไม่ตรง"))</f>
        <v/>
      </c>
      <c r="N5244" s="14">
        <f>IF(L5244="","",ROUND(L5244*'สรุป'!$C$6,-1))</f>
        <v/>
      </c>
      <c r="O5244" s="15" t="n"/>
      <c r="P5244" s="15" t="n"/>
      <c r="Q5244" s="10" t="n"/>
      <c r="R5244" s="10" t="n"/>
      <c r="S5244" s="16" t="inlineStr">
        <is>
          <t>https://mstgolf.co.th/products/gf2040117371</t>
        </is>
      </c>
      <c r="T5244" s="1">
        <f>IF(B5244="ไม้กอล์ฟ",J5244,"")</f>
        <v/>
      </c>
    </row>
    <row r="5245">
      <c r="A5245" s="1" t="n">
        <v>3</v>
      </c>
      <c r="B5245" s="1" t="inlineStr">
        <is>
          <t>อุปกรณ์เสริม</t>
        </is>
      </c>
      <c r="C5245" s="1" t="inlineStr">
        <is>
          <t>gf2100100032</t>
        </is>
      </c>
      <c r="D5245" s="1" t="inlineStr">
        <is>
          <t>NIKE Fundamental Towel (Black)</t>
        </is>
      </c>
      <c r="E5245" s="1" t="inlineStr">
        <is>
          <t>NIKE</t>
        </is>
      </c>
      <c r="F5245" s="1" t="inlineStr">
        <is>
          <t>HAND/CLUB TOWEL</t>
        </is>
      </c>
      <c r="G5245" s="1" t="inlineStr">
        <is>
          <t>GF2100100032</t>
        </is>
      </c>
      <c r="H5245" s="1" t="n">
        <v>1</v>
      </c>
      <c r="I5245" s="1" t="inlineStr">
        <is>
          <t>หมด</t>
        </is>
      </c>
      <c r="J5245" s="13" t="n">
        <v>39</v>
      </c>
      <c r="K5245" s="1" t="inlineStr"/>
      <c r="L5245" s="13" t="n">
        <v>39</v>
      </c>
      <c r="M5245" s="1">
        <f>IF(L5245="","ไม่พบใน SG",IF(ABS(J5245-L5245)&lt;0.005,"ตรงกัน","ไม่ตรง"))</f>
        <v/>
      </c>
      <c r="N5245" s="14">
        <f>IF(L5245="","",ROUND(L5245*'สรุป'!$C$6,-1))</f>
        <v/>
      </c>
      <c r="O5245" s="15" t="n"/>
      <c r="P5245" s="15" t="n"/>
      <c r="Q5245" s="10" t="n"/>
      <c r="R5245" s="10" t="n"/>
      <c r="S5245" s="16" t="inlineStr">
        <is>
          <t>https://mstgolf.co.th/products/gf2100100032</t>
        </is>
      </c>
      <c r="T5245" s="1">
        <f>IF(B5245="ไม้กอล์ฟ",J5245,"")</f>
        <v/>
      </c>
    </row>
    <row r="5246">
      <c r="A5246" s="1" t="n">
        <v>3</v>
      </c>
      <c r="B5246" s="1" t="inlineStr">
        <is>
          <t>หมวก</t>
        </is>
      </c>
      <c r="C5246" s="1" t="inlineStr">
        <is>
          <t>gf2000300545</t>
        </is>
      </c>
      <c r="D5246" s="1" t="inlineStr">
        <is>
          <t>NIKE Jordan Apex Dri-FIT Men's Bucket Hat (Red)</t>
        </is>
      </c>
      <c r="E5246" s="1" t="inlineStr">
        <is>
          <t>NIKE</t>
        </is>
      </c>
      <c r="F5246" s="1" t="inlineStr">
        <is>
          <t>HAT</t>
        </is>
      </c>
      <c r="G5246" s="1" t="inlineStr">
        <is>
          <t>GF2000300545S</t>
        </is>
      </c>
      <c r="H5246" s="1" t="n">
        <v>3</v>
      </c>
      <c r="I5246" s="1" t="inlineStr">
        <is>
          <t>หมด</t>
        </is>
      </c>
      <c r="J5246" s="13" t="n">
        <v>39</v>
      </c>
      <c r="K5246" s="1" t="inlineStr"/>
      <c r="L5246" s="13" t="n">
        <v>39</v>
      </c>
      <c r="M5246" s="1">
        <f>IF(L5246="","ไม่พบใน SG",IF(ABS(J5246-L5246)&lt;0.005,"ตรงกัน","ไม่ตรง"))</f>
        <v/>
      </c>
      <c r="N5246" s="14">
        <f>IF(L5246="","",ROUND(L5246*'สรุป'!$C$6,-1))</f>
        <v/>
      </c>
      <c r="O5246" s="15" t="n"/>
      <c r="P5246" s="15" t="n"/>
      <c r="Q5246" s="10" t="n"/>
      <c r="R5246" s="10" t="n"/>
      <c r="S5246" s="16" t="inlineStr">
        <is>
          <t>https://mstgolf.co.th/products/gf2000300545</t>
        </is>
      </c>
      <c r="T5246" s="1">
        <f>IF(B5246="ไม้กอล์ฟ",J5246,"")</f>
        <v/>
      </c>
    </row>
    <row r="5247">
      <c r="A5247" s="1" t="n">
        <v>3</v>
      </c>
      <c r="B5247" s="1" t="inlineStr">
        <is>
          <t>หมวก</t>
        </is>
      </c>
      <c r="C5247" s="1" t="inlineStr">
        <is>
          <t>gf2000106800</t>
        </is>
      </c>
      <c r="D5247" s="1" t="inlineStr">
        <is>
          <t>NIKE Jordan Club Dri-FIT Structured Unisex Cap (Red)</t>
        </is>
      </c>
      <c r="E5247" s="1" t="inlineStr">
        <is>
          <t>NIKE</t>
        </is>
      </c>
      <c r="F5247" s="1" t="inlineStr">
        <is>
          <t>CAP</t>
        </is>
      </c>
      <c r="G5247" s="1" t="inlineStr">
        <is>
          <t>GF2000106800S/M</t>
        </is>
      </c>
      <c r="H5247" s="1" t="n">
        <v>3</v>
      </c>
      <c r="I5247" s="1" t="inlineStr">
        <is>
          <t>หมด</t>
        </is>
      </c>
      <c r="J5247" s="13" t="n">
        <v>39</v>
      </c>
      <c r="K5247" s="1" t="inlineStr"/>
      <c r="L5247" s="13" t="n"/>
      <c r="M5247" s="1">
        <f>IF(L5247="","ไม่พบใน SG",IF(ABS(J5247-L5247)&lt;0.005,"ตรงกัน","ไม่ตรง"))</f>
        <v/>
      </c>
      <c r="N5247" s="14">
        <f>IF(L5247="","",ROUND(L5247*'สรุป'!$C$6,-1))</f>
        <v/>
      </c>
      <c r="O5247" s="15" t="n"/>
      <c r="P5247" s="15" t="n"/>
      <c r="Q5247" s="10" t="n"/>
      <c r="R5247" s="10" t="n"/>
      <c r="S5247" s="16" t="inlineStr">
        <is>
          <t>https://mstgolf.co.th/products/gf2000106800</t>
        </is>
      </c>
      <c r="T5247" s="1">
        <f>IF(B5247="ไม้กอล์ฟ",J5247,"")</f>
        <v/>
      </c>
    </row>
    <row r="5248">
      <c r="A5248" s="1" t="n">
        <v>3</v>
      </c>
      <c r="B5248" s="1" t="inlineStr">
        <is>
          <t>เสื้อผ้า</t>
        </is>
      </c>
      <c r="C5248" s="1" t="inlineStr">
        <is>
          <t>gf2040118948</t>
        </is>
      </c>
      <c r="D5248" s="1" t="inlineStr">
        <is>
          <t>NIKE Max90 Men’s T-Shirt (Light Bone)</t>
        </is>
      </c>
      <c r="E5248" s="1" t="inlineStr">
        <is>
          <t>NIKE</t>
        </is>
      </c>
      <c r="F5248" s="1" t="inlineStr">
        <is>
          <t>SHORT SLEEVES</t>
        </is>
      </c>
      <c r="G5248" s="1" t="inlineStr">
        <is>
          <t>GF2040118948S</t>
        </is>
      </c>
      <c r="H5248" s="1" t="n">
        <v>5</v>
      </c>
      <c r="I5248" s="1" t="inlineStr">
        <is>
          <t>หมด</t>
        </is>
      </c>
      <c r="J5248" s="13" t="n">
        <v>39</v>
      </c>
      <c r="K5248" s="1" t="inlineStr"/>
      <c r="L5248" s="13" t="n"/>
      <c r="M5248" s="1">
        <f>IF(L5248="","ไม่พบใน SG",IF(ABS(J5248-L5248)&lt;0.005,"ตรงกัน","ไม่ตรง"))</f>
        <v/>
      </c>
      <c r="N5248" s="14">
        <f>IF(L5248="","",ROUND(L5248*'สรุป'!$C$6,-1))</f>
        <v/>
      </c>
      <c r="O5248" s="15" t="n"/>
      <c r="P5248" s="15" t="n"/>
      <c r="Q5248" s="10" t="n"/>
      <c r="R5248" s="10" t="n"/>
      <c r="S5248" s="16" t="inlineStr">
        <is>
          <t>https://mstgolf.co.th/products/gf2040118948</t>
        </is>
      </c>
      <c r="T5248" s="1">
        <f>IF(B5248="ไม้กอล์ฟ",J5248,"")</f>
        <v/>
      </c>
    </row>
    <row r="5249">
      <c r="A5249" s="1" t="n">
        <v>3</v>
      </c>
      <c r="B5249" s="1" t="inlineStr">
        <is>
          <t>หมวก</t>
        </is>
      </c>
      <c r="C5249" s="1" t="inlineStr">
        <is>
          <t>gf2000104967</t>
        </is>
      </c>
      <c r="D5249" s="1" t="inlineStr">
        <is>
          <t>PING Structure Men's Cap (Black/White)</t>
        </is>
      </c>
      <c r="E5249" s="1" t="inlineStr">
        <is>
          <t>PING</t>
        </is>
      </c>
      <c r="F5249" s="1" t="inlineStr">
        <is>
          <t>CAP</t>
        </is>
      </c>
      <c r="G5249" s="1" t="inlineStr">
        <is>
          <t>GF2000104967S/M</t>
        </is>
      </c>
      <c r="H5249" s="1" t="n">
        <v>2</v>
      </c>
      <c r="I5249" s="1" t="inlineStr">
        <is>
          <t>หมด</t>
        </is>
      </c>
      <c r="J5249" s="13" t="n">
        <v>39</v>
      </c>
      <c r="K5249" s="1" t="inlineStr"/>
      <c r="L5249" s="13" t="n">
        <v>39</v>
      </c>
      <c r="M5249" s="1">
        <f>IF(L5249="","ไม่พบใน SG",IF(ABS(J5249-L5249)&lt;0.005,"ตรงกัน","ไม่ตรง"))</f>
        <v/>
      </c>
      <c r="N5249" s="14">
        <f>IF(L5249="","",ROUND(L5249*'สรุป'!$C$6,-1))</f>
        <v/>
      </c>
      <c r="O5249" s="15" t="n"/>
      <c r="P5249" s="15" t="n"/>
      <c r="Q5249" s="10" t="n"/>
      <c r="R5249" s="10" t="n"/>
      <c r="S5249" s="16" t="inlineStr">
        <is>
          <t>https://mstgolf.co.th/products/gf2000104967</t>
        </is>
      </c>
      <c r="T5249" s="1">
        <f>IF(B5249="ไม้กอล์ฟ",J5249,"")</f>
        <v/>
      </c>
    </row>
    <row r="5250">
      <c r="A5250" s="1" t="n">
        <v>3</v>
      </c>
      <c r="B5250" s="1" t="inlineStr">
        <is>
          <t>หมวก</t>
        </is>
      </c>
      <c r="C5250" s="1" t="inlineStr">
        <is>
          <t>gf2000105886</t>
        </is>
      </c>
      <c r="D5250" s="1" t="inlineStr">
        <is>
          <t>PING Structure Men's Cap (Dark Grey/Black)</t>
        </is>
      </c>
      <c r="E5250" s="1" t="inlineStr">
        <is>
          <t>PING</t>
        </is>
      </c>
      <c r="F5250" s="1" t="inlineStr">
        <is>
          <t>CAP</t>
        </is>
      </c>
      <c r="G5250" s="1" t="inlineStr">
        <is>
          <t>GF2000105886S/M</t>
        </is>
      </c>
      <c r="H5250" s="1" t="n">
        <v>2</v>
      </c>
      <c r="I5250" s="1" t="inlineStr">
        <is>
          <t>หมด</t>
        </is>
      </c>
      <c r="J5250" s="13" t="n">
        <v>39</v>
      </c>
      <c r="K5250" s="1" t="inlineStr"/>
      <c r="L5250" s="13" t="n">
        <v>39</v>
      </c>
      <c r="M5250" s="1">
        <f>IF(L5250="","ไม่พบใน SG",IF(ABS(J5250-L5250)&lt;0.005,"ตรงกัน","ไม่ตรง"))</f>
        <v/>
      </c>
      <c r="N5250" s="14">
        <f>IF(L5250="","",ROUND(L5250*'สรุป'!$C$6,-1))</f>
        <v/>
      </c>
      <c r="O5250" s="15" t="n"/>
      <c r="P5250" s="15" t="n"/>
      <c r="Q5250" s="10" t="n"/>
      <c r="R5250" s="10" t="n"/>
      <c r="S5250" s="16" t="inlineStr">
        <is>
          <t>https://mstgolf.co.th/products/gf2000105886</t>
        </is>
      </c>
      <c r="T5250" s="1">
        <f>IF(B5250="ไม้กอล์ฟ",J5250,"")</f>
        <v/>
      </c>
    </row>
    <row r="5251">
      <c r="A5251" s="1" t="n">
        <v>3</v>
      </c>
      <c r="B5251" s="1" t="inlineStr">
        <is>
          <t>เสื้อผ้า</t>
        </is>
      </c>
      <c r="C5251" s="1" t="inlineStr">
        <is>
          <t>gf2020201976</t>
        </is>
      </c>
      <c r="D5251" s="1" t="inlineStr">
        <is>
          <t>PUMA Bahama Women's Shorts (Day Dream)</t>
        </is>
      </c>
      <c r="E5251" s="1" t="inlineStr">
        <is>
          <t>PUMA</t>
        </is>
      </c>
      <c r="F5251" s="1" t="inlineStr">
        <is>
          <t>SHORT PANTS</t>
        </is>
      </c>
      <c r="G5251" s="1" t="inlineStr">
        <is>
          <t>GF2020201976XS</t>
        </is>
      </c>
      <c r="H5251" s="1" t="n">
        <v>5</v>
      </c>
      <c r="I5251" s="1" t="inlineStr">
        <is>
          <t>หมด</t>
        </is>
      </c>
      <c r="J5251" s="13" t="n">
        <v>39</v>
      </c>
      <c r="K5251" s="1" t="inlineStr"/>
      <c r="L5251" s="13" t="n"/>
      <c r="M5251" s="1">
        <f>IF(L5251="","ไม่พบใน SG",IF(ABS(J5251-L5251)&lt;0.005,"ตรงกัน","ไม่ตรง"))</f>
        <v/>
      </c>
      <c r="N5251" s="14">
        <f>IF(L5251="","",ROUND(L5251*'สรุป'!$C$6,-1))</f>
        <v/>
      </c>
      <c r="O5251" s="15" t="n"/>
      <c r="P5251" s="15" t="n"/>
      <c r="Q5251" s="10" t="n"/>
      <c r="R5251" s="10" t="n"/>
      <c r="S5251" s="16" t="inlineStr">
        <is>
          <t>https://mstgolf.co.th/products/gf2020201976</t>
        </is>
      </c>
      <c r="T5251" s="1">
        <f>IF(B5251="ไม้กอล์ฟ",J5251,"")</f>
        <v/>
      </c>
    </row>
    <row r="5252">
      <c r="A5252" s="1" t="n">
        <v>3</v>
      </c>
      <c r="B5252" s="1" t="inlineStr">
        <is>
          <t>หมวก</t>
        </is>
      </c>
      <c r="C5252" s="1" t="inlineStr">
        <is>
          <t>gf2000105275</t>
        </is>
      </c>
      <c r="D5252" s="1" t="inlineStr">
        <is>
          <t>PUMA Cresting Men's Adjustable Cap (Black)</t>
        </is>
      </c>
      <c r="E5252" s="1" t="inlineStr">
        <is>
          <t>PUMA</t>
        </is>
      </c>
      <c r="F5252" s="1" t="inlineStr">
        <is>
          <t>CAP</t>
        </is>
      </c>
      <c r="G5252" s="1" t="inlineStr">
        <is>
          <t>GF2000105275FS</t>
        </is>
      </c>
      <c r="H5252" s="1" t="n">
        <v>1</v>
      </c>
      <c r="I5252" s="1" t="inlineStr">
        <is>
          <t>หมด</t>
        </is>
      </c>
      <c r="J5252" s="13" t="n">
        <v>39</v>
      </c>
      <c r="K5252" s="1" t="inlineStr"/>
      <c r="L5252" s="13" t="n"/>
      <c r="M5252" s="1">
        <f>IF(L5252="","ไม่พบใน SG",IF(ABS(J5252-L5252)&lt;0.005,"ตรงกัน","ไม่ตรง"))</f>
        <v/>
      </c>
      <c r="N5252" s="14">
        <f>IF(L5252="","",ROUND(L5252*'สรุป'!$C$6,-1))</f>
        <v/>
      </c>
      <c r="O5252" s="15" t="n"/>
      <c r="P5252" s="15" t="n"/>
      <c r="Q5252" s="10" t="n"/>
      <c r="R5252" s="10" t="n"/>
      <c r="S5252" s="16" t="inlineStr">
        <is>
          <t>https://mstgolf.co.th/products/gf2000105275</t>
        </is>
      </c>
      <c r="T5252" s="1">
        <f>IF(B5252="ไม้กอล์ฟ",J5252,"")</f>
        <v/>
      </c>
    </row>
    <row r="5253">
      <c r="A5253" s="1" t="n">
        <v>3</v>
      </c>
      <c r="B5253" s="1" t="inlineStr">
        <is>
          <t>หมวก</t>
        </is>
      </c>
      <c r="C5253" s="1" t="inlineStr">
        <is>
          <t>gf2000105766</t>
        </is>
      </c>
      <c r="D5253" s="1" t="inlineStr">
        <is>
          <t>PUMA Dad Hat Women's Cap (Blue)</t>
        </is>
      </c>
      <c r="E5253" s="1" t="inlineStr">
        <is>
          <t>PUMA</t>
        </is>
      </c>
      <c r="F5253" s="1" t="inlineStr">
        <is>
          <t>CAP</t>
        </is>
      </c>
      <c r="G5253" s="1" t="inlineStr">
        <is>
          <t>GF2000105766FS</t>
        </is>
      </c>
      <c r="H5253" s="1" t="n">
        <v>1</v>
      </c>
      <c r="I5253" s="1" t="inlineStr">
        <is>
          <t>หมด</t>
        </is>
      </c>
      <c r="J5253" s="13" t="n">
        <v>39</v>
      </c>
      <c r="K5253" s="1" t="inlineStr"/>
      <c r="L5253" s="13" t="n"/>
      <c r="M5253" s="1">
        <f>IF(L5253="","ไม่พบใน SG",IF(ABS(J5253-L5253)&lt;0.005,"ตรงกัน","ไม่ตรง"))</f>
        <v/>
      </c>
      <c r="N5253" s="14">
        <f>IF(L5253="","",ROUND(L5253*'สรุป'!$C$6,-1))</f>
        <v/>
      </c>
      <c r="O5253" s="15" t="n"/>
      <c r="P5253" s="15" t="n"/>
      <c r="Q5253" s="10" t="n"/>
      <c r="R5253" s="10" t="n"/>
      <c r="S5253" s="16" t="inlineStr">
        <is>
          <t>https://mstgolf.co.th/products/gf2000105766</t>
        </is>
      </c>
      <c r="T5253" s="1">
        <f>IF(B5253="ไม้กอล์ฟ",J5253,"")</f>
        <v/>
      </c>
    </row>
    <row r="5254">
      <c r="A5254" s="1" t="n">
        <v>3</v>
      </c>
      <c r="B5254" s="1" t="inlineStr">
        <is>
          <t>หมวก</t>
        </is>
      </c>
      <c r="C5254" s="1" t="inlineStr">
        <is>
          <t>gf2000300251</t>
        </is>
      </c>
      <c r="D5254" s="1" t="inlineStr">
        <is>
          <t>PUMA Driver Men's Hat (Deep Lichen Green)</t>
        </is>
      </c>
      <c r="E5254" s="1" t="inlineStr">
        <is>
          <t>PUMA</t>
        </is>
      </c>
      <c r="F5254" s="1" t="inlineStr">
        <is>
          <t>HAT</t>
        </is>
      </c>
      <c r="G5254" s="1" t="inlineStr">
        <is>
          <t>GF2000300251S/M</t>
        </is>
      </c>
      <c r="H5254" s="1" t="n">
        <v>3</v>
      </c>
      <c r="I5254" s="1" t="inlineStr">
        <is>
          <t>หมด</t>
        </is>
      </c>
      <c r="J5254" s="13" t="n">
        <v>39</v>
      </c>
      <c r="K5254" s="1" t="inlineStr"/>
      <c r="L5254" s="13" t="n"/>
      <c r="M5254" s="1">
        <f>IF(L5254="","ไม่พบใน SG",IF(ABS(J5254-L5254)&lt;0.005,"ตรงกัน","ไม่ตรง"))</f>
        <v/>
      </c>
      <c r="N5254" s="14">
        <f>IF(L5254="","",ROUND(L5254*'สรุป'!$C$6,-1))</f>
        <v/>
      </c>
      <c r="O5254" s="15" t="n"/>
      <c r="P5254" s="15" t="n"/>
      <c r="Q5254" s="10" t="n"/>
      <c r="R5254" s="10" t="n"/>
      <c r="S5254" s="16" t="inlineStr">
        <is>
          <t>https://mstgolf.co.th/products/gf2000300251</t>
        </is>
      </c>
      <c r="T5254" s="1">
        <f>IF(B5254="ไม้กอล์ฟ",J5254,"")</f>
        <v/>
      </c>
    </row>
    <row r="5255">
      <c r="A5255" s="1" t="n">
        <v>3</v>
      </c>
      <c r="B5255" s="1" t="inlineStr">
        <is>
          <t>หมวก</t>
        </is>
      </c>
      <c r="C5255" s="1" t="inlineStr">
        <is>
          <t>gf2000200865</t>
        </is>
      </c>
      <c r="D5255" s="1" t="inlineStr">
        <is>
          <t>PUMA Men's Adjustable P Visor (Black)</t>
        </is>
      </c>
      <c r="E5255" s="1" t="inlineStr">
        <is>
          <t>PUMA</t>
        </is>
      </c>
      <c r="F5255" s="1" t="inlineStr">
        <is>
          <t>VISOR</t>
        </is>
      </c>
      <c r="G5255" s="1" t="inlineStr">
        <is>
          <t>GF2000200865FS</t>
        </is>
      </c>
      <c r="H5255" s="1" t="n">
        <v>1</v>
      </c>
      <c r="I5255" s="1" t="inlineStr">
        <is>
          <t>หมด</t>
        </is>
      </c>
      <c r="J5255" s="13" t="n">
        <v>39</v>
      </c>
      <c r="K5255" s="1" t="inlineStr"/>
      <c r="L5255" s="13" t="n"/>
      <c r="M5255" s="1">
        <f>IF(L5255="","ไม่พบใน SG",IF(ABS(J5255-L5255)&lt;0.005,"ตรงกัน","ไม่ตรง"))</f>
        <v/>
      </c>
      <c r="N5255" s="14">
        <f>IF(L5255="","",ROUND(L5255*'สรุป'!$C$6,-1))</f>
        <v/>
      </c>
      <c r="O5255" s="15" t="n"/>
      <c r="P5255" s="15" t="n"/>
      <c r="Q5255" s="10" t="n"/>
      <c r="R5255" s="10" t="n"/>
      <c r="S5255" s="16" t="inlineStr">
        <is>
          <t>https://mstgolf.co.th/products/gf2000200865</t>
        </is>
      </c>
      <c r="T5255" s="1">
        <f>IF(B5255="ไม้กอล์ฟ",J5255,"")</f>
        <v/>
      </c>
    </row>
    <row r="5256">
      <c r="A5256" s="1" t="n">
        <v>3</v>
      </c>
      <c r="B5256" s="1" t="inlineStr">
        <is>
          <t>หมวก</t>
        </is>
      </c>
      <c r="C5256" s="1" t="inlineStr">
        <is>
          <t>gf2000104653</t>
        </is>
      </c>
      <c r="D5256" s="1" t="inlineStr">
        <is>
          <t>PUMA P Snapback Junior Cap (White)</t>
        </is>
      </c>
      <c r="E5256" s="1" t="inlineStr">
        <is>
          <t>PUMA</t>
        </is>
      </c>
      <c r="F5256" s="1" t="inlineStr">
        <is>
          <t>CAP</t>
        </is>
      </c>
      <c r="G5256" s="1" t="inlineStr">
        <is>
          <t>GF2000104653FS</t>
        </is>
      </c>
      <c r="H5256" s="1" t="n">
        <v>1</v>
      </c>
      <c r="I5256" s="1" t="inlineStr">
        <is>
          <t>หมด</t>
        </is>
      </c>
      <c r="J5256" s="13" t="n">
        <v>39</v>
      </c>
      <c r="K5256" s="1" t="inlineStr"/>
      <c r="L5256" s="13" t="n"/>
      <c r="M5256" s="1">
        <f>IF(L5256="","ไม่พบใน SG",IF(ABS(J5256-L5256)&lt;0.005,"ตรงกัน","ไม่ตรง"))</f>
        <v/>
      </c>
      <c r="N5256" s="14">
        <f>IF(L5256="","",ROUND(L5256*'สรุป'!$C$6,-1))</f>
        <v/>
      </c>
      <c r="O5256" s="15" t="n"/>
      <c r="P5256" s="15" t="n"/>
      <c r="Q5256" s="10" t="n"/>
      <c r="R5256" s="10" t="n"/>
      <c r="S5256" s="16" t="inlineStr">
        <is>
          <t>https://mstgolf.co.th/products/gf2000104653</t>
        </is>
      </c>
      <c r="T5256" s="1">
        <f>IF(B5256="ไม้กอล์ฟ",J5256,"")</f>
        <v/>
      </c>
    </row>
    <row r="5257">
      <c r="A5257" s="1" t="n">
        <v>3</v>
      </c>
      <c r="B5257" s="1" t="inlineStr">
        <is>
          <t>หมวก</t>
        </is>
      </c>
      <c r="C5257" s="1" t="inlineStr">
        <is>
          <t>gf2000105087</t>
        </is>
      </c>
      <c r="D5257" s="1" t="inlineStr">
        <is>
          <t>PUMA P Sport Women's Cap (Loveable)</t>
        </is>
      </c>
      <c r="E5257" s="1" t="inlineStr">
        <is>
          <t>PUMA</t>
        </is>
      </c>
      <c r="F5257" s="1" t="inlineStr">
        <is>
          <t>CAP</t>
        </is>
      </c>
      <c r="G5257" s="1" t="inlineStr">
        <is>
          <t>GF2000105087FS</t>
        </is>
      </c>
      <c r="H5257" s="1" t="n">
        <v>1</v>
      </c>
      <c r="I5257" s="1" t="inlineStr">
        <is>
          <t>หมด</t>
        </is>
      </c>
      <c r="J5257" s="13" t="n">
        <v>39</v>
      </c>
      <c r="K5257" s="1" t="inlineStr"/>
      <c r="L5257" s="13" t="n"/>
      <c r="M5257" s="1">
        <f>IF(L5257="","ไม่พบใน SG",IF(ABS(J5257-L5257)&lt;0.005,"ตรงกัน","ไม่ตรง"))</f>
        <v/>
      </c>
      <c r="N5257" s="14">
        <f>IF(L5257="","",ROUND(L5257*'สรุป'!$C$6,-1))</f>
        <v/>
      </c>
      <c r="O5257" s="15" t="n"/>
      <c r="P5257" s="15" t="n"/>
      <c r="Q5257" s="10" t="n"/>
      <c r="R5257" s="10" t="n"/>
      <c r="S5257" s="16" t="inlineStr">
        <is>
          <t>https://mstgolf.co.th/products/gf2000105087</t>
        </is>
      </c>
      <c r="T5257" s="1">
        <f>IF(B5257="ไม้กอล์ฟ",J5257,"")</f>
        <v/>
      </c>
    </row>
    <row r="5258">
      <c r="A5258" s="1" t="n">
        <v>3</v>
      </c>
      <c r="B5258" s="1" t="inlineStr">
        <is>
          <t>หมวก</t>
        </is>
      </c>
      <c r="C5258" s="1" t="inlineStr">
        <is>
          <t>gf2000105094</t>
        </is>
      </c>
      <c r="D5258" s="1" t="inlineStr">
        <is>
          <t>PUMA P Youth Junior Cap (Navy/Silver)</t>
        </is>
      </c>
      <c r="E5258" s="1" t="inlineStr">
        <is>
          <t>PUMA</t>
        </is>
      </c>
      <c r="F5258" s="1" t="inlineStr">
        <is>
          <t>CAP</t>
        </is>
      </c>
      <c r="G5258" s="1" t="inlineStr">
        <is>
          <t>GF2000105094FS</t>
        </is>
      </c>
      <c r="H5258" s="1" t="n">
        <v>1</v>
      </c>
      <c r="I5258" s="1" t="inlineStr">
        <is>
          <t>หมด</t>
        </is>
      </c>
      <c r="J5258" s="13" t="n">
        <v>39</v>
      </c>
      <c r="K5258" s="1" t="inlineStr"/>
      <c r="L5258" s="13" t="n"/>
      <c r="M5258" s="1">
        <f>IF(L5258="","ไม่พบใน SG",IF(ABS(J5258-L5258)&lt;0.005,"ตรงกัน","ไม่ตรง"))</f>
        <v/>
      </c>
      <c r="N5258" s="14">
        <f>IF(L5258="","",ROUND(L5258*'สรุป'!$C$6,-1))</f>
        <v/>
      </c>
      <c r="O5258" s="15" t="n"/>
      <c r="P5258" s="15" t="n"/>
      <c r="Q5258" s="10" t="n"/>
      <c r="R5258" s="10" t="n"/>
      <c r="S5258" s="16" t="inlineStr">
        <is>
          <t>https://mstgolf.co.th/products/gf2000105094</t>
        </is>
      </c>
      <c r="T5258" s="1">
        <f>IF(B5258="ไม้กอล์ฟ",J5258,"")</f>
        <v/>
      </c>
    </row>
    <row r="5259">
      <c r="A5259" s="1" t="n">
        <v>3</v>
      </c>
      <c r="B5259" s="1" t="inlineStr">
        <is>
          <t>หมวก</t>
        </is>
      </c>
      <c r="C5259" s="1" t="inlineStr">
        <is>
          <t>gf2000105762</t>
        </is>
      </c>
      <c r="D5259" s="1" t="inlineStr">
        <is>
          <t>PUMA P Youth Junior Cap (White/Black)</t>
        </is>
      </c>
      <c r="E5259" s="1" t="inlineStr">
        <is>
          <t>PUMA</t>
        </is>
      </c>
      <c r="F5259" s="1" t="inlineStr">
        <is>
          <t>CAP</t>
        </is>
      </c>
      <c r="G5259" s="1" t="inlineStr">
        <is>
          <t>GF2000105762FS</t>
        </is>
      </c>
      <c r="H5259" s="1" t="n">
        <v>1</v>
      </c>
      <c r="I5259" s="1" t="inlineStr">
        <is>
          <t>หมด</t>
        </is>
      </c>
      <c r="J5259" s="13" t="n">
        <v>39</v>
      </c>
      <c r="K5259" s="1" t="inlineStr"/>
      <c r="L5259" s="13" t="n"/>
      <c r="M5259" s="1">
        <f>IF(L5259="","ไม่พบใน SG",IF(ABS(J5259-L5259)&lt;0.005,"ตรงกัน","ไม่ตรง"))</f>
        <v/>
      </c>
      <c r="N5259" s="14">
        <f>IF(L5259="","",ROUND(L5259*'สรุป'!$C$6,-1))</f>
        <v/>
      </c>
      <c r="O5259" s="15" t="n"/>
      <c r="P5259" s="15" t="n"/>
      <c r="Q5259" s="10" t="n"/>
      <c r="R5259" s="10" t="n"/>
      <c r="S5259" s="16" t="inlineStr">
        <is>
          <t>https://mstgolf.co.th/products/gf2000105762</t>
        </is>
      </c>
      <c r="T5259" s="1">
        <f>IF(B5259="ไม้กอล์ฟ",J5259,"")</f>
        <v/>
      </c>
    </row>
    <row r="5260">
      <c r="A5260" s="1" t="n">
        <v>3</v>
      </c>
      <c r="B5260" s="1" t="inlineStr">
        <is>
          <t>อุปกรณ์เสริม</t>
        </is>
      </c>
      <c r="C5260" s="1" t="inlineStr">
        <is>
          <t>gf2080101260</t>
        </is>
      </c>
      <c r="D5260" s="1" t="inlineStr">
        <is>
          <t>PUMA Reversible Web Men's Belt (White/Grey)</t>
        </is>
      </c>
      <c r="E5260" s="1" t="inlineStr">
        <is>
          <t>PUMA</t>
        </is>
      </c>
      <c r="F5260" s="1" t="inlineStr">
        <is>
          <t>BELT</t>
        </is>
      </c>
      <c r="G5260" s="1" t="inlineStr">
        <is>
          <t>GF2080101260FS</t>
        </is>
      </c>
      <c r="H5260" s="1" t="n">
        <v>1</v>
      </c>
      <c r="I5260" s="1" t="inlineStr">
        <is>
          <t>หมด</t>
        </is>
      </c>
      <c r="J5260" s="13" t="n">
        <v>39</v>
      </c>
      <c r="K5260" s="1" t="inlineStr"/>
      <c r="L5260" s="13" t="n">
        <v>39</v>
      </c>
      <c r="M5260" s="1">
        <f>IF(L5260="","ไม่พบใน SG",IF(ABS(J5260-L5260)&lt;0.005,"ตรงกัน","ไม่ตรง"))</f>
        <v/>
      </c>
      <c r="N5260" s="14">
        <f>IF(L5260="","",ROUND(L5260*'สรุป'!$C$6,-1))</f>
        <v/>
      </c>
      <c r="O5260" s="15" t="n"/>
      <c r="P5260" s="15" t="n"/>
      <c r="Q5260" s="10" t="n"/>
      <c r="R5260" s="10" t="n"/>
      <c r="S5260" s="16" t="inlineStr">
        <is>
          <t>https://mstgolf.co.th/products/gf2080101260</t>
        </is>
      </c>
      <c r="T5260" s="1">
        <f>IF(B5260="ไม้กอล์ฟ",J5260,"")</f>
        <v/>
      </c>
    </row>
    <row r="5261">
      <c r="A5261" s="1" t="n">
        <v>3</v>
      </c>
      <c r="B5261" s="1" t="inlineStr">
        <is>
          <t>หมวก</t>
        </is>
      </c>
      <c r="C5261" s="1" t="inlineStr">
        <is>
          <t>gf2000105763</t>
        </is>
      </c>
      <c r="D5261" s="1" t="inlineStr">
        <is>
          <t>PUMA Sport P Women's Cap (Blue)</t>
        </is>
      </c>
      <c r="E5261" s="1" t="inlineStr">
        <is>
          <t>PUMA</t>
        </is>
      </c>
      <c r="F5261" s="1" t="inlineStr">
        <is>
          <t>CAP</t>
        </is>
      </c>
      <c r="G5261" s="1" t="inlineStr">
        <is>
          <t>GF2000105763FS</t>
        </is>
      </c>
      <c r="H5261" s="1" t="n">
        <v>1</v>
      </c>
      <c r="I5261" s="1" t="inlineStr">
        <is>
          <t>หมด</t>
        </is>
      </c>
      <c r="J5261" s="13" t="n">
        <v>39</v>
      </c>
      <c r="K5261" s="1" t="inlineStr"/>
      <c r="L5261" s="13" t="n">
        <v>39</v>
      </c>
      <c r="M5261" s="1">
        <f>IF(L5261="","ไม่พบใน SG",IF(ABS(J5261-L5261)&lt;0.005,"ตรงกัน","ไม่ตรง"))</f>
        <v/>
      </c>
      <c r="N5261" s="14">
        <f>IF(L5261="","",ROUND(L5261*'สรุป'!$C$6,-1))</f>
        <v/>
      </c>
      <c r="O5261" s="15" t="n"/>
      <c r="P5261" s="15" t="n"/>
      <c r="Q5261" s="10" t="n"/>
      <c r="R5261" s="10" t="n"/>
      <c r="S5261" s="16" t="inlineStr">
        <is>
          <t>https://mstgolf.co.th/products/gf2000105763</t>
        </is>
      </c>
      <c r="T5261" s="1">
        <f>IF(B5261="ไม้กอล์ฟ",J5261,"")</f>
        <v/>
      </c>
    </row>
    <row r="5262">
      <c r="A5262" s="1" t="n">
        <v>3</v>
      </c>
      <c r="B5262" s="1" t="inlineStr">
        <is>
          <t>หมวก</t>
        </is>
      </c>
      <c r="C5262" s="1" t="inlineStr">
        <is>
          <t>gf2000105764</t>
        </is>
      </c>
      <c r="D5262" s="1" t="inlineStr">
        <is>
          <t>PUMA Sport P Women's Golf Cap (Pink)</t>
        </is>
      </c>
      <c r="E5262" s="1" t="inlineStr">
        <is>
          <t>PUMA</t>
        </is>
      </c>
      <c r="F5262" s="1" t="inlineStr">
        <is>
          <t>CAP</t>
        </is>
      </c>
      <c r="G5262" s="1" t="inlineStr">
        <is>
          <t>GF2000105764FS</t>
        </is>
      </c>
      <c r="H5262" s="1" t="n">
        <v>1</v>
      </c>
      <c r="I5262" s="1" t="inlineStr">
        <is>
          <t>หมด</t>
        </is>
      </c>
      <c r="J5262" s="13" t="n">
        <v>39</v>
      </c>
      <c r="K5262" s="1" t="inlineStr"/>
      <c r="L5262" s="13" t="n"/>
      <c r="M5262" s="1">
        <f>IF(L5262="","ไม่พบใน SG",IF(ABS(J5262-L5262)&lt;0.005,"ตรงกัน","ไม่ตรง"))</f>
        <v/>
      </c>
      <c r="N5262" s="14">
        <f>IF(L5262="","",ROUND(L5262*'สรุป'!$C$6,-1))</f>
        <v/>
      </c>
      <c r="O5262" s="15" t="n"/>
      <c r="P5262" s="15" t="n"/>
      <c r="Q5262" s="10" t="n"/>
      <c r="R5262" s="10" t="n"/>
      <c r="S5262" s="16" t="inlineStr">
        <is>
          <t>https://mstgolf.co.th/products/gf2000105764</t>
        </is>
      </c>
      <c r="T5262" s="1">
        <f>IF(B5262="ไม้กอล์ฟ",J5262,"")</f>
        <v/>
      </c>
    </row>
    <row r="5263">
      <c r="A5263" s="1" t="n">
        <v>3</v>
      </c>
      <c r="B5263" s="1" t="inlineStr">
        <is>
          <t>หมวก</t>
        </is>
      </c>
      <c r="C5263" s="1" t="inlineStr">
        <is>
          <t>gf2000201032</t>
        </is>
      </c>
      <c r="D5263" s="1" t="inlineStr">
        <is>
          <t>PUMA Sport Women's Visor (Pink)</t>
        </is>
      </c>
      <c r="E5263" s="1" t="inlineStr">
        <is>
          <t>PUMA</t>
        </is>
      </c>
      <c r="F5263" s="1" t="inlineStr">
        <is>
          <t>VISOR</t>
        </is>
      </c>
      <c r="G5263" s="1" t="inlineStr">
        <is>
          <t>GF2000201032FS</t>
        </is>
      </c>
      <c r="H5263" s="1" t="n">
        <v>1</v>
      </c>
      <c r="I5263" s="1" t="inlineStr">
        <is>
          <t>หมด</t>
        </is>
      </c>
      <c r="J5263" s="13" t="n">
        <v>39</v>
      </c>
      <c r="K5263" s="1" t="inlineStr"/>
      <c r="L5263" s="13" t="n">
        <v>39</v>
      </c>
      <c r="M5263" s="1">
        <f>IF(L5263="","ไม่พบใน SG",IF(ABS(J5263-L5263)&lt;0.005,"ตรงกัน","ไม่ตรง"))</f>
        <v/>
      </c>
      <c r="N5263" s="14">
        <f>IF(L5263="","",ROUND(L5263*'สรุป'!$C$6,-1))</f>
        <v/>
      </c>
      <c r="O5263" s="15" t="n"/>
      <c r="P5263" s="15" t="n"/>
      <c r="Q5263" s="10" t="n"/>
      <c r="R5263" s="10" t="n"/>
      <c r="S5263" s="16" t="inlineStr">
        <is>
          <t>https://mstgolf.co.th/products/gf2000201032</t>
        </is>
      </c>
      <c r="T5263" s="1">
        <f>IF(B5263="ไม้กอล์ฟ",J5263,"")</f>
        <v/>
      </c>
    </row>
    <row r="5264">
      <c r="A5264" s="1" t="n">
        <v>3</v>
      </c>
      <c r="B5264" s="1" t="inlineStr">
        <is>
          <t>อุปกรณ์เสริม</t>
        </is>
      </c>
      <c r="C5264" s="1" t="inlineStr">
        <is>
          <t>gf2080101143</t>
        </is>
      </c>
      <c r="D5264" s="1" t="inlineStr">
        <is>
          <t>PUMA Ultralite Stretch Men's Belt (Navy Blazer)</t>
        </is>
      </c>
      <c r="E5264" s="1" t="inlineStr">
        <is>
          <t>PUMA</t>
        </is>
      </c>
      <c r="F5264" s="1" t="inlineStr">
        <is>
          <t>BELT</t>
        </is>
      </c>
      <c r="G5264" s="1" t="inlineStr">
        <is>
          <t>GF2080101143FS</t>
        </is>
      </c>
      <c r="H5264" s="1" t="n">
        <v>1</v>
      </c>
      <c r="I5264" s="1" t="inlineStr">
        <is>
          <t>หมด</t>
        </is>
      </c>
      <c r="J5264" s="13" t="n">
        <v>39</v>
      </c>
      <c r="K5264" s="1" t="inlineStr"/>
      <c r="L5264" s="13" t="n"/>
      <c r="M5264" s="1">
        <f>IF(L5264="","ไม่พบใน SG",IF(ABS(J5264-L5264)&lt;0.005,"ตรงกัน","ไม่ตรง"))</f>
        <v/>
      </c>
      <c r="N5264" s="14">
        <f>IF(L5264="","",ROUND(L5264*'สรุป'!$C$6,-1))</f>
        <v/>
      </c>
      <c r="O5264" s="15" t="n"/>
      <c r="P5264" s="15" t="n"/>
      <c r="Q5264" s="10" t="n"/>
      <c r="R5264" s="10" t="n"/>
      <c r="S5264" s="16" t="inlineStr">
        <is>
          <t>https://mstgolf.co.th/products/gf2080101143</t>
        </is>
      </c>
      <c r="T5264" s="1">
        <f>IF(B5264="ไม้กอล์ฟ",J5264,"")</f>
        <v/>
      </c>
    </row>
    <row r="5265">
      <c r="A5265" s="1" t="n">
        <v>3</v>
      </c>
      <c r="B5265" s="1" t="inlineStr">
        <is>
          <t>หมวก</t>
        </is>
      </c>
      <c r="C5265" s="1" t="inlineStr">
        <is>
          <t>gf2000105096</t>
        </is>
      </c>
      <c r="D5265" s="1" t="inlineStr">
        <is>
          <t>PUMA Youth Pars &amp; Stripes P Junior Cap (Navy)</t>
        </is>
      </c>
      <c r="E5265" s="1" t="inlineStr">
        <is>
          <t>PUMA</t>
        </is>
      </c>
      <c r="F5265" s="1" t="inlineStr">
        <is>
          <t>CAP</t>
        </is>
      </c>
      <c r="G5265" s="1" t="inlineStr">
        <is>
          <t>GF2000105096FS</t>
        </is>
      </c>
      <c r="H5265" s="1" t="n">
        <v>1</v>
      </c>
      <c r="I5265" s="1" t="inlineStr">
        <is>
          <t>หมด</t>
        </is>
      </c>
      <c r="J5265" s="13" t="n">
        <v>39</v>
      </c>
      <c r="K5265" s="1" t="inlineStr"/>
      <c r="L5265" s="13" t="n"/>
      <c r="M5265" s="1">
        <f>IF(L5265="","ไม่พบใน SG",IF(ABS(J5265-L5265)&lt;0.005,"ตรงกัน","ไม่ตรง"))</f>
        <v/>
      </c>
      <c r="N5265" s="14">
        <f>IF(L5265="","",ROUND(L5265*'สรุป'!$C$6,-1))</f>
        <v/>
      </c>
      <c r="O5265" s="15" t="n"/>
      <c r="P5265" s="15" t="n"/>
      <c r="Q5265" s="10" t="n"/>
      <c r="R5265" s="10" t="n"/>
      <c r="S5265" s="16" t="inlineStr">
        <is>
          <t>https://mstgolf.co.th/products/gf2000105096</t>
        </is>
      </c>
      <c r="T5265" s="1">
        <f>IF(B5265="ไม้กอล์ฟ",J5265,"")</f>
        <v/>
      </c>
    </row>
    <row r="5266">
      <c r="A5266" s="1" t="n">
        <v>3</v>
      </c>
      <c r="B5266" s="1" t="inlineStr">
        <is>
          <t>หมวก</t>
        </is>
      </c>
      <c r="C5266" s="1" t="inlineStr">
        <is>
          <t>gf2000105975</t>
        </is>
      </c>
      <c r="D5266" s="1" t="inlineStr">
        <is>
          <t>TAYLORMADE Tour Radar (2024) Men's Cap (Black)</t>
        </is>
      </c>
      <c r="E5266" s="1" t="inlineStr">
        <is>
          <t>TAYLORMADE</t>
        </is>
      </c>
      <c r="F5266" s="1" t="inlineStr">
        <is>
          <t>CAP</t>
        </is>
      </c>
      <c r="G5266" s="1" t="inlineStr">
        <is>
          <t>GF2000105975FS</t>
        </is>
      </c>
      <c r="H5266" s="1" t="n">
        <v>1</v>
      </c>
      <c r="I5266" s="1" t="inlineStr">
        <is>
          <t>หมด</t>
        </is>
      </c>
      <c r="J5266" s="13" t="n">
        <v>39</v>
      </c>
      <c r="K5266" s="1" t="inlineStr"/>
      <c r="L5266" s="13" t="n"/>
      <c r="M5266" s="1">
        <f>IF(L5266="","ไม่พบใน SG",IF(ABS(J5266-L5266)&lt;0.005,"ตรงกัน","ไม่ตรง"))</f>
        <v/>
      </c>
      <c r="N5266" s="14">
        <f>IF(L5266="","",ROUND(L5266*'สรุป'!$C$6,-1))</f>
        <v/>
      </c>
      <c r="O5266" s="15" t="n"/>
      <c r="P5266" s="15" t="n"/>
      <c r="Q5266" s="10" t="n"/>
      <c r="R5266" s="10" t="n"/>
      <c r="S5266" s="16" t="inlineStr">
        <is>
          <t>https://mstgolf.co.th/products/gf2000105975</t>
        </is>
      </c>
      <c r="T5266" s="1">
        <f>IF(B5266="ไม้กอล์ฟ",J5266,"")</f>
        <v/>
      </c>
    </row>
    <row r="5267">
      <c r="A5267" s="1" t="n">
        <v>3</v>
      </c>
      <c r="B5267" s="1" t="inlineStr">
        <is>
          <t>หมวก</t>
        </is>
      </c>
      <c r="C5267" s="1" t="inlineStr">
        <is>
          <t>gf2000105304</t>
        </is>
      </c>
      <c r="D5267" s="1" t="inlineStr">
        <is>
          <t>TAYLORMADE Tour Radar Men's Cap (Blue)</t>
        </is>
      </c>
      <c r="E5267" s="1" t="inlineStr">
        <is>
          <t>TAYLORMADE</t>
        </is>
      </c>
      <c r="F5267" s="1" t="inlineStr">
        <is>
          <t>CAP</t>
        </is>
      </c>
      <c r="G5267" s="1" t="inlineStr">
        <is>
          <t>GF2000105304FS</t>
        </is>
      </c>
      <c r="H5267" s="1" t="n">
        <v>1</v>
      </c>
      <c r="I5267" s="1" t="inlineStr">
        <is>
          <t>หมด</t>
        </is>
      </c>
      <c r="J5267" s="13" t="n">
        <v>39</v>
      </c>
      <c r="K5267" s="1" t="inlineStr"/>
      <c r="L5267" s="13" t="n">
        <v>39</v>
      </c>
      <c r="M5267" s="1">
        <f>IF(L5267="","ไม่พบใน SG",IF(ABS(J5267-L5267)&lt;0.005,"ตรงกัน","ไม่ตรง"))</f>
        <v/>
      </c>
      <c r="N5267" s="14">
        <f>IF(L5267="","",ROUND(L5267*'สรุป'!$C$6,-1))</f>
        <v/>
      </c>
      <c r="O5267" s="15" t="n"/>
      <c r="P5267" s="15" t="n"/>
      <c r="Q5267" s="10" t="n"/>
      <c r="R5267" s="10" t="n"/>
      <c r="S5267" s="16" t="inlineStr">
        <is>
          <t>https://mstgolf.co.th/products/gf2000105304</t>
        </is>
      </c>
      <c r="T5267" s="1">
        <f>IF(B5267="ไม้กอล์ฟ",J5267,"")</f>
        <v/>
      </c>
    </row>
    <row r="5268">
      <c r="A5268" s="1" t="n">
        <v>3</v>
      </c>
      <c r="B5268" s="1" t="inlineStr">
        <is>
          <t>หมวก</t>
        </is>
      </c>
      <c r="C5268" s="1" t="inlineStr">
        <is>
          <t>gf2000105974</t>
        </is>
      </c>
      <c r="D5268" s="1" t="inlineStr">
        <is>
          <t>TAYLORMADE Tour Radar Men's Cap (White)</t>
        </is>
      </c>
      <c r="E5268" s="1" t="inlineStr">
        <is>
          <t>TAYLORMADE</t>
        </is>
      </c>
      <c r="F5268" s="1" t="inlineStr">
        <is>
          <t>CAP</t>
        </is>
      </c>
      <c r="G5268" s="1" t="inlineStr">
        <is>
          <t>GF2000105974FS</t>
        </is>
      </c>
      <c r="H5268" s="1" t="n">
        <v>1</v>
      </c>
      <c r="I5268" s="1" t="inlineStr">
        <is>
          <t>หมด</t>
        </is>
      </c>
      <c r="J5268" s="13" t="n">
        <v>39</v>
      </c>
      <c r="K5268" s="1" t="inlineStr"/>
      <c r="L5268" s="13" t="n"/>
      <c r="M5268" s="1">
        <f>IF(L5268="","ไม่พบใน SG",IF(ABS(J5268-L5268)&lt;0.005,"ตรงกัน","ไม่ตรง"))</f>
        <v/>
      </c>
      <c r="N5268" s="14">
        <f>IF(L5268="","",ROUND(L5268*'สรุป'!$C$6,-1))</f>
        <v/>
      </c>
      <c r="O5268" s="15" t="n"/>
      <c r="P5268" s="15" t="n"/>
      <c r="Q5268" s="10" t="n"/>
      <c r="R5268" s="10" t="n"/>
      <c r="S5268" s="16" t="inlineStr">
        <is>
          <t>https://mstgolf.co.th/products/gf2000105974</t>
        </is>
      </c>
      <c r="T5268" s="1">
        <f>IF(B5268="ไม้กอล์ฟ",J5268,"")</f>
        <v/>
      </c>
    </row>
    <row r="5269">
      <c r="A5269" s="1" t="n">
        <v>3</v>
      </c>
      <c r="B5269" s="1" t="inlineStr">
        <is>
          <t>หมวก</t>
        </is>
      </c>
      <c r="C5269" s="1" t="inlineStr">
        <is>
          <t>gf2000105169</t>
        </is>
      </c>
      <c r="D5269" s="1" t="inlineStr">
        <is>
          <t>TAYLORMADE Tour Radar Stealth Men's Cap (Black)</t>
        </is>
      </c>
      <c r="E5269" s="1" t="inlineStr">
        <is>
          <t>TAYLORMADE</t>
        </is>
      </c>
      <c r="F5269" s="1" t="inlineStr">
        <is>
          <t>CAP</t>
        </is>
      </c>
      <c r="G5269" s="1" t="inlineStr">
        <is>
          <t>GF2000105169FS</t>
        </is>
      </c>
      <c r="H5269" s="1" t="n">
        <v>1</v>
      </c>
      <c r="I5269" s="1" t="inlineStr">
        <is>
          <t>หมด</t>
        </is>
      </c>
      <c r="J5269" s="13" t="n">
        <v>39</v>
      </c>
      <c r="K5269" s="1" t="inlineStr"/>
      <c r="L5269" s="13" t="n">
        <v>39</v>
      </c>
      <c r="M5269" s="1">
        <f>IF(L5269="","ไม่พบใน SG",IF(ABS(J5269-L5269)&lt;0.005,"ตรงกัน","ไม่ตรง"))</f>
        <v/>
      </c>
      <c r="N5269" s="14">
        <f>IF(L5269="","",ROUND(L5269*'สรุป'!$C$6,-1))</f>
        <v/>
      </c>
      <c r="O5269" s="15" t="n"/>
      <c r="P5269" s="15" t="n"/>
      <c r="Q5269" s="10" t="n"/>
      <c r="R5269" s="10" t="n"/>
      <c r="S5269" s="16" t="inlineStr">
        <is>
          <t>https://mstgolf.co.th/products/gf2000105169</t>
        </is>
      </c>
      <c r="T5269" s="1">
        <f>IF(B5269="ไม้กอล์ฟ",J5269,"")</f>
        <v/>
      </c>
    </row>
    <row r="5270">
      <c r="A5270" s="1" t="n">
        <v>3</v>
      </c>
      <c r="B5270" s="1" t="inlineStr">
        <is>
          <t>หมวก</t>
        </is>
      </c>
      <c r="C5270" s="1" t="inlineStr">
        <is>
          <t>gf2000200980</t>
        </is>
      </c>
      <c r="D5270" s="1" t="inlineStr">
        <is>
          <t>TAYLORMADE Tour T Men's Visor (Black)</t>
        </is>
      </c>
      <c r="E5270" s="1" t="inlineStr">
        <is>
          <t>TAYLORMADE</t>
        </is>
      </c>
      <c r="F5270" s="1" t="inlineStr">
        <is>
          <t>VISOR</t>
        </is>
      </c>
      <c r="G5270" s="1" t="inlineStr">
        <is>
          <t>GF2000200980FS</t>
        </is>
      </c>
      <c r="H5270" s="1" t="n">
        <v>1</v>
      </c>
      <c r="I5270" s="1" t="inlineStr">
        <is>
          <t>หมด</t>
        </is>
      </c>
      <c r="J5270" s="13" t="n">
        <v>39</v>
      </c>
      <c r="K5270" s="1" t="inlineStr"/>
      <c r="L5270" s="13" t="n"/>
      <c r="M5270" s="1">
        <f>IF(L5270="","ไม่พบใน SG",IF(ABS(J5270-L5270)&lt;0.005,"ตรงกัน","ไม่ตรง"))</f>
        <v/>
      </c>
      <c r="N5270" s="14">
        <f>IF(L5270="","",ROUND(L5270*'สรุป'!$C$6,-1))</f>
        <v/>
      </c>
      <c r="O5270" s="15" t="n"/>
      <c r="P5270" s="15" t="n"/>
      <c r="Q5270" s="10" t="n"/>
      <c r="R5270" s="10" t="n"/>
      <c r="S5270" s="16" t="inlineStr">
        <is>
          <t>https://mstgolf.co.th/products/gf2000200980</t>
        </is>
      </c>
      <c r="T5270" s="1">
        <f>IF(B5270="ไม้กอล์ฟ",J5270,"")</f>
        <v/>
      </c>
    </row>
    <row r="5271">
      <c r="A5271" s="1" t="n">
        <v>3</v>
      </c>
      <c r="B5271" s="1" t="inlineStr">
        <is>
          <t>หมวก</t>
        </is>
      </c>
      <c r="C5271" s="1" t="inlineStr">
        <is>
          <t>gf2000200979</t>
        </is>
      </c>
      <c r="D5271" s="1" t="inlineStr">
        <is>
          <t>TAYLORMADE Tour T Men's Visor (White)</t>
        </is>
      </c>
      <c r="E5271" s="1" t="inlineStr">
        <is>
          <t>TAYLORMADE</t>
        </is>
      </c>
      <c r="F5271" s="1" t="inlineStr">
        <is>
          <t>VISOR</t>
        </is>
      </c>
      <c r="G5271" s="1" t="inlineStr">
        <is>
          <t>GF2000200979FS</t>
        </is>
      </c>
      <c r="H5271" s="1" t="n">
        <v>1</v>
      </c>
      <c r="I5271" s="1" t="inlineStr">
        <is>
          <t>หมด</t>
        </is>
      </c>
      <c r="J5271" s="13" t="n">
        <v>39</v>
      </c>
      <c r="K5271" s="1" t="inlineStr"/>
      <c r="L5271" s="13" t="n"/>
      <c r="M5271" s="1">
        <f>IF(L5271="","ไม่พบใน SG",IF(ABS(J5271-L5271)&lt;0.005,"ตรงกัน","ไม่ตรง"))</f>
        <v/>
      </c>
      <c r="N5271" s="14">
        <f>IF(L5271="","",ROUND(L5271*'สรุป'!$C$6,-1))</f>
        <v/>
      </c>
      <c r="O5271" s="15" t="n"/>
      <c r="P5271" s="15" t="n"/>
      <c r="Q5271" s="10" t="n"/>
      <c r="R5271" s="10" t="n"/>
      <c r="S5271" s="16" t="inlineStr">
        <is>
          <t>https://mstgolf.co.th/products/gf2000200979</t>
        </is>
      </c>
      <c r="T5271" s="1">
        <f>IF(B5271="ไม้กอล์ฟ",J5271,"")</f>
        <v/>
      </c>
    </row>
    <row r="5272">
      <c r="A5272" s="1" t="n">
        <v>3</v>
      </c>
      <c r="B5272" s="1" t="inlineStr">
        <is>
          <t>หมวก</t>
        </is>
      </c>
      <c r="C5272" s="1" t="inlineStr">
        <is>
          <t>gf2000201040</t>
        </is>
      </c>
      <c r="D5272" s="1" t="inlineStr">
        <is>
          <t>TAYLORMADE Wide Brim Script Logo Women's Visor (Turquoise)</t>
        </is>
      </c>
      <c r="E5272" s="1" t="inlineStr">
        <is>
          <t>TAYLORMADE</t>
        </is>
      </c>
      <c r="F5272" s="1" t="inlineStr">
        <is>
          <t>VISOR</t>
        </is>
      </c>
      <c r="G5272" s="1" t="inlineStr">
        <is>
          <t>GF2000201040FS</t>
        </is>
      </c>
      <c r="H5272" s="1" t="n">
        <v>1</v>
      </c>
      <c r="I5272" s="1" t="inlineStr">
        <is>
          <t>หมด</t>
        </is>
      </c>
      <c r="J5272" s="13" t="n">
        <v>39</v>
      </c>
      <c r="K5272" s="1" t="inlineStr"/>
      <c r="L5272" s="13" t="n">
        <v>39</v>
      </c>
      <c r="M5272" s="1">
        <f>IF(L5272="","ไม่พบใน SG",IF(ABS(J5272-L5272)&lt;0.005,"ตรงกัน","ไม่ตรง"))</f>
        <v/>
      </c>
      <c r="N5272" s="14">
        <f>IF(L5272="","",ROUND(L5272*'สรุป'!$C$6,-1))</f>
        <v/>
      </c>
      <c r="O5272" s="15" t="n"/>
      <c r="P5272" s="15" t="n"/>
      <c r="Q5272" s="10" t="n"/>
      <c r="R5272" s="10" t="n"/>
      <c r="S5272" s="16" t="inlineStr">
        <is>
          <t>https://mstgolf.co.th/products/gf2000201040</t>
        </is>
      </c>
      <c r="T5272" s="1">
        <f>IF(B5272="ไม้กอล์ฟ",J5272,"")</f>
        <v/>
      </c>
    </row>
    <row r="5273">
      <c r="A5273" s="1" t="n">
        <v>3</v>
      </c>
      <c r="B5273" s="1" t="inlineStr">
        <is>
          <t>หมวก</t>
        </is>
      </c>
      <c r="C5273" s="1" t="inlineStr">
        <is>
          <t>gf2000106054</t>
        </is>
      </c>
      <c r="D5273" s="1" t="inlineStr">
        <is>
          <t>TITLEIST Montauk Oxford Rope Men's Cap (Blue)</t>
        </is>
      </c>
      <c r="E5273" s="1" t="inlineStr">
        <is>
          <t>TITLEIST</t>
        </is>
      </c>
      <c r="F5273" s="1" t="inlineStr">
        <is>
          <t>CAP</t>
        </is>
      </c>
      <c r="G5273" s="1" t="inlineStr">
        <is>
          <t>GF2000106054FS</t>
        </is>
      </c>
      <c r="H5273" s="1" t="n">
        <v>1</v>
      </c>
      <c r="I5273" s="1" t="inlineStr">
        <is>
          <t>หมด</t>
        </is>
      </c>
      <c r="J5273" s="13" t="n">
        <v>39</v>
      </c>
      <c r="K5273" s="1" t="inlineStr"/>
      <c r="L5273" s="13" t="n"/>
      <c r="M5273" s="1">
        <f>IF(L5273="","ไม่พบใน SG",IF(ABS(J5273-L5273)&lt;0.005,"ตรงกัน","ไม่ตรง"))</f>
        <v/>
      </c>
      <c r="N5273" s="14">
        <f>IF(L5273="","",ROUND(L5273*'สรุป'!$C$6,-1))</f>
        <v/>
      </c>
      <c r="O5273" s="15" t="n"/>
      <c r="P5273" s="15" t="n"/>
      <c r="Q5273" s="10" t="n"/>
      <c r="R5273" s="10" t="n"/>
      <c r="S5273" s="16" t="inlineStr">
        <is>
          <t>https://mstgolf.co.th/products/gf2000106054</t>
        </is>
      </c>
      <c r="T5273" s="1">
        <f>IF(B5273="ไม้กอล์ฟ",J5273,"")</f>
        <v/>
      </c>
    </row>
    <row r="5274">
      <c r="A5274" s="1" t="n">
        <v>3</v>
      </c>
      <c r="B5274" s="1" t="inlineStr">
        <is>
          <t>หมวก</t>
        </is>
      </c>
      <c r="C5274" s="1" t="inlineStr">
        <is>
          <t>gf2000106053</t>
        </is>
      </c>
      <c r="D5274" s="1" t="inlineStr">
        <is>
          <t>TITLEIST Montauk Oxford Rope Men's Cap (Red)</t>
        </is>
      </c>
      <c r="E5274" s="1" t="inlineStr">
        <is>
          <t>TITLEIST</t>
        </is>
      </c>
      <c r="F5274" s="1" t="inlineStr">
        <is>
          <t>CAP</t>
        </is>
      </c>
      <c r="G5274" s="1" t="inlineStr">
        <is>
          <t>GF2000106053FS</t>
        </is>
      </c>
      <c r="H5274" s="1" t="n">
        <v>1</v>
      </c>
      <c r="I5274" s="1" t="inlineStr">
        <is>
          <t>หมด</t>
        </is>
      </c>
      <c r="J5274" s="13" t="n">
        <v>39</v>
      </c>
      <c r="K5274" s="1" t="inlineStr"/>
      <c r="L5274" s="13" t="n">
        <v>25</v>
      </c>
      <c r="M5274" s="1">
        <f>IF(L5274="","ไม่พบใน SG",IF(ABS(J5274-L5274)&lt;0.005,"ตรงกัน","ไม่ตรง"))</f>
        <v/>
      </c>
      <c r="N5274" s="14">
        <f>IF(L5274="","",ROUND(L5274*'สรุป'!$C$6,-1))</f>
        <v/>
      </c>
      <c r="O5274" s="15" t="n"/>
      <c r="P5274" s="15" t="n"/>
      <c r="Q5274" s="10" t="n"/>
      <c r="R5274" s="10" t="n"/>
      <c r="S5274" s="16" t="inlineStr">
        <is>
          <t>https://mstgolf.co.th/products/gf2000106053</t>
        </is>
      </c>
      <c r="T5274" s="1">
        <f>IF(B5274="ไม้กอล์ฟ",J5274,"")</f>
        <v/>
      </c>
    </row>
    <row r="5275">
      <c r="A5275" s="1" t="n">
        <v>3</v>
      </c>
      <c r="B5275" s="1" t="inlineStr">
        <is>
          <t>หมวก</t>
        </is>
      </c>
      <c r="C5275" s="1" t="inlineStr">
        <is>
          <t>gf2000106056</t>
        </is>
      </c>
      <c r="D5275" s="1" t="inlineStr">
        <is>
          <t>TITLEIST Montauk Oxford Women's Cap (Blue)</t>
        </is>
      </c>
      <c r="E5275" s="1" t="inlineStr">
        <is>
          <t>TITLEIST</t>
        </is>
      </c>
      <c r="F5275" s="1" t="inlineStr">
        <is>
          <t>CAP</t>
        </is>
      </c>
      <c r="G5275" s="1" t="inlineStr">
        <is>
          <t>GF2000106056FS</t>
        </is>
      </c>
      <c r="H5275" s="1" t="n">
        <v>1</v>
      </c>
      <c r="I5275" s="1" t="inlineStr">
        <is>
          <t>หมด</t>
        </is>
      </c>
      <c r="J5275" s="13" t="n">
        <v>39</v>
      </c>
      <c r="K5275" s="1" t="inlineStr"/>
      <c r="L5275" s="13" t="n"/>
      <c r="M5275" s="1">
        <f>IF(L5275="","ไม่พบใน SG",IF(ABS(J5275-L5275)&lt;0.005,"ตรงกัน","ไม่ตรง"))</f>
        <v/>
      </c>
      <c r="N5275" s="14">
        <f>IF(L5275="","",ROUND(L5275*'สรุป'!$C$6,-1))</f>
        <v/>
      </c>
      <c r="O5275" s="15" t="n"/>
      <c r="P5275" s="15" t="n"/>
      <c r="Q5275" s="10" t="n"/>
      <c r="R5275" s="10" t="n"/>
      <c r="S5275" s="16" t="inlineStr">
        <is>
          <t>https://mstgolf.co.th/products/gf2000106056</t>
        </is>
      </c>
      <c r="T5275" s="1">
        <f>IF(B5275="ไม้กอล์ฟ",J5275,"")</f>
        <v/>
      </c>
    </row>
    <row r="5276">
      <c r="A5276" s="1" t="n">
        <v>3</v>
      </c>
      <c r="B5276" s="1" t="inlineStr">
        <is>
          <t>หมวก</t>
        </is>
      </c>
      <c r="C5276" s="1" t="inlineStr">
        <is>
          <t>gf2000106055</t>
        </is>
      </c>
      <c r="D5276" s="1" t="inlineStr">
        <is>
          <t>TITLEIST Montauk Oxford Women's Cap (Red)</t>
        </is>
      </c>
      <c r="E5276" s="1" t="inlineStr">
        <is>
          <t>TITLEIST</t>
        </is>
      </c>
      <c r="F5276" s="1" t="inlineStr">
        <is>
          <t>CAP</t>
        </is>
      </c>
      <c r="G5276" s="1" t="inlineStr">
        <is>
          <t>GF2000106055FS</t>
        </is>
      </c>
      <c r="H5276" s="1" t="n">
        <v>1</v>
      </c>
      <c r="I5276" s="1" t="inlineStr">
        <is>
          <t>หมด</t>
        </is>
      </c>
      <c r="J5276" s="13" t="n">
        <v>39</v>
      </c>
      <c r="K5276" s="1" t="inlineStr"/>
      <c r="L5276" s="13" t="n">
        <v>39</v>
      </c>
      <c r="M5276" s="1">
        <f>IF(L5276="","ไม่พบใน SG",IF(ABS(J5276-L5276)&lt;0.005,"ตรงกัน","ไม่ตรง"))</f>
        <v/>
      </c>
      <c r="N5276" s="14">
        <f>IF(L5276="","",ROUND(L5276*'สรุป'!$C$6,-1))</f>
        <v/>
      </c>
      <c r="O5276" s="15" t="n"/>
      <c r="P5276" s="15" t="n"/>
      <c r="Q5276" s="10" t="n"/>
      <c r="R5276" s="10" t="n"/>
      <c r="S5276" s="16" t="inlineStr">
        <is>
          <t>https://mstgolf.co.th/products/gf2000106055</t>
        </is>
      </c>
      <c r="T5276" s="1">
        <f>IF(B5276="ไม้กอล์ฟ",J5276,"")</f>
        <v/>
      </c>
    </row>
    <row r="5277">
      <c r="A5277" s="1" t="n">
        <v>3</v>
      </c>
      <c r="B5277" s="1" t="inlineStr">
        <is>
          <t>หมวก</t>
        </is>
      </c>
      <c r="C5277" s="1" t="inlineStr">
        <is>
          <t>gf2000200977</t>
        </is>
      </c>
      <c r="D5277" s="1" t="inlineStr">
        <is>
          <t>TITLEIST Tour Performance Men's Visor (Oly/Mar/Blue)</t>
        </is>
      </c>
      <c r="E5277" s="1" t="inlineStr">
        <is>
          <t>TITLEIST</t>
        </is>
      </c>
      <c r="F5277" s="1" t="inlineStr">
        <is>
          <t>VISOR</t>
        </is>
      </c>
      <c r="G5277" s="1" t="inlineStr">
        <is>
          <t>GF2000200977FS</t>
        </is>
      </c>
      <c r="H5277" s="1" t="n">
        <v>1</v>
      </c>
      <c r="I5277" s="1" t="inlineStr">
        <is>
          <t>หมด</t>
        </is>
      </c>
      <c r="J5277" s="13" t="n">
        <v>39</v>
      </c>
      <c r="K5277" s="1" t="inlineStr"/>
      <c r="L5277" s="13" t="n"/>
      <c r="M5277" s="1">
        <f>IF(L5277="","ไม่พบใน SG",IF(ABS(J5277-L5277)&lt;0.005,"ตรงกัน","ไม่ตรง"))</f>
        <v/>
      </c>
      <c r="N5277" s="14">
        <f>IF(L5277="","",ROUND(L5277*'สรุป'!$C$6,-1))</f>
        <v/>
      </c>
      <c r="O5277" s="15" t="n"/>
      <c r="P5277" s="15" t="n"/>
      <c r="Q5277" s="10" t="n"/>
      <c r="R5277" s="10" t="n"/>
      <c r="S5277" s="16" t="inlineStr">
        <is>
          <t>https://mstgolf.co.th/products/gf2000200977</t>
        </is>
      </c>
      <c r="T5277" s="1">
        <f>IF(B5277="ไม้กอล์ฟ",J5277,"")</f>
        <v/>
      </c>
    </row>
    <row r="5278">
      <c r="A5278" s="1" t="n">
        <v>3</v>
      </c>
      <c r="B5278" s="1" t="inlineStr">
        <is>
          <t>หมวก</t>
        </is>
      </c>
      <c r="C5278" s="1" t="inlineStr">
        <is>
          <t>gf2000105335</t>
        </is>
      </c>
      <c r="D5278" s="1" t="inlineStr">
        <is>
          <t>TITLEIST Tour Performance Women's Cap (White/Black)</t>
        </is>
      </c>
      <c r="E5278" s="1" t="inlineStr">
        <is>
          <t>TITLEIST</t>
        </is>
      </c>
      <c r="F5278" s="1" t="inlineStr">
        <is>
          <t>CAP</t>
        </is>
      </c>
      <c r="G5278" s="1" t="inlineStr">
        <is>
          <t>GF2000105335FS</t>
        </is>
      </c>
      <c r="H5278" s="1" t="n">
        <v>1</v>
      </c>
      <c r="I5278" s="1" t="inlineStr">
        <is>
          <t>หมด</t>
        </is>
      </c>
      <c r="J5278" s="13" t="n">
        <v>39</v>
      </c>
      <c r="K5278" s="1" t="inlineStr"/>
      <c r="L5278" s="13" t="n"/>
      <c r="M5278" s="1">
        <f>IF(L5278="","ไม่พบใน SG",IF(ABS(J5278-L5278)&lt;0.005,"ตรงกัน","ไม่ตรง"))</f>
        <v/>
      </c>
      <c r="N5278" s="14">
        <f>IF(L5278="","",ROUND(L5278*'สรุป'!$C$6,-1))</f>
        <v/>
      </c>
      <c r="O5278" s="15" t="n"/>
      <c r="P5278" s="15" t="n"/>
      <c r="Q5278" s="10" t="n"/>
      <c r="R5278" s="10" t="n"/>
      <c r="S5278" s="16" t="inlineStr">
        <is>
          <t>https://mstgolf.co.th/products/gf2000105335</t>
        </is>
      </c>
      <c r="T5278" s="1">
        <f>IF(B5278="ไม้กอล์ฟ",J5278,"")</f>
        <v/>
      </c>
    </row>
    <row r="5279">
      <c r="A5279" s="1" t="n">
        <v>3</v>
      </c>
      <c r="B5279" s="1" t="inlineStr">
        <is>
          <t>เสื้อผ้า</t>
        </is>
      </c>
      <c r="C5279" s="1" t="inlineStr">
        <is>
          <t>gf2040118336</t>
        </is>
      </c>
      <c r="D5279" s="1" t="inlineStr">
        <is>
          <t>UNDER ARMOUR Golf Script Wordmark Men's T-Shirt (Horizon Blue)</t>
        </is>
      </c>
      <c r="E5279" s="1" t="inlineStr">
        <is>
          <t>UNDER ARMOUR</t>
        </is>
      </c>
      <c r="F5279" s="1" t="inlineStr">
        <is>
          <t>SHORT SLEEVES</t>
        </is>
      </c>
      <c r="G5279" s="1" t="inlineStr">
        <is>
          <t>GF2040118336S</t>
        </is>
      </c>
      <c r="H5279" s="1" t="n">
        <v>5</v>
      </c>
      <c r="I5279" s="1" t="inlineStr">
        <is>
          <t>หมด</t>
        </is>
      </c>
      <c r="J5279" s="13" t="n">
        <v>39</v>
      </c>
      <c r="K5279" s="1" t="inlineStr"/>
      <c r="L5279" s="13" t="n">
        <v>29</v>
      </c>
      <c r="M5279" s="1">
        <f>IF(L5279="","ไม่พบใน SG",IF(ABS(J5279-L5279)&lt;0.005,"ตรงกัน","ไม่ตรง"))</f>
        <v/>
      </c>
      <c r="N5279" s="14">
        <f>IF(L5279="","",ROUND(L5279*'สรุป'!$C$6,-1))</f>
        <v/>
      </c>
      <c r="O5279" s="15" t="n"/>
      <c r="P5279" s="15" t="n"/>
      <c r="Q5279" s="10" t="n"/>
      <c r="R5279" s="10" t="n"/>
      <c r="S5279" s="16" t="inlineStr">
        <is>
          <t>https://mstgolf.co.th/products/gf2040118336</t>
        </is>
      </c>
      <c r="T5279" s="1">
        <f>IF(B5279="ไม้กอล์ฟ",J5279,"")</f>
        <v/>
      </c>
    </row>
    <row r="5280">
      <c r="A5280" s="1" t="n">
        <v>3</v>
      </c>
      <c r="B5280" s="1" t="inlineStr">
        <is>
          <t>เสื้อผ้า</t>
        </is>
      </c>
      <c r="C5280" s="1" t="inlineStr">
        <is>
          <t>gf2110200011</t>
        </is>
      </c>
      <c r="D5280" s="1" t="inlineStr">
        <is>
          <t>WAAC Korea UV Mask (Black)</t>
        </is>
      </c>
      <c r="E5280" s="1" t="inlineStr">
        <is>
          <t>WAAC</t>
        </is>
      </c>
      <c r="F5280" s="1" t="inlineStr">
        <is>
          <t>PROTECTION GEAR</t>
        </is>
      </c>
      <c r="G5280" s="1" t="inlineStr">
        <is>
          <t>GF2110200011M-L</t>
        </is>
      </c>
      <c r="H5280" s="1" t="n">
        <v>1</v>
      </c>
      <c r="I5280" s="1" t="inlineStr">
        <is>
          <t>หมด</t>
        </is>
      </c>
      <c r="J5280" s="13" t="n">
        <v>39</v>
      </c>
      <c r="K5280" s="1" t="inlineStr"/>
      <c r="L5280" s="13" t="n"/>
      <c r="M5280" s="1">
        <f>IF(L5280="","ไม่พบใน SG",IF(ABS(J5280-L5280)&lt;0.005,"ตรงกัน","ไม่ตรง"))</f>
        <v/>
      </c>
      <c r="N5280" s="14">
        <f>IF(L5280="","",ROUND(L5280*'สรุป'!$C$6,-1))</f>
        <v/>
      </c>
      <c r="O5280" s="15" t="n"/>
      <c r="P5280" s="15" t="n"/>
      <c r="Q5280" s="10" t="n"/>
      <c r="R5280" s="10" t="n"/>
      <c r="S5280" s="16" t="inlineStr">
        <is>
          <t>https://mstgolf.co.th/products/gf2110200011</t>
        </is>
      </c>
      <c r="T5280" s="1">
        <f>IF(B5280="ไม้กอล์ฟ",J5280,"")</f>
        <v/>
      </c>
    </row>
    <row r="5281">
      <c r="A5281" s="1" t="n">
        <v>3</v>
      </c>
      <c r="B5281" s="1" t="inlineStr">
        <is>
          <t>เสื้อผ้า</t>
        </is>
      </c>
      <c r="C5281" s="1" t="inlineStr">
        <is>
          <t>gf2040117337</t>
        </is>
      </c>
      <c r="D5281" s="1" t="inlineStr">
        <is>
          <t>UNDER ARMOUR Curry Icon Tee Men's Shirt (Black/White)</t>
        </is>
      </c>
      <c r="E5281" s="1" t="inlineStr">
        <is>
          <t>UNDER ARMOUR</t>
        </is>
      </c>
      <c r="F5281" s="1" t="inlineStr">
        <is>
          <t>SHORT SLEEVES</t>
        </is>
      </c>
      <c r="G5281" s="1" t="inlineStr">
        <is>
          <t>GF2040117337S</t>
        </is>
      </c>
      <c r="H5281" s="1" t="n">
        <v>5</v>
      </c>
      <c r="I5281" s="1" t="inlineStr">
        <is>
          <t>หมด</t>
        </is>
      </c>
      <c r="J5281" s="13" t="n">
        <v>37</v>
      </c>
      <c r="K5281" s="1" t="inlineStr"/>
      <c r="L5281" s="13" t="n">
        <v>37</v>
      </c>
      <c r="M5281" s="1">
        <f>IF(L5281="","ไม่พบใน SG",IF(ABS(J5281-L5281)&lt;0.005,"ตรงกัน","ไม่ตรง"))</f>
        <v/>
      </c>
      <c r="N5281" s="14">
        <f>IF(L5281="","",ROUND(L5281*'สรุป'!$C$6,-1))</f>
        <v/>
      </c>
      <c r="O5281" s="15" t="n"/>
      <c r="P5281" s="15" t="n"/>
      <c r="Q5281" s="10" t="n"/>
      <c r="R5281" s="10" t="n"/>
      <c r="S5281" s="16" t="inlineStr">
        <is>
          <t>https://mstgolf.co.th/products/gf2040117337</t>
        </is>
      </c>
      <c r="T5281" s="1">
        <f>IF(B5281="ไม้กอล์ฟ",J5281,"")</f>
        <v/>
      </c>
    </row>
    <row r="5282">
      <c r="A5282" s="1" t="n">
        <v>3</v>
      </c>
      <c r="B5282" s="1" t="inlineStr">
        <is>
          <t>เสื้อผ้า</t>
        </is>
      </c>
      <c r="C5282" s="1" t="inlineStr">
        <is>
          <t>gf2040118337</t>
        </is>
      </c>
      <c r="D5282" s="1" t="inlineStr">
        <is>
          <t>UNDER ARMOUR Golf Goin' Under Men's T-Shirt (Black)</t>
        </is>
      </c>
      <c r="E5282" s="1" t="inlineStr">
        <is>
          <t>UNDER ARMOUR</t>
        </is>
      </c>
      <c r="F5282" s="1" t="inlineStr">
        <is>
          <t>SHORT SLEEVES</t>
        </is>
      </c>
      <c r="G5282" s="1" t="inlineStr">
        <is>
          <t>GF2040118337S</t>
        </is>
      </c>
      <c r="H5282" s="1" t="n">
        <v>5</v>
      </c>
      <c r="I5282" s="1" t="inlineStr">
        <is>
          <t>หมด</t>
        </is>
      </c>
      <c r="J5282" s="13" t="n">
        <v>37</v>
      </c>
      <c r="K5282" s="1" t="inlineStr"/>
      <c r="L5282" s="13" t="n"/>
      <c r="M5282" s="1">
        <f>IF(L5282="","ไม่พบใน SG",IF(ABS(J5282-L5282)&lt;0.005,"ตรงกัน","ไม่ตรง"))</f>
        <v/>
      </c>
      <c r="N5282" s="14">
        <f>IF(L5282="","",ROUND(L5282*'สรุป'!$C$6,-1))</f>
        <v/>
      </c>
      <c r="O5282" s="15" t="n"/>
      <c r="P5282" s="15" t="n"/>
      <c r="Q5282" s="10" t="n"/>
      <c r="R5282" s="10" t="n"/>
      <c r="S5282" s="16" t="inlineStr">
        <is>
          <t>https://mstgolf.co.th/products/gf2040118337</t>
        </is>
      </c>
      <c r="T5282" s="1">
        <f>IF(B5282="ไม้กอล์ฟ",J5282,"")</f>
        <v/>
      </c>
    </row>
    <row r="5283">
      <c r="A5283" s="1" t="n">
        <v>3</v>
      </c>
      <c r="B5283" s="1" t="inlineStr">
        <is>
          <t>เสื้อผ้า</t>
        </is>
      </c>
      <c r="C5283" s="1" t="inlineStr">
        <is>
          <t>gf2040118338</t>
        </is>
      </c>
      <c r="D5283" s="1" t="inlineStr">
        <is>
          <t>UNDER ARMOUR Golf Goin' Under Men's T-Shirt (Forest Green)</t>
        </is>
      </c>
      <c r="E5283" s="1" t="inlineStr">
        <is>
          <t>UNDER ARMOUR</t>
        </is>
      </c>
      <c r="F5283" s="1" t="inlineStr">
        <is>
          <t>SHORT SLEEVES</t>
        </is>
      </c>
      <c r="G5283" s="1" t="inlineStr">
        <is>
          <t>GF2040118338S</t>
        </is>
      </c>
      <c r="H5283" s="1" t="n">
        <v>5</v>
      </c>
      <c r="I5283" s="1" t="inlineStr">
        <is>
          <t>หมด</t>
        </is>
      </c>
      <c r="J5283" s="13" t="n">
        <v>37</v>
      </c>
      <c r="K5283" s="1" t="inlineStr"/>
      <c r="L5283" s="13" t="n"/>
      <c r="M5283" s="1">
        <f>IF(L5283="","ไม่พบใน SG",IF(ABS(J5283-L5283)&lt;0.005,"ตรงกัน","ไม่ตรง"))</f>
        <v/>
      </c>
      <c r="N5283" s="14">
        <f>IF(L5283="","",ROUND(L5283*'สรุป'!$C$6,-1))</f>
        <v/>
      </c>
      <c r="O5283" s="15" t="n"/>
      <c r="P5283" s="15" t="n"/>
      <c r="Q5283" s="10" t="n"/>
      <c r="R5283" s="10" t="n"/>
      <c r="S5283" s="16" t="inlineStr">
        <is>
          <t>https://mstgolf.co.th/products/gf2040118338</t>
        </is>
      </c>
      <c r="T5283" s="1">
        <f>IF(B5283="ไม้กอล์ฟ",J5283,"")</f>
        <v/>
      </c>
    </row>
    <row r="5284">
      <c r="A5284" s="1" t="n">
        <v>3</v>
      </c>
      <c r="B5284" s="1" t="inlineStr">
        <is>
          <t>เสื้อผ้า</t>
        </is>
      </c>
      <c r="C5284" s="1" t="inlineStr">
        <is>
          <t>gf2040119189</t>
        </is>
      </c>
      <c r="D5284" s="1" t="inlineStr">
        <is>
          <t>UNDER ARMOUR Matchplay Boy's Printed Polo (Midnight Navy)</t>
        </is>
      </c>
      <c r="E5284" s="1" t="inlineStr">
        <is>
          <t>UNDER ARMOUR</t>
        </is>
      </c>
      <c r="F5284" s="1" t="inlineStr">
        <is>
          <t>SHORT SLEEVES</t>
        </is>
      </c>
      <c r="G5284" s="1" t="inlineStr">
        <is>
          <t>GF2040119189XS</t>
        </is>
      </c>
      <c r="H5284" s="1" t="n">
        <v>5</v>
      </c>
      <c r="I5284" s="1" t="inlineStr">
        <is>
          <t>หมด</t>
        </is>
      </c>
      <c r="J5284" s="13" t="n">
        <v>37</v>
      </c>
      <c r="K5284" s="1" t="inlineStr"/>
      <c r="L5284" s="13" t="n"/>
      <c r="M5284" s="1">
        <f>IF(L5284="","ไม่พบใน SG",IF(ABS(J5284-L5284)&lt;0.005,"ตรงกัน","ไม่ตรง"))</f>
        <v/>
      </c>
      <c r="N5284" s="14">
        <f>IF(L5284="","",ROUND(L5284*'สรุป'!$C$6,-1))</f>
        <v/>
      </c>
      <c r="O5284" s="15" t="n"/>
      <c r="P5284" s="15" t="n"/>
      <c r="Q5284" s="10" t="n"/>
      <c r="R5284" s="10" t="n"/>
      <c r="S5284" s="16" t="inlineStr">
        <is>
          <t>https://mstgolf.co.th/products/gf2040119189</t>
        </is>
      </c>
      <c r="T5284" s="1">
        <f>IF(B5284="ไม้กอล์ฟ",J5284,"")</f>
        <v/>
      </c>
    </row>
    <row r="5285">
      <c r="A5285" s="1" t="n">
        <v>3</v>
      </c>
      <c r="B5285" s="1" t="inlineStr">
        <is>
          <t>อุปกรณ์เสริม</t>
        </is>
      </c>
      <c r="C5285" s="1" t="inlineStr">
        <is>
          <t>gf3500300897</t>
        </is>
      </c>
      <c r="D5285" s="1" t="inlineStr">
        <is>
          <t>TAYLORMADE Pouch With Holder (White/Turquoise)</t>
        </is>
      </c>
      <c r="E5285" s="1" t="inlineStr">
        <is>
          <t>TAYLORMADE</t>
        </is>
      </c>
      <c r="F5285" s="1" t="inlineStr">
        <is>
          <t>GOLF ACCESSORIES</t>
        </is>
      </c>
      <c r="G5285" s="1" t="inlineStr">
        <is>
          <t>GF3500300897</t>
        </is>
      </c>
      <c r="H5285" s="1" t="n">
        <v>1</v>
      </c>
      <c r="I5285" s="1" t="inlineStr">
        <is>
          <t>หมด</t>
        </is>
      </c>
      <c r="J5285" s="13" t="n">
        <v>36</v>
      </c>
      <c r="K5285" s="1" t="inlineStr"/>
      <c r="L5285" s="13" t="n">
        <v>36</v>
      </c>
      <c r="M5285" s="1">
        <f>IF(L5285="","ไม่พบใน SG",IF(ABS(J5285-L5285)&lt;0.005,"ตรงกัน","ไม่ตรง"))</f>
        <v/>
      </c>
      <c r="N5285" s="14">
        <f>IF(L5285="","",ROUND(L5285*'สรุป'!$C$6,-1))</f>
        <v/>
      </c>
      <c r="O5285" s="15" t="n"/>
      <c r="P5285" s="15" t="n"/>
      <c r="Q5285" s="10" t="n"/>
      <c r="R5285" s="10" t="n"/>
      <c r="S5285" s="16" t="inlineStr">
        <is>
          <t>https://mstgolf.co.th/products/gf3500300897</t>
        </is>
      </c>
      <c r="T5285" s="1">
        <f>IF(B5285="ไม้กอล์ฟ",J5285,"")</f>
        <v/>
      </c>
    </row>
    <row r="5286">
      <c r="A5286" s="1" t="n">
        <v>3</v>
      </c>
      <c r="B5286" s="1" t="inlineStr">
        <is>
          <t>หมวก</t>
        </is>
      </c>
      <c r="C5286" s="1" t="inlineStr">
        <is>
          <t>gf2000105612</t>
        </is>
      </c>
      <c r="D5286" s="1" t="inlineStr">
        <is>
          <t>UNDER ARMOUR Curry Golf Men's Snapback (Maroon/Black)</t>
        </is>
      </c>
      <c r="E5286" s="1" t="inlineStr">
        <is>
          <t>UNDER ARMOUR</t>
        </is>
      </c>
      <c r="F5286" s="1" t="inlineStr">
        <is>
          <t>CAP</t>
        </is>
      </c>
      <c r="G5286" s="1" t="inlineStr">
        <is>
          <t>GF2000105612FS</t>
        </is>
      </c>
      <c r="H5286" s="1" t="n">
        <v>1</v>
      </c>
      <c r="I5286" s="1" t="inlineStr">
        <is>
          <t>หมด</t>
        </is>
      </c>
      <c r="J5286" s="13" t="n">
        <v>36</v>
      </c>
      <c r="K5286" s="1" t="inlineStr"/>
      <c r="L5286" s="13" t="n"/>
      <c r="M5286" s="1">
        <f>IF(L5286="","ไม่พบใน SG",IF(ABS(J5286-L5286)&lt;0.005,"ตรงกัน","ไม่ตรง"))</f>
        <v/>
      </c>
      <c r="N5286" s="14">
        <f>IF(L5286="","",ROUND(L5286*'สรุป'!$C$6,-1))</f>
        <v/>
      </c>
      <c r="O5286" s="15" t="n"/>
      <c r="P5286" s="15" t="n"/>
      <c r="Q5286" s="10" t="n"/>
      <c r="R5286" s="10" t="n"/>
      <c r="S5286" s="16" t="inlineStr">
        <is>
          <t>https://mstgolf.co.th/products/gf2000105612</t>
        </is>
      </c>
      <c r="T5286" s="1">
        <f>IF(B5286="ไม้กอล์ฟ",J5286,"")</f>
        <v/>
      </c>
    </row>
    <row r="5287">
      <c r="A5287" s="1" t="n">
        <v>3</v>
      </c>
      <c r="B5287" s="1" t="inlineStr">
        <is>
          <t>อุปกรณ์เสริม</t>
        </is>
      </c>
      <c r="C5287" s="1" t="inlineStr">
        <is>
          <t>gf2080101180</t>
        </is>
      </c>
      <c r="D5287" s="1" t="inlineStr">
        <is>
          <t>UNDER ARMOUR Novelty Men's Belt (Black)</t>
        </is>
      </c>
      <c r="E5287" s="1" t="inlineStr">
        <is>
          <t>UNDER ARMOUR</t>
        </is>
      </c>
      <c r="F5287" s="1" t="inlineStr">
        <is>
          <t>BELT</t>
        </is>
      </c>
      <c r="G5287" s="1" t="inlineStr">
        <is>
          <t>GF208010118030</t>
        </is>
      </c>
      <c r="H5287" s="1" t="n">
        <v>6</v>
      </c>
      <c r="I5287" s="1" t="inlineStr">
        <is>
          <t>หมด</t>
        </is>
      </c>
      <c r="J5287" s="13" t="n">
        <v>36</v>
      </c>
      <c r="K5287" s="1" t="inlineStr"/>
      <c r="L5287" s="13" t="n"/>
      <c r="M5287" s="1">
        <f>IF(L5287="","ไม่พบใน SG",IF(ABS(J5287-L5287)&lt;0.005,"ตรงกัน","ไม่ตรง"))</f>
        <v/>
      </c>
      <c r="N5287" s="14">
        <f>IF(L5287="","",ROUND(L5287*'สรุป'!$C$6,-1))</f>
        <v/>
      </c>
      <c r="O5287" s="15" t="n"/>
      <c r="P5287" s="15" t="n"/>
      <c r="Q5287" s="10" t="n"/>
      <c r="R5287" s="10" t="n"/>
      <c r="S5287" s="16" t="inlineStr">
        <is>
          <t>https://mstgolf.co.th/products/gf2080101180</t>
        </is>
      </c>
      <c r="T5287" s="1">
        <f>IF(B5287="ไม้กอล์ฟ",J5287,"")</f>
        <v/>
      </c>
    </row>
    <row r="5288">
      <c r="A5288" s="1" t="n">
        <v>3</v>
      </c>
      <c r="B5288" s="1" t="inlineStr">
        <is>
          <t>เสื้อผ้า</t>
        </is>
      </c>
      <c r="C5288" s="1" t="inlineStr">
        <is>
          <t>gf2040116433</t>
        </is>
      </c>
      <c r="D5288" s="1" t="inlineStr">
        <is>
          <t>ADIDAS Big Boss Men's Mock Shirt (White)</t>
        </is>
      </c>
      <c r="E5288" s="1" t="inlineStr">
        <is>
          <t>ADIDAS</t>
        </is>
      </c>
      <c r="F5288" s="1" t="inlineStr">
        <is>
          <t>SHORT SLEEVES</t>
        </is>
      </c>
      <c r="G5288" s="1" t="inlineStr">
        <is>
          <t>GF2040116433XS</t>
        </is>
      </c>
      <c r="H5288" s="1" t="n">
        <v>7</v>
      </c>
      <c r="I5288" s="1" t="inlineStr">
        <is>
          <t>หมด</t>
        </is>
      </c>
      <c r="J5288" s="13" t="n">
        <v>35</v>
      </c>
      <c r="K5288" s="1" t="inlineStr"/>
      <c r="L5288" s="13" t="n">
        <v>35</v>
      </c>
      <c r="M5288" s="1">
        <f>IF(L5288="","ไม่พบใน SG",IF(ABS(J5288-L5288)&lt;0.005,"ตรงกัน","ไม่ตรง"))</f>
        <v/>
      </c>
      <c r="N5288" s="14">
        <f>IF(L5288="","",ROUND(L5288*'สรุป'!$C$6,-1))</f>
        <v/>
      </c>
      <c r="O5288" s="15" t="n"/>
      <c r="P5288" s="15" t="n"/>
      <c r="Q5288" s="10" t="n"/>
      <c r="R5288" s="10" t="n"/>
      <c r="S5288" s="16" t="inlineStr">
        <is>
          <t>https://mstgolf.co.th/products/gf2040116433</t>
        </is>
      </c>
      <c r="T5288" s="1">
        <f>IF(B5288="ไม้กอล์ฟ",J5288,"")</f>
        <v/>
      </c>
    </row>
    <row r="5289">
      <c r="A5289" s="1" t="n">
        <v>3</v>
      </c>
      <c r="B5289" s="1" t="inlineStr">
        <is>
          <t>หมวก</t>
        </is>
      </c>
      <c r="C5289" s="1" t="inlineStr">
        <is>
          <t>gf2000300517</t>
        </is>
      </c>
      <c r="D5289" s="1" t="inlineStr">
        <is>
          <t>ADIDAS Women's Wide Brim Cap (Black)</t>
        </is>
      </c>
      <c r="E5289" s="1" t="inlineStr">
        <is>
          <t>ADIDAS</t>
        </is>
      </c>
      <c r="F5289" s="1" t="inlineStr">
        <is>
          <t>HAT</t>
        </is>
      </c>
      <c r="G5289" s="1" t="inlineStr">
        <is>
          <t>GF2000300517FS</t>
        </is>
      </c>
      <c r="H5289" s="1" t="n">
        <v>1</v>
      </c>
      <c r="I5289" s="1" t="inlineStr">
        <is>
          <t>หมด</t>
        </is>
      </c>
      <c r="J5289" s="13" t="n">
        <v>35</v>
      </c>
      <c r="K5289" s="1" t="inlineStr"/>
      <c r="L5289" s="13" t="n">
        <v>35</v>
      </c>
      <c r="M5289" s="1">
        <f>IF(L5289="","ไม่พบใน SG",IF(ABS(J5289-L5289)&lt;0.005,"ตรงกัน","ไม่ตรง"))</f>
        <v/>
      </c>
      <c r="N5289" s="14">
        <f>IF(L5289="","",ROUND(L5289*'สรุป'!$C$6,-1))</f>
        <v/>
      </c>
      <c r="O5289" s="15" t="n"/>
      <c r="P5289" s="15" t="n"/>
      <c r="Q5289" s="10" t="n"/>
      <c r="R5289" s="10" t="n"/>
      <c r="S5289" s="16" t="inlineStr">
        <is>
          <t>https://mstgolf.co.th/products/gf2000300517</t>
        </is>
      </c>
      <c r="T5289" s="1">
        <f>IF(B5289="ไม้กอล์ฟ",J5289,"")</f>
        <v/>
      </c>
    </row>
    <row r="5290">
      <c r="A5290" s="1" t="n">
        <v>3</v>
      </c>
      <c r="B5290" s="1" t="inlineStr">
        <is>
          <t>หมวก</t>
        </is>
      </c>
      <c r="C5290" s="1" t="inlineStr">
        <is>
          <t>gf2000300516</t>
        </is>
      </c>
      <c r="D5290" s="1" t="inlineStr">
        <is>
          <t>ADIDAS Women's Wide Brim Cap (White)</t>
        </is>
      </c>
      <c r="E5290" s="1" t="inlineStr">
        <is>
          <t>ADIDAS</t>
        </is>
      </c>
      <c r="F5290" s="1" t="inlineStr">
        <is>
          <t>HAT</t>
        </is>
      </c>
      <c r="G5290" s="1" t="inlineStr">
        <is>
          <t>GF2000300516FS</t>
        </is>
      </c>
      <c r="H5290" s="1" t="n">
        <v>1</v>
      </c>
      <c r="I5290" s="1" t="inlineStr">
        <is>
          <t>หมด</t>
        </is>
      </c>
      <c r="J5290" s="13" t="n">
        <v>35</v>
      </c>
      <c r="K5290" s="1" t="inlineStr"/>
      <c r="L5290" s="13" t="n">
        <v>35</v>
      </c>
      <c r="M5290" s="1">
        <f>IF(L5290="","ไม่พบใน SG",IF(ABS(J5290-L5290)&lt;0.005,"ตรงกัน","ไม่ตรง"))</f>
        <v/>
      </c>
      <c r="N5290" s="14">
        <f>IF(L5290="","",ROUND(L5290*'สรุป'!$C$6,-1))</f>
        <v/>
      </c>
      <c r="O5290" s="15" t="n"/>
      <c r="P5290" s="15" t="n"/>
      <c r="Q5290" s="10" t="n"/>
      <c r="R5290" s="10" t="n"/>
      <c r="S5290" s="16" t="inlineStr">
        <is>
          <t>https://mstgolf.co.th/products/gf2000300516</t>
        </is>
      </c>
      <c r="T5290" s="1">
        <f>IF(B5290="ไม้กอล์ฟ",J5290,"")</f>
        <v/>
      </c>
    </row>
    <row r="5291">
      <c r="A5291" s="1" t="n">
        <v>3</v>
      </c>
      <c r="B5291" s="1" t="inlineStr">
        <is>
          <t>เสื้อผ้า</t>
        </is>
      </c>
      <c r="C5291" s="1" t="inlineStr">
        <is>
          <t>gf2090700094</t>
        </is>
      </c>
      <c r="D5291" s="1" t="inlineStr">
        <is>
          <t>BOSS GOLF Cooling Mesh Women's Knee Socks (Almond Milk)</t>
        </is>
      </c>
      <c r="E5291" s="1" t="inlineStr">
        <is>
          <t>BOSS GOLF</t>
        </is>
      </c>
      <c r="F5291" s="1" t="inlineStr">
        <is>
          <t>KNEE</t>
        </is>
      </c>
      <c r="G5291" s="1" t="inlineStr">
        <is>
          <t>GF2090700094FS</t>
        </is>
      </c>
      <c r="H5291" s="1" t="n">
        <v>1</v>
      </c>
      <c r="I5291" s="1" t="inlineStr">
        <is>
          <t>หมด</t>
        </is>
      </c>
      <c r="J5291" s="13" t="n">
        <v>35</v>
      </c>
      <c r="K5291" s="1" t="inlineStr"/>
      <c r="L5291" s="13" t="n"/>
      <c r="M5291" s="1">
        <f>IF(L5291="","ไม่พบใน SG",IF(ABS(J5291-L5291)&lt;0.005,"ตรงกัน","ไม่ตรง"))</f>
        <v/>
      </c>
      <c r="N5291" s="14">
        <f>IF(L5291="","",ROUND(L5291*'สรุป'!$C$6,-1))</f>
        <v/>
      </c>
      <c r="O5291" s="15" t="n"/>
      <c r="P5291" s="15" t="n"/>
      <c r="Q5291" s="10" t="n"/>
      <c r="R5291" s="10" t="n"/>
      <c r="S5291" s="16" t="inlineStr">
        <is>
          <t>https://mstgolf.co.th/products/gf2090700094</t>
        </is>
      </c>
      <c r="T5291" s="1">
        <f>IF(B5291="ไม้กอล์ฟ",J5291,"")</f>
        <v/>
      </c>
    </row>
    <row r="5292">
      <c r="A5292" s="1" t="n">
        <v>3</v>
      </c>
      <c r="B5292" s="1" t="inlineStr">
        <is>
          <t>เสื้อผ้า</t>
        </is>
      </c>
      <c r="C5292" s="1" t="inlineStr">
        <is>
          <t>gf2040116384</t>
        </is>
      </c>
      <c r="D5292" s="1" t="inlineStr">
        <is>
          <t>CUTTER &amp; BUCK Forge Eco Recycle Men's Polo (Polished)</t>
        </is>
      </c>
      <c r="E5292" s="1" t="inlineStr">
        <is>
          <t>CUTTER &amp; BUCK</t>
        </is>
      </c>
      <c r="F5292" s="1" t="inlineStr">
        <is>
          <t>SHORT SLEEVES</t>
        </is>
      </c>
      <c r="G5292" s="1" t="inlineStr">
        <is>
          <t>GF2040116384S</t>
        </is>
      </c>
      <c r="H5292" s="1" t="n">
        <v>5</v>
      </c>
      <c r="I5292" s="1" t="inlineStr">
        <is>
          <t>หมด</t>
        </is>
      </c>
      <c r="J5292" s="13" t="n">
        <v>35</v>
      </c>
      <c r="K5292" s="1" t="inlineStr"/>
      <c r="L5292" s="13" t="n"/>
      <c r="M5292" s="1">
        <f>IF(L5292="","ไม่พบใน SG",IF(ABS(J5292-L5292)&lt;0.005,"ตรงกัน","ไม่ตรง"))</f>
        <v/>
      </c>
      <c r="N5292" s="14">
        <f>IF(L5292="","",ROUND(L5292*'สรุป'!$C$6,-1))</f>
        <v/>
      </c>
      <c r="O5292" s="15" t="n"/>
      <c r="P5292" s="15" t="n"/>
      <c r="Q5292" s="10" t="n"/>
      <c r="R5292" s="10" t="n"/>
      <c r="S5292" s="16" t="inlineStr">
        <is>
          <t>https://mstgolf.co.th/products/gf2040116384</t>
        </is>
      </c>
      <c r="T5292" s="1">
        <f>IF(B5292="ไม้กอล์ฟ",J5292,"")</f>
        <v/>
      </c>
    </row>
    <row r="5293">
      <c r="A5293" s="1" t="n">
        <v>3</v>
      </c>
      <c r="B5293" s="1" t="inlineStr">
        <is>
          <t>เสื้อผ้า</t>
        </is>
      </c>
      <c r="C5293" s="1" t="inlineStr">
        <is>
          <t>gf2040112843</t>
        </is>
      </c>
      <c r="D5293" s="1" t="inlineStr">
        <is>
          <t>CUTTER &amp; BUCK Virtue Ecopique Women's Polo (Black)</t>
        </is>
      </c>
      <c r="E5293" s="1" t="inlineStr">
        <is>
          <t>CUTTER &amp; BUCK</t>
        </is>
      </c>
      <c r="F5293" s="1" t="inlineStr">
        <is>
          <t>SHORT SLEEVES</t>
        </is>
      </c>
      <c r="G5293" s="1" t="inlineStr">
        <is>
          <t>GF2040112843XS</t>
        </is>
      </c>
      <c r="H5293" s="1" t="n">
        <v>6</v>
      </c>
      <c r="I5293" s="1" t="inlineStr">
        <is>
          <t>หมด</t>
        </is>
      </c>
      <c r="J5293" s="13" t="n">
        <v>35</v>
      </c>
      <c r="K5293" s="1" t="inlineStr"/>
      <c r="L5293" s="13" t="n"/>
      <c r="M5293" s="1">
        <f>IF(L5293="","ไม่พบใน SG",IF(ABS(J5293-L5293)&lt;0.005,"ตรงกัน","ไม่ตรง"))</f>
        <v/>
      </c>
      <c r="N5293" s="14">
        <f>IF(L5293="","",ROUND(L5293*'สรุป'!$C$6,-1))</f>
        <v/>
      </c>
      <c r="O5293" s="15" t="n"/>
      <c r="P5293" s="15" t="n"/>
      <c r="Q5293" s="10" t="n"/>
      <c r="R5293" s="10" t="n"/>
      <c r="S5293" s="16" t="inlineStr">
        <is>
          <t>https://mstgolf.co.th/products/gf2040112843</t>
        </is>
      </c>
      <c r="T5293" s="1">
        <f>IF(B5293="ไม้กอล์ฟ",J5293,"")</f>
        <v/>
      </c>
    </row>
    <row r="5294">
      <c r="A5294" s="1" t="n">
        <v>3</v>
      </c>
      <c r="B5294" s="1" t="inlineStr">
        <is>
          <t>อุปกรณ์เสริม</t>
        </is>
      </c>
      <c r="C5294" s="1" t="inlineStr">
        <is>
          <t>gf3500300423</t>
        </is>
      </c>
      <c r="D5294" s="1" t="inlineStr">
        <is>
          <t>GENERAL ITEM PARAGON RAIN COVER</t>
        </is>
      </c>
      <c r="E5294" s="1" t="inlineStr">
        <is>
          <t>GENERAL ITEM</t>
        </is>
      </c>
      <c r="F5294" s="1" t="inlineStr">
        <is>
          <t>GOLF ACCESSORIES</t>
        </is>
      </c>
      <c r="G5294" s="1" t="inlineStr">
        <is>
          <t>GF3500300423</t>
        </is>
      </c>
      <c r="H5294" s="1" t="n">
        <v>1</v>
      </c>
      <c r="I5294" s="1" t="inlineStr">
        <is>
          <t>หมด</t>
        </is>
      </c>
      <c r="J5294" s="13" t="n">
        <v>35</v>
      </c>
      <c r="K5294" s="1" t="inlineStr"/>
      <c r="L5294" s="13" t="n">
        <v>35</v>
      </c>
      <c r="M5294" s="1">
        <f>IF(L5294="","ไม่พบใน SG",IF(ABS(J5294-L5294)&lt;0.005,"ตรงกัน","ไม่ตรง"))</f>
        <v/>
      </c>
      <c r="N5294" s="14">
        <f>IF(L5294="","",ROUND(L5294*'สรุป'!$C$6,-1))</f>
        <v/>
      </c>
      <c r="O5294" s="15" t="n"/>
      <c r="P5294" s="15" t="n"/>
      <c r="Q5294" s="10" t="n"/>
      <c r="R5294" s="10" t="n"/>
      <c r="S5294" s="16" t="inlineStr">
        <is>
          <t>https://mstgolf.co.th/products/gf3500300423</t>
        </is>
      </c>
      <c r="T5294" s="1">
        <f>IF(B5294="ไม้กอล์ฟ",J5294,"")</f>
        <v/>
      </c>
    </row>
    <row r="5295">
      <c r="A5295" s="1" t="n">
        <v>3</v>
      </c>
      <c r="B5295" s="1" t="inlineStr">
        <is>
          <t>หมวก</t>
        </is>
      </c>
      <c r="C5295" s="1" t="inlineStr">
        <is>
          <t>gf2000105039</t>
        </is>
      </c>
      <c r="D5295" s="1" t="inlineStr">
        <is>
          <t>GFORE Killer T's Snapback Men's Cap (White)</t>
        </is>
      </c>
      <c r="E5295" s="1" t="inlineStr">
        <is>
          <t>GFORE</t>
        </is>
      </c>
      <c r="F5295" s="1" t="inlineStr">
        <is>
          <t>CAP</t>
        </is>
      </c>
      <c r="G5295" s="1" t="inlineStr">
        <is>
          <t>GF2000105039FS</t>
        </is>
      </c>
      <c r="H5295" s="1" t="n">
        <v>1</v>
      </c>
      <c r="I5295" s="1" t="inlineStr">
        <is>
          <t>หมด</t>
        </is>
      </c>
      <c r="J5295" s="13" t="n">
        <v>35</v>
      </c>
      <c r="K5295" s="1" t="inlineStr"/>
      <c r="L5295" s="13" t="n">
        <v>35</v>
      </c>
      <c r="M5295" s="1">
        <f>IF(L5295="","ไม่พบใน SG",IF(ABS(J5295-L5295)&lt;0.005,"ตรงกัน","ไม่ตรง"))</f>
        <v/>
      </c>
      <c r="N5295" s="14">
        <f>IF(L5295="","",ROUND(L5295*'สรุป'!$C$6,-1))</f>
        <v/>
      </c>
      <c r="O5295" s="15" t="n"/>
      <c r="P5295" s="15" t="n"/>
      <c r="Q5295" s="10" t="n"/>
      <c r="R5295" s="10" t="n"/>
      <c r="S5295" s="16" t="inlineStr">
        <is>
          <t>https://mstgolf.co.th/products/gf2000105039</t>
        </is>
      </c>
      <c r="T5295" s="1">
        <f>IF(B5295="ไม้กอล์ฟ",J5295,"")</f>
        <v/>
      </c>
    </row>
    <row r="5296">
      <c r="A5296" s="1" t="n">
        <v>3</v>
      </c>
      <c r="B5296" s="1" t="inlineStr">
        <is>
          <t>อุปกรณ์เสริม</t>
        </is>
      </c>
      <c r="C5296" s="1" t="inlineStr">
        <is>
          <t>gf3500200818</t>
        </is>
      </c>
      <c r="D5296" s="1" t="inlineStr">
        <is>
          <t>I-COVER Trendy Rubber Driver Headcover (Orange)</t>
        </is>
      </c>
      <c r="E5296" s="1" t="inlineStr">
        <is>
          <t>I-COVER</t>
        </is>
      </c>
      <c r="F5296" s="1" t="inlineStr">
        <is>
          <t>HEADCOVERS</t>
        </is>
      </c>
      <c r="G5296" s="1" t="inlineStr">
        <is>
          <t>GF3500200818</t>
        </is>
      </c>
      <c r="H5296" s="1" t="n">
        <v>1</v>
      </c>
      <c r="I5296" s="1" t="inlineStr">
        <is>
          <t>หมด</t>
        </is>
      </c>
      <c r="J5296" s="13" t="n">
        <v>35</v>
      </c>
      <c r="K5296" s="1" t="inlineStr"/>
      <c r="L5296" s="13" t="n">
        <v>35</v>
      </c>
      <c r="M5296" s="1">
        <f>IF(L5296="","ไม่พบใน SG",IF(ABS(J5296-L5296)&lt;0.005,"ตรงกัน","ไม่ตรง"))</f>
        <v/>
      </c>
      <c r="N5296" s="14">
        <f>IF(L5296="","",ROUND(L5296*'สรุป'!$C$6,-1))</f>
        <v/>
      </c>
      <c r="O5296" s="15" t="n"/>
      <c r="P5296" s="15" t="n"/>
      <c r="Q5296" s="10" t="n"/>
      <c r="R5296" s="10" t="n"/>
      <c r="S5296" s="16" t="inlineStr">
        <is>
          <t>https://mstgolf.co.th/products/gf3500200818</t>
        </is>
      </c>
      <c r="T5296" s="1">
        <f>IF(B5296="ไม้กอล์ฟ",J5296,"")</f>
        <v/>
      </c>
    </row>
    <row r="5297">
      <c r="A5297" s="1" t="n">
        <v>3</v>
      </c>
      <c r="B5297" s="1" t="inlineStr">
        <is>
          <t>อุปกรณ์เสริม</t>
        </is>
      </c>
      <c r="C5297" s="1" t="inlineStr">
        <is>
          <t>gf3500200815</t>
        </is>
      </c>
      <c r="D5297" s="1" t="inlineStr">
        <is>
          <t>I-COVER Trendy Rubber Driver Headcover (Yellow)</t>
        </is>
      </c>
      <c r="E5297" s="1" t="inlineStr">
        <is>
          <t>I-COVER</t>
        </is>
      </c>
      <c r="F5297" s="1" t="inlineStr">
        <is>
          <t>HEADCOVERS</t>
        </is>
      </c>
      <c r="G5297" s="1" t="inlineStr">
        <is>
          <t>GF3500200815</t>
        </is>
      </c>
      <c r="H5297" s="1" t="n">
        <v>1</v>
      </c>
      <c r="I5297" s="1" t="inlineStr">
        <is>
          <t>หมด</t>
        </is>
      </c>
      <c r="J5297" s="13" t="n">
        <v>35</v>
      </c>
      <c r="K5297" s="1" t="inlineStr"/>
      <c r="L5297" s="13" t="n">
        <v>35</v>
      </c>
      <c r="M5297" s="1">
        <f>IF(L5297="","ไม่พบใน SG",IF(ABS(J5297-L5297)&lt;0.005,"ตรงกัน","ไม่ตรง"))</f>
        <v/>
      </c>
      <c r="N5297" s="14">
        <f>IF(L5297="","",ROUND(L5297*'สรุป'!$C$6,-1))</f>
        <v/>
      </c>
      <c r="O5297" s="15" t="n"/>
      <c r="P5297" s="15" t="n"/>
      <c r="Q5297" s="10" t="n"/>
      <c r="R5297" s="10" t="n"/>
      <c r="S5297" s="16" t="inlineStr">
        <is>
          <t>https://mstgolf.co.th/products/gf3500200815</t>
        </is>
      </c>
      <c r="T5297" s="1">
        <f>IF(B5297="ไม้กอล์ฟ",J5297,"")</f>
        <v/>
      </c>
    </row>
    <row r="5298">
      <c r="A5298" s="1" t="n">
        <v>3</v>
      </c>
      <c r="B5298" s="1" t="inlineStr">
        <is>
          <t>หมวก</t>
        </is>
      </c>
      <c r="C5298" s="1" t="inlineStr">
        <is>
          <t>gf2000105603</t>
        </is>
      </c>
      <c r="D5298" s="1" t="inlineStr">
        <is>
          <t>NIKE Tiger Woods Structured Dri-FIT ADV Men's Cap (Red/White)</t>
        </is>
      </c>
      <c r="E5298" s="1" t="inlineStr">
        <is>
          <t>NIKE</t>
        </is>
      </c>
      <c r="F5298" s="1" t="inlineStr">
        <is>
          <t>CAP</t>
        </is>
      </c>
      <c r="G5298" s="1" t="inlineStr">
        <is>
          <t>GF2000105603FS</t>
        </is>
      </c>
      <c r="H5298" s="1" t="n">
        <v>4</v>
      </c>
      <c r="I5298" s="1" t="inlineStr">
        <is>
          <t>หมด</t>
        </is>
      </c>
      <c r="J5298" s="13" t="n">
        <v>35</v>
      </c>
      <c r="K5298" s="1" t="inlineStr"/>
      <c r="L5298" s="13" t="n">
        <v>35</v>
      </c>
      <c r="M5298" s="1">
        <f>IF(L5298="","ไม่พบใน SG",IF(ABS(J5298-L5298)&lt;0.005,"ตรงกัน","ไม่ตรง"))</f>
        <v/>
      </c>
      <c r="N5298" s="14">
        <f>IF(L5298="","",ROUND(L5298*'สรุป'!$C$6,-1))</f>
        <v/>
      </c>
      <c r="O5298" s="15" t="n"/>
      <c r="P5298" s="15" t="n"/>
      <c r="Q5298" s="10" t="n"/>
      <c r="R5298" s="10" t="n"/>
      <c r="S5298" s="16" t="inlineStr">
        <is>
          <t>https://mstgolf.co.th/products/gf2000105603</t>
        </is>
      </c>
      <c r="T5298" s="1">
        <f>IF(B5298="ไม้กอล์ฟ",J5298,"")</f>
        <v/>
      </c>
    </row>
    <row r="5299">
      <c r="A5299" s="1" t="n">
        <v>3</v>
      </c>
      <c r="B5299" s="1" t="inlineStr">
        <is>
          <t>อุปกรณ์เสริม</t>
        </is>
      </c>
      <c r="C5299" s="1" t="inlineStr">
        <is>
          <t>gf2100200436</t>
        </is>
      </c>
      <c r="D5299" s="1" t="inlineStr">
        <is>
          <t>PXG Fairway Camo Players Towel (White)</t>
        </is>
      </c>
      <c r="E5299" s="1" t="inlineStr">
        <is>
          <t>PXG</t>
        </is>
      </c>
      <c r="F5299" s="1" t="inlineStr">
        <is>
          <t>HAND/CLUB TOWEL</t>
        </is>
      </c>
      <c r="G5299" s="1" t="inlineStr">
        <is>
          <t>GF2100200436</t>
        </is>
      </c>
      <c r="H5299" s="1" t="n">
        <v>1</v>
      </c>
      <c r="I5299" s="1" t="inlineStr">
        <is>
          <t>หมด</t>
        </is>
      </c>
      <c r="J5299" s="13" t="n">
        <v>35</v>
      </c>
      <c r="K5299" s="1" t="inlineStr"/>
      <c r="L5299" s="13" t="n"/>
      <c r="M5299" s="1">
        <f>IF(L5299="","ไม่พบใน SG",IF(ABS(J5299-L5299)&lt;0.005,"ตรงกัน","ไม่ตรง"))</f>
        <v/>
      </c>
      <c r="N5299" s="14">
        <f>IF(L5299="","",ROUND(L5299*'สรุป'!$C$6,-1))</f>
        <v/>
      </c>
      <c r="O5299" s="15" t="n"/>
      <c r="P5299" s="15" t="n"/>
      <c r="Q5299" s="10" t="n"/>
      <c r="R5299" s="10" t="n"/>
      <c r="S5299" s="16" t="inlineStr">
        <is>
          <t>https://mstgolf.co.th/products/gf2100200436</t>
        </is>
      </c>
      <c r="T5299" s="1">
        <f>IF(B5299="ไม้กอล์ฟ",J5299,"")</f>
        <v/>
      </c>
    </row>
    <row r="5300">
      <c r="A5300" s="1" t="n">
        <v>3</v>
      </c>
      <c r="B5300" s="1" t="inlineStr">
        <is>
          <t>อุปกรณ์เสริม</t>
        </is>
      </c>
      <c r="C5300" s="1" t="inlineStr">
        <is>
          <t>gf3500300467</t>
        </is>
      </c>
      <c r="D5300" s="1" t="inlineStr">
        <is>
          <t>TABATA Golf Ball Case (Blue)</t>
        </is>
      </c>
      <c r="E5300" s="1" t="inlineStr">
        <is>
          <t>TABATA</t>
        </is>
      </c>
      <c r="F5300" s="1" t="inlineStr">
        <is>
          <t>GOLF ACCESSORIES</t>
        </is>
      </c>
      <c r="G5300" s="1" t="inlineStr">
        <is>
          <t>GF3500300467</t>
        </is>
      </c>
      <c r="H5300" s="1" t="n">
        <v>1</v>
      </c>
      <c r="I5300" s="1" t="inlineStr">
        <is>
          <t>หมด</t>
        </is>
      </c>
      <c r="J5300" s="13" t="n">
        <v>35</v>
      </c>
      <c r="K5300" s="1" t="inlineStr"/>
      <c r="L5300" s="13" t="n">
        <v>35</v>
      </c>
      <c r="M5300" s="1">
        <f>IF(L5300="","ไม่พบใน SG",IF(ABS(J5300-L5300)&lt;0.005,"ตรงกัน","ไม่ตรง"))</f>
        <v/>
      </c>
      <c r="N5300" s="14">
        <f>IF(L5300="","",ROUND(L5300*'สรุป'!$C$6,-1))</f>
        <v/>
      </c>
      <c r="O5300" s="15" t="n"/>
      <c r="P5300" s="15" t="n"/>
      <c r="Q5300" s="10" t="n"/>
      <c r="R5300" s="10" t="n"/>
      <c r="S5300" s="16" t="inlineStr">
        <is>
          <t>https://mstgolf.co.th/products/gf3500300467</t>
        </is>
      </c>
      <c r="T5300" s="1">
        <f>IF(B5300="ไม้กอล์ฟ",J5300,"")</f>
        <v/>
      </c>
    </row>
    <row r="5301">
      <c r="A5301" s="1" t="n">
        <v>3</v>
      </c>
      <c r="B5301" s="1" t="inlineStr">
        <is>
          <t>อุปกรณ์เสริม</t>
        </is>
      </c>
      <c r="C5301" s="1" t="inlineStr">
        <is>
          <t>gf3500300466</t>
        </is>
      </c>
      <c r="D5301" s="1" t="inlineStr">
        <is>
          <t>TABATA Golf Ball Case (Brown)</t>
        </is>
      </c>
      <c r="E5301" s="1" t="inlineStr">
        <is>
          <t>TABATA</t>
        </is>
      </c>
      <c r="F5301" s="1" t="inlineStr">
        <is>
          <t>GOLF ACCESSORIES</t>
        </is>
      </c>
      <c r="G5301" s="1" t="inlineStr">
        <is>
          <t>GF3500300466</t>
        </is>
      </c>
      <c r="H5301" s="1" t="n">
        <v>1</v>
      </c>
      <c r="I5301" s="1" t="inlineStr">
        <is>
          <t>หมด</t>
        </is>
      </c>
      <c r="J5301" s="13" t="n">
        <v>35</v>
      </c>
      <c r="K5301" s="1" t="inlineStr"/>
      <c r="L5301" s="13" t="n">
        <v>35</v>
      </c>
      <c r="M5301" s="1">
        <f>IF(L5301="","ไม่พบใน SG",IF(ABS(J5301-L5301)&lt;0.005,"ตรงกัน","ไม่ตรง"))</f>
        <v/>
      </c>
      <c r="N5301" s="14">
        <f>IF(L5301="","",ROUND(L5301*'สรุป'!$C$6,-1))</f>
        <v/>
      </c>
      <c r="O5301" s="15" t="n"/>
      <c r="P5301" s="15" t="n"/>
      <c r="Q5301" s="10" t="n"/>
      <c r="R5301" s="10" t="n"/>
      <c r="S5301" s="16" t="inlineStr">
        <is>
          <t>https://mstgolf.co.th/products/gf3500300466</t>
        </is>
      </c>
      <c r="T5301" s="1">
        <f>IF(B5301="ไม้กอล์ฟ",J5301,"")</f>
        <v/>
      </c>
    </row>
    <row r="5302">
      <c r="A5302" s="1" t="n">
        <v>3</v>
      </c>
      <c r="B5302" s="1" t="inlineStr">
        <is>
          <t>อุปกรณ์เสริม</t>
        </is>
      </c>
      <c r="C5302" s="1" t="inlineStr">
        <is>
          <t>gf3500300677</t>
        </is>
      </c>
      <c r="D5302" s="1" t="inlineStr">
        <is>
          <t>TAYLORMADE Metal-T Women's Ball Pouch (White)</t>
        </is>
      </c>
      <c r="E5302" s="1" t="inlineStr">
        <is>
          <t>TAYLORMADE</t>
        </is>
      </c>
      <c r="F5302" s="1" t="inlineStr">
        <is>
          <t>GOLF ACCESSORIES</t>
        </is>
      </c>
      <c r="G5302" s="1" t="inlineStr">
        <is>
          <t>GF3500300677</t>
        </is>
      </c>
      <c r="H5302" s="1" t="n">
        <v>1</v>
      </c>
      <c r="I5302" s="1" t="inlineStr">
        <is>
          <t>หมด</t>
        </is>
      </c>
      <c r="J5302" s="13" t="n">
        <v>35</v>
      </c>
      <c r="K5302" s="1" t="inlineStr"/>
      <c r="L5302" s="13" t="n">
        <v>35</v>
      </c>
      <c r="M5302" s="1">
        <f>IF(L5302="","ไม่พบใน SG",IF(ABS(J5302-L5302)&lt;0.005,"ตรงกัน","ไม่ตรง"))</f>
        <v/>
      </c>
      <c r="N5302" s="14">
        <f>IF(L5302="","",ROUND(L5302*'สรุป'!$C$6,-1))</f>
        <v/>
      </c>
      <c r="O5302" s="15" t="n"/>
      <c r="P5302" s="15" t="n"/>
      <c r="Q5302" s="10" t="n"/>
      <c r="R5302" s="10" t="n"/>
      <c r="S5302" s="16" t="inlineStr">
        <is>
          <t>https://mstgolf.co.th/products/gf3500300677</t>
        </is>
      </c>
      <c r="T5302" s="1">
        <f>IF(B5302="ไม้กอล์ฟ",J5302,"")</f>
        <v/>
      </c>
    </row>
    <row r="5303">
      <c r="A5303" s="1" t="n">
        <v>3</v>
      </c>
      <c r="B5303" s="1" t="inlineStr">
        <is>
          <t>เสื้อผ้า</t>
        </is>
      </c>
      <c r="C5303" s="1" t="inlineStr">
        <is>
          <t>gf2040118286</t>
        </is>
      </c>
      <c r="D5303" s="1" t="inlineStr">
        <is>
          <t>UNDER ARMOUR Performance Boy's Polo (Horizon Blue)</t>
        </is>
      </c>
      <c r="E5303" s="1" t="inlineStr">
        <is>
          <t>UNDER ARMOUR</t>
        </is>
      </c>
      <c r="F5303" s="1" t="inlineStr">
        <is>
          <t>SHORT SLEEVES</t>
        </is>
      </c>
      <c r="G5303" s="1" t="inlineStr">
        <is>
          <t>GF2040118286XS</t>
        </is>
      </c>
      <c r="H5303" s="1" t="n">
        <v>5</v>
      </c>
      <c r="I5303" s="1" t="inlineStr">
        <is>
          <t>หมด</t>
        </is>
      </c>
      <c r="J5303" s="13" t="n">
        <v>35</v>
      </c>
      <c r="K5303" s="1" t="inlineStr"/>
      <c r="L5303" s="13" t="n"/>
      <c r="M5303" s="1">
        <f>IF(L5303="","ไม่พบใน SG",IF(ABS(J5303-L5303)&lt;0.005,"ตรงกัน","ไม่ตรง"))</f>
        <v/>
      </c>
      <c r="N5303" s="14">
        <f>IF(L5303="","",ROUND(L5303*'สรุป'!$C$6,-1))</f>
        <v/>
      </c>
      <c r="O5303" s="15" t="n"/>
      <c r="P5303" s="15" t="n"/>
      <c r="Q5303" s="10" t="n"/>
      <c r="R5303" s="10" t="n"/>
      <c r="S5303" s="16" t="inlineStr">
        <is>
          <t>https://mstgolf.co.th/products/gf2040118286</t>
        </is>
      </c>
      <c r="T5303" s="1">
        <f>IF(B5303="ไม้กอล์ฟ",J5303,"")</f>
        <v/>
      </c>
    </row>
    <row r="5304">
      <c r="A5304" s="1" t="n">
        <v>3</v>
      </c>
      <c r="B5304" s="1" t="inlineStr">
        <is>
          <t>อุปกรณ์เสริม</t>
        </is>
      </c>
      <c r="C5304" s="1" t="inlineStr">
        <is>
          <t>gf2100200410</t>
        </is>
      </c>
      <c r="D5304" s="1" t="inlineStr">
        <is>
          <t>UNDER ARMOUR UA Bag Golf Towel (Black/White)</t>
        </is>
      </c>
      <c r="E5304" s="1" t="inlineStr">
        <is>
          <t>UNDER ARMOUR</t>
        </is>
      </c>
      <c r="F5304" s="1" t="inlineStr">
        <is>
          <t>HAND/CLUB TOWEL</t>
        </is>
      </c>
      <c r="G5304" s="1" t="inlineStr">
        <is>
          <t>GF2100200410</t>
        </is>
      </c>
      <c r="H5304" s="1" t="n">
        <v>1</v>
      </c>
      <c r="I5304" s="1" t="inlineStr">
        <is>
          <t>หมด</t>
        </is>
      </c>
      <c r="J5304" s="13" t="n">
        <v>35</v>
      </c>
      <c r="K5304" s="1" t="inlineStr"/>
      <c r="L5304" s="13" t="n">
        <v>35</v>
      </c>
      <c r="M5304" s="1">
        <f>IF(L5304="","ไม่พบใน SG",IF(ABS(J5304-L5304)&lt;0.005,"ตรงกัน","ไม่ตรง"))</f>
        <v/>
      </c>
      <c r="N5304" s="14">
        <f>IF(L5304="","",ROUND(L5304*'สรุป'!$C$6,-1))</f>
        <v/>
      </c>
      <c r="O5304" s="15" t="n"/>
      <c r="P5304" s="15" t="n"/>
      <c r="Q5304" s="10" t="n"/>
      <c r="R5304" s="10" t="n"/>
      <c r="S5304" s="16" t="inlineStr">
        <is>
          <t>https://mstgolf.co.th/products/gf2100200410</t>
        </is>
      </c>
      <c r="T5304" s="1">
        <f>IF(B5304="ไม้กอล์ฟ",J5304,"")</f>
        <v/>
      </c>
    </row>
    <row r="5305">
      <c r="A5305" s="1" t="n">
        <v>3</v>
      </c>
      <c r="B5305" s="1" t="inlineStr">
        <is>
          <t>เสื้อผ้า</t>
        </is>
      </c>
      <c r="C5305" s="1" t="inlineStr">
        <is>
          <t>gf2110100092</t>
        </is>
      </c>
      <c r="D5305" s="1" t="inlineStr">
        <is>
          <t>UNDER ARMOUR UA Men's Arm Gloves (White)</t>
        </is>
      </c>
      <c r="E5305" s="1" t="inlineStr">
        <is>
          <t>UNDER ARMOUR</t>
        </is>
      </c>
      <c r="F5305" s="1" t="inlineStr">
        <is>
          <t>ARM GLOVE</t>
        </is>
      </c>
      <c r="G5305" s="1" t="inlineStr">
        <is>
          <t>GF2110100092S-M</t>
        </is>
      </c>
      <c r="H5305" s="1" t="n">
        <v>2</v>
      </c>
      <c r="I5305" s="1" t="inlineStr">
        <is>
          <t>หมด</t>
        </is>
      </c>
      <c r="J5305" s="13" t="n">
        <v>35</v>
      </c>
      <c r="K5305" s="1" t="inlineStr"/>
      <c r="L5305" s="13" t="n"/>
      <c r="M5305" s="1">
        <f>IF(L5305="","ไม่พบใน SG",IF(ABS(J5305-L5305)&lt;0.005,"ตรงกัน","ไม่ตรง"))</f>
        <v/>
      </c>
      <c r="N5305" s="14">
        <f>IF(L5305="","",ROUND(L5305*'สรุป'!$C$6,-1))</f>
        <v/>
      </c>
      <c r="O5305" s="15" t="n"/>
      <c r="P5305" s="15" t="n"/>
      <c r="Q5305" s="10" t="n"/>
      <c r="R5305" s="10" t="n"/>
      <c r="S5305" s="16" t="inlineStr">
        <is>
          <t>https://mstgolf.co.th/products/gf2110100092</t>
        </is>
      </c>
      <c r="T5305" s="1">
        <f>IF(B5305="ไม้กอล์ฟ",J5305,"")</f>
        <v/>
      </c>
    </row>
    <row r="5306">
      <c r="A5306" s="1" t="n">
        <v>3</v>
      </c>
      <c r="B5306" s="1" t="inlineStr">
        <is>
          <t>เสื้อผ้า</t>
        </is>
      </c>
      <c r="C5306" s="1" t="inlineStr">
        <is>
          <t>gf2110100125</t>
        </is>
      </c>
      <c r="D5306" s="1" t="inlineStr">
        <is>
          <t>TAYLORMADE T-Ice Men's Cooling Arm Glove (Black)</t>
        </is>
      </c>
      <c r="E5306" s="1" t="inlineStr">
        <is>
          <t>TAYLORMADE</t>
        </is>
      </c>
      <c r="F5306" s="1" t="inlineStr">
        <is>
          <t>ARM GLOVE</t>
        </is>
      </c>
      <c r="G5306" s="1" t="inlineStr">
        <is>
          <t>GF2110100125</t>
        </is>
      </c>
      <c r="H5306" s="1" t="n">
        <v>1</v>
      </c>
      <c r="I5306" s="1" t="inlineStr">
        <is>
          <t>หมด</t>
        </is>
      </c>
      <c r="J5306" s="13" t="n">
        <v>34</v>
      </c>
      <c r="K5306" s="1" t="inlineStr"/>
      <c r="L5306" s="13" t="n">
        <v>34</v>
      </c>
      <c r="M5306" s="1">
        <f>IF(L5306="","ไม่พบใน SG",IF(ABS(J5306-L5306)&lt;0.005,"ตรงกัน","ไม่ตรง"))</f>
        <v/>
      </c>
      <c r="N5306" s="14">
        <f>IF(L5306="","",ROUND(L5306*'สรุป'!$C$6,-1))</f>
        <v/>
      </c>
      <c r="O5306" s="15" t="n"/>
      <c r="P5306" s="15" t="n"/>
      <c r="Q5306" s="10" t="n"/>
      <c r="R5306" s="10" t="n"/>
      <c r="S5306" s="16" t="inlineStr">
        <is>
          <t>https://mstgolf.co.th/products/gf2110100125</t>
        </is>
      </c>
      <c r="T5306" s="1">
        <f>IF(B5306="ไม้กอล์ฟ",J5306,"")</f>
        <v/>
      </c>
    </row>
    <row r="5307">
      <c r="A5307" s="1" t="n">
        <v>3</v>
      </c>
      <c r="B5307" s="1" t="inlineStr">
        <is>
          <t>เสื้อผ้า</t>
        </is>
      </c>
      <c r="C5307" s="1" t="inlineStr">
        <is>
          <t>gf2110100124</t>
        </is>
      </c>
      <c r="D5307" s="1" t="inlineStr">
        <is>
          <t>TAYLORMADE T-Ice Men's Cooling Arm Glove (White)</t>
        </is>
      </c>
      <c r="E5307" s="1" t="inlineStr">
        <is>
          <t>TAYLORMADE</t>
        </is>
      </c>
      <c r="F5307" s="1" t="inlineStr">
        <is>
          <t>ARM GLOVE</t>
        </is>
      </c>
      <c r="G5307" s="1" t="inlineStr">
        <is>
          <t>GF2110100124</t>
        </is>
      </c>
      <c r="H5307" s="1" t="n">
        <v>1</v>
      </c>
      <c r="I5307" s="1" t="inlineStr">
        <is>
          <t>หมด</t>
        </is>
      </c>
      <c r="J5307" s="13" t="n">
        <v>34</v>
      </c>
      <c r="K5307" s="1" t="inlineStr"/>
      <c r="L5307" s="13" t="n">
        <v>34</v>
      </c>
      <c r="M5307" s="1">
        <f>IF(L5307="","ไม่พบใน SG",IF(ABS(J5307-L5307)&lt;0.005,"ตรงกัน","ไม่ตรง"))</f>
        <v/>
      </c>
      <c r="N5307" s="14">
        <f>IF(L5307="","",ROUND(L5307*'สรุป'!$C$6,-1))</f>
        <v/>
      </c>
      <c r="O5307" s="15" t="n"/>
      <c r="P5307" s="15" t="n"/>
      <c r="Q5307" s="10" t="n"/>
      <c r="R5307" s="10" t="n"/>
      <c r="S5307" s="16" t="inlineStr">
        <is>
          <t>https://mstgolf.co.th/products/gf2110100124</t>
        </is>
      </c>
      <c r="T5307" s="1">
        <f>IF(B5307="ไม้กอล์ฟ",J5307,"")</f>
        <v/>
      </c>
    </row>
    <row r="5308">
      <c r="A5308" s="1" t="n">
        <v>3</v>
      </c>
      <c r="B5308" s="1" t="inlineStr">
        <is>
          <t>อุปกรณ์เสริม</t>
        </is>
      </c>
      <c r="C5308" s="1" t="inlineStr">
        <is>
          <t>gf2100200537</t>
        </is>
      </c>
      <c r="D5308" s="1" t="inlineStr">
        <is>
          <t>TITLEIST Player Microfiber Towel (Grey)</t>
        </is>
      </c>
      <c r="E5308" s="1" t="inlineStr">
        <is>
          <t>TITLEIST</t>
        </is>
      </c>
      <c r="F5308" s="1" t="inlineStr">
        <is>
          <t>HAND/CLUB TOWEL</t>
        </is>
      </c>
      <c r="G5308" s="1" t="inlineStr">
        <is>
          <t>GF2100200537</t>
        </is>
      </c>
      <c r="H5308" s="1" t="n">
        <v>1</v>
      </c>
      <c r="I5308" s="1" t="inlineStr">
        <is>
          <t>หมด</t>
        </is>
      </c>
      <c r="J5308" s="13" t="n">
        <v>34</v>
      </c>
      <c r="K5308" s="1" t="inlineStr"/>
      <c r="L5308" s="13" t="n">
        <v>34</v>
      </c>
      <c r="M5308" s="1">
        <f>IF(L5308="","ไม่พบใน SG",IF(ABS(J5308-L5308)&lt;0.005,"ตรงกัน","ไม่ตรง"))</f>
        <v/>
      </c>
      <c r="N5308" s="14">
        <f>IF(L5308="","",ROUND(L5308*'สรุป'!$C$6,-1))</f>
        <v/>
      </c>
      <c r="O5308" s="15" t="n"/>
      <c r="P5308" s="15" t="n"/>
      <c r="Q5308" s="10" t="n"/>
      <c r="R5308" s="10" t="n"/>
      <c r="S5308" s="16" t="inlineStr">
        <is>
          <t>https://mstgolf.co.th/products/gf2100200537</t>
        </is>
      </c>
      <c r="T5308" s="1">
        <f>IF(B5308="ไม้กอล์ฟ",J5308,"")</f>
        <v/>
      </c>
    </row>
    <row r="5309">
      <c r="A5309" s="1" t="n">
        <v>3</v>
      </c>
      <c r="B5309" s="1" t="inlineStr">
        <is>
          <t>อุปกรณ์เสริม</t>
        </is>
      </c>
      <c r="C5309" s="1" t="inlineStr">
        <is>
          <t>gf2100200611</t>
        </is>
      </c>
      <c r="D5309" s="1" t="inlineStr">
        <is>
          <t>TITLEIST Players Microfiber Towel (White)</t>
        </is>
      </c>
      <c r="E5309" s="1" t="inlineStr">
        <is>
          <t>TITLEIST</t>
        </is>
      </c>
      <c r="F5309" s="1" t="inlineStr">
        <is>
          <t>HAND/CLUB TOWEL</t>
        </is>
      </c>
      <c r="G5309" s="1" t="inlineStr">
        <is>
          <t>GF2100200611</t>
        </is>
      </c>
      <c r="H5309" s="1" t="n">
        <v>1</v>
      </c>
      <c r="I5309" s="1" t="inlineStr">
        <is>
          <t>หมด</t>
        </is>
      </c>
      <c r="J5309" s="13" t="n">
        <v>34</v>
      </c>
      <c r="K5309" s="1" t="inlineStr"/>
      <c r="L5309" s="13" t="n"/>
      <c r="M5309" s="1">
        <f>IF(L5309="","ไม่พบใน SG",IF(ABS(J5309-L5309)&lt;0.005,"ตรงกัน","ไม่ตรง"))</f>
        <v/>
      </c>
      <c r="N5309" s="14">
        <f>IF(L5309="","",ROUND(L5309*'สรุป'!$C$6,-1))</f>
        <v/>
      </c>
      <c r="O5309" s="15" t="n"/>
      <c r="P5309" s="15" t="n"/>
      <c r="Q5309" s="10" t="n"/>
      <c r="R5309" s="10" t="n"/>
      <c r="S5309" s="16" t="inlineStr">
        <is>
          <t>https://mstgolf.co.th/products/gf2100200611</t>
        </is>
      </c>
      <c r="T5309" s="1">
        <f>IF(B5309="ไม้กอล์ฟ",J5309,"")</f>
        <v/>
      </c>
    </row>
    <row r="5310">
      <c r="A5310" s="1" t="n">
        <v>3</v>
      </c>
      <c r="B5310" s="1" t="inlineStr">
        <is>
          <t>หมวก</t>
        </is>
      </c>
      <c r="C5310" s="1" t="inlineStr">
        <is>
          <t>gf2000105065</t>
        </is>
      </c>
      <c r="D5310" s="1" t="inlineStr">
        <is>
          <t>UNDER ARMOUR Driver Mesh Adjustable Men's Cap (Peach/White)</t>
        </is>
      </c>
      <c r="E5310" s="1" t="inlineStr">
        <is>
          <t>UNDER ARMOUR</t>
        </is>
      </c>
      <c r="F5310" s="1" t="inlineStr">
        <is>
          <t>CAP</t>
        </is>
      </c>
      <c r="G5310" s="1" t="inlineStr">
        <is>
          <t>GF2000105065FS</t>
        </is>
      </c>
      <c r="H5310" s="1" t="n">
        <v>1</v>
      </c>
      <c r="I5310" s="1" t="inlineStr">
        <is>
          <t>หมด</t>
        </is>
      </c>
      <c r="J5310" s="13" t="n">
        <v>33</v>
      </c>
      <c r="K5310" s="1" t="inlineStr"/>
      <c r="L5310" s="13" t="n"/>
      <c r="M5310" s="1">
        <f>IF(L5310="","ไม่พบใน SG",IF(ABS(J5310-L5310)&lt;0.005,"ตรงกัน","ไม่ตรง"))</f>
        <v/>
      </c>
      <c r="N5310" s="14">
        <f>IF(L5310="","",ROUND(L5310*'สรุป'!$C$6,-1))</f>
        <v/>
      </c>
      <c r="O5310" s="15" t="n"/>
      <c r="P5310" s="15" t="n"/>
      <c r="Q5310" s="10" t="n"/>
      <c r="R5310" s="10" t="n"/>
      <c r="S5310" s="16" t="inlineStr">
        <is>
          <t>https://mstgolf.co.th/products/gf2000105065</t>
        </is>
      </c>
      <c r="T5310" s="1">
        <f>IF(B5310="ไม้กอล์ฟ",J5310,"")</f>
        <v/>
      </c>
    </row>
    <row r="5311">
      <c r="A5311" s="1" t="n">
        <v>3</v>
      </c>
      <c r="B5311" s="1" t="inlineStr">
        <is>
          <t>หมวก</t>
        </is>
      </c>
      <c r="C5311" s="1" t="inlineStr">
        <is>
          <t>gf2000105069</t>
        </is>
      </c>
      <c r="D5311" s="1" t="inlineStr">
        <is>
          <t>UNDER ARMOUR Iso-Chill Driver Women's Cap (Blue/White)</t>
        </is>
      </c>
      <c r="E5311" s="1" t="inlineStr">
        <is>
          <t>UNDER ARMOUR</t>
        </is>
      </c>
      <c r="F5311" s="1" t="inlineStr">
        <is>
          <t>CAP</t>
        </is>
      </c>
      <c r="G5311" s="1" t="inlineStr">
        <is>
          <t>GF2000105069FS</t>
        </is>
      </c>
      <c r="H5311" s="1" t="n">
        <v>1</v>
      </c>
      <c r="I5311" s="1" t="inlineStr">
        <is>
          <t>หมด</t>
        </is>
      </c>
      <c r="J5311" s="13" t="n">
        <v>33</v>
      </c>
      <c r="K5311" s="1" t="inlineStr"/>
      <c r="L5311" s="13" t="n">
        <v>23</v>
      </c>
      <c r="M5311" s="1">
        <f>IF(L5311="","ไม่พบใน SG",IF(ABS(J5311-L5311)&lt;0.005,"ตรงกัน","ไม่ตรง"))</f>
        <v/>
      </c>
      <c r="N5311" s="14">
        <f>IF(L5311="","",ROUND(L5311*'สรุป'!$C$6,-1))</f>
        <v/>
      </c>
      <c r="O5311" s="15" t="n"/>
      <c r="P5311" s="15" t="n"/>
      <c r="Q5311" s="10" t="n"/>
      <c r="R5311" s="10" t="n"/>
      <c r="S5311" s="16" t="inlineStr">
        <is>
          <t>https://mstgolf.co.th/products/gf2000105069</t>
        </is>
      </c>
      <c r="T5311" s="1">
        <f>IF(B5311="ไม้กอล์ฟ",J5311,"")</f>
        <v/>
      </c>
    </row>
    <row r="5312">
      <c r="A5312" s="1" t="n">
        <v>3</v>
      </c>
      <c r="B5312" s="1" t="inlineStr">
        <is>
          <t>หมวก</t>
        </is>
      </c>
      <c r="C5312" s="1" t="inlineStr">
        <is>
          <t>gf2000105609</t>
        </is>
      </c>
      <c r="D5312" s="1" t="inlineStr">
        <is>
          <t>UNDER ARMOUR Iso-Chill Mesh Adjustable Men's Cap (Black/Black/White)</t>
        </is>
      </c>
      <c r="E5312" s="1" t="inlineStr">
        <is>
          <t>UNDER ARMOUR</t>
        </is>
      </c>
      <c r="F5312" s="1" t="inlineStr">
        <is>
          <t>CAP</t>
        </is>
      </c>
      <c r="G5312" s="1" t="inlineStr">
        <is>
          <t>GF2000105609FS</t>
        </is>
      </c>
      <c r="H5312" s="1" t="n">
        <v>1</v>
      </c>
      <c r="I5312" s="1" t="inlineStr">
        <is>
          <t>หมด</t>
        </is>
      </c>
      <c r="J5312" s="13" t="n">
        <v>33</v>
      </c>
      <c r="K5312" s="1" t="inlineStr"/>
      <c r="L5312" s="13" t="n"/>
      <c r="M5312" s="1">
        <f>IF(L5312="","ไม่พบใน SG",IF(ABS(J5312-L5312)&lt;0.005,"ตรงกัน","ไม่ตรง"))</f>
        <v/>
      </c>
      <c r="N5312" s="14">
        <f>IF(L5312="","",ROUND(L5312*'สรุป'!$C$6,-1))</f>
        <v/>
      </c>
      <c r="O5312" s="15" t="n"/>
      <c r="P5312" s="15" t="n"/>
      <c r="Q5312" s="10" t="n"/>
      <c r="R5312" s="10" t="n"/>
      <c r="S5312" s="16" t="inlineStr">
        <is>
          <t>https://mstgolf.co.th/products/gf2000105609</t>
        </is>
      </c>
      <c r="T5312" s="1">
        <f>IF(B5312="ไม้กอล์ฟ",J5312,"")</f>
        <v/>
      </c>
    </row>
    <row r="5313">
      <c r="A5313" s="1" t="n">
        <v>3</v>
      </c>
      <c r="B5313" s="1" t="inlineStr">
        <is>
          <t>หมวก</t>
        </is>
      </c>
      <c r="C5313" s="1" t="inlineStr">
        <is>
          <t>gf2000105398</t>
        </is>
      </c>
      <c r="D5313" s="1" t="inlineStr">
        <is>
          <t>UNDER ARMOUR Isochill Mesh Men's Adjustable Cap (Navy/White)</t>
        </is>
      </c>
      <c r="E5313" s="1" t="inlineStr">
        <is>
          <t>UNDER ARMOUR</t>
        </is>
      </c>
      <c r="F5313" s="1" t="inlineStr">
        <is>
          <t>CAP</t>
        </is>
      </c>
      <c r="G5313" s="1" t="inlineStr">
        <is>
          <t>GF2000105398FS</t>
        </is>
      </c>
      <c r="H5313" s="1" t="n">
        <v>1</v>
      </c>
      <c r="I5313" s="1" t="inlineStr">
        <is>
          <t>หมด</t>
        </is>
      </c>
      <c r="J5313" s="13" t="n">
        <v>33</v>
      </c>
      <c r="K5313" s="1" t="inlineStr"/>
      <c r="L5313" s="13" t="n"/>
      <c r="M5313" s="1">
        <f>IF(L5313="","ไม่พบใน SG",IF(ABS(J5313-L5313)&lt;0.005,"ตรงกัน","ไม่ตรง"))</f>
        <v/>
      </c>
      <c r="N5313" s="14">
        <f>IF(L5313="","",ROUND(L5313*'สรุป'!$C$6,-1))</f>
        <v/>
      </c>
      <c r="O5313" s="15" t="n"/>
      <c r="P5313" s="15" t="n"/>
      <c r="Q5313" s="10" t="n"/>
      <c r="R5313" s="10" t="n"/>
      <c r="S5313" s="16" t="inlineStr">
        <is>
          <t>https://mstgolf.co.th/products/gf2000105398</t>
        </is>
      </c>
      <c r="T5313" s="1">
        <f>IF(B5313="ไม้กอล์ฟ",J5313,"")</f>
        <v/>
      </c>
    </row>
    <row r="5314">
      <c r="A5314" s="1" t="n">
        <v>3</v>
      </c>
      <c r="B5314" s="1" t="inlineStr">
        <is>
          <t>เสื้อผ้า</t>
        </is>
      </c>
      <c r="C5314" s="1" t="inlineStr">
        <is>
          <t>gf2040117650</t>
        </is>
      </c>
      <c r="D5314" s="1" t="inlineStr">
        <is>
          <t>ADIDAS HEAT.RDY Women's Jacquard Polo (Scarlet)</t>
        </is>
      </c>
      <c r="E5314" s="1" t="inlineStr">
        <is>
          <t>ADIDAS</t>
        </is>
      </c>
      <c r="F5314" s="1" t="inlineStr">
        <is>
          <t>SHORT SLEEVES</t>
        </is>
      </c>
      <c r="G5314" s="1" t="inlineStr">
        <is>
          <t>GF2040117650XS</t>
        </is>
      </c>
      <c r="H5314" s="1" t="n">
        <v>6</v>
      </c>
      <c r="I5314" s="1" t="inlineStr">
        <is>
          <t>หมด</t>
        </is>
      </c>
      <c r="J5314" s="13" t="n">
        <v>32</v>
      </c>
      <c r="K5314" s="1" t="inlineStr"/>
      <c r="L5314" s="13" t="n"/>
      <c r="M5314" s="1">
        <f>IF(L5314="","ไม่พบใน SG",IF(ABS(J5314-L5314)&lt;0.005,"ตรงกัน","ไม่ตรง"))</f>
        <v/>
      </c>
      <c r="N5314" s="14">
        <f>IF(L5314="","",ROUND(L5314*'สรุป'!$C$6,-1))</f>
        <v/>
      </c>
      <c r="O5314" s="15" t="n"/>
      <c r="P5314" s="15" t="n"/>
      <c r="Q5314" s="10" t="n"/>
      <c r="R5314" s="10" t="n"/>
      <c r="S5314" s="16" t="inlineStr">
        <is>
          <t>https://mstgolf.co.th/products/gf2040117650</t>
        </is>
      </c>
      <c r="T5314" s="1">
        <f>IF(B5314="ไม้กอล์ฟ",J5314,"")</f>
        <v/>
      </c>
    </row>
    <row r="5315">
      <c r="A5315" s="1" t="n">
        <v>3</v>
      </c>
      <c r="B5315" s="1" t="inlineStr">
        <is>
          <t>หมวก</t>
        </is>
      </c>
      <c r="C5315" s="1" t="inlineStr">
        <is>
          <t>gf2000200869</t>
        </is>
      </c>
      <c r="D5315" s="1" t="inlineStr">
        <is>
          <t>CALVIN KLEIN Harsha Women's Visor (Heritage Blue)</t>
        </is>
      </c>
      <c r="E5315" s="1" t="inlineStr">
        <is>
          <t>CALVIN KLEIN</t>
        </is>
      </c>
      <c r="F5315" s="1" t="inlineStr">
        <is>
          <t>VISOR</t>
        </is>
      </c>
      <c r="G5315" s="1" t="inlineStr">
        <is>
          <t>GF2000200869FS</t>
        </is>
      </c>
      <c r="H5315" s="1" t="n">
        <v>1</v>
      </c>
      <c r="I5315" s="1" t="inlineStr">
        <is>
          <t>หมด</t>
        </is>
      </c>
      <c r="J5315" s="13" t="n">
        <v>32</v>
      </c>
      <c r="K5315" s="1" t="inlineStr"/>
      <c r="L5315" s="13" t="n"/>
      <c r="M5315" s="1">
        <f>IF(L5315="","ไม่พบใน SG",IF(ABS(J5315-L5315)&lt;0.005,"ตรงกัน","ไม่ตรง"))</f>
        <v/>
      </c>
      <c r="N5315" s="14">
        <f>IF(L5315="","",ROUND(L5315*'สรุป'!$C$6,-1))</f>
        <v/>
      </c>
      <c r="O5315" s="15" t="n"/>
      <c r="P5315" s="15" t="n"/>
      <c r="Q5315" s="10" t="n"/>
      <c r="R5315" s="10" t="n"/>
      <c r="S5315" s="16" t="inlineStr">
        <is>
          <t>https://mstgolf.co.th/products/gf2000200869</t>
        </is>
      </c>
      <c r="T5315" s="1">
        <f>IF(B5315="ไม้กอล์ฟ",J5315,"")</f>
        <v/>
      </c>
    </row>
    <row r="5316">
      <c r="A5316" s="1" t="n">
        <v>3</v>
      </c>
      <c r="B5316" s="1" t="inlineStr">
        <is>
          <t>อุปกรณ์เสริม</t>
        </is>
      </c>
      <c r="C5316" s="1" t="inlineStr">
        <is>
          <t>gf3500300993</t>
        </is>
      </c>
      <c r="D5316" s="1" t="inlineStr">
        <is>
          <t>GOLF LITE Shaun The Sheep Ball Pouch</t>
        </is>
      </c>
      <c r="E5316" s="1" t="inlineStr">
        <is>
          <t>GOLF LITE</t>
        </is>
      </c>
      <c r="F5316" s="1" t="inlineStr">
        <is>
          <t>GOLF ACCESSORIES</t>
        </is>
      </c>
      <c r="G5316" s="1" t="inlineStr">
        <is>
          <t>GF3500300993</t>
        </is>
      </c>
      <c r="H5316" s="1" t="n">
        <v>1</v>
      </c>
      <c r="I5316" s="1" t="inlineStr">
        <is>
          <t>หมด</t>
        </is>
      </c>
      <c r="J5316" s="13" t="n">
        <v>32</v>
      </c>
      <c r="K5316" s="1" t="inlineStr"/>
      <c r="L5316" s="13" t="n">
        <v>32</v>
      </c>
      <c r="M5316" s="1">
        <f>IF(L5316="","ไม่พบใน SG",IF(ABS(J5316-L5316)&lt;0.005,"ตรงกัน","ไม่ตรง"))</f>
        <v/>
      </c>
      <c r="N5316" s="14">
        <f>IF(L5316="","",ROUND(L5316*'สรุป'!$C$6,-1))</f>
        <v/>
      </c>
      <c r="O5316" s="15" t="n"/>
      <c r="P5316" s="15" t="n"/>
      <c r="Q5316" s="10" t="n"/>
      <c r="R5316" s="10" t="n"/>
      <c r="S5316" s="16" t="inlineStr">
        <is>
          <t>https://mstgolf.co.th/products/gf3500300993</t>
        </is>
      </c>
      <c r="T5316" s="1">
        <f>IF(B5316="ไม้กอล์ฟ",J5316,"")</f>
        <v/>
      </c>
    </row>
    <row r="5317">
      <c r="A5317" s="1" t="n">
        <v>3</v>
      </c>
      <c r="B5317" s="1" t="inlineStr">
        <is>
          <t>อุปกรณ์เสริม</t>
        </is>
      </c>
      <c r="C5317" s="1" t="inlineStr">
        <is>
          <t>gf3500200820</t>
        </is>
      </c>
      <c r="D5317" s="1" t="inlineStr">
        <is>
          <t>I-COVER Trendy Rubber Fairway Headcover (Black)</t>
        </is>
      </c>
      <c r="E5317" s="1" t="inlineStr">
        <is>
          <t>I-COVER</t>
        </is>
      </c>
      <c r="F5317" s="1" t="inlineStr">
        <is>
          <t>HEADCOVERS</t>
        </is>
      </c>
      <c r="G5317" s="1" t="inlineStr">
        <is>
          <t>GF3500200820</t>
        </is>
      </c>
      <c r="H5317" s="1" t="n">
        <v>1</v>
      </c>
      <c r="I5317" s="1" t="inlineStr">
        <is>
          <t>หมด</t>
        </is>
      </c>
      <c r="J5317" s="13" t="n">
        <v>32</v>
      </c>
      <c r="K5317" s="1" t="inlineStr"/>
      <c r="L5317" s="13" t="n">
        <v>32</v>
      </c>
      <c r="M5317" s="1">
        <f>IF(L5317="","ไม่พบใน SG",IF(ABS(J5317-L5317)&lt;0.005,"ตรงกัน","ไม่ตรง"))</f>
        <v/>
      </c>
      <c r="N5317" s="14">
        <f>IF(L5317="","",ROUND(L5317*'สรุป'!$C$6,-1))</f>
        <v/>
      </c>
      <c r="O5317" s="15" t="n"/>
      <c r="P5317" s="15" t="n"/>
      <c r="Q5317" s="10" t="n"/>
      <c r="R5317" s="10" t="n"/>
      <c r="S5317" s="16" t="inlineStr">
        <is>
          <t>https://mstgolf.co.th/products/gf3500200820</t>
        </is>
      </c>
      <c r="T5317" s="1">
        <f>IF(B5317="ไม้กอล์ฟ",J5317,"")</f>
        <v/>
      </c>
    </row>
    <row r="5318">
      <c r="A5318" s="1" t="n">
        <v>3</v>
      </c>
      <c r="B5318" s="1" t="inlineStr">
        <is>
          <t>อุปกรณ์เสริม</t>
        </is>
      </c>
      <c r="C5318" s="1" t="inlineStr">
        <is>
          <t>gf3500200822</t>
        </is>
      </c>
      <c r="D5318" s="1" t="inlineStr">
        <is>
          <t>I-COVER Trendy Rubber Fairway Headcover (Green)</t>
        </is>
      </c>
      <c r="E5318" s="1" t="inlineStr">
        <is>
          <t>I-COVER</t>
        </is>
      </c>
      <c r="F5318" s="1" t="inlineStr">
        <is>
          <t>HEADCOVERS</t>
        </is>
      </c>
      <c r="G5318" s="1" t="inlineStr">
        <is>
          <t>GF3500200822</t>
        </is>
      </c>
      <c r="H5318" s="1" t="n">
        <v>1</v>
      </c>
      <c r="I5318" s="1" t="inlineStr">
        <is>
          <t>หมด</t>
        </is>
      </c>
      <c r="J5318" s="13" t="n">
        <v>32</v>
      </c>
      <c r="K5318" s="1" t="inlineStr"/>
      <c r="L5318" s="13" t="n">
        <v>32</v>
      </c>
      <c r="M5318" s="1">
        <f>IF(L5318="","ไม่พบใน SG",IF(ABS(J5318-L5318)&lt;0.005,"ตรงกัน","ไม่ตรง"))</f>
        <v/>
      </c>
      <c r="N5318" s="14">
        <f>IF(L5318="","",ROUND(L5318*'สรุป'!$C$6,-1))</f>
        <v/>
      </c>
      <c r="O5318" s="15" t="n"/>
      <c r="P5318" s="15" t="n"/>
      <c r="Q5318" s="10" t="n"/>
      <c r="R5318" s="10" t="n"/>
      <c r="S5318" s="16" t="inlineStr">
        <is>
          <t>https://mstgolf.co.th/products/gf3500200822</t>
        </is>
      </c>
      <c r="T5318" s="1">
        <f>IF(B5318="ไม้กอล์ฟ",J5318,"")</f>
        <v/>
      </c>
    </row>
    <row r="5319">
      <c r="A5319" s="1" t="n">
        <v>3</v>
      </c>
      <c r="B5319" s="1" t="inlineStr">
        <is>
          <t>อุปกรณ์เสริม</t>
        </is>
      </c>
      <c r="C5319" s="1" t="inlineStr">
        <is>
          <t>gf3500200824</t>
        </is>
      </c>
      <c r="D5319" s="1" t="inlineStr">
        <is>
          <t>I-COVER Trendy Rubber Fairway Headcover (Orange)</t>
        </is>
      </c>
      <c r="E5319" s="1" t="inlineStr">
        <is>
          <t>I-COVER</t>
        </is>
      </c>
      <c r="F5319" s="1" t="inlineStr">
        <is>
          <t>HEADCOVERS</t>
        </is>
      </c>
      <c r="G5319" s="1" t="inlineStr">
        <is>
          <t>GF3500200824</t>
        </is>
      </c>
      <c r="H5319" s="1" t="n">
        <v>1</v>
      </c>
      <c r="I5319" s="1" t="inlineStr">
        <is>
          <t>หมด</t>
        </is>
      </c>
      <c r="J5319" s="13" t="n">
        <v>32</v>
      </c>
      <c r="K5319" s="1" t="inlineStr"/>
      <c r="L5319" s="13" t="n">
        <v>32</v>
      </c>
      <c r="M5319" s="1">
        <f>IF(L5319="","ไม่พบใน SG",IF(ABS(J5319-L5319)&lt;0.005,"ตรงกัน","ไม่ตรง"))</f>
        <v/>
      </c>
      <c r="N5319" s="14">
        <f>IF(L5319="","",ROUND(L5319*'สรุป'!$C$6,-1))</f>
        <v/>
      </c>
      <c r="O5319" s="15" t="n"/>
      <c r="P5319" s="15" t="n"/>
      <c r="Q5319" s="10" t="n"/>
      <c r="R5319" s="10" t="n"/>
      <c r="S5319" s="16" t="inlineStr">
        <is>
          <t>https://mstgolf.co.th/products/gf3500200824</t>
        </is>
      </c>
      <c r="T5319" s="1">
        <f>IF(B5319="ไม้กอล์ฟ",J5319,"")</f>
        <v/>
      </c>
    </row>
    <row r="5320">
      <c r="A5320" s="1" t="n">
        <v>3</v>
      </c>
      <c r="B5320" s="1" t="inlineStr">
        <is>
          <t>อุปกรณ์เสริม</t>
        </is>
      </c>
      <c r="C5320" s="1" t="inlineStr">
        <is>
          <t>gf3500200821</t>
        </is>
      </c>
      <c r="D5320" s="1" t="inlineStr">
        <is>
          <t>I-COVER Trendy Rubber Fairway Headcover (Yellow)</t>
        </is>
      </c>
      <c r="E5320" s="1" t="inlineStr">
        <is>
          <t>I-COVER</t>
        </is>
      </c>
      <c r="F5320" s="1" t="inlineStr">
        <is>
          <t>HEADCOVERS</t>
        </is>
      </c>
      <c r="G5320" s="1" t="inlineStr">
        <is>
          <t>GF3500200821</t>
        </is>
      </c>
      <c r="H5320" s="1" t="n">
        <v>1</v>
      </c>
      <c r="I5320" s="1" t="inlineStr">
        <is>
          <t>หมด</t>
        </is>
      </c>
      <c r="J5320" s="13" t="n">
        <v>32</v>
      </c>
      <c r="K5320" s="1" t="inlineStr"/>
      <c r="L5320" s="13" t="n">
        <v>32</v>
      </c>
      <c r="M5320" s="1">
        <f>IF(L5320="","ไม่พบใน SG",IF(ABS(J5320-L5320)&lt;0.005,"ตรงกัน","ไม่ตรง"))</f>
        <v/>
      </c>
      <c r="N5320" s="14">
        <f>IF(L5320="","",ROUND(L5320*'สรุป'!$C$6,-1))</f>
        <v/>
      </c>
      <c r="O5320" s="15" t="n"/>
      <c r="P5320" s="15" t="n"/>
      <c r="Q5320" s="10" t="n"/>
      <c r="R5320" s="10" t="n"/>
      <c r="S5320" s="16" t="inlineStr">
        <is>
          <t>https://mstgolf.co.th/products/gf3500200821</t>
        </is>
      </c>
      <c r="T5320" s="1">
        <f>IF(B5320="ไม้กอล์ฟ",J5320,"")</f>
        <v/>
      </c>
    </row>
    <row r="5321">
      <c r="A5321" s="1" t="n">
        <v>3</v>
      </c>
      <c r="B5321" s="1" t="inlineStr">
        <is>
          <t>อุปกรณ์เสริม</t>
        </is>
      </c>
      <c r="C5321" s="1" t="inlineStr">
        <is>
          <t>gf3500300987</t>
        </is>
      </c>
      <c r="D5321" s="1" t="inlineStr">
        <is>
          <t>PRIDE SPORTS Compact Ball Retriever</t>
        </is>
      </c>
      <c r="E5321" s="1" t="inlineStr">
        <is>
          <t>PRIDE SPORTS</t>
        </is>
      </c>
      <c r="F5321" s="1" t="inlineStr">
        <is>
          <t>GOLF ACCESSORIES</t>
        </is>
      </c>
      <c r="G5321" s="1" t="inlineStr">
        <is>
          <t>GF3500300987</t>
        </is>
      </c>
      <c r="H5321" s="1" t="n">
        <v>1</v>
      </c>
      <c r="I5321" s="1" t="inlineStr">
        <is>
          <t>หมด</t>
        </is>
      </c>
      <c r="J5321" s="13" t="n">
        <v>32</v>
      </c>
      <c r="K5321" s="1" t="inlineStr"/>
      <c r="L5321" s="13" t="n">
        <v>32</v>
      </c>
      <c r="M5321" s="1">
        <f>IF(L5321="","ไม่พบใน SG",IF(ABS(J5321-L5321)&lt;0.005,"ตรงกัน","ไม่ตรง"))</f>
        <v/>
      </c>
      <c r="N5321" s="14">
        <f>IF(L5321="","",ROUND(L5321*'สรุป'!$C$6,-1))</f>
        <v/>
      </c>
      <c r="O5321" s="15" t="n"/>
      <c r="P5321" s="15" t="n"/>
      <c r="Q5321" s="10" t="n"/>
      <c r="R5321" s="10" t="n"/>
      <c r="S5321" s="16" t="inlineStr">
        <is>
          <t>https://mstgolf.co.th/products/gf3500300987</t>
        </is>
      </c>
      <c r="T5321" s="1">
        <f>IF(B5321="ไม้กอล์ฟ",J5321,"")</f>
        <v/>
      </c>
    </row>
    <row r="5322">
      <c r="A5322" s="1" t="n">
        <v>3</v>
      </c>
      <c r="B5322" s="1" t="inlineStr">
        <is>
          <t>อุปกรณ์เสริม</t>
        </is>
      </c>
      <c r="C5322" s="1" t="inlineStr">
        <is>
          <t>gf3500300895</t>
        </is>
      </c>
      <c r="D5322" s="1" t="inlineStr">
        <is>
          <t>TAYLORMADE A-Collection Ball Pouch (Black)</t>
        </is>
      </c>
      <c r="E5322" s="1" t="inlineStr">
        <is>
          <t>TAYLORMADE</t>
        </is>
      </c>
      <c r="F5322" s="1" t="inlineStr">
        <is>
          <t>GOLF ACCESSORIES</t>
        </is>
      </c>
      <c r="G5322" s="1" t="inlineStr">
        <is>
          <t>GF3500300895</t>
        </is>
      </c>
      <c r="H5322" s="1" t="n">
        <v>1</v>
      </c>
      <c r="I5322" s="1" t="inlineStr">
        <is>
          <t>หมด</t>
        </is>
      </c>
      <c r="J5322" s="13" t="n">
        <v>32</v>
      </c>
      <c r="K5322" s="1" t="inlineStr"/>
      <c r="L5322" s="13" t="n"/>
      <c r="M5322" s="1">
        <f>IF(L5322="","ไม่พบใน SG",IF(ABS(J5322-L5322)&lt;0.005,"ตรงกัน","ไม่ตรง"))</f>
        <v/>
      </c>
      <c r="N5322" s="14">
        <f>IF(L5322="","",ROUND(L5322*'สรุป'!$C$6,-1))</f>
        <v/>
      </c>
      <c r="O5322" s="15" t="n"/>
      <c r="P5322" s="15" t="n"/>
      <c r="Q5322" s="10" t="n"/>
      <c r="R5322" s="10" t="n"/>
      <c r="S5322" s="16" t="inlineStr">
        <is>
          <t>https://mstgolf.co.th/products/gf3500300895</t>
        </is>
      </c>
      <c r="T5322" s="1">
        <f>IF(B5322="ไม้กอล์ฟ",J5322,"")</f>
        <v/>
      </c>
    </row>
    <row r="5323">
      <c r="A5323" s="1" t="n">
        <v>3</v>
      </c>
      <c r="B5323" s="1" t="inlineStr">
        <is>
          <t>อุปกรณ์เสริม</t>
        </is>
      </c>
      <c r="C5323" s="1" t="inlineStr">
        <is>
          <t>gf3500300893</t>
        </is>
      </c>
      <c r="D5323" s="1" t="inlineStr">
        <is>
          <t>TAYLORMADE A-Collection Ball Pouch (Grey)</t>
        </is>
      </c>
      <c r="E5323" s="1" t="inlineStr">
        <is>
          <t>TAYLORMADE</t>
        </is>
      </c>
      <c r="F5323" s="1" t="inlineStr">
        <is>
          <t>GOLF ACCESSORIES</t>
        </is>
      </c>
      <c r="G5323" s="1" t="inlineStr">
        <is>
          <t>GF3500300893</t>
        </is>
      </c>
      <c r="H5323" s="1" t="n">
        <v>1</v>
      </c>
      <c r="I5323" s="1" t="inlineStr">
        <is>
          <t>หมด</t>
        </is>
      </c>
      <c r="J5323" s="13" t="n">
        <v>32</v>
      </c>
      <c r="K5323" s="1" t="inlineStr"/>
      <c r="L5323" s="13" t="n">
        <v>32</v>
      </c>
      <c r="M5323" s="1">
        <f>IF(L5323="","ไม่พบใน SG",IF(ABS(J5323-L5323)&lt;0.005,"ตรงกัน","ไม่ตรง"))</f>
        <v/>
      </c>
      <c r="N5323" s="14">
        <f>IF(L5323="","",ROUND(L5323*'สรุป'!$C$6,-1))</f>
        <v/>
      </c>
      <c r="O5323" s="15" t="n"/>
      <c r="P5323" s="15" t="n"/>
      <c r="Q5323" s="10" t="n"/>
      <c r="R5323" s="10" t="n"/>
      <c r="S5323" s="16" t="inlineStr">
        <is>
          <t>https://mstgolf.co.th/products/gf3500300893</t>
        </is>
      </c>
      <c r="T5323" s="1">
        <f>IF(B5323="ไม้กอล์ฟ",J5323,"")</f>
        <v/>
      </c>
    </row>
    <row r="5324">
      <c r="A5324" s="1" t="n">
        <v>3</v>
      </c>
      <c r="B5324" s="1" t="inlineStr">
        <is>
          <t>อุปกรณ์เสริม</t>
        </is>
      </c>
      <c r="C5324" s="1" t="inlineStr">
        <is>
          <t>gf3500300958</t>
        </is>
      </c>
      <c r="D5324" s="1" t="inlineStr">
        <is>
          <t>TAYLORMADE Circle Logo Ball Case (Navy)</t>
        </is>
      </c>
      <c r="E5324" s="1" t="inlineStr">
        <is>
          <t>TAYLORMADE</t>
        </is>
      </c>
      <c r="F5324" s="1" t="inlineStr">
        <is>
          <t>GOLF ACCESSORIES</t>
        </is>
      </c>
      <c r="G5324" s="1" t="inlineStr">
        <is>
          <t>GF3500300958</t>
        </is>
      </c>
      <c r="H5324" s="1" t="n">
        <v>1</v>
      </c>
      <c r="I5324" s="1" t="inlineStr">
        <is>
          <t>หมด</t>
        </is>
      </c>
      <c r="J5324" s="13" t="n">
        <v>32</v>
      </c>
      <c r="K5324" s="1" t="inlineStr"/>
      <c r="L5324" s="13" t="n">
        <v>32</v>
      </c>
      <c r="M5324" s="1">
        <f>IF(L5324="","ไม่พบใน SG",IF(ABS(J5324-L5324)&lt;0.005,"ตรงกัน","ไม่ตรง"))</f>
        <v/>
      </c>
      <c r="N5324" s="14">
        <f>IF(L5324="","",ROUND(L5324*'สรุป'!$C$6,-1))</f>
        <v/>
      </c>
      <c r="O5324" s="15" t="n"/>
      <c r="P5324" s="15" t="n"/>
      <c r="Q5324" s="10" t="n"/>
      <c r="R5324" s="10" t="n"/>
      <c r="S5324" s="16" t="inlineStr">
        <is>
          <t>https://mstgolf.co.th/products/gf3500300958</t>
        </is>
      </c>
      <c r="T5324" s="1">
        <f>IF(B5324="ไม้กอล์ฟ",J5324,"")</f>
        <v/>
      </c>
    </row>
    <row r="5325">
      <c r="A5325" s="1" t="n">
        <v>3</v>
      </c>
      <c r="B5325" s="1" t="inlineStr">
        <is>
          <t>อุปกรณ์เสริม</t>
        </is>
      </c>
      <c r="C5325" s="1" t="inlineStr">
        <is>
          <t>gf3500300957</t>
        </is>
      </c>
      <c r="D5325" s="1" t="inlineStr">
        <is>
          <t>TAYLORMADE Circle Logo Ball Case (White)</t>
        </is>
      </c>
      <c r="E5325" s="1" t="inlineStr">
        <is>
          <t>TAYLORMADE</t>
        </is>
      </c>
      <c r="F5325" s="1" t="inlineStr">
        <is>
          <t>GOLF ACCESSORIES</t>
        </is>
      </c>
      <c r="G5325" s="1" t="inlineStr">
        <is>
          <t>GF3500300957</t>
        </is>
      </c>
      <c r="H5325" s="1" t="n">
        <v>1</v>
      </c>
      <c r="I5325" s="1" t="inlineStr">
        <is>
          <t>หมด</t>
        </is>
      </c>
      <c r="J5325" s="13" t="n">
        <v>32</v>
      </c>
      <c r="K5325" s="1" t="inlineStr"/>
      <c r="L5325" s="13" t="n">
        <v>32</v>
      </c>
      <c r="M5325" s="1">
        <f>IF(L5325="","ไม่พบใน SG",IF(ABS(J5325-L5325)&lt;0.005,"ตรงกัน","ไม่ตรง"))</f>
        <v/>
      </c>
      <c r="N5325" s="14">
        <f>IF(L5325="","",ROUND(L5325*'สรุป'!$C$6,-1))</f>
        <v/>
      </c>
      <c r="O5325" s="15" t="n"/>
      <c r="P5325" s="15" t="n"/>
      <c r="Q5325" s="10" t="n"/>
      <c r="R5325" s="10" t="n"/>
      <c r="S5325" s="16" t="inlineStr">
        <is>
          <t>https://mstgolf.co.th/products/gf3500300957</t>
        </is>
      </c>
      <c r="T5325" s="1">
        <f>IF(B5325="ไม้กอล์ฟ",J5325,"")</f>
        <v/>
      </c>
    </row>
    <row r="5326">
      <c r="A5326" s="1" t="n">
        <v>3</v>
      </c>
      <c r="B5326" s="1" t="inlineStr">
        <is>
          <t>อุปกรณ์เสริม</t>
        </is>
      </c>
      <c r="C5326" s="1" t="inlineStr">
        <is>
          <t>gf3500400387</t>
        </is>
      </c>
      <c r="D5326" s="1" t="inlineStr">
        <is>
          <t>TAYLORMADE Pocket Clip Marker (Black)</t>
        </is>
      </c>
      <c r="E5326" s="1" t="inlineStr">
        <is>
          <t>TAYLORMADE</t>
        </is>
      </c>
      <c r="F5326" s="1" t="inlineStr">
        <is>
          <t>MARKERS &amp; DIVOTS</t>
        </is>
      </c>
      <c r="G5326" s="1" t="inlineStr">
        <is>
          <t>GF3500400387</t>
        </is>
      </c>
      <c r="H5326" s="1" t="n">
        <v>1</v>
      </c>
      <c r="I5326" s="1" t="inlineStr">
        <is>
          <t>หมด</t>
        </is>
      </c>
      <c r="J5326" s="13" t="n">
        <v>32</v>
      </c>
      <c r="K5326" s="1" t="inlineStr"/>
      <c r="L5326" s="13" t="n"/>
      <c r="M5326" s="1">
        <f>IF(L5326="","ไม่พบใน SG",IF(ABS(J5326-L5326)&lt;0.005,"ตรงกัน","ไม่ตรง"))</f>
        <v/>
      </c>
      <c r="N5326" s="14">
        <f>IF(L5326="","",ROUND(L5326*'สรุป'!$C$6,-1))</f>
        <v/>
      </c>
      <c r="O5326" s="15" t="n"/>
      <c r="P5326" s="15" t="n"/>
      <c r="Q5326" s="10" t="n"/>
      <c r="R5326" s="10" t="n"/>
      <c r="S5326" s="16" t="inlineStr">
        <is>
          <t>https://mstgolf.co.th/products/gf3500400387</t>
        </is>
      </c>
      <c r="T5326" s="1">
        <f>IF(B5326="ไม้กอล์ฟ",J5326,"")</f>
        <v/>
      </c>
    </row>
    <row r="5327">
      <c r="A5327" s="1" t="n">
        <v>3</v>
      </c>
      <c r="B5327" s="1" t="inlineStr">
        <is>
          <t>อุปกรณ์เสริม</t>
        </is>
      </c>
      <c r="C5327" s="1" t="inlineStr">
        <is>
          <t>gf3130100601</t>
        </is>
      </c>
      <c r="D5327" s="1" t="inlineStr">
        <is>
          <t>NICKENT 3058 Black Polarized Sunglasses</t>
        </is>
      </c>
      <c r="E5327" s="1" t="inlineStr">
        <is>
          <t>NICKENT</t>
        </is>
      </c>
      <c r="F5327" s="1" t="inlineStr">
        <is>
          <t>SUNGLASSES</t>
        </is>
      </c>
      <c r="G5327" s="1" t="inlineStr">
        <is>
          <t>GF3130100601</t>
        </is>
      </c>
      <c r="H5327" s="1" t="n">
        <v>1</v>
      </c>
      <c r="I5327" s="1" t="inlineStr">
        <is>
          <t>หมด</t>
        </is>
      </c>
      <c r="J5327" s="13" t="n">
        <v>31</v>
      </c>
      <c r="K5327" s="1" t="inlineStr"/>
      <c r="L5327" s="13" t="n"/>
      <c r="M5327" s="1">
        <f>IF(L5327="","ไม่พบใน SG",IF(ABS(J5327-L5327)&lt;0.005,"ตรงกัน","ไม่ตรง"))</f>
        <v/>
      </c>
      <c r="N5327" s="14">
        <f>IF(L5327="","",ROUND(L5327*'สรุป'!$C$6,-1))</f>
        <v/>
      </c>
      <c r="O5327" s="15" t="n"/>
      <c r="P5327" s="15" t="n"/>
      <c r="Q5327" s="10" t="n"/>
      <c r="R5327" s="10" t="n"/>
      <c r="S5327" s="16" t="inlineStr">
        <is>
          <t>https://mstgolf.co.th/products/gf3130100601</t>
        </is>
      </c>
      <c r="T5327" s="1">
        <f>IF(B5327="ไม้กอล์ฟ",J5327,"")</f>
        <v/>
      </c>
    </row>
    <row r="5328">
      <c r="A5328" s="1" t="n">
        <v>3</v>
      </c>
      <c r="B5328" s="1" t="inlineStr">
        <is>
          <t>อุปกรณ์เสริม</t>
        </is>
      </c>
      <c r="C5328" s="1" t="inlineStr">
        <is>
          <t>gf3130100599</t>
        </is>
      </c>
      <c r="D5328" s="1" t="inlineStr">
        <is>
          <t>NICKENT 55412 Red Polarized Sunglasses</t>
        </is>
      </c>
      <c r="E5328" s="1" t="inlineStr">
        <is>
          <t>NICKENT</t>
        </is>
      </c>
      <c r="F5328" s="1" t="inlineStr">
        <is>
          <t>SUNGLASSES</t>
        </is>
      </c>
      <c r="G5328" s="1" t="inlineStr">
        <is>
          <t>GF3130100599</t>
        </is>
      </c>
      <c r="H5328" s="1" t="n">
        <v>1</v>
      </c>
      <c r="I5328" s="1" t="inlineStr">
        <is>
          <t>หมด</t>
        </is>
      </c>
      <c r="J5328" s="13" t="n">
        <v>31</v>
      </c>
      <c r="K5328" s="1" t="inlineStr"/>
      <c r="L5328" s="13" t="n"/>
      <c r="M5328" s="1">
        <f>IF(L5328="","ไม่พบใน SG",IF(ABS(J5328-L5328)&lt;0.005,"ตรงกัน","ไม่ตรง"))</f>
        <v/>
      </c>
      <c r="N5328" s="14">
        <f>IF(L5328="","",ROUND(L5328*'สรุป'!$C$6,-1))</f>
        <v/>
      </c>
      <c r="O5328" s="15" t="n"/>
      <c r="P5328" s="15" t="n"/>
      <c r="Q5328" s="10" t="n"/>
      <c r="R5328" s="10" t="n"/>
      <c r="S5328" s="16" t="inlineStr">
        <is>
          <t>https://mstgolf.co.th/products/gf3130100599</t>
        </is>
      </c>
      <c r="T5328" s="1">
        <f>IF(B5328="ไม้กอล์ฟ",J5328,"")</f>
        <v/>
      </c>
    </row>
    <row r="5329">
      <c r="A5329" s="1" t="n">
        <v>3</v>
      </c>
      <c r="B5329" s="1" t="inlineStr">
        <is>
          <t>อุปกรณ์เสริม</t>
        </is>
      </c>
      <c r="C5329" s="1" t="inlineStr">
        <is>
          <t>gf3130100600</t>
        </is>
      </c>
      <c r="D5329" s="1" t="inlineStr">
        <is>
          <t>NICKENT 55412 Yellow Polarized Sunglasses</t>
        </is>
      </c>
      <c r="E5329" s="1" t="inlineStr">
        <is>
          <t>NICKENT</t>
        </is>
      </c>
      <c r="F5329" s="1" t="inlineStr">
        <is>
          <t>SUNGLASSES</t>
        </is>
      </c>
      <c r="G5329" s="1" t="inlineStr">
        <is>
          <t>GF3130100600</t>
        </is>
      </c>
      <c r="H5329" s="1" t="n">
        <v>1</v>
      </c>
      <c r="I5329" s="1" t="inlineStr">
        <is>
          <t>หมด</t>
        </is>
      </c>
      <c r="J5329" s="13" t="n">
        <v>31</v>
      </c>
      <c r="K5329" s="1" t="inlineStr"/>
      <c r="L5329" s="13" t="n"/>
      <c r="M5329" s="1">
        <f>IF(L5329="","ไม่พบใน SG",IF(ABS(J5329-L5329)&lt;0.005,"ตรงกัน","ไม่ตรง"))</f>
        <v/>
      </c>
      <c r="N5329" s="14">
        <f>IF(L5329="","",ROUND(L5329*'สรุป'!$C$6,-1))</f>
        <v/>
      </c>
      <c r="O5329" s="15" t="n"/>
      <c r="P5329" s="15" t="n"/>
      <c r="Q5329" s="10" t="n"/>
      <c r="R5329" s="10" t="n"/>
      <c r="S5329" s="16" t="inlineStr">
        <is>
          <t>https://mstgolf.co.th/products/gf3130100600</t>
        </is>
      </c>
      <c r="T5329" s="1">
        <f>IF(B5329="ไม้กอล์ฟ",J5329,"")</f>
        <v/>
      </c>
    </row>
    <row r="5330">
      <c r="A5330" s="1" t="n">
        <v>3</v>
      </c>
      <c r="B5330" s="1" t="inlineStr">
        <is>
          <t>อุปกรณ์เสริม</t>
        </is>
      </c>
      <c r="C5330" s="1" t="inlineStr">
        <is>
          <t>gf3130100586</t>
        </is>
      </c>
      <c r="D5330" s="1" t="inlineStr">
        <is>
          <t>NICKENT 562 Black Polarized Sunglasses</t>
        </is>
      </c>
      <c r="E5330" s="1" t="inlineStr">
        <is>
          <t>NICKENT</t>
        </is>
      </c>
      <c r="F5330" s="1" t="inlineStr">
        <is>
          <t>SUNGLASSES</t>
        </is>
      </c>
      <c r="G5330" s="1" t="inlineStr">
        <is>
          <t>GF3130100586</t>
        </is>
      </c>
      <c r="H5330" s="1" t="n">
        <v>1</v>
      </c>
      <c r="I5330" s="1" t="inlineStr">
        <is>
          <t>หมด</t>
        </is>
      </c>
      <c r="J5330" s="13" t="n">
        <v>31</v>
      </c>
      <c r="K5330" s="1" t="inlineStr"/>
      <c r="L5330" s="13" t="n"/>
      <c r="M5330" s="1">
        <f>IF(L5330="","ไม่พบใน SG",IF(ABS(J5330-L5330)&lt;0.005,"ตรงกัน","ไม่ตรง"))</f>
        <v/>
      </c>
      <c r="N5330" s="14">
        <f>IF(L5330="","",ROUND(L5330*'สรุป'!$C$6,-1))</f>
        <v/>
      </c>
      <c r="O5330" s="15" t="n"/>
      <c r="P5330" s="15" t="n"/>
      <c r="Q5330" s="10" t="n"/>
      <c r="R5330" s="10" t="n"/>
      <c r="S5330" s="16" t="inlineStr">
        <is>
          <t>https://mstgolf.co.th/products/gf3130100586</t>
        </is>
      </c>
      <c r="T5330" s="1">
        <f>IF(B5330="ไม้กอล์ฟ",J5330,"")</f>
        <v/>
      </c>
    </row>
    <row r="5331">
      <c r="A5331" s="1" t="n">
        <v>3</v>
      </c>
      <c r="B5331" s="1" t="inlineStr">
        <is>
          <t>อุปกรณ์เสริม</t>
        </is>
      </c>
      <c r="C5331" s="1" t="inlineStr">
        <is>
          <t>gf3130100587</t>
        </is>
      </c>
      <c r="D5331" s="1" t="inlineStr">
        <is>
          <t>NICKENT 562 Blue Polarized Sunglasses</t>
        </is>
      </c>
      <c r="E5331" s="1" t="inlineStr">
        <is>
          <t>NICKENT</t>
        </is>
      </c>
      <c r="F5331" s="1" t="inlineStr">
        <is>
          <t>SUNGLASSES</t>
        </is>
      </c>
      <c r="G5331" s="1" t="inlineStr">
        <is>
          <t>GF3130100587</t>
        </is>
      </c>
      <c r="H5331" s="1" t="n">
        <v>1</v>
      </c>
      <c r="I5331" s="1" t="inlineStr">
        <is>
          <t>หมด</t>
        </is>
      </c>
      <c r="J5331" s="13" t="n">
        <v>31</v>
      </c>
      <c r="K5331" s="1" t="inlineStr"/>
      <c r="L5331" s="13" t="n"/>
      <c r="M5331" s="1">
        <f>IF(L5331="","ไม่พบใน SG",IF(ABS(J5331-L5331)&lt;0.005,"ตรงกัน","ไม่ตรง"))</f>
        <v/>
      </c>
      <c r="N5331" s="14">
        <f>IF(L5331="","",ROUND(L5331*'สรุป'!$C$6,-1))</f>
        <v/>
      </c>
      <c r="O5331" s="15" t="n"/>
      <c r="P5331" s="15" t="n"/>
      <c r="Q5331" s="10" t="n"/>
      <c r="R5331" s="10" t="n"/>
      <c r="S5331" s="16" t="inlineStr">
        <is>
          <t>https://mstgolf.co.th/products/gf3130100587</t>
        </is>
      </c>
      <c r="T5331" s="1">
        <f>IF(B5331="ไม้กอล์ฟ",J5331,"")</f>
        <v/>
      </c>
    </row>
    <row r="5332">
      <c r="A5332" s="1" t="n">
        <v>3</v>
      </c>
      <c r="B5332" s="1" t="inlineStr">
        <is>
          <t>อุปกรณ์เสริม</t>
        </is>
      </c>
      <c r="C5332" s="1" t="inlineStr">
        <is>
          <t>gf3130100588</t>
        </is>
      </c>
      <c r="D5332" s="1" t="inlineStr">
        <is>
          <t>NICKENT 562 Grey Polarized Sunglasses</t>
        </is>
      </c>
      <c r="E5332" s="1" t="inlineStr">
        <is>
          <t>NICKENT</t>
        </is>
      </c>
      <c r="F5332" s="1" t="inlineStr">
        <is>
          <t>SUNGLASSES</t>
        </is>
      </c>
      <c r="G5332" s="1" t="inlineStr">
        <is>
          <t>GF3130100588</t>
        </is>
      </c>
      <c r="H5332" s="1" t="n">
        <v>1</v>
      </c>
      <c r="I5332" s="1" t="inlineStr">
        <is>
          <t>หมด</t>
        </is>
      </c>
      <c r="J5332" s="13" t="n">
        <v>31</v>
      </c>
      <c r="K5332" s="1" t="inlineStr"/>
      <c r="L5332" s="13" t="n"/>
      <c r="M5332" s="1">
        <f>IF(L5332="","ไม่พบใน SG",IF(ABS(J5332-L5332)&lt;0.005,"ตรงกัน","ไม่ตรง"))</f>
        <v/>
      </c>
      <c r="N5332" s="14">
        <f>IF(L5332="","",ROUND(L5332*'สรุป'!$C$6,-1))</f>
        <v/>
      </c>
      <c r="O5332" s="15" t="n"/>
      <c r="P5332" s="15" t="n"/>
      <c r="Q5332" s="10" t="n"/>
      <c r="R5332" s="10" t="n"/>
      <c r="S5332" s="16" t="inlineStr">
        <is>
          <t>https://mstgolf.co.th/products/gf3130100588</t>
        </is>
      </c>
      <c r="T5332" s="1">
        <f>IF(B5332="ไม้กอล์ฟ",J5332,"")</f>
        <v/>
      </c>
    </row>
    <row r="5333">
      <c r="A5333" s="1" t="n">
        <v>3</v>
      </c>
      <c r="B5333" s="1" t="inlineStr">
        <is>
          <t>อุปกรณ์เสริม</t>
        </is>
      </c>
      <c r="C5333" s="1" t="inlineStr">
        <is>
          <t>gf3130100605</t>
        </is>
      </c>
      <c r="D5333" s="1" t="inlineStr">
        <is>
          <t>NICKENT 6525 Grey Polarized Sunglasses</t>
        </is>
      </c>
      <c r="E5333" s="1" t="inlineStr">
        <is>
          <t>NICKENT</t>
        </is>
      </c>
      <c r="F5333" s="1" t="inlineStr">
        <is>
          <t>SUNGLASSES</t>
        </is>
      </c>
      <c r="G5333" s="1" t="inlineStr">
        <is>
          <t>GF3130100605</t>
        </is>
      </c>
      <c r="H5333" s="1" t="n">
        <v>1</v>
      </c>
      <c r="I5333" s="1" t="inlineStr">
        <is>
          <t>หมด</t>
        </is>
      </c>
      <c r="J5333" s="13" t="n">
        <v>31</v>
      </c>
      <c r="K5333" s="1" t="inlineStr"/>
      <c r="L5333" s="13" t="n"/>
      <c r="M5333" s="1">
        <f>IF(L5333="","ไม่พบใน SG",IF(ABS(J5333-L5333)&lt;0.005,"ตรงกัน","ไม่ตรง"))</f>
        <v/>
      </c>
      <c r="N5333" s="14">
        <f>IF(L5333="","",ROUND(L5333*'สรุป'!$C$6,-1))</f>
        <v/>
      </c>
      <c r="O5333" s="15" t="n"/>
      <c r="P5333" s="15" t="n"/>
      <c r="Q5333" s="10" t="n"/>
      <c r="R5333" s="10" t="n"/>
      <c r="S5333" s="16" t="inlineStr">
        <is>
          <t>https://mstgolf.co.th/products/gf3130100605</t>
        </is>
      </c>
      <c r="T5333" s="1">
        <f>IF(B5333="ไม้กอล์ฟ",J5333,"")</f>
        <v/>
      </c>
    </row>
    <row r="5334">
      <c r="A5334" s="1" t="n">
        <v>3</v>
      </c>
      <c r="B5334" s="1" t="inlineStr">
        <is>
          <t>อุปกรณ์เสริม</t>
        </is>
      </c>
      <c r="C5334" s="1" t="inlineStr">
        <is>
          <t>gf3130100610</t>
        </is>
      </c>
      <c r="D5334" s="1" t="inlineStr">
        <is>
          <t>NICKENT 8183 Black Polarized Sunglasses</t>
        </is>
      </c>
      <c r="E5334" s="1" t="inlineStr">
        <is>
          <t>NICKENT</t>
        </is>
      </c>
      <c r="F5334" s="1" t="inlineStr">
        <is>
          <t>SUNGLASSES</t>
        </is>
      </c>
      <c r="G5334" s="1" t="inlineStr">
        <is>
          <t>GF3130100610</t>
        </is>
      </c>
      <c r="H5334" s="1" t="n">
        <v>1</v>
      </c>
      <c r="I5334" s="1" t="inlineStr">
        <is>
          <t>หมด</t>
        </is>
      </c>
      <c r="J5334" s="13" t="n">
        <v>31</v>
      </c>
      <c r="K5334" s="1" t="inlineStr"/>
      <c r="L5334" s="13" t="n"/>
      <c r="M5334" s="1">
        <f>IF(L5334="","ไม่พบใน SG",IF(ABS(J5334-L5334)&lt;0.005,"ตรงกัน","ไม่ตรง"))</f>
        <v/>
      </c>
      <c r="N5334" s="14">
        <f>IF(L5334="","",ROUND(L5334*'สรุป'!$C$6,-1))</f>
        <v/>
      </c>
      <c r="O5334" s="15" t="n"/>
      <c r="P5334" s="15" t="n"/>
      <c r="Q5334" s="10" t="n"/>
      <c r="R5334" s="10" t="n"/>
      <c r="S5334" s="16" t="inlineStr">
        <is>
          <t>https://mstgolf.co.th/products/gf3130100610</t>
        </is>
      </c>
      <c r="T5334" s="1">
        <f>IF(B5334="ไม้กอล์ฟ",J5334,"")</f>
        <v/>
      </c>
    </row>
    <row r="5335">
      <c r="A5335" s="1" t="n">
        <v>3</v>
      </c>
      <c r="B5335" s="1" t="inlineStr">
        <is>
          <t>อุปกรณ์เสริม</t>
        </is>
      </c>
      <c r="C5335" s="1" t="inlineStr">
        <is>
          <t>gf3130100606</t>
        </is>
      </c>
      <c r="D5335" s="1" t="inlineStr">
        <is>
          <t>NICKENT 8188 Black Polarized Sunglasses</t>
        </is>
      </c>
      <c r="E5335" s="1" t="inlineStr">
        <is>
          <t>NICKENT</t>
        </is>
      </c>
      <c r="F5335" s="1" t="inlineStr">
        <is>
          <t>SUNGLASSES</t>
        </is>
      </c>
      <c r="G5335" s="1" t="inlineStr">
        <is>
          <t>GF3130100606</t>
        </is>
      </c>
      <c r="H5335" s="1" t="n">
        <v>1</v>
      </c>
      <c r="I5335" s="1" t="inlineStr">
        <is>
          <t>หมด</t>
        </is>
      </c>
      <c r="J5335" s="13" t="n">
        <v>31</v>
      </c>
      <c r="K5335" s="1" t="inlineStr"/>
      <c r="L5335" s="13" t="n"/>
      <c r="M5335" s="1">
        <f>IF(L5335="","ไม่พบใน SG",IF(ABS(J5335-L5335)&lt;0.005,"ตรงกัน","ไม่ตรง"))</f>
        <v/>
      </c>
      <c r="N5335" s="14">
        <f>IF(L5335="","",ROUND(L5335*'สรุป'!$C$6,-1))</f>
        <v/>
      </c>
      <c r="O5335" s="15" t="n"/>
      <c r="P5335" s="15" t="n"/>
      <c r="Q5335" s="10" t="n"/>
      <c r="R5335" s="10" t="n"/>
      <c r="S5335" s="16" t="inlineStr">
        <is>
          <t>https://mstgolf.co.th/products/gf3130100606</t>
        </is>
      </c>
      <c r="T5335" s="1">
        <f>IF(B5335="ไม้กอล์ฟ",J5335,"")</f>
        <v/>
      </c>
    </row>
    <row r="5336">
      <c r="A5336" s="1" t="n">
        <v>3</v>
      </c>
      <c r="B5336" s="1" t="inlineStr">
        <is>
          <t>อุปกรณ์เสริม</t>
        </is>
      </c>
      <c r="C5336" s="1" t="inlineStr">
        <is>
          <t>gf3130100463</t>
        </is>
      </c>
      <c r="D5336" s="1" t="inlineStr">
        <is>
          <t>NICKENT 8321 Matte Black/Grey Polarized Sunglasses</t>
        </is>
      </c>
      <c r="E5336" s="1" t="inlineStr">
        <is>
          <t>NICKENT</t>
        </is>
      </c>
      <c r="F5336" s="1" t="inlineStr">
        <is>
          <t>SUNGLASSES</t>
        </is>
      </c>
      <c r="G5336" s="1" t="inlineStr">
        <is>
          <t>GF3130100463</t>
        </is>
      </c>
      <c r="H5336" s="1" t="n">
        <v>1</v>
      </c>
      <c r="I5336" s="1" t="inlineStr">
        <is>
          <t>หมด</t>
        </is>
      </c>
      <c r="J5336" s="13" t="n">
        <v>31</v>
      </c>
      <c r="K5336" s="1" t="inlineStr"/>
      <c r="L5336" s="13" t="n">
        <v>31</v>
      </c>
      <c r="M5336" s="1">
        <f>IF(L5336="","ไม่พบใน SG",IF(ABS(J5336-L5336)&lt;0.005,"ตรงกัน","ไม่ตรง"))</f>
        <v/>
      </c>
      <c r="N5336" s="14">
        <f>IF(L5336="","",ROUND(L5336*'สรุป'!$C$6,-1))</f>
        <v/>
      </c>
      <c r="O5336" s="15" t="n"/>
      <c r="P5336" s="15" t="n"/>
      <c r="Q5336" s="10" t="n"/>
      <c r="R5336" s="10" t="n"/>
      <c r="S5336" s="16" t="inlineStr">
        <is>
          <t>https://mstgolf.co.th/products/gf3130100463</t>
        </is>
      </c>
      <c r="T5336" s="1">
        <f>IF(B5336="ไม้กอล์ฟ",J5336,"")</f>
        <v/>
      </c>
    </row>
    <row r="5337">
      <c r="A5337" s="1" t="n">
        <v>3</v>
      </c>
      <c r="B5337" s="1" t="inlineStr">
        <is>
          <t>อุปกรณ์เสริม</t>
        </is>
      </c>
      <c r="C5337" s="1" t="inlineStr">
        <is>
          <t>gf3130100596</t>
        </is>
      </c>
      <c r="D5337" s="1" t="inlineStr">
        <is>
          <t>NICKENT 8437 Black Polarized Sunglasses</t>
        </is>
      </c>
      <c r="E5337" s="1" t="inlineStr">
        <is>
          <t>NICKENT</t>
        </is>
      </c>
      <c r="F5337" s="1" t="inlineStr">
        <is>
          <t>SUNGLASSES</t>
        </is>
      </c>
      <c r="G5337" s="1" t="inlineStr">
        <is>
          <t>GF3130100596</t>
        </is>
      </c>
      <c r="H5337" s="1" t="n">
        <v>1</v>
      </c>
      <c r="I5337" s="1" t="inlineStr">
        <is>
          <t>หมด</t>
        </is>
      </c>
      <c r="J5337" s="13" t="n">
        <v>31</v>
      </c>
      <c r="K5337" s="1" t="inlineStr"/>
      <c r="L5337" s="13" t="n"/>
      <c r="M5337" s="1">
        <f>IF(L5337="","ไม่พบใน SG",IF(ABS(J5337-L5337)&lt;0.005,"ตรงกัน","ไม่ตรง"))</f>
        <v/>
      </c>
      <c r="N5337" s="14">
        <f>IF(L5337="","",ROUND(L5337*'สรุป'!$C$6,-1))</f>
        <v/>
      </c>
      <c r="O5337" s="15" t="n"/>
      <c r="P5337" s="15" t="n"/>
      <c r="Q5337" s="10" t="n"/>
      <c r="R5337" s="10" t="n"/>
      <c r="S5337" s="16" t="inlineStr">
        <is>
          <t>https://mstgolf.co.th/products/gf3130100596</t>
        </is>
      </c>
      <c r="T5337" s="1">
        <f>IF(B5337="ไม้กอล์ฟ",J5337,"")</f>
        <v/>
      </c>
    </row>
    <row r="5338">
      <c r="A5338" s="1" t="n">
        <v>3</v>
      </c>
      <c r="B5338" s="1" t="inlineStr">
        <is>
          <t>อุปกรณ์เสริม</t>
        </is>
      </c>
      <c r="C5338" s="1" t="inlineStr">
        <is>
          <t>gf3130100591</t>
        </is>
      </c>
      <c r="D5338" s="1" t="inlineStr">
        <is>
          <t>NICKENT 8450 Black Polarized Sunglasses</t>
        </is>
      </c>
      <c r="E5338" s="1" t="inlineStr">
        <is>
          <t>NICKENT</t>
        </is>
      </c>
      <c r="F5338" s="1" t="inlineStr">
        <is>
          <t>SUNGLASSES</t>
        </is>
      </c>
      <c r="G5338" s="1" t="inlineStr">
        <is>
          <t>GF3130100591</t>
        </is>
      </c>
      <c r="H5338" s="1" t="n">
        <v>1</v>
      </c>
      <c r="I5338" s="1" t="inlineStr">
        <is>
          <t>หมด</t>
        </is>
      </c>
      <c r="J5338" s="13" t="n">
        <v>31</v>
      </c>
      <c r="K5338" s="1" t="inlineStr"/>
      <c r="L5338" s="13" t="n"/>
      <c r="M5338" s="1">
        <f>IF(L5338="","ไม่พบใน SG",IF(ABS(J5338-L5338)&lt;0.005,"ตรงกัน","ไม่ตรง"))</f>
        <v/>
      </c>
      <c r="N5338" s="14">
        <f>IF(L5338="","",ROUND(L5338*'สรุป'!$C$6,-1))</f>
        <v/>
      </c>
      <c r="O5338" s="15" t="n"/>
      <c r="P5338" s="15" t="n"/>
      <c r="Q5338" s="10" t="n"/>
      <c r="R5338" s="10" t="n"/>
      <c r="S5338" s="16" t="inlineStr">
        <is>
          <t>https://mstgolf.co.th/products/gf3130100591</t>
        </is>
      </c>
      <c r="T5338" s="1">
        <f>IF(B5338="ไม้กอล์ฟ",J5338,"")</f>
        <v/>
      </c>
    </row>
    <row r="5339">
      <c r="A5339" s="1" t="n">
        <v>3</v>
      </c>
      <c r="B5339" s="1" t="inlineStr">
        <is>
          <t>อุปกรณ์เสริม</t>
        </is>
      </c>
      <c r="C5339" s="1" t="inlineStr">
        <is>
          <t>gf3130100589</t>
        </is>
      </c>
      <c r="D5339" s="1" t="inlineStr">
        <is>
          <t>NICKENT 8450 Blue Polarized Sunglasses</t>
        </is>
      </c>
      <c r="E5339" s="1" t="inlineStr">
        <is>
          <t>NICKENT</t>
        </is>
      </c>
      <c r="F5339" s="1" t="inlineStr">
        <is>
          <t>SUNGLASSES</t>
        </is>
      </c>
      <c r="G5339" s="1" t="inlineStr">
        <is>
          <t>GF3130100589</t>
        </is>
      </c>
      <c r="H5339" s="1" t="n">
        <v>1</v>
      </c>
      <c r="I5339" s="1" t="inlineStr">
        <is>
          <t>หมด</t>
        </is>
      </c>
      <c r="J5339" s="13" t="n">
        <v>31</v>
      </c>
      <c r="K5339" s="1" t="inlineStr"/>
      <c r="L5339" s="13" t="n"/>
      <c r="M5339" s="1">
        <f>IF(L5339="","ไม่พบใน SG",IF(ABS(J5339-L5339)&lt;0.005,"ตรงกัน","ไม่ตรง"))</f>
        <v/>
      </c>
      <c r="N5339" s="14">
        <f>IF(L5339="","",ROUND(L5339*'สรุป'!$C$6,-1))</f>
        <v/>
      </c>
      <c r="O5339" s="15" t="n"/>
      <c r="P5339" s="15" t="n"/>
      <c r="Q5339" s="10" t="n"/>
      <c r="R5339" s="10" t="n"/>
      <c r="S5339" s="16" t="inlineStr">
        <is>
          <t>https://mstgolf.co.th/products/gf3130100589</t>
        </is>
      </c>
      <c r="T5339" s="1">
        <f>IF(B5339="ไม้กอล์ฟ",J5339,"")</f>
        <v/>
      </c>
    </row>
    <row r="5340">
      <c r="A5340" s="1" t="n">
        <v>3</v>
      </c>
      <c r="B5340" s="1" t="inlineStr">
        <is>
          <t>อุปกรณ์เสริม</t>
        </is>
      </c>
      <c r="C5340" s="1" t="inlineStr">
        <is>
          <t>gf3130100592</t>
        </is>
      </c>
      <c r="D5340" s="1" t="inlineStr">
        <is>
          <t>NICKENT 8458 Red Polarized Sunglasses</t>
        </is>
      </c>
      <c r="E5340" s="1" t="inlineStr">
        <is>
          <t>NICKENT</t>
        </is>
      </c>
      <c r="F5340" s="1" t="inlineStr">
        <is>
          <t>SUNGLASSES</t>
        </is>
      </c>
      <c r="G5340" s="1" t="inlineStr">
        <is>
          <t>GF3130100592</t>
        </is>
      </c>
      <c r="H5340" s="1" t="n">
        <v>1</v>
      </c>
      <c r="I5340" s="1" t="inlineStr">
        <is>
          <t>หมด</t>
        </is>
      </c>
      <c r="J5340" s="13" t="n">
        <v>31</v>
      </c>
      <c r="K5340" s="1" t="inlineStr"/>
      <c r="L5340" s="13" t="n"/>
      <c r="M5340" s="1">
        <f>IF(L5340="","ไม่พบใน SG",IF(ABS(J5340-L5340)&lt;0.005,"ตรงกัน","ไม่ตรง"))</f>
        <v/>
      </c>
      <c r="N5340" s="14">
        <f>IF(L5340="","",ROUND(L5340*'สรุป'!$C$6,-1))</f>
        <v/>
      </c>
      <c r="O5340" s="15" t="n"/>
      <c r="P5340" s="15" t="n"/>
      <c r="Q5340" s="10" t="n"/>
      <c r="R5340" s="10" t="n"/>
      <c r="S5340" s="16" t="inlineStr">
        <is>
          <t>https://mstgolf.co.th/products/gf3130100592</t>
        </is>
      </c>
      <c r="T5340" s="1">
        <f>IF(B5340="ไม้กอล์ฟ",J5340,"")</f>
        <v/>
      </c>
    </row>
    <row r="5341">
      <c r="A5341" s="1" t="n">
        <v>3</v>
      </c>
      <c r="B5341" s="1" t="inlineStr">
        <is>
          <t>อุปกรณ์เสริม</t>
        </is>
      </c>
      <c r="C5341" s="1" t="inlineStr">
        <is>
          <t>gf3130100295</t>
        </is>
      </c>
      <c r="D5341" s="1" t="inlineStr">
        <is>
          <t>NICKENT 8803 Black/Smoke Polarized Sunglasses</t>
        </is>
      </c>
      <c r="E5341" s="1" t="inlineStr">
        <is>
          <t>NICKENT</t>
        </is>
      </c>
      <c r="F5341" s="1" t="inlineStr">
        <is>
          <t>SUNGLASSES</t>
        </is>
      </c>
      <c r="G5341" s="1" t="inlineStr">
        <is>
          <t>GF3130100295</t>
        </is>
      </c>
      <c r="H5341" s="1" t="n">
        <v>1</v>
      </c>
      <c r="I5341" s="1" t="inlineStr">
        <is>
          <t>หมด</t>
        </is>
      </c>
      <c r="J5341" s="13" t="n">
        <v>31</v>
      </c>
      <c r="K5341" s="1" t="inlineStr"/>
      <c r="L5341" s="13" t="n">
        <v>31</v>
      </c>
      <c r="M5341" s="1">
        <f>IF(L5341="","ไม่พบใน SG",IF(ABS(J5341-L5341)&lt;0.005,"ตรงกัน","ไม่ตรง"))</f>
        <v/>
      </c>
      <c r="N5341" s="14">
        <f>IF(L5341="","",ROUND(L5341*'สรุป'!$C$6,-1))</f>
        <v/>
      </c>
      <c r="O5341" s="15" t="n"/>
      <c r="P5341" s="15" t="n"/>
      <c r="Q5341" s="10" t="n"/>
      <c r="R5341" s="10" t="n"/>
      <c r="S5341" s="16" t="inlineStr">
        <is>
          <t>https://mstgolf.co.th/products/gf3130100295</t>
        </is>
      </c>
      <c r="T5341" s="1">
        <f>IF(B5341="ไม้กอล์ฟ",J5341,"")</f>
        <v/>
      </c>
    </row>
    <row r="5342">
      <c r="A5342" s="1" t="n">
        <v>3</v>
      </c>
      <c r="B5342" s="1" t="inlineStr">
        <is>
          <t>อุปกรณ์เสริม</t>
        </is>
      </c>
      <c r="C5342" s="1" t="inlineStr">
        <is>
          <t>gf3130100286</t>
        </is>
      </c>
      <c r="D5342" s="1" t="inlineStr">
        <is>
          <t>NICKENT 9301 Black/Smoke Polarized Sunglasses</t>
        </is>
      </c>
      <c r="E5342" s="1" t="inlineStr">
        <is>
          <t>NICKENT</t>
        </is>
      </c>
      <c r="F5342" s="1" t="inlineStr">
        <is>
          <t>SUNGLASSES</t>
        </is>
      </c>
      <c r="G5342" s="1" t="inlineStr">
        <is>
          <t>GF3130100286</t>
        </is>
      </c>
      <c r="H5342" s="1" t="n">
        <v>1</v>
      </c>
      <c r="I5342" s="1" t="inlineStr">
        <is>
          <t>หมด</t>
        </is>
      </c>
      <c r="J5342" s="13" t="n">
        <v>31</v>
      </c>
      <c r="K5342" s="1" t="inlineStr"/>
      <c r="L5342" s="13" t="n">
        <v>31</v>
      </c>
      <c r="M5342" s="1">
        <f>IF(L5342="","ไม่พบใน SG",IF(ABS(J5342-L5342)&lt;0.005,"ตรงกัน","ไม่ตรง"))</f>
        <v/>
      </c>
      <c r="N5342" s="14">
        <f>IF(L5342="","",ROUND(L5342*'สรุป'!$C$6,-1))</f>
        <v/>
      </c>
      <c r="O5342" s="15" t="n"/>
      <c r="P5342" s="15" t="n"/>
      <c r="Q5342" s="10" t="n"/>
      <c r="R5342" s="10" t="n"/>
      <c r="S5342" s="16" t="inlineStr">
        <is>
          <t>https://mstgolf.co.th/products/gf3130100286</t>
        </is>
      </c>
      <c r="T5342" s="1">
        <f>IF(B5342="ไม้กอล์ฟ",J5342,"")</f>
        <v/>
      </c>
    </row>
    <row r="5343">
      <c r="A5343" s="1" t="n">
        <v>3</v>
      </c>
      <c r="B5343" s="1" t="inlineStr">
        <is>
          <t>อุปกรณ์เสริม</t>
        </is>
      </c>
      <c r="C5343" s="1" t="inlineStr">
        <is>
          <t>gf3130100425</t>
        </is>
      </c>
      <c r="D5343" s="1" t="inlineStr">
        <is>
          <t>NICKENT PS8056 Glossy Black Polarized Sunglasses</t>
        </is>
      </c>
      <c r="E5343" s="1" t="inlineStr">
        <is>
          <t>NICKENT</t>
        </is>
      </c>
      <c r="F5343" s="1" t="inlineStr">
        <is>
          <t>SUNGLASSES</t>
        </is>
      </c>
      <c r="G5343" s="1" t="inlineStr">
        <is>
          <t>GF3130100425</t>
        </is>
      </c>
      <c r="H5343" s="1" t="n">
        <v>1</v>
      </c>
      <c r="I5343" s="1" t="inlineStr">
        <is>
          <t>หมด</t>
        </is>
      </c>
      <c r="J5343" s="13" t="n">
        <v>31</v>
      </c>
      <c r="K5343" s="1" t="inlineStr"/>
      <c r="L5343" s="13" t="n">
        <v>31</v>
      </c>
      <c r="M5343" s="1">
        <f>IF(L5343="","ไม่พบใน SG",IF(ABS(J5343-L5343)&lt;0.005,"ตรงกัน","ไม่ตรง"))</f>
        <v/>
      </c>
      <c r="N5343" s="14">
        <f>IF(L5343="","",ROUND(L5343*'สรุป'!$C$6,-1))</f>
        <v/>
      </c>
      <c r="O5343" s="15" t="n"/>
      <c r="P5343" s="15" t="n"/>
      <c r="Q5343" s="10" t="n"/>
      <c r="R5343" s="10" t="n"/>
      <c r="S5343" s="16" t="inlineStr">
        <is>
          <t>https://mstgolf.co.th/products/gf3130100425</t>
        </is>
      </c>
      <c r="T5343" s="1">
        <f>IF(B5343="ไม้กอล์ฟ",J5343,"")</f>
        <v/>
      </c>
    </row>
    <row r="5344">
      <c r="A5344" s="1" t="n">
        <v>3</v>
      </c>
      <c r="B5344" s="1" t="inlineStr">
        <is>
          <t>อุปกรณ์เสริม</t>
        </is>
      </c>
      <c r="C5344" s="1" t="inlineStr">
        <is>
          <t>gf3130100423</t>
        </is>
      </c>
      <c r="D5344" s="1" t="inlineStr">
        <is>
          <t>NICKENT PS8056 Matte Black Polarized Sunglasses</t>
        </is>
      </c>
      <c r="E5344" s="1" t="inlineStr">
        <is>
          <t>NICKENT</t>
        </is>
      </c>
      <c r="F5344" s="1" t="inlineStr">
        <is>
          <t>SUNGLASSES</t>
        </is>
      </c>
      <c r="G5344" s="1" t="inlineStr">
        <is>
          <t>GF3130100423</t>
        </is>
      </c>
      <c r="H5344" s="1" t="n">
        <v>1</v>
      </c>
      <c r="I5344" s="1" t="inlineStr">
        <is>
          <t>หมด</t>
        </is>
      </c>
      <c r="J5344" s="13" t="n">
        <v>31</v>
      </c>
      <c r="K5344" s="1" t="inlineStr"/>
      <c r="L5344" s="13" t="n">
        <v>31</v>
      </c>
      <c r="M5344" s="1">
        <f>IF(L5344="","ไม่พบใน SG",IF(ABS(J5344-L5344)&lt;0.005,"ตรงกัน","ไม่ตรง"))</f>
        <v/>
      </c>
      <c r="N5344" s="14">
        <f>IF(L5344="","",ROUND(L5344*'สรุป'!$C$6,-1))</f>
        <v/>
      </c>
      <c r="O5344" s="15" t="n"/>
      <c r="P5344" s="15" t="n"/>
      <c r="Q5344" s="10" t="n"/>
      <c r="R5344" s="10" t="n"/>
      <c r="S5344" s="16" t="inlineStr">
        <is>
          <t>https://mstgolf.co.th/products/gf3130100423</t>
        </is>
      </c>
      <c r="T5344" s="1">
        <f>IF(B5344="ไม้กอล์ฟ",J5344,"")</f>
        <v/>
      </c>
    </row>
    <row r="5345">
      <c r="A5345" s="1" t="n">
        <v>3</v>
      </c>
      <c r="B5345" s="1" t="inlineStr">
        <is>
          <t>อุปกรณ์เสริม</t>
        </is>
      </c>
      <c r="C5345" s="1" t="inlineStr">
        <is>
          <t>gf3130100428</t>
        </is>
      </c>
      <c r="D5345" s="1" t="inlineStr">
        <is>
          <t>NICKENT PS8059 Brown Polarized Sunglasses</t>
        </is>
      </c>
      <c r="E5345" s="1" t="inlineStr">
        <is>
          <t>NICKENT</t>
        </is>
      </c>
      <c r="F5345" s="1" t="inlineStr">
        <is>
          <t>SUNGLASSES</t>
        </is>
      </c>
      <c r="G5345" s="1" t="inlineStr">
        <is>
          <t>GF3130100428</t>
        </is>
      </c>
      <c r="H5345" s="1" t="n">
        <v>1</v>
      </c>
      <c r="I5345" s="1" t="inlineStr">
        <is>
          <t>หมด</t>
        </is>
      </c>
      <c r="J5345" s="13" t="n">
        <v>31</v>
      </c>
      <c r="K5345" s="1" t="inlineStr"/>
      <c r="L5345" s="13" t="n">
        <v>31</v>
      </c>
      <c r="M5345" s="1">
        <f>IF(L5345="","ไม่พบใน SG",IF(ABS(J5345-L5345)&lt;0.005,"ตรงกัน","ไม่ตรง"))</f>
        <v/>
      </c>
      <c r="N5345" s="14">
        <f>IF(L5345="","",ROUND(L5345*'สรุป'!$C$6,-1))</f>
        <v/>
      </c>
      <c r="O5345" s="15" t="n"/>
      <c r="P5345" s="15" t="n"/>
      <c r="Q5345" s="10" t="n"/>
      <c r="R5345" s="10" t="n"/>
      <c r="S5345" s="16" t="inlineStr">
        <is>
          <t>https://mstgolf.co.th/products/gf3130100428</t>
        </is>
      </c>
      <c r="T5345" s="1">
        <f>IF(B5345="ไม้กอล์ฟ",J5345,"")</f>
        <v/>
      </c>
    </row>
    <row r="5346">
      <c r="A5346" s="1" t="n">
        <v>3</v>
      </c>
      <c r="B5346" s="1" t="inlineStr">
        <is>
          <t>อุปกรณ์เสริม</t>
        </is>
      </c>
      <c r="C5346" s="1" t="inlineStr">
        <is>
          <t>gf3130100434</t>
        </is>
      </c>
      <c r="D5346" s="1" t="inlineStr">
        <is>
          <t>NICKENT PS8070 Matte Black Polarized Sunglasses</t>
        </is>
      </c>
      <c r="E5346" s="1" t="inlineStr">
        <is>
          <t>NICKENT</t>
        </is>
      </c>
      <c r="F5346" s="1" t="inlineStr">
        <is>
          <t>SUNGLASSES</t>
        </is>
      </c>
      <c r="G5346" s="1" t="inlineStr">
        <is>
          <t>GF3130100434</t>
        </is>
      </c>
      <c r="H5346" s="1" t="n">
        <v>1</v>
      </c>
      <c r="I5346" s="1" t="inlineStr">
        <is>
          <t>หมด</t>
        </is>
      </c>
      <c r="J5346" s="13" t="n">
        <v>31</v>
      </c>
      <c r="K5346" s="1" t="inlineStr"/>
      <c r="L5346" s="13" t="n">
        <v>31</v>
      </c>
      <c r="M5346" s="1">
        <f>IF(L5346="","ไม่พบใน SG",IF(ABS(J5346-L5346)&lt;0.005,"ตรงกัน","ไม่ตรง"))</f>
        <v/>
      </c>
      <c r="N5346" s="14">
        <f>IF(L5346="","",ROUND(L5346*'สรุป'!$C$6,-1))</f>
        <v/>
      </c>
      <c r="O5346" s="15" t="n"/>
      <c r="P5346" s="15" t="n"/>
      <c r="Q5346" s="10" t="n"/>
      <c r="R5346" s="10" t="n"/>
      <c r="S5346" s="16" t="inlineStr">
        <is>
          <t>https://mstgolf.co.th/products/gf3130100434</t>
        </is>
      </c>
      <c r="T5346" s="1">
        <f>IF(B5346="ไม้กอล์ฟ",J5346,"")</f>
        <v/>
      </c>
    </row>
    <row r="5347">
      <c r="A5347" s="1" t="n">
        <v>3</v>
      </c>
      <c r="B5347" s="1" t="inlineStr">
        <is>
          <t>อุปกรณ์เสริม</t>
        </is>
      </c>
      <c r="C5347" s="1" t="inlineStr">
        <is>
          <t>gf3130100439</t>
        </is>
      </c>
      <c r="D5347" s="1" t="inlineStr">
        <is>
          <t>NICKENT PS8076 Glossy Black Polarized Sunglasses</t>
        </is>
      </c>
      <c r="E5347" s="1" t="inlineStr">
        <is>
          <t>NICKENT</t>
        </is>
      </c>
      <c r="F5347" s="1" t="inlineStr">
        <is>
          <t>SUNGLASSES</t>
        </is>
      </c>
      <c r="G5347" s="1" t="inlineStr">
        <is>
          <t>GF3130100439</t>
        </is>
      </c>
      <c r="H5347" s="1" t="n">
        <v>1</v>
      </c>
      <c r="I5347" s="1" t="inlineStr">
        <is>
          <t>หมด</t>
        </is>
      </c>
      <c r="J5347" s="13" t="n">
        <v>31</v>
      </c>
      <c r="K5347" s="1" t="inlineStr"/>
      <c r="L5347" s="13" t="n">
        <v>31</v>
      </c>
      <c r="M5347" s="1">
        <f>IF(L5347="","ไม่พบใน SG",IF(ABS(J5347-L5347)&lt;0.005,"ตรงกัน","ไม่ตรง"))</f>
        <v/>
      </c>
      <c r="N5347" s="14">
        <f>IF(L5347="","",ROUND(L5347*'สรุป'!$C$6,-1))</f>
        <v/>
      </c>
      <c r="O5347" s="15" t="n"/>
      <c r="P5347" s="15" t="n"/>
      <c r="Q5347" s="10" t="n"/>
      <c r="R5347" s="10" t="n"/>
      <c r="S5347" s="16" t="inlineStr">
        <is>
          <t>https://mstgolf.co.th/products/gf3130100439</t>
        </is>
      </c>
      <c r="T5347" s="1">
        <f>IF(B5347="ไม้กอล์ฟ",J5347,"")</f>
        <v/>
      </c>
    </row>
    <row r="5348">
      <c r="A5348" s="1" t="n">
        <v>3</v>
      </c>
      <c r="B5348" s="1" t="inlineStr">
        <is>
          <t>อุปกรณ์เสริม</t>
        </is>
      </c>
      <c r="C5348" s="1" t="inlineStr">
        <is>
          <t>gf3130100444</t>
        </is>
      </c>
      <c r="D5348" s="1" t="inlineStr">
        <is>
          <t>NICKENT PS8098 Matte Black Polarized Sunglasses</t>
        </is>
      </c>
      <c r="E5348" s="1" t="inlineStr">
        <is>
          <t>NICKENT</t>
        </is>
      </c>
      <c r="F5348" s="1" t="inlineStr">
        <is>
          <t>SUNGLASSES</t>
        </is>
      </c>
      <c r="G5348" s="1" t="inlineStr">
        <is>
          <t>GF3130100444</t>
        </is>
      </c>
      <c r="H5348" s="1" t="n">
        <v>1</v>
      </c>
      <c r="I5348" s="1" t="inlineStr">
        <is>
          <t>หมด</t>
        </is>
      </c>
      <c r="J5348" s="13" t="n">
        <v>31</v>
      </c>
      <c r="K5348" s="1" t="inlineStr"/>
      <c r="L5348" s="13" t="n">
        <v>31</v>
      </c>
      <c r="M5348" s="1">
        <f>IF(L5348="","ไม่พบใน SG",IF(ABS(J5348-L5348)&lt;0.005,"ตรงกัน","ไม่ตรง"))</f>
        <v/>
      </c>
      <c r="N5348" s="14">
        <f>IF(L5348="","",ROUND(L5348*'สรุป'!$C$6,-1))</f>
        <v/>
      </c>
      <c r="O5348" s="15" t="n"/>
      <c r="P5348" s="15" t="n"/>
      <c r="Q5348" s="10" t="n"/>
      <c r="R5348" s="10" t="n"/>
      <c r="S5348" s="16" t="inlineStr">
        <is>
          <t>https://mstgolf.co.th/products/gf3130100444</t>
        </is>
      </c>
      <c r="T5348" s="1">
        <f>IF(B5348="ไม้กอล์ฟ",J5348,"")</f>
        <v/>
      </c>
    </row>
    <row r="5349">
      <c r="A5349" s="1" t="n">
        <v>3</v>
      </c>
      <c r="B5349" s="1" t="inlineStr">
        <is>
          <t>อุปกรณ์เสริม</t>
        </is>
      </c>
      <c r="C5349" s="1" t="inlineStr">
        <is>
          <t>gf3130100460</t>
        </is>
      </c>
      <c r="D5349" s="1" t="inlineStr">
        <is>
          <t>NICKENT PS8143 Glossy Black Polarized Sunglasses</t>
        </is>
      </c>
      <c r="E5349" s="1" t="inlineStr">
        <is>
          <t>NICKENT</t>
        </is>
      </c>
      <c r="F5349" s="1" t="inlineStr">
        <is>
          <t>SUNGLASSES</t>
        </is>
      </c>
      <c r="G5349" s="1" t="inlineStr">
        <is>
          <t>GF3130100460</t>
        </is>
      </c>
      <c r="H5349" s="1" t="n">
        <v>1</v>
      </c>
      <c r="I5349" s="1" t="inlineStr">
        <is>
          <t>หมด</t>
        </is>
      </c>
      <c r="J5349" s="13" t="n">
        <v>31</v>
      </c>
      <c r="K5349" s="1" t="inlineStr"/>
      <c r="L5349" s="13" t="n">
        <v>31</v>
      </c>
      <c r="M5349" s="1">
        <f>IF(L5349="","ไม่พบใน SG",IF(ABS(J5349-L5349)&lt;0.005,"ตรงกัน","ไม่ตรง"))</f>
        <v/>
      </c>
      <c r="N5349" s="14">
        <f>IF(L5349="","",ROUND(L5349*'สรุป'!$C$6,-1))</f>
        <v/>
      </c>
      <c r="O5349" s="15" t="n"/>
      <c r="P5349" s="15" t="n"/>
      <c r="Q5349" s="10" t="n"/>
      <c r="R5349" s="10" t="n"/>
      <c r="S5349" s="16" t="inlineStr">
        <is>
          <t>https://mstgolf.co.th/products/gf3130100460</t>
        </is>
      </c>
      <c r="T5349" s="1">
        <f>IF(B5349="ไม้กอล์ฟ",J5349,"")</f>
        <v/>
      </c>
    </row>
    <row r="5350">
      <c r="A5350" s="1" t="n">
        <v>3</v>
      </c>
      <c r="B5350" s="1" t="inlineStr">
        <is>
          <t>อุปกรณ์เสริม</t>
        </is>
      </c>
      <c r="C5350" s="1" t="inlineStr">
        <is>
          <t>gf3130100458</t>
        </is>
      </c>
      <c r="D5350" s="1" t="inlineStr">
        <is>
          <t>NICKENT PS8143 Matte Black Polarized Sunglasses</t>
        </is>
      </c>
      <c r="E5350" s="1" t="inlineStr">
        <is>
          <t>NICKENT</t>
        </is>
      </c>
      <c r="F5350" s="1" t="inlineStr">
        <is>
          <t>SUNGLASSES</t>
        </is>
      </c>
      <c r="G5350" s="1" t="inlineStr">
        <is>
          <t>GF3130100458</t>
        </is>
      </c>
      <c r="H5350" s="1" t="n">
        <v>1</v>
      </c>
      <c r="I5350" s="1" t="inlineStr">
        <is>
          <t>หมด</t>
        </is>
      </c>
      <c r="J5350" s="13" t="n">
        <v>31</v>
      </c>
      <c r="K5350" s="1" t="inlineStr"/>
      <c r="L5350" s="13" t="n">
        <v>31</v>
      </c>
      <c r="M5350" s="1">
        <f>IF(L5350="","ไม่พบใน SG",IF(ABS(J5350-L5350)&lt;0.005,"ตรงกัน","ไม่ตรง"))</f>
        <v/>
      </c>
      <c r="N5350" s="14">
        <f>IF(L5350="","",ROUND(L5350*'สรุป'!$C$6,-1))</f>
        <v/>
      </c>
      <c r="O5350" s="15" t="n"/>
      <c r="P5350" s="15" t="n"/>
      <c r="Q5350" s="10" t="n"/>
      <c r="R5350" s="10" t="n"/>
      <c r="S5350" s="16" t="inlineStr">
        <is>
          <t>https://mstgolf.co.th/products/gf3130100458</t>
        </is>
      </c>
      <c r="T5350" s="1">
        <f>IF(B5350="ไม้กอล์ฟ",J5350,"")</f>
        <v/>
      </c>
    </row>
    <row r="5351">
      <c r="A5351" s="1" t="n">
        <v>3</v>
      </c>
      <c r="B5351" s="1" t="inlineStr">
        <is>
          <t>อุปกรณ์เสริม</t>
        </is>
      </c>
      <c r="C5351" s="1" t="inlineStr">
        <is>
          <t>gf3500300929</t>
        </is>
      </c>
      <c r="D5351" s="1" t="inlineStr">
        <is>
          <t>ONOFF OA2425 Ball Case (Grey)</t>
        </is>
      </c>
      <c r="E5351" s="1" t="inlineStr">
        <is>
          <t>ONOFF</t>
        </is>
      </c>
      <c r="F5351" s="1" t="inlineStr">
        <is>
          <t>GOLF ACCESSORIES</t>
        </is>
      </c>
      <c r="G5351" s="1" t="inlineStr">
        <is>
          <t>GF3500300929</t>
        </is>
      </c>
      <c r="H5351" s="1" t="n">
        <v>1</v>
      </c>
      <c r="I5351" s="1" t="inlineStr">
        <is>
          <t>หมด</t>
        </is>
      </c>
      <c r="J5351" s="13" t="n">
        <v>31</v>
      </c>
      <c r="K5351" s="1" t="inlineStr"/>
      <c r="L5351" s="13" t="n">
        <v>31</v>
      </c>
      <c r="M5351" s="1">
        <f>IF(L5351="","ไม่พบใน SG",IF(ABS(J5351-L5351)&lt;0.005,"ตรงกัน","ไม่ตรง"))</f>
        <v/>
      </c>
      <c r="N5351" s="14">
        <f>IF(L5351="","",ROUND(L5351*'สรุป'!$C$6,-1))</f>
        <v/>
      </c>
      <c r="O5351" s="15" t="n"/>
      <c r="P5351" s="15" t="n"/>
      <c r="Q5351" s="10" t="n"/>
      <c r="R5351" s="10" t="n"/>
      <c r="S5351" s="16" t="inlineStr">
        <is>
          <t>https://mstgolf.co.th/products/gf3500300929</t>
        </is>
      </c>
      <c r="T5351" s="1">
        <f>IF(B5351="ไม้กอล์ฟ",J5351,"")</f>
        <v/>
      </c>
    </row>
    <row r="5352">
      <c r="A5352" s="1" t="n">
        <v>3</v>
      </c>
      <c r="B5352" s="1" t="inlineStr">
        <is>
          <t>หมวก</t>
        </is>
      </c>
      <c r="C5352" s="1" t="inlineStr">
        <is>
          <t>gf2000106253</t>
        </is>
      </c>
      <c r="D5352" s="1" t="inlineStr">
        <is>
          <t>TAYLORMADE Basic Women's Cap (Pink)</t>
        </is>
      </c>
      <c r="E5352" s="1" t="inlineStr">
        <is>
          <t>TAYLORMADE</t>
        </is>
      </c>
      <c r="F5352" s="1" t="inlineStr">
        <is>
          <t>CAP</t>
        </is>
      </c>
      <c r="G5352" s="1" t="inlineStr">
        <is>
          <t>GF2000106253FS</t>
        </is>
      </c>
      <c r="H5352" s="1" t="n">
        <v>1</v>
      </c>
      <c r="I5352" s="1" t="inlineStr">
        <is>
          <t>หมด</t>
        </is>
      </c>
      <c r="J5352" s="13" t="n">
        <v>31</v>
      </c>
      <c r="K5352" s="1" t="inlineStr"/>
      <c r="L5352" s="13" t="n">
        <v>31</v>
      </c>
      <c r="M5352" s="1">
        <f>IF(L5352="","ไม่พบใน SG",IF(ABS(J5352-L5352)&lt;0.005,"ตรงกัน","ไม่ตรง"))</f>
        <v/>
      </c>
      <c r="N5352" s="14">
        <f>IF(L5352="","",ROUND(L5352*'สรุป'!$C$6,-1))</f>
        <v/>
      </c>
      <c r="O5352" s="15" t="n"/>
      <c r="P5352" s="15" t="n"/>
      <c r="Q5352" s="10" t="n"/>
      <c r="R5352" s="10" t="n"/>
      <c r="S5352" s="16" t="inlineStr">
        <is>
          <t>https://mstgolf.co.th/products/gf2000106253</t>
        </is>
      </c>
      <c r="T5352" s="1">
        <f>IF(B5352="ไม้กอล์ฟ",J5352,"")</f>
        <v/>
      </c>
    </row>
    <row r="5353">
      <c r="A5353" s="1" t="n">
        <v>3</v>
      </c>
      <c r="B5353" s="1" t="inlineStr">
        <is>
          <t>หมวก</t>
        </is>
      </c>
      <c r="C5353" s="1" t="inlineStr">
        <is>
          <t>gf2000201039</t>
        </is>
      </c>
      <c r="D5353" s="1" t="inlineStr">
        <is>
          <t>TAYLORMADE Basic Women's Visor (Pink)</t>
        </is>
      </c>
      <c r="E5353" s="1" t="inlineStr">
        <is>
          <t>TAYLORMADE</t>
        </is>
      </c>
      <c r="F5353" s="1" t="inlineStr">
        <is>
          <t>VISOR</t>
        </is>
      </c>
      <c r="G5353" s="1" t="inlineStr">
        <is>
          <t>GF2000201039FS</t>
        </is>
      </c>
      <c r="H5353" s="1" t="n">
        <v>1</v>
      </c>
      <c r="I5353" s="1" t="inlineStr">
        <is>
          <t>หมด</t>
        </is>
      </c>
      <c r="J5353" s="13" t="n">
        <v>31</v>
      </c>
      <c r="K5353" s="1" t="inlineStr"/>
      <c r="L5353" s="13" t="n"/>
      <c r="M5353" s="1">
        <f>IF(L5353="","ไม่พบใน SG",IF(ABS(J5353-L5353)&lt;0.005,"ตรงกัน","ไม่ตรง"))</f>
        <v/>
      </c>
      <c r="N5353" s="14">
        <f>IF(L5353="","",ROUND(L5353*'สรุป'!$C$6,-1))</f>
        <v/>
      </c>
      <c r="O5353" s="15" t="n"/>
      <c r="P5353" s="15" t="n"/>
      <c r="Q5353" s="10" t="n"/>
      <c r="R5353" s="10" t="n"/>
      <c r="S5353" s="16" t="inlineStr">
        <is>
          <t>https://mstgolf.co.th/products/gf2000201039</t>
        </is>
      </c>
      <c r="T5353" s="1">
        <f>IF(B5353="ไม้กอล์ฟ",J5353,"")</f>
        <v/>
      </c>
    </row>
    <row r="5354">
      <c r="A5354" s="1" t="n">
        <v>3</v>
      </c>
      <c r="B5354" s="1" t="inlineStr">
        <is>
          <t>หมวก</t>
        </is>
      </c>
      <c r="C5354" s="1" t="inlineStr">
        <is>
          <t>gf2000105620</t>
        </is>
      </c>
      <c r="D5354" s="1" t="inlineStr">
        <is>
          <t>ADIDAS Golf Performance Men's Cap (Navy)</t>
        </is>
      </c>
      <c r="E5354" s="1" t="inlineStr">
        <is>
          <t>ADIDAS</t>
        </is>
      </c>
      <c r="F5354" s="1" t="inlineStr">
        <is>
          <t>CAP</t>
        </is>
      </c>
      <c r="G5354" s="1" t="inlineStr">
        <is>
          <t>GF2000105620FS</t>
        </is>
      </c>
      <c r="H5354" s="1" t="n">
        <v>1</v>
      </c>
      <c r="I5354" s="1" t="inlineStr">
        <is>
          <t>หมด</t>
        </is>
      </c>
      <c r="J5354" s="13" t="n">
        <v>30</v>
      </c>
      <c r="K5354" s="1" t="inlineStr"/>
      <c r="L5354" s="13" t="n"/>
      <c r="M5354" s="1">
        <f>IF(L5354="","ไม่พบใน SG",IF(ABS(J5354-L5354)&lt;0.005,"ตรงกัน","ไม่ตรง"))</f>
        <v/>
      </c>
      <c r="N5354" s="14">
        <f>IF(L5354="","",ROUND(L5354*'สรุป'!$C$6,-1))</f>
        <v/>
      </c>
      <c r="O5354" s="15" t="n"/>
      <c r="P5354" s="15" t="n"/>
      <c r="Q5354" s="10" t="n"/>
      <c r="R5354" s="10" t="n"/>
      <c r="S5354" s="16" t="inlineStr">
        <is>
          <t>https://mstgolf.co.th/products/gf2000105620</t>
        </is>
      </c>
      <c r="T5354" s="1">
        <f>IF(B5354="ไม้กอล์ฟ",J5354,"")</f>
        <v/>
      </c>
    </row>
    <row r="5355">
      <c r="A5355" s="1" t="n">
        <v>3</v>
      </c>
      <c r="B5355" s="1" t="inlineStr">
        <is>
          <t>หมวก</t>
        </is>
      </c>
      <c r="C5355" s="1" t="inlineStr">
        <is>
          <t>gf2000105621</t>
        </is>
      </c>
      <c r="D5355" s="1" t="inlineStr">
        <is>
          <t>ADIDAS Golf Performance Men's Cap (White)</t>
        </is>
      </c>
      <c r="E5355" s="1" t="inlineStr">
        <is>
          <t>ADIDAS</t>
        </is>
      </c>
      <c r="F5355" s="1" t="inlineStr">
        <is>
          <t>CAP</t>
        </is>
      </c>
      <c r="G5355" s="1" t="inlineStr">
        <is>
          <t>GF2000105621FS</t>
        </is>
      </c>
      <c r="H5355" s="1" t="n">
        <v>1</v>
      </c>
      <c r="I5355" s="1" t="inlineStr">
        <is>
          <t>หมด</t>
        </is>
      </c>
      <c r="J5355" s="13" t="n">
        <v>30</v>
      </c>
      <c r="K5355" s="1" t="inlineStr"/>
      <c r="L5355" s="13" t="n"/>
      <c r="M5355" s="1">
        <f>IF(L5355="","ไม่พบใน SG",IF(ABS(J5355-L5355)&lt;0.005,"ตรงกัน","ไม่ตรง"))</f>
        <v/>
      </c>
      <c r="N5355" s="14">
        <f>IF(L5355="","",ROUND(L5355*'สรุป'!$C$6,-1))</f>
        <v/>
      </c>
      <c r="O5355" s="15" t="n"/>
      <c r="P5355" s="15" t="n"/>
      <c r="Q5355" s="10" t="n"/>
      <c r="R5355" s="10" t="n"/>
      <c r="S5355" s="16" t="inlineStr">
        <is>
          <t>https://mstgolf.co.th/products/gf2000105621</t>
        </is>
      </c>
      <c r="T5355" s="1">
        <f>IF(B5355="ไม้กอล์ฟ",J5355,"")</f>
        <v/>
      </c>
    </row>
    <row r="5356">
      <c r="A5356" s="1" t="n">
        <v>3</v>
      </c>
      <c r="B5356" s="1" t="inlineStr">
        <is>
          <t>อุปกรณ์เสริม</t>
        </is>
      </c>
      <c r="C5356" s="1" t="inlineStr">
        <is>
          <t>gf2080101443</t>
        </is>
      </c>
      <c r="D5356" s="1" t="inlineStr">
        <is>
          <t>ADIDAS Men's Reversible Webbing Belt (Navy/Grey)</t>
        </is>
      </c>
      <c r="E5356" s="1" t="inlineStr">
        <is>
          <t>ADIDAS</t>
        </is>
      </c>
      <c r="F5356" s="1" t="inlineStr">
        <is>
          <t>BELT</t>
        </is>
      </c>
      <c r="G5356" s="1" t="inlineStr">
        <is>
          <t>GF2080101443FS</t>
        </is>
      </c>
      <c r="H5356" s="1" t="n">
        <v>1</v>
      </c>
      <c r="I5356" s="1" t="inlineStr">
        <is>
          <t>หมด</t>
        </is>
      </c>
      <c r="J5356" s="13" t="n">
        <v>30</v>
      </c>
      <c r="K5356" s="1" t="inlineStr"/>
      <c r="L5356" s="13" t="n">
        <v>21</v>
      </c>
      <c r="M5356" s="1">
        <f>IF(L5356="","ไม่พบใน SG",IF(ABS(J5356-L5356)&lt;0.005,"ตรงกัน","ไม่ตรง"))</f>
        <v/>
      </c>
      <c r="N5356" s="14">
        <f>IF(L5356="","",ROUND(L5356*'สรุป'!$C$6,-1))</f>
        <v/>
      </c>
      <c r="O5356" s="15" t="n"/>
      <c r="P5356" s="15" t="n"/>
      <c r="Q5356" s="10" t="n"/>
      <c r="R5356" s="10" t="n"/>
      <c r="S5356" s="16" t="inlineStr">
        <is>
          <t>https://mstgolf.co.th/products/gf2080101443</t>
        </is>
      </c>
      <c r="T5356" s="1">
        <f>IF(B5356="ไม้กอล์ฟ",J5356,"")</f>
        <v/>
      </c>
    </row>
    <row r="5357">
      <c r="A5357" s="1" t="n">
        <v>3</v>
      </c>
      <c r="B5357" s="1" t="inlineStr">
        <is>
          <t>อุปกรณ์เสริม</t>
        </is>
      </c>
      <c r="C5357" s="1" t="inlineStr">
        <is>
          <t>gf2100200453</t>
        </is>
      </c>
      <c r="D5357" s="1" t="inlineStr">
        <is>
          <t>ADIDAS Players Towel (Black)</t>
        </is>
      </c>
      <c r="E5357" s="1" t="inlineStr">
        <is>
          <t>ADIDAS</t>
        </is>
      </c>
      <c r="F5357" s="1" t="inlineStr">
        <is>
          <t>HAND/CLUB TOWEL</t>
        </is>
      </c>
      <c r="G5357" s="1" t="inlineStr">
        <is>
          <t>GF2100200453</t>
        </is>
      </c>
      <c r="H5357" s="1" t="n">
        <v>1</v>
      </c>
      <c r="I5357" s="1" t="inlineStr">
        <is>
          <t>หมด</t>
        </is>
      </c>
      <c r="J5357" s="13" t="n">
        <v>30</v>
      </c>
      <c r="K5357" s="1" t="inlineStr"/>
      <c r="L5357" s="13" t="n"/>
      <c r="M5357" s="1">
        <f>IF(L5357="","ไม่พบใน SG",IF(ABS(J5357-L5357)&lt;0.005,"ตรงกัน","ไม่ตรง"))</f>
        <v/>
      </c>
      <c r="N5357" s="14">
        <f>IF(L5357="","",ROUND(L5357*'สรุป'!$C$6,-1))</f>
        <v/>
      </c>
      <c r="O5357" s="15" t="n"/>
      <c r="P5357" s="15" t="n"/>
      <c r="Q5357" s="10" t="n"/>
      <c r="R5357" s="10" t="n"/>
      <c r="S5357" s="16" t="inlineStr">
        <is>
          <t>https://mstgolf.co.th/products/gf2100200453</t>
        </is>
      </c>
      <c r="T5357" s="1">
        <f>IF(B5357="ไม้กอล์ฟ",J5357,"")</f>
        <v/>
      </c>
    </row>
    <row r="5358">
      <c r="A5358" s="1" t="n">
        <v>3</v>
      </c>
      <c r="B5358" s="1" t="inlineStr">
        <is>
          <t>เสื้อผ้า</t>
        </is>
      </c>
      <c r="C5358" s="1" t="inlineStr">
        <is>
          <t>gf2040113977</t>
        </is>
      </c>
      <c r="D5358" s="1" t="inlineStr">
        <is>
          <t>ADIDAS 3 Stripe Basic Women's Polo (Royal Blue)</t>
        </is>
      </c>
      <c r="E5358" s="1" t="inlineStr">
        <is>
          <t>ADIDAS</t>
        </is>
      </c>
      <c r="F5358" s="1" t="inlineStr">
        <is>
          <t>SHORT SLEEVES</t>
        </is>
      </c>
      <c r="G5358" s="1" t="inlineStr">
        <is>
          <t>GF2040113977S</t>
        </is>
      </c>
      <c r="H5358" s="1" t="n">
        <v>6</v>
      </c>
      <c r="I5358" s="1" t="inlineStr">
        <is>
          <t>หมด</t>
        </is>
      </c>
      <c r="J5358" s="13" t="n">
        <v>29</v>
      </c>
      <c r="K5358" s="1" t="inlineStr"/>
      <c r="L5358" s="13" t="n">
        <v>29</v>
      </c>
      <c r="M5358" s="1">
        <f>IF(L5358="","ไม่พบใน SG",IF(ABS(J5358-L5358)&lt;0.005,"ตรงกัน","ไม่ตรง"))</f>
        <v/>
      </c>
      <c r="N5358" s="14">
        <f>IF(L5358="","",ROUND(L5358*'สรุป'!$C$6,-1))</f>
        <v/>
      </c>
      <c r="O5358" s="15" t="n"/>
      <c r="P5358" s="15" t="n"/>
      <c r="Q5358" s="10" t="n"/>
      <c r="R5358" s="10" t="n"/>
      <c r="S5358" s="16" t="inlineStr">
        <is>
          <t>https://mstgolf.co.th/products/gf2040113977</t>
        </is>
      </c>
      <c r="T5358" s="1">
        <f>IF(B5358="ไม้กอล์ฟ",J5358,"")</f>
        <v/>
      </c>
    </row>
    <row r="5359">
      <c r="A5359" s="1" t="n">
        <v>3</v>
      </c>
      <c r="B5359" s="1" t="inlineStr">
        <is>
          <t>อุปกรณ์เสริม</t>
        </is>
      </c>
      <c r="C5359" s="1" t="inlineStr">
        <is>
          <t>gf2080101418</t>
        </is>
      </c>
      <c r="D5359" s="1" t="inlineStr">
        <is>
          <t>ADIDAS Braided Stretch Men's Belt (Grey)</t>
        </is>
      </c>
      <c r="E5359" s="1" t="inlineStr">
        <is>
          <t>ADIDAS</t>
        </is>
      </c>
      <c r="F5359" s="1" t="inlineStr">
        <is>
          <t>BELT</t>
        </is>
      </c>
      <c r="G5359" s="1" t="inlineStr">
        <is>
          <t>GF2080101418M/L</t>
        </is>
      </c>
      <c r="H5359" s="1" t="n">
        <v>2</v>
      </c>
      <c r="I5359" s="1" t="inlineStr">
        <is>
          <t>หมด</t>
        </is>
      </c>
      <c r="J5359" s="13" t="n">
        <v>29</v>
      </c>
      <c r="K5359" s="1" t="inlineStr"/>
      <c r="L5359" s="13" t="n"/>
      <c r="M5359" s="1">
        <f>IF(L5359="","ไม่พบใน SG",IF(ABS(J5359-L5359)&lt;0.005,"ตรงกัน","ไม่ตรง"))</f>
        <v/>
      </c>
      <c r="N5359" s="14">
        <f>IF(L5359="","",ROUND(L5359*'สรุป'!$C$6,-1))</f>
        <v/>
      </c>
      <c r="O5359" s="15" t="n"/>
      <c r="P5359" s="15" t="n"/>
      <c r="Q5359" s="10" t="n"/>
      <c r="R5359" s="10" t="n"/>
      <c r="S5359" s="16" t="inlineStr">
        <is>
          <t>https://mstgolf.co.th/products/gf2080101418</t>
        </is>
      </c>
      <c r="T5359" s="1">
        <f>IF(B5359="ไม้กอล์ฟ",J5359,"")</f>
        <v/>
      </c>
    </row>
    <row r="5360">
      <c r="A5360" s="1" t="n">
        <v>3</v>
      </c>
      <c r="B5360" s="1" t="inlineStr">
        <is>
          <t>เสื้อผ้า</t>
        </is>
      </c>
      <c r="C5360" s="1" t="inlineStr">
        <is>
          <t>gf2040116437</t>
        </is>
      </c>
      <c r="D5360" s="1" t="inlineStr">
        <is>
          <t>ADIDAS Drive Heather Men's Polo (Blue)</t>
        </is>
      </c>
      <c r="E5360" s="1" t="inlineStr">
        <is>
          <t>ADIDAS</t>
        </is>
      </c>
      <c r="F5360" s="1" t="inlineStr">
        <is>
          <t>SHORT SLEEVES</t>
        </is>
      </c>
      <c r="G5360" s="1" t="inlineStr">
        <is>
          <t>GF2040116437XS</t>
        </is>
      </c>
      <c r="H5360" s="1" t="n">
        <v>8</v>
      </c>
      <c r="I5360" s="1" t="inlineStr">
        <is>
          <t>หมด</t>
        </is>
      </c>
      <c r="J5360" s="13" t="n">
        <v>29</v>
      </c>
      <c r="K5360" s="1" t="inlineStr"/>
      <c r="L5360" s="13" t="n"/>
      <c r="M5360" s="1">
        <f>IF(L5360="","ไม่พบใน SG",IF(ABS(J5360-L5360)&lt;0.005,"ตรงกัน","ไม่ตรง"))</f>
        <v/>
      </c>
      <c r="N5360" s="14">
        <f>IF(L5360="","",ROUND(L5360*'สรุป'!$C$6,-1))</f>
        <v/>
      </c>
      <c r="O5360" s="15" t="n"/>
      <c r="P5360" s="15" t="n"/>
      <c r="Q5360" s="10" t="n"/>
      <c r="R5360" s="10" t="n"/>
      <c r="S5360" s="16" t="inlineStr">
        <is>
          <t>https://mstgolf.co.th/products/gf2040116437</t>
        </is>
      </c>
      <c r="T5360" s="1">
        <f>IF(B5360="ไม้กอล์ฟ",J5360,"")</f>
        <v/>
      </c>
    </row>
    <row r="5361">
      <c r="A5361" s="1" t="n">
        <v>3</v>
      </c>
      <c r="B5361" s="1" t="inlineStr">
        <is>
          <t>เสื้อผ้า</t>
        </is>
      </c>
      <c r="C5361" s="1" t="inlineStr">
        <is>
          <t>gf2040118587</t>
        </is>
      </c>
      <c r="D5361" s="1" t="inlineStr">
        <is>
          <t>ADIDAS Ultimate365 Printed Women's Polo (White)</t>
        </is>
      </c>
      <c r="E5361" s="1" t="inlineStr">
        <is>
          <t>ADIDAS</t>
        </is>
      </c>
      <c r="F5361" s="1" t="inlineStr">
        <is>
          <t>SHORT SLEEVES</t>
        </is>
      </c>
      <c r="G5361" s="1" t="inlineStr">
        <is>
          <t>GF2040118587XS</t>
        </is>
      </c>
      <c r="H5361" s="1" t="n">
        <v>7</v>
      </c>
      <c r="I5361" s="1" t="inlineStr">
        <is>
          <t>หมด</t>
        </is>
      </c>
      <c r="J5361" s="13" t="n">
        <v>29</v>
      </c>
      <c r="K5361" s="1" t="inlineStr"/>
      <c r="L5361" s="13" t="n"/>
      <c r="M5361" s="1">
        <f>IF(L5361="","ไม่พบใน SG",IF(ABS(J5361-L5361)&lt;0.005,"ตรงกัน","ไม่ตรง"))</f>
        <v/>
      </c>
      <c r="N5361" s="14">
        <f>IF(L5361="","",ROUND(L5361*'สรุป'!$C$6,-1))</f>
        <v/>
      </c>
      <c r="O5361" s="15" t="n"/>
      <c r="P5361" s="15" t="n"/>
      <c r="Q5361" s="10" t="n"/>
      <c r="R5361" s="10" t="n"/>
      <c r="S5361" s="16" t="inlineStr">
        <is>
          <t>https://mstgolf.co.th/products/gf2040118587</t>
        </is>
      </c>
      <c r="T5361" s="1">
        <f>IF(B5361="ไม้กอล์ฟ",J5361,"")</f>
        <v/>
      </c>
    </row>
    <row r="5362">
      <c r="A5362" s="1" t="n">
        <v>3</v>
      </c>
      <c r="B5362" s="1" t="inlineStr">
        <is>
          <t>อุปกรณ์เสริม</t>
        </is>
      </c>
      <c r="C5362" s="1" t="inlineStr">
        <is>
          <t>gf3500300994</t>
        </is>
      </c>
      <c r="D5362" s="1" t="inlineStr">
        <is>
          <t>GOLF LITE Joe Cool Ball Case</t>
        </is>
      </c>
      <c r="E5362" s="1" t="inlineStr">
        <is>
          <t>GOLF LITE</t>
        </is>
      </c>
      <c r="F5362" s="1" t="inlineStr">
        <is>
          <t>GOLF ACCESSORIES</t>
        </is>
      </c>
      <c r="G5362" s="1" t="inlineStr">
        <is>
          <t>GF3500300994</t>
        </is>
      </c>
      <c r="H5362" s="1" t="n">
        <v>1</v>
      </c>
      <c r="I5362" s="1" t="inlineStr">
        <is>
          <t>หมด</t>
        </is>
      </c>
      <c r="J5362" s="13" t="n">
        <v>29</v>
      </c>
      <c r="K5362" s="1" t="inlineStr"/>
      <c r="L5362" s="13" t="n"/>
      <c r="M5362" s="1">
        <f>IF(L5362="","ไม่พบใน SG",IF(ABS(J5362-L5362)&lt;0.005,"ตรงกัน","ไม่ตรง"))</f>
        <v/>
      </c>
      <c r="N5362" s="14">
        <f>IF(L5362="","",ROUND(L5362*'สรุป'!$C$6,-1))</f>
        <v/>
      </c>
      <c r="O5362" s="15" t="n"/>
      <c r="P5362" s="15" t="n"/>
      <c r="Q5362" s="10" t="n"/>
      <c r="R5362" s="10" t="n"/>
      <c r="S5362" s="16" t="inlineStr">
        <is>
          <t>https://mstgolf.co.th/products/gf3500300994</t>
        </is>
      </c>
      <c r="T5362" s="1">
        <f>IF(B5362="ไม้กอล์ฟ",J5362,"")</f>
        <v/>
      </c>
    </row>
    <row r="5363">
      <c r="A5363" s="1" t="n">
        <v>3</v>
      </c>
      <c r="B5363" s="1" t="inlineStr">
        <is>
          <t>อุปกรณ์เสริม</t>
        </is>
      </c>
      <c r="C5363" s="1" t="inlineStr">
        <is>
          <t>gf3500200830</t>
        </is>
      </c>
      <c r="D5363" s="1" t="inlineStr">
        <is>
          <t>I-COVER Trendy Rubber Utility Headcover (Orange)</t>
        </is>
      </c>
      <c r="E5363" s="1" t="inlineStr">
        <is>
          <t>I-COVER</t>
        </is>
      </c>
      <c r="F5363" s="1" t="inlineStr">
        <is>
          <t>HEADCOVERS</t>
        </is>
      </c>
      <c r="G5363" s="1" t="inlineStr">
        <is>
          <t>GF3500200830</t>
        </is>
      </c>
      <c r="H5363" s="1" t="n">
        <v>1</v>
      </c>
      <c r="I5363" s="1" t="inlineStr">
        <is>
          <t>หมด</t>
        </is>
      </c>
      <c r="J5363" s="13" t="n">
        <v>29</v>
      </c>
      <c r="K5363" s="1" t="inlineStr"/>
      <c r="L5363" s="13" t="n">
        <v>29</v>
      </c>
      <c r="M5363" s="1">
        <f>IF(L5363="","ไม่พบใน SG",IF(ABS(J5363-L5363)&lt;0.005,"ตรงกัน","ไม่ตรง"))</f>
        <v/>
      </c>
      <c r="N5363" s="14">
        <f>IF(L5363="","",ROUND(L5363*'สรุป'!$C$6,-1))</f>
        <v/>
      </c>
      <c r="O5363" s="15" t="n"/>
      <c r="P5363" s="15" t="n"/>
      <c r="Q5363" s="10" t="n"/>
      <c r="R5363" s="10" t="n"/>
      <c r="S5363" s="16" t="inlineStr">
        <is>
          <t>https://mstgolf.co.th/products/gf3500200830</t>
        </is>
      </c>
      <c r="T5363" s="1">
        <f>IF(B5363="ไม้กอล์ฟ",J5363,"")</f>
        <v/>
      </c>
    </row>
    <row r="5364">
      <c r="A5364" s="1" t="n">
        <v>3</v>
      </c>
      <c r="B5364" s="1" t="inlineStr">
        <is>
          <t>อุปกรณ์เสริม</t>
        </is>
      </c>
      <c r="C5364" s="1" t="inlineStr">
        <is>
          <t>gf3500200827</t>
        </is>
      </c>
      <c r="D5364" s="1" t="inlineStr">
        <is>
          <t>I-COVER Trendy Rubber Utility Headcover (Yellow)</t>
        </is>
      </c>
      <c r="E5364" s="1" t="inlineStr">
        <is>
          <t>I-COVER</t>
        </is>
      </c>
      <c r="F5364" s="1" t="inlineStr">
        <is>
          <t>HEADCOVERS</t>
        </is>
      </c>
      <c r="G5364" s="1" t="inlineStr">
        <is>
          <t>GF3500200827</t>
        </is>
      </c>
      <c r="H5364" s="1" t="n">
        <v>1</v>
      </c>
      <c r="I5364" s="1" t="inlineStr">
        <is>
          <t>หมด</t>
        </is>
      </c>
      <c r="J5364" s="13" t="n">
        <v>29</v>
      </c>
      <c r="K5364" s="1" t="inlineStr"/>
      <c r="L5364" s="13" t="n">
        <v>29</v>
      </c>
      <c r="M5364" s="1">
        <f>IF(L5364="","ไม่พบใน SG",IF(ABS(J5364-L5364)&lt;0.005,"ตรงกัน","ไม่ตรง"))</f>
        <v/>
      </c>
      <c r="N5364" s="14">
        <f>IF(L5364="","",ROUND(L5364*'สรุป'!$C$6,-1))</f>
        <v/>
      </c>
      <c r="O5364" s="15" t="n"/>
      <c r="P5364" s="15" t="n"/>
      <c r="Q5364" s="10" t="n"/>
      <c r="R5364" s="10" t="n"/>
      <c r="S5364" s="16" t="inlineStr">
        <is>
          <t>https://mstgolf.co.th/products/gf3500200827</t>
        </is>
      </c>
      <c r="T5364" s="1">
        <f>IF(B5364="ไม้กอล์ฟ",J5364,"")</f>
        <v/>
      </c>
    </row>
    <row r="5365">
      <c r="A5365" s="1" t="n">
        <v>3</v>
      </c>
      <c r="B5365" s="1" t="inlineStr">
        <is>
          <t>อุปกรณ์เสริม</t>
        </is>
      </c>
      <c r="C5365" s="1" t="inlineStr">
        <is>
          <t>gf3080100071</t>
        </is>
      </c>
      <c r="D5365" s="1" t="inlineStr">
        <is>
          <t>LE BOTANICAL Le Botanical Golfer Defense SPF 50 PA ++ (50ML)</t>
        </is>
      </c>
      <c r="E5365" s="1" t="inlineStr">
        <is>
          <t>LE BOTANICAL</t>
        </is>
      </c>
      <c r="F5365" s="1" t="inlineStr">
        <is>
          <t>SUNBLOCK &amp; SUNTAN</t>
        </is>
      </c>
      <c r="G5365" s="1" t="inlineStr">
        <is>
          <t>GF3080100071</t>
        </is>
      </c>
      <c r="H5365" s="1" t="n">
        <v>1</v>
      </c>
      <c r="I5365" s="1" t="inlineStr">
        <is>
          <t>หมด</t>
        </is>
      </c>
      <c r="J5365" s="13" t="n">
        <v>29</v>
      </c>
      <c r="K5365" s="1" t="inlineStr"/>
      <c r="L5365" s="13" t="n">
        <v>29</v>
      </c>
      <c r="M5365" s="1">
        <f>IF(L5365="","ไม่พบใน SG",IF(ABS(J5365-L5365)&lt;0.005,"ตรงกัน","ไม่ตรง"))</f>
        <v/>
      </c>
      <c r="N5365" s="14">
        <f>IF(L5365="","",ROUND(L5365*'สรุป'!$C$6,-1))</f>
        <v/>
      </c>
      <c r="O5365" s="15" t="n"/>
      <c r="P5365" s="15" t="n"/>
      <c r="Q5365" s="10" t="n"/>
      <c r="R5365" s="10" t="n"/>
      <c r="S5365" s="16" t="inlineStr">
        <is>
          <t>https://mstgolf.co.th/products/gf3080100071</t>
        </is>
      </c>
      <c r="T5365" s="1">
        <f>IF(B5365="ไม้กอล์ฟ",J5365,"")</f>
        <v/>
      </c>
    </row>
    <row r="5366">
      <c r="A5366" s="1" t="n">
        <v>3</v>
      </c>
      <c r="B5366" s="1" t="inlineStr">
        <is>
          <t>อุปกรณ์เสริม</t>
        </is>
      </c>
      <c r="C5366" s="1" t="inlineStr">
        <is>
          <t>gf3500300945</t>
        </is>
      </c>
      <c r="D5366" s="1" t="inlineStr">
        <is>
          <t>LE COQ SPORTIF GOLF Basic Ball Case</t>
        </is>
      </c>
      <c r="E5366" s="1" t="inlineStr">
        <is>
          <t>LE COQ SPORTIF GOLF</t>
        </is>
      </c>
      <c r="F5366" s="1" t="inlineStr">
        <is>
          <t>GOLF ACCESSORIES</t>
        </is>
      </c>
      <c r="G5366" s="1" t="inlineStr">
        <is>
          <t>GF3500300945</t>
        </is>
      </c>
      <c r="H5366" s="1" t="n">
        <v>1</v>
      </c>
      <c r="I5366" s="1" t="inlineStr">
        <is>
          <t>หมด</t>
        </is>
      </c>
      <c r="J5366" s="13" t="n">
        <v>29</v>
      </c>
      <c r="K5366" s="1" t="inlineStr"/>
      <c r="L5366" s="13" t="n">
        <v>29</v>
      </c>
      <c r="M5366" s="1">
        <f>IF(L5366="","ไม่พบใน SG",IF(ABS(J5366-L5366)&lt;0.005,"ตรงกัน","ไม่ตรง"))</f>
        <v/>
      </c>
      <c r="N5366" s="14">
        <f>IF(L5366="","",ROUND(L5366*'สรุป'!$C$6,-1))</f>
        <v/>
      </c>
      <c r="O5366" s="15" t="n"/>
      <c r="P5366" s="15" t="n"/>
      <c r="Q5366" s="10" t="n"/>
      <c r="R5366" s="10" t="n"/>
      <c r="S5366" s="16" t="inlineStr">
        <is>
          <t>https://mstgolf.co.th/products/gf3500300945</t>
        </is>
      </c>
      <c r="T5366" s="1">
        <f>IF(B5366="ไม้กอล์ฟ",J5366,"")</f>
        <v/>
      </c>
    </row>
    <row r="5367">
      <c r="A5367" s="1" t="n">
        <v>3</v>
      </c>
      <c r="B5367" s="1" t="inlineStr">
        <is>
          <t>อุปกรณ์เสริม</t>
        </is>
      </c>
      <c r="C5367" s="1" t="inlineStr">
        <is>
          <t>gf3500300944</t>
        </is>
      </c>
      <c r="D5367" s="1" t="inlineStr">
        <is>
          <t>LE COQ SPORTIF GOLF Basic Ball Case</t>
        </is>
      </c>
      <c r="E5367" s="1" t="inlineStr">
        <is>
          <t>LE COQ SPORTIF GOLF</t>
        </is>
      </c>
      <c r="F5367" s="1" t="inlineStr">
        <is>
          <t>GOLF ACCESSORIES</t>
        </is>
      </c>
      <c r="G5367" s="1" t="inlineStr">
        <is>
          <t>GF3500300944</t>
        </is>
      </c>
      <c r="H5367" s="1" t="n">
        <v>1</v>
      </c>
      <c r="I5367" s="1" t="inlineStr">
        <is>
          <t>หมด</t>
        </is>
      </c>
      <c r="J5367" s="13" t="n">
        <v>29</v>
      </c>
      <c r="K5367" s="1" t="inlineStr"/>
      <c r="L5367" s="13" t="n">
        <v>29</v>
      </c>
      <c r="M5367" s="1">
        <f>IF(L5367="","ไม่พบใน SG",IF(ABS(J5367-L5367)&lt;0.005,"ตรงกัน","ไม่ตรง"))</f>
        <v/>
      </c>
      <c r="N5367" s="14">
        <f>IF(L5367="","",ROUND(L5367*'สรุป'!$C$6,-1))</f>
        <v/>
      </c>
      <c r="O5367" s="15" t="n"/>
      <c r="P5367" s="15" t="n"/>
      <c r="Q5367" s="10" t="n"/>
      <c r="R5367" s="10" t="n"/>
      <c r="S5367" s="16" t="inlineStr">
        <is>
          <t>https://mstgolf.co.th/products/gf3500300944</t>
        </is>
      </c>
      <c r="T5367" s="1">
        <f>IF(B5367="ไม้กอล์ฟ",J5367,"")</f>
        <v/>
      </c>
    </row>
    <row r="5368">
      <c r="A5368" s="1" t="n">
        <v>3</v>
      </c>
      <c r="B5368" s="1" t="inlineStr">
        <is>
          <t>อุปกรณ์เสริม</t>
        </is>
      </c>
      <c r="C5368" s="1" t="inlineStr">
        <is>
          <t>gf3500300649</t>
        </is>
      </c>
      <c r="D5368" s="1" t="inlineStr">
        <is>
          <t>MIZUNO Enjoy Ball Case (White)</t>
        </is>
      </c>
      <c r="E5368" s="1" t="inlineStr">
        <is>
          <t>MIZUNO</t>
        </is>
      </c>
      <c r="F5368" s="1" t="inlineStr">
        <is>
          <t>GOLF ACCESSORIES</t>
        </is>
      </c>
      <c r="G5368" s="1" t="inlineStr">
        <is>
          <t>GF3500300649</t>
        </is>
      </c>
      <c r="H5368" s="1" t="n">
        <v>1</v>
      </c>
      <c r="I5368" s="1" t="inlineStr">
        <is>
          <t>หมด</t>
        </is>
      </c>
      <c r="J5368" s="13" t="n">
        <v>29</v>
      </c>
      <c r="K5368" s="1" t="inlineStr"/>
      <c r="L5368" s="13" t="n">
        <v>29</v>
      </c>
      <c r="M5368" s="1">
        <f>IF(L5368="","ไม่พบใน SG",IF(ABS(J5368-L5368)&lt;0.005,"ตรงกัน","ไม่ตรง"))</f>
        <v/>
      </c>
      <c r="N5368" s="14">
        <f>IF(L5368="","",ROUND(L5368*'สรุป'!$C$6,-1))</f>
        <v/>
      </c>
      <c r="O5368" s="15" t="n"/>
      <c r="P5368" s="15" t="n"/>
      <c r="Q5368" s="10" t="n"/>
      <c r="R5368" s="10" t="n"/>
      <c r="S5368" s="16" t="inlineStr">
        <is>
          <t>https://mstgolf.co.th/products/gf3500300649</t>
        </is>
      </c>
      <c r="T5368" s="1">
        <f>IF(B5368="ไม้กอล์ฟ",J5368,"")</f>
        <v/>
      </c>
    </row>
    <row r="5369">
      <c r="A5369" s="1" t="n">
        <v>3</v>
      </c>
      <c r="B5369" s="1" t="inlineStr">
        <is>
          <t>หมวก</t>
        </is>
      </c>
      <c r="C5369" s="1" t="inlineStr">
        <is>
          <t>gf2000103066</t>
        </is>
      </c>
      <c r="D5369" s="1" t="inlineStr">
        <is>
          <t>NIKE Legacy91 Tech Cap (Red)</t>
        </is>
      </c>
      <c r="E5369" s="1" t="inlineStr">
        <is>
          <t>NIKE</t>
        </is>
      </c>
      <c r="F5369" s="1" t="inlineStr">
        <is>
          <t>CAP</t>
        </is>
      </c>
      <c r="G5369" s="1" t="inlineStr">
        <is>
          <t>GF2000103066</t>
        </is>
      </c>
      <c r="H5369" s="1" t="n">
        <v>1</v>
      </c>
      <c r="I5369" s="1" t="inlineStr">
        <is>
          <t>หมด</t>
        </is>
      </c>
      <c r="J5369" s="13" t="n">
        <v>29</v>
      </c>
      <c r="K5369" s="1" t="inlineStr"/>
      <c r="L5369" s="13" t="n"/>
      <c r="M5369" s="1">
        <f>IF(L5369="","ไม่พบใน SG",IF(ABS(J5369-L5369)&lt;0.005,"ตรงกัน","ไม่ตรง"))</f>
        <v/>
      </c>
      <c r="N5369" s="14">
        <f>IF(L5369="","",ROUND(L5369*'สรุป'!$C$6,-1))</f>
        <v/>
      </c>
      <c r="O5369" s="15" t="n"/>
      <c r="P5369" s="15" t="n"/>
      <c r="Q5369" s="10" t="n"/>
      <c r="R5369" s="10" t="n"/>
      <c r="S5369" s="16" t="inlineStr">
        <is>
          <t>https://mstgolf.co.th/products/gf2000103066</t>
        </is>
      </c>
      <c r="T5369" s="1">
        <f>IF(B5369="ไม้กอล์ฟ",J5369,"")</f>
        <v/>
      </c>
    </row>
    <row r="5370">
      <c r="A5370" s="1" t="n">
        <v>3</v>
      </c>
      <c r="B5370" s="1" t="inlineStr">
        <is>
          <t>หมวก</t>
        </is>
      </c>
      <c r="C5370" s="1" t="inlineStr">
        <is>
          <t>gf2000103073</t>
        </is>
      </c>
      <c r="D5370" s="1" t="inlineStr">
        <is>
          <t>NIKE Legacy91 Tech Men's Cap (Indigo)</t>
        </is>
      </c>
      <c r="E5370" s="1" t="inlineStr">
        <is>
          <t>NIKE</t>
        </is>
      </c>
      <c r="F5370" s="1" t="inlineStr">
        <is>
          <t>CAP</t>
        </is>
      </c>
      <c r="G5370" s="1" t="inlineStr">
        <is>
          <t>GF2000103073FS</t>
        </is>
      </c>
      <c r="H5370" s="1" t="n">
        <v>1</v>
      </c>
      <c r="I5370" s="1" t="inlineStr">
        <is>
          <t>หมด</t>
        </is>
      </c>
      <c r="J5370" s="13" t="n">
        <v>29</v>
      </c>
      <c r="K5370" s="1" t="inlineStr"/>
      <c r="L5370" s="13" t="n"/>
      <c r="M5370" s="1">
        <f>IF(L5370="","ไม่พบใน SG",IF(ABS(J5370-L5370)&lt;0.005,"ตรงกัน","ไม่ตรง"))</f>
        <v/>
      </c>
      <c r="N5370" s="14">
        <f>IF(L5370="","",ROUND(L5370*'สรุป'!$C$6,-1))</f>
        <v/>
      </c>
      <c r="O5370" s="15" t="n"/>
      <c r="P5370" s="15" t="n"/>
      <c r="Q5370" s="10" t="n"/>
      <c r="R5370" s="10" t="n"/>
      <c r="S5370" s="16" t="inlineStr">
        <is>
          <t>https://mstgolf.co.th/products/gf2000103073</t>
        </is>
      </c>
      <c r="T5370" s="1">
        <f>IF(B5370="ไม้กอล์ฟ",J5370,"")</f>
        <v/>
      </c>
    </row>
    <row r="5371">
      <c r="A5371" s="1" t="n">
        <v>3</v>
      </c>
      <c r="B5371" s="1" t="inlineStr">
        <is>
          <t>อุปกรณ์เสริม</t>
        </is>
      </c>
      <c r="C5371" s="1" t="inlineStr">
        <is>
          <t>gf3500400197</t>
        </is>
      </c>
      <c r="D5371" s="1" t="inlineStr">
        <is>
          <t>ONOFF OQ0421 Smiley Divot Marker (Blue/Red)</t>
        </is>
      </c>
      <c r="E5371" s="1" t="inlineStr">
        <is>
          <t>ONOFF</t>
        </is>
      </c>
      <c r="F5371" s="1" t="inlineStr">
        <is>
          <t>MARKERS &amp; DIVOTS</t>
        </is>
      </c>
      <c r="G5371" s="1" t="inlineStr">
        <is>
          <t>GF3500400197</t>
        </is>
      </c>
      <c r="H5371" s="1" t="n">
        <v>1</v>
      </c>
      <c r="I5371" s="1" t="inlineStr">
        <is>
          <t>หมด</t>
        </is>
      </c>
      <c r="J5371" s="13" t="n">
        <v>29</v>
      </c>
      <c r="K5371" s="1" t="inlineStr"/>
      <c r="L5371" s="13" t="n">
        <v>29</v>
      </c>
      <c r="M5371" s="1">
        <f>IF(L5371="","ไม่พบใน SG",IF(ABS(J5371-L5371)&lt;0.005,"ตรงกัน","ไม่ตรง"))</f>
        <v/>
      </c>
      <c r="N5371" s="14">
        <f>IF(L5371="","",ROUND(L5371*'สรุป'!$C$6,-1))</f>
        <v/>
      </c>
      <c r="O5371" s="15" t="n"/>
      <c r="P5371" s="15" t="n"/>
      <c r="Q5371" s="10" t="n"/>
      <c r="R5371" s="10" t="n"/>
      <c r="S5371" s="16" t="inlineStr">
        <is>
          <t>https://mstgolf.co.th/products/gf3500400197</t>
        </is>
      </c>
      <c r="T5371" s="1">
        <f>IF(B5371="ไม้กอล์ฟ",J5371,"")</f>
        <v/>
      </c>
    </row>
    <row r="5372">
      <c r="A5372" s="1" t="n">
        <v>3</v>
      </c>
      <c r="B5372" s="1" t="inlineStr">
        <is>
          <t>อุปกรณ์เสริม</t>
        </is>
      </c>
      <c r="C5372" s="1" t="inlineStr">
        <is>
          <t>gf3500400198</t>
        </is>
      </c>
      <c r="D5372" s="1" t="inlineStr">
        <is>
          <t>ONOFF OQ0421 Smiley Divot Marker (Green/Yellow)</t>
        </is>
      </c>
      <c r="E5372" s="1" t="inlineStr">
        <is>
          <t>ONOFF</t>
        </is>
      </c>
      <c r="F5372" s="1" t="inlineStr">
        <is>
          <t>MARKERS &amp; DIVOTS</t>
        </is>
      </c>
      <c r="G5372" s="1" t="inlineStr">
        <is>
          <t>GF3500400198</t>
        </is>
      </c>
      <c r="H5372" s="1" t="n">
        <v>1</v>
      </c>
      <c r="I5372" s="1" t="inlineStr">
        <is>
          <t>หมด</t>
        </is>
      </c>
      <c r="J5372" s="13" t="n">
        <v>29</v>
      </c>
      <c r="K5372" s="1" t="inlineStr"/>
      <c r="L5372" s="13" t="n">
        <v>29</v>
      </c>
      <c r="M5372" s="1">
        <f>IF(L5372="","ไม่พบใน SG",IF(ABS(J5372-L5372)&lt;0.005,"ตรงกัน","ไม่ตรง"))</f>
        <v/>
      </c>
      <c r="N5372" s="14">
        <f>IF(L5372="","",ROUND(L5372*'สรุป'!$C$6,-1))</f>
        <v/>
      </c>
      <c r="O5372" s="15" t="n"/>
      <c r="P5372" s="15" t="n"/>
      <c r="Q5372" s="10" t="n"/>
      <c r="R5372" s="10" t="n"/>
      <c r="S5372" s="16" t="inlineStr">
        <is>
          <t>https://mstgolf.co.th/products/gf3500400198</t>
        </is>
      </c>
      <c r="T5372" s="1">
        <f>IF(B5372="ไม้กอล์ฟ",J5372,"")</f>
        <v/>
      </c>
    </row>
    <row r="5373">
      <c r="A5373" s="1" t="n">
        <v>3</v>
      </c>
      <c r="B5373" s="1" t="inlineStr">
        <is>
          <t>อุปกรณ์เสริม</t>
        </is>
      </c>
      <c r="C5373" s="1" t="inlineStr">
        <is>
          <t>gf3500400201</t>
        </is>
      </c>
      <c r="D5373" s="1" t="inlineStr">
        <is>
          <t>ONOFF OQ0421 Smiley Divot Marker (Yellow/Blue)</t>
        </is>
      </c>
      <c r="E5373" s="1" t="inlineStr">
        <is>
          <t>ONOFF</t>
        </is>
      </c>
      <c r="F5373" s="1" t="inlineStr">
        <is>
          <t>MARKERS &amp; DIVOTS</t>
        </is>
      </c>
      <c r="G5373" s="1" t="inlineStr">
        <is>
          <t>GF3500400201</t>
        </is>
      </c>
      <c r="H5373" s="1" t="n">
        <v>1</v>
      </c>
      <c r="I5373" s="1" t="inlineStr">
        <is>
          <t>หมด</t>
        </is>
      </c>
      <c r="J5373" s="13" t="n">
        <v>29</v>
      </c>
      <c r="K5373" s="1" t="inlineStr"/>
      <c r="L5373" s="13" t="n">
        <v>29</v>
      </c>
      <c r="M5373" s="1">
        <f>IF(L5373="","ไม่พบใน SG",IF(ABS(J5373-L5373)&lt;0.005,"ตรงกัน","ไม่ตรง"))</f>
        <v/>
      </c>
      <c r="N5373" s="14">
        <f>IF(L5373="","",ROUND(L5373*'สรุป'!$C$6,-1))</f>
        <v/>
      </c>
      <c r="O5373" s="15" t="n"/>
      <c r="P5373" s="15" t="n"/>
      <c r="Q5373" s="10" t="n"/>
      <c r="R5373" s="10" t="n"/>
      <c r="S5373" s="16" t="inlineStr">
        <is>
          <t>https://mstgolf.co.th/products/gf3500400201</t>
        </is>
      </c>
      <c r="T5373" s="1">
        <f>IF(B5373="ไม้กอล์ฟ",J5373,"")</f>
        <v/>
      </c>
    </row>
    <row r="5374">
      <c r="A5374" s="1" t="n">
        <v>3</v>
      </c>
      <c r="B5374" s="1" t="inlineStr">
        <is>
          <t>หมวก</t>
        </is>
      </c>
      <c r="C5374" s="1" t="inlineStr">
        <is>
          <t>gf2000105476</t>
        </is>
      </c>
      <c r="D5374" s="1" t="inlineStr">
        <is>
          <t>PING Tour Classic 214 Junior Cap (White/Black)</t>
        </is>
      </c>
      <c r="E5374" s="1" t="inlineStr">
        <is>
          <t>PING</t>
        </is>
      </c>
      <c r="F5374" s="1" t="inlineStr">
        <is>
          <t>CAP</t>
        </is>
      </c>
      <c r="G5374" s="1" t="inlineStr">
        <is>
          <t>GF2000105476FS</t>
        </is>
      </c>
      <c r="H5374" s="1" t="n">
        <v>3</v>
      </c>
      <c r="I5374" s="1" t="inlineStr">
        <is>
          <t>หมด</t>
        </is>
      </c>
      <c r="J5374" s="13" t="n">
        <v>29</v>
      </c>
      <c r="K5374" s="1" t="inlineStr"/>
      <c r="L5374" s="13" t="n">
        <v>29</v>
      </c>
      <c r="M5374" s="1">
        <f>IF(L5374="","ไม่พบใน SG",IF(ABS(J5374-L5374)&lt;0.005,"ตรงกัน","ไม่ตรง"))</f>
        <v/>
      </c>
      <c r="N5374" s="14">
        <f>IF(L5374="","",ROUND(L5374*'สรุป'!$C$6,-1))</f>
        <v/>
      </c>
      <c r="O5374" s="15" t="n"/>
      <c r="P5374" s="15" t="n"/>
      <c r="Q5374" s="10" t="n"/>
      <c r="R5374" s="10" t="n"/>
      <c r="S5374" s="16" t="inlineStr">
        <is>
          <t>https://mstgolf.co.th/products/gf2000105476</t>
        </is>
      </c>
      <c r="T5374" s="1">
        <f>IF(B5374="ไม้กอล์ฟ",J5374,"")</f>
        <v/>
      </c>
    </row>
    <row r="5375">
      <c r="A5375" s="1" t="n">
        <v>3</v>
      </c>
      <c r="B5375" s="1" t="inlineStr">
        <is>
          <t>หมวก</t>
        </is>
      </c>
      <c r="C5375" s="1" t="inlineStr">
        <is>
          <t>gf2000104650</t>
        </is>
      </c>
      <c r="D5375" s="1" t="inlineStr">
        <is>
          <t>PUMA Pounce Adjustable Men's Cap (Navy)</t>
        </is>
      </c>
      <c r="E5375" s="1" t="inlineStr">
        <is>
          <t>PUMA</t>
        </is>
      </c>
      <c r="F5375" s="1" t="inlineStr">
        <is>
          <t>CAP</t>
        </is>
      </c>
      <c r="G5375" s="1" t="inlineStr">
        <is>
          <t>GF2000104650FS</t>
        </is>
      </c>
      <c r="H5375" s="1" t="n">
        <v>1</v>
      </c>
      <c r="I5375" s="1" t="inlineStr">
        <is>
          <t>หมด</t>
        </is>
      </c>
      <c r="J5375" s="13" t="n">
        <v>29</v>
      </c>
      <c r="K5375" s="1" t="inlineStr"/>
      <c r="L5375" s="13" t="n"/>
      <c r="M5375" s="1">
        <f>IF(L5375="","ไม่พบใน SG",IF(ABS(J5375-L5375)&lt;0.005,"ตรงกัน","ไม่ตรง"))</f>
        <v/>
      </c>
      <c r="N5375" s="14">
        <f>IF(L5375="","",ROUND(L5375*'สรุป'!$C$6,-1))</f>
        <v/>
      </c>
      <c r="O5375" s="15" t="n"/>
      <c r="P5375" s="15" t="n"/>
      <c r="Q5375" s="10" t="n"/>
      <c r="R5375" s="10" t="n"/>
      <c r="S5375" s="16" t="inlineStr">
        <is>
          <t>https://mstgolf.co.th/products/gf2000104650</t>
        </is>
      </c>
      <c r="T5375" s="1">
        <f>IF(B5375="ไม้กอล์ฟ",J5375,"")</f>
        <v/>
      </c>
    </row>
    <row r="5376">
      <c r="A5376" s="1" t="n">
        <v>3</v>
      </c>
      <c r="B5376" s="1" t="inlineStr">
        <is>
          <t>เสื้อผ้า</t>
        </is>
      </c>
      <c r="C5376" s="1" t="inlineStr">
        <is>
          <t>gf2110100221</t>
        </is>
      </c>
      <c r="D5376" s="1" t="inlineStr">
        <is>
          <t>SPARMS Everyday Arm Sleeves (Black)</t>
        </is>
      </c>
      <c r="E5376" s="1" t="inlineStr">
        <is>
          <t>SPARMS</t>
        </is>
      </c>
      <c r="F5376" s="1" t="inlineStr">
        <is>
          <t>ARM GLOVE</t>
        </is>
      </c>
      <c r="G5376" s="1" t="inlineStr">
        <is>
          <t>GF2110100221FS</t>
        </is>
      </c>
      <c r="H5376" s="1" t="n">
        <v>1</v>
      </c>
      <c r="I5376" s="1" t="inlineStr">
        <is>
          <t>หมด</t>
        </is>
      </c>
      <c r="J5376" s="13" t="n">
        <v>29</v>
      </c>
      <c r="K5376" s="1" t="inlineStr"/>
      <c r="L5376" s="13" t="n"/>
      <c r="M5376" s="1">
        <f>IF(L5376="","ไม่พบใน SG",IF(ABS(J5376-L5376)&lt;0.005,"ตรงกัน","ไม่ตรง"))</f>
        <v/>
      </c>
      <c r="N5376" s="14">
        <f>IF(L5376="","",ROUND(L5376*'สรุป'!$C$6,-1))</f>
        <v/>
      </c>
      <c r="O5376" s="15" t="n"/>
      <c r="P5376" s="15" t="n"/>
      <c r="Q5376" s="10" t="n"/>
      <c r="R5376" s="10" t="n"/>
      <c r="S5376" s="16" t="inlineStr">
        <is>
          <t>https://mstgolf.co.th/products/gf2110100221</t>
        </is>
      </c>
      <c r="T5376" s="1">
        <f>IF(B5376="ไม้กอล์ฟ",J5376,"")</f>
        <v/>
      </c>
    </row>
    <row r="5377">
      <c r="A5377" s="1" t="n">
        <v>3</v>
      </c>
      <c r="B5377" s="1" t="inlineStr">
        <is>
          <t>เสื้อผ้า</t>
        </is>
      </c>
      <c r="C5377" s="1" t="inlineStr">
        <is>
          <t>gf2110100227</t>
        </is>
      </c>
      <c r="D5377" s="1" t="inlineStr">
        <is>
          <t>SPARMS Junior Everyday Arm Sleeves (Black)</t>
        </is>
      </c>
      <c r="E5377" s="1" t="inlineStr">
        <is>
          <t>SPARMS</t>
        </is>
      </c>
      <c r="F5377" s="1" t="inlineStr">
        <is>
          <t>ARM GLOVE</t>
        </is>
      </c>
      <c r="G5377" s="1" t="inlineStr">
        <is>
          <t>GF2110100227FS</t>
        </is>
      </c>
      <c r="H5377" s="1" t="n">
        <v>1</v>
      </c>
      <c r="I5377" s="1" t="inlineStr">
        <is>
          <t>หมด</t>
        </is>
      </c>
      <c r="J5377" s="13" t="n">
        <v>29</v>
      </c>
      <c r="K5377" s="1" t="inlineStr"/>
      <c r="L5377" s="13" t="n"/>
      <c r="M5377" s="1">
        <f>IF(L5377="","ไม่พบใน SG",IF(ABS(J5377-L5377)&lt;0.005,"ตรงกัน","ไม่ตรง"))</f>
        <v/>
      </c>
      <c r="N5377" s="14">
        <f>IF(L5377="","",ROUND(L5377*'สรุป'!$C$6,-1))</f>
        <v/>
      </c>
      <c r="O5377" s="15" t="n"/>
      <c r="P5377" s="15" t="n"/>
      <c r="Q5377" s="10" t="n"/>
      <c r="R5377" s="10" t="n"/>
      <c r="S5377" s="16" t="inlineStr">
        <is>
          <t>https://mstgolf.co.th/products/gf2110100227</t>
        </is>
      </c>
      <c r="T5377" s="1">
        <f>IF(B5377="ไม้กอล์ฟ",J5377,"")</f>
        <v/>
      </c>
    </row>
    <row r="5378">
      <c r="A5378" s="1" t="n">
        <v>3</v>
      </c>
      <c r="B5378" s="1" t="inlineStr">
        <is>
          <t>เสื้อผ้า</t>
        </is>
      </c>
      <c r="C5378" s="1" t="inlineStr">
        <is>
          <t>gf2110100231</t>
        </is>
      </c>
      <c r="D5378" s="1" t="inlineStr">
        <is>
          <t>SPARMS Junior Everyday Arm Sleeves (Blue)</t>
        </is>
      </c>
      <c r="E5378" s="1" t="inlineStr">
        <is>
          <t>SPARMS</t>
        </is>
      </c>
      <c r="F5378" s="1" t="inlineStr">
        <is>
          <t>ARM GLOVE</t>
        </is>
      </c>
      <c r="G5378" s="1" t="inlineStr">
        <is>
          <t>GF2110100231FS</t>
        </is>
      </c>
      <c r="H5378" s="1" t="n">
        <v>1</v>
      </c>
      <c r="I5378" s="1" t="inlineStr">
        <is>
          <t>หมด</t>
        </is>
      </c>
      <c r="J5378" s="13" t="n">
        <v>29</v>
      </c>
      <c r="K5378" s="1" t="inlineStr"/>
      <c r="L5378" s="13" t="n"/>
      <c r="M5378" s="1">
        <f>IF(L5378="","ไม่พบใน SG",IF(ABS(J5378-L5378)&lt;0.005,"ตรงกัน","ไม่ตรง"))</f>
        <v/>
      </c>
      <c r="N5378" s="14">
        <f>IF(L5378="","",ROUND(L5378*'สรุป'!$C$6,-1))</f>
        <v/>
      </c>
      <c r="O5378" s="15" t="n"/>
      <c r="P5378" s="15" t="n"/>
      <c r="Q5378" s="10" t="n"/>
      <c r="R5378" s="10" t="n"/>
      <c r="S5378" s="16" t="inlineStr">
        <is>
          <t>https://mstgolf.co.th/products/gf2110100231</t>
        </is>
      </c>
      <c r="T5378" s="1">
        <f>IF(B5378="ไม้กอล์ฟ",J5378,"")</f>
        <v/>
      </c>
    </row>
    <row r="5379">
      <c r="A5379" s="1" t="n">
        <v>3</v>
      </c>
      <c r="B5379" s="1" t="inlineStr">
        <is>
          <t>เสื้อผ้า</t>
        </is>
      </c>
      <c r="C5379" s="1" t="inlineStr">
        <is>
          <t>gf2110100232</t>
        </is>
      </c>
      <c r="D5379" s="1" t="inlineStr">
        <is>
          <t>SPARMS Junior Everyday Arm Sleeves (Green)</t>
        </is>
      </c>
      <c r="E5379" s="1" t="inlineStr">
        <is>
          <t>SPARMS</t>
        </is>
      </c>
      <c r="F5379" s="1" t="inlineStr">
        <is>
          <t>ARM GLOVE</t>
        </is>
      </c>
      <c r="G5379" s="1" t="inlineStr">
        <is>
          <t>GF2110100232FS</t>
        </is>
      </c>
      <c r="H5379" s="1" t="n">
        <v>1</v>
      </c>
      <c r="I5379" s="1" t="inlineStr">
        <is>
          <t>หมด</t>
        </is>
      </c>
      <c r="J5379" s="13" t="n">
        <v>29</v>
      </c>
      <c r="K5379" s="1" t="inlineStr"/>
      <c r="L5379" s="13" t="n"/>
      <c r="M5379" s="1">
        <f>IF(L5379="","ไม่พบใน SG",IF(ABS(J5379-L5379)&lt;0.005,"ตรงกัน","ไม่ตรง"))</f>
        <v/>
      </c>
      <c r="N5379" s="14">
        <f>IF(L5379="","",ROUND(L5379*'สรุป'!$C$6,-1))</f>
        <v/>
      </c>
      <c r="O5379" s="15" t="n"/>
      <c r="P5379" s="15" t="n"/>
      <c r="Q5379" s="10" t="n"/>
      <c r="R5379" s="10" t="n"/>
      <c r="S5379" s="16" t="inlineStr">
        <is>
          <t>https://mstgolf.co.th/products/gf2110100232</t>
        </is>
      </c>
      <c r="T5379" s="1">
        <f>IF(B5379="ไม้กอล์ฟ",J5379,"")</f>
        <v/>
      </c>
    </row>
    <row r="5380">
      <c r="A5380" s="1" t="n">
        <v>3</v>
      </c>
      <c r="B5380" s="1" t="inlineStr">
        <is>
          <t>เสื้อผ้า</t>
        </is>
      </c>
      <c r="C5380" s="1" t="inlineStr">
        <is>
          <t>gf2110100236</t>
        </is>
      </c>
      <c r="D5380" s="1" t="inlineStr">
        <is>
          <t>SPARMS Junior Everyday Arm Sleeves (Maroon)</t>
        </is>
      </c>
      <c r="E5380" s="1" t="inlineStr">
        <is>
          <t>SPARMS</t>
        </is>
      </c>
      <c r="F5380" s="1" t="inlineStr">
        <is>
          <t>ARM GLOVE</t>
        </is>
      </c>
      <c r="G5380" s="1" t="inlineStr">
        <is>
          <t>GF2110100236FS</t>
        </is>
      </c>
      <c r="H5380" s="1" t="n">
        <v>1</v>
      </c>
      <c r="I5380" s="1" t="inlineStr">
        <is>
          <t>หมด</t>
        </is>
      </c>
      <c r="J5380" s="13" t="n">
        <v>29</v>
      </c>
      <c r="K5380" s="1" t="inlineStr"/>
      <c r="L5380" s="13" t="n"/>
      <c r="M5380" s="1">
        <f>IF(L5380="","ไม่พบใน SG",IF(ABS(J5380-L5380)&lt;0.005,"ตรงกัน","ไม่ตรง"))</f>
        <v/>
      </c>
      <c r="N5380" s="14">
        <f>IF(L5380="","",ROUND(L5380*'สรุป'!$C$6,-1))</f>
        <v/>
      </c>
      <c r="O5380" s="15" t="n"/>
      <c r="P5380" s="15" t="n"/>
      <c r="Q5380" s="10" t="n"/>
      <c r="R5380" s="10" t="n"/>
      <c r="S5380" s="16" t="inlineStr">
        <is>
          <t>https://mstgolf.co.th/products/gf2110100236</t>
        </is>
      </c>
      <c r="T5380" s="1">
        <f>IF(B5380="ไม้กอล์ฟ",J5380,"")</f>
        <v/>
      </c>
    </row>
    <row r="5381">
      <c r="A5381" s="1" t="n">
        <v>3</v>
      </c>
      <c r="B5381" s="1" t="inlineStr">
        <is>
          <t>เสื้อผ้า</t>
        </is>
      </c>
      <c r="C5381" s="1" t="inlineStr">
        <is>
          <t>gf2110100235</t>
        </is>
      </c>
      <c r="D5381" s="1" t="inlineStr">
        <is>
          <t>SPARMS Junior Everyday Arm Sleeves (Pink)</t>
        </is>
      </c>
      <c r="E5381" s="1" t="inlineStr">
        <is>
          <t>SPARMS</t>
        </is>
      </c>
      <c r="F5381" s="1" t="inlineStr">
        <is>
          <t>ARM GLOVE</t>
        </is>
      </c>
      <c r="G5381" s="1" t="inlineStr">
        <is>
          <t>GF2110100235FS</t>
        </is>
      </c>
      <c r="H5381" s="1" t="n">
        <v>1</v>
      </c>
      <c r="I5381" s="1" t="inlineStr">
        <is>
          <t>หมด</t>
        </is>
      </c>
      <c r="J5381" s="13" t="n">
        <v>29</v>
      </c>
      <c r="K5381" s="1" t="inlineStr"/>
      <c r="L5381" s="13" t="n"/>
      <c r="M5381" s="1">
        <f>IF(L5381="","ไม่พบใน SG",IF(ABS(J5381-L5381)&lt;0.005,"ตรงกัน","ไม่ตรง"))</f>
        <v/>
      </c>
      <c r="N5381" s="14">
        <f>IF(L5381="","",ROUND(L5381*'สรุป'!$C$6,-1))</f>
        <v/>
      </c>
      <c r="O5381" s="15" t="n"/>
      <c r="P5381" s="15" t="n"/>
      <c r="Q5381" s="10" t="n"/>
      <c r="R5381" s="10" t="n"/>
      <c r="S5381" s="16" t="inlineStr">
        <is>
          <t>https://mstgolf.co.th/products/gf2110100235</t>
        </is>
      </c>
      <c r="T5381" s="1">
        <f>IF(B5381="ไม้กอล์ฟ",J5381,"")</f>
        <v/>
      </c>
    </row>
    <row r="5382">
      <c r="A5382" s="1" t="n">
        <v>3</v>
      </c>
      <c r="B5382" s="1" t="inlineStr">
        <is>
          <t>เสื้อผ้า</t>
        </is>
      </c>
      <c r="C5382" s="1" t="inlineStr">
        <is>
          <t>gf2110100234</t>
        </is>
      </c>
      <c r="D5382" s="1" t="inlineStr">
        <is>
          <t>SPARMS Junior Everyday Arm Sleeves (Red)</t>
        </is>
      </c>
      <c r="E5382" s="1" t="inlineStr">
        <is>
          <t>SPARMS</t>
        </is>
      </c>
      <c r="F5382" s="1" t="inlineStr">
        <is>
          <t>ARM GLOVE</t>
        </is>
      </c>
      <c r="G5382" s="1" t="inlineStr">
        <is>
          <t>GF2110100234FS</t>
        </is>
      </c>
      <c r="H5382" s="1" t="n">
        <v>1</v>
      </c>
      <c r="I5382" s="1" t="inlineStr">
        <is>
          <t>หมด</t>
        </is>
      </c>
      <c r="J5382" s="13" t="n">
        <v>29</v>
      </c>
      <c r="K5382" s="1" t="inlineStr"/>
      <c r="L5382" s="13" t="n"/>
      <c r="M5382" s="1">
        <f>IF(L5382="","ไม่พบใน SG",IF(ABS(J5382-L5382)&lt;0.005,"ตรงกัน","ไม่ตรง"))</f>
        <v/>
      </c>
      <c r="N5382" s="14">
        <f>IF(L5382="","",ROUND(L5382*'สรุป'!$C$6,-1))</f>
        <v/>
      </c>
      <c r="O5382" s="15" t="n"/>
      <c r="P5382" s="15" t="n"/>
      <c r="Q5382" s="10" t="n"/>
      <c r="R5382" s="10" t="n"/>
      <c r="S5382" s="16" t="inlineStr">
        <is>
          <t>https://mstgolf.co.th/products/gf2110100234</t>
        </is>
      </c>
      <c r="T5382" s="1">
        <f>IF(B5382="ไม้กอล์ฟ",J5382,"")</f>
        <v/>
      </c>
    </row>
    <row r="5383">
      <c r="A5383" s="1" t="n">
        <v>3</v>
      </c>
      <c r="B5383" s="1" t="inlineStr">
        <is>
          <t>เสื้อผ้า</t>
        </is>
      </c>
      <c r="C5383" s="1" t="inlineStr">
        <is>
          <t>gf2110100230</t>
        </is>
      </c>
      <c r="D5383" s="1" t="inlineStr">
        <is>
          <t>SPARMS Junior Everyday Arm Sleeves (Royal)</t>
        </is>
      </c>
      <c r="E5383" s="1" t="inlineStr">
        <is>
          <t>SPARMS</t>
        </is>
      </c>
      <c r="F5383" s="1" t="inlineStr">
        <is>
          <t>ARM GLOVE</t>
        </is>
      </c>
      <c r="G5383" s="1" t="inlineStr">
        <is>
          <t>GF2110100230FS</t>
        </is>
      </c>
      <c r="H5383" s="1" t="n">
        <v>1</v>
      </c>
      <c r="I5383" s="1" t="inlineStr">
        <is>
          <t>หมด</t>
        </is>
      </c>
      <c r="J5383" s="13" t="n">
        <v>29</v>
      </c>
      <c r="K5383" s="1" t="inlineStr"/>
      <c r="L5383" s="13" t="n"/>
      <c r="M5383" s="1">
        <f>IF(L5383="","ไม่พบใน SG",IF(ABS(J5383-L5383)&lt;0.005,"ตรงกัน","ไม่ตรง"))</f>
        <v/>
      </c>
      <c r="N5383" s="14">
        <f>IF(L5383="","",ROUND(L5383*'สรุป'!$C$6,-1))</f>
        <v/>
      </c>
      <c r="O5383" s="15" t="n"/>
      <c r="P5383" s="15" t="n"/>
      <c r="Q5383" s="10" t="n"/>
      <c r="R5383" s="10" t="n"/>
      <c r="S5383" s="16" t="inlineStr">
        <is>
          <t>https://mstgolf.co.th/products/gf2110100230</t>
        </is>
      </c>
      <c r="T5383" s="1">
        <f>IF(B5383="ไม้กอล์ฟ",J5383,"")</f>
        <v/>
      </c>
    </row>
    <row r="5384">
      <c r="A5384" s="1" t="n">
        <v>3</v>
      </c>
      <c r="B5384" s="1" t="inlineStr">
        <is>
          <t>เสื้อผ้า</t>
        </is>
      </c>
      <c r="C5384" s="1" t="inlineStr">
        <is>
          <t>gf2110100233</t>
        </is>
      </c>
      <c r="D5384" s="1" t="inlineStr">
        <is>
          <t>SPARMS Junior Everyday Arm Sleeves (Yellow)</t>
        </is>
      </c>
      <c r="E5384" s="1" t="inlineStr">
        <is>
          <t>SPARMS</t>
        </is>
      </c>
      <c r="F5384" s="1" t="inlineStr">
        <is>
          <t>ARM GLOVE</t>
        </is>
      </c>
      <c r="G5384" s="1" t="inlineStr">
        <is>
          <t>GF2110100233FS</t>
        </is>
      </c>
      <c r="H5384" s="1" t="n">
        <v>1</v>
      </c>
      <c r="I5384" s="1" t="inlineStr">
        <is>
          <t>หมด</t>
        </is>
      </c>
      <c r="J5384" s="13" t="n">
        <v>29</v>
      </c>
      <c r="K5384" s="1" t="inlineStr"/>
      <c r="L5384" s="13" t="n"/>
      <c r="M5384" s="1">
        <f>IF(L5384="","ไม่พบใน SG",IF(ABS(J5384-L5384)&lt;0.005,"ตรงกัน","ไม่ตรง"))</f>
        <v/>
      </c>
      <c r="N5384" s="14">
        <f>IF(L5384="","",ROUND(L5384*'สรุป'!$C$6,-1))</f>
        <v/>
      </c>
      <c r="O5384" s="15" t="n"/>
      <c r="P5384" s="15" t="n"/>
      <c r="Q5384" s="10" t="n"/>
      <c r="R5384" s="10" t="n"/>
      <c r="S5384" s="16" t="inlineStr">
        <is>
          <t>https://mstgolf.co.th/products/gf2110100233</t>
        </is>
      </c>
      <c r="T5384" s="1">
        <f>IF(B5384="ไม้กอล์ฟ",J5384,"")</f>
        <v/>
      </c>
    </row>
    <row r="5385">
      <c r="A5385" s="1" t="n">
        <v>3</v>
      </c>
      <c r="B5385" s="1" t="inlineStr">
        <is>
          <t>เสื้อผ้า</t>
        </is>
      </c>
      <c r="C5385" s="1" t="inlineStr">
        <is>
          <t>gf2110200026</t>
        </is>
      </c>
      <c r="D5385" s="1" t="inlineStr">
        <is>
          <t>TABATA Mask (Black)</t>
        </is>
      </c>
      <c r="E5385" s="1" t="inlineStr">
        <is>
          <t>TABATA</t>
        </is>
      </c>
      <c r="F5385" s="1" t="inlineStr">
        <is>
          <t>PROTECTION GEAR</t>
        </is>
      </c>
      <c r="G5385" s="1" t="inlineStr">
        <is>
          <t>GF2110200026</t>
        </is>
      </c>
      <c r="H5385" s="1" t="n">
        <v>1</v>
      </c>
      <c r="I5385" s="1" t="inlineStr">
        <is>
          <t>หมด</t>
        </is>
      </c>
      <c r="J5385" s="13" t="n">
        <v>29</v>
      </c>
      <c r="K5385" s="1" t="inlineStr"/>
      <c r="L5385" s="13" t="n">
        <v>29</v>
      </c>
      <c r="M5385" s="1">
        <f>IF(L5385="","ไม่พบใน SG",IF(ABS(J5385-L5385)&lt;0.005,"ตรงกัน","ไม่ตรง"))</f>
        <v/>
      </c>
      <c r="N5385" s="14">
        <f>IF(L5385="","",ROUND(L5385*'สรุป'!$C$6,-1))</f>
        <v/>
      </c>
      <c r="O5385" s="15" t="n"/>
      <c r="P5385" s="15" t="n"/>
      <c r="Q5385" s="10" t="n"/>
      <c r="R5385" s="10" t="n"/>
      <c r="S5385" s="16" t="inlineStr">
        <is>
          <t>https://mstgolf.co.th/products/gf2110200026</t>
        </is>
      </c>
      <c r="T5385" s="1">
        <f>IF(B5385="ไม้กอล์ฟ",J5385,"")</f>
        <v/>
      </c>
    </row>
    <row r="5386">
      <c r="A5386" s="1" t="n">
        <v>3</v>
      </c>
      <c r="B5386" s="1" t="inlineStr">
        <is>
          <t>เสื้อผ้า</t>
        </is>
      </c>
      <c r="C5386" s="1" t="inlineStr">
        <is>
          <t>gf2110200027</t>
        </is>
      </c>
      <c r="D5386" s="1" t="inlineStr">
        <is>
          <t>TABATA Mask (White)</t>
        </is>
      </c>
      <c r="E5386" s="1" t="inlineStr">
        <is>
          <t>TABATA</t>
        </is>
      </c>
      <c r="F5386" s="1" t="inlineStr">
        <is>
          <t>PROTECTION GEAR</t>
        </is>
      </c>
      <c r="G5386" s="1" t="inlineStr">
        <is>
          <t>GF2110200027</t>
        </is>
      </c>
      <c r="H5386" s="1" t="n">
        <v>1</v>
      </c>
      <c r="I5386" s="1" t="inlineStr">
        <is>
          <t>หมด</t>
        </is>
      </c>
      <c r="J5386" s="13" t="n">
        <v>29</v>
      </c>
      <c r="K5386" s="1" t="inlineStr"/>
      <c r="L5386" s="13" t="n">
        <v>29</v>
      </c>
      <c r="M5386" s="1">
        <f>IF(L5386="","ไม่พบใน SG",IF(ABS(J5386-L5386)&lt;0.005,"ตรงกัน","ไม่ตรง"))</f>
        <v/>
      </c>
      <c r="N5386" s="14">
        <f>IF(L5386="","",ROUND(L5386*'สรุป'!$C$6,-1))</f>
        <v/>
      </c>
      <c r="O5386" s="15" t="n"/>
      <c r="P5386" s="15" t="n"/>
      <c r="Q5386" s="10" t="n"/>
      <c r="R5386" s="10" t="n"/>
      <c r="S5386" s="16" t="inlineStr">
        <is>
          <t>https://mstgolf.co.th/products/gf2110200027</t>
        </is>
      </c>
      <c r="T5386" s="1">
        <f>IF(B5386="ไม้กอล์ฟ",J5386,"")</f>
        <v/>
      </c>
    </row>
    <row r="5387">
      <c r="A5387" s="1" t="n">
        <v>3</v>
      </c>
      <c r="B5387" s="1" t="inlineStr">
        <is>
          <t>อุปกรณ์เสริม</t>
        </is>
      </c>
      <c r="C5387" s="1" t="inlineStr">
        <is>
          <t>gf3500400226</t>
        </is>
      </c>
      <c r="D5387" s="1" t="inlineStr">
        <is>
          <t>TAYLORMADE Carabiner Marker (Yellow) (Red/Black)</t>
        </is>
      </c>
      <c r="E5387" s="1" t="inlineStr">
        <is>
          <t>TAYLORMADE</t>
        </is>
      </c>
      <c r="F5387" s="1" t="inlineStr">
        <is>
          <t>MARKERS &amp; DIVOTS</t>
        </is>
      </c>
      <c r="G5387" s="1" t="inlineStr">
        <is>
          <t>GF3500400226</t>
        </is>
      </c>
      <c r="H5387" s="1" t="n">
        <v>1</v>
      </c>
      <c r="I5387" s="1" t="inlineStr">
        <is>
          <t>หมด</t>
        </is>
      </c>
      <c r="J5387" s="13" t="n">
        <v>29</v>
      </c>
      <c r="K5387" s="1" t="inlineStr"/>
      <c r="L5387" s="13" t="n">
        <v>29</v>
      </c>
      <c r="M5387" s="1">
        <f>IF(L5387="","ไม่พบใน SG",IF(ABS(J5387-L5387)&lt;0.005,"ตรงกัน","ไม่ตรง"))</f>
        <v/>
      </c>
      <c r="N5387" s="14">
        <f>IF(L5387="","",ROUND(L5387*'สรุป'!$C$6,-1))</f>
        <v/>
      </c>
      <c r="O5387" s="15" t="n"/>
      <c r="P5387" s="15" t="n"/>
      <c r="Q5387" s="10" t="n"/>
      <c r="R5387" s="10" t="n"/>
      <c r="S5387" s="16" t="inlineStr">
        <is>
          <t>https://mstgolf.co.th/products/gf3500400226</t>
        </is>
      </c>
      <c r="T5387" s="1">
        <f>IF(B5387="ไม้กอล์ฟ",J5387,"")</f>
        <v/>
      </c>
    </row>
    <row r="5388">
      <c r="A5388" s="1" t="n">
        <v>3</v>
      </c>
      <c r="B5388" s="1" t="inlineStr">
        <is>
          <t>หมวก</t>
        </is>
      </c>
      <c r="C5388" s="1" t="inlineStr">
        <is>
          <t>gf2000200886</t>
        </is>
      </c>
      <c r="D5388" s="1" t="inlineStr">
        <is>
          <t>TAYLORMADE Club TM Men's Visor (White)</t>
        </is>
      </c>
      <c r="E5388" s="1" t="inlineStr">
        <is>
          <t>TAYLORMADE</t>
        </is>
      </c>
      <c r="F5388" s="1" t="inlineStr">
        <is>
          <t>VISOR</t>
        </is>
      </c>
      <c r="G5388" s="1" t="inlineStr">
        <is>
          <t>GF2000200886FS</t>
        </is>
      </c>
      <c r="H5388" s="1" t="n">
        <v>1</v>
      </c>
      <c r="I5388" s="1" t="inlineStr">
        <is>
          <t>หมด</t>
        </is>
      </c>
      <c r="J5388" s="13" t="n">
        <v>29</v>
      </c>
      <c r="K5388" s="1" t="inlineStr"/>
      <c r="L5388" s="13" t="n"/>
      <c r="M5388" s="1">
        <f>IF(L5388="","ไม่พบใน SG",IF(ABS(J5388-L5388)&lt;0.005,"ตรงกัน","ไม่ตรง"))</f>
        <v/>
      </c>
      <c r="N5388" s="14">
        <f>IF(L5388="","",ROUND(L5388*'สรุป'!$C$6,-1))</f>
        <v/>
      </c>
      <c r="O5388" s="15" t="n"/>
      <c r="P5388" s="15" t="n"/>
      <c r="Q5388" s="10" t="n"/>
      <c r="R5388" s="10" t="n"/>
      <c r="S5388" s="16" t="inlineStr">
        <is>
          <t>https://mstgolf.co.th/products/gf2000200886</t>
        </is>
      </c>
      <c r="T5388" s="1">
        <f>IF(B5388="ไม้กอล์ฟ",J5388,"")</f>
        <v/>
      </c>
    </row>
    <row r="5389">
      <c r="A5389" s="1" t="n">
        <v>3</v>
      </c>
      <c r="B5389" s="1" t="inlineStr">
        <is>
          <t>หมวก</t>
        </is>
      </c>
      <c r="C5389" s="1" t="inlineStr">
        <is>
          <t>gf2000105983</t>
        </is>
      </c>
      <c r="D5389" s="1" t="inlineStr">
        <is>
          <t>TAYLORMADE Flower Logo Women's Cap (Beige)</t>
        </is>
      </c>
      <c r="E5389" s="1" t="inlineStr">
        <is>
          <t>TAYLORMADE</t>
        </is>
      </c>
      <c r="F5389" s="1" t="inlineStr">
        <is>
          <t>CAP</t>
        </is>
      </c>
      <c r="G5389" s="1" t="inlineStr">
        <is>
          <t>GF2000105983FS</t>
        </is>
      </c>
      <c r="H5389" s="1" t="n">
        <v>1</v>
      </c>
      <c r="I5389" s="1" t="inlineStr">
        <is>
          <t>หมด</t>
        </is>
      </c>
      <c r="J5389" s="13" t="n">
        <v>29</v>
      </c>
      <c r="K5389" s="1" t="inlineStr"/>
      <c r="L5389" s="13" t="n"/>
      <c r="M5389" s="1">
        <f>IF(L5389="","ไม่พบใน SG",IF(ABS(J5389-L5389)&lt;0.005,"ตรงกัน","ไม่ตรง"))</f>
        <v/>
      </c>
      <c r="N5389" s="14">
        <f>IF(L5389="","",ROUND(L5389*'สรุป'!$C$6,-1))</f>
        <v/>
      </c>
      <c r="O5389" s="15" t="n"/>
      <c r="P5389" s="15" t="n"/>
      <c r="Q5389" s="10" t="n"/>
      <c r="R5389" s="10" t="n"/>
      <c r="S5389" s="16" t="inlineStr">
        <is>
          <t>https://mstgolf.co.th/products/gf2000105983</t>
        </is>
      </c>
      <c r="T5389" s="1">
        <f>IF(B5389="ไม้กอล์ฟ",J5389,"")</f>
        <v/>
      </c>
    </row>
    <row r="5390">
      <c r="A5390" s="1" t="n">
        <v>3</v>
      </c>
      <c r="B5390" s="1" t="inlineStr">
        <is>
          <t>หมวก</t>
        </is>
      </c>
      <c r="C5390" s="1" t="inlineStr">
        <is>
          <t>gf2000105986</t>
        </is>
      </c>
      <c r="D5390" s="1" t="inlineStr">
        <is>
          <t>TAYLORMADE Flower Logo Women's Cap (White)</t>
        </is>
      </c>
      <c r="E5390" s="1" t="inlineStr">
        <is>
          <t>TAYLORMADE</t>
        </is>
      </c>
      <c r="F5390" s="1" t="inlineStr">
        <is>
          <t>CAP</t>
        </is>
      </c>
      <c r="G5390" s="1" t="inlineStr">
        <is>
          <t>GF2000105986FS</t>
        </is>
      </c>
      <c r="H5390" s="1" t="n">
        <v>1</v>
      </c>
      <c r="I5390" s="1" t="inlineStr">
        <is>
          <t>หมด</t>
        </is>
      </c>
      <c r="J5390" s="13" t="n">
        <v>29</v>
      </c>
      <c r="K5390" s="1" t="inlineStr"/>
      <c r="L5390" s="13" t="n"/>
      <c r="M5390" s="1">
        <f>IF(L5390="","ไม่พบใน SG",IF(ABS(J5390-L5390)&lt;0.005,"ตรงกัน","ไม่ตรง"))</f>
        <v/>
      </c>
      <c r="N5390" s="14">
        <f>IF(L5390="","",ROUND(L5390*'สรุป'!$C$6,-1))</f>
        <v/>
      </c>
      <c r="O5390" s="15" t="n"/>
      <c r="P5390" s="15" t="n"/>
      <c r="Q5390" s="10" t="n"/>
      <c r="R5390" s="10" t="n"/>
      <c r="S5390" s="16" t="inlineStr">
        <is>
          <t>https://mstgolf.co.th/products/gf2000105986</t>
        </is>
      </c>
      <c r="T5390" s="1">
        <f>IF(B5390="ไม้กอล์ฟ",J5390,"")</f>
        <v/>
      </c>
    </row>
    <row r="5391">
      <c r="A5391" s="1" t="n">
        <v>3</v>
      </c>
      <c r="B5391" s="1" t="inlineStr">
        <is>
          <t>อุปกรณ์เสริม</t>
        </is>
      </c>
      <c r="C5391" s="1" t="inlineStr">
        <is>
          <t>gf3500300656</t>
        </is>
      </c>
      <c r="D5391" s="1" t="inlineStr">
        <is>
          <t>TAYLORMADE Performance Valuable Pouch (Burgundy)</t>
        </is>
      </c>
      <c r="E5391" s="1" t="inlineStr">
        <is>
          <t>TAYLORMADE</t>
        </is>
      </c>
      <c r="F5391" s="1" t="inlineStr">
        <is>
          <t>GOLF ACCESSORIES</t>
        </is>
      </c>
      <c r="G5391" s="1" t="inlineStr">
        <is>
          <t>GF3500300656</t>
        </is>
      </c>
      <c r="H5391" s="1" t="n">
        <v>1</v>
      </c>
      <c r="I5391" s="1" t="inlineStr">
        <is>
          <t>หมด</t>
        </is>
      </c>
      <c r="J5391" s="13" t="n">
        <v>29</v>
      </c>
      <c r="K5391" s="1" t="inlineStr"/>
      <c r="L5391" s="13" t="n">
        <v>29</v>
      </c>
      <c r="M5391" s="1">
        <f>IF(L5391="","ไม่พบใน SG",IF(ABS(J5391-L5391)&lt;0.005,"ตรงกัน","ไม่ตรง"))</f>
        <v/>
      </c>
      <c r="N5391" s="14">
        <f>IF(L5391="","",ROUND(L5391*'สรุป'!$C$6,-1))</f>
        <v/>
      </c>
      <c r="O5391" s="15" t="n"/>
      <c r="P5391" s="15" t="n"/>
      <c r="Q5391" s="10" t="n"/>
      <c r="R5391" s="10" t="n"/>
      <c r="S5391" s="16" t="inlineStr">
        <is>
          <t>https://mstgolf.co.th/products/gf3500300656</t>
        </is>
      </c>
      <c r="T5391" s="1">
        <f>IF(B5391="ไม้กอล์ฟ",J5391,"")</f>
        <v/>
      </c>
    </row>
    <row r="5392">
      <c r="A5392" s="1" t="n">
        <v>3</v>
      </c>
      <c r="B5392" s="1" t="inlineStr">
        <is>
          <t>อุปกรณ์เสริม</t>
        </is>
      </c>
      <c r="C5392" s="1" t="inlineStr">
        <is>
          <t>gf3500400286</t>
        </is>
      </c>
      <c r="D5392" s="1" t="inlineStr">
        <is>
          <t>TAYLORMADE Truss Putter Cap Ball Marker (Red)</t>
        </is>
      </c>
      <c r="E5392" s="1" t="inlineStr">
        <is>
          <t>TAYLORMADE</t>
        </is>
      </c>
      <c r="F5392" s="1" t="inlineStr">
        <is>
          <t>MARKERS &amp; DIVOTS</t>
        </is>
      </c>
      <c r="G5392" s="1" t="inlineStr">
        <is>
          <t>GF3500400286</t>
        </is>
      </c>
      <c r="H5392" s="1" t="n">
        <v>1</v>
      </c>
      <c r="I5392" s="1" t="inlineStr">
        <is>
          <t>หมด</t>
        </is>
      </c>
      <c r="J5392" s="13" t="n">
        <v>29</v>
      </c>
      <c r="K5392" s="1" t="inlineStr"/>
      <c r="L5392" s="13" t="n">
        <v>29</v>
      </c>
      <c r="M5392" s="1">
        <f>IF(L5392="","ไม่พบใน SG",IF(ABS(J5392-L5392)&lt;0.005,"ตรงกัน","ไม่ตรง"))</f>
        <v/>
      </c>
      <c r="N5392" s="14">
        <f>IF(L5392="","",ROUND(L5392*'สรุป'!$C$6,-1))</f>
        <v/>
      </c>
      <c r="O5392" s="15" t="n"/>
      <c r="P5392" s="15" t="n"/>
      <c r="Q5392" s="10" t="n"/>
      <c r="R5392" s="10" t="n"/>
      <c r="S5392" s="16" t="inlineStr">
        <is>
          <t>https://mstgolf.co.th/products/gf3500400286</t>
        </is>
      </c>
      <c r="T5392" s="1">
        <f>IF(B5392="ไม้กอล์ฟ",J5392,"")</f>
        <v/>
      </c>
    </row>
    <row r="5393">
      <c r="A5393" s="1" t="n">
        <v>3</v>
      </c>
      <c r="B5393" s="1" t="inlineStr">
        <is>
          <t>หมวก</t>
        </is>
      </c>
      <c r="C5393" s="1" t="inlineStr">
        <is>
          <t>gf2000105368</t>
        </is>
      </c>
      <c r="D5393" s="1" t="inlineStr">
        <is>
          <t>TITLEIST Players Performance Ball Marker Junior Cap (Royal/White)</t>
        </is>
      </c>
      <c r="E5393" s="1" t="inlineStr">
        <is>
          <t>TITLEIST</t>
        </is>
      </c>
      <c r="F5393" s="1" t="inlineStr">
        <is>
          <t>CAP</t>
        </is>
      </c>
      <c r="G5393" s="1" t="inlineStr">
        <is>
          <t>GF2000105368FS</t>
        </is>
      </c>
      <c r="H5393" s="1" t="n">
        <v>1</v>
      </c>
      <c r="I5393" s="1" t="inlineStr">
        <is>
          <t>หมด</t>
        </is>
      </c>
      <c r="J5393" s="13" t="n">
        <v>29</v>
      </c>
      <c r="K5393" s="1" t="inlineStr"/>
      <c r="L5393" s="13" t="n"/>
      <c r="M5393" s="1">
        <f>IF(L5393="","ไม่พบใน SG",IF(ABS(J5393-L5393)&lt;0.005,"ตรงกัน","ไม่ตรง"))</f>
        <v/>
      </c>
      <c r="N5393" s="14">
        <f>IF(L5393="","",ROUND(L5393*'สรุป'!$C$6,-1))</f>
        <v/>
      </c>
      <c r="O5393" s="15" t="n"/>
      <c r="P5393" s="15" t="n"/>
      <c r="Q5393" s="10" t="n"/>
      <c r="R5393" s="10" t="n"/>
      <c r="S5393" s="16" t="inlineStr">
        <is>
          <t>https://mstgolf.co.th/products/gf2000105368</t>
        </is>
      </c>
      <c r="T5393" s="1">
        <f>IF(B5393="ไม้กอล์ฟ",J5393,"")</f>
        <v/>
      </c>
    </row>
    <row r="5394">
      <c r="A5394" s="1" t="n">
        <v>3</v>
      </c>
      <c r="B5394" s="1" t="inlineStr">
        <is>
          <t>อุปกรณ์เสริม</t>
        </is>
      </c>
      <c r="C5394" s="1" t="inlineStr">
        <is>
          <t>gf2080101397</t>
        </is>
      </c>
      <c r="D5394" s="1" t="inlineStr">
        <is>
          <t>UNDER ARMOUR Boy's Webbing Belt (Black)</t>
        </is>
      </c>
      <c r="E5394" s="1" t="inlineStr">
        <is>
          <t>UNDER ARMOUR</t>
        </is>
      </c>
      <c r="F5394" s="1" t="inlineStr">
        <is>
          <t>BELT</t>
        </is>
      </c>
      <c r="G5394" s="1" t="inlineStr">
        <is>
          <t>GF2080101397FS</t>
        </is>
      </c>
      <c r="H5394" s="1" t="n">
        <v>1</v>
      </c>
      <c r="I5394" s="1" t="inlineStr">
        <is>
          <t>หมด</t>
        </is>
      </c>
      <c r="J5394" s="13" t="n">
        <v>29</v>
      </c>
      <c r="K5394" s="1" t="inlineStr"/>
      <c r="L5394" s="13" t="n"/>
      <c r="M5394" s="1">
        <f>IF(L5394="","ไม่พบใน SG",IF(ABS(J5394-L5394)&lt;0.005,"ตรงกัน","ไม่ตรง"))</f>
        <v/>
      </c>
      <c r="N5394" s="14">
        <f>IF(L5394="","",ROUND(L5394*'สรุป'!$C$6,-1))</f>
        <v/>
      </c>
      <c r="O5394" s="15" t="n"/>
      <c r="P5394" s="15" t="n"/>
      <c r="Q5394" s="10" t="n"/>
      <c r="R5394" s="10" t="n"/>
      <c r="S5394" s="16" t="inlineStr">
        <is>
          <t>https://mstgolf.co.th/products/gf2080101397</t>
        </is>
      </c>
      <c r="T5394" s="1">
        <f>IF(B5394="ไม้กอล์ฟ",J5394,"")</f>
        <v/>
      </c>
    </row>
    <row r="5395">
      <c r="A5395" s="1" t="n">
        <v>3</v>
      </c>
      <c r="B5395" s="1" t="inlineStr">
        <is>
          <t>หมวก</t>
        </is>
      </c>
      <c r="C5395" s="1" t="inlineStr">
        <is>
          <t>gf2000105618</t>
        </is>
      </c>
      <c r="D5395" s="1" t="inlineStr">
        <is>
          <t>UNDER ARMOUR Golf96 Men's Cap (Castlerock/Sonic Yellow)</t>
        </is>
      </c>
      <c r="E5395" s="1" t="inlineStr">
        <is>
          <t>UNDER ARMOUR</t>
        </is>
      </c>
      <c r="F5395" s="1" t="inlineStr">
        <is>
          <t>CAP</t>
        </is>
      </c>
      <c r="G5395" s="1" t="inlineStr">
        <is>
          <t>GF2000105618FS</t>
        </is>
      </c>
      <c r="H5395" s="1" t="n">
        <v>1</v>
      </c>
      <c r="I5395" s="1" t="inlineStr">
        <is>
          <t>หมด</t>
        </is>
      </c>
      <c r="J5395" s="13" t="n">
        <v>29</v>
      </c>
      <c r="K5395" s="1" t="inlineStr"/>
      <c r="L5395" s="13" t="n"/>
      <c r="M5395" s="1">
        <f>IF(L5395="","ไม่พบใน SG",IF(ABS(J5395-L5395)&lt;0.005,"ตรงกัน","ไม่ตรง"))</f>
        <v/>
      </c>
      <c r="N5395" s="14">
        <f>IF(L5395="","",ROUND(L5395*'สรุป'!$C$6,-1))</f>
        <v/>
      </c>
      <c r="O5395" s="15" t="n"/>
      <c r="P5395" s="15" t="n"/>
      <c r="Q5395" s="10" t="n"/>
      <c r="R5395" s="10" t="n"/>
      <c r="S5395" s="16" t="inlineStr">
        <is>
          <t>https://mstgolf.co.th/products/gf2000105618</t>
        </is>
      </c>
      <c r="T5395" s="1">
        <f>IF(B5395="ไม้กอล์ฟ",J5395,"")</f>
        <v/>
      </c>
    </row>
    <row r="5396">
      <c r="A5396" s="1" t="n">
        <v>3</v>
      </c>
      <c r="B5396" s="1" t="inlineStr">
        <is>
          <t>หมวก</t>
        </is>
      </c>
      <c r="C5396" s="1" t="inlineStr">
        <is>
          <t>gf2000104817</t>
        </is>
      </c>
      <c r="D5396" s="1" t="inlineStr">
        <is>
          <t>UNDER ARMOUR Golf96 Men's Cap (Grey/White)</t>
        </is>
      </c>
      <c r="E5396" s="1" t="inlineStr">
        <is>
          <t>UNDER ARMOUR</t>
        </is>
      </c>
      <c r="F5396" s="1" t="inlineStr">
        <is>
          <t>CAP</t>
        </is>
      </c>
      <c r="G5396" s="1" t="inlineStr">
        <is>
          <t>GF2000104817FS</t>
        </is>
      </c>
      <c r="H5396" s="1" t="n">
        <v>1</v>
      </c>
      <c r="I5396" s="1" t="inlineStr">
        <is>
          <t>หมด</t>
        </is>
      </c>
      <c r="J5396" s="13" t="n">
        <v>29</v>
      </c>
      <c r="K5396" s="1" t="inlineStr"/>
      <c r="L5396" s="13" t="n"/>
      <c r="M5396" s="1">
        <f>IF(L5396="","ไม่พบใน SG",IF(ABS(J5396-L5396)&lt;0.005,"ตรงกัน","ไม่ตรง"))</f>
        <v/>
      </c>
      <c r="N5396" s="14">
        <f>IF(L5396="","",ROUND(L5396*'สรุป'!$C$6,-1))</f>
        <v/>
      </c>
      <c r="O5396" s="15" t="n"/>
      <c r="P5396" s="15" t="n"/>
      <c r="Q5396" s="10" t="n"/>
      <c r="R5396" s="10" t="n"/>
      <c r="S5396" s="16" t="inlineStr">
        <is>
          <t>https://mstgolf.co.th/products/gf2000104817</t>
        </is>
      </c>
      <c r="T5396" s="1">
        <f>IF(B5396="ไม้กอล์ฟ",J5396,"")</f>
        <v/>
      </c>
    </row>
    <row r="5397">
      <c r="A5397" s="1" t="n">
        <v>3</v>
      </c>
      <c r="B5397" s="1" t="inlineStr">
        <is>
          <t>หมวก</t>
        </is>
      </c>
      <c r="C5397" s="1" t="inlineStr">
        <is>
          <t>gf2000105797</t>
        </is>
      </c>
      <c r="D5397" s="1" t="inlineStr">
        <is>
          <t>UNDER ARMOUR Golf96 Men's Cap (Navy)</t>
        </is>
      </c>
      <c r="E5397" s="1" t="inlineStr">
        <is>
          <t>UNDER ARMOUR</t>
        </is>
      </c>
      <c r="F5397" s="1" t="inlineStr">
        <is>
          <t>CAP</t>
        </is>
      </c>
      <c r="G5397" s="1" t="inlineStr">
        <is>
          <t>GF2000105797FS</t>
        </is>
      </c>
      <c r="H5397" s="1" t="n">
        <v>1</v>
      </c>
      <c r="I5397" s="1" t="inlineStr">
        <is>
          <t>หมด</t>
        </is>
      </c>
      <c r="J5397" s="13" t="n">
        <v>29</v>
      </c>
      <c r="K5397" s="1" t="inlineStr"/>
      <c r="L5397" s="13" t="n"/>
      <c r="M5397" s="1">
        <f>IF(L5397="","ไม่พบใน SG",IF(ABS(J5397-L5397)&lt;0.005,"ตรงกัน","ไม่ตรง"))</f>
        <v/>
      </c>
      <c r="N5397" s="14">
        <f>IF(L5397="","",ROUND(L5397*'สรุป'!$C$6,-1))</f>
        <v/>
      </c>
      <c r="O5397" s="15" t="n"/>
      <c r="P5397" s="15" t="n"/>
      <c r="Q5397" s="10" t="n"/>
      <c r="R5397" s="10" t="n"/>
      <c r="S5397" s="16" t="inlineStr">
        <is>
          <t>https://mstgolf.co.th/products/gf2000105797</t>
        </is>
      </c>
      <c r="T5397" s="1">
        <f>IF(B5397="ไม้กอล์ฟ",J5397,"")</f>
        <v/>
      </c>
    </row>
    <row r="5398">
      <c r="A5398" s="1" t="n">
        <v>3</v>
      </c>
      <c r="B5398" s="1" t="inlineStr">
        <is>
          <t>หมวก</t>
        </is>
      </c>
      <c r="C5398" s="1" t="inlineStr">
        <is>
          <t>gf2000105393</t>
        </is>
      </c>
      <c r="D5398" s="1" t="inlineStr">
        <is>
          <t>UNDER ARMOUR Golf96 Men's Cap (Navy/White)</t>
        </is>
      </c>
      <c r="E5398" s="1" t="inlineStr">
        <is>
          <t>UNDER ARMOUR</t>
        </is>
      </c>
      <c r="F5398" s="1" t="inlineStr">
        <is>
          <t>CAP</t>
        </is>
      </c>
      <c r="G5398" s="1" t="inlineStr">
        <is>
          <t>GF2000105393FS</t>
        </is>
      </c>
      <c r="H5398" s="1" t="n">
        <v>1</v>
      </c>
      <c r="I5398" s="1" t="inlineStr">
        <is>
          <t>หมด</t>
        </is>
      </c>
      <c r="J5398" s="13" t="n">
        <v>29</v>
      </c>
      <c r="K5398" s="1" t="inlineStr"/>
      <c r="L5398" s="13" t="n"/>
      <c r="M5398" s="1">
        <f>IF(L5398="","ไม่พบใน SG",IF(ABS(J5398-L5398)&lt;0.005,"ตรงกัน","ไม่ตรง"))</f>
        <v/>
      </c>
      <c r="N5398" s="14">
        <f>IF(L5398="","",ROUND(L5398*'สรุป'!$C$6,-1))</f>
        <v/>
      </c>
      <c r="O5398" s="15" t="n"/>
      <c r="P5398" s="15" t="n"/>
      <c r="Q5398" s="10" t="n"/>
      <c r="R5398" s="10" t="n"/>
      <c r="S5398" s="16" t="inlineStr">
        <is>
          <t>https://mstgolf.co.th/products/gf2000105393</t>
        </is>
      </c>
      <c r="T5398" s="1">
        <f>IF(B5398="ไม้กอล์ฟ",J5398,"")</f>
        <v/>
      </c>
    </row>
    <row r="5399">
      <c r="A5399" s="1" t="n">
        <v>3</v>
      </c>
      <c r="B5399" s="1" t="inlineStr">
        <is>
          <t>หมวก</t>
        </is>
      </c>
      <c r="C5399" s="1" t="inlineStr">
        <is>
          <t>gf2000104168</t>
        </is>
      </c>
      <c r="D5399" s="1" t="inlineStr">
        <is>
          <t>UNDER ARMOUR Golf96 Men's Cap (White)</t>
        </is>
      </c>
      <c r="E5399" s="1" t="inlineStr">
        <is>
          <t>UNDER ARMOUR</t>
        </is>
      </c>
      <c r="F5399" s="1" t="inlineStr">
        <is>
          <t>CAP</t>
        </is>
      </c>
      <c r="G5399" s="1" t="inlineStr">
        <is>
          <t>GF2000104168FS</t>
        </is>
      </c>
      <c r="H5399" s="1" t="n">
        <v>1</v>
      </c>
      <c r="I5399" s="1" t="inlineStr">
        <is>
          <t>หมด</t>
        </is>
      </c>
      <c r="J5399" s="13" t="n">
        <v>29</v>
      </c>
      <c r="K5399" s="1" t="inlineStr"/>
      <c r="L5399" s="13" t="n"/>
      <c r="M5399" s="1">
        <f>IF(L5399="","ไม่พบใน SG",IF(ABS(J5399-L5399)&lt;0.005,"ตรงกัน","ไม่ตรง"))</f>
        <v/>
      </c>
      <c r="N5399" s="14">
        <f>IF(L5399="","",ROUND(L5399*'สรุป'!$C$6,-1))</f>
        <v/>
      </c>
      <c r="O5399" s="15" t="n"/>
      <c r="P5399" s="15" t="n"/>
      <c r="Q5399" s="10" t="n"/>
      <c r="R5399" s="10" t="n"/>
      <c r="S5399" s="16" t="inlineStr">
        <is>
          <t>https://mstgolf.co.th/products/gf2000104168</t>
        </is>
      </c>
      <c r="T5399" s="1">
        <f>IF(B5399="ไม้กอล์ฟ",J5399,"")</f>
        <v/>
      </c>
    </row>
    <row r="5400">
      <c r="A5400" s="1" t="n">
        <v>3</v>
      </c>
      <c r="B5400" s="1" t="inlineStr">
        <is>
          <t>หมวก</t>
        </is>
      </c>
      <c r="C5400" s="1" t="inlineStr">
        <is>
          <t>gf2000200690</t>
        </is>
      </c>
      <c r="D5400" s="1" t="inlineStr">
        <is>
          <t>UNDER ARMOUR Golf96 Men's Visor (Black)</t>
        </is>
      </c>
      <c r="E5400" s="1" t="inlineStr">
        <is>
          <t>UNDER ARMOUR</t>
        </is>
      </c>
      <c r="F5400" s="1" t="inlineStr">
        <is>
          <t>VISOR</t>
        </is>
      </c>
      <c r="G5400" s="1" t="inlineStr">
        <is>
          <t>GF2000200690FS</t>
        </is>
      </c>
      <c r="H5400" s="1" t="n">
        <v>1</v>
      </c>
      <c r="I5400" s="1" t="inlineStr">
        <is>
          <t>หมด</t>
        </is>
      </c>
      <c r="J5400" s="13" t="n">
        <v>29</v>
      </c>
      <c r="K5400" s="1" t="inlineStr"/>
      <c r="L5400" s="13" t="n">
        <v>29</v>
      </c>
      <c r="M5400" s="1">
        <f>IF(L5400="","ไม่พบใน SG",IF(ABS(J5400-L5400)&lt;0.005,"ตรงกัน","ไม่ตรง"))</f>
        <v/>
      </c>
      <c r="N5400" s="14">
        <f>IF(L5400="","",ROUND(L5400*'สรุป'!$C$6,-1))</f>
        <v/>
      </c>
      <c r="O5400" s="15" t="n"/>
      <c r="P5400" s="15" t="n"/>
      <c r="Q5400" s="10" t="n"/>
      <c r="R5400" s="10" t="n"/>
      <c r="S5400" s="16" t="inlineStr">
        <is>
          <t>https://mstgolf.co.th/products/gf2000200690</t>
        </is>
      </c>
      <c r="T5400" s="1">
        <f>IF(B5400="ไม้กอล์ฟ",J5400,"")</f>
        <v/>
      </c>
    </row>
    <row r="5401">
      <c r="A5401" s="1" t="n">
        <v>3</v>
      </c>
      <c r="B5401" s="1" t="inlineStr">
        <is>
          <t>หมวก</t>
        </is>
      </c>
      <c r="C5401" s="1" t="inlineStr">
        <is>
          <t>gf2000200910</t>
        </is>
      </c>
      <c r="D5401" s="1" t="inlineStr">
        <is>
          <t>UNDER ARMOUR Golf96 Men's Visor (White/Navy)</t>
        </is>
      </c>
      <c r="E5401" s="1" t="inlineStr">
        <is>
          <t>UNDER ARMOUR</t>
        </is>
      </c>
      <c r="F5401" s="1" t="inlineStr">
        <is>
          <t>VISOR</t>
        </is>
      </c>
      <c r="G5401" s="1" t="inlineStr">
        <is>
          <t>GF2000200910FS</t>
        </is>
      </c>
      <c r="H5401" s="1" t="n">
        <v>1</v>
      </c>
      <c r="I5401" s="1" t="inlineStr">
        <is>
          <t>หมด</t>
        </is>
      </c>
      <c r="J5401" s="13" t="n">
        <v>29</v>
      </c>
      <c r="K5401" s="1" t="inlineStr"/>
      <c r="L5401" s="13" t="n">
        <v>29</v>
      </c>
      <c r="M5401" s="1">
        <f>IF(L5401="","ไม่พบใน SG",IF(ABS(J5401-L5401)&lt;0.005,"ตรงกัน","ไม่ตรง"))</f>
        <v/>
      </c>
      <c r="N5401" s="14">
        <f>IF(L5401="","",ROUND(L5401*'สรุป'!$C$6,-1))</f>
        <v/>
      </c>
      <c r="O5401" s="15" t="n"/>
      <c r="P5401" s="15" t="n"/>
      <c r="Q5401" s="10" t="n"/>
      <c r="R5401" s="10" t="n"/>
      <c r="S5401" s="16" t="inlineStr">
        <is>
          <t>https://mstgolf.co.th/products/gf2000200910</t>
        </is>
      </c>
      <c r="T5401" s="1">
        <f>IF(B5401="ไม้กอล์ฟ",J5401,"")</f>
        <v/>
      </c>
    </row>
    <row r="5402">
      <c r="A5402" s="1" t="n">
        <v>3</v>
      </c>
      <c r="B5402" s="1" t="inlineStr">
        <is>
          <t>เสื้อผ้า</t>
        </is>
      </c>
      <c r="C5402" s="1" t="inlineStr">
        <is>
          <t>gf2040114560</t>
        </is>
      </c>
      <c r="D5402" s="1" t="inlineStr">
        <is>
          <t>UNDER ARMOUR Performance Stripe Junior Polo (Black)</t>
        </is>
      </c>
      <c r="E5402" s="1" t="inlineStr">
        <is>
          <t>UNDER ARMOUR</t>
        </is>
      </c>
      <c r="F5402" s="1" t="inlineStr">
        <is>
          <t>SHORT SLEEVES</t>
        </is>
      </c>
      <c r="G5402" s="1" t="inlineStr">
        <is>
          <t>GF2040114560XS</t>
        </is>
      </c>
      <c r="H5402" s="1" t="n">
        <v>6</v>
      </c>
      <c r="I5402" s="1" t="inlineStr">
        <is>
          <t>หมด</t>
        </is>
      </c>
      <c r="J5402" s="13" t="n">
        <v>29</v>
      </c>
      <c r="K5402" s="1" t="inlineStr"/>
      <c r="L5402" s="13" t="n"/>
      <c r="M5402" s="1">
        <f>IF(L5402="","ไม่พบใน SG",IF(ABS(J5402-L5402)&lt;0.005,"ตรงกัน","ไม่ตรง"))</f>
        <v/>
      </c>
      <c r="N5402" s="14">
        <f>IF(L5402="","",ROUND(L5402*'สรุป'!$C$6,-1))</f>
        <v/>
      </c>
      <c r="O5402" s="15" t="n"/>
      <c r="P5402" s="15" t="n"/>
      <c r="Q5402" s="10" t="n"/>
      <c r="R5402" s="10" t="n"/>
      <c r="S5402" s="16" t="inlineStr">
        <is>
          <t>https://mstgolf.co.th/products/gf2040114560</t>
        </is>
      </c>
      <c r="T5402" s="1">
        <f>IF(B5402="ไม้กอล์ฟ",J5402,"")</f>
        <v/>
      </c>
    </row>
    <row r="5403">
      <c r="A5403" s="1" t="n">
        <v>3</v>
      </c>
      <c r="B5403" s="1" t="inlineStr">
        <is>
          <t>เสื้อผ้า</t>
        </is>
      </c>
      <c r="C5403" s="1" t="inlineStr">
        <is>
          <t>gf2040117341</t>
        </is>
      </c>
      <c r="D5403" s="1" t="inlineStr">
        <is>
          <t>UNDER ARMOUR Playoff Patrons Tee Men's Shirt (Slit)</t>
        </is>
      </c>
      <c r="E5403" s="1" t="inlineStr">
        <is>
          <t>UNDER ARMOUR</t>
        </is>
      </c>
      <c r="F5403" s="1" t="inlineStr">
        <is>
          <t>SHORT SLEEVES</t>
        </is>
      </c>
      <c r="G5403" s="1" t="inlineStr">
        <is>
          <t>GF2040117341S</t>
        </is>
      </c>
      <c r="H5403" s="1" t="n">
        <v>5</v>
      </c>
      <c r="I5403" s="1" t="inlineStr">
        <is>
          <t>หมด</t>
        </is>
      </c>
      <c r="J5403" s="13" t="n">
        <v>29</v>
      </c>
      <c r="K5403" s="1" t="inlineStr"/>
      <c r="L5403" s="13" t="n"/>
      <c r="M5403" s="1">
        <f>IF(L5403="","ไม่พบใน SG",IF(ABS(J5403-L5403)&lt;0.005,"ตรงกัน","ไม่ตรง"))</f>
        <v/>
      </c>
      <c r="N5403" s="14">
        <f>IF(L5403="","",ROUND(L5403*'สรุป'!$C$6,-1))</f>
        <v/>
      </c>
      <c r="O5403" s="15" t="n"/>
      <c r="P5403" s="15" t="n"/>
      <c r="Q5403" s="10" t="n"/>
      <c r="R5403" s="10" t="n"/>
      <c r="S5403" s="16" t="inlineStr">
        <is>
          <t>https://mstgolf.co.th/products/gf2040117341</t>
        </is>
      </c>
      <c r="T5403" s="1">
        <f>IF(B5403="ไม้กอล์ฟ",J5403,"")</f>
        <v/>
      </c>
    </row>
    <row r="5404">
      <c r="A5404" s="1" t="n">
        <v>3</v>
      </c>
      <c r="B5404" s="1" t="inlineStr">
        <is>
          <t>อุปกรณ์เสริม</t>
        </is>
      </c>
      <c r="C5404" s="1" t="inlineStr">
        <is>
          <t>gf2090300186</t>
        </is>
      </c>
      <c r="D5404" s="1" t="inlineStr">
        <is>
          <t>WAAC Women's Double Layer Crew Socks (Pink)</t>
        </is>
      </c>
      <c r="E5404" s="1" t="inlineStr">
        <is>
          <t>WAAC</t>
        </is>
      </c>
      <c r="F5404" s="1" t="inlineStr">
        <is>
          <t>CREW/QUARTER SOCKS</t>
        </is>
      </c>
      <c r="G5404" s="1" t="inlineStr">
        <is>
          <t>GF2090300186FS</t>
        </is>
      </c>
      <c r="H5404" s="1" t="n">
        <v>1</v>
      </c>
      <c r="I5404" s="1" t="inlineStr">
        <is>
          <t>หมด</t>
        </is>
      </c>
      <c r="J5404" s="13" t="n">
        <v>29</v>
      </c>
      <c r="K5404" s="1" t="inlineStr"/>
      <c r="L5404" s="13" t="n"/>
      <c r="M5404" s="1">
        <f>IF(L5404="","ไม่พบใน SG",IF(ABS(J5404-L5404)&lt;0.005,"ตรงกัน","ไม่ตรง"))</f>
        <v/>
      </c>
      <c r="N5404" s="14">
        <f>IF(L5404="","",ROUND(L5404*'สรุป'!$C$6,-1))</f>
        <v/>
      </c>
      <c r="O5404" s="15" t="n"/>
      <c r="P5404" s="15" t="n"/>
      <c r="Q5404" s="10" t="n"/>
      <c r="R5404" s="10" t="n"/>
      <c r="S5404" s="16" t="inlineStr">
        <is>
          <t>https://mstgolf.co.th/products/gf2090300186</t>
        </is>
      </c>
      <c r="T5404" s="1">
        <f>IF(B5404="ไม้กอล์ฟ",J5404,"")</f>
        <v/>
      </c>
    </row>
    <row r="5405">
      <c r="A5405" s="1" t="n">
        <v>3</v>
      </c>
      <c r="B5405" s="1" t="inlineStr">
        <is>
          <t>อุปกรณ์เสริม</t>
        </is>
      </c>
      <c r="C5405" s="1" t="inlineStr">
        <is>
          <t>gf3500300853</t>
        </is>
      </c>
      <c r="D5405" s="1" t="inlineStr">
        <is>
          <t>ADIDAS CodeChaos Ball Case (White/Pink)</t>
        </is>
      </c>
      <c r="E5405" s="1" t="inlineStr">
        <is>
          <t>ADIDAS</t>
        </is>
      </c>
      <c r="F5405" s="1" t="inlineStr">
        <is>
          <t>GOLF ACCESSORIES</t>
        </is>
      </c>
      <c r="G5405" s="1" t="inlineStr">
        <is>
          <t>GF3500300853</t>
        </is>
      </c>
      <c r="H5405" s="1" t="n">
        <v>1</v>
      </c>
      <c r="I5405" s="1" t="inlineStr">
        <is>
          <t>หมด</t>
        </is>
      </c>
      <c r="J5405" s="13" t="n">
        <v>27</v>
      </c>
      <c r="K5405" s="1" t="inlineStr"/>
      <c r="L5405" s="13" t="n">
        <v>27</v>
      </c>
      <c r="M5405" s="1">
        <f>IF(L5405="","ไม่พบใน SG",IF(ABS(J5405-L5405)&lt;0.005,"ตรงกัน","ไม่ตรง"))</f>
        <v/>
      </c>
      <c r="N5405" s="14">
        <f>IF(L5405="","",ROUND(L5405*'สรุป'!$C$6,-1))</f>
        <v/>
      </c>
      <c r="O5405" s="15" t="n"/>
      <c r="P5405" s="15" t="n"/>
      <c r="Q5405" s="10" t="n"/>
      <c r="R5405" s="10" t="n"/>
      <c r="S5405" s="16" t="inlineStr">
        <is>
          <t>https://mstgolf.co.th/products/gf3500300853</t>
        </is>
      </c>
      <c r="T5405" s="1">
        <f>IF(B5405="ไม้กอล์ฟ",J5405,"")</f>
        <v/>
      </c>
    </row>
    <row r="5406">
      <c r="A5406" s="1" t="n">
        <v>3</v>
      </c>
      <c r="B5406" s="1" t="inlineStr">
        <is>
          <t>เสื้อผ้า</t>
        </is>
      </c>
      <c r="C5406" s="1" t="inlineStr">
        <is>
          <t>gf2040112090</t>
        </is>
      </c>
      <c r="D5406" s="1" t="inlineStr">
        <is>
          <t>UNDER ARMOUR Performance Junior Polo (Black)</t>
        </is>
      </c>
      <c r="E5406" s="1" t="inlineStr">
        <is>
          <t>UNDER ARMOUR</t>
        </is>
      </c>
      <c r="F5406" s="1" t="inlineStr">
        <is>
          <t>SHORT SLEEVES</t>
        </is>
      </c>
      <c r="G5406" s="1" t="inlineStr">
        <is>
          <t>GF2040112090XS</t>
        </is>
      </c>
      <c r="H5406" s="1" t="n">
        <v>5</v>
      </c>
      <c r="I5406" s="1" t="inlineStr">
        <is>
          <t>หมด</t>
        </is>
      </c>
      <c r="J5406" s="13" t="n">
        <v>27</v>
      </c>
      <c r="K5406" s="1" t="inlineStr"/>
      <c r="L5406" s="13" t="n"/>
      <c r="M5406" s="1">
        <f>IF(L5406="","ไม่พบใน SG",IF(ABS(J5406-L5406)&lt;0.005,"ตรงกัน","ไม่ตรง"))</f>
        <v/>
      </c>
      <c r="N5406" s="14">
        <f>IF(L5406="","",ROUND(L5406*'สรุป'!$C$6,-1))</f>
        <v/>
      </c>
      <c r="O5406" s="15" t="n"/>
      <c r="P5406" s="15" t="n"/>
      <c r="Q5406" s="10" t="n"/>
      <c r="R5406" s="10" t="n"/>
      <c r="S5406" s="16" t="inlineStr">
        <is>
          <t>https://mstgolf.co.th/products/gf2040112090</t>
        </is>
      </c>
      <c r="T5406" s="1">
        <f>IF(B5406="ไม้กอล์ฟ",J5406,"")</f>
        <v/>
      </c>
    </row>
    <row r="5407">
      <c r="A5407" s="1" t="n">
        <v>3</v>
      </c>
      <c r="B5407" s="1" t="inlineStr">
        <is>
          <t>อุปกรณ์เสริม</t>
        </is>
      </c>
      <c r="C5407" s="1" t="inlineStr">
        <is>
          <t>gf2080101295</t>
        </is>
      </c>
      <c r="D5407" s="1" t="inlineStr">
        <is>
          <t>UNDER ARMOUR Webbing Women's Belt (White/Silver)</t>
        </is>
      </c>
      <c r="E5407" s="1" t="inlineStr">
        <is>
          <t>UNDER ARMOUR</t>
        </is>
      </c>
      <c r="F5407" s="1" t="inlineStr">
        <is>
          <t>BELT</t>
        </is>
      </c>
      <c r="G5407" s="1" t="inlineStr">
        <is>
          <t>GF2080101295FS</t>
        </is>
      </c>
      <c r="H5407" s="1" t="n">
        <v>1</v>
      </c>
      <c r="I5407" s="1" t="inlineStr">
        <is>
          <t>หมด</t>
        </is>
      </c>
      <c r="J5407" s="13" t="n">
        <v>27</v>
      </c>
      <c r="K5407" s="1" t="inlineStr"/>
      <c r="L5407" s="13" t="n"/>
      <c r="M5407" s="1">
        <f>IF(L5407="","ไม่พบใน SG",IF(ABS(J5407-L5407)&lt;0.005,"ตรงกัน","ไม่ตรง"))</f>
        <v/>
      </c>
      <c r="N5407" s="14">
        <f>IF(L5407="","",ROUND(L5407*'สรุป'!$C$6,-1))</f>
        <v/>
      </c>
      <c r="O5407" s="15" t="n"/>
      <c r="P5407" s="15" t="n"/>
      <c r="Q5407" s="10" t="n"/>
      <c r="R5407" s="10" t="n"/>
      <c r="S5407" s="16" t="inlineStr">
        <is>
          <t>https://mstgolf.co.th/products/gf2080101295</t>
        </is>
      </c>
      <c r="T5407" s="1">
        <f>IF(B5407="ไม้กอล์ฟ",J5407,"")</f>
        <v/>
      </c>
    </row>
    <row r="5408">
      <c r="A5408" s="1" t="n">
        <v>3</v>
      </c>
      <c r="B5408" s="1" t="inlineStr">
        <is>
          <t>อุปกรณ์เสริม</t>
        </is>
      </c>
      <c r="C5408" s="1" t="inlineStr">
        <is>
          <t>gf3500400385</t>
        </is>
      </c>
      <c r="D5408" s="1" t="inlineStr">
        <is>
          <t>TAYLORMADE Circle Logo Twin Marker Set (Black)</t>
        </is>
      </c>
      <c r="E5408" s="1" t="inlineStr">
        <is>
          <t>TAYLORMADE</t>
        </is>
      </c>
      <c r="F5408" s="1" t="inlineStr">
        <is>
          <t>MARKERS &amp; DIVOTS</t>
        </is>
      </c>
      <c r="G5408" s="1" t="inlineStr">
        <is>
          <t>GF3500400385</t>
        </is>
      </c>
      <c r="H5408" s="1" t="n">
        <v>1</v>
      </c>
      <c r="I5408" s="1" t="inlineStr">
        <is>
          <t>หมด</t>
        </is>
      </c>
      <c r="J5408" s="13" t="n">
        <v>26</v>
      </c>
      <c r="K5408" s="1" t="inlineStr"/>
      <c r="L5408" s="13" t="n">
        <v>26</v>
      </c>
      <c r="M5408" s="1">
        <f>IF(L5408="","ไม่พบใน SG",IF(ABS(J5408-L5408)&lt;0.005,"ตรงกัน","ไม่ตรง"))</f>
        <v/>
      </c>
      <c r="N5408" s="14">
        <f>IF(L5408="","",ROUND(L5408*'สรุป'!$C$6,-1))</f>
        <v/>
      </c>
      <c r="O5408" s="15" t="n"/>
      <c r="P5408" s="15" t="n"/>
      <c r="Q5408" s="10" t="n"/>
      <c r="R5408" s="10" t="n"/>
      <c r="S5408" s="16" t="inlineStr">
        <is>
          <t>https://mstgolf.co.th/products/gf3500400385</t>
        </is>
      </c>
      <c r="T5408" s="1">
        <f>IF(B5408="ไม้กอล์ฟ",J5408,"")</f>
        <v/>
      </c>
    </row>
    <row r="5409">
      <c r="A5409" s="1" t="n">
        <v>3</v>
      </c>
      <c r="B5409" s="1" t="inlineStr">
        <is>
          <t>อุปกรณ์เสริม</t>
        </is>
      </c>
      <c r="C5409" s="1" t="inlineStr">
        <is>
          <t>gf3500400386</t>
        </is>
      </c>
      <c r="D5409" s="1" t="inlineStr">
        <is>
          <t>TAYLORMADE Circle Logo Twin Marker Set (Lime)</t>
        </is>
      </c>
      <c r="E5409" s="1" t="inlineStr">
        <is>
          <t>TAYLORMADE</t>
        </is>
      </c>
      <c r="F5409" s="1" t="inlineStr">
        <is>
          <t>MARKERS &amp; DIVOTS</t>
        </is>
      </c>
      <c r="G5409" s="1" t="inlineStr">
        <is>
          <t>GF3500400386</t>
        </is>
      </c>
      <c r="H5409" s="1" t="n">
        <v>1</v>
      </c>
      <c r="I5409" s="1" t="inlineStr">
        <is>
          <t>หมด</t>
        </is>
      </c>
      <c r="J5409" s="13" t="n">
        <v>26</v>
      </c>
      <c r="K5409" s="1" t="inlineStr"/>
      <c r="L5409" s="13" t="n">
        <v>26</v>
      </c>
      <c r="M5409" s="1">
        <f>IF(L5409="","ไม่พบใน SG",IF(ABS(J5409-L5409)&lt;0.005,"ตรงกัน","ไม่ตรง"))</f>
        <v/>
      </c>
      <c r="N5409" s="14">
        <f>IF(L5409="","",ROUND(L5409*'สรุป'!$C$6,-1))</f>
        <v/>
      </c>
      <c r="O5409" s="15" t="n"/>
      <c r="P5409" s="15" t="n"/>
      <c r="Q5409" s="10" t="n"/>
      <c r="R5409" s="10" t="n"/>
      <c r="S5409" s="16" t="inlineStr">
        <is>
          <t>https://mstgolf.co.th/products/gf3500400386</t>
        </is>
      </c>
      <c r="T5409" s="1">
        <f>IF(B5409="ไม้กอล์ฟ",J5409,"")</f>
        <v/>
      </c>
    </row>
    <row r="5410">
      <c r="A5410" s="1" t="n">
        <v>3</v>
      </c>
      <c r="B5410" s="1" t="inlineStr">
        <is>
          <t>อุปกรณ์เสริม</t>
        </is>
      </c>
      <c r="C5410" s="1" t="inlineStr">
        <is>
          <t>gf3500400389</t>
        </is>
      </c>
      <c r="D5410" s="1" t="inlineStr">
        <is>
          <t>TAYLORMADE Circle T Cap Ball Marker (Orange)</t>
        </is>
      </c>
      <c r="E5410" s="1" t="inlineStr">
        <is>
          <t>TAYLORMADE</t>
        </is>
      </c>
      <c r="F5410" s="1" t="inlineStr">
        <is>
          <t>MARKERS &amp; DIVOTS</t>
        </is>
      </c>
      <c r="G5410" s="1" t="inlineStr">
        <is>
          <t>GF3500400389</t>
        </is>
      </c>
      <c r="H5410" s="1" t="n">
        <v>1</v>
      </c>
      <c r="I5410" s="1" t="inlineStr">
        <is>
          <t>หมด</t>
        </is>
      </c>
      <c r="J5410" s="13" t="n">
        <v>26</v>
      </c>
      <c r="K5410" s="1" t="inlineStr"/>
      <c r="L5410" s="13" t="n">
        <v>26</v>
      </c>
      <c r="M5410" s="1">
        <f>IF(L5410="","ไม่พบใน SG",IF(ABS(J5410-L5410)&lt;0.005,"ตรงกัน","ไม่ตรง"))</f>
        <v/>
      </c>
      <c r="N5410" s="14">
        <f>IF(L5410="","",ROUND(L5410*'สรุป'!$C$6,-1))</f>
        <v/>
      </c>
      <c r="O5410" s="15" t="n"/>
      <c r="P5410" s="15" t="n"/>
      <c r="Q5410" s="10" t="n"/>
      <c r="R5410" s="10" t="n"/>
      <c r="S5410" s="16" t="inlineStr">
        <is>
          <t>https://mstgolf.co.th/products/gf3500400389</t>
        </is>
      </c>
      <c r="T5410" s="1">
        <f>IF(B5410="ไม้กอล์ฟ",J5410,"")</f>
        <v/>
      </c>
    </row>
    <row r="5411">
      <c r="A5411" s="1" t="n">
        <v>3</v>
      </c>
      <c r="B5411" s="1" t="inlineStr">
        <is>
          <t>อุปกรณ์เสริม</t>
        </is>
      </c>
      <c r="C5411" s="1" t="inlineStr">
        <is>
          <t>gf3500400388</t>
        </is>
      </c>
      <c r="D5411" s="1" t="inlineStr">
        <is>
          <t>TAYLORMADE Circle T Cap Ball Marker (Turquoise)</t>
        </is>
      </c>
      <c r="E5411" s="1" t="inlineStr">
        <is>
          <t>TAYLORMADE</t>
        </is>
      </c>
      <c r="F5411" s="1" t="inlineStr">
        <is>
          <t>MARKERS &amp; DIVOTS</t>
        </is>
      </c>
      <c r="G5411" s="1" t="inlineStr">
        <is>
          <t>GF3500400388</t>
        </is>
      </c>
      <c r="H5411" s="1" t="n">
        <v>1</v>
      </c>
      <c r="I5411" s="1" t="inlineStr">
        <is>
          <t>หมด</t>
        </is>
      </c>
      <c r="J5411" s="13" t="n">
        <v>26</v>
      </c>
      <c r="K5411" s="1" t="inlineStr"/>
      <c r="L5411" s="13" t="n">
        <v>26</v>
      </c>
      <c r="M5411" s="1">
        <f>IF(L5411="","ไม่พบใน SG",IF(ABS(J5411-L5411)&lt;0.005,"ตรงกัน","ไม่ตรง"))</f>
        <v/>
      </c>
      <c r="N5411" s="14">
        <f>IF(L5411="","",ROUND(L5411*'สรุป'!$C$6,-1))</f>
        <v/>
      </c>
      <c r="O5411" s="15" t="n"/>
      <c r="P5411" s="15" t="n"/>
      <c r="Q5411" s="10" t="n"/>
      <c r="R5411" s="10" t="n"/>
      <c r="S5411" s="16" t="inlineStr">
        <is>
          <t>https://mstgolf.co.th/products/gf3500400388</t>
        </is>
      </c>
      <c r="T5411" s="1">
        <f>IF(B5411="ไม้กอล์ฟ",J5411,"")</f>
        <v/>
      </c>
    </row>
    <row r="5412">
      <c r="A5412" s="1" t="n">
        <v>3</v>
      </c>
      <c r="B5412" s="1" t="inlineStr">
        <is>
          <t>อุปกรณ์เสริม</t>
        </is>
      </c>
      <c r="C5412" s="1" t="inlineStr">
        <is>
          <t>gf3500300802</t>
        </is>
      </c>
      <c r="D5412" s="1" t="inlineStr">
        <is>
          <t>ADIDAS COOLER BAG</t>
        </is>
      </c>
      <c r="E5412" s="1" t="inlineStr">
        <is>
          <t>ADIDAS</t>
        </is>
      </c>
      <c r="F5412" s="1" t="inlineStr">
        <is>
          <t>GOLF ACCESSORIES</t>
        </is>
      </c>
      <c r="G5412" s="1" t="inlineStr">
        <is>
          <t>GF3500300802</t>
        </is>
      </c>
      <c r="H5412" s="1" t="n">
        <v>1</v>
      </c>
      <c r="I5412" s="1" t="inlineStr">
        <is>
          <t>หมด</t>
        </is>
      </c>
      <c r="J5412" s="13" t="n">
        <v>25</v>
      </c>
      <c r="K5412" s="1" t="inlineStr"/>
      <c r="L5412" s="13" t="n">
        <v>25</v>
      </c>
      <c r="M5412" s="1">
        <f>IF(L5412="","ไม่พบใน SG",IF(ABS(J5412-L5412)&lt;0.005,"ตรงกัน","ไม่ตรง"))</f>
        <v/>
      </c>
      <c r="N5412" s="14">
        <f>IF(L5412="","",ROUND(L5412*'สรุป'!$C$6,-1))</f>
        <v/>
      </c>
      <c r="O5412" s="15" t="n"/>
      <c r="P5412" s="15" t="n"/>
      <c r="Q5412" s="10" t="n"/>
      <c r="R5412" s="10" t="n"/>
      <c r="S5412" s="16" t="inlineStr">
        <is>
          <t>https://mstgolf.co.th/products/gf3500300802</t>
        </is>
      </c>
      <c r="T5412" s="1">
        <f>IF(B5412="ไม้กอล์ฟ",J5412,"")</f>
        <v/>
      </c>
    </row>
    <row r="5413">
      <c r="A5413" s="1" t="n">
        <v>3</v>
      </c>
      <c r="B5413" s="1" t="inlineStr">
        <is>
          <t>หมวก</t>
        </is>
      </c>
      <c r="C5413" s="1" t="inlineStr">
        <is>
          <t>gf2000105912</t>
        </is>
      </c>
      <c r="D5413" s="1" t="inlineStr">
        <is>
          <t>ADIDAS Graphic Men's Cap (White)</t>
        </is>
      </c>
      <c r="E5413" s="1" t="inlineStr">
        <is>
          <t>ADIDAS</t>
        </is>
      </c>
      <c r="F5413" s="1" t="inlineStr">
        <is>
          <t>CAP</t>
        </is>
      </c>
      <c r="G5413" s="1" t="inlineStr">
        <is>
          <t>GF2000105912FS</t>
        </is>
      </c>
      <c r="H5413" s="1" t="n">
        <v>1</v>
      </c>
      <c r="I5413" s="1" t="inlineStr">
        <is>
          <t>หมด</t>
        </is>
      </c>
      <c r="J5413" s="13" t="n">
        <v>25</v>
      </c>
      <c r="K5413" s="1" t="inlineStr"/>
      <c r="L5413" s="13" t="n"/>
      <c r="M5413" s="1">
        <f>IF(L5413="","ไม่พบใน SG",IF(ABS(J5413-L5413)&lt;0.005,"ตรงกัน","ไม่ตรง"))</f>
        <v/>
      </c>
      <c r="N5413" s="14">
        <f>IF(L5413="","",ROUND(L5413*'สรุป'!$C$6,-1))</f>
        <v/>
      </c>
      <c r="O5413" s="15" t="n"/>
      <c r="P5413" s="15" t="n"/>
      <c r="Q5413" s="10" t="n"/>
      <c r="R5413" s="10" t="n"/>
      <c r="S5413" s="16" t="inlineStr">
        <is>
          <t>https://mstgolf.co.th/products/gf2000105912</t>
        </is>
      </c>
      <c r="T5413" s="1">
        <f>IF(B5413="ไม้กอล์ฟ",J5413,"")</f>
        <v/>
      </c>
    </row>
    <row r="5414">
      <c r="A5414" s="1" t="n">
        <v>3</v>
      </c>
      <c r="B5414" s="1" t="inlineStr">
        <is>
          <t>เสื้อผ้า</t>
        </is>
      </c>
      <c r="C5414" s="1" t="inlineStr">
        <is>
          <t>gf2020202505</t>
        </is>
      </c>
      <c r="D5414" s="1" t="inlineStr">
        <is>
          <t>ADIDAS Junior Skort (Black)</t>
        </is>
      </c>
      <c r="E5414" s="1" t="inlineStr">
        <is>
          <t>ADIDAS</t>
        </is>
      </c>
      <c r="F5414" s="1" t="inlineStr">
        <is>
          <t>SHORT PANTS</t>
        </is>
      </c>
      <c r="G5414" s="1" t="inlineStr">
        <is>
          <t>GF2020202505128</t>
        </is>
      </c>
      <c r="H5414" s="1" t="n">
        <v>6</v>
      </c>
      <c r="I5414" s="1" t="inlineStr">
        <is>
          <t>หมด</t>
        </is>
      </c>
      <c r="J5414" s="13" t="n">
        <v>25</v>
      </c>
      <c r="K5414" s="1" t="inlineStr"/>
      <c r="L5414" s="13" t="n">
        <v>25</v>
      </c>
      <c r="M5414" s="1">
        <f>IF(L5414="","ไม่พบใน SG",IF(ABS(J5414-L5414)&lt;0.005,"ตรงกัน","ไม่ตรง"))</f>
        <v/>
      </c>
      <c r="N5414" s="14">
        <f>IF(L5414="","",ROUND(L5414*'สรุป'!$C$6,-1))</f>
        <v/>
      </c>
      <c r="O5414" s="15" t="n"/>
      <c r="P5414" s="15" t="n"/>
      <c r="Q5414" s="10" t="n"/>
      <c r="R5414" s="10" t="n"/>
      <c r="S5414" s="16" t="inlineStr">
        <is>
          <t>https://mstgolf.co.th/products/gf2020202505</t>
        </is>
      </c>
      <c r="T5414" s="1">
        <f>IF(B5414="ไม้กอล์ฟ",J5414,"")</f>
        <v/>
      </c>
    </row>
    <row r="5415">
      <c r="A5415" s="1" t="n">
        <v>3</v>
      </c>
      <c r="B5415" s="1" t="inlineStr">
        <is>
          <t>เสื้อผ้า</t>
        </is>
      </c>
      <c r="C5415" s="1" t="inlineStr">
        <is>
          <t>gf2090700099</t>
        </is>
      </c>
      <c r="D5415" s="1" t="inlineStr">
        <is>
          <t>ADIDAS Originals Trefoil Women's Knee Socks  (White)</t>
        </is>
      </c>
      <c r="E5415" s="1" t="inlineStr">
        <is>
          <t>ADIDAS</t>
        </is>
      </c>
      <c r="F5415" s="1" t="inlineStr">
        <is>
          <t>KNEE</t>
        </is>
      </c>
      <c r="G5415" s="1" t="inlineStr">
        <is>
          <t>GF2090700099M</t>
        </is>
      </c>
      <c r="H5415" s="1" t="n">
        <v>4</v>
      </c>
      <c r="I5415" s="1" t="inlineStr">
        <is>
          <t>หมด</t>
        </is>
      </c>
      <c r="J5415" s="13" t="n">
        <v>25</v>
      </c>
      <c r="K5415" s="1" t="inlineStr"/>
      <c r="L5415" s="13" t="n">
        <v>25</v>
      </c>
      <c r="M5415" s="1">
        <f>IF(L5415="","ไม่พบใน SG",IF(ABS(J5415-L5415)&lt;0.005,"ตรงกัน","ไม่ตรง"))</f>
        <v/>
      </c>
      <c r="N5415" s="14">
        <f>IF(L5415="","",ROUND(L5415*'สรุป'!$C$6,-1))</f>
        <v/>
      </c>
      <c r="O5415" s="15" t="n"/>
      <c r="P5415" s="15" t="n"/>
      <c r="Q5415" s="10" t="n"/>
      <c r="R5415" s="10" t="n"/>
      <c r="S5415" s="16" t="inlineStr">
        <is>
          <t>https://mstgolf.co.th/products/gf2090700099</t>
        </is>
      </c>
      <c r="T5415" s="1">
        <f>IF(B5415="ไม้กอล์ฟ",J5415,"")</f>
        <v/>
      </c>
    </row>
    <row r="5416">
      <c r="A5416" s="1" t="n">
        <v>3</v>
      </c>
      <c r="B5416" s="1" t="inlineStr">
        <is>
          <t>เสื้อผ้า</t>
        </is>
      </c>
      <c r="C5416" s="1" t="inlineStr">
        <is>
          <t>gf2020201715</t>
        </is>
      </c>
      <c r="D5416" s="1" t="inlineStr">
        <is>
          <t>ADIDAS Ultimate365 Adjustable Boy's Shorts (Grey)</t>
        </is>
      </c>
      <c r="E5416" s="1" t="inlineStr">
        <is>
          <t>ADIDAS</t>
        </is>
      </c>
      <c r="F5416" s="1" t="inlineStr">
        <is>
          <t>SHORT PANTS</t>
        </is>
      </c>
      <c r="G5416" s="1" t="inlineStr">
        <is>
          <t>GF2020201715128</t>
        </is>
      </c>
      <c r="H5416" s="1" t="n">
        <v>5</v>
      </c>
      <c r="I5416" s="1" t="inlineStr">
        <is>
          <t>หมด</t>
        </is>
      </c>
      <c r="J5416" s="13" t="n">
        <v>25</v>
      </c>
      <c r="K5416" s="1" t="inlineStr"/>
      <c r="L5416" s="13" t="n">
        <v>25</v>
      </c>
      <c r="M5416" s="1">
        <f>IF(L5416="","ไม่พบใน SG",IF(ABS(J5416-L5416)&lt;0.005,"ตรงกัน","ไม่ตรง"))</f>
        <v/>
      </c>
      <c r="N5416" s="14">
        <f>IF(L5416="","",ROUND(L5416*'สรุป'!$C$6,-1))</f>
        <v/>
      </c>
      <c r="O5416" s="15" t="n"/>
      <c r="P5416" s="15" t="n"/>
      <c r="Q5416" s="10" t="n"/>
      <c r="R5416" s="10" t="n"/>
      <c r="S5416" s="16" t="inlineStr">
        <is>
          <t>https://mstgolf.co.th/products/gf2020201715</t>
        </is>
      </c>
      <c r="T5416" s="1">
        <f>IF(B5416="ไม้กอล์ฟ",J5416,"")</f>
        <v/>
      </c>
    </row>
    <row r="5417">
      <c r="A5417" s="1" t="n">
        <v>3</v>
      </c>
      <c r="B5417" s="1" t="inlineStr">
        <is>
          <t>หมวก</t>
        </is>
      </c>
      <c r="C5417" s="1" t="inlineStr">
        <is>
          <t>gf2000300398</t>
        </is>
      </c>
      <c r="D5417" s="1" t="inlineStr">
        <is>
          <t>ADIDAS Wide Women’s Hat (Black)</t>
        </is>
      </c>
      <c r="E5417" s="1" t="inlineStr">
        <is>
          <t>ADIDAS</t>
        </is>
      </c>
      <c r="F5417" s="1" t="inlineStr">
        <is>
          <t>HAT</t>
        </is>
      </c>
      <c r="G5417" s="1" t="inlineStr">
        <is>
          <t>GF2000300398FS</t>
        </is>
      </c>
      <c r="H5417" s="1" t="n">
        <v>1</v>
      </c>
      <c r="I5417" s="1" t="inlineStr">
        <is>
          <t>หมด</t>
        </is>
      </c>
      <c r="J5417" s="13" t="n">
        <v>25</v>
      </c>
      <c r="K5417" s="1" t="inlineStr"/>
      <c r="L5417" s="13" t="n"/>
      <c r="M5417" s="1">
        <f>IF(L5417="","ไม่พบใน SG",IF(ABS(J5417-L5417)&lt;0.005,"ตรงกัน","ไม่ตรง"))</f>
        <v/>
      </c>
      <c r="N5417" s="14">
        <f>IF(L5417="","",ROUND(L5417*'สรุป'!$C$6,-1))</f>
        <v/>
      </c>
      <c r="O5417" s="15" t="n"/>
      <c r="P5417" s="15" t="n"/>
      <c r="Q5417" s="10" t="n"/>
      <c r="R5417" s="10" t="n"/>
      <c r="S5417" s="16" t="inlineStr">
        <is>
          <t>https://mstgolf.co.th/products/gf2000300398</t>
        </is>
      </c>
      <c r="T5417" s="1">
        <f>IF(B5417="ไม้กอล์ฟ",J5417,"")</f>
        <v/>
      </c>
    </row>
    <row r="5418">
      <c r="A5418" s="1" t="n">
        <v>3</v>
      </c>
      <c r="B5418" s="1" t="inlineStr">
        <is>
          <t>หมวก</t>
        </is>
      </c>
      <c r="C5418" s="1" t="inlineStr">
        <is>
          <t>gf2000200997</t>
        </is>
      </c>
      <c r="D5418" s="1" t="inlineStr">
        <is>
          <t>ADIDAS Wide Women’s Visor (Pink)</t>
        </is>
      </c>
      <c r="E5418" s="1" t="inlineStr">
        <is>
          <t>ADIDAS</t>
        </is>
      </c>
      <c r="F5418" s="1" t="inlineStr">
        <is>
          <t>VISOR</t>
        </is>
      </c>
      <c r="G5418" s="1" t="inlineStr">
        <is>
          <t>GF2000200997FS</t>
        </is>
      </c>
      <c r="H5418" s="1" t="n">
        <v>1</v>
      </c>
      <c r="I5418" s="1" t="inlineStr">
        <is>
          <t>หมด</t>
        </is>
      </c>
      <c r="J5418" s="13" t="n">
        <v>25</v>
      </c>
      <c r="K5418" s="1" t="inlineStr"/>
      <c r="L5418" s="13" t="n">
        <v>25</v>
      </c>
      <c r="M5418" s="1">
        <f>IF(L5418="","ไม่พบใน SG",IF(ABS(J5418-L5418)&lt;0.005,"ตรงกัน","ไม่ตรง"))</f>
        <v/>
      </c>
      <c r="N5418" s="14">
        <f>IF(L5418="","",ROUND(L5418*'สรุป'!$C$6,-1))</f>
        <v/>
      </c>
      <c r="O5418" s="15" t="n"/>
      <c r="P5418" s="15" t="n"/>
      <c r="Q5418" s="10" t="n"/>
      <c r="R5418" s="10" t="n"/>
      <c r="S5418" s="16" t="inlineStr">
        <is>
          <t>https://mstgolf.co.th/products/gf2000200997</t>
        </is>
      </c>
      <c r="T5418" s="1">
        <f>IF(B5418="ไม้กอล์ฟ",J5418,"")</f>
        <v/>
      </c>
    </row>
    <row r="5419">
      <c r="A5419" s="1" t="n">
        <v>3</v>
      </c>
      <c r="B5419" s="1" t="inlineStr">
        <is>
          <t>อุปกรณ์เสริม</t>
        </is>
      </c>
      <c r="C5419" s="1" t="inlineStr">
        <is>
          <t>gf2090200237</t>
        </is>
      </c>
      <c r="D5419" s="1" t="inlineStr">
        <is>
          <t>CALVIN KLEIN Women's Tech Ankle Socks (Pink/Navy)</t>
        </is>
      </c>
      <c r="E5419" s="1" t="inlineStr">
        <is>
          <t>CALVIN KLEIN</t>
        </is>
      </c>
      <c r="F5419" s="1" t="inlineStr">
        <is>
          <t>ANKLE SOCKS</t>
        </is>
      </c>
      <c r="G5419" s="1" t="inlineStr">
        <is>
          <t>GF2090200237FS</t>
        </is>
      </c>
      <c r="H5419" s="1" t="n">
        <v>1</v>
      </c>
      <c r="I5419" s="1" t="inlineStr">
        <is>
          <t>หมด</t>
        </is>
      </c>
      <c r="J5419" s="13" t="n">
        <v>25</v>
      </c>
      <c r="K5419" s="1" t="inlineStr"/>
      <c r="L5419" s="13" t="n"/>
      <c r="M5419" s="1">
        <f>IF(L5419="","ไม่พบใน SG",IF(ABS(J5419-L5419)&lt;0.005,"ตรงกัน","ไม่ตรง"))</f>
        <v/>
      </c>
      <c r="N5419" s="14">
        <f>IF(L5419="","",ROUND(L5419*'สรุป'!$C$6,-1))</f>
        <v/>
      </c>
      <c r="O5419" s="15" t="n"/>
      <c r="P5419" s="15" t="n"/>
      <c r="Q5419" s="10" t="n"/>
      <c r="R5419" s="10" t="n"/>
      <c r="S5419" s="16" t="inlineStr">
        <is>
          <t>https://mstgolf.co.th/products/gf2090200237</t>
        </is>
      </c>
      <c r="T5419" s="1">
        <f>IF(B5419="ไม้กอล์ฟ",J5419,"")</f>
        <v/>
      </c>
    </row>
    <row r="5420">
      <c r="A5420" s="1" t="n">
        <v>3</v>
      </c>
      <c r="B5420" s="1" t="inlineStr">
        <is>
          <t>อุปกรณ์เสริม</t>
        </is>
      </c>
      <c r="C5420" s="1" t="inlineStr">
        <is>
          <t>gf3500300995</t>
        </is>
      </c>
      <c r="D5420" s="1" t="inlineStr">
        <is>
          <t>GOLF LITE Joe Cool Bag Tag</t>
        </is>
      </c>
      <c r="E5420" s="1" t="inlineStr">
        <is>
          <t>GOLF LITE</t>
        </is>
      </c>
      <c r="F5420" s="1" t="inlineStr">
        <is>
          <t>GOLF ACCESSORIES</t>
        </is>
      </c>
      <c r="G5420" s="1" t="inlineStr">
        <is>
          <t>GF3500300995</t>
        </is>
      </c>
      <c r="H5420" s="1" t="n">
        <v>1</v>
      </c>
      <c r="I5420" s="1" t="inlineStr">
        <is>
          <t>หมด</t>
        </is>
      </c>
      <c r="J5420" s="13" t="n">
        <v>25</v>
      </c>
      <c r="K5420" s="1" t="inlineStr"/>
      <c r="L5420" s="13" t="n">
        <v>25</v>
      </c>
      <c r="M5420" s="1">
        <f>IF(L5420="","ไม่พบใน SG",IF(ABS(J5420-L5420)&lt;0.005,"ตรงกัน","ไม่ตรง"))</f>
        <v/>
      </c>
      <c r="N5420" s="14">
        <f>IF(L5420="","",ROUND(L5420*'สรุป'!$C$6,-1))</f>
        <v/>
      </c>
      <c r="O5420" s="15" t="n"/>
      <c r="P5420" s="15" t="n"/>
      <c r="Q5420" s="10" t="n"/>
      <c r="R5420" s="10" t="n"/>
      <c r="S5420" s="16" t="inlineStr">
        <is>
          <t>https://mstgolf.co.th/products/gf3500300995</t>
        </is>
      </c>
      <c r="T5420" s="1">
        <f>IF(B5420="ไม้กอล์ฟ",J5420,"")</f>
        <v/>
      </c>
    </row>
    <row r="5421">
      <c r="A5421" s="1" t="n">
        <v>3</v>
      </c>
      <c r="B5421" s="1" t="inlineStr">
        <is>
          <t>อุปกรณ์เสริม</t>
        </is>
      </c>
      <c r="C5421" s="1" t="inlineStr">
        <is>
          <t>gf3500400398</t>
        </is>
      </c>
      <c r="D5421" s="1" t="inlineStr">
        <is>
          <t>GOLF LITE Peanuts Flying Ace Clip Marker</t>
        </is>
      </c>
      <c r="E5421" s="1" t="inlineStr">
        <is>
          <t>GOLF LITE</t>
        </is>
      </c>
      <c r="F5421" s="1" t="inlineStr">
        <is>
          <t>MARKERS &amp; DIVOTS</t>
        </is>
      </c>
      <c r="G5421" s="1" t="inlineStr">
        <is>
          <t>GF3500400398</t>
        </is>
      </c>
      <c r="H5421" s="1" t="n">
        <v>1</v>
      </c>
      <c r="I5421" s="1" t="inlineStr">
        <is>
          <t>หมด</t>
        </is>
      </c>
      <c r="J5421" s="13" t="n">
        <v>25</v>
      </c>
      <c r="K5421" s="1" t="inlineStr"/>
      <c r="L5421" s="13" t="n"/>
      <c r="M5421" s="1">
        <f>IF(L5421="","ไม่พบใน SG",IF(ABS(J5421-L5421)&lt;0.005,"ตรงกัน","ไม่ตรง"))</f>
        <v/>
      </c>
      <c r="N5421" s="14">
        <f>IF(L5421="","",ROUND(L5421*'สรุป'!$C$6,-1))</f>
        <v/>
      </c>
      <c r="O5421" s="15" t="n"/>
      <c r="P5421" s="15" t="n"/>
      <c r="Q5421" s="10" t="n"/>
      <c r="R5421" s="10" t="n"/>
      <c r="S5421" s="16" t="inlineStr">
        <is>
          <t>https://mstgolf.co.th/products/gf3500400398</t>
        </is>
      </c>
      <c r="T5421" s="1">
        <f>IF(B5421="ไม้กอล์ฟ",J5421,"")</f>
        <v/>
      </c>
    </row>
    <row r="5422">
      <c r="A5422" s="1" t="n">
        <v>3</v>
      </c>
      <c r="B5422" s="1" t="inlineStr">
        <is>
          <t>อุปกรณ์เสริม</t>
        </is>
      </c>
      <c r="C5422" s="1" t="inlineStr">
        <is>
          <t>gf3500400399</t>
        </is>
      </c>
      <c r="D5422" s="1" t="inlineStr">
        <is>
          <t>GOLF LITE Tensai Bakabon Clip Marker</t>
        </is>
      </c>
      <c r="E5422" s="1" t="inlineStr">
        <is>
          <t>GOLF LITE</t>
        </is>
      </c>
      <c r="F5422" s="1" t="inlineStr">
        <is>
          <t>MARKERS &amp; DIVOTS</t>
        </is>
      </c>
      <c r="G5422" s="1" t="inlineStr">
        <is>
          <t>GF3500400399</t>
        </is>
      </c>
      <c r="H5422" s="1" t="n">
        <v>1</v>
      </c>
      <c r="I5422" s="1" t="inlineStr">
        <is>
          <t>หมด</t>
        </is>
      </c>
      <c r="J5422" s="13" t="n">
        <v>25</v>
      </c>
      <c r="K5422" s="1" t="inlineStr"/>
      <c r="L5422" s="13" t="n"/>
      <c r="M5422" s="1">
        <f>IF(L5422="","ไม่พบใน SG",IF(ABS(J5422-L5422)&lt;0.005,"ตรงกัน","ไม่ตรง"))</f>
        <v/>
      </c>
      <c r="N5422" s="14">
        <f>IF(L5422="","",ROUND(L5422*'สรุป'!$C$6,-1))</f>
        <v/>
      </c>
      <c r="O5422" s="15" t="n"/>
      <c r="P5422" s="15" t="n"/>
      <c r="Q5422" s="10" t="n"/>
      <c r="R5422" s="10" t="n"/>
      <c r="S5422" s="16" t="inlineStr">
        <is>
          <t>https://mstgolf.co.th/products/gf3500400399</t>
        </is>
      </c>
      <c r="T5422" s="1">
        <f>IF(B5422="ไม้กอล์ฟ",J5422,"")</f>
        <v/>
      </c>
    </row>
    <row r="5423">
      <c r="A5423" s="1" t="n">
        <v>3</v>
      </c>
      <c r="B5423" s="1" t="inlineStr">
        <is>
          <t>เสื้อผ้า</t>
        </is>
      </c>
      <c r="C5423" s="1" t="inlineStr">
        <is>
          <t>gf2090700096</t>
        </is>
      </c>
      <c r="D5423" s="1" t="inlineStr">
        <is>
          <t>MALBON GOLF Capri Women's Ankle Socks (Rose)</t>
        </is>
      </c>
      <c r="E5423" s="1" t="inlineStr">
        <is>
          <t>MALBON GOLF</t>
        </is>
      </c>
      <c r="F5423" s="1" t="inlineStr">
        <is>
          <t>KNEE</t>
        </is>
      </c>
      <c r="G5423" s="1" t="inlineStr">
        <is>
          <t>GF2090700096FS</t>
        </is>
      </c>
      <c r="H5423" s="1" t="n">
        <v>1</v>
      </c>
      <c r="I5423" s="1" t="inlineStr">
        <is>
          <t>หมด</t>
        </is>
      </c>
      <c r="J5423" s="13" t="n">
        <v>25</v>
      </c>
      <c r="K5423" s="1" t="inlineStr"/>
      <c r="L5423" s="13" t="n">
        <v>25</v>
      </c>
      <c r="M5423" s="1">
        <f>IF(L5423="","ไม่พบใน SG",IF(ABS(J5423-L5423)&lt;0.005,"ตรงกัน","ไม่ตรง"))</f>
        <v/>
      </c>
      <c r="N5423" s="14">
        <f>IF(L5423="","",ROUND(L5423*'สรุป'!$C$6,-1))</f>
        <v/>
      </c>
      <c r="O5423" s="15" t="n"/>
      <c r="P5423" s="15" t="n"/>
      <c r="Q5423" s="10" t="n"/>
      <c r="R5423" s="10" t="n"/>
      <c r="S5423" s="16" t="inlineStr">
        <is>
          <t>https://mstgolf.co.th/products/gf2090700096</t>
        </is>
      </c>
      <c r="T5423" s="1">
        <f>IF(B5423="ไม้กอล์ฟ",J5423,"")</f>
        <v/>
      </c>
    </row>
    <row r="5424">
      <c r="A5424" s="1" t="n">
        <v>3</v>
      </c>
      <c r="B5424" s="1" t="inlineStr">
        <is>
          <t>เสื้อผ้า</t>
        </is>
      </c>
      <c r="C5424" s="1" t="inlineStr">
        <is>
          <t>gf2090700097</t>
        </is>
      </c>
      <c r="D5424" s="1" t="inlineStr">
        <is>
          <t>MALBON GOLF Capri Women's Ankle Socks (Zen Blue)</t>
        </is>
      </c>
      <c r="E5424" s="1" t="inlineStr">
        <is>
          <t>MALBON GOLF</t>
        </is>
      </c>
      <c r="F5424" s="1" t="inlineStr">
        <is>
          <t>KNEE</t>
        </is>
      </c>
      <c r="G5424" s="1" t="inlineStr">
        <is>
          <t>GF2090700097FS</t>
        </is>
      </c>
      <c r="H5424" s="1" t="n">
        <v>1</v>
      </c>
      <c r="I5424" s="1" t="inlineStr">
        <is>
          <t>หมด</t>
        </is>
      </c>
      <c r="J5424" s="13" t="n">
        <v>25</v>
      </c>
      <c r="K5424" s="1" t="inlineStr"/>
      <c r="L5424" s="13" t="n">
        <v>25</v>
      </c>
      <c r="M5424" s="1">
        <f>IF(L5424="","ไม่พบใน SG",IF(ABS(J5424-L5424)&lt;0.005,"ตรงกัน","ไม่ตรง"))</f>
        <v/>
      </c>
      <c r="N5424" s="14">
        <f>IF(L5424="","",ROUND(L5424*'สรุป'!$C$6,-1))</f>
        <v/>
      </c>
      <c r="O5424" s="15" t="n"/>
      <c r="P5424" s="15" t="n"/>
      <c r="Q5424" s="10" t="n"/>
      <c r="R5424" s="10" t="n"/>
      <c r="S5424" s="16" t="inlineStr">
        <is>
          <t>https://mstgolf.co.th/products/gf2090700097</t>
        </is>
      </c>
      <c r="T5424" s="1">
        <f>IF(B5424="ไม้กอล์ฟ",J5424,"")</f>
        <v/>
      </c>
    </row>
    <row r="5425">
      <c r="A5425" s="1" t="n">
        <v>3</v>
      </c>
      <c r="B5425" s="1" t="inlineStr">
        <is>
          <t>เสื้อผ้า</t>
        </is>
      </c>
      <c r="C5425" s="1" t="inlineStr">
        <is>
          <t>gf2090700095</t>
        </is>
      </c>
      <c r="D5425" s="1" t="inlineStr">
        <is>
          <t>MALBON GOLF Leandra Knee Socks (Ivory)</t>
        </is>
      </c>
      <c r="E5425" s="1" t="inlineStr">
        <is>
          <t>MALBON GOLF</t>
        </is>
      </c>
      <c r="F5425" s="1" t="inlineStr">
        <is>
          <t>KNEE</t>
        </is>
      </c>
      <c r="G5425" s="1" t="inlineStr">
        <is>
          <t>GF2090700095FS</t>
        </is>
      </c>
      <c r="H5425" s="1" t="n">
        <v>1</v>
      </c>
      <c r="I5425" s="1" t="inlineStr">
        <is>
          <t>หมด</t>
        </is>
      </c>
      <c r="J5425" s="13" t="n">
        <v>25</v>
      </c>
      <c r="K5425" s="1" t="inlineStr"/>
      <c r="L5425" s="13" t="n"/>
      <c r="M5425" s="1">
        <f>IF(L5425="","ไม่พบใน SG",IF(ABS(J5425-L5425)&lt;0.005,"ตรงกัน","ไม่ตรง"))</f>
        <v/>
      </c>
      <c r="N5425" s="14">
        <f>IF(L5425="","",ROUND(L5425*'สรุป'!$C$6,-1))</f>
        <v/>
      </c>
      <c r="O5425" s="15" t="n"/>
      <c r="P5425" s="15" t="n"/>
      <c r="Q5425" s="10" t="n"/>
      <c r="R5425" s="10" t="n"/>
      <c r="S5425" s="16" t="inlineStr">
        <is>
          <t>https://mstgolf.co.th/products/gf2090700095</t>
        </is>
      </c>
      <c r="T5425" s="1">
        <f>IF(B5425="ไม้กอล์ฟ",J5425,"")</f>
        <v/>
      </c>
    </row>
    <row r="5426">
      <c r="A5426" s="1" t="n">
        <v>3</v>
      </c>
      <c r="B5426" s="1" t="inlineStr">
        <is>
          <t>หมวก</t>
        </is>
      </c>
      <c r="C5426" s="1" t="inlineStr">
        <is>
          <t>gf2000106610</t>
        </is>
      </c>
      <c r="D5426" s="1" t="inlineStr">
        <is>
          <t>NIKE Jordan Rise Structured Men's Cap (Black)</t>
        </is>
      </c>
      <c r="E5426" s="1" t="inlineStr">
        <is>
          <t>NIKE</t>
        </is>
      </c>
      <c r="F5426" s="1" t="inlineStr">
        <is>
          <t>CAP</t>
        </is>
      </c>
      <c r="G5426" s="1" t="inlineStr">
        <is>
          <t>GF2000106610S/M</t>
        </is>
      </c>
      <c r="H5426" s="1" t="n">
        <v>3</v>
      </c>
      <c r="I5426" s="1" t="inlineStr">
        <is>
          <t>หมด</t>
        </is>
      </c>
      <c r="J5426" s="13" t="n">
        <v>25</v>
      </c>
      <c r="K5426" s="1" t="inlineStr"/>
      <c r="L5426" s="13" t="n">
        <v>25</v>
      </c>
      <c r="M5426" s="1">
        <f>IF(L5426="","ไม่พบใน SG",IF(ABS(J5426-L5426)&lt;0.005,"ตรงกัน","ไม่ตรง"))</f>
        <v/>
      </c>
      <c r="N5426" s="14">
        <f>IF(L5426="","",ROUND(L5426*'สรุป'!$C$6,-1))</f>
        <v/>
      </c>
      <c r="O5426" s="15" t="n"/>
      <c r="P5426" s="15" t="n"/>
      <c r="Q5426" s="10" t="n"/>
      <c r="R5426" s="10" t="n"/>
      <c r="S5426" s="16" t="inlineStr">
        <is>
          <t>https://mstgolf.co.th/products/gf2000106610</t>
        </is>
      </c>
      <c r="T5426" s="1">
        <f>IF(B5426="ไม้กอล์ฟ",J5426,"")</f>
        <v/>
      </c>
    </row>
    <row r="5427">
      <c r="A5427" s="1" t="n">
        <v>3</v>
      </c>
      <c r="B5427" s="1" t="inlineStr">
        <is>
          <t>หมวก</t>
        </is>
      </c>
      <c r="C5427" s="1" t="inlineStr">
        <is>
          <t>gf2000106611</t>
        </is>
      </c>
      <c r="D5427" s="1" t="inlineStr">
        <is>
          <t>NIKE Jordan Rise Structured Men's Cap (White)</t>
        </is>
      </c>
      <c r="E5427" s="1" t="inlineStr">
        <is>
          <t>NIKE</t>
        </is>
      </c>
      <c r="F5427" s="1" t="inlineStr">
        <is>
          <t>CAP</t>
        </is>
      </c>
      <c r="G5427" s="1" t="inlineStr">
        <is>
          <t>GF2000106611S/M</t>
        </is>
      </c>
      <c r="H5427" s="1" t="n">
        <v>3</v>
      </c>
      <c r="I5427" s="1" t="inlineStr">
        <is>
          <t>หมด</t>
        </is>
      </c>
      <c r="J5427" s="13" t="n">
        <v>25</v>
      </c>
      <c r="K5427" s="1" t="inlineStr"/>
      <c r="L5427" s="13" t="n">
        <v>25</v>
      </c>
      <c r="M5427" s="1">
        <f>IF(L5427="","ไม่พบใน SG",IF(ABS(J5427-L5427)&lt;0.005,"ตรงกัน","ไม่ตรง"))</f>
        <v/>
      </c>
      <c r="N5427" s="14">
        <f>IF(L5427="","",ROUND(L5427*'สรุป'!$C$6,-1))</f>
        <v/>
      </c>
      <c r="O5427" s="15" t="n"/>
      <c r="P5427" s="15" t="n"/>
      <c r="Q5427" s="10" t="n"/>
      <c r="R5427" s="10" t="n"/>
      <c r="S5427" s="16" t="inlineStr">
        <is>
          <t>https://mstgolf.co.th/products/gf2000106611</t>
        </is>
      </c>
      <c r="T5427" s="1">
        <f>IF(B5427="ไม้กอล์ฟ",J5427,"")</f>
        <v/>
      </c>
    </row>
    <row r="5428">
      <c r="A5428" s="1" t="n">
        <v>3</v>
      </c>
      <c r="B5428" s="1" t="inlineStr">
        <is>
          <t>หมวก</t>
        </is>
      </c>
      <c r="C5428" s="1" t="inlineStr">
        <is>
          <t>gf2000104897</t>
        </is>
      </c>
      <c r="D5428" s="1" t="inlineStr">
        <is>
          <t>PUMA Camo Pattern P110 Men's Cap (Navy/High Rise)</t>
        </is>
      </c>
      <c r="E5428" s="1" t="inlineStr">
        <is>
          <t>PUMA</t>
        </is>
      </c>
      <c r="F5428" s="1" t="inlineStr">
        <is>
          <t>CAP</t>
        </is>
      </c>
      <c r="G5428" s="1" t="inlineStr">
        <is>
          <t>GF2000104897FS</t>
        </is>
      </c>
      <c r="H5428" s="1" t="n">
        <v>1</v>
      </c>
      <c r="I5428" s="1" t="inlineStr">
        <is>
          <t>หมด</t>
        </is>
      </c>
      <c r="J5428" s="13" t="n">
        <v>25</v>
      </c>
      <c r="K5428" s="1" t="inlineStr"/>
      <c r="L5428" s="13" t="n"/>
      <c r="M5428" s="1">
        <f>IF(L5428="","ไม่พบใน SG",IF(ABS(J5428-L5428)&lt;0.005,"ตรงกัน","ไม่ตรง"))</f>
        <v/>
      </c>
      <c r="N5428" s="14">
        <f>IF(L5428="","",ROUND(L5428*'สรุป'!$C$6,-1))</f>
        <v/>
      </c>
      <c r="O5428" s="15" t="n"/>
      <c r="P5428" s="15" t="n"/>
      <c r="Q5428" s="10" t="n"/>
      <c r="R5428" s="10" t="n"/>
      <c r="S5428" s="16" t="inlineStr">
        <is>
          <t>https://mstgolf.co.th/products/gf2000104897</t>
        </is>
      </c>
      <c r="T5428" s="1">
        <f>IF(B5428="ไม้กอล์ฟ",J5428,"")</f>
        <v/>
      </c>
    </row>
    <row r="5429">
      <c r="A5429" s="1" t="n">
        <v>3</v>
      </c>
      <c r="B5429" s="1" t="inlineStr">
        <is>
          <t>หมวก</t>
        </is>
      </c>
      <c r="C5429" s="1" t="inlineStr">
        <is>
          <t>gf2000104368</t>
        </is>
      </c>
      <c r="D5429" s="1" t="inlineStr">
        <is>
          <t>PUMA P 110 Men's Cap (Black)</t>
        </is>
      </c>
      <c r="E5429" s="1" t="inlineStr">
        <is>
          <t>PUMA</t>
        </is>
      </c>
      <c r="F5429" s="1" t="inlineStr">
        <is>
          <t>CAP</t>
        </is>
      </c>
      <c r="G5429" s="1" t="inlineStr">
        <is>
          <t>GF2000104368FS</t>
        </is>
      </c>
      <c r="H5429" s="1" t="n">
        <v>1</v>
      </c>
      <c r="I5429" s="1" t="inlineStr">
        <is>
          <t>หมด</t>
        </is>
      </c>
      <c r="J5429" s="13" t="n">
        <v>25</v>
      </c>
      <c r="K5429" s="1" t="inlineStr"/>
      <c r="L5429" s="13" t="n"/>
      <c r="M5429" s="1">
        <f>IF(L5429="","ไม่พบใน SG",IF(ABS(J5429-L5429)&lt;0.005,"ตรงกัน","ไม่ตรง"))</f>
        <v/>
      </c>
      <c r="N5429" s="14">
        <f>IF(L5429="","",ROUND(L5429*'สรุป'!$C$6,-1))</f>
        <v/>
      </c>
      <c r="O5429" s="15" t="n"/>
      <c r="P5429" s="15" t="n"/>
      <c r="Q5429" s="10" t="n"/>
      <c r="R5429" s="10" t="n"/>
      <c r="S5429" s="16" t="inlineStr">
        <is>
          <t>https://mstgolf.co.th/products/gf2000104368</t>
        </is>
      </c>
      <c r="T5429" s="1">
        <f>IF(B5429="ไม้กอล์ฟ",J5429,"")</f>
        <v/>
      </c>
    </row>
    <row r="5430">
      <c r="A5430" s="1" t="n">
        <v>3</v>
      </c>
      <c r="B5430" s="1" t="inlineStr">
        <is>
          <t>หมวก</t>
        </is>
      </c>
      <c r="C5430" s="1" t="inlineStr">
        <is>
          <t>gf2000104711</t>
        </is>
      </c>
      <c r="D5430" s="1" t="inlineStr">
        <is>
          <t>TAYLORMADE Tour Radar Men's Cap (Charcoal)</t>
        </is>
      </c>
      <c r="E5430" s="1" t="inlineStr">
        <is>
          <t>TAYLORMADE</t>
        </is>
      </c>
      <c r="F5430" s="1" t="inlineStr">
        <is>
          <t>CAP</t>
        </is>
      </c>
      <c r="G5430" s="1" t="inlineStr">
        <is>
          <t>GF2000104711FS</t>
        </is>
      </c>
      <c r="H5430" s="1" t="n">
        <v>1</v>
      </c>
      <c r="I5430" s="1" t="inlineStr">
        <is>
          <t>หมด</t>
        </is>
      </c>
      <c r="J5430" s="13" t="n">
        <v>25</v>
      </c>
      <c r="K5430" s="1" t="inlineStr"/>
      <c r="L5430" s="13" t="n"/>
      <c r="M5430" s="1">
        <f>IF(L5430="","ไม่พบใน SG",IF(ABS(J5430-L5430)&lt;0.005,"ตรงกัน","ไม่ตรง"))</f>
        <v/>
      </c>
      <c r="N5430" s="14">
        <f>IF(L5430="","",ROUND(L5430*'สรุป'!$C$6,-1))</f>
        <v/>
      </c>
      <c r="O5430" s="15" t="n"/>
      <c r="P5430" s="15" t="n"/>
      <c r="Q5430" s="10" t="n"/>
      <c r="R5430" s="10" t="n"/>
      <c r="S5430" s="16" t="inlineStr">
        <is>
          <t>https://mstgolf.co.th/products/gf2000104711</t>
        </is>
      </c>
      <c r="T5430" s="1">
        <f>IF(B5430="ไม้กอล์ฟ",J5430,"")</f>
        <v/>
      </c>
    </row>
    <row r="5431">
      <c r="A5431" s="1" t="n">
        <v>3</v>
      </c>
      <c r="B5431" s="1" t="inlineStr">
        <is>
          <t>อุปกรณ์เสริม</t>
        </is>
      </c>
      <c r="C5431" s="1" t="inlineStr">
        <is>
          <t>gf2090100634</t>
        </is>
      </c>
      <c r="D5431" s="1" t="inlineStr">
        <is>
          <t>UNDER ARMOUR Performance Tech 3-Pack NS Socks (Black)</t>
        </is>
      </c>
      <c r="E5431" s="1" t="inlineStr">
        <is>
          <t>UNDER ARMOUR</t>
        </is>
      </c>
      <c r="F5431" s="1" t="inlineStr">
        <is>
          <t>NO SHOW SOCKS</t>
        </is>
      </c>
      <c r="G5431" s="1" t="inlineStr">
        <is>
          <t>GF2090100634S</t>
        </is>
      </c>
      <c r="H5431" s="1" t="n">
        <v>4</v>
      </c>
      <c r="I5431" s="1" t="inlineStr">
        <is>
          <t>หมด</t>
        </is>
      </c>
      <c r="J5431" s="13" t="n">
        <v>25</v>
      </c>
      <c r="K5431" s="1" t="inlineStr"/>
      <c r="L5431" s="13" t="n">
        <v>25</v>
      </c>
      <c r="M5431" s="1">
        <f>IF(L5431="","ไม่พบใน SG",IF(ABS(J5431-L5431)&lt;0.005,"ตรงกัน","ไม่ตรง"))</f>
        <v/>
      </c>
      <c r="N5431" s="14">
        <f>IF(L5431="","",ROUND(L5431*'สรุป'!$C$6,-1))</f>
        <v/>
      </c>
      <c r="O5431" s="15" t="n"/>
      <c r="P5431" s="15" t="n"/>
      <c r="Q5431" s="10" t="n"/>
      <c r="R5431" s="10" t="n"/>
      <c r="S5431" s="16" t="inlineStr">
        <is>
          <t>https://mstgolf.co.th/products/gf2090100634</t>
        </is>
      </c>
      <c r="T5431" s="1">
        <f>IF(B5431="ไม้กอล์ฟ",J5431,"")</f>
        <v/>
      </c>
    </row>
    <row r="5432">
      <c r="A5432" s="1" t="n">
        <v>3</v>
      </c>
      <c r="B5432" s="1" t="inlineStr">
        <is>
          <t>อุปกรณ์เสริม</t>
        </is>
      </c>
      <c r="C5432" s="1" t="inlineStr">
        <is>
          <t>gf2090100652</t>
        </is>
      </c>
      <c r="D5432" s="1" t="inlineStr">
        <is>
          <t>UNDER ARMOUR Performance Tech 3-Pack Unisex No Show Socks (White/Grey)</t>
        </is>
      </c>
      <c r="E5432" s="1" t="inlineStr">
        <is>
          <t>UNDER ARMOUR</t>
        </is>
      </c>
      <c r="F5432" s="1" t="inlineStr">
        <is>
          <t>NO SHOW SOCKS</t>
        </is>
      </c>
      <c r="G5432" s="1" t="inlineStr">
        <is>
          <t>GF2090100652S</t>
        </is>
      </c>
      <c r="H5432" s="1" t="n">
        <v>4</v>
      </c>
      <c r="I5432" s="1" t="inlineStr">
        <is>
          <t>หมด</t>
        </is>
      </c>
      <c r="J5432" s="13" t="n">
        <v>25</v>
      </c>
      <c r="K5432" s="1" t="inlineStr"/>
      <c r="L5432" s="13" t="n">
        <v>25</v>
      </c>
      <c r="M5432" s="1">
        <f>IF(L5432="","ไม่พบใน SG",IF(ABS(J5432-L5432)&lt;0.005,"ตรงกัน","ไม่ตรง"))</f>
        <v/>
      </c>
      <c r="N5432" s="14">
        <f>IF(L5432="","",ROUND(L5432*'สรุป'!$C$6,-1))</f>
        <v/>
      </c>
      <c r="O5432" s="15" t="n"/>
      <c r="P5432" s="15" t="n"/>
      <c r="Q5432" s="10" t="n"/>
      <c r="R5432" s="10" t="n"/>
      <c r="S5432" s="16" t="inlineStr">
        <is>
          <t>https://mstgolf.co.th/products/gf2090100652</t>
        </is>
      </c>
      <c r="T5432" s="1">
        <f>IF(B5432="ไม้กอล์ฟ",J5432,"")</f>
        <v/>
      </c>
    </row>
    <row r="5433">
      <c r="A5433" s="1" t="n">
        <v>3</v>
      </c>
      <c r="B5433" s="1" t="inlineStr">
        <is>
          <t>อุปกรณ์เสริม</t>
        </is>
      </c>
      <c r="C5433" s="1" t="inlineStr">
        <is>
          <t>gf2090300191</t>
        </is>
      </c>
      <c r="D5433" s="1" t="inlineStr">
        <is>
          <t>UNDER ARMOUR Performance Tech 3-Pack Unisex Quarter Socks (Black/Grey)</t>
        </is>
      </c>
      <c r="E5433" s="1" t="inlineStr">
        <is>
          <t>UNDER ARMOUR</t>
        </is>
      </c>
      <c r="F5433" s="1" t="inlineStr">
        <is>
          <t>CREW/QUARTER SOCKS</t>
        </is>
      </c>
      <c r="G5433" s="1" t="inlineStr">
        <is>
          <t>GF2090300191M</t>
        </is>
      </c>
      <c r="H5433" s="1" t="n">
        <v>2</v>
      </c>
      <c r="I5433" s="1" t="inlineStr">
        <is>
          <t>หมด</t>
        </is>
      </c>
      <c r="J5433" s="13" t="n">
        <v>25</v>
      </c>
      <c r="K5433" s="1" t="inlineStr"/>
      <c r="L5433" s="13" t="n"/>
      <c r="M5433" s="1">
        <f>IF(L5433="","ไม่พบใน SG",IF(ABS(J5433-L5433)&lt;0.005,"ตรงกัน","ไม่ตรง"))</f>
        <v/>
      </c>
      <c r="N5433" s="14">
        <f>IF(L5433="","",ROUND(L5433*'สรุป'!$C$6,-1))</f>
        <v/>
      </c>
      <c r="O5433" s="15" t="n"/>
      <c r="P5433" s="15" t="n"/>
      <c r="Q5433" s="10" t="n"/>
      <c r="R5433" s="10" t="n"/>
      <c r="S5433" s="16" t="inlineStr">
        <is>
          <t>https://mstgolf.co.th/products/gf2090300191</t>
        </is>
      </c>
      <c r="T5433" s="1">
        <f>IF(B5433="ไม้กอล์ฟ",J5433,"")</f>
        <v/>
      </c>
    </row>
    <row r="5434">
      <c r="A5434" s="1" t="n">
        <v>3</v>
      </c>
      <c r="B5434" s="1" t="inlineStr">
        <is>
          <t>อุปกรณ์เสริม</t>
        </is>
      </c>
      <c r="C5434" s="1" t="inlineStr">
        <is>
          <t>gf2090300173</t>
        </is>
      </c>
      <c r="D5434" s="1" t="inlineStr">
        <is>
          <t>UNDER ARMOUR Performance Tech Crew Socks (Grey/White)</t>
        </is>
      </c>
      <c r="E5434" s="1" t="inlineStr">
        <is>
          <t>UNDER ARMOUR</t>
        </is>
      </c>
      <c r="F5434" s="1" t="inlineStr">
        <is>
          <t>CREW/QUARTER SOCKS</t>
        </is>
      </c>
      <c r="G5434" s="1" t="inlineStr">
        <is>
          <t>GF2090300173M</t>
        </is>
      </c>
      <c r="H5434" s="1" t="n">
        <v>2</v>
      </c>
      <c r="I5434" s="1" t="inlineStr">
        <is>
          <t>หมด</t>
        </is>
      </c>
      <c r="J5434" s="13" t="n">
        <v>25</v>
      </c>
      <c r="K5434" s="1" t="inlineStr"/>
      <c r="L5434" s="13" t="n">
        <v>25</v>
      </c>
      <c r="M5434" s="1">
        <f>IF(L5434="","ไม่พบใน SG",IF(ABS(J5434-L5434)&lt;0.005,"ตรงกัน","ไม่ตรง"))</f>
        <v/>
      </c>
      <c r="N5434" s="14">
        <f>IF(L5434="","",ROUND(L5434*'สรุป'!$C$6,-1))</f>
        <v/>
      </c>
      <c r="O5434" s="15" t="n"/>
      <c r="P5434" s="15" t="n"/>
      <c r="Q5434" s="10" t="n"/>
      <c r="R5434" s="10" t="n"/>
      <c r="S5434" s="16" t="inlineStr">
        <is>
          <t>https://mstgolf.co.th/products/gf2090300173</t>
        </is>
      </c>
      <c r="T5434" s="1">
        <f>IF(B5434="ไม้กอล์ฟ",J5434,"")</f>
        <v/>
      </c>
    </row>
    <row r="5435">
      <c r="A5435" s="1" t="n">
        <v>3</v>
      </c>
      <c r="B5435" s="1" t="inlineStr">
        <is>
          <t>อุปกรณ์เสริม</t>
        </is>
      </c>
      <c r="C5435" s="1" t="inlineStr">
        <is>
          <t>gf2100200641</t>
        </is>
      </c>
      <c r="D5435" s="1" t="inlineStr">
        <is>
          <t>UNDER ARMOUR Performance Towel (Blue)</t>
        </is>
      </c>
      <c r="E5435" s="1" t="inlineStr">
        <is>
          <t>UNDER ARMOUR</t>
        </is>
      </c>
      <c r="F5435" s="1" t="inlineStr">
        <is>
          <t>HAND/CLUB TOWEL</t>
        </is>
      </c>
      <c r="G5435" s="1" t="inlineStr">
        <is>
          <t>GF2100200641</t>
        </is>
      </c>
      <c r="H5435" s="1" t="n">
        <v>1</v>
      </c>
      <c r="I5435" s="1" t="inlineStr">
        <is>
          <t>หมด</t>
        </is>
      </c>
      <c r="J5435" s="13" t="n">
        <v>25</v>
      </c>
      <c r="K5435" s="1" t="inlineStr"/>
      <c r="L5435" s="13" t="n">
        <v>25</v>
      </c>
      <c r="M5435" s="1">
        <f>IF(L5435="","ไม่พบใน SG",IF(ABS(J5435-L5435)&lt;0.005,"ตรงกัน","ไม่ตรง"))</f>
        <v/>
      </c>
      <c r="N5435" s="14">
        <f>IF(L5435="","",ROUND(L5435*'สรุป'!$C$6,-1))</f>
        <v/>
      </c>
      <c r="O5435" s="15" t="n"/>
      <c r="P5435" s="15" t="n"/>
      <c r="Q5435" s="10" t="n"/>
      <c r="R5435" s="10" t="n"/>
      <c r="S5435" s="16" t="inlineStr">
        <is>
          <t>https://mstgolf.co.th/products/gf2100200641</t>
        </is>
      </c>
      <c r="T5435" s="1">
        <f>IF(B5435="ไม้กอล์ฟ",J5435,"")</f>
        <v/>
      </c>
    </row>
    <row r="5436">
      <c r="A5436" s="1" t="n">
        <v>3</v>
      </c>
      <c r="B5436" s="1" t="inlineStr">
        <is>
          <t>อุปกรณ์เสริม</t>
        </is>
      </c>
      <c r="C5436" s="1" t="inlineStr">
        <is>
          <t>gf2100200571</t>
        </is>
      </c>
      <c r="D5436" s="1" t="inlineStr">
        <is>
          <t>UNDER ARMOUR Performance Towel (Grey)</t>
        </is>
      </c>
      <c r="E5436" s="1" t="inlineStr">
        <is>
          <t>UNDER ARMOUR</t>
        </is>
      </c>
      <c r="F5436" s="1" t="inlineStr">
        <is>
          <t>HAND/CLUB TOWEL</t>
        </is>
      </c>
      <c r="G5436" s="1" t="inlineStr">
        <is>
          <t>GF2100200571</t>
        </is>
      </c>
      <c r="H5436" s="1" t="n">
        <v>1</v>
      </c>
      <c r="I5436" s="1" t="inlineStr">
        <is>
          <t>หมด</t>
        </is>
      </c>
      <c r="J5436" s="13" t="n">
        <v>25</v>
      </c>
      <c r="K5436" s="1" t="inlineStr"/>
      <c r="L5436" s="13" t="n">
        <v>25</v>
      </c>
      <c r="M5436" s="1">
        <f>IF(L5436="","ไม่พบใน SG",IF(ABS(J5436-L5436)&lt;0.005,"ตรงกัน","ไม่ตรง"))</f>
        <v/>
      </c>
      <c r="N5436" s="14">
        <f>IF(L5436="","",ROUND(L5436*'สรุป'!$C$6,-1))</f>
        <v/>
      </c>
      <c r="O5436" s="15" t="n"/>
      <c r="P5436" s="15" t="n"/>
      <c r="Q5436" s="10" t="n"/>
      <c r="R5436" s="10" t="n"/>
      <c r="S5436" s="16" t="inlineStr">
        <is>
          <t>https://mstgolf.co.th/products/gf2100200571</t>
        </is>
      </c>
      <c r="T5436" s="1">
        <f>IF(B5436="ไม้กอล์ฟ",J5436,"")</f>
        <v/>
      </c>
    </row>
    <row r="5437">
      <c r="A5437" s="1" t="n">
        <v>3</v>
      </c>
      <c r="B5437" s="1" t="inlineStr">
        <is>
          <t>อุปกรณ์เสริม</t>
        </is>
      </c>
      <c r="C5437" s="1" t="inlineStr">
        <is>
          <t>gf2090300205</t>
        </is>
      </c>
      <c r="D5437" s="1" t="inlineStr">
        <is>
          <t>WAAC Color Stripe Women's Socks (Navy)</t>
        </is>
      </c>
      <c r="E5437" s="1" t="inlineStr">
        <is>
          <t>WAAC</t>
        </is>
      </c>
      <c r="F5437" s="1" t="inlineStr">
        <is>
          <t>CREW/QUARTER SOCKS</t>
        </is>
      </c>
      <c r="G5437" s="1" t="inlineStr">
        <is>
          <t>GF2090300205FS</t>
        </is>
      </c>
      <c r="H5437" s="1" t="n">
        <v>1</v>
      </c>
      <c r="I5437" s="1" t="inlineStr">
        <is>
          <t>หมด</t>
        </is>
      </c>
      <c r="J5437" s="13" t="n">
        <v>25</v>
      </c>
      <c r="K5437" s="1" t="inlineStr"/>
      <c r="L5437" s="13" t="n">
        <v>25</v>
      </c>
      <c r="M5437" s="1">
        <f>IF(L5437="","ไม่พบใน SG",IF(ABS(J5437-L5437)&lt;0.005,"ตรงกัน","ไม่ตรง"))</f>
        <v/>
      </c>
      <c r="N5437" s="14">
        <f>IF(L5437="","",ROUND(L5437*'สรุป'!$C$6,-1))</f>
        <v/>
      </c>
      <c r="O5437" s="15" t="n"/>
      <c r="P5437" s="15" t="n"/>
      <c r="Q5437" s="10" t="n"/>
      <c r="R5437" s="10" t="n"/>
      <c r="S5437" s="16" t="inlineStr">
        <is>
          <t>https://mstgolf.co.th/products/gf2090300205</t>
        </is>
      </c>
      <c r="T5437" s="1">
        <f>IF(B5437="ไม้กอล์ฟ",J5437,"")</f>
        <v/>
      </c>
    </row>
    <row r="5438">
      <c r="A5438" s="1" t="n">
        <v>3</v>
      </c>
      <c r="B5438" s="1" t="inlineStr">
        <is>
          <t>อุปกรณ์เสริม</t>
        </is>
      </c>
      <c r="C5438" s="1" t="inlineStr">
        <is>
          <t>gf2090300206</t>
        </is>
      </c>
      <c r="D5438" s="1" t="inlineStr">
        <is>
          <t>WAAC Stripe Men's Crew Socks (Black)</t>
        </is>
      </c>
      <c r="E5438" s="1" t="inlineStr">
        <is>
          <t>WAAC</t>
        </is>
      </c>
      <c r="F5438" s="1" t="inlineStr">
        <is>
          <t>CREW/QUARTER SOCKS</t>
        </is>
      </c>
      <c r="G5438" s="1" t="inlineStr">
        <is>
          <t>GF2090300206FS</t>
        </is>
      </c>
      <c r="H5438" s="1" t="n">
        <v>1</v>
      </c>
      <c r="I5438" s="1" t="inlineStr">
        <is>
          <t>หมด</t>
        </is>
      </c>
      <c r="J5438" s="13" t="n">
        <v>25</v>
      </c>
      <c r="K5438" s="1" t="inlineStr"/>
      <c r="L5438" s="13" t="n">
        <v>25</v>
      </c>
      <c r="M5438" s="1">
        <f>IF(L5438="","ไม่พบใน SG",IF(ABS(J5438-L5438)&lt;0.005,"ตรงกัน","ไม่ตรง"))</f>
        <v/>
      </c>
      <c r="N5438" s="14">
        <f>IF(L5438="","",ROUND(L5438*'สรุป'!$C$6,-1))</f>
        <v/>
      </c>
      <c r="O5438" s="15" t="n"/>
      <c r="P5438" s="15" t="n"/>
      <c r="Q5438" s="10" t="n"/>
      <c r="R5438" s="10" t="n"/>
      <c r="S5438" s="16" t="inlineStr">
        <is>
          <t>https://mstgolf.co.th/products/gf2090300206</t>
        </is>
      </c>
      <c r="T5438" s="1">
        <f>IF(B5438="ไม้กอล์ฟ",J5438,"")</f>
        <v/>
      </c>
    </row>
    <row r="5439">
      <c r="A5439" s="1" t="n">
        <v>3</v>
      </c>
      <c r="B5439" s="1" t="inlineStr">
        <is>
          <t>อุปกรณ์เสริม</t>
        </is>
      </c>
      <c r="C5439" s="1" t="inlineStr">
        <is>
          <t>gf2090300207</t>
        </is>
      </c>
      <c r="D5439" s="1" t="inlineStr">
        <is>
          <t>WAAC Stripe Men's Crew Socks (White/Blue)</t>
        </is>
      </c>
      <c r="E5439" s="1" t="inlineStr">
        <is>
          <t>WAAC</t>
        </is>
      </c>
      <c r="F5439" s="1" t="inlineStr">
        <is>
          <t>CREW/QUARTER SOCKS</t>
        </is>
      </c>
      <c r="G5439" s="1" t="inlineStr">
        <is>
          <t>GF2090300207FS</t>
        </is>
      </c>
      <c r="H5439" s="1" t="n">
        <v>1</v>
      </c>
      <c r="I5439" s="1" t="inlineStr">
        <is>
          <t>หมด</t>
        </is>
      </c>
      <c r="J5439" s="13" t="n">
        <v>25</v>
      </c>
      <c r="K5439" s="1" t="inlineStr"/>
      <c r="L5439" s="13" t="n">
        <v>25</v>
      </c>
      <c r="M5439" s="1">
        <f>IF(L5439="","ไม่พบใน SG",IF(ABS(J5439-L5439)&lt;0.005,"ตรงกัน","ไม่ตรง"))</f>
        <v/>
      </c>
      <c r="N5439" s="14">
        <f>IF(L5439="","",ROUND(L5439*'สรุป'!$C$6,-1))</f>
        <v/>
      </c>
      <c r="O5439" s="15" t="n"/>
      <c r="P5439" s="15" t="n"/>
      <c r="Q5439" s="10" t="n"/>
      <c r="R5439" s="10" t="n"/>
      <c r="S5439" s="16" t="inlineStr">
        <is>
          <t>https://mstgolf.co.th/products/gf2090300207</t>
        </is>
      </c>
      <c r="T5439" s="1">
        <f>IF(B5439="ไม้กอล์ฟ",J5439,"")</f>
        <v/>
      </c>
    </row>
    <row r="5440">
      <c r="A5440" s="1" t="n">
        <v>3</v>
      </c>
      <c r="B5440" s="1" t="inlineStr">
        <is>
          <t>อุปกรณ์เสริม</t>
        </is>
      </c>
      <c r="C5440" s="1" t="inlineStr">
        <is>
          <t>gf3500400279</t>
        </is>
      </c>
      <c r="D5440" s="1" t="inlineStr">
        <is>
          <t>TAYLORMADE Car Divot with Marker (Blue)</t>
        </is>
      </c>
      <c r="E5440" s="1" t="inlineStr">
        <is>
          <t>TAYLORMADE</t>
        </is>
      </c>
      <c r="F5440" s="1" t="inlineStr">
        <is>
          <t>MARKERS &amp; DIVOTS</t>
        </is>
      </c>
      <c r="G5440" s="1" t="inlineStr">
        <is>
          <t>GF3500400279</t>
        </is>
      </c>
      <c r="H5440" s="1" t="n">
        <v>1</v>
      </c>
      <c r="I5440" s="1" t="inlineStr">
        <is>
          <t>หมด</t>
        </is>
      </c>
      <c r="J5440" s="13" t="n">
        <v>24</v>
      </c>
      <c r="K5440" s="1" t="inlineStr"/>
      <c r="L5440" s="13" t="n">
        <v>24</v>
      </c>
      <c r="M5440" s="1">
        <f>IF(L5440="","ไม่พบใน SG",IF(ABS(J5440-L5440)&lt;0.005,"ตรงกัน","ไม่ตรง"))</f>
        <v/>
      </c>
      <c r="N5440" s="14">
        <f>IF(L5440="","",ROUND(L5440*'สรุป'!$C$6,-1))</f>
        <v/>
      </c>
      <c r="O5440" s="15" t="n"/>
      <c r="P5440" s="15" t="n"/>
      <c r="Q5440" s="10" t="n"/>
      <c r="R5440" s="10" t="n"/>
      <c r="S5440" s="16" t="inlineStr">
        <is>
          <t>https://mstgolf.co.th/products/gf3500400279</t>
        </is>
      </c>
      <c r="T5440" s="1">
        <f>IF(B5440="ไม้กอล์ฟ",J5440,"")</f>
        <v/>
      </c>
    </row>
    <row r="5441">
      <c r="A5441" s="1" t="n">
        <v>3</v>
      </c>
      <c r="B5441" s="1" t="inlineStr">
        <is>
          <t>อุปกรณ์เสริม</t>
        </is>
      </c>
      <c r="C5441" s="1" t="inlineStr">
        <is>
          <t>gf3500400280</t>
        </is>
      </c>
      <c r="D5441" s="1" t="inlineStr">
        <is>
          <t>TAYLORMADE Car Divot with Marker (Red)</t>
        </is>
      </c>
      <c r="E5441" s="1" t="inlineStr">
        <is>
          <t>TAYLORMADE</t>
        </is>
      </c>
      <c r="F5441" s="1" t="inlineStr">
        <is>
          <t>MARKERS &amp; DIVOTS</t>
        </is>
      </c>
      <c r="G5441" s="1" t="inlineStr">
        <is>
          <t>GF3500400280</t>
        </is>
      </c>
      <c r="H5441" s="1" t="n">
        <v>1</v>
      </c>
      <c r="I5441" s="1" t="inlineStr">
        <is>
          <t>หมด</t>
        </is>
      </c>
      <c r="J5441" s="13" t="n">
        <v>24</v>
      </c>
      <c r="K5441" s="1" t="inlineStr"/>
      <c r="L5441" s="13" t="n">
        <v>24</v>
      </c>
      <c r="M5441" s="1">
        <f>IF(L5441="","ไม่พบใน SG",IF(ABS(J5441-L5441)&lt;0.005,"ตรงกัน","ไม่ตรง"))</f>
        <v/>
      </c>
      <c r="N5441" s="14">
        <f>IF(L5441="","",ROUND(L5441*'สรุป'!$C$6,-1))</f>
        <v/>
      </c>
      <c r="O5441" s="15" t="n"/>
      <c r="P5441" s="15" t="n"/>
      <c r="Q5441" s="10" t="n"/>
      <c r="R5441" s="10" t="n"/>
      <c r="S5441" s="16" t="inlineStr">
        <is>
          <t>https://mstgolf.co.th/products/gf3500400280</t>
        </is>
      </c>
      <c r="T5441" s="1">
        <f>IF(B5441="ไม้กอล์ฟ",J5441,"")</f>
        <v/>
      </c>
    </row>
    <row r="5442">
      <c r="A5442" s="1" t="n">
        <v>3</v>
      </c>
      <c r="B5442" s="1" t="inlineStr">
        <is>
          <t>อุปกรณ์เสริม</t>
        </is>
      </c>
      <c r="C5442" s="1" t="inlineStr">
        <is>
          <t>gf3500400281</t>
        </is>
      </c>
      <c r="D5442" s="1" t="inlineStr">
        <is>
          <t>TAYLORMADE Car Divot with Marker (Silver)</t>
        </is>
      </c>
      <c r="E5442" s="1" t="inlineStr">
        <is>
          <t>TAYLORMADE</t>
        </is>
      </c>
      <c r="F5442" s="1" t="inlineStr">
        <is>
          <t>MARKERS &amp; DIVOTS</t>
        </is>
      </c>
      <c r="G5442" s="1" t="inlineStr">
        <is>
          <t>GF3500400281</t>
        </is>
      </c>
      <c r="H5442" s="1" t="n">
        <v>1</v>
      </c>
      <c r="I5442" s="1" t="inlineStr">
        <is>
          <t>หมด</t>
        </is>
      </c>
      <c r="J5442" s="13" t="n">
        <v>24</v>
      </c>
      <c r="K5442" s="1" t="inlineStr"/>
      <c r="L5442" s="13" t="n">
        <v>24</v>
      </c>
      <c r="M5442" s="1">
        <f>IF(L5442="","ไม่พบใน SG",IF(ABS(J5442-L5442)&lt;0.005,"ตรงกัน","ไม่ตรง"))</f>
        <v/>
      </c>
      <c r="N5442" s="14">
        <f>IF(L5442="","",ROUND(L5442*'สรุป'!$C$6,-1))</f>
        <v/>
      </c>
      <c r="O5442" s="15" t="n"/>
      <c r="P5442" s="15" t="n"/>
      <c r="Q5442" s="10" t="n"/>
      <c r="R5442" s="10" t="n"/>
      <c r="S5442" s="16" t="inlineStr">
        <is>
          <t>https://mstgolf.co.th/products/gf3500400281</t>
        </is>
      </c>
      <c r="T5442" s="1">
        <f>IF(B5442="ไม้กอล์ฟ",J5442,"")</f>
        <v/>
      </c>
    </row>
    <row r="5443">
      <c r="A5443" s="1" t="n">
        <v>3</v>
      </c>
      <c r="B5443" s="1" t="inlineStr">
        <is>
          <t>หมวก</t>
        </is>
      </c>
      <c r="C5443" s="1" t="inlineStr">
        <is>
          <t>gf2000105915</t>
        </is>
      </c>
      <c r="D5443" s="1" t="inlineStr">
        <is>
          <t>ADIDAS Tour Metal Men’s Cap (Black)</t>
        </is>
      </c>
      <c r="E5443" s="1" t="inlineStr">
        <is>
          <t>ADIDAS</t>
        </is>
      </c>
      <c r="F5443" s="1" t="inlineStr">
        <is>
          <t>CAP</t>
        </is>
      </c>
      <c r="G5443" s="1" t="inlineStr">
        <is>
          <t>GF2000105915FS</t>
        </is>
      </c>
      <c r="H5443" s="1" t="n">
        <v>1</v>
      </c>
      <c r="I5443" s="1" t="inlineStr">
        <is>
          <t>หมด</t>
        </is>
      </c>
      <c r="J5443" s="13" t="n">
        <v>23</v>
      </c>
      <c r="K5443" s="1" t="inlineStr"/>
      <c r="L5443" s="13" t="n"/>
      <c r="M5443" s="1">
        <f>IF(L5443="","ไม่พบใน SG",IF(ABS(J5443-L5443)&lt;0.005,"ตรงกัน","ไม่ตรง"))</f>
        <v/>
      </c>
      <c r="N5443" s="14">
        <f>IF(L5443="","",ROUND(L5443*'สรุป'!$C$6,-1))</f>
        <v/>
      </c>
      <c r="O5443" s="15" t="n"/>
      <c r="P5443" s="15" t="n"/>
      <c r="Q5443" s="10" t="n"/>
      <c r="R5443" s="10" t="n"/>
      <c r="S5443" s="16" t="inlineStr">
        <is>
          <t>https://mstgolf.co.th/products/gf2000105915</t>
        </is>
      </c>
      <c r="T5443" s="1">
        <f>IF(B5443="ไม้กอล์ฟ",J5443,"")</f>
        <v/>
      </c>
    </row>
    <row r="5444">
      <c r="A5444" s="1" t="n">
        <v>3</v>
      </c>
      <c r="B5444" s="1" t="inlineStr">
        <is>
          <t>หมวก</t>
        </is>
      </c>
      <c r="C5444" s="1" t="inlineStr">
        <is>
          <t>gf2000105914</t>
        </is>
      </c>
      <c r="D5444" s="1" t="inlineStr">
        <is>
          <t>ADIDAS Tour Metal Men’s Cap (White)</t>
        </is>
      </c>
      <c r="E5444" s="1" t="inlineStr">
        <is>
          <t>ADIDAS</t>
        </is>
      </c>
      <c r="F5444" s="1" t="inlineStr">
        <is>
          <t>CAP</t>
        </is>
      </c>
      <c r="G5444" s="1" t="inlineStr">
        <is>
          <t>GF2000105914FS</t>
        </is>
      </c>
      <c r="H5444" s="1" t="n">
        <v>1</v>
      </c>
      <c r="I5444" s="1" t="inlineStr">
        <is>
          <t>หมด</t>
        </is>
      </c>
      <c r="J5444" s="13" t="n">
        <v>23</v>
      </c>
      <c r="K5444" s="1" t="inlineStr"/>
      <c r="L5444" s="13" t="n"/>
      <c r="M5444" s="1">
        <f>IF(L5444="","ไม่พบใน SG",IF(ABS(J5444-L5444)&lt;0.005,"ตรงกัน","ไม่ตรง"))</f>
        <v/>
      </c>
      <c r="N5444" s="14">
        <f>IF(L5444="","",ROUND(L5444*'สรุป'!$C$6,-1))</f>
        <v/>
      </c>
      <c r="O5444" s="15" t="n"/>
      <c r="P5444" s="15" t="n"/>
      <c r="Q5444" s="10" t="n"/>
      <c r="R5444" s="10" t="n"/>
      <c r="S5444" s="16" t="inlineStr">
        <is>
          <t>https://mstgolf.co.th/products/gf2000105914</t>
        </is>
      </c>
      <c r="T5444" s="1">
        <f>IF(B5444="ไม้กอล์ฟ",J5444,"")</f>
        <v/>
      </c>
    </row>
    <row r="5445">
      <c r="A5445" s="1" t="n">
        <v>3</v>
      </c>
      <c r="B5445" s="1" t="inlineStr">
        <is>
          <t>อุปกรณ์เสริม</t>
        </is>
      </c>
      <c r="C5445" s="1" t="inlineStr">
        <is>
          <t>gf2090100593</t>
        </is>
      </c>
      <c r="D5445" s="1" t="inlineStr">
        <is>
          <t>UNDER ARMOUR Essential 3-Pack Low Socks (Grey/White/Black)</t>
        </is>
      </c>
      <c r="E5445" s="1" t="inlineStr">
        <is>
          <t>UNDER ARMOUR</t>
        </is>
      </c>
      <c r="F5445" s="1" t="inlineStr">
        <is>
          <t>NO SHOW SOCKS</t>
        </is>
      </c>
      <c r="G5445" s="1" t="inlineStr">
        <is>
          <t>GF2090100593S</t>
        </is>
      </c>
      <c r="H5445" s="1" t="n">
        <v>3</v>
      </c>
      <c r="I5445" s="1" t="inlineStr">
        <is>
          <t>หมด</t>
        </is>
      </c>
      <c r="J5445" s="13" t="n">
        <v>23</v>
      </c>
      <c r="K5445" s="1" t="inlineStr"/>
      <c r="L5445" s="13" t="n">
        <v>23</v>
      </c>
      <c r="M5445" s="1">
        <f>IF(L5445="","ไม่พบใน SG",IF(ABS(J5445-L5445)&lt;0.005,"ตรงกัน","ไม่ตรง"))</f>
        <v/>
      </c>
      <c r="N5445" s="14">
        <f>IF(L5445="","",ROUND(L5445*'สรุป'!$C$6,-1))</f>
        <v/>
      </c>
      <c r="O5445" s="15" t="n"/>
      <c r="P5445" s="15" t="n"/>
      <c r="Q5445" s="10" t="n"/>
      <c r="R5445" s="10" t="n"/>
      <c r="S5445" s="16" t="inlineStr">
        <is>
          <t>https://mstgolf.co.th/products/gf2090100593</t>
        </is>
      </c>
      <c r="T5445" s="1">
        <f>IF(B5445="ไม้กอล์ฟ",J5445,"")</f>
        <v/>
      </c>
    </row>
    <row r="5446">
      <c r="A5446" s="1" t="n">
        <v>3</v>
      </c>
      <c r="B5446" s="1" t="inlineStr">
        <is>
          <t>อุปกรณ์เสริม</t>
        </is>
      </c>
      <c r="C5446" s="1" t="inlineStr">
        <is>
          <t>gf2090100320</t>
        </is>
      </c>
      <c r="D5446" s="1" t="inlineStr">
        <is>
          <t>UNDER ARMOUR Heatgear 3-Pack Men's Socks (Black/Steel)</t>
        </is>
      </c>
      <c r="E5446" s="1" t="inlineStr">
        <is>
          <t>UNDER ARMOUR</t>
        </is>
      </c>
      <c r="F5446" s="1" t="inlineStr">
        <is>
          <t>ANKLE SOCKS</t>
        </is>
      </c>
      <c r="G5446" s="1" t="inlineStr">
        <is>
          <t>GF2090100320M</t>
        </is>
      </c>
      <c r="H5446" s="1" t="n">
        <v>2</v>
      </c>
      <c r="I5446" s="1" t="inlineStr">
        <is>
          <t>หมด</t>
        </is>
      </c>
      <c r="J5446" s="13" t="n">
        <v>23</v>
      </c>
      <c r="K5446" s="1" t="inlineStr"/>
      <c r="L5446" s="13" t="n"/>
      <c r="M5446" s="1">
        <f>IF(L5446="","ไม่พบใน SG",IF(ABS(J5446-L5446)&lt;0.005,"ตรงกัน","ไม่ตรง"))</f>
        <v/>
      </c>
      <c r="N5446" s="14">
        <f>IF(L5446="","",ROUND(L5446*'สรุป'!$C$6,-1))</f>
        <v/>
      </c>
      <c r="O5446" s="15" t="n"/>
      <c r="P5446" s="15" t="n"/>
      <c r="Q5446" s="10" t="n"/>
      <c r="R5446" s="10" t="n"/>
      <c r="S5446" s="16" t="inlineStr">
        <is>
          <t>https://mstgolf.co.th/products/gf2090100320</t>
        </is>
      </c>
      <c r="T5446" s="1">
        <f>IF(B5446="ไม้กอล์ฟ",J5446,"")</f>
        <v/>
      </c>
    </row>
    <row r="5447">
      <c r="A5447" s="1" t="n">
        <v>3</v>
      </c>
      <c r="B5447" s="1" t="inlineStr">
        <is>
          <t>อุปกรณ์เสริม</t>
        </is>
      </c>
      <c r="C5447" s="1" t="inlineStr">
        <is>
          <t>gf2090100321</t>
        </is>
      </c>
      <c r="D5447" s="1" t="inlineStr">
        <is>
          <t>UNDER ARMOUR Heatgear 3-Pack Men's Socks (Black/White/Steel)</t>
        </is>
      </c>
      <c r="E5447" s="1" t="inlineStr">
        <is>
          <t>UNDER ARMOUR</t>
        </is>
      </c>
      <c r="F5447" s="1" t="inlineStr">
        <is>
          <t>ANKLE SOCKS</t>
        </is>
      </c>
      <c r="G5447" s="1" t="inlineStr">
        <is>
          <t>GF2090100321M</t>
        </is>
      </c>
      <c r="H5447" s="1" t="n">
        <v>2</v>
      </c>
      <c r="I5447" s="1" t="inlineStr">
        <is>
          <t>หมด</t>
        </is>
      </c>
      <c r="J5447" s="13" t="n">
        <v>23</v>
      </c>
      <c r="K5447" s="1" t="inlineStr"/>
      <c r="L5447" s="13" t="n">
        <v>23</v>
      </c>
      <c r="M5447" s="1">
        <f>IF(L5447="","ไม่พบใน SG",IF(ABS(J5447-L5447)&lt;0.005,"ตรงกัน","ไม่ตรง"))</f>
        <v/>
      </c>
      <c r="N5447" s="14">
        <f>IF(L5447="","",ROUND(L5447*'สรุป'!$C$6,-1))</f>
        <v/>
      </c>
      <c r="O5447" s="15" t="n"/>
      <c r="P5447" s="15" t="n"/>
      <c r="Q5447" s="10" t="n"/>
      <c r="R5447" s="10" t="n"/>
      <c r="S5447" s="16" t="inlineStr">
        <is>
          <t>https://mstgolf.co.th/products/gf2090100321</t>
        </is>
      </c>
      <c r="T5447" s="1">
        <f>IF(B5447="ไม้กอล์ฟ",J5447,"")</f>
        <v/>
      </c>
    </row>
    <row r="5448">
      <c r="A5448" s="1" t="n">
        <v>3</v>
      </c>
      <c r="B5448" s="1" t="inlineStr">
        <is>
          <t>อุปกรณ์เสริม</t>
        </is>
      </c>
      <c r="C5448" s="1" t="inlineStr">
        <is>
          <t>gf2090100551</t>
        </is>
      </c>
      <c r="D5448" s="1" t="inlineStr">
        <is>
          <t>UNDER ARMOUR Ultra Low 3-Pack Low Socks (Black)</t>
        </is>
      </c>
      <c r="E5448" s="1" t="inlineStr">
        <is>
          <t>UNDER ARMOUR</t>
        </is>
      </c>
      <c r="F5448" s="1" t="inlineStr">
        <is>
          <t>NO SHOW SOCKS</t>
        </is>
      </c>
      <c r="G5448" s="1" t="inlineStr">
        <is>
          <t>GF2090100551M</t>
        </is>
      </c>
      <c r="H5448" s="1" t="n">
        <v>2</v>
      </c>
      <c r="I5448" s="1" t="inlineStr">
        <is>
          <t>หมด</t>
        </is>
      </c>
      <c r="J5448" s="13" t="n">
        <v>23</v>
      </c>
      <c r="K5448" s="1" t="inlineStr"/>
      <c r="L5448" s="13" t="n">
        <v>23</v>
      </c>
      <c r="M5448" s="1">
        <f>IF(L5448="","ไม่พบใน SG",IF(ABS(J5448-L5448)&lt;0.005,"ตรงกัน","ไม่ตรง"))</f>
        <v/>
      </c>
      <c r="N5448" s="14">
        <f>IF(L5448="","",ROUND(L5448*'สรุป'!$C$6,-1))</f>
        <v/>
      </c>
      <c r="O5448" s="15" t="n"/>
      <c r="P5448" s="15" t="n"/>
      <c r="Q5448" s="10" t="n"/>
      <c r="R5448" s="10" t="n"/>
      <c r="S5448" s="16" t="inlineStr">
        <is>
          <t>https://mstgolf.co.th/products/gf2090100551</t>
        </is>
      </c>
      <c r="T5448" s="1">
        <f>IF(B5448="ไม้กอล์ฟ",J5448,"")</f>
        <v/>
      </c>
    </row>
    <row r="5449">
      <c r="A5449" s="1" t="n">
        <v>3</v>
      </c>
      <c r="B5449" s="1" t="inlineStr">
        <is>
          <t>หมวก</t>
        </is>
      </c>
      <c r="C5449" s="1" t="inlineStr">
        <is>
          <t>gf2000105897</t>
        </is>
      </c>
      <c r="D5449" s="1" t="inlineStr">
        <is>
          <t>ADIDAS Hydrophobic Tour Men's Cap (Black/Blue)</t>
        </is>
      </c>
      <c r="E5449" s="1" t="inlineStr">
        <is>
          <t>ADIDAS</t>
        </is>
      </c>
      <c r="F5449" s="1" t="inlineStr">
        <is>
          <t>CAP</t>
        </is>
      </c>
      <c r="G5449" s="1" t="inlineStr">
        <is>
          <t>GF2000105897FS</t>
        </is>
      </c>
      <c r="H5449" s="1" t="n">
        <v>1</v>
      </c>
      <c r="I5449" s="1" t="inlineStr">
        <is>
          <t>หมด</t>
        </is>
      </c>
      <c r="J5449" s="13" t="n">
        <v>22</v>
      </c>
      <c r="K5449" s="1" t="inlineStr"/>
      <c r="L5449" s="13" t="n"/>
      <c r="M5449" s="1">
        <f>IF(L5449="","ไม่พบใน SG",IF(ABS(J5449-L5449)&lt;0.005,"ตรงกัน","ไม่ตรง"))</f>
        <v/>
      </c>
      <c r="N5449" s="14">
        <f>IF(L5449="","",ROUND(L5449*'สรุป'!$C$6,-1))</f>
        <v/>
      </c>
      <c r="O5449" s="15" t="n"/>
      <c r="P5449" s="15" t="n"/>
      <c r="Q5449" s="10" t="n"/>
      <c r="R5449" s="10" t="n"/>
      <c r="S5449" s="16" t="inlineStr">
        <is>
          <t>https://mstgolf.co.th/products/gf2000105897</t>
        </is>
      </c>
      <c r="T5449" s="1">
        <f>IF(B5449="ไม้กอล์ฟ",J5449,"")</f>
        <v/>
      </c>
    </row>
    <row r="5450">
      <c r="A5450" s="1" t="n">
        <v>3</v>
      </c>
      <c r="B5450" s="1" t="inlineStr">
        <is>
          <t>หมวก</t>
        </is>
      </c>
      <c r="C5450" s="1" t="inlineStr">
        <is>
          <t>gf2000300367</t>
        </is>
      </c>
      <c r="D5450" s="1" t="inlineStr">
        <is>
          <t>ADIDAS Printed Women's Bucket Hat (Putty Mauve)</t>
        </is>
      </c>
      <c r="E5450" s="1" t="inlineStr">
        <is>
          <t>ADIDAS</t>
        </is>
      </c>
      <c r="F5450" s="1" t="inlineStr">
        <is>
          <t>HAT</t>
        </is>
      </c>
      <c r="G5450" s="1" t="inlineStr">
        <is>
          <t>GF2000300367FS</t>
        </is>
      </c>
      <c r="H5450" s="1" t="n">
        <v>1</v>
      </c>
      <c r="I5450" s="1" t="inlineStr">
        <is>
          <t>หมด</t>
        </is>
      </c>
      <c r="J5450" s="13" t="n">
        <v>22</v>
      </c>
      <c r="K5450" s="1" t="inlineStr"/>
      <c r="L5450" s="13" t="n"/>
      <c r="M5450" s="1">
        <f>IF(L5450="","ไม่พบใน SG",IF(ABS(J5450-L5450)&lt;0.005,"ตรงกัน","ไม่ตรง"))</f>
        <v/>
      </c>
      <c r="N5450" s="14">
        <f>IF(L5450="","",ROUND(L5450*'สรุป'!$C$6,-1))</f>
        <v/>
      </c>
      <c r="O5450" s="15" t="n"/>
      <c r="P5450" s="15" t="n"/>
      <c r="Q5450" s="10" t="n"/>
      <c r="R5450" s="10" t="n"/>
      <c r="S5450" s="16" t="inlineStr">
        <is>
          <t>https://mstgolf.co.th/products/gf2000300367</t>
        </is>
      </c>
      <c r="T5450" s="1">
        <f>IF(B5450="ไม้กอล์ฟ",J5450,"")</f>
        <v/>
      </c>
    </row>
    <row r="5451">
      <c r="A5451" s="1" t="n">
        <v>3</v>
      </c>
      <c r="B5451" s="1" t="inlineStr">
        <is>
          <t>หมวก</t>
        </is>
      </c>
      <c r="C5451" s="1" t="inlineStr">
        <is>
          <t>gf2000300368</t>
        </is>
      </c>
      <c r="D5451" s="1" t="inlineStr">
        <is>
          <t>ADIDAS Printed Women's Bucket Hat (White)</t>
        </is>
      </c>
      <c r="E5451" s="1" t="inlineStr">
        <is>
          <t>ADIDAS</t>
        </is>
      </c>
      <c r="F5451" s="1" t="inlineStr">
        <is>
          <t>HAT</t>
        </is>
      </c>
      <c r="G5451" s="1" t="inlineStr">
        <is>
          <t>GF2000300368FS</t>
        </is>
      </c>
      <c r="H5451" s="1" t="n">
        <v>1</v>
      </c>
      <c r="I5451" s="1" t="inlineStr">
        <is>
          <t>หมด</t>
        </is>
      </c>
      <c r="J5451" s="13" t="n">
        <v>22</v>
      </c>
      <c r="K5451" s="1" t="inlineStr"/>
      <c r="L5451" s="13" t="n"/>
      <c r="M5451" s="1">
        <f>IF(L5451="","ไม่พบใน SG",IF(ABS(J5451-L5451)&lt;0.005,"ตรงกัน","ไม่ตรง"))</f>
        <v/>
      </c>
      <c r="N5451" s="14">
        <f>IF(L5451="","",ROUND(L5451*'สรุป'!$C$6,-1))</f>
        <v/>
      </c>
      <c r="O5451" s="15" t="n"/>
      <c r="P5451" s="15" t="n"/>
      <c r="Q5451" s="10" t="n"/>
      <c r="R5451" s="10" t="n"/>
      <c r="S5451" s="16" t="inlineStr">
        <is>
          <t>https://mstgolf.co.th/products/gf2000300368</t>
        </is>
      </c>
      <c r="T5451" s="1">
        <f>IF(B5451="ไม้กอล์ฟ",J5451,"")</f>
        <v/>
      </c>
    </row>
    <row r="5452">
      <c r="A5452" s="1" t="n">
        <v>3</v>
      </c>
      <c r="B5452" s="1" t="inlineStr">
        <is>
          <t>หมวก</t>
        </is>
      </c>
      <c r="C5452" s="1" t="inlineStr">
        <is>
          <t>gf2000200998</t>
        </is>
      </c>
      <c r="D5452" s="1" t="inlineStr">
        <is>
          <t>ADIDAS Ribbon Women's Visor (Pink)</t>
        </is>
      </c>
      <c r="E5452" s="1" t="inlineStr">
        <is>
          <t>ADIDAS</t>
        </is>
      </c>
      <c r="F5452" s="1" t="inlineStr">
        <is>
          <t>VISOR</t>
        </is>
      </c>
      <c r="G5452" s="1" t="inlineStr">
        <is>
          <t>GF2000200998FS</t>
        </is>
      </c>
      <c r="H5452" s="1" t="n">
        <v>1</v>
      </c>
      <c r="I5452" s="1" t="inlineStr">
        <is>
          <t>หมด</t>
        </is>
      </c>
      <c r="J5452" s="13" t="n">
        <v>22</v>
      </c>
      <c r="K5452" s="1" t="inlineStr"/>
      <c r="L5452" s="13" t="n"/>
      <c r="M5452" s="1">
        <f>IF(L5452="","ไม่พบใน SG",IF(ABS(J5452-L5452)&lt;0.005,"ตรงกัน","ไม่ตรง"))</f>
        <v/>
      </c>
      <c r="N5452" s="14">
        <f>IF(L5452="","",ROUND(L5452*'สรุป'!$C$6,-1))</f>
        <v/>
      </c>
      <c r="O5452" s="15" t="n"/>
      <c r="P5452" s="15" t="n"/>
      <c r="Q5452" s="10" t="n"/>
      <c r="R5452" s="10" t="n"/>
      <c r="S5452" s="16" t="inlineStr">
        <is>
          <t>https://mstgolf.co.th/products/gf2000200998</t>
        </is>
      </c>
      <c r="T5452" s="1">
        <f>IF(B5452="ไม้กอล์ฟ",J5452,"")</f>
        <v/>
      </c>
    </row>
    <row r="5453">
      <c r="A5453" s="1" t="n">
        <v>3</v>
      </c>
      <c r="B5453" s="1" t="inlineStr">
        <is>
          <t>หมวก</t>
        </is>
      </c>
      <c r="C5453" s="1" t="inlineStr">
        <is>
          <t>gf2000200999</t>
        </is>
      </c>
      <c r="D5453" s="1" t="inlineStr">
        <is>
          <t>ADIDAS Ribbon Women's Visor (White)</t>
        </is>
      </c>
      <c r="E5453" s="1" t="inlineStr">
        <is>
          <t>ADIDAS</t>
        </is>
      </c>
      <c r="F5453" s="1" t="inlineStr">
        <is>
          <t>VISOR</t>
        </is>
      </c>
      <c r="G5453" s="1" t="inlineStr">
        <is>
          <t>GF2000200999FS</t>
        </is>
      </c>
      <c r="H5453" s="1" t="n">
        <v>1</v>
      </c>
      <c r="I5453" s="1" t="inlineStr">
        <is>
          <t>หมด</t>
        </is>
      </c>
      <c r="J5453" s="13" t="n">
        <v>22</v>
      </c>
      <c r="K5453" s="1" t="inlineStr"/>
      <c r="L5453" s="13" t="n"/>
      <c r="M5453" s="1">
        <f>IF(L5453="","ไม่พบใน SG",IF(ABS(J5453-L5453)&lt;0.005,"ตรงกัน","ไม่ตรง"))</f>
        <v/>
      </c>
      <c r="N5453" s="14">
        <f>IF(L5453="","",ROUND(L5453*'สรุป'!$C$6,-1))</f>
        <v/>
      </c>
      <c r="O5453" s="15" t="n"/>
      <c r="P5453" s="15" t="n"/>
      <c r="Q5453" s="10" t="n"/>
      <c r="R5453" s="10" t="n"/>
      <c r="S5453" s="16" t="inlineStr">
        <is>
          <t>https://mstgolf.co.th/products/gf2000200999</t>
        </is>
      </c>
      <c r="T5453" s="1">
        <f>IF(B5453="ไม้กอล์ฟ",J5453,"")</f>
        <v/>
      </c>
    </row>
    <row r="5454">
      <c r="A5454" s="1" t="n">
        <v>3</v>
      </c>
      <c r="B5454" s="1" t="inlineStr">
        <is>
          <t>หมวก</t>
        </is>
      </c>
      <c r="C5454" s="1" t="inlineStr">
        <is>
          <t>gf2000106153</t>
        </is>
      </c>
      <c r="D5454" s="1" t="inlineStr">
        <is>
          <t>ADIDAS Tour Men's Cap (Navy)</t>
        </is>
      </c>
      <c r="E5454" s="1" t="inlineStr">
        <is>
          <t>ADIDAS</t>
        </is>
      </c>
      <c r="F5454" s="1" t="inlineStr">
        <is>
          <t>CAP</t>
        </is>
      </c>
      <c r="G5454" s="1" t="inlineStr">
        <is>
          <t>GF2000106153FS</t>
        </is>
      </c>
      <c r="H5454" s="1" t="n">
        <v>1</v>
      </c>
      <c r="I5454" s="1" t="inlineStr">
        <is>
          <t>หมด</t>
        </is>
      </c>
      <c r="J5454" s="13" t="n">
        <v>22</v>
      </c>
      <c r="K5454" s="1" t="inlineStr"/>
      <c r="L5454" s="13" t="n">
        <v>22</v>
      </c>
      <c r="M5454" s="1">
        <f>IF(L5454="","ไม่พบใน SG",IF(ABS(J5454-L5454)&lt;0.005,"ตรงกัน","ไม่ตรง"))</f>
        <v/>
      </c>
      <c r="N5454" s="14">
        <f>IF(L5454="","",ROUND(L5454*'สรุป'!$C$6,-1))</f>
        <v/>
      </c>
      <c r="O5454" s="15" t="n"/>
      <c r="P5454" s="15" t="n"/>
      <c r="Q5454" s="10" t="n"/>
      <c r="R5454" s="10" t="n"/>
      <c r="S5454" s="16" t="inlineStr">
        <is>
          <t>https://mstgolf.co.th/products/gf2000106153</t>
        </is>
      </c>
      <c r="T5454" s="1">
        <f>IF(B5454="ไม้กอล์ฟ",J5454,"")</f>
        <v/>
      </c>
    </row>
    <row r="5455">
      <c r="A5455" s="1" t="n">
        <v>3</v>
      </c>
      <c r="B5455" s="1" t="inlineStr">
        <is>
          <t>หมวก</t>
        </is>
      </c>
      <c r="C5455" s="1" t="inlineStr">
        <is>
          <t>gf2000105893</t>
        </is>
      </c>
      <c r="D5455" s="1" t="inlineStr">
        <is>
          <t>ADIDAS Tour Print Snapback Men's Cap (White)</t>
        </is>
      </c>
      <c r="E5455" s="1" t="inlineStr">
        <is>
          <t>ADIDAS</t>
        </is>
      </c>
      <c r="F5455" s="1" t="inlineStr">
        <is>
          <t>CAP</t>
        </is>
      </c>
      <c r="G5455" s="1" t="inlineStr">
        <is>
          <t>GF2000105893FS</t>
        </is>
      </c>
      <c r="H5455" s="1" t="n">
        <v>1</v>
      </c>
      <c r="I5455" s="1" t="inlineStr">
        <is>
          <t>หมด</t>
        </is>
      </c>
      <c r="J5455" s="13" t="n">
        <v>22</v>
      </c>
      <c r="K5455" s="1" t="inlineStr"/>
      <c r="L5455" s="13" t="n"/>
      <c r="M5455" s="1">
        <f>IF(L5455="","ไม่พบใน SG",IF(ABS(J5455-L5455)&lt;0.005,"ตรงกัน","ไม่ตรง"))</f>
        <v/>
      </c>
      <c r="N5455" s="14">
        <f>IF(L5455="","",ROUND(L5455*'สรุป'!$C$6,-1))</f>
        <v/>
      </c>
      <c r="O5455" s="15" t="n"/>
      <c r="P5455" s="15" t="n"/>
      <c r="Q5455" s="10" t="n"/>
      <c r="R5455" s="10" t="n"/>
      <c r="S5455" s="16" t="inlineStr">
        <is>
          <t>https://mstgolf.co.th/products/gf2000105893</t>
        </is>
      </c>
      <c r="T5455" s="1">
        <f>IF(B5455="ไม้กอล์ฟ",J5455,"")</f>
        <v/>
      </c>
    </row>
    <row r="5456">
      <c r="A5456" s="1" t="n">
        <v>3</v>
      </c>
      <c r="B5456" s="1" t="inlineStr">
        <is>
          <t>อุปกรณ์เสริม</t>
        </is>
      </c>
      <c r="C5456" s="1" t="inlineStr">
        <is>
          <t>gf3500300351</t>
        </is>
      </c>
      <c r="D5456" s="1" t="inlineStr">
        <is>
          <t>CHAMP Zarma Slim-Lok UA Spikes - Disk</t>
        </is>
      </c>
      <c r="E5456" s="1" t="inlineStr">
        <is>
          <t>CHAMP</t>
        </is>
      </c>
      <c r="F5456" s="1" t="inlineStr">
        <is>
          <t>GOLF ACCESSORIES</t>
        </is>
      </c>
      <c r="G5456" s="1" t="inlineStr">
        <is>
          <t>GF3500300351</t>
        </is>
      </c>
      <c r="H5456" s="1" t="n">
        <v>1</v>
      </c>
      <c r="I5456" s="1" t="inlineStr">
        <is>
          <t>หมด</t>
        </is>
      </c>
      <c r="J5456" s="13" t="n">
        <v>21</v>
      </c>
      <c r="K5456" s="1" t="inlineStr"/>
      <c r="L5456" s="13" t="n">
        <v>21</v>
      </c>
      <c r="M5456" s="1">
        <f>IF(L5456="","ไม่พบใน SG",IF(ABS(J5456-L5456)&lt;0.005,"ตรงกัน","ไม่ตรง"))</f>
        <v/>
      </c>
      <c r="N5456" s="14">
        <f>IF(L5456="","",ROUND(L5456*'สรุป'!$C$6,-1))</f>
        <v/>
      </c>
      <c r="O5456" s="15" t="n"/>
      <c r="P5456" s="15" t="n"/>
      <c r="Q5456" s="10" t="n"/>
      <c r="R5456" s="10" t="n"/>
      <c r="S5456" s="16" t="inlineStr">
        <is>
          <t>https://mstgolf.co.th/products/gf3500300351</t>
        </is>
      </c>
      <c r="T5456" s="1">
        <f>IF(B5456="ไม้กอล์ฟ",J5456,"")</f>
        <v/>
      </c>
    </row>
    <row r="5457">
      <c r="A5457" s="1" t="n">
        <v>3</v>
      </c>
      <c r="B5457" s="1" t="inlineStr">
        <is>
          <t>อุปกรณ์เสริม</t>
        </is>
      </c>
      <c r="C5457" s="1" t="inlineStr">
        <is>
          <t>gf2090200236</t>
        </is>
      </c>
      <c r="D5457" s="1" t="inlineStr">
        <is>
          <t>NIKE 3-Pack Low Socks (Multi)</t>
        </is>
      </c>
      <c r="E5457" s="1" t="inlineStr">
        <is>
          <t>NIKE</t>
        </is>
      </c>
      <c r="F5457" s="1" t="inlineStr">
        <is>
          <t>ANKLE SOCKS</t>
        </is>
      </c>
      <c r="G5457" s="1" t="inlineStr">
        <is>
          <t>GF2090200236S</t>
        </is>
      </c>
      <c r="H5457" s="1" t="n">
        <v>4</v>
      </c>
      <c r="I5457" s="1" t="inlineStr">
        <is>
          <t>หมด</t>
        </is>
      </c>
      <c r="J5457" s="13" t="n">
        <v>21</v>
      </c>
      <c r="K5457" s="1" t="inlineStr"/>
      <c r="L5457" s="13" t="n">
        <v>21</v>
      </c>
      <c r="M5457" s="1">
        <f>IF(L5457="","ไม่พบใน SG",IF(ABS(J5457-L5457)&lt;0.005,"ตรงกัน","ไม่ตรง"))</f>
        <v/>
      </c>
      <c r="N5457" s="14">
        <f>IF(L5457="","",ROUND(L5457*'สรุป'!$C$6,-1))</f>
        <v/>
      </c>
      <c r="O5457" s="15" t="n"/>
      <c r="P5457" s="15" t="n"/>
      <c r="Q5457" s="10" t="n"/>
      <c r="R5457" s="10" t="n"/>
      <c r="S5457" s="16" t="inlineStr">
        <is>
          <t>https://mstgolf.co.th/products/gf2090200236</t>
        </is>
      </c>
      <c r="T5457" s="1">
        <f>IF(B5457="ไม้กอล์ฟ",J5457,"")</f>
        <v/>
      </c>
    </row>
    <row r="5458">
      <c r="A5458" s="1" t="n">
        <v>3</v>
      </c>
      <c r="B5458" s="1" t="inlineStr">
        <is>
          <t>อุปกรณ์เสริม</t>
        </is>
      </c>
      <c r="C5458" s="1" t="inlineStr">
        <is>
          <t>gf3500400224</t>
        </is>
      </c>
      <c r="D5458" s="1" t="inlineStr">
        <is>
          <t>TAYLORMADE Cap Ball Marker (Navy/Red)</t>
        </is>
      </c>
      <c r="E5458" s="1" t="inlineStr">
        <is>
          <t>TAYLORMADE</t>
        </is>
      </c>
      <c r="F5458" s="1" t="inlineStr">
        <is>
          <t>MARKERS &amp; DIVOTS</t>
        </is>
      </c>
      <c r="G5458" s="1" t="inlineStr">
        <is>
          <t>GF3500400224</t>
        </is>
      </c>
      <c r="H5458" s="1" t="n">
        <v>1</v>
      </c>
      <c r="I5458" s="1" t="inlineStr">
        <is>
          <t>หมด</t>
        </is>
      </c>
      <c r="J5458" s="13" t="n">
        <v>21</v>
      </c>
      <c r="K5458" s="1" t="inlineStr"/>
      <c r="L5458" s="13" t="n">
        <v>21</v>
      </c>
      <c r="M5458" s="1">
        <f>IF(L5458="","ไม่พบใน SG",IF(ABS(J5458-L5458)&lt;0.005,"ตรงกัน","ไม่ตรง"))</f>
        <v/>
      </c>
      <c r="N5458" s="14">
        <f>IF(L5458="","",ROUND(L5458*'สรุป'!$C$6,-1))</f>
        <v/>
      </c>
      <c r="O5458" s="15" t="n"/>
      <c r="P5458" s="15" t="n"/>
      <c r="Q5458" s="10" t="n"/>
      <c r="R5458" s="10" t="n"/>
      <c r="S5458" s="16" t="inlineStr">
        <is>
          <t>https://mstgolf.co.th/products/gf3500400224</t>
        </is>
      </c>
      <c r="T5458" s="1">
        <f>IF(B5458="ไม้กอล์ฟ",J5458,"")</f>
        <v/>
      </c>
    </row>
    <row r="5459">
      <c r="A5459" s="1" t="n">
        <v>3</v>
      </c>
      <c r="B5459" s="1" t="inlineStr">
        <is>
          <t>หมวก</t>
        </is>
      </c>
      <c r="C5459" s="1" t="inlineStr">
        <is>
          <t>gf2000200958</t>
        </is>
      </c>
      <c r="D5459" s="1" t="inlineStr">
        <is>
          <t>UNDER ARMOUR Blitzing Women's Visor (Black/White)</t>
        </is>
      </c>
      <c r="E5459" s="1" t="inlineStr">
        <is>
          <t>UNDER ARMOUR</t>
        </is>
      </c>
      <c r="F5459" s="1" t="inlineStr">
        <is>
          <t>VISOR</t>
        </is>
      </c>
      <c r="G5459" s="1" t="inlineStr">
        <is>
          <t>GF2000200958FS</t>
        </is>
      </c>
      <c r="H5459" s="1" t="n">
        <v>1</v>
      </c>
      <c r="I5459" s="1" t="inlineStr">
        <is>
          <t>หมด</t>
        </is>
      </c>
      <c r="J5459" s="13" t="n">
        <v>21</v>
      </c>
      <c r="K5459" s="1" t="inlineStr"/>
      <c r="L5459" s="13" t="n">
        <v>21</v>
      </c>
      <c r="M5459" s="1">
        <f>IF(L5459="","ไม่พบใน SG",IF(ABS(J5459-L5459)&lt;0.005,"ตรงกัน","ไม่ตรง"))</f>
        <v/>
      </c>
      <c r="N5459" s="14">
        <f>IF(L5459="","",ROUND(L5459*'สรุป'!$C$6,-1))</f>
        <v/>
      </c>
      <c r="O5459" s="15" t="n"/>
      <c r="P5459" s="15" t="n"/>
      <c r="Q5459" s="10" t="n"/>
      <c r="R5459" s="10" t="n"/>
      <c r="S5459" s="16" t="inlineStr">
        <is>
          <t>https://mstgolf.co.th/products/gf2000200958</t>
        </is>
      </c>
      <c r="T5459" s="1">
        <f>IF(B5459="ไม้กอล์ฟ",J5459,"")</f>
        <v/>
      </c>
    </row>
    <row r="5460">
      <c r="A5460" s="1" t="n">
        <v>3</v>
      </c>
      <c r="B5460" s="1" t="inlineStr">
        <is>
          <t>หมวก</t>
        </is>
      </c>
      <c r="C5460" s="1" t="inlineStr">
        <is>
          <t>gf2000200959</t>
        </is>
      </c>
      <c r="D5460" s="1" t="inlineStr">
        <is>
          <t>UNDER ARMOUR Blitzing Women's Visor (White/Grey)</t>
        </is>
      </c>
      <c r="E5460" s="1" t="inlineStr">
        <is>
          <t>UNDER ARMOUR</t>
        </is>
      </c>
      <c r="F5460" s="1" t="inlineStr">
        <is>
          <t>VISOR</t>
        </is>
      </c>
      <c r="G5460" s="1" t="inlineStr">
        <is>
          <t>GF2000200959FS</t>
        </is>
      </c>
      <c r="H5460" s="1" t="n">
        <v>1</v>
      </c>
      <c r="I5460" s="1" t="inlineStr">
        <is>
          <t>หมด</t>
        </is>
      </c>
      <c r="J5460" s="13" t="n">
        <v>21</v>
      </c>
      <c r="K5460" s="1" t="inlineStr"/>
      <c r="L5460" s="13" t="n">
        <v>21</v>
      </c>
      <c r="M5460" s="1">
        <f>IF(L5460="","ไม่พบใน SG",IF(ABS(J5460-L5460)&lt;0.005,"ตรงกัน","ไม่ตรง"))</f>
        <v/>
      </c>
      <c r="N5460" s="14">
        <f>IF(L5460="","",ROUND(L5460*'สรุป'!$C$6,-1))</f>
        <v/>
      </c>
      <c r="O5460" s="15" t="n"/>
      <c r="P5460" s="15" t="n"/>
      <c r="Q5460" s="10" t="n"/>
      <c r="R5460" s="10" t="n"/>
      <c r="S5460" s="16" t="inlineStr">
        <is>
          <t>https://mstgolf.co.th/products/gf2000200959</t>
        </is>
      </c>
      <c r="T5460" s="1">
        <f>IF(B5460="ไม้กอล์ฟ",J5460,"")</f>
        <v/>
      </c>
    </row>
    <row r="5461">
      <c r="A5461" s="1" t="n">
        <v>3</v>
      </c>
      <c r="B5461" s="1" t="inlineStr">
        <is>
          <t>เสื้อผ้า</t>
        </is>
      </c>
      <c r="C5461" s="1" t="inlineStr">
        <is>
          <t>gf2090700093</t>
        </is>
      </c>
      <c r="D5461" s="1" t="inlineStr">
        <is>
          <t>ADIDAS 3-Stripes Knee Women's Socks (White/Coral)</t>
        </is>
      </c>
      <c r="E5461" s="1" t="inlineStr">
        <is>
          <t>ADIDAS</t>
        </is>
      </c>
      <c r="F5461" s="1" t="inlineStr">
        <is>
          <t>KNEE</t>
        </is>
      </c>
      <c r="G5461" s="1" t="inlineStr">
        <is>
          <t>GF2090700093S</t>
        </is>
      </c>
      <c r="H5461" s="1" t="n">
        <v>2</v>
      </c>
      <c r="I5461" s="1" t="inlineStr">
        <is>
          <t>หมด</t>
        </is>
      </c>
      <c r="J5461" s="13" t="n">
        <v>20</v>
      </c>
      <c r="K5461" s="1" t="inlineStr"/>
      <c r="L5461" s="13" t="n">
        <v>10</v>
      </c>
      <c r="M5461" s="1">
        <f>IF(L5461="","ไม่พบใน SG",IF(ABS(J5461-L5461)&lt;0.005,"ตรงกัน","ไม่ตรง"))</f>
        <v/>
      </c>
      <c r="N5461" s="14">
        <f>IF(L5461="","",ROUND(L5461*'สรุป'!$C$6,-1))</f>
        <v/>
      </c>
      <c r="O5461" s="15" t="n"/>
      <c r="P5461" s="15" t="n"/>
      <c r="Q5461" s="10" t="n"/>
      <c r="R5461" s="10" t="n"/>
      <c r="S5461" s="16" t="inlineStr">
        <is>
          <t>https://mstgolf.co.th/products/gf2090700093</t>
        </is>
      </c>
      <c r="T5461" s="1">
        <f>IF(B5461="ไม้กอล์ฟ",J5461,"")</f>
        <v/>
      </c>
    </row>
    <row r="5462">
      <c r="A5462" s="1" t="n">
        <v>3</v>
      </c>
      <c r="B5462" s="1" t="inlineStr">
        <is>
          <t>อุปกรณ์เสริม</t>
        </is>
      </c>
      <c r="C5462" s="1" t="inlineStr">
        <is>
          <t>gf2090200165</t>
        </is>
      </c>
      <c r="D5462" s="1" t="inlineStr">
        <is>
          <t>FOOTJOY ComfortSof 3-Pack Ankle Socks (White)</t>
        </is>
      </c>
      <c r="E5462" s="1" t="inlineStr">
        <is>
          <t>FOOTJOY</t>
        </is>
      </c>
      <c r="F5462" s="1" t="inlineStr">
        <is>
          <t>ANKLE SOCKS</t>
        </is>
      </c>
      <c r="G5462" s="1" t="inlineStr">
        <is>
          <t>GF2090200165</t>
        </is>
      </c>
      <c r="H5462" s="1" t="n">
        <v>1</v>
      </c>
      <c r="I5462" s="1" t="inlineStr">
        <is>
          <t>หมด</t>
        </is>
      </c>
      <c r="J5462" s="13" t="n">
        <v>19.9</v>
      </c>
      <c r="K5462" s="1" t="inlineStr"/>
      <c r="L5462" s="13" t="n">
        <v>19.9</v>
      </c>
      <c r="M5462" s="1">
        <f>IF(L5462="","ไม่พบใน SG",IF(ABS(J5462-L5462)&lt;0.005,"ตรงกัน","ไม่ตรง"))</f>
        <v/>
      </c>
      <c r="N5462" s="14">
        <f>IF(L5462="","",ROUND(L5462*'สรุป'!$C$6,-1))</f>
        <v/>
      </c>
      <c r="O5462" s="15" t="n"/>
      <c r="P5462" s="15" t="n"/>
      <c r="Q5462" s="10" t="n"/>
      <c r="R5462" s="10" t="n"/>
      <c r="S5462" s="16" t="inlineStr">
        <is>
          <t>https://mstgolf.co.th/products/gf2090200165</t>
        </is>
      </c>
      <c r="T5462" s="1">
        <f>IF(B5462="ไม้กอล์ฟ",J5462,"")</f>
        <v/>
      </c>
    </row>
    <row r="5463">
      <c r="A5463" s="1" t="n">
        <v>3</v>
      </c>
      <c r="B5463" s="1" t="inlineStr">
        <is>
          <t>อุปกรณ์เสริม</t>
        </is>
      </c>
      <c r="C5463" s="1" t="inlineStr">
        <is>
          <t>gf2090200210</t>
        </is>
      </c>
      <c r="D5463" s="1" t="inlineStr">
        <is>
          <t>ADIDAS 3-Pack Men's Ankle Socks (White)</t>
        </is>
      </c>
      <c r="E5463" s="1" t="inlineStr">
        <is>
          <t>ADIDAS</t>
        </is>
      </c>
      <c r="F5463" s="1" t="inlineStr">
        <is>
          <t>ANKLE SOCKS</t>
        </is>
      </c>
      <c r="G5463" s="1" t="inlineStr">
        <is>
          <t>GF209020021025-27</t>
        </is>
      </c>
      <c r="H5463" s="1" t="n">
        <v>2</v>
      </c>
      <c r="I5463" s="1" t="inlineStr">
        <is>
          <t>หมด</t>
        </is>
      </c>
      <c r="J5463" s="13" t="n">
        <v>19</v>
      </c>
      <c r="K5463" s="1" t="inlineStr"/>
      <c r="L5463" s="13" t="n"/>
      <c r="M5463" s="1">
        <f>IF(L5463="","ไม่พบใน SG",IF(ABS(J5463-L5463)&lt;0.005,"ตรงกัน","ไม่ตรง"))</f>
        <v/>
      </c>
      <c r="N5463" s="14">
        <f>IF(L5463="","",ROUND(L5463*'สรุป'!$C$6,-1))</f>
        <v/>
      </c>
      <c r="O5463" s="15" t="n"/>
      <c r="P5463" s="15" t="n"/>
      <c r="Q5463" s="10" t="n"/>
      <c r="R5463" s="10" t="n"/>
      <c r="S5463" s="16" t="inlineStr">
        <is>
          <t>https://mstgolf.co.th/products/gf2090200210</t>
        </is>
      </c>
      <c r="T5463" s="1">
        <f>IF(B5463="ไม้กอล์ฟ",J5463,"")</f>
        <v/>
      </c>
    </row>
    <row r="5464">
      <c r="A5464" s="1" t="n">
        <v>3</v>
      </c>
      <c r="B5464" s="1" t="inlineStr">
        <is>
          <t>หมวก</t>
        </is>
      </c>
      <c r="C5464" s="1" t="inlineStr">
        <is>
          <t>gf2000106175</t>
        </is>
      </c>
      <c r="D5464" s="1" t="inlineStr">
        <is>
          <t>ADIDAS Women's Crisscross Cap (White)</t>
        </is>
      </c>
      <c r="E5464" s="1" t="inlineStr">
        <is>
          <t>ADIDAS</t>
        </is>
      </c>
      <c r="F5464" s="1" t="inlineStr">
        <is>
          <t>CAP</t>
        </is>
      </c>
      <c r="G5464" s="1" t="inlineStr">
        <is>
          <t>GF2000106175FS</t>
        </is>
      </c>
      <c r="H5464" s="1" t="n">
        <v>1</v>
      </c>
      <c r="I5464" s="1" t="inlineStr">
        <is>
          <t>หมด</t>
        </is>
      </c>
      <c r="J5464" s="13" t="n">
        <v>19</v>
      </c>
      <c r="K5464" s="1" t="inlineStr"/>
      <c r="L5464" s="13" t="n">
        <v>19</v>
      </c>
      <c r="M5464" s="1">
        <f>IF(L5464="","ไม่พบใน SG",IF(ABS(J5464-L5464)&lt;0.005,"ตรงกัน","ไม่ตรง"))</f>
        <v/>
      </c>
      <c r="N5464" s="14">
        <f>IF(L5464="","",ROUND(L5464*'สรุป'!$C$6,-1))</f>
        <v/>
      </c>
      <c r="O5464" s="15" t="n"/>
      <c r="P5464" s="15" t="n"/>
      <c r="Q5464" s="10" t="n"/>
      <c r="R5464" s="10" t="n"/>
      <c r="S5464" s="16" t="inlineStr">
        <is>
          <t>https://mstgolf.co.th/products/gf2000106175</t>
        </is>
      </c>
      <c r="T5464" s="1">
        <f>IF(B5464="ไม้กอล์ฟ",J5464,"")</f>
        <v/>
      </c>
    </row>
    <row r="5465">
      <c r="A5465" s="1" t="n">
        <v>3</v>
      </c>
      <c r="B5465" s="1" t="inlineStr">
        <is>
          <t>อุปกรณ์เสริม</t>
        </is>
      </c>
      <c r="C5465" s="1" t="inlineStr">
        <is>
          <t>gf2100200694</t>
        </is>
      </c>
      <c r="D5465" s="1" t="inlineStr">
        <is>
          <t>CUTTER &amp; BUCK Waffle Weave Microfiber Towel (Blue/Green)</t>
        </is>
      </c>
      <c r="E5465" s="1" t="inlineStr">
        <is>
          <t>CUTTER &amp; BUCK</t>
        </is>
      </c>
      <c r="F5465" s="1" t="inlineStr">
        <is>
          <t>HAND/CLUB TOWEL</t>
        </is>
      </c>
      <c r="G5465" s="1" t="inlineStr">
        <is>
          <t>GF2100200694</t>
        </is>
      </c>
      <c r="H5465" s="1" t="n">
        <v>1</v>
      </c>
      <c r="I5465" s="1" t="inlineStr">
        <is>
          <t>หมด</t>
        </is>
      </c>
      <c r="J5465" s="13" t="n">
        <v>19</v>
      </c>
      <c r="K5465" s="1" t="inlineStr"/>
      <c r="L5465" s="13" t="n">
        <v>19</v>
      </c>
      <c r="M5465" s="1">
        <f>IF(L5465="","ไม่พบใน SG",IF(ABS(J5465-L5465)&lt;0.005,"ตรงกัน","ไม่ตรง"))</f>
        <v/>
      </c>
      <c r="N5465" s="14">
        <f>IF(L5465="","",ROUND(L5465*'สรุป'!$C$6,-1))</f>
        <v/>
      </c>
      <c r="O5465" s="15" t="n"/>
      <c r="P5465" s="15" t="n"/>
      <c r="Q5465" s="10" t="n"/>
      <c r="R5465" s="10" t="n"/>
      <c r="S5465" s="16" t="inlineStr">
        <is>
          <t>https://mstgolf.co.th/products/gf2100200694</t>
        </is>
      </c>
      <c r="T5465" s="1">
        <f>IF(B5465="ไม้กอล์ฟ",J5465,"")</f>
        <v/>
      </c>
    </row>
    <row r="5466">
      <c r="A5466" s="1" t="n">
        <v>3</v>
      </c>
      <c r="B5466" s="1" t="inlineStr">
        <is>
          <t>อุปกรณ์เสริม</t>
        </is>
      </c>
      <c r="C5466" s="1" t="inlineStr">
        <is>
          <t>gf3080100066</t>
        </is>
      </c>
      <c r="D5466" s="1" t="inlineStr">
        <is>
          <t>GENERAL ITEM Sunplay Sport SPF120 Sunscreen (80g)</t>
        </is>
      </c>
      <c r="E5466" s="1" t="inlineStr">
        <is>
          <t>GENERAL ITEM</t>
        </is>
      </c>
      <c r="F5466" s="1" t="inlineStr">
        <is>
          <t>SUNBLOCK &amp; SUNTAN</t>
        </is>
      </c>
      <c r="G5466" s="1" t="inlineStr">
        <is>
          <t>GF3080100066</t>
        </is>
      </c>
      <c r="H5466" s="1" t="n">
        <v>1</v>
      </c>
      <c r="I5466" s="1" t="inlineStr">
        <is>
          <t>หมด</t>
        </is>
      </c>
      <c r="J5466" s="13" t="n">
        <v>19</v>
      </c>
      <c r="K5466" s="1" t="inlineStr"/>
      <c r="L5466" s="13" t="n">
        <v>19</v>
      </c>
      <c r="M5466" s="1">
        <f>IF(L5466="","ไม่พบใน SG",IF(ABS(J5466-L5466)&lt;0.005,"ตรงกัน","ไม่ตรง"))</f>
        <v/>
      </c>
      <c r="N5466" s="14">
        <f>IF(L5466="","",ROUND(L5466*'สรุป'!$C$6,-1))</f>
        <v/>
      </c>
      <c r="O5466" s="15" t="n"/>
      <c r="P5466" s="15" t="n"/>
      <c r="Q5466" s="10" t="n"/>
      <c r="R5466" s="10" t="n"/>
      <c r="S5466" s="16" t="inlineStr">
        <is>
          <t>https://mstgolf.co.th/products/gf3080100066</t>
        </is>
      </c>
      <c r="T5466" s="1">
        <f>IF(B5466="ไม้กอล์ฟ",J5466,"")</f>
        <v/>
      </c>
    </row>
    <row r="5467">
      <c r="A5467" s="1" t="n">
        <v>3</v>
      </c>
      <c r="B5467" s="1" t="inlineStr">
        <is>
          <t>อุปกรณ์เสริม</t>
        </is>
      </c>
      <c r="C5467" s="1" t="inlineStr">
        <is>
          <t>gf2090200167</t>
        </is>
      </c>
      <c r="D5467" s="1" t="inlineStr">
        <is>
          <t>GFORE Ombre Stripe Men's Ankle Socks (Twilight)</t>
        </is>
      </c>
      <c r="E5467" s="1" t="inlineStr">
        <is>
          <t>GFORE</t>
        </is>
      </c>
      <c r="F5467" s="1" t="inlineStr">
        <is>
          <t>ANKLE SOCKS</t>
        </is>
      </c>
      <c r="G5467" s="1" t="inlineStr">
        <is>
          <t>GF2090200167M/L</t>
        </is>
      </c>
      <c r="H5467" s="1" t="n">
        <v>2</v>
      </c>
      <c r="I5467" s="1" t="inlineStr">
        <is>
          <t>หมด</t>
        </is>
      </c>
      <c r="J5467" s="13" t="n">
        <v>19</v>
      </c>
      <c r="K5467" s="1" t="inlineStr"/>
      <c r="L5467" s="13" t="n"/>
      <c r="M5467" s="1">
        <f>IF(L5467="","ไม่พบใน SG",IF(ABS(J5467-L5467)&lt;0.005,"ตรงกัน","ไม่ตรง"))</f>
        <v/>
      </c>
      <c r="N5467" s="14">
        <f>IF(L5467="","",ROUND(L5467*'สรุป'!$C$6,-1))</f>
        <v/>
      </c>
      <c r="O5467" s="15" t="n"/>
      <c r="P5467" s="15" t="n"/>
      <c r="Q5467" s="10" t="n"/>
      <c r="R5467" s="10" t="n"/>
      <c r="S5467" s="16" t="inlineStr">
        <is>
          <t>https://mstgolf.co.th/products/gf2090200167</t>
        </is>
      </c>
      <c r="T5467" s="1">
        <f>IF(B5467="ไม้กอล์ฟ",J5467,"")</f>
        <v/>
      </c>
    </row>
    <row r="5468">
      <c r="A5468" s="1" t="n">
        <v>3</v>
      </c>
      <c r="B5468" s="1" t="inlineStr">
        <is>
          <t>อุปกรณ์เสริม</t>
        </is>
      </c>
      <c r="C5468" s="1" t="inlineStr">
        <is>
          <t>gf2090100665</t>
        </is>
      </c>
      <c r="D5468" s="1" t="inlineStr">
        <is>
          <t>GFORE Two Tone Men's No-Show Socks (Onyx/Snow)</t>
        </is>
      </c>
      <c r="E5468" s="1" t="inlineStr">
        <is>
          <t>GFORE</t>
        </is>
      </c>
      <c r="F5468" s="1" t="inlineStr">
        <is>
          <t>NO SHOW SOCKS</t>
        </is>
      </c>
      <c r="G5468" s="1" t="inlineStr">
        <is>
          <t>GF2090100665S/M</t>
        </is>
      </c>
      <c r="H5468" s="1" t="n">
        <v>3</v>
      </c>
      <c r="I5468" s="1" t="inlineStr">
        <is>
          <t>หมด</t>
        </is>
      </c>
      <c r="J5468" s="13" t="n">
        <v>19</v>
      </c>
      <c r="K5468" s="1" t="inlineStr"/>
      <c r="L5468" s="13" t="n"/>
      <c r="M5468" s="1">
        <f>IF(L5468="","ไม่พบใน SG",IF(ABS(J5468-L5468)&lt;0.005,"ตรงกัน","ไม่ตรง"))</f>
        <v/>
      </c>
      <c r="N5468" s="14">
        <f>IF(L5468="","",ROUND(L5468*'สรุป'!$C$6,-1))</f>
        <v/>
      </c>
      <c r="O5468" s="15" t="n"/>
      <c r="P5468" s="15" t="n"/>
      <c r="Q5468" s="10" t="n"/>
      <c r="R5468" s="10" t="n"/>
      <c r="S5468" s="16" t="inlineStr">
        <is>
          <t>https://mstgolf.co.th/products/gf2090100665</t>
        </is>
      </c>
      <c r="T5468" s="1">
        <f>IF(B5468="ไม้กอล์ฟ",J5468,"")</f>
        <v/>
      </c>
    </row>
    <row r="5469">
      <c r="A5469" s="1" t="n">
        <v>3</v>
      </c>
      <c r="B5469" s="1" t="inlineStr">
        <is>
          <t>อุปกรณ์เสริม</t>
        </is>
      </c>
      <c r="C5469" s="1" t="inlineStr">
        <is>
          <t>gf2090100663</t>
        </is>
      </c>
      <c r="D5469" s="1" t="inlineStr">
        <is>
          <t>GFORE Two Tone No-Show Women's Socks (Baja/Ven)</t>
        </is>
      </c>
      <c r="E5469" s="1" t="inlineStr">
        <is>
          <t>GFORE</t>
        </is>
      </c>
      <c r="F5469" s="1" t="inlineStr">
        <is>
          <t>NO SHOW SOCKS</t>
        </is>
      </c>
      <c r="G5469" s="1" t="inlineStr">
        <is>
          <t>GF2090100663XS/S</t>
        </is>
      </c>
      <c r="H5469" s="1" t="n">
        <v>4</v>
      </c>
      <c r="I5469" s="1" t="inlineStr">
        <is>
          <t>หมด</t>
        </is>
      </c>
      <c r="J5469" s="13" t="n">
        <v>19</v>
      </c>
      <c r="K5469" s="1" t="inlineStr"/>
      <c r="L5469" s="13" t="n"/>
      <c r="M5469" s="1">
        <f>IF(L5469="","ไม่พบใน SG",IF(ABS(J5469-L5469)&lt;0.005,"ตรงกัน","ไม่ตรง"))</f>
        <v/>
      </c>
      <c r="N5469" s="14">
        <f>IF(L5469="","",ROUND(L5469*'สรุป'!$C$6,-1))</f>
        <v/>
      </c>
      <c r="O5469" s="15" t="n"/>
      <c r="P5469" s="15" t="n"/>
      <c r="Q5469" s="10" t="n"/>
      <c r="R5469" s="10" t="n"/>
      <c r="S5469" s="16" t="inlineStr">
        <is>
          <t>https://mstgolf.co.th/products/gf2090100663</t>
        </is>
      </c>
      <c r="T5469" s="1">
        <f>IF(B5469="ไม้กอล์ฟ",J5469,"")</f>
        <v/>
      </c>
    </row>
    <row r="5470">
      <c r="A5470" s="1" t="n">
        <v>3</v>
      </c>
      <c r="B5470" s="1" t="inlineStr">
        <is>
          <t>อุปกรณ์เสริม</t>
        </is>
      </c>
      <c r="C5470" s="1" t="inlineStr">
        <is>
          <t>gf2090100662</t>
        </is>
      </c>
      <c r="D5470" s="1" t="inlineStr">
        <is>
          <t>GFORE Two Tone No-Show Women's Socks (Pink/Poppy)</t>
        </is>
      </c>
      <c r="E5470" s="1" t="inlineStr">
        <is>
          <t>GFORE</t>
        </is>
      </c>
      <c r="F5470" s="1" t="inlineStr">
        <is>
          <t>NO SHOW SOCKS</t>
        </is>
      </c>
      <c r="G5470" s="1" t="inlineStr">
        <is>
          <t>GF2090100662XS/S</t>
        </is>
      </c>
      <c r="H5470" s="1" t="n">
        <v>4</v>
      </c>
      <c r="I5470" s="1" t="inlineStr">
        <is>
          <t>หมด</t>
        </is>
      </c>
      <c r="J5470" s="13" t="n">
        <v>19</v>
      </c>
      <c r="K5470" s="1" t="inlineStr"/>
      <c r="L5470" s="13" t="n"/>
      <c r="M5470" s="1">
        <f>IF(L5470="","ไม่พบใน SG",IF(ABS(J5470-L5470)&lt;0.005,"ตรงกัน","ไม่ตรง"))</f>
        <v/>
      </c>
      <c r="N5470" s="14">
        <f>IF(L5470="","",ROUND(L5470*'สรุป'!$C$6,-1))</f>
        <v/>
      </c>
      <c r="O5470" s="15" t="n"/>
      <c r="P5470" s="15" t="n"/>
      <c r="Q5470" s="10" t="n"/>
      <c r="R5470" s="10" t="n"/>
      <c r="S5470" s="16" t="inlineStr">
        <is>
          <t>https://mstgolf.co.th/products/gf2090100662</t>
        </is>
      </c>
      <c r="T5470" s="1">
        <f>IF(B5470="ไม้กอล์ฟ",J5470,"")</f>
        <v/>
      </c>
    </row>
    <row r="5471">
      <c r="A5471" s="1" t="n">
        <v>3</v>
      </c>
      <c r="B5471" s="1" t="inlineStr">
        <is>
          <t>อุปกรณ์เสริม</t>
        </is>
      </c>
      <c r="C5471" s="1" t="inlineStr">
        <is>
          <t>gf2090100631</t>
        </is>
      </c>
      <c r="D5471" s="1" t="inlineStr">
        <is>
          <t>GFORE Two Tone Women's No-Show Socks (Lotus)</t>
        </is>
      </c>
      <c r="E5471" s="1" t="inlineStr">
        <is>
          <t>GFORE</t>
        </is>
      </c>
      <c r="F5471" s="1" t="inlineStr">
        <is>
          <t>NO SHOW SOCKS</t>
        </is>
      </c>
      <c r="G5471" s="1" t="inlineStr">
        <is>
          <t>GF2090100631S/M</t>
        </is>
      </c>
      <c r="H5471" s="1" t="n">
        <v>3</v>
      </c>
      <c r="I5471" s="1" t="inlineStr">
        <is>
          <t>หมด</t>
        </is>
      </c>
      <c r="J5471" s="13" t="n">
        <v>19</v>
      </c>
      <c r="K5471" s="1" t="inlineStr"/>
      <c r="L5471" s="13" t="n"/>
      <c r="M5471" s="1">
        <f>IF(L5471="","ไม่พบใน SG",IF(ABS(J5471-L5471)&lt;0.005,"ตรงกัน","ไม่ตรง"))</f>
        <v/>
      </c>
      <c r="N5471" s="14">
        <f>IF(L5471="","",ROUND(L5471*'สรุป'!$C$6,-1))</f>
        <v/>
      </c>
      <c r="O5471" s="15" t="n"/>
      <c r="P5471" s="15" t="n"/>
      <c r="Q5471" s="10" t="n"/>
      <c r="R5471" s="10" t="n"/>
      <c r="S5471" s="16" t="inlineStr">
        <is>
          <t>https://mstgolf.co.th/products/gf2090100631</t>
        </is>
      </c>
      <c r="T5471" s="1">
        <f>IF(B5471="ไม้กอล์ฟ",J5471,"")</f>
        <v/>
      </c>
    </row>
    <row r="5472">
      <c r="A5472" s="1" t="n">
        <v>3</v>
      </c>
      <c r="B5472" s="1" t="inlineStr">
        <is>
          <t>หมวก</t>
        </is>
      </c>
      <c r="C5472" s="1" t="inlineStr">
        <is>
          <t>gf2000106505</t>
        </is>
      </c>
      <c r="D5472" s="1" t="inlineStr">
        <is>
          <t>LE COQ SPORTIF GOLF Golfers Men's Cap (Snow)</t>
        </is>
      </c>
      <c r="E5472" s="1" t="inlineStr">
        <is>
          <t>LE COQ SPORTIF GOLF</t>
        </is>
      </c>
      <c r="F5472" s="1" t="inlineStr">
        <is>
          <t>CAP</t>
        </is>
      </c>
      <c r="G5472" s="1" t="inlineStr">
        <is>
          <t>GF2000106505FS</t>
        </is>
      </c>
      <c r="H5472" s="1" t="n">
        <v>1</v>
      </c>
      <c r="I5472" s="1" t="inlineStr">
        <is>
          <t>หมด</t>
        </is>
      </c>
      <c r="J5472" s="13" t="n">
        <v>19</v>
      </c>
      <c r="K5472" s="1" t="inlineStr"/>
      <c r="L5472" s="13" t="n">
        <v>19</v>
      </c>
      <c r="M5472" s="1">
        <f>IF(L5472="","ไม่พบใน SG",IF(ABS(J5472-L5472)&lt;0.005,"ตรงกัน","ไม่ตรง"))</f>
        <v/>
      </c>
      <c r="N5472" s="14">
        <f>IF(L5472="","",ROUND(L5472*'สรุป'!$C$6,-1))</f>
        <v/>
      </c>
      <c r="O5472" s="15" t="n"/>
      <c r="P5472" s="15" t="n"/>
      <c r="Q5472" s="10" t="n"/>
      <c r="R5472" s="10" t="n"/>
      <c r="S5472" s="16" t="inlineStr">
        <is>
          <t>https://mstgolf.co.th/products/gf2000106505</t>
        </is>
      </c>
      <c r="T5472" s="1">
        <f>IF(B5472="ไม้กอล์ฟ",J5472,"")</f>
        <v/>
      </c>
    </row>
    <row r="5473">
      <c r="A5473" s="1" t="n">
        <v>3</v>
      </c>
      <c r="B5473" s="1" t="inlineStr">
        <is>
          <t>หมวก</t>
        </is>
      </c>
      <c r="C5473" s="1" t="inlineStr">
        <is>
          <t>gf2000104665</t>
        </is>
      </c>
      <c r="D5473" s="1" t="inlineStr">
        <is>
          <t>LE COQ SPORTIF GOLF Markers Men's Cap (Navy)</t>
        </is>
      </c>
      <c r="E5473" s="1" t="inlineStr">
        <is>
          <t>LE COQ SPORTIF GOLF</t>
        </is>
      </c>
      <c r="F5473" s="1" t="inlineStr">
        <is>
          <t>CAP</t>
        </is>
      </c>
      <c r="G5473" s="1" t="inlineStr">
        <is>
          <t>GF2000104665FS</t>
        </is>
      </c>
      <c r="H5473" s="1" t="n">
        <v>1</v>
      </c>
      <c r="I5473" s="1" t="inlineStr">
        <is>
          <t>หมด</t>
        </is>
      </c>
      <c r="J5473" s="13" t="n">
        <v>19</v>
      </c>
      <c r="K5473" s="1" t="inlineStr"/>
      <c r="L5473" s="13" t="n">
        <v>19</v>
      </c>
      <c r="M5473" s="1">
        <f>IF(L5473="","ไม่พบใน SG",IF(ABS(J5473-L5473)&lt;0.005,"ตรงกัน","ไม่ตรง"))</f>
        <v/>
      </c>
      <c r="N5473" s="14">
        <f>IF(L5473="","",ROUND(L5473*'สรุป'!$C$6,-1))</f>
        <v/>
      </c>
      <c r="O5473" s="15" t="n"/>
      <c r="P5473" s="15" t="n"/>
      <c r="Q5473" s="10" t="n"/>
      <c r="R5473" s="10" t="n"/>
      <c r="S5473" s="16" t="inlineStr">
        <is>
          <t>https://mstgolf.co.th/products/gf2000104665</t>
        </is>
      </c>
      <c r="T5473" s="1">
        <f>IF(B5473="ไม้กอล์ฟ",J5473,"")</f>
        <v/>
      </c>
    </row>
    <row r="5474">
      <c r="A5474" s="1" t="n">
        <v>3</v>
      </c>
      <c r="B5474" s="1" t="inlineStr">
        <is>
          <t>อุปกรณ์เสริม</t>
        </is>
      </c>
      <c r="C5474" s="1" t="inlineStr">
        <is>
          <t>gf3500300651</t>
        </is>
      </c>
      <c r="D5474" s="1" t="inlineStr">
        <is>
          <t>MIZUNO Enjoy Sports Sweeper (White)</t>
        </is>
      </c>
      <c r="E5474" s="1" t="inlineStr">
        <is>
          <t>MIZUNO</t>
        </is>
      </c>
      <c r="F5474" s="1" t="inlineStr">
        <is>
          <t>GOLF ACCESSORIES</t>
        </is>
      </c>
      <c r="G5474" s="1" t="inlineStr">
        <is>
          <t>GF3500300651</t>
        </is>
      </c>
      <c r="H5474" s="1" t="n">
        <v>1</v>
      </c>
      <c r="I5474" s="1" t="inlineStr">
        <is>
          <t>หมด</t>
        </is>
      </c>
      <c r="J5474" s="13" t="n">
        <v>19</v>
      </c>
      <c r="K5474" s="1" t="inlineStr"/>
      <c r="L5474" s="13" t="n">
        <v>19</v>
      </c>
      <c r="M5474" s="1">
        <f>IF(L5474="","ไม่พบใน SG",IF(ABS(J5474-L5474)&lt;0.005,"ตรงกัน","ไม่ตรง"))</f>
        <v/>
      </c>
      <c r="N5474" s="14">
        <f>IF(L5474="","",ROUND(L5474*'สรุป'!$C$6,-1))</f>
        <v/>
      </c>
      <c r="O5474" s="15" t="n"/>
      <c r="P5474" s="15" t="n"/>
      <c r="Q5474" s="10" t="n"/>
      <c r="R5474" s="10" t="n"/>
      <c r="S5474" s="16" t="inlineStr">
        <is>
          <t>https://mstgolf.co.th/products/gf3500300651</t>
        </is>
      </c>
      <c r="T5474" s="1">
        <f>IF(B5474="ไม้กอล์ฟ",J5474,"")</f>
        <v/>
      </c>
    </row>
    <row r="5475">
      <c r="A5475" s="1" t="n">
        <v>3</v>
      </c>
      <c r="B5475" s="1" t="inlineStr">
        <is>
          <t>อุปกรณ์เสริม</t>
        </is>
      </c>
      <c r="C5475" s="1" t="inlineStr">
        <is>
          <t>gf3130100094</t>
        </is>
      </c>
      <c r="D5475" s="1" t="inlineStr">
        <is>
          <t>NICKENT POLARIZED SUNGLASSES</t>
        </is>
      </c>
      <c r="E5475" s="1" t="inlineStr">
        <is>
          <t>NICKENT</t>
        </is>
      </c>
      <c r="F5475" s="1" t="inlineStr">
        <is>
          <t>SUNGLASSES</t>
        </is>
      </c>
      <c r="G5475" s="1" t="inlineStr">
        <is>
          <t>GF3130100094</t>
        </is>
      </c>
      <c r="H5475" s="1" t="n">
        <v>1</v>
      </c>
      <c r="I5475" s="1" t="inlineStr">
        <is>
          <t>หมด</t>
        </is>
      </c>
      <c r="J5475" s="13" t="n">
        <v>19</v>
      </c>
      <c r="K5475" s="1" t="inlineStr"/>
      <c r="L5475" s="13" t="n"/>
      <c r="M5475" s="1">
        <f>IF(L5475="","ไม่พบใน SG",IF(ABS(J5475-L5475)&lt;0.005,"ตรงกัน","ไม่ตรง"))</f>
        <v/>
      </c>
      <c r="N5475" s="14">
        <f>IF(L5475="","",ROUND(L5475*'สรุป'!$C$6,-1))</f>
        <v/>
      </c>
      <c r="O5475" s="15" t="n"/>
      <c r="P5475" s="15" t="n"/>
      <c r="Q5475" s="10" t="n"/>
      <c r="R5475" s="10" t="n"/>
      <c r="S5475" s="16" t="inlineStr">
        <is>
          <t>https://mstgolf.co.th/products/gf3130100094</t>
        </is>
      </c>
      <c r="T5475" s="1">
        <f>IF(B5475="ไม้กอล์ฟ",J5475,"")</f>
        <v/>
      </c>
    </row>
    <row r="5476">
      <c r="A5476" s="1" t="n">
        <v>3</v>
      </c>
      <c r="B5476" s="1" t="inlineStr">
        <is>
          <t>อุปกรณ์เสริม</t>
        </is>
      </c>
      <c r="C5476" s="1" t="inlineStr">
        <is>
          <t>gf2090100625</t>
        </is>
      </c>
      <c r="D5476" s="1" t="inlineStr">
        <is>
          <t>NIKE Cush 3-Pack Socks (Multi Colour)</t>
        </is>
      </c>
      <c r="E5476" s="1" t="inlineStr">
        <is>
          <t>NIKE</t>
        </is>
      </c>
      <c r="F5476" s="1" t="inlineStr">
        <is>
          <t>NO SHOW SOCKS</t>
        </is>
      </c>
      <c r="G5476" s="1" t="inlineStr">
        <is>
          <t>GF2090100625S</t>
        </is>
      </c>
      <c r="H5476" s="1" t="n">
        <v>4</v>
      </c>
      <c r="I5476" s="1" t="inlineStr">
        <is>
          <t>หมด</t>
        </is>
      </c>
      <c r="J5476" s="13" t="n">
        <v>19</v>
      </c>
      <c r="K5476" s="1" t="inlineStr"/>
      <c r="L5476" s="13" t="n"/>
      <c r="M5476" s="1">
        <f>IF(L5476="","ไม่พบใน SG",IF(ABS(J5476-L5476)&lt;0.005,"ตรงกัน","ไม่ตรง"))</f>
        <v/>
      </c>
      <c r="N5476" s="14">
        <f>IF(L5476="","",ROUND(L5476*'สรุป'!$C$6,-1))</f>
        <v/>
      </c>
      <c r="O5476" s="15" t="n"/>
      <c r="P5476" s="15" t="n"/>
      <c r="Q5476" s="10" t="n"/>
      <c r="R5476" s="10" t="n"/>
      <c r="S5476" s="16" t="inlineStr">
        <is>
          <t>https://mstgolf.co.th/products/gf2090100625</t>
        </is>
      </c>
      <c r="T5476" s="1">
        <f>IF(B5476="ไม้กอล์ฟ",J5476,"")</f>
        <v/>
      </c>
    </row>
    <row r="5477">
      <c r="A5477" s="1" t="n">
        <v>3</v>
      </c>
      <c r="B5477" s="1" t="inlineStr">
        <is>
          <t>อุปกรณ์เสริม</t>
        </is>
      </c>
      <c r="C5477" s="1" t="inlineStr">
        <is>
          <t>gf3500300609</t>
        </is>
      </c>
      <c r="D5477" s="1" t="inlineStr">
        <is>
          <t>ONOFF OQ0621 Smiley Bag Tag (Grey)</t>
        </is>
      </c>
      <c r="E5477" s="1" t="inlineStr">
        <is>
          <t>ONOFF</t>
        </is>
      </c>
      <c r="F5477" s="1" t="inlineStr">
        <is>
          <t>GOLF ACCESSORIES</t>
        </is>
      </c>
      <c r="G5477" s="1" t="inlineStr">
        <is>
          <t>GF3500300609</t>
        </is>
      </c>
      <c r="H5477" s="1" t="n">
        <v>1</v>
      </c>
      <c r="I5477" s="1" t="inlineStr">
        <is>
          <t>หมด</t>
        </is>
      </c>
      <c r="J5477" s="13" t="n">
        <v>19</v>
      </c>
      <c r="K5477" s="1" t="inlineStr"/>
      <c r="L5477" s="13" t="n">
        <v>19</v>
      </c>
      <c r="M5477" s="1">
        <f>IF(L5477="","ไม่พบใน SG",IF(ABS(J5477-L5477)&lt;0.005,"ตรงกัน","ไม่ตรง"))</f>
        <v/>
      </c>
      <c r="N5477" s="14">
        <f>IF(L5477="","",ROUND(L5477*'สรุป'!$C$6,-1))</f>
        <v/>
      </c>
      <c r="O5477" s="15" t="n"/>
      <c r="P5477" s="15" t="n"/>
      <c r="Q5477" s="10" t="n"/>
      <c r="R5477" s="10" t="n"/>
      <c r="S5477" s="16" t="inlineStr">
        <is>
          <t>https://mstgolf.co.th/products/gf3500300609</t>
        </is>
      </c>
      <c r="T5477" s="1">
        <f>IF(B5477="ไม้กอล์ฟ",J5477,"")</f>
        <v/>
      </c>
    </row>
    <row r="5478">
      <c r="A5478" s="1" t="n">
        <v>3</v>
      </c>
      <c r="B5478" s="1" t="inlineStr">
        <is>
          <t>อุปกรณ์เสริม</t>
        </is>
      </c>
      <c r="C5478" s="1" t="inlineStr">
        <is>
          <t>gf3500300607</t>
        </is>
      </c>
      <c r="D5478" s="1" t="inlineStr">
        <is>
          <t>ONOFF OQ0621 Smiley Bag Tag (Red)</t>
        </is>
      </c>
      <c r="E5478" s="1" t="inlineStr">
        <is>
          <t>ONOFF</t>
        </is>
      </c>
      <c r="F5478" s="1" t="inlineStr">
        <is>
          <t>GOLF ACCESSORIES</t>
        </is>
      </c>
      <c r="G5478" s="1" t="inlineStr">
        <is>
          <t>GF3500300607</t>
        </is>
      </c>
      <c r="H5478" s="1" t="n">
        <v>1</v>
      </c>
      <c r="I5478" s="1" t="inlineStr">
        <is>
          <t>หมด</t>
        </is>
      </c>
      <c r="J5478" s="13" t="n">
        <v>19</v>
      </c>
      <c r="K5478" s="1" t="inlineStr"/>
      <c r="L5478" s="13" t="n">
        <v>19</v>
      </c>
      <c r="M5478" s="1">
        <f>IF(L5478="","ไม่พบใน SG",IF(ABS(J5478-L5478)&lt;0.005,"ตรงกัน","ไม่ตรง"))</f>
        <v/>
      </c>
      <c r="N5478" s="14">
        <f>IF(L5478="","",ROUND(L5478*'สรุป'!$C$6,-1))</f>
        <v/>
      </c>
      <c r="O5478" s="15" t="n"/>
      <c r="P5478" s="15" t="n"/>
      <c r="Q5478" s="10" t="n"/>
      <c r="R5478" s="10" t="n"/>
      <c r="S5478" s="16" t="inlineStr">
        <is>
          <t>https://mstgolf.co.th/products/gf3500300607</t>
        </is>
      </c>
      <c r="T5478" s="1">
        <f>IF(B5478="ไม้กอล์ฟ",J5478,"")</f>
        <v/>
      </c>
    </row>
    <row r="5479">
      <c r="A5479" s="1" t="n">
        <v>3</v>
      </c>
      <c r="B5479" s="1" t="inlineStr">
        <is>
          <t>อุปกรณ์เสริม</t>
        </is>
      </c>
      <c r="C5479" s="1" t="inlineStr">
        <is>
          <t>gf3500300608</t>
        </is>
      </c>
      <c r="D5479" s="1" t="inlineStr">
        <is>
          <t>ONOFF OQ0621 Smiley Bag Tag (Yellow)</t>
        </is>
      </c>
      <c r="E5479" s="1" t="inlineStr">
        <is>
          <t>ONOFF</t>
        </is>
      </c>
      <c r="F5479" s="1" t="inlineStr">
        <is>
          <t>GOLF ACCESSORIES</t>
        </is>
      </c>
      <c r="G5479" s="1" t="inlineStr">
        <is>
          <t>GF3500300608</t>
        </is>
      </c>
      <c r="H5479" s="1" t="n">
        <v>1</v>
      </c>
      <c r="I5479" s="1" t="inlineStr">
        <is>
          <t>หมด</t>
        </is>
      </c>
      <c r="J5479" s="13" t="n">
        <v>19</v>
      </c>
      <c r="K5479" s="1" t="inlineStr"/>
      <c r="L5479" s="13" t="n">
        <v>19</v>
      </c>
      <c r="M5479" s="1">
        <f>IF(L5479="","ไม่พบใน SG",IF(ABS(J5479-L5479)&lt;0.005,"ตรงกัน","ไม่ตรง"))</f>
        <v/>
      </c>
      <c r="N5479" s="14">
        <f>IF(L5479="","",ROUND(L5479*'สรุป'!$C$6,-1))</f>
        <v/>
      </c>
      <c r="O5479" s="15" t="n"/>
      <c r="P5479" s="15" t="n"/>
      <c r="Q5479" s="10" t="n"/>
      <c r="R5479" s="10" t="n"/>
      <c r="S5479" s="16" t="inlineStr">
        <is>
          <t>https://mstgolf.co.th/products/gf3500300608</t>
        </is>
      </c>
      <c r="T5479" s="1">
        <f>IF(B5479="ไม้กอล์ฟ",J5479,"")</f>
        <v/>
      </c>
    </row>
    <row r="5480">
      <c r="A5480" s="1" t="n">
        <v>3</v>
      </c>
      <c r="B5480" s="1" t="inlineStr">
        <is>
          <t>อุปกรณ์เสริม</t>
        </is>
      </c>
      <c r="C5480" s="1" t="inlineStr">
        <is>
          <t>gf2090100581</t>
        </is>
      </c>
      <c r="D5480" s="1" t="inlineStr">
        <is>
          <t>PUMA Essential 3-Pack Low Cut Men's Socks (Black)</t>
        </is>
      </c>
      <c r="E5480" s="1" t="inlineStr">
        <is>
          <t>PUMA</t>
        </is>
      </c>
      <c r="F5480" s="1" t="inlineStr">
        <is>
          <t>NO SHOW SOCKS</t>
        </is>
      </c>
      <c r="G5480" s="1" t="inlineStr">
        <is>
          <t>GF20901005816-8.5</t>
        </is>
      </c>
      <c r="H5480" s="1" t="n">
        <v>2</v>
      </c>
      <c r="I5480" s="1" t="inlineStr">
        <is>
          <t>หมด</t>
        </is>
      </c>
      <c r="J5480" s="13" t="n">
        <v>19</v>
      </c>
      <c r="K5480" s="1" t="inlineStr"/>
      <c r="L5480" s="13" t="n">
        <v>19</v>
      </c>
      <c r="M5480" s="1">
        <f>IF(L5480="","ไม่พบใน SG",IF(ABS(J5480-L5480)&lt;0.005,"ตรงกัน","ไม่ตรง"))</f>
        <v/>
      </c>
      <c r="N5480" s="14">
        <f>IF(L5480="","",ROUND(L5480*'สรุป'!$C$6,-1))</f>
        <v/>
      </c>
      <c r="O5480" s="15" t="n"/>
      <c r="P5480" s="15" t="n"/>
      <c r="Q5480" s="10" t="n"/>
      <c r="R5480" s="10" t="n"/>
      <c r="S5480" s="16" t="inlineStr">
        <is>
          <t>https://mstgolf.co.th/products/gf2090100581</t>
        </is>
      </c>
      <c r="T5480" s="1">
        <f>IF(B5480="ไม้กอล์ฟ",J5480,"")</f>
        <v/>
      </c>
    </row>
    <row r="5481">
      <c r="A5481" s="1" t="n">
        <v>3</v>
      </c>
      <c r="B5481" s="1" t="inlineStr">
        <is>
          <t>อุปกรณ์เสริม</t>
        </is>
      </c>
      <c r="C5481" s="1" t="inlineStr">
        <is>
          <t>gf2090100579</t>
        </is>
      </c>
      <c r="D5481" s="1" t="inlineStr">
        <is>
          <t>PUMA Essential 3-Pack Low Cut Men's Socks (White)</t>
        </is>
      </c>
      <c r="E5481" s="1" t="inlineStr">
        <is>
          <t>PUMA</t>
        </is>
      </c>
      <c r="F5481" s="1" t="inlineStr">
        <is>
          <t>NO SHOW SOCKS</t>
        </is>
      </c>
      <c r="G5481" s="1" t="inlineStr">
        <is>
          <t>GF20901005796-8.5</t>
        </is>
      </c>
      <c r="H5481" s="1" t="n">
        <v>2</v>
      </c>
      <c r="I5481" s="1" t="inlineStr">
        <is>
          <t>หมด</t>
        </is>
      </c>
      <c r="J5481" s="13" t="n">
        <v>19</v>
      </c>
      <c r="K5481" s="1" t="inlineStr"/>
      <c r="L5481" s="13" t="n">
        <v>19</v>
      </c>
      <c r="M5481" s="1">
        <f>IF(L5481="","ไม่พบใน SG",IF(ABS(J5481-L5481)&lt;0.005,"ตรงกัน","ไม่ตรง"))</f>
        <v/>
      </c>
      <c r="N5481" s="14">
        <f>IF(L5481="","",ROUND(L5481*'สรุป'!$C$6,-1))</f>
        <v/>
      </c>
      <c r="O5481" s="15" t="n"/>
      <c r="P5481" s="15" t="n"/>
      <c r="Q5481" s="10" t="n"/>
      <c r="R5481" s="10" t="n"/>
      <c r="S5481" s="16" t="inlineStr">
        <is>
          <t>https://mstgolf.co.th/products/gf2090100579</t>
        </is>
      </c>
      <c r="T5481" s="1">
        <f>IF(B5481="ไม้กอล์ฟ",J5481,"")</f>
        <v/>
      </c>
    </row>
    <row r="5482">
      <c r="A5482" s="1" t="n">
        <v>3</v>
      </c>
      <c r="B5482" s="1" t="inlineStr">
        <is>
          <t>อุปกรณ์เสริม</t>
        </is>
      </c>
      <c r="C5482" s="1" t="inlineStr">
        <is>
          <t>gf2090100621</t>
        </is>
      </c>
      <c r="D5482" s="1" t="inlineStr">
        <is>
          <t>PUMA Essential 3-Pack Men's Low Cut Socks (Flat)</t>
        </is>
      </c>
      <c r="E5482" s="1" t="inlineStr">
        <is>
          <t>PUMA</t>
        </is>
      </c>
      <c r="F5482" s="1" t="inlineStr">
        <is>
          <t>NO SHOW SOCKS</t>
        </is>
      </c>
      <c r="G5482" s="1" t="inlineStr">
        <is>
          <t>GF20901006213-5.5</t>
        </is>
      </c>
      <c r="H5482" s="1" t="n">
        <v>4</v>
      </c>
      <c r="I5482" s="1" t="inlineStr">
        <is>
          <t>หมด</t>
        </is>
      </c>
      <c r="J5482" s="13" t="n">
        <v>19</v>
      </c>
      <c r="K5482" s="1" t="inlineStr"/>
      <c r="L5482" s="13" t="n"/>
      <c r="M5482" s="1">
        <f>IF(L5482="","ไม่พบใน SG",IF(ABS(J5482-L5482)&lt;0.005,"ตรงกัน","ไม่ตรง"))</f>
        <v/>
      </c>
      <c r="N5482" s="14">
        <f>IF(L5482="","",ROUND(L5482*'สรุป'!$C$6,-1))</f>
        <v/>
      </c>
      <c r="O5482" s="15" t="n"/>
      <c r="P5482" s="15" t="n"/>
      <c r="Q5482" s="10" t="n"/>
      <c r="R5482" s="10" t="n"/>
      <c r="S5482" s="16" t="inlineStr">
        <is>
          <t>https://mstgolf.co.th/products/gf2090100621</t>
        </is>
      </c>
      <c r="T5482" s="1">
        <f>IF(B5482="ไม้กอล์ฟ",J5482,"")</f>
        <v/>
      </c>
    </row>
    <row r="5483">
      <c r="A5483" s="1" t="n">
        <v>3</v>
      </c>
      <c r="B5483" s="1" t="inlineStr">
        <is>
          <t>อุปกรณ์เสริม</t>
        </is>
      </c>
      <c r="C5483" s="1" t="inlineStr">
        <is>
          <t>gf2090100622</t>
        </is>
      </c>
      <c r="D5483" s="1" t="inlineStr">
        <is>
          <t>PUMA Essential 3-Pack Men's Low Cut Socks (Multi)</t>
        </is>
      </c>
      <c r="E5483" s="1" t="inlineStr">
        <is>
          <t>PUMA</t>
        </is>
      </c>
      <c r="F5483" s="1" t="inlineStr">
        <is>
          <t>NO SHOW SOCKS</t>
        </is>
      </c>
      <c r="G5483" s="1" t="inlineStr">
        <is>
          <t>GF20901006223-5.5</t>
        </is>
      </c>
      <c r="H5483" s="1" t="n">
        <v>4</v>
      </c>
      <c r="I5483" s="1" t="inlineStr">
        <is>
          <t>หมด</t>
        </is>
      </c>
      <c r="J5483" s="13" t="n">
        <v>19</v>
      </c>
      <c r="K5483" s="1" t="inlineStr"/>
      <c r="L5483" s="13" t="n"/>
      <c r="M5483" s="1">
        <f>IF(L5483="","ไม่พบใน SG",IF(ABS(J5483-L5483)&lt;0.005,"ตรงกัน","ไม่ตรง"))</f>
        <v/>
      </c>
      <c r="N5483" s="14">
        <f>IF(L5483="","",ROUND(L5483*'สรุป'!$C$6,-1))</f>
        <v/>
      </c>
      <c r="O5483" s="15" t="n"/>
      <c r="P5483" s="15" t="n"/>
      <c r="Q5483" s="10" t="n"/>
      <c r="R5483" s="10" t="n"/>
      <c r="S5483" s="16" t="inlineStr">
        <is>
          <t>https://mstgolf.co.th/products/gf2090100622</t>
        </is>
      </c>
      <c r="T5483" s="1">
        <f>IF(B5483="ไม้กอล์ฟ",J5483,"")</f>
        <v/>
      </c>
    </row>
    <row r="5484">
      <c r="A5484" s="1" t="n">
        <v>3</v>
      </c>
      <c r="B5484" s="1" t="inlineStr">
        <is>
          <t>อุปกรณ์เสริม</t>
        </is>
      </c>
      <c r="C5484" s="1" t="inlineStr">
        <is>
          <t>gf3040100120</t>
        </is>
      </c>
      <c r="D5484" s="1" t="inlineStr">
        <is>
          <t>SKLZ Impact Golf Ball (12 Pack)</t>
        </is>
      </c>
      <c r="E5484" s="1" t="inlineStr">
        <is>
          <t>SKLZ</t>
        </is>
      </c>
      <c r="F5484" s="1" t="inlineStr">
        <is>
          <t>GOLF ACCESSORIES</t>
        </is>
      </c>
      <c r="G5484" s="1" t="inlineStr">
        <is>
          <t>GF3040100120</t>
        </is>
      </c>
      <c r="H5484" s="1" t="n">
        <v>1</v>
      </c>
      <c r="I5484" s="1" t="inlineStr">
        <is>
          <t>หมด</t>
        </is>
      </c>
      <c r="J5484" s="13" t="n">
        <v>19</v>
      </c>
      <c r="K5484" s="1" t="inlineStr"/>
      <c r="L5484" s="13" t="n">
        <v>19</v>
      </c>
      <c r="M5484" s="1">
        <f>IF(L5484="","ไม่พบใน SG",IF(ABS(J5484-L5484)&lt;0.005,"ตรงกัน","ไม่ตรง"))</f>
        <v/>
      </c>
      <c r="N5484" s="14">
        <f>IF(L5484="","",ROUND(L5484*'สรุป'!$C$6,-1))</f>
        <v/>
      </c>
      <c r="O5484" s="15" t="n"/>
      <c r="P5484" s="15" t="n"/>
      <c r="Q5484" s="10" t="n"/>
      <c r="R5484" s="10" t="n"/>
      <c r="S5484" s="16" t="inlineStr">
        <is>
          <t>https://mstgolf.co.th/products/gf3040100120</t>
        </is>
      </c>
      <c r="T5484" s="1">
        <f>IF(B5484="ไม้กอล์ฟ",J5484,"")</f>
        <v/>
      </c>
    </row>
    <row r="5485">
      <c r="A5485" s="1" t="n">
        <v>3</v>
      </c>
      <c r="B5485" s="1" t="inlineStr">
        <is>
          <t>อุปกรณ์เสริม</t>
        </is>
      </c>
      <c r="C5485" s="1" t="inlineStr">
        <is>
          <t>gf3500300034</t>
        </is>
      </c>
      <c r="D5485" s="1" t="inlineStr">
        <is>
          <t>TABATA Marble Ball</t>
        </is>
      </c>
      <c r="E5485" s="1" t="inlineStr">
        <is>
          <t>TABATA</t>
        </is>
      </c>
      <c r="F5485" s="1" t="inlineStr">
        <is>
          <t>GOLF ACCESSORIES</t>
        </is>
      </c>
      <c r="G5485" s="1" t="inlineStr">
        <is>
          <t>GF3500300034</t>
        </is>
      </c>
      <c r="H5485" s="1" t="n">
        <v>1</v>
      </c>
      <c r="I5485" s="1" t="inlineStr">
        <is>
          <t>หมด</t>
        </is>
      </c>
      <c r="J5485" s="13" t="n">
        <v>19</v>
      </c>
      <c r="K5485" s="1" t="inlineStr"/>
      <c r="L5485" s="13" t="n">
        <v>19</v>
      </c>
      <c r="M5485" s="1">
        <f>IF(L5485="","ไม่พบใน SG",IF(ABS(J5485-L5485)&lt;0.005,"ตรงกัน","ไม่ตรง"))</f>
        <v/>
      </c>
      <c r="N5485" s="14">
        <f>IF(L5485="","",ROUND(L5485*'สรุป'!$C$6,-1))</f>
        <v/>
      </c>
      <c r="O5485" s="15" t="n"/>
      <c r="P5485" s="15" t="n"/>
      <c r="Q5485" s="10" t="n"/>
      <c r="R5485" s="10" t="n"/>
      <c r="S5485" s="16" t="inlineStr">
        <is>
          <t>https://mstgolf.co.th/products/gf3500300034</t>
        </is>
      </c>
      <c r="T5485" s="1">
        <f>IF(B5485="ไม้กอล์ฟ",J5485,"")</f>
        <v/>
      </c>
    </row>
    <row r="5486">
      <c r="A5486" s="1" t="n">
        <v>3</v>
      </c>
      <c r="B5486" s="1" t="inlineStr">
        <is>
          <t>อุปกรณ์เสริม</t>
        </is>
      </c>
      <c r="C5486" s="1" t="inlineStr">
        <is>
          <t>gf3500400312</t>
        </is>
      </c>
      <c r="D5486" s="1" t="inlineStr">
        <is>
          <t>TAYLORMADE Carbon Graphic Ball Marker (Red)</t>
        </is>
      </c>
      <c r="E5486" s="1" t="inlineStr">
        <is>
          <t>TAYLORMADE</t>
        </is>
      </c>
      <c r="F5486" s="1" t="inlineStr">
        <is>
          <t>MARKERS &amp; DIVOTS</t>
        </is>
      </c>
      <c r="G5486" s="1" t="inlineStr">
        <is>
          <t>GF3500400312</t>
        </is>
      </c>
      <c r="H5486" s="1" t="n">
        <v>1</v>
      </c>
      <c r="I5486" s="1" t="inlineStr">
        <is>
          <t>หมด</t>
        </is>
      </c>
      <c r="J5486" s="13" t="n">
        <v>18</v>
      </c>
      <c r="K5486" s="1" t="inlineStr"/>
      <c r="L5486" s="13" t="n"/>
      <c r="M5486" s="1">
        <f>IF(L5486="","ไม่พบใน SG",IF(ABS(J5486-L5486)&lt;0.005,"ตรงกัน","ไม่ตรง"))</f>
        <v/>
      </c>
      <c r="N5486" s="14">
        <f>IF(L5486="","",ROUND(L5486*'สรุป'!$C$6,-1))</f>
        <v/>
      </c>
      <c r="O5486" s="15" t="n"/>
      <c r="P5486" s="15" t="n"/>
      <c r="Q5486" s="10" t="n"/>
      <c r="R5486" s="10" t="n"/>
      <c r="S5486" s="16" t="inlineStr">
        <is>
          <t>https://mstgolf.co.th/products/gf3500400312</t>
        </is>
      </c>
      <c r="T5486" s="1">
        <f>IF(B5486="ไม้กอล์ฟ",J5486,"")</f>
        <v/>
      </c>
    </row>
    <row r="5487">
      <c r="A5487" s="1" t="n">
        <v>3</v>
      </c>
      <c r="B5487" s="1" t="inlineStr">
        <is>
          <t>หมวก</t>
        </is>
      </c>
      <c r="C5487" s="1" t="inlineStr">
        <is>
          <t>gf2000104547</t>
        </is>
      </c>
      <c r="D5487" s="1" t="inlineStr">
        <is>
          <t>TAYLORMADE Performance Lite Men's Cap (Grey)</t>
        </is>
      </c>
      <c r="E5487" s="1" t="inlineStr">
        <is>
          <t>TAYLORMADE</t>
        </is>
      </c>
      <c r="F5487" s="1" t="inlineStr">
        <is>
          <t>CAP</t>
        </is>
      </c>
      <c r="G5487" s="1" t="inlineStr">
        <is>
          <t>GF2000104547FS</t>
        </is>
      </c>
      <c r="H5487" s="1" t="n">
        <v>1</v>
      </c>
      <c r="I5487" s="1" t="inlineStr">
        <is>
          <t>หมด</t>
        </is>
      </c>
      <c r="J5487" s="13" t="n">
        <v>18</v>
      </c>
      <c r="K5487" s="1" t="inlineStr"/>
      <c r="L5487" s="13" t="n">
        <v>18</v>
      </c>
      <c r="M5487" s="1">
        <f>IF(L5487="","ไม่พบใน SG",IF(ABS(J5487-L5487)&lt;0.005,"ตรงกัน","ไม่ตรง"))</f>
        <v/>
      </c>
      <c r="N5487" s="14">
        <f>IF(L5487="","",ROUND(L5487*'สรุป'!$C$6,-1))</f>
        <v/>
      </c>
      <c r="O5487" s="15" t="n"/>
      <c r="P5487" s="15" t="n"/>
      <c r="Q5487" s="10" t="n"/>
      <c r="R5487" s="10" t="n"/>
      <c r="S5487" s="16" t="inlineStr">
        <is>
          <t>https://mstgolf.co.th/products/gf2000104547</t>
        </is>
      </c>
      <c r="T5487" s="1">
        <f>IF(B5487="ไม้กอล์ฟ",J5487,"")</f>
        <v/>
      </c>
    </row>
    <row r="5488">
      <c r="A5488" s="1" t="n">
        <v>3</v>
      </c>
      <c r="B5488" s="1" t="inlineStr">
        <is>
          <t>หมวก</t>
        </is>
      </c>
      <c r="C5488" s="1" t="inlineStr">
        <is>
          <t>gf2000105750</t>
        </is>
      </c>
      <c r="D5488" s="1" t="inlineStr">
        <is>
          <t>ADIDAS Color Logo Cap (Black)</t>
        </is>
      </c>
      <c r="E5488" s="1" t="inlineStr">
        <is>
          <t>ADIDAS</t>
        </is>
      </c>
      <c r="F5488" s="1" t="inlineStr">
        <is>
          <t>CAP</t>
        </is>
      </c>
      <c r="G5488" s="1" t="inlineStr">
        <is>
          <t>GF2000105750FS</t>
        </is>
      </c>
      <c r="H5488" s="1" t="n">
        <v>1</v>
      </c>
      <c r="I5488" s="1" t="inlineStr">
        <is>
          <t>หมด</t>
        </is>
      </c>
      <c r="J5488" s="13" t="n">
        <v>17</v>
      </c>
      <c r="K5488" s="1" t="inlineStr"/>
      <c r="L5488" s="13" t="n"/>
      <c r="M5488" s="1">
        <f>IF(L5488="","ไม่พบใน SG",IF(ABS(J5488-L5488)&lt;0.005,"ตรงกัน","ไม่ตรง"))</f>
        <v/>
      </c>
      <c r="N5488" s="14">
        <f>IF(L5488="","",ROUND(L5488*'สรุป'!$C$6,-1))</f>
        <v/>
      </c>
      <c r="O5488" s="15" t="n"/>
      <c r="P5488" s="15" t="n"/>
      <c r="Q5488" s="10" t="n"/>
      <c r="R5488" s="10" t="n"/>
      <c r="S5488" s="16" t="inlineStr">
        <is>
          <t>https://mstgolf.co.th/products/gf2000105750</t>
        </is>
      </c>
      <c r="T5488" s="1">
        <f>IF(B5488="ไม้กอล์ฟ",J5488,"")</f>
        <v/>
      </c>
    </row>
    <row r="5489">
      <c r="A5489" s="1" t="n">
        <v>3</v>
      </c>
      <c r="B5489" s="1" t="inlineStr">
        <is>
          <t>เสื้อผ้า</t>
        </is>
      </c>
      <c r="C5489" s="1" t="inlineStr">
        <is>
          <t>gf2110200009</t>
        </is>
      </c>
      <c r="D5489" s="1" t="inlineStr">
        <is>
          <t>ADIDAS UV Face Cover (Black)</t>
        </is>
      </c>
      <c r="E5489" s="1" t="inlineStr">
        <is>
          <t>ADIDAS</t>
        </is>
      </c>
      <c r="F5489" s="1" t="inlineStr">
        <is>
          <t>PROTECTION GEAR</t>
        </is>
      </c>
      <c r="G5489" s="1" t="inlineStr">
        <is>
          <t>GF2110200009M</t>
        </is>
      </c>
      <c r="H5489" s="1" t="n">
        <v>2</v>
      </c>
      <c r="I5489" s="1" t="inlineStr">
        <is>
          <t>หมด</t>
        </is>
      </c>
      <c r="J5489" s="13" t="n">
        <v>17</v>
      </c>
      <c r="K5489" s="1" t="inlineStr"/>
      <c r="L5489" s="13" t="n"/>
      <c r="M5489" s="1">
        <f>IF(L5489="","ไม่พบใน SG",IF(ABS(J5489-L5489)&lt;0.005,"ตรงกัน","ไม่ตรง"))</f>
        <v/>
      </c>
      <c r="N5489" s="14">
        <f>IF(L5489="","",ROUND(L5489*'สรุป'!$C$6,-1))</f>
        <v/>
      </c>
      <c r="O5489" s="15" t="n"/>
      <c r="P5489" s="15" t="n"/>
      <c r="Q5489" s="10" t="n"/>
      <c r="R5489" s="10" t="n"/>
      <c r="S5489" s="16" t="inlineStr">
        <is>
          <t>https://mstgolf.co.th/products/gf2110200009</t>
        </is>
      </c>
      <c r="T5489" s="1">
        <f>IF(B5489="ไม้กอล์ฟ",J5489,"")</f>
        <v/>
      </c>
    </row>
    <row r="5490">
      <c r="A5490" s="1" t="n">
        <v>3</v>
      </c>
      <c r="B5490" s="1" t="inlineStr">
        <is>
          <t>อุปกรณ์เสริม</t>
        </is>
      </c>
      <c r="C5490" s="1" t="inlineStr">
        <is>
          <t>gf3500400262</t>
        </is>
      </c>
      <c r="D5490" s="1" t="inlineStr">
        <is>
          <t>TABATA FLASH GREEN BALL MARKER</t>
        </is>
      </c>
      <c r="E5490" s="1" t="inlineStr">
        <is>
          <t>TABATA</t>
        </is>
      </c>
      <c r="F5490" s="1" t="inlineStr">
        <is>
          <t>MARKERS &amp; DIVOTS</t>
        </is>
      </c>
      <c r="G5490" s="1" t="inlineStr">
        <is>
          <t>GF3500400262</t>
        </is>
      </c>
      <c r="H5490" s="1" t="n">
        <v>1</v>
      </c>
      <c r="I5490" s="1" t="inlineStr">
        <is>
          <t>หมด</t>
        </is>
      </c>
      <c r="J5490" s="13" t="n">
        <v>17</v>
      </c>
      <c r="K5490" s="1" t="inlineStr"/>
      <c r="L5490" s="13" t="n">
        <v>17</v>
      </c>
      <c r="M5490" s="1">
        <f>IF(L5490="","ไม่พบใน SG",IF(ABS(J5490-L5490)&lt;0.005,"ตรงกัน","ไม่ตรง"))</f>
        <v/>
      </c>
      <c r="N5490" s="14">
        <f>IF(L5490="","",ROUND(L5490*'สรุป'!$C$6,-1))</f>
        <v/>
      </c>
      <c r="O5490" s="15" t="n"/>
      <c r="P5490" s="15" t="n"/>
      <c r="Q5490" s="10" t="n"/>
      <c r="R5490" s="10" t="n"/>
      <c r="S5490" s="16" t="inlineStr">
        <is>
          <t>https://mstgolf.co.th/products/gf3500400262</t>
        </is>
      </c>
      <c r="T5490" s="1">
        <f>IF(B5490="ไม้กอล์ฟ",J5490,"")</f>
        <v/>
      </c>
    </row>
    <row r="5491">
      <c r="A5491" s="1" t="n">
        <v>3</v>
      </c>
      <c r="B5491" s="1" t="inlineStr">
        <is>
          <t>อุปกรณ์เสริม</t>
        </is>
      </c>
      <c r="C5491" s="1" t="inlineStr">
        <is>
          <t>gf2080101474</t>
        </is>
      </c>
      <c r="D5491" s="1" t="inlineStr">
        <is>
          <t>ADIDAS Reversible Webbing Men's Belt (Green/Silver)</t>
        </is>
      </c>
      <c r="E5491" s="1" t="inlineStr">
        <is>
          <t>ADIDAS</t>
        </is>
      </c>
      <c r="F5491" s="1" t="inlineStr">
        <is>
          <t>BELT</t>
        </is>
      </c>
      <c r="G5491" s="1" t="inlineStr">
        <is>
          <t>GF2080101474FS</t>
        </is>
      </c>
      <c r="H5491" s="1" t="n">
        <v>1</v>
      </c>
      <c r="I5491" s="1" t="inlineStr">
        <is>
          <t>หมด</t>
        </is>
      </c>
      <c r="J5491" s="13" t="n">
        <v>15</v>
      </c>
      <c r="K5491" s="1" t="inlineStr"/>
      <c r="L5491" s="13" t="n"/>
      <c r="M5491" s="1">
        <f>IF(L5491="","ไม่พบใน SG",IF(ABS(J5491-L5491)&lt;0.005,"ตรงกัน","ไม่ตรง"))</f>
        <v/>
      </c>
      <c r="N5491" s="14">
        <f>IF(L5491="","",ROUND(L5491*'สรุป'!$C$6,-1))</f>
        <v/>
      </c>
      <c r="O5491" s="15" t="n"/>
      <c r="P5491" s="15" t="n"/>
      <c r="Q5491" s="10" t="n"/>
      <c r="R5491" s="10" t="n"/>
      <c r="S5491" s="16" t="inlineStr">
        <is>
          <t>https://mstgolf.co.th/products/gf2080101474</t>
        </is>
      </c>
      <c r="T5491" s="1">
        <f>IF(B5491="ไม้กอล์ฟ",J5491,"")</f>
        <v/>
      </c>
    </row>
    <row r="5492">
      <c r="A5492" s="1" t="n">
        <v>3</v>
      </c>
      <c r="B5492" s="1" t="inlineStr">
        <is>
          <t>อุปกรณ์เสริม</t>
        </is>
      </c>
      <c r="C5492" s="1" t="inlineStr">
        <is>
          <t>gf2080101473</t>
        </is>
      </c>
      <c r="D5492" s="1" t="inlineStr">
        <is>
          <t>ADIDAS Reversible Webbing Men's Belt (Ruby/Black)</t>
        </is>
      </c>
      <c r="E5492" s="1" t="inlineStr">
        <is>
          <t>ADIDAS</t>
        </is>
      </c>
      <c r="F5492" s="1" t="inlineStr">
        <is>
          <t>BELT</t>
        </is>
      </c>
      <c r="G5492" s="1" t="inlineStr">
        <is>
          <t>GF2080101473FS</t>
        </is>
      </c>
      <c r="H5492" s="1" t="n">
        <v>1</v>
      </c>
      <c r="I5492" s="1" t="inlineStr">
        <is>
          <t>หมด</t>
        </is>
      </c>
      <c r="J5492" s="13" t="n">
        <v>15</v>
      </c>
      <c r="K5492" s="1" t="inlineStr"/>
      <c r="L5492" s="13" t="n">
        <v>15</v>
      </c>
      <c r="M5492" s="1">
        <f>IF(L5492="","ไม่พบใน SG",IF(ABS(J5492-L5492)&lt;0.005,"ตรงกัน","ไม่ตรง"))</f>
        <v/>
      </c>
      <c r="N5492" s="14">
        <f>IF(L5492="","",ROUND(L5492*'สรุป'!$C$6,-1))</f>
        <v/>
      </c>
      <c r="O5492" s="15" t="n"/>
      <c r="P5492" s="15" t="n"/>
      <c r="Q5492" s="10" t="n"/>
      <c r="R5492" s="10" t="n"/>
      <c r="S5492" s="16" t="inlineStr">
        <is>
          <t>https://mstgolf.co.th/products/gf2080101473</t>
        </is>
      </c>
      <c r="T5492" s="1">
        <f>IF(B5492="ไม้กอล์ฟ",J5492,"")</f>
        <v/>
      </c>
    </row>
    <row r="5493">
      <c r="A5493" s="1" t="n">
        <v>3</v>
      </c>
      <c r="B5493" s="1" t="inlineStr">
        <is>
          <t>หมวก</t>
        </is>
      </c>
      <c r="C5493" s="1" t="inlineStr">
        <is>
          <t>gf2000105757</t>
        </is>
      </c>
      <c r="D5493" s="1" t="inlineStr">
        <is>
          <t>ADIDAS Tour Badge Men's Cap (Light Blue)</t>
        </is>
      </c>
      <c r="E5493" s="1" t="inlineStr">
        <is>
          <t>ADIDAS</t>
        </is>
      </c>
      <c r="F5493" s="1" t="inlineStr">
        <is>
          <t>CAP</t>
        </is>
      </c>
      <c r="G5493" s="1" t="inlineStr">
        <is>
          <t>GF2000105757FS</t>
        </is>
      </c>
      <c r="H5493" s="1" t="n">
        <v>1</v>
      </c>
      <c r="I5493" s="1" t="inlineStr">
        <is>
          <t>หมด</t>
        </is>
      </c>
      <c r="J5493" s="13" t="n">
        <v>15</v>
      </c>
      <c r="K5493" s="1" t="inlineStr"/>
      <c r="L5493" s="13" t="n">
        <v>15</v>
      </c>
      <c r="M5493" s="1">
        <f>IF(L5493="","ไม่พบใน SG",IF(ABS(J5493-L5493)&lt;0.005,"ตรงกัน","ไม่ตรง"))</f>
        <v/>
      </c>
      <c r="N5493" s="14">
        <f>IF(L5493="","",ROUND(L5493*'สรุป'!$C$6,-1))</f>
        <v/>
      </c>
      <c r="O5493" s="15" t="n"/>
      <c r="P5493" s="15" t="n"/>
      <c r="Q5493" s="10" t="n"/>
      <c r="R5493" s="10" t="n"/>
      <c r="S5493" s="16" t="inlineStr">
        <is>
          <t>https://mstgolf.co.th/products/gf2000105757</t>
        </is>
      </c>
      <c r="T5493" s="1">
        <f>IF(B5493="ไม้กอล์ฟ",J5493,"")</f>
        <v/>
      </c>
    </row>
    <row r="5494">
      <c r="A5494" s="1" t="n">
        <v>3</v>
      </c>
      <c r="B5494" s="1" t="inlineStr">
        <is>
          <t>เสื้อผ้า</t>
        </is>
      </c>
      <c r="C5494" s="1" t="inlineStr">
        <is>
          <t>gf2110100023</t>
        </is>
      </c>
      <c r="D5494" s="1" t="inlineStr">
        <is>
          <t>AQUA-X Cool Arm Gloves (Black)</t>
        </is>
      </c>
      <c r="E5494" s="1" t="inlineStr">
        <is>
          <t>AQUA-X</t>
        </is>
      </c>
      <c r="F5494" s="1" t="inlineStr">
        <is>
          <t>ARM GLOVE</t>
        </is>
      </c>
      <c r="G5494" s="1" t="inlineStr">
        <is>
          <t>GF2110100023</t>
        </is>
      </c>
      <c r="H5494" s="1" t="n">
        <v>1</v>
      </c>
      <c r="I5494" s="1" t="inlineStr">
        <is>
          <t>หมด</t>
        </is>
      </c>
      <c r="J5494" s="13" t="n">
        <v>15</v>
      </c>
      <c r="K5494" s="1" t="inlineStr"/>
      <c r="L5494" s="13" t="n">
        <v>15</v>
      </c>
      <c r="M5494" s="1">
        <f>IF(L5494="","ไม่พบใน SG",IF(ABS(J5494-L5494)&lt;0.005,"ตรงกัน","ไม่ตรง"))</f>
        <v/>
      </c>
      <c r="N5494" s="14">
        <f>IF(L5494="","",ROUND(L5494*'สรุป'!$C$6,-1))</f>
        <v/>
      </c>
      <c r="O5494" s="15" t="n"/>
      <c r="P5494" s="15" t="n"/>
      <c r="Q5494" s="10" t="n"/>
      <c r="R5494" s="10" t="n"/>
      <c r="S5494" s="16" t="inlineStr">
        <is>
          <t>https://mstgolf.co.th/products/gf2110100023</t>
        </is>
      </c>
      <c r="T5494" s="1">
        <f>IF(B5494="ไม้กอล์ฟ",J5494,"")</f>
        <v/>
      </c>
    </row>
    <row r="5495">
      <c r="A5495" s="1" t="n">
        <v>3</v>
      </c>
      <c r="B5495" s="1" t="inlineStr">
        <is>
          <t>เสื้อผ้า</t>
        </is>
      </c>
      <c r="C5495" s="1" t="inlineStr">
        <is>
          <t>gf2110100027</t>
        </is>
      </c>
      <c r="D5495" s="1" t="inlineStr">
        <is>
          <t>AQUA-X Cool Arm Gloves (Deep Blue)</t>
        </is>
      </c>
      <c r="E5495" s="1" t="inlineStr">
        <is>
          <t>AQUA-X</t>
        </is>
      </c>
      <c r="F5495" s="1" t="inlineStr">
        <is>
          <t>ARM GLOVE</t>
        </is>
      </c>
      <c r="G5495" s="1" t="inlineStr">
        <is>
          <t>GF2110100027</t>
        </is>
      </c>
      <c r="H5495" s="1" t="n">
        <v>1</v>
      </c>
      <c r="I5495" s="1" t="inlineStr">
        <is>
          <t>หมด</t>
        </is>
      </c>
      <c r="J5495" s="13" t="n">
        <v>15</v>
      </c>
      <c r="K5495" s="1" t="inlineStr"/>
      <c r="L5495" s="13" t="n">
        <v>15</v>
      </c>
      <c r="M5495" s="1">
        <f>IF(L5495="","ไม่พบใน SG",IF(ABS(J5495-L5495)&lt;0.005,"ตรงกัน","ไม่ตรง"))</f>
        <v/>
      </c>
      <c r="N5495" s="14">
        <f>IF(L5495="","",ROUND(L5495*'สรุป'!$C$6,-1))</f>
        <v/>
      </c>
      <c r="O5495" s="15" t="n"/>
      <c r="P5495" s="15" t="n"/>
      <c r="Q5495" s="10" t="n"/>
      <c r="R5495" s="10" t="n"/>
      <c r="S5495" s="16" t="inlineStr">
        <is>
          <t>https://mstgolf.co.th/products/gf2110100027</t>
        </is>
      </c>
      <c r="T5495" s="1">
        <f>IF(B5495="ไม้กอล์ฟ",J5495,"")</f>
        <v/>
      </c>
    </row>
    <row r="5496">
      <c r="A5496" s="1" t="n">
        <v>3</v>
      </c>
      <c r="B5496" s="1" t="inlineStr">
        <is>
          <t>เสื้อผ้า</t>
        </is>
      </c>
      <c r="C5496" s="1" t="inlineStr">
        <is>
          <t>gf2110100025</t>
        </is>
      </c>
      <c r="D5496" s="1" t="inlineStr">
        <is>
          <t>AQUA-X Cool Arm Gloves (Light Blue)</t>
        </is>
      </c>
      <c r="E5496" s="1" t="inlineStr">
        <is>
          <t>AQUA-X</t>
        </is>
      </c>
      <c r="F5496" s="1" t="inlineStr">
        <is>
          <t>ARM GLOVE</t>
        </is>
      </c>
      <c r="G5496" s="1" t="inlineStr">
        <is>
          <t>GF2110100025</t>
        </is>
      </c>
      <c r="H5496" s="1" t="n">
        <v>1</v>
      </c>
      <c r="I5496" s="1" t="inlineStr">
        <is>
          <t>หมด</t>
        </is>
      </c>
      <c r="J5496" s="13" t="n">
        <v>15</v>
      </c>
      <c r="K5496" s="1" t="inlineStr"/>
      <c r="L5496" s="13" t="n">
        <v>15</v>
      </c>
      <c r="M5496" s="1">
        <f>IF(L5496="","ไม่พบใน SG",IF(ABS(J5496-L5496)&lt;0.005,"ตรงกัน","ไม่ตรง"))</f>
        <v/>
      </c>
      <c r="N5496" s="14">
        <f>IF(L5496="","",ROUND(L5496*'สรุป'!$C$6,-1))</f>
        <v/>
      </c>
      <c r="O5496" s="15" t="n"/>
      <c r="P5496" s="15" t="n"/>
      <c r="Q5496" s="10" t="n"/>
      <c r="R5496" s="10" t="n"/>
      <c r="S5496" s="16" t="inlineStr">
        <is>
          <t>https://mstgolf.co.th/products/gf2110100025</t>
        </is>
      </c>
      <c r="T5496" s="1">
        <f>IF(B5496="ไม้กอล์ฟ",J5496,"")</f>
        <v/>
      </c>
    </row>
    <row r="5497">
      <c r="A5497" s="1" t="n">
        <v>3</v>
      </c>
      <c r="B5497" s="1" t="inlineStr">
        <is>
          <t>เสื้อผ้า</t>
        </is>
      </c>
      <c r="C5497" s="1" t="inlineStr">
        <is>
          <t>gf2110100026</t>
        </is>
      </c>
      <c r="D5497" s="1" t="inlineStr">
        <is>
          <t>AQUA-X Cool Arm Gloves (Light Grey)</t>
        </is>
      </c>
      <c r="E5497" s="1" t="inlineStr">
        <is>
          <t>AQUA-X</t>
        </is>
      </c>
      <c r="F5497" s="1" t="inlineStr">
        <is>
          <t>ARM GLOVE</t>
        </is>
      </c>
      <c r="G5497" s="1" t="inlineStr">
        <is>
          <t>GF2110100026</t>
        </is>
      </c>
      <c r="H5497" s="1" t="n">
        <v>1</v>
      </c>
      <c r="I5497" s="1" t="inlineStr">
        <is>
          <t>หมด</t>
        </is>
      </c>
      <c r="J5497" s="13" t="n">
        <v>15</v>
      </c>
      <c r="K5497" s="1" t="inlineStr"/>
      <c r="L5497" s="13" t="n">
        <v>15</v>
      </c>
      <c r="M5497" s="1">
        <f>IF(L5497="","ไม่พบใน SG",IF(ABS(J5497-L5497)&lt;0.005,"ตรงกัน","ไม่ตรง"))</f>
        <v/>
      </c>
      <c r="N5497" s="14">
        <f>IF(L5497="","",ROUND(L5497*'สรุป'!$C$6,-1))</f>
        <v/>
      </c>
      <c r="O5497" s="15" t="n"/>
      <c r="P5497" s="15" t="n"/>
      <c r="Q5497" s="10" t="n"/>
      <c r="R5497" s="10" t="n"/>
      <c r="S5497" s="16" t="inlineStr">
        <is>
          <t>https://mstgolf.co.th/products/gf2110100026</t>
        </is>
      </c>
      <c r="T5497" s="1">
        <f>IF(B5497="ไม้กอล์ฟ",J5497,"")</f>
        <v/>
      </c>
    </row>
    <row r="5498">
      <c r="A5498" s="1" t="n">
        <v>3</v>
      </c>
      <c r="B5498" s="1" t="inlineStr">
        <is>
          <t>เสื้อผ้า</t>
        </is>
      </c>
      <c r="C5498" s="1" t="inlineStr">
        <is>
          <t>gf2110100022</t>
        </is>
      </c>
      <c r="D5498" s="1" t="inlineStr">
        <is>
          <t>AQUA-X Cool Arm Gloves (White)</t>
        </is>
      </c>
      <c r="E5498" s="1" t="inlineStr">
        <is>
          <t>AQUA-X</t>
        </is>
      </c>
      <c r="F5498" s="1" t="inlineStr">
        <is>
          <t>ARM GLOVE</t>
        </is>
      </c>
      <c r="G5498" s="1" t="inlineStr">
        <is>
          <t>GF2110100022</t>
        </is>
      </c>
      <c r="H5498" s="1" t="n">
        <v>1</v>
      </c>
      <c r="I5498" s="1" t="inlineStr">
        <is>
          <t>หมด</t>
        </is>
      </c>
      <c r="J5498" s="13" t="n">
        <v>15</v>
      </c>
      <c r="K5498" s="1" t="inlineStr"/>
      <c r="L5498" s="13" t="n">
        <v>15</v>
      </c>
      <c r="M5498" s="1">
        <f>IF(L5498="","ไม่พบใน SG",IF(ABS(J5498-L5498)&lt;0.005,"ตรงกัน","ไม่ตรง"))</f>
        <v/>
      </c>
      <c r="N5498" s="14">
        <f>IF(L5498="","",ROUND(L5498*'สรุป'!$C$6,-1))</f>
        <v/>
      </c>
      <c r="O5498" s="15" t="n"/>
      <c r="P5498" s="15" t="n"/>
      <c r="Q5498" s="10" t="n"/>
      <c r="R5498" s="10" t="n"/>
      <c r="S5498" s="16" t="inlineStr">
        <is>
          <t>https://mstgolf.co.th/products/gf2110100022</t>
        </is>
      </c>
      <c r="T5498" s="1">
        <f>IF(B5498="ไม้กอล์ฟ",J5498,"")</f>
        <v/>
      </c>
    </row>
    <row r="5499">
      <c r="A5499" s="1" t="n">
        <v>3</v>
      </c>
      <c r="B5499" s="1" t="inlineStr">
        <is>
          <t>อุปกรณ์เสริม</t>
        </is>
      </c>
      <c r="C5499" s="1" t="inlineStr">
        <is>
          <t>gf3170200009</t>
        </is>
      </c>
      <c r="D5499" s="1" t="inlineStr">
        <is>
          <t>CHAMP MAXPRO SPIKE WRENCH</t>
        </is>
      </c>
      <c r="E5499" s="1" t="inlineStr">
        <is>
          <t>CHAMP</t>
        </is>
      </c>
      <c r="F5499" s="1" t="inlineStr">
        <is>
          <t>GOLF ACCESSORIES</t>
        </is>
      </c>
      <c r="G5499" s="1" t="inlineStr">
        <is>
          <t>GF3170200009</t>
        </is>
      </c>
      <c r="H5499" s="1" t="n">
        <v>1</v>
      </c>
      <c r="I5499" s="1" t="inlineStr">
        <is>
          <t>หมด</t>
        </is>
      </c>
      <c r="J5499" s="13" t="n">
        <v>15</v>
      </c>
      <c r="K5499" s="1" t="inlineStr"/>
      <c r="L5499" s="13" t="n">
        <v>15</v>
      </c>
      <c r="M5499" s="1">
        <f>IF(L5499="","ไม่พบใน SG",IF(ABS(J5499-L5499)&lt;0.005,"ตรงกัน","ไม่ตรง"))</f>
        <v/>
      </c>
      <c r="N5499" s="14">
        <f>IF(L5499="","",ROUND(L5499*'สรุป'!$C$6,-1))</f>
        <v/>
      </c>
      <c r="O5499" s="15" t="n"/>
      <c r="P5499" s="15" t="n"/>
      <c r="Q5499" s="10" t="n"/>
      <c r="R5499" s="10" t="n"/>
      <c r="S5499" s="16" t="inlineStr">
        <is>
          <t>https://mstgolf.co.th/products/gf3170200009</t>
        </is>
      </c>
      <c r="T5499" s="1">
        <f>IF(B5499="ไม้กอล์ฟ",J5499,"")</f>
        <v/>
      </c>
    </row>
    <row r="5500">
      <c r="A5500" s="1" t="n">
        <v>3</v>
      </c>
      <c r="B5500" s="1" t="inlineStr">
        <is>
          <t>อุปกรณ์เสริม</t>
        </is>
      </c>
      <c r="C5500" s="1" t="inlineStr">
        <is>
          <t>gf2090200301</t>
        </is>
      </c>
      <c r="D5500" s="1" t="inlineStr">
        <is>
          <t>LE COQ SPORTIF GOLF Men's Ankle Socks (White)</t>
        </is>
      </c>
      <c r="E5500" s="1" t="inlineStr">
        <is>
          <t>LE COQ SPORTIF GOLF</t>
        </is>
      </c>
      <c r="F5500" s="1" t="inlineStr">
        <is>
          <t>ANKLE SOCKS</t>
        </is>
      </c>
      <c r="G5500" s="1" t="inlineStr">
        <is>
          <t>GF209020030127-29</t>
        </is>
      </c>
      <c r="H5500" s="1" t="n">
        <v>2</v>
      </c>
      <c r="I5500" s="1" t="inlineStr">
        <is>
          <t>หมด</t>
        </is>
      </c>
      <c r="J5500" s="13" t="n">
        <v>15</v>
      </c>
      <c r="K5500" s="1" t="inlineStr"/>
      <c r="L5500" s="13" t="n">
        <v>15</v>
      </c>
      <c r="M5500" s="1">
        <f>IF(L5500="","ไม่พบใน SG",IF(ABS(J5500-L5500)&lt;0.005,"ตรงกัน","ไม่ตรง"))</f>
        <v/>
      </c>
      <c r="N5500" s="14">
        <f>IF(L5500="","",ROUND(L5500*'สรุป'!$C$6,-1))</f>
        <v/>
      </c>
      <c r="O5500" s="15" t="n"/>
      <c r="P5500" s="15" t="n"/>
      <c r="Q5500" s="10" t="n"/>
      <c r="R5500" s="10" t="n"/>
      <c r="S5500" s="16" t="inlineStr">
        <is>
          <t>https://mstgolf.co.th/products/gf2090200301</t>
        </is>
      </c>
      <c r="T5500" s="1">
        <f>IF(B5500="ไม้กอล์ฟ",J5500,"")</f>
        <v/>
      </c>
    </row>
    <row r="5501">
      <c r="A5501" s="1" t="n">
        <v>3</v>
      </c>
      <c r="B5501" s="1" t="inlineStr">
        <is>
          <t>อุปกรณ์เสริม</t>
        </is>
      </c>
      <c r="C5501" s="1" t="inlineStr">
        <is>
          <t>gf2090300164</t>
        </is>
      </c>
      <c r="D5501" s="1" t="inlineStr">
        <is>
          <t>PUMA Tech Men's Crew Socks (Black/Red)</t>
        </is>
      </c>
      <c r="E5501" s="1" t="inlineStr">
        <is>
          <t>PUMA</t>
        </is>
      </c>
      <c r="F5501" s="1" t="inlineStr">
        <is>
          <t>CREW/QUARTER SOCKS</t>
        </is>
      </c>
      <c r="G5501" s="1" t="inlineStr">
        <is>
          <t>GF20903001646-8.5</t>
        </is>
      </c>
      <c r="H5501" s="1" t="n">
        <v>4</v>
      </c>
      <c r="I5501" s="1" t="inlineStr">
        <is>
          <t>หมด</t>
        </is>
      </c>
      <c r="J5501" s="13" t="n">
        <v>15</v>
      </c>
      <c r="K5501" s="1" t="inlineStr"/>
      <c r="L5501" s="13" t="n"/>
      <c r="M5501" s="1">
        <f>IF(L5501="","ไม่พบใน SG",IF(ABS(J5501-L5501)&lt;0.005,"ตรงกัน","ไม่ตรง"))</f>
        <v/>
      </c>
      <c r="N5501" s="14">
        <f>IF(L5501="","",ROUND(L5501*'สรุป'!$C$6,-1))</f>
        <v/>
      </c>
      <c r="O5501" s="15" t="n"/>
      <c r="P5501" s="15" t="n"/>
      <c r="Q5501" s="10" t="n"/>
      <c r="R5501" s="10" t="n"/>
      <c r="S5501" s="16" t="inlineStr">
        <is>
          <t>https://mstgolf.co.th/products/gf2090300164</t>
        </is>
      </c>
      <c r="T5501" s="1">
        <f>IF(B5501="ไม้กอล์ฟ",J5501,"")</f>
        <v/>
      </c>
    </row>
    <row r="5502">
      <c r="A5502" s="1" t="n">
        <v>3</v>
      </c>
      <c r="B5502" s="1" t="inlineStr">
        <is>
          <t>อุปกรณ์เสริม</t>
        </is>
      </c>
      <c r="C5502" s="1" t="inlineStr">
        <is>
          <t>gf2090300165</t>
        </is>
      </c>
      <c r="D5502" s="1" t="inlineStr">
        <is>
          <t>PUMA Tech Men's Crew Socks (Multi)</t>
        </is>
      </c>
      <c r="E5502" s="1" t="inlineStr">
        <is>
          <t>PUMA</t>
        </is>
      </c>
      <c r="F5502" s="1" t="inlineStr">
        <is>
          <t>CREW/QUARTER SOCKS</t>
        </is>
      </c>
      <c r="G5502" s="1" t="inlineStr">
        <is>
          <t>GF20903001656-8.5</t>
        </is>
      </c>
      <c r="H5502" s="1" t="n">
        <v>4</v>
      </c>
      <c r="I5502" s="1" t="inlineStr">
        <is>
          <t>หมด</t>
        </is>
      </c>
      <c r="J5502" s="13" t="n">
        <v>15</v>
      </c>
      <c r="K5502" s="1" t="inlineStr"/>
      <c r="L5502" s="13" t="n"/>
      <c r="M5502" s="1">
        <f>IF(L5502="","ไม่พบใน SG",IF(ABS(J5502-L5502)&lt;0.005,"ตรงกัน","ไม่ตรง"))</f>
        <v/>
      </c>
      <c r="N5502" s="14">
        <f>IF(L5502="","",ROUND(L5502*'สรุป'!$C$6,-1))</f>
        <v/>
      </c>
      <c r="O5502" s="15" t="n"/>
      <c r="P5502" s="15" t="n"/>
      <c r="Q5502" s="10" t="n"/>
      <c r="R5502" s="10" t="n"/>
      <c r="S5502" s="16" t="inlineStr">
        <is>
          <t>https://mstgolf.co.th/products/gf2090300165</t>
        </is>
      </c>
      <c r="T5502" s="1">
        <f>IF(B5502="ไม้กอล์ฟ",J5502,"")</f>
        <v/>
      </c>
    </row>
    <row r="5503">
      <c r="A5503" s="1" t="n">
        <v>3</v>
      </c>
      <c r="B5503" s="1" t="inlineStr">
        <is>
          <t>อุปกรณ์เสริม</t>
        </is>
      </c>
      <c r="C5503" s="1" t="inlineStr">
        <is>
          <t>gf2090200202</t>
        </is>
      </c>
      <c r="D5503" s="1" t="inlineStr">
        <is>
          <t>PUMA Tech Single Tab Men's Socks (Multi Colour)</t>
        </is>
      </c>
      <c r="E5503" s="1" t="inlineStr">
        <is>
          <t>PUMA</t>
        </is>
      </c>
      <c r="F5503" s="1" t="inlineStr">
        <is>
          <t>ANKLE SOCKS</t>
        </is>
      </c>
      <c r="G5503" s="1" t="inlineStr">
        <is>
          <t>GF20902002026-8.5</t>
        </is>
      </c>
      <c r="H5503" s="1" t="n">
        <v>4</v>
      </c>
      <c r="I5503" s="1" t="inlineStr">
        <is>
          <t>หมด</t>
        </is>
      </c>
      <c r="J5503" s="13" t="n">
        <v>15</v>
      </c>
      <c r="K5503" s="1" t="inlineStr"/>
      <c r="L5503" s="13" t="n"/>
      <c r="M5503" s="1">
        <f>IF(L5503="","ไม่พบใน SG",IF(ABS(J5503-L5503)&lt;0.005,"ตรงกัน","ไม่ตรง"))</f>
        <v/>
      </c>
      <c r="N5503" s="14">
        <f>IF(L5503="","",ROUND(L5503*'สรุป'!$C$6,-1))</f>
        <v/>
      </c>
      <c r="O5503" s="15" t="n"/>
      <c r="P5503" s="15" t="n"/>
      <c r="Q5503" s="10" t="n"/>
      <c r="R5503" s="10" t="n"/>
      <c r="S5503" s="16" t="inlineStr">
        <is>
          <t>https://mstgolf.co.th/products/gf2090200202</t>
        </is>
      </c>
      <c r="T5503" s="1">
        <f>IF(B5503="ไม้กอล์ฟ",J5503,"")</f>
        <v/>
      </c>
    </row>
    <row r="5504">
      <c r="A5504" s="1" t="n">
        <v>3</v>
      </c>
      <c r="B5504" s="1" t="inlineStr">
        <is>
          <t>อุปกรณ์เสริม</t>
        </is>
      </c>
      <c r="C5504" s="1" t="inlineStr">
        <is>
          <t>gf3500300410</t>
        </is>
      </c>
      <c r="D5504" s="1" t="inlineStr">
        <is>
          <t>TABATA 40G Weight Balance</t>
        </is>
      </c>
      <c r="E5504" s="1" t="inlineStr">
        <is>
          <t>TABATA</t>
        </is>
      </c>
      <c r="F5504" s="1" t="inlineStr">
        <is>
          <t>GOLF ACCESSORIES</t>
        </is>
      </c>
      <c r="G5504" s="1" t="inlineStr">
        <is>
          <t>GF3500300410</t>
        </is>
      </c>
      <c r="H5504" s="1" t="n">
        <v>1</v>
      </c>
      <c r="I5504" s="1" t="inlineStr">
        <is>
          <t>หมด</t>
        </is>
      </c>
      <c r="J5504" s="13" t="n">
        <v>15</v>
      </c>
      <c r="K5504" s="1" t="inlineStr"/>
      <c r="L5504" s="13" t="n">
        <v>15</v>
      </c>
      <c r="M5504" s="1">
        <f>IF(L5504="","ไม่พบใน SG",IF(ABS(J5504-L5504)&lt;0.005,"ตรงกัน","ไม่ตรง"))</f>
        <v/>
      </c>
      <c r="N5504" s="14">
        <f>IF(L5504="","",ROUND(L5504*'สรุป'!$C$6,-1))</f>
        <v/>
      </c>
      <c r="O5504" s="15" t="n"/>
      <c r="P5504" s="15" t="n"/>
      <c r="Q5504" s="10" t="n"/>
      <c r="R5504" s="10" t="n"/>
      <c r="S5504" s="16" t="inlineStr">
        <is>
          <t>https://mstgolf.co.th/products/gf3500300410</t>
        </is>
      </c>
      <c r="T5504" s="1">
        <f>IF(B5504="ไม้กอล์ฟ",J5504,"")</f>
        <v/>
      </c>
    </row>
    <row r="5505">
      <c r="A5505" s="1" t="n">
        <v>3</v>
      </c>
      <c r="B5505" s="1" t="inlineStr">
        <is>
          <t>อุปกรณ์เสริม</t>
        </is>
      </c>
      <c r="C5505" s="1" t="inlineStr">
        <is>
          <t>gf3500300035</t>
        </is>
      </c>
      <c r="D5505" s="1" t="inlineStr">
        <is>
          <t>TABATA MM Ball</t>
        </is>
      </c>
      <c r="E5505" s="1" t="inlineStr">
        <is>
          <t>TABATA</t>
        </is>
      </c>
      <c r="F5505" s="1" t="inlineStr">
        <is>
          <t>GOLF ACCESSORIES</t>
        </is>
      </c>
      <c r="G5505" s="1" t="inlineStr">
        <is>
          <t>GF3500300035</t>
        </is>
      </c>
      <c r="H5505" s="1" t="n">
        <v>1</v>
      </c>
      <c r="I5505" s="1" t="inlineStr">
        <is>
          <t>หมด</t>
        </is>
      </c>
      <c r="J5505" s="13" t="n">
        <v>15</v>
      </c>
      <c r="K5505" s="1" t="inlineStr"/>
      <c r="L5505" s="13" t="n">
        <v>15</v>
      </c>
      <c r="M5505" s="1">
        <f>IF(L5505="","ไม่พบใน SG",IF(ABS(J5505-L5505)&lt;0.005,"ตรงกัน","ไม่ตรง"))</f>
        <v/>
      </c>
      <c r="N5505" s="14">
        <f>IF(L5505="","",ROUND(L5505*'สรุป'!$C$6,-1))</f>
        <v/>
      </c>
      <c r="O5505" s="15" t="n"/>
      <c r="P5505" s="15" t="n"/>
      <c r="Q5505" s="10" t="n"/>
      <c r="R5505" s="10" t="n"/>
      <c r="S5505" s="16" t="inlineStr">
        <is>
          <t>https://mstgolf.co.th/products/gf3500300035</t>
        </is>
      </c>
      <c r="T5505" s="1">
        <f>IF(B5505="ไม้กอล์ฟ",J5505,"")</f>
        <v/>
      </c>
    </row>
    <row r="5506">
      <c r="A5506" s="1" t="n">
        <v>3</v>
      </c>
      <c r="B5506" s="1" t="inlineStr">
        <is>
          <t>อุปกรณ์เสริม</t>
        </is>
      </c>
      <c r="C5506" s="1" t="inlineStr">
        <is>
          <t>gf2090200186</t>
        </is>
      </c>
      <c r="D5506" s="1" t="inlineStr">
        <is>
          <t>FOOTJOY ProDry Sportlet Women's Socks (White)</t>
        </is>
      </c>
      <c r="E5506" s="1" t="inlineStr">
        <is>
          <t>FOOTJOY</t>
        </is>
      </c>
      <c r="F5506" s="1" t="inlineStr">
        <is>
          <t>ANKLE SOCKS</t>
        </is>
      </c>
      <c r="G5506" s="1" t="inlineStr">
        <is>
          <t>GF2090200186</t>
        </is>
      </c>
      <c r="H5506" s="1" t="n">
        <v>1</v>
      </c>
      <c r="I5506" s="1" t="inlineStr">
        <is>
          <t>หมด</t>
        </is>
      </c>
      <c r="J5506" s="13" t="n">
        <v>13</v>
      </c>
      <c r="K5506" s="1" t="inlineStr"/>
      <c r="L5506" s="13" t="n"/>
      <c r="M5506" s="1">
        <f>IF(L5506="","ไม่พบใน SG",IF(ABS(J5506-L5506)&lt;0.005,"ตรงกัน","ไม่ตรง"))</f>
        <v/>
      </c>
      <c r="N5506" s="14">
        <f>IF(L5506="","",ROUND(L5506*'สรุป'!$C$6,-1))</f>
        <v/>
      </c>
      <c r="O5506" s="15" t="n"/>
      <c r="P5506" s="15" t="n"/>
      <c r="Q5506" s="10" t="n"/>
      <c r="R5506" s="10" t="n"/>
      <c r="S5506" s="16" t="inlineStr">
        <is>
          <t>https://mstgolf.co.th/products/gf2090200186</t>
        </is>
      </c>
      <c r="T5506" s="1">
        <f>IF(B5506="ไม้กอล์ฟ",J5506,"")</f>
        <v/>
      </c>
    </row>
    <row r="5507">
      <c r="A5507" s="1" t="n">
        <v>3</v>
      </c>
      <c r="B5507" s="1" t="inlineStr">
        <is>
          <t>อุปกรณ์เสริม</t>
        </is>
      </c>
      <c r="C5507" s="1" t="inlineStr">
        <is>
          <t>gf2090200187</t>
        </is>
      </c>
      <c r="D5507" s="1" t="inlineStr">
        <is>
          <t>FOOTJOY ProDry Sportlet Women's Socks (White/Blue)</t>
        </is>
      </c>
      <c r="E5507" s="1" t="inlineStr">
        <is>
          <t>FOOTJOY</t>
        </is>
      </c>
      <c r="F5507" s="1" t="inlineStr">
        <is>
          <t>ANKLE SOCKS</t>
        </is>
      </c>
      <c r="G5507" s="1" t="inlineStr">
        <is>
          <t>GF2090200187</t>
        </is>
      </c>
      <c r="H5507" s="1" t="n">
        <v>1</v>
      </c>
      <c r="I5507" s="1" t="inlineStr">
        <is>
          <t>หมด</t>
        </is>
      </c>
      <c r="J5507" s="13" t="n">
        <v>13</v>
      </c>
      <c r="K5507" s="1" t="inlineStr"/>
      <c r="L5507" s="13" t="n"/>
      <c r="M5507" s="1">
        <f>IF(L5507="","ไม่พบใน SG",IF(ABS(J5507-L5507)&lt;0.005,"ตรงกัน","ไม่ตรง"))</f>
        <v/>
      </c>
      <c r="N5507" s="14">
        <f>IF(L5507="","",ROUND(L5507*'สรุป'!$C$6,-1))</f>
        <v/>
      </c>
      <c r="O5507" s="15" t="n"/>
      <c r="P5507" s="15" t="n"/>
      <c r="Q5507" s="10" t="n"/>
      <c r="R5507" s="10" t="n"/>
      <c r="S5507" s="16" t="inlineStr">
        <is>
          <t>https://mstgolf.co.th/products/gf2090200187</t>
        </is>
      </c>
      <c r="T5507" s="1">
        <f>IF(B5507="ไม้กอล์ฟ",J5507,"")</f>
        <v/>
      </c>
    </row>
    <row r="5508">
      <c r="A5508" s="1" t="n">
        <v>3</v>
      </c>
      <c r="B5508" s="1" t="inlineStr">
        <is>
          <t>อุปกรณ์เสริม</t>
        </is>
      </c>
      <c r="C5508" s="1" t="inlineStr">
        <is>
          <t>gf2090200190</t>
        </is>
      </c>
      <c r="D5508" s="1" t="inlineStr">
        <is>
          <t>FOOTJOY ProDry Sportlet Women's Socks (White/Brown)</t>
        </is>
      </c>
      <c r="E5508" s="1" t="inlineStr">
        <is>
          <t>FOOTJOY</t>
        </is>
      </c>
      <c r="F5508" s="1" t="inlineStr">
        <is>
          <t>ANKLE SOCKS</t>
        </is>
      </c>
      <c r="G5508" s="1" t="inlineStr">
        <is>
          <t>GF2090200190</t>
        </is>
      </c>
      <c r="H5508" s="1" t="n">
        <v>1</v>
      </c>
      <c r="I5508" s="1" t="inlineStr">
        <is>
          <t>หมด</t>
        </is>
      </c>
      <c r="J5508" s="13" t="n">
        <v>13</v>
      </c>
      <c r="K5508" s="1" t="inlineStr"/>
      <c r="L5508" s="13" t="n">
        <v>13</v>
      </c>
      <c r="M5508" s="1">
        <f>IF(L5508="","ไม่พบใน SG",IF(ABS(J5508-L5508)&lt;0.005,"ตรงกัน","ไม่ตรง"))</f>
        <v/>
      </c>
      <c r="N5508" s="14">
        <f>IF(L5508="","",ROUND(L5508*'สรุป'!$C$6,-1))</f>
        <v/>
      </c>
      <c r="O5508" s="15" t="n"/>
      <c r="P5508" s="15" t="n"/>
      <c r="Q5508" s="10" t="n"/>
      <c r="R5508" s="10" t="n"/>
      <c r="S5508" s="16" t="inlineStr">
        <is>
          <t>https://mstgolf.co.th/products/gf2090200190</t>
        </is>
      </c>
      <c r="T5508" s="1">
        <f>IF(B5508="ไม้กอล์ฟ",J5508,"")</f>
        <v/>
      </c>
    </row>
    <row r="5509">
      <c r="A5509" s="1" t="n">
        <v>3</v>
      </c>
      <c r="B5509" s="1" t="inlineStr">
        <is>
          <t>อุปกรณ์เสริม</t>
        </is>
      </c>
      <c r="C5509" s="1" t="inlineStr">
        <is>
          <t>gf2090200188</t>
        </is>
      </c>
      <c r="D5509" s="1" t="inlineStr">
        <is>
          <t>FOOTJOY ProDry Sportlet Women's Socks (White/Pink)</t>
        </is>
      </c>
      <c r="E5509" s="1" t="inlineStr">
        <is>
          <t>FOOTJOY</t>
        </is>
      </c>
      <c r="F5509" s="1" t="inlineStr">
        <is>
          <t>ANKLE SOCKS</t>
        </is>
      </c>
      <c r="G5509" s="1" t="inlineStr">
        <is>
          <t>GF2090200188</t>
        </is>
      </c>
      <c r="H5509" s="1" t="n">
        <v>1</v>
      </c>
      <c r="I5509" s="1" t="inlineStr">
        <is>
          <t>หมด</t>
        </is>
      </c>
      <c r="J5509" s="13" t="n">
        <v>13</v>
      </c>
      <c r="K5509" s="1" t="inlineStr"/>
      <c r="L5509" s="13" t="n"/>
      <c r="M5509" s="1">
        <f>IF(L5509="","ไม่พบใน SG",IF(ABS(J5509-L5509)&lt;0.005,"ตรงกัน","ไม่ตรง"))</f>
        <v/>
      </c>
      <c r="N5509" s="14">
        <f>IF(L5509="","",ROUND(L5509*'สรุป'!$C$6,-1))</f>
        <v/>
      </c>
      <c r="O5509" s="15" t="n"/>
      <c r="P5509" s="15" t="n"/>
      <c r="Q5509" s="10" t="n"/>
      <c r="R5509" s="10" t="n"/>
      <c r="S5509" s="16" t="inlineStr">
        <is>
          <t>https://mstgolf.co.th/products/gf2090200188</t>
        </is>
      </c>
      <c r="T5509" s="1">
        <f>IF(B5509="ไม้กอล์ฟ",J5509,"")</f>
        <v/>
      </c>
    </row>
    <row r="5510">
      <c r="A5510" s="1" t="n">
        <v>3</v>
      </c>
      <c r="B5510" s="1" t="inlineStr">
        <is>
          <t>เสื้อผ้า</t>
        </is>
      </c>
      <c r="C5510" s="1" t="inlineStr">
        <is>
          <t>gf2090700058</t>
        </is>
      </c>
      <c r="D5510" s="1" t="inlineStr">
        <is>
          <t>GFORE LA Knee High Women's Socks (Twilight)</t>
        </is>
      </c>
      <c r="E5510" s="1" t="inlineStr">
        <is>
          <t>GFORE</t>
        </is>
      </c>
      <c r="F5510" s="1" t="inlineStr">
        <is>
          <t>KNEE</t>
        </is>
      </c>
      <c r="G5510" s="1" t="inlineStr">
        <is>
          <t>GF2090700058S/M</t>
        </is>
      </c>
      <c r="H5510" s="1" t="n">
        <v>3</v>
      </c>
      <c r="I5510" s="1" t="inlineStr">
        <is>
          <t>หมด</t>
        </is>
      </c>
      <c r="J5510" s="13" t="n">
        <v>13</v>
      </c>
      <c r="K5510" s="1" t="inlineStr"/>
      <c r="L5510" s="13" t="n">
        <v>13</v>
      </c>
      <c r="M5510" s="1">
        <f>IF(L5510="","ไม่พบใน SG",IF(ABS(J5510-L5510)&lt;0.005,"ตรงกัน","ไม่ตรง"))</f>
        <v/>
      </c>
      <c r="N5510" s="14">
        <f>IF(L5510="","",ROUND(L5510*'สรุป'!$C$6,-1))</f>
        <v/>
      </c>
      <c r="O5510" s="15" t="n"/>
      <c r="P5510" s="15" t="n"/>
      <c r="Q5510" s="10" t="n"/>
      <c r="R5510" s="10" t="n"/>
      <c r="S5510" s="16" t="inlineStr">
        <is>
          <t>https://mstgolf.co.th/products/gf2090700058</t>
        </is>
      </c>
      <c r="T5510" s="1">
        <f>IF(B5510="ไม้กอล์ฟ",J5510,"")</f>
        <v/>
      </c>
    </row>
    <row r="5511">
      <c r="A5511" s="1" t="n">
        <v>3</v>
      </c>
      <c r="B5511" s="1" t="inlineStr">
        <is>
          <t>อุปกรณ์เสริม</t>
        </is>
      </c>
      <c r="C5511" s="1" t="inlineStr">
        <is>
          <t>gf3500400289</t>
        </is>
      </c>
      <c r="D5511" s="1" t="inlineStr">
        <is>
          <t>LE COQ SPORTIF GOLF Ball Markers with Storage Pouch (Black)</t>
        </is>
      </c>
      <c r="E5511" s="1" t="inlineStr">
        <is>
          <t>LE COQ SPORTIF GOLF</t>
        </is>
      </c>
      <c r="F5511" s="1" t="inlineStr">
        <is>
          <t>MARKERS &amp; DIVOTS</t>
        </is>
      </c>
      <c r="G5511" s="1" t="inlineStr">
        <is>
          <t>GF3500400289</t>
        </is>
      </c>
      <c r="H5511" s="1" t="n">
        <v>1</v>
      </c>
      <c r="I5511" s="1" t="inlineStr">
        <is>
          <t>หมด</t>
        </is>
      </c>
      <c r="J5511" s="13" t="n">
        <v>13</v>
      </c>
      <c r="K5511" s="1" t="inlineStr"/>
      <c r="L5511" s="13" t="n">
        <v>13</v>
      </c>
      <c r="M5511" s="1">
        <f>IF(L5511="","ไม่พบใน SG",IF(ABS(J5511-L5511)&lt;0.005,"ตรงกัน","ไม่ตรง"))</f>
        <v/>
      </c>
      <c r="N5511" s="14">
        <f>IF(L5511="","",ROUND(L5511*'สรุป'!$C$6,-1))</f>
        <v/>
      </c>
      <c r="O5511" s="15" t="n"/>
      <c r="P5511" s="15" t="n"/>
      <c r="Q5511" s="10" t="n"/>
      <c r="R5511" s="10" t="n"/>
      <c r="S5511" s="16" t="inlineStr">
        <is>
          <t>https://mstgolf.co.th/products/gf3500400289</t>
        </is>
      </c>
      <c r="T5511" s="1">
        <f>IF(B5511="ไม้กอล์ฟ",J5511,"")</f>
        <v/>
      </c>
    </row>
    <row r="5512">
      <c r="A5512" s="1" t="n">
        <v>3</v>
      </c>
      <c r="B5512" s="1" t="inlineStr">
        <is>
          <t>หมวก</t>
        </is>
      </c>
      <c r="C5512" s="1" t="inlineStr">
        <is>
          <t>gf2000201061</t>
        </is>
      </c>
      <c r="D5512" s="1" t="inlineStr">
        <is>
          <t>LE COQ SPORTIF GOLF EAR CURVE SUN VISOR</t>
        </is>
      </c>
      <c r="E5512" s="1" t="inlineStr">
        <is>
          <t>LE COQ SPORTIF GOLF</t>
        </is>
      </c>
      <c r="F5512" s="1" t="inlineStr">
        <is>
          <t>VISOR</t>
        </is>
      </c>
      <c r="G5512" s="1" t="inlineStr">
        <is>
          <t>GF2000201061FS</t>
        </is>
      </c>
      <c r="H5512" s="1" t="n">
        <v>1</v>
      </c>
      <c r="I5512" s="1" t="inlineStr">
        <is>
          <t>หมด</t>
        </is>
      </c>
      <c r="J5512" s="13" t="n">
        <v>13</v>
      </c>
      <c r="K5512" s="1" t="inlineStr"/>
      <c r="L5512" s="13" t="n"/>
      <c r="M5512" s="1">
        <f>IF(L5512="","ไม่พบใน SG",IF(ABS(J5512-L5512)&lt;0.005,"ตรงกัน","ไม่ตรง"))</f>
        <v/>
      </c>
      <c r="N5512" s="14">
        <f>IF(L5512="","",ROUND(L5512*'สรุป'!$C$6,-1))</f>
        <v/>
      </c>
      <c r="O5512" s="15" t="n"/>
      <c r="P5512" s="15" t="n"/>
      <c r="Q5512" s="10" t="n"/>
      <c r="R5512" s="10" t="n"/>
      <c r="S5512" s="16" t="inlineStr">
        <is>
          <t>https://mstgolf.co.th/products/gf2000201061</t>
        </is>
      </c>
      <c r="T5512" s="1">
        <f>IF(B5512="ไม้กอล์ฟ",J5512,"")</f>
        <v/>
      </c>
    </row>
    <row r="5513">
      <c r="A5513" s="1" t="n">
        <v>3</v>
      </c>
      <c r="B5513" s="1" t="inlineStr">
        <is>
          <t>หมวก</t>
        </is>
      </c>
      <c r="C5513" s="1" t="inlineStr">
        <is>
          <t>gf2000201059</t>
        </is>
      </c>
      <c r="D5513" s="1" t="inlineStr">
        <is>
          <t>LE COQ SPORTIF GOLF Ear Curve Men's Sun Visor (Black)</t>
        </is>
      </c>
      <c r="E5513" s="1" t="inlineStr">
        <is>
          <t>LE COQ SPORTIF GOLF</t>
        </is>
      </c>
      <c r="F5513" s="1" t="inlineStr">
        <is>
          <t>VISOR</t>
        </is>
      </c>
      <c r="G5513" s="1" t="inlineStr">
        <is>
          <t>GF2000201059FS</t>
        </is>
      </c>
      <c r="H5513" s="1" t="n">
        <v>1</v>
      </c>
      <c r="I5513" s="1" t="inlineStr">
        <is>
          <t>หมด</t>
        </is>
      </c>
      <c r="J5513" s="13" t="n">
        <v>13</v>
      </c>
      <c r="K5513" s="1" t="inlineStr"/>
      <c r="L5513" s="13" t="n"/>
      <c r="M5513" s="1">
        <f>IF(L5513="","ไม่พบใน SG",IF(ABS(J5513-L5513)&lt;0.005,"ตรงกัน","ไม่ตรง"))</f>
        <v/>
      </c>
      <c r="N5513" s="14">
        <f>IF(L5513="","",ROUND(L5513*'สรุป'!$C$6,-1))</f>
        <v/>
      </c>
      <c r="O5513" s="15" t="n"/>
      <c r="P5513" s="15" t="n"/>
      <c r="Q5513" s="10" t="n"/>
      <c r="R5513" s="10" t="n"/>
      <c r="S5513" s="16" t="inlineStr">
        <is>
          <t>https://mstgolf.co.th/products/gf2000201059</t>
        </is>
      </c>
      <c r="T5513" s="1">
        <f>IF(B5513="ไม้กอล์ฟ",J5513,"")</f>
        <v/>
      </c>
    </row>
    <row r="5514">
      <c r="A5514" s="1" t="n">
        <v>3</v>
      </c>
      <c r="B5514" s="1" t="inlineStr">
        <is>
          <t>หมวก</t>
        </is>
      </c>
      <c r="C5514" s="1" t="inlineStr">
        <is>
          <t>gf2000201060</t>
        </is>
      </c>
      <c r="D5514" s="1" t="inlineStr">
        <is>
          <t>LE COQ SPORTIF GOLF Ear Curve Men's Sun Visor (Navy)</t>
        </is>
      </c>
      <c r="E5514" s="1" t="inlineStr">
        <is>
          <t>LE COQ SPORTIF GOLF</t>
        </is>
      </c>
      <c r="F5514" s="1" t="inlineStr">
        <is>
          <t>VISOR</t>
        </is>
      </c>
      <c r="G5514" s="1" t="inlineStr">
        <is>
          <t>GF2000201060FS</t>
        </is>
      </c>
      <c r="H5514" s="1" t="n">
        <v>1</v>
      </c>
      <c r="I5514" s="1" t="inlineStr">
        <is>
          <t>หมด</t>
        </is>
      </c>
      <c r="J5514" s="13" t="n">
        <v>13</v>
      </c>
      <c r="K5514" s="1" t="inlineStr"/>
      <c r="L5514" s="13" t="n"/>
      <c r="M5514" s="1">
        <f>IF(L5514="","ไม่พบใน SG",IF(ABS(J5514-L5514)&lt;0.005,"ตรงกัน","ไม่ตรง"))</f>
        <v/>
      </c>
      <c r="N5514" s="14">
        <f>IF(L5514="","",ROUND(L5514*'สรุป'!$C$6,-1))</f>
        <v/>
      </c>
      <c r="O5514" s="15" t="n"/>
      <c r="P5514" s="15" t="n"/>
      <c r="Q5514" s="10" t="n"/>
      <c r="R5514" s="10" t="n"/>
      <c r="S5514" s="16" t="inlineStr">
        <is>
          <t>https://mstgolf.co.th/products/gf2000201060</t>
        </is>
      </c>
      <c r="T5514" s="1">
        <f>IF(B5514="ไม้กอล์ฟ",J5514,"")</f>
        <v/>
      </c>
    </row>
    <row r="5515">
      <c r="A5515" s="1" t="n">
        <v>3</v>
      </c>
      <c r="B5515" s="1" t="inlineStr">
        <is>
          <t>หมวก</t>
        </is>
      </c>
      <c r="C5515" s="1" t="inlineStr">
        <is>
          <t>gf2000106444</t>
        </is>
      </c>
      <c r="D5515" s="1" t="inlineStr">
        <is>
          <t>LE COQ SPORTIF GOLF Men's Golfer Cap (Black)</t>
        </is>
      </c>
      <c r="E5515" s="1" t="inlineStr">
        <is>
          <t>LE COQ SPORTIF GOLF</t>
        </is>
      </c>
      <c r="F5515" s="1" t="inlineStr">
        <is>
          <t>CAP</t>
        </is>
      </c>
      <c r="G5515" s="1" t="inlineStr">
        <is>
          <t>GF2000106444FS</t>
        </is>
      </c>
      <c r="H5515" s="1" t="n">
        <v>1</v>
      </c>
      <c r="I5515" s="1" t="inlineStr">
        <is>
          <t>หมด</t>
        </is>
      </c>
      <c r="J5515" s="13" t="n">
        <v>13</v>
      </c>
      <c r="K5515" s="1" t="inlineStr"/>
      <c r="L5515" s="13" t="n">
        <v>13</v>
      </c>
      <c r="M5515" s="1">
        <f>IF(L5515="","ไม่พบใน SG",IF(ABS(J5515-L5515)&lt;0.005,"ตรงกัน","ไม่ตรง"))</f>
        <v/>
      </c>
      <c r="N5515" s="14">
        <f>IF(L5515="","",ROUND(L5515*'สรุป'!$C$6,-1))</f>
        <v/>
      </c>
      <c r="O5515" s="15" t="n"/>
      <c r="P5515" s="15" t="n"/>
      <c r="Q5515" s="10" t="n"/>
      <c r="R5515" s="10" t="n"/>
      <c r="S5515" s="16" t="inlineStr">
        <is>
          <t>https://mstgolf.co.th/products/gf2000106444</t>
        </is>
      </c>
      <c r="T5515" s="1">
        <f>IF(B5515="ไม้กอล์ฟ",J5515,"")</f>
        <v/>
      </c>
    </row>
    <row r="5516">
      <c r="A5516" s="1" t="n">
        <v>3</v>
      </c>
      <c r="B5516" s="1" t="inlineStr">
        <is>
          <t>หมวก</t>
        </is>
      </c>
      <c r="C5516" s="1" t="inlineStr">
        <is>
          <t>gf2000106445</t>
        </is>
      </c>
      <c r="D5516" s="1" t="inlineStr">
        <is>
          <t>LE COQ SPORTIF GOLF Men's Golfer Cap (Navy)</t>
        </is>
      </c>
      <c r="E5516" s="1" t="inlineStr">
        <is>
          <t>LE COQ SPORTIF GOLF</t>
        </is>
      </c>
      <c r="F5516" s="1" t="inlineStr">
        <is>
          <t>CAP</t>
        </is>
      </c>
      <c r="G5516" s="1" t="inlineStr">
        <is>
          <t>GF2000106445FS</t>
        </is>
      </c>
      <c r="H5516" s="1" t="n">
        <v>1</v>
      </c>
      <c r="I5516" s="1" t="inlineStr">
        <is>
          <t>หมด</t>
        </is>
      </c>
      <c r="J5516" s="13" t="n">
        <v>13</v>
      </c>
      <c r="K5516" s="1" t="inlineStr"/>
      <c r="L5516" s="13" t="n">
        <v>13</v>
      </c>
      <c r="M5516" s="1">
        <f>IF(L5516="","ไม่พบใน SG",IF(ABS(J5516-L5516)&lt;0.005,"ตรงกัน","ไม่ตรง"))</f>
        <v/>
      </c>
      <c r="N5516" s="14">
        <f>IF(L5516="","",ROUND(L5516*'สรุป'!$C$6,-1))</f>
        <v/>
      </c>
      <c r="O5516" s="15" t="n"/>
      <c r="P5516" s="15" t="n"/>
      <c r="Q5516" s="10" t="n"/>
      <c r="R5516" s="10" t="n"/>
      <c r="S5516" s="16" t="inlineStr">
        <is>
          <t>https://mstgolf.co.th/products/gf2000106445</t>
        </is>
      </c>
      <c r="T5516" s="1">
        <f>IF(B5516="ไม้กอล์ฟ",J5516,"")</f>
        <v/>
      </c>
    </row>
    <row r="5517">
      <c r="A5517" s="1" t="n">
        <v>3</v>
      </c>
      <c r="B5517" s="1" t="inlineStr">
        <is>
          <t>หมวก</t>
        </is>
      </c>
      <c r="C5517" s="1" t="inlineStr">
        <is>
          <t>gf2000200897</t>
        </is>
      </c>
      <c r="D5517" s="1" t="inlineStr">
        <is>
          <t>LE COQ SPORTIF GOLF Men's Sun Visor (Navy)</t>
        </is>
      </c>
      <c r="E5517" s="1" t="inlineStr">
        <is>
          <t>LE COQ SPORTIF GOLF</t>
        </is>
      </c>
      <c r="F5517" s="1" t="inlineStr">
        <is>
          <t>VISOR</t>
        </is>
      </c>
      <c r="G5517" s="1" t="inlineStr">
        <is>
          <t>GF2000200897FS</t>
        </is>
      </c>
      <c r="H5517" s="1" t="n">
        <v>1</v>
      </c>
      <c r="I5517" s="1" t="inlineStr">
        <is>
          <t>หมด</t>
        </is>
      </c>
      <c r="J5517" s="13" t="n">
        <v>13</v>
      </c>
      <c r="K5517" s="1" t="inlineStr"/>
      <c r="L5517" s="13" t="n"/>
      <c r="M5517" s="1">
        <f>IF(L5517="","ไม่พบใน SG",IF(ABS(J5517-L5517)&lt;0.005,"ตรงกัน","ไม่ตรง"))</f>
        <v/>
      </c>
      <c r="N5517" s="14">
        <f>IF(L5517="","",ROUND(L5517*'สรุป'!$C$6,-1))</f>
        <v/>
      </c>
      <c r="O5517" s="15" t="n"/>
      <c r="P5517" s="15" t="n"/>
      <c r="Q5517" s="10" t="n"/>
      <c r="R5517" s="10" t="n"/>
      <c r="S5517" s="16" t="inlineStr">
        <is>
          <t>https://mstgolf.co.th/products/gf2000200897</t>
        </is>
      </c>
      <c r="T5517" s="1">
        <f>IF(B5517="ไม้กอล์ฟ",J5517,"")</f>
        <v/>
      </c>
    </row>
    <row r="5518">
      <c r="A5518" s="1" t="n">
        <v>3</v>
      </c>
      <c r="B5518" s="1" t="inlineStr">
        <is>
          <t>หมวก</t>
        </is>
      </c>
      <c r="C5518" s="1" t="inlineStr">
        <is>
          <t>gf2000104622</t>
        </is>
      </c>
      <c r="D5518" s="1" t="inlineStr">
        <is>
          <t>ADIDAS Performance Branded Junior Cap (White)</t>
        </is>
      </c>
      <c r="E5518" s="1" t="inlineStr">
        <is>
          <t>ADIDAS</t>
        </is>
      </c>
      <c r="F5518" s="1" t="inlineStr">
        <is>
          <t>CAP</t>
        </is>
      </c>
      <c r="G5518" s="1" t="inlineStr">
        <is>
          <t>GF2000104622FS</t>
        </is>
      </c>
      <c r="H5518" s="1" t="n">
        <v>1</v>
      </c>
      <c r="I5518" s="1" t="inlineStr">
        <is>
          <t>หมด</t>
        </is>
      </c>
      <c r="J5518" s="13" t="n">
        <v>12</v>
      </c>
      <c r="K5518" s="1" t="inlineStr"/>
      <c r="L5518" s="13" t="n"/>
      <c r="M5518" s="1">
        <f>IF(L5518="","ไม่พบใน SG",IF(ABS(J5518-L5518)&lt;0.005,"ตรงกัน","ไม่ตรง"))</f>
        <v/>
      </c>
      <c r="N5518" s="14">
        <f>IF(L5518="","",ROUND(L5518*'สรุป'!$C$6,-1))</f>
        <v/>
      </c>
      <c r="O5518" s="15" t="n"/>
      <c r="P5518" s="15" t="n"/>
      <c r="Q5518" s="10" t="n"/>
      <c r="R5518" s="10" t="n"/>
      <c r="S5518" s="16" t="inlineStr">
        <is>
          <t>https://mstgolf.co.th/products/gf2000104622</t>
        </is>
      </c>
      <c r="T5518" s="1">
        <f>IF(B5518="ไม้กอล์ฟ",J5518,"")</f>
        <v/>
      </c>
    </row>
    <row r="5519">
      <c r="A5519" s="1" t="n">
        <v>3</v>
      </c>
      <c r="B5519" s="1" t="inlineStr">
        <is>
          <t>อุปกรณ์เสริม</t>
        </is>
      </c>
      <c r="C5519" s="1" t="inlineStr">
        <is>
          <t>gf2100100019</t>
        </is>
      </c>
      <c r="D5519" s="1" t="inlineStr">
        <is>
          <t>BELL &amp; PAGE Cooling Towel (Dark Blue)</t>
        </is>
      </c>
      <c r="E5519" s="1" t="inlineStr">
        <is>
          <t>BELL &amp; PAGE</t>
        </is>
      </c>
      <c r="F5519" s="1" t="inlineStr">
        <is>
          <t>FACE TOWEL</t>
        </is>
      </c>
      <c r="G5519" s="1" t="inlineStr">
        <is>
          <t>GF2100100019</t>
        </is>
      </c>
      <c r="H5519" s="1" t="n">
        <v>1</v>
      </c>
      <c r="I5519" s="1" t="inlineStr">
        <is>
          <t>หมด</t>
        </is>
      </c>
      <c r="J5519" s="13" t="n">
        <v>12</v>
      </c>
      <c r="K5519" s="1" t="inlineStr"/>
      <c r="L5519" s="13" t="n"/>
      <c r="M5519" s="1">
        <f>IF(L5519="","ไม่พบใน SG",IF(ABS(J5519-L5519)&lt;0.005,"ตรงกัน","ไม่ตรง"))</f>
        <v/>
      </c>
      <c r="N5519" s="14">
        <f>IF(L5519="","",ROUND(L5519*'สรุป'!$C$6,-1))</f>
        <v/>
      </c>
      <c r="O5519" s="15" t="n"/>
      <c r="P5519" s="15" t="n"/>
      <c r="Q5519" s="10" t="n"/>
      <c r="R5519" s="10" t="n"/>
      <c r="S5519" s="16" t="inlineStr">
        <is>
          <t>https://mstgolf.co.th/products/gf2100100019</t>
        </is>
      </c>
      <c r="T5519" s="1">
        <f>IF(B5519="ไม้กอล์ฟ",J5519,"")</f>
        <v/>
      </c>
    </row>
    <row r="5520">
      <c r="A5520" s="1" t="n">
        <v>3</v>
      </c>
      <c r="B5520" s="1" t="inlineStr">
        <is>
          <t>อุปกรณ์เสริม</t>
        </is>
      </c>
      <c r="C5520" s="1" t="inlineStr">
        <is>
          <t>gf2100100020</t>
        </is>
      </c>
      <c r="D5520" s="1" t="inlineStr">
        <is>
          <t>BELL &amp; PAGE Cooling Towel (Green)</t>
        </is>
      </c>
      <c r="E5520" s="1" t="inlineStr">
        <is>
          <t>BELL &amp; PAGE</t>
        </is>
      </c>
      <c r="F5520" s="1" t="inlineStr">
        <is>
          <t>FACE TOWEL</t>
        </is>
      </c>
      <c r="G5520" s="1" t="inlineStr">
        <is>
          <t>GF2100100020</t>
        </is>
      </c>
      <c r="H5520" s="1" t="n">
        <v>1</v>
      </c>
      <c r="I5520" s="1" t="inlineStr">
        <is>
          <t>หมด</t>
        </is>
      </c>
      <c r="J5520" s="13" t="n">
        <v>12</v>
      </c>
      <c r="K5520" s="1" t="inlineStr"/>
      <c r="L5520" s="13" t="n"/>
      <c r="M5520" s="1">
        <f>IF(L5520="","ไม่พบใน SG",IF(ABS(J5520-L5520)&lt;0.005,"ตรงกัน","ไม่ตรง"))</f>
        <v/>
      </c>
      <c r="N5520" s="14">
        <f>IF(L5520="","",ROUND(L5520*'สรุป'!$C$6,-1))</f>
        <v/>
      </c>
      <c r="O5520" s="15" t="n"/>
      <c r="P5520" s="15" t="n"/>
      <c r="Q5520" s="10" t="n"/>
      <c r="R5520" s="10" t="n"/>
      <c r="S5520" s="16" t="inlineStr">
        <is>
          <t>https://mstgolf.co.th/products/gf2100100020</t>
        </is>
      </c>
      <c r="T5520" s="1">
        <f>IF(B5520="ไม้กอล์ฟ",J5520,"")</f>
        <v/>
      </c>
    </row>
    <row r="5521">
      <c r="A5521" s="1" t="n">
        <v>3</v>
      </c>
      <c r="B5521" s="1" t="inlineStr">
        <is>
          <t>อุปกรณ์เสริม</t>
        </is>
      </c>
      <c r="C5521" s="1" t="inlineStr">
        <is>
          <t>gf2100100025</t>
        </is>
      </c>
      <c r="D5521" s="1" t="inlineStr">
        <is>
          <t>BELL &amp; PAGE Cooling Towel (Light Blue)</t>
        </is>
      </c>
      <c r="E5521" s="1" t="inlineStr">
        <is>
          <t>BELL &amp; PAGE</t>
        </is>
      </c>
      <c r="F5521" s="1" t="inlineStr">
        <is>
          <t>FACE TOWEL</t>
        </is>
      </c>
      <c r="G5521" s="1" t="inlineStr">
        <is>
          <t>GF2100100025</t>
        </is>
      </c>
      <c r="H5521" s="1" t="n">
        <v>1</v>
      </c>
      <c r="I5521" s="1" t="inlineStr">
        <is>
          <t>หมด</t>
        </is>
      </c>
      <c r="J5521" s="13" t="n">
        <v>12</v>
      </c>
      <c r="K5521" s="1" t="inlineStr"/>
      <c r="L5521" s="13" t="n"/>
      <c r="M5521" s="1">
        <f>IF(L5521="","ไม่พบใน SG",IF(ABS(J5521-L5521)&lt;0.005,"ตรงกัน","ไม่ตรง"))</f>
        <v/>
      </c>
      <c r="N5521" s="14">
        <f>IF(L5521="","",ROUND(L5521*'สรุป'!$C$6,-1))</f>
        <v/>
      </c>
      <c r="O5521" s="15" t="n"/>
      <c r="P5521" s="15" t="n"/>
      <c r="Q5521" s="10" t="n"/>
      <c r="R5521" s="10" t="n"/>
      <c r="S5521" s="16" t="inlineStr">
        <is>
          <t>https://mstgolf.co.th/products/gf2100100025</t>
        </is>
      </c>
      <c r="T5521" s="1">
        <f>IF(B5521="ไม้กอล์ฟ",J5521,"")</f>
        <v/>
      </c>
    </row>
    <row r="5522">
      <c r="A5522" s="1" t="n">
        <v>3</v>
      </c>
      <c r="B5522" s="1" t="inlineStr">
        <is>
          <t>อุปกรณ์เสริม</t>
        </is>
      </c>
      <c r="C5522" s="1" t="inlineStr">
        <is>
          <t>gf2100100021</t>
        </is>
      </c>
      <c r="D5522" s="1" t="inlineStr">
        <is>
          <t>BELL &amp; PAGE Cooling Towel (Orange)</t>
        </is>
      </c>
      <c r="E5522" s="1" t="inlineStr">
        <is>
          <t>BELL &amp; PAGE</t>
        </is>
      </c>
      <c r="F5522" s="1" t="inlineStr">
        <is>
          <t>FACE TOWEL</t>
        </is>
      </c>
      <c r="G5522" s="1" t="inlineStr">
        <is>
          <t>GF2100100021</t>
        </is>
      </c>
      <c r="H5522" s="1" t="n">
        <v>1</v>
      </c>
      <c r="I5522" s="1" t="inlineStr">
        <is>
          <t>หมด</t>
        </is>
      </c>
      <c r="J5522" s="13" t="n">
        <v>12</v>
      </c>
      <c r="K5522" s="1" t="inlineStr"/>
      <c r="L5522" s="13" t="n"/>
      <c r="M5522" s="1">
        <f>IF(L5522="","ไม่พบใน SG",IF(ABS(J5522-L5522)&lt;0.005,"ตรงกัน","ไม่ตรง"))</f>
        <v/>
      </c>
      <c r="N5522" s="14">
        <f>IF(L5522="","",ROUND(L5522*'สรุป'!$C$6,-1))</f>
        <v/>
      </c>
      <c r="O5522" s="15" t="n"/>
      <c r="P5522" s="15" t="n"/>
      <c r="Q5522" s="10" t="n"/>
      <c r="R5522" s="10" t="n"/>
      <c r="S5522" s="16" t="inlineStr">
        <is>
          <t>https://mstgolf.co.th/products/gf2100100021</t>
        </is>
      </c>
      <c r="T5522" s="1">
        <f>IF(B5522="ไม้กอล์ฟ",J5522,"")</f>
        <v/>
      </c>
    </row>
    <row r="5523">
      <c r="A5523" s="1" t="n">
        <v>3</v>
      </c>
      <c r="B5523" s="1" t="inlineStr">
        <is>
          <t>อุปกรณ์เสริม</t>
        </is>
      </c>
      <c r="C5523" s="1" t="inlineStr">
        <is>
          <t>gf3500100006</t>
        </is>
      </c>
      <c r="D5523" s="1" t="inlineStr">
        <is>
          <t>CHAMP 2 3/4 Inch White Fly Tee - 30Pcs</t>
        </is>
      </c>
      <c r="E5523" s="1" t="inlineStr">
        <is>
          <t>CHAMP</t>
        </is>
      </c>
      <c r="F5523" s="1" t="inlineStr">
        <is>
          <t>TEES</t>
        </is>
      </c>
      <c r="G5523" s="1" t="inlineStr">
        <is>
          <t>GF3500100006</t>
        </is>
      </c>
      <c r="H5523" s="1" t="n">
        <v>1</v>
      </c>
      <c r="I5523" s="1" t="inlineStr">
        <is>
          <t>หมด</t>
        </is>
      </c>
      <c r="J5523" s="13" t="n">
        <v>12</v>
      </c>
      <c r="K5523" s="1" t="inlineStr"/>
      <c r="L5523" s="13" t="n">
        <v>12</v>
      </c>
      <c r="M5523" s="1">
        <f>IF(L5523="","ไม่พบใน SG",IF(ABS(J5523-L5523)&lt;0.005,"ตรงกัน","ไม่ตรง"))</f>
        <v/>
      </c>
      <c r="N5523" s="14">
        <f>IF(L5523="","",ROUND(L5523*'สรุป'!$C$6,-1))</f>
        <v/>
      </c>
      <c r="O5523" s="15" t="n"/>
      <c r="P5523" s="15" t="n"/>
      <c r="Q5523" s="10" t="n"/>
      <c r="R5523" s="10" t="n"/>
      <c r="S5523" s="16" t="inlineStr">
        <is>
          <t>https://mstgolf.co.th/products/gf3500100006</t>
        </is>
      </c>
      <c r="T5523" s="1">
        <f>IF(B5523="ไม้กอล์ฟ",J5523,"")</f>
        <v/>
      </c>
    </row>
    <row r="5524">
      <c r="A5524" s="1" t="n">
        <v>3</v>
      </c>
      <c r="B5524" s="1" t="inlineStr">
        <is>
          <t>อุปกรณ์เสริม</t>
        </is>
      </c>
      <c r="C5524" s="1" t="inlineStr">
        <is>
          <t>gf3500300362</t>
        </is>
      </c>
      <c r="D5524" s="1" t="inlineStr">
        <is>
          <t>CHAMP 3 1/4 Inch Fly Tee Neon Mix - 25Pcs</t>
        </is>
      </c>
      <c r="E5524" s="1" t="inlineStr">
        <is>
          <t>CHAMP</t>
        </is>
      </c>
      <c r="F5524" s="1" t="inlineStr">
        <is>
          <t>TEES</t>
        </is>
      </c>
      <c r="G5524" s="1" t="inlineStr">
        <is>
          <t>GF3500300362</t>
        </is>
      </c>
      <c r="H5524" s="1" t="n">
        <v>1</v>
      </c>
      <c r="I5524" s="1" t="inlineStr">
        <is>
          <t>หมด</t>
        </is>
      </c>
      <c r="J5524" s="13" t="n">
        <v>12</v>
      </c>
      <c r="K5524" s="1" t="inlineStr"/>
      <c r="L5524" s="13" t="n">
        <v>12</v>
      </c>
      <c r="M5524" s="1">
        <f>IF(L5524="","ไม่พบใน SG",IF(ABS(J5524-L5524)&lt;0.005,"ตรงกัน","ไม่ตรง"))</f>
        <v/>
      </c>
      <c r="N5524" s="14">
        <f>IF(L5524="","",ROUND(L5524*'สรุป'!$C$6,-1))</f>
        <v/>
      </c>
      <c r="O5524" s="15" t="n"/>
      <c r="P5524" s="15" t="n"/>
      <c r="Q5524" s="10" t="n"/>
      <c r="R5524" s="10" t="n"/>
      <c r="S5524" s="16" t="inlineStr">
        <is>
          <t>https://mstgolf.co.th/products/gf3500300362</t>
        </is>
      </c>
      <c r="T5524" s="1">
        <f>IF(B5524="ไม้กอล์ฟ",J5524,"")</f>
        <v/>
      </c>
    </row>
    <row r="5525">
      <c r="A5525" s="1" t="n">
        <v>3</v>
      </c>
      <c r="B5525" s="1" t="inlineStr">
        <is>
          <t>อุปกรณ์เสริม</t>
        </is>
      </c>
      <c r="C5525" s="1" t="inlineStr">
        <is>
          <t>gf3500100007</t>
        </is>
      </c>
      <c r="D5525" s="1" t="inlineStr">
        <is>
          <t>CHAMP 3 1/4 Inch White Fly Tee</t>
        </is>
      </c>
      <c r="E5525" s="1" t="inlineStr">
        <is>
          <t>CHAMP</t>
        </is>
      </c>
      <c r="F5525" s="1" t="inlineStr">
        <is>
          <t>TEES</t>
        </is>
      </c>
      <c r="G5525" s="1" t="inlineStr">
        <is>
          <t>GF3500100007</t>
        </is>
      </c>
      <c r="H5525" s="1" t="n">
        <v>1</v>
      </c>
      <c r="I5525" s="1" t="inlineStr">
        <is>
          <t>หมด</t>
        </is>
      </c>
      <c r="J5525" s="13" t="n">
        <v>12</v>
      </c>
      <c r="K5525" s="1" t="inlineStr"/>
      <c r="L5525" s="13" t="n">
        <v>12</v>
      </c>
      <c r="M5525" s="1">
        <f>IF(L5525="","ไม่พบใน SG",IF(ABS(J5525-L5525)&lt;0.005,"ตรงกัน","ไม่ตรง"))</f>
        <v/>
      </c>
      <c r="N5525" s="14">
        <f>IF(L5525="","",ROUND(L5525*'สรุป'!$C$6,-1))</f>
        <v/>
      </c>
      <c r="O5525" s="15" t="n"/>
      <c r="P5525" s="15" t="n"/>
      <c r="Q5525" s="10" t="n"/>
      <c r="R5525" s="10" t="n"/>
      <c r="S5525" s="16" t="inlineStr">
        <is>
          <t>https://mstgolf.co.th/products/gf3500100007</t>
        </is>
      </c>
      <c r="T5525" s="1">
        <f>IF(B5525="ไม้กอล์ฟ",J5525,"")</f>
        <v/>
      </c>
    </row>
    <row r="5526">
      <c r="A5526" s="1" t="n">
        <v>3</v>
      </c>
      <c r="B5526" s="1" t="inlineStr">
        <is>
          <t>อุปกรณ์เสริม</t>
        </is>
      </c>
      <c r="C5526" s="1" t="inlineStr">
        <is>
          <t>gf3500400222</t>
        </is>
      </c>
      <c r="D5526" s="1" t="inlineStr">
        <is>
          <t>TAYLORMADE Cap Ball Marker (Black/Yellow)</t>
        </is>
      </c>
      <c r="E5526" s="1" t="inlineStr">
        <is>
          <t>TAYLORMADE</t>
        </is>
      </c>
      <c r="F5526" s="1" t="inlineStr">
        <is>
          <t>MARKERS &amp; DIVOTS</t>
        </is>
      </c>
      <c r="G5526" s="1" t="inlineStr">
        <is>
          <t>GF3500400222</t>
        </is>
      </c>
      <c r="H5526" s="1" t="n">
        <v>1</v>
      </c>
      <c r="I5526" s="1" t="inlineStr">
        <is>
          <t>หมด</t>
        </is>
      </c>
      <c r="J5526" s="13" t="n">
        <v>12</v>
      </c>
      <c r="K5526" s="1" t="inlineStr"/>
      <c r="L5526" s="13" t="n">
        <v>12</v>
      </c>
      <c r="M5526" s="1">
        <f>IF(L5526="","ไม่พบใน SG",IF(ABS(J5526-L5526)&lt;0.005,"ตรงกัน","ไม่ตรง"))</f>
        <v/>
      </c>
      <c r="N5526" s="14">
        <f>IF(L5526="","",ROUND(L5526*'สรุป'!$C$6,-1))</f>
        <v/>
      </c>
      <c r="O5526" s="15" t="n"/>
      <c r="P5526" s="15" t="n"/>
      <c r="Q5526" s="10" t="n"/>
      <c r="R5526" s="10" t="n"/>
      <c r="S5526" s="16" t="inlineStr">
        <is>
          <t>https://mstgolf.co.th/products/gf3500400222</t>
        </is>
      </c>
      <c r="T5526" s="1">
        <f>IF(B5526="ไม้กอล์ฟ",J5526,"")</f>
        <v/>
      </c>
    </row>
    <row r="5527">
      <c r="A5527" s="1" t="n">
        <v>3</v>
      </c>
      <c r="B5527" s="1" t="inlineStr">
        <is>
          <t>อุปกรณ์เสริม</t>
        </is>
      </c>
      <c r="C5527" s="1" t="inlineStr">
        <is>
          <t>gf3500400223</t>
        </is>
      </c>
      <c r="D5527" s="1" t="inlineStr">
        <is>
          <t>TAYLORMADE Cap Ball Marker (White/Blue)</t>
        </is>
      </c>
      <c r="E5527" s="1" t="inlineStr">
        <is>
          <t>TAYLORMADE</t>
        </is>
      </c>
      <c r="F5527" s="1" t="inlineStr">
        <is>
          <t>MARKERS &amp; DIVOTS</t>
        </is>
      </c>
      <c r="G5527" s="1" t="inlineStr">
        <is>
          <t>GF3500400223</t>
        </is>
      </c>
      <c r="H5527" s="1" t="n">
        <v>1</v>
      </c>
      <c r="I5527" s="1" t="inlineStr">
        <is>
          <t>หมด</t>
        </is>
      </c>
      <c r="J5527" s="13" t="n">
        <v>12</v>
      </c>
      <c r="K5527" s="1" t="inlineStr"/>
      <c r="L5527" s="13" t="n">
        <v>12</v>
      </c>
      <c r="M5527" s="1">
        <f>IF(L5527="","ไม่พบใน SG",IF(ABS(J5527-L5527)&lt;0.005,"ตรงกัน","ไม่ตรง"))</f>
        <v/>
      </c>
      <c r="N5527" s="14">
        <f>IF(L5527="","",ROUND(L5527*'สรุป'!$C$6,-1))</f>
        <v/>
      </c>
      <c r="O5527" s="15" t="n"/>
      <c r="P5527" s="15" t="n"/>
      <c r="Q5527" s="10" t="n"/>
      <c r="R5527" s="10" t="n"/>
      <c r="S5527" s="16" t="inlineStr">
        <is>
          <t>https://mstgolf.co.th/products/gf3500400223</t>
        </is>
      </c>
      <c r="T5527" s="1">
        <f>IF(B5527="ไม้กอล์ฟ",J5527,"")</f>
        <v/>
      </c>
    </row>
    <row r="5528">
      <c r="A5528" s="1" t="n">
        <v>3</v>
      </c>
      <c r="B5528" s="1" t="inlineStr">
        <is>
          <t>อุปกรณ์เสริม</t>
        </is>
      </c>
      <c r="C5528" s="1" t="inlineStr">
        <is>
          <t>gf3500100458</t>
        </is>
      </c>
      <c r="D5528" s="1" t="inlineStr">
        <is>
          <t>TOUR TEE Mini White Spine Tee 45mm - 6 Pieces</t>
        </is>
      </c>
      <c r="E5528" s="1" t="inlineStr">
        <is>
          <t>TOUR TEE</t>
        </is>
      </c>
      <c r="F5528" s="1" t="inlineStr">
        <is>
          <t>TEES</t>
        </is>
      </c>
      <c r="G5528" s="1" t="inlineStr">
        <is>
          <t>GF3500100458</t>
        </is>
      </c>
      <c r="H5528" s="1" t="n">
        <v>1</v>
      </c>
      <c r="I5528" s="1" t="inlineStr">
        <is>
          <t>หมด</t>
        </is>
      </c>
      <c r="J5528" s="13" t="n">
        <v>12</v>
      </c>
      <c r="K5528" s="1" t="inlineStr"/>
      <c r="L5528" s="13" t="n">
        <v>12</v>
      </c>
      <c r="M5528" s="1">
        <f>IF(L5528="","ไม่พบใน SG",IF(ABS(J5528-L5528)&lt;0.005,"ตรงกัน","ไม่ตรง"))</f>
        <v/>
      </c>
      <c r="N5528" s="14">
        <f>IF(L5528="","",ROUND(L5528*'สรุป'!$C$6,-1))</f>
        <v/>
      </c>
      <c r="O5528" s="15" t="n"/>
      <c r="P5528" s="15" t="n"/>
      <c r="Q5528" s="10" t="n"/>
      <c r="R5528" s="10" t="n"/>
      <c r="S5528" s="16" t="inlineStr">
        <is>
          <t>https://mstgolf.co.th/products/gf3500100458</t>
        </is>
      </c>
      <c r="T5528" s="1">
        <f>IF(B5528="ไม้กอล์ฟ",J5528,"")</f>
        <v/>
      </c>
    </row>
    <row r="5529">
      <c r="A5529" s="1" t="n">
        <v>3</v>
      </c>
      <c r="B5529" s="1" t="inlineStr">
        <is>
          <t>อุปกรณ์เสริม</t>
        </is>
      </c>
      <c r="C5529" s="1" t="inlineStr">
        <is>
          <t>gf2090200261</t>
        </is>
      </c>
      <c r="D5529" s="1" t="inlineStr">
        <is>
          <t>FOOTJOY ProDry Sports Ankle Socks (Grey)</t>
        </is>
      </c>
      <c r="E5529" s="1" t="inlineStr">
        <is>
          <t>FOOTJOY</t>
        </is>
      </c>
      <c r="F5529" s="1" t="inlineStr">
        <is>
          <t>ANKLE SOCKS</t>
        </is>
      </c>
      <c r="G5529" s="1" t="inlineStr">
        <is>
          <t>GF2090200261</t>
        </is>
      </c>
      <c r="H5529" s="1" t="n">
        <v>1</v>
      </c>
      <c r="I5529" s="1" t="inlineStr">
        <is>
          <t>หมด</t>
        </is>
      </c>
      <c r="J5529" s="13" t="n">
        <v>11</v>
      </c>
      <c r="K5529" s="1" t="inlineStr"/>
      <c r="L5529" s="13" t="n">
        <v>11</v>
      </c>
      <c r="M5529" s="1">
        <f>IF(L5529="","ไม่พบใน SG",IF(ABS(J5529-L5529)&lt;0.005,"ตรงกัน","ไม่ตรง"))</f>
        <v/>
      </c>
      <c r="N5529" s="14">
        <f>IF(L5529="","",ROUND(L5529*'สรุป'!$C$6,-1))</f>
        <v/>
      </c>
      <c r="O5529" s="15" t="n"/>
      <c r="P5529" s="15" t="n"/>
      <c r="Q5529" s="10" t="n"/>
      <c r="R5529" s="10" t="n"/>
      <c r="S5529" s="16" t="inlineStr">
        <is>
          <t>https://mstgolf.co.th/products/gf2090200261</t>
        </is>
      </c>
      <c r="T5529" s="1">
        <f>IF(B5529="ไม้กอล์ฟ",J5529,"")</f>
        <v/>
      </c>
    </row>
    <row r="5530">
      <c r="A5530" s="1" t="n">
        <v>3</v>
      </c>
      <c r="B5530" s="1" t="inlineStr">
        <is>
          <t>อุปกรณ์เสริม</t>
        </is>
      </c>
      <c r="C5530" s="1" t="inlineStr">
        <is>
          <t>gf3500100397</t>
        </is>
      </c>
      <c r="D5530" s="1" t="inlineStr">
        <is>
          <t>TABATA Lift Tee Slim 62mm - 8 pack</t>
        </is>
      </c>
      <c r="E5530" s="1" t="inlineStr">
        <is>
          <t>TABATA</t>
        </is>
      </c>
      <c r="F5530" s="1" t="inlineStr">
        <is>
          <t>TEES</t>
        </is>
      </c>
      <c r="G5530" s="1" t="inlineStr">
        <is>
          <t>GF3500100397</t>
        </is>
      </c>
      <c r="H5530" s="1" t="n">
        <v>1</v>
      </c>
      <c r="I5530" s="1" t="inlineStr">
        <is>
          <t>หมด</t>
        </is>
      </c>
      <c r="J5530" s="13" t="n">
        <v>11</v>
      </c>
      <c r="K5530" s="1" t="inlineStr"/>
      <c r="L5530" s="13" t="n">
        <v>11</v>
      </c>
      <c r="M5530" s="1">
        <f>IF(L5530="","ไม่พบใน SG",IF(ABS(J5530-L5530)&lt;0.005,"ตรงกัน","ไม่ตรง"))</f>
        <v/>
      </c>
      <c r="N5530" s="14">
        <f>IF(L5530="","",ROUND(L5530*'สรุป'!$C$6,-1))</f>
        <v/>
      </c>
      <c r="O5530" s="15" t="n"/>
      <c r="P5530" s="15" t="n"/>
      <c r="Q5530" s="10" t="n"/>
      <c r="R5530" s="10" t="n"/>
      <c r="S5530" s="16" t="inlineStr">
        <is>
          <t>https://mstgolf.co.th/products/gf3500100397</t>
        </is>
      </c>
      <c r="T5530" s="1">
        <f>IF(B5530="ไม้กอล์ฟ",J5530,"")</f>
        <v/>
      </c>
    </row>
    <row r="5531">
      <c r="A5531" s="1" t="n">
        <v>3</v>
      </c>
      <c r="B5531" s="1" t="inlineStr">
        <is>
          <t>อุปกรณ์เสริม</t>
        </is>
      </c>
      <c r="C5531" s="1" t="inlineStr">
        <is>
          <t>gf3500100396</t>
        </is>
      </c>
      <c r="D5531" s="1" t="inlineStr">
        <is>
          <t>TABATA Lift Tee Slim 62mm - 8 pack</t>
        </is>
      </c>
      <c r="E5531" s="1" t="inlineStr">
        <is>
          <t>TABATA</t>
        </is>
      </c>
      <c r="F5531" s="1" t="inlineStr">
        <is>
          <t>TEES</t>
        </is>
      </c>
      <c r="G5531" s="1" t="inlineStr">
        <is>
          <t>GF3500100396</t>
        </is>
      </c>
      <c r="H5531" s="1" t="n">
        <v>1</v>
      </c>
      <c r="I5531" s="1" t="inlineStr">
        <is>
          <t>หมด</t>
        </is>
      </c>
      <c r="J5531" s="13" t="n">
        <v>11</v>
      </c>
      <c r="K5531" s="1" t="inlineStr"/>
      <c r="L5531" s="13" t="n">
        <v>11</v>
      </c>
      <c r="M5531" s="1">
        <f>IF(L5531="","ไม่พบใน SG",IF(ABS(J5531-L5531)&lt;0.005,"ตรงกัน","ไม่ตรง"))</f>
        <v/>
      </c>
      <c r="N5531" s="14">
        <f>IF(L5531="","",ROUND(L5531*'สรุป'!$C$6,-1))</f>
        <v/>
      </c>
      <c r="O5531" s="15" t="n"/>
      <c r="P5531" s="15" t="n"/>
      <c r="Q5531" s="10" t="n"/>
      <c r="R5531" s="10" t="n"/>
      <c r="S5531" s="16" t="inlineStr">
        <is>
          <t>https://mstgolf.co.th/products/gf3500100396</t>
        </is>
      </c>
      <c r="T5531" s="1">
        <f>IF(B5531="ไม้กอล์ฟ",J5531,"")</f>
        <v/>
      </c>
    </row>
    <row r="5532">
      <c r="A5532" s="1" t="n">
        <v>3</v>
      </c>
      <c r="B5532" s="1" t="inlineStr">
        <is>
          <t>อุปกรณ์เสริม</t>
        </is>
      </c>
      <c r="C5532" s="1" t="inlineStr">
        <is>
          <t>gf3500100186</t>
        </is>
      </c>
      <c r="D5532" s="1" t="inlineStr">
        <is>
          <t>CHAMP 1 3/4 Inch White Fly Tee - 20Pcs</t>
        </is>
      </c>
      <c r="E5532" s="1" t="inlineStr">
        <is>
          <t>CHAMP</t>
        </is>
      </c>
      <c r="F5532" s="1" t="inlineStr">
        <is>
          <t>TEES</t>
        </is>
      </c>
      <c r="G5532" s="1" t="inlineStr">
        <is>
          <t>GF3500100186</t>
        </is>
      </c>
      <c r="H5532" s="1" t="n">
        <v>1</v>
      </c>
      <c r="I5532" s="1" t="inlineStr">
        <is>
          <t>หมด</t>
        </is>
      </c>
      <c r="J5532" s="13" t="n">
        <v>10</v>
      </c>
      <c r="K5532" s="1" t="inlineStr"/>
      <c r="L5532" s="13" t="n">
        <v>10</v>
      </c>
      <c r="M5532" s="1">
        <f>IF(L5532="","ไม่พบใน SG",IF(ABS(J5532-L5532)&lt;0.005,"ตรงกัน","ไม่ตรง"))</f>
        <v/>
      </c>
      <c r="N5532" s="14">
        <f>IF(L5532="","",ROUND(L5532*'สรุป'!$C$6,-1))</f>
        <v/>
      </c>
      <c r="O5532" s="15" t="n"/>
      <c r="P5532" s="15" t="n"/>
      <c r="Q5532" s="10" t="n"/>
      <c r="R5532" s="10" t="n"/>
      <c r="S5532" s="16" t="inlineStr">
        <is>
          <t>https://mstgolf.co.th/products/gf3500100186</t>
        </is>
      </c>
      <c r="T5532" s="1">
        <f>IF(B5532="ไม้กอล์ฟ",J5532,"")</f>
        <v/>
      </c>
    </row>
    <row r="5533">
      <c r="A5533" s="1" t="n">
        <v>3</v>
      </c>
      <c r="B5533" s="1" t="inlineStr">
        <is>
          <t>อุปกรณ์เสริม</t>
        </is>
      </c>
      <c r="C5533" s="1" t="inlineStr">
        <is>
          <t>gf3500100394</t>
        </is>
      </c>
      <c r="D5533" s="1" t="inlineStr">
        <is>
          <t>GENERAL ITEM Dr. Tee - 4 Tees &amp; 1 Base</t>
        </is>
      </c>
      <c r="E5533" s="1" t="inlineStr">
        <is>
          <t>GENERAL ITEM</t>
        </is>
      </c>
      <c r="F5533" s="1" t="inlineStr">
        <is>
          <t>TEES</t>
        </is>
      </c>
      <c r="G5533" s="1" t="inlineStr">
        <is>
          <t>GF3500100394</t>
        </is>
      </c>
      <c r="H5533" s="1" t="n">
        <v>1</v>
      </c>
      <c r="I5533" s="1" t="inlineStr">
        <is>
          <t>หมด</t>
        </is>
      </c>
      <c r="J5533" s="13" t="n">
        <v>10</v>
      </c>
      <c r="K5533" s="1" t="inlineStr"/>
      <c r="L5533" s="13" t="n">
        <v>10</v>
      </c>
      <c r="M5533" s="1">
        <f>IF(L5533="","ไม่พบใน SG",IF(ABS(J5533-L5533)&lt;0.005,"ตรงกัน","ไม่ตรง"))</f>
        <v/>
      </c>
      <c r="N5533" s="14">
        <f>IF(L5533="","",ROUND(L5533*'สรุป'!$C$6,-1))</f>
        <v/>
      </c>
      <c r="O5533" s="15" t="n"/>
      <c r="P5533" s="15" t="n"/>
      <c r="Q5533" s="10" t="n"/>
      <c r="R5533" s="10" t="n"/>
      <c r="S5533" s="16" t="inlineStr">
        <is>
          <t>https://mstgolf.co.th/products/gf3500100394</t>
        </is>
      </c>
      <c r="T5533" s="1">
        <f>IF(B5533="ไม้กอล์ฟ",J5533,"")</f>
        <v/>
      </c>
    </row>
    <row r="5534">
      <c r="A5534" s="1" t="n">
        <v>3</v>
      </c>
      <c r="B5534" s="1" t="inlineStr">
        <is>
          <t>อุปกรณ์เสริม</t>
        </is>
      </c>
      <c r="C5534" s="1" t="inlineStr">
        <is>
          <t>gf3190300008</t>
        </is>
      </c>
      <c r="D5534" s="1" t="inlineStr">
        <is>
          <t>GENERAL ITEM Panasonic 3V Lithium Battery</t>
        </is>
      </c>
      <c r="E5534" s="1" t="inlineStr">
        <is>
          <t>GENERAL ITEM</t>
        </is>
      </c>
      <c r="F5534" s="1" t="inlineStr">
        <is>
          <t>ACCESSORIES</t>
        </is>
      </c>
      <c r="G5534" s="1" t="inlineStr">
        <is>
          <t>GF3190300008</t>
        </is>
      </c>
      <c r="H5534" s="1" t="n">
        <v>1</v>
      </c>
      <c r="I5534" s="1" t="inlineStr">
        <is>
          <t>หมด</t>
        </is>
      </c>
      <c r="J5534" s="13" t="n">
        <v>10</v>
      </c>
      <c r="K5534" s="1" t="inlineStr"/>
      <c r="L5534" s="13" t="n">
        <v>10</v>
      </c>
      <c r="M5534" s="1">
        <f>IF(L5534="","ไม่พบใน SG",IF(ABS(J5534-L5534)&lt;0.005,"ตรงกัน","ไม่ตรง"))</f>
        <v/>
      </c>
      <c r="N5534" s="14">
        <f>IF(L5534="","",ROUND(L5534*'สรุป'!$C$6,-1))</f>
        <v/>
      </c>
      <c r="O5534" s="15" t="n"/>
      <c r="P5534" s="15" t="n"/>
      <c r="Q5534" s="10" t="n"/>
      <c r="R5534" s="10" t="n"/>
      <c r="S5534" s="16" t="inlineStr">
        <is>
          <t>https://mstgolf.co.th/products/gf3190300008</t>
        </is>
      </c>
      <c r="T5534" s="1">
        <f>IF(B5534="ไม้กอล์ฟ",J5534,"")</f>
        <v/>
      </c>
    </row>
    <row r="5535">
      <c r="A5535" s="1" t="n">
        <v>3</v>
      </c>
      <c r="B5535" s="1" t="inlineStr">
        <is>
          <t>อุปกรณ์เสริม</t>
        </is>
      </c>
      <c r="C5535" s="1" t="inlineStr">
        <is>
          <t>gf3080100068</t>
        </is>
      </c>
      <c r="D5535" s="1" t="inlineStr">
        <is>
          <t>GENERAL ITEM Sunplay After Sun Gel (200g)</t>
        </is>
      </c>
      <c r="E5535" s="1" t="inlineStr">
        <is>
          <t>GENERAL ITEM</t>
        </is>
      </c>
      <c r="F5535" s="1" t="inlineStr">
        <is>
          <t>SUNBLOCK &amp; SUNTAN</t>
        </is>
      </c>
      <c r="G5535" s="1" t="inlineStr">
        <is>
          <t>GF3080100068</t>
        </is>
      </c>
      <c r="H5535" s="1" t="n">
        <v>1</v>
      </c>
      <c r="I5535" s="1" t="inlineStr">
        <is>
          <t>หมด</t>
        </is>
      </c>
      <c r="J5535" s="13" t="n">
        <v>10</v>
      </c>
      <c r="K5535" s="1" t="inlineStr"/>
      <c r="L5535" s="13" t="n">
        <v>10</v>
      </c>
      <c r="M5535" s="1">
        <f>IF(L5535="","ไม่พบใน SG",IF(ABS(J5535-L5535)&lt;0.005,"ตรงกัน","ไม่ตรง"))</f>
        <v/>
      </c>
      <c r="N5535" s="14">
        <f>IF(L5535="","",ROUND(L5535*'สรุป'!$C$6,-1))</f>
        <v/>
      </c>
      <c r="O5535" s="15" t="n"/>
      <c r="P5535" s="15" t="n"/>
      <c r="Q5535" s="10" t="n"/>
      <c r="R5535" s="10" t="n"/>
      <c r="S5535" s="16" t="inlineStr">
        <is>
          <t>https://mstgolf.co.th/products/gf3080100068</t>
        </is>
      </c>
      <c r="T5535" s="1">
        <f>IF(B5535="ไม้กอล์ฟ",J5535,"")</f>
        <v/>
      </c>
    </row>
    <row r="5536">
      <c r="A5536" s="1" t="n">
        <v>3</v>
      </c>
      <c r="B5536" s="1" t="inlineStr">
        <is>
          <t>อุปกรณ์เสริม</t>
        </is>
      </c>
      <c r="C5536" s="1" t="inlineStr">
        <is>
          <t>gf3500300444</t>
        </is>
      </c>
      <c r="D5536" s="1" t="inlineStr">
        <is>
          <t>CREATIVE COVERS Batman Tee Caddy - Hold 2 _" Tees &amp; 2 Markers</t>
        </is>
      </c>
      <c r="E5536" s="1" t="inlineStr">
        <is>
          <t>CREATIVE COVERS</t>
        </is>
      </c>
      <c r="F5536" s="1" t="inlineStr">
        <is>
          <t>GOLF ACCESSORIES</t>
        </is>
      </c>
      <c r="G5536" s="1" t="inlineStr">
        <is>
          <t>GF3500300444</t>
        </is>
      </c>
      <c r="H5536" s="1" t="n">
        <v>1</v>
      </c>
      <c r="I5536" s="1" t="inlineStr">
        <is>
          <t>หมด</t>
        </is>
      </c>
      <c r="J5536" s="13" t="n">
        <v>9.9</v>
      </c>
      <c r="K5536" s="1" t="inlineStr"/>
      <c r="L5536" s="13" t="n">
        <v>9.9</v>
      </c>
      <c r="M5536" s="1">
        <f>IF(L5536="","ไม่พบใน SG",IF(ABS(J5536-L5536)&lt;0.005,"ตรงกัน","ไม่ตรง"))</f>
        <v/>
      </c>
      <c r="N5536" s="14">
        <f>IF(L5536="","",ROUND(L5536*'สรุป'!$C$6,-1))</f>
        <v/>
      </c>
      <c r="O5536" s="15" t="n"/>
      <c r="P5536" s="15" t="n"/>
      <c r="Q5536" s="10" t="n"/>
      <c r="R5536" s="10" t="n"/>
      <c r="S5536" s="16" t="inlineStr">
        <is>
          <t>https://mstgolf.co.th/products/gf3500300444</t>
        </is>
      </c>
      <c r="T5536" s="1">
        <f>IF(B5536="ไม้กอล์ฟ",J5536,"")</f>
        <v/>
      </c>
    </row>
    <row r="5537">
      <c r="A5537" s="1" t="n">
        <v>3</v>
      </c>
      <c r="B5537" s="1" t="inlineStr">
        <is>
          <t>อุปกรณ์เสริม</t>
        </is>
      </c>
      <c r="C5537" s="1" t="inlineStr">
        <is>
          <t>gf3500300445</t>
        </is>
      </c>
      <c r="D5537" s="1" t="inlineStr">
        <is>
          <t>CREATIVE COVERS Superman Tee Caddy - Hold 2 _" Tees &amp; 2 Markers</t>
        </is>
      </c>
      <c r="E5537" s="1" t="inlineStr">
        <is>
          <t>CREATIVE COVERS</t>
        </is>
      </c>
      <c r="F5537" s="1" t="inlineStr">
        <is>
          <t>GOLF ACCESSORIES</t>
        </is>
      </c>
      <c r="G5537" s="1" t="inlineStr">
        <is>
          <t>GF3500300445</t>
        </is>
      </c>
      <c r="H5537" s="1" t="n">
        <v>1</v>
      </c>
      <c r="I5537" s="1" t="inlineStr">
        <is>
          <t>หมด</t>
        </is>
      </c>
      <c r="J5537" s="13" t="n">
        <v>9.9</v>
      </c>
      <c r="K5537" s="1" t="inlineStr"/>
      <c r="L5537" s="13" t="n">
        <v>9.9</v>
      </c>
      <c r="M5537" s="1">
        <f>IF(L5537="","ไม่พบใน SG",IF(ABS(J5537-L5537)&lt;0.005,"ตรงกัน","ไม่ตรง"))</f>
        <v/>
      </c>
      <c r="N5537" s="14">
        <f>IF(L5537="","",ROUND(L5537*'สรุป'!$C$6,-1))</f>
        <v/>
      </c>
      <c r="O5537" s="15" t="n"/>
      <c r="P5537" s="15" t="n"/>
      <c r="Q5537" s="10" t="n"/>
      <c r="R5537" s="10" t="n"/>
      <c r="S5537" s="16" t="inlineStr">
        <is>
          <t>https://mstgolf.co.th/products/gf3500300445</t>
        </is>
      </c>
      <c r="T5537" s="1">
        <f>IF(B5537="ไม้กอล์ฟ",J5537,"")</f>
        <v/>
      </c>
    </row>
    <row r="5538">
      <c r="A5538" s="1" t="n">
        <v>3</v>
      </c>
      <c r="B5538" s="1" t="inlineStr">
        <is>
          <t>อุปกรณ์เสริม</t>
        </is>
      </c>
      <c r="C5538" s="1" t="inlineStr">
        <is>
          <t>gf2090200298</t>
        </is>
      </c>
      <c r="D5538" s="1" t="inlineStr">
        <is>
          <t>LE COQ SPORTIF GOLF Men's Ankle Socks (White)</t>
        </is>
      </c>
      <c r="E5538" s="1" t="inlineStr">
        <is>
          <t>LE COQ SPORTIF GOLF</t>
        </is>
      </c>
      <c r="F5538" s="1" t="inlineStr">
        <is>
          <t>ANKLE SOCKS</t>
        </is>
      </c>
      <c r="G5538" s="1" t="inlineStr">
        <is>
          <t>GF209020029825-27</t>
        </is>
      </c>
      <c r="H5538" s="1" t="n">
        <v>1</v>
      </c>
      <c r="I5538" s="1" t="inlineStr">
        <is>
          <t>หมด</t>
        </is>
      </c>
      <c r="J5538" s="13" t="n">
        <v>9</v>
      </c>
      <c r="K5538" s="1" t="inlineStr"/>
      <c r="L5538" s="13" t="n"/>
      <c r="M5538" s="1">
        <f>IF(L5538="","ไม่พบใน SG",IF(ABS(J5538-L5538)&lt;0.005,"ตรงกัน","ไม่ตรง"))</f>
        <v/>
      </c>
      <c r="N5538" s="14">
        <f>IF(L5538="","",ROUND(L5538*'สรุป'!$C$6,-1))</f>
        <v/>
      </c>
      <c r="O5538" s="15" t="n"/>
      <c r="P5538" s="15" t="n"/>
      <c r="Q5538" s="10" t="n"/>
      <c r="R5538" s="10" t="n"/>
      <c r="S5538" s="16" t="inlineStr">
        <is>
          <t>https://mstgolf.co.th/products/gf2090200298</t>
        </is>
      </c>
      <c r="T5538" s="1">
        <f>IF(B5538="ไม้กอล์ฟ",J5538,"")</f>
        <v/>
      </c>
    </row>
    <row r="5539">
      <c r="A5539" s="1" t="n">
        <v>3</v>
      </c>
      <c r="B5539" s="1" t="inlineStr">
        <is>
          <t>อุปกรณ์เสริม</t>
        </is>
      </c>
      <c r="C5539" s="1" t="inlineStr">
        <is>
          <t>gf3500100320</t>
        </is>
      </c>
      <c r="D5539" s="1" t="inlineStr">
        <is>
          <t>TABATA Lift Tee 78mm</t>
        </is>
      </c>
      <c r="E5539" s="1" t="inlineStr">
        <is>
          <t>TABATA</t>
        </is>
      </c>
      <c r="F5539" s="1" t="inlineStr">
        <is>
          <t>TEES</t>
        </is>
      </c>
      <c r="G5539" s="1" t="inlineStr">
        <is>
          <t>GF3500100320</t>
        </is>
      </c>
      <c r="H5539" s="1" t="n">
        <v>1</v>
      </c>
      <c r="I5539" s="1" t="inlineStr">
        <is>
          <t>หมด</t>
        </is>
      </c>
      <c r="J5539" s="13" t="n">
        <v>9</v>
      </c>
      <c r="K5539" s="1" t="inlineStr"/>
      <c r="L5539" s="13" t="n">
        <v>9</v>
      </c>
      <c r="M5539" s="1">
        <f>IF(L5539="","ไม่พบใน SG",IF(ABS(J5539-L5539)&lt;0.005,"ตรงกัน","ไม่ตรง"))</f>
        <v/>
      </c>
      <c r="N5539" s="14">
        <f>IF(L5539="","",ROUND(L5539*'สรุป'!$C$6,-1))</f>
        <v/>
      </c>
      <c r="O5539" s="15" t="n"/>
      <c r="P5539" s="15" t="n"/>
      <c r="Q5539" s="10" t="n"/>
      <c r="R5539" s="10" t="n"/>
      <c r="S5539" s="16" t="inlineStr">
        <is>
          <t>https://mstgolf.co.th/products/gf3500100320</t>
        </is>
      </c>
      <c r="T5539" s="1">
        <f>IF(B5539="ไม้กอล์ฟ",J5539,"")</f>
        <v/>
      </c>
    </row>
    <row r="5540">
      <c r="A5540" s="1" t="n">
        <v>3</v>
      </c>
      <c r="B5540" s="1" t="inlineStr">
        <is>
          <t>อุปกรณ์เสริม</t>
        </is>
      </c>
      <c r="C5540" s="1" t="inlineStr">
        <is>
          <t>gf3170200008</t>
        </is>
      </c>
      <c r="D5540" s="1" t="inlineStr">
        <is>
          <t>CHAMP PRO SPIKE WRENCH</t>
        </is>
      </c>
      <c r="E5540" s="1" t="inlineStr">
        <is>
          <t>CHAMP</t>
        </is>
      </c>
      <c r="F5540" s="1" t="inlineStr">
        <is>
          <t>GOLF ACCESSORIES</t>
        </is>
      </c>
      <c r="G5540" s="1" t="inlineStr">
        <is>
          <t>GF3170200008</t>
        </is>
      </c>
      <c r="H5540" s="1" t="n">
        <v>1</v>
      </c>
      <c r="I5540" s="1" t="inlineStr">
        <is>
          <t>หมด</t>
        </is>
      </c>
      <c r="J5540" s="13" t="n">
        <v>8.5</v>
      </c>
      <c r="K5540" s="1" t="inlineStr"/>
      <c r="L5540" s="13" t="n">
        <v>8.5</v>
      </c>
      <c r="M5540" s="1">
        <f>IF(L5540="","ไม่พบใน SG",IF(ABS(J5540-L5540)&lt;0.005,"ตรงกัน","ไม่ตรง"))</f>
        <v/>
      </c>
      <c r="N5540" s="14">
        <f>IF(L5540="","",ROUND(L5540*'สรุป'!$C$6,-1))</f>
        <v/>
      </c>
      <c r="O5540" s="15" t="n"/>
      <c r="P5540" s="15" t="n"/>
      <c r="Q5540" s="10" t="n"/>
      <c r="R5540" s="10" t="n"/>
      <c r="S5540" s="16" t="inlineStr">
        <is>
          <t>https://mstgolf.co.th/products/gf3170200008</t>
        </is>
      </c>
      <c r="T5540" s="1">
        <f>IF(B5540="ไม้กอล์ฟ",J5540,"")</f>
        <v/>
      </c>
    </row>
    <row r="5541">
      <c r="A5541" s="1" t="n">
        <v>3</v>
      </c>
      <c r="B5541" s="1" t="inlineStr">
        <is>
          <t>อุปกรณ์เสริม</t>
        </is>
      </c>
      <c r="C5541" s="1" t="inlineStr">
        <is>
          <t>gf3500300931</t>
        </is>
      </c>
      <c r="D5541" s="1" t="inlineStr">
        <is>
          <t>GOLF LITE R-29 Lite Safety Ball - 6 Pieces</t>
        </is>
      </c>
      <c r="E5541" s="1" t="inlineStr">
        <is>
          <t>GOLF LITE</t>
        </is>
      </c>
      <c r="F5541" s="1" t="inlineStr">
        <is>
          <t>GOLF ACCESSORIES</t>
        </is>
      </c>
      <c r="G5541" s="1" t="inlineStr">
        <is>
          <t>GF3500300931</t>
        </is>
      </c>
      <c r="H5541" s="1" t="n">
        <v>1</v>
      </c>
      <c r="I5541" s="1" t="inlineStr">
        <is>
          <t>หมด</t>
        </is>
      </c>
      <c r="J5541" s="13" t="n">
        <v>8</v>
      </c>
      <c r="K5541" s="1" t="inlineStr"/>
      <c r="L5541" s="13" t="n">
        <v>8</v>
      </c>
      <c r="M5541" s="1">
        <f>IF(L5541="","ไม่พบใน SG",IF(ABS(J5541-L5541)&lt;0.005,"ตรงกัน","ไม่ตรง"))</f>
        <v/>
      </c>
      <c r="N5541" s="14">
        <f>IF(L5541="","",ROUND(L5541*'สรุป'!$C$6,-1))</f>
        <v/>
      </c>
      <c r="O5541" s="15" t="n"/>
      <c r="P5541" s="15" t="n"/>
      <c r="Q5541" s="10" t="n"/>
      <c r="R5541" s="10" t="n"/>
      <c r="S5541" s="16" t="inlineStr">
        <is>
          <t>https://mstgolf.co.th/products/gf3500300931</t>
        </is>
      </c>
      <c r="T5541" s="1">
        <f>IF(B5541="ไม้กอล์ฟ",J5541,"")</f>
        <v/>
      </c>
    </row>
    <row r="5542">
      <c r="A5542" s="1" t="n">
        <v>3</v>
      </c>
      <c r="B5542" s="1" t="inlineStr">
        <is>
          <t>อุปกรณ์เสริม</t>
        </is>
      </c>
      <c r="C5542" s="1" t="inlineStr">
        <is>
          <t>gf2090300228</t>
        </is>
      </c>
      <c r="D5542" s="1" t="inlineStr">
        <is>
          <t>ADIDAS 3-Stripes Women's Crew Socks (White/Pink)</t>
        </is>
      </c>
      <c r="E5542" s="1" t="inlineStr">
        <is>
          <t>ADIDAS</t>
        </is>
      </c>
      <c r="F5542" s="1" t="inlineStr">
        <is>
          <t>CREW/QUARTER SOCKS</t>
        </is>
      </c>
      <c r="G5542" s="1" t="inlineStr">
        <is>
          <t>GF2090300228M</t>
        </is>
      </c>
      <c r="H5542" s="1" t="n">
        <v>2</v>
      </c>
      <c r="I5542" s="1" t="inlineStr">
        <is>
          <t>หมด</t>
        </is>
      </c>
      <c r="J5542" s="13" t="n">
        <v>7</v>
      </c>
      <c r="K5542" s="1" t="inlineStr"/>
      <c r="L5542" s="13" t="n"/>
      <c r="M5542" s="1">
        <f>IF(L5542="","ไม่พบใน SG",IF(ABS(J5542-L5542)&lt;0.005,"ตรงกัน","ไม่ตรง"))</f>
        <v/>
      </c>
      <c r="N5542" s="14">
        <f>IF(L5542="","",ROUND(L5542*'สรุป'!$C$6,-1))</f>
        <v/>
      </c>
      <c r="O5542" s="15" t="n"/>
      <c r="P5542" s="15" t="n"/>
      <c r="Q5542" s="10" t="n"/>
      <c r="R5542" s="10" t="n"/>
      <c r="S5542" s="16" t="inlineStr">
        <is>
          <t>https://mstgolf.co.th/products/gf2090300228</t>
        </is>
      </c>
      <c r="T5542" s="1">
        <f>IF(B5542="ไม้กอล์ฟ",J5542,"")</f>
        <v/>
      </c>
    </row>
    <row r="5543">
      <c r="A5543" s="1" t="n">
        <v>3</v>
      </c>
      <c r="B5543" s="1" t="inlineStr">
        <is>
          <t>อุปกรณ์เสริม</t>
        </is>
      </c>
      <c r="C5543" s="1" t="inlineStr">
        <is>
          <t>gf3500100442</t>
        </is>
      </c>
      <c r="D5543" s="1" t="inlineStr">
        <is>
          <t>GOLF LITE T-311 Lite Power Coil Tee 80/48mm</t>
        </is>
      </c>
      <c r="E5543" s="1" t="inlineStr">
        <is>
          <t>GOLF LITE</t>
        </is>
      </c>
      <c r="F5543" s="1" t="inlineStr">
        <is>
          <t>TEES</t>
        </is>
      </c>
      <c r="G5543" s="1" t="inlineStr">
        <is>
          <t>GF3500100442</t>
        </is>
      </c>
      <c r="H5543" s="1" t="n">
        <v>1</v>
      </c>
      <c r="I5543" s="1" t="inlineStr">
        <is>
          <t>หมด</t>
        </is>
      </c>
      <c r="J5543" s="13" t="n">
        <v>6</v>
      </c>
      <c r="K5543" s="1" t="inlineStr"/>
      <c r="L5543" s="13" t="n">
        <v>6</v>
      </c>
      <c r="M5543" s="1">
        <f>IF(L5543="","ไม่พบใน SG",IF(ABS(J5543-L5543)&lt;0.005,"ตรงกัน","ไม่ตรง"))</f>
        <v/>
      </c>
      <c r="N5543" s="14">
        <f>IF(L5543="","",ROUND(L5543*'สรุป'!$C$6,-1))</f>
        <v/>
      </c>
      <c r="O5543" s="15" t="n"/>
      <c r="P5543" s="15" t="n"/>
      <c r="Q5543" s="10" t="n"/>
      <c r="R5543" s="10" t="n"/>
      <c r="S5543" s="16" t="inlineStr">
        <is>
          <t>https://mstgolf.co.th/products/gf3500100442</t>
        </is>
      </c>
      <c r="T5543" s="1">
        <f>IF(B5543="ไม้กอล์ฟ",J5543,"")</f>
        <v/>
      </c>
    </row>
    <row r="5544">
      <c r="A5544" s="1" t="n">
        <v>3</v>
      </c>
      <c r="B5544" s="1" t="inlineStr">
        <is>
          <t>อุปกรณ์เสริม</t>
        </is>
      </c>
      <c r="C5544" s="1" t="inlineStr">
        <is>
          <t>gf3500100316</t>
        </is>
      </c>
      <c r="D5544" s="1" t="inlineStr">
        <is>
          <t>TABATA Action Tee 45mm</t>
        </is>
      </c>
      <c r="E5544" s="1" t="inlineStr">
        <is>
          <t>TABATA</t>
        </is>
      </c>
      <c r="F5544" s="1" t="inlineStr">
        <is>
          <t>TEES</t>
        </is>
      </c>
      <c r="G5544" s="1" t="inlineStr">
        <is>
          <t>GF3500100316</t>
        </is>
      </c>
      <c r="H5544" s="1" t="n">
        <v>1</v>
      </c>
      <c r="I5544" s="1" t="inlineStr">
        <is>
          <t>หมด</t>
        </is>
      </c>
      <c r="J5544" s="13" t="n">
        <v>6</v>
      </c>
      <c r="K5544" s="1" t="inlineStr"/>
      <c r="L5544" s="13" t="n">
        <v>6</v>
      </c>
      <c r="M5544" s="1">
        <f>IF(L5544="","ไม่พบใน SG",IF(ABS(J5544-L5544)&lt;0.005,"ตรงกัน","ไม่ตรง"))</f>
        <v/>
      </c>
      <c r="N5544" s="14">
        <f>IF(L5544="","",ROUND(L5544*'สรุป'!$C$6,-1))</f>
        <v/>
      </c>
      <c r="O5544" s="15" t="n"/>
      <c r="P5544" s="15" t="n"/>
      <c r="Q5544" s="10" t="n"/>
      <c r="R5544" s="10" t="n"/>
      <c r="S5544" s="16" t="inlineStr">
        <is>
          <t>https://mstgolf.co.th/products/gf3500100316</t>
        </is>
      </c>
      <c r="T5544" s="1">
        <f>IF(B5544="ไม้กอล์ฟ",J5544,"")</f>
        <v/>
      </c>
    </row>
    <row r="5545">
      <c r="A5545" s="1" t="n">
        <v>3</v>
      </c>
      <c r="B5545" s="1" t="inlineStr">
        <is>
          <t>อุปกรณ์เสริม</t>
        </is>
      </c>
      <c r="C5545" s="1" t="inlineStr">
        <is>
          <t>gf3500300636</t>
        </is>
      </c>
      <c r="D5545" s="1" t="inlineStr">
        <is>
          <t>GENERAL ITEM Paragon Golf Ball Cleaner</t>
        </is>
      </c>
      <c r="E5545" s="1" t="inlineStr">
        <is>
          <t>GENERAL ITEM</t>
        </is>
      </c>
      <c r="F5545" s="1" t="inlineStr">
        <is>
          <t>GOLF ACCESSORIES</t>
        </is>
      </c>
      <c r="G5545" s="1" t="inlineStr">
        <is>
          <t>GF3500300636</t>
        </is>
      </c>
      <c r="H5545" s="1" t="n">
        <v>1</v>
      </c>
      <c r="I5545" s="1" t="inlineStr">
        <is>
          <t>หมด</t>
        </is>
      </c>
      <c r="J5545" s="13" t="n">
        <v>5.5</v>
      </c>
      <c r="K5545" s="1" t="inlineStr"/>
      <c r="L5545" s="13" t="n">
        <v>5.5</v>
      </c>
      <c r="M5545" s="1">
        <f>IF(L5545="","ไม่พบใน SG",IF(ABS(J5545-L5545)&lt;0.005,"ตรงกัน","ไม่ตรง"))</f>
        <v/>
      </c>
      <c r="N5545" s="14">
        <f>IF(L5545="","",ROUND(L5545*'สรุป'!$C$6,-1))</f>
        <v/>
      </c>
      <c r="O5545" s="15" t="n"/>
      <c r="P5545" s="15" t="n"/>
      <c r="Q5545" s="10" t="n"/>
      <c r="R5545" s="10" t="n"/>
      <c r="S5545" s="16" t="inlineStr">
        <is>
          <t>https://mstgolf.co.th/products/gf3500300636</t>
        </is>
      </c>
      <c r="T5545" s="1">
        <f>IF(B5545="ไม้กอล์ฟ",J5545,"")</f>
        <v/>
      </c>
    </row>
    <row r="5546">
      <c r="A5546" s="1" t="n">
        <v>3</v>
      </c>
      <c r="B5546" s="1" t="inlineStr">
        <is>
          <t>อุปกรณ์เสริม</t>
        </is>
      </c>
      <c r="C5546" s="1" t="inlineStr">
        <is>
          <t>gf3500300932</t>
        </is>
      </c>
      <c r="D5546" s="1" t="inlineStr">
        <is>
          <t>GOLF LITE R-39 Skeleton P-Ball - 6 Pieces</t>
        </is>
      </c>
      <c r="E5546" s="1" t="inlineStr">
        <is>
          <t>GOLF LITE</t>
        </is>
      </c>
      <c r="F5546" s="1" t="inlineStr">
        <is>
          <t>GOLF ACCESSORIES</t>
        </is>
      </c>
      <c r="G5546" s="1" t="inlineStr">
        <is>
          <t>GF3500300932</t>
        </is>
      </c>
      <c r="H5546" s="1" t="n">
        <v>1</v>
      </c>
      <c r="I5546" s="1" t="inlineStr">
        <is>
          <t>หมด</t>
        </is>
      </c>
      <c r="J5546" s="13" t="n">
        <v>5</v>
      </c>
      <c r="K5546" s="1" t="inlineStr"/>
      <c r="L5546" s="13" t="n">
        <v>5</v>
      </c>
      <c r="M5546" s="1">
        <f>IF(L5546="","ไม่พบใน SG",IF(ABS(J5546-L5546)&lt;0.005,"ตรงกัน","ไม่ตรง"))</f>
        <v/>
      </c>
      <c r="N5546" s="14">
        <f>IF(L5546="","",ROUND(L5546*'สรุป'!$C$6,-1))</f>
        <v/>
      </c>
      <c r="O5546" s="15" t="n"/>
      <c r="P5546" s="15" t="n"/>
      <c r="Q5546" s="10" t="n"/>
      <c r="R5546" s="10" t="n"/>
      <c r="S5546" s="16" t="inlineStr">
        <is>
          <t>https://mstgolf.co.th/products/gf3500300932</t>
        </is>
      </c>
      <c r="T5546" s="1">
        <f>IF(B5546="ไม้กอล์ฟ",J5546,"")</f>
        <v/>
      </c>
    </row>
    <row r="5547">
      <c r="A5547" s="1" t="n">
        <v>3</v>
      </c>
      <c r="B5547" s="1" t="inlineStr">
        <is>
          <t>อุปกรณ์เสริม</t>
        </is>
      </c>
      <c r="C5547" s="1" t="inlineStr">
        <is>
          <t>gf3500100447</t>
        </is>
      </c>
      <c r="D5547" s="1" t="inlineStr">
        <is>
          <t>GOLF LITE T-442 Wood Tee 40mm</t>
        </is>
      </c>
      <c r="E5547" s="1" t="inlineStr">
        <is>
          <t>GOLF LITE</t>
        </is>
      </c>
      <c r="F5547" s="1" t="inlineStr">
        <is>
          <t>TEES</t>
        </is>
      </c>
      <c r="G5547" s="1" t="inlineStr">
        <is>
          <t>GF3500100447</t>
        </is>
      </c>
      <c r="H5547" s="1" t="n">
        <v>1</v>
      </c>
      <c r="I5547" s="1" t="inlineStr">
        <is>
          <t>หมด</t>
        </is>
      </c>
      <c r="J5547" s="13" t="n">
        <v>5</v>
      </c>
      <c r="K5547" s="1" t="inlineStr"/>
      <c r="L5547" s="13" t="n">
        <v>5</v>
      </c>
      <c r="M5547" s="1">
        <f>IF(L5547="","ไม่พบใน SG",IF(ABS(J5547-L5547)&lt;0.005,"ตรงกัน","ไม่ตรง"))</f>
        <v/>
      </c>
      <c r="N5547" s="14">
        <f>IF(L5547="","",ROUND(L5547*'สรุป'!$C$6,-1))</f>
        <v/>
      </c>
      <c r="O5547" s="15" t="n"/>
      <c r="P5547" s="15" t="n"/>
      <c r="Q5547" s="10" t="n"/>
      <c r="R5547" s="10" t="n"/>
      <c r="S5547" s="16" t="inlineStr">
        <is>
          <t>https://mstgolf.co.th/products/gf3500100447</t>
        </is>
      </c>
      <c r="T5547" s="1">
        <f>IF(B5547="ไม้กอล์ฟ",J5547,"")</f>
        <v/>
      </c>
    </row>
    <row r="5548">
      <c r="A5548" s="1" t="n">
        <v>3</v>
      </c>
      <c r="B5548" s="1" t="inlineStr">
        <is>
          <t>อุปกรณ์เสริม</t>
        </is>
      </c>
      <c r="C5548" s="1" t="inlineStr">
        <is>
          <t>gf3500100374</t>
        </is>
      </c>
      <c r="D5548" s="1" t="inlineStr">
        <is>
          <t>TABATA Plastic Tee 55mm</t>
        </is>
      </c>
      <c r="E5548" s="1" t="inlineStr">
        <is>
          <t>TABATA</t>
        </is>
      </c>
      <c r="F5548" s="1" t="inlineStr">
        <is>
          <t>TEES</t>
        </is>
      </c>
      <c r="G5548" s="1" t="inlineStr">
        <is>
          <t>GF3500100374</t>
        </is>
      </c>
      <c r="H5548" s="1" t="n">
        <v>1</v>
      </c>
      <c r="I5548" s="1" t="inlineStr">
        <is>
          <t>หมด</t>
        </is>
      </c>
      <c r="J5548" s="13" t="n">
        <v>5</v>
      </c>
      <c r="K5548" s="1" t="inlineStr"/>
      <c r="L5548" s="13" t="n">
        <v>5</v>
      </c>
      <c r="M5548" s="1">
        <f>IF(L5548="","ไม่พบใน SG",IF(ABS(J5548-L5548)&lt;0.005,"ตรงกัน","ไม่ตรง"))</f>
        <v/>
      </c>
      <c r="N5548" s="14">
        <f>IF(L5548="","",ROUND(L5548*'สรุป'!$C$6,-1))</f>
        <v/>
      </c>
      <c r="O5548" s="15" t="n"/>
      <c r="P5548" s="15" t="n"/>
      <c r="Q5548" s="10" t="n"/>
      <c r="R5548" s="10" t="n"/>
      <c r="S5548" s="16" t="inlineStr">
        <is>
          <t>https://mstgolf.co.th/products/gf3500100374</t>
        </is>
      </c>
      <c r="T5548" s="1">
        <f>IF(B5548="ไม้กอล์ฟ",J5548,"")</f>
        <v/>
      </c>
    </row>
    <row r="5549">
      <c r="A5549" s="1" t="n">
        <v>3</v>
      </c>
      <c r="B5549" s="1" t="inlineStr">
        <is>
          <t>อุปกรณ์เสริม</t>
        </is>
      </c>
      <c r="C5549" s="1" t="inlineStr">
        <is>
          <t>gf3500300392</t>
        </is>
      </c>
      <c r="D5549" s="1" t="inlineStr">
        <is>
          <t>GENERAL ITEM PARAGON SWING RING WARM-UP DONUT</t>
        </is>
      </c>
      <c r="E5549" s="1" t="inlineStr">
        <is>
          <t>GENERAL ITEM</t>
        </is>
      </c>
      <c r="F5549" s="1" t="inlineStr">
        <is>
          <t>GOLF ACCESSORIES</t>
        </is>
      </c>
      <c r="G5549" s="1" t="inlineStr">
        <is>
          <t>GF3500300392</t>
        </is>
      </c>
      <c r="H5549" s="1" t="n">
        <v>1</v>
      </c>
      <c r="I5549" s="1" t="inlineStr">
        <is>
          <t>หมด</t>
        </is>
      </c>
      <c r="J5549" s="13" t="n">
        <v>4</v>
      </c>
      <c r="K5549" s="1" t="inlineStr"/>
      <c r="L5549" s="13" t="n">
        <v>4</v>
      </c>
      <c r="M5549" s="1">
        <f>IF(L5549="","ไม่พบใน SG",IF(ABS(J5549-L5549)&lt;0.005,"ตรงกัน","ไม่ตรง"))</f>
        <v/>
      </c>
      <c r="N5549" s="14">
        <f>IF(L5549="","",ROUND(L5549*'สรุป'!$C$6,-1))</f>
        <v/>
      </c>
      <c r="O5549" s="15" t="n"/>
      <c r="P5549" s="15" t="n"/>
      <c r="Q5549" s="10" t="n"/>
      <c r="R5549" s="10" t="n"/>
      <c r="S5549" s="16" t="inlineStr">
        <is>
          <t>https://mstgolf.co.th/products/gf3500300392</t>
        </is>
      </c>
      <c r="T5549" s="1">
        <f>IF(B5549="ไม้กอล์ฟ",J5549,"")</f>
        <v/>
      </c>
    </row>
    <row r="5550">
      <c r="A5550" s="1" t="n">
        <v>3</v>
      </c>
      <c r="B5550" s="1" t="inlineStr">
        <is>
          <t>อุปกรณ์เสริม</t>
        </is>
      </c>
      <c r="C5550" s="1" t="inlineStr">
        <is>
          <t>gf3500300385</t>
        </is>
      </c>
      <c r="D5550" s="1" t="inlineStr">
        <is>
          <t>GENERAL ITEM Paragon Eva Foam Ball - 6Pcs/Pack (Red)</t>
        </is>
      </c>
      <c r="E5550" s="1" t="inlineStr">
        <is>
          <t>GENERAL ITEM</t>
        </is>
      </c>
      <c r="F5550" s="1" t="inlineStr">
        <is>
          <t>GOLF ACCESSORIES</t>
        </is>
      </c>
      <c r="G5550" s="1" t="inlineStr">
        <is>
          <t>GF3500300385</t>
        </is>
      </c>
      <c r="H5550" s="1" t="n">
        <v>1</v>
      </c>
      <c r="I5550" s="1" t="inlineStr">
        <is>
          <t>หมด</t>
        </is>
      </c>
      <c r="J5550" s="13" t="n">
        <v>4</v>
      </c>
      <c r="K5550" s="1" t="inlineStr"/>
      <c r="L5550" s="13" t="n">
        <v>4</v>
      </c>
      <c r="M5550" s="1">
        <f>IF(L5550="","ไม่พบใน SG",IF(ABS(J5550-L5550)&lt;0.005,"ตรงกัน","ไม่ตรง"))</f>
        <v/>
      </c>
      <c r="N5550" s="14">
        <f>IF(L5550="","",ROUND(L5550*'สรุป'!$C$6,-1))</f>
        <v/>
      </c>
      <c r="O5550" s="15" t="n"/>
      <c r="P5550" s="15" t="n"/>
      <c r="Q5550" s="10" t="n"/>
      <c r="R5550" s="10" t="n"/>
      <c r="S5550" s="16" t="inlineStr">
        <is>
          <t>https://mstgolf.co.th/products/gf3500300385</t>
        </is>
      </c>
      <c r="T5550" s="1">
        <f>IF(B5550="ไม้กอล์ฟ",J5550,"")</f>
        <v/>
      </c>
    </row>
    <row r="5551">
      <c r="A5551" s="1" t="n">
        <v>3</v>
      </c>
      <c r="B5551" s="1" t="inlineStr">
        <is>
          <t>อุปกรณ์เสริม</t>
        </is>
      </c>
      <c r="C5551" s="1" t="inlineStr">
        <is>
          <t>gf3500300388</t>
        </is>
      </c>
      <c r="D5551" s="1" t="inlineStr">
        <is>
          <t>GENERAL ITEM Paragon Multi-Color Foam Ball - 6Pcs/Pack (Blue)</t>
        </is>
      </c>
      <c r="E5551" s="1" t="inlineStr">
        <is>
          <t>GENERAL ITEM</t>
        </is>
      </c>
      <c r="F5551" s="1" t="inlineStr">
        <is>
          <t>GOLF ACCESSORIES</t>
        </is>
      </c>
      <c r="G5551" s="1" t="inlineStr">
        <is>
          <t>GF3500300388</t>
        </is>
      </c>
      <c r="H5551" s="1" t="n">
        <v>1</v>
      </c>
      <c r="I5551" s="1" t="inlineStr">
        <is>
          <t>หมด</t>
        </is>
      </c>
      <c r="J5551" s="13" t="n">
        <v>4</v>
      </c>
      <c r="K5551" s="1" t="inlineStr"/>
      <c r="L5551" s="13" t="n">
        <v>4</v>
      </c>
      <c r="M5551" s="1">
        <f>IF(L5551="","ไม่พบใน SG",IF(ABS(J5551-L5551)&lt;0.005,"ตรงกัน","ไม่ตรง"))</f>
        <v/>
      </c>
      <c r="N5551" s="14">
        <f>IF(L5551="","",ROUND(L5551*'สรุป'!$C$6,-1))</f>
        <v/>
      </c>
      <c r="O5551" s="15" t="n"/>
      <c r="P5551" s="15" t="n"/>
      <c r="Q5551" s="10" t="n"/>
      <c r="R5551" s="10" t="n"/>
      <c r="S5551" s="16" t="inlineStr">
        <is>
          <t>https://mstgolf.co.th/products/gf3500300388</t>
        </is>
      </c>
      <c r="T5551" s="1">
        <f>IF(B5551="ไม้กอล์ฟ",J5551,"")</f>
        <v/>
      </c>
    </row>
    <row r="5552">
      <c r="A5552" s="1" t="n">
        <v>3</v>
      </c>
      <c r="B5552" s="1" t="inlineStr">
        <is>
          <t>อุปกรณ์เสริม</t>
        </is>
      </c>
      <c r="C5552" s="1" t="inlineStr">
        <is>
          <t>gf3500100096</t>
        </is>
      </c>
      <c r="D5552" s="1" t="inlineStr">
        <is>
          <t>TABATA Plastic Tee 55mm</t>
        </is>
      </c>
      <c r="E5552" s="1" t="inlineStr">
        <is>
          <t>TABATA</t>
        </is>
      </c>
      <c r="F5552" s="1" t="inlineStr">
        <is>
          <t>TEES</t>
        </is>
      </c>
      <c r="G5552" s="1" t="inlineStr">
        <is>
          <t>GF3500100096</t>
        </is>
      </c>
      <c r="H5552" s="1" t="n">
        <v>1</v>
      </c>
      <c r="I5552" s="1" t="inlineStr">
        <is>
          <t>หมด</t>
        </is>
      </c>
      <c r="J5552" s="13" t="n">
        <v>4</v>
      </c>
      <c r="K5552" s="1" t="inlineStr"/>
      <c r="L5552" s="13" t="n">
        <v>4</v>
      </c>
      <c r="M5552" s="1">
        <f>IF(L5552="","ไม่พบใน SG",IF(ABS(J5552-L5552)&lt;0.005,"ตรงกัน","ไม่ตรง"))</f>
        <v/>
      </c>
      <c r="N5552" s="14">
        <f>IF(L5552="","",ROUND(L5552*'สรุป'!$C$6,-1))</f>
        <v/>
      </c>
      <c r="O5552" s="15" t="n"/>
      <c r="P5552" s="15" t="n"/>
      <c r="Q5552" s="10" t="n"/>
      <c r="R5552" s="10" t="n"/>
      <c r="S5552" s="16" t="inlineStr">
        <is>
          <t>https://mstgolf.co.th/products/gf3500100096</t>
        </is>
      </c>
      <c r="T5552" s="1">
        <f>IF(B5552="ไม้กอล์ฟ",J5552,"")</f>
        <v/>
      </c>
    </row>
    <row r="5553">
      <c r="A5553" s="1" t="n">
        <v>3</v>
      </c>
      <c r="B5553" s="1" t="inlineStr">
        <is>
          <t>อุปกรณ์เสริม</t>
        </is>
      </c>
      <c r="C5553" s="1" t="inlineStr">
        <is>
          <t>gf3500300389</t>
        </is>
      </c>
      <c r="D5553" s="1" t="inlineStr">
        <is>
          <t>GENERAL ITEM Paragon Align-A-Ball</t>
        </is>
      </c>
      <c r="E5553" s="1" t="inlineStr">
        <is>
          <t>GENERAL ITEM</t>
        </is>
      </c>
      <c r="F5553" s="1" t="inlineStr">
        <is>
          <t>GOLF ACCESSORIES</t>
        </is>
      </c>
      <c r="G5553" s="1" t="inlineStr">
        <is>
          <t>GF3500300389</t>
        </is>
      </c>
      <c r="H5553" s="1" t="n">
        <v>1</v>
      </c>
      <c r="I5553" s="1" t="inlineStr">
        <is>
          <t>หมด</t>
        </is>
      </c>
      <c r="J5553" s="13" t="n">
        <v>3</v>
      </c>
      <c r="K5553" s="1" t="inlineStr"/>
      <c r="L5553" s="13" t="n">
        <v>3</v>
      </c>
      <c r="M5553" s="1">
        <f>IF(L5553="","ไม่พบใน SG",IF(ABS(J5553-L5553)&lt;0.005,"ตรงกัน","ไม่ตรง"))</f>
        <v/>
      </c>
      <c r="N5553" s="14">
        <f>IF(L5553="","",ROUND(L5553*'สรุป'!$C$6,-1))</f>
        <v/>
      </c>
      <c r="O5553" s="15" t="n"/>
      <c r="P5553" s="15" t="n"/>
      <c r="Q5553" s="10" t="n"/>
      <c r="R5553" s="10" t="n"/>
      <c r="S5553" s="16" t="inlineStr">
        <is>
          <t>https://mstgolf.co.th/products/gf3500300389</t>
        </is>
      </c>
      <c r="T5553" s="1">
        <f>IF(B5553="ไม้กอล์ฟ",J5553,"")</f>
        <v/>
      </c>
    </row>
    <row r="5554">
      <c r="A5554" s="1" t="n">
        <v>3</v>
      </c>
      <c r="B5554" s="1" t="inlineStr">
        <is>
          <t>อุปกรณ์เสริม</t>
        </is>
      </c>
      <c r="C5554" s="1" t="inlineStr">
        <is>
          <t>gf3500300387</t>
        </is>
      </c>
      <c r="D5554" s="1" t="inlineStr">
        <is>
          <t>GENERAL ITEM Paragon Multi-Color Foam Ball - 6Pcs/Pack (Yellow)</t>
        </is>
      </c>
      <c r="E5554" s="1" t="inlineStr">
        <is>
          <t>GENERAL ITEM</t>
        </is>
      </c>
      <c r="F5554" s="1" t="inlineStr">
        <is>
          <t>GOLF ACCESSORIES</t>
        </is>
      </c>
      <c r="G5554" s="1" t="inlineStr">
        <is>
          <t>GF3500300387</t>
        </is>
      </c>
      <c r="H5554" s="1" t="n">
        <v>1</v>
      </c>
      <c r="I5554" s="1" t="inlineStr">
        <is>
          <t>หมด</t>
        </is>
      </c>
      <c r="J5554" s="13" t="n">
        <v>3</v>
      </c>
      <c r="K5554" s="1" t="inlineStr"/>
      <c r="L5554" s="13" t="n">
        <v>3</v>
      </c>
      <c r="M5554" s="1">
        <f>IF(L5554="","ไม่พบใน SG",IF(ABS(J5554-L5554)&lt;0.005,"ตรงกัน","ไม่ตรง"))</f>
        <v/>
      </c>
      <c r="N5554" s="14">
        <f>IF(L5554="","",ROUND(L5554*'สรุป'!$C$6,-1))</f>
        <v/>
      </c>
      <c r="O5554" s="15" t="n"/>
      <c r="P5554" s="15" t="n"/>
      <c r="Q5554" s="10" t="n"/>
      <c r="R5554" s="10" t="n"/>
      <c r="S5554" s="16" t="inlineStr">
        <is>
          <t>https://mstgolf.co.th/products/gf3500300387</t>
        </is>
      </c>
      <c r="T5554" s="1">
        <f>IF(B5554="ไม้กอล์ฟ",J5554,"")</f>
        <v/>
      </c>
    </row>
    <row r="5555">
      <c r="A5555" s="1" t="n">
        <v>3</v>
      </c>
      <c r="B5555" s="1" t="inlineStr">
        <is>
          <t>อุปกรณ์เสริม</t>
        </is>
      </c>
      <c r="C5555" s="1" t="inlineStr">
        <is>
          <t>gf3500100376</t>
        </is>
      </c>
      <c r="D5555" s="1" t="inlineStr">
        <is>
          <t>GENERAL ITEM Rubber Tee 40mm</t>
        </is>
      </c>
      <c r="E5555" s="1" t="inlineStr">
        <is>
          <t>GENERAL ITEM</t>
        </is>
      </c>
      <c r="F5555" s="1" t="inlineStr">
        <is>
          <t>TEES</t>
        </is>
      </c>
      <c r="G5555" s="1" t="inlineStr">
        <is>
          <t>GF3500100376</t>
        </is>
      </c>
      <c r="H5555" s="1" t="n">
        <v>1</v>
      </c>
      <c r="I5555" s="1" t="inlineStr">
        <is>
          <t>หมด</t>
        </is>
      </c>
      <c r="J5555" s="13" t="n">
        <v>3</v>
      </c>
      <c r="K5555" s="1" t="inlineStr"/>
      <c r="L5555" s="13" t="n">
        <v>3</v>
      </c>
      <c r="M5555" s="1">
        <f>IF(L5555="","ไม่พบใน SG",IF(ABS(J5555-L5555)&lt;0.005,"ตรงกัน","ไม่ตรง"))</f>
        <v/>
      </c>
      <c r="N5555" s="14">
        <f>IF(L5555="","",ROUND(L5555*'สรุป'!$C$6,-1))</f>
        <v/>
      </c>
      <c r="O5555" s="15" t="n"/>
      <c r="P5555" s="15" t="n"/>
      <c r="Q5555" s="10" t="n"/>
      <c r="R5555" s="10" t="n"/>
      <c r="S5555" s="16" t="inlineStr">
        <is>
          <t>https://mstgolf.co.th/products/gf3500100376</t>
        </is>
      </c>
      <c r="T5555" s="1">
        <f>IF(B5555="ไม้กอล์ฟ",J5555,"")</f>
        <v/>
      </c>
    </row>
    <row r="5556">
      <c r="A5556" s="1" t="n">
        <v>3</v>
      </c>
      <c r="B5556" s="1" t="inlineStr">
        <is>
          <t>อุปกรณ์เสริม</t>
        </is>
      </c>
      <c r="C5556" s="1" t="inlineStr">
        <is>
          <t>gf3500100377</t>
        </is>
      </c>
      <c r="D5556" s="1" t="inlineStr">
        <is>
          <t>GENERAL ITEM Rubber Tee 60mm</t>
        </is>
      </c>
      <c r="E5556" s="1" t="inlineStr">
        <is>
          <t>GENERAL ITEM</t>
        </is>
      </c>
      <c r="F5556" s="1" t="inlineStr">
        <is>
          <t>TEES</t>
        </is>
      </c>
      <c r="G5556" s="1" t="inlineStr">
        <is>
          <t>GF3500100377</t>
        </is>
      </c>
      <c r="H5556" s="1" t="n">
        <v>1</v>
      </c>
      <c r="I5556" s="1" t="inlineStr">
        <is>
          <t>หมด</t>
        </is>
      </c>
      <c r="J5556" s="13" t="n">
        <v>3</v>
      </c>
      <c r="K5556" s="1" t="inlineStr"/>
      <c r="L5556" s="13" t="n">
        <v>3</v>
      </c>
      <c r="M5556" s="1">
        <f>IF(L5556="","ไม่พบใน SG",IF(ABS(J5556-L5556)&lt;0.005,"ตรงกัน","ไม่ตรง"))</f>
        <v/>
      </c>
      <c r="N5556" s="14">
        <f>IF(L5556="","",ROUND(L5556*'สรุป'!$C$6,-1))</f>
        <v/>
      </c>
      <c r="O5556" s="15" t="n"/>
      <c r="P5556" s="15" t="n"/>
      <c r="Q5556" s="10" t="n"/>
      <c r="R5556" s="10" t="n"/>
      <c r="S5556" s="16" t="inlineStr">
        <is>
          <t>https://mstgolf.co.th/products/gf3500100377</t>
        </is>
      </c>
      <c r="T5556" s="1">
        <f>IF(B5556="ไม้กอล์ฟ",J5556,"")</f>
        <v/>
      </c>
    </row>
    <row r="5557">
      <c r="A5557" s="1" t="n">
        <v>3</v>
      </c>
      <c r="B5557" s="1" t="inlineStr">
        <is>
          <t>อุปกรณ์เสริม</t>
        </is>
      </c>
      <c r="C5557" s="1" t="inlineStr">
        <is>
          <t>gf3500100378</t>
        </is>
      </c>
      <c r="D5557" s="1" t="inlineStr">
        <is>
          <t>GENERAL ITEM Rubber Tee 70mm</t>
        </is>
      </c>
      <c r="E5557" s="1" t="inlineStr">
        <is>
          <t>GENERAL ITEM</t>
        </is>
      </c>
      <c r="F5557" s="1" t="inlineStr">
        <is>
          <t>TEES</t>
        </is>
      </c>
      <c r="G5557" s="1" t="inlineStr">
        <is>
          <t>GF3500100378</t>
        </is>
      </c>
      <c r="H5557" s="1" t="n">
        <v>1</v>
      </c>
      <c r="I5557" s="1" t="inlineStr">
        <is>
          <t>หมด</t>
        </is>
      </c>
      <c r="J5557" s="13" t="n">
        <v>3</v>
      </c>
      <c r="K5557" s="1" t="inlineStr"/>
      <c r="L5557" s="13" t="n">
        <v>3</v>
      </c>
      <c r="M5557" s="1">
        <f>IF(L5557="","ไม่พบใน SG",IF(ABS(J5557-L5557)&lt;0.005,"ตรงกัน","ไม่ตรง"))</f>
        <v/>
      </c>
      <c r="N5557" s="14">
        <f>IF(L5557="","",ROUND(L5557*'สรุป'!$C$6,-1))</f>
        <v/>
      </c>
      <c r="O5557" s="15" t="n"/>
      <c r="P5557" s="15" t="n"/>
      <c r="Q5557" s="10" t="n"/>
      <c r="R5557" s="10" t="n"/>
      <c r="S5557" s="16" t="inlineStr">
        <is>
          <t>https://mstgolf.co.th/products/gf3500100378</t>
        </is>
      </c>
      <c r="T5557" s="1">
        <f>IF(B5557="ไม้กอล์ฟ",J5557,"")</f>
        <v/>
      </c>
    </row>
    <row r="5558">
      <c r="A5558" s="1" t="n">
        <v>3</v>
      </c>
      <c r="B5558" s="1" t="inlineStr">
        <is>
          <t>อุปกรณ์เสริม</t>
        </is>
      </c>
      <c r="C5558" s="1" t="inlineStr">
        <is>
          <t>gf3500100379</t>
        </is>
      </c>
      <c r="D5558" s="1" t="inlineStr">
        <is>
          <t>GENERAL ITEM Rubber Tee 80mm</t>
        </is>
      </c>
      <c r="E5558" s="1" t="inlineStr">
        <is>
          <t>GENERAL ITEM</t>
        </is>
      </c>
      <c r="F5558" s="1" t="inlineStr">
        <is>
          <t>TEES</t>
        </is>
      </c>
      <c r="G5558" s="1" t="inlineStr">
        <is>
          <t>GF3500100379</t>
        </is>
      </c>
      <c r="H5558" s="1" t="n">
        <v>1</v>
      </c>
      <c r="I5558" s="1" t="inlineStr">
        <is>
          <t>หมด</t>
        </is>
      </c>
      <c r="J5558" s="13" t="n">
        <v>3</v>
      </c>
      <c r="K5558" s="1" t="inlineStr"/>
      <c r="L5558" s="13" t="n">
        <v>3</v>
      </c>
      <c r="M5558" s="1">
        <f>IF(L5558="","ไม่พบใน SG",IF(ABS(J5558-L5558)&lt;0.005,"ตรงกัน","ไม่ตรง"))</f>
        <v/>
      </c>
      <c r="N5558" s="14">
        <f>IF(L5558="","",ROUND(L5558*'สรุป'!$C$6,-1))</f>
        <v/>
      </c>
      <c r="O5558" s="15" t="n"/>
      <c r="P5558" s="15" t="n"/>
      <c r="Q5558" s="10" t="n"/>
      <c r="R5558" s="10" t="n"/>
      <c r="S5558" s="16" t="inlineStr">
        <is>
          <t>https://mstgolf.co.th/products/gf3500100379</t>
        </is>
      </c>
      <c r="T5558" s="1">
        <f>IF(B5558="ไม้กอล์ฟ",J5558,"")</f>
        <v/>
      </c>
    </row>
    <row r="5559">
      <c r="A5559" s="1" t="n">
        <v>3</v>
      </c>
      <c r="B5559" s="1" t="inlineStr">
        <is>
          <t>อุปกรณ์เสริม</t>
        </is>
      </c>
      <c r="C5559" s="1" t="inlineStr">
        <is>
          <t>gf3500300999</t>
        </is>
      </c>
      <c r="D5559" s="1" t="inlineStr">
        <is>
          <t>GOLF LITE Shot Mark For Iron</t>
        </is>
      </c>
      <c r="E5559" s="1" t="inlineStr">
        <is>
          <t>GOLF LITE</t>
        </is>
      </c>
      <c r="F5559" s="1" t="inlineStr">
        <is>
          <t>GOLF ACCESSORIES</t>
        </is>
      </c>
      <c r="G5559" s="1" t="inlineStr">
        <is>
          <t>GF3500300999</t>
        </is>
      </c>
      <c r="H5559" s="1" t="n">
        <v>1</v>
      </c>
      <c r="I5559" s="1" t="inlineStr">
        <is>
          <t>หมด</t>
        </is>
      </c>
      <c r="J5559" s="13" t="n">
        <v>3</v>
      </c>
      <c r="K5559" s="1" t="inlineStr"/>
      <c r="L5559" s="13" t="n">
        <v>3</v>
      </c>
      <c r="M5559" s="1">
        <f>IF(L5559="","ไม่พบใน SG",IF(ABS(J5559-L5559)&lt;0.005,"ตรงกัน","ไม่ตรง"))</f>
        <v/>
      </c>
      <c r="N5559" s="14">
        <f>IF(L5559="","",ROUND(L5559*'สรุป'!$C$6,-1))</f>
        <v/>
      </c>
      <c r="O5559" s="15" t="n"/>
      <c r="P5559" s="15" t="n"/>
      <c r="Q5559" s="10" t="n"/>
      <c r="R5559" s="10" t="n"/>
      <c r="S5559" s="16" t="inlineStr">
        <is>
          <t>https://mstgolf.co.th/products/gf3500300999</t>
        </is>
      </c>
      <c r="T5559" s="1">
        <f>IF(B5559="ไม้กอล์ฟ",J5559,"")</f>
        <v/>
      </c>
    </row>
    <row r="5560">
      <c r="A5560" s="1" t="n">
        <v>3</v>
      </c>
      <c r="B5560" s="1" t="inlineStr">
        <is>
          <t>อุปกรณ์เสริม</t>
        </is>
      </c>
      <c r="C5560" s="1" t="inlineStr">
        <is>
          <t>gf3500300998</t>
        </is>
      </c>
      <c r="D5560" s="1" t="inlineStr">
        <is>
          <t>GOLF LITE Shot Marker for Woods</t>
        </is>
      </c>
      <c r="E5560" s="1" t="inlineStr">
        <is>
          <t>GOLF LITE</t>
        </is>
      </c>
      <c r="F5560" s="1" t="inlineStr">
        <is>
          <t>GOLF ACCESSORIES</t>
        </is>
      </c>
      <c r="G5560" s="1" t="inlineStr">
        <is>
          <t>GF3500300998</t>
        </is>
      </c>
      <c r="H5560" s="1" t="n">
        <v>1</v>
      </c>
      <c r="I5560" s="1" t="inlineStr">
        <is>
          <t>หมด</t>
        </is>
      </c>
      <c r="J5560" s="13" t="n">
        <v>3</v>
      </c>
      <c r="K5560" s="1" t="inlineStr"/>
      <c r="L5560" s="13" t="n">
        <v>3</v>
      </c>
      <c r="M5560" s="1">
        <f>IF(L5560="","ไม่พบใน SG",IF(ABS(J5560-L5560)&lt;0.005,"ตรงกัน","ไม่ตรง"))</f>
        <v/>
      </c>
      <c r="N5560" s="14">
        <f>IF(L5560="","",ROUND(L5560*'สรุป'!$C$6,-1))</f>
        <v/>
      </c>
      <c r="O5560" s="15" t="n"/>
      <c r="P5560" s="15" t="n"/>
      <c r="Q5560" s="10" t="n"/>
      <c r="R5560" s="10" t="n"/>
      <c r="S5560" s="16" t="inlineStr">
        <is>
          <t>https://mstgolf.co.th/products/gf3500300998</t>
        </is>
      </c>
      <c r="T5560" s="1">
        <f>IF(B5560="ไม้กอล์ฟ",J5560,"")</f>
        <v/>
      </c>
    </row>
    <row r="5561">
      <c r="A5561" s="1" t="n">
        <v>3</v>
      </c>
      <c r="B5561" s="1" t="inlineStr">
        <is>
          <t>อุปกรณ์เสริม</t>
        </is>
      </c>
      <c r="C5561" s="1" t="inlineStr">
        <is>
          <t>gf3500100445</t>
        </is>
      </c>
      <c r="D5561" s="1" t="inlineStr">
        <is>
          <t>GOLF LITE T-394 Lite Graduated Wood Tee 70mm</t>
        </is>
      </c>
      <c r="E5561" s="1" t="inlineStr">
        <is>
          <t>GOLF LITE</t>
        </is>
      </c>
      <c r="F5561" s="1" t="inlineStr">
        <is>
          <t>TEES</t>
        </is>
      </c>
      <c r="G5561" s="1" t="inlineStr">
        <is>
          <t>GF3500100445</t>
        </is>
      </c>
      <c r="H5561" s="1" t="n">
        <v>1</v>
      </c>
      <c r="I5561" s="1" t="inlineStr">
        <is>
          <t>หมด</t>
        </is>
      </c>
      <c r="J5561" s="13" t="n">
        <v>3</v>
      </c>
      <c r="K5561" s="1" t="inlineStr"/>
      <c r="L5561" s="13" t="n">
        <v>3</v>
      </c>
      <c r="M5561" s="1">
        <f>IF(L5561="","ไม่พบใน SG",IF(ABS(J5561-L5561)&lt;0.005,"ตรงกัน","ไม่ตรง"))</f>
        <v/>
      </c>
      <c r="N5561" s="14">
        <f>IF(L5561="","",ROUND(L5561*'สรุป'!$C$6,-1))</f>
        <v/>
      </c>
      <c r="O5561" s="15" t="n"/>
      <c r="P5561" s="15" t="n"/>
      <c r="Q5561" s="10" t="n"/>
      <c r="R5561" s="10" t="n"/>
      <c r="S5561" s="16" t="inlineStr">
        <is>
          <t>https://mstgolf.co.th/products/gf3500100445</t>
        </is>
      </c>
      <c r="T5561" s="1">
        <f>IF(B5561="ไม้กอล์ฟ",J5561,"")</f>
        <v/>
      </c>
    </row>
    <row r="5562">
      <c r="A5562" s="1" t="n">
        <v>3</v>
      </c>
      <c r="B5562" s="1" t="inlineStr">
        <is>
          <t>อุปกรณ์เสริม</t>
        </is>
      </c>
      <c r="C5562" s="1" t="inlineStr">
        <is>
          <t>gf3500100439</t>
        </is>
      </c>
      <c r="D5562" s="1" t="inlineStr">
        <is>
          <t>GOLF LITE T-51 Lite Golf Wood Tee 60/82mm</t>
        </is>
      </c>
      <c r="E5562" s="1" t="inlineStr">
        <is>
          <t>GOLF LITE</t>
        </is>
      </c>
      <c r="F5562" s="1" t="inlineStr">
        <is>
          <t>TEES</t>
        </is>
      </c>
      <c r="G5562" s="1" t="inlineStr">
        <is>
          <t>GF3500100439</t>
        </is>
      </c>
      <c r="H5562" s="1" t="n">
        <v>1</v>
      </c>
      <c r="I5562" s="1" t="inlineStr">
        <is>
          <t>หมด</t>
        </is>
      </c>
      <c r="J5562" s="13" t="n">
        <v>3</v>
      </c>
      <c r="K5562" s="1" t="inlineStr"/>
      <c r="L5562" s="13" t="n">
        <v>3</v>
      </c>
      <c r="M5562" s="1">
        <f>IF(L5562="","ไม่พบใน SG",IF(ABS(J5562-L5562)&lt;0.005,"ตรงกัน","ไม่ตรง"))</f>
        <v/>
      </c>
      <c r="N5562" s="14">
        <f>IF(L5562="","",ROUND(L5562*'สรุป'!$C$6,-1))</f>
        <v/>
      </c>
      <c r="O5562" s="15" t="n"/>
      <c r="P5562" s="15" t="n"/>
      <c r="Q5562" s="10" t="n"/>
      <c r="R5562" s="10" t="n"/>
      <c r="S5562" s="16" t="inlineStr">
        <is>
          <t>https://mstgolf.co.th/products/gf3500100439</t>
        </is>
      </c>
      <c r="T5562" s="1">
        <f>IF(B5562="ไม้กอล์ฟ",J5562,"")</f>
        <v/>
      </c>
    </row>
    <row r="5563">
      <c r="A5563" s="1" t="n">
        <v>3</v>
      </c>
      <c r="B5563" s="1" t="inlineStr">
        <is>
          <t>อุปกรณ์เสริม</t>
        </is>
      </c>
      <c r="C5563" s="1" t="inlineStr">
        <is>
          <t>gf3500100440</t>
        </is>
      </c>
      <c r="D5563" s="1" t="inlineStr">
        <is>
          <t>GOLF LITE T-52 Lite Silver Wood Tee 60/82mm</t>
        </is>
      </c>
      <c r="E5563" s="1" t="inlineStr">
        <is>
          <t>GOLF LITE</t>
        </is>
      </c>
      <c r="F5563" s="1" t="inlineStr">
        <is>
          <t>TEES</t>
        </is>
      </c>
      <c r="G5563" s="1" t="inlineStr">
        <is>
          <t>GF3500100440</t>
        </is>
      </c>
      <c r="H5563" s="1" t="n">
        <v>1</v>
      </c>
      <c r="I5563" s="1" t="inlineStr">
        <is>
          <t>หมด</t>
        </is>
      </c>
      <c r="J5563" s="13" t="n">
        <v>3</v>
      </c>
      <c r="K5563" s="1" t="inlineStr"/>
      <c r="L5563" s="13" t="n">
        <v>3</v>
      </c>
      <c r="M5563" s="1">
        <f>IF(L5563="","ไม่พบใน SG",IF(ABS(J5563-L5563)&lt;0.005,"ตรงกัน","ไม่ตรง"))</f>
        <v/>
      </c>
      <c r="N5563" s="14">
        <f>IF(L5563="","",ROUND(L5563*'สรุป'!$C$6,-1))</f>
        <v/>
      </c>
      <c r="O5563" s="15" t="n"/>
      <c r="P5563" s="15" t="n"/>
      <c r="Q5563" s="10" t="n"/>
      <c r="R5563" s="10" t="n"/>
      <c r="S5563" s="16" t="inlineStr">
        <is>
          <t>https://mstgolf.co.th/products/gf3500100440</t>
        </is>
      </c>
      <c r="T5563" s="1">
        <f>IF(B5563="ไม้กอล์ฟ",J5563,"")</f>
        <v/>
      </c>
    </row>
    <row r="5564">
      <c r="A5564" s="1" t="n">
        <v>3</v>
      </c>
      <c r="B5564" s="1" t="inlineStr">
        <is>
          <t>อุปกรณ์เสริม</t>
        </is>
      </c>
      <c r="C5564" s="1" t="inlineStr">
        <is>
          <t>gf3500100448</t>
        </is>
      </c>
      <c r="D5564" s="1" t="inlineStr">
        <is>
          <t>GOLF LITE T-570 Lite Mix Shell Pack Wood Tee 70mm</t>
        </is>
      </c>
      <c r="E5564" s="1" t="inlineStr">
        <is>
          <t>GOLF LITE</t>
        </is>
      </c>
      <c r="F5564" s="1" t="inlineStr">
        <is>
          <t>TEES</t>
        </is>
      </c>
      <c r="G5564" s="1" t="inlineStr">
        <is>
          <t>GF3500100448</t>
        </is>
      </c>
      <c r="H5564" s="1" t="n">
        <v>1</v>
      </c>
      <c r="I5564" s="1" t="inlineStr">
        <is>
          <t>หมด</t>
        </is>
      </c>
      <c r="J5564" s="13" t="n">
        <v>3</v>
      </c>
      <c r="K5564" s="1" t="inlineStr"/>
      <c r="L5564" s="13" t="n">
        <v>3</v>
      </c>
      <c r="M5564" s="1">
        <f>IF(L5564="","ไม่พบใน SG",IF(ABS(J5564-L5564)&lt;0.005,"ตรงกัน","ไม่ตรง"))</f>
        <v/>
      </c>
      <c r="N5564" s="14">
        <f>IF(L5564="","",ROUND(L5564*'สรุป'!$C$6,-1))</f>
        <v/>
      </c>
      <c r="O5564" s="15" t="n"/>
      <c r="P5564" s="15" t="n"/>
      <c r="Q5564" s="10" t="n"/>
      <c r="R5564" s="10" t="n"/>
      <c r="S5564" s="16" t="inlineStr">
        <is>
          <t>https://mstgolf.co.th/products/gf3500100448</t>
        </is>
      </c>
      <c r="T5564" s="1">
        <f>IF(B5564="ไม้กอล์ฟ",J5564,"")</f>
        <v/>
      </c>
    </row>
    <row r="5565">
      <c r="A5565" s="1" t="n">
        <v>3</v>
      </c>
      <c r="B5565" s="1" t="inlineStr">
        <is>
          <t>อุปกรณ์เสริม</t>
        </is>
      </c>
      <c r="C5565" s="1" t="inlineStr">
        <is>
          <t>gf3500100082</t>
        </is>
      </c>
      <c r="D5565" s="1" t="inlineStr">
        <is>
          <t>TABATA Wood Tee 70mm</t>
        </is>
      </c>
      <c r="E5565" s="1" t="inlineStr">
        <is>
          <t>TABATA</t>
        </is>
      </c>
      <c r="F5565" s="1" t="inlineStr">
        <is>
          <t>TEES</t>
        </is>
      </c>
      <c r="G5565" s="1" t="inlineStr">
        <is>
          <t>GF3500100082</t>
        </is>
      </c>
      <c r="H5565" s="1" t="n">
        <v>1</v>
      </c>
      <c r="I5565" s="1" t="inlineStr">
        <is>
          <t>หมด</t>
        </is>
      </c>
      <c r="J5565" s="13" t="n">
        <v>3</v>
      </c>
      <c r="K5565" s="1" t="inlineStr"/>
      <c r="L5565" s="13" t="n">
        <v>3</v>
      </c>
      <c r="M5565" s="1">
        <f>IF(L5565="","ไม่พบใน SG",IF(ABS(J5565-L5565)&lt;0.005,"ตรงกัน","ไม่ตรง"))</f>
        <v/>
      </c>
      <c r="N5565" s="14">
        <f>IF(L5565="","",ROUND(L5565*'สรุป'!$C$6,-1))</f>
        <v/>
      </c>
      <c r="O5565" s="15" t="n"/>
      <c r="P5565" s="15" t="n"/>
      <c r="Q5565" s="10" t="n"/>
      <c r="R5565" s="10" t="n"/>
      <c r="S5565" s="16" t="inlineStr">
        <is>
          <t>https://mstgolf.co.th/products/gf3500100082</t>
        </is>
      </c>
      <c r="T5565" s="1">
        <f>IF(B5565="ไม้กอล์ฟ",J5565,"")</f>
        <v/>
      </c>
    </row>
    <row r="5566">
      <c r="A5566" s="1" t="n">
        <v>3</v>
      </c>
      <c r="B5566" s="1" t="inlineStr">
        <is>
          <t>อุปกรณ์เสริม</t>
        </is>
      </c>
      <c r="C5566" s="1" t="inlineStr">
        <is>
          <t>gf3500300669</t>
        </is>
      </c>
      <c r="D5566" s="1" t="inlineStr">
        <is>
          <t>GENERAL ITEM GWP Care Green BAG4LIFE</t>
        </is>
      </c>
      <c r="E5566" s="1" t="inlineStr">
        <is>
          <t>GENERAL ITEM</t>
        </is>
      </c>
      <c r="F5566" s="1" t="inlineStr">
        <is>
          <t>GOLF ACCESSORIES</t>
        </is>
      </c>
      <c r="G5566" s="1" t="inlineStr">
        <is>
          <t>GF3500300669</t>
        </is>
      </c>
      <c r="H5566" s="1" t="n">
        <v>1</v>
      </c>
      <c r="I5566" s="1" t="inlineStr">
        <is>
          <t>หมด</t>
        </is>
      </c>
      <c r="J5566" s="13" t="n">
        <v>2</v>
      </c>
      <c r="K5566" s="1" t="inlineStr"/>
      <c r="L5566" s="13" t="n"/>
      <c r="M5566" s="1">
        <f>IF(L5566="","ไม่พบใน SG",IF(ABS(J5566-L5566)&lt;0.005,"ตรงกัน","ไม่ตรง"))</f>
        <v/>
      </c>
      <c r="N5566" s="14">
        <f>IF(L5566="","",ROUND(L5566*'สรุป'!$C$6,-1))</f>
        <v/>
      </c>
      <c r="O5566" s="15" t="n"/>
      <c r="P5566" s="15" t="n"/>
      <c r="Q5566" s="10" t="n"/>
      <c r="R5566" s="10" t="n"/>
      <c r="S5566" s="16" t="inlineStr">
        <is>
          <t>https://mstgolf.co.th/products/gf3500300669</t>
        </is>
      </c>
      <c r="T5566" s="1">
        <f>IF(B5566="ไม้กอล์ฟ",J5566,"")</f>
        <v/>
      </c>
    </row>
    <row r="5567">
      <c r="A5567" s="1" t="n">
        <v>3</v>
      </c>
      <c r="B5567" s="1" t="inlineStr">
        <is>
          <t>อุปกรณ์เสริม</t>
        </is>
      </c>
      <c r="C5567" s="1" t="inlineStr">
        <is>
          <t>gf3500300381</t>
        </is>
      </c>
      <c r="D5567" s="1" t="inlineStr">
        <is>
          <t>GENERAL ITEM Paragon Hollow Ball - 6Pcs/Pack (Blue)</t>
        </is>
      </c>
      <c r="E5567" s="1" t="inlineStr">
        <is>
          <t>GENERAL ITEM</t>
        </is>
      </c>
      <c r="F5567" s="1" t="inlineStr">
        <is>
          <t>GOLF ACCESSORIES</t>
        </is>
      </c>
      <c r="G5567" s="1" t="inlineStr">
        <is>
          <t>GF3500300381</t>
        </is>
      </c>
      <c r="H5567" s="1" t="n">
        <v>1</v>
      </c>
      <c r="I5567" s="1" t="inlineStr">
        <is>
          <t>หมด</t>
        </is>
      </c>
      <c r="J5567" s="13" t="n">
        <v>2</v>
      </c>
      <c r="K5567" s="1" t="inlineStr"/>
      <c r="L5567" s="13" t="n">
        <v>2</v>
      </c>
      <c r="M5567" s="1">
        <f>IF(L5567="","ไม่พบใน SG",IF(ABS(J5567-L5567)&lt;0.005,"ตรงกัน","ไม่ตรง"))</f>
        <v/>
      </c>
      <c r="N5567" s="14">
        <f>IF(L5567="","",ROUND(L5567*'สรุป'!$C$6,-1))</f>
        <v/>
      </c>
      <c r="O5567" s="15" t="n"/>
      <c r="P5567" s="15" t="n"/>
      <c r="Q5567" s="10" t="n"/>
      <c r="R5567" s="10" t="n"/>
      <c r="S5567" s="16" t="inlineStr">
        <is>
          <t>https://mstgolf.co.th/products/gf3500300381</t>
        </is>
      </c>
      <c r="T5567" s="1">
        <f>IF(B5567="ไม้กอล์ฟ",J5567,"")</f>
        <v/>
      </c>
    </row>
    <row r="5568">
      <c r="A5568" s="1" t="n">
        <v>3</v>
      </c>
      <c r="B5568" s="1" t="inlineStr">
        <is>
          <t>อุปกรณ์เสริม</t>
        </is>
      </c>
      <c r="C5568" s="1" t="inlineStr">
        <is>
          <t>gf3500300383</t>
        </is>
      </c>
      <c r="D5568" s="1" t="inlineStr">
        <is>
          <t>GENERAL ITEM Paragon Hollow Ball - 6Pcs/Pack (Pink)</t>
        </is>
      </c>
      <c r="E5568" s="1" t="inlineStr">
        <is>
          <t>GENERAL ITEM</t>
        </is>
      </c>
      <c r="F5568" s="1" t="inlineStr">
        <is>
          <t>GOLF ACCESSORIES</t>
        </is>
      </c>
      <c r="G5568" s="1" t="inlineStr">
        <is>
          <t>GF3500300383</t>
        </is>
      </c>
      <c r="H5568" s="1" t="n">
        <v>1</v>
      </c>
      <c r="I5568" s="1" t="inlineStr">
        <is>
          <t>หมด</t>
        </is>
      </c>
      <c r="J5568" s="13" t="n">
        <v>2</v>
      </c>
      <c r="K5568" s="1" t="inlineStr"/>
      <c r="L5568" s="13" t="n">
        <v>2</v>
      </c>
      <c r="M5568" s="1">
        <f>IF(L5568="","ไม่พบใน SG",IF(ABS(J5568-L5568)&lt;0.005,"ตรงกัน","ไม่ตรง"))</f>
        <v/>
      </c>
      <c r="N5568" s="14">
        <f>IF(L5568="","",ROUND(L5568*'สรุป'!$C$6,-1))</f>
        <v/>
      </c>
      <c r="O5568" s="15" t="n"/>
      <c r="P5568" s="15" t="n"/>
      <c r="Q5568" s="10" t="n"/>
      <c r="R5568" s="10" t="n"/>
      <c r="S5568" s="16" t="inlineStr">
        <is>
          <t>https://mstgolf.co.th/products/gf3500300383</t>
        </is>
      </c>
      <c r="T5568" s="1">
        <f>IF(B5568="ไม้กอล์ฟ",J5568,"")</f>
        <v/>
      </c>
    </row>
    <row r="5569">
      <c r="A5569" s="1" t="n">
        <v>3</v>
      </c>
      <c r="B5569" s="1" t="inlineStr">
        <is>
          <t>อุปกรณ์เสริม</t>
        </is>
      </c>
      <c r="C5569" s="1" t="inlineStr">
        <is>
          <t>gf3500300382</t>
        </is>
      </c>
      <c r="D5569" s="1" t="inlineStr">
        <is>
          <t>GENERAL ITEM Paragon Hollow Ball - 6Pcs/Pack (Red)</t>
        </is>
      </c>
      <c r="E5569" s="1" t="inlineStr">
        <is>
          <t>GENERAL ITEM</t>
        </is>
      </c>
      <c r="F5569" s="1" t="inlineStr">
        <is>
          <t>GOLF ACCESSORIES</t>
        </is>
      </c>
      <c r="G5569" s="1" t="inlineStr">
        <is>
          <t>GF3500300382</t>
        </is>
      </c>
      <c r="H5569" s="1" t="n">
        <v>1</v>
      </c>
      <c r="I5569" s="1" t="inlineStr">
        <is>
          <t>หมด</t>
        </is>
      </c>
      <c r="J5569" s="13" t="n">
        <v>2</v>
      </c>
      <c r="K5569" s="1" t="inlineStr"/>
      <c r="L5569" s="13" t="n"/>
      <c r="M5569" s="1">
        <f>IF(L5569="","ไม่พบใน SG",IF(ABS(J5569-L5569)&lt;0.005,"ตรงกัน","ไม่ตรง"))</f>
        <v/>
      </c>
      <c r="N5569" s="14">
        <f>IF(L5569="","",ROUND(L5569*'สรุป'!$C$6,-1))</f>
        <v/>
      </c>
      <c r="O5569" s="15" t="n"/>
      <c r="P5569" s="15" t="n"/>
      <c r="Q5569" s="10" t="n"/>
      <c r="R5569" s="10" t="n"/>
      <c r="S5569" s="16" t="inlineStr">
        <is>
          <t>https://mstgolf.co.th/products/gf3500300382</t>
        </is>
      </c>
      <c r="T5569" s="1">
        <f>IF(B5569="ไม้กอล์ฟ",J5569,"")</f>
        <v/>
      </c>
    </row>
    <row r="5570">
      <c r="A5570" s="1" t="n">
        <v>3</v>
      </c>
      <c r="B5570" s="1" t="inlineStr">
        <is>
          <t>อุปกรณ์เสริม</t>
        </is>
      </c>
      <c r="C5570" s="1" t="inlineStr">
        <is>
          <t>gf3500300380</t>
        </is>
      </c>
      <c r="D5570" s="1" t="inlineStr">
        <is>
          <t>GENERAL ITEM Paragon Hollow Ball - 6Pcs/Pack (Yellow)</t>
        </is>
      </c>
      <c r="E5570" s="1" t="inlineStr">
        <is>
          <t>GENERAL ITEM</t>
        </is>
      </c>
      <c r="F5570" s="1" t="inlineStr">
        <is>
          <t>GOLF ACCESSORIES</t>
        </is>
      </c>
      <c r="G5570" s="1" t="inlineStr">
        <is>
          <t>GF3500300380</t>
        </is>
      </c>
      <c r="H5570" s="1" t="n">
        <v>1</v>
      </c>
      <c r="I5570" s="1" t="inlineStr">
        <is>
          <t>หมด</t>
        </is>
      </c>
      <c r="J5570" s="13" t="n">
        <v>2</v>
      </c>
      <c r="K5570" s="1" t="inlineStr"/>
      <c r="L5570" s="13" t="n"/>
      <c r="M5570" s="1">
        <f>IF(L5570="","ไม่พบใน SG",IF(ABS(J5570-L5570)&lt;0.005,"ตรงกัน","ไม่ตรง"))</f>
        <v/>
      </c>
      <c r="N5570" s="14">
        <f>IF(L5570="","",ROUND(L5570*'สรุป'!$C$6,-1))</f>
        <v/>
      </c>
      <c r="O5570" s="15" t="n"/>
      <c r="P5570" s="15" t="n"/>
      <c r="Q5570" s="10" t="n"/>
      <c r="R5570" s="10" t="n"/>
      <c r="S5570" s="16" t="inlineStr">
        <is>
          <t>https://mstgolf.co.th/products/gf3500300380</t>
        </is>
      </c>
      <c r="T5570" s="1">
        <f>IF(B5570="ไม้กอล์ฟ",J5570,"")</f>
        <v/>
      </c>
    </row>
    <row r="5571">
      <c r="A5571" s="1" t="n">
        <v>3</v>
      </c>
      <c r="B5571" s="1" t="inlineStr">
        <is>
          <t>อุปกรณ์เสริม</t>
        </is>
      </c>
      <c r="C5571" s="1" t="inlineStr">
        <is>
          <t>gf3500300244</t>
        </is>
      </c>
      <c r="D5571" s="1" t="inlineStr">
        <is>
          <t>CHAMP SHOE HORN</t>
        </is>
      </c>
      <c r="E5571" s="1" t="inlineStr">
        <is>
          <t>CHAMP</t>
        </is>
      </c>
      <c r="F5571" s="1" t="inlineStr">
        <is>
          <t>GOLF ACCESSORIES</t>
        </is>
      </c>
      <c r="G5571" s="1" t="inlineStr">
        <is>
          <t>GF3500300244</t>
        </is>
      </c>
      <c r="H5571" s="1" t="n">
        <v>1</v>
      </c>
      <c r="I5571" s="1" t="inlineStr">
        <is>
          <t>หมด</t>
        </is>
      </c>
      <c r="J5571" s="13" t="n">
        <v>1.3</v>
      </c>
      <c r="K5571" s="1" t="inlineStr"/>
      <c r="L5571" s="13" t="n">
        <v>1.3</v>
      </c>
      <c r="M5571" s="1">
        <f>IF(L5571="","ไม่พบใน SG",IF(ABS(J5571-L5571)&lt;0.005,"ตรงกัน","ไม่ตรง"))</f>
        <v/>
      </c>
      <c r="N5571" s="14">
        <f>IF(L5571="","",ROUND(L5571*'สรุป'!$C$6,-1))</f>
        <v/>
      </c>
      <c r="O5571" s="15" t="n"/>
      <c r="P5571" s="15" t="n"/>
      <c r="Q5571" s="10" t="n"/>
      <c r="R5571" s="10" t="n"/>
      <c r="S5571" s="16" t="inlineStr">
        <is>
          <t>https://mstgolf.co.th/products/gf3500300244</t>
        </is>
      </c>
      <c r="T5571" s="1">
        <f>IF(B5571="ไม้กอล์ฟ",J5571,"")</f>
        <v/>
      </c>
    </row>
    <row r="5572">
      <c r="A5572" s="1" t="n">
        <v>3</v>
      </c>
      <c r="B5572" s="1" t="inlineStr">
        <is>
          <t>เสื้อผ้า</t>
        </is>
      </c>
      <c r="C5572" s="1" t="inlineStr">
        <is>
          <t>gf2040120345</t>
        </is>
      </c>
      <c r="D5572" s="1" t="inlineStr">
        <is>
          <t>CUTTER &amp; BUCK Poly Circle Print Men's Polo (Navy Blue)</t>
        </is>
      </c>
      <c r="E5572" s="1" t="inlineStr">
        <is>
          <t>CUTTER &amp; BUCK</t>
        </is>
      </c>
      <c r="F5572" s="1" t="inlineStr">
        <is>
          <t>SHORT SLEEVES</t>
        </is>
      </c>
      <c r="G5572" s="1" t="inlineStr">
        <is>
          <t>GF2040120345S</t>
        </is>
      </c>
      <c r="H5572" s="1" t="n">
        <v>5</v>
      </c>
      <c r="I5572" s="1" t="inlineStr">
        <is>
          <t>หมด</t>
        </is>
      </c>
      <c r="J5572" s="13" t="n">
        <v>0</v>
      </c>
      <c r="K5572" s="1" t="inlineStr"/>
      <c r="L5572" s="13" t="n"/>
      <c r="M5572" s="1">
        <f>IF(L5572="","ไม่พบใน SG",IF(ABS(J5572-L5572)&lt;0.005,"ตรงกัน","ไม่ตรง"))</f>
        <v/>
      </c>
      <c r="N5572" s="14">
        <f>IF(L5572="","",ROUND(L5572*'สรุป'!$C$6,-1))</f>
        <v/>
      </c>
      <c r="O5572" s="15" t="n"/>
      <c r="P5572" s="15" t="n"/>
      <c r="Q5572" s="10" t="n"/>
      <c r="R5572" s="10" t="n"/>
      <c r="S5572" s="16" t="inlineStr">
        <is>
          <t>https://mstgolf.co.th/products/gf2040120345</t>
        </is>
      </c>
      <c r="T5572" s="1">
        <f>IF(B5572="ไม้กอล์ฟ",J5572,"")</f>
        <v/>
      </c>
    </row>
    <row r="5573">
      <c r="A5573" s="1" t="n">
        <v>3</v>
      </c>
      <c r="B5573" s="1" t="inlineStr">
        <is>
          <t>เสื้อผ้า</t>
        </is>
      </c>
      <c r="C5573" s="1" t="inlineStr">
        <is>
          <t>gf2040120348</t>
        </is>
      </c>
      <c r="D5573" s="1" t="inlineStr">
        <is>
          <t>CUTTER &amp; BUCK Poly Squiggle Print Men's Polo (Atlas)</t>
        </is>
      </c>
      <c r="E5573" s="1" t="inlineStr">
        <is>
          <t>CUTTER &amp; BUCK</t>
        </is>
      </c>
      <c r="F5573" s="1" t="inlineStr">
        <is>
          <t>SHORT SLEEVES</t>
        </is>
      </c>
      <c r="G5573" s="1" t="inlineStr">
        <is>
          <t>GF2040120348S</t>
        </is>
      </c>
      <c r="H5573" s="1" t="n">
        <v>5</v>
      </c>
      <c r="I5573" s="1" t="inlineStr">
        <is>
          <t>หมด</t>
        </is>
      </c>
      <c r="J5573" s="13" t="n">
        <v>0</v>
      </c>
      <c r="K5573" s="1" t="inlineStr"/>
      <c r="L5573" s="13" t="n"/>
      <c r="M5573" s="1">
        <f>IF(L5573="","ไม่พบใน SG",IF(ABS(J5573-L5573)&lt;0.005,"ตรงกัน","ไม่ตรง"))</f>
        <v/>
      </c>
      <c r="N5573" s="14">
        <f>IF(L5573="","",ROUND(L5573*'สรุป'!$C$6,-1))</f>
        <v/>
      </c>
      <c r="O5573" s="15" t="n"/>
      <c r="P5573" s="15" t="n"/>
      <c r="Q5573" s="10" t="n"/>
      <c r="R5573" s="10" t="n"/>
      <c r="S5573" s="16" t="inlineStr">
        <is>
          <t>https://mstgolf.co.th/products/gf2040120348</t>
        </is>
      </c>
      <c r="T5573" s="1">
        <f>IF(B5573="ไม้กอล์ฟ",J5573,"")</f>
        <v/>
      </c>
    </row>
    <row r="5574">
      <c r="A5574" s="1" t="n">
        <v>3</v>
      </c>
      <c r="B5574" s="1" t="inlineStr">
        <is>
          <t>เสื้อผ้า</t>
        </is>
      </c>
      <c r="C5574" s="1" t="inlineStr">
        <is>
          <t>gf2040120347</t>
        </is>
      </c>
      <c r="D5574" s="1" t="inlineStr">
        <is>
          <t>CUTTER &amp; BUCK Poly Squiggle Print Men's Polo (Fresh Mint)</t>
        </is>
      </c>
      <c r="E5574" s="1" t="inlineStr">
        <is>
          <t>CUTTER &amp; BUCK</t>
        </is>
      </c>
      <c r="F5574" s="1" t="inlineStr">
        <is>
          <t>SHORT SLEEVES</t>
        </is>
      </c>
      <c r="G5574" s="1" t="inlineStr">
        <is>
          <t>GF2040120347S</t>
        </is>
      </c>
      <c r="H5574" s="1" t="n">
        <v>5</v>
      </c>
      <c r="I5574" s="1" t="inlineStr">
        <is>
          <t>หมด</t>
        </is>
      </c>
      <c r="J5574" s="13" t="n">
        <v>0</v>
      </c>
      <c r="K5574" s="1" t="inlineStr"/>
      <c r="L5574" s="13" t="n"/>
      <c r="M5574" s="1">
        <f>IF(L5574="","ไม่พบใน SG",IF(ABS(J5574-L5574)&lt;0.005,"ตรงกัน","ไม่ตรง"))</f>
        <v/>
      </c>
      <c r="N5574" s="14">
        <f>IF(L5574="","",ROUND(L5574*'สรุป'!$C$6,-1))</f>
        <v/>
      </c>
      <c r="O5574" s="15" t="n"/>
      <c r="P5574" s="15" t="n"/>
      <c r="Q5574" s="10" t="n"/>
      <c r="R5574" s="10" t="n"/>
      <c r="S5574" s="16" t="inlineStr">
        <is>
          <t>https://mstgolf.co.th/products/gf2040120347</t>
        </is>
      </c>
      <c r="T5574" s="1">
        <f>IF(B5574="ไม้กอล์ฟ",J5574,"")</f>
        <v/>
      </c>
    </row>
    <row r="5575">
      <c r="A5575" s="1" t="n">
        <v>3</v>
      </c>
      <c r="B5575" s="1" t="inlineStr">
        <is>
          <t>เสื้อผ้า</t>
        </is>
      </c>
      <c r="C5575" s="1" t="inlineStr">
        <is>
          <t>gf2040120346</t>
        </is>
      </c>
      <c r="D5575" s="1" t="inlineStr">
        <is>
          <t>CUTTER &amp; BUCK Poly Squiggle Print Men's Polo (Pink)</t>
        </is>
      </c>
      <c r="E5575" s="1" t="inlineStr">
        <is>
          <t>CUTTER &amp; BUCK</t>
        </is>
      </c>
      <c r="F5575" s="1" t="inlineStr">
        <is>
          <t>SHORT SLEEVES</t>
        </is>
      </c>
      <c r="G5575" s="1" t="inlineStr">
        <is>
          <t>GF2040120346S</t>
        </is>
      </c>
      <c r="H5575" s="1" t="n">
        <v>5</v>
      </c>
      <c r="I5575" s="1" t="inlineStr">
        <is>
          <t>หมด</t>
        </is>
      </c>
      <c r="J5575" s="13" t="n">
        <v>0</v>
      </c>
      <c r="K5575" s="1" t="inlineStr"/>
      <c r="L5575" s="13" t="n"/>
      <c r="M5575" s="1">
        <f>IF(L5575="","ไม่พบใน SG",IF(ABS(J5575-L5575)&lt;0.005,"ตรงกัน","ไม่ตรง"))</f>
        <v/>
      </c>
      <c r="N5575" s="14">
        <f>IF(L5575="","",ROUND(L5575*'สรุป'!$C$6,-1))</f>
        <v/>
      </c>
      <c r="O5575" s="15" t="n"/>
      <c r="P5575" s="15" t="n"/>
      <c r="Q5575" s="10" t="n"/>
      <c r="R5575" s="10" t="n"/>
      <c r="S5575" s="16" t="inlineStr">
        <is>
          <t>https://mstgolf.co.th/products/gf2040120346</t>
        </is>
      </c>
      <c r="T5575" s="1">
        <f>IF(B5575="ไม้กอล์ฟ",J5575,"")</f>
        <v/>
      </c>
    </row>
  </sheetData>
  <autoFilter ref="A1:S5575"/>
  <conditionalFormatting sqref="M2:M5575">
    <cfRule type="expression" priority="1" dxfId="0">
      <formula>M2="ตรงกัน"</formula>
    </cfRule>
  </conditionalFormatting>
  <dataValidations count="2">
    <dataValidation sqref="Q2:Q5575" showDropDown="0" showInputMessage="0" showErrorMessage="0" allowBlank="1" type="list">
      <formula1>"ขาย,ไม่ขาย"</formula1>
    </dataValidation>
    <dataValidation sqref="O2:P5575" showDropDown="0" showInputMessage="0" showErrorMessage="1" allowBlank="1" error="ใส่ราคาเป็นตัวเลขบาท" type="decimal" operator="greaterThanOrEqual">
      <formula1>0</formula1>
    </dataValidation>
  </dataValidations>
  <hyperlinks>
    <hyperlink xmlns:r="http://schemas.openxmlformats.org/officeDocument/2006/relationships" ref="S2" r:id="rId1"/>
    <hyperlink xmlns:r="http://schemas.openxmlformats.org/officeDocument/2006/relationships" ref="S3" r:id="rId2"/>
    <hyperlink xmlns:r="http://schemas.openxmlformats.org/officeDocument/2006/relationships" ref="S4" r:id="rId3"/>
    <hyperlink xmlns:r="http://schemas.openxmlformats.org/officeDocument/2006/relationships" ref="S5" r:id="rId4"/>
    <hyperlink xmlns:r="http://schemas.openxmlformats.org/officeDocument/2006/relationships" ref="S6" r:id="rId5"/>
    <hyperlink xmlns:r="http://schemas.openxmlformats.org/officeDocument/2006/relationships" ref="S7" r:id="rId6"/>
    <hyperlink xmlns:r="http://schemas.openxmlformats.org/officeDocument/2006/relationships" ref="S8" r:id="rId7"/>
    <hyperlink xmlns:r="http://schemas.openxmlformats.org/officeDocument/2006/relationships" ref="S9" r:id="rId8"/>
    <hyperlink xmlns:r="http://schemas.openxmlformats.org/officeDocument/2006/relationships" ref="S10" r:id="rId9"/>
    <hyperlink xmlns:r="http://schemas.openxmlformats.org/officeDocument/2006/relationships" ref="S11" r:id="rId10"/>
    <hyperlink xmlns:r="http://schemas.openxmlformats.org/officeDocument/2006/relationships" ref="S12" r:id="rId11"/>
    <hyperlink xmlns:r="http://schemas.openxmlformats.org/officeDocument/2006/relationships" ref="S13" r:id="rId12"/>
    <hyperlink xmlns:r="http://schemas.openxmlformats.org/officeDocument/2006/relationships" ref="S14" r:id="rId13"/>
    <hyperlink xmlns:r="http://schemas.openxmlformats.org/officeDocument/2006/relationships" ref="S15" r:id="rId14"/>
    <hyperlink xmlns:r="http://schemas.openxmlformats.org/officeDocument/2006/relationships" ref="S16" r:id="rId15"/>
    <hyperlink xmlns:r="http://schemas.openxmlformats.org/officeDocument/2006/relationships" ref="S17" r:id="rId16"/>
    <hyperlink xmlns:r="http://schemas.openxmlformats.org/officeDocument/2006/relationships" ref="S18" r:id="rId17"/>
    <hyperlink xmlns:r="http://schemas.openxmlformats.org/officeDocument/2006/relationships" ref="S19" r:id="rId18"/>
    <hyperlink xmlns:r="http://schemas.openxmlformats.org/officeDocument/2006/relationships" ref="S20" r:id="rId19"/>
    <hyperlink xmlns:r="http://schemas.openxmlformats.org/officeDocument/2006/relationships" ref="S21" r:id="rId20"/>
    <hyperlink xmlns:r="http://schemas.openxmlformats.org/officeDocument/2006/relationships" ref="S22" r:id="rId21"/>
    <hyperlink xmlns:r="http://schemas.openxmlformats.org/officeDocument/2006/relationships" ref="S23" r:id="rId22"/>
    <hyperlink xmlns:r="http://schemas.openxmlformats.org/officeDocument/2006/relationships" ref="S24" r:id="rId23"/>
    <hyperlink xmlns:r="http://schemas.openxmlformats.org/officeDocument/2006/relationships" ref="S25" r:id="rId24"/>
    <hyperlink xmlns:r="http://schemas.openxmlformats.org/officeDocument/2006/relationships" ref="S26" r:id="rId25"/>
    <hyperlink xmlns:r="http://schemas.openxmlformats.org/officeDocument/2006/relationships" ref="S27" r:id="rId26"/>
    <hyperlink xmlns:r="http://schemas.openxmlformats.org/officeDocument/2006/relationships" ref="S28" r:id="rId27"/>
    <hyperlink xmlns:r="http://schemas.openxmlformats.org/officeDocument/2006/relationships" ref="S29" r:id="rId28"/>
    <hyperlink xmlns:r="http://schemas.openxmlformats.org/officeDocument/2006/relationships" ref="S30" r:id="rId29"/>
    <hyperlink xmlns:r="http://schemas.openxmlformats.org/officeDocument/2006/relationships" ref="S31" r:id="rId30"/>
    <hyperlink xmlns:r="http://schemas.openxmlformats.org/officeDocument/2006/relationships" ref="S32" r:id="rId31"/>
    <hyperlink xmlns:r="http://schemas.openxmlformats.org/officeDocument/2006/relationships" ref="S33" r:id="rId32"/>
    <hyperlink xmlns:r="http://schemas.openxmlformats.org/officeDocument/2006/relationships" ref="S34" r:id="rId33"/>
    <hyperlink xmlns:r="http://schemas.openxmlformats.org/officeDocument/2006/relationships" ref="S35" r:id="rId34"/>
    <hyperlink xmlns:r="http://schemas.openxmlformats.org/officeDocument/2006/relationships" ref="S36" r:id="rId35"/>
    <hyperlink xmlns:r="http://schemas.openxmlformats.org/officeDocument/2006/relationships" ref="S37" r:id="rId36"/>
    <hyperlink xmlns:r="http://schemas.openxmlformats.org/officeDocument/2006/relationships" ref="S38" r:id="rId37"/>
    <hyperlink xmlns:r="http://schemas.openxmlformats.org/officeDocument/2006/relationships" ref="S39" r:id="rId38"/>
    <hyperlink xmlns:r="http://schemas.openxmlformats.org/officeDocument/2006/relationships" ref="S40" r:id="rId39"/>
    <hyperlink xmlns:r="http://schemas.openxmlformats.org/officeDocument/2006/relationships" ref="S41" r:id="rId40"/>
    <hyperlink xmlns:r="http://schemas.openxmlformats.org/officeDocument/2006/relationships" ref="S42" r:id="rId41"/>
    <hyperlink xmlns:r="http://schemas.openxmlformats.org/officeDocument/2006/relationships" ref="S43" r:id="rId42"/>
    <hyperlink xmlns:r="http://schemas.openxmlformats.org/officeDocument/2006/relationships" ref="S44" r:id="rId43"/>
    <hyperlink xmlns:r="http://schemas.openxmlformats.org/officeDocument/2006/relationships" ref="S45" r:id="rId44"/>
    <hyperlink xmlns:r="http://schemas.openxmlformats.org/officeDocument/2006/relationships" ref="S46" r:id="rId45"/>
    <hyperlink xmlns:r="http://schemas.openxmlformats.org/officeDocument/2006/relationships" ref="S47" r:id="rId46"/>
    <hyperlink xmlns:r="http://schemas.openxmlformats.org/officeDocument/2006/relationships" ref="S48" r:id="rId47"/>
    <hyperlink xmlns:r="http://schemas.openxmlformats.org/officeDocument/2006/relationships" ref="S49" r:id="rId48"/>
    <hyperlink xmlns:r="http://schemas.openxmlformats.org/officeDocument/2006/relationships" ref="S50" r:id="rId49"/>
    <hyperlink xmlns:r="http://schemas.openxmlformats.org/officeDocument/2006/relationships" ref="S51" r:id="rId50"/>
    <hyperlink xmlns:r="http://schemas.openxmlformats.org/officeDocument/2006/relationships" ref="S52" r:id="rId51"/>
    <hyperlink xmlns:r="http://schemas.openxmlformats.org/officeDocument/2006/relationships" ref="S53" r:id="rId52"/>
    <hyperlink xmlns:r="http://schemas.openxmlformats.org/officeDocument/2006/relationships" ref="S54" r:id="rId53"/>
    <hyperlink xmlns:r="http://schemas.openxmlformats.org/officeDocument/2006/relationships" ref="S55" r:id="rId54"/>
    <hyperlink xmlns:r="http://schemas.openxmlformats.org/officeDocument/2006/relationships" ref="S56" r:id="rId55"/>
    <hyperlink xmlns:r="http://schemas.openxmlformats.org/officeDocument/2006/relationships" ref="S57" r:id="rId56"/>
    <hyperlink xmlns:r="http://schemas.openxmlformats.org/officeDocument/2006/relationships" ref="S58" r:id="rId57"/>
    <hyperlink xmlns:r="http://schemas.openxmlformats.org/officeDocument/2006/relationships" ref="S59" r:id="rId58"/>
    <hyperlink xmlns:r="http://schemas.openxmlformats.org/officeDocument/2006/relationships" ref="S60" r:id="rId59"/>
    <hyperlink xmlns:r="http://schemas.openxmlformats.org/officeDocument/2006/relationships" ref="S61" r:id="rId60"/>
    <hyperlink xmlns:r="http://schemas.openxmlformats.org/officeDocument/2006/relationships" ref="S62" r:id="rId61"/>
    <hyperlink xmlns:r="http://schemas.openxmlformats.org/officeDocument/2006/relationships" ref="S63" r:id="rId62"/>
    <hyperlink xmlns:r="http://schemas.openxmlformats.org/officeDocument/2006/relationships" ref="S64" r:id="rId63"/>
    <hyperlink xmlns:r="http://schemas.openxmlformats.org/officeDocument/2006/relationships" ref="S65" r:id="rId64"/>
    <hyperlink xmlns:r="http://schemas.openxmlformats.org/officeDocument/2006/relationships" ref="S66" r:id="rId65"/>
    <hyperlink xmlns:r="http://schemas.openxmlformats.org/officeDocument/2006/relationships" ref="S67" r:id="rId66"/>
    <hyperlink xmlns:r="http://schemas.openxmlformats.org/officeDocument/2006/relationships" ref="S68" r:id="rId67"/>
    <hyperlink xmlns:r="http://schemas.openxmlformats.org/officeDocument/2006/relationships" ref="S69" r:id="rId68"/>
    <hyperlink xmlns:r="http://schemas.openxmlformats.org/officeDocument/2006/relationships" ref="S70" r:id="rId69"/>
    <hyperlink xmlns:r="http://schemas.openxmlformats.org/officeDocument/2006/relationships" ref="S71" r:id="rId70"/>
    <hyperlink xmlns:r="http://schemas.openxmlformats.org/officeDocument/2006/relationships" ref="S72" r:id="rId71"/>
    <hyperlink xmlns:r="http://schemas.openxmlformats.org/officeDocument/2006/relationships" ref="S73" r:id="rId72"/>
    <hyperlink xmlns:r="http://schemas.openxmlformats.org/officeDocument/2006/relationships" ref="S74" r:id="rId73"/>
    <hyperlink xmlns:r="http://schemas.openxmlformats.org/officeDocument/2006/relationships" ref="S75" r:id="rId74"/>
    <hyperlink xmlns:r="http://schemas.openxmlformats.org/officeDocument/2006/relationships" ref="S76" r:id="rId75"/>
    <hyperlink xmlns:r="http://schemas.openxmlformats.org/officeDocument/2006/relationships" ref="S77" r:id="rId76"/>
    <hyperlink xmlns:r="http://schemas.openxmlformats.org/officeDocument/2006/relationships" ref="S78" r:id="rId77"/>
    <hyperlink xmlns:r="http://schemas.openxmlformats.org/officeDocument/2006/relationships" ref="S79" r:id="rId78"/>
    <hyperlink xmlns:r="http://schemas.openxmlformats.org/officeDocument/2006/relationships" ref="S80" r:id="rId79"/>
    <hyperlink xmlns:r="http://schemas.openxmlformats.org/officeDocument/2006/relationships" ref="S81" r:id="rId80"/>
    <hyperlink xmlns:r="http://schemas.openxmlformats.org/officeDocument/2006/relationships" ref="S82" r:id="rId81"/>
    <hyperlink xmlns:r="http://schemas.openxmlformats.org/officeDocument/2006/relationships" ref="S83" r:id="rId82"/>
    <hyperlink xmlns:r="http://schemas.openxmlformats.org/officeDocument/2006/relationships" ref="S84" r:id="rId83"/>
    <hyperlink xmlns:r="http://schemas.openxmlformats.org/officeDocument/2006/relationships" ref="S85" r:id="rId84"/>
    <hyperlink xmlns:r="http://schemas.openxmlformats.org/officeDocument/2006/relationships" ref="S86" r:id="rId85"/>
    <hyperlink xmlns:r="http://schemas.openxmlformats.org/officeDocument/2006/relationships" ref="S87" r:id="rId86"/>
    <hyperlink xmlns:r="http://schemas.openxmlformats.org/officeDocument/2006/relationships" ref="S88" r:id="rId87"/>
    <hyperlink xmlns:r="http://schemas.openxmlformats.org/officeDocument/2006/relationships" ref="S89" r:id="rId88"/>
    <hyperlink xmlns:r="http://schemas.openxmlformats.org/officeDocument/2006/relationships" ref="S90" r:id="rId89"/>
    <hyperlink xmlns:r="http://schemas.openxmlformats.org/officeDocument/2006/relationships" ref="S91" r:id="rId90"/>
    <hyperlink xmlns:r="http://schemas.openxmlformats.org/officeDocument/2006/relationships" ref="S92" r:id="rId91"/>
    <hyperlink xmlns:r="http://schemas.openxmlformats.org/officeDocument/2006/relationships" ref="S93" r:id="rId92"/>
    <hyperlink xmlns:r="http://schemas.openxmlformats.org/officeDocument/2006/relationships" ref="S94" r:id="rId93"/>
    <hyperlink xmlns:r="http://schemas.openxmlformats.org/officeDocument/2006/relationships" ref="S95" r:id="rId94"/>
    <hyperlink xmlns:r="http://schemas.openxmlformats.org/officeDocument/2006/relationships" ref="S96" r:id="rId95"/>
    <hyperlink xmlns:r="http://schemas.openxmlformats.org/officeDocument/2006/relationships" ref="S97" r:id="rId96"/>
    <hyperlink xmlns:r="http://schemas.openxmlformats.org/officeDocument/2006/relationships" ref="S98" r:id="rId97"/>
    <hyperlink xmlns:r="http://schemas.openxmlformats.org/officeDocument/2006/relationships" ref="S99" r:id="rId98"/>
    <hyperlink xmlns:r="http://schemas.openxmlformats.org/officeDocument/2006/relationships" ref="S100" r:id="rId99"/>
    <hyperlink xmlns:r="http://schemas.openxmlformats.org/officeDocument/2006/relationships" ref="S101" r:id="rId100"/>
    <hyperlink xmlns:r="http://schemas.openxmlformats.org/officeDocument/2006/relationships" ref="S102" r:id="rId101"/>
    <hyperlink xmlns:r="http://schemas.openxmlformats.org/officeDocument/2006/relationships" ref="S103" r:id="rId102"/>
    <hyperlink xmlns:r="http://schemas.openxmlformats.org/officeDocument/2006/relationships" ref="S104" r:id="rId103"/>
    <hyperlink xmlns:r="http://schemas.openxmlformats.org/officeDocument/2006/relationships" ref="S105" r:id="rId104"/>
    <hyperlink xmlns:r="http://schemas.openxmlformats.org/officeDocument/2006/relationships" ref="S106" r:id="rId105"/>
    <hyperlink xmlns:r="http://schemas.openxmlformats.org/officeDocument/2006/relationships" ref="S107" r:id="rId106"/>
    <hyperlink xmlns:r="http://schemas.openxmlformats.org/officeDocument/2006/relationships" ref="S108" r:id="rId107"/>
    <hyperlink xmlns:r="http://schemas.openxmlformats.org/officeDocument/2006/relationships" ref="S109" r:id="rId108"/>
    <hyperlink xmlns:r="http://schemas.openxmlformats.org/officeDocument/2006/relationships" ref="S110" r:id="rId109"/>
    <hyperlink xmlns:r="http://schemas.openxmlformats.org/officeDocument/2006/relationships" ref="S111" r:id="rId110"/>
    <hyperlink xmlns:r="http://schemas.openxmlformats.org/officeDocument/2006/relationships" ref="S112" r:id="rId111"/>
    <hyperlink xmlns:r="http://schemas.openxmlformats.org/officeDocument/2006/relationships" ref="S113" r:id="rId112"/>
    <hyperlink xmlns:r="http://schemas.openxmlformats.org/officeDocument/2006/relationships" ref="S114" r:id="rId113"/>
    <hyperlink xmlns:r="http://schemas.openxmlformats.org/officeDocument/2006/relationships" ref="S115" r:id="rId114"/>
    <hyperlink xmlns:r="http://schemas.openxmlformats.org/officeDocument/2006/relationships" ref="S116" r:id="rId115"/>
    <hyperlink xmlns:r="http://schemas.openxmlformats.org/officeDocument/2006/relationships" ref="S117" r:id="rId116"/>
    <hyperlink xmlns:r="http://schemas.openxmlformats.org/officeDocument/2006/relationships" ref="S118" r:id="rId117"/>
    <hyperlink xmlns:r="http://schemas.openxmlformats.org/officeDocument/2006/relationships" ref="S119" r:id="rId118"/>
    <hyperlink xmlns:r="http://schemas.openxmlformats.org/officeDocument/2006/relationships" ref="S120" r:id="rId119"/>
    <hyperlink xmlns:r="http://schemas.openxmlformats.org/officeDocument/2006/relationships" ref="S121" r:id="rId120"/>
    <hyperlink xmlns:r="http://schemas.openxmlformats.org/officeDocument/2006/relationships" ref="S122" r:id="rId121"/>
    <hyperlink xmlns:r="http://schemas.openxmlformats.org/officeDocument/2006/relationships" ref="S123" r:id="rId122"/>
    <hyperlink xmlns:r="http://schemas.openxmlformats.org/officeDocument/2006/relationships" ref="S124" r:id="rId123"/>
    <hyperlink xmlns:r="http://schemas.openxmlformats.org/officeDocument/2006/relationships" ref="S125" r:id="rId124"/>
    <hyperlink xmlns:r="http://schemas.openxmlformats.org/officeDocument/2006/relationships" ref="S126" r:id="rId125"/>
    <hyperlink xmlns:r="http://schemas.openxmlformats.org/officeDocument/2006/relationships" ref="S127" r:id="rId126"/>
    <hyperlink xmlns:r="http://schemas.openxmlformats.org/officeDocument/2006/relationships" ref="S128" r:id="rId127"/>
    <hyperlink xmlns:r="http://schemas.openxmlformats.org/officeDocument/2006/relationships" ref="S129" r:id="rId128"/>
    <hyperlink xmlns:r="http://schemas.openxmlformats.org/officeDocument/2006/relationships" ref="S130" r:id="rId129"/>
    <hyperlink xmlns:r="http://schemas.openxmlformats.org/officeDocument/2006/relationships" ref="S131" r:id="rId130"/>
    <hyperlink xmlns:r="http://schemas.openxmlformats.org/officeDocument/2006/relationships" ref="S132" r:id="rId131"/>
    <hyperlink xmlns:r="http://schemas.openxmlformats.org/officeDocument/2006/relationships" ref="S133" r:id="rId132"/>
    <hyperlink xmlns:r="http://schemas.openxmlformats.org/officeDocument/2006/relationships" ref="S134" r:id="rId133"/>
    <hyperlink xmlns:r="http://schemas.openxmlformats.org/officeDocument/2006/relationships" ref="S135" r:id="rId134"/>
    <hyperlink xmlns:r="http://schemas.openxmlformats.org/officeDocument/2006/relationships" ref="S136" r:id="rId135"/>
    <hyperlink xmlns:r="http://schemas.openxmlformats.org/officeDocument/2006/relationships" ref="S137" r:id="rId136"/>
    <hyperlink xmlns:r="http://schemas.openxmlformats.org/officeDocument/2006/relationships" ref="S138" r:id="rId137"/>
    <hyperlink xmlns:r="http://schemas.openxmlformats.org/officeDocument/2006/relationships" ref="S139" r:id="rId138"/>
    <hyperlink xmlns:r="http://schemas.openxmlformats.org/officeDocument/2006/relationships" ref="S140" r:id="rId139"/>
    <hyperlink xmlns:r="http://schemas.openxmlformats.org/officeDocument/2006/relationships" ref="S141" r:id="rId140"/>
    <hyperlink xmlns:r="http://schemas.openxmlformats.org/officeDocument/2006/relationships" ref="S142" r:id="rId141"/>
    <hyperlink xmlns:r="http://schemas.openxmlformats.org/officeDocument/2006/relationships" ref="S143" r:id="rId142"/>
    <hyperlink xmlns:r="http://schemas.openxmlformats.org/officeDocument/2006/relationships" ref="S144" r:id="rId143"/>
    <hyperlink xmlns:r="http://schemas.openxmlformats.org/officeDocument/2006/relationships" ref="S145" r:id="rId144"/>
    <hyperlink xmlns:r="http://schemas.openxmlformats.org/officeDocument/2006/relationships" ref="S146" r:id="rId145"/>
    <hyperlink xmlns:r="http://schemas.openxmlformats.org/officeDocument/2006/relationships" ref="S147" r:id="rId146"/>
    <hyperlink xmlns:r="http://schemas.openxmlformats.org/officeDocument/2006/relationships" ref="S148" r:id="rId147"/>
    <hyperlink xmlns:r="http://schemas.openxmlformats.org/officeDocument/2006/relationships" ref="S149" r:id="rId148"/>
    <hyperlink xmlns:r="http://schemas.openxmlformats.org/officeDocument/2006/relationships" ref="S150" r:id="rId149"/>
    <hyperlink xmlns:r="http://schemas.openxmlformats.org/officeDocument/2006/relationships" ref="S151" r:id="rId150"/>
    <hyperlink xmlns:r="http://schemas.openxmlformats.org/officeDocument/2006/relationships" ref="S152" r:id="rId151"/>
    <hyperlink xmlns:r="http://schemas.openxmlformats.org/officeDocument/2006/relationships" ref="S153" r:id="rId152"/>
    <hyperlink xmlns:r="http://schemas.openxmlformats.org/officeDocument/2006/relationships" ref="S154" r:id="rId153"/>
    <hyperlink xmlns:r="http://schemas.openxmlformats.org/officeDocument/2006/relationships" ref="S155" r:id="rId154"/>
    <hyperlink xmlns:r="http://schemas.openxmlformats.org/officeDocument/2006/relationships" ref="S156" r:id="rId155"/>
    <hyperlink xmlns:r="http://schemas.openxmlformats.org/officeDocument/2006/relationships" ref="S157" r:id="rId156"/>
    <hyperlink xmlns:r="http://schemas.openxmlformats.org/officeDocument/2006/relationships" ref="S158" r:id="rId157"/>
    <hyperlink xmlns:r="http://schemas.openxmlformats.org/officeDocument/2006/relationships" ref="S159" r:id="rId158"/>
    <hyperlink xmlns:r="http://schemas.openxmlformats.org/officeDocument/2006/relationships" ref="S160" r:id="rId159"/>
    <hyperlink xmlns:r="http://schemas.openxmlformats.org/officeDocument/2006/relationships" ref="S161" r:id="rId160"/>
    <hyperlink xmlns:r="http://schemas.openxmlformats.org/officeDocument/2006/relationships" ref="S162" r:id="rId161"/>
    <hyperlink xmlns:r="http://schemas.openxmlformats.org/officeDocument/2006/relationships" ref="S163" r:id="rId162"/>
    <hyperlink xmlns:r="http://schemas.openxmlformats.org/officeDocument/2006/relationships" ref="S164" r:id="rId163"/>
    <hyperlink xmlns:r="http://schemas.openxmlformats.org/officeDocument/2006/relationships" ref="S165" r:id="rId164"/>
    <hyperlink xmlns:r="http://schemas.openxmlformats.org/officeDocument/2006/relationships" ref="S166" r:id="rId165"/>
    <hyperlink xmlns:r="http://schemas.openxmlformats.org/officeDocument/2006/relationships" ref="S167" r:id="rId166"/>
    <hyperlink xmlns:r="http://schemas.openxmlformats.org/officeDocument/2006/relationships" ref="S168" r:id="rId167"/>
    <hyperlink xmlns:r="http://schemas.openxmlformats.org/officeDocument/2006/relationships" ref="S169" r:id="rId168"/>
    <hyperlink xmlns:r="http://schemas.openxmlformats.org/officeDocument/2006/relationships" ref="S170" r:id="rId169"/>
    <hyperlink xmlns:r="http://schemas.openxmlformats.org/officeDocument/2006/relationships" ref="S171" r:id="rId170"/>
    <hyperlink xmlns:r="http://schemas.openxmlformats.org/officeDocument/2006/relationships" ref="S172" r:id="rId171"/>
    <hyperlink xmlns:r="http://schemas.openxmlformats.org/officeDocument/2006/relationships" ref="S173" r:id="rId172"/>
    <hyperlink xmlns:r="http://schemas.openxmlformats.org/officeDocument/2006/relationships" ref="S174" r:id="rId173"/>
    <hyperlink xmlns:r="http://schemas.openxmlformats.org/officeDocument/2006/relationships" ref="S175" r:id="rId174"/>
    <hyperlink xmlns:r="http://schemas.openxmlformats.org/officeDocument/2006/relationships" ref="S176" r:id="rId175"/>
    <hyperlink xmlns:r="http://schemas.openxmlformats.org/officeDocument/2006/relationships" ref="S177" r:id="rId176"/>
    <hyperlink xmlns:r="http://schemas.openxmlformats.org/officeDocument/2006/relationships" ref="S178" r:id="rId177"/>
    <hyperlink xmlns:r="http://schemas.openxmlformats.org/officeDocument/2006/relationships" ref="S179" r:id="rId178"/>
    <hyperlink xmlns:r="http://schemas.openxmlformats.org/officeDocument/2006/relationships" ref="S180" r:id="rId179"/>
    <hyperlink xmlns:r="http://schemas.openxmlformats.org/officeDocument/2006/relationships" ref="S181" r:id="rId180"/>
    <hyperlink xmlns:r="http://schemas.openxmlformats.org/officeDocument/2006/relationships" ref="S182" r:id="rId181"/>
    <hyperlink xmlns:r="http://schemas.openxmlformats.org/officeDocument/2006/relationships" ref="S183" r:id="rId182"/>
    <hyperlink xmlns:r="http://schemas.openxmlformats.org/officeDocument/2006/relationships" ref="S184" r:id="rId183"/>
    <hyperlink xmlns:r="http://schemas.openxmlformats.org/officeDocument/2006/relationships" ref="S185" r:id="rId184"/>
    <hyperlink xmlns:r="http://schemas.openxmlformats.org/officeDocument/2006/relationships" ref="S186" r:id="rId185"/>
    <hyperlink xmlns:r="http://schemas.openxmlformats.org/officeDocument/2006/relationships" ref="S187" r:id="rId186"/>
    <hyperlink xmlns:r="http://schemas.openxmlformats.org/officeDocument/2006/relationships" ref="S188" r:id="rId187"/>
    <hyperlink xmlns:r="http://schemas.openxmlformats.org/officeDocument/2006/relationships" ref="S189" r:id="rId188"/>
    <hyperlink xmlns:r="http://schemas.openxmlformats.org/officeDocument/2006/relationships" ref="S190" r:id="rId189"/>
    <hyperlink xmlns:r="http://schemas.openxmlformats.org/officeDocument/2006/relationships" ref="S191" r:id="rId190"/>
    <hyperlink xmlns:r="http://schemas.openxmlformats.org/officeDocument/2006/relationships" ref="S192" r:id="rId191"/>
    <hyperlink xmlns:r="http://schemas.openxmlformats.org/officeDocument/2006/relationships" ref="S193" r:id="rId192"/>
    <hyperlink xmlns:r="http://schemas.openxmlformats.org/officeDocument/2006/relationships" ref="S194" r:id="rId193"/>
    <hyperlink xmlns:r="http://schemas.openxmlformats.org/officeDocument/2006/relationships" ref="S195" r:id="rId194"/>
    <hyperlink xmlns:r="http://schemas.openxmlformats.org/officeDocument/2006/relationships" ref="S196" r:id="rId195"/>
    <hyperlink xmlns:r="http://schemas.openxmlformats.org/officeDocument/2006/relationships" ref="S197" r:id="rId196"/>
    <hyperlink xmlns:r="http://schemas.openxmlformats.org/officeDocument/2006/relationships" ref="S198" r:id="rId197"/>
    <hyperlink xmlns:r="http://schemas.openxmlformats.org/officeDocument/2006/relationships" ref="S199" r:id="rId198"/>
    <hyperlink xmlns:r="http://schemas.openxmlformats.org/officeDocument/2006/relationships" ref="S200" r:id="rId199"/>
    <hyperlink xmlns:r="http://schemas.openxmlformats.org/officeDocument/2006/relationships" ref="S201" r:id="rId200"/>
    <hyperlink xmlns:r="http://schemas.openxmlformats.org/officeDocument/2006/relationships" ref="S202" r:id="rId201"/>
    <hyperlink xmlns:r="http://schemas.openxmlformats.org/officeDocument/2006/relationships" ref="S203" r:id="rId202"/>
    <hyperlink xmlns:r="http://schemas.openxmlformats.org/officeDocument/2006/relationships" ref="S204" r:id="rId203"/>
    <hyperlink xmlns:r="http://schemas.openxmlformats.org/officeDocument/2006/relationships" ref="S205" r:id="rId204"/>
    <hyperlink xmlns:r="http://schemas.openxmlformats.org/officeDocument/2006/relationships" ref="S206" r:id="rId205"/>
    <hyperlink xmlns:r="http://schemas.openxmlformats.org/officeDocument/2006/relationships" ref="S207" r:id="rId206"/>
    <hyperlink xmlns:r="http://schemas.openxmlformats.org/officeDocument/2006/relationships" ref="S208" r:id="rId207"/>
    <hyperlink xmlns:r="http://schemas.openxmlformats.org/officeDocument/2006/relationships" ref="S209" r:id="rId208"/>
    <hyperlink xmlns:r="http://schemas.openxmlformats.org/officeDocument/2006/relationships" ref="S210" r:id="rId209"/>
    <hyperlink xmlns:r="http://schemas.openxmlformats.org/officeDocument/2006/relationships" ref="S211" r:id="rId210"/>
    <hyperlink xmlns:r="http://schemas.openxmlformats.org/officeDocument/2006/relationships" ref="S212" r:id="rId211"/>
    <hyperlink xmlns:r="http://schemas.openxmlformats.org/officeDocument/2006/relationships" ref="S213" r:id="rId212"/>
    <hyperlink xmlns:r="http://schemas.openxmlformats.org/officeDocument/2006/relationships" ref="S214" r:id="rId213"/>
    <hyperlink xmlns:r="http://schemas.openxmlformats.org/officeDocument/2006/relationships" ref="S215" r:id="rId214"/>
    <hyperlink xmlns:r="http://schemas.openxmlformats.org/officeDocument/2006/relationships" ref="S216" r:id="rId215"/>
    <hyperlink xmlns:r="http://schemas.openxmlformats.org/officeDocument/2006/relationships" ref="S217" r:id="rId216"/>
    <hyperlink xmlns:r="http://schemas.openxmlformats.org/officeDocument/2006/relationships" ref="S218" r:id="rId217"/>
    <hyperlink xmlns:r="http://schemas.openxmlformats.org/officeDocument/2006/relationships" ref="S219" r:id="rId218"/>
    <hyperlink xmlns:r="http://schemas.openxmlformats.org/officeDocument/2006/relationships" ref="S220" r:id="rId219"/>
    <hyperlink xmlns:r="http://schemas.openxmlformats.org/officeDocument/2006/relationships" ref="S221" r:id="rId220"/>
    <hyperlink xmlns:r="http://schemas.openxmlformats.org/officeDocument/2006/relationships" ref="S222" r:id="rId221"/>
    <hyperlink xmlns:r="http://schemas.openxmlformats.org/officeDocument/2006/relationships" ref="S223" r:id="rId222"/>
    <hyperlink xmlns:r="http://schemas.openxmlformats.org/officeDocument/2006/relationships" ref="S224" r:id="rId223"/>
    <hyperlink xmlns:r="http://schemas.openxmlformats.org/officeDocument/2006/relationships" ref="S225" r:id="rId224"/>
    <hyperlink xmlns:r="http://schemas.openxmlformats.org/officeDocument/2006/relationships" ref="S226" r:id="rId225"/>
    <hyperlink xmlns:r="http://schemas.openxmlformats.org/officeDocument/2006/relationships" ref="S227" r:id="rId226"/>
    <hyperlink xmlns:r="http://schemas.openxmlformats.org/officeDocument/2006/relationships" ref="S228" r:id="rId227"/>
    <hyperlink xmlns:r="http://schemas.openxmlformats.org/officeDocument/2006/relationships" ref="S229" r:id="rId228"/>
    <hyperlink xmlns:r="http://schemas.openxmlformats.org/officeDocument/2006/relationships" ref="S230" r:id="rId229"/>
    <hyperlink xmlns:r="http://schemas.openxmlformats.org/officeDocument/2006/relationships" ref="S231" r:id="rId230"/>
    <hyperlink xmlns:r="http://schemas.openxmlformats.org/officeDocument/2006/relationships" ref="S232" r:id="rId231"/>
    <hyperlink xmlns:r="http://schemas.openxmlformats.org/officeDocument/2006/relationships" ref="S233" r:id="rId232"/>
    <hyperlink xmlns:r="http://schemas.openxmlformats.org/officeDocument/2006/relationships" ref="S234" r:id="rId233"/>
    <hyperlink xmlns:r="http://schemas.openxmlformats.org/officeDocument/2006/relationships" ref="S235" r:id="rId234"/>
    <hyperlink xmlns:r="http://schemas.openxmlformats.org/officeDocument/2006/relationships" ref="S236" r:id="rId235"/>
    <hyperlink xmlns:r="http://schemas.openxmlformats.org/officeDocument/2006/relationships" ref="S237" r:id="rId236"/>
    <hyperlink xmlns:r="http://schemas.openxmlformats.org/officeDocument/2006/relationships" ref="S238" r:id="rId237"/>
    <hyperlink xmlns:r="http://schemas.openxmlformats.org/officeDocument/2006/relationships" ref="S239" r:id="rId238"/>
    <hyperlink xmlns:r="http://schemas.openxmlformats.org/officeDocument/2006/relationships" ref="S240" r:id="rId239"/>
    <hyperlink xmlns:r="http://schemas.openxmlformats.org/officeDocument/2006/relationships" ref="S241" r:id="rId240"/>
    <hyperlink xmlns:r="http://schemas.openxmlformats.org/officeDocument/2006/relationships" ref="S242" r:id="rId241"/>
    <hyperlink xmlns:r="http://schemas.openxmlformats.org/officeDocument/2006/relationships" ref="S243" r:id="rId242"/>
    <hyperlink xmlns:r="http://schemas.openxmlformats.org/officeDocument/2006/relationships" ref="S244" r:id="rId243"/>
    <hyperlink xmlns:r="http://schemas.openxmlformats.org/officeDocument/2006/relationships" ref="S245" r:id="rId244"/>
    <hyperlink xmlns:r="http://schemas.openxmlformats.org/officeDocument/2006/relationships" ref="S246" r:id="rId245"/>
    <hyperlink xmlns:r="http://schemas.openxmlformats.org/officeDocument/2006/relationships" ref="S247" r:id="rId246"/>
    <hyperlink xmlns:r="http://schemas.openxmlformats.org/officeDocument/2006/relationships" ref="S248" r:id="rId247"/>
    <hyperlink xmlns:r="http://schemas.openxmlformats.org/officeDocument/2006/relationships" ref="S249" r:id="rId248"/>
    <hyperlink xmlns:r="http://schemas.openxmlformats.org/officeDocument/2006/relationships" ref="S250" r:id="rId249"/>
    <hyperlink xmlns:r="http://schemas.openxmlformats.org/officeDocument/2006/relationships" ref="S251" r:id="rId250"/>
    <hyperlink xmlns:r="http://schemas.openxmlformats.org/officeDocument/2006/relationships" ref="S252" r:id="rId251"/>
    <hyperlink xmlns:r="http://schemas.openxmlformats.org/officeDocument/2006/relationships" ref="S253" r:id="rId252"/>
    <hyperlink xmlns:r="http://schemas.openxmlformats.org/officeDocument/2006/relationships" ref="S254" r:id="rId253"/>
    <hyperlink xmlns:r="http://schemas.openxmlformats.org/officeDocument/2006/relationships" ref="S255" r:id="rId254"/>
    <hyperlink xmlns:r="http://schemas.openxmlformats.org/officeDocument/2006/relationships" ref="S256" r:id="rId255"/>
    <hyperlink xmlns:r="http://schemas.openxmlformats.org/officeDocument/2006/relationships" ref="S257" r:id="rId256"/>
    <hyperlink xmlns:r="http://schemas.openxmlformats.org/officeDocument/2006/relationships" ref="S258" r:id="rId257"/>
    <hyperlink xmlns:r="http://schemas.openxmlformats.org/officeDocument/2006/relationships" ref="S259" r:id="rId258"/>
    <hyperlink xmlns:r="http://schemas.openxmlformats.org/officeDocument/2006/relationships" ref="S260" r:id="rId259"/>
    <hyperlink xmlns:r="http://schemas.openxmlformats.org/officeDocument/2006/relationships" ref="S261" r:id="rId260"/>
    <hyperlink xmlns:r="http://schemas.openxmlformats.org/officeDocument/2006/relationships" ref="S262" r:id="rId261"/>
    <hyperlink xmlns:r="http://schemas.openxmlformats.org/officeDocument/2006/relationships" ref="S263" r:id="rId262"/>
    <hyperlink xmlns:r="http://schemas.openxmlformats.org/officeDocument/2006/relationships" ref="S264" r:id="rId263"/>
    <hyperlink xmlns:r="http://schemas.openxmlformats.org/officeDocument/2006/relationships" ref="S265" r:id="rId264"/>
    <hyperlink xmlns:r="http://schemas.openxmlformats.org/officeDocument/2006/relationships" ref="S266" r:id="rId265"/>
    <hyperlink xmlns:r="http://schemas.openxmlformats.org/officeDocument/2006/relationships" ref="S267" r:id="rId266"/>
    <hyperlink xmlns:r="http://schemas.openxmlformats.org/officeDocument/2006/relationships" ref="S268" r:id="rId267"/>
    <hyperlink xmlns:r="http://schemas.openxmlformats.org/officeDocument/2006/relationships" ref="S269" r:id="rId268"/>
    <hyperlink xmlns:r="http://schemas.openxmlformats.org/officeDocument/2006/relationships" ref="S270" r:id="rId269"/>
    <hyperlink xmlns:r="http://schemas.openxmlformats.org/officeDocument/2006/relationships" ref="S271" r:id="rId270"/>
    <hyperlink xmlns:r="http://schemas.openxmlformats.org/officeDocument/2006/relationships" ref="S272" r:id="rId271"/>
    <hyperlink xmlns:r="http://schemas.openxmlformats.org/officeDocument/2006/relationships" ref="S273" r:id="rId272"/>
    <hyperlink xmlns:r="http://schemas.openxmlformats.org/officeDocument/2006/relationships" ref="S274" r:id="rId273"/>
    <hyperlink xmlns:r="http://schemas.openxmlformats.org/officeDocument/2006/relationships" ref="S275" r:id="rId274"/>
    <hyperlink xmlns:r="http://schemas.openxmlformats.org/officeDocument/2006/relationships" ref="S276" r:id="rId275"/>
    <hyperlink xmlns:r="http://schemas.openxmlformats.org/officeDocument/2006/relationships" ref="S277" r:id="rId276"/>
    <hyperlink xmlns:r="http://schemas.openxmlformats.org/officeDocument/2006/relationships" ref="S278" r:id="rId277"/>
    <hyperlink xmlns:r="http://schemas.openxmlformats.org/officeDocument/2006/relationships" ref="S279" r:id="rId278"/>
    <hyperlink xmlns:r="http://schemas.openxmlformats.org/officeDocument/2006/relationships" ref="S280" r:id="rId279"/>
    <hyperlink xmlns:r="http://schemas.openxmlformats.org/officeDocument/2006/relationships" ref="S281" r:id="rId280"/>
    <hyperlink xmlns:r="http://schemas.openxmlformats.org/officeDocument/2006/relationships" ref="S282" r:id="rId281"/>
    <hyperlink xmlns:r="http://schemas.openxmlformats.org/officeDocument/2006/relationships" ref="S283" r:id="rId282"/>
    <hyperlink xmlns:r="http://schemas.openxmlformats.org/officeDocument/2006/relationships" ref="S284" r:id="rId283"/>
    <hyperlink xmlns:r="http://schemas.openxmlformats.org/officeDocument/2006/relationships" ref="S285" r:id="rId284"/>
    <hyperlink xmlns:r="http://schemas.openxmlformats.org/officeDocument/2006/relationships" ref="S286" r:id="rId285"/>
    <hyperlink xmlns:r="http://schemas.openxmlformats.org/officeDocument/2006/relationships" ref="S287" r:id="rId286"/>
    <hyperlink xmlns:r="http://schemas.openxmlformats.org/officeDocument/2006/relationships" ref="S288" r:id="rId287"/>
    <hyperlink xmlns:r="http://schemas.openxmlformats.org/officeDocument/2006/relationships" ref="S289" r:id="rId288"/>
    <hyperlink xmlns:r="http://schemas.openxmlformats.org/officeDocument/2006/relationships" ref="S290" r:id="rId289"/>
    <hyperlink xmlns:r="http://schemas.openxmlformats.org/officeDocument/2006/relationships" ref="S291" r:id="rId290"/>
    <hyperlink xmlns:r="http://schemas.openxmlformats.org/officeDocument/2006/relationships" ref="S292" r:id="rId291"/>
    <hyperlink xmlns:r="http://schemas.openxmlformats.org/officeDocument/2006/relationships" ref="S293" r:id="rId292"/>
    <hyperlink xmlns:r="http://schemas.openxmlformats.org/officeDocument/2006/relationships" ref="S294" r:id="rId293"/>
    <hyperlink xmlns:r="http://schemas.openxmlformats.org/officeDocument/2006/relationships" ref="S295" r:id="rId294"/>
    <hyperlink xmlns:r="http://schemas.openxmlformats.org/officeDocument/2006/relationships" ref="S296" r:id="rId295"/>
    <hyperlink xmlns:r="http://schemas.openxmlformats.org/officeDocument/2006/relationships" ref="S297" r:id="rId296"/>
    <hyperlink xmlns:r="http://schemas.openxmlformats.org/officeDocument/2006/relationships" ref="S298" r:id="rId297"/>
    <hyperlink xmlns:r="http://schemas.openxmlformats.org/officeDocument/2006/relationships" ref="S299" r:id="rId298"/>
    <hyperlink xmlns:r="http://schemas.openxmlformats.org/officeDocument/2006/relationships" ref="S300" r:id="rId299"/>
    <hyperlink xmlns:r="http://schemas.openxmlformats.org/officeDocument/2006/relationships" ref="S301" r:id="rId300"/>
    <hyperlink xmlns:r="http://schemas.openxmlformats.org/officeDocument/2006/relationships" ref="S302" r:id="rId301"/>
    <hyperlink xmlns:r="http://schemas.openxmlformats.org/officeDocument/2006/relationships" ref="S303" r:id="rId302"/>
    <hyperlink xmlns:r="http://schemas.openxmlformats.org/officeDocument/2006/relationships" ref="S304" r:id="rId303"/>
    <hyperlink xmlns:r="http://schemas.openxmlformats.org/officeDocument/2006/relationships" ref="S305" r:id="rId304"/>
    <hyperlink xmlns:r="http://schemas.openxmlformats.org/officeDocument/2006/relationships" ref="S306" r:id="rId305"/>
    <hyperlink xmlns:r="http://schemas.openxmlformats.org/officeDocument/2006/relationships" ref="S307" r:id="rId306"/>
    <hyperlink xmlns:r="http://schemas.openxmlformats.org/officeDocument/2006/relationships" ref="S308" r:id="rId307"/>
    <hyperlink xmlns:r="http://schemas.openxmlformats.org/officeDocument/2006/relationships" ref="S309" r:id="rId308"/>
    <hyperlink xmlns:r="http://schemas.openxmlformats.org/officeDocument/2006/relationships" ref="S310" r:id="rId309"/>
    <hyperlink xmlns:r="http://schemas.openxmlformats.org/officeDocument/2006/relationships" ref="S311" r:id="rId310"/>
    <hyperlink xmlns:r="http://schemas.openxmlformats.org/officeDocument/2006/relationships" ref="S312" r:id="rId311"/>
    <hyperlink xmlns:r="http://schemas.openxmlformats.org/officeDocument/2006/relationships" ref="S313" r:id="rId312"/>
    <hyperlink xmlns:r="http://schemas.openxmlformats.org/officeDocument/2006/relationships" ref="S314" r:id="rId313"/>
    <hyperlink xmlns:r="http://schemas.openxmlformats.org/officeDocument/2006/relationships" ref="S315" r:id="rId314"/>
    <hyperlink xmlns:r="http://schemas.openxmlformats.org/officeDocument/2006/relationships" ref="S316" r:id="rId315"/>
    <hyperlink xmlns:r="http://schemas.openxmlformats.org/officeDocument/2006/relationships" ref="S317" r:id="rId316"/>
    <hyperlink xmlns:r="http://schemas.openxmlformats.org/officeDocument/2006/relationships" ref="S318" r:id="rId317"/>
    <hyperlink xmlns:r="http://schemas.openxmlformats.org/officeDocument/2006/relationships" ref="S319" r:id="rId318"/>
    <hyperlink xmlns:r="http://schemas.openxmlformats.org/officeDocument/2006/relationships" ref="S320" r:id="rId319"/>
    <hyperlink xmlns:r="http://schemas.openxmlformats.org/officeDocument/2006/relationships" ref="S321" r:id="rId320"/>
    <hyperlink xmlns:r="http://schemas.openxmlformats.org/officeDocument/2006/relationships" ref="S322" r:id="rId321"/>
    <hyperlink xmlns:r="http://schemas.openxmlformats.org/officeDocument/2006/relationships" ref="S323" r:id="rId322"/>
    <hyperlink xmlns:r="http://schemas.openxmlformats.org/officeDocument/2006/relationships" ref="S324" r:id="rId323"/>
    <hyperlink xmlns:r="http://schemas.openxmlformats.org/officeDocument/2006/relationships" ref="S325" r:id="rId324"/>
    <hyperlink xmlns:r="http://schemas.openxmlformats.org/officeDocument/2006/relationships" ref="S326" r:id="rId325"/>
    <hyperlink xmlns:r="http://schemas.openxmlformats.org/officeDocument/2006/relationships" ref="S327" r:id="rId326"/>
    <hyperlink xmlns:r="http://schemas.openxmlformats.org/officeDocument/2006/relationships" ref="S328" r:id="rId327"/>
    <hyperlink xmlns:r="http://schemas.openxmlformats.org/officeDocument/2006/relationships" ref="S329" r:id="rId328"/>
    <hyperlink xmlns:r="http://schemas.openxmlformats.org/officeDocument/2006/relationships" ref="S330" r:id="rId329"/>
    <hyperlink xmlns:r="http://schemas.openxmlformats.org/officeDocument/2006/relationships" ref="S331" r:id="rId330"/>
    <hyperlink xmlns:r="http://schemas.openxmlformats.org/officeDocument/2006/relationships" ref="S332" r:id="rId331"/>
    <hyperlink xmlns:r="http://schemas.openxmlformats.org/officeDocument/2006/relationships" ref="S333" r:id="rId332"/>
    <hyperlink xmlns:r="http://schemas.openxmlformats.org/officeDocument/2006/relationships" ref="S334" r:id="rId333"/>
    <hyperlink xmlns:r="http://schemas.openxmlformats.org/officeDocument/2006/relationships" ref="S335" r:id="rId334"/>
    <hyperlink xmlns:r="http://schemas.openxmlformats.org/officeDocument/2006/relationships" ref="S336" r:id="rId335"/>
    <hyperlink xmlns:r="http://schemas.openxmlformats.org/officeDocument/2006/relationships" ref="S337" r:id="rId336"/>
    <hyperlink xmlns:r="http://schemas.openxmlformats.org/officeDocument/2006/relationships" ref="S338" r:id="rId337"/>
    <hyperlink xmlns:r="http://schemas.openxmlformats.org/officeDocument/2006/relationships" ref="S339" r:id="rId338"/>
    <hyperlink xmlns:r="http://schemas.openxmlformats.org/officeDocument/2006/relationships" ref="S340" r:id="rId339"/>
    <hyperlink xmlns:r="http://schemas.openxmlformats.org/officeDocument/2006/relationships" ref="S341" r:id="rId340"/>
    <hyperlink xmlns:r="http://schemas.openxmlformats.org/officeDocument/2006/relationships" ref="S342" r:id="rId341"/>
    <hyperlink xmlns:r="http://schemas.openxmlformats.org/officeDocument/2006/relationships" ref="S343" r:id="rId342"/>
    <hyperlink xmlns:r="http://schemas.openxmlformats.org/officeDocument/2006/relationships" ref="S344" r:id="rId343"/>
    <hyperlink xmlns:r="http://schemas.openxmlformats.org/officeDocument/2006/relationships" ref="S345" r:id="rId344"/>
    <hyperlink xmlns:r="http://schemas.openxmlformats.org/officeDocument/2006/relationships" ref="S346" r:id="rId345"/>
    <hyperlink xmlns:r="http://schemas.openxmlformats.org/officeDocument/2006/relationships" ref="S347" r:id="rId346"/>
    <hyperlink xmlns:r="http://schemas.openxmlformats.org/officeDocument/2006/relationships" ref="S348" r:id="rId347"/>
    <hyperlink xmlns:r="http://schemas.openxmlformats.org/officeDocument/2006/relationships" ref="S349" r:id="rId348"/>
    <hyperlink xmlns:r="http://schemas.openxmlformats.org/officeDocument/2006/relationships" ref="S350" r:id="rId349"/>
    <hyperlink xmlns:r="http://schemas.openxmlformats.org/officeDocument/2006/relationships" ref="S351" r:id="rId350"/>
    <hyperlink xmlns:r="http://schemas.openxmlformats.org/officeDocument/2006/relationships" ref="S352" r:id="rId351"/>
    <hyperlink xmlns:r="http://schemas.openxmlformats.org/officeDocument/2006/relationships" ref="S353" r:id="rId352"/>
    <hyperlink xmlns:r="http://schemas.openxmlformats.org/officeDocument/2006/relationships" ref="S354" r:id="rId353"/>
    <hyperlink xmlns:r="http://schemas.openxmlformats.org/officeDocument/2006/relationships" ref="S355" r:id="rId354"/>
    <hyperlink xmlns:r="http://schemas.openxmlformats.org/officeDocument/2006/relationships" ref="S356" r:id="rId355"/>
    <hyperlink xmlns:r="http://schemas.openxmlformats.org/officeDocument/2006/relationships" ref="S357" r:id="rId356"/>
    <hyperlink xmlns:r="http://schemas.openxmlformats.org/officeDocument/2006/relationships" ref="S358" r:id="rId357"/>
    <hyperlink xmlns:r="http://schemas.openxmlformats.org/officeDocument/2006/relationships" ref="S359" r:id="rId358"/>
    <hyperlink xmlns:r="http://schemas.openxmlformats.org/officeDocument/2006/relationships" ref="S360" r:id="rId359"/>
    <hyperlink xmlns:r="http://schemas.openxmlformats.org/officeDocument/2006/relationships" ref="S361" r:id="rId360"/>
    <hyperlink xmlns:r="http://schemas.openxmlformats.org/officeDocument/2006/relationships" ref="S362" r:id="rId361"/>
    <hyperlink xmlns:r="http://schemas.openxmlformats.org/officeDocument/2006/relationships" ref="S363" r:id="rId362"/>
    <hyperlink xmlns:r="http://schemas.openxmlformats.org/officeDocument/2006/relationships" ref="S364" r:id="rId363"/>
    <hyperlink xmlns:r="http://schemas.openxmlformats.org/officeDocument/2006/relationships" ref="S365" r:id="rId364"/>
    <hyperlink xmlns:r="http://schemas.openxmlformats.org/officeDocument/2006/relationships" ref="S366" r:id="rId365"/>
    <hyperlink xmlns:r="http://schemas.openxmlformats.org/officeDocument/2006/relationships" ref="S367" r:id="rId366"/>
    <hyperlink xmlns:r="http://schemas.openxmlformats.org/officeDocument/2006/relationships" ref="S368" r:id="rId367"/>
    <hyperlink xmlns:r="http://schemas.openxmlformats.org/officeDocument/2006/relationships" ref="S369" r:id="rId368"/>
    <hyperlink xmlns:r="http://schemas.openxmlformats.org/officeDocument/2006/relationships" ref="S370" r:id="rId369"/>
    <hyperlink xmlns:r="http://schemas.openxmlformats.org/officeDocument/2006/relationships" ref="S371" r:id="rId370"/>
    <hyperlink xmlns:r="http://schemas.openxmlformats.org/officeDocument/2006/relationships" ref="S372" r:id="rId371"/>
    <hyperlink xmlns:r="http://schemas.openxmlformats.org/officeDocument/2006/relationships" ref="S373" r:id="rId372"/>
    <hyperlink xmlns:r="http://schemas.openxmlformats.org/officeDocument/2006/relationships" ref="S374" r:id="rId373"/>
    <hyperlink xmlns:r="http://schemas.openxmlformats.org/officeDocument/2006/relationships" ref="S375" r:id="rId374"/>
    <hyperlink xmlns:r="http://schemas.openxmlformats.org/officeDocument/2006/relationships" ref="S376" r:id="rId375"/>
    <hyperlink xmlns:r="http://schemas.openxmlformats.org/officeDocument/2006/relationships" ref="S377" r:id="rId376"/>
    <hyperlink xmlns:r="http://schemas.openxmlformats.org/officeDocument/2006/relationships" ref="S378" r:id="rId377"/>
    <hyperlink xmlns:r="http://schemas.openxmlformats.org/officeDocument/2006/relationships" ref="S379" r:id="rId378"/>
    <hyperlink xmlns:r="http://schemas.openxmlformats.org/officeDocument/2006/relationships" ref="S380" r:id="rId379"/>
    <hyperlink xmlns:r="http://schemas.openxmlformats.org/officeDocument/2006/relationships" ref="S381" r:id="rId380"/>
    <hyperlink xmlns:r="http://schemas.openxmlformats.org/officeDocument/2006/relationships" ref="S382" r:id="rId381"/>
    <hyperlink xmlns:r="http://schemas.openxmlformats.org/officeDocument/2006/relationships" ref="S383" r:id="rId382"/>
    <hyperlink xmlns:r="http://schemas.openxmlformats.org/officeDocument/2006/relationships" ref="S384" r:id="rId383"/>
    <hyperlink xmlns:r="http://schemas.openxmlformats.org/officeDocument/2006/relationships" ref="S385" r:id="rId384"/>
    <hyperlink xmlns:r="http://schemas.openxmlformats.org/officeDocument/2006/relationships" ref="S386" r:id="rId385"/>
    <hyperlink xmlns:r="http://schemas.openxmlformats.org/officeDocument/2006/relationships" ref="S387" r:id="rId386"/>
    <hyperlink xmlns:r="http://schemas.openxmlformats.org/officeDocument/2006/relationships" ref="S388" r:id="rId387"/>
    <hyperlink xmlns:r="http://schemas.openxmlformats.org/officeDocument/2006/relationships" ref="S389" r:id="rId388"/>
    <hyperlink xmlns:r="http://schemas.openxmlformats.org/officeDocument/2006/relationships" ref="S390" r:id="rId389"/>
    <hyperlink xmlns:r="http://schemas.openxmlformats.org/officeDocument/2006/relationships" ref="S391" r:id="rId390"/>
    <hyperlink xmlns:r="http://schemas.openxmlformats.org/officeDocument/2006/relationships" ref="S392" r:id="rId391"/>
    <hyperlink xmlns:r="http://schemas.openxmlformats.org/officeDocument/2006/relationships" ref="S393" r:id="rId392"/>
    <hyperlink xmlns:r="http://schemas.openxmlformats.org/officeDocument/2006/relationships" ref="S394" r:id="rId393"/>
    <hyperlink xmlns:r="http://schemas.openxmlformats.org/officeDocument/2006/relationships" ref="S395" r:id="rId394"/>
    <hyperlink xmlns:r="http://schemas.openxmlformats.org/officeDocument/2006/relationships" ref="S396" r:id="rId395"/>
    <hyperlink xmlns:r="http://schemas.openxmlformats.org/officeDocument/2006/relationships" ref="S397" r:id="rId396"/>
    <hyperlink xmlns:r="http://schemas.openxmlformats.org/officeDocument/2006/relationships" ref="S398" r:id="rId397"/>
    <hyperlink xmlns:r="http://schemas.openxmlformats.org/officeDocument/2006/relationships" ref="S399" r:id="rId398"/>
    <hyperlink xmlns:r="http://schemas.openxmlformats.org/officeDocument/2006/relationships" ref="S400" r:id="rId399"/>
    <hyperlink xmlns:r="http://schemas.openxmlformats.org/officeDocument/2006/relationships" ref="S401" r:id="rId400"/>
    <hyperlink xmlns:r="http://schemas.openxmlformats.org/officeDocument/2006/relationships" ref="S402" r:id="rId401"/>
    <hyperlink xmlns:r="http://schemas.openxmlformats.org/officeDocument/2006/relationships" ref="S403" r:id="rId402"/>
    <hyperlink xmlns:r="http://schemas.openxmlformats.org/officeDocument/2006/relationships" ref="S404" r:id="rId403"/>
    <hyperlink xmlns:r="http://schemas.openxmlformats.org/officeDocument/2006/relationships" ref="S405" r:id="rId404"/>
    <hyperlink xmlns:r="http://schemas.openxmlformats.org/officeDocument/2006/relationships" ref="S406" r:id="rId405"/>
    <hyperlink xmlns:r="http://schemas.openxmlformats.org/officeDocument/2006/relationships" ref="S407" r:id="rId406"/>
    <hyperlink xmlns:r="http://schemas.openxmlformats.org/officeDocument/2006/relationships" ref="S408" r:id="rId407"/>
    <hyperlink xmlns:r="http://schemas.openxmlformats.org/officeDocument/2006/relationships" ref="S409" r:id="rId408"/>
    <hyperlink xmlns:r="http://schemas.openxmlformats.org/officeDocument/2006/relationships" ref="S410" r:id="rId409"/>
    <hyperlink xmlns:r="http://schemas.openxmlformats.org/officeDocument/2006/relationships" ref="S411" r:id="rId410"/>
    <hyperlink xmlns:r="http://schemas.openxmlformats.org/officeDocument/2006/relationships" ref="S412" r:id="rId411"/>
    <hyperlink xmlns:r="http://schemas.openxmlformats.org/officeDocument/2006/relationships" ref="S413" r:id="rId412"/>
    <hyperlink xmlns:r="http://schemas.openxmlformats.org/officeDocument/2006/relationships" ref="S414" r:id="rId413"/>
    <hyperlink xmlns:r="http://schemas.openxmlformats.org/officeDocument/2006/relationships" ref="S415" r:id="rId414"/>
    <hyperlink xmlns:r="http://schemas.openxmlformats.org/officeDocument/2006/relationships" ref="S416" r:id="rId415"/>
    <hyperlink xmlns:r="http://schemas.openxmlformats.org/officeDocument/2006/relationships" ref="S417" r:id="rId416"/>
    <hyperlink xmlns:r="http://schemas.openxmlformats.org/officeDocument/2006/relationships" ref="S418" r:id="rId417"/>
    <hyperlink xmlns:r="http://schemas.openxmlformats.org/officeDocument/2006/relationships" ref="S419" r:id="rId418"/>
    <hyperlink xmlns:r="http://schemas.openxmlformats.org/officeDocument/2006/relationships" ref="S420" r:id="rId419"/>
    <hyperlink xmlns:r="http://schemas.openxmlformats.org/officeDocument/2006/relationships" ref="S421" r:id="rId420"/>
    <hyperlink xmlns:r="http://schemas.openxmlformats.org/officeDocument/2006/relationships" ref="S422" r:id="rId421"/>
    <hyperlink xmlns:r="http://schemas.openxmlformats.org/officeDocument/2006/relationships" ref="S423" r:id="rId422"/>
    <hyperlink xmlns:r="http://schemas.openxmlformats.org/officeDocument/2006/relationships" ref="S424" r:id="rId423"/>
    <hyperlink xmlns:r="http://schemas.openxmlformats.org/officeDocument/2006/relationships" ref="S425" r:id="rId424"/>
    <hyperlink xmlns:r="http://schemas.openxmlformats.org/officeDocument/2006/relationships" ref="S426" r:id="rId425"/>
    <hyperlink xmlns:r="http://schemas.openxmlformats.org/officeDocument/2006/relationships" ref="S427" r:id="rId426"/>
    <hyperlink xmlns:r="http://schemas.openxmlformats.org/officeDocument/2006/relationships" ref="S428" r:id="rId427"/>
    <hyperlink xmlns:r="http://schemas.openxmlformats.org/officeDocument/2006/relationships" ref="S429" r:id="rId428"/>
    <hyperlink xmlns:r="http://schemas.openxmlformats.org/officeDocument/2006/relationships" ref="S430" r:id="rId429"/>
    <hyperlink xmlns:r="http://schemas.openxmlformats.org/officeDocument/2006/relationships" ref="S431" r:id="rId430"/>
    <hyperlink xmlns:r="http://schemas.openxmlformats.org/officeDocument/2006/relationships" ref="S432" r:id="rId431"/>
    <hyperlink xmlns:r="http://schemas.openxmlformats.org/officeDocument/2006/relationships" ref="S433" r:id="rId432"/>
    <hyperlink xmlns:r="http://schemas.openxmlformats.org/officeDocument/2006/relationships" ref="S434" r:id="rId433"/>
    <hyperlink xmlns:r="http://schemas.openxmlformats.org/officeDocument/2006/relationships" ref="S435" r:id="rId434"/>
    <hyperlink xmlns:r="http://schemas.openxmlformats.org/officeDocument/2006/relationships" ref="S436" r:id="rId435"/>
    <hyperlink xmlns:r="http://schemas.openxmlformats.org/officeDocument/2006/relationships" ref="S437" r:id="rId436"/>
    <hyperlink xmlns:r="http://schemas.openxmlformats.org/officeDocument/2006/relationships" ref="S438" r:id="rId437"/>
    <hyperlink xmlns:r="http://schemas.openxmlformats.org/officeDocument/2006/relationships" ref="S439" r:id="rId438"/>
    <hyperlink xmlns:r="http://schemas.openxmlformats.org/officeDocument/2006/relationships" ref="S440" r:id="rId439"/>
    <hyperlink xmlns:r="http://schemas.openxmlformats.org/officeDocument/2006/relationships" ref="S441" r:id="rId440"/>
    <hyperlink xmlns:r="http://schemas.openxmlformats.org/officeDocument/2006/relationships" ref="S442" r:id="rId441"/>
    <hyperlink xmlns:r="http://schemas.openxmlformats.org/officeDocument/2006/relationships" ref="S443" r:id="rId442"/>
    <hyperlink xmlns:r="http://schemas.openxmlformats.org/officeDocument/2006/relationships" ref="S444" r:id="rId443"/>
    <hyperlink xmlns:r="http://schemas.openxmlformats.org/officeDocument/2006/relationships" ref="S445" r:id="rId444"/>
    <hyperlink xmlns:r="http://schemas.openxmlformats.org/officeDocument/2006/relationships" ref="S446" r:id="rId445"/>
    <hyperlink xmlns:r="http://schemas.openxmlformats.org/officeDocument/2006/relationships" ref="S447" r:id="rId446"/>
    <hyperlink xmlns:r="http://schemas.openxmlformats.org/officeDocument/2006/relationships" ref="S448" r:id="rId447"/>
    <hyperlink xmlns:r="http://schemas.openxmlformats.org/officeDocument/2006/relationships" ref="S449" r:id="rId448"/>
    <hyperlink xmlns:r="http://schemas.openxmlformats.org/officeDocument/2006/relationships" ref="S450" r:id="rId449"/>
    <hyperlink xmlns:r="http://schemas.openxmlformats.org/officeDocument/2006/relationships" ref="S451" r:id="rId450"/>
    <hyperlink xmlns:r="http://schemas.openxmlformats.org/officeDocument/2006/relationships" ref="S452" r:id="rId451"/>
    <hyperlink xmlns:r="http://schemas.openxmlformats.org/officeDocument/2006/relationships" ref="S453" r:id="rId452"/>
    <hyperlink xmlns:r="http://schemas.openxmlformats.org/officeDocument/2006/relationships" ref="S454" r:id="rId453"/>
    <hyperlink xmlns:r="http://schemas.openxmlformats.org/officeDocument/2006/relationships" ref="S455" r:id="rId454"/>
    <hyperlink xmlns:r="http://schemas.openxmlformats.org/officeDocument/2006/relationships" ref="S456" r:id="rId455"/>
    <hyperlink xmlns:r="http://schemas.openxmlformats.org/officeDocument/2006/relationships" ref="S457" r:id="rId456"/>
    <hyperlink xmlns:r="http://schemas.openxmlformats.org/officeDocument/2006/relationships" ref="S458" r:id="rId457"/>
    <hyperlink xmlns:r="http://schemas.openxmlformats.org/officeDocument/2006/relationships" ref="S459" r:id="rId458"/>
    <hyperlink xmlns:r="http://schemas.openxmlformats.org/officeDocument/2006/relationships" ref="S460" r:id="rId459"/>
    <hyperlink xmlns:r="http://schemas.openxmlformats.org/officeDocument/2006/relationships" ref="S461" r:id="rId460"/>
    <hyperlink xmlns:r="http://schemas.openxmlformats.org/officeDocument/2006/relationships" ref="S462" r:id="rId461"/>
    <hyperlink xmlns:r="http://schemas.openxmlformats.org/officeDocument/2006/relationships" ref="S463" r:id="rId462"/>
    <hyperlink xmlns:r="http://schemas.openxmlformats.org/officeDocument/2006/relationships" ref="S464" r:id="rId463"/>
    <hyperlink xmlns:r="http://schemas.openxmlformats.org/officeDocument/2006/relationships" ref="S465" r:id="rId464"/>
    <hyperlink xmlns:r="http://schemas.openxmlformats.org/officeDocument/2006/relationships" ref="S466" r:id="rId465"/>
    <hyperlink xmlns:r="http://schemas.openxmlformats.org/officeDocument/2006/relationships" ref="S467" r:id="rId466"/>
    <hyperlink xmlns:r="http://schemas.openxmlformats.org/officeDocument/2006/relationships" ref="S468" r:id="rId467"/>
    <hyperlink xmlns:r="http://schemas.openxmlformats.org/officeDocument/2006/relationships" ref="S469" r:id="rId468"/>
    <hyperlink xmlns:r="http://schemas.openxmlformats.org/officeDocument/2006/relationships" ref="S470" r:id="rId469"/>
    <hyperlink xmlns:r="http://schemas.openxmlformats.org/officeDocument/2006/relationships" ref="S471" r:id="rId470"/>
    <hyperlink xmlns:r="http://schemas.openxmlformats.org/officeDocument/2006/relationships" ref="S472" r:id="rId471"/>
    <hyperlink xmlns:r="http://schemas.openxmlformats.org/officeDocument/2006/relationships" ref="S473" r:id="rId472"/>
    <hyperlink xmlns:r="http://schemas.openxmlformats.org/officeDocument/2006/relationships" ref="S474" r:id="rId473"/>
    <hyperlink xmlns:r="http://schemas.openxmlformats.org/officeDocument/2006/relationships" ref="S475" r:id="rId474"/>
    <hyperlink xmlns:r="http://schemas.openxmlformats.org/officeDocument/2006/relationships" ref="S476" r:id="rId475"/>
    <hyperlink xmlns:r="http://schemas.openxmlformats.org/officeDocument/2006/relationships" ref="S477" r:id="rId476"/>
    <hyperlink xmlns:r="http://schemas.openxmlformats.org/officeDocument/2006/relationships" ref="S478" r:id="rId477"/>
    <hyperlink xmlns:r="http://schemas.openxmlformats.org/officeDocument/2006/relationships" ref="S479" r:id="rId478"/>
    <hyperlink xmlns:r="http://schemas.openxmlformats.org/officeDocument/2006/relationships" ref="S480" r:id="rId479"/>
    <hyperlink xmlns:r="http://schemas.openxmlformats.org/officeDocument/2006/relationships" ref="S481" r:id="rId480"/>
    <hyperlink xmlns:r="http://schemas.openxmlformats.org/officeDocument/2006/relationships" ref="S482" r:id="rId481"/>
    <hyperlink xmlns:r="http://schemas.openxmlformats.org/officeDocument/2006/relationships" ref="S483" r:id="rId482"/>
    <hyperlink xmlns:r="http://schemas.openxmlformats.org/officeDocument/2006/relationships" ref="S484" r:id="rId483"/>
    <hyperlink xmlns:r="http://schemas.openxmlformats.org/officeDocument/2006/relationships" ref="S485" r:id="rId484"/>
    <hyperlink xmlns:r="http://schemas.openxmlformats.org/officeDocument/2006/relationships" ref="S486" r:id="rId485"/>
    <hyperlink xmlns:r="http://schemas.openxmlformats.org/officeDocument/2006/relationships" ref="S487" r:id="rId486"/>
    <hyperlink xmlns:r="http://schemas.openxmlformats.org/officeDocument/2006/relationships" ref="S488" r:id="rId487"/>
    <hyperlink xmlns:r="http://schemas.openxmlformats.org/officeDocument/2006/relationships" ref="S489" r:id="rId488"/>
    <hyperlink xmlns:r="http://schemas.openxmlformats.org/officeDocument/2006/relationships" ref="S490" r:id="rId489"/>
    <hyperlink xmlns:r="http://schemas.openxmlformats.org/officeDocument/2006/relationships" ref="S491" r:id="rId490"/>
    <hyperlink xmlns:r="http://schemas.openxmlformats.org/officeDocument/2006/relationships" ref="S492" r:id="rId491"/>
    <hyperlink xmlns:r="http://schemas.openxmlformats.org/officeDocument/2006/relationships" ref="S493" r:id="rId492"/>
    <hyperlink xmlns:r="http://schemas.openxmlformats.org/officeDocument/2006/relationships" ref="S494" r:id="rId493"/>
    <hyperlink xmlns:r="http://schemas.openxmlformats.org/officeDocument/2006/relationships" ref="S495" r:id="rId494"/>
    <hyperlink xmlns:r="http://schemas.openxmlformats.org/officeDocument/2006/relationships" ref="S496" r:id="rId495"/>
    <hyperlink xmlns:r="http://schemas.openxmlformats.org/officeDocument/2006/relationships" ref="S497" r:id="rId496"/>
    <hyperlink xmlns:r="http://schemas.openxmlformats.org/officeDocument/2006/relationships" ref="S498" r:id="rId497"/>
    <hyperlink xmlns:r="http://schemas.openxmlformats.org/officeDocument/2006/relationships" ref="S499" r:id="rId498"/>
    <hyperlink xmlns:r="http://schemas.openxmlformats.org/officeDocument/2006/relationships" ref="S500" r:id="rId499"/>
    <hyperlink xmlns:r="http://schemas.openxmlformats.org/officeDocument/2006/relationships" ref="S501" r:id="rId500"/>
    <hyperlink xmlns:r="http://schemas.openxmlformats.org/officeDocument/2006/relationships" ref="S502" r:id="rId501"/>
    <hyperlink xmlns:r="http://schemas.openxmlformats.org/officeDocument/2006/relationships" ref="S503" r:id="rId502"/>
    <hyperlink xmlns:r="http://schemas.openxmlformats.org/officeDocument/2006/relationships" ref="S504" r:id="rId503"/>
    <hyperlink xmlns:r="http://schemas.openxmlformats.org/officeDocument/2006/relationships" ref="S505" r:id="rId504"/>
    <hyperlink xmlns:r="http://schemas.openxmlformats.org/officeDocument/2006/relationships" ref="S506" r:id="rId505"/>
    <hyperlink xmlns:r="http://schemas.openxmlformats.org/officeDocument/2006/relationships" ref="S507" r:id="rId506"/>
    <hyperlink xmlns:r="http://schemas.openxmlformats.org/officeDocument/2006/relationships" ref="S508" r:id="rId507"/>
    <hyperlink xmlns:r="http://schemas.openxmlformats.org/officeDocument/2006/relationships" ref="S509" r:id="rId508"/>
    <hyperlink xmlns:r="http://schemas.openxmlformats.org/officeDocument/2006/relationships" ref="S510" r:id="rId509"/>
    <hyperlink xmlns:r="http://schemas.openxmlformats.org/officeDocument/2006/relationships" ref="S511" r:id="rId510"/>
    <hyperlink xmlns:r="http://schemas.openxmlformats.org/officeDocument/2006/relationships" ref="S512" r:id="rId511"/>
    <hyperlink xmlns:r="http://schemas.openxmlformats.org/officeDocument/2006/relationships" ref="S513" r:id="rId512"/>
    <hyperlink xmlns:r="http://schemas.openxmlformats.org/officeDocument/2006/relationships" ref="S514" r:id="rId513"/>
    <hyperlink xmlns:r="http://schemas.openxmlformats.org/officeDocument/2006/relationships" ref="S515" r:id="rId514"/>
    <hyperlink xmlns:r="http://schemas.openxmlformats.org/officeDocument/2006/relationships" ref="S516" r:id="rId515"/>
    <hyperlink xmlns:r="http://schemas.openxmlformats.org/officeDocument/2006/relationships" ref="S517" r:id="rId516"/>
    <hyperlink xmlns:r="http://schemas.openxmlformats.org/officeDocument/2006/relationships" ref="S518" r:id="rId517"/>
    <hyperlink xmlns:r="http://schemas.openxmlformats.org/officeDocument/2006/relationships" ref="S519" r:id="rId518"/>
    <hyperlink xmlns:r="http://schemas.openxmlformats.org/officeDocument/2006/relationships" ref="S520" r:id="rId519"/>
    <hyperlink xmlns:r="http://schemas.openxmlformats.org/officeDocument/2006/relationships" ref="S521" r:id="rId520"/>
    <hyperlink xmlns:r="http://schemas.openxmlformats.org/officeDocument/2006/relationships" ref="S522" r:id="rId521"/>
    <hyperlink xmlns:r="http://schemas.openxmlformats.org/officeDocument/2006/relationships" ref="S523" r:id="rId522"/>
    <hyperlink xmlns:r="http://schemas.openxmlformats.org/officeDocument/2006/relationships" ref="S524" r:id="rId523"/>
    <hyperlink xmlns:r="http://schemas.openxmlformats.org/officeDocument/2006/relationships" ref="S525" r:id="rId524"/>
    <hyperlink xmlns:r="http://schemas.openxmlformats.org/officeDocument/2006/relationships" ref="S526" r:id="rId525"/>
    <hyperlink xmlns:r="http://schemas.openxmlformats.org/officeDocument/2006/relationships" ref="S527" r:id="rId526"/>
    <hyperlink xmlns:r="http://schemas.openxmlformats.org/officeDocument/2006/relationships" ref="S528" r:id="rId527"/>
    <hyperlink xmlns:r="http://schemas.openxmlformats.org/officeDocument/2006/relationships" ref="S529" r:id="rId528"/>
    <hyperlink xmlns:r="http://schemas.openxmlformats.org/officeDocument/2006/relationships" ref="S530" r:id="rId529"/>
    <hyperlink xmlns:r="http://schemas.openxmlformats.org/officeDocument/2006/relationships" ref="S531" r:id="rId530"/>
    <hyperlink xmlns:r="http://schemas.openxmlformats.org/officeDocument/2006/relationships" ref="S532" r:id="rId531"/>
    <hyperlink xmlns:r="http://schemas.openxmlformats.org/officeDocument/2006/relationships" ref="S533" r:id="rId532"/>
    <hyperlink xmlns:r="http://schemas.openxmlformats.org/officeDocument/2006/relationships" ref="S534" r:id="rId533"/>
    <hyperlink xmlns:r="http://schemas.openxmlformats.org/officeDocument/2006/relationships" ref="S535" r:id="rId534"/>
    <hyperlink xmlns:r="http://schemas.openxmlformats.org/officeDocument/2006/relationships" ref="S536" r:id="rId535"/>
    <hyperlink xmlns:r="http://schemas.openxmlformats.org/officeDocument/2006/relationships" ref="S537" r:id="rId536"/>
    <hyperlink xmlns:r="http://schemas.openxmlformats.org/officeDocument/2006/relationships" ref="S538" r:id="rId537"/>
    <hyperlink xmlns:r="http://schemas.openxmlformats.org/officeDocument/2006/relationships" ref="S539" r:id="rId538"/>
    <hyperlink xmlns:r="http://schemas.openxmlformats.org/officeDocument/2006/relationships" ref="S540" r:id="rId539"/>
    <hyperlink xmlns:r="http://schemas.openxmlformats.org/officeDocument/2006/relationships" ref="S541" r:id="rId540"/>
    <hyperlink xmlns:r="http://schemas.openxmlformats.org/officeDocument/2006/relationships" ref="S542" r:id="rId541"/>
    <hyperlink xmlns:r="http://schemas.openxmlformats.org/officeDocument/2006/relationships" ref="S543" r:id="rId542"/>
    <hyperlink xmlns:r="http://schemas.openxmlformats.org/officeDocument/2006/relationships" ref="S544" r:id="rId543"/>
    <hyperlink xmlns:r="http://schemas.openxmlformats.org/officeDocument/2006/relationships" ref="S545" r:id="rId544"/>
    <hyperlink xmlns:r="http://schemas.openxmlformats.org/officeDocument/2006/relationships" ref="S546" r:id="rId545"/>
    <hyperlink xmlns:r="http://schemas.openxmlformats.org/officeDocument/2006/relationships" ref="S547" r:id="rId546"/>
    <hyperlink xmlns:r="http://schemas.openxmlformats.org/officeDocument/2006/relationships" ref="S548" r:id="rId547"/>
    <hyperlink xmlns:r="http://schemas.openxmlformats.org/officeDocument/2006/relationships" ref="S549" r:id="rId548"/>
    <hyperlink xmlns:r="http://schemas.openxmlformats.org/officeDocument/2006/relationships" ref="S550" r:id="rId549"/>
    <hyperlink xmlns:r="http://schemas.openxmlformats.org/officeDocument/2006/relationships" ref="S551" r:id="rId550"/>
    <hyperlink xmlns:r="http://schemas.openxmlformats.org/officeDocument/2006/relationships" ref="S552" r:id="rId551"/>
    <hyperlink xmlns:r="http://schemas.openxmlformats.org/officeDocument/2006/relationships" ref="S553" r:id="rId552"/>
    <hyperlink xmlns:r="http://schemas.openxmlformats.org/officeDocument/2006/relationships" ref="S554" r:id="rId553"/>
    <hyperlink xmlns:r="http://schemas.openxmlformats.org/officeDocument/2006/relationships" ref="S555" r:id="rId554"/>
    <hyperlink xmlns:r="http://schemas.openxmlformats.org/officeDocument/2006/relationships" ref="S556" r:id="rId555"/>
    <hyperlink xmlns:r="http://schemas.openxmlformats.org/officeDocument/2006/relationships" ref="S557" r:id="rId556"/>
    <hyperlink xmlns:r="http://schemas.openxmlformats.org/officeDocument/2006/relationships" ref="S558" r:id="rId557"/>
    <hyperlink xmlns:r="http://schemas.openxmlformats.org/officeDocument/2006/relationships" ref="S559" r:id="rId558"/>
    <hyperlink xmlns:r="http://schemas.openxmlformats.org/officeDocument/2006/relationships" ref="S560" r:id="rId559"/>
    <hyperlink xmlns:r="http://schemas.openxmlformats.org/officeDocument/2006/relationships" ref="S561" r:id="rId560"/>
    <hyperlink xmlns:r="http://schemas.openxmlformats.org/officeDocument/2006/relationships" ref="S562" r:id="rId561"/>
    <hyperlink xmlns:r="http://schemas.openxmlformats.org/officeDocument/2006/relationships" ref="S563" r:id="rId562"/>
    <hyperlink xmlns:r="http://schemas.openxmlformats.org/officeDocument/2006/relationships" ref="S564" r:id="rId563"/>
    <hyperlink xmlns:r="http://schemas.openxmlformats.org/officeDocument/2006/relationships" ref="S565" r:id="rId564"/>
    <hyperlink xmlns:r="http://schemas.openxmlformats.org/officeDocument/2006/relationships" ref="S566" r:id="rId565"/>
    <hyperlink xmlns:r="http://schemas.openxmlformats.org/officeDocument/2006/relationships" ref="S567" r:id="rId566"/>
    <hyperlink xmlns:r="http://schemas.openxmlformats.org/officeDocument/2006/relationships" ref="S568" r:id="rId567"/>
    <hyperlink xmlns:r="http://schemas.openxmlformats.org/officeDocument/2006/relationships" ref="S569" r:id="rId568"/>
    <hyperlink xmlns:r="http://schemas.openxmlformats.org/officeDocument/2006/relationships" ref="S570" r:id="rId569"/>
    <hyperlink xmlns:r="http://schemas.openxmlformats.org/officeDocument/2006/relationships" ref="S571" r:id="rId570"/>
    <hyperlink xmlns:r="http://schemas.openxmlformats.org/officeDocument/2006/relationships" ref="S572" r:id="rId571"/>
    <hyperlink xmlns:r="http://schemas.openxmlformats.org/officeDocument/2006/relationships" ref="S573" r:id="rId572"/>
    <hyperlink xmlns:r="http://schemas.openxmlformats.org/officeDocument/2006/relationships" ref="S574" r:id="rId573"/>
    <hyperlink xmlns:r="http://schemas.openxmlformats.org/officeDocument/2006/relationships" ref="S575" r:id="rId574"/>
    <hyperlink xmlns:r="http://schemas.openxmlformats.org/officeDocument/2006/relationships" ref="S576" r:id="rId575"/>
    <hyperlink xmlns:r="http://schemas.openxmlformats.org/officeDocument/2006/relationships" ref="S577" r:id="rId576"/>
    <hyperlink xmlns:r="http://schemas.openxmlformats.org/officeDocument/2006/relationships" ref="S578" r:id="rId577"/>
    <hyperlink xmlns:r="http://schemas.openxmlformats.org/officeDocument/2006/relationships" ref="S579" r:id="rId578"/>
    <hyperlink xmlns:r="http://schemas.openxmlformats.org/officeDocument/2006/relationships" ref="S580" r:id="rId579"/>
    <hyperlink xmlns:r="http://schemas.openxmlformats.org/officeDocument/2006/relationships" ref="S581" r:id="rId580"/>
    <hyperlink xmlns:r="http://schemas.openxmlformats.org/officeDocument/2006/relationships" ref="S582" r:id="rId581"/>
    <hyperlink xmlns:r="http://schemas.openxmlformats.org/officeDocument/2006/relationships" ref="S583" r:id="rId582"/>
    <hyperlink xmlns:r="http://schemas.openxmlformats.org/officeDocument/2006/relationships" ref="S584" r:id="rId583"/>
    <hyperlink xmlns:r="http://schemas.openxmlformats.org/officeDocument/2006/relationships" ref="S585" r:id="rId584"/>
    <hyperlink xmlns:r="http://schemas.openxmlformats.org/officeDocument/2006/relationships" ref="S586" r:id="rId585"/>
    <hyperlink xmlns:r="http://schemas.openxmlformats.org/officeDocument/2006/relationships" ref="S587" r:id="rId586"/>
    <hyperlink xmlns:r="http://schemas.openxmlformats.org/officeDocument/2006/relationships" ref="S588" r:id="rId587"/>
    <hyperlink xmlns:r="http://schemas.openxmlformats.org/officeDocument/2006/relationships" ref="S589" r:id="rId588"/>
    <hyperlink xmlns:r="http://schemas.openxmlformats.org/officeDocument/2006/relationships" ref="S590" r:id="rId589"/>
    <hyperlink xmlns:r="http://schemas.openxmlformats.org/officeDocument/2006/relationships" ref="S591" r:id="rId590"/>
    <hyperlink xmlns:r="http://schemas.openxmlformats.org/officeDocument/2006/relationships" ref="S592" r:id="rId591"/>
    <hyperlink xmlns:r="http://schemas.openxmlformats.org/officeDocument/2006/relationships" ref="S593" r:id="rId592"/>
    <hyperlink xmlns:r="http://schemas.openxmlformats.org/officeDocument/2006/relationships" ref="S594" r:id="rId593"/>
    <hyperlink xmlns:r="http://schemas.openxmlformats.org/officeDocument/2006/relationships" ref="S595" r:id="rId594"/>
    <hyperlink xmlns:r="http://schemas.openxmlformats.org/officeDocument/2006/relationships" ref="S596" r:id="rId595"/>
    <hyperlink xmlns:r="http://schemas.openxmlformats.org/officeDocument/2006/relationships" ref="S597" r:id="rId596"/>
    <hyperlink xmlns:r="http://schemas.openxmlformats.org/officeDocument/2006/relationships" ref="S598" r:id="rId597"/>
    <hyperlink xmlns:r="http://schemas.openxmlformats.org/officeDocument/2006/relationships" ref="S599" r:id="rId598"/>
    <hyperlink xmlns:r="http://schemas.openxmlformats.org/officeDocument/2006/relationships" ref="S600" r:id="rId599"/>
    <hyperlink xmlns:r="http://schemas.openxmlformats.org/officeDocument/2006/relationships" ref="S601" r:id="rId600"/>
    <hyperlink xmlns:r="http://schemas.openxmlformats.org/officeDocument/2006/relationships" ref="S602" r:id="rId601"/>
    <hyperlink xmlns:r="http://schemas.openxmlformats.org/officeDocument/2006/relationships" ref="S603" r:id="rId602"/>
    <hyperlink xmlns:r="http://schemas.openxmlformats.org/officeDocument/2006/relationships" ref="S604" r:id="rId603"/>
    <hyperlink xmlns:r="http://schemas.openxmlformats.org/officeDocument/2006/relationships" ref="S605" r:id="rId604"/>
    <hyperlink xmlns:r="http://schemas.openxmlformats.org/officeDocument/2006/relationships" ref="S606" r:id="rId605"/>
    <hyperlink xmlns:r="http://schemas.openxmlformats.org/officeDocument/2006/relationships" ref="S607" r:id="rId606"/>
    <hyperlink xmlns:r="http://schemas.openxmlformats.org/officeDocument/2006/relationships" ref="S608" r:id="rId607"/>
    <hyperlink xmlns:r="http://schemas.openxmlformats.org/officeDocument/2006/relationships" ref="S609" r:id="rId608"/>
    <hyperlink xmlns:r="http://schemas.openxmlformats.org/officeDocument/2006/relationships" ref="S610" r:id="rId609"/>
    <hyperlink xmlns:r="http://schemas.openxmlformats.org/officeDocument/2006/relationships" ref="S611" r:id="rId610"/>
    <hyperlink xmlns:r="http://schemas.openxmlformats.org/officeDocument/2006/relationships" ref="S612" r:id="rId611"/>
    <hyperlink xmlns:r="http://schemas.openxmlformats.org/officeDocument/2006/relationships" ref="S613" r:id="rId612"/>
    <hyperlink xmlns:r="http://schemas.openxmlformats.org/officeDocument/2006/relationships" ref="S614" r:id="rId613"/>
    <hyperlink xmlns:r="http://schemas.openxmlformats.org/officeDocument/2006/relationships" ref="S615" r:id="rId614"/>
    <hyperlink xmlns:r="http://schemas.openxmlformats.org/officeDocument/2006/relationships" ref="S616" r:id="rId615"/>
    <hyperlink xmlns:r="http://schemas.openxmlformats.org/officeDocument/2006/relationships" ref="S617" r:id="rId616"/>
    <hyperlink xmlns:r="http://schemas.openxmlformats.org/officeDocument/2006/relationships" ref="S618" r:id="rId617"/>
    <hyperlink xmlns:r="http://schemas.openxmlformats.org/officeDocument/2006/relationships" ref="S619" r:id="rId618"/>
    <hyperlink xmlns:r="http://schemas.openxmlformats.org/officeDocument/2006/relationships" ref="S620" r:id="rId619"/>
    <hyperlink xmlns:r="http://schemas.openxmlformats.org/officeDocument/2006/relationships" ref="S621" r:id="rId620"/>
    <hyperlink xmlns:r="http://schemas.openxmlformats.org/officeDocument/2006/relationships" ref="S622" r:id="rId621"/>
    <hyperlink xmlns:r="http://schemas.openxmlformats.org/officeDocument/2006/relationships" ref="S623" r:id="rId622"/>
    <hyperlink xmlns:r="http://schemas.openxmlformats.org/officeDocument/2006/relationships" ref="S624" r:id="rId623"/>
    <hyperlink xmlns:r="http://schemas.openxmlformats.org/officeDocument/2006/relationships" ref="S625" r:id="rId624"/>
    <hyperlink xmlns:r="http://schemas.openxmlformats.org/officeDocument/2006/relationships" ref="S626" r:id="rId625"/>
    <hyperlink xmlns:r="http://schemas.openxmlformats.org/officeDocument/2006/relationships" ref="S627" r:id="rId626"/>
    <hyperlink xmlns:r="http://schemas.openxmlformats.org/officeDocument/2006/relationships" ref="S628" r:id="rId627"/>
    <hyperlink xmlns:r="http://schemas.openxmlformats.org/officeDocument/2006/relationships" ref="S629" r:id="rId628"/>
    <hyperlink xmlns:r="http://schemas.openxmlformats.org/officeDocument/2006/relationships" ref="S630" r:id="rId629"/>
    <hyperlink xmlns:r="http://schemas.openxmlformats.org/officeDocument/2006/relationships" ref="S631" r:id="rId630"/>
    <hyperlink xmlns:r="http://schemas.openxmlformats.org/officeDocument/2006/relationships" ref="S632" r:id="rId631"/>
    <hyperlink xmlns:r="http://schemas.openxmlformats.org/officeDocument/2006/relationships" ref="S633" r:id="rId632"/>
    <hyperlink xmlns:r="http://schemas.openxmlformats.org/officeDocument/2006/relationships" ref="S634" r:id="rId633"/>
    <hyperlink xmlns:r="http://schemas.openxmlformats.org/officeDocument/2006/relationships" ref="S635" r:id="rId634"/>
    <hyperlink xmlns:r="http://schemas.openxmlformats.org/officeDocument/2006/relationships" ref="S636" r:id="rId635"/>
    <hyperlink xmlns:r="http://schemas.openxmlformats.org/officeDocument/2006/relationships" ref="S637" r:id="rId636"/>
    <hyperlink xmlns:r="http://schemas.openxmlformats.org/officeDocument/2006/relationships" ref="S638" r:id="rId637"/>
    <hyperlink xmlns:r="http://schemas.openxmlformats.org/officeDocument/2006/relationships" ref="S639" r:id="rId638"/>
    <hyperlink xmlns:r="http://schemas.openxmlformats.org/officeDocument/2006/relationships" ref="S640" r:id="rId639"/>
    <hyperlink xmlns:r="http://schemas.openxmlformats.org/officeDocument/2006/relationships" ref="S641" r:id="rId640"/>
    <hyperlink xmlns:r="http://schemas.openxmlformats.org/officeDocument/2006/relationships" ref="S642" r:id="rId641"/>
    <hyperlink xmlns:r="http://schemas.openxmlformats.org/officeDocument/2006/relationships" ref="S643" r:id="rId642"/>
    <hyperlink xmlns:r="http://schemas.openxmlformats.org/officeDocument/2006/relationships" ref="S644" r:id="rId643"/>
    <hyperlink xmlns:r="http://schemas.openxmlformats.org/officeDocument/2006/relationships" ref="S645" r:id="rId644"/>
    <hyperlink xmlns:r="http://schemas.openxmlformats.org/officeDocument/2006/relationships" ref="S646" r:id="rId645"/>
    <hyperlink xmlns:r="http://schemas.openxmlformats.org/officeDocument/2006/relationships" ref="S647" r:id="rId646"/>
    <hyperlink xmlns:r="http://schemas.openxmlformats.org/officeDocument/2006/relationships" ref="S648" r:id="rId647"/>
    <hyperlink xmlns:r="http://schemas.openxmlformats.org/officeDocument/2006/relationships" ref="S649" r:id="rId648"/>
    <hyperlink xmlns:r="http://schemas.openxmlformats.org/officeDocument/2006/relationships" ref="S650" r:id="rId649"/>
    <hyperlink xmlns:r="http://schemas.openxmlformats.org/officeDocument/2006/relationships" ref="S651" r:id="rId650"/>
    <hyperlink xmlns:r="http://schemas.openxmlformats.org/officeDocument/2006/relationships" ref="S652" r:id="rId651"/>
    <hyperlink xmlns:r="http://schemas.openxmlformats.org/officeDocument/2006/relationships" ref="S653" r:id="rId652"/>
    <hyperlink xmlns:r="http://schemas.openxmlformats.org/officeDocument/2006/relationships" ref="S654" r:id="rId653"/>
    <hyperlink xmlns:r="http://schemas.openxmlformats.org/officeDocument/2006/relationships" ref="S655" r:id="rId654"/>
    <hyperlink xmlns:r="http://schemas.openxmlformats.org/officeDocument/2006/relationships" ref="S656" r:id="rId655"/>
    <hyperlink xmlns:r="http://schemas.openxmlformats.org/officeDocument/2006/relationships" ref="S657" r:id="rId656"/>
    <hyperlink xmlns:r="http://schemas.openxmlformats.org/officeDocument/2006/relationships" ref="S658" r:id="rId657"/>
    <hyperlink xmlns:r="http://schemas.openxmlformats.org/officeDocument/2006/relationships" ref="S659" r:id="rId658"/>
    <hyperlink xmlns:r="http://schemas.openxmlformats.org/officeDocument/2006/relationships" ref="S660" r:id="rId659"/>
    <hyperlink xmlns:r="http://schemas.openxmlformats.org/officeDocument/2006/relationships" ref="S661" r:id="rId660"/>
    <hyperlink xmlns:r="http://schemas.openxmlformats.org/officeDocument/2006/relationships" ref="S662" r:id="rId661"/>
    <hyperlink xmlns:r="http://schemas.openxmlformats.org/officeDocument/2006/relationships" ref="S663" r:id="rId662"/>
    <hyperlink xmlns:r="http://schemas.openxmlformats.org/officeDocument/2006/relationships" ref="S664" r:id="rId663"/>
    <hyperlink xmlns:r="http://schemas.openxmlformats.org/officeDocument/2006/relationships" ref="S665" r:id="rId664"/>
    <hyperlink xmlns:r="http://schemas.openxmlformats.org/officeDocument/2006/relationships" ref="S666" r:id="rId665"/>
    <hyperlink xmlns:r="http://schemas.openxmlformats.org/officeDocument/2006/relationships" ref="S667" r:id="rId666"/>
    <hyperlink xmlns:r="http://schemas.openxmlformats.org/officeDocument/2006/relationships" ref="S668" r:id="rId667"/>
    <hyperlink xmlns:r="http://schemas.openxmlformats.org/officeDocument/2006/relationships" ref="S669" r:id="rId668"/>
    <hyperlink xmlns:r="http://schemas.openxmlformats.org/officeDocument/2006/relationships" ref="S670" r:id="rId669"/>
    <hyperlink xmlns:r="http://schemas.openxmlformats.org/officeDocument/2006/relationships" ref="S671" r:id="rId670"/>
    <hyperlink xmlns:r="http://schemas.openxmlformats.org/officeDocument/2006/relationships" ref="S672" r:id="rId671"/>
    <hyperlink xmlns:r="http://schemas.openxmlformats.org/officeDocument/2006/relationships" ref="S673" r:id="rId672"/>
    <hyperlink xmlns:r="http://schemas.openxmlformats.org/officeDocument/2006/relationships" ref="S674" r:id="rId673"/>
    <hyperlink xmlns:r="http://schemas.openxmlformats.org/officeDocument/2006/relationships" ref="S675" r:id="rId674"/>
    <hyperlink xmlns:r="http://schemas.openxmlformats.org/officeDocument/2006/relationships" ref="S676" r:id="rId675"/>
    <hyperlink xmlns:r="http://schemas.openxmlformats.org/officeDocument/2006/relationships" ref="S677" r:id="rId676"/>
    <hyperlink xmlns:r="http://schemas.openxmlformats.org/officeDocument/2006/relationships" ref="S678" r:id="rId677"/>
    <hyperlink xmlns:r="http://schemas.openxmlformats.org/officeDocument/2006/relationships" ref="S679" r:id="rId678"/>
    <hyperlink xmlns:r="http://schemas.openxmlformats.org/officeDocument/2006/relationships" ref="S680" r:id="rId679"/>
    <hyperlink xmlns:r="http://schemas.openxmlformats.org/officeDocument/2006/relationships" ref="S681" r:id="rId680"/>
    <hyperlink xmlns:r="http://schemas.openxmlformats.org/officeDocument/2006/relationships" ref="S682" r:id="rId681"/>
    <hyperlink xmlns:r="http://schemas.openxmlformats.org/officeDocument/2006/relationships" ref="S683" r:id="rId682"/>
    <hyperlink xmlns:r="http://schemas.openxmlformats.org/officeDocument/2006/relationships" ref="S684" r:id="rId683"/>
    <hyperlink xmlns:r="http://schemas.openxmlformats.org/officeDocument/2006/relationships" ref="S685" r:id="rId684"/>
    <hyperlink xmlns:r="http://schemas.openxmlformats.org/officeDocument/2006/relationships" ref="S686" r:id="rId685"/>
    <hyperlink xmlns:r="http://schemas.openxmlformats.org/officeDocument/2006/relationships" ref="S687" r:id="rId686"/>
    <hyperlink xmlns:r="http://schemas.openxmlformats.org/officeDocument/2006/relationships" ref="S688" r:id="rId687"/>
    <hyperlink xmlns:r="http://schemas.openxmlformats.org/officeDocument/2006/relationships" ref="S689" r:id="rId688"/>
    <hyperlink xmlns:r="http://schemas.openxmlformats.org/officeDocument/2006/relationships" ref="S690" r:id="rId689"/>
    <hyperlink xmlns:r="http://schemas.openxmlformats.org/officeDocument/2006/relationships" ref="S691" r:id="rId690"/>
    <hyperlink xmlns:r="http://schemas.openxmlformats.org/officeDocument/2006/relationships" ref="S692" r:id="rId691"/>
    <hyperlink xmlns:r="http://schemas.openxmlformats.org/officeDocument/2006/relationships" ref="S693" r:id="rId692"/>
    <hyperlink xmlns:r="http://schemas.openxmlformats.org/officeDocument/2006/relationships" ref="S694" r:id="rId693"/>
    <hyperlink xmlns:r="http://schemas.openxmlformats.org/officeDocument/2006/relationships" ref="S695" r:id="rId694"/>
    <hyperlink xmlns:r="http://schemas.openxmlformats.org/officeDocument/2006/relationships" ref="S696" r:id="rId695"/>
    <hyperlink xmlns:r="http://schemas.openxmlformats.org/officeDocument/2006/relationships" ref="S697" r:id="rId696"/>
    <hyperlink xmlns:r="http://schemas.openxmlformats.org/officeDocument/2006/relationships" ref="S698" r:id="rId697"/>
    <hyperlink xmlns:r="http://schemas.openxmlformats.org/officeDocument/2006/relationships" ref="S699" r:id="rId698"/>
    <hyperlink xmlns:r="http://schemas.openxmlformats.org/officeDocument/2006/relationships" ref="S700" r:id="rId699"/>
    <hyperlink xmlns:r="http://schemas.openxmlformats.org/officeDocument/2006/relationships" ref="S701" r:id="rId700"/>
    <hyperlink xmlns:r="http://schemas.openxmlformats.org/officeDocument/2006/relationships" ref="S702" r:id="rId701"/>
    <hyperlink xmlns:r="http://schemas.openxmlformats.org/officeDocument/2006/relationships" ref="S703" r:id="rId702"/>
    <hyperlink xmlns:r="http://schemas.openxmlformats.org/officeDocument/2006/relationships" ref="S704" r:id="rId703"/>
    <hyperlink xmlns:r="http://schemas.openxmlformats.org/officeDocument/2006/relationships" ref="S705" r:id="rId704"/>
    <hyperlink xmlns:r="http://schemas.openxmlformats.org/officeDocument/2006/relationships" ref="S706" r:id="rId705"/>
    <hyperlink xmlns:r="http://schemas.openxmlformats.org/officeDocument/2006/relationships" ref="S707" r:id="rId706"/>
    <hyperlink xmlns:r="http://schemas.openxmlformats.org/officeDocument/2006/relationships" ref="S708" r:id="rId707"/>
    <hyperlink xmlns:r="http://schemas.openxmlformats.org/officeDocument/2006/relationships" ref="S709" r:id="rId708"/>
    <hyperlink xmlns:r="http://schemas.openxmlformats.org/officeDocument/2006/relationships" ref="S710" r:id="rId709"/>
    <hyperlink xmlns:r="http://schemas.openxmlformats.org/officeDocument/2006/relationships" ref="S711" r:id="rId710"/>
    <hyperlink xmlns:r="http://schemas.openxmlformats.org/officeDocument/2006/relationships" ref="S712" r:id="rId711"/>
    <hyperlink xmlns:r="http://schemas.openxmlformats.org/officeDocument/2006/relationships" ref="S713" r:id="rId712"/>
    <hyperlink xmlns:r="http://schemas.openxmlformats.org/officeDocument/2006/relationships" ref="S714" r:id="rId713"/>
    <hyperlink xmlns:r="http://schemas.openxmlformats.org/officeDocument/2006/relationships" ref="S715" r:id="rId714"/>
    <hyperlink xmlns:r="http://schemas.openxmlformats.org/officeDocument/2006/relationships" ref="S716" r:id="rId715"/>
    <hyperlink xmlns:r="http://schemas.openxmlformats.org/officeDocument/2006/relationships" ref="S717" r:id="rId716"/>
    <hyperlink xmlns:r="http://schemas.openxmlformats.org/officeDocument/2006/relationships" ref="S718" r:id="rId717"/>
    <hyperlink xmlns:r="http://schemas.openxmlformats.org/officeDocument/2006/relationships" ref="S719" r:id="rId718"/>
    <hyperlink xmlns:r="http://schemas.openxmlformats.org/officeDocument/2006/relationships" ref="S720" r:id="rId719"/>
    <hyperlink xmlns:r="http://schemas.openxmlformats.org/officeDocument/2006/relationships" ref="S721" r:id="rId720"/>
    <hyperlink xmlns:r="http://schemas.openxmlformats.org/officeDocument/2006/relationships" ref="S722" r:id="rId721"/>
    <hyperlink xmlns:r="http://schemas.openxmlformats.org/officeDocument/2006/relationships" ref="S723" r:id="rId722"/>
    <hyperlink xmlns:r="http://schemas.openxmlformats.org/officeDocument/2006/relationships" ref="S724" r:id="rId723"/>
    <hyperlink xmlns:r="http://schemas.openxmlformats.org/officeDocument/2006/relationships" ref="S725" r:id="rId724"/>
    <hyperlink xmlns:r="http://schemas.openxmlformats.org/officeDocument/2006/relationships" ref="S726" r:id="rId725"/>
    <hyperlink xmlns:r="http://schemas.openxmlformats.org/officeDocument/2006/relationships" ref="S727" r:id="rId726"/>
    <hyperlink xmlns:r="http://schemas.openxmlformats.org/officeDocument/2006/relationships" ref="S728" r:id="rId727"/>
    <hyperlink xmlns:r="http://schemas.openxmlformats.org/officeDocument/2006/relationships" ref="S729" r:id="rId728"/>
    <hyperlink xmlns:r="http://schemas.openxmlformats.org/officeDocument/2006/relationships" ref="S730" r:id="rId729"/>
    <hyperlink xmlns:r="http://schemas.openxmlformats.org/officeDocument/2006/relationships" ref="S731" r:id="rId730"/>
    <hyperlink xmlns:r="http://schemas.openxmlformats.org/officeDocument/2006/relationships" ref="S732" r:id="rId731"/>
    <hyperlink xmlns:r="http://schemas.openxmlformats.org/officeDocument/2006/relationships" ref="S733" r:id="rId732"/>
    <hyperlink xmlns:r="http://schemas.openxmlformats.org/officeDocument/2006/relationships" ref="S734" r:id="rId733"/>
    <hyperlink xmlns:r="http://schemas.openxmlformats.org/officeDocument/2006/relationships" ref="S735" r:id="rId734"/>
    <hyperlink xmlns:r="http://schemas.openxmlformats.org/officeDocument/2006/relationships" ref="S736" r:id="rId735"/>
    <hyperlink xmlns:r="http://schemas.openxmlformats.org/officeDocument/2006/relationships" ref="S737" r:id="rId736"/>
    <hyperlink xmlns:r="http://schemas.openxmlformats.org/officeDocument/2006/relationships" ref="S738" r:id="rId737"/>
    <hyperlink xmlns:r="http://schemas.openxmlformats.org/officeDocument/2006/relationships" ref="S739" r:id="rId738"/>
    <hyperlink xmlns:r="http://schemas.openxmlformats.org/officeDocument/2006/relationships" ref="S740" r:id="rId739"/>
    <hyperlink xmlns:r="http://schemas.openxmlformats.org/officeDocument/2006/relationships" ref="S741" r:id="rId740"/>
    <hyperlink xmlns:r="http://schemas.openxmlformats.org/officeDocument/2006/relationships" ref="S742" r:id="rId741"/>
    <hyperlink xmlns:r="http://schemas.openxmlformats.org/officeDocument/2006/relationships" ref="S743" r:id="rId742"/>
    <hyperlink xmlns:r="http://schemas.openxmlformats.org/officeDocument/2006/relationships" ref="S744" r:id="rId743"/>
    <hyperlink xmlns:r="http://schemas.openxmlformats.org/officeDocument/2006/relationships" ref="S745" r:id="rId744"/>
    <hyperlink xmlns:r="http://schemas.openxmlformats.org/officeDocument/2006/relationships" ref="S746" r:id="rId745"/>
    <hyperlink xmlns:r="http://schemas.openxmlformats.org/officeDocument/2006/relationships" ref="S747" r:id="rId746"/>
    <hyperlink xmlns:r="http://schemas.openxmlformats.org/officeDocument/2006/relationships" ref="S748" r:id="rId747"/>
    <hyperlink xmlns:r="http://schemas.openxmlformats.org/officeDocument/2006/relationships" ref="S749" r:id="rId748"/>
    <hyperlink xmlns:r="http://schemas.openxmlformats.org/officeDocument/2006/relationships" ref="S750" r:id="rId749"/>
    <hyperlink xmlns:r="http://schemas.openxmlformats.org/officeDocument/2006/relationships" ref="S751" r:id="rId750"/>
    <hyperlink xmlns:r="http://schemas.openxmlformats.org/officeDocument/2006/relationships" ref="S752" r:id="rId751"/>
    <hyperlink xmlns:r="http://schemas.openxmlformats.org/officeDocument/2006/relationships" ref="S753" r:id="rId752"/>
    <hyperlink xmlns:r="http://schemas.openxmlformats.org/officeDocument/2006/relationships" ref="S754" r:id="rId753"/>
    <hyperlink xmlns:r="http://schemas.openxmlformats.org/officeDocument/2006/relationships" ref="S755" r:id="rId754"/>
    <hyperlink xmlns:r="http://schemas.openxmlformats.org/officeDocument/2006/relationships" ref="S756" r:id="rId755"/>
    <hyperlink xmlns:r="http://schemas.openxmlformats.org/officeDocument/2006/relationships" ref="S757" r:id="rId756"/>
    <hyperlink xmlns:r="http://schemas.openxmlformats.org/officeDocument/2006/relationships" ref="S758" r:id="rId757"/>
    <hyperlink xmlns:r="http://schemas.openxmlformats.org/officeDocument/2006/relationships" ref="S759" r:id="rId758"/>
    <hyperlink xmlns:r="http://schemas.openxmlformats.org/officeDocument/2006/relationships" ref="S760" r:id="rId759"/>
    <hyperlink xmlns:r="http://schemas.openxmlformats.org/officeDocument/2006/relationships" ref="S761" r:id="rId760"/>
    <hyperlink xmlns:r="http://schemas.openxmlformats.org/officeDocument/2006/relationships" ref="S762" r:id="rId761"/>
    <hyperlink xmlns:r="http://schemas.openxmlformats.org/officeDocument/2006/relationships" ref="S763" r:id="rId762"/>
    <hyperlink xmlns:r="http://schemas.openxmlformats.org/officeDocument/2006/relationships" ref="S764" r:id="rId763"/>
    <hyperlink xmlns:r="http://schemas.openxmlformats.org/officeDocument/2006/relationships" ref="S765" r:id="rId764"/>
    <hyperlink xmlns:r="http://schemas.openxmlformats.org/officeDocument/2006/relationships" ref="S766" r:id="rId765"/>
    <hyperlink xmlns:r="http://schemas.openxmlformats.org/officeDocument/2006/relationships" ref="S767" r:id="rId766"/>
    <hyperlink xmlns:r="http://schemas.openxmlformats.org/officeDocument/2006/relationships" ref="S768" r:id="rId767"/>
    <hyperlink xmlns:r="http://schemas.openxmlformats.org/officeDocument/2006/relationships" ref="S769" r:id="rId768"/>
    <hyperlink xmlns:r="http://schemas.openxmlformats.org/officeDocument/2006/relationships" ref="S770" r:id="rId769"/>
    <hyperlink xmlns:r="http://schemas.openxmlformats.org/officeDocument/2006/relationships" ref="S771" r:id="rId770"/>
    <hyperlink xmlns:r="http://schemas.openxmlformats.org/officeDocument/2006/relationships" ref="S772" r:id="rId771"/>
    <hyperlink xmlns:r="http://schemas.openxmlformats.org/officeDocument/2006/relationships" ref="S773" r:id="rId772"/>
    <hyperlink xmlns:r="http://schemas.openxmlformats.org/officeDocument/2006/relationships" ref="S774" r:id="rId773"/>
    <hyperlink xmlns:r="http://schemas.openxmlformats.org/officeDocument/2006/relationships" ref="S775" r:id="rId774"/>
    <hyperlink xmlns:r="http://schemas.openxmlformats.org/officeDocument/2006/relationships" ref="S776" r:id="rId775"/>
    <hyperlink xmlns:r="http://schemas.openxmlformats.org/officeDocument/2006/relationships" ref="S777" r:id="rId776"/>
    <hyperlink xmlns:r="http://schemas.openxmlformats.org/officeDocument/2006/relationships" ref="S778" r:id="rId777"/>
    <hyperlink xmlns:r="http://schemas.openxmlformats.org/officeDocument/2006/relationships" ref="S779" r:id="rId778"/>
    <hyperlink xmlns:r="http://schemas.openxmlformats.org/officeDocument/2006/relationships" ref="S780" r:id="rId779"/>
    <hyperlink xmlns:r="http://schemas.openxmlformats.org/officeDocument/2006/relationships" ref="S781" r:id="rId780"/>
    <hyperlink xmlns:r="http://schemas.openxmlformats.org/officeDocument/2006/relationships" ref="S782" r:id="rId781"/>
    <hyperlink xmlns:r="http://schemas.openxmlformats.org/officeDocument/2006/relationships" ref="S783" r:id="rId782"/>
    <hyperlink xmlns:r="http://schemas.openxmlformats.org/officeDocument/2006/relationships" ref="S784" r:id="rId783"/>
    <hyperlink xmlns:r="http://schemas.openxmlformats.org/officeDocument/2006/relationships" ref="S785" r:id="rId784"/>
    <hyperlink xmlns:r="http://schemas.openxmlformats.org/officeDocument/2006/relationships" ref="S786" r:id="rId785"/>
    <hyperlink xmlns:r="http://schemas.openxmlformats.org/officeDocument/2006/relationships" ref="S787" r:id="rId786"/>
    <hyperlink xmlns:r="http://schemas.openxmlformats.org/officeDocument/2006/relationships" ref="S788" r:id="rId787"/>
    <hyperlink xmlns:r="http://schemas.openxmlformats.org/officeDocument/2006/relationships" ref="S789" r:id="rId788"/>
    <hyperlink xmlns:r="http://schemas.openxmlformats.org/officeDocument/2006/relationships" ref="S790" r:id="rId789"/>
    <hyperlink xmlns:r="http://schemas.openxmlformats.org/officeDocument/2006/relationships" ref="S791" r:id="rId790"/>
    <hyperlink xmlns:r="http://schemas.openxmlformats.org/officeDocument/2006/relationships" ref="S792" r:id="rId791"/>
    <hyperlink xmlns:r="http://schemas.openxmlformats.org/officeDocument/2006/relationships" ref="S793" r:id="rId792"/>
    <hyperlink xmlns:r="http://schemas.openxmlformats.org/officeDocument/2006/relationships" ref="S794" r:id="rId793"/>
    <hyperlink xmlns:r="http://schemas.openxmlformats.org/officeDocument/2006/relationships" ref="S795" r:id="rId794"/>
    <hyperlink xmlns:r="http://schemas.openxmlformats.org/officeDocument/2006/relationships" ref="S796" r:id="rId795"/>
    <hyperlink xmlns:r="http://schemas.openxmlformats.org/officeDocument/2006/relationships" ref="S797" r:id="rId796"/>
    <hyperlink xmlns:r="http://schemas.openxmlformats.org/officeDocument/2006/relationships" ref="S798" r:id="rId797"/>
    <hyperlink xmlns:r="http://schemas.openxmlformats.org/officeDocument/2006/relationships" ref="S799" r:id="rId798"/>
    <hyperlink xmlns:r="http://schemas.openxmlformats.org/officeDocument/2006/relationships" ref="S800" r:id="rId799"/>
    <hyperlink xmlns:r="http://schemas.openxmlformats.org/officeDocument/2006/relationships" ref="S801" r:id="rId800"/>
    <hyperlink xmlns:r="http://schemas.openxmlformats.org/officeDocument/2006/relationships" ref="S802" r:id="rId801"/>
    <hyperlink xmlns:r="http://schemas.openxmlformats.org/officeDocument/2006/relationships" ref="S803" r:id="rId802"/>
    <hyperlink xmlns:r="http://schemas.openxmlformats.org/officeDocument/2006/relationships" ref="S804" r:id="rId803"/>
    <hyperlink xmlns:r="http://schemas.openxmlformats.org/officeDocument/2006/relationships" ref="S805" r:id="rId804"/>
    <hyperlink xmlns:r="http://schemas.openxmlformats.org/officeDocument/2006/relationships" ref="S806" r:id="rId805"/>
    <hyperlink xmlns:r="http://schemas.openxmlformats.org/officeDocument/2006/relationships" ref="S807" r:id="rId806"/>
    <hyperlink xmlns:r="http://schemas.openxmlformats.org/officeDocument/2006/relationships" ref="S808" r:id="rId807"/>
    <hyperlink xmlns:r="http://schemas.openxmlformats.org/officeDocument/2006/relationships" ref="S809" r:id="rId808"/>
    <hyperlink xmlns:r="http://schemas.openxmlformats.org/officeDocument/2006/relationships" ref="S810" r:id="rId809"/>
    <hyperlink xmlns:r="http://schemas.openxmlformats.org/officeDocument/2006/relationships" ref="S811" r:id="rId810"/>
    <hyperlink xmlns:r="http://schemas.openxmlformats.org/officeDocument/2006/relationships" ref="S812" r:id="rId811"/>
    <hyperlink xmlns:r="http://schemas.openxmlformats.org/officeDocument/2006/relationships" ref="S813" r:id="rId812"/>
    <hyperlink xmlns:r="http://schemas.openxmlformats.org/officeDocument/2006/relationships" ref="S814" r:id="rId813"/>
    <hyperlink xmlns:r="http://schemas.openxmlformats.org/officeDocument/2006/relationships" ref="S815" r:id="rId814"/>
    <hyperlink xmlns:r="http://schemas.openxmlformats.org/officeDocument/2006/relationships" ref="S816" r:id="rId815"/>
    <hyperlink xmlns:r="http://schemas.openxmlformats.org/officeDocument/2006/relationships" ref="S817" r:id="rId816"/>
    <hyperlink xmlns:r="http://schemas.openxmlformats.org/officeDocument/2006/relationships" ref="S818" r:id="rId817"/>
    <hyperlink xmlns:r="http://schemas.openxmlformats.org/officeDocument/2006/relationships" ref="S819" r:id="rId818"/>
    <hyperlink xmlns:r="http://schemas.openxmlformats.org/officeDocument/2006/relationships" ref="S820" r:id="rId819"/>
    <hyperlink xmlns:r="http://schemas.openxmlformats.org/officeDocument/2006/relationships" ref="S821" r:id="rId820"/>
    <hyperlink xmlns:r="http://schemas.openxmlformats.org/officeDocument/2006/relationships" ref="S822" r:id="rId821"/>
    <hyperlink xmlns:r="http://schemas.openxmlformats.org/officeDocument/2006/relationships" ref="S823" r:id="rId822"/>
    <hyperlink xmlns:r="http://schemas.openxmlformats.org/officeDocument/2006/relationships" ref="S824" r:id="rId823"/>
    <hyperlink xmlns:r="http://schemas.openxmlformats.org/officeDocument/2006/relationships" ref="S825" r:id="rId824"/>
    <hyperlink xmlns:r="http://schemas.openxmlformats.org/officeDocument/2006/relationships" ref="S826" r:id="rId825"/>
    <hyperlink xmlns:r="http://schemas.openxmlformats.org/officeDocument/2006/relationships" ref="S827" r:id="rId826"/>
    <hyperlink xmlns:r="http://schemas.openxmlformats.org/officeDocument/2006/relationships" ref="S828" r:id="rId827"/>
    <hyperlink xmlns:r="http://schemas.openxmlformats.org/officeDocument/2006/relationships" ref="S829" r:id="rId828"/>
    <hyperlink xmlns:r="http://schemas.openxmlformats.org/officeDocument/2006/relationships" ref="S830" r:id="rId829"/>
    <hyperlink xmlns:r="http://schemas.openxmlformats.org/officeDocument/2006/relationships" ref="S831" r:id="rId830"/>
    <hyperlink xmlns:r="http://schemas.openxmlformats.org/officeDocument/2006/relationships" ref="S832" r:id="rId831"/>
    <hyperlink xmlns:r="http://schemas.openxmlformats.org/officeDocument/2006/relationships" ref="S833" r:id="rId832"/>
    <hyperlink xmlns:r="http://schemas.openxmlformats.org/officeDocument/2006/relationships" ref="S834" r:id="rId833"/>
    <hyperlink xmlns:r="http://schemas.openxmlformats.org/officeDocument/2006/relationships" ref="S835" r:id="rId834"/>
    <hyperlink xmlns:r="http://schemas.openxmlformats.org/officeDocument/2006/relationships" ref="S836" r:id="rId835"/>
    <hyperlink xmlns:r="http://schemas.openxmlformats.org/officeDocument/2006/relationships" ref="S837" r:id="rId836"/>
    <hyperlink xmlns:r="http://schemas.openxmlformats.org/officeDocument/2006/relationships" ref="S838" r:id="rId837"/>
    <hyperlink xmlns:r="http://schemas.openxmlformats.org/officeDocument/2006/relationships" ref="S839" r:id="rId838"/>
    <hyperlink xmlns:r="http://schemas.openxmlformats.org/officeDocument/2006/relationships" ref="S840" r:id="rId839"/>
    <hyperlink xmlns:r="http://schemas.openxmlformats.org/officeDocument/2006/relationships" ref="S841" r:id="rId840"/>
    <hyperlink xmlns:r="http://schemas.openxmlformats.org/officeDocument/2006/relationships" ref="S842" r:id="rId841"/>
    <hyperlink xmlns:r="http://schemas.openxmlformats.org/officeDocument/2006/relationships" ref="S843" r:id="rId842"/>
    <hyperlink xmlns:r="http://schemas.openxmlformats.org/officeDocument/2006/relationships" ref="S844" r:id="rId843"/>
    <hyperlink xmlns:r="http://schemas.openxmlformats.org/officeDocument/2006/relationships" ref="S845" r:id="rId844"/>
    <hyperlink xmlns:r="http://schemas.openxmlformats.org/officeDocument/2006/relationships" ref="S846" r:id="rId845"/>
    <hyperlink xmlns:r="http://schemas.openxmlformats.org/officeDocument/2006/relationships" ref="S847" r:id="rId846"/>
    <hyperlink xmlns:r="http://schemas.openxmlformats.org/officeDocument/2006/relationships" ref="S848" r:id="rId847"/>
    <hyperlink xmlns:r="http://schemas.openxmlformats.org/officeDocument/2006/relationships" ref="S849" r:id="rId848"/>
    <hyperlink xmlns:r="http://schemas.openxmlformats.org/officeDocument/2006/relationships" ref="S850" r:id="rId849"/>
    <hyperlink xmlns:r="http://schemas.openxmlformats.org/officeDocument/2006/relationships" ref="S851" r:id="rId850"/>
    <hyperlink xmlns:r="http://schemas.openxmlformats.org/officeDocument/2006/relationships" ref="S852" r:id="rId851"/>
    <hyperlink xmlns:r="http://schemas.openxmlformats.org/officeDocument/2006/relationships" ref="S853" r:id="rId852"/>
    <hyperlink xmlns:r="http://schemas.openxmlformats.org/officeDocument/2006/relationships" ref="S854" r:id="rId853"/>
    <hyperlink xmlns:r="http://schemas.openxmlformats.org/officeDocument/2006/relationships" ref="S855" r:id="rId854"/>
    <hyperlink xmlns:r="http://schemas.openxmlformats.org/officeDocument/2006/relationships" ref="S856" r:id="rId855"/>
    <hyperlink xmlns:r="http://schemas.openxmlformats.org/officeDocument/2006/relationships" ref="S857" r:id="rId856"/>
    <hyperlink xmlns:r="http://schemas.openxmlformats.org/officeDocument/2006/relationships" ref="S858" r:id="rId857"/>
    <hyperlink xmlns:r="http://schemas.openxmlformats.org/officeDocument/2006/relationships" ref="S859" r:id="rId858"/>
    <hyperlink xmlns:r="http://schemas.openxmlformats.org/officeDocument/2006/relationships" ref="S860" r:id="rId859"/>
    <hyperlink xmlns:r="http://schemas.openxmlformats.org/officeDocument/2006/relationships" ref="S861" r:id="rId860"/>
    <hyperlink xmlns:r="http://schemas.openxmlformats.org/officeDocument/2006/relationships" ref="S862" r:id="rId861"/>
    <hyperlink xmlns:r="http://schemas.openxmlformats.org/officeDocument/2006/relationships" ref="S863" r:id="rId862"/>
    <hyperlink xmlns:r="http://schemas.openxmlformats.org/officeDocument/2006/relationships" ref="S864" r:id="rId863"/>
    <hyperlink xmlns:r="http://schemas.openxmlformats.org/officeDocument/2006/relationships" ref="S865" r:id="rId864"/>
    <hyperlink xmlns:r="http://schemas.openxmlformats.org/officeDocument/2006/relationships" ref="S866" r:id="rId865"/>
    <hyperlink xmlns:r="http://schemas.openxmlformats.org/officeDocument/2006/relationships" ref="S867" r:id="rId866"/>
    <hyperlink xmlns:r="http://schemas.openxmlformats.org/officeDocument/2006/relationships" ref="S868" r:id="rId867"/>
    <hyperlink xmlns:r="http://schemas.openxmlformats.org/officeDocument/2006/relationships" ref="S869" r:id="rId868"/>
    <hyperlink xmlns:r="http://schemas.openxmlformats.org/officeDocument/2006/relationships" ref="S870" r:id="rId869"/>
    <hyperlink xmlns:r="http://schemas.openxmlformats.org/officeDocument/2006/relationships" ref="S871" r:id="rId870"/>
    <hyperlink xmlns:r="http://schemas.openxmlformats.org/officeDocument/2006/relationships" ref="S872" r:id="rId871"/>
    <hyperlink xmlns:r="http://schemas.openxmlformats.org/officeDocument/2006/relationships" ref="S873" r:id="rId872"/>
    <hyperlink xmlns:r="http://schemas.openxmlformats.org/officeDocument/2006/relationships" ref="S874" r:id="rId873"/>
    <hyperlink xmlns:r="http://schemas.openxmlformats.org/officeDocument/2006/relationships" ref="S875" r:id="rId874"/>
    <hyperlink xmlns:r="http://schemas.openxmlformats.org/officeDocument/2006/relationships" ref="S876" r:id="rId875"/>
    <hyperlink xmlns:r="http://schemas.openxmlformats.org/officeDocument/2006/relationships" ref="S877" r:id="rId876"/>
    <hyperlink xmlns:r="http://schemas.openxmlformats.org/officeDocument/2006/relationships" ref="S878" r:id="rId877"/>
    <hyperlink xmlns:r="http://schemas.openxmlformats.org/officeDocument/2006/relationships" ref="S879" r:id="rId878"/>
    <hyperlink xmlns:r="http://schemas.openxmlformats.org/officeDocument/2006/relationships" ref="S880" r:id="rId879"/>
    <hyperlink xmlns:r="http://schemas.openxmlformats.org/officeDocument/2006/relationships" ref="S881" r:id="rId880"/>
    <hyperlink xmlns:r="http://schemas.openxmlformats.org/officeDocument/2006/relationships" ref="S882" r:id="rId881"/>
    <hyperlink xmlns:r="http://schemas.openxmlformats.org/officeDocument/2006/relationships" ref="S883" r:id="rId882"/>
    <hyperlink xmlns:r="http://schemas.openxmlformats.org/officeDocument/2006/relationships" ref="S884" r:id="rId883"/>
    <hyperlink xmlns:r="http://schemas.openxmlformats.org/officeDocument/2006/relationships" ref="S885" r:id="rId884"/>
    <hyperlink xmlns:r="http://schemas.openxmlformats.org/officeDocument/2006/relationships" ref="S886" r:id="rId885"/>
    <hyperlink xmlns:r="http://schemas.openxmlformats.org/officeDocument/2006/relationships" ref="S887" r:id="rId886"/>
    <hyperlink xmlns:r="http://schemas.openxmlformats.org/officeDocument/2006/relationships" ref="S888" r:id="rId887"/>
    <hyperlink xmlns:r="http://schemas.openxmlformats.org/officeDocument/2006/relationships" ref="S889" r:id="rId888"/>
    <hyperlink xmlns:r="http://schemas.openxmlformats.org/officeDocument/2006/relationships" ref="S890" r:id="rId889"/>
    <hyperlink xmlns:r="http://schemas.openxmlformats.org/officeDocument/2006/relationships" ref="S891" r:id="rId890"/>
    <hyperlink xmlns:r="http://schemas.openxmlformats.org/officeDocument/2006/relationships" ref="S892" r:id="rId891"/>
    <hyperlink xmlns:r="http://schemas.openxmlformats.org/officeDocument/2006/relationships" ref="S893" r:id="rId892"/>
    <hyperlink xmlns:r="http://schemas.openxmlformats.org/officeDocument/2006/relationships" ref="S894" r:id="rId893"/>
    <hyperlink xmlns:r="http://schemas.openxmlformats.org/officeDocument/2006/relationships" ref="S895" r:id="rId894"/>
    <hyperlink xmlns:r="http://schemas.openxmlformats.org/officeDocument/2006/relationships" ref="S896" r:id="rId895"/>
    <hyperlink xmlns:r="http://schemas.openxmlformats.org/officeDocument/2006/relationships" ref="S897" r:id="rId896"/>
    <hyperlink xmlns:r="http://schemas.openxmlformats.org/officeDocument/2006/relationships" ref="S898" r:id="rId897"/>
    <hyperlink xmlns:r="http://schemas.openxmlformats.org/officeDocument/2006/relationships" ref="S899" r:id="rId898"/>
    <hyperlink xmlns:r="http://schemas.openxmlformats.org/officeDocument/2006/relationships" ref="S900" r:id="rId899"/>
    <hyperlink xmlns:r="http://schemas.openxmlformats.org/officeDocument/2006/relationships" ref="S901" r:id="rId900"/>
    <hyperlink xmlns:r="http://schemas.openxmlformats.org/officeDocument/2006/relationships" ref="S902" r:id="rId901"/>
    <hyperlink xmlns:r="http://schemas.openxmlformats.org/officeDocument/2006/relationships" ref="S903" r:id="rId902"/>
    <hyperlink xmlns:r="http://schemas.openxmlformats.org/officeDocument/2006/relationships" ref="S904" r:id="rId903"/>
    <hyperlink xmlns:r="http://schemas.openxmlformats.org/officeDocument/2006/relationships" ref="S905" r:id="rId904"/>
    <hyperlink xmlns:r="http://schemas.openxmlformats.org/officeDocument/2006/relationships" ref="S906" r:id="rId905"/>
    <hyperlink xmlns:r="http://schemas.openxmlformats.org/officeDocument/2006/relationships" ref="S907" r:id="rId906"/>
    <hyperlink xmlns:r="http://schemas.openxmlformats.org/officeDocument/2006/relationships" ref="S908" r:id="rId907"/>
    <hyperlink xmlns:r="http://schemas.openxmlformats.org/officeDocument/2006/relationships" ref="S909" r:id="rId908"/>
    <hyperlink xmlns:r="http://schemas.openxmlformats.org/officeDocument/2006/relationships" ref="S910" r:id="rId909"/>
    <hyperlink xmlns:r="http://schemas.openxmlformats.org/officeDocument/2006/relationships" ref="S911" r:id="rId910"/>
    <hyperlink xmlns:r="http://schemas.openxmlformats.org/officeDocument/2006/relationships" ref="S912" r:id="rId911"/>
    <hyperlink xmlns:r="http://schemas.openxmlformats.org/officeDocument/2006/relationships" ref="S913" r:id="rId912"/>
    <hyperlink xmlns:r="http://schemas.openxmlformats.org/officeDocument/2006/relationships" ref="S914" r:id="rId913"/>
    <hyperlink xmlns:r="http://schemas.openxmlformats.org/officeDocument/2006/relationships" ref="S915" r:id="rId914"/>
    <hyperlink xmlns:r="http://schemas.openxmlformats.org/officeDocument/2006/relationships" ref="S916" r:id="rId915"/>
    <hyperlink xmlns:r="http://schemas.openxmlformats.org/officeDocument/2006/relationships" ref="S917" r:id="rId916"/>
    <hyperlink xmlns:r="http://schemas.openxmlformats.org/officeDocument/2006/relationships" ref="S918" r:id="rId917"/>
    <hyperlink xmlns:r="http://schemas.openxmlformats.org/officeDocument/2006/relationships" ref="S919" r:id="rId918"/>
    <hyperlink xmlns:r="http://schemas.openxmlformats.org/officeDocument/2006/relationships" ref="S920" r:id="rId919"/>
    <hyperlink xmlns:r="http://schemas.openxmlformats.org/officeDocument/2006/relationships" ref="S921" r:id="rId920"/>
    <hyperlink xmlns:r="http://schemas.openxmlformats.org/officeDocument/2006/relationships" ref="S922" r:id="rId921"/>
    <hyperlink xmlns:r="http://schemas.openxmlformats.org/officeDocument/2006/relationships" ref="S923" r:id="rId922"/>
    <hyperlink xmlns:r="http://schemas.openxmlformats.org/officeDocument/2006/relationships" ref="S924" r:id="rId923"/>
    <hyperlink xmlns:r="http://schemas.openxmlformats.org/officeDocument/2006/relationships" ref="S925" r:id="rId924"/>
    <hyperlink xmlns:r="http://schemas.openxmlformats.org/officeDocument/2006/relationships" ref="S926" r:id="rId925"/>
    <hyperlink xmlns:r="http://schemas.openxmlformats.org/officeDocument/2006/relationships" ref="S927" r:id="rId926"/>
    <hyperlink xmlns:r="http://schemas.openxmlformats.org/officeDocument/2006/relationships" ref="S928" r:id="rId927"/>
    <hyperlink xmlns:r="http://schemas.openxmlformats.org/officeDocument/2006/relationships" ref="S929" r:id="rId928"/>
    <hyperlink xmlns:r="http://schemas.openxmlformats.org/officeDocument/2006/relationships" ref="S930" r:id="rId929"/>
    <hyperlink xmlns:r="http://schemas.openxmlformats.org/officeDocument/2006/relationships" ref="S931" r:id="rId930"/>
    <hyperlink xmlns:r="http://schemas.openxmlformats.org/officeDocument/2006/relationships" ref="S932" r:id="rId931"/>
    <hyperlink xmlns:r="http://schemas.openxmlformats.org/officeDocument/2006/relationships" ref="S933" r:id="rId932"/>
    <hyperlink xmlns:r="http://schemas.openxmlformats.org/officeDocument/2006/relationships" ref="S934" r:id="rId933"/>
    <hyperlink xmlns:r="http://schemas.openxmlformats.org/officeDocument/2006/relationships" ref="S935" r:id="rId934"/>
    <hyperlink xmlns:r="http://schemas.openxmlformats.org/officeDocument/2006/relationships" ref="S936" r:id="rId935"/>
    <hyperlink xmlns:r="http://schemas.openxmlformats.org/officeDocument/2006/relationships" ref="S937" r:id="rId936"/>
    <hyperlink xmlns:r="http://schemas.openxmlformats.org/officeDocument/2006/relationships" ref="S938" r:id="rId937"/>
    <hyperlink xmlns:r="http://schemas.openxmlformats.org/officeDocument/2006/relationships" ref="S939" r:id="rId938"/>
    <hyperlink xmlns:r="http://schemas.openxmlformats.org/officeDocument/2006/relationships" ref="S940" r:id="rId939"/>
    <hyperlink xmlns:r="http://schemas.openxmlformats.org/officeDocument/2006/relationships" ref="S941" r:id="rId940"/>
    <hyperlink xmlns:r="http://schemas.openxmlformats.org/officeDocument/2006/relationships" ref="S942" r:id="rId941"/>
    <hyperlink xmlns:r="http://schemas.openxmlformats.org/officeDocument/2006/relationships" ref="S943" r:id="rId942"/>
    <hyperlink xmlns:r="http://schemas.openxmlformats.org/officeDocument/2006/relationships" ref="S944" r:id="rId943"/>
    <hyperlink xmlns:r="http://schemas.openxmlformats.org/officeDocument/2006/relationships" ref="S945" r:id="rId944"/>
    <hyperlink xmlns:r="http://schemas.openxmlformats.org/officeDocument/2006/relationships" ref="S946" r:id="rId945"/>
    <hyperlink xmlns:r="http://schemas.openxmlformats.org/officeDocument/2006/relationships" ref="S947" r:id="rId946"/>
    <hyperlink xmlns:r="http://schemas.openxmlformats.org/officeDocument/2006/relationships" ref="S948" r:id="rId947"/>
    <hyperlink xmlns:r="http://schemas.openxmlformats.org/officeDocument/2006/relationships" ref="S949" r:id="rId948"/>
    <hyperlink xmlns:r="http://schemas.openxmlformats.org/officeDocument/2006/relationships" ref="S950" r:id="rId949"/>
    <hyperlink xmlns:r="http://schemas.openxmlformats.org/officeDocument/2006/relationships" ref="S951" r:id="rId950"/>
    <hyperlink xmlns:r="http://schemas.openxmlformats.org/officeDocument/2006/relationships" ref="S952" r:id="rId951"/>
    <hyperlink xmlns:r="http://schemas.openxmlformats.org/officeDocument/2006/relationships" ref="S953" r:id="rId952"/>
    <hyperlink xmlns:r="http://schemas.openxmlformats.org/officeDocument/2006/relationships" ref="S954" r:id="rId953"/>
    <hyperlink xmlns:r="http://schemas.openxmlformats.org/officeDocument/2006/relationships" ref="S955" r:id="rId954"/>
    <hyperlink xmlns:r="http://schemas.openxmlformats.org/officeDocument/2006/relationships" ref="S956" r:id="rId955"/>
    <hyperlink xmlns:r="http://schemas.openxmlformats.org/officeDocument/2006/relationships" ref="S957" r:id="rId956"/>
    <hyperlink xmlns:r="http://schemas.openxmlformats.org/officeDocument/2006/relationships" ref="S958" r:id="rId957"/>
    <hyperlink xmlns:r="http://schemas.openxmlformats.org/officeDocument/2006/relationships" ref="S959" r:id="rId958"/>
    <hyperlink xmlns:r="http://schemas.openxmlformats.org/officeDocument/2006/relationships" ref="S960" r:id="rId959"/>
    <hyperlink xmlns:r="http://schemas.openxmlformats.org/officeDocument/2006/relationships" ref="S961" r:id="rId960"/>
    <hyperlink xmlns:r="http://schemas.openxmlformats.org/officeDocument/2006/relationships" ref="S962" r:id="rId961"/>
    <hyperlink xmlns:r="http://schemas.openxmlformats.org/officeDocument/2006/relationships" ref="S963" r:id="rId962"/>
    <hyperlink xmlns:r="http://schemas.openxmlformats.org/officeDocument/2006/relationships" ref="S964" r:id="rId963"/>
    <hyperlink xmlns:r="http://schemas.openxmlformats.org/officeDocument/2006/relationships" ref="S965" r:id="rId964"/>
    <hyperlink xmlns:r="http://schemas.openxmlformats.org/officeDocument/2006/relationships" ref="S966" r:id="rId965"/>
    <hyperlink xmlns:r="http://schemas.openxmlformats.org/officeDocument/2006/relationships" ref="S967" r:id="rId966"/>
    <hyperlink xmlns:r="http://schemas.openxmlformats.org/officeDocument/2006/relationships" ref="S968" r:id="rId967"/>
    <hyperlink xmlns:r="http://schemas.openxmlformats.org/officeDocument/2006/relationships" ref="S969" r:id="rId968"/>
    <hyperlink xmlns:r="http://schemas.openxmlformats.org/officeDocument/2006/relationships" ref="S970" r:id="rId969"/>
    <hyperlink xmlns:r="http://schemas.openxmlformats.org/officeDocument/2006/relationships" ref="S971" r:id="rId970"/>
    <hyperlink xmlns:r="http://schemas.openxmlformats.org/officeDocument/2006/relationships" ref="S972" r:id="rId971"/>
    <hyperlink xmlns:r="http://schemas.openxmlformats.org/officeDocument/2006/relationships" ref="S973" r:id="rId972"/>
    <hyperlink xmlns:r="http://schemas.openxmlformats.org/officeDocument/2006/relationships" ref="S974" r:id="rId973"/>
    <hyperlink xmlns:r="http://schemas.openxmlformats.org/officeDocument/2006/relationships" ref="S975" r:id="rId974"/>
    <hyperlink xmlns:r="http://schemas.openxmlformats.org/officeDocument/2006/relationships" ref="S976" r:id="rId975"/>
    <hyperlink xmlns:r="http://schemas.openxmlformats.org/officeDocument/2006/relationships" ref="S977" r:id="rId976"/>
    <hyperlink xmlns:r="http://schemas.openxmlformats.org/officeDocument/2006/relationships" ref="S978" r:id="rId977"/>
    <hyperlink xmlns:r="http://schemas.openxmlformats.org/officeDocument/2006/relationships" ref="S979" r:id="rId978"/>
    <hyperlink xmlns:r="http://schemas.openxmlformats.org/officeDocument/2006/relationships" ref="S980" r:id="rId979"/>
    <hyperlink xmlns:r="http://schemas.openxmlformats.org/officeDocument/2006/relationships" ref="S981" r:id="rId980"/>
    <hyperlink xmlns:r="http://schemas.openxmlformats.org/officeDocument/2006/relationships" ref="S982" r:id="rId981"/>
    <hyperlink xmlns:r="http://schemas.openxmlformats.org/officeDocument/2006/relationships" ref="S983" r:id="rId982"/>
    <hyperlink xmlns:r="http://schemas.openxmlformats.org/officeDocument/2006/relationships" ref="S984" r:id="rId983"/>
    <hyperlink xmlns:r="http://schemas.openxmlformats.org/officeDocument/2006/relationships" ref="S985" r:id="rId984"/>
    <hyperlink xmlns:r="http://schemas.openxmlformats.org/officeDocument/2006/relationships" ref="S986" r:id="rId985"/>
    <hyperlink xmlns:r="http://schemas.openxmlformats.org/officeDocument/2006/relationships" ref="S987" r:id="rId986"/>
    <hyperlink xmlns:r="http://schemas.openxmlformats.org/officeDocument/2006/relationships" ref="S988" r:id="rId987"/>
    <hyperlink xmlns:r="http://schemas.openxmlformats.org/officeDocument/2006/relationships" ref="S989" r:id="rId988"/>
    <hyperlink xmlns:r="http://schemas.openxmlformats.org/officeDocument/2006/relationships" ref="S990" r:id="rId989"/>
    <hyperlink xmlns:r="http://schemas.openxmlformats.org/officeDocument/2006/relationships" ref="S991" r:id="rId990"/>
    <hyperlink xmlns:r="http://schemas.openxmlformats.org/officeDocument/2006/relationships" ref="S992" r:id="rId991"/>
    <hyperlink xmlns:r="http://schemas.openxmlformats.org/officeDocument/2006/relationships" ref="S993" r:id="rId992"/>
    <hyperlink xmlns:r="http://schemas.openxmlformats.org/officeDocument/2006/relationships" ref="S994" r:id="rId993"/>
    <hyperlink xmlns:r="http://schemas.openxmlformats.org/officeDocument/2006/relationships" ref="S995" r:id="rId994"/>
    <hyperlink xmlns:r="http://schemas.openxmlformats.org/officeDocument/2006/relationships" ref="S996" r:id="rId995"/>
    <hyperlink xmlns:r="http://schemas.openxmlformats.org/officeDocument/2006/relationships" ref="S997" r:id="rId996"/>
    <hyperlink xmlns:r="http://schemas.openxmlformats.org/officeDocument/2006/relationships" ref="S998" r:id="rId997"/>
    <hyperlink xmlns:r="http://schemas.openxmlformats.org/officeDocument/2006/relationships" ref="S999" r:id="rId998"/>
    <hyperlink xmlns:r="http://schemas.openxmlformats.org/officeDocument/2006/relationships" ref="S1000" r:id="rId999"/>
    <hyperlink xmlns:r="http://schemas.openxmlformats.org/officeDocument/2006/relationships" ref="S1001" r:id="rId1000"/>
    <hyperlink xmlns:r="http://schemas.openxmlformats.org/officeDocument/2006/relationships" ref="S1002" r:id="rId1001"/>
    <hyperlink xmlns:r="http://schemas.openxmlformats.org/officeDocument/2006/relationships" ref="S1003" r:id="rId1002"/>
    <hyperlink xmlns:r="http://schemas.openxmlformats.org/officeDocument/2006/relationships" ref="S1004" r:id="rId1003"/>
    <hyperlink xmlns:r="http://schemas.openxmlformats.org/officeDocument/2006/relationships" ref="S1005" r:id="rId1004"/>
    <hyperlink xmlns:r="http://schemas.openxmlformats.org/officeDocument/2006/relationships" ref="S1006" r:id="rId1005"/>
    <hyperlink xmlns:r="http://schemas.openxmlformats.org/officeDocument/2006/relationships" ref="S1007" r:id="rId1006"/>
    <hyperlink xmlns:r="http://schemas.openxmlformats.org/officeDocument/2006/relationships" ref="S1008" r:id="rId1007"/>
    <hyperlink xmlns:r="http://schemas.openxmlformats.org/officeDocument/2006/relationships" ref="S1009" r:id="rId1008"/>
    <hyperlink xmlns:r="http://schemas.openxmlformats.org/officeDocument/2006/relationships" ref="S1010" r:id="rId1009"/>
    <hyperlink xmlns:r="http://schemas.openxmlformats.org/officeDocument/2006/relationships" ref="S1011" r:id="rId1010"/>
    <hyperlink xmlns:r="http://schemas.openxmlformats.org/officeDocument/2006/relationships" ref="S1012" r:id="rId1011"/>
    <hyperlink xmlns:r="http://schemas.openxmlformats.org/officeDocument/2006/relationships" ref="S1013" r:id="rId1012"/>
    <hyperlink xmlns:r="http://schemas.openxmlformats.org/officeDocument/2006/relationships" ref="S1014" r:id="rId1013"/>
    <hyperlink xmlns:r="http://schemas.openxmlformats.org/officeDocument/2006/relationships" ref="S1015" r:id="rId1014"/>
    <hyperlink xmlns:r="http://schemas.openxmlformats.org/officeDocument/2006/relationships" ref="S1016" r:id="rId1015"/>
    <hyperlink xmlns:r="http://schemas.openxmlformats.org/officeDocument/2006/relationships" ref="S1017" r:id="rId1016"/>
    <hyperlink xmlns:r="http://schemas.openxmlformats.org/officeDocument/2006/relationships" ref="S1018" r:id="rId1017"/>
    <hyperlink xmlns:r="http://schemas.openxmlformats.org/officeDocument/2006/relationships" ref="S1019" r:id="rId1018"/>
    <hyperlink xmlns:r="http://schemas.openxmlformats.org/officeDocument/2006/relationships" ref="S1020" r:id="rId1019"/>
    <hyperlink xmlns:r="http://schemas.openxmlformats.org/officeDocument/2006/relationships" ref="S1021" r:id="rId1020"/>
    <hyperlink xmlns:r="http://schemas.openxmlformats.org/officeDocument/2006/relationships" ref="S1022" r:id="rId1021"/>
    <hyperlink xmlns:r="http://schemas.openxmlformats.org/officeDocument/2006/relationships" ref="S1023" r:id="rId1022"/>
    <hyperlink xmlns:r="http://schemas.openxmlformats.org/officeDocument/2006/relationships" ref="S1024" r:id="rId1023"/>
    <hyperlink xmlns:r="http://schemas.openxmlformats.org/officeDocument/2006/relationships" ref="S1025" r:id="rId1024"/>
    <hyperlink xmlns:r="http://schemas.openxmlformats.org/officeDocument/2006/relationships" ref="S1026" r:id="rId1025"/>
    <hyperlink xmlns:r="http://schemas.openxmlformats.org/officeDocument/2006/relationships" ref="S1027" r:id="rId1026"/>
    <hyperlink xmlns:r="http://schemas.openxmlformats.org/officeDocument/2006/relationships" ref="S1028" r:id="rId1027"/>
    <hyperlink xmlns:r="http://schemas.openxmlformats.org/officeDocument/2006/relationships" ref="S1029" r:id="rId1028"/>
    <hyperlink xmlns:r="http://schemas.openxmlformats.org/officeDocument/2006/relationships" ref="S1030" r:id="rId1029"/>
    <hyperlink xmlns:r="http://schemas.openxmlformats.org/officeDocument/2006/relationships" ref="S1031" r:id="rId1030"/>
    <hyperlink xmlns:r="http://schemas.openxmlformats.org/officeDocument/2006/relationships" ref="S1032" r:id="rId1031"/>
    <hyperlink xmlns:r="http://schemas.openxmlformats.org/officeDocument/2006/relationships" ref="S1033" r:id="rId1032"/>
    <hyperlink xmlns:r="http://schemas.openxmlformats.org/officeDocument/2006/relationships" ref="S1034" r:id="rId1033"/>
    <hyperlink xmlns:r="http://schemas.openxmlformats.org/officeDocument/2006/relationships" ref="S1035" r:id="rId1034"/>
    <hyperlink xmlns:r="http://schemas.openxmlformats.org/officeDocument/2006/relationships" ref="S1036" r:id="rId1035"/>
    <hyperlink xmlns:r="http://schemas.openxmlformats.org/officeDocument/2006/relationships" ref="S1037" r:id="rId1036"/>
    <hyperlink xmlns:r="http://schemas.openxmlformats.org/officeDocument/2006/relationships" ref="S1038" r:id="rId1037"/>
    <hyperlink xmlns:r="http://schemas.openxmlformats.org/officeDocument/2006/relationships" ref="S1039" r:id="rId1038"/>
    <hyperlink xmlns:r="http://schemas.openxmlformats.org/officeDocument/2006/relationships" ref="S1040" r:id="rId1039"/>
    <hyperlink xmlns:r="http://schemas.openxmlformats.org/officeDocument/2006/relationships" ref="S1041" r:id="rId1040"/>
    <hyperlink xmlns:r="http://schemas.openxmlformats.org/officeDocument/2006/relationships" ref="S1042" r:id="rId1041"/>
    <hyperlink xmlns:r="http://schemas.openxmlformats.org/officeDocument/2006/relationships" ref="S1043" r:id="rId1042"/>
    <hyperlink xmlns:r="http://schemas.openxmlformats.org/officeDocument/2006/relationships" ref="S1044" r:id="rId1043"/>
    <hyperlink xmlns:r="http://schemas.openxmlformats.org/officeDocument/2006/relationships" ref="S1045" r:id="rId1044"/>
    <hyperlink xmlns:r="http://schemas.openxmlformats.org/officeDocument/2006/relationships" ref="S1046" r:id="rId1045"/>
    <hyperlink xmlns:r="http://schemas.openxmlformats.org/officeDocument/2006/relationships" ref="S1047" r:id="rId1046"/>
    <hyperlink xmlns:r="http://schemas.openxmlformats.org/officeDocument/2006/relationships" ref="S1048" r:id="rId1047"/>
    <hyperlink xmlns:r="http://schemas.openxmlformats.org/officeDocument/2006/relationships" ref="S1049" r:id="rId1048"/>
    <hyperlink xmlns:r="http://schemas.openxmlformats.org/officeDocument/2006/relationships" ref="S1050" r:id="rId1049"/>
    <hyperlink xmlns:r="http://schemas.openxmlformats.org/officeDocument/2006/relationships" ref="S1051" r:id="rId1050"/>
    <hyperlink xmlns:r="http://schemas.openxmlformats.org/officeDocument/2006/relationships" ref="S1052" r:id="rId1051"/>
    <hyperlink xmlns:r="http://schemas.openxmlformats.org/officeDocument/2006/relationships" ref="S1053" r:id="rId1052"/>
    <hyperlink xmlns:r="http://schemas.openxmlformats.org/officeDocument/2006/relationships" ref="S1054" r:id="rId1053"/>
    <hyperlink xmlns:r="http://schemas.openxmlformats.org/officeDocument/2006/relationships" ref="S1055" r:id="rId1054"/>
    <hyperlink xmlns:r="http://schemas.openxmlformats.org/officeDocument/2006/relationships" ref="S1056" r:id="rId1055"/>
    <hyperlink xmlns:r="http://schemas.openxmlformats.org/officeDocument/2006/relationships" ref="S1057" r:id="rId1056"/>
    <hyperlink xmlns:r="http://schemas.openxmlformats.org/officeDocument/2006/relationships" ref="S1058" r:id="rId1057"/>
    <hyperlink xmlns:r="http://schemas.openxmlformats.org/officeDocument/2006/relationships" ref="S1059" r:id="rId1058"/>
    <hyperlink xmlns:r="http://schemas.openxmlformats.org/officeDocument/2006/relationships" ref="S1060" r:id="rId1059"/>
    <hyperlink xmlns:r="http://schemas.openxmlformats.org/officeDocument/2006/relationships" ref="S1061" r:id="rId1060"/>
    <hyperlink xmlns:r="http://schemas.openxmlformats.org/officeDocument/2006/relationships" ref="S1062" r:id="rId1061"/>
    <hyperlink xmlns:r="http://schemas.openxmlformats.org/officeDocument/2006/relationships" ref="S1063" r:id="rId1062"/>
    <hyperlink xmlns:r="http://schemas.openxmlformats.org/officeDocument/2006/relationships" ref="S1064" r:id="rId1063"/>
    <hyperlink xmlns:r="http://schemas.openxmlformats.org/officeDocument/2006/relationships" ref="S1065" r:id="rId1064"/>
    <hyperlink xmlns:r="http://schemas.openxmlformats.org/officeDocument/2006/relationships" ref="S1066" r:id="rId1065"/>
    <hyperlink xmlns:r="http://schemas.openxmlformats.org/officeDocument/2006/relationships" ref="S1067" r:id="rId1066"/>
    <hyperlink xmlns:r="http://schemas.openxmlformats.org/officeDocument/2006/relationships" ref="S1068" r:id="rId1067"/>
    <hyperlink xmlns:r="http://schemas.openxmlformats.org/officeDocument/2006/relationships" ref="S1069" r:id="rId1068"/>
    <hyperlink xmlns:r="http://schemas.openxmlformats.org/officeDocument/2006/relationships" ref="S1070" r:id="rId1069"/>
    <hyperlink xmlns:r="http://schemas.openxmlformats.org/officeDocument/2006/relationships" ref="S1071" r:id="rId1070"/>
    <hyperlink xmlns:r="http://schemas.openxmlformats.org/officeDocument/2006/relationships" ref="S1072" r:id="rId1071"/>
    <hyperlink xmlns:r="http://schemas.openxmlformats.org/officeDocument/2006/relationships" ref="S1073" r:id="rId1072"/>
    <hyperlink xmlns:r="http://schemas.openxmlformats.org/officeDocument/2006/relationships" ref="S1074" r:id="rId1073"/>
    <hyperlink xmlns:r="http://schemas.openxmlformats.org/officeDocument/2006/relationships" ref="S1075" r:id="rId1074"/>
    <hyperlink xmlns:r="http://schemas.openxmlformats.org/officeDocument/2006/relationships" ref="S1076" r:id="rId1075"/>
    <hyperlink xmlns:r="http://schemas.openxmlformats.org/officeDocument/2006/relationships" ref="S1077" r:id="rId1076"/>
    <hyperlink xmlns:r="http://schemas.openxmlformats.org/officeDocument/2006/relationships" ref="S1078" r:id="rId1077"/>
    <hyperlink xmlns:r="http://schemas.openxmlformats.org/officeDocument/2006/relationships" ref="S1079" r:id="rId1078"/>
    <hyperlink xmlns:r="http://schemas.openxmlformats.org/officeDocument/2006/relationships" ref="S1080" r:id="rId1079"/>
    <hyperlink xmlns:r="http://schemas.openxmlformats.org/officeDocument/2006/relationships" ref="S1081" r:id="rId1080"/>
    <hyperlink xmlns:r="http://schemas.openxmlformats.org/officeDocument/2006/relationships" ref="S1082" r:id="rId1081"/>
    <hyperlink xmlns:r="http://schemas.openxmlformats.org/officeDocument/2006/relationships" ref="S1083" r:id="rId1082"/>
    <hyperlink xmlns:r="http://schemas.openxmlformats.org/officeDocument/2006/relationships" ref="S1084" r:id="rId1083"/>
    <hyperlink xmlns:r="http://schemas.openxmlformats.org/officeDocument/2006/relationships" ref="S1085" r:id="rId1084"/>
    <hyperlink xmlns:r="http://schemas.openxmlformats.org/officeDocument/2006/relationships" ref="S1086" r:id="rId1085"/>
    <hyperlink xmlns:r="http://schemas.openxmlformats.org/officeDocument/2006/relationships" ref="S1087" r:id="rId1086"/>
    <hyperlink xmlns:r="http://schemas.openxmlformats.org/officeDocument/2006/relationships" ref="S1088" r:id="rId1087"/>
    <hyperlink xmlns:r="http://schemas.openxmlformats.org/officeDocument/2006/relationships" ref="S1089" r:id="rId1088"/>
    <hyperlink xmlns:r="http://schemas.openxmlformats.org/officeDocument/2006/relationships" ref="S1090" r:id="rId1089"/>
    <hyperlink xmlns:r="http://schemas.openxmlformats.org/officeDocument/2006/relationships" ref="S1091" r:id="rId1090"/>
    <hyperlink xmlns:r="http://schemas.openxmlformats.org/officeDocument/2006/relationships" ref="S1092" r:id="rId1091"/>
    <hyperlink xmlns:r="http://schemas.openxmlformats.org/officeDocument/2006/relationships" ref="S1093" r:id="rId1092"/>
    <hyperlink xmlns:r="http://schemas.openxmlformats.org/officeDocument/2006/relationships" ref="S1094" r:id="rId1093"/>
    <hyperlink xmlns:r="http://schemas.openxmlformats.org/officeDocument/2006/relationships" ref="S1095" r:id="rId1094"/>
    <hyperlink xmlns:r="http://schemas.openxmlformats.org/officeDocument/2006/relationships" ref="S1096" r:id="rId1095"/>
    <hyperlink xmlns:r="http://schemas.openxmlformats.org/officeDocument/2006/relationships" ref="S1097" r:id="rId1096"/>
    <hyperlink xmlns:r="http://schemas.openxmlformats.org/officeDocument/2006/relationships" ref="S1098" r:id="rId1097"/>
    <hyperlink xmlns:r="http://schemas.openxmlformats.org/officeDocument/2006/relationships" ref="S1099" r:id="rId1098"/>
    <hyperlink xmlns:r="http://schemas.openxmlformats.org/officeDocument/2006/relationships" ref="S1100" r:id="rId1099"/>
    <hyperlink xmlns:r="http://schemas.openxmlformats.org/officeDocument/2006/relationships" ref="S1101" r:id="rId1100"/>
    <hyperlink xmlns:r="http://schemas.openxmlformats.org/officeDocument/2006/relationships" ref="S1102" r:id="rId1101"/>
    <hyperlink xmlns:r="http://schemas.openxmlformats.org/officeDocument/2006/relationships" ref="S1103" r:id="rId1102"/>
    <hyperlink xmlns:r="http://schemas.openxmlformats.org/officeDocument/2006/relationships" ref="S1104" r:id="rId1103"/>
    <hyperlink xmlns:r="http://schemas.openxmlformats.org/officeDocument/2006/relationships" ref="S1105" r:id="rId1104"/>
    <hyperlink xmlns:r="http://schemas.openxmlformats.org/officeDocument/2006/relationships" ref="S1106" r:id="rId1105"/>
    <hyperlink xmlns:r="http://schemas.openxmlformats.org/officeDocument/2006/relationships" ref="S1107" r:id="rId1106"/>
    <hyperlink xmlns:r="http://schemas.openxmlformats.org/officeDocument/2006/relationships" ref="S1108" r:id="rId1107"/>
    <hyperlink xmlns:r="http://schemas.openxmlformats.org/officeDocument/2006/relationships" ref="S1109" r:id="rId1108"/>
    <hyperlink xmlns:r="http://schemas.openxmlformats.org/officeDocument/2006/relationships" ref="S1110" r:id="rId1109"/>
    <hyperlink xmlns:r="http://schemas.openxmlformats.org/officeDocument/2006/relationships" ref="S1111" r:id="rId1110"/>
    <hyperlink xmlns:r="http://schemas.openxmlformats.org/officeDocument/2006/relationships" ref="S1112" r:id="rId1111"/>
    <hyperlink xmlns:r="http://schemas.openxmlformats.org/officeDocument/2006/relationships" ref="S1113" r:id="rId1112"/>
    <hyperlink xmlns:r="http://schemas.openxmlformats.org/officeDocument/2006/relationships" ref="S1114" r:id="rId1113"/>
    <hyperlink xmlns:r="http://schemas.openxmlformats.org/officeDocument/2006/relationships" ref="S1115" r:id="rId1114"/>
    <hyperlink xmlns:r="http://schemas.openxmlformats.org/officeDocument/2006/relationships" ref="S1116" r:id="rId1115"/>
    <hyperlink xmlns:r="http://schemas.openxmlformats.org/officeDocument/2006/relationships" ref="S1117" r:id="rId1116"/>
    <hyperlink xmlns:r="http://schemas.openxmlformats.org/officeDocument/2006/relationships" ref="S1118" r:id="rId1117"/>
    <hyperlink xmlns:r="http://schemas.openxmlformats.org/officeDocument/2006/relationships" ref="S1119" r:id="rId1118"/>
    <hyperlink xmlns:r="http://schemas.openxmlformats.org/officeDocument/2006/relationships" ref="S1120" r:id="rId1119"/>
    <hyperlink xmlns:r="http://schemas.openxmlformats.org/officeDocument/2006/relationships" ref="S1121" r:id="rId1120"/>
    <hyperlink xmlns:r="http://schemas.openxmlformats.org/officeDocument/2006/relationships" ref="S1122" r:id="rId1121"/>
    <hyperlink xmlns:r="http://schemas.openxmlformats.org/officeDocument/2006/relationships" ref="S1123" r:id="rId1122"/>
    <hyperlink xmlns:r="http://schemas.openxmlformats.org/officeDocument/2006/relationships" ref="S1124" r:id="rId1123"/>
    <hyperlink xmlns:r="http://schemas.openxmlformats.org/officeDocument/2006/relationships" ref="S1125" r:id="rId1124"/>
    <hyperlink xmlns:r="http://schemas.openxmlformats.org/officeDocument/2006/relationships" ref="S1126" r:id="rId1125"/>
    <hyperlink xmlns:r="http://schemas.openxmlformats.org/officeDocument/2006/relationships" ref="S1127" r:id="rId1126"/>
    <hyperlink xmlns:r="http://schemas.openxmlformats.org/officeDocument/2006/relationships" ref="S1128" r:id="rId1127"/>
    <hyperlink xmlns:r="http://schemas.openxmlformats.org/officeDocument/2006/relationships" ref="S1129" r:id="rId1128"/>
    <hyperlink xmlns:r="http://schemas.openxmlformats.org/officeDocument/2006/relationships" ref="S1130" r:id="rId1129"/>
    <hyperlink xmlns:r="http://schemas.openxmlformats.org/officeDocument/2006/relationships" ref="S1131" r:id="rId1130"/>
    <hyperlink xmlns:r="http://schemas.openxmlformats.org/officeDocument/2006/relationships" ref="S1132" r:id="rId1131"/>
    <hyperlink xmlns:r="http://schemas.openxmlformats.org/officeDocument/2006/relationships" ref="S1133" r:id="rId1132"/>
    <hyperlink xmlns:r="http://schemas.openxmlformats.org/officeDocument/2006/relationships" ref="S1134" r:id="rId1133"/>
    <hyperlink xmlns:r="http://schemas.openxmlformats.org/officeDocument/2006/relationships" ref="S1135" r:id="rId1134"/>
    <hyperlink xmlns:r="http://schemas.openxmlformats.org/officeDocument/2006/relationships" ref="S1136" r:id="rId1135"/>
    <hyperlink xmlns:r="http://schemas.openxmlformats.org/officeDocument/2006/relationships" ref="S1137" r:id="rId1136"/>
    <hyperlink xmlns:r="http://schemas.openxmlformats.org/officeDocument/2006/relationships" ref="S1138" r:id="rId1137"/>
    <hyperlink xmlns:r="http://schemas.openxmlformats.org/officeDocument/2006/relationships" ref="S1139" r:id="rId1138"/>
    <hyperlink xmlns:r="http://schemas.openxmlformats.org/officeDocument/2006/relationships" ref="S1140" r:id="rId1139"/>
    <hyperlink xmlns:r="http://schemas.openxmlformats.org/officeDocument/2006/relationships" ref="S1141" r:id="rId1140"/>
    <hyperlink xmlns:r="http://schemas.openxmlformats.org/officeDocument/2006/relationships" ref="S1142" r:id="rId1141"/>
    <hyperlink xmlns:r="http://schemas.openxmlformats.org/officeDocument/2006/relationships" ref="S1143" r:id="rId1142"/>
    <hyperlink xmlns:r="http://schemas.openxmlformats.org/officeDocument/2006/relationships" ref="S1144" r:id="rId1143"/>
    <hyperlink xmlns:r="http://schemas.openxmlformats.org/officeDocument/2006/relationships" ref="S1145" r:id="rId1144"/>
    <hyperlink xmlns:r="http://schemas.openxmlformats.org/officeDocument/2006/relationships" ref="S1146" r:id="rId1145"/>
    <hyperlink xmlns:r="http://schemas.openxmlformats.org/officeDocument/2006/relationships" ref="S1147" r:id="rId1146"/>
    <hyperlink xmlns:r="http://schemas.openxmlformats.org/officeDocument/2006/relationships" ref="S1148" r:id="rId1147"/>
    <hyperlink xmlns:r="http://schemas.openxmlformats.org/officeDocument/2006/relationships" ref="S1149" r:id="rId1148"/>
    <hyperlink xmlns:r="http://schemas.openxmlformats.org/officeDocument/2006/relationships" ref="S1150" r:id="rId1149"/>
    <hyperlink xmlns:r="http://schemas.openxmlformats.org/officeDocument/2006/relationships" ref="S1151" r:id="rId1150"/>
    <hyperlink xmlns:r="http://schemas.openxmlformats.org/officeDocument/2006/relationships" ref="S1152" r:id="rId1151"/>
    <hyperlink xmlns:r="http://schemas.openxmlformats.org/officeDocument/2006/relationships" ref="S1153" r:id="rId1152"/>
    <hyperlink xmlns:r="http://schemas.openxmlformats.org/officeDocument/2006/relationships" ref="S1154" r:id="rId1153"/>
    <hyperlink xmlns:r="http://schemas.openxmlformats.org/officeDocument/2006/relationships" ref="S1155" r:id="rId1154"/>
    <hyperlink xmlns:r="http://schemas.openxmlformats.org/officeDocument/2006/relationships" ref="S1156" r:id="rId1155"/>
    <hyperlink xmlns:r="http://schemas.openxmlformats.org/officeDocument/2006/relationships" ref="S1157" r:id="rId1156"/>
    <hyperlink xmlns:r="http://schemas.openxmlformats.org/officeDocument/2006/relationships" ref="S1158" r:id="rId1157"/>
    <hyperlink xmlns:r="http://schemas.openxmlformats.org/officeDocument/2006/relationships" ref="S1159" r:id="rId1158"/>
    <hyperlink xmlns:r="http://schemas.openxmlformats.org/officeDocument/2006/relationships" ref="S1160" r:id="rId1159"/>
    <hyperlink xmlns:r="http://schemas.openxmlformats.org/officeDocument/2006/relationships" ref="S1161" r:id="rId1160"/>
    <hyperlink xmlns:r="http://schemas.openxmlformats.org/officeDocument/2006/relationships" ref="S1162" r:id="rId1161"/>
    <hyperlink xmlns:r="http://schemas.openxmlformats.org/officeDocument/2006/relationships" ref="S1163" r:id="rId1162"/>
    <hyperlink xmlns:r="http://schemas.openxmlformats.org/officeDocument/2006/relationships" ref="S1164" r:id="rId1163"/>
    <hyperlink xmlns:r="http://schemas.openxmlformats.org/officeDocument/2006/relationships" ref="S1165" r:id="rId1164"/>
    <hyperlink xmlns:r="http://schemas.openxmlformats.org/officeDocument/2006/relationships" ref="S1166" r:id="rId1165"/>
    <hyperlink xmlns:r="http://schemas.openxmlformats.org/officeDocument/2006/relationships" ref="S1167" r:id="rId1166"/>
    <hyperlink xmlns:r="http://schemas.openxmlformats.org/officeDocument/2006/relationships" ref="S1168" r:id="rId1167"/>
    <hyperlink xmlns:r="http://schemas.openxmlformats.org/officeDocument/2006/relationships" ref="S1169" r:id="rId1168"/>
    <hyperlink xmlns:r="http://schemas.openxmlformats.org/officeDocument/2006/relationships" ref="S1170" r:id="rId1169"/>
    <hyperlink xmlns:r="http://schemas.openxmlformats.org/officeDocument/2006/relationships" ref="S1171" r:id="rId1170"/>
    <hyperlink xmlns:r="http://schemas.openxmlformats.org/officeDocument/2006/relationships" ref="S1172" r:id="rId1171"/>
    <hyperlink xmlns:r="http://schemas.openxmlformats.org/officeDocument/2006/relationships" ref="S1173" r:id="rId1172"/>
    <hyperlink xmlns:r="http://schemas.openxmlformats.org/officeDocument/2006/relationships" ref="S1174" r:id="rId1173"/>
    <hyperlink xmlns:r="http://schemas.openxmlformats.org/officeDocument/2006/relationships" ref="S1175" r:id="rId1174"/>
    <hyperlink xmlns:r="http://schemas.openxmlformats.org/officeDocument/2006/relationships" ref="S1176" r:id="rId1175"/>
    <hyperlink xmlns:r="http://schemas.openxmlformats.org/officeDocument/2006/relationships" ref="S1177" r:id="rId1176"/>
    <hyperlink xmlns:r="http://schemas.openxmlformats.org/officeDocument/2006/relationships" ref="S1178" r:id="rId1177"/>
    <hyperlink xmlns:r="http://schemas.openxmlformats.org/officeDocument/2006/relationships" ref="S1179" r:id="rId1178"/>
    <hyperlink xmlns:r="http://schemas.openxmlformats.org/officeDocument/2006/relationships" ref="S1180" r:id="rId1179"/>
    <hyperlink xmlns:r="http://schemas.openxmlformats.org/officeDocument/2006/relationships" ref="S1181" r:id="rId1180"/>
    <hyperlink xmlns:r="http://schemas.openxmlformats.org/officeDocument/2006/relationships" ref="S1182" r:id="rId1181"/>
    <hyperlink xmlns:r="http://schemas.openxmlformats.org/officeDocument/2006/relationships" ref="S1183" r:id="rId1182"/>
    <hyperlink xmlns:r="http://schemas.openxmlformats.org/officeDocument/2006/relationships" ref="S1184" r:id="rId1183"/>
    <hyperlink xmlns:r="http://schemas.openxmlformats.org/officeDocument/2006/relationships" ref="S1185" r:id="rId1184"/>
    <hyperlink xmlns:r="http://schemas.openxmlformats.org/officeDocument/2006/relationships" ref="S1186" r:id="rId1185"/>
    <hyperlink xmlns:r="http://schemas.openxmlformats.org/officeDocument/2006/relationships" ref="S1187" r:id="rId1186"/>
    <hyperlink xmlns:r="http://schemas.openxmlformats.org/officeDocument/2006/relationships" ref="S1188" r:id="rId1187"/>
    <hyperlink xmlns:r="http://schemas.openxmlformats.org/officeDocument/2006/relationships" ref="S1189" r:id="rId1188"/>
    <hyperlink xmlns:r="http://schemas.openxmlformats.org/officeDocument/2006/relationships" ref="S1190" r:id="rId1189"/>
    <hyperlink xmlns:r="http://schemas.openxmlformats.org/officeDocument/2006/relationships" ref="S1191" r:id="rId1190"/>
    <hyperlink xmlns:r="http://schemas.openxmlformats.org/officeDocument/2006/relationships" ref="S1192" r:id="rId1191"/>
    <hyperlink xmlns:r="http://schemas.openxmlformats.org/officeDocument/2006/relationships" ref="S1193" r:id="rId1192"/>
    <hyperlink xmlns:r="http://schemas.openxmlformats.org/officeDocument/2006/relationships" ref="S1194" r:id="rId1193"/>
    <hyperlink xmlns:r="http://schemas.openxmlformats.org/officeDocument/2006/relationships" ref="S1195" r:id="rId1194"/>
    <hyperlink xmlns:r="http://schemas.openxmlformats.org/officeDocument/2006/relationships" ref="S1196" r:id="rId1195"/>
    <hyperlink xmlns:r="http://schemas.openxmlformats.org/officeDocument/2006/relationships" ref="S1197" r:id="rId1196"/>
    <hyperlink xmlns:r="http://schemas.openxmlformats.org/officeDocument/2006/relationships" ref="S1198" r:id="rId1197"/>
    <hyperlink xmlns:r="http://schemas.openxmlformats.org/officeDocument/2006/relationships" ref="S1199" r:id="rId1198"/>
    <hyperlink xmlns:r="http://schemas.openxmlformats.org/officeDocument/2006/relationships" ref="S1200" r:id="rId1199"/>
    <hyperlink xmlns:r="http://schemas.openxmlformats.org/officeDocument/2006/relationships" ref="S1201" r:id="rId1200"/>
    <hyperlink xmlns:r="http://schemas.openxmlformats.org/officeDocument/2006/relationships" ref="S1202" r:id="rId1201"/>
    <hyperlink xmlns:r="http://schemas.openxmlformats.org/officeDocument/2006/relationships" ref="S1203" r:id="rId1202"/>
    <hyperlink xmlns:r="http://schemas.openxmlformats.org/officeDocument/2006/relationships" ref="S1204" r:id="rId1203"/>
    <hyperlink xmlns:r="http://schemas.openxmlformats.org/officeDocument/2006/relationships" ref="S1205" r:id="rId1204"/>
    <hyperlink xmlns:r="http://schemas.openxmlformats.org/officeDocument/2006/relationships" ref="S1206" r:id="rId1205"/>
    <hyperlink xmlns:r="http://schemas.openxmlformats.org/officeDocument/2006/relationships" ref="S1207" r:id="rId1206"/>
    <hyperlink xmlns:r="http://schemas.openxmlformats.org/officeDocument/2006/relationships" ref="S1208" r:id="rId1207"/>
    <hyperlink xmlns:r="http://schemas.openxmlformats.org/officeDocument/2006/relationships" ref="S1209" r:id="rId1208"/>
    <hyperlink xmlns:r="http://schemas.openxmlformats.org/officeDocument/2006/relationships" ref="S1210" r:id="rId1209"/>
    <hyperlink xmlns:r="http://schemas.openxmlformats.org/officeDocument/2006/relationships" ref="S1211" r:id="rId1210"/>
    <hyperlink xmlns:r="http://schemas.openxmlformats.org/officeDocument/2006/relationships" ref="S1212" r:id="rId1211"/>
    <hyperlink xmlns:r="http://schemas.openxmlformats.org/officeDocument/2006/relationships" ref="S1213" r:id="rId1212"/>
    <hyperlink xmlns:r="http://schemas.openxmlformats.org/officeDocument/2006/relationships" ref="S1214" r:id="rId1213"/>
    <hyperlink xmlns:r="http://schemas.openxmlformats.org/officeDocument/2006/relationships" ref="S1215" r:id="rId1214"/>
    <hyperlink xmlns:r="http://schemas.openxmlformats.org/officeDocument/2006/relationships" ref="S1216" r:id="rId1215"/>
    <hyperlink xmlns:r="http://schemas.openxmlformats.org/officeDocument/2006/relationships" ref="S1217" r:id="rId1216"/>
    <hyperlink xmlns:r="http://schemas.openxmlformats.org/officeDocument/2006/relationships" ref="S1218" r:id="rId1217"/>
    <hyperlink xmlns:r="http://schemas.openxmlformats.org/officeDocument/2006/relationships" ref="S1219" r:id="rId1218"/>
    <hyperlink xmlns:r="http://schemas.openxmlformats.org/officeDocument/2006/relationships" ref="S1220" r:id="rId1219"/>
    <hyperlink xmlns:r="http://schemas.openxmlformats.org/officeDocument/2006/relationships" ref="S1221" r:id="rId1220"/>
    <hyperlink xmlns:r="http://schemas.openxmlformats.org/officeDocument/2006/relationships" ref="S1222" r:id="rId1221"/>
    <hyperlink xmlns:r="http://schemas.openxmlformats.org/officeDocument/2006/relationships" ref="S1223" r:id="rId1222"/>
    <hyperlink xmlns:r="http://schemas.openxmlformats.org/officeDocument/2006/relationships" ref="S1224" r:id="rId1223"/>
    <hyperlink xmlns:r="http://schemas.openxmlformats.org/officeDocument/2006/relationships" ref="S1225" r:id="rId1224"/>
    <hyperlink xmlns:r="http://schemas.openxmlformats.org/officeDocument/2006/relationships" ref="S1226" r:id="rId1225"/>
    <hyperlink xmlns:r="http://schemas.openxmlformats.org/officeDocument/2006/relationships" ref="S1227" r:id="rId1226"/>
    <hyperlink xmlns:r="http://schemas.openxmlformats.org/officeDocument/2006/relationships" ref="S1228" r:id="rId1227"/>
    <hyperlink xmlns:r="http://schemas.openxmlformats.org/officeDocument/2006/relationships" ref="S1229" r:id="rId1228"/>
    <hyperlink xmlns:r="http://schemas.openxmlformats.org/officeDocument/2006/relationships" ref="S1230" r:id="rId1229"/>
    <hyperlink xmlns:r="http://schemas.openxmlformats.org/officeDocument/2006/relationships" ref="S1231" r:id="rId1230"/>
    <hyperlink xmlns:r="http://schemas.openxmlformats.org/officeDocument/2006/relationships" ref="S1232" r:id="rId1231"/>
    <hyperlink xmlns:r="http://schemas.openxmlformats.org/officeDocument/2006/relationships" ref="S1233" r:id="rId1232"/>
    <hyperlink xmlns:r="http://schemas.openxmlformats.org/officeDocument/2006/relationships" ref="S1234" r:id="rId1233"/>
    <hyperlink xmlns:r="http://schemas.openxmlformats.org/officeDocument/2006/relationships" ref="S1235" r:id="rId1234"/>
    <hyperlink xmlns:r="http://schemas.openxmlformats.org/officeDocument/2006/relationships" ref="S1236" r:id="rId1235"/>
    <hyperlink xmlns:r="http://schemas.openxmlformats.org/officeDocument/2006/relationships" ref="S1237" r:id="rId1236"/>
    <hyperlink xmlns:r="http://schemas.openxmlformats.org/officeDocument/2006/relationships" ref="S1238" r:id="rId1237"/>
    <hyperlink xmlns:r="http://schemas.openxmlformats.org/officeDocument/2006/relationships" ref="S1239" r:id="rId1238"/>
    <hyperlink xmlns:r="http://schemas.openxmlformats.org/officeDocument/2006/relationships" ref="S1240" r:id="rId1239"/>
    <hyperlink xmlns:r="http://schemas.openxmlformats.org/officeDocument/2006/relationships" ref="S1241" r:id="rId1240"/>
    <hyperlink xmlns:r="http://schemas.openxmlformats.org/officeDocument/2006/relationships" ref="S1242" r:id="rId1241"/>
    <hyperlink xmlns:r="http://schemas.openxmlformats.org/officeDocument/2006/relationships" ref="S1243" r:id="rId1242"/>
    <hyperlink xmlns:r="http://schemas.openxmlformats.org/officeDocument/2006/relationships" ref="S1244" r:id="rId1243"/>
    <hyperlink xmlns:r="http://schemas.openxmlformats.org/officeDocument/2006/relationships" ref="S1245" r:id="rId1244"/>
    <hyperlink xmlns:r="http://schemas.openxmlformats.org/officeDocument/2006/relationships" ref="S1246" r:id="rId1245"/>
    <hyperlink xmlns:r="http://schemas.openxmlformats.org/officeDocument/2006/relationships" ref="S1247" r:id="rId1246"/>
    <hyperlink xmlns:r="http://schemas.openxmlformats.org/officeDocument/2006/relationships" ref="S1248" r:id="rId1247"/>
    <hyperlink xmlns:r="http://schemas.openxmlformats.org/officeDocument/2006/relationships" ref="S1249" r:id="rId1248"/>
    <hyperlink xmlns:r="http://schemas.openxmlformats.org/officeDocument/2006/relationships" ref="S1250" r:id="rId1249"/>
    <hyperlink xmlns:r="http://schemas.openxmlformats.org/officeDocument/2006/relationships" ref="S1251" r:id="rId1250"/>
    <hyperlink xmlns:r="http://schemas.openxmlformats.org/officeDocument/2006/relationships" ref="S1252" r:id="rId1251"/>
    <hyperlink xmlns:r="http://schemas.openxmlformats.org/officeDocument/2006/relationships" ref="S1253" r:id="rId1252"/>
    <hyperlink xmlns:r="http://schemas.openxmlformats.org/officeDocument/2006/relationships" ref="S1254" r:id="rId1253"/>
    <hyperlink xmlns:r="http://schemas.openxmlformats.org/officeDocument/2006/relationships" ref="S1255" r:id="rId1254"/>
    <hyperlink xmlns:r="http://schemas.openxmlformats.org/officeDocument/2006/relationships" ref="S1256" r:id="rId1255"/>
    <hyperlink xmlns:r="http://schemas.openxmlformats.org/officeDocument/2006/relationships" ref="S1257" r:id="rId1256"/>
    <hyperlink xmlns:r="http://schemas.openxmlformats.org/officeDocument/2006/relationships" ref="S1258" r:id="rId1257"/>
    <hyperlink xmlns:r="http://schemas.openxmlformats.org/officeDocument/2006/relationships" ref="S1259" r:id="rId1258"/>
    <hyperlink xmlns:r="http://schemas.openxmlformats.org/officeDocument/2006/relationships" ref="S1260" r:id="rId1259"/>
    <hyperlink xmlns:r="http://schemas.openxmlformats.org/officeDocument/2006/relationships" ref="S1261" r:id="rId1260"/>
    <hyperlink xmlns:r="http://schemas.openxmlformats.org/officeDocument/2006/relationships" ref="S1262" r:id="rId1261"/>
    <hyperlink xmlns:r="http://schemas.openxmlformats.org/officeDocument/2006/relationships" ref="S1263" r:id="rId1262"/>
    <hyperlink xmlns:r="http://schemas.openxmlformats.org/officeDocument/2006/relationships" ref="S1264" r:id="rId1263"/>
    <hyperlink xmlns:r="http://schemas.openxmlformats.org/officeDocument/2006/relationships" ref="S1265" r:id="rId1264"/>
    <hyperlink xmlns:r="http://schemas.openxmlformats.org/officeDocument/2006/relationships" ref="S1266" r:id="rId1265"/>
    <hyperlink xmlns:r="http://schemas.openxmlformats.org/officeDocument/2006/relationships" ref="S1267" r:id="rId1266"/>
    <hyperlink xmlns:r="http://schemas.openxmlformats.org/officeDocument/2006/relationships" ref="S1268" r:id="rId1267"/>
    <hyperlink xmlns:r="http://schemas.openxmlformats.org/officeDocument/2006/relationships" ref="S1269" r:id="rId1268"/>
    <hyperlink xmlns:r="http://schemas.openxmlformats.org/officeDocument/2006/relationships" ref="S1270" r:id="rId1269"/>
    <hyperlink xmlns:r="http://schemas.openxmlformats.org/officeDocument/2006/relationships" ref="S1271" r:id="rId1270"/>
    <hyperlink xmlns:r="http://schemas.openxmlformats.org/officeDocument/2006/relationships" ref="S1272" r:id="rId1271"/>
    <hyperlink xmlns:r="http://schemas.openxmlformats.org/officeDocument/2006/relationships" ref="S1273" r:id="rId1272"/>
    <hyperlink xmlns:r="http://schemas.openxmlformats.org/officeDocument/2006/relationships" ref="S1274" r:id="rId1273"/>
    <hyperlink xmlns:r="http://schemas.openxmlformats.org/officeDocument/2006/relationships" ref="S1275" r:id="rId1274"/>
    <hyperlink xmlns:r="http://schemas.openxmlformats.org/officeDocument/2006/relationships" ref="S1276" r:id="rId1275"/>
    <hyperlink xmlns:r="http://schemas.openxmlformats.org/officeDocument/2006/relationships" ref="S1277" r:id="rId1276"/>
    <hyperlink xmlns:r="http://schemas.openxmlformats.org/officeDocument/2006/relationships" ref="S1278" r:id="rId1277"/>
    <hyperlink xmlns:r="http://schemas.openxmlformats.org/officeDocument/2006/relationships" ref="S1279" r:id="rId1278"/>
    <hyperlink xmlns:r="http://schemas.openxmlformats.org/officeDocument/2006/relationships" ref="S1280" r:id="rId1279"/>
    <hyperlink xmlns:r="http://schemas.openxmlformats.org/officeDocument/2006/relationships" ref="S1281" r:id="rId1280"/>
    <hyperlink xmlns:r="http://schemas.openxmlformats.org/officeDocument/2006/relationships" ref="S1282" r:id="rId1281"/>
    <hyperlink xmlns:r="http://schemas.openxmlformats.org/officeDocument/2006/relationships" ref="S1283" r:id="rId1282"/>
    <hyperlink xmlns:r="http://schemas.openxmlformats.org/officeDocument/2006/relationships" ref="S1284" r:id="rId1283"/>
    <hyperlink xmlns:r="http://schemas.openxmlformats.org/officeDocument/2006/relationships" ref="S1285" r:id="rId1284"/>
    <hyperlink xmlns:r="http://schemas.openxmlformats.org/officeDocument/2006/relationships" ref="S1286" r:id="rId1285"/>
    <hyperlink xmlns:r="http://schemas.openxmlformats.org/officeDocument/2006/relationships" ref="S1287" r:id="rId1286"/>
    <hyperlink xmlns:r="http://schemas.openxmlformats.org/officeDocument/2006/relationships" ref="S1288" r:id="rId1287"/>
    <hyperlink xmlns:r="http://schemas.openxmlformats.org/officeDocument/2006/relationships" ref="S1289" r:id="rId1288"/>
    <hyperlink xmlns:r="http://schemas.openxmlformats.org/officeDocument/2006/relationships" ref="S1290" r:id="rId1289"/>
    <hyperlink xmlns:r="http://schemas.openxmlformats.org/officeDocument/2006/relationships" ref="S1291" r:id="rId1290"/>
    <hyperlink xmlns:r="http://schemas.openxmlformats.org/officeDocument/2006/relationships" ref="S1292" r:id="rId1291"/>
    <hyperlink xmlns:r="http://schemas.openxmlformats.org/officeDocument/2006/relationships" ref="S1293" r:id="rId1292"/>
    <hyperlink xmlns:r="http://schemas.openxmlformats.org/officeDocument/2006/relationships" ref="S1294" r:id="rId1293"/>
    <hyperlink xmlns:r="http://schemas.openxmlformats.org/officeDocument/2006/relationships" ref="S1295" r:id="rId1294"/>
    <hyperlink xmlns:r="http://schemas.openxmlformats.org/officeDocument/2006/relationships" ref="S1296" r:id="rId1295"/>
    <hyperlink xmlns:r="http://schemas.openxmlformats.org/officeDocument/2006/relationships" ref="S1297" r:id="rId1296"/>
    <hyperlink xmlns:r="http://schemas.openxmlformats.org/officeDocument/2006/relationships" ref="S1298" r:id="rId1297"/>
    <hyperlink xmlns:r="http://schemas.openxmlformats.org/officeDocument/2006/relationships" ref="S1299" r:id="rId1298"/>
    <hyperlink xmlns:r="http://schemas.openxmlformats.org/officeDocument/2006/relationships" ref="S1300" r:id="rId1299"/>
    <hyperlink xmlns:r="http://schemas.openxmlformats.org/officeDocument/2006/relationships" ref="S1301" r:id="rId1300"/>
    <hyperlink xmlns:r="http://schemas.openxmlformats.org/officeDocument/2006/relationships" ref="S1302" r:id="rId1301"/>
    <hyperlink xmlns:r="http://schemas.openxmlformats.org/officeDocument/2006/relationships" ref="S1303" r:id="rId1302"/>
    <hyperlink xmlns:r="http://schemas.openxmlformats.org/officeDocument/2006/relationships" ref="S1304" r:id="rId1303"/>
    <hyperlink xmlns:r="http://schemas.openxmlformats.org/officeDocument/2006/relationships" ref="S1305" r:id="rId1304"/>
    <hyperlink xmlns:r="http://schemas.openxmlformats.org/officeDocument/2006/relationships" ref="S1306" r:id="rId1305"/>
    <hyperlink xmlns:r="http://schemas.openxmlformats.org/officeDocument/2006/relationships" ref="S1307" r:id="rId1306"/>
    <hyperlink xmlns:r="http://schemas.openxmlformats.org/officeDocument/2006/relationships" ref="S1308" r:id="rId1307"/>
    <hyperlink xmlns:r="http://schemas.openxmlformats.org/officeDocument/2006/relationships" ref="S1309" r:id="rId1308"/>
    <hyperlink xmlns:r="http://schemas.openxmlformats.org/officeDocument/2006/relationships" ref="S1310" r:id="rId1309"/>
    <hyperlink xmlns:r="http://schemas.openxmlformats.org/officeDocument/2006/relationships" ref="S1311" r:id="rId1310"/>
    <hyperlink xmlns:r="http://schemas.openxmlformats.org/officeDocument/2006/relationships" ref="S1312" r:id="rId1311"/>
    <hyperlink xmlns:r="http://schemas.openxmlformats.org/officeDocument/2006/relationships" ref="S1313" r:id="rId1312"/>
    <hyperlink xmlns:r="http://schemas.openxmlformats.org/officeDocument/2006/relationships" ref="S1314" r:id="rId1313"/>
    <hyperlink xmlns:r="http://schemas.openxmlformats.org/officeDocument/2006/relationships" ref="S1315" r:id="rId1314"/>
    <hyperlink xmlns:r="http://schemas.openxmlformats.org/officeDocument/2006/relationships" ref="S1316" r:id="rId1315"/>
    <hyperlink xmlns:r="http://schemas.openxmlformats.org/officeDocument/2006/relationships" ref="S1317" r:id="rId1316"/>
    <hyperlink xmlns:r="http://schemas.openxmlformats.org/officeDocument/2006/relationships" ref="S1318" r:id="rId1317"/>
    <hyperlink xmlns:r="http://schemas.openxmlformats.org/officeDocument/2006/relationships" ref="S1319" r:id="rId1318"/>
    <hyperlink xmlns:r="http://schemas.openxmlformats.org/officeDocument/2006/relationships" ref="S1320" r:id="rId1319"/>
    <hyperlink xmlns:r="http://schemas.openxmlformats.org/officeDocument/2006/relationships" ref="S1321" r:id="rId1320"/>
    <hyperlink xmlns:r="http://schemas.openxmlformats.org/officeDocument/2006/relationships" ref="S1322" r:id="rId1321"/>
    <hyperlink xmlns:r="http://schemas.openxmlformats.org/officeDocument/2006/relationships" ref="S1323" r:id="rId1322"/>
    <hyperlink xmlns:r="http://schemas.openxmlformats.org/officeDocument/2006/relationships" ref="S1324" r:id="rId1323"/>
    <hyperlink xmlns:r="http://schemas.openxmlformats.org/officeDocument/2006/relationships" ref="S1325" r:id="rId1324"/>
    <hyperlink xmlns:r="http://schemas.openxmlformats.org/officeDocument/2006/relationships" ref="S1326" r:id="rId1325"/>
    <hyperlink xmlns:r="http://schemas.openxmlformats.org/officeDocument/2006/relationships" ref="S1327" r:id="rId1326"/>
    <hyperlink xmlns:r="http://schemas.openxmlformats.org/officeDocument/2006/relationships" ref="S1328" r:id="rId1327"/>
    <hyperlink xmlns:r="http://schemas.openxmlformats.org/officeDocument/2006/relationships" ref="S1329" r:id="rId1328"/>
    <hyperlink xmlns:r="http://schemas.openxmlformats.org/officeDocument/2006/relationships" ref="S1330" r:id="rId1329"/>
    <hyperlink xmlns:r="http://schemas.openxmlformats.org/officeDocument/2006/relationships" ref="S1331" r:id="rId1330"/>
    <hyperlink xmlns:r="http://schemas.openxmlformats.org/officeDocument/2006/relationships" ref="S1332" r:id="rId1331"/>
    <hyperlink xmlns:r="http://schemas.openxmlformats.org/officeDocument/2006/relationships" ref="S1333" r:id="rId1332"/>
    <hyperlink xmlns:r="http://schemas.openxmlformats.org/officeDocument/2006/relationships" ref="S1334" r:id="rId1333"/>
    <hyperlink xmlns:r="http://schemas.openxmlformats.org/officeDocument/2006/relationships" ref="S1335" r:id="rId1334"/>
    <hyperlink xmlns:r="http://schemas.openxmlformats.org/officeDocument/2006/relationships" ref="S1336" r:id="rId1335"/>
    <hyperlink xmlns:r="http://schemas.openxmlformats.org/officeDocument/2006/relationships" ref="S1337" r:id="rId1336"/>
    <hyperlink xmlns:r="http://schemas.openxmlformats.org/officeDocument/2006/relationships" ref="S1338" r:id="rId1337"/>
    <hyperlink xmlns:r="http://schemas.openxmlformats.org/officeDocument/2006/relationships" ref="S1339" r:id="rId1338"/>
    <hyperlink xmlns:r="http://schemas.openxmlformats.org/officeDocument/2006/relationships" ref="S1340" r:id="rId1339"/>
    <hyperlink xmlns:r="http://schemas.openxmlformats.org/officeDocument/2006/relationships" ref="S1341" r:id="rId1340"/>
    <hyperlink xmlns:r="http://schemas.openxmlformats.org/officeDocument/2006/relationships" ref="S1342" r:id="rId1341"/>
    <hyperlink xmlns:r="http://schemas.openxmlformats.org/officeDocument/2006/relationships" ref="S1343" r:id="rId1342"/>
    <hyperlink xmlns:r="http://schemas.openxmlformats.org/officeDocument/2006/relationships" ref="S1344" r:id="rId1343"/>
    <hyperlink xmlns:r="http://schemas.openxmlformats.org/officeDocument/2006/relationships" ref="S1345" r:id="rId1344"/>
    <hyperlink xmlns:r="http://schemas.openxmlformats.org/officeDocument/2006/relationships" ref="S1346" r:id="rId1345"/>
    <hyperlink xmlns:r="http://schemas.openxmlformats.org/officeDocument/2006/relationships" ref="S1347" r:id="rId1346"/>
    <hyperlink xmlns:r="http://schemas.openxmlformats.org/officeDocument/2006/relationships" ref="S1348" r:id="rId1347"/>
    <hyperlink xmlns:r="http://schemas.openxmlformats.org/officeDocument/2006/relationships" ref="S1349" r:id="rId1348"/>
    <hyperlink xmlns:r="http://schemas.openxmlformats.org/officeDocument/2006/relationships" ref="S1350" r:id="rId1349"/>
    <hyperlink xmlns:r="http://schemas.openxmlformats.org/officeDocument/2006/relationships" ref="S1351" r:id="rId1350"/>
    <hyperlink xmlns:r="http://schemas.openxmlformats.org/officeDocument/2006/relationships" ref="S1352" r:id="rId1351"/>
    <hyperlink xmlns:r="http://schemas.openxmlformats.org/officeDocument/2006/relationships" ref="S1353" r:id="rId1352"/>
    <hyperlink xmlns:r="http://schemas.openxmlformats.org/officeDocument/2006/relationships" ref="S1354" r:id="rId1353"/>
    <hyperlink xmlns:r="http://schemas.openxmlformats.org/officeDocument/2006/relationships" ref="S1355" r:id="rId1354"/>
    <hyperlink xmlns:r="http://schemas.openxmlformats.org/officeDocument/2006/relationships" ref="S1356" r:id="rId1355"/>
    <hyperlink xmlns:r="http://schemas.openxmlformats.org/officeDocument/2006/relationships" ref="S1357" r:id="rId1356"/>
    <hyperlink xmlns:r="http://schemas.openxmlformats.org/officeDocument/2006/relationships" ref="S1358" r:id="rId1357"/>
    <hyperlink xmlns:r="http://schemas.openxmlformats.org/officeDocument/2006/relationships" ref="S1359" r:id="rId1358"/>
    <hyperlink xmlns:r="http://schemas.openxmlformats.org/officeDocument/2006/relationships" ref="S1360" r:id="rId1359"/>
    <hyperlink xmlns:r="http://schemas.openxmlformats.org/officeDocument/2006/relationships" ref="S1361" r:id="rId1360"/>
    <hyperlink xmlns:r="http://schemas.openxmlformats.org/officeDocument/2006/relationships" ref="S1362" r:id="rId1361"/>
    <hyperlink xmlns:r="http://schemas.openxmlformats.org/officeDocument/2006/relationships" ref="S1363" r:id="rId1362"/>
    <hyperlink xmlns:r="http://schemas.openxmlformats.org/officeDocument/2006/relationships" ref="S1364" r:id="rId1363"/>
    <hyperlink xmlns:r="http://schemas.openxmlformats.org/officeDocument/2006/relationships" ref="S1365" r:id="rId1364"/>
    <hyperlink xmlns:r="http://schemas.openxmlformats.org/officeDocument/2006/relationships" ref="S1366" r:id="rId1365"/>
    <hyperlink xmlns:r="http://schemas.openxmlformats.org/officeDocument/2006/relationships" ref="S1367" r:id="rId1366"/>
    <hyperlink xmlns:r="http://schemas.openxmlformats.org/officeDocument/2006/relationships" ref="S1368" r:id="rId1367"/>
    <hyperlink xmlns:r="http://schemas.openxmlformats.org/officeDocument/2006/relationships" ref="S1369" r:id="rId1368"/>
    <hyperlink xmlns:r="http://schemas.openxmlformats.org/officeDocument/2006/relationships" ref="S1370" r:id="rId1369"/>
    <hyperlink xmlns:r="http://schemas.openxmlformats.org/officeDocument/2006/relationships" ref="S1371" r:id="rId1370"/>
    <hyperlink xmlns:r="http://schemas.openxmlformats.org/officeDocument/2006/relationships" ref="S1372" r:id="rId1371"/>
    <hyperlink xmlns:r="http://schemas.openxmlformats.org/officeDocument/2006/relationships" ref="S1373" r:id="rId1372"/>
    <hyperlink xmlns:r="http://schemas.openxmlformats.org/officeDocument/2006/relationships" ref="S1374" r:id="rId1373"/>
    <hyperlink xmlns:r="http://schemas.openxmlformats.org/officeDocument/2006/relationships" ref="S1375" r:id="rId1374"/>
    <hyperlink xmlns:r="http://schemas.openxmlformats.org/officeDocument/2006/relationships" ref="S1376" r:id="rId1375"/>
    <hyperlink xmlns:r="http://schemas.openxmlformats.org/officeDocument/2006/relationships" ref="S1377" r:id="rId1376"/>
    <hyperlink xmlns:r="http://schemas.openxmlformats.org/officeDocument/2006/relationships" ref="S1378" r:id="rId1377"/>
    <hyperlink xmlns:r="http://schemas.openxmlformats.org/officeDocument/2006/relationships" ref="S1379" r:id="rId1378"/>
    <hyperlink xmlns:r="http://schemas.openxmlformats.org/officeDocument/2006/relationships" ref="S1380" r:id="rId1379"/>
    <hyperlink xmlns:r="http://schemas.openxmlformats.org/officeDocument/2006/relationships" ref="S1381" r:id="rId1380"/>
    <hyperlink xmlns:r="http://schemas.openxmlformats.org/officeDocument/2006/relationships" ref="S1382" r:id="rId1381"/>
    <hyperlink xmlns:r="http://schemas.openxmlformats.org/officeDocument/2006/relationships" ref="S1383" r:id="rId1382"/>
    <hyperlink xmlns:r="http://schemas.openxmlformats.org/officeDocument/2006/relationships" ref="S1384" r:id="rId1383"/>
    <hyperlink xmlns:r="http://schemas.openxmlformats.org/officeDocument/2006/relationships" ref="S1385" r:id="rId1384"/>
    <hyperlink xmlns:r="http://schemas.openxmlformats.org/officeDocument/2006/relationships" ref="S1386" r:id="rId1385"/>
    <hyperlink xmlns:r="http://schemas.openxmlformats.org/officeDocument/2006/relationships" ref="S1387" r:id="rId1386"/>
    <hyperlink xmlns:r="http://schemas.openxmlformats.org/officeDocument/2006/relationships" ref="S1388" r:id="rId1387"/>
    <hyperlink xmlns:r="http://schemas.openxmlformats.org/officeDocument/2006/relationships" ref="S1389" r:id="rId1388"/>
    <hyperlink xmlns:r="http://schemas.openxmlformats.org/officeDocument/2006/relationships" ref="S1390" r:id="rId1389"/>
    <hyperlink xmlns:r="http://schemas.openxmlformats.org/officeDocument/2006/relationships" ref="S1391" r:id="rId1390"/>
    <hyperlink xmlns:r="http://schemas.openxmlformats.org/officeDocument/2006/relationships" ref="S1392" r:id="rId1391"/>
    <hyperlink xmlns:r="http://schemas.openxmlformats.org/officeDocument/2006/relationships" ref="S1393" r:id="rId1392"/>
    <hyperlink xmlns:r="http://schemas.openxmlformats.org/officeDocument/2006/relationships" ref="S1394" r:id="rId1393"/>
    <hyperlink xmlns:r="http://schemas.openxmlformats.org/officeDocument/2006/relationships" ref="S1395" r:id="rId1394"/>
    <hyperlink xmlns:r="http://schemas.openxmlformats.org/officeDocument/2006/relationships" ref="S1396" r:id="rId1395"/>
    <hyperlink xmlns:r="http://schemas.openxmlformats.org/officeDocument/2006/relationships" ref="S1397" r:id="rId1396"/>
    <hyperlink xmlns:r="http://schemas.openxmlformats.org/officeDocument/2006/relationships" ref="S1398" r:id="rId1397"/>
    <hyperlink xmlns:r="http://schemas.openxmlformats.org/officeDocument/2006/relationships" ref="S1399" r:id="rId1398"/>
    <hyperlink xmlns:r="http://schemas.openxmlformats.org/officeDocument/2006/relationships" ref="S1400" r:id="rId1399"/>
    <hyperlink xmlns:r="http://schemas.openxmlformats.org/officeDocument/2006/relationships" ref="S1401" r:id="rId1400"/>
    <hyperlink xmlns:r="http://schemas.openxmlformats.org/officeDocument/2006/relationships" ref="S1402" r:id="rId1401"/>
    <hyperlink xmlns:r="http://schemas.openxmlformats.org/officeDocument/2006/relationships" ref="S1403" r:id="rId1402"/>
    <hyperlink xmlns:r="http://schemas.openxmlformats.org/officeDocument/2006/relationships" ref="S1404" r:id="rId1403"/>
    <hyperlink xmlns:r="http://schemas.openxmlformats.org/officeDocument/2006/relationships" ref="S1405" r:id="rId1404"/>
    <hyperlink xmlns:r="http://schemas.openxmlformats.org/officeDocument/2006/relationships" ref="S1406" r:id="rId1405"/>
    <hyperlink xmlns:r="http://schemas.openxmlformats.org/officeDocument/2006/relationships" ref="S1407" r:id="rId1406"/>
    <hyperlink xmlns:r="http://schemas.openxmlformats.org/officeDocument/2006/relationships" ref="S1408" r:id="rId1407"/>
    <hyperlink xmlns:r="http://schemas.openxmlformats.org/officeDocument/2006/relationships" ref="S1409" r:id="rId1408"/>
    <hyperlink xmlns:r="http://schemas.openxmlformats.org/officeDocument/2006/relationships" ref="S1410" r:id="rId1409"/>
    <hyperlink xmlns:r="http://schemas.openxmlformats.org/officeDocument/2006/relationships" ref="S1411" r:id="rId1410"/>
    <hyperlink xmlns:r="http://schemas.openxmlformats.org/officeDocument/2006/relationships" ref="S1412" r:id="rId1411"/>
    <hyperlink xmlns:r="http://schemas.openxmlformats.org/officeDocument/2006/relationships" ref="S1413" r:id="rId1412"/>
    <hyperlink xmlns:r="http://schemas.openxmlformats.org/officeDocument/2006/relationships" ref="S1414" r:id="rId1413"/>
    <hyperlink xmlns:r="http://schemas.openxmlformats.org/officeDocument/2006/relationships" ref="S1415" r:id="rId1414"/>
    <hyperlink xmlns:r="http://schemas.openxmlformats.org/officeDocument/2006/relationships" ref="S1416" r:id="rId1415"/>
    <hyperlink xmlns:r="http://schemas.openxmlformats.org/officeDocument/2006/relationships" ref="S1417" r:id="rId1416"/>
    <hyperlink xmlns:r="http://schemas.openxmlformats.org/officeDocument/2006/relationships" ref="S1418" r:id="rId1417"/>
    <hyperlink xmlns:r="http://schemas.openxmlformats.org/officeDocument/2006/relationships" ref="S1419" r:id="rId1418"/>
    <hyperlink xmlns:r="http://schemas.openxmlformats.org/officeDocument/2006/relationships" ref="S1420" r:id="rId1419"/>
    <hyperlink xmlns:r="http://schemas.openxmlformats.org/officeDocument/2006/relationships" ref="S1421" r:id="rId1420"/>
    <hyperlink xmlns:r="http://schemas.openxmlformats.org/officeDocument/2006/relationships" ref="S1422" r:id="rId1421"/>
    <hyperlink xmlns:r="http://schemas.openxmlformats.org/officeDocument/2006/relationships" ref="S1423" r:id="rId1422"/>
    <hyperlink xmlns:r="http://schemas.openxmlformats.org/officeDocument/2006/relationships" ref="S1424" r:id="rId1423"/>
    <hyperlink xmlns:r="http://schemas.openxmlformats.org/officeDocument/2006/relationships" ref="S1425" r:id="rId1424"/>
    <hyperlink xmlns:r="http://schemas.openxmlformats.org/officeDocument/2006/relationships" ref="S1426" r:id="rId1425"/>
    <hyperlink xmlns:r="http://schemas.openxmlformats.org/officeDocument/2006/relationships" ref="S1427" r:id="rId1426"/>
    <hyperlink xmlns:r="http://schemas.openxmlformats.org/officeDocument/2006/relationships" ref="S1428" r:id="rId1427"/>
    <hyperlink xmlns:r="http://schemas.openxmlformats.org/officeDocument/2006/relationships" ref="S1429" r:id="rId1428"/>
    <hyperlink xmlns:r="http://schemas.openxmlformats.org/officeDocument/2006/relationships" ref="S1430" r:id="rId1429"/>
    <hyperlink xmlns:r="http://schemas.openxmlformats.org/officeDocument/2006/relationships" ref="S1431" r:id="rId1430"/>
    <hyperlink xmlns:r="http://schemas.openxmlformats.org/officeDocument/2006/relationships" ref="S1432" r:id="rId1431"/>
    <hyperlink xmlns:r="http://schemas.openxmlformats.org/officeDocument/2006/relationships" ref="S1433" r:id="rId1432"/>
    <hyperlink xmlns:r="http://schemas.openxmlformats.org/officeDocument/2006/relationships" ref="S1434" r:id="rId1433"/>
    <hyperlink xmlns:r="http://schemas.openxmlformats.org/officeDocument/2006/relationships" ref="S1435" r:id="rId1434"/>
    <hyperlink xmlns:r="http://schemas.openxmlformats.org/officeDocument/2006/relationships" ref="S1436" r:id="rId1435"/>
    <hyperlink xmlns:r="http://schemas.openxmlformats.org/officeDocument/2006/relationships" ref="S1437" r:id="rId1436"/>
    <hyperlink xmlns:r="http://schemas.openxmlformats.org/officeDocument/2006/relationships" ref="S1438" r:id="rId1437"/>
    <hyperlink xmlns:r="http://schemas.openxmlformats.org/officeDocument/2006/relationships" ref="S1439" r:id="rId1438"/>
    <hyperlink xmlns:r="http://schemas.openxmlformats.org/officeDocument/2006/relationships" ref="S1440" r:id="rId1439"/>
    <hyperlink xmlns:r="http://schemas.openxmlformats.org/officeDocument/2006/relationships" ref="S1441" r:id="rId1440"/>
    <hyperlink xmlns:r="http://schemas.openxmlformats.org/officeDocument/2006/relationships" ref="S1442" r:id="rId1441"/>
    <hyperlink xmlns:r="http://schemas.openxmlformats.org/officeDocument/2006/relationships" ref="S1443" r:id="rId1442"/>
    <hyperlink xmlns:r="http://schemas.openxmlformats.org/officeDocument/2006/relationships" ref="S1444" r:id="rId1443"/>
    <hyperlink xmlns:r="http://schemas.openxmlformats.org/officeDocument/2006/relationships" ref="S1445" r:id="rId1444"/>
    <hyperlink xmlns:r="http://schemas.openxmlformats.org/officeDocument/2006/relationships" ref="S1446" r:id="rId1445"/>
    <hyperlink xmlns:r="http://schemas.openxmlformats.org/officeDocument/2006/relationships" ref="S1447" r:id="rId1446"/>
    <hyperlink xmlns:r="http://schemas.openxmlformats.org/officeDocument/2006/relationships" ref="S1448" r:id="rId1447"/>
    <hyperlink xmlns:r="http://schemas.openxmlformats.org/officeDocument/2006/relationships" ref="S1449" r:id="rId1448"/>
    <hyperlink xmlns:r="http://schemas.openxmlformats.org/officeDocument/2006/relationships" ref="S1450" r:id="rId1449"/>
    <hyperlink xmlns:r="http://schemas.openxmlformats.org/officeDocument/2006/relationships" ref="S1451" r:id="rId1450"/>
    <hyperlink xmlns:r="http://schemas.openxmlformats.org/officeDocument/2006/relationships" ref="S1452" r:id="rId1451"/>
    <hyperlink xmlns:r="http://schemas.openxmlformats.org/officeDocument/2006/relationships" ref="S1453" r:id="rId1452"/>
    <hyperlink xmlns:r="http://schemas.openxmlformats.org/officeDocument/2006/relationships" ref="S1454" r:id="rId1453"/>
    <hyperlink xmlns:r="http://schemas.openxmlformats.org/officeDocument/2006/relationships" ref="S1455" r:id="rId1454"/>
    <hyperlink xmlns:r="http://schemas.openxmlformats.org/officeDocument/2006/relationships" ref="S1456" r:id="rId1455"/>
    <hyperlink xmlns:r="http://schemas.openxmlformats.org/officeDocument/2006/relationships" ref="S1457" r:id="rId1456"/>
    <hyperlink xmlns:r="http://schemas.openxmlformats.org/officeDocument/2006/relationships" ref="S1458" r:id="rId1457"/>
    <hyperlink xmlns:r="http://schemas.openxmlformats.org/officeDocument/2006/relationships" ref="S1459" r:id="rId1458"/>
    <hyperlink xmlns:r="http://schemas.openxmlformats.org/officeDocument/2006/relationships" ref="S1460" r:id="rId1459"/>
    <hyperlink xmlns:r="http://schemas.openxmlformats.org/officeDocument/2006/relationships" ref="S1461" r:id="rId1460"/>
    <hyperlink xmlns:r="http://schemas.openxmlformats.org/officeDocument/2006/relationships" ref="S1462" r:id="rId1461"/>
    <hyperlink xmlns:r="http://schemas.openxmlformats.org/officeDocument/2006/relationships" ref="S1463" r:id="rId1462"/>
    <hyperlink xmlns:r="http://schemas.openxmlformats.org/officeDocument/2006/relationships" ref="S1464" r:id="rId1463"/>
    <hyperlink xmlns:r="http://schemas.openxmlformats.org/officeDocument/2006/relationships" ref="S1465" r:id="rId1464"/>
    <hyperlink xmlns:r="http://schemas.openxmlformats.org/officeDocument/2006/relationships" ref="S1466" r:id="rId1465"/>
    <hyperlink xmlns:r="http://schemas.openxmlformats.org/officeDocument/2006/relationships" ref="S1467" r:id="rId1466"/>
    <hyperlink xmlns:r="http://schemas.openxmlformats.org/officeDocument/2006/relationships" ref="S1468" r:id="rId1467"/>
    <hyperlink xmlns:r="http://schemas.openxmlformats.org/officeDocument/2006/relationships" ref="S1469" r:id="rId1468"/>
    <hyperlink xmlns:r="http://schemas.openxmlformats.org/officeDocument/2006/relationships" ref="S1470" r:id="rId1469"/>
    <hyperlink xmlns:r="http://schemas.openxmlformats.org/officeDocument/2006/relationships" ref="S1471" r:id="rId1470"/>
    <hyperlink xmlns:r="http://schemas.openxmlformats.org/officeDocument/2006/relationships" ref="S1472" r:id="rId1471"/>
    <hyperlink xmlns:r="http://schemas.openxmlformats.org/officeDocument/2006/relationships" ref="S1473" r:id="rId1472"/>
    <hyperlink xmlns:r="http://schemas.openxmlformats.org/officeDocument/2006/relationships" ref="S1474" r:id="rId1473"/>
    <hyperlink xmlns:r="http://schemas.openxmlformats.org/officeDocument/2006/relationships" ref="S1475" r:id="rId1474"/>
    <hyperlink xmlns:r="http://schemas.openxmlformats.org/officeDocument/2006/relationships" ref="S1476" r:id="rId1475"/>
    <hyperlink xmlns:r="http://schemas.openxmlformats.org/officeDocument/2006/relationships" ref="S1477" r:id="rId1476"/>
    <hyperlink xmlns:r="http://schemas.openxmlformats.org/officeDocument/2006/relationships" ref="S1478" r:id="rId1477"/>
    <hyperlink xmlns:r="http://schemas.openxmlformats.org/officeDocument/2006/relationships" ref="S1479" r:id="rId1478"/>
    <hyperlink xmlns:r="http://schemas.openxmlformats.org/officeDocument/2006/relationships" ref="S1480" r:id="rId1479"/>
    <hyperlink xmlns:r="http://schemas.openxmlformats.org/officeDocument/2006/relationships" ref="S1481" r:id="rId1480"/>
    <hyperlink xmlns:r="http://schemas.openxmlformats.org/officeDocument/2006/relationships" ref="S1482" r:id="rId1481"/>
    <hyperlink xmlns:r="http://schemas.openxmlformats.org/officeDocument/2006/relationships" ref="S1483" r:id="rId1482"/>
    <hyperlink xmlns:r="http://schemas.openxmlformats.org/officeDocument/2006/relationships" ref="S1484" r:id="rId1483"/>
    <hyperlink xmlns:r="http://schemas.openxmlformats.org/officeDocument/2006/relationships" ref="S1485" r:id="rId1484"/>
    <hyperlink xmlns:r="http://schemas.openxmlformats.org/officeDocument/2006/relationships" ref="S1486" r:id="rId1485"/>
    <hyperlink xmlns:r="http://schemas.openxmlformats.org/officeDocument/2006/relationships" ref="S1487" r:id="rId1486"/>
    <hyperlink xmlns:r="http://schemas.openxmlformats.org/officeDocument/2006/relationships" ref="S1488" r:id="rId1487"/>
    <hyperlink xmlns:r="http://schemas.openxmlformats.org/officeDocument/2006/relationships" ref="S1489" r:id="rId1488"/>
    <hyperlink xmlns:r="http://schemas.openxmlformats.org/officeDocument/2006/relationships" ref="S1490" r:id="rId1489"/>
    <hyperlink xmlns:r="http://schemas.openxmlformats.org/officeDocument/2006/relationships" ref="S1491" r:id="rId1490"/>
    <hyperlink xmlns:r="http://schemas.openxmlformats.org/officeDocument/2006/relationships" ref="S1492" r:id="rId1491"/>
    <hyperlink xmlns:r="http://schemas.openxmlformats.org/officeDocument/2006/relationships" ref="S1493" r:id="rId1492"/>
    <hyperlink xmlns:r="http://schemas.openxmlformats.org/officeDocument/2006/relationships" ref="S1494" r:id="rId1493"/>
    <hyperlink xmlns:r="http://schemas.openxmlformats.org/officeDocument/2006/relationships" ref="S1495" r:id="rId1494"/>
    <hyperlink xmlns:r="http://schemas.openxmlformats.org/officeDocument/2006/relationships" ref="S1496" r:id="rId1495"/>
    <hyperlink xmlns:r="http://schemas.openxmlformats.org/officeDocument/2006/relationships" ref="S1497" r:id="rId1496"/>
    <hyperlink xmlns:r="http://schemas.openxmlformats.org/officeDocument/2006/relationships" ref="S1498" r:id="rId1497"/>
    <hyperlink xmlns:r="http://schemas.openxmlformats.org/officeDocument/2006/relationships" ref="S1499" r:id="rId1498"/>
    <hyperlink xmlns:r="http://schemas.openxmlformats.org/officeDocument/2006/relationships" ref="S1500" r:id="rId1499"/>
    <hyperlink xmlns:r="http://schemas.openxmlformats.org/officeDocument/2006/relationships" ref="S1501" r:id="rId1500"/>
    <hyperlink xmlns:r="http://schemas.openxmlformats.org/officeDocument/2006/relationships" ref="S1502" r:id="rId1501"/>
    <hyperlink xmlns:r="http://schemas.openxmlformats.org/officeDocument/2006/relationships" ref="S1503" r:id="rId1502"/>
    <hyperlink xmlns:r="http://schemas.openxmlformats.org/officeDocument/2006/relationships" ref="S1504" r:id="rId1503"/>
    <hyperlink xmlns:r="http://schemas.openxmlformats.org/officeDocument/2006/relationships" ref="S1505" r:id="rId1504"/>
    <hyperlink xmlns:r="http://schemas.openxmlformats.org/officeDocument/2006/relationships" ref="S1506" r:id="rId1505"/>
    <hyperlink xmlns:r="http://schemas.openxmlformats.org/officeDocument/2006/relationships" ref="S1507" r:id="rId1506"/>
    <hyperlink xmlns:r="http://schemas.openxmlformats.org/officeDocument/2006/relationships" ref="S1508" r:id="rId1507"/>
    <hyperlink xmlns:r="http://schemas.openxmlformats.org/officeDocument/2006/relationships" ref="S1509" r:id="rId1508"/>
    <hyperlink xmlns:r="http://schemas.openxmlformats.org/officeDocument/2006/relationships" ref="S1510" r:id="rId1509"/>
    <hyperlink xmlns:r="http://schemas.openxmlformats.org/officeDocument/2006/relationships" ref="S1511" r:id="rId1510"/>
    <hyperlink xmlns:r="http://schemas.openxmlformats.org/officeDocument/2006/relationships" ref="S1512" r:id="rId1511"/>
    <hyperlink xmlns:r="http://schemas.openxmlformats.org/officeDocument/2006/relationships" ref="S1513" r:id="rId1512"/>
    <hyperlink xmlns:r="http://schemas.openxmlformats.org/officeDocument/2006/relationships" ref="S1514" r:id="rId1513"/>
    <hyperlink xmlns:r="http://schemas.openxmlformats.org/officeDocument/2006/relationships" ref="S1515" r:id="rId1514"/>
    <hyperlink xmlns:r="http://schemas.openxmlformats.org/officeDocument/2006/relationships" ref="S1516" r:id="rId1515"/>
    <hyperlink xmlns:r="http://schemas.openxmlformats.org/officeDocument/2006/relationships" ref="S1517" r:id="rId1516"/>
    <hyperlink xmlns:r="http://schemas.openxmlformats.org/officeDocument/2006/relationships" ref="S1518" r:id="rId1517"/>
    <hyperlink xmlns:r="http://schemas.openxmlformats.org/officeDocument/2006/relationships" ref="S1519" r:id="rId1518"/>
    <hyperlink xmlns:r="http://schemas.openxmlformats.org/officeDocument/2006/relationships" ref="S1520" r:id="rId1519"/>
    <hyperlink xmlns:r="http://schemas.openxmlformats.org/officeDocument/2006/relationships" ref="S1521" r:id="rId1520"/>
    <hyperlink xmlns:r="http://schemas.openxmlformats.org/officeDocument/2006/relationships" ref="S1522" r:id="rId1521"/>
    <hyperlink xmlns:r="http://schemas.openxmlformats.org/officeDocument/2006/relationships" ref="S1523" r:id="rId1522"/>
    <hyperlink xmlns:r="http://schemas.openxmlformats.org/officeDocument/2006/relationships" ref="S1524" r:id="rId1523"/>
    <hyperlink xmlns:r="http://schemas.openxmlformats.org/officeDocument/2006/relationships" ref="S1525" r:id="rId1524"/>
    <hyperlink xmlns:r="http://schemas.openxmlformats.org/officeDocument/2006/relationships" ref="S1526" r:id="rId1525"/>
    <hyperlink xmlns:r="http://schemas.openxmlformats.org/officeDocument/2006/relationships" ref="S1527" r:id="rId1526"/>
    <hyperlink xmlns:r="http://schemas.openxmlformats.org/officeDocument/2006/relationships" ref="S1528" r:id="rId1527"/>
    <hyperlink xmlns:r="http://schemas.openxmlformats.org/officeDocument/2006/relationships" ref="S1529" r:id="rId1528"/>
    <hyperlink xmlns:r="http://schemas.openxmlformats.org/officeDocument/2006/relationships" ref="S1530" r:id="rId1529"/>
    <hyperlink xmlns:r="http://schemas.openxmlformats.org/officeDocument/2006/relationships" ref="S1531" r:id="rId1530"/>
    <hyperlink xmlns:r="http://schemas.openxmlformats.org/officeDocument/2006/relationships" ref="S1532" r:id="rId1531"/>
    <hyperlink xmlns:r="http://schemas.openxmlformats.org/officeDocument/2006/relationships" ref="S1533" r:id="rId1532"/>
    <hyperlink xmlns:r="http://schemas.openxmlformats.org/officeDocument/2006/relationships" ref="S1534" r:id="rId1533"/>
    <hyperlink xmlns:r="http://schemas.openxmlformats.org/officeDocument/2006/relationships" ref="S1535" r:id="rId1534"/>
    <hyperlink xmlns:r="http://schemas.openxmlformats.org/officeDocument/2006/relationships" ref="S1536" r:id="rId1535"/>
    <hyperlink xmlns:r="http://schemas.openxmlformats.org/officeDocument/2006/relationships" ref="S1537" r:id="rId1536"/>
    <hyperlink xmlns:r="http://schemas.openxmlformats.org/officeDocument/2006/relationships" ref="S1538" r:id="rId1537"/>
    <hyperlink xmlns:r="http://schemas.openxmlformats.org/officeDocument/2006/relationships" ref="S1539" r:id="rId1538"/>
    <hyperlink xmlns:r="http://schemas.openxmlformats.org/officeDocument/2006/relationships" ref="S1540" r:id="rId1539"/>
    <hyperlink xmlns:r="http://schemas.openxmlformats.org/officeDocument/2006/relationships" ref="S1541" r:id="rId1540"/>
    <hyperlink xmlns:r="http://schemas.openxmlformats.org/officeDocument/2006/relationships" ref="S1542" r:id="rId1541"/>
    <hyperlink xmlns:r="http://schemas.openxmlformats.org/officeDocument/2006/relationships" ref="S1543" r:id="rId1542"/>
    <hyperlink xmlns:r="http://schemas.openxmlformats.org/officeDocument/2006/relationships" ref="S1544" r:id="rId1543"/>
    <hyperlink xmlns:r="http://schemas.openxmlformats.org/officeDocument/2006/relationships" ref="S1545" r:id="rId1544"/>
    <hyperlink xmlns:r="http://schemas.openxmlformats.org/officeDocument/2006/relationships" ref="S1546" r:id="rId1545"/>
    <hyperlink xmlns:r="http://schemas.openxmlformats.org/officeDocument/2006/relationships" ref="S1547" r:id="rId1546"/>
    <hyperlink xmlns:r="http://schemas.openxmlformats.org/officeDocument/2006/relationships" ref="S1548" r:id="rId1547"/>
    <hyperlink xmlns:r="http://schemas.openxmlformats.org/officeDocument/2006/relationships" ref="S1549" r:id="rId1548"/>
    <hyperlink xmlns:r="http://schemas.openxmlformats.org/officeDocument/2006/relationships" ref="S1550" r:id="rId1549"/>
    <hyperlink xmlns:r="http://schemas.openxmlformats.org/officeDocument/2006/relationships" ref="S1551" r:id="rId1550"/>
    <hyperlink xmlns:r="http://schemas.openxmlformats.org/officeDocument/2006/relationships" ref="S1552" r:id="rId1551"/>
    <hyperlink xmlns:r="http://schemas.openxmlformats.org/officeDocument/2006/relationships" ref="S1553" r:id="rId1552"/>
    <hyperlink xmlns:r="http://schemas.openxmlformats.org/officeDocument/2006/relationships" ref="S1554" r:id="rId1553"/>
    <hyperlink xmlns:r="http://schemas.openxmlformats.org/officeDocument/2006/relationships" ref="S1555" r:id="rId1554"/>
    <hyperlink xmlns:r="http://schemas.openxmlformats.org/officeDocument/2006/relationships" ref="S1556" r:id="rId1555"/>
    <hyperlink xmlns:r="http://schemas.openxmlformats.org/officeDocument/2006/relationships" ref="S1557" r:id="rId1556"/>
    <hyperlink xmlns:r="http://schemas.openxmlformats.org/officeDocument/2006/relationships" ref="S1558" r:id="rId1557"/>
    <hyperlink xmlns:r="http://schemas.openxmlformats.org/officeDocument/2006/relationships" ref="S1559" r:id="rId1558"/>
    <hyperlink xmlns:r="http://schemas.openxmlformats.org/officeDocument/2006/relationships" ref="S1560" r:id="rId1559"/>
    <hyperlink xmlns:r="http://schemas.openxmlformats.org/officeDocument/2006/relationships" ref="S1561" r:id="rId1560"/>
    <hyperlink xmlns:r="http://schemas.openxmlformats.org/officeDocument/2006/relationships" ref="S1562" r:id="rId1561"/>
    <hyperlink xmlns:r="http://schemas.openxmlformats.org/officeDocument/2006/relationships" ref="S1563" r:id="rId1562"/>
    <hyperlink xmlns:r="http://schemas.openxmlformats.org/officeDocument/2006/relationships" ref="S1564" r:id="rId1563"/>
    <hyperlink xmlns:r="http://schemas.openxmlformats.org/officeDocument/2006/relationships" ref="S1565" r:id="rId1564"/>
    <hyperlink xmlns:r="http://schemas.openxmlformats.org/officeDocument/2006/relationships" ref="S1566" r:id="rId1565"/>
    <hyperlink xmlns:r="http://schemas.openxmlformats.org/officeDocument/2006/relationships" ref="S1567" r:id="rId1566"/>
    <hyperlink xmlns:r="http://schemas.openxmlformats.org/officeDocument/2006/relationships" ref="S1568" r:id="rId1567"/>
    <hyperlink xmlns:r="http://schemas.openxmlformats.org/officeDocument/2006/relationships" ref="S1569" r:id="rId1568"/>
    <hyperlink xmlns:r="http://schemas.openxmlformats.org/officeDocument/2006/relationships" ref="S1570" r:id="rId1569"/>
    <hyperlink xmlns:r="http://schemas.openxmlformats.org/officeDocument/2006/relationships" ref="S1571" r:id="rId1570"/>
    <hyperlink xmlns:r="http://schemas.openxmlformats.org/officeDocument/2006/relationships" ref="S1572" r:id="rId1571"/>
    <hyperlink xmlns:r="http://schemas.openxmlformats.org/officeDocument/2006/relationships" ref="S1573" r:id="rId1572"/>
    <hyperlink xmlns:r="http://schemas.openxmlformats.org/officeDocument/2006/relationships" ref="S1574" r:id="rId1573"/>
    <hyperlink xmlns:r="http://schemas.openxmlformats.org/officeDocument/2006/relationships" ref="S1575" r:id="rId1574"/>
    <hyperlink xmlns:r="http://schemas.openxmlformats.org/officeDocument/2006/relationships" ref="S1576" r:id="rId1575"/>
    <hyperlink xmlns:r="http://schemas.openxmlformats.org/officeDocument/2006/relationships" ref="S1577" r:id="rId1576"/>
    <hyperlink xmlns:r="http://schemas.openxmlformats.org/officeDocument/2006/relationships" ref="S1578" r:id="rId1577"/>
    <hyperlink xmlns:r="http://schemas.openxmlformats.org/officeDocument/2006/relationships" ref="S1579" r:id="rId1578"/>
    <hyperlink xmlns:r="http://schemas.openxmlformats.org/officeDocument/2006/relationships" ref="S1580" r:id="rId1579"/>
    <hyperlink xmlns:r="http://schemas.openxmlformats.org/officeDocument/2006/relationships" ref="S1581" r:id="rId1580"/>
    <hyperlink xmlns:r="http://schemas.openxmlformats.org/officeDocument/2006/relationships" ref="S1582" r:id="rId1581"/>
    <hyperlink xmlns:r="http://schemas.openxmlformats.org/officeDocument/2006/relationships" ref="S1583" r:id="rId1582"/>
    <hyperlink xmlns:r="http://schemas.openxmlformats.org/officeDocument/2006/relationships" ref="S1584" r:id="rId1583"/>
    <hyperlink xmlns:r="http://schemas.openxmlformats.org/officeDocument/2006/relationships" ref="S1585" r:id="rId1584"/>
    <hyperlink xmlns:r="http://schemas.openxmlformats.org/officeDocument/2006/relationships" ref="S1586" r:id="rId1585"/>
    <hyperlink xmlns:r="http://schemas.openxmlformats.org/officeDocument/2006/relationships" ref="S1587" r:id="rId1586"/>
    <hyperlink xmlns:r="http://schemas.openxmlformats.org/officeDocument/2006/relationships" ref="S1588" r:id="rId1587"/>
    <hyperlink xmlns:r="http://schemas.openxmlformats.org/officeDocument/2006/relationships" ref="S1589" r:id="rId1588"/>
    <hyperlink xmlns:r="http://schemas.openxmlformats.org/officeDocument/2006/relationships" ref="S1590" r:id="rId1589"/>
    <hyperlink xmlns:r="http://schemas.openxmlformats.org/officeDocument/2006/relationships" ref="S1591" r:id="rId1590"/>
    <hyperlink xmlns:r="http://schemas.openxmlformats.org/officeDocument/2006/relationships" ref="S1592" r:id="rId1591"/>
    <hyperlink xmlns:r="http://schemas.openxmlformats.org/officeDocument/2006/relationships" ref="S1593" r:id="rId1592"/>
    <hyperlink xmlns:r="http://schemas.openxmlformats.org/officeDocument/2006/relationships" ref="S1594" r:id="rId1593"/>
    <hyperlink xmlns:r="http://schemas.openxmlformats.org/officeDocument/2006/relationships" ref="S1595" r:id="rId1594"/>
    <hyperlink xmlns:r="http://schemas.openxmlformats.org/officeDocument/2006/relationships" ref="S1596" r:id="rId1595"/>
    <hyperlink xmlns:r="http://schemas.openxmlformats.org/officeDocument/2006/relationships" ref="S1597" r:id="rId1596"/>
    <hyperlink xmlns:r="http://schemas.openxmlformats.org/officeDocument/2006/relationships" ref="S1598" r:id="rId1597"/>
    <hyperlink xmlns:r="http://schemas.openxmlformats.org/officeDocument/2006/relationships" ref="S1599" r:id="rId1598"/>
    <hyperlink xmlns:r="http://schemas.openxmlformats.org/officeDocument/2006/relationships" ref="S1600" r:id="rId1599"/>
    <hyperlink xmlns:r="http://schemas.openxmlformats.org/officeDocument/2006/relationships" ref="S1601" r:id="rId1600"/>
    <hyperlink xmlns:r="http://schemas.openxmlformats.org/officeDocument/2006/relationships" ref="S1602" r:id="rId1601"/>
    <hyperlink xmlns:r="http://schemas.openxmlformats.org/officeDocument/2006/relationships" ref="S1603" r:id="rId1602"/>
    <hyperlink xmlns:r="http://schemas.openxmlformats.org/officeDocument/2006/relationships" ref="S1604" r:id="rId1603"/>
    <hyperlink xmlns:r="http://schemas.openxmlformats.org/officeDocument/2006/relationships" ref="S1605" r:id="rId1604"/>
    <hyperlink xmlns:r="http://schemas.openxmlformats.org/officeDocument/2006/relationships" ref="S1606" r:id="rId1605"/>
    <hyperlink xmlns:r="http://schemas.openxmlformats.org/officeDocument/2006/relationships" ref="S1607" r:id="rId1606"/>
    <hyperlink xmlns:r="http://schemas.openxmlformats.org/officeDocument/2006/relationships" ref="S1608" r:id="rId1607"/>
    <hyperlink xmlns:r="http://schemas.openxmlformats.org/officeDocument/2006/relationships" ref="S1609" r:id="rId1608"/>
    <hyperlink xmlns:r="http://schemas.openxmlformats.org/officeDocument/2006/relationships" ref="S1610" r:id="rId1609"/>
    <hyperlink xmlns:r="http://schemas.openxmlformats.org/officeDocument/2006/relationships" ref="S1611" r:id="rId1610"/>
    <hyperlink xmlns:r="http://schemas.openxmlformats.org/officeDocument/2006/relationships" ref="S1612" r:id="rId1611"/>
    <hyperlink xmlns:r="http://schemas.openxmlformats.org/officeDocument/2006/relationships" ref="S1613" r:id="rId1612"/>
    <hyperlink xmlns:r="http://schemas.openxmlformats.org/officeDocument/2006/relationships" ref="S1614" r:id="rId1613"/>
    <hyperlink xmlns:r="http://schemas.openxmlformats.org/officeDocument/2006/relationships" ref="S1615" r:id="rId1614"/>
    <hyperlink xmlns:r="http://schemas.openxmlformats.org/officeDocument/2006/relationships" ref="S1616" r:id="rId1615"/>
    <hyperlink xmlns:r="http://schemas.openxmlformats.org/officeDocument/2006/relationships" ref="S1617" r:id="rId1616"/>
    <hyperlink xmlns:r="http://schemas.openxmlformats.org/officeDocument/2006/relationships" ref="S1618" r:id="rId1617"/>
    <hyperlink xmlns:r="http://schemas.openxmlformats.org/officeDocument/2006/relationships" ref="S1619" r:id="rId1618"/>
    <hyperlink xmlns:r="http://schemas.openxmlformats.org/officeDocument/2006/relationships" ref="S1620" r:id="rId1619"/>
    <hyperlink xmlns:r="http://schemas.openxmlformats.org/officeDocument/2006/relationships" ref="S1621" r:id="rId1620"/>
    <hyperlink xmlns:r="http://schemas.openxmlformats.org/officeDocument/2006/relationships" ref="S1622" r:id="rId1621"/>
    <hyperlink xmlns:r="http://schemas.openxmlformats.org/officeDocument/2006/relationships" ref="S1623" r:id="rId1622"/>
    <hyperlink xmlns:r="http://schemas.openxmlformats.org/officeDocument/2006/relationships" ref="S1624" r:id="rId1623"/>
    <hyperlink xmlns:r="http://schemas.openxmlformats.org/officeDocument/2006/relationships" ref="S1625" r:id="rId1624"/>
    <hyperlink xmlns:r="http://schemas.openxmlformats.org/officeDocument/2006/relationships" ref="S1626" r:id="rId1625"/>
    <hyperlink xmlns:r="http://schemas.openxmlformats.org/officeDocument/2006/relationships" ref="S1627" r:id="rId1626"/>
    <hyperlink xmlns:r="http://schemas.openxmlformats.org/officeDocument/2006/relationships" ref="S1628" r:id="rId1627"/>
    <hyperlink xmlns:r="http://schemas.openxmlformats.org/officeDocument/2006/relationships" ref="S1629" r:id="rId1628"/>
    <hyperlink xmlns:r="http://schemas.openxmlformats.org/officeDocument/2006/relationships" ref="S1630" r:id="rId1629"/>
    <hyperlink xmlns:r="http://schemas.openxmlformats.org/officeDocument/2006/relationships" ref="S1631" r:id="rId1630"/>
    <hyperlink xmlns:r="http://schemas.openxmlformats.org/officeDocument/2006/relationships" ref="S1632" r:id="rId1631"/>
    <hyperlink xmlns:r="http://schemas.openxmlformats.org/officeDocument/2006/relationships" ref="S1633" r:id="rId1632"/>
    <hyperlink xmlns:r="http://schemas.openxmlformats.org/officeDocument/2006/relationships" ref="S1634" r:id="rId1633"/>
    <hyperlink xmlns:r="http://schemas.openxmlformats.org/officeDocument/2006/relationships" ref="S1635" r:id="rId1634"/>
    <hyperlink xmlns:r="http://schemas.openxmlformats.org/officeDocument/2006/relationships" ref="S1636" r:id="rId1635"/>
    <hyperlink xmlns:r="http://schemas.openxmlformats.org/officeDocument/2006/relationships" ref="S1637" r:id="rId1636"/>
    <hyperlink xmlns:r="http://schemas.openxmlformats.org/officeDocument/2006/relationships" ref="S1638" r:id="rId1637"/>
    <hyperlink xmlns:r="http://schemas.openxmlformats.org/officeDocument/2006/relationships" ref="S1639" r:id="rId1638"/>
    <hyperlink xmlns:r="http://schemas.openxmlformats.org/officeDocument/2006/relationships" ref="S1640" r:id="rId1639"/>
    <hyperlink xmlns:r="http://schemas.openxmlformats.org/officeDocument/2006/relationships" ref="S1641" r:id="rId1640"/>
    <hyperlink xmlns:r="http://schemas.openxmlformats.org/officeDocument/2006/relationships" ref="S1642" r:id="rId1641"/>
    <hyperlink xmlns:r="http://schemas.openxmlformats.org/officeDocument/2006/relationships" ref="S1643" r:id="rId1642"/>
    <hyperlink xmlns:r="http://schemas.openxmlformats.org/officeDocument/2006/relationships" ref="S1644" r:id="rId1643"/>
    <hyperlink xmlns:r="http://schemas.openxmlformats.org/officeDocument/2006/relationships" ref="S1645" r:id="rId1644"/>
    <hyperlink xmlns:r="http://schemas.openxmlformats.org/officeDocument/2006/relationships" ref="S1646" r:id="rId1645"/>
    <hyperlink xmlns:r="http://schemas.openxmlformats.org/officeDocument/2006/relationships" ref="S1647" r:id="rId1646"/>
    <hyperlink xmlns:r="http://schemas.openxmlformats.org/officeDocument/2006/relationships" ref="S1648" r:id="rId1647"/>
    <hyperlink xmlns:r="http://schemas.openxmlformats.org/officeDocument/2006/relationships" ref="S1649" r:id="rId1648"/>
    <hyperlink xmlns:r="http://schemas.openxmlformats.org/officeDocument/2006/relationships" ref="S1650" r:id="rId1649"/>
    <hyperlink xmlns:r="http://schemas.openxmlformats.org/officeDocument/2006/relationships" ref="S1651" r:id="rId1650"/>
    <hyperlink xmlns:r="http://schemas.openxmlformats.org/officeDocument/2006/relationships" ref="S1652" r:id="rId1651"/>
    <hyperlink xmlns:r="http://schemas.openxmlformats.org/officeDocument/2006/relationships" ref="S1653" r:id="rId1652"/>
    <hyperlink xmlns:r="http://schemas.openxmlformats.org/officeDocument/2006/relationships" ref="S1654" r:id="rId1653"/>
    <hyperlink xmlns:r="http://schemas.openxmlformats.org/officeDocument/2006/relationships" ref="S1655" r:id="rId1654"/>
    <hyperlink xmlns:r="http://schemas.openxmlformats.org/officeDocument/2006/relationships" ref="S1656" r:id="rId1655"/>
    <hyperlink xmlns:r="http://schemas.openxmlformats.org/officeDocument/2006/relationships" ref="S1657" r:id="rId1656"/>
    <hyperlink xmlns:r="http://schemas.openxmlformats.org/officeDocument/2006/relationships" ref="S1658" r:id="rId1657"/>
    <hyperlink xmlns:r="http://schemas.openxmlformats.org/officeDocument/2006/relationships" ref="S1659" r:id="rId1658"/>
    <hyperlink xmlns:r="http://schemas.openxmlformats.org/officeDocument/2006/relationships" ref="S1660" r:id="rId1659"/>
    <hyperlink xmlns:r="http://schemas.openxmlformats.org/officeDocument/2006/relationships" ref="S1661" r:id="rId1660"/>
    <hyperlink xmlns:r="http://schemas.openxmlformats.org/officeDocument/2006/relationships" ref="S1662" r:id="rId1661"/>
    <hyperlink xmlns:r="http://schemas.openxmlformats.org/officeDocument/2006/relationships" ref="S1663" r:id="rId1662"/>
    <hyperlink xmlns:r="http://schemas.openxmlformats.org/officeDocument/2006/relationships" ref="S1664" r:id="rId1663"/>
    <hyperlink xmlns:r="http://schemas.openxmlformats.org/officeDocument/2006/relationships" ref="S1665" r:id="rId1664"/>
    <hyperlink xmlns:r="http://schemas.openxmlformats.org/officeDocument/2006/relationships" ref="S1666" r:id="rId1665"/>
    <hyperlink xmlns:r="http://schemas.openxmlformats.org/officeDocument/2006/relationships" ref="S1667" r:id="rId1666"/>
    <hyperlink xmlns:r="http://schemas.openxmlformats.org/officeDocument/2006/relationships" ref="S1668" r:id="rId1667"/>
    <hyperlink xmlns:r="http://schemas.openxmlformats.org/officeDocument/2006/relationships" ref="S1669" r:id="rId1668"/>
    <hyperlink xmlns:r="http://schemas.openxmlformats.org/officeDocument/2006/relationships" ref="S1670" r:id="rId1669"/>
    <hyperlink xmlns:r="http://schemas.openxmlformats.org/officeDocument/2006/relationships" ref="S1671" r:id="rId1670"/>
    <hyperlink xmlns:r="http://schemas.openxmlformats.org/officeDocument/2006/relationships" ref="S1672" r:id="rId1671"/>
    <hyperlink xmlns:r="http://schemas.openxmlformats.org/officeDocument/2006/relationships" ref="S1673" r:id="rId1672"/>
    <hyperlink xmlns:r="http://schemas.openxmlformats.org/officeDocument/2006/relationships" ref="S1674" r:id="rId1673"/>
    <hyperlink xmlns:r="http://schemas.openxmlformats.org/officeDocument/2006/relationships" ref="S1675" r:id="rId1674"/>
    <hyperlink xmlns:r="http://schemas.openxmlformats.org/officeDocument/2006/relationships" ref="S1676" r:id="rId1675"/>
    <hyperlink xmlns:r="http://schemas.openxmlformats.org/officeDocument/2006/relationships" ref="S1677" r:id="rId1676"/>
    <hyperlink xmlns:r="http://schemas.openxmlformats.org/officeDocument/2006/relationships" ref="S1678" r:id="rId1677"/>
    <hyperlink xmlns:r="http://schemas.openxmlformats.org/officeDocument/2006/relationships" ref="S1679" r:id="rId1678"/>
    <hyperlink xmlns:r="http://schemas.openxmlformats.org/officeDocument/2006/relationships" ref="S1680" r:id="rId1679"/>
    <hyperlink xmlns:r="http://schemas.openxmlformats.org/officeDocument/2006/relationships" ref="S1681" r:id="rId1680"/>
    <hyperlink xmlns:r="http://schemas.openxmlformats.org/officeDocument/2006/relationships" ref="S1682" r:id="rId1681"/>
    <hyperlink xmlns:r="http://schemas.openxmlformats.org/officeDocument/2006/relationships" ref="S1683" r:id="rId1682"/>
    <hyperlink xmlns:r="http://schemas.openxmlformats.org/officeDocument/2006/relationships" ref="S1684" r:id="rId1683"/>
    <hyperlink xmlns:r="http://schemas.openxmlformats.org/officeDocument/2006/relationships" ref="S1685" r:id="rId1684"/>
    <hyperlink xmlns:r="http://schemas.openxmlformats.org/officeDocument/2006/relationships" ref="S1686" r:id="rId1685"/>
    <hyperlink xmlns:r="http://schemas.openxmlformats.org/officeDocument/2006/relationships" ref="S1687" r:id="rId1686"/>
    <hyperlink xmlns:r="http://schemas.openxmlformats.org/officeDocument/2006/relationships" ref="S1688" r:id="rId1687"/>
    <hyperlink xmlns:r="http://schemas.openxmlformats.org/officeDocument/2006/relationships" ref="S1689" r:id="rId1688"/>
    <hyperlink xmlns:r="http://schemas.openxmlformats.org/officeDocument/2006/relationships" ref="S1690" r:id="rId1689"/>
    <hyperlink xmlns:r="http://schemas.openxmlformats.org/officeDocument/2006/relationships" ref="S1691" r:id="rId1690"/>
    <hyperlink xmlns:r="http://schemas.openxmlformats.org/officeDocument/2006/relationships" ref="S1692" r:id="rId1691"/>
    <hyperlink xmlns:r="http://schemas.openxmlformats.org/officeDocument/2006/relationships" ref="S1693" r:id="rId1692"/>
    <hyperlink xmlns:r="http://schemas.openxmlformats.org/officeDocument/2006/relationships" ref="S1694" r:id="rId1693"/>
    <hyperlink xmlns:r="http://schemas.openxmlformats.org/officeDocument/2006/relationships" ref="S1695" r:id="rId1694"/>
    <hyperlink xmlns:r="http://schemas.openxmlformats.org/officeDocument/2006/relationships" ref="S1696" r:id="rId1695"/>
    <hyperlink xmlns:r="http://schemas.openxmlformats.org/officeDocument/2006/relationships" ref="S1697" r:id="rId1696"/>
    <hyperlink xmlns:r="http://schemas.openxmlformats.org/officeDocument/2006/relationships" ref="S1698" r:id="rId1697"/>
    <hyperlink xmlns:r="http://schemas.openxmlformats.org/officeDocument/2006/relationships" ref="S1699" r:id="rId1698"/>
    <hyperlink xmlns:r="http://schemas.openxmlformats.org/officeDocument/2006/relationships" ref="S1700" r:id="rId1699"/>
    <hyperlink xmlns:r="http://schemas.openxmlformats.org/officeDocument/2006/relationships" ref="S1701" r:id="rId1700"/>
    <hyperlink xmlns:r="http://schemas.openxmlformats.org/officeDocument/2006/relationships" ref="S1702" r:id="rId1701"/>
    <hyperlink xmlns:r="http://schemas.openxmlformats.org/officeDocument/2006/relationships" ref="S1703" r:id="rId1702"/>
    <hyperlink xmlns:r="http://schemas.openxmlformats.org/officeDocument/2006/relationships" ref="S1704" r:id="rId1703"/>
    <hyperlink xmlns:r="http://schemas.openxmlformats.org/officeDocument/2006/relationships" ref="S1705" r:id="rId1704"/>
    <hyperlink xmlns:r="http://schemas.openxmlformats.org/officeDocument/2006/relationships" ref="S1706" r:id="rId1705"/>
    <hyperlink xmlns:r="http://schemas.openxmlformats.org/officeDocument/2006/relationships" ref="S1707" r:id="rId1706"/>
    <hyperlink xmlns:r="http://schemas.openxmlformats.org/officeDocument/2006/relationships" ref="S1708" r:id="rId1707"/>
    <hyperlink xmlns:r="http://schemas.openxmlformats.org/officeDocument/2006/relationships" ref="S1709" r:id="rId1708"/>
    <hyperlink xmlns:r="http://schemas.openxmlformats.org/officeDocument/2006/relationships" ref="S1710" r:id="rId1709"/>
    <hyperlink xmlns:r="http://schemas.openxmlformats.org/officeDocument/2006/relationships" ref="S1711" r:id="rId1710"/>
    <hyperlink xmlns:r="http://schemas.openxmlformats.org/officeDocument/2006/relationships" ref="S1712" r:id="rId1711"/>
    <hyperlink xmlns:r="http://schemas.openxmlformats.org/officeDocument/2006/relationships" ref="S1713" r:id="rId1712"/>
    <hyperlink xmlns:r="http://schemas.openxmlformats.org/officeDocument/2006/relationships" ref="S1714" r:id="rId1713"/>
    <hyperlink xmlns:r="http://schemas.openxmlformats.org/officeDocument/2006/relationships" ref="S1715" r:id="rId1714"/>
    <hyperlink xmlns:r="http://schemas.openxmlformats.org/officeDocument/2006/relationships" ref="S1716" r:id="rId1715"/>
    <hyperlink xmlns:r="http://schemas.openxmlformats.org/officeDocument/2006/relationships" ref="S1717" r:id="rId1716"/>
    <hyperlink xmlns:r="http://schemas.openxmlformats.org/officeDocument/2006/relationships" ref="S1718" r:id="rId1717"/>
    <hyperlink xmlns:r="http://schemas.openxmlformats.org/officeDocument/2006/relationships" ref="S1719" r:id="rId1718"/>
    <hyperlink xmlns:r="http://schemas.openxmlformats.org/officeDocument/2006/relationships" ref="S1720" r:id="rId1719"/>
    <hyperlink xmlns:r="http://schemas.openxmlformats.org/officeDocument/2006/relationships" ref="S1721" r:id="rId1720"/>
    <hyperlink xmlns:r="http://schemas.openxmlformats.org/officeDocument/2006/relationships" ref="S1722" r:id="rId1721"/>
    <hyperlink xmlns:r="http://schemas.openxmlformats.org/officeDocument/2006/relationships" ref="S1723" r:id="rId1722"/>
    <hyperlink xmlns:r="http://schemas.openxmlformats.org/officeDocument/2006/relationships" ref="S1724" r:id="rId1723"/>
    <hyperlink xmlns:r="http://schemas.openxmlformats.org/officeDocument/2006/relationships" ref="S1725" r:id="rId1724"/>
    <hyperlink xmlns:r="http://schemas.openxmlformats.org/officeDocument/2006/relationships" ref="S1726" r:id="rId1725"/>
    <hyperlink xmlns:r="http://schemas.openxmlformats.org/officeDocument/2006/relationships" ref="S1727" r:id="rId1726"/>
    <hyperlink xmlns:r="http://schemas.openxmlformats.org/officeDocument/2006/relationships" ref="S1728" r:id="rId1727"/>
    <hyperlink xmlns:r="http://schemas.openxmlformats.org/officeDocument/2006/relationships" ref="S1729" r:id="rId1728"/>
    <hyperlink xmlns:r="http://schemas.openxmlformats.org/officeDocument/2006/relationships" ref="S1730" r:id="rId1729"/>
    <hyperlink xmlns:r="http://schemas.openxmlformats.org/officeDocument/2006/relationships" ref="S1731" r:id="rId1730"/>
    <hyperlink xmlns:r="http://schemas.openxmlformats.org/officeDocument/2006/relationships" ref="S1732" r:id="rId1731"/>
    <hyperlink xmlns:r="http://schemas.openxmlformats.org/officeDocument/2006/relationships" ref="S1733" r:id="rId1732"/>
    <hyperlink xmlns:r="http://schemas.openxmlformats.org/officeDocument/2006/relationships" ref="S1734" r:id="rId1733"/>
    <hyperlink xmlns:r="http://schemas.openxmlformats.org/officeDocument/2006/relationships" ref="S1735" r:id="rId1734"/>
    <hyperlink xmlns:r="http://schemas.openxmlformats.org/officeDocument/2006/relationships" ref="S1736" r:id="rId1735"/>
    <hyperlink xmlns:r="http://schemas.openxmlformats.org/officeDocument/2006/relationships" ref="S1737" r:id="rId1736"/>
    <hyperlink xmlns:r="http://schemas.openxmlformats.org/officeDocument/2006/relationships" ref="S1738" r:id="rId1737"/>
    <hyperlink xmlns:r="http://schemas.openxmlformats.org/officeDocument/2006/relationships" ref="S1739" r:id="rId1738"/>
    <hyperlink xmlns:r="http://schemas.openxmlformats.org/officeDocument/2006/relationships" ref="S1740" r:id="rId1739"/>
    <hyperlink xmlns:r="http://schemas.openxmlformats.org/officeDocument/2006/relationships" ref="S1741" r:id="rId1740"/>
    <hyperlink xmlns:r="http://schemas.openxmlformats.org/officeDocument/2006/relationships" ref="S1742" r:id="rId1741"/>
    <hyperlink xmlns:r="http://schemas.openxmlformats.org/officeDocument/2006/relationships" ref="S1743" r:id="rId1742"/>
    <hyperlink xmlns:r="http://schemas.openxmlformats.org/officeDocument/2006/relationships" ref="S1744" r:id="rId1743"/>
    <hyperlink xmlns:r="http://schemas.openxmlformats.org/officeDocument/2006/relationships" ref="S1745" r:id="rId1744"/>
    <hyperlink xmlns:r="http://schemas.openxmlformats.org/officeDocument/2006/relationships" ref="S1746" r:id="rId1745"/>
    <hyperlink xmlns:r="http://schemas.openxmlformats.org/officeDocument/2006/relationships" ref="S1747" r:id="rId1746"/>
    <hyperlink xmlns:r="http://schemas.openxmlformats.org/officeDocument/2006/relationships" ref="S1748" r:id="rId1747"/>
    <hyperlink xmlns:r="http://schemas.openxmlformats.org/officeDocument/2006/relationships" ref="S1749" r:id="rId1748"/>
    <hyperlink xmlns:r="http://schemas.openxmlformats.org/officeDocument/2006/relationships" ref="S1750" r:id="rId1749"/>
    <hyperlink xmlns:r="http://schemas.openxmlformats.org/officeDocument/2006/relationships" ref="S1751" r:id="rId1750"/>
    <hyperlink xmlns:r="http://schemas.openxmlformats.org/officeDocument/2006/relationships" ref="S1752" r:id="rId1751"/>
    <hyperlink xmlns:r="http://schemas.openxmlformats.org/officeDocument/2006/relationships" ref="S1753" r:id="rId1752"/>
    <hyperlink xmlns:r="http://schemas.openxmlformats.org/officeDocument/2006/relationships" ref="S1754" r:id="rId1753"/>
    <hyperlink xmlns:r="http://schemas.openxmlformats.org/officeDocument/2006/relationships" ref="S1755" r:id="rId1754"/>
    <hyperlink xmlns:r="http://schemas.openxmlformats.org/officeDocument/2006/relationships" ref="S1756" r:id="rId1755"/>
    <hyperlink xmlns:r="http://schemas.openxmlformats.org/officeDocument/2006/relationships" ref="S1757" r:id="rId1756"/>
    <hyperlink xmlns:r="http://schemas.openxmlformats.org/officeDocument/2006/relationships" ref="S1758" r:id="rId1757"/>
    <hyperlink xmlns:r="http://schemas.openxmlformats.org/officeDocument/2006/relationships" ref="S1759" r:id="rId1758"/>
    <hyperlink xmlns:r="http://schemas.openxmlformats.org/officeDocument/2006/relationships" ref="S1760" r:id="rId1759"/>
    <hyperlink xmlns:r="http://schemas.openxmlformats.org/officeDocument/2006/relationships" ref="S1761" r:id="rId1760"/>
    <hyperlink xmlns:r="http://schemas.openxmlformats.org/officeDocument/2006/relationships" ref="S1762" r:id="rId1761"/>
    <hyperlink xmlns:r="http://schemas.openxmlformats.org/officeDocument/2006/relationships" ref="S1763" r:id="rId1762"/>
    <hyperlink xmlns:r="http://schemas.openxmlformats.org/officeDocument/2006/relationships" ref="S1764" r:id="rId1763"/>
    <hyperlink xmlns:r="http://schemas.openxmlformats.org/officeDocument/2006/relationships" ref="S1765" r:id="rId1764"/>
    <hyperlink xmlns:r="http://schemas.openxmlformats.org/officeDocument/2006/relationships" ref="S1766" r:id="rId1765"/>
    <hyperlink xmlns:r="http://schemas.openxmlformats.org/officeDocument/2006/relationships" ref="S1767" r:id="rId1766"/>
    <hyperlink xmlns:r="http://schemas.openxmlformats.org/officeDocument/2006/relationships" ref="S1768" r:id="rId1767"/>
    <hyperlink xmlns:r="http://schemas.openxmlformats.org/officeDocument/2006/relationships" ref="S1769" r:id="rId1768"/>
    <hyperlink xmlns:r="http://schemas.openxmlformats.org/officeDocument/2006/relationships" ref="S1770" r:id="rId1769"/>
    <hyperlink xmlns:r="http://schemas.openxmlformats.org/officeDocument/2006/relationships" ref="S1771" r:id="rId1770"/>
    <hyperlink xmlns:r="http://schemas.openxmlformats.org/officeDocument/2006/relationships" ref="S1772" r:id="rId1771"/>
    <hyperlink xmlns:r="http://schemas.openxmlformats.org/officeDocument/2006/relationships" ref="S1773" r:id="rId1772"/>
    <hyperlink xmlns:r="http://schemas.openxmlformats.org/officeDocument/2006/relationships" ref="S1774" r:id="rId1773"/>
    <hyperlink xmlns:r="http://schemas.openxmlformats.org/officeDocument/2006/relationships" ref="S1775" r:id="rId1774"/>
    <hyperlink xmlns:r="http://schemas.openxmlformats.org/officeDocument/2006/relationships" ref="S1776" r:id="rId1775"/>
    <hyperlink xmlns:r="http://schemas.openxmlformats.org/officeDocument/2006/relationships" ref="S1777" r:id="rId1776"/>
    <hyperlink xmlns:r="http://schemas.openxmlformats.org/officeDocument/2006/relationships" ref="S1778" r:id="rId1777"/>
    <hyperlink xmlns:r="http://schemas.openxmlformats.org/officeDocument/2006/relationships" ref="S1779" r:id="rId1778"/>
    <hyperlink xmlns:r="http://schemas.openxmlformats.org/officeDocument/2006/relationships" ref="S1780" r:id="rId1779"/>
    <hyperlink xmlns:r="http://schemas.openxmlformats.org/officeDocument/2006/relationships" ref="S1781" r:id="rId1780"/>
    <hyperlink xmlns:r="http://schemas.openxmlformats.org/officeDocument/2006/relationships" ref="S1782" r:id="rId1781"/>
    <hyperlink xmlns:r="http://schemas.openxmlformats.org/officeDocument/2006/relationships" ref="S1783" r:id="rId1782"/>
    <hyperlink xmlns:r="http://schemas.openxmlformats.org/officeDocument/2006/relationships" ref="S1784" r:id="rId1783"/>
    <hyperlink xmlns:r="http://schemas.openxmlformats.org/officeDocument/2006/relationships" ref="S1785" r:id="rId1784"/>
    <hyperlink xmlns:r="http://schemas.openxmlformats.org/officeDocument/2006/relationships" ref="S1786" r:id="rId1785"/>
    <hyperlink xmlns:r="http://schemas.openxmlformats.org/officeDocument/2006/relationships" ref="S1787" r:id="rId1786"/>
    <hyperlink xmlns:r="http://schemas.openxmlformats.org/officeDocument/2006/relationships" ref="S1788" r:id="rId1787"/>
    <hyperlink xmlns:r="http://schemas.openxmlformats.org/officeDocument/2006/relationships" ref="S1789" r:id="rId1788"/>
    <hyperlink xmlns:r="http://schemas.openxmlformats.org/officeDocument/2006/relationships" ref="S1790" r:id="rId1789"/>
    <hyperlink xmlns:r="http://schemas.openxmlformats.org/officeDocument/2006/relationships" ref="S1791" r:id="rId1790"/>
    <hyperlink xmlns:r="http://schemas.openxmlformats.org/officeDocument/2006/relationships" ref="S1792" r:id="rId1791"/>
    <hyperlink xmlns:r="http://schemas.openxmlformats.org/officeDocument/2006/relationships" ref="S1793" r:id="rId1792"/>
    <hyperlink xmlns:r="http://schemas.openxmlformats.org/officeDocument/2006/relationships" ref="S1794" r:id="rId1793"/>
    <hyperlink xmlns:r="http://schemas.openxmlformats.org/officeDocument/2006/relationships" ref="S1795" r:id="rId1794"/>
    <hyperlink xmlns:r="http://schemas.openxmlformats.org/officeDocument/2006/relationships" ref="S1796" r:id="rId1795"/>
    <hyperlink xmlns:r="http://schemas.openxmlformats.org/officeDocument/2006/relationships" ref="S1797" r:id="rId1796"/>
    <hyperlink xmlns:r="http://schemas.openxmlformats.org/officeDocument/2006/relationships" ref="S1798" r:id="rId1797"/>
    <hyperlink xmlns:r="http://schemas.openxmlformats.org/officeDocument/2006/relationships" ref="S1799" r:id="rId1798"/>
    <hyperlink xmlns:r="http://schemas.openxmlformats.org/officeDocument/2006/relationships" ref="S1800" r:id="rId1799"/>
    <hyperlink xmlns:r="http://schemas.openxmlformats.org/officeDocument/2006/relationships" ref="S1801" r:id="rId1800"/>
    <hyperlink xmlns:r="http://schemas.openxmlformats.org/officeDocument/2006/relationships" ref="S1802" r:id="rId1801"/>
    <hyperlink xmlns:r="http://schemas.openxmlformats.org/officeDocument/2006/relationships" ref="S1803" r:id="rId1802"/>
    <hyperlink xmlns:r="http://schemas.openxmlformats.org/officeDocument/2006/relationships" ref="S1804" r:id="rId1803"/>
    <hyperlink xmlns:r="http://schemas.openxmlformats.org/officeDocument/2006/relationships" ref="S1805" r:id="rId1804"/>
    <hyperlink xmlns:r="http://schemas.openxmlformats.org/officeDocument/2006/relationships" ref="S1806" r:id="rId1805"/>
    <hyperlink xmlns:r="http://schemas.openxmlformats.org/officeDocument/2006/relationships" ref="S1807" r:id="rId1806"/>
    <hyperlink xmlns:r="http://schemas.openxmlformats.org/officeDocument/2006/relationships" ref="S1808" r:id="rId1807"/>
    <hyperlink xmlns:r="http://schemas.openxmlformats.org/officeDocument/2006/relationships" ref="S1809" r:id="rId1808"/>
    <hyperlink xmlns:r="http://schemas.openxmlformats.org/officeDocument/2006/relationships" ref="S1810" r:id="rId1809"/>
    <hyperlink xmlns:r="http://schemas.openxmlformats.org/officeDocument/2006/relationships" ref="S1811" r:id="rId1810"/>
    <hyperlink xmlns:r="http://schemas.openxmlformats.org/officeDocument/2006/relationships" ref="S1812" r:id="rId1811"/>
    <hyperlink xmlns:r="http://schemas.openxmlformats.org/officeDocument/2006/relationships" ref="S1813" r:id="rId1812"/>
    <hyperlink xmlns:r="http://schemas.openxmlformats.org/officeDocument/2006/relationships" ref="S1814" r:id="rId1813"/>
    <hyperlink xmlns:r="http://schemas.openxmlformats.org/officeDocument/2006/relationships" ref="S1815" r:id="rId1814"/>
    <hyperlink xmlns:r="http://schemas.openxmlformats.org/officeDocument/2006/relationships" ref="S1816" r:id="rId1815"/>
    <hyperlink xmlns:r="http://schemas.openxmlformats.org/officeDocument/2006/relationships" ref="S1817" r:id="rId1816"/>
    <hyperlink xmlns:r="http://schemas.openxmlformats.org/officeDocument/2006/relationships" ref="S1818" r:id="rId1817"/>
    <hyperlink xmlns:r="http://schemas.openxmlformats.org/officeDocument/2006/relationships" ref="S1819" r:id="rId1818"/>
    <hyperlink xmlns:r="http://schemas.openxmlformats.org/officeDocument/2006/relationships" ref="S1820" r:id="rId1819"/>
    <hyperlink xmlns:r="http://schemas.openxmlformats.org/officeDocument/2006/relationships" ref="S1821" r:id="rId1820"/>
    <hyperlink xmlns:r="http://schemas.openxmlformats.org/officeDocument/2006/relationships" ref="S1822" r:id="rId1821"/>
    <hyperlink xmlns:r="http://schemas.openxmlformats.org/officeDocument/2006/relationships" ref="S1823" r:id="rId1822"/>
    <hyperlink xmlns:r="http://schemas.openxmlformats.org/officeDocument/2006/relationships" ref="S1824" r:id="rId1823"/>
    <hyperlink xmlns:r="http://schemas.openxmlformats.org/officeDocument/2006/relationships" ref="S1825" r:id="rId1824"/>
    <hyperlink xmlns:r="http://schemas.openxmlformats.org/officeDocument/2006/relationships" ref="S1826" r:id="rId1825"/>
    <hyperlink xmlns:r="http://schemas.openxmlformats.org/officeDocument/2006/relationships" ref="S1827" r:id="rId1826"/>
    <hyperlink xmlns:r="http://schemas.openxmlformats.org/officeDocument/2006/relationships" ref="S1828" r:id="rId1827"/>
    <hyperlink xmlns:r="http://schemas.openxmlformats.org/officeDocument/2006/relationships" ref="S1829" r:id="rId1828"/>
    <hyperlink xmlns:r="http://schemas.openxmlformats.org/officeDocument/2006/relationships" ref="S1830" r:id="rId1829"/>
    <hyperlink xmlns:r="http://schemas.openxmlformats.org/officeDocument/2006/relationships" ref="S1831" r:id="rId1830"/>
    <hyperlink xmlns:r="http://schemas.openxmlformats.org/officeDocument/2006/relationships" ref="S1832" r:id="rId1831"/>
    <hyperlink xmlns:r="http://schemas.openxmlformats.org/officeDocument/2006/relationships" ref="S1833" r:id="rId1832"/>
    <hyperlink xmlns:r="http://schemas.openxmlformats.org/officeDocument/2006/relationships" ref="S1834" r:id="rId1833"/>
    <hyperlink xmlns:r="http://schemas.openxmlformats.org/officeDocument/2006/relationships" ref="S1835" r:id="rId1834"/>
    <hyperlink xmlns:r="http://schemas.openxmlformats.org/officeDocument/2006/relationships" ref="S1836" r:id="rId1835"/>
    <hyperlink xmlns:r="http://schemas.openxmlformats.org/officeDocument/2006/relationships" ref="S1837" r:id="rId1836"/>
    <hyperlink xmlns:r="http://schemas.openxmlformats.org/officeDocument/2006/relationships" ref="S1838" r:id="rId1837"/>
    <hyperlink xmlns:r="http://schemas.openxmlformats.org/officeDocument/2006/relationships" ref="S1839" r:id="rId1838"/>
    <hyperlink xmlns:r="http://schemas.openxmlformats.org/officeDocument/2006/relationships" ref="S1840" r:id="rId1839"/>
    <hyperlink xmlns:r="http://schemas.openxmlformats.org/officeDocument/2006/relationships" ref="S1841" r:id="rId1840"/>
    <hyperlink xmlns:r="http://schemas.openxmlformats.org/officeDocument/2006/relationships" ref="S1842" r:id="rId1841"/>
    <hyperlink xmlns:r="http://schemas.openxmlformats.org/officeDocument/2006/relationships" ref="S1843" r:id="rId1842"/>
    <hyperlink xmlns:r="http://schemas.openxmlformats.org/officeDocument/2006/relationships" ref="S1844" r:id="rId1843"/>
    <hyperlink xmlns:r="http://schemas.openxmlformats.org/officeDocument/2006/relationships" ref="S1845" r:id="rId1844"/>
    <hyperlink xmlns:r="http://schemas.openxmlformats.org/officeDocument/2006/relationships" ref="S1846" r:id="rId1845"/>
    <hyperlink xmlns:r="http://schemas.openxmlformats.org/officeDocument/2006/relationships" ref="S1847" r:id="rId1846"/>
    <hyperlink xmlns:r="http://schemas.openxmlformats.org/officeDocument/2006/relationships" ref="S1848" r:id="rId1847"/>
    <hyperlink xmlns:r="http://schemas.openxmlformats.org/officeDocument/2006/relationships" ref="S1849" r:id="rId1848"/>
    <hyperlink xmlns:r="http://schemas.openxmlformats.org/officeDocument/2006/relationships" ref="S1850" r:id="rId1849"/>
    <hyperlink xmlns:r="http://schemas.openxmlformats.org/officeDocument/2006/relationships" ref="S1851" r:id="rId1850"/>
    <hyperlink xmlns:r="http://schemas.openxmlformats.org/officeDocument/2006/relationships" ref="S1852" r:id="rId1851"/>
    <hyperlink xmlns:r="http://schemas.openxmlformats.org/officeDocument/2006/relationships" ref="S1853" r:id="rId1852"/>
    <hyperlink xmlns:r="http://schemas.openxmlformats.org/officeDocument/2006/relationships" ref="S1854" r:id="rId1853"/>
    <hyperlink xmlns:r="http://schemas.openxmlformats.org/officeDocument/2006/relationships" ref="S1855" r:id="rId1854"/>
    <hyperlink xmlns:r="http://schemas.openxmlformats.org/officeDocument/2006/relationships" ref="S1856" r:id="rId1855"/>
    <hyperlink xmlns:r="http://schemas.openxmlformats.org/officeDocument/2006/relationships" ref="S1857" r:id="rId1856"/>
    <hyperlink xmlns:r="http://schemas.openxmlformats.org/officeDocument/2006/relationships" ref="S1858" r:id="rId1857"/>
    <hyperlink xmlns:r="http://schemas.openxmlformats.org/officeDocument/2006/relationships" ref="S1859" r:id="rId1858"/>
    <hyperlink xmlns:r="http://schemas.openxmlformats.org/officeDocument/2006/relationships" ref="S1860" r:id="rId1859"/>
    <hyperlink xmlns:r="http://schemas.openxmlformats.org/officeDocument/2006/relationships" ref="S1861" r:id="rId1860"/>
    <hyperlink xmlns:r="http://schemas.openxmlformats.org/officeDocument/2006/relationships" ref="S1862" r:id="rId1861"/>
    <hyperlink xmlns:r="http://schemas.openxmlformats.org/officeDocument/2006/relationships" ref="S1863" r:id="rId1862"/>
    <hyperlink xmlns:r="http://schemas.openxmlformats.org/officeDocument/2006/relationships" ref="S1864" r:id="rId1863"/>
    <hyperlink xmlns:r="http://schemas.openxmlformats.org/officeDocument/2006/relationships" ref="S1865" r:id="rId1864"/>
    <hyperlink xmlns:r="http://schemas.openxmlformats.org/officeDocument/2006/relationships" ref="S1866" r:id="rId1865"/>
    <hyperlink xmlns:r="http://schemas.openxmlformats.org/officeDocument/2006/relationships" ref="S1867" r:id="rId1866"/>
    <hyperlink xmlns:r="http://schemas.openxmlformats.org/officeDocument/2006/relationships" ref="S1868" r:id="rId1867"/>
    <hyperlink xmlns:r="http://schemas.openxmlformats.org/officeDocument/2006/relationships" ref="S1869" r:id="rId1868"/>
    <hyperlink xmlns:r="http://schemas.openxmlformats.org/officeDocument/2006/relationships" ref="S1870" r:id="rId1869"/>
    <hyperlink xmlns:r="http://schemas.openxmlformats.org/officeDocument/2006/relationships" ref="S1871" r:id="rId1870"/>
    <hyperlink xmlns:r="http://schemas.openxmlformats.org/officeDocument/2006/relationships" ref="S1872" r:id="rId1871"/>
    <hyperlink xmlns:r="http://schemas.openxmlformats.org/officeDocument/2006/relationships" ref="S1873" r:id="rId1872"/>
    <hyperlink xmlns:r="http://schemas.openxmlformats.org/officeDocument/2006/relationships" ref="S1874" r:id="rId1873"/>
    <hyperlink xmlns:r="http://schemas.openxmlformats.org/officeDocument/2006/relationships" ref="S1875" r:id="rId1874"/>
    <hyperlink xmlns:r="http://schemas.openxmlformats.org/officeDocument/2006/relationships" ref="S1876" r:id="rId1875"/>
    <hyperlink xmlns:r="http://schemas.openxmlformats.org/officeDocument/2006/relationships" ref="S1877" r:id="rId1876"/>
    <hyperlink xmlns:r="http://schemas.openxmlformats.org/officeDocument/2006/relationships" ref="S1878" r:id="rId1877"/>
    <hyperlink xmlns:r="http://schemas.openxmlformats.org/officeDocument/2006/relationships" ref="S1879" r:id="rId1878"/>
    <hyperlink xmlns:r="http://schemas.openxmlformats.org/officeDocument/2006/relationships" ref="S1880" r:id="rId1879"/>
    <hyperlink xmlns:r="http://schemas.openxmlformats.org/officeDocument/2006/relationships" ref="S1881" r:id="rId1880"/>
    <hyperlink xmlns:r="http://schemas.openxmlformats.org/officeDocument/2006/relationships" ref="S1882" r:id="rId1881"/>
    <hyperlink xmlns:r="http://schemas.openxmlformats.org/officeDocument/2006/relationships" ref="S1883" r:id="rId1882"/>
    <hyperlink xmlns:r="http://schemas.openxmlformats.org/officeDocument/2006/relationships" ref="S1884" r:id="rId1883"/>
    <hyperlink xmlns:r="http://schemas.openxmlformats.org/officeDocument/2006/relationships" ref="S1885" r:id="rId1884"/>
    <hyperlink xmlns:r="http://schemas.openxmlformats.org/officeDocument/2006/relationships" ref="S1886" r:id="rId1885"/>
    <hyperlink xmlns:r="http://schemas.openxmlformats.org/officeDocument/2006/relationships" ref="S1887" r:id="rId1886"/>
    <hyperlink xmlns:r="http://schemas.openxmlformats.org/officeDocument/2006/relationships" ref="S1888" r:id="rId1887"/>
    <hyperlink xmlns:r="http://schemas.openxmlformats.org/officeDocument/2006/relationships" ref="S1889" r:id="rId1888"/>
    <hyperlink xmlns:r="http://schemas.openxmlformats.org/officeDocument/2006/relationships" ref="S1890" r:id="rId1889"/>
    <hyperlink xmlns:r="http://schemas.openxmlformats.org/officeDocument/2006/relationships" ref="S1891" r:id="rId1890"/>
    <hyperlink xmlns:r="http://schemas.openxmlformats.org/officeDocument/2006/relationships" ref="S1892" r:id="rId1891"/>
    <hyperlink xmlns:r="http://schemas.openxmlformats.org/officeDocument/2006/relationships" ref="S1893" r:id="rId1892"/>
    <hyperlink xmlns:r="http://schemas.openxmlformats.org/officeDocument/2006/relationships" ref="S1894" r:id="rId1893"/>
    <hyperlink xmlns:r="http://schemas.openxmlformats.org/officeDocument/2006/relationships" ref="S1895" r:id="rId1894"/>
    <hyperlink xmlns:r="http://schemas.openxmlformats.org/officeDocument/2006/relationships" ref="S1896" r:id="rId1895"/>
    <hyperlink xmlns:r="http://schemas.openxmlformats.org/officeDocument/2006/relationships" ref="S1897" r:id="rId1896"/>
    <hyperlink xmlns:r="http://schemas.openxmlformats.org/officeDocument/2006/relationships" ref="S1898" r:id="rId1897"/>
    <hyperlink xmlns:r="http://schemas.openxmlformats.org/officeDocument/2006/relationships" ref="S1899" r:id="rId1898"/>
    <hyperlink xmlns:r="http://schemas.openxmlformats.org/officeDocument/2006/relationships" ref="S1900" r:id="rId1899"/>
    <hyperlink xmlns:r="http://schemas.openxmlformats.org/officeDocument/2006/relationships" ref="S1901" r:id="rId1900"/>
    <hyperlink xmlns:r="http://schemas.openxmlformats.org/officeDocument/2006/relationships" ref="S1902" r:id="rId1901"/>
    <hyperlink xmlns:r="http://schemas.openxmlformats.org/officeDocument/2006/relationships" ref="S1903" r:id="rId1902"/>
    <hyperlink xmlns:r="http://schemas.openxmlformats.org/officeDocument/2006/relationships" ref="S1904" r:id="rId1903"/>
    <hyperlink xmlns:r="http://schemas.openxmlformats.org/officeDocument/2006/relationships" ref="S1905" r:id="rId1904"/>
    <hyperlink xmlns:r="http://schemas.openxmlformats.org/officeDocument/2006/relationships" ref="S1906" r:id="rId1905"/>
    <hyperlink xmlns:r="http://schemas.openxmlformats.org/officeDocument/2006/relationships" ref="S1907" r:id="rId1906"/>
    <hyperlink xmlns:r="http://schemas.openxmlformats.org/officeDocument/2006/relationships" ref="S1908" r:id="rId1907"/>
    <hyperlink xmlns:r="http://schemas.openxmlformats.org/officeDocument/2006/relationships" ref="S1909" r:id="rId1908"/>
    <hyperlink xmlns:r="http://schemas.openxmlformats.org/officeDocument/2006/relationships" ref="S1910" r:id="rId1909"/>
    <hyperlink xmlns:r="http://schemas.openxmlformats.org/officeDocument/2006/relationships" ref="S1911" r:id="rId1910"/>
    <hyperlink xmlns:r="http://schemas.openxmlformats.org/officeDocument/2006/relationships" ref="S1912" r:id="rId1911"/>
    <hyperlink xmlns:r="http://schemas.openxmlformats.org/officeDocument/2006/relationships" ref="S1913" r:id="rId1912"/>
    <hyperlink xmlns:r="http://schemas.openxmlformats.org/officeDocument/2006/relationships" ref="S1914" r:id="rId1913"/>
    <hyperlink xmlns:r="http://schemas.openxmlformats.org/officeDocument/2006/relationships" ref="S1915" r:id="rId1914"/>
    <hyperlink xmlns:r="http://schemas.openxmlformats.org/officeDocument/2006/relationships" ref="S1916" r:id="rId1915"/>
    <hyperlink xmlns:r="http://schemas.openxmlformats.org/officeDocument/2006/relationships" ref="S1917" r:id="rId1916"/>
    <hyperlink xmlns:r="http://schemas.openxmlformats.org/officeDocument/2006/relationships" ref="S1918" r:id="rId1917"/>
    <hyperlink xmlns:r="http://schemas.openxmlformats.org/officeDocument/2006/relationships" ref="S1919" r:id="rId1918"/>
    <hyperlink xmlns:r="http://schemas.openxmlformats.org/officeDocument/2006/relationships" ref="S1920" r:id="rId1919"/>
    <hyperlink xmlns:r="http://schemas.openxmlformats.org/officeDocument/2006/relationships" ref="S1921" r:id="rId1920"/>
    <hyperlink xmlns:r="http://schemas.openxmlformats.org/officeDocument/2006/relationships" ref="S1922" r:id="rId1921"/>
    <hyperlink xmlns:r="http://schemas.openxmlformats.org/officeDocument/2006/relationships" ref="S1923" r:id="rId1922"/>
    <hyperlink xmlns:r="http://schemas.openxmlformats.org/officeDocument/2006/relationships" ref="S1924" r:id="rId1923"/>
    <hyperlink xmlns:r="http://schemas.openxmlformats.org/officeDocument/2006/relationships" ref="S1925" r:id="rId1924"/>
    <hyperlink xmlns:r="http://schemas.openxmlformats.org/officeDocument/2006/relationships" ref="S1926" r:id="rId1925"/>
    <hyperlink xmlns:r="http://schemas.openxmlformats.org/officeDocument/2006/relationships" ref="S1927" r:id="rId1926"/>
    <hyperlink xmlns:r="http://schemas.openxmlformats.org/officeDocument/2006/relationships" ref="S1928" r:id="rId1927"/>
    <hyperlink xmlns:r="http://schemas.openxmlformats.org/officeDocument/2006/relationships" ref="S1929" r:id="rId1928"/>
    <hyperlink xmlns:r="http://schemas.openxmlformats.org/officeDocument/2006/relationships" ref="S1930" r:id="rId1929"/>
    <hyperlink xmlns:r="http://schemas.openxmlformats.org/officeDocument/2006/relationships" ref="S1931" r:id="rId1930"/>
    <hyperlink xmlns:r="http://schemas.openxmlformats.org/officeDocument/2006/relationships" ref="S1932" r:id="rId1931"/>
    <hyperlink xmlns:r="http://schemas.openxmlformats.org/officeDocument/2006/relationships" ref="S1933" r:id="rId1932"/>
    <hyperlink xmlns:r="http://schemas.openxmlformats.org/officeDocument/2006/relationships" ref="S1934" r:id="rId1933"/>
    <hyperlink xmlns:r="http://schemas.openxmlformats.org/officeDocument/2006/relationships" ref="S1935" r:id="rId1934"/>
    <hyperlink xmlns:r="http://schemas.openxmlformats.org/officeDocument/2006/relationships" ref="S1936" r:id="rId1935"/>
    <hyperlink xmlns:r="http://schemas.openxmlformats.org/officeDocument/2006/relationships" ref="S1937" r:id="rId1936"/>
    <hyperlink xmlns:r="http://schemas.openxmlformats.org/officeDocument/2006/relationships" ref="S1938" r:id="rId1937"/>
    <hyperlink xmlns:r="http://schemas.openxmlformats.org/officeDocument/2006/relationships" ref="S1939" r:id="rId1938"/>
    <hyperlink xmlns:r="http://schemas.openxmlformats.org/officeDocument/2006/relationships" ref="S1940" r:id="rId1939"/>
    <hyperlink xmlns:r="http://schemas.openxmlformats.org/officeDocument/2006/relationships" ref="S1941" r:id="rId1940"/>
    <hyperlink xmlns:r="http://schemas.openxmlformats.org/officeDocument/2006/relationships" ref="S1942" r:id="rId1941"/>
    <hyperlink xmlns:r="http://schemas.openxmlformats.org/officeDocument/2006/relationships" ref="S1943" r:id="rId1942"/>
    <hyperlink xmlns:r="http://schemas.openxmlformats.org/officeDocument/2006/relationships" ref="S1944" r:id="rId1943"/>
    <hyperlink xmlns:r="http://schemas.openxmlformats.org/officeDocument/2006/relationships" ref="S1945" r:id="rId1944"/>
    <hyperlink xmlns:r="http://schemas.openxmlformats.org/officeDocument/2006/relationships" ref="S1946" r:id="rId1945"/>
    <hyperlink xmlns:r="http://schemas.openxmlformats.org/officeDocument/2006/relationships" ref="S1947" r:id="rId1946"/>
    <hyperlink xmlns:r="http://schemas.openxmlformats.org/officeDocument/2006/relationships" ref="S1948" r:id="rId1947"/>
    <hyperlink xmlns:r="http://schemas.openxmlformats.org/officeDocument/2006/relationships" ref="S1949" r:id="rId1948"/>
    <hyperlink xmlns:r="http://schemas.openxmlformats.org/officeDocument/2006/relationships" ref="S1950" r:id="rId1949"/>
    <hyperlink xmlns:r="http://schemas.openxmlformats.org/officeDocument/2006/relationships" ref="S1951" r:id="rId1950"/>
    <hyperlink xmlns:r="http://schemas.openxmlformats.org/officeDocument/2006/relationships" ref="S1952" r:id="rId1951"/>
    <hyperlink xmlns:r="http://schemas.openxmlformats.org/officeDocument/2006/relationships" ref="S1953" r:id="rId1952"/>
    <hyperlink xmlns:r="http://schemas.openxmlformats.org/officeDocument/2006/relationships" ref="S1954" r:id="rId1953"/>
    <hyperlink xmlns:r="http://schemas.openxmlformats.org/officeDocument/2006/relationships" ref="S1955" r:id="rId1954"/>
    <hyperlink xmlns:r="http://schemas.openxmlformats.org/officeDocument/2006/relationships" ref="S1956" r:id="rId1955"/>
    <hyperlink xmlns:r="http://schemas.openxmlformats.org/officeDocument/2006/relationships" ref="S1957" r:id="rId1956"/>
    <hyperlink xmlns:r="http://schemas.openxmlformats.org/officeDocument/2006/relationships" ref="S1958" r:id="rId1957"/>
    <hyperlink xmlns:r="http://schemas.openxmlformats.org/officeDocument/2006/relationships" ref="S1959" r:id="rId1958"/>
    <hyperlink xmlns:r="http://schemas.openxmlformats.org/officeDocument/2006/relationships" ref="S1960" r:id="rId1959"/>
    <hyperlink xmlns:r="http://schemas.openxmlformats.org/officeDocument/2006/relationships" ref="S1961" r:id="rId1960"/>
    <hyperlink xmlns:r="http://schemas.openxmlformats.org/officeDocument/2006/relationships" ref="S1962" r:id="rId1961"/>
    <hyperlink xmlns:r="http://schemas.openxmlformats.org/officeDocument/2006/relationships" ref="S1963" r:id="rId1962"/>
    <hyperlink xmlns:r="http://schemas.openxmlformats.org/officeDocument/2006/relationships" ref="S1964" r:id="rId1963"/>
    <hyperlink xmlns:r="http://schemas.openxmlformats.org/officeDocument/2006/relationships" ref="S1965" r:id="rId1964"/>
    <hyperlink xmlns:r="http://schemas.openxmlformats.org/officeDocument/2006/relationships" ref="S1966" r:id="rId1965"/>
    <hyperlink xmlns:r="http://schemas.openxmlformats.org/officeDocument/2006/relationships" ref="S1967" r:id="rId1966"/>
    <hyperlink xmlns:r="http://schemas.openxmlformats.org/officeDocument/2006/relationships" ref="S1968" r:id="rId1967"/>
    <hyperlink xmlns:r="http://schemas.openxmlformats.org/officeDocument/2006/relationships" ref="S1969" r:id="rId1968"/>
    <hyperlink xmlns:r="http://schemas.openxmlformats.org/officeDocument/2006/relationships" ref="S1970" r:id="rId1969"/>
    <hyperlink xmlns:r="http://schemas.openxmlformats.org/officeDocument/2006/relationships" ref="S1971" r:id="rId1970"/>
    <hyperlink xmlns:r="http://schemas.openxmlformats.org/officeDocument/2006/relationships" ref="S1972" r:id="rId1971"/>
    <hyperlink xmlns:r="http://schemas.openxmlformats.org/officeDocument/2006/relationships" ref="S1973" r:id="rId1972"/>
    <hyperlink xmlns:r="http://schemas.openxmlformats.org/officeDocument/2006/relationships" ref="S1974" r:id="rId1973"/>
    <hyperlink xmlns:r="http://schemas.openxmlformats.org/officeDocument/2006/relationships" ref="S1975" r:id="rId1974"/>
    <hyperlink xmlns:r="http://schemas.openxmlformats.org/officeDocument/2006/relationships" ref="S1976" r:id="rId1975"/>
    <hyperlink xmlns:r="http://schemas.openxmlformats.org/officeDocument/2006/relationships" ref="S1977" r:id="rId1976"/>
    <hyperlink xmlns:r="http://schemas.openxmlformats.org/officeDocument/2006/relationships" ref="S1978" r:id="rId1977"/>
    <hyperlink xmlns:r="http://schemas.openxmlformats.org/officeDocument/2006/relationships" ref="S1979" r:id="rId1978"/>
    <hyperlink xmlns:r="http://schemas.openxmlformats.org/officeDocument/2006/relationships" ref="S1980" r:id="rId1979"/>
    <hyperlink xmlns:r="http://schemas.openxmlformats.org/officeDocument/2006/relationships" ref="S1981" r:id="rId1980"/>
    <hyperlink xmlns:r="http://schemas.openxmlformats.org/officeDocument/2006/relationships" ref="S1982" r:id="rId1981"/>
    <hyperlink xmlns:r="http://schemas.openxmlformats.org/officeDocument/2006/relationships" ref="S1983" r:id="rId1982"/>
    <hyperlink xmlns:r="http://schemas.openxmlformats.org/officeDocument/2006/relationships" ref="S1984" r:id="rId1983"/>
    <hyperlink xmlns:r="http://schemas.openxmlformats.org/officeDocument/2006/relationships" ref="S1985" r:id="rId1984"/>
    <hyperlink xmlns:r="http://schemas.openxmlformats.org/officeDocument/2006/relationships" ref="S1986" r:id="rId1985"/>
    <hyperlink xmlns:r="http://schemas.openxmlformats.org/officeDocument/2006/relationships" ref="S1987" r:id="rId1986"/>
    <hyperlink xmlns:r="http://schemas.openxmlformats.org/officeDocument/2006/relationships" ref="S1988" r:id="rId1987"/>
    <hyperlink xmlns:r="http://schemas.openxmlformats.org/officeDocument/2006/relationships" ref="S1989" r:id="rId1988"/>
    <hyperlink xmlns:r="http://schemas.openxmlformats.org/officeDocument/2006/relationships" ref="S1990" r:id="rId1989"/>
    <hyperlink xmlns:r="http://schemas.openxmlformats.org/officeDocument/2006/relationships" ref="S1991" r:id="rId1990"/>
    <hyperlink xmlns:r="http://schemas.openxmlformats.org/officeDocument/2006/relationships" ref="S1992" r:id="rId1991"/>
    <hyperlink xmlns:r="http://schemas.openxmlformats.org/officeDocument/2006/relationships" ref="S1993" r:id="rId1992"/>
    <hyperlink xmlns:r="http://schemas.openxmlformats.org/officeDocument/2006/relationships" ref="S1994" r:id="rId1993"/>
    <hyperlink xmlns:r="http://schemas.openxmlformats.org/officeDocument/2006/relationships" ref="S1995" r:id="rId1994"/>
    <hyperlink xmlns:r="http://schemas.openxmlformats.org/officeDocument/2006/relationships" ref="S1996" r:id="rId1995"/>
    <hyperlink xmlns:r="http://schemas.openxmlformats.org/officeDocument/2006/relationships" ref="S1997" r:id="rId1996"/>
    <hyperlink xmlns:r="http://schemas.openxmlformats.org/officeDocument/2006/relationships" ref="S1998" r:id="rId1997"/>
    <hyperlink xmlns:r="http://schemas.openxmlformats.org/officeDocument/2006/relationships" ref="S1999" r:id="rId1998"/>
    <hyperlink xmlns:r="http://schemas.openxmlformats.org/officeDocument/2006/relationships" ref="S2000" r:id="rId1999"/>
    <hyperlink xmlns:r="http://schemas.openxmlformats.org/officeDocument/2006/relationships" ref="S2001" r:id="rId2000"/>
    <hyperlink xmlns:r="http://schemas.openxmlformats.org/officeDocument/2006/relationships" ref="S2002" r:id="rId2001"/>
    <hyperlink xmlns:r="http://schemas.openxmlformats.org/officeDocument/2006/relationships" ref="S2003" r:id="rId2002"/>
    <hyperlink xmlns:r="http://schemas.openxmlformats.org/officeDocument/2006/relationships" ref="S2004" r:id="rId2003"/>
    <hyperlink xmlns:r="http://schemas.openxmlformats.org/officeDocument/2006/relationships" ref="S2005" r:id="rId2004"/>
    <hyperlink xmlns:r="http://schemas.openxmlformats.org/officeDocument/2006/relationships" ref="S2006" r:id="rId2005"/>
    <hyperlink xmlns:r="http://schemas.openxmlformats.org/officeDocument/2006/relationships" ref="S2007" r:id="rId2006"/>
    <hyperlink xmlns:r="http://schemas.openxmlformats.org/officeDocument/2006/relationships" ref="S2008" r:id="rId2007"/>
    <hyperlink xmlns:r="http://schemas.openxmlformats.org/officeDocument/2006/relationships" ref="S2009" r:id="rId2008"/>
    <hyperlink xmlns:r="http://schemas.openxmlformats.org/officeDocument/2006/relationships" ref="S2010" r:id="rId2009"/>
    <hyperlink xmlns:r="http://schemas.openxmlformats.org/officeDocument/2006/relationships" ref="S2011" r:id="rId2010"/>
    <hyperlink xmlns:r="http://schemas.openxmlformats.org/officeDocument/2006/relationships" ref="S2012" r:id="rId2011"/>
    <hyperlink xmlns:r="http://schemas.openxmlformats.org/officeDocument/2006/relationships" ref="S2013" r:id="rId2012"/>
    <hyperlink xmlns:r="http://schemas.openxmlformats.org/officeDocument/2006/relationships" ref="S2014" r:id="rId2013"/>
    <hyperlink xmlns:r="http://schemas.openxmlformats.org/officeDocument/2006/relationships" ref="S2015" r:id="rId2014"/>
    <hyperlink xmlns:r="http://schemas.openxmlformats.org/officeDocument/2006/relationships" ref="S2016" r:id="rId2015"/>
    <hyperlink xmlns:r="http://schemas.openxmlformats.org/officeDocument/2006/relationships" ref="S2017" r:id="rId2016"/>
    <hyperlink xmlns:r="http://schemas.openxmlformats.org/officeDocument/2006/relationships" ref="S2018" r:id="rId2017"/>
    <hyperlink xmlns:r="http://schemas.openxmlformats.org/officeDocument/2006/relationships" ref="S2019" r:id="rId2018"/>
    <hyperlink xmlns:r="http://schemas.openxmlformats.org/officeDocument/2006/relationships" ref="S2020" r:id="rId2019"/>
    <hyperlink xmlns:r="http://schemas.openxmlformats.org/officeDocument/2006/relationships" ref="S2021" r:id="rId2020"/>
    <hyperlink xmlns:r="http://schemas.openxmlformats.org/officeDocument/2006/relationships" ref="S2022" r:id="rId2021"/>
    <hyperlink xmlns:r="http://schemas.openxmlformats.org/officeDocument/2006/relationships" ref="S2023" r:id="rId2022"/>
    <hyperlink xmlns:r="http://schemas.openxmlformats.org/officeDocument/2006/relationships" ref="S2024" r:id="rId2023"/>
    <hyperlink xmlns:r="http://schemas.openxmlformats.org/officeDocument/2006/relationships" ref="S2025" r:id="rId2024"/>
    <hyperlink xmlns:r="http://schemas.openxmlformats.org/officeDocument/2006/relationships" ref="S2026" r:id="rId2025"/>
    <hyperlink xmlns:r="http://schemas.openxmlformats.org/officeDocument/2006/relationships" ref="S2027" r:id="rId2026"/>
    <hyperlink xmlns:r="http://schemas.openxmlformats.org/officeDocument/2006/relationships" ref="S2028" r:id="rId2027"/>
    <hyperlink xmlns:r="http://schemas.openxmlformats.org/officeDocument/2006/relationships" ref="S2029" r:id="rId2028"/>
    <hyperlink xmlns:r="http://schemas.openxmlformats.org/officeDocument/2006/relationships" ref="S2030" r:id="rId2029"/>
    <hyperlink xmlns:r="http://schemas.openxmlformats.org/officeDocument/2006/relationships" ref="S2031" r:id="rId2030"/>
    <hyperlink xmlns:r="http://schemas.openxmlformats.org/officeDocument/2006/relationships" ref="S2032" r:id="rId2031"/>
    <hyperlink xmlns:r="http://schemas.openxmlformats.org/officeDocument/2006/relationships" ref="S2033" r:id="rId2032"/>
    <hyperlink xmlns:r="http://schemas.openxmlformats.org/officeDocument/2006/relationships" ref="S2034" r:id="rId2033"/>
    <hyperlink xmlns:r="http://schemas.openxmlformats.org/officeDocument/2006/relationships" ref="S2035" r:id="rId2034"/>
    <hyperlink xmlns:r="http://schemas.openxmlformats.org/officeDocument/2006/relationships" ref="S2036" r:id="rId2035"/>
    <hyperlink xmlns:r="http://schemas.openxmlformats.org/officeDocument/2006/relationships" ref="S2037" r:id="rId2036"/>
    <hyperlink xmlns:r="http://schemas.openxmlformats.org/officeDocument/2006/relationships" ref="S2038" r:id="rId2037"/>
    <hyperlink xmlns:r="http://schemas.openxmlformats.org/officeDocument/2006/relationships" ref="S2039" r:id="rId2038"/>
    <hyperlink xmlns:r="http://schemas.openxmlformats.org/officeDocument/2006/relationships" ref="S2040" r:id="rId2039"/>
    <hyperlink xmlns:r="http://schemas.openxmlformats.org/officeDocument/2006/relationships" ref="S2041" r:id="rId2040"/>
    <hyperlink xmlns:r="http://schemas.openxmlformats.org/officeDocument/2006/relationships" ref="S2042" r:id="rId2041"/>
    <hyperlink xmlns:r="http://schemas.openxmlformats.org/officeDocument/2006/relationships" ref="S2043" r:id="rId2042"/>
    <hyperlink xmlns:r="http://schemas.openxmlformats.org/officeDocument/2006/relationships" ref="S2044" r:id="rId2043"/>
    <hyperlink xmlns:r="http://schemas.openxmlformats.org/officeDocument/2006/relationships" ref="S2045" r:id="rId2044"/>
    <hyperlink xmlns:r="http://schemas.openxmlformats.org/officeDocument/2006/relationships" ref="S2046" r:id="rId2045"/>
    <hyperlink xmlns:r="http://schemas.openxmlformats.org/officeDocument/2006/relationships" ref="S2047" r:id="rId2046"/>
    <hyperlink xmlns:r="http://schemas.openxmlformats.org/officeDocument/2006/relationships" ref="S2048" r:id="rId2047"/>
    <hyperlink xmlns:r="http://schemas.openxmlformats.org/officeDocument/2006/relationships" ref="S2049" r:id="rId2048"/>
    <hyperlink xmlns:r="http://schemas.openxmlformats.org/officeDocument/2006/relationships" ref="S2050" r:id="rId2049"/>
    <hyperlink xmlns:r="http://schemas.openxmlformats.org/officeDocument/2006/relationships" ref="S2051" r:id="rId2050"/>
    <hyperlink xmlns:r="http://schemas.openxmlformats.org/officeDocument/2006/relationships" ref="S2052" r:id="rId2051"/>
    <hyperlink xmlns:r="http://schemas.openxmlformats.org/officeDocument/2006/relationships" ref="S2053" r:id="rId2052"/>
    <hyperlink xmlns:r="http://schemas.openxmlformats.org/officeDocument/2006/relationships" ref="S2054" r:id="rId2053"/>
    <hyperlink xmlns:r="http://schemas.openxmlformats.org/officeDocument/2006/relationships" ref="S2055" r:id="rId2054"/>
    <hyperlink xmlns:r="http://schemas.openxmlformats.org/officeDocument/2006/relationships" ref="S2056" r:id="rId2055"/>
    <hyperlink xmlns:r="http://schemas.openxmlformats.org/officeDocument/2006/relationships" ref="S2057" r:id="rId2056"/>
    <hyperlink xmlns:r="http://schemas.openxmlformats.org/officeDocument/2006/relationships" ref="S2058" r:id="rId2057"/>
    <hyperlink xmlns:r="http://schemas.openxmlformats.org/officeDocument/2006/relationships" ref="S2059" r:id="rId2058"/>
    <hyperlink xmlns:r="http://schemas.openxmlformats.org/officeDocument/2006/relationships" ref="S2060" r:id="rId2059"/>
    <hyperlink xmlns:r="http://schemas.openxmlformats.org/officeDocument/2006/relationships" ref="S2061" r:id="rId2060"/>
    <hyperlink xmlns:r="http://schemas.openxmlformats.org/officeDocument/2006/relationships" ref="S2062" r:id="rId2061"/>
    <hyperlink xmlns:r="http://schemas.openxmlformats.org/officeDocument/2006/relationships" ref="S2063" r:id="rId2062"/>
    <hyperlink xmlns:r="http://schemas.openxmlformats.org/officeDocument/2006/relationships" ref="S2064" r:id="rId2063"/>
    <hyperlink xmlns:r="http://schemas.openxmlformats.org/officeDocument/2006/relationships" ref="S2065" r:id="rId2064"/>
    <hyperlink xmlns:r="http://schemas.openxmlformats.org/officeDocument/2006/relationships" ref="S2066" r:id="rId2065"/>
    <hyperlink xmlns:r="http://schemas.openxmlformats.org/officeDocument/2006/relationships" ref="S2067" r:id="rId2066"/>
    <hyperlink xmlns:r="http://schemas.openxmlformats.org/officeDocument/2006/relationships" ref="S2068" r:id="rId2067"/>
    <hyperlink xmlns:r="http://schemas.openxmlformats.org/officeDocument/2006/relationships" ref="S2069" r:id="rId2068"/>
    <hyperlink xmlns:r="http://schemas.openxmlformats.org/officeDocument/2006/relationships" ref="S2070" r:id="rId2069"/>
    <hyperlink xmlns:r="http://schemas.openxmlformats.org/officeDocument/2006/relationships" ref="S2071" r:id="rId2070"/>
    <hyperlink xmlns:r="http://schemas.openxmlformats.org/officeDocument/2006/relationships" ref="S2072" r:id="rId2071"/>
    <hyperlink xmlns:r="http://schemas.openxmlformats.org/officeDocument/2006/relationships" ref="S2073" r:id="rId2072"/>
    <hyperlink xmlns:r="http://schemas.openxmlformats.org/officeDocument/2006/relationships" ref="S2074" r:id="rId2073"/>
    <hyperlink xmlns:r="http://schemas.openxmlformats.org/officeDocument/2006/relationships" ref="S2075" r:id="rId2074"/>
    <hyperlink xmlns:r="http://schemas.openxmlformats.org/officeDocument/2006/relationships" ref="S2076" r:id="rId2075"/>
    <hyperlink xmlns:r="http://schemas.openxmlformats.org/officeDocument/2006/relationships" ref="S2077" r:id="rId2076"/>
    <hyperlink xmlns:r="http://schemas.openxmlformats.org/officeDocument/2006/relationships" ref="S2078" r:id="rId2077"/>
    <hyperlink xmlns:r="http://schemas.openxmlformats.org/officeDocument/2006/relationships" ref="S2079" r:id="rId2078"/>
    <hyperlink xmlns:r="http://schemas.openxmlformats.org/officeDocument/2006/relationships" ref="S2080" r:id="rId2079"/>
    <hyperlink xmlns:r="http://schemas.openxmlformats.org/officeDocument/2006/relationships" ref="S2081" r:id="rId2080"/>
    <hyperlink xmlns:r="http://schemas.openxmlformats.org/officeDocument/2006/relationships" ref="S2082" r:id="rId2081"/>
    <hyperlink xmlns:r="http://schemas.openxmlformats.org/officeDocument/2006/relationships" ref="S2083" r:id="rId2082"/>
    <hyperlink xmlns:r="http://schemas.openxmlformats.org/officeDocument/2006/relationships" ref="S2084" r:id="rId2083"/>
    <hyperlink xmlns:r="http://schemas.openxmlformats.org/officeDocument/2006/relationships" ref="S2085" r:id="rId2084"/>
    <hyperlink xmlns:r="http://schemas.openxmlformats.org/officeDocument/2006/relationships" ref="S2086" r:id="rId2085"/>
    <hyperlink xmlns:r="http://schemas.openxmlformats.org/officeDocument/2006/relationships" ref="S2087" r:id="rId2086"/>
    <hyperlink xmlns:r="http://schemas.openxmlformats.org/officeDocument/2006/relationships" ref="S2088" r:id="rId2087"/>
    <hyperlink xmlns:r="http://schemas.openxmlformats.org/officeDocument/2006/relationships" ref="S2089" r:id="rId2088"/>
    <hyperlink xmlns:r="http://schemas.openxmlformats.org/officeDocument/2006/relationships" ref="S2090" r:id="rId2089"/>
    <hyperlink xmlns:r="http://schemas.openxmlformats.org/officeDocument/2006/relationships" ref="S2091" r:id="rId2090"/>
    <hyperlink xmlns:r="http://schemas.openxmlformats.org/officeDocument/2006/relationships" ref="S2092" r:id="rId2091"/>
    <hyperlink xmlns:r="http://schemas.openxmlformats.org/officeDocument/2006/relationships" ref="S2093" r:id="rId2092"/>
    <hyperlink xmlns:r="http://schemas.openxmlformats.org/officeDocument/2006/relationships" ref="S2094" r:id="rId2093"/>
    <hyperlink xmlns:r="http://schemas.openxmlformats.org/officeDocument/2006/relationships" ref="S2095" r:id="rId2094"/>
    <hyperlink xmlns:r="http://schemas.openxmlformats.org/officeDocument/2006/relationships" ref="S2096" r:id="rId2095"/>
    <hyperlink xmlns:r="http://schemas.openxmlformats.org/officeDocument/2006/relationships" ref="S2097" r:id="rId2096"/>
    <hyperlink xmlns:r="http://schemas.openxmlformats.org/officeDocument/2006/relationships" ref="S2098" r:id="rId2097"/>
    <hyperlink xmlns:r="http://schemas.openxmlformats.org/officeDocument/2006/relationships" ref="S2099" r:id="rId2098"/>
    <hyperlink xmlns:r="http://schemas.openxmlformats.org/officeDocument/2006/relationships" ref="S2100" r:id="rId2099"/>
    <hyperlink xmlns:r="http://schemas.openxmlformats.org/officeDocument/2006/relationships" ref="S2101" r:id="rId2100"/>
    <hyperlink xmlns:r="http://schemas.openxmlformats.org/officeDocument/2006/relationships" ref="S2102" r:id="rId2101"/>
    <hyperlink xmlns:r="http://schemas.openxmlformats.org/officeDocument/2006/relationships" ref="S2103" r:id="rId2102"/>
    <hyperlink xmlns:r="http://schemas.openxmlformats.org/officeDocument/2006/relationships" ref="S2104" r:id="rId2103"/>
    <hyperlink xmlns:r="http://schemas.openxmlformats.org/officeDocument/2006/relationships" ref="S2105" r:id="rId2104"/>
    <hyperlink xmlns:r="http://schemas.openxmlformats.org/officeDocument/2006/relationships" ref="S2106" r:id="rId2105"/>
    <hyperlink xmlns:r="http://schemas.openxmlformats.org/officeDocument/2006/relationships" ref="S2107" r:id="rId2106"/>
    <hyperlink xmlns:r="http://schemas.openxmlformats.org/officeDocument/2006/relationships" ref="S2108" r:id="rId2107"/>
    <hyperlink xmlns:r="http://schemas.openxmlformats.org/officeDocument/2006/relationships" ref="S2109" r:id="rId2108"/>
    <hyperlink xmlns:r="http://schemas.openxmlformats.org/officeDocument/2006/relationships" ref="S2110" r:id="rId2109"/>
    <hyperlink xmlns:r="http://schemas.openxmlformats.org/officeDocument/2006/relationships" ref="S2111" r:id="rId2110"/>
    <hyperlink xmlns:r="http://schemas.openxmlformats.org/officeDocument/2006/relationships" ref="S2112" r:id="rId2111"/>
    <hyperlink xmlns:r="http://schemas.openxmlformats.org/officeDocument/2006/relationships" ref="S2113" r:id="rId2112"/>
    <hyperlink xmlns:r="http://schemas.openxmlformats.org/officeDocument/2006/relationships" ref="S2114" r:id="rId2113"/>
    <hyperlink xmlns:r="http://schemas.openxmlformats.org/officeDocument/2006/relationships" ref="S2115" r:id="rId2114"/>
    <hyperlink xmlns:r="http://schemas.openxmlformats.org/officeDocument/2006/relationships" ref="S2116" r:id="rId2115"/>
    <hyperlink xmlns:r="http://schemas.openxmlformats.org/officeDocument/2006/relationships" ref="S2117" r:id="rId2116"/>
    <hyperlink xmlns:r="http://schemas.openxmlformats.org/officeDocument/2006/relationships" ref="S2118" r:id="rId2117"/>
    <hyperlink xmlns:r="http://schemas.openxmlformats.org/officeDocument/2006/relationships" ref="S2119" r:id="rId2118"/>
    <hyperlink xmlns:r="http://schemas.openxmlformats.org/officeDocument/2006/relationships" ref="S2120" r:id="rId2119"/>
    <hyperlink xmlns:r="http://schemas.openxmlformats.org/officeDocument/2006/relationships" ref="S2121" r:id="rId2120"/>
    <hyperlink xmlns:r="http://schemas.openxmlformats.org/officeDocument/2006/relationships" ref="S2122" r:id="rId2121"/>
    <hyperlink xmlns:r="http://schemas.openxmlformats.org/officeDocument/2006/relationships" ref="S2123" r:id="rId2122"/>
    <hyperlink xmlns:r="http://schemas.openxmlformats.org/officeDocument/2006/relationships" ref="S2124" r:id="rId2123"/>
    <hyperlink xmlns:r="http://schemas.openxmlformats.org/officeDocument/2006/relationships" ref="S2125" r:id="rId2124"/>
    <hyperlink xmlns:r="http://schemas.openxmlformats.org/officeDocument/2006/relationships" ref="S2126" r:id="rId2125"/>
    <hyperlink xmlns:r="http://schemas.openxmlformats.org/officeDocument/2006/relationships" ref="S2127" r:id="rId2126"/>
    <hyperlink xmlns:r="http://schemas.openxmlformats.org/officeDocument/2006/relationships" ref="S2128" r:id="rId2127"/>
    <hyperlink xmlns:r="http://schemas.openxmlformats.org/officeDocument/2006/relationships" ref="S2129" r:id="rId2128"/>
    <hyperlink xmlns:r="http://schemas.openxmlformats.org/officeDocument/2006/relationships" ref="S2130" r:id="rId2129"/>
    <hyperlink xmlns:r="http://schemas.openxmlformats.org/officeDocument/2006/relationships" ref="S2131" r:id="rId2130"/>
    <hyperlink xmlns:r="http://schemas.openxmlformats.org/officeDocument/2006/relationships" ref="S2132" r:id="rId2131"/>
    <hyperlink xmlns:r="http://schemas.openxmlformats.org/officeDocument/2006/relationships" ref="S2133" r:id="rId2132"/>
    <hyperlink xmlns:r="http://schemas.openxmlformats.org/officeDocument/2006/relationships" ref="S2134" r:id="rId2133"/>
    <hyperlink xmlns:r="http://schemas.openxmlformats.org/officeDocument/2006/relationships" ref="S2135" r:id="rId2134"/>
    <hyperlink xmlns:r="http://schemas.openxmlformats.org/officeDocument/2006/relationships" ref="S2136" r:id="rId2135"/>
    <hyperlink xmlns:r="http://schemas.openxmlformats.org/officeDocument/2006/relationships" ref="S2137" r:id="rId2136"/>
    <hyperlink xmlns:r="http://schemas.openxmlformats.org/officeDocument/2006/relationships" ref="S2138" r:id="rId2137"/>
    <hyperlink xmlns:r="http://schemas.openxmlformats.org/officeDocument/2006/relationships" ref="S2139" r:id="rId2138"/>
    <hyperlink xmlns:r="http://schemas.openxmlformats.org/officeDocument/2006/relationships" ref="S2140" r:id="rId2139"/>
    <hyperlink xmlns:r="http://schemas.openxmlformats.org/officeDocument/2006/relationships" ref="S2141" r:id="rId2140"/>
    <hyperlink xmlns:r="http://schemas.openxmlformats.org/officeDocument/2006/relationships" ref="S2142" r:id="rId2141"/>
    <hyperlink xmlns:r="http://schemas.openxmlformats.org/officeDocument/2006/relationships" ref="S2143" r:id="rId2142"/>
    <hyperlink xmlns:r="http://schemas.openxmlformats.org/officeDocument/2006/relationships" ref="S2144" r:id="rId2143"/>
    <hyperlink xmlns:r="http://schemas.openxmlformats.org/officeDocument/2006/relationships" ref="S2145" r:id="rId2144"/>
    <hyperlink xmlns:r="http://schemas.openxmlformats.org/officeDocument/2006/relationships" ref="S2146" r:id="rId2145"/>
    <hyperlink xmlns:r="http://schemas.openxmlformats.org/officeDocument/2006/relationships" ref="S2147" r:id="rId2146"/>
    <hyperlink xmlns:r="http://schemas.openxmlformats.org/officeDocument/2006/relationships" ref="S2148" r:id="rId2147"/>
    <hyperlink xmlns:r="http://schemas.openxmlformats.org/officeDocument/2006/relationships" ref="S2149" r:id="rId2148"/>
    <hyperlink xmlns:r="http://schemas.openxmlformats.org/officeDocument/2006/relationships" ref="S2150" r:id="rId2149"/>
    <hyperlink xmlns:r="http://schemas.openxmlformats.org/officeDocument/2006/relationships" ref="S2151" r:id="rId2150"/>
    <hyperlink xmlns:r="http://schemas.openxmlformats.org/officeDocument/2006/relationships" ref="S2152" r:id="rId2151"/>
    <hyperlink xmlns:r="http://schemas.openxmlformats.org/officeDocument/2006/relationships" ref="S2153" r:id="rId2152"/>
    <hyperlink xmlns:r="http://schemas.openxmlformats.org/officeDocument/2006/relationships" ref="S2154" r:id="rId2153"/>
    <hyperlink xmlns:r="http://schemas.openxmlformats.org/officeDocument/2006/relationships" ref="S2155" r:id="rId2154"/>
    <hyperlink xmlns:r="http://schemas.openxmlformats.org/officeDocument/2006/relationships" ref="S2156" r:id="rId2155"/>
    <hyperlink xmlns:r="http://schemas.openxmlformats.org/officeDocument/2006/relationships" ref="S2157" r:id="rId2156"/>
    <hyperlink xmlns:r="http://schemas.openxmlformats.org/officeDocument/2006/relationships" ref="S2158" r:id="rId2157"/>
    <hyperlink xmlns:r="http://schemas.openxmlformats.org/officeDocument/2006/relationships" ref="S2159" r:id="rId2158"/>
    <hyperlink xmlns:r="http://schemas.openxmlformats.org/officeDocument/2006/relationships" ref="S2160" r:id="rId2159"/>
    <hyperlink xmlns:r="http://schemas.openxmlformats.org/officeDocument/2006/relationships" ref="S2161" r:id="rId2160"/>
    <hyperlink xmlns:r="http://schemas.openxmlformats.org/officeDocument/2006/relationships" ref="S2162" r:id="rId2161"/>
    <hyperlink xmlns:r="http://schemas.openxmlformats.org/officeDocument/2006/relationships" ref="S2163" r:id="rId2162"/>
    <hyperlink xmlns:r="http://schemas.openxmlformats.org/officeDocument/2006/relationships" ref="S2164" r:id="rId2163"/>
    <hyperlink xmlns:r="http://schemas.openxmlformats.org/officeDocument/2006/relationships" ref="S2165" r:id="rId2164"/>
    <hyperlink xmlns:r="http://schemas.openxmlformats.org/officeDocument/2006/relationships" ref="S2166" r:id="rId2165"/>
    <hyperlink xmlns:r="http://schemas.openxmlformats.org/officeDocument/2006/relationships" ref="S2167" r:id="rId2166"/>
    <hyperlink xmlns:r="http://schemas.openxmlformats.org/officeDocument/2006/relationships" ref="S2168" r:id="rId2167"/>
    <hyperlink xmlns:r="http://schemas.openxmlformats.org/officeDocument/2006/relationships" ref="S2169" r:id="rId2168"/>
    <hyperlink xmlns:r="http://schemas.openxmlformats.org/officeDocument/2006/relationships" ref="S2170" r:id="rId2169"/>
    <hyperlink xmlns:r="http://schemas.openxmlformats.org/officeDocument/2006/relationships" ref="S2171" r:id="rId2170"/>
    <hyperlink xmlns:r="http://schemas.openxmlformats.org/officeDocument/2006/relationships" ref="S2172" r:id="rId2171"/>
    <hyperlink xmlns:r="http://schemas.openxmlformats.org/officeDocument/2006/relationships" ref="S2173" r:id="rId2172"/>
    <hyperlink xmlns:r="http://schemas.openxmlformats.org/officeDocument/2006/relationships" ref="S2174" r:id="rId2173"/>
    <hyperlink xmlns:r="http://schemas.openxmlformats.org/officeDocument/2006/relationships" ref="S2175" r:id="rId2174"/>
    <hyperlink xmlns:r="http://schemas.openxmlformats.org/officeDocument/2006/relationships" ref="S2176" r:id="rId2175"/>
    <hyperlink xmlns:r="http://schemas.openxmlformats.org/officeDocument/2006/relationships" ref="S2177" r:id="rId2176"/>
    <hyperlink xmlns:r="http://schemas.openxmlformats.org/officeDocument/2006/relationships" ref="S2178" r:id="rId2177"/>
    <hyperlink xmlns:r="http://schemas.openxmlformats.org/officeDocument/2006/relationships" ref="S2179" r:id="rId2178"/>
    <hyperlink xmlns:r="http://schemas.openxmlformats.org/officeDocument/2006/relationships" ref="S2180" r:id="rId2179"/>
    <hyperlink xmlns:r="http://schemas.openxmlformats.org/officeDocument/2006/relationships" ref="S2181" r:id="rId2180"/>
    <hyperlink xmlns:r="http://schemas.openxmlformats.org/officeDocument/2006/relationships" ref="S2182" r:id="rId2181"/>
    <hyperlink xmlns:r="http://schemas.openxmlformats.org/officeDocument/2006/relationships" ref="S2183" r:id="rId2182"/>
    <hyperlink xmlns:r="http://schemas.openxmlformats.org/officeDocument/2006/relationships" ref="S2184" r:id="rId2183"/>
    <hyperlink xmlns:r="http://schemas.openxmlformats.org/officeDocument/2006/relationships" ref="S2185" r:id="rId2184"/>
    <hyperlink xmlns:r="http://schemas.openxmlformats.org/officeDocument/2006/relationships" ref="S2186" r:id="rId2185"/>
    <hyperlink xmlns:r="http://schemas.openxmlformats.org/officeDocument/2006/relationships" ref="S2187" r:id="rId2186"/>
    <hyperlink xmlns:r="http://schemas.openxmlformats.org/officeDocument/2006/relationships" ref="S2188" r:id="rId2187"/>
    <hyperlink xmlns:r="http://schemas.openxmlformats.org/officeDocument/2006/relationships" ref="S2189" r:id="rId2188"/>
    <hyperlink xmlns:r="http://schemas.openxmlformats.org/officeDocument/2006/relationships" ref="S2190" r:id="rId2189"/>
    <hyperlink xmlns:r="http://schemas.openxmlformats.org/officeDocument/2006/relationships" ref="S2191" r:id="rId2190"/>
    <hyperlink xmlns:r="http://schemas.openxmlformats.org/officeDocument/2006/relationships" ref="S2192" r:id="rId2191"/>
    <hyperlink xmlns:r="http://schemas.openxmlformats.org/officeDocument/2006/relationships" ref="S2193" r:id="rId2192"/>
    <hyperlink xmlns:r="http://schemas.openxmlformats.org/officeDocument/2006/relationships" ref="S2194" r:id="rId2193"/>
    <hyperlink xmlns:r="http://schemas.openxmlformats.org/officeDocument/2006/relationships" ref="S2195" r:id="rId2194"/>
    <hyperlink xmlns:r="http://schemas.openxmlformats.org/officeDocument/2006/relationships" ref="S2196" r:id="rId2195"/>
    <hyperlink xmlns:r="http://schemas.openxmlformats.org/officeDocument/2006/relationships" ref="S2197" r:id="rId2196"/>
    <hyperlink xmlns:r="http://schemas.openxmlformats.org/officeDocument/2006/relationships" ref="S2198" r:id="rId2197"/>
    <hyperlink xmlns:r="http://schemas.openxmlformats.org/officeDocument/2006/relationships" ref="S2199" r:id="rId2198"/>
    <hyperlink xmlns:r="http://schemas.openxmlformats.org/officeDocument/2006/relationships" ref="S2200" r:id="rId2199"/>
    <hyperlink xmlns:r="http://schemas.openxmlformats.org/officeDocument/2006/relationships" ref="S2201" r:id="rId2200"/>
    <hyperlink xmlns:r="http://schemas.openxmlformats.org/officeDocument/2006/relationships" ref="S2202" r:id="rId2201"/>
    <hyperlink xmlns:r="http://schemas.openxmlformats.org/officeDocument/2006/relationships" ref="S2203" r:id="rId2202"/>
    <hyperlink xmlns:r="http://schemas.openxmlformats.org/officeDocument/2006/relationships" ref="S2204" r:id="rId2203"/>
    <hyperlink xmlns:r="http://schemas.openxmlformats.org/officeDocument/2006/relationships" ref="S2205" r:id="rId2204"/>
    <hyperlink xmlns:r="http://schemas.openxmlformats.org/officeDocument/2006/relationships" ref="S2206" r:id="rId2205"/>
    <hyperlink xmlns:r="http://schemas.openxmlformats.org/officeDocument/2006/relationships" ref="S2207" r:id="rId2206"/>
    <hyperlink xmlns:r="http://schemas.openxmlformats.org/officeDocument/2006/relationships" ref="S2208" r:id="rId2207"/>
    <hyperlink xmlns:r="http://schemas.openxmlformats.org/officeDocument/2006/relationships" ref="S2209" r:id="rId2208"/>
    <hyperlink xmlns:r="http://schemas.openxmlformats.org/officeDocument/2006/relationships" ref="S2210" r:id="rId2209"/>
    <hyperlink xmlns:r="http://schemas.openxmlformats.org/officeDocument/2006/relationships" ref="S2211" r:id="rId2210"/>
    <hyperlink xmlns:r="http://schemas.openxmlformats.org/officeDocument/2006/relationships" ref="S2212" r:id="rId2211"/>
    <hyperlink xmlns:r="http://schemas.openxmlformats.org/officeDocument/2006/relationships" ref="S2213" r:id="rId2212"/>
    <hyperlink xmlns:r="http://schemas.openxmlformats.org/officeDocument/2006/relationships" ref="S2214" r:id="rId2213"/>
    <hyperlink xmlns:r="http://schemas.openxmlformats.org/officeDocument/2006/relationships" ref="S2215" r:id="rId2214"/>
    <hyperlink xmlns:r="http://schemas.openxmlformats.org/officeDocument/2006/relationships" ref="S2216" r:id="rId2215"/>
    <hyperlink xmlns:r="http://schemas.openxmlformats.org/officeDocument/2006/relationships" ref="S2217" r:id="rId2216"/>
    <hyperlink xmlns:r="http://schemas.openxmlformats.org/officeDocument/2006/relationships" ref="S2218" r:id="rId2217"/>
    <hyperlink xmlns:r="http://schemas.openxmlformats.org/officeDocument/2006/relationships" ref="S2219" r:id="rId2218"/>
    <hyperlink xmlns:r="http://schemas.openxmlformats.org/officeDocument/2006/relationships" ref="S2220" r:id="rId2219"/>
    <hyperlink xmlns:r="http://schemas.openxmlformats.org/officeDocument/2006/relationships" ref="S2221" r:id="rId2220"/>
    <hyperlink xmlns:r="http://schemas.openxmlformats.org/officeDocument/2006/relationships" ref="S2222" r:id="rId2221"/>
    <hyperlink xmlns:r="http://schemas.openxmlformats.org/officeDocument/2006/relationships" ref="S2223" r:id="rId2222"/>
    <hyperlink xmlns:r="http://schemas.openxmlformats.org/officeDocument/2006/relationships" ref="S2224" r:id="rId2223"/>
    <hyperlink xmlns:r="http://schemas.openxmlformats.org/officeDocument/2006/relationships" ref="S2225" r:id="rId2224"/>
    <hyperlink xmlns:r="http://schemas.openxmlformats.org/officeDocument/2006/relationships" ref="S2226" r:id="rId2225"/>
    <hyperlink xmlns:r="http://schemas.openxmlformats.org/officeDocument/2006/relationships" ref="S2227" r:id="rId2226"/>
    <hyperlink xmlns:r="http://schemas.openxmlformats.org/officeDocument/2006/relationships" ref="S2228" r:id="rId2227"/>
    <hyperlink xmlns:r="http://schemas.openxmlformats.org/officeDocument/2006/relationships" ref="S2229" r:id="rId2228"/>
    <hyperlink xmlns:r="http://schemas.openxmlformats.org/officeDocument/2006/relationships" ref="S2230" r:id="rId2229"/>
    <hyperlink xmlns:r="http://schemas.openxmlformats.org/officeDocument/2006/relationships" ref="S2231" r:id="rId2230"/>
    <hyperlink xmlns:r="http://schemas.openxmlformats.org/officeDocument/2006/relationships" ref="S2232" r:id="rId2231"/>
    <hyperlink xmlns:r="http://schemas.openxmlformats.org/officeDocument/2006/relationships" ref="S2233" r:id="rId2232"/>
    <hyperlink xmlns:r="http://schemas.openxmlformats.org/officeDocument/2006/relationships" ref="S2234" r:id="rId2233"/>
    <hyperlink xmlns:r="http://schemas.openxmlformats.org/officeDocument/2006/relationships" ref="S2235" r:id="rId2234"/>
    <hyperlink xmlns:r="http://schemas.openxmlformats.org/officeDocument/2006/relationships" ref="S2236" r:id="rId2235"/>
    <hyperlink xmlns:r="http://schemas.openxmlformats.org/officeDocument/2006/relationships" ref="S2237" r:id="rId2236"/>
    <hyperlink xmlns:r="http://schemas.openxmlformats.org/officeDocument/2006/relationships" ref="S2238" r:id="rId2237"/>
    <hyperlink xmlns:r="http://schemas.openxmlformats.org/officeDocument/2006/relationships" ref="S2239" r:id="rId2238"/>
    <hyperlink xmlns:r="http://schemas.openxmlformats.org/officeDocument/2006/relationships" ref="S2240" r:id="rId2239"/>
    <hyperlink xmlns:r="http://schemas.openxmlformats.org/officeDocument/2006/relationships" ref="S2241" r:id="rId2240"/>
    <hyperlink xmlns:r="http://schemas.openxmlformats.org/officeDocument/2006/relationships" ref="S2242" r:id="rId2241"/>
    <hyperlink xmlns:r="http://schemas.openxmlformats.org/officeDocument/2006/relationships" ref="S2243" r:id="rId2242"/>
    <hyperlink xmlns:r="http://schemas.openxmlformats.org/officeDocument/2006/relationships" ref="S2244" r:id="rId2243"/>
    <hyperlink xmlns:r="http://schemas.openxmlformats.org/officeDocument/2006/relationships" ref="S2245" r:id="rId2244"/>
    <hyperlink xmlns:r="http://schemas.openxmlformats.org/officeDocument/2006/relationships" ref="S2246" r:id="rId2245"/>
    <hyperlink xmlns:r="http://schemas.openxmlformats.org/officeDocument/2006/relationships" ref="S2247" r:id="rId2246"/>
    <hyperlink xmlns:r="http://schemas.openxmlformats.org/officeDocument/2006/relationships" ref="S2248" r:id="rId2247"/>
    <hyperlink xmlns:r="http://schemas.openxmlformats.org/officeDocument/2006/relationships" ref="S2249" r:id="rId2248"/>
    <hyperlink xmlns:r="http://schemas.openxmlformats.org/officeDocument/2006/relationships" ref="S2250" r:id="rId2249"/>
    <hyperlink xmlns:r="http://schemas.openxmlformats.org/officeDocument/2006/relationships" ref="S2251" r:id="rId2250"/>
    <hyperlink xmlns:r="http://schemas.openxmlformats.org/officeDocument/2006/relationships" ref="S2252" r:id="rId2251"/>
    <hyperlink xmlns:r="http://schemas.openxmlformats.org/officeDocument/2006/relationships" ref="S2253" r:id="rId2252"/>
    <hyperlink xmlns:r="http://schemas.openxmlformats.org/officeDocument/2006/relationships" ref="S2254" r:id="rId2253"/>
    <hyperlink xmlns:r="http://schemas.openxmlformats.org/officeDocument/2006/relationships" ref="S2255" r:id="rId2254"/>
    <hyperlink xmlns:r="http://schemas.openxmlformats.org/officeDocument/2006/relationships" ref="S2256" r:id="rId2255"/>
    <hyperlink xmlns:r="http://schemas.openxmlformats.org/officeDocument/2006/relationships" ref="S2257" r:id="rId2256"/>
    <hyperlink xmlns:r="http://schemas.openxmlformats.org/officeDocument/2006/relationships" ref="S2258" r:id="rId2257"/>
    <hyperlink xmlns:r="http://schemas.openxmlformats.org/officeDocument/2006/relationships" ref="S2259" r:id="rId2258"/>
    <hyperlink xmlns:r="http://schemas.openxmlformats.org/officeDocument/2006/relationships" ref="S2260" r:id="rId2259"/>
    <hyperlink xmlns:r="http://schemas.openxmlformats.org/officeDocument/2006/relationships" ref="S2261" r:id="rId2260"/>
    <hyperlink xmlns:r="http://schemas.openxmlformats.org/officeDocument/2006/relationships" ref="S2262" r:id="rId2261"/>
    <hyperlink xmlns:r="http://schemas.openxmlformats.org/officeDocument/2006/relationships" ref="S2263" r:id="rId2262"/>
    <hyperlink xmlns:r="http://schemas.openxmlformats.org/officeDocument/2006/relationships" ref="S2264" r:id="rId2263"/>
    <hyperlink xmlns:r="http://schemas.openxmlformats.org/officeDocument/2006/relationships" ref="S2265" r:id="rId2264"/>
    <hyperlink xmlns:r="http://schemas.openxmlformats.org/officeDocument/2006/relationships" ref="S2266" r:id="rId2265"/>
    <hyperlink xmlns:r="http://schemas.openxmlformats.org/officeDocument/2006/relationships" ref="S2267" r:id="rId2266"/>
    <hyperlink xmlns:r="http://schemas.openxmlformats.org/officeDocument/2006/relationships" ref="S2268" r:id="rId2267"/>
    <hyperlink xmlns:r="http://schemas.openxmlformats.org/officeDocument/2006/relationships" ref="S2269" r:id="rId2268"/>
    <hyperlink xmlns:r="http://schemas.openxmlformats.org/officeDocument/2006/relationships" ref="S2270" r:id="rId2269"/>
    <hyperlink xmlns:r="http://schemas.openxmlformats.org/officeDocument/2006/relationships" ref="S2271" r:id="rId2270"/>
    <hyperlink xmlns:r="http://schemas.openxmlformats.org/officeDocument/2006/relationships" ref="S2272" r:id="rId2271"/>
    <hyperlink xmlns:r="http://schemas.openxmlformats.org/officeDocument/2006/relationships" ref="S2273" r:id="rId2272"/>
    <hyperlink xmlns:r="http://schemas.openxmlformats.org/officeDocument/2006/relationships" ref="S2274" r:id="rId2273"/>
    <hyperlink xmlns:r="http://schemas.openxmlformats.org/officeDocument/2006/relationships" ref="S2275" r:id="rId2274"/>
    <hyperlink xmlns:r="http://schemas.openxmlformats.org/officeDocument/2006/relationships" ref="S2276" r:id="rId2275"/>
    <hyperlink xmlns:r="http://schemas.openxmlformats.org/officeDocument/2006/relationships" ref="S2277" r:id="rId2276"/>
    <hyperlink xmlns:r="http://schemas.openxmlformats.org/officeDocument/2006/relationships" ref="S2278" r:id="rId2277"/>
    <hyperlink xmlns:r="http://schemas.openxmlformats.org/officeDocument/2006/relationships" ref="S2279" r:id="rId2278"/>
    <hyperlink xmlns:r="http://schemas.openxmlformats.org/officeDocument/2006/relationships" ref="S2280" r:id="rId2279"/>
    <hyperlink xmlns:r="http://schemas.openxmlformats.org/officeDocument/2006/relationships" ref="S2281" r:id="rId2280"/>
    <hyperlink xmlns:r="http://schemas.openxmlformats.org/officeDocument/2006/relationships" ref="S2282" r:id="rId2281"/>
    <hyperlink xmlns:r="http://schemas.openxmlformats.org/officeDocument/2006/relationships" ref="S2283" r:id="rId2282"/>
    <hyperlink xmlns:r="http://schemas.openxmlformats.org/officeDocument/2006/relationships" ref="S2284" r:id="rId2283"/>
    <hyperlink xmlns:r="http://schemas.openxmlformats.org/officeDocument/2006/relationships" ref="S2285" r:id="rId2284"/>
    <hyperlink xmlns:r="http://schemas.openxmlformats.org/officeDocument/2006/relationships" ref="S2286" r:id="rId2285"/>
    <hyperlink xmlns:r="http://schemas.openxmlformats.org/officeDocument/2006/relationships" ref="S2287" r:id="rId2286"/>
    <hyperlink xmlns:r="http://schemas.openxmlformats.org/officeDocument/2006/relationships" ref="S2288" r:id="rId2287"/>
    <hyperlink xmlns:r="http://schemas.openxmlformats.org/officeDocument/2006/relationships" ref="S2289" r:id="rId2288"/>
    <hyperlink xmlns:r="http://schemas.openxmlformats.org/officeDocument/2006/relationships" ref="S2290" r:id="rId2289"/>
    <hyperlink xmlns:r="http://schemas.openxmlformats.org/officeDocument/2006/relationships" ref="S2291" r:id="rId2290"/>
    <hyperlink xmlns:r="http://schemas.openxmlformats.org/officeDocument/2006/relationships" ref="S2292" r:id="rId2291"/>
    <hyperlink xmlns:r="http://schemas.openxmlformats.org/officeDocument/2006/relationships" ref="S2293" r:id="rId2292"/>
    <hyperlink xmlns:r="http://schemas.openxmlformats.org/officeDocument/2006/relationships" ref="S2294" r:id="rId2293"/>
    <hyperlink xmlns:r="http://schemas.openxmlformats.org/officeDocument/2006/relationships" ref="S2295" r:id="rId2294"/>
    <hyperlink xmlns:r="http://schemas.openxmlformats.org/officeDocument/2006/relationships" ref="S2296" r:id="rId2295"/>
    <hyperlink xmlns:r="http://schemas.openxmlformats.org/officeDocument/2006/relationships" ref="S2297" r:id="rId2296"/>
    <hyperlink xmlns:r="http://schemas.openxmlformats.org/officeDocument/2006/relationships" ref="S2298" r:id="rId2297"/>
    <hyperlink xmlns:r="http://schemas.openxmlformats.org/officeDocument/2006/relationships" ref="S2299" r:id="rId2298"/>
    <hyperlink xmlns:r="http://schemas.openxmlformats.org/officeDocument/2006/relationships" ref="S2300" r:id="rId2299"/>
    <hyperlink xmlns:r="http://schemas.openxmlformats.org/officeDocument/2006/relationships" ref="S2301" r:id="rId2300"/>
    <hyperlink xmlns:r="http://schemas.openxmlformats.org/officeDocument/2006/relationships" ref="S2302" r:id="rId2301"/>
    <hyperlink xmlns:r="http://schemas.openxmlformats.org/officeDocument/2006/relationships" ref="S2303" r:id="rId2302"/>
    <hyperlink xmlns:r="http://schemas.openxmlformats.org/officeDocument/2006/relationships" ref="S2304" r:id="rId2303"/>
    <hyperlink xmlns:r="http://schemas.openxmlformats.org/officeDocument/2006/relationships" ref="S2305" r:id="rId2304"/>
    <hyperlink xmlns:r="http://schemas.openxmlformats.org/officeDocument/2006/relationships" ref="S2306" r:id="rId2305"/>
    <hyperlink xmlns:r="http://schemas.openxmlformats.org/officeDocument/2006/relationships" ref="S2307" r:id="rId2306"/>
    <hyperlink xmlns:r="http://schemas.openxmlformats.org/officeDocument/2006/relationships" ref="S2308" r:id="rId2307"/>
    <hyperlink xmlns:r="http://schemas.openxmlformats.org/officeDocument/2006/relationships" ref="S2309" r:id="rId2308"/>
    <hyperlink xmlns:r="http://schemas.openxmlformats.org/officeDocument/2006/relationships" ref="S2310" r:id="rId2309"/>
    <hyperlink xmlns:r="http://schemas.openxmlformats.org/officeDocument/2006/relationships" ref="S2311" r:id="rId2310"/>
    <hyperlink xmlns:r="http://schemas.openxmlformats.org/officeDocument/2006/relationships" ref="S2312" r:id="rId2311"/>
    <hyperlink xmlns:r="http://schemas.openxmlformats.org/officeDocument/2006/relationships" ref="S2313" r:id="rId2312"/>
    <hyperlink xmlns:r="http://schemas.openxmlformats.org/officeDocument/2006/relationships" ref="S2314" r:id="rId2313"/>
    <hyperlink xmlns:r="http://schemas.openxmlformats.org/officeDocument/2006/relationships" ref="S2315" r:id="rId2314"/>
    <hyperlink xmlns:r="http://schemas.openxmlformats.org/officeDocument/2006/relationships" ref="S2316" r:id="rId2315"/>
    <hyperlink xmlns:r="http://schemas.openxmlformats.org/officeDocument/2006/relationships" ref="S2317" r:id="rId2316"/>
    <hyperlink xmlns:r="http://schemas.openxmlformats.org/officeDocument/2006/relationships" ref="S2318" r:id="rId2317"/>
    <hyperlink xmlns:r="http://schemas.openxmlformats.org/officeDocument/2006/relationships" ref="S2319" r:id="rId2318"/>
    <hyperlink xmlns:r="http://schemas.openxmlformats.org/officeDocument/2006/relationships" ref="S2320" r:id="rId2319"/>
    <hyperlink xmlns:r="http://schemas.openxmlformats.org/officeDocument/2006/relationships" ref="S2321" r:id="rId2320"/>
    <hyperlink xmlns:r="http://schemas.openxmlformats.org/officeDocument/2006/relationships" ref="S2322" r:id="rId2321"/>
    <hyperlink xmlns:r="http://schemas.openxmlformats.org/officeDocument/2006/relationships" ref="S2323" r:id="rId2322"/>
    <hyperlink xmlns:r="http://schemas.openxmlformats.org/officeDocument/2006/relationships" ref="S2324" r:id="rId2323"/>
    <hyperlink xmlns:r="http://schemas.openxmlformats.org/officeDocument/2006/relationships" ref="S2325" r:id="rId2324"/>
    <hyperlink xmlns:r="http://schemas.openxmlformats.org/officeDocument/2006/relationships" ref="S2326" r:id="rId2325"/>
    <hyperlink xmlns:r="http://schemas.openxmlformats.org/officeDocument/2006/relationships" ref="S2327" r:id="rId2326"/>
    <hyperlink xmlns:r="http://schemas.openxmlformats.org/officeDocument/2006/relationships" ref="S2328" r:id="rId2327"/>
    <hyperlink xmlns:r="http://schemas.openxmlformats.org/officeDocument/2006/relationships" ref="S2329" r:id="rId2328"/>
    <hyperlink xmlns:r="http://schemas.openxmlformats.org/officeDocument/2006/relationships" ref="S2330" r:id="rId2329"/>
    <hyperlink xmlns:r="http://schemas.openxmlformats.org/officeDocument/2006/relationships" ref="S2331" r:id="rId2330"/>
    <hyperlink xmlns:r="http://schemas.openxmlformats.org/officeDocument/2006/relationships" ref="S2332" r:id="rId2331"/>
    <hyperlink xmlns:r="http://schemas.openxmlformats.org/officeDocument/2006/relationships" ref="S2333" r:id="rId2332"/>
    <hyperlink xmlns:r="http://schemas.openxmlformats.org/officeDocument/2006/relationships" ref="S2334" r:id="rId2333"/>
    <hyperlink xmlns:r="http://schemas.openxmlformats.org/officeDocument/2006/relationships" ref="S2335" r:id="rId2334"/>
    <hyperlink xmlns:r="http://schemas.openxmlformats.org/officeDocument/2006/relationships" ref="S2336" r:id="rId2335"/>
    <hyperlink xmlns:r="http://schemas.openxmlformats.org/officeDocument/2006/relationships" ref="S2337" r:id="rId2336"/>
    <hyperlink xmlns:r="http://schemas.openxmlformats.org/officeDocument/2006/relationships" ref="S2338" r:id="rId2337"/>
    <hyperlink xmlns:r="http://schemas.openxmlformats.org/officeDocument/2006/relationships" ref="S2339" r:id="rId2338"/>
    <hyperlink xmlns:r="http://schemas.openxmlformats.org/officeDocument/2006/relationships" ref="S2340" r:id="rId2339"/>
    <hyperlink xmlns:r="http://schemas.openxmlformats.org/officeDocument/2006/relationships" ref="S2341" r:id="rId2340"/>
    <hyperlink xmlns:r="http://schemas.openxmlformats.org/officeDocument/2006/relationships" ref="S2342" r:id="rId2341"/>
    <hyperlink xmlns:r="http://schemas.openxmlformats.org/officeDocument/2006/relationships" ref="S2343" r:id="rId2342"/>
    <hyperlink xmlns:r="http://schemas.openxmlformats.org/officeDocument/2006/relationships" ref="S2344" r:id="rId2343"/>
    <hyperlink xmlns:r="http://schemas.openxmlformats.org/officeDocument/2006/relationships" ref="S2345" r:id="rId2344"/>
    <hyperlink xmlns:r="http://schemas.openxmlformats.org/officeDocument/2006/relationships" ref="S2346" r:id="rId2345"/>
    <hyperlink xmlns:r="http://schemas.openxmlformats.org/officeDocument/2006/relationships" ref="S2347" r:id="rId2346"/>
    <hyperlink xmlns:r="http://schemas.openxmlformats.org/officeDocument/2006/relationships" ref="S2348" r:id="rId2347"/>
    <hyperlink xmlns:r="http://schemas.openxmlformats.org/officeDocument/2006/relationships" ref="S2349" r:id="rId2348"/>
    <hyperlink xmlns:r="http://schemas.openxmlformats.org/officeDocument/2006/relationships" ref="S2350" r:id="rId2349"/>
    <hyperlink xmlns:r="http://schemas.openxmlformats.org/officeDocument/2006/relationships" ref="S2351" r:id="rId2350"/>
    <hyperlink xmlns:r="http://schemas.openxmlformats.org/officeDocument/2006/relationships" ref="S2352" r:id="rId2351"/>
    <hyperlink xmlns:r="http://schemas.openxmlformats.org/officeDocument/2006/relationships" ref="S2353" r:id="rId2352"/>
    <hyperlink xmlns:r="http://schemas.openxmlformats.org/officeDocument/2006/relationships" ref="S2354" r:id="rId2353"/>
    <hyperlink xmlns:r="http://schemas.openxmlformats.org/officeDocument/2006/relationships" ref="S2355" r:id="rId2354"/>
    <hyperlink xmlns:r="http://schemas.openxmlformats.org/officeDocument/2006/relationships" ref="S2356" r:id="rId2355"/>
    <hyperlink xmlns:r="http://schemas.openxmlformats.org/officeDocument/2006/relationships" ref="S2357" r:id="rId2356"/>
    <hyperlink xmlns:r="http://schemas.openxmlformats.org/officeDocument/2006/relationships" ref="S2358" r:id="rId2357"/>
    <hyperlink xmlns:r="http://schemas.openxmlformats.org/officeDocument/2006/relationships" ref="S2359" r:id="rId2358"/>
    <hyperlink xmlns:r="http://schemas.openxmlformats.org/officeDocument/2006/relationships" ref="S2360" r:id="rId2359"/>
    <hyperlink xmlns:r="http://schemas.openxmlformats.org/officeDocument/2006/relationships" ref="S2361" r:id="rId2360"/>
    <hyperlink xmlns:r="http://schemas.openxmlformats.org/officeDocument/2006/relationships" ref="S2362" r:id="rId2361"/>
    <hyperlink xmlns:r="http://schemas.openxmlformats.org/officeDocument/2006/relationships" ref="S2363" r:id="rId2362"/>
    <hyperlink xmlns:r="http://schemas.openxmlformats.org/officeDocument/2006/relationships" ref="S2364" r:id="rId2363"/>
    <hyperlink xmlns:r="http://schemas.openxmlformats.org/officeDocument/2006/relationships" ref="S2365" r:id="rId2364"/>
    <hyperlink xmlns:r="http://schemas.openxmlformats.org/officeDocument/2006/relationships" ref="S2366" r:id="rId2365"/>
    <hyperlink xmlns:r="http://schemas.openxmlformats.org/officeDocument/2006/relationships" ref="S2367" r:id="rId2366"/>
    <hyperlink xmlns:r="http://schemas.openxmlformats.org/officeDocument/2006/relationships" ref="S2368" r:id="rId2367"/>
    <hyperlink xmlns:r="http://schemas.openxmlformats.org/officeDocument/2006/relationships" ref="S2369" r:id="rId2368"/>
    <hyperlink xmlns:r="http://schemas.openxmlformats.org/officeDocument/2006/relationships" ref="S2370" r:id="rId2369"/>
    <hyperlink xmlns:r="http://schemas.openxmlformats.org/officeDocument/2006/relationships" ref="S2371" r:id="rId2370"/>
    <hyperlink xmlns:r="http://schemas.openxmlformats.org/officeDocument/2006/relationships" ref="S2372" r:id="rId2371"/>
    <hyperlink xmlns:r="http://schemas.openxmlformats.org/officeDocument/2006/relationships" ref="S2373" r:id="rId2372"/>
    <hyperlink xmlns:r="http://schemas.openxmlformats.org/officeDocument/2006/relationships" ref="S2374" r:id="rId2373"/>
    <hyperlink xmlns:r="http://schemas.openxmlformats.org/officeDocument/2006/relationships" ref="S2375" r:id="rId2374"/>
    <hyperlink xmlns:r="http://schemas.openxmlformats.org/officeDocument/2006/relationships" ref="S2376" r:id="rId2375"/>
    <hyperlink xmlns:r="http://schemas.openxmlformats.org/officeDocument/2006/relationships" ref="S2377" r:id="rId2376"/>
    <hyperlink xmlns:r="http://schemas.openxmlformats.org/officeDocument/2006/relationships" ref="S2378" r:id="rId2377"/>
    <hyperlink xmlns:r="http://schemas.openxmlformats.org/officeDocument/2006/relationships" ref="S2379" r:id="rId2378"/>
    <hyperlink xmlns:r="http://schemas.openxmlformats.org/officeDocument/2006/relationships" ref="S2380" r:id="rId2379"/>
    <hyperlink xmlns:r="http://schemas.openxmlformats.org/officeDocument/2006/relationships" ref="S2381" r:id="rId2380"/>
    <hyperlink xmlns:r="http://schemas.openxmlformats.org/officeDocument/2006/relationships" ref="S2382" r:id="rId2381"/>
    <hyperlink xmlns:r="http://schemas.openxmlformats.org/officeDocument/2006/relationships" ref="S2383" r:id="rId2382"/>
    <hyperlink xmlns:r="http://schemas.openxmlformats.org/officeDocument/2006/relationships" ref="S2384" r:id="rId2383"/>
    <hyperlink xmlns:r="http://schemas.openxmlformats.org/officeDocument/2006/relationships" ref="S2385" r:id="rId2384"/>
    <hyperlink xmlns:r="http://schemas.openxmlformats.org/officeDocument/2006/relationships" ref="S2386" r:id="rId2385"/>
    <hyperlink xmlns:r="http://schemas.openxmlformats.org/officeDocument/2006/relationships" ref="S2387" r:id="rId2386"/>
    <hyperlink xmlns:r="http://schemas.openxmlformats.org/officeDocument/2006/relationships" ref="S2388" r:id="rId2387"/>
    <hyperlink xmlns:r="http://schemas.openxmlformats.org/officeDocument/2006/relationships" ref="S2389" r:id="rId2388"/>
    <hyperlink xmlns:r="http://schemas.openxmlformats.org/officeDocument/2006/relationships" ref="S2390" r:id="rId2389"/>
    <hyperlink xmlns:r="http://schemas.openxmlformats.org/officeDocument/2006/relationships" ref="S2391" r:id="rId2390"/>
    <hyperlink xmlns:r="http://schemas.openxmlformats.org/officeDocument/2006/relationships" ref="S2392" r:id="rId2391"/>
    <hyperlink xmlns:r="http://schemas.openxmlformats.org/officeDocument/2006/relationships" ref="S2393" r:id="rId2392"/>
    <hyperlink xmlns:r="http://schemas.openxmlformats.org/officeDocument/2006/relationships" ref="S2394" r:id="rId2393"/>
    <hyperlink xmlns:r="http://schemas.openxmlformats.org/officeDocument/2006/relationships" ref="S2395" r:id="rId2394"/>
    <hyperlink xmlns:r="http://schemas.openxmlformats.org/officeDocument/2006/relationships" ref="S2396" r:id="rId2395"/>
    <hyperlink xmlns:r="http://schemas.openxmlformats.org/officeDocument/2006/relationships" ref="S2397" r:id="rId2396"/>
    <hyperlink xmlns:r="http://schemas.openxmlformats.org/officeDocument/2006/relationships" ref="S2398" r:id="rId2397"/>
    <hyperlink xmlns:r="http://schemas.openxmlformats.org/officeDocument/2006/relationships" ref="S2399" r:id="rId2398"/>
    <hyperlink xmlns:r="http://schemas.openxmlformats.org/officeDocument/2006/relationships" ref="S2400" r:id="rId2399"/>
    <hyperlink xmlns:r="http://schemas.openxmlformats.org/officeDocument/2006/relationships" ref="S2401" r:id="rId2400"/>
    <hyperlink xmlns:r="http://schemas.openxmlformats.org/officeDocument/2006/relationships" ref="S2402" r:id="rId2401"/>
    <hyperlink xmlns:r="http://schemas.openxmlformats.org/officeDocument/2006/relationships" ref="S2403" r:id="rId2402"/>
    <hyperlink xmlns:r="http://schemas.openxmlformats.org/officeDocument/2006/relationships" ref="S2404" r:id="rId2403"/>
    <hyperlink xmlns:r="http://schemas.openxmlformats.org/officeDocument/2006/relationships" ref="S2405" r:id="rId2404"/>
    <hyperlink xmlns:r="http://schemas.openxmlformats.org/officeDocument/2006/relationships" ref="S2406" r:id="rId2405"/>
    <hyperlink xmlns:r="http://schemas.openxmlformats.org/officeDocument/2006/relationships" ref="S2407" r:id="rId2406"/>
    <hyperlink xmlns:r="http://schemas.openxmlformats.org/officeDocument/2006/relationships" ref="S2408" r:id="rId2407"/>
    <hyperlink xmlns:r="http://schemas.openxmlformats.org/officeDocument/2006/relationships" ref="S2409" r:id="rId2408"/>
    <hyperlink xmlns:r="http://schemas.openxmlformats.org/officeDocument/2006/relationships" ref="S2410" r:id="rId2409"/>
    <hyperlink xmlns:r="http://schemas.openxmlformats.org/officeDocument/2006/relationships" ref="S2411" r:id="rId2410"/>
    <hyperlink xmlns:r="http://schemas.openxmlformats.org/officeDocument/2006/relationships" ref="S2412" r:id="rId2411"/>
    <hyperlink xmlns:r="http://schemas.openxmlformats.org/officeDocument/2006/relationships" ref="S2413" r:id="rId2412"/>
    <hyperlink xmlns:r="http://schemas.openxmlformats.org/officeDocument/2006/relationships" ref="S2414" r:id="rId2413"/>
    <hyperlink xmlns:r="http://schemas.openxmlformats.org/officeDocument/2006/relationships" ref="S2415" r:id="rId2414"/>
    <hyperlink xmlns:r="http://schemas.openxmlformats.org/officeDocument/2006/relationships" ref="S2416" r:id="rId2415"/>
    <hyperlink xmlns:r="http://schemas.openxmlformats.org/officeDocument/2006/relationships" ref="S2417" r:id="rId2416"/>
    <hyperlink xmlns:r="http://schemas.openxmlformats.org/officeDocument/2006/relationships" ref="S2418" r:id="rId2417"/>
    <hyperlink xmlns:r="http://schemas.openxmlformats.org/officeDocument/2006/relationships" ref="S2419" r:id="rId2418"/>
    <hyperlink xmlns:r="http://schemas.openxmlformats.org/officeDocument/2006/relationships" ref="S2420" r:id="rId2419"/>
    <hyperlink xmlns:r="http://schemas.openxmlformats.org/officeDocument/2006/relationships" ref="S2421" r:id="rId2420"/>
    <hyperlink xmlns:r="http://schemas.openxmlformats.org/officeDocument/2006/relationships" ref="S2422" r:id="rId2421"/>
    <hyperlink xmlns:r="http://schemas.openxmlformats.org/officeDocument/2006/relationships" ref="S2423" r:id="rId2422"/>
    <hyperlink xmlns:r="http://schemas.openxmlformats.org/officeDocument/2006/relationships" ref="S2424" r:id="rId2423"/>
    <hyperlink xmlns:r="http://schemas.openxmlformats.org/officeDocument/2006/relationships" ref="S2425" r:id="rId2424"/>
    <hyperlink xmlns:r="http://schemas.openxmlformats.org/officeDocument/2006/relationships" ref="S2426" r:id="rId2425"/>
    <hyperlink xmlns:r="http://schemas.openxmlformats.org/officeDocument/2006/relationships" ref="S2427" r:id="rId2426"/>
    <hyperlink xmlns:r="http://schemas.openxmlformats.org/officeDocument/2006/relationships" ref="S2428" r:id="rId2427"/>
    <hyperlink xmlns:r="http://schemas.openxmlformats.org/officeDocument/2006/relationships" ref="S2429" r:id="rId2428"/>
    <hyperlink xmlns:r="http://schemas.openxmlformats.org/officeDocument/2006/relationships" ref="S2430" r:id="rId2429"/>
    <hyperlink xmlns:r="http://schemas.openxmlformats.org/officeDocument/2006/relationships" ref="S2431" r:id="rId2430"/>
    <hyperlink xmlns:r="http://schemas.openxmlformats.org/officeDocument/2006/relationships" ref="S2432" r:id="rId2431"/>
    <hyperlink xmlns:r="http://schemas.openxmlformats.org/officeDocument/2006/relationships" ref="S2433" r:id="rId2432"/>
    <hyperlink xmlns:r="http://schemas.openxmlformats.org/officeDocument/2006/relationships" ref="S2434" r:id="rId2433"/>
    <hyperlink xmlns:r="http://schemas.openxmlformats.org/officeDocument/2006/relationships" ref="S2435" r:id="rId2434"/>
    <hyperlink xmlns:r="http://schemas.openxmlformats.org/officeDocument/2006/relationships" ref="S2436" r:id="rId2435"/>
    <hyperlink xmlns:r="http://schemas.openxmlformats.org/officeDocument/2006/relationships" ref="S2437" r:id="rId2436"/>
    <hyperlink xmlns:r="http://schemas.openxmlformats.org/officeDocument/2006/relationships" ref="S2438" r:id="rId2437"/>
    <hyperlink xmlns:r="http://schemas.openxmlformats.org/officeDocument/2006/relationships" ref="S2439" r:id="rId2438"/>
    <hyperlink xmlns:r="http://schemas.openxmlformats.org/officeDocument/2006/relationships" ref="S2440" r:id="rId2439"/>
    <hyperlink xmlns:r="http://schemas.openxmlformats.org/officeDocument/2006/relationships" ref="S2441" r:id="rId2440"/>
    <hyperlink xmlns:r="http://schemas.openxmlformats.org/officeDocument/2006/relationships" ref="S2442" r:id="rId2441"/>
    <hyperlink xmlns:r="http://schemas.openxmlformats.org/officeDocument/2006/relationships" ref="S2443" r:id="rId2442"/>
    <hyperlink xmlns:r="http://schemas.openxmlformats.org/officeDocument/2006/relationships" ref="S2444" r:id="rId2443"/>
    <hyperlink xmlns:r="http://schemas.openxmlformats.org/officeDocument/2006/relationships" ref="S2445" r:id="rId2444"/>
    <hyperlink xmlns:r="http://schemas.openxmlformats.org/officeDocument/2006/relationships" ref="S2446" r:id="rId2445"/>
    <hyperlink xmlns:r="http://schemas.openxmlformats.org/officeDocument/2006/relationships" ref="S2447" r:id="rId2446"/>
    <hyperlink xmlns:r="http://schemas.openxmlformats.org/officeDocument/2006/relationships" ref="S2448" r:id="rId2447"/>
    <hyperlink xmlns:r="http://schemas.openxmlformats.org/officeDocument/2006/relationships" ref="S2449" r:id="rId2448"/>
    <hyperlink xmlns:r="http://schemas.openxmlformats.org/officeDocument/2006/relationships" ref="S2450" r:id="rId2449"/>
    <hyperlink xmlns:r="http://schemas.openxmlformats.org/officeDocument/2006/relationships" ref="S2451" r:id="rId2450"/>
    <hyperlink xmlns:r="http://schemas.openxmlformats.org/officeDocument/2006/relationships" ref="S2452" r:id="rId2451"/>
    <hyperlink xmlns:r="http://schemas.openxmlformats.org/officeDocument/2006/relationships" ref="S2453" r:id="rId2452"/>
    <hyperlink xmlns:r="http://schemas.openxmlformats.org/officeDocument/2006/relationships" ref="S2454" r:id="rId2453"/>
    <hyperlink xmlns:r="http://schemas.openxmlformats.org/officeDocument/2006/relationships" ref="S2455" r:id="rId2454"/>
    <hyperlink xmlns:r="http://schemas.openxmlformats.org/officeDocument/2006/relationships" ref="S2456" r:id="rId2455"/>
    <hyperlink xmlns:r="http://schemas.openxmlformats.org/officeDocument/2006/relationships" ref="S2457" r:id="rId2456"/>
    <hyperlink xmlns:r="http://schemas.openxmlformats.org/officeDocument/2006/relationships" ref="S2458" r:id="rId2457"/>
    <hyperlink xmlns:r="http://schemas.openxmlformats.org/officeDocument/2006/relationships" ref="S2459" r:id="rId2458"/>
    <hyperlink xmlns:r="http://schemas.openxmlformats.org/officeDocument/2006/relationships" ref="S2460" r:id="rId2459"/>
    <hyperlink xmlns:r="http://schemas.openxmlformats.org/officeDocument/2006/relationships" ref="S2461" r:id="rId2460"/>
    <hyperlink xmlns:r="http://schemas.openxmlformats.org/officeDocument/2006/relationships" ref="S2462" r:id="rId2461"/>
    <hyperlink xmlns:r="http://schemas.openxmlformats.org/officeDocument/2006/relationships" ref="S2463" r:id="rId2462"/>
    <hyperlink xmlns:r="http://schemas.openxmlformats.org/officeDocument/2006/relationships" ref="S2464" r:id="rId2463"/>
    <hyperlink xmlns:r="http://schemas.openxmlformats.org/officeDocument/2006/relationships" ref="S2465" r:id="rId2464"/>
    <hyperlink xmlns:r="http://schemas.openxmlformats.org/officeDocument/2006/relationships" ref="S2466" r:id="rId2465"/>
    <hyperlink xmlns:r="http://schemas.openxmlformats.org/officeDocument/2006/relationships" ref="S2467" r:id="rId2466"/>
    <hyperlink xmlns:r="http://schemas.openxmlformats.org/officeDocument/2006/relationships" ref="S2468" r:id="rId2467"/>
    <hyperlink xmlns:r="http://schemas.openxmlformats.org/officeDocument/2006/relationships" ref="S2469" r:id="rId2468"/>
    <hyperlink xmlns:r="http://schemas.openxmlformats.org/officeDocument/2006/relationships" ref="S2470" r:id="rId2469"/>
    <hyperlink xmlns:r="http://schemas.openxmlformats.org/officeDocument/2006/relationships" ref="S2471" r:id="rId2470"/>
    <hyperlink xmlns:r="http://schemas.openxmlformats.org/officeDocument/2006/relationships" ref="S2472" r:id="rId2471"/>
    <hyperlink xmlns:r="http://schemas.openxmlformats.org/officeDocument/2006/relationships" ref="S2473" r:id="rId2472"/>
    <hyperlink xmlns:r="http://schemas.openxmlformats.org/officeDocument/2006/relationships" ref="S2474" r:id="rId2473"/>
    <hyperlink xmlns:r="http://schemas.openxmlformats.org/officeDocument/2006/relationships" ref="S2475" r:id="rId2474"/>
    <hyperlink xmlns:r="http://schemas.openxmlformats.org/officeDocument/2006/relationships" ref="S2476" r:id="rId2475"/>
    <hyperlink xmlns:r="http://schemas.openxmlformats.org/officeDocument/2006/relationships" ref="S2477" r:id="rId2476"/>
    <hyperlink xmlns:r="http://schemas.openxmlformats.org/officeDocument/2006/relationships" ref="S2478" r:id="rId2477"/>
    <hyperlink xmlns:r="http://schemas.openxmlformats.org/officeDocument/2006/relationships" ref="S2479" r:id="rId2478"/>
    <hyperlink xmlns:r="http://schemas.openxmlformats.org/officeDocument/2006/relationships" ref="S2480" r:id="rId2479"/>
    <hyperlink xmlns:r="http://schemas.openxmlformats.org/officeDocument/2006/relationships" ref="S2481" r:id="rId2480"/>
    <hyperlink xmlns:r="http://schemas.openxmlformats.org/officeDocument/2006/relationships" ref="S2482" r:id="rId2481"/>
    <hyperlink xmlns:r="http://schemas.openxmlformats.org/officeDocument/2006/relationships" ref="S2483" r:id="rId2482"/>
    <hyperlink xmlns:r="http://schemas.openxmlformats.org/officeDocument/2006/relationships" ref="S2484" r:id="rId2483"/>
    <hyperlink xmlns:r="http://schemas.openxmlformats.org/officeDocument/2006/relationships" ref="S2485" r:id="rId2484"/>
    <hyperlink xmlns:r="http://schemas.openxmlformats.org/officeDocument/2006/relationships" ref="S2486" r:id="rId2485"/>
    <hyperlink xmlns:r="http://schemas.openxmlformats.org/officeDocument/2006/relationships" ref="S2487" r:id="rId2486"/>
    <hyperlink xmlns:r="http://schemas.openxmlformats.org/officeDocument/2006/relationships" ref="S2488" r:id="rId2487"/>
    <hyperlink xmlns:r="http://schemas.openxmlformats.org/officeDocument/2006/relationships" ref="S2489" r:id="rId2488"/>
    <hyperlink xmlns:r="http://schemas.openxmlformats.org/officeDocument/2006/relationships" ref="S2490" r:id="rId2489"/>
    <hyperlink xmlns:r="http://schemas.openxmlformats.org/officeDocument/2006/relationships" ref="S2491" r:id="rId2490"/>
    <hyperlink xmlns:r="http://schemas.openxmlformats.org/officeDocument/2006/relationships" ref="S2492" r:id="rId2491"/>
    <hyperlink xmlns:r="http://schemas.openxmlformats.org/officeDocument/2006/relationships" ref="S2493" r:id="rId2492"/>
    <hyperlink xmlns:r="http://schemas.openxmlformats.org/officeDocument/2006/relationships" ref="S2494" r:id="rId2493"/>
    <hyperlink xmlns:r="http://schemas.openxmlformats.org/officeDocument/2006/relationships" ref="S2495" r:id="rId2494"/>
    <hyperlink xmlns:r="http://schemas.openxmlformats.org/officeDocument/2006/relationships" ref="S2496" r:id="rId2495"/>
    <hyperlink xmlns:r="http://schemas.openxmlformats.org/officeDocument/2006/relationships" ref="S2497" r:id="rId2496"/>
    <hyperlink xmlns:r="http://schemas.openxmlformats.org/officeDocument/2006/relationships" ref="S2498" r:id="rId2497"/>
    <hyperlink xmlns:r="http://schemas.openxmlformats.org/officeDocument/2006/relationships" ref="S2499" r:id="rId2498"/>
    <hyperlink xmlns:r="http://schemas.openxmlformats.org/officeDocument/2006/relationships" ref="S2500" r:id="rId2499"/>
    <hyperlink xmlns:r="http://schemas.openxmlformats.org/officeDocument/2006/relationships" ref="S2501" r:id="rId2500"/>
    <hyperlink xmlns:r="http://schemas.openxmlformats.org/officeDocument/2006/relationships" ref="S2502" r:id="rId2501"/>
    <hyperlink xmlns:r="http://schemas.openxmlformats.org/officeDocument/2006/relationships" ref="S2503" r:id="rId2502"/>
    <hyperlink xmlns:r="http://schemas.openxmlformats.org/officeDocument/2006/relationships" ref="S2504" r:id="rId2503"/>
    <hyperlink xmlns:r="http://schemas.openxmlformats.org/officeDocument/2006/relationships" ref="S2505" r:id="rId2504"/>
    <hyperlink xmlns:r="http://schemas.openxmlformats.org/officeDocument/2006/relationships" ref="S2506" r:id="rId2505"/>
    <hyperlink xmlns:r="http://schemas.openxmlformats.org/officeDocument/2006/relationships" ref="S2507" r:id="rId2506"/>
    <hyperlink xmlns:r="http://schemas.openxmlformats.org/officeDocument/2006/relationships" ref="S2508" r:id="rId2507"/>
    <hyperlink xmlns:r="http://schemas.openxmlformats.org/officeDocument/2006/relationships" ref="S2509" r:id="rId2508"/>
    <hyperlink xmlns:r="http://schemas.openxmlformats.org/officeDocument/2006/relationships" ref="S2510" r:id="rId2509"/>
    <hyperlink xmlns:r="http://schemas.openxmlformats.org/officeDocument/2006/relationships" ref="S2511" r:id="rId2510"/>
    <hyperlink xmlns:r="http://schemas.openxmlformats.org/officeDocument/2006/relationships" ref="S2512" r:id="rId2511"/>
    <hyperlink xmlns:r="http://schemas.openxmlformats.org/officeDocument/2006/relationships" ref="S2513" r:id="rId2512"/>
    <hyperlink xmlns:r="http://schemas.openxmlformats.org/officeDocument/2006/relationships" ref="S2514" r:id="rId2513"/>
    <hyperlink xmlns:r="http://schemas.openxmlformats.org/officeDocument/2006/relationships" ref="S2515" r:id="rId2514"/>
    <hyperlink xmlns:r="http://schemas.openxmlformats.org/officeDocument/2006/relationships" ref="S2516" r:id="rId2515"/>
    <hyperlink xmlns:r="http://schemas.openxmlformats.org/officeDocument/2006/relationships" ref="S2517" r:id="rId2516"/>
    <hyperlink xmlns:r="http://schemas.openxmlformats.org/officeDocument/2006/relationships" ref="S2518" r:id="rId2517"/>
    <hyperlink xmlns:r="http://schemas.openxmlformats.org/officeDocument/2006/relationships" ref="S2519" r:id="rId2518"/>
    <hyperlink xmlns:r="http://schemas.openxmlformats.org/officeDocument/2006/relationships" ref="S2520" r:id="rId2519"/>
    <hyperlink xmlns:r="http://schemas.openxmlformats.org/officeDocument/2006/relationships" ref="S2521" r:id="rId2520"/>
    <hyperlink xmlns:r="http://schemas.openxmlformats.org/officeDocument/2006/relationships" ref="S2522" r:id="rId2521"/>
    <hyperlink xmlns:r="http://schemas.openxmlformats.org/officeDocument/2006/relationships" ref="S2523" r:id="rId2522"/>
    <hyperlink xmlns:r="http://schemas.openxmlformats.org/officeDocument/2006/relationships" ref="S2524" r:id="rId2523"/>
    <hyperlink xmlns:r="http://schemas.openxmlformats.org/officeDocument/2006/relationships" ref="S2525" r:id="rId2524"/>
    <hyperlink xmlns:r="http://schemas.openxmlformats.org/officeDocument/2006/relationships" ref="S2526" r:id="rId2525"/>
    <hyperlink xmlns:r="http://schemas.openxmlformats.org/officeDocument/2006/relationships" ref="S2527" r:id="rId2526"/>
    <hyperlink xmlns:r="http://schemas.openxmlformats.org/officeDocument/2006/relationships" ref="S2528" r:id="rId2527"/>
    <hyperlink xmlns:r="http://schemas.openxmlformats.org/officeDocument/2006/relationships" ref="S2529" r:id="rId2528"/>
    <hyperlink xmlns:r="http://schemas.openxmlformats.org/officeDocument/2006/relationships" ref="S2530" r:id="rId2529"/>
    <hyperlink xmlns:r="http://schemas.openxmlformats.org/officeDocument/2006/relationships" ref="S2531" r:id="rId2530"/>
    <hyperlink xmlns:r="http://schemas.openxmlformats.org/officeDocument/2006/relationships" ref="S2532" r:id="rId2531"/>
    <hyperlink xmlns:r="http://schemas.openxmlformats.org/officeDocument/2006/relationships" ref="S2533" r:id="rId2532"/>
    <hyperlink xmlns:r="http://schemas.openxmlformats.org/officeDocument/2006/relationships" ref="S2534" r:id="rId2533"/>
    <hyperlink xmlns:r="http://schemas.openxmlformats.org/officeDocument/2006/relationships" ref="S2535" r:id="rId2534"/>
    <hyperlink xmlns:r="http://schemas.openxmlformats.org/officeDocument/2006/relationships" ref="S2536" r:id="rId2535"/>
    <hyperlink xmlns:r="http://schemas.openxmlformats.org/officeDocument/2006/relationships" ref="S2537" r:id="rId2536"/>
    <hyperlink xmlns:r="http://schemas.openxmlformats.org/officeDocument/2006/relationships" ref="S2538" r:id="rId2537"/>
    <hyperlink xmlns:r="http://schemas.openxmlformats.org/officeDocument/2006/relationships" ref="S2539" r:id="rId2538"/>
    <hyperlink xmlns:r="http://schemas.openxmlformats.org/officeDocument/2006/relationships" ref="S2540" r:id="rId2539"/>
    <hyperlink xmlns:r="http://schemas.openxmlformats.org/officeDocument/2006/relationships" ref="S2541" r:id="rId2540"/>
    <hyperlink xmlns:r="http://schemas.openxmlformats.org/officeDocument/2006/relationships" ref="S2542" r:id="rId2541"/>
    <hyperlink xmlns:r="http://schemas.openxmlformats.org/officeDocument/2006/relationships" ref="S2543" r:id="rId2542"/>
    <hyperlink xmlns:r="http://schemas.openxmlformats.org/officeDocument/2006/relationships" ref="S2544" r:id="rId2543"/>
    <hyperlink xmlns:r="http://schemas.openxmlformats.org/officeDocument/2006/relationships" ref="S2545" r:id="rId2544"/>
    <hyperlink xmlns:r="http://schemas.openxmlformats.org/officeDocument/2006/relationships" ref="S2546" r:id="rId2545"/>
    <hyperlink xmlns:r="http://schemas.openxmlformats.org/officeDocument/2006/relationships" ref="S2547" r:id="rId2546"/>
    <hyperlink xmlns:r="http://schemas.openxmlformats.org/officeDocument/2006/relationships" ref="S2548" r:id="rId2547"/>
    <hyperlink xmlns:r="http://schemas.openxmlformats.org/officeDocument/2006/relationships" ref="S2549" r:id="rId2548"/>
    <hyperlink xmlns:r="http://schemas.openxmlformats.org/officeDocument/2006/relationships" ref="S2550" r:id="rId2549"/>
    <hyperlink xmlns:r="http://schemas.openxmlformats.org/officeDocument/2006/relationships" ref="S2551" r:id="rId2550"/>
    <hyperlink xmlns:r="http://schemas.openxmlformats.org/officeDocument/2006/relationships" ref="S2552" r:id="rId2551"/>
    <hyperlink xmlns:r="http://schemas.openxmlformats.org/officeDocument/2006/relationships" ref="S2553" r:id="rId2552"/>
    <hyperlink xmlns:r="http://schemas.openxmlformats.org/officeDocument/2006/relationships" ref="S2554" r:id="rId2553"/>
    <hyperlink xmlns:r="http://schemas.openxmlformats.org/officeDocument/2006/relationships" ref="S2555" r:id="rId2554"/>
    <hyperlink xmlns:r="http://schemas.openxmlformats.org/officeDocument/2006/relationships" ref="S2556" r:id="rId2555"/>
    <hyperlink xmlns:r="http://schemas.openxmlformats.org/officeDocument/2006/relationships" ref="S2557" r:id="rId2556"/>
    <hyperlink xmlns:r="http://schemas.openxmlformats.org/officeDocument/2006/relationships" ref="S2558" r:id="rId2557"/>
    <hyperlink xmlns:r="http://schemas.openxmlformats.org/officeDocument/2006/relationships" ref="S2559" r:id="rId2558"/>
    <hyperlink xmlns:r="http://schemas.openxmlformats.org/officeDocument/2006/relationships" ref="S2560" r:id="rId2559"/>
    <hyperlink xmlns:r="http://schemas.openxmlformats.org/officeDocument/2006/relationships" ref="S2561" r:id="rId2560"/>
    <hyperlink xmlns:r="http://schemas.openxmlformats.org/officeDocument/2006/relationships" ref="S2562" r:id="rId2561"/>
    <hyperlink xmlns:r="http://schemas.openxmlformats.org/officeDocument/2006/relationships" ref="S2563" r:id="rId2562"/>
    <hyperlink xmlns:r="http://schemas.openxmlformats.org/officeDocument/2006/relationships" ref="S2564" r:id="rId2563"/>
    <hyperlink xmlns:r="http://schemas.openxmlformats.org/officeDocument/2006/relationships" ref="S2565" r:id="rId2564"/>
    <hyperlink xmlns:r="http://schemas.openxmlformats.org/officeDocument/2006/relationships" ref="S2566" r:id="rId2565"/>
    <hyperlink xmlns:r="http://schemas.openxmlformats.org/officeDocument/2006/relationships" ref="S2567" r:id="rId2566"/>
    <hyperlink xmlns:r="http://schemas.openxmlformats.org/officeDocument/2006/relationships" ref="S2568" r:id="rId2567"/>
    <hyperlink xmlns:r="http://schemas.openxmlformats.org/officeDocument/2006/relationships" ref="S2569" r:id="rId2568"/>
    <hyperlink xmlns:r="http://schemas.openxmlformats.org/officeDocument/2006/relationships" ref="S2570" r:id="rId2569"/>
    <hyperlink xmlns:r="http://schemas.openxmlformats.org/officeDocument/2006/relationships" ref="S2571" r:id="rId2570"/>
    <hyperlink xmlns:r="http://schemas.openxmlformats.org/officeDocument/2006/relationships" ref="S2572" r:id="rId2571"/>
    <hyperlink xmlns:r="http://schemas.openxmlformats.org/officeDocument/2006/relationships" ref="S2573" r:id="rId2572"/>
    <hyperlink xmlns:r="http://schemas.openxmlformats.org/officeDocument/2006/relationships" ref="S2574" r:id="rId2573"/>
    <hyperlink xmlns:r="http://schemas.openxmlformats.org/officeDocument/2006/relationships" ref="S2575" r:id="rId2574"/>
    <hyperlink xmlns:r="http://schemas.openxmlformats.org/officeDocument/2006/relationships" ref="S2576" r:id="rId2575"/>
    <hyperlink xmlns:r="http://schemas.openxmlformats.org/officeDocument/2006/relationships" ref="S2577" r:id="rId2576"/>
    <hyperlink xmlns:r="http://schemas.openxmlformats.org/officeDocument/2006/relationships" ref="S2578" r:id="rId2577"/>
    <hyperlink xmlns:r="http://schemas.openxmlformats.org/officeDocument/2006/relationships" ref="S2579" r:id="rId2578"/>
    <hyperlink xmlns:r="http://schemas.openxmlformats.org/officeDocument/2006/relationships" ref="S2580" r:id="rId2579"/>
    <hyperlink xmlns:r="http://schemas.openxmlformats.org/officeDocument/2006/relationships" ref="S2581" r:id="rId2580"/>
    <hyperlink xmlns:r="http://schemas.openxmlformats.org/officeDocument/2006/relationships" ref="S2582" r:id="rId2581"/>
    <hyperlink xmlns:r="http://schemas.openxmlformats.org/officeDocument/2006/relationships" ref="S2583" r:id="rId2582"/>
    <hyperlink xmlns:r="http://schemas.openxmlformats.org/officeDocument/2006/relationships" ref="S2584" r:id="rId2583"/>
    <hyperlink xmlns:r="http://schemas.openxmlformats.org/officeDocument/2006/relationships" ref="S2585" r:id="rId2584"/>
    <hyperlink xmlns:r="http://schemas.openxmlformats.org/officeDocument/2006/relationships" ref="S2586" r:id="rId2585"/>
    <hyperlink xmlns:r="http://schemas.openxmlformats.org/officeDocument/2006/relationships" ref="S2587" r:id="rId2586"/>
    <hyperlink xmlns:r="http://schemas.openxmlformats.org/officeDocument/2006/relationships" ref="S2588" r:id="rId2587"/>
    <hyperlink xmlns:r="http://schemas.openxmlformats.org/officeDocument/2006/relationships" ref="S2589" r:id="rId2588"/>
    <hyperlink xmlns:r="http://schemas.openxmlformats.org/officeDocument/2006/relationships" ref="S2590" r:id="rId2589"/>
    <hyperlink xmlns:r="http://schemas.openxmlformats.org/officeDocument/2006/relationships" ref="S2591" r:id="rId2590"/>
    <hyperlink xmlns:r="http://schemas.openxmlformats.org/officeDocument/2006/relationships" ref="S2592" r:id="rId2591"/>
    <hyperlink xmlns:r="http://schemas.openxmlformats.org/officeDocument/2006/relationships" ref="S2593" r:id="rId2592"/>
    <hyperlink xmlns:r="http://schemas.openxmlformats.org/officeDocument/2006/relationships" ref="S2594" r:id="rId2593"/>
    <hyperlink xmlns:r="http://schemas.openxmlformats.org/officeDocument/2006/relationships" ref="S2595" r:id="rId2594"/>
    <hyperlink xmlns:r="http://schemas.openxmlformats.org/officeDocument/2006/relationships" ref="S2596" r:id="rId2595"/>
    <hyperlink xmlns:r="http://schemas.openxmlformats.org/officeDocument/2006/relationships" ref="S2597" r:id="rId2596"/>
    <hyperlink xmlns:r="http://schemas.openxmlformats.org/officeDocument/2006/relationships" ref="S2598" r:id="rId2597"/>
    <hyperlink xmlns:r="http://schemas.openxmlformats.org/officeDocument/2006/relationships" ref="S2599" r:id="rId2598"/>
    <hyperlink xmlns:r="http://schemas.openxmlformats.org/officeDocument/2006/relationships" ref="S2600" r:id="rId2599"/>
    <hyperlink xmlns:r="http://schemas.openxmlformats.org/officeDocument/2006/relationships" ref="S2601" r:id="rId2600"/>
    <hyperlink xmlns:r="http://schemas.openxmlformats.org/officeDocument/2006/relationships" ref="S2602" r:id="rId2601"/>
    <hyperlink xmlns:r="http://schemas.openxmlformats.org/officeDocument/2006/relationships" ref="S2603" r:id="rId2602"/>
    <hyperlink xmlns:r="http://schemas.openxmlformats.org/officeDocument/2006/relationships" ref="S2604" r:id="rId2603"/>
    <hyperlink xmlns:r="http://schemas.openxmlformats.org/officeDocument/2006/relationships" ref="S2605" r:id="rId2604"/>
    <hyperlink xmlns:r="http://schemas.openxmlformats.org/officeDocument/2006/relationships" ref="S2606" r:id="rId2605"/>
    <hyperlink xmlns:r="http://schemas.openxmlformats.org/officeDocument/2006/relationships" ref="S2607" r:id="rId2606"/>
    <hyperlink xmlns:r="http://schemas.openxmlformats.org/officeDocument/2006/relationships" ref="S2608" r:id="rId2607"/>
    <hyperlink xmlns:r="http://schemas.openxmlformats.org/officeDocument/2006/relationships" ref="S2609" r:id="rId2608"/>
    <hyperlink xmlns:r="http://schemas.openxmlformats.org/officeDocument/2006/relationships" ref="S2610" r:id="rId2609"/>
    <hyperlink xmlns:r="http://schemas.openxmlformats.org/officeDocument/2006/relationships" ref="S2611" r:id="rId2610"/>
    <hyperlink xmlns:r="http://schemas.openxmlformats.org/officeDocument/2006/relationships" ref="S2612" r:id="rId2611"/>
    <hyperlink xmlns:r="http://schemas.openxmlformats.org/officeDocument/2006/relationships" ref="S2613" r:id="rId2612"/>
    <hyperlink xmlns:r="http://schemas.openxmlformats.org/officeDocument/2006/relationships" ref="S2614" r:id="rId2613"/>
    <hyperlink xmlns:r="http://schemas.openxmlformats.org/officeDocument/2006/relationships" ref="S2615" r:id="rId2614"/>
    <hyperlink xmlns:r="http://schemas.openxmlformats.org/officeDocument/2006/relationships" ref="S2616" r:id="rId2615"/>
    <hyperlink xmlns:r="http://schemas.openxmlformats.org/officeDocument/2006/relationships" ref="S2617" r:id="rId2616"/>
    <hyperlink xmlns:r="http://schemas.openxmlformats.org/officeDocument/2006/relationships" ref="S2618" r:id="rId2617"/>
    <hyperlink xmlns:r="http://schemas.openxmlformats.org/officeDocument/2006/relationships" ref="S2619" r:id="rId2618"/>
    <hyperlink xmlns:r="http://schemas.openxmlformats.org/officeDocument/2006/relationships" ref="S2620" r:id="rId2619"/>
    <hyperlink xmlns:r="http://schemas.openxmlformats.org/officeDocument/2006/relationships" ref="S2621" r:id="rId2620"/>
    <hyperlink xmlns:r="http://schemas.openxmlformats.org/officeDocument/2006/relationships" ref="S2622" r:id="rId2621"/>
    <hyperlink xmlns:r="http://schemas.openxmlformats.org/officeDocument/2006/relationships" ref="S2623" r:id="rId2622"/>
    <hyperlink xmlns:r="http://schemas.openxmlformats.org/officeDocument/2006/relationships" ref="S2624" r:id="rId2623"/>
    <hyperlink xmlns:r="http://schemas.openxmlformats.org/officeDocument/2006/relationships" ref="S2625" r:id="rId2624"/>
    <hyperlink xmlns:r="http://schemas.openxmlformats.org/officeDocument/2006/relationships" ref="S2626" r:id="rId2625"/>
    <hyperlink xmlns:r="http://schemas.openxmlformats.org/officeDocument/2006/relationships" ref="S2627" r:id="rId2626"/>
    <hyperlink xmlns:r="http://schemas.openxmlformats.org/officeDocument/2006/relationships" ref="S2628" r:id="rId2627"/>
    <hyperlink xmlns:r="http://schemas.openxmlformats.org/officeDocument/2006/relationships" ref="S2629" r:id="rId2628"/>
    <hyperlink xmlns:r="http://schemas.openxmlformats.org/officeDocument/2006/relationships" ref="S2630" r:id="rId2629"/>
    <hyperlink xmlns:r="http://schemas.openxmlformats.org/officeDocument/2006/relationships" ref="S2631" r:id="rId2630"/>
    <hyperlink xmlns:r="http://schemas.openxmlformats.org/officeDocument/2006/relationships" ref="S2632" r:id="rId2631"/>
    <hyperlink xmlns:r="http://schemas.openxmlformats.org/officeDocument/2006/relationships" ref="S2633" r:id="rId2632"/>
    <hyperlink xmlns:r="http://schemas.openxmlformats.org/officeDocument/2006/relationships" ref="S2634" r:id="rId2633"/>
    <hyperlink xmlns:r="http://schemas.openxmlformats.org/officeDocument/2006/relationships" ref="S2635" r:id="rId2634"/>
    <hyperlink xmlns:r="http://schemas.openxmlformats.org/officeDocument/2006/relationships" ref="S2636" r:id="rId2635"/>
    <hyperlink xmlns:r="http://schemas.openxmlformats.org/officeDocument/2006/relationships" ref="S2637" r:id="rId2636"/>
    <hyperlink xmlns:r="http://schemas.openxmlformats.org/officeDocument/2006/relationships" ref="S2638" r:id="rId2637"/>
    <hyperlink xmlns:r="http://schemas.openxmlformats.org/officeDocument/2006/relationships" ref="S2639" r:id="rId2638"/>
    <hyperlink xmlns:r="http://schemas.openxmlformats.org/officeDocument/2006/relationships" ref="S2640" r:id="rId2639"/>
    <hyperlink xmlns:r="http://schemas.openxmlformats.org/officeDocument/2006/relationships" ref="S2641" r:id="rId2640"/>
    <hyperlink xmlns:r="http://schemas.openxmlformats.org/officeDocument/2006/relationships" ref="S2642" r:id="rId2641"/>
    <hyperlink xmlns:r="http://schemas.openxmlformats.org/officeDocument/2006/relationships" ref="S2643" r:id="rId2642"/>
    <hyperlink xmlns:r="http://schemas.openxmlformats.org/officeDocument/2006/relationships" ref="S2644" r:id="rId2643"/>
    <hyperlink xmlns:r="http://schemas.openxmlformats.org/officeDocument/2006/relationships" ref="S2645" r:id="rId2644"/>
    <hyperlink xmlns:r="http://schemas.openxmlformats.org/officeDocument/2006/relationships" ref="S2646" r:id="rId2645"/>
    <hyperlink xmlns:r="http://schemas.openxmlformats.org/officeDocument/2006/relationships" ref="S2647" r:id="rId2646"/>
    <hyperlink xmlns:r="http://schemas.openxmlformats.org/officeDocument/2006/relationships" ref="S2648" r:id="rId2647"/>
    <hyperlink xmlns:r="http://schemas.openxmlformats.org/officeDocument/2006/relationships" ref="S2649" r:id="rId2648"/>
    <hyperlink xmlns:r="http://schemas.openxmlformats.org/officeDocument/2006/relationships" ref="S2650" r:id="rId2649"/>
    <hyperlink xmlns:r="http://schemas.openxmlformats.org/officeDocument/2006/relationships" ref="S2651" r:id="rId2650"/>
    <hyperlink xmlns:r="http://schemas.openxmlformats.org/officeDocument/2006/relationships" ref="S2652" r:id="rId2651"/>
    <hyperlink xmlns:r="http://schemas.openxmlformats.org/officeDocument/2006/relationships" ref="S2653" r:id="rId2652"/>
    <hyperlink xmlns:r="http://schemas.openxmlformats.org/officeDocument/2006/relationships" ref="S2654" r:id="rId2653"/>
    <hyperlink xmlns:r="http://schemas.openxmlformats.org/officeDocument/2006/relationships" ref="S2655" r:id="rId2654"/>
    <hyperlink xmlns:r="http://schemas.openxmlformats.org/officeDocument/2006/relationships" ref="S2656" r:id="rId2655"/>
    <hyperlink xmlns:r="http://schemas.openxmlformats.org/officeDocument/2006/relationships" ref="S2657" r:id="rId2656"/>
    <hyperlink xmlns:r="http://schemas.openxmlformats.org/officeDocument/2006/relationships" ref="S2658" r:id="rId2657"/>
    <hyperlink xmlns:r="http://schemas.openxmlformats.org/officeDocument/2006/relationships" ref="S2659" r:id="rId2658"/>
    <hyperlink xmlns:r="http://schemas.openxmlformats.org/officeDocument/2006/relationships" ref="S2660" r:id="rId2659"/>
    <hyperlink xmlns:r="http://schemas.openxmlformats.org/officeDocument/2006/relationships" ref="S2661" r:id="rId2660"/>
    <hyperlink xmlns:r="http://schemas.openxmlformats.org/officeDocument/2006/relationships" ref="S2662" r:id="rId2661"/>
    <hyperlink xmlns:r="http://schemas.openxmlformats.org/officeDocument/2006/relationships" ref="S2663" r:id="rId2662"/>
    <hyperlink xmlns:r="http://schemas.openxmlformats.org/officeDocument/2006/relationships" ref="S2664" r:id="rId2663"/>
    <hyperlink xmlns:r="http://schemas.openxmlformats.org/officeDocument/2006/relationships" ref="S2665" r:id="rId2664"/>
    <hyperlink xmlns:r="http://schemas.openxmlformats.org/officeDocument/2006/relationships" ref="S2666" r:id="rId2665"/>
    <hyperlink xmlns:r="http://schemas.openxmlformats.org/officeDocument/2006/relationships" ref="S2667" r:id="rId2666"/>
    <hyperlink xmlns:r="http://schemas.openxmlformats.org/officeDocument/2006/relationships" ref="S2668" r:id="rId2667"/>
    <hyperlink xmlns:r="http://schemas.openxmlformats.org/officeDocument/2006/relationships" ref="S2669" r:id="rId2668"/>
    <hyperlink xmlns:r="http://schemas.openxmlformats.org/officeDocument/2006/relationships" ref="S2670" r:id="rId2669"/>
    <hyperlink xmlns:r="http://schemas.openxmlformats.org/officeDocument/2006/relationships" ref="S2671" r:id="rId2670"/>
    <hyperlink xmlns:r="http://schemas.openxmlformats.org/officeDocument/2006/relationships" ref="S2672" r:id="rId2671"/>
    <hyperlink xmlns:r="http://schemas.openxmlformats.org/officeDocument/2006/relationships" ref="S2673" r:id="rId2672"/>
    <hyperlink xmlns:r="http://schemas.openxmlformats.org/officeDocument/2006/relationships" ref="S2674" r:id="rId2673"/>
    <hyperlink xmlns:r="http://schemas.openxmlformats.org/officeDocument/2006/relationships" ref="S2675" r:id="rId2674"/>
    <hyperlink xmlns:r="http://schemas.openxmlformats.org/officeDocument/2006/relationships" ref="S2676" r:id="rId2675"/>
    <hyperlink xmlns:r="http://schemas.openxmlformats.org/officeDocument/2006/relationships" ref="S2677" r:id="rId2676"/>
    <hyperlink xmlns:r="http://schemas.openxmlformats.org/officeDocument/2006/relationships" ref="S2678" r:id="rId2677"/>
    <hyperlink xmlns:r="http://schemas.openxmlformats.org/officeDocument/2006/relationships" ref="S2679" r:id="rId2678"/>
    <hyperlink xmlns:r="http://schemas.openxmlformats.org/officeDocument/2006/relationships" ref="S2680" r:id="rId2679"/>
    <hyperlink xmlns:r="http://schemas.openxmlformats.org/officeDocument/2006/relationships" ref="S2681" r:id="rId2680"/>
    <hyperlink xmlns:r="http://schemas.openxmlformats.org/officeDocument/2006/relationships" ref="S2682" r:id="rId2681"/>
    <hyperlink xmlns:r="http://schemas.openxmlformats.org/officeDocument/2006/relationships" ref="S2683" r:id="rId2682"/>
    <hyperlink xmlns:r="http://schemas.openxmlformats.org/officeDocument/2006/relationships" ref="S2684" r:id="rId2683"/>
    <hyperlink xmlns:r="http://schemas.openxmlformats.org/officeDocument/2006/relationships" ref="S2685" r:id="rId2684"/>
    <hyperlink xmlns:r="http://schemas.openxmlformats.org/officeDocument/2006/relationships" ref="S2686" r:id="rId2685"/>
    <hyperlink xmlns:r="http://schemas.openxmlformats.org/officeDocument/2006/relationships" ref="S2687" r:id="rId2686"/>
    <hyperlink xmlns:r="http://schemas.openxmlformats.org/officeDocument/2006/relationships" ref="S2688" r:id="rId2687"/>
    <hyperlink xmlns:r="http://schemas.openxmlformats.org/officeDocument/2006/relationships" ref="S2689" r:id="rId2688"/>
    <hyperlink xmlns:r="http://schemas.openxmlformats.org/officeDocument/2006/relationships" ref="S2690" r:id="rId2689"/>
    <hyperlink xmlns:r="http://schemas.openxmlformats.org/officeDocument/2006/relationships" ref="S2691" r:id="rId2690"/>
    <hyperlink xmlns:r="http://schemas.openxmlformats.org/officeDocument/2006/relationships" ref="S2692" r:id="rId2691"/>
    <hyperlink xmlns:r="http://schemas.openxmlformats.org/officeDocument/2006/relationships" ref="S2693" r:id="rId2692"/>
    <hyperlink xmlns:r="http://schemas.openxmlformats.org/officeDocument/2006/relationships" ref="S2694" r:id="rId2693"/>
    <hyperlink xmlns:r="http://schemas.openxmlformats.org/officeDocument/2006/relationships" ref="S2695" r:id="rId2694"/>
    <hyperlink xmlns:r="http://schemas.openxmlformats.org/officeDocument/2006/relationships" ref="S2696" r:id="rId2695"/>
    <hyperlink xmlns:r="http://schemas.openxmlformats.org/officeDocument/2006/relationships" ref="S2697" r:id="rId2696"/>
    <hyperlink xmlns:r="http://schemas.openxmlformats.org/officeDocument/2006/relationships" ref="S2698" r:id="rId2697"/>
    <hyperlink xmlns:r="http://schemas.openxmlformats.org/officeDocument/2006/relationships" ref="S2699" r:id="rId2698"/>
    <hyperlink xmlns:r="http://schemas.openxmlformats.org/officeDocument/2006/relationships" ref="S2700" r:id="rId2699"/>
    <hyperlink xmlns:r="http://schemas.openxmlformats.org/officeDocument/2006/relationships" ref="S2701" r:id="rId2700"/>
    <hyperlink xmlns:r="http://schemas.openxmlformats.org/officeDocument/2006/relationships" ref="S2702" r:id="rId2701"/>
    <hyperlink xmlns:r="http://schemas.openxmlformats.org/officeDocument/2006/relationships" ref="S2703" r:id="rId2702"/>
    <hyperlink xmlns:r="http://schemas.openxmlformats.org/officeDocument/2006/relationships" ref="S2704" r:id="rId2703"/>
    <hyperlink xmlns:r="http://schemas.openxmlformats.org/officeDocument/2006/relationships" ref="S2705" r:id="rId2704"/>
    <hyperlink xmlns:r="http://schemas.openxmlformats.org/officeDocument/2006/relationships" ref="S2706" r:id="rId2705"/>
    <hyperlink xmlns:r="http://schemas.openxmlformats.org/officeDocument/2006/relationships" ref="S2707" r:id="rId2706"/>
    <hyperlink xmlns:r="http://schemas.openxmlformats.org/officeDocument/2006/relationships" ref="S2708" r:id="rId2707"/>
    <hyperlink xmlns:r="http://schemas.openxmlformats.org/officeDocument/2006/relationships" ref="S2709" r:id="rId2708"/>
    <hyperlink xmlns:r="http://schemas.openxmlformats.org/officeDocument/2006/relationships" ref="S2710" r:id="rId2709"/>
    <hyperlink xmlns:r="http://schemas.openxmlformats.org/officeDocument/2006/relationships" ref="S2711" r:id="rId2710"/>
    <hyperlink xmlns:r="http://schemas.openxmlformats.org/officeDocument/2006/relationships" ref="S2712" r:id="rId2711"/>
    <hyperlink xmlns:r="http://schemas.openxmlformats.org/officeDocument/2006/relationships" ref="S2713" r:id="rId2712"/>
    <hyperlink xmlns:r="http://schemas.openxmlformats.org/officeDocument/2006/relationships" ref="S2714" r:id="rId2713"/>
    <hyperlink xmlns:r="http://schemas.openxmlformats.org/officeDocument/2006/relationships" ref="S2715" r:id="rId2714"/>
    <hyperlink xmlns:r="http://schemas.openxmlformats.org/officeDocument/2006/relationships" ref="S2716" r:id="rId2715"/>
    <hyperlink xmlns:r="http://schemas.openxmlformats.org/officeDocument/2006/relationships" ref="S2717" r:id="rId2716"/>
    <hyperlink xmlns:r="http://schemas.openxmlformats.org/officeDocument/2006/relationships" ref="S2718" r:id="rId2717"/>
    <hyperlink xmlns:r="http://schemas.openxmlformats.org/officeDocument/2006/relationships" ref="S2719" r:id="rId2718"/>
    <hyperlink xmlns:r="http://schemas.openxmlformats.org/officeDocument/2006/relationships" ref="S2720" r:id="rId2719"/>
    <hyperlink xmlns:r="http://schemas.openxmlformats.org/officeDocument/2006/relationships" ref="S2721" r:id="rId2720"/>
    <hyperlink xmlns:r="http://schemas.openxmlformats.org/officeDocument/2006/relationships" ref="S2722" r:id="rId2721"/>
    <hyperlink xmlns:r="http://schemas.openxmlformats.org/officeDocument/2006/relationships" ref="S2723" r:id="rId2722"/>
    <hyperlink xmlns:r="http://schemas.openxmlformats.org/officeDocument/2006/relationships" ref="S2724" r:id="rId2723"/>
    <hyperlink xmlns:r="http://schemas.openxmlformats.org/officeDocument/2006/relationships" ref="S2725" r:id="rId2724"/>
    <hyperlink xmlns:r="http://schemas.openxmlformats.org/officeDocument/2006/relationships" ref="S2726" r:id="rId2725"/>
    <hyperlink xmlns:r="http://schemas.openxmlformats.org/officeDocument/2006/relationships" ref="S2727" r:id="rId2726"/>
    <hyperlink xmlns:r="http://schemas.openxmlformats.org/officeDocument/2006/relationships" ref="S2728" r:id="rId2727"/>
    <hyperlink xmlns:r="http://schemas.openxmlformats.org/officeDocument/2006/relationships" ref="S2729" r:id="rId2728"/>
    <hyperlink xmlns:r="http://schemas.openxmlformats.org/officeDocument/2006/relationships" ref="S2730" r:id="rId2729"/>
    <hyperlink xmlns:r="http://schemas.openxmlformats.org/officeDocument/2006/relationships" ref="S2731" r:id="rId2730"/>
    <hyperlink xmlns:r="http://schemas.openxmlformats.org/officeDocument/2006/relationships" ref="S2732" r:id="rId2731"/>
    <hyperlink xmlns:r="http://schemas.openxmlformats.org/officeDocument/2006/relationships" ref="S2733" r:id="rId2732"/>
    <hyperlink xmlns:r="http://schemas.openxmlformats.org/officeDocument/2006/relationships" ref="S2734" r:id="rId2733"/>
    <hyperlink xmlns:r="http://schemas.openxmlformats.org/officeDocument/2006/relationships" ref="S2735" r:id="rId2734"/>
    <hyperlink xmlns:r="http://schemas.openxmlformats.org/officeDocument/2006/relationships" ref="S2736" r:id="rId2735"/>
    <hyperlink xmlns:r="http://schemas.openxmlformats.org/officeDocument/2006/relationships" ref="S2737" r:id="rId2736"/>
    <hyperlink xmlns:r="http://schemas.openxmlformats.org/officeDocument/2006/relationships" ref="S2738" r:id="rId2737"/>
    <hyperlink xmlns:r="http://schemas.openxmlformats.org/officeDocument/2006/relationships" ref="S2739" r:id="rId2738"/>
    <hyperlink xmlns:r="http://schemas.openxmlformats.org/officeDocument/2006/relationships" ref="S2740" r:id="rId2739"/>
    <hyperlink xmlns:r="http://schemas.openxmlformats.org/officeDocument/2006/relationships" ref="S2741" r:id="rId2740"/>
    <hyperlink xmlns:r="http://schemas.openxmlformats.org/officeDocument/2006/relationships" ref="S2742" r:id="rId2741"/>
    <hyperlink xmlns:r="http://schemas.openxmlformats.org/officeDocument/2006/relationships" ref="S2743" r:id="rId2742"/>
    <hyperlink xmlns:r="http://schemas.openxmlformats.org/officeDocument/2006/relationships" ref="S2744" r:id="rId2743"/>
    <hyperlink xmlns:r="http://schemas.openxmlformats.org/officeDocument/2006/relationships" ref="S2745" r:id="rId2744"/>
    <hyperlink xmlns:r="http://schemas.openxmlformats.org/officeDocument/2006/relationships" ref="S2746" r:id="rId2745"/>
    <hyperlink xmlns:r="http://schemas.openxmlformats.org/officeDocument/2006/relationships" ref="S2747" r:id="rId2746"/>
    <hyperlink xmlns:r="http://schemas.openxmlformats.org/officeDocument/2006/relationships" ref="S2748" r:id="rId2747"/>
    <hyperlink xmlns:r="http://schemas.openxmlformats.org/officeDocument/2006/relationships" ref="S2749" r:id="rId2748"/>
    <hyperlink xmlns:r="http://schemas.openxmlformats.org/officeDocument/2006/relationships" ref="S2750" r:id="rId2749"/>
    <hyperlink xmlns:r="http://schemas.openxmlformats.org/officeDocument/2006/relationships" ref="S2751" r:id="rId2750"/>
    <hyperlink xmlns:r="http://schemas.openxmlformats.org/officeDocument/2006/relationships" ref="S2752" r:id="rId2751"/>
    <hyperlink xmlns:r="http://schemas.openxmlformats.org/officeDocument/2006/relationships" ref="S2753" r:id="rId2752"/>
    <hyperlink xmlns:r="http://schemas.openxmlformats.org/officeDocument/2006/relationships" ref="S2754" r:id="rId2753"/>
    <hyperlink xmlns:r="http://schemas.openxmlformats.org/officeDocument/2006/relationships" ref="S2755" r:id="rId2754"/>
    <hyperlink xmlns:r="http://schemas.openxmlformats.org/officeDocument/2006/relationships" ref="S2756" r:id="rId2755"/>
    <hyperlink xmlns:r="http://schemas.openxmlformats.org/officeDocument/2006/relationships" ref="S2757" r:id="rId2756"/>
    <hyperlink xmlns:r="http://schemas.openxmlformats.org/officeDocument/2006/relationships" ref="S2758" r:id="rId2757"/>
    <hyperlink xmlns:r="http://schemas.openxmlformats.org/officeDocument/2006/relationships" ref="S2759" r:id="rId2758"/>
    <hyperlink xmlns:r="http://schemas.openxmlformats.org/officeDocument/2006/relationships" ref="S2760" r:id="rId2759"/>
    <hyperlink xmlns:r="http://schemas.openxmlformats.org/officeDocument/2006/relationships" ref="S2761" r:id="rId2760"/>
    <hyperlink xmlns:r="http://schemas.openxmlformats.org/officeDocument/2006/relationships" ref="S2762" r:id="rId2761"/>
    <hyperlink xmlns:r="http://schemas.openxmlformats.org/officeDocument/2006/relationships" ref="S2763" r:id="rId2762"/>
    <hyperlink xmlns:r="http://schemas.openxmlformats.org/officeDocument/2006/relationships" ref="S2764" r:id="rId2763"/>
    <hyperlink xmlns:r="http://schemas.openxmlformats.org/officeDocument/2006/relationships" ref="S2765" r:id="rId2764"/>
    <hyperlink xmlns:r="http://schemas.openxmlformats.org/officeDocument/2006/relationships" ref="S2766" r:id="rId2765"/>
    <hyperlink xmlns:r="http://schemas.openxmlformats.org/officeDocument/2006/relationships" ref="S2767" r:id="rId2766"/>
    <hyperlink xmlns:r="http://schemas.openxmlformats.org/officeDocument/2006/relationships" ref="S2768" r:id="rId2767"/>
    <hyperlink xmlns:r="http://schemas.openxmlformats.org/officeDocument/2006/relationships" ref="S2769" r:id="rId2768"/>
    <hyperlink xmlns:r="http://schemas.openxmlformats.org/officeDocument/2006/relationships" ref="S2770" r:id="rId2769"/>
    <hyperlink xmlns:r="http://schemas.openxmlformats.org/officeDocument/2006/relationships" ref="S2771" r:id="rId2770"/>
    <hyperlink xmlns:r="http://schemas.openxmlformats.org/officeDocument/2006/relationships" ref="S2772" r:id="rId2771"/>
    <hyperlink xmlns:r="http://schemas.openxmlformats.org/officeDocument/2006/relationships" ref="S2773" r:id="rId2772"/>
    <hyperlink xmlns:r="http://schemas.openxmlformats.org/officeDocument/2006/relationships" ref="S2774" r:id="rId2773"/>
    <hyperlink xmlns:r="http://schemas.openxmlformats.org/officeDocument/2006/relationships" ref="S2775" r:id="rId2774"/>
    <hyperlink xmlns:r="http://schemas.openxmlformats.org/officeDocument/2006/relationships" ref="S2776" r:id="rId2775"/>
    <hyperlink xmlns:r="http://schemas.openxmlformats.org/officeDocument/2006/relationships" ref="S2777" r:id="rId2776"/>
    <hyperlink xmlns:r="http://schemas.openxmlformats.org/officeDocument/2006/relationships" ref="S2778" r:id="rId2777"/>
    <hyperlink xmlns:r="http://schemas.openxmlformats.org/officeDocument/2006/relationships" ref="S2779" r:id="rId2778"/>
    <hyperlink xmlns:r="http://schemas.openxmlformats.org/officeDocument/2006/relationships" ref="S2780" r:id="rId2779"/>
    <hyperlink xmlns:r="http://schemas.openxmlformats.org/officeDocument/2006/relationships" ref="S2781" r:id="rId2780"/>
    <hyperlink xmlns:r="http://schemas.openxmlformats.org/officeDocument/2006/relationships" ref="S2782" r:id="rId2781"/>
    <hyperlink xmlns:r="http://schemas.openxmlformats.org/officeDocument/2006/relationships" ref="S2783" r:id="rId2782"/>
    <hyperlink xmlns:r="http://schemas.openxmlformats.org/officeDocument/2006/relationships" ref="S2784" r:id="rId2783"/>
    <hyperlink xmlns:r="http://schemas.openxmlformats.org/officeDocument/2006/relationships" ref="S2785" r:id="rId2784"/>
    <hyperlink xmlns:r="http://schemas.openxmlformats.org/officeDocument/2006/relationships" ref="S2786" r:id="rId2785"/>
    <hyperlink xmlns:r="http://schemas.openxmlformats.org/officeDocument/2006/relationships" ref="S2787" r:id="rId2786"/>
    <hyperlink xmlns:r="http://schemas.openxmlformats.org/officeDocument/2006/relationships" ref="S2788" r:id="rId2787"/>
    <hyperlink xmlns:r="http://schemas.openxmlformats.org/officeDocument/2006/relationships" ref="S2789" r:id="rId2788"/>
    <hyperlink xmlns:r="http://schemas.openxmlformats.org/officeDocument/2006/relationships" ref="S2790" r:id="rId2789"/>
    <hyperlink xmlns:r="http://schemas.openxmlformats.org/officeDocument/2006/relationships" ref="S2791" r:id="rId2790"/>
    <hyperlink xmlns:r="http://schemas.openxmlformats.org/officeDocument/2006/relationships" ref="S2792" r:id="rId2791"/>
    <hyperlink xmlns:r="http://schemas.openxmlformats.org/officeDocument/2006/relationships" ref="S2793" r:id="rId2792"/>
    <hyperlink xmlns:r="http://schemas.openxmlformats.org/officeDocument/2006/relationships" ref="S2794" r:id="rId2793"/>
    <hyperlink xmlns:r="http://schemas.openxmlformats.org/officeDocument/2006/relationships" ref="S2795" r:id="rId2794"/>
    <hyperlink xmlns:r="http://schemas.openxmlformats.org/officeDocument/2006/relationships" ref="S2796" r:id="rId2795"/>
    <hyperlink xmlns:r="http://schemas.openxmlformats.org/officeDocument/2006/relationships" ref="S2797" r:id="rId2796"/>
    <hyperlink xmlns:r="http://schemas.openxmlformats.org/officeDocument/2006/relationships" ref="S2798" r:id="rId2797"/>
    <hyperlink xmlns:r="http://schemas.openxmlformats.org/officeDocument/2006/relationships" ref="S2799" r:id="rId2798"/>
    <hyperlink xmlns:r="http://schemas.openxmlformats.org/officeDocument/2006/relationships" ref="S2800" r:id="rId2799"/>
    <hyperlink xmlns:r="http://schemas.openxmlformats.org/officeDocument/2006/relationships" ref="S2801" r:id="rId2800"/>
    <hyperlink xmlns:r="http://schemas.openxmlformats.org/officeDocument/2006/relationships" ref="S2802" r:id="rId2801"/>
    <hyperlink xmlns:r="http://schemas.openxmlformats.org/officeDocument/2006/relationships" ref="S2803" r:id="rId2802"/>
    <hyperlink xmlns:r="http://schemas.openxmlformats.org/officeDocument/2006/relationships" ref="S2804" r:id="rId2803"/>
    <hyperlink xmlns:r="http://schemas.openxmlformats.org/officeDocument/2006/relationships" ref="S2805" r:id="rId2804"/>
    <hyperlink xmlns:r="http://schemas.openxmlformats.org/officeDocument/2006/relationships" ref="S2806" r:id="rId2805"/>
    <hyperlink xmlns:r="http://schemas.openxmlformats.org/officeDocument/2006/relationships" ref="S2807" r:id="rId2806"/>
    <hyperlink xmlns:r="http://schemas.openxmlformats.org/officeDocument/2006/relationships" ref="S2808" r:id="rId2807"/>
    <hyperlink xmlns:r="http://schemas.openxmlformats.org/officeDocument/2006/relationships" ref="S2809" r:id="rId2808"/>
    <hyperlink xmlns:r="http://schemas.openxmlformats.org/officeDocument/2006/relationships" ref="S2810" r:id="rId2809"/>
    <hyperlink xmlns:r="http://schemas.openxmlformats.org/officeDocument/2006/relationships" ref="S2811" r:id="rId2810"/>
    <hyperlink xmlns:r="http://schemas.openxmlformats.org/officeDocument/2006/relationships" ref="S2812" r:id="rId2811"/>
    <hyperlink xmlns:r="http://schemas.openxmlformats.org/officeDocument/2006/relationships" ref="S2813" r:id="rId2812"/>
    <hyperlink xmlns:r="http://schemas.openxmlformats.org/officeDocument/2006/relationships" ref="S2814" r:id="rId2813"/>
    <hyperlink xmlns:r="http://schemas.openxmlformats.org/officeDocument/2006/relationships" ref="S2815" r:id="rId2814"/>
    <hyperlink xmlns:r="http://schemas.openxmlformats.org/officeDocument/2006/relationships" ref="S2816" r:id="rId2815"/>
    <hyperlink xmlns:r="http://schemas.openxmlformats.org/officeDocument/2006/relationships" ref="S2817" r:id="rId2816"/>
    <hyperlink xmlns:r="http://schemas.openxmlformats.org/officeDocument/2006/relationships" ref="S2818" r:id="rId2817"/>
    <hyperlink xmlns:r="http://schemas.openxmlformats.org/officeDocument/2006/relationships" ref="S2819" r:id="rId2818"/>
    <hyperlink xmlns:r="http://schemas.openxmlformats.org/officeDocument/2006/relationships" ref="S2820" r:id="rId2819"/>
    <hyperlink xmlns:r="http://schemas.openxmlformats.org/officeDocument/2006/relationships" ref="S2821" r:id="rId2820"/>
    <hyperlink xmlns:r="http://schemas.openxmlformats.org/officeDocument/2006/relationships" ref="S2822" r:id="rId2821"/>
    <hyperlink xmlns:r="http://schemas.openxmlformats.org/officeDocument/2006/relationships" ref="S2823" r:id="rId2822"/>
    <hyperlink xmlns:r="http://schemas.openxmlformats.org/officeDocument/2006/relationships" ref="S2824" r:id="rId2823"/>
    <hyperlink xmlns:r="http://schemas.openxmlformats.org/officeDocument/2006/relationships" ref="S2825" r:id="rId2824"/>
    <hyperlink xmlns:r="http://schemas.openxmlformats.org/officeDocument/2006/relationships" ref="S2826" r:id="rId2825"/>
    <hyperlink xmlns:r="http://schemas.openxmlformats.org/officeDocument/2006/relationships" ref="S2827" r:id="rId2826"/>
    <hyperlink xmlns:r="http://schemas.openxmlformats.org/officeDocument/2006/relationships" ref="S2828" r:id="rId2827"/>
    <hyperlink xmlns:r="http://schemas.openxmlformats.org/officeDocument/2006/relationships" ref="S2829" r:id="rId2828"/>
    <hyperlink xmlns:r="http://schemas.openxmlformats.org/officeDocument/2006/relationships" ref="S2830" r:id="rId2829"/>
    <hyperlink xmlns:r="http://schemas.openxmlformats.org/officeDocument/2006/relationships" ref="S2831" r:id="rId2830"/>
    <hyperlink xmlns:r="http://schemas.openxmlformats.org/officeDocument/2006/relationships" ref="S2832" r:id="rId2831"/>
    <hyperlink xmlns:r="http://schemas.openxmlformats.org/officeDocument/2006/relationships" ref="S2833" r:id="rId2832"/>
    <hyperlink xmlns:r="http://schemas.openxmlformats.org/officeDocument/2006/relationships" ref="S2834" r:id="rId2833"/>
    <hyperlink xmlns:r="http://schemas.openxmlformats.org/officeDocument/2006/relationships" ref="S2835" r:id="rId2834"/>
    <hyperlink xmlns:r="http://schemas.openxmlformats.org/officeDocument/2006/relationships" ref="S2836" r:id="rId2835"/>
    <hyperlink xmlns:r="http://schemas.openxmlformats.org/officeDocument/2006/relationships" ref="S2837" r:id="rId2836"/>
    <hyperlink xmlns:r="http://schemas.openxmlformats.org/officeDocument/2006/relationships" ref="S2838" r:id="rId2837"/>
    <hyperlink xmlns:r="http://schemas.openxmlformats.org/officeDocument/2006/relationships" ref="S2839" r:id="rId2838"/>
    <hyperlink xmlns:r="http://schemas.openxmlformats.org/officeDocument/2006/relationships" ref="S2840" r:id="rId2839"/>
    <hyperlink xmlns:r="http://schemas.openxmlformats.org/officeDocument/2006/relationships" ref="S2841" r:id="rId2840"/>
    <hyperlink xmlns:r="http://schemas.openxmlformats.org/officeDocument/2006/relationships" ref="S2842" r:id="rId2841"/>
    <hyperlink xmlns:r="http://schemas.openxmlformats.org/officeDocument/2006/relationships" ref="S2843" r:id="rId2842"/>
    <hyperlink xmlns:r="http://schemas.openxmlformats.org/officeDocument/2006/relationships" ref="S2844" r:id="rId2843"/>
    <hyperlink xmlns:r="http://schemas.openxmlformats.org/officeDocument/2006/relationships" ref="S2845" r:id="rId2844"/>
    <hyperlink xmlns:r="http://schemas.openxmlformats.org/officeDocument/2006/relationships" ref="S2846" r:id="rId2845"/>
    <hyperlink xmlns:r="http://schemas.openxmlformats.org/officeDocument/2006/relationships" ref="S2847" r:id="rId2846"/>
    <hyperlink xmlns:r="http://schemas.openxmlformats.org/officeDocument/2006/relationships" ref="S2848" r:id="rId2847"/>
    <hyperlink xmlns:r="http://schemas.openxmlformats.org/officeDocument/2006/relationships" ref="S2849" r:id="rId2848"/>
    <hyperlink xmlns:r="http://schemas.openxmlformats.org/officeDocument/2006/relationships" ref="S2850" r:id="rId2849"/>
    <hyperlink xmlns:r="http://schemas.openxmlformats.org/officeDocument/2006/relationships" ref="S2851" r:id="rId2850"/>
    <hyperlink xmlns:r="http://schemas.openxmlformats.org/officeDocument/2006/relationships" ref="S2852" r:id="rId2851"/>
    <hyperlink xmlns:r="http://schemas.openxmlformats.org/officeDocument/2006/relationships" ref="S2853" r:id="rId2852"/>
    <hyperlink xmlns:r="http://schemas.openxmlformats.org/officeDocument/2006/relationships" ref="S2854" r:id="rId2853"/>
    <hyperlink xmlns:r="http://schemas.openxmlformats.org/officeDocument/2006/relationships" ref="S2855" r:id="rId2854"/>
    <hyperlink xmlns:r="http://schemas.openxmlformats.org/officeDocument/2006/relationships" ref="S2856" r:id="rId2855"/>
    <hyperlink xmlns:r="http://schemas.openxmlformats.org/officeDocument/2006/relationships" ref="S2857" r:id="rId2856"/>
    <hyperlink xmlns:r="http://schemas.openxmlformats.org/officeDocument/2006/relationships" ref="S2858" r:id="rId2857"/>
    <hyperlink xmlns:r="http://schemas.openxmlformats.org/officeDocument/2006/relationships" ref="S2859" r:id="rId2858"/>
    <hyperlink xmlns:r="http://schemas.openxmlformats.org/officeDocument/2006/relationships" ref="S2860" r:id="rId2859"/>
    <hyperlink xmlns:r="http://schemas.openxmlformats.org/officeDocument/2006/relationships" ref="S2861" r:id="rId2860"/>
    <hyperlink xmlns:r="http://schemas.openxmlformats.org/officeDocument/2006/relationships" ref="S2862" r:id="rId2861"/>
    <hyperlink xmlns:r="http://schemas.openxmlformats.org/officeDocument/2006/relationships" ref="S2863" r:id="rId2862"/>
    <hyperlink xmlns:r="http://schemas.openxmlformats.org/officeDocument/2006/relationships" ref="S2864" r:id="rId2863"/>
    <hyperlink xmlns:r="http://schemas.openxmlformats.org/officeDocument/2006/relationships" ref="S2865" r:id="rId2864"/>
    <hyperlink xmlns:r="http://schemas.openxmlformats.org/officeDocument/2006/relationships" ref="S2866" r:id="rId2865"/>
    <hyperlink xmlns:r="http://schemas.openxmlformats.org/officeDocument/2006/relationships" ref="S2867" r:id="rId2866"/>
    <hyperlink xmlns:r="http://schemas.openxmlformats.org/officeDocument/2006/relationships" ref="S2868" r:id="rId2867"/>
    <hyperlink xmlns:r="http://schemas.openxmlformats.org/officeDocument/2006/relationships" ref="S2869" r:id="rId2868"/>
    <hyperlink xmlns:r="http://schemas.openxmlformats.org/officeDocument/2006/relationships" ref="S2870" r:id="rId2869"/>
    <hyperlink xmlns:r="http://schemas.openxmlformats.org/officeDocument/2006/relationships" ref="S2871" r:id="rId2870"/>
    <hyperlink xmlns:r="http://schemas.openxmlformats.org/officeDocument/2006/relationships" ref="S2872" r:id="rId2871"/>
    <hyperlink xmlns:r="http://schemas.openxmlformats.org/officeDocument/2006/relationships" ref="S2873" r:id="rId2872"/>
    <hyperlink xmlns:r="http://schemas.openxmlformats.org/officeDocument/2006/relationships" ref="S2874" r:id="rId2873"/>
    <hyperlink xmlns:r="http://schemas.openxmlformats.org/officeDocument/2006/relationships" ref="S2875" r:id="rId2874"/>
    <hyperlink xmlns:r="http://schemas.openxmlformats.org/officeDocument/2006/relationships" ref="S2876" r:id="rId2875"/>
    <hyperlink xmlns:r="http://schemas.openxmlformats.org/officeDocument/2006/relationships" ref="S2877" r:id="rId2876"/>
    <hyperlink xmlns:r="http://schemas.openxmlformats.org/officeDocument/2006/relationships" ref="S2878" r:id="rId2877"/>
    <hyperlink xmlns:r="http://schemas.openxmlformats.org/officeDocument/2006/relationships" ref="S2879" r:id="rId2878"/>
    <hyperlink xmlns:r="http://schemas.openxmlformats.org/officeDocument/2006/relationships" ref="S2880" r:id="rId2879"/>
    <hyperlink xmlns:r="http://schemas.openxmlformats.org/officeDocument/2006/relationships" ref="S2881" r:id="rId2880"/>
    <hyperlink xmlns:r="http://schemas.openxmlformats.org/officeDocument/2006/relationships" ref="S2882" r:id="rId2881"/>
    <hyperlink xmlns:r="http://schemas.openxmlformats.org/officeDocument/2006/relationships" ref="S2883" r:id="rId2882"/>
    <hyperlink xmlns:r="http://schemas.openxmlformats.org/officeDocument/2006/relationships" ref="S2884" r:id="rId2883"/>
    <hyperlink xmlns:r="http://schemas.openxmlformats.org/officeDocument/2006/relationships" ref="S2885" r:id="rId2884"/>
    <hyperlink xmlns:r="http://schemas.openxmlformats.org/officeDocument/2006/relationships" ref="S2886" r:id="rId2885"/>
    <hyperlink xmlns:r="http://schemas.openxmlformats.org/officeDocument/2006/relationships" ref="S2887" r:id="rId2886"/>
    <hyperlink xmlns:r="http://schemas.openxmlformats.org/officeDocument/2006/relationships" ref="S2888" r:id="rId2887"/>
    <hyperlink xmlns:r="http://schemas.openxmlformats.org/officeDocument/2006/relationships" ref="S2889" r:id="rId2888"/>
    <hyperlink xmlns:r="http://schemas.openxmlformats.org/officeDocument/2006/relationships" ref="S2890" r:id="rId2889"/>
    <hyperlink xmlns:r="http://schemas.openxmlformats.org/officeDocument/2006/relationships" ref="S2891" r:id="rId2890"/>
    <hyperlink xmlns:r="http://schemas.openxmlformats.org/officeDocument/2006/relationships" ref="S2892" r:id="rId2891"/>
    <hyperlink xmlns:r="http://schemas.openxmlformats.org/officeDocument/2006/relationships" ref="S2893" r:id="rId2892"/>
    <hyperlink xmlns:r="http://schemas.openxmlformats.org/officeDocument/2006/relationships" ref="S2894" r:id="rId2893"/>
    <hyperlink xmlns:r="http://schemas.openxmlformats.org/officeDocument/2006/relationships" ref="S2895" r:id="rId2894"/>
    <hyperlink xmlns:r="http://schemas.openxmlformats.org/officeDocument/2006/relationships" ref="S2896" r:id="rId2895"/>
    <hyperlink xmlns:r="http://schemas.openxmlformats.org/officeDocument/2006/relationships" ref="S2897" r:id="rId2896"/>
    <hyperlink xmlns:r="http://schemas.openxmlformats.org/officeDocument/2006/relationships" ref="S2898" r:id="rId2897"/>
    <hyperlink xmlns:r="http://schemas.openxmlformats.org/officeDocument/2006/relationships" ref="S2899" r:id="rId2898"/>
    <hyperlink xmlns:r="http://schemas.openxmlformats.org/officeDocument/2006/relationships" ref="S2900" r:id="rId2899"/>
    <hyperlink xmlns:r="http://schemas.openxmlformats.org/officeDocument/2006/relationships" ref="S2901" r:id="rId2900"/>
    <hyperlink xmlns:r="http://schemas.openxmlformats.org/officeDocument/2006/relationships" ref="S2902" r:id="rId2901"/>
    <hyperlink xmlns:r="http://schemas.openxmlformats.org/officeDocument/2006/relationships" ref="S2903" r:id="rId2902"/>
    <hyperlink xmlns:r="http://schemas.openxmlformats.org/officeDocument/2006/relationships" ref="S2904" r:id="rId2903"/>
    <hyperlink xmlns:r="http://schemas.openxmlformats.org/officeDocument/2006/relationships" ref="S2905" r:id="rId2904"/>
    <hyperlink xmlns:r="http://schemas.openxmlformats.org/officeDocument/2006/relationships" ref="S2906" r:id="rId2905"/>
    <hyperlink xmlns:r="http://schemas.openxmlformats.org/officeDocument/2006/relationships" ref="S2907" r:id="rId2906"/>
    <hyperlink xmlns:r="http://schemas.openxmlformats.org/officeDocument/2006/relationships" ref="S2908" r:id="rId2907"/>
    <hyperlink xmlns:r="http://schemas.openxmlformats.org/officeDocument/2006/relationships" ref="S2909" r:id="rId2908"/>
    <hyperlink xmlns:r="http://schemas.openxmlformats.org/officeDocument/2006/relationships" ref="S2910" r:id="rId2909"/>
    <hyperlink xmlns:r="http://schemas.openxmlformats.org/officeDocument/2006/relationships" ref="S2911" r:id="rId2910"/>
    <hyperlink xmlns:r="http://schemas.openxmlformats.org/officeDocument/2006/relationships" ref="S2912" r:id="rId2911"/>
    <hyperlink xmlns:r="http://schemas.openxmlformats.org/officeDocument/2006/relationships" ref="S2913" r:id="rId2912"/>
    <hyperlink xmlns:r="http://schemas.openxmlformats.org/officeDocument/2006/relationships" ref="S2914" r:id="rId2913"/>
    <hyperlink xmlns:r="http://schemas.openxmlformats.org/officeDocument/2006/relationships" ref="S2915" r:id="rId2914"/>
    <hyperlink xmlns:r="http://schemas.openxmlformats.org/officeDocument/2006/relationships" ref="S2916" r:id="rId2915"/>
    <hyperlink xmlns:r="http://schemas.openxmlformats.org/officeDocument/2006/relationships" ref="S2917" r:id="rId2916"/>
    <hyperlink xmlns:r="http://schemas.openxmlformats.org/officeDocument/2006/relationships" ref="S2918" r:id="rId2917"/>
    <hyperlink xmlns:r="http://schemas.openxmlformats.org/officeDocument/2006/relationships" ref="S2919" r:id="rId2918"/>
    <hyperlink xmlns:r="http://schemas.openxmlformats.org/officeDocument/2006/relationships" ref="S2920" r:id="rId2919"/>
    <hyperlink xmlns:r="http://schemas.openxmlformats.org/officeDocument/2006/relationships" ref="S2921" r:id="rId2920"/>
    <hyperlink xmlns:r="http://schemas.openxmlformats.org/officeDocument/2006/relationships" ref="S2922" r:id="rId2921"/>
    <hyperlink xmlns:r="http://schemas.openxmlformats.org/officeDocument/2006/relationships" ref="S2923" r:id="rId2922"/>
    <hyperlink xmlns:r="http://schemas.openxmlformats.org/officeDocument/2006/relationships" ref="S2924" r:id="rId2923"/>
    <hyperlink xmlns:r="http://schemas.openxmlformats.org/officeDocument/2006/relationships" ref="S2925" r:id="rId2924"/>
    <hyperlink xmlns:r="http://schemas.openxmlformats.org/officeDocument/2006/relationships" ref="S2926" r:id="rId2925"/>
    <hyperlink xmlns:r="http://schemas.openxmlformats.org/officeDocument/2006/relationships" ref="S2927" r:id="rId2926"/>
    <hyperlink xmlns:r="http://schemas.openxmlformats.org/officeDocument/2006/relationships" ref="S2928" r:id="rId2927"/>
    <hyperlink xmlns:r="http://schemas.openxmlformats.org/officeDocument/2006/relationships" ref="S2929" r:id="rId2928"/>
    <hyperlink xmlns:r="http://schemas.openxmlformats.org/officeDocument/2006/relationships" ref="S2930" r:id="rId2929"/>
    <hyperlink xmlns:r="http://schemas.openxmlformats.org/officeDocument/2006/relationships" ref="S2931" r:id="rId2930"/>
    <hyperlink xmlns:r="http://schemas.openxmlformats.org/officeDocument/2006/relationships" ref="S2932" r:id="rId2931"/>
    <hyperlink xmlns:r="http://schemas.openxmlformats.org/officeDocument/2006/relationships" ref="S2933" r:id="rId2932"/>
    <hyperlink xmlns:r="http://schemas.openxmlformats.org/officeDocument/2006/relationships" ref="S2934" r:id="rId2933"/>
    <hyperlink xmlns:r="http://schemas.openxmlformats.org/officeDocument/2006/relationships" ref="S2935" r:id="rId2934"/>
    <hyperlink xmlns:r="http://schemas.openxmlformats.org/officeDocument/2006/relationships" ref="S2936" r:id="rId2935"/>
    <hyperlink xmlns:r="http://schemas.openxmlformats.org/officeDocument/2006/relationships" ref="S2937" r:id="rId2936"/>
    <hyperlink xmlns:r="http://schemas.openxmlformats.org/officeDocument/2006/relationships" ref="S2938" r:id="rId2937"/>
    <hyperlink xmlns:r="http://schemas.openxmlformats.org/officeDocument/2006/relationships" ref="S2939" r:id="rId2938"/>
    <hyperlink xmlns:r="http://schemas.openxmlformats.org/officeDocument/2006/relationships" ref="S2940" r:id="rId2939"/>
    <hyperlink xmlns:r="http://schemas.openxmlformats.org/officeDocument/2006/relationships" ref="S2941" r:id="rId2940"/>
    <hyperlink xmlns:r="http://schemas.openxmlformats.org/officeDocument/2006/relationships" ref="S2942" r:id="rId2941"/>
    <hyperlink xmlns:r="http://schemas.openxmlformats.org/officeDocument/2006/relationships" ref="S2943" r:id="rId2942"/>
    <hyperlink xmlns:r="http://schemas.openxmlformats.org/officeDocument/2006/relationships" ref="S2944" r:id="rId2943"/>
    <hyperlink xmlns:r="http://schemas.openxmlformats.org/officeDocument/2006/relationships" ref="S2945" r:id="rId2944"/>
    <hyperlink xmlns:r="http://schemas.openxmlformats.org/officeDocument/2006/relationships" ref="S2946" r:id="rId2945"/>
    <hyperlink xmlns:r="http://schemas.openxmlformats.org/officeDocument/2006/relationships" ref="S2947" r:id="rId2946"/>
    <hyperlink xmlns:r="http://schemas.openxmlformats.org/officeDocument/2006/relationships" ref="S2948" r:id="rId2947"/>
    <hyperlink xmlns:r="http://schemas.openxmlformats.org/officeDocument/2006/relationships" ref="S2949" r:id="rId2948"/>
    <hyperlink xmlns:r="http://schemas.openxmlformats.org/officeDocument/2006/relationships" ref="S2950" r:id="rId2949"/>
    <hyperlink xmlns:r="http://schemas.openxmlformats.org/officeDocument/2006/relationships" ref="S2951" r:id="rId2950"/>
    <hyperlink xmlns:r="http://schemas.openxmlformats.org/officeDocument/2006/relationships" ref="S2952" r:id="rId2951"/>
    <hyperlink xmlns:r="http://schemas.openxmlformats.org/officeDocument/2006/relationships" ref="S2953" r:id="rId2952"/>
    <hyperlink xmlns:r="http://schemas.openxmlformats.org/officeDocument/2006/relationships" ref="S2954" r:id="rId2953"/>
    <hyperlink xmlns:r="http://schemas.openxmlformats.org/officeDocument/2006/relationships" ref="S2955" r:id="rId2954"/>
    <hyperlink xmlns:r="http://schemas.openxmlformats.org/officeDocument/2006/relationships" ref="S2956" r:id="rId2955"/>
    <hyperlink xmlns:r="http://schemas.openxmlformats.org/officeDocument/2006/relationships" ref="S2957" r:id="rId2956"/>
    <hyperlink xmlns:r="http://schemas.openxmlformats.org/officeDocument/2006/relationships" ref="S2958" r:id="rId2957"/>
    <hyperlink xmlns:r="http://schemas.openxmlformats.org/officeDocument/2006/relationships" ref="S2959" r:id="rId2958"/>
    <hyperlink xmlns:r="http://schemas.openxmlformats.org/officeDocument/2006/relationships" ref="S2960" r:id="rId2959"/>
    <hyperlink xmlns:r="http://schemas.openxmlformats.org/officeDocument/2006/relationships" ref="S2961" r:id="rId2960"/>
    <hyperlink xmlns:r="http://schemas.openxmlformats.org/officeDocument/2006/relationships" ref="S2962" r:id="rId2961"/>
    <hyperlink xmlns:r="http://schemas.openxmlformats.org/officeDocument/2006/relationships" ref="S2963" r:id="rId2962"/>
    <hyperlink xmlns:r="http://schemas.openxmlformats.org/officeDocument/2006/relationships" ref="S2964" r:id="rId2963"/>
    <hyperlink xmlns:r="http://schemas.openxmlformats.org/officeDocument/2006/relationships" ref="S2965" r:id="rId2964"/>
    <hyperlink xmlns:r="http://schemas.openxmlformats.org/officeDocument/2006/relationships" ref="S2966" r:id="rId2965"/>
    <hyperlink xmlns:r="http://schemas.openxmlformats.org/officeDocument/2006/relationships" ref="S2967" r:id="rId2966"/>
    <hyperlink xmlns:r="http://schemas.openxmlformats.org/officeDocument/2006/relationships" ref="S2968" r:id="rId2967"/>
    <hyperlink xmlns:r="http://schemas.openxmlformats.org/officeDocument/2006/relationships" ref="S2969" r:id="rId2968"/>
    <hyperlink xmlns:r="http://schemas.openxmlformats.org/officeDocument/2006/relationships" ref="S2970" r:id="rId2969"/>
    <hyperlink xmlns:r="http://schemas.openxmlformats.org/officeDocument/2006/relationships" ref="S2971" r:id="rId2970"/>
    <hyperlink xmlns:r="http://schemas.openxmlformats.org/officeDocument/2006/relationships" ref="S2972" r:id="rId2971"/>
    <hyperlink xmlns:r="http://schemas.openxmlformats.org/officeDocument/2006/relationships" ref="S2973" r:id="rId2972"/>
    <hyperlink xmlns:r="http://schemas.openxmlformats.org/officeDocument/2006/relationships" ref="S2974" r:id="rId2973"/>
    <hyperlink xmlns:r="http://schemas.openxmlformats.org/officeDocument/2006/relationships" ref="S2975" r:id="rId2974"/>
    <hyperlink xmlns:r="http://schemas.openxmlformats.org/officeDocument/2006/relationships" ref="S2976" r:id="rId2975"/>
    <hyperlink xmlns:r="http://schemas.openxmlformats.org/officeDocument/2006/relationships" ref="S2977" r:id="rId2976"/>
    <hyperlink xmlns:r="http://schemas.openxmlformats.org/officeDocument/2006/relationships" ref="S2978" r:id="rId2977"/>
    <hyperlink xmlns:r="http://schemas.openxmlformats.org/officeDocument/2006/relationships" ref="S2979" r:id="rId2978"/>
    <hyperlink xmlns:r="http://schemas.openxmlformats.org/officeDocument/2006/relationships" ref="S2980" r:id="rId2979"/>
    <hyperlink xmlns:r="http://schemas.openxmlformats.org/officeDocument/2006/relationships" ref="S2981" r:id="rId2980"/>
    <hyperlink xmlns:r="http://schemas.openxmlformats.org/officeDocument/2006/relationships" ref="S2982" r:id="rId2981"/>
    <hyperlink xmlns:r="http://schemas.openxmlformats.org/officeDocument/2006/relationships" ref="S2983" r:id="rId2982"/>
    <hyperlink xmlns:r="http://schemas.openxmlformats.org/officeDocument/2006/relationships" ref="S2984" r:id="rId2983"/>
    <hyperlink xmlns:r="http://schemas.openxmlformats.org/officeDocument/2006/relationships" ref="S2985" r:id="rId2984"/>
    <hyperlink xmlns:r="http://schemas.openxmlformats.org/officeDocument/2006/relationships" ref="S2986" r:id="rId2985"/>
    <hyperlink xmlns:r="http://schemas.openxmlformats.org/officeDocument/2006/relationships" ref="S2987" r:id="rId2986"/>
    <hyperlink xmlns:r="http://schemas.openxmlformats.org/officeDocument/2006/relationships" ref="S2988" r:id="rId2987"/>
    <hyperlink xmlns:r="http://schemas.openxmlformats.org/officeDocument/2006/relationships" ref="S2989" r:id="rId2988"/>
    <hyperlink xmlns:r="http://schemas.openxmlformats.org/officeDocument/2006/relationships" ref="S2990" r:id="rId2989"/>
    <hyperlink xmlns:r="http://schemas.openxmlformats.org/officeDocument/2006/relationships" ref="S2991" r:id="rId2990"/>
    <hyperlink xmlns:r="http://schemas.openxmlformats.org/officeDocument/2006/relationships" ref="S2992" r:id="rId2991"/>
    <hyperlink xmlns:r="http://schemas.openxmlformats.org/officeDocument/2006/relationships" ref="S2993" r:id="rId2992"/>
    <hyperlink xmlns:r="http://schemas.openxmlformats.org/officeDocument/2006/relationships" ref="S2994" r:id="rId2993"/>
    <hyperlink xmlns:r="http://schemas.openxmlformats.org/officeDocument/2006/relationships" ref="S2995" r:id="rId2994"/>
    <hyperlink xmlns:r="http://schemas.openxmlformats.org/officeDocument/2006/relationships" ref="S2996" r:id="rId2995"/>
    <hyperlink xmlns:r="http://schemas.openxmlformats.org/officeDocument/2006/relationships" ref="S2997" r:id="rId2996"/>
    <hyperlink xmlns:r="http://schemas.openxmlformats.org/officeDocument/2006/relationships" ref="S2998" r:id="rId2997"/>
    <hyperlink xmlns:r="http://schemas.openxmlformats.org/officeDocument/2006/relationships" ref="S2999" r:id="rId2998"/>
    <hyperlink xmlns:r="http://schemas.openxmlformats.org/officeDocument/2006/relationships" ref="S3000" r:id="rId2999"/>
    <hyperlink xmlns:r="http://schemas.openxmlformats.org/officeDocument/2006/relationships" ref="S3001" r:id="rId3000"/>
    <hyperlink xmlns:r="http://schemas.openxmlformats.org/officeDocument/2006/relationships" ref="S3002" r:id="rId3001"/>
    <hyperlink xmlns:r="http://schemas.openxmlformats.org/officeDocument/2006/relationships" ref="S3003" r:id="rId3002"/>
    <hyperlink xmlns:r="http://schemas.openxmlformats.org/officeDocument/2006/relationships" ref="S3004" r:id="rId3003"/>
    <hyperlink xmlns:r="http://schemas.openxmlformats.org/officeDocument/2006/relationships" ref="S3005" r:id="rId3004"/>
    <hyperlink xmlns:r="http://schemas.openxmlformats.org/officeDocument/2006/relationships" ref="S3006" r:id="rId3005"/>
    <hyperlink xmlns:r="http://schemas.openxmlformats.org/officeDocument/2006/relationships" ref="S3007" r:id="rId3006"/>
    <hyperlink xmlns:r="http://schemas.openxmlformats.org/officeDocument/2006/relationships" ref="S3008" r:id="rId3007"/>
    <hyperlink xmlns:r="http://schemas.openxmlformats.org/officeDocument/2006/relationships" ref="S3009" r:id="rId3008"/>
    <hyperlink xmlns:r="http://schemas.openxmlformats.org/officeDocument/2006/relationships" ref="S3010" r:id="rId3009"/>
    <hyperlink xmlns:r="http://schemas.openxmlformats.org/officeDocument/2006/relationships" ref="S3011" r:id="rId3010"/>
    <hyperlink xmlns:r="http://schemas.openxmlformats.org/officeDocument/2006/relationships" ref="S3012" r:id="rId3011"/>
    <hyperlink xmlns:r="http://schemas.openxmlformats.org/officeDocument/2006/relationships" ref="S3013" r:id="rId3012"/>
    <hyperlink xmlns:r="http://schemas.openxmlformats.org/officeDocument/2006/relationships" ref="S3014" r:id="rId3013"/>
    <hyperlink xmlns:r="http://schemas.openxmlformats.org/officeDocument/2006/relationships" ref="S3015" r:id="rId3014"/>
    <hyperlink xmlns:r="http://schemas.openxmlformats.org/officeDocument/2006/relationships" ref="S3016" r:id="rId3015"/>
    <hyperlink xmlns:r="http://schemas.openxmlformats.org/officeDocument/2006/relationships" ref="S3017" r:id="rId3016"/>
    <hyperlink xmlns:r="http://schemas.openxmlformats.org/officeDocument/2006/relationships" ref="S3018" r:id="rId3017"/>
    <hyperlink xmlns:r="http://schemas.openxmlformats.org/officeDocument/2006/relationships" ref="S3019" r:id="rId3018"/>
    <hyperlink xmlns:r="http://schemas.openxmlformats.org/officeDocument/2006/relationships" ref="S3020" r:id="rId3019"/>
    <hyperlink xmlns:r="http://schemas.openxmlformats.org/officeDocument/2006/relationships" ref="S3021" r:id="rId3020"/>
    <hyperlink xmlns:r="http://schemas.openxmlformats.org/officeDocument/2006/relationships" ref="S3022" r:id="rId3021"/>
    <hyperlink xmlns:r="http://schemas.openxmlformats.org/officeDocument/2006/relationships" ref="S3023" r:id="rId3022"/>
    <hyperlink xmlns:r="http://schemas.openxmlformats.org/officeDocument/2006/relationships" ref="S3024" r:id="rId3023"/>
    <hyperlink xmlns:r="http://schemas.openxmlformats.org/officeDocument/2006/relationships" ref="S3025" r:id="rId3024"/>
    <hyperlink xmlns:r="http://schemas.openxmlformats.org/officeDocument/2006/relationships" ref="S3026" r:id="rId3025"/>
    <hyperlink xmlns:r="http://schemas.openxmlformats.org/officeDocument/2006/relationships" ref="S3027" r:id="rId3026"/>
    <hyperlink xmlns:r="http://schemas.openxmlformats.org/officeDocument/2006/relationships" ref="S3028" r:id="rId3027"/>
    <hyperlink xmlns:r="http://schemas.openxmlformats.org/officeDocument/2006/relationships" ref="S3029" r:id="rId3028"/>
    <hyperlink xmlns:r="http://schemas.openxmlformats.org/officeDocument/2006/relationships" ref="S3030" r:id="rId3029"/>
    <hyperlink xmlns:r="http://schemas.openxmlformats.org/officeDocument/2006/relationships" ref="S3031" r:id="rId3030"/>
    <hyperlink xmlns:r="http://schemas.openxmlformats.org/officeDocument/2006/relationships" ref="S3032" r:id="rId3031"/>
    <hyperlink xmlns:r="http://schemas.openxmlformats.org/officeDocument/2006/relationships" ref="S3033" r:id="rId3032"/>
    <hyperlink xmlns:r="http://schemas.openxmlformats.org/officeDocument/2006/relationships" ref="S3034" r:id="rId3033"/>
    <hyperlink xmlns:r="http://schemas.openxmlformats.org/officeDocument/2006/relationships" ref="S3035" r:id="rId3034"/>
    <hyperlink xmlns:r="http://schemas.openxmlformats.org/officeDocument/2006/relationships" ref="S3036" r:id="rId3035"/>
    <hyperlink xmlns:r="http://schemas.openxmlformats.org/officeDocument/2006/relationships" ref="S3037" r:id="rId3036"/>
    <hyperlink xmlns:r="http://schemas.openxmlformats.org/officeDocument/2006/relationships" ref="S3038" r:id="rId3037"/>
    <hyperlink xmlns:r="http://schemas.openxmlformats.org/officeDocument/2006/relationships" ref="S3039" r:id="rId3038"/>
    <hyperlink xmlns:r="http://schemas.openxmlformats.org/officeDocument/2006/relationships" ref="S3040" r:id="rId3039"/>
    <hyperlink xmlns:r="http://schemas.openxmlformats.org/officeDocument/2006/relationships" ref="S3041" r:id="rId3040"/>
    <hyperlink xmlns:r="http://schemas.openxmlformats.org/officeDocument/2006/relationships" ref="S3042" r:id="rId3041"/>
    <hyperlink xmlns:r="http://schemas.openxmlformats.org/officeDocument/2006/relationships" ref="S3043" r:id="rId3042"/>
    <hyperlink xmlns:r="http://schemas.openxmlformats.org/officeDocument/2006/relationships" ref="S3044" r:id="rId3043"/>
    <hyperlink xmlns:r="http://schemas.openxmlformats.org/officeDocument/2006/relationships" ref="S3045" r:id="rId3044"/>
    <hyperlink xmlns:r="http://schemas.openxmlformats.org/officeDocument/2006/relationships" ref="S3046" r:id="rId3045"/>
    <hyperlink xmlns:r="http://schemas.openxmlformats.org/officeDocument/2006/relationships" ref="S3047" r:id="rId3046"/>
    <hyperlink xmlns:r="http://schemas.openxmlformats.org/officeDocument/2006/relationships" ref="S3048" r:id="rId3047"/>
    <hyperlink xmlns:r="http://schemas.openxmlformats.org/officeDocument/2006/relationships" ref="S3049" r:id="rId3048"/>
    <hyperlink xmlns:r="http://schemas.openxmlformats.org/officeDocument/2006/relationships" ref="S3050" r:id="rId3049"/>
    <hyperlink xmlns:r="http://schemas.openxmlformats.org/officeDocument/2006/relationships" ref="S3051" r:id="rId3050"/>
    <hyperlink xmlns:r="http://schemas.openxmlformats.org/officeDocument/2006/relationships" ref="S3052" r:id="rId3051"/>
    <hyperlink xmlns:r="http://schemas.openxmlformats.org/officeDocument/2006/relationships" ref="S3053" r:id="rId3052"/>
    <hyperlink xmlns:r="http://schemas.openxmlformats.org/officeDocument/2006/relationships" ref="S3054" r:id="rId3053"/>
    <hyperlink xmlns:r="http://schemas.openxmlformats.org/officeDocument/2006/relationships" ref="S3055" r:id="rId3054"/>
    <hyperlink xmlns:r="http://schemas.openxmlformats.org/officeDocument/2006/relationships" ref="S3056" r:id="rId3055"/>
    <hyperlink xmlns:r="http://schemas.openxmlformats.org/officeDocument/2006/relationships" ref="S3057" r:id="rId3056"/>
    <hyperlink xmlns:r="http://schemas.openxmlformats.org/officeDocument/2006/relationships" ref="S3058" r:id="rId3057"/>
    <hyperlink xmlns:r="http://schemas.openxmlformats.org/officeDocument/2006/relationships" ref="S3059" r:id="rId3058"/>
    <hyperlink xmlns:r="http://schemas.openxmlformats.org/officeDocument/2006/relationships" ref="S3060" r:id="rId3059"/>
    <hyperlink xmlns:r="http://schemas.openxmlformats.org/officeDocument/2006/relationships" ref="S3061" r:id="rId3060"/>
    <hyperlink xmlns:r="http://schemas.openxmlformats.org/officeDocument/2006/relationships" ref="S3062" r:id="rId3061"/>
    <hyperlink xmlns:r="http://schemas.openxmlformats.org/officeDocument/2006/relationships" ref="S3063" r:id="rId3062"/>
    <hyperlink xmlns:r="http://schemas.openxmlformats.org/officeDocument/2006/relationships" ref="S3064" r:id="rId3063"/>
    <hyperlink xmlns:r="http://schemas.openxmlformats.org/officeDocument/2006/relationships" ref="S3065" r:id="rId3064"/>
    <hyperlink xmlns:r="http://schemas.openxmlformats.org/officeDocument/2006/relationships" ref="S3066" r:id="rId3065"/>
    <hyperlink xmlns:r="http://schemas.openxmlformats.org/officeDocument/2006/relationships" ref="S3067" r:id="rId3066"/>
    <hyperlink xmlns:r="http://schemas.openxmlformats.org/officeDocument/2006/relationships" ref="S3068" r:id="rId3067"/>
    <hyperlink xmlns:r="http://schemas.openxmlformats.org/officeDocument/2006/relationships" ref="S3069" r:id="rId3068"/>
    <hyperlink xmlns:r="http://schemas.openxmlformats.org/officeDocument/2006/relationships" ref="S3070" r:id="rId3069"/>
    <hyperlink xmlns:r="http://schemas.openxmlformats.org/officeDocument/2006/relationships" ref="S3071" r:id="rId3070"/>
    <hyperlink xmlns:r="http://schemas.openxmlformats.org/officeDocument/2006/relationships" ref="S3072" r:id="rId3071"/>
    <hyperlink xmlns:r="http://schemas.openxmlformats.org/officeDocument/2006/relationships" ref="S3073" r:id="rId3072"/>
    <hyperlink xmlns:r="http://schemas.openxmlformats.org/officeDocument/2006/relationships" ref="S3074" r:id="rId3073"/>
    <hyperlink xmlns:r="http://schemas.openxmlformats.org/officeDocument/2006/relationships" ref="S3075" r:id="rId3074"/>
    <hyperlink xmlns:r="http://schemas.openxmlformats.org/officeDocument/2006/relationships" ref="S3076" r:id="rId3075"/>
    <hyperlink xmlns:r="http://schemas.openxmlformats.org/officeDocument/2006/relationships" ref="S3077" r:id="rId3076"/>
    <hyperlink xmlns:r="http://schemas.openxmlformats.org/officeDocument/2006/relationships" ref="S3078" r:id="rId3077"/>
    <hyperlink xmlns:r="http://schemas.openxmlformats.org/officeDocument/2006/relationships" ref="S3079" r:id="rId3078"/>
    <hyperlink xmlns:r="http://schemas.openxmlformats.org/officeDocument/2006/relationships" ref="S3080" r:id="rId3079"/>
    <hyperlink xmlns:r="http://schemas.openxmlformats.org/officeDocument/2006/relationships" ref="S3081" r:id="rId3080"/>
    <hyperlink xmlns:r="http://schemas.openxmlformats.org/officeDocument/2006/relationships" ref="S3082" r:id="rId3081"/>
    <hyperlink xmlns:r="http://schemas.openxmlformats.org/officeDocument/2006/relationships" ref="S3083" r:id="rId3082"/>
    <hyperlink xmlns:r="http://schemas.openxmlformats.org/officeDocument/2006/relationships" ref="S3084" r:id="rId3083"/>
    <hyperlink xmlns:r="http://schemas.openxmlformats.org/officeDocument/2006/relationships" ref="S3085" r:id="rId3084"/>
    <hyperlink xmlns:r="http://schemas.openxmlformats.org/officeDocument/2006/relationships" ref="S3086" r:id="rId3085"/>
    <hyperlink xmlns:r="http://schemas.openxmlformats.org/officeDocument/2006/relationships" ref="S3087" r:id="rId3086"/>
    <hyperlink xmlns:r="http://schemas.openxmlformats.org/officeDocument/2006/relationships" ref="S3088" r:id="rId3087"/>
    <hyperlink xmlns:r="http://schemas.openxmlformats.org/officeDocument/2006/relationships" ref="S3089" r:id="rId3088"/>
    <hyperlink xmlns:r="http://schemas.openxmlformats.org/officeDocument/2006/relationships" ref="S3090" r:id="rId3089"/>
    <hyperlink xmlns:r="http://schemas.openxmlformats.org/officeDocument/2006/relationships" ref="S3091" r:id="rId3090"/>
    <hyperlink xmlns:r="http://schemas.openxmlformats.org/officeDocument/2006/relationships" ref="S3092" r:id="rId3091"/>
    <hyperlink xmlns:r="http://schemas.openxmlformats.org/officeDocument/2006/relationships" ref="S3093" r:id="rId3092"/>
    <hyperlink xmlns:r="http://schemas.openxmlformats.org/officeDocument/2006/relationships" ref="S3094" r:id="rId3093"/>
    <hyperlink xmlns:r="http://schemas.openxmlformats.org/officeDocument/2006/relationships" ref="S3095" r:id="rId3094"/>
    <hyperlink xmlns:r="http://schemas.openxmlformats.org/officeDocument/2006/relationships" ref="S3096" r:id="rId3095"/>
    <hyperlink xmlns:r="http://schemas.openxmlformats.org/officeDocument/2006/relationships" ref="S3097" r:id="rId3096"/>
    <hyperlink xmlns:r="http://schemas.openxmlformats.org/officeDocument/2006/relationships" ref="S3098" r:id="rId3097"/>
    <hyperlink xmlns:r="http://schemas.openxmlformats.org/officeDocument/2006/relationships" ref="S3099" r:id="rId3098"/>
    <hyperlink xmlns:r="http://schemas.openxmlformats.org/officeDocument/2006/relationships" ref="S3100" r:id="rId3099"/>
    <hyperlink xmlns:r="http://schemas.openxmlformats.org/officeDocument/2006/relationships" ref="S3101" r:id="rId3100"/>
    <hyperlink xmlns:r="http://schemas.openxmlformats.org/officeDocument/2006/relationships" ref="S3102" r:id="rId3101"/>
    <hyperlink xmlns:r="http://schemas.openxmlformats.org/officeDocument/2006/relationships" ref="S3103" r:id="rId3102"/>
    <hyperlink xmlns:r="http://schemas.openxmlformats.org/officeDocument/2006/relationships" ref="S3104" r:id="rId3103"/>
    <hyperlink xmlns:r="http://schemas.openxmlformats.org/officeDocument/2006/relationships" ref="S3105" r:id="rId3104"/>
    <hyperlink xmlns:r="http://schemas.openxmlformats.org/officeDocument/2006/relationships" ref="S3106" r:id="rId3105"/>
    <hyperlink xmlns:r="http://schemas.openxmlformats.org/officeDocument/2006/relationships" ref="S3107" r:id="rId3106"/>
    <hyperlink xmlns:r="http://schemas.openxmlformats.org/officeDocument/2006/relationships" ref="S3108" r:id="rId3107"/>
    <hyperlink xmlns:r="http://schemas.openxmlformats.org/officeDocument/2006/relationships" ref="S3109" r:id="rId3108"/>
    <hyperlink xmlns:r="http://schemas.openxmlformats.org/officeDocument/2006/relationships" ref="S3110" r:id="rId3109"/>
    <hyperlink xmlns:r="http://schemas.openxmlformats.org/officeDocument/2006/relationships" ref="S3111" r:id="rId3110"/>
    <hyperlink xmlns:r="http://schemas.openxmlformats.org/officeDocument/2006/relationships" ref="S3112" r:id="rId3111"/>
    <hyperlink xmlns:r="http://schemas.openxmlformats.org/officeDocument/2006/relationships" ref="S3113" r:id="rId3112"/>
    <hyperlink xmlns:r="http://schemas.openxmlformats.org/officeDocument/2006/relationships" ref="S3114" r:id="rId3113"/>
    <hyperlink xmlns:r="http://schemas.openxmlformats.org/officeDocument/2006/relationships" ref="S3115" r:id="rId3114"/>
    <hyperlink xmlns:r="http://schemas.openxmlformats.org/officeDocument/2006/relationships" ref="S3116" r:id="rId3115"/>
    <hyperlink xmlns:r="http://schemas.openxmlformats.org/officeDocument/2006/relationships" ref="S3117" r:id="rId3116"/>
    <hyperlink xmlns:r="http://schemas.openxmlformats.org/officeDocument/2006/relationships" ref="S3118" r:id="rId3117"/>
    <hyperlink xmlns:r="http://schemas.openxmlformats.org/officeDocument/2006/relationships" ref="S3119" r:id="rId3118"/>
    <hyperlink xmlns:r="http://schemas.openxmlformats.org/officeDocument/2006/relationships" ref="S3120" r:id="rId3119"/>
    <hyperlink xmlns:r="http://schemas.openxmlformats.org/officeDocument/2006/relationships" ref="S3121" r:id="rId3120"/>
    <hyperlink xmlns:r="http://schemas.openxmlformats.org/officeDocument/2006/relationships" ref="S3122" r:id="rId3121"/>
    <hyperlink xmlns:r="http://schemas.openxmlformats.org/officeDocument/2006/relationships" ref="S3123" r:id="rId3122"/>
    <hyperlink xmlns:r="http://schemas.openxmlformats.org/officeDocument/2006/relationships" ref="S3124" r:id="rId3123"/>
    <hyperlink xmlns:r="http://schemas.openxmlformats.org/officeDocument/2006/relationships" ref="S3125" r:id="rId3124"/>
    <hyperlink xmlns:r="http://schemas.openxmlformats.org/officeDocument/2006/relationships" ref="S3126" r:id="rId3125"/>
    <hyperlink xmlns:r="http://schemas.openxmlformats.org/officeDocument/2006/relationships" ref="S3127" r:id="rId3126"/>
    <hyperlink xmlns:r="http://schemas.openxmlformats.org/officeDocument/2006/relationships" ref="S3128" r:id="rId3127"/>
    <hyperlink xmlns:r="http://schemas.openxmlformats.org/officeDocument/2006/relationships" ref="S3129" r:id="rId3128"/>
    <hyperlink xmlns:r="http://schemas.openxmlformats.org/officeDocument/2006/relationships" ref="S3130" r:id="rId3129"/>
    <hyperlink xmlns:r="http://schemas.openxmlformats.org/officeDocument/2006/relationships" ref="S3131" r:id="rId3130"/>
    <hyperlink xmlns:r="http://schemas.openxmlformats.org/officeDocument/2006/relationships" ref="S3132" r:id="rId3131"/>
    <hyperlink xmlns:r="http://schemas.openxmlformats.org/officeDocument/2006/relationships" ref="S3133" r:id="rId3132"/>
    <hyperlink xmlns:r="http://schemas.openxmlformats.org/officeDocument/2006/relationships" ref="S3134" r:id="rId3133"/>
    <hyperlink xmlns:r="http://schemas.openxmlformats.org/officeDocument/2006/relationships" ref="S3135" r:id="rId3134"/>
    <hyperlink xmlns:r="http://schemas.openxmlformats.org/officeDocument/2006/relationships" ref="S3136" r:id="rId3135"/>
    <hyperlink xmlns:r="http://schemas.openxmlformats.org/officeDocument/2006/relationships" ref="S3137" r:id="rId3136"/>
    <hyperlink xmlns:r="http://schemas.openxmlformats.org/officeDocument/2006/relationships" ref="S3138" r:id="rId3137"/>
    <hyperlink xmlns:r="http://schemas.openxmlformats.org/officeDocument/2006/relationships" ref="S3139" r:id="rId3138"/>
    <hyperlink xmlns:r="http://schemas.openxmlformats.org/officeDocument/2006/relationships" ref="S3140" r:id="rId3139"/>
    <hyperlink xmlns:r="http://schemas.openxmlformats.org/officeDocument/2006/relationships" ref="S3141" r:id="rId3140"/>
    <hyperlink xmlns:r="http://schemas.openxmlformats.org/officeDocument/2006/relationships" ref="S3142" r:id="rId3141"/>
    <hyperlink xmlns:r="http://schemas.openxmlformats.org/officeDocument/2006/relationships" ref="S3143" r:id="rId3142"/>
    <hyperlink xmlns:r="http://schemas.openxmlformats.org/officeDocument/2006/relationships" ref="S3144" r:id="rId3143"/>
    <hyperlink xmlns:r="http://schemas.openxmlformats.org/officeDocument/2006/relationships" ref="S3145" r:id="rId3144"/>
    <hyperlink xmlns:r="http://schemas.openxmlformats.org/officeDocument/2006/relationships" ref="S3146" r:id="rId3145"/>
    <hyperlink xmlns:r="http://schemas.openxmlformats.org/officeDocument/2006/relationships" ref="S3147" r:id="rId3146"/>
    <hyperlink xmlns:r="http://schemas.openxmlformats.org/officeDocument/2006/relationships" ref="S3148" r:id="rId3147"/>
    <hyperlink xmlns:r="http://schemas.openxmlformats.org/officeDocument/2006/relationships" ref="S3149" r:id="rId3148"/>
    <hyperlink xmlns:r="http://schemas.openxmlformats.org/officeDocument/2006/relationships" ref="S3150" r:id="rId3149"/>
    <hyperlink xmlns:r="http://schemas.openxmlformats.org/officeDocument/2006/relationships" ref="S3151" r:id="rId3150"/>
    <hyperlink xmlns:r="http://schemas.openxmlformats.org/officeDocument/2006/relationships" ref="S3152" r:id="rId3151"/>
    <hyperlink xmlns:r="http://schemas.openxmlformats.org/officeDocument/2006/relationships" ref="S3153" r:id="rId3152"/>
    <hyperlink xmlns:r="http://schemas.openxmlformats.org/officeDocument/2006/relationships" ref="S3154" r:id="rId3153"/>
    <hyperlink xmlns:r="http://schemas.openxmlformats.org/officeDocument/2006/relationships" ref="S3155" r:id="rId3154"/>
    <hyperlink xmlns:r="http://schemas.openxmlformats.org/officeDocument/2006/relationships" ref="S3156" r:id="rId3155"/>
    <hyperlink xmlns:r="http://schemas.openxmlformats.org/officeDocument/2006/relationships" ref="S3157" r:id="rId3156"/>
    <hyperlink xmlns:r="http://schemas.openxmlformats.org/officeDocument/2006/relationships" ref="S3158" r:id="rId3157"/>
    <hyperlink xmlns:r="http://schemas.openxmlformats.org/officeDocument/2006/relationships" ref="S3159" r:id="rId3158"/>
    <hyperlink xmlns:r="http://schemas.openxmlformats.org/officeDocument/2006/relationships" ref="S3160" r:id="rId3159"/>
    <hyperlink xmlns:r="http://schemas.openxmlformats.org/officeDocument/2006/relationships" ref="S3161" r:id="rId3160"/>
    <hyperlink xmlns:r="http://schemas.openxmlformats.org/officeDocument/2006/relationships" ref="S3162" r:id="rId3161"/>
    <hyperlink xmlns:r="http://schemas.openxmlformats.org/officeDocument/2006/relationships" ref="S3163" r:id="rId3162"/>
    <hyperlink xmlns:r="http://schemas.openxmlformats.org/officeDocument/2006/relationships" ref="S3164" r:id="rId3163"/>
    <hyperlink xmlns:r="http://schemas.openxmlformats.org/officeDocument/2006/relationships" ref="S3165" r:id="rId3164"/>
    <hyperlink xmlns:r="http://schemas.openxmlformats.org/officeDocument/2006/relationships" ref="S3166" r:id="rId3165"/>
    <hyperlink xmlns:r="http://schemas.openxmlformats.org/officeDocument/2006/relationships" ref="S3167" r:id="rId3166"/>
    <hyperlink xmlns:r="http://schemas.openxmlformats.org/officeDocument/2006/relationships" ref="S3168" r:id="rId3167"/>
    <hyperlink xmlns:r="http://schemas.openxmlformats.org/officeDocument/2006/relationships" ref="S3169" r:id="rId3168"/>
    <hyperlink xmlns:r="http://schemas.openxmlformats.org/officeDocument/2006/relationships" ref="S3170" r:id="rId3169"/>
    <hyperlink xmlns:r="http://schemas.openxmlformats.org/officeDocument/2006/relationships" ref="S3171" r:id="rId3170"/>
    <hyperlink xmlns:r="http://schemas.openxmlformats.org/officeDocument/2006/relationships" ref="S3172" r:id="rId3171"/>
    <hyperlink xmlns:r="http://schemas.openxmlformats.org/officeDocument/2006/relationships" ref="S3173" r:id="rId3172"/>
    <hyperlink xmlns:r="http://schemas.openxmlformats.org/officeDocument/2006/relationships" ref="S3174" r:id="rId3173"/>
    <hyperlink xmlns:r="http://schemas.openxmlformats.org/officeDocument/2006/relationships" ref="S3175" r:id="rId3174"/>
    <hyperlink xmlns:r="http://schemas.openxmlformats.org/officeDocument/2006/relationships" ref="S3176" r:id="rId3175"/>
    <hyperlink xmlns:r="http://schemas.openxmlformats.org/officeDocument/2006/relationships" ref="S3177" r:id="rId3176"/>
    <hyperlink xmlns:r="http://schemas.openxmlformats.org/officeDocument/2006/relationships" ref="S3178" r:id="rId3177"/>
    <hyperlink xmlns:r="http://schemas.openxmlformats.org/officeDocument/2006/relationships" ref="S3179" r:id="rId3178"/>
    <hyperlink xmlns:r="http://schemas.openxmlformats.org/officeDocument/2006/relationships" ref="S3180" r:id="rId3179"/>
    <hyperlink xmlns:r="http://schemas.openxmlformats.org/officeDocument/2006/relationships" ref="S3181" r:id="rId3180"/>
    <hyperlink xmlns:r="http://schemas.openxmlformats.org/officeDocument/2006/relationships" ref="S3182" r:id="rId3181"/>
    <hyperlink xmlns:r="http://schemas.openxmlformats.org/officeDocument/2006/relationships" ref="S3183" r:id="rId3182"/>
    <hyperlink xmlns:r="http://schemas.openxmlformats.org/officeDocument/2006/relationships" ref="S3184" r:id="rId3183"/>
    <hyperlink xmlns:r="http://schemas.openxmlformats.org/officeDocument/2006/relationships" ref="S3185" r:id="rId3184"/>
    <hyperlink xmlns:r="http://schemas.openxmlformats.org/officeDocument/2006/relationships" ref="S3186" r:id="rId3185"/>
    <hyperlink xmlns:r="http://schemas.openxmlformats.org/officeDocument/2006/relationships" ref="S3187" r:id="rId3186"/>
    <hyperlink xmlns:r="http://schemas.openxmlformats.org/officeDocument/2006/relationships" ref="S3188" r:id="rId3187"/>
    <hyperlink xmlns:r="http://schemas.openxmlformats.org/officeDocument/2006/relationships" ref="S3189" r:id="rId3188"/>
    <hyperlink xmlns:r="http://schemas.openxmlformats.org/officeDocument/2006/relationships" ref="S3190" r:id="rId3189"/>
    <hyperlink xmlns:r="http://schemas.openxmlformats.org/officeDocument/2006/relationships" ref="S3191" r:id="rId3190"/>
    <hyperlink xmlns:r="http://schemas.openxmlformats.org/officeDocument/2006/relationships" ref="S3192" r:id="rId3191"/>
    <hyperlink xmlns:r="http://schemas.openxmlformats.org/officeDocument/2006/relationships" ref="S3193" r:id="rId3192"/>
    <hyperlink xmlns:r="http://schemas.openxmlformats.org/officeDocument/2006/relationships" ref="S3194" r:id="rId3193"/>
    <hyperlink xmlns:r="http://schemas.openxmlformats.org/officeDocument/2006/relationships" ref="S3195" r:id="rId3194"/>
    <hyperlink xmlns:r="http://schemas.openxmlformats.org/officeDocument/2006/relationships" ref="S3196" r:id="rId3195"/>
    <hyperlink xmlns:r="http://schemas.openxmlformats.org/officeDocument/2006/relationships" ref="S3197" r:id="rId3196"/>
    <hyperlink xmlns:r="http://schemas.openxmlformats.org/officeDocument/2006/relationships" ref="S3198" r:id="rId3197"/>
    <hyperlink xmlns:r="http://schemas.openxmlformats.org/officeDocument/2006/relationships" ref="S3199" r:id="rId3198"/>
    <hyperlink xmlns:r="http://schemas.openxmlformats.org/officeDocument/2006/relationships" ref="S3200" r:id="rId3199"/>
    <hyperlink xmlns:r="http://schemas.openxmlformats.org/officeDocument/2006/relationships" ref="S3201" r:id="rId3200"/>
    <hyperlink xmlns:r="http://schemas.openxmlformats.org/officeDocument/2006/relationships" ref="S3202" r:id="rId3201"/>
    <hyperlink xmlns:r="http://schemas.openxmlformats.org/officeDocument/2006/relationships" ref="S3203" r:id="rId3202"/>
    <hyperlink xmlns:r="http://schemas.openxmlformats.org/officeDocument/2006/relationships" ref="S3204" r:id="rId3203"/>
    <hyperlink xmlns:r="http://schemas.openxmlformats.org/officeDocument/2006/relationships" ref="S3205" r:id="rId3204"/>
    <hyperlink xmlns:r="http://schemas.openxmlformats.org/officeDocument/2006/relationships" ref="S3206" r:id="rId3205"/>
    <hyperlink xmlns:r="http://schemas.openxmlformats.org/officeDocument/2006/relationships" ref="S3207" r:id="rId3206"/>
    <hyperlink xmlns:r="http://schemas.openxmlformats.org/officeDocument/2006/relationships" ref="S3208" r:id="rId3207"/>
    <hyperlink xmlns:r="http://schemas.openxmlformats.org/officeDocument/2006/relationships" ref="S3209" r:id="rId3208"/>
    <hyperlink xmlns:r="http://schemas.openxmlformats.org/officeDocument/2006/relationships" ref="S3210" r:id="rId3209"/>
    <hyperlink xmlns:r="http://schemas.openxmlformats.org/officeDocument/2006/relationships" ref="S3211" r:id="rId3210"/>
    <hyperlink xmlns:r="http://schemas.openxmlformats.org/officeDocument/2006/relationships" ref="S3212" r:id="rId3211"/>
    <hyperlink xmlns:r="http://schemas.openxmlformats.org/officeDocument/2006/relationships" ref="S3213" r:id="rId3212"/>
    <hyperlink xmlns:r="http://schemas.openxmlformats.org/officeDocument/2006/relationships" ref="S3214" r:id="rId3213"/>
    <hyperlink xmlns:r="http://schemas.openxmlformats.org/officeDocument/2006/relationships" ref="S3215" r:id="rId3214"/>
    <hyperlink xmlns:r="http://schemas.openxmlformats.org/officeDocument/2006/relationships" ref="S3216" r:id="rId3215"/>
    <hyperlink xmlns:r="http://schemas.openxmlformats.org/officeDocument/2006/relationships" ref="S3217" r:id="rId3216"/>
    <hyperlink xmlns:r="http://schemas.openxmlformats.org/officeDocument/2006/relationships" ref="S3218" r:id="rId3217"/>
    <hyperlink xmlns:r="http://schemas.openxmlformats.org/officeDocument/2006/relationships" ref="S3219" r:id="rId3218"/>
    <hyperlink xmlns:r="http://schemas.openxmlformats.org/officeDocument/2006/relationships" ref="S3220" r:id="rId3219"/>
    <hyperlink xmlns:r="http://schemas.openxmlformats.org/officeDocument/2006/relationships" ref="S3221" r:id="rId3220"/>
    <hyperlink xmlns:r="http://schemas.openxmlformats.org/officeDocument/2006/relationships" ref="S3222" r:id="rId3221"/>
    <hyperlink xmlns:r="http://schemas.openxmlformats.org/officeDocument/2006/relationships" ref="S3223" r:id="rId3222"/>
    <hyperlink xmlns:r="http://schemas.openxmlformats.org/officeDocument/2006/relationships" ref="S3224" r:id="rId3223"/>
    <hyperlink xmlns:r="http://schemas.openxmlformats.org/officeDocument/2006/relationships" ref="S3225" r:id="rId3224"/>
    <hyperlink xmlns:r="http://schemas.openxmlformats.org/officeDocument/2006/relationships" ref="S3226" r:id="rId3225"/>
    <hyperlink xmlns:r="http://schemas.openxmlformats.org/officeDocument/2006/relationships" ref="S3227" r:id="rId3226"/>
    <hyperlink xmlns:r="http://schemas.openxmlformats.org/officeDocument/2006/relationships" ref="S3228" r:id="rId3227"/>
    <hyperlink xmlns:r="http://schemas.openxmlformats.org/officeDocument/2006/relationships" ref="S3229" r:id="rId3228"/>
    <hyperlink xmlns:r="http://schemas.openxmlformats.org/officeDocument/2006/relationships" ref="S3230" r:id="rId3229"/>
    <hyperlink xmlns:r="http://schemas.openxmlformats.org/officeDocument/2006/relationships" ref="S3231" r:id="rId3230"/>
    <hyperlink xmlns:r="http://schemas.openxmlformats.org/officeDocument/2006/relationships" ref="S3232" r:id="rId3231"/>
    <hyperlink xmlns:r="http://schemas.openxmlformats.org/officeDocument/2006/relationships" ref="S3233" r:id="rId3232"/>
    <hyperlink xmlns:r="http://schemas.openxmlformats.org/officeDocument/2006/relationships" ref="S3234" r:id="rId3233"/>
    <hyperlink xmlns:r="http://schemas.openxmlformats.org/officeDocument/2006/relationships" ref="S3235" r:id="rId3234"/>
    <hyperlink xmlns:r="http://schemas.openxmlformats.org/officeDocument/2006/relationships" ref="S3236" r:id="rId3235"/>
    <hyperlink xmlns:r="http://schemas.openxmlformats.org/officeDocument/2006/relationships" ref="S3237" r:id="rId3236"/>
    <hyperlink xmlns:r="http://schemas.openxmlformats.org/officeDocument/2006/relationships" ref="S3238" r:id="rId3237"/>
    <hyperlink xmlns:r="http://schemas.openxmlformats.org/officeDocument/2006/relationships" ref="S3239" r:id="rId3238"/>
    <hyperlink xmlns:r="http://schemas.openxmlformats.org/officeDocument/2006/relationships" ref="S3240" r:id="rId3239"/>
    <hyperlink xmlns:r="http://schemas.openxmlformats.org/officeDocument/2006/relationships" ref="S3241" r:id="rId3240"/>
    <hyperlink xmlns:r="http://schemas.openxmlformats.org/officeDocument/2006/relationships" ref="S3242" r:id="rId3241"/>
    <hyperlink xmlns:r="http://schemas.openxmlformats.org/officeDocument/2006/relationships" ref="S3243" r:id="rId3242"/>
    <hyperlink xmlns:r="http://schemas.openxmlformats.org/officeDocument/2006/relationships" ref="S3244" r:id="rId3243"/>
    <hyperlink xmlns:r="http://schemas.openxmlformats.org/officeDocument/2006/relationships" ref="S3245" r:id="rId3244"/>
    <hyperlink xmlns:r="http://schemas.openxmlformats.org/officeDocument/2006/relationships" ref="S3246" r:id="rId3245"/>
    <hyperlink xmlns:r="http://schemas.openxmlformats.org/officeDocument/2006/relationships" ref="S3247" r:id="rId3246"/>
    <hyperlink xmlns:r="http://schemas.openxmlformats.org/officeDocument/2006/relationships" ref="S3248" r:id="rId3247"/>
    <hyperlink xmlns:r="http://schemas.openxmlformats.org/officeDocument/2006/relationships" ref="S3249" r:id="rId3248"/>
    <hyperlink xmlns:r="http://schemas.openxmlformats.org/officeDocument/2006/relationships" ref="S3250" r:id="rId3249"/>
    <hyperlink xmlns:r="http://schemas.openxmlformats.org/officeDocument/2006/relationships" ref="S3251" r:id="rId3250"/>
    <hyperlink xmlns:r="http://schemas.openxmlformats.org/officeDocument/2006/relationships" ref="S3252" r:id="rId3251"/>
    <hyperlink xmlns:r="http://schemas.openxmlformats.org/officeDocument/2006/relationships" ref="S3253" r:id="rId3252"/>
    <hyperlink xmlns:r="http://schemas.openxmlformats.org/officeDocument/2006/relationships" ref="S3254" r:id="rId3253"/>
    <hyperlink xmlns:r="http://schemas.openxmlformats.org/officeDocument/2006/relationships" ref="S3255" r:id="rId3254"/>
    <hyperlink xmlns:r="http://schemas.openxmlformats.org/officeDocument/2006/relationships" ref="S3256" r:id="rId3255"/>
    <hyperlink xmlns:r="http://schemas.openxmlformats.org/officeDocument/2006/relationships" ref="S3257" r:id="rId3256"/>
    <hyperlink xmlns:r="http://schemas.openxmlformats.org/officeDocument/2006/relationships" ref="S3258" r:id="rId3257"/>
    <hyperlink xmlns:r="http://schemas.openxmlformats.org/officeDocument/2006/relationships" ref="S3259" r:id="rId3258"/>
    <hyperlink xmlns:r="http://schemas.openxmlformats.org/officeDocument/2006/relationships" ref="S3260" r:id="rId3259"/>
    <hyperlink xmlns:r="http://schemas.openxmlformats.org/officeDocument/2006/relationships" ref="S3261" r:id="rId3260"/>
    <hyperlink xmlns:r="http://schemas.openxmlformats.org/officeDocument/2006/relationships" ref="S3262" r:id="rId3261"/>
    <hyperlink xmlns:r="http://schemas.openxmlformats.org/officeDocument/2006/relationships" ref="S3263" r:id="rId3262"/>
    <hyperlink xmlns:r="http://schemas.openxmlformats.org/officeDocument/2006/relationships" ref="S3264" r:id="rId3263"/>
    <hyperlink xmlns:r="http://schemas.openxmlformats.org/officeDocument/2006/relationships" ref="S3265" r:id="rId3264"/>
    <hyperlink xmlns:r="http://schemas.openxmlformats.org/officeDocument/2006/relationships" ref="S3266" r:id="rId3265"/>
    <hyperlink xmlns:r="http://schemas.openxmlformats.org/officeDocument/2006/relationships" ref="S3267" r:id="rId3266"/>
    <hyperlink xmlns:r="http://schemas.openxmlformats.org/officeDocument/2006/relationships" ref="S3268" r:id="rId3267"/>
    <hyperlink xmlns:r="http://schemas.openxmlformats.org/officeDocument/2006/relationships" ref="S3269" r:id="rId3268"/>
    <hyperlink xmlns:r="http://schemas.openxmlformats.org/officeDocument/2006/relationships" ref="S3270" r:id="rId3269"/>
    <hyperlink xmlns:r="http://schemas.openxmlformats.org/officeDocument/2006/relationships" ref="S3271" r:id="rId3270"/>
    <hyperlink xmlns:r="http://schemas.openxmlformats.org/officeDocument/2006/relationships" ref="S3272" r:id="rId3271"/>
    <hyperlink xmlns:r="http://schemas.openxmlformats.org/officeDocument/2006/relationships" ref="S3273" r:id="rId3272"/>
    <hyperlink xmlns:r="http://schemas.openxmlformats.org/officeDocument/2006/relationships" ref="S3274" r:id="rId3273"/>
    <hyperlink xmlns:r="http://schemas.openxmlformats.org/officeDocument/2006/relationships" ref="S3275" r:id="rId3274"/>
    <hyperlink xmlns:r="http://schemas.openxmlformats.org/officeDocument/2006/relationships" ref="S3276" r:id="rId3275"/>
    <hyperlink xmlns:r="http://schemas.openxmlformats.org/officeDocument/2006/relationships" ref="S3277" r:id="rId3276"/>
    <hyperlink xmlns:r="http://schemas.openxmlformats.org/officeDocument/2006/relationships" ref="S3278" r:id="rId3277"/>
    <hyperlink xmlns:r="http://schemas.openxmlformats.org/officeDocument/2006/relationships" ref="S3279" r:id="rId3278"/>
    <hyperlink xmlns:r="http://schemas.openxmlformats.org/officeDocument/2006/relationships" ref="S3280" r:id="rId3279"/>
    <hyperlink xmlns:r="http://schemas.openxmlformats.org/officeDocument/2006/relationships" ref="S3281" r:id="rId3280"/>
    <hyperlink xmlns:r="http://schemas.openxmlformats.org/officeDocument/2006/relationships" ref="S3282" r:id="rId3281"/>
    <hyperlink xmlns:r="http://schemas.openxmlformats.org/officeDocument/2006/relationships" ref="S3283" r:id="rId3282"/>
    <hyperlink xmlns:r="http://schemas.openxmlformats.org/officeDocument/2006/relationships" ref="S3284" r:id="rId3283"/>
    <hyperlink xmlns:r="http://schemas.openxmlformats.org/officeDocument/2006/relationships" ref="S3285" r:id="rId3284"/>
    <hyperlink xmlns:r="http://schemas.openxmlformats.org/officeDocument/2006/relationships" ref="S3286" r:id="rId3285"/>
    <hyperlink xmlns:r="http://schemas.openxmlformats.org/officeDocument/2006/relationships" ref="S3287" r:id="rId3286"/>
    <hyperlink xmlns:r="http://schemas.openxmlformats.org/officeDocument/2006/relationships" ref="S3288" r:id="rId3287"/>
    <hyperlink xmlns:r="http://schemas.openxmlformats.org/officeDocument/2006/relationships" ref="S3289" r:id="rId3288"/>
    <hyperlink xmlns:r="http://schemas.openxmlformats.org/officeDocument/2006/relationships" ref="S3290" r:id="rId3289"/>
    <hyperlink xmlns:r="http://schemas.openxmlformats.org/officeDocument/2006/relationships" ref="S3291" r:id="rId3290"/>
    <hyperlink xmlns:r="http://schemas.openxmlformats.org/officeDocument/2006/relationships" ref="S3292" r:id="rId3291"/>
    <hyperlink xmlns:r="http://schemas.openxmlformats.org/officeDocument/2006/relationships" ref="S3293" r:id="rId3292"/>
    <hyperlink xmlns:r="http://schemas.openxmlformats.org/officeDocument/2006/relationships" ref="S3294" r:id="rId3293"/>
    <hyperlink xmlns:r="http://schemas.openxmlformats.org/officeDocument/2006/relationships" ref="S3295" r:id="rId3294"/>
    <hyperlink xmlns:r="http://schemas.openxmlformats.org/officeDocument/2006/relationships" ref="S3296" r:id="rId3295"/>
    <hyperlink xmlns:r="http://schemas.openxmlformats.org/officeDocument/2006/relationships" ref="S3297" r:id="rId3296"/>
    <hyperlink xmlns:r="http://schemas.openxmlformats.org/officeDocument/2006/relationships" ref="S3298" r:id="rId3297"/>
    <hyperlink xmlns:r="http://schemas.openxmlformats.org/officeDocument/2006/relationships" ref="S3299" r:id="rId3298"/>
    <hyperlink xmlns:r="http://schemas.openxmlformats.org/officeDocument/2006/relationships" ref="S3300" r:id="rId3299"/>
    <hyperlink xmlns:r="http://schemas.openxmlformats.org/officeDocument/2006/relationships" ref="S3301" r:id="rId3300"/>
    <hyperlink xmlns:r="http://schemas.openxmlformats.org/officeDocument/2006/relationships" ref="S3302" r:id="rId3301"/>
    <hyperlink xmlns:r="http://schemas.openxmlformats.org/officeDocument/2006/relationships" ref="S3303" r:id="rId3302"/>
    <hyperlink xmlns:r="http://schemas.openxmlformats.org/officeDocument/2006/relationships" ref="S3304" r:id="rId3303"/>
    <hyperlink xmlns:r="http://schemas.openxmlformats.org/officeDocument/2006/relationships" ref="S3305" r:id="rId3304"/>
    <hyperlink xmlns:r="http://schemas.openxmlformats.org/officeDocument/2006/relationships" ref="S3306" r:id="rId3305"/>
    <hyperlink xmlns:r="http://schemas.openxmlformats.org/officeDocument/2006/relationships" ref="S3307" r:id="rId3306"/>
    <hyperlink xmlns:r="http://schemas.openxmlformats.org/officeDocument/2006/relationships" ref="S3308" r:id="rId3307"/>
    <hyperlink xmlns:r="http://schemas.openxmlformats.org/officeDocument/2006/relationships" ref="S3309" r:id="rId3308"/>
    <hyperlink xmlns:r="http://schemas.openxmlformats.org/officeDocument/2006/relationships" ref="S3310" r:id="rId3309"/>
    <hyperlink xmlns:r="http://schemas.openxmlformats.org/officeDocument/2006/relationships" ref="S3311" r:id="rId3310"/>
    <hyperlink xmlns:r="http://schemas.openxmlformats.org/officeDocument/2006/relationships" ref="S3312" r:id="rId3311"/>
    <hyperlink xmlns:r="http://schemas.openxmlformats.org/officeDocument/2006/relationships" ref="S3313" r:id="rId3312"/>
    <hyperlink xmlns:r="http://schemas.openxmlformats.org/officeDocument/2006/relationships" ref="S3314" r:id="rId3313"/>
    <hyperlink xmlns:r="http://schemas.openxmlformats.org/officeDocument/2006/relationships" ref="S3315" r:id="rId3314"/>
    <hyperlink xmlns:r="http://schemas.openxmlformats.org/officeDocument/2006/relationships" ref="S3316" r:id="rId3315"/>
    <hyperlink xmlns:r="http://schemas.openxmlformats.org/officeDocument/2006/relationships" ref="S3317" r:id="rId3316"/>
    <hyperlink xmlns:r="http://schemas.openxmlformats.org/officeDocument/2006/relationships" ref="S3318" r:id="rId3317"/>
    <hyperlink xmlns:r="http://schemas.openxmlformats.org/officeDocument/2006/relationships" ref="S3319" r:id="rId3318"/>
    <hyperlink xmlns:r="http://schemas.openxmlformats.org/officeDocument/2006/relationships" ref="S3320" r:id="rId3319"/>
    <hyperlink xmlns:r="http://schemas.openxmlformats.org/officeDocument/2006/relationships" ref="S3321" r:id="rId3320"/>
    <hyperlink xmlns:r="http://schemas.openxmlformats.org/officeDocument/2006/relationships" ref="S3322" r:id="rId3321"/>
    <hyperlink xmlns:r="http://schemas.openxmlformats.org/officeDocument/2006/relationships" ref="S3323" r:id="rId3322"/>
    <hyperlink xmlns:r="http://schemas.openxmlformats.org/officeDocument/2006/relationships" ref="S3324" r:id="rId3323"/>
    <hyperlink xmlns:r="http://schemas.openxmlformats.org/officeDocument/2006/relationships" ref="S3325" r:id="rId3324"/>
    <hyperlink xmlns:r="http://schemas.openxmlformats.org/officeDocument/2006/relationships" ref="S3326" r:id="rId3325"/>
    <hyperlink xmlns:r="http://schemas.openxmlformats.org/officeDocument/2006/relationships" ref="S3327" r:id="rId3326"/>
    <hyperlink xmlns:r="http://schemas.openxmlformats.org/officeDocument/2006/relationships" ref="S3328" r:id="rId3327"/>
    <hyperlink xmlns:r="http://schemas.openxmlformats.org/officeDocument/2006/relationships" ref="S3329" r:id="rId3328"/>
    <hyperlink xmlns:r="http://schemas.openxmlformats.org/officeDocument/2006/relationships" ref="S3330" r:id="rId3329"/>
    <hyperlink xmlns:r="http://schemas.openxmlformats.org/officeDocument/2006/relationships" ref="S3331" r:id="rId3330"/>
    <hyperlink xmlns:r="http://schemas.openxmlformats.org/officeDocument/2006/relationships" ref="S3332" r:id="rId3331"/>
    <hyperlink xmlns:r="http://schemas.openxmlformats.org/officeDocument/2006/relationships" ref="S3333" r:id="rId3332"/>
    <hyperlink xmlns:r="http://schemas.openxmlformats.org/officeDocument/2006/relationships" ref="S3334" r:id="rId3333"/>
    <hyperlink xmlns:r="http://schemas.openxmlformats.org/officeDocument/2006/relationships" ref="S3335" r:id="rId3334"/>
    <hyperlink xmlns:r="http://schemas.openxmlformats.org/officeDocument/2006/relationships" ref="S3336" r:id="rId3335"/>
    <hyperlink xmlns:r="http://schemas.openxmlformats.org/officeDocument/2006/relationships" ref="S3337" r:id="rId3336"/>
    <hyperlink xmlns:r="http://schemas.openxmlformats.org/officeDocument/2006/relationships" ref="S3338" r:id="rId3337"/>
    <hyperlink xmlns:r="http://schemas.openxmlformats.org/officeDocument/2006/relationships" ref="S3339" r:id="rId3338"/>
    <hyperlink xmlns:r="http://schemas.openxmlformats.org/officeDocument/2006/relationships" ref="S3340" r:id="rId3339"/>
    <hyperlink xmlns:r="http://schemas.openxmlformats.org/officeDocument/2006/relationships" ref="S3341" r:id="rId3340"/>
    <hyperlink xmlns:r="http://schemas.openxmlformats.org/officeDocument/2006/relationships" ref="S3342" r:id="rId3341"/>
    <hyperlink xmlns:r="http://schemas.openxmlformats.org/officeDocument/2006/relationships" ref="S3343" r:id="rId3342"/>
    <hyperlink xmlns:r="http://schemas.openxmlformats.org/officeDocument/2006/relationships" ref="S3344" r:id="rId3343"/>
    <hyperlink xmlns:r="http://schemas.openxmlformats.org/officeDocument/2006/relationships" ref="S3345" r:id="rId3344"/>
    <hyperlink xmlns:r="http://schemas.openxmlformats.org/officeDocument/2006/relationships" ref="S3346" r:id="rId3345"/>
    <hyperlink xmlns:r="http://schemas.openxmlformats.org/officeDocument/2006/relationships" ref="S3347" r:id="rId3346"/>
    <hyperlink xmlns:r="http://schemas.openxmlformats.org/officeDocument/2006/relationships" ref="S3348" r:id="rId3347"/>
    <hyperlink xmlns:r="http://schemas.openxmlformats.org/officeDocument/2006/relationships" ref="S3349" r:id="rId3348"/>
    <hyperlink xmlns:r="http://schemas.openxmlformats.org/officeDocument/2006/relationships" ref="S3350" r:id="rId3349"/>
    <hyperlink xmlns:r="http://schemas.openxmlformats.org/officeDocument/2006/relationships" ref="S3351" r:id="rId3350"/>
    <hyperlink xmlns:r="http://schemas.openxmlformats.org/officeDocument/2006/relationships" ref="S3352" r:id="rId3351"/>
    <hyperlink xmlns:r="http://schemas.openxmlformats.org/officeDocument/2006/relationships" ref="S3353" r:id="rId3352"/>
    <hyperlink xmlns:r="http://schemas.openxmlformats.org/officeDocument/2006/relationships" ref="S3354" r:id="rId3353"/>
    <hyperlink xmlns:r="http://schemas.openxmlformats.org/officeDocument/2006/relationships" ref="S3355" r:id="rId3354"/>
    <hyperlink xmlns:r="http://schemas.openxmlformats.org/officeDocument/2006/relationships" ref="S3356" r:id="rId3355"/>
    <hyperlink xmlns:r="http://schemas.openxmlformats.org/officeDocument/2006/relationships" ref="S3357" r:id="rId3356"/>
    <hyperlink xmlns:r="http://schemas.openxmlformats.org/officeDocument/2006/relationships" ref="S3358" r:id="rId3357"/>
    <hyperlink xmlns:r="http://schemas.openxmlformats.org/officeDocument/2006/relationships" ref="S3359" r:id="rId3358"/>
    <hyperlink xmlns:r="http://schemas.openxmlformats.org/officeDocument/2006/relationships" ref="S3360" r:id="rId3359"/>
    <hyperlink xmlns:r="http://schemas.openxmlformats.org/officeDocument/2006/relationships" ref="S3361" r:id="rId3360"/>
    <hyperlink xmlns:r="http://schemas.openxmlformats.org/officeDocument/2006/relationships" ref="S3362" r:id="rId3361"/>
    <hyperlink xmlns:r="http://schemas.openxmlformats.org/officeDocument/2006/relationships" ref="S3363" r:id="rId3362"/>
    <hyperlink xmlns:r="http://schemas.openxmlformats.org/officeDocument/2006/relationships" ref="S3364" r:id="rId3363"/>
    <hyperlink xmlns:r="http://schemas.openxmlformats.org/officeDocument/2006/relationships" ref="S3365" r:id="rId3364"/>
    <hyperlink xmlns:r="http://schemas.openxmlformats.org/officeDocument/2006/relationships" ref="S3366" r:id="rId3365"/>
    <hyperlink xmlns:r="http://schemas.openxmlformats.org/officeDocument/2006/relationships" ref="S3367" r:id="rId3366"/>
    <hyperlink xmlns:r="http://schemas.openxmlformats.org/officeDocument/2006/relationships" ref="S3368" r:id="rId3367"/>
    <hyperlink xmlns:r="http://schemas.openxmlformats.org/officeDocument/2006/relationships" ref="S3369" r:id="rId3368"/>
    <hyperlink xmlns:r="http://schemas.openxmlformats.org/officeDocument/2006/relationships" ref="S3370" r:id="rId3369"/>
    <hyperlink xmlns:r="http://schemas.openxmlformats.org/officeDocument/2006/relationships" ref="S3371" r:id="rId3370"/>
    <hyperlink xmlns:r="http://schemas.openxmlformats.org/officeDocument/2006/relationships" ref="S3372" r:id="rId3371"/>
    <hyperlink xmlns:r="http://schemas.openxmlformats.org/officeDocument/2006/relationships" ref="S3373" r:id="rId3372"/>
    <hyperlink xmlns:r="http://schemas.openxmlformats.org/officeDocument/2006/relationships" ref="S3374" r:id="rId3373"/>
    <hyperlink xmlns:r="http://schemas.openxmlformats.org/officeDocument/2006/relationships" ref="S3375" r:id="rId3374"/>
    <hyperlink xmlns:r="http://schemas.openxmlformats.org/officeDocument/2006/relationships" ref="S3376" r:id="rId3375"/>
    <hyperlink xmlns:r="http://schemas.openxmlformats.org/officeDocument/2006/relationships" ref="S3377" r:id="rId3376"/>
    <hyperlink xmlns:r="http://schemas.openxmlformats.org/officeDocument/2006/relationships" ref="S3378" r:id="rId3377"/>
    <hyperlink xmlns:r="http://schemas.openxmlformats.org/officeDocument/2006/relationships" ref="S3379" r:id="rId3378"/>
    <hyperlink xmlns:r="http://schemas.openxmlformats.org/officeDocument/2006/relationships" ref="S3380" r:id="rId3379"/>
    <hyperlink xmlns:r="http://schemas.openxmlformats.org/officeDocument/2006/relationships" ref="S3381" r:id="rId3380"/>
    <hyperlink xmlns:r="http://schemas.openxmlformats.org/officeDocument/2006/relationships" ref="S3382" r:id="rId3381"/>
    <hyperlink xmlns:r="http://schemas.openxmlformats.org/officeDocument/2006/relationships" ref="S3383" r:id="rId3382"/>
    <hyperlink xmlns:r="http://schemas.openxmlformats.org/officeDocument/2006/relationships" ref="S3384" r:id="rId3383"/>
    <hyperlink xmlns:r="http://schemas.openxmlformats.org/officeDocument/2006/relationships" ref="S3385" r:id="rId3384"/>
    <hyperlink xmlns:r="http://schemas.openxmlformats.org/officeDocument/2006/relationships" ref="S3386" r:id="rId3385"/>
    <hyperlink xmlns:r="http://schemas.openxmlformats.org/officeDocument/2006/relationships" ref="S3387" r:id="rId3386"/>
    <hyperlink xmlns:r="http://schemas.openxmlformats.org/officeDocument/2006/relationships" ref="S3388" r:id="rId3387"/>
    <hyperlink xmlns:r="http://schemas.openxmlformats.org/officeDocument/2006/relationships" ref="S3389" r:id="rId3388"/>
    <hyperlink xmlns:r="http://schemas.openxmlformats.org/officeDocument/2006/relationships" ref="S3390" r:id="rId3389"/>
    <hyperlink xmlns:r="http://schemas.openxmlformats.org/officeDocument/2006/relationships" ref="S3391" r:id="rId3390"/>
    <hyperlink xmlns:r="http://schemas.openxmlformats.org/officeDocument/2006/relationships" ref="S3392" r:id="rId3391"/>
    <hyperlink xmlns:r="http://schemas.openxmlformats.org/officeDocument/2006/relationships" ref="S3393" r:id="rId3392"/>
    <hyperlink xmlns:r="http://schemas.openxmlformats.org/officeDocument/2006/relationships" ref="S3394" r:id="rId3393"/>
    <hyperlink xmlns:r="http://schemas.openxmlformats.org/officeDocument/2006/relationships" ref="S3395" r:id="rId3394"/>
    <hyperlink xmlns:r="http://schemas.openxmlformats.org/officeDocument/2006/relationships" ref="S3396" r:id="rId3395"/>
    <hyperlink xmlns:r="http://schemas.openxmlformats.org/officeDocument/2006/relationships" ref="S3397" r:id="rId3396"/>
    <hyperlink xmlns:r="http://schemas.openxmlformats.org/officeDocument/2006/relationships" ref="S3398" r:id="rId3397"/>
    <hyperlink xmlns:r="http://schemas.openxmlformats.org/officeDocument/2006/relationships" ref="S3399" r:id="rId3398"/>
    <hyperlink xmlns:r="http://schemas.openxmlformats.org/officeDocument/2006/relationships" ref="S3400" r:id="rId3399"/>
    <hyperlink xmlns:r="http://schemas.openxmlformats.org/officeDocument/2006/relationships" ref="S3401" r:id="rId3400"/>
    <hyperlink xmlns:r="http://schemas.openxmlformats.org/officeDocument/2006/relationships" ref="S3402" r:id="rId3401"/>
    <hyperlink xmlns:r="http://schemas.openxmlformats.org/officeDocument/2006/relationships" ref="S3403" r:id="rId3402"/>
    <hyperlink xmlns:r="http://schemas.openxmlformats.org/officeDocument/2006/relationships" ref="S3404" r:id="rId3403"/>
    <hyperlink xmlns:r="http://schemas.openxmlformats.org/officeDocument/2006/relationships" ref="S3405" r:id="rId3404"/>
    <hyperlink xmlns:r="http://schemas.openxmlformats.org/officeDocument/2006/relationships" ref="S3406" r:id="rId3405"/>
    <hyperlink xmlns:r="http://schemas.openxmlformats.org/officeDocument/2006/relationships" ref="S3407" r:id="rId3406"/>
    <hyperlink xmlns:r="http://schemas.openxmlformats.org/officeDocument/2006/relationships" ref="S3408" r:id="rId3407"/>
    <hyperlink xmlns:r="http://schemas.openxmlformats.org/officeDocument/2006/relationships" ref="S3409" r:id="rId3408"/>
    <hyperlink xmlns:r="http://schemas.openxmlformats.org/officeDocument/2006/relationships" ref="S3410" r:id="rId3409"/>
    <hyperlink xmlns:r="http://schemas.openxmlformats.org/officeDocument/2006/relationships" ref="S3411" r:id="rId3410"/>
    <hyperlink xmlns:r="http://schemas.openxmlformats.org/officeDocument/2006/relationships" ref="S3412" r:id="rId3411"/>
    <hyperlink xmlns:r="http://schemas.openxmlformats.org/officeDocument/2006/relationships" ref="S3413" r:id="rId3412"/>
    <hyperlink xmlns:r="http://schemas.openxmlformats.org/officeDocument/2006/relationships" ref="S3414" r:id="rId3413"/>
    <hyperlink xmlns:r="http://schemas.openxmlformats.org/officeDocument/2006/relationships" ref="S3415" r:id="rId3414"/>
    <hyperlink xmlns:r="http://schemas.openxmlformats.org/officeDocument/2006/relationships" ref="S3416" r:id="rId3415"/>
    <hyperlink xmlns:r="http://schemas.openxmlformats.org/officeDocument/2006/relationships" ref="S3417" r:id="rId3416"/>
    <hyperlink xmlns:r="http://schemas.openxmlformats.org/officeDocument/2006/relationships" ref="S3418" r:id="rId3417"/>
    <hyperlink xmlns:r="http://schemas.openxmlformats.org/officeDocument/2006/relationships" ref="S3419" r:id="rId3418"/>
    <hyperlink xmlns:r="http://schemas.openxmlformats.org/officeDocument/2006/relationships" ref="S3420" r:id="rId3419"/>
    <hyperlink xmlns:r="http://schemas.openxmlformats.org/officeDocument/2006/relationships" ref="S3421" r:id="rId3420"/>
    <hyperlink xmlns:r="http://schemas.openxmlformats.org/officeDocument/2006/relationships" ref="S3422" r:id="rId3421"/>
    <hyperlink xmlns:r="http://schemas.openxmlformats.org/officeDocument/2006/relationships" ref="S3423" r:id="rId3422"/>
    <hyperlink xmlns:r="http://schemas.openxmlformats.org/officeDocument/2006/relationships" ref="S3424" r:id="rId3423"/>
    <hyperlink xmlns:r="http://schemas.openxmlformats.org/officeDocument/2006/relationships" ref="S3425" r:id="rId3424"/>
    <hyperlink xmlns:r="http://schemas.openxmlformats.org/officeDocument/2006/relationships" ref="S3426" r:id="rId3425"/>
    <hyperlink xmlns:r="http://schemas.openxmlformats.org/officeDocument/2006/relationships" ref="S3427" r:id="rId3426"/>
    <hyperlink xmlns:r="http://schemas.openxmlformats.org/officeDocument/2006/relationships" ref="S3428" r:id="rId3427"/>
    <hyperlink xmlns:r="http://schemas.openxmlformats.org/officeDocument/2006/relationships" ref="S3429" r:id="rId3428"/>
    <hyperlink xmlns:r="http://schemas.openxmlformats.org/officeDocument/2006/relationships" ref="S3430" r:id="rId3429"/>
    <hyperlink xmlns:r="http://schemas.openxmlformats.org/officeDocument/2006/relationships" ref="S3431" r:id="rId3430"/>
    <hyperlink xmlns:r="http://schemas.openxmlformats.org/officeDocument/2006/relationships" ref="S3432" r:id="rId3431"/>
    <hyperlink xmlns:r="http://schemas.openxmlformats.org/officeDocument/2006/relationships" ref="S3433" r:id="rId3432"/>
    <hyperlink xmlns:r="http://schemas.openxmlformats.org/officeDocument/2006/relationships" ref="S3434" r:id="rId3433"/>
    <hyperlink xmlns:r="http://schemas.openxmlformats.org/officeDocument/2006/relationships" ref="S3435" r:id="rId3434"/>
    <hyperlink xmlns:r="http://schemas.openxmlformats.org/officeDocument/2006/relationships" ref="S3436" r:id="rId3435"/>
    <hyperlink xmlns:r="http://schemas.openxmlformats.org/officeDocument/2006/relationships" ref="S3437" r:id="rId3436"/>
    <hyperlink xmlns:r="http://schemas.openxmlformats.org/officeDocument/2006/relationships" ref="S3438" r:id="rId3437"/>
    <hyperlink xmlns:r="http://schemas.openxmlformats.org/officeDocument/2006/relationships" ref="S3439" r:id="rId3438"/>
    <hyperlink xmlns:r="http://schemas.openxmlformats.org/officeDocument/2006/relationships" ref="S3440" r:id="rId3439"/>
    <hyperlink xmlns:r="http://schemas.openxmlformats.org/officeDocument/2006/relationships" ref="S3441" r:id="rId3440"/>
    <hyperlink xmlns:r="http://schemas.openxmlformats.org/officeDocument/2006/relationships" ref="S3442" r:id="rId3441"/>
    <hyperlink xmlns:r="http://schemas.openxmlformats.org/officeDocument/2006/relationships" ref="S3443" r:id="rId3442"/>
    <hyperlink xmlns:r="http://schemas.openxmlformats.org/officeDocument/2006/relationships" ref="S3444" r:id="rId3443"/>
    <hyperlink xmlns:r="http://schemas.openxmlformats.org/officeDocument/2006/relationships" ref="S3445" r:id="rId3444"/>
    <hyperlink xmlns:r="http://schemas.openxmlformats.org/officeDocument/2006/relationships" ref="S3446" r:id="rId3445"/>
    <hyperlink xmlns:r="http://schemas.openxmlformats.org/officeDocument/2006/relationships" ref="S3447" r:id="rId3446"/>
    <hyperlink xmlns:r="http://schemas.openxmlformats.org/officeDocument/2006/relationships" ref="S3448" r:id="rId3447"/>
    <hyperlink xmlns:r="http://schemas.openxmlformats.org/officeDocument/2006/relationships" ref="S3449" r:id="rId3448"/>
    <hyperlink xmlns:r="http://schemas.openxmlformats.org/officeDocument/2006/relationships" ref="S3450" r:id="rId3449"/>
    <hyperlink xmlns:r="http://schemas.openxmlformats.org/officeDocument/2006/relationships" ref="S3451" r:id="rId3450"/>
    <hyperlink xmlns:r="http://schemas.openxmlformats.org/officeDocument/2006/relationships" ref="S3452" r:id="rId3451"/>
    <hyperlink xmlns:r="http://schemas.openxmlformats.org/officeDocument/2006/relationships" ref="S3453" r:id="rId3452"/>
    <hyperlink xmlns:r="http://schemas.openxmlformats.org/officeDocument/2006/relationships" ref="S3454" r:id="rId3453"/>
    <hyperlink xmlns:r="http://schemas.openxmlformats.org/officeDocument/2006/relationships" ref="S3455" r:id="rId3454"/>
    <hyperlink xmlns:r="http://schemas.openxmlformats.org/officeDocument/2006/relationships" ref="S3456" r:id="rId3455"/>
    <hyperlink xmlns:r="http://schemas.openxmlformats.org/officeDocument/2006/relationships" ref="S3457" r:id="rId3456"/>
    <hyperlink xmlns:r="http://schemas.openxmlformats.org/officeDocument/2006/relationships" ref="S3458" r:id="rId3457"/>
    <hyperlink xmlns:r="http://schemas.openxmlformats.org/officeDocument/2006/relationships" ref="S3459" r:id="rId3458"/>
    <hyperlink xmlns:r="http://schemas.openxmlformats.org/officeDocument/2006/relationships" ref="S3460" r:id="rId3459"/>
    <hyperlink xmlns:r="http://schemas.openxmlformats.org/officeDocument/2006/relationships" ref="S3461" r:id="rId3460"/>
    <hyperlink xmlns:r="http://schemas.openxmlformats.org/officeDocument/2006/relationships" ref="S3462" r:id="rId3461"/>
    <hyperlink xmlns:r="http://schemas.openxmlformats.org/officeDocument/2006/relationships" ref="S3463" r:id="rId3462"/>
    <hyperlink xmlns:r="http://schemas.openxmlformats.org/officeDocument/2006/relationships" ref="S3464" r:id="rId3463"/>
    <hyperlink xmlns:r="http://schemas.openxmlformats.org/officeDocument/2006/relationships" ref="S3465" r:id="rId3464"/>
    <hyperlink xmlns:r="http://schemas.openxmlformats.org/officeDocument/2006/relationships" ref="S3466" r:id="rId3465"/>
    <hyperlink xmlns:r="http://schemas.openxmlformats.org/officeDocument/2006/relationships" ref="S3467" r:id="rId3466"/>
    <hyperlink xmlns:r="http://schemas.openxmlformats.org/officeDocument/2006/relationships" ref="S3468" r:id="rId3467"/>
    <hyperlink xmlns:r="http://schemas.openxmlformats.org/officeDocument/2006/relationships" ref="S3469" r:id="rId3468"/>
    <hyperlink xmlns:r="http://schemas.openxmlformats.org/officeDocument/2006/relationships" ref="S3470" r:id="rId3469"/>
    <hyperlink xmlns:r="http://schemas.openxmlformats.org/officeDocument/2006/relationships" ref="S3471" r:id="rId3470"/>
    <hyperlink xmlns:r="http://schemas.openxmlformats.org/officeDocument/2006/relationships" ref="S3472" r:id="rId3471"/>
    <hyperlink xmlns:r="http://schemas.openxmlformats.org/officeDocument/2006/relationships" ref="S3473" r:id="rId3472"/>
    <hyperlink xmlns:r="http://schemas.openxmlformats.org/officeDocument/2006/relationships" ref="S3474" r:id="rId3473"/>
    <hyperlink xmlns:r="http://schemas.openxmlformats.org/officeDocument/2006/relationships" ref="S3475" r:id="rId3474"/>
    <hyperlink xmlns:r="http://schemas.openxmlformats.org/officeDocument/2006/relationships" ref="S3476" r:id="rId3475"/>
    <hyperlink xmlns:r="http://schemas.openxmlformats.org/officeDocument/2006/relationships" ref="S3477" r:id="rId3476"/>
    <hyperlink xmlns:r="http://schemas.openxmlformats.org/officeDocument/2006/relationships" ref="S3478" r:id="rId3477"/>
    <hyperlink xmlns:r="http://schemas.openxmlformats.org/officeDocument/2006/relationships" ref="S3479" r:id="rId3478"/>
    <hyperlink xmlns:r="http://schemas.openxmlformats.org/officeDocument/2006/relationships" ref="S3480" r:id="rId3479"/>
    <hyperlink xmlns:r="http://schemas.openxmlformats.org/officeDocument/2006/relationships" ref="S3481" r:id="rId3480"/>
    <hyperlink xmlns:r="http://schemas.openxmlformats.org/officeDocument/2006/relationships" ref="S3482" r:id="rId3481"/>
    <hyperlink xmlns:r="http://schemas.openxmlformats.org/officeDocument/2006/relationships" ref="S3483" r:id="rId3482"/>
    <hyperlink xmlns:r="http://schemas.openxmlformats.org/officeDocument/2006/relationships" ref="S3484" r:id="rId3483"/>
    <hyperlink xmlns:r="http://schemas.openxmlformats.org/officeDocument/2006/relationships" ref="S3485" r:id="rId3484"/>
    <hyperlink xmlns:r="http://schemas.openxmlformats.org/officeDocument/2006/relationships" ref="S3486" r:id="rId3485"/>
    <hyperlink xmlns:r="http://schemas.openxmlformats.org/officeDocument/2006/relationships" ref="S3487" r:id="rId3486"/>
    <hyperlink xmlns:r="http://schemas.openxmlformats.org/officeDocument/2006/relationships" ref="S3488" r:id="rId3487"/>
    <hyperlink xmlns:r="http://schemas.openxmlformats.org/officeDocument/2006/relationships" ref="S3489" r:id="rId3488"/>
    <hyperlink xmlns:r="http://schemas.openxmlformats.org/officeDocument/2006/relationships" ref="S3490" r:id="rId3489"/>
    <hyperlink xmlns:r="http://schemas.openxmlformats.org/officeDocument/2006/relationships" ref="S3491" r:id="rId3490"/>
    <hyperlink xmlns:r="http://schemas.openxmlformats.org/officeDocument/2006/relationships" ref="S3492" r:id="rId3491"/>
    <hyperlink xmlns:r="http://schemas.openxmlformats.org/officeDocument/2006/relationships" ref="S3493" r:id="rId3492"/>
    <hyperlink xmlns:r="http://schemas.openxmlformats.org/officeDocument/2006/relationships" ref="S3494" r:id="rId3493"/>
    <hyperlink xmlns:r="http://schemas.openxmlformats.org/officeDocument/2006/relationships" ref="S3495" r:id="rId3494"/>
    <hyperlink xmlns:r="http://schemas.openxmlformats.org/officeDocument/2006/relationships" ref="S3496" r:id="rId3495"/>
    <hyperlink xmlns:r="http://schemas.openxmlformats.org/officeDocument/2006/relationships" ref="S3497" r:id="rId3496"/>
    <hyperlink xmlns:r="http://schemas.openxmlformats.org/officeDocument/2006/relationships" ref="S3498" r:id="rId3497"/>
    <hyperlink xmlns:r="http://schemas.openxmlformats.org/officeDocument/2006/relationships" ref="S3499" r:id="rId3498"/>
    <hyperlink xmlns:r="http://schemas.openxmlformats.org/officeDocument/2006/relationships" ref="S3500" r:id="rId3499"/>
    <hyperlink xmlns:r="http://schemas.openxmlformats.org/officeDocument/2006/relationships" ref="S3501" r:id="rId3500"/>
    <hyperlink xmlns:r="http://schemas.openxmlformats.org/officeDocument/2006/relationships" ref="S3502" r:id="rId3501"/>
    <hyperlink xmlns:r="http://schemas.openxmlformats.org/officeDocument/2006/relationships" ref="S3503" r:id="rId3502"/>
    <hyperlink xmlns:r="http://schemas.openxmlformats.org/officeDocument/2006/relationships" ref="S3504" r:id="rId3503"/>
    <hyperlink xmlns:r="http://schemas.openxmlformats.org/officeDocument/2006/relationships" ref="S3505" r:id="rId3504"/>
    <hyperlink xmlns:r="http://schemas.openxmlformats.org/officeDocument/2006/relationships" ref="S3506" r:id="rId3505"/>
    <hyperlink xmlns:r="http://schemas.openxmlformats.org/officeDocument/2006/relationships" ref="S3507" r:id="rId3506"/>
    <hyperlink xmlns:r="http://schemas.openxmlformats.org/officeDocument/2006/relationships" ref="S3508" r:id="rId3507"/>
    <hyperlink xmlns:r="http://schemas.openxmlformats.org/officeDocument/2006/relationships" ref="S3509" r:id="rId3508"/>
    <hyperlink xmlns:r="http://schemas.openxmlformats.org/officeDocument/2006/relationships" ref="S3510" r:id="rId3509"/>
    <hyperlink xmlns:r="http://schemas.openxmlformats.org/officeDocument/2006/relationships" ref="S3511" r:id="rId3510"/>
    <hyperlink xmlns:r="http://schemas.openxmlformats.org/officeDocument/2006/relationships" ref="S3512" r:id="rId3511"/>
    <hyperlink xmlns:r="http://schemas.openxmlformats.org/officeDocument/2006/relationships" ref="S3513" r:id="rId3512"/>
    <hyperlink xmlns:r="http://schemas.openxmlformats.org/officeDocument/2006/relationships" ref="S3514" r:id="rId3513"/>
    <hyperlink xmlns:r="http://schemas.openxmlformats.org/officeDocument/2006/relationships" ref="S3515" r:id="rId3514"/>
    <hyperlink xmlns:r="http://schemas.openxmlformats.org/officeDocument/2006/relationships" ref="S3516" r:id="rId3515"/>
    <hyperlink xmlns:r="http://schemas.openxmlformats.org/officeDocument/2006/relationships" ref="S3517" r:id="rId3516"/>
    <hyperlink xmlns:r="http://schemas.openxmlformats.org/officeDocument/2006/relationships" ref="S3518" r:id="rId3517"/>
    <hyperlink xmlns:r="http://schemas.openxmlformats.org/officeDocument/2006/relationships" ref="S3519" r:id="rId3518"/>
    <hyperlink xmlns:r="http://schemas.openxmlformats.org/officeDocument/2006/relationships" ref="S3520" r:id="rId3519"/>
    <hyperlink xmlns:r="http://schemas.openxmlformats.org/officeDocument/2006/relationships" ref="S3521" r:id="rId3520"/>
    <hyperlink xmlns:r="http://schemas.openxmlformats.org/officeDocument/2006/relationships" ref="S3522" r:id="rId3521"/>
    <hyperlink xmlns:r="http://schemas.openxmlformats.org/officeDocument/2006/relationships" ref="S3523" r:id="rId3522"/>
    <hyperlink xmlns:r="http://schemas.openxmlformats.org/officeDocument/2006/relationships" ref="S3524" r:id="rId3523"/>
    <hyperlink xmlns:r="http://schemas.openxmlformats.org/officeDocument/2006/relationships" ref="S3525" r:id="rId3524"/>
    <hyperlink xmlns:r="http://schemas.openxmlformats.org/officeDocument/2006/relationships" ref="S3526" r:id="rId3525"/>
    <hyperlink xmlns:r="http://schemas.openxmlformats.org/officeDocument/2006/relationships" ref="S3527" r:id="rId3526"/>
    <hyperlink xmlns:r="http://schemas.openxmlformats.org/officeDocument/2006/relationships" ref="S3528" r:id="rId3527"/>
    <hyperlink xmlns:r="http://schemas.openxmlformats.org/officeDocument/2006/relationships" ref="S3529" r:id="rId3528"/>
    <hyperlink xmlns:r="http://schemas.openxmlformats.org/officeDocument/2006/relationships" ref="S3530" r:id="rId3529"/>
    <hyperlink xmlns:r="http://schemas.openxmlformats.org/officeDocument/2006/relationships" ref="S3531" r:id="rId3530"/>
    <hyperlink xmlns:r="http://schemas.openxmlformats.org/officeDocument/2006/relationships" ref="S3532" r:id="rId3531"/>
    <hyperlink xmlns:r="http://schemas.openxmlformats.org/officeDocument/2006/relationships" ref="S3533" r:id="rId3532"/>
    <hyperlink xmlns:r="http://schemas.openxmlformats.org/officeDocument/2006/relationships" ref="S3534" r:id="rId3533"/>
    <hyperlink xmlns:r="http://schemas.openxmlformats.org/officeDocument/2006/relationships" ref="S3535" r:id="rId3534"/>
    <hyperlink xmlns:r="http://schemas.openxmlformats.org/officeDocument/2006/relationships" ref="S3536" r:id="rId3535"/>
    <hyperlink xmlns:r="http://schemas.openxmlformats.org/officeDocument/2006/relationships" ref="S3537" r:id="rId3536"/>
    <hyperlink xmlns:r="http://schemas.openxmlformats.org/officeDocument/2006/relationships" ref="S3538" r:id="rId3537"/>
    <hyperlink xmlns:r="http://schemas.openxmlformats.org/officeDocument/2006/relationships" ref="S3539" r:id="rId3538"/>
    <hyperlink xmlns:r="http://schemas.openxmlformats.org/officeDocument/2006/relationships" ref="S3540" r:id="rId3539"/>
    <hyperlink xmlns:r="http://schemas.openxmlformats.org/officeDocument/2006/relationships" ref="S3541" r:id="rId3540"/>
    <hyperlink xmlns:r="http://schemas.openxmlformats.org/officeDocument/2006/relationships" ref="S3542" r:id="rId3541"/>
    <hyperlink xmlns:r="http://schemas.openxmlformats.org/officeDocument/2006/relationships" ref="S3543" r:id="rId3542"/>
    <hyperlink xmlns:r="http://schemas.openxmlformats.org/officeDocument/2006/relationships" ref="S3544" r:id="rId3543"/>
    <hyperlink xmlns:r="http://schemas.openxmlformats.org/officeDocument/2006/relationships" ref="S3545" r:id="rId3544"/>
    <hyperlink xmlns:r="http://schemas.openxmlformats.org/officeDocument/2006/relationships" ref="S3546" r:id="rId3545"/>
    <hyperlink xmlns:r="http://schemas.openxmlformats.org/officeDocument/2006/relationships" ref="S3547" r:id="rId3546"/>
    <hyperlink xmlns:r="http://schemas.openxmlformats.org/officeDocument/2006/relationships" ref="S3548" r:id="rId3547"/>
    <hyperlink xmlns:r="http://schemas.openxmlformats.org/officeDocument/2006/relationships" ref="S3549" r:id="rId3548"/>
    <hyperlink xmlns:r="http://schemas.openxmlformats.org/officeDocument/2006/relationships" ref="S3550" r:id="rId3549"/>
    <hyperlink xmlns:r="http://schemas.openxmlformats.org/officeDocument/2006/relationships" ref="S3551" r:id="rId3550"/>
    <hyperlink xmlns:r="http://schemas.openxmlformats.org/officeDocument/2006/relationships" ref="S3552" r:id="rId3551"/>
    <hyperlink xmlns:r="http://schemas.openxmlformats.org/officeDocument/2006/relationships" ref="S3553" r:id="rId3552"/>
    <hyperlink xmlns:r="http://schemas.openxmlformats.org/officeDocument/2006/relationships" ref="S3554" r:id="rId3553"/>
    <hyperlink xmlns:r="http://schemas.openxmlformats.org/officeDocument/2006/relationships" ref="S3555" r:id="rId3554"/>
    <hyperlink xmlns:r="http://schemas.openxmlformats.org/officeDocument/2006/relationships" ref="S3556" r:id="rId3555"/>
    <hyperlink xmlns:r="http://schemas.openxmlformats.org/officeDocument/2006/relationships" ref="S3557" r:id="rId3556"/>
    <hyperlink xmlns:r="http://schemas.openxmlformats.org/officeDocument/2006/relationships" ref="S3558" r:id="rId3557"/>
    <hyperlink xmlns:r="http://schemas.openxmlformats.org/officeDocument/2006/relationships" ref="S3559" r:id="rId3558"/>
    <hyperlink xmlns:r="http://schemas.openxmlformats.org/officeDocument/2006/relationships" ref="S3560" r:id="rId3559"/>
    <hyperlink xmlns:r="http://schemas.openxmlformats.org/officeDocument/2006/relationships" ref="S3561" r:id="rId3560"/>
    <hyperlink xmlns:r="http://schemas.openxmlformats.org/officeDocument/2006/relationships" ref="S3562" r:id="rId3561"/>
    <hyperlink xmlns:r="http://schemas.openxmlformats.org/officeDocument/2006/relationships" ref="S3563" r:id="rId3562"/>
    <hyperlink xmlns:r="http://schemas.openxmlformats.org/officeDocument/2006/relationships" ref="S3564" r:id="rId3563"/>
    <hyperlink xmlns:r="http://schemas.openxmlformats.org/officeDocument/2006/relationships" ref="S3565" r:id="rId3564"/>
    <hyperlink xmlns:r="http://schemas.openxmlformats.org/officeDocument/2006/relationships" ref="S3566" r:id="rId3565"/>
    <hyperlink xmlns:r="http://schemas.openxmlformats.org/officeDocument/2006/relationships" ref="S3567" r:id="rId3566"/>
    <hyperlink xmlns:r="http://schemas.openxmlformats.org/officeDocument/2006/relationships" ref="S3568" r:id="rId3567"/>
    <hyperlink xmlns:r="http://schemas.openxmlformats.org/officeDocument/2006/relationships" ref="S3569" r:id="rId3568"/>
    <hyperlink xmlns:r="http://schemas.openxmlformats.org/officeDocument/2006/relationships" ref="S3570" r:id="rId3569"/>
    <hyperlink xmlns:r="http://schemas.openxmlformats.org/officeDocument/2006/relationships" ref="S3571" r:id="rId3570"/>
    <hyperlink xmlns:r="http://schemas.openxmlformats.org/officeDocument/2006/relationships" ref="S3572" r:id="rId3571"/>
    <hyperlink xmlns:r="http://schemas.openxmlformats.org/officeDocument/2006/relationships" ref="S3573" r:id="rId3572"/>
    <hyperlink xmlns:r="http://schemas.openxmlformats.org/officeDocument/2006/relationships" ref="S3574" r:id="rId3573"/>
    <hyperlink xmlns:r="http://schemas.openxmlformats.org/officeDocument/2006/relationships" ref="S3575" r:id="rId3574"/>
    <hyperlink xmlns:r="http://schemas.openxmlformats.org/officeDocument/2006/relationships" ref="S3576" r:id="rId3575"/>
    <hyperlink xmlns:r="http://schemas.openxmlformats.org/officeDocument/2006/relationships" ref="S3577" r:id="rId3576"/>
    <hyperlink xmlns:r="http://schemas.openxmlformats.org/officeDocument/2006/relationships" ref="S3578" r:id="rId3577"/>
    <hyperlink xmlns:r="http://schemas.openxmlformats.org/officeDocument/2006/relationships" ref="S3579" r:id="rId3578"/>
    <hyperlink xmlns:r="http://schemas.openxmlformats.org/officeDocument/2006/relationships" ref="S3580" r:id="rId3579"/>
    <hyperlink xmlns:r="http://schemas.openxmlformats.org/officeDocument/2006/relationships" ref="S3581" r:id="rId3580"/>
    <hyperlink xmlns:r="http://schemas.openxmlformats.org/officeDocument/2006/relationships" ref="S3582" r:id="rId3581"/>
    <hyperlink xmlns:r="http://schemas.openxmlformats.org/officeDocument/2006/relationships" ref="S3583" r:id="rId3582"/>
    <hyperlink xmlns:r="http://schemas.openxmlformats.org/officeDocument/2006/relationships" ref="S3584" r:id="rId3583"/>
    <hyperlink xmlns:r="http://schemas.openxmlformats.org/officeDocument/2006/relationships" ref="S3585" r:id="rId3584"/>
    <hyperlink xmlns:r="http://schemas.openxmlformats.org/officeDocument/2006/relationships" ref="S3586" r:id="rId3585"/>
    <hyperlink xmlns:r="http://schemas.openxmlformats.org/officeDocument/2006/relationships" ref="S3587" r:id="rId3586"/>
    <hyperlink xmlns:r="http://schemas.openxmlformats.org/officeDocument/2006/relationships" ref="S3588" r:id="rId3587"/>
    <hyperlink xmlns:r="http://schemas.openxmlformats.org/officeDocument/2006/relationships" ref="S3589" r:id="rId3588"/>
    <hyperlink xmlns:r="http://schemas.openxmlformats.org/officeDocument/2006/relationships" ref="S3590" r:id="rId3589"/>
    <hyperlink xmlns:r="http://schemas.openxmlformats.org/officeDocument/2006/relationships" ref="S3591" r:id="rId3590"/>
    <hyperlink xmlns:r="http://schemas.openxmlformats.org/officeDocument/2006/relationships" ref="S3592" r:id="rId3591"/>
    <hyperlink xmlns:r="http://schemas.openxmlformats.org/officeDocument/2006/relationships" ref="S3593" r:id="rId3592"/>
    <hyperlink xmlns:r="http://schemas.openxmlformats.org/officeDocument/2006/relationships" ref="S3594" r:id="rId3593"/>
    <hyperlink xmlns:r="http://schemas.openxmlformats.org/officeDocument/2006/relationships" ref="S3595" r:id="rId3594"/>
    <hyperlink xmlns:r="http://schemas.openxmlformats.org/officeDocument/2006/relationships" ref="S3596" r:id="rId3595"/>
    <hyperlink xmlns:r="http://schemas.openxmlformats.org/officeDocument/2006/relationships" ref="S3597" r:id="rId3596"/>
    <hyperlink xmlns:r="http://schemas.openxmlformats.org/officeDocument/2006/relationships" ref="S3598" r:id="rId3597"/>
    <hyperlink xmlns:r="http://schemas.openxmlformats.org/officeDocument/2006/relationships" ref="S3599" r:id="rId3598"/>
    <hyperlink xmlns:r="http://schemas.openxmlformats.org/officeDocument/2006/relationships" ref="S3600" r:id="rId3599"/>
    <hyperlink xmlns:r="http://schemas.openxmlformats.org/officeDocument/2006/relationships" ref="S3601" r:id="rId3600"/>
    <hyperlink xmlns:r="http://schemas.openxmlformats.org/officeDocument/2006/relationships" ref="S3602" r:id="rId3601"/>
    <hyperlink xmlns:r="http://schemas.openxmlformats.org/officeDocument/2006/relationships" ref="S3603" r:id="rId3602"/>
    <hyperlink xmlns:r="http://schemas.openxmlformats.org/officeDocument/2006/relationships" ref="S3604" r:id="rId3603"/>
    <hyperlink xmlns:r="http://schemas.openxmlformats.org/officeDocument/2006/relationships" ref="S3605" r:id="rId3604"/>
    <hyperlink xmlns:r="http://schemas.openxmlformats.org/officeDocument/2006/relationships" ref="S3606" r:id="rId3605"/>
    <hyperlink xmlns:r="http://schemas.openxmlformats.org/officeDocument/2006/relationships" ref="S3607" r:id="rId3606"/>
    <hyperlink xmlns:r="http://schemas.openxmlformats.org/officeDocument/2006/relationships" ref="S3608" r:id="rId3607"/>
    <hyperlink xmlns:r="http://schemas.openxmlformats.org/officeDocument/2006/relationships" ref="S3609" r:id="rId3608"/>
    <hyperlink xmlns:r="http://schemas.openxmlformats.org/officeDocument/2006/relationships" ref="S3610" r:id="rId3609"/>
    <hyperlink xmlns:r="http://schemas.openxmlformats.org/officeDocument/2006/relationships" ref="S3611" r:id="rId3610"/>
    <hyperlink xmlns:r="http://schemas.openxmlformats.org/officeDocument/2006/relationships" ref="S3612" r:id="rId3611"/>
    <hyperlink xmlns:r="http://schemas.openxmlformats.org/officeDocument/2006/relationships" ref="S3613" r:id="rId3612"/>
    <hyperlink xmlns:r="http://schemas.openxmlformats.org/officeDocument/2006/relationships" ref="S3614" r:id="rId3613"/>
    <hyperlink xmlns:r="http://schemas.openxmlformats.org/officeDocument/2006/relationships" ref="S3615" r:id="rId3614"/>
    <hyperlink xmlns:r="http://schemas.openxmlformats.org/officeDocument/2006/relationships" ref="S3616" r:id="rId3615"/>
    <hyperlink xmlns:r="http://schemas.openxmlformats.org/officeDocument/2006/relationships" ref="S3617" r:id="rId3616"/>
    <hyperlink xmlns:r="http://schemas.openxmlformats.org/officeDocument/2006/relationships" ref="S3618" r:id="rId3617"/>
    <hyperlink xmlns:r="http://schemas.openxmlformats.org/officeDocument/2006/relationships" ref="S3619" r:id="rId3618"/>
    <hyperlink xmlns:r="http://schemas.openxmlformats.org/officeDocument/2006/relationships" ref="S3620" r:id="rId3619"/>
    <hyperlink xmlns:r="http://schemas.openxmlformats.org/officeDocument/2006/relationships" ref="S3621" r:id="rId3620"/>
    <hyperlink xmlns:r="http://schemas.openxmlformats.org/officeDocument/2006/relationships" ref="S3622" r:id="rId3621"/>
    <hyperlink xmlns:r="http://schemas.openxmlformats.org/officeDocument/2006/relationships" ref="S3623" r:id="rId3622"/>
    <hyperlink xmlns:r="http://schemas.openxmlformats.org/officeDocument/2006/relationships" ref="S3624" r:id="rId3623"/>
    <hyperlink xmlns:r="http://schemas.openxmlformats.org/officeDocument/2006/relationships" ref="S3625" r:id="rId3624"/>
    <hyperlink xmlns:r="http://schemas.openxmlformats.org/officeDocument/2006/relationships" ref="S3626" r:id="rId3625"/>
    <hyperlink xmlns:r="http://schemas.openxmlformats.org/officeDocument/2006/relationships" ref="S3627" r:id="rId3626"/>
    <hyperlink xmlns:r="http://schemas.openxmlformats.org/officeDocument/2006/relationships" ref="S3628" r:id="rId3627"/>
    <hyperlink xmlns:r="http://schemas.openxmlformats.org/officeDocument/2006/relationships" ref="S3629" r:id="rId3628"/>
    <hyperlink xmlns:r="http://schemas.openxmlformats.org/officeDocument/2006/relationships" ref="S3630" r:id="rId3629"/>
    <hyperlink xmlns:r="http://schemas.openxmlformats.org/officeDocument/2006/relationships" ref="S3631" r:id="rId3630"/>
    <hyperlink xmlns:r="http://schemas.openxmlformats.org/officeDocument/2006/relationships" ref="S3632" r:id="rId3631"/>
    <hyperlink xmlns:r="http://schemas.openxmlformats.org/officeDocument/2006/relationships" ref="S3633" r:id="rId3632"/>
    <hyperlink xmlns:r="http://schemas.openxmlformats.org/officeDocument/2006/relationships" ref="S3634" r:id="rId3633"/>
    <hyperlink xmlns:r="http://schemas.openxmlformats.org/officeDocument/2006/relationships" ref="S3635" r:id="rId3634"/>
    <hyperlink xmlns:r="http://schemas.openxmlformats.org/officeDocument/2006/relationships" ref="S3636" r:id="rId3635"/>
    <hyperlink xmlns:r="http://schemas.openxmlformats.org/officeDocument/2006/relationships" ref="S3637" r:id="rId3636"/>
    <hyperlink xmlns:r="http://schemas.openxmlformats.org/officeDocument/2006/relationships" ref="S3638" r:id="rId3637"/>
    <hyperlink xmlns:r="http://schemas.openxmlformats.org/officeDocument/2006/relationships" ref="S3639" r:id="rId3638"/>
    <hyperlink xmlns:r="http://schemas.openxmlformats.org/officeDocument/2006/relationships" ref="S3640" r:id="rId3639"/>
    <hyperlink xmlns:r="http://schemas.openxmlformats.org/officeDocument/2006/relationships" ref="S3641" r:id="rId3640"/>
    <hyperlink xmlns:r="http://schemas.openxmlformats.org/officeDocument/2006/relationships" ref="S3642" r:id="rId3641"/>
    <hyperlink xmlns:r="http://schemas.openxmlformats.org/officeDocument/2006/relationships" ref="S3643" r:id="rId3642"/>
    <hyperlink xmlns:r="http://schemas.openxmlformats.org/officeDocument/2006/relationships" ref="S3644" r:id="rId3643"/>
    <hyperlink xmlns:r="http://schemas.openxmlformats.org/officeDocument/2006/relationships" ref="S3645" r:id="rId3644"/>
    <hyperlink xmlns:r="http://schemas.openxmlformats.org/officeDocument/2006/relationships" ref="S3646" r:id="rId3645"/>
    <hyperlink xmlns:r="http://schemas.openxmlformats.org/officeDocument/2006/relationships" ref="S3647" r:id="rId3646"/>
    <hyperlink xmlns:r="http://schemas.openxmlformats.org/officeDocument/2006/relationships" ref="S3648" r:id="rId3647"/>
    <hyperlink xmlns:r="http://schemas.openxmlformats.org/officeDocument/2006/relationships" ref="S3649" r:id="rId3648"/>
    <hyperlink xmlns:r="http://schemas.openxmlformats.org/officeDocument/2006/relationships" ref="S3650" r:id="rId3649"/>
    <hyperlink xmlns:r="http://schemas.openxmlformats.org/officeDocument/2006/relationships" ref="S3651" r:id="rId3650"/>
    <hyperlink xmlns:r="http://schemas.openxmlformats.org/officeDocument/2006/relationships" ref="S3652" r:id="rId3651"/>
    <hyperlink xmlns:r="http://schemas.openxmlformats.org/officeDocument/2006/relationships" ref="S3653" r:id="rId3652"/>
    <hyperlink xmlns:r="http://schemas.openxmlformats.org/officeDocument/2006/relationships" ref="S3654" r:id="rId3653"/>
    <hyperlink xmlns:r="http://schemas.openxmlformats.org/officeDocument/2006/relationships" ref="S3655" r:id="rId3654"/>
    <hyperlink xmlns:r="http://schemas.openxmlformats.org/officeDocument/2006/relationships" ref="S3656" r:id="rId3655"/>
    <hyperlink xmlns:r="http://schemas.openxmlformats.org/officeDocument/2006/relationships" ref="S3657" r:id="rId3656"/>
    <hyperlink xmlns:r="http://schemas.openxmlformats.org/officeDocument/2006/relationships" ref="S3658" r:id="rId3657"/>
    <hyperlink xmlns:r="http://schemas.openxmlformats.org/officeDocument/2006/relationships" ref="S3659" r:id="rId3658"/>
    <hyperlink xmlns:r="http://schemas.openxmlformats.org/officeDocument/2006/relationships" ref="S3660" r:id="rId3659"/>
    <hyperlink xmlns:r="http://schemas.openxmlformats.org/officeDocument/2006/relationships" ref="S3661" r:id="rId3660"/>
    <hyperlink xmlns:r="http://schemas.openxmlformats.org/officeDocument/2006/relationships" ref="S3662" r:id="rId3661"/>
    <hyperlink xmlns:r="http://schemas.openxmlformats.org/officeDocument/2006/relationships" ref="S3663" r:id="rId3662"/>
    <hyperlink xmlns:r="http://schemas.openxmlformats.org/officeDocument/2006/relationships" ref="S3664" r:id="rId3663"/>
    <hyperlink xmlns:r="http://schemas.openxmlformats.org/officeDocument/2006/relationships" ref="S3665" r:id="rId3664"/>
    <hyperlink xmlns:r="http://schemas.openxmlformats.org/officeDocument/2006/relationships" ref="S3666" r:id="rId3665"/>
    <hyperlink xmlns:r="http://schemas.openxmlformats.org/officeDocument/2006/relationships" ref="S3667" r:id="rId3666"/>
    <hyperlink xmlns:r="http://schemas.openxmlformats.org/officeDocument/2006/relationships" ref="S3668" r:id="rId3667"/>
    <hyperlink xmlns:r="http://schemas.openxmlformats.org/officeDocument/2006/relationships" ref="S3669" r:id="rId3668"/>
    <hyperlink xmlns:r="http://schemas.openxmlformats.org/officeDocument/2006/relationships" ref="S3670" r:id="rId3669"/>
    <hyperlink xmlns:r="http://schemas.openxmlformats.org/officeDocument/2006/relationships" ref="S3671" r:id="rId3670"/>
    <hyperlink xmlns:r="http://schemas.openxmlformats.org/officeDocument/2006/relationships" ref="S3672" r:id="rId3671"/>
    <hyperlink xmlns:r="http://schemas.openxmlformats.org/officeDocument/2006/relationships" ref="S3673" r:id="rId3672"/>
    <hyperlink xmlns:r="http://schemas.openxmlformats.org/officeDocument/2006/relationships" ref="S3674" r:id="rId3673"/>
    <hyperlink xmlns:r="http://schemas.openxmlformats.org/officeDocument/2006/relationships" ref="S3675" r:id="rId3674"/>
    <hyperlink xmlns:r="http://schemas.openxmlformats.org/officeDocument/2006/relationships" ref="S3676" r:id="rId3675"/>
    <hyperlink xmlns:r="http://schemas.openxmlformats.org/officeDocument/2006/relationships" ref="S3677" r:id="rId3676"/>
    <hyperlink xmlns:r="http://schemas.openxmlformats.org/officeDocument/2006/relationships" ref="S3678" r:id="rId3677"/>
    <hyperlink xmlns:r="http://schemas.openxmlformats.org/officeDocument/2006/relationships" ref="S3679" r:id="rId3678"/>
    <hyperlink xmlns:r="http://schemas.openxmlformats.org/officeDocument/2006/relationships" ref="S3680" r:id="rId3679"/>
    <hyperlink xmlns:r="http://schemas.openxmlformats.org/officeDocument/2006/relationships" ref="S3681" r:id="rId3680"/>
    <hyperlink xmlns:r="http://schemas.openxmlformats.org/officeDocument/2006/relationships" ref="S3682" r:id="rId3681"/>
    <hyperlink xmlns:r="http://schemas.openxmlformats.org/officeDocument/2006/relationships" ref="S3683" r:id="rId3682"/>
    <hyperlink xmlns:r="http://schemas.openxmlformats.org/officeDocument/2006/relationships" ref="S3684" r:id="rId3683"/>
    <hyperlink xmlns:r="http://schemas.openxmlformats.org/officeDocument/2006/relationships" ref="S3685" r:id="rId3684"/>
    <hyperlink xmlns:r="http://schemas.openxmlformats.org/officeDocument/2006/relationships" ref="S3686" r:id="rId3685"/>
    <hyperlink xmlns:r="http://schemas.openxmlformats.org/officeDocument/2006/relationships" ref="S3687" r:id="rId3686"/>
    <hyperlink xmlns:r="http://schemas.openxmlformats.org/officeDocument/2006/relationships" ref="S3688" r:id="rId3687"/>
    <hyperlink xmlns:r="http://schemas.openxmlformats.org/officeDocument/2006/relationships" ref="S3689" r:id="rId3688"/>
    <hyperlink xmlns:r="http://schemas.openxmlformats.org/officeDocument/2006/relationships" ref="S3690" r:id="rId3689"/>
    <hyperlink xmlns:r="http://schemas.openxmlformats.org/officeDocument/2006/relationships" ref="S3691" r:id="rId3690"/>
    <hyperlink xmlns:r="http://schemas.openxmlformats.org/officeDocument/2006/relationships" ref="S3692" r:id="rId3691"/>
    <hyperlink xmlns:r="http://schemas.openxmlformats.org/officeDocument/2006/relationships" ref="S3693" r:id="rId3692"/>
    <hyperlink xmlns:r="http://schemas.openxmlformats.org/officeDocument/2006/relationships" ref="S3694" r:id="rId3693"/>
    <hyperlink xmlns:r="http://schemas.openxmlformats.org/officeDocument/2006/relationships" ref="S3695" r:id="rId3694"/>
    <hyperlink xmlns:r="http://schemas.openxmlformats.org/officeDocument/2006/relationships" ref="S3696" r:id="rId3695"/>
    <hyperlink xmlns:r="http://schemas.openxmlformats.org/officeDocument/2006/relationships" ref="S3697" r:id="rId3696"/>
    <hyperlink xmlns:r="http://schemas.openxmlformats.org/officeDocument/2006/relationships" ref="S3698" r:id="rId3697"/>
    <hyperlink xmlns:r="http://schemas.openxmlformats.org/officeDocument/2006/relationships" ref="S3699" r:id="rId3698"/>
    <hyperlink xmlns:r="http://schemas.openxmlformats.org/officeDocument/2006/relationships" ref="S3700" r:id="rId3699"/>
    <hyperlink xmlns:r="http://schemas.openxmlformats.org/officeDocument/2006/relationships" ref="S3701" r:id="rId3700"/>
    <hyperlink xmlns:r="http://schemas.openxmlformats.org/officeDocument/2006/relationships" ref="S3702" r:id="rId3701"/>
    <hyperlink xmlns:r="http://schemas.openxmlformats.org/officeDocument/2006/relationships" ref="S3703" r:id="rId3702"/>
    <hyperlink xmlns:r="http://schemas.openxmlformats.org/officeDocument/2006/relationships" ref="S3704" r:id="rId3703"/>
    <hyperlink xmlns:r="http://schemas.openxmlformats.org/officeDocument/2006/relationships" ref="S3705" r:id="rId3704"/>
    <hyperlink xmlns:r="http://schemas.openxmlformats.org/officeDocument/2006/relationships" ref="S3706" r:id="rId3705"/>
    <hyperlink xmlns:r="http://schemas.openxmlformats.org/officeDocument/2006/relationships" ref="S3707" r:id="rId3706"/>
    <hyperlink xmlns:r="http://schemas.openxmlformats.org/officeDocument/2006/relationships" ref="S3708" r:id="rId3707"/>
    <hyperlink xmlns:r="http://schemas.openxmlformats.org/officeDocument/2006/relationships" ref="S3709" r:id="rId3708"/>
    <hyperlink xmlns:r="http://schemas.openxmlformats.org/officeDocument/2006/relationships" ref="S3710" r:id="rId3709"/>
    <hyperlink xmlns:r="http://schemas.openxmlformats.org/officeDocument/2006/relationships" ref="S3711" r:id="rId3710"/>
    <hyperlink xmlns:r="http://schemas.openxmlformats.org/officeDocument/2006/relationships" ref="S3712" r:id="rId3711"/>
    <hyperlink xmlns:r="http://schemas.openxmlformats.org/officeDocument/2006/relationships" ref="S3713" r:id="rId3712"/>
    <hyperlink xmlns:r="http://schemas.openxmlformats.org/officeDocument/2006/relationships" ref="S3714" r:id="rId3713"/>
    <hyperlink xmlns:r="http://schemas.openxmlformats.org/officeDocument/2006/relationships" ref="S3715" r:id="rId3714"/>
    <hyperlink xmlns:r="http://schemas.openxmlformats.org/officeDocument/2006/relationships" ref="S3716" r:id="rId3715"/>
    <hyperlink xmlns:r="http://schemas.openxmlformats.org/officeDocument/2006/relationships" ref="S3717" r:id="rId3716"/>
    <hyperlink xmlns:r="http://schemas.openxmlformats.org/officeDocument/2006/relationships" ref="S3718" r:id="rId3717"/>
    <hyperlink xmlns:r="http://schemas.openxmlformats.org/officeDocument/2006/relationships" ref="S3719" r:id="rId3718"/>
    <hyperlink xmlns:r="http://schemas.openxmlformats.org/officeDocument/2006/relationships" ref="S3720" r:id="rId3719"/>
    <hyperlink xmlns:r="http://schemas.openxmlformats.org/officeDocument/2006/relationships" ref="S3721" r:id="rId3720"/>
    <hyperlink xmlns:r="http://schemas.openxmlformats.org/officeDocument/2006/relationships" ref="S3722" r:id="rId3721"/>
    <hyperlink xmlns:r="http://schemas.openxmlformats.org/officeDocument/2006/relationships" ref="S3723" r:id="rId3722"/>
    <hyperlink xmlns:r="http://schemas.openxmlformats.org/officeDocument/2006/relationships" ref="S3724" r:id="rId3723"/>
    <hyperlink xmlns:r="http://schemas.openxmlformats.org/officeDocument/2006/relationships" ref="S3725" r:id="rId3724"/>
    <hyperlink xmlns:r="http://schemas.openxmlformats.org/officeDocument/2006/relationships" ref="S3726" r:id="rId3725"/>
    <hyperlink xmlns:r="http://schemas.openxmlformats.org/officeDocument/2006/relationships" ref="S3727" r:id="rId3726"/>
    <hyperlink xmlns:r="http://schemas.openxmlformats.org/officeDocument/2006/relationships" ref="S3728" r:id="rId3727"/>
    <hyperlink xmlns:r="http://schemas.openxmlformats.org/officeDocument/2006/relationships" ref="S3729" r:id="rId3728"/>
    <hyperlink xmlns:r="http://schemas.openxmlformats.org/officeDocument/2006/relationships" ref="S3730" r:id="rId3729"/>
    <hyperlink xmlns:r="http://schemas.openxmlformats.org/officeDocument/2006/relationships" ref="S3731" r:id="rId3730"/>
    <hyperlink xmlns:r="http://schemas.openxmlformats.org/officeDocument/2006/relationships" ref="S3732" r:id="rId3731"/>
    <hyperlink xmlns:r="http://schemas.openxmlformats.org/officeDocument/2006/relationships" ref="S3733" r:id="rId3732"/>
    <hyperlink xmlns:r="http://schemas.openxmlformats.org/officeDocument/2006/relationships" ref="S3734" r:id="rId3733"/>
    <hyperlink xmlns:r="http://schemas.openxmlformats.org/officeDocument/2006/relationships" ref="S3735" r:id="rId3734"/>
    <hyperlink xmlns:r="http://schemas.openxmlformats.org/officeDocument/2006/relationships" ref="S3736" r:id="rId3735"/>
    <hyperlink xmlns:r="http://schemas.openxmlformats.org/officeDocument/2006/relationships" ref="S3737" r:id="rId3736"/>
    <hyperlink xmlns:r="http://schemas.openxmlformats.org/officeDocument/2006/relationships" ref="S3738" r:id="rId3737"/>
    <hyperlink xmlns:r="http://schemas.openxmlformats.org/officeDocument/2006/relationships" ref="S3739" r:id="rId3738"/>
    <hyperlink xmlns:r="http://schemas.openxmlformats.org/officeDocument/2006/relationships" ref="S3740" r:id="rId3739"/>
    <hyperlink xmlns:r="http://schemas.openxmlformats.org/officeDocument/2006/relationships" ref="S3741" r:id="rId3740"/>
    <hyperlink xmlns:r="http://schemas.openxmlformats.org/officeDocument/2006/relationships" ref="S3742" r:id="rId3741"/>
    <hyperlink xmlns:r="http://schemas.openxmlformats.org/officeDocument/2006/relationships" ref="S3743" r:id="rId3742"/>
    <hyperlink xmlns:r="http://schemas.openxmlformats.org/officeDocument/2006/relationships" ref="S3744" r:id="rId3743"/>
    <hyperlink xmlns:r="http://schemas.openxmlformats.org/officeDocument/2006/relationships" ref="S3745" r:id="rId3744"/>
    <hyperlink xmlns:r="http://schemas.openxmlformats.org/officeDocument/2006/relationships" ref="S3746" r:id="rId3745"/>
    <hyperlink xmlns:r="http://schemas.openxmlformats.org/officeDocument/2006/relationships" ref="S3747" r:id="rId3746"/>
    <hyperlink xmlns:r="http://schemas.openxmlformats.org/officeDocument/2006/relationships" ref="S3748" r:id="rId3747"/>
    <hyperlink xmlns:r="http://schemas.openxmlformats.org/officeDocument/2006/relationships" ref="S3749" r:id="rId3748"/>
    <hyperlink xmlns:r="http://schemas.openxmlformats.org/officeDocument/2006/relationships" ref="S3750" r:id="rId3749"/>
    <hyperlink xmlns:r="http://schemas.openxmlformats.org/officeDocument/2006/relationships" ref="S3751" r:id="rId3750"/>
    <hyperlink xmlns:r="http://schemas.openxmlformats.org/officeDocument/2006/relationships" ref="S3752" r:id="rId3751"/>
    <hyperlink xmlns:r="http://schemas.openxmlformats.org/officeDocument/2006/relationships" ref="S3753" r:id="rId3752"/>
    <hyperlink xmlns:r="http://schemas.openxmlformats.org/officeDocument/2006/relationships" ref="S3754" r:id="rId3753"/>
    <hyperlink xmlns:r="http://schemas.openxmlformats.org/officeDocument/2006/relationships" ref="S3755" r:id="rId3754"/>
    <hyperlink xmlns:r="http://schemas.openxmlformats.org/officeDocument/2006/relationships" ref="S3756" r:id="rId3755"/>
    <hyperlink xmlns:r="http://schemas.openxmlformats.org/officeDocument/2006/relationships" ref="S3757" r:id="rId3756"/>
    <hyperlink xmlns:r="http://schemas.openxmlformats.org/officeDocument/2006/relationships" ref="S3758" r:id="rId3757"/>
    <hyperlink xmlns:r="http://schemas.openxmlformats.org/officeDocument/2006/relationships" ref="S3759" r:id="rId3758"/>
    <hyperlink xmlns:r="http://schemas.openxmlformats.org/officeDocument/2006/relationships" ref="S3760" r:id="rId3759"/>
    <hyperlink xmlns:r="http://schemas.openxmlformats.org/officeDocument/2006/relationships" ref="S3761" r:id="rId3760"/>
    <hyperlink xmlns:r="http://schemas.openxmlformats.org/officeDocument/2006/relationships" ref="S3762" r:id="rId3761"/>
    <hyperlink xmlns:r="http://schemas.openxmlformats.org/officeDocument/2006/relationships" ref="S3763" r:id="rId3762"/>
    <hyperlink xmlns:r="http://schemas.openxmlformats.org/officeDocument/2006/relationships" ref="S3764" r:id="rId3763"/>
    <hyperlink xmlns:r="http://schemas.openxmlformats.org/officeDocument/2006/relationships" ref="S3765" r:id="rId3764"/>
    <hyperlink xmlns:r="http://schemas.openxmlformats.org/officeDocument/2006/relationships" ref="S3766" r:id="rId3765"/>
    <hyperlink xmlns:r="http://schemas.openxmlformats.org/officeDocument/2006/relationships" ref="S3767" r:id="rId3766"/>
    <hyperlink xmlns:r="http://schemas.openxmlformats.org/officeDocument/2006/relationships" ref="S3768" r:id="rId3767"/>
    <hyperlink xmlns:r="http://schemas.openxmlformats.org/officeDocument/2006/relationships" ref="S3769" r:id="rId3768"/>
    <hyperlink xmlns:r="http://schemas.openxmlformats.org/officeDocument/2006/relationships" ref="S3770" r:id="rId3769"/>
    <hyperlink xmlns:r="http://schemas.openxmlformats.org/officeDocument/2006/relationships" ref="S3771" r:id="rId3770"/>
    <hyperlink xmlns:r="http://schemas.openxmlformats.org/officeDocument/2006/relationships" ref="S3772" r:id="rId3771"/>
    <hyperlink xmlns:r="http://schemas.openxmlformats.org/officeDocument/2006/relationships" ref="S3773" r:id="rId3772"/>
    <hyperlink xmlns:r="http://schemas.openxmlformats.org/officeDocument/2006/relationships" ref="S3774" r:id="rId3773"/>
    <hyperlink xmlns:r="http://schemas.openxmlformats.org/officeDocument/2006/relationships" ref="S3775" r:id="rId3774"/>
    <hyperlink xmlns:r="http://schemas.openxmlformats.org/officeDocument/2006/relationships" ref="S3776" r:id="rId3775"/>
    <hyperlink xmlns:r="http://schemas.openxmlformats.org/officeDocument/2006/relationships" ref="S3777" r:id="rId3776"/>
    <hyperlink xmlns:r="http://schemas.openxmlformats.org/officeDocument/2006/relationships" ref="S3778" r:id="rId3777"/>
    <hyperlink xmlns:r="http://schemas.openxmlformats.org/officeDocument/2006/relationships" ref="S3779" r:id="rId3778"/>
    <hyperlink xmlns:r="http://schemas.openxmlformats.org/officeDocument/2006/relationships" ref="S3780" r:id="rId3779"/>
    <hyperlink xmlns:r="http://schemas.openxmlformats.org/officeDocument/2006/relationships" ref="S3781" r:id="rId3780"/>
    <hyperlink xmlns:r="http://schemas.openxmlformats.org/officeDocument/2006/relationships" ref="S3782" r:id="rId3781"/>
    <hyperlink xmlns:r="http://schemas.openxmlformats.org/officeDocument/2006/relationships" ref="S3783" r:id="rId3782"/>
    <hyperlink xmlns:r="http://schemas.openxmlformats.org/officeDocument/2006/relationships" ref="S3784" r:id="rId3783"/>
    <hyperlink xmlns:r="http://schemas.openxmlformats.org/officeDocument/2006/relationships" ref="S3785" r:id="rId3784"/>
    <hyperlink xmlns:r="http://schemas.openxmlformats.org/officeDocument/2006/relationships" ref="S3786" r:id="rId3785"/>
    <hyperlink xmlns:r="http://schemas.openxmlformats.org/officeDocument/2006/relationships" ref="S3787" r:id="rId3786"/>
    <hyperlink xmlns:r="http://schemas.openxmlformats.org/officeDocument/2006/relationships" ref="S3788" r:id="rId3787"/>
    <hyperlink xmlns:r="http://schemas.openxmlformats.org/officeDocument/2006/relationships" ref="S3789" r:id="rId3788"/>
    <hyperlink xmlns:r="http://schemas.openxmlformats.org/officeDocument/2006/relationships" ref="S3790" r:id="rId3789"/>
    <hyperlink xmlns:r="http://schemas.openxmlformats.org/officeDocument/2006/relationships" ref="S3791" r:id="rId3790"/>
    <hyperlink xmlns:r="http://schemas.openxmlformats.org/officeDocument/2006/relationships" ref="S3792" r:id="rId3791"/>
    <hyperlink xmlns:r="http://schemas.openxmlformats.org/officeDocument/2006/relationships" ref="S3793" r:id="rId3792"/>
    <hyperlink xmlns:r="http://schemas.openxmlformats.org/officeDocument/2006/relationships" ref="S3794" r:id="rId3793"/>
    <hyperlink xmlns:r="http://schemas.openxmlformats.org/officeDocument/2006/relationships" ref="S3795" r:id="rId3794"/>
    <hyperlink xmlns:r="http://schemas.openxmlformats.org/officeDocument/2006/relationships" ref="S3796" r:id="rId3795"/>
    <hyperlink xmlns:r="http://schemas.openxmlformats.org/officeDocument/2006/relationships" ref="S3797" r:id="rId3796"/>
    <hyperlink xmlns:r="http://schemas.openxmlformats.org/officeDocument/2006/relationships" ref="S3798" r:id="rId3797"/>
    <hyperlink xmlns:r="http://schemas.openxmlformats.org/officeDocument/2006/relationships" ref="S3799" r:id="rId3798"/>
    <hyperlink xmlns:r="http://schemas.openxmlformats.org/officeDocument/2006/relationships" ref="S3800" r:id="rId3799"/>
    <hyperlink xmlns:r="http://schemas.openxmlformats.org/officeDocument/2006/relationships" ref="S3801" r:id="rId3800"/>
    <hyperlink xmlns:r="http://schemas.openxmlformats.org/officeDocument/2006/relationships" ref="S3802" r:id="rId3801"/>
    <hyperlink xmlns:r="http://schemas.openxmlformats.org/officeDocument/2006/relationships" ref="S3803" r:id="rId3802"/>
    <hyperlink xmlns:r="http://schemas.openxmlformats.org/officeDocument/2006/relationships" ref="S3804" r:id="rId3803"/>
    <hyperlink xmlns:r="http://schemas.openxmlformats.org/officeDocument/2006/relationships" ref="S3805" r:id="rId3804"/>
    <hyperlink xmlns:r="http://schemas.openxmlformats.org/officeDocument/2006/relationships" ref="S3806" r:id="rId3805"/>
    <hyperlink xmlns:r="http://schemas.openxmlformats.org/officeDocument/2006/relationships" ref="S3807" r:id="rId3806"/>
    <hyperlink xmlns:r="http://schemas.openxmlformats.org/officeDocument/2006/relationships" ref="S3808" r:id="rId3807"/>
    <hyperlink xmlns:r="http://schemas.openxmlformats.org/officeDocument/2006/relationships" ref="S3809" r:id="rId3808"/>
    <hyperlink xmlns:r="http://schemas.openxmlformats.org/officeDocument/2006/relationships" ref="S3810" r:id="rId3809"/>
    <hyperlink xmlns:r="http://schemas.openxmlformats.org/officeDocument/2006/relationships" ref="S3811" r:id="rId3810"/>
    <hyperlink xmlns:r="http://schemas.openxmlformats.org/officeDocument/2006/relationships" ref="S3812" r:id="rId3811"/>
    <hyperlink xmlns:r="http://schemas.openxmlformats.org/officeDocument/2006/relationships" ref="S3813" r:id="rId3812"/>
    <hyperlink xmlns:r="http://schemas.openxmlformats.org/officeDocument/2006/relationships" ref="S3814" r:id="rId3813"/>
    <hyperlink xmlns:r="http://schemas.openxmlformats.org/officeDocument/2006/relationships" ref="S3815" r:id="rId3814"/>
    <hyperlink xmlns:r="http://schemas.openxmlformats.org/officeDocument/2006/relationships" ref="S3816" r:id="rId3815"/>
    <hyperlink xmlns:r="http://schemas.openxmlformats.org/officeDocument/2006/relationships" ref="S3817" r:id="rId3816"/>
    <hyperlink xmlns:r="http://schemas.openxmlformats.org/officeDocument/2006/relationships" ref="S3818" r:id="rId3817"/>
    <hyperlink xmlns:r="http://schemas.openxmlformats.org/officeDocument/2006/relationships" ref="S3819" r:id="rId3818"/>
    <hyperlink xmlns:r="http://schemas.openxmlformats.org/officeDocument/2006/relationships" ref="S3820" r:id="rId3819"/>
    <hyperlink xmlns:r="http://schemas.openxmlformats.org/officeDocument/2006/relationships" ref="S3821" r:id="rId3820"/>
    <hyperlink xmlns:r="http://schemas.openxmlformats.org/officeDocument/2006/relationships" ref="S3822" r:id="rId3821"/>
    <hyperlink xmlns:r="http://schemas.openxmlformats.org/officeDocument/2006/relationships" ref="S3823" r:id="rId3822"/>
    <hyperlink xmlns:r="http://schemas.openxmlformats.org/officeDocument/2006/relationships" ref="S3824" r:id="rId3823"/>
    <hyperlink xmlns:r="http://schemas.openxmlformats.org/officeDocument/2006/relationships" ref="S3825" r:id="rId3824"/>
    <hyperlink xmlns:r="http://schemas.openxmlformats.org/officeDocument/2006/relationships" ref="S3826" r:id="rId3825"/>
    <hyperlink xmlns:r="http://schemas.openxmlformats.org/officeDocument/2006/relationships" ref="S3827" r:id="rId3826"/>
    <hyperlink xmlns:r="http://schemas.openxmlformats.org/officeDocument/2006/relationships" ref="S3828" r:id="rId3827"/>
    <hyperlink xmlns:r="http://schemas.openxmlformats.org/officeDocument/2006/relationships" ref="S3829" r:id="rId3828"/>
    <hyperlink xmlns:r="http://schemas.openxmlformats.org/officeDocument/2006/relationships" ref="S3830" r:id="rId3829"/>
    <hyperlink xmlns:r="http://schemas.openxmlformats.org/officeDocument/2006/relationships" ref="S3831" r:id="rId3830"/>
    <hyperlink xmlns:r="http://schemas.openxmlformats.org/officeDocument/2006/relationships" ref="S3832" r:id="rId3831"/>
    <hyperlink xmlns:r="http://schemas.openxmlformats.org/officeDocument/2006/relationships" ref="S3833" r:id="rId3832"/>
    <hyperlink xmlns:r="http://schemas.openxmlformats.org/officeDocument/2006/relationships" ref="S3834" r:id="rId3833"/>
    <hyperlink xmlns:r="http://schemas.openxmlformats.org/officeDocument/2006/relationships" ref="S3835" r:id="rId3834"/>
    <hyperlink xmlns:r="http://schemas.openxmlformats.org/officeDocument/2006/relationships" ref="S3836" r:id="rId3835"/>
    <hyperlink xmlns:r="http://schemas.openxmlformats.org/officeDocument/2006/relationships" ref="S3837" r:id="rId3836"/>
    <hyperlink xmlns:r="http://schemas.openxmlformats.org/officeDocument/2006/relationships" ref="S3838" r:id="rId3837"/>
    <hyperlink xmlns:r="http://schemas.openxmlformats.org/officeDocument/2006/relationships" ref="S3839" r:id="rId3838"/>
    <hyperlink xmlns:r="http://schemas.openxmlformats.org/officeDocument/2006/relationships" ref="S3840" r:id="rId3839"/>
    <hyperlink xmlns:r="http://schemas.openxmlformats.org/officeDocument/2006/relationships" ref="S3841" r:id="rId3840"/>
    <hyperlink xmlns:r="http://schemas.openxmlformats.org/officeDocument/2006/relationships" ref="S3842" r:id="rId3841"/>
    <hyperlink xmlns:r="http://schemas.openxmlformats.org/officeDocument/2006/relationships" ref="S3843" r:id="rId3842"/>
    <hyperlink xmlns:r="http://schemas.openxmlformats.org/officeDocument/2006/relationships" ref="S3844" r:id="rId3843"/>
    <hyperlink xmlns:r="http://schemas.openxmlformats.org/officeDocument/2006/relationships" ref="S3845" r:id="rId3844"/>
    <hyperlink xmlns:r="http://schemas.openxmlformats.org/officeDocument/2006/relationships" ref="S3846" r:id="rId3845"/>
    <hyperlink xmlns:r="http://schemas.openxmlformats.org/officeDocument/2006/relationships" ref="S3847" r:id="rId3846"/>
    <hyperlink xmlns:r="http://schemas.openxmlformats.org/officeDocument/2006/relationships" ref="S3848" r:id="rId3847"/>
    <hyperlink xmlns:r="http://schemas.openxmlformats.org/officeDocument/2006/relationships" ref="S3849" r:id="rId3848"/>
    <hyperlink xmlns:r="http://schemas.openxmlformats.org/officeDocument/2006/relationships" ref="S3850" r:id="rId3849"/>
    <hyperlink xmlns:r="http://schemas.openxmlformats.org/officeDocument/2006/relationships" ref="S3851" r:id="rId3850"/>
    <hyperlink xmlns:r="http://schemas.openxmlformats.org/officeDocument/2006/relationships" ref="S3852" r:id="rId3851"/>
    <hyperlink xmlns:r="http://schemas.openxmlformats.org/officeDocument/2006/relationships" ref="S3853" r:id="rId3852"/>
    <hyperlink xmlns:r="http://schemas.openxmlformats.org/officeDocument/2006/relationships" ref="S3854" r:id="rId3853"/>
    <hyperlink xmlns:r="http://schemas.openxmlformats.org/officeDocument/2006/relationships" ref="S3855" r:id="rId3854"/>
    <hyperlink xmlns:r="http://schemas.openxmlformats.org/officeDocument/2006/relationships" ref="S3856" r:id="rId3855"/>
    <hyperlink xmlns:r="http://schemas.openxmlformats.org/officeDocument/2006/relationships" ref="S3857" r:id="rId3856"/>
    <hyperlink xmlns:r="http://schemas.openxmlformats.org/officeDocument/2006/relationships" ref="S3858" r:id="rId3857"/>
    <hyperlink xmlns:r="http://schemas.openxmlformats.org/officeDocument/2006/relationships" ref="S3859" r:id="rId3858"/>
    <hyperlink xmlns:r="http://schemas.openxmlformats.org/officeDocument/2006/relationships" ref="S3860" r:id="rId3859"/>
    <hyperlink xmlns:r="http://schemas.openxmlformats.org/officeDocument/2006/relationships" ref="S3861" r:id="rId3860"/>
    <hyperlink xmlns:r="http://schemas.openxmlformats.org/officeDocument/2006/relationships" ref="S3862" r:id="rId3861"/>
    <hyperlink xmlns:r="http://schemas.openxmlformats.org/officeDocument/2006/relationships" ref="S3863" r:id="rId3862"/>
    <hyperlink xmlns:r="http://schemas.openxmlformats.org/officeDocument/2006/relationships" ref="S3864" r:id="rId3863"/>
    <hyperlink xmlns:r="http://schemas.openxmlformats.org/officeDocument/2006/relationships" ref="S3865" r:id="rId3864"/>
    <hyperlink xmlns:r="http://schemas.openxmlformats.org/officeDocument/2006/relationships" ref="S3866" r:id="rId3865"/>
    <hyperlink xmlns:r="http://schemas.openxmlformats.org/officeDocument/2006/relationships" ref="S3867" r:id="rId3866"/>
    <hyperlink xmlns:r="http://schemas.openxmlformats.org/officeDocument/2006/relationships" ref="S3868" r:id="rId3867"/>
    <hyperlink xmlns:r="http://schemas.openxmlformats.org/officeDocument/2006/relationships" ref="S3869" r:id="rId3868"/>
    <hyperlink xmlns:r="http://schemas.openxmlformats.org/officeDocument/2006/relationships" ref="S3870" r:id="rId3869"/>
    <hyperlink xmlns:r="http://schemas.openxmlformats.org/officeDocument/2006/relationships" ref="S3871" r:id="rId3870"/>
    <hyperlink xmlns:r="http://schemas.openxmlformats.org/officeDocument/2006/relationships" ref="S3872" r:id="rId3871"/>
    <hyperlink xmlns:r="http://schemas.openxmlformats.org/officeDocument/2006/relationships" ref="S3873" r:id="rId3872"/>
    <hyperlink xmlns:r="http://schemas.openxmlformats.org/officeDocument/2006/relationships" ref="S3874" r:id="rId3873"/>
    <hyperlink xmlns:r="http://schemas.openxmlformats.org/officeDocument/2006/relationships" ref="S3875" r:id="rId3874"/>
    <hyperlink xmlns:r="http://schemas.openxmlformats.org/officeDocument/2006/relationships" ref="S3876" r:id="rId3875"/>
    <hyperlink xmlns:r="http://schemas.openxmlformats.org/officeDocument/2006/relationships" ref="S3877" r:id="rId3876"/>
    <hyperlink xmlns:r="http://schemas.openxmlformats.org/officeDocument/2006/relationships" ref="S3878" r:id="rId3877"/>
    <hyperlink xmlns:r="http://schemas.openxmlformats.org/officeDocument/2006/relationships" ref="S3879" r:id="rId3878"/>
    <hyperlink xmlns:r="http://schemas.openxmlformats.org/officeDocument/2006/relationships" ref="S3880" r:id="rId3879"/>
    <hyperlink xmlns:r="http://schemas.openxmlformats.org/officeDocument/2006/relationships" ref="S3881" r:id="rId3880"/>
    <hyperlink xmlns:r="http://schemas.openxmlformats.org/officeDocument/2006/relationships" ref="S3882" r:id="rId3881"/>
    <hyperlink xmlns:r="http://schemas.openxmlformats.org/officeDocument/2006/relationships" ref="S3883" r:id="rId3882"/>
    <hyperlink xmlns:r="http://schemas.openxmlformats.org/officeDocument/2006/relationships" ref="S3884" r:id="rId3883"/>
    <hyperlink xmlns:r="http://schemas.openxmlformats.org/officeDocument/2006/relationships" ref="S3885" r:id="rId3884"/>
    <hyperlink xmlns:r="http://schemas.openxmlformats.org/officeDocument/2006/relationships" ref="S3886" r:id="rId3885"/>
    <hyperlink xmlns:r="http://schemas.openxmlformats.org/officeDocument/2006/relationships" ref="S3887" r:id="rId3886"/>
    <hyperlink xmlns:r="http://schemas.openxmlformats.org/officeDocument/2006/relationships" ref="S3888" r:id="rId3887"/>
    <hyperlink xmlns:r="http://schemas.openxmlformats.org/officeDocument/2006/relationships" ref="S3889" r:id="rId3888"/>
    <hyperlink xmlns:r="http://schemas.openxmlformats.org/officeDocument/2006/relationships" ref="S3890" r:id="rId3889"/>
    <hyperlink xmlns:r="http://schemas.openxmlformats.org/officeDocument/2006/relationships" ref="S3891" r:id="rId3890"/>
    <hyperlink xmlns:r="http://schemas.openxmlformats.org/officeDocument/2006/relationships" ref="S3892" r:id="rId3891"/>
    <hyperlink xmlns:r="http://schemas.openxmlformats.org/officeDocument/2006/relationships" ref="S3893" r:id="rId3892"/>
    <hyperlink xmlns:r="http://schemas.openxmlformats.org/officeDocument/2006/relationships" ref="S3894" r:id="rId3893"/>
    <hyperlink xmlns:r="http://schemas.openxmlformats.org/officeDocument/2006/relationships" ref="S3895" r:id="rId3894"/>
    <hyperlink xmlns:r="http://schemas.openxmlformats.org/officeDocument/2006/relationships" ref="S3896" r:id="rId3895"/>
    <hyperlink xmlns:r="http://schemas.openxmlformats.org/officeDocument/2006/relationships" ref="S3897" r:id="rId3896"/>
    <hyperlink xmlns:r="http://schemas.openxmlformats.org/officeDocument/2006/relationships" ref="S3898" r:id="rId3897"/>
    <hyperlink xmlns:r="http://schemas.openxmlformats.org/officeDocument/2006/relationships" ref="S3899" r:id="rId3898"/>
    <hyperlink xmlns:r="http://schemas.openxmlformats.org/officeDocument/2006/relationships" ref="S3900" r:id="rId3899"/>
    <hyperlink xmlns:r="http://schemas.openxmlformats.org/officeDocument/2006/relationships" ref="S3901" r:id="rId3900"/>
    <hyperlink xmlns:r="http://schemas.openxmlformats.org/officeDocument/2006/relationships" ref="S3902" r:id="rId3901"/>
    <hyperlink xmlns:r="http://schemas.openxmlformats.org/officeDocument/2006/relationships" ref="S3903" r:id="rId3902"/>
    <hyperlink xmlns:r="http://schemas.openxmlformats.org/officeDocument/2006/relationships" ref="S3904" r:id="rId3903"/>
    <hyperlink xmlns:r="http://schemas.openxmlformats.org/officeDocument/2006/relationships" ref="S3905" r:id="rId3904"/>
    <hyperlink xmlns:r="http://schemas.openxmlformats.org/officeDocument/2006/relationships" ref="S3906" r:id="rId3905"/>
    <hyperlink xmlns:r="http://schemas.openxmlformats.org/officeDocument/2006/relationships" ref="S3907" r:id="rId3906"/>
    <hyperlink xmlns:r="http://schemas.openxmlformats.org/officeDocument/2006/relationships" ref="S3908" r:id="rId3907"/>
    <hyperlink xmlns:r="http://schemas.openxmlformats.org/officeDocument/2006/relationships" ref="S3909" r:id="rId3908"/>
    <hyperlink xmlns:r="http://schemas.openxmlformats.org/officeDocument/2006/relationships" ref="S3910" r:id="rId3909"/>
    <hyperlink xmlns:r="http://schemas.openxmlformats.org/officeDocument/2006/relationships" ref="S3911" r:id="rId3910"/>
    <hyperlink xmlns:r="http://schemas.openxmlformats.org/officeDocument/2006/relationships" ref="S3912" r:id="rId3911"/>
    <hyperlink xmlns:r="http://schemas.openxmlformats.org/officeDocument/2006/relationships" ref="S3913" r:id="rId3912"/>
    <hyperlink xmlns:r="http://schemas.openxmlformats.org/officeDocument/2006/relationships" ref="S3914" r:id="rId3913"/>
    <hyperlink xmlns:r="http://schemas.openxmlformats.org/officeDocument/2006/relationships" ref="S3915" r:id="rId3914"/>
    <hyperlink xmlns:r="http://schemas.openxmlformats.org/officeDocument/2006/relationships" ref="S3916" r:id="rId3915"/>
    <hyperlink xmlns:r="http://schemas.openxmlformats.org/officeDocument/2006/relationships" ref="S3917" r:id="rId3916"/>
    <hyperlink xmlns:r="http://schemas.openxmlformats.org/officeDocument/2006/relationships" ref="S3918" r:id="rId3917"/>
    <hyperlink xmlns:r="http://schemas.openxmlformats.org/officeDocument/2006/relationships" ref="S3919" r:id="rId3918"/>
    <hyperlink xmlns:r="http://schemas.openxmlformats.org/officeDocument/2006/relationships" ref="S3920" r:id="rId3919"/>
    <hyperlink xmlns:r="http://schemas.openxmlformats.org/officeDocument/2006/relationships" ref="S3921" r:id="rId3920"/>
    <hyperlink xmlns:r="http://schemas.openxmlformats.org/officeDocument/2006/relationships" ref="S3922" r:id="rId3921"/>
    <hyperlink xmlns:r="http://schemas.openxmlformats.org/officeDocument/2006/relationships" ref="S3923" r:id="rId3922"/>
    <hyperlink xmlns:r="http://schemas.openxmlformats.org/officeDocument/2006/relationships" ref="S3924" r:id="rId3923"/>
    <hyperlink xmlns:r="http://schemas.openxmlformats.org/officeDocument/2006/relationships" ref="S3925" r:id="rId3924"/>
    <hyperlink xmlns:r="http://schemas.openxmlformats.org/officeDocument/2006/relationships" ref="S3926" r:id="rId3925"/>
    <hyperlink xmlns:r="http://schemas.openxmlformats.org/officeDocument/2006/relationships" ref="S3927" r:id="rId3926"/>
    <hyperlink xmlns:r="http://schemas.openxmlformats.org/officeDocument/2006/relationships" ref="S3928" r:id="rId3927"/>
    <hyperlink xmlns:r="http://schemas.openxmlformats.org/officeDocument/2006/relationships" ref="S3929" r:id="rId3928"/>
    <hyperlink xmlns:r="http://schemas.openxmlformats.org/officeDocument/2006/relationships" ref="S3930" r:id="rId3929"/>
    <hyperlink xmlns:r="http://schemas.openxmlformats.org/officeDocument/2006/relationships" ref="S3931" r:id="rId3930"/>
    <hyperlink xmlns:r="http://schemas.openxmlformats.org/officeDocument/2006/relationships" ref="S3932" r:id="rId3931"/>
    <hyperlink xmlns:r="http://schemas.openxmlformats.org/officeDocument/2006/relationships" ref="S3933" r:id="rId3932"/>
    <hyperlink xmlns:r="http://schemas.openxmlformats.org/officeDocument/2006/relationships" ref="S3934" r:id="rId3933"/>
    <hyperlink xmlns:r="http://schemas.openxmlformats.org/officeDocument/2006/relationships" ref="S3935" r:id="rId3934"/>
    <hyperlink xmlns:r="http://schemas.openxmlformats.org/officeDocument/2006/relationships" ref="S3936" r:id="rId3935"/>
    <hyperlink xmlns:r="http://schemas.openxmlformats.org/officeDocument/2006/relationships" ref="S3937" r:id="rId3936"/>
    <hyperlink xmlns:r="http://schemas.openxmlformats.org/officeDocument/2006/relationships" ref="S3938" r:id="rId3937"/>
    <hyperlink xmlns:r="http://schemas.openxmlformats.org/officeDocument/2006/relationships" ref="S3939" r:id="rId3938"/>
    <hyperlink xmlns:r="http://schemas.openxmlformats.org/officeDocument/2006/relationships" ref="S3940" r:id="rId3939"/>
    <hyperlink xmlns:r="http://schemas.openxmlformats.org/officeDocument/2006/relationships" ref="S3941" r:id="rId3940"/>
    <hyperlink xmlns:r="http://schemas.openxmlformats.org/officeDocument/2006/relationships" ref="S3942" r:id="rId3941"/>
    <hyperlink xmlns:r="http://schemas.openxmlformats.org/officeDocument/2006/relationships" ref="S3943" r:id="rId3942"/>
    <hyperlink xmlns:r="http://schemas.openxmlformats.org/officeDocument/2006/relationships" ref="S3944" r:id="rId3943"/>
    <hyperlink xmlns:r="http://schemas.openxmlformats.org/officeDocument/2006/relationships" ref="S3945" r:id="rId3944"/>
    <hyperlink xmlns:r="http://schemas.openxmlformats.org/officeDocument/2006/relationships" ref="S3946" r:id="rId3945"/>
    <hyperlink xmlns:r="http://schemas.openxmlformats.org/officeDocument/2006/relationships" ref="S3947" r:id="rId3946"/>
    <hyperlink xmlns:r="http://schemas.openxmlformats.org/officeDocument/2006/relationships" ref="S3948" r:id="rId3947"/>
    <hyperlink xmlns:r="http://schemas.openxmlformats.org/officeDocument/2006/relationships" ref="S3949" r:id="rId3948"/>
    <hyperlink xmlns:r="http://schemas.openxmlformats.org/officeDocument/2006/relationships" ref="S3950" r:id="rId3949"/>
    <hyperlink xmlns:r="http://schemas.openxmlformats.org/officeDocument/2006/relationships" ref="S3951" r:id="rId3950"/>
    <hyperlink xmlns:r="http://schemas.openxmlformats.org/officeDocument/2006/relationships" ref="S3952" r:id="rId3951"/>
    <hyperlink xmlns:r="http://schemas.openxmlformats.org/officeDocument/2006/relationships" ref="S3953" r:id="rId3952"/>
    <hyperlink xmlns:r="http://schemas.openxmlformats.org/officeDocument/2006/relationships" ref="S3954" r:id="rId3953"/>
    <hyperlink xmlns:r="http://schemas.openxmlformats.org/officeDocument/2006/relationships" ref="S3955" r:id="rId3954"/>
    <hyperlink xmlns:r="http://schemas.openxmlformats.org/officeDocument/2006/relationships" ref="S3956" r:id="rId3955"/>
    <hyperlink xmlns:r="http://schemas.openxmlformats.org/officeDocument/2006/relationships" ref="S3957" r:id="rId3956"/>
    <hyperlink xmlns:r="http://schemas.openxmlformats.org/officeDocument/2006/relationships" ref="S3958" r:id="rId3957"/>
    <hyperlink xmlns:r="http://schemas.openxmlformats.org/officeDocument/2006/relationships" ref="S3959" r:id="rId3958"/>
    <hyperlink xmlns:r="http://schemas.openxmlformats.org/officeDocument/2006/relationships" ref="S3960" r:id="rId3959"/>
    <hyperlink xmlns:r="http://schemas.openxmlformats.org/officeDocument/2006/relationships" ref="S3961" r:id="rId3960"/>
    <hyperlink xmlns:r="http://schemas.openxmlformats.org/officeDocument/2006/relationships" ref="S3962" r:id="rId3961"/>
    <hyperlink xmlns:r="http://schemas.openxmlformats.org/officeDocument/2006/relationships" ref="S3963" r:id="rId3962"/>
    <hyperlink xmlns:r="http://schemas.openxmlformats.org/officeDocument/2006/relationships" ref="S3964" r:id="rId3963"/>
    <hyperlink xmlns:r="http://schemas.openxmlformats.org/officeDocument/2006/relationships" ref="S3965" r:id="rId3964"/>
    <hyperlink xmlns:r="http://schemas.openxmlformats.org/officeDocument/2006/relationships" ref="S3966" r:id="rId3965"/>
    <hyperlink xmlns:r="http://schemas.openxmlformats.org/officeDocument/2006/relationships" ref="S3967" r:id="rId3966"/>
    <hyperlink xmlns:r="http://schemas.openxmlformats.org/officeDocument/2006/relationships" ref="S3968" r:id="rId3967"/>
    <hyperlink xmlns:r="http://schemas.openxmlformats.org/officeDocument/2006/relationships" ref="S3969" r:id="rId3968"/>
    <hyperlink xmlns:r="http://schemas.openxmlformats.org/officeDocument/2006/relationships" ref="S3970" r:id="rId3969"/>
    <hyperlink xmlns:r="http://schemas.openxmlformats.org/officeDocument/2006/relationships" ref="S3971" r:id="rId3970"/>
    <hyperlink xmlns:r="http://schemas.openxmlformats.org/officeDocument/2006/relationships" ref="S3972" r:id="rId3971"/>
    <hyperlink xmlns:r="http://schemas.openxmlformats.org/officeDocument/2006/relationships" ref="S3973" r:id="rId3972"/>
    <hyperlink xmlns:r="http://schemas.openxmlformats.org/officeDocument/2006/relationships" ref="S3974" r:id="rId3973"/>
    <hyperlink xmlns:r="http://schemas.openxmlformats.org/officeDocument/2006/relationships" ref="S3975" r:id="rId3974"/>
    <hyperlink xmlns:r="http://schemas.openxmlformats.org/officeDocument/2006/relationships" ref="S3976" r:id="rId3975"/>
    <hyperlink xmlns:r="http://schemas.openxmlformats.org/officeDocument/2006/relationships" ref="S3977" r:id="rId3976"/>
    <hyperlink xmlns:r="http://schemas.openxmlformats.org/officeDocument/2006/relationships" ref="S3978" r:id="rId3977"/>
    <hyperlink xmlns:r="http://schemas.openxmlformats.org/officeDocument/2006/relationships" ref="S3979" r:id="rId3978"/>
    <hyperlink xmlns:r="http://schemas.openxmlformats.org/officeDocument/2006/relationships" ref="S3980" r:id="rId3979"/>
    <hyperlink xmlns:r="http://schemas.openxmlformats.org/officeDocument/2006/relationships" ref="S3981" r:id="rId3980"/>
    <hyperlink xmlns:r="http://schemas.openxmlformats.org/officeDocument/2006/relationships" ref="S3982" r:id="rId3981"/>
    <hyperlink xmlns:r="http://schemas.openxmlformats.org/officeDocument/2006/relationships" ref="S3983" r:id="rId3982"/>
    <hyperlink xmlns:r="http://schemas.openxmlformats.org/officeDocument/2006/relationships" ref="S3984" r:id="rId3983"/>
    <hyperlink xmlns:r="http://schemas.openxmlformats.org/officeDocument/2006/relationships" ref="S3985" r:id="rId3984"/>
    <hyperlink xmlns:r="http://schemas.openxmlformats.org/officeDocument/2006/relationships" ref="S3986" r:id="rId3985"/>
    <hyperlink xmlns:r="http://schemas.openxmlformats.org/officeDocument/2006/relationships" ref="S3987" r:id="rId3986"/>
    <hyperlink xmlns:r="http://schemas.openxmlformats.org/officeDocument/2006/relationships" ref="S3988" r:id="rId3987"/>
    <hyperlink xmlns:r="http://schemas.openxmlformats.org/officeDocument/2006/relationships" ref="S3989" r:id="rId3988"/>
    <hyperlink xmlns:r="http://schemas.openxmlformats.org/officeDocument/2006/relationships" ref="S3990" r:id="rId3989"/>
    <hyperlink xmlns:r="http://schemas.openxmlformats.org/officeDocument/2006/relationships" ref="S3991" r:id="rId3990"/>
    <hyperlink xmlns:r="http://schemas.openxmlformats.org/officeDocument/2006/relationships" ref="S3992" r:id="rId3991"/>
    <hyperlink xmlns:r="http://schemas.openxmlformats.org/officeDocument/2006/relationships" ref="S3993" r:id="rId3992"/>
    <hyperlink xmlns:r="http://schemas.openxmlformats.org/officeDocument/2006/relationships" ref="S3994" r:id="rId3993"/>
    <hyperlink xmlns:r="http://schemas.openxmlformats.org/officeDocument/2006/relationships" ref="S3995" r:id="rId3994"/>
    <hyperlink xmlns:r="http://schemas.openxmlformats.org/officeDocument/2006/relationships" ref="S3996" r:id="rId3995"/>
    <hyperlink xmlns:r="http://schemas.openxmlformats.org/officeDocument/2006/relationships" ref="S3997" r:id="rId3996"/>
    <hyperlink xmlns:r="http://schemas.openxmlformats.org/officeDocument/2006/relationships" ref="S3998" r:id="rId3997"/>
    <hyperlink xmlns:r="http://schemas.openxmlformats.org/officeDocument/2006/relationships" ref="S3999" r:id="rId3998"/>
    <hyperlink xmlns:r="http://schemas.openxmlformats.org/officeDocument/2006/relationships" ref="S4000" r:id="rId3999"/>
    <hyperlink xmlns:r="http://schemas.openxmlformats.org/officeDocument/2006/relationships" ref="S4001" r:id="rId4000"/>
    <hyperlink xmlns:r="http://schemas.openxmlformats.org/officeDocument/2006/relationships" ref="S4002" r:id="rId4001"/>
    <hyperlink xmlns:r="http://schemas.openxmlformats.org/officeDocument/2006/relationships" ref="S4003" r:id="rId4002"/>
    <hyperlink xmlns:r="http://schemas.openxmlformats.org/officeDocument/2006/relationships" ref="S4004" r:id="rId4003"/>
    <hyperlink xmlns:r="http://schemas.openxmlformats.org/officeDocument/2006/relationships" ref="S4005" r:id="rId4004"/>
    <hyperlink xmlns:r="http://schemas.openxmlformats.org/officeDocument/2006/relationships" ref="S4006" r:id="rId4005"/>
    <hyperlink xmlns:r="http://schemas.openxmlformats.org/officeDocument/2006/relationships" ref="S4007" r:id="rId4006"/>
    <hyperlink xmlns:r="http://schemas.openxmlformats.org/officeDocument/2006/relationships" ref="S4008" r:id="rId4007"/>
    <hyperlink xmlns:r="http://schemas.openxmlformats.org/officeDocument/2006/relationships" ref="S4009" r:id="rId4008"/>
    <hyperlink xmlns:r="http://schemas.openxmlformats.org/officeDocument/2006/relationships" ref="S4010" r:id="rId4009"/>
    <hyperlink xmlns:r="http://schemas.openxmlformats.org/officeDocument/2006/relationships" ref="S4011" r:id="rId4010"/>
    <hyperlink xmlns:r="http://schemas.openxmlformats.org/officeDocument/2006/relationships" ref="S4012" r:id="rId4011"/>
    <hyperlink xmlns:r="http://schemas.openxmlformats.org/officeDocument/2006/relationships" ref="S4013" r:id="rId4012"/>
    <hyperlink xmlns:r="http://schemas.openxmlformats.org/officeDocument/2006/relationships" ref="S4014" r:id="rId4013"/>
    <hyperlink xmlns:r="http://schemas.openxmlformats.org/officeDocument/2006/relationships" ref="S4015" r:id="rId4014"/>
    <hyperlink xmlns:r="http://schemas.openxmlformats.org/officeDocument/2006/relationships" ref="S4016" r:id="rId4015"/>
    <hyperlink xmlns:r="http://schemas.openxmlformats.org/officeDocument/2006/relationships" ref="S4017" r:id="rId4016"/>
    <hyperlink xmlns:r="http://schemas.openxmlformats.org/officeDocument/2006/relationships" ref="S4018" r:id="rId4017"/>
    <hyperlink xmlns:r="http://schemas.openxmlformats.org/officeDocument/2006/relationships" ref="S4019" r:id="rId4018"/>
    <hyperlink xmlns:r="http://schemas.openxmlformats.org/officeDocument/2006/relationships" ref="S4020" r:id="rId4019"/>
    <hyperlink xmlns:r="http://schemas.openxmlformats.org/officeDocument/2006/relationships" ref="S4021" r:id="rId4020"/>
    <hyperlink xmlns:r="http://schemas.openxmlformats.org/officeDocument/2006/relationships" ref="S4022" r:id="rId4021"/>
    <hyperlink xmlns:r="http://schemas.openxmlformats.org/officeDocument/2006/relationships" ref="S4023" r:id="rId4022"/>
    <hyperlink xmlns:r="http://schemas.openxmlformats.org/officeDocument/2006/relationships" ref="S4024" r:id="rId4023"/>
    <hyperlink xmlns:r="http://schemas.openxmlformats.org/officeDocument/2006/relationships" ref="S4025" r:id="rId4024"/>
    <hyperlink xmlns:r="http://schemas.openxmlformats.org/officeDocument/2006/relationships" ref="S4026" r:id="rId4025"/>
    <hyperlink xmlns:r="http://schemas.openxmlformats.org/officeDocument/2006/relationships" ref="S4027" r:id="rId4026"/>
    <hyperlink xmlns:r="http://schemas.openxmlformats.org/officeDocument/2006/relationships" ref="S4028" r:id="rId4027"/>
    <hyperlink xmlns:r="http://schemas.openxmlformats.org/officeDocument/2006/relationships" ref="S4029" r:id="rId4028"/>
    <hyperlink xmlns:r="http://schemas.openxmlformats.org/officeDocument/2006/relationships" ref="S4030" r:id="rId4029"/>
    <hyperlink xmlns:r="http://schemas.openxmlformats.org/officeDocument/2006/relationships" ref="S4031" r:id="rId4030"/>
    <hyperlink xmlns:r="http://schemas.openxmlformats.org/officeDocument/2006/relationships" ref="S4032" r:id="rId4031"/>
    <hyperlink xmlns:r="http://schemas.openxmlformats.org/officeDocument/2006/relationships" ref="S4033" r:id="rId4032"/>
    <hyperlink xmlns:r="http://schemas.openxmlformats.org/officeDocument/2006/relationships" ref="S4034" r:id="rId4033"/>
    <hyperlink xmlns:r="http://schemas.openxmlformats.org/officeDocument/2006/relationships" ref="S4035" r:id="rId4034"/>
    <hyperlink xmlns:r="http://schemas.openxmlformats.org/officeDocument/2006/relationships" ref="S4036" r:id="rId4035"/>
    <hyperlink xmlns:r="http://schemas.openxmlformats.org/officeDocument/2006/relationships" ref="S4037" r:id="rId4036"/>
    <hyperlink xmlns:r="http://schemas.openxmlformats.org/officeDocument/2006/relationships" ref="S4038" r:id="rId4037"/>
    <hyperlink xmlns:r="http://schemas.openxmlformats.org/officeDocument/2006/relationships" ref="S4039" r:id="rId4038"/>
    <hyperlink xmlns:r="http://schemas.openxmlformats.org/officeDocument/2006/relationships" ref="S4040" r:id="rId4039"/>
    <hyperlink xmlns:r="http://schemas.openxmlformats.org/officeDocument/2006/relationships" ref="S4041" r:id="rId4040"/>
    <hyperlink xmlns:r="http://schemas.openxmlformats.org/officeDocument/2006/relationships" ref="S4042" r:id="rId4041"/>
    <hyperlink xmlns:r="http://schemas.openxmlformats.org/officeDocument/2006/relationships" ref="S4043" r:id="rId4042"/>
    <hyperlink xmlns:r="http://schemas.openxmlformats.org/officeDocument/2006/relationships" ref="S4044" r:id="rId4043"/>
    <hyperlink xmlns:r="http://schemas.openxmlformats.org/officeDocument/2006/relationships" ref="S4045" r:id="rId4044"/>
    <hyperlink xmlns:r="http://schemas.openxmlformats.org/officeDocument/2006/relationships" ref="S4046" r:id="rId4045"/>
    <hyperlink xmlns:r="http://schemas.openxmlformats.org/officeDocument/2006/relationships" ref="S4047" r:id="rId4046"/>
    <hyperlink xmlns:r="http://schemas.openxmlformats.org/officeDocument/2006/relationships" ref="S4048" r:id="rId4047"/>
    <hyperlink xmlns:r="http://schemas.openxmlformats.org/officeDocument/2006/relationships" ref="S4049" r:id="rId4048"/>
    <hyperlink xmlns:r="http://schemas.openxmlformats.org/officeDocument/2006/relationships" ref="S4050" r:id="rId4049"/>
    <hyperlink xmlns:r="http://schemas.openxmlformats.org/officeDocument/2006/relationships" ref="S4051" r:id="rId4050"/>
    <hyperlink xmlns:r="http://schemas.openxmlformats.org/officeDocument/2006/relationships" ref="S4052" r:id="rId4051"/>
    <hyperlink xmlns:r="http://schemas.openxmlformats.org/officeDocument/2006/relationships" ref="S4053" r:id="rId4052"/>
    <hyperlink xmlns:r="http://schemas.openxmlformats.org/officeDocument/2006/relationships" ref="S4054" r:id="rId4053"/>
    <hyperlink xmlns:r="http://schemas.openxmlformats.org/officeDocument/2006/relationships" ref="S4055" r:id="rId4054"/>
    <hyperlink xmlns:r="http://schemas.openxmlformats.org/officeDocument/2006/relationships" ref="S4056" r:id="rId4055"/>
    <hyperlink xmlns:r="http://schemas.openxmlformats.org/officeDocument/2006/relationships" ref="S4057" r:id="rId4056"/>
    <hyperlink xmlns:r="http://schemas.openxmlformats.org/officeDocument/2006/relationships" ref="S4058" r:id="rId4057"/>
    <hyperlink xmlns:r="http://schemas.openxmlformats.org/officeDocument/2006/relationships" ref="S4059" r:id="rId4058"/>
    <hyperlink xmlns:r="http://schemas.openxmlformats.org/officeDocument/2006/relationships" ref="S4060" r:id="rId4059"/>
    <hyperlink xmlns:r="http://schemas.openxmlformats.org/officeDocument/2006/relationships" ref="S4061" r:id="rId4060"/>
    <hyperlink xmlns:r="http://schemas.openxmlformats.org/officeDocument/2006/relationships" ref="S4062" r:id="rId4061"/>
    <hyperlink xmlns:r="http://schemas.openxmlformats.org/officeDocument/2006/relationships" ref="S4063" r:id="rId4062"/>
    <hyperlink xmlns:r="http://schemas.openxmlformats.org/officeDocument/2006/relationships" ref="S4064" r:id="rId4063"/>
    <hyperlink xmlns:r="http://schemas.openxmlformats.org/officeDocument/2006/relationships" ref="S4065" r:id="rId4064"/>
    <hyperlink xmlns:r="http://schemas.openxmlformats.org/officeDocument/2006/relationships" ref="S4066" r:id="rId4065"/>
    <hyperlink xmlns:r="http://schemas.openxmlformats.org/officeDocument/2006/relationships" ref="S4067" r:id="rId4066"/>
    <hyperlink xmlns:r="http://schemas.openxmlformats.org/officeDocument/2006/relationships" ref="S4068" r:id="rId4067"/>
    <hyperlink xmlns:r="http://schemas.openxmlformats.org/officeDocument/2006/relationships" ref="S4069" r:id="rId4068"/>
    <hyperlink xmlns:r="http://schemas.openxmlformats.org/officeDocument/2006/relationships" ref="S4070" r:id="rId4069"/>
    <hyperlink xmlns:r="http://schemas.openxmlformats.org/officeDocument/2006/relationships" ref="S4071" r:id="rId4070"/>
    <hyperlink xmlns:r="http://schemas.openxmlformats.org/officeDocument/2006/relationships" ref="S4072" r:id="rId4071"/>
    <hyperlink xmlns:r="http://schemas.openxmlformats.org/officeDocument/2006/relationships" ref="S4073" r:id="rId4072"/>
    <hyperlink xmlns:r="http://schemas.openxmlformats.org/officeDocument/2006/relationships" ref="S4074" r:id="rId4073"/>
    <hyperlink xmlns:r="http://schemas.openxmlformats.org/officeDocument/2006/relationships" ref="S4075" r:id="rId4074"/>
    <hyperlink xmlns:r="http://schemas.openxmlformats.org/officeDocument/2006/relationships" ref="S4076" r:id="rId4075"/>
    <hyperlink xmlns:r="http://schemas.openxmlformats.org/officeDocument/2006/relationships" ref="S4077" r:id="rId4076"/>
    <hyperlink xmlns:r="http://schemas.openxmlformats.org/officeDocument/2006/relationships" ref="S4078" r:id="rId4077"/>
    <hyperlink xmlns:r="http://schemas.openxmlformats.org/officeDocument/2006/relationships" ref="S4079" r:id="rId4078"/>
    <hyperlink xmlns:r="http://schemas.openxmlformats.org/officeDocument/2006/relationships" ref="S4080" r:id="rId4079"/>
    <hyperlink xmlns:r="http://schemas.openxmlformats.org/officeDocument/2006/relationships" ref="S4081" r:id="rId4080"/>
    <hyperlink xmlns:r="http://schemas.openxmlformats.org/officeDocument/2006/relationships" ref="S4082" r:id="rId4081"/>
    <hyperlink xmlns:r="http://schemas.openxmlformats.org/officeDocument/2006/relationships" ref="S4083" r:id="rId4082"/>
    <hyperlink xmlns:r="http://schemas.openxmlformats.org/officeDocument/2006/relationships" ref="S4084" r:id="rId4083"/>
    <hyperlink xmlns:r="http://schemas.openxmlformats.org/officeDocument/2006/relationships" ref="S4085" r:id="rId4084"/>
    <hyperlink xmlns:r="http://schemas.openxmlformats.org/officeDocument/2006/relationships" ref="S4086" r:id="rId4085"/>
    <hyperlink xmlns:r="http://schemas.openxmlformats.org/officeDocument/2006/relationships" ref="S4087" r:id="rId4086"/>
    <hyperlink xmlns:r="http://schemas.openxmlformats.org/officeDocument/2006/relationships" ref="S4088" r:id="rId4087"/>
    <hyperlink xmlns:r="http://schemas.openxmlformats.org/officeDocument/2006/relationships" ref="S4089" r:id="rId4088"/>
    <hyperlink xmlns:r="http://schemas.openxmlformats.org/officeDocument/2006/relationships" ref="S4090" r:id="rId4089"/>
    <hyperlink xmlns:r="http://schemas.openxmlformats.org/officeDocument/2006/relationships" ref="S4091" r:id="rId4090"/>
    <hyperlink xmlns:r="http://schemas.openxmlformats.org/officeDocument/2006/relationships" ref="S4092" r:id="rId4091"/>
    <hyperlink xmlns:r="http://schemas.openxmlformats.org/officeDocument/2006/relationships" ref="S4093" r:id="rId4092"/>
    <hyperlink xmlns:r="http://schemas.openxmlformats.org/officeDocument/2006/relationships" ref="S4094" r:id="rId4093"/>
    <hyperlink xmlns:r="http://schemas.openxmlformats.org/officeDocument/2006/relationships" ref="S4095" r:id="rId4094"/>
    <hyperlink xmlns:r="http://schemas.openxmlformats.org/officeDocument/2006/relationships" ref="S4096" r:id="rId4095"/>
    <hyperlink xmlns:r="http://schemas.openxmlformats.org/officeDocument/2006/relationships" ref="S4097" r:id="rId4096"/>
    <hyperlink xmlns:r="http://schemas.openxmlformats.org/officeDocument/2006/relationships" ref="S4098" r:id="rId4097"/>
    <hyperlink xmlns:r="http://schemas.openxmlformats.org/officeDocument/2006/relationships" ref="S4099" r:id="rId4098"/>
    <hyperlink xmlns:r="http://schemas.openxmlformats.org/officeDocument/2006/relationships" ref="S4100" r:id="rId4099"/>
    <hyperlink xmlns:r="http://schemas.openxmlformats.org/officeDocument/2006/relationships" ref="S4101" r:id="rId4100"/>
    <hyperlink xmlns:r="http://schemas.openxmlformats.org/officeDocument/2006/relationships" ref="S4102" r:id="rId4101"/>
    <hyperlink xmlns:r="http://schemas.openxmlformats.org/officeDocument/2006/relationships" ref="S4103" r:id="rId4102"/>
    <hyperlink xmlns:r="http://schemas.openxmlformats.org/officeDocument/2006/relationships" ref="S4104" r:id="rId4103"/>
    <hyperlink xmlns:r="http://schemas.openxmlformats.org/officeDocument/2006/relationships" ref="S4105" r:id="rId4104"/>
    <hyperlink xmlns:r="http://schemas.openxmlformats.org/officeDocument/2006/relationships" ref="S4106" r:id="rId4105"/>
    <hyperlink xmlns:r="http://schemas.openxmlformats.org/officeDocument/2006/relationships" ref="S4107" r:id="rId4106"/>
    <hyperlink xmlns:r="http://schemas.openxmlformats.org/officeDocument/2006/relationships" ref="S4108" r:id="rId4107"/>
    <hyperlink xmlns:r="http://schemas.openxmlformats.org/officeDocument/2006/relationships" ref="S4109" r:id="rId4108"/>
    <hyperlink xmlns:r="http://schemas.openxmlformats.org/officeDocument/2006/relationships" ref="S4110" r:id="rId4109"/>
    <hyperlink xmlns:r="http://schemas.openxmlformats.org/officeDocument/2006/relationships" ref="S4111" r:id="rId4110"/>
    <hyperlink xmlns:r="http://schemas.openxmlformats.org/officeDocument/2006/relationships" ref="S4112" r:id="rId4111"/>
    <hyperlink xmlns:r="http://schemas.openxmlformats.org/officeDocument/2006/relationships" ref="S4113" r:id="rId4112"/>
    <hyperlink xmlns:r="http://schemas.openxmlformats.org/officeDocument/2006/relationships" ref="S4114" r:id="rId4113"/>
    <hyperlink xmlns:r="http://schemas.openxmlformats.org/officeDocument/2006/relationships" ref="S4115" r:id="rId4114"/>
    <hyperlink xmlns:r="http://schemas.openxmlformats.org/officeDocument/2006/relationships" ref="S4116" r:id="rId4115"/>
    <hyperlink xmlns:r="http://schemas.openxmlformats.org/officeDocument/2006/relationships" ref="S4117" r:id="rId4116"/>
    <hyperlink xmlns:r="http://schemas.openxmlformats.org/officeDocument/2006/relationships" ref="S4118" r:id="rId4117"/>
    <hyperlink xmlns:r="http://schemas.openxmlformats.org/officeDocument/2006/relationships" ref="S4119" r:id="rId4118"/>
    <hyperlink xmlns:r="http://schemas.openxmlformats.org/officeDocument/2006/relationships" ref="S4120" r:id="rId4119"/>
    <hyperlink xmlns:r="http://schemas.openxmlformats.org/officeDocument/2006/relationships" ref="S4121" r:id="rId4120"/>
    <hyperlink xmlns:r="http://schemas.openxmlformats.org/officeDocument/2006/relationships" ref="S4122" r:id="rId4121"/>
    <hyperlink xmlns:r="http://schemas.openxmlformats.org/officeDocument/2006/relationships" ref="S4123" r:id="rId4122"/>
    <hyperlink xmlns:r="http://schemas.openxmlformats.org/officeDocument/2006/relationships" ref="S4124" r:id="rId4123"/>
    <hyperlink xmlns:r="http://schemas.openxmlformats.org/officeDocument/2006/relationships" ref="S4125" r:id="rId4124"/>
    <hyperlink xmlns:r="http://schemas.openxmlformats.org/officeDocument/2006/relationships" ref="S4126" r:id="rId4125"/>
    <hyperlink xmlns:r="http://schemas.openxmlformats.org/officeDocument/2006/relationships" ref="S4127" r:id="rId4126"/>
    <hyperlink xmlns:r="http://schemas.openxmlformats.org/officeDocument/2006/relationships" ref="S4128" r:id="rId4127"/>
    <hyperlink xmlns:r="http://schemas.openxmlformats.org/officeDocument/2006/relationships" ref="S4129" r:id="rId4128"/>
    <hyperlink xmlns:r="http://schemas.openxmlformats.org/officeDocument/2006/relationships" ref="S4130" r:id="rId4129"/>
    <hyperlink xmlns:r="http://schemas.openxmlformats.org/officeDocument/2006/relationships" ref="S4131" r:id="rId4130"/>
    <hyperlink xmlns:r="http://schemas.openxmlformats.org/officeDocument/2006/relationships" ref="S4132" r:id="rId4131"/>
    <hyperlink xmlns:r="http://schemas.openxmlformats.org/officeDocument/2006/relationships" ref="S4133" r:id="rId4132"/>
    <hyperlink xmlns:r="http://schemas.openxmlformats.org/officeDocument/2006/relationships" ref="S4134" r:id="rId4133"/>
    <hyperlink xmlns:r="http://schemas.openxmlformats.org/officeDocument/2006/relationships" ref="S4135" r:id="rId4134"/>
    <hyperlink xmlns:r="http://schemas.openxmlformats.org/officeDocument/2006/relationships" ref="S4136" r:id="rId4135"/>
    <hyperlink xmlns:r="http://schemas.openxmlformats.org/officeDocument/2006/relationships" ref="S4137" r:id="rId4136"/>
    <hyperlink xmlns:r="http://schemas.openxmlformats.org/officeDocument/2006/relationships" ref="S4138" r:id="rId4137"/>
    <hyperlink xmlns:r="http://schemas.openxmlformats.org/officeDocument/2006/relationships" ref="S4139" r:id="rId4138"/>
    <hyperlink xmlns:r="http://schemas.openxmlformats.org/officeDocument/2006/relationships" ref="S4140" r:id="rId4139"/>
    <hyperlink xmlns:r="http://schemas.openxmlformats.org/officeDocument/2006/relationships" ref="S4141" r:id="rId4140"/>
    <hyperlink xmlns:r="http://schemas.openxmlformats.org/officeDocument/2006/relationships" ref="S4142" r:id="rId4141"/>
    <hyperlink xmlns:r="http://schemas.openxmlformats.org/officeDocument/2006/relationships" ref="S4143" r:id="rId4142"/>
    <hyperlink xmlns:r="http://schemas.openxmlformats.org/officeDocument/2006/relationships" ref="S4144" r:id="rId4143"/>
    <hyperlink xmlns:r="http://schemas.openxmlformats.org/officeDocument/2006/relationships" ref="S4145" r:id="rId4144"/>
    <hyperlink xmlns:r="http://schemas.openxmlformats.org/officeDocument/2006/relationships" ref="S4146" r:id="rId4145"/>
    <hyperlink xmlns:r="http://schemas.openxmlformats.org/officeDocument/2006/relationships" ref="S4147" r:id="rId4146"/>
    <hyperlink xmlns:r="http://schemas.openxmlformats.org/officeDocument/2006/relationships" ref="S4148" r:id="rId4147"/>
    <hyperlink xmlns:r="http://schemas.openxmlformats.org/officeDocument/2006/relationships" ref="S4149" r:id="rId4148"/>
    <hyperlink xmlns:r="http://schemas.openxmlformats.org/officeDocument/2006/relationships" ref="S4150" r:id="rId4149"/>
    <hyperlink xmlns:r="http://schemas.openxmlformats.org/officeDocument/2006/relationships" ref="S4151" r:id="rId4150"/>
    <hyperlink xmlns:r="http://schemas.openxmlformats.org/officeDocument/2006/relationships" ref="S4152" r:id="rId4151"/>
    <hyperlink xmlns:r="http://schemas.openxmlformats.org/officeDocument/2006/relationships" ref="S4153" r:id="rId4152"/>
    <hyperlink xmlns:r="http://schemas.openxmlformats.org/officeDocument/2006/relationships" ref="S4154" r:id="rId4153"/>
    <hyperlink xmlns:r="http://schemas.openxmlformats.org/officeDocument/2006/relationships" ref="S4155" r:id="rId4154"/>
    <hyperlink xmlns:r="http://schemas.openxmlformats.org/officeDocument/2006/relationships" ref="S4156" r:id="rId4155"/>
    <hyperlink xmlns:r="http://schemas.openxmlformats.org/officeDocument/2006/relationships" ref="S4157" r:id="rId4156"/>
    <hyperlink xmlns:r="http://schemas.openxmlformats.org/officeDocument/2006/relationships" ref="S4158" r:id="rId4157"/>
    <hyperlink xmlns:r="http://schemas.openxmlformats.org/officeDocument/2006/relationships" ref="S4159" r:id="rId4158"/>
    <hyperlink xmlns:r="http://schemas.openxmlformats.org/officeDocument/2006/relationships" ref="S4160" r:id="rId4159"/>
    <hyperlink xmlns:r="http://schemas.openxmlformats.org/officeDocument/2006/relationships" ref="S4161" r:id="rId4160"/>
    <hyperlink xmlns:r="http://schemas.openxmlformats.org/officeDocument/2006/relationships" ref="S4162" r:id="rId4161"/>
    <hyperlink xmlns:r="http://schemas.openxmlformats.org/officeDocument/2006/relationships" ref="S4163" r:id="rId4162"/>
    <hyperlink xmlns:r="http://schemas.openxmlformats.org/officeDocument/2006/relationships" ref="S4164" r:id="rId4163"/>
    <hyperlink xmlns:r="http://schemas.openxmlformats.org/officeDocument/2006/relationships" ref="S4165" r:id="rId4164"/>
    <hyperlink xmlns:r="http://schemas.openxmlformats.org/officeDocument/2006/relationships" ref="S4166" r:id="rId4165"/>
    <hyperlink xmlns:r="http://schemas.openxmlformats.org/officeDocument/2006/relationships" ref="S4167" r:id="rId4166"/>
    <hyperlink xmlns:r="http://schemas.openxmlformats.org/officeDocument/2006/relationships" ref="S4168" r:id="rId4167"/>
    <hyperlink xmlns:r="http://schemas.openxmlformats.org/officeDocument/2006/relationships" ref="S4169" r:id="rId4168"/>
    <hyperlink xmlns:r="http://schemas.openxmlformats.org/officeDocument/2006/relationships" ref="S4170" r:id="rId4169"/>
    <hyperlink xmlns:r="http://schemas.openxmlformats.org/officeDocument/2006/relationships" ref="S4171" r:id="rId4170"/>
    <hyperlink xmlns:r="http://schemas.openxmlformats.org/officeDocument/2006/relationships" ref="S4172" r:id="rId4171"/>
    <hyperlink xmlns:r="http://schemas.openxmlformats.org/officeDocument/2006/relationships" ref="S4173" r:id="rId4172"/>
    <hyperlink xmlns:r="http://schemas.openxmlformats.org/officeDocument/2006/relationships" ref="S4174" r:id="rId4173"/>
    <hyperlink xmlns:r="http://schemas.openxmlformats.org/officeDocument/2006/relationships" ref="S4175" r:id="rId4174"/>
    <hyperlink xmlns:r="http://schemas.openxmlformats.org/officeDocument/2006/relationships" ref="S4176" r:id="rId4175"/>
    <hyperlink xmlns:r="http://schemas.openxmlformats.org/officeDocument/2006/relationships" ref="S4177" r:id="rId4176"/>
    <hyperlink xmlns:r="http://schemas.openxmlformats.org/officeDocument/2006/relationships" ref="S4178" r:id="rId4177"/>
    <hyperlink xmlns:r="http://schemas.openxmlformats.org/officeDocument/2006/relationships" ref="S4179" r:id="rId4178"/>
    <hyperlink xmlns:r="http://schemas.openxmlformats.org/officeDocument/2006/relationships" ref="S4180" r:id="rId4179"/>
    <hyperlink xmlns:r="http://schemas.openxmlformats.org/officeDocument/2006/relationships" ref="S4181" r:id="rId4180"/>
    <hyperlink xmlns:r="http://schemas.openxmlformats.org/officeDocument/2006/relationships" ref="S4182" r:id="rId4181"/>
    <hyperlink xmlns:r="http://schemas.openxmlformats.org/officeDocument/2006/relationships" ref="S4183" r:id="rId4182"/>
    <hyperlink xmlns:r="http://schemas.openxmlformats.org/officeDocument/2006/relationships" ref="S4184" r:id="rId4183"/>
    <hyperlink xmlns:r="http://schemas.openxmlformats.org/officeDocument/2006/relationships" ref="S4185" r:id="rId4184"/>
    <hyperlink xmlns:r="http://schemas.openxmlformats.org/officeDocument/2006/relationships" ref="S4186" r:id="rId4185"/>
    <hyperlink xmlns:r="http://schemas.openxmlformats.org/officeDocument/2006/relationships" ref="S4187" r:id="rId4186"/>
    <hyperlink xmlns:r="http://schemas.openxmlformats.org/officeDocument/2006/relationships" ref="S4188" r:id="rId4187"/>
    <hyperlink xmlns:r="http://schemas.openxmlformats.org/officeDocument/2006/relationships" ref="S4189" r:id="rId4188"/>
    <hyperlink xmlns:r="http://schemas.openxmlformats.org/officeDocument/2006/relationships" ref="S4190" r:id="rId4189"/>
    <hyperlink xmlns:r="http://schemas.openxmlformats.org/officeDocument/2006/relationships" ref="S4191" r:id="rId4190"/>
    <hyperlink xmlns:r="http://schemas.openxmlformats.org/officeDocument/2006/relationships" ref="S4192" r:id="rId4191"/>
    <hyperlink xmlns:r="http://schemas.openxmlformats.org/officeDocument/2006/relationships" ref="S4193" r:id="rId4192"/>
    <hyperlink xmlns:r="http://schemas.openxmlformats.org/officeDocument/2006/relationships" ref="S4194" r:id="rId4193"/>
    <hyperlink xmlns:r="http://schemas.openxmlformats.org/officeDocument/2006/relationships" ref="S4195" r:id="rId4194"/>
    <hyperlink xmlns:r="http://schemas.openxmlformats.org/officeDocument/2006/relationships" ref="S4196" r:id="rId4195"/>
    <hyperlink xmlns:r="http://schemas.openxmlformats.org/officeDocument/2006/relationships" ref="S4197" r:id="rId4196"/>
    <hyperlink xmlns:r="http://schemas.openxmlformats.org/officeDocument/2006/relationships" ref="S4198" r:id="rId4197"/>
    <hyperlink xmlns:r="http://schemas.openxmlformats.org/officeDocument/2006/relationships" ref="S4199" r:id="rId4198"/>
    <hyperlink xmlns:r="http://schemas.openxmlformats.org/officeDocument/2006/relationships" ref="S4200" r:id="rId4199"/>
    <hyperlink xmlns:r="http://schemas.openxmlformats.org/officeDocument/2006/relationships" ref="S4201" r:id="rId4200"/>
    <hyperlink xmlns:r="http://schemas.openxmlformats.org/officeDocument/2006/relationships" ref="S4202" r:id="rId4201"/>
    <hyperlink xmlns:r="http://schemas.openxmlformats.org/officeDocument/2006/relationships" ref="S4203" r:id="rId4202"/>
    <hyperlink xmlns:r="http://schemas.openxmlformats.org/officeDocument/2006/relationships" ref="S4204" r:id="rId4203"/>
    <hyperlink xmlns:r="http://schemas.openxmlformats.org/officeDocument/2006/relationships" ref="S4205" r:id="rId4204"/>
    <hyperlink xmlns:r="http://schemas.openxmlformats.org/officeDocument/2006/relationships" ref="S4206" r:id="rId4205"/>
    <hyperlink xmlns:r="http://schemas.openxmlformats.org/officeDocument/2006/relationships" ref="S4207" r:id="rId4206"/>
    <hyperlink xmlns:r="http://schemas.openxmlformats.org/officeDocument/2006/relationships" ref="S4208" r:id="rId4207"/>
    <hyperlink xmlns:r="http://schemas.openxmlformats.org/officeDocument/2006/relationships" ref="S4209" r:id="rId4208"/>
    <hyperlink xmlns:r="http://schemas.openxmlformats.org/officeDocument/2006/relationships" ref="S4210" r:id="rId4209"/>
    <hyperlink xmlns:r="http://schemas.openxmlformats.org/officeDocument/2006/relationships" ref="S4211" r:id="rId4210"/>
    <hyperlink xmlns:r="http://schemas.openxmlformats.org/officeDocument/2006/relationships" ref="S4212" r:id="rId4211"/>
    <hyperlink xmlns:r="http://schemas.openxmlformats.org/officeDocument/2006/relationships" ref="S4213" r:id="rId4212"/>
    <hyperlink xmlns:r="http://schemas.openxmlformats.org/officeDocument/2006/relationships" ref="S4214" r:id="rId4213"/>
    <hyperlink xmlns:r="http://schemas.openxmlformats.org/officeDocument/2006/relationships" ref="S4215" r:id="rId4214"/>
    <hyperlink xmlns:r="http://schemas.openxmlformats.org/officeDocument/2006/relationships" ref="S4216" r:id="rId4215"/>
    <hyperlink xmlns:r="http://schemas.openxmlformats.org/officeDocument/2006/relationships" ref="S4217" r:id="rId4216"/>
    <hyperlink xmlns:r="http://schemas.openxmlformats.org/officeDocument/2006/relationships" ref="S4218" r:id="rId4217"/>
    <hyperlink xmlns:r="http://schemas.openxmlformats.org/officeDocument/2006/relationships" ref="S4219" r:id="rId4218"/>
    <hyperlink xmlns:r="http://schemas.openxmlformats.org/officeDocument/2006/relationships" ref="S4220" r:id="rId4219"/>
    <hyperlink xmlns:r="http://schemas.openxmlformats.org/officeDocument/2006/relationships" ref="S4221" r:id="rId4220"/>
    <hyperlink xmlns:r="http://schemas.openxmlformats.org/officeDocument/2006/relationships" ref="S4222" r:id="rId4221"/>
    <hyperlink xmlns:r="http://schemas.openxmlformats.org/officeDocument/2006/relationships" ref="S4223" r:id="rId4222"/>
    <hyperlink xmlns:r="http://schemas.openxmlformats.org/officeDocument/2006/relationships" ref="S4224" r:id="rId4223"/>
    <hyperlink xmlns:r="http://schemas.openxmlformats.org/officeDocument/2006/relationships" ref="S4225" r:id="rId4224"/>
    <hyperlink xmlns:r="http://schemas.openxmlformats.org/officeDocument/2006/relationships" ref="S4226" r:id="rId4225"/>
    <hyperlink xmlns:r="http://schemas.openxmlformats.org/officeDocument/2006/relationships" ref="S4227" r:id="rId4226"/>
    <hyperlink xmlns:r="http://schemas.openxmlformats.org/officeDocument/2006/relationships" ref="S4228" r:id="rId4227"/>
    <hyperlink xmlns:r="http://schemas.openxmlformats.org/officeDocument/2006/relationships" ref="S4229" r:id="rId4228"/>
    <hyperlink xmlns:r="http://schemas.openxmlformats.org/officeDocument/2006/relationships" ref="S4230" r:id="rId4229"/>
    <hyperlink xmlns:r="http://schemas.openxmlformats.org/officeDocument/2006/relationships" ref="S4231" r:id="rId4230"/>
    <hyperlink xmlns:r="http://schemas.openxmlformats.org/officeDocument/2006/relationships" ref="S4232" r:id="rId4231"/>
    <hyperlink xmlns:r="http://schemas.openxmlformats.org/officeDocument/2006/relationships" ref="S4233" r:id="rId4232"/>
    <hyperlink xmlns:r="http://schemas.openxmlformats.org/officeDocument/2006/relationships" ref="S4234" r:id="rId4233"/>
    <hyperlink xmlns:r="http://schemas.openxmlformats.org/officeDocument/2006/relationships" ref="S4235" r:id="rId4234"/>
    <hyperlink xmlns:r="http://schemas.openxmlformats.org/officeDocument/2006/relationships" ref="S4236" r:id="rId4235"/>
    <hyperlink xmlns:r="http://schemas.openxmlformats.org/officeDocument/2006/relationships" ref="S4237" r:id="rId4236"/>
    <hyperlink xmlns:r="http://schemas.openxmlformats.org/officeDocument/2006/relationships" ref="S4238" r:id="rId4237"/>
    <hyperlink xmlns:r="http://schemas.openxmlformats.org/officeDocument/2006/relationships" ref="S4239" r:id="rId4238"/>
    <hyperlink xmlns:r="http://schemas.openxmlformats.org/officeDocument/2006/relationships" ref="S4240" r:id="rId4239"/>
    <hyperlink xmlns:r="http://schemas.openxmlformats.org/officeDocument/2006/relationships" ref="S4241" r:id="rId4240"/>
    <hyperlink xmlns:r="http://schemas.openxmlformats.org/officeDocument/2006/relationships" ref="S4242" r:id="rId4241"/>
    <hyperlink xmlns:r="http://schemas.openxmlformats.org/officeDocument/2006/relationships" ref="S4243" r:id="rId4242"/>
    <hyperlink xmlns:r="http://schemas.openxmlformats.org/officeDocument/2006/relationships" ref="S4244" r:id="rId4243"/>
    <hyperlink xmlns:r="http://schemas.openxmlformats.org/officeDocument/2006/relationships" ref="S4245" r:id="rId4244"/>
    <hyperlink xmlns:r="http://schemas.openxmlformats.org/officeDocument/2006/relationships" ref="S4246" r:id="rId4245"/>
    <hyperlink xmlns:r="http://schemas.openxmlformats.org/officeDocument/2006/relationships" ref="S4247" r:id="rId4246"/>
    <hyperlink xmlns:r="http://schemas.openxmlformats.org/officeDocument/2006/relationships" ref="S4248" r:id="rId4247"/>
    <hyperlink xmlns:r="http://schemas.openxmlformats.org/officeDocument/2006/relationships" ref="S4249" r:id="rId4248"/>
    <hyperlink xmlns:r="http://schemas.openxmlformats.org/officeDocument/2006/relationships" ref="S4250" r:id="rId4249"/>
    <hyperlink xmlns:r="http://schemas.openxmlformats.org/officeDocument/2006/relationships" ref="S4251" r:id="rId4250"/>
    <hyperlink xmlns:r="http://schemas.openxmlformats.org/officeDocument/2006/relationships" ref="S4252" r:id="rId4251"/>
    <hyperlink xmlns:r="http://schemas.openxmlformats.org/officeDocument/2006/relationships" ref="S4253" r:id="rId4252"/>
    <hyperlink xmlns:r="http://schemas.openxmlformats.org/officeDocument/2006/relationships" ref="S4254" r:id="rId4253"/>
    <hyperlink xmlns:r="http://schemas.openxmlformats.org/officeDocument/2006/relationships" ref="S4255" r:id="rId4254"/>
    <hyperlink xmlns:r="http://schemas.openxmlformats.org/officeDocument/2006/relationships" ref="S4256" r:id="rId4255"/>
    <hyperlink xmlns:r="http://schemas.openxmlformats.org/officeDocument/2006/relationships" ref="S4257" r:id="rId4256"/>
    <hyperlink xmlns:r="http://schemas.openxmlformats.org/officeDocument/2006/relationships" ref="S4258" r:id="rId4257"/>
    <hyperlink xmlns:r="http://schemas.openxmlformats.org/officeDocument/2006/relationships" ref="S4259" r:id="rId4258"/>
    <hyperlink xmlns:r="http://schemas.openxmlformats.org/officeDocument/2006/relationships" ref="S4260" r:id="rId4259"/>
    <hyperlink xmlns:r="http://schemas.openxmlformats.org/officeDocument/2006/relationships" ref="S4261" r:id="rId4260"/>
    <hyperlink xmlns:r="http://schemas.openxmlformats.org/officeDocument/2006/relationships" ref="S4262" r:id="rId4261"/>
    <hyperlink xmlns:r="http://schemas.openxmlformats.org/officeDocument/2006/relationships" ref="S4263" r:id="rId4262"/>
    <hyperlink xmlns:r="http://schemas.openxmlformats.org/officeDocument/2006/relationships" ref="S4264" r:id="rId4263"/>
    <hyperlink xmlns:r="http://schemas.openxmlformats.org/officeDocument/2006/relationships" ref="S4265" r:id="rId4264"/>
    <hyperlink xmlns:r="http://schemas.openxmlformats.org/officeDocument/2006/relationships" ref="S4266" r:id="rId4265"/>
    <hyperlink xmlns:r="http://schemas.openxmlformats.org/officeDocument/2006/relationships" ref="S4267" r:id="rId4266"/>
    <hyperlink xmlns:r="http://schemas.openxmlformats.org/officeDocument/2006/relationships" ref="S4268" r:id="rId4267"/>
    <hyperlink xmlns:r="http://schemas.openxmlformats.org/officeDocument/2006/relationships" ref="S4269" r:id="rId4268"/>
    <hyperlink xmlns:r="http://schemas.openxmlformats.org/officeDocument/2006/relationships" ref="S4270" r:id="rId4269"/>
    <hyperlink xmlns:r="http://schemas.openxmlformats.org/officeDocument/2006/relationships" ref="S4271" r:id="rId4270"/>
    <hyperlink xmlns:r="http://schemas.openxmlformats.org/officeDocument/2006/relationships" ref="S4272" r:id="rId4271"/>
    <hyperlink xmlns:r="http://schemas.openxmlformats.org/officeDocument/2006/relationships" ref="S4273" r:id="rId4272"/>
    <hyperlink xmlns:r="http://schemas.openxmlformats.org/officeDocument/2006/relationships" ref="S4274" r:id="rId4273"/>
    <hyperlink xmlns:r="http://schemas.openxmlformats.org/officeDocument/2006/relationships" ref="S4275" r:id="rId4274"/>
    <hyperlink xmlns:r="http://schemas.openxmlformats.org/officeDocument/2006/relationships" ref="S4276" r:id="rId4275"/>
    <hyperlink xmlns:r="http://schemas.openxmlformats.org/officeDocument/2006/relationships" ref="S4277" r:id="rId4276"/>
    <hyperlink xmlns:r="http://schemas.openxmlformats.org/officeDocument/2006/relationships" ref="S4278" r:id="rId4277"/>
    <hyperlink xmlns:r="http://schemas.openxmlformats.org/officeDocument/2006/relationships" ref="S4279" r:id="rId4278"/>
    <hyperlink xmlns:r="http://schemas.openxmlformats.org/officeDocument/2006/relationships" ref="S4280" r:id="rId4279"/>
    <hyperlink xmlns:r="http://schemas.openxmlformats.org/officeDocument/2006/relationships" ref="S4281" r:id="rId4280"/>
    <hyperlink xmlns:r="http://schemas.openxmlformats.org/officeDocument/2006/relationships" ref="S4282" r:id="rId4281"/>
    <hyperlink xmlns:r="http://schemas.openxmlformats.org/officeDocument/2006/relationships" ref="S4283" r:id="rId4282"/>
    <hyperlink xmlns:r="http://schemas.openxmlformats.org/officeDocument/2006/relationships" ref="S4284" r:id="rId4283"/>
    <hyperlink xmlns:r="http://schemas.openxmlformats.org/officeDocument/2006/relationships" ref="S4285" r:id="rId4284"/>
    <hyperlink xmlns:r="http://schemas.openxmlformats.org/officeDocument/2006/relationships" ref="S4286" r:id="rId4285"/>
    <hyperlink xmlns:r="http://schemas.openxmlformats.org/officeDocument/2006/relationships" ref="S4287" r:id="rId4286"/>
    <hyperlink xmlns:r="http://schemas.openxmlformats.org/officeDocument/2006/relationships" ref="S4288" r:id="rId4287"/>
    <hyperlink xmlns:r="http://schemas.openxmlformats.org/officeDocument/2006/relationships" ref="S4289" r:id="rId4288"/>
    <hyperlink xmlns:r="http://schemas.openxmlformats.org/officeDocument/2006/relationships" ref="S4290" r:id="rId4289"/>
    <hyperlink xmlns:r="http://schemas.openxmlformats.org/officeDocument/2006/relationships" ref="S4291" r:id="rId4290"/>
    <hyperlink xmlns:r="http://schemas.openxmlformats.org/officeDocument/2006/relationships" ref="S4292" r:id="rId4291"/>
    <hyperlink xmlns:r="http://schemas.openxmlformats.org/officeDocument/2006/relationships" ref="S4293" r:id="rId4292"/>
    <hyperlink xmlns:r="http://schemas.openxmlformats.org/officeDocument/2006/relationships" ref="S4294" r:id="rId4293"/>
    <hyperlink xmlns:r="http://schemas.openxmlformats.org/officeDocument/2006/relationships" ref="S4295" r:id="rId4294"/>
    <hyperlink xmlns:r="http://schemas.openxmlformats.org/officeDocument/2006/relationships" ref="S4296" r:id="rId4295"/>
    <hyperlink xmlns:r="http://schemas.openxmlformats.org/officeDocument/2006/relationships" ref="S4297" r:id="rId4296"/>
    <hyperlink xmlns:r="http://schemas.openxmlformats.org/officeDocument/2006/relationships" ref="S4298" r:id="rId4297"/>
    <hyperlink xmlns:r="http://schemas.openxmlformats.org/officeDocument/2006/relationships" ref="S4299" r:id="rId4298"/>
    <hyperlink xmlns:r="http://schemas.openxmlformats.org/officeDocument/2006/relationships" ref="S4300" r:id="rId4299"/>
    <hyperlink xmlns:r="http://schemas.openxmlformats.org/officeDocument/2006/relationships" ref="S4301" r:id="rId4300"/>
    <hyperlink xmlns:r="http://schemas.openxmlformats.org/officeDocument/2006/relationships" ref="S4302" r:id="rId4301"/>
    <hyperlink xmlns:r="http://schemas.openxmlformats.org/officeDocument/2006/relationships" ref="S4303" r:id="rId4302"/>
    <hyperlink xmlns:r="http://schemas.openxmlformats.org/officeDocument/2006/relationships" ref="S4304" r:id="rId4303"/>
    <hyperlink xmlns:r="http://schemas.openxmlformats.org/officeDocument/2006/relationships" ref="S4305" r:id="rId4304"/>
    <hyperlink xmlns:r="http://schemas.openxmlformats.org/officeDocument/2006/relationships" ref="S4306" r:id="rId4305"/>
    <hyperlink xmlns:r="http://schemas.openxmlformats.org/officeDocument/2006/relationships" ref="S4307" r:id="rId4306"/>
    <hyperlink xmlns:r="http://schemas.openxmlformats.org/officeDocument/2006/relationships" ref="S4308" r:id="rId4307"/>
    <hyperlink xmlns:r="http://schemas.openxmlformats.org/officeDocument/2006/relationships" ref="S4309" r:id="rId4308"/>
    <hyperlink xmlns:r="http://schemas.openxmlformats.org/officeDocument/2006/relationships" ref="S4310" r:id="rId4309"/>
    <hyperlink xmlns:r="http://schemas.openxmlformats.org/officeDocument/2006/relationships" ref="S4311" r:id="rId4310"/>
    <hyperlink xmlns:r="http://schemas.openxmlformats.org/officeDocument/2006/relationships" ref="S4312" r:id="rId4311"/>
    <hyperlink xmlns:r="http://schemas.openxmlformats.org/officeDocument/2006/relationships" ref="S4313" r:id="rId4312"/>
    <hyperlink xmlns:r="http://schemas.openxmlformats.org/officeDocument/2006/relationships" ref="S4314" r:id="rId4313"/>
    <hyperlink xmlns:r="http://schemas.openxmlformats.org/officeDocument/2006/relationships" ref="S4315" r:id="rId4314"/>
    <hyperlink xmlns:r="http://schemas.openxmlformats.org/officeDocument/2006/relationships" ref="S4316" r:id="rId4315"/>
    <hyperlink xmlns:r="http://schemas.openxmlformats.org/officeDocument/2006/relationships" ref="S4317" r:id="rId4316"/>
    <hyperlink xmlns:r="http://schemas.openxmlformats.org/officeDocument/2006/relationships" ref="S4318" r:id="rId4317"/>
    <hyperlink xmlns:r="http://schemas.openxmlformats.org/officeDocument/2006/relationships" ref="S4319" r:id="rId4318"/>
    <hyperlink xmlns:r="http://schemas.openxmlformats.org/officeDocument/2006/relationships" ref="S4320" r:id="rId4319"/>
    <hyperlink xmlns:r="http://schemas.openxmlformats.org/officeDocument/2006/relationships" ref="S4321" r:id="rId4320"/>
    <hyperlink xmlns:r="http://schemas.openxmlformats.org/officeDocument/2006/relationships" ref="S4322" r:id="rId4321"/>
    <hyperlink xmlns:r="http://schemas.openxmlformats.org/officeDocument/2006/relationships" ref="S4323" r:id="rId4322"/>
    <hyperlink xmlns:r="http://schemas.openxmlformats.org/officeDocument/2006/relationships" ref="S4324" r:id="rId4323"/>
    <hyperlink xmlns:r="http://schemas.openxmlformats.org/officeDocument/2006/relationships" ref="S4325" r:id="rId4324"/>
    <hyperlink xmlns:r="http://schemas.openxmlformats.org/officeDocument/2006/relationships" ref="S4326" r:id="rId4325"/>
    <hyperlink xmlns:r="http://schemas.openxmlformats.org/officeDocument/2006/relationships" ref="S4327" r:id="rId4326"/>
    <hyperlink xmlns:r="http://schemas.openxmlformats.org/officeDocument/2006/relationships" ref="S4328" r:id="rId4327"/>
    <hyperlink xmlns:r="http://schemas.openxmlformats.org/officeDocument/2006/relationships" ref="S4329" r:id="rId4328"/>
    <hyperlink xmlns:r="http://schemas.openxmlformats.org/officeDocument/2006/relationships" ref="S4330" r:id="rId4329"/>
    <hyperlink xmlns:r="http://schemas.openxmlformats.org/officeDocument/2006/relationships" ref="S4331" r:id="rId4330"/>
    <hyperlink xmlns:r="http://schemas.openxmlformats.org/officeDocument/2006/relationships" ref="S4332" r:id="rId4331"/>
    <hyperlink xmlns:r="http://schemas.openxmlformats.org/officeDocument/2006/relationships" ref="S4333" r:id="rId4332"/>
    <hyperlink xmlns:r="http://schemas.openxmlformats.org/officeDocument/2006/relationships" ref="S4334" r:id="rId4333"/>
    <hyperlink xmlns:r="http://schemas.openxmlformats.org/officeDocument/2006/relationships" ref="S4335" r:id="rId4334"/>
    <hyperlink xmlns:r="http://schemas.openxmlformats.org/officeDocument/2006/relationships" ref="S4336" r:id="rId4335"/>
    <hyperlink xmlns:r="http://schemas.openxmlformats.org/officeDocument/2006/relationships" ref="S4337" r:id="rId4336"/>
    <hyperlink xmlns:r="http://schemas.openxmlformats.org/officeDocument/2006/relationships" ref="S4338" r:id="rId4337"/>
    <hyperlink xmlns:r="http://schemas.openxmlformats.org/officeDocument/2006/relationships" ref="S4339" r:id="rId4338"/>
    <hyperlink xmlns:r="http://schemas.openxmlformats.org/officeDocument/2006/relationships" ref="S4340" r:id="rId4339"/>
    <hyperlink xmlns:r="http://schemas.openxmlformats.org/officeDocument/2006/relationships" ref="S4341" r:id="rId4340"/>
    <hyperlink xmlns:r="http://schemas.openxmlformats.org/officeDocument/2006/relationships" ref="S4342" r:id="rId4341"/>
    <hyperlink xmlns:r="http://schemas.openxmlformats.org/officeDocument/2006/relationships" ref="S4343" r:id="rId4342"/>
    <hyperlink xmlns:r="http://schemas.openxmlformats.org/officeDocument/2006/relationships" ref="S4344" r:id="rId4343"/>
    <hyperlink xmlns:r="http://schemas.openxmlformats.org/officeDocument/2006/relationships" ref="S4345" r:id="rId4344"/>
    <hyperlink xmlns:r="http://schemas.openxmlformats.org/officeDocument/2006/relationships" ref="S4346" r:id="rId4345"/>
    <hyperlink xmlns:r="http://schemas.openxmlformats.org/officeDocument/2006/relationships" ref="S4347" r:id="rId4346"/>
    <hyperlink xmlns:r="http://schemas.openxmlformats.org/officeDocument/2006/relationships" ref="S4348" r:id="rId4347"/>
    <hyperlink xmlns:r="http://schemas.openxmlformats.org/officeDocument/2006/relationships" ref="S4349" r:id="rId4348"/>
    <hyperlink xmlns:r="http://schemas.openxmlformats.org/officeDocument/2006/relationships" ref="S4350" r:id="rId4349"/>
    <hyperlink xmlns:r="http://schemas.openxmlformats.org/officeDocument/2006/relationships" ref="S4351" r:id="rId4350"/>
    <hyperlink xmlns:r="http://schemas.openxmlformats.org/officeDocument/2006/relationships" ref="S4352" r:id="rId4351"/>
    <hyperlink xmlns:r="http://schemas.openxmlformats.org/officeDocument/2006/relationships" ref="S4353" r:id="rId4352"/>
    <hyperlink xmlns:r="http://schemas.openxmlformats.org/officeDocument/2006/relationships" ref="S4354" r:id="rId4353"/>
    <hyperlink xmlns:r="http://schemas.openxmlformats.org/officeDocument/2006/relationships" ref="S4355" r:id="rId4354"/>
    <hyperlink xmlns:r="http://schemas.openxmlformats.org/officeDocument/2006/relationships" ref="S4356" r:id="rId4355"/>
    <hyperlink xmlns:r="http://schemas.openxmlformats.org/officeDocument/2006/relationships" ref="S4357" r:id="rId4356"/>
    <hyperlink xmlns:r="http://schemas.openxmlformats.org/officeDocument/2006/relationships" ref="S4358" r:id="rId4357"/>
    <hyperlink xmlns:r="http://schemas.openxmlformats.org/officeDocument/2006/relationships" ref="S4359" r:id="rId4358"/>
    <hyperlink xmlns:r="http://schemas.openxmlformats.org/officeDocument/2006/relationships" ref="S4360" r:id="rId4359"/>
    <hyperlink xmlns:r="http://schemas.openxmlformats.org/officeDocument/2006/relationships" ref="S4361" r:id="rId4360"/>
    <hyperlink xmlns:r="http://schemas.openxmlformats.org/officeDocument/2006/relationships" ref="S4362" r:id="rId4361"/>
    <hyperlink xmlns:r="http://schemas.openxmlformats.org/officeDocument/2006/relationships" ref="S4363" r:id="rId4362"/>
    <hyperlink xmlns:r="http://schemas.openxmlformats.org/officeDocument/2006/relationships" ref="S4364" r:id="rId4363"/>
    <hyperlink xmlns:r="http://schemas.openxmlformats.org/officeDocument/2006/relationships" ref="S4365" r:id="rId4364"/>
    <hyperlink xmlns:r="http://schemas.openxmlformats.org/officeDocument/2006/relationships" ref="S4366" r:id="rId4365"/>
    <hyperlink xmlns:r="http://schemas.openxmlformats.org/officeDocument/2006/relationships" ref="S4367" r:id="rId4366"/>
    <hyperlink xmlns:r="http://schemas.openxmlformats.org/officeDocument/2006/relationships" ref="S4368" r:id="rId4367"/>
    <hyperlink xmlns:r="http://schemas.openxmlformats.org/officeDocument/2006/relationships" ref="S4369" r:id="rId4368"/>
    <hyperlink xmlns:r="http://schemas.openxmlformats.org/officeDocument/2006/relationships" ref="S4370" r:id="rId4369"/>
    <hyperlink xmlns:r="http://schemas.openxmlformats.org/officeDocument/2006/relationships" ref="S4371" r:id="rId4370"/>
    <hyperlink xmlns:r="http://schemas.openxmlformats.org/officeDocument/2006/relationships" ref="S4372" r:id="rId4371"/>
    <hyperlink xmlns:r="http://schemas.openxmlformats.org/officeDocument/2006/relationships" ref="S4373" r:id="rId4372"/>
    <hyperlink xmlns:r="http://schemas.openxmlformats.org/officeDocument/2006/relationships" ref="S4374" r:id="rId4373"/>
    <hyperlink xmlns:r="http://schemas.openxmlformats.org/officeDocument/2006/relationships" ref="S4375" r:id="rId4374"/>
    <hyperlink xmlns:r="http://schemas.openxmlformats.org/officeDocument/2006/relationships" ref="S4376" r:id="rId4375"/>
    <hyperlink xmlns:r="http://schemas.openxmlformats.org/officeDocument/2006/relationships" ref="S4377" r:id="rId4376"/>
    <hyperlink xmlns:r="http://schemas.openxmlformats.org/officeDocument/2006/relationships" ref="S4378" r:id="rId4377"/>
    <hyperlink xmlns:r="http://schemas.openxmlformats.org/officeDocument/2006/relationships" ref="S4379" r:id="rId4378"/>
    <hyperlink xmlns:r="http://schemas.openxmlformats.org/officeDocument/2006/relationships" ref="S4380" r:id="rId4379"/>
    <hyperlink xmlns:r="http://schemas.openxmlformats.org/officeDocument/2006/relationships" ref="S4381" r:id="rId4380"/>
    <hyperlink xmlns:r="http://schemas.openxmlformats.org/officeDocument/2006/relationships" ref="S4382" r:id="rId4381"/>
    <hyperlink xmlns:r="http://schemas.openxmlformats.org/officeDocument/2006/relationships" ref="S4383" r:id="rId4382"/>
    <hyperlink xmlns:r="http://schemas.openxmlformats.org/officeDocument/2006/relationships" ref="S4384" r:id="rId4383"/>
    <hyperlink xmlns:r="http://schemas.openxmlformats.org/officeDocument/2006/relationships" ref="S4385" r:id="rId4384"/>
    <hyperlink xmlns:r="http://schemas.openxmlformats.org/officeDocument/2006/relationships" ref="S4386" r:id="rId4385"/>
    <hyperlink xmlns:r="http://schemas.openxmlformats.org/officeDocument/2006/relationships" ref="S4387" r:id="rId4386"/>
    <hyperlink xmlns:r="http://schemas.openxmlformats.org/officeDocument/2006/relationships" ref="S4388" r:id="rId4387"/>
    <hyperlink xmlns:r="http://schemas.openxmlformats.org/officeDocument/2006/relationships" ref="S4389" r:id="rId4388"/>
    <hyperlink xmlns:r="http://schemas.openxmlformats.org/officeDocument/2006/relationships" ref="S4390" r:id="rId4389"/>
    <hyperlink xmlns:r="http://schemas.openxmlformats.org/officeDocument/2006/relationships" ref="S4391" r:id="rId4390"/>
    <hyperlink xmlns:r="http://schemas.openxmlformats.org/officeDocument/2006/relationships" ref="S4392" r:id="rId4391"/>
    <hyperlink xmlns:r="http://schemas.openxmlformats.org/officeDocument/2006/relationships" ref="S4393" r:id="rId4392"/>
    <hyperlink xmlns:r="http://schemas.openxmlformats.org/officeDocument/2006/relationships" ref="S4394" r:id="rId4393"/>
    <hyperlink xmlns:r="http://schemas.openxmlformats.org/officeDocument/2006/relationships" ref="S4395" r:id="rId4394"/>
    <hyperlink xmlns:r="http://schemas.openxmlformats.org/officeDocument/2006/relationships" ref="S4396" r:id="rId4395"/>
    <hyperlink xmlns:r="http://schemas.openxmlformats.org/officeDocument/2006/relationships" ref="S4397" r:id="rId4396"/>
    <hyperlink xmlns:r="http://schemas.openxmlformats.org/officeDocument/2006/relationships" ref="S4398" r:id="rId4397"/>
    <hyperlink xmlns:r="http://schemas.openxmlformats.org/officeDocument/2006/relationships" ref="S4399" r:id="rId4398"/>
    <hyperlink xmlns:r="http://schemas.openxmlformats.org/officeDocument/2006/relationships" ref="S4400" r:id="rId4399"/>
    <hyperlink xmlns:r="http://schemas.openxmlformats.org/officeDocument/2006/relationships" ref="S4401" r:id="rId4400"/>
    <hyperlink xmlns:r="http://schemas.openxmlformats.org/officeDocument/2006/relationships" ref="S4402" r:id="rId4401"/>
    <hyperlink xmlns:r="http://schemas.openxmlformats.org/officeDocument/2006/relationships" ref="S4403" r:id="rId4402"/>
    <hyperlink xmlns:r="http://schemas.openxmlformats.org/officeDocument/2006/relationships" ref="S4404" r:id="rId4403"/>
    <hyperlink xmlns:r="http://schemas.openxmlformats.org/officeDocument/2006/relationships" ref="S4405" r:id="rId4404"/>
    <hyperlink xmlns:r="http://schemas.openxmlformats.org/officeDocument/2006/relationships" ref="S4406" r:id="rId4405"/>
    <hyperlink xmlns:r="http://schemas.openxmlformats.org/officeDocument/2006/relationships" ref="S4407" r:id="rId4406"/>
    <hyperlink xmlns:r="http://schemas.openxmlformats.org/officeDocument/2006/relationships" ref="S4408" r:id="rId4407"/>
    <hyperlink xmlns:r="http://schemas.openxmlformats.org/officeDocument/2006/relationships" ref="S4409" r:id="rId4408"/>
    <hyperlink xmlns:r="http://schemas.openxmlformats.org/officeDocument/2006/relationships" ref="S4410" r:id="rId4409"/>
    <hyperlink xmlns:r="http://schemas.openxmlformats.org/officeDocument/2006/relationships" ref="S4411" r:id="rId4410"/>
    <hyperlink xmlns:r="http://schemas.openxmlformats.org/officeDocument/2006/relationships" ref="S4412" r:id="rId4411"/>
    <hyperlink xmlns:r="http://schemas.openxmlformats.org/officeDocument/2006/relationships" ref="S4413" r:id="rId4412"/>
    <hyperlink xmlns:r="http://schemas.openxmlformats.org/officeDocument/2006/relationships" ref="S4414" r:id="rId4413"/>
    <hyperlink xmlns:r="http://schemas.openxmlformats.org/officeDocument/2006/relationships" ref="S4415" r:id="rId4414"/>
    <hyperlink xmlns:r="http://schemas.openxmlformats.org/officeDocument/2006/relationships" ref="S4416" r:id="rId4415"/>
    <hyperlink xmlns:r="http://schemas.openxmlformats.org/officeDocument/2006/relationships" ref="S4417" r:id="rId4416"/>
    <hyperlink xmlns:r="http://schemas.openxmlformats.org/officeDocument/2006/relationships" ref="S4418" r:id="rId4417"/>
    <hyperlink xmlns:r="http://schemas.openxmlformats.org/officeDocument/2006/relationships" ref="S4419" r:id="rId4418"/>
    <hyperlink xmlns:r="http://schemas.openxmlformats.org/officeDocument/2006/relationships" ref="S4420" r:id="rId4419"/>
    <hyperlink xmlns:r="http://schemas.openxmlformats.org/officeDocument/2006/relationships" ref="S4421" r:id="rId4420"/>
    <hyperlink xmlns:r="http://schemas.openxmlformats.org/officeDocument/2006/relationships" ref="S4422" r:id="rId4421"/>
    <hyperlink xmlns:r="http://schemas.openxmlformats.org/officeDocument/2006/relationships" ref="S4423" r:id="rId4422"/>
    <hyperlink xmlns:r="http://schemas.openxmlformats.org/officeDocument/2006/relationships" ref="S4424" r:id="rId4423"/>
    <hyperlink xmlns:r="http://schemas.openxmlformats.org/officeDocument/2006/relationships" ref="S4425" r:id="rId4424"/>
    <hyperlink xmlns:r="http://schemas.openxmlformats.org/officeDocument/2006/relationships" ref="S4426" r:id="rId4425"/>
    <hyperlink xmlns:r="http://schemas.openxmlformats.org/officeDocument/2006/relationships" ref="S4427" r:id="rId4426"/>
    <hyperlink xmlns:r="http://schemas.openxmlformats.org/officeDocument/2006/relationships" ref="S4428" r:id="rId4427"/>
    <hyperlink xmlns:r="http://schemas.openxmlformats.org/officeDocument/2006/relationships" ref="S4429" r:id="rId4428"/>
    <hyperlink xmlns:r="http://schemas.openxmlformats.org/officeDocument/2006/relationships" ref="S4430" r:id="rId4429"/>
    <hyperlink xmlns:r="http://schemas.openxmlformats.org/officeDocument/2006/relationships" ref="S4431" r:id="rId4430"/>
    <hyperlink xmlns:r="http://schemas.openxmlformats.org/officeDocument/2006/relationships" ref="S4432" r:id="rId4431"/>
    <hyperlink xmlns:r="http://schemas.openxmlformats.org/officeDocument/2006/relationships" ref="S4433" r:id="rId4432"/>
    <hyperlink xmlns:r="http://schemas.openxmlformats.org/officeDocument/2006/relationships" ref="S4434" r:id="rId4433"/>
    <hyperlink xmlns:r="http://schemas.openxmlformats.org/officeDocument/2006/relationships" ref="S4435" r:id="rId4434"/>
    <hyperlink xmlns:r="http://schemas.openxmlformats.org/officeDocument/2006/relationships" ref="S4436" r:id="rId4435"/>
    <hyperlink xmlns:r="http://schemas.openxmlformats.org/officeDocument/2006/relationships" ref="S4437" r:id="rId4436"/>
    <hyperlink xmlns:r="http://schemas.openxmlformats.org/officeDocument/2006/relationships" ref="S4438" r:id="rId4437"/>
    <hyperlink xmlns:r="http://schemas.openxmlformats.org/officeDocument/2006/relationships" ref="S4439" r:id="rId4438"/>
    <hyperlink xmlns:r="http://schemas.openxmlformats.org/officeDocument/2006/relationships" ref="S4440" r:id="rId4439"/>
    <hyperlink xmlns:r="http://schemas.openxmlformats.org/officeDocument/2006/relationships" ref="S4441" r:id="rId4440"/>
    <hyperlink xmlns:r="http://schemas.openxmlformats.org/officeDocument/2006/relationships" ref="S4442" r:id="rId4441"/>
    <hyperlink xmlns:r="http://schemas.openxmlformats.org/officeDocument/2006/relationships" ref="S4443" r:id="rId4442"/>
    <hyperlink xmlns:r="http://schemas.openxmlformats.org/officeDocument/2006/relationships" ref="S4444" r:id="rId4443"/>
    <hyperlink xmlns:r="http://schemas.openxmlformats.org/officeDocument/2006/relationships" ref="S4445" r:id="rId4444"/>
    <hyperlink xmlns:r="http://schemas.openxmlformats.org/officeDocument/2006/relationships" ref="S4446" r:id="rId4445"/>
    <hyperlink xmlns:r="http://schemas.openxmlformats.org/officeDocument/2006/relationships" ref="S4447" r:id="rId4446"/>
    <hyperlink xmlns:r="http://schemas.openxmlformats.org/officeDocument/2006/relationships" ref="S4448" r:id="rId4447"/>
    <hyperlink xmlns:r="http://schemas.openxmlformats.org/officeDocument/2006/relationships" ref="S4449" r:id="rId4448"/>
    <hyperlink xmlns:r="http://schemas.openxmlformats.org/officeDocument/2006/relationships" ref="S4450" r:id="rId4449"/>
    <hyperlink xmlns:r="http://schemas.openxmlformats.org/officeDocument/2006/relationships" ref="S4451" r:id="rId4450"/>
    <hyperlink xmlns:r="http://schemas.openxmlformats.org/officeDocument/2006/relationships" ref="S4452" r:id="rId4451"/>
    <hyperlink xmlns:r="http://schemas.openxmlformats.org/officeDocument/2006/relationships" ref="S4453" r:id="rId4452"/>
    <hyperlink xmlns:r="http://schemas.openxmlformats.org/officeDocument/2006/relationships" ref="S4454" r:id="rId4453"/>
    <hyperlink xmlns:r="http://schemas.openxmlformats.org/officeDocument/2006/relationships" ref="S4455" r:id="rId4454"/>
    <hyperlink xmlns:r="http://schemas.openxmlformats.org/officeDocument/2006/relationships" ref="S4456" r:id="rId4455"/>
    <hyperlink xmlns:r="http://schemas.openxmlformats.org/officeDocument/2006/relationships" ref="S4457" r:id="rId4456"/>
    <hyperlink xmlns:r="http://schemas.openxmlformats.org/officeDocument/2006/relationships" ref="S4458" r:id="rId4457"/>
    <hyperlink xmlns:r="http://schemas.openxmlformats.org/officeDocument/2006/relationships" ref="S4459" r:id="rId4458"/>
    <hyperlink xmlns:r="http://schemas.openxmlformats.org/officeDocument/2006/relationships" ref="S4460" r:id="rId4459"/>
    <hyperlink xmlns:r="http://schemas.openxmlformats.org/officeDocument/2006/relationships" ref="S4461" r:id="rId4460"/>
    <hyperlink xmlns:r="http://schemas.openxmlformats.org/officeDocument/2006/relationships" ref="S4462" r:id="rId4461"/>
    <hyperlink xmlns:r="http://schemas.openxmlformats.org/officeDocument/2006/relationships" ref="S4463" r:id="rId4462"/>
    <hyperlink xmlns:r="http://schemas.openxmlformats.org/officeDocument/2006/relationships" ref="S4464" r:id="rId4463"/>
    <hyperlink xmlns:r="http://schemas.openxmlformats.org/officeDocument/2006/relationships" ref="S4465" r:id="rId4464"/>
    <hyperlink xmlns:r="http://schemas.openxmlformats.org/officeDocument/2006/relationships" ref="S4466" r:id="rId4465"/>
    <hyperlink xmlns:r="http://schemas.openxmlformats.org/officeDocument/2006/relationships" ref="S4467" r:id="rId4466"/>
    <hyperlink xmlns:r="http://schemas.openxmlformats.org/officeDocument/2006/relationships" ref="S4468" r:id="rId4467"/>
    <hyperlink xmlns:r="http://schemas.openxmlformats.org/officeDocument/2006/relationships" ref="S4469" r:id="rId4468"/>
    <hyperlink xmlns:r="http://schemas.openxmlformats.org/officeDocument/2006/relationships" ref="S4470" r:id="rId4469"/>
    <hyperlink xmlns:r="http://schemas.openxmlformats.org/officeDocument/2006/relationships" ref="S4471" r:id="rId4470"/>
    <hyperlink xmlns:r="http://schemas.openxmlformats.org/officeDocument/2006/relationships" ref="S4472" r:id="rId4471"/>
    <hyperlink xmlns:r="http://schemas.openxmlformats.org/officeDocument/2006/relationships" ref="S4473" r:id="rId4472"/>
    <hyperlink xmlns:r="http://schemas.openxmlformats.org/officeDocument/2006/relationships" ref="S4474" r:id="rId4473"/>
    <hyperlink xmlns:r="http://schemas.openxmlformats.org/officeDocument/2006/relationships" ref="S4475" r:id="rId4474"/>
    <hyperlink xmlns:r="http://schemas.openxmlformats.org/officeDocument/2006/relationships" ref="S4476" r:id="rId4475"/>
    <hyperlink xmlns:r="http://schemas.openxmlformats.org/officeDocument/2006/relationships" ref="S4477" r:id="rId4476"/>
    <hyperlink xmlns:r="http://schemas.openxmlformats.org/officeDocument/2006/relationships" ref="S4478" r:id="rId4477"/>
    <hyperlink xmlns:r="http://schemas.openxmlformats.org/officeDocument/2006/relationships" ref="S4479" r:id="rId4478"/>
    <hyperlink xmlns:r="http://schemas.openxmlformats.org/officeDocument/2006/relationships" ref="S4480" r:id="rId4479"/>
    <hyperlink xmlns:r="http://schemas.openxmlformats.org/officeDocument/2006/relationships" ref="S4481" r:id="rId4480"/>
    <hyperlink xmlns:r="http://schemas.openxmlformats.org/officeDocument/2006/relationships" ref="S4482" r:id="rId4481"/>
    <hyperlink xmlns:r="http://schemas.openxmlformats.org/officeDocument/2006/relationships" ref="S4483" r:id="rId4482"/>
    <hyperlink xmlns:r="http://schemas.openxmlformats.org/officeDocument/2006/relationships" ref="S4484" r:id="rId4483"/>
    <hyperlink xmlns:r="http://schemas.openxmlformats.org/officeDocument/2006/relationships" ref="S4485" r:id="rId4484"/>
    <hyperlink xmlns:r="http://schemas.openxmlformats.org/officeDocument/2006/relationships" ref="S4486" r:id="rId4485"/>
    <hyperlink xmlns:r="http://schemas.openxmlformats.org/officeDocument/2006/relationships" ref="S4487" r:id="rId4486"/>
    <hyperlink xmlns:r="http://schemas.openxmlformats.org/officeDocument/2006/relationships" ref="S4488" r:id="rId4487"/>
    <hyperlink xmlns:r="http://schemas.openxmlformats.org/officeDocument/2006/relationships" ref="S4489" r:id="rId4488"/>
    <hyperlink xmlns:r="http://schemas.openxmlformats.org/officeDocument/2006/relationships" ref="S4490" r:id="rId4489"/>
    <hyperlink xmlns:r="http://schemas.openxmlformats.org/officeDocument/2006/relationships" ref="S4491" r:id="rId4490"/>
    <hyperlink xmlns:r="http://schemas.openxmlformats.org/officeDocument/2006/relationships" ref="S4492" r:id="rId4491"/>
    <hyperlink xmlns:r="http://schemas.openxmlformats.org/officeDocument/2006/relationships" ref="S4493" r:id="rId4492"/>
    <hyperlink xmlns:r="http://schemas.openxmlformats.org/officeDocument/2006/relationships" ref="S4494" r:id="rId4493"/>
    <hyperlink xmlns:r="http://schemas.openxmlformats.org/officeDocument/2006/relationships" ref="S4495" r:id="rId4494"/>
    <hyperlink xmlns:r="http://schemas.openxmlformats.org/officeDocument/2006/relationships" ref="S4496" r:id="rId4495"/>
    <hyperlink xmlns:r="http://schemas.openxmlformats.org/officeDocument/2006/relationships" ref="S4497" r:id="rId4496"/>
    <hyperlink xmlns:r="http://schemas.openxmlformats.org/officeDocument/2006/relationships" ref="S4498" r:id="rId4497"/>
    <hyperlink xmlns:r="http://schemas.openxmlformats.org/officeDocument/2006/relationships" ref="S4499" r:id="rId4498"/>
    <hyperlink xmlns:r="http://schemas.openxmlformats.org/officeDocument/2006/relationships" ref="S4500" r:id="rId4499"/>
    <hyperlink xmlns:r="http://schemas.openxmlformats.org/officeDocument/2006/relationships" ref="S4501" r:id="rId4500"/>
    <hyperlink xmlns:r="http://schemas.openxmlformats.org/officeDocument/2006/relationships" ref="S4502" r:id="rId4501"/>
    <hyperlink xmlns:r="http://schemas.openxmlformats.org/officeDocument/2006/relationships" ref="S4503" r:id="rId4502"/>
    <hyperlink xmlns:r="http://schemas.openxmlformats.org/officeDocument/2006/relationships" ref="S4504" r:id="rId4503"/>
    <hyperlink xmlns:r="http://schemas.openxmlformats.org/officeDocument/2006/relationships" ref="S4505" r:id="rId4504"/>
    <hyperlink xmlns:r="http://schemas.openxmlformats.org/officeDocument/2006/relationships" ref="S4506" r:id="rId4505"/>
    <hyperlink xmlns:r="http://schemas.openxmlformats.org/officeDocument/2006/relationships" ref="S4507" r:id="rId4506"/>
    <hyperlink xmlns:r="http://schemas.openxmlformats.org/officeDocument/2006/relationships" ref="S4508" r:id="rId4507"/>
    <hyperlink xmlns:r="http://schemas.openxmlformats.org/officeDocument/2006/relationships" ref="S4509" r:id="rId4508"/>
    <hyperlink xmlns:r="http://schemas.openxmlformats.org/officeDocument/2006/relationships" ref="S4510" r:id="rId4509"/>
    <hyperlink xmlns:r="http://schemas.openxmlformats.org/officeDocument/2006/relationships" ref="S4511" r:id="rId4510"/>
    <hyperlink xmlns:r="http://schemas.openxmlformats.org/officeDocument/2006/relationships" ref="S4512" r:id="rId4511"/>
    <hyperlink xmlns:r="http://schemas.openxmlformats.org/officeDocument/2006/relationships" ref="S4513" r:id="rId4512"/>
    <hyperlink xmlns:r="http://schemas.openxmlformats.org/officeDocument/2006/relationships" ref="S4514" r:id="rId4513"/>
    <hyperlink xmlns:r="http://schemas.openxmlformats.org/officeDocument/2006/relationships" ref="S4515" r:id="rId4514"/>
    <hyperlink xmlns:r="http://schemas.openxmlformats.org/officeDocument/2006/relationships" ref="S4516" r:id="rId4515"/>
    <hyperlink xmlns:r="http://schemas.openxmlformats.org/officeDocument/2006/relationships" ref="S4517" r:id="rId4516"/>
    <hyperlink xmlns:r="http://schemas.openxmlformats.org/officeDocument/2006/relationships" ref="S4518" r:id="rId4517"/>
    <hyperlink xmlns:r="http://schemas.openxmlformats.org/officeDocument/2006/relationships" ref="S4519" r:id="rId4518"/>
    <hyperlink xmlns:r="http://schemas.openxmlformats.org/officeDocument/2006/relationships" ref="S4520" r:id="rId4519"/>
    <hyperlink xmlns:r="http://schemas.openxmlformats.org/officeDocument/2006/relationships" ref="S4521" r:id="rId4520"/>
    <hyperlink xmlns:r="http://schemas.openxmlformats.org/officeDocument/2006/relationships" ref="S4522" r:id="rId4521"/>
    <hyperlink xmlns:r="http://schemas.openxmlformats.org/officeDocument/2006/relationships" ref="S4523" r:id="rId4522"/>
    <hyperlink xmlns:r="http://schemas.openxmlformats.org/officeDocument/2006/relationships" ref="S4524" r:id="rId4523"/>
    <hyperlink xmlns:r="http://schemas.openxmlformats.org/officeDocument/2006/relationships" ref="S4525" r:id="rId4524"/>
    <hyperlink xmlns:r="http://schemas.openxmlformats.org/officeDocument/2006/relationships" ref="S4526" r:id="rId4525"/>
    <hyperlink xmlns:r="http://schemas.openxmlformats.org/officeDocument/2006/relationships" ref="S4527" r:id="rId4526"/>
    <hyperlink xmlns:r="http://schemas.openxmlformats.org/officeDocument/2006/relationships" ref="S4528" r:id="rId4527"/>
    <hyperlink xmlns:r="http://schemas.openxmlformats.org/officeDocument/2006/relationships" ref="S4529" r:id="rId4528"/>
    <hyperlink xmlns:r="http://schemas.openxmlformats.org/officeDocument/2006/relationships" ref="S4530" r:id="rId4529"/>
    <hyperlink xmlns:r="http://schemas.openxmlformats.org/officeDocument/2006/relationships" ref="S4531" r:id="rId4530"/>
    <hyperlink xmlns:r="http://schemas.openxmlformats.org/officeDocument/2006/relationships" ref="S4532" r:id="rId4531"/>
    <hyperlink xmlns:r="http://schemas.openxmlformats.org/officeDocument/2006/relationships" ref="S4533" r:id="rId4532"/>
    <hyperlink xmlns:r="http://schemas.openxmlformats.org/officeDocument/2006/relationships" ref="S4534" r:id="rId4533"/>
    <hyperlink xmlns:r="http://schemas.openxmlformats.org/officeDocument/2006/relationships" ref="S4535" r:id="rId4534"/>
    <hyperlink xmlns:r="http://schemas.openxmlformats.org/officeDocument/2006/relationships" ref="S4536" r:id="rId4535"/>
    <hyperlink xmlns:r="http://schemas.openxmlformats.org/officeDocument/2006/relationships" ref="S4537" r:id="rId4536"/>
    <hyperlink xmlns:r="http://schemas.openxmlformats.org/officeDocument/2006/relationships" ref="S4538" r:id="rId4537"/>
    <hyperlink xmlns:r="http://schemas.openxmlformats.org/officeDocument/2006/relationships" ref="S4539" r:id="rId4538"/>
    <hyperlink xmlns:r="http://schemas.openxmlformats.org/officeDocument/2006/relationships" ref="S4540" r:id="rId4539"/>
    <hyperlink xmlns:r="http://schemas.openxmlformats.org/officeDocument/2006/relationships" ref="S4541" r:id="rId4540"/>
    <hyperlink xmlns:r="http://schemas.openxmlformats.org/officeDocument/2006/relationships" ref="S4542" r:id="rId4541"/>
    <hyperlink xmlns:r="http://schemas.openxmlformats.org/officeDocument/2006/relationships" ref="S4543" r:id="rId4542"/>
    <hyperlink xmlns:r="http://schemas.openxmlformats.org/officeDocument/2006/relationships" ref="S4544" r:id="rId4543"/>
    <hyperlink xmlns:r="http://schemas.openxmlformats.org/officeDocument/2006/relationships" ref="S4545" r:id="rId4544"/>
    <hyperlink xmlns:r="http://schemas.openxmlformats.org/officeDocument/2006/relationships" ref="S4546" r:id="rId4545"/>
    <hyperlink xmlns:r="http://schemas.openxmlformats.org/officeDocument/2006/relationships" ref="S4547" r:id="rId4546"/>
    <hyperlink xmlns:r="http://schemas.openxmlformats.org/officeDocument/2006/relationships" ref="S4548" r:id="rId4547"/>
    <hyperlink xmlns:r="http://schemas.openxmlformats.org/officeDocument/2006/relationships" ref="S4549" r:id="rId4548"/>
    <hyperlink xmlns:r="http://schemas.openxmlformats.org/officeDocument/2006/relationships" ref="S4550" r:id="rId4549"/>
    <hyperlink xmlns:r="http://schemas.openxmlformats.org/officeDocument/2006/relationships" ref="S4551" r:id="rId4550"/>
    <hyperlink xmlns:r="http://schemas.openxmlformats.org/officeDocument/2006/relationships" ref="S4552" r:id="rId4551"/>
    <hyperlink xmlns:r="http://schemas.openxmlformats.org/officeDocument/2006/relationships" ref="S4553" r:id="rId4552"/>
    <hyperlink xmlns:r="http://schemas.openxmlformats.org/officeDocument/2006/relationships" ref="S4554" r:id="rId4553"/>
    <hyperlink xmlns:r="http://schemas.openxmlformats.org/officeDocument/2006/relationships" ref="S4555" r:id="rId4554"/>
    <hyperlink xmlns:r="http://schemas.openxmlformats.org/officeDocument/2006/relationships" ref="S4556" r:id="rId4555"/>
    <hyperlink xmlns:r="http://schemas.openxmlformats.org/officeDocument/2006/relationships" ref="S4557" r:id="rId4556"/>
    <hyperlink xmlns:r="http://schemas.openxmlformats.org/officeDocument/2006/relationships" ref="S4558" r:id="rId4557"/>
    <hyperlink xmlns:r="http://schemas.openxmlformats.org/officeDocument/2006/relationships" ref="S4559" r:id="rId4558"/>
    <hyperlink xmlns:r="http://schemas.openxmlformats.org/officeDocument/2006/relationships" ref="S4560" r:id="rId4559"/>
    <hyperlink xmlns:r="http://schemas.openxmlformats.org/officeDocument/2006/relationships" ref="S4561" r:id="rId4560"/>
    <hyperlink xmlns:r="http://schemas.openxmlformats.org/officeDocument/2006/relationships" ref="S4562" r:id="rId4561"/>
    <hyperlink xmlns:r="http://schemas.openxmlformats.org/officeDocument/2006/relationships" ref="S4563" r:id="rId4562"/>
    <hyperlink xmlns:r="http://schemas.openxmlformats.org/officeDocument/2006/relationships" ref="S4564" r:id="rId4563"/>
    <hyperlink xmlns:r="http://schemas.openxmlformats.org/officeDocument/2006/relationships" ref="S4565" r:id="rId4564"/>
    <hyperlink xmlns:r="http://schemas.openxmlformats.org/officeDocument/2006/relationships" ref="S4566" r:id="rId4565"/>
    <hyperlink xmlns:r="http://schemas.openxmlformats.org/officeDocument/2006/relationships" ref="S4567" r:id="rId4566"/>
    <hyperlink xmlns:r="http://schemas.openxmlformats.org/officeDocument/2006/relationships" ref="S4568" r:id="rId4567"/>
    <hyperlink xmlns:r="http://schemas.openxmlformats.org/officeDocument/2006/relationships" ref="S4569" r:id="rId4568"/>
    <hyperlink xmlns:r="http://schemas.openxmlformats.org/officeDocument/2006/relationships" ref="S4570" r:id="rId4569"/>
    <hyperlink xmlns:r="http://schemas.openxmlformats.org/officeDocument/2006/relationships" ref="S4571" r:id="rId4570"/>
    <hyperlink xmlns:r="http://schemas.openxmlformats.org/officeDocument/2006/relationships" ref="S4572" r:id="rId4571"/>
    <hyperlink xmlns:r="http://schemas.openxmlformats.org/officeDocument/2006/relationships" ref="S4573" r:id="rId4572"/>
    <hyperlink xmlns:r="http://schemas.openxmlformats.org/officeDocument/2006/relationships" ref="S4574" r:id="rId4573"/>
    <hyperlink xmlns:r="http://schemas.openxmlformats.org/officeDocument/2006/relationships" ref="S4575" r:id="rId4574"/>
    <hyperlink xmlns:r="http://schemas.openxmlformats.org/officeDocument/2006/relationships" ref="S4576" r:id="rId4575"/>
    <hyperlink xmlns:r="http://schemas.openxmlformats.org/officeDocument/2006/relationships" ref="S4577" r:id="rId4576"/>
    <hyperlink xmlns:r="http://schemas.openxmlformats.org/officeDocument/2006/relationships" ref="S4578" r:id="rId4577"/>
    <hyperlink xmlns:r="http://schemas.openxmlformats.org/officeDocument/2006/relationships" ref="S4579" r:id="rId4578"/>
    <hyperlink xmlns:r="http://schemas.openxmlformats.org/officeDocument/2006/relationships" ref="S4580" r:id="rId4579"/>
    <hyperlink xmlns:r="http://schemas.openxmlformats.org/officeDocument/2006/relationships" ref="S4581" r:id="rId4580"/>
    <hyperlink xmlns:r="http://schemas.openxmlformats.org/officeDocument/2006/relationships" ref="S4582" r:id="rId4581"/>
    <hyperlink xmlns:r="http://schemas.openxmlformats.org/officeDocument/2006/relationships" ref="S4583" r:id="rId4582"/>
    <hyperlink xmlns:r="http://schemas.openxmlformats.org/officeDocument/2006/relationships" ref="S4584" r:id="rId4583"/>
    <hyperlink xmlns:r="http://schemas.openxmlformats.org/officeDocument/2006/relationships" ref="S4585" r:id="rId4584"/>
    <hyperlink xmlns:r="http://schemas.openxmlformats.org/officeDocument/2006/relationships" ref="S4586" r:id="rId4585"/>
    <hyperlink xmlns:r="http://schemas.openxmlformats.org/officeDocument/2006/relationships" ref="S4587" r:id="rId4586"/>
    <hyperlink xmlns:r="http://schemas.openxmlformats.org/officeDocument/2006/relationships" ref="S4588" r:id="rId4587"/>
    <hyperlink xmlns:r="http://schemas.openxmlformats.org/officeDocument/2006/relationships" ref="S4589" r:id="rId4588"/>
    <hyperlink xmlns:r="http://schemas.openxmlformats.org/officeDocument/2006/relationships" ref="S4590" r:id="rId4589"/>
    <hyperlink xmlns:r="http://schemas.openxmlformats.org/officeDocument/2006/relationships" ref="S4591" r:id="rId4590"/>
    <hyperlink xmlns:r="http://schemas.openxmlformats.org/officeDocument/2006/relationships" ref="S4592" r:id="rId4591"/>
    <hyperlink xmlns:r="http://schemas.openxmlformats.org/officeDocument/2006/relationships" ref="S4593" r:id="rId4592"/>
    <hyperlink xmlns:r="http://schemas.openxmlformats.org/officeDocument/2006/relationships" ref="S4594" r:id="rId4593"/>
    <hyperlink xmlns:r="http://schemas.openxmlformats.org/officeDocument/2006/relationships" ref="S4595" r:id="rId4594"/>
    <hyperlink xmlns:r="http://schemas.openxmlformats.org/officeDocument/2006/relationships" ref="S4596" r:id="rId4595"/>
    <hyperlink xmlns:r="http://schemas.openxmlformats.org/officeDocument/2006/relationships" ref="S4597" r:id="rId4596"/>
    <hyperlink xmlns:r="http://schemas.openxmlformats.org/officeDocument/2006/relationships" ref="S4598" r:id="rId4597"/>
    <hyperlink xmlns:r="http://schemas.openxmlformats.org/officeDocument/2006/relationships" ref="S4599" r:id="rId4598"/>
    <hyperlink xmlns:r="http://schemas.openxmlformats.org/officeDocument/2006/relationships" ref="S4600" r:id="rId4599"/>
    <hyperlink xmlns:r="http://schemas.openxmlformats.org/officeDocument/2006/relationships" ref="S4601" r:id="rId4600"/>
    <hyperlink xmlns:r="http://schemas.openxmlformats.org/officeDocument/2006/relationships" ref="S4602" r:id="rId4601"/>
    <hyperlink xmlns:r="http://schemas.openxmlformats.org/officeDocument/2006/relationships" ref="S4603" r:id="rId4602"/>
    <hyperlink xmlns:r="http://schemas.openxmlformats.org/officeDocument/2006/relationships" ref="S4604" r:id="rId4603"/>
    <hyperlink xmlns:r="http://schemas.openxmlformats.org/officeDocument/2006/relationships" ref="S4605" r:id="rId4604"/>
    <hyperlink xmlns:r="http://schemas.openxmlformats.org/officeDocument/2006/relationships" ref="S4606" r:id="rId4605"/>
    <hyperlink xmlns:r="http://schemas.openxmlformats.org/officeDocument/2006/relationships" ref="S4607" r:id="rId4606"/>
    <hyperlink xmlns:r="http://schemas.openxmlformats.org/officeDocument/2006/relationships" ref="S4608" r:id="rId4607"/>
    <hyperlink xmlns:r="http://schemas.openxmlformats.org/officeDocument/2006/relationships" ref="S4609" r:id="rId4608"/>
    <hyperlink xmlns:r="http://schemas.openxmlformats.org/officeDocument/2006/relationships" ref="S4610" r:id="rId4609"/>
    <hyperlink xmlns:r="http://schemas.openxmlformats.org/officeDocument/2006/relationships" ref="S4611" r:id="rId4610"/>
    <hyperlink xmlns:r="http://schemas.openxmlformats.org/officeDocument/2006/relationships" ref="S4612" r:id="rId4611"/>
    <hyperlink xmlns:r="http://schemas.openxmlformats.org/officeDocument/2006/relationships" ref="S4613" r:id="rId4612"/>
    <hyperlink xmlns:r="http://schemas.openxmlformats.org/officeDocument/2006/relationships" ref="S4614" r:id="rId4613"/>
    <hyperlink xmlns:r="http://schemas.openxmlformats.org/officeDocument/2006/relationships" ref="S4615" r:id="rId4614"/>
    <hyperlink xmlns:r="http://schemas.openxmlformats.org/officeDocument/2006/relationships" ref="S4616" r:id="rId4615"/>
    <hyperlink xmlns:r="http://schemas.openxmlformats.org/officeDocument/2006/relationships" ref="S4617" r:id="rId4616"/>
    <hyperlink xmlns:r="http://schemas.openxmlformats.org/officeDocument/2006/relationships" ref="S4618" r:id="rId4617"/>
    <hyperlink xmlns:r="http://schemas.openxmlformats.org/officeDocument/2006/relationships" ref="S4619" r:id="rId4618"/>
    <hyperlink xmlns:r="http://schemas.openxmlformats.org/officeDocument/2006/relationships" ref="S4620" r:id="rId4619"/>
    <hyperlink xmlns:r="http://schemas.openxmlformats.org/officeDocument/2006/relationships" ref="S4621" r:id="rId4620"/>
    <hyperlink xmlns:r="http://schemas.openxmlformats.org/officeDocument/2006/relationships" ref="S4622" r:id="rId4621"/>
    <hyperlink xmlns:r="http://schemas.openxmlformats.org/officeDocument/2006/relationships" ref="S4623" r:id="rId4622"/>
    <hyperlink xmlns:r="http://schemas.openxmlformats.org/officeDocument/2006/relationships" ref="S4624" r:id="rId4623"/>
    <hyperlink xmlns:r="http://schemas.openxmlformats.org/officeDocument/2006/relationships" ref="S4625" r:id="rId4624"/>
    <hyperlink xmlns:r="http://schemas.openxmlformats.org/officeDocument/2006/relationships" ref="S4626" r:id="rId4625"/>
    <hyperlink xmlns:r="http://schemas.openxmlformats.org/officeDocument/2006/relationships" ref="S4627" r:id="rId4626"/>
    <hyperlink xmlns:r="http://schemas.openxmlformats.org/officeDocument/2006/relationships" ref="S4628" r:id="rId4627"/>
    <hyperlink xmlns:r="http://schemas.openxmlformats.org/officeDocument/2006/relationships" ref="S4629" r:id="rId4628"/>
    <hyperlink xmlns:r="http://schemas.openxmlformats.org/officeDocument/2006/relationships" ref="S4630" r:id="rId4629"/>
    <hyperlink xmlns:r="http://schemas.openxmlformats.org/officeDocument/2006/relationships" ref="S4631" r:id="rId4630"/>
    <hyperlink xmlns:r="http://schemas.openxmlformats.org/officeDocument/2006/relationships" ref="S4632" r:id="rId4631"/>
    <hyperlink xmlns:r="http://schemas.openxmlformats.org/officeDocument/2006/relationships" ref="S4633" r:id="rId4632"/>
    <hyperlink xmlns:r="http://schemas.openxmlformats.org/officeDocument/2006/relationships" ref="S4634" r:id="rId4633"/>
    <hyperlink xmlns:r="http://schemas.openxmlformats.org/officeDocument/2006/relationships" ref="S4635" r:id="rId4634"/>
    <hyperlink xmlns:r="http://schemas.openxmlformats.org/officeDocument/2006/relationships" ref="S4636" r:id="rId4635"/>
    <hyperlink xmlns:r="http://schemas.openxmlformats.org/officeDocument/2006/relationships" ref="S4637" r:id="rId4636"/>
    <hyperlink xmlns:r="http://schemas.openxmlformats.org/officeDocument/2006/relationships" ref="S4638" r:id="rId4637"/>
    <hyperlink xmlns:r="http://schemas.openxmlformats.org/officeDocument/2006/relationships" ref="S4639" r:id="rId4638"/>
    <hyperlink xmlns:r="http://schemas.openxmlformats.org/officeDocument/2006/relationships" ref="S4640" r:id="rId4639"/>
    <hyperlink xmlns:r="http://schemas.openxmlformats.org/officeDocument/2006/relationships" ref="S4641" r:id="rId4640"/>
    <hyperlink xmlns:r="http://schemas.openxmlformats.org/officeDocument/2006/relationships" ref="S4642" r:id="rId4641"/>
    <hyperlink xmlns:r="http://schemas.openxmlformats.org/officeDocument/2006/relationships" ref="S4643" r:id="rId4642"/>
    <hyperlink xmlns:r="http://schemas.openxmlformats.org/officeDocument/2006/relationships" ref="S4644" r:id="rId4643"/>
    <hyperlink xmlns:r="http://schemas.openxmlformats.org/officeDocument/2006/relationships" ref="S4645" r:id="rId4644"/>
    <hyperlink xmlns:r="http://schemas.openxmlformats.org/officeDocument/2006/relationships" ref="S4646" r:id="rId4645"/>
    <hyperlink xmlns:r="http://schemas.openxmlformats.org/officeDocument/2006/relationships" ref="S4647" r:id="rId4646"/>
    <hyperlink xmlns:r="http://schemas.openxmlformats.org/officeDocument/2006/relationships" ref="S4648" r:id="rId4647"/>
    <hyperlink xmlns:r="http://schemas.openxmlformats.org/officeDocument/2006/relationships" ref="S4649" r:id="rId4648"/>
    <hyperlink xmlns:r="http://schemas.openxmlformats.org/officeDocument/2006/relationships" ref="S4650" r:id="rId4649"/>
    <hyperlink xmlns:r="http://schemas.openxmlformats.org/officeDocument/2006/relationships" ref="S4651" r:id="rId4650"/>
    <hyperlink xmlns:r="http://schemas.openxmlformats.org/officeDocument/2006/relationships" ref="S4652" r:id="rId4651"/>
    <hyperlink xmlns:r="http://schemas.openxmlformats.org/officeDocument/2006/relationships" ref="S4653" r:id="rId4652"/>
    <hyperlink xmlns:r="http://schemas.openxmlformats.org/officeDocument/2006/relationships" ref="S4654" r:id="rId4653"/>
    <hyperlink xmlns:r="http://schemas.openxmlformats.org/officeDocument/2006/relationships" ref="S4655" r:id="rId4654"/>
    <hyperlink xmlns:r="http://schemas.openxmlformats.org/officeDocument/2006/relationships" ref="S4656" r:id="rId4655"/>
    <hyperlink xmlns:r="http://schemas.openxmlformats.org/officeDocument/2006/relationships" ref="S4657" r:id="rId4656"/>
    <hyperlink xmlns:r="http://schemas.openxmlformats.org/officeDocument/2006/relationships" ref="S4658" r:id="rId4657"/>
    <hyperlink xmlns:r="http://schemas.openxmlformats.org/officeDocument/2006/relationships" ref="S4659" r:id="rId4658"/>
    <hyperlink xmlns:r="http://schemas.openxmlformats.org/officeDocument/2006/relationships" ref="S4660" r:id="rId4659"/>
    <hyperlink xmlns:r="http://schemas.openxmlformats.org/officeDocument/2006/relationships" ref="S4661" r:id="rId4660"/>
    <hyperlink xmlns:r="http://schemas.openxmlformats.org/officeDocument/2006/relationships" ref="S4662" r:id="rId4661"/>
    <hyperlink xmlns:r="http://schemas.openxmlformats.org/officeDocument/2006/relationships" ref="S4663" r:id="rId4662"/>
    <hyperlink xmlns:r="http://schemas.openxmlformats.org/officeDocument/2006/relationships" ref="S4664" r:id="rId4663"/>
    <hyperlink xmlns:r="http://schemas.openxmlformats.org/officeDocument/2006/relationships" ref="S4665" r:id="rId4664"/>
    <hyperlink xmlns:r="http://schemas.openxmlformats.org/officeDocument/2006/relationships" ref="S4666" r:id="rId4665"/>
    <hyperlink xmlns:r="http://schemas.openxmlformats.org/officeDocument/2006/relationships" ref="S4667" r:id="rId4666"/>
    <hyperlink xmlns:r="http://schemas.openxmlformats.org/officeDocument/2006/relationships" ref="S4668" r:id="rId4667"/>
    <hyperlink xmlns:r="http://schemas.openxmlformats.org/officeDocument/2006/relationships" ref="S4669" r:id="rId4668"/>
    <hyperlink xmlns:r="http://schemas.openxmlformats.org/officeDocument/2006/relationships" ref="S4670" r:id="rId4669"/>
    <hyperlink xmlns:r="http://schemas.openxmlformats.org/officeDocument/2006/relationships" ref="S4671" r:id="rId4670"/>
    <hyperlink xmlns:r="http://schemas.openxmlformats.org/officeDocument/2006/relationships" ref="S4672" r:id="rId4671"/>
    <hyperlink xmlns:r="http://schemas.openxmlformats.org/officeDocument/2006/relationships" ref="S4673" r:id="rId4672"/>
    <hyperlink xmlns:r="http://schemas.openxmlformats.org/officeDocument/2006/relationships" ref="S4674" r:id="rId4673"/>
    <hyperlink xmlns:r="http://schemas.openxmlformats.org/officeDocument/2006/relationships" ref="S4675" r:id="rId4674"/>
    <hyperlink xmlns:r="http://schemas.openxmlformats.org/officeDocument/2006/relationships" ref="S4676" r:id="rId4675"/>
    <hyperlink xmlns:r="http://schemas.openxmlformats.org/officeDocument/2006/relationships" ref="S4677" r:id="rId4676"/>
    <hyperlink xmlns:r="http://schemas.openxmlformats.org/officeDocument/2006/relationships" ref="S4678" r:id="rId4677"/>
    <hyperlink xmlns:r="http://schemas.openxmlformats.org/officeDocument/2006/relationships" ref="S4679" r:id="rId4678"/>
    <hyperlink xmlns:r="http://schemas.openxmlformats.org/officeDocument/2006/relationships" ref="S4680" r:id="rId4679"/>
    <hyperlink xmlns:r="http://schemas.openxmlformats.org/officeDocument/2006/relationships" ref="S4681" r:id="rId4680"/>
    <hyperlink xmlns:r="http://schemas.openxmlformats.org/officeDocument/2006/relationships" ref="S4682" r:id="rId4681"/>
    <hyperlink xmlns:r="http://schemas.openxmlformats.org/officeDocument/2006/relationships" ref="S4683" r:id="rId4682"/>
    <hyperlink xmlns:r="http://schemas.openxmlformats.org/officeDocument/2006/relationships" ref="S4684" r:id="rId4683"/>
    <hyperlink xmlns:r="http://schemas.openxmlformats.org/officeDocument/2006/relationships" ref="S4685" r:id="rId4684"/>
    <hyperlink xmlns:r="http://schemas.openxmlformats.org/officeDocument/2006/relationships" ref="S4686" r:id="rId4685"/>
    <hyperlink xmlns:r="http://schemas.openxmlformats.org/officeDocument/2006/relationships" ref="S4687" r:id="rId4686"/>
    <hyperlink xmlns:r="http://schemas.openxmlformats.org/officeDocument/2006/relationships" ref="S4688" r:id="rId4687"/>
    <hyperlink xmlns:r="http://schemas.openxmlformats.org/officeDocument/2006/relationships" ref="S4689" r:id="rId4688"/>
    <hyperlink xmlns:r="http://schemas.openxmlformats.org/officeDocument/2006/relationships" ref="S4690" r:id="rId4689"/>
    <hyperlink xmlns:r="http://schemas.openxmlformats.org/officeDocument/2006/relationships" ref="S4691" r:id="rId4690"/>
    <hyperlink xmlns:r="http://schemas.openxmlformats.org/officeDocument/2006/relationships" ref="S4692" r:id="rId4691"/>
    <hyperlink xmlns:r="http://schemas.openxmlformats.org/officeDocument/2006/relationships" ref="S4693" r:id="rId4692"/>
    <hyperlink xmlns:r="http://schemas.openxmlformats.org/officeDocument/2006/relationships" ref="S4694" r:id="rId4693"/>
    <hyperlink xmlns:r="http://schemas.openxmlformats.org/officeDocument/2006/relationships" ref="S4695" r:id="rId4694"/>
    <hyperlink xmlns:r="http://schemas.openxmlformats.org/officeDocument/2006/relationships" ref="S4696" r:id="rId4695"/>
    <hyperlink xmlns:r="http://schemas.openxmlformats.org/officeDocument/2006/relationships" ref="S4697" r:id="rId4696"/>
    <hyperlink xmlns:r="http://schemas.openxmlformats.org/officeDocument/2006/relationships" ref="S4698" r:id="rId4697"/>
    <hyperlink xmlns:r="http://schemas.openxmlformats.org/officeDocument/2006/relationships" ref="S4699" r:id="rId4698"/>
    <hyperlink xmlns:r="http://schemas.openxmlformats.org/officeDocument/2006/relationships" ref="S4700" r:id="rId4699"/>
    <hyperlink xmlns:r="http://schemas.openxmlformats.org/officeDocument/2006/relationships" ref="S4701" r:id="rId4700"/>
    <hyperlink xmlns:r="http://schemas.openxmlformats.org/officeDocument/2006/relationships" ref="S4702" r:id="rId4701"/>
    <hyperlink xmlns:r="http://schemas.openxmlformats.org/officeDocument/2006/relationships" ref="S4703" r:id="rId4702"/>
    <hyperlink xmlns:r="http://schemas.openxmlformats.org/officeDocument/2006/relationships" ref="S4704" r:id="rId4703"/>
    <hyperlink xmlns:r="http://schemas.openxmlformats.org/officeDocument/2006/relationships" ref="S4705" r:id="rId4704"/>
    <hyperlink xmlns:r="http://schemas.openxmlformats.org/officeDocument/2006/relationships" ref="S4706" r:id="rId4705"/>
    <hyperlink xmlns:r="http://schemas.openxmlformats.org/officeDocument/2006/relationships" ref="S4707" r:id="rId4706"/>
    <hyperlink xmlns:r="http://schemas.openxmlformats.org/officeDocument/2006/relationships" ref="S4708" r:id="rId4707"/>
    <hyperlink xmlns:r="http://schemas.openxmlformats.org/officeDocument/2006/relationships" ref="S4709" r:id="rId4708"/>
    <hyperlink xmlns:r="http://schemas.openxmlformats.org/officeDocument/2006/relationships" ref="S4710" r:id="rId4709"/>
    <hyperlink xmlns:r="http://schemas.openxmlformats.org/officeDocument/2006/relationships" ref="S4711" r:id="rId4710"/>
    <hyperlink xmlns:r="http://schemas.openxmlformats.org/officeDocument/2006/relationships" ref="S4712" r:id="rId4711"/>
    <hyperlink xmlns:r="http://schemas.openxmlformats.org/officeDocument/2006/relationships" ref="S4713" r:id="rId4712"/>
    <hyperlink xmlns:r="http://schemas.openxmlformats.org/officeDocument/2006/relationships" ref="S4714" r:id="rId4713"/>
    <hyperlink xmlns:r="http://schemas.openxmlformats.org/officeDocument/2006/relationships" ref="S4715" r:id="rId4714"/>
    <hyperlink xmlns:r="http://schemas.openxmlformats.org/officeDocument/2006/relationships" ref="S4716" r:id="rId4715"/>
    <hyperlink xmlns:r="http://schemas.openxmlformats.org/officeDocument/2006/relationships" ref="S4717" r:id="rId4716"/>
    <hyperlink xmlns:r="http://schemas.openxmlformats.org/officeDocument/2006/relationships" ref="S4718" r:id="rId4717"/>
    <hyperlink xmlns:r="http://schemas.openxmlformats.org/officeDocument/2006/relationships" ref="S4719" r:id="rId4718"/>
    <hyperlink xmlns:r="http://schemas.openxmlformats.org/officeDocument/2006/relationships" ref="S4720" r:id="rId4719"/>
    <hyperlink xmlns:r="http://schemas.openxmlformats.org/officeDocument/2006/relationships" ref="S4721" r:id="rId4720"/>
    <hyperlink xmlns:r="http://schemas.openxmlformats.org/officeDocument/2006/relationships" ref="S4722" r:id="rId4721"/>
    <hyperlink xmlns:r="http://schemas.openxmlformats.org/officeDocument/2006/relationships" ref="S4723" r:id="rId4722"/>
    <hyperlink xmlns:r="http://schemas.openxmlformats.org/officeDocument/2006/relationships" ref="S4724" r:id="rId4723"/>
    <hyperlink xmlns:r="http://schemas.openxmlformats.org/officeDocument/2006/relationships" ref="S4725" r:id="rId4724"/>
    <hyperlink xmlns:r="http://schemas.openxmlformats.org/officeDocument/2006/relationships" ref="S4726" r:id="rId4725"/>
    <hyperlink xmlns:r="http://schemas.openxmlformats.org/officeDocument/2006/relationships" ref="S4727" r:id="rId4726"/>
    <hyperlink xmlns:r="http://schemas.openxmlformats.org/officeDocument/2006/relationships" ref="S4728" r:id="rId4727"/>
    <hyperlink xmlns:r="http://schemas.openxmlformats.org/officeDocument/2006/relationships" ref="S4729" r:id="rId4728"/>
    <hyperlink xmlns:r="http://schemas.openxmlformats.org/officeDocument/2006/relationships" ref="S4730" r:id="rId4729"/>
    <hyperlink xmlns:r="http://schemas.openxmlformats.org/officeDocument/2006/relationships" ref="S4731" r:id="rId4730"/>
    <hyperlink xmlns:r="http://schemas.openxmlformats.org/officeDocument/2006/relationships" ref="S4732" r:id="rId4731"/>
    <hyperlink xmlns:r="http://schemas.openxmlformats.org/officeDocument/2006/relationships" ref="S4733" r:id="rId4732"/>
    <hyperlink xmlns:r="http://schemas.openxmlformats.org/officeDocument/2006/relationships" ref="S4734" r:id="rId4733"/>
    <hyperlink xmlns:r="http://schemas.openxmlformats.org/officeDocument/2006/relationships" ref="S4735" r:id="rId4734"/>
    <hyperlink xmlns:r="http://schemas.openxmlformats.org/officeDocument/2006/relationships" ref="S4736" r:id="rId4735"/>
    <hyperlink xmlns:r="http://schemas.openxmlformats.org/officeDocument/2006/relationships" ref="S4737" r:id="rId4736"/>
    <hyperlink xmlns:r="http://schemas.openxmlformats.org/officeDocument/2006/relationships" ref="S4738" r:id="rId4737"/>
    <hyperlink xmlns:r="http://schemas.openxmlformats.org/officeDocument/2006/relationships" ref="S4739" r:id="rId4738"/>
    <hyperlink xmlns:r="http://schemas.openxmlformats.org/officeDocument/2006/relationships" ref="S4740" r:id="rId4739"/>
    <hyperlink xmlns:r="http://schemas.openxmlformats.org/officeDocument/2006/relationships" ref="S4741" r:id="rId4740"/>
    <hyperlink xmlns:r="http://schemas.openxmlformats.org/officeDocument/2006/relationships" ref="S4742" r:id="rId4741"/>
    <hyperlink xmlns:r="http://schemas.openxmlformats.org/officeDocument/2006/relationships" ref="S4743" r:id="rId4742"/>
    <hyperlink xmlns:r="http://schemas.openxmlformats.org/officeDocument/2006/relationships" ref="S4744" r:id="rId4743"/>
    <hyperlink xmlns:r="http://schemas.openxmlformats.org/officeDocument/2006/relationships" ref="S4745" r:id="rId4744"/>
    <hyperlink xmlns:r="http://schemas.openxmlformats.org/officeDocument/2006/relationships" ref="S4746" r:id="rId4745"/>
    <hyperlink xmlns:r="http://schemas.openxmlformats.org/officeDocument/2006/relationships" ref="S4747" r:id="rId4746"/>
    <hyperlink xmlns:r="http://schemas.openxmlformats.org/officeDocument/2006/relationships" ref="S4748" r:id="rId4747"/>
    <hyperlink xmlns:r="http://schemas.openxmlformats.org/officeDocument/2006/relationships" ref="S4749" r:id="rId4748"/>
    <hyperlink xmlns:r="http://schemas.openxmlformats.org/officeDocument/2006/relationships" ref="S4750" r:id="rId4749"/>
    <hyperlink xmlns:r="http://schemas.openxmlformats.org/officeDocument/2006/relationships" ref="S4751" r:id="rId4750"/>
    <hyperlink xmlns:r="http://schemas.openxmlformats.org/officeDocument/2006/relationships" ref="S4752" r:id="rId4751"/>
    <hyperlink xmlns:r="http://schemas.openxmlformats.org/officeDocument/2006/relationships" ref="S4753" r:id="rId4752"/>
    <hyperlink xmlns:r="http://schemas.openxmlformats.org/officeDocument/2006/relationships" ref="S4754" r:id="rId4753"/>
    <hyperlink xmlns:r="http://schemas.openxmlformats.org/officeDocument/2006/relationships" ref="S4755" r:id="rId4754"/>
    <hyperlink xmlns:r="http://schemas.openxmlformats.org/officeDocument/2006/relationships" ref="S4756" r:id="rId4755"/>
    <hyperlink xmlns:r="http://schemas.openxmlformats.org/officeDocument/2006/relationships" ref="S4757" r:id="rId4756"/>
    <hyperlink xmlns:r="http://schemas.openxmlformats.org/officeDocument/2006/relationships" ref="S4758" r:id="rId4757"/>
    <hyperlink xmlns:r="http://schemas.openxmlformats.org/officeDocument/2006/relationships" ref="S4759" r:id="rId4758"/>
    <hyperlink xmlns:r="http://schemas.openxmlformats.org/officeDocument/2006/relationships" ref="S4760" r:id="rId4759"/>
    <hyperlink xmlns:r="http://schemas.openxmlformats.org/officeDocument/2006/relationships" ref="S4761" r:id="rId4760"/>
    <hyperlink xmlns:r="http://schemas.openxmlformats.org/officeDocument/2006/relationships" ref="S4762" r:id="rId4761"/>
    <hyperlink xmlns:r="http://schemas.openxmlformats.org/officeDocument/2006/relationships" ref="S4763" r:id="rId4762"/>
    <hyperlink xmlns:r="http://schemas.openxmlformats.org/officeDocument/2006/relationships" ref="S4764" r:id="rId4763"/>
    <hyperlink xmlns:r="http://schemas.openxmlformats.org/officeDocument/2006/relationships" ref="S4765" r:id="rId4764"/>
    <hyperlink xmlns:r="http://schemas.openxmlformats.org/officeDocument/2006/relationships" ref="S4766" r:id="rId4765"/>
    <hyperlink xmlns:r="http://schemas.openxmlformats.org/officeDocument/2006/relationships" ref="S4767" r:id="rId4766"/>
    <hyperlink xmlns:r="http://schemas.openxmlformats.org/officeDocument/2006/relationships" ref="S4768" r:id="rId4767"/>
    <hyperlink xmlns:r="http://schemas.openxmlformats.org/officeDocument/2006/relationships" ref="S4769" r:id="rId4768"/>
    <hyperlink xmlns:r="http://schemas.openxmlformats.org/officeDocument/2006/relationships" ref="S4770" r:id="rId4769"/>
    <hyperlink xmlns:r="http://schemas.openxmlformats.org/officeDocument/2006/relationships" ref="S4771" r:id="rId4770"/>
    <hyperlink xmlns:r="http://schemas.openxmlformats.org/officeDocument/2006/relationships" ref="S4772" r:id="rId4771"/>
    <hyperlink xmlns:r="http://schemas.openxmlformats.org/officeDocument/2006/relationships" ref="S4773" r:id="rId4772"/>
    <hyperlink xmlns:r="http://schemas.openxmlformats.org/officeDocument/2006/relationships" ref="S4774" r:id="rId4773"/>
    <hyperlink xmlns:r="http://schemas.openxmlformats.org/officeDocument/2006/relationships" ref="S4775" r:id="rId4774"/>
    <hyperlink xmlns:r="http://schemas.openxmlformats.org/officeDocument/2006/relationships" ref="S4776" r:id="rId4775"/>
    <hyperlink xmlns:r="http://schemas.openxmlformats.org/officeDocument/2006/relationships" ref="S4777" r:id="rId4776"/>
    <hyperlink xmlns:r="http://schemas.openxmlformats.org/officeDocument/2006/relationships" ref="S4778" r:id="rId4777"/>
    <hyperlink xmlns:r="http://schemas.openxmlformats.org/officeDocument/2006/relationships" ref="S4779" r:id="rId4778"/>
    <hyperlink xmlns:r="http://schemas.openxmlformats.org/officeDocument/2006/relationships" ref="S4780" r:id="rId4779"/>
    <hyperlink xmlns:r="http://schemas.openxmlformats.org/officeDocument/2006/relationships" ref="S4781" r:id="rId4780"/>
    <hyperlink xmlns:r="http://schemas.openxmlformats.org/officeDocument/2006/relationships" ref="S4782" r:id="rId4781"/>
    <hyperlink xmlns:r="http://schemas.openxmlformats.org/officeDocument/2006/relationships" ref="S4783" r:id="rId4782"/>
    <hyperlink xmlns:r="http://schemas.openxmlformats.org/officeDocument/2006/relationships" ref="S4784" r:id="rId4783"/>
    <hyperlink xmlns:r="http://schemas.openxmlformats.org/officeDocument/2006/relationships" ref="S4785" r:id="rId4784"/>
    <hyperlink xmlns:r="http://schemas.openxmlformats.org/officeDocument/2006/relationships" ref="S4786" r:id="rId4785"/>
    <hyperlink xmlns:r="http://schemas.openxmlformats.org/officeDocument/2006/relationships" ref="S4787" r:id="rId4786"/>
    <hyperlink xmlns:r="http://schemas.openxmlformats.org/officeDocument/2006/relationships" ref="S4788" r:id="rId4787"/>
    <hyperlink xmlns:r="http://schemas.openxmlformats.org/officeDocument/2006/relationships" ref="S4789" r:id="rId4788"/>
    <hyperlink xmlns:r="http://schemas.openxmlformats.org/officeDocument/2006/relationships" ref="S4790" r:id="rId4789"/>
    <hyperlink xmlns:r="http://schemas.openxmlformats.org/officeDocument/2006/relationships" ref="S4791" r:id="rId4790"/>
    <hyperlink xmlns:r="http://schemas.openxmlformats.org/officeDocument/2006/relationships" ref="S4792" r:id="rId4791"/>
    <hyperlink xmlns:r="http://schemas.openxmlformats.org/officeDocument/2006/relationships" ref="S4793" r:id="rId4792"/>
    <hyperlink xmlns:r="http://schemas.openxmlformats.org/officeDocument/2006/relationships" ref="S4794" r:id="rId4793"/>
    <hyperlink xmlns:r="http://schemas.openxmlformats.org/officeDocument/2006/relationships" ref="S4795" r:id="rId4794"/>
    <hyperlink xmlns:r="http://schemas.openxmlformats.org/officeDocument/2006/relationships" ref="S4796" r:id="rId4795"/>
    <hyperlink xmlns:r="http://schemas.openxmlformats.org/officeDocument/2006/relationships" ref="S4797" r:id="rId4796"/>
    <hyperlink xmlns:r="http://schemas.openxmlformats.org/officeDocument/2006/relationships" ref="S4798" r:id="rId4797"/>
    <hyperlink xmlns:r="http://schemas.openxmlformats.org/officeDocument/2006/relationships" ref="S4799" r:id="rId4798"/>
    <hyperlink xmlns:r="http://schemas.openxmlformats.org/officeDocument/2006/relationships" ref="S4800" r:id="rId4799"/>
    <hyperlink xmlns:r="http://schemas.openxmlformats.org/officeDocument/2006/relationships" ref="S4801" r:id="rId4800"/>
    <hyperlink xmlns:r="http://schemas.openxmlformats.org/officeDocument/2006/relationships" ref="S4802" r:id="rId4801"/>
    <hyperlink xmlns:r="http://schemas.openxmlformats.org/officeDocument/2006/relationships" ref="S4803" r:id="rId4802"/>
    <hyperlink xmlns:r="http://schemas.openxmlformats.org/officeDocument/2006/relationships" ref="S4804" r:id="rId4803"/>
    <hyperlink xmlns:r="http://schemas.openxmlformats.org/officeDocument/2006/relationships" ref="S4805" r:id="rId4804"/>
    <hyperlink xmlns:r="http://schemas.openxmlformats.org/officeDocument/2006/relationships" ref="S4806" r:id="rId4805"/>
    <hyperlink xmlns:r="http://schemas.openxmlformats.org/officeDocument/2006/relationships" ref="S4807" r:id="rId4806"/>
    <hyperlink xmlns:r="http://schemas.openxmlformats.org/officeDocument/2006/relationships" ref="S4808" r:id="rId4807"/>
    <hyperlink xmlns:r="http://schemas.openxmlformats.org/officeDocument/2006/relationships" ref="S4809" r:id="rId4808"/>
    <hyperlink xmlns:r="http://schemas.openxmlformats.org/officeDocument/2006/relationships" ref="S4810" r:id="rId4809"/>
    <hyperlink xmlns:r="http://schemas.openxmlformats.org/officeDocument/2006/relationships" ref="S4811" r:id="rId4810"/>
    <hyperlink xmlns:r="http://schemas.openxmlformats.org/officeDocument/2006/relationships" ref="S4812" r:id="rId4811"/>
    <hyperlink xmlns:r="http://schemas.openxmlformats.org/officeDocument/2006/relationships" ref="S4813" r:id="rId4812"/>
    <hyperlink xmlns:r="http://schemas.openxmlformats.org/officeDocument/2006/relationships" ref="S4814" r:id="rId4813"/>
    <hyperlink xmlns:r="http://schemas.openxmlformats.org/officeDocument/2006/relationships" ref="S4815" r:id="rId4814"/>
    <hyperlink xmlns:r="http://schemas.openxmlformats.org/officeDocument/2006/relationships" ref="S4816" r:id="rId4815"/>
    <hyperlink xmlns:r="http://schemas.openxmlformats.org/officeDocument/2006/relationships" ref="S4817" r:id="rId4816"/>
    <hyperlink xmlns:r="http://schemas.openxmlformats.org/officeDocument/2006/relationships" ref="S4818" r:id="rId4817"/>
    <hyperlink xmlns:r="http://schemas.openxmlformats.org/officeDocument/2006/relationships" ref="S4819" r:id="rId4818"/>
    <hyperlink xmlns:r="http://schemas.openxmlformats.org/officeDocument/2006/relationships" ref="S4820" r:id="rId4819"/>
    <hyperlink xmlns:r="http://schemas.openxmlformats.org/officeDocument/2006/relationships" ref="S4821" r:id="rId4820"/>
    <hyperlink xmlns:r="http://schemas.openxmlformats.org/officeDocument/2006/relationships" ref="S4822" r:id="rId4821"/>
    <hyperlink xmlns:r="http://schemas.openxmlformats.org/officeDocument/2006/relationships" ref="S4823" r:id="rId4822"/>
    <hyperlink xmlns:r="http://schemas.openxmlformats.org/officeDocument/2006/relationships" ref="S4824" r:id="rId4823"/>
    <hyperlink xmlns:r="http://schemas.openxmlformats.org/officeDocument/2006/relationships" ref="S4825" r:id="rId4824"/>
    <hyperlink xmlns:r="http://schemas.openxmlformats.org/officeDocument/2006/relationships" ref="S4826" r:id="rId4825"/>
    <hyperlink xmlns:r="http://schemas.openxmlformats.org/officeDocument/2006/relationships" ref="S4827" r:id="rId4826"/>
    <hyperlink xmlns:r="http://schemas.openxmlformats.org/officeDocument/2006/relationships" ref="S4828" r:id="rId4827"/>
    <hyperlink xmlns:r="http://schemas.openxmlformats.org/officeDocument/2006/relationships" ref="S4829" r:id="rId4828"/>
    <hyperlink xmlns:r="http://schemas.openxmlformats.org/officeDocument/2006/relationships" ref="S4830" r:id="rId4829"/>
    <hyperlink xmlns:r="http://schemas.openxmlformats.org/officeDocument/2006/relationships" ref="S4831" r:id="rId4830"/>
    <hyperlink xmlns:r="http://schemas.openxmlformats.org/officeDocument/2006/relationships" ref="S4832" r:id="rId4831"/>
    <hyperlink xmlns:r="http://schemas.openxmlformats.org/officeDocument/2006/relationships" ref="S4833" r:id="rId4832"/>
    <hyperlink xmlns:r="http://schemas.openxmlformats.org/officeDocument/2006/relationships" ref="S4834" r:id="rId4833"/>
    <hyperlink xmlns:r="http://schemas.openxmlformats.org/officeDocument/2006/relationships" ref="S4835" r:id="rId4834"/>
    <hyperlink xmlns:r="http://schemas.openxmlformats.org/officeDocument/2006/relationships" ref="S4836" r:id="rId4835"/>
    <hyperlink xmlns:r="http://schemas.openxmlformats.org/officeDocument/2006/relationships" ref="S4837" r:id="rId4836"/>
    <hyperlink xmlns:r="http://schemas.openxmlformats.org/officeDocument/2006/relationships" ref="S4838" r:id="rId4837"/>
    <hyperlink xmlns:r="http://schemas.openxmlformats.org/officeDocument/2006/relationships" ref="S4839" r:id="rId4838"/>
    <hyperlink xmlns:r="http://schemas.openxmlformats.org/officeDocument/2006/relationships" ref="S4840" r:id="rId4839"/>
    <hyperlink xmlns:r="http://schemas.openxmlformats.org/officeDocument/2006/relationships" ref="S4841" r:id="rId4840"/>
    <hyperlink xmlns:r="http://schemas.openxmlformats.org/officeDocument/2006/relationships" ref="S4842" r:id="rId4841"/>
    <hyperlink xmlns:r="http://schemas.openxmlformats.org/officeDocument/2006/relationships" ref="S4843" r:id="rId4842"/>
    <hyperlink xmlns:r="http://schemas.openxmlformats.org/officeDocument/2006/relationships" ref="S4844" r:id="rId4843"/>
    <hyperlink xmlns:r="http://schemas.openxmlformats.org/officeDocument/2006/relationships" ref="S4845" r:id="rId4844"/>
    <hyperlink xmlns:r="http://schemas.openxmlformats.org/officeDocument/2006/relationships" ref="S4846" r:id="rId4845"/>
    <hyperlink xmlns:r="http://schemas.openxmlformats.org/officeDocument/2006/relationships" ref="S4847" r:id="rId4846"/>
    <hyperlink xmlns:r="http://schemas.openxmlformats.org/officeDocument/2006/relationships" ref="S4848" r:id="rId4847"/>
    <hyperlink xmlns:r="http://schemas.openxmlformats.org/officeDocument/2006/relationships" ref="S4849" r:id="rId4848"/>
    <hyperlink xmlns:r="http://schemas.openxmlformats.org/officeDocument/2006/relationships" ref="S4850" r:id="rId4849"/>
    <hyperlink xmlns:r="http://schemas.openxmlformats.org/officeDocument/2006/relationships" ref="S4851" r:id="rId4850"/>
    <hyperlink xmlns:r="http://schemas.openxmlformats.org/officeDocument/2006/relationships" ref="S4852" r:id="rId4851"/>
    <hyperlink xmlns:r="http://schemas.openxmlformats.org/officeDocument/2006/relationships" ref="S4853" r:id="rId4852"/>
    <hyperlink xmlns:r="http://schemas.openxmlformats.org/officeDocument/2006/relationships" ref="S4854" r:id="rId4853"/>
    <hyperlink xmlns:r="http://schemas.openxmlformats.org/officeDocument/2006/relationships" ref="S4855" r:id="rId4854"/>
    <hyperlink xmlns:r="http://schemas.openxmlformats.org/officeDocument/2006/relationships" ref="S4856" r:id="rId4855"/>
    <hyperlink xmlns:r="http://schemas.openxmlformats.org/officeDocument/2006/relationships" ref="S4857" r:id="rId4856"/>
    <hyperlink xmlns:r="http://schemas.openxmlformats.org/officeDocument/2006/relationships" ref="S4858" r:id="rId4857"/>
    <hyperlink xmlns:r="http://schemas.openxmlformats.org/officeDocument/2006/relationships" ref="S4859" r:id="rId4858"/>
    <hyperlink xmlns:r="http://schemas.openxmlformats.org/officeDocument/2006/relationships" ref="S4860" r:id="rId4859"/>
    <hyperlink xmlns:r="http://schemas.openxmlformats.org/officeDocument/2006/relationships" ref="S4861" r:id="rId4860"/>
    <hyperlink xmlns:r="http://schemas.openxmlformats.org/officeDocument/2006/relationships" ref="S4862" r:id="rId4861"/>
    <hyperlink xmlns:r="http://schemas.openxmlformats.org/officeDocument/2006/relationships" ref="S4863" r:id="rId4862"/>
    <hyperlink xmlns:r="http://schemas.openxmlformats.org/officeDocument/2006/relationships" ref="S4864" r:id="rId4863"/>
    <hyperlink xmlns:r="http://schemas.openxmlformats.org/officeDocument/2006/relationships" ref="S4865" r:id="rId4864"/>
    <hyperlink xmlns:r="http://schemas.openxmlformats.org/officeDocument/2006/relationships" ref="S4866" r:id="rId4865"/>
    <hyperlink xmlns:r="http://schemas.openxmlformats.org/officeDocument/2006/relationships" ref="S4867" r:id="rId4866"/>
    <hyperlink xmlns:r="http://schemas.openxmlformats.org/officeDocument/2006/relationships" ref="S4868" r:id="rId4867"/>
    <hyperlink xmlns:r="http://schemas.openxmlformats.org/officeDocument/2006/relationships" ref="S4869" r:id="rId4868"/>
    <hyperlink xmlns:r="http://schemas.openxmlformats.org/officeDocument/2006/relationships" ref="S4870" r:id="rId4869"/>
    <hyperlink xmlns:r="http://schemas.openxmlformats.org/officeDocument/2006/relationships" ref="S4871" r:id="rId4870"/>
    <hyperlink xmlns:r="http://schemas.openxmlformats.org/officeDocument/2006/relationships" ref="S4872" r:id="rId4871"/>
    <hyperlink xmlns:r="http://schemas.openxmlformats.org/officeDocument/2006/relationships" ref="S4873" r:id="rId4872"/>
    <hyperlink xmlns:r="http://schemas.openxmlformats.org/officeDocument/2006/relationships" ref="S4874" r:id="rId4873"/>
    <hyperlink xmlns:r="http://schemas.openxmlformats.org/officeDocument/2006/relationships" ref="S4875" r:id="rId4874"/>
    <hyperlink xmlns:r="http://schemas.openxmlformats.org/officeDocument/2006/relationships" ref="S4876" r:id="rId4875"/>
    <hyperlink xmlns:r="http://schemas.openxmlformats.org/officeDocument/2006/relationships" ref="S4877" r:id="rId4876"/>
    <hyperlink xmlns:r="http://schemas.openxmlformats.org/officeDocument/2006/relationships" ref="S4878" r:id="rId4877"/>
    <hyperlink xmlns:r="http://schemas.openxmlformats.org/officeDocument/2006/relationships" ref="S4879" r:id="rId4878"/>
    <hyperlink xmlns:r="http://schemas.openxmlformats.org/officeDocument/2006/relationships" ref="S4880" r:id="rId4879"/>
    <hyperlink xmlns:r="http://schemas.openxmlformats.org/officeDocument/2006/relationships" ref="S4881" r:id="rId4880"/>
    <hyperlink xmlns:r="http://schemas.openxmlformats.org/officeDocument/2006/relationships" ref="S4882" r:id="rId4881"/>
    <hyperlink xmlns:r="http://schemas.openxmlformats.org/officeDocument/2006/relationships" ref="S4883" r:id="rId4882"/>
    <hyperlink xmlns:r="http://schemas.openxmlformats.org/officeDocument/2006/relationships" ref="S4884" r:id="rId4883"/>
    <hyperlink xmlns:r="http://schemas.openxmlformats.org/officeDocument/2006/relationships" ref="S4885" r:id="rId4884"/>
    <hyperlink xmlns:r="http://schemas.openxmlformats.org/officeDocument/2006/relationships" ref="S4886" r:id="rId4885"/>
    <hyperlink xmlns:r="http://schemas.openxmlformats.org/officeDocument/2006/relationships" ref="S4887" r:id="rId4886"/>
    <hyperlink xmlns:r="http://schemas.openxmlformats.org/officeDocument/2006/relationships" ref="S4888" r:id="rId4887"/>
    <hyperlink xmlns:r="http://schemas.openxmlformats.org/officeDocument/2006/relationships" ref="S4889" r:id="rId4888"/>
    <hyperlink xmlns:r="http://schemas.openxmlformats.org/officeDocument/2006/relationships" ref="S4890" r:id="rId4889"/>
    <hyperlink xmlns:r="http://schemas.openxmlformats.org/officeDocument/2006/relationships" ref="S4891" r:id="rId4890"/>
    <hyperlink xmlns:r="http://schemas.openxmlformats.org/officeDocument/2006/relationships" ref="S4892" r:id="rId4891"/>
    <hyperlink xmlns:r="http://schemas.openxmlformats.org/officeDocument/2006/relationships" ref="S4893" r:id="rId4892"/>
    <hyperlink xmlns:r="http://schemas.openxmlformats.org/officeDocument/2006/relationships" ref="S4894" r:id="rId4893"/>
    <hyperlink xmlns:r="http://schemas.openxmlformats.org/officeDocument/2006/relationships" ref="S4895" r:id="rId4894"/>
    <hyperlink xmlns:r="http://schemas.openxmlformats.org/officeDocument/2006/relationships" ref="S4896" r:id="rId4895"/>
    <hyperlink xmlns:r="http://schemas.openxmlformats.org/officeDocument/2006/relationships" ref="S4897" r:id="rId4896"/>
    <hyperlink xmlns:r="http://schemas.openxmlformats.org/officeDocument/2006/relationships" ref="S4898" r:id="rId4897"/>
    <hyperlink xmlns:r="http://schemas.openxmlformats.org/officeDocument/2006/relationships" ref="S4899" r:id="rId4898"/>
    <hyperlink xmlns:r="http://schemas.openxmlformats.org/officeDocument/2006/relationships" ref="S4900" r:id="rId4899"/>
    <hyperlink xmlns:r="http://schemas.openxmlformats.org/officeDocument/2006/relationships" ref="S4901" r:id="rId4900"/>
    <hyperlink xmlns:r="http://schemas.openxmlformats.org/officeDocument/2006/relationships" ref="S4902" r:id="rId4901"/>
    <hyperlink xmlns:r="http://schemas.openxmlformats.org/officeDocument/2006/relationships" ref="S4903" r:id="rId4902"/>
    <hyperlink xmlns:r="http://schemas.openxmlformats.org/officeDocument/2006/relationships" ref="S4904" r:id="rId4903"/>
    <hyperlink xmlns:r="http://schemas.openxmlformats.org/officeDocument/2006/relationships" ref="S4905" r:id="rId4904"/>
    <hyperlink xmlns:r="http://schemas.openxmlformats.org/officeDocument/2006/relationships" ref="S4906" r:id="rId4905"/>
    <hyperlink xmlns:r="http://schemas.openxmlformats.org/officeDocument/2006/relationships" ref="S4907" r:id="rId4906"/>
    <hyperlink xmlns:r="http://schemas.openxmlformats.org/officeDocument/2006/relationships" ref="S4908" r:id="rId4907"/>
    <hyperlink xmlns:r="http://schemas.openxmlformats.org/officeDocument/2006/relationships" ref="S4909" r:id="rId4908"/>
    <hyperlink xmlns:r="http://schemas.openxmlformats.org/officeDocument/2006/relationships" ref="S4910" r:id="rId4909"/>
    <hyperlink xmlns:r="http://schemas.openxmlformats.org/officeDocument/2006/relationships" ref="S4911" r:id="rId4910"/>
    <hyperlink xmlns:r="http://schemas.openxmlformats.org/officeDocument/2006/relationships" ref="S4912" r:id="rId4911"/>
    <hyperlink xmlns:r="http://schemas.openxmlformats.org/officeDocument/2006/relationships" ref="S4913" r:id="rId4912"/>
    <hyperlink xmlns:r="http://schemas.openxmlformats.org/officeDocument/2006/relationships" ref="S4914" r:id="rId4913"/>
    <hyperlink xmlns:r="http://schemas.openxmlformats.org/officeDocument/2006/relationships" ref="S4915" r:id="rId4914"/>
    <hyperlink xmlns:r="http://schemas.openxmlformats.org/officeDocument/2006/relationships" ref="S4916" r:id="rId4915"/>
    <hyperlink xmlns:r="http://schemas.openxmlformats.org/officeDocument/2006/relationships" ref="S4917" r:id="rId4916"/>
    <hyperlink xmlns:r="http://schemas.openxmlformats.org/officeDocument/2006/relationships" ref="S4918" r:id="rId4917"/>
    <hyperlink xmlns:r="http://schemas.openxmlformats.org/officeDocument/2006/relationships" ref="S4919" r:id="rId4918"/>
    <hyperlink xmlns:r="http://schemas.openxmlformats.org/officeDocument/2006/relationships" ref="S4920" r:id="rId4919"/>
    <hyperlink xmlns:r="http://schemas.openxmlformats.org/officeDocument/2006/relationships" ref="S4921" r:id="rId4920"/>
    <hyperlink xmlns:r="http://schemas.openxmlformats.org/officeDocument/2006/relationships" ref="S4922" r:id="rId4921"/>
    <hyperlink xmlns:r="http://schemas.openxmlformats.org/officeDocument/2006/relationships" ref="S4923" r:id="rId4922"/>
    <hyperlink xmlns:r="http://schemas.openxmlformats.org/officeDocument/2006/relationships" ref="S4924" r:id="rId4923"/>
    <hyperlink xmlns:r="http://schemas.openxmlformats.org/officeDocument/2006/relationships" ref="S4925" r:id="rId4924"/>
    <hyperlink xmlns:r="http://schemas.openxmlformats.org/officeDocument/2006/relationships" ref="S4926" r:id="rId4925"/>
    <hyperlink xmlns:r="http://schemas.openxmlformats.org/officeDocument/2006/relationships" ref="S4927" r:id="rId4926"/>
    <hyperlink xmlns:r="http://schemas.openxmlformats.org/officeDocument/2006/relationships" ref="S4928" r:id="rId4927"/>
    <hyperlink xmlns:r="http://schemas.openxmlformats.org/officeDocument/2006/relationships" ref="S4929" r:id="rId4928"/>
    <hyperlink xmlns:r="http://schemas.openxmlformats.org/officeDocument/2006/relationships" ref="S4930" r:id="rId4929"/>
    <hyperlink xmlns:r="http://schemas.openxmlformats.org/officeDocument/2006/relationships" ref="S4931" r:id="rId4930"/>
    <hyperlink xmlns:r="http://schemas.openxmlformats.org/officeDocument/2006/relationships" ref="S4932" r:id="rId4931"/>
    <hyperlink xmlns:r="http://schemas.openxmlformats.org/officeDocument/2006/relationships" ref="S4933" r:id="rId4932"/>
    <hyperlink xmlns:r="http://schemas.openxmlformats.org/officeDocument/2006/relationships" ref="S4934" r:id="rId4933"/>
    <hyperlink xmlns:r="http://schemas.openxmlformats.org/officeDocument/2006/relationships" ref="S4935" r:id="rId4934"/>
    <hyperlink xmlns:r="http://schemas.openxmlformats.org/officeDocument/2006/relationships" ref="S4936" r:id="rId4935"/>
    <hyperlink xmlns:r="http://schemas.openxmlformats.org/officeDocument/2006/relationships" ref="S4937" r:id="rId4936"/>
    <hyperlink xmlns:r="http://schemas.openxmlformats.org/officeDocument/2006/relationships" ref="S4938" r:id="rId4937"/>
    <hyperlink xmlns:r="http://schemas.openxmlformats.org/officeDocument/2006/relationships" ref="S4939" r:id="rId4938"/>
    <hyperlink xmlns:r="http://schemas.openxmlformats.org/officeDocument/2006/relationships" ref="S4940" r:id="rId4939"/>
    <hyperlink xmlns:r="http://schemas.openxmlformats.org/officeDocument/2006/relationships" ref="S4941" r:id="rId4940"/>
    <hyperlink xmlns:r="http://schemas.openxmlformats.org/officeDocument/2006/relationships" ref="S4942" r:id="rId4941"/>
    <hyperlink xmlns:r="http://schemas.openxmlformats.org/officeDocument/2006/relationships" ref="S4943" r:id="rId4942"/>
    <hyperlink xmlns:r="http://schemas.openxmlformats.org/officeDocument/2006/relationships" ref="S4944" r:id="rId4943"/>
    <hyperlink xmlns:r="http://schemas.openxmlformats.org/officeDocument/2006/relationships" ref="S4945" r:id="rId4944"/>
    <hyperlink xmlns:r="http://schemas.openxmlformats.org/officeDocument/2006/relationships" ref="S4946" r:id="rId4945"/>
    <hyperlink xmlns:r="http://schemas.openxmlformats.org/officeDocument/2006/relationships" ref="S4947" r:id="rId4946"/>
    <hyperlink xmlns:r="http://schemas.openxmlformats.org/officeDocument/2006/relationships" ref="S4948" r:id="rId4947"/>
    <hyperlink xmlns:r="http://schemas.openxmlformats.org/officeDocument/2006/relationships" ref="S4949" r:id="rId4948"/>
    <hyperlink xmlns:r="http://schemas.openxmlformats.org/officeDocument/2006/relationships" ref="S4950" r:id="rId4949"/>
    <hyperlink xmlns:r="http://schemas.openxmlformats.org/officeDocument/2006/relationships" ref="S4951" r:id="rId4950"/>
    <hyperlink xmlns:r="http://schemas.openxmlformats.org/officeDocument/2006/relationships" ref="S4952" r:id="rId4951"/>
    <hyperlink xmlns:r="http://schemas.openxmlformats.org/officeDocument/2006/relationships" ref="S4953" r:id="rId4952"/>
    <hyperlink xmlns:r="http://schemas.openxmlformats.org/officeDocument/2006/relationships" ref="S4954" r:id="rId4953"/>
    <hyperlink xmlns:r="http://schemas.openxmlformats.org/officeDocument/2006/relationships" ref="S4955" r:id="rId4954"/>
    <hyperlink xmlns:r="http://schemas.openxmlformats.org/officeDocument/2006/relationships" ref="S4956" r:id="rId4955"/>
    <hyperlink xmlns:r="http://schemas.openxmlformats.org/officeDocument/2006/relationships" ref="S4957" r:id="rId4956"/>
    <hyperlink xmlns:r="http://schemas.openxmlformats.org/officeDocument/2006/relationships" ref="S4958" r:id="rId4957"/>
    <hyperlink xmlns:r="http://schemas.openxmlformats.org/officeDocument/2006/relationships" ref="S4959" r:id="rId4958"/>
    <hyperlink xmlns:r="http://schemas.openxmlformats.org/officeDocument/2006/relationships" ref="S4960" r:id="rId4959"/>
    <hyperlink xmlns:r="http://schemas.openxmlformats.org/officeDocument/2006/relationships" ref="S4961" r:id="rId4960"/>
    <hyperlink xmlns:r="http://schemas.openxmlformats.org/officeDocument/2006/relationships" ref="S4962" r:id="rId4961"/>
    <hyperlink xmlns:r="http://schemas.openxmlformats.org/officeDocument/2006/relationships" ref="S4963" r:id="rId4962"/>
    <hyperlink xmlns:r="http://schemas.openxmlformats.org/officeDocument/2006/relationships" ref="S4964" r:id="rId4963"/>
    <hyperlink xmlns:r="http://schemas.openxmlformats.org/officeDocument/2006/relationships" ref="S4965" r:id="rId4964"/>
    <hyperlink xmlns:r="http://schemas.openxmlformats.org/officeDocument/2006/relationships" ref="S4966" r:id="rId4965"/>
    <hyperlink xmlns:r="http://schemas.openxmlformats.org/officeDocument/2006/relationships" ref="S4967" r:id="rId4966"/>
    <hyperlink xmlns:r="http://schemas.openxmlformats.org/officeDocument/2006/relationships" ref="S4968" r:id="rId4967"/>
    <hyperlink xmlns:r="http://schemas.openxmlformats.org/officeDocument/2006/relationships" ref="S4969" r:id="rId4968"/>
    <hyperlink xmlns:r="http://schemas.openxmlformats.org/officeDocument/2006/relationships" ref="S4970" r:id="rId4969"/>
    <hyperlink xmlns:r="http://schemas.openxmlformats.org/officeDocument/2006/relationships" ref="S4971" r:id="rId4970"/>
    <hyperlink xmlns:r="http://schemas.openxmlformats.org/officeDocument/2006/relationships" ref="S4972" r:id="rId4971"/>
    <hyperlink xmlns:r="http://schemas.openxmlformats.org/officeDocument/2006/relationships" ref="S4973" r:id="rId4972"/>
    <hyperlink xmlns:r="http://schemas.openxmlformats.org/officeDocument/2006/relationships" ref="S4974" r:id="rId4973"/>
    <hyperlink xmlns:r="http://schemas.openxmlformats.org/officeDocument/2006/relationships" ref="S4975" r:id="rId4974"/>
    <hyperlink xmlns:r="http://schemas.openxmlformats.org/officeDocument/2006/relationships" ref="S4976" r:id="rId4975"/>
    <hyperlink xmlns:r="http://schemas.openxmlformats.org/officeDocument/2006/relationships" ref="S4977" r:id="rId4976"/>
    <hyperlink xmlns:r="http://schemas.openxmlformats.org/officeDocument/2006/relationships" ref="S4978" r:id="rId4977"/>
    <hyperlink xmlns:r="http://schemas.openxmlformats.org/officeDocument/2006/relationships" ref="S4979" r:id="rId4978"/>
    <hyperlink xmlns:r="http://schemas.openxmlformats.org/officeDocument/2006/relationships" ref="S4980" r:id="rId4979"/>
    <hyperlink xmlns:r="http://schemas.openxmlformats.org/officeDocument/2006/relationships" ref="S4981" r:id="rId4980"/>
    <hyperlink xmlns:r="http://schemas.openxmlformats.org/officeDocument/2006/relationships" ref="S4982" r:id="rId4981"/>
    <hyperlink xmlns:r="http://schemas.openxmlformats.org/officeDocument/2006/relationships" ref="S4983" r:id="rId4982"/>
    <hyperlink xmlns:r="http://schemas.openxmlformats.org/officeDocument/2006/relationships" ref="S4984" r:id="rId4983"/>
    <hyperlink xmlns:r="http://schemas.openxmlformats.org/officeDocument/2006/relationships" ref="S4985" r:id="rId4984"/>
    <hyperlink xmlns:r="http://schemas.openxmlformats.org/officeDocument/2006/relationships" ref="S4986" r:id="rId4985"/>
    <hyperlink xmlns:r="http://schemas.openxmlformats.org/officeDocument/2006/relationships" ref="S4987" r:id="rId4986"/>
    <hyperlink xmlns:r="http://schemas.openxmlformats.org/officeDocument/2006/relationships" ref="S4988" r:id="rId4987"/>
    <hyperlink xmlns:r="http://schemas.openxmlformats.org/officeDocument/2006/relationships" ref="S4989" r:id="rId4988"/>
    <hyperlink xmlns:r="http://schemas.openxmlformats.org/officeDocument/2006/relationships" ref="S4990" r:id="rId4989"/>
    <hyperlink xmlns:r="http://schemas.openxmlformats.org/officeDocument/2006/relationships" ref="S4991" r:id="rId4990"/>
    <hyperlink xmlns:r="http://schemas.openxmlformats.org/officeDocument/2006/relationships" ref="S4992" r:id="rId4991"/>
    <hyperlink xmlns:r="http://schemas.openxmlformats.org/officeDocument/2006/relationships" ref="S4993" r:id="rId4992"/>
    <hyperlink xmlns:r="http://schemas.openxmlformats.org/officeDocument/2006/relationships" ref="S4994" r:id="rId4993"/>
    <hyperlink xmlns:r="http://schemas.openxmlformats.org/officeDocument/2006/relationships" ref="S4995" r:id="rId4994"/>
    <hyperlink xmlns:r="http://schemas.openxmlformats.org/officeDocument/2006/relationships" ref="S4996" r:id="rId4995"/>
    <hyperlink xmlns:r="http://schemas.openxmlformats.org/officeDocument/2006/relationships" ref="S4997" r:id="rId4996"/>
    <hyperlink xmlns:r="http://schemas.openxmlformats.org/officeDocument/2006/relationships" ref="S4998" r:id="rId4997"/>
    <hyperlink xmlns:r="http://schemas.openxmlformats.org/officeDocument/2006/relationships" ref="S4999" r:id="rId4998"/>
    <hyperlink xmlns:r="http://schemas.openxmlformats.org/officeDocument/2006/relationships" ref="S5000" r:id="rId4999"/>
    <hyperlink xmlns:r="http://schemas.openxmlformats.org/officeDocument/2006/relationships" ref="S5001" r:id="rId5000"/>
    <hyperlink xmlns:r="http://schemas.openxmlformats.org/officeDocument/2006/relationships" ref="S5002" r:id="rId5001"/>
    <hyperlink xmlns:r="http://schemas.openxmlformats.org/officeDocument/2006/relationships" ref="S5003" r:id="rId5002"/>
    <hyperlink xmlns:r="http://schemas.openxmlformats.org/officeDocument/2006/relationships" ref="S5004" r:id="rId5003"/>
    <hyperlink xmlns:r="http://schemas.openxmlformats.org/officeDocument/2006/relationships" ref="S5005" r:id="rId5004"/>
    <hyperlink xmlns:r="http://schemas.openxmlformats.org/officeDocument/2006/relationships" ref="S5006" r:id="rId5005"/>
    <hyperlink xmlns:r="http://schemas.openxmlformats.org/officeDocument/2006/relationships" ref="S5007" r:id="rId5006"/>
    <hyperlink xmlns:r="http://schemas.openxmlformats.org/officeDocument/2006/relationships" ref="S5008" r:id="rId5007"/>
    <hyperlink xmlns:r="http://schemas.openxmlformats.org/officeDocument/2006/relationships" ref="S5009" r:id="rId5008"/>
    <hyperlink xmlns:r="http://schemas.openxmlformats.org/officeDocument/2006/relationships" ref="S5010" r:id="rId5009"/>
    <hyperlink xmlns:r="http://schemas.openxmlformats.org/officeDocument/2006/relationships" ref="S5011" r:id="rId5010"/>
    <hyperlink xmlns:r="http://schemas.openxmlformats.org/officeDocument/2006/relationships" ref="S5012" r:id="rId5011"/>
    <hyperlink xmlns:r="http://schemas.openxmlformats.org/officeDocument/2006/relationships" ref="S5013" r:id="rId5012"/>
    <hyperlink xmlns:r="http://schemas.openxmlformats.org/officeDocument/2006/relationships" ref="S5014" r:id="rId5013"/>
    <hyperlink xmlns:r="http://schemas.openxmlformats.org/officeDocument/2006/relationships" ref="S5015" r:id="rId5014"/>
    <hyperlink xmlns:r="http://schemas.openxmlformats.org/officeDocument/2006/relationships" ref="S5016" r:id="rId5015"/>
    <hyperlink xmlns:r="http://schemas.openxmlformats.org/officeDocument/2006/relationships" ref="S5017" r:id="rId5016"/>
    <hyperlink xmlns:r="http://schemas.openxmlformats.org/officeDocument/2006/relationships" ref="S5018" r:id="rId5017"/>
    <hyperlink xmlns:r="http://schemas.openxmlformats.org/officeDocument/2006/relationships" ref="S5019" r:id="rId5018"/>
    <hyperlink xmlns:r="http://schemas.openxmlformats.org/officeDocument/2006/relationships" ref="S5020" r:id="rId5019"/>
    <hyperlink xmlns:r="http://schemas.openxmlformats.org/officeDocument/2006/relationships" ref="S5021" r:id="rId5020"/>
    <hyperlink xmlns:r="http://schemas.openxmlformats.org/officeDocument/2006/relationships" ref="S5022" r:id="rId5021"/>
    <hyperlink xmlns:r="http://schemas.openxmlformats.org/officeDocument/2006/relationships" ref="S5023" r:id="rId5022"/>
    <hyperlink xmlns:r="http://schemas.openxmlformats.org/officeDocument/2006/relationships" ref="S5024" r:id="rId5023"/>
    <hyperlink xmlns:r="http://schemas.openxmlformats.org/officeDocument/2006/relationships" ref="S5025" r:id="rId5024"/>
    <hyperlink xmlns:r="http://schemas.openxmlformats.org/officeDocument/2006/relationships" ref="S5026" r:id="rId5025"/>
    <hyperlink xmlns:r="http://schemas.openxmlformats.org/officeDocument/2006/relationships" ref="S5027" r:id="rId5026"/>
    <hyperlink xmlns:r="http://schemas.openxmlformats.org/officeDocument/2006/relationships" ref="S5028" r:id="rId5027"/>
    <hyperlink xmlns:r="http://schemas.openxmlformats.org/officeDocument/2006/relationships" ref="S5029" r:id="rId5028"/>
    <hyperlink xmlns:r="http://schemas.openxmlformats.org/officeDocument/2006/relationships" ref="S5030" r:id="rId5029"/>
    <hyperlink xmlns:r="http://schemas.openxmlformats.org/officeDocument/2006/relationships" ref="S5031" r:id="rId5030"/>
    <hyperlink xmlns:r="http://schemas.openxmlformats.org/officeDocument/2006/relationships" ref="S5032" r:id="rId5031"/>
    <hyperlink xmlns:r="http://schemas.openxmlformats.org/officeDocument/2006/relationships" ref="S5033" r:id="rId5032"/>
    <hyperlink xmlns:r="http://schemas.openxmlformats.org/officeDocument/2006/relationships" ref="S5034" r:id="rId5033"/>
    <hyperlink xmlns:r="http://schemas.openxmlformats.org/officeDocument/2006/relationships" ref="S5035" r:id="rId5034"/>
    <hyperlink xmlns:r="http://schemas.openxmlformats.org/officeDocument/2006/relationships" ref="S5036" r:id="rId5035"/>
    <hyperlink xmlns:r="http://schemas.openxmlformats.org/officeDocument/2006/relationships" ref="S5037" r:id="rId5036"/>
    <hyperlink xmlns:r="http://schemas.openxmlformats.org/officeDocument/2006/relationships" ref="S5038" r:id="rId5037"/>
    <hyperlink xmlns:r="http://schemas.openxmlformats.org/officeDocument/2006/relationships" ref="S5039" r:id="rId5038"/>
    <hyperlink xmlns:r="http://schemas.openxmlformats.org/officeDocument/2006/relationships" ref="S5040" r:id="rId5039"/>
    <hyperlink xmlns:r="http://schemas.openxmlformats.org/officeDocument/2006/relationships" ref="S5041" r:id="rId5040"/>
    <hyperlink xmlns:r="http://schemas.openxmlformats.org/officeDocument/2006/relationships" ref="S5042" r:id="rId5041"/>
    <hyperlink xmlns:r="http://schemas.openxmlformats.org/officeDocument/2006/relationships" ref="S5043" r:id="rId5042"/>
    <hyperlink xmlns:r="http://schemas.openxmlformats.org/officeDocument/2006/relationships" ref="S5044" r:id="rId5043"/>
    <hyperlink xmlns:r="http://schemas.openxmlformats.org/officeDocument/2006/relationships" ref="S5045" r:id="rId5044"/>
    <hyperlink xmlns:r="http://schemas.openxmlformats.org/officeDocument/2006/relationships" ref="S5046" r:id="rId5045"/>
    <hyperlink xmlns:r="http://schemas.openxmlformats.org/officeDocument/2006/relationships" ref="S5047" r:id="rId5046"/>
    <hyperlink xmlns:r="http://schemas.openxmlformats.org/officeDocument/2006/relationships" ref="S5048" r:id="rId5047"/>
    <hyperlink xmlns:r="http://schemas.openxmlformats.org/officeDocument/2006/relationships" ref="S5049" r:id="rId5048"/>
    <hyperlink xmlns:r="http://schemas.openxmlformats.org/officeDocument/2006/relationships" ref="S5050" r:id="rId5049"/>
    <hyperlink xmlns:r="http://schemas.openxmlformats.org/officeDocument/2006/relationships" ref="S5051" r:id="rId5050"/>
    <hyperlink xmlns:r="http://schemas.openxmlformats.org/officeDocument/2006/relationships" ref="S5052" r:id="rId5051"/>
    <hyperlink xmlns:r="http://schemas.openxmlformats.org/officeDocument/2006/relationships" ref="S5053" r:id="rId5052"/>
    <hyperlink xmlns:r="http://schemas.openxmlformats.org/officeDocument/2006/relationships" ref="S5054" r:id="rId5053"/>
    <hyperlink xmlns:r="http://schemas.openxmlformats.org/officeDocument/2006/relationships" ref="S5055" r:id="rId5054"/>
    <hyperlink xmlns:r="http://schemas.openxmlformats.org/officeDocument/2006/relationships" ref="S5056" r:id="rId5055"/>
    <hyperlink xmlns:r="http://schemas.openxmlformats.org/officeDocument/2006/relationships" ref="S5057" r:id="rId5056"/>
    <hyperlink xmlns:r="http://schemas.openxmlformats.org/officeDocument/2006/relationships" ref="S5058" r:id="rId5057"/>
    <hyperlink xmlns:r="http://schemas.openxmlformats.org/officeDocument/2006/relationships" ref="S5059" r:id="rId5058"/>
    <hyperlink xmlns:r="http://schemas.openxmlformats.org/officeDocument/2006/relationships" ref="S5060" r:id="rId5059"/>
    <hyperlink xmlns:r="http://schemas.openxmlformats.org/officeDocument/2006/relationships" ref="S5061" r:id="rId5060"/>
    <hyperlink xmlns:r="http://schemas.openxmlformats.org/officeDocument/2006/relationships" ref="S5062" r:id="rId5061"/>
    <hyperlink xmlns:r="http://schemas.openxmlformats.org/officeDocument/2006/relationships" ref="S5063" r:id="rId5062"/>
    <hyperlink xmlns:r="http://schemas.openxmlformats.org/officeDocument/2006/relationships" ref="S5064" r:id="rId5063"/>
    <hyperlink xmlns:r="http://schemas.openxmlformats.org/officeDocument/2006/relationships" ref="S5065" r:id="rId5064"/>
    <hyperlink xmlns:r="http://schemas.openxmlformats.org/officeDocument/2006/relationships" ref="S5066" r:id="rId5065"/>
    <hyperlink xmlns:r="http://schemas.openxmlformats.org/officeDocument/2006/relationships" ref="S5067" r:id="rId5066"/>
    <hyperlink xmlns:r="http://schemas.openxmlformats.org/officeDocument/2006/relationships" ref="S5068" r:id="rId5067"/>
    <hyperlink xmlns:r="http://schemas.openxmlformats.org/officeDocument/2006/relationships" ref="S5069" r:id="rId5068"/>
    <hyperlink xmlns:r="http://schemas.openxmlformats.org/officeDocument/2006/relationships" ref="S5070" r:id="rId5069"/>
    <hyperlink xmlns:r="http://schemas.openxmlformats.org/officeDocument/2006/relationships" ref="S5071" r:id="rId5070"/>
    <hyperlink xmlns:r="http://schemas.openxmlformats.org/officeDocument/2006/relationships" ref="S5072" r:id="rId5071"/>
    <hyperlink xmlns:r="http://schemas.openxmlformats.org/officeDocument/2006/relationships" ref="S5073" r:id="rId5072"/>
    <hyperlink xmlns:r="http://schemas.openxmlformats.org/officeDocument/2006/relationships" ref="S5074" r:id="rId5073"/>
    <hyperlink xmlns:r="http://schemas.openxmlformats.org/officeDocument/2006/relationships" ref="S5075" r:id="rId5074"/>
    <hyperlink xmlns:r="http://schemas.openxmlformats.org/officeDocument/2006/relationships" ref="S5076" r:id="rId5075"/>
    <hyperlink xmlns:r="http://schemas.openxmlformats.org/officeDocument/2006/relationships" ref="S5077" r:id="rId5076"/>
    <hyperlink xmlns:r="http://schemas.openxmlformats.org/officeDocument/2006/relationships" ref="S5078" r:id="rId5077"/>
    <hyperlink xmlns:r="http://schemas.openxmlformats.org/officeDocument/2006/relationships" ref="S5079" r:id="rId5078"/>
    <hyperlink xmlns:r="http://schemas.openxmlformats.org/officeDocument/2006/relationships" ref="S5080" r:id="rId5079"/>
    <hyperlink xmlns:r="http://schemas.openxmlformats.org/officeDocument/2006/relationships" ref="S5081" r:id="rId5080"/>
    <hyperlink xmlns:r="http://schemas.openxmlformats.org/officeDocument/2006/relationships" ref="S5082" r:id="rId5081"/>
    <hyperlink xmlns:r="http://schemas.openxmlformats.org/officeDocument/2006/relationships" ref="S5083" r:id="rId5082"/>
    <hyperlink xmlns:r="http://schemas.openxmlformats.org/officeDocument/2006/relationships" ref="S5084" r:id="rId5083"/>
    <hyperlink xmlns:r="http://schemas.openxmlformats.org/officeDocument/2006/relationships" ref="S5085" r:id="rId5084"/>
    <hyperlink xmlns:r="http://schemas.openxmlformats.org/officeDocument/2006/relationships" ref="S5086" r:id="rId5085"/>
    <hyperlink xmlns:r="http://schemas.openxmlformats.org/officeDocument/2006/relationships" ref="S5087" r:id="rId5086"/>
    <hyperlink xmlns:r="http://schemas.openxmlformats.org/officeDocument/2006/relationships" ref="S5088" r:id="rId5087"/>
    <hyperlink xmlns:r="http://schemas.openxmlformats.org/officeDocument/2006/relationships" ref="S5089" r:id="rId5088"/>
    <hyperlink xmlns:r="http://schemas.openxmlformats.org/officeDocument/2006/relationships" ref="S5090" r:id="rId5089"/>
    <hyperlink xmlns:r="http://schemas.openxmlformats.org/officeDocument/2006/relationships" ref="S5091" r:id="rId5090"/>
    <hyperlink xmlns:r="http://schemas.openxmlformats.org/officeDocument/2006/relationships" ref="S5092" r:id="rId5091"/>
    <hyperlink xmlns:r="http://schemas.openxmlformats.org/officeDocument/2006/relationships" ref="S5093" r:id="rId5092"/>
    <hyperlink xmlns:r="http://schemas.openxmlformats.org/officeDocument/2006/relationships" ref="S5094" r:id="rId5093"/>
    <hyperlink xmlns:r="http://schemas.openxmlformats.org/officeDocument/2006/relationships" ref="S5095" r:id="rId5094"/>
    <hyperlink xmlns:r="http://schemas.openxmlformats.org/officeDocument/2006/relationships" ref="S5096" r:id="rId5095"/>
    <hyperlink xmlns:r="http://schemas.openxmlformats.org/officeDocument/2006/relationships" ref="S5097" r:id="rId5096"/>
    <hyperlink xmlns:r="http://schemas.openxmlformats.org/officeDocument/2006/relationships" ref="S5098" r:id="rId5097"/>
    <hyperlink xmlns:r="http://schemas.openxmlformats.org/officeDocument/2006/relationships" ref="S5099" r:id="rId5098"/>
    <hyperlink xmlns:r="http://schemas.openxmlformats.org/officeDocument/2006/relationships" ref="S5100" r:id="rId5099"/>
    <hyperlink xmlns:r="http://schemas.openxmlformats.org/officeDocument/2006/relationships" ref="S5101" r:id="rId5100"/>
    <hyperlink xmlns:r="http://schemas.openxmlformats.org/officeDocument/2006/relationships" ref="S5102" r:id="rId5101"/>
    <hyperlink xmlns:r="http://schemas.openxmlformats.org/officeDocument/2006/relationships" ref="S5103" r:id="rId5102"/>
    <hyperlink xmlns:r="http://schemas.openxmlformats.org/officeDocument/2006/relationships" ref="S5104" r:id="rId5103"/>
    <hyperlink xmlns:r="http://schemas.openxmlformats.org/officeDocument/2006/relationships" ref="S5105" r:id="rId5104"/>
    <hyperlink xmlns:r="http://schemas.openxmlformats.org/officeDocument/2006/relationships" ref="S5106" r:id="rId5105"/>
    <hyperlink xmlns:r="http://schemas.openxmlformats.org/officeDocument/2006/relationships" ref="S5107" r:id="rId5106"/>
    <hyperlink xmlns:r="http://schemas.openxmlformats.org/officeDocument/2006/relationships" ref="S5108" r:id="rId5107"/>
    <hyperlink xmlns:r="http://schemas.openxmlformats.org/officeDocument/2006/relationships" ref="S5109" r:id="rId5108"/>
    <hyperlink xmlns:r="http://schemas.openxmlformats.org/officeDocument/2006/relationships" ref="S5110" r:id="rId5109"/>
    <hyperlink xmlns:r="http://schemas.openxmlformats.org/officeDocument/2006/relationships" ref="S5111" r:id="rId5110"/>
    <hyperlink xmlns:r="http://schemas.openxmlformats.org/officeDocument/2006/relationships" ref="S5112" r:id="rId5111"/>
    <hyperlink xmlns:r="http://schemas.openxmlformats.org/officeDocument/2006/relationships" ref="S5113" r:id="rId5112"/>
    <hyperlink xmlns:r="http://schemas.openxmlformats.org/officeDocument/2006/relationships" ref="S5114" r:id="rId5113"/>
    <hyperlink xmlns:r="http://schemas.openxmlformats.org/officeDocument/2006/relationships" ref="S5115" r:id="rId5114"/>
    <hyperlink xmlns:r="http://schemas.openxmlformats.org/officeDocument/2006/relationships" ref="S5116" r:id="rId5115"/>
    <hyperlink xmlns:r="http://schemas.openxmlformats.org/officeDocument/2006/relationships" ref="S5117" r:id="rId5116"/>
    <hyperlink xmlns:r="http://schemas.openxmlformats.org/officeDocument/2006/relationships" ref="S5118" r:id="rId5117"/>
    <hyperlink xmlns:r="http://schemas.openxmlformats.org/officeDocument/2006/relationships" ref="S5119" r:id="rId5118"/>
    <hyperlink xmlns:r="http://schemas.openxmlformats.org/officeDocument/2006/relationships" ref="S5120" r:id="rId5119"/>
    <hyperlink xmlns:r="http://schemas.openxmlformats.org/officeDocument/2006/relationships" ref="S5121" r:id="rId5120"/>
    <hyperlink xmlns:r="http://schemas.openxmlformats.org/officeDocument/2006/relationships" ref="S5122" r:id="rId5121"/>
    <hyperlink xmlns:r="http://schemas.openxmlformats.org/officeDocument/2006/relationships" ref="S5123" r:id="rId5122"/>
    <hyperlink xmlns:r="http://schemas.openxmlformats.org/officeDocument/2006/relationships" ref="S5124" r:id="rId5123"/>
    <hyperlink xmlns:r="http://schemas.openxmlformats.org/officeDocument/2006/relationships" ref="S5125" r:id="rId5124"/>
    <hyperlink xmlns:r="http://schemas.openxmlformats.org/officeDocument/2006/relationships" ref="S5126" r:id="rId5125"/>
    <hyperlink xmlns:r="http://schemas.openxmlformats.org/officeDocument/2006/relationships" ref="S5127" r:id="rId5126"/>
    <hyperlink xmlns:r="http://schemas.openxmlformats.org/officeDocument/2006/relationships" ref="S5128" r:id="rId5127"/>
    <hyperlink xmlns:r="http://schemas.openxmlformats.org/officeDocument/2006/relationships" ref="S5129" r:id="rId5128"/>
    <hyperlink xmlns:r="http://schemas.openxmlformats.org/officeDocument/2006/relationships" ref="S5130" r:id="rId5129"/>
    <hyperlink xmlns:r="http://schemas.openxmlformats.org/officeDocument/2006/relationships" ref="S5131" r:id="rId5130"/>
    <hyperlink xmlns:r="http://schemas.openxmlformats.org/officeDocument/2006/relationships" ref="S5132" r:id="rId5131"/>
    <hyperlink xmlns:r="http://schemas.openxmlformats.org/officeDocument/2006/relationships" ref="S5133" r:id="rId5132"/>
    <hyperlink xmlns:r="http://schemas.openxmlformats.org/officeDocument/2006/relationships" ref="S5134" r:id="rId5133"/>
    <hyperlink xmlns:r="http://schemas.openxmlformats.org/officeDocument/2006/relationships" ref="S5135" r:id="rId5134"/>
    <hyperlink xmlns:r="http://schemas.openxmlformats.org/officeDocument/2006/relationships" ref="S5136" r:id="rId5135"/>
    <hyperlink xmlns:r="http://schemas.openxmlformats.org/officeDocument/2006/relationships" ref="S5137" r:id="rId5136"/>
    <hyperlink xmlns:r="http://schemas.openxmlformats.org/officeDocument/2006/relationships" ref="S5138" r:id="rId5137"/>
    <hyperlink xmlns:r="http://schemas.openxmlformats.org/officeDocument/2006/relationships" ref="S5139" r:id="rId5138"/>
    <hyperlink xmlns:r="http://schemas.openxmlformats.org/officeDocument/2006/relationships" ref="S5140" r:id="rId5139"/>
    <hyperlink xmlns:r="http://schemas.openxmlformats.org/officeDocument/2006/relationships" ref="S5141" r:id="rId5140"/>
    <hyperlink xmlns:r="http://schemas.openxmlformats.org/officeDocument/2006/relationships" ref="S5142" r:id="rId5141"/>
    <hyperlink xmlns:r="http://schemas.openxmlformats.org/officeDocument/2006/relationships" ref="S5143" r:id="rId5142"/>
    <hyperlink xmlns:r="http://schemas.openxmlformats.org/officeDocument/2006/relationships" ref="S5144" r:id="rId5143"/>
    <hyperlink xmlns:r="http://schemas.openxmlformats.org/officeDocument/2006/relationships" ref="S5145" r:id="rId5144"/>
    <hyperlink xmlns:r="http://schemas.openxmlformats.org/officeDocument/2006/relationships" ref="S5146" r:id="rId5145"/>
    <hyperlink xmlns:r="http://schemas.openxmlformats.org/officeDocument/2006/relationships" ref="S5147" r:id="rId5146"/>
    <hyperlink xmlns:r="http://schemas.openxmlformats.org/officeDocument/2006/relationships" ref="S5148" r:id="rId5147"/>
    <hyperlink xmlns:r="http://schemas.openxmlformats.org/officeDocument/2006/relationships" ref="S5149" r:id="rId5148"/>
    <hyperlink xmlns:r="http://schemas.openxmlformats.org/officeDocument/2006/relationships" ref="S5150" r:id="rId5149"/>
    <hyperlink xmlns:r="http://schemas.openxmlformats.org/officeDocument/2006/relationships" ref="S5151" r:id="rId5150"/>
    <hyperlink xmlns:r="http://schemas.openxmlformats.org/officeDocument/2006/relationships" ref="S5152" r:id="rId5151"/>
    <hyperlink xmlns:r="http://schemas.openxmlformats.org/officeDocument/2006/relationships" ref="S5153" r:id="rId5152"/>
    <hyperlink xmlns:r="http://schemas.openxmlformats.org/officeDocument/2006/relationships" ref="S5154" r:id="rId5153"/>
    <hyperlink xmlns:r="http://schemas.openxmlformats.org/officeDocument/2006/relationships" ref="S5155" r:id="rId5154"/>
    <hyperlink xmlns:r="http://schemas.openxmlformats.org/officeDocument/2006/relationships" ref="S5156" r:id="rId5155"/>
    <hyperlink xmlns:r="http://schemas.openxmlformats.org/officeDocument/2006/relationships" ref="S5157" r:id="rId5156"/>
    <hyperlink xmlns:r="http://schemas.openxmlformats.org/officeDocument/2006/relationships" ref="S5158" r:id="rId5157"/>
    <hyperlink xmlns:r="http://schemas.openxmlformats.org/officeDocument/2006/relationships" ref="S5159" r:id="rId5158"/>
    <hyperlink xmlns:r="http://schemas.openxmlformats.org/officeDocument/2006/relationships" ref="S5160" r:id="rId5159"/>
    <hyperlink xmlns:r="http://schemas.openxmlformats.org/officeDocument/2006/relationships" ref="S5161" r:id="rId5160"/>
    <hyperlink xmlns:r="http://schemas.openxmlformats.org/officeDocument/2006/relationships" ref="S5162" r:id="rId5161"/>
    <hyperlink xmlns:r="http://schemas.openxmlformats.org/officeDocument/2006/relationships" ref="S5163" r:id="rId5162"/>
    <hyperlink xmlns:r="http://schemas.openxmlformats.org/officeDocument/2006/relationships" ref="S5164" r:id="rId5163"/>
    <hyperlink xmlns:r="http://schemas.openxmlformats.org/officeDocument/2006/relationships" ref="S5165" r:id="rId5164"/>
    <hyperlink xmlns:r="http://schemas.openxmlformats.org/officeDocument/2006/relationships" ref="S5166" r:id="rId5165"/>
    <hyperlink xmlns:r="http://schemas.openxmlformats.org/officeDocument/2006/relationships" ref="S5167" r:id="rId5166"/>
    <hyperlink xmlns:r="http://schemas.openxmlformats.org/officeDocument/2006/relationships" ref="S5168" r:id="rId5167"/>
    <hyperlink xmlns:r="http://schemas.openxmlformats.org/officeDocument/2006/relationships" ref="S5169" r:id="rId5168"/>
    <hyperlink xmlns:r="http://schemas.openxmlformats.org/officeDocument/2006/relationships" ref="S5170" r:id="rId5169"/>
    <hyperlink xmlns:r="http://schemas.openxmlformats.org/officeDocument/2006/relationships" ref="S5171" r:id="rId5170"/>
    <hyperlink xmlns:r="http://schemas.openxmlformats.org/officeDocument/2006/relationships" ref="S5172" r:id="rId5171"/>
    <hyperlink xmlns:r="http://schemas.openxmlformats.org/officeDocument/2006/relationships" ref="S5173" r:id="rId5172"/>
    <hyperlink xmlns:r="http://schemas.openxmlformats.org/officeDocument/2006/relationships" ref="S5174" r:id="rId5173"/>
    <hyperlink xmlns:r="http://schemas.openxmlformats.org/officeDocument/2006/relationships" ref="S5175" r:id="rId5174"/>
    <hyperlink xmlns:r="http://schemas.openxmlformats.org/officeDocument/2006/relationships" ref="S5176" r:id="rId5175"/>
    <hyperlink xmlns:r="http://schemas.openxmlformats.org/officeDocument/2006/relationships" ref="S5177" r:id="rId5176"/>
    <hyperlink xmlns:r="http://schemas.openxmlformats.org/officeDocument/2006/relationships" ref="S5178" r:id="rId5177"/>
    <hyperlink xmlns:r="http://schemas.openxmlformats.org/officeDocument/2006/relationships" ref="S5179" r:id="rId5178"/>
    <hyperlink xmlns:r="http://schemas.openxmlformats.org/officeDocument/2006/relationships" ref="S5180" r:id="rId5179"/>
    <hyperlink xmlns:r="http://schemas.openxmlformats.org/officeDocument/2006/relationships" ref="S5181" r:id="rId5180"/>
    <hyperlink xmlns:r="http://schemas.openxmlformats.org/officeDocument/2006/relationships" ref="S5182" r:id="rId5181"/>
    <hyperlink xmlns:r="http://schemas.openxmlformats.org/officeDocument/2006/relationships" ref="S5183" r:id="rId5182"/>
    <hyperlink xmlns:r="http://schemas.openxmlformats.org/officeDocument/2006/relationships" ref="S5184" r:id="rId5183"/>
    <hyperlink xmlns:r="http://schemas.openxmlformats.org/officeDocument/2006/relationships" ref="S5185" r:id="rId5184"/>
    <hyperlink xmlns:r="http://schemas.openxmlformats.org/officeDocument/2006/relationships" ref="S5186" r:id="rId5185"/>
    <hyperlink xmlns:r="http://schemas.openxmlformats.org/officeDocument/2006/relationships" ref="S5187" r:id="rId5186"/>
    <hyperlink xmlns:r="http://schemas.openxmlformats.org/officeDocument/2006/relationships" ref="S5188" r:id="rId5187"/>
    <hyperlink xmlns:r="http://schemas.openxmlformats.org/officeDocument/2006/relationships" ref="S5189" r:id="rId5188"/>
    <hyperlink xmlns:r="http://schemas.openxmlformats.org/officeDocument/2006/relationships" ref="S5190" r:id="rId5189"/>
    <hyperlink xmlns:r="http://schemas.openxmlformats.org/officeDocument/2006/relationships" ref="S5191" r:id="rId5190"/>
    <hyperlink xmlns:r="http://schemas.openxmlformats.org/officeDocument/2006/relationships" ref="S5192" r:id="rId5191"/>
    <hyperlink xmlns:r="http://schemas.openxmlformats.org/officeDocument/2006/relationships" ref="S5193" r:id="rId5192"/>
    <hyperlink xmlns:r="http://schemas.openxmlformats.org/officeDocument/2006/relationships" ref="S5194" r:id="rId5193"/>
    <hyperlink xmlns:r="http://schemas.openxmlformats.org/officeDocument/2006/relationships" ref="S5195" r:id="rId5194"/>
    <hyperlink xmlns:r="http://schemas.openxmlformats.org/officeDocument/2006/relationships" ref="S5196" r:id="rId5195"/>
    <hyperlink xmlns:r="http://schemas.openxmlformats.org/officeDocument/2006/relationships" ref="S5197" r:id="rId5196"/>
    <hyperlink xmlns:r="http://schemas.openxmlformats.org/officeDocument/2006/relationships" ref="S5198" r:id="rId5197"/>
    <hyperlink xmlns:r="http://schemas.openxmlformats.org/officeDocument/2006/relationships" ref="S5199" r:id="rId5198"/>
    <hyperlink xmlns:r="http://schemas.openxmlformats.org/officeDocument/2006/relationships" ref="S5200" r:id="rId5199"/>
    <hyperlink xmlns:r="http://schemas.openxmlformats.org/officeDocument/2006/relationships" ref="S5201" r:id="rId5200"/>
    <hyperlink xmlns:r="http://schemas.openxmlformats.org/officeDocument/2006/relationships" ref="S5202" r:id="rId5201"/>
    <hyperlink xmlns:r="http://schemas.openxmlformats.org/officeDocument/2006/relationships" ref="S5203" r:id="rId5202"/>
    <hyperlink xmlns:r="http://schemas.openxmlformats.org/officeDocument/2006/relationships" ref="S5204" r:id="rId5203"/>
    <hyperlink xmlns:r="http://schemas.openxmlformats.org/officeDocument/2006/relationships" ref="S5205" r:id="rId5204"/>
    <hyperlink xmlns:r="http://schemas.openxmlformats.org/officeDocument/2006/relationships" ref="S5206" r:id="rId5205"/>
    <hyperlink xmlns:r="http://schemas.openxmlformats.org/officeDocument/2006/relationships" ref="S5207" r:id="rId5206"/>
    <hyperlink xmlns:r="http://schemas.openxmlformats.org/officeDocument/2006/relationships" ref="S5208" r:id="rId5207"/>
    <hyperlink xmlns:r="http://schemas.openxmlformats.org/officeDocument/2006/relationships" ref="S5209" r:id="rId5208"/>
    <hyperlink xmlns:r="http://schemas.openxmlformats.org/officeDocument/2006/relationships" ref="S5210" r:id="rId5209"/>
    <hyperlink xmlns:r="http://schemas.openxmlformats.org/officeDocument/2006/relationships" ref="S5211" r:id="rId5210"/>
    <hyperlink xmlns:r="http://schemas.openxmlformats.org/officeDocument/2006/relationships" ref="S5212" r:id="rId5211"/>
    <hyperlink xmlns:r="http://schemas.openxmlformats.org/officeDocument/2006/relationships" ref="S5213" r:id="rId5212"/>
    <hyperlink xmlns:r="http://schemas.openxmlformats.org/officeDocument/2006/relationships" ref="S5214" r:id="rId5213"/>
    <hyperlink xmlns:r="http://schemas.openxmlformats.org/officeDocument/2006/relationships" ref="S5215" r:id="rId5214"/>
    <hyperlink xmlns:r="http://schemas.openxmlformats.org/officeDocument/2006/relationships" ref="S5216" r:id="rId5215"/>
    <hyperlink xmlns:r="http://schemas.openxmlformats.org/officeDocument/2006/relationships" ref="S5217" r:id="rId5216"/>
    <hyperlink xmlns:r="http://schemas.openxmlformats.org/officeDocument/2006/relationships" ref="S5218" r:id="rId5217"/>
    <hyperlink xmlns:r="http://schemas.openxmlformats.org/officeDocument/2006/relationships" ref="S5219" r:id="rId5218"/>
    <hyperlink xmlns:r="http://schemas.openxmlformats.org/officeDocument/2006/relationships" ref="S5220" r:id="rId5219"/>
    <hyperlink xmlns:r="http://schemas.openxmlformats.org/officeDocument/2006/relationships" ref="S5221" r:id="rId5220"/>
    <hyperlink xmlns:r="http://schemas.openxmlformats.org/officeDocument/2006/relationships" ref="S5222" r:id="rId5221"/>
    <hyperlink xmlns:r="http://schemas.openxmlformats.org/officeDocument/2006/relationships" ref="S5223" r:id="rId5222"/>
    <hyperlink xmlns:r="http://schemas.openxmlformats.org/officeDocument/2006/relationships" ref="S5224" r:id="rId5223"/>
    <hyperlink xmlns:r="http://schemas.openxmlformats.org/officeDocument/2006/relationships" ref="S5225" r:id="rId5224"/>
    <hyperlink xmlns:r="http://schemas.openxmlformats.org/officeDocument/2006/relationships" ref="S5226" r:id="rId5225"/>
    <hyperlink xmlns:r="http://schemas.openxmlformats.org/officeDocument/2006/relationships" ref="S5227" r:id="rId5226"/>
    <hyperlink xmlns:r="http://schemas.openxmlformats.org/officeDocument/2006/relationships" ref="S5228" r:id="rId5227"/>
    <hyperlink xmlns:r="http://schemas.openxmlformats.org/officeDocument/2006/relationships" ref="S5229" r:id="rId5228"/>
    <hyperlink xmlns:r="http://schemas.openxmlformats.org/officeDocument/2006/relationships" ref="S5230" r:id="rId5229"/>
    <hyperlink xmlns:r="http://schemas.openxmlformats.org/officeDocument/2006/relationships" ref="S5231" r:id="rId5230"/>
    <hyperlink xmlns:r="http://schemas.openxmlformats.org/officeDocument/2006/relationships" ref="S5232" r:id="rId5231"/>
    <hyperlink xmlns:r="http://schemas.openxmlformats.org/officeDocument/2006/relationships" ref="S5233" r:id="rId5232"/>
    <hyperlink xmlns:r="http://schemas.openxmlformats.org/officeDocument/2006/relationships" ref="S5234" r:id="rId5233"/>
    <hyperlink xmlns:r="http://schemas.openxmlformats.org/officeDocument/2006/relationships" ref="S5235" r:id="rId5234"/>
    <hyperlink xmlns:r="http://schemas.openxmlformats.org/officeDocument/2006/relationships" ref="S5236" r:id="rId5235"/>
    <hyperlink xmlns:r="http://schemas.openxmlformats.org/officeDocument/2006/relationships" ref="S5237" r:id="rId5236"/>
    <hyperlink xmlns:r="http://schemas.openxmlformats.org/officeDocument/2006/relationships" ref="S5238" r:id="rId5237"/>
    <hyperlink xmlns:r="http://schemas.openxmlformats.org/officeDocument/2006/relationships" ref="S5239" r:id="rId5238"/>
    <hyperlink xmlns:r="http://schemas.openxmlformats.org/officeDocument/2006/relationships" ref="S5240" r:id="rId5239"/>
    <hyperlink xmlns:r="http://schemas.openxmlformats.org/officeDocument/2006/relationships" ref="S5241" r:id="rId5240"/>
    <hyperlink xmlns:r="http://schemas.openxmlformats.org/officeDocument/2006/relationships" ref="S5242" r:id="rId5241"/>
    <hyperlink xmlns:r="http://schemas.openxmlformats.org/officeDocument/2006/relationships" ref="S5243" r:id="rId5242"/>
    <hyperlink xmlns:r="http://schemas.openxmlformats.org/officeDocument/2006/relationships" ref="S5244" r:id="rId5243"/>
    <hyperlink xmlns:r="http://schemas.openxmlformats.org/officeDocument/2006/relationships" ref="S5245" r:id="rId5244"/>
    <hyperlink xmlns:r="http://schemas.openxmlformats.org/officeDocument/2006/relationships" ref="S5246" r:id="rId5245"/>
    <hyperlink xmlns:r="http://schemas.openxmlformats.org/officeDocument/2006/relationships" ref="S5247" r:id="rId5246"/>
    <hyperlink xmlns:r="http://schemas.openxmlformats.org/officeDocument/2006/relationships" ref="S5248" r:id="rId5247"/>
    <hyperlink xmlns:r="http://schemas.openxmlformats.org/officeDocument/2006/relationships" ref="S5249" r:id="rId5248"/>
    <hyperlink xmlns:r="http://schemas.openxmlformats.org/officeDocument/2006/relationships" ref="S5250" r:id="rId5249"/>
    <hyperlink xmlns:r="http://schemas.openxmlformats.org/officeDocument/2006/relationships" ref="S5251" r:id="rId5250"/>
    <hyperlink xmlns:r="http://schemas.openxmlformats.org/officeDocument/2006/relationships" ref="S5252" r:id="rId5251"/>
    <hyperlink xmlns:r="http://schemas.openxmlformats.org/officeDocument/2006/relationships" ref="S5253" r:id="rId5252"/>
    <hyperlink xmlns:r="http://schemas.openxmlformats.org/officeDocument/2006/relationships" ref="S5254" r:id="rId5253"/>
    <hyperlink xmlns:r="http://schemas.openxmlformats.org/officeDocument/2006/relationships" ref="S5255" r:id="rId5254"/>
    <hyperlink xmlns:r="http://schemas.openxmlformats.org/officeDocument/2006/relationships" ref="S5256" r:id="rId5255"/>
    <hyperlink xmlns:r="http://schemas.openxmlformats.org/officeDocument/2006/relationships" ref="S5257" r:id="rId5256"/>
    <hyperlink xmlns:r="http://schemas.openxmlformats.org/officeDocument/2006/relationships" ref="S5258" r:id="rId5257"/>
    <hyperlink xmlns:r="http://schemas.openxmlformats.org/officeDocument/2006/relationships" ref="S5259" r:id="rId5258"/>
    <hyperlink xmlns:r="http://schemas.openxmlformats.org/officeDocument/2006/relationships" ref="S5260" r:id="rId5259"/>
    <hyperlink xmlns:r="http://schemas.openxmlformats.org/officeDocument/2006/relationships" ref="S5261" r:id="rId5260"/>
    <hyperlink xmlns:r="http://schemas.openxmlformats.org/officeDocument/2006/relationships" ref="S5262" r:id="rId5261"/>
    <hyperlink xmlns:r="http://schemas.openxmlformats.org/officeDocument/2006/relationships" ref="S5263" r:id="rId5262"/>
    <hyperlink xmlns:r="http://schemas.openxmlformats.org/officeDocument/2006/relationships" ref="S5264" r:id="rId5263"/>
    <hyperlink xmlns:r="http://schemas.openxmlformats.org/officeDocument/2006/relationships" ref="S5265" r:id="rId5264"/>
    <hyperlink xmlns:r="http://schemas.openxmlformats.org/officeDocument/2006/relationships" ref="S5266" r:id="rId5265"/>
    <hyperlink xmlns:r="http://schemas.openxmlformats.org/officeDocument/2006/relationships" ref="S5267" r:id="rId5266"/>
    <hyperlink xmlns:r="http://schemas.openxmlformats.org/officeDocument/2006/relationships" ref="S5268" r:id="rId5267"/>
    <hyperlink xmlns:r="http://schemas.openxmlformats.org/officeDocument/2006/relationships" ref="S5269" r:id="rId5268"/>
    <hyperlink xmlns:r="http://schemas.openxmlformats.org/officeDocument/2006/relationships" ref="S5270" r:id="rId5269"/>
    <hyperlink xmlns:r="http://schemas.openxmlformats.org/officeDocument/2006/relationships" ref="S5271" r:id="rId5270"/>
    <hyperlink xmlns:r="http://schemas.openxmlformats.org/officeDocument/2006/relationships" ref="S5272" r:id="rId5271"/>
    <hyperlink xmlns:r="http://schemas.openxmlformats.org/officeDocument/2006/relationships" ref="S5273" r:id="rId5272"/>
    <hyperlink xmlns:r="http://schemas.openxmlformats.org/officeDocument/2006/relationships" ref="S5274" r:id="rId5273"/>
    <hyperlink xmlns:r="http://schemas.openxmlformats.org/officeDocument/2006/relationships" ref="S5275" r:id="rId5274"/>
    <hyperlink xmlns:r="http://schemas.openxmlformats.org/officeDocument/2006/relationships" ref="S5276" r:id="rId5275"/>
    <hyperlink xmlns:r="http://schemas.openxmlformats.org/officeDocument/2006/relationships" ref="S5277" r:id="rId5276"/>
    <hyperlink xmlns:r="http://schemas.openxmlformats.org/officeDocument/2006/relationships" ref="S5278" r:id="rId5277"/>
    <hyperlink xmlns:r="http://schemas.openxmlformats.org/officeDocument/2006/relationships" ref="S5279" r:id="rId5278"/>
    <hyperlink xmlns:r="http://schemas.openxmlformats.org/officeDocument/2006/relationships" ref="S5280" r:id="rId5279"/>
    <hyperlink xmlns:r="http://schemas.openxmlformats.org/officeDocument/2006/relationships" ref="S5281" r:id="rId5280"/>
    <hyperlink xmlns:r="http://schemas.openxmlformats.org/officeDocument/2006/relationships" ref="S5282" r:id="rId5281"/>
    <hyperlink xmlns:r="http://schemas.openxmlformats.org/officeDocument/2006/relationships" ref="S5283" r:id="rId5282"/>
    <hyperlink xmlns:r="http://schemas.openxmlformats.org/officeDocument/2006/relationships" ref="S5284" r:id="rId5283"/>
    <hyperlink xmlns:r="http://schemas.openxmlformats.org/officeDocument/2006/relationships" ref="S5285" r:id="rId5284"/>
    <hyperlink xmlns:r="http://schemas.openxmlformats.org/officeDocument/2006/relationships" ref="S5286" r:id="rId5285"/>
    <hyperlink xmlns:r="http://schemas.openxmlformats.org/officeDocument/2006/relationships" ref="S5287" r:id="rId5286"/>
    <hyperlink xmlns:r="http://schemas.openxmlformats.org/officeDocument/2006/relationships" ref="S5288" r:id="rId5287"/>
    <hyperlink xmlns:r="http://schemas.openxmlformats.org/officeDocument/2006/relationships" ref="S5289" r:id="rId5288"/>
    <hyperlink xmlns:r="http://schemas.openxmlformats.org/officeDocument/2006/relationships" ref="S5290" r:id="rId5289"/>
    <hyperlink xmlns:r="http://schemas.openxmlformats.org/officeDocument/2006/relationships" ref="S5291" r:id="rId5290"/>
    <hyperlink xmlns:r="http://schemas.openxmlformats.org/officeDocument/2006/relationships" ref="S5292" r:id="rId5291"/>
    <hyperlink xmlns:r="http://schemas.openxmlformats.org/officeDocument/2006/relationships" ref="S5293" r:id="rId5292"/>
    <hyperlink xmlns:r="http://schemas.openxmlformats.org/officeDocument/2006/relationships" ref="S5294" r:id="rId5293"/>
    <hyperlink xmlns:r="http://schemas.openxmlformats.org/officeDocument/2006/relationships" ref="S5295" r:id="rId5294"/>
    <hyperlink xmlns:r="http://schemas.openxmlformats.org/officeDocument/2006/relationships" ref="S5296" r:id="rId5295"/>
    <hyperlink xmlns:r="http://schemas.openxmlformats.org/officeDocument/2006/relationships" ref="S5297" r:id="rId5296"/>
    <hyperlink xmlns:r="http://schemas.openxmlformats.org/officeDocument/2006/relationships" ref="S5298" r:id="rId5297"/>
    <hyperlink xmlns:r="http://schemas.openxmlformats.org/officeDocument/2006/relationships" ref="S5299" r:id="rId5298"/>
    <hyperlink xmlns:r="http://schemas.openxmlformats.org/officeDocument/2006/relationships" ref="S5300" r:id="rId5299"/>
    <hyperlink xmlns:r="http://schemas.openxmlformats.org/officeDocument/2006/relationships" ref="S5301" r:id="rId5300"/>
    <hyperlink xmlns:r="http://schemas.openxmlformats.org/officeDocument/2006/relationships" ref="S5302" r:id="rId5301"/>
    <hyperlink xmlns:r="http://schemas.openxmlformats.org/officeDocument/2006/relationships" ref="S5303" r:id="rId5302"/>
    <hyperlink xmlns:r="http://schemas.openxmlformats.org/officeDocument/2006/relationships" ref="S5304" r:id="rId5303"/>
    <hyperlink xmlns:r="http://schemas.openxmlformats.org/officeDocument/2006/relationships" ref="S5305" r:id="rId5304"/>
    <hyperlink xmlns:r="http://schemas.openxmlformats.org/officeDocument/2006/relationships" ref="S5306" r:id="rId5305"/>
    <hyperlink xmlns:r="http://schemas.openxmlformats.org/officeDocument/2006/relationships" ref="S5307" r:id="rId5306"/>
    <hyperlink xmlns:r="http://schemas.openxmlformats.org/officeDocument/2006/relationships" ref="S5308" r:id="rId5307"/>
    <hyperlink xmlns:r="http://schemas.openxmlformats.org/officeDocument/2006/relationships" ref="S5309" r:id="rId5308"/>
    <hyperlink xmlns:r="http://schemas.openxmlformats.org/officeDocument/2006/relationships" ref="S5310" r:id="rId5309"/>
    <hyperlink xmlns:r="http://schemas.openxmlformats.org/officeDocument/2006/relationships" ref="S5311" r:id="rId5310"/>
    <hyperlink xmlns:r="http://schemas.openxmlformats.org/officeDocument/2006/relationships" ref="S5312" r:id="rId5311"/>
    <hyperlink xmlns:r="http://schemas.openxmlformats.org/officeDocument/2006/relationships" ref="S5313" r:id="rId5312"/>
    <hyperlink xmlns:r="http://schemas.openxmlformats.org/officeDocument/2006/relationships" ref="S5314" r:id="rId5313"/>
    <hyperlink xmlns:r="http://schemas.openxmlformats.org/officeDocument/2006/relationships" ref="S5315" r:id="rId5314"/>
    <hyperlink xmlns:r="http://schemas.openxmlformats.org/officeDocument/2006/relationships" ref="S5316" r:id="rId5315"/>
    <hyperlink xmlns:r="http://schemas.openxmlformats.org/officeDocument/2006/relationships" ref="S5317" r:id="rId5316"/>
    <hyperlink xmlns:r="http://schemas.openxmlformats.org/officeDocument/2006/relationships" ref="S5318" r:id="rId5317"/>
    <hyperlink xmlns:r="http://schemas.openxmlformats.org/officeDocument/2006/relationships" ref="S5319" r:id="rId5318"/>
    <hyperlink xmlns:r="http://schemas.openxmlformats.org/officeDocument/2006/relationships" ref="S5320" r:id="rId5319"/>
    <hyperlink xmlns:r="http://schemas.openxmlformats.org/officeDocument/2006/relationships" ref="S5321" r:id="rId5320"/>
    <hyperlink xmlns:r="http://schemas.openxmlformats.org/officeDocument/2006/relationships" ref="S5322" r:id="rId5321"/>
    <hyperlink xmlns:r="http://schemas.openxmlformats.org/officeDocument/2006/relationships" ref="S5323" r:id="rId5322"/>
    <hyperlink xmlns:r="http://schemas.openxmlformats.org/officeDocument/2006/relationships" ref="S5324" r:id="rId5323"/>
    <hyperlink xmlns:r="http://schemas.openxmlformats.org/officeDocument/2006/relationships" ref="S5325" r:id="rId5324"/>
    <hyperlink xmlns:r="http://schemas.openxmlformats.org/officeDocument/2006/relationships" ref="S5326" r:id="rId5325"/>
    <hyperlink xmlns:r="http://schemas.openxmlformats.org/officeDocument/2006/relationships" ref="S5327" r:id="rId5326"/>
    <hyperlink xmlns:r="http://schemas.openxmlformats.org/officeDocument/2006/relationships" ref="S5328" r:id="rId5327"/>
    <hyperlink xmlns:r="http://schemas.openxmlformats.org/officeDocument/2006/relationships" ref="S5329" r:id="rId5328"/>
    <hyperlink xmlns:r="http://schemas.openxmlformats.org/officeDocument/2006/relationships" ref="S5330" r:id="rId5329"/>
    <hyperlink xmlns:r="http://schemas.openxmlformats.org/officeDocument/2006/relationships" ref="S5331" r:id="rId5330"/>
    <hyperlink xmlns:r="http://schemas.openxmlformats.org/officeDocument/2006/relationships" ref="S5332" r:id="rId5331"/>
    <hyperlink xmlns:r="http://schemas.openxmlformats.org/officeDocument/2006/relationships" ref="S5333" r:id="rId5332"/>
    <hyperlink xmlns:r="http://schemas.openxmlformats.org/officeDocument/2006/relationships" ref="S5334" r:id="rId5333"/>
    <hyperlink xmlns:r="http://schemas.openxmlformats.org/officeDocument/2006/relationships" ref="S5335" r:id="rId5334"/>
    <hyperlink xmlns:r="http://schemas.openxmlformats.org/officeDocument/2006/relationships" ref="S5336" r:id="rId5335"/>
    <hyperlink xmlns:r="http://schemas.openxmlformats.org/officeDocument/2006/relationships" ref="S5337" r:id="rId5336"/>
    <hyperlink xmlns:r="http://schemas.openxmlformats.org/officeDocument/2006/relationships" ref="S5338" r:id="rId5337"/>
    <hyperlink xmlns:r="http://schemas.openxmlformats.org/officeDocument/2006/relationships" ref="S5339" r:id="rId5338"/>
    <hyperlink xmlns:r="http://schemas.openxmlformats.org/officeDocument/2006/relationships" ref="S5340" r:id="rId5339"/>
    <hyperlink xmlns:r="http://schemas.openxmlformats.org/officeDocument/2006/relationships" ref="S5341" r:id="rId5340"/>
    <hyperlink xmlns:r="http://schemas.openxmlformats.org/officeDocument/2006/relationships" ref="S5342" r:id="rId5341"/>
    <hyperlink xmlns:r="http://schemas.openxmlformats.org/officeDocument/2006/relationships" ref="S5343" r:id="rId5342"/>
    <hyperlink xmlns:r="http://schemas.openxmlformats.org/officeDocument/2006/relationships" ref="S5344" r:id="rId5343"/>
    <hyperlink xmlns:r="http://schemas.openxmlformats.org/officeDocument/2006/relationships" ref="S5345" r:id="rId5344"/>
    <hyperlink xmlns:r="http://schemas.openxmlformats.org/officeDocument/2006/relationships" ref="S5346" r:id="rId5345"/>
    <hyperlink xmlns:r="http://schemas.openxmlformats.org/officeDocument/2006/relationships" ref="S5347" r:id="rId5346"/>
    <hyperlink xmlns:r="http://schemas.openxmlformats.org/officeDocument/2006/relationships" ref="S5348" r:id="rId5347"/>
    <hyperlink xmlns:r="http://schemas.openxmlformats.org/officeDocument/2006/relationships" ref="S5349" r:id="rId5348"/>
    <hyperlink xmlns:r="http://schemas.openxmlformats.org/officeDocument/2006/relationships" ref="S5350" r:id="rId5349"/>
    <hyperlink xmlns:r="http://schemas.openxmlformats.org/officeDocument/2006/relationships" ref="S5351" r:id="rId5350"/>
    <hyperlink xmlns:r="http://schemas.openxmlformats.org/officeDocument/2006/relationships" ref="S5352" r:id="rId5351"/>
    <hyperlink xmlns:r="http://schemas.openxmlformats.org/officeDocument/2006/relationships" ref="S5353" r:id="rId5352"/>
    <hyperlink xmlns:r="http://schemas.openxmlformats.org/officeDocument/2006/relationships" ref="S5354" r:id="rId5353"/>
    <hyperlink xmlns:r="http://schemas.openxmlformats.org/officeDocument/2006/relationships" ref="S5355" r:id="rId5354"/>
    <hyperlink xmlns:r="http://schemas.openxmlformats.org/officeDocument/2006/relationships" ref="S5356" r:id="rId5355"/>
    <hyperlink xmlns:r="http://schemas.openxmlformats.org/officeDocument/2006/relationships" ref="S5357" r:id="rId5356"/>
    <hyperlink xmlns:r="http://schemas.openxmlformats.org/officeDocument/2006/relationships" ref="S5358" r:id="rId5357"/>
    <hyperlink xmlns:r="http://schemas.openxmlformats.org/officeDocument/2006/relationships" ref="S5359" r:id="rId5358"/>
    <hyperlink xmlns:r="http://schemas.openxmlformats.org/officeDocument/2006/relationships" ref="S5360" r:id="rId5359"/>
    <hyperlink xmlns:r="http://schemas.openxmlformats.org/officeDocument/2006/relationships" ref="S5361" r:id="rId5360"/>
    <hyperlink xmlns:r="http://schemas.openxmlformats.org/officeDocument/2006/relationships" ref="S5362" r:id="rId5361"/>
    <hyperlink xmlns:r="http://schemas.openxmlformats.org/officeDocument/2006/relationships" ref="S5363" r:id="rId5362"/>
    <hyperlink xmlns:r="http://schemas.openxmlformats.org/officeDocument/2006/relationships" ref="S5364" r:id="rId5363"/>
    <hyperlink xmlns:r="http://schemas.openxmlformats.org/officeDocument/2006/relationships" ref="S5365" r:id="rId5364"/>
    <hyperlink xmlns:r="http://schemas.openxmlformats.org/officeDocument/2006/relationships" ref="S5366" r:id="rId5365"/>
    <hyperlink xmlns:r="http://schemas.openxmlformats.org/officeDocument/2006/relationships" ref="S5367" r:id="rId5366"/>
    <hyperlink xmlns:r="http://schemas.openxmlformats.org/officeDocument/2006/relationships" ref="S5368" r:id="rId5367"/>
    <hyperlink xmlns:r="http://schemas.openxmlformats.org/officeDocument/2006/relationships" ref="S5369" r:id="rId5368"/>
    <hyperlink xmlns:r="http://schemas.openxmlformats.org/officeDocument/2006/relationships" ref="S5370" r:id="rId5369"/>
    <hyperlink xmlns:r="http://schemas.openxmlformats.org/officeDocument/2006/relationships" ref="S5371" r:id="rId5370"/>
    <hyperlink xmlns:r="http://schemas.openxmlformats.org/officeDocument/2006/relationships" ref="S5372" r:id="rId5371"/>
    <hyperlink xmlns:r="http://schemas.openxmlformats.org/officeDocument/2006/relationships" ref="S5373" r:id="rId5372"/>
    <hyperlink xmlns:r="http://schemas.openxmlformats.org/officeDocument/2006/relationships" ref="S5374" r:id="rId5373"/>
    <hyperlink xmlns:r="http://schemas.openxmlformats.org/officeDocument/2006/relationships" ref="S5375" r:id="rId5374"/>
    <hyperlink xmlns:r="http://schemas.openxmlformats.org/officeDocument/2006/relationships" ref="S5376" r:id="rId5375"/>
    <hyperlink xmlns:r="http://schemas.openxmlformats.org/officeDocument/2006/relationships" ref="S5377" r:id="rId5376"/>
    <hyperlink xmlns:r="http://schemas.openxmlformats.org/officeDocument/2006/relationships" ref="S5378" r:id="rId5377"/>
    <hyperlink xmlns:r="http://schemas.openxmlformats.org/officeDocument/2006/relationships" ref="S5379" r:id="rId5378"/>
    <hyperlink xmlns:r="http://schemas.openxmlformats.org/officeDocument/2006/relationships" ref="S5380" r:id="rId5379"/>
    <hyperlink xmlns:r="http://schemas.openxmlformats.org/officeDocument/2006/relationships" ref="S5381" r:id="rId5380"/>
    <hyperlink xmlns:r="http://schemas.openxmlformats.org/officeDocument/2006/relationships" ref="S5382" r:id="rId5381"/>
    <hyperlink xmlns:r="http://schemas.openxmlformats.org/officeDocument/2006/relationships" ref="S5383" r:id="rId5382"/>
    <hyperlink xmlns:r="http://schemas.openxmlformats.org/officeDocument/2006/relationships" ref="S5384" r:id="rId5383"/>
    <hyperlink xmlns:r="http://schemas.openxmlformats.org/officeDocument/2006/relationships" ref="S5385" r:id="rId5384"/>
    <hyperlink xmlns:r="http://schemas.openxmlformats.org/officeDocument/2006/relationships" ref="S5386" r:id="rId5385"/>
    <hyperlink xmlns:r="http://schemas.openxmlformats.org/officeDocument/2006/relationships" ref="S5387" r:id="rId5386"/>
    <hyperlink xmlns:r="http://schemas.openxmlformats.org/officeDocument/2006/relationships" ref="S5388" r:id="rId5387"/>
    <hyperlink xmlns:r="http://schemas.openxmlformats.org/officeDocument/2006/relationships" ref="S5389" r:id="rId5388"/>
    <hyperlink xmlns:r="http://schemas.openxmlformats.org/officeDocument/2006/relationships" ref="S5390" r:id="rId5389"/>
    <hyperlink xmlns:r="http://schemas.openxmlformats.org/officeDocument/2006/relationships" ref="S5391" r:id="rId5390"/>
    <hyperlink xmlns:r="http://schemas.openxmlformats.org/officeDocument/2006/relationships" ref="S5392" r:id="rId5391"/>
    <hyperlink xmlns:r="http://schemas.openxmlformats.org/officeDocument/2006/relationships" ref="S5393" r:id="rId5392"/>
    <hyperlink xmlns:r="http://schemas.openxmlformats.org/officeDocument/2006/relationships" ref="S5394" r:id="rId5393"/>
    <hyperlink xmlns:r="http://schemas.openxmlformats.org/officeDocument/2006/relationships" ref="S5395" r:id="rId5394"/>
    <hyperlink xmlns:r="http://schemas.openxmlformats.org/officeDocument/2006/relationships" ref="S5396" r:id="rId5395"/>
    <hyperlink xmlns:r="http://schemas.openxmlformats.org/officeDocument/2006/relationships" ref="S5397" r:id="rId5396"/>
    <hyperlink xmlns:r="http://schemas.openxmlformats.org/officeDocument/2006/relationships" ref="S5398" r:id="rId5397"/>
    <hyperlink xmlns:r="http://schemas.openxmlformats.org/officeDocument/2006/relationships" ref="S5399" r:id="rId5398"/>
    <hyperlink xmlns:r="http://schemas.openxmlformats.org/officeDocument/2006/relationships" ref="S5400" r:id="rId5399"/>
    <hyperlink xmlns:r="http://schemas.openxmlformats.org/officeDocument/2006/relationships" ref="S5401" r:id="rId5400"/>
    <hyperlink xmlns:r="http://schemas.openxmlformats.org/officeDocument/2006/relationships" ref="S5402" r:id="rId5401"/>
    <hyperlink xmlns:r="http://schemas.openxmlformats.org/officeDocument/2006/relationships" ref="S5403" r:id="rId5402"/>
    <hyperlink xmlns:r="http://schemas.openxmlformats.org/officeDocument/2006/relationships" ref="S5404" r:id="rId5403"/>
    <hyperlink xmlns:r="http://schemas.openxmlformats.org/officeDocument/2006/relationships" ref="S5405" r:id="rId5404"/>
    <hyperlink xmlns:r="http://schemas.openxmlformats.org/officeDocument/2006/relationships" ref="S5406" r:id="rId5405"/>
    <hyperlink xmlns:r="http://schemas.openxmlformats.org/officeDocument/2006/relationships" ref="S5407" r:id="rId5406"/>
    <hyperlink xmlns:r="http://schemas.openxmlformats.org/officeDocument/2006/relationships" ref="S5408" r:id="rId5407"/>
    <hyperlink xmlns:r="http://schemas.openxmlformats.org/officeDocument/2006/relationships" ref="S5409" r:id="rId5408"/>
    <hyperlink xmlns:r="http://schemas.openxmlformats.org/officeDocument/2006/relationships" ref="S5410" r:id="rId5409"/>
    <hyperlink xmlns:r="http://schemas.openxmlformats.org/officeDocument/2006/relationships" ref="S5411" r:id="rId5410"/>
    <hyperlink xmlns:r="http://schemas.openxmlformats.org/officeDocument/2006/relationships" ref="S5412" r:id="rId5411"/>
    <hyperlink xmlns:r="http://schemas.openxmlformats.org/officeDocument/2006/relationships" ref="S5413" r:id="rId5412"/>
    <hyperlink xmlns:r="http://schemas.openxmlformats.org/officeDocument/2006/relationships" ref="S5414" r:id="rId5413"/>
    <hyperlink xmlns:r="http://schemas.openxmlformats.org/officeDocument/2006/relationships" ref="S5415" r:id="rId5414"/>
    <hyperlink xmlns:r="http://schemas.openxmlformats.org/officeDocument/2006/relationships" ref="S5416" r:id="rId5415"/>
    <hyperlink xmlns:r="http://schemas.openxmlformats.org/officeDocument/2006/relationships" ref="S5417" r:id="rId5416"/>
    <hyperlink xmlns:r="http://schemas.openxmlformats.org/officeDocument/2006/relationships" ref="S5418" r:id="rId5417"/>
    <hyperlink xmlns:r="http://schemas.openxmlformats.org/officeDocument/2006/relationships" ref="S5419" r:id="rId5418"/>
    <hyperlink xmlns:r="http://schemas.openxmlformats.org/officeDocument/2006/relationships" ref="S5420" r:id="rId5419"/>
    <hyperlink xmlns:r="http://schemas.openxmlformats.org/officeDocument/2006/relationships" ref="S5421" r:id="rId5420"/>
    <hyperlink xmlns:r="http://schemas.openxmlformats.org/officeDocument/2006/relationships" ref="S5422" r:id="rId5421"/>
    <hyperlink xmlns:r="http://schemas.openxmlformats.org/officeDocument/2006/relationships" ref="S5423" r:id="rId5422"/>
    <hyperlink xmlns:r="http://schemas.openxmlformats.org/officeDocument/2006/relationships" ref="S5424" r:id="rId5423"/>
    <hyperlink xmlns:r="http://schemas.openxmlformats.org/officeDocument/2006/relationships" ref="S5425" r:id="rId5424"/>
    <hyperlink xmlns:r="http://schemas.openxmlformats.org/officeDocument/2006/relationships" ref="S5426" r:id="rId5425"/>
    <hyperlink xmlns:r="http://schemas.openxmlformats.org/officeDocument/2006/relationships" ref="S5427" r:id="rId5426"/>
    <hyperlink xmlns:r="http://schemas.openxmlformats.org/officeDocument/2006/relationships" ref="S5428" r:id="rId5427"/>
    <hyperlink xmlns:r="http://schemas.openxmlformats.org/officeDocument/2006/relationships" ref="S5429" r:id="rId5428"/>
    <hyperlink xmlns:r="http://schemas.openxmlformats.org/officeDocument/2006/relationships" ref="S5430" r:id="rId5429"/>
    <hyperlink xmlns:r="http://schemas.openxmlformats.org/officeDocument/2006/relationships" ref="S5431" r:id="rId5430"/>
    <hyperlink xmlns:r="http://schemas.openxmlformats.org/officeDocument/2006/relationships" ref="S5432" r:id="rId5431"/>
    <hyperlink xmlns:r="http://schemas.openxmlformats.org/officeDocument/2006/relationships" ref="S5433" r:id="rId5432"/>
    <hyperlink xmlns:r="http://schemas.openxmlformats.org/officeDocument/2006/relationships" ref="S5434" r:id="rId5433"/>
    <hyperlink xmlns:r="http://schemas.openxmlformats.org/officeDocument/2006/relationships" ref="S5435" r:id="rId5434"/>
    <hyperlink xmlns:r="http://schemas.openxmlformats.org/officeDocument/2006/relationships" ref="S5436" r:id="rId5435"/>
    <hyperlink xmlns:r="http://schemas.openxmlformats.org/officeDocument/2006/relationships" ref="S5437" r:id="rId5436"/>
    <hyperlink xmlns:r="http://schemas.openxmlformats.org/officeDocument/2006/relationships" ref="S5438" r:id="rId5437"/>
    <hyperlink xmlns:r="http://schemas.openxmlformats.org/officeDocument/2006/relationships" ref="S5439" r:id="rId5438"/>
    <hyperlink xmlns:r="http://schemas.openxmlformats.org/officeDocument/2006/relationships" ref="S5440" r:id="rId5439"/>
    <hyperlink xmlns:r="http://schemas.openxmlformats.org/officeDocument/2006/relationships" ref="S5441" r:id="rId5440"/>
    <hyperlink xmlns:r="http://schemas.openxmlformats.org/officeDocument/2006/relationships" ref="S5442" r:id="rId5441"/>
    <hyperlink xmlns:r="http://schemas.openxmlformats.org/officeDocument/2006/relationships" ref="S5443" r:id="rId5442"/>
    <hyperlink xmlns:r="http://schemas.openxmlformats.org/officeDocument/2006/relationships" ref="S5444" r:id="rId5443"/>
    <hyperlink xmlns:r="http://schemas.openxmlformats.org/officeDocument/2006/relationships" ref="S5445" r:id="rId5444"/>
    <hyperlink xmlns:r="http://schemas.openxmlformats.org/officeDocument/2006/relationships" ref="S5446" r:id="rId5445"/>
    <hyperlink xmlns:r="http://schemas.openxmlformats.org/officeDocument/2006/relationships" ref="S5447" r:id="rId5446"/>
    <hyperlink xmlns:r="http://schemas.openxmlformats.org/officeDocument/2006/relationships" ref="S5448" r:id="rId5447"/>
    <hyperlink xmlns:r="http://schemas.openxmlformats.org/officeDocument/2006/relationships" ref="S5449" r:id="rId5448"/>
    <hyperlink xmlns:r="http://schemas.openxmlformats.org/officeDocument/2006/relationships" ref="S5450" r:id="rId5449"/>
    <hyperlink xmlns:r="http://schemas.openxmlformats.org/officeDocument/2006/relationships" ref="S5451" r:id="rId5450"/>
    <hyperlink xmlns:r="http://schemas.openxmlformats.org/officeDocument/2006/relationships" ref="S5452" r:id="rId5451"/>
    <hyperlink xmlns:r="http://schemas.openxmlformats.org/officeDocument/2006/relationships" ref="S5453" r:id="rId5452"/>
    <hyperlink xmlns:r="http://schemas.openxmlformats.org/officeDocument/2006/relationships" ref="S5454" r:id="rId5453"/>
    <hyperlink xmlns:r="http://schemas.openxmlformats.org/officeDocument/2006/relationships" ref="S5455" r:id="rId5454"/>
    <hyperlink xmlns:r="http://schemas.openxmlformats.org/officeDocument/2006/relationships" ref="S5456" r:id="rId5455"/>
    <hyperlink xmlns:r="http://schemas.openxmlformats.org/officeDocument/2006/relationships" ref="S5457" r:id="rId5456"/>
    <hyperlink xmlns:r="http://schemas.openxmlformats.org/officeDocument/2006/relationships" ref="S5458" r:id="rId5457"/>
    <hyperlink xmlns:r="http://schemas.openxmlformats.org/officeDocument/2006/relationships" ref="S5459" r:id="rId5458"/>
    <hyperlink xmlns:r="http://schemas.openxmlformats.org/officeDocument/2006/relationships" ref="S5460" r:id="rId5459"/>
    <hyperlink xmlns:r="http://schemas.openxmlformats.org/officeDocument/2006/relationships" ref="S5461" r:id="rId5460"/>
    <hyperlink xmlns:r="http://schemas.openxmlformats.org/officeDocument/2006/relationships" ref="S5462" r:id="rId5461"/>
    <hyperlink xmlns:r="http://schemas.openxmlformats.org/officeDocument/2006/relationships" ref="S5463" r:id="rId5462"/>
    <hyperlink xmlns:r="http://schemas.openxmlformats.org/officeDocument/2006/relationships" ref="S5464" r:id="rId5463"/>
    <hyperlink xmlns:r="http://schemas.openxmlformats.org/officeDocument/2006/relationships" ref="S5465" r:id="rId5464"/>
    <hyperlink xmlns:r="http://schemas.openxmlformats.org/officeDocument/2006/relationships" ref="S5466" r:id="rId5465"/>
    <hyperlink xmlns:r="http://schemas.openxmlformats.org/officeDocument/2006/relationships" ref="S5467" r:id="rId5466"/>
    <hyperlink xmlns:r="http://schemas.openxmlformats.org/officeDocument/2006/relationships" ref="S5468" r:id="rId5467"/>
    <hyperlink xmlns:r="http://schemas.openxmlformats.org/officeDocument/2006/relationships" ref="S5469" r:id="rId5468"/>
    <hyperlink xmlns:r="http://schemas.openxmlformats.org/officeDocument/2006/relationships" ref="S5470" r:id="rId5469"/>
    <hyperlink xmlns:r="http://schemas.openxmlformats.org/officeDocument/2006/relationships" ref="S5471" r:id="rId5470"/>
    <hyperlink xmlns:r="http://schemas.openxmlformats.org/officeDocument/2006/relationships" ref="S5472" r:id="rId5471"/>
    <hyperlink xmlns:r="http://schemas.openxmlformats.org/officeDocument/2006/relationships" ref="S5473" r:id="rId5472"/>
    <hyperlink xmlns:r="http://schemas.openxmlformats.org/officeDocument/2006/relationships" ref="S5474" r:id="rId5473"/>
    <hyperlink xmlns:r="http://schemas.openxmlformats.org/officeDocument/2006/relationships" ref="S5475" r:id="rId5474"/>
    <hyperlink xmlns:r="http://schemas.openxmlformats.org/officeDocument/2006/relationships" ref="S5476" r:id="rId5475"/>
    <hyperlink xmlns:r="http://schemas.openxmlformats.org/officeDocument/2006/relationships" ref="S5477" r:id="rId5476"/>
    <hyperlink xmlns:r="http://schemas.openxmlformats.org/officeDocument/2006/relationships" ref="S5478" r:id="rId5477"/>
    <hyperlink xmlns:r="http://schemas.openxmlformats.org/officeDocument/2006/relationships" ref="S5479" r:id="rId5478"/>
    <hyperlink xmlns:r="http://schemas.openxmlformats.org/officeDocument/2006/relationships" ref="S5480" r:id="rId5479"/>
    <hyperlink xmlns:r="http://schemas.openxmlformats.org/officeDocument/2006/relationships" ref="S5481" r:id="rId5480"/>
    <hyperlink xmlns:r="http://schemas.openxmlformats.org/officeDocument/2006/relationships" ref="S5482" r:id="rId5481"/>
    <hyperlink xmlns:r="http://schemas.openxmlformats.org/officeDocument/2006/relationships" ref="S5483" r:id="rId5482"/>
    <hyperlink xmlns:r="http://schemas.openxmlformats.org/officeDocument/2006/relationships" ref="S5484" r:id="rId5483"/>
    <hyperlink xmlns:r="http://schemas.openxmlformats.org/officeDocument/2006/relationships" ref="S5485" r:id="rId5484"/>
    <hyperlink xmlns:r="http://schemas.openxmlformats.org/officeDocument/2006/relationships" ref="S5486" r:id="rId5485"/>
    <hyperlink xmlns:r="http://schemas.openxmlformats.org/officeDocument/2006/relationships" ref="S5487" r:id="rId5486"/>
    <hyperlink xmlns:r="http://schemas.openxmlformats.org/officeDocument/2006/relationships" ref="S5488" r:id="rId5487"/>
    <hyperlink xmlns:r="http://schemas.openxmlformats.org/officeDocument/2006/relationships" ref="S5489" r:id="rId5488"/>
    <hyperlink xmlns:r="http://schemas.openxmlformats.org/officeDocument/2006/relationships" ref="S5490" r:id="rId5489"/>
    <hyperlink xmlns:r="http://schemas.openxmlformats.org/officeDocument/2006/relationships" ref="S5491" r:id="rId5490"/>
    <hyperlink xmlns:r="http://schemas.openxmlformats.org/officeDocument/2006/relationships" ref="S5492" r:id="rId5491"/>
    <hyperlink xmlns:r="http://schemas.openxmlformats.org/officeDocument/2006/relationships" ref="S5493" r:id="rId5492"/>
    <hyperlink xmlns:r="http://schemas.openxmlformats.org/officeDocument/2006/relationships" ref="S5494" r:id="rId5493"/>
    <hyperlink xmlns:r="http://schemas.openxmlformats.org/officeDocument/2006/relationships" ref="S5495" r:id="rId5494"/>
    <hyperlink xmlns:r="http://schemas.openxmlformats.org/officeDocument/2006/relationships" ref="S5496" r:id="rId5495"/>
    <hyperlink xmlns:r="http://schemas.openxmlformats.org/officeDocument/2006/relationships" ref="S5497" r:id="rId5496"/>
    <hyperlink xmlns:r="http://schemas.openxmlformats.org/officeDocument/2006/relationships" ref="S5498" r:id="rId5497"/>
    <hyperlink xmlns:r="http://schemas.openxmlformats.org/officeDocument/2006/relationships" ref="S5499" r:id="rId5498"/>
    <hyperlink xmlns:r="http://schemas.openxmlformats.org/officeDocument/2006/relationships" ref="S5500" r:id="rId5499"/>
    <hyperlink xmlns:r="http://schemas.openxmlformats.org/officeDocument/2006/relationships" ref="S5501" r:id="rId5500"/>
    <hyperlink xmlns:r="http://schemas.openxmlformats.org/officeDocument/2006/relationships" ref="S5502" r:id="rId5501"/>
    <hyperlink xmlns:r="http://schemas.openxmlformats.org/officeDocument/2006/relationships" ref="S5503" r:id="rId5502"/>
    <hyperlink xmlns:r="http://schemas.openxmlformats.org/officeDocument/2006/relationships" ref="S5504" r:id="rId5503"/>
    <hyperlink xmlns:r="http://schemas.openxmlformats.org/officeDocument/2006/relationships" ref="S5505" r:id="rId5504"/>
    <hyperlink xmlns:r="http://schemas.openxmlformats.org/officeDocument/2006/relationships" ref="S5506" r:id="rId5505"/>
    <hyperlink xmlns:r="http://schemas.openxmlformats.org/officeDocument/2006/relationships" ref="S5507" r:id="rId5506"/>
    <hyperlink xmlns:r="http://schemas.openxmlformats.org/officeDocument/2006/relationships" ref="S5508" r:id="rId5507"/>
    <hyperlink xmlns:r="http://schemas.openxmlformats.org/officeDocument/2006/relationships" ref="S5509" r:id="rId5508"/>
    <hyperlink xmlns:r="http://schemas.openxmlformats.org/officeDocument/2006/relationships" ref="S5510" r:id="rId5509"/>
    <hyperlink xmlns:r="http://schemas.openxmlformats.org/officeDocument/2006/relationships" ref="S5511" r:id="rId5510"/>
    <hyperlink xmlns:r="http://schemas.openxmlformats.org/officeDocument/2006/relationships" ref="S5512" r:id="rId5511"/>
    <hyperlink xmlns:r="http://schemas.openxmlformats.org/officeDocument/2006/relationships" ref="S5513" r:id="rId5512"/>
    <hyperlink xmlns:r="http://schemas.openxmlformats.org/officeDocument/2006/relationships" ref="S5514" r:id="rId5513"/>
    <hyperlink xmlns:r="http://schemas.openxmlformats.org/officeDocument/2006/relationships" ref="S5515" r:id="rId5514"/>
    <hyperlink xmlns:r="http://schemas.openxmlformats.org/officeDocument/2006/relationships" ref="S5516" r:id="rId5515"/>
    <hyperlink xmlns:r="http://schemas.openxmlformats.org/officeDocument/2006/relationships" ref="S5517" r:id="rId5516"/>
    <hyperlink xmlns:r="http://schemas.openxmlformats.org/officeDocument/2006/relationships" ref="S5518" r:id="rId5517"/>
    <hyperlink xmlns:r="http://schemas.openxmlformats.org/officeDocument/2006/relationships" ref="S5519" r:id="rId5518"/>
    <hyperlink xmlns:r="http://schemas.openxmlformats.org/officeDocument/2006/relationships" ref="S5520" r:id="rId5519"/>
    <hyperlink xmlns:r="http://schemas.openxmlformats.org/officeDocument/2006/relationships" ref="S5521" r:id="rId5520"/>
    <hyperlink xmlns:r="http://schemas.openxmlformats.org/officeDocument/2006/relationships" ref="S5522" r:id="rId5521"/>
    <hyperlink xmlns:r="http://schemas.openxmlformats.org/officeDocument/2006/relationships" ref="S5523" r:id="rId5522"/>
    <hyperlink xmlns:r="http://schemas.openxmlformats.org/officeDocument/2006/relationships" ref="S5524" r:id="rId5523"/>
    <hyperlink xmlns:r="http://schemas.openxmlformats.org/officeDocument/2006/relationships" ref="S5525" r:id="rId5524"/>
    <hyperlink xmlns:r="http://schemas.openxmlformats.org/officeDocument/2006/relationships" ref="S5526" r:id="rId5525"/>
    <hyperlink xmlns:r="http://schemas.openxmlformats.org/officeDocument/2006/relationships" ref="S5527" r:id="rId5526"/>
    <hyperlink xmlns:r="http://schemas.openxmlformats.org/officeDocument/2006/relationships" ref="S5528" r:id="rId5527"/>
    <hyperlink xmlns:r="http://schemas.openxmlformats.org/officeDocument/2006/relationships" ref="S5529" r:id="rId5528"/>
    <hyperlink xmlns:r="http://schemas.openxmlformats.org/officeDocument/2006/relationships" ref="S5530" r:id="rId5529"/>
    <hyperlink xmlns:r="http://schemas.openxmlformats.org/officeDocument/2006/relationships" ref="S5531" r:id="rId5530"/>
    <hyperlink xmlns:r="http://schemas.openxmlformats.org/officeDocument/2006/relationships" ref="S5532" r:id="rId5531"/>
    <hyperlink xmlns:r="http://schemas.openxmlformats.org/officeDocument/2006/relationships" ref="S5533" r:id="rId5532"/>
    <hyperlink xmlns:r="http://schemas.openxmlformats.org/officeDocument/2006/relationships" ref="S5534" r:id="rId5533"/>
    <hyperlink xmlns:r="http://schemas.openxmlformats.org/officeDocument/2006/relationships" ref="S5535" r:id="rId5534"/>
    <hyperlink xmlns:r="http://schemas.openxmlformats.org/officeDocument/2006/relationships" ref="S5536" r:id="rId5535"/>
    <hyperlink xmlns:r="http://schemas.openxmlformats.org/officeDocument/2006/relationships" ref="S5537" r:id="rId5536"/>
    <hyperlink xmlns:r="http://schemas.openxmlformats.org/officeDocument/2006/relationships" ref="S5538" r:id="rId5537"/>
    <hyperlink xmlns:r="http://schemas.openxmlformats.org/officeDocument/2006/relationships" ref="S5539" r:id="rId5538"/>
    <hyperlink xmlns:r="http://schemas.openxmlformats.org/officeDocument/2006/relationships" ref="S5540" r:id="rId5539"/>
    <hyperlink xmlns:r="http://schemas.openxmlformats.org/officeDocument/2006/relationships" ref="S5541" r:id="rId5540"/>
    <hyperlink xmlns:r="http://schemas.openxmlformats.org/officeDocument/2006/relationships" ref="S5542" r:id="rId5541"/>
    <hyperlink xmlns:r="http://schemas.openxmlformats.org/officeDocument/2006/relationships" ref="S5543" r:id="rId5542"/>
    <hyperlink xmlns:r="http://schemas.openxmlformats.org/officeDocument/2006/relationships" ref="S5544" r:id="rId5543"/>
    <hyperlink xmlns:r="http://schemas.openxmlformats.org/officeDocument/2006/relationships" ref="S5545" r:id="rId5544"/>
    <hyperlink xmlns:r="http://schemas.openxmlformats.org/officeDocument/2006/relationships" ref="S5546" r:id="rId5545"/>
    <hyperlink xmlns:r="http://schemas.openxmlformats.org/officeDocument/2006/relationships" ref="S5547" r:id="rId5546"/>
    <hyperlink xmlns:r="http://schemas.openxmlformats.org/officeDocument/2006/relationships" ref="S5548" r:id="rId5547"/>
    <hyperlink xmlns:r="http://schemas.openxmlformats.org/officeDocument/2006/relationships" ref="S5549" r:id="rId5548"/>
    <hyperlink xmlns:r="http://schemas.openxmlformats.org/officeDocument/2006/relationships" ref="S5550" r:id="rId5549"/>
    <hyperlink xmlns:r="http://schemas.openxmlformats.org/officeDocument/2006/relationships" ref="S5551" r:id="rId5550"/>
    <hyperlink xmlns:r="http://schemas.openxmlformats.org/officeDocument/2006/relationships" ref="S5552" r:id="rId5551"/>
    <hyperlink xmlns:r="http://schemas.openxmlformats.org/officeDocument/2006/relationships" ref="S5553" r:id="rId5552"/>
    <hyperlink xmlns:r="http://schemas.openxmlformats.org/officeDocument/2006/relationships" ref="S5554" r:id="rId5553"/>
    <hyperlink xmlns:r="http://schemas.openxmlformats.org/officeDocument/2006/relationships" ref="S5555" r:id="rId5554"/>
    <hyperlink xmlns:r="http://schemas.openxmlformats.org/officeDocument/2006/relationships" ref="S5556" r:id="rId5555"/>
    <hyperlink xmlns:r="http://schemas.openxmlformats.org/officeDocument/2006/relationships" ref="S5557" r:id="rId5556"/>
    <hyperlink xmlns:r="http://schemas.openxmlformats.org/officeDocument/2006/relationships" ref="S5558" r:id="rId5557"/>
    <hyperlink xmlns:r="http://schemas.openxmlformats.org/officeDocument/2006/relationships" ref="S5559" r:id="rId5558"/>
    <hyperlink xmlns:r="http://schemas.openxmlformats.org/officeDocument/2006/relationships" ref="S5560" r:id="rId5559"/>
    <hyperlink xmlns:r="http://schemas.openxmlformats.org/officeDocument/2006/relationships" ref="S5561" r:id="rId5560"/>
    <hyperlink xmlns:r="http://schemas.openxmlformats.org/officeDocument/2006/relationships" ref="S5562" r:id="rId5561"/>
    <hyperlink xmlns:r="http://schemas.openxmlformats.org/officeDocument/2006/relationships" ref="S5563" r:id="rId5562"/>
    <hyperlink xmlns:r="http://schemas.openxmlformats.org/officeDocument/2006/relationships" ref="S5564" r:id="rId5563"/>
    <hyperlink xmlns:r="http://schemas.openxmlformats.org/officeDocument/2006/relationships" ref="S5565" r:id="rId5564"/>
    <hyperlink xmlns:r="http://schemas.openxmlformats.org/officeDocument/2006/relationships" ref="S5566" r:id="rId5565"/>
    <hyperlink xmlns:r="http://schemas.openxmlformats.org/officeDocument/2006/relationships" ref="S5567" r:id="rId5566"/>
    <hyperlink xmlns:r="http://schemas.openxmlformats.org/officeDocument/2006/relationships" ref="S5568" r:id="rId5567"/>
    <hyperlink xmlns:r="http://schemas.openxmlformats.org/officeDocument/2006/relationships" ref="S5569" r:id="rId5568"/>
    <hyperlink xmlns:r="http://schemas.openxmlformats.org/officeDocument/2006/relationships" ref="S5570" r:id="rId5569"/>
    <hyperlink xmlns:r="http://schemas.openxmlformats.org/officeDocument/2006/relationships" ref="S5571" r:id="rId5570"/>
    <hyperlink xmlns:r="http://schemas.openxmlformats.org/officeDocument/2006/relationships" ref="S5572" r:id="rId5571"/>
    <hyperlink xmlns:r="http://schemas.openxmlformats.org/officeDocument/2006/relationships" ref="S5573" r:id="rId5572"/>
    <hyperlink xmlns:r="http://schemas.openxmlformats.org/officeDocument/2006/relationships" ref="S5574" r:id="rId5573"/>
    <hyperlink xmlns:r="http://schemas.openxmlformats.org/officeDocument/2006/relationships" ref="S5575" r:id="rId5574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3" customWidth="1" min="3" max="3"/>
    <col width="13" customWidth="1" min="4" max="4"/>
    <col width="16" customWidth="1" min="5" max="5"/>
    <col width="26" customWidth="1" min="6" max="6"/>
    <col width="26" customWidth="1" min="7" max="7"/>
    <col width="28" customWidth="1" min="8" max="8"/>
  </cols>
  <sheetData>
    <row r="1" ht="32" customHeight="1">
      <c r="A1" s="12" t="inlineStr">
        <is>
          <t>แบรนด์</t>
        </is>
      </c>
      <c r="B1" s="12" t="inlineStr">
        <is>
          <t>จำนวนสินค้า</t>
        </is>
      </c>
      <c r="C1" s="12" t="inlineStr">
        <is>
          <t>มีสต็อกบนเว็บ</t>
        </is>
      </c>
      <c r="D1" s="12" t="inlineStr">
        <is>
          <t>ราคาตรงกับ SG</t>
        </is>
      </c>
      <c r="E1" s="12" t="inlineStr">
        <is>
          <t>มีสิทธิ์ขายออนไลน์ในไทย?</t>
        </is>
      </c>
      <c r="F1" s="12" t="inlineStr">
        <is>
          <t>ผู้แทน/ผู้นำเข้าในไทย</t>
        </is>
      </c>
      <c r="G1" s="12" t="inlineStr">
        <is>
          <t>นโยบายราคา (ถ้ามี)</t>
        </is>
      </c>
      <c r="H1" s="12" t="inlineStr">
        <is>
          <t>หมายเหตุ</t>
        </is>
      </c>
    </row>
    <row r="2">
      <c r="A2" s="4" t="inlineStr">
        <is>
          <t>ADIDAS</t>
        </is>
      </c>
      <c r="B2" s="1">
        <f>COUNTIF('สินค้า'!$E$2:$E$5575,A2)</f>
        <v/>
      </c>
      <c r="C2" s="1">
        <f>COUNTIFS('สินค้า'!$E$2:$E$5575,A2,'สินค้า'!$I$2:$I$5575,"มี")</f>
        <v/>
      </c>
      <c r="D2" s="1">
        <f>COUNTIFS('สินค้า'!$E$2:$E$5575,A2,'สินค้า'!$M$2:$M$5575,"ตรงกัน")</f>
        <v/>
      </c>
      <c r="E2" s="10" t="n"/>
      <c r="F2" s="10" t="n"/>
      <c r="G2" s="10" t="n"/>
      <c r="H2" s="10" t="n"/>
    </row>
    <row r="3">
      <c r="A3" s="4" t="inlineStr">
        <is>
          <t>TAYLORMADE</t>
        </is>
      </c>
      <c r="B3" s="1">
        <f>COUNTIF('สินค้า'!$E$2:$E$5575,A3)</f>
        <v/>
      </c>
      <c r="C3" s="1">
        <f>COUNTIFS('สินค้า'!$E$2:$E$5575,A3,'สินค้า'!$I$2:$I$5575,"มี")</f>
        <v/>
      </c>
      <c r="D3" s="1">
        <f>COUNTIFS('สินค้า'!$E$2:$E$5575,A3,'สินค้า'!$M$2:$M$5575,"ตรงกัน")</f>
        <v/>
      </c>
      <c r="E3" s="10" t="n"/>
      <c r="F3" s="10" t="n"/>
      <c r="G3" s="10" t="n"/>
      <c r="H3" s="10" t="n"/>
    </row>
    <row r="4">
      <c r="A4" s="4" t="inlineStr">
        <is>
          <t>PUMA</t>
        </is>
      </c>
      <c r="B4" s="1">
        <f>COUNTIF('สินค้า'!$E$2:$E$5575,A4)</f>
        <v/>
      </c>
      <c r="C4" s="1">
        <f>COUNTIFS('สินค้า'!$E$2:$E$5575,A4,'สินค้า'!$I$2:$I$5575,"มี")</f>
        <v/>
      </c>
      <c r="D4" s="1">
        <f>COUNTIFS('สินค้า'!$E$2:$E$5575,A4,'สินค้า'!$M$2:$M$5575,"ตรงกัน")</f>
        <v/>
      </c>
      <c r="E4" s="10" t="n"/>
      <c r="F4" s="10" t="n"/>
      <c r="G4" s="10" t="n"/>
      <c r="H4" s="10" t="n"/>
    </row>
    <row r="5">
      <c r="A5" s="4" t="inlineStr">
        <is>
          <t>GFORE</t>
        </is>
      </c>
      <c r="B5" s="1">
        <f>COUNTIF('สินค้า'!$E$2:$E$5575,A5)</f>
        <v/>
      </c>
      <c r="C5" s="1">
        <f>COUNTIFS('สินค้า'!$E$2:$E$5575,A5,'สินค้า'!$I$2:$I$5575,"มี")</f>
        <v/>
      </c>
      <c r="D5" s="1">
        <f>COUNTIFS('สินค้า'!$E$2:$E$5575,A5,'สินค้า'!$M$2:$M$5575,"ตรงกัน")</f>
        <v/>
      </c>
      <c r="E5" s="10" t="n"/>
      <c r="F5" s="10" t="n"/>
      <c r="G5" s="10" t="n"/>
      <c r="H5" s="10" t="n"/>
    </row>
    <row r="6">
      <c r="A6" s="4" t="inlineStr">
        <is>
          <t>UNDER ARMOUR</t>
        </is>
      </c>
      <c r="B6" s="1">
        <f>COUNTIF('สินค้า'!$E$2:$E$5575,A6)</f>
        <v/>
      </c>
      <c r="C6" s="1">
        <f>COUNTIFS('สินค้า'!$E$2:$E$5575,A6,'สินค้า'!$I$2:$I$5575,"มี")</f>
        <v/>
      </c>
      <c r="D6" s="1">
        <f>COUNTIFS('สินค้า'!$E$2:$E$5575,A6,'สินค้า'!$M$2:$M$5575,"ตรงกัน")</f>
        <v/>
      </c>
      <c r="E6" s="10" t="n"/>
      <c r="F6" s="10" t="n"/>
      <c r="G6" s="10" t="n"/>
      <c r="H6" s="10" t="n"/>
    </row>
    <row r="7">
      <c r="A7" s="4" t="inlineStr">
        <is>
          <t>LE COQ SPORTIF GOLF</t>
        </is>
      </c>
      <c r="B7" s="1">
        <f>COUNTIF('สินค้า'!$E$2:$E$5575,A7)</f>
        <v/>
      </c>
      <c r="C7" s="1">
        <f>COUNTIFS('สินค้า'!$E$2:$E$5575,A7,'สินค้า'!$I$2:$I$5575,"มี")</f>
        <v/>
      </c>
      <c r="D7" s="1">
        <f>COUNTIFS('สินค้า'!$E$2:$E$5575,A7,'สินค้า'!$M$2:$M$5575,"ตรงกัน")</f>
        <v/>
      </c>
      <c r="E7" s="10" t="n"/>
      <c r="F7" s="10" t="n"/>
      <c r="G7" s="10" t="n"/>
      <c r="H7" s="10" t="n"/>
    </row>
    <row r="8">
      <c r="A8" s="4" t="inlineStr">
        <is>
          <t>TITLEIST</t>
        </is>
      </c>
      <c r="B8" s="1">
        <f>COUNTIF('สินค้า'!$E$2:$E$5575,A8)</f>
        <v/>
      </c>
      <c r="C8" s="1">
        <f>COUNTIFS('สินค้า'!$E$2:$E$5575,A8,'สินค้า'!$I$2:$I$5575,"มี")</f>
        <v/>
      </c>
      <c r="D8" s="1">
        <f>COUNTIFS('สินค้า'!$E$2:$E$5575,A8,'สินค้า'!$M$2:$M$5575,"ตรงกัน")</f>
        <v/>
      </c>
      <c r="E8" s="10" t="n"/>
      <c r="F8" s="10" t="n"/>
      <c r="G8" s="10" t="n"/>
      <c r="H8" s="10" t="n"/>
    </row>
    <row r="9">
      <c r="A9" s="4" t="inlineStr">
        <is>
          <t>FOOTJOY</t>
        </is>
      </c>
      <c r="B9" s="1">
        <f>COUNTIF('สินค้า'!$E$2:$E$5575,A9)</f>
        <v/>
      </c>
      <c r="C9" s="1">
        <f>COUNTIFS('สินค้า'!$E$2:$E$5575,A9,'สินค้า'!$I$2:$I$5575,"มี")</f>
        <v/>
      </c>
      <c r="D9" s="1">
        <f>COUNTIFS('สินค้า'!$E$2:$E$5575,A9,'สินค้า'!$M$2:$M$5575,"ตรงกัน")</f>
        <v/>
      </c>
      <c r="E9" s="10" t="n"/>
      <c r="F9" s="10" t="n"/>
      <c r="G9" s="10" t="n"/>
      <c r="H9" s="10" t="n"/>
    </row>
    <row r="10">
      <c r="A10" s="4" t="inlineStr">
        <is>
          <t>CALVIN KLEIN</t>
        </is>
      </c>
      <c r="B10" s="1">
        <f>COUNTIF('สินค้า'!$E$2:$E$5575,A10)</f>
        <v/>
      </c>
      <c r="C10" s="1">
        <f>COUNTIFS('สินค้า'!$E$2:$E$5575,A10,'สินค้า'!$I$2:$I$5575,"มี")</f>
        <v/>
      </c>
      <c r="D10" s="1">
        <f>COUNTIFS('สินค้า'!$E$2:$E$5575,A10,'สินค้า'!$M$2:$M$5575,"ตรงกัน")</f>
        <v/>
      </c>
      <c r="E10" s="10" t="n"/>
      <c r="F10" s="10" t="n"/>
      <c r="G10" s="10" t="n"/>
      <c r="H10" s="10" t="n"/>
    </row>
    <row r="11">
      <c r="A11" s="4" t="inlineStr">
        <is>
          <t>WAAC</t>
        </is>
      </c>
      <c r="B11" s="1">
        <f>COUNTIF('สินค้า'!$E$2:$E$5575,A11)</f>
        <v/>
      </c>
      <c r="C11" s="1">
        <f>COUNTIFS('สินค้า'!$E$2:$E$5575,A11,'สินค้า'!$I$2:$I$5575,"มี")</f>
        <v/>
      </c>
      <c r="D11" s="1">
        <f>COUNTIFS('สินค้า'!$E$2:$E$5575,A11,'สินค้า'!$M$2:$M$5575,"ตรงกัน")</f>
        <v/>
      </c>
      <c r="E11" s="10" t="n"/>
      <c r="F11" s="10" t="n"/>
      <c r="G11" s="10" t="n"/>
      <c r="H11" s="10" t="n"/>
    </row>
    <row r="12">
      <c r="A12" s="4" t="inlineStr">
        <is>
          <t>NIKE</t>
        </is>
      </c>
      <c r="B12" s="1">
        <f>COUNTIF('สินค้า'!$E$2:$E$5575,A12)</f>
        <v/>
      </c>
      <c r="C12" s="1">
        <f>COUNTIFS('สินค้า'!$E$2:$E$5575,A12,'สินค้า'!$I$2:$I$5575,"มี")</f>
        <v/>
      </c>
      <c r="D12" s="1">
        <f>COUNTIFS('สินค้า'!$E$2:$E$5575,A12,'สินค้า'!$M$2:$M$5575,"ตรงกัน")</f>
        <v/>
      </c>
      <c r="E12" s="10" t="n"/>
      <c r="F12" s="10" t="n"/>
      <c r="G12" s="10" t="n"/>
      <c r="H12" s="10" t="n"/>
    </row>
    <row r="13">
      <c r="A13" s="4" t="inlineStr">
        <is>
          <t>CUTTER &amp; BUCK</t>
        </is>
      </c>
      <c r="B13" s="1">
        <f>COUNTIF('สินค้า'!$E$2:$E$5575,A13)</f>
        <v/>
      </c>
      <c r="C13" s="1">
        <f>COUNTIFS('สินค้า'!$E$2:$E$5575,A13,'สินค้า'!$I$2:$I$5575,"มี")</f>
        <v/>
      </c>
      <c r="D13" s="1">
        <f>COUNTIFS('สินค้า'!$E$2:$E$5575,A13,'สินค้า'!$M$2:$M$5575,"ตรงกัน")</f>
        <v/>
      </c>
      <c r="E13" s="10" t="n"/>
      <c r="F13" s="10" t="n"/>
      <c r="G13" s="10" t="n"/>
      <c r="H13" s="10" t="n"/>
    </row>
    <row r="14">
      <c r="A14" s="4" t="inlineStr">
        <is>
          <t>MALBON GOLF</t>
        </is>
      </c>
      <c r="B14" s="1">
        <f>COUNTIF('สินค้า'!$E$2:$E$5575,A14)</f>
        <v/>
      </c>
      <c r="C14" s="1">
        <f>COUNTIFS('สินค้า'!$E$2:$E$5575,A14,'สินค้า'!$I$2:$I$5575,"มี")</f>
        <v/>
      </c>
      <c r="D14" s="1">
        <f>COUNTIFS('สินค้า'!$E$2:$E$5575,A14,'สินค้า'!$M$2:$M$5575,"ตรงกัน")</f>
        <v/>
      </c>
      <c r="E14" s="10" t="n"/>
      <c r="F14" s="10" t="n"/>
      <c r="G14" s="10" t="n"/>
      <c r="H14" s="10" t="n"/>
    </row>
    <row r="15">
      <c r="A15" s="4" t="inlineStr">
        <is>
          <t>ONOFF</t>
        </is>
      </c>
      <c r="B15" s="1">
        <f>COUNTIF('สินค้า'!$E$2:$E$5575,A15)</f>
        <v/>
      </c>
      <c r="C15" s="1">
        <f>COUNTIFS('สินค้า'!$E$2:$E$5575,A15,'สินค้า'!$I$2:$I$5575,"มี")</f>
        <v/>
      </c>
      <c r="D15" s="1">
        <f>COUNTIFS('สินค้า'!$E$2:$E$5575,A15,'สินค้า'!$M$2:$M$5575,"ตรงกัน")</f>
        <v/>
      </c>
      <c r="E15" s="10" t="n"/>
      <c r="F15" s="10" t="n"/>
      <c r="G15" s="10" t="n"/>
      <c r="H15" s="10" t="n"/>
    </row>
    <row r="16">
      <c r="A16" s="4" t="inlineStr">
        <is>
          <t>PING</t>
        </is>
      </c>
      <c r="B16" s="1">
        <f>COUNTIF('สินค้า'!$E$2:$E$5575,A16)</f>
        <v/>
      </c>
      <c r="C16" s="1">
        <f>COUNTIFS('สินค้า'!$E$2:$E$5575,A16,'สินค้า'!$I$2:$I$5575,"มี")</f>
        <v/>
      </c>
      <c r="D16" s="1">
        <f>COUNTIFS('สินค้า'!$E$2:$E$5575,A16,'สินค้า'!$M$2:$M$5575,"ตรงกัน")</f>
        <v/>
      </c>
      <c r="E16" s="10" t="n"/>
      <c r="F16" s="10" t="n"/>
      <c r="G16" s="10" t="n"/>
      <c r="H16" s="10" t="n"/>
    </row>
    <row r="17">
      <c r="A17" s="4" t="inlineStr">
        <is>
          <t>GENERAL ITEM</t>
        </is>
      </c>
      <c r="B17" s="1">
        <f>COUNTIF('สินค้า'!$E$2:$E$5575,A17)</f>
        <v/>
      </c>
      <c r="C17" s="1">
        <f>COUNTIFS('สินค้า'!$E$2:$E$5575,A17,'สินค้า'!$I$2:$I$5575,"มี")</f>
        <v/>
      </c>
      <c r="D17" s="1">
        <f>COUNTIFS('สินค้า'!$E$2:$E$5575,A17,'สินค้า'!$M$2:$M$5575,"ตรงกัน")</f>
        <v/>
      </c>
      <c r="E17" s="10" t="n"/>
      <c r="F17" s="10" t="n"/>
      <c r="G17" s="10" t="n"/>
      <c r="H17" s="10" t="n"/>
    </row>
    <row r="18">
      <c r="A18" s="4" t="inlineStr">
        <is>
          <t>TABATA</t>
        </is>
      </c>
      <c r="B18" s="1">
        <f>COUNTIF('สินค้า'!$E$2:$E$5575,A18)</f>
        <v/>
      </c>
      <c r="C18" s="1">
        <f>COUNTIFS('สินค้า'!$E$2:$E$5575,A18,'สินค้า'!$I$2:$I$5575,"มี")</f>
        <v/>
      </c>
      <c r="D18" s="1">
        <f>COUNTIFS('สินค้า'!$E$2:$E$5575,A18,'สินค้า'!$M$2:$M$5575,"ตรงกัน")</f>
        <v/>
      </c>
      <c r="E18" s="10" t="n"/>
      <c r="F18" s="10" t="n"/>
      <c r="G18" s="10" t="n"/>
      <c r="H18" s="10" t="n"/>
    </row>
    <row r="19">
      <c r="A19" s="4" t="inlineStr">
        <is>
          <t>MIZUNO</t>
        </is>
      </c>
      <c r="B19" s="1">
        <f>COUNTIF('สินค้า'!$E$2:$E$5575,A19)</f>
        <v/>
      </c>
      <c r="C19" s="1">
        <f>COUNTIFS('สินค้า'!$E$2:$E$5575,A19,'สินค้า'!$I$2:$I$5575,"มี")</f>
        <v/>
      </c>
      <c r="D19" s="1">
        <f>COUNTIFS('สินค้า'!$E$2:$E$5575,A19,'สินค้า'!$M$2:$M$5575,"ตรงกัน")</f>
        <v/>
      </c>
      <c r="E19" s="10" t="n"/>
      <c r="F19" s="10" t="n"/>
      <c r="G19" s="10" t="n"/>
      <c r="H19" s="10" t="n"/>
    </row>
    <row r="20">
      <c r="A20" s="4" t="inlineStr">
        <is>
          <t>PETER MILLAR</t>
        </is>
      </c>
      <c r="B20" s="1">
        <f>COUNTIF('สินค้า'!$E$2:$E$5575,A20)</f>
        <v/>
      </c>
      <c r="C20" s="1">
        <f>COUNTIFS('สินค้า'!$E$2:$E$5575,A20,'สินค้า'!$I$2:$I$5575,"มี")</f>
        <v/>
      </c>
      <c r="D20" s="1">
        <f>COUNTIFS('สินค้า'!$E$2:$E$5575,A20,'สินค้า'!$M$2:$M$5575,"ตรงกัน")</f>
        <v/>
      </c>
      <c r="E20" s="10" t="n"/>
      <c r="F20" s="10" t="n"/>
      <c r="G20" s="10" t="n"/>
      <c r="H20" s="10" t="n"/>
    </row>
    <row r="21">
      <c r="A21" s="4" t="inlineStr">
        <is>
          <t>DISNEY</t>
        </is>
      </c>
      <c r="B21" s="1">
        <f>COUNTIF('สินค้า'!$E$2:$E$5575,A21)</f>
        <v/>
      </c>
      <c r="C21" s="1">
        <f>COUNTIFS('สินค้า'!$E$2:$E$5575,A21,'สินค้า'!$I$2:$I$5575,"มี")</f>
        <v/>
      </c>
      <c r="D21" s="1">
        <f>COUNTIFS('สินค้า'!$E$2:$E$5575,A21,'สินค้า'!$M$2:$M$5575,"ตรงกัน")</f>
        <v/>
      </c>
      <c r="E21" s="10" t="n"/>
      <c r="F21" s="10" t="n"/>
      <c r="G21" s="10" t="n"/>
      <c r="H21" s="10" t="n"/>
    </row>
    <row r="22">
      <c r="A22" s="4" t="inlineStr">
        <is>
          <t>COBRA</t>
        </is>
      </c>
      <c r="B22" s="1">
        <f>COUNTIF('สินค้า'!$E$2:$E$5575,A22)</f>
        <v/>
      </c>
      <c r="C22" s="1">
        <f>COUNTIFS('สินค้า'!$E$2:$E$5575,A22,'สินค้า'!$I$2:$I$5575,"มี")</f>
        <v/>
      </c>
      <c r="D22" s="1">
        <f>COUNTIFS('สินค้า'!$E$2:$E$5575,A22,'สินค้า'!$M$2:$M$5575,"ตรงกัน")</f>
        <v/>
      </c>
      <c r="E22" s="10" t="n"/>
      <c r="F22" s="10" t="n"/>
      <c r="G22" s="10" t="n"/>
      <c r="H22" s="10" t="n"/>
    </row>
    <row r="23">
      <c r="A23" s="4" t="inlineStr">
        <is>
          <t>MAJESTY</t>
        </is>
      </c>
      <c r="B23" s="1">
        <f>COUNTIF('สินค้า'!$E$2:$E$5575,A23)</f>
        <v/>
      </c>
      <c r="C23" s="1">
        <f>COUNTIFS('สินค้า'!$E$2:$E$5575,A23,'สินค้า'!$I$2:$I$5575,"มี")</f>
        <v/>
      </c>
      <c r="D23" s="1">
        <f>COUNTIFS('สินค้า'!$E$2:$E$5575,A23,'สินค้า'!$M$2:$M$5575,"ตรงกัน")</f>
        <v/>
      </c>
      <c r="E23" s="10" t="n"/>
      <c r="F23" s="10" t="n"/>
      <c r="G23" s="10" t="n"/>
      <c r="H23" s="10" t="n"/>
    </row>
    <row r="24">
      <c r="A24" s="4" t="inlineStr">
        <is>
          <t>MANORS</t>
        </is>
      </c>
      <c r="B24" s="1">
        <f>COUNTIF('สินค้า'!$E$2:$E$5575,A24)</f>
        <v/>
      </c>
      <c r="C24" s="1">
        <f>COUNTIFS('สินค้า'!$E$2:$E$5575,A24,'สินค้า'!$I$2:$I$5575,"มี")</f>
        <v/>
      </c>
      <c r="D24" s="1">
        <f>COUNTIFS('สินค้า'!$E$2:$E$5575,A24,'สินค้า'!$M$2:$M$5575,"ตรงกัน")</f>
        <v/>
      </c>
      <c r="E24" s="10" t="n"/>
      <c r="F24" s="10" t="n"/>
      <c r="G24" s="10" t="n"/>
      <c r="H24" s="10" t="n"/>
    </row>
    <row r="25">
      <c r="A25" s="4" t="inlineStr">
        <is>
          <t>YAMAHA</t>
        </is>
      </c>
      <c r="B25" s="1">
        <f>COUNTIF('สินค้า'!$E$2:$E$5575,A25)</f>
        <v/>
      </c>
      <c r="C25" s="1">
        <f>COUNTIFS('สินค้า'!$E$2:$E$5575,A25,'สินค้า'!$I$2:$I$5575,"มี")</f>
        <v/>
      </c>
      <c r="D25" s="1">
        <f>COUNTIFS('สินค้า'!$E$2:$E$5575,A25,'สินค้า'!$M$2:$M$5575,"ตรงกัน")</f>
        <v/>
      </c>
      <c r="E25" s="10" t="n"/>
      <c r="F25" s="10" t="n"/>
      <c r="G25" s="10" t="n"/>
      <c r="H25" s="10" t="n"/>
    </row>
    <row r="26">
      <c r="A26" s="4" t="inlineStr">
        <is>
          <t>BOSS GOLF</t>
        </is>
      </c>
      <c r="B26" s="1">
        <f>COUNTIF('สินค้า'!$E$2:$E$5575,A26)</f>
        <v/>
      </c>
      <c r="C26" s="1">
        <f>COUNTIFS('สินค้า'!$E$2:$E$5575,A26,'สินค้า'!$I$2:$I$5575,"มี")</f>
        <v/>
      </c>
      <c r="D26" s="1">
        <f>COUNTIFS('สินค้า'!$E$2:$E$5575,A26,'สินค้า'!$M$2:$M$5575,"ตรงกัน")</f>
        <v/>
      </c>
      <c r="E26" s="10" t="n"/>
      <c r="F26" s="10" t="n"/>
      <c r="G26" s="10" t="n"/>
      <c r="H26" s="10" t="n"/>
    </row>
    <row r="27">
      <c r="A27" s="4" t="inlineStr">
        <is>
          <t>NICKENT</t>
        </is>
      </c>
      <c r="B27" s="1">
        <f>COUNTIF('สินค้า'!$E$2:$E$5575,A27)</f>
        <v/>
      </c>
      <c r="C27" s="1">
        <f>COUNTIFS('สินค้า'!$E$2:$E$5575,A27,'สินค้า'!$I$2:$I$5575,"มี")</f>
        <v/>
      </c>
      <c r="D27" s="1">
        <f>COUNTIFS('สินค้า'!$E$2:$E$5575,A27,'สินค้า'!$M$2:$M$5575,"ตรงกัน")</f>
        <v/>
      </c>
      <c r="E27" s="10" t="n"/>
      <c r="F27" s="10" t="n"/>
      <c r="G27" s="10" t="n"/>
      <c r="H27" s="10" t="n"/>
    </row>
    <row r="28">
      <c r="A28" s="4" t="inlineStr">
        <is>
          <t>BETTINARDI</t>
        </is>
      </c>
      <c r="B28" s="1">
        <f>COUNTIF('สินค้า'!$E$2:$E$5575,A28)</f>
        <v/>
      </c>
      <c r="C28" s="1">
        <f>COUNTIFS('สินค้า'!$E$2:$E$5575,A28,'สินค้า'!$I$2:$I$5575,"มี")</f>
        <v/>
      </c>
      <c r="D28" s="1">
        <f>COUNTIFS('สินค้า'!$E$2:$E$5575,A28,'สินค้า'!$M$2:$M$5575,"ตรงกัน")</f>
        <v/>
      </c>
      <c r="E28" s="10" t="n"/>
      <c r="F28" s="10" t="n"/>
      <c r="G28" s="10" t="n"/>
      <c r="H28" s="10" t="n"/>
    </row>
    <row r="29">
      <c r="A29" s="4" t="inlineStr">
        <is>
          <t>OAKLEY</t>
        </is>
      </c>
      <c r="B29" s="1">
        <f>COUNTIF('สินค้า'!$E$2:$E$5575,A29)</f>
        <v/>
      </c>
      <c r="C29" s="1">
        <f>COUNTIFS('สินค้า'!$E$2:$E$5575,A29,'สินค้า'!$I$2:$I$5575,"มี")</f>
        <v/>
      </c>
      <c r="D29" s="1">
        <f>COUNTIFS('สินค้า'!$E$2:$E$5575,A29,'สินค้า'!$M$2:$M$5575,"ตรงกัน")</f>
        <v/>
      </c>
      <c r="E29" s="10" t="n"/>
      <c r="F29" s="10" t="n"/>
      <c r="G29" s="10" t="n"/>
      <c r="H29" s="10" t="n"/>
    </row>
    <row r="30">
      <c r="A30" s="4" t="inlineStr">
        <is>
          <t>SPARMS</t>
        </is>
      </c>
      <c r="B30" s="1">
        <f>COUNTIF('สินค้า'!$E$2:$E$5575,A30)</f>
        <v/>
      </c>
      <c r="C30" s="1">
        <f>COUNTIFS('สินค้า'!$E$2:$E$5575,A30,'สินค้า'!$I$2:$I$5575,"มี")</f>
        <v/>
      </c>
      <c r="D30" s="1">
        <f>COUNTIFS('สินค้า'!$E$2:$E$5575,A30,'สินค้า'!$M$2:$M$5575,"ตรงกัน")</f>
        <v/>
      </c>
      <c r="E30" s="10" t="n"/>
      <c r="F30" s="10" t="n"/>
      <c r="G30" s="10" t="n"/>
      <c r="H30" s="10" t="n"/>
    </row>
    <row r="31">
      <c r="A31" s="4" t="inlineStr">
        <is>
          <t>PXG</t>
        </is>
      </c>
      <c r="B31" s="1">
        <f>COUNTIF('สินค้า'!$E$2:$E$5575,A31)</f>
        <v/>
      </c>
      <c r="C31" s="1">
        <f>COUNTIFS('สินค้า'!$E$2:$E$5575,A31,'สินค้า'!$I$2:$I$5575,"มี")</f>
        <v/>
      </c>
      <c r="D31" s="1">
        <f>COUNTIFS('สินค้า'!$E$2:$E$5575,A31,'สินค้า'!$M$2:$M$5575,"ตรงกัน")</f>
        <v/>
      </c>
      <c r="E31" s="10" t="n"/>
      <c r="F31" s="10" t="n"/>
      <c r="G31" s="10" t="n"/>
      <c r="H31" s="10" t="n"/>
    </row>
    <row r="32">
      <c r="A32" s="4" t="inlineStr">
        <is>
          <t>GOLF LITE</t>
        </is>
      </c>
      <c r="B32" s="1">
        <f>COUNTIF('สินค้า'!$E$2:$E$5575,A32)</f>
        <v/>
      </c>
      <c r="C32" s="1">
        <f>COUNTIFS('สินค้า'!$E$2:$E$5575,A32,'สินค้า'!$I$2:$I$5575,"มี")</f>
        <v/>
      </c>
      <c r="D32" s="1">
        <f>COUNTIFS('สินค้า'!$E$2:$E$5575,A32,'สินค้า'!$M$2:$M$5575,"ตรงกัน")</f>
        <v/>
      </c>
      <c r="E32" s="10" t="n"/>
      <c r="F32" s="10" t="n"/>
      <c r="G32" s="10" t="n"/>
      <c r="H32" s="10" t="n"/>
    </row>
    <row r="33">
      <c r="A33" s="4" t="inlineStr">
        <is>
          <t>LACOSTE</t>
        </is>
      </c>
      <c r="B33" s="1">
        <f>COUNTIF('สินค้า'!$E$2:$E$5575,A33)</f>
        <v/>
      </c>
      <c r="C33" s="1">
        <f>COUNTIFS('สินค้า'!$E$2:$E$5575,A33,'สินค้า'!$I$2:$I$5575,"มี")</f>
        <v/>
      </c>
      <c r="D33" s="1">
        <f>COUNTIFS('สินค้า'!$E$2:$E$5575,A33,'สินค้า'!$M$2:$M$5575,"ตรงกัน")</f>
        <v/>
      </c>
      <c r="E33" s="10" t="n"/>
      <c r="F33" s="10" t="n"/>
      <c r="G33" s="10" t="n"/>
      <c r="H33" s="10" t="n"/>
    </row>
    <row r="34">
      <c r="A34" s="4" t="inlineStr">
        <is>
          <t>MARUMAN</t>
        </is>
      </c>
      <c r="B34" s="1">
        <f>COUNTIF('สินค้า'!$E$2:$E$5575,A34)</f>
        <v/>
      </c>
      <c r="C34" s="1">
        <f>COUNTIFS('สินค้า'!$E$2:$E$5575,A34,'สินค้า'!$I$2:$I$5575,"มี")</f>
        <v/>
      </c>
      <c r="D34" s="1">
        <f>COUNTIFS('สินค้า'!$E$2:$E$5575,A34,'สินค้า'!$M$2:$M$5575,"ตรงกัน")</f>
        <v/>
      </c>
      <c r="E34" s="10" t="n"/>
      <c r="F34" s="10" t="n"/>
      <c r="G34" s="10" t="n"/>
      <c r="H34" s="10" t="n"/>
    </row>
    <row r="35">
      <c r="A35" s="4" t="inlineStr">
        <is>
          <t>WILSON</t>
        </is>
      </c>
      <c r="B35" s="1">
        <f>COUNTIF('สินค้า'!$E$2:$E$5575,A35)</f>
        <v/>
      </c>
      <c r="C35" s="1">
        <f>COUNTIFS('สินค้า'!$E$2:$E$5575,A35,'สินค้า'!$I$2:$I$5575,"มี")</f>
        <v/>
      </c>
      <c r="D35" s="1">
        <f>COUNTIFS('สินค้า'!$E$2:$E$5575,A35,'สินค้า'!$M$2:$M$5575,"ตรงกัน")</f>
        <v/>
      </c>
      <c r="E35" s="10" t="n"/>
      <c r="F35" s="10" t="n"/>
      <c r="G35" s="10" t="n"/>
      <c r="H35" s="10" t="n"/>
    </row>
    <row r="36">
      <c r="A36" s="4" t="inlineStr">
        <is>
          <t>SUN MOUNTAIN</t>
        </is>
      </c>
      <c r="B36" s="1">
        <f>COUNTIF('สินค้า'!$E$2:$E$5575,A36)</f>
        <v/>
      </c>
      <c r="C36" s="1">
        <f>COUNTIFS('สินค้า'!$E$2:$E$5575,A36,'สินค้า'!$I$2:$I$5575,"มี")</f>
        <v/>
      </c>
      <c r="D36" s="1">
        <f>COUNTIFS('สินค้า'!$E$2:$E$5575,A36,'สินค้า'!$M$2:$M$5575,"ตรงกัน")</f>
        <v/>
      </c>
      <c r="E36" s="10" t="n"/>
      <c r="F36" s="10" t="n"/>
      <c r="G36" s="10" t="n"/>
      <c r="H36" s="10" t="n"/>
    </row>
    <row r="37">
      <c r="A37" s="4" t="inlineStr">
        <is>
          <t>DAPHNE</t>
        </is>
      </c>
      <c r="B37" s="1">
        <f>COUNTIF('สินค้า'!$E$2:$E$5575,A37)</f>
        <v/>
      </c>
      <c r="C37" s="1">
        <f>COUNTIFS('สินค้า'!$E$2:$E$5575,A37,'สินค้า'!$I$2:$I$5575,"มี")</f>
        <v/>
      </c>
      <c r="D37" s="1">
        <f>COUNTIFS('สินค้า'!$E$2:$E$5575,A37,'สินค้า'!$M$2:$M$5575,"ตรงกัน")</f>
        <v/>
      </c>
      <c r="E37" s="10" t="n"/>
      <c r="F37" s="10" t="n"/>
      <c r="G37" s="10" t="n"/>
      <c r="H37" s="10" t="n"/>
    </row>
    <row r="38">
      <c r="A38" s="4" t="inlineStr">
        <is>
          <t>GIII</t>
        </is>
      </c>
      <c r="B38" s="1">
        <f>COUNTIF('สินค้า'!$E$2:$E$5575,A38)</f>
        <v/>
      </c>
      <c r="C38" s="1">
        <f>COUNTIFS('สินค้า'!$E$2:$E$5575,A38,'สินค้า'!$I$2:$I$5575,"มี")</f>
        <v/>
      </c>
      <c r="D38" s="1">
        <f>COUNTIFS('สินค้า'!$E$2:$E$5575,A38,'สินค้า'!$M$2:$M$5575,"ตรงกัน")</f>
        <v/>
      </c>
      <c r="E38" s="10" t="n"/>
      <c r="F38" s="10" t="n"/>
      <c r="G38" s="10" t="n"/>
      <c r="H38" s="10" t="n"/>
    </row>
    <row r="39">
      <c r="A39" s="4" t="inlineStr">
        <is>
          <t>ODYSSEY</t>
        </is>
      </c>
      <c r="B39" s="1">
        <f>COUNTIF('สินค้า'!$E$2:$E$5575,A39)</f>
        <v/>
      </c>
      <c r="C39" s="1">
        <f>COUNTIFS('สินค้า'!$E$2:$E$5575,A39,'สินค้า'!$I$2:$I$5575,"มี")</f>
        <v/>
      </c>
      <c r="D39" s="1">
        <f>COUNTIFS('สินค้า'!$E$2:$E$5575,A39,'สินค้า'!$M$2:$M$5575,"ตรงกัน")</f>
        <v/>
      </c>
      <c r="E39" s="10" t="n"/>
      <c r="F39" s="10" t="n"/>
      <c r="G39" s="10" t="n"/>
      <c r="H39" s="10" t="n"/>
    </row>
    <row r="40">
      <c r="A40" s="4" t="inlineStr">
        <is>
          <t>ASICS</t>
        </is>
      </c>
      <c r="B40" s="1">
        <f>COUNTIF('สินค้า'!$E$2:$E$5575,A40)</f>
        <v/>
      </c>
      <c r="C40" s="1">
        <f>COUNTIFS('สินค้า'!$E$2:$E$5575,A40,'สินค้า'!$I$2:$I$5575,"มี")</f>
        <v/>
      </c>
      <c r="D40" s="1">
        <f>COUNTIFS('สินค้า'!$E$2:$E$5575,A40,'สินค้า'!$M$2:$M$5575,"ตรงกัน")</f>
        <v/>
      </c>
      <c r="E40" s="10" t="n"/>
      <c r="F40" s="10" t="n"/>
      <c r="G40" s="10" t="n"/>
      <c r="H40" s="10" t="n"/>
    </row>
    <row r="41">
      <c r="A41" s="4" t="inlineStr">
        <is>
          <t>CHAMP</t>
        </is>
      </c>
      <c r="B41" s="1">
        <f>COUNTIF('สินค้า'!$E$2:$E$5575,A41)</f>
        <v/>
      </c>
      <c r="C41" s="1">
        <f>COUNTIFS('สินค้า'!$E$2:$E$5575,A41,'สินค้า'!$I$2:$I$5575,"มี")</f>
        <v/>
      </c>
      <c r="D41" s="1">
        <f>COUNTIFS('สินค้า'!$E$2:$E$5575,A41,'สินค้า'!$M$2:$M$5575,"ตรงกัน")</f>
        <v/>
      </c>
      <c r="E41" s="10" t="n"/>
      <c r="F41" s="10" t="n"/>
      <c r="G41" s="10" t="n"/>
      <c r="H41" s="10" t="n"/>
    </row>
    <row r="42">
      <c r="A42" s="4" t="inlineStr">
        <is>
          <t>CALLAWAY</t>
        </is>
      </c>
      <c r="B42" s="1">
        <f>COUNTIF('สินค้า'!$E$2:$E$5575,A42)</f>
        <v/>
      </c>
      <c r="C42" s="1">
        <f>COUNTIFS('สินค้า'!$E$2:$E$5575,A42,'สินค้า'!$I$2:$I$5575,"มี")</f>
        <v/>
      </c>
      <c r="D42" s="1">
        <f>COUNTIFS('สินค้า'!$E$2:$E$5575,A42,'สินค้า'!$M$2:$M$5575,"ตรงกัน")</f>
        <v/>
      </c>
      <c r="E42" s="10" t="n"/>
      <c r="F42" s="10" t="n"/>
      <c r="G42" s="10" t="n"/>
      <c r="H42" s="10" t="n"/>
    </row>
    <row r="43">
      <c r="A43" s="4" t="inlineStr">
        <is>
          <t>BLUE TEES GOLF</t>
        </is>
      </c>
      <c r="B43" s="1">
        <f>COUNTIF('สินค้า'!$E$2:$E$5575,A43)</f>
        <v/>
      </c>
      <c r="C43" s="1">
        <f>COUNTIFS('สินค้า'!$E$2:$E$5575,A43,'สินค้า'!$I$2:$I$5575,"มี")</f>
        <v/>
      </c>
      <c r="D43" s="1">
        <f>COUNTIFS('สินค้า'!$E$2:$E$5575,A43,'สินค้า'!$M$2:$M$5575,"ตรงกัน")</f>
        <v/>
      </c>
      <c r="E43" s="10" t="n"/>
      <c r="F43" s="10" t="n"/>
      <c r="G43" s="10" t="n"/>
      <c r="H43" s="10" t="n"/>
    </row>
    <row r="44">
      <c r="A44" s="4" t="inlineStr">
        <is>
          <t>EPOCH EYEWEAR</t>
        </is>
      </c>
      <c r="B44" s="1">
        <f>COUNTIF('สินค้า'!$E$2:$E$5575,A44)</f>
        <v/>
      </c>
      <c r="C44" s="1">
        <f>COUNTIFS('สินค้า'!$E$2:$E$5575,A44,'สินค้า'!$I$2:$I$5575,"มี")</f>
        <v/>
      </c>
      <c r="D44" s="1">
        <f>COUNTIFS('สินค้า'!$E$2:$E$5575,A44,'สินค้า'!$M$2:$M$5575,"ตรงกัน")</f>
        <v/>
      </c>
      <c r="E44" s="10" t="n"/>
      <c r="F44" s="10" t="n"/>
      <c r="G44" s="10" t="n"/>
      <c r="H44" s="10" t="n"/>
    </row>
    <row r="45">
      <c r="A45" s="4" t="inlineStr">
        <is>
          <t>GARMIN</t>
        </is>
      </c>
      <c r="B45" s="1">
        <f>COUNTIF('สินค้า'!$E$2:$E$5575,A45)</f>
        <v/>
      </c>
      <c r="C45" s="1">
        <f>COUNTIFS('สินค้า'!$E$2:$E$5575,A45,'สินค้า'!$I$2:$I$5575,"มี")</f>
        <v/>
      </c>
      <c r="D45" s="1">
        <f>COUNTIFS('สินค้า'!$E$2:$E$5575,A45,'สินค้า'!$M$2:$M$5575,"ตรงกัน")</f>
        <v/>
      </c>
      <c r="E45" s="10" t="n"/>
      <c r="F45" s="10" t="n"/>
      <c r="G45" s="10" t="n"/>
      <c r="H45" s="10" t="n"/>
    </row>
    <row r="46">
      <c r="A46" s="4" t="inlineStr">
        <is>
          <t>SKLZ</t>
        </is>
      </c>
      <c r="B46" s="1">
        <f>COUNTIF('สินค้า'!$E$2:$E$5575,A46)</f>
        <v/>
      </c>
      <c r="C46" s="1">
        <f>COUNTIFS('สินค้า'!$E$2:$E$5575,A46,'สินค้า'!$I$2:$I$5575,"มี")</f>
        <v/>
      </c>
      <c r="D46" s="1">
        <f>COUNTIFS('สินค้า'!$E$2:$E$5575,A46,'สินค้า'!$M$2:$M$5575,"ตรงกัน")</f>
        <v/>
      </c>
      <c r="E46" s="10" t="n"/>
      <c r="F46" s="10" t="n"/>
      <c r="G46" s="10" t="n"/>
      <c r="H46" s="10" t="n"/>
    </row>
    <row r="47">
      <c r="A47" s="4" t="inlineStr">
        <is>
          <t>EVNROLL</t>
        </is>
      </c>
      <c r="B47" s="1">
        <f>COUNTIF('สินค้า'!$E$2:$E$5575,A47)</f>
        <v/>
      </c>
      <c r="C47" s="1">
        <f>COUNTIFS('สินค้า'!$E$2:$E$5575,A47,'สินค้า'!$I$2:$I$5575,"มี")</f>
        <v/>
      </c>
      <c r="D47" s="1">
        <f>COUNTIFS('สินค้า'!$E$2:$E$5575,A47,'สินค้า'!$M$2:$M$5575,"ตรงกัน")</f>
        <v/>
      </c>
      <c r="E47" s="10" t="n"/>
      <c r="F47" s="10" t="n"/>
      <c r="G47" s="10" t="n"/>
      <c r="H47" s="10" t="n"/>
    </row>
    <row r="48">
      <c r="A48" s="4" t="inlineStr">
        <is>
          <t>I-COVER</t>
        </is>
      </c>
      <c r="B48" s="1">
        <f>COUNTIF('สินค้า'!$E$2:$E$5575,A48)</f>
        <v/>
      </c>
      <c r="C48" s="1">
        <f>COUNTIFS('สินค้า'!$E$2:$E$5575,A48,'สินค้า'!$I$2:$I$5575,"มี")</f>
        <v/>
      </c>
      <c r="D48" s="1">
        <f>COUNTIFS('สินค้า'!$E$2:$E$5575,A48,'สินค้า'!$M$2:$M$5575,"ตรงกัน")</f>
        <v/>
      </c>
      <c r="E48" s="10" t="n"/>
      <c r="F48" s="10" t="n"/>
      <c r="G48" s="10" t="n"/>
      <c r="H48" s="10" t="n"/>
    </row>
    <row r="49">
      <c r="A49" s="4" t="inlineStr">
        <is>
          <t>L.A.B. GOLF</t>
        </is>
      </c>
      <c r="B49" s="1">
        <f>COUNTIF('สินค้า'!$E$2:$E$5575,A49)</f>
        <v/>
      </c>
      <c r="C49" s="1">
        <f>COUNTIFS('สินค้า'!$E$2:$E$5575,A49,'สินค้า'!$I$2:$I$5575,"มี")</f>
        <v/>
      </c>
      <c r="D49" s="1">
        <f>COUNTIFS('สินค้า'!$E$2:$E$5575,A49,'สินค้า'!$M$2:$M$5575,"ตรงกัน")</f>
        <v/>
      </c>
      <c r="E49" s="10" t="n"/>
      <c r="F49" s="10" t="n"/>
      <c r="G49" s="10" t="n"/>
      <c r="H49" s="10" t="n"/>
    </row>
    <row r="50">
      <c r="A50" s="4" t="inlineStr">
        <is>
          <t>PUTTOUT</t>
        </is>
      </c>
      <c r="B50" s="1">
        <f>COUNTIF('สินค้า'!$E$2:$E$5575,A50)</f>
        <v/>
      </c>
      <c r="C50" s="1">
        <f>COUNTIFS('สินค้า'!$E$2:$E$5575,A50,'สินค้า'!$I$2:$I$5575,"มี")</f>
        <v/>
      </c>
      <c r="D50" s="1">
        <f>COUNTIFS('สินค้า'!$E$2:$E$5575,A50,'สินค้า'!$M$2:$M$5575,"ตรงกัน")</f>
        <v/>
      </c>
      <c r="E50" s="10" t="n"/>
      <c r="F50" s="10" t="n"/>
      <c r="G50" s="10" t="n"/>
      <c r="H50" s="10" t="n"/>
    </row>
    <row r="51">
      <c r="A51" s="4" t="inlineStr">
        <is>
          <t>TOUR TEE</t>
        </is>
      </c>
      <c r="B51" s="1">
        <f>COUNTIF('สินค้า'!$E$2:$E$5575,A51)</f>
        <v/>
      </c>
      <c r="C51" s="1">
        <f>COUNTIFS('สินค้า'!$E$2:$E$5575,A51,'สินค้า'!$I$2:$I$5575,"มี")</f>
        <v/>
      </c>
      <c r="D51" s="1">
        <f>COUNTIFS('สินค้า'!$E$2:$E$5575,A51,'สินค้า'!$M$2:$M$5575,"ตรงกัน")</f>
        <v/>
      </c>
      <c r="E51" s="10" t="n"/>
      <c r="F51" s="10" t="n"/>
      <c r="G51" s="10" t="n"/>
      <c r="H51" s="10" t="n"/>
    </row>
    <row r="52">
      <c r="A52" s="4" t="inlineStr">
        <is>
          <t>BELL &amp; PAGE</t>
        </is>
      </c>
      <c r="B52" s="1">
        <f>COUNTIF('สินค้า'!$E$2:$E$5575,A52)</f>
        <v/>
      </c>
      <c r="C52" s="1">
        <f>COUNTIFS('สินค้า'!$E$2:$E$5575,A52,'สินค้า'!$I$2:$I$5575,"มี")</f>
        <v/>
      </c>
      <c r="D52" s="1">
        <f>COUNTIFS('สินค้า'!$E$2:$E$5575,A52,'สินค้า'!$M$2:$M$5575,"ตรงกัน")</f>
        <v/>
      </c>
      <c r="E52" s="10" t="n"/>
      <c r="F52" s="10" t="n"/>
      <c r="G52" s="10" t="n"/>
      <c r="H52" s="10" t="n"/>
    </row>
    <row r="53">
      <c r="A53" s="4" t="inlineStr">
        <is>
          <t>VOICE CADDIE</t>
        </is>
      </c>
      <c r="B53" s="1">
        <f>COUNTIF('สินค้า'!$E$2:$E$5575,A53)</f>
        <v/>
      </c>
      <c r="C53" s="1">
        <f>COUNTIFS('สินค้า'!$E$2:$E$5575,A53,'สินค้า'!$I$2:$I$5575,"มี")</f>
        <v/>
      </c>
      <c r="D53" s="1">
        <f>COUNTIFS('สินค้า'!$E$2:$E$5575,A53,'สินค้า'!$M$2:$M$5575,"ตรงกัน")</f>
        <v/>
      </c>
      <c r="E53" s="10" t="n"/>
      <c r="F53" s="10" t="n"/>
      <c r="G53" s="10" t="n"/>
      <c r="H53" s="10" t="n"/>
    </row>
    <row r="54">
      <c r="A54" s="4" t="inlineStr">
        <is>
          <t>MD GOLF</t>
        </is>
      </c>
      <c r="B54" s="1">
        <f>COUNTIF('สินค้า'!$E$2:$E$5575,A54)</f>
        <v/>
      </c>
      <c r="C54" s="1">
        <f>COUNTIFS('สินค้า'!$E$2:$E$5575,A54,'สินค้า'!$I$2:$I$5575,"มี")</f>
        <v/>
      </c>
      <c r="D54" s="1">
        <f>COUNTIFS('สินค้า'!$E$2:$E$5575,A54,'สินค้า'!$M$2:$M$5575,"ตรงกัน")</f>
        <v/>
      </c>
      <c r="E54" s="10" t="n"/>
      <c r="F54" s="10" t="n"/>
      <c r="G54" s="10" t="n"/>
      <c r="H54" s="10" t="n"/>
    </row>
    <row r="55">
      <c r="A55" s="4" t="inlineStr">
        <is>
          <t>AQUA-X</t>
        </is>
      </c>
      <c r="B55" s="1">
        <f>COUNTIF('สินค้า'!$E$2:$E$5575,A55)</f>
        <v/>
      </c>
      <c r="C55" s="1">
        <f>COUNTIFS('สินค้า'!$E$2:$E$5575,A55,'สินค้า'!$I$2:$I$5575,"มี")</f>
        <v/>
      </c>
      <c r="D55" s="1">
        <f>COUNTIFS('สินค้า'!$E$2:$E$5575,A55,'สินค้า'!$M$2:$M$5575,"ตรงกัน")</f>
        <v/>
      </c>
      <c r="E55" s="10" t="n"/>
      <c r="F55" s="10" t="n"/>
      <c r="G55" s="10" t="n"/>
      <c r="H55" s="10" t="n"/>
    </row>
    <row r="56">
      <c r="A56" s="4" t="inlineStr">
        <is>
          <t>RAM</t>
        </is>
      </c>
      <c r="B56" s="1">
        <f>COUNTIF('สินค้า'!$E$2:$E$5575,A56)</f>
        <v/>
      </c>
      <c r="C56" s="1">
        <f>COUNTIFS('สินค้า'!$E$2:$E$5575,A56,'สินค้า'!$I$2:$I$5575,"มี")</f>
        <v/>
      </c>
      <c r="D56" s="1">
        <f>COUNTIFS('สินค้า'!$E$2:$E$5575,A56,'สินค้า'!$M$2:$M$5575,"ตรงกัน")</f>
        <v/>
      </c>
      <c r="E56" s="10" t="n"/>
      <c r="F56" s="10" t="n"/>
      <c r="G56" s="10" t="n"/>
      <c r="H56" s="10" t="n"/>
    </row>
    <row r="57">
      <c r="A57" s="4" t="inlineStr">
        <is>
          <t>AXGLO</t>
        </is>
      </c>
      <c r="B57" s="1">
        <f>COUNTIF('สินค้า'!$E$2:$E$5575,A57)</f>
        <v/>
      </c>
      <c r="C57" s="1">
        <f>COUNTIFS('สินค้า'!$E$2:$E$5575,A57,'สินค้า'!$I$2:$I$5575,"มี")</f>
        <v/>
      </c>
      <c r="D57" s="1">
        <f>COUNTIFS('สินค้า'!$E$2:$E$5575,A57,'สินค้า'!$M$2:$M$5575,"ตรงกัน")</f>
        <v/>
      </c>
      <c r="E57" s="10" t="n"/>
      <c r="F57" s="10" t="n"/>
      <c r="G57" s="10" t="n"/>
      <c r="H57" s="10" t="n"/>
    </row>
    <row r="58">
      <c r="A58" s="4" t="inlineStr">
        <is>
          <t>SOFTSPIKES</t>
        </is>
      </c>
      <c r="B58" s="1">
        <f>COUNTIF('สินค้า'!$E$2:$E$5575,A58)</f>
        <v/>
      </c>
      <c r="C58" s="1">
        <f>COUNTIFS('สินค้า'!$E$2:$E$5575,A58,'สินค้า'!$I$2:$I$5575,"มี")</f>
        <v/>
      </c>
      <c r="D58" s="1">
        <f>COUNTIFS('สินค้า'!$E$2:$E$5575,A58,'สินค้า'!$M$2:$M$5575,"ตรงกัน")</f>
        <v/>
      </c>
      <c r="E58" s="10" t="n"/>
      <c r="F58" s="10" t="n"/>
      <c r="G58" s="10" t="n"/>
      <c r="H58" s="10" t="n"/>
    </row>
    <row r="59">
      <c r="A59" s="4" t="inlineStr">
        <is>
          <t>AEROCART</t>
        </is>
      </c>
      <c r="B59" s="1">
        <f>COUNTIF('สินค้า'!$E$2:$E$5575,A59)</f>
        <v/>
      </c>
      <c r="C59" s="1">
        <f>COUNTIFS('สินค้า'!$E$2:$E$5575,A59,'สินค้า'!$I$2:$I$5575,"มี")</f>
        <v/>
      </c>
      <c r="D59" s="1">
        <f>COUNTIFS('สินค้า'!$E$2:$E$5575,A59,'สินค้า'!$M$2:$M$5575,"ตรงกัน")</f>
        <v/>
      </c>
      <c r="E59" s="10" t="n"/>
      <c r="F59" s="10" t="n"/>
      <c r="G59" s="10" t="n"/>
      <c r="H59" s="10" t="n"/>
    </row>
    <row r="60">
      <c r="A60" s="4" t="inlineStr">
        <is>
          <t>MOTOCADDY</t>
        </is>
      </c>
      <c r="B60" s="1">
        <f>COUNTIF('สินค้า'!$E$2:$E$5575,A60)</f>
        <v/>
      </c>
      <c r="C60" s="1">
        <f>COUNTIFS('สินค้า'!$E$2:$E$5575,A60,'สินค้า'!$I$2:$I$5575,"มี")</f>
        <v/>
      </c>
      <c r="D60" s="1">
        <f>COUNTIFS('สินค้า'!$E$2:$E$5575,A60,'สินค้า'!$M$2:$M$5575,"ตรงกัน")</f>
        <v/>
      </c>
      <c r="E60" s="10" t="n"/>
      <c r="F60" s="10" t="n"/>
      <c r="G60" s="10" t="n"/>
      <c r="H60" s="10" t="n"/>
    </row>
    <row r="61">
      <c r="A61" s="4" t="inlineStr">
        <is>
          <t>SKINS</t>
        </is>
      </c>
      <c r="B61" s="1">
        <f>COUNTIF('สินค้า'!$E$2:$E$5575,A61)</f>
        <v/>
      </c>
      <c r="C61" s="1">
        <f>COUNTIFS('สินค้า'!$E$2:$E$5575,A61,'สินค้า'!$I$2:$I$5575,"มี")</f>
        <v/>
      </c>
      <c r="D61" s="1">
        <f>COUNTIFS('สินค้า'!$E$2:$E$5575,A61,'สินค้า'!$M$2:$M$5575,"ตรงกัน")</f>
        <v/>
      </c>
      <c r="E61" s="10" t="n"/>
      <c r="F61" s="10" t="n"/>
      <c r="G61" s="10" t="n"/>
      <c r="H61" s="10" t="n"/>
    </row>
    <row r="62">
      <c r="A62" s="4" t="inlineStr">
        <is>
          <t>LINK GOLF</t>
        </is>
      </c>
      <c r="B62" s="1">
        <f>COUNTIF('สินค้า'!$E$2:$E$5575,A62)</f>
        <v/>
      </c>
      <c r="C62" s="1">
        <f>COUNTIFS('สินค้า'!$E$2:$E$5575,A62,'สินค้า'!$I$2:$I$5575,"มี")</f>
        <v/>
      </c>
      <c r="D62" s="1">
        <f>COUNTIFS('สินค้า'!$E$2:$E$5575,A62,'สินค้า'!$M$2:$M$5575,"ตรงกัน")</f>
        <v/>
      </c>
      <c r="E62" s="10" t="n"/>
      <c r="F62" s="10" t="n"/>
      <c r="G62" s="10" t="n"/>
      <c r="H62" s="10" t="n"/>
    </row>
    <row r="63">
      <c r="A63" s="4" t="inlineStr">
        <is>
          <t>KRAVE</t>
        </is>
      </c>
      <c r="B63" s="1">
        <f>COUNTIF('สินค้า'!$E$2:$E$5575,A63)</f>
        <v/>
      </c>
      <c r="C63" s="1">
        <f>COUNTIFS('สินค้า'!$E$2:$E$5575,A63,'สินค้า'!$I$2:$I$5575,"มี")</f>
        <v/>
      </c>
      <c r="D63" s="1">
        <f>COUNTIFS('สินค้า'!$E$2:$E$5575,A63,'สินค้า'!$M$2:$M$5575,"ตรงกัน")</f>
        <v/>
      </c>
      <c r="E63" s="10" t="n"/>
      <c r="F63" s="10" t="n"/>
      <c r="G63" s="10" t="n"/>
      <c r="H63" s="10" t="n"/>
    </row>
    <row r="64">
      <c r="A64" s="4" t="inlineStr">
        <is>
          <t>NIKON</t>
        </is>
      </c>
      <c r="B64" s="1">
        <f>COUNTIF('สินค้า'!$E$2:$E$5575,A64)</f>
        <v/>
      </c>
      <c r="C64" s="1">
        <f>COUNTIFS('สินค้า'!$E$2:$E$5575,A64,'สินค้า'!$I$2:$I$5575,"มี")</f>
        <v/>
      </c>
      <c r="D64" s="1">
        <f>COUNTIFS('สินค้า'!$E$2:$E$5575,A64,'สินค้า'!$M$2:$M$5575,"ตรงกัน")</f>
        <v/>
      </c>
      <c r="E64" s="10" t="n"/>
      <c r="F64" s="10" t="n"/>
      <c r="G64" s="10" t="n"/>
      <c r="H64" s="10" t="n"/>
    </row>
    <row r="65">
      <c r="A65" s="4" t="inlineStr">
        <is>
          <t>CADDYTALK</t>
        </is>
      </c>
      <c r="B65" s="1">
        <f>COUNTIF('สินค้า'!$E$2:$E$5575,A65)</f>
        <v/>
      </c>
      <c r="C65" s="1">
        <f>COUNTIFS('สินค้า'!$E$2:$E$5575,A65,'สินค้า'!$I$2:$I$5575,"มี")</f>
        <v/>
      </c>
      <c r="D65" s="1">
        <f>COUNTIFS('สินค้า'!$E$2:$E$5575,A65,'สินค้า'!$M$2:$M$5575,"ตรงกัน")</f>
        <v/>
      </c>
      <c r="E65" s="10" t="n"/>
      <c r="F65" s="10" t="n"/>
      <c r="G65" s="10" t="n"/>
      <c r="H65" s="10" t="n"/>
    </row>
    <row r="66">
      <c r="A66" s="4" t="inlineStr">
        <is>
          <t>WELLPUTT</t>
        </is>
      </c>
      <c r="B66" s="1">
        <f>COUNTIF('สินค้า'!$E$2:$E$5575,A66)</f>
        <v/>
      </c>
      <c r="C66" s="1">
        <f>COUNTIFS('สินค้า'!$E$2:$E$5575,A66,'สินค้า'!$I$2:$I$5575,"มี")</f>
        <v/>
      </c>
      <c r="D66" s="1">
        <f>COUNTIFS('สินค้า'!$E$2:$E$5575,A66,'สินค้า'!$M$2:$M$5575,"ตรงกัน")</f>
        <v/>
      </c>
      <c r="E66" s="10" t="n"/>
      <c r="F66" s="10" t="n"/>
      <c r="G66" s="10" t="n"/>
      <c r="H66" s="10" t="n"/>
    </row>
    <row r="67">
      <c r="A67" s="4" t="inlineStr">
        <is>
          <t>POWAKADDY</t>
        </is>
      </c>
      <c r="B67" s="1">
        <f>COUNTIF('สินค้า'!$E$2:$E$5575,A67)</f>
        <v/>
      </c>
      <c r="C67" s="1">
        <f>COUNTIFS('สินค้า'!$E$2:$E$5575,A67,'สินค้า'!$I$2:$I$5575,"มี")</f>
        <v/>
      </c>
      <c r="D67" s="1">
        <f>COUNTIFS('สินค้า'!$E$2:$E$5575,A67,'สินค้า'!$M$2:$M$5575,"ตรงกัน")</f>
        <v/>
      </c>
      <c r="E67" s="10" t="n"/>
      <c r="F67" s="10" t="n"/>
      <c r="G67" s="10" t="n"/>
      <c r="H67" s="10" t="n"/>
    </row>
    <row r="68">
      <c r="A68" s="4" t="inlineStr">
        <is>
          <t>HYDRO FLASK</t>
        </is>
      </c>
      <c r="B68" s="1">
        <f>COUNTIF('สินค้า'!$E$2:$E$5575,A68)</f>
        <v/>
      </c>
      <c r="C68" s="1">
        <f>COUNTIFS('สินค้า'!$E$2:$E$5575,A68,'สินค้า'!$I$2:$I$5575,"มี")</f>
        <v/>
      </c>
      <c r="D68" s="1">
        <f>COUNTIFS('สินค้า'!$E$2:$E$5575,A68,'สินค้า'!$M$2:$M$5575,"ตรงกัน")</f>
        <v/>
      </c>
      <c r="E68" s="10" t="n"/>
      <c r="F68" s="10" t="n"/>
      <c r="G68" s="10" t="n"/>
      <c r="H68" s="10" t="n"/>
    </row>
    <row r="69">
      <c r="A69" s="4" t="inlineStr">
        <is>
          <t>GOLF BUDDY</t>
        </is>
      </c>
      <c r="B69" s="1">
        <f>COUNTIF('สินค้า'!$E$2:$E$5575,A69)</f>
        <v/>
      </c>
      <c r="C69" s="1">
        <f>COUNTIFS('สินค้า'!$E$2:$E$5575,A69,'สินค้า'!$I$2:$I$5575,"มี")</f>
        <v/>
      </c>
      <c r="D69" s="1">
        <f>COUNTIFS('สินค้า'!$E$2:$E$5575,A69,'สินค้า'!$M$2:$M$5575,"ตรงกัน")</f>
        <v/>
      </c>
      <c r="E69" s="10" t="n"/>
      <c r="F69" s="10" t="n"/>
      <c r="G69" s="10" t="n"/>
      <c r="H69" s="10" t="n"/>
    </row>
    <row r="70">
      <c r="A70" s="4" t="inlineStr">
        <is>
          <t>LA GOLF</t>
        </is>
      </c>
      <c r="B70" s="1">
        <f>COUNTIF('สินค้า'!$E$2:$E$5575,A70)</f>
        <v/>
      </c>
      <c r="C70" s="1">
        <f>COUNTIFS('สินค้า'!$E$2:$E$5575,A70,'สินค้า'!$I$2:$I$5575,"มี")</f>
        <v/>
      </c>
      <c r="D70" s="1">
        <f>COUNTIFS('สินค้า'!$E$2:$E$5575,A70,'สินค้า'!$M$2:$M$5575,"ตรงกัน")</f>
        <v/>
      </c>
      <c r="E70" s="10" t="n"/>
      <c r="F70" s="10" t="n"/>
      <c r="G70" s="10" t="n"/>
      <c r="H70" s="10" t="n"/>
    </row>
    <row r="71">
      <c r="A71" s="4" t="inlineStr">
        <is>
          <t>CREATIVE COVERS</t>
        </is>
      </c>
      <c r="B71" s="1">
        <f>COUNTIF('สินค้า'!$E$2:$E$5575,A71)</f>
        <v/>
      </c>
      <c r="C71" s="1">
        <f>COUNTIFS('สินค้า'!$E$2:$E$5575,A71,'สินค้า'!$I$2:$I$5575,"มี")</f>
        <v/>
      </c>
      <c r="D71" s="1">
        <f>COUNTIFS('สินค้า'!$E$2:$E$5575,A71,'สินค้า'!$M$2:$M$5575,"ตรงกัน")</f>
        <v/>
      </c>
      <c r="E71" s="10" t="n"/>
      <c r="F71" s="10" t="n"/>
      <c r="G71" s="10" t="n"/>
      <c r="H71" s="10" t="n"/>
    </row>
    <row r="72">
      <c r="A72" s="4" t="inlineStr">
        <is>
          <t>RAPSODO</t>
        </is>
      </c>
      <c r="B72" s="1">
        <f>COUNTIF('สินค้า'!$E$2:$E$5575,A72)</f>
        <v/>
      </c>
      <c r="C72" s="1">
        <f>COUNTIFS('สินค้า'!$E$2:$E$5575,A72,'สินค้า'!$I$2:$I$5575,"มี")</f>
        <v/>
      </c>
      <c r="D72" s="1">
        <f>COUNTIFS('สินค้า'!$E$2:$E$5575,A72,'สินค้า'!$M$2:$M$5575,"ตรงกัน")</f>
        <v/>
      </c>
      <c r="E72" s="10" t="n"/>
      <c r="F72" s="10" t="n"/>
      <c r="G72" s="10" t="n"/>
      <c r="H72" s="10" t="n"/>
    </row>
    <row r="73">
      <c r="A73" s="4" t="inlineStr">
        <is>
          <t>HUAWEI</t>
        </is>
      </c>
      <c r="B73" s="1">
        <f>COUNTIF('สินค้า'!$E$2:$E$5575,A73)</f>
        <v/>
      </c>
      <c r="C73" s="1">
        <f>COUNTIFS('สินค้า'!$E$2:$E$5575,A73,'สินค้า'!$I$2:$I$5575,"มี")</f>
        <v/>
      </c>
      <c r="D73" s="1">
        <f>COUNTIFS('สินค้า'!$E$2:$E$5575,A73,'สินค้า'!$M$2:$M$5575,"ตรงกัน")</f>
        <v/>
      </c>
      <c r="E73" s="10" t="n"/>
      <c r="F73" s="10" t="n"/>
      <c r="G73" s="10" t="n"/>
      <c r="H73" s="10" t="n"/>
    </row>
    <row r="74">
      <c r="A74" s="4" t="inlineStr">
        <is>
          <t>FORESIGHT SPORTS</t>
        </is>
      </c>
      <c r="B74" s="1">
        <f>COUNTIF('สินค้า'!$E$2:$E$5575,A74)</f>
        <v/>
      </c>
      <c r="C74" s="1">
        <f>COUNTIFS('สินค้า'!$E$2:$E$5575,A74,'สินค้า'!$I$2:$I$5575,"มี")</f>
        <v/>
      </c>
      <c r="D74" s="1">
        <f>COUNTIFS('สินค้า'!$E$2:$E$5575,A74,'สินค้า'!$M$2:$M$5575,"ตรงกัน")</f>
        <v/>
      </c>
      <c r="E74" s="10" t="n"/>
      <c r="F74" s="10" t="n"/>
      <c r="G74" s="10" t="n"/>
      <c r="H74" s="10" t="n"/>
    </row>
    <row r="75">
      <c r="A75" s="4" t="inlineStr">
        <is>
          <t>FIT ON</t>
        </is>
      </c>
      <c r="B75" s="1">
        <f>COUNTIF('สินค้า'!$E$2:$E$5575,A75)</f>
        <v/>
      </c>
      <c r="C75" s="1">
        <f>COUNTIFS('สินค้า'!$E$2:$E$5575,A75,'สินค้า'!$I$2:$I$5575,"มี")</f>
        <v/>
      </c>
      <c r="D75" s="1">
        <f>COUNTIFS('สินค้า'!$E$2:$E$5575,A75,'สินค้า'!$M$2:$M$5575,"ตรงกัน")</f>
        <v/>
      </c>
      <c r="E75" s="10" t="n"/>
      <c r="F75" s="10" t="n"/>
      <c r="G75" s="10" t="n"/>
      <c r="H75" s="10" t="n"/>
    </row>
    <row r="76">
      <c r="A76" s="4" t="inlineStr">
        <is>
          <t>MST Golf Thailand</t>
        </is>
      </c>
      <c r="B76" s="1">
        <f>COUNTIF('สินค้า'!$E$2:$E$5575,A76)</f>
        <v/>
      </c>
      <c r="C76" s="1">
        <f>COUNTIFS('สินค้า'!$E$2:$E$5575,A76,'สินค้า'!$I$2:$I$5575,"มี")</f>
        <v/>
      </c>
      <c r="D76" s="1">
        <f>COUNTIFS('สินค้า'!$E$2:$E$5575,A76,'สินค้า'!$M$2:$M$5575,"ตรงกัน")</f>
        <v/>
      </c>
      <c r="E76" s="10" t="n"/>
      <c r="F76" s="10" t="n"/>
      <c r="G76" s="10" t="n"/>
      <c r="H76" s="10" t="n"/>
    </row>
    <row r="77">
      <c r="A77" s="4" t="inlineStr">
        <is>
          <t>GOLF PRIDE</t>
        </is>
      </c>
      <c r="B77" s="1">
        <f>COUNTIF('สินค้า'!$E$2:$E$5575,A77)</f>
        <v/>
      </c>
      <c r="C77" s="1">
        <f>COUNTIFS('สินค้า'!$E$2:$E$5575,A77,'สินค้า'!$I$2:$I$5575,"มี")</f>
        <v/>
      </c>
      <c r="D77" s="1">
        <f>COUNTIFS('สินค้า'!$E$2:$E$5575,A77,'สินค้า'!$M$2:$M$5575,"ตรงกัน")</f>
        <v/>
      </c>
      <c r="E77" s="10" t="n"/>
      <c r="F77" s="10" t="n"/>
      <c r="G77" s="10" t="n"/>
      <c r="H77" s="10" t="n"/>
    </row>
    <row r="78">
      <c r="A78" s="4" t="inlineStr">
        <is>
          <t>K-MOTION</t>
        </is>
      </c>
      <c r="B78" s="1">
        <f>COUNTIF('สินค้า'!$E$2:$E$5575,A78)</f>
        <v/>
      </c>
      <c r="C78" s="1">
        <f>COUNTIFS('สินค้า'!$E$2:$E$5575,A78,'สินค้า'!$I$2:$I$5575,"มี")</f>
        <v/>
      </c>
      <c r="D78" s="1">
        <f>COUNTIFS('สินค้า'!$E$2:$E$5575,A78,'สินค้า'!$M$2:$M$5575,"ตรงกัน")</f>
        <v/>
      </c>
      <c r="E78" s="10" t="n"/>
      <c r="F78" s="10" t="n"/>
      <c r="G78" s="10" t="n"/>
      <c r="H78" s="10" t="n"/>
    </row>
    <row r="79">
      <c r="A79" s="4" t="inlineStr">
        <is>
          <t>SKYLINE</t>
        </is>
      </c>
      <c r="B79" s="1">
        <f>COUNTIF('สินค้า'!$E$2:$E$5575,A79)</f>
        <v/>
      </c>
      <c r="C79" s="1">
        <f>COUNTIFS('สินค้า'!$E$2:$E$5575,A79,'สินค้า'!$I$2:$I$5575,"มี")</f>
        <v/>
      </c>
      <c r="D79" s="1">
        <f>COUNTIFS('สินค้า'!$E$2:$E$5575,A79,'สินค้า'!$M$2:$M$5575,"ตรงกัน")</f>
        <v/>
      </c>
      <c r="E79" s="10" t="n"/>
      <c r="F79" s="10" t="n"/>
      <c r="G79" s="10" t="n"/>
      <c r="H79" s="10" t="n"/>
    </row>
    <row r="80">
      <c r="A80" s="4" t="inlineStr">
        <is>
          <t>PRIDE SPORTS</t>
        </is>
      </c>
      <c r="B80" s="1">
        <f>COUNTIF('สินค้า'!$E$2:$E$5575,A80)</f>
        <v/>
      </c>
      <c r="C80" s="1">
        <f>COUNTIFS('สินค้า'!$E$2:$E$5575,A80,'สินค้า'!$I$2:$I$5575,"มี")</f>
        <v/>
      </c>
      <c r="D80" s="1">
        <f>COUNTIFS('สินค้า'!$E$2:$E$5575,A80,'สินค้า'!$M$2:$M$5575,"ตรงกัน")</f>
        <v/>
      </c>
      <c r="E80" s="10" t="n"/>
      <c r="F80" s="10" t="n"/>
      <c r="G80" s="10" t="n"/>
      <c r="H80" s="10" t="n"/>
    </row>
    <row r="81">
      <c r="A81" s="4" t="inlineStr">
        <is>
          <t>LE BOTANICAL</t>
        </is>
      </c>
      <c r="B81" s="1">
        <f>COUNTIF('สินค้า'!$E$2:$E$5575,A81)</f>
        <v/>
      </c>
      <c r="C81" s="1">
        <f>COUNTIFS('สินค้า'!$E$2:$E$5575,A81,'สินค้า'!$I$2:$I$5575,"มี")</f>
        <v/>
      </c>
      <c r="D81" s="1">
        <f>COUNTIFS('สินค้า'!$E$2:$E$5575,A81,'สินค้า'!$M$2:$M$5575,"ตรงกัน")</f>
        <v/>
      </c>
      <c r="E81" s="10" t="n"/>
      <c r="F81" s="10" t="n"/>
      <c r="G81" s="10" t="n"/>
      <c r="H81" s="10" t="n"/>
    </row>
  </sheetData>
  <autoFilter ref="A1:H81"/>
  <dataValidations count="1">
    <dataValidation sqref="E2:E81" showDropDown="0" showInputMessage="0" showErrorMessage="0" allowBlank="1" type="list">
      <formula1>"ได้,ไม่ได้,ต้องถาม"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2026-09-27T03:42:42Z</dcterms:created>
  <dcterms:modified xsi:type="dcterms:W3CDTF">2026-09-27T03:42:43Z</dcterms:modified>
</cp:coreProperties>
</file>